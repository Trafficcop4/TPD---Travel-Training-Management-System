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PrintCenter" sheetId="3" state="visible" r:id="rId3"/>
    <sheet name="Cadets" sheetId="4" state="visible" r:id="rId4"/>
    <sheet name="ExamScores" sheetId="5" state="visible" r:id="rId5"/>
    <sheet name="Spelling" sheetId="6" state="visible" r:id="rId6"/>
    <sheet name="Attendance" sheetId="7" state="visible" r:id="rId7"/>
    <sheet name="Makeup" sheetId="8" state="visible" r:id="rId8"/>
    <sheet name="Skills" sheetId="9" state="visible" r:id="rId9"/>
    <sheet name="Writing" sheetId="10" state="visible" r:id="rId10"/>
    <sheet name="Incidents" sheetId="11" state="visible" r:id="rId11"/>
    <sheet name="Counseling" sheetId="12" state="visible" r:id="rId12"/>
    <sheet name="PT" sheetId="13" state="visible" r:id="rId13"/>
    <sheet name="Medical" sheetId="14" state="visible" r:id="rId14"/>
    <sheet name="DismissalLog" sheetId="15" state="visible" r:id="rId15"/>
    <sheet name="ScoresGrid" sheetId="16" state="visible" r:id="rId16"/>
    <sheet name="Ranking" sheetId="17" state="visible" r:id="rId17"/>
    <sheet name="WatchList" sheetId="18" state="visible" r:id="rId18"/>
    <sheet name="CadetProfile" sheetId="19" state="visible" r:id="rId19"/>
    <sheet name="Transcript" sheetId="20" state="visible" r:id="rId20"/>
    <sheet name="GradChecklist" sheetId="21" state="visible" r:id="rId21"/>
    <sheet name="Audit" sheetId="22" state="visible" r:id="rId22"/>
    <sheet name="SignIn" sheetId="23" state="visible" r:id="rId23"/>
    <sheet name="EvalSheet" sheetId="24" state="visible" r:id="rId24"/>
    <sheet name="SpellingPrint" sheetId="25" state="visible" r:id="rId25"/>
    <sheet name="WritingHandout" sheetId="26" state="visible" r:id="rId26"/>
    <sheet name="EmailPreview" sheetId="27" state="visible" r:id="rId27"/>
    <sheet name="EmailLog" sheetId="28" state="visible" r:id="rId28"/>
    <sheet name="Settings" sheetId="29" state="visible" r:id="rId29"/>
    <sheet name="Lists" sheetId="30" state="visible" r:id="rId30"/>
    <sheet name="Agencies" sheetId="31" state="visible" r:id="rId31"/>
    <sheet name="Instructors" sheetId="32" state="visible" r:id="rId32"/>
    <sheet name="ChapterMaster" sheetId="33" state="visible" r:id="rId33"/>
    <sheet name="ExamMaster" sheetId="34" state="visible" r:id="rId34"/>
    <sheet name="ExamPlan" sheetId="35" state="visible" r:id="rId35"/>
    <sheet name="SkillsMaster" sheetId="36" state="visible" r:id="rId36"/>
    <sheet name="SpellingMaster" sheetId="37" state="visible" r:id="rId37"/>
    <sheet name="WritingMaster" sheetId="38" state="visible" r:id="rId38"/>
    <sheet name="Control" sheetId="39" state="visible" r:id="rId39"/>
    <sheet name="Schedule" sheetId="40" state="visible" r:id="rId40"/>
    <sheet name="sysGrades" sheetId="41" state="visible" r:id="rId41"/>
    <sheet name="sysAttendance" sheetId="42" state="visible" r:id="rId42"/>
    <sheet name="sysSkills" sheetId="43" state="visible" r:id="rId43"/>
    <sheet name="sysIncidents" sheetId="44" state="visible" r:id="rId44"/>
    <sheet name="sysFlags" sheetId="45" state="visible" r:id="rId45"/>
    <sheet name="sysChecks" sheetId="46" state="visible" r:id="rId46"/>
    <sheet name="sysAwards" sheetId="47" state="visible" r:id="rId47"/>
    <sheet name="sysAudit" sheetId="48" state="visible" r:id="rId48"/>
    <sheet name="sysListsHelper" sheetId="49" state="hidden" r:id="rId49"/>
    <sheet name="NamedRanges" sheetId="50" state="visible" r:id="rId5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'Instructors'!$B$6:$B$85</definedName>
    <definedName name="nrInstrReady">'Instructors'!$J$6:$J$85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'sysListsHelper'!$B$6:$B$62</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INCopenNeg">'sysIncidents'!$H$6:$H$55</definedName>
    <definedName name="nrINCelig">'sysIncidents'!$K$6:$K$55</definedName>
    <definedName name="nrFLcount">'sysFlags'!$O$6:$O$55</definedName>
    <definedName name="nrFLreasons">'sysFlags'!$P$6:$P$55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'sysAudit'!$E$6:$E$16</definedName>
    <definedName name="nrAUDcheck">'sysAudit'!$B$6:$B$16</definedName>
    <definedName name="nrSGclassavg">'ScoresGrid'!$D$57:$AB$57</definedName>
    <definedName name="cfgProfileCadet">'CadetProfile'!$C$5</definedName>
    <definedName name="cfgTranscriptCadet">'Transcript'!$C$5</definedName>
    <definedName name="nrPRGitems">'Audit'!$B$27:$B$34</definedName>
    <definedName name="nrPRGmet">'Audit'!$F$27:$F$34</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6">'Ranking'!$5:$5</definedName>
    <definedName name="_xlnm.Print_Area" localSheetId="16">'Ranking'!$B$5:$J$60</definedName>
    <definedName name="_xlnm.Print_Titles" localSheetId="17">'WatchList'!$5:$5</definedName>
    <definedName name="_xlnm.Print_Area" localSheetId="17">'WatchList'!$B$5:$I$60</definedName>
    <definedName name="_xlnm.Print_Area" localSheetId="18">'CadetProfile'!$B$5:$J$49</definedName>
    <definedName name="_xlnm.Print_Area" localSheetId="19">'Transcript'!$B$5:$J$56</definedName>
    <definedName name="_xlnm.Print_Titles" localSheetId="20">'GradChecklist'!$5:$5</definedName>
    <definedName name="_xlnm.Print_Area" localSheetId="20">'GradChecklist'!$B$5:$O$55</definedName>
    <definedName name="_xlnm.Print_Titles" localSheetId="21">'Audit'!$37:$37</definedName>
    <definedName name="_xlnm.Print_Area" localSheetId="21">'Audit'!$B$5:$I$87</definedName>
    <definedName name="_xlnm.Print_Area" localSheetId="22">'SignIn'!$B$5:$H$73</definedName>
    <definedName name="_xlnm.Print_Area" localSheetId="23">'EvalSheet'!$B$7:$H$36</definedName>
    <definedName name="_xlnm.Print_Area" localSheetId="24">'SpellingPrint'!$B$7:$F$26</definedName>
    <definedName name="_xlnm.Print_Area" localSheetId="25">'WritingHandout'!$B$7:$F$19</definedName>
    <definedName name="_xlnm.Print_Titles" localSheetId="39">'Schedule'!$5:$5</definedName>
    <definedName name="_xlnm.Print_Area" localSheetId="39">'Schedule'!$B$5:$M$406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9">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2">
    <xf numFmtId="0" fontId="0" fillId="0" borderId="0" pivotButton="0" quotePrefix="0" xfId="0"/>
    <xf numFmtId="0" fontId="8" fillId="0" borderId="0" pivotButton="0" quotePrefix="0" xfId="0"/>
    <xf numFmtId="0" fontId="4"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2" fillId="0" borderId="0" pivotButton="0" quotePrefix="0" xfId="0"/>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164" fontId="5" fillId="3" borderId="1" applyProtection="1" pivotButton="0" quotePrefix="0" xfId="0">
      <protection locked="0" hidden="0"/>
    </xf>
    <xf numFmtId="0" fontId="6" fillId="0" borderId="1" pivotButton="0" quotePrefix="0" xfId="0"/>
    <xf numFmtId="0" fontId="3" fillId="0" borderId="1" pivotButton="0" quotePrefix="0" xfId="0"/>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xf numFmtId="0" fontId="2" fillId="0" borderId="1" pivotButton="0" quotePrefix="0" xfId="0"/>
  </cellXfs>
  <cellStyles count="1">
    <cellStyle name="Normal" xfId="0" builtinId="0" hidden="0"/>
  </cellStyles>
  <dxfs count="3">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25</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41</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K41"/>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row>
    <row r="6"/>
    <row r="7">
      <c r="B7" s="3" t="inlineStr">
        <is>
          <t>Active cadets</t>
        </is>
      </c>
      <c r="C7" s="4" t="n"/>
      <c r="D7" s="3" t="inlineStr">
        <is>
          <t>Class current avg</t>
        </is>
      </c>
      <c r="E7" s="4" t="n"/>
      <c r="F7" s="3" t="inlineStr">
        <is>
          <t>Graduation eligible</t>
        </is>
      </c>
      <c r="G7" s="4" t="n"/>
      <c r="H7" s="3" t="inlineStr">
        <is>
          <t>Flagged cadets</t>
        </is>
      </c>
      <c r="I7" s="4" t="n"/>
      <c r="J7" s="3" t="inlineStr">
        <is>
          <t>Overdue retests</t>
        </is>
      </c>
      <c r="K7" s="4" t="n"/>
    </row>
    <row r="8">
      <c r="B8" s="5">
        <f>SUMPRODUCT((nrCadetStatus="Active")*1)</f>
        <v/>
      </c>
      <c r="C8" s="4" t="n"/>
      <c r="D8" s="5">
        <f>IFERROR(ROUND(AVERAGE(IF(nrCadetStatus="Active",nrGRcurrent)),1),"—")</f>
        <v/>
      </c>
      <c r="E8" s="4" t="n"/>
      <c r="F8" s="5">
        <f>SUMPRODUCT((nrCadetStatus="Active")*(nrCKgradElig="Yes"))</f>
        <v/>
      </c>
      <c r="G8" s="4" t="n"/>
      <c r="H8" s="5">
        <f>SUMPRODUCT((nrCadetStatus="Active")*(nrFLcount&gt;0))</f>
        <v/>
      </c>
      <c r="I8" s="4" t="n"/>
      <c r="J8" s="5">
        <f>COUNTIF(nrES_RetStat,"OVERDUE")</f>
        <v/>
      </c>
      <c r="K8" s="4" t="n"/>
    </row>
    <row r="9"/>
    <row r="10">
      <c r="B10" s="3" t="inlineStr">
        <is>
          <t>Spelling interventions</t>
        </is>
      </c>
      <c r="C10" s="4" t="n"/>
      <c r="D10" s="3" t="inlineStr">
        <is>
          <t>Makeup owed (cadets)</t>
        </is>
      </c>
      <c r="E10" s="4" t="n"/>
      <c r="F10" s="3" t="inlineStr">
        <is>
          <t>Delivered hours</t>
        </is>
      </c>
      <c r="G10" s="4" t="n"/>
      <c r="H10" s="3" t="inlineStr">
        <is>
          <t>Audit checks failing</t>
        </is>
      </c>
      <c r="I10" s="4" t="n"/>
      <c r="J10" s="3" t="inlineStr">
        <is>
          <t>Days to graduation</t>
        </is>
      </c>
      <c r="K10" s="4" t="n"/>
    </row>
    <row r="11">
      <c r="B11" s="5">
        <f>COUNTIF(nrSpellFlag,"INTERVENTION")</f>
        <v/>
      </c>
      <c r="C11" s="4" t="n"/>
      <c r="D11" s="5">
        <f>SUMPRODUCT((nrCadetStatus="Active")*(nrATTmakeupOK="No"))</f>
        <v/>
      </c>
      <c r="E11" s="4" t="n"/>
      <c r="F11" s="5">
        <f>ROUND(N(nrCHtotalDelivered),0)&amp;" / "&amp;cfgRequiredHours</f>
        <v/>
      </c>
      <c r="G11" s="4" t="n"/>
      <c r="H11" s="5">
        <f>SUMPRODUCT((nrAUDstatus&lt;&gt;"OK")*(nrAUDstatus&lt;&gt;""))</f>
        <v/>
      </c>
      <c r="I11" s="4" t="n"/>
      <c r="J11" s="5">
        <f>MAX(0,cfgEndDate-TODAY())</f>
        <v/>
      </c>
      <c r="K11" s="4" t="n"/>
    </row>
    <row r="12"/>
    <row r="13" ht="16" customHeight="1">
      <c r="B13" s="6" t="inlineStr">
        <is>
          <t>Watch list — highest flag counts first (full list on WatchList)</t>
        </is>
      </c>
      <c r="C13" s="7" t="n"/>
      <c r="D13" s="7" t="n"/>
      <c r="E13" s="7" t="n"/>
      <c r="F13" s="7" t="n"/>
      <c r="G13" s="7" t="n"/>
      <c r="H13" s="7" t="n"/>
      <c r="I13" s="7" t="n"/>
      <c r="J13" s="7" t="n"/>
      <c r="K13" s="7" t="n"/>
    </row>
    <row r="14">
      <c r="B14">
        <f>IFERROR(_xlfn.SORTBY(_xlfn._xlws.FILTER(_xlfn.HSTACK(rngCadetNames,nrCadetAgency,nrFLcount,nrFLreasons),(nrFLcount&gt;0)*(nrCadetStatus="Active")),_xlfn._xlws.FILTER(nrFLcount,(nrFLcount&gt;0)*(nrCadetStatus="Active")),-1),"No flags — clear")</f>
        <v/>
      </c>
    </row>
    <row r="15"/>
    <row r="16"/>
    <row r="17"/>
    <row r="18"/>
    <row r="19"/>
    <row r="20"/>
    <row r="21"/>
    <row r="22"/>
    <row r="23"/>
    <row r="24"/>
    <row r="25" ht="16" customHeight="1">
      <c r="B25" s="6" t="inlineStr">
        <is>
          <t>Class average by exam</t>
        </is>
      </c>
      <c r="C25" s="7" t="n"/>
      <c r="D25" s="7" t="n"/>
      <c r="E25" s="7" t="n"/>
      <c r="F25" s="7" t="n"/>
      <c r="G25" s="7" t="n"/>
      <c r="H25" s="7" t="n"/>
      <c r="I25" s="7" t="n"/>
      <c r="J25" s="7" t="n"/>
      <c r="K25" s="7" t="n"/>
    </row>
    <row r="26"/>
    <row r="27"/>
    <row r="28"/>
    <row r="29"/>
    <row r="30"/>
    <row r="31"/>
    <row r="32"/>
    <row r="33"/>
    <row r="34"/>
    <row r="35"/>
    <row r="36"/>
    <row r="37"/>
    <row r="38"/>
    <row r="39"/>
    <row r="40"/>
    <row r="41" ht="16" customHeight="1">
      <c r="B41" s="6" t="inlineStr">
        <is>
          <t>Spelling class average by test</t>
        </is>
      </c>
      <c r="C41" s="7" t="n"/>
      <c r="D41" s="7" t="n"/>
      <c r="E41" s="7" t="n"/>
      <c r="F41" s="7" t="n"/>
      <c r="G41" s="7" t="n"/>
      <c r="H41" s="7" t="n"/>
      <c r="I41" s="7" t="n"/>
      <c r="J41" s="7" t="n"/>
      <c r="K41" s="7" t="n"/>
    </row>
  </sheetData>
  <mergeCells count="23">
    <mergeCell ref="F11:G11"/>
    <mergeCell ref="D10:E10"/>
    <mergeCell ref="B7:C7"/>
    <mergeCell ref="F10:G10"/>
    <mergeCell ref="H10:I10"/>
    <mergeCell ref="J10:K10"/>
    <mergeCell ref="F7:G7"/>
    <mergeCell ref="B41:K41"/>
    <mergeCell ref="B11:C11"/>
    <mergeCell ref="D11:E11"/>
    <mergeCell ref="B25:K25"/>
    <mergeCell ref="B8:C8"/>
    <mergeCell ref="F8:G8"/>
    <mergeCell ref="H11:I11"/>
    <mergeCell ref="J11:K11"/>
    <mergeCell ref="D7:E7"/>
    <mergeCell ref="H7:I7"/>
    <mergeCell ref="J7:K7"/>
    <mergeCell ref="B10:C10"/>
    <mergeCell ref="D8:E8"/>
    <mergeCell ref="B13:K13"/>
    <mergeCell ref="H8:I8"/>
    <mergeCell ref="J8:K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row r="2"/>
    <row r="3"/>
    <row r="4">
      <c r="B4" s="8" t="inlineStr">
        <is>
          <t>Workbook map: blue = you type it, gray = calculated, sys* sheets are the locked engine.</t>
        </is>
      </c>
    </row>
    <row r="5" ht="26" customHeight="1">
      <c r="B5" s="9" t="inlineStr">
        <is>
          <t>Step</t>
        </is>
      </c>
      <c r="C5" s="9" t="inlineStr">
        <is>
          <t>What to do</t>
        </is>
      </c>
    </row>
    <row r="6" ht="30" customHeight="1">
      <c r="B6" s="10" t="inlineStr">
        <is>
          <t>1. Settings</t>
        </is>
      </c>
      <c r="C6" s="11" t="inlineStr">
        <is>
          <t>Set academy class label, start/end dates, weights, caps and flag thresholds. Blue cells are yours.</t>
        </is>
      </c>
    </row>
    <row r="7" ht="30" customHeight="1">
      <c r="B7" s="10" t="inlineStr">
        <is>
          <t>2. Lists / Agencies / Instructors</t>
        </is>
      </c>
      <c r="C7" s="11" t="inlineStr">
        <is>
          <t>Confirm dropdown lists, agency contacts and the instructor roster (PID, certs, SME letters).</t>
        </is>
      </c>
    </row>
    <row r="8" ht="30" customHeight="1">
      <c r="B8" s="10" t="inlineStr">
        <is>
          <t>3. ChapterMaster &amp; Schedule</t>
        </is>
      </c>
      <c r="C8" s="11" t="inlineStr">
        <is>
          <t>Confirm chapter hours, then enter the class schedule (date, times, chapter, instructor). Delivered hours reconcile automatically.</t>
        </is>
      </c>
    </row>
    <row r="9" ht="30" customHeight="1">
      <c r="B9" s="10" t="inlineStr">
        <is>
          <t>4. ExamPlan / WritingMaster / SpellingMaster</t>
        </is>
      </c>
      <c r="C9" s="11" t="inlineStr">
        <is>
          <t>Pick this academy's exams; writing due dates compute from the schedule.</t>
        </is>
      </c>
    </row>
    <row r="10" ht="30" customHeight="1">
      <c r="B10" s="10" t="inlineStr">
        <is>
          <t>5. Cadets</t>
        </is>
      </c>
      <c r="C10" s="11" t="inlineStr">
        <is>
          <t>Enter the roster (PID, names, agency). Everything keys off PID.</t>
        </is>
      </c>
    </row>
    <row r="11" ht="30" customHeight="1">
      <c r="B11" s="10" t="inlineStr">
        <is>
          <t>6. Daily operation</t>
        </is>
      </c>
      <c r="C11" s="11" t="inlineStr">
        <is>
          <t>Log exam scores, spelling, attendance exceptions, makeup, skills, writing, incidents, counseling, PT and medical as they happen.</t>
        </is>
      </c>
    </row>
    <row r="12" ht="30" customHeight="1">
      <c r="B12" s="10" t="inlineStr">
        <is>
          <t>7. Watch the Dashboard / WatchList</t>
        </is>
      </c>
      <c r="C12" s="11" t="inlineStr">
        <is>
          <t>Flags, retest deadlines and blocking issues surface automatically.</t>
        </is>
      </c>
    </row>
    <row r="13" ht="30" customHeight="1">
      <c r="B13" s="10" t="inlineStr">
        <is>
          <t>8. Print Center</t>
        </is>
      </c>
      <c r="C13" s="11" t="inlineStr">
        <is>
          <t>Sign-in sheets, evals, spelling tests, writing handouts, transcripts and rosters — one place.</t>
        </is>
      </c>
    </row>
    <row r="14" ht="30" customHeight="1">
      <c r="B14" s="10" t="inlineStr">
        <is>
          <t>9. Agency emails</t>
        </is>
      </c>
      <c r="C14" s="11" t="inlineStr">
        <is>
          <t>EmailPreview + buttons draft per-agency Outlook emails for review. Never auto-sent.</t>
        </is>
      </c>
    </row>
    <row r="15" ht="30" customHeight="1">
      <c r="B15" s="10" t="inlineStr">
        <is>
          <t>10. New academy</t>
        </is>
      </c>
      <c r="C15" s="11"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1E7145"/>
    <outlinePr summaryBelow="1" summaryRight="1"/>
    <pageSetUpPr/>
  </sheetPr>
  <dimension ref="A1:F19"/>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row r="2"/>
    <row r="3"/>
    <row r="4"/>
    <row r="5">
      <c r="B5" s="1" t="inlineStr">
        <is>
          <t>Print Center</t>
        </is>
      </c>
    </row>
    <row r="6"/>
    <row r="7" ht="26" customHeight="1">
      <c r="B7" s="9" t="inlineStr">
        <is>
          <t>What</t>
        </is>
      </c>
      <c r="C7" s="9" t="inlineStr">
        <is>
          <t>How</t>
        </is>
      </c>
      <c r="D7" s="9" t="inlineStr">
        <is>
          <t>Sheet</t>
        </is>
      </c>
      <c r="E7" s="9" t="inlineStr">
        <is>
          <t>Macro (button)</t>
        </is>
      </c>
    </row>
    <row r="8" ht="20" customHeight="1">
      <c r="B8" s="10" t="inlineStr">
        <is>
          <t>Daily sign-in sheet</t>
        </is>
      </c>
      <c r="C8" s="12" t="inlineStr">
        <is>
          <t>Set the date on SignIn (or here)</t>
        </is>
      </c>
      <c r="D8" s="12" t="inlineStr">
        <is>
          <t>SignIn</t>
        </is>
      </c>
      <c r="E8" s="2" t="inlineStr">
        <is>
          <t>btnPrintSignIn</t>
        </is>
      </c>
    </row>
    <row r="9" ht="20" customHeight="1">
      <c r="B9" s="10" t="inlineStr">
        <is>
          <t>Course critique stack</t>
        </is>
      </c>
      <c r="C9" s="12" t="inlineStr">
        <is>
          <t>Set chapter on EvalSheet; prints one per active cadet</t>
        </is>
      </c>
      <c r="D9" s="12" t="inlineStr">
        <is>
          <t>EvalSheet</t>
        </is>
      </c>
      <c r="E9" s="2" t="inlineStr">
        <is>
          <t>btnPrintEvals</t>
        </is>
      </c>
    </row>
    <row r="10" ht="20" customHeight="1">
      <c r="B10" s="10" t="inlineStr">
        <is>
          <t>Spelling test / key</t>
        </is>
      </c>
      <c r="C10" s="12" t="inlineStr">
        <is>
          <t>Set test # and mode on SpellingPrint</t>
        </is>
      </c>
      <c r="D10" s="12" t="inlineStr">
        <is>
          <t>SpellingPrint</t>
        </is>
      </c>
      <c r="E10" s="2" t="inlineStr">
        <is>
          <t>btnPrintSpelling</t>
        </is>
      </c>
    </row>
    <row r="11" ht="20" customHeight="1">
      <c r="B11" s="10" t="inlineStr">
        <is>
          <t>Writing handout (week)</t>
        </is>
      </c>
      <c r="C11" s="12" t="inlineStr">
        <is>
          <t>Set week # on WritingHandout</t>
        </is>
      </c>
      <c r="D11" s="12" t="inlineStr">
        <is>
          <t>WritingHandout</t>
        </is>
      </c>
      <c r="E11" s="2" t="inlineStr">
        <is>
          <t>btnPrintWriting</t>
        </is>
      </c>
    </row>
    <row r="12" ht="20" customHeight="1">
      <c r="B12" s="10" t="inlineStr">
        <is>
          <t>Cadet profile</t>
        </is>
      </c>
      <c r="C12" s="12" t="inlineStr">
        <is>
          <t>Set cadet on CadetProfile</t>
        </is>
      </c>
      <c r="D12" s="12" t="inlineStr">
        <is>
          <t>CadetProfile</t>
        </is>
      </c>
      <c r="E12" s="2" t="inlineStr">
        <is>
          <t>btnPrintProfile</t>
        </is>
      </c>
    </row>
    <row r="13" ht="20" customHeight="1">
      <c r="B13" s="10" t="inlineStr">
        <is>
          <t>Transcript</t>
        </is>
      </c>
      <c r="C13" s="12" t="inlineStr">
        <is>
          <t>Set cadet on Transcript (button can run all cadets)</t>
        </is>
      </c>
      <c r="D13" s="12" t="inlineStr">
        <is>
          <t>Transcript</t>
        </is>
      </c>
      <c r="E13" s="2" t="inlineStr">
        <is>
          <t>btnPrintTranscript</t>
        </is>
      </c>
    </row>
    <row r="14" ht="20" customHeight="1">
      <c r="B14" s="10" t="inlineStr">
        <is>
          <t>Class ranking</t>
        </is>
      </c>
      <c r="C14" s="12" t="inlineStr">
        <is>
          <t>Prints as-is</t>
        </is>
      </c>
      <c r="D14" s="12" t="inlineStr">
        <is>
          <t>Ranking</t>
        </is>
      </c>
      <c r="E14" s="2" t="inlineStr">
        <is>
          <t>btnPrintRanking</t>
        </is>
      </c>
    </row>
    <row r="15" ht="20" customHeight="1">
      <c r="B15" s="10" t="inlineStr">
        <is>
          <t>Graduation checklist</t>
        </is>
      </c>
      <c r="C15" s="12" t="inlineStr">
        <is>
          <t>Prints as-is</t>
        </is>
      </c>
      <c r="D15" s="12" t="inlineStr">
        <is>
          <t>GradChecklist</t>
        </is>
      </c>
      <c r="E15" s="2" t="inlineStr">
        <is>
          <t>btnPrintGradCheck</t>
        </is>
      </c>
    </row>
    <row r="16" ht="20" customHeight="1">
      <c r="B16" s="10" t="inlineStr">
        <is>
          <t>Audit packet</t>
        </is>
      </c>
      <c r="C16" s="12" t="inlineStr">
        <is>
          <t>Program checks + enrollment docs</t>
        </is>
      </c>
      <c r="D16" s="12" t="inlineStr">
        <is>
          <t>Audit</t>
        </is>
      </c>
      <c r="E16" s="2" t="inlineStr">
        <is>
          <t>btnPrintAudit</t>
        </is>
      </c>
    </row>
    <row r="17" ht="20" customHeight="1">
      <c r="B17" s="10" t="inlineStr">
        <is>
          <t>Schedule</t>
        </is>
      </c>
      <c r="C17" s="12" t="inlineStr">
        <is>
          <t>Full schedule listing</t>
        </is>
      </c>
      <c r="D17" s="12" t="inlineStr">
        <is>
          <t>Schedule</t>
        </is>
      </c>
      <c r="E17" s="2" t="inlineStr">
        <is>
          <t>btnPrintSchedule</t>
        </is>
      </c>
    </row>
    <row r="18"/>
    <row r="19" ht="30" customHeight="1">
      <c r="B19" s="13" t="inlineStr">
        <is>
          <t>Buttons are added by the VBA install (see docs/Setup). Each button prints its sheet's defined print area to the default printer; Ctrl+P on the sheet does the same thing manually.</t>
        </is>
      </c>
    </row>
  </sheetData>
  <mergeCells count="1">
    <mergeCell ref="B19:F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row r="2"/>
    <row r="3"/>
    <row r="4">
      <c r="B4" s="8" t="inlineStr">
        <is>
          <t>PID never changes once set — every other sheet keys off it. Capacity 50 cadets.</t>
        </is>
      </c>
    </row>
    <row r="5" ht="26" customHeight="1">
      <c r="B5" s="9" t="inlineStr">
        <is>
          <t>PID</t>
        </is>
      </c>
      <c r="C5" s="9" t="inlineStr">
        <is>
          <t>Last Name</t>
        </is>
      </c>
      <c r="D5" s="9" t="inlineStr">
        <is>
          <t>First Name</t>
        </is>
      </c>
      <c r="E5" s="9" t="inlineStr">
        <is>
          <t>MI</t>
        </is>
      </c>
      <c r="F5" s="9" t="inlineStr">
        <is>
          <t>Cadet Name</t>
        </is>
      </c>
      <c r="G5" s="9" t="inlineStr">
        <is>
          <t>AgencyID</t>
        </is>
      </c>
      <c r="H5" s="9" t="inlineStr">
        <is>
          <t>Agency Name</t>
        </is>
      </c>
      <c r="I5" s="9" t="inlineStr">
        <is>
          <t>Status</t>
        </is>
      </c>
      <c r="J5" s="9" t="inlineStr">
        <is>
          <t>Sort</t>
        </is>
      </c>
      <c r="K5" s="9" t="inlineStr">
        <is>
          <t>Enroll Date</t>
        </is>
      </c>
      <c r="L5" s="9" t="inlineStr">
        <is>
          <t>Separation Date</t>
        </is>
      </c>
      <c r="M5" s="9" t="inlineStr">
        <is>
          <t>Separation Reason</t>
        </is>
      </c>
    </row>
    <row r="6">
      <c r="B6" s="14" t="n"/>
      <c r="C6" s="14" t="n"/>
      <c r="D6" s="14" t="n"/>
      <c r="E6" s="14" t="n"/>
      <c r="F6" s="15">
        <f>IF($B6="","",$C6&amp;", "&amp;$D6&amp;IF($E6="",""," "&amp;$E6&amp;"."))</f>
        <v/>
      </c>
      <c r="G6" s="14" t="n"/>
      <c r="H6" s="15">
        <f>IF($G6="","",IFERROR(INDEX(rngAgencyNames,MATCH($G6,rngAgencyIDs,0)),"?"))</f>
        <v/>
      </c>
      <c r="I6" s="14" t="n"/>
      <c r="J6" s="15">
        <f>IF($B6="","",ROW()-5)</f>
        <v/>
      </c>
      <c r="K6" s="16" t="n"/>
      <c r="L6" s="16" t="n"/>
      <c r="M6" s="14" t="n"/>
    </row>
    <row r="7">
      <c r="B7" s="14" t="n"/>
      <c r="C7" s="14" t="n"/>
      <c r="D7" s="14" t="n"/>
      <c r="E7" s="14" t="n"/>
      <c r="F7" s="15">
        <f>IF($B7="","",$C7&amp;", "&amp;$D7&amp;IF($E7="",""," "&amp;$E7&amp;"."))</f>
        <v/>
      </c>
      <c r="G7" s="14" t="n"/>
      <c r="H7" s="15">
        <f>IF($G7="","",IFERROR(INDEX(rngAgencyNames,MATCH($G7,rngAgencyIDs,0)),"?"))</f>
        <v/>
      </c>
      <c r="I7" s="14" t="n"/>
      <c r="J7" s="15">
        <f>IF($B7="","",ROW()-5)</f>
        <v/>
      </c>
      <c r="K7" s="16" t="n"/>
      <c r="L7" s="16" t="n"/>
      <c r="M7" s="14" t="n"/>
    </row>
    <row r="8">
      <c r="B8" s="14" t="n"/>
      <c r="C8" s="14" t="n"/>
      <c r="D8" s="14" t="n"/>
      <c r="E8" s="14" t="n"/>
      <c r="F8" s="15">
        <f>IF($B8="","",$C8&amp;", "&amp;$D8&amp;IF($E8="",""," "&amp;$E8&amp;"."))</f>
        <v/>
      </c>
      <c r="G8" s="14" t="n"/>
      <c r="H8" s="15">
        <f>IF($G8="","",IFERROR(INDEX(rngAgencyNames,MATCH($G8,rngAgencyIDs,0)),"?"))</f>
        <v/>
      </c>
      <c r="I8" s="14" t="n"/>
      <c r="J8" s="15">
        <f>IF($B8="","",ROW()-5)</f>
        <v/>
      </c>
      <c r="K8" s="16" t="n"/>
      <c r="L8" s="16" t="n"/>
      <c r="M8" s="14" t="n"/>
    </row>
    <row r="9">
      <c r="B9" s="14" t="n"/>
      <c r="C9" s="14" t="n"/>
      <c r="D9" s="14" t="n"/>
      <c r="E9" s="14" t="n"/>
      <c r="F9" s="15">
        <f>IF($B9="","",$C9&amp;", "&amp;$D9&amp;IF($E9="",""," "&amp;$E9&amp;"."))</f>
        <v/>
      </c>
      <c r="G9" s="14" t="n"/>
      <c r="H9" s="15">
        <f>IF($G9="","",IFERROR(INDEX(rngAgencyNames,MATCH($G9,rngAgencyIDs,0)),"?"))</f>
        <v/>
      </c>
      <c r="I9" s="14" t="n"/>
      <c r="J9" s="15">
        <f>IF($B9="","",ROW()-5)</f>
        <v/>
      </c>
      <c r="K9" s="16" t="n"/>
      <c r="L9" s="16" t="n"/>
      <c r="M9" s="14" t="n"/>
    </row>
    <row r="10">
      <c r="B10" s="14" t="n"/>
      <c r="C10" s="14" t="n"/>
      <c r="D10" s="14" t="n"/>
      <c r="E10" s="14" t="n"/>
      <c r="F10" s="15">
        <f>IF($B10="","",$C10&amp;", "&amp;$D10&amp;IF($E10="",""," "&amp;$E10&amp;"."))</f>
        <v/>
      </c>
      <c r="G10" s="14" t="n"/>
      <c r="H10" s="15">
        <f>IF($G10="","",IFERROR(INDEX(rngAgencyNames,MATCH($G10,rngAgencyIDs,0)),"?"))</f>
        <v/>
      </c>
      <c r="I10" s="14" t="n"/>
      <c r="J10" s="15">
        <f>IF($B10="","",ROW()-5)</f>
        <v/>
      </c>
      <c r="K10" s="16" t="n"/>
      <c r="L10" s="16" t="n"/>
      <c r="M10" s="14" t="n"/>
    </row>
    <row r="11">
      <c r="B11" s="14" t="n"/>
      <c r="C11" s="14" t="n"/>
      <c r="D11" s="14" t="n"/>
      <c r="E11" s="14" t="n"/>
      <c r="F11" s="15">
        <f>IF($B11="","",$C11&amp;", "&amp;$D11&amp;IF($E11="",""," "&amp;$E11&amp;"."))</f>
        <v/>
      </c>
      <c r="G11" s="14" t="n"/>
      <c r="H11" s="15">
        <f>IF($G11="","",IFERROR(INDEX(rngAgencyNames,MATCH($G11,rngAgencyIDs,0)),"?"))</f>
        <v/>
      </c>
      <c r="I11" s="14" t="n"/>
      <c r="J11" s="15">
        <f>IF($B11="","",ROW()-5)</f>
        <v/>
      </c>
      <c r="K11" s="16" t="n"/>
      <c r="L11" s="16" t="n"/>
      <c r="M11" s="14" t="n"/>
    </row>
    <row r="12">
      <c r="B12" s="14" t="n"/>
      <c r="C12" s="14" t="n"/>
      <c r="D12" s="14" t="n"/>
      <c r="E12" s="14" t="n"/>
      <c r="F12" s="15">
        <f>IF($B12="","",$C12&amp;", "&amp;$D12&amp;IF($E12="",""," "&amp;$E12&amp;"."))</f>
        <v/>
      </c>
      <c r="G12" s="14" t="n"/>
      <c r="H12" s="15">
        <f>IF($G12="","",IFERROR(INDEX(rngAgencyNames,MATCH($G12,rngAgencyIDs,0)),"?"))</f>
        <v/>
      </c>
      <c r="I12" s="14" t="n"/>
      <c r="J12" s="15">
        <f>IF($B12="","",ROW()-5)</f>
        <v/>
      </c>
      <c r="K12" s="16" t="n"/>
      <c r="L12" s="16" t="n"/>
      <c r="M12" s="14" t="n"/>
    </row>
    <row r="13">
      <c r="B13" s="14" t="n"/>
      <c r="C13" s="14" t="n"/>
      <c r="D13" s="14" t="n"/>
      <c r="E13" s="14" t="n"/>
      <c r="F13" s="15">
        <f>IF($B13="","",$C13&amp;", "&amp;$D13&amp;IF($E13="",""," "&amp;$E13&amp;"."))</f>
        <v/>
      </c>
      <c r="G13" s="14" t="n"/>
      <c r="H13" s="15">
        <f>IF($G13="","",IFERROR(INDEX(rngAgencyNames,MATCH($G13,rngAgencyIDs,0)),"?"))</f>
        <v/>
      </c>
      <c r="I13" s="14" t="n"/>
      <c r="J13" s="15">
        <f>IF($B13="","",ROW()-5)</f>
        <v/>
      </c>
      <c r="K13" s="16" t="n"/>
      <c r="L13" s="16" t="n"/>
      <c r="M13" s="14" t="n"/>
    </row>
    <row r="14">
      <c r="B14" s="14" t="n"/>
      <c r="C14" s="14" t="n"/>
      <c r="D14" s="14" t="n"/>
      <c r="E14" s="14" t="n"/>
      <c r="F14" s="15">
        <f>IF($B14="","",$C14&amp;", "&amp;$D14&amp;IF($E14="",""," "&amp;$E14&amp;"."))</f>
        <v/>
      </c>
      <c r="G14" s="14" t="n"/>
      <c r="H14" s="15">
        <f>IF($G14="","",IFERROR(INDEX(rngAgencyNames,MATCH($G14,rngAgencyIDs,0)),"?"))</f>
        <v/>
      </c>
      <c r="I14" s="14" t="n"/>
      <c r="J14" s="15">
        <f>IF($B14="","",ROW()-5)</f>
        <v/>
      </c>
      <c r="K14" s="16" t="n"/>
      <c r="L14" s="16" t="n"/>
      <c r="M14" s="14" t="n"/>
    </row>
    <row r="15">
      <c r="B15" s="14" t="n"/>
      <c r="C15" s="14" t="n"/>
      <c r="D15" s="14" t="n"/>
      <c r="E15" s="14" t="n"/>
      <c r="F15" s="15">
        <f>IF($B15="","",$C15&amp;", "&amp;$D15&amp;IF($E15="",""," "&amp;$E15&amp;"."))</f>
        <v/>
      </c>
      <c r="G15" s="14" t="n"/>
      <c r="H15" s="15">
        <f>IF($G15="","",IFERROR(INDEX(rngAgencyNames,MATCH($G15,rngAgencyIDs,0)),"?"))</f>
        <v/>
      </c>
      <c r="I15" s="14" t="n"/>
      <c r="J15" s="15">
        <f>IF($B15="","",ROW()-5)</f>
        <v/>
      </c>
      <c r="K15" s="16" t="n"/>
      <c r="L15" s="16" t="n"/>
      <c r="M15" s="14" t="n"/>
    </row>
    <row r="16">
      <c r="B16" s="14" t="n"/>
      <c r="C16" s="14" t="n"/>
      <c r="D16" s="14" t="n"/>
      <c r="E16" s="14" t="n"/>
      <c r="F16" s="15">
        <f>IF($B16="","",$C16&amp;", "&amp;$D16&amp;IF($E16="",""," "&amp;$E16&amp;"."))</f>
        <v/>
      </c>
      <c r="G16" s="14" t="n"/>
      <c r="H16" s="15">
        <f>IF($G16="","",IFERROR(INDEX(rngAgencyNames,MATCH($G16,rngAgencyIDs,0)),"?"))</f>
        <v/>
      </c>
      <c r="I16" s="14" t="n"/>
      <c r="J16" s="15">
        <f>IF($B16="","",ROW()-5)</f>
        <v/>
      </c>
      <c r="K16" s="16" t="n"/>
      <c r="L16" s="16" t="n"/>
      <c r="M16" s="14" t="n"/>
    </row>
    <row r="17">
      <c r="B17" s="14" t="n"/>
      <c r="C17" s="14" t="n"/>
      <c r="D17" s="14" t="n"/>
      <c r="E17" s="14" t="n"/>
      <c r="F17" s="15">
        <f>IF($B17="","",$C17&amp;", "&amp;$D17&amp;IF($E17="",""," "&amp;$E17&amp;"."))</f>
        <v/>
      </c>
      <c r="G17" s="14" t="n"/>
      <c r="H17" s="15">
        <f>IF($G17="","",IFERROR(INDEX(rngAgencyNames,MATCH($G17,rngAgencyIDs,0)),"?"))</f>
        <v/>
      </c>
      <c r="I17" s="14" t="n"/>
      <c r="J17" s="15">
        <f>IF($B17="","",ROW()-5)</f>
        <v/>
      </c>
      <c r="K17" s="16" t="n"/>
      <c r="L17" s="16" t="n"/>
      <c r="M17" s="14" t="n"/>
    </row>
    <row r="18">
      <c r="B18" s="14" t="n"/>
      <c r="C18" s="14" t="n"/>
      <c r="D18" s="14" t="n"/>
      <c r="E18" s="14" t="n"/>
      <c r="F18" s="15">
        <f>IF($B18="","",$C18&amp;", "&amp;$D18&amp;IF($E18="",""," "&amp;$E18&amp;"."))</f>
        <v/>
      </c>
      <c r="G18" s="14" t="n"/>
      <c r="H18" s="15">
        <f>IF($G18="","",IFERROR(INDEX(rngAgencyNames,MATCH($G18,rngAgencyIDs,0)),"?"))</f>
        <v/>
      </c>
      <c r="I18" s="14" t="n"/>
      <c r="J18" s="15">
        <f>IF($B18="","",ROW()-5)</f>
        <v/>
      </c>
      <c r="K18" s="16" t="n"/>
      <c r="L18" s="16" t="n"/>
      <c r="M18" s="14" t="n"/>
    </row>
    <row r="19">
      <c r="B19" s="14" t="n"/>
      <c r="C19" s="14" t="n"/>
      <c r="D19" s="14" t="n"/>
      <c r="E19" s="14" t="n"/>
      <c r="F19" s="15">
        <f>IF($B19="","",$C19&amp;", "&amp;$D19&amp;IF($E19="",""," "&amp;$E19&amp;"."))</f>
        <v/>
      </c>
      <c r="G19" s="14" t="n"/>
      <c r="H19" s="15">
        <f>IF($G19="","",IFERROR(INDEX(rngAgencyNames,MATCH($G19,rngAgencyIDs,0)),"?"))</f>
        <v/>
      </c>
      <c r="I19" s="14" t="n"/>
      <c r="J19" s="15">
        <f>IF($B19="","",ROW()-5)</f>
        <v/>
      </c>
      <c r="K19" s="16" t="n"/>
      <c r="L19" s="16" t="n"/>
      <c r="M19" s="14" t="n"/>
    </row>
    <row r="20">
      <c r="B20" s="14" t="n"/>
      <c r="C20" s="14" t="n"/>
      <c r="D20" s="14" t="n"/>
      <c r="E20" s="14" t="n"/>
      <c r="F20" s="15">
        <f>IF($B20="","",$C20&amp;", "&amp;$D20&amp;IF($E20="",""," "&amp;$E20&amp;"."))</f>
        <v/>
      </c>
      <c r="G20" s="14" t="n"/>
      <c r="H20" s="15">
        <f>IF($G20="","",IFERROR(INDEX(rngAgencyNames,MATCH($G20,rngAgencyIDs,0)),"?"))</f>
        <v/>
      </c>
      <c r="I20" s="14" t="n"/>
      <c r="J20" s="15">
        <f>IF($B20="","",ROW()-5)</f>
        <v/>
      </c>
      <c r="K20" s="16" t="n"/>
      <c r="L20" s="16" t="n"/>
      <c r="M20" s="14" t="n"/>
    </row>
    <row r="21">
      <c r="B21" s="14" t="n"/>
      <c r="C21" s="14" t="n"/>
      <c r="D21" s="14" t="n"/>
      <c r="E21" s="14" t="n"/>
      <c r="F21" s="15">
        <f>IF($B21="","",$C21&amp;", "&amp;$D21&amp;IF($E21="",""," "&amp;$E21&amp;"."))</f>
        <v/>
      </c>
      <c r="G21" s="14" t="n"/>
      <c r="H21" s="15">
        <f>IF($G21="","",IFERROR(INDEX(rngAgencyNames,MATCH($G21,rngAgencyIDs,0)),"?"))</f>
        <v/>
      </c>
      <c r="I21" s="14" t="n"/>
      <c r="J21" s="15">
        <f>IF($B21="","",ROW()-5)</f>
        <v/>
      </c>
      <c r="K21" s="16" t="n"/>
      <c r="L21" s="16" t="n"/>
      <c r="M21" s="14" t="n"/>
    </row>
    <row r="22">
      <c r="B22" s="14" t="n"/>
      <c r="C22" s="14" t="n"/>
      <c r="D22" s="14" t="n"/>
      <c r="E22" s="14" t="n"/>
      <c r="F22" s="15">
        <f>IF($B22="","",$C22&amp;", "&amp;$D22&amp;IF($E22="",""," "&amp;$E22&amp;"."))</f>
        <v/>
      </c>
      <c r="G22" s="14" t="n"/>
      <c r="H22" s="15">
        <f>IF($G22="","",IFERROR(INDEX(rngAgencyNames,MATCH($G22,rngAgencyIDs,0)),"?"))</f>
        <v/>
      </c>
      <c r="I22" s="14" t="n"/>
      <c r="J22" s="15">
        <f>IF($B22="","",ROW()-5)</f>
        <v/>
      </c>
      <c r="K22" s="16" t="n"/>
      <c r="L22" s="16" t="n"/>
      <c r="M22" s="14" t="n"/>
    </row>
    <row r="23">
      <c r="B23" s="14" t="n"/>
      <c r="C23" s="14" t="n"/>
      <c r="D23" s="14" t="n"/>
      <c r="E23" s="14" t="n"/>
      <c r="F23" s="15">
        <f>IF($B23="","",$C23&amp;", "&amp;$D23&amp;IF($E23="",""," "&amp;$E23&amp;"."))</f>
        <v/>
      </c>
      <c r="G23" s="14" t="n"/>
      <c r="H23" s="15">
        <f>IF($G23="","",IFERROR(INDEX(rngAgencyNames,MATCH($G23,rngAgencyIDs,0)),"?"))</f>
        <v/>
      </c>
      <c r="I23" s="14" t="n"/>
      <c r="J23" s="15">
        <f>IF($B23="","",ROW()-5)</f>
        <v/>
      </c>
      <c r="K23" s="16" t="n"/>
      <c r="L23" s="16" t="n"/>
      <c r="M23" s="14" t="n"/>
    </row>
    <row r="24">
      <c r="B24" s="14" t="n"/>
      <c r="C24" s="14" t="n"/>
      <c r="D24" s="14" t="n"/>
      <c r="E24" s="14" t="n"/>
      <c r="F24" s="15">
        <f>IF($B24="","",$C24&amp;", "&amp;$D24&amp;IF($E24="",""," "&amp;$E24&amp;"."))</f>
        <v/>
      </c>
      <c r="G24" s="14" t="n"/>
      <c r="H24" s="15">
        <f>IF($G24="","",IFERROR(INDEX(rngAgencyNames,MATCH($G24,rngAgencyIDs,0)),"?"))</f>
        <v/>
      </c>
      <c r="I24" s="14" t="n"/>
      <c r="J24" s="15">
        <f>IF($B24="","",ROW()-5)</f>
        <v/>
      </c>
      <c r="K24" s="16" t="n"/>
      <c r="L24" s="16" t="n"/>
      <c r="M24" s="14" t="n"/>
    </row>
    <row r="25">
      <c r="B25" s="14" t="n"/>
      <c r="C25" s="14" t="n"/>
      <c r="D25" s="14" t="n"/>
      <c r="E25" s="14" t="n"/>
      <c r="F25" s="15">
        <f>IF($B25="","",$C25&amp;", "&amp;$D25&amp;IF($E25="",""," "&amp;$E25&amp;"."))</f>
        <v/>
      </c>
      <c r="G25" s="14" t="n"/>
      <c r="H25" s="15">
        <f>IF($G25="","",IFERROR(INDEX(rngAgencyNames,MATCH($G25,rngAgencyIDs,0)),"?"))</f>
        <v/>
      </c>
      <c r="I25" s="14" t="n"/>
      <c r="J25" s="15">
        <f>IF($B25="","",ROW()-5)</f>
        <v/>
      </c>
      <c r="K25" s="16" t="n"/>
      <c r="L25" s="16" t="n"/>
      <c r="M25" s="14" t="n"/>
    </row>
    <row r="26">
      <c r="B26" s="14" t="n"/>
      <c r="C26" s="14" t="n"/>
      <c r="D26" s="14" t="n"/>
      <c r="E26" s="14" t="n"/>
      <c r="F26" s="15">
        <f>IF($B26="","",$C26&amp;", "&amp;$D26&amp;IF($E26="",""," "&amp;$E26&amp;"."))</f>
        <v/>
      </c>
      <c r="G26" s="14" t="n"/>
      <c r="H26" s="15">
        <f>IF($G26="","",IFERROR(INDEX(rngAgencyNames,MATCH($G26,rngAgencyIDs,0)),"?"))</f>
        <v/>
      </c>
      <c r="I26" s="14" t="n"/>
      <c r="J26" s="15">
        <f>IF($B26="","",ROW()-5)</f>
        <v/>
      </c>
      <c r="K26" s="16" t="n"/>
      <c r="L26" s="16" t="n"/>
      <c r="M26" s="14" t="n"/>
    </row>
    <row r="27">
      <c r="B27" s="14" t="n"/>
      <c r="C27" s="14" t="n"/>
      <c r="D27" s="14" t="n"/>
      <c r="E27" s="14" t="n"/>
      <c r="F27" s="15">
        <f>IF($B27="","",$C27&amp;", "&amp;$D27&amp;IF($E27="",""," "&amp;$E27&amp;"."))</f>
        <v/>
      </c>
      <c r="G27" s="14" t="n"/>
      <c r="H27" s="15">
        <f>IF($G27="","",IFERROR(INDEX(rngAgencyNames,MATCH($G27,rngAgencyIDs,0)),"?"))</f>
        <v/>
      </c>
      <c r="I27" s="14" t="n"/>
      <c r="J27" s="15">
        <f>IF($B27="","",ROW()-5)</f>
        <v/>
      </c>
      <c r="K27" s="16" t="n"/>
      <c r="L27" s="16" t="n"/>
      <c r="M27" s="14" t="n"/>
    </row>
    <row r="28">
      <c r="B28" s="14" t="n"/>
      <c r="C28" s="14" t="n"/>
      <c r="D28" s="14" t="n"/>
      <c r="E28" s="14" t="n"/>
      <c r="F28" s="15">
        <f>IF($B28="","",$C28&amp;", "&amp;$D28&amp;IF($E28="",""," "&amp;$E28&amp;"."))</f>
        <v/>
      </c>
      <c r="G28" s="14" t="n"/>
      <c r="H28" s="15">
        <f>IF($G28="","",IFERROR(INDEX(rngAgencyNames,MATCH($G28,rngAgencyIDs,0)),"?"))</f>
        <v/>
      </c>
      <c r="I28" s="14" t="n"/>
      <c r="J28" s="15">
        <f>IF($B28="","",ROW()-5)</f>
        <v/>
      </c>
      <c r="K28" s="16" t="n"/>
      <c r="L28" s="16" t="n"/>
      <c r="M28" s="14" t="n"/>
    </row>
    <row r="29">
      <c r="B29" s="14" t="n"/>
      <c r="C29" s="14" t="n"/>
      <c r="D29" s="14" t="n"/>
      <c r="E29" s="14" t="n"/>
      <c r="F29" s="15">
        <f>IF($B29="","",$C29&amp;", "&amp;$D29&amp;IF($E29="",""," "&amp;$E29&amp;"."))</f>
        <v/>
      </c>
      <c r="G29" s="14" t="n"/>
      <c r="H29" s="15">
        <f>IF($G29="","",IFERROR(INDEX(rngAgencyNames,MATCH($G29,rngAgencyIDs,0)),"?"))</f>
        <v/>
      </c>
      <c r="I29" s="14" t="n"/>
      <c r="J29" s="15">
        <f>IF($B29="","",ROW()-5)</f>
        <v/>
      </c>
      <c r="K29" s="16" t="n"/>
      <c r="L29" s="16" t="n"/>
      <c r="M29" s="14" t="n"/>
    </row>
    <row r="30">
      <c r="B30" s="14" t="n"/>
      <c r="C30" s="14" t="n"/>
      <c r="D30" s="14" t="n"/>
      <c r="E30" s="14" t="n"/>
      <c r="F30" s="15">
        <f>IF($B30="","",$C30&amp;", "&amp;$D30&amp;IF($E30="",""," "&amp;$E30&amp;"."))</f>
        <v/>
      </c>
      <c r="G30" s="14" t="n"/>
      <c r="H30" s="15">
        <f>IF($G30="","",IFERROR(INDEX(rngAgencyNames,MATCH($G30,rngAgencyIDs,0)),"?"))</f>
        <v/>
      </c>
      <c r="I30" s="14" t="n"/>
      <c r="J30" s="15">
        <f>IF($B30="","",ROW()-5)</f>
        <v/>
      </c>
      <c r="K30" s="16" t="n"/>
      <c r="L30" s="16" t="n"/>
      <c r="M30" s="14" t="n"/>
    </row>
    <row r="31">
      <c r="B31" s="14" t="n"/>
      <c r="C31" s="14" t="n"/>
      <c r="D31" s="14" t="n"/>
      <c r="E31" s="14" t="n"/>
      <c r="F31" s="15">
        <f>IF($B31="","",$C31&amp;", "&amp;$D31&amp;IF($E31="",""," "&amp;$E31&amp;"."))</f>
        <v/>
      </c>
      <c r="G31" s="14" t="n"/>
      <c r="H31" s="15">
        <f>IF($G31="","",IFERROR(INDEX(rngAgencyNames,MATCH($G31,rngAgencyIDs,0)),"?"))</f>
        <v/>
      </c>
      <c r="I31" s="14" t="n"/>
      <c r="J31" s="15">
        <f>IF($B31="","",ROW()-5)</f>
        <v/>
      </c>
      <c r="K31" s="16" t="n"/>
      <c r="L31" s="16" t="n"/>
      <c r="M31" s="14" t="n"/>
    </row>
    <row r="32">
      <c r="B32" s="14" t="n"/>
      <c r="C32" s="14" t="n"/>
      <c r="D32" s="14" t="n"/>
      <c r="E32" s="14" t="n"/>
      <c r="F32" s="15">
        <f>IF($B32="","",$C32&amp;", "&amp;$D32&amp;IF($E32="",""," "&amp;$E32&amp;"."))</f>
        <v/>
      </c>
      <c r="G32" s="14" t="n"/>
      <c r="H32" s="15">
        <f>IF($G32="","",IFERROR(INDEX(rngAgencyNames,MATCH($G32,rngAgencyIDs,0)),"?"))</f>
        <v/>
      </c>
      <c r="I32" s="14" t="n"/>
      <c r="J32" s="15">
        <f>IF($B32="","",ROW()-5)</f>
        <v/>
      </c>
      <c r="K32" s="16" t="n"/>
      <c r="L32" s="16" t="n"/>
      <c r="M32" s="14" t="n"/>
    </row>
    <row r="33">
      <c r="B33" s="14" t="n"/>
      <c r="C33" s="14" t="n"/>
      <c r="D33" s="14" t="n"/>
      <c r="E33" s="14" t="n"/>
      <c r="F33" s="15">
        <f>IF($B33="","",$C33&amp;", "&amp;$D33&amp;IF($E33="",""," "&amp;$E33&amp;"."))</f>
        <v/>
      </c>
      <c r="G33" s="14" t="n"/>
      <c r="H33" s="15">
        <f>IF($G33="","",IFERROR(INDEX(rngAgencyNames,MATCH($G33,rngAgencyIDs,0)),"?"))</f>
        <v/>
      </c>
      <c r="I33" s="14" t="n"/>
      <c r="J33" s="15">
        <f>IF($B33="","",ROW()-5)</f>
        <v/>
      </c>
      <c r="K33" s="16" t="n"/>
      <c r="L33" s="16" t="n"/>
      <c r="M33" s="14" t="n"/>
    </row>
    <row r="34">
      <c r="B34" s="14" t="n"/>
      <c r="C34" s="14" t="n"/>
      <c r="D34" s="14" t="n"/>
      <c r="E34" s="14" t="n"/>
      <c r="F34" s="15">
        <f>IF($B34="","",$C34&amp;", "&amp;$D34&amp;IF($E34="",""," "&amp;$E34&amp;"."))</f>
        <v/>
      </c>
      <c r="G34" s="14" t="n"/>
      <c r="H34" s="15">
        <f>IF($G34="","",IFERROR(INDEX(rngAgencyNames,MATCH($G34,rngAgencyIDs,0)),"?"))</f>
        <v/>
      </c>
      <c r="I34" s="14" t="n"/>
      <c r="J34" s="15">
        <f>IF($B34="","",ROW()-5)</f>
        <v/>
      </c>
      <c r="K34" s="16" t="n"/>
      <c r="L34" s="16" t="n"/>
      <c r="M34" s="14" t="n"/>
    </row>
    <row r="35">
      <c r="B35" s="14" t="n"/>
      <c r="C35" s="14" t="n"/>
      <c r="D35" s="14" t="n"/>
      <c r="E35" s="14" t="n"/>
      <c r="F35" s="15">
        <f>IF($B35="","",$C35&amp;", "&amp;$D35&amp;IF($E35="",""," "&amp;$E35&amp;"."))</f>
        <v/>
      </c>
      <c r="G35" s="14" t="n"/>
      <c r="H35" s="15">
        <f>IF($G35="","",IFERROR(INDEX(rngAgencyNames,MATCH($G35,rngAgencyIDs,0)),"?"))</f>
        <v/>
      </c>
      <c r="I35" s="14" t="n"/>
      <c r="J35" s="15">
        <f>IF($B35="","",ROW()-5)</f>
        <v/>
      </c>
      <c r="K35" s="16" t="n"/>
      <c r="L35" s="16" t="n"/>
      <c r="M35" s="14" t="n"/>
    </row>
    <row r="36">
      <c r="B36" s="14" t="n"/>
      <c r="C36" s="14" t="n"/>
      <c r="D36" s="14" t="n"/>
      <c r="E36" s="14" t="n"/>
      <c r="F36" s="15">
        <f>IF($B36="","",$C36&amp;", "&amp;$D36&amp;IF($E36="",""," "&amp;$E36&amp;"."))</f>
        <v/>
      </c>
      <c r="G36" s="14" t="n"/>
      <c r="H36" s="15">
        <f>IF($G36="","",IFERROR(INDEX(rngAgencyNames,MATCH($G36,rngAgencyIDs,0)),"?"))</f>
        <v/>
      </c>
      <c r="I36" s="14" t="n"/>
      <c r="J36" s="15">
        <f>IF($B36="","",ROW()-5)</f>
        <v/>
      </c>
      <c r="K36" s="16" t="n"/>
      <c r="L36" s="16" t="n"/>
      <c r="M36" s="14" t="n"/>
    </row>
    <row r="37">
      <c r="B37" s="14" t="n"/>
      <c r="C37" s="14" t="n"/>
      <c r="D37" s="14" t="n"/>
      <c r="E37" s="14" t="n"/>
      <c r="F37" s="15">
        <f>IF($B37="","",$C37&amp;", "&amp;$D37&amp;IF($E37="",""," "&amp;$E37&amp;"."))</f>
        <v/>
      </c>
      <c r="G37" s="14" t="n"/>
      <c r="H37" s="15">
        <f>IF($G37="","",IFERROR(INDEX(rngAgencyNames,MATCH($G37,rngAgencyIDs,0)),"?"))</f>
        <v/>
      </c>
      <c r="I37" s="14" t="n"/>
      <c r="J37" s="15">
        <f>IF($B37="","",ROW()-5)</f>
        <v/>
      </c>
      <c r="K37" s="16" t="n"/>
      <c r="L37" s="16" t="n"/>
      <c r="M37" s="14" t="n"/>
    </row>
    <row r="38">
      <c r="B38" s="14" t="n"/>
      <c r="C38" s="14" t="n"/>
      <c r="D38" s="14" t="n"/>
      <c r="E38" s="14" t="n"/>
      <c r="F38" s="15">
        <f>IF($B38="","",$C38&amp;", "&amp;$D38&amp;IF($E38="",""," "&amp;$E38&amp;"."))</f>
        <v/>
      </c>
      <c r="G38" s="14" t="n"/>
      <c r="H38" s="15">
        <f>IF($G38="","",IFERROR(INDEX(rngAgencyNames,MATCH($G38,rngAgencyIDs,0)),"?"))</f>
        <v/>
      </c>
      <c r="I38" s="14" t="n"/>
      <c r="J38" s="15">
        <f>IF($B38="","",ROW()-5)</f>
        <v/>
      </c>
      <c r="K38" s="16" t="n"/>
      <c r="L38" s="16" t="n"/>
      <c r="M38" s="14" t="n"/>
    </row>
    <row r="39">
      <c r="B39" s="14" t="n"/>
      <c r="C39" s="14" t="n"/>
      <c r="D39" s="14" t="n"/>
      <c r="E39" s="14" t="n"/>
      <c r="F39" s="15">
        <f>IF($B39="","",$C39&amp;", "&amp;$D39&amp;IF($E39="",""," "&amp;$E39&amp;"."))</f>
        <v/>
      </c>
      <c r="G39" s="14" t="n"/>
      <c r="H39" s="15">
        <f>IF($G39="","",IFERROR(INDEX(rngAgencyNames,MATCH($G39,rngAgencyIDs,0)),"?"))</f>
        <v/>
      </c>
      <c r="I39" s="14" t="n"/>
      <c r="J39" s="15">
        <f>IF($B39="","",ROW()-5)</f>
        <v/>
      </c>
      <c r="K39" s="16" t="n"/>
      <c r="L39" s="16" t="n"/>
      <c r="M39" s="14" t="n"/>
    </row>
    <row r="40">
      <c r="B40" s="14" t="n"/>
      <c r="C40" s="14" t="n"/>
      <c r="D40" s="14" t="n"/>
      <c r="E40" s="14" t="n"/>
      <c r="F40" s="15">
        <f>IF($B40="","",$C40&amp;", "&amp;$D40&amp;IF($E40="",""," "&amp;$E40&amp;"."))</f>
        <v/>
      </c>
      <c r="G40" s="14" t="n"/>
      <c r="H40" s="15">
        <f>IF($G40="","",IFERROR(INDEX(rngAgencyNames,MATCH($G40,rngAgencyIDs,0)),"?"))</f>
        <v/>
      </c>
      <c r="I40" s="14" t="n"/>
      <c r="J40" s="15">
        <f>IF($B40="","",ROW()-5)</f>
        <v/>
      </c>
      <c r="K40" s="16" t="n"/>
      <c r="L40" s="16" t="n"/>
      <c r="M40" s="14" t="n"/>
    </row>
    <row r="41">
      <c r="B41" s="14" t="n"/>
      <c r="C41" s="14" t="n"/>
      <c r="D41" s="14" t="n"/>
      <c r="E41" s="14" t="n"/>
      <c r="F41" s="15">
        <f>IF($B41="","",$C41&amp;", "&amp;$D41&amp;IF($E41="",""," "&amp;$E41&amp;"."))</f>
        <v/>
      </c>
      <c r="G41" s="14" t="n"/>
      <c r="H41" s="15">
        <f>IF($G41="","",IFERROR(INDEX(rngAgencyNames,MATCH($G41,rngAgencyIDs,0)),"?"))</f>
        <v/>
      </c>
      <c r="I41" s="14" t="n"/>
      <c r="J41" s="15">
        <f>IF($B41="","",ROW()-5)</f>
        <v/>
      </c>
      <c r="K41" s="16" t="n"/>
      <c r="L41" s="16" t="n"/>
      <c r="M41" s="14" t="n"/>
    </row>
    <row r="42">
      <c r="B42" s="14" t="n"/>
      <c r="C42" s="14" t="n"/>
      <c r="D42" s="14" t="n"/>
      <c r="E42" s="14" t="n"/>
      <c r="F42" s="15">
        <f>IF($B42="","",$C42&amp;", "&amp;$D42&amp;IF($E42="",""," "&amp;$E42&amp;"."))</f>
        <v/>
      </c>
      <c r="G42" s="14" t="n"/>
      <c r="H42" s="15">
        <f>IF($G42="","",IFERROR(INDEX(rngAgencyNames,MATCH($G42,rngAgencyIDs,0)),"?"))</f>
        <v/>
      </c>
      <c r="I42" s="14" t="n"/>
      <c r="J42" s="15">
        <f>IF($B42="","",ROW()-5)</f>
        <v/>
      </c>
      <c r="K42" s="16" t="n"/>
      <c r="L42" s="16" t="n"/>
      <c r="M42" s="14" t="n"/>
    </row>
    <row r="43">
      <c r="B43" s="14" t="n"/>
      <c r="C43" s="14" t="n"/>
      <c r="D43" s="14" t="n"/>
      <c r="E43" s="14" t="n"/>
      <c r="F43" s="15">
        <f>IF($B43="","",$C43&amp;", "&amp;$D43&amp;IF($E43="",""," "&amp;$E43&amp;"."))</f>
        <v/>
      </c>
      <c r="G43" s="14" t="n"/>
      <c r="H43" s="15">
        <f>IF($G43="","",IFERROR(INDEX(rngAgencyNames,MATCH($G43,rngAgencyIDs,0)),"?"))</f>
        <v/>
      </c>
      <c r="I43" s="14" t="n"/>
      <c r="J43" s="15">
        <f>IF($B43="","",ROW()-5)</f>
        <v/>
      </c>
      <c r="K43" s="16" t="n"/>
      <c r="L43" s="16" t="n"/>
      <c r="M43" s="14" t="n"/>
    </row>
    <row r="44">
      <c r="B44" s="14" t="n"/>
      <c r="C44" s="14" t="n"/>
      <c r="D44" s="14" t="n"/>
      <c r="E44" s="14" t="n"/>
      <c r="F44" s="15">
        <f>IF($B44="","",$C44&amp;", "&amp;$D44&amp;IF($E44="",""," "&amp;$E44&amp;"."))</f>
        <v/>
      </c>
      <c r="G44" s="14" t="n"/>
      <c r="H44" s="15">
        <f>IF($G44="","",IFERROR(INDEX(rngAgencyNames,MATCH($G44,rngAgencyIDs,0)),"?"))</f>
        <v/>
      </c>
      <c r="I44" s="14" t="n"/>
      <c r="J44" s="15">
        <f>IF($B44="","",ROW()-5)</f>
        <v/>
      </c>
      <c r="K44" s="16" t="n"/>
      <c r="L44" s="16" t="n"/>
      <c r="M44" s="14" t="n"/>
    </row>
    <row r="45">
      <c r="B45" s="14" t="n"/>
      <c r="C45" s="14" t="n"/>
      <c r="D45" s="14" t="n"/>
      <c r="E45" s="14" t="n"/>
      <c r="F45" s="15">
        <f>IF($B45="","",$C45&amp;", "&amp;$D45&amp;IF($E45="",""," "&amp;$E45&amp;"."))</f>
        <v/>
      </c>
      <c r="G45" s="14" t="n"/>
      <c r="H45" s="15">
        <f>IF($G45="","",IFERROR(INDEX(rngAgencyNames,MATCH($G45,rngAgencyIDs,0)),"?"))</f>
        <v/>
      </c>
      <c r="I45" s="14" t="n"/>
      <c r="J45" s="15">
        <f>IF($B45="","",ROW()-5)</f>
        <v/>
      </c>
      <c r="K45" s="16" t="n"/>
      <c r="L45" s="16" t="n"/>
      <c r="M45" s="14" t="n"/>
    </row>
    <row r="46">
      <c r="B46" s="14" t="n"/>
      <c r="C46" s="14" t="n"/>
      <c r="D46" s="14" t="n"/>
      <c r="E46" s="14" t="n"/>
      <c r="F46" s="15">
        <f>IF($B46="","",$C46&amp;", "&amp;$D46&amp;IF($E46="",""," "&amp;$E46&amp;"."))</f>
        <v/>
      </c>
      <c r="G46" s="14" t="n"/>
      <c r="H46" s="15">
        <f>IF($G46="","",IFERROR(INDEX(rngAgencyNames,MATCH($G46,rngAgencyIDs,0)),"?"))</f>
        <v/>
      </c>
      <c r="I46" s="14" t="n"/>
      <c r="J46" s="15">
        <f>IF($B46="","",ROW()-5)</f>
        <v/>
      </c>
      <c r="K46" s="16" t="n"/>
      <c r="L46" s="16" t="n"/>
      <c r="M46" s="14" t="n"/>
    </row>
    <row r="47">
      <c r="B47" s="14" t="n"/>
      <c r="C47" s="14" t="n"/>
      <c r="D47" s="14" t="n"/>
      <c r="E47" s="14" t="n"/>
      <c r="F47" s="15">
        <f>IF($B47="","",$C47&amp;", "&amp;$D47&amp;IF($E47="",""," "&amp;$E47&amp;"."))</f>
        <v/>
      </c>
      <c r="G47" s="14" t="n"/>
      <c r="H47" s="15">
        <f>IF($G47="","",IFERROR(INDEX(rngAgencyNames,MATCH($G47,rngAgencyIDs,0)),"?"))</f>
        <v/>
      </c>
      <c r="I47" s="14" t="n"/>
      <c r="J47" s="15">
        <f>IF($B47="","",ROW()-5)</f>
        <v/>
      </c>
      <c r="K47" s="16" t="n"/>
      <c r="L47" s="16" t="n"/>
      <c r="M47" s="14" t="n"/>
    </row>
    <row r="48">
      <c r="B48" s="14" t="n"/>
      <c r="C48" s="14" t="n"/>
      <c r="D48" s="14" t="n"/>
      <c r="E48" s="14" t="n"/>
      <c r="F48" s="15">
        <f>IF($B48="","",$C48&amp;", "&amp;$D48&amp;IF($E48="",""," "&amp;$E48&amp;"."))</f>
        <v/>
      </c>
      <c r="G48" s="14" t="n"/>
      <c r="H48" s="15">
        <f>IF($G48="","",IFERROR(INDEX(rngAgencyNames,MATCH($G48,rngAgencyIDs,0)),"?"))</f>
        <v/>
      </c>
      <c r="I48" s="14" t="n"/>
      <c r="J48" s="15">
        <f>IF($B48="","",ROW()-5)</f>
        <v/>
      </c>
      <c r="K48" s="16" t="n"/>
      <c r="L48" s="16" t="n"/>
      <c r="M48" s="14" t="n"/>
    </row>
    <row r="49">
      <c r="B49" s="14" t="n"/>
      <c r="C49" s="14" t="n"/>
      <c r="D49" s="14" t="n"/>
      <c r="E49" s="14" t="n"/>
      <c r="F49" s="15">
        <f>IF($B49="","",$C49&amp;", "&amp;$D49&amp;IF($E49="",""," "&amp;$E49&amp;"."))</f>
        <v/>
      </c>
      <c r="G49" s="14" t="n"/>
      <c r="H49" s="15">
        <f>IF($G49="","",IFERROR(INDEX(rngAgencyNames,MATCH($G49,rngAgencyIDs,0)),"?"))</f>
        <v/>
      </c>
      <c r="I49" s="14" t="n"/>
      <c r="J49" s="15">
        <f>IF($B49="","",ROW()-5)</f>
        <v/>
      </c>
      <c r="K49" s="16" t="n"/>
      <c r="L49" s="16" t="n"/>
      <c r="M49" s="14" t="n"/>
    </row>
    <row r="50">
      <c r="B50" s="14" t="n"/>
      <c r="C50" s="14" t="n"/>
      <c r="D50" s="14" t="n"/>
      <c r="E50" s="14" t="n"/>
      <c r="F50" s="15">
        <f>IF($B50="","",$C50&amp;", "&amp;$D50&amp;IF($E50="",""," "&amp;$E50&amp;"."))</f>
        <v/>
      </c>
      <c r="G50" s="14" t="n"/>
      <c r="H50" s="15">
        <f>IF($G50="","",IFERROR(INDEX(rngAgencyNames,MATCH($G50,rngAgencyIDs,0)),"?"))</f>
        <v/>
      </c>
      <c r="I50" s="14" t="n"/>
      <c r="J50" s="15">
        <f>IF($B50="","",ROW()-5)</f>
        <v/>
      </c>
      <c r="K50" s="16" t="n"/>
      <c r="L50" s="16" t="n"/>
      <c r="M50" s="14" t="n"/>
    </row>
    <row r="51">
      <c r="B51" s="14" t="n"/>
      <c r="C51" s="14" t="n"/>
      <c r="D51" s="14" t="n"/>
      <c r="E51" s="14" t="n"/>
      <c r="F51" s="15">
        <f>IF($B51="","",$C51&amp;", "&amp;$D51&amp;IF($E51="",""," "&amp;$E51&amp;"."))</f>
        <v/>
      </c>
      <c r="G51" s="14" t="n"/>
      <c r="H51" s="15">
        <f>IF($G51="","",IFERROR(INDEX(rngAgencyNames,MATCH($G51,rngAgencyIDs,0)),"?"))</f>
        <v/>
      </c>
      <c r="I51" s="14" t="n"/>
      <c r="J51" s="15">
        <f>IF($B51="","",ROW()-5)</f>
        <v/>
      </c>
      <c r="K51" s="16" t="n"/>
      <c r="L51" s="16" t="n"/>
      <c r="M51" s="14" t="n"/>
    </row>
    <row r="52">
      <c r="B52" s="14" t="n"/>
      <c r="C52" s="14" t="n"/>
      <c r="D52" s="14" t="n"/>
      <c r="E52" s="14" t="n"/>
      <c r="F52" s="15">
        <f>IF($B52="","",$C52&amp;", "&amp;$D52&amp;IF($E52="",""," "&amp;$E52&amp;"."))</f>
        <v/>
      </c>
      <c r="G52" s="14" t="n"/>
      <c r="H52" s="15">
        <f>IF($G52="","",IFERROR(INDEX(rngAgencyNames,MATCH($G52,rngAgencyIDs,0)),"?"))</f>
        <v/>
      </c>
      <c r="I52" s="14" t="n"/>
      <c r="J52" s="15">
        <f>IF($B52="","",ROW()-5)</f>
        <v/>
      </c>
      <c r="K52" s="16" t="n"/>
      <c r="L52" s="16" t="n"/>
      <c r="M52" s="14" t="n"/>
    </row>
    <row r="53">
      <c r="B53" s="14" t="n"/>
      <c r="C53" s="14" t="n"/>
      <c r="D53" s="14" t="n"/>
      <c r="E53" s="14" t="n"/>
      <c r="F53" s="15">
        <f>IF($B53="","",$C53&amp;", "&amp;$D53&amp;IF($E53="",""," "&amp;$E53&amp;"."))</f>
        <v/>
      </c>
      <c r="G53" s="14" t="n"/>
      <c r="H53" s="15">
        <f>IF($G53="","",IFERROR(INDEX(rngAgencyNames,MATCH($G53,rngAgencyIDs,0)),"?"))</f>
        <v/>
      </c>
      <c r="I53" s="14" t="n"/>
      <c r="J53" s="15">
        <f>IF($B53="","",ROW()-5)</f>
        <v/>
      </c>
      <c r="K53" s="16" t="n"/>
      <c r="L53" s="16" t="n"/>
      <c r="M53" s="14" t="n"/>
    </row>
    <row r="54">
      <c r="B54" s="14" t="n"/>
      <c r="C54" s="14" t="n"/>
      <c r="D54" s="14" t="n"/>
      <c r="E54" s="14" t="n"/>
      <c r="F54" s="15">
        <f>IF($B54="","",$C54&amp;", "&amp;$D54&amp;IF($E54="",""," "&amp;$E54&amp;"."))</f>
        <v/>
      </c>
      <c r="G54" s="14" t="n"/>
      <c r="H54" s="15">
        <f>IF($G54="","",IFERROR(INDEX(rngAgencyNames,MATCH($G54,rngAgencyIDs,0)),"?"))</f>
        <v/>
      </c>
      <c r="I54" s="14" t="n"/>
      <c r="J54" s="15">
        <f>IF($B54="","",ROW()-5)</f>
        <v/>
      </c>
      <c r="K54" s="16" t="n"/>
      <c r="L54" s="16" t="n"/>
      <c r="M54" s="14" t="n"/>
    </row>
    <row r="55">
      <c r="B55" s="14" t="n"/>
      <c r="C55" s="14" t="n"/>
      <c r="D55" s="14" t="n"/>
      <c r="E55" s="14" t="n"/>
      <c r="F55" s="15">
        <f>IF($B55="","",$C55&amp;", "&amp;$D55&amp;IF($E55="",""," "&amp;$E55&amp;"."))</f>
        <v/>
      </c>
      <c r="G55" s="14" t="n"/>
      <c r="H55" s="15">
        <f>IF($G55="","",IFERROR(INDEX(rngAgencyNames,MATCH($G55,rngAgencyIDs,0)),"?"))</f>
        <v/>
      </c>
      <c r="I55" s="14" t="n"/>
      <c r="J55" s="15">
        <f>IF($B55="","",ROW()-5)</f>
        <v/>
      </c>
      <c r="K55" s="16" t="n"/>
      <c r="L55" s="16" t="n"/>
      <c r="M55" s="14" t="n"/>
    </row>
  </sheetData>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row r="2"/>
    <row r="3"/>
    <row r="4">
      <c r="B4" s="8" t="inlineStr">
        <is>
          <t>One row per attempt. Attempt 2 of a failed exam records at the 70 cap when passed (policy 300.5). Retest Due By = 5 class days after the failed attempt's date.</t>
        </is>
      </c>
    </row>
    <row r="5" ht="26" customHeight="1">
      <c r="B5" s="9" t="inlineStr">
        <is>
          <t>RecordID</t>
        </is>
      </c>
      <c r="C5" s="9" t="inlineStr">
        <is>
          <t>Cadet Name</t>
        </is>
      </c>
      <c r="D5" s="9" t="inlineStr">
        <is>
          <t>PID</t>
        </is>
      </c>
      <c r="E5" s="9" t="inlineStr">
        <is>
          <t>Agency</t>
        </is>
      </c>
      <c r="F5" s="9" t="inlineStr">
        <is>
          <t>ExamCode</t>
        </is>
      </c>
      <c r="G5" s="9" t="inlineStr">
        <is>
          <t>Exam Name</t>
        </is>
      </c>
      <c r="H5" s="9" t="inlineStr">
        <is>
          <t>Type</t>
        </is>
      </c>
      <c r="I5" s="9" t="inlineStr">
        <is>
          <t>Seq</t>
        </is>
      </c>
      <c r="J5" s="9" t="inlineStr">
        <is>
          <t>Passing</t>
        </is>
      </c>
      <c r="K5" s="9" t="inlineStr">
        <is>
          <t>Attempt #</t>
        </is>
      </c>
      <c r="L5" s="9" t="inlineStr">
        <is>
          <t>Raw Score</t>
        </is>
      </c>
      <c r="M5" s="9" t="inlineStr">
        <is>
          <t>Recorded</t>
        </is>
      </c>
      <c r="N5" s="9" t="inlineStr">
        <is>
          <t>AttemptPass</t>
        </is>
      </c>
      <c r="O5" s="9" t="inlineStr">
        <is>
          <t>Pass?</t>
        </is>
      </c>
      <c r="P5" s="9" t="inlineStr">
        <is>
          <t>FinalAttempt?</t>
        </is>
      </c>
      <c r="Q5" s="9" t="inlineStr">
        <is>
          <t>RetakeReq?</t>
        </is>
      </c>
      <c r="R5" s="9" t="inlineStr">
        <is>
          <t>DismissReview?</t>
        </is>
      </c>
      <c r="S5" s="9" t="inlineStr">
        <is>
          <t>Date</t>
        </is>
      </c>
      <c r="T5" s="9" t="inlineStr">
        <is>
          <t>Retest Due By</t>
        </is>
      </c>
      <c r="U5" s="9" t="inlineStr">
        <is>
          <t>Retest Status</t>
        </is>
      </c>
      <c r="V5" s="9" t="inlineStr">
        <is>
          <t>Entered By</t>
        </is>
      </c>
      <c r="W5" s="9" t="inlineStr">
        <is>
          <t>Notes</t>
        </is>
      </c>
    </row>
    <row r="6">
      <c r="B6" s="15">
        <f>IF($C6="","",$D6&amp;"-"&amp;$F6&amp;"-"&amp;$K6)</f>
        <v/>
      </c>
      <c r="C6" s="14" t="n"/>
      <c r="D6" s="15">
        <f>IF($C6="","",IFERROR(INDEX(rngCadetPIDs,MATCH($C6,rngCadetNames,0)),"?"))</f>
        <v/>
      </c>
      <c r="E6" s="15">
        <f>IF($D6="","",IFERROR(INDEX(nrCadetAgency,MATCH($D6,rngCadetPIDs,0)),""))</f>
        <v/>
      </c>
      <c r="F6" s="14" t="n"/>
      <c r="G6" s="15">
        <f>IF($F6="","",IFERROR(INDEX(rngEPname,MATCH($F6,rngEPcode,0)),"?"))</f>
        <v/>
      </c>
      <c r="H6" s="15">
        <f>IF($F6="","",IFERROR(INDEX(rngEPtype,MATCH($F6,rngEPcode,0)),"?"))</f>
        <v/>
      </c>
      <c r="I6" s="15">
        <f>IF($F6="","",IFERROR(INDEX(rngEPseq,MATCH($F6,rngEPcode,0)),""))</f>
        <v/>
      </c>
      <c r="J6" s="15">
        <f>IF($F6="","",IFERROR(INDEX(rngEPpass,MATCH($F6,rngEPcode,0)),cfgPassingScore))</f>
        <v/>
      </c>
      <c r="K6" s="14" t="n"/>
      <c r="L6" s="14" t="n"/>
      <c r="M6" s="15">
        <f>IF($C6="","",IF($L6="","",IF($K6=1,IF(COUNTIFS(nrES_PID,$D6,nrES_Code,$F6,nrES_Att,2)&gt;0,"",$L6),IF(COUNTIFS(nrES_PID,$D6,nrES_Code,$F6,nrES_Att,1)=0,$L6,IF($L6&gt;=$J6,cfgRetakeRecordedCap,SUMIFS(nrES_Raw,nrES_PID,$D6,nrES_Code,$F6,nrES_Att,1))))))</f>
        <v/>
      </c>
      <c r="N6" s="15">
        <f>IF($C6="","",IF($L6="","",IF($L6&gt;=$J6,"Yes","No")))</f>
        <v/>
      </c>
      <c r="O6" s="15">
        <f>IF($C6="","",IF($M6="","",IF($M6&gt;=$J6,"Yes","No")))</f>
        <v/>
      </c>
      <c r="P6" s="15">
        <f>IF($C6="","",IF($K6="","",IF(COUNTIFS(nrES_PID,$D6,nrES_Code,$F6,nrES_Att,"&gt;"&amp;$K6)=0,"Yes","No")))</f>
        <v/>
      </c>
      <c r="Q6" s="15">
        <f>IF($C6="","",IF($L6="","",IF(AND($K6=1,$L6&lt;$J6,COUNTIFS(nrES_PID,$D6,nrES_Code,$F6,nrES_Att,2)=0),"Yes","No")))</f>
        <v/>
      </c>
      <c r="R6" s="15">
        <f>IF($C6="","",IF($L6="","",IF(AND($K6=2,$L6&lt;$J6,COUNTIFS(nrES_PID,$D6,nrES_Code,$F6,nrES_Att,1)&gt;0),"Yes","No")))</f>
        <v/>
      </c>
      <c r="S6" s="16" t="n"/>
      <c r="T6" s="17">
        <f>IF($Q6&lt;&gt;"Yes","",IF($S6="","(enter date)",_xlfn.LET(_xlpm.dn,IFERROR(_xlfn.XLOOKUP($S6,nrCDdate,nrCDnum),""),IF(_xlpm.dn="","(not a class day)",IFERROR(_xlfn.XLOOKUP(_xlpm.dn+cfgRetestClassDays,nrCDnum,nrCDdate),"")))))</f>
        <v/>
      </c>
      <c r="U6" s="15">
        <f>IF($Q6&lt;&gt;"Yes","",IF(COUNTIFS(nrES_PID,$D6,nrES_Code,$F6,nrES_Att,2)&gt;0,"Retested",IF(OR($T6="",NOT(ISNUMBER($T6))),"Pending",IF(TODAY()&gt;$T6,"OVERDUE","Due "&amp;TEXT($T6,"mm/dd")))))</f>
        <v/>
      </c>
      <c r="V6" s="14" t="n"/>
      <c r="W6" s="14" t="n"/>
    </row>
    <row r="7">
      <c r="B7" s="15">
        <f>IF($C7="","",$D7&amp;"-"&amp;$F7&amp;"-"&amp;$K7)</f>
        <v/>
      </c>
      <c r="C7" s="14" t="n"/>
      <c r="D7" s="15">
        <f>IF($C7="","",IFERROR(INDEX(rngCadetPIDs,MATCH($C7,rngCadetNames,0)),"?"))</f>
        <v/>
      </c>
      <c r="E7" s="15">
        <f>IF($D7="","",IFERROR(INDEX(nrCadetAgency,MATCH($D7,rngCadetPIDs,0)),""))</f>
        <v/>
      </c>
      <c r="F7" s="14" t="n"/>
      <c r="G7" s="15">
        <f>IF($F7="","",IFERROR(INDEX(rngEPname,MATCH($F7,rngEPcode,0)),"?"))</f>
        <v/>
      </c>
      <c r="H7" s="15">
        <f>IF($F7="","",IFERROR(INDEX(rngEPtype,MATCH($F7,rngEPcode,0)),"?"))</f>
        <v/>
      </c>
      <c r="I7" s="15">
        <f>IF($F7="","",IFERROR(INDEX(rngEPseq,MATCH($F7,rngEPcode,0)),""))</f>
        <v/>
      </c>
      <c r="J7" s="15">
        <f>IF($F7="","",IFERROR(INDEX(rngEPpass,MATCH($F7,rngEPcode,0)),cfgPassingScore))</f>
        <v/>
      </c>
      <c r="K7" s="14" t="n"/>
      <c r="L7" s="14" t="n"/>
      <c r="M7" s="15">
        <f>IF($C7="","",IF($L7="","",IF($K7=1,IF(COUNTIFS(nrES_PID,$D7,nrES_Code,$F7,nrES_Att,2)&gt;0,"",$L7),IF(COUNTIFS(nrES_PID,$D7,nrES_Code,$F7,nrES_Att,1)=0,$L7,IF($L7&gt;=$J7,cfgRetakeRecordedCap,SUMIFS(nrES_Raw,nrES_PID,$D7,nrES_Code,$F7,nrES_Att,1))))))</f>
        <v/>
      </c>
      <c r="N7" s="15">
        <f>IF($C7="","",IF($L7="","",IF($L7&gt;=$J7,"Yes","No")))</f>
        <v/>
      </c>
      <c r="O7" s="15">
        <f>IF($C7="","",IF($M7="","",IF($M7&gt;=$J7,"Yes","No")))</f>
        <v/>
      </c>
      <c r="P7" s="15">
        <f>IF($C7="","",IF($K7="","",IF(COUNTIFS(nrES_PID,$D7,nrES_Code,$F7,nrES_Att,"&gt;"&amp;$K7)=0,"Yes","No")))</f>
        <v/>
      </c>
      <c r="Q7" s="15">
        <f>IF($C7="","",IF($L7="","",IF(AND($K7=1,$L7&lt;$J7,COUNTIFS(nrES_PID,$D7,nrES_Code,$F7,nrES_Att,2)=0),"Yes","No")))</f>
        <v/>
      </c>
      <c r="R7" s="15">
        <f>IF($C7="","",IF($L7="","",IF(AND($K7=2,$L7&lt;$J7,COUNTIFS(nrES_PID,$D7,nrES_Code,$F7,nrES_Att,1)&gt;0),"Yes","No")))</f>
        <v/>
      </c>
      <c r="S7" s="16" t="n"/>
      <c r="T7" s="17">
        <f>IF($Q7&lt;&gt;"Yes","",IF($S7="","(enter date)",_xlfn.LET(_xlpm.dn,IFERROR(_xlfn.XLOOKUP($S7,nrCDdate,nrCDnum),""),IF(_xlpm.dn="","(not a class day)",IFERROR(_xlfn.XLOOKUP(_xlpm.dn+cfgRetestClassDays,nrCDnum,nrCDdate),"")))))</f>
        <v/>
      </c>
      <c r="U7" s="15">
        <f>IF($Q7&lt;&gt;"Yes","",IF(COUNTIFS(nrES_PID,$D7,nrES_Code,$F7,nrES_Att,2)&gt;0,"Retested",IF(OR($T7="",NOT(ISNUMBER($T7))),"Pending",IF(TODAY()&gt;$T7,"OVERDUE","Due "&amp;TEXT($T7,"mm/dd")))))</f>
        <v/>
      </c>
      <c r="V7" s="14" t="n"/>
      <c r="W7" s="14" t="n"/>
    </row>
    <row r="8">
      <c r="B8" s="15">
        <f>IF($C8="","",$D8&amp;"-"&amp;$F8&amp;"-"&amp;$K8)</f>
        <v/>
      </c>
      <c r="C8" s="14" t="n"/>
      <c r="D8" s="15">
        <f>IF($C8="","",IFERROR(INDEX(rngCadetPIDs,MATCH($C8,rngCadetNames,0)),"?"))</f>
        <v/>
      </c>
      <c r="E8" s="15">
        <f>IF($D8="","",IFERROR(INDEX(nrCadetAgency,MATCH($D8,rngCadetPIDs,0)),""))</f>
        <v/>
      </c>
      <c r="F8" s="14" t="n"/>
      <c r="G8" s="15">
        <f>IF($F8="","",IFERROR(INDEX(rngEPname,MATCH($F8,rngEPcode,0)),"?"))</f>
        <v/>
      </c>
      <c r="H8" s="15">
        <f>IF($F8="","",IFERROR(INDEX(rngEPtype,MATCH($F8,rngEPcode,0)),"?"))</f>
        <v/>
      </c>
      <c r="I8" s="15">
        <f>IF($F8="","",IFERROR(INDEX(rngEPseq,MATCH($F8,rngEPcode,0)),""))</f>
        <v/>
      </c>
      <c r="J8" s="15">
        <f>IF($F8="","",IFERROR(INDEX(rngEPpass,MATCH($F8,rngEPcode,0)),cfgPassingScore))</f>
        <v/>
      </c>
      <c r="K8" s="14" t="n"/>
      <c r="L8" s="14" t="n"/>
      <c r="M8" s="15">
        <f>IF($C8="","",IF($L8="","",IF($K8=1,IF(COUNTIFS(nrES_PID,$D8,nrES_Code,$F8,nrES_Att,2)&gt;0,"",$L8),IF(COUNTIFS(nrES_PID,$D8,nrES_Code,$F8,nrES_Att,1)=0,$L8,IF($L8&gt;=$J8,cfgRetakeRecordedCap,SUMIFS(nrES_Raw,nrES_PID,$D8,nrES_Code,$F8,nrES_Att,1))))))</f>
        <v/>
      </c>
      <c r="N8" s="15">
        <f>IF($C8="","",IF($L8="","",IF($L8&gt;=$J8,"Yes","No")))</f>
        <v/>
      </c>
      <c r="O8" s="15">
        <f>IF($C8="","",IF($M8="","",IF($M8&gt;=$J8,"Yes","No")))</f>
        <v/>
      </c>
      <c r="P8" s="15">
        <f>IF($C8="","",IF($K8="","",IF(COUNTIFS(nrES_PID,$D8,nrES_Code,$F8,nrES_Att,"&gt;"&amp;$K8)=0,"Yes","No")))</f>
        <v/>
      </c>
      <c r="Q8" s="15">
        <f>IF($C8="","",IF($L8="","",IF(AND($K8=1,$L8&lt;$J8,COUNTIFS(nrES_PID,$D8,nrES_Code,$F8,nrES_Att,2)=0),"Yes","No")))</f>
        <v/>
      </c>
      <c r="R8" s="15">
        <f>IF($C8="","",IF($L8="","",IF(AND($K8=2,$L8&lt;$J8,COUNTIFS(nrES_PID,$D8,nrES_Code,$F8,nrES_Att,1)&gt;0),"Yes","No")))</f>
        <v/>
      </c>
      <c r="S8" s="16" t="n"/>
      <c r="T8" s="17">
        <f>IF($Q8&lt;&gt;"Yes","",IF($S8="","(enter date)",_xlfn.LET(_xlpm.dn,IFERROR(_xlfn.XLOOKUP($S8,nrCDdate,nrCDnum),""),IF(_xlpm.dn="","(not a class day)",IFERROR(_xlfn.XLOOKUP(_xlpm.dn+cfgRetestClassDays,nrCDnum,nrCDdate),"")))))</f>
        <v/>
      </c>
      <c r="U8" s="15">
        <f>IF($Q8&lt;&gt;"Yes","",IF(COUNTIFS(nrES_PID,$D8,nrES_Code,$F8,nrES_Att,2)&gt;0,"Retested",IF(OR($T8="",NOT(ISNUMBER($T8))),"Pending",IF(TODAY()&gt;$T8,"OVERDUE","Due "&amp;TEXT($T8,"mm/dd")))))</f>
        <v/>
      </c>
      <c r="V8" s="14" t="n"/>
      <c r="W8" s="14" t="n"/>
    </row>
    <row r="9">
      <c r="B9" s="15">
        <f>IF($C9="","",$D9&amp;"-"&amp;$F9&amp;"-"&amp;$K9)</f>
        <v/>
      </c>
      <c r="C9" s="14" t="n"/>
      <c r="D9" s="15">
        <f>IF($C9="","",IFERROR(INDEX(rngCadetPIDs,MATCH($C9,rngCadetNames,0)),"?"))</f>
        <v/>
      </c>
      <c r="E9" s="15">
        <f>IF($D9="","",IFERROR(INDEX(nrCadetAgency,MATCH($D9,rngCadetPIDs,0)),""))</f>
        <v/>
      </c>
      <c r="F9" s="14" t="n"/>
      <c r="G9" s="15">
        <f>IF($F9="","",IFERROR(INDEX(rngEPname,MATCH($F9,rngEPcode,0)),"?"))</f>
        <v/>
      </c>
      <c r="H9" s="15">
        <f>IF($F9="","",IFERROR(INDEX(rngEPtype,MATCH($F9,rngEPcode,0)),"?"))</f>
        <v/>
      </c>
      <c r="I9" s="15">
        <f>IF($F9="","",IFERROR(INDEX(rngEPseq,MATCH($F9,rngEPcode,0)),""))</f>
        <v/>
      </c>
      <c r="J9" s="15">
        <f>IF($F9="","",IFERROR(INDEX(rngEPpass,MATCH($F9,rngEPcode,0)),cfgPassingScore))</f>
        <v/>
      </c>
      <c r="K9" s="14" t="n"/>
      <c r="L9" s="14" t="n"/>
      <c r="M9" s="15">
        <f>IF($C9="","",IF($L9="","",IF($K9=1,IF(COUNTIFS(nrES_PID,$D9,nrES_Code,$F9,nrES_Att,2)&gt;0,"",$L9),IF(COUNTIFS(nrES_PID,$D9,nrES_Code,$F9,nrES_Att,1)=0,$L9,IF($L9&gt;=$J9,cfgRetakeRecordedCap,SUMIFS(nrES_Raw,nrES_PID,$D9,nrES_Code,$F9,nrES_Att,1))))))</f>
        <v/>
      </c>
      <c r="N9" s="15">
        <f>IF($C9="","",IF($L9="","",IF($L9&gt;=$J9,"Yes","No")))</f>
        <v/>
      </c>
      <c r="O9" s="15">
        <f>IF($C9="","",IF($M9="","",IF($M9&gt;=$J9,"Yes","No")))</f>
        <v/>
      </c>
      <c r="P9" s="15">
        <f>IF($C9="","",IF($K9="","",IF(COUNTIFS(nrES_PID,$D9,nrES_Code,$F9,nrES_Att,"&gt;"&amp;$K9)=0,"Yes","No")))</f>
        <v/>
      </c>
      <c r="Q9" s="15">
        <f>IF($C9="","",IF($L9="","",IF(AND($K9=1,$L9&lt;$J9,COUNTIFS(nrES_PID,$D9,nrES_Code,$F9,nrES_Att,2)=0),"Yes","No")))</f>
        <v/>
      </c>
      <c r="R9" s="15">
        <f>IF($C9="","",IF($L9="","",IF(AND($K9=2,$L9&lt;$J9,COUNTIFS(nrES_PID,$D9,nrES_Code,$F9,nrES_Att,1)&gt;0),"Yes","No")))</f>
        <v/>
      </c>
      <c r="S9" s="16" t="n"/>
      <c r="T9" s="17">
        <f>IF($Q9&lt;&gt;"Yes","",IF($S9="","(enter date)",_xlfn.LET(_xlpm.dn,IFERROR(_xlfn.XLOOKUP($S9,nrCDdate,nrCDnum),""),IF(_xlpm.dn="","(not a class day)",IFERROR(_xlfn.XLOOKUP(_xlpm.dn+cfgRetestClassDays,nrCDnum,nrCDdate),"")))))</f>
        <v/>
      </c>
      <c r="U9" s="15">
        <f>IF($Q9&lt;&gt;"Yes","",IF(COUNTIFS(nrES_PID,$D9,nrES_Code,$F9,nrES_Att,2)&gt;0,"Retested",IF(OR($T9="",NOT(ISNUMBER($T9))),"Pending",IF(TODAY()&gt;$T9,"OVERDUE","Due "&amp;TEXT($T9,"mm/dd")))))</f>
        <v/>
      </c>
      <c r="V9" s="14" t="n"/>
      <c r="W9" s="14" t="n"/>
    </row>
    <row r="10">
      <c r="B10" s="15">
        <f>IF($C10="","",$D10&amp;"-"&amp;$F10&amp;"-"&amp;$K10)</f>
        <v/>
      </c>
      <c r="C10" s="14" t="n"/>
      <c r="D10" s="15">
        <f>IF($C10="","",IFERROR(INDEX(rngCadetPIDs,MATCH($C10,rngCadetNames,0)),"?"))</f>
        <v/>
      </c>
      <c r="E10" s="15">
        <f>IF($D10="","",IFERROR(INDEX(nrCadetAgency,MATCH($D10,rngCadetPIDs,0)),""))</f>
        <v/>
      </c>
      <c r="F10" s="14" t="n"/>
      <c r="G10" s="15">
        <f>IF($F10="","",IFERROR(INDEX(rngEPname,MATCH($F10,rngEPcode,0)),"?"))</f>
        <v/>
      </c>
      <c r="H10" s="15">
        <f>IF($F10="","",IFERROR(INDEX(rngEPtype,MATCH($F10,rngEPcode,0)),"?"))</f>
        <v/>
      </c>
      <c r="I10" s="15">
        <f>IF($F10="","",IFERROR(INDEX(rngEPseq,MATCH($F10,rngEPcode,0)),""))</f>
        <v/>
      </c>
      <c r="J10" s="15">
        <f>IF($F10="","",IFERROR(INDEX(rngEPpass,MATCH($F10,rngEPcode,0)),cfgPassingScore))</f>
        <v/>
      </c>
      <c r="K10" s="14" t="n"/>
      <c r="L10" s="14" t="n"/>
      <c r="M10" s="15">
        <f>IF($C10="","",IF($L10="","",IF($K10=1,IF(COUNTIFS(nrES_PID,$D10,nrES_Code,$F10,nrES_Att,2)&gt;0,"",$L10),IF(COUNTIFS(nrES_PID,$D10,nrES_Code,$F10,nrES_Att,1)=0,$L10,IF($L10&gt;=$J10,cfgRetakeRecordedCap,SUMIFS(nrES_Raw,nrES_PID,$D10,nrES_Code,$F10,nrES_Att,1))))))</f>
        <v/>
      </c>
      <c r="N10" s="15">
        <f>IF($C10="","",IF($L10="","",IF($L10&gt;=$J10,"Yes","No")))</f>
        <v/>
      </c>
      <c r="O10" s="15">
        <f>IF($C10="","",IF($M10="","",IF($M10&gt;=$J10,"Yes","No")))</f>
        <v/>
      </c>
      <c r="P10" s="15">
        <f>IF($C10="","",IF($K10="","",IF(COUNTIFS(nrES_PID,$D10,nrES_Code,$F10,nrES_Att,"&gt;"&amp;$K10)=0,"Yes","No")))</f>
        <v/>
      </c>
      <c r="Q10" s="15">
        <f>IF($C10="","",IF($L10="","",IF(AND($K10=1,$L10&lt;$J10,COUNTIFS(nrES_PID,$D10,nrES_Code,$F10,nrES_Att,2)=0),"Yes","No")))</f>
        <v/>
      </c>
      <c r="R10" s="15">
        <f>IF($C10="","",IF($L10="","",IF(AND($K10=2,$L10&lt;$J10,COUNTIFS(nrES_PID,$D10,nrES_Code,$F10,nrES_Att,1)&gt;0),"Yes","No")))</f>
        <v/>
      </c>
      <c r="S10" s="16" t="n"/>
      <c r="T10" s="17">
        <f>IF($Q10&lt;&gt;"Yes","",IF($S10="","(enter date)",_xlfn.LET(_xlpm.dn,IFERROR(_xlfn.XLOOKUP($S10,nrCDdate,nrCDnum),""),IF(_xlpm.dn="","(not a class day)",IFERROR(_xlfn.XLOOKUP(_xlpm.dn+cfgRetestClassDays,nrCDnum,nrCDdate),"")))))</f>
        <v/>
      </c>
      <c r="U10" s="15">
        <f>IF($Q10&lt;&gt;"Yes","",IF(COUNTIFS(nrES_PID,$D10,nrES_Code,$F10,nrES_Att,2)&gt;0,"Retested",IF(OR($T10="",NOT(ISNUMBER($T10))),"Pending",IF(TODAY()&gt;$T10,"OVERDUE","Due "&amp;TEXT($T10,"mm/dd")))))</f>
        <v/>
      </c>
      <c r="V10" s="14" t="n"/>
      <c r="W10" s="14" t="n"/>
    </row>
    <row r="11">
      <c r="B11" s="15">
        <f>IF($C11="","",$D11&amp;"-"&amp;$F11&amp;"-"&amp;$K11)</f>
        <v/>
      </c>
      <c r="C11" s="14" t="n"/>
      <c r="D11" s="15">
        <f>IF($C11="","",IFERROR(INDEX(rngCadetPIDs,MATCH($C11,rngCadetNames,0)),"?"))</f>
        <v/>
      </c>
      <c r="E11" s="15">
        <f>IF($D11="","",IFERROR(INDEX(nrCadetAgency,MATCH($D11,rngCadetPIDs,0)),""))</f>
        <v/>
      </c>
      <c r="F11" s="14" t="n"/>
      <c r="G11" s="15">
        <f>IF($F11="","",IFERROR(INDEX(rngEPname,MATCH($F11,rngEPcode,0)),"?"))</f>
        <v/>
      </c>
      <c r="H11" s="15">
        <f>IF($F11="","",IFERROR(INDEX(rngEPtype,MATCH($F11,rngEPcode,0)),"?"))</f>
        <v/>
      </c>
      <c r="I11" s="15">
        <f>IF($F11="","",IFERROR(INDEX(rngEPseq,MATCH($F11,rngEPcode,0)),""))</f>
        <v/>
      </c>
      <c r="J11" s="15">
        <f>IF($F11="","",IFERROR(INDEX(rngEPpass,MATCH($F11,rngEPcode,0)),cfgPassingScore))</f>
        <v/>
      </c>
      <c r="K11" s="14" t="n"/>
      <c r="L11" s="14" t="n"/>
      <c r="M11" s="15">
        <f>IF($C11="","",IF($L11="","",IF($K11=1,IF(COUNTIFS(nrES_PID,$D11,nrES_Code,$F11,nrES_Att,2)&gt;0,"",$L11),IF(COUNTIFS(nrES_PID,$D11,nrES_Code,$F11,nrES_Att,1)=0,$L11,IF($L11&gt;=$J11,cfgRetakeRecordedCap,SUMIFS(nrES_Raw,nrES_PID,$D11,nrES_Code,$F11,nrES_Att,1))))))</f>
        <v/>
      </c>
      <c r="N11" s="15">
        <f>IF($C11="","",IF($L11="","",IF($L11&gt;=$J11,"Yes","No")))</f>
        <v/>
      </c>
      <c r="O11" s="15">
        <f>IF($C11="","",IF($M11="","",IF($M11&gt;=$J11,"Yes","No")))</f>
        <v/>
      </c>
      <c r="P11" s="15">
        <f>IF($C11="","",IF($K11="","",IF(COUNTIFS(nrES_PID,$D11,nrES_Code,$F11,nrES_Att,"&gt;"&amp;$K11)=0,"Yes","No")))</f>
        <v/>
      </c>
      <c r="Q11" s="15">
        <f>IF($C11="","",IF($L11="","",IF(AND($K11=1,$L11&lt;$J11,COUNTIFS(nrES_PID,$D11,nrES_Code,$F11,nrES_Att,2)=0),"Yes","No")))</f>
        <v/>
      </c>
      <c r="R11" s="15">
        <f>IF($C11="","",IF($L11="","",IF(AND($K11=2,$L11&lt;$J11,COUNTIFS(nrES_PID,$D11,nrES_Code,$F11,nrES_Att,1)&gt;0),"Yes","No")))</f>
        <v/>
      </c>
      <c r="S11" s="16" t="n"/>
      <c r="T11" s="17">
        <f>IF($Q11&lt;&gt;"Yes","",IF($S11="","(enter date)",_xlfn.LET(_xlpm.dn,IFERROR(_xlfn.XLOOKUP($S11,nrCDdate,nrCDnum),""),IF(_xlpm.dn="","(not a class day)",IFERROR(_xlfn.XLOOKUP(_xlpm.dn+cfgRetestClassDays,nrCDnum,nrCDdate),"")))))</f>
        <v/>
      </c>
      <c r="U11" s="15">
        <f>IF($Q11&lt;&gt;"Yes","",IF(COUNTIFS(nrES_PID,$D11,nrES_Code,$F11,nrES_Att,2)&gt;0,"Retested",IF(OR($T11="",NOT(ISNUMBER($T11))),"Pending",IF(TODAY()&gt;$T11,"OVERDUE","Due "&amp;TEXT($T11,"mm/dd")))))</f>
        <v/>
      </c>
      <c r="V11" s="14" t="n"/>
      <c r="W11" s="14" t="n"/>
    </row>
    <row r="12">
      <c r="B12" s="15">
        <f>IF($C12="","",$D12&amp;"-"&amp;$F12&amp;"-"&amp;$K12)</f>
        <v/>
      </c>
      <c r="C12" s="14" t="n"/>
      <c r="D12" s="15">
        <f>IF($C12="","",IFERROR(INDEX(rngCadetPIDs,MATCH($C12,rngCadetNames,0)),"?"))</f>
        <v/>
      </c>
      <c r="E12" s="15">
        <f>IF($D12="","",IFERROR(INDEX(nrCadetAgency,MATCH($D12,rngCadetPIDs,0)),""))</f>
        <v/>
      </c>
      <c r="F12" s="14" t="n"/>
      <c r="G12" s="15">
        <f>IF($F12="","",IFERROR(INDEX(rngEPname,MATCH($F12,rngEPcode,0)),"?"))</f>
        <v/>
      </c>
      <c r="H12" s="15">
        <f>IF($F12="","",IFERROR(INDEX(rngEPtype,MATCH($F12,rngEPcode,0)),"?"))</f>
        <v/>
      </c>
      <c r="I12" s="15">
        <f>IF($F12="","",IFERROR(INDEX(rngEPseq,MATCH($F12,rngEPcode,0)),""))</f>
        <v/>
      </c>
      <c r="J12" s="15">
        <f>IF($F12="","",IFERROR(INDEX(rngEPpass,MATCH($F12,rngEPcode,0)),cfgPassingScore))</f>
        <v/>
      </c>
      <c r="K12" s="14" t="n"/>
      <c r="L12" s="14" t="n"/>
      <c r="M12" s="15">
        <f>IF($C12="","",IF($L12="","",IF($K12=1,IF(COUNTIFS(nrES_PID,$D12,nrES_Code,$F12,nrES_Att,2)&gt;0,"",$L12),IF(COUNTIFS(nrES_PID,$D12,nrES_Code,$F12,nrES_Att,1)=0,$L12,IF($L12&gt;=$J12,cfgRetakeRecordedCap,SUMIFS(nrES_Raw,nrES_PID,$D12,nrES_Code,$F12,nrES_Att,1))))))</f>
        <v/>
      </c>
      <c r="N12" s="15">
        <f>IF($C12="","",IF($L12="","",IF($L12&gt;=$J12,"Yes","No")))</f>
        <v/>
      </c>
      <c r="O12" s="15">
        <f>IF($C12="","",IF($M12="","",IF($M12&gt;=$J12,"Yes","No")))</f>
        <v/>
      </c>
      <c r="P12" s="15">
        <f>IF($C12="","",IF($K12="","",IF(COUNTIFS(nrES_PID,$D12,nrES_Code,$F12,nrES_Att,"&gt;"&amp;$K12)=0,"Yes","No")))</f>
        <v/>
      </c>
      <c r="Q12" s="15">
        <f>IF($C12="","",IF($L12="","",IF(AND($K12=1,$L12&lt;$J12,COUNTIFS(nrES_PID,$D12,nrES_Code,$F12,nrES_Att,2)=0),"Yes","No")))</f>
        <v/>
      </c>
      <c r="R12" s="15">
        <f>IF($C12="","",IF($L12="","",IF(AND($K12=2,$L12&lt;$J12,COUNTIFS(nrES_PID,$D12,nrES_Code,$F12,nrES_Att,1)&gt;0),"Yes","No")))</f>
        <v/>
      </c>
      <c r="S12" s="16" t="n"/>
      <c r="T12" s="17">
        <f>IF($Q12&lt;&gt;"Yes","",IF($S12="","(enter date)",_xlfn.LET(_xlpm.dn,IFERROR(_xlfn.XLOOKUP($S12,nrCDdate,nrCDnum),""),IF(_xlpm.dn="","(not a class day)",IFERROR(_xlfn.XLOOKUP(_xlpm.dn+cfgRetestClassDays,nrCDnum,nrCDdate),"")))))</f>
        <v/>
      </c>
      <c r="U12" s="15">
        <f>IF($Q12&lt;&gt;"Yes","",IF(COUNTIFS(nrES_PID,$D12,nrES_Code,$F12,nrES_Att,2)&gt;0,"Retested",IF(OR($T12="",NOT(ISNUMBER($T12))),"Pending",IF(TODAY()&gt;$T12,"OVERDUE","Due "&amp;TEXT($T12,"mm/dd")))))</f>
        <v/>
      </c>
      <c r="V12" s="14" t="n"/>
      <c r="W12" s="14" t="n"/>
    </row>
    <row r="13">
      <c r="B13" s="15">
        <f>IF($C13="","",$D13&amp;"-"&amp;$F13&amp;"-"&amp;$K13)</f>
        <v/>
      </c>
      <c r="C13" s="14" t="n"/>
      <c r="D13" s="15">
        <f>IF($C13="","",IFERROR(INDEX(rngCadetPIDs,MATCH($C13,rngCadetNames,0)),"?"))</f>
        <v/>
      </c>
      <c r="E13" s="15">
        <f>IF($D13="","",IFERROR(INDEX(nrCadetAgency,MATCH($D13,rngCadetPIDs,0)),""))</f>
        <v/>
      </c>
      <c r="F13" s="14" t="n"/>
      <c r="G13" s="15">
        <f>IF($F13="","",IFERROR(INDEX(rngEPname,MATCH($F13,rngEPcode,0)),"?"))</f>
        <v/>
      </c>
      <c r="H13" s="15">
        <f>IF($F13="","",IFERROR(INDEX(rngEPtype,MATCH($F13,rngEPcode,0)),"?"))</f>
        <v/>
      </c>
      <c r="I13" s="15">
        <f>IF($F13="","",IFERROR(INDEX(rngEPseq,MATCH($F13,rngEPcode,0)),""))</f>
        <v/>
      </c>
      <c r="J13" s="15">
        <f>IF($F13="","",IFERROR(INDEX(rngEPpass,MATCH($F13,rngEPcode,0)),cfgPassingScore))</f>
        <v/>
      </c>
      <c r="K13" s="14" t="n"/>
      <c r="L13" s="14" t="n"/>
      <c r="M13" s="15">
        <f>IF($C13="","",IF($L13="","",IF($K13=1,IF(COUNTIFS(nrES_PID,$D13,nrES_Code,$F13,nrES_Att,2)&gt;0,"",$L13),IF(COUNTIFS(nrES_PID,$D13,nrES_Code,$F13,nrES_Att,1)=0,$L13,IF($L13&gt;=$J13,cfgRetakeRecordedCap,SUMIFS(nrES_Raw,nrES_PID,$D13,nrES_Code,$F13,nrES_Att,1))))))</f>
        <v/>
      </c>
      <c r="N13" s="15">
        <f>IF($C13="","",IF($L13="","",IF($L13&gt;=$J13,"Yes","No")))</f>
        <v/>
      </c>
      <c r="O13" s="15">
        <f>IF($C13="","",IF($M13="","",IF($M13&gt;=$J13,"Yes","No")))</f>
        <v/>
      </c>
      <c r="P13" s="15">
        <f>IF($C13="","",IF($K13="","",IF(COUNTIFS(nrES_PID,$D13,nrES_Code,$F13,nrES_Att,"&gt;"&amp;$K13)=0,"Yes","No")))</f>
        <v/>
      </c>
      <c r="Q13" s="15">
        <f>IF($C13="","",IF($L13="","",IF(AND($K13=1,$L13&lt;$J13,COUNTIFS(nrES_PID,$D13,nrES_Code,$F13,nrES_Att,2)=0),"Yes","No")))</f>
        <v/>
      </c>
      <c r="R13" s="15">
        <f>IF($C13="","",IF($L13="","",IF(AND($K13=2,$L13&lt;$J13,COUNTIFS(nrES_PID,$D13,nrES_Code,$F13,nrES_Att,1)&gt;0),"Yes","No")))</f>
        <v/>
      </c>
      <c r="S13" s="16" t="n"/>
      <c r="T13" s="17">
        <f>IF($Q13&lt;&gt;"Yes","",IF($S13="","(enter date)",_xlfn.LET(_xlpm.dn,IFERROR(_xlfn.XLOOKUP($S13,nrCDdate,nrCDnum),""),IF(_xlpm.dn="","(not a class day)",IFERROR(_xlfn.XLOOKUP(_xlpm.dn+cfgRetestClassDays,nrCDnum,nrCDdate),"")))))</f>
        <v/>
      </c>
      <c r="U13" s="15">
        <f>IF($Q13&lt;&gt;"Yes","",IF(COUNTIFS(nrES_PID,$D13,nrES_Code,$F13,nrES_Att,2)&gt;0,"Retested",IF(OR($T13="",NOT(ISNUMBER($T13))),"Pending",IF(TODAY()&gt;$T13,"OVERDUE","Due "&amp;TEXT($T13,"mm/dd")))))</f>
        <v/>
      </c>
      <c r="V13" s="14" t="n"/>
      <c r="W13" s="14" t="n"/>
    </row>
    <row r="14">
      <c r="B14" s="15">
        <f>IF($C14="","",$D14&amp;"-"&amp;$F14&amp;"-"&amp;$K14)</f>
        <v/>
      </c>
      <c r="C14" s="14" t="n"/>
      <c r="D14" s="15">
        <f>IF($C14="","",IFERROR(INDEX(rngCadetPIDs,MATCH($C14,rngCadetNames,0)),"?"))</f>
        <v/>
      </c>
      <c r="E14" s="15">
        <f>IF($D14="","",IFERROR(INDEX(nrCadetAgency,MATCH($D14,rngCadetPIDs,0)),""))</f>
        <v/>
      </c>
      <c r="F14" s="14" t="n"/>
      <c r="G14" s="15">
        <f>IF($F14="","",IFERROR(INDEX(rngEPname,MATCH($F14,rngEPcode,0)),"?"))</f>
        <v/>
      </c>
      <c r="H14" s="15">
        <f>IF($F14="","",IFERROR(INDEX(rngEPtype,MATCH($F14,rngEPcode,0)),"?"))</f>
        <v/>
      </c>
      <c r="I14" s="15">
        <f>IF($F14="","",IFERROR(INDEX(rngEPseq,MATCH($F14,rngEPcode,0)),""))</f>
        <v/>
      </c>
      <c r="J14" s="15">
        <f>IF($F14="","",IFERROR(INDEX(rngEPpass,MATCH($F14,rngEPcode,0)),cfgPassingScore))</f>
        <v/>
      </c>
      <c r="K14" s="14" t="n"/>
      <c r="L14" s="14" t="n"/>
      <c r="M14" s="15">
        <f>IF($C14="","",IF($L14="","",IF($K14=1,IF(COUNTIFS(nrES_PID,$D14,nrES_Code,$F14,nrES_Att,2)&gt;0,"",$L14),IF(COUNTIFS(nrES_PID,$D14,nrES_Code,$F14,nrES_Att,1)=0,$L14,IF($L14&gt;=$J14,cfgRetakeRecordedCap,SUMIFS(nrES_Raw,nrES_PID,$D14,nrES_Code,$F14,nrES_Att,1))))))</f>
        <v/>
      </c>
      <c r="N14" s="15">
        <f>IF($C14="","",IF($L14="","",IF($L14&gt;=$J14,"Yes","No")))</f>
        <v/>
      </c>
      <c r="O14" s="15">
        <f>IF($C14="","",IF($M14="","",IF($M14&gt;=$J14,"Yes","No")))</f>
        <v/>
      </c>
      <c r="P14" s="15">
        <f>IF($C14="","",IF($K14="","",IF(COUNTIFS(nrES_PID,$D14,nrES_Code,$F14,nrES_Att,"&gt;"&amp;$K14)=0,"Yes","No")))</f>
        <v/>
      </c>
      <c r="Q14" s="15">
        <f>IF($C14="","",IF($L14="","",IF(AND($K14=1,$L14&lt;$J14,COUNTIFS(nrES_PID,$D14,nrES_Code,$F14,nrES_Att,2)=0),"Yes","No")))</f>
        <v/>
      </c>
      <c r="R14" s="15">
        <f>IF($C14="","",IF($L14="","",IF(AND($K14=2,$L14&lt;$J14,COUNTIFS(nrES_PID,$D14,nrES_Code,$F14,nrES_Att,1)&gt;0),"Yes","No")))</f>
        <v/>
      </c>
      <c r="S14" s="16" t="n"/>
      <c r="T14" s="17">
        <f>IF($Q14&lt;&gt;"Yes","",IF($S14="","(enter date)",_xlfn.LET(_xlpm.dn,IFERROR(_xlfn.XLOOKUP($S14,nrCDdate,nrCDnum),""),IF(_xlpm.dn="","(not a class day)",IFERROR(_xlfn.XLOOKUP(_xlpm.dn+cfgRetestClassDays,nrCDnum,nrCDdate),"")))))</f>
        <v/>
      </c>
      <c r="U14" s="15">
        <f>IF($Q14&lt;&gt;"Yes","",IF(COUNTIFS(nrES_PID,$D14,nrES_Code,$F14,nrES_Att,2)&gt;0,"Retested",IF(OR($T14="",NOT(ISNUMBER($T14))),"Pending",IF(TODAY()&gt;$T14,"OVERDUE","Due "&amp;TEXT($T14,"mm/dd")))))</f>
        <v/>
      </c>
      <c r="V14" s="14" t="n"/>
      <c r="W14" s="14" t="n"/>
    </row>
    <row r="15">
      <c r="B15" s="15">
        <f>IF($C15="","",$D15&amp;"-"&amp;$F15&amp;"-"&amp;$K15)</f>
        <v/>
      </c>
      <c r="C15" s="14" t="n"/>
      <c r="D15" s="15">
        <f>IF($C15="","",IFERROR(INDEX(rngCadetPIDs,MATCH($C15,rngCadetNames,0)),"?"))</f>
        <v/>
      </c>
      <c r="E15" s="15">
        <f>IF($D15="","",IFERROR(INDEX(nrCadetAgency,MATCH($D15,rngCadetPIDs,0)),""))</f>
        <v/>
      </c>
      <c r="F15" s="14" t="n"/>
      <c r="G15" s="15">
        <f>IF($F15="","",IFERROR(INDEX(rngEPname,MATCH($F15,rngEPcode,0)),"?"))</f>
        <v/>
      </c>
      <c r="H15" s="15">
        <f>IF($F15="","",IFERROR(INDEX(rngEPtype,MATCH($F15,rngEPcode,0)),"?"))</f>
        <v/>
      </c>
      <c r="I15" s="15">
        <f>IF($F15="","",IFERROR(INDEX(rngEPseq,MATCH($F15,rngEPcode,0)),""))</f>
        <v/>
      </c>
      <c r="J15" s="15">
        <f>IF($F15="","",IFERROR(INDEX(rngEPpass,MATCH($F15,rngEPcode,0)),cfgPassingScore))</f>
        <v/>
      </c>
      <c r="K15" s="14" t="n"/>
      <c r="L15" s="14" t="n"/>
      <c r="M15" s="15">
        <f>IF($C15="","",IF($L15="","",IF($K15=1,IF(COUNTIFS(nrES_PID,$D15,nrES_Code,$F15,nrES_Att,2)&gt;0,"",$L15),IF(COUNTIFS(nrES_PID,$D15,nrES_Code,$F15,nrES_Att,1)=0,$L15,IF($L15&gt;=$J15,cfgRetakeRecordedCap,SUMIFS(nrES_Raw,nrES_PID,$D15,nrES_Code,$F15,nrES_Att,1))))))</f>
        <v/>
      </c>
      <c r="N15" s="15">
        <f>IF($C15="","",IF($L15="","",IF($L15&gt;=$J15,"Yes","No")))</f>
        <v/>
      </c>
      <c r="O15" s="15">
        <f>IF($C15="","",IF($M15="","",IF($M15&gt;=$J15,"Yes","No")))</f>
        <v/>
      </c>
      <c r="P15" s="15">
        <f>IF($C15="","",IF($K15="","",IF(COUNTIFS(nrES_PID,$D15,nrES_Code,$F15,nrES_Att,"&gt;"&amp;$K15)=0,"Yes","No")))</f>
        <v/>
      </c>
      <c r="Q15" s="15">
        <f>IF($C15="","",IF($L15="","",IF(AND($K15=1,$L15&lt;$J15,COUNTIFS(nrES_PID,$D15,nrES_Code,$F15,nrES_Att,2)=0),"Yes","No")))</f>
        <v/>
      </c>
      <c r="R15" s="15">
        <f>IF($C15="","",IF($L15="","",IF(AND($K15=2,$L15&lt;$J15,COUNTIFS(nrES_PID,$D15,nrES_Code,$F15,nrES_Att,1)&gt;0),"Yes","No")))</f>
        <v/>
      </c>
      <c r="S15" s="16" t="n"/>
      <c r="T15" s="17">
        <f>IF($Q15&lt;&gt;"Yes","",IF($S15="","(enter date)",_xlfn.LET(_xlpm.dn,IFERROR(_xlfn.XLOOKUP($S15,nrCDdate,nrCDnum),""),IF(_xlpm.dn="","(not a class day)",IFERROR(_xlfn.XLOOKUP(_xlpm.dn+cfgRetestClassDays,nrCDnum,nrCDdate),"")))))</f>
        <v/>
      </c>
      <c r="U15" s="15">
        <f>IF($Q15&lt;&gt;"Yes","",IF(COUNTIFS(nrES_PID,$D15,nrES_Code,$F15,nrES_Att,2)&gt;0,"Retested",IF(OR($T15="",NOT(ISNUMBER($T15))),"Pending",IF(TODAY()&gt;$T15,"OVERDUE","Due "&amp;TEXT($T15,"mm/dd")))))</f>
        <v/>
      </c>
      <c r="V15" s="14" t="n"/>
      <c r="W15" s="14" t="n"/>
    </row>
    <row r="16">
      <c r="B16" s="15">
        <f>IF($C16="","",$D16&amp;"-"&amp;$F16&amp;"-"&amp;$K16)</f>
        <v/>
      </c>
      <c r="C16" s="14" t="n"/>
      <c r="D16" s="15">
        <f>IF($C16="","",IFERROR(INDEX(rngCadetPIDs,MATCH($C16,rngCadetNames,0)),"?"))</f>
        <v/>
      </c>
      <c r="E16" s="15">
        <f>IF($D16="","",IFERROR(INDEX(nrCadetAgency,MATCH($D16,rngCadetPIDs,0)),""))</f>
        <v/>
      </c>
      <c r="F16" s="14" t="n"/>
      <c r="G16" s="15">
        <f>IF($F16="","",IFERROR(INDEX(rngEPname,MATCH($F16,rngEPcode,0)),"?"))</f>
        <v/>
      </c>
      <c r="H16" s="15">
        <f>IF($F16="","",IFERROR(INDEX(rngEPtype,MATCH($F16,rngEPcode,0)),"?"))</f>
        <v/>
      </c>
      <c r="I16" s="15">
        <f>IF($F16="","",IFERROR(INDEX(rngEPseq,MATCH($F16,rngEPcode,0)),""))</f>
        <v/>
      </c>
      <c r="J16" s="15">
        <f>IF($F16="","",IFERROR(INDEX(rngEPpass,MATCH($F16,rngEPcode,0)),cfgPassingScore))</f>
        <v/>
      </c>
      <c r="K16" s="14" t="n"/>
      <c r="L16" s="14" t="n"/>
      <c r="M16" s="15">
        <f>IF($C16="","",IF($L16="","",IF($K16=1,IF(COUNTIFS(nrES_PID,$D16,nrES_Code,$F16,nrES_Att,2)&gt;0,"",$L16),IF(COUNTIFS(nrES_PID,$D16,nrES_Code,$F16,nrES_Att,1)=0,$L16,IF($L16&gt;=$J16,cfgRetakeRecordedCap,SUMIFS(nrES_Raw,nrES_PID,$D16,nrES_Code,$F16,nrES_Att,1))))))</f>
        <v/>
      </c>
      <c r="N16" s="15">
        <f>IF($C16="","",IF($L16="","",IF($L16&gt;=$J16,"Yes","No")))</f>
        <v/>
      </c>
      <c r="O16" s="15">
        <f>IF($C16="","",IF($M16="","",IF($M16&gt;=$J16,"Yes","No")))</f>
        <v/>
      </c>
      <c r="P16" s="15">
        <f>IF($C16="","",IF($K16="","",IF(COUNTIFS(nrES_PID,$D16,nrES_Code,$F16,nrES_Att,"&gt;"&amp;$K16)=0,"Yes","No")))</f>
        <v/>
      </c>
      <c r="Q16" s="15">
        <f>IF($C16="","",IF($L16="","",IF(AND($K16=1,$L16&lt;$J16,COUNTIFS(nrES_PID,$D16,nrES_Code,$F16,nrES_Att,2)=0),"Yes","No")))</f>
        <v/>
      </c>
      <c r="R16" s="15">
        <f>IF($C16="","",IF($L16="","",IF(AND($K16=2,$L16&lt;$J16,COUNTIFS(nrES_PID,$D16,nrES_Code,$F16,nrES_Att,1)&gt;0),"Yes","No")))</f>
        <v/>
      </c>
      <c r="S16" s="16" t="n"/>
      <c r="T16" s="17">
        <f>IF($Q16&lt;&gt;"Yes","",IF($S16="","(enter date)",_xlfn.LET(_xlpm.dn,IFERROR(_xlfn.XLOOKUP($S16,nrCDdate,nrCDnum),""),IF(_xlpm.dn="","(not a class day)",IFERROR(_xlfn.XLOOKUP(_xlpm.dn+cfgRetestClassDays,nrCDnum,nrCDdate),"")))))</f>
        <v/>
      </c>
      <c r="U16" s="15">
        <f>IF($Q16&lt;&gt;"Yes","",IF(COUNTIFS(nrES_PID,$D16,nrES_Code,$F16,nrES_Att,2)&gt;0,"Retested",IF(OR($T16="",NOT(ISNUMBER($T16))),"Pending",IF(TODAY()&gt;$T16,"OVERDUE","Due "&amp;TEXT($T16,"mm/dd")))))</f>
        <v/>
      </c>
      <c r="V16" s="14" t="n"/>
      <c r="W16" s="14" t="n"/>
    </row>
    <row r="17">
      <c r="B17" s="15">
        <f>IF($C17="","",$D17&amp;"-"&amp;$F17&amp;"-"&amp;$K17)</f>
        <v/>
      </c>
      <c r="C17" s="14" t="n"/>
      <c r="D17" s="15">
        <f>IF($C17="","",IFERROR(INDEX(rngCadetPIDs,MATCH($C17,rngCadetNames,0)),"?"))</f>
        <v/>
      </c>
      <c r="E17" s="15">
        <f>IF($D17="","",IFERROR(INDEX(nrCadetAgency,MATCH($D17,rngCadetPIDs,0)),""))</f>
        <v/>
      </c>
      <c r="F17" s="14" t="n"/>
      <c r="G17" s="15">
        <f>IF($F17="","",IFERROR(INDEX(rngEPname,MATCH($F17,rngEPcode,0)),"?"))</f>
        <v/>
      </c>
      <c r="H17" s="15">
        <f>IF($F17="","",IFERROR(INDEX(rngEPtype,MATCH($F17,rngEPcode,0)),"?"))</f>
        <v/>
      </c>
      <c r="I17" s="15">
        <f>IF($F17="","",IFERROR(INDEX(rngEPseq,MATCH($F17,rngEPcode,0)),""))</f>
        <v/>
      </c>
      <c r="J17" s="15">
        <f>IF($F17="","",IFERROR(INDEX(rngEPpass,MATCH($F17,rngEPcode,0)),cfgPassingScore))</f>
        <v/>
      </c>
      <c r="K17" s="14" t="n"/>
      <c r="L17" s="14" t="n"/>
      <c r="M17" s="15">
        <f>IF($C17="","",IF($L17="","",IF($K17=1,IF(COUNTIFS(nrES_PID,$D17,nrES_Code,$F17,nrES_Att,2)&gt;0,"",$L17),IF(COUNTIFS(nrES_PID,$D17,nrES_Code,$F17,nrES_Att,1)=0,$L17,IF($L17&gt;=$J17,cfgRetakeRecordedCap,SUMIFS(nrES_Raw,nrES_PID,$D17,nrES_Code,$F17,nrES_Att,1))))))</f>
        <v/>
      </c>
      <c r="N17" s="15">
        <f>IF($C17="","",IF($L17="","",IF($L17&gt;=$J17,"Yes","No")))</f>
        <v/>
      </c>
      <c r="O17" s="15">
        <f>IF($C17="","",IF($M17="","",IF($M17&gt;=$J17,"Yes","No")))</f>
        <v/>
      </c>
      <c r="P17" s="15">
        <f>IF($C17="","",IF($K17="","",IF(COUNTIFS(nrES_PID,$D17,nrES_Code,$F17,nrES_Att,"&gt;"&amp;$K17)=0,"Yes","No")))</f>
        <v/>
      </c>
      <c r="Q17" s="15">
        <f>IF($C17="","",IF($L17="","",IF(AND($K17=1,$L17&lt;$J17,COUNTIFS(nrES_PID,$D17,nrES_Code,$F17,nrES_Att,2)=0),"Yes","No")))</f>
        <v/>
      </c>
      <c r="R17" s="15">
        <f>IF($C17="","",IF($L17="","",IF(AND($K17=2,$L17&lt;$J17,COUNTIFS(nrES_PID,$D17,nrES_Code,$F17,nrES_Att,1)&gt;0),"Yes","No")))</f>
        <v/>
      </c>
      <c r="S17" s="16" t="n"/>
      <c r="T17" s="17">
        <f>IF($Q17&lt;&gt;"Yes","",IF($S17="","(enter date)",_xlfn.LET(_xlpm.dn,IFERROR(_xlfn.XLOOKUP($S17,nrCDdate,nrCDnum),""),IF(_xlpm.dn="","(not a class day)",IFERROR(_xlfn.XLOOKUP(_xlpm.dn+cfgRetestClassDays,nrCDnum,nrCDdate),"")))))</f>
        <v/>
      </c>
      <c r="U17" s="15">
        <f>IF($Q17&lt;&gt;"Yes","",IF(COUNTIFS(nrES_PID,$D17,nrES_Code,$F17,nrES_Att,2)&gt;0,"Retested",IF(OR($T17="",NOT(ISNUMBER($T17))),"Pending",IF(TODAY()&gt;$T17,"OVERDUE","Due "&amp;TEXT($T17,"mm/dd")))))</f>
        <v/>
      </c>
      <c r="V17" s="14" t="n"/>
      <c r="W17" s="14" t="n"/>
    </row>
    <row r="18">
      <c r="B18" s="15">
        <f>IF($C18="","",$D18&amp;"-"&amp;$F18&amp;"-"&amp;$K18)</f>
        <v/>
      </c>
      <c r="C18" s="14" t="n"/>
      <c r="D18" s="15">
        <f>IF($C18="","",IFERROR(INDEX(rngCadetPIDs,MATCH($C18,rngCadetNames,0)),"?"))</f>
        <v/>
      </c>
      <c r="E18" s="15">
        <f>IF($D18="","",IFERROR(INDEX(nrCadetAgency,MATCH($D18,rngCadetPIDs,0)),""))</f>
        <v/>
      </c>
      <c r="F18" s="14" t="n"/>
      <c r="G18" s="15">
        <f>IF($F18="","",IFERROR(INDEX(rngEPname,MATCH($F18,rngEPcode,0)),"?"))</f>
        <v/>
      </c>
      <c r="H18" s="15">
        <f>IF($F18="","",IFERROR(INDEX(rngEPtype,MATCH($F18,rngEPcode,0)),"?"))</f>
        <v/>
      </c>
      <c r="I18" s="15">
        <f>IF($F18="","",IFERROR(INDEX(rngEPseq,MATCH($F18,rngEPcode,0)),""))</f>
        <v/>
      </c>
      <c r="J18" s="15">
        <f>IF($F18="","",IFERROR(INDEX(rngEPpass,MATCH($F18,rngEPcode,0)),cfgPassingScore))</f>
        <v/>
      </c>
      <c r="K18" s="14" t="n"/>
      <c r="L18" s="14" t="n"/>
      <c r="M18" s="15">
        <f>IF($C18="","",IF($L18="","",IF($K18=1,IF(COUNTIFS(nrES_PID,$D18,nrES_Code,$F18,nrES_Att,2)&gt;0,"",$L18),IF(COUNTIFS(nrES_PID,$D18,nrES_Code,$F18,nrES_Att,1)=0,$L18,IF($L18&gt;=$J18,cfgRetakeRecordedCap,SUMIFS(nrES_Raw,nrES_PID,$D18,nrES_Code,$F18,nrES_Att,1))))))</f>
        <v/>
      </c>
      <c r="N18" s="15">
        <f>IF($C18="","",IF($L18="","",IF($L18&gt;=$J18,"Yes","No")))</f>
        <v/>
      </c>
      <c r="O18" s="15">
        <f>IF($C18="","",IF($M18="","",IF($M18&gt;=$J18,"Yes","No")))</f>
        <v/>
      </c>
      <c r="P18" s="15">
        <f>IF($C18="","",IF($K18="","",IF(COUNTIFS(nrES_PID,$D18,nrES_Code,$F18,nrES_Att,"&gt;"&amp;$K18)=0,"Yes","No")))</f>
        <v/>
      </c>
      <c r="Q18" s="15">
        <f>IF($C18="","",IF($L18="","",IF(AND($K18=1,$L18&lt;$J18,COUNTIFS(nrES_PID,$D18,nrES_Code,$F18,nrES_Att,2)=0),"Yes","No")))</f>
        <v/>
      </c>
      <c r="R18" s="15">
        <f>IF($C18="","",IF($L18="","",IF(AND($K18=2,$L18&lt;$J18,COUNTIFS(nrES_PID,$D18,nrES_Code,$F18,nrES_Att,1)&gt;0),"Yes","No")))</f>
        <v/>
      </c>
      <c r="S18" s="16" t="n"/>
      <c r="T18" s="17">
        <f>IF($Q18&lt;&gt;"Yes","",IF($S18="","(enter date)",_xlfn.LET(_xlpm.dn,IFERROR(_xlfn.XLOOKUP($S18,nrCDdate,nrCDnum),""),IF(_xlpm.dn="","(not a class day)",IFERROR(_xlfn.XLOOKUP(_xlpm.dn+cfgRetestClassDays,nrCDnum,nrCDdate),"")))))</f>
        <v/>
      </c>
      <c r="U18" s="15">
        <f>IF($Q18&lt;&gt;"Yes","",IF(COUNTIFS(nrES_PID,$D18,nrES_Code,$F18,nrES_Att,2)&gt;0,"Retested",IF(OR($T18="",NOT(ISNUMBER($T18))),"Pending",IF(TODAY()&gt;$T18,"OVERDUE","Due "&amp;TEXT($T18,"mm/dd")))))</f>
        <v/>
      </c>
      <c r="V18" s="14" t="n"/>
      <c r="W18" s="14" t="n"/>
    </row>
    <row r="19">
      <c r="B19" s="15">
        <f>IF($C19="","",$D19&amp;"-"&amp;$F19&amp;"-"&amp;$K19)</f>
        <v/>
      </c>
      <c r="C19" s="14" t="n"/>
      <c r="D19" s="15">
        <f>IF($C19="","",IFERROR(INDEX(rngCadetPIDs,MATCH($C19,rngCadetNames,0)),"?"))</f>
        <v/>
      </c>
      <c r="E19" s="15">
        <f>IF($D19="","",IFERROR(INDEX(nrCadetAgency,MATCH($D19,rngCadetPIDs,0)),""))</f>
        <v/>
      </c>
      <c r="F19" s="14" t="n"/>
      <c r="G19" s="15">
        <f>IF($F19="","",IFERROR(INDEX(rngEPname,MATCH($F19,rngEPcode,0)),"?"))</f>
        <v/>
      </c>
      <c r="H19" s="15">
        <f>IF($F19="","",IFERROR(INDEX(rngEPtype,MATCH($F19,rngEPcode,0)),"?"))</f>
        <v/>
      </c>
      <c r="I19" s="15">
        <f>IF($F19="","",IFERROR(INDEX(rngEPseq,MATCH($F19,rngEPcode,0)),""))</f>
        <v/>
      </c>
      <c r="J19" s="15">
        <f>IF($F19="","",IFERROR(INDEX(rngEPpass,MATCH($F19,rngEPcode,0)),cfgPassingScore))</f>
        <v/>
      </c>
      <c r="K19" s="14" t="n"/>
      <c r="L19" s="14" t="n"/>
      <c r="M19" s="15">
        <f>IF($C19="","",IF($L19="","",IF($K19=1,IF(COUNTIFS(nrES_PID,$D19,nrES_Code,$F19,nrES_Att,2)&gt;0,"",$L19),IF(COUNTIFS(nrES_PID,$D19,nrES_Code,$F19,nrES_Att,1)=0,$L19,IF($L19&gt;=$J19,cfgRetakeRecordedCap,SUMIFS(nrES_Raw,nrES_PID,$D19,nrES_Code,$F19,nrES_Att,1))))))</f>
        <v/>
      </c>
      <c r="N19" s="15">
        <f>IF($C19="","",IF($L19="","",IF($L19&gt;=$J19,"Yes","No")))</f>
        <v/>
      </c>
      <c r="O19" s="15">
        <f>IF($C19="","",IF($M19="","",IF($M19&gt;=$J19,"Yes","No")))</f>
        <v/>
      </c>
      <c r="P19" s="15">
        <f>IF($C19="","",IF($K19="","",IF(COUNTIFS(nrES_PID,$D19,nrES_Code,$F19,nrES_Att,"&gt;"&amp;$K19)=0,"Yes","No")))</f>
        <v/>
      </c>
      <c r="Q19" s="15">
        <f>IF($C19="","",IF($L19="","",IF(AND($K19=1,$L19&lt;$J19,COUNTIFS(nrES_PID,$D19,nrES_Code,$F19,nrES_Att,2)=0),"Yes","No")))</f>
        <v/>
      </c>
      <c r="R19" s="15">
        <f>IF($C19="","",IF($L19="","",IF(AND($K19=2,$L19&lt;$J19,COUNTIFS(nrES_PID,$D19,nrES_Code,$F19,nrES_Att,1)&gt;0),"Yes","No")))</f>
        <v/>
      </c>
      <c r="S19" s="16" t="n"/>
      <c r="T19" s="17">
        <f>IF($Q19&lt;&gt;"Yes","",IF($S19="","(enter date)",_xlfn.LET(_xlpm.dn,IFERROR(_xlfn.XLOOKUP($S19,nrCDdate,nrCDnum),""),IF(_xlpm.dn="","(not a class day)",IFERROR(_xlfn.XLOOKUP(_xlpm.dn+cfgRetestClassDays,nrCDnum,nrCDdate),"")))))</f>
        <v/>
      </c>
      <c r="U19" s="15">
        <f>IF($Q19&lt;&gt;"Yes","",IF(COUNTIFS(nrES_PID,$D19,nrES_Code,$F19,nrES_Att,2)&gt;0,"Retested",IF(OR($T19="",NOT(ISNUMBER($T19))),"Pending",IF(TODAY()&gt;$T19,"OVERDUE","Due "&amp;TEXT($T19,"mm/dd")))))</f>
        <v/>
      </c>
      <c r="V19" s="14" t="n"/>
      <c r="W19" s="14" t="n"/>
    </row>
    <row r="20">
      <c r="B20" s="15">
        <f>IF($C20="","",$D20&amp;"-"&amp;$F20&amp;"-"&amp;$K20)</f>
        <v/>
      </c>
      <c r="C20" s="14" t="n"/>
      <c r="D20" s="15">
        <f>IF($C20="","",IFERROR(INDEX(rngCadetPIDs,MATCH($C20,rngCadetNames,0)),"?"))</f>
        <v/>
      </c>
      <c r="E20" s="15">
        <f>IF($D20="","",IFERROR(INDEX(nrCadetAgency,MATCH($D20,rngCadetPIDs,0)),""))</f>
        <v/>
      </c>
      <c r="F20" s="14" t="n"/>
      <c r="G20" s="15">
        <f>IF($F20="","",IFERROR(INDEX(rngEPname,MATCH($F20,rngEPcode,0)),"?"))</f>
        <v/>
      </c>
      <c r="H20" s="15">
        <f>IF($F20="","",IFERROR(INDEX(rngEPtype,MATCH($F20,rngEPcode,0)),"?"))</f>
        <v/>
      </c>
      <c r="I20" s="15">
        <f>IF($F20="","",IFERROR(INDEX(rngEPseq,MATCH($F20,rngEPcode,0)),""))</f>
        <v/>
      </c>
      <c r="J20" s="15">
        <f>IF($F20="","",IFERROR(INDEX(rngEPpass,MATCH($F20,rngEPcode,0)),cfgPassingScore))</f>
        <v/>
      </c>
      <c r="K20" s="14" t="n"/>
      <c r="L20" s="14" t="n"/>
      <c r="M20" s="15">
        <f>IF($C20="","",IF($L20="","",IF($K20=1,IF(COUNTIFS(nrES_PID,$D20,nrES_Code,$F20,nrES_Att,2)&gt;0,"",$L20),IF(COUNTIFS(nrES_PID,$D20,nrES_Code,$F20,nrES_Att,1)=0,$L20,IF($L20&gt;=$J20,cfgRetakeRecordedCap,SUMIFS(nrES_Raw,nrES_PID,$D20,nrES_Code,$F20,nrES_Att,1))))))</f>
        <v/>
      </c>
      <c r="N20" s="15">
        <f>IF($C20="","",IF($L20="","",IF($L20&gt;=$J20,"Yes","No")))</f>
        <v/>
      </c>
      <c r="O20" s="15">
        <f>IF($C20="","",IF($M20="","",IF($M20&gt;=$J20,"Yes","No")))</f>
        <v/>
      </c>
      <c r="P20" s="15">
        <f>IF($C20="","",IF($K20="","",IF(COUNTIFS(nrES_PID,$D20,nrES_Code,$F20,nrES_Att,"&gt;"&amp;$K20)=0,"Yes","No")))</f>
        <v/>
      </c>
      <c r="Q20" s="15">
        <f>IF($C20="","",IF($L20="","",IF(AND($K20=1,$L20&lt;$J20,COUNTIFS(nrES_PID,$D20,nrES_Code,$F20,nrES_Att,2)=0),"Yes","No")))</f>
        <v/>
      </c>
      <c r="R20" s="15">
        <f>IF($C20="","",IF($L20="","",IF(AND($K20=2,$L20&lt;$J20,COUNTIFS(nrES_PID,$D20,nrES_Code,$F20,nrES_Att,1)&gt;0),"Yes","No")))</f>
        <v/>
      </c>
      <c r="S20" s="16" t="n"/>
      <c r="T20" s="17">
        <f>IF($Q20&lt;&gt;"Yes","",IF($S20="","(enter date)",_xlfn.LET(_xlpm.dn,IFERROR(_xlfn.XLOOKUP($S20,nrCDdate,nrCDnum),""),IF(_xlpm.dn="","(not a class day)",IFERROR(_xlfn.XLOOKUP(_xlpm.dn+cfgRetestClassDays,nrCDnum,nrCDdate),"")))))</f>
        <v/>
      </c>
      <c r="U20" s="15">
        <f>IF($Q20&lt;&gt;"Yes","",IF(COUNTIFS(nrES_PID,$D20,nrES_Code,$F20,nrES_Att,2)&gt;0,"Retested",IF(OR($T20="",NOT(ISNUMBER($T20))),"Pending",IF(TODAY()&gt;$T20,"OVERDUE","Due "&amp;TEXT($T20,"mm/dd")))))</f>
        <v/>
      </c>
      <c r="V20" s="14" t="n"/>
      <c r="W20" s="14" t="n"/>
    </row>
    <row r="21">
      <c r="B21" s="15">
        <f>IF($C21="","",$D21&amp;"-"&amp;$F21&amp;"-"&amp;$K21)</f>
        <v/>
      </c>
      <c r="C21" s="14" t="n"/>
      <c r="D21" s="15">
        <f>IF($C21="","",IFERROR(INDEX(rngCadetPIDs,MATCH($C21,rngCadetNames,0)),"?"))</f>
        <v/>
      </c>
      <c r="E21" s="15">
        <f>IF($D21="","",IFERROR(INDEX(nrCadetAgency,MATCH($D21,rngCadetPIDs,0)),""))</f>
        <v/>
      </c>
      <c r="F21" s="14" t="n"/>
      <c r="G21" s="15">
        <f>IF($F21="","",IFERROR(INDEX(rngEPname,MATCH($F21,rngEPcode,0)),"?"))</f>
        <v/>
      </c>
      <c r="H21" s="15">
        <f>IF($F21="","",IFERROR(INDEX(rngEPtype,MATCH($F21,rngEPcode,0)),"?"))</f>
        <v/>
      </c>
      <c r="I21" s="15">
        <f>IF($F21="","",IFERROR(INDEX(rngEPseq,MATCH($F21,rngEPcode,0)),""))</f>
        <v/>
      </c>
      <c r="J21" s="15">
        <f>IF($F21="","",IFERROR(INDEX(rngEPpass,MATCH($F21,rngEPcode,0)),cfgPassingScore))</f>
        <v/>
      </c>
      <c r="K21" s="14" t="n"/>
      <c r="L21" s="14" t="n"/>
      <c r="M21" s="15">
        <f>IF($C21="","",IF($L21="","",IF($K21=1,IF(COUNTIFS(nrES_PID,$D21,nrES_Code,$F21,nrES_Att,2)&gt;0,"",$L21),IF(COUNTIFS(nrES_PID,$D21,nrES_Code,$F21,nrES_Att,1)=0,$L21,IF($L21&gt;=$J21,cfgRetakeRecordedCap,SUMIFS(nrES_Raw,nrES_PID,$D21,nrES_Code,$F21,nrES_Att,1))))))</f>
        <v/>
      </c>
      <c r="N21" s="15">
        <f>IF($C21="","",IF($L21="","",IF($L21&gt;=$J21,"Yes","No")))</f>
        <v/>
      </c>
      <c r="O21" s="15">
        <f>IF($C21="","",IF($M21="","",IF($M21&gt;=$J21,"Yes","No")))</f>
        <v/>
      </c>
      <c r="P21" s="15">
        <f>IF($C21="","",IF($K21="","",IF(COUNTIFS(nrES_PID,$D21,nrES_Code,$F21,nrES_Att,"&gt;"&amp;$K21)=0,"Yes","No")))</f>
        <v/>
      </c>
      <c r="Q21" s="15">
        <f>IF($C21="","",IF($L21="","",IF(AND($K21=1,$L21&lt;$J21,COUNTIFS(nrES_PID,$D21,nrES_Code,$F21,nrES_Att,2)=0),"Yes","No")))</f>
        <v/>
      </c>
      <c r="R21" s="15">
        <f>IF($C21="","",IF($L21="","",IF(AND($K21=2,$L21&lt;$J21,COUNTIFS(nrES_PID,$D21,nrES_Code,$F21,nrES_Att,1)&gt;0),"Yes","No")))</f>
        <v/>
      </c>
      <c r="S21" s="16" t="n"/>
      <c r="T21" s="17">
        <f>IF($Q21&lt;&gt;"Yes","",IF($S21="","(enter date)",_xlfn.LET(_xlpm.dn,IFERROR(_xlfn.XLOOKUP($S21,nrCDdate,nrCDnum),""),IF(_xlpm.dn="","(not a class day)",IFERROR(_xlfn.XLOOKUP(_xlpm.dn+cfgRetestClassDays,nrCDnum,nrCDdate),"")))))</f>
        <v/>
      </c>
      <c r="U21" s="15">
        <f>IF($Q21&lt;&gt;"Yes","",IF(COUNTIFS(nrES_PID,$D21,nrES_Code,$F21,nrES_Att,2)&gt;0,"Retested",IF(OR($T21="",NOT(ISNUMBER($T21))),"Pending",IF(TODAY()&gt;$T21,"OVERDUE","Due "&amp;TEXT($T21,"mm/dd")))))</f>
        <v/>
      </c>
      <c r="V21" s="14" t="n"/>
      <c r="W21" s="14" t="n"/>
    </row>
    <row r="22">
      <c r="B22" s="15">
        <f>IF($C22="","",$D22&amp;"-"&amp;$F22&amp;"-"&amp;$K22)</f>
        <v/>
      </c>
      <c r="C22" s="14" t="n"/>
      <c r="D22" s="15">
        <f>IF($C22="","",IFERROR(INDEX(rngCadetPIDs,MATCH($C22,rngCadetNames,0)),"?"))</f>
        <v/>
      </c>
      <c r="E22" s="15">
        <f>IF($D22="","",IFERROR(INDEX(nrCadetAgency,MATCH($D22,rngCadetPIDs,0)),""))</f>
        <v/>
      </c>
      <c r="F22" s="14" t="n"/>
      <c r="G22" s="15">
        <f>IF($F22="","",IFERROR(INDEX(rngEPname,MATCH($F22,rngEPcode,0)),"?"))</f>
        <v/>
      </c>
      <c r="H22" s="15">
        <f>IF($F22="","",IFERROR(INDEX(rngEPtype,MATCH($F22,rngEPcode,0)),"?"))</f>
        <v/>
      </c>
      <c r="I22" s="15">
        <f>IF($F22="","",IFERROR(INDEX(rngEPseq,MATCH($F22,rngEPcode,0)),""))</f>
        <v/>
      </c>
      <c r="J22" s="15">
        <f>IF($F22="","",IFERROR(INDEX(rngEPpass,MATCH($F22,rngEPcode,0)),cfgPassingScore))</f>
        <v/>
      </c>
      <c r="K22" s="14" t="n"/>
      <c r="L22" s="14" t="n"/>
      <c r="M22" s="15">
        <f>IF($C22="","",IF($L22="","",IF($K22=1,IF(COUNTIFS(nrES_PID,$D22,nrES_Code,$F22,nrES_Att,2)&gt;0,"",$L22),IF(COUNTIFS(nrES_PID,$D22,nrES_Code,$F22,nrES_Att,1)=0,$L22,IF($L22&gt;=$J22,cfgRetakeRecordedCap,SUMIFS(nrES_Raw,nrES_PID,$D22,nrES_Code,$F22,nrES_Att,1))))))</f>
        <v/>
      </c>
      <c r="N22" s="15">
        <f>IF($C22="","",IF($L22="","",IF($L22&gt;=$J22,"Yes","No")))</f>
        <v/>
      </c>
      <c r="O22" s="15">
        <f>IF($C22="","",IF($M22="","",IF($M22&gt;=$J22,"Yes","No")))</f>
        <v/>
      </c>
      <c r="P22" s="15">
        <f>IF($C22="","",IF($K22="","",IF(COUNTIFS(nrES_PID,$D22,nrES_Code,$F22,nrES_Att,"&gt;"&amp;$K22)=0,"Yes","No")))</f>
        <v/>
      </c>
      <c r="Q22" s="15">
        <f>IF($C22="","",IF($L22="","",IF(AND($K22=1,$L22&lt;$J22,COUNTIFS(nrES_PID,$D22,nrES_Code,$F22,nrES_Att,2)=0),"Yes","No")))</f>
        <v/>
      </c>
      <c r="R22" s="15">
        <f>IF($C22="","",IF($L22="","",IF(AND($K22=2,$L22&lt;$J22,COUNTIFS(nrES_PID,$D22,nrES_Code,$F22,nrES_Att,1)&gt;0),"Yes","No")))</f>
        <v/>
      </c>
      <c r="S22" s="16" t="n"/>
      <c r="T22" s="17">
        <f>IF($Q22&lt;&gt;"Yes","",IF($S22="","(enter date)",_xlfn.LET(_xlpm.dn,IFERROR(_xlfn.XLOOKUP($S22,nrCDdate,nrCDnum),""),IF(_xlpm.dn="","(not a class day)",IFERROR(_xlfn.XLOOKUP(_xlpm.dn+cfgRetestClassDays,nrCDnum,nrCDdate),"")))))</f>
        <v/>
      </c>
      <c r="U22" s="15">
        <f>IF($Q22&lt;&gt;"Yes","",IF(COUNTIFS(nrES_PID,$D22,nrES_Code,$F22,nrES_Att,2)&gt;0,"Retested",IF(OR($T22="",NOT(ISNUMBER($T22))),"Pending",IF(TODAY()&gt;$T22,"OVERDUE","Due "&amp;TEXT($T22,"mm/dd")))))</f>
        <v/>
      </c>
      <c r="V22" s="14" t="n"/>
      <c r="W22" s="14" t="n"/>
    </row>
    <row r="23">
      <c r="B23" s="15">
        <f>IF($C23="","",$D23&amp;"-"&amp;$F23&amp;"-"&amp;$K23)</f>
        <v/>
      </c>
      <c r="C23" s="14" t="n"/>
      <c r="D23" s="15">
        <f>IF($C23="","",IFERROR(INDEX(rngCadetPIDs,MATCH($C23,rngCadetNames,0)),"?"))</f>
        <v/>
      </c>
      <c r="E23" s="15">
        <f>IF($D23="","",IFERROR(INDEX(nrCadetAgency,MATCH($D23,rngCadetPIDs,0)),""))</f>
        <v/>
      </c>
      <c r="F23" s="14" t="n"/>
      <c r="G23" s="15">
        <f>IF($F23="","",IFERROR(INDEX(rngEPname,MATCH($F23,rngEPcode,0)),"?"))</f>
        <v/>
      </c>
      <c r="H23" s="15">
        <f>IF($F23="","",IFERROR(INDEX(rngEPtype,MATCH($F23,rngEPcode,0)),"?"))</f>
        <v/>
      </c>
      <c r="I23" s="15">
        <f>IF($F23="","",IFERROR(INDEX(rngEPseq,MATCH($F23,rngEPcode,0)),""))</f>
        <v/>
      </c>
      <c r="J23" s="15">
        <f>IF($F23="","",IFERROR(INDEX(rngEPpass,MATCH($F23,rngEPcode,0)),cfgPassingScore))</f>
        <v/>
      </c>
      <c r="K23" s="14" t="n"/>
      <c r="L23" s="14" t="n"/>
      <c r="M23" s="15">
        <f>IF($C23="","",IF($L23="","",IF($K23=1,IF(COUNTIFS(nrES_PID,$D23,nrES_Code,$F23,nrES_Att,2)&gt;0,"",$L23),IF(COUNTIFS(nrES_PID,$D23,nrES_Code,$F23,nrES_Att,1)=0,$L23,IF($L23&gt;=$J23,cfgRetakeRecordedCap,SUMIFS(nrES_Raw,nrES_PID,$D23,nrES_Code,$F23,nrES_Att,1))))))</f>
        <v/>
      </c>
      <c r="N23" s="15">
        <f>IF($C23="","",IF($L23="","",IF($L23&gt;=$J23,"Yes","No")))</f>
        <v/>
      </c>
      <c r="O23" s="15">
        <f>IF($C23="","",IF($M23="","",IF($M23&gt;=$J23,"Yes","No")))</f>
        <v/>
      </c>
      <c r="P23" s="15">
        <f>IF($C23="","",IF($K23="","",IF(COUNTIFS(nrES_PID,$D23,nrES_Code,$F23,nrES_Att,"&gt;"&amp;$K23)=0,"Yes","No")))</f>
        <v/>
      </c>
      <c r="Q23" s="15">
        <f>IF($C23="","",IF($L23="","",IF(AND($K23=1,$L23&lt;$J23,COUNTIFS(nrES_PID,$D23,nrES_Code,$F23,nrES_Att,2)=0),"Yes","No")))</f>
        <v/>
      </c>
      <c r="R23" s="15">
        <f>IF($C23="","",IF($L23="","",IF(AND($K23=2,$L23&lt;$J23,COUNTIFS(nrES_PID,$D23,nrES_Code,$F23,nrES_Att,1)&gt;0),"Yes","No")))</f>
        <v/>
      </c>
      <c r="S23" s="16" t="n"/>
      <c r="T23" s="17">
        <f>IF($Q23&lt;&gt;"Yes","",IF($S23="","(enter date)",_xlfn.LET(_xlpm.dn,IFERROR(_xlfn.XLOOKUP($S23,nrCDdate,nrCDnum),""),IF(_xlpm.dn="","(not a class day)",IFERROR(_xlfn.XLOOKUP(_xlpm.dn+cfgRetestClassDays,nrCDnum,nrCDdate),"")))))</f>
        <v/>
      </c>
      <c r="U23" s="15">
        <f>IF($Q23&lt;&gt;"Yes","",IF(COUNTIFS(nrES_PID,$D23,nrES_Code,$F23,nrES_Att,2)&gt;0,"Retested",IF(OR($T23="",NOT(ISNUMBER($T23))),"Pending",IF(TODAY()&gt;$T23,"OVERDUE","Due "&amp;TEXT($T23,"mm/dd")))))</f>
        <v/>
      </c>
      <c r="V23" s="14" t="n"/>
      <c r="W23" s="14" t="n"/>
    </row>
    <row r="24">
      <c r="B24" s="15">
        <f>IF($C24="","",$D24&amp;"-"&amp;$F24&amp;"-"&amp;$K24)</f>
        <v/>
      </c>
      <c r="C24" s="14" t="n"/>
      <c r="D24" s="15">
        <f>IF($C24="","",IFERROR(INDEX(rngCadetPIDs,MATCH($C24,rngCadetNames,0)),"?"))</f>
        <v/>
      </c>
      <c r="E24" s="15">
        <f>IF($D24="","",IFERROR(INDEX(nrCadetAgency,MATCH($D24,rngCadetPIDs,0)),""))</f>
        <v/>
      </c>
      <c r="F24" s="14" t="n"/>
      <c r="G24" s="15">
        <f>IF($F24="","",IFERROR(INDEX(rngEPname,MATCH($F24,rngEPcode,0)),"?"))</f>
        <v/>
      </c>
      <c r="H24" s="15">
        <f>IF($F24="","",IFERROR(INDEX(rngEPtype,MATCH($F24,rngEPcode,0)),"?"))</f>
        <v/>
      </c>
      <c r="I24" s="15">
        <f>IF($F24="","",IFERROR(INDEX(rngEPseq,MATCH($F24,rngEPcode,0)),""))</f>
        <v/>
      </c>
      <c r="J24" s="15">
        <f>IF($F24="","",IFERROR(INDEX(rngEPpass,MATCH($F24,rngEPcode,0)),cfgPassingScore))</f>
        <v/>
      </c>
      <c r="K24" s="14" t="n"/>
      <c r="L24" s="14" t="n"/>
      <c r="M24" s="15">
        <f>IF($C24="","",IF($L24="","",IF($K24=1,IF(COUNTIFS(nrES_PID,$D24,nrES_Code,$F24,nrES_Att,2)&gt;0,"",$L24),IF(COUNTIFS(nrES_PID,$D24,nrES_Code,$F24,nrES_Att,1)=0,$L24,IF($L24&gt;=$J24,cfgRetakeRecordedCap,SUMIFS(nrES_Raw,nrES_PID,$D24,nrES_Code,$F24,nrES_Att,1))))))</f>
        <v/>
      </c>
      <c r="N24" s="15">
        <f>IF($C24="","",IF($L24="","",IF($L24&gt;=$J24,"Yes","No")))</f>
        <v/>
      </c>
      <c r="O24" s="15">
        <f>IF($C24="","",IF($M24="","",IF($M24&gt;=$J24,"Yes","No")))</f>
        <v/>
      </c>
      <c r="P24" s="15">
        <f>IF($C24="","",IF($K24="","",IF(COUNTIFS(nrES_PID,$D24,nrES_Code,$F24,nrES_Att,"&gt;"&amp;$K24)=0,"Yes","No")))</f>
        <v/>
      </c>
      <c r="Q24" s="15">
        <f>IF($C24="","",IF($L24="","",IF(AND($K24=1,$L24&lt;$J24,COUNTIFS(nrES_PID,$D24,nrES_Code,$F24,nrES_Att,2)=0),"Yes","No")))</f>
        <v/>
      </c>
      <c r="R24" s="15">
        <f>IF($C24="","",IF($L24="","",IF(AND($K24=2,$L24&lt;$J24,COUNTIFS(nrES_PID,$D24,nrES_Code,$F24,nrES_Att,1)&gt;0),"Yes","No")))</f>
        <v/>
      </c>
      <c r="S24" s="16" t="n"/>
      <c r="T24" s="17">
        <f>IF($Q24&lt;&gt;"Yes","",IF($S24="","(enter date)",_xlfn.LET(_xlpm.dn,IFERROR(_xlfn.XLOOKUP($S24,nrCDdate,nrCDnum),""),IF(_xlpm.dn="","(not a class day)",IFERROR(_xlfn.XLOOKUP(_xlpm.dn+cfgRetestClassDays,nrCDnum,nrCDdate),"")))))</f>
        <v/>
      </c>
      <c r="U24" s="15">
        <f>IF($Q24&lt;&gt;"Yes","",IF(COUNTIFS(nrES_PID,$D24,nrES_Code,$F24,nrES_Att,2)&gt;0,"Retested",IF(OR($T24="",NOT(ISNUMBER($T24))),"Pending",IF(TODAY()&gt;$T24,"OVERDUE","Due "&amp;TEXT($T24,"mm/dd")))))</f>
        <v/>
      </c>
      <c r="V24" s="14" t="n"/>
      <c r="W24" s="14" t="n"/>
    </row>
    <row r="25">
      <c r="B25" s="15">
        <f>IF($C25="","",$D25&amp;"-"&amp;$F25&amp;"-"&amp;$K25)</f>
        <v/>
      </c>
      <c r="C25" s="14" t="n"/>
      <c r="D25" s="15">
        <f>IF($C25="","",IFERROR(INDEX(rngCadetPIDs,MATCH($C25,rngCadetNames,0)),"?"))</f>
        <v/>
      </c>
      <c r="E25" s="15">
        <f>IF($D25="","",IFERROR(INDEX(nrCadetAgency,MATCH($D25,rngCadetPIDs,0)),""))</f>
        <v/>
      </c>
      <c r="F25" s="14" t="n"/>
      <c r="G25" s="15">
        <f>IF($F25="","",IFERROR(INDEX(rngEPname,MATCH($F25,rngEPcode,0)),"?"))</f>
        <v/>
      </c>
      <c r="H25" s="15">
        <f>IF($F25="","",IFERROR(INDEX(rngEPtype,MATCH($F25,rngEPcode,0)),"?"))</f>
        <v/>
      </c>
      <c r="I25" s="15">
        <f>IF($F25="","",IFERROR(INDEX(rngEPseq,MATCH($F25,rngEPcode,0)),""))</f>
        <v/>
      </c>
      <c r="J25" s="15">
        <f>IF($F25="","",IFERROR(INDEX(rngEPpass,MATCH($F25,rngEPcode,0)),cfgPassingScore))</f>
        <v/>
      </c>
      <c r="K25" s="14" t="n"/>
      <c r="L25" s="14" t="n"/>
      <c r="M25" s="15">
        <f>IF($C25="","",IF($L25="","",IF($K25=1,IF(COUNTIFS(nrES_PID,$D25,nrES_Code,$F25,nrES_Att,2)&gt;0,"",$L25),IF(COUNTIFS(nrES_PID,$D25,nrES_Code,$F25,nrES_Att,1)=0,$L25,IF($L25&gt;=$J25,cfgRetakeRecordedCap,SUMIFS(nrES_Raw,nrES_PID,$D25,nrES_Code,$F25,nrES_Att,1))))))</f>
        <v/>
      </c>
      <c r="N25" s="15">
        <f>IF($C25="","",IF($L25="","",IF($L25&gt;=$J25,"Yes","No")))</f>
        <v/>
      </c>
      <c r="O25" s="15">
        <f>IF($C25="","",IF($M25="","",IF($M25&gt;=$J25,"Yes","No")))</f>
        <v/>
      </c>
      <c r="P25" s="15">
        <f>IF($C25="","",IF($K25="","",IF(COUNTIFS(nrES_PID,$D25,nrES_Code,$F25,nrES_Att,"&gt;"&amp;$K25)=0,"Yes","No")))</f>
        <v/>
      </c>
      <c r="Q25" s="15">
        <f>IF($C25="","",IF($L25="","",IF(AND($K25=1,$L25&lt;$J25,COUNTIFS(nrES_PID,$D25,nrES_Code,$F25,nrES_Att,2)=0),"Yes","No")))</f>
        <v/>
      </c>
      <c r="R25" s="15">
        <f>IF($C25="","",IF($L25="","",IF(AND($K25=2,$L25&lt;$J25,COUNTIFS(nrES_PID,$D25,nrES_Code,$F25,nrES_Att,1)&gt;0),"Yes","No")))</f>
        <v/>
      </c>
      <c r="S25" s="16" t="n"/>
      <c r="T25" s="17">
        <f>IF($Q25&lt;&gt;"Yes","",IF($S25="","(enter date)",_xlfn.LET(_xlpm.dn,IFERROR(_xlfn.XLOOKUP($S25,nrCDdate,nrCDnum),""),IF(_xlpm.dn="","(not a class day)",IFERROR(_xlfn.XLOOKUP(_xlpm.dn+cfgRetestClassDays,nrCDnum,nrCDdate),"")))))</f>
        <v/>
      </c>
      <c r="U25" s="15">
        <f>IF($Q25&lt;&gt;"Yes","",IF(COUNTIFS(nrES_PID,$D25,nrES_Code,$F25,nrES_Att,2)&gt;0,"Retested",IF(OR($T25="",NOT(ISNUMBER($T25))),"Pending",IF(TODAY()&gt;$T25,"OVERDUE","Due "&amp;TEXT($T25,"mm/dd")))))</f>
        <v/>
      </c>
      <c r="V25" s="14" t="n"/>
      <c r="W25" s="14" t="n"/>
    </row>
    <row r="26">
      <c r="B26" s="15">
        <f>IF($C26="","",$D26&amp;"-"&amp;$F26&amp;"-"&amp;$K26)</f>
        <v/>
      </c>
      <c r="C26" s="14" t="n"/>
      <c r="D26" s="15">
        <f>IF($C26="","",IFERROR(INDEX(rngCadetPIDs,MATCH($C26,rngCadetNames,0)),"?"))</f>
        <v/>
      </c>
      <c r="E26" s="15">
        <f>IF($D26="","",IFERROR(INDEX(nrCadetAgency,MATCH($D26,rngCadetPIDs,0)),""))</f>
        <v/>
      </c>
      <c r="F26" s="14" t="n"/>
      <c r="G26" s="15">
        <f>IF($F26="","",IFERROR(INDEX(rngEPname,MATCH($F26,rngEPcode,0)),"?"))</f>
        <v/>
      </c>
      <c r="H26" s="15">
        <f>IF($F26="","",IFERROR(INDEX(rngEPtype,MATCH($F26,rngEPcode,0)),"?"))</f>
        <v/>
      </c>
      <c r="I26" s="15">
        <f>IF($F26="","",IFERROR(INDEX(rngEPseq,MATCH($F26,rngEPcode,0)),""))</f>
        <v/>
      </c>
      <c r="J26" s="15">
        <f>IF($F26="","",IFERROR(INDEX(rngEPpass,MATCH($F26,rngEPcode,0)),cfgPassingScore))</f>
        <v/>
      </c>
      <c r="K26" s="14" t="n"/>
      <c r="L26" s="14" t="n"/>
      <c r="M26" s="15">
        <f>IF($C26="","",IF($L26="","",IF($K26=1,IF(COUNTIFS(nrES_PID,$D26,nrES_Code,$F26,nrES_Att,2)&gt;0,"",$L26),IF(COUNTIFS(nrES_PID,$D26,nrES_Code,$F26,nrES_Att,1)=0,$L26,IF($L26&gt;=$J26,cfgRetakeRecordedCap,SUMIFS(nrES_Raw,nrES_PID,$D26,nrES_Code,$F26,nrES_Att,1))))))</f>
        <v/>
      </c>
      <c r="N26" s="15">
        <f>IF($C26="","",IF($L26="","",IF($L26&gt;=$J26,"Yes","No")))</f>
        <v/>
      </c>
      <c r="O26" s="15">
        <f>IF($C26="","",IF($M26="","",IF($M26&gt;=$J26,"Yes","No")))</f>
        <v/>
      </c>
      <c r="P26" s="15">
        <f>IF($C26="","",IF($K26="","",IF(COUNTIFS(nrES_PID,$D26,nrES_Code,$F26,nrES_Att,"&gt;"&amp;$K26)=0,"Yes","No")))</f>
        <v/>
      </c>
      <c r="Q26" s="15">
        <f>IF($C26="","",IF($L26="","",IF(AND($K26=1,$L26&lt;$J26,COUNTIFS(nrES_PID,$D26,nrES_Code,$F26,nrES_Att,2)=0),"Yes","No")))</f>
        <v/>
      </c>
      <c r="R26" s="15">
        <f>IF($C26="","",IF($L26="","",IF(AND($K26=2,$L26&lt;$J26,COUNTIFS(nrES_PID,$D26,nrES_Code,$F26,nrES_Att,1)&gt;0),"Yes","No")))</f>
        <v/>
      </c>
      <c r="S26" s="16" t="n"/>
      <c r="T26" s="17">
        <f>IF($Q26&lt;&gt;"Yes","",IF($S26="","(enter date)",_xlfn.LET(_xlpm.dn,IFERROR(_xlfn.XLOOKUP($S26,nrCDdate,nrCDnum),""),IF(_xlpm.dn="","(not a class day)",IFERROR(_xlfn.XLOOKUP(_xlpm.dn+cfgRetestClassDays,nrCDnum,nrCDdate),"")))))</f>
        <v/>
      </c>
      <c r="U26" s="15">
        <f>IF($Q26&lt;&gt;"Yes","",IF(COUNTIFS(nrES_PID,$D26,nrES_Code,$F26,nrES_Att,2)&gt;0,"Retested",IF(OR($T26="",NOT(ISNUMBER($T26))),"Pending",IF(TODAY()&gt;$T26,"OVERDUE","Due "&amp;TEXT($T26,"mm/dd")))))</f>
        <v/>
      </c>
      <c r="V26" s="14" t="n"/>
      <c r="W26" s="14" t="n"/>
    </row>
    <row r="27">
      <c r="B27" s="15">
        <f>IF($C27="","",$D27&amp;"-"&amp;$F27&amp;"-"&amp;$K27)</f>
        <v/>
      </c>
      <c r="C27" s="14" t="n"/>
      <c r="D27" s="15">
        <f>IF($C27="","",IFERROR(INDEX(rngCadetPIDs,MATCH($C27,rngCadetNames,0)),"?"))</f>
        <v/>
      </c>
      <c r="E27" s="15">
        <f>IF($D27="","",IFERROR(INDEX(nrCadetAgency,MATCH($D27,rngCadetPIDs,0)),""))</f>
        <v/>
      </c>
      <c r="F27" s="14" t="n"/>
      <c r="G27" s="15">
        <f>IF($F27="","",IFERROR(INDEX(rngEPname,MATCH($F27,rngEPcode,0)),"?"))</f>
        <v/>
      </c>
      <c r="H27" s="15">
        <f>IF($F27="","",IFERROR(INDEX(rngEPtype,MATCH($F27,rngEPcode,0)),"?"))</f>
        <v/>
      </c>
      <c r="I27" s="15">
        <f>IF($F27="","",IFERROR(INDEX(rngEPseq,MATCH($F27,rngEPcode,0)),""))</f>
        <v/>
      </c>
      <c r="J27" s="15">
        <f>IF($F27="","",IFERROR(INDEX(rngEPpass,MATCH($F27,rngEPcode,0)),cfgPassingScore))</f>
        <v/>
      </c>
      <c r="K27" s="14" t="n"/>
      <c r="L27" s="14" t="n"/>
      <c r="M27" s="15">
        <f>IF($C27="","",IF($L27="","",IF($K27=1,IF(COUNTIFS(nrES_PID,$D27,nrES_Code,$F27,nrES_Att,2)&gt;0,"",$L27),IF(COUNTIFS(nrES_PID,$D27,nrES_Code,$F27,nrES_Att,1)=0,$L27,IF($L27&gt;=$J27,cfgRetakeRecordedCap,SUMIFS(nrES_Raw,nrES_PID,$D27,nrES_Code,$F27,nrES_Att,1))))))</f>
        <v/>
      </c>
      <c r="N27" s="15">
        <f>IF($C27="","",IF($L27="","",IF($L27&gt;=$J27,"Yes","No")))</f>
        <v/>
      </c>
      <c r="O27" s="15">
        <f>IF($C27="","",IF($M27="","",IF($M27&gt;=$J27,"Yes","No")))</f>
        <v/>
      </c>
      <c r="P27" s="15">
        <f>IF($C27="","",IF($K27="","",IF(COUNTIFS(nrES_PID,$D27,nrES_Code,$F27,nrES_Att,"&gt;"&amp;$K27)=0,"Yes","No")))</f>
        <v/>
      </c>
      <c r="Q27" s="15">
        <f>IF($C27="","",IF($L27="","",IF(AND($K27=1,$L27&lt;$J27,COUNTIFS(nrES_PID,$D27,nrES_Code,$F27,nrES_Att,2)=0),"Yes","No")))</f>
        <v/>
      </c>
      <c r="R27" s="15">
        <f>IF($C27="","",IF($L27="","",IF(AND($K27=2,$L27&lt;$J27,COUNTIFS(nrES_PID,$D27,nrES_Code,$F27,nrES_Att,1)&gt;0),"Yes","No")))</f>
        <v/>
      </c>
      <c r="S27" s="16" t="n"/>
      <c r="T27" s="17">
        <f>IF($Q27&lt;&gt;"Yes","",IF($S27="","(enter date)",_xlfn.LET(_xlpm.dn,IFERROR(_xlfn.XLOOKUP($S27,nrCDdate,nrCDnum),""),IF(_xlpm.dn="","(not a class day)",IFERROR(_xlfn.XLOOKUP(_xlpm.dn+cfgRetestClassDays,nrCDnum,nrCDdate),"")))))</f>
        <v/>
      </c>
      <c r="U27" s="15">
        <f>IF($Q27&lt;&gt;"Yes","",IF(COUNTIFS(nrES_PID,$D27,nrES_Code,$F27,nrES_Att,2)&gt;0,"Retested",IF(OR($T27="",NOT(ISNUMBER($T27))),"Pending",IF(TODAY()&gt;$T27,"OVERDUE","Due "&amp;TEXT($T27,"mm/dd")))))</f>
        <v/>
      </c>
      <c r="V27" s="14" t="n"/>
      <c r="W27" s="14" t="n"/>
    </row>
    <row r="28">
      <c r="B28" s="15">
        <f>IF($C28="","",$D28&amp;"-"&amp;$F28&amp;"-"&amp;$K28)</f>
        <v/>
      </c>
      <c r="C28" s="14" t="n"/>
      <c r="D28" s="15">
        <f>IF($C28="","",IFERROR(INDEX(rngCadetPIDs,MATCH($C28,rngCadetNames,0)),"?"))</f>
        <v/>
      </c>
      <c r="E28" s="15">
        <f>IF($D28="","",IFERROR(INDEX(nrCadetAgency,MATCH($D28,rngCadetPIDs,0)),""))</f>
        <v/>
      </c>
      <c r="F28" s="14" t="n"/>
      <c r="G28" s="15">
        <f>IF($F28="","",IFERROR(INDEX(rngEPname,MATCH($F28,rngEPcode,0)),"?"))</f>
        <v/>
      </c>
      <c r="H28" s="15">
        <f>IF($F28="","",IFERROR(INDEX(rngEPtype,MATCH($F28,rngEPcode,0)),"?"))</f>
        <v/>
      </c>
      <c r="I28" s="15">
        <f>IF($F28="","",IFERROR(INDEX(rngEPseq,MATCH($F28,rngEPcode,0)),""))</f>
        <v/>
      </c>
      <c r="J28" s="15">
        <f>IF($F28="","",IFERROR(INDEX(rngEPpass,MATCH($F28,rngEPcode,0)),cfgPassingScore))</f>
        <v/>
      </c>
      <c r="K28" s="14" t="n"/>
      <c r="L28" s="14" t="n"/>
      <c r="M28" s="15">
        <f>IF($C28="","",IF($L28="","",IF($K28=1,IF(COUNTIFS(nrES_PID,$D28,nrES_Code,$F28,nrES_Att,2)&gt;0,"",$L28),IF(COUNTIFS(nrES_PID,$D28,nrES_Code,$F28,nrES_Att,1)=0,$L28,IF($L28&gt;=$J28,cfgRetakeRecordedCap,SUMIFS(nrES_Raw,nrES_PID,$D28,nrES_Code,$F28,nrES_Att,1))))))</f>
        <v/>
      </c>
      <c r="N28" s="15">
        <f>IF($C28="","",IF($L28="","",IF($L28&gt;=$J28,"Yes","No")))</f>
        <v/>
      </c>
      <c r="O28" s="15">
        <f>IF($C28="","",IF($M28="","",IF($M28&gt;=$J28,"Yes","No")))</f>
        <v/>
      </c>
      <c r="P28" s="15">
        <f>IF($C28="","",IF($K28="","",IF(COUNTIFS(nrES_PID,$D28,nrES_Code,$F28,nrES_Att,"&gt;"&amp;$K28)=0,"Yes","No")))</f>
        <v/>
      </c>
      <c r="Q28" s="15">
        <f>IF($C28="","",IF($L28="","",IF(AND($K28=1,$L28&lt;$J28,COUNTIFS(nrES_PID,$D28,nrES_Code,$F28,nrES_Att,2)=0),"Yes","No")))</f>
        <v/>
      </c>
      <c r="R28" s="15">
        <f>IF($C28="","",IF($L28="","",IF(AND($K28=2,$L28&lt;$J28,COUNTIFS(nrES_PID,$D28,nrES_Code,$F28,nrES_Att,1)&gt;0),"Yes","No")))</f>
        <v/>
      </c>
      <c r="S28" s="16" t="n"/>
      <c r="T28" s="17">
        <f>IF($Q28&lt;&gt;"Yes","",IF($S28="","(enter date)",_xlfn.LET(_xlpm.dn,IFERROR(_xlfn.XLOOKUP($S28,nrCDdate,nrCDnum),""),IF(_xlpm.dn="","(not a class day)",IFERROR(_xlfn.XLOOKUP(_xlpm.dn+cfgRetestClassDays,nrCDnum,nrCDdate),"")))))</f>
        <v/>
      </c>
      <c r="U28" s="15">
        <f>IF($Q28&lt;&gt;"Yes","",IF(COUNTIFS(nrES_PID,$D28,nrES_Code,$F28,nrES_Att,2)&gt;0,"Retested",IF(OR($T28="",NOT(ISNUMBER($T28))),"Pending",IF(TODAY()&gt;$T28,"OVERDUE","Due "&amp;TEXT($T28,"mm/dd")))))</f>
        <v/>
      </c>
      <c r="V28" s="14" t="n"/>
      <c r="W28" s="14" t="n"/>
    </row>
    <row r="29">
      <c r="B29" s="15">
        <f>IF($C29="","",$D29&amp;"-"&amp;$F29&amp;"-"&amp;$K29)</f>
        <v/>
      </c>
      <c r="C29" s="14" t="n"/>
      <c r="D29" s="15">
        <f>IF($C29="","",IFERROR(INDEX(rngCadetPIDs,MATCH($C29,rngCadetNames,0)),"?"))</f>
        <v/>
      </c>
      <c r="E29" s="15">
        <f>IF($D29="","",IFERROR(INDEX(nrCadetAgency,MATCH($D29,rngCadetPIDs,0)),""))</f>
        <v/>
      </c>
      <c r="F29" s="14" t="n"/>
      <c r="G29" s="15">
        <f>IF($F29="","",IFERROR(INDEX(rngEPname,MATCH($F29,rngEPcode,0)),"?"))</f>
        <v/>
      </c>
      <c r="H29" s="15">
        <f>IF($F29="","",IFERROR(INDEX(rngEPtype,MATCH($F29,rngEPcode,0)),"?"))</f>
        <v/>
      </c>
      <c r="I29" s="15">
        <f>IF($F29="","",IFERROR(INDEX(rngEPseq,MATCH($F29,rngEPcode,0)),""))</f>
        <v/>
      </c>
      <c r="J29" s="15">
        <f>IF($F29="","",IFERROR(INDEX(rngEPpass,MATCH($F29,rngEPcode,0)),cfgPassingScore))</f>
        <v/>
      </c>
      <c r="K29" s="14" t="n"/>
      <c r="L29" s="14" t="n"/>
      <c r="M29" s="15">
        <f>IF($C29="","",IF($L29="","",IF($K29=1,IF(COUNTIFS(nrES_PID,$D29,nrES_Code,$F29,nrES_Att,2)&gt;0,"",$L29),IF(COUNTIFS(nrES_PID,$D29,nrES_Code,$F29,nrES_Att,1)=0,$L29,IF($L29&gt;=$J29,cfgRetakeRecordedCap,SUMIFS(nrES_Raw,nrES_PID,$D29,nrES_Code,$F29,nrES_Att,1))))))</f>
        <v/>
      </c>
      <c r="N29" s="15">
        <f>IF($C29="","",IF($L29="","",IF($L29&gt;=$J29,"Yes","No")))</f>
        <v/>
      </c>
      <c r="O29" s="15">
        <f>IF($C29="","",IF($M29="","",IF($M29&gt;=$J29,"Yes","No")))</f>
        <v/>
      </c>
      <c r="P29" s="15">
        <f>IF($C29="","",IF($K29="","",IF(COUNTIFS(nrES_PID,$D29,nrES_Code,$F29,nrES_Att,"&gt;"&amp;$K29)=0,"Yes","No")))</f>
        <v/>
      </c>
      <c r="Q29" s="15">
        <f>IF($C29="","",IF($L29="","",IF(AND($K29=1,$L29&lt;$J29,COUNTIFS(nrES_PID,$D29,nrES_Code,$F29,nrES_Att,2)=0),"Yes","No")))</f>
        <v/>
      </c>
      <c r="R29" s="15">
        <f>IF($C29="","",IF($L29="","",IF(AND($K29=2,$L29&lt;$J29,COUNTIFS(nrES_PID,$D29,nrES_Code,$F29,nrES_Att,1)&gt;0),"Yes","No")))</f>
        <v/>
      </c>
      <c r="S29" s="16" t="n"/>
      <c r="T29" s="17">
        <f>IF($Q29&lt;&gt;"Yes","",IF($S29="","(enter date)",_xlfn.LET(_xlpm.dn,IFERROR(_xlfn.XLOOKUP($S29,nrCDdate,nrCDnum),""),IF(_xlpm.dn="","(not a class day)",IFERROR(_xlfn.XLOOKUP(_xlpm.dn+cfgRetestClassDays,nrCDnum,nrCDdate),"")))))</f>
        <v/>
      </c>
      <c r="U29" s="15">
        <f>IF($Q29&lt;&gt;"Yes","",IF(COUNTIFS(nrES_PID,$D29,nrES_Code,$F29,nrES_Att,2)&gt;0,"Retested",IF(OR($T29="",NOT(ISNUMBER($T29))),"Pending",IF(TODAY()&gt;$T29,"OVERDUE","Due "&amp;TEXT($T29,"mm/dd")))))</f>
        <v/>
      </c>
      <c r="V29" s="14" t="n"/>
      <c r="W29" s="14" t="n"/>
    </row>
    <row r="30">
      <c r="B30" s="15">
        <f>IF($C30="","",$D30&amp;"-"&amp;$F30&amp;"-"&amp;$K30)</f>
        <v/>
      </c>
      <c r="C30" s="14" t="n"/>
      <c r="D30" s="15">
        <f>IF($C30="","",IFERROR(INDEX(rngCadetPIDs,MATCH($C30,rngCadetNames,0)),"?"))</f>
        <v/>
      </c>
      <c r="E30" s="15">
        <f>IF($D30="","",IFERROR(INDEX(nrCadetAgency,MATCH($D30,rngCadetPIDs,0)),""))</f>
        <v/>
      </c>
      <c r="F30" s="14" t="n"/>
      <c r="G30" s="15">
        <f>IF($F30="","",IFERROR(INDEX(rngEPname,MATCH($F30,rngEPcode,0)),"?"))</f>
        <v/>
      </c>
      <c r="H30" s="15">
        <f>IF($F30="","",IFERROR(INDEX(rngEPtype,MATCH($F30,rngEPcode,0)),"?"))</f>
        <v/>
      </c>
      <c r="I30" s="15">
        <f>IF($F30="","",IFERROR(INDEX(rngEPseq,MATCH($F30,rngEPcode,0)),""))</f>
        <v/>
      </c>
      <c r="J30" s="15">
        <f>IF($F30="","",IFERROR(INDEX(rngEPpass,MATCH($F30,rngEPcode,0)),cfgPassingScore))</f>
        <v/>
      </c>
      <c r="K30" s="14" t="n"/>
      <c r="L30" s="14" t="n"/>
      <c r="M30" s="15">
        <f>IF($C30="","",IF($L30="","",IF($K30=1,IF(COUNTIFS(nrES_PID,$D30,nrES_Code,$F30,nrES_Att,2)&gt;0,"",$L30),IF(COUNTIFS(nrES_PID,$D30,nrES_Code,$F30,nrES_Att,1)=0,$L30,IF($L30&gt;=$J30,cfgRetakeRecordedCap,SUMIFS(nrES_Raw,nrES_PID,$D30,nrES_Code,$F30,nrES_Att,1))))))</f>
        <v/>
      </c>
      <c r="N30" s="15">
        <f>IF($C30="","",IF($L30="","",IF($L30&gt;=$J30,"Yes","No")))</f>
        <v/>
      </c>
      <c r="O30" s="15">
        <f>IF($C30="","",IF($M30="","",IF($M30&gt;=$J30,"Yes","No")))</f>
        <v/>
      </c>
      <c r="P30" s="15">
        <f>IF($C30="","",IF($K30="","",IF(COUNTIFS(nrES_PID,$D30,nrES_Code,$F30,nrES_Att,"&gt;"&amp;$K30)=0,"Yes","No")))</f>
        <v/>
      </c>
      <c r="Q30" s="15">
        <f>IF($C30="","",IF($L30="","",IF(AND($K30=1,$L30&lt;$J30,COUNTIFS(nrES_PID,$D30,nrES_Code,$F30,nrES_Att,2)=0),"Yes","No")))</f>
        <v/>
      </c>
      <c r="R30" s="15">
        <f>IF($C30="","",IF($L30="","",IF(AND($K30=2,$L30&lt;$J30,COUNTIFS(nrES_PID,$D30,nrES_Code,$F30,nrES_Att,1)&gt;0),"Yes","No")))</f>
        <v/>
      </c>
      <c r="S30" s="16" t="n"/>
      <c r="T30" s="17">
        <f>IF($Q30&lt;&gt;"Yes","",IF($S30="","(enter date)",_xlfn.LET(_xlpm.dn,IFERROR(_xlfn.XLOOKUP($S30,nrCDdate,nrCDnum),""),IF(_xlpm.dn="","(not a class day)",IFERROR(_xlfn.XLOOKUP(_xlpm.dn+cfgRetestClassDays,nrCDnum,nrCDdate),"")))))</f>
        <v/>
      </c>
      <c r="U30" s="15">
        <f>IF($Q30&lt;&gt;"Yes","",IF(COUNTIFS(nrES_PID,$D30,nrES_Code,$F30,nrES_Att,2)&gt;0,"Retested",IF(OR($T30="",NOT(ISNUMBER($T30))),"Pending",IF(TODAY()&gt;$T30,"OVERDUE","Due "&amp;TEXT($T30,"mm/dd")))))</f>
        <v/>
      </c>
      <c r="V30" s="14" t="n"/>
      <c r="W30" s="14" t="n"/>
    </row>
    <row r="31">
      <c r="B31" s="15">
        <f>IF($C31="","",$D31&amp;"-"&amp;$F31&amp;"-"&amp;$K31)</f>
        <v/>
      </c>
      <c r="C31" s="14" t="n"/>
      <c r="D31" s="15">
        <f>IF($C31="","",IFERROR(INDEX(rngCadetPIDs,MATCH($C31,rngCadetNames,0)),"?"))</f>
        <v/>
      </c>
      <c r="E31" s="15">
        <f>IF($D31="","",IFERROR(INDEX(nrCadetAgency,MATCH($D31,rngCadetPIDs,0)),""))</f>
        <v/>
      </c>
      <c r="F31" s="14" t="n"/>
      <c r="G31" s="15">
        <f>IF($F31="","",IFERROR(INDEX(rngEPname,MATCH($F31,rngEPcode,0)),"?"))</f>
        <v/>
      </c>
      <c r="H31" s="15">
        <f>IF($F31="","",IFERROR(INDEX(rngEPtype,MATCH($F31,rngEPcode,0)),"?"))</f>
        <v/>
      </c>
      <c r="I31" s="15">
        <f>IF($F31="","",IFERROR(INDEX(rngEPseq,MATCH($F31,rngEPcode,0)),""))</f>
        <v/>
      </c>
      <c r="J31" s="15">
        <f>IF($F31="","",IFERROR(INDEX(rngEPpass,MATCH($F31,rngEPcode,0)),cfgPassingScore))</f>
        <v/>
      </c>
      <c r="K31" s="14" t="n"/>
      <c r="L31" s="14" t="n"/>
      <c r="M31" s="15">
        <f>IF($C31="","",IF($L31="","",IF($K31=1,IF(COUNTIFS(nrES_PID,$D31,nrES_Code,$F31,nrES_Att,2)&gt;0,"",$L31),IF(COUNTIFS(nrES_PID,$D31,nrES_Code,$F31,nrES_Att,1)=0,$L31,IF($L31&gt;=$J31,cfgRetakeRecordedCap,SUMIFS(nrES_Raw,nrES_PID,$D31,nrES_Code,$F31,nrES_Att,1))))))</f>
        <v/>
      </c>
      <c r="N31" s="15">
        <f>IF($C31="","",IF($L31="","",IF($L31&gt;=$J31,"Yes","No")))</f>
        <v/>
      </c>
      <c r="O31" s="15">
        <f>IF($C31="","",IF($M31="","",IF($M31&gt;=$J31,"Yes","No")))</f>
        <v/>
      </c>
      <c r="P31" s="15">
        <f>IF($C31="","",IF($K31="","",IF(COUNTIFS(nrES_PID,$D31,nrES_Code,$F31,nrES_Att,"&gt;"&amp;$K31)=0,"Yes","No")))</f>
        <v/>
      </c>
      <c r="Q31" s="15">
        <f>IF($C31="","",IF($L31="","",IF(AND($K31=1,$L31&lt;$J31,COUNTIFS(nrES_PID,$D31,nrES_Code,$F31,nrES_Att,2)=0),"Yes","No")))</f>
        <v/>
      </c>
      <c r="R31" s="15">
        <f>IF($C31="","",IF($L31="","",IF(AND($K31=2,$L31&lt;$J31,COUNTIFS(nrES_PID,$D31,nrES_Code,$F31,nrES_Att,1)&gt;0),"Yes","No")))</f>
        <v/>
      </c>
      <c r="S31" s="16" t="n"/>
      <c r="T31" s="17">
        <f>IF($Q31&lt;&gt;"Yes","",IF($S31="","(enter date)",_xlfn.LET(_xlpm.dn,IFERROR(_xlfn.XLOOKUP($S31,nrCDdate,nrCDnum),""),IF(_xlpm.dn="","(not a class day)",IFERROR(_xlfn.XLOOKUP(_xlpm.dn+cfgRetestClassDays,nrCDnum,nrCDdate),"")))))</f>
        <v/>
      </c>
      <c r="U31" s="15">
        <f>IF($Q31&lt;&gt;"Yes","",IF(COUNTIFS(nrES_PID,$D31,nrES_Code,$F31,nrES_Att,2)&gt;0,"Retested",IF(OR($T31="",NOT(ISNUMBER($T31))),"Pending",IF(TODAY()&gt;$T31,"OVERDUE","Due "&amp;TEXT($T31,"mm/dd")))))</f>
        <v/>
      </c>
      <c r="V31" s="14" t="n"/>
      <c r="W31" s="14" t="n"/>
    </row>
    <row r="32">
      <c r="B32" s="15">
        <f>IF($C32="","",$D32&amp;"-"&amp;$F32&amp;"-"&amp;$K32)</f>
        <v/>
      </c>
      <c r="C32" s="14" t="n"/>
      <c r="D32" s="15">
        <f>IF($C32="","",IFERROR(INDEX(rngCadetPIDs,MATCH($C32,rngCadetNames,0)),"?"))</f>
        <v/>
      </c>
      <c r="E32" s="15">
        <f>IF($D32="","",IFERROR(INDEX(nrCadetAgency,MATCH($D32,rngCadetPIDs,0)),""))</f>
        <v/>
      </c>
      <c r="F32" s="14" t="n"/>
      <c r="G32" s="15">
        <f>IF($F32="","",IFERROR(INDEX(rngEPname,MATCH($F32,rngEPcode,0)),"?"))</f>
        <v/>
      </c>
      <c r="H32" s="15">
        <f>IF($F32="","",IFERROR(INDEX(rngEPtype,MATCH($F32,rngEPcode,0)),"?"))</f>
        <v/>
      </c>
      <c r="I32" s="15">
        <f>IF($F32="","",IFERROR(INDEX(rngEPseq,MATCH($F32,rngEPcode,0)),""))</f>
        <v/>
      </c>
      <c r="J32" s="15">
        <f>IF($F32="","",IFERROR(INDEX(rngEPpass,MATCH($F32,rngEPcode,0)),cfgPassingScore))</f>
        <v/>
      </c>
      <c r="K32" s="14" t="n"/>
      <c r="L32" s="14" t="n"/>
      <c r="M32" s="15">
        <f>IF($C32="","",IF($L32="","",IF($K32=1,IF(COUNTIFS(nrES_PID,$D32,nrES_Code,$F32,nrES_Att,2)&gt;0,"",$L32),IF(COUNTIFS(nrES_PID,$D32,nrES_Code,$F32,nrES_Att,1)=0,$L32,IF($L32&gt;=$J32,cfgRetakeRecordedCap,SUMIFS(nrES_Raw,nrES_PID,$D32,nrES_Code,$F32,nrES_Att,1))))))</f>
        <v/>
      </c>
      <c r="N32" s="15">
        <f>IF($C32="","",IF($L32="","",IF($L32&gt;=$J32,"Yes","No")))</f>
        <v/>
      </c>
      <c r="O32" s="15">
        <f>IF($C32="","",IF($M32="","",IF($M32&gt;=$J32,"Yes","No")))</f>
        <v/>
      </c>
      <c r="P32" s="15">
        <f>IF($C32="","",IF($K32="","",IF(COUNTIFS(nrES_PID,$D32,nrES_Code,$F32,nrES_Att,"&gt;"&amp;$K32)=0,"Yes","No")))</f>
        <v/>
      </c>
      <c r="Q32" s="15">
        <f>IF($C32="","",IF($L32="","",IF(AND($K32=1,$L32&lt;$J32,COUNTIFS(nrES_PID,$D32,nrES_Code,$F32,nrES_Att,2)=0),"Yes","No")))</f>
        <v/>
      </c>
      <c r="R32" s="15">
        <f>IF($C32="","",IF($L32="","",IF(AND($K32=2,$L32&lt;$J32,COUNTIFS(nrES_PID,$D32,nrES_Code,$F32,nrES_Att,1)&gt;0),"Yes","No")))</f>
        <v/>
      </c>
      <c r="S32" s="16" t="n"/>
      <c r="T32" s="17">
        <f>IF($Q32&lt;&gt;"Yes","",IF($S32="","(enter date)",_xlfn.LET(_xlpm.dn,IFERROR(_xlfn.XLOOKUP($S32,nrCDdate,nrCDnum),""),IF(_xlpm.dn="","(not a class day)",IFERROR(_xlfn.XLOOKUP(_xlpm.dn+cfgRetestClassDays,nrCDnum,nrCDdate),"")))))</f>
        <v/>
      </c>
      <c r="U32" s="15">
        <f>IF($Q32&lt;&gt;"Yes","",IF(COUNTIFS(nrES_PID,$D32,nrES_Code,$F32,nrES_Att,2)&gt;0,"Retested",IF(OR($T32="",NOT(ISNUMBER($T32))),"Pending",IF(TODAY()&gt;$T32,"OVERDUE","Due "&amp;TEXT($T32,"mm/dd")))))</f>
        <v/>
      </c>
      <c r="V32" s="14" t="n"/>
      <c r="W32" s="14" t="n"/>
    </row>
    <row r="33">
      <c r="B33" s="15">
        <f>IF($C33="","",$D33&amp;"-"&amp;$F33&amp;"-"&amp;$K33)</f>
        <v/>
      </c>
      <c r="C33" s="14" t="n"/>
      <c r="D33" s="15">
        <f>IF($C33="","",IFERROR(INDEX(rngCadetPIDs,MATCH($C33,rngCadetNames,0)),"?"))</f>
        <v/>
      </c>
      <c r="E33" s="15">
        <f>IF($D33="","",IFERROR(INDEX(nrCadetAgency,MATCH($D33,rngCadetPIDs,0)),""))</f>
        <v/>
      </c>
      <c r="F33" s="14" t="n"/>
      <c r="G33" s="15">
        <f>IF($F33="","",IFERROR(INDEX(rngEPname,MATCH($F33,rngEPcode,0)),"?"))</f>
        <v/>
      </c>
      <c r="H33" s="15">
        <f>IF($F33="","",IFERROR(INDEX(rngEPtype,MATCH($F33,rngEPcode,0)),"?"))</f>
        <v/>
      </c>
      <c r="I33" s="15">
        <f>IF($F33="","",IFERROR(INDEX(rngEPseq,MATCH($F33,rngEPcode,0)),""))</f>
        <v/>
      </c>
      <c r="J33" s="15">
        <f>IF($F33="","",IFERROR(INDEX(rngEPpass,MATCH($F33,rngEPcode,0)),cfgPassingScore))</f>
        <v/>
      </c>
      <c r="K33" s="14" t="n"/>
      <c r="L33" s="14" t="n"/>
      <c r="M33" s="15">
        <f>IF($C33="","",IF($L33="","",IF($K33=1,IF(COUNTIFS(nrES_PID,$D33,nrES_Code,$F33,nrES_Att,2)&gt;0,"",$L33),IF(COUNTIFS(nrES_PID,$D33,nrES_Code,$F33,nrES_Att,1)=0,$L33,IF($L33&gt;=$J33,cfgRetakeRecordedCap,SUMIFS(nrES_Raw,nrES_PID,$D33,nrES_Code,$F33,nrES_Att,1))))))</f>
        <v/>
      </c>
      <c r="N33" s="15">
        <f>IF($C33="","",IF($L33="","",IF($L33&gt;=$J33,"Yes","No")))</f>
        <v/>
      </c>
      <c r="O33" s="15">
        <f>IF($C33="","",IF($M33="","",IF($M33&gt;=$J33,"Yes","No")))</f>
        <v/>
      </c>
      <c r="P33" s="15">
        <f>IF($C33="","",IF($K33="","",IF(COUNTIFS(nrES_PID,$D33,nrES_Code,$F33,nrES_Att,"&gt;"&amp;$K33)=0,"Yes","No")))</f>
        <v/>
      </c>
      <c r="Q33" s="15">
        <f>IF($C33="","",IF($L33="","",IF(AND($K33=1,$L33&lt;$J33,COUNTIFS(nrES_PID,$D33,nrES_Code,$F33,nrES_Att,2)=0),"Yes","No")))</f>
        <v/>
      </c>
      <c r="R33" s="15">
        <f>IF($C33="","",IF($L33="","",IF(AND($K33=2,$L33&lt;$J33,COUNTIFS(nrES_PID,$D33,nrES_Code,$F33,nrES_Att,1)&gt;0),"Yes","No")))</f>
        <v/>
      </c>
      <c r="S33" s="16" t="n"/>
      <c r="T33" s="17">
        <f>IF($Q33&lt;&gt;"Yes","",IF($S33="","(enter date)",_xlfn.LET(_xlpm.dn,IFERROR(_xlfn.XLOOKUP($S33,nrCDdate,nrCDnum),""),IF(_xlpm.dn="","(not a class day)",IFERROR(_xlfn.XLOOKUP(_xlpm.dn+cfgRetestClassDays,nrCDnum,nrCDdate),"")))))</f>
        <v/>
      </c>
      <c r="U33" s="15">
        <f>IF($Q33&lt;&gt;"Yes","",IF(COUNTIFS(nrES_PID,$D33,nrES_Code,$F33,nrES_Att,2)&gt;0,"Retested",IF(OR($T33="",NOT(ISNUMBER($T33))),"Pending",IF(TODAY()&gt;$T33,"OVERDUE","Due "&amp;TEXT($T33,"mm/dd")))))</f>
        <v/>
      </c>
      <c r="V33" s="14" t="n"/>
      <c r="W33" s="14" t="n"/>
    </row>
    <row r="34">
      <c r="B34" s="15">
        <f>IF($C34="","",$D34&amp;"-"&amp;$F34&amp;"-"&amp;$K34)</f>
        <v/>
      </c>
      <c r="C34" s="14" t="n"/>
      <c r="D34" s="15">
        <f>IF($C34="","",IFERROR(INDEX(rngCadetPIDs,MATCH($C34,rngCadetNames,0)),"?"))</f>
        <v/>
      </c>
      <c r="E34" s="15">
        <f>IF($D34="","",IFERROR(INDEX(nrCadetAgency,MATCH($D34,rngCadetPIDs,0)),""))</f>
        <v/>
      </c>
      <c r="F34" s="14" t="n"/>
      <c r="G34" s="15">
        <f>IF($F34="","",IFERROR(INDEX(rngEPname,MATCH($F34,rngEPcode,0)),"?"))</f>
        <v/>
      </c>
      <c r="H34" s="15">
        <f>IF($F34="","",IFERROR(INDEX(rngEPtype,MATCH($F34,rngEPcode,0)),"?"))</f>
        <v/>
      </c>
      <c r="I34" s="15">
        <f>IF($F34="","",IFERROR(INDEX(rngEPseq,MATCH($F34,rngEPcode,0)),""))</f>
        <v/>
      </c>
      <c r="J34" s="15">
        <f>IF($F34="","",IFERROR(INDEX(rngEPpass,MATCH($F34,rngEPcode,0)),cfgPassingScore))</f>
        <v/>
      </c>
      <c r="K34" s="14" t="n"/>
      <c r="L34" s="14" t="n"/>
      <c r="M34" s="15">
        <f>IF($C34="","",IF($L34="","",IF($K34=1,IF(COUNTIFS(nrES_PID,$D34,nrES_Code,$F34,nrES_Att,2)&gt;0,"",$L34),IF(COUNTIFS(nrES_PID,$D34,nrES_Code,$F34,nrES_Att,1)=0,$L34,IF($L34&gt;=$J34,cfgRetakeRecordedCap,SUMIFS(nrES_Raw,nrES_PID,$D34,nrES_Code,$F34,nrES_Att,1))))))</f>
        <v/>
      </c>
      <c r="N34" s="15">
        <f>IF($C34="","",IF($L34="","",IF($L34&gt;=$J34,"Yes","No")))</f>
        <v/>
      </c>
      <c r="O34" s="15">
        <f>IF($C34="","",IF($M34="","",IF($M34&gt;=$J34,"Yes","No")))</f>
        <v/>
      </c>
      <c r="P34" s="15">
        <f>IF($C34="","",IF($K34="","",IF(COUNTIFS(nrES_PID,$D34,nrES_Code,$F34,nrES_Att,"&gt;"&amp;$K34)=0,"Yes","No")))</f>
        <v/>
      </c>
      <c r="Q34" s="15">
        <f>IF($C34="","",IF($L34="","",IF(AND($K34=1,$L34&lt;$J34,COUNTIFS(nrES_PID,$D34,nrES_Code,$F34,nrES_Att,2)=0),"Yes","No")))</f>
        <v/>
      </c>
      <c r="R34" s="15">
        <f>IF($C34="","",IF($L34="","",IF(AND($K34=2,$L34&lt;$J34,COUNTIFS(nrES_PID,$D34,nrES_Code,$F34,nrES_Att,1)&gt;0),"Yes","No")))</f>
        <v/>
      </c>
      <c r="S34" s="16" t="n"/>
      <c r="T34" s="17">
        <f>IF($Q34&lt;&gt;"Yes","",IF($S34="","(enter date)",_xlfn.LET(_xlpm.dn,IFERROR(_xlfn.XLOOKUP($S34,nrCDdate,nrCDnum),""),IF(_xlpm.dn="","(not a class day)",IFERROR(_xlfn.XLOOKUP(_xlpm.dn+cfgRetestClassDays,nrCDnum,nrCDdate),"")))))</f>
        <v/>
      </c>
      <c r="U34" s="15">
        <f>IF($Q34&lt;&gt;"Yes","",IF(COUNTIFS(nrES_PID,$D34,nrES_Code,$F34,nrES_Att,2)&gt;0,"Retested",IF(OR($T34="",NOT(ISNUMBER($T34))),"Pending",IF(TODAY()&gt;$T34,"OVERDUE","Due "&amp;TEXT($T34,"mm/dd")))))</f>
        <v/>
      </c>
      <c r="V34" s="14" t="n"/>
      <c r="W34" s="14" t="n"/>
    </row>
    <row r="35">
      <c r="B35" s="15">
        <f>IF($C35="","",$D35&amp;"-"&amp;$F35&amp;"-"&amp;$K35)</f>
        <v/>
      </c>
      <c r="C35" s="14" t="n"/>
      <c r="D35" s="15">
        <f>IF($C35="","",IFERROR(INDEX(rngCadetPIDs,MATCH($C35,rngCadetNames,0)),"?"))</f>
        <v/>
      </c>
      <c r="E35" s="15">
        <f>IF($D35="","",IFERROR(INDEX(nrCadetAgency,MATCH($D35,rngCadetPIDs,0)),""))</f>
        <v/>
      </c>
      <c r="F35" s="14" t="n"/>
      <c r="G35" s="15">
        <f>IF($F35="","",IFERROR(INDEX(rngEPname,MATCH($F35,rngEPcode,0)),"?"))</f>
        <v/>
      </c>
      <c r="H35" s="15">
        <f>IF($F35="","",IFERROR(INDEX(rngEPtype,MATCH($F35,rngEPcode,0)),"?"))</f>
        <v/>
      </c>
      <c r="I35" s="15">
        <f>IF($F35="","",IFERROR(INDEX(rngEPseq,MATCH($F35,rngEPcode,0)),""))</f>
        <v/>
      </c>
      <c r="J35" s="15">
        <f>IF($F35="","",IFERROR(INDEX(rngEPpass,MATCH($F35,rngEPcode,0)),cfgPassingScore))</f>
        <v/>
      </c>
      <c r="K35" s="14" t="n"/>
      <c r="L35" s="14" t="n"/>
      <c r="M35" s="15">
        <f>IF($C35="","",IF($L35="","",IF($K35=1,IF(COUNTIFS(nrES_PID,$D35,nrES_Code,$F35,nrES_Att,2)&gt;0,"",$L35),IF(COUNTIFS(nrES_PID,$D35,nrES_Code,$F35,nrES_Att,1)=0,$L35,IF($L35&gt;=$J35,cfgRetakeRecordedCap,SUMIFS(nrES_Raw,nrES_PID,$D35,nrES_Code,$F35,nrES_Att,1))))))</f>
        <v/>
      </c>
      <c r="N35" s="15">
        <f>IF($C35="","",IF($L35="","",IF($L35&gt;=$J35,"Yes","No")))</f>
        <v/>
      </c>
      <c r="O35" s="15">
        <f>IF($C35="","",IF($M35="","",IF($M35&gt;=$J35,"Yes","No")))</f>
        <v/>
      </c>
      <c r="P35" s="15">
        <f>IF($C35="","",IF($K35="","",IF(COUNTIFS(nrES_PID,$D35,nrES_Code,$F35,nrES_Att,"&gt;"&amp;$K35)=0,"Yes","No")))</f>
        <v/>
      </c>
      <c r="Q35" s="15">
        <f>IF($C35="","",IF($L35="","",IF(AND($K35=1,$L35&lt;$J35,COUNTIFS(nrES_PID,$D35,nrES_Code,$F35,nrES_Att,2)=0),"Yes","No")))</f>
        <v/>
      </c>
      <c r="R35" s="15">
        <f>IF($C35="","",IF($L35="","",IF(AND($K35=2,$L35&lt;$J35,COUNTIFS(nrES_PID,$D35,nrES_Code,$F35,nrES_Att,1)&gt;0),"Yes","No")))</f>
        <v/>
      </c>
      <c r="S35" s="16" t="n"/>
      <c r="T35" s="17">
        <f>IF($Q35&lt;&gt;"Yes","",IF($S35="","(enter date)",_xlfn.LET(_xlpm.dn,IFERROR(_xlfn.XLOOKUP($S35,nrCDdate,nrCDnum),""),IF(_xlpm.dn="","(not a class day)",IFERROR(_xlfn.XLOOKUP(_xlpm.dn+cfgRetestClassDays,nrCDnum,nrCDdate),"")))))</f>
        <v/>
      </c>
      <c r="U35" s="15">
        <f>IF($Q35&lt;&gt;"Yes","",IF(COUNTIFS(nrES_PID,$D35,nrES_Code,$F35,nrES_Att,2)&gt;0,"Retested",IF(OR($T35="",NOT(ISNUMBER($T35))),"Pending",IF(TODAY()&gt;$T35,"OVERDUE","Due "&amp;TEXT($T35,"mm/dd")))))</f>
        <v/>
      </c>
      <c r="V35" s="14" t="n"/>
      <c r="W35" s="14" t="n"/>
    </row>
    <row r="36">
      <c r="B36" s="15">
        <f>IF($C36="","",$D36&amp;"-"&amp;$F36&amp;"-"&amp;$K36)</f>
        <v/>
      </c>
      <c r="C36" s="14" t="n"/>
      <c r="D36" s="15">
        <f>IF($C36="","",IFERROR(INDEX(rngCadetPIDs,MATCH($C36,rngCadetNames,0)),"?"))</f>
        <v/>
      </c>
      <c r="E36" s="15">
        <f>IF($D36="","",IFERROR(INDEX(nrCadetAgency,MATCH($D36,rngCadetPIDs,0)),""))</f>
        <v/>
      </c>
      <c r="F36" s="14" t="n"/>
      <c r="G36" s="15">
        <f>IF($F36="","",IFERROR(INDEX(rngEPname,MATCH($F36,rngEPcode,0)),"?"))</f>
        <v/>
      </c>
      <c r="H36" s="15">
        <f>IF($F36="","",IFERROR(INDEX(rngEPtype,MATCH($F36,rngEPcode,0)),"?"))</f>
        <v/>
      </c>
      <c r="I36" s="15">
        <f>IF($F36="","",IFERROR(INDEX(rngEPseq,MATCH($F36,rngEPcode,0)),""))</f>
        <v/>
      </c>
      <c r="J36" s="15">
        <f>IF($F36="","",IFERROR(INDEX(rngEPpass,MATCH($F36,rngEPcode,0)),cfgPassingScore))</f>
        <v/>
      </c>
      <c r="K36" s="14" t="n"/>
      <c r="L36" s="14" t="n"/>
      <c r="M36" s="15">
        <f>IF($C36="","",IF($L36="","",IF($K36=1,IF(COUNTIFS(nrES_PID,$D36,nrES_Code,$F36,nrES_Att,2)&gt;0,"",$L36),IF(COUNTIFS(nrES_PID,$D36,nrES_Code,$F36,nrES_Att,1)=0,$L36,IF($L36&gt;=$J36,cfgRetakeRecordedCap,SUMIFS(nrES_Raw,nrES_PID,$D36,nrES_Code,$F36,nrES_Att,1))))))</f>
        <v/>
      </c>
      <c r="N36" s="15">
        <f>IF($C36="","",IF($L36="","",IF($L36&gt;=$J36,"Yes","No")))</f>
        <v/>
      </c>
      <c r="O36" s="15">
        <f>IF($C36="","",IF($M36="","",IF($M36&gt;=$J36,"Yes","No")))</f>
        <v/>
      </c>
      <c r="P36" s="15">
        <f>IF($C36="","",IF($K36="","",IF(COUNTIFS(nrES_PID,$D36,nrES_Code,$F36,nrES_Att,"&gt;"&amp;$K36)=0,"Yes","No")))</f>
        <v/>
      </c>
      <c r="Q36" s="15">
        <f>IF($C36="","",IF($L36="","",IF(AND($K36=1,$L36&lt;$J36,COUNTIFS(nrES_PID,$D36,nrES_Code,$F36,nrES_Att,2)=0),"Yes","No")))</f>
        <v/>
      </c>
      <c r="R36" s="15">
        <f>IF($C36="","",IF($L36="","",IF(AND($K36=2,$L36&lt;$J36,COUNTIFS(nrES_PID,$D36,nrES_Code,$F36,nrES_Att,1)&gt;0),"Yes","No")))</f>
        <v/>
      </c>
      <c r="S36" s="16" t="n"/>
      <c r="T36" s="17">
        <f>IF($Q36&lt;&gt;"Yes","",IF($S36="","(enter date)",_xlfn.LET(_xlpm.dn,IFERROR(_xlfn.XLOOKUP($S36,nrCDdate,nrCDnum),""),IF(_xlpm.dn="","(not a class day)",IFERROR(_xlfn.XLOOKUP(_xlpm.dn+cfgRetestClassDays,nrCDnum,nrCDdate),"")))))</f>
        <v/>
      </c>
      <c r="U36" s="15">
        <f>IF($Q36&lt;&gt;"Yes","",IF(COUNTIFS(nrES_PID,$D36,nrES_Code,$F36,nrES_Att,2)&gt;0,"Retested",IF(OR($T36="",NOT(ISNUMBER($T36))),"Pending",IF(TODAY()&gt;$T36,"OVERDUE","Due "&amp;TEXT($T36,"mm/dd")))))</f>
        <v/>
      </c>
      <c r="V36" s="14" t="n"/>
      <c r="W36" s="14" t="n"/>
    </row>
    <row r="37">
      <c r="B37" s="15">
        <f>IF($C37="","",$D37&amp;"-"&amp;$F37&amp;"-"&amp;$K37)</f>
        <v/>
      </c>
      <c r="C37" s="14" t="n"/>
      <c r="D37" s="15">
        <f>IF($C37="","",IFERROR(INDEX(rngCadetPIDs,MATCH($C37,rngCadetNames,0)),"?"))</f>
        <v/>
      </c>
      <c r="E37" s="15">
        <f>IF($D37="","",IFERROR(INDEX(nrCadetAgency,MATCH($D37,rngCadetPIDs,0)),""))</f>
        <v/>
      </c>
      <c r="F37" s="14" t="n"/>
      <c r="G37" s="15">
        <f>IF($F37="","",IFERROR(INDEX(rngEPname,MATCH($F37,rngEPcode,0)),"?"))</f>
        <v/>
      </c>
      <c r="H37" s="15">
        <f>IF($F37="","",IFERROR(INDEX(rngEPtype,MATCH($F37,rngEPcode,0)),"?"))</f>
        <v/>
      </c>
      <c r="I37" s="15">
        <f>IF($F37="","",IFERROR(INDEX(rngEPseq,MATCH($F37,rngEPcode,0)),""))</f>
        <v/>
      </c>
      <c r="J37" s="15">
        <f>IF($F37="","",IFERROR(INDEX(rngEPpass,MATCH($F37,rngEPcode,0)),cfgPassingScore))</f>
        <v/>
      </c>
      <c r="K37" s="14" t="n"/>
      <c r="L37" s="14" t="n"/>
      <c r="M37" s="15">
        <f>IF($C37="","",IF($L37="","",IF($K37=1,IF(COUNTIFS(nrES_PID,$D37,nrES_Code,$F37,nrES_Att,2)&gt;0,"",$L37),IF(COUNTIFS(nrES_PID,$D37,nrES_Code,$F37,nrES_Att,1)=0,$L37,IF($L37&gt;=$J37,cfgRetakeRecordedCap,SUMIFS(nrES_Raw,nrES_PID,$D37,nrES_Code,$F37,nrES_Att,1))))))</f>
        <v/>
      </c>
      <c r="N37" s="15">
        <f>IF($C37="","",IF($L37="","",IF($L37&gt;=$J37,"Yes","No")))</f>
        <v/>
      </c>
      <c r="O37" s="15">
        <f>IF($C37="","",IF($M37="","",IF($M37&gt;=$J37,"Yes","No")))</f>
        <v/>
      </c>
      <c r="P37" s="15">
        <f>IF($C37="","",IF($K37="","",IF(COUNTIFS(nrES_PID,$D37,nrES_Code,$F37,nrES_Att,"&gt;"&amp;$K37)=0,"Yes","No")))</f>
        <v/>
      </c>
      <c r="Q37" s="15">
        <f>IF($C37="","",IF($L37="","",IF(AND($K37=1,$L37&lt;$J37,COUNTIFS(nrES_PID,$D37,nrES_Code,$F37,nrES_Att,2)=0),"Yes","No")))</f>
        <v/>
      </c>
      <c r="R37" s="15">
        <f>IF($C37="","",IF($L37="","",IF(AND($K37=2,$L37&lt;$J37,COUNTIFS(nrES_PID,$D37,nrES_Code,$F37,nrES_Att,1)&gt;0),"Yes","No")))</f>
        <v/>
      </c>
      <c r="S37" s="16" t="n"/>
      <c r="T37" s="17">
        <f>IF($Q37&lt;&gt;"Yes","",IF($S37="","(enter date)",_xlfn.LET(_xlpm.dn,IFERROR(_xlfn.XLOOKUP($S37,nrCDdate,nrCDnum),""),IF(_xlpm.dn="","(not a class day)",IFERROR(_xlfn.XLOOKUP(_xlpm.dn+cfgRetestClassDays,nrCDnum,nrCDdate),"")))))</f>
        <v/>
      </c>
      <c r="U37" s="15">
        <f>IF($Q37&lt;&gt;"Yes","",IF(COUNTIFS(nrES_PID,$D37,nrES_Code,$F37,nrES_Att,2)&gt;0,"Retested",IF(OR($T37="",NOT(ISNUMBER($T37))),"Pending",IF(TODAY()&gt;$T37,"OVERDUE","Due "&amp;TEXT($T37,"mm/dd")))))</f>
        <v/>
      </c>
      <c r="V37" s="14" t="n"/>
      <c r="W37" s="14" t="n"/>
    </row>
    <row r="38">
      <c r="B38" s="15">
        <f>IF($C38="","",$D38&amp;"-"&amp;$F38&amp;"-"&amp;$K38)</f>
        <v/>
      </c>
      <c r="C38" s="14" t="n"/>
      <c r="D38" s="15">
        <f>IF($C38="","",IFERROR(INDEX(rngCadetPIDs,MATCH($C38,rngCadetNames,0)),"?"))</f>
        <v/>
      </c>
      <c r="E38" s="15">
        <f>IF($D38="","",IFERROR(INDEX(nrCadetAgency,MATCH($D38,rngCadetPIDs,0)),""))</f>
        <v/>
      </c>
      <c r="F38" s="14" t="n"/>
      <c r="G38" s="15">
        <f>IF($F38="","",IFERROR(INDEX(rngEPname,MATCH($F38,rngEPcode,0)),"?"))</f>
        <v/>
      </c>
      <c r="H38" s="15">
        <f>IF($F38="","",IFERROR(INDEX(rngEPtype,MATCH($F38,rngEPcode,0)),"?"))</f>
        <v/>
      </c>
      <c r="I38" s="15">
        <f>IF($F38="","",IFERROR(INDEX(rngEPseq,MATCH($F38,rngEPcode,0)),""))</f>
        <v/>
      </c>
      <c r="J38" s="15">
        <f>IF($F38="","",IFERROR(INDEX(rngEPpass,MATCH($F38,rngEPcode,0)),cfgPassingScore))</f>
        <v/>
      </c>
      <c r="K38" s="14" t="n"/>
      <c r="L38" s="14" t="n"/>
      <c r="M38" s="15">
        <f>IF($C38="","",IF($L38="","",IF($K38=1,IF(COUNTIFS(nrES_PID,$D38,nrES_Code,$F38,nrES_Att,2)&gt;0,"",$L38),IF(COUNTIFS(nrES_PID,$D38,nrES_Code,$F38,nrES_Att,1)=0,$L38,IF($L38&gt;=$J38,cfgRetakeRecordedCap,SUMIFS(nrES_Raw,nrES_PID,$D38,nrES_Code,$F38,nrES_Att,1))))))</f>
        <v/>
      </c>
      <c r="N38" s="15">
        <f>IF($C38="","",IF($L38="","",IF($L38&gt;=$J38,"Yes","No")))</f>
        <v/>
      </c>
      <c r="O38" s="15">
        <f>IF($C38="","",IF($M38="","",IF($M38&gt;=$J38,"Yes","No")))</f>
        <v/>
      </c>
      <c r="P38" s="15">
        <f>IF($C38="","",IF($K38="","",IF(COUNTIFS(nrES_PID,$D38,nrES_Code,$F38,nrES_Att,"&gt;"&amp;$K38)=0,"Yes","No")))</f>
        <v/>
      </c>
      <c r="Q38" s="15">
        <f>IF($C38="","",IF($L38="","",IF(AND($K38=1,$L38&lt;$J38,COUNTIFS(nrES_PID,$D38,nrES_Code,$F38,nrES_Att,2)=0),"Yes","No")))</f>
        <v/>
      </c>
      <c r="R38" s="15">
        <f>IF($C38="","",IF($L38="","",IF(AND($K38=2,$L38&lt;$J38,COUNTIFS(nrES_PID,$D38,nrES_Code,$F38,nrES_Att,1)&gt;0),"Yes","No")))</f>
        <v/>
      </c>
      <c r="S38" s="16" t="n"/>
      <c r="T38" s="17">
        <f>IF($Q38&lt;&gt;"Yes","",IF($S38="","(enter date)",_xlfn.LET(_xlpm.dn,IFERROR(_xlfn.XLOOKUP($S38,nrCDdate,nrCDnum),""),IF(_xlpm.dn="","(not a class day)",IFERROR(_xlfn.XLOOKUP(_xlpm.dn+cfgRetestClassDays,nrCDnum,nrCDdate),"")))))</f>
        <v/>
      </c>
      <c r="U38" s="15">
        <f>IF($Q38&lt;&gt;"Yes","",IF(COUNTIFS(nrES_PID,$D38,nrES_Code,$F38,nrES_Att,2)&gt;0,"Retested",IF(OR($T38="",NOT(ISNUMBER($T38))),"Pending",IF(TODAY()&gt;$T38,"OVERDUE","Due "&amp;TEXT($T38,"mm/dd")))))</f>
        <v/>
      </c>
      <c r="V38" s="14" t="n"/>
      <c r="W38" s="14" t="n"/>
    </row>
    <row r="39">
      <c r="B39" s="15">
        <f>IF($C39="","",$D39&amp;"-"&amp;$F39&amp;"-"&amp;$K39)</f>
        <v/>
      </c>
      <c r="C39" s="14" t="n"/>
      <c r="D39" s="15">
        <f>IF($C39="","",IFERROR(INDEX(rngCadetPIDs,MATCH($C39,rngCadetNames,0)),"?"))</f>
        <v/>
      </c>
      <c r="E39" s="15">
        <f>IF($D39="","",IFERROR(INDEX(nrCadetAgency,MATCH($D39,rngCadetPIDs,0)),""))</f>
        <v/>
      </c>
      <c r="F39" s="14" t="n"/>
      <c r="G39" s="15">
        <f>IF($F39="","",IFERROR(INDEX(rngEPname,MATCH($F39,rngEPcode,0)),"?"))</f>
        <v/>
      </c>
      <c r="H39" s="15">
        <f>IF($F39="","",IFERROR(INDEX(rngEPtype,MATCH($F39,rngEPcode,0)),"?"))</f>
        <v/>
      </c>
      <c r="I39" s="15">
        <f>IF($F39="","",IFERROR(INDEX(rngEPseq,MATCH($F39,rngEPcode,0)),""))</f>
        <v/>
      </c>
      <c r="J39" s="15">
        <f>IF($F39="","",IFERROR(INDEX(rngEPpass,MATCH($F39,rngEPcode,0)),cfgPassingScore))</f>
        <v/>
      </c>
      <c r="K39" s="14" t="n"/>
      <c r="L39" s="14" t="n"/>
      <c r="M39" s="15">
        <f>IF($C39="","",IF($L39="","",IF($K39=1,IF(COUNTIFS(nrES_PID,$D39,nrES_Code,$F39,nrES_Att,2)&gt;0,"",$L39),IF(COUNTIFS(nrES_PID,$D39,nrES_Code,$F39,nrES_Att,1)=0,$L39,IF($L39&gt;=$J39,cfgRetakeRecordedCap,SUMIFS(nrES_Raw,nrES_PID,$D39,nrES_Code,$F39,nrES_Att,1))))))</f>
        <v/>
      </c>
      <c r="N39" s="15">
        <f>IF($C39="","",IF($L39="","",IF($L39&gt;=$J39,"Yes","No")))</f>
        <v/>
      </c>
      <c r="O39" s="15">
        <f>IF($C39="","",IF($M39="","",IF($M39&gt;=$J39,"Yes","No")))</f>
        <v/>
      </c>
      <c r="P39" s="15">
        <f>IF($C39="","",IF($K39="","",IF(COUNTIFS(nrES_PID,$D39,nrES_Code,$F39,nrES_Att,"&gt;"&amp;$K39)=0,"Yes","No")))</f>
        <v/>
      </c>
      <c r="Q39" s="15">
        <f>IF($C39="","",IF($L39="","",IF(AND($K39=1,$L39&lt;$J39,COUNTIFS(nrES_PID,$D39,nrES_Code,$F39,nrES_Att,2)=0),"Yes","No")))</f>
        <v/>
      </c>
      <c r="R39" s="15">
        <f>IF($C39="","",IF($L39="","",IF(AND($K39=2,$L39&lt;$J39,COUNTIFS(nrES_PID,$D39,nrES_Code,$F39,nrES_Att,1)&gt;0),"Yes","No")))</f>
        <v/>
      </c>
      <c r="S39" s="16" t="n"/>
      <c r="T39" s="17">
        <f>IF($Q39&lt;&gt;"Yes","",IF($S39="","(enter date)",_xlfn.LET(_xlpm.dn,IFERROR(_xlfn.XLOOKUP($S39,nrCDdate,nrCDnum),""),IF(_xlpm.dn="","(not a class day)",IFERROR(_xlfn.XLOOKUP(_xlpm.dn+cfgRetestClassDays,nrCDnum,nrCDdate),"")))))</f>
        <v/>
      </c>
      <c r="U39" s="15">
        <f>IF($Q39&lt;&gt;"Yes","",IF(COUNTIFS(nrES_PID,$D39,nrES_Code,$F39,nrES_Att,2)&gt;0,"Retested",IF(OR($T39="",NOT(ISNUMBER($T39))),"Pending",IF(TODAY()&gt;$T39,"OVERDUE","Due "&amp;TEXT($T39,"mm/dd")))))</f>
        <v/>
      </c>
      <c r="V39" s="14" t="n"/>
      <c r="W39" s="14" t="n"/>
    </row>
    <row r="40">
      <c r="B40" s="15">
        <f>IF($C40="","",$D40&amp;"-"&amp;$F40&amp;"-"&amp;$K40)</f>
        <v/>
      </c>
      <c r="C40" s="14" t="n"/>
      <c r="D40" s="15">
        <f>IF($C40="","",IFERROR(INDEX(rngCadetPIDs,MATCH($C40,rngCadetNames,0)),"?"))</f>
        <v/>
      </c>
      <c r="E40" s="15">
        <f>IF($D40="","",IFERROR(INDEX(nrCadetAgency,MATCH($D40,rngCadetPIDs,0)),""))</f>
        <v/>
      </c>
      <c r="F40" s="14" t="n"/>
      <c r="G40" s="15">
        <f>IF($F40="","",IFERROR(INDEX(rngEPname,MATCH($F40,rngEPcode,0)),"?"))</f>
        <v/>
      </c>
      <c r="H40" s="15">
        <f>IF($F40="","",IFERROR(INDEX(rngEPtype,MATCH($F40,rngEPcode,0)),"?"))</f>
        <v/>
      </c>
      <c r="I40" s="15">
        <f>IF($F40="","",IFERROR(INDEX(rngEPseq,MATCH($F40,rngEPcode,0)),""))</f>
        <v/>
      </c>
      <c r="J40" s="15">
        <f>IF($F40="","",IFERROR(INDEX(rngEPpass,MATCH($F40,rngEPcode,0)),cfgPassingScore))</f>
        <v/>
      </c>
      <c r="K40" s="14" t="n"/>
      <c r="L40" s="14" t="n"/>
      <c r="M40" s="15">
        <f>IF($C40="","",IF($L40="","",IF($K40=1,IF(COUNTIFS(nrES_PID,$D40,nrES_Code,$F40,nrES_Att,2)&gt;0,"",$L40),IF(COUNTIFS(nrES_PID,$D40,nrES_Code,$F40,nrES_Att,1)=0,$L40,IF($L40&gt;=$J40,cfgRetakeRecordedCap,SUMIFS(nrES_Raw,nrES_PID,$D40,nrES_Code,$F40,nrES_Att,1))))))</f>
        <v/>
      </c>
      <c r="N40" s="15">
        <f>IF($C40="","",IF($L40="","",IF($L40&gt;=$J40,"Yes","No")))</f>
        <v/>
      </c>
      <c r="O40" s="15">
        <f>IF($C40="","",IF($M40="","",IF($M40&gt;=$J40,"Yes","No")))</f>
        <v/>
      </c>
      <c r="P40" s="15">
        <f>IF($C40="","",IF($K40="","",IF(COUNTIFS(nrES_PID,$D40,nrES_Code,$F40,nrES_Att,"&gt;"&amp;$K40)=0,"Yes","No")))</f>
        <v/>
      </c>
      <c r="Q40" s="15">
        <f>IF($C40="","",IF($L40="","",IF(AND($K40=1,$L40&lt;$J40,COUNTIFS(nrES_PID,$D40,nrES_Code,$F40,nrES_Att,2)=0),"Yes","No")))</f>
        <v/>
      </c>
      <c r="R40" s="15">
        <f>IF($C40="","",IF($L40="","",IF(AND($K40=2,$L40&lt;$J40,COUNTIFS(nrES_PID,$D40,nrES_Code,$F40,nrES_Att,1)&gt;0),"Yes","No")))</f>
        <v/>
      </c>
      <c r="S40" s="16" t="n"/>
      <c r="T40" s="17">
        <f>IF($Q40&lt;&gt;"Yes","",IF($S40="","(enter date)",_xlfn.LET(_xlpm.dn,IFERROR(_xlfn.XLOOKUP($S40,nrCDdate,nrCDnum),""),IF(_xlpm.dn="","(not a class day)",IFERROR(_xlfn.XLOOKUP(_xlpm.dn+cfgRetestClassDays,nrCDnum,nrCDdate),"")))))</f>
        <v/>
      </c>
      <c r="U40" s="15">
        <f>IF($Q40&lt;&gt;"Yes","",IF(COUNTIFS(nrES_PID,$D40,nrES_Code,$F40,nrES_Att,2)&gt;0,"Retested",IF(OR($T40="",NOT(ISNUMBER($T40))),"Pending",IF(TODAY()&gt;$T40,"OVERDUE","Due "&amp;TEXT($T40,"mm/dd")))))</f>
        <v/>
      </c>
      <c r="V40" s="14" t="n"/>
      <c r="W40" s="14" t="n"/>
    </row>
    <row r="41">
      <c r="B41" s="15">
        <f>IF($C41="","",$D41&amp;"-"&amp;$F41&amp;"-"&amp;$K41)</f>
        <v/>
      </c>
      <c r="C41" s="14" t="n"/>
      <c r="D41" s="15">
        <f>IF($C41="","",IFERROR(INDEX(rngCadetPIDs,MATCH($C41,rngCadetNames,0)),"?"))</f>
        <v/>
      </c>
      <c r="E41" s="15">
        <f>IF($D41="","",IFERROR(INDEX(nrCadetAgency,MATCH($D41,rngCadetPIDs,0)),""))</f>
        <v/>
      </c>
      <c r="F41" s="14" t="n"/>
      <c r="G41" s="15">
        <f>IF($F41="","",IFERROR(INDEX(rngEPname,MATCH($F41,rngEPcode,0)),"?"))</f>
        <v/>
      </c>
      <c r="H41" s="15">
        <f>IF($F41="","",IFERROR(INDEX(rngEPtype,MATCH($F41,rngEPcode,0)),"?"))</f>
        <v/>
      </c>
      <c r="I41" s="15">
        <f>IF($F41="","",IFERROR(INDEX(rngEPseq,MATCH($F41,rngEPcode,0)),""))</f>
        <v/>
      </c>
      <c r="J41" s="15">
        <f>IF($F41="","",IFERROR(INDEX(rngEPpass,MATCH($F41,rngEPcode,0)),cfgPassingScore))</f>
        <v/>
      </c>
      <c r="K41" s="14" t="n"/>
      <c r="L41" s="14" t="n"/>
      <c r="M41" s="15">
        <f>IF($C41="","",IF($L41="","",IF($K41=1,IF(COUNTIFS(nrES_PID,$D41,nrES_Code,$F41,nrES_Att,2)&gt;0,"",$L41),IF(COUNTIFS(nrES_PID,$D41,nrES_Code,$F41,nrES_Att,1)=0,$L41,IF($L41&gt;=$J41,cfgRetakeRecordedCap,SUMIFS(nrES_Raw,nrES_PID,$D41,nrES_Code,$F41,nrES_Att,1))))))</f>
        <v/>
      </c>
      <c r="N41" s="15">
        <f>IF($C41="","",IF($L41="","",IF($L41&gt;=$J41,"Yes","No")))</f>
        <v/>
      </c>
      <c r="O41" s="15">
        <f>IF($C41="","",IF($M41="","",IF($M41&gt;=$J41,"Yes","No")))</f>
        <v/>
      </c>
      <c r="P41" s="15">
        <f>IF($C41="","",IF($K41="","",IF(COUNTIFS(nrES_PID,$D41,nrES_Code,$F41,nrES_Att,"&gt;"&amp;$K41)=0,"Yes","No")))</f>
        <v/>
      </c>
      <c r="Q41" s="15">
        <f>IF($C41="","",IF($L41="","",IF(AND($K41=1,$L41&lt;$J41,COUNTIFS(nrES_PID,$D41,nrES_Code,$F41,nrES_Att,2)=0),"Yes","No")))</f>
        <v/>
      </c>
      <c r="R41" s="15">
        <f>IF($C41="","",IF($L41="","",IF(AND($K41=2,$L41&lt;$J41,COUNTIFS(nrES_PID,$D41,nrES_Code,$F41,nrES_Att,1)&gt;0),"Yes","No")))</f>
        <v/>
      </c>
      <c r="S41" s="16" t="n"/>
      <c r="T41" s="17">
        <f>IF($Q41&lt;&gt;"Yes","",IF($S41="","(enter date)",_xlfn.LET(_xlpm.dn,IFERROR(_xlfn.XLOOKUP($S41,nrCDdate,nrCDnum),""),IF(_xlpm.dn="","(not a class day)",IFERROR(_xlfn.XLOOKUP(_xlpm.dn+cfgRetestClassDays,nrCDnum,nrCDdate),"")))))</f>
        <v/>
      </c>
      <c r="U41" s="15">
        <f>IF($Q41&lt;&gt;"Yes","",IF(COUNTIFS(nrES_PID,$D41,nrES_Code,$F41,nrES_Att,2)&gt;0,"Retested",IF(OR($T41="",NOT(ISNUMBER($T41))),"Pending",IF(TODAY()&gt;$T41,"OVERDUE","Due "&amp;TEXT($T41,"mm/dd")))))</f>
        <v/>
      </c>
      <c r="V41" s="14" t="n"/>
      <c r="W41" s="14" t="n"/>
    </row>
    <row r="42">
      <c r="B42" s="15">
        <f>IF($C42="","",$D42&amp;"-"&amp;$F42&amp;"-"&amp;$K42)</f>
        <v/>
      </c>
      <c r="C42" s="14" t="n"/>
      <c r="D42" s="15">
        <f>IF($C42="","",IFERROR(INDEX(rngCadetPIDs,MATCH($C42,rngCadetNames,0)),"?"))</f>
        <v/>
      </c>
      <c r="E42" s="15">
        <f>IF($D42="","",IFERROR(INDEX(nrCadetAgency,MATCH($D42,rngCadetPIDs,0)),""))</f>
        <v/>
      </c>
      <c r="F42" s="14" t="n"/>
      <c r="G42" s="15">
        <f>IF($F42="","",IFERROR(INDEX(rngEPname,MATCH($F42,rngEPcode,0)),"?"))</f>
        <v/>
      </c>
      <c r="H42" s="15">
        <f>IF($F42="","",IFERROR(INDEX(rngEPtype,MATCH($F42,rngEPcode,0)),"?"))</f>
        <v/>
      </c>
      <c r="I42" s="15">
        <f>IF($F42="","",IFERROR(INDEX(rngEPseq,MATCH($F42,rngEPcode,0)),""))</f>
        <v/>
      </c>
      <c r="J42" s="15">
        <f>IF($F42="","",IFERROR(INDEX(rngEPpass,MATCH($F42,rngEPcode,0)),cfgPassingScore))</f>
        <v/>
      </c>
      <c r="K42" s="14" t="n"/>
      <c r="L42" s="14" t="n"/>
      <c r="M42" s="15">
        <f>IF($C42="","",IF($L42="","",IF($K42=1,IF(COUNTIFS(nrES_PID,$D42,nrES_Code,$F42,nrES_Att,2)&gt;0,"",$L42),IF(COUNTIFS(nrES_PID,$D42,nrES_Code,$F42,nrES_Att,1)=0,$L42,IF($L42&gt;=$J42,cfgRetakeRecordedCap,SUMIFS(nrES_Raw,nrES_PID,$D42,nrES_Code,$F42,nrES_Att,1))))))</f>
        <v/>
      </c>
      <c r="N42" s="15">
        <f>IF($C42="","",IF($L42="","",IF($L42&gt;=$J42,"Yes","No")))</f>
        <v/>
      </c>
      <c r="O42" s="15">
        <f>IF($C42="","",IF($M42="","",IF($M42&gt;=$J42,"Yes","No")))</f>
        <v/>
      </c>
      <c r="P42" s="15">
        <f>IF($C42="","",IF($K42="","",IF(COUNTIFS(nrES_PID,$D42,nrES_Code,$F42,nrES_Att,"&gt;"&amp;$K42)=0,"Yes","No")))</f>
        <v/>
      </c>
      <c r="Q42" s="15">
        <f>IF($C42="","",IF($L42="","",IF(AND($K42=1,$L42&lt;$J42,COUNTIFS(nrES_PID,$D42,nrES_Code,$F42,nrES_Att,2)=0),"Yes","No")))</f>
        <v/>
      </c>
      <c r="R42" s="15">
        <f>IF($C42="","",IF($L42="","",IF(AND($K42=2,$L42&lt;$J42,COUNTIFS(nrES_PID,$D42,nrES_Code,$F42,nrES_Att,1)&gt;0),"Yes","No")))</f>
        <v/>
      </c>
      <c r="S42" s="16" t="n"/>
      <c r="T42" s="17">
        <f>IF($Q42&lt;&gt;"Yes","",IF($S42="","(enter date)",_xlfn.LET(_xlpm.dn,IFERROR(_xlfn.XLOOKUP($S42,nrCDdate,nrCDnum),""),IF(_xlpm.dn="","(not a class day)",IFERROR(_xlfn.XLOOKUP(_xlpm.dn+cfgRetestClassDays,nrCDnum,nrCDdate),"")))))</f>
        <v/>
      </c>
      <c r="U42" s="15">
        <f>IF($Q42&lt;&gt;"Yes","",IF(COUNTIFS(nrES_PID,$D42,nrES_Code,$F42,nrES_Att,2)&gt;0,"Retested",IF(OR($T42="",NOT(ISNUMBER($T42))),"Pending",IF(TODAY()&gt;$T42,"OVERDUE","Due "&amp;TEXT($T42,"mm/dd")))))</f>
        <v/>
      </c>
      <c r="V42" s="14" t="n"/>
      <c r="W42" s="14" t="n"/>
    </row>
    <row r="43">
      <c r="B43" s="15">
        <f>IF($C43="","",$D43&amp;"-"&amp;$F43&amp;"-"&amp;$K43)</f>
        <v/>
      </c>
      <c r="C43" s="14" t="n"/>
      <c r="D43" s="15">
        <f>IF($C43="","",IFERROR(INDEX(rngCadetPIDs,MATCH($C43,rngCadetNames,0)),"?"))</f>
        <v/>
      </c>
      <c r="E43" s="15">
        <f>IF($D43="","",IFERROR(INDEX(nrCadetAgency,MATCH($D43,rngCadetPIDs,0)),""))</f>
        <v/>
      </c>
      <c r="F43" s="14" t="n"/>
      <c r="G43" s="15">
        <f>IF($F43="","",IFERROR(INDEX(rngEPname,MATCH($F43,rngEPcode,0)),"?"))</f>
        <v/>
      </c>
      <c r="H43" s="15">
        <f>IF($F43="","",IFERROR(INDEX(rngEPtype,MATCH($F43,rngEPcode,0)),"?"))</f>
        <v/>
      </c>
      <c r="I43" s="15">
        <f>IF($F43="","",IFERROR(INDEX(rngEPseq,MATCH($F43,rngEPcode,0)),""))</f>
        <v/>
      </c>
      <c r="J43" s="15">
        <f>IF($F43="","",IFERROR(INDEX(rngEPpass,MATCH($F43,rngEPcode,0)),cfgPassingScore))</f>
        <v/>
      </c>
      <c r="K43" s="14" t="n"/>
      <c r="L43" s="14" t="n"/>
      <c r="M43" s="15">
        <f>IF($C43="","",IF($L43="","",IF($K43=1,IF(COUNTIFS(nrES_PID,$D43,nrES_Code,$F43,nrES_Att,2)&gt;0,"",$L43),IF(COUNTIFS(nrES_PID,$D43,nrES_Code,$F43,nrES_Att,1)=0,$L43,IF($L43&gt;=$J43,cfgRetakeRecordedCap,SUMIFS(nrES_Raw,nrES_PID,$D43,nrES_Code,$F43,nrES_Att,1))))))</f>
        <v/>
      </c>
      <c r="N43" s="15">
        <f>IF($C43="","",IF($L43="","",IF($L43&gt;=$J43,"Yes","No")))</f>
        <v/>
      </c>
      <c r="O43" s="15">
        <f>IF($C43="","",IF($M43="","",IF($M43&gt;=$J43,"Yes","No")))</f>
        <v/>
      </c>
      <c r="P43" s="15">
        <f>IF($C43="","",IF($K43="","",IF(COUNTIFS(nrES_PID,$D43,nrES_Code,$F43,nrES_Att,"&gt;"&amp;$K43)=0,"Yes","No")))</f>
        <v/>
      </c>
      <c r="Q43" s="15">
        <f>IF($C43="","",IF($L43="","",IF(AND($K43=1,$L43&lt;$J43,COUNTIFS(nrES_PID,$D43,nrES_Code,$F43,nrES_Att,2)=0),"Yes","No")))</f>
        <v/>
      </c>
      <c r="R43" s="15">
        <f>IF($C43="","",IF($L43="","",IF(AND($K43=2,$L43&lt;$J43,COUNTIFS(nrES_PID,$D43,nrES_Code,$F43,nrES_Att,1)&gt;0),"Yes","No")))</f>
        <v/>
      </c>
      <c r="S43" s="16" t="n"/>
      <c r="T43" s="17">
        <f>IF($Q43&lt;&gt;"Yes","",IF($S43="","(enter date)",_xlfn.LET(_xlpm.dn,IFERROR(_xlfn.XLOOKUP($S43,nrCDdate,nrCDnum),""),IF(_xlpm.dn="","(not a class day)",IFERROR(_xlfn.XLOOKUP(_xlpm.dn+cfgRetestClassDays,nrCDnum,nrCDdate),"")))))</f>
        <v/>
      </c>
      <c r="U43" s="15">
        <f>IF($Q43&lt;&gt;"Yes","",IF(COUNTIFS(nrES_PID,$D43,nrES_Code,$F43,nrES_Att,2)&gt;0,"Retested",IF(OR($T43="",NOT(ISNUMBER($T43))),"Pending",IF(TODAY()&gt;$T43,"OVERDUE","Due "&amp;TEXT($T43,"mm/dd")))))</f>
        <v/>
      </c>
      <c r="V43" s="14" t="n"/>
      <c r="W43" s="14" t="n"/>
    </row>
    <row r="44">
      <c r="B44" s="15">
        <f>IF($C44="","",$D44&amp;"-"&amp;$F44&amp;"-"&amp;$K44)</f>
        <v/>
      </c>
      <c r="C44" s="14" t="n"/>
      <c r="D44" s="15">
        <f>IF($C44="","",IFERROR(INDEX(rngCadetPIDs,MATCH($C44,rngCadetNames,0)),"?"))</f>
        <v/>
      </c>
      <c r="E44" s="15">
        <f>IF($D44="","",IFERROR(INDEX(nrCadetAgency,MATCH($D44,rngCadetPIDs,0)),""))</f>
        <v/>
      </c>
      <c r="F44" s="14" t="n"/>
      <c r="G44" s="15">
        <f>IF($F44="","",IFERROR(INDEX(rngEPname,MATCH($F44,rngEPcode,0)),"?"))</f>
        <v/>
      </c>
      <c r="H44" s="15">
        <f>IF($F44="","",IFERROR(INDEX(rngEPtype,MATCH($F44,rngEPcode,0)),"?"))</f>
        <v/>
      </c>
      <c r="I44" s="15">
        <f>IF($F44="","",IFERROR(INDEX(rngEPseq,MATCH($F44,rngEPcode,0)),""))</f>
        <v/>
      </c>
      <c r="J44" s="15">
        <f>IF($F44="","",IFERROR(INDEX(rngEPpass,MATCH($F44,rngEPcode,0)),cfgPassingScore))</f>
        <v/>
      </c>
      <c r="K44" s="14" t="n"/>
      <c r="L44" s="14" t="n"/>
      <c r="M44" s="15">
        <f>IF($C44="","",IF($L44="","",IF($K44=1,IF(COUNTIFS(nrES_PID,$D44,nrES_Code,$F44,nrES_Att,2)&gt;0,"",$L44),IF(COUNTIFS(nrES_PID,$D44,nrES_Code,$F44,nrES_Att,1)=0,$L44,IF($L44&gt;=$J44,cfgRetakeRecordedCap,SUMIFS(nrES_Raw,nrES_PID,$D44,nrES_Code,$F44,nrES_Att,1))))))</f>
        <v/>
      </c>
      <c r="N44" s="15">
        <f>IF($C44="","",IF($L44="","",IF($L44&gt;=$J44,"Yes","No")))</f>
        <v/>
      </c>
      <c r="O44" s="15">
        <f>IF($C44="","",IF($M44="","",IF($M44&gt;=$J44,"Yes","No")))</f>
        <v/>
      </c>
      <c r="P44" s="15">
        <f>IF($C44="","",IF($K44="","",IF(COUNTIFS(nrES_PID,$D44,nrES_Code,$F44,nrES_Att,"&gt;"&amp;$K44)=0,"Yes","No")))</f>
        <v/>
      </c>
      <c r="Q44" s="15">
        <f>IF($C44="","",IF($L44="","",IF(AND($K44=1,$L44&lt;$J44,COUNTIFS(nrES_PID,$D44,nrES_Code,$F44,nrES_Att,2)=0),"Yes","No")))</f>
        <v/>
      </c>
      <c r="R44" s="15">
        <f>IF($C44="","",IF($L44="","",IF(AND($K44=2,$L44&lt;$J44,COUNTIFS(nrES_PID,$D44,nrES_Code,$F44,nrES_Att,1)&gt;0),"Yes","No")))</f>
        <v/>
      </c>
      <c r="S44" s="16" t="n"/>
      <c r="T44" s="17">
        <f>IF($Q44&lt;&gt;"Yes","",IF($S44="","(enter date)",_xlfn.LET(_xlpm.dn,IFERROR(_xlfn.XLOOKUP($S44,nrCDdate,nrCDnum),""),IF(_xlpm.dn="","(not a class day)",IFERROR(_xlfn.XLOOKUP(_xlpm.dn+cfgRetestClassDays,nrCDnum,nrCDdate),"")))))</f>
        <v/>
      </c>
      <c r="U44" s="15">
        <f>IF($Q44&lt;&gt;"Yes","",IF(COUNTIFS(nrES_PID,$D44,nrES_Code,$F44,nrES_Att,2)&gt;0,"Retested",IF(OR($T44="",NOT(ISNUMBER($T44))),"Pending",IF(TODAY()&gt;$T44,"OVERDUE","Due "&amp;TEXT($T44,"mm/dd")))))</f>
        <v/>
      </c>
      <c r="V44" s="14" t="n"/>
      <c r="W44" s="14" t="n"/>
    </row>
    <row r="45">
      <c r="B45" s="15">
        <f>IF($C45="","",$D45&amp;"-"&amp;$F45&amp;"-"&amp;$K45)</f>
        <v/>
      </c>
      <c r="C45" s="14" t="n"/>
      <c r="D45" s="15">
        <f>IF($C45="","",IFERROR(INDEX(rngCadetPIDs,MATCH($C45,rngCadetNames,0)),"?"))</f>
        <v/>
      </c>
      <c r="E45" s="15">
        <f>IF($D45="","",IFERROR(INDEX(nrCadetAgency,MATCH($D45,rngCadetPIDs,0)),""))</f>
        <v/>
      </c>
      <c r="F45" s="14" t="n"/>
      <c r="G45" s="15">
        <f>IF($F45="","",IFERROR(INDEX(rngEPname,MATCH($F45,rngEPcode,0)),"?"))</f>
        <v/>
      </c>
      <c r="H45" s="15">
        <f>IF($F45="","",IFERROR(INDEX(rngEPtype,MATCH($F45,rngEPcode,0)),"?"))</f>
        <v/>
      </c>
      <c r="I45" s="15">
        <f>IF($F45="","",IFERROR(INDEX(rngEPseq,MATCH($F45,rngEPcode,0)),""))</f>
        <v/>
      </c>
      <c r="J45" s="15">
        <f>IF($F45="","",IFERROR(INDEX(rngEPpass,MATCH($F45,rngEPcode,0)),cfgPassingScore))</f>
        <v/>
      </c>
      <c r="K45" s="14" t="n"/>
      <c r="L45" s="14" t="n"/>
      <c r="M45" s="15">
        <f>IF($C45="","",IF($L45="","",IF($K45=1,IF(COUNTIFS(nrES_PID,$D45,nrES_Code,$F45,nrES_Att,2)&gt;0,"",$L45),IF(COUNTIFS(nrES_PID,$D45,nrES_Code,$F45,nrES_Att,1)=0,$L45,IF($L45&gt;=$J45,cfgRetakeRecordedCap,SUMIFS(nrES_Raw,nrES_PID,$D45,nrES_Code,$F45,nrES_Att,1))))))</f>
        <v/>
      </c>
      <c r="N45" s="15">
        <f>IF($C45="","",IF($L45="","",IF($L45&gt;=$J45,"Yes","No")))</f>
        <v/>
      </c>
      <c r="O45" s="15">
        <f>IF($C45="","",IF($M45="","",IF($M45&gt;=$J45,"Yes","No")))</f>
        <v/>
      </c>
      <c r="P45" s="15">
        <f>IF($C45="","",IF($K45="","",IF(COUNTIFS(nrES_PID,$D45,nrES_Code,$F45,nrES_Att,"&gt;"&amp;$K45)=0,"Yes","No")))</f>
        <v/>
      </c>
      <c r="Q45" s="15">
        <f>IF($C45="","",IF($L45="","",IF(AND($K45=1,$L45&lt;$J45,COUNTIFS(nrES_PID,$D45,nrES_Code,$F45,nrES_Att,2)=0),"Yes","No")))</f>
        <v/>
      </c>
      <c r="R45" s="15">
        <f>IF($C45="","",IF($L45="","",IF(AND($K45=2,$L45&lt;$J45,COUNTIFS(nrES_PID,$D45,nrES_Code,$F45,nrES_Att,1)&gt;0),"Yes","No")))</f>
        <v/>
      </c>
      <c r="S45" s="16" t="n"/>
      <c r="T45" s="17">
        <f>IF($Q45&lt;&gt;"Yes","",IF($S45="","(enter date)",_xlfn.LET(_xlpm.dn,IFERROR(_xlfn.XLOOKUP($S45,nrCDdate,nrCDnum),""),IF(_xlpm.dn="","(not a class day)",IFERROR(_xlfn.XLOOKUP(_xlpm.dn+cfgRetestClassDays,nrCDnum,nrCDdate),"")))))</f>
        <v/>
      </c>
      <c r="U45" s="15">
        <f>IF($Q45&lt;&gt;"Yes","",IF(COUNTIFS(nrES_PID,$D45,nrES_Code,$F45,nrES_Att,2)&gt;0,"Retested",IF(OR($T45="",NOT(ISNUMBER($T45))),"Pending",IF(TODAY()&gt;$T45,"OVERDUE","Due "&amp;TEXT($T45,"mm/dd")))))</f>
        <v/>
      </c>
      <c r="V45" s="14" t="n"/>
      <c r="W45" s="14" t="n"/>
    </row>
    <row r="46">
      <c r="B46" s="15">
        <f>IF($C46="","",$D46&amp;"-"&amp;$F46&amp;"-"&amp;$K46)</f>
        <v/>
      </c>
      <c r="C46" s="14" t="n"/>
      <c r="D46" s="15">
        <f>IF($C46="","",IFERROR(INDEX(rngCadetPIDs,MATCH($C46,rngCadetNames,0)),"?"))</f>
        <v/>
      </c>
      <c r="E46" s="15">
        <f>IF($D46="","",IFERROR(INDEX(nrCadetAgency,MATCH($D46,rngCadetPIDs,0)),""))</f>
        <v/>
      </c>
      <c r="F46" s="14" t="n"/>
      <c r="G46" s="15">
        <f>IF($F46="","",IFERROR(INDEX(rngEPname,MATCH($F46,rngEPcode,0)),"?"))</f>
        <v/>
      </c>
      <c r="H46" s="15">
        <f>IF($F46="","",IFERROR(INDEX(rngEPtype,MATCH($F46,rngEPcode,0)),"?"))</f>
        <v/>
      </c>
      <c r="I46" s="15">
        <f>IF($F46="","",IFERROR(INDEX(rngEPseq,MATCH($F46,rngEPcode,0)),""))</f>
        <v/>
      </c>
      <c r="J46" s="15">
        <f>IF($F46="","",IFERROR(INDEX(rngEPpass,MATCH($F46,rngEPcode,0)),cfgPassingScore))</f>
        <v/>
      </c>
      <c r="K46" s="14" t="n"/>
      <c r="L46" s="14" t="n"/>
      <c r="M46" s="15">
        <f>IF($C46="","",IF($L46="","",IF($K46=1,IF(COUNTIFS(nrES_PID,$D46,nrES_Code,$F46,nrES_Att,2)&gt;0,"",$L46),IF(COUNTIFS(nrES_PID,$D46,nrES_Code,$F46,nrES_Att,1)=0,$L46,IF($L46&gt;=$J46,cfgRetakeRecordedCap,SUMIFS(nrES_Raw,nrES_PID,$D46,nrES_Code,$F46,nrES_Att,1))))))</f>
        <v/>
      </c>
      <c r="N46" s="15">
        <f>IF($C46="","",IF($L46="","",IF($L46&gt;=$J46,"Yes","No")))</f>
        <v/>
      </c>
      <c r="O46" s="15">
        <f>IF($C46="","",IF($M46="","",IF($M46&gt;=$J46,"Yes","No")))</f>
        <v/>
      </c>
      <c r="P46" s="15">
        <f>IF($C46="","",IF($K46="","",IF(COUNTIFS(nrES_PID,$D46,nrES_Code,$F46,nrES_Att,"&gt;"&amp;$K46)=0,"Yes","No")))</f>
        <v/>
      </c>
      <c r="Q46" s="15">
        <f>IF($C46="","",IF($L46="","",IF(AND($K46=1,$L46&lt;$J46,COUNTIFS(nrES_PID,$D46,nrES_Code,$F46,nrES_Att,2)=0),"Yes","No")))</f>
        <v/>
      </c>
      <c r="R46" s="15">
        <f>IF($C46="","",IF($L46="","",IF(AND($K46=2,$L46&lt;$J46,COUNTIFS(nrES_PID,$D46,nrES_Code,$F46,nrES_Att,1)&gt;0),"Yes","No")))</f>
        <v/>
      </c>
      <c r="S46" s="16" t="n"/>
      <c r="T46" s="17">
        <f>IF($Q46&lt;&gt;"Yes","",IF($S46="","(enter date)",_xlfn.LET(_xlpm.dn,IFERROR(_xlfn.XLOOKUP($S46,nrCDdate,nrCDnum),""),IF(_xlpm.dn="","(not a class day)",IFERROR(_xlfn.XLOOKUP(_xlpm.dn+cfgRetestClassDays,nrCDnum,nrCDdate),"")))))</f>
        <v/>
      </c>
      <c r="U46" s="15">
        <f>IF($Q46&lt;&gt;"Yes","",IF(COUNTIFS(nrES_PID,$D46,nrES_Code,$F46,nrES_Att,2)&gt;0,"Retested",IF(OR($T46="",NOT(ISNUMBER($T46))),"Pending",IF(TODAY()&gt;$T46,"OVERDUE","Due "&amp;TEXT($T46,"mm/dd")))))</f>
        <v/>
      </c>
      <c r="V46" s="14" t="n"/>
      <c r="W46" s="14" t="n"/>
    </row>
    <row r="47">
      <c r="B47" s="15">
        <f>IF($C47="","",$D47&amp;"-"&amp;$F47&amp;"-"&amp;$K47)</f>
        <v/>
      </c>
      <c r="C47" s="14" t="n"/>
      <c r="D47" s="15">
        <f>IF($C47="","",IFERROR(INDEX(rngCadetPIDs,MATCH($C47,rngCadetNames,0)),"?"))</f>
        <v/>
      </c>
      <c r="E47" s="15">
        <f>IF($D47="","",IFERROR(INDEX(nrCadetAgency,MATCH($D47,rngCadetPIDs,0)),""))</f>
        <v/>
      </c>
      <c r="F47" s="14" t="n"/>
      <c r="G47" s="15">
        <f>IF($F47="","",IFERROR(INDEX(rngEPname,MATCH($F47,rngEPcode,0)),"?"))</f>
        <v/>
      </c>
      <c r="H47" s="15">
        <f>IF($F47="","",IFERROR(INDEX(rngEPtype,MATCH($F47,rngEPcode,0)),"?"))</f>
        <v/>
      </c>
      <c r="I47" s="15">
        <f>IF($F47="","",IFERROR(INDEX(rngEPseq,MATCH($F47,rngEPcode,0)),""))</f>
        <v/>
      </c>
      <c r="J47" s="15">
        <f>IF($F47="","",IFERROR(INDEX(rngEPpass,MATCH($F47,rngEPcode,0)),cfgPassingScore))</f>
        <v/>
      </c>
      <c r="K47" s="14" t="n"/>
      <c r="L47" s="14" t="n"/>
      <c r="M47" s="15">
        <f>IF($C47="","",IF($L47="","",IF($K47=1,IF(COUNTIFS(nrES_PID,$D47,nrES_Code,$F47,nrES_Att,2)&gt;0,"",$L47),IF(COUNTIFS(nrES_PID,$D47,nrES_Code,$F47,nrES_Att,1)=0,$L47,IF($L47&gt;=$J47,cfgRetakeRecordedCap,SUMIFS(nrES_Raw,nrES_PID,$D47,nrES_Code,$F47,nrES_Att,1))))))</f>
        <v/>
      </c>
      <c r="N47" s="15">
        <f>IF($C47="","",IF($L47="","",IF($L47&gt;=$J47,"Yes","No")))</f>
        <v/>
      </c>
      <c r="O47" s="15">
        <f>IF($C47="","",IF($M47="","",IF($M47&gt;=$J47,"Yes","No")))</f>
        <v/>
      </c>
      <c r="P47" s="15">
        <f>IF($C47="","",IF($K47="","",IF(COUNTIFS(nrES_PID,$D47,nrES_Code,$F47,nrES_Att,"&gt;"&amp;$K47)=0,"Yes","No")))</f>
        <v/>
      </c>
      <c r="Q47" s="15">
        <f>IF($C47="","",IF($L47="","",IF(AND($K47=1,$L47&lt;$J47,COUNTIFS(nrES_PID,$D47,nrES_Code,$F47,nrES_Att,2)=0),"Yes","No")))</f>
        <v/>
      </c>
      <c r="R47" s="15">
        <f>IF($C47="","",IF($L47="","",IF(AND($K47=2,$L47&lt;$J47,COUNTIFS(nrES_PID,$D47,nrES_Code,$F47,nrES_Att,1)&gt;0),"Yes","No")))</f>
        <v/>
      </c>
      <c r="S47" s="16" t="n"/>
      <c r="T47" s="17">
        <f>IF($Q47&lt;&gt;"Yes","",IF($S47="","(enter date)",_xlfn.LET(_xlpm.dn,IFERROR(_xlfn.XLOOKUP($S47,nrCDdate,nrCDnum),""),IF(_xlpm.dn="","(not a class day)",IFERROR(_xlfn.XLOOKUP(_xlpm.dn+cfgRetestClassDays,nrCDnum,nrCDdate),"")))))</f>
        <v/>
      </c>
      <c r="U47" s="15">
        <f>IF($Q47&lt;&gt;"Yes","",IF(COUNTIFS(nrES_PID,$D47,nrES_Code,$F47,nrES_Att,2)&gt;0,"Retested",IF(OR($T47="",NOT(ISNUMBER($T47))),"Pending",IF(TODAY()&gt;$T47,"OVERDUE","Due "&amp;TEXT($T47,"mm/dd")))))</f>
        <v/>
      </c>
      <c r="V47" s="14" t="n"/>
      <c r="W47" s="14" t="n"/>
    </row>
    <row r="48">
      <c r="B48" s="15">
        <f>IF($C48="","",$D48&amp;"-"&amp;$F48&amp;"-"&amp;$K48)</f>
        <v/>
      </c>
      <c r="C48" s="14" t="n"/>
      <c r="D48" s="15">
        <f>IF($C48="","",IFERROR(INDEX(rngCadetPIDs,MATCH($C48,rngCadetNames,0)),"?"))</f>
        <v/>
      </c>
      <c r="E48" s="15">
        <f>IF($D48="","",IFERROR(INDEX(nrCadetAgency,MATCH($D48,rngCadetPIDs,0)),""))</f>
        <v/>
      </c>
      <c r="F48" s="14" t="n"/>
      <c r="G48" s="15">
        <f>IF($F48="","",IFERROR(INDEX(rngEPname,MATCH($F48,rngEPcode,0)),"?"))</f>
        <v/>
      </c>
      <c r="H48" s="15">
        <f>IF($F48="","",IFERROR(INDEX(rngEPtype,MATCH($F48,rngEPcode,0)),"?"))</f>
        <v/>
      </c>
      <c r="I48" s="15">
        <f>IF($F48="","",IFERROR(INDEX(rngEPseq,MATCH($F48,rngEPcode,0)),""))</f>
        <v/>
      </c>
      <c r="J48" s="15">
        <f>IF($F48="","",IFERROR(INDEX(rngEPpass,MATCH($F48,rngEPcode,0)),cfgPassingScore))</f>
        <v/>
      </c>
      <c r="K48" s="14" t="n"/>
      <c r="L48" s="14" t="n"/>
      <c r="M48" s="15">
        <f>IF($C48="","",IF($L48="","",IF($K48=1,IF(COUNTIFS(nrES_PID,$D48,nrES_Code,$F48,nrES_Att,2)&gt;0,"",$L48),IF(COUNTIFS(nrES_PID,$D48,nrES_Code,$F48,nrES_Att,1)=0,$L48,IF($L48&gt;=$J48,cfgRetakeRecordedCap,SUMIFS(nrES_Raw,nrES_PID,$D48,nrES_Code,$F48,nrES_Att,1))))))</f>
        <v/>
      </c>
      <c r="N48" s="15">
        <f>IF($C48="","",IF($L48="","",IF($L48&gt;=$J48,"Yes","No")))</f>
        <v/>
      </c>
      <c r="O48" s="15">
        <f>IF($C48="","",IF($M48="","",IF($M48&gt;=$J48,"Yes","No")))</f>
        <v/>
      </c>
      <c r="P48" s="15">
        <f>IF($C48="","",IF($K48="","",IF(COUNTIFS(nrES_PID,$D48,nrES_Code,$F48,nrES_Att,"&gt;"&amp;$K48)=0,"Yes","No")))</f>
        <v/>
      </c>
      <c r="Q48" s="15">
        <f>IF($C48="","",IF($L48="","",IF(AND($K48=1,$L48&lt;$J48,COUNTIFS(nrES_PID,$D48,nrES_Code,$F48,nrES_Att,2)=0),"Yes","No")))</f>
        <v/>
      </c>
      <c r="R48" s="15">
        <f>IF($C48="","",IF($L48="","",IF(AND($K48=2,$L48&lt;$J48,COUNTIFS(nrES_PID,$D48,nrES_Code,$F48,nrES_Att,1)&gt;0),"Yes","No")))</f>
        <v/>
      </c>
      <c r="S48" s="16" t="n"/>
      <c r="T48" s="17">
        <f>IF($Q48&lt;&gt;"Yes","",IF($S48="","(enter date)",_xlfn.LET(_xlpm.dn,IFERROR(_xlfn.XLOOKUP($S48,nrCDdate,nrCDnum),""),IF(_xlpm.dn="","(not a class day)",IFERROR(_xlfn.XLOOKUP(_xlpm.dn+cfgRetestClassDays,nrCDnum,nrCDdate),"")))))</f>
        <v/>
      </c>
      <c r="U48" s="15">
        <f>IF($Q48&lt;&gt;"Yes","",IF(COUNTIFS(nrES_PID,$D48,nrES_Code,$F48,nrES_Att,2)&gt;0,"Retested",IF(OR($T48="",NOT(ISNUMBER($T48))),"Pending",IF(TODAY()&gt;$T48,"OVERDUE","Due "&amp;TEXT($T48,"mm/dd")))))</f>
        <v/>
      </c>
      <c r="V48" s="14" t="n"/>
      <c r="W48" s="14" t="n"/>
    </row>
    <row r="49">
      <c r="B49" s="15">
        <f>IF($C49="","",$D49&amp;"-"&amp;$F49&amp;"-"&amp;$K49)</f>
        <v/>
      </c>
      <c r="C49" s="14" t="n"/>
      <c r="D49" s="15">
        <f>IF($C49="","",IFERROR(INDEX(rngCadetPIDs,MATCH($C49,rngCadetNames,0)),"?"))</f>
        <v/>
      </c>
      <c r="E49" s="15">
        <f>IF($D49="","",IFERROR(INDEX(nrCadetAgency,MATCH($D49,rngCadetPIDs,0)),""))</f>
        <v/>
      </c>
      <c r="F49" s="14" t="n"/>
      <c r="G49" s="15">
        <f>IF($F49="","",IFERROR(INDEX(rngEPname,MATCH($F49,rngEPcode,0)),"?"))</f>
        <v/>
      </c>
      <c r="H49" s="15">
        <f>IF($F49="","",IFERROR(INDEX(rngEPtype,MATCH($F49,rngEPcode,0)),"?"))</f>
        <v/>
      </c>
      <c r="I49" s="15">
        <f>IF($F49="","",IFERROR(INDEX(rngEPseq,MATCH($F49,rngEPcode,0)),""))</f>
        <v/>
      </c>
      <c r="J49" s="15">
        <f>IF($F49="","",IFERROR(INDEX(rngEPpass,MATCH($F49,rngEPcode,0)),cfgPassingScore))</f>
        <v/>
      </c>
      <c r="K49" s="14" t="n"/>
      <c r="L49" s="14" t="n"/>
      <c r="M49" s="15">
        <f>IF($C49="","",IF($L49="","",IF($K49=1,IF(COUNTIFS(nrES_PID,$D49,nrES_Code,$F49,nrES_Att,2)&gt;0,"",$L49),IF(COUNTIFS(nrES_PID,$D49,nrES_Code,$F49,nrES_Att,1)=0,$L49,IF($L49&gt;=$J49,cfgRetakeRecordedCap,SUMIFS(nrES_Raw,nrES_PID,$D49,nrES_Code,$F49,nrES_Att,1))))))</f>
        <v/>
      </c>
      <c r="N49" s="15">
        <f>IF($C49="","",IF($L49="","",IF($L49&gt;=$J49,"Yes","No")))</f>
        <v/>
      </c>
      <c r="O49" s="15">
        <f>IF($C49="","",IF($M49="","",IF($M49&gt;=$J49,"Yes","No")))</f>
        <v/>
      </c>
      <c r="P49" s="15">
        <f>IF($C49="","",IF($K49="","",IF(COUNTIFS(nrES_PID,$D49,nrES_Code,$F49,nrES_Att,"&gt;"&amp;$K49)=0,"Yes","No")))</f>
        <v/>
      </c>
      <c r="Q49" s="15">
        <f>IF($C49="","",IF($L49="","",IF(AND($K49=1,$L49&lt;$J49,COUNTIFS(nrES_PID,$D49,nrES_Code,$F49,nrES_Att,2)=0),"Yes","No")))</f>
        <v/>
      </c>
      <c r="R49" s="15">
        <f>IF($C49="","",IF($L49="","",IF(AND($K49=2,$L49&lt;$J49,COUNTIFS(nrES_PID,$D49,nrES_Code,$F49,nrES_Att,1)&gt;0),"Yes","No")))</f>
        <v/>
      </c>
      <c r="S49" s="16" t="n"/>
      <c r="T49" s="17">
        <f>IF($Q49&lt;&gt;"Yes","",IF($S49="","(enter date)",_xlfn.LET(_xlpm.dn,IFERROR(_xlfn.XLOOKUP($S49,nrCDdate,nrCDnum),""),IF(_xlpm.dn="","(not a class day)",IFERROR(_xlfn.XLOOKUP(_xlpm.dn+cfgRetestClassDays,nrCDnum,nrCDdate),"")))))</f>
        <v/>
      </c>
      <c r="U49" s="15">
        <f>IF($Q49&lt;&gt;"Yes","",IF(COUNTIFS(nrES_PID,$D49,nrES_Code,$F49,nrES_Att,2)&gt;0,"Retested",IF(OR($T49="",NOT(ISNUMBER($T49))),"Pending",IF(TODAY()&gt;$T49,"OVERDUE","Due "&amp;TEXT($T49,"mm/dd")))))</f>
        <v/>
      </c>
      <c r="V49" s="14" t="n"/>
      <c r="W49" s="14" t="n"/>
    </row>
    <row r="50">
      <c r="B50" s="15">
        <f>IF($C50="","",$D50&amp;"-"&amp;$F50&amp;"-"&amp;$K50)</f>
        <v/>
      </c>
      <c r="C50" s="14" t="n"/>
      <c r="D50" s="15">
        <f>IF($C50="","",IFERROR(INDEX(rngCadetPIDs,MATCH($C50,rngCadetNames,0)),"?"))</f>
        <v/>
      </c>
      <c r="E50" s="15">
        <f>IF($D50="","",IFERROR(INDEX(nrCadetAgency,MATCH($D50,rngCadetPIDs,0)),""))</f>
        <v/>
      </c>
      <c r="F50" s="14" t="n"/>
      <c r="G50" s="15">
        <f>IF($F50="","",IFERROR(INDEX(rngEPname,MATCH($F50,rngEPcode,0)),"?"))</f>
        <v/>
      </c>
      <c r="H50" s="15">
        <f>IF($F50="","",IFERROR(INDEX(rngEPtype,MATCH($F50,rngEPcode,0)),"?"))</f>
        <v/>
      </c>
      <c r="I50" s="15">
        <f>IF($F50="","",IFERROR(INDEX(rngEPseq,MATCH($F50,rngEPcode,0)),""))</f>
        <v/>
      </c>
      <c r="J50" s="15">
        <f>IF($F50="","",IFERROR(INDEX(rngEPpass,MATCH($F50,rngEPcode,0)),cfgPassingScore))</f>
        <v/>
      </c>
      <c r="K50" s="14" t="n"/>
      <c r="L50" s="14" t="n"/>
      <c r="M50" s="15">
        <f>IF($C50="","",IF($L50="","",IF($K50=1,IF(COUNTIFS(nrES_PID,$D50,nrES_Code,$F50,nrES_Att,2)&gt;0,"",$L50),IF(COUNTIFS(nrES_PID,$D50,nrES_Code,$F50,nrES_Att,1)=0,$L50,IF($L50&gt;=$J50,cfgRetakeRecordedCap,SUMIFS(nrES_Raw,nrES_PID,$D50,nrES_Code,$F50,nrES_Att,1))))))</f>
        <v/>
      </c>
      <c r="N50" s="15">
        <f>IF($C50="","",IF($L50="","",IF($L50&gt;=$J50,"Yes","No")))</f>
        <v/>
      </c>
      <c r="O50" s="15">
        <f>IF($C50="","",IF($M50="","",IF($M50&gt;=$J50,"Yes","No")))</f>
        <v/>
      </c>
      <c r="P50" s="15">
        <f>IF($C50="","",IF($K50="","",IF(COUNTIFS(nrES_PID,$D50,nrES_Code,$F50,nrES_Att,"&gt;"&amp;$K50)=0,"Yes","No")))</f>
        <v/>
      </c>
      <c r="Q50" s="15">
        <f>IF($C50="","",IF($L50="","",IF(AND($K50=1,$L50&lt;$J50,COUNTIFS(nrES_PID,$D50,nrES_Code,$F50,nrES_Att,2)=0),"Yes","No")))</f>
        <v/>
      </c>
      <c r="R50" s="15">
        <f>IF($C50="","",IF($L50="","",IF(AND($K50=2,$L50&lt;$J50,COUNTIFS(nrES_PID,$D50,nrES_Code,$F50,nrES_Att,1)&gt;0),"Yes","No")))</f>
        <v/>
      </c>
      <c r="S50" s="16" t="n"/>
      <c r="T50" s="17">
        <f>IF($Q50&lt;&gt;"Yes","",IF($S50="","(enter date)",_xlfn.LET(_xlpm.dn,IFERROR(_xlfn.XLOOKUP($S50,nrCDdate,nrCDnum),""),IF(_xlpm.dn="","(not a class day)",IFERROR(_xlfn.XLOOKUP(_xlpm.dn+cfgRetestClassDays,nrCDnum,nrCDdate),"")))))</f>
        <v/>
      </c>
      <c r="U50" s="15">
        <f>IF($Q50&lt;&gt;"Yes","",IF(COUNTIFS(nrES_PID,$D50,nrES_Code,$F50,nrES_Att,2)&gt;0,"Retested",IF(OR($T50="",NOT(ISNUMBER($T50))),"Pending",IF(TODAY()&gt;$T50,"OVERDUE","Due "&amp;TEXT($T50,"mm/dd")))))</f>
        <v/>
      </c>
      <c r="V50" s="14" t="n"/>
      <c r="W50" s="14" t="n"/>
    </row>
    <row r="51">
      <c r="B51" s="15">
        <f>IF($C51="","",$D51&amp;"-"&amp;$F51&amp;"-"&amp;$K51)</f>
        <v/>
      </c>
      <c r="C51" s="14" t="n"/>
      <c r="D51" s="15">
        <f>IF($C51="","",IFERROR(INDEX(rngCadetPIDs,MATCH($C51,rngCadetNames,0)),"?"))</f>
        <v/>
      </c>
      <c r="E51" s="15">
        <f>IF($D51="","",IFERROR(INDEX(nrCadetAgency,MATCH($D51,rngCadetPIDs,0)),""))</f>
        <v/>
      </c>
      <c r="F51" s="14" t="n"/>
      <c r="G51" s="15">
        <f>IF($F51="","",IFERROR(INDEX(rngEPname,MATCH($F51,rngEPcode,0)),"?"))</f>
        <v/>
      </c>
      <c r="H51" s="15">
        <f>IF($F51="","",IFERROR(INDEX(rngEPtype,MATCH($F51,rngEPcode,0)),"?"))</f>
        <v/>
      </c>
      <c r="I51" s="15">
        <f>IF($F51="","",IFERROR(INDEX(rngEPseq,MATCH($F51,rngEPcode,0)),""))</f>
        <v/>
      </c>
      <c r="J51" s="15">
        <f>IF($F51="","",IFERROR(INDEX(rngEPpass,MATCH($F51,rngEPcode,0)),cfgPassingScore))</f>
        <v/>
      </c>
      <c r="K51" s="14" t="n"/>
      <c r="L51" s="14" t="n"/>
      <c r="M51" s="15">
        <f>IF($C51="","",IF($L51="","",IF($K51=1,IF(COUNTIFS(nrES_PID,$D51,nrES_Code,$F51,nrES_Att,2)&gt;0,"",$L51),IF(COUNTIFS(nrES_PID,$D51,nrES_Code,$F51,nrES_Att,1)=0,$L51,IF($L51&gt;=$J51,cfgRetakeRecordedCap,SUMIFS(nrES_Raw,nrES_PID,$D51,nrES_Code,$F51,nrES_Att,1))))))</f>
        <v/>
      </c>
      <c r="N51" s="15">
        <f>IF($C51="","",IF($L51="","",IF($L51&gt;=$J51,"Yes","No")))</f>
        <v/>
      </c>
      <c r="O51" s="15">
        <f>IF($C51="","",IF($M51="","",IF($M51&gt;=$J51,"Yes","No")))</f>
        <v/>
      </c>
      <c r="P51" s="15">
        <f>IF($C51="","",IF($K51="","",IF(COUNTIFS(nrES_PID,$D51,nrES_Code,$F51,nrES_Att,"&gt;"&amp;$K51)=0,"Yes","No")))</f>
        <v/>
      </c>
      <c r="Q51" s="15">
        <f>IF($C51="","",IF($L51="","",IF(AND($K51=1,$L51&lt;$J51,COUNTIFS(nrES_PID,$D51,nrES_Code,$F51,nrES_Att,2)=0),"Yes","No")))</f>
        <v/>
      </c>
      <c r="R51" s="15">
        <f>IF($C51="","",IF($L51="","",IF(AND($K51=2,$L51&lt;$J51,COUNTIFS(nrES_PID,$D51,nrES_Code,$F51,nrES_Att,1)&gt;0),"Yes","No")))</f>
        <v/>
      </c>
      <c r="S51" s="16" t="n"/>
      <c r="T51" s="17">
        <f>IF($Q51&lt;&gt;"Yes","",IF($S51="","(enter date)",_xlfn.LET(_xlpm.dn,IFERROR(_xlfn.XLOOKUP($S51,nrCDdate,nrCDnum),""),IF(_xlpm.dn="","(not a class day)",IFERROR(_xlfn.XLOOKUP(_xlpm.dn+cfgRetestClassDays,nrCDnum,nrCDdate),"")))))</f>
        <v/>
      </c>
      <c r="U51" s="15">
        <f>IF($Q51&lt;&gt;"Yes","",IF(COUNTIFS(nrES_PID,$D51,nrES_Code,$F51,nrES_Att,2)&gt;0,"Retested",IF(OR($T51="",NOT(ISNUMBER($T51))),"Pending",IF(TODAY()&gt;$T51,"OVERDUE","Due "&amp;TEXT($T51,"mm/dd")))))</f>
        <v/>
      </c>
      <c r="V51" s="14" t="n"/>
      <c r="W51" s="14" t="n"/>
    </row>
    <row r="52">
      <c r="B52" s="15">
        <f>IF($C52="","",$D52&amp;"-"&amp;$F52&amp;"-"&amp;$K52)</f>
        <v/>
      </c>
      <c r="C52" s="14" t="n"/>
      <c r="D52" s="15">
        <f>IF($C52="","",IFERROR(INDEX(rngCadetPIDs,MATCH($C52,rngCadetNames,0)),"?"))</f>
        <v/>
      </c>
      <c r="E52" s="15">
        <f>IF($D52="","",IFERROR(INDEX(nrCadetAgency,MATCH($D52,rngCadetPIDs,0)),""))</f>
        <v/>
      </c>
      <c r="F52" s="14" t="n"/>
      <c r="G52" s="15">
        <f>IF($F52="","",IFERROR(INDEX(rngEPname,MATCH($F52,rngEPcode,0)),"?"))</f>
        <v/>
      </c>
      <c r="H52" s="15">
        <f>IF($F52="","",IFERROR(INDEX(rngEPtype,MATCH($F52,rngEPcode,0)),"?"))</f>
        <v/>
      </c>
      <c r="I52" s="15">
        <f>IF($F52="","",IFERROR(INDEX(rngEPseq,MATCH($F52,rngEPcode,0)),""))</f>
        <v/>
      </c>
      <c r="J52" s="15">
        <f>IF($F52="","",IFERROR(INDEX(rngEPpass,MATCH($F52,rngEPcode,0)),cfgPassingScore))</f>
        <v/>
      </c>
      <c r="K52" s="14" t="n"/>
      <c r="L52" s="14" t="n"/>
      <c r="M52" s="15">
        <f>IF($C52="","",IF($L52="","",IF($K52=1,IF(COUNTIFS(nrES_PID,$D52,nrES_Code,$F52,nrES_Att,2)&gt;0,"",$L52),IF(COUNTIFS(nrES_PID,$D52,nrES_Code,$F52,nrES_Att,1)=0,$L52,IF($L52&gt;=$J52,cfgRetakeRecordedCap,SUMIFS(nrES_Raw,nrES_PID,$D52,nrES_Code,$F52,nrES_Att,1))))))</f>
        <v/>
      </c>
      <c r="N52" s="15">
        <f>IF($C52="","",IF($L52="","",IF($L52&gt;=$J52,"Yes","No")))</f>
        <v/>
      </c>
      <c r="O52" s="15">
        <f>IF($C52="","",IF($M52="","",IF($M52&gt;=$J52,"Yes","No")))</f>
        <v/>
      </c>
      <c r="P52" s="15">
        <f>IF($C52="","",IF($K52="","",IF(COUNTIFS(nrES_PID,$D52,nrES_Code,$F52,nrES_Att,"&gt;"&amp;$K52)=0,"Yes","No")))</f>
        <v/>
      </c>
      <c r="Q52" s="15">
        <f>IF($C52="","",IF($L52="","",IF(AND($K52=1,$L52&lt;$J52,COUNTIFS(nrES_PID,$D52,nrES_Code,$F52,nrES_Att,2)=0),"Yes","No")))</f>
        <v/>
      </c>
      <c r="R52" s="15">
        <f>IF($C52="","",IF($L52="","",IF(AND($K52=2,$L52&lt;$J52,COUNTIFS(nrES_PID,$D52,nrES_Code,$F52,nrES_Att,1)&gt;0),"Yes","No")))</f>
        <v/>
      </c>
      <c r="S52" s="16" t="n"/>
      <c r="T52" s="17">
        <f>IF($Q52&lt;&gt;"Yes","",IF($S52="","(enter date)",_xlfn.LET(_xlpm.dn,IFERROR(_xlfn.XLOOKUP($S52,nrCDdate,nrCDnum),""),IF(_xlpm.dn="","(not a class day)",IFERROR(_xlfn.XLOOKUP(_xlpm.dn+cfgRetestClassDays,nrCDnum,nrCDdate),"")))))</f>
        <v/>
      </c>
      <c r="U52" s="15">
        <f>IF($Q52&lt;&gt;"Yes","",IF(COUNTIFS(nrES_PID,$D52,nrES_Code,$F52,nrES_Att,2)&gt;0,"Retested",IF(OR($T52="",NOT(ISNUMBER($T52))),"Pending",IF(TODAY()&gt;$T52,"OVERDUE","Due "&amp;TEXT($T52,"mm/dd")))))</f>
        <v/>
      </c>
      <c r="V52" s="14" t="n"/>
      <c r="W52" s="14" t="n"/>
    </row>
    <row r="53">
      <c r="B53" s="15">
        <f>IF($C53="","",$D53&amp;"-"&amp;$F53&amp;"-"&amp;$K53)</f>
        <v/>
      </c>
      <c r="C53" s="14" t="n"/>
      <c r="D53" s="15">
        <f>IF($C53="","",IFERROR(INDEX(rngCadetPIDs,MATCH($C53,rngCadetNames,0)),"?"))</f>
        <v/>
      </c>
      <c r="E53" s="15">
        <f>IF($D53="","",IFERROR(INDEX(nrCadetAgency,MATCH($D53,rngCadetPIDs,0)),""))</f>
        <v/>
      </c>
      <c r="F53" s="14" t="n"/>
      <c r="G53" s="15">
        <f>IF($F53="","",IFERROR(INDEX(rngEPname,MATCH($F53,rngEPcode,0)),"?"))</f>
        <v/>
      </c>
      <c r="H53" s="15">
        <f>IF($F53="","",IFERROR(INDEX(rngEPtype,MATCH($F53,rngEPcode,0)),"?"))</f>
        <v/>
      </c>
      <c r="I53" s="15">
        <f>IF($F53="","",IFERROR(INDEX(rngEPseq,MATCH($F53,rngEPcode,0)),""))</f>
        <v/>
      </c>
      <c r="J53" s="15">
        <f>IF($F53="","",IFERROR(INDEX(rngEPpass,MATCH($F53,rngEPcode,0)),cfgPassingScore))</f>
        <v/>
      </c>
      <c r="K53" s="14" t="n"/>
      <c r="L53" s="14" t="n"/>
      <c r="M53" s="15">
        <f>IF($C53="","",IF($L53="","",IF($K53=1,IF(COUNTIFS(nrES_PID,$D53,nrES_Code,$F53,nrES_Att,2)&gt;0,"",$L53),IF(COUNTIFS(nrES_PID,$D53,nrES_Code,$F53,nrES_Att,1)=0,$L53,IF($L53&gt;=$J53,cfgRetakeRecordedCap,SUMIFS(nrES_Raw,nrES_PID,$D53,nrES_Code,$F53,nrES_Att,1))))))</f>
        <v/>
      </c>
      <c r="N53" s="15">
        <f>IF($C53="","",IF($L53="","",IF($L53&gt;=$J53,"Yes","No")))</f>
        <v/>
      </c>
      <c r="O53" s="15">
        <f>IF($C53="","",IF($M53="","",IF($M53&gt;=$J53,"Yes","No")))</f>
        <v/>
      </c>
      <c r="P53" s="15">
        <f>IF($C53="","",IF($K53="","",IF(COUNTIFS(nrES_PID,$D53,nrES_Code,$F53,nrES_Att,"&gt;"&amp;$K53)=0,"Yes","No")))</f>
        <v/>
      </c>
      <c r="Q53" s="15">
        <f>IF($C53="","",IF($L53="","",IF(AND($K53=1,$L53&lt;$J53,COUNTIFS(nrES_PID,$D53,nrES_Code,$F53,nrES_Att,2)=0),"Yes","No")))</f>
        <v/>
      </c>
      <c r="R53" s="15">
        <f>IF($C53="","",IF($L53="","",IF(AND($K53=2,$L53&lt;$J53,COUNTIFS(nrES_PID,$D53,nrES_Code,$F53,nrES_Att,1)&gt;0),"Yes","No")))</f>
        <v/>
      </c>
      <c r="S53" s="16" t="n"/>
      <c r="T53" s="17">
        <f>IF($Q53&lt;&gt;"Yes","",IF($S53="","(enter date)",_xlfn.LET(_xlpm.dn,IFERROR(_xlfn.XLOOKUP($S53,nrCDdate,nrCDnum),""),IF(_xlpm.dn="","(not a class day)",IFERROR(_xlfn.XLOOKUP(_xlpm.dn+cfgRetestClassDays,nrCDnum,nrCDdate),"")))))</f>
        <v/>
      </c>
      <c r="U53" s="15">
        <f>IF($Q53&lt;&gt;"Yes","",IF(COUNTIFS(nrES_PID,$D53,nrES_Code,$F53,nrES_Att,2)&gt;0,"Retested",IF(OR($T53="",NOT(ISNUMBER($T53))),"Pending",IF(TODAY()&gt;$T53,"OVERDUE","Due "&amp;TEXT($T53,"mm/dd")))))</f>
        <v/>
      </c>
      <c r="V53" s="14" t="n"/>
      <c r="W53" s="14" t="n"/>
    </row>
    <row r="54">
      <c r="B54" s="15">
        <f>IF($C54="","",$D54&amp;"-"&amp;$F54&amp;"-"&amp;$K54)</f>
        <v/>
      </c>
      <c r="C54" s="14" t="n"/>
      <c r="D54" s="15">
        <f>IF($C54="","",IFERROR(INDEX(rngCadetPIDs,MATCH($C54,rngCadetNames,0)),"?"))</f>
        <v/>
      </c>
      <c r="E54" s="15">
        <f>IF($D54="","",IFERROR(INDEX(nrCadetAgency,MATCH($D54,rngCadetPIDs,0)),""))</f>
        <v/>
      </c>
      <c r="F54" s="14" t="n"/>
      <c r="G54" s="15">
        <f>IF($F54="","",IFERROR(INDEX(rngEPname,MATCH($F54,rngEPcode,0)),"?"))</f>
        <v/>
      </c>
      <c r="H54" s="15">
        <f>IF($F54="","",IFERROR(INDEX(rngEPtype,MATCH($F54,rngEPcode,0)),"?"))</f>
        <v/>
      </c>
      <c r="I54" s="15">
        <f>IF($F54="","",IFERROR(INDEX(rngEPseq,MATCH($F54,rngEPcode,0)),""))</f>
        <v/>
      </c>
      <c r="J54" s="15">
        <f>IF($F54="","",IFERROR(INDEX(rngEPpass,MATCH($F54,rngEPcode,0)),cfgPassingScore))</f>
        <v/>
      </c>
      <c r="K54" s="14" t="n"/>
      <c r="L54" s="14" t="n"/>
      <c r="M54" s="15">
        <f>IF($C54="","",IF($L54="","",IF($K54=1,IF(COUNTIFS(nrES_PID,$D54,nrES_Code,$F54,nrES_Att,2)&gt;0,"",$L54),IF(COUNTIFS(nrES_PID,$D54,nrES_Code,$F54,nrES_Att,1)=0,$L54,IF($L54&gt;=$J54,cfgRetakeRecordedCap,SUMIFS(nrES_Raw,nrES_PID,$D54,nrES_Code,$F54,nrES_Att,1))))))</f>
        <v/>
      </c>
      <c r="N54" s="15">
        <f>IF($C54="","",IF($L54="","",IF($L54&gt;=$J54,"Yes","No")))</f>
        <v/>
      </c>
      <c r="O54" s="15">
        <f>IF($C54="","",IF($M54="","",IF($M54&gt;=$J54,"Yes","No")))</f>
        <v/>
      </c>
      <c r="P54" s="15">
        <f>IF($C54="","",IF($K54="","",IF(COUNTIFS(nrES_PID,$D54,nrES_Code,$F54,nrES_Att,"&gt;"&amp;$K54)=0,"Yes","No")))</f>
        <v/>
      </c>
      <c r="Q54" s="15">
        <f>IF($C54="","",IF($L54="","",IF(AND($K54=1,$L54&lt;$J54,COUNTIFS(nrES_PID,$D54,nrES_Code,$F54,nrES_Att,2)=0),"Yes","No")))</f>
        <v/>
      </c>
      <c r="R54" s="15">
        <f>IF($C54="","",IF($L54="","",IF(AND($K54=2,$L54&lt;$J54,COUNTIFS(nrES_PID,$D54,nrES_Code,$F54,nrES_Att,1)&gt;0),"Yes","No")))</f>
        <v/>
      </c>
      <c r="S54" s="16" t="n"/>
      <c r="T54" s="17">
        <f>IF($Q54&lt;&gt;"Yes","",IF($S54="","(enter date)",_xlfn.LET(_xlpm.dn,IFERROR(_xlfn.XLOOKUP($S54,nrCDdate,nrCDnum),""),IF(_xlpm.dn="","(not a class day)",IFERROR(_xlfn.XLOOKUP(_xlpm.dn+cfgRetestClassDays,nrCDnum,nrCDdate),"")))))</f>
        <v/>
      </c>
      <c r="U54" s="15">
        <f>IF($Q54&lt;&gt;"Yes","",IF(COUNTIFS(nrES_PID,$D54,nrES_Code,$F54,nrES_Att,2)&gt;0,"Retested",IF(OR($T54="",NOT(ISNUMBER($T54))),"Pending",IF(TODAY()&gt;$T54,"OVERDUE","Due "&amp;TEXT($T54,"mm/dd")))))</f>
        <v/>
      </c>
      <c r="V54" s="14" t="n"/>
      <c r="W54" s="14" t="n"/>
    </row>
    <row r="55">
      <c r="B55" s="15">
        <f>IF($C55="","",$D55&amp;"-"&amp;$F55&amp;"-"&amp;$K55)</f>
        <v/>
      </c>
      <c r="C55" s="14" t="n"/>
      <c r="D55" s="15">
        <f>IF($C55="","",IFERROR(INDEX(rngCadetPIDs,MATCH($C55,rngCadetNames,0)),"?"))</f>
        <v/>
      </c>
      <c r="E55" s="15">
        <f>IF($D55="","",IFERROR(INDEX(nrCadetAgency,MATCH($D55,rngCadetPIDs,0)),""))</f>
        <v/>
      </c>
      <c r="F55" s="14" t="n"/>
      <c r="G55" s="15">
        <f>IF($F55="","",IFERROR(INDEX(rngEPname,MATCH($F55,rngEPcode,0)),"?"))</f>
        <v/>
      </c>
      <c r="H55" s="15">
        <f>IF($F55="","",IFERROR(INDEX(rngEPtype,MATCH($F55,rngEPcode,0)),"?"))</f>
        <v/>
      </c>
      <c r="I55" s="15">
        <f>IF($F55="","",IFERROR(INDEX(rngEPseq,MATCH($F55,rngEPcode,0)),""))</f>
        <v/>
      </c>
      <c r="J55" s="15">
        <f>IF($F55="","",IFERROR(INDEX(rngEPpass,MATCH($F55,rngEPcode,0)),cfgPassingScore))</f>
        <v/>
      </c>
      <c r="K55" s="14" t="n"/>
      <c r="L55" s="14" t="n"/>
      <c r="M55" s="15">
        <f>IF($C55="","",IF($L55="","",IF($K55=1,IF(COUNTIFS(nrES_PID,$D55,nrES_Code,$F55,nrES_Att,2)&gt;0,"",$L55),IF(COUNTIFS(nrES_PID,$D55,nrES_Code,$F55,nrES_Att,1)=0,$L55,IF($L55&gt;=$J55,cfgRetakeRecordedCap,SUMIFS(nrES_Raw,nrES_PID,$D55,nrES_Code,$F55,nrES_Att,1))))))</f>
        <v/>
      </c>
      <c r="N55" s="15">
        <f>IF($C55="","",IF($L55="","",IF($L55&gt;=$J55,"Yes","No")))</f>
        <v/>
      </c>
      <c r="O55" s="15">
        <f>IF($C55="","",IF($M55="","",IF($M55&gt;=$J55,"Yes","No")))</f>
        <v/>
      </c>
      <c r="P55" s="15">
        <f>IF($C55="","",IF($K55="","",IF(COUNTIFS(nrES_PID,$D55,nrES_Code,$F55,nrES_Att,"&gt;"&amp;$K55)=0,"Yes","No")))</f>
        <v/>
      </c>
      <c r="Q55" s="15">
        <f>IF($C55="","",IF($L55="","",IF(AND($K55=1,$L55&lt;$J55,COUNTIFS(nrES_PID,$D55,nrES_Code,$F55,nrES_Att,2)=0),"Yes","No")))</f>
        <v/>
      </c>
      <c r="R55" s="15">
        <f>IF($C55="","",IF($L55="","",IF(AND($K55=2,$L55&lt;$J55,COUNTIFS(nrES_PID,$D55,nrES_Code,$F55,nrES_Att,1)&gt;0),"Yes","No")))</f>
        <v/>
      </c>
      <c r="S55" s="16" t="n"/>
      <c r="T55" s="17">
        <f>IF($Q55&lt;&gt;"Yes","",IF($S55="","(enter date)",_xlfn.LET(_xlpm.dn,IFERROR(_xlfn.XLOOKUP($S55,nrCDdate,nrCDnum),""),IF(_xlpm.dn="","(not a class day)",IFERROR(_xlfn.XLOOKUP(_xlpm.dn+cfgRetestClassDays,nrCDnum,nrCDdate),"")))))</f>
        <v/>
      </c>
      <c r="U55" s="15">
        <f>IF($Q55&lt;&gt;"Yes","",IF(COUNTIFS(nrES_PID,$D55,nrES_Code,$F55,nrES_Att,2)&gt;0,"Retested",IF(OR($T55="",NOT(ISNUMBER($T55))),"Pending",IF(TODAY()&gt;$T55,"OVERDUE","Due "&amp;TEXT($T55,"mm/dd")))))</f>
        <v/>
      </c>
      <c r="V55" s="14" t="n"/>
      <c r="W55" s="14" t="n"/>
    </row>
    <row r="56">
      <c r="B56" s="15">
        <f>IF($C56="","",$D56&amp;"-"&amp;$F56&amp;"-"&amp;$K56)</f>
        <v/>
      </c>
      <c r="C56" s="14" t="n"/>
      <c r="D56" s="15">
        <f>IF($C56="","",IFERROR(INDEX(rngCadetPIDs,MATCH($C56,rngCadetNames,0)),"?"))</f>
        <v/>
      </c>
      <c r="E56" s="15">
        <f>IF($D56="","",IFERROR(INDEX(nrCadetAgency,MATCH($D56,rngCadetPIDs,0)),""))</f>
        <v/>
      </c>
      <c r="F56" s="14" t="n"/>
      <c r="G56" s="15">
        <f>IF($F56="","",IFERROR(INDEX(rngEPname,MATCH($F56,rngEPcode,0)),"?"))</f>
        <v/>
      </c>
      <c r="H56" s="15">
        <f>IF($F56="","",IFERROR(INDEX(rngEPtype,MATCH($F56,rngEPcode,0)),"?"))</f>
        <v/>
      </c>
      <c r="I56" s="15">
        <f>IF($F56="","",IFERROR(INDEX(rngEPseq,MATCH($F56,rngEPcode,0)),""))</f>
        <v/>
      </c>
      <c r="J56" s="15">
        <f>IF($F56="","",IFERROR(INDEX(rngEPpass,MATCH($F56,rngEPcode,0)),cfgPassingScore))</f>
        <v/>
      </c>
      <c r="K56" s="14" t="n"/>
      <c r="L56" s="14" t="n"/>
      <c r="M56" s="15">
        <f>IF($C56="","",IF($L56="","",IF($K56=1,IF(COUNTIFS(nrES_PID,$D56,nrES_Code,$F56,nrES_Att,2)&gt;0,"",$L56),IF(COUNTIFS(nrES_PID,$D56,nrES_Code,$F56,nrES_Att,1)=0,$L56,IF($L56&gt;=$J56,cfgRetakeRecordedCap,SUMIFS(nrES_Raw,nrES_PID,$D56,nrES_Code,$F56,nrES_Att,1))))))</f>
        <v/>
      </c>
      <c r="N56" s="15">
        <f>IF($C56="","",IF($L56="","",IF($L56&gt;=$J56,"Yes","No")))</f>
        <v/>
      </c>
      <c r="O56" s="15">
        <f>IF($C56="","",IF($M56="","",IF($M56&gt;=$J56,"Yes","No")))</f>
        <v/>
      </c>
      <c r="P56" s="15">
        <f>IF($C56="","",IF($K56="","",IF(COUNTIFS(nrES_PID,$D56,nrES_Code,$F56,nrES_Att,"&gt;"&amp;$K56)=0,"Yes","No")))</f>
        <v/>
      </c>
      <c r="Q56" s="15">
        <f>IF($C56="","",IF($L56="","",IF(AND($K56=1,$L56&lt;$J56,COUNTIFS(nrES_PID,$D56,nrES_Code,$F56,nrES_Att,2)=0),"Yes","No")))</f>
        <v/>
      </c>
      <c r="R56" s="15">
        <f>IF($C56="","",IF($L56="","",IF(AND($K56=2,$L56&lt;$J56,COUNTIFS(nrES_PID,$D56,nrES_Code,$F56,nrES_Att,1)&gt;0),"Yes","No")))</f>
        <v/>
      </c>
      <c r="S56" s="16" t="n"/>
      <c r="T56" s="17">
        <f>IF($Q56&lt;&gt;"Yes","",IF($S56="","(enter date)",_xlfn.LET(_xlpm.dn,IFERROR(_xlfn.XLOOKUP($S56,nrCDdate,nrCDnum),""),IF(_xlpm.dn="","(not a class day)",IFERROR(_xlfn.XLOOKUP(_xlpm.dn+cfgRetestClassDays,nrCDnum,nrCDdate),"")))))</f>
        <v/>
      </c>
      <c r="U56" s="15">
        <f>IF($Q56&lt;&gt;"Yes","",IF(COUNTIFS(nrES_PID,$D56,nrES_Code,$F56,nrES_Att,2)&gt;0,"Retested",IF(OR($T56="",NOT(ISNUMBER($T56))),"Pending",IF(TODAY()&gt;$T56,"OVERDUE","Due "&amp;TEXT($T56,"mm/dd")))))</f>
        <v/>
      </c>
      <c r="V56" s="14" t="n"/>
      <c r="W56" s="14" t="n"/>
    </row>
    <row r="57">
      <c r="B57" s="15">
        <f>IF($C57="","",$D57&amp;"-"&amp;$F57&amp;"-"&amp;$K57)</f>
        <v/>
      </c>
      <c r="C57" s="14" t="n"/>
      <c r="D57" s="15">
        <f>IF($C57="","",IFERROR(INDEX(rngCadetPIDs,MATCH($C57,rngCadetNames,0)),"?"))</f>
        <v/>
      </c>
      <c r="E57" s="15">
        <f>IF($D57="","",IFERROR(INDEX(nrCadetAgency,MATCH($D57,rngCadetPIDs,0)),""))</f>
        <v/>
      </c>
      <c r="F57" s="14" t="n"/>
      <c r="G57" s="15">
        <f>IF($F57="","",IFERROR(INDEX(rngEPname,MATCH($F57,rngEPcode,0)),"?"))</f>
        <v/>
      </c>
      <c r="H57" s="15">
        <f>IF($F57="","",IFERROR(INDEX(rngEPtype,MATCH($F57,rngEPcode,0)),"?"))</f>
        <v/>
      </c>
      <c r="I57" s="15">
        <f>IF($F57="","",IFERROR(INDEX(rngEPseq,MATCH($F57,rngEPcode,0)),""))</f>
        <v/>
      </c>
      <c r="J57" s="15">
        <f>IF($F57="","",IFERROR(INDEX(rngEPpass,MATCH($F57,rngEPcode,0)),cfgPassingScore))</f>
        <v/>
      </c>
      <c r="K57" s="14" t="n"/>
      <c r="L57" s="14" t="n"/>
      <c r="M57" s="15">
        <f>IF($C57="","",IF($L57="","",IF($K57=1,IF(COUNTIFS(nrES_PID,$D57,nrES_Code,$F57,nrES_Att,2)&gt;0,"",$L57),IF(COUNTIFS(nrES_PID,$D57,nrES_Code,$F57,nrES_Att,1)=0,$L57,IF($L57&gt;=$J57,cfgRetakeRecordedCap,SUMIFS(nrES_Raw,nrES_PID,$D57,nrES_Code,$F57,nrES_Att,1))))))</f>
        <v/>
      </c>
      <c r="N57" s="15">
        <f>IF($C57="","",IF($L57="","",IF($L57&gt;=$J57,"Yes","No")))</f>
        <v/>
      </c>
      <c r="O57" s="15">
        <f>IF($C57="","",IF($M57="","",IF($M57&gt;=$J57,"Yes","No")))</f>
        <v/>
      </c>
      <c r="P57" s="15">
        <f>IF($C57="","",IF($K57="","",IF(COUNTIFS(nrES_PID,$D57,nrES_Code,$F57,nrES_Att,"&gt;"&amp;$K57)=0,"Yes","No")))</f>
        <v/>
      </c>
      <c r="Q57" s="15">
        <f>IF($C57="","",IF($L57="","",IF(AND($K57=1,$L57&lt;$J57,COUNTIFS(nrES_PID,$D57,nrES_Code,$F57,nrES_Att,2)=0),"Yes","No")))</f>
        <v/>
      </c>
      <c r="R57" s="15">
        <f>IF($C57="","",IF($L57="","",IF(AND($K57=2,$L57&lt;$J57,COUNTIFS(nrES_PID,$D57,nrES_Code,$F57,nrES_Att,1)&gt;0),"Yes","No")))</f>
        <v/>
      </c>
      <c r="S57" s="16" t="n"/>
      <c r="T57" s="17">
        <f>IF($Q57&lt;&gt;"Yes","",IF($S57="","(enter date)",_xlfn.LET(_xlpm.dn,IFERROR(_xlfn.XLOOKUP($S57,nrCDdate,nrCDnum),""),IF(_xlpm.dn="","(not a class day)",IFERROR(_xlfn.XLOOKUP(_xlpm.dn+cfgRetestClassDays,nrCDnum,nrCDdate),"")))))</f>
        <v/>
      </c>
      <c r="U57" s="15">
        <f>IF($Q57&lt;&gt;"Yes","",IF(COUNTIFS(nrES_PID,$D57,nrES_Code,$F57,nrES_Att,2)&gt;0,"Retested",IF(OR($T57="",NOT(ISNUMBER($T57))),"Pending",IF(TODAY()&gt;$T57,"OVERDUE","Due "&amp;TEXT($T57,"mm/dd")))))</f>
        <v/>
      </c>
      <c r="V57" s="14" t="n"/>
      <c r="W57" s="14" t="n"/>
    </row>
    <row r="58">
      <c r="B58" s="15">
        <f>IF($C58="","",$D58&amp;"-"&amp;$F58&amp;"-"&amp;$K58)</f>
        <v/>
      </c>
      <c r="C58" s="14" t="n"/>
      <c r="D58" s="15">
        <f>IF($C58="","",IFERROR(INDEX(rngCadetPIDs,MATCH($C58,rngCadetNames,0)),"?"))</f>
        <v/>
      </c>
      <c r="E58" s="15">
        <f>IF($D58="","",IFERROR(INDEX(nrCadetAgency,MATCH($D58,rngCadetPIDs,0)),""))</f>
        <v/>
      </c>
      <c r="F58" s="14" t="n"/>
      <c r="G58" s="15">
        <f>IF($F58="","",IFERROR(INDEX(rngEPname,MATCH($F58,rngEPcode,0)),"?"))</f>
        <v/>
      </c>
      <c r="H58" s="15">
        <f>IF($F58="","",IFERROR(INDEX(rngEPtype,MATCH($F58,rngEPcode,0)),"?"))</f>
        <v/>
      </c>
      <c r="I58" s="15">
        <f>IF($F58="","",IFERROR(INDEX(rngEPseq,MATCH($F58,rngEPcode,0)),""))</f>
        <v/>
      </c>
      <c r="J58" s="15">
        <f>IF($F58="","",IFERROR(INDEX(rngEPpass,MATCH($F58,rngEPcode,0)),cfgPassingScore))</f>
        <v/>
      </c>
      <c r="K58" s="14" t="n"/>
      <c r="L58" s="14" t="n"/>
      <c r="M58" s="15">
        <f>IF($C58="","",IF($L58="","",IF($K58=1,IF(COUNTIFS(nrES_PID,$D58,nrES_Code,$F58,nrES_Att,2)&gt;0,"",$L58),IF(COUNTIFS(nrES_PID,$D58,nrES_Code,$F58,nrES_Att,1)=0,$L58,IF($L58&gt;=$J58,cfgRetakeRecordedCap,SUMIFS(nrES_Raw,nrES_PID,$D58,nrES_Code,$F58,nrES_Att,1))))))</f>
        <v/>
      </c>
      <c r="N58" s="15">
        <f>IF($C58="","",IF($L58="","",IF($L58&gt;=$J58,"Yes","No")))</f>
        <v/>
      </c>
      <c r="O58" s="15">
        <f>IF($C58="","",IF($M58="","",IF($M58&gt;=$J58,"Yes","No")))</f>
        <v/>
      </c>
      <c r="P58" s="15">
        <f>IF($C58="","",IF($K58="","",IF(COUNTIFS(nrES_PID,$D58,nrES_Code,$F58,nrES_Att,"&gt;"&amp;$K58)=0,"Yes","No")))</f>
        <v/>
      </c>
      <c r="Q58" s="15">
        <f>IF($C58="","",IF($L58="","",IF(AND($K58=1,$L58&lt;$J58,COUNTIFS(nrES_PID,$D58,nrES_Code,$F58,nrES_Att,2)=0),"Yes","No")))</f>
        <v/>
      </c>
      <c r="R58" s="15">
        <f>IF($C58="","",IF($L58="","",IF(AND($K58=2,$L58&lt;$J58,COUNTIFS(nrES_PID,$D58,nrES_Code,$F58,nrES_Att,1)&gt;0),"Yes","No")))</f>
        <v/>
      </c>
      <c r="S58" s="16" t="n"/>
      <c r="T58" s="17">
        <f>IF($Q58&lt;&gt;"Yes","",IF($S58="","(enter date)",_xlfn.LET(_xlpm.dn,IFERROR(_xlfn.XLOOKUP($S58,nrCDdate,nrCDnum),""),IF(_xlpm.dn="","(not a class day)",IFERROR(_xlfn.XLOOKUP(_xlpm.dn+cfgRetestClassDays,nrCDnum,nrCDdate),"")))))</f>
        <v/>
      </c>
      <c r="U58" s="15">
        <f>IF($Q58&lt;&gt;"Yes","",IF(COUNTIFS(nrES_PID,$D58,nrES_Code,$F58,nrES_Att,2)&gt;0,"Retested",IF(OR($T58="",NOT(ISNUMBER($T58))),"Pending",IF(TODAY()&gt;$T58,"OVERDUE","Due "&amp;TEXT($T58,"mm/dd")))))</f>
        <v/>
      </c>
      <c r="V58" s="14" t="n"/>
      <c r="W58" s="14" t="n"/>
    </row>
    <row r="59">
      <c r="B59" s="15">
        <f>IF($C59="","",$D59&amp;"-"&amp;$F59&amp;"-"&amp;$K59)</f>
        <v/>
      </c>
      <c r="C59" s="14" t="n"/>
      <c r="D59" s="15">
        <f>IF($C59="","",IFERROR(INDEX(rngCadetPIDs,MATCH($C59,rngCadetNames,0)),"?"))</f>
        <v/>
      </c>
      <c r="E59" s="15">
        <f>IF($D59="","",IFERROR(INDEX(nrCadetAgency,MATCH($D59,rngCadetPIDs,0)),""))</f>
        <v/>
      </c>
      <c r="F59" s="14" t="n"/>
      <c r="G59" s="15">
        <f>IF($F59="","",IFERROR(INDEX(rngEPname,MATCH($F59,rngEPcode,0)),"?"))</f>
        <v/>
      </c>
      <c r="H59" s="15">
        <f>IF($F59="","",IFERROR(INDEX(rngEPtype,MATCH($F59,rngEPcode,0)),"?"))</f>
        <v/>
      </c>
      <c r="I59" s="15">
        <f>IF($F59="","",IFERROR(INDEX(rngEPseq,MATCH($F59,rngEPcode,0)),""))</f>
        <v/>
      </c>
      <c r="J59" s="15">
        <f>IF($F59="","",IFERROR(INDEX(rngEPpass,MATCH($F59,rngEPcode,0)),cfgPassingScore))</f>
        <v/>
      </c>
      <c r="K59" s="14" t="n"/>
      <c r="L59" s="14" t="n"/>
      <c r="M59" s="15">
        <f>IF($C59="","",IF($L59="","",IF($K59=1,IF(COUNTIFS(nrES_PID,$D59,nrES_Code,$F59,nrES_Att,2)&gt;0,"",$L59),IF(COUNTIFS(nrES_PID,$D59,nrES_Code,$F59,nrES_Att,1)=0,$L59,IF($L59&gt;=$J59,cfgRetakeRecordedCap,SUMIFS(nrES_Raw,nrES_PID,$D59,nrES_Code,$F59,nrES_Att,1))))))</f>
        <v/>
      </c>
      <c r="N59" s="15">
        <f>IF($C59="","",IF($L59="","",IF($L59&gt;=$J59,"Yes","No")))</f>
        <v/>
      </c>
      <c r="O59" s="15">
        <f>IF($C59="","",IF($M59="","",IF($M59&gt;=$J59,"Yes","No")))</f>
        <v/>
      </c>
      <c r="P59" s="15">
        <f>IF($C59="","",IF($K59="","",IF(COUNTIFS(nrES_PID,$D59,nrES_Code,$F59,nrES_Att,"&gt;"&amp;$K59)=0,"Yes","No")))</f>
        <v/>
      </c>
      <c r="Q59" s="15">
        <f>IF($C59="","",IF($L59="","",IF(AND($K59=1,$L59&lt;$J59,COUNTIFS(nrES_PID,$D59,nrES_Code,$F59,nrES_Att,2)=0),"Yes","No")))</f>
        <v/>
      </c>
      <c r="R59" s="15">
        <f>IF($C59="","",IF($L59="","",IF(AND($K59=2,$L59&lt;$J59,COUNTIFS(nrES_PID,$D59,nrES_Code,$F59,nrES_Att,1)&gt;0),"Yes","No")))</f>
        <v/>
      </c>
      <c r="S59" s="16" t="n"/>
      <c r="T59" s="17">
        <f>IF($Q59&lt;&gt;"Yes","",IF($S59="","(enter date)",_xlfn.LET(_xlpm.dn,IFERROR(_xlfn.XLOOKUP($S59,nrCDdate,nrCDnum),""),IF(_xlpm.dn="","(not a class day)",IFERROR(_xlfn.XLOOKUP(_xlpm.dn+cfgRetestClassDays,nrCDnum,nrCDdate),"")))))</f>
        <v/>
      </c>
      <c r="U59" s="15">
        <f>IF($Q59&lt;&gt;"Yes","",IF(COUNTIFS(nrES_PID,$D59,nrES_Code,$F59,nrES_Att,2)&gt;0,"Retested",IF(OR($T59="",NOT(ISNUMBER($T59))),"Pending",IF(TODAY()&gt;$T59,"OVERDUE","Due "&amp;TEXT($T59,"mm/dd")))))</f>
        <v/>
      </c>
      <c r="V59" s="14" t="n"/>
      <c r="W59" s="14" t="n"/>
    </row>
    <row r="60">
      <c r="B60" s="15">
        <f>IF($C60="","",$D60&amp;"-"&amp;$F60&amp;"-"&amp;$K60)</f>
        <v/>
      </c>
      <c r="C60" s="14" t="n"/>
      <c r="D60" s="15">
        <f>IF($C60="","",IFERROR(INDEX(rngCadetPIDs,MATCH($C60,rngCadetNames,0)),"?"))</f>
        <v/>
      </c>
      <c r="E60" s="15">
        <f>IF($D60="","",IFERROR(INDEX(nrCadetAgency,MATCH($D60,rngCadetPIDs,0)),""))</f>
        <v/>
      </c>
      <c r="F60" s="14" t="n"/>
      <c r="G60" s="15">
        <f>IF($F60="","",IFERROR(INDEX(rngEPname,MATCH($F60,rngEPcode,0)),"?"))</f>
        <v/>
      </c>
      <c r="H60" s="15">
        <f>IF($F60="","",IFERROR(INDEX(rngEPtype,MATCH($F60,rngEPcode,0)),"?"))</f>
        <v/>
      </c>
      <c r="I60" s="15">
        <f>IF($F60="","",IFERROR(INDEX(rngEPseq,MATCH($F60,rngEPcode,0)),""))</f>
        <v/>
      </c>
      <c r="J60" s="15">
        <f>IF($F60="","",IFERROR(INDEX(rngEPpass,MATCH($F60,rngEPcode,0)),cfgPassingScore))</f>
        <v/>
      </c>
      <c r="K60" s="14" t="n"/>
      <c r="L60" s="14" t="n"/>
      <c r="M60" s="15">
        <f>IF($C60="","",IF($L60="","",IF($K60=1,IF(COUNTIFS(nrES_PID,$D60,nrES_Code,$F60,nrES_Att,2)&gt;0,"",$L60),IF(COUNTIFS(nrES_PID,$D60,nrES_Code,$F60,nrES_Att,1)=0,$L60,IF($L60&gt;=$J60,cfgRetakeRecordedCap,SUMIFS(nrES_Raw,nrES_PID,$D60,nrES_Code,$F60,nrES_Att,1))))))</f>
        <v/>
      </c>
      <c r="N60" s="15">
        <f>IF($C60="","",IF($L60="","",IF($L60&gt;=$J60,"Yes","No")))</f>
        <v/>
      </c>
      <c r="O60" s="15">
        <f>IF($C60="","",IF($M60="","",IF($M60&gt;=$J60,"Yes","No")))</f>
        <v/>
      </c>
      <c r="P60" s="15">
        <f>IF($C60="","",IF($K60="","",IF(COUNTIFS(nrES_PID,$D60,nrES_Code,$F60,nrES_Att,"&gt;"&amp;$K60)=0,"Yes","No")))</f>
        <v/>
      </c>
      <c r="Q60" s="15">
        <f>IF($C60="","",IF($L60="","",IF(AND($K60=1,$L60&lt;$J60,COUNTIFS(nrES_PID,$D60,nrES_Code,$F60,nrES_Att,2)=0),"Yes","No")))</f>
        <v/>
      </c>
      <c r="R60" s="15">
        <f>IF($C60="","",IF($L60="","",IF(AND($K60=2,$L60&lt;$J60,COUNTIFS(nrES_PID,$D60,nrES_Code,$F60,nrES_Att,1)&gt;0),"Yes","No")))</f>
        <v/>
      </c>
      <c r="S60" s="16" t="n"/>
      <c r="T60" s="17">
        <f>IF($Q60&lt;&gt;"Yes","",IF($S60="","(enter date)",_xlfn.LET(_xlpm.dn,IFERROR(_xlfn.XLOOKUP($S60,nrCDdate,nrCDnum),""),IF(_xlpm.dn="","(not a class day)",IFERROR(_xlfn.XLOOKUP(_xlpm.dn+cfgRetestClassDays,nrCDnum,nrCDdate),"")))))</f>
        <v/>
      </c>
      <c r="U60" s="15">
        <f>IF($Q60&lt;&gt;"Yes","",IF(COUNTIFS(nrES_PID,$D60,nrES_Code,$F60,nrES_Att,2)&gt;0,"Retested",IF(OR($T60="",NOT(ISNUMBER($T60))),"Pending",IF(TODAY()&gt;$T60,"OVERDUE","Due "&amp;TEXT($T60,"mm/dd")))))</f>
        <v/>
      </c>
      <c r="V60" s="14" t="n"/>
      <c r="W60" s="14" t="n"/>
    </row>
    <row r="61">
      <c r="B61" s="15">
        <f>IF($C61="","",$D61&amp;"-"&amp;$F61&amp;"-"&amp;$K61)</f>
        <v/>
      </c>
      <c r="C61" s="14" t="n"/>
      <c r="D61" s="15">
        <f>IF($C61="","",IFERROR(INDEX(rngCadetPIDs,MATCH($C61,rngCadetNames,0)),"?"))</f>
        <v/>
      </c>
      <c r="E61" s="15">
        <f>IF($D61="","",IFERROR(INDEX(nrCadetAgency,MATCH($D61,rngCadetPIDs,0)),""))</f>
        <v/>
      </c>
      <c r="F61" s="14" t="n"/>
      <c r="G61" s="15">
        <f>IF($F61="","",IFERROR(INDEX(rngEPname,MATCH($F61,rngEPcode,0)),"?"))</f>
        <v/>
      </c>
      <c r="H61" s="15">
        <f>IF($F61="","",IFERROR(INDEX(rngEPtype,MATCH($F61,rngEPcode,0)),"?"))</f>
        <v/>
      </c>
      <c r="I61" s="15">
        <f>IF($F61="","",IFERROR(INDEX(rngEPseq,MATCH($F61,rngEPcode,0)),""))</f>
        <v/>
      </c>
      <c r="J61" s="15">
        <f>IF($F61="","",IFERROR(INDEX(rngEPpass,MATCH($F61,rngEPcode,0)),cfgPassingScore))</f>
        <v/>
      </c>
      <c r="K61" s="14" t="n"/>
      <c r="L61" s="14" t="n"/>
      <c r="M61" s="15">
        <f>IF($C61="","",IF($L61="","",IF($K61=1,IF(COUNTIFS(nrES_PID,$D61,nrES_Code,$F61,nrES_Att,2)&gt;0,"",$L61),IF(COUNTIFS(nrES_PID,$D61,nrES_Code,$F61,nrES_Att,1)=0,$L61,IF($L61&gt;=$J61,cfgRetakeRecordedCap,SUMIFS(nrES_Raw,nrES_PID,$D61,nrES_Code,$F61,nrES_Att,1))))))</f>
        <v/>
      </c>
      <c r="N61" s="15">
        <f>IF($C61="","",IF($L61="","",IF($L61&gt;=$J61,"Yes","No")))</f>
        <v/>
      </c>
      <c r="O61" s="15">
        <f>IF($C61="","",IF($M61="","",IF($M61&gt;=$J61,"Yes","No")))</f>
        <v/>
      </c>
      <c r="P61" s="15">
        <f>IF($C61="","",IF($K61="","",IF(COUNTIFS(nrES_PID,$D61,nrES_Code,$F61,nrES_Att,"&gt;"&amp;$K61)=0,"Yes","No")))</f>
        <v/>
      </c>
      <c r="Q61" s="15">
        <f>IF($C61="","",IF($L61="","",IF(AND($K61=1,$L61&lt;$J61,COUNTIFS(nrES_PID,$D61,nrES_Code,$F61,nrES_Att,2)=0),"Yes","No")))</f>
        <v/>
      </c>
      <c r="R61" s="15">
        <f>IF($C61="","",IF($L61="","",IF(AND($K61=2,$L61&lt;$J61,COUNTIFS(nrES_PID,$D61,nrES_Code,$F61,nrES_Att,1)&gt;0),"Yes","No")))</f>
        <v/>
      </c>
      <c r="S61" s="16" t="n"/>
      <c r="T61" s="17">
        <f>IF($Q61&lt;&gt;"Yes","",IF($S61="","(enter date)",_xlfn.LET(_xlpm.dn,IFERROR(_xlfn.XLOOKUP($S61,nrCDdate,nrCDnum),""),IF(_xlpm.dn="","(not a class day)",IFERROR(_xlfn.XLOOKUP(_xlpm.dn+cfgRetestClassDays,nrCDnum,nrCDdate),"")))))</f>
        <v/>
      </c>
      <c r="U61" s="15">
        <f>IF($Q61&lt;&gt;"Yes","",IF(COUNTIFS(nrES_PID,$D61,nrES_Code,$F61,nrES_Att,2)&gt;0,"Retested",IF(OR($T61="",NOT(ISNUMBER($T61))),"Pending",IF(TODAY()&gt;$T61,"OVERDUE","Due "&amp;TEXT($T61,"mm/dd")))))</f>
        <v/>
      </c>
      <c r="V61" s="14" t="n"/>
      <c r="W61" s="14" t="n"/>
    </row>
    <row r="62">
      <c r="B62" s="15">
        <f>IF($C62="","",$D62&amp;"-"&amp;$F62&amp;"-"&amp;$K62)</f>
        <v/>
      </c>
      <c r="C62" s="14" t="n"/>
      <c r="D62" s="15">
        <f>IF($C62="","",IFERROR(INDEX(rngCadetPIDs,MATCH($C62,rngCadetNames,0)),"?"))</f>
        <v/>
      </c>
      <c r="E62" s="15">
        <f>IF($D62="","",IFERROR(INDEX(nrCadetAgency,MATCH($D62,rngCadetPIDs,0)),""))</f>
        <v/>
      </c>
      <c r="F62" s="14" t="n"/>
      <c r="G62" s="15">
        <f>IF($F62="","",IFERROR(INDEX(rngEPname,MATCH($F62,rngEPcode,0)),"?"))</f>
        <v/>
      </c>
      <c r="H62" s="15">
        <f>IF($F62="","",IFERROR(INDEX(rngEPtype,MATCH($F62,rngEPcode,0)),"?"))</f>
        <v/>
      </c>
      <c r="I62" s="15">
        <f>IF($F62="","",IFERROR(INDEX(rngEPseq,MATCH($F62,rngEPcode,0)),""))</f>
        <v/>
      </c>
      <c r="J62" s="15">
        <f>IF($F62="","",IFERROR(INDEX(rngEPpass,MATCH($F62,rngEPcode,0)),cfgPassingScore))</f>
        <v/>
      </c>
      <c r="K62" s="14" t="n"/>
      <c r="L62" s="14" t="n"/>
      <c r="M62" s="15">
        <f>IF($C62="","",IF($L62="","",IF($K62=1,IF(COUNTIFS(nrES_PID,$D62,nrES_Code,$F62,nrES_Att,2)&gt;0,"",$L62),IF(COUNTIFS(nrES_PID,$D62,nrES_Code,$F62,nrES_Att,1)=0,$L62,IF($L62&gt;=$J62,cfgRetakeRecordedCap,SUMIFS(nrES_Raw,nrES_PID,$D62,nrES_Code,$F62,nrES_Att,1))))))</f>
        <v/>
      </c>
      <c r="N62" s="15">
        <f>IF($C62="","",IF($L62="","",IF($L62&gt;=$J62,"Yes","No")))</f>
        <v/>
      </c>
      <c r="O62" s="15">
        <f>IF($C62="","",IF($M62="","",IF($M62&gt;=$J62,"Yes","No")))</f>
        <v/>
      </c>
      <c r="P62" s="15">
        <f>IF($C62="","",IF($K62="","",IF(COUNTIFS(nrES_PID,$D62,nrES_Code,$F62,nrES_Att,"&gt;"&amp;$K62)=0,"Yes","No")))</f>
        <v/>
      </c>
      <c r="Q62" s="15">
        <f>IF($C62="","",IF($L62="","",IF(AND($K62=1,$L62&lt;$J62,COUNTIFS(nrES_PID,$D62,nrES_Code,$F62,nrES_Att,2)=0),"Yes","No")))</f>
        <v/>
      </c>
      <c r="R62" s="15">
        <f>IF($C62="","",IF($L62="","",IF(AND($K62=2,$L62&lt;$J62,COUNTIFS(nrES_PID,$D62,nrES_Code,$F62,nrES_Att,1)&gt;0),"Yes","No")))</f>
        <v/>
      </c>
      <c r="S62" s="16" t="n"/>
      <c r="T62" s="17">
        <f>IF($Q62&lt;&gt;"Yes","",IF($S62="","(enter date)",_xlfn.LET(_xlpm.dn,IFERROR(_xlfn.XLOOKUP($S62,nrCDdate,nrCDnum),""),IF(_xlpm.dn="","(not a class day)",IFERROR(_xlfn.XLOOKUP(_xlpm.dn+cfgRetestClassDays,nrCDnum,nrCDdate),"")))))</f>
        <v/>
      </c>
      <c r="U62" s="15">
        <f>IF($Q62&lt;&gt;"Yes","",IF(COUNTIFS(nrES_PID,$D62,nrES_Code,$F62,nrES_Att,2)&gt;0,"Retested",IF(OR($T62="",NOT(ISNUMBER($T62))),"Pending",IF(TODAY()&gt;$T62,"OVERDUE","Due "&amp;TEXT($T62,"mm/dd")))))</f>
        <v/>
      </c>
      <c r="V62" s="14" t="n"/>
      <c r="W62" s="14" t="n"/>
    </row>
    <row r="63">
      <c r="B63" s="15">
        <f>IF($C63="","",$D63&amp;"-"&amp;$F63&amp;"-"&amp;$K63)</f>
        <v/>
      </c>
      <c r="C63" s="14" t="n"/>
      <c r="D63" s="15">
        <f>IF($C63="","",IFERROR(INDEX(rngCadetPIDs,MATCH($C63,rngCadetNames,0)),"?"))</f>
        <v/>
      </c>
      <c r="E63" s="15">
        <f>IF($D63="","",IFERROR(INDEX(nrCadetAgency,MATCH($D63,rngCadetPIDs,0)),""))</f>
        <v/>
      </c>
      <c r="F63" s="14" t="n"/>
      <c r="G63" s="15">
        <f>IF($F63="","",IFERROR(INDEX(rngEPname,MATCH($F63,rngEPcode,0)),"?"))</f>
        <v/>
      </c>
      <c r="H63" s="15">
        <f>IF($F63="","",IFERROR(INDEX(rngEPtype,MATCH($F63,rngEPcode,0)),"?"))</f>
        <v/>
      </c>
      <c r="I63" s="15">
        <f>IF($F63="","",IFERROR(INDEX(rngEPseq,MATCH($F63,rngEPcode,0)),""))</f>
        <v/>
      </c>
      <c r="J63" s="15">
        <f>IF($F63="","",IFERROR(INDEX(rngEPpass,MATCH($F63,rngEPcode,0)),cfgPassingScore))</f>
        <v/>
      </c>
      <c r="K63" s="14" t="n"/>
      <c r="L63" s="14" t="n"/>
      <c r="M63" s="15">
        <f>IF($C63="","",IF($L63="","",IF($K63=1,IF(COUNTIFS(nrES_PID,$D63,nrES_Code,$F63,nrES_Att,2)&gt;0,"",$L63),IF(COUNTIFS(nrES_PID,$D63,nrES_Code,$F63,nrES_Att,1)=0,$L63,IF($L63&gt;=$J63,cfgRetakeRecordedCap,SUMIFS(nrES_Raw,nrES_PID,$D63,nrES_Code,$F63,nrES_Att,1))))))</f>
        <v/>
      </c>
      <c r="N63" s="15">
        <f>IF($C63="","",IF($L63="","",IF($L63&gt;=$J63,"Yes","No")))</f>
        <v/>
      </c>
      <c r="O63" s="15">
        <f>IF($C63="","",IF($M63="","",IF($M63&gt;=$J63,"Yes","No")))</f>
        <v/>
      </c>
      <c r="P63" s="15">
        <f>IF($C63="","",IF($K63="","",IF(COUNTIFS(nrES_PID,$D63,nrES_Code,$F63,nrES_Att,"&gt;"&amp;$K63)=0,"Yes","No")))</f>
        <v/>
      </c>
      <c r="Q63" s="15">
        <f>IF($C63="","",IF($L63="","",IF(AND($K63=1,$L63&lt;$J63,COUNTIFS(nrES_PID,$D63,nrES_Code,$F63,nrES_Att,2)=0),"Yes","No")))</f>
        <v/>
      </c>
      <c r="R63" s="15">
        <f>IF($C63="","",IF($L63="","",IF(AND($K63=2,$L63&lt;$J63,COUNTIFS(nrES_PID,$D63,nrES_Code,$F63,nrES_Att,1)&gt;0),"Yes","No")))</f>
        <v/>
      </c>
      <c r="S63" s="16" t="n"/>
      <c r="T63" s="17">
        <f>IF($Q63&lt;&gt;"Yes","",IF($S63="","(enter date)",_xlfn.LET(_xlpm.dn,IFERROR(_xlfn.XLOOKUP($S63,nrCDdate,nrCDnum),""),IF(_xlpm.dn="","(not a class day)",IFERROR(_xlfn.XLOOKUP(_xlpm.dn+cfgRetestClassDays,nrCDnum,nrCDdate),"")))))</f>
        <v/>
      </c>
      <c r="U63" s="15">
        <f>IF($Q63&lt;&gt;"Yes","",IF(COUNTIFS(nrES_PID,$D63,nrES_Code,$F63,nrES_Att,2)&gt;0,"Retested",IF(OR($T63="",NOT(ISNUMBER($T63))),"Pending",IF(TODAY()&gt;$T63,"OVERDUE","Due "&amp;TEXT($T63,"mm/dd")))))</f>
        <v/>
      </c>
      <c r="V63" s="14" t="n"/>
      <c r="W63" s="14" t="n"/>
    </row>
    <row r="64">
      <c r="B64" s="15">
        <f>IF($C64="","",$D64&amp;"-"&amp;$F64&amp;"-"&amp;$K64)</f>
        <v/>
      </c>
      <c r="C64" s="14" t="n"/>
      <c r="D64" s="15">
        <f>IF($C64="","",IFERROR(INDEX(rngCadetPIDs,MATCH($C64,rngCadetNames,0)),"?"))</f>
        <v/>
      </c>
      <c r="E64" s="15">
        <f>IF($D64="","",IFERROR(INDEX(nrCadetAgency,MATCH($D64,rngCadetPIDs,0)),""))</f>
        <v/>
      </c>
      <c r="F64" s="14" t="n"/>
      <c r="G64" s="15">
        <f>IF($F64="","",IFERROR(INDEX(rngEPname,MATCH($F64,rngEPcode,0)),"?"))</f>
        <v/>
      </c>
      <c r="H64" s="15">
        <f>IF($F64="","",IFERROR(INDEX(rngEPtype,MATCH($F64,rngEPcode,0)),"?"))</f>
        <v/>
      </c>
      <c r="I64" s="15">
        <f>IF($F64="","",IFERROR(INDEX(rngEPseq,MATCH($F64,rngEPcode,0)),""))</f>
        <v/>
      </c>
      <c r="J64" s="15">
        <f>IF($F64="","",IFERROR(INDEX(rngEPpass,MATCH($F64,rngEPcode,0)),cfgPassingScore))</f>
        <v/>
      </c>
      <c r="K64" s="14" t="n"/>
      <c r="L64" s="14" t="n"/>
      <c r="M64" s="15">
        <f>IF($C64="","",IF($L64="","",IF($K64=1,IF(COUNTIFS(nrES_PID,$D64,nrES_Code,$F64,nrES_Att,2)&gt;0,"",$L64),IF(COUNTIFS(nrES_PID,$D64,nrES_Code,$F64,nrES_Att,1)=0,$L64,IF($L64&gt;=$J64,cfgRetakeRecordedCap,SUMIFS(nrES_Raw,nrES_PID,$D64,nrES_Code,$F64,nrES_Att,1))))))</f>
        <v/>
      </c>
      <c r="N64" s="15">
        <f>IF($C64="","",IF($L64="","",IF($L64&gt;=$J64,"Yes","No")))</f>
        <v/>
      </c>
      <c r="O64" s="15">
        <f>IF($C64="","",IF($M64="","",IF($M64&gt;=$J64,"Yes","No")))</f>
        <v/>
      </c>
      <c r="P64" s="15">
        <f>IF($C64="","",IF($K64="","",IF(COUNTIFS(nrES_PID,$D64,nrES_Code,$F64,nrES_Att,"&gt;"&amp;$K64)=0,"Yes","No")))</f>
        <v/>
      </c>
      <c r="Q64" s="15">
        <f>IF($C64="","",IF($L64="","",IF(AND($K64=1,$L64&lt;$J64,COUNTIFS(nrES_PID,$D64,nrES_Code,$F64,nrES_Att,2)=0),"Yes","No")))</f>
        <v/>
      </c>
      <c r="R64" s="15">
        <f>IF($C64="","",IF($L64="","",IF(AND($K64=2,$L64&lt;$J64,COUNTIFS(nrES_PID,$D64,nrES_Code,$F64,nrES_Att,1)&gt;0),"Yes","No")))</f>
        <v/>
      </c>
      <c r="S64" s="16" t="n"/>
      <c r="T64" s="17">
        <f>IF($Q64&lt;&gt;"Yes","",IF($S64="","(enter date)",_xlfn.LET(_xlpm.dn,IFERROR(_xlfn.XLOOKUP($S64,nrCDdate,nrCDnum),""),IF(_xlpm.dn="","(not a class day)",IFERROR(_xlfn.XLOOKUP(_xlpm.dn+cfgRetestClassDays,nrCDnum,nrCDdate),"")))))</f>
        <v/>
      </c>
      <c r="U64" s="15">
        <f>IF($Q64&lt;&gt;"Yes","",IF(COUNTIFS(nrES_PID,$D64,nrES_Code,$F64,nrES_Att,2)&gt;0,"Retested",IF(OR($T64="",NOT(ISNUMBER($T64))),"Pending",IF(TODAY()&gt;$T64,"OVERDUE","Due "&amp;TEXT($T64,"mm/dd")))))</f>
        <v/>
      </c>
      <c r="V64" s="14" t="n"/>
      <c r="W64" s="14" t="n"/>
    </row>
    <row r="65">
      <c r="B65" s="15">
        <f>IF($C65="","",$D65&amp;"-"&amp;$F65&amp;"-"&amp;$K65)</f>
        <v/>
      </c>
      <c r="C65" s="14" t="n"/>
      <c r="D65" s="15">
        <f>IF($C65="","",IFERROR(INDEX(rngCadetPIDs,MATCH($C65,rngCadetNames,0)),"?"))</f>
        <v/>
      </c>
      <c r="E65" s="15">
        <f>IF($D65="","",IFERROR(INDEX(nrCadetAgency,MATCH($D65,rngCadetPIDs,0)),""))</f>
        <v/>
      </c>
      <c r="F65" s="14" t="n"/>
      <c r="G65" s="15">
        <f>IF($F65="","",IFERROR(INDEX(rngEPname,MATCH($F65,rngEPcode,0)),"?"))</f>
        <v/>
      </c>
      <c r="H65" s="15">
        <f>IF($F65="","",IFERROR(INDEX(rngEPtype,MATCH($F65,rngEPcode,0)),"?"))</f>
        <v/>
      </c>
      <c r="I65" s="15">
        <f>IF($F65="","",IFERROR(INDEX(rngEPseq,MATCH($F65,rngEPcode,0)),""))</f>
        <v/>
      </c>
      <c r="J65" s="15">
        <f>IF($F65="","",IFERROR(INDEX(rngEPpass,MATCH($F65,rngEPcode,0)),cfgPassingScore))</f>
        <v/>
      </c>
      <c r="K65" s="14" t="n"/>
      <c r="L65" s="14" t="n"/>
      <c r="M65" s="15">
        <f>IF($C65="","",IF($L65="","",IF($K65=1,IF(COUNTIFS(nrES_PID,$D65,nrES_Code,$F65,nrES_Att,2)&gt;0,"",$L65),IF(COUNTIFS(nrES_PID,$D65,nrES_Code,$F65,nrES_Att,1)=0,$L65,IF($L65&gt;=$J65,cfgRetakeRecordedCap,SUMIFS(nrES_Raw,nrES_PID,$D65,nrES_Code,$F65,nrES_Att,1))))))</f>
        <v/>
      </c>
      <c r="N65" s="15">
        <f>IF($C65="","",IF($L65="","",IF($L65&gt;=$J65,"Yes","No")))</f>
        <v/>
      </c>
      <c r="O65" s="15">
        <f>IF($C65="","",IF($M65="","",IF($M65&gt;=$J65,"Yes","No")))</f>
        <v/>
      </c>
      <c r="P65" s="15">
        <f>IF($C65="","",IF($K65="","",IF(COUNTIFS(nrES_PID,$D65,nrES_Code,$F65,nrES_Att,"&gt;"&amp;$K65)=0,"Yes","No")))</f>
        <v/>
      </c>
      <c r="Q65" s="15">
        <f>IF($C65="","",IF($L65="","",IF(AND($K65=1,$L65&lt;$J65,COUNTIFS(nrES_PID,$D65,nrES_Code,$F65,nrES_Att,2)=0),"Yes","No")))</f>
        <v/>
      </c>
      <c r="R65" s="15">
        <f>IF($C65="","",IF($L65="","",IF(AND($K65=2,$L65&lt;$J65,COUNTIFS(nrES_PID,$D65,nrES_Code,$F65,nrES_Att,1)&gt;0),"Yes","No")))</f>
        <v/>
      </c>
      <c r="S65" s="16" t="n"/>
      <c r="T65" s="17">
        <f>IF($Q65&lt;&gt;"Yes","",IF($S65="","(enter date)",_xlfn.LET(_xlpm.dn,IFERROR(_xlfn.XLOOKUP($S65,nrCDdate,nrCDnum),""),IF(_xlpm.dn="","(not a class day)",IFERROR(_xlfn.XLOOKUP(_xlpm.dn+cfgRetestClassDays,nrCDnum,nrCDdate),"")))))</f>
        <v/>
      </c>
      <c r="U65" s="15">
        <f>IF($Q65&lt;&gt;"Yes","",IF(COUNTIFS(nrES_PID,$D65,nrES_Code,$F65,nrES_Att,2)&gt;0,"Retested",IF(OR($T65="",NOT(ISNUMBER($T65))),"Pending",IF(TODAY()&gt;$T65,"OVERDUE","Due "&amp;TEXT($T65,"mm/dd")))))</f>
        <v/>
      </c>
      <c r="V65" s="14" t="n"/>
      <c r="W65" s="14" t="n"/>
    </row>
    <row r="66">
      <c r="B66" s="15">
        <f>IF($C66="","",$D66&amp;"-"&amp;$F66&amp;"-"&amp;$K66)</f>
        <v/>
      </c>
      <c r="C66" s="14" t="n"/>
      <c r="D66" s="15">
        <f>IF($C66="","",IFERROR(INDEX(rngCadetPIDs,MATCH($C66,rngCadetNames,0)),"?"))</f>
        <v/>
      </c>
      <c r="E66" s="15">
        <f>IF($D66="","",IFERROR(INDEX(nrCadetAgency,MATCH($D66,rngCadetPIDs,0)),""))</f>
        <v/>
      </c>
      <c r="F66" s="14" t="n"/>
      <c r="G66" s="15">
        <f>IF($F66="","",IFERROR(INDEX(rngEPname,MATCH($F66,rngEPcode,0)),"?"))</f>
        <v/>
      </c>
      <c r="H66" s="15">
        <f>IF($F66="","",IFERROR(INDEX(rngEPtype,MATCH($F66,rngEPcode,0)),"?"))</f>
        <v/>
      </c>
      <c r="I66" s="15">
        <f>IF($F66="","",IFERROR(INDEX(rngEPseq,MATCH($F66,rngEPcode,0)),""))</f>
        <v/>
      </c>
      <c r="J66" s="15">
        <f>IF($F66="","",IFERROR(INDEX(rngEPpass,MATCH($F66,rngEPcode,0)),cfgPassingScore))</f>
        <v/>
      </c>
      <c r="K66" s="14" t="n"/>
      <c r="L66" s="14" t="n"/>
      <c r="M66" s="15">
        <f>IF($C66="","",IF($L66="","",IF($K66=1,IF(COUNTIFS(nrES_PID,$D66,nrES_Code,$F66,nrES_Att,2)&gt;0,"",$L66),IF(COUNTIFS(nrES_PID,$D66,nrES_Code,$F66,nrES_Att,1)=0,$L66,IF($L66&gt;=$J66,cfgRetakeRecordedCap,SUMIFS(nrES_Raw,nrES_PID,$D66,nrES_Code,$F66,nrES_Att,1))))))</f>
        <v/>
      </c>
      <c r="N66" s="15">
        <f>IF($C66="","",IF($L66="","",IF($L66&gt;=$J66,"Yes","No")))</f>
        <v/>
      </c>
      <c r="O66" s="15">
        <f>IF($C66="","",IF($M66="","",IF($M66&gt;=$J66,"Yes","No")))</f>
        <v/>
      </c>
      <c r="P66" s="15">
        <f>IF($C66="","",IF($K66="","",IF(COUNTIFS(nrES_PID,$D66,nrES_Code,$F66,nrES_Att,"&gt;"&amp;$K66)=0,"Yes","No")))</f>
        <v/>
      </c>
      <c r="Q66" s="15">
        <f>IF($C66="","",IF($L66="","",IF(AND($K66=1,$L66&lt;$J66,COUNTIFS(nrES_PID,$D66,nrES_Code,$F66,nrES_Att,2)=0),"Yes","No")))</f>
        <v/>
      </c>
      <c r="R66" s="15">
        <f>IF($C66="","",IF($L66="","",IF(AND($K66=2,$L66&lt;$J66,COUNTIFS(nrES_PID,$D66,nrES_Code,$F66,nrES_Att,1)&gt;0),"Yes","No")))</f>
        <v/>
      </c>
      <c r="S66" s="16" t="n"/>
      <c r="T66" s="17">
        <f>IF($Q66&lt;&gt;"Yes","",IF($S66="","(enter date)",_xlfn.LET(_xlpm.dn,IFERROR(_xlfn.XLOOKUP($S66,nrCDdate,nrCDnum),""),IF(_xlpm.dn="","(not a class day)",IFERROR(_xlfn.XLOOKUP(_xlpm.dn+cfgRetestClassDays,nrCDnum,nrCDdate),"")))))</f>
        <v/>
      </c>
      <c r="U66" s="15">
        <f>IF($Q66&lt;&gt;"Yes","",IF(COUNTIFS(nrES_PID,$D66,nrES_Code,$F66,nrES_Att,2)&gt;0,"Retested",IF(OR($T66="",NOT(ISNUMBER($T66))),"Pending",IF(TODAY()&gt;$T66,"OVERDUE","Due "&amp;TEXT($T66,"mm/dd")))))</f>
        <v/>
      </c>
      <c r="V66" s="14" t="n"/>
      <c r="W66" s="14" t="n"/>
    </row>
    <row r="67">
      <c r="B67" s="15">
        <f>IF($C67="","",$D67&amp;"-"&amp;$F67&amp;"-"&amp;$K67)</f>
        <v/>
      </c>
      <c r="C67" s="14" t="n"/>
      <c r="D67" s="15">
        <f>IF($C67="","",IFERROR(INDEX(rngCadetPIDs,MATCH($C67,rngCadetNames,0)),"?"))</f>
        <v/>
      </c>
      <c r="E67" s="15">
        <f>IF($D67="","",IFERROR(INDEX(nrCadetAgency,MATCH($D67,rngCadetPIDs,0)),""))</f>
        <v/>
      </c>
      <c r="F67" s="14" t="n"/>
      <c r="G67" s="15">
        <f>IF($F67="","",IFERROR(INDEX(rngEPname,MATCH($F67,rngEPcode,0)),"?"))</f>
        <v/>
      </c>
      <c r="H67" s="15">
        <f>IF($F67="","",IFERROR(INDEX(rngEPtype,MATCH($F67,rngEPcode,0)),"?"))</f>
        <v/>
      </c>
      <c r="I67" s="15">
        <f>IF($F67="","",IFERROR(INDEX(rngEPseq,MATCH($F67,rngEPcode,0)),""))</f>
        <v/>
      </c>
      <c r="J67" s="15">
        <f>IF($F67="","",IFERROR(INDEX(rngEPpass,MATCH($F67,rngEPcode,0)),cfgPassingScore))</f>
        <v/>
      </c>
      <c r="K67" s="14" t="n"/>
      <c r="L67" s="14" t="n"/>
      <c r="M67" s="15">
        <f>IF($C67="","",IF($L67="","",IF($K67=1,IF(COUNTIFS(nrES_PID,$D67,nrES_Code,$F67,nrES_Att,2)&gt;0,"",$L67),IF(COUNTIFS(nrES_PID,$D67,nrES_Code,$F67,nrES_Att,1)=0,$L67,IF($L67&gt;=$J67,cfgRetakeRecordedCap,SUMIFS(nrES_Raw,nrES_PID,$D67,nrES_Code,$F67,nrES_Att,1))))))</f>
        <v/>
      </c>
      <c r="N67" s="15">
        <f>IF($C67="","",IF($L67="","",IF($L67&gt;=$J67,"Yes","No")))</f>
        <v/>
      </c>
      <c r="O67" s="15">
        <f>IF($C67="","",IF($M67="","",IF($M67&gt;=$J67,"Yes","No")))</f>
        <v/>
      </c>
      <c r="P67" s="15">
        <f>IF($C67="","",IF($K67="","",IF(COUNTIFS(nrES_PID,$D67,nrES_Code,$F67,nrES_Att,"&gt;"&amp;$K67)=0,"Yes","No")))</f>
        <v/>
      </c>
      <c r="Q67" s="15">
        <f>IF($C67="","",IF($L67="","",IF(AND($K67=1,$L67&lt;$J67,COUNTIFS(nrES_PID,$D67,nrES_Code,$F67,nrES_Att,2)=0),"Yes","No")))</f>
        <v/>
      </c>
      <c r="R67" s="15">
        <f>IF($C67="","",IF($L67="","",IF(AND($K67=2,$L67&lt;$J67,COUNTIFS(nrES_PID,$D67,nrES_Code,$F67,nrES_Att,1)&gt;0),"Yes","No")))</f>
        <v/>
      </c>
      <c r="S67" s="16" t="n"/>
      <c r="T67" s="17">
        <f>IF($Q67&lt;&gt;"Yes","",IF($S67="","(enter date)",_xlfn.LET(_xlpm.dn,IFERROR(_xlfn.XLOOKUP($S67,nrCDdate,nrCDnum),""),IF(_xlpm.dn="","(not a class day)",IFERROR(_xlfn.XLOOKUP(_xlpm.dn+cfgRetestClassDays,nrCDnum,nrCDdate),"")))))</f>
        <v/>
      </c>
      <c r="U67" s="15">
        <f>IF($Q67&lt;&gt;"Yes","",IF(COUNTIFS(nrES_PID,$D67,nrES_Code,$F67,nrES_Att,2)&gt;0,"Retested",IF(OR($T67="",NOT(ISNUMBER($T67))),"Pending",IF(TODAY()&gt;$T67,"OVERDUE","Due "&amp;TEXT($T67,"mm/dd")))))</f>
        <v/>
      </c>
      <c r="V67" s="14" t="n"/>
      <c r="W67" s="14" t="n"/>
    </row>
    <row r="68">
      <c r="B68" s="15">
        <f>IF($C68="","",$D68&amp;"-"&amp;$F68&amp;"-"&amp;$K68)</f>
        <v/>
      </c>
      <c r="C68" s="14" t="n"/>
      <c r="D68" s="15">
        <f>IF($C68="","",IFERROR(INDEX(rngCadetPIDs,MATCH($C68,rngCadetNames,0)),"?"))</f>
        <v/>
      </c>
      <c r="E68" s="15">
        <f>IF($D68="","",IFERROR(INDEX(nrCadetAgency,MATCH($D68,rngCadetPIDs,0)),""))</f>
        <v/>
      </c>
      <c r="F68" s="14" t="n"/>
      <c r="G68" s="15">
        <f>IF($F68="","",IFERROR(INDEX(rngEPname,MATCH($F68,rngEPcode,0)),"?"))</f>
        <v/>
      </c>
      <c r="H68" s="15">
        <f>IF($F68="","",IFERROR(INDEX(rngEPtype,MATCH($F68,rngEPcode,0)),"?"))</f>
        <v/>
      </c>
      <c r="I68" s="15">
        <f>IF($F68="","",IFERROR(INDEX(rngEPseq,MATCH($F68,rngEPcode,0)),""))</f>
        <v/>
      </c>
      <c r="J68" s="15">
        <f>IF($F68="","",IFERROR(INDEX(rngEPpass,MATCH($F68,rngEPcode,0)),cfgPassingScore))</f>
        <v/>
      </c>
      <c r="K68" s="14" t="n"/>
      <c r="L68" s="14" t="n"/>
      <c r="M68" s="15">
        <f>IF($C68="","",IF($L68="","",IF($K68=1,IF(COUNTIFS(nrES_PID,$D68,nrES_Code,$F68,nrES_Att,2)&gt;0,"",$L68),IF(COUNTIFS(nrES_PID,$D68,nrES_Code,$F68,nrES_Att,1)=0,$L68,IF($L68&gt;=$J68,cfgRetakeRecordedCap,SUMIFS(nrES_Raw,nrES_PID,$D68,nrES_Code,$F68,nrES_Att,1))))))</f>
        <v/>
      </c>
      <c r="N68" s="15">
        <f>IF($C68="","",IF($L68="","",IF($L68&gt;=$J68,"Yes","No")))</f>
        <v/>
      </c>
      <c r="O68" s="15">
        <f>IF($C68="","",IF($M68="","",IF($M68&gt;=$J68,"Yes","No")))</f>
        <v/>
      </c>
      <c r="P68" s="15">
        <f>IF($C68="","",IF($K68="","",IF(COUNTIFS(nrES_PID,$D68,nrES_Code,$F68,nrES_Att,"&gt;"&amp;$K68)=0,"Yes","No")))</f>
        <v/>
      </c>
      <c r="Q68" s="15">
        <f>IF($C68="","",IF($L68="","",IF(AND($K68=1,$L68&lt;$J68,COUNTIFS(nrES_PID,$D68,nrES_Code,$F68,nrES_Att,2)=0),"Yes","No")))</f>
        <v/>
      </c>
      <c r="R68" s="15">
        <f>IF($C68="","",IF($L68="","",IF(AND($K68=2,$L68&lt;$J68,COUNTIFS(nrES_PID,$D68,nrES_Code,$F68,nrES_Att,1)&gt;0),"Yes","No")))</f>
        <v/>
      </c>
      <c r="S68" s="16" t="n"/>
      <c r="T68" s="17">
        <f>IF($Q68&lt;&gt;"Yes","",IF($S68="","(enter date)",_xlfn.LET(_xlpm.dn,IFERROR(_xlfn.XLOOKUP($S68,nrCDdate,nrCDnum),""),IF(_xlpm.dn="","(not a class day)",IFERROR(_xlfn.XLOOKUP(_xlpm.dn+cfgRetestClassDays,nrCDnum,nrCDdate),"")))))</f>
        <v/>
      </c>
      <c r="U68" s="15">
        <f>IF($Q68&lt;&gt;"Yes","",IF(COUNTIFS(nrES_PID,$D68,nrES_Code,$F68,nrES_Att,2)&gt;0,"Retested",IF(OR($T68="",NOT(ISNUMBER($T68))),"Pending",IF(TODAY()&gt;$T68,"OVERDUE","Due "&amp;TEXT($T68,"mm/dd")))))</f>
        <v/>
      </c>
      <c r="V68" s="14" t="n"/>
      <c r="W68" s="14" t="n"/>
    </row>
    <row r="69">
      <c r="B69" s="15">
        <f>IF($C69="","",$D69&amp;"-"&amp;$F69&amp;"-"&amp;$K69)</f>
        <v/>
      </c>
      <c r="C69" s="14" t="n"/>
      <c r="D69" s="15">
        <f>IF($C69="","",IFERROR(INDEX(rngCadetPIDs,MATCH($C69,rngCadetNames,0)),"?"))</f>
        <v/>
      </c>
      <c r="E69" s="15">
        <f>IF($D69="","",IFERROR(INDEX(nrCadetAgency,MATCH($D69,rngCadetPIDs,0)),""))</f>
        <v/>
      </c>
      <c r="F69" s="14" t="n"/>
      <c r="G69" s="15">
        <f>IF($F69="","",IFERROR(INDEX(rngEPname,MATCH($F69,rngEPcode,0)),"?"))</f>
        <v/>
      </c>
      <c r="H69" s="15">
        <f>IF($F69="","",IFERROR(INDEX(rngEPtype,MATCH($F69,rngEPcode,0)),"?"))</f>
        <v/>
      </c>
      <c r="I69" s="15">
        <f>IF($F69="","",IFERROR(INDEX(rngEPseq,MATCH($F69,rngEPcode,0)),""))</f>
        <v/>
      </c>
      <c r="J69" s="15">
        <f>IF($F69="","",IFERROR(INDEX(rngEPpass,MATCH($F69,rngEPcode,0)),cfgPassingScore))</f>
        <v/>
      </c>
      <c r="K69" s="14" t="n"/>
      <c r="L69" s="14" t="n"/>
      <c r="M69" s="15">
        <f>IF($C69="","",IF($L69="","",IF($K69=1,IF(COUNTIFS(nrES_PID,$D69,nrES_Code,$F69,nrES_Att,2)&gt;0,"",$L69),IF(COUNTIFS(nrES_PID,$D69,nrES_Code,$F69,nrES_Att,1)=0,$L69,IF($L69&gt;=$J69,cfgRetakeRecordedCap,SUMIFS(nrES_Raw,nrES_PID,$D69,nrES_Code,$F69,nrES_Att,1))))))</f>
        <v/>
      </c>
      <c r="N69" s="15">
        <f>IF($C69="","",IF($L69="","",IF($L69&gt;=$J69,"Yes","No")))</f>
        <v/>
      </c>
      <c r="O69" s="15">
        <f>IF($C69="","",IF($M69="","",IF($M69&gt;=$J69,"Yes","No")))</f>
        <v/>
      </c>
      <c r="P69" s="15">
        <f>IF($C69="","",IF($K69="","",IF(COUNTIFS(nrES_PID,$D69,nrES_Code,$F69,nrES_Att,"&gt;"&amp;$K69)=0,"Yes","No")))</f>
        <v/>
      </c>
      <c r="Q69" s="15">
        <f>IF($C69="","",IF($L69="","",IF(AND($K69=1,$L69&lt;$J69,COUNTIFS(nrES_PID,$D69,nrES_Code,$F69,nrES_Att,2)=0),"Yes","No")))</f>
        <v/>
      </c>
      <c r="R69" s="15">
        <f>IF($C69="","",IF($L69="","",IF(AND($K69=2,$L69&lt;$J69,COUNTIFS(nrES_PID,$D69,nrES_Code,$F69,nrES_Att,1)&gt;0),"Yes","No")))</f>
        <v/>
      </c>
      <c r="S69" s="16" t="n"/>
      <c r="T69" s="17">
        <f>IF($Q69&lt;&gt;"Yes","",IF($S69="","(enter date)",_xlfn.LET(_xlpm.dn,IFERROR(_xlfn.XLOOKUP($S69,nrCDdate,nrCDnum),""),IF(_xlpm.dn="","(not a class day)",IFERROR(_xlfn.XLOOKUP(_xlpm.dn+cfgRetestClassDays,nrCDnum,nrCDdate),"")))))</f>
        <v/>
      </c>
      <c r="U69" s="15">
        <f>IF($Q69&lt;&gt;"Yes","",IF(COUNTIFS(nrES_PID,$D69,nrES_Code,$F69,nrES_Att,2)&gt;0,"Retested",IF(OR($T69="",NOT(ISNUMBER($T69))),"Pending",IF(TODAY()&gt;$T69,"OVERDUE","Due "&amp;TEXT($T69,"mm/dd")))))</f>
        <v/>
      </c>
      <c r="V69" s="14" t="n"/>
      <c r="W69" s="14" t="n"/>
    </row>
    <row r="70">
      <c r="B70" s="15">
        <f>IF($C70="","",$D70&amp;"-"&amp;$F70&amp;"-"&amp;$K70)</f>
        <v/>
      </c>
      <c r="C70" s="14" t="n"/>
      <c r="D70" s="15">
        <f>IF($C70="","",IFERROR(INDEX(rngCadetPIDs,MATCH($C70,rngCadetNames,0)),"?"))</f>
        <v/>
      </c>
      <c r="E70" s="15">
        <f>IF($D70="","",IFERROR(INDEX(nrCadetAgency,MATCH($D70,rngCadetPIDs,0)),""))</f>
        <v/>
      </c>
      <c r="F70" s="14" t="n"/>
      <c r="G70" s="15">
        <f>IF($F70="","",IFERROR(INDEX(rngEPname,MATCH($F70,rngEPcode,0)),"?"))</f>
        <v/>
      </c>
      <c r="H70" s="15">
        <f>IF($F70="","",IFERROR(INDEX(rngEPtype,MATCH($F70,rngEPcode,0)),"?"))</f>
        <v/>
      </c>
      <c r="I70" s="15">
        <f>IF($F70="","",IFERROR(INDEX(rngEPseq,MATCH($F70,rngEPcode,0)),""))</f>
        <v/>
      </c>
      <c r="J70" s="15">
        <f>IF($F70="","",IFERROR(INDEX(rngEPpass,MATCH($F70,rngEPcode,0)),cfgPassingScore))</f>
        <v/>
      </c>
      <c r="K70" s="14" t="n"/>
      <c r="L70" s="14" t="n"/>
      <c r="M70" s="15">
        <f>IF($C70="","",IF($L70="","",IF($K70=1,IF(COUNTIFS(nrES_PID,$D70,nrES_Code,$F70,nrES_Att,2)&gt;0,"",$L70),IF(COUNTIFS(nrES_PID,$D70,nrES_Code,$F70,nrES_Att,1)=0,$L70,IF($L70&gt;=$J70,cfgRetakeRecordedCap,SUMIFS(nrES_Raw,nrES_PID,$D70,nrES_Code,$F70,nrES_Att,1))))))</f>
        <v/>
      </c>
      <c r="N70" s="15">
        <f>IF($C70="","",IF($L70="","",IF($L70&gt;=$J70,"Yes","No")))</f>
        <v/>
      </c>
      <c r="O70" s="15">
        <f>IF($C70="","",IF($M70="","",IF($M70&gt;=$J70,"Yes","No")))</f>
        <v/>
      </c>
      <c r="P70" s="15">
        <f>IF($C70="","",IF($K70="","",IF(COUNTIFS(nrES_PID,$D70,nrES_Code,$F70,nrES_Att,"&gt;"&amp;$K70)=0,"Yes","No")))</f>
        <v/>
      </c>
      <c r="Q70" s="15">
        <f>IF($C70="","",IF($L70="","",IF(AND($K70=1,$L70&lt;$J70,COUNTIFS(nrES_PID,$D70,nrES_Code,$F70,nrES_Att,2)=0),"Yes","No")))</f>
        <v/>
      </c>
      <c r="R70" s="15">
        <f>IF($C70="","",IF($L70="","",IF(AND($K70=2,$L70&lt;$J70,COUNTIFS(nrES_PID,$D70,nrES_Code,$F70,nrES_Att,1)&gt;0),"Yes","No")))</f>
        <v/>
      </c>
      <c r="S70" s="16" t="n"/>
      <c r="T70" s="17">
        <f>IF($Q70&lt;&gt;"Yes","",IF($S70="","(enter date)",_xlfn.LET(_xlpm.dn,IFERROR(_xlfn.XLOOKUP($S70,nrCDdate,nrCDnum),""),IF(_xlpm.dn="","(not a class day)",IFERROR(_xlfn.XLOOKUP(_xlpm.dn+cfgRetestClassDays,nrCDnum,nrCDdate),"")))))</f>
        <v/>
      </c>
      <c r="U70" s="15">
        <f>IF($Q70&lt;&gt;"Yes","",IF(COUNTIFS(nrES_PID,$D70,nrES_Code,$F70,nrES_Att,2)&gt;0,"Retested",IF(OR($T70="",NOT(ISNUMBER($T70))),"Pending",IF(TODAY()&gt;$T70,"OVERDUE","Due "&amp;TEXT($T70,"mm/dd")))))</f>
        <v/>
      </c>
      <c r="V70" s="14" t="n"/>
      <c r="W70" s="14" t="n"/>
    </row>
    <row r="71">
      <c r="B71" s="15">
        <f>IF($C71="","",$D71&amp;"-"&amp;$F71&amp;"-"&amp;$K71)</f>
        <v/>
      </c>
      <c r="C71" s="14" t="n"/>
      <c r="D71" s="15">
        <f>IF($C71="","",IFERROR(INDEX(rngCadetPIDs,MATCH($C71,rngCadetNames,0)),"?"))</f>
        <v/>
      </c>
      <c r="E71" s="15">
        <f>IF($D71="","",IFERROR(INDEX(nrCadetAgency,MATCH($D71,rngCadetPIDs,0)),""))</f>
        <v/>
      </c>
      <c r="F71" s="14" t="n"/>
      <c r="G71" s="15">
        <f>IF($F71="","",IFERROR(INDEX(rngEPname,MATCH($F71,rngEPcode,0)),"?"))</f>
        <v/>
      </c>
      <c r="H71" s="15">
        <f>IF($F71="","",IFERROR(INDEX(rngEPtype,MATCH($F71,rngEPcode,0)),"?"))</f>
        <v/>
      </c>
      <c r="I71" s="15">
        <f>IF($F71="","",IFERROR(INDEX(rngEPseq,MATCH($F71,rngEPcode,0)),""))</f>
        <v/>
      </c>
      <c r="J71" s="15">
        <f>IF($F71="","",IFERROR(INDEX(rngEPpass,MATCH($F71,rngEPcode,0)),cfgPassingScore))</f>
        <v/>
      </c>
      <c r="K71" s="14" t="n"/>
      <c r="L71" s="14" t="n"/>
      <c r="M71" s="15">
        <f>IF($C71="","",IF($L71="","",IF($K71=1,IF(COUNTIFS(nrES_PID,$D71,nrES_Code,$F71,nrES_Att,2)&gt;0,"",$L71),IF(COUNTIFS(nrES_PID,$D71,nrES_Code,$F71,nrES_Att,1)=0,$L71,IF($L71&gt;=$J71,cfgRetakeRecordedCap,SUMIFS(nrES_Raw,nrES_PID,$D71,nrES_Code,$F71,nrES_Att,1))))))</f>
        <v/>
      </c>
      <c r="N71" s="15">
        <f>IF($C71="","",IF($L71="","",IF($L71&gt;=$J71,"Yes","No")))</f>
        <v/>
      </c>
      <c r="O71" s="15">
        <f>IF($C71="","",IF($M71="","",IF($M71&gt;=$J71,"Yes","No")))</f>
        <v/>
      </c>
      <c r="P71" s="15">
        <f>IF($C71="","",IF($K71="","",IF(COUNTIFS(nrES_PID,$D71,nrES_Code,$F71,nrES_Att,"&gt;"&amp;$K71)=0,"Yes","No")))</f>
        <v/>
      </c>
      <c r="Q71" s="15">
        <f>IF($C71="","",IF($L71="","",IF(AND($K71=1,$L71&lt;$J71,COUNTIFS(nrES_PID,$D71,nrES_Code,$F71,nrES_Att,2)=0),"Yes","No")))</f>
        <v/>
      </c>
      <c r="R71" s="15">
        <f>IF($C71="","",IF($L71="","",IF(AND($K71=2,$L71&lt;$J71,COUNTIFS(nrES_PID,$D71,nrES_Code,$F71,nrES_Att,1)&gt;0),"Yes","No")))</f>
        <v/>
      </c>
      <c r="S71" s="16" t="n"/>
      <c r="T71" s="17">
        <f>IF($Q71&lt;&gt;"Yes","",IF($S71="","(enter date)",_xlfn.LET(_xlpm.dn,IFERROR(_xlfn.XLOOKUP($S71,nrCDdate,nrCDnum),""),IF(_xlpm.dn="","(not a class day)",IFERROR(_xlfn.XLOOKUP(_xlpm.dn+cfgRetestClassDays,nrCDnum,nrCDdate),"")))))</f>
        <v/>
      </c>
      <c r="U71" s="15">
        <f>IF($Q71&lt;&gt;"Yes","",IF(COUNTIFS(nrES_PID,$D71,nrES_Code,$F71,nrES_Att,2)&gt;0,"Retested",IF(OR($T71="",NOT(ISNUMBER($T71))),"Pending",IF(TODAY()&gt;$T71,"OVERDUE","Due "&amp;TEXT($T71,"mm/dd")))))</f>
        <v/>
      </c>
      <c r="V71" s="14" t="n"/>
      <c r="W71" s="14" t="n"/>
    </row>
    <row r="72">
      <c r="B72" s="15">
        <f>IF($C72="","",$D72&amp;"-"&amp;$F72&amp;"-"&amp;$K72)</f>
        <v/>
      </c>
      <c r="C72" s="14" t="n"/>
      <c r="D72" s="15">
        <f>IF($C72="","",IFERROR(INDEX(rngCadetPIDs,MATCH($C72,rngCadetNames,0)),"?"))</f>
        <v/>
      </c>
      <c r="E72" s="15">
        <f>IF($D72="","",IFERROR(INDEX(nrCadetAgency,MATCH($D72,rngCadetPIDs,0)),""))</f>
        <v/>
      </c>
      <c r="F72" s="14" t="n"/>
      <c r="G72" s="15">
        <f>IF($F72="","",IFERROR(INDEX(rngEPname,MATCH($F72,rngEPcode,0)),"?"))</f>
        <v/>
      </c>
      <c r="H72" s="15">
        <f>IF($F72="","",IFERROR(INDEX(rngEPtype,MATCH($F72,rngEPcode,0)),"?"))</f>
        <v/>
      </c>
      <c r="I72" s="15">
        <f>IF($F72="","",IFERROR(INDEX(rngEPseq,MATCH($F72,rngEPcode,0)),""))</f>
        <v/>
      </c>
      <c r="J72" s="15">
        <f>IF($F72="","",IFERROR(INDEX(rngEPpass,MATCH($F72,rngEPcode,0)),cfgPassingScore))</f>
        <v/>
      </c>
      <c r="K72" s="14" t="n"/>
      <c r="L72" s="14" t="n"/>
      <c r="M72" s="15">
        <f>IF($C72="","",IF($L72="","",IF($K72=1,IF(COUNTIFS(nrES_PID,$D72,nrES_Code,$F72,nrES_Att,2)&gt;0,"",$L72),IF(COUNTIFS(nrES_PID,$D72,nrES_Code,$F72,nrES_Att,1)=0,$L72,IF($L72&gt;=$J72,cfgRetakeRecordedCap,SUMIFS(nrES_Raw,nrES_PID,$D72,nrES_Code,$F72,nrES_Att,1))))))</f>
        <v/>
      </c>
      <c r="N72" s="15">
        <f>IF($C72="","",IF($L72="","",IF($L72&gt;=$J72,"Yes","No")))</f>
        <v/>
      </c>
      <c r="O72" s="15">
        <f>IF($C72="","",IF($M72="","",IF($M72&gt;=$J72,"Yes","No")))</f>
        <v/>
      </c>
      <c r="P72" s="15">
        <f>IF($C72="","",IF($K72="","",IF(COUNTIFS(nrES_PID,$D72,nrES_Code,$F72,nrES_Att,"&gt;"&amp;$K72)=0,"Yes","No")))</f>
        <v/>
      </c>
      <c r="Q72" s="15">
        <f>IF($C72="","",IF($L72="","",IF(AND($K72=1,$L72&lt;$J72,COUNTIFS(nrES_PID,$D72,nrES_Code,$F72,nrES_Att,2)=0),"Yes","No")))</f>
        <v/>
      </c>
      <c r="R72" s="15">
        <f>IF($C72="","",IF($L72="","",IF(AND($K72=2,$L72&lt;$J72,COUNTIFS(nrES_PID,$D72,nrES_Code,$F72,nrES_Att,1)&gt;0),"Yes","No")))</f>
        <v/>
      </c>
      <c r="S72" s="16" t="n"/>
      <c r="T72" s="17">
        <f>IF($Q72&lt;&gt;"Yes","",IF($S72="","(enter date)",_xlfn.LET(_xlpm.dn,IFERROR(_xlfn.XLOOKUP($S72,nrCDdate,nrCDnum),""),IF(_xlpm.dn="","(not a class day)",IFERROR(_xlfn.XLOOKUP(_xlpm.dn+cfgRetestClassDays,nrCDnum,nrCDdate),"")))))</f>
        <v/>
      </c>
      <c r="U72" s="15">
        <f>IF($Q72&lt;&gt;"Yes","",IF(COUNTIFS(nrES_PID,$D72,nrES_Code,$F72,nrES_Att,2)&gt;0,"Retested",IF(OR($T72="",NOT(ISNUMBER($T72))),"Pending",IF(TODAY()&gt;$T72,"OVERDUE","Due "&amp;TEXT($T72,"mm/dd")))))</f>
        <v/>
      </c>
      <c r="V72" s="14" t="n"/>
      <c r="W72" s="14" t="n"/>
    </row>
    <row r="73">
      <c r="B73" s="15">
        <f>IF($C73="","",$D73&amp;"-"&amp;$F73&amp;"-"&amp;$K73)</f>
        <v/>
      </c>
      <c r="C73" s="14" t="n"/>
      <c r="D73" s="15">
        <f>IF($C73="","",IFERROR(INDEX(rngCadetPIDs,MATCH($C73,rngCadetNames,0)),"?"))</f>
        <v/>
      </c>
      <c r="E73" s="15">
        <f>IF($D73="","",IFERROR(INDEX(nrCadetAgency,MATCH($D73,rngCadetPIDs,0)),""))</f>
        <v/>
      </c>
      <c r="F73" s="14" t="n"/>
      <c r="G73" s="15">
        <f>IF($F73="","",IFERROR(INDEX(rngEPname,MATCH($F73,rngEPcode,0)),"?"))</f>
        <v/>
      </c>
      <c r="H73" s="15">
        <f>IF($F73="","",IFERROR(INDEX(rngEPtype,MATCH($F73,rngEPcode,0)),"?"))</f>
        <v/>
      </c>
      <c r="I73" s="15">
        <f>IF($F73="","",IFERROR(INDEX(rngEPseq,MATCH($F73,rngEPcode,0)),""))</f>
        <v/>
      </c>
      <c r="J73" s="15">
        <f>IF($F73="","",IFERROR(INDEX(rngEPpass,MATCH($F73,rngEPcode,0)),cfgPassingScore))</f>
        <v/>
      </c>
      <c r="K73" s="14" t="n"/>
      <c r="L73" s="14" t="n"/>
      <c r="M73" s="15">
        <f>IF($C73="","",IF($L73="","",IF($K73=1,IF(COUNTIFS(nrES_PID,$D73,nrES_Code,$F73,nrES_Att,2)&gt;0,"",$L73),IF(COUNTIFS(nrES_PID,$D73,nrES_Code,$F73,nrES_Att,1)=0,$L73,IF($L73&gt;=$J73,cfgRetakeRecordedCap,SUMIFS(nrES_Raw,nrES_PID,$D73,nrES_Code,$F73,nrES_Att,1))))))</f>
        <v/>
      </c>
      <c r="N73" s="15">
        <f>IF($C73="","",IF($L73="","",IF($L73&gt;=$J73,"Yes","No")))</f>
        <v/>
      </c>
      <c r="O73" s="15">
        <f>IF($C73="","",IF($M73="","",IF($M73&gt;=$J73,"Yes","No")))</f>
        <v/>
      </c>
      <c r="P73" s="15">
        <f>IF($C73="","",IF($K73="","",IF(COUNTIFS(nrES_PID,$D73,nrES_Code,$F73,nrES_Att,"&gt;"&amp;$K73)=0,"Yes","No")))</f>
        <v/>
      </c>
      <c r="Q73" s="15">
        <f>IF($C73="","",IF($L73="","",IF(AND($K73=1,$L73&lt;$J73,COUNTIFS(nrES_PID,$D73,nrES_Code,$F73,nrES_Att,2)=0),"Yes","No")))</f>
        <v/>
      </c>
      <c r="R73" s="15">
        <f>IF($C73="","",IF($L73="","",IF(AND($K73=2,$L73&lt;$J73,COUNTIFS(nrES_PID,$D73,nrES_Code,$F73,nrES_Att,1)&gt;0),"Yes","No")))</f>
        <v/>
      </c>
      <c r="S73" s="16" t="n"/>
      <c r="T73" s="17">
        <f>IF($Q73&lt;&gt;"Yes","",IF($S73="","(enter date)",_xlfn.LET(_xlpm.dn,IFERROR(_xlfn.XLOOKUP($S73,nrCDdate,nrCDnum),""),IF(_xlpm.dn="","(not a class day)",IFERROR(_xlfn.XLOOKUP(_xlpm.dn+cfgRetestClassDays,nrCDnum,nrCDdate),"")))))</f>
        <v/>
      </c>
      <c r="U73" s="15">
        <f>IF($Q73&lt;&gt;"Yes","",IF(COUNTIFS(nrES_PID,$D73,nrES_Code,$F73,nrES_Att,2)&gt;0,"Retested",IF(OR($T73="",NOT(ISNUMBER($T73))),"Pending",IF(TODAY()&gt;$T73,"OVERDUE","Due "&amp;TEXT($T73,"mm/dd")))))</f>
        <v/>
      </c>
      <c r="V73" s="14" t="n"/>
      <c r="W73" s="14" t="n"/>
    </row>
    <row r="74">
      <c r="B74" s="15">
        <f>IF($C74="","",$D74&amp;"-"&amp;$F74&amp;"-"&amp;$K74)</f>
        <v/>
      </c>
      <c r="C74" s="14" t="n"/>
      <c r="D74" s="15">
        <f>IF($C74="","",IFERROR(INDEX(rngCadetPIDs,MATCH($C74,rngCadetNames,0)),"?"))</f>
        <v/>
      </c>
      <c r="E74" s="15">
        <f>IF($D74="","",IFERROR(INDEX(nrCadetAgency,MATCH($D74,rngCadetPIDs,0)),""))</f>
        <v/>
      </c>
      <c r="F74" s="14" t="n"/>
      <c r="G74" s="15">
        <f>IF($F74="","",IFERROR(INDEX(rngEPname,MATCH($F74,rngEPcode,0)),"?"))</f>
        <v/>
      </c>
      <c r="H74" s="15">
        <f>IF($F74="","",IFERROR(INDEX(rngEPtype,MATCH($F74,rngEPcode,0)),"?"))</f>
        <v/>
      </c>
      <c r="I74" s="15">
        <f>IF($F74="","",IFERROR(INDEX(rngEPseq,MATCH($F74,rngEPcode,0)),""))</f>
        <v/>
      </c>
      <c r="J74" s="15">
        <f>IF($F74="","",IFERROR(INDEX(rngEPpass,MATCH($F74,rngEPcode,0)),cfgPassingScore))</f>
        <v/>
      </c>
      <c r="K74" s="14" t="n"/>
      <c r="L74" s="14" t="n"/>
      <c r="M74" s="15">
        <f>IF($C74="","",IF($L74="","",IF($K74=1,IF(COUNTIFS(nrES_PID,$D74,nrES_Code,$F74,nrES_Att,2)&gt;0,"",$L74),IF(COUNTIFS(nrES_PID,$D74,nrES_Code,$F74,nrES_Att,1)=0,$L74,IF($L74&gt;=$J74,cfgRetakeRecordedCap,SUMIFS(nrES_Raw,nrES_PID,$D74,nrES_Code,$F74,nrES_Att,1))))))</f>
        <v/>
      </c>
      <c r="N74" s="15">
        <f>IF($C74="","",IF($L74="","",IF($L74&gt;=$J74,"Yes","No")))</f>
        <v/>
      </c>
      <c r="O74" s="15">
        <f>IF($C74="","",IF($M74="","",IF($M74&gt;=$J74,"Yes","No")))</f>
        <v/>
      </c>
      <c r="P74" s="15">
        <f>IF($C74="","",IF($K74="","",IF(COUNTIFS(nrES_PID,$D74,nrES_Code,$F74,nrES_Att,"&gt;"&amp;$K74)=0,"Yes","No")))</f>
        <v/>
      </c>
      <c r="Q74" s="15">
        <f>IF($C74="","",IF($L74="","",IF(AND($K74=1,$L74&lt;$J74,COUNTIFS(nrES_PID,$D74,nrES_Code,$F74,nrES_Att,2)=0),"Yes","No")))</f>
        <v/>
      </c>
      <c r="R74" s="15">
        <f>IF($C74="","",IF($L74="","",IF(AND($K74=2,$L74&lt;$J74,COUNTIFS(nrES_PID,$D74,nrES_Code,$F74,nrES_Att,1)&gt;0),"Yes","No")))</f>
        <v/>
      </c>
      <c r="S74" s="16" t="n"/>
      <c r="T74" s="17">
        <f>IF($Q74&lt;&gt;"Yes","",IF($S74="","(enter date)",_xlfn.LET(_xlpm.dn,IFERROR(_xlfn.XLOOKUP($S74,nrCDdate,nrCDnum),""),IF(_xlpm.dn="","(not a class day)",IFERROR(_xlfn.XLOOKUP(_xlpm.dn+cfgRetestClassDays,nrCDnum,nrCDdate),"")))))</f>
        <v/>
      </c>
      <c r="U74" s="15">
        <f>IF($Q74&lt;&gt;"Yes","",IF(COUNTIFS(nrES_PID,$D74,nrES_Code,$F74,nrES_Att,2)&gt;0,"Retested",IF(OR($T74="",NOT(ISNUMBER($T74))),"Pending",IF(TODAY()&gt;$T74,"OVERDUE","Due "&amp;TEXT($T74,"mm/dd")))))</f>
        <v/>
      </c>
      <c r="V74" s="14" t="n"/>
      <c r="W74" s="14" t="n"/>
    </row>
    <row r="75">
      <c r="B75" s="15">
        <f>IF($C75="","",$D75&amp;"-"&amp;$F75&amp;"-"&amp;$K75)</f>
        <v/>
      </c>
      <c r="C75" s="14" t="n"/>
      <c r="D75" s="15">
        <f>IF($C75="","",IFERROR(INDEX(rngCadetPIDs,MATCH($C75,rngCadetNames,0)),"?"))</f>
        <v/>
      </c>
      <c r="E75" s="15">
        <f>IF($D75="","",IFERROR(INDEX(nrCadetAgency,MATCH($D75,rngCadetPIDs,0)),""))</f>
        <v/>
      </c>
      <c r="F75" s="14" t="n"/>
      <c r="G75" s="15">
        <f>IF($F75="","",IFERROR(INDEX(rngEPname,MATCH($F75,rngEPcode,0)),"?"))</f>
        <v/>
      </c>
      <c r="H75" s="15">
        <f>IF($F75="","",IFERROR(INDEX(rngEPtype,MATCH($F75,rngEPcode,0)),"?"))</f>
        <v/>
      </c>
      <c r="I75" s="15">
        <f>IF($F75="","",IFERROR(INDEX(rngEPseq,MATCH($F75,rngEPcode,0)),""))</f>
        <v/>
      </c>
      <c r="J75" s="15">
        <f>IF($F75="","",IFERROR(INDEX(rngEPpass,MATCH($F75,rngEPcode,0)),cfgPassingScore))</f>
        <v/>
      </c>
      <c r="K75" s="14" t="n"/>
      <c r="L75" s="14" t="n"/>
      <c r="M75" s="15">
        <f>IF($C75="","",IF($L75="","",IF($K75=1,IF(COUNTIFS(nrES_PID,$D75,nrES_Code,$F75,nrES_Att,2)&gt;0,"",$L75),IF(COUNTIFS(nrES_PID,$D75,nrES_Code,$F75,nrES_Att,1)=0,$L75,IF($L75&gt;=$J75,cfgRetakeRecordedCap,SUMIFS(nrES_Raw,nrES_PID,$D75,nrES_Code,$F75,nrES_Att,1))))))</f>
        <v/>
      </c>
      <c r="N75" s="15">
        <f>IF($C75="","",IF($L75="","",IF($L75&gt;=$J75,"Yes","No")))</f>
        <v/>
      </c>
      <c r="O75" s="15">
        <f>IF($C75="","",IF($M75="","",IF($M75&gt;=$J75,"Yes","No")))</f>
        <v/>
      </c>
      <c r="P75" s="15">
        <f>IF($C75="","",IF($K75="","",IF(COUNTIFS(nrES_PID,$D75,nrES_Code,$F75,nrES_Att,"&gt;"&amp;$K75)=0,"Yes","No")))</f>
        <v/>
      </c>
      <c r="Q75" s="15">
        <f>IF($C75="","",IF($L75="","",IF(AND($K75=1,$L75&lt;$J75,COUNTIFS(nrES_PID,$D75,nrES_Code,$F75,nrES_Att,2)=0),"Yes","No")))</f>
        <v/>
      </c>
      <c r="R75" s="15">
        <f>IF($C75="","",IF($L75="","",IF(AND($K75=2,$L75&lt;$J75,COUNTIFS(nrES_PID,$D75,nrES_Code,$F75,nrES_Att,1)&gt;0),"Yes","No")))</f>
        <v/>
      </c>
      <c r="S75" s="16" t="n"/>
      <c r="T75" s="17">
        <f>IF($Q75&lt;&gt;"Yes","",IF($S75="","(enter date)",_xlfn.LET(_xlpm.dn,IFERROR(_xlfn.XLOOKUP($S75,nrCDdate,nrCDnum),""),IF(_xlpm.dn="","(not a class day)",IFERROR(_xlfn.XLOOKUP(_xlpm.dn+cfgRetestClassDays,nrCDnum,nrCDdate),"")))))</f>
        <v/>
      </c>
      <c r="U75" s="15">
        <f>IF($Q75&lt;&gt;"Yes","",IF(COUNTIFS(nrES_PID,$D75,nrES_Code,$F75,nrES_Att,2)&gt;0,"Retested",IF(OR($T75="",NOT(ISNUMBER($T75))),"Pending",IF(TODAY()&gt;$T75,"OVERDUE","Due "&amp;TEXT($T75,"mm/dd")))))</f>
        <v/>
      </c>
      <c r="V75" s="14" t="n"/>
      <c r="W75" s="14" t="n"/>
    </row>
    <row r="76">
      <c r="B76" s="15">
        <f>IF($C76="","",$D76&amp;"-"&amp;$F76&amp;"-"&amp;$K76)</f>
        <v/>
      </c>
      <c r="C76" s="14" t="n"/>
      <c r="D76" s="15">
        <f>IF($C76="","",IFERROR(INDEX(rngCadetPIDs,MATCH($C76,rngCadetNames,0)),"?"))</f>
        <v/>
      </c>
      <c r="E76" s="15">
        <f>IF($D76="","",IFERROR(INDEX(nrCadetAgency,MATCH($D76,rngCadetPIDs,0)),""))</f>
        <v/>
      </c>
      <c r="F76" s="14" t="n"/>
      <c r="G76" s="15">
        <f>IF($F76="","",IFERROR(INDEX(rngEPname,MATCH($F76,rngEPcode,0)),"?"))</f>
        <v/>
      </c>
      <c r="H76" s="15">
        <f>IF($F76="","",IFERROR(INDEX(rngEPtype,MATCH($F76,rngEPcode,0)),"?"))</f>
        <v/>
      </c>
      <c r="I76" s="15">
        <f>IF($F76="","",IFERROR(INDEX(rngEPseq,MATCH($F76,rngEPcode,0)),""))</f>
        <v/>
      </c>
      <c r="J76" s="15">
        <f>IF($F76="","",IFERROR(INDEX(rngEPpass,MATCH($F76,rngEPcode,0)),cfgPassingScore))</f>
        <v/>
      </c>
      <c r="K76" s="14" t="n"/>
      <c r="L76" s="14" t="n"/>
      <c r="M76" s="15">
        <f>IF($C76="","",IF($L76="","",IF($K76=1,IF(COUNTIFS(nrES_PID,$D76,nrES_Code,$F76,nrES_Att,2)&gt;0,"",$L76),IF(COUNTIFS(nrES_PID,$D76,nrES_Code,$F76,nrES_Att,1)=0,$L76,IF($L76&gt;=$J76,cfgRetakeRecordedCap,SUMIFS(nrES_Raw,nrES_PID,$D76,nrES_Code,$F76,nrES_Att,1))))))</f>
        <v/>
      </c>
      <c r="N76" s="15">
        <f>IF($C76="","",IF($L76="","",IF($L76&gt;=$J76,"Yes","No")))</f>
        <v/>
      </c>
      <c r="O76" s="15">
        <f>IF($C76="","",IF($M76="","",IF($M76&gt;=$J76,"Yes","No")))</f>
        <v/>
      </c>
      <c r="P76" s="15">
        <f>IF($C76="","",IF($K76="","",IF(COUNTIFS(nrES_PID,$D76,nrES_Code,$F76,nrES_Att,"&gt;"&amp;$K76)=0,"Yes","No")))</f>
        <v/>
      </c>
      <c r="Q76" s="15">
        <f>IF($C76="","",IF($L76="","",IF(AND($K76=1,$L76&lt;$J76,COUNTIFS(nrES_PID,$D76,nrES_Code,$F76,nrES_Att,2)=0),"Yes","No")))</f>
        <v/>
      </c>
      <c r="R76" s="15">
        <f>IF($C76="","",IF($L76="","",IF(AND($K76=2,$L76&lt;$J76,COUNTIFS(nrES_PID,$D76,nrES_Code,$F76,nrES_Att,1)&gt;0),"Yes","No")))</f>
        <v/>
      </c>
      <c r="S76" s="16" t="n"/>
      <c r="T76" s="17">
        <f>IF($Q76&lt;&gt;"Yes","",IF($S76="","(enter date)",_xlfn.LET(_xlpm.dn,IFERROR(_xlfn.XLOOKUP($S76,nrCDdate,nrCDnum),""),IF(_xlpm.dn="","(not a class day)",IFERROR(_xlfn.XLOOKUP(_xlpm.dn+cfgRetestClassDays,nrCDnum,nrCDdate),"")))))</f>
        <v/>
      </c>
      <c r="U76" s="15">
        <f>IF($Q76&lt;&gt;"Yes","",IF(COUNTIFS(nrES_PID,$D76,nrES_Code,$F76,nrES_Att,2)&gt;0,"Retested",IF(OR($T76="",NOT(ISNUMBER($T76))),"Pending",IF(TODAY()&gt;$T76,"OVERDUE","Due "&amp;TEXT($T76,"mm/dd")))))</f>
        <v/>
      </c>
      <c r="V76" s="14" t="n"/>
      <c r="W76" s="14" t="n"/>
    </row>
    <row r="77">
      <c r="B77" s="15">
        <f>IF($C77="","",$D77&amp;"-"&amp;$F77&amp;"-"&amp;$K77)</f>
        <v/>
      </c>
      <c r="C77" s="14" t="n"/>
      <c r="D77" s="15">
        <f>IF($C77="","",IFERROR(INDEX(rngCadetPIDs,MATCH($C77,rngCadetNames,0)),"?"))</f>
        <v/>
      </c>
      <c r="E77" s="15">
        <f>IF($D77="","",IFERROR(INDEX(nrCadetAgency,MATCH($D77,rngCadetPIDs,0)),""))</f>
        <v/>
      </c>
      <c r="F77" s="14" t="n"/>
      <c r="G77" s="15">
        <f>IF($F77="","",IFERROR(INDEX(rngEPname,MATCH($F77,rngEPcode,0)),"?"))</f>
        <v/>
      </c>
      <c r="H77" s="15">
        <f>IF($F77="","",IFERROR(INDEX(rngEPtype,MATCH($F77,rngEPcode,0)),"?"))</f>
        <v/>
      </c>
      <c r="I77" s="15">
        <f>IF($F77="","",IFERROR(INDEX(rngEPseq,MATCH($F77,rngEPcode,0)),""))</f>
        <v/>
      </c>
      <c r="J77" s="15">
        <f>IF($F77="","",IFERROR(INDEX(rngEPpass,MATCH($F77,rngEPcode,0)),cfgPassingScore))</f>
        <v/>
      </c>
      <c r="K77" s="14" t="n"/>
      <c r="L77" s="14" t="n"/>
      <c r="M77" s="15">
        <f>IF($C77="","",IF($L77="","",IF($K77=1,IF(COUNTIFS(nrES_PID,$D77,nrES_Code,$F77,nrES_Att,2)&gt;0,"",$L77),IF(COUNTIFS(nrES_PID,$D77,nrES_Code,$F77,nrES_Att,1)=0,$L77,IF($L77&gt;=$J77,cfgRetakeRecordedCap,SUMIFS(nrES_Raw,nrES_PID,$D77,nrES_Code,$F77,nrES_Att,1))))))</f>
        <v/>
      </c>
      <c r="N77" s="15">
        <f>IF($C77="","",IF($L77="","",IF($L77&gt;=$J77,"Yes","No")))</f>
        <v/>
      </c>
      <c r="O77" s="15">
        <f>IF($C77="","",IF($M77="","",IF($M77&gt;=$J77,"Yes","No")))</f>
        <v/>
      </c>
      <c r="P77" s="15">
        <f>IF($C77="","",IF($K77="","",IF(COUNTIFS(nrES_PID,$D77,nrES_Code,$F77,nrES_Att,"&gt;"&amp;$K77)=0,"Yes","No")))</f>
        <v/>
      </c>
      <c r="Q77" s="15">
        <f>IF($C77="","",IF($L77="","",IF(AND($K77=1,$L77&lt;$J77,COUNTIFS(nrES_PID,$D77,nrES_Code,$F77,nrES_Att,2)=0),"Yes","No")))</f>
        <v/>
      </c>
      <c r="R77" s="15">
        <f>IF($C77="","",IF($L77="","",IF(AND($K77=2,$L77&lt;$J77,COUNTIFS(nrES_PID,$D77,nrES_Code,$F77,nrES_Att,1)&gt;0),"Yes","No")))</f>
        <v/>
      </c>
      <c r="S77" s="16" t="n"/>
      <c r="T77" s="17">
        <f>IF($Q77&lt;&gt;"Yes","",IF($S77="","(enter date)",_xlfn.LET(_xlpm.dn,IFERROR(_xlfn.XLOOKUP($S77,nrCDdate,nrCDnum),""),IF(_xlpm.dn="","(not a class day)",IFERROR(_xlfn.XLOOKUP(_xlpm.dn+cfgRetestClassDays,nrCDnum,nrCDdate),"")))))</f>
        <v/>
      </c>
      <c r="U77" s="15">
        <f>IF($Q77&lt;&gt;"Yes","",IF(COUNTIFS(nrES_PID,$D77,nrES_Code,$F77,nrES_Att,2)&gt;0,"Retested",IF(OR($T77="",NOT(ISNUMBER($T77))),"Pending",IF(TODAY()&gt;$T77,"OVERDUE","Due "&amp;TEXT($T77,"mm/dd")))))</f>
        <v/>
      </c>
      <c r="V77" s="14" t="n"/>
      <c r="W77" s="14" t="n"/>
    </row>
    <row r="78">
      <c r="B78" s="15">
        <f>IF($C78="","",$D78&amp;"-"&amp;$F78&amp;"-"&amp;$K78)</f>
        <v/>
      </c>
      <c r="C78" s="14" t="n"/>
      <c r="D78" s="15">
        <f>IF($C78="","",IFERROR(INDEX(rngCadetPIDs,MATCH($C78,rngCadetNames,0)),"?"))</f>
        <v/>
      </c>
      <c r="E78" s="15">
        <f>IF($D78="","",IFERROR(INDEX(nrCadetAgency,MATCH($D78,rngCadetPIDs,0)),""))</f>
        <v/>
      </c>
      <c r="F78" s="14" t="n"/>
      <c r="G78" s="15">
        <f>IF($F78="","",IFERROR(INDEX(rngEPname,MATCH($F78,rngEPcode,0)),"?"))</f>
        <v/>
      </c>
      <c r="H78" s="15">
        <f>IF($F78="","",IFERROR(INDEX(rngEPtype,MATCH($F78,rngEPcode,0)),"?"))</f>
        <v/>
      </c>
      <c r="I78" s="15">
        <f>IF($F78="","",IFERROR(INDEX(rngEPseq,MATCH($F78,rngEPcode,0)),""))</f>
        <v/>
      </c>
      <c r="J78" s="15">
        <f>IF($F78="","",IFERROR(INDEX(rngEPpass,MATCH($F78,rngEPcode,0)),cfgPassingScore))</f>
        <v/>
      </c>
      <c r="K78" s="14" t="n"/>
      <c r="L78" s="14" t="n"/>
      <c r="M78" s="15">
        <f>IF($C78="","",IF($L78="","",IF($K78=1,IF(COUNTIFS(nrES_PID,$D78,nrES_Code,$F78,nrES_Att,2)&gt;0,"",$L78),IF(COUNTIFS(nrES_PID,$D78,nrES_Code,$F78,nrES_Att,1)=0,$L78,IF($L78&gt;=$J78,cfgRetakeRecordedCap,SUMIFS(nrES_Raw,nrES_PID,$D78,nrES_Code,$F78,nrES_Att,1))))))</f>
        <v/>
      </c>
      <c r="N78" s="15">
        <f>IF($C78="","",IF($L78="","",IF($L78&gt;=$J78,"Yes","No")))</f>
        <v/>
      </c>
      <c r="O78" s="15">
        <f>IF($C78="","",IF($M78="","",IF($M78&gt;=$J78,"Yes","No")))</f>
        <v/>
      </c>
      <c r="P78" s="15">
        <f>IF($C78="","",IF($K78="","",IF(COUNTIFS(nrES_PID,$D78,nrES_Code,$F78,nrES_Att,"&gt;"&amp;$K78)=0,"Yes","No")))</f>
        <v/>
      </c>
      <c r="Q78" s="15">
        <f>IF($C78="","",IF($L78="","",IF(AND($K78=1,$L78&lt;$J78,COUNTIFS(nrES_PID,$D78,nrES_Code,$F78,nrES_Att,2)=0),"Yes","No")))</f>
        <v/>
      </c>
      <c r="R78" s="15">
        <f>IF($C78="","",IF($L78="","",IF(AND($K78=2,$L78&lt;$J78,COUNTIFS(nrES_PID,$D78,nrES_Code,$F78,nrES_Att,1)&gt;0),"Yes","No")))</f>
        <v/>
      </c>
      <c r="S78" s="16" t="n"/>
      <c r="T78" s="17">
        <f>IF($Q78&lt;&gt;"Yes","",IF($S78="","(enter date)",_xlfn.LET(_xlpm.dn,IFERROR(_xlfn.XLOOKUP($S78,nrCDdate,nrCDnum),""),IF(_xlpm.dn="","(not a class day)",IFERROR(_xlfn.XLOOKUP(_xlpm.dn+cfgRetestClassDays,nrCDnum,nrCDdate),"")))))</f>
        <v/>
      </c>
      <c r="U78" s="15">
        <f>IF($Q78&lt;&gt;"Yes","",IF(COUNTIFS(nrES_PID,$D78,nrES_Code,$F78,nrES_Att,2)&gt;0,"Retested",IF(OR($T78="",NOT(ISNUMBER($T78))),"Pending",IF(TODAY()&gt;$T78,"OVERDUE","Due "&amp;TEXT($T78,"mm/dd")))))</f>
        <v/>
      </c>
      <c r="V78" s="14" t="n"/>
      <c r="W78" s="14" t="n"/>
    </row>
    <row r="79">
      <c r="B79" s="15">
        <f>IF($C79="","",$D79&amp;"-"&amp;$F79&amp;"-"&amp;$K79)</f>
        <v/>
      </c>
      <c r="C79" s="14" t="n"/>
      <c r="D79" s="15">
        <f>IF($C79="","",IFERROR(INDEX(rngCadetPIDs,MATCH($C79,rngCadetNames,0)),"?"))</f>
        <v/>
      </c>
      <c r="E79" s="15">
        <f>IF($D79="","",IFERROR(INDEX(nrCadetAgency,MATCH($D79,rngCadetPIDs,0)),""))</f>
        <v/>
      </c>
      <c r="F79" s="14" t="n"/>
      <c r="G79" s="15">
        <f>IF($F79="","",IFERROR(INDEX(rngEPname,MATCH($F79,rngEPcode,0)),"?"))</f>
        <v/>
      </c>
      <c r="H79" s="15">
        <f>IF($F79="","",IFERROR(INDEX(rngEPtype,MATCH($F79,rngEPcode,0)),"?"))</f>
        <v/>
      </c>
      <c r="I79" s="15">
        <f>IF($F79="","",IFERROR(INDEX(rngEPseq,MATCH($F79,rngEPcode,0)),""))</f>
        <v/>
      </c>
      <c r="J79" s="15">
        <f>IF($F79="","",IFERROR(INDEX(rngEPpass,MATCH($F79,rngEPcode,0)),cfgPassingScore))</f>
        <v/>
      </c>
      <c r="K79" s="14" t="n"/>
      <c r="L79" s="14" t="n"/>
      <c r="M79" s="15">
        <f>IF($C79="","",IF($L79="","",IF($K79=1,IF(COUNTIFS(nrES_PID,$D79,nrES_Code,$F79,nrES_Att,2)&gt;0,"",$L79),IF(COUNTIFS(nrES_PID,$D79,nrES_Code,$F79,nrES_Att,1)=0,$L79,IF($L79&gt;=$J79,cfgRetakeRecordedCap,SUMIFS(nrES_Raw,nrES_PID,$D79,nrES_Code,$F79,nrES_Att,1))))))</f>
        <v/>
      </c>
      <c r="N79" s="15">
        <f>IF($C79="","",IF($L79="","",IF($L79&gt;=$J79,"Yes","No")))</f>
        <v/>
      </c>
      <c r="O79" s="15">
        <f>IF($C79="","",IF($M79="","",IF($M79&gt;=$J79,"Yes","No")))</f>
        <v/>
      </c>
      <c r="P79" s="15">
        <f>IF($C79="","",IF($K79="","",IF(COUNTIFS(nrES_PID,$D79,nrES_Code,$F79,nrES_Att,"&gt;"&amp;$K79)=0,"Yes","No")))</f>
        <v/>
      </c>
      <c r="Q79" s="15">
        <f>IF($C79="","",IF($L79="","",IF(AND($K79=1,$L79&lt;$J79,COUNTIFS(nrES_PID,$D79,nrES_Code,$F79,nrES_Att,2)=0),"Yes","No")))</f>
        <v/>
      </c>
      <c r="R79" s="15">
        <f>IF($C79="","",IF($L79="","",IF(AND($K79=2,$L79&lt;$J79,COUNTIFS(nrES_PID,$D79,nrES_Code,$F79,nrES_Att,1)&gt;0),"Yes","No")))</f>
        <v/>
      </c>
      <c r="S79" s="16" t="n"/>
      <c r="T79" s="17">
        <f>IF($Q79&lt;&gt;"Yes","",IF($S79="","(enter date)",_xlfn.LET(_xlpm.dn,IFERROR(_xlfn.XLOOKUP($S79,nrCDdate,nrCDnum),""),IF(_xlpm.dn="","(not a class day)",IFERROR(_xlfn.XLOOKUP(_xlpm.dn+cfgRetestClassDays,nrCDnum,nrCDdate),"")))))</f>
        <v/>
      </c>
      <c r="U79" s="15">
        <f>IF($Q79&lt;&gt;"Yes","",IF(COUNTIFS(nrES_PID,$D79,nrES_Code,$F79,nrES_Att,2)&gt;0,"Retested",IF(OR($T79="",NOT(ISNUMBER($T79))),"Pending",IF(TODAY()&gt;$T79,"OVERDUE","Due "&amp;TEXT($T79,"mm/dd")))))</f>
        <v/>
      </c>
      <c r="V79" s="14" t="n"/>
      <c r="W79" s="14" t="n"/>
    </row>
    <row r="80">
      <c r="B80" s="15">
        <f>IF($C80="","",$D80&amp;"-"&amp;$F80&amp;"-"&amp;$K80)</f>
        <v/>
      </c>
      <c r="C80" s="14" t="n"/>
      <c r="D80" s="15">
        <f>IF($C80="","",IFERROR(INDEX(rngCadetPIDs,MATCH($C80,rngCadetNames,0)),"?"))</f>
        <v/>
      </c>
      <c r="E80" s="15">
        <f>IF($D80="","",IFERROR(INDEX(nrCadetAgency,MATCH($D80,rngCadetPIDs,0)),""))</f>
        <v/>
      </c>
      <c r="F80" s="14" t="n"/>
      <c r="G80" s="15">
        <f>IF($F80="","",IFERROR(INDEX(rngEPname,MATCH($F80,rngEPcode,0)),"?"))</f>
        <v/>
      </c>
      <c r="H80" s="15">
        <f>IF($F80="","",IFERROR(INDEX(rngEPtype,MATCH($F80,rngEPcode,0)),"?"))</f>
        <v/>
      </c>
      <c r="I80" s="15">
        <f>IF($F80="","",IFERROR(INDEX(rngEPseq,MATCH($F80,rngEPcode,0)),""))</f>
        <v/>
      </c>
      <c r="J80" s="15">
        <f>IF($F80="","",IFERROR(INDEX(rngEPpass,MATCH($F80,rngEPcode,0)),cfgPassingScore))</f>
        <v/>
      </c>
      <c r="K80" s="14" t="n"/>
      <c r="L80" s="14" t="n"/>
      <c r="M80" s="15">
        <f>IF($C80="","",IF($L80="","",IF($K80=1,IF(COUNTIFS(nrES_PID,$D80,nrES_Code,$F80,nrES_Att,2)&gt;0,"",$L80),IF(COUNTIFS(nrES_PID,$D80,nrES_Code,$F80,nrES_Att,1)=0,$L80,IF($L80&gt;=$J80,cfgRetakeRecordedCap,SUMIFS(nrES_Raw,nrES_PID,$D80,nrES_Code,$F80,nrES_Att,1))))))</f>
        <v/>
      </c>
      <c r="N80" s="15">
        <f>IF($C80="","",IF($L80="","",IF($L80&gt;=$J80,"Yes","No")))</f>
        <v/>
      </c>
      <c r="O80" s="15">
        <f>IF($C80="","",IF($M80="","",IF($M80&gt;=$J80,"Yes","No")))</f>
        <v/>
      </c>
      <c r="P80" s="15">
        <f>IF($C80="","",IF($K80="","",IF(COUNTIFS(nrES_PID,$D80,nrES_Code,$F80,nrES_Att,"&gt;"&amp;$K80)=0,"Yes","No")))</f>
        <v/>
      </c>
      <c r="Q80" s="15">
        <f>IF($C80="","",IF($L80="","",IF(AND($K80=1,$L80&lt;$J80,COUNTIFS(nrES_PID,$D80,nrES_Code,$F80,nrES_Att,2)=0),"Yes","No")))</f>
        <v/>
      </c>
      <c r="R80" s="15">
        <f>IF($C80="","",IF($L80="","",IF(AND($K80=2,$L80&lt;$J80,COUNTIFS(nrES_PID,$D80,nrES_Code,$F80,nrES_Att,1)&gt;0),"Yes","No")))</f>
        <v/>
      </c>
      <c r="S80" s="16" t="n"/>
      <c r="T80" s="17">
        <f>IF($Q80&lt;&gt;"Yes","",IF($S80="","(enter date)",_xlfn.LET(_xlpm.dn,IFERROR(_xlfn.XLOOKUP($S80,nrCDdate,nrCDnum),""),IF(_xlpm.dn="","(not a class day)",IFERROR(_xlfn.XLOOKUP(_xlpm.dn+cfgRetestClassDays,nrCDnum,nrCDdate),"")))))</f>
        <v/>
      </c>
      <c r="U80" s="15">
        <f>IF($Q80&lt;&gt;"Yes","",IF(COUNTIFS(nrES_PID,$D80,nrES_Code,$F80,nrES_Att,2)&gt;0,"Retested",IF(OR($T80="",NOT(ISNUMBER($T80))),"Pending",IF(TODAY()&gt;$T80,"OVERDUE","Due "&amp;TEXT($T80,"mm/dd")))))</f>
        <v/>
      </c>
      <c r="V80" s="14" t="n"/>
      <c r="W80" s="14" t="n"/>
    </row>
    <row r="81">
      <c r="B81" s="15">
        <f>IF($C81="","",$D81&amp;"-"&amp;$F81&amp;"-"&amp;$K81)</f>
        <v/>
      </c>
      <c r="C81" s="14" t="n"/>
      <c r="D81" s="15">
        <f>IF($C81="","",IFERROR(INDEX(rngCadetPIDs,MATCH($C81,rngCadetNames,0)),"?"))</f>
        <v/>
      </c>
      <c r="E81" s="15">
        <f>IF($D81="","",IFERROR(INDEX(nrCadetAgency,MATCH($D81,rngCadetPIDs,0)),""))</f>
        <v/>
      </c>
      <c r="F81" s="14" t="n"/>
      <c r="G81" s="15">
        <f>IF($F81="","",IFERROR(INDEX(rngEPname,MATCH($F81,rngEPcode,0)),"?"))</f>
        <v/>
      </c>
      <c r="H81" s="15">
        <f>IF($F81="","",IFERROR(INDEX(rngEPtype,MATCH($F81,rngEPcode,0)),"?"))</f>
        <v/>
      </c>
      <c r="I81" s="15">
        <f>IF($F81="","",IFERROR(INDEX(rngEPseq,MATCH($F81,rngEPcode,0)),""))</f>
        <v/>
      </c>
      <c r="J81" s="15">
        <f>IF($F81="","",IFERROR(INDEX(rngEPpass,MATCH($F81,rngEPcode,0)),cfgPassingScore))</f>
        <v/>
      </c>
      <c r="K81" s="14" t="n"/>
      <c r="L81" s="14" t="n"/>
      <c r="M81" s="15">
        <f>IF($C81="","",IF($L81="","",IF($K81=1,IF(COUNTIFS(nrES_PID,$D81,nrES_Code,$F81,nrES_Att,2)&gt;0,"",$L81),IF(COUNTIFS(nrES_PID,$D81,nrES_Code,$F81,nrES_Att,1)=0,$L81,IF($L81&gt;=$J81,cfgRetakeRecordedCap,SUMIFS(nrES_Raw,nrES_PID,$D81,nrES_Code,$F81,nrES_Att,1))))))</f>
        <v/>
      </c>
      <c r="N81" s="15">
        <f>IF($C81="","",IF($L81="","",IF($L81&gt;=$J81,"Yes","No")))</f>
        <v/>
      </c>
      <c r="O81" s="15">
        <f>IF($C81="","",IF($M81="","",IF($M81&gt;=$J81,"Yes","No")))</f>
        <v/>
      </c>
      <c r="P81" s="15">
        <f>IF($C81="","",IF($K81="","",IF(COUNTIFS(nrES_PID,$D81,nrES_Code,$F81,nrES_Att,"&gt;"&amp;$K81)=0,"Yes","No")))</f>
        <v/>
      </c>
      <c r="Q81" s="15">
        <f>IF($C81="","",IF($L81="","",IF(AND($K81=1,$L81&lt;$J81,COUNTIFS(nrES_PID,$D81,nrES_Code,$F81,nrES_Att,2)=0),"Yes","No")))</f>
        <v/>
      </c>
      <c r="R81" s="15">
        <f>IF($C81="","",IF($L81="","",IF(AND($K81=2,$L81&lt;$J81,COUNTIFS(nrES_PID,$D81,nrES_Code,$F81,nrES_Att,1)&gt;0),"Yes","No")))</f>
        <v/>
      </c>
      <c r="S81" s="16" t="n"/>
      <c r="T81" s="17">
        <f>IF($Q81&lt;&gt;"Yes","",IF($S81="","(enter date)",_xlfn.LET(_xlpm.dn,IFERROR(_xlfn.XLOOKUP($S81,nrCDdate,nrCDnum),""),IF(_xlpm.dn="","(not a class day)",IFERROR(_xlfn.XLOOKUP(_xlpm.dn+cfgRetestClassDays,nrCDnum,nrCDdate),"")))))</f>
        <v/>
      </c>
      <c r="U81" s="15">
        <f>IF($Q81&lt;&gt;"Yes","",IF(COUNTIFS(nrES_PID,$D81,nrES_Code,$F81,nrES_Att,2)&gt;0,"Retested",IF(OR($T81="",NOT(ISNUMBER($T81))),"Pending",IF(TODAY()&gt;$T81,"OVERDUE","Due "&amp;TEXT($T81,"mm/dd")))))</f>
        <v/>
      </c>
      <c r="V81" s="14" t="n"/>
      <c r="W81" s="14" t="n"/>
    </row>
    <row r="82">
      <c r="B82" s="15">
        <f>IF($C82="","",$D82&amp;"-"&amp;$F82&amp;"-"&amp;$K82)</f>
        <v/>
      </c>
      <c r="C82" s="14" t="n"/>
      <c r="D82" s="15">
        <f>IF($C82="","",IFERROR(INDEX(rngCadetPIDs,MATCH($C82,rngCadetNames,0)),"?"))</f>
        <v/>
      </c>
      <c r="E82" s="15">
        <f>IF($D82="","",IFERROR(INDEX(nrCadetAgency,MATCH($D82,rngCadetPIDs,0)),""))</f>
        <v/>
      </c>
      <c r="F82" s="14" t="n"/>
      <c r="G82" s="15">
        <f>IF($F82="","",IFERROR(INDEX(rngEPname,MATCH($F82,rngEPcode,0)),"?"))</f>
        <v/>
      </c>
      <c r="H82" s="15">
        <f>IF($F82="","",IFERROR(INDEX(rngEPtype,MATCH($F82,rngEPcode,0)),"?"))</f>
        <v/>
      </c>
      <c r="I82" s="15">
        <f>IF($F82="","",IFERROR(INDEX(rngEPseq,MATCH($F82,rngEPcode,0)),""))</f>
        <v/>
      </c>
      <c r="J82" s="15">
        <f>IF($F82="","",IFERROR(INDEX(rngEPpass,MATCH($F82,rngEPcode,0)),cfgPassingScore))</f>
        <v/>
      </c>
      <c r="K82" s="14" t="n"/>
      <c r="L82" s="14" t="n"/>
      <c r="M82" s="15">
        <f>IF($C82="","",IF($L82="","",IF($K82=1,IF(COUNTIFS(nrES_PID,$D82,nrES_Code,$F82,nrES_Att,2)&gt;0,"",$L82),IF(COUNTIFS(nrES_PID,$D82,nrES_Code,$F82,nrES_Att,1)=0,$L82,IF($L82&gt;=$J82,cfgRetakeRecordedCap,SUMIFS(nrES_Raw,nrES_PID,$D82,nrES_Code,$F82,nrES_Att,1))))))</f>
        <v/>
      </c>
      <c r="N82" s="15">
        <f>IF($C82="","",IF($L82="","",IF($L82&gt;=$J82,"Yes","No")))</f>
        <v/>
      </c>
      <c r="O82" s="15">
        <f>IF($C82="","",IF($M82="","",IF($M82&gt;=$J82,"Yes","No")))</f>
        <v/>
      </c>
      <c r="P82" s="15">
        <f>IF($C82="","",IF($K82="","",IF(COUNTIFS(nrES_PID,$D82,nrES_Code,$F82,nrES_Att,"&gt;"&amp;$K82)=0,"Yes","No")))</f>
        <v/>
      </c>
      <c r="Q82" s="15">
        <f>IF($C82="","",IF($L82="","",IF(AND($K82=1,$L82&lt;$J82,COUNTIFS(nrES_PID,$D82,nrES_Code,$F82,nrES_Att,2)=0),"Yes","No")))</f>
        <v/>
      </c>
      <c r="R82" s="15">
        <f>IF($C82="","",IF($L82="","",IF(AND($K82=2,$L82&lt;$J82,COUNTIFS(nrES_PID,$D82,nrES_Code,$F82,nrES_Att,1)&gt;0),"Yes","No")))</f>
        <v/>
      </c>
      <c r="S82" s="16" t="n"/>
      <c r="T82" s="17">
        <f>IF($Q82&lt;&gt;"Yes","",IF($S82="","(enter date)",_xlfn.LET(_xlpm.dn,IFERROR(_xlfn.XLOOKUP($S82,nrCDdate,nrCDnum),""),IF(_xlpm.dn="","(not a class day)",IFERROR(_xlfn.XLOOKUP(_xlpm.dn+cfgRetestClassDays,nrCDnum,nrCDdate),"")))))</f>
        <v/>
      </c>
      <c r="U82" s="15">
        <f>IF($Q82&lt;&gt;"Yes","",IF(COUNTIFS(nrES_PID,$D82,nrES_Code,$F82,nrES_Att,2)&gt;0,"Retested",IF(OR($T82="",NOT(ISNUMBER($T82))),"Pending",IF(TODAY()&gt;$T82,"OVERDUE","Due "&amp;TEXT($T82,"mm/dd")))))</f>
        <v/>
      </c>
      <c r="V82" s="14" t="n"/>
      <c r="W82" s="14" t="n"/>
    </row>
    <row r="83">
      <c r="B83" s="15">
        <f>IF($C83="","",$D83&amp;"-"&amp;$F83&amp;"-"&amp;$K83)</f>
        <v/>
      </c>
      <c r="C83" s="14" t="n"/>
      <c r="D83" s="15">
        <f>IF($C83="","",IFERROR(INDEX(rngCadetPIDs,MATCH($C83,rngCadetNames,0)),"?"))</f>
        <v/>
      </c>
      <c r="E83" s="15">
        <f>IF($D83="","",IFERROR(INDEX(nrCadetAgency,MATCH($D83,rngCadetPIDs,0)),""))</f>
        <v/>
      </c>
      <c r="F83" s="14" t="n"/>
      <c r="G83" s="15">
        <f>IF($F83="","",IFERROR(INDEX(rngEPname,MATCH($F83,rngEPcode,0)),"?"))</f>
        <v/>
      </c>
      <c r="H83" s="15">
        <f>IF($F83="","",IFERROR(INDEX(rngEPtype,MATCH($F83,rngEPcode,0)),"?"))</f>
        <v/>
      </c>
      <c r="I83" s="15">
        <f>IF($F83="","",IFERROR(INDEX(rngEPseq,MATCH($F83,rngEPcode,0)),""))</f>
        <v/>
      </c>
      <c r="J83" s="15">
        <f>IF($F83="","",IFERROR(INDEX(rngEPpass,MATCH($F83,rngEPcode,0)),cfgPassingScore))</f>
        <v/>
      </c>
      <c r="K83" s="14" t="n"/>
      <c r="L83" s="14" t="n"/>
      <c r="M83" s="15">
        <f>IF($C83="","",IF($L83="","",IF($K83=1,IF(COUNTIFS(nrES_PID,$D83,nrES_Code,$F83,nrES_Att,2)&gt;0,"",$L83),IF(COUNTIFS(nrES_PID,$D83,nrES_Code,$F83,nrES_Att,1)=0,$L83,IF($L83&gt;=$J83,cfgRetakeRecordedCap,SUMIFS(nrES_Raw,nrES_PID,$D83,nrES_Code,$F83,nrES_Att,1))))))</f>
        <v/>
      </c>
      <c r="N83" s="15">
        <f>IF($C83="","",IF($L83="","",IF($L83&gt;=$J83,"Yes","No")))</f>
        <v/>
      </c>
      <c r="O83" s="15">
        <f>IF($C83="","",IF($M83="","",IF($M83&gt;=$J83,"Yes","No")))</f>
        <v/>
      </c>
      <c r="P83" s="15">
        <f>IF($C83="","",IF($K83="","",IF(COUNTIFS(nrES_PID,$D83,nrES_Code,$F83,nrES_Att,"&gt;"&amp;$K83)=0,"Yes","No")))</f>
        <v/>
      </c>
      <c r="Q83" s="15">
        <f>IF($C83="","",IF($L83="","",IF(AND($K83=1,$L83&lt;$J83,COUNTIFS(nrES_PID,$D83,nrES_Code,$F83,nrES_Att,2)=0),"Yes","No")))</f>
        <v/>
      </c>
      <c r="R83" s="15">
        <f>IF($C83="","",IF($L83="","",IF(AND($K83=2,$L83&lt;$J83,COUNTIFS(nrES_PID,$D83,nrES_Code,$F83,nrES_Att,1)&gt;0),"Yes","No")))</f>
        <v/>
      </c>
      <c r="S83" s="16" t="n"/>
      <c r="T83" s="17">
        <f>IF($Q83&lt;&gt;"Yes","",IF($S83="","(enter date)",_xlfn.LET(_xlpm.dn,IFERROR(_xlfn.XLOOKUP($S83,nrCDdate,nrCDnum),""),IF(_xlpm.dn="","(not a class day)",IFERROR(_xlfn.XLOOKUP(_xlpm.dn+cfgRetestClassDays,nrCDnum,nrCDdate),"")))))</f>
        <v/>
      </c>
      <c r="U83" s="15">
        <f>IF($Q83&lt;&gt;"Yes","",IF(COUNTIFS(nrES_PID,$D83,nrES_Code,$F83,nrES_Att,2)&gt;0,"Retested",IF(OR($T83="",NOT(ISNUMBER($T83))),"Pending",IF(TODAY()&gt;$T83,"OVERDUE","Due "&amp;TEXT($T83,"mm/dd")))))</f>
        <v/>
      </c>
      <c r="V83" s="14" t="n"/>
      <c r="W83" s="14" t="n"/>
    </row>
    <row r="84">
      <c r="B84" s="15">
        <f>IF($C84="","",$D84&amp;"-"&amp;$F84&amp;"-"&amp;$K84)</f>
        <v/>
      </c>
      <c r="C84" s="14" t="n"/>
      <c r="D84" s="15">
        <f>IF($C84="","",IFERROR(INDEX(rngCadetPIDs,MATCH($C84,rngCadetNames,0)),"?"))</f>
        <v/>
      </c>
      <c r="E84" s="15">
        <f>IF($D84="","",IFERROR(INDEX(nrCadetAgency,MATCH($D84,rngCadetPIDs,0)),""))</f>
        <v/>
      </c>
      <c r="F84" s="14" t="n"/>
      <c r="G84" s="15">
        <f>IF($F84="","",IFERROR(INDEX(rngEPname,MATCH($F84,rngEPcode,0)),"?"))</f>
        <v/>
      </c>
      <c r="H84" s="15">
        <f>IF($F84="","",IFERROR(INDEX(rngEPtype,MATCH($F84,rngEPcode,0)),"?"))</f>
        <v/>
      </c>
      <c r="I84" s="15">
        <f>IF($F84="","",IFERROR(INDEX(rngEPseq,MATCH($F84,rngEPcode,0)),""))</f>
        <v/>
      </c>
      <c r="J84" s="15">
        <f>IF($F84="","",IFERROR(INDEX(rngEPpass,MATCH($F84,rngEPcode,0)),cfgPassingScore))</f>
        <v/>
      </c>
      <c r="K84" s="14" t="n"/>
      <c r="L84" s="14" t="n"/>
      <c r="M84" s="15">
        <f>IF($C84="","",IF($L84="","",IF($K84=1,IF(COUNTIFS(nrES_PID,$D84,nrES_Code,$F84,nrES_Att,2)&gt;0,"",$L84),IF(COUNTIFS(nrES_PID,$D84,nrES_Code,$F84,nrES_Att,1)=0,$L84,IF($L84&gt;=$J84,cfgRetakeRecordedCap,SUMIFS(nrES_Raw,nrES_PID,$D84,nrES_Code,$F84,nrES_Att,1))))))</f>
        <v/>
      </c>
      <c r="N84" s="15">
        <f>IF($C84="","",IF($L84="","",IF($L84&gt;=$J84,"Yes","No")))</f>
        <v/>
      </c>
      <c r="O84" s="15">
        <f>IF($C84="","",IF($M84="","",IF($M84&gt;=$J84,"Yes","No")))</f>
        <v/>
      </c>
      <c r="P84" s="15">
        <f>IF($C84="","",IF($K84="","",IF(COUNTIFS(nrES_PID,$D84,nrES_Code,$F84,nrES_Att,"&gt;"&amp;$K84)=0,"Yes","No")))</f>
        <v/>
      </c>
      <c r="Q84" s="15">
        <f>IF($C84="","",IF($L84="","",IF(AND($K84=1,$L84&lt;$J84,COUNTIFS(nrES_PID,$D84,nrES_Code,$F84,nrES_Att,2)=0),"Yes","No")))</f>
        <v/>
      </c>
      <c r="R84" s="15">
        <f>IF($C84="","",IF($L84="","",IF(AND($K84=2,$L84&lt;$J84,COUNTIFS(nrES_PID,$D84,nrES_Code,$F84,nrES_Att,1)&gt;0),"Yes","No")))</f>
        <v/>
      </c>
      <c r="S84" s="16" t="n"/>
      <c r="T84" s="17">
        <f>IF($Q84&lt;&gt;"Yes","",IF($S84="","(enter date)",_xlfn.LET(_xlpm.dn,IFERROR(_xlfn.XLOOKUP($S84,nrCDdate,nrCDnum),""),IF(_xlpm.dn="","(not a class day)",IFERROR(_xlfn.XLOOKUP(_xlpm.dn+cfgRetestClassDays,nrCDnum,nrCDdate),"")))))</f>
        <v/>
      </c>
      <c r="U84" s="15">
        <f>IF($Q84&lt;&gt;"Yes","",IF(COUNTIFS(nrES_PID,$D84,nrES_Code,$F84,nrES_Att,2)&gt;0,"Retested",IF(OR($T84="",NOT(ISNUMBER($T84))),"Pending",IF(TODAY()&gt;$T84,"OVERDUE","Due "&amp;TEXT($T84,"mm/dd")))))</f>
        <v/>
      </c>
      <c r="V84" s="14" t="n"/>
      <c r="W84" s="14" t="n"/>
    </row>
    <row r="85">
      <c r="B85" s="15">
        <f>IF($C85="","",$D85&amp;"-"&amp;$F85&amp;"-"&amp;$K85)</f>
        <v/>
      </c>
      <c r="C85" s="14" t="n"/>
      <c r="D85" s="15">
        <f>IF($C85="","",IFERROR(INDEX(rngCadetPIDs,MATCH($C85,rngCadetNames,0)),"?"))</f>
        <v/>
      </c>
      <c r="E85" s="15">
        <f>IF($D85="","",IFERROR(INDEX(nrCadetAgency,MATCH($D85,rngCadetPIDs,0)),""))</f>
        <v/>
      </c>
      <c r="F85" s="14" t="n"/>
      <c r="G85" s="15">
        <f>IF($F85="","",IFERROR(INDEX(rngEPname,MATCH($F85,rngEPcode,0)),"?"))</f>
        <v/>
      </c>
      <c r="H85" s="15">
        <f>IF($F85="","",IFERROR(INDEX(rngEPtype,MATCH($F85,rngEPcode,0)),"?"))</f>
        <v/>
      </c>
      <c r="I85" s="15">
        <f>IF($F85="","",IFERROR(INDEX(rngEPseq,MATCH($F85,rngEPcode,0)),""))</f>
        <v/>
      </c>
      <c r="J85" s="15">
        <f>IF($F85="","",IFERROR(INDEX(rngEPpass,MATCH($F85,rngEPcode,0)),cfgPassingScore))</f>
        <v/>
      </c>
      <c r="K85" s="14" t="n"/>
      <c r="L85" s="14" t="n"/>
      <c r="M85" s="15">
        <f>IF($C85="","",IF($L85="","",IF($K85=1,IF(COUNTIFS(nrES_PID,$D85,nrES_Code,$F85,nrES_Att,2)&gt;0,"",$L85),IF(COUNTIFS(nrES_PID,$D85,nrES_Code,$F85,nrES_Att,1)=0,$L85,IF($L85&gt;=$J85,cfgRetakeRecordedCap,SUMIFS(nrES_Raw,nrES_PID,$D85,nrES_Code,$F85,nrES_Att,1))))))</f>
        <v/>
      </c>
      <c r="N85" s="15">
        <f>IF($C85="","",IF($L85="","",IF($L85&gt;=$J85,"Yes","No")))</f>
        <v/>
      </c>
      <c r="O85" s="15">
        <f>IF($C85="","",IF($M85="","",IF($M85&gt;=$J85,"Yes","No")))</f>
        <v/>
      </c>
      <c r="P85" s="15">
        <f>IF($C85="","",IF($K85="","",IF(COUNTIFS(nrES_PID,$D85,nrES_Code,$F85,nrES_Att,"&gt;"&amp;$K85)=0,"Yes","No")))</f>
        <v/>
      </c>
      <c r="Q85" s="15">
        <f>IF($C85="","",IF($L85="","",IF(AND($K85=1,$L85&lt;$J85,COUNTIFS(nrES_PID,$D85,nrES_Code,$F85,nrES_Att,2)=0),"Yes","No")))</f>
        <v/>
      </c>
      <c r="R85" s="15">
        <f>IF($C85="","",IF($L85="","",IF(AND($K85=2,$L85&lt;$J85,COUNTIFS(nrES_PID,$D85,nrES_Code,$F85,nrES_Att,1)&gt;0),"Yes","No")))</f>
        <v/>
      </c>
      <c r="S85" s="16" t="n"/>
      <c r="T85" s="17">
        <f>IF($Q85&lt;&gt;"Yes","",IF($S85="","(enter date)",_xlfn.LET(_xlpm.dn,IFERROR(_xlfn.XLOOKUP($S85,nrCDdate,nrCDnum),""),IF(_xlpm.dn="","(not a class day)",IFERROR(_xlfn.XLOOKUP(_xlpm.dn+cfgRetestClassDays,nrCDnum,nrCDdate),"")))))</f>
        <v/>
      </c>
      <c r="U85" s="15">
        <f>IF($Q85&lt;&gt;"Yes","",IF(COUNTIFS(nrES_PID,$D85,nrES_Code,$F85,nrES_Att,2)&gt;0,"Retested",IF(OR($T85="",NOT(ISNUMBER($T85))),"Pending",IF(TODAY()&gt;$T85,"OVERDUE","Due "&amp;TEXT($T85,"mm/dd")))))</f>
        <v/>
      </c>
      <c r="V85" s="14" t="n"/>
      <c r="W85" s="14" t="n"/>
    </row>
    <row r="86">
      <c r="B86" s="15">
        <f>IF($C86="","",$D86&amp;"-"&amp;$F86&amp;"-"&amp;$K86)</f>
        <v/>
      </c>
      <c r="C86" s="14" t="n"/>
      <c r="D86" s="15">
        <f>IF($C86="","",IFERROR(INDEX(rngCadetPIDs,MATCH($C86,rngCadetNames,0)),"?"))</f>
        <v/>
      </c>
      <c r="E86" s="15">
        <f>IF($D86="","",IFERROR(INDEX(nrCadetAgency,MATCH($D86,rngCadetPIDs,0)),""))</f>
        <v/>
      </c>
      <c r="F86" s="14" t="n"/>
      <c r="G86" s="15">
        <f>IF($F86="","",IFERROR(INDEX(rngEPname,MATCH($F86,rngEPcode,0)),"?"))</f>
        <v/>
      </c>
      <c r="H86" s="15">
        <f>IF($F86="","",IFERROR(INDEX(rngEPtype,MATCH($F86,rngEPcode,0)),"?"))</f>
        <v/>
      </c>
      <c r="I86" s="15">
        <f>IF($F86="","",IFERROR(INDEX(rngEPseq,MATCH($F86,rngEPcode,0)),""))</f>
        <v/>
      </c>
      <c r="J86" s="15">
        <f>IF($F86="","",IFERROR(INDEX(rngEPpass,MATCH($F86,rngEPcode,0)),cfgPassingScore))</f>
        <v/>
      </c>
      <c r="K86" s="14" t="n"/>
      <c r="L86" s="14" t="n"/>
      <c r="M86" s="15">
        <f>IF($C86="","",IF($L86="","",IF($K86=1,IF(COUNTIFS(nrES_PID,$D86,nrES_Code,$F86,nrES_Att,2)&gt;0,"",$L86),IF(COUNTIFS(nrES_PID,$D86,nrES_Code,$F86,nrES_Att,1)=0,$L86,IF($L86&gt;=$J86,cfgRetakeRecordedCap,SUMIFS(nrES_Raw,nrES_PID,$D86,nrES_Code,$F86,nrES_Att,1))))))</f>
        <v/>
      </c>
      <c r="N86" s="15">
        <f>IF($C86="","",IF($L86="","",IF($L86&gt;=$J86,"Yes","No")))</f>
        <v/>
      </c>
      <c r="O86" s="15">
        <f>IF($C86="","",IF($M86="","",IF($M86&gt;=$J86,"Yes","No")))</f>
        <v/>
      </c>
      <c r="P86" s="15">
        <f>IF($C86="","",IF($K86="","",IF(COUNTIFS(nrES_PID,$D86,nrES_Code,$F86,nrES_Att,"&gt;"&amp;$K86)=0,"Yes","No")))</f>
        <v/>
      </c>
      <c r="Q86" s="15">
        <f>IF($C86="","",IF($L86="","",IF(AND($K86=1,$L86&lt;$J86,COUNTIFS(nrES_PID,$D86,nrES_Code,$F86,nrES_Att,2)=0),"Yes","No")))</f>
        <v/>
      </c>
      <c r="R86" s="15">
        <f>IF($C86="","",IF($L86="","",IF(AND($K86=2,$L86&lt;$J86,COUNTIFS(nrES_PID,$D86,nrES_Code,$F86,nrES_Att,1)&gt;0),"Yes","No")))</f>
        <v/>
      </c>
      <c r="S86" s="16" t="n"/>
      <c r="T86" s="17">
        <f>IF($Q86&lt;&gt;"Yes","",IF($S86="","(enter date)",_xlfn.LET(_xlpm.dn,IFERROR(_xlfn.XLOOKUP($S86,nrCDdate,nrCDnum),""),IF(_xlpm.dn="","(not a class day)",IFERROR(_xlfn.XLOOKUP(_xlpm.dn+cfgRetestClassDays,nrCDnum,nrCDdate),"")))))</f>
        <v/>
      </c>
      <c r="U86" s="15">
        <f>IF($Q86&lt;&gt;"Yes","",IF(COUNTIFS(nrES_PID,$D86,nrES_Code,$F86,nrES_Att,2)&gt;0,"Retested",IF(OR($T86="",NOT(ISNUMBER($T86))),"Pending",IF(TODAY()&gt;$T86,"OVERDUE","Due "&amp;TEXT($T86,"mm/dd")))))</f>
        <v/>
      </c>
      <c r="V86" s="14" t="n"/>
      <c r="W86" s="14" t="n"/>
    </row>
    <row r="87">
      <c r="B87" s="15">
        <f>IF($C87="","",$D87&amp;"-"&amp;$F87&amp;"-"&amp;$K87)</f>
        <v/>
      </c>
      <c r="C87" s="14" t="n"/>
      <c r="D87" s="15">
        <f>IF($C87="","",IFERROR(INDEX(rngCadetPIDs,MATCH($C87,rngCadetNames,0)),"?"))</f>
        <v/>
      </c>
      <c r="E87" s="15">
        <f>IF($D87="","",IFERROR(INDEX(nrCadetAgency,MATCH($D87,rngCadetPIDs,0)),""))</f>
        <v/>
      </c>
      <c r="F87" s="14" t="n"/>
      <c r="G87" s="15">
        <f>IF($F87="","",IFERROR(INDEX(rngEPname,MATCH($F87,rngEPcode,0)),"?"))</f>
        <v/>
      </c>
      <c r="H87" s="15">
        <f>IF($F87="","",IFERROR(INDEX(rngEPtype,MATCH($F87,rngEPcode,0)),"?"))</f>
        <v/>
      </c>
      <c r="I87" s="15">
        <f>IF($F87="","",IFERROR(INDEX(rngEPseq,MATCH($F87,rngEPcode,0)),""))</f>
        <v/>
      </c>
      <c r="J87" s="15">
        <f>IF($F87="","",IFERROR(INDEX(rngEPpass,MATCH($F87,rngEPcode,0)),cfgPassingScore))</f>
        <v/>
      </c>
      <c r="K87" s="14" t="n"/>
      <c r="L87" s="14" t="n"/>
      <c r="M87" s="15">
        <f>IF($C87="","",IF($L87="","",IF($K87=1,IF(COUNTIFS(nrES_PID,$D87,nrES_Code,$F87,nrES_Att,2)&gt;0,"",$L87),IF(COUNTIFS(nrES_PID,$D87,nrES_Code,$F87,nrES_Att,1)=0,$L87,IF($L87&gt;=$J87,cfgRetakeRecordedCap,SUMIFS(nrES_Raw,nrES_PID,$D87,nrES_Code,$F87,nrES_Att,1))))))</f>
        <v/>
      </c>
      <c r="N87" s="15">
        <f>IF($C87="","",IF($L87="","",IF($L87&gt;=$J87,"Yes","No")))</f>
        <v/>
      </c>
      <c r="O87" s="15">
        <f>IF($C87="","",IF($M87="","",IF($M87&gt;=$J87,"Yes","No")))</f>
        <v/>
      </c>
      <c r="P87" s="15">
        <f>IF($C87="","",IF($K87="","",IF(COUNTIFS(nrES_PID,$D87,nrES_Code,$F87,nrES_Att,"&gt;"&amp;$K87)=0,"Yes","No")))</f>
        <v/>
      </c>
      <c r="Q87" s="15">
        <f>IF($C87="","",IF($L87="","",IF(AND($K87=1,$L87&lt;$J87,COUNTIFS(nrES_PID,$D87,nrES_Code,$F87,nrES_Att,2)=0),"Yes","No")))</f>
        <v/>
      </c>
      <c r="R87" s="15">
        <f>IF($C87="","",IF($L87="","",IF(AND($K87=2,$L87&lt;$J87,COUNTIFS(nrES_PID,$D87,nrES_Code,$F87,nrES_Att,1)&gt;0),"Yes","No")))</f>
        <v/>
      </c>
      <c r="S87" s="16" t="n"/>
      <c r="T87" s="17">
        <f>IF($Q87&lt;&gt;"Yes","",IF($S87="","(enter date)",_xlfn.LET(_xlpm.dn,IFERROR(_xlfn.XLOOKUP($S87,nrCDdate,nrCDnum),""),IF(_xlpm.dn="","(not a class day)",IFERROR(_xlfn.XLOOKUP(_xlpm.dn+cfgRetestClassDays,nrCDnum,nrCDdate),"")))))</f>
        <v/>
      </c>
      <c r="U87" s="15">
        <f>IF($Q87&lt;&gt;"Yes","",IF(COUNTIFS(nrES_PID,$D87,nrES_Code,$F87,nrES_Att,2)&gt;0,"Retested",IF(OR($T87="",NOT(ISNUMBER($T87))),"Pending",IF(TODAY()&gt;$T87,"OVERDUE","Due "&amp;TEXT($T87,"mm/dd")))))</f>
        <v/>
      </c>
      <c r="V87" s="14" t="n"/>
      <c r="W87" s="14" t="n"/>
    </row>
    <row r="88">
      <c r="B88" s="15">
        <f>IF($C88="","",$D88&amp;"-"&amp;$F88&amp;"-"&amp;$K88)</f>
        <v/>
      </c>
      <c r="C88" s="14" t="n"/>
      <c r="D88" s="15">
        <f>IF($C88="","",IFERROR(INDEX(rngCadetPIDs,MATCH($C88,rngCadetNames,0)),"?"))</f>
        <v/>
      </c>
      <c r="E88" s="15">
        <f>IF($D88="","",IFERROR(INDEX(nrCadetAgency,MATCH($D88,rngCadetPIDs,0)),""))</f>
        <v/>
      </c>
      <c r="F88" s="14" t="n"/>
      <c r="G88" s="15">
        <f>IF($F88="","",IFERROR(INDEX(rngEPname,MATCH($F88,rngEPcode,0)),"?"))</f>
        <v/>
      </c>
      <c r="H88" s="15">
        <f>IF($F88="","",IFERROR(INDEX(rngEPtype,MATCH($F88,rngEPcode,0)),"?"))</f>
        <v/>
      </c>
      <c r="I88" s="15">
        <f>IF($F88="","",IFERROR(INDEX(rngEPseq,MATCH($F88,rngEPcode,0)),""))</f>
        <v/>
      </c>
      <c r="J88" s="15">
        <f>IF($F88="","",IFERROR(INDEX(rngEPpass,MATCH($F88,rngEPcode,0)),cfgPassingScore))</f>
        <v/>
      </c>
      <c r="K88" s="14" t="n"/>
      <c r="L88" s="14" t="n"/>
      <c r="M88" s="15">
        <f>IF($C88="","",IF($L88="","",IF($K88=1,IF(COUNTIFS(nrES_PID,$D88,nrES_Code,$F88,nrES_Att,2)&gt;0,"",$L88),IF(COUNTIFS(nrES_PID,$D88,nrES_Code,$F88,nrES_Att,1)=0,$L88,IF($L88&gt;=$J88,cfgRetakeRecordedCap,SUMIFS(nrES_Raw,nrES_PID,$D88,nrES_Code,$F88,nrES_Att,1))))))</f>
        <v/>
      </c>
      <c r="N88" s="15">
        <f>IF($C88="","",IF($L88="","",IF($L88&gt;=$J88,"Yes","No")))</f>
        <v/>
      </c>
      <c r="O88" s="15">
        <f>IF($C88="","",IF($M88="","",IF($M88&gt;=$J88,"Yes","No")))</f>
        <v/>
      </c>
      <c r="P88" s="15">
        <f>IF($C88="","",IF($K88="","",IF(COUNTIFS(nrES_PID,$D88,nrES_Code,$F88,nrES_Att,"&gt;"&amp;$K88)=0,"Yes","No")))</f>
        <v/>
      </c>
      <c r="Q88" s="15">
        <f>IF($C88="","",IF($L88="","",IF(AND($K88=1,$L88&lt;$J88,COUNTIFS(nrES_PID,$D88,nrES_Code,$F88,nrES_Att,2)=0),"Yes","No")))</f>
        <v/>
      </c>
      <c r="R88" s="15">
        <f>IF($C88="","",IF($L88="","",IF(AND($K88=2,$L88&lt;$J88,COUNTIFS(nrES_PID,$D88,nrES_Code,$F88,nrES_Att,1)&gt;0),"Yes","No")))</f>
        <v/>
      </c>
      <c r="S88" s="16" t="n"/>
      <c r="T88" s="17">
        <f>IF($Q88&lt;&gt;"Yes","",IF($S88="","(enter date)",_xlfn.LET(_xlpm.dn,IFERROR(_xlfn.XLOOKUP($S88,nrCDdate,nrCDnum),""),IF(_xlpm.dn="","(not a class day)",IFERROR(_xlfn.XLOOKUP(_xlpm.dn+cfgRetestClassDays,nrCDnum,nrCDdate),"")))))</f>
        <v/>
      </c>
      <c r="U88" s="15">
        <f>IF($Q88&lt;&gt;"Yes","",IF(COUNTIFS(nrES_PID,$D88,nrES_Code,$F88,nrES_Att,2)&gt;0,"Retested",IF(OR($T88="",NOT(ISNUMBER($T88))),"Pending",IF(TODAY()&gt;$T88,"OVERDUE","Due "&amp;TEXT($T88,"mm/dd")))))</f>
        <v/>
      </c>
      <c r="V88" s="14" t="n"/>
      <c r="W88" s="14" t="n"/>
    </row>
    <row r="89">
      <c r="B89" s="15">
        <f>IF($C89="","",$D89&amp;"-"&amp;$F89&amp;"-"&amp;$K89)</f>
        <v/>
      </c>
      <c r="C89" s="14" t="n"/>
      <c r="D89" s="15">
        <f>IF($C89="","",IFERROR(INDEX(rngCadetPIDs,MATCH($C89,rngCadetNames,0)),"?"))</f>
        <v/>
      </c>
      <c r="E89" s="15">
        <f>IF($D89="","",IFERROR(INDEX(nrCadetAgency,MATCH($D89,rngCadetPIDs,0)),""))</f>
        <v/>
      </c>
      <c r="F89" s="14" t="n"/>
      <c r="G89" s="15">
        <f>IF($F89="","",IFERROR(INDEX(rngEPname,MATCH($F89,rngEPcode,0)),"?"))</f>
        <v/>
      </c>
      <c r="H89" s="15">
        <f>IF($F89="","",IFERROR(INDEX(rngEPtype,MATCH($F89,rngEPcode,0)),"?"))</f>
        <v/>
      </c>
      <c r="I89" s="15">
        <f>IF($F89="","",IFERROR(INDEX(rngEPseq,MATCH($F89,rngEPcode,0)),""))</f>
        <v/>
      </c>
      <c r="J89" s="15">
        <f>IF($F89="","",IFERROR(INDEX(rngEPpass,MATCH($F89,rngEPcode,0)),cfgPassingScore))</f>
        <v/>
      </c>
      <c r="K89" s="14" t="n"/>
      <c r="L89" s="14" t="n"/>
      <c r="M89" s="15">
        <f>IF($C89="","",IF($L89="","",IF($K89=1,IF(COUNTIFS(nrES_PID,$D89,nrES_Code,$F89,nrES_Att,2)&gt;0,"",$L89),IF(COUNTIFS(nrES_PID,$D89,nrES_Code,$F89,nrES_Att,1)=0,$L89,IF($L89&gt;=$J89,cfgRetakeRecordedCap,SUMIFS(nrES_Raw,nrES_PID,$D89,nrES_Code,$F89,nrES_Att,1))))))</f>
        <v/>
      </c>
      <c r="N89" s="15">
        <f>IF($C89="","",IF($L89="","",IF($L89&gt;=$J89,"Yes","No")))</f>
        <v/>
      </c>
      <c r="O89" s="15">
        <f>IF($C89="","",IF($M89="","",IF($M89&gt;=$J89,"Yes","No")))</f>
        <v/>
      </c>
      <c r="P89" s="15">
        <f>IF($C89="","",IF($K89="","",IF(COUNTIFS(nrES_PID,$D89,nrES_Code,$F89,nrES_Att,"&gt;"&amp;$K89)=0,"Yes","No")))</f>
        <v/>
      </c>
      <c r="Q89" s="15">
        <f>IF($C89="","",IF($L89="","",IF(AND($K89=1,$L89&lt;$J89,COUNTIFS(nrES_PID,$D89,nrES_Code,$F89,nrES_Att,2)=0),"Yes","No")))</f>
        <v/>
      </c>
      <c r="R89" s="15">
        <f>IF($C89="","",IF($L89="","",IF(AND($K89=2,$L89&lt;$J89,COUNTIFS(nrES_PID,$D89,nrES_Code,$F89,nrES_Att,1)&gt;0),"Yes","No")))</f>
        <v/>
      </c>
      <c r="S89" s="16" t="n"/>
      <c r="T89" s="17">
        <f>IF($Q89&lt;&gt;"Yes","",IF($S89="","(enter date)",_xlfn.LET(_xlpm.dn,IFERROR(_xlfn.XLOOKUP($S89,nrCDdate,nrCDnum),""),IF(_xlpm.dn="","(not a class day)",IFERROR(_xlfn.XLOOKUP(_xlpm.dn+cfgRetestClassDays,nrCDnum,nrCDdate),"")))))</f>
        <v/>
      </c>
      <c r="U89" s="15">
        <f>IF($Q89&lt;&gt;"Yes","",IF(COUNTIFS(nrES_PID,$D89,nrES_Code,$F89,nrES_Att,2)&gt;0,"Retested",IF(OR($T89="",NOT(ISNUMBER($T89))),"Pending",IF(TODAY()&gt;$T89,"OVERDUE","Due "&amp;TEXT($T89,"mm/dd")))))</f>
        <v/>
      </c>
      <c r="V89" s="14" t="n"/>
      <c r="W89" s="14" t="n"/>
    </row>
    <row r="90">
      <c r="B90" s="15">
        <f>IF($C90="","",$D90&amp;"-"&amp;$F90&amp;"-"&amp;$K90)</f>
        <v/>
      </c>
      <c r="C90" s="14" t="n"/>
      <c r="D90" s="15">
        <f>IF($C90="","",IFERROR(INDEX(rngCadetPIDs,MATCH($C90,rngCadetNames,0)),"?"))</f>
        <v/>
      </c>
      <c r="E90" s="15">
        <f>IF($D90="","",IFERROR(INDEX(nrCadetAgency,MATCH($D90,rngCadetPIDs,0)),""))</f>
        <v/>
      </c>
      <c r="F90" s="14" t="n"/>
      <c r="G90" s="15">
        <f>IF($F90="","",IFERROR(INDEX(rngEPname,MATCH($F90,rngEPcode,0)),"?"))</f>
        <v/>
      </c>
      <c r="H90" s="15">
        <f>IF($F90="","",IFERROR(INDEX(rngEPtype,MATCH($F90,rngEPcode,0)),"?"))</f>
        <v/>
      </c>
      <c r="I90" s="15">
        <f>IF($F90="","",IFERROR(INDEX(rngEPseq,MATCH($F90,rngEPcode,0)),""))</f>
        <v/>
      </c>
      <c r="J90" s="15">
        <f>IF($F90="","",IFERROR(INDEX(rngEPpass,MATCH($F90,rngEPcode,0)),cfgPassingScore))</f>
        <v/>
      </c>
      <c r="K90" s="14" t="n"/>
      <c r="L90" s="14" t="n"/>
      <c r="M90" s="15">
        <f>IF($C90="","",IF($L90="","",IF($K90=1,IF(COUNTIFS(nrES_PID,$D90,nrES_Code,$F90,nrES_Att,2)&gt;0,"",$L90),IF(COUNTIFS(nrES_PID,$D90,nrES_Code,$F90,nrES_Att,1)=0,$L90,IF($L90&gt;=$J90,cfgRetakeRecordedCap,SUMIFS(nrES_Raw,nrES_PID,$D90,nrES_Code,$F90,nrES_Att,1))))))</f>
        <v/>
      </c>
      <c r="N90" s="15">
        <f>IF($C90="","",IF($L90="","",IF($L90&gt;=$J90,"Yes","No")))</f>
        <v/>
      </c>
      <c r="O90" s="15">
        <f>IF($C90="","",IF($M90="","",IF($M90&gt;=$J90,"Yes","No")))</f>
        <v/>
      </c>
      <c r="P90" s="15">
        <f>IF($C90="","",IF($K90="","",IF(COUNTIFS(nrES_PID,$D90,nrES_Code,$F90,nrES_Att,"&gt;"&amp;$K90)=0,"Yes","No")))</f>
        <v/>
      </c>
      <c r="Q90" s="15">
        <f>IF($C90="","",IF($L90="","",IF(AND($K90=1,$L90&lt;$J90,COUNTIFS(nrES_PID,$D90,nrES_Code,$F90,nrES_Att,2)=0),"Yes","No")))</f>
        <v/>
      </c>
      <c r="R90" s="15">
        <f>IF($C90="","",IF($L90="","",IF(AND($K90=2,$L90&lt;$J90,COUNTIFS(nrES_PID,$D90,nrES_Code,$F90,nrES_Att,1)&gt;0),"Yes","No")))</f>
        <v/>
      </c>
      <c r="S90" s="16" t="n"/>
      <c r="T90" s="17">
        <f>IF($Q90&lt;&gt;"Yes","",IF($S90="","(enter date)",_xlfn.LET(_xlpm.dn,IFERROR(_xlfn.XLOOKUP($S90,nrCDdate,nrCDnum),""),IF(_xlpm.dn="","(not a class day)",IFERROR(_xlfn.XLOOKUP(_xlpm.dn+cfgRetestClassDays,nrCDnum,nrCDdate),"")))))</f>
        <v/>
      </c>
      <c r="U90" s="15">
        <f>IF($Q90&lt;&gt;"Yes","",IF(COUNTIFS(nrES_PID,$D90,nrES_Code,$F90,nrES_Att,2)&gt;0,"Retested",IF(OR($T90="",NOT(ISNUMBER($T90))),"Pending",IF(TODAY()&gt;$T90,"OVERDUE","Due "&amp;TEXT($T90,"mm/dd")))))</f>
        <v/>
      </c>
      <c r="V90" s="14" t="n"/>
      <c r="W90" s="14" t="n"/>
    </row>
    <row r="91">
      <c r="B91" s="15">
        <f>IF($C91="","",$D91&amp;"-"&amp;$F91&amp;"-"&amp;$K91)</f>
        <v/>
      </c>
      <c r="C91" s="14" t="n"/>
      <c r="D91" s="15">
        <f>IF($C91="","",IFERROR(INDEX(rngCadetPIDs,MATCH($C91,rngCadetNames,0)),"?"))</f>
        <v/>
      </c>
      <c r="E91" s="15">
        <f>IF($D91="","",IFERROR(INDEX(nrCadetAgency,MATCH($D91,rngCadetPIDs,0)),""))</f>
        <v/>
      </c>
      <c r="F91" s="14" t="n"/>
      <c r="G91" s="15">
        <f>IF($F91="","",IFERROR(INDEX(rngEPname,MATCH($F91,rngEPcode,0)),"?"))</f>
        <v/>
      </c>
      <c r="H91" s="15">
        <f>IF($F91="","",IFERROR(INDEX(rngEPtype,MATCH($F91,rngEPcode,0)),"?"))</f>
        <v/>
      </c>
      <c r="I91" s="15">
        <f>IF($F91="","",IFERROR(INDEX(rngEPseq,MATCH($F91,rngEPcode,0)),""))</f>
        <v/>
      </c>
      <c r="J91" s="15">
        <f>IF($F91="","",IFERROR(INDEX(rngEPpass,MATCH($F91,rngEPcode,0)),cfgPassingScore))</f>
        <v/>
      </c>
      <c r="K91" s="14" t="n"/>
      <c r="L91" s="14" t="n"/>
      <c r="M91" s="15">
        <f>IF($C91="","",IF($L91="","",IF($K91=1,IF(COUNTIFS(nrES_PID,$D91,nrES_Code,$F91,nrES_Att,2)&gt;0,"",$L91),IF(COUNTIFS(nrES_PID,$D91,nrES_Code,$F91,nrES_Att,1)=0,$L91,IF($L91&gt;=$J91,cfgRetakeRecordedCap,SUMIFS(nrES_Raw,nrES_PID,$D91,nrES_Code,$F91,nrES_Att,1))))))</f>
        <v/>
      </c>
      <c r="N91" s="15">
        <f>IF($C91="","",IF($L91="","",IF($L91&gt;=$J91,"Yes","No")))</f>
        <v/>
      </c>
      <c r="O91" s="15">
        <f>IF($C91="","",IF($M91="","",IF($M91&gt;=$J91,"Yes","No")))</f>
        <v/>
      </c>
      <c r="P91" s="15">
        <f>IF($C91="","",IF($K91="","",IF(COUNTIFS(nrES_PID,$D91,nrES_Code,$F91,nrES_Att,"&gt;"&amp;$K91)=0,"Yes","No")))</f>
        <v/>
      </c>
      <c r="Q91" s="15">
        <f>IF($C91="","",IF($L91="","",IF(AND($K91=1,$L91&lt;$J91,COUNTIFS(nrES_PID,$D91,nrES_Code,$F91,nrES_Att,2)=0),"Yes","No")))</f>
        <v/>
      </c>
      <c r="R91" s="15">
        <f>IF($C91="","",IF($L91="","",IF(AND($K91=2,$L91&lt;$J91,COUNTIFS(nrES_PID,$D91,nrES_Code,$F91,nrES_Att,1)&gt;0),"Yes","No")))</f>
        <v/>
      </c>
      <c r="S91" s="16" t="n"/>
      <c r="T91" s="17">
        <f>IF($Q91&lt;&gt;"Yes","",IF($S91="","(enter date)",_xlfn.LET(_xlpm.dn,IFERROR(_xlfn.XLOOKUP($S91,nrCDdate,nrCDnum),""),IF(_xlpm.dn="","(not a class day)",IFERROR(_xlfn.XLOOKUP(_xlpm.dn+cfgRetestClassDays,nrCDnum,nrCDdate),"")))))</f>
        <v/>
      </c>
      <c r="U91" s="15">
        <f>IF($Q91&lt;&gt;"Yes","",IF(COUNTIFS(nrES_PID,$D91,nrES_Code,$F91,nrES_Att,2)&gt;0,"Retested",IF(OR($T91="",NOT(ISNUMBER($T91))),"Pending",IF(TODAY()&gt;$T91,"OVERDUE","Due "&amp;TEXT($T91,"mm/dd")))))</f>
        <v/>
      </c>
      <c r="V91" s="14" t="n"/>
      <c r="W91" s="14" t="n"/>
    </row>
    <row r="92">
      <c r="B92" s="15">
        <f>IF($C92="","",$D92&amp;"-"&amp;$F92&amp;"-"&amp;$K92)</f>
        <v/>
      </c>
      <c r="C92" s="14" t="n"/>
      <c r="D92" s="15">
        <f>IF($C92="","",IFERROR(INDEX(rngCadetPIDs,MATCH($C92,rngCadetNames,0)),"?"))</f>
        <v/>
      </c>
      <c r="E92" s="15">
        <f>IF($D92="","",IFERROR(INDEX(nrCadetAgency,MATCH($D92,rngCadetPIDs,0)),""))</f>
        <v/>
      </c>
      <c r="F92" s="14" t="n"/>
      <c r="G92" s="15">
        <f>IF($F92="","",IFERROR(INDEX(rngEPname,MATCH($F92,rngEPcode,0)),"?"))</f>
        <v/>
      </c>
      <c r="H92" s="15">
        <f>IF($F92="","",IFERROR(INDEX(rngEPtype,MATCH($F92,rngEPcode,0)),"?"))</f>
        <v/>
      </c>
      <c r="I92" s="15">
        <f>IF($F92="","",IFERROR(INDEX(rngEPseq,MATCH($F92,rngEPcode,0)),""))</f>
        <v/>
      </c>
      <c r="J92" s="15">
        <f>IF($F92="","",IFERROR(INDEX(rngEPpass,MATCH($F92,rngEPcode,0)),cfgPassingScore))</f>
        <v/>
      </c>
      <c r="K92" s="14" t="n"/>
      <c r="L92" s="14" t="n"/>
      <c r="M92" s="15">
        <f>IF($C92="","",IF($L92="","",IF($K92=1,IF(COUNTIFS(nrES_PID,$D92,nrES_Code,$F92,nrES_Att,2)&gt;0,"",$L92),IF(COUNTIFS(nrES_PID,$D92,nrES_Code,$F92,nrES_Att,1)=0,$L92,IF($L92&gt;=$J92,cfgRetakeRecordedCap,SUMIFS(nrES_Raw,nrES_PID,$D92,nrES_Code,$F92,nrES_Att,1))))))</f>
        <v/>
      </c>
      <c r="N92" s="15">
        <f>IF($C92="","",IF($L92="","",IF($L92&gt;=$J92,"Yes","No")))</f>
        <v/>
      </c>
      <c r="O92" s="15">
        <f>IF($C92="","",IF($M92="","",IF($M92&gt;=$J92,"Yes","No")))</f>
        <v/>
      </c>
      <c r="P92" s="15">
        <f>IF($C92="","",IF($K92="","",IF(COUNTIFS(nrES_PID,$D92,nrES_Code,$F92,nrES_Att,"&gt;"&amp;$K92)=0,"Yes","No")))</f>
        <v/>
      </c>
      <c r="Q92" s="15">
        <f>IF($C92="","",IF($L92="","",IF(AND($K92=1,$L92&lt;$J92,COUNTIFS(nrES_PID,$D92,nrES_Code,$F92,nrES_Att,2)=0),"Yes","No")))</f>
        <v/>
      </c>
      <c r="R92" s="15">
        <f>IF($C92="","",IF($L92="","",IF(AND($K92=2,$L92&lt;$J92,COUNTIFS(nrES_PID,$D92,nrES_Code,$F92,nrES_Att,1)&gt;0),"Yes","No")))</f>
        <v/>
      </c>
      <c r="S92" s="16" t="n"/>
      <c r="T92" s="17">
        <f>IF($Q92&lt;&gt;"Yes","",IF($S92="","(enter date)",_xlfn.LET(_xlpm.dn,IFERROR(_xlfn.XLOOKUP($S92,nrCDdate,nrCDnum),""),IF(_xlpm.dn="","(not a class day)",IFERROR(_xlfn.XLOOKUP(_xlpm.dn+cfgRetestClassDays,nrCDnum,nrCDdate),"")))))</f>
        <v/>
      </c>
      <c r="U92" s="15">
        <f>IF($Q92&lt;&gt;"Yes","",IF(COUNTIFS(nrES_PID,$D92,nrES_Code,$F92,nrES_Att,2)&gt;0,"Retested",IF(OR($T92="",NOT(ISNUMBER($T92))),"Pending",IF(TODAY()&gt;$T92,"OVERDUE","Due "&amp;TEXT($T92,"mm/dd")))))</f>
        <v/>
      </c>
      <c r="V92" s="14" t="n"/>
      <c r="W92" s="14" t="n"/>
    </row>
    <row r="93">
      <c r="B93" s="15">
        <f>IF($C93="","",$D93&amp;"-"&amp;$F93&amp;"-"&amp;$K93)</f>
        <v/>
      </c>
      <c r="C93" s="14" t="n"/>
      <c r="D93" s="15">
        <f>IF($C93="","",IFERROR(INDEX(rngCadetPIDs,MATCH($C93,rngCadetNames,0)),"?"))</f>
        <v/>
      </c>
      <c r="E93" s="15">
        <f>IF($D93="","",IFERROR(INDEX(nrCadetAgency,MATCH($D93,rngCadetPIDs,0)),""))</f>
        <v/>
      </c>
      <c r="F93" s="14" t="n"/>
      <c r="G93" s="15">
        <f>IF($F93="","",IFERROR(INDEX(rngEPname,MATCH($F93,rngEPcode,0)),"?"))</f>
        <v/>
      </c>
      <c r="H93" s="15">
        <f>IF($F93="","",IFERROR(INDEX(rngEPtype,MATCH($F93,rngEPcode,0)),"?"))</f>
        <v/>
      </c>
      <c r="I93" s="15">
        <f>IF($F93="","",IFERROR(INDEX(rngEPseq,MATCH($F93,rngEPcode,0)),""))</f>
        <v/>
      </c>
      <c r="J93" s="15">
        <f>IF($F93="","",IFERROR(INDEX(rngEPpass,MATCH($F93,rngEPcode,0)),cfgPassingScore))</f>
        <v/>
      </c>
      <c r="K93" s="14" t="n"/>
      <c r="L93" s="14" t="n"/>
      <c r="M93" s="15">
        <f>IF($C93="","",IF($L93="","",IF($K93=1,IF(COUNTIFS(nrES_PID,$D93,nrES_Code,$F93,nrES_Att,2)&gt;0,"",$L93),IF(COUNTIFS(nrES_PID,$D93,nrES_Code,$F93,nrES_Att,1)=0,$L93,IF($L93&gt;=$J93,cfgRetakeRecordedCap,SUMIFS(nrES_Raw,nrES_PID,$D93,nrES_Code,$F93,nrES_Att,1))))))</f>
        <v/>
      </c>
      <c r="N93" s="15">
        <f>IF($C93="","",IF($L93="","",IF($L93&gt;=$J93,"Yes","No")))</f>
        <v/>
      </c>
      <c r="O93" s="15">
        <f>IF($C93="","",IF($M93="","",IF($M93&gt;=$J93,"Yes","No")))</f>
        <v/>
      </c>
      <c r="P93" s="15">
        <f>IF($C93="","",IF($K93="","",IF(COUNTIFS(nrES_PID,$D93,nrES_Code,$F93,nrES_Att,"&gt;"&amp;$K93)=0,"Yes","No")))</f>
        <v/>
      </c>
      <c r="Q93" s="15">
        <f>IF($C93="","",IF($L93="","",IF(AND($K93=1,$L93&lt;$J93,COUNTIFS(nrES_PID,$D93,nrES_Code,$F93,nrES_Att,2)=0),"Yes","No")))</f>
        <v/>
      </c>
      <c r="R93" s="15">
        <f>IF($C93="","",IF($L93="","",IF(AND($K93=2,$L93&lt;$J93,COUNTIFS(nrES_PID,$D93,nrES_Code,$F93,nrES_Att,1)&gt;0),"Yes","No")))</f>
        <v/>
      </c>
      <c r="S93" s="16" t="n"/>
      <c r="T93" s="17">
        <f>IF($Q93&lt;&gt;"Yes","",IF($S93="","(enter date)",_xlfn.LET(_xlpm.dn,IFERROR(_xlfn.XLOOKUP($S93,nrCDdate,nrCDnum),""),IF(_xlpm.dn="","(not a class day)",IFERROR(_xlfn.XLOOKUP(_xlpm.dn+cfgRetestClassDays,nrCDnum,nrCDdate),"")))))</f>
        <v/>
      </c>
      <c r="U93" s="15">
        <f>IF($Q93&lt;&gt;"Yes","",IF(COUNTIFS(nrES_PID,$D93,nrES_Code,$F93,nrES_Att,2)&gt;0,"Retested",IF(OR($T93="",NOT(ISNUMBER($T93))),"Pending",IF(TODAY()&gt;$T93,"OVERDUE","Due "&amp;TEXT($T93,"mm/dd")))))</f>
        <v/>
      </c>
      <c r="V93" s="14" t="n"/>
      <c r="W93" s="14" t="n"/>
    </row>
    <row r="94">
      <c r="B94" s="15">
        <f>IF($C94="","",$D94&amp;"-"&amp;$F94&amp;"-"&amp;$K94)</f>
        <v/>
      </c>
      <c r="C94" s="14" t="n"/>
      <c r="D94" s="15">
        <f>IF($C94="","",IFERROR(INDEX(rngCadetPIDs,MATCH($C94,rngCadetNames,0)),"?"))</f>
        <v/>
      </c>
      <c r="E94" s="15">
        <f>IF($D94="","",IFERROR(INDEX(nrCadetAgency,MATCH($D94,rngCadetPIDs,0)),""))</f>
        <v/>
      </c>
      <c r="F94" s="14" t="n"/>
      <c r="G94" s="15">
        <f>IF($F94="","",IFERROR(INDEX(rngEPname,MATCH($F94,rngEPcode,0)),"?"))</f>
        <v/>
      </c>
      <c r="H94" s="15">
        <f>IF($F94="","",IFERROR(INDEX(rngEPtype,MATCH($F94,rngEPcode,0)),"?"))</f>
        <v/>
      </c>
      <c r="I94" s="15">
        <f>IF($F94="","",IFERROR(INDEX(rngEPseq,MATCH($F94,rngEPcode,0)),""))</f>
        <v/>
      </c>
      <c r="J94" s="15">
        <f>IF($F94="","",IFERROR(INDEX(rngEPpass,MATCH($F94,rngEPcode,0)),cfgPassingScore))</f>
        <v/>
      </c>
      <c r="K94" s="14" t="n"/>
      <c r="L94" s="14" t="n"/>
      <c r="M94" s="15">
        <f>IF($C94="","",IF($L94="","",IF($K94=1,IF(COUNTIFS(nrES_PID,$D94,nrES_Code,$F94,nrES_Att,2)&gt;0,"",$L94),IF(COUNTIFS(nrES_PID,$D94,nrES_Code,$F94,nrES_Att,1)=0,$L94,IF($L94&gt;=$J94,cfgRetakeRecordedCap,SUMIFS(nrES_Raw,nrES_PID,$D94,nrES_Code,$F94,nrES_Att,1))))))</f>
        <v/>
      </c>
      <c r="N94" s="15">
        <f>IF($C94="","",IF($L94="","",IF($L94&gt;=$J94,"Yes","No")))</f>
        <v/>
      </c>
      <c r="O94" s="15">
        <f>IF($C94="","",IF($M94="","",IF($M94&gt;=$J94,"Yes","No")))</f>
        <v/>
      </c>
      <c r="P94" s="15">
        <f>IF($C94="","",IF($K94="","",IF(COUNTIFS(nrES_PID,$D94,nrES_Code,$F94,nrES_Att,"&gt;"&amp;$K94)=0,"Yes","No")))</f>
        <v/>
      </c>
      <c r="Q94" s="15">
        <f>IF($C94="","",IF($L94="","",IF(AND($K94=1,$L94&lt;$J94,COUNTIFS(nrES_PID,$D94,nrES_Code,$F94,nrES_Att,2)=0),"Yes","No")))</f>
        <v/>
      </c>
      <c r="R94" s="15">
        <f>IF($C94="","",IF($L94="","",IF(AND($K94=2,$L94&lt;$J94,COUNTIFS(nrES_PID,$D94,nrES_Code,$F94,nrES_Att,1)&gt;0),"Yes","No")))</f>
        <v/>
      </c>
      <c r="S94" s="16" t="n"/>
      <c r="T94" s="17">
        <f>IF($Q94&lt;&gt;"Yes","",IF($S94="","(enter date)",_xlfn.LET(_xlpm.dn,IFERROR(_xlfn.XLOOKUP($S94,nrCDdate,nrCDnum),""),IF(_xlpm.dn="","(not a class day)",IFERROR(_xlfn.XLOOKUP(_xlpm.dn+cfgRetestClassDays,nrCDnum,nrCDdate),"")))))</f>
        <v/>
      </c>
      <c r="U94" s="15">
        <f>IF($Q94&lt;&gt;"Yes","",IF(COUNTIFS(nrES_PID,$D94,nrES_Code,$F94,nrES_Att,2)&gt;0,"Retested",IF(OR($T94="",NOT(ISNUMBER($T94))),"Pending",IF(TODAY()&gt;$T94,"OVERDUE","Due "&amp;TEXT($T94,"mm/dd")))))</f>
        <v/>
      </c>
      <c r="V94" s="14" t="n"/>
      <c r="W94" s="14" t="n"/>
    </row>
    <row r="95">
      <c r="B95" s="15">
        <f>IF($C95="","",$D95&amp;"-"&amp;$F95&amp;"-"&amp;$K95)</f>
        <v/>
      </c>
      <c r="C95" s="14" t="n"/>
      <c r="D95" s="15">
        <f>IF($C95="","",IFERROR(INDEX(rngCadetPIDs,MATCH($C95,rngCadetNames,0)),"?"))</f>
        <v/>
      </c>
      <c r="E95" s="15">
        <f>IF($D95="","",IFERROR(INDEX(nrCadetAgency,MATCH($D95,rngCadetPIDs,0)),""))</f>
        <v/>
      </c>
      <c r="F95" s="14" t="n"/>
      <c r="G95" s="15">
        <f>IF($F95="","",IFERROR(INDEX(rngEPname,MATCH($F95,rngEPcode,0)),"?"))</f>
        <v/>
      </c>
      <c r="H95" s="15">
        <f>IF($F95="","",IFERROR(INDEX(rngEPtype,MATCH($F95,rngEPcode,0)),"?"))</f>
        <v/>
      </c>
      <c r="I95" s="15">
        <f>IF($F95="","",IFERROR(INDEX(rngEPseq,MATCH($F95,rngEPcode,0)),""))</f>
        <v/>
      </c>
      <c r="J95" s="15">
        <f>IF($F95="","",IFERROR(INDEX(rngEPpass,MATCH($F95,rngEPcode,0)),cfgPassingScore))</f>
        <v/>
      </c>
      <c r="K95" s="14" t="n"/>
      <c r="L95" s="14" t="n"/>
      <c r="M95" s="15">
        <f>IF($C95="","",IF($L95="","",IF($K95=1,IF(COUNTIFS(nrES_PID,$D95,nrES_Code,$F95,nrES_Att,2)&gt;0,"",$L95),IF(COUNTIFS(nrES_PID,$D95,nrES_Code,$F95,nrES_Att,1)=0,$L95,IF($L95&gt;=$J95,cfgRetakeRecordedCap,SUMIFS(nrES_Raw,nrES_PID,$D95,nrES_Code,$F95,nrES_Att,1))))))</f>
        <v/>
      </c>
      <c r="N95" s="15">
        <f>IF($C95="","",IF($L95="","",IF($L95&gt;=$J95,"Yes","No")))</f>
        <v/>
      </c>
      <c r="O95" s="15">
        <f>IF($C95="","",IF($M95="","",IF($M95&gt;=$J95,"Yes","No")))</f>
        <v/>
      </c>
      <c r="P95" s="15">
        <f>IF($C95="","",IF($K95="","",IF(COUNTIFS(nrES_PID,$D95,nrES_Code,$F95,nrES_Att,"&gt;"&amp;$K95)=0,"Yes","No")))</f>
        <v/>
      </c>
      <c r="Q95" s="15">
        <f>IF($C95="","",IF($L95="","",IF(AND($K95=1,$L95&lt;$J95,COUNTIFS(nrES_PID,$D95,nrES_Code,$F95,nrES_Att,2)=0),"Yes","No")))</f>
        <v/>
      </c>
      <c r="R95" s="15">
        <f>IF($C95="","",IF($L95="","",IF(AND($K95=2,$L95&lt;$J95,COUNTIFS(nrES_PID,$D95,nrES_Code,$F95,nrES_Att,1)&gt;0),"Yes","No")))</f>
        <v/>
      </c>
      <c r="S95" s="16" t="n"/>
      <c r="T95" s="17">
        <f>IF($Q95&lt;&gt;"Yes","",IF($S95="","(enter date)",_xlfn.LET(_xlpm.dn,IFERROR(_xlfn.XLOOKUP($S95,nrCDdate,nrCDnum),""),IF(_xlpm.dn="","(not a class day)",IFERROR(_xlfn.XLOOKUP(_xlpm.dn+cfgRetestClassDays,nrCDnum,nrCDdate),"")))))</f>
        <v/>
      </c>
      <c r="U95" s="15">
        <f>IF($Q95&lt;&gt;"Yes","",IF(COUNTIFS(nrES_PID,$D95,nrES_Code,$F95,nrES_Att,2)&gt;0,"Retested",IF(OR($T95="",NOT(ISNUMBER($T95))),"Pending",IF(TODAY()&gt;$T95,"OVERDUE","Due "&amp;TEXT($T95,"mm/dd")))))</f>
        <v/>
      </c>
      <c r="V95" s="14" t="n"/>
      <c r="W95" s="14" t="n"/>
    </row>
    <row r="96">
      <c r="B96" s="15">
        <f>IF($C96="","",$D96&amp;"-"&amp;$F96&amp;"-"&amp;$K96)</f>
        <v/>
      </c>
      <c r="C96" s="14" t="n"/>
      <c r="D96" s="15">
        <f>IF($C96="","",IFERROR(INDEX(rngCadetPIDs,MATCH($C96,rngCadetNames,0)),"?"))</f>
        <v/>
      </c>
      <c r="E96" s="15">
        <f>IF($D96="","",IFERROR(INDEX(nrCadetAgency,MATCH($D96,rngCadetPIDs,0)),""))</f>
        <v/>
      </c>
      <c r="F96" s="14" t="n"/>
      <c r="G96" s="15">
        <f>IF($F96="","",IFERROR(INDEX(rngEPname,MATCH($F96,rngEPcode,0)),"?"))</f>
        <v/>
      </c>
      <c r="H96" s="15">
        <f>IF($F96="","",IFERROR(INDEX(rngEPtype,MATCH($F96,rngEPcode,0)),"?"))</f>
        <v/>
      </c>
      <c r="I96" s="15">
        <f>IF($F96="","",IFERROR(INDEX(rngEPseq,MATCH($F96,rngEPcode,0)),""))</f>
        <v/>
      </c>
      <c r="J96" s="15">
        <f>IF($F96="","",IFERROR(INDEX(rngEPpass,MATCH($F96,rngEPcode,0)),cfgPassingScore))</f>
        <v/>
      </c>
      <c r="K96" s="14" t="n"/>
      <c r="L96" s="14" t="n"/>
      <c r="M96" s="15">
        <f>IF($C96="","",IF($L96="","",IF($K96=1,IF(COUNTIFS(nrES_PID,$D96,nrES_Code,$F96,nrES_Att,2)&gt;0,"",$L96),IF(COUNTIFS(nrES_PID,$D96,nrES_Code,$F96,nrES_Att,1)=0,$L96,IF($L96&gt;=$J96,cfgRetakeRecordedCap,SUMIFS(nrES_Raw,nrES_PID,$D96,nrES_Code,$F96,nrES_Att,1))))))</f>
        <v/>
      </c>
      <c r="N96" s="15">
        <f>IF($C96="","",IF($L96="","",IF($L96&gt;=$J96,"Yes","No")))</f>
        <v/>
      </c>
      <c r="O96" s="15">
        <f>IF($C96="","",IF($M96="","",IF($M96&gt;=$J96,"Yes","No")))</f>
        <v/>
      </c>
      <c r="P96" s="15">
        <f>IF($C96="","",IF($K96="","",IF(COUNTIFS(nrES_PID,$D96,nrES_Code,$F96,nrES_Att,"&gt;"&amp;$K96)=0,"Yes","No")))</f>
        <v/>
      </c>
      <c r="Q96" s="15">
        <f>IF($C96="","",IF($L96="","",IF(AND($K96=1,$L96&lt;$J96,COUNTIFS(nrES_PID,$D96,nrES_Code,$F96,nrES_Att,2)=0),"Yes","No")))</f>
        <v/>
      </c>
      <c r="R96" s="15">
        <f>IF($C96="","",IF($L96="","",IF(AND($K96=2,$L96&lt;$J96,COUNTIFS(nrES_PID,$D96,nrES_Code,$F96,nrES_Att,1)&gt;0),"Yes","No")))</f>
        <v/>
      </c>
      <c r="S96" s="16" t="n"/>
      <c r="T96" s="17">
        <f>IF($Q96&lt;&gt;"Yes","",IF($S96="","(enter date)",_xlfn.LET(_xlpm.dn,IFERROR(_xlfn.XLOOKUP($S96,nrCDdate,nrCDnum),""),IF(_xlpm.dn="","(not a class day)",IFERROR(_xlfn.XLOOKUP(_xlpm.dn+cfgRetestClassDays,nrCDnum,nrCDdate),"")))))</f>
        <v/>
      </c>
      <c r="U96" s="15">
        <f>IF($Q96&lt;&gt;"Yes","",IF(COUNTIFS(nrES_PID,$D96,nrES_Code,$F96,nrES_Att,2)&gt;0,"Retested",IF(OR($T96="",NOT(ISNUMBER($T96))),"Pending",IF(TODAY()&gt;$T96,"OVERDUE","Due "&amp;TEXT($T96,"mm/dd")))))</f>
        <v/>
      </c>
      <c r="V96" s="14" t="n"/>
      <c r="W96" s="14" t="n"/>
    </row>
    <row r="97">
      <c r="B97" s="15">
        <f>IF($C97="","",$D97&amp;"-"&amp;$F97&amp;"-"&amp;$K97)</f>
        <v/>
      </c>
      <c r="C97" s="14" t="n"/>
      <c r="D97" s="15">
        <f>IF($C97="","",IFERROR(INDEX(rngCadetPIDs,MATCH($C97,rngCadetNames,0)),"?"))</f>
        <v/>
      </c>
      <c r="E97" s="15">
        <f>IF($D97="","",IFERROR(INDEX(nrCadetAgency,MATCH($D97,rngCadetPIDs,0)),""))</f>
        <v/>
      </c>
      <c r="F97" s="14" t="n"/>
      <c r="G97" s="15">
        <f>IF($F97="","",IFERROR(INDEX(rngEPname,MATCH($F97,rngEPcode,0)),"?"))</f>
        <v/>
      </c>
      <c r="H97" s="15">
        <f>IF($F97="","",IFERROR(INDEX(rngEPtype,MATCH($F97,rngEPcode,0)),"?"))</f>
        <v/>
      </c>
      <c r="I97" s="15">
        <f>IF($F97="","",IFERROR(INDEX(rngEPseq,MATCH($F97,rngEPcode,0)),""))</f>
        <v/>
      </c>
      <c r="J97" s="15">
        <f>IF($F97="","",IFERROR(INDEX(rngEPpass,MATCH($F97,rngEPcode,0)),cfgPassingScore))</f>
        <v/>
      </c>
      <c r="K97" s="14" t="n"/>
      <c r="L97" s="14" t="n"/>
      <c r="M97" s="15">
        <f>IF($C97="","",IF($L97="","",IF($K97=1,IF(COUNTIFS(nrES_PID,$D97,nrES_Code,$F97,nrES_Att,2)&gt;0,"",$L97),IF(COUNTIFS(nrES_PID,$D97,nrES_Code,$F97,nrES_Att,1)=0,$L97,IF($L97&gt;=$J97,cfgRetakeRecordedCap,SUMIFS(nrES_Raw,nrES_PID,$D97,nrES_Code,$F97,nrES_Att,1))))))</f>
        <v/>
      </c>
      <c r="N97" s="15">
        <f>IF($C97="","",IF($L97="","",IF($L97&gt;=$J97,"Yes","No")))</f>
        <v/>
      </c>
      <c r="O97" s="15">
        <f>IF($C97="","",IF($M97="","",IF($M97&gt;=$J97,"Yes","No")))</f>
        <v/>
      </c>
      <c r="P97" s="15">
        <f>IF($C97="","",IF($K97="","",IF(COUNTIFS(nrES_PID,$D97,nrES_Code,$F97,nrES_Att,"&gt;"&amp;$K97)=0,"Yes","No")))</f>
        <v/>
      </c>
      <c r="Q97" s="15">
        <f>IF($C97="","",IF($L97="","",IF(AND($K97=1,$L97&lt;$J97,COUNTIFS(nrES_PID,$D97,nrES_Code,$F97,nrES_Att,2)=0),"Yes","No")))</f>
        <v/>
      </c>
      <c r="R97" s="15">
        <f>IF($C97="","",IF($L97="","",IF(AND($K97=2,$L97&lt;$J97,COUNTIFS(nrES_PID,$D97,nrES_Code,$F97,nrES_Att,1)&gt;0),"Yes","No")))</f>
        <v/>
      </c>
      <c r="S97" s="16" t="n"/>
      <c r="T97" s="17">
        <f>IF($Q97&lt;&gt;"Yes","",IF($S97="","(enter date)",_xlfn.LET(_xlpm.dn,IFERROR(_xlfn.XLOOKUP($S97,nrCDdate,nrCDnum),""),IF(_xlpm.dn="","(not a class day)",IFERROR(_xlfn.XLOOKUP(_xlpm.dn+cfgRetestClassDays,nrCDnum,nrCDdate),"")))))</f>
        <v/>
      </c>
      <c r="U97" s="15">
        <f>IF($Q97&lt;&gt;"Yes","",IF(COUNTIFS(nrES_PID,$D97,nrES_Code,$F97,nrES_Att,2)&gt;0,"Retested",IF(OR($T97="",NOT(ISNUMBER($T97))),"Pending",IF(TODAY()&gt;$T97,"OVERDUE","Due "&amp;TEXT($T97,"mm/dd")))))</f>
        <v/>
      </c>
      <c r="V97" s="14" t="n"/>
      <c r="W97" s="14" t="n"/>
    </row>
    <row r="98">
      <c r="B98" s="15">
        <f>IF($C98="","",$D98&amp;"-"&amp;$F98&amp;"-"&amp;$K98)</f>
        <v/>
      </c>
      <c r="C98" s="14" t="n"/>
      <c r="D98" s="15">
        <f>IF($C98="","",IFERROR(INDEX(rngCadetPIDs,MATCH($C98,rngCadetNames,0)),"?"))</f>
        <v/>
      </c>
      <c r="E98" s="15">
        <f>IF($D98="","",IFERROR(INDEX(nrCadetAgency,MATCH($D98,rngCadetPIDs,0)),""))</f>
        <v/>
      </c>
      <c r="F98" s="14" t="n"/>
      <c r="G98" s="15">
        <f>IF($F98="","",IFERROR(INDEX(rngEPname,MATCH($F98,rngEPcode,0)),"?"))</f>
        <v/>
      </c>
      <c r="H98" s="15">
        <f>IF($F98="","",IFERROR(INDEX(rngEPtype,MATCH($F98,rngEPcode,0)),"?"))</f>
        <v/>
      </c>
      <c r="I98" s="15">
        <f>IF($F98="","",IFERROR(INDEX(rngEPseq,MATCH($F98,rngEPcode,0)),""))</f>
        <v/>
      </c>
      <c r="J98" s="15">
        <f>IF($F98="","",IFERROR(INDEX(rngEPpass,MATCH($F98,rngEPcode,0)),cfgPassingScore))</f>
        <v/>
      </c>
      <c r="K98" s="14" t="n"/>
      <c r="L98" s="14" t="n"/>
      <c r="M98" s="15">
        <f>IF($C98="","",IF($L98="","",IF($K98=1,IF(COUNTIFS(nrES_PID,$D98,nrES_Code,$F98,nrES_Att,2)&gt;0,"",$L98),IF(COUNTIFS(nrES_PID,$D98,nrES_Code,$F98,nrES_Att,1)=0,$L98,IF($L98&gt;=$J98,cfgRetakeRecordedCap,SUMIFS(nrES_Raw,nrES_PID,$D98,nrES_Code,$F98,nrES_Att,1))))))</f>
        <v/>
      </c>
      <c r="N98" s="15">
        <f>IF($C98="","",IF($L98="","",IF($L98&gt;=$J98,"Yes","No")))</f>
        <v/>
      </c>
      <c r="O98" s="15">
        <f>IF($C98="","",IF($M98="","",IF($M98&gt;=$J98,"Yes","No")))</f>
        <v/>
      </c>
      <c r="P98" s="15">
        <f>IF($C98="","",IF($K98="","",IF(COUNTIFS(nrES_PID,$D98,nrES_Code,$F98,nrES_Att,"&gt;"&amp;$K98)=0,"Yes","No")))</f>
        <v/>
      </c>
      <c r="Q98" s="15">
        <f>IF($C98="","",IF($L98="","",IF(AND($K98=1,$L98&lt;$J98,COUNTIFS(nrES_PID,$D98,nrES_Code,$F98,nrES_Att,2)=0),"Yes","No")))</f>
        <v/>
      </c>
      <c r="R98" s="15">
        <f>IF($C98="","",IF($L98="","",IF(AND($K98=2,$L98&lt;$J98,COUNTIFS(nrES_PID,$D98,nrES_Code,$F98,nrES_Att,1)&gt;0),"Yes","No")))</f>
        <v/>
      </c>
      <c r="S98" s="16" t="n"/>
      <c r="T98" s="17">
        <f>IF($Q98&lt;&gt;"Yes","",IF($S98="","(enter date)",_xlfn.LET(_xlpm.dn,IFERROR(_xlfn.XLOOKUP($S98,nrCDdate,nrCDnum),""),IF(_xlpm.dn="","(not a class day)",IFERROR(_xlfn.XLOOKUP(_xlpm.dn+cfgRetestClassDays,nrCDnum,nrCDdate),"")))))</f>
        <v/>
      </c>
      <c r="U98" s="15">
        <f>IF($Q98&lt;&gt;"Yes","",IF(COUNTIFS(nrES_PID,$D98,nrES_Code,$F98,nrES_Att,2)&gt;0,"Retested",IF(OR($T98="",NOT(ISNUMBER($T98))),"Pending",IF(TODAY()&gt;$T98,"OVERDUE","Due "&amp;TEXT($T98,"mm/dd")))))</f>
        <v/>
      </c>
      <c r="V98" s="14" t="n"/>
      <c r="W98" s="14" t="n"/>
    </row>
    <row r="99">
      <c r="B99" s="15">
        <f>IF($C99="","",$D99&amp;"-"&amp;$F99&amp;"-"&amp;$K99)</f>
        <v/>
      </c>
      <c r="C99" s="14" t="n"/>
      <c r="D99" s="15">
        <f>IF($C99="","",IFERROR(INDEX(rngCadetPIDs,MATCH($C99,rngCadetNames,0)),"?"))</f>
        <v/>
      </c>
      <c r="E99" s="15">
        <f>IF($D99="","",IFERROR(INDEX(nrCadetAgency,MATCH($D99,rngCadetPIDs,0)),""))</f>
        <v/>
      </c>
      <c r="F99" s="14" t="n"/>
      <c r="G99" s="15">
        <f>IF($F99="","",IFERROR(INDEX(rngEPname,MATCH($F99,rngEPcode,0)),"?"))</f>
        <v/>
      </c>
      <c r="H99" s="15">
        <f>IF($F99="","",IFERROR(INDEX(rngEPtype,MATCH($F99,rngEPcode,0)),"?"))</f>
        <v/>
      </c>
      <c r="I99" s="15">
        <f>IF($F99="","",IFERROR(INDEX(rngEPseq,MATCH($F99,rngEPcode,0)),""))</f>
        <v/>
      </c>
      <c r="J99" s="15">
        <f>IF($F99="","",IFERROR(INDEX(rngEPpass,MATCH($F99,rngEPcode,0)),cfgPassingScore))</f>
        <v/>
      </c>
      <c r="K99" s="14" t="n"/>
      <c r="L99" s="14" t="n"/>
      <c r="M99" s="15">
        <f>IF($C99="","",IF($L99="","",IF($K99=1,IF(COUNTIFS(nrES_PID,$D99,nrES_Code,$F99,nrES_Att,2)&gt;0,"",$L99),IF(COUNTIFS(nrES_PID,$D99,nrES_Code,$F99,nrES_Att,1)=0,$L99,IF($L99&gt;=$J99,cfgRetakeRecordedCap,SUMIFS(nrES_Raw,nrES_PID,$D99,nrES_Code,$F99,nrES_Att,1))))))</f>
        <v/>
      </c>
      <c r="N99" s="15">
        <f>IF($C99="","",IF($L99="","",IF($L99&gt;=$J99,"Yes","No")))</f>
        <v/>
      </c>
      <c r="O99" s="15">
        <f>IF($C99="","",IF($M99="","",IF($M99&gt;=$J99,"Yes","No")))</f>
        <v/>
      </c>
      <c r="P99" s="15">
        <f>IF($C99="","",IF($K99="","",IF(COUNTIFS(nrES_PID,$D99,nrES_Code,$F99,nrES_Att,"&gt;"&amp;$K99)=0,"Yes","No")))</f>
        <v/>
      </c>
      <c r="Q99" s="15">
        <f>IF($C99="","",IF($L99="","",IF(AND($K99=1,$L99&lt;$J99,COUNTIFS(nrES_PID,$D99,nrES_Code,$F99,nrES_Att,2)=0),"Yes","No")))</f>
        <v/>
      </c>
      <c r="R99" s="15">
        <f>IF($C99="","",IF($L99="","",IF(AND($K99=2,$L99&lt;$J99,COUNTIFS(nrES_PID,$D99,nrES_Code,$F99,nrES_Att,1)&gt;0),"Yes","No")))</f>
        <v/>
      </c>
      <c r="S99" s="16" t="n"/>
      <c r="T99" s="17">
        <f>IF($Q99&lt;&gt;"Yes","",IF($S99="","(enter date)",_xlfn.LET(_xlpm.dn,IFERROR(_xlfn.XLOOKUP($S99,nrCDdate,nrCDnum),""),IF(_xlpm.dn="","(not a class day)",IFERROR(_xlfn.XLOOKUP(_xlpm.dn+cfgRetestClassDays,nrCDnum,nrCDdate),"")))))</f>
        <v/>
      </c>
      <c r="U99" s="15">
        <f>IF($Q99&lt;&gt;"Yes","",IF(COUNTIFS(nrES_PID,$D99,nrES_Code,$F99,nrES_Att,2)&gt;0,"Retested",IF(OR($T99="",NOT(ISNUMBER($T99))),"Pending",IF(TODAY()&gt;$T99,"OVERDUE","Due "&amp;TEXT($T99,"mm/dd")))))</f>
        <v/>
      </c>
      <c r="V99" s="14" t="n"/>
      <c r="W99" s="14" t="n"/>
    </row>
    <row r="100">
      <c r="B100" s="15">
        <f>IF($C100="","",$D100&amp;"-"&amp;$F100&amp;"-"&amp;$K100)</f>
        <v/>
      </c>
      <c r="C100" s="14" t="n"/>
      <c r="D100" s="15">
        <f>IF($C100="","",IFERROR(INDEX(rngCadetPIDs,MATCH($C100,rngCadetNames,0)),"?"))</f>
        <v/>
      </c>
      <c r="E100" s="15">
        <f>IF($D100="","",IFERROR(INDEX(nrCadetAgency,MATCH($D100,rngCadetPIDs,0)),""))</f>
        <v/>
      </c>
      <c r="F100" s="14" t="n"/>
      <c r="G100" s="15">
        <f>IF($F100="","",IFERROR(INDEX(rngEPname,MATCH($F100,rngEPcode,0)),"?"))</f>
        <v/>
      </c>
      <c r="H100" s="15">
        <f>IF($F100="","",IFERROR(INDEX(rngEPtype,MATCH($F100,rngEPcode,0)),"?"))</f>
        <v/>
      </c>
      <c r="I100" s="15">
        <f>IF($F100="","",IFERROR(INDEX(rngEPseq,MATCH($F100,rngEPcode,0)),""))</f>
        <v/>
      </c>
      <c r="J100" s="15">
        <f>IF($F100="","",IFERROR(INDEX(rngEPpass,MATCH($F100,rngEPcode,0)),cfgPassingScore))</f>
        <v/>
      </c>
      <c r="K100" s="14" t="n"/>
      <c r="L100" s="14" t="n"/>
      <c r="M100" s="15">
        <f>IF($C100="","",IF($L100="","",IF($K100=1,IF(COUNTIFS(nrES_PID,$D100,nrES_Code,$F100,nrES_Att,2)&gt;0,"",$L100),IF(COUNTIFS(nrES_PID,$D100,nrES_Code,$F100,nrES_Att,1)=0,$L100,IF($L100&gt;=$J100,cfgRetakeRecordedCap,SUMIFS(nrES_Raw,nrES_PID,$D100,nrES_Code,$F100,nrES_Att,1))))))</f>
        <v/>
      </c>
      <c r="N100" s="15">
        <f>IF($C100="","",IF($L100="","",IF($L100&gt;=$J100,"Yes","No")))</f>
        <v/>
      </c>
      <c r="O100" s="15">
        <f>IF($C100="","",IF($M100="","",IF($M100&gt;=$J100,"Yes","No")))</f>
        <v/>
      </c>
      <c r="P100" s="15">
        <f>IF($C100="","",IF($K100="","",IF(COUNTIFS(nrES_PID,$D100,nrES_Code,$F100,nrES_Att,"&gt;"&amp;$K100)=0,"Yes","No")))</f>
        <v/>
      </c>
      <c r="Q100" s="15">
        <f>IF($C100="","",IF($L100="","",IF(AND($K100=1,$L100&lt;$J100,COUNTIFS(nrES_PID,$D100,nrES_Code,$F100,nrES_Att,2)=0),"Yes","No")))</f>
        <v/>
      </c>
      <c r="R100" s="15">
        <f>IF($C100="","",IF($L100="","",IF(AND($K100=2,$L100&lt;$J100,COUNTIFS(nrES_PID,$D100,nrES_Code,$F100,nrES_Att,1)&gt;0),"Yes","No")))</f>
        <v/>
      </c>
      <c r="S100" s="16" t="n"/>
      <c r="T100" s="17">
        <f>IF($Q100&lt;&gt;"Yes","",IF($S100="","(enter date)",_xlfn.LET(_xlpm.dn,IFERROR(_xlfn.XLOOKUP($S100,nrCDdate,nrCDnum),""),IF(_xlpm.dn="","(not a class day)",IFERROR(_xlfn.XLOOKUP(_xlpm.dn+cfgRetestClassDays,nrCDnum,nrCDdate),"")))))</f>
        <v/>
      </c>
      <c r="U100" s="15">
        <f>IF($Q100&lt;&gt;"Yes","",IF(COUNTIFS(nrES_PID,$D100,nrES_Code,$F100,nrES_Att,2)&gt;0,"Retested",IF(OR($T100="",NOT(ISNUMBER($T100))),"Pending",IF(TODAY()&gt;$T100,"OVERDUE","Due "&amp;TEXT($T100,"mm/dd")))))</f>
        <v/>
      </c>
      <c r="V100" s="14" t="n"/>
      <c r="W100" s="14" t="n"/>
    </row>
    <row r="101">
      <c r="B101" s="15">
        <f>IF($C101="","",$D101&amp;"-"&amp;$F101&amp;"-"&amp;$K101)</f>
        <v/>
      </c>
      <c r="C101" s="14" t="n"/>
      <c r="D101" s="15">
        <f>IF($C101="","",IFERROR(INDEX(rngCadetPIDs,MATCH($C101,rngCadetNames,0)),"?"))</f>
        <v/>
      </c>
      <c r="E101" s="15">
        <f>IF($D101="","",IFERROR(INDEX(nrCadetAgency,MATCH($D101,rngCadetPIDs,0)),""))</f>
        <v/>
      </c>
      <c r="F101" s="14" t="n"/>
      <c r="G101" s="15">
        <f>IF($F101="","",IFERROR(INDEX(rngEPname,MATCH($F101,rngEPcode,0)),"?"))</f>
        <v/>
      </c>
      <c r="H101" s="15">
        <f>IF($F101="","",IFERROR(INDEX(rngEPtype,MATCH($F101,rngEPcode,0)),"?"))</f>
        <v/>
      </c>
      <c r="I101" s="15">
        <f>IF($F101="","",IFERROR(INDEX(rngEPseq,MATCH($F101,rngEPcode,0)),""))</f>
        <v/>
      </c>
      <c r="J101" s="15">
        <f>IF($F101="","",IFERROR(INDEX(rngEPpass,MATCH($F101,rngEPcode,0)),cfgPassingScore))</f>
        <v/>
      </c>
      <c r="K101" s="14" t="n"/>
      <c r="L101" s="14" t="n"/>
      <c r="M101" s="15">
        <f>IF($C101="","",IF($L101="","",IF($K101=1,IF(COUNTIFS(nrES_PID,$D101,nrES_Code,$F101,nrES_Att,2)&gt;0,"",$L101),IF(COUNTIFS(nrES_PID,$D101,nrES_Code,$F101,nrES_Att,1)=0,$L101,IF($L101&gt;=$J101,cfgRetakeRecordedCap,SUMIFS(nrES_Raw,nrES_PID,$D101,nrES_Code,$F101,nrES_Att,1))))))</f>
        <v/>
      </c>
      <c r="N101" s="15">
        <f>IF($C101="","",IF($L101="","",IF($L101&gt;=$J101,"Yes","No")))</f>
        <v/>
      </c>
      <c r="O101" s="15">
        <f>IF($C101="","",IF($M101="","",IF($M101&gt;=$J101,"Yes","No")))</f>
        <v/>
      </c>
      <c r="P101" s="15">
        <f>IF($C101="","",IF($K101="","",IF(COUNTIFS(nrES_PID,$D101,nrES_Code,$F101,nrES_Att,"&gt;"&amp;$K101)=0,"Yes","No")))</f>
        <v/>
      </c>
      <c r="Q101" s="15">
        <f>IF($C101="","",IF($L101="","",IF(AND($K101=1,$L101&lt;$J101,COUNTIFS(nrES_PID,$D101,nrES_Code,$F101,nrES_Att,2)=0),"Yes","No")))</f>
        <v/>
      </c>
      <c r="R101" s="15">
        <f>IF($C101="","",IF($L101="","",IF(AND($K101=2,$L101&lt;$J101,COUNTIFS(nrES_PID,$D101,nrES_Code,$F101,nrES_Att,1)&gt;0),"Yes","No")))</f>
        <v/>
      </c>
      <c r="S101" s="16" t="n"/>
      <c r="T101" s="17">
        <f>IF($Q101&lt;&gt;"Yes","",IF($S101="","(enter date)",_xlfn.LET(_xlpm.dn,IFERROR(_xlfn.XLOOKUP($S101,nrCDdate,nrCDnum),""),IF(_xlpm.dn="","(not a class day)",IFERROR(_xlfn.XLOOKUP(_xlpm.dn+cfgRetestClassDays,nrCDnum,nrCDdate),"")))))</f>
        <v/>
      </c>
      <c r="U101" s="15">
        <f>IF($Q101&lt;&gt;"Yes","",IF(COUNTIFS(nrES_PID,$D101,nrES_Code,$F101,nrES_Att,2)&gt;0,"Retested",IF(OR($T101="",NOT(ISNUMBER($T101))),"Pending",IF(TODAY()&gt;$T101,"OVERDUE","Due "&amp;TEXT($T101,"mm/dd")))))</f>
        <v/>
      </c>
      <c r="V101" s="14" t="n"/>
      <c r="W101" s="14" t="n"/>
    </row>
    <row r="102">
      <c r="B102" s="15">
        <f>IF($C102="","",$D102&amp;"-"&amp;$F102&amp;"-"&amp;$K102)</f>
        <v/>
      </c>
      <c r="C102" s="14" t="n"/>
      <c r="D102" s="15">
        <f>IF($C102="","",IFERROR(INDEX(rngCadetPIDs,MATCH($C102,rngCadetNames,0)),"?"))</f>
        <v/>
      </c>
      <c r="E102" s="15">
        <f>IF($D102="","",IFERROR(INDEX(nrCadetAgency,MATCH($D102,rngCadetPIDs,0)),""))</f>
        <v/>
      </c>
      <c r="F102" s="14" t="n"/>
      <c r="G102" s="15">
        <f>IF($F102="","",IFERROR(INDEX(rngEPname,MATCH($F102,rngEPcode,0)),"?"))</f>
        <v/>
      </c>
      <c r="H102" s="15">
        <f>IF($F102="","",IFERROR(INDEX(rngEPtype,MATCH($F102,rngEPcode,0)),"?"))</f>
        <v/>
      </c>
      <c r="I102" s="15">
        <f>IF($F102="","",IFERROR(INDEX(rngEPseq,MATCH($F102,rngEPcode,0)),""))</f>
        <v/>
      </c>
      <c r="J102" s="15">
        <f>IF($F102="","",IFERROR(INDEX(rngEPpass,MATCH($F102,rngEPcode,0)),cfgPassingScore))</f>
        <v/>
      </c>
      <c r="K102" s="14" t="n"/>
      <c r="L102" s="14" t="n"/>
      <c r="M102" s="15">
        <f>IF($C102="","",IF($L102="","",IF($K102=1,IF(COUNTIFS(nrES_PID,$D102,nrES_Code,$F102,nrES_Att,2)&gt;0,"",$L102),IF(COUNTIFS(nrES_PID,$D102,nrES_Code,$F102,nrES_Att,1)=0,$L102,IF($L102&gt;=$J102,cfgRetakeRecordedCap,SUMIFS(nrES_Raw,nrES_PID,$D102,nrES_Code,$F102,nrES_Att,1))))))</f>
        <v/>
      </c>
      <c r="N102" s="15">
        <f>IF($C102="","",IF($L102="","",IF($L102&gt;=$J102,"Yes","No")))</f>
        <v/>
      </c>
      <c r="O102" s="15">
        <f>IF($C102="","",IF($M102="","",IF($M102&gt;=$J102,"Yes","No")))</f>
        <v/>
      </c>
      <c r="P102" s="15">
        <f>IF($C102="","",IF($K102="","",IF(COUNTIFS(nrES_PID,$D102,nrES_Code,$F102,nrES_Att,"&gt;"&amp;$K102)=0,"Yes","No")))</f>
        <v/>
      </c>
      <c r="Q102" s="15">
        <f>IF($C102="","",IF($L102="","",IF(AND($K102=1,$L102&lt;$J102,COUNTIFS(nrES_PID,$D102,nrES_Code,$F102,nrES_Att,2)=0),"Yes","No")))</f>
        <v/>
      </c>
      <c r="R102" s="15">
        <f>IF($C102="","",IF($L102="","",IF(AND($K102=2,$L102&lt;$J102,COUNTIFS(nrES_PID,$D102,nrES_Code,$F102,nrES_Att,1)&gt;0),"Yes","No")))</f>
        <v/>
      </c>
      <c r="S102" s="16" t="n"/>
      <c r="T102" s="17">
        <f>IF($Q102&lt;&gt;"Yes","",IF($S102="","(enter date)",_xlfn.LET(_xlpm.dn,IFERROR(_xlfn.XLOOKUP($S102,nrCDdate,nrCDnum),""),IF(_xlpm.dn="","(not a class day)",IFERROR(_xlfn.XLOOKUP(_xlpm.dn+cfgRetestClassDays,nrCDnum,nrCDdate),"")))))</f>
        <v/>
      </c>
      <c r="U102" s="15">
        <f>IF($Q102&lt;&gt;"Yes","",IF(COUNTIFS(nrES_PID,$D102,nrES_Code,$F102,nrES_Att,2)&gt;0,"Retested",IF(OR($T102="",NOT(ISNUMBER($T102))),"Pending",IF(TODAY()&gt;$T102,"OVERDUE","Due "&amp;TEXT($T102,"mm/dd")))))</f>
        <v/>
      </c>
      <c r="V102" s="14" t="n"/>
      <c r="W102" s="14" t="n"/>
    </row>
    <row r="103">
      <c r="B103" s="15">
        <f>IF($C103="","",$D103&amp;"-"&amp;$F103&amp;"-"&amp;$K103)</f>
        <v/>
      </c>
      <c r="C103" s="14" t="n"/>
      <c r="D103" s="15">
        <f>IF($C103="","",IFERROR(INDEX(rngCadetPIDs,MATCH($C103,rngCadetNames,0)),"?"))</f>
        <v/>
      </c>
      <c r="E103" s="15">
        <f>IF($D103="","",IFERROR(INDEX(nrCadetAgency,MATCH($D103,rngCadetPIDs,0)),""))</f>
        <v/>
      </c>
      <c r="F103" s="14" t="n"/>
      <c r="G103" s="15">
        <f>IF($F103="","",IFERROR(INDEX(rngEPname,MATCH($F103,rngEPcode,0)),"?"))</f>
        <v/>
      </c>
      <c r="H103" s="15">
        <f>IF($F103="","",IFERROR(INDEX(rngEPtype,MATCH($F103,rngEPcode,0)),"?"))</f>
        <v/>
      </c>
      <c r="I103" s="15">
        <f>IF($F103="","",IFERROR(INDEX(rngEPseq,MATCH($F103,rngEPcode,0)),""))</f>
        <v/>
      </c>
      <c r="J103" s="15">
        <f>IF($F103="","",IFERROR(INDEX(rngEPpass,MATCH($F103,rngEPcode,0)),cfgPassingScore))</f>
        <v/>
      </c>
      <c r="K103" s="14" t="n"/>
      <c r="L103" s="14" t="n"/>
      <c r="M103" s="15">
        <f>IF($C103="","",IF($L103="","",IF($K103=1,IF(COUNTIFS(nrES_PID,$D103,nrES_Code,$F103,nrES_Att,2)&gt;0,"",$L103),IF(COUNTIFS(nrES_PID,$D103,nrES_Code,$F103,nrES_Att,1)=0,$L103,IF($L103&gt;=$J103,cfgRetakeRecordedCap,SUMIFS(nrES_Raw,nrES_PID,$D103,nrES_Code,$F103,nrES_Att,1))))))</f>
        <v/>
      </c>
      <c r="N103" s="15">
        <f>IF($C103="","",IF($L103="","",IF($L103&gt;=$J103,"Yes","No")))</f>
        <v/>
      </c>
      <c r="O103" s="15">
        <f>IF($C103="","",IF($M103="","",IF($M103&gt;=$J103,"Yes","No")))</f>
        <v/>
      </c>
      <c r="P103" s="15">
        <f>IF($C103="","",IF($K103="","",IF(COUNTIFS(nrES_PID,$D103,nrES_Code,$F103,nrES_Att,"&gt;"&amp;$K103)=0,"Yes","No")))</f>
        <v/>
      </c>
      <c r="Q103" s="15">
        <f>IF($C103="","",IF($L103="","",IF(AND($K103=1,$L103&lt;$J103,COUNTIFS(nrES_PID,$D103,nrES_Code,$F103,nrES_Att,2)=0),"Yes","No")))</f>
        <v/>
      </c>
      <c r="R103" s="15">
        <f>IF($C103="","",IF($L103="","",IF(AND($K103=2,$L103&lt;$J103,COUNTIFS(nrES_PID,$D103,nrES_Code,$F103,nrES_Att,1)&gt;0),"Yes","No")))</f>
        <v/>
      </c>
      <c r="S103" s="16" t="n"/>
      <c r="T103" s="17">
        <f>IF($Q103&lt;&gt;"Yes","",IF($S103="","(enter date)",_xlfn.LET(_xlpm.dn,IFERROR(_xlfn.XLOOKUP($S103,nrCDdate,nrCDnum),""),IF(_xlpm.dn="","(not a class day)",IFERROR(_xlfn.XLOOKUP(_xlpm.dn+cfgRetestClassDays,nrCDnum,nrCDdate),"")))))</f>
        <v/>
      </c>
      <c r="U103" s="15">
        <f>IF($Q103&lt;&gt;"Yes","",IF(COUNTIFS(nrES_PID,$D103,nrES_Code,$F103,nrES_Att,2)&gt;0,"Retested",IF(OR($T103="",NOT(ISNUMBER($T103))),"Pending",IF(TODAY()&gt;$T103,"OVERDUE","Due "&amp;TEXT($T103,"mm/dd")))))</f>
        <v/>
      </c>
      <c r="V103" s="14" t="n"/>
      <c r="W103" s="14" t="n"/>
    </row>
    <row r="104">
      <c r="B104" s="15">
        <f>IF($C104="","",$D104&amp;"-"&amp;$F104&amp;"-"&amp;$K104)</f>
        <v/>
      </c>
      <c r="C104" s="14" t="n"/>
      <c r="D104" s="15">
        <f>IF($C104="","",IFERROR(INDEX(rngCadetPIDs,MATCH($C104,rngCadetNames,0)),"?"))</f>
        <v/>
      </c>
      <c r="E104" s="15">
        <f>IF($D104="","",IFERROR(INDEX(nrCadetAgency,MATCH($D104,rngCadetPIDs,0)),""))</f>
        <v/>
      </c>
      <c r="F104" s="14" t="n"/>
      <c r="G104" s="15">
        <f>IF($F104="","",IFERROR(INDEX(rngEPname,MATCH($F104,rngEPcode,0)),"?"))</f>
        <v/>
      </c>
      <c r="H104" s="15">
        <f>IF($F104="","",IFERROR(INDEX(rngEPtype,MATCH($F104,rngEPcode,0)),"?"))</f>
        <v/>
      </c>
      <c r="I104" s="15">
        <f>IF($F104="","",IFERROR(INDEX(rngEPseq,MATCH($F104,rngEPcode,0)),""))</f>
        <v/>
      </c>
      <c r="J104" s="15">
        <f>IF($F104="","",IFERROR(INDEX(rngEPpass,MATCH($F104,rngEPcode,0)),cfgPassingScore))</f>
        <v/>
      </c>
      <c r="K104" s="14" t="n"/>
      <c r="L104" s="14" t="n"/>
      <c r="M104" s="15">
        <f>IF($C104="","",IF($L104="","",IF($K104=1,IF(COUNTIFS(nrES_PID,$D104,nrES_Code,$F104,nrES_Att,2)&gt;0,"",$L104),IF(COUNTIFS(nrES_PID,$D104,nrES_Code,$F104,nrES_Att,1)=0,$L104,IF($L104&gt;=$J104,cfgRetakeRecordedCap,SUMIFS(nrES_Raw,nrES_PID,$D104,nrES_Code,$F104,nrES_Att,1))))))</f>
        <v/>
      </c>
      <c r="N104" s="15">
        <f>IF($C104="","",IF($L104="","",IF($L104&gt;=$J104,"Yes","No")))</f>
        <v/>
      </c>
      <c r="O104" s="15">
        <f>IF($C104="","",IF($M104="","",IF($M104&gt;=$J104,"Yes","No")))</f>
        <v/>
      </c>
      <c r="P104" s="15">
        <f>IF($C104="","",IF($K104="","",IF(COUNTIFS(nrES_PID,$D104,nrES_Code,$F104,nrES_Att,"&gt;"&amp;$K104)=0,"Yes","No")))</f>
        <v/>
      </c>
      <c r="Q104" s="15">
        <f>IF($C104="","",IF($L104="","",IF(AND($K104=1,$L104&lt;$J104,COUNTIFS(nrES_PID,$D104,nrES_Code,$F104,nrES_Att,2)=0),"Yes","No")))</f>
        <v/>
      </c>
      <c r="R104" s="15">
        <f>IF($C104="","",IF($L104="","",IF(AND($K104=2,$L104&lt;$J104,COUNTIFS(nrES_PID,$D104,nrES_Code,$F104,nrES_Att,1)&gt;0),"Yes","No")))</f>
        <v/>
      </c>
      <c r="S104" s="16" t="n"/>
      <c r="T104" s="17">
        <f>IF($Q104&lt;&gt;"Yes","",IF($S104="","(enter date)",_xlfn.LET(_xlpm.dn,IFERROR(_xlfn.XLOOKUP($S104,nrCDdate,nrCDnum),""),IF(_xlpm.dn="","(not a class day)",IFERROR(_xlfn.XLOOKUP(_xlpm.dn+cfgRetestClassDays,nrCDnum,nrCDdate),"")))))</f>
        <v/>
      </c>
      <c r="U104" s="15">
        <f>IF($Q104&lt;&gt;"Yes","",IF(COUNTIFS(nrES_PID,$D104,nrES_Code,$F104,nrES_Att,2)&gt;0,"Retested",IF(OR($T104="",NOT(ISNUMBER($T104))),"Pending",IF(TODAY()&gt;$T104,"OVERDUE","Due "&amp;TEXT($T104,"mm/dd")))))</f>
        <v/>
      </c>
      <c r="V104" s="14" t="n"/>
      <c r="W104" s="14" t="n"/>
    </row>
    <row r="105">
      <c r="B105" s="15">
        <f>IF($C105="","",$D105&amp;"-"&amp;$F105&amp;"-"&amp;$K105)</f>
        <v/>
      </c>
      <c r="C105" s="14" t="n"/>
      <c r="D105" s="15">
        <f>IF($C105="","",IFERROR(INDEX(rngCadetPIDs,MATCH($C105,rngCadetNames,0)),"?"))</f>
        <v/>
      </c>
      <c r="E105" s="15">
        <f>IF($D105="","",IFERROR(INDEX(nrCadetAgency,MATCH($D105,rngCadetPIDs,0)),""))</f>
        <v/>
      </c>
      <c r="F105" s="14" t="n"/>
      <c r="G105" s="15">
        <f>IF($F105="","",IFERROR(INDEX(rngEPname,MATCH($F105,rngEPcode,0)),"?"))</f>
        <v/>
      </c>
      <c r="H105" s="15">
        <f>IF($F105="","",IFERROR(INDEX(rngEPtype,MATCH($F105,rngEPcode,0)),"?"))</f>
        <v/>
      </c>
      <c r="I105" s="15">
        <f>IF($F105="","",IFERROR(INDEX(rngEPseq,MATCH($F105,rngEPcode,0)),""))</f>
        <v/>
      </c>
      <c r="J105" s="15">
        <f>IF($F105="","",IFERROR(INDEX(rngEPpass,MATCH($F105,rngEPcode,0)),cfgPassingScore))</f>
        <v/>
      </c>
      <c r="K105" s="14" t="n"/>
      <c r="L105" s="14" t="n"/>
      <c r="M105" s="15">
        <f>IF($C105="","",IF($L105="","",IF($K105=1,IF(COUNTIFS(nrES_PID,$D105,nrES_Code,$F105,nrES_Att,2)&gt;0,"",$L105),IF(COUNTIFS(nrES_PID,$D105,nrES_Code,$F105,nrES_Att,1)=0,$L105,IF($L105&gt;=$J105,cfgRetakeRecordedCap,SUMIFS(nrES_Raw,nrES_PID,$D105,nrES_Code,$F105,nrES_Att,1))))))</f>
        <v/>
      </c>
      <c r="N105" s="15">
        <f>IF($C105="","",IF($L105="","",IF($L105&gt;=$J105,"Yes","No")))</f>
        <v/>
      </c>
      <c r="O105" s="15">
        <f>IF($C105="","",IF($M105="","",IF($M105&gt;=$J105,"Yes","No")))</f>
        <v/>
      </c>
      <c r="P105" s="15">
        <f>IF($C105="","",IF($K105="","",IF(COUNTIFS(nrES_PID,$D105,nrES_Code,$F105,nrES_Att,"&gt;"&amp;$K105)=0,"Yes","No")))</f>
        <v/>
      </c>
      <c r="Q105" s="15">
        <f>IF($C105="","",IF($L105="","",IF(AND($K105=1,$L105&lt;$J105,COUNTIFS(nrES_PID,$D105,nrES_Code,$F105,nrES_Att,2)=0),"Yes","No")))</f>
        <v/>
      </c>
      <c r="R105" s="15">
        <f>IF($C105="","",IF($L105="","",IF(AND($K105=2,$L105&lt;$J105,COUNTIFS(nrES_PID,$D105,nrES_Code,$F105,nrES_Att,1)&gt;0),"Yes","No")))</f>
        <v/>
      </c>
      <c r="S105" s="16" t="n"/>
      <c r="T105" s="17">
        <f>IF($Q105&lt;&gt;"Yes","",IF($S105="","(enter date)",_xlfn.LET(_xlpm.dn,IFERROR(_xlfn.XLOOKUP($S105,nrCDdate,nrCDnum),""),IF(_xlpm.dn="","(not a class day)",IFERROR(_xlfn.XLOOKUP(_xlpm.dn+cfgRetestClassDays,nrCDnum,nrCDdate),"")))))</f>
        <v/>
      </c>
      <c r="U105" s="15">
        <f>IF($Q105&lt;&gt;"Yes","",IF(COUNTIFS(nrES_PID,$D105,nrES_Code,$F105,nrES_Att,2)&gt;0,"Retested",IF(OR($T105="",NOT(ISNUMBER($T105))),"Pending",IF(TODAY()&gt;$T105,"OVERDUE","Due "&amp;TEXT($T105,"mm/dd")))))</f>
        <v/>
      </c>
      <c r="V105" s="14" t="n"/>
      <c r="W105" s="14" t="n"/>
    </row>
    <row r="106">
      <c r="B106" s="15">
        <f>IF($C106="","",$D106&amp;"-"&amp;$F106&amp;"-"&amp;$K106)</f>
        <v/>
      </c>
      <c r="C106" s="14" t="n"/>
      <c r="D106" s="15">
        <f>IF($C106="","",IFERROR(INDEX(rngCadetPIDs,MATCH($C106,rngCadetNames,0)),"?"))</f>
        <v/>
      </c>
      <c r="E106" s="15">
        <f>IF($D106="","",IFERROR(INDEX(nrCadetAgency,MATCH($D106,rngCadetPIDs,0)),""))</f>
        <v/>
      </c>
      <c r="F106" s="14" t="n"/>
      <c r="G106" s="15">
        <f>IF($F106="","",IFERROR(INDEX(rngEPname,MATCH($F106,rngEPcode,0)),"?"))</f>
        <v/>
      </c>
      <c r="H106" s="15">
        <f>IF($F106="","",IFERROR(INDEX(rngEPtype,MATCH($F106,rngEPcode,0)),"?"))</f>
        <v/>
      </c>
      <c r="I106" s="15">
        <f>IF($F106="","",IFERROR(INDEX(rngEPseq,MATCH($F106,rngEPcode,0)),""))</f>
        <v/>
      </c>
      <c r="J106" s="15">
        <f>IF($F106="","",IFERROR(INDEX(rngEPpass,MATCH($F106,rngEPcode,0)),cfgPassingScore))</f>
        <v/>
      </c>
      <c r="K106" s="14" t="n"/>
      <c r="L106" s="14" t="n"/>
      <c r="M106" s="15">
        <f>IF($C106="","",IF($L106="","",IF($K106=1,IF(COUNTIFS(nrES_PID,$D106,nrES_Code,$F106,nrES_Att,2)&gt;0,"",$L106),IF(COUNTIFS(nrES_PID,$D106,nrES_Code,$F106,nrES_Att,1)=0,$L106,IF($L106&gt;=$J106,cfgRetakeRecordedCap,SUMIFS(nrES_Raw,nrES_PID,$D106,nrES_Code,$F106,nrES_Att,1))))))</f>
        <v/>
      </c>
      <c r="N106" s="15">
        <f>IF($C106="","",IF($L106="","",IF($L106&gt;=$J106,"Yes","No")))</f>
        <v/>
      </c>
      <c r="O106" s="15">
        <f>IF($C106="","",IF($M106="","",IF($M106&gt;=$J106,"Yes","No")))</f>
        <v/>
      </c>
      <c r="P106" s="15">
        <f>IF($C106="","",IF($K106="","",IF(COUNTIFS(nrES_PID,$D106,nrES_Code,$F106,nrES_Att,"&gt;"&amp;$K106)=0,"Yes","No")))</f>
        <v/>
      </c>
      <c r="Q106" s="15">
        <f>IF($C106="","",IF($L106="","",IF(AND($K106=1,$L106&lt;$J106,COUNTIFS(nrES_PID,$D106,nrES_Code,$F106,nrES_Att,2)=0),"Yes","No")))</f>
        <v/>
      </c>
      <c r="R106" s="15">
        <f>IF($C106="","",IF($L106="","",IF(AND($K106=2,$L106&lt;$J106,COUNTIFS(nrES_PID,$D106,nrES_Code,$F106,nrES_Att,1)&gt;0),"Yes","No")))</f>
        <v/>
      </c>
      <c r="S106" s="16" t="n"/>
      <c r="T106" s="17">
        <f>IF($Q106&lt;&gt;"Yes","",IF($S106="","(enter date)",_xlfn.LET(_xlpm.dn,IFERROR(_xlfn.XLOOKUP($S106,nrCDdate,nrCDnum),""),IF(_xlpm.dn="","(not a class day)",IFERROR(_xlfn.XLOOKUP(_xlpm.dn+cfgRetestClassDays,nrCDnum,nrCDdate),"")))))</f>
        <v/>
      </c>
      <c r="U106" s="15">
        <f>IF($Q106&lt;&gt;"Yes","",IF(COUNTIFS(nrES_PID,$D106,nrES_Code,$F106,nrES_Att,2)&gt;0,"Retested",IF(OR($T106="",NOT(ISNUMBER($T106))),"Pending",IF(TODAY()&gt;$T106,"OVERDUE","Due "&amp;TEXT($T106,"mm/dd")))))</f>
        <v/>
      </c>
      <c r="V106" s="14" t="n"/>
      <c r="W106" s="14" t="n"/>
    </row>
    <row r="107">
      <c r="B107" s="15">
        <f>IF($C107="","",$D107&amp;"-"&amp;$F107&amp;"-"&amp;$K107)</f>
        <v/>
      </c>
      <c r="C107" s="14" t="n"/>
      <c r="D107" s="15">
        <f>IF($C107="","",IFERROR(INDEX(rngCadetPIDs,MATCH($C107,rngCadetNames,0)),"?"))</f>
        <v/>
      </c>
      <c r="E107" s="15">
        <f>IF($D107="","",IFERROR(INDEX(nrCadetAgency,MATCH($D107,rngCadetPIDs,0)),""))</f>
        <v/>
      </c>
      <c r="F107" s="14" t="n"/>
      <c r="G107" s="15">
        <f>IF($F107="","",IFERROR(INDEX(rngEPname,MATCH($F107,rngEPcode,0)),"?"))</f>
        <v/>
      </c>
      <c r="H107" s="15">
        <f>IF($F107="","",IFERROR(INDEX(rngEPtype,MATCH($F107,rngEPcode,0)),"?"))</f>
        <v/>
      </c>
      <c r="I107" s="15">
        <f>IF($F107="","",IFERROR(INDEX(rngEPseq,MATCH($F107,rngEPcode,0)),""))</f>
        <v/>
      </c>
      <c r="J107" s="15">
        <f>IF($F107="","",IFERROR(INDEX(rngEPpass,MATCH($F107,rngEPcode,0)),cfgPassingScore))</f>
        <v/>
      </c>
      <c r="K107" s="14" t="n"/>
      <c r="L107" s="14" t="n"/>
      <c r="M107" s="15">
        <f>IF($C107="","",IF($L107="","",IF($K107=1,IF(COUNTIFS(nrES_PID,$D107,nrES_Code,$F107,nrES_Att,2)&gt;0,"",$L107),IF(COUNTIFS(nrES_PID,$D107,nrES_Code,$F107,nrES_Att,1)=0,$L107,IF($L107&gt;=$J107,cfgRetakeRecordedCap,SUMIFS(nrES_Raw,nrES_PID,$D107,nrES_Code,$F107,nrES_Att,1))))))</f>
        <v/>
      </c>
      <c r="N107" s="15">
        <f>IF($C107="","",IF($L107="","",IF($L107&gt;=$J107,"Yes","No")))</f>
        <v/>
      </c>
      <c r="O107" s="15">
        <f>IF($C107="","",IF($M107="","",IF($M107&gt;=$J107,"Yes","No")))</f>
        <v/>
      </c>
      <c r="P107" s="15">
        <f>IF($C107="","",IF($K107="","",IF(COUNTIFS(nrES_PID,$D107,nrES_Code,$F107,nrES_Att,"&gt;"&amp;$K107)=0,"Yes","No")))</f>
        <v/>
      </c>
      <c r="Q107" s="15">
        <f>IF($C107="","",IF($L107="","",IF(AND($K107=1,$L107&lt;$J107,COUNTIFS(nrES_PID,$D107,nrES_Code,$F107,nrES_Att,2)=0),"Yes","No")))</f>
        <v/>
      </c>
      <c r="R107" s="15">
        <f>IF($C107="","",IF($L107="","",IF(AND($K107=2,$L107&lt;$J107,COUNTIFS(nrES_PID,$D107,nrES_Code,$F107,nrES_Att,1)&gt;0),"Yes","No")))</f>
        <v/>
      </c>
      <c r="S107" s="16" t="n"/>
      <c r="T107" s="17">
        <f>IF($Q107&lt;&gt;"Yes","",IF($S107="","(enter date)",_xlfn.LET(_xlpm.dn,IFERROR(_xlfn.XLOOKUP($S107,nrCDdate,nrCDnum),""),IF(_xlpm.dn="","(not a class day)",IFERROR(_xlfn.XLOOKUP(_xlpm.dn+cfgRetestClassDays,nrCDnum,nrCDdate),"")))))</f>
        <v/>
      </c>
      <c r="U107" s="15">
        <f>IF($Q107&lt;&gt;"Yes","",IF(COUNTIFS(nrES_PID,$D107,nrES_Code,$F107,nrES_Att,2)&gt;0,"Retested",IF(OR($T107="",NOT(ISNUMBER($T107))),"Pending",IF(TODAY()&gt;$T107,"OVERDUE","Due "&amp;TEXT($T107,"mm/dd")))))</f>
        <v/>
      </c>
      <c r="V107" s="14" t="n"/>
      <c r="W107" s="14" t="n"/>
    </row>
    <row r="108">
      <c r="B108" s="15">
        <f>IF($C108="","",$D108&amp;"-"&amp;$F108&amp;"-"&amp;$K108)</f>
        <v/>
      </c>
      <c r="C108" s="14" t="n"/>
      <c r="D108" s="15">
        <f>IF($C108="","",IFERROR(INDEX(rngCadetPIDs,MATCH($C108,rngCadetNames,0)),"?"))</f>
        <v/>
      </c>
      <c r="E108" s="15">
        <f>IF($D108="","",IFERROR(INDEX(nrCadetAgency,MATCH($D108,rngCadetPIDs,0)),""))</f>
        <v/>
      </c>
      <c r="F108" s="14" t="n"/>
      <c r="G108" s="15">
        <f>IF($F108="","",IFERROR(INDEX(rngEPname,MATCH($F108,rngEPcode,0)),"?"))</f>
        <v/>
      </c>
      <c r="H108" s="15">
        <f>IF($F108="","",IFERROR(INDEX(rngEPtype,MATCH($F108,rngEPcode,0)),"?"))</f>
        <v/>
      </c>
      <c r="I108" s="15">
        <f>IF($F108="","",IFERROR(INDEX(rngEPseq,MATCH($F108,rngEPcode,0)),""))</f>
        <v/>
      </c>
      <c r="J108" s="15">
        <f>IF($F108="","",IFERROR(INDEX(rngEPpass,MATCH($F108,rngEPcode,0)),cfgPassingScore))</f>
        <v/>
      </c>
      <c r="K108" s="14" t="n"/>
      <c r="L108" s="14" t="n"/>
      <c r="M108" s="15">
        <f>IF($C108="","",IF($L108="","",IF($K108=1,IF(COUNTIFS(nrES_PID,$D108,nrES_Code,$F108,nrES_Att,2)&gt;0,"",$L108),IF(COUNTIFS(nrES_PID,$D108,nrES_Code,$F108,nrES_Att,1)=0,$L108,IF($L108&gt;=$J108,cfgRetakeRecordedCap,SUMIFS(nrES_Raw,nrES_PID,$D108,nrES_Code,$F108,nrES_Att,1))))))</f>
        <v/>
      </c>
      <c r="N108" s="15">
        <f>IF($C108="","",IF($L108="","",IF($L108&gt;=$J108,"Yes","No")))</f>
        <v/>
      </c>
      <c r="O108" s="15">
        <f>IF($C108="","",IF($M108="","",IF($M108&gt;=$J108,"Yes","No")))</f>
        <v/>
      </c>
      <c r="P108" s="15">
        <f>IF($C108="","",IF($K108="","",IF(COUNTIFS(nrES_PID,$D108,nrES_Code,$F108,nrES_Att,"&gt;"&amp;$K108)=0,"Yes","No")))</f>
        <v/>
      </c>
      <c r="Q108" s="15">
        <f>IF($C108="","",IF($L108="","",IF(AND($K108=1,$L108&lt;$J108,COUNTIFS(nrES_PID,$D108,nrES_Code,$F108,nrES_Att,2)=0),"Yes","No")))</f>
        <v/>
      </c>
      <c r="R108" s="15">
        <f>IF($C108="","",IF($L108="","",IF(AND($K108=2,$L108&lt;$J108,COUNTIFS(nrES_PID,$D108,nrES_Code,$F108,nrES_Att,1)&gt;0),"Yes","No")))</f>
        <v/>
      </c>
      <c r="S108" s="16" t="n"/>
      <c r="T108" s="17">
        <f>IF($Q108&lt;&gt;"Yes","",IF($S108="","(enter date)",_xlfn.LET(_xlpm.dn,IFERROR(_xlfn.XLOOKUP($S108,nrCDdate,nrCDnum),""),IF(_xlpm.dn="","(not a class day)",IFERROR(_xlfn.XLOOKUP(_xlpm.dn+cfgRetestClassDays,nrCDnum,nrCDdate),"")))))</f>
        <v/>
      </c>
      <c r="U108" s="15">
        <f>IF($Q108&lt;&gt;"Yes","",IF(COUNTIFS(nrES_PID,$D108,nrES_Code,$F108,nrES_Att,2)&gt;0,"Retested",IF(OR($T108="",NOT(ISNUMBER($T108))),"Pending",IF(TODAY()&gt;$T108,"OVERDUE","Due "&amp;TEXT($T108,"mm/dd")))))</f>
        <v/>
      </c>
      <c r="V108" s="14" t="n"/>
      <c r="W108" s="14" t="n"/>
    </row>
    <row r="109">
      <c r="B109" s="15">
        <f>IF($C109="","",$D109&amp;"-"&amp;$F109&amp;"-"&amp;$K109)</f>
        <v/>
      </c>
      <c r="C109" s="14" t="n"/>
      <c r="D109" s="15">
        <f>IF($C109="","",IFERROR(INDEX(rngCadetPIDs,MATCH($C109,rngCadetNames,0)),"?"))</f>
        <v/>
      </c>
      <c r="E109" s="15">
        <f>IF($D109="","",IFERROR(INDEX(nrCadetAgency,MATCH($D109,rngCadetPIDs,0)),""))</f>
        <v/>
      </c>
      <c r="F109" s="14" t="n"/>
      <c r="G109" s="15">
        <f>IF($F109="","",IFERROR(INDEX(rngEPname,MATCH($F109,rngEPcode,0)),"?"))</f>
        <v/>
      </c>
      <c r="H109" s="15">
        <f>IF($F109="","",IFERROR(INDEX(rngEPtype,MATCH($F109,rngEPcode,0)),"?"))</f>
        <v/>
      </c>
      <c r="I109" s="15">
        <f>IF($F109="","",IFERROR(INDEX(rngEPseq,MATCH($F109,rngEPcode,0)),""))</f>
        <v/>
      </c>
      <c r="J109" s="15">
        <f>IF($F109="","",IFERROR(INDEX(rngEPpass,MATCH($F109,rngEPcode,0)),cfgPassingScore))</f>
        <v/>
      </c>
      <c r="K109" s="14" t="n"/>
      <c r="L109" s="14" t="n"/>
      <c r="M109" s="15">
        <f>IF($C109="","",IF($L109="","",IF($K109=1,IF(COUNTIFS(nrES_PID,$D109,nrES_Code,$F109,nrES_Att,2)&gt;0,"",$L109),IF(COUNTIFS(nrES_PID,$D109,nrES_Code,$F109,nrES_Att,1)=0,$L109,IF($L109&gt;=$J109,cfgRetakeRecordedCap,SUMIFS(nrES_Raw,nrES_PID,$D109,nrES_Code,$F109,nrES_Att,1))))))</f>
        <v/>
      </c>
      <c r="N109" s="15">
        <f>IF($C109="","",IF($L109="","",IF($L109&gt;=$J109,"Yes","No")))</f>
        <v/>
      </c>
      <c r="O109" s="15">
        <f>IF($C109="","",IF($M109="","",IF($M109&gt;=$J109,"Yes","No")))</f>
        <v/>
      </c>
      <c r="P109" s="15">
        <f>IF($C109="","",IF($K109="","",IF(COUNTIFS(nrES_PID,$D109,nrES_Code,$F109,nrES_Att,"&gt;"&amp;$K109)=0,"Yes","No")))</f>
        <v/>
      </c>
      <c r="Q109" s="15">
        <f>IF($C109="","",IF($L109="","",IF(AND($K109=1,$L109&lt;$J109,COUNTIFS(nrES_PID,$D109,nrES_Code,$F109,nrES_Att,2)=0),"Yes","No")))</f>
        <v/>
      </c>
      <c r="R109" s="15">
        <f>IF($C109="","",IF($L109="","",IF(AND($K109=2,$L109&lt;$J109,COUNTIFS(nrES_PID,$D109,nrES_Code,$F109,nrES_Att,1)&gt;0),"Yes","No")))</f>
        <v/>
      </c>
      <c r="S109" s="16" t="n"/>
      <c r="T109" s="17">
        <f>IF($Q109&lt;&gt;"Yes","",IF($S109="","(enter date)",_xlfn.LET(_xlpm.dn,IFERROR(_xlfn.XLOOKUP($S109,nrCDdate,nrCDnum),""),IF(_xlpm.dn="","(not a class day)",IFERROR(_xlfn.XLOOKUP(_xlpm.dn+cfgRetestClassDays,nrCDnum,nrCDdate),"")))))</f>
        <v/>
      </c>
      <c r="U109" s="15">
        <f>IF($Q109&lt;&gt;"Yes","",IF(COUNTIFS(nrES_PID,$D109,nrES_Code,$F109,nrES_Att,2)&gt;0,"Retested",IF(OR($T109="",NOT(ISNUMBER($T109))),"Pending",IF(TODAY()&gt;$T109,"OVERDUE","Due "&amp;TEXT($T109,"mm/dd")))))</f>
        <v/>
      </c>
      <c r="V109" s="14" t="n"/>
      <c r="W109" s="14" t="n"/>
    </row>
    <row r="110">
      <c r="B110" s="15">
        <f>IF($C110="","",$D110&amp;"-"&amp;$F110&amp;"-"&amp;$K110)</f>
        <v/>
      </c>
      <c r="C110" s="14" t="n"/>
      <c r="D110" s="15">
        <f>IF($C110="","",IFERROR(INDEX(rngCadetPIDs,MATCH($C110,rngCadetNames,0)),"?"))</f>
        <v/>
      </c>
      <c r="E110" s="15">
        <f>IF($D110="","",IFERROR(INDEX(nrCadetAgency,MATCH($D110,rngCadetPIDs,0)),""))</f>
        <v/>
      </c>
      <c r="F110" s="14" t="n"/>
      <c r="G110" s="15">
        <f>IF($F110="","",IFERROR(INDEX(rngEPname,MATCH($F110,rngEPcode,0)),"?"))</f>
        <v/>
      </c>
      <c r="H110" s="15">
        <f>IF($F110="","",IFERROR(INDEX(rngEPtype,MATCH($F110,rngEPcode,0)),"?"))</f>
        <v/>
      </c>
      <c r="I110" s="15">
        <f>IF($F110="","",IFERROR(INDEX(rngEPseq,MATCH($F110,rngEPcode,0)),""))</f>
        <v/>
      </c>
      <c r="J110" s="15">
        <f>IF($F110="","",IFERROR(INDEX(rngEPpass,MATCH($F110,rngEPcode,0)),cfgPassingScore))</f>
        <v/>
      </c>
      <c r="K110" s="14" t="n"/>
      <c r="L110" s="14" t="n"/>
      <c r="M110" s="15">
        <f>IF($C110="","",IF($L110="","",IF($K110=1,IF(COUNTIFS(nrES_PID,$D110,nrES_Code,$F110,nrES_Att,2)&gt;0,"",$L110),IF(COUNTIFS(nrES_PID,$D110,nrES_Code,$F110,nrES_Att,1)=0,$L110,IF($L110&gt;=$J110,cfgRetakeRecordedCap,SUMIFS(nrES_Raw,nrES_PID,$D110,nrES_Code,$F110,nrES_Att,1))))))</f>
        <v/>
      </c>
      <c r="N110" s="15">
        <f>IF($C110="","",IF($L110="","",IF($L110&gt;=$J110,"Yes","No")))</f>
        <v/>
      </c>
      <c r="O110" s="15">
        <f>IF($C110="","",IF($M110="","",IF($M110&gt;=$J110,"Yes","No")))</f>
        <v/>
      </c>
      <c r="P110" s="15">
        <f>IF($C110="","",IF($K110="","",IF(COUNTIFS(nrES_PID,$D110,nrES_Code,$F110,nrES_Att,"&gt;"&amp;$K110)=0,"Yes","No")))</f>
        <v/>
      </c>
      <c r="Q110" s="15">
        <f>IF($C110="","",IF($L110="","",IF(AND($K110=1,$L110&lt;$J110,COUNTIFS(nrES_PID,$D110,nrES_Code,$F110,nrES_Att,2)=0),"Yes","No")))</f>
        <v/>
      </c>
      <c r="R110" s="15">
        <f>IF($C110="","",IF($L110="","",IF(AND($K110=2,$L110&lt;$J110,COUNTIFS(nrES_PID,$D110,nrES_Code,$F110,nrES_Att,1)&gt;0),"Yes","No")))</f>
        <v/>
      </c>
      <c r="S110" s="16" t="n"/>
      <c r="T110" s="17">
        <f>IF($Q110&lt;&gt;"Yes","",IF($S110="","(enter date)",_xlfn.LET(_xlpm.dn,IFERROR(_xlfn.XLOOKUP($S110,nrCDdate,nrCDnum),""),IF(_xlpm.dn="","(not a class day)",IFERROR(_xlfn.XLOOKUP(_xlpm.dn+cfgRetestClassDays,nrCDnum,nrCDdate),"")))))</f>
        <v/>
      </c>
      <c r="U110" s="15">
        <f>IF($Q110&lt;&gt;"Yes","",IF(COUNTIFS(nrES_PID,$D110,nrES_Code,$F110,nrES_Att,2)&gt;0,"Retested",IF(OR($T110="",NOT(ISNUMBER($T110))),"Pending",IF(TODAY()&gt;$T110,"OVERDUE","Due "&amp;TEXT($T110,"mm/dd")))))</f>
        <v/>
      </c>
      <c r="V110" s="14" t="n"/>
      <c r="W110" s="14" t="n"/>
    </row>
    <row r="111">
      <c r="B111" s="15">
        <f>IF($C111="","",$D111&amp;"-"&amp;$F111&amp;"-"&amp;$K111)</f>
        <v/>
      </c>
      <c r="C111" s="14" t="n"/>
      <c r="D111" s="15">
        <f>IF($C111="","",IFERROR(INDEX(rngCadetPIDs,MATCH($C111,rngCadetNames,0)),"?"))</f>
        <v/>
      </c>
      <c r="E111" s="15">
        <f>IF($D111="","",IFERROR(INDEX(nrCadetAgency,MATCH($D111,rngCadetPIDs,0)),""))</f>
        <v/>
      </c>
      <c r="F111" s="14" t="n"/>
      <c r="G111" s="15">
        <f>IF($F111="","",IFERROR(INDEX(rngEPname,MATCH($F111,rngEPcode,0)),"?"))</f>
        <v/>
      </c>
      <c r="H111" s="15">
        <f>IF($F111="","",IFERROR(INDEX(rngEPtype,MATCH($F111,rngEPcode,0)),"?"))</f>
        <v/>
      </c>
      <c r="I111" s="15">
        <f>IF($F111="","",IFERROR(INDEX(rngEPseq,MATCH($F111,rngEPcode,0)),""))</f>
        <v/>
      </c>
      <c r="J111" s="15">
        <f>IF($F111="","",IFERROR(INDEX(rngEPpass,MATCH($F111,rngEPcode,0)),cfgPassingScore))</f>
        <v/>
      </c>
      <c r="K111" s="14" t="n"/>
      <c r="L111" s="14" t="n"/>
      <c r="M111" s="15">
        <f>IF($C111="","",IF($L111="","",IF($K111=1,IF(COUNTIFS(nrES_PID,$D111,nrES_Code,$F111,nrES_Att,2)&gt;0,"",$L111),IF(COUNTIFS(nrES_PID,$D111,nrES_Code,$F111,nrES_Att,1)=0,$L111,IF($L111&gt;=$J111,cfgRetakeRecordedCap,SUMIFS(nrES_Raw,nrES_PID,$D111,nrES_Code,$F111,nrES_Att,1))))))</f>
        <v/>
      </c>
      <c r="N111" s="15">
        <f>IF($C111="","",IF($L111="","",IF($L111&gt;=$J111,"Yes","No")))</f>
        <v/>
      </c>
      <c r="O111" s="15">
        <f>IF($C111="","",IF($M111="","",IF($M111&gt;=$J111,"Yes","No")))</f>
        <v/>
      </c>
      <c r="P111" s="15">
        <f>IF($C111="","",IF($K111="","",IF(COUNTIFS(nrES_PID,$D111,nrES_Code,$F111,nrES_Att,"&gt;"&amp;$K111)=0,"Yes","No")))</f>
        <v/>
      </c>
      <c r="Q111" s="15">
        <f>IF($C111="","",IF($L111="","",IF(AND($K111=1,$L111&lt;$J111,COUNTIFS(nrES_PID,$D111,nrES_Code,$F111,nrES_Att,2)=0),"Yes","No")))</f>
        <v/>
      </c>
      <c r="R111" s="15">
        <f>IF($C111="","",IF($L111="","",IF(AND($K111=2,$L111&lt;$J111,COUNTIFS(nrES_PID,$D111,nrES_Code,$F111,nrES_Att,1)&gt;0),"Yes","No")))</f>
        <v/>
      </c>
      <c r="S111" s="16" t="n"/>
      <c r="T111" s="17">
        <f>IF($Q111&lt;&gt;"Yes","",IF($S111="","(enter date)",_xlfn.LET(_xlpm.dn,IFERROR(_xlfn.XLOOKUP($S111,nrCDdate,nrCDnum),""),IF(_xlpm.dn="","(not a class day)",IFERROR(_xlfn.XLOOKUP(_xlpm.dn+cfgRetestClassDays,nrCDnum,nrCDdate),"")))))</f>
        <v/>
      </c>
      <c r="U111" s="15">
        <f>IF($Q111&lt;&gt;"Yes","",IF(COUNTIFS(nrES_PID,$D111,nrES_Code,$F111,nrES_Att,2)&gt;0,"Retested",IF(OR($T111="",NOT(ISNUMBER($T111))),"Pending",IF(TODAY()&gt;$T111,"OVERDUE","Due "&amp;TEXT($T111,"mm/dd")))))</f>
        <v/>
      </c>
      <c r="V111" s="14" t="n"/>
      <c r="W111" s="14" t="n"/>
    </row>
    <row r="112">
      <c r="B112" s="15">
        <f>IF($C112="","",$D112&amp;"-"&amp;$F112&amp;"-"&amp;$K112)</f>
        <v/>
      </c>
      <c r="C112" s="14" t="n"/>
      <c r="D112" s="15">
        <f>IF($C112="","",IFERROR(INDEX(rngCadetPIDs,MATCH($C112,rngCadetNames,0)),"?"))</f>
        <v/>
      </c>
      <c r="E112" s="15">
        <f>IF($D112="","",IFERROR(INDEX(nrCadetAgency,MATCH($D112,rngCadetPIDs,0)),""))</f>
        <v/>
      </c>
      <c r="F112" s="14" t="n"/>
      <c r="G112" s="15">
        <f>IF($F112="","",IFERROR(INDEX(rngEPname,MATCH($F112,rngEPcode,0)),"?"))</f>
        <v/>
      </c>
      <c r="H112" s="15">
        <f>IF($F112="","",IFERROR(INDEX(rngEPtype,MATCH($F112,rngEPcode,0)),"?"))</f>
        <v/>
      </c>
      <c r="I112" s="15">
        <f>IF($F112="","",IFERROR(INDEX(rngEPseq,MATCH($F112,rngEPcode,0)),""))</f>
        <v/>
      </c>
      <c r="J112" s="15">
        <f>IF($F112="","",IFERROR(INDEX(rngEPpass,MATCH($F112,rngEPcode,0)),cfgPassingScore))</f>
        <v/>
      </c>
      <c r="K112" s="14" t="n"/>
      <c r="L112" s="14" t="n"/>
      <c r="M112" s="15">
        <f>IF($C112="","",IF($L112="","",IF($K112=1,IF(COUNTIFS(nrES_PID,$D112,nrES_Code,$F112,nrES_Att,2)&gt;0,"",$L112),IF(COUNTIFS(nrES_PID,$D112,nrES_Code,$F112,nrES_Att,1)=0,$L112,IF($L112&gt;=$J112,cfgRetakeRecordedCap,SUMIFS(nrES_Raw,nrES_PID,$D112,nrES_Code,$F112,nrES_Att,1))))))</f>
        <v/>
      </c>
      <c r="N112" s="15">
        <f>IF($C112="","",IF($L112="","",IF($L112&gt;=$J112,"Yes","No")))</f>
        <v/>
      </c>
      <c r="O112" s="15">
        <f>IF($C112="","",IF($M112="","",IF($M112&gt;=$J112,"Yes","No")))</f>
        <v/>
      </c>
      <c r="P112" s="15">
        <f>IF($C112="","",IF($K112="","",IF(COUNTIFS(nrES_PID,$D112,nrES_Code,$F112,nrES_Att,"&gt;"&amp;$K112)=0,"Yes","No")))</f>
        <v/>
      </c>
      <c r="Q112" s="15">
        <f>IF($C112="","",IF($L112="","",IF(AND($K112=1,$L112&lt;$J112,COUNTIFS(nrES_PID,$D112,nrES_Code,$F112,nrES_Att,2)=0),"Yes","No")))</f>
        <v/>
      </c>
      <c r="R112" s="15">
        <f>IF($C112="","",IF($L112="","",IF(AND($K112=2,$L112&lt;$J112,COUNTIFS(nrES_PID,$D112,nrES_Code,$F112,nrES_Att,1)&gt;0),"Yes","No")))</f>
        <v/>
      </c>
      <c r="S112" s="16" t="n"/>
      <c r="T112" s="17">
        <f>IF($Q112&lt;&gt;"Yes","",IF($S112="","(enter date)",_xlfn.LET(_xlpm.dn,IFERROR(_xlfn.XLOOKUP($S112,nrCDdate,nrCDnum),""),IF(_xlpm.dn="","(not a class day)",IFERROR(_xlfn.XLOOKUP(_xlpm.dn+cfgRetestClassDays,nrCDnum,nrCDdate),"")))))</f>
        <v/>
      </c>
      <c r="U112" s="15">
        <f>IF($Q112&lt;&gt;"Yes","",IF(COUNTIFS(nrES_PID,$D112,nrES_Code,$F112,nrES_Att,2)&gt;0,"Retested",IF(OR($T112="",NOT(ISNUMBER($T112))),"Pending",IF(TODAY()&gt;$T112,"OVERDUE","Due "&amp;TEXT($T112,"mm/dd")))))</f>
        <v/>
      </c>
      <c r="V112" s="14" t="n"/>
      <c r="W112" s="14" t="n"/>
    </row>
    <row r="113">
      <c r="B113" s="15">
        <f>IF($C113="","",$D113&amp;"-"&amp;$F113&amp;"-"&amp;$K113)</f>
        <v/>
      </c>
      <c r="C113" s="14" t="n"/>
      <c r="D113" s="15">
        <f>IF($C113="","",IFERROR(INDEX(rngCadetPIDs,MATCH($C113,rngCadetNames,0)),"?"))</f>
        <v/>
      </c>
      <c r="E113" s="15">
        <f>IF($D113="","",IFERROR(INDEX(nrCadetAgency,MATCH($D113,rngCadetPIDs,0)),""))</f>
        <v/>
      </c>
      <c r="F113" s="14" t="n"/>
      <c r="G113" s="15">
        <f>IF($F113="","",IFERROR(INDEX(rngEPname,MATCH($F113,rngEPcode,0)),"?"))</f>
        <v/>
      </c>
      <c r="H113" s="15">
        <f>IF($F113="","",IFERROR(INDEX(rngEPtype,MATCH($F113,rngEPcode,0)),"?"))</f>
        <v/>
      </c>
      <c r="I113" s="15">
        <f>IF($F113="","",IFERROR(INDEX(rngEPseq,MATCH($F113,rngEPcode,0)),""))</f>
        <v/>
      </c>
      <c r="J113" s="15">
        <f>IF($F113="","",IFERROR(INDEX(rngEPpass,MATCH($F113,rngEPcode,0)),cfgPassingScore))</f>
        <v/>
      </c>
      <c r="K113" s="14" t="n"/>
      <c r="L113" s="14" t="n"/>
      <c r="M113" s="15">
        <f>IF($C113="","",IF($L113="","",IF($K113=1,IF(COUNTIFS(nrES_PID,$D113,nrES_Code,$F113,nrES_Att,2)&gt;0,"",$L113),IF(COUNTIFS(nrES_PID,$D113,nrES_Code,$F113,nrES_Att,1)=0,$L113,IF($L113&gt;=$J113,cfgRetakeRecordedCap,SUMIFS(nrES_Raw,nrES_PID,$D113,nrES_Code,$F113,nrES_Att,1))))))</f>
        <v/>
      </c>
      <c r="N113" s="15">
        <f>IF($C113="","",IF($L113="","",IF($L113&gt;=$J113,"Yes","No")))</f>
        <v/>
      </c>
      <c r="O113" s="15">
        <f>IF($C113="","",IF($M113="","",IF($M113&gt;=$J113,"Yes","No")))</f>
        <v/>
      </c>
      <c r="P113" s="15">
        <f>IF($C113="","",IF($K113="","",IF(COUNTIFS(nrES_PID,$D113,nrES_Code,$F113,nrES_Att,"&gt;"&amp;$K113)=0,"Yes","No")))</f>
        <v/>
      </c>
      <c r="Q113" s="15">
        <f>IF($C113="","",IF($L113="","",IF(AND($K113=1,$L113&lt;$J113,COUNTIFS(nrES_PID,$D113,nrES_Code,$F113,nrES_Att,2)=0),"Yes","No")))</f>
        <v/>
      </c>
      <c r="R113" s="15">
        <f>IF($C113="","",IF($L113="","",IF(AND($K113=2,$L113&lt;$J113,COUNTIFS(nrES_PID,$D113,nrES_Code,$F113,nrES_Att,1)&gt;0),"Yes","No")))</f>
        <v/>
      </c>
      <c r="S113" s="16" t="n"/>
      <c r="T113" s="17">
        <f>IF($Q113&lt;&gt;"Yes","",IF($S113="","(enter date)",_xlfn.LET(_xlpm.dn,IFERROR(_xlfn.XLOOKUP($S113,nrCDdate,nrCDnum),""),IF(_xlpm.dn="","(not a class day)",IFERROR(_xlfn.XLOOKUP(_xlpm.dn+cfgRetestClassDays,nrCDnum,nrCDdate),"")))))</f>
        <v/>
      </c>
      <c r="U113" s="15">
        <f>IF($Q113&lt;&gt;"Yes","",IF(COUNTIFS(nrES_PID,$D113,nrES_Code,$F113,nrES_Att,2)&gt;0,"Retested",IF(OR($T113="",NOT(ISNUMBER($T113))),"Pending",IF(TODAY()&gt;$T113,"OVERDUE","Due "&amp;TEXT($T113,"mm/dd")))))</f>
        <v/>
      </c>
      <c r="V113" s="14" t="n"/>
      <c r="W113" s="14" t="n"/>
    </row>
    <row r="114">
      <c r="B114" s="15">
        <f>IF($C114="","",$D114&amp;"-"&amp;$F114&amp;"-"&amp;$K114)</f>
        <v/>
      </c>
      <c r="C114" s="14" t="n"/>
      <c r="D114" s="15">
        <f>IF($C114="","",IFERROR(INDEX(rngCadetPIDs,MATCH($C114,rngCadetNames,0)),"?"))</f>
        <v/>
      </c>
      <c r="E114" s="15">
        <f>IF($D114="","",IFERROR(INDEX(nrCadetAgency,MATCH($D114,rngCadetPIDs,0)),""))</f>
        <v/>
      </c>
      <c r="F114" s="14" t="n"/>
      <c r="G114" s="15">
        <f>IF($F114="","",IFERROR(INDEX(rngEPname,MATCH($F114,rngEPcode,0)),"?"))</f>
        <v/>
      </c>
      <c r="H114" s="15">
        <f>IF($F114="","",IFERROR(INDEX(rngEPtype,MATCH($F114,rngEPcode,0)),"?"))</f>
        <v/>
      </c>
      <c r="I114" s="15">
        <f>IF($F114="","",IFERROR(INDEX(rngEPseq,MATCH($F114,rngEPcode,0)),""))</f>
        <v/>
      </c>
      <c r="J114" s="15">
        <f>IF($F114="","",IFERROR(INDEX(rngEPpass,MATCH($F114,rngEPcode,0)),cfgPassingScore))</f>
        <v/>
      </c>
      <c r="K114" s="14" t="n"/>
      <c r="L114" s="14" t="n"/>
      <c r="M114" s="15">
        <f>IF($C114="","",IF($L114="","",IF($K114=1,IF(COUNTIFS(nrES_PID,$D114,nrES_Code,$F114,nrES_Att,2)&gt;0,"",$L114),IF(COUNTIFS(nrES_PID,$D114,nrES_Code,$F114,nrES_Att,1)=0,$L114,IF($L114&gt;=$J114,cfgRetakeRecordedCap,SUMIFS(nrES_Raw,nrES_PID,$D114,nrES_Code,$F114,nrES_Att,1))))))</f>
        <v/>
      </c>
      <c r="N114" s="15">
        <f>IF($C114="","",IF($L114="","",IF($L114&gt;=$J114,"Yes","No")))</f>
        <v/>
      </c>
      <c r="O114" s="15">
        <f>IF($C114="","",IF($M114="","",IF($M114&gt;=$J114,"Yes","No")))</f>
        <v/>
      </c>
      <c r="P114" s="15">
        <f>IF($C114="","",IF($K114="","",IF(COUNTIFS(nrES_PID,$D114,nrES_Code,$F114,nrES_Att,"&gt;"&amp;$K114)=0,"Yes","No")))</f>
        <v/>
      </c>
      <c r="Q114" s="15">
        <f>IF($C114="","",IF($L114="","",IF(AND($K114=1,$L114&lt;$J114,COUNTIFS(nrES_PID,$D114,nrES_Code,$F114,nrES_Att,2)=0),"Yes","No")))</f>
        <v/>
      </c>
      <c r="R114" s="15">
        <f>IF($C114="","",IF($L114="","",IF(AND($K114=2,$L114&lt;$J114,COUNTIFS(nrES_PID,$D114,nrES_Code,$F114,nrES_Att,1)&gt;0),"Yes","No")))</f>
        <v/>
      </c>
      <c r="S114" s="16" t="n"/>
      <c r="T114" s="17">
        <f>IF($Q114&lt;&gt;"Yes","",IF($S114="","(enter date)",_xlfn.LET(_xlpm.dn,IFERROR(_xlfn.XLOOKUP($S114,nrCDdate,nrCDnum),""),IF(_xlpm.dn="","(not a class day)",IFERROR(_xlfn.XLOOKUP(_xlpm.dn+cfgRetestClassDays,nrCDnum,nrCDdate),"")))))</f>
        <v/>
      </c>
      <c r="U114" s="15">
        <f>IF($Q114&lt;&gt;"Yes","",IF(COUNTIFS(nrES_PID,$D114,nrES_Code,$F114,nrES_Att,2)&gt;0,"Retested",IF(OR($T114="",NOT(ISNUMBER($T114))),"Pending",IF(TODAY()&gt;$T114,"OVERDUE","Due "&amp;TEXT($T114,"mm/dd")))))</f>
        <v/>
      </c>
      <c r="V114" s="14" t="n"/>
      <c r="W114" s="14" t="n"/>
    </row>
    <row r="115">
      <c r="B115" s="15">
        <f>IF($C115="","",$D115&amp;"-"&amp;$F115&amp;"-"&amp;$K115)</f>
        <v/>
      </c>
      <c r="C115" s="14" t="n"/>
      <c r="D115" s="15">
        <f>IF($C115="","",IFERROR(INDEX(rngCadetPIDs,MATCH($C115,rngCadetNames,0)),"?"))</f>
        <v/>
      </c>
      <c r="E115" s="15">
        <f>IF($D115="","",IFERROR(INDEX(nrCadetAgency,MATCH($D115,rngCadetPIDs,0)),""))</f>
        <v/>
      </c>
      <c r="F115" s="14" t="n"/>
      <c r="G115" s="15">
        <f>IF($F115="","",IFERROR(INDEX(rngEPname,MATCH($F115,rngEPcode,0)),"?"))</f>
        <v/>
      </c>
      <c r="H115" s="15">
        <f>IF($F115="","",IFERROR(INDEX(rngEPtype,MATCH($F115,rngEPcode,0)),"?"))</f>
        <v/>
      </c>
      <c r="I115" s="15">
        <f>IF($F115="","",IFERROR(INDEX(rngEPseq,MATCH($F115,rngEPcode,0)),""))</f>
        <v/>
      </c>
      <c r="J115" s="15">
        <f>IF($F115="","",IFERROR(INDEX(rngEPpass,MATCH($F115,rngEPcode,0)),cfgPassingScore))</f>
        <v/>
      </c>
      <c r="K115" s="14" t="n"/>
      <c r="L115" s="14" t="n"/>
      <c r="M115" s="15">
        <f>IF($C115="","",IF($L115="","",IF($K115=1,IF(COUNTIFS(nrES_PID,$D115,nrES_Code,$F115,nrES_Att,2)&gt;0,"",$L115),IF(COUNTIFS(nrES_PID,$D115,nrES_Code,$F115,nrES_Att,1)=0,$L115,IF($L115&gt;=$J115,cfgRetakeRecordedCap,SUMIFS(nrES_Raw,nrES_PID,$D115,nrES_Code,$F115,nrES_Att,1))))))</f>
        <v/>
      </c>
      <c r="N115" s="15">
        <f>IF($C115="","",IF($L115="","",IF($L115&gt;=$J115,"Yes","No")))</f>
        <v/>
      </c>
      <c r="O115" s="15">
        <f>IF($C115="","",IF($M115="","",IF($M115&gt;=$J115,"Yes","No")))</f>
        <v/>
      </c>
      <c r="P115" s="15">
        <f>IF($C115="","",IF($K115="","",IF(COUNTIFS(nrES_PID,$D115,nrES_Code,$F115,nrES_Att,"&gt;"&amp;$K115)=0,"Yes","No")))</f>
        <v/>
      </c>
      <c r="Q115" s="15">
        <f>IF($C115="","",IF($L115="","",IF(AND($K115=1,$L115&lt;$J115,COUNTIFS(nrES_PID,$D115,nrES_Code,$F115,nrES_Att,2)=0),"Yes","No")))</f>
        <v/>
      </c>
      <c r="R115" s="15">
        <f>IF($C115="","",IF($L115="","",IF(AND($K115=2,$L115&lt;$J115,COUNTIFS(nrES_PID,$D115,nrES_Code,$F115,nrES_Att,1)&gt;0),"Yes","No")))</f>
        <v/>
      </c>
      <c r="S115" s="16" t="n"/>
      <c r="T115" s="17">
        <f>IF($Q115&lt;&gt;"Yes","",IF($S115="","(enter date)",_xlfn.LET(_xlpm.dn,IFERROR(_xlfn.XLOOKUP($S115,nrCDdate,nrCDnum),""),IF(_xlpm.dn="","(not a class day)",IFERROR(_xlfn.XLOOKUP(_xlpm.dn+cfgRetestClassDays,nrCDnum,nrCDdate),"")))))</f>
        <v/>
      </c>
      <c r="U115" s="15">
        <f>IF($Q115&lt;&gt;"Yes","",IF(COUNTIFS(nrES_PID,$D115,nrES_Code,$F115,nrES_Att,2)&gt;0,"Retested",IF(OR($T115="",NOT(ISNUMBER($T115))),"Pending",IF(TODAY()&gt;$T115,"OVERDUE","Due "&amp;TEXT($T115,"mm/dd")))))</f>
        <v/>
      </c>
      <c r="V115" s="14" t="n"/>
      <c r="W115" s="14" t="n"/>
    </row>
    <row r="116">
      <c r="B116" s="15">
        <f>IF($C116="","",$D116&amp;"-"&amp;$F116&amp;"-"&amp;$K116)</f>
        <v/>
      </c>
      <c r="C116" s="14" t="n"/>
      <c r="D116" s="15">
        <f>IF($C116="","",IFERROR(INDEX(rngCadetPIDs,MATCH($C116,rngCadetNames,0)),"?"))</f>
        <v/>
      </c>
      <c r="E116" s="15">
        <f>IF($D116="","",IFERROR(INDEX(nrCadetAgency,MATCH($D116,rngCadetPIDs,0)),""))</f>
        <v/>
      </c>
      <c r="F116" s="14" t="n"/>
      <c r="G116" s="15">
        <f>IF($F116="","",IFERROR(INDEX(rngEPname,MATCH($F116,rngEPcode,0)),"?"))</f>
        <v/>
      </c>
      <c r="H116" s="15">
        <f>IF($F116="","",IFERROR(INDEX(rngEPtype,MATCH($F116,rngEPcode,0)),"?"))</f>
        <v/>
      </c>
      <c r="I116" s="15">
        <f>IF($F116="","",IFERROR(INDEX(rngEPseq,MATCH($F116,rngEPcode,0)),""))</f>
        <v/>
      </c>
      <c r="J116" s="15">
        <f>IF($F116="","",IFERROR(INDEX(rngEPpass,MATCH($F116,rngEPcode,0)),cfgPassingScore))</f>
        <v/>
      </c>
      <c r="K116" s="14" t="n"/>
      <c r="L116" s="14" t="n"/>
      <c r="M116" s="15">
        <f>IF($C116="","",IF($L116="","",IF($K116=1,IF(COUNTIFS(nrES_PID,$D116,nrES_Code,$F116,nrES_Att,2)&gt;0,"",$L116),IF(COUNTIFS(nrES_PID,$D116,nrES_Code,$F116,nrES_Att,1)=0,$L116,IF($L116&gt;=$J116,cfgRetakeRecordedCap,SUMIFS(nrES_Raw,nrES_PID,$D116,nrES_Code,$F116,nrES_Att,1))))))</f>
        <v/>
      </c>
      <c r="N116" s="15">
        <f>IF($C116="","",IF($L116="","",IF($L116&gt;=$J116,"Yes","No")))</f>
        <v/>
      </c>
      <c r="O116" s="15">
        <f>IF($C116="","",IF($M116="","",IF($M116&gt;=$J116,"Yes","No")))</f>
        <v/>
      </c>
      <c r="P116" s="15">
        <f>IF($C116="","",IF($K116="","",IF(COUNTIFS(nrES_PID,$D116,nrES_Code,$F116,nrES_Att,"&gt;"&amp;$K116)=0,"Yes","No")))</f>
        <v/>
      </c>
      <c r="Q116" s="15">
        <f>IF($C116="","",IF($L116="","",IF(AND($K116=1,$L116&lt;$J116,COUNTIFS(nrES_PID,$D116,nrES_Code,$F116,nrES_Att,2)=0),"Yes","No")))</f>
        <v/>
      </c>
      <c r="R116" s="15">
        <f>IF($C116="","",IF($L116="","",IF(AND($K116=2,$L116&lt;$J116,COUNTIFS(nrES_PID,$D116,nrES_Code,$F116,nrES_Att,1)&gt;0),"Yes","No")))</f>
        <v/>
      </c>
      <c r="S116" s="16" t="n"/>
      <c r="T116" s="17">
        <f>IF($Q116&lt;&gt;"Yes","",IF($S116="","(enter date)",_xlfn.LET(_xlpm.dn,IFERROR(_xlfn.XLOOKUP($S116,nrCDdate,nrCDnum),""),IF(_xlpm.dn="","(not a class day)",IFERROR(_xlfn.XLOOKUP(_xlpm.dn+cfgRetestClassDays,nrCDnum,nrCDdate),"")))))</f>
        <v/>
      </c>
      <c r="U116" s="15">
        <f>IF($Q116&lt;&gt;"Yes","",IF(COUNTIFS(nrES_PID,$D116,nrES_Code,$F116,nrES_Att,2)&gt;0,"Retested",IF(OR($T116="",NOT(ISNUMBER($T116))),"Pending",IF(TODAY()&gt;$T116,"OVERDUE","Due "&amp;TEXT($T116,"mm/dd")))))</f>
        <v/>
      </c>
      <c r="V116" s="14" t="n"/>
      <c r="W116" s="14" t="n"/>
    </row>
    <row r="117">
      <c r="B117" s="15">
        <f>IF($C117="","",$D117&amp;"-"&amp;$F117&amp;"-"&amp;$K117)</f>
        <v/>
      </c>
      <c r="C117" s="14" t="n"/>
      <c r="D117" s="15">
        <f>IF($C117="","",IFERROR(INDEX(rngCadetPIDs,MATCH($C117,rngCadetNames,0)),"?"))</f>
        <v/>
      </c>
      <c r="E117" s="15">
        <f>IF($D117="","",IFERROR(INDEX(nrCadetAgency,MATCH($D117,rngCadetPIDs,0)),""))</f>
        <v/>
      </c>
      <c r="F117" s="14" t="n"/>
      <c r="G117" s="15">
        <f>IF($F117="","",IFERROR(INDEX(rngEPname,MATCH($F117,rngEPcode,0)),"?"))</f>
        <v/>
      </c>
      <c r="H117" s="15">
        <f>IF($F117="","",IFERROR(INDEX(rngEPtype,MATCH($F117,rngEPcode,0)),"?"))</f>
        <v/>
      </c>
      <c r="I117" s="15">
        <f>IF($F117="","",IFERROR(INDEX(rngEPseq,MATCH($F117,rngEPcode,0)),""))</f>
        <v/>
      </c>
      <c r="J117" s="15">
        <f>IF($F117="","",IFERROR(INDEX(rngEPpass,MATCH($F117,rngEPcode,0)),cfgPassingScore))</f>
        <v/>
      </c>
      <c r="K117" s="14" t="n"/>
      <c r="L117" s="14" t="n"/>
      <c r="M117" s="15">
        <f>IF($C117="","",IF($L117="","",IF($K117=1,IF(COUNTIFS(nrES_PID,$D117,nrES_Code,$F117,nrES_Att,2)&gt;0,"",$L117),IF(COUNTIFS(nrES_PID,$D117,nrES_Code,$F117,nrES_Att,1)=0,$L117,IF($L117&gt;=$J117,cfgRetakeRecordedCap,SUMIFS(nrES_Raw,nrES_PID,$D117,nrES_Code,$F117,nrES_Att,1))))))</f>
        <v/>
      </c>
      <c r="N117" s="15">
        <f>IF($C117="","",IF($L117="","",IF($L117&gt;=$J117,"Yes","No")))</f>
        <v/>
      </c>
      <c r="O117" s="15">
        <f>IF($C117="","",IF($M117="","",IF($M117&gt;=$J117,"Yes","No")))</f>
        <v/>
      </c>
      <c r="P117" s="15">
        <f>IF($C117="","",IF($K117="","",IF(COUNTIFS(nrES_PID,$D117,nrES_Code,$F117,nrES_Att,"&gt;"&amp;$K117)=0,"Yes","No")))</f>
        <v/>
      </c>
      <c r="Q117" s="15">
        <f>IF($C117="","",IF($L117="","",IF(AND($K117=1,$L117&lt;$J117,COUNTIFS(nrES_PID,$D117,nrES_Code,$F117,nrES_Att,2)=0),"Yes","No")))</f>
        <v/>
      </c>
      <c r="R117" s="15">
        <f>IF($C117="","",IF($L117="","",IF(AND($K117=2,$L117&lt;$J117,COUNTIFS(nrES_PID,$D117,nrES_Code,$F117,nrES_Att,1)&gt;0),"Yes","No")))</f>
        <v/>
      </c>
      <c r="S117" s="16" t="n"/>
      <c r="T117" s="17">
        <f>IF($Q117&lt;&gt;"Yes","",IF($S117="","(enter date)",_xlfn.LET(_xlpm.dn,IFERROR(_xlfn.XLOOKUP($S117,nrCDdate,nrCDnum),""),IF(_xlpm.dn="","(not a class day)",IFERROR(_xlfn.XLOOKUP(_xlpm.dn+cfgRetestClassDays,nrCDnum,nrCDdate),"")))))</f>
        <v/>
      </c>
      <c r="U117" s="15">
        <f>IF($Q117&lt;&gt;"Yes","",IF(COUNTIFS(nrES_PID,$D117,nrES_Code,$F117,nrES_Att,2)&gt;0,"Retested",IF(OR($T117="",NOT(ISNUMBER($T117))),"Pending",IF(TODAY()&gt;$T117,"OVERDUE","Due "&amp;TEXT($T117,"mm/dd")))))</f>
        <v/>
      </c>
      <c r="V117" s="14" t="n"/>
      <c r="W117" s="14" t="n"/>
    </row>
    <row r="118">
      <c r="B118" s="15">
        <f>IF($C118="","",$D118&amp;"-"&amp;$F118&amp;"-"&amp;$K118)</f>
        <v/>
      </c>
      <c r="C118" s="14" t="n"/>
      <c r="D118" s="15">
        <f>IF($C118="","",IFERROR(INDEX(rngCadetPIDs,MATCH($C118,rngCadetNames,0)),"?"))</f>
        <v/>
      </c>
      <c r="E118" s="15">
        <f>IF($D118="","",IFERROR(INDEX(nrCadetAgency,MATCH($D118,rngCadetPIDs,0)),""))</f>
        <v/>
      </c>
      <c r="F118" s="14" t="n"/>
      <c r="G118" s="15">
        <f>IF($F118="","",IFERROR(INDEX(rngEPname,MATCH($F118,rngEPcode,0)),"?"))</f>
        <v/>
      </c>
      <c r="H118" s="15">
        <f>IF($F118="","",IFERROR(INDEX(rngEPtype,MATCH($F118,rngEPcode,0)),"?"))</f>
        <v/>
      </c>
      <c r="I118" s="15">
        <f>IF($F118="","",IFERROR(INDEX(rngEPseq,MATCH($F118,rngEPcode,0)),""))</f>
        <v/>
      </c>
      <c r="J118" s="15">
        <f>IF($F118="","",IFERROR(INDEX(rngEPpass,MATCH($F118,rngEPcode,0)),cfgPassingScore))</f>
        <v/>
      </c>
      <c r="K118" s="14" t="n"/>
      <c r="L118" s="14" t="n"/>
      <c r="M118" s="15">
        <f>IF($C118="","",IF($L118="","",IF($K118=1,IF(COUNTIFS(nrES_PID,$D118,nrES_Code,$F118,nrES_Att,2)&gt;0,"",$L118),IF(COUNTIFS(nrES_PID,$D118,nrES_Code,$F118,nrES_Att,1)=0,$L118,IF($L118&gt;=$J118,cfgRetakeRecordedCap,SUMIFS(nrES_Raw,nrES_PID,$D118,nrES_Code,$F118,nrES_Att,1))))))</f>
        <v/>
      </c>
      <c r="N118" s="15">
        <f>IF($C118="","",IF($L118="","",IF($L118&gt;=$J118,"Yes","No")))</f>
        <v/>
      </c>
      <c r="O118" s="15">
        <f>IF($C118="","",IF($M118="","",IF($M118&gt;=$J118,"Yes","No")))</f>
        <v/>
      </c>
      <c r="P118" s="15">
        <f>IF($C118="","",IF($K118="","",IF(COUNTIFS(nrES_PID,$D118,nrES_Code,$F118,nrES_Att,"&gt;"&amp;$K118)=0,"Yes","No")))</f>
        <v/>
      </c>
      <c r="Q118" s="15">
        <f>IF($C118="","",IF($L118="","",IF(AND($K118=1,$L118&lt;$J118,COUNTIFS(nrES_PID,$D118,nrES_Code,$F118,nrES_Att,2)=0),"Yes","No")))</f>
        <v/>
      </c>
      <c r="R118" s="15">
        <f>IF($C118="","",IF($L118="","",IF(AND($K118=2,$L118&lt;$J118,COUNTIFS(nrES_PID,$D118,nrES_Code,$F118,nrES_Att,1)&gt;0),"Yes","No")))</f>
        <v/>
      </c>
      <c r="S118" s="16" t="n"/>
      <c r="T118" s="17">
        <f>IF($Q118&lt;&gt;"Yes","",IF($S118="","(enter date)",_xlfn.LET(_xlpm.dn,IFERROR(_xlfn.XLOOKUP($S118,nrCDdate,nrCDnum),""),IF(_xlpm.dn="","(not a class day)",IFERROR(_xlfn.XLOOKUP(_xlpm.dn+cfgRetestClassDays,nrCDnum,nrCDdate),"")))))</f>
        <v/>
      </c>
      <c r="U118" s="15">
        <f>IF($Q118&lt;&gt;"Yes","",IF(COUNTIFS(nrES_PID,$D118,nrES_Code,$F118,nrES_Att,2)&gt;0,"Retested",IF(OR($T118="",NOT(ISNUMBER($T118))),"Pending",IF(TODAY()&gt;$T118,"OVERDUE","Due "&amp;TEXT($T118,"mm/dd")))))</f>
        <v/>
      </c>
      <c r="V118" s="14" t="n"/>
      <c r="W118" s="14" t="n"/>
    </row>
    <row r="119">
      <c r="B119" s="15">
        <f>IF($C119="","",$D119&amp;"-"&amp;$F119&amp;"-"&amp;$K119)</f>
        <v/>
      </c>
      <c r="C119" s="14" t="n"/>
      <c r="D119" s="15">
        <f>IF($C119="","",IFERROR(INDEX(rngCadetPIDs,MATCH($C119,rngCadetNames,0)),"?"))</f>
        <v/>
      </c>
      <c r="E119" s="15">
        <f>IF($D119="","",IFERROR(INDEX(nrCadetAgency,MATCH($D119,rngCadetPIDs,0)),""))</f>
        <v/>
      </c>
      <c r="F119" s="14" t="n"/>
      <c r="G119" s="15">
        <f>IF($F119="","",IFERROR(INDEX(rngEPname,MATCH($F119,rngEPcode,0)),"?"))</f>
        <v/>
      </c>
      <c r="H119" s="15">
        <f>IF($F119="","",IFERROR(INDEX(rngEPtype,MATCH($F119,rngEPcode,0)),"?"))</f>
        <v/>
      </c>
      <c r="I119" s="15">
        <f>IF($F119="","",IFERROR(INDEX(rngEPseq,MATCH($F119,rngEPcode,0)),""))</f>
        <v/>
      </c>
      <c r="J119" s="15">
        <f>IF($F119="","",IFERROR(INDEX(rngEPpass,MATCH($F119,rngEPcode,0)),cfgPassingScore))</f>
        <v/>
      </c>
      <c r="K119" s="14" t="n"/>
      <c r="L119" s="14" t="n"/>
      <c r="M119" s="15">
        <f>IF($C119="","",IF($L119="","",IF($K119=1,IF(COUNTIFS(nrES_PID,$D119,nrES_Code,$F119,nrES_Att,2)&gt;0,"",$L119),IF(COUNTIFS(nrES_PID,$D119,nrES_Code,$F119,nrES_Att,1)=0,$L119,IF($L119&gt;=$J119,cfgRetakeRecordedCap,SUMIFS(nrES_Raw,nrES_PID,$D119,nrES_Code,$F119,nrES_Att,1))))))</f>
        <v/>
      </c>
      <c r="N119" s="15">
        <f>IF($C119="","",IF($L119="","",IF($L119&gt;=$J119,"Yes","No")))</f>
        <v/>
      </c>
      <c r="O119" s="15">
        <f>IF($C119="","",IF($M119="","",IF($M119&gt;=$J119,"Yes","No")))</f>
        <v/>
      </c>
      <c r="P119" s="15">
        <f>IF($C119="","",IF($K119="","",IF(COUNTIFS(nrES_PID,$D119,nrES_Code,$F119,nrES_Att,"&gt;"&amp;$K119)=0,"Yes","No")))</f>
        <v/>
      </c>
      <c r="Q119" s="15">
        <f>IF($C119="","",IF($L119="","",IF(AND($K119=1,$L119&lt;$J119,COUNTIFS(nrES_PID,$D119,nrES_Code,$F119,nrES_Att,2)=0),"Yes","No")))</f>
        <v/>
      </c>
      <c r="R119" s="15">
        <f>IF($C119="","",IF($L119="","",IF(AND($K119=2,$L119&lt;$J119,COUNTIFS(nrES_PID,$D119,nrES_Code,$F119,nrES_Att,1)&gt;0),"Yes","No")))</f>
        <v/>
      </c>
      <c r="S119" s="16" t="n"/>
      <c r="T119" s="17">
        <f>IF($Q119&lt;&gt;"Yes","",IF($S119="","(enter date)",_xlfn.LET(_xlpm.dn,IFERROR(_xlfn.XLOOKUP($S119,nrCDdate,nrCDnum),""),IF(_xlpm.dn="","(not a class day)",IFERROR(_xlfn.XLOOKUP(_xlpm.dn+cfgRetestClassDays,nrCDnum,nrCDdate),"")))))</f>
        <v/>
      </c>
      <c r="U119" s="15">
        <f>IF($Q119&lt;&gt;"Yes","",IF(COUNTIFS(nrES_PID,$D119,nrES_Code,$F119,nrES_Att,2)&gt;0,"Retested",IF(OR($T119="",NOT(ISNUMBER($T119))),"Pending",IF(TODAY()&gt;$T119,"OVERDUE","Due "&amp;TEXT($T119,"mm/dd")))))</f>
        <v/>
      </c>
      <c r="V119" s="14" t="n"/>
      <c r="W119" s="14" t="n"/>
    </row>
    <row r="120">
      <c r="B120" s="15">
        <f>IF($C120="","",$D120&amp;"-"&amp;$F120&amp;"-"&amp;$K120)</f>
        <v/>
      </c>
      <c r="C120" s="14" t="n"/>
      <c r="D120" s="15">
        <f>IF($C120="","",IFERROR(INDEX(rngCadetPIDs,MATCH($C120,rngCadetNames,0)),"?"))</f>
        <v/>
      </c>
      <c r="E120" s="15">
        <f>IF($D120="","",IFERROR(INDEX(nrCadetAgency,MATCH($D120,rngCadetPIDs,0)),""))</f>
        <v/>
      </c>
      <c r="F120" s="14" t="n"/>
      <c r="G120" s="15">
        <f>IF($F120="","",IFERROR(INDEX(rngEPname,MATCH($F120,rngEPcode,0)),"?"))</f>
        <v/>
      </c>
      <c r="H120" s="15">
        <f>IF($F120="","",IFERROR(INDEX(rngEPtype,MATCH($F120,rngEPcode,0)),"?"))</f>
        <v/>
      </c>
      <c r="I120" s="15">
        <f>IF($F120="","",IFERROR(INDEX(rngEPseq,MATCH($F120,rngEPcode,0)),""))</f>
        <v/>
      </c>
      <c r="J120" s="15">
        <f>IF($F120="","",IFERROR(INDEX(rngEPpass,MATCH($F120,rngEPcode,0)),cfgPassingScore))</f>
        <v/>
      </c>
      <c r="K120" s="14" t="n"/>
      <c r="L120" s="14" t="n"/>
      <c r="M120" s="15">
        <f>IF($C120="","",IF($L120="","",IF($K120=1,IF(COUNTIFS(nrES_PID,$D120,nrES_Code,$F120,nrES_Att,2)&gt;0,"",$L120),IF(COUNTIFS(nrES_PID,$D120,nrES_Code,$F120,nrES_Att,1)=0,$L120,IF($L120&gt;=$J120,cfgRetakeRecordedCap,SUMIFS(nrES_Raw,nrES_PID,$D120,nrES_Code,$F120,nrES_Att,1))))))</f>
        <v/>
      </c>
      <c r="N120" s="15">
        <f>IF($C120="","",IF($L120="","",IF($L120&gt;=$J120,"Yes","No")))</f>
        <v/>
      </c>
      <c r="O120" s="15">
        <f>IF($C120="","",IF($M120="","",IF($M120&gt;=$J120,"Yes","No")))</f>
        <v/>
      </c>
      <c r="P120" s="15">
        <f>IF($C120="","",IF($K120="","",IF(COUNTIFS(nrES_PID,$D120,nrES_Code,$F120,nrES_Att,"&gt;"&amp;$K120)=0,"Yes","No")))</f>
        <v/>
      </c>
      <c r="Q120" s="15">
        <f>IF($C120="","",IF($L120="","",IF(AND($K120=1,$L120&lt;$J120,COUNTIFS(nrES_PID,$D120,nrES_Code,$F120,nrES_Att,2)=0),"Yes","No")))</f>
        <v/>
      </c>
      <c r="R120" s="15">
        <f>IF($C120="","",IF($L120="","",IF(AND($K120=2,$L120&lt;$J120,COUNTIFS(nrES_PID,$D120,nrES_Code,$F120,nrES_Att,1)&gt;0),"Yes","No")))</f>
        <v/>
      </c>
      <c r="S120" s="16" t="n"/>
      <c r="T120" s="17">
        <f>IF($Q120&lt;&gt;"Yes","",IF($S120="","(enter date)",_xlfn.LET(_xlpm.dn,IFERROR(_xlfn.XLOOKUP($S120,nrCDdate,nrCDnum),""),IF(_xlpm.dn="","(not a class day)",IFERROR(_xlfn.XLOOKUP(_xlpm.dn+cfgRetestClassDays,nrCDnum,nrCDdate),"")))))</f>
        <v/>
      </c>
      <c r="U120" s="15">
        <f>IF($Q120&lt;&gt;"Yes","",IF(COUNTIFS(nrES_PID,$D120,nrES_Code,$F120,nrES_Att,2)&gt;0,"Retested",IF(OR($T120="",NOT(ISNUMBER($T120))),"Pending",IF(TODAY()&gt;$T120,"OVERDUE","Due "&amp;TEXT($T120,"mm/dd")))))</f>
        <v/>
      </c>
      <c r="V120" s="14" t="n"/>
      <c r="W120" s="14" t="n"/>
    </row>
    <row r="121">
      <c r="B121" s="15">
        <f>IF($C121="","",$D121&amp;"-"&amp;$F121&amp;"-"&amp;$K121)</f>
        <v/>
      </c>
      <c r="C121" s="14" t="n"/>
      <c r="D121" s="15">
        <f>IF($C121="","",IFERROR(INDEX(rngCadetPIDs,MATCH($C121,rngCadetNames,0)),"?"))</f>
        <v/>
      </c>
      <c r="E121" s="15">
        <f>IF($D121="","",IFERROR(INDEX(nrCadetAgency,MATCH($D121,rngCadetPIDs,0)),""))</f>
        <v/>
      </c>
      <c r="F121" s="14" t="n"/>
      <c r="G121" s="15">
        <f>IF($F121="","",IFERROR(INDEX(rngEPname,MATCH($F121,rngEPcode,0)),"?"))</f>
        <v/>
      </c>
      <c r="H121" s="15">
        <f>IF($F121="","",IFERROR(INDEX(rngEPtype,MATCH($F121,rngEPcode,0)),"?"))</f>
        <v/>
      </c>
      <c r="I121" s="15">
        <f>IF($F121="","",IFERROR(INDEX(rngEPseq,MATCH($F121,rngEPcode,0)),""))</f>
        <v/>
      </c>
      <c r="J121" s="15">
        <f>IF($F121="","",IFERROR(INDEX(rngEPpass,MATCH($F121,rngEPcode,0)),cfgPassingScore))</f>
        <v/>
      </c>
      <c r="K121" s="14" t="n"/>
      <c r="L121" s="14" t="n"/>
      <c r="M121" s="15">
        <f>IF($C121="","",IF($L121="","",IF($K121=1,IF(COUNTIFS(nrES_PID,$D121,nrES_Code,$F121,nrES_Att,2)&gt;0,"",$L121),IF(COUNTIFS(nrES_PID,$D121,nrES_Code,$F121,nrES_Att,1)=0,$L121,IF($L121&gt;=$J121,cfgRetakeRecordedCap,SUMIFS(nrES_Raw,nrES_PID,$D121,nrES_Code,$F121,nrES_Att,1))))))</f>
        <v/>
      </c>
      <c r="N121" s="15">
        <f>IF($C121="","",IF($L121="","",IF($L121&gt;=$J121,"Yes","No")))</f>
        <v/>
      </c>
      <c r="O121" s="15">
        <f>IF($C121="","",IF($M121="","",IF($M121&gt;=$J121,"Yes","No")))</f>
        <v/>
      </c>
      <c r="P121" s="15">
        <f>IF($C121="","",IF($K121="","",IF(COUNTIFS(nrES_PID,$D121,nrES_Code,$F121,nrES_Att,"&gt;"&amp;$K121)=0,"Yes","No")))</f>
        <v/>
      </c>
      <c r="Q121" s="15">
        <f>IF($C121="","",IF($L121="","",IF(AND($K121=1,$L121&lt;$J121,COUNTIFS(nrES_PID,$D121,nrES_Code,$F121,nrES_Att,2)=0),"Yes","No")))</f>
        <v/>
      </c>
      <c r="R121" s="15">
        <f>IF($C121="","",IF($L121="","",IF(AND($K121=2,$L121&lt;$J121,COUNTIFS(nrES_PID,$D121,nrES_Code,$F121,nrES_Att,1)&gt;0),"Yes","No")))</f>
        <v/>
      </c>
      <c r="S121" s="16" t="n"/>
      <c r="T121" s="17">
        <f>IF($Q121&lt;&gt;"Yes","",IF($S121="","(enter date)",_xlfn.LET(_xlpm.dn,IFERROR(_xlfn.XLOOKUP($S121,nrCDdate,nrCDnum),""),IF(_xlpm.dn="","(not a class day)",IFERROR(_xlfn.XLOOKUP(_xlpm.dn+cfgRetestClassDays,nrCDnum,nrCDdate),"")))))</f>
        <v/>
      </c>
      <c r="U121" s="15">
        <f>IF($Q121&lt;&gt;"Yes","",IF(COUNTIFS(nrES_PID,$D121,nrES_Code,$F121,nrES_Att,2)&gt;0,"Retested",IF(OR($T121="",NOT(ISNUMBER($T121))),"Pending",IF(TODAY()&gt;$T121,"OVERDUE","Due "&amp;TEXT($T121,"mm/dd")))))</f>
        <v/>
      </c>
      <c r="V121" s="14" t="n"/>
      <c r="W121" s="14" t="n"/>
    </row>
    <row r="122">
      <c r="B122" s="15">
        <f>IF($C122="","",$D122&amp;"-"&amp;$F122&amp;"-"&amp;$K122)</f>
        <v/>
      </c>
      <c r="C122" s="14" t="n"/>
      <c r="D122" s="15">
        <f>IF($C122="","",IFERROR(INDEX(rngCadetPIDs,MATCH($C122,rngCadetNames,0)),"?"))</f>
        <v/>
      </c>
      <c r="E122" s="15">
        <f>IF($D122="","",IFERROR(INDEX(nrCadetAgency,MATCH($D122,rngCadetPIDs,0)),""))</f>
        <v/>
      </c>
      <c r="F122" s="14" t="n"/>
      <c r="G122" s="15">
        <f>IF($F122="","",IFERROR(INDEX(rngEPname,MATCH($F122,rngEPcode,0)),"?"))</f>
        <v/>
      </c>
      <c r="H122" s="15">
        <f>IF($F122="","",IFERROR(INDEX(rngEPtype,MATCH($F122,rngEPcode,0)),"?"))</f>
        <v/>
      </c>
      <c r="I122" s="15">
        <f>IF($F122="","",IFERROR(INDEX(rngEPseq,MATCH($F122,rngEPcode,0)),""))</f>
        <v/>
      </c>
      <c r="J122" s="15">
        <f>IF($F122="","",IFERROR(INDEX(rngEPpass,MATCH($F122,rngEPcode,0)),cfgPassingScore))</f>
        <v/>
      </c>
      <c r="K122" s="14" t="n"/>
      <c r="L122" s="14" t="n"/>
      <c r="M122" s="15">
        <f>IF($C122="","",IF($L122="","",IF($K122=1,IF(COUNTIFS(nrES_PID,$D122,nrES_Code,$F122,nrES_Att,2)&gt;0,"",$L122),IF(COUNTIFS(nrES_PID,$D122,nrES_Code,$F122,nrES_Att,1)=0,$L122,IF($L122&gt;=$J122,cfgRetakeRecordedCap,SUMIFS(nrES_Raw,nrES_PID,$D122,nrES_Code,$F122,nrES_Att,1))))))</f>
        <v/>
      </c>
      <c r="N122" s="15">
        <f>IF($C122="","",IF($L122="","",IF($L122&gt;=$J122,"Yes","No")))</f>
        <v/>
      </c>
      <c r="O122" s="15">
        <f>IF($C122="","",IF($M122="","",IF($M122&gt;=$J122,"Yes","No")))</f>
        <v/>
      </c>
      <c r="P122" s="15">
        <f>IF($C122="","",IF($K122="","",IF(COUNTIFS(nrES_PID,$D122,nrES_Code,$F122,nrES_Att,"&gt;"&amp;$K122)=0,"Yes","No")))</f>
        <v/>
      </c>
      <c r="Q122" s="15">
        <f>IF($C122="","",IF($L122="","",IF(AND($K122=1,$L122&lt;$J122,COUNTIFS(nrES_PID,$D122,nrES_Code,$F122,nrES_Att,2)=0),"Yes","No")))</f>
        <v/>
      </c>
      <c r="R122" s="15">
        <f>IF($C122="","",IF($L122="","",IF(AND($K122=2,$L122&lt;$J122,COUNTIFS(nrES_PID,$D122,nrES_Code,$F122,nrES_Att,1)&gt;0),"Yes","No")))</f>
        <v/>
      </c>
      <c r="S122" s="16" t="n"/>
      <c r="T122" s="17">
        <f>IF($Q122&lt;&gt;"Yes","",IF($S122="","(enter date)",_xlfn.LET(_xlpm.dn,IFERROR(_xlfn.XLOOKUP($S122,nrCDdate,nrCDnum),""),IF(_xlpm.dn="","(not a class day)",IFERROR(_xlfn.XLOOKUP(_xlpm.dn+cfgRetestClassDays,nrCDnum,nrCDdate),"")))))</f>
        <v/>
      </c>
      <c r="U122" s="15">
        <f>IF($Q122&lt;&gt;"Yes","",IF(COUNTIFS(nrES_PID,$D122,nrES_Code,$F122,nrES_Att,2)&gt;0,"Retested",IF(OR($T122="",NOT(ISNUMBER($T122))),"Pending",IF(TODAY()&gt;$T122,"OVERDUE","Due "&amp;TEXT($T122,"mm/dd")))))</f>
        <v/>
      </c>
      <c r="V122" s="14" t="n"/>
      <c r="W122" s="14" t="n"/>
    </row>
    <row r="123">
      <c r="B123" s="15">
        <f>IF($C123="","",$D123&amp;"-"&amp;$F123&amp;"-"&amp;$K123)</f>
        <v/>
      </c>
      <c r="C123" s="14" t="n"/>
      <c r="D123" s="15">
        <f>IF($C123="","",IFERROR(INDEX(rngCadetPIDs,MATCH($C123,rngCadetNames,0)),"?"))</f>
        <v/>
      </c>
      <c r="E123" s="15">
        <f>IF($D123="","",IFERROR(INDEX(nrCadetAgency,MATCH($D123,rngCadetPIDs,0)),""))</f>
        <v/>
      </c>
      <c r="F123" s="14" t="n"/>
      <c r="G123" s="15">
        <f>IF($F123="","",IFERROR(INDEX(rngEPname,MATCH($F123,rngEPcode,0)),"?"))</f>
        <v/>
      </c>
      <c r="H123" s="15">
        <f>IF($F123="","",IFERROR(INDEX(rngEPtype,MATCH($F123,rngEPcode,0)),"?"))</f>
        <v/>
      </c>
      <c r="I123" s="15">
        <f>IF($F123="","",IFERROR(INDEX(rngEPseq,MATCH($F123,rngEPcode,0)),""))</f>
        <v/>
      </c>
      <c r="J123" s="15">
        <f>IF($F123="","",IFERROR(INDEX(rngEPpass,MATCH($F123,rngEPcode,0)),cfgPassingScore))</f>
        <v/>
      </c>
      <c r="K123" s="14" t="n"/>
      <c r="L123" s="14" t="n"/>
      <c r="M123" s="15">
        <f>IF($C123="","",IF($L123="","",IF($K123=1,IF(COUNTIFS(nrES_PID,$D123,nrES_Code,$F123,nrES_Att,2)&gt;0,"",$L123),IF(COUNTIFS(nrES_PID,$D123,nrES_Code,$F123,nrES_Att,1)=0,$L123,IF($L123&gt;=$J123,cfgRetakeRecordedCap,SUMIFS(nrES_Raw,nrES_PID,$D123,nrES_Code,$F123,nrES_Att,1))))))</f>
        <v/>
      </c>
      <c r="N123" s="15">
        <f>IF($C123="","",IF($L123="","",IF($L123&gt;=$J123,"Yes","No")))</f>
        <v/>
      </c>
      <c r="O123" s="15">
        <f>IF($C123="","",IF($M123="","",IF($M123&gt;=$J123,"Yes","No")))</f>
        <v/>
      </c>
      <c r="P123" s="15">
        <f>IF($C123="","",IF($K123="","",IF(COUNTIFS(nrES_PID,$D123,nrES_Code,$F123,nrES_Att,"&gt;"&amp;$K123)=0,"Yes","No")))</f>
        <v/>
      </c>
      <c r="Q123" s="15">
        <f>IF($C123="","",IF($L123="","",IF(AND($K123=1,$L123&lt;$J123,COUNTIFS(nrES_PID,$D123,nrES_Code,$F123,nrES_Att,2)=0),"Yes","No")))</f>
        <v/>
      </c>
      <c r="R123" s="15">
        <f>IF($C123="","",IF($L123="","",IF(AND($K123=2,$L123&lt;$J123,COUNTIFS(nrES_PID,$D123,nrES_Code,$F123,nrES_Att,1)&gt;0),"Yes","No")))</f>
        <v/>
      </c>
      <c r="S123" s="16" t="n"/>
      <c r="T123" s="17">
        <f>IF($Q123&lt;&gt;"Yes","",IF($S123="","(enter date)",_xlfn.LET(_xlpm.dn,IFERROR(_xlfn.XLOOKUP($S123,nrCDdate,nrCDnum),""),IF(_xlpm.dn="","(not a class day)",IFERROR(_xlfn.XLOOKUP(_xlpm.dn+cfgRetestClassDays,nrCDnum,nrCDdate),"")))))</f>
        <v/>
      </c>
      <c r="U123" s="15">
        <f>IF($Q123&lt;&gt;"Yes","",IF(COUNTIFS(nrES_PID,$D123,nrES_Code,$F123,nrES_Att,2)&gt;0,"Retested",IF(OR($T123="",NOT(ISNUMBER($T123))),"Pending",IF(TODAY()&gt;$T123,"OVERDUE","Due "&amp;TEXT($T123,"mm/dd")))))</f>
        <v/>
      </c>
      <c r="V123" s="14" t="n"/>
      <c r="W123" s="14" t="n"/>
    </row>
    <row r="124">
      <c r="B124" s="15">
        <f>IF($C124="","",$D124&amp;"-"&amp;$F124&amp;"-"&amp;$K124)</f>
        <v/>
      </c>
      <c r="C124" s="14" t="n"/>
      <c r="D124" s="15">
        <f>IF($C124="","",IFERROR(INDEX(rngCadetPIDs,MATCH($C124,rngCadetNames,0)),"?"))</f>
        <v/>
      </c>
      <c r="E124" s="15">
        <f>IF($D124="","",IFERROR(INDEX(nrCadetAgency,MATCH($D124,rngCadetPIDs,0)),""))</f>
        <v/>
      </c>
      <c r="F124" s="14" t="n"/>
      <c r="G124" s="15">
        <f>IF($F124="","",IFERROR(INDEX(rngEPname,MATCH($F124,rngEPcode,0)),"?"))</f>
        <v/>
      </c>
      <c r="H124" s="15">
        <f>IF($F124="","",IFERROR(INDEX(rngEPtype,MATCH($F124,rngEPcode,0)),"?"))</f>
        <v/>
      </c>
      <c r="I124" s="15">
        <f>IF($F124="","",IFERROR(INDEX(rngEPseq,MATCH($F124,rngEPcode,0)),""))</f>
        <v/>
      </c>
      <c r="J124" s="15">
        <f>IF($F124="","",IFERROR(INDEX(rngEPpass,MATCH($F124,rngEPcode,0)),cfgPassingScore))</f>
        <v/>
      </c>
      <c r="K124" s="14" t="n"/>
      <c r="L124" s="14" t="n"/>
      <c r="M124" s="15">
        <f>IF($C124="","",IF($L124="","",IF($K124=1,IF(COUNTIFS(nrES_PID,$D124,nrES_Code,$F124,nrES_Att,2)&gt;0,"",$L124),IF(COUNTIFS(nrES_PID,$D124,nrES_Code,$F124,nrES_Att,1)=0,$L124,IF($L124&gt;=$J124,cfgRetakeRecordedCap,SUMIFS(nrES_Raw,nrES_PID,$D124,nrES_Code,$F124,nrES_Att,1))))))</f>
        <v/>
      </c>
      <c r="N124" s="15">
        <f>IF($C124="","",IF($L124="","",IF($L124&gt;=$J124,"Yes","No")))</f>
        <v/>
      </c>
      <c r="O124" s="15">
        <f>IF($C124="","",IF($M124="","",IF($M124&gt;=$J124,"Yes","No")))</f>
        <v/>
      </c>
      <c r="P124" s="15">
        <f>IF($C124="","",IF($K124="","",IF(COUNTIFS(nrES_PID,$D124,nrES_Code,$F124,nrES_Att,"&gt;"&amp;$K124)=0,"Yes","No")))</f>
        <v/>
      </c>
      <c r="Q124" s="15">
        <f>IF($C124="","",IF($L124="","",IF(AND($K124=1,$L124&lt;$J124,COUNTIFS(nrES_PID,$D124,nrES_Code,$F124,nrES_Att,2)=0),"Yes","No")))</f>
        <v/>
      </c>
      <c r="R124" s="15">
        <f>IF($C124="","",IF($L124="","",IF(AND($K124=2,$L124&lt;$J124,COUNTIFS(nrES_PID,$D124,nrES_Code,$F124,nrES_Att,1)&gt;0),"Yes","No")))</f>
        <v/>
      </c>
      <c r="S124" s="16" t="n"/>
      <c r="T124" s="17">
        <f>IF($Q124&lt;&gt;"Yes","",IF($S124="","(enter date)",_xlfn.LET(_xlpm.dn,IFERROR(_xlfn.XLOOKUP($S124,nrCDdate,nrCDnum),""),IF(_xlpm.dn="","(not a class day)",IFERROR(_xlfn.XLOOKUP(_xlpm.dn+cfgRetestClassDays,nrCDnum,nrCDdate),"")))))</f>
        <v/>
      </c>
      <c r="U124" s="15">
        <f>IF($Q124&lt;&gt;"Yes","",IF(COUNTIFS(nrES_PID,$D124,nrES_Code,$F124,nrES_Att,2)&gt;0,"Retested",IF(OR($T124="",NOT(ISNUMBER($T124))),"Pending",IF(TODAY()&gt;$T124,"OVERDUE","Due "&amp;TEXT($T124,"mm/dd")))))</f>
        <v/>
      </c>
      <c r="V124" s="14" t="n"/>
      <c r="W124" s="14" t="n"/>
    </row>
    <row r="125">
      <c r="B125" s="15">
        <f>IF($C125="","",$D125&amp;"-"&amp;$F125&amp;"-"&amp;$K125)</f>
        <v/>
      </c>
      <c r="C125" s="14" t="n"/>
      <c r="D125" s="15">
        <f>IF($C125="","",IFERROR(INDEX(rngCadetPIDs,MATCH($C125,rngCadetNames,0)),"?"))</f>
        <v/>
      </c>
      <c r="E125" s="15">
        <f>IF($D125="","",IFERROR(INDEX(nrCadetAgency,MATCH($D125,rngCadetPIDs,0)),""))</f>
        <v/>
      </c>
      <c r="F125" s="14" t="n"/>
      <c r="G125" s="15">
        <f>IF($F125="","",IFERROR(INDEX(rngEPname,MATCH($F125,rngEPcode,0)),"?"))</f>
        <v/>
      </c>
      <c r="H125" s="15">
        <f>IF($F125="","",IFERROR(INDEX(rngEPtype,MATCH($F125,rngEPcode,0)),"?"))</f>
        <v/>
      </c>
      <c r="I125" s="15">
        <f>IF($F125="","",IFERROR(INDEX(rngEPseq,MATCH($F125,rngEPcode,0)),""))</f>
        <v/>
      </c>
      <c r="J125" s="15">
        <f>IF($F125="","",IFERROR(INDEX(rngEPpass,MATCH($F125,rngEPcode,0)),cfgPassingScore))</f>
        <v/>
      </c>
      <c r="K125" s="14" t="n"/>
      <c r="L125" s="14" t="n"/>
      <c r="M125" s="15">
        <f>IF($C125="","",IF($L125="","",IF($K125=1,IF(COUNTIFS(nrES_PID,$D125,nrES_Code,$F125,nrES_Att,2)&gt;0,"",$L125),IF(COUNTIFS(nrES_PID,$D125,nrES_Code,$F125,nrES_Att,1)=0,$L125,IF($L125&gt;=$J125,cfgRetakeRecordedCap,SUMIFS(nrES_Raw,nrES_PID,$D125,nrES_Code,$F125,nrES_Att,1))))))</f>
        <v/>
      </c>
      <c r="N125" s="15">
        <f>IF($C125="","",IF($L125="","",IF($L125&gt;=$J125,"Yes","No")))</f>
        <v/>
      </c>
      <c r="O125" s="15">
        <f>IF($C125="","",IF($M125="","",IF($M125&gt;=$J125,"Yes","No")))</f>
        <v/>
      </c>
      <c r="P125" s="15">
        <f>IF($C125="","",IF($K125="","",IF(COUNTIFS(nrES_PID,$D125,nrES_Code,$F125,nrES_Att,"&gt;"&amp;$K125)=0,"Yes","No")))</f>
        <v/>
      </c>
      <c r="Q125" s="15">
        <f>IF($C125="","",IF($L125="","",IF(AND($K125=1,$L125&lt;$J125,COUNTIFS(nrES_PID,$D125,nrES_Code,$F125,nrES_Att,2)=0),"Yes","No")))</f>
        <v/>
      </c>
      <c r="R125" s="15">
        <f>IF($C125="","",IF($L125="","",IF(AND($K125=2,$L125&lt;$J125,COUNTIFS(nrES_PID,$D125,nrES_Code,$F125,nrES_Att,1)&gt;0),"Yes","No")))</f>
        <v/>
      </c>
      <c r="S125" s="16" t="n"/>
      <c r="T125" s="17">
        <f>IF($Q125&lt;&gt;"Yes","",IF($S125="","(enter date)",_xlfn.LET(_xlpm.dn,IFERROR(_xlfn.XLOOKUP($S125,nrCDdate,nrCDnum),""),IF(_xlpm.dn="","(not a class day)",IFERROR(_xlfn.XLOOKUP(_xlpm.dn+cfgRetestClassDays,nrCDnum,nrCDdate),"")))))</f>
        <v/>
      </c>
      <c r="U125" s="15">
        <f>IF($Q125&lt;&gt;"Yes","",IF(COUNTIFS(nrES_PID,$D125,nrES_Code,$F125,nrES_Att,2)&gt;0,"Retested",IF(OR($T125="",NOT(ISNUMBER($T125))),"Pending",IF(TODAY()&gt;$T125,"OVERDUE","Due "&amp;TEXT($T125,"mm/dd")))))</f>
        <v/>
      </c>
      <c r="V125" s="14" t="n"/>
      <c r="W125" s="14" t="n"/>
    </row>
    <row r="126">
      <c r="B126" s="15">
        <f>IF($C126="","",$D126&amp;"-"&amp;$F126&amp;"-"&amp;$K126)</f>
        <v/>
      </c>
      <c r="C126" s="14" t="n"/>
      <c r="D126" s="15">
        <f>IF($C126="","",IFERROR(INDEX(rngCadetPIDs,MATCH($C126,rngCadetNames,0)),"?"))</f>
        <v/>
      </c>
      <c r="E126" s="15">
        <f>IF($D126="","",IFERROR(INDEX(nrCadetAgency,MATCH($D126,rngCadetPIDs,0)),""))</f>
        <v/>
      </c>
      <c r="F126" s="14" t="n"/>
      <c r="G126" s="15">
        <f>IF($F126="","",IFERROR(INDEX(rngEPname,MATCH($F126,rngEPcode,0)),"?"))</f>
        <v/>
      </c>
      <c r="H126" s="15">
        <f>IF($F126="","",IFERROR(INDEX(rngEPtype,MATCH($F126,rngEPcode,0)),"?"))</f>
        <v/>
      </c>
      <c r="I126" s="15">
        <f>IF($F126="","",IFERROR(INDEX(rngEPseq,MATCH($F126,rngEPcode,0)),""))</f>
        <v/>
      </c>
      <c r="J126" s="15">
        <f>IF($F126="","",IFERROR(INDEX(rngEPpass,MATCH($F126,rngEPcode,0)),cfgPassingScore))</f>
        <v/>
      </c>
      <c r="K126" s="14" t="n"/>
      <c r="L126" s="14" t="n"/>
      <c r="M126" s="15">
        <f>IF($C126="","",IF($L126="","",IF($K126=1,IF(COUNTIFS(nrES_PID,$D126,nrES_Code,$F126,nrES_Att,2)&gt;0,"",$L126),IF(COUNTIFS(nrES_PID,$D126,nrES_Code,$F126,nrES_Att,1)=0,$L126,IF($L126&gt;=$J126,cfgRetakeRecordedCap,SUMIFS(nrES_Raw,nrES_PID,$D126,nrES_Code,$F126,nrES_Att,1))))))</f>
        <v/>
      </c>
      <c r="N126" s="15">
        <f>IF($C126="","",IF($L126="","",IF($L126&gt;=$J126,"Yes","No")))</f>
        <v/>
      </c>
      <c r="O126" s="15">
        <f>IF($C126="","",IF($M126="","",IF($M126&gt;=$J126,"Yes","No")))</f>
        <v/>
      </c>
      <c r="P126" s="15">
        <f>IF($C126="","",IF($K126="","",IF(COUNTIFS(nrES_PID,$D126,nrES_Code,$F126,nrES_Att,"&gt;"&amp;$K126)=0,"Yes","No")))</f>
        <v/>
      </c>
      <c r="Q126" s="15">
        <f>IF($C126="","",IF($L126="","",IF(AND($K126=1,$L126&lt;$J126,COUNTIFS(nrES_PID,$D126,nrES_Code,$F126,nrES_Att,2)=0),"Yes","No")))</f>
        <v/>
      </c>
      <c r="R126" s="15">
        <f>IF($C126="","",IF($L126="","",IF(AND($K126=2,$L126&lt;$J126,COUNTIFS(nrES_PID,$D126,nrES_Code,$F126,nrES_Att,1)&gt;0),"Yes","No")))</f>
        <v/>
      </c>
      <c r="S126" s="16" t="n"/>
      <c r="T126" s="17">
        <f>IF($Q126&lt;&gt;"Yes","",IF($S126="","(enter date)",_xlfn.LET(_xlpm.dn,IFERROR(_xlfn.XLOOKUP($S126,nrCDdate,nrCDnum),""),IF(_xlpm.dn="","(not a class day)",IFERROR(_xlfn.XLOOKUP(_xlpm.dn+cfgRetestClassDays,nrCDnum,nrCDdate),"")))))</f>
        <v/>
      </c>
      <c r="U126" s="15">
        <f>IF($Q126&lt;&gt;"Yes","",IF(COUNTIFS(nrES_PID,$D126,nrES_Code,$F126,nrES_Att,2)&gt;0,"Retested",IF(OR($T126="",NOT(ISNUMBER($T126))),"Pending",IF(TODAY()&gt;$T126,"OVERDUE","Due "&amp;TEXT($T126,"mm/dd")))))</f>
        <v/>
      </c>
      <c r="V126" s="14" t="n"/>
      <c r="W126" s="14" t="n"/>
    </row>
    <row r="127">
      <c r="B127" s="15">
        <f>IF($C127="","",$D127&amp;"-"&amp;$F127&amp;"-"&amp;$K127)</f>
        <v/>
      </c>
      <c r="C127" s="14" t="n"/>
      <c r="D127" s="15">
        <f>IF($C127="","",IFERROR(INDEX(rngCadetPIDs,MATCH($C127,rngCadetNames,0)),"?"))</f>
        <v/>
      </c>
      <c r="E127" s="15">
        <f>IF($D127="","",IFERROR(INDEX(nrCadetAgency,MATCH($D127,rngCadetPIDs,0)),""))</f>
        <v/>
      </c>
      <c r="F127" s="14" t="n"/>
      <c r="G127" s="15">
        <f>IF($F127="","",IFERROR(INDEX(rngEPname,MATCH($F127,rngEPcode,0)),"?"))</f>
        <v/>
      </c>
      <c r="H127" s="15">
        <f>IF($F127="","",IFERROR(INDEX(rngEPtype,MATCH($F127,rngEPcode,0)),"?"))</f>
        <v/>
      </c>
      <c r="I127" s="15">
        <f>IF($F127="","",IFERROR(INDEX(rngEPseq,MATCH($F127,rngEPcode,0)),""))</f>
        <v/>
      </c>
      <c r="J127" s="15">
        <f>IF($F127="","",IFERROR(INDEX(rngEPpass,MATCH($F127,rngEPcode,0)),cfgPassingScore))</f>
        <v/>
      </c>
      <c r="K127" s="14" t="n"/>
      <c r="L127" s="14" t="n"/>
      <c r="M127" s="15">
        <f>IF($C127="","",IF($L127="","",IF($K127=1,IF(COUNTIFS(nrES_PID,$D127,nrES_Code,$F127,nrES_Att,2)&gt;0,"",$L127),IF(COUNTIFS(nrES_PID,$D127,nrES_Code,$F127,nrES_Att,1)=0,$L127,IF($L127&gt;=$J127,cfgRetakeRecordedCap,SUMIFS(nrES_Raw,nrES_PID,$D127,nrES_Code,$F127,nrES_Att,1))))))</f>
        <v/>
      </c>
      <c r="N127" s="15">
        <f>IF($C127="","",IF($L127="","",IF($L127&gt;=$J127,"Yes","No")))</f>
        <v/>
      </c>
      <c r="O127" s="15">
        <f>IF($C127="","",IF($M127="","",IF($M127&gt;=$J127,"Yes","No")))</f>
        <v/>
      </c>
      <c r="P127" s="15">
        <f>IF($C127="","",IF($K127="","",IF(COUNTIFS(nrES_PID,$D127,nrES_Code,$F127,nrES_Att,"&gt;"&amp;$K127)=0,"Yes","No")))</f>
        <v/>
      </c>
      <c r="Q127" s="15">
        <f>IF($C127="","",IF($L127="","",IF(AND($K127=1,$L127&lt;$J127,COUNTIFS(nrES_PID,$D127,nrES_Code,$F127,nrES_Att,2)=0),"Yes","No")))</f>
        <v/>
      </c>
      <c r="R127" s="15">
        <f>IF($C127="","",IF($L127="","",IF(AND($K127=2,$L127&lt;$J127,COUNTIFS(nrES_PID,$D127,nrES_Code,$F127,nrES_Att,1)&gt;0),"Yes","No")))</f>
        <v/>
      </c>
      <c r="S127" s="16" t="n"/>
      <c r="T127" s="17">
        <f>IF($Q127&lt;&gt;"Yes","",IF($S127="","(enter date)",_xlfn.LET(_xlpm.dn,IFERROR(_xlfn.XLOOKUP($S127,nrCDdate,nrCDnum),""),IF(_xlpm.dn="","(not a class day)",IFERROR(_xlfn.XLOOKUP(_xlpm.dn+cfgRetestClassDays,nrCDnum,nrCDdate),"")))))</f>
        <v/>
      </c>
      <c r="U127" s="15">
        <f>IF($Q127&lt;&gt;"Yes","",IF(COUNTIFS(nrES_PID,$D127,nrES_Code,$F127,nrES_Att,2)&gt;0,"Retested",IF(OR($T127="",NOT(ISNUMBER($T127))),"Pending",IF(TODAY()&gt;$T127,"OVERDUE","Due "&amp;TEXT($T127,"mm/dd")))))</f>
        <v/>
      </c>
      <c r="V127" s="14" t="n"/>
      <c r="W127" s="14" t="n"/>
    </row>
    <row r="128">
      <c r="B128" s="15">
        <f>IF($C128="","",$D128&amp;"-"&amp;$F128&amp;"-"&amp;$K128)</f>
        <v/>
      </c>
      <c r="C128" s="14" t="n"/>
      <c r="D128" s="15">
        <f>IF($C128="","",IFERROR(INDEX(rngCadetPIDs,MATCH($C128,rngCadetNames,0)),"?"))</f>
        <v/>
      </c>
      <c r="E128" s="15">
        <f>IF($D128="","",IFERROR(INDEX(nrCadetAgency,MATCH($D128,rngCadetPIDs,0)),""))</f>
        <v/>
      </c>
      <c r="F128" s="14" t="n"/>
      <c r="G128" s="15">
        <f>IF($F128="","",IFERROR(INDEX(rngEPname,MATCH($F128,rngEPcode,0)),"?"))</f>
        <v/>
      </c>
      <c r="H128" s="15">
        <f>IF($F128="","",IFERROR(INDEX(rngEPtype,MATCH($F128,rngEPcode,0)),"?"))</f>
        <v/>
      </c>
      <c r="I128" s="15">
        <f>IF($F128="","",IFERROR(INDEX(rngEPseq,MATCH($F128,rngEPcode,0)),""))</f>
        <v/>
      </c>
      <c r="J128" s="15">
        <f>IF($F128="","",IFERROR(INDEX(rngEPpass,MATCH($F128,rngEPcode,0)),cfgPassingScore))</f>
        <v/>
      </c>
      <c r="K128" s="14" t="n"/>
      <c r="L128" s="14" t="n"/>
      <c r="M128" s="15">
        <f>IF($C128="","",IF($L128="","",IF($K128=1,IF(COUNTIFS(nrES_PID,$D128,nrES_Code,$F128,nrES_Att,2)&gt;0,"",$L128),IF(COUNTIFS(nrES_PID,$D128,nrES_Code,$F128,nrES_Att,1)=0,$L128,IF($L128&gt;=$J128,cfgRetakeRecordedCap,SUMIFS(nrES_Raw,nrES_PID,$D128,nrES_Code,$F128,nrES_Att,1))))))</f>
        <v/>
      </c>
      <c r="N128" s="15">
        <f>IF($C128="","",IF($L128="","",IF($L128&gt;=$J128,"Yes","No")))</f>
        <v/>
      </c>
      <c r="O128" s="15">
        <f>IF($C128="","",IF($M128="","",IF($M128&gt;=$J128,"Yes","No")))</f>
        <v/>
      </c>
      <c r="P128" s="15">
        <f>IF($C128="","",IF($K128="","",IF(COUNTIFS(nrES_PID,$D128,nrES_Code,$F128,nrES_Att,"&gt;"&amp;$K128)=0,"Yes","No")))</f>
        <v/>
      </c>
      <c r="Q128" s="15">
        <f>IF($C128="","",IF($L128="","",IF(AND($K128=1,$L128&lt;$J128,COUNTIFS(nrES_PID,$D128,nrES_Code,$F128,nrES_Att,2)=0),"Yes","No")))</f>
        <v/>
      </c>
      <c r="R128" s="15">
        <f>IF($C128="","",IF($L128="","",IF(AND($K128=2,$L128&lt;$J128,COUNTIFS(nrES_PID,$D128,nrES_Code,$F128,nrES_Att,1)&gt;0),"Yes","No")))</f>
        <v/>
      </c>
      <c r="S128" s="16" t="n"/>
      <c r="T128" s="17">
        <f>IF($Q128&lt;&gt;"Yes","",IF($S128="","(enter date)",_xlfn.LET(_xlpm.dn,IFERROR(_xlfn.XLOOKUP($S128,nrCDdate,nrCDnum),""),IF(_xlpm.dn="","(not a class day)",IFERROR(_xlfn.XLOOKUP(_xlpm.dn+cfgRetestClassDays,nrCDnum,nrCDdate),"")))))</f>
        <v/>
      </c>
      <c r="U128" s="15">
        <f>IF($Q128&lt;&gt;"Yes","",IF(COUNTIFS(nrES_PID,$D128,nrES_Code,$F128,nrES_Att,2)&gt;0,"Retested",IF(OR($T128="",NOT(ISNUMBER($T128))),"Pending",IF(TODAY()&gt;$T128,"OVERDUE","Due "&amp;TEXT($T128,"mm/dd")))))</f>
        <v/>
      </c>
      <c r="V128" s="14" t="n"/>
      <c r="W128" s="14" t="n"/>
    </row>
    <row r="129">
      <c r="B129" s="15">
        <f>IF($C129="","",$D129&amp;"-"&amp;$F129&amp;"-"&amp;$K129)</f>
        <v/>
      </c>
      <c r="C129" s="14" t="n"/>
      <c r="D129" s="15">
        <f>IF($C129="","",IFERROR(INDEX(rngCadetPIDs,MATCH($C129,rngCadetNames,0)),"?"))</f>
        <v/>
      </c>
      <c r="E129" s="15">
        <f>IF($D129="","",IFERROR(INDEX(nrCadetAgency,MATCH($D129,rngCadetPIDs,0)),""))</f>
        <v/>
      </c>
      <c r="F129" s="14" t="n"/>
      <c r="G129" s="15">
        <f>IF($F129="","",IFERROR(INDEX(rngEPname,MATCH($F129,rngEPcode,0)),"?"))</f>
        <v/>
      </c>
      <c r="H129" s="15">
        <f>IF($F129="","",IFERROR(INDEX(rngEPtype,MATCH($F129,rngEPcode,0)),"?"))</f>
        <v/>
      </c>
      <c r="I129" s="15">
        <f>IF($F129="","",IFERROR(INDEX(rngEPseq,MATCH($F129,rngEPcode,0)),""))</f>
        <v/>
      </c>
      <c r="J129" s="15">
        <f>IF($F129="","",IFERROR(INDEX(rngEPpass,MATCH($F129,rngEPcode,0)),cfgPassingScore))</f>
        <v/>
      </c>
      <c r="K129" s="14" t="n"/>
      <c r="L129" s="14" t="n"/>
      <c r="M129" s="15">
        <f>IF($C129="","",IF($L129="","",IF($K129=1,IF(COUNTIFS(nrES_PID,$D129,nrES_Code,$F129,nrES_Att,2)&gt;0,"",$L129),IF(COUNTIFS(nrES_PID,$D129,nrES_Code,$F129,nrES_Att,1)=0,$L129,IF($L129&gt;=$J129,cfgRetakeRecordedCap,SUMIFS(nrES_Raw,nrES_PID,$D129,nrES_Code,$F129,nrES_Att,1))))))</f>
        <v/>
      </c>
      <c r="N129" s="15">
        <f>IF($C129="","",IF($L129="","",IF($L129&gt;=$J129,"Yes","No")))</f>
        <v/>
      </c>
      <c r="O129" s="15">
        <f>IF($C129="","",IF($M129="","",IF($M129&gt;=$J129,"Yes","No")))</f>
        <v/>
      </c>
      <c r="P129" s="15">
        <f>IF($C129="","",IF($K129="","",IF(COUNTIFS(nrES_PID,$D129,nrES_Code,$F129,nrES_Att,"&gt;"&amp;$K129)=0,"Yes","No")))</f>
        <v/>
      </c>
      <c r="Q129" s="15">
        <f>IF($C129="","",IF($L129="","",IF(AND($K129=1,$L129&lt;$J129,COUNTIFS(nrES_PID,$D129,nrES_Code,$F129,nrES_Att,2)=0),"Yes","No")))</f>
        <v/>
      </c>
      <c r="R129" s="15">
        <f>IF($C129="","",IF($L129="","",IF(AND($K129=2,$L129&lt;$J129,COUNTIFS(nrES_PID,$D129,nrES_Code,$F129,nrES_Att,1)&gt;0),"Yes","No")))</f>
        <v/>
      </c>
      <c r="S129" s="16" t="n"/>
      <c r="T129" s="17">
        <f>IF($Q129&lt;&gt;"Yes","",IF($S129="","(enter date)",_xlfn.LET(_xlpm.dn,IFERROR(_xlfn.XLOOKUP($S129,nrCDdate,nrCDnum),""),IF(_xlpm.dn="","(not a class day)",IFERROR(_xlfn.XLOOKUP(_xlpm.dn+cfgRetestClassDays,nrCDnum,nrCDdate),"")))))</f>
        <v/>
      </c>
      <c r="U129" s="15">
        <f>IF($Q129&lt;&gt;"Yes","",IF(COUNTIFS(nrES_PID,$D129,nrES_Code,$F129,nrES_Att,2)&gt;0,"Retested",IF(OR($T129="",NOT(ISNUMBER($T129))),"Pending",IF(TODAY()&gt;$T129,"OVERDUE","Due "&amp;TEXT($T129,"mm/dd")))))</f>
        <v/>
      </c>
      <c r="V129" s="14" t="n"/>
      <c r="W129" s="14" t="n"/>
    </row>
    <row r="130">
      <c r="B130" s="15">
        <f>IF($C130="","",$D130&amp;"-"&amp;$F130&amp;"-"&amp;$K130)</f>
        <v/>
      </c>
      <c r="C130" s="14" t="n"/>
      <c r="D130" s="15">
        <f>IF($C130="","",IFERROR(INDEX(rngCadetPIDs,MATCH($C130,rngCadetNames,0)),"?"))</f>
        <v/>
      </c>
      <c r="E130" s="15">
        <f>IF($D130="","",IFERROR(INDEX(nrCadetAgency,MATCH($D130,rngCadetPIDs,0)),""))</f>
        <v/>
      </c>
      <c r="F130" s="14" t="n"/>
      <c r="G130" s="15">
        <f>IF($F130="","",IFERROR(INDEX(rngEPname,MATCH($F130,rngEPcode,0)),"?"))</f>
        <v/>
      </c>
      <c r="H130" s="15">
        <f>IF($F130="","",IFERROR(INDEX(rngEPtype,MATCH($F130,rngEPcode,0)),"?"))</f>
        <v/>
      </c>
      <c r="I130" s="15">
        <f>IF($F130="","",IFERROR(INDEX(rngEPseq,MATCH($F130,rngEPcode,0)),""))</f>
        <v/>
      </c>
      <c r="J130" s="15">
        <f>IF($F130="","",IFERROR(INDEX(rngEPpass,MATCH($F130,rngEPcode,0)),cfgPassingScore))</f>
        <v/>
      </c>
      <c r="K130" s="14" t="n"/>
      <c r="L130" s="14" t="n"/>
      <c r="M130" s="15">
        <f>IF($C130="","",IF($L130="","",IF($K130=1,IF(COUNTIFS(nrES_PID,$D130,nrES_Code,$F130,nrES_Att,2)&gt;0,"",$L130),IF(COUNTIFS(nrES_PID,$D130,nrES_Code,$F130,nrES_Att,1)=0,$L130,IF($L130&gt;=$J130,cfgRetakeRecordedCap,SUMIFS(nrES_Raw,nrES_PID,$D130,nrES_Code,$F130,nrES_Att,1))))))</f>
        <v/>
      </c>
      <c r="N130" s="15">
        <f>IF($C130="","",IF($L130="","",IF($L130&gt;=$J130,"Yes","No")))</f>
        <v/>
      </c>
      <c r="O130" s="15">
        <f>IF($C130="","",IF($M130="","",IF($M130&gt;=$J130,"Yes","No")))</f>
        <v/>
      </c>
      <c r="P130" s="15">
        <f>IF($C130="","",IF($K130="","",IF(COUNTIFS(nrES_PID,$D130,nrES_Code,$F130,nrES_Att,"&gt;"&amp;$K130)=0,"Yes","No")))</f>
        <v/>
      </c>
      <c r="Q130" s="15">
        <f>IF($C130="","",IF($L130="","",IF(AND($K130=1,$L130&lt;$J130,COUNTIFS(nrES_PID,$D130,nrES_Code,$F130,nrES_Att,2)=0),"Yes","No")))</f>
        <v/>
      </c>
      <c r="R130" s="15">
        <f>IF($C130="","",IF($L130="","",IF(AND($K130=2,$L130&lt;$J130,COUNTIFS(nrES_PID,$D130,nrES_Code,$F130,nrES_Att,1)&gt;0),"Yes","No")))</f>
        <v/>
      </c>
      <c r="S130" s="16" t="n"/>
      <c r="T130" s="17">
        <f>IF($Q130&lt;&gt;"Yes","",IF($S130="","(enter date)",_xlfn.LET(_xlpm.dn,IFERROR(_xlfn.XLOOKUP($S130,nrCDdate,nrCDnum),""),IF(_xlpm.dn="","(not a class day)",IFERROR(_xlfn.XLOOKUP(_xlpm.dn+cfgRetestClassDays,nrCDnum,nrCDdate),"")))))</f>
        <v/>
      </c>
      <c r="U130" s="15">
        <f>IF($Q130&lt;&gt;"Yes","",IF(COUNTIFS(nrES_PID,$D130,nrES_Code,$F130,nrES_Att,2)&gt;0,"Retested",IF(OR($T130="",NOT(ISNUMBER($T130))),"Pending",IF(TODAY()&gt;$T130,"OVERDUE","Due "&amp;TEXT($T130,"mm/dd")))))</f>
        <v/>
      </c>
      <c r="V130" s="14" t="n"/>
      <c r="W130" s="14" t="n"/>
    </row>
    <row r="131">
      <c r="B131" s="15">
        <f>IF($C131="","",$D131&amp;"-"&amp;$F131&amp;"-"&amp;$K131)</f>
        <v/>
      </c>
      <c r="C131" s="14" t="n"/>
      <c r="D131" s="15">
        <f>IF($C131="","",IFERROR(INDEX(rngCadetPIDs,MATCH($C131,rngCadetNames,0)),"?"))</f>
        <v/>
      </c>
      <c r="E131" s="15">
        <f>IF($D131="","",IFERROR(INDEX(nrCadetAgency,MATCH($D131,rngCadetPIDs,0)),""))</f>
        <v/>
      </c>
      <c r="F131" s="14" t="n"/>
      <c r="G131" s="15">
        <f>IF($F131="","",IFERROR(INDEX(rngEPname,MATCH($F131,rngEPcode,0)),"?"))</f>
        <v/>
      </c>
      <c r="H131" s="15">
        <f>IF($F131="","",IFERROR(INDEX(rngEPtype,MATCH($F131,rngEPcode,0)),"?"))</f>
        <v/>
      </c>
      <c r="I131" s="15">
        <f>IF($F131="","",IFERROR(INDEX(rngEPseq,MATCH($F131,rngEPcode,0)),""))</f>
        <v/>
      </c>
      <c r="J131" s="15">
        <f>IF($F131="","",IFERROR(INDEX(rngEPpass,MATCH($F131,rngEPcode,0)),cfgPassingScore))</f>
        <v/>
      </c>
      <c r="K131" s="14" t="n"/>
      <c r="L131" s="14" t="n"/>
      <c r="M131" s="15">
        <f>IF($C131="","",IF($L131="","",IF($K131=1,IF(COUNTIFS(nrES_PID,$D131,nrES_Code,$F131,nrES_Att,2)&gt;0,"",$L131),IF(COUNTIFS(nrES_PID,$D131,nrES_Code,$F131,nrES_Att,1)=0,$L131,IF($L131&gt;=$J131,cfgRetakeRecordedCap,SUMIFS(nrES_Raw,nrES_PID,$D131,nrES_Code,$F131,nrES_Att,1))))))</f>
        <v/>
      </c>
      <c r="N131" s="15">
        <f>IF($C131="","",IF($L131="","",IF($L131&gt;=$J131,"Yes","No")))</f>
        <v/>
      </c>
      <c r="O131" s="15">
        <f>IF($C131="","",IF($M131="","",IF($M131&gt;=$J131,"Yes","No")))</f>
        <v/>
      </c>
      <c r="P131" s="15">
        <f>IF($C131="","",IF($K131="","",IF(COUNTIFS(nrES_PID,$D131,nrES_Code,$F131,nrES_Att,"&gt;"&amp;$K131)=0,"Yes","No")))</f>
        <v/>
      </c>
      <c r="Q131" s="15">
        <f>IF($C131="","",IF($L131="","",IF(AND($K131=1,$L131&lt;$J131,COUNTIFS(nrES_PID,$D131,nrES_Code,$F131,nrES_Att,2)=0),"Yes","No")))</f>
        <v/>
      </c>
      <c r="R131" s="15">
        <f>IF($C131="","",IF($L131="","",IF(AND($K131=2,$L131&lt;$J131,COUNTIFS(nrES_PID,$D131,nrES_Code,$F131,nrES_Att,1)&gt;0),"Yes","No")))</f>
        <v/>
      </c>
      <c r="S131" s="16" t="n"/>
      <c r="T131" s="17">
        <f>IF($Q131&lt;&gt;"Yes","",IF($S131="","(enter date)",_xlfn.LET(_xlpm.dn,IFERROR(_xlfn.XLOOKUP($S131,nrCDdate,nrCDnum),""),IF(_xlpm.dn="","(not a class day)",IFERROR(_xlfn.XLOOKUP(_xlpm.dn+cfgRetestClassDays,nrCDnum,nrCDdate),"")))))</f>
        <v/>
      </c>
      <c r="U131" s="15">
        <f>IF($Q131&lt;&gt;"Yes","",IF(COUNTIFS(nrES_PID,$D131,nrES_Code,$F131,nrES_Att,2)&gt;0,"Retested",IF(OR($T131="",NOT(ISNUMBER($T131))),"Pending",IF(TODAY()&gt;$T131,"OVERDUE","Due "&amp;TEXT($T131,"mm/dd")))))</f>
        <v/>
      </c>
      <c r="V131" s="14" t="n"/>
      <c r="W131" s="14" t="n"/>
    </row>
    <row r="132">
      <c r="B132" s="15">
        <f>IF($C132="","",$D132&amp;"-"&amp;$F132&amp;"-"&amp;$K132)</f>
        <v/>
      </c>
      <c r="C132" s="14" t="n"/>
      <c r="D132" s="15">
        <f>IF($C132="","",IFERROR(INDEX(rngCadetPIDs,MATCH($C132,rngCadetNames,0)),"?"))</f>
        <v/>
      </c>
      <c r="E132" s="15">
        <f>IF($D132="","",IFERROR(INDEX(nrCadetAgency,MATCH($D132,rngCadetPIDs,0)),""))</f>
        <v/>
      </c>
      <c r="F132" s="14" t="n"/>
      <c r="G132" s="15">
        <f>IF($F132="","",IFERROR(INDEX(rngEPname,MATCH($F132,rngEPcode,0)),"?"))</f>
        <v/>
      </c>
      <c r="H132" s="15">
        <f>IF($F132="","",IFERROR(INDEX(rngEPtype,MATCH($F132,rngEPcode,0)),"?"))</f>
        <v/>
      </c>
      <c r="I132" s="15">
        <f>IF($F132="","",IFERROR(INDEX(rngEPseq,MATCH($F132,rngEPcode,0)),""))</f>
        <v/>
      </c>
      <c r="J132" s="15">
        <f>IF($F132="","",IFERROR(INDEX(rngEPpass,MATCH($F132,rngEPcode,0)),cfgPassingScore))</f>
        <v/>
      </c>
      <c r="K132" s="14" t="n"/>
      <c r="L132" s="14" t="n"/>
      <c r="M132" s="15">
        <f>IF($C132="","",IF($L132="","",IF($K132=1,IF(COUNTIFS(nrES_PID,$D132,nrES_Code,$F132,nrES_Att,2)&gt;0,"",$L132),IF(COUNTIFS(nrES_PID,$D132,nrES_Code,$F132,nrES_Att,1)=0,$L132,IF($L132&gt;=$J132,cfgRetakeRecordedCap,SUMIFS(nrES_Raw,nrES_PID,$D132,nrES_Code,$F132,nrES_Att,1))))))</f>
        <v/>
      </c>
      <c r="N132" s="15">
        <f>IF($C132="","",IF($L132="","",IF($L132&gt;=$J132,"Yes","No")))</f>
        <v/>
      </c>
      <c r="O132" s="15">
        <f>IF($C132="","",IF($M132="","",IF($M132&gt;=$J132,"Yes","No")))</f>
        <v/>
      </c>
      <c r="P132" s="15">
        <f>IF($C132="","",IF($K132="","",IF(COUNTIFS(nrES_PID,$D132,nrES_Code,$F132,nrES_Att,"&gt;"&amp;$K132)=0,"Yes","No")))</f>
        <v/>
      </c>
      <c r="Q132" s="15">
        <f>IF($C132="","",IF($L132="","",IF(AND($K132=1,$L132&lt;$J132,COUNTIFS(nrES_PID,$D132,nrES_Code,$F132,nrES_Att,2)=0),"Yes","No")))</f>
        <v/>
      </c>
      <c r="R132" s="15">
        <f>IF($C132="","",IF($L132="","",IF(AND($K132=2,$L132&lt;$J132,COUNTIFS(nrES_PID,$D132,nrES_Code,$F132,nrES_Att,1)&gt;0),"Yes","No")))</f>
        <v/>
      </c>
      <c r="S132" s="16" t="n"/>
      <c r="T132" s="17">
        <f>IF($Q132&lt;&gt;"Yes","",IF($S132="","(enter date)",_xlfn.LET(_xlpm.dn,IFERROR(_xlfn.XLOOKUP($S132,nrCDdate,nrCDnum),""),IF(_xlpm.dn="","(not a class day)",IFERROR(_xlfn.XLOOKUP(_xlpm.dn+cfgRetestClassDays,nrCDnum,nrCDdate),"")))))</f>
        <v/>
      </c>
      <c r="U132" s="15">
        <f>IF($Q132&lt;&gt;"Yes","",IF(COUNTIFS(nrES_PID,$D132,nrES_Code,$F132,nrES_Att,2)&gt;0,"Retested",IF(OR($T132="",NOT(ISNUMBER($T132))),"Pending",IF(TODAY()&gt;$T132,"OVERDUE","Due "&amp;TEXT($T132,"mm/dd")))))</f>
        <v/>
      </c>
      <c r="V132" s="14" t="n"/>
      <c r="W132" s="14" t="n"/>
    </row>
    <row r="133">
      <c r="B133" s="15">
        <f>IF($C133="","",$D133&amp;"-"&amp;$F133&amp;"-"&amp;$K133)</f>
        <v/>
      </c>
      <c r="C133" s="14" t="n"/>
      <c r="D133" s="15">
        <f>IF($C133="","",IFERROR(INDEX(rngCadetPIDs,MATCH($C133,rngCadetNames,0)),"?"))</f>
        <v/>
      </c>
      <c r="E133" s="15">
        <f>IF($D133="","",IFERROR(INDEX(nrCadetAgency,MATCH($D133,rngCadetPIDs,0)),""))</f>
        <v/>
      </c>
      <c r="F133" s="14" t="n"/>
      <c r="G133" s="15">
        <f>IF($F133="","",IFERROR(INDEX(rngEPname,MATCH($F133,rngEPcode,0)),"?"))</f>
        <v/>
      </c>
      <c r="H133" s="15">
        <f>IF($F133="","",IFERROR(INDEX(rngEPtype,MATCH($F133,rngEPcode,0)),"?"))</f>
        <v/>
      </c>
      <c r="I133" s="15">
        <f>IF($F133="","",IFERROR(INDEX(rngEPseq,MATCH($F133,rngEPcode,0)),""))</f>
        <v/>
      </c>
      <c r="J133" s="15">
        <f>IF($F133="","",IFERROR(INDEX(rngEPpass,MATCH($F133,rngEPcode,0)),cfgPassingScore))</f>
        <v/>
      </c>
      <c r="K133" s="14" t="n"/>
      <c r="L133" s="14" t="n"/>
      <c r="M133" s="15">
        <f>IF($C133="","",IF($L133="","",IF($K133=1,IF(COUNTIFS(nrES_PID,$D133,nrES_Code,$F133,nrES_Att,2)&gt;0,"",$L133),IF(COUNTIFS(nrES_PID,$D133,nrES_Code,$F133,nrES_Att,1)=0,$L133,IF($L133&gt;=$J133,cfgRetakeRecordedCap,SUMIFS(nrES_Raw,nrES_PID,$D133,nrES_Code,$F133,nrES_Att,1))))))</f>
        <v/>
      </c>
      <c r="N133" s="15">
        <f>IF($C133="","",IF($L133="","",IF($L133&gt;=$J133,"Yes","No")))</f>
        <v/>
      </c>
      <c r="O133" s="15">
        <f>IF($C133="","",IF($M133="","",IF($M133&gt;=$J133,"Yes","No")))</f>
        <v/>
      </c>
      <c r="P133" s="15">
        <f>IF($C133="","",IF($K133="","",IF(COUNTIFS(nrES_PID,$D133,nrES_Code,$F133,nrES_Att,"&gt;"&amp;$K133)=0,"Yes","No")))</f>
        <v/>
      </c>
      <c r="Q133" s="15">
        <f>IF($C133="","",IF($L133="","",IF(AND($K133=1,$L133&lt;$J133,COUNTIFS(nrES_PID,$D133,nrES_Code,$F133,nrES_Att,2)=0),"Yes","No")))</f>
        <v/>
      </c>
      <c r="R133" s="15">
        <f>IF($C133="","",IF($L133="","",IF(AND($K133=2,$L133&lt;$J133,COUNTIFS(nrES_PID,$D133,nrES_Code,$F133,nrES_Att,1)&gt;0),"Yes","No")))</f>
        <v/>
      </c>
      <c r="S133" s="16" t="n"/>
      <c r="T133" s="17">
        <f>IF($Q133&lt;&gt;"Yes","",IF($S133="","(enter date)",_xlfn.LET(_xlpm.dn,IFERROR(_xlfn.XLOOKUP($S133,nrCDdate,nrCDnum),""),IF(_xlpm.dn="","(not a class day)",IFERROR(_xlfn.XLOOKUP(_xlpm.dn+cfgRetestClassDays,nrCDnum,nrCDdate),"")))))</f>
        <v/>
      </c>
      <c r="U133" s="15">
        <f>IF($Q133&lt;&gt;"Yes","",IF(COUNTIFS(nrES_PID,$D133,nrES_Code,$F133,nrES_Att,2)&gt;0,"Retested",IF(OR($T133="",NOT(ISNUMBER($T133))),"Pending",IF(TODAY()&gt;$T133,"OVERDUE","Due "&amp;TEXT($T133,"mm/dd")))))</f>
        <v/>
      </c>
      <c r="V133" s="14" t="n"/>
      <c r="W133" s="14" t="n"/>
    </row>
    <row r="134">
      <c r="B134" s="15">
        <f>IF($C134="","",$D134&amp;"-"&amp;$F134&amp;"-"&amp;$K134)</f>
        <v/>
      </c>
      <c r="C134" s="14" t="n"/>
      <c r="D134" s="15">
        <f>IF($C134="","",IFERROR(INDEX(rngCadetPIDs,MATCH($C134,rngCadetNames,0)),"?"))</f>
        <v/>
      </c>
      <c r="E134" s="15">
        <f>IF($D134="","",IFERROR(INDEX(nrCadetAgency,MATCH($D134,rngCadetPIDs,0)),""))</f>
        <v/>
      </c>
      <c r="F134" s="14" t="n"/>
      <c r="G134" s="15">
        <f>IF($F134="","",IFERROR(INDEX(rngEPname,MATCH($F134,rngEPcode,0)),"?"))</f>
        <v/>
      </c>
      <c r="H134" s="15">
        <f>IF($F134="","",IFERROR(INDEX(rngEPtype,MATCH($F134,rngEPcode,0)),"?"))</f>
        <v/>
      </c>
      <c r="I134" s="15">
        <f>IF($F134="","",IFERROR(INDEX(rngEPseq,MATCH($F134,rngEPcode,0)),""))</f>
        <v/>
      </c>
      <c r="J134" s="15">
        <f>IF($F134="","",IFERROR(INDEX(rngEPpass,MATCH($F134,rngEPcode,0)),cfgPassingScore))</f>
        <v/>
      </c>
      <c r="K134" s="14" t="n"/>
      <c r="L134" s="14" t="n"/>
      <c r="M134" s="15">
        <f>IF($C134="","",IF($L134="","",IF($K134=1,IF(COUNTIFS(nrES_PID,$D134,nrES_Code,$F134,nrES_Att,2)&gt;0,"",$L134),IF(COUNTIFS(nrES_PID,$D134,nrES_Code,$F134,nrES_Att,1)=0,$L134,IF($L134&gt;=$J134,cfgRetakeRecordedCap,SUMIFS(nrES_Raw,nrES_PID,$D134,nrES_Code,$F134,nrES_Att,1))))))</f>
        <v/>
      </c>
      <c r="N134" s="15">
        <f>IF($C134="","",IF($L134="","",IF($L134&gt;=$J134,"Yes","No")))</f>
        <v/>
      </c>
      <c r="O134" s="15">
        <f>IF($C134="","",IF($M134="","",IF($M134&gt;=$J134,"Yes","No")))</f>
        <v/>
      </c>
      <c r="P134" s="15">
        <f>IF($C134="","",IF($K134="","",IF(COUNTIFS(nrES_PID,$D134,nrES_Code,$F134,nrES_Att,"&gt;"&amp;$K134)=0,"Yes","No")))</f>
        <v/>
      </c>
      <c r="Q134" s="15">
        <f>IF($C134="","",IF($L134="","",IF(AND($K134=1,$L134&lt;$J134,COUNTIFS(nrES_PID,$D134,nrES_Code,$F134,nrES_Att,2)=0),"Yes","No")))</f>
        <v/>
      </c>
      <c r="R134" s="15">
        <f>IF($C134="","",IF($L134="","",IF(AND($K134=2,$L134&lt;$J134,COUNTIFS(nrES_PID,$D134,nrES_Code,$F134,nrES_Att,1)&gt;0),"Yes","No")))</f>
        <v/>
      </c>
      <c r="S134" s="16" t="n"/>
      <c r="T134" s="17">
        <f>IF($Q134&lt;&gt;"Yes","",IF($S134="","(enter date)",_xlfn.LET(_xlpm.dn,IFERROR(_xlfn.XLOOKUP($S134,nrCDdate,nrCDnum),""),IF(_xlpm.dn="","(not a class day)",IFERROR(_xlfn.XLOOKUP(_xlpm.dn+cfgRetestClassDays,nrCDnum,nrCDdate),"")))))</f>
        <v/>
      </c>
      <c r="U134" s="15">
        <f>IF($Q134&lt;&gt;"Yes","",IF(COUNTIFS(nrES_PID,$D134,nrES_Code,$F134,nrES_Att,2)&gt;0,"Retested",IF(OR($T134="",NOT(ISNUMBER($T134))),"Pending",IF(TODAY()&gt;$T134,"OVERDUE","Due "&amp;TEXT($T134,"mm/dd")))))</f>
        <v/>
      </c>
      <c r="V134" s="14" t="n"/>
      <c r="W134" s="14" t="n"/>
    </row>
    <row r="135">
      <c r="B135" s="15">
        <f>IF($C135="","",$D135&amp;"-"&amp;$F135&amp;"-"&amp;$K135)</f>
        <v/>
      </c>
      <c r="C135" s="14" t="n"/>
      <c r="D135" s="15">
        <f>IF($C135="","",IFERROR(INDEX(rngCadetPIDs,MATCH($C135,rngCadetNames,0)),"?"))</f>
        <v/>
      </c>
      <c r="E135" s="15">
        <f>IF($D135="","",IFERROR(INDEX(nrCadetAgency,MATCH($D135,rngCadetPIDs,0)),""))</f>
        <v/>
      </c>
      <c r="F135" s="14" t="n"/>
      <c r="G135" s="15">
        <f>IF($F135="","",IFERROR(INDEX(rngEPname,MATCH($F135,rngEPcode,0)),"?"))</f>
        <v/>
      </c>
      <c r="H135" s="15">
        <f>IF($F135="","",IFERROR(INDEX(rngEPtype,MATCH($F135,rngEPcode,0)),"?"))</f>
        <v/>
      </c>
      <c r="I135" s="15">
        <f>IF($F135="","",IFERROR(INDEX(rngEPseq,MATCH($F135,rngEPcode,0)),""))</f>
        <v/>
      </c>
      <c r="J135" s="15">
        <f>IF($F135="","",IFERROR(INDEX(rngEPpass,MATCH($F135,rngEPcode,0)),cfgPassingScore))</f>
        <v/>
      </c>
      <c r="K135" s="14" t="n"/>
      <c r="L135" s="14" t="n"/>
      <c r="M135" s="15">
        <f>IF($C135="","",IF($L135="","",IF($K135=1,IF(COUNTIFS(nrES_PID,$D135,nrES_Code,$F135,nrES_Att,2)&gt;0,"",$L135),IF(COUNTIFS(nrES_PID,$D135,nrES_Code,$F135,nrES_Att,1)=0,$L135,IF($L135&gt;=$J135,cfgRetakeRecordedCap,SUMIFS(nrES_Raw,nrES_PID,$D135,nrES_Code,$F135,nrES_Att,1))))))</f>
        <v/>
      </c>
      <c r="N135" s="15">
        <f>IF($C135="","",IF($L135="","",IF($L135&gt;=$J135,"Yes","No")))</f>
        <v/>
      </c>
      <c r="O135" s="15">
        <f>IF($C135="","",IF($M135="","",IF($M135&gt;=$J135,"Yes","No")))</f>
        <v/>
      </c>
      <c r="P135" s="15">
        <f>IF($C135="","",IF($K135="","",IF(COUNTIFS(nrES_PID,$D135,nrES_Code,$F135,nrES_Att,"&gt;"&amp;$K135)=0,"Yes","No")))</f>
        <v/>
      </c>
      <c r="Q135" s="15">
        <f>IF($C135="","",IF($L135="","",IF(AND($K135=1,$L135&lt;$J135,COUNTIFS(nrES_PID,$D135,nrES_Code,$F135,nrES_Att,2)=0),"Yes","No")))</f>
        <v/>
      </c>
      <c r="R135" s="15">
        <f>IF($C135="","",IF($L135="","",IF(AND($K135=2,$L135&lt;$J135,COUNTIFS(nrES_PID,$D135,nrES_Code,$F135,nrES_Att,1)&gt;0),"Yes","No")))</f>
        <v/>
      </c>
      <c r="S135" s="16" t="n"/>
      <c r="T135" s="17">
        <f>IF($Q135&lt;&gt;"Yes","",IF($S135="","(enter date)",_xlfn.LET(_xlpm.dn,IFERROR(_xlfn.XLOOKUP($S135,nrCDdate,nrCDnum),""),IF(_xlpm.dn="","(not a class day)",IFERROR(_xlfn.XLOOKUP(_xlpm.dn+cfgRetestClassDays,nrCDnum,nrCDdate),"")))))</f>
        <v/>
      </c>
      <c r="U135" s="15">
        <f>IF($Q135&lt;&gt;"Yes","",IF(COUNTIFS(nrES_PID,$D135,nrES_Code,$F135,nrES_Att,2)&gt;0,"Retested",IF(OR($T135="",NOT(ISNUMBER($T135))),"Pending",IF(TODAY()&gt;$T135,"OVERDUE","Due "&amp;TEXT($T135,"mm/dd")))))</f>
        <v/>
      </c>
      <c r="V135" s="14" t="n"/>
      <c r="W135" s="14" t="n"/>
    </row>
    <row r="136">
      <c r="B136" s="15">
        <f>IF($C136="","",$D136&amp;"-"&amp;$F136&amp;"-"&amp;$K136)</f>
        <v/>
      </c>
      <c r="C136" s="14" t="n"/>
      <c r="D136" s="15">
        <f>IF($C136="","",IFERROR(INDEX(rngCadetPIDs,MATCH($C136,rngCadetNames,0)),"?"))</f>
        <v/>
      </c>
      <c r="E136" s="15">
        <f>IF($D136="","",IFERROR(INDEX(nrCadetAgency,MATCH($D136,rngCadetPIDs,0)),""))</f>
        <v/>
      </c>
      <c r="F136" s="14" t="n"/>
      <c r="G136" s="15">
        <f>IF($F136="","",IFERROR(INDEX(rngEPname,MATCH($F136,rngEPcode,0)),"?"))</f>
        <v/>
      </c>
      <c r="H136" s="15">
        <f>IF($F136="","",IFERROR(INDEX(rngEPtype,MATCH($F136,rngEPcode,0)),"?"))</f>
        <v/>
      </c>
      <c r="I136" s="15">
        <f>IF($F136="","",IFERROR(INDEX(rngEPseq,MATCH($F136,rngEPcode,0)),""))</f>
        <v/>
      </c>
      <c r="J136" s="15">
        <f>IF($F136="","",IFERROR(INDEX(rngEPpass,MATCH($F136,rngEPcode,0)),cfgPassingScore))</f>
        <v/>
      </c>
      <c r="K136" s="14" t="n"/>
      <c r="L136" s="14" t="n"/>
      <c r="M136" s="15">
        <f>IF($C136="","",IF($L136="","",IF($K136=1,IF(COUNTIFS(nrES_PID,$D136,nrES_Code,$F136,nrES_Att,2)&gt;0,"",$L136),IF(COUNTIFS(nrES_PID,$D136,nrES_Code,$F136,nrES_Att,1)=0,$L136,IF($L136&gt;=$J136,cfgRetakeRecordedCap,SUMIFS(nrES_Raw,nrES_PID,$D136,nrES_Code,$F136,nrES_Att,1))))))</f>
        <v/>
      </c>
      <c r="N136" s="15">
        <f>IF($C136="","",IF($L136="","",IF($L136&gt;=$J136,"Yes","No")))</f>
        <v/>
      </c>
      <c r="O136" s="15">
        <f>IF($C136="","",IF($M136="","",IF($M136&gt;=$J136,"Yes","No")))</f>
        <v/>
      </c>
      <c r="P136" s="15">
        <f>IF($C136="","",IF($K136="","",IF(COUNTIFS(nrES_PID,$D136,nrES_Code,$F136,nrES_Att,"&gt;"&amp;$K136)=0,"Yes","No")))</f>
        <v/>
      </c>
      <c r="Q136" s="15">
        <f>IF($C136="","",IF($L136="","",IF(AND($K136=1,$L136&lt;$J136,COUNTIFS(nrES_PID,$D136,nrES_Code,$F136,nrES_Att,2)=0),"Yes","No")))</f>
        <v/>
      </c>
      <c r="R136" s="15">
        <f>IF($C136="","",IF($L136="","",IF(AND($K136=2,$L136&lt;$J136,COUNTIFS(nrES_PID,$D136,nrES_Code,$F136,nrES_Att,1)&gt;0),"Yes","No")))</f>
        <v/>
      </c>
      <c r="S136" s="16" t="n"/>
      <c r="T136" s="17">
        <f>IF($Q136&lt;&gt;"Yes","",IF($S136="","(enter date)",_xlfn.LET(_xlpm.dn,IFERROR(_xlfn.XLOOKUP($S136,nrCDdate,nrCDnum),""),IF(_xlpm.dn="","(not a class day)",IFERROR(_xlfn.XLOOKUP(_xlpm.dn+cfgRetestClassDays,nrCDnum,nrCDdate),"")))))</f>
        <v/>
      </c>
      <c r="U136" s="15">
        <f>IF($Q136&lt;&gt;"Yes","",IF(COUNTIFS(nrES_PID,$D136,nrES_Code,$F136,nrES_Att,2)&gt;0,"Retested",IF(OR($T136="",NOT(ISNUMBER($T136))),"Pending",IF(TODAY()&gt;$T136,"OVERDUE","Due "&amp;TEXT($T136,"mm/dd")))))</f>
        <v/>
      </c>
      <c r="V136" s="14" t="n"/>
      <c r="W136" s="14" t="n"/>
    </row>
    <row r="137">
      <c r="B137" s="15">
        <f>IF($C137="","",$D137&amp;"-"&amp;$F137&amp;"-"&amp;$K137)</f>
        <v/>
      </c>
      <c r="C137" s="14" t="n"/>
      <c r="D137" s="15">
        <f>IF($C137="","",IFERROR(INDEX(rngCadetPIDs,MATCH($C137,rngCadetNames,0)),"?"))</f>
        <v/>
      </c>
      <c r="E137" s="15">
        <f>IF($D137="","",IFERROR(INDEX(nrCadetAgency,MATCH($D137,rngCadetPIDs,0)),""))</f>
        <v/>
      </c>
      <c r="F137" s="14" t="n"/>
      <c r="G137" s="15">
        <f>IF($F137="","",IFERROR(INDEX(rngEPname,MATCH($F137,rngEPcode,0)),"?"))</f>
        <v/>
      </c>
      <c r="H137" s="15">
        <f>IF($F137="","",IFERROR(INDEX(rngEPtype,MATCH($F137,rngEPcode,0)),"?"))</f>
        <v/>
      </c>
      <c r="I137" s="15">
        <f>IF($F137="","",IFERROR(INDEX(rngEPseq,MATCH($F137,rngEPcode,0)),""))</f>
        <v/>
      </c>
      <c r="J137" s="15">
        <f>IF($F137="","",IFERROR(INDEX(rngEPpass,MATCH($F137,rngEPcode,0)),cfgPassingScore))</f>
        <v/>
      </c>
      <c r="K137" s="14" t="n"/>
      <c r="L137" s="14" t="n"/>
      <c r="M137" s="15">
        <f>IF($C137="","",IF($L137="","",IF($K137=1,IF(COUNTIFS(nrES_PID,$D137,nrES_Code,$F137,nrES_Att,2)&gt;0,"",$L137),IF(COUNTIFS(nrES_PID,$D137,nrES_Code,$F137,nrES_Att,1)=0,$L137,IF($L137&gt;=$J137,cfgRetakeRecordedCap,SUMIFS(nrES_Raw,nrES_PID,$D137,nrES_Code,$F137,nrES_Att,1))))))</f>
        <v/>
      </c>
      <c r="N137" s="15">
        <f>IF($C137="","",IF($L137="","",IF($L137&gt;=$J137,"Yes","No")))</f>
        <v/>
      </c>
      <c r="O137" s="15">
        <f>IF($C137="","",IF($M137="","",IF($M137&gt;=$J137,"Yes","No")))</f>
        <v/>
      </c>
      <c r="P137" s="15">
        <f>IF($C137="","",IF($K137="","",IF(COUNTIFS(nrES_PID,$D137,nrES_Code,$F137,nrES_Att,"&gt;"&amp;$K137)=0,"Yes","No")))</f>
        <v/>
      </c>
      <c r="Q137" s="15">
        <f>IF($C137="","",IF($L137="","",IF(AND($K137=1,$L137&lt;$J137,COUNTIFS(nrES_PID,$D137,nrES_Code,$F137,nrES_Att,2)=0),"Yes","No")))</f>
        <v/>
      </c>
      <c r="R137" s="15">
        <f>IF($C137="","",IF($L137="","",IF(AND($K137=2,$L137&lt;$J137,COUNTIFS(nrES_PID,$D137,nrES_Code,$F137,nrES_Att,1)&gt;0),"Yes","No")))</f>
        <v/>
      </c>
      <c r="S137" s="16" t="n"/>
      <c r="T137" s="17">
        <f>IF($Q137&lt;&gt;"Yes","",IF($S137="","(enter date)",_xlfn.LET(_xlpm.dn,IFERROR(_xlfn.XLOOKUP($S137,nrCDdate,nrCDnum),""),IF(_xlpm.dn="","(not a class day)",IFERROR(_xlfn.XLOOKUP(_xlpm.dn+cfgRetestClassDays,nrCDnum,nrCDdate),"")))))</f>
        <v/>
      </c>
      <c r="U137" s="15">
        <f>IF($Q137&lt;&gt;"Yes","",IF(COUNTIFS(nrES_PID,$D137,nrES_Code,$F137,nrES_Att,2)&gt;0,"Retested",IF(OR($T137="",NOT(ISNUMBER($T137))),"Pending",IF(TODAY()&gt;$T137,"OVERDUE","Due "&amp;TEXT($T137,"mm/dd")))))</f>
        <v/>
      </c>
      <c r="V137" s="14" t="n"/>
      <c r="W137" s="14" t="n"/>
    </row>
    <row r="138">
      <c r="B138" s="15">
        <f>IF($C138="","",$D138&amp;"-"&amp;$F138&amp;"-"&amp;$K138)</f>
        <v/>
      </c>
      <c r="C138" s="14" t="n"/>
      <c r="D138" s="15">
        <f>IF($C138="","",IFERROR(INDEX(rngCadetPIDs,MATCH($C138,rngCadetNames,0)),"?"))</f>
        <v/>
      </c>
      <c r="E138" s="15">
        <f>IF($D138="","",IFERROR(INDEX(nrCadetAgency,MATCH($D138,rngCadetPIDs,0)),""))</f>
        <v/>
      </c>
      <c r="F138" s="14" t="n"/>
      <c r="G138" s="15">
        <f>IF($F138="","",IFERROR(INDEX(rngEPname,MATCH($F138,rngEPcode,0)),"?"))</f>
        <v/>
      </c>
      <c r="H138" s="15">
        <f>IF($F138="","",IFERROR(INDEX(rngEPtype,MATCH($F138,rngEPcode,0)),"?"))</f>
        <v/>
      </c>
      <c r="I138" s="15">
        <f>IF($F138="","",IFERROR(INDEX(rngEPseq,MATCH($F138,rngEPcode,0)),""))</f>
        <v/>
      </c>
      <c r="J138" s="15">
        <f>IF($F138="","",IFERROR(INDEX(rngEPpass,MATCH($F138,rngEPcode,0)),cfgPassingScore))</f>
        <v/>
      </c>
      <c r="K138" s="14" t="n"/>
      <c r="L138" s="14" t="n"/>
      <c r="M138" s="15">
        <f>IF($C138="","",IF($L138="","",IF($K138=1,IF(COUNTIFS(nrES_PID,$D138,nrES_Code,$F138,nrES_Att,2)&gt;0,"",$L138),IF(COUNTIFS(nrES_PID,$D138,nrES_Code,$F138,nrES_Att,1)=0,$L138,IF($L138&gt;=$J138,cfgRetakeRecordedCap,SUMIFS(nrES_Raw,nrES_PID,$D138,nrES_Code,$F138,nrES_Att,1))))))</f>
        <v/>
      </c>
      <c r="N138" s="15">
        <f>IF($C138="","",IF($L138="","",IF($L138&gt;=$J138,"Yes","No")))</f>
        <v/>
      </c>
      <c r="O138" s="15">
        <f>IF($C138="","",IF($M138="","",IF($M138&gt;=$J138,"Yes","No")))</f>
        <v/>
      </c>
      <c r="P138" s="15">
        <f>IF($C138="","",IF($K138="","",IF(COUNTIFS(nrES_PID,$D138,nrES_Code,$F138,nrES_Att,"&gt;"&amp;$K138)=0,"Yes","No")))</f>
        <v/>
      </c>
      <c r="Q138" s="15">
        <f>IF($C138="","",IF($L138="","",IF(AND($K138=1,$L138&lt;$J138,COUNTIFS(nrES_PID,$D138,nrES_Code,$F138,nrES_Att,2)=0),"Yes","No")))</f>
        <v/>
      </c>
      <c r="R138" s="15">
        <f>IF($C138="","",IF($L138="","",IF(AND($K138=2,$L138&lt;$J138,COUNTIFS(nrES_PID,$D138,nrES_Code,$F138,nrES_Att,1)&gt;0),"Yes","No")))</f>
        <v/>
      </c>
      <c r="S138" s="16" t="n"/>
      <c r="T138" s="17">
        <f>IF($Q138&lt;&gt;"Yes","",IF($S138="","(enter date)",_xlfn.LET(_xlpm.dn,IFERROR(_xlfn.XLOOKUP($S138,nrCDdate,nrCDnum),""),IF(_xlpm.dn="","(not a class day)",IFERROR(_xlfn.XLOOKUP(_xlpm.dn+cfgRetestClassDays,nrCDnum,nrCDdate),"")))))</f>
        <v/>
      </c>
      <c r="U138" s="15">
        <f>IF($Q138&lt;&gt;"Yes","",IF(COUNTIFS(nrES_PID,$D138,nrES_Code,$F138,nrES_Att,2)&gt;0,"Retested",IF(OR($T138="",NOT(ISNUMBER($T138))),"Pending",IF(TODAY()&gt;$T138,"OVERDUE","Due "&amp;TEXT($T138,"mm/dd")))))</f>
        <v/>
      </c>
      <c r="V138" s="14" t="n"/>
      <c r="W138" s="14" t="n"/>
    </row>
    <row r="139">
      <c r="B139" s="15">
        <f>IF($C139="","",$D139&amp;"-"&amp;$F139&amp;"-"&amp;$K139)</f>
        <v/>
      </c>
      <c r="C139" s="14" t="n"/>
      <c r="D139" s="15">
        <f>IF($C139="","",IFERROR(INDEX(rngCadetPIDs,MATCH($C139,rngCadetNames,0)),"?"))</f>
        <v/>
      </c>
      <c r="E139" s="15">
        <f>IF($D139="","",IFERROR(INDEX(nrCadetAgency,MATCH($D139,rngCadetPIDs,0)),""))</f>
        <v/>
      </c>
      <c r="F139" s="14" t="n"/>
      <c r="G139" s="15">
        <f>IF($F139="","",IFERROR(INDEX(rngEPname,MATCH($F139,rngEPcode,0)),"?"))</f>
        <v/>
      </c>
      <c r="H139" s="15">
        <f>IF($F139="","",IFERROR(INDEX(rngEPtype,MATCH($F139,rngEPcode,0)),"?"))</f>
        <v/>
      </c>
      <c r="I139" s="15">
        <f>IF($F139="","",IFERROR(INDEX(rngEPseq,MATCH($F139,rngEPcode,0)),""))</f>
        <v/>
      </c>
      <c r="J139" s="15">
        <f>IF($F139="","",IFERROR(INDEX(rngEPpass,MATCH($F139,rngEPcode,0)),cfgPassingScore))</f>
        <v/>
      </c>
      <c r="K139" s="14" t="n"/>
      <c r="L139" s="14" t="n"/>
      <c r="M139" s="15">
        <f>IF($C139="","",IF($L139="","",IF($K139=1,IF(COUNTIFS(nrES_PID,$D139,nrES_Code,$F139,nrES_Att,2)&gt;0,"",$L139),IF(COUNTIFS(nrES_PID,$D139,nrES_Code,$F139,nrES_Att,1)=0,$L139,IF($L139&gt;=$J139,cfgRetakeRecordedCap,SUMIFS(nrES_Raw,nrES_PID,$D139,nrES_Code,$F139,nrES_Att,1))))))</f>
        <v/>
      </c>
      <c r="N139" s="15">
        <f>IF($C139="","",IF($L139="","",IF($L139&gt;=$J139,"Yes","No")))</f>
        <v/>
      </c>
      <c r="O139" s="15">
        <f>IF($C139="","",IF($M139="","",IF($M139&gt;=$J139,"Yes","No")))</f>
        <v/>
      </c>
      <c r="P139" s="15">
        <f>IF($C139="","",IF($K139="","",IF(COUNTIFS(nrES_PID,$D139,nrES_Code,$F139,nrES_Att,"&gt;"&amp;$K139)=0,"Yes","No")))</f>
        <v/>
      </c>
      <c r="Q139" s="15">
        <f>IF($C139="","",IF($L139="","",IF(AND($K139=1,$L139&lt;$J139,COUNTIFS(nrES_PID,$D139,nrES_Code,$F139,nrES_Att,2)=0),"Yes","No")))</f>
        <v/>
      </c>
      <c r="R139" s="15">
        <f>IF($C139="","",IF($L139="","",IF(AND($K139=2,$L139&lt;$J139,COUNTIFS(nrES_PID,$D139,nrES_Code,$F139,nrES_Att,1)&gt;0),"Yes","No")))</f>
        <v/>
      </c>
      <c r="S139" s="16" t="n"/>
      <c r="T139" s="17">
        <f>IF($Q139&lt;&gt;"Yes","",IF($S139="","(enter date)",_xlfn.LET(_xlpm.dn,IFERROR(_xlfn.XLOOKUP($S139,nrCDdate,nrCDnum),""),IF(_xlpm.dn="","(not a class day)",IFERROR(_xlfn.XLOOKUP(_xlpm.dn+cfgRetestClassDays,nrCDnum,nrCDdate),"")))))</f>
        <v/>
      </c>
      <c r="U139" s="15">
        <f>IF($Q139&lt;&gt;"Yes","",IF(COUNTIFS(nrES_PID,$D139,nrES_Code,$F139,nrES_Att,2)&gt;0,"Retested",IF(OR($T139="",NOT(ISNUMBER($T139))),"Pending",IF(TODAY()&gt;$T139,"OVERDUE","Due "&amp;TEXT($T139,"mm/dd")))))</f>
        <v/>
      </c>
      <c r="V139" s="14" t="n"/>
      <c r="W139" s="14" t="n"/>
    </row>
    <row r="140">
      <c r="B140" s="15">
        <f>IF($C140="","",$D140&amp;"-"&amp;$F140&amp;"-"&amp;$K140)</f>
        <v/>
      </c>
      <c r="C140" s="14" t="n"/>
      <c r="D140" s="15">
        <f>IF($C140="","",IFERROR(INDEX(rngCadetPIDs,MATCH($C140,rngCadetNames,0)),"?"))</f>
        <v/>
      </c>
      <c r="E140" s="15">
        <f>IF($D140="","",IFERROR(INDEX(nrCadetAgency,MATCH($D140,rngCadetPIDs,0)),""))</f>
        <v/>
      </c>
      <c r="F140" s="14" t="n"/>
      <c r="G140" s="15">
        <f>IF($F140="","",IFERROR(INDEX(rngEPname,MATCH($F140,rngEPcode,0)),"?"))</f>
        <v/>
      </c>
      <c r="H140" s="15">
        <f>IF($F140="","",IFERROR(INDEX(rngEPtype,MATCH($F140,rngEPcode,0)),"?"))</f>
        <v/>
      </c>
      <c r="I140" s="15">
        <f>IF($F140="","",IFERROR(INDEX(rngEPseq,MATCH($F140,rngEPcode,0)),""))</f>
        <v/>
      </c>
      <c r="J140" s="15">
        <f>IF($F140="","",IFERROR(INDEX(rngEPpass,MATCH($F140,rngEPcode,0)),cfgPassingScore))</f>
        <v/>
      </c>
      <c r="K140" s="14" t="n"/>
      <c r="L140" s="14" t="n"/>
      <c r="M140" s="15">
        <f>IF($C140="","",IF($L140="","",IF($K140=1,IF(COUNTIFS(nrES_PID,$D140,nrES_Code,$F140,nrES_Att,2)&gt;0,"",$L140),IF(COUNTIFS(nrES_PID,$D140,nrES_Code,$F140,nrES_Att,1)=0,$L140,IF($L140&gt;=$J140,cfgRetakeRecordedCap,SUMIFS(nrES_Raw,nrES_PID,$D140,nrES_Code,$F140,nrES_Att,1))))))</f>
        <v/>
      </c>
      <c r="N140" s="15">
        <f>IF($C140="","",IF($L140="","",IF($L140&gt;=$J140,"Yes","No")))</f>
        <v/>
      </c>
      <c r="O140" s="15">
        <f>IF($C140="","",IF($M140="","",IF($M140&gt;=$J140,"Yes","No")))</f>
        <v/>
      </c>
      <c r="P140" s="15">
        <f>IF($C140="","",IF($K140="","",IF(COUNTIFS(nrES_PID,$D140,nrES_Code,$F140,nrES_Att,"&gt;"&amp;$K140)=0,"Yes","No")))</f>
        <v/>
      </c>
      <c r="Q140" s="15">
        <f>IF($C140="","",IF($L140="","",IF(AND($K140=1,$L140&lt;$J140,COUNTIFS(nrES_PID,$D140,nrES_Code,$F140,nrES_Att,2)=0),"Yes","No")))</f>
        <v/>
      </c>
      <c r="R140" s="15">
        <f>IF($C140="","",IF($L140="","",IF(AND($K140=2,$L140&lt;$J140,COUNTIFS(nrES_PID,$D140,nrES_Code,$F140,nrES_Att,1)&gt;0),"Yes","No")))</f>
        <v/>
      </c>
      <c r="S140" s="16" t="n"/>
      <c r="T140" s="17">
        <f>IF($Q140&lt;&gt;"Yes","",IF($S140="","(enter date)",_xlfn.LET(_xlpm.dn,IFERROR(_xlfn.XLOOKUP($S140,nrCDdate,nrCDnum),""),IF(_xlpm.dn="","(not a class day)",IFERROR(_xlfn.XLOOKUP(_xlpm.dn+cfgRetestClassDays,nrCDnum,nrCDdate),"")))))</f>
        <v/>
      </c>
      <c r="U140" s="15">
        <f>IF($Q140&lt;&gt;"Yes","",IF(COUNTIFS(nrES_PID,$D140,nrES_Code,$F140,nrES_Att,2)&gt;0,"Retested",IF(OR($T140="",NOT(ISNUMBER($T140))),"Pending",IF(TODAY()&gt;$T140,"OVERDUE","Due "&amp;TEXT($T140,"mm/dd")))))</f>
        <v/>
      </c>
      <c r="V140" s="14" t="n"/>
      <c r="W140" s="14" t="n"/>
    </row>
    <row r="141">
      <c r="B141" s="15">
        <f>IF($C141="","",$D141&amp;"-"&amp;$F141&amp;"-"&amp;$K141)</f>
        <v/>
      </c>
      <c r="C141" s="14" t="n"/>
      <c r="D141" s="15">
        <f>IF($C141="","",IFERROR(INDEX(rngCadetPIDs,MATCH($C141,rngCadetNames,0)),"?"))</f>
        <v/>
      </c>
      <c r="E141" s="15">
        <f>IF($D141="","",IFERROR(INDEX(nrCadetAgency,MATCH($D141,rngCadetPIDs,0)),""))</f>
        <v/>
      </c>
      <c r="F141" s="14" t="n"/>
      <c r="G141" s="15">
        <f>IF($F141="","",IFERROR(INDEX(rngEPname,MATCH($F141,rngEPcode,0)),"?"))</f>
        <v/>
      </c>
      <c r="H141" s="15">
        <f>IF($F141="","",IFERROR(INDEX(rngEPtype,MATCH($F141,rngEPcode,0)),"?"))</f>
        <v/>
      </c>
      <c r="I141" s="15">
        <f>IF($F141="","",IFERROR(INDEX(rngEPseq,MATCH($F141,rngEPcode,0)),""))</f>
        <v/>
      </c>
      <c r="J141" s="15">
        <f>IF($F141="","",IFERROR(INDEX(rngEPpass,MATCH($F141,rngEPcode,0)),cfgPassingScore))</f>
        <v/>
      </c>
      <c r="K141" s="14" t="n"/>
      <c r="L141" s="14" t="n"/>
      <c r="M141" s="15">
        <f>IF($C141="","",IF($L141="","",IF($K141=1,IF(COUNTIFS(nrES_PID,$D141,nrES_Code,$F141,nrES_Att,2)&gt;0,"",$L141),IF(COUNTIFS(nrES_PID,$D141,nrES_Code,$F141,nrES_Att,1)=0,$L141,IF($L141&gt;=$J141,cfgRetakeRecordedCap,SUMIFS(nrES_Raw,nrES_PID,$D141,nrES_Code,$F141,nrES_Att,1))))))</f>
        <v/>
      </c>
      <c r="N141" s="15">
        <f>IF($C141="","",IF($L141="","",IF($L141&gt;=$J141,"Yes","No")))</f>
        <v/>
      </c>
      <c r="O141" s="15">
        <f>IF($C141="","",IF($M141="","",IF($M141&gt;=$J141,"Yes","No")))</f>
        <v/>
      </c>
      <c r="P141" s="15">
        <f>IF($C141="","",IF($K141="","",IF(COUNTIFS(nrES_PID,$D141,nrES_Code,$F141,nrES_Att,"&gt;"&amp;$K141)=0,"Yes","No")))</f>
        <v/>
      </c>
      <c r="Q141" s="15">
        <f>IF($C141="","",IF($L141="","",IF(AND($K141=1,$L141&lt;$J141,COUNTIFS(nrES_PID,$D141,nrES_Code,$F141,nrES_Att,2)=0),"Yes","No")))</f>
        <v/>
      </c>
      <c r="R141" s="15">
        <f>IF($C141="","",IF($L141="","",IF(AND($K141=2,$L141&lt;$J141,COUNTIFS(nrES_PID,$D141,nrES_Code,$F141,nrES_Att,1)&gt;0),"Yes","No")))</f>
        <v/>
      </c>
      <c r="S141" s="16" t="n"/>
      <c r="T141" s="17">
        <f>IF($Q141&lt;&gt;"Yes","",IF($S141="","(enter date)",_xlfn.LET(_xlpm.dn,IFERROR(_xlfn.XLOOKUP($S141,nrCDdate,nrCDnum),""),IF(_xlpm.dn="","(not a class day)",IFERROR(_xlfn.XLOOKUP(_xlpm.dn+cfgRetestClassDays,nrCDnum,nrCDdate),"")))))</f>
        <v/>
      </c>
      <c r="U141" s="15">
        <f>IF($Q141&lt;&gt;"Yes","",IF(COUNTIFS(nrES_PID,$D141,nrES_Code,$F141,nrES_Att,2)&gt;0,"Retested",IF(OR($T141="",NOT(ISNUMBER($T141))),"Pending",IF(TODAY()&gt;$T141,"OVERDUE","Due "&amp;TEXT($T141,"mm/dd")))))</f>
        <v/>
      </c>
      <c r="V141" s="14" t="n"/>
      <c r="W141" s="14" t="n"/>
    </row>
    <row r="142">
      <c r="B142" s="15">
        <f>IF($C142="","",$D142&amp;"-"&amp;$F142&amp;"-"&amp;$K142)</f>
        <v/>
      </c>
      <c r="C142" s="14" t="n"/>
      <c r="D142" s="15">
        <f>IF($C142="","",IFERROR(INDEX(rngCadetPIDs,MATCH($C142,rngCadetNames,0)),"?"))</f>
        <v/>
      </c>
      <c r="E142" s="15">
        <f>IF($D142="","",IFERROR(INDEX(nrCadetAgency,MATCH($D142,rngCadetPIDs,0)),""))</f>
        <v/>
      </c>
      <c r="F142" s="14" t="n"/>
      <c r="G142" s="15">
        <f>IF($F142="","",IFERROR(INDEX(rngEPname,MATCH($F142,rngEPcode,0)),"?"))</f>
        <v/>
      </c>
      <c r="H142" s="15">
        <f>IF($F142="","",IFERROR(INDEX(rngEPtype,MATCH($F142,rngEPcode,0)),"?"))</f>
        <v/>
      </c>
      <c r="I142" s="15">
        <f>IF($F142="","",IFERROR(INDEX(rngEPseq,MATCH($F142,rngEPcode,0)),""))</f>
        <v/>
      </c>
      <c r="J142" s="15">
        <f>IF($F142="","",IFERROR(INDEX(rngEPpass,MATCH($F142,rngEPcode,0)),cfgPassingScore))</f>
        <v/>
      </c>
      <c r="K142" s="14" t="n"/>
      <c r="L142" s="14" t="n"/>
      <c r="M142" s="15">
        <f>IF($C142="","",IF($L142="","",IF($K142=1,IF(COUNTIFS(nrES_PID,$D142,nrES_Code,$F142,nrES_Att,2)&gt;0,"",$L142),IF(COUNTIFS(nrES_PID,$D142,nrES_Code,$F142,nrES_Att,1)=0,$L142,IF($L142&gt;=$J142,cfgRetakeRecordedCap,SUMIFS(nrES_Raw,nrES_PID,$D142,nrES_Code,$F142,nrES_Att,1))))))</f>
        <v/>
      </c>
      <c r="N142" s="15">
        <f>IF($C142="","",IF($L142="","",IF($L142&gt;=$J142,"Yes","No")))</f>
        <v/>
      </c>
      <c r="O142" s="15">
        <f>IF($C142="","",IF($M142="","",IF($M142&gt;=$J142,"Yes","No")))</f>
        <v/>
      </c>
      <c r="P142" s="15">
        <f>IF($C142="","",IF($K142="","",IF(COUNTIFS(nrES_PID,$D142,nrES_Code,$F142,nrES_Att,"&gt;"&amp;$K142)=0,"Yes","No")))</f>
        <v/>
      </c>
      <c r="Q142" s="15">
        <f>IF($C142="","",IF($L142="","",IF(AND($K142=1,$L142&lt;$J142,COUNTIFS(nrES_PID,$D142,nrES_Code,$F142,nrES_Att,2)=0),"Yes","No")))</f>
        <v/>
      </c>
      <c r="R142" s="15">
        <f>IF($C142="","",IF($L142="","",IF(AND($K142=2,$L142&lt;$J142,COUNTIFS(nrES_PID,$D142,nrES_Code,$F142,nrES_Att,1)&gt;0),"Yes","No")))</f>
        <v/>
      </c>
      <c r="S142" s="16" t="n"/>
      <c r="T142" s="17">
        <f>IF($Q142&lt;&gt;"Yes","",IF($S142="","(enter date)",_xlfn.LET(_xlpm.dn,IFERROR(_xlfn.XLOOKUP($S142,nrCDdate,nrCDnum),""),IF(_xlpm.dn="","(not a class day)",IFERROR(_xlfn.XLOOKUP(_xlpm.dn+cfgRetestClassDays,nrCDnum,nrCDdate),"")))))</f>
        <v/>
      </c>
      <c r="U142" s="15">
        <f>IF($Q142&lt;&gt;"Yes","",IF(COUNTIFS(nrES_PID,$D142,nrES_Code,$F142,nrES_Att,2)&gt;0,"Retested",IF(OR($T142="",NOT(ISNUMBER($T142))),"Pending",IF(TODAY()&gt;$T142,"OVERDUE","Due "&amp;TEXT($T142,"mm/dd")))))</f>
        <v/>
      </c>
      <c r="V142" s="14" t="n"/>
      <c r="W142" s="14" t="n"/>
    </row>
    <row r="143">
      <c r="B143" s="15">
        <f>IF($C143="","",$D143&amp;"-"&amp;$F143&amp;"-"&amp;$K143)</f>
        <v/>
      </c>
      <c r="C143" s="14" t="n"/>
      <c r="D143" s="15">
        <f>IF($C143="","",IFERROR(INDEX(rngCadetPIDs,MATCH($C143,rngCadetNames,0)),"?"))</f>
        <v/>
      </c>
      <c r="E143" s="15">
        <f>IF($D143="","",IFERROR(INDEX(nrCadetAgency,MATCH($D143,rngCadetPIDs,0)),""))</f>
        <v/>
      </c>
      <c r="F143" s="14" t="n"/>
      <c r="G143" s="15">
        <f>IF($F143="","",IFERROR(INDEX(rngEPname,MATCH($F143,rngEPcode,0)),"?"))</f>
        <v/>
      </c>
      <c r="H143" s="15">
        <f>IF($F143="","",IFERROR(INDEX(rngEPtype,MATCH($F143,rngEPcode,0)),"?"))</f>
        <v/>
      </c>
      <c r="I143" s="15">
        <f>IF($F143="","",IFERROR(INDEX(rngEPseq,MATCH($F143,rngEPcode,0)),""))</f>
        <v/>
      </c>
      <c r="J143" s="15">
        <f>IF($F143="","",IFERROR(INDEX(rngEPpass,MATCH($F143,rngEPcode,0)),cfgPassingScore))</f>
        <v/>
      </c>
      <c r="K143" s="14" t="n"/>
      <c r="L143" s="14" t="n"/>
      <c r="M143" s="15">
        <f>IF($C143="","",IF($L143="","",IF($K143=1,IF(COUNTIFS(nrES_PID,$D143,nrES_Code,$F143,nrES_Att,2)&gt;0,"",$L143),IF(COUNTIFS(nrES_PID,$D143,nrES_Code,$F143,nrES_Att,1)=0,$L143,IF($L143&gt;=$J143,cfgRetakeRecordedCap,SUMIFS(nrES_Raw,nrES_PID,$D143,nrES_Code,$F143,nrES_Att,1))))))</f>
        <v/>
      </c>
      <c r="N143" s="15">
        <f>IF($C143="","",IF($L143="","",IF($L143&gt;=$J143,"Yes","No")))</f>
        <v/>
      </c>
      <c r="O143" s="15">
        <f>IF($C143="","",IF($M143="","",IF($M143&gt;=$J143,"Yes","No")))</f>
        <v/>
      </c>
      <c r="P143" s="15">
        <f>IF($C143="","",IF($K143="","",IF(COUNTIFS(nrES_PID,$D143,nrES_Code,$F143,nrES_Att,"&gt;"&amp;$K143)=0,"Yes","No")))</f>
        <v/>
      </c>
      <c r="Q143" s="15">
        <f>IF($C143="","",IF($L143="","",IF(AND($K143=1,$L143&lt;$J143,COUNTIFS(nrES_PID,$D143,nrES_Code,$F143,nrES_Att,2)=0),"Yes","No")))</f>
        <v/>
      </c>
      <c r="R143" s="15">
        <f>IF($C143="","",IF($L143="","",IF(AND($K143=2,$L143&lt;$J143,COUNTIFS(nrES_PID,$D143,nrES_Code,$F143,nrES_Att,1)&gt;0),"Yes","No")))</f>
        <v/>
      </c>
      <c r="S143" s="16" t="n"/>
      <c r="T143" s="17">
        <f>IF($Q143&lt;&gt;"Yes","",IF($S143="","(enter date)",_xlfn.LET(_xlpm.dn,IFERROR(_xlfn.XLOOKUP($S143,nrCDdate,nrCDnum),""),IF(_xlpm.dn="","(not a class day)",IFERROR(_xlfn.XLOOKUP(_xlpm.dn+cfgRetestClassDays,nrCDnum,nrCDdate),"")))))</f>
        <v/>
      </c>
      <c r="U143" s="15">
        <f>IF($Q143&lt;&gt;"Yes","",IF(COUNTIFS(nrES_PID,$D143,nrES_Code,$F143,nrES_Att,2)&gt;0,"Retested",IF(OR($T143="",NOT(ISNUMBER($T143))),"Pending",IF(TODAY()&gt;$T143,"OVERDUE","Due "&amp;TEXT($T143,"mm/dd")))))</f>
        <v/>
      </c>
      <c r="V143" s="14" t="n"/>
      <c r="W143" s="14" t="n"/>
    </row>
    <row r="144">
      <c r="B144" s="15">
        <f>IF($C144="","",$D144&amp;"-"&amp;$F144&amp;"-"&amp;$K144)</f>
        <v/>
      </c>
      <c r="C144" s="14" t="n"/>
      <c r="D144" s="15">
        <f>IF($C144="","",IFERROR(INDEX(rngCadetPIDs,MATCH($C144,rngCadetNames,0)),"?"))</f>
        <v/>
      </c>
      <c r="E144" s="15">
        <f>IF($D144="","",IFERROR(INDEX(nrCadetAgency,MATCH($D144,rngCadetPIDs,0)),""))</f>
        <v/>
      </c>
      <c r="F144" s="14" t="n"/>
      <c r="G144" s="15">
        <f>IF($F144="","",IFERROR(INDEX(rngEPname,MATCH($F144,rngEPcode,0)),"?"))</f>
        <v/>
      </c>
      <c r="H144" s="15">
        <f>IF($F144="","",IFERROR(INDEX(rngEPtype,MATCH($F144,rngEPcode,0)),"?"))</f>
        <v/>
      </c>
      <c r="I144" s="15">
        <f>IF($F144="","",IFERROR(INDEX(rngEPseq,MATCH($F144,rngEPcode,0)),""))</f>
        <v/>
      </c>
      <c r="J144" s="15">
        <f>IF($F144="","",IFERROR(INDEX(rngEPpass,MATCH($F144,rngEPcode,0)),cfgPassingScore))</f>
        <v/>
      </c>
      <c r="K144" s="14" t="n"/>
      <c r="L144" s="14" t="n"/>
      <c r="M144" s="15">
        <f>IF($C144="","",IF($L144="","",IF($K144=1,IF(COUNTIFS(nrES_PID,$D144,nrES_Code,$F144,nrES_Att,2)&gt;0,"",$L144),IF(COUNTIFS(nrES_PID,$D144,nrES_Code,$F144,nrES_Att,1)=0,$L144,IF($L144&gt;=$J144,cfgRetakeRecordedCap,SUMIFS(nrES_Raw,nrES_PID,$D144,nrES_Code,$F144,nrES_Att,1))))))</f>
        <v/>
      </c>
      <c r="N144" s="15">
        <f>IF($C144="","",IF($L144="","",IF($L144&gt;=$J144,"Yes","No")))</f>
        <v/>
      </c>
      <c r="O144" s="15">
        <f>IF($C144="","",IF($M144="","",IF($M144&gt;=$J144,"Yes","No")))</f>
        <v/>
      </c>
      <c r="P144" s="15">
        <f>IF($C144="","",IF($K144="","",IF(COUNTIFS(nrES_PID,$D144,nrES_Code,$F144,nrES_Att,"&gt;"&amp;$K144)=0,"Yes","No")))</f>
        <v/>
      </c>
      <c r="Q144" s="15">
        <f>IF($C144="","",IF($L144="","",IF(AND($K144=1,$L144&lt;$J144,COUNTIFS(nrES_PID,$D144,nrES_Code,$F144,nrES_Att,2)=0),"Yes","No")))</f>
        <v/>
      </c>
      <c r="R144" s="15">
        <f>IF($C144="","",IF($L144="","",IF(AND($K144=2,$L144&lt;$J144,COUNTIFS(nrES_PID,$D144,nrES_Code,$F144,nrES_Att,1)&gt;0),"Yes","No")))</f>
        <v/>
      </c>
      <c r="S144" s="16" t="n"/>
      <c r="T144" s="17">
        <f>IF($Q144&lt;&gt;"Yes","",IF($S144="","(enter date)",_xlfn.LET(_xlpm.dn,IFERROR(_xlfn.XLOOKUP($S144,nrCDdate,nrCDnum),""),IF(_xlpm.dn="","(not a class day)",IFERROR(_xlfn.XLOOKUP(_xlpm.dn+cfgRetestClassDays,nrCDnum,nrCDdate),"")))))</f>
        <v/>
      </c>
      <c r="U144" s="15">
        <f>IF($Q144&lt;&gt;"Yes","",IF(COUNTIFS(nrES_PID,$D144,nrES_Code,$F144,nrES_Att,2)&gt;0,"Retested",IF(OR($T144="",NOT(ISNUMBER($T144))),"Pending",IF(TODAY()&gt;$T144,"OVERDUE","Due "&amp;TEXT($T144,"mm/dd")))))</f>
        <v/>
      </c>
      <c r="V144" s="14" t="n"/>
      <c r="W144" s="14" t="n"/>
    </row>
    <row r="145">
      <c r="B145" s="15">
        <f>IF($C145="","",$D145&amp;"-"&amp;$F145&amp;"-"&amp;$K145)</f>
        <v/>
      </c>
      <c r="C145" s="14" t="n"/>
      <c r="D145" s="15">
        <f>IF($C145="","",IFERROR(INDEX(rngCadetPIDs,MATCH($C145,rngCadetNames,0)),"?"))</f>
        <v/>
      </c>
      <c r="E145" s="15">
        <f>IF($D145="","",IFERROR(INDEX(nrCadetAgency,MATCH($D145,rngCadetPIDs,0)),""))</f>
        <v/>
      </c>
      <c r="F145" s="14" t="n"/>
      <c r="G145" s="15">
        <f>IF($F145="","",IFERROR(INDEX(rngEPname,MATCH($F145,rngEPcode,0)),"?"))</f>
        <v/>
      </c>
      <c r="H145" s="15">
        <f>IF($F145="","",IFERROR(INDEX(rngEPtype,MATCH($F145,rngEPcode,0)),"?"))</f>
        <v/>
      </c>
      <c r="I145" s="15">
        <f>IF($F145="","",IFERROR(INDEX(rngEPseq,MATCH($F145,rngEPcode,0)),""))</f>
        <v/>
      </c>
      <c r="J145" s="15">
        <f>IF($F145="","",IFERROR(INDEX(rngEPpass,MATCH($F145,rngEPcode,0)),cfgPassingScore))</f>
        <v/>
      </c>
      <c r="K145" s="14" t="n"/>
      <c r="L145" s="14" t="n"/>
      <c r="M145" s="15">
        <f>IF($C145="","",IF($L145="","",IF($K145=1,IF(COUNTIFS(nrES_PID,$D145,nrES_Code,$F145,nrES_Att,2)&gt;0,"",$L145),IF(COUNTIFS(nrES_PID,$D145,nrES_Code,$F145,nrES_Att,1)=0,$L145,IF($L145&gt;=$J145,cfgRetakeRecordedCap,SUMIFS(nrES_Raw,nrES_PID,$D145,nrES_Code,$F145,nrES_Att,1))))))</f>
        <v/>
      </c>
      <c r="N145" s="15">
        <f>IF($C145="","",IF($L145="","",IF($L145&gt;=$J145,"Yes","No")))</f>
        <v/>
      </c>
      <c r="O145" s="15">
        <f>IF($C145="","",IF($M145="","",IF($M145&gt;=$J145,"Yes","No")))</f>
        <v/>
      </c>
      <c r="P145" s="15">
        <f>IF($C145="","",IF($K145="","",IF(COUNTIFS(nrES_PID,$D145,nrES_Code,$F145,nrES_Att,"&gt;"&amp;$K145)=0,"Yes","No")))</f>
        <v/>
      </c>
      <c r="Q145" s="15">
        <f>IF($C145="","",IF($L145="","",IF(AND($K145=1,$L145&lt;$J145,COUNTIFS(nrES_PID,$D145,nrES_Code,$F145,nrES_Att,2)=0),"Yes","No")))</f>
        <v/>
      </c>
      <c r="R145" s="15">
        <f>IF($C145="","",IF($L145="","",IF(AND($K145=2,$L145&lt;$J145,COUNTIFS(nrES_PID,$D145,nrES_Code,$F145,nrES_Att,1)&gt;0),"Yes","No")))</f>
        <v/>
      </c>
      <c r="S145" s="16" t="n"/>
      <c r="T145" s="17">
        <f>IF($Q145&lt;&gt;"Yes","",IF($S145="","(enter date)",_xlfn.LET(_xlpm.dn,IFERROR(_xlfn.XLOOKUP($S145,nrCDdate,nrCDnum),""),IF(_xlpm.dn="","(not a class day)",IFERROR(_xlfn.XLOOKUP(_xlpm.dn+cfgRetestClassDays,nrCDnum,nrCDdate),"")))))</f>
        <v/>
      </c>
      <c r="U145" s="15">
        <f>IF($Q145&lt;&gt;"Yes","",IF(COUNTIFS(nrES_PID,$D145,nrES_Code,$F145,nrES_Att,2)&gt;0,"Retested",IF(OR($T145="",NOT(ISNUMBER($T145))),"Pending",IF(TODAY()&gt;$T145,"OVERDUE","Due "&amp;TEXT($T145,"mm/dd")))))</f>
        <v/>
      </c>
      <c r="V145" s="14" t="n"/>
      <c r="W145" s="14" t="n"/>
    </row>
    <row r="146">
      <c r="B146" s="15">
        <f>IF($C146="","",$D146&amp;"-"&amp;$F146&amp;"-"&amp;$K146)</f>
        <v/>
      </c>
      <c r="C146" s="14" t="n"/>
      <c r="D146" s="15">
        <f>IF($C146="","",IFERROR(INDEX(rngCadetPIDs,MATCH($C146,rngCadetNames,0)),"?"))</f>
        <v/>
      </c>
      <c r="E146" s="15">
        <f>IF($D146="","",IFERROR(INDEX(nrCadetAgency,MATCH($D146,rngCadetPIDs,0)),""))</f>
        <v/>
      </c>
      <c r="F146" s="14" t="n"/>
      <c r="G146" s="15">
        <f>IF($F146="","",IFERROR(INDEX(rngEPname,MATCH($F146,rngEPcode,0)),"?"))</f>
        <v/>
      </c>
      <c r="H146" s="15">
        <f>IF($F146="","",IFERROR(INDEX(rngEPtype,MATCH($F146,rngEPcode,0)),"?"))</f>
        <v/>
      </c>
      <c r="I146" s="15">
        <f>IF($F146="","",IFERROR(INDEX(rngEPseq,MATCH($F146,rngEPcode,0)),""))</f>
        <v/>
      </c>
      <c r="J146" s="15">
        <f>IF($F146="","",IFERROR(INDEX(rngEPpass,MATCH($F146,rngEPcode,0)),cfgPassingScore))</f>
        <v/>
      </c>
      <c r="K146" s="14" t="n"/>
      <c r="L146" s="14" t="n"/>
      <c r="M146" s="15">
        <f>IF($C146="","",IF($L146="","",IF($K146=1,IF(COUNTIFS(nrES_PID,$D146,nrES_Code,$F146,nrES_Att,2)&gt;0,"",$L146),IF(COUNTIFS(nrES_PID,$D146,nrES_Code,$F146,nrES_Att,1)=0,$L146,IF($L146&gt;=$J146,cfgRetakeRecordedCap,SUMIFS(nrES_Raw,nrES_PID,$D146,nrES_Code,$F146,nrES_Att,1))))))</f>
        <v/>
      </c>
      <c r="N146" s="15">
        <f>IF($C146="","",IF($L146="","",IF($L146&gt;=$J146,"Yes","No")))</f>
        <v/>
      </c>
      <c r="O146" s="15">
        <f>IF($C146="","",IF($M146="","",IF($M146&gt;=$J146,"Yes","No")))</f>
        <v/>
      </c>
      <c r="P146" s="15">
        <f>IF($C146="","",IF($K146="","",IF(COUNTIFS(nrES_PID,$D146,nrES_Code,$F146,nrES_Att,"&gt;"&amp;$K146)=0,"Yes","No")))</f>
        <v/>
      </c>
      <c r="Q146" s="15">
        <f>IF($C146="","",IF($L146="","",IF(AND($K146=1,$L146&lt;$J146,COUNTIFS(nrES_PID,$D146,nrES_Code,$F146,nrES_Att,2)=0),"Yes","No")))</f>
        <v/>
      </c>
      <c r="R146" s="15">
        <f>IF($C146="","",IF($L146="","",IF(AND($K146=2,$L146&lt;$J146,COUNTIFS(nrES_PID,$D146,nrES_Code,$F146,nrES_Att,1)&gt;0),"Yes","No")))</f>
        <v/>
      </c>
      <c r="S146" s="16" t="n"/>
      <c r="T146" s="17">
        <f>IF($Q146&lt;&gt;"Yes","",IF($S146="","(enter date)",_xlfn.LET(_xlpm.dn,IFERROR(_xlfn.XLOOKUP($S146,nrCDdate,nrCDnum),""),IF(_xlpm.dn="","(not a class day)",IFERROR(_xlfn.XLOOKUP(_xlpm.dn+cfgRetestClassDays,nrCDnum,nrCDdate),"")))))</f>
        <v/>
      </c>
      <c r="U146" s="15">
        <f>IF($Q146&lt;&gt;"Yes","",IF(COUNTIFS(nrES_PID,$D146,nrES_Code,$F146,nrES_Att,2)&gt;0,"Retested",IF(OR($T146="",NOT(ISNUMBER($T146))),"Pending",IF(TODAY()&gt;$T146,"OVERDUE","Due "&amp;TEXT($T146,"mm/dd")))))</f>
        <v/>
      </c>
      <c r="V146" s="14" t="n"/>
      <c r="W146" s="14" t="n"/>
    </row>
    <row r="147">
      <c r="B147" s="15">
        <f>IF($C147="","",$D147&amp;"-"&amp;$F147&amp;"-"&amp;$K147)</f>
        <v/>
      </c>
      <c r="C147" s="14" t="n"/>
      <c r="D147" s="15">
        <f>IF($C147="","",IFERROR(INDEX(rngCadetPIDs,MATCH($C147,rngCadetNames,0)),"?"))</f>
        <v/>
      </c>
      <c r="E147" s="15">
        <f>IF($D147="","",IFERROR(INDEX(nrCadetAgency,MATCH($D147,rngCadetPIDs,0)),""))</f>
        <v/>
      </c>
      <c r="F147" s="14" t="n"/>
      <c r="G147" s="15">
        <f>IF($F147="","",IFERROR(INDEX(rngEPname,MATCH($F147,rngEPcode,0)),"?"))</f>
        <v/>
      </c>
      <c r="H147" s="15">
        <f>IF($F147="","",IFERROR(INDEX(rngEPtype,MATCH($F147,rngEPcode,0)),"?"))</f>
        <v/>
      </c>
      <c r="I147" s="15">
        <f>IF($F147="","",IFERROR(INDEX(rngEPseq,MATCH($F147,rngEPcode,0)),""))</f>
        <v/>
      </c>
      <c r="J147" s="15">
        <f>IF($F147="","",IFERROR(INDEX(rngEPpass,MATCH($F147,rngEPcode,0)),cfgPassingScore))</f>
        <v/>
      </c>
      <c r="K147" s="14" t="n"/>
      <c r="L147" s="14" t="n"/>
      <c r="M147" s="15">
        <f>IF($C147="","",IF($L147="","",IF($K147=1,IF(COUNTIFS(nrES_PID,$D147,nrES_Code,$F147,nrES_Att,2)&gt;0,"",$L147),IF(COUNTIFS(nrES_PID,$D147,nrES_Code,$F147,nrES_Att,1)=0,$L147,IF($L147&gt;=$J147,cfgRetakeRecordedCap,SUMIFS(nrES_Raw,nrES_PID,$D147,nrES_Code,$F147,nrES_Att,1))))))</f>
        <v/>
      </c>
      <c r="N147" s="15">
        <f>IF($C147="","",IF($L147="","",IF($L147&gt;=$J147,"Yes","No")))</f>
        <v/>
      </c>
      <c r="O147" s="15">
        <f>IF($C147="","",IF($M147="","",IF($M147&gt;=$J147,"Yes","No")))</f>
        <v/>
      </c>
      <c r="P147" s="15">
        <f>IF($C147="","",IF($K147="","",IF(COUNTIFS(nrES_PID,$D147,nrES_Code,$F147,nrES_Att,"&gt;"&amp;$K147)=0,"Yes","No")))</f>
        <v/>
      </c>
      <c r="Q147" s="15">
        <f>IF($C147="","",IF($L147="","",IF(AND($K147=1,$L147&lt;$J147,COUNTIFS(nrES_PID,$D147,nrES_Code,$F147,nrES_Att,2)=0),"Yes","No")))</f>
        <v/>
      </c>
      <c r="R147" s="15">
        <f>IF($C147="","",IF($L147="","",IF(AND($K147=2,$L147&lt;$J147,COUNTIFS(nrES_PID,$D147,nrES_Code,$F147,nrES_Att,1)&gt;0),"Yes","No")))</f>
        <v/>
      </c>
      <c r="S147" s="16" t="n"/>
      <c r="T147" s="17">
        <f>IF($Q147&lt;&gt;"Yes","",IF($S147="","(enter date)",_xlfn.LET(_xlpm.dn,IFERROR(_xlfn.XLOOKUP($S147,nrCDdate,nrCDnum),""),IF(_xlpm.dn="","(not a class day)",IFERROR(_xlfn.XLOOKUP(_xlpm.dn+cfgRetestClassDays,nrCDnum,nrCDdate),"")))))</f>
        <v/>
      </c>
      <c r="U147" s="15">
        <f>IF($Q147&lt;&gt;"Yes","",IF(COUNTIFS(nrES_PID,$D147,nrES_Code,$F147,nrES_Att,2)&gt;0,"Retested",IF(OR($T147="",NOT(ISNUMBER($T147))),"Pending",IF(TODAY()&gt;$T147,"OVERDUE","Due "&amp;TEXT($T147,"mm/dd")))))</f>
        <v/>
      </c>
      <c r="V147" s="14" t="n"/>
      <c r="W147" s="14" t="n"/>
    </row>
    <row r="148">
      <c r="B148" s="15">
        <f>IF($C148="","",$D148&amp;"-"&amp;$F148&amp;"-"&amp;$K148)</f>
        <v/>
      </c>
      <c r="C148" s="14" t="n"/>
      <c r="D148" s="15">
        <f>IF($C148="","",IFERROR(INDEX(rngCadetPIDs,MATCH($C148,rngCadetNames,0)),"?"))</f>
        <v/>
      </c>
      <c r="E148" s="15">
        <f>IF($D148="","",IFERROR(INDEX(nrCadetAgency,MATCH($D148,rngCadetPIDs,0)),""))</f>
        <v/>
      </c>
      <c r="F148" s="14" t="n"/>
      <c r="G148" s="15">
        <f>IF($F148="","",IFERROR(INDEX(rngEPname,MATCH($F148,rngEPcode,0)),"?"))</f>
        <v/>
      </c>
      <c r="H148" s="15">
        <f>IF($F148="","",IFERROR(INDEX(rngEPtype,MATCH($F148,rngEPcode,0)),"?"))</f>
        <v/>
      </c>
      <c r="I148" s="15">
        <f>IF($F148="","",IFERROR(INDEX(rngEPseq,MATCH($F148,rngEPcode,0)),""))</f>
        <v/>
      </c>
      <c r="J148" s="15">
        <f>IF($F148="","",IFERROR(INDEX(rngEPpass,MATCH($F148,rngEPcode,0)),cfgPassingScore))</f>
        <v/>
      </c>
      <c r="K148" s="14" t="n"/>
      <c r="L148" s="14" t="n"/>
      <c r="M148" s="15">
        <f>IF($C148="","",IF($L148="","",IF($K148=1,IF(COUNTIFS(nrES_PID,$D148,nrES_Code,$F148,nrES_Att,2)&gt;0,"",$L148),IF(COUNTIFS(nrES_PID,$D148,nrES_Code,$F148,nrES_Att,1)=0,$L148,IF($L148&gt;=$J148,cfgRetakeRecordedCap,SUMIFS(nrES_Raw,nrES_PID,$D148,nrES_Code,$F148,nrES_Att,1))))))</f>
        <v/>
      </c>
      <c r="N148" s="15">
        <f>IF($C148="","",IF($L148="","",IF($L148&gt;=$J148,"Yes","No")))</f>
        <v/>
      </c>
      <c r="O148" s="15">
        <f>IF($C148="","",IF($M148="","",IF($M148&gt;=$J148,"Yes","No")))</f>
        <v/>
      </c>
      <c r="P148" s="15">
        <f>IF($C148="","",IF($K148="","",IF(COUNTIFS(nrES_PID,$D148,nrES_Code,$F148,nrES_Att,"&gt;"&amp;$K148)=0,"Yes","No")))</f>
        <v/>
      </c>
      <c r="Q148" s="15">
        <f>IF($C148="","",IF($L148="","",IF(AND($K148=1,$L148&lt;$J148,COUNTIFS(nrES_PID,$D148,nrES_Code,$F148,nrES_Att,2)=0),"Yes","No")))</f>
        <v/>
      </c>
      <c r="R148" s="15">
        <f>IF($C148="","",IF($L148="","",IF(AND($K148=2,$L148&lt;$J148,COUNTIFS(nrES_PID,$D148,nrES_Code,$F148,nrES_Att,1)&gt;0),"Yes","No")))</f>
        <v/>
      </c>
      <c r="S148" s="16" t="n"/>
      <c r="T148" s="17">
        <f>IF($Q148&lt;&gt;"Yes","",IF($S148="","(enter date)",_xlfn.LET(_xlpm.dn,IFERROR(_xlfn.XLOOKUP($S148,nrCDdate,nrCDnum),""),IF(_xlpm.dn="","(not a class day)",IFERROR(_xlfn.XLOOKUP(_xlpm.dn+cfgRetestClassDays,nrCDnum,nrCDdate),"")))))</f>
        <v/>
      </c>
      <c r="U148" s="15">
        <f>IF($Q148&lt;&gt;"Yes","",IF(COUNTIFS(nrES_PID,$D148,nrES_Code,$F148,nrES_Att,2)&gt;0,"Retested",IF(OR($T148="",NOT(ISNUMBER($T148))),"Pending",IF(TODAY()&gt;$T148,"OVERDUE","Due "&amp;TEXT($T148,"mm/dd")))))</f>
        <v/>
      </c>
      <c r="V148" s="14" t="n"/>
      <c r="W148" s="14" t="n"/>
    </row>
    <row r="149">
      <c r="B149" s="15">
        <f>IF($C149="","",$D149&amp;"-"&amp;$F149&amp;"-"&amp;$K149)</f>
        <v/>
      </c>
      <c r="C149" s="14" t="n"/>
      <c r="D149" s="15">
        <f>IF($C149="","",IFERROR(INDEX(rngCadetPIDs,MATCH($C149,rngCadetNames,0)),"?"))</f>
        <v/>
      </c>
      <c r="E149" s="15">
        <f>IF($D149="","",IFERROR(INDEX(nrCadetAgency,MATCH($D149,rngCadetPIDs,0)),""))</f>
        <v/>
      </c>
      <c r="F149" s="14" t="n"/>
      <c r="G149" s="15">
        <f>IF($F149="","",IFERROR(INDEX(rngEPname,MATCH($F149,rngEPcode,0)),"?"))</f>
        <v/>
      </c>
      <c r="H149" s="15">
        <f>IF($F149="","",IFERROR(INDEX(rngEPtype,MATCH($F149,rngEPcode,0)),"?"))</f>
        <v/>
      </c>
      <c r="I149" s="15">
        <f>IF($F149="","",IFERROR(INDEX(rngEPseq,MATCH($F149,rngEPcode,0)),""))</f>
        <v/>
      </c>
      <c r="J149" s="15">
        <f>IF($F149="","",IFERROR(INDEX(rngEPpass,MATCH($F149,rngEPcode,0)),cfgPassingScore))</f>
        <v/>
      </c>
      <c r="K149" s="14" t="n"/>
      <c r="L149" s="14" t="n"/>
      <c r="M149" s="15">
        <f>IF($C149="","",IF($L149="","",IF($K149=1,IF(COUNTIFS(nrES_PID,$D149,nrES_Code,$F149,nrES_Att,2)&gt;0,"",$L149),IF(COUNTIFS(nrES_PID,$D149,nrES_Code,$F149,nrES_Att,1)=0,$L149,IF($L149&gt;=$J149,cfgRetakeRecordedCap,SUMIFS(nrES_Raw,nrES_PID,$D149,nrES_Code,$F149,nrES_Att,1))))))</f>
        <v/>
      </c>
      <c r="N149" s="15">
        <f>IF($C149="","",IF($L149="","",IF($L149&gt;=$J149,"Yes","No")))</f>
        <v/>
      </c>
      <c r="O149" s="15">
        <f>IF($C149="","",IF($M149="","",IF($M149&gt;=$J149,"Yes","No")))</f>
        <v/>
      </c>
      <c r="P149" s="15">
        <f>IF($C149="","",IF($K149="","",IF(COUNTIFS(nrES_PID,$D149,nrES_Code,$F149,nrES_Att,"&gt;"&amp;$K149)=0,"Yes","No")))</f>
        <v/>
      </c>
      <c r="Q149" s="15">
        <f>IF($C149="","",IF($L149="","",IF(AND($K149=1,$L149&lt;$J149,COUNTIFS(nrES_PID,$D149,nrES_Code,$F149,nrES_Att,2)=0),"Yes","No")))</f>
        <v/>
      </c>
      <c r="R149" s="15">
        <f>IF($C149="","",IF($L149="","",IF(AND($K149=2,$L149&lt;$J149,COUNTIFS(nrES_PID,$D149,nrES_Code,$F149,nrES_Att,1)&gt;0),"Yes","No")))</f>
        <v/>
      </c>
      <c r="S149" s="16" t="n"/>
      <c r="T149" s="17">
        <f>IF($Q149&lt;&gt;"Yes","",IF($S149="","(enter date)",_xlfn.LET(_xlpm.dn,IFERROR(_xlfn.XLOOKUP($S149,nrCDdate,nrCDnum),""),IF(_xlpm.dn="","(not a class day)",IFERROR(_xlfn.XLOOKUP(_xlpm.dn+cfgRetestClassDays,nrCDnum,nrCDdate),"")))))</f>
        <v/>
      </c>
      <c r="U149" s="15">
        <f>IF($Q149&lt;&gt;"Yes","",IF(COUNTIFS(nrES_PID,$D149,nrES_Code,$F149,nrES_Att,2)&gt;0,"Retested",IF(OR($T149="",NOT(ISNUMBER($T149))),"Pending",IF(TODAY()&gt;$T149,"OVERDUE","Due "&amp;TEXT($T149,"mm/dd")))))</f>
        <v/>
      </c>
      <c r="V149" s="14" t="n"/>
      <c r="W149" s="14" t="n"/>
    </row>
    <row r="150">
      <c r="B150" s="15">
        <f>IF($C150="","",$D150&amp;"-"&amp;$F150&amp;"-"&amp;$K150)</f>
        <v/>
      </c>
      <c r="C150" s="14" t="n"/>
      <c r="D150" s="15">
        <f>IF($C150="","",IFERROR(INDEX(rngCadetPIDs,MATCH($C150,rngCadetNames,0)),"?"))</f>
        <v/>
      </c>
      <c r="E150" s="15">
        <f>IF($D150="","",IFERROR(INDEX(nrCadetAgency,MATCH($D150,rngCadetPIDs,0)),""))</f>
        <v/>
      </c>
      <c r="F150" s="14" t="n"/>
      <c r="G150" s="15">
        <f>IF($F150="","",IFERROR(INDEX(rngEPname,MATCH($F150,rngEPcode,0)),"?"))</f>
        <v/>
      </c>
      <c r="H150" s="15">
        <f>IF($F150="","",IFERROR(INDEX(rngEPtype,MATCH($F150,rngEPcode,0)),"?"))</f>
        <v/>
      </c>
      <c r="I150" s="15">
        <f>IF($F150="","",IFERROR(INDEX(rngEPseq,MATCH($F150,rngEPcode,0)),""))</f>
        <v/>
      </c>
      <c r="J150" s="15">
        <f>IF($F150="","",IFERROR(INDEX(rngEPpass,MATCH($F150,rngEPcode,0)),cfgPassingScore))</f>
        <v/>
      </c>
      <c r="K150" s="14" t="n"/>
      <c r="L150" s="14" t="n"/>
      <c r="M150" s="15">
        <f>IF($C150="","",IF($L150="","",IF($K150=1,IF(COUNTIFS(nrES_PID,$D150,nrES_Code,$F150,nrES_Att,2)&gt;0,"",$L150),IF(COUNTIFS(nrES_PID,$D150,nrES_Code,$F150,nrES_Att,1)=0,$L150,IF($L150&gt;=$J150,cfgRetakeRecordedCap,SUMIFS(nrES_Raw,nrES_PID,$D150,nrES_Code,$F150,nrES_Att,1))))))</f>
        <v/>
      </c>
      <c r="N150" s="15">
        <f>IF($C150="","",IF($L150="","",IF($L150&gt;=$J150,"Yes","No")))</f>
        <v/>
      </c>
      <c r="O150" s="15">
        <f>IF($C150="","",IF($M150="","",IF($M150&gt;=$J150,"Yes","No")))</f>
        <v/>
      </c>
      <c r="P150" s="15">
        <f>IF($C150="","",IF($K150="","",IF(COUNTIFS(nrES_PID,$D150,nrES_Code,$F150,nrES_Att,"&gt;"&amp;$K150)=0,"Yes","No")))</f>
        <v/>
      </c>
      <c r="Q150" s="15">
        <f>IF($C150="","",IF($L150="","",IF(AND($K150=1,$L150&lt;$J150,COUNTIFS(nrES_PID,$D150,nrES_Code,$F150,nrES_Att,2)=0),"Yes","No")))</f>
        <v/>
      </c>
      <c r="R150" s="15">
        <f>IF($C150="","",IF($L150="","",IF(AND($K150=2,$L150&lt;$J150,COUNTIFS(nrES_PID,$D150,nrES_Code,$F150,nrES_Att,1)&gt;0),"Yes","No")))</f>
        <v/>
      </c>
      <c r="S150" s="16" t="n"/>
      <c r="T150" s="17">
        <f>IF($Q150&lt;&gt;"Yes","",IF($S150="","(enter date)",_xlfn.LET(_xlpm.dn,IFERROR(_xlfn.XLOOKUP($S150,nrCDdate,nrCDnum),""),IF(_xlpm.dn="","(not a class day)",IFERROR(_xlfn.XLOOKUP(_xlpm.dn+cfgRetestClassDays,nrCDnum,nrCDdate),"")))))</f>
        <v/>
      </c>
      <c r="U150" s="15">
        <f>IF($Q150&lt;&gt;"Yes","",IF(COUNTIFS(nrES_PID,$D150,nrES_Code,$F150,nrES_Att,2)&gt;0,"Retested",IF(OR($T150="",NOT(ISNUMBER($T150))),"Pending",IF(TODAY()&gt;$T150,"OVERDUE","Due "&amp;TEXT($T150,"mm/dd")))))</f>
        <v/>
      </c>
      <c r="V150" s="14" t="n"/>
      <c r="W150" s="14" t="n"/>
    </row>
    <row r="151">
      <c r="B151" s="15">
        <f>IF($C151="","",$D151&amp;"-"&amp;$F151&amp;"-"&amp;$K151)</f>
        <v/>
      </c>
      <c r="C151" s="14" t="n"/>
      <c r="D151" s="15">
        <f>IF($C151="","",IFERROR(INDEX(rngCadetPIDs,MATCH($C151,rngCadetNames,0)),"?"))</f>
        <v/>
      </c>
      <c r="E151" s="15">
        <f>IF($D151="","",IFERROR(INDEX(nrCadetAgency,MATCH($D151,rngCadetPIDs,0)),""))</f>
        <v/>
      </c>
      <c r="F151" s="14" t="n"/>
      <c r="G151" s="15">
        <f>IF($F151="","",IFERROR(INDEX(rngEPname,MATCH($F151,rngEPcode,0)),"?"))</f>
        <v/>
      </c>
      <c r="H151" s="15">
        <f>IF($F151="","",IFERROR(INDEX(rngEPtype,MATCH($F151,rngEPcode,0)),"?"))</f>
        <v/>
      </c>
      <c r="I151" s="15">
        <f>IF($F151="","",IFERROR(INDEX(rngEPseq,MATCH($F151,rngEPcode,0)),""))</f>
        <v/>
      </c>
      <c r="J151" s="15">
        <f>IF($F151="","",IFERROR(INDEX(rngEPpass,MATCH($F151,rngEPcode,0)),cfgPassingScore))</f>
        <v/>
      </c>
      <c r="K151" s="14" t="n"/>
      <c r="L151" s="14" t="n"/>
      <c r="M151" s="15">
        <f>IF($C151="","",IF($L151="","",IF($K151=1,IF(COUNTIFS(nrES_PID,$D151,nrES_Code,$F151,nrES_Att,2)&gt;0,"",$L151),IF(COUNTIFS(nrES_PID,$D151,nrES_Code,$F151,nrES_Att,1)=0,$L151,IF($L151&gt;=$J151,cfgRetakeRecordedCap,SUMIFS(nrES_Raw,nrES_PID,$D151,nrES_Code,$F151,nrES_Att,1))))))</f>
        <v/>
      </c>
      <c r="N151" s="15">
        <f>IF($C151="","",IF($L151="","",IF($L151&gt;=$J151,"Yes","No")))</f>
        <v/>
      </c>
      <c r="O151" s="15">
        <f>IF($C151="","",IF($M151="","",IF($M151&gt;=$J151,"Yes","No")))</f>
        <v/>
      </c>
      <c r="P151" s="15">
        <f>IF($C151="","",IF($K151="","",IF(COUNTIFS(nrES_PID,$D151,nrES_Code,$F151,nrES_Att,"&gt;"&amp;$K151)=0,"Yes","No")))</f>
        <v/>
      </c>
      <c r="Q151" s="15">
        <f>IF($C151="","",IF($L151="","",IF(AND($K151=1,$L151&lt;$J151,COUNTIFS(nrES_PID,$D151,nrES_Code,$F151,nrES_Att,2)=0),"Yes","No")))</f>
        <v/>
      </c>
      <c r="R151" s="15">
        <f>IF($C151="","",IF($L151="","",IF(AND($K151=2,$L151&lt;$J151,COUNTIFS(nrES_PID,$D151,nrES_Code,$F151,nrES_Att,1)&gt;0),"Yes","No")))</f>
        <v/>
      </c>
      <c r="S151" s="16" t="n"/>
      <c r="T151" s="17">
        <f>IF($Q151&lt;&gt;"Yes","",IF($S151="","(enter date)",_xlfn.LET(_xlpm.dn,IFERROR(_xlfn.XLOOKUP($S151,nrCDdate,nrCDnum),""),IF(_xlpm.dn="","(not a class day)",IFERROR(_xlfn.XLOOKUP(_xlpm.dn+cfgRetestClassDays,nrCDnum,nrCDdate),"")))))</f>
        <v/>
      </c>
      <c r="U151" s="15">
        <f>IF($Q151&lt;&gt;"Yes","",IF(COUNTIFS(nrES_PID,$D151,nrES_Code,$F151,nrES_Att,2)&gt;0,"Retested",IF(OR($T151="",NOT(ISNUMBER($T151))),"Pending",IF(TODAY()&gt;$T151,"OVERDUE","Due "&amp;TEXT($T151,"mm/dd")))))</f>
        <v/>
      </c>
      <c r="V151" s="14" t="n"/>
      <c r="W151" s="14" t="n"/>
    </row>
    <row r="152">
      <c r="B152" s="15">
        <f>IF($C152="","",$D152&amp;"-"&amp;$F152&amp;"-"&amp;$K152)</f>
        <v/>
      </c>
      <c r="C152" s="14" t="n"/>
      <c r="D152" s="15">
        <f>IF($C152="","",IFERROR(INDEX(rngCadetPIDs,MATCH($C152,rngCadetNames,0)),"?"))</f>
        <v/>
      </c>
      <c r="E152" s="15">
        <f>IF($D152="","",IFERROR(INDEX(nrCadetAgency,MATCH($D152,rngCadetPIDs,0)),""))</f>
        <v/>
      </c>
      <c r="F152" s="14" t="n"/>
      <c r="G152" s="15">
        <f>IF($F152="","",IFERROR(INDEX(rngEPname,MATCH($F152,rngEPcode,0)),"?"))</f>
        <v/>
      </c>
      <c r="H152" s="15">
        <f>IF($F152="","",IFERROR(INDEX(rngEPtype,MATCH($F152,rngEPcode,0)),"?"))</f>
        <v/>
      </c>
      <c r="I152" s="15">
        <f>IF($F152="","",IFERROR(INDEX(rngEPseq,MATCH($F152,rngEPcode,0)),""))</f>
        <v/>
      </c>
      <c r="J152" s="15">
        <f>IF($F152="","",IFERROR(INDEX(rngEPpass,MATCH($F152,rngEPcode,0)),cfgPassingScore))</f>
        <v/>
      </c>
      <c r="K152" s="14" t="n"/>
      <c r="L152" s="14" t="n"/>
      <c r="M152" s="15">
        <f>IF($C152="","",IF($L152="","",IF($K152=1,IF(COUNTIFS(nrES_PID,$D152,nrES_Code,$F152,nrES_Att,2)&gt;0,"",$L152),IF(COUNTIFS(nrES_PID,$D152,nrES_Code,$F152,nrES_Att,1)=0,$L152,IF($L152&gt;=$J152,cfgRetakeRecordedCap,SUMIFS(nrES_Raw,nrES_PID,$D152,nrES_Code,$F152,nrES_Att,1))))))</f>
        <v/>
      </c>
      <c r="N152" s="15">
        <f>IF($C152="","",IF($L152="","",IF($L152&gt;=$J152,"Yes","No")))</f>
        <v/>
      </c>
      <c r="O152" s="15">
        <f>IF($C152="","",IF($M152="","",IF($M152&gt;=$J152,"Yes","No")))</f>
        <v/>
      </c>
      <c r="P152" s="15">
        <f>IF($C152="","",IF($K152="","",IF(COUNTIFS(nrES_PID,$D152,nrES_Code,$F152,nrES_Att,"&gt;"&amp;$K152)=0,"Yes","No")))</f>
        <v/>
      </c>
      <c r="Q152" s="15">
        <f>IF($C152="","",IF($L152="","",IF(AND($K152=1,$L152&lt;$J152,COUNTIFS(nrES_PID,$D152,nrES_Code,$F152,nrES_Att,2)=0),"Yes","No")))</f>
        <v/>
      </c>
      <c r="R152" s="15">
        <f>IF($C152="","",IF($L152="","",IF(AND($K152=2,$L152&lt;$J152,COUNTIFS(nrES_PID,$D152,nrES_Code,$F152,nrES_Att,1)&gt;0),"Yes","No")))</f>
        <v/>
      </c>
      <c r="S152" s="16" t="n"/>
      <c r="T152" s="17">
        <f>IF($Q152&lt;&gt;"Yes","",IF($S152="","(enter date)",_xlfn.LET(_xlpm.dn,IFERROR(_xlfn.XLOOKUP($S152,nrCDdate,nrCDnum),""),IF(_xlpm.dn="","(not a class day)",IFERROR(_xlfn.XLOOKUP(_xlpm.dn+cfgRetestClassDays,nrCDnum,nrCDdate),"")))))</f>
        <v/>
      </c>
      <c r="U152" s="15">
        <f>IF($Q152&lt;&gt;"Yes","",IF(COUNTIFS(nrES_PID,$D152,nrES_Code,$F152,nrES_Att,2)&gt;0,"Retested",IF(OR($T152="",NOT(ISNUMBER($T152))),"Pending",IF(TODAY()&gt;$T152,"OVERDUE","Due "&amp;TEXT($T152,"mm/dd")))))</f>
        <v/>
      </c>
      <c r="V152" s="14" t="n"/>
      <c r="W152" s="14" t="n"/>
    </row>
    <row r="153">
      <c r="B153" s="15">
        <f>IF($C153="","",$D153&amp;"-"&amp;$F153&amp;"-"&amp;$K153)</f>
        <v/>
      </c>
      <c r="C153" s="14" t="n"/>
      <c r="D153" s="15">
        <f>IF($C153="","",IFERROR(INDEX(rngCadetPIDs,MATCH($C153,rngCadetNames,0)),"?"))</f>
        <v/>
      </c>
      <c r="E153" s="15">
        <f>IF($D153="","",IFERROR(INDEX(nrCadetAgency,MATCH($D153,rngCadetPIDs,0)),""))</f>
        <v/>
      </c>
      <c r="F153" s="14" t="n"/>
      <c r="G153" s="15">
        <f>IF($F153="","",IFERROR(INDEX(rngEPname,MATCH($F153,rngEPcode,0)),"?"))</f>
        <v/>
      </c>
      <c r="H153" s="15">
        <f>IF($F153="","",IFERROR(INDEX(rngEPtype,MATCH($F153,rngEPcode,0)),"?"))</f>
        <v/>
      </c>
      <c r="I153" s="15">
        <f>IF($F153="","",IFERROR(INDEX(rngEPseq,MATCH($F153,rngEPcode,0)),""))</f>
        <v/>
      </c>
      <c r="J153" s="15">
        <f>IF($F153="","",IFERROR(INDEX(rngEPpass,MATCH($F153,rngEPcode,0)),cfgPassingScore))</f>
        <v/>
      </c>
      <c r="K153" s="14" t="n"/>
      <c r="L153" s="14" t="n"/>
      <c r="M153" s="15">
        <f>IF($C153="","",IF($L153="","",IF($K153=1,IF(COUNTIFS(nrES_PID,$D153,nrES_Code,$F153,nrES_Att,2)&gt;0,"",$L153),IF(COUNTIFS(nrES_PID,$D153,nrES_Code,$F153,nrES_Att,1)=0,$L153,IF($L153&gt;=$J153,cfgRetakeRecordedCap,SUMIFS(nrES_Raw,nrES_PID,$D153,nrES_Code,$F153,nrES_Att,1))))))</f>
        <v/>
      </c>
      <c r="N153" s="15">
        <f>IF($C153="","",IF($L153="","",IF($L153&gt;=$J153,"Yes","No")))</f>
        <v/>
      </c>
      <c r="O153" s="15">
        <f>IF($C153="","",IF($M153="","",IF($M153&gt;=$J153,"Yes","No")))</f>
        <v/>
      </c>
      <c r="P153" s="15">
        <f>IF($C153="","",IF($K153="","",IF(COUNTIFS(nrES_PID,$D153,nrES_Code,$F153,nrES_Att,"&gt;"&amp;$K153)=0,"Yes","No")))</f>
        <v/>
      </c>
      <c r="Q153" s="15">
        <f>IF($C153="","",IF($L153="","",IF(AND($K153=1,$L153&lt;$J153,COUNTIFS(nrES_PID,$D153,nrES_Code,$F153,nrES_Att,2)=0),"Yes","No")))</f>
        <v/>
      </c>
      <c r="R153" s="15">
        <f>IF($C153="","",IF($L153="","",IF(AND($K153=2,$L153&lt;$J153,COUNTIFS(nrES_PID,$D153,nrES_Code,$F153,nrES_Att,1)&gt;0),"Yes","No")))</f>
        <v/>
      </c>
      <c r="S153" s="16" t="n"/>
      <c r="T153" s="17">
        <f>IF($Q153&lt;&gt;"Yes","",IF($S153="","(enter date)",_xlfn.LET(_xlpm.dn,IFERROR(_xlfn.XLOOKUP($S153,nrCDdate,nrCDnum),""),IF(_xlpm.dn="","(not a class day)",IFERROR(_xlfn.XLOOKUP(_xlpm.dn+cfgRetestClassDays,nrCDnum,nrCDdate),"")))))</f>
        <v/>
      </c>
      <c r="U153" s="15">
        <f>IF($Q153&lt;&gt;"Yes","",IF(COUNTIFS(nrES_PID,$D153,nrES_Code,$F153,nrES_Att,2)&gt;0,"Retested",IF(OR($T153="",NOT(ISNUMBER($T153))),"Pending",IF(TODAY()&gt;$T153,"OVERDUE","Due "&amp;TEXT($T153,"mm/dd")))))</f>
        <v/>
      </c>
      <c r="V153" s="14" t="n"/>
      <c r="W153" s="14" t="n"/>
    </row>
    <row r="154">
      <c r="B154" s="15">
        <f>IF($C154="","",$D154&amp;"-"&amp;$F154&amp;"-"&amp;$K154)</f>
        <v/>
      </c>
      <c r="C154" s="14" t="n"/>
      <c r="D154" s="15">
        <f>IF($C154="","",IFERROR(INDEX(rngCadetPIDs,MATCH($C154,rngCadetNames,0)),"?"))</f>
        <v/>
      </c>
      <c r="E154" s="15">
        <f>IF($D154="","",IFERROR(INDEX(nrCadetAgency,MATCH($D154,rngCadetPIDs,0)),""))</f>
        <v/>
      </c>
      <c r="F154" s="14" t="n"/>
      <c r="G154" s="15">
        <f>IF($F154="","",IFERROR(INDEX(rngEPname,MATCH($F154,rngEPcode,0)),"?"))</f>
        <v/>
      </c>
      <c r="H154" s="15">
        <f>IF($F154="","",IFERROR(INDEX(rngEPtype,MATCH($F154,rngEPcode,0)),"?"))</f>
        <v/>
      </c>
      <c r="I154" s="15">
        <f>IF($F154="","",IFERROR(INDEX(rngEPseq,MATCH($F154,rngEPcode,0)),""))</f>
        <v/>
      </c>
      <c r="J154" s="15">
        <f>IF($F154="","",IFERROR(INDEX(rngEPpass,MATCH($F154,rngEPcode,0)),cfgPassingScore))</f>
        <v/>
      </c>
      <c r="K154" s="14" t="n"/>
      <c r="L154" s="14" t="n"/>
      <c r="M154" s="15">
        <f>IF($C154="","",IF($L154="","",IF($K154=1,IF(COUNTIFS(nrES_PID,$D154,nrES_Code,$F154,nrES_Att,2)&gt;0,"",$L154),IF(COUNTIFS(nrES_PID,$D154,nrES_Code,$F154,nrES_Att,1)=0,$L154,IF($L154&gt;=$J154,cfgRetakeRecordedCap,SUMIFS(nrES_Raw,nrES_PID,$D154,nrES_Code,$F154,nrES_Att,1))))))</f>
        <v/>
      </c>
      <c r="N154" s="15">
        <f>IF($C154="","",IF($L154="","",IF($L154&gt;=$J154,"Yes","No")))</f>
        <v/>
      </c>
      <c r="O154" s="15">
        <f>IF($C154="","",IF($M154="","",IF($M154&gt;=$J154,"Yes","No")))</f>
        <v/>
      </c>
      <c r="P154" s="15">
        <f>IF($C154="","",IF($K154="","",IF(COUNTIFS(nrES_PID,$D154,nrES_Code,$F154,nrES_Att,"&gt;"&amp;$K154)=0,"Yes","No")))</f>
        <v/>
      </c>
      <c r="Q154" s="15">
        <f>IF($C154="","",IF($L154="","",IF(AND($K154=1,$L154&lt;$J154,COUNTIFS(nrES_PID,$D154,nrES_Code,$F154,nrES_Att,2)=0),"Yes","No")))</f>
        <v/>
      </c>
      <c r="R154" s="15">
        <f>IF($C154="","",IF($L154="","",IF(AND($K154=2,$L154&lt;$J154,COUNTIFS(nrES_PID,$D154,nrES_Code,$F154,nrES_Att,1)&gt;0),"Yes","No")))</f>
        <v/>
      </c>
      <c r="S154" s="16" t="n"/>
      <c r="T154" s="17">
        <f>IF($Q154&lt;&gt;"Yes","",IF($S154="","(enter date)",_xlfn.LET(_xlpm.dn,IFERROR(_xlfn.XLOOKUP($S154,nrCDdate,nrCDnum),""),IF(_xlpm.dn="","(not a class day)",IFERROR(_xlfn.XLOOKUP(_xlpm.dn+cfgRetestClassDays,nrCDnum,nrCDdate),"")))))</f>
        <v/>
      </c>
      <c r="U154" s="15">
        <f>IF($Q154&lt;&gt;"Yes","",IF(COUNTIFS(nrES_PID,$D154,nrES_Code,$F154,nrES_Att,2)&gt;0,"Retested",IF(OR($T154="",NOT(ISNUMBER($T154))),"Pending",IF(TODAY()&gt;$T154,"OVERDUE","Due "&amp;TEXT($T154,"mm/dd")))))</f>
        <v/>
      </c>
      <c r="V154" s="14" t="n"/>
      <c r="W154" s="14" t="n"/>
    </row>
    <row r="155">
      <c r="B155" s="15">
        <f>IF($C155="","",$D155&amp;"-"&amp;$F155&amp;"-"&amp;$K155)</f>
        <v/>
      </c>
      <c r="C155" s="14" t="n"/>
      <c r="D155" s="15">
        <f>IF($C155="","",IFERROR(INDEX(rngCadetPIDs,MATCH($C155,rngCadetNames,0)),"?"))</f>
        <v/>
      </c>
      <c r="E155" s="15">
        <f>IF($D155="","",IFERROR(INDEX(nrCadetAgency,MATCH($D155,rngCadetPIDs,0)),""))</f>
        <v/>
      </c>
      <c r="F155" s="14" t="n"/>
      <c r="G155" s="15">
        <f>IF($F155="","",IFERROR(INDEX(rngEPname,MATCH($F155,rngEPcode,0)),"?"))</f>
        <v/>
      </c>
      <c r="H155" s="15">
        <f>IF($F155="","",IFERROR(INDEX(rngEPtype,MATCH($F155,rngEPcode,0)),"?"))</f>
        <v/>
      </c>
      <c r="I155" s="15">
        <f>IF($F155="","",IFERROR(INDEX(rngEPseq,MATCH($F155,rngEPcode,0)),""))</f>
        <v/>
      </c>
      <c r="J155" s="15">
        <f>IF($F155="","",IFERROR(INDEX(rngEPpass,MATCH($F155,rngEPcode,0)),cfgPassingScore))</f>
        <v/>
      </c>
      <c r="K155" s="14" t="n"/>
      <c r="L155" s="14" t="n"/>
      <c r="M155" s="15">
        <f>IF($C155="","",IF($L155="","",IF($K155=1,IF(COUNTIFS(nrES_PID,$D155,nrES_Code,$F155,nrES_Att,2)&gt;0,"",$L155),IF(COUNTIFS(nrES_PID,$D155,nrES_Code,$F155,nrES_Att,1)=0,$L155,IF($L155&gt;=$J155,cfgRetakeRecordedCap,SUMIFS(nrES_Raw,nrES_PID,$D155,nrES_Code,$F155,nrES_Att,1))))))</f>
        <v/>
      </c>
      <c r="N155" s="15">
        <f>IF($C155="","",IF($L155="","",IF($L155&gt;=$J155,"Yes","No")))</f>
        <v/>
      </c>
      <c r="O155" s="15">
        <f>IF($C155="","",IF($M155="","",IF($M155&gt;=$J155,"Yes","No")))</f>
        <v/>
      </c>
      <c r="P155" s="15">
        <f>IF($C155="","",IF($K155="","",IF(COUNTIFS(nrES_PID,$D155,nrES_Code,$F155,nrES_Att,"&gt;"&amp;$K155)=0,"Yes","No")))</f>
        <v/>
      </c>
      <c r="Q155" s="15">
        <f>IF($C155="","",IF($L155="","",IF(AND($K155=1,$L155&lt;$J155,COUNTIFS(nrES_PID,$D155,nrES_Code,$F155,nrES_Att,2)=0),"Yes","No")))</f>
        <v/>
      </c>
      <c r="R155" s="15">
        <f>IF($C155="","",IF($L155="","",IF(AND($K155=2,$L155&lt;$J155,COUNTIFS(nrES_PID,$D155,nrES_Code,$F155,nrES_Att,1)&gt;0),"Yes","No")))</f>
        <v/>
      </c>
      <c r="S155" s="16" t="n"/>
      <c r="T155" s="17">
        <f>IF($Q155&lt;&gt;"Yes","",IF($S155="","(enter date)",_xlfn.LET(_xlpm.dn,IFERROR(_xlfn.XLOOKUP($S155,nrCDdate,nrCDnum),""),IF(_xlpm.dn="","(not a class day)",IFERROR(_xlfn.XLOOKUP(_xlpm.dn+cfgRetestClassDays,nrCDnum,nrCDdate),"")))))</f>
        <v/>
      </c>
      <c r="U155" s="15">
        <f>IF($Q155&lt;&gt;"Yes","",IF(COUNTIFS(nrES_PID,$D155,nrES_Code,$F155,nrES_Att,2)&gt;0,"Retested",IF(OR($T155="",NOT(ISNUMBER($T155))),"Pending",IF(TODAY()&gt;$T155,"OVERDUE","Due "&amp;TEXT($T155,"mm/dd")))))</f>
        <v/>
      </c>
      <c r="V155" s="14" t="n"/>
      <c r="W155" s="14" t="n"/>
    </row>
    <row r="156">
      <c r="B156" s="15">
        <f>IF($C156="","",$D156&amp;"-"&amp;$F156&amp;"-"&amp;$K156)</f>
        <v/>
      </c>
      <c r="C156" s="14" t="n"/>
      <c r="D156" s="15">
        <f>IF($C156="","",IFERROR(INDEX(rngCadetPIDs,MATCH($C156,rngCadetNames,0)),"?"))</f>
        <v/>
      </c>
      <c r="E156" s="15">
        <f>IF($D156="","",IFERROR(INDEX(nrCadetAgency,MATCH($D156,rngCadetPIDs,0)),""))</f>
        <v/>
      </c>
      <c r="F156" s="14" t="n"/>
      <c r="G156" s="15">
        <f>IF($F156="","",IFERROR(INDEX(rngEPname,MATCH($F156,rngEPcode,0)),"?"))</f>
        <v/>
      </c>
      <c r="H156" s="15">
        <f>IF($F156="","",IFERROR(INDEX(rngEPtype,MATCH($F156,rngEPcode,0)),"?"))</f>
        <v/>
      </c>
      <c r="I156" s="15">
        <f>IF($F156="","",IFERROR(INDEX(rngEPseq,MATCH($F156,rngEPcode,0)),""))</f>
        <v/>
      </c>
      <c r="J156" s="15">
        <f>IF($F156="","",IFERROR(INDEX(rngEPpass,MATCH($F156,rngEPcode,0)),cfgPassingScore))</f>
        <v/>
      </c>
      <c r="K156" s="14" t="n"/>
      <c r="L156" s="14" t="n"/>
      <c r="M156" s="15">
        <f>IF($C156="","",IF($L156="","",IF($K156=1,IF(COUNTIFS(nrES_PID,$D156,nrES_Code,$F156,nrES_Att,2)&gt;0,"",$L156),IF(COUNTIFS(nrES_PID,$D156,nrES_Code,$F156,nrES_Att,1)=0,$L156,IF($L156&gt;=$J156,cfgRetakeRecordedCap,SUMIFS(nrES_Raw,nrES_PID,$D156,nrES_Code,$F156,nrES_Att,1))))))</f>
        <v/>
      </c>
      <c r="N156" s="15">
        <f>IF($C156="","",IF($L156="","",IF($L156&gt;=$J156,"Yes","No")))</f>
        <v/>
      </c>
      <c r="O156" s="15">
        <f>IF($C156="","",IF($M156="","",IF($M156&gt;=$J156,"Yes","No")))</f>
        <v/>
      </c>
      <c r="P156" s="15">
        <f>IF($C156="","",IF($K156="","",IF(COUNTIFS(nrES_PID,$D156,nrES_Code,$F156,nrES_Att,"&gt;"&amp;$K156)=0,"Yes","No")))</f>
        <v/>
      </c>
      <c r="Q156" s="15">
        <f>IF($C156="","",IF($L156="","",IF(AND($K156=1,$L156&lt;$J156,COUNTIFS(nrES_PID,$D156,nrES_Code,$F156,nrES_Att,2)=0),"Yes","No")))</f>
        <v/>
      </c>
      <c r="R156" s="15">
        <f>IF($C156="","",IF($L156="","",IF(AND($K156=2,$L156&lt;$J156,COUNTIFS(nrES_PID,$D156,nrES_Code,$F156,nrES_Att,1)&gt;0),"Yes","No")))</f>
        <v/>
      </c>
      <c r="S156" s="16" t="n"/>
      <c r="T156" s="17">
        <f>IF($Q156&lt;&gt;"Yes","",IF($S156="","(enter date)",_xlfn.LET(_xlpm.dn,IFERROR(_xlfn.XLOOKUP($S156,nrCDdate,nrCDnum),""),IF(_xlpm.dn="","(not a class day)",IFERROR(_xlfn.XLOOKUP(_xlpm.dn+cfgRetestClassDays,nrCDnum,nrCDdate),"")))))</f>
        <v/>
      </c>
      <c r="U156" s="15">
        <f>IF($Q156&lt;&gt;"Yes","",IF(COUNTIFS(nrES_PID,$D156,nrES_Code,$F156,nrES_Att,2)&gt;0,"Retested",IF(OR($T156="",NOT(ISNUMBER($T156))),"Pending",IF(TODAY()&gt;$T156,"OVERDUE","Due "&amp;TEXT($T156,"mm/dd")))))</f>
        <v/>
      </c>
      <c r="V156" s="14" t="n"/>
      <c r="W156" s="14" t="n"/>
    </row>
    <row r="157">
      <c r="B157" s="15">
        <f>IF($C157="","",$D157&amp;"-"&amp;$F157&amp;"-"&amp;$K157)</f>
        <v/>
      </c>
      <c r="C157" s="14" t="n"/>
      <c r="D157" s="15">
        <f>IF($C157="","",IFERROR(INDEX(rngCadetPIDs,MATCH($C157,rngCadetNames,0)),"?"))</f>
        <v/>
      </c>
      <c r="E157" s="15">
        <f>IF($D157="","",IFERROR(INDEX(nrCadetAgency,MATCH($D157,rngCadetPIDs,0)),""))</f>
        <v/>
      </c>
      <c r="F157" s="14" t="n"/>
      <c r="G157" s="15">
        <f>IF($F157="","",IFERROR(INDEX(rngEPname,MATCH($F157,rngEPcode,0)),"?"))</f>
        <v/>
      </c>
      <c r="H157" s="15">
        <f>IF($F157="","",IFERROR(INDEX(rngEPtype,MATCH($F157,rngEPcode,0)),"?"))</f>
        <v/>
      </c>
      <c r="I157" s="15">
        <f>IF($F157="","",IFERROR(INDEX(rngEPseq,MATCH($F157,rngEPcode,0)),""))</f>
        <v/>
      </c>
      <c r="J157" s="15">
        <f>IF($F157="","",IFERROR(INDEX(rngEPpass,MATCH($F157,rngEPcode,0)),cfgPassingScore))</f>
        <v/>
      </c>
      <c r="K157" s="14" t="n"/>
      <c r="L157" s="14" t="n"/>
      <c r="M157" s="15">
        <f>IF($C157="","",IF($L157="","",IF($K157=1,IF(COUNTIFS(nrES_PID,$D157,nrES_Code,$F157,nrES_Att,2)&gt;0,"",$L157),IF(COUNTIFS(nrES_PID,$D157,nrES_Code,$F157,nrES_Att,1)=0,$L157,IF($L157&gt;=$J157,cfgRetakeRecordedCap,SUMIFS(nrES_Raw,nrES_PID,$D157,nrES_Code,$F157,nrES_Att,1))))))</f>
        <v/>
      </c>
      <c r="N157" s="15">
        <f>IF($C157="","",IF($L157="","",IF($L157&gt;=$J157,"Yes","No")))</f>
        <v/>
      </c>
      <c r="O157" s="15">
        <f>IF($C157="","",IF($M157="","",IF($M157&gt;=$J157,"Yes","No")))</f>
        <v/>
      </c>
      <c r="P157" s="15">
        <f>IF($C157="","",IF($K157="","",IF(COUNTIFS(nrES_PID,$D157,nrES_Code,$F157,nrES_Att,"&gt;"&amp;$K157)=0,"Yes","No")))</f>
        <v/>
      </c>
      <c r="Q157" s="15">
        <f>IF($C157="","",IF($L157="","",IF(AND($K157=1,$L157&lt;$J157,COUNTIFS(nrES_PID,$D157,nrES_Code,$F157,nrES_Att,2)=0),"Yes","No")))</f>
        <v/>
      </c>
      <c r="R157" s="15">
        <f>IF($C157="","",IF($L157="","",IF(AND($K157=2,$L157&lt;$J157,COUNTIFS(nrES_PID,$D157,nrES_Code,$F157,nrES_Att,1)&gt;0),"Yes","No")))</f>
        <v/>
      </c>
      <c r="S157" s="16" t="n"/>
      <c r="T157" s="17">
        <f>IF($Q157&lt;&gt;"Yes","",IF($S157="","(enter date)",_xlfn.LET(_xlpm.dn,IFERROR(_xlfn.XLOOKUP($S157,nrCDdate,nrCDnum),""),IF(_xlpm.dn="","(not a class day)",IFERROR(_xlfn.XLOOKUP(_xlpm.dn+cfgRetestClassDays,nrCDnum,nrCDdate),"")))))</f>
        <v/>
      </c>
      <c r="U157" s="15">
        <f>IF($Q157&lt;&gt;"Yes","",IF(COUNTIFS(nrES_PID,$D157,nrES_Code,$F157,nrES_Att,2)&gt;0,"Retested",IF(OR($T157="",NOT(ISNUMBER($T157))),"Pending",IF(TODAY()&gt;$T157,"OVERDUE","Due "&amp;TEXT($T157,"mm/dd")))))</f>
        <v/>
      </c>
      <c r="V157" s="14" t="n"/>
      <c r="W157" s="14" t="n"/>
    </row>
    <row r="158">
      <c r="B158" s="15">
        <f>IF($C158="","",$D158&amp;"-"&amp;$F158&amp;"-"&amp;$K158)</f>
        <v/>
      </c>
      <c r="C158" s="14" t="n"/>
      <c r="D158" s="15">
        <f>IF($C158="","",IFERROR(INDEX(rngCadetPIDs,MATCH($C158,rngCadetNames,0)),"?"))</f>
        <v/>
      </c>
      <c r="E158" s="15">
        <f>IF($D158="","",IFERROR(INDEX(nrCadetAgency,MATCH($D158,rngCadetPIDs,0)),""))</f>
        <v/>
      </c>
      <c r="F158" s="14" t="n"/>
      <c r="G158" s="15">
        <f>IF($F158="","",IFERROR(INDEX(rngEPname,MATCH($F158,rngEPcode,0)),"?"))</f>
        <v/>
      </c>
      <c r="H158" s="15">
        <f>IF($F158="","",IFERROR(INDEX(rngEPtype,MATCH($F158,rngEPcode,0)),"?"))</f>
        <v/>
      </c>
      <c r="I158" s="15">
        <f>IF($F158="","",IFERROR(INDEX(rngEPseq,MATCH($F158,rngEPcode,0)),""))</f>
        <v/>
      </c>
      <c r="J158" s="15">
        <f>IF($F158="","",IFERROR(INDEX(rngEPpass,MATCH($F158,rngEPcode,0)),cfgPassingScore))</f>
        <v/>
      </c>
      <c r="K158" s="14" t="n"/>
      <c r="L158" s="14" t="n"/>
      <c r="M158" s="15">
        <f>IF($C158="","",IF($L158="","",IF($K158=1,IF(COUNTIFS(nrES_PID,$D158,nrES_Code,$F158,nrES_Att,2)&gt;0,"",$L158),IF(COUNTIFS(nrES_PID,$D158,nrES_Code,$F158,nrES_Att,1)=0,$L158,IF($L158&gt;=$J158,cfgRetakeRecordedCap,SUMIFS(nrES_Raw,nrES_PID,$D158,nrES_Code,$F158,nrES_Att,1))))))</f>
        <v/>
      </c>
      <c r="N158" s="15">
        <f>IF($C158="","",IF($L158="","",IF($L158&gt;=$J158,"Yes","No")))</f>
        <v/>
      </c>
      <c r="O158" s="15">
        <f>IF($C158="","",IF($M158="","",IF($M158&gt;=$J158,"Yes","No")))</f>
        <v/>
      </c>
      <c r="P158" s="15">
        <f>IF($C158="","",IF($K158="","",IF(COUNTIFS(nrES_PID,$D158,nrES_Code,$F158,nrES_Att,"&gt;"&amp;$K158)=0,"Yes","No")))</f>
        <v/>
      </c>
      <c r="Q158" s="15">
        <f>IF($C158="","",IF($L158="","",IF(AND($K158=1,$L158&lt;$J158,COUNTIFS(nrES_PID,$D158,nrES_Code,$F158,nrES_Att,2)=0),"Yes","No")))</f>
        <v/>
      </c>
      <c r="R158" s="15">
        <f>IF($C158="","",IF($L158="","",IF(AND($K158=2,$L158&lt;$J158,COUNTIFS(nrES_PID,$D158,nrES_Code,$F158,nrES_Att,1)&gt;0),"Yes","No")))</f>
        <v/>
      </c>
      <c r="S158" s="16" t="n"/>
      <c r="T158" s="17">
        <f>IF($Q158&lt;&gt;"Yes","",IF($S158="","(enter date)",_xlfn.LET(_xlpm.dn,IFERROR(_xlfn.XLOOKUP($S158,nrCDdate,nrCDnum),""),IF(_xlpm.dn="","(not a class day)",IFERROR(_xlfn.XLOOKUP(_xlpm.dn+cfgRetestClassDays,nrCDnum,nrCDdate),"")))))</f>
        <v/>
      </c>
      <c r="U158" s="15">
        <f>IF($Q158&lt;&gt;"Yes","",IF(COUNTIFS(nrES_PID,$D158,nrES_Code,$F158,nrES_Att,2)&gt;0,"Retested",IF(OR($T158="",NOT(ISNUMBER($T158))),"Pending",IF(TODAY()&gt;$T158,"OVERDUE","Due "&amp;TEXT($T158,"mm/dd")))))</f>
        <v/>
      </c>
      <c r="V158" s="14" t="n"/>
      <c r="W158" s="14" t="n"/>
    </row>
    <row r="159">
      <c r="B159" s="15">
        <f>IF($C159="","",$D159&amp;"-"&amp;$F159&amp;"-"&amp;$K159)</f>
        <v/>
      </c>
      <c r="C159" s="14" t="n"/>
      <c r="D159" s="15">
        <f>IF($C159="","",IFERROR(INDEX(rngCadetPIDs,MATCH($C159,rngCadetNames,0)),"?"))</f>
        <v/>
      </c>
      <c r="E159" s="15">
        <f>IF($D159="","",IFERROR(INDEX(nrCadetAgency,MATCH($D159,rngCadetPIDs,0)),""))</f>
        <v/>
      </c>
      <c r="F159" s="14" t="n"/>
      <c r="G159" s="15">
        <f>IF($F159="","",IFERROR(INDEX(rngEPname,MATCH($F159,rngEPcode,0)),"?"))</f>
        <v/>
      </c>
      <c r="H159" s="15">
        <f>IF($F159="","",IFERROR(INDEX(rngEPtype,MATCH($F159,rngEPcode,0)),"?"))</f>
        <v/>
      </c>
      <c r="I159" s="15">
        <f>IF($F159="","",IFERROR(INDEX(rngEPseq,MATCH($F159,rngEPcode,0)),""))</f>
        <v/>
      </c>
      <c r="J159" s="15">
        <f>IF($F159="","",IFERROR(INDEX(rngEPpass,MATCH($F159,rngEPcode,0)),cfgPassingScore))</f>
        <v/>
      </c>
      <c r="K159" s="14" t="n"/>
      <c r="L159" s="14" t="n"/>
      <c r="M159" s="15">
        <f>IF($C159="","",IF($L159="","",IF($K159=1,IF(COUNTIFS(nrES_PID,$D159,nrES_Code,$F159,nrES_Att,2)&gt;0,"",$L159),IF(COUNTIFS(nrES_PID,$D159,nrES_Code,$F159,nrES_Att,1)=0,$L159,IF($L159&gt;=$J159,cfgRetakeRecordedCap,SUMIFS(nrES_Raw,nrES_PID,$D159,nrES_Code,$F159,nrES_Att,1))))))</f>
        <v/>
      </c>
      <c r="N159" s="15">
        <f>IF($C159="","",IF($L159="","",IF($L159&gt;=$J159,"Yes","No")))</f>
        <v/>
      </c>
      <c r="O159" s="15">
        <f>IF($C159="","",IF($M159="","",IF($M159&gt;=$J159,"Yes","No")))</f>
        <v/>
      </c>
      <c r="P159" s="15">
        <f>IF($C159="","",IF($K159="","",IF(COUNTIFS(nrES_PID,$D159,nrES_Code,$F159,nrES_Att,"&gt;"&amp;$K159)=0,"Yes","No")))</f>
        <v/>
      </c>
      <c r="Q159" s="15">
        <f>IF($C159="","",IF($L159="","",IF(AND($K159=1,$L159&lt;$J159,COUNTIFS(nrES_PID,$D159,nrES_Code,$F159,nrES_Att,2)=0),"Yes","No")))</f>
        <v/>
      </c>
      <c r="R159" s="15">
        <f>IF($C159="","",IF($L159="","",IF(AND($K159=2,$L159&lt;$J159,COUNTIFS(nrES_PID,$D159,nrES_Code,$F159,nrES_Att,1)&gt;0),"Yes","No")))</f>
        <v/>
      </c>
      <c r="S159" s="16" t="n"/>
      <c r="T159" s="17">
        <f>IF($Q159&lt;&gt;"Yes","",IF($S159="","(enter date)",_xlfn.LET(_xlpm.dn,IFERROR(_xlfn.XLOOKUP($S159,nrCDdate,nrCDnum),""),IF(_xlpm.dn="","(not a class day)",IFERROR(_xlfn.XLOOKUP(_xlpm.dn+cfgRetestClassDays,nrCDnum,nrCDdate),"")))))</f>
        <v/>
      </c>
      <c r="U159" s="15">
        <f>IF($Q159&lt;&gt;"Yes","",IF(COUNTIFS(nrES_PID,$D159,nrES_Code,$F159,nrES_Att,2)&gt;0,"Retested",IF(OR($T159="",NOT(ISNUMBER($T159))),"Pending",IF(TODAY()&gt;$T159,"OVERDUE","Due "&amp;TEXT($T159,"mm/dd")))))</f>
        <v/>
      </c>
      <c r="V159" s="14" t="n"/>
      <c r="W159" s="14" t="n"/>
    </row>
    <row r="160">
      <c r="B160" s="15">
        <f>IF($C160="","",$D160&amp;"-"&amp;$F160&amp;"-"&amp;$K160)</f>
        <v/>
      </c>
      <c r="C160" s="14" t="n"/>
      <c r="D160" s="15">
        <f>IF($C160="","",IFERROR(INDEX(rngCadetPIDs,MATCH($C160,rngCadetNames,0)),"?"))</f>
        <v/>
      </c>
      <c r="E160" s="15">
        <f>IF($D160="","",IFERROR(INDEX(nrCadetAgency,MATCH($D160,rngCadetPIDs,0)),""))</f>
        <v/>
      </c>
      <c r="F160" s="14" t="n"/>
      <c r="G160" s="15">
        <f>IF($F160="","",IFERROR(INDEX(rngEPname,MATCH($F160,rngEPcode,0)),"?"))</f>
        <v/>
      </c>
      <c r="H160" s="15">
        <f>IF($F160="","",IFERROR(INDEX(rngEPtype,MATCH($F160,rngEPcode,0)),"?"))</f>
        <v/>
      </c>
      <c r="I160" s="15">
        <f>IF($F160="","",IFERROR(INDEX(rngEPseq,MATCH($F160,rngEPcode,0)),""))</f>
        <v/>
      </c>
      <c r="J160" s="15">
        <f>IF($F160="","",IFERROR(INDEX(rngEPpass,MATCH($F160,rngEPcode,0)),cfgPassingScore))</f>
        <v/>
      </c>
      <c r="K160" s="14" t="n"/>
      <c r="L160" s="14" t="n"/>
      <c r="M160" s="15">
        <f>IF($C160="","",IF($L160="","",IF($K160=1,IF(COUNTIFS(nrES_PID,$D160,nrES_Code,$F160,nrES_Att,2)&gt;0,"",$L160),IF(COUNTIFS(nrES_PID,$D160,nrES_Code,$F160,nrES_Att,1)=0,$L160,IF($L160&gt;=$J160,cfgRetakeRecordedCap,SUMIFS(nrES_Raw,nrES_PID,$D160,nrES_Code,$F160,nrES_Att,1))))))</f>
        <v/>
      </c>
      <c r="N160" s="15">
        <f>IF($C160="","",IF($L160="","",IF($L160&gt;=$J160,"Yes","No")))</f>
        <v/>
      </c>
      <c r="O160" s="15">
        <f>IF($C160="","",IF($M160="","",IF($M160&gt;=$J160,"Yes","No")))</f>
        <v/>
      </c>
      <c r="P160" s="15">
        <f>IF($C160="","",IF($K160="","",IF(COUNTIFS(nrES_PID,$D160,nrES_Code,$F160,nrES_Att,"&gt;"&amp;$K160)=0,"Yes","No")))</f>
        <v/>
      </c>
      <c r="Q160" s="15">
        <f>IF($C160="","",IF($L160="","",IF(AND($K160=1,$L160&lt;$J160,COUNTIFS(nrES_PID,$D160,nrES_Code,$F160,nrES_Att,2)=0),"Yes","No")))</f>
        <v/>
      </c>
      <c r="R160" s="15">
        <f>IF($C160="","",IF($L160="","",IF(AND($K160=2,$L160&lt;$J160,COUNTIFS(nrES_PID,$D160,nrES_Code,$F160,nrES_Att,1)&gt;0),"Yes","No")))</f>
        <v/>
      </c>
      <c r="S160" s="16" t="n"/>
      <c r="T160" s="17">
        <f>IF($Q160&lt;&gt;"Yes","",IF($S160="","(enter date)",_xlfn.LET(_xlpm.dn,IFERROR(_xlfn.XLOOKUP($S160,nrCDdate,nrCDnum),""),IF(_xlpm.dn="","(not a class day)",IFERROR(_xlfn.XLOOKUP(_xlpm.dn+cfgRetestClassDays,nrCDnum,nrCDdate),"")))))</f>
        <v/>
      </c>
      <c r="U160" s="15">
        <f>IF($Q160&lt;&gt;"Yes","",IF(COUNTIFS(nrES_PID,$D160,nrES_Code,$F160,nrES_Att,2)&gt;0,"Retested",IF(OR($T160="",NOT(ISNUMBER($T160))),"Pending",IF(TODAY()&gt;$T160,"OVERDUE","Due "&amp;TEXT($T160,"mm/dd")))))</f>
        <v/>
      </c>
      <c r="V160" s="14" t="n"/>
      <c r="W160" s="14" t="n"/>
    </row>
    <row r="161">
      <c r="B161" s="15">
        <f>IF($C161="","",$D161&amp;"-"&amp;$F161&amp;"-"&amp;$K161)</f>
        <v/>
      </c>
      <c r="C161" s="14" t="n"/>
      <c r="D161" s="15">
        <f>IF($C161="","",IFERROR(INDEX(rngCadetPIDs,MATCH($C161,rngCadetNames,0)),"?"))</f>
        <v/>
      </c>
      <c r="E161" s="15">
        <f>IF($D161="","",IFERROR(INDEX(nrCadetAgency,MATCH($D161,rngCadetPIDs,0)),""))</f>
        <v/>
      </c>
      <c r="F161" s="14" t="n"/>
      <c r="G161" s="15">
        <f>IF($F161="","",IFERROR(INDEX(rngEPname,MATCH($F161,rngEPcode,0)),"?"))</f>
        <v/>
      </c>
      <c r="H161" s="15">
        <f>IF($F161="","",IFERROR(INDEX(rngEPtype,MATCH($F161,rngEPcode,0)),"?"))</f>
        <v/>
      </c>
      <c r="I161" s="15">
        <f>IF($F161="","",IFERROR(INDEX(rngEPseq,MATCH($F161,rngEPcode,0)),""))</f>
        <v/>
      </c>
      <c r="J161" s="15">
        <f>IF($F161="","",IFERROR(INDEX(rngEPpass,MATCH($F161,rngEPcode,0)),cfgPassingScore))</f>
        <v/>
      </c>
      <c r="K161" s="14" t="n"/>
      <c r="L161" s="14" t="n"/>
      <c r="M161" s="15">
        <f>IF($C161="","",IF($L161="","",IF($K161=1,IF(COUNTIFS(nrES_PID,$D161,nrES_Code,$F161,nrES_Att,2)&gt;0,"",$L161),IF(COUNTIFS(nrES_PID,$D161,nrES_Code,$F161,nrES_Att,1)=0,$L161,IF($L161&gt;=$J161,cfgRetakeRecordedCap,SUMIFS(nrES_Raw,nrES_PID,$D161,nrES_Code,$F161,nrES_Att,1))))))</f>
        <v/>
      </c>
      <c r="N161" s="15">
        <f>IF($C161="","",IF($L161="","",IF($L161&gt;=$J161,"Yes","No")))</f>
        <v/>
      </c>
      <c r="O161" s="15">
        <f>IF($C161="","",IF($M161="","",IF($M161&gt;=$J161,"Yes","No")))</f>
        <v/>
      </c>
      <c r="P161" s="15">
        <f>IF($C161="","",IF($K161="","",IF(COUNTIFS(nrES_PID,$D161,nrES_Code,$F161,nrES_Att,"&gt;"&amp;$K161)=0,"Yes","No")))</f>
        <v/>
      </c>
      <c r="Q161" s="15">
        <f>IF($C161="","",IF($L161="","",IF(AND($K161=1,$L161&lt;$J161,COUNTIFS(nrES_PID,$D161,nrES_Code,$F161,nrES_Att,2)=0),"Yes","No")))</f>
        <v/>
      </c>
      <c r="R161" s="15">
        <f>IF($C161="","",IF($L161="","",IF(AND($K161=2,$L161&lt;$J161,COUNTIFS(nrES_PID,$D161,nrES_Code,$F161,nrES_Att,1)&gt;0),"Yes","No")))</f>
        <v/>
      </c>
      <c r="S161" s="16" t="n"/>
      <c r="T161" s="17">
        <f>IF($Q161&lt;&gt;"Yes","",IF($S161="","(enter date)",_xlfn.LET(_xlpm.dn,IFERROR(_xlfn.XLOOKUP($S161,nrCDdate,nrCDnum),""),IF(_xlpm.dn="","(not a class day)",IFERROR(_xlfn.XLOOKUP(_xlpm.dn+cfgRetestClassDays,nrCDnum,nrCDdate),"")))))</f>
        <v/>
      </c>
      <c r="U161" s="15">
        <f>IF($Q161&lt;&gt;"Yes","",IF(COUNTIFS(nrES_PID,$D161,nrES_Code,$F161,nrES_Att,2)&gt;0,"Retested",IF(OR($T161="",NOT(ISNUMBER($T161))),"Pending",IF(TODAY()&gt;$T161,"OVERDUE","Due "&amp;TEXT($T161,"mm/dd")))))</f>
        <v/>
      </c>
      <c r="V161" s="14" t="n"/>
      <c r="W161" s="14" t="n"/>
    </row>
    <row r="162">
      <c r="B162" s="15">
        <f>IF($C162="","",$D162&amp;"-"&amp;$F162&amp;"-"&amp;$K162)</f>
        <v/>
      </c>
      <c r="C162" s="14" t="n"/>
      <c r="D162" s="15">
        <f>IF($C162="","",IFERROR(INDEX(rngCadetPIDs,MATCH($C162,rngCadetNames,0)),"?"))</f>
        <v/>
      </c>
      <c r="E162" s="15">
        <f>IF($D162="","",IFERROR(INDEX(nrCadetAgency,MATCH($D162,rngCadetPIDs,0)),""))</f>
        <v/>
      </c>
      <c r="F162" s="14" t="n"/>
      <c r="G162" s="15">
        <f>IF($F162="","",IFERROR(INDEX(rngEPname,MATCH($F162,rngEPcode,0)),"?"))</f>
        <v/>
      </c>
      <c r="H162" s="15">
        <f>IF($F162="","",IFERROR(INDEX(rngEPtype,MATCH($F162,rngEPcode,0)),"?"))</f>
        <v/>
      </c>
      <c r="I162" s="15">
        <f>IF($F162="","",IFERROR(INDEX(rngEPseq,MATCH($F162,rngEPcode,0)),""))</f>
        <v/>
      </c>
      <c r="J162" s="15">
        <f>IF($F162="","",IFERROR(INDEX(rngEPpass,MATCH($F162,rngEPcode,0)),cfgPassingScore))</f>
        <v/>
      </c>
      <c r="K162" s="14" t="n"/>
      <c r="L162" s="14" t="n"/>
      <c r="M162" s="15">
        <f>IF($C162="","",IF($L162="","",IF($K162=1,IF(COUNTIFS(nrES_PID,$D162,nrES_Code,$F162,nrES_Att,2)&gt;0,"",$L162),IF(COUNTIFS(nrES_PID,$D162,nrES_Code,$F162,nrES_Att,1)=0,$L162,IF($L162&gt;=$J162,cfgRetakeRecordedCap,SUMIFS(nrES_Raw,nrES_PID,$D162,nrES_Code,$F162,nrES_Att,1))))))</f>
        <v/>
      </c>
      <c r="N162" s="15">
        <f>IF($C162="","",IF($L162="","",IF($L162&gt;=$J162,"Yes","No")))</f>
        <v/>
      </c>
      <c r="O162" s="15">
        <f>IF($C162="","",IF($M162="","",IF($M162&gt;=$J162,"Yes","No")))</f>
        <v/>
      </c>
      <c r="P162" s="15">
        <f>IF($C162="","",IF($K162="","",IF(COUNTIFS(nrES_PID,$D162,nrES_Code,$F162,nrES_Att,"&gt;"&amp;$K162)=0,"Yes","No")))</f>
        <v/>
      </c>
      <c r="Q162" s="15">
        <f>IF($C162="","",IF($L162="","",IF(AND($K162=1,$L162&lt;$J162,COUNTIFS(nrES_PID,$D162,nrES_Code,$F162,nrES_Att,2)=0),"Yes","No")))</f>
        <v/>
      </c>
      <c r="R162" s="15">
        <f>IF($C162="","",IF($L162="","",IF(AND($K162=2,$L162&lt;$J162,COUNTIFS(nrES_PID,$D162,nrES_Code,$F162,nrES_Att,1)&gt;0),"Yes","No")))</f>
        <v/>
      </c>
      <c r="S162" s="16" t="n"/>
      <c r="T162" s="17">
        <f>IF($Q162&lt;&gt;"Yes","",IF($S162="","(enter date)",_xlfn.LET(_xlpm.dn,IFERROR(_xlfn.XLOOKUP($S162,nrCDdate,nrCDnum),""),IF(_xlpm.dn="","(not a class day)",IFERROR(_xlfn.XLOOKUP(_xlpm.dn+cfgRetestClassDays,nrCDnum,nrCDdate),"")))))</f>
        <v/>
      </c>
      <c r="U162" s="15">
        <f>IF($Q162&lt;&gt;"Yes","",IF(COUNTIFS(nrES_PID,$D162,nrES_Code,$F162,nrES_Att,2)&gt;0,"Retested",IF(OR($T162="",NOT(ISNUMBER($T162))),"Pending",IF(TODAY()&gt;$T162,"OVERDUE","Due "&amp;TEXT($T162,"mm/dd")))))</f>
        <v/>
      </c>
      <c r="V162" s="14" t="n"/>
      <c r="W162" s="14" t="n"/>
    </row>
    <row r="163">
      <c r="B163" s="15">
        <f>IF($C163="","",$D163&amp;"-"&amp;$F163&amp;"-"&amp;$K163)</f>
        <v/>
      </c>
      <c r="C163" s="14" t="n"/>
      <c r="D163" s="15">
        <f>IF($C163="","",IFERROR(INDEX(rngCadetPIDs,MATCH($C163,rngCadetNames,0)),"?"))</f>
        <v/>
      </c>
      <c r="E163" s="15">
        <f>IF($D163="","",IFERROR(INDEX(nrCadetAgency,MATCH($D163,rngCadetPIDs,0)),""))</f>
        <v/>
      </c>
      <c r="F163" s="14" t="n"/>
      <c r="G163" s="15">
        <f>IF($F163="","",IFERROR(INDEX(rngEPname,MATCH($F163,rngEPcode,0)),"?"))</f>
        <v/>
      </c>
      <c r="H163" s="15">
        <f>IF($F163="","",IFERROR(INDEX(rngEPtype,MATCH($F163,rngEPcode,0)),"?"))</f>
        <v/>
      </c>
      <c r="I163" s="15">
        <f>IF($F163="","",IFERROR(INDEX(rngEPseq,MATCH($F163,rngEPcode,0)),""))</f>
        <v/>
      </c>
      <c r="J163" s="15">
        <f>IF($F163="","",IFERROR(INDEX(rngEPpass,MATCH($F163,rngEPcode,0)),cfgPassingScore))</f>
        <v/>
      </c>
      <c r="K163" s="14" t="n"/>
      <c r="L163" s="14" t="n"/>
      <c r="M163" s="15">
        <f>IF($C163="","",IF($L163="","",IF($K163=1,IF(COUNTIFS(nrES_PID,$D163,nrES_Code,$F163,nrES_Att,2)&gt;0,"",$L163),IF(COUNTIFS(nrES_PID,$D163,nrES_Code,$F163,nrES_Att,1)=0,$L163,IF($L163&gt;=$J163,cfgRetakeRecordedCap,SUMIFS(nrES_Raw,nrES_PID,$D163,nrES_Code,$F163,nrES_Att,1))))))</f>
        <v/>
      </c>
      <c r="N163" s="15">
        <f>IF($C163="","",IF($L163="","",IF($L163&gt;=$J163,"Yes","No")))</f>
        <v/>
      </c>
      <c r="O163" s="15">
        <f>IF($C163="","",IF($M163="","",IF($M163&gt;=$J163,"Yes","No")))</f>
        <v/>
      </c>
      <c r="P163" s="15">
        <f>IF($C163="","",IF($K163="","",IF(COUNTIFS(nrES_PID,$D163,nrES_Code,$F163,nrES_Att,"&gt;"&amp;$K163)=0,"Yes","No")))</f>
        <v/>
      </c>
      <c r="Q163" s="15">
        <f>IF($C163="","",IF($L163="","",IF(AND($K163=1,$L163&lt;$J163,COUNTIFS(nrES_PID,$D163,nrES_Code,$F163,nrES_Att,2)=0),"Yes","No")))</f>
        <v/>
      </c>
      <c r="R163" s="15">
        <f>IF($C163="","",IF($L163="","",IF(AND($K163=2,$L163&lt;$J163,COUNTIFS(nrES_PID,$D163,nrES_Code,$F163,nrES_Att,1)&gt;0),"Yes","No")))</f>
        <v/>
      </c>
      <c r="S163" s="16" t="n"/>
      <c r="T163" s="17">
        <f>IF($Q163&lt;&gt;"Yes","",IF($S163="","(enter date)",_xlfn.LET(_xlpm.dn,IFERROR(_xlfn.XLOOKUP($S163,nrCDdate,nrCDnum),""),IF(_xlpm.dn="","(not a class day)",IFERROR(_xlfn.XLOOKUP(_xlpm.dn+cfgRetestClassDays,nrCDnum,nrCDdate),"")))))</f>
        <v/>
      </c>
      <c r="U163" s="15">
        <f>IF($Q163&lt;&gt;"Yes","",IF(COUNTIFS(nrES_PID,$D163,nrES_Code,$F163,nrES_Att,2)&gt;0,"Retested",IF(OR($T163="",NOT(ISNUMBER($T163))),"Pending",IF(TODAY()&gt;$T163,"OVERDUE","Due "&amp;TEXT($T163,"mm/dd")))))</f>
        <v/>
      </c>
      <c r="V163" s="14" t="n"/>
      <c r="W163" s="14" t="n"/>
    </row>
    <row r="164">
      <c r="B164" s="15">
        <f>IF($C164="","",$D164&amp;"-"&amp;$F164&amp;"-"&amp;$K164)</f>
        <v/>
      </c>
      <c r="C164" s="14" t="n"/>
      <c r="D164" s="15">
        <f>IF($C164="","",IFERROR(INDEX(rngCadetPIDs,MATCH($C164,rngCadetNames,0)),"?"))</f>
        <v/>
      </c>
      <c r="E164" s="15">
        <f>IF($D164="","",IFERROR(INDEX(nrCadetAgency,MATCH($D164,rngCadetPIDs,0)),""))</f>
        <v/>
      </c>
      <c r="F164" s="14" t="n"/>
      <c r="G164" s="15">
        <f>IF($F164="","",IFERROR(INDEX(rngEPname,MATCH($F164,rngEPcode,0)),"?"))</f>
        <v/>
      </c>
      <c r="H164" s="15">
        <f>IF($F164="","",IFERROR(INDEX(rngEPtype,MATCH($F164,rngEPcode,0)),"?"))</f>
        <v/>
      </c>
      <c r="I164" s="15">
        <f>IF($F164="","",IFERROR(INDEX(rngEPseq,MATCH($F164,rngEPcode,0)),""))</f>
        <v/>
      </c>
      <c r="J164" s="15">
        <f>IF($F164="","",IFERROR(INDEX(rngEPpass,MATCH($F164,rngEPcode,0)),cfgPassingScore))</f>
        <v/>
      </c>
      <c r="K164" s="14" t="n"/>
      <c r="L164" s="14" t="n"/>
      <c r="M164" s="15">
        <f>IF($C164="","",IF($L164="","",IF($K164=1,IF(COUNTIFS(nrES_PID,$D164,nrES_Code,$F164,nrES_Att,2)&gt;0,"",$L164),IF(COUNTIFS(nrES_PID,$D164,nrES_Code,$F164,nrES_Att,1)=0,$L164,IF($L164&gt;=$J164,cfgRetakeRecordedCap,SUMIFS(nrES_Raw,nrES_PID,$D164,nrES_Code,$F164,nrES_Att,1))))))</f>
        <v/>
      </c>
      <c r="N164" s="15">
        <f>IF($C164="","",IF($L164="","",IF($L164&gt;=$J164,"Yes","No")))</f>
        <v/>
      </c>
      <c r="O164" s="15">
        <f>IF($C164="","",IF($M164="","",IF($M164&gt;=$J164,"Yes","No")))</f>
        <v/>
      </c>
      <c r="P164" s="15">
        <f>IF($C164="","",IF($K164="","",IF(COUNTIFS(nrES_PID,$D164,nrES_Code,$F164,nrES_Att,"&gt;"&amp;$K164)=0,"Yes","No")))</f>
        <v/>
      </c>
      <c r="Q164" s="15">
        <f>IF($C164="","",IF($L164="","",IF(AND($K164=1,$L164&lt;$J164,COUNTIFS(nrES_PID,$D164,nrES_Code,$F164,nrES_Att,2)=0),"Yes","No")))</f>
        <v/>
      </c>
      <c r="R164" s="15">
        <f>IF($C164="","",IF($L164="","",IF(AND($K164=2,$L164&lt;$J164,COUNTIFS(nrES_PID,$D164,nrES_Code,$F164,nrES_Att,1)&gt;0),"Yes","No")))</f>
        <v/>
      </c>
      <c r="S164" s="16" t="n"/>
      <c r="T164" s="17">
        <f>IF($Q164&lt;&gt;"Yes","",IF($S164="","(enter date)",_xlfn.LET(_xlpm.dn,IFERROR(_xlfn.XLOOKUP($S164,nrCDdate,nrCDnum),""),IF(_xlpm.dn="","(not a class day)",IFERROR(_xlfn.XLOOKUP(_xlpm.dn+cfgRetestClassDays,nrCDnum,nrCDdate),"")))))</f>
        <v/>
      </c>
      <c r="U164" s="15">
        <f>IF($Q164&lt;&gt;"Yes","",IF(COUNTIFS(nrES_PID,$D164,nrES_Code,$F164,nrES_Att,2)&gt;0,"Retested",IF(OR($T164="",NOT(ISNUMBER($T164))),"Pending",IF(TODAY()&gt;$T164,"OVERDUE","Due "&amp;TEXT($T164,"mm/dd")))))</f>
        <v/>
      </c>
      <c r="V164" s="14" t="n"/>
      <c r="W164" s="14" t="n"/>
    </row>
    <row r="165">
      <c r="B165" s="15">
        <f>IF($C165="","",$D165&amp;"-"&amp;$F165&amp;"-"&amp;$K165)</f>
        <v/>
      </c>
      <c r="C165" s="14" t="n"/>
      <c r="D165" s="15">
        <f>IF($C165="","",IFERROR(INDEX(rngCadetPIDs,MATCH($C165,rngCadetNames,0)),"?"))</f>
        <v/>
      </c>
      <c r="E165" s="15">
        <f>IF($D165="","",IFERROR(INDEX(nrCadetAgency,MATCH($D165,rngCadetPIDs,0)),""))</f>
        <v/>
      </c>
      <c r="F165" s="14" t="n"/>
      <c r="G165" s="15">
        <f>IF($F165="","",IFERROR(INDEX(rngEPname,MATCH($F165,rngEPcode,0)),"?"))</f>
        <v/>
      </c>
      <c r="H165" s="15">
        <f>IF($F165="","",IFERROR(INDEX(rngEPtype,MATCH($F165,rngEPcode,0)),"?"))</f>
        <v/>
      </c>
      <c r="I165" s="15">
        <f>IF($F165="","",IFERROR(INDEX(rngEPseq,MATCH($F165,rngEPcode,0)),""))</f>
        <v/>
      </c>
      <c r="J165" s="15">
        <f>IF($F165="","",IFERROR(INDEX(rngEPpass,MATCH($F165,rngEPcode,0)),cfgPassingScore))</f>
        <v/>
      </c>
      <c r="K165" s="14" t="n"/>
      <c r="L165" s="14" t="n"/>
      <c r="M165" s="15">
        <f>IF($C165="","",IF($L165="","",IF($K165=1,IF(COUNTIFS(nrES_PID,$D165,nrES_Code,$F165,nrES_Att,2)&gt;0,"",$L165),IF(COUNTIFS(nrES_PID,$D165,nrES_Code,$F165,nrES_Att,1)=0,$L165,IF($L165&gt;=$J165,cfgRetakeRecordedCap,SUMIFS(nrES_Raw,nrES_PID,$D165,nrES_Code,$F165,nrES_Att,1))))))</f>
        <v/>
      </c>
      <c r="N165" s="15">
        <f>IF($C165="","",IF($L165="","",IF($L165&gt;=$J165,"Yes","No")))</f>
        <v/>
      </c>
      <c r="O165" s="15">
        <f>IF($C165="","",IF($M165="","",IF($M165&gt;=$J165,"Yes","No")))</f>
        <v/>
      </c>
      <c r="P165" s="15">
        <f>IF($C165="","",IF($K165="","",IF(COUNTIFS(nrES_PID,$D165,nrES_Code,$F165,nrES_Att,"&gt;"&amp;$K165)=0,"Yes","No")))</f>
        <v/>
      </c>
      <c r="Q165" s="15">
        <f>IF($C165="","",IF($L165="","",IF(AND($K165=1,$L165&lt;$J165,COUNTIFS(nrES_PID,$D165,nrES_Code,$F165,nrES_Att,2)=0),"Yes","No")))</f>
        <v/>
      </c>
      <c r="R165" s="15">
        <f>IF($C165="","",IF($L165="","",IF(AND($K165=2,$L165&lt;$J165,COUNTIFS(nrES_PID,$D165,nrES_Code,$F165,nrES_Att,1)&gt;0),"Yes","No")))</f>
        <v/>
      </c>
      <c r="S165" s="16" t="n"/>
      <c r="T165" s="17">
        <f>IF($Q165&lt;&gt;"Yes","",IF($S165="","(enter date)",_xlfn.LET(_xlpm.dn,IFERROR(_xlfn.XLOOKUP($S165,nrCDdate,nrCDnum),""),IF(_xlpm.dn="","(not a class day)",IFERROR(_xlfn.XLOOKUP(_xlpm.dn+cfgRetestClassDays,nrCDnum,nrCDdate),"")))))</f>
        <v/>
      </c>
      <c r="U165" s="15">
        <f>IF($Q165&lt;&gt;"Yes","",IF(COUNTIFS(nrES_PID,$D165,nrES_Code,$F165,nrES_Att,2)&gt;0,"Retested",IF(OR($T165="",NOT(ISNUMBER($T165))),"Pending",IF(TODAY()&gt;$T165,"OVERDUE","Due "&amp;TEXT($T165,"mm/dd")))))</f>
        <v/>
      </c>
      <c r="V165" s="14" t="n"/>
      <c r="W165" s="14" t="n"/>
    </row>
    <row r="166">
      <c r="B166" s="15">
        <f>IF($C166="","",$D166&amp;"-"&amp;$F166&amp;"-"&amp;$K166)</f>
        <v/>
      </c>
      <c r="C166" s="14" t="n"/>
      <c r="D166" s="15">
        <f>IF($C166="","",IFERROR(INDEX(rngCadetPIDs,MATCH($C166,rngCadetNames,0)),"?"))</f>
        <v/>
      </c>
      <c r="E166" s="15">
        <f>IF($D166="","",IFERROR(INDEX(nrCadetAgency,MATCH($D166,rngCadetPIDs,0)),""))</f>
        <v/>
      </c>
      <c r="F166" s="14" t="n"/>
      <c r="G166" s="15">
        <f>IF($F166="","",IFERROR(INDEX(rngEPname,MATCH($F166,rngEPcode,0)),"?"))</f>
        <v/>
      </c>
      <c r="H166" s="15">
        <f>IF($F166="","",IFERROR(INDEX(rngEPtype,MATCH($F166,rngEPcode,0)),"?"))</f>
        <v/>
      </c>
      <c r="I166" s="15">
        <f>IF($F166="","",IFERROR(INDEX(rngEPseq,MATCH($F166,rngEPcode,0)),""))</f>
        <v/>
      </c>
      <c r="J166" s="15">
        <f>IF($F166="","",IFERROR(INDEX(rngEPpass,MATCH($F166,rngEPcode,0)),cfgPassingScore))</f>
        <v/>
      </c>
      <c r="K166" s="14" t="n"/>
      <c r="L166" s="14" t="n"/>
      <c r="M166" s="15">
        <f>IF($C166="","",IF($L166="","",IF($K166=1,IF(COUNTIFS(nrES_PID,$D166,nrES_Code,$F166,nrES_Att,2)&gt;0,"",$L166),IF(COUNTIFS(nrES_PID,$D166,nrES_Code,$F166,nrES_Att,1)=0,$L166,IF($L166&gt;=$J166,cfgRetakeRecordedCap,SUMIFS(nrES_Raw,nrES_PID,$D166,nrES_Code,$F166,nrES_Att,1))))))</f>
        <v/>
      </c>
      <c r="N166" s="15">
        <f>IF($C166="","",IF($L166="","",IF($L166&gt;=$J166,"Yes","No")))</f>
        <v/>
      </c>
      <c r="O166" s="15">
        <f>IF($C166="","",IF($M166="","",IF($M166&gt;=$J166,"Yes","No")))</f>
        <v/>
      </c>
      <c r="P166" s="15">
        <f>IF($C166="","",IF($K166="","",IF(COUNTIFS(nrES_PID,$D166,nrES_Code,$F166,nrES_Att,"&gt;"&amp;$K166)=0,"Yes","No")))</f>
        <v/>
      </c>
      <c r="Q166" s="15">
        <f>IF($C166="","",IF($L166="","",IF(AND($K166=1,$L166&lt;$J166,COUNTIFS(nrES_PID,$D166,nrES_Code,$F166,nrES_Att,2)=0),"Yes","No")))</f>
        <v/>
      </c>
      <c r="R166" s="15">
        <f>IF($C166="","",IF($L166="","",IF(AND($K166=2,$L166&lt;$J166,COUNTIFS(nrES_PID,$D166,nrES_Code,$F166,nrES_Att,1)&gt;0),"Yes","No")))</f>
        <v/>
      </c>
      <c r="S166" s="16" t="n"/>
      <c r="T166" s="17">
        <f>IF($Q166&lt;&gt;"Yes","",IF($S166="","(enter date)",_xlfn.LET(_xlpm.dn,IFERROR(_xlfn.XLOOKUP($S166,nrCDdate,nrCDnum),""),IF(_xlpm.dn="","(not a class day)",IFERROR(_xlfn.XLOOKUP(_xlpm.dn+cfgRetestClassDays,nrCDnum,nrCDdate),"")))))</f>
        <v/>
      </c>
      <c r="U166" s="15">
        <f>IF($Q166&lt;&gt;"Yes","",IF(COUNTIFS(nrES_PID,$D166,nrES_Code,$F166,nrES_Att,2)&gt;0,"Retested",IF(OR($T166="",NOT(ISNUMBER($T166))),"Pending",IF(TODAY()&gt;$T166,"OVERDUE","Due "&amp;TEXT($T166,"mm/dd")))))</f>
        <v/>
      </c>
      <c r="V166" s="14" t="n"/>
      <c r="W166" s="14" t="n"/>
    </row>
    <row r="167">
      <c r="B167" s="15">
        <f>IF($C167="","",$D167&amp;"-"&amp;$F167&amp;"-"&amp;$K167)</f>
        <v/>
      </c>
      <c r="C167" s="14" t="n"/>
      <c r="D167" s="15">
        <f>IF($C167="","",IFERROR(INDEX(rngCadetPIDs,MATCH($C167,rngCadetNames,0)),"?"))</f>
        <v/>
      </c>
      <c r="E167" s="15">
        <f>IF($D167="","",IFERROR(INDEX(nrCadetAgency,MATCH($D167,rngCadetPIDs,0)),""))</f>
        <v/>
      </c>
      <c r="F167" s="14" t="n"/>
      <c r="G167" s="15">
        <f>IF($F167="","",IFERROR(INDEX(rngEPname,MATCH($F167,rngEPcode,0)),"?"))</f>
        <v/>
      </c>
      <c r="H167" s="15">
        <f>IF($F167="","",IFERROR(INDEX(rngEPtype,MATCH($F167,rngEPcode,0)),"?"))</f>
        <v/>
      </c>
      <c r="I167" s="15">
        <f>IF($F167="","",IFERROR(INDEX(rngEPseq,MATCH($F167,rngEPcode,0)),""))</f>
        <v/>
      </c>
      <c r="J167" s="15">
        <f>IF($F167="","",IFERROR(INDEX(rngEPpass,MATCH($F167,rngEPcode,0)),cfgPassingScore))</f>
        <v/>
      </c>
      <c r="K167" s="14" t="n"/>
      <c r="L167" s="14" t="n"/>
      <c r="M167" s="15">
        <f>IF($C167="","",IF($L167="","",IF($K167=1,IF(COUNTIFS(nrES_PID,$D167,nrES_Code,$F167,nrES_Att,2)&gt;0,"",$L167),IF(COUNTIFS(nrES_PID,$D167,nrES_Code,$F167,nrES_Att,1)=0,$L167,IF($L167&gt;=$J167,cfgRetakeRecordedCap,SUMIFS(nrES_Raw,nrES_PID,$D167,nrES_Code,$F167,nrES_Att,1))))))</f>
        <v/>
      </c>
      <c r="N167" s="15">
        <f>IF($C167="","",IF($L167="","",IF($L167&gt;=$J167,"Yes","No")))</f>
        <v/>
      </c>
      <c r="O167" s="15">
        <f>IF($C167="","",IF($M167="","",IF($M167&gt;=$J167,"Yes","No")))</f>
        <v/>
      </c>
      <c r="P167" s="15">
        <f>IF($C167="","",IF($K167="","",IF(COUNTIFS(nrES_PID,$D167,nrES_Code,$F167,nrES_Att,"&gt;"&amp;$K167)=0,"Yes","No")))</f>
        <v/>
      </c>
      <c r="Q167" s="15">
        <f>IF($C167="","",IF($L167="","",IF(AND($K167=1,$L167&lt;$J167,COUNTIFS(nrES_PID,$D167,nrES_Code,$F167,nrES_Att,2)=0),"Yes","No")))</f>
        <v/>
      </c>
      <c r="R167" s="15">
        <f>IF($C167="","",IF($L167="","",IF(AND($K167=2,$L167&lt;$J167,COUNTIFS(nrES_PID,$D167,nrES_Code,$F167,nrES_Att,1)&gt;0),"Yes","No")))</f>
        <v/>
      </c>
      <c r="S167" s="16" t="n"/>
      <c r="T167" s="17">
        <f>IF($Q167&lt;&gt;"Yes","",IF($S167="","(enter date)",_xlfn.LET(_xlpm.dn,IFERROR(_xlfn.XLOOKUP($S167,nrCDdate,nrCDnum),""),IF(_xlpm.dn="","(not a class day)",IFERROR(_xlfn.XLOOKUP(_xlpm.dn+cfgRetestClassDays,nrCDnum,nrCDdate),"")))))</f>
        <v/>
      </c>
      <c r="U167" s="15">
        <f>IF($Q167&lt;&gt;"Yes","",IF(COUNTIFS(nrES_PID,$D167,nrES_Code,$F167,nrES_Att,2)&gt;0,"Retested",IF(OR($T167="",NOT(ISNUMBER($T167))),"Pending",IF(TODAY()&gt;$T167,"OVERDUE","Due "&amp;TEXT($T167,"mm/dd")))))</f>
        <v/>
      </c>
      <c r="V167" s="14" t="n"/>
      <c r="W167" s="14" t="n"/>
    </row>
    <row r="168">
      <c r="B168" s="15">
        <f>IF($C168="","",$D168&amp;"-"&amp;$F168&amp;"-"&amp;$K168)</f>
        <v/>
      </c>
      <c r="C168" s="14" t="n"/>
      <c r="D168" s="15">
        <f>IF($C168="","",IFERROR(INDEX(rngCadetPIDs,MATCH($C168,rngCadetNames,0)),"?"))</f>
        <v/>
      </c>
      <c r="E168" s="15">
        <f>IF($D168="","",IFERROR(INDEX(nrCadetAgency,MATCH($D168,rngCadetPIDs,0)),""))</f>
        <v/>
      </c>
      <c r="F168" s="14" t="n"/>
      <c r="G168" s="15">
        <f>IF($F168="","",IFERROR(INDEX(rngEPname,MATCH($F168,rngEPcode,0)),"?"))</f>
        <v/>
      </c>
      <c r="H168" s="15">
        <f>IF($F168="","",IFERROR(INDEX(rngEPtype,MATCH($F168,rngEPcode,0)),"?"))</f>
        <v/>
      </c>
      <c r="I168" s="15">
        <f>IF($F168="","",IFERROR(INDEX(rngEPseq,MATCH($F168,rngEPcode,0)),""))</f>
        <v/>
      </c>
      <c r="J168" s="15">
        <f>IF($F168="","",IFERROR(INDEX(rngEPpass,MATCH($F168,rngEPcode,0)),cfgPassingScore))</f>
        <v/>
      </c>
      <c r="K168" s="14" t="n"/>
      <c r="L168" s="14" t="n"/>
      <c r="M168" s="15">
        <f>IF($C168="","",IF($L168="","",IF($K168=1,IF(COUNTIFS(nrES_PID,$D168,nrES_Code,$F168,nrES_Att,2)&gt;0,"",$L168),IF(COUNTIFS(nrES_PID,$D168,nrES_Code,$F168,nrES_Att,1)=0,$L168,IF($L168&gt;=$J168,cfgRetakeRecordedCap,SUMIFS(nrES_Raw,nrES_PID,$D168,nrES_Code,$F168,nrES_Att,1))))))</f>
        <v/>
      </c>
      <c r="N168" s="15">
        <f>IF($C168="","",IF($L168="","",IF($L168&gt;=$J168,"Yes","No")))</f>
        <v/>
      </c>
      <c r="O168" s="15">
        <f>IF($C168="","",IF($M168="","",IF($M168&gt;=$J168,"Yes","No")))</f>
        <v/>
      </c>
      <c r="P168" s="15">
        <f>IF($C168="","",IF($K168="","",IF(COUNTIFS(nrES_PID,$D168,nrES_Code,$F168,nrES_Att,"&gt;"&amp;$K168)=0,"Yes","No")))</f>
        <v/>
      </c>
      <c r="Q168" s="15">
        <f>IF($C168="","",IF($L168="","",IF(AND($K168=1,$L168&lt;$J168,COUNTIFS(nrES_PID,$D168,nrES_Code,$F168,nrES_Att,2)=0),"Yes","No")))</f>
        <v/>
      </c>
      <c r="R168" s="15">
        <f>IF($C168="","",IF($L168="","",IF(AND($K168=2,$L168&lt;$J168,COUNTIFS(nrES_PID,$D168,nrES_Code,$F168,nrES_Att,1)&gt;0),"Yes","No")))</f>
        <v/>
      </c>
      <c r="S168" s="16" t="n"/>
      <c r="T168" s="17">
        <f>IF($Q168&lt;&gt;"Yes","",IF($S168="","(enter date)",_xlfn.LET(_xlpm.dn,IFERROR(_xlfn.XLOOKUP($S168,nrCDdate,nrCDnum),""),IF(_xlpm.dn="","(not a class day)",IFERROR(_xlfn.XLOOKUP(_xlpm.dn+cfgRetestClassDays,nrCDnum,nrCDdate),"")))))</f>
        <v/>
      </c>
      <c r="U168" s="15">
        <f>IF($Q168&lt;&gt;"Yes","",IF(COUNTIFS(nrES_PID,$D168,nrES_Code,$F168,nrES_Att,2)&gt;0,"Retested",IF(OR($T168="",NOT(ISNUMBER($T168))),"Pending",IF(TODAY()&gt;$T168,"OVERDUE","Due "&amp;TEXT($T168,"mm/dd")))))</f>
        <v/>
      </c>
      <c r="V168" s="14" t="n"/>
      <c r="W168" s="14" t="n"/>
    </row>
    <row r="169">
      <c r="B169" s="15">
        <f>IF($C169="","",$D169&amp;"-"&amp;$F169&amp;"-"&amp;$K169)</f>
        <v/>
      </c>
      <c r="C169" s="14" t="n"/>
      <c r="D169" s="15">
        <f>IF($C169="","",IFERROR(INDEX(rngCadetPIDs,MATCH($C169,rngCadetNames,0)),"?"))</f>
        <v/>
      </c>
      <c r="E169" s="15">
        <f>IF($D169="","",IFERROR(INDEX(nrCadetAgency,MATCH($D169,rngCadetPIDs,0)),""))</f>
        <v/>
      </c>
      <c r="F169" s="14" t="n"/>
      <c r="G169" s="15">
        <f>IF($F169="","",IFERROR(INDEX(rngEPname,MATCH($F169,rngEPcode,0)),"?"))</f>
        <v/>
      </c>
      <c r="H169" s="15">
        <f>IF($F169="","",IFERROR(INDEX(rngEPtype,MATCH($F169,rngEPcode,0)),"?"))</f>
        <v/>
      </c>
      <c r="I169" s="15">
        <f>IF($F169="","",IFERROR(INDEX(rngEPseq,MATCH($F169,rngEPcode,0)),""))</f>
        <v/>
      </c>
      <c r="J169" s="15">
        <f>IF($F169="","",IFERROR(INDEX(rngEPpass,MATCH($F169,rngEPcode,0)),cfgPassingScore))</f>
        <v/>
      </c>
      <c r="K169" s="14" t="n"/>
      <c r="L169" s="14" t="n"/>
      <c r="M169" s="15">
        <f>IF($C169="","",IF($L169="","",IF($K169=1,IF(COUNTIFS(nrES_PID,$D169,nrES_Code,$F169,nrES_Att,2)&gt;0,"",$L169),IF(COUNTIFS(nrES_PID,$D169,nrES_Code,$F169,nrES_Att,1)=0,$L169,IF($L169&gt;=$J169,cfgRetakeRecordedCap,SUMIFS(nrES_Raw,nrES_PID,$D169,nrES_Code,$F169,nrES_Att,1))))))</f>
        <v/>
      </c>
      <c r="N169" s="15">
        <f>IF($C169="","",IF($L169="","",IF($L169&gt;=$J169,"Yes","No")))</f>
        <v/>
      </c>
      <c r="O169" s="15">
        <f>IF($C169="","",IF($M169="","",IF($M169&gt;=$J169,"Yes","No")))</f>
        <v/>
      </c>
      <c r="P169" s="15">
        <f>IF($C169="","",IF($K169="","",IF(COUNTIFS(nrES_PID,$D169,nrES_Code,$F169,nrES_Att,"&gt;"&amp;$K169)=0,"Yes","No")))</f>
        <v/>
      </c>
      <c r="Q169" s="15">
        <f>IF($C169="","",IF($L169="","",IF(AND($K169=1,$L169&lt;$J169,COUNTIFS(nrES_PID,$D169,nrES_Code,$F169,nrES_Att,2)=0),"Yes","No")))</f>
        <v/>
      </c>
      <c r="R169" s="15">
        <f>IF($C169="","",IF($L169="","",IF(AND($K169=2,$L169&lt;$J169,COUNTIFS(nrES_PID,$D169,nrES_Code,$F169,nrES_Att,1)&gt;0),"Yes","No")))</f>
        <v/>
      </c>
      <c r="S169" s="16" t="n"/>
      <c r="T169" s="17">
        <f>IF($Q169&lt;&gt;"Yes","",IF($S169="","(enter date)",_xlfn.LET(_xlpm.dn,IFERROR(_xlfn.XLOOKUP($S169,nrCDdate,nrCDnum),""),IF(_xlpm.dn="","(not a class day)",IFERROR(_xlfn.XLOOKUP(_xlpm.dn+cfgRetestClassDays,nrCDnum,nrCDdate),"")))))</f>
        <v/>
      </c>
      <c r="U169" s="15">
        <f>IF($Q169&lt;&gt;"Yes","",IF(COUNTIFS(nrES_PID,$D169,nrES_Code,$F169,nrES_Att,2)&gt;0,"Retested",IF(OR($T169="",NOT(ISNUMBER($T169))),"Pending",IF(TODAY()&gt;$T169,"OVERDUE","Due "&amp;TEXT($T169,"mm/dd")))))</f>
        <v/>
      </c>
      <c r="V169" s="14" t="n"/>
      <c r="W169" s="14" t="n"/>
    </row>
    <row r="170">
      <c r="B170" s="15">
        <f>IF($C170="","",$D170&amp;"-"&amp;$F170&amp;"-"&amp;$K170)</f>
        <v/>
      </c>
      <c r="C170" s="14" t="n"/>
      <c r="D170" s="15">
        <f>IF($C170="","",IFERROR(INDEX(rngCadetPIDs,MATCH($C170,rngCadetNames,0)),"?"))</f>
        <v/>
      </c>
      <c r="E170" s="15">
        <f>IF($D170="","",IFERROR(INDEX(nrCadetAgency,MATCH($D170,rngCadetPIDs,0)),""))</f>
        <v/>
      </c>
      <c r="F170" s="14" t="n"/>
      <c r="G170" s="15">
        <f>IF($F170="","",IFERROR(INDEX(rngEPname,MATCH($F170,rngEPcode,0)),"?"))</f>
        <v/>
      </c>
      <c r="H170" s="15">
        <f>IF($F170="","",IFERROR(INDEX(rngEPtype,MATCH($F170,rngEPcode,0)),"?"))</f>
        <v/>
      </c>
      <c r="I170" s="15">
        <f>IF($F170="","",IFERROR(INDEX(rngEPseq,MATCH($F170,rngEPcode,0)),""))</f>
        <v/>
      </c>
      <c r="J170" s="15">
        <f>IF($F170="","",IFERROR(INDEX(rngEPpass,MATCH($F170,rngEPcode,0)),cfgPassingScore))</f>
        <v/>
      </c>
      <c r="K170" s="14" t="n"/>
      <c r="L170" s="14" t="n"/>
      <c r="M170" s="15">
        <f>IF($C170="","",IF($L170="","",IF($K170=1,IF(COUNTIFS(nrES_PID,$D170,nrES_Code,$F170,nrES_Att,2)&gt;0,"",$L170),IF(COUNTIFS(nrES_PID,$D170,nrES_Code,$F170,nrES_Att,1)=0,$L170,IF($L170&gt;=$J170,cfgRetakeRecordedCap,SUMIFS(nrES_Raw,nrES_PID,$D170,nrES_Code,$F170,nrES_Att,1))))))</f>
        <v/>
      </c>
      <c r="N170" s="15">
        <f>IF($C170="","",IF($L170="","",IF($L170&gt;=$J170,"Yes","No")))</f>
        <v/>
      </c>
      <c r="O170" s="15">
        <f>IF($C170="","",IF($M170="","",IF($M170&gt;=$J170,"Yes","No")))</f>
        <v/>
      </c>
      <c r="P170" s="15">
        <f>IF($C170="","",IF($K170="","",IF(COUNTIFS(nrES_PID,$D170,nrES_Code,$F170,nrES_Att,"&gt;"&amp;$K170)=0,"Yes","No")))</f>
        <v/>
      </c>
      <c r="Q170" s="15">
        <f>IF($C170="","",IF($L170="","",IF(AND($K170=1,$L170&lt;$J170,COUNTIFS(nrES_PID,$D170,nrES_Code,$F170,nrES_Att,2)=0),"Yes","No")))</f>
        <v/>
      </c>
      <c r="R170" s="15">
        <f>IF($C170="","",IF($L170="","",IF(AND($K170=2,$L170&lt;$J170,COUNTIFS(nrES_PID,$D170,nrES_Code,$F170,nrES_Att,1)&gt;0),"Yes","No")))</f>
        <v/>
      </c>
      <c r="S170" s="16" t="n"/>
      <c r="T170" s="17">
        <f>IF($Q170&lt;&gt;"Yes","",IF($S170="","(enter date)",_xlfn.LET(_xlpm.dn,IFERROR(_xlfn.XLOOKUP($S170,nrCDdate,nrCDnum),""),IF(_xlpm.dn="","(not a class day)",IFERROR(_xlfn.XLOOKUP(_xlpm.dn+cfgRetestClassDays,nrCDnum,nrCDdate),"")))))</f>
        <v/>
      </c>
      <c r="U170" s="15">
        <f>IF($Q170&lt;&gt;"Yes","",IF(COUNTIFS(nrES_PID,$D170,nrES_Code,$F170,nrES_Att,2)&gt;0,"Retested",IF(OR($T170="",NOT(ISNUMBER($T170))),"Pending",IF(TODAY()&gt;$T170,"OVERDUE","Due "&amp;TEXT($T170,"mm/dd")))))</f>
        <v/>
      </c>
      <c r="V170" s="14" t="n"/>
      <c r="W170" s="14" t="n"/>
    </row>
    <row r="171">
      <c r="B171" s="15">
        <f>IF($C171="","",$D171&amp;"-"&amp;$F171&amp;"-"&amp;$K171)</f>
        <v/>
      </c>
      <c r="C171" s="14" t="n"/>
      <c r="D171" s="15">
        <f>IF($C171="","",IFERROR(INDEX(rngCadetPIDs,MATCH($C171,rngCadetNames,0)),"?"))</f>
        <v/>
      </c>
      <c r="E171" s="15">
        <f>IF($D171="","",IFERROR(INDEX(nrCadetAgency,MATCH($D171,rngCadetPIDs,0)),""))</f>
        <v/>
      </c>
      <c r="F171" s="14" t="n"/>
      <c r="G171" s="15">
        <f>IF($F171="","",IFERROR(INDEX(rngEPname,MATCH($F171,rngEPcode,0)),"?"))</f>
        <v/>
      </c>
      <c r="H171" s="15">
        <f>IF($F171="","",IFERROR(INDEX(rngEPtype,MATCH($F171,rngEPcode,0)),"?"))</f>
        <v/>
      </c>
      <c r="I171" s="15">
        <f>IF($F171="","",IFERROR(INDEX(rngEPseq,MATCH($F171,rngEPcode,0)),""))</f>
        <v/>
      </c>
      <c r="J171" s="15">
        <f>IF($F171="","",IFERROR(INDEX(rngEPpass,MATCH($F171,rngEPcode,0)),cfgPassingScore))</f>
        <v/>
      </c>
      <c r="K171" s="14" t="n"/>
      <c r="L171" s="14" t="n"/>
      <c r="M171" s="15">
        <f>IF($C171="","",IF($L171="","",IF($K171=1,IF(COUNTIFS(nrES_PID,$D171,nrES_Code,$F171,nrES_Att,2)&gt;0,"",$L171),IF(COUNTIFS(nrES_PID,$D171,nrES_Code,$F171,nrES_Att,1)=0,$L171,IF($L171&gt;=$J171,cfgRetakeRecordedCap,SUMIFS(nrES_Raw,nrES_PID,$D171,nrES_Code,$F171,nrES_Att,1))))))</f>
        <v/>
      </c>
      <c r="N171" s="15">
        <f>IF($C171="","",IF($L171="","",IF($L171&gt;=$J171,"Yes","No")))</f>
        <v/>
      </c>
      <c r="O171" s="15">
        <f>IF($C171="","",IF($M171="","",IF($M171&gt;=$J171,"Yes","No")))</f>
        <v/>
      </c>
      <c r="P171" s="15">
        <f>IF($C171="","",IF($K171="","",IF(COUNTIFS(nrES_PID,$D171,nrES_Code,$F171,nrES_Att,"&gt;"&amp;$K171)=0,"Yes","No")))</f>
        <v/>
      </c>
      <c r="Q171" s="15">
        <f>IF($C171="","",IF($L171="","",IF(AND($K171=1,$L171&lt;$J171,COUNTIFS(nrES_PID,$D171,nrES_Code,$F171,nrES_Att,2)=0),"Yes","No")))</f>
        <v/>
      </c>
      <c r="R171" s="15">
        <f>IF($C171="","",IF($L171="","",IF(AND($K171=2,$L171&lt;$J171,COUNTIFS(nrES_PID,$D171,nrES_Code,$F171,nrES_Att,1)&gt;0),"Yes","No")))</f>
        <v/>
      </c>
      <c r="S171" s="16" t="n"/>
      <c r="T171" s="17">
        <f>IF($Q171&lt;&gt;"Yes","",IF($S171="","(enter date)",_xlfn.LET(_xlpm.dn,IFERROR(_xlfn.XLOOKUP($S171,nrCDdate,nrCDnum),""),IF(_xlpm.dn="","(not a class day)",IFERROR(_xlfn.XLOOKUP(_xlpm.dn+cfgRetestClassDays,nrCDnum,nrCDdate),"")))))</f>
        <v/>
      </c>
      <c r="U171" s="15">
        <f>IF($Q171&lt;&gt;"Yes","",IF(COUNTIFS(nrES_PID,$D171,nrES_Code,$F171,nrES_Att,2)&gt;0,"Retested",IF(OR($T171="",NOT(ISNUMBER($T171))),"Pending",IF(TODAY()&gt;$T171,"OVERDUE","Due "&amp;TEXT($T171,"mm/dd")))))</f>
        <v/>
      </c>
      <c r="V171" s="14" t="n"/>
      <c r="W171" s="14" t="n"/>
    </row>
    <row r="172">
      <c r="B172" s="15">
        <f>IF($C172="","",$D172&amp;"-"&amp;$F172&amp;"-"&amp;$K172)</f>
        <v/>
      </c>
      <c r="C172" s="14" t="n"/>
      <c r="D172" s="15">
        <f>IF($C172="","",IFERROR(INDEX(rngCadetPIDs,MATCH($C172,rngCadetNames,0)),"?"))</f>
        <v/>
      </c>
      <c r="E172" s="15">
        <f>IF($D172="","",IFERROR(INDEX(nrCadetAgency,MATCH($D172,rngCadetPIDs,0)),""))</f>
        <v/>
      </c>
      <c r="F172" s="14" t="n"/>
      <c r="G172" s="15">
        <f>IF($F172="","",IFERROR(INDEX(rngEPname,MATCH($F172,rngEPcode,0)),"?"))</f>
        <v/>
      </c>
      <c r="H172" s="15">
        <f>IF($F172="","",IFERROR(INDEX(rngEPtype,MATCH($F172,rngEPcode,0)),"?"))</f>
        <v/>
      </c>
      <c r="I172" s="15">
        <f>IF($F172="","",IFERROR(INDEX(rngEPseq,MATCH($F172,rngEPcode,0)),""))</f>
        <v/>
      </c>
      <c r="J172" s="15">
        <f>IF($F172="","",IFERROR(INDEX(rngEPpass,MATCH($F172,rngEPcode,0)),cfgPassingScore))</f>
        <v/>
      </c>
      <c r="K172" s="14" t="n"/>
      <c r="L172" s="14" t="n"/>
      <c r="M172" s="15">
        <f>IF($C172="","",IF($L172="","",IF($K172=1,IF(COUNTIFS(nrES_PID,$D172,nrES_Code,$F172,nrES_Att,2)&gt;0,"",$L172),IF(COUNTIFS(nrES_PID,$D172,nrES_Code,$F172,nrES_Att,1)=0,$L172,IF($L172&gt;=$J172,cfgRetakeRecordedCap,SUMIFS(nrES_Raw,nrES_PID,$D172,nrES_Code,$F172,nrES_Att,1))))))</f>
        <v/>
      </c>
      <c r="N172" s="15">
        <f>IF($C172="","",IF($L172="","",IF($L172&gt;=$J172,"Yes","No")))</f>
        <v/>
      </c>
      <c r="O172" s="15">
        <f>IF($C172="","",IF($M172="","",IF($M172&gt;=$J172,"Yes","No")))</f>
        <v/>
      </c>
      <c r="P172" s="15">
        <f>IF($C172="","",IF($K172="","",IF(COUNTIFS(nrES_PID,$D172,nrES_Code,$F172,nrES_Att,"&gt;"&amp;$K172)=0,"Yes","No")))</f>
        <v/>
      </c>
      <c r="Q172" s="15">
        <f>IF($C172="","",IF($L172="","",IF(AND($K172=1,$L172&lt;$J172,COUNTIFS(nrES_PID,$D172,nrES_Code,$F172,nrES_Att,2)=0),"Yes","No")))</f>
        <v/>
      </c>
      <c r="R172" s="15">
        <f>IF($C172="","",IF($L172="","",IF(AND($K172=2,$L172&lt;$J172,COUNTIFS(nrES_PID,$D172,nrES_Code,$F172,nrES_Att,1)&gt;0),"Yes","No")))</f>
        <v/>
      </c>
      <c r="S172" s="16" t="n"/>
      <c r="T172" s="17">
        <f>IF($Q172&lt;&gt;"Yes","",IF($S172="","(enter date)",_xlfn.LET(_xlpm.dn,IFERROR(_xlfn.XLOOKUP($S172,nrCDdate,nrCDnum),""),IF(_xlpm.dn="","(not a class day)",IFERROR(_xlfn.XLOOKUP(_xlpm.dn+cfgRetestClassDays,nrCDnum,nrCDdate),"")))))</f>
        <v/>
      </c>
      <c r="U172" s="15">
        <f>IF($Q172&lt;&gt;"Yes","",IF(COUNTIFS(nrES_PID,$D172,nrES_Code,$F172,nrES_Att,2)&gt;0,"Retested",IF(OR($T172="",NOT(ISNUMBER($T172))),"Pending",IF(TODAY()&gt;$T172,"OVERDUE","Due "&amp;TEXT($T172,"mm/dd")))))</f>
        <v/>
      </c>
      <c r="V172" s="14" t="n"/>
      <c r="W172" s="14" t="n"/>
    </row>
    <row r="173">
      <c r="B173" s="15">
        <f>IF($C173="","",$D173&amp;"-"&amp;$F173&amp;"-"&amp;$K173)</f>
        <v/>
      </c>
      <c r="C173" s="14" t="n"/>
      <c r="D173" s="15">
        <f>IF($C173="","",IFERROR(INDEX(rngCadetPIDs,MATCH($C173,rngCadetNames,0)),"?"))</f>
        <v/>
      </c>
      <c r="E173" s="15">
        <f>IF($D173="","",IFERROR(INDEX(nrCadetAgency,MATCH($D173,rngCadetPIDs,0)),""))</f>
        <v/>
      </c>
      <c r="F173" s="14" t="n"/>
      <c r="G173" s="15">
        <f>IF($F173="","",IFERROR(INDEX(rngEPname,MATCH($F173,rngEPcode,0)),"?"))</f>
        <v/>
      </c>
      <c r="H173" s="15">
        <f>IF($F173="","",IFERROR(INDEX(rngEPtype,MATCH($F173,rngEPcode,0)),"?"))</f>
        <v/>
      </c>
      <c r="I173" s="15">
        <f>IF($F173="","",IFERROR(INDEX(rngEPseq,MATCH($F173,rngEPcode,0)),""))</f>
        <v/>
      </c>
      <c r="J173" s="15">
        <f>IF($F173="","",IFERROR(INDEX(rngEPpass,MATCH($F173,rngEPcode,0)),cfgPassingScore))</f>
        <v/>
      </c>
      <c r="K173" s="14" t="n"/>
      <c r="L173" s="14" t="n"/>
      <c r="M173" s="15">
        <f>IF($C173="","",IF($L173="","",IF($K173=1,IF(COUNTIFS(nrES_PID,$D173,nrES_Code,$F173,nrES_Att,2)&gt;0,"",$L173),IF(COUNTIFS(nrES_PID,$D173,nrES_Code,$F173,nrES_Att,1)=0,$L173,IF($L173&gt;=$J173,cfgRetakeRecordedCap,SUMIFS(nrES_Raw,nrES_PID,$D173,nrES_Code,$F173,nrES_Att,1))))))</f>
        <v/>
      </c>
      <c r="N173" s="15">
        <f>IF($C173="","",IF($L173="","",IF($L173&gt;=$J173,"Yes","No")))</f>
        <v/>
      </c>
      <c r="O173" s="15">
        <f>IF($C173="","",IF($M173="","",IF($M173&gt;=$J173,"Yes","No")))</f>
        <v/>
      </c>
      <c r="P173" s="15">
        <f>IF($C173="","",IF($K173="","",IF(COUNTIFS(nrES_PID,$D173,nrES_Code,$F173,nrES_Att,"&gt;"&amp;$K173)=0,"Yes","No")))</f>
        <v/>
      </c>
      <c r="Q173" s="15">
        <f>IF($C173="","",IF($L173="","",IF(AND($K173=1,$L173&lt;$J173,COUNTIFS(nrES_PID,$D173,nrES_Code,$F173,nrES_Att,2)=0),"Yes","No")))</f>
        <v/>
      </c>
      <c r="R173" s="15">
        <f>IF($C173="","",IF($L173="","",IF(AND($K173=2,$L173&lt;$J173,COUNTIFS(nrES_PID,$D173,nrES_Code,$F173,nrES_Att,1)&gt;0),"Yes","No")))</f>
        <v/>
      </c>
      <c r="S173" s="16" t="n"/>
      <c r="T173" s="17">
        <f>IF($Q173&lt;&gt;"Yes","",IF($S173="","(enter date)",_xlfn.LET(_xlpm.dn,IFERROR(_xlfn.XLOOKUP($S173,nrCDdate,nrCDnum),""),IF(_xlpm.dn="","(not a class day)",IFERROR(_xlfn.XLOOKUP(_xlpm.dn+cfgRetestClassDays,nrCDnum,nrCDdate),"")))))</f>
        <v/>
      </c>
      <c r="U173" s="15">
        <f>IF($Q173&lt;&gt;"Yes","",IF(COUNTIFS(nrES_PID,$D173,nrES_Code,$F173,nrES_Att,2)&gt;0,"Retested",IF(OR($T173="",NOT(ISNUMBER($T173))),"Pending",IF(TODAY()&gt;$T173,"OVERDUE","Due "&amp;TEXT($T173,"mm/dd")))))</f>
        <v/>
      </c>
      <c r="V173" s="14" t="n"/>
      <c r="W173" s="14" t="n"/>
    </row>
    <row r="174">
      <c r="B174" s="15">
        <f>IF($C174="","",$D174&amp;"-"&amp;$F174&amp;"-"&amp;$K174)</f>
        <v/>
      </c>
      <c r="C174" s="14" t="n"/>
      <c r="D174" s="15">
        <f>IF($C174="","",IFERROR(INDEX(rngCadetPIDs,MATCH($C174,rngCadetNames,0)),"?"))</f>
        <v/>
      </c>
      <c r="E174" s="15">
        <f>IF($D174="","",IFERROR(INDEX(nrCadetAgency,MATCH($D174,rngCadetPIDs,0)),""))</f>
        <v/>
      </c>
      <c r="F174" s="14" t="n"/>
      <c r="G174" s="15">
        <f>IF($F174="","",IFERROR(INDEX(rngEPname,MATCH($F174,rngEPcode,0)),"?"))</f>
        <v/>
      </c>
      <c r="H174" s="15">
        <f>IF($F174="","",IFERROR(INDEX(rngEPtype,MATCH($F174,rngEPcode,0)),"?"))</f>
        <v/>
      </c>
      <c r="I174" s="15">
        <f>IF($F174="","",IFERROR(INDEX(rngEPseq,MATCH($F174,rngEPcode,0)),""))</f>
        <v/>
      </c>
      <c r="J174" s="15">
        <f>IF($F174="","",IFERROR(INDEX(rngEPpass,MATCH($F174,rngEPcode,0)),cfgPassingScore))</f>
        <v/>
      </c>
      <c r="K174" s="14" t="n"/>
      <c r="L174" s="14" t="n"/>
      <c r="M174" s="15">
        <f>IF($C174="","",IF($L174="","",IF($K174=1,IF(COUNTIFS(nrES_PID,$D174,nrES_Code,$F174,nrES_Att,2)&gt;0,"",$L174),IF(COUNTIFS(nrES_PID,$D174,nrES_Code,$F174,nrES_Att,1)=0,$L174,IF($L174&gt;=$J174,cfgRetakeRecordedCap,SUMIFS(nrES_Raw,nrES_PID,$D174,nrES_Code,$F174,nrES_Att,1))))))</f>
        <v/>
      </c>
      <c r="N174" s="15">
        <f>IF($C174="","",IF($L174="","",IF($L174&gt;=$J174,"Yes","No")))</f>
        <v/>
      </c>
      <c r="O174" s="15">
        <f>IF($C174="","",IF($M174="","",IF($M174&gt;=$J174,"Yes","No")))</f>
        <v/>
      </c>
      <c r="P174" s="15">
        <f>IF($C174="","",IF($K174="","",IF(COUNTIFS(nrES_PID,$D174,nrES_Code,$F174,nrES_Att,"&gt;"&amp;$K174)=0,"Yes","No")))</f>
        <v/>
      </c>
      <c r="Q174" s="15">
        <f>IF($C174="","",IF($L174="","",IF(AND($K174=1,$L174&lt;$J174,COUNTIFS(nrES_PID,$D174,nrES_Code,$F174,nrES_Att,2)=0),"Yes","No")))</f>
        <v/>
      </c>
      <c r="R174" s="15">
        <f>IF($C174="","",IF($L174="","",IF(AND($K174=2,$L174&lt;$J174,COUNTIFS(nrES_PID,$D174,nrES_Code,$F174,nrES_Att,1)&gt;0),"Yes","No")))</f>
        <v/>
      </c>
      <c r="S174" s="16" t="n"/>
      <c r="T174" s="17">
        <f>IF($Q174&lt;&gt;"Yes","",IF($S174="","(enter date)",_xlfn.LET(_xlpm.dn,IFERROR(_xlfn.XLOOKUP($S174,nrCDdate,nrCDnum),""),IF(_xlpm.dn="","(not a class day)",IFERROR(_xlfn.XLOOKUP(_xlpm.dn+cfgRetestClassDays,nrCDnum,nrCDdate),"")))))</f>
        <v/>
      </c>
      <c r="U174" s="15">
        <f>IF($Q174&lt;&gt;"Yes","",IF(COUNTIFS(nrES_PID,$D174,nrES_Code,$F174,nrES_Att,2)&gt;0,"Retested",IF(OR($T174="",NOT(ISNUMBER($T174))),"Pending",IF(TODAY()&gt;$T174,"OVERDUE","Due "&amp;TEXT($T174,"mm/dd")))))</f>
        <v/>
      </c>
      <c r="V174" s="14" t="n"/>
      <c r="W174" s="14" t="n"/>
    </row>
    <row r="175">
      <c r="B175" s="15">
        <f>IF($C175="","",$D175&amp;"-"&amp;$F175&amp;"-"&amp;$K175)</f>
        <v/>
      </c>
      <c r="C175" s="14" t="n"/>
      <c r="D175" s="15">
        <f>IF($C175="","",IFERROR(INDEX(rngCadetPIDs,MATCH($C175,rngCadetNames,0)),"?"))</f>
        <v/>
      </c>
      <c r="E175" s="15">
        <f>IF($D175="","",IFERROR(INDEX(nrCadetAgency,MATCH($D175,rngCadetPIDs,0)),""))</f>
        <v/>
      </c>
      <c r="F175" s="14" t="n"/>
      <c r="G175" s="15">
        <f>IF($F175="","",IFERROR(INDEX(rngEPname,MATCH($F175,rngEPcode,0)),"?"))</f>
        <v/>
      </c>
      <c r="H175" s="15">
        <f>IF($F175="","",IFERROR(INDEX(rngEPtype,MATCH($F175,rngEPcode,0)),"?"))</f>
        <v/>
      </c>
      <c r="I175" s="15">
        <f>IF($F175="","",IFERROR(INDEX(rngEPseq,MATCH($F175,rngEPcode,0)),""))</f>
        <v/>
      </c>
      <c r="J175" s="15">
        <f>IF($F175="","",IFERROR(INDEX(rngEPpass,MATCH($F175,rngEPcode,0)),cfgPassingScore))</f>
        <v/>
      </c>
      <c r="K175" s="14" t="n"/>
      <c r="L175" s="14" t="n"/>
      <c r="M175" s="15">
        <f>IF($C175="","",IF($L175="","",IF($K175=1,IF(COUNTIFS(nrES_PID,$D175,nrES_Code,$F175,nrES_Att,2)&gt;0,"",$L175),IF(COUNTIFS(nrES_PID,$D175,nrES_Code,$F175,nrES_Att,1)=0,$L175,IF($L175&gt;=$J175,cfgRetakeRecordedCap,SUMIFS(nrES_Raw,nrES_PID,$D175,nrES_Code,$F175,nrES_Att,1))))))</f>
        <v/>
      </c>
      <c r="N175" s="15">
        <f>IF($C175="","",IF($L175="","",IF($L175&gt;=$J175,"Yes","No")))</f>
        <v/>
      </c>
      <c r="O175" s="15">
        <f>IF($C175="","",IF($M175="","",IF($M175&gt;=$J175,"Yes","No")))</f>
        <v/>
      </c>
      <c r="P175" s="15">
        <f>IF($C175="","",IF($K175="","",IF(COUNTIFS(nrES_PID,$D175,nrES_Code,$F175,nrES_Att,"&gt;"&amp;$K175)=0,"Yes","No")))</f>
        <v/>
      </c>
      <c r="Q175" s="15">
        <f>IF($C175="","",IF($L175="","",IF(AND($K175=1,$L175&lt;$J175,COUNTIFS(nrES_PID,$D175,nrES_Code,$F175,nrES_Att,2)=0),"Yes","No")))</f>
        <v/>
      </c>
      <c r="R175" s="15">
        <f>IF($C175="","",IF($L175="","",IF(AND($K175=2,$L175&lt;$J175,COUNTIFS(nrES_PID,$D175,nrES_Code,$F175,nrES_Att,1)&gt;0),"Yes","No")))</f>
        <v/>
      </c>
      <c r="S175" s="16" t="n"/>
      <c r="T175" s="17">
        <f>IF($Q175&lt;&gt;"Yes","",IF($S175="","(enter date)",_xlfn.LET(_xlpm.dn,IFERROR(_xlfn.XLOOKUP($S175,nrCDdate,nrCDnum),""),IF(_xlpm.dn="","(not a class day)",IFERROR(_xlfn.XLOOKUP(_xlpm.dn+cfgRetestClassDays,nrCDnum,nrCDdate),"")))))</f>
        <v/>
      </c>
      <c r="U175" s="15">
        <f>IF($Q175&lt;&gt;"Yes","",IF(COUNTIFS(nrES_PID,$D175,nrES_Code,$F175,nrES_Att,2)&gt;0,"Retested",IF(OR($T175="",NOT(ISNUMBER($T175))),"Pending",IF(TODAY()&gt;$T175,"OVERDUE","Due "&amp;TEXT($T175,"mm/dd")))))</f>
        <v/>
      </c>
      <c r="V175" s="14" t="n"/>
      <c r="W175" s="14" t="n"/>
    </row>
    <row r="176">
      <c r="B176" s="15">
        <f>IF($C176="","",$D176&amp;"-"&amp;$F176&amp;"-"&amp;$K176)</f>
        <v/>
      </c>
      <c r="C176" s="14" t="n"/>
      <c r="D176" s="15">
        <f>IF($C176="","",IFERROR(INDEX(rngCadetPIDs,MATCH($C176,rngCadetNames,0)),"?"))</f>
        <v/>
      </c>
      <c r="E176" s="15">
        <f>IF($D176="","",IFERROR(INDEX(nrCadetAgency,MATCH($D176,rngCadetPIDs,0)),""))</f>
        <v/>
      </c>
      <c r="F176" s="14" t="n"/>
      <c r="G176" s="15">
        <f>IF($F176="","",IFERROR(INDEX(rngEPname,MATCH($F176,rngEPcode,0)),"?"))</f>
        <v/>
      </c>
      <c r="H176" s="15">
        <f>IF($F176="","",IFERROR(INDEX(rngEPtype,MATCH($F176,rngEPcode,0)),"?"))</f>
        <v/>
      </c>
      <c r="I176" s="15">
        <f>IF($F176="","",IFERROR(INDEX(rngEPseq,MATCH($F176,rngEPcode,0)),""))</f>
        <v/>
      </c>
      <c r="J176" s="15">
        <f>IF($F176="","",IFERROR(INDEX(rngEPpass,MATCH($F176,rngEPcode,0)),cfgPassingScore))</f>
        <v/>
      </c>
      <c r="K176" s="14" t="n"/>
      <c r="L176" s="14" t="n"/>
      <c r="M176" s="15">
        <f>IF($C176="","",IF($L176="","",IF($K176=1,IF(COUNTIFS(nrES_PID,$D176,nrES_Code,$F176,nrES_Att,2)&gt;0,"",$L176),IF(COUNTIFS(nrES_PID,$D176,nrES_Code,$F176,nrES_Att,1)=0,$L176,IF($L176&gt;=$J176,cfgRetakeRecordedCap,SUMIFS(nrES_Raw,nrES_PID,$D176,nrES_Code,$F176,nrES_Att,1))))))</f>
        <v/>
      </c>
      <c r="N176" s="15">
        <f>IF($C176="","",IF($L176="","",IF($L176&gt;=$J176,"Yes","No")))</f>
        <v/>
      </c>
      <c r="O176" s="15">
        <f>IF($C176="","",IF($M176="","",IF($M176&gt;=$J176,"Yes","No")))</f>
        <v/>
      </c>
      <c r="P176" s="15">
        <f>IF($C176="","",IF($K176="","",IF(COUNTIFS(nrES_PID,$D176,nrES_Code,$F176,nrES_Att,"&gt;"&amp;$K176)=0,"Yes","No")))</f>
        <v/>
      </c>
      <c r="Q176" s="15">
        <f>IF($C176="","",IF($L176="","",IF(AND($K176=1,$L176&lt;$J176,COUNTIFS(nrES_PID,$D176,nrES_Code,$F176,nrES_Att,2)=0),"Yes","No")))</f>
        <v/>
      </c>
      <c r="R176" s="15">
        <f>IF($C176="","",IF($L176="","",IF(AND($K176=2,$L176&lt;$J176,COUNTIFS(nrES_PID,$D176,nrES_Code,$F176,nrES_Att,1)&gt;0),"Yes","No")))</f>
        <v/>
      </c>
      <c r="S176" s="16" t="n"/>
      <c r="T176" s="17">
        <f>IF($Q176&lt;&gt;"Yes","",IF($S176="","(enter date)",_xlfn.LET(_xlpm.dn,IFERROR(_xlfn.XLOOKUP($S176,nrCDdate,nrCDnum),""),IF(_xlpm.dn="","(not a class day)",IFERROR(_xlfn.XLOOKUP(_xlpm.dn+cfgRetestClassDays,nrCDnum,nrCDdate),"")))))</f>
        <v/>
      </c>
      <c r="U176" s="15">
        <f>IF($Q176&lt;&gt;"Yes","",IF(COUNTIFS(nrES_PID,$D176,nrES_Code,$F176,nrES_Att,2)&gt;0,"Retested",IF(OR($T176="",NOT(ISNUMBER($T176))),"Pending",IF(TODAY()&gt;$T176,"OVERDUE","Due "&amp;TEXT($T176,"mm/dd")))))</f>
        <v/>
      </c>
      <c r="V176" s="14" t="n"/>
      <c r="W176" s="14" t="n"/>
    </row>
    <row r="177">
      <c r="B177" s="15">
        <f>IF($C177="","",$D177&amp;"-"&amp;$F177&amp;"-"&amp;$K177)</f>
        <v/>
      </c>
      <c r="C177" s="14" t="n"/>
      <c r="D177" s="15">
        <f>IF($C177="","",IFERROR(INDEX(rngCadetPIDs,MATCH($C177,rngCadetNames,0)),"?"))</f>
        <v/>
      </c>
      <c r="E177" s="15">
        <f>IF($D177="","",IFERROR(INDEX(nrCadetAgency,MATCH($D177,rngCadetPIDs,0)),""))</f>
        <v/>
      </c>
      <c r="F177" s="14" t="n"/>
      <c r="G177" s="15">
        <f>IF($F177="","",IFERROR(INDEX(rngEPname,MATCH($F177,rngEPcode,0)),"?"))</f>
        <v/>
      </c>
      <c r="H177" s="15">
        <f>IF($F177="","",IFERROR(INDEX(rngEPtype,MATCH($F177,rngEPcode,0)),"?"))</f>
        <v/>
      </c>
      <c r="I177" s="15">
        <f>IF($F177="","",IFERROR(INDEX(rngEPseq,MATCH($F177,rngEPcode,0)),""))</f>
        <v/>
      </c>
      <c r="J177" s="15">
        <f>IF($F177="","",IFERROR(INDEX(rngEPpass,MATCH($F177,rngEPcode,0)),cfgPassingScore))</f>
        <v/>
      </c>
      <c r="K177" s="14" t="n"/>
      <c r="L177" s="14" t="n"/>
      <c r="M177" s="15">
        <f>IF($C177="","",IF($L177="","",IF($K177=1,IF(COUNTIFS(nrES_PID,$D177,nrES_Code,$F177,nrES_Att,2)&gt;0,"",$L177),IF(COUNTIFS(nrES_PID,$D177,nrES_Code,$F177,nrES_Att,1)=0,$L177,IF($L177&gt;=$J177,cfgRetakeRecordedCap,SUMIFS(nrES_Raw,nrES_PID,$D177,nrES_Code,$F177,nrES_Att,1))))))</f>
        <v/>
      </c>
      <c r="N177" s="15">
        <f>IF($C177="","",IF($L177="","",IF($L177&gt;=$J177,"Yes","No")))</f>
        <v/>
      </c>
      <c r="O177" s="15">
        <f>IF($C177="","",IF($M177="","",IF($M177&gt;=$J177,"Yes","No")))</f>
        <v/>
      </c>
      <c r="P177" s="15">
        <f>IF($C177="","",IF($K177="","",IF(COUNTIFS(nrES_PID,$D177,nrES_Code,$F177,nrES_Att,"&gt;"&amp;$K177)=0,"Yes","No")))</f>
        <v/>
      </c>
      <c r="Q177" s="15">
        <f>IF($C177="","",IF($L177="","",IF(AND($K177=1,$L177&lt;$J177,COUNTIFS(nrES_PID,$D177,nrES_Code,$F177,nrES_Att,2)=0),"Yes","No")))</f>
        <v/>
      </c>
      <c r="R177" s="15">
        <f>IF($C177="","",IF($L177="","",IF(AND($K177=2,$L177&lt;$J177,COUNTIFS(nrES_PID,$D177,nrES_Code,$F177,nrES_Att,1)&gt;0),"Yes","No")))</f>
        <v/>
      </c>
      <c r="S177" s="16" t="n"/>
      <c r="T177" s="17">
        <f>IF($Q177&lt;&gt;"Yes","",IF($S177="","(enter date)",_xlfn.LET(_xlpm.dn,IFERROR(_xlfn.XLOOKUP($S177,nrCDdate,nrCDnum),""),IF(_xlpm.dn="","(not a class day)",IFERROR(_xlfn.XLOOKUP(_xlpm.dn+cfgRetestClassDays,nrCDnum,nrCDdate),"")))))</f>
        <v/>
      </c>
      <c r="U177" s="15">
        <f>IF($Q177&lt;&gt;"Yes","",IF(COUNTIFS(nrES_PID,$D177,nrES_Code,$F177,nrES_Att,2)&gt;0,"Retested",IF(OR($T177="",NOT(ISNUMBER($T177))),"Pending",IF(TODAY()&gt;$T177,"OVERDUE","Due "&amp;TEXT($T177,"mm/dd")))))</f>
        <v/>
      </c>
      <c r="V177" s="14" t="n"/>
      <c r="W177" s="14" t="n"/>
    </row>
    <row r="178">
      <c r="B178" s="15">
        <f>IF($C178="","",$D178&amp;"-"&amp;$F178&amp;"-"&amp;$K178)</f>
        <v/>
      </c>
      <c r="C178" s="14" t="n"/>
      <c r="D178" s="15">
        <f>IF($C178="","",IFERROR(INDEX(rngCadetPIDs,MATCH($C178,rngCadetNames,0)),"?"))</f>
        <v/>
      </c>
      <c r="E178" s="15">
        <f>IF($D178="","",IFERROR(INDEX(nrCadetAgency,MATCH($D178,rngCadetPIDs,0)),""))</f>
        <v/>
      </c>
      <c r="F178" s="14" t="n"/>
      <c r="G178" s="15">
        <f>IF($F178="","",IFERROR(INDEX(rngEPname,MATCH($F178,rngEPcode,0)),"?"))</f>
        <v/>
      </c>
      <c r="H178" s="15">
        <f>IF($F178="","",IFERROR(INDEX(rngEPtype,MATCH($F178,rngEPcode,0)),"?"))</f>
        <v/>
      </c>
      <c r="I178" s="15">
        <f>IF($F178="","",IFERROR(INDEX(rngEPseq,MATCH($F178,rngEPcode,0)),""))</f>
        <v/>
      </c>
      <c r="J178" s="15">
        <f>IF($F178="","",IFERROR(INDEX(rngEPpass,MATCH($F178,rngEPcode,0)),cfgPassingScore))</f>
        <v/>
      </c>
      <c r="K178" s="14" t="n"/>
      <c r="L178" s="14" t="n"/>
      <c r="M178" s="15">
        <f>IF($C178="","",IF($L178="","",IF($K178=1,IF(COUNTIFS(nrES_PID,$D178,nrES_Code,$F178,nrES_Att,2)&gt;0,"",$L178),IF(COUNTIFS(nrES_PID,$D178,nrES_Code,$F178,nrES_Att,1)=0,$L178,IF($L178&gt;=$J178,cfgRetakeRecordedCap,SUMIFS(nrES_Raw,nrES_PID,$D178,nrES_Code,$F178,nrES_Att,1))))))</f>
        <v/>
      </c>
      <c r="N178" s="15">
        <f>IF($C178="","",IF($L178="","",IF($L178&gt;=$J178,"Yes","No")))</f>
        <v/>
      </c>
      <c r="O178" s="15">
        <f>IF($C178="","",IF($M178="","",IF($M178&gt;=$J178,"Yes","No")))</f>
        <v/>
      </c>
      <c r="P178" s="15">
        <f>IF($C178="","",IF($K178="","",IF(COUNTIFS(nrES_PID,$D178,nrES_Code,$F178,nrES_Att,"&gt;"&amp;$K178)=0,"Yes","No")))</f>
        <v/>
      </c>
      <c r="Q178" s="15">
        <f>IF($C178="","",IF($L178="","",IF(AND($K178=1,$L178&lt;$J178,COUNTIFS(nrES_PID,$D178,nrES_Code,$F178,nrES_Att,2)=0),"Yes","No")))</f>
        <v/>
      </c>
      <c r="R178" s="15">
        <f>IF($C178="","",IF($L178="","",IF(AND($K178=2,$L178&lt;$J178,COUNTIFS(nrES_PID,$D178,nrES_Code,$F178,nrES_Att,1)&gt;0),"Yes","No")))</f>
        <v/>
      </c>
      <c r="S178" s="16" t="n"/>
      <c r="T178" s="17">
        <f>IF($Q178&lt;&gt;"Yes","",IF($S178="","(enter date)",_xlfn.LET(_xlpm.dn,IFERROR(_xlfn.XLOOKUP($S178,nrCDdate,nrCDnum),""),IF(_xlpm.dn="","(not a class day)",IFERROR(_xlfn.XLOOKUP(_xlpm.dn+cfgRetestClassDays,nrCDnum,nrCDdate),"")))))</f>
        <v/>
      </c>
      <c r="U178" s="15">
        <f>IF($Q178&lt;&gt;"Yes","",IF(COUNTIFS(nrES_PID,$D178,nrES_Code,$F178,nrES_Att,2)&gt;0,"Retested",IF(OR($T178="",NOT(ISNUMBER($T178))),"Pending",IF(TODAY()&gt;$T178,"OVERDUE","Due "&amp;TEXT($T178,"mm/dd")))))</f>
        <v/>
      </c>
      <c r="V178" s="14" t="n"/>
      <c r="W178" s="14" t="n"/>
    </row>
    <row r="179">
      <c r="B179" s="15">
        <f>IF($C179="","",$D179&amp;"-"&amp;$F179&amp;"-"&amp;$K179)</f>
        <v/>
      </c>
      <c r="C179" s="14" t="n"/>
      <c r="D179" s="15">
        <f>IF($C179="","",IFERROR(INDEX(rngCadetPIDs,MATCH($C179,rngCadetNames,0)),"?"))</f>
        <v/>
      </c>
      <c r="E179" s="15">
        <f>IF($D179="","",IFERROR(INDEX(nrCadetAgency,MATCH($D179,rngCadetPIDs,0)),""))</f>
        <v/>
      </c>
      <c r="F179" s="14" t="n"/>
      <c r="G179" s="15">
        <f>IF($F179="","",IFERROR(INDEX(rngEPname,MATCH($F179,rngEPcode,0)),"?"))</f>
        <v/>
      </c>
      <c r="H179" s="15">
        <f>IF($F179="","",IFERROR(INDEX(rngEPtype,MATCH($F179,rngEPcode,0)),"?"))</f>
        <v/>
      </c>
      <c r="I179" s="15">
        <f>IF($F179="","",IFERROR(INDEX(rngEPseq,MATCH($F179,rngEPcode,0)),""))</f>
        <v/>
      </c>
      <c r="J179" s="15">
        <f>IF($F179="","",IFERROR(INDEX(rngEPpass,MATCH($F179,rngEPcode,0)),cfgPassingScore))</f>
        <v/>
      </c>
      <c r="K179" s="14" t="n"/>
      <c r="L179" s="14" t="n"/>
      <c r="M179" s="15">
        <f>IF($C179="","",IF($L179="","",IF($K179=1,IF(COUNTIFS(nrES_PID,$D179,nrES_Code,$F179,nrES_Att,2)&gt;0,"",$L179),IF(COUNTIFS(nrES_PID,$D179,nrES_Code,$F179,nrES_Att,1)=0,$L179,IF($L179&gt;=$J179,cfgRetakeRecordedCap,SUMIFS(nrES_Raw,nrES_PID,$D179,nrES_Code,$F179,nrES_Att,1))))))</f>
        <v/>
      </c>
      <c r="N179" s="15">
        <f>IF($C179="","",IF($L179="","",IF($L179&gt;=$J179,"Yes","No")))</f>
        <v/>
      </c>
      <c r="O179" s="15">
        <f>IF($C179="","",IF($M179="","",IF($M179&gt;=$J179,"Yes","No")))</f>
        <v/>
      </c>
      <c r="P179" s="15">
        <f>IF($C179="","",IF($K179="","",IF(COUNTIFS(nrES_PID,$D179,nrES_Code,$F179,nrES_Att,"&gt;"&amp;$K179)=0,"Yes","No")))</f>
        <v/>
      </c>
      <c r="Q179" s="15">
        <f>IF($C179="","",IF($L179="","",IF(AND($K179=1,$L179&lt;$J179,COUNTIFS(nrES_PID,$D179,nrES_Code,$F179,nrES_Att,2)=0),"Yes","No")))</f>
        <v/>
      </c>
      <c r="R179" s="15">
        <f>IF($C179="","",IF($L179="","",IF(AND($K179=2,$L179&lt;$J179,COUNTIFS(nrES_PID,$D179,nrES_Code,$F179,nrES_Att,1)&gt;0),"Yes","No")))</f>
        <v/>
      </c>
      <c r="S179" s="16" t="n"/>
      <c r="T179" s="17">
        <f>IF($Q179&lt;&gt;"Yes","",IF($S179="","(enter date)",_xlfn.LET(_xlpm.dn,IFERROR(_xlfn.XLOOKUP($S179,nrCDdate,nrCDnum),""),IF(_xlpm.dn="","(not a class day)",IFERROR(_xlfn.XLOOKUP(_xlpm.dn+cfgRetestClassDays,nrCDnum,nrCDdate),"")))))</f>
        <v/>
      </c>
      <c r="U179" s="15">
        <f>IF($Q179&lt;&gt;"Yes","",IF(COUNTIFS(nrES_PID,$D179,nrES_Code,$F179,nrES_Att,2)&gt;0,"Retested",IF(OR($T179="",NOT(ISNUMBER($T179))),"Pending",IF(TODAY()&gt;$T179,"OVERDUE","Due "&amp;TEXT($T179,"mm/dd")))))</f>
        <v/>
      </c>
      <c r="V179" s="14" t="n"/>
      <c r="W179" s="14" t="n"/>
    </row>
    <row r="180">
      <c r="B180" s="15">
        <f>IF($C180="","",$D180&amp;"-"&amp;$F180&amp;"-"&amp;$K180)</f>
        <v/>
      </c>
      <c r="C180" s="14" t="n"/>
      <c r="D180" s="15">
        <f>IF($C180="","",IFERROR(INDEX(rngCadetPIDs,MATCH($C180,rngCadetNames,0)),"?"))</f>
        <v/>
      </c>
      <c r="E180" s="15">
        <f>IF($D180="","",IFERROR(INDEX(nrCadetAgency,MATCH($D180,rngCadetPIDs,0)),""))</f>
        <v/>
      </c>
      <c r="F180" s="14" t="n"/>
      <c r="G180" s="15">
        <f>IF($F180="","",IFERROR(INDEX(rngEPname,MATCH($F180,rngEPcode,0)),"?"))</f>
        <v/>
      </c>
      <c r="H180" s="15">
        <f>IF($F180="","",IFERROR(INDEX(rngEPtype,MATCH($F180,rngEPcode,0)),"?"))</f>
        <v/>
      </c>
      <c r="I180" s="15">
        <f>IF($F180="","",IFERROR(INDEX(rngEPseq,MATCH($F180,rngEPcode,0)),""))</f>
        <v/>
      </c>
      <c r="J180" s="15">
        <f>IF($F180="","",IFERROR(INDEX(rngEPpass,MATCH($F180,rngEPcode,0)),cfgPassingScore))</f>
        <v/>
      </c>
      <c r="K180" s="14" t="n"/>
      <c r="L180" s="14" t="n"/>
      <c r="M180" s="15">
        <f>IF($C180="","",IF($L180="","",IF($K180=1,IF(COUNTIFS(nrES_PID,$D180,nrES_Code,$F180,nrES_Att,2)&gt;0,"",$L180),IF(COUNTIFS(nrES_PID,$D180,nrES_Code,$F180,nrES_Att,1)=0,$L180,IF($L180&gt;=$J180,cfgRetakeRecordedCap,SUMIFS(nrES_Raw,nrES_PID,$D180,nrES_Code,$F180,nrES_Att,1))))))</f>
        <v/>
      </c>
      <c r="N180" s="15">
        <f>IF($C180="","",IF($L180="","",IF($L180&gt;=$J180,"Yes","No")))</f>
        <v/>
      </c>
      <c r="O180" s="15">
        <f>IF($C180="","",IF($M180="","",IF($M180&gt;=$J180,"Yes","No")))</f>
        <v/>
      </c>
      <c r="P180" s="15">
        <f>IF($C180="","",IF($K180="","",IF(COUNTIFS(nrES_PID,$D180,nrES_Code,$F180,nrES_Att,"&gt;"&amp;$K180)=0,"Yes","No")))</f>
        <v/>
      </c>
      <c r="Q180" s="15">
        <f>IF($C180="","",IF($L180="","",IF(AND($K180=1,$L180&lt;$J180,COUNTIFS(nrES_PID,$D180,nrES_Code,$F180,nrES_Att,2)=0),"Yes","No")))</f>
        <v/>
      </c>
      <c r="R180" s="15">
        <f>IF($C180="","",IF($L180="","",IF(AND($K180=2,$L180&lt;$J180,COUNTIFS(nrES_PID,$D180,nrES_Code,$F180,nrES_Att,1)&gt;0),"Yes","No")))</f>
        <v/>
      </c>
      <c r="S180" s="16" t="n"/>
      <c r="T180" s="17">
        <f>IF($Q180&lt;&gt;"Yes","",IF($S180="","(enter date)",_xlfn.LET(_xlpm.dn,IFERROR(_xlfn.XLOOKUP($S180,nrCDdate,nrCDnum),""),IF(_xlpm.dn="","(not a class day)",IFERROR(_xlfn.XLOOKUP(_xlpm.dn+cfgRetestClassDays,nrCDnum,nrCDdate),"")))))</f>
        <v/>
      </c>
      <c r="U180" s="15">
        <f>IF($Q180&lt;&gt;"Yes","",IF(COUNTIFS(nrES_PID,$D180,nrES_Code,$F180,nrES_Att,2)&gt;0,"Retested",IF(OR($T180="",NOT(ISNUMBER($T180))),"Pending",IF(TODAY()&gt;$T180,"OVERDUE","Due "&amp;TEXT($T180,"mm/dd")))))</f>
        <v/>
      </c>
      <c r="V180" s="14" t="n"/>
      <c r="W180" s="14" t="n"/>
    </row>
    <row r="181">
      <c r="B181" s="15">
        <f>IF($C181="","",$D181&amp;"-"&amp;$F181&amp;"-"&amp;$K181)</f>
        <v/>
      </c>
      <c r="C181" s="14" t="n"/>
      <c r="D181" s="15">
        <f>IF($C181="","",IFERROR(INDEX(rngCadetPIDs,MATCH($C181,rngCadetNames,0)),"?"))</f>
        <v/>
      </c>
      <c r="E181" s="15">
        <f>IF($D181="","",IFERROR(INDEX(nrCadetAgency,MATCH($D181,rngCadetPIDs,0)),""))</f>
        <v/>
      </c>
      <c r="F181" s="14" t="n"/>
      <c r="G181" s="15">
        <f>IF($F181="","",IFERROR(INDEX(rngEPname,MATCH($F181,rngEPcode,0)),"?"))</f>
        <v/>
      </c>
      <c r="H181" s="15">
        <f>IF($F181="","",IFERROR(INDEX(rngEPtype,MATCH($F181,rngEPcode,0)),"?"))</f>
        <v/>
      </c>
      <c r="I181" s="15">
        <f>IF($F181="","",IFERROR(INDEX(rngEPseq,MATCH($F181,rngEPcode,0)),""))</f>
        <v/>
      </c>
      <c r="J181" s="15">
        <f>IF($F181="","",IFERROR(INDEX(rngEPpass,MATCH($F181,rngEPcode,0)),cfgPassingScore))</f>
        <v/>
      </c>
      <c r="K181" s="14" t="n"/>
      <c r="L181" s="14" t="n"/>
      <c r="M181" s="15">
        <f>IF($C181="","",IF($L181="","",IF($K181=1,IF(COUNTIFS(nrES_PID,$D181,nrES_Code,$F181,nrES_Att,2)&gt;0,"",$L181),IF(COUNTIFS(nrES_PID,$D181,nrES_Code,$F181,nrES_Att,1)=0,$L181,IF($L181&gt;=$J181,cfgRetakeRecordedCap,SUMIFS(nrES_Raw,nrES_PID,$D181,nrES_Code,$F181,nrES_Att,1))))))</f>
        <v/>
      </c>
      <c r="N181" s="15">
        <f>IF($C181="","",IF($L181="","",IF($L181&gt;=$J181,"Yes","No")))</f>
        <v/>
      </c>
      <c r="O181" s="15">
        <f>IF($C181="","",IF($M181="","",IF($M181&gt;=$J181,"Yes","No")))</f>
        <v/>
      </c>
      <c r="P181" s="15">
        <f>IF($C181="","",IF($K181="","",IF(COUNTIFS(nrES_PID,$D181,nrES_Code,$F181,nrES_Att,"&gt;"&amp;$K181)=0,"Yes","No")))</f>
        <v/>
      </c>
      <c r="Q181" s="15">
        <f>IF($C181="","",IF($L181="","",IF(AND($K181=1,$L181&lt;$J181,COUNTIFS(nrES_PID,$D181,nrES_Code,$F181,nrES_Att,2)=0),"Yes","No")))</f>
        <v/>
      </c>
      <c r="R181" s="15">
        <f>IF($C181="","",IF($L181="","",IF(AND($K181=2,$L181&lt;$J181,COUNTIFS(nrES_PID,$D181,nrES_Code,$F181,nrES_Att,1)&gt;0),"Yes","No")))</f>
        <v/>
      </c>
      <c r="S181" s="16" t="n"/>
      <c r="T181" s="17">
        <f>IF($Q181&lt;&gt;"Yes","",IF($S181="","(enter date)",_xlfn.LET(_xlpm.dn,IFERROR(_xlfn.XLOOKUP($S181,nrCDdate,nrCDnum),""),IF(_xlpm.dn="","(not a class day)",IFERROR(_xlfn.XLOOKUP(_xlpm.dn+cfgRetestClassDays,nrCDnum,nrCDdate),"")))))</f>
        <v/>
      </c>
      <c r="U181" s="15">
        <f>IF($Q181&lt;&gt;"Yes","",IF(COUNTIFS(nrES_PID,$D181,nrES_Code,$F181,nrES_Att,2)&gt;0,"Retested",IF(OR($T181="",NOT(ISNUMBER($T181))),"Pending",IF(TODAY()&gt;$T181,"OVERDUE","Due "&amp;TEXT($T181,"mm/dd")))))</f>
        <v/>
      </c>
      <c r="V181" s="14" t="n"/>
      <c r="W181" s="14" t="n"/>
    </row>
    <row r="182">
      <c r="B182" s="15">
        <f>IF($C182="","",$D182&amp;"-"&amp;$F182&amp;"-"&amp;$K182)</f>
        <v/>
      </c>
      <c r="C182" s="14" t="n"/>
      <c r="D182" s="15">
        <f>IF($C182="","",IFERROR(INDEX(rngCadetPIDs,MATCH($C182,rngCadetNames,0)),"?"))</f>
        <v/>
      </c>
      <c r="E182" s="15">
        <f>IF($D182="","",IFERROR(INDEX(nrCadetAgency,MATCH($D182,rngCadetPIDs,0)),""))</f>
        <v/>
      </c>
      <c r="F182" s="14" t="n"/>
      <c r="G182" s="15">
        <f>IF($F182="","",IFERROR(INDEX(rngEPname,MATCH($F182,rngEPcode,0)),"?"))</f>
        <v/>
      </c>
      <c r="H182" s="15">
        <f>IF($F182="","",IFERROR(INDEX(rngEPtype,MATCH($F182,rngEPcode,0)),"?"))</f>
        <v/>
      </c>
      <c r="I182" s="15">
        <f>IF($F182="","",IFERROR(INDEX(rngEPseq,MATCH($F182,rngEPcode,0)),""))</f>
        <v/>
      </c>
      <c r="J182" s="15">
        <f>IF($F182="","",IFERROR(INDEX(rngEPpass,MATCH($F182,rngEPcode,0)),cfgPassingScore))</f>
        <v/>
      </c>
      <c r="K182" s="14" t="n"/>
      <c r="L182" s="14" t="n"/>
      <c r="M182" s="15">
        <f>IF($C182="","",IF($L182="","",IF($K182=1,IF(COUNTIFS(nrES_PID,$D182,nrES_Code,$F182,nrES_Att,2)&gt;0,"",$L182),IF(COUNTIFS(nrES_PID,$D182,nrES_Code,$F182,nrES_Att,1)=0,$L182,IF($L182&gt;=$J182,cfgRetakeRecordedCap,SUMIFS(nrES_Raw,nrES_PID,$D182,nrES_Code,$F182,nrES_Att,1))))))</f>
        <v/>
      </c>
      <c r="N182" s="15">
        <f>IF($C182="","",IF($L182="","",IF($L182&gt;=$J182,"Yes","No")))</f>
        <v/>
      </c>
      <c r="O182" s="15">
        <f>IF($C182="","",IF($M182="","",IF($M182&gt;=$J182,"Yes","No")))</f>
        <v/>
      </c>
      <c r="P182" s="15">
        <f>IF($C182="","",IF($K182="","",IF(COUNTIFS(nrES_PID,$D182,nrES_Code,$F182,nrES_Att,"&gt;"&amp;$K182)=0,"Yes","No")))</f>
        <v/>
      </c>
      <c r="Q182" s="15">
        <f>IF($C182="","",IF($L182="","",IF(AND($K182=1,$L182&lt;$J182,COUNTIFS(nrES_PID,$D182,nrES_Code,$F182,nrES_Att,2)=0),"Yes","No")))</f>
        <v/>
      </c>
      <c r="R182" s="15">
        <f>IF($C182="","",IF($L182="","",IF(AND($K182=2,$L182&lt;$J182,COUNTIFS(nrES_PID,$D182,nrES_Code,$F182,nrES_Att,1)&gt;0),"Yes","No")))</f>
        <v/>
      </c>
      <c r="S182" s="16" t="n"/>
      <c r="T182" s="17">
        <f>IF($Q182&lt;&gt;"Yes","",IF($S182="","(enter date)",_xlfn.LET(_xlpm.dn,IFERROR(_xlfn.XLOOKUP($S182,nrCDdate,nrCDnum),""),IF(_xlpm.dn="","(not a class day)",IFERROR(_xlfn.XLOOKUP(_xlpm.dn+cfgRetestClassDays,nrCDnum,nrCDdate),"")))))</f>
        <v/>
      </c>
      <c r="U182" s="15">
        <f>IF($Q182&lt;&gt;"Yes","",IF(COUNTIFS(nrES_PID,$D182,nrES_Code,$F182,nrES_Att,2)&gt;0,"Retested",IF(OR($T182="",NOT(ISNUMBER($T182))),"Pending",IF(TODAY()&gt;$T182,"OVERDUE","Due "&amp;TEXT($T182,"mm/dd")))))</f>
        <v/>
      </c>
      <c r="V182" s="14" t="n"/>
      <c r="W182" s="14" t="n"/>
    </row>
    <row r="183">
      <c r="B183" s="15">
        <f>IF($C183="","",$D183&amp;"-"&amp;$F183&amp;"-"&amp;$K183)</f>
        <v/>
      </c>
      <c r="C183" s="14" t="n"/>
      <c r="D183" s="15">
        <f>IF($C183="","",IFERROR(INDEX(rngCadetPIDs,MATCH($C183,rngCadetNames,0)),"?"))</f>
        <v/>
      </c>
      <c r="E183" s="15">
        <f>IF($D183="","",IFERROR(INDEX(nrCadetAgency,MATCH($D183,rngCadetPIDs,0)),""))</f>
        <v/>
      </c>
      <c r="F183" s="14" t="n"/>
      <c r="G183" s="15">
        <f>IF($F183="","",IFERROR(INDEX(rngEPname,MATCH($F183,rngEPcode,0)),"?"))</f>
        <v/>
      </c>
      <c r="H183" s="15">
        <f>IF($F183="","",IFERROR(INDEX(rngEPtype,MATCH($F183,rngEPcode,0)),"?"))</f>
        <v/>
      </c>
      <c r="I183" s="15">
        <f>IF($F183="","",IFERROR(INDEX(rngEPseq,MATCH($F183,rngEPcode,0)),""))</f>
        <v/>
      </c>
      <c r="J183" s="15">
        <f>IF($F183="","",IFERROR(INDEX(rngEPpass,MATCH($F183,rngEPcode,0)),cfgPassingScore))</f>
        <v/>
      </c>
      <c r="K183" s="14" t="n"/>
      <c r="L183" s="14" t="n"/>
      <c r="M183" s="15">
        <f>IF($C183="","",IF($L183="","",IF($K183=1,IF(COUNTIFS(nrES_PID,$D183,nrES_Code,$F183,nrES_Att,2)&gt;0,"",$L183),IF(COUNTIFS(nrES_PID,$D183,nrES_Code,$F183,nrES_Att,1)=0,$L183,IF($L183&gt;=$J183,cfgRetakeRecordedCap,SUMIFS(nrES_Raw,nrES_PID,$D183,nrES_Code,$F183,nrES_Att,1))))))</f>
        <v/>
      </c>
      <c r="N183" s="15">
        <f>IF($C183="","",IF($L183="","",IF($L183&gt;=$J183,"Yes","No")))</f>
        <v/>
      </c>
      <c r="O183" s="15">
        <f>IF($C183="","",IF($M183="","",IF($M183&gt;=$J183,"Yes","No")))</f>
        <v/>
      </c>
      <c r="P183" s="15">
        <f>IF($C183="","",IF($K183="","",IF(COUNTIFS(nrES_PID,$D183,nrES_Code,$F183,nrES_Att,"&gt;"&amp;$K183)=0,"Yes","No")))</f>
        <v/>
      </c>
      <c r="Q183" s="15">
        <f>IF($C183="","",IF($L183="","",IF(AND($K183=1,$L183&lt;$J183,COUNTIFS(nrES_PID,$D183,nrES_Code,$F183,nrES_Att,2)=0),"Yes","No")))</f>
        <v/>
      </c>
      <c r="R183" s="15">
        <f>IF($C183="","",IF($L183="","",IF(AND($K183=2,$L183&lt;$J183,COUNTIFS(nrES_PID,$D183,nrES_Code,$F183,nrES_Att,1)&gt;0),"Yes","No")))</f>
        <v/>
      </c>
      <c r="S183" s="16" t="n"/>
      <c r="T183" s="17">
        <f>IF($Q183&lt;&gt;"Yes","",IF($S183="","(enter date)",_xlfn.LET(_xlpm.dn,IFERROR(_xlfn.XLOOKUP($S183,nrCDdate,nrCDnum),""),IF(_xlpm.dn="","(not a class day)",IFERROR(_xlfn.XLOOKUP(_xlpm.dn+cfgRetestClassDays,nrCDnum,nrCDdate),"")))))</f>
        <v/>
      </c>
      <c r="U183" s="15">
        <f>IF($Q183&lt;&gt;"Yes","",IF(COUNTIFS(nrES_PID,$D183,nrES_Code,$F183,nrES_Att,2)&gt;0,"Retested",IF(OR($T183="",NOT(ISNUMBER($T183))),"Pending",IF(TODAY()&gt;$T183,"OVERDUE","Due "&amp;TEXT($T183,"mm/dd")))))</f>
        <v/>
      </c>
      <c r="V183" s="14" t="n"/>
      <c r="W183" s="14" t="n"/>
    </row>
    <row r="184">
      <c r="B184" s="15">
        <f>IF($C184="","",$D184&amp;"-"&amp;$F184&amp;"-"&amp;$K184)</f>
        <v/>
      </c>
      <c r="C184" s="14" t="n"/>
      <c r="D184" s="15">
        <f>IF($C184="","",IFERROR(INDEX(rngCadetPIDs,MATCH($C184,rngCadetNames,0)),"?"))</f>
        <v/>
      </c>
      <c r="E184" s="15">
        <f>IF($D184="","",IFERROR(INDEX(nrCadetAgency,MATCH($D184,rngCadetPIDs,0)),""))</f>
        <v/>
      </c>
      <c r="F184" s="14" t="n"/>
      <c r="G184" s="15">
        <f>IF($F184="","",IFERROR(INDEX(rngEPname,MATCH($F184,rngEPcode,0)),"?"))</f>
        <v/>
      </c>
      <c r="H184" s="15">
        <f>IF($F184="","",IFERROR(INDEX(rngEPtype,MATCH($F184,rngEPcode,0)),"?"))</f>
        <v/>
      </c>
      <c r="I184" s="15">
        <f>IF($F184="","",IFERROR(INDEX(rngEPseq,MATCH($F184,rngEPcode,0)),""))</f>
        <v/>
      </c>
      <c r="J184" s="15">
        <f>IF($F184="","",IFERROR(INDEX(rngEPpass,MATCH($F184,rngEPcode,0)),cfgPassingScore))</f>
        <v/>
      </c>
      <c r="K184" s="14" t="n"/>
      <c r="L184" s="14" t="n"/>
      <c r="M184" s="15">
        <f>IF($C184="","",IF($L184="","",IF($K184=1,IF(COUNTIFS(nrES_PID,$D184,nrES_Code,$F184,nrES_Att,2)&gt;0,"",$L184),IF(COUNTIFS(nrES_PID,$D184,nrES_Code,$F184,nrES_Att,1)=0,$L184,IF($L184&gt;=$J184,cfgRetakeRecordedCap,SUMIFS(nrES_Raw,nrES_PID,$D184,nrES_Code,$F184,nrES_Att,1))))))</f>
        <v/>
      </c>
      <c r="N184" s="15">
        <f>IF($C184="","",IF($L184="","",IF($L184&gt;=$J184,"Yes","No")))</f>
        <v/>
      </c>
      <c r="O184" s="15">
        <f>IF($C184="","",IF($M184="","",IF($M184&gt;=$J184,"Yes","No")))</f>
        <v/>
      </c>
      <c r="P184" s="15">
        <f>IF($C184="","",IF($K184="","",IF(COUNTIFS(nrES_PID,$D184,nrES_Code,$F184,nrES_Att,"&gt;"&amp;$K184)=0,"Yes","No")))</f>
        <v/>
      </c>
      <c r="Q184" s="15">
        <f>IF($C184="","",IF($L184="","",IF(AND($K184=1,$L184&lt;$J184,COUNTIFS(nrES_PID,$D184,nrES_Code,$F184,nrES_Att,2)=0),"Yes","No")))</f>
        <v/>
      </c>
      <c r="R184" s="15">
        <f>IF($C184="","",IF($L184="","",IF(AND($K184=2,$L184&lt;$J184,COUNTIFS(nrES_PID,$D184,nrES_Code,$F184,nrES_Att,1)&gt;0),"Yes","No")))</f>
        <v/>
      </c>
      <c r="S184" s="16" t="n"/>
      <c r="T184" s="17">
        <f>IF($Q184&lt;&gt;"Yes","",IF($S184="","(enter date)",_xlfn.LET(_xlpm.dn,IFERROR(_xlfn.XLOOKUP($S184,nrCDdate,nrCDnum),""),IF(_xlpm.dn="","(not a class day)",IFERROR(_xlfn.XLOOKUP(_xlpm.dn+cfgRetestClassDays,nrCDnum,nrCDdate),"")))))</f>
        <v/>
      </c>
      <c r="U184" s="15">
        <f>IF($Q184&lt;&gt;"Yes","",IF(COUNTIFS(nrES_PID,$D184,nrES_Code,$F184,nrES_Att,2)&gt;0,"Retested",IF(OR($T184="",NOT(ISNUMBER($T184))),"Pending",IF(TODAY()&gt;$T184,"OVERDUE","Due "&amp;TEXT($T184,"mm/dd")))))</f>
        <v/>
      </c>
      <c r="V184" s="14" t="n"/>
      <c r="W184" s="14" t="n"/>
    </row>
    <row r="185">
      <c r="B185" s="15">
        <f>IF($C185="","",$D185&amp;"-"&amp;$F185&amp;"-"&amp;$K185)</f>
        <v/>
      </c>
      <c r="C185" s="14" t="n"/>
      <c r="D185" s="15">
        <f>IF($C185="","",IFERROR(INDEX(rngCadetPIDs,MATCH($C185,rngCadetNames,0)),"?"))</f>
        <v/>
      </c>
      <c r="E185" s="15">
        <f>IF($D185="","",IFERROR(INDEX(nrCadetAgency,MATCH($D185,rngCadetPIDs,0)),""))</f>
        <v/>
      </c>
      <c r="F185" s="14" t="n"/>
      <c r="G185" s="15">
        <f>IF($F185="","",IFERROR(INDEX(rngEPname,MATCH($F185,rngEPcode,0)),"?"))</f>
        <v/>
      </c>
      <c r="H185" s="15">
        <f>IF($F185="","",IFERROR(INDEX(rngEPtype,MATCH($F185,rngEPcode,0)),"?"))</f>
        <v/>
      </c>
      <c r="I185" s="15">
        <f>IF($F185="","",IFERROR(INDEX(rngEPseq,MATCH($F185,rngEPcode,0)),""))</f>
        <v/>
      </c>
      <c r="J185" s="15">
        <f>IF($F185="","",IFERROR(INDEX(rngEPpass,MATCH($F185,rngEPcode,0)),cfgPassingScore))</f>
        <v/>
      </c>
      <c r="K185" s="14" t="n"/>
      <c r="L185" s="14" t="n"/>
      <c r="M185" s="15">
        <f>IF($C185="","",IF($L185="","",IF($K185=1,IF(COUNTIFS(nrES_PID,$D185,nrES_Code,$F185,nrES_Att,2)&gt;0,"",$L185),IF(COUNTIFS(nrES_PID,$D185,nrES_Code,$F185,nrES_Att,1)=0,$L185,IF($L185&gt;=$J185,cfgRetakeRecordedCap,SUMIFS(nrES_Raw,nrES_PID,$D185,nrES_Code,$F185,nrES_Att,1))))))</f>
        <v/>
      </c>
      <c r="N185" s="15">
        <f>IF($C185="","",IF($L185="","",IF($L185&gt;=$J185,"Yes","No")))</f>
        <v/>
      </c>
      <c r="O185" s="15">
        <f>IF($C185="","",IF($M185="","",IF($M185&gt;=$J185,"Yes","No")))</f>
        <v/>
      </c>
      <c r="P185" s="15">
        <f>IF($C185="","",IF($K185="","",IF(COUNTIFS(nrES_PID,$D185,nrES_Code,$F185,nrES_Att,"&gt;"&amp;$K185)=0,"Yes","No")))</f>
        <v/>
      </c>
      <c r="Q185" s="15">
        <f>IF($C185="","",IF($L185="","",IF(AND($K185=1,$L185&lt;$J185,COUNTIFS(nrES_PID,$D185,nrES_Code,$F185,nrES_Att,2)=0),"Yes","No")))</f>
        <v/>
      </c>
      <c r="R185" s="15">
        <f>IF($C185="","",IF($L185="","",IF(AND($K185=2,$L185&lt;$J185,COUNTIFS(nrES_PID,$D185,nrES_Code,$F185,nrES_Att,1)&gt;0),"Yes","No")))</f>
        <v/>
      </c>
      <c r="S185" s="16" t="n"/>
      <c r="T185" s="17">
        <f>IF($Q185&lt;&gt;"Yes","",IF($S185="","(enter date)",_xlfn.LET(_xlpm.dn,IFERROR(_xlfn.XLOOKUP($S185,nrCDdate,nrCDnum),""),IF(_xlpm.dn="","(not a class day)",IFERROR(_xlfn.XLOOKUP(_xlpm.dn+cfgRetestClassDays,nrCDnum,nrCDdate),"")))))</f>
        <v/>
      </c>
      <c r="U185" s="15">
        <f>IF($Q185&lt;&gt;"Yes","",IF(COUNTIFS(nrES_PID,$D185,nrES_Code,$F185,nrES_Att,2)&gt;0,"Retested",IF(OR($T185="",NOT(ISNUMBER($T185))),"Pending",IF(TODAY()&gt;$T185,"OVERDUE","Due "&amp;TEXT($T185,"mm/dd")))))</f>
        <v/>
      </c>
      <c r="V185" s="14" t="n"/>
      <c r="W185" s="14" t="n"/>
    </row>
    <row r="186">
      <c r="B186" s="15">
        <f>IF($C186="","",$D186&amp;"-"&amp;$F186&amp;"-"&amp;$K186)</f>
        <v/>
      </c>
      <c r="C186" s="14" t="n"/>
      <c r="D186" s="15">
        <f>IF($C186="","",IFERROR(INDEX(rngCadetPIDs,MATCH($C186,rngCadetNames,0)),"?"))</f>
        <v/>
      </c>
      <c r="E186" s="15">
        <f>IF($D186="","",IFERROR(INDEX(nrCadetAgency,MATCH($D186,rngCadetPIDs,0)),""))</f>
        <v/>
      </c>
      <c r="F186" s="14" t="n"/>
      <c r="G186" s="15">
        <f>IF($F186="","",IFERROR(INDEX(rngEPname,MATCH($F186,rngEPcode,0)),"?"))</f>
        <v/>
      </c>
      <c r="H186" s="15">
        <f>IF($F186="","",IFERROR(INDEX(rngEPtype,MATCH($F186,rngEPcode,0)),"?"))</f>
        <v/>
      </c>
      <c r="I186" s="15">
        <f>IF($F186="","",IFERROR(INDEX(rngEPseq,MATCH($F186,rngEPcode,0)),""))</f>
        <v/>
      </c>
      <c r="J186" s="15">
        <f>IF($F186="","",IFERROR(INDEX(rngEPpass,MATCH($F186,rngEPcode,0)),cfgPassingScore))</f>
        <v/>
      </c>
      <c r="K186" s="14" t="n"/>
      <c r="L186" s="14" t="n"/>
      <c r="M186" s="15">
        <f>IF($C186="","",IF($L186="","",IF($K186=1,IF(COUNTIFS(nrES_PID,$D186,nrES_Code,$F186,nrES_Att,2)&gt;0,"",$L186),IF(COUNTIFS(nrES_PID,$D186,nrES_Code,$F186,nrES_Att,1)=0,$L186,IF($L186&gt;=$J186,cfgRetakeRecordedCap,SUMIFS(nrES_Raw,nrES_PID,$D186,nrES_Code,$F186,nrES_Att,1))))))</f>
        <v/>
      </c>
      <c r="N186" s="15">
        <f>IF($C186="","",IF($L186="","",IF($L186&gt;=$J186,"Yes","No")))</f>
        <v/>
      </c>
      <c r="O186" s="15">
        <f>IF($C186="","",IF($M186="","",IF($M186&gt;=$J186,"Yes","No")))</f>
        <v/>
      </c>
      <c r="P186" s="15">
        <f>IF($C186="","",IF($K186="","",IF(COUNTIFS(nrES_PID,$D186,nrES_Code,$F186,nrES_Att,"&gt;"&amp;$K186)=0,"Yes","No")))</f>
        <v/>
      </c>
      <c r="Q186" s="15">
        <f>IF($C186="","",IF($L186="","",IF(AND($K186=1,$L186&lt;$J186,COUNTIFS(nrES_PID,$D186,nrES_Code,$F186,nrES_Att,2)=0),"Yes","No")))</f>
        <v/>
      </c>
      <c r="R186" s="15">
        <f>IF($C186="","",IF($L186="","",IF(AND($K186=2,$L186&lt;$J186,COUNTIFS(nrES_PID,$D186,nrES_Code,$F186,nrES_Att,1)&gt;0),"Yes","No")))</f>
        <v/>
      </c>
      <c r="S186" s="16" t="n"/>
      <c r="T186" s="17">
        <f>IF($Q186&lt;&gt;"Yes","",IF($S186="","(enter date)",_xlfn.LET(_xlpm.dn,IFERROR(_xlfn.XLOOKUP($S186,nrCDdate,nrCDnum),""),IF(_xlpm.dn="","(not a class day)",IFERROR(_xlfn.XLOOKUP(_xlpm.dn+cfgRetestClassDays,nrCDnum,nrCDdate),"")))))</f>
        <v/>
      </c>
      <c r="U186" s="15">
        <f>IF($Q186&lt;&gt;"Yes","",IF(COUNTIFS(nrES_PID,$D186,nrES_Code,$F186,nrES_Att,2)&gt;0,"Retested",IF(OR($T186="",NOT(ISNUMBER($T186))),"Pending",IF(TODAY()&gt;$T186,"OVERDUE","Due "&amp;TEXT($T186,"mm/dd")))))</f>
        <v/>
      </c>
      <c r="V186" s="14" t="n"/>
      <c r="W186" s="14" t="n"/>
    </row>
    <row r="187">
      <c r="B187" s="15">
        <f>IF($C187="","",$D187&amp;"-"&amp;$F187&amp;"-"&amp;$K187)</f>
        <v/>
      </c>
      <c r="C187" s="14" t="n"/>
      <c r="D187" s="15">
        <f>IF($C187="","",IFERROR(INDEX(rngCadetPIDs,MATCH($C187,rngCadetNames,0)),"?"))</f>
        <v/>
      </c>
      <c r="E187" s="15">
        <f>IF($D187="","",IFERROR(INDEX(nrCadetAgency,MATCH($D187,rngCadetPIDs,0)),""))</f>
        <v/>
      </c>
      <c r="F187" s="14" t="n"/>
      <c r="G187" s="15">
        <f>IF($F187="","",IFERROR(INDEX(rngEPname,MATCH($F187,rngEPcode,0)),"?"))</f>
        <v/>
      </c>
      <c r="H187" s="15">
        <f>IF($F187="","",IFERROR(INDEX(rngEPtype,MATCH($F187,rngEPcode,0)),"?"))</f>
        <v/>
      </c>
      <c r="I187" s="15">
        <f>IF($F187="","",IFERROR(INDEX(rngEPseq,MATCH($F187,rngEPcode,0)),""))</f>
        <v/>
      </c>
      <c r="J187" s="15">
        <f>IF($F187="","",IFERROR(INDEX(rngEPpass,MATCH($F187,rngEPcode,0)),cfgPassingScore))</f>
        <v/>
      </c>
      <c r="K187" s="14" t="n"/>
      <c r="L187" s="14" t="n"/>
      <c r="M187" s="15">
        <f>IF($C187="","",IF($L187="","",IF($K187=1,IF(COUNTIFS(nrES_PID,$D187,nrES_Code,$F187,nrES_Att,2)&gt;0,"",$L187),IF(COUNTIFS(nrES_PID,$D187,nrES_Code,$F187,nrES_Att,1)=0,$L187,IF($L187&gt;=$J187,cfgRetakeRecordedCap,SUMIFS(nrES_Raw,nrES_PID,$D187,nrES_Code,$F187,nrES_Att,1))))))</f>
        <v/>
      </c>
      <c r="N187" s="15">
        <f>IF($C187="","",IF($L187="","",IF($L187&gt;=$J187,"Yes","No")))</f>
        <v/>
      </c>
      <c r="O187" s="15">
        <f>IF($C187="","",IF($M187="","",IF($M187&gt;=$J187,"Yes","No")))</f>
        <v/>
      </c>
      <c r="P187" s="15">
        <f>IF($C187="","",IF($K187="","",IF(COUNTIFS(nrES_PID,$D187,nrES_Code,$F187,nrES_Att,"&gt;"&amp;$K187)=0,"Yes","No")))</f>
        <v/>
      </c>
      <c r="Q187" s="15">
        <f>IF($C187="","",IF($L187="","",IF(AND($K187=1,$L187&lt;$J187,COUNTIFS(nrES_PID,$D187,nrES_Code,$F187,nrES_Att,2)=0),"Yes","No")))</f>
        <v/>
      </c>
      <c r="R187" s="15">
        <f>IF($C187="","",IF($L187="","",IF(AND($K187=2,$L187&lt;$J187,COUNTIFS(nrES_PID,$D187,nrES_Code,$F187,nrES_Att,1)&gt;0),"Yes","No")))</f>
        <v/>
      </c>
      <c r="S187" s="16" t="n"/>
      <c r="T187" s="17">
        <f>IF($Q187&lt;&gt;"Yes","",IF($S187="","(enter date)",_xlfn.LET(_xlpm.dn,IFERROR(_xlfn.XLOOKUP($S187,nrCDdate,nrCDnum),""),IF(_xlpm.dn="","(not a class day)",IFERROR(_xlfn.XLOOKUP(_xlpm.dn+cfgRetestClassDays,nrCDnum,nrCDdate),"")))))</f>
        <v/>
      </c>
      <c r="U187" s="15">
        <f>IF($Q187&lt;&gt;"Yes","",IF(COUNTIFS(nrES_PID,$D187,nrES_Code,$F187,nrES_Att,2)&gt;0,"Retested",IF(OR($T187="",NOT(ISNUMBER($T187))),"Pending",IF(TODAY()&gt;$T187,"OVERDUE","Due "&amp;TEXT($T187,"mm/dd")))))</f>
        <v/>
      </c>
      <c r="V187" s="14" t="n"/>
      <c r="W187" s="14" t="n"/>
    </row>
    <row r="188">
      <c r="B188" s="15">
        <f>IF($C188="","",$D188&amp;"-"&amp;$F188&amp;"-"&amp;$K188)</f>
        <v/>
      </c>
      <c r="C188" s="14" t="n"/>
      <c r="D188" s="15">
        <f>IF($C188="","",IFERROR(INDEX(rngCadetPIDs,MATCH($C188,rngCadetNames,0)),"?"))</f>
        <v/>
      </c>
      <c r="E188" s="15">
        <f>IF($D188="","",IFERROR(INDEX(nrCadetAgency,MATCH($D188,rngCadetPIDs,0)),""))</f>
        <v/>
      </c>
      <c r="F188" s="14" t="n"/>
      <c r="G188" s="15">
        <f>IF($F188="","",IFERROR(INDEX(rngEPname,MATCH($F188,rngEPcode,0)),"?"))</f>
        <v/>
      </c>
      <c r="H188" s="15">
        <f>IF($F188="","",IFERROR(INDEX(rngEPtype,MATCH($F188,rngEPcode,0)),"?"))</f>
        <v/>
      </c>
      <c r="I188" s="15">
        <f>IF($F188="","",IFERROR(INDEX(rngEPseq,MATCH($F188,rngEPcode,0)),""))</f>
        <v/>
      </c>
      <c r="J188" s="15">
        <f>IF($F188="","",IFERROR(INDEX(rngEPpass,MATCH($F188,rngEPcode,0)),cfgPassingScore))</f>
        <v/>
      </c>
      <c r="K188" s="14" t="n"/>
      <c r="L188" s="14" t="n"/>
      <c r="M188" s="15">
        <f>IF($C188="","",IF($L188="","",IF($K188=1,IF(COUNTIFS(nrES_PID,$D188,nrES_Code,$F188,nrES_Att,2)&gt;0,"",$L188),IF(COUNTIFS(nrES_PID,$D188,nrES_Code,$F188,nrES_Att,1)=0,$L188,IF($L188&gt;=$J188,cfgRetakeRecordedCap,SUMIFS(nrES_Raw,nrES_PID,$D188,nrES_Code,$F188,nrES_Att,1))))))</f>
        <v/>
      </c>
      <c r="N188" s="15">
        <f>IF($C188="","",IF($L188="","",IF($L188&gt;=$J188,"Yes","No")))</f>
        <v/>
      </c>
      <c r="O188" s="15">
        <f>IF($C188="","",IF($M188="","",IF($M188&gt;=$J188,"Yes","No")))</f>
        <v/>
      </c>
      <c r="P188" s="15">
        <f>IF($C188="","",IF($K188="","",IF(COUNTIFS(nrES_PID,$D188,nrES_Code,$F188,nrES_Att,"&gt;"&amp;$K188)=0,"Yes","No")))</f>
        <v/>
      </c>
      <c r="Q188" s="15">
        <f>IF($C188="","",IF($L188="","",IF(AND($K188=1,$L188&lt;$J188,COUNTIFS(nrES_PID,$D188,nrES_Code,$F188,nrES_Att,2)=0),"Yes","No")))</f>
        <v/>
      </c>
      <c r="R188" s="15">
        <f>IF($C188="","",IF($L188="","",IF(AND($K188=2,$L188&lt;$J188,COUNTIFS(nrES_PID,$D188,nrES_Code,$F188,nrES_Att,1)&gt;0),"Yes","No")))</f>
        <v/>
      </c>
      <c r="S188" s="16" t="n"/>
      <c r="T188" s="17">
        <f>IF($Q188&lt;&gt;"Yes","",IF($S188="","(enter date)",_xlfn.LET(_xlpm.dn,IFERROR(_xlfn.XLOOKUP($S188,nrCDdate,nrCDnum),""),IF(_xlpm.dn="","(not a class day)",IFERROR(_xlfn.XLOOKUP(_xlpm.dn+cfgRetestClassDays,nrCDnum,nrCDdate),"")))))</f>
        <v/>
      </c>
      <c r="U188" s="15">
        <f>IF($Q188&lt;&gt;"Yes","",IF(COUNTIFS(nrES_PID,$D188,nrES_Code,$F188,nrES_Att,2)&gt;0,"Retested",IF(OR($T188="",NOT(ISNUMBER($T188))),"Pending",IF(TODAY()&gt;$T188,"OVERDUE","Due "&amp;TEXT($T188,"mm/dd")))))</f>
        <v/>
      </c>
      <c r="V188" s="14" t="n"/>
      <c r="W188" s="14" t="n"/>
    </row>
    <row r="189">
      <c r="B189" s="15">
        <f>IF($C189="","",$D189&amp;"-"&amp;$F189&amp;"-"&amp;$K189)</f>
        <v/>
      </c>
      <c r="C189" s="14" t="n"/>
      <c r="D189" s="15">
        <f>IF($C189="","",IFERROR(INDEX(rngCadetPIDs,MATCH($C189,rngCadetNames,0)),"?"))</f>
        <v/>
      </c>
      <c r="E189" s="15">
        <f>IF($D189="","",IFERROR(INDEX(nrCadetAgency,MATCH($D189,rngCadetPIDs,0)),""))</f>
        <v/>
      </c>
      <c r="F189" s="14" t="n"/>
      <c r="G189" s="15">
        <f>IF($F189="","",IFERROR(INDEX(rngEPname,MATCH($F189,rngEPcode,0)),"?"))</f>
        <v/>
      </c>
      <c r="H189" s="15">
        <f>IF($F189="","",IFERROR(INDEX(rngEPtype,MATCH($F189,rngEPcode,0)),"?"))</f>
        <v/>
      </c>
      <c r="I189" s="15">
        <f>IF($F189="","",IFERROR(INDEX(rngEPseq,MATCH($F189,rngEPcode,0)),""))</f>
        <v/>
      </c>
      <c r="J189" s="15">
        <f>IF($F189="","",IFERROR(INDEX(rngEPpass,MATCH($F189,rngEPcode,0)),cfgPassingScore))</f>
        <v/>
      </c>
      <c r="K189" s="14" t="n"/>
      <c r="L189" s="14" t="n"/>
      <c r="M189" s="15">
        <f>IF($C189="","",IF($L189="","",IF($K189=1,IF(COUNTIFS(nrES_PID,$D189,nrES_Code,$F189,nrES_Att,2)&gt;0,"",$L189),IF(COUNTIFS(nrES_PID,$D189,nrES_Code,$F189,nrES_Att,1)=0,$L189,IF($L189&gt;=$J189,cfgRetakeRecordedCap,SUMIFS(nrES_Raw,nrES_PID,$D189,nrES_Code,$F189,nrES_Att,1))))))</f>
        <v/>
      </c>
      <c r="N189" s="15">
        <f>IF($C189="","",IF($L189="","",IF($L189&gt;=$J189,"Yes","No")))</f>
        <v/>
      </c>
      <c r="O189" s="15">
        <f>IF($C189="","",IF($M189="","",IF($M189&gt;=$J189,"Yes","No")))</f>
        <v/>
      </c>
      <c r="P189" s="15">
        <f>IF($C189="","",IF($K189="","",IF(COUNTIFS(nrES_PID,$D189,nrES_Code,$F189,nrES_Att,"&gt;"&amp;$K189)=0,"Yes","No")))</f>
        <v/>
      </c>
      <c r="Q189" s="15">
        <f>IF($C189="","",IF($L189="","",IF(AND($K189=1,$L189&lt;$J189,COUNTIFS(nrES_PID,$D189,nrES_Code,$F189,nrES_Att,2)=0),"Yes","No")))</f>
        <v/>
      </c>
      <c r="R189" s="15">
        <f>IF($C189="","",IF($L189="","",IF(AND($K189=2,$L189&lt;$J189,COUNTIFS(nrES_PID,$D189,nrES_Code,$F189,nrES_Att,1)&gt;0),"Yes","No")))</f>
        <v/>
      </c>
      <c r="S189" s="16" t="n"/>
      <c r="T189" s="17">
        <f>IF($Q189&lt;&gt;"Yes","",IF($S189="","(enter date)",_xlfn.LET(_xlpm.dn,IFERROR(_xlfn.XLOOKUP($S189,nrCDdate,nrCDnum),""),IF(_xlpm.dn="","(not a class day)",IFERROR(_xlfn.XLOOKUP(_xlpm.dn+cfgRetestClassDays,nrCDnum,nrCDdate),"")))))</f>
        <v/>
      </c>
      <c r="U189" s="15">
        <f>IF($Q189&lt;&gt;"Yes","",IF(COUNTIFS(nrES_PID,$D189,nrES_Code,$F189,nrES_Att,2)&gt;0,"Retested",IF(OR($T189="",NOT(ISNUMBER($T189))),"Pending",IF(TODAY()&gt;$T189,"OVERDUE","Due "&amp;TEXT($T189,"mm/dd")))))</f>
        <v/>
      </c>
      <c r="V189" s="14" t="n"/>
      <c r="W189" s="14" t="n"/>
    </row>
    <row r="190">
      <c r="B190" s="15">
        <f>IF($C190="","",$D190&amp;"-"&amp;$F190&amp;"-"&amp;$K190)</f>
        <v/>
      </c>
      <c r="C190" s="14" t="n"/>
      <c r="D190" s="15">
        <f>IF($C190="","",IFERROR(INDEX(rngCadetPIDs,MATCH($C190,rngCadetNames,0)),"?"))</f>
        <v/>
      </c>
      <c r="E190" s="15">
        <f>IF($D190="","",IFERROR(INDEX(nrCadetAgency,MATCH($D190,rngCadetPIDs,0)),""))</f>
        <v/>
      </c>
      <c r="F190" s="14" t="n"/>
      <c r="G190" s="15">
        <f>IF($F190="","",IFERROR(INDEX(rngEPname,MATCH($F190,rngEPcode,0)),"?"))</f>
        <v/>
      </c>
      <c r="H190" s="15">
        <f>IF($F190="","",IFERROR(INDEX(rngEPtype,MATCH($F190,rngEPcode,0)),"?"))</f>
        <v/>
      </c>
      <c r="I190" s="15">
        <f>IF($F190="","",IFERROR(INDEX(rngEPseq,MATCH($F190,rngEPcode,0)),""))</f>
        <v/>
      </c>
      <c r="J190" s="15">
        <f>IF($F190="","",IFERROR(INDEX(rngEPpass,MATCH($F190,rngEPcode,0)),cfgPassingScore))</f>
        <v/>
      </c>
      <c r="K190" s="14" t="n"/>
      <c r="L190" s="14" t="n"/>
      <c r="M190" s="15">
        <f>IF($C190="","",IF($L190="","",IF($K190=1,IF(COUNTIFS(nrES_PID,$D190,nrES_Code,$F190,nrES_Att,2)&gt;0,"",$L190),IF(COUNTIFS(nrES_PID,$D190,nrES_Code,$F190,nrES_Att,1)=0,$L190,IF($L190&gt;=$J190,cfgRetakeRecordedCap,SUMIFS(nrES_Raw,nrES_PID,$D190,nrES_Code,$F190,nrES_Att,1))))))</f>
        <v/>
      </c>
      <c r="N190" s="15">
        <f>IF($C190="","",IF($L190="","",IF($L190&gt;=$J190,"Yes","No")))</f>
        <v/>
      </c>
      <c r="O190" s="15">
        <f>IF($C190="","",IF($M190="","",IF($M190&gt;=$J190,"Yes","No")))</f>
        <v/>
      </c>
      <c r="P190" s="15">
        <f>IF($C190="","",IF($K190="","",IF(COUNTIFS(nrES_PID,$D190,nrES_Code,$F190,nrES_Att,"&gt;"&amp;$K190)=0,"Yes","No")))</f>
        <v/>
      </c>
      <c r="Q190" s="15">
        <f>IF($C190="","",IF($L190="","",IF(AND($K190=1,$L190&lt;$J190,COUNTIFS(nrES_PID,$D190,nrES_Code,$F190,nrES_Att,2)=0),"Yes","No")))</f>
        <v/>
      </c>
      <c r="R190" s="15">
        <f>IF($C190="","",IF($L190="","",IF(AND($K190=2,$L190&lt;$J190,COUNTIFS(nrES_PID,$D190,nrES_Code,$F190,nrES_Att,1)&gt;0),"Yes","No")))</f>
        <v/>
      </c>
      <c r="S190" s="16" t="n"/>
      <c r="T190" s="17">
        <f>IF($Q190&lt;&gt;"Yes","",IF($S190="","(enter date)",_xlfn.LET(_xlpm.dn,IFERROR(_xlfn.XLOOKUP($S190,nrCDdate,nrCDnum),""),IF(_xlpm.dn="","(not a class day)",IFERROR(_xlfn.XLOOKUP(_xlpm.dn+cfgRetestClassDays,nrCDnum,nrCDdate),"")))))</f>
        <v/>
      </c>
      <c r="U190" s="15">
        <f>IF($Q190&lt;&gt;"Yes","",IF(COUNTIFS(nrES_PID,$D190,nrES_Code,$F190,nrES_Att,2)&gt;0,"Retested",IF(OR($T190="",NOT(ISNUMBER($T190))),"Pending",IF(TODAY()&gt;$T190,"OVERDUE","Due "&amp;TEXT($T190,"mm/dd")))))</f>
        <v/>
      </c>
      <c r="V190" s="14" t="n"/>
      <c r="W190" s="14" t="n"/>
    </row>
    <row r="191">
      <c r="B191" s="15">
        <f>IF($C191="","",$D191&amp;"-"&amp;$F191&amp;"-"&amp;$K191)</f>
        <v/>
      </c>
      <c r="C191" s="14" t="n"/>
      <c r="D191" s="15">
        <f>IF($C191="","",IFERROR(INDEX(rngCadetPIDs,MATCH($C191,rngCadetNames,0)),"?"))</f>
        <v/>
      </c>
      <c r="E191" s="15">
        <f>IF($D191="","",IFERROR(INDEX(nrCadetAgency,MATCH($D191,rngCadetPIDs,0)),""))</f>
        <v/>
      </c>
      <c r="F191" s="14" t="n"/>
      <c r="G191" s="15">
        <f>IF($F191="","",IFERROR(INDEX(rngEPname,MATCH($F191,rngEPcode,0)),"?"))</f>
        <v/>
      </c>
      <c r="H191" s="15">
        <f>IF($F191="","",IFERROR(INDEX(rngEPtype,MATCH($F191,rngEPcode,0)),"?"))</f>
        <v/>
      </c>
      <c r="I191" s="15">
        <f>IF($F191="","",IFERROR(INDEX(rngEPseq,MATCH($F191,rngEPcode,0)),""))</f>
        <v/>
      </c>
      <c r="J191" s="15">
        <f>IF($F191="","",IFERROR(INDEX(rngEPpass,MATCH($F191,rngEPcode,0)),cfgPassingScore))</f>
        <v/>
      </c>
      <c r="K191" s="14" t="n"/>
      <c r="L191" s="14" t="n"/>
      <c r="M191" s="15">
        <f>IF($C191="","",IF($L191="","",IF($K191=1,IF(COUNTIFS(nrES_PID,$D191,nrES_Code,$F191,nrES_Att,2)&gt;0,"",$L191),IF(COUNTIFS(nrES_PID,$D191,nrES_Code,$F191,nrES_Att,1)=0,$L191,IF($L191&gt;=$J191,cfgRetakeRecordedCap,SUMIFS(nrES_Raw,nrES_PID,$D191,nrES_Code,$F191,nrES_Att,1))))))</f>
        <v/>
      </c>
      <c r="N191" s="15">
        <f>IF($C191="","",IF($L191="","",IF($L191&gt;=$J191,"Yes","No")))</f>
        <v/>
      </c>
      <c r="O191" s="15">
        <f>IF($C191="","",IF($M191="","",IF($M191&gt;=$J191,"Yes","No")))</f>
        <v/>
      </c>
      <c r="P191" s="15">
        <f>IF($C191="","",IF($K191="","",IF(COUNTIFS(nrES_PID,$D191,nrES_Code,$F191,nrES_Att,"&gt;"&amp;$K191)=0,"Yes","No")))</f>
        <v/>
      </c>
      <c r="Q191" s="15">
        <f>IF($C191="","",IF($L191="","",IF(AND($K191=1,$L191&lt;$J191,COUNTIFS(nrES_PID,$D191,nrES_Code,$F191,nrES_Att,2)=0),"Yes","No")))</f>
        <v/>
      </c>
      <c r="R191" s="15">
        <f>IF($C191="","",IF($L191="","",IF(AND($K191=2,$L191&lt;$J191,COUNTIFS(nrES_PID,$D191,nrES_Code,$F191,nrES_Att,1)&gt;0),"Yes","No")))</f>
        <v/>
      </c>
      <c r="S191" s="16" t="n"/>
      <c r="T191" s="17">
        <f>IF($Q191&lt;&gt;"Yes","",IF($S191="","(enter date)",_xlfn.LET(_xlpm.dn,IFERROR(_xlfn.XLOOKUP($S191,nrCDdate,nrCDnum),""),IF(_xlpm.dn="","(not a class day)",IFERROR(_xlfn.XLOOKUP(_xlpm.dn+cfgRetestClassDays,nrCDnum,nrCDdate),"")))))</f>
        <v/>
      </c>
      <c r="U191" s="15">
        <f>IF($Q191&lt;&gt;"Yes","",IF(COUNTIFS(nrES_PID,$D191,nrES_Code,$F191,nrES_Att,2)&gt;0,"Retested",IF(OR($T191="",NOT(ISNUMBER($T191))),"Pending",IF(TODAY()&gt;$T191,"OVERDUE","Due "&amp;TEXT($T191,"mm/dd")))))</f>
        <v/>
      </c>
      <c r="V191" s="14" t="n"/>
      <c r="W191" s="14" t="n"/>
    </row>
    <row r="192">
      <c r="B192" s="15">
        <f>IF($C192="","",$D192&amp;"-"&amp;$F192&amp;"-"&amp;$K192)</f>
        <v/>
      </c>
      <c r="C192" s="14" t="n"/>
      <c r="D192" s="15">
        <f>IF($C192="","",IFERROR(INDEX(rngCadetPIDs,MATCH($C192,rngCadetNames,0)),"?"))</f>
        <v/>
      </c>
      <c r="E192" s="15">
        <f>IF($D192="","",IFERROR(INDEX(nrCadetAgency,MATCH($D192,rngCadetPIDs,0)),""))</f>
        <v/>
      </c>
      <c r="F192" s="14" t="n"/>
      <c r="G192" s="15">
        <f>IF($F192="","",IFERROR(INDEX(rngEPname,MATCH($F192,rngEPcode,0)),"?"))</f>
        <v/>
      </c>
      <c r="H192" s="15">
        <f>IF($F192="","",IFERROR(INDEX(rngEPtype,MATCH($F192,rngEPcode,0)),"?"))</f>
        <v/>
      </c>
      <c r="I192" s="15">
        <f>IF($F192="","",IFERROR(INDEX(rngEPseq,MATCH($F192,rngEPcode,0)),""))</f>
        <v/>
      </c>
      <c r="J192" s="15">
        <f>IF($F192="","",IFERROR(INDEX(rngEPpass,MATCH($F192,rngEPcode,0)),cfgPassingScore))</f>
        <v/>
      </c>
      <c r="K192" s="14" t="n"/>
      <c r="L192" s="14" t="n"/>
      <c r="M192" s="15">
        <f>IF($C192="","",IF($L192="","",IF($K192=1,IF(COUNTIFS(nrES_PID,$D192,nrES_Code,$F192,nrES_Att,2)&gt;0,"",$L192),IF(COUNTIFS(nrES_PID,$D192,nrES_Code,$F192,nrES_Att,1)=0,$L192,IF($L192&gt;=$J192,cfgRetakeRecordedCap,SUMIFS(nrES_Raw,nrES_PID,$D192,nrES_Code,$F192,nrES_Att,1))))))</f>
        <v/>
      </c>
      <c r="N192" s="15">
        <f>IF($C192="","",IF($L192="","",IF($L192&gt;=$J192,"Yes","No")))</f>
        <v/>
      </c>
      <c r="O192" s="15">
        <f>IF($C192="","",IF($M192="","",IF($M192&gt;=$J192,"Yes","No")))</f>
        <v/>
      </c>
      <c r="P192" s="15">
        <f>IF($C192="","",IF($K192="","",IF(COUNTIFS(nrES_PID,$D192,nrES_Code,$F192,nrES_Att,"&gt;"&amp;$K192)=0,"Yes","No")))</f>
        <v/>
      </c>
      <c r="Q192" s="15">
        <f>IF($C192="","",IF($L192="","",IF(AND($K192=1,$L192&lt;$J192,COUNTIFS(nrES_PID,$D192,nrES_Code,$F192,nrES_Att,2)=0),"Yes","No")))</f>
        <v/>
      </c>
      <c r="R192" s="15">
        <f>IF($C192="","",IF($L192="","",IF(AND($K192=2,$L192&lt;$J192,COUNTIFS(nrES_PID,$D192,nrES_Code,$F192,nrES_Att,1)&gt;0),"Yes","No")))</f>
        <v/>
      </c>
      <c r="S192" s="16" t="n"/>
      <c r="T192" s="17">
        <f>IF($Q192&lt;&gt;"Yes","",IF($S192="","(enter date)",_xlfn.LET(_xlpm.dn,IFERROR(_xlfn.XLOOKUP($S192,nrCDdate,nrCDnum),""),IF(_xlpm.dn="","(not a class day)",IFERROR(_xlfn.XLOOKUP(_xlpm.dn+cfgRetestClassDays,nrCDnum,nrCDdate),"")))))</f>
        <v/>
      </c>
      <c r="U192" s="15">
        <f>IF($Q192&lt;&gt;"Yes","",IF(COUNTIFS(nrES_PID,$D192,nrES_Code,$F192,nrES_Att,2)&gt;0,"Retested",IF(OR($T192="",NOT(ISNUMBER($T192))),"Pending",IF(TODAY()&gt;$T192,"OVERDUE","Due "&amp;TEXT($T192,"mm/dd")))))</f>
        <v/>
      </c>
      <c r="V192" s="14" t="n"/>
      <c r="W192" s="14" t="n"/>
    </row>
    <row r="193">
      <c r="B193" s="15">
        <f>IF($C193="","",$D193&amp;"-"&amp;$F193&amp;"-"&amp;$K193)</f>
        <v/>
      </c>
      <c r="C193" s="14" t="n"/>
      <c r="D193" s="15">
        <f>IF($C193="","",IFERROR(INDEX(rngCadetPIDs,MATCH($C193,rngCadetNames,0)),"?"))</f>
        <v/>
      </c>
      <c r="E193" s="15">
        <f>IF($D193="","",IFERROR(INDEX(nrCadetAgency,MATCH($D193,rngCadetPIDs,0)),""))</f>
        <v/>
      </c>
      <c r="F193" s="14" t="n"/>
      <c r="G193" s="15">
        <f>IF($F193="","",IFERROR(INDEX(rngEPname,MATCH($F193,rngEPcode,0)),"?"))</f>
        <v/>
      </c>
      <c r="H193" s="15">
        <f>IF($F193="","",IFERROR(INDEX(rngEPtype,MATCH($F193,rngEPcode,0)),"?"))</f>
        <v/>
      </c>
      <c r="I193" s="15">
        <f>IF($F193="","",IFERROR(INDEX(rngEPseq,MATCH($F193,rngEPcode,0)),""))</f>
        <v/>
      </c>
      <c r="J193" s="15">
        <f>IF($F193="","",IFERROR(INDEX(rngEPpass,MATCH($F193,rngEPcode,0)),cfgPassingScore))</f>
        <v/>
      </c>
      <c r="K193" s="14" t="n"/>
      <c r="L193" s="14" t="n"/>
      <c r="M193" s="15">
        <f>IF($C193="","",IF($L193="","",IF($K193=1,IF(COUNTIFS(nrES_PID,$D193,nrES_Code,$F193,nrES_Att,2)&gt;0,"",$L193),IF(COUNTIFS(nrES_PID,$D193,nrES_Code,$F193,nrES_Att,1)=0,$L193,IF($L193&gt;=$J193,cfgRetakeRecordedCap,SUMIFS(nrES_Raw,nrES_PID,$D193,nrES_Code,$F193,nrES_Att,1))))))</f>
        <v/>
      </c>
      <c r="N193" s="15">
        <f>IF($C193="","",IF($L193="","",IF($L193&gt;=$J193,"Yes","No")))</f>
        <v/>
      </c>
      <c r="O193" s="15">
        <f>IF($C193="","",IF($M193="","",IF($M193&gt;=$J193,"Yes","No")))</f>
        <v/>
      </c>
      <c r="P193" s="15">
        <f>IF($C193="","",IF($K193="","",IF(COUNTIFS(nrES_PID,$D193,nrES_Code,$F193,nrES_Att,"&gt;"&amp;$K193)=0,"Yes","No")))</f>
        <v/>
      </c>
      <c r="Q193" s="15">
        <f>IF($C193="","",IF($L193="","",IF(AND($K193=1,$L193&lt;$J193,COUNTIFS(nrES_PID,$D193,nrES_Code,$F193,nrES_Att,2)=0),"Yes","No")))</f>
        <v/>
      </c>
      <c r="R193" s="15">
        <f>IF($C193="","",IF($L193="","",IF(AND($K193=2,$L193&lt;$J193,COUNTIFS(nrES_PID,$D193,nrES_Code,$F193,nrES_Att,1)&gt;0),"Yes","No")))</f>
        <v/>
      </c>
      <c r="S193" s="16" t="n"/>
      <c r="T193" s="17">
        <f>IF($Q193&lt;&gt;"Yes","",IF($S193="","(enter date)",_xlfn.LET(_xlpm.dn,IFERROR(_xlfn.XLOOKUP($S193,nrCDdate,nrCDnum),""),IF(_xlpm.dn="","(not a class day)",IFERROR(_xlfn.XLOOKUP(_xlpm.dn+cfgRetestClassDays,nrCDnum,nrCDdate),"")))))</f>
        <v/>
      </c>
      <c r="U193" s="15">
        <f>IF($Q193&lt;&gt;"Yes","",IF(COUNTIFS(nrES_PID,$D193,nrES_Code,$F193,nrES_Att,2)&gt;0,"Retested",IF(OR($T193="",NOT(ISNUMBER($T193))),"Pending",IF(TODAY()&gt;$T193,"OVERDUE","Due "&amp;TEXT($T193,"mm/dd")))))</f>
        <v/>
      </c>
      <c r="V193" s="14" t="n"/>
      <c r="W193" s="14" t="n"/>
    </row>
    <row r="194">
      <c r="B194" s="15">
        <f>IF($C194="","",$D194&amp;"-"&amp;$F194&amp;"-"&amp;$K194)</f>
        <v/>
      </c>
      <c r="C194" s="14" t="n"/>
      <c r="D194" s="15">
        <f>IF($C194="","",IFERROR(INDEX(rngCadetPIDs,MATCH($C194,rngCadetNames,0)),"?"))</f>
        <v/>
      </c>
      <c r="E194" s="15">
        <f>IF($D194="","",IFERROR(INDEX(nrCadetAgency,MATCH($D194,rngCadetPIDs,0)),""))</f>
        <v/>
      </c>
      <c r="F194" s="14" t="n"/>
      <c r="G194" s="15">
        <f>IF($F194="","",IFERROR(INDEX(rngEPname,MATCH($F194,rngEPcode,0)),"?"))</f>
        <v/>
      </c>
      <c r="H194" s="15">
        <f>IF($F194="","",IFERROR(INDEX(rngEPtype,MATCH($F194,rngEPcode,0)),"?"))</f>
        <v/>
      </c>
      <c r="I194" s="15">
        <f>IF($F194="","",IFERROR(INDEX(rngEPseq,MATCH($F194,rngEPcode,0)),""))</f>
        <v/>
      </c>
      <c r="J194" s="15">
        <f>IF($F194="","",IFERROR(INDEX(rngEPpass,MATCH($F194,rngEPcode,0)),cfgPassingScore))</f>
        <v/>
      </c>
      <c r="K194" s="14" t="n"/>
      <c r="L194" s="14" t="n"/>
      <c r="M194" s="15">
        <f>IF($C194="","",IF($L194="","",IF($K194=1,IF(COUNTIFS(nrES_PID,$D194,nrES_Code,$F194,nrES_Att,2)&gt;0,"",$L194),IF(COUNTIFS(nrES_PID,$D194,nrES_Code,$F194,nrES_Att,1)=0,$L194,IF($L194&gt;=$J194,cfgRetakeRecordedCap,SUMIFS(nrES_Raw,nrES_PID,$D194,nrES_Code,$F194,nrES_Att,1))))))</f>
        <v/>
      </c>
      <c r="N194" s="15">
        <f>IF($C194="","",IF($L194="","",IF($L194&gt;=$J194,"Yes","No")))</f>
        <v/>
      </c>
      <c r="O194" s="15">
        <f>IF($C194="","",IF($M194="","",IF($M194&gt;=$J194,"Yes","No")))</f>
        <v/>
      </c>
      <c r="P194" s="15">
        <f>IF($C194="","",IF($K194="","",IF(COUNTIFS(nrES_PID,$D194,nrES_Code,$F194,nrES_Att,"&gt;"&amp;$K194)=0,"Yes","No")))</f>
        <v/>
      </c>
      <c r="Q194" s="15">
        <f>IF($C194="","",IF($L194="","",IF(AND($K194=1,$L194&lt;$J194,COUNTIFS(nrES_PID,$D194,nrES_Code,$F194,nrES_Att,2)=0),"Yes","No")))</f>
        <v/>
      </c>
      <c r="R194" s="15">
        <f>IF($C194="","",IF($L194="","",IF(AND($K194=2,$L194&lt;$J194,COUNTIFS(nrES_PID,$D194,nrES_Code,$F194,nrES_Att,1)&gt;0),"Yes","No")))</f>
        <v/>
      </c>
      <c r="S194" s="16" t="n"/>
      <c r="T194" s="17">
        <f>IF($Q194&lt;&gt;"Yes","",IF($S194="","(enter date)",_xlfn.LET(_xlpm.dn,IFERROR(_xlfn.XLOOKUP($S194,nrCDdate,nrCDnum),""),IF(_xlpm.dn="","(not a class day)",IFERROR(_xlfn.XLOOKUP(_xlpm.dn+cfgRetestClassDays,nrCDnum,nrCDdate),"")))))</f>
        <v/>
      </c>
      <c r="U194" s="15">
        <f>IF($Q194&lt;&gt;"Yes","",IF(COUNTIFS(nrES_PID,$D194,nrES_Code,$F194,nrES_Att,2)&gt;0,"Retested",IF(OR($T194="",NOT(ISNUMBER($T194))),"Pending",IF(TODAY()&gt;$T194,"OVERDUE","Due "&amp;TEXT($T194,"mm/dd")))))</f>
        <v/>
      </c>
      <c r="V194" s="14" t="n"/>
      <c r="W194" s="14" t="n"/>
    </row>
    <row r="195">
      <c r="B195" s="15">
        <f>IF($C195="","",$D195&amp;"-"&amp;$F195&amp;"-"&amp;$K195)</f>
        <v/>
      </c>
      <c r="C195" s="14" t="n"/>
      <c r="D195" s="15">
        <f>IF($C195="","",IFERROR(INDEX(rngCadetPIDs,MATCH($C195,rngCadetNames,0)),"?"))</f>
        <v/>
      </c>
      <c r="E195" s="15">
        <f>IF($D195="","",IFERROR(INDEX(nrCadetAgency,MATCH($D195,rngCadetPIDs,0)),""))</f>
        <v/>
      </c>
      <c r="F195" s="14" t="n"/>
      <c r="G195" s="15">
        <f>IF($F195="","",IFERROR(INDEX(rngEPname,MATCH($F195,rngEPcode,0)),"?"))</f>
        <v/>
      </c>
      <c r="H195" s="15">
        <f>IF($F195="","",IFERROR(INDEX(rngEPtype,MATCH($F195,rngEPcode,0)),"?"))</f>
        <v/>
      </c>
      <c r="I195" s="15">
        <f>IF($F195="","",IFERROR(INDEX(rngEPseq,MATCH($F195,rngEPcode,0)),""))</f>
        <v/>
      </c>
      <c r="J195" s="15">
        <f>IF($F195="","",IFERROR(INDEX(rngEPpass,MATCH($F195,rngEPcode,0)),cfgPassingScore))</f>
        <v/>
      </c>
      <c r="K195" s="14" t="n"/>
      <c r="L195" s="14" t="n"/>
      <c r="M195" s="15">
        <f>IF($C195="","",IF($L195="","",IF($K195=1,IF(COUNTIFS(nrES_PID,$D195,nrES_Code,$F195,nrES_Att,2)&gt;0,"",$L195),IF(COUNTIFS(nrES_PID,$D195,nrES_Code,$F195,nrES_Att,1)=0,$L195,IF($L195&gt;=$J195,cfgRetakeRecordedCap,SUMIFS(nrES_Raw,nrES_PID,$D195,nrES_Code,$F195,nrES_Att,1))))))</f>
        <v/>
      </c>
      <c r="N195" s="15">
        <f>IF($C195="","",IF($L195="","",IF($L195&gt;=$J195,"Yes","No")))</f>
        <v/>
      </c>
      <c r="O195" s="15">
        <f>IF($C195="","",IF($M195="","",IF($M195&gt;=$J195,"Yes","No")))</f>
        <v/>
      </c>
      <c r="P195" s="15">
        <f>IF($C195="","",IF($K195="","",IF(COUNTIFS(nrES_PID,$D195,nrES_Code,$F195,nrES_Att,"&gt;"&amp;$K195)=0,"Yes","No")))</f>
        <v/>
      </c>
      <c r="Q195" s="15">
        <f>IF($C195="","",IF($L195="","",IF(AND($K195=1,$L195&lt;$J195,COUNTIFS(nrES_PID,$D195,nrES_Code,$F195,nrES_Att,2)=0),"Yes","No")))</f>
        <v/>
      </c>
      <c r="R195" s="15">
        <f>IF($C195="","",IF($L195="","",IF(AND($K195=2,$L195&lt;$J195,COUNTIFS(nrES_PID,$D195,nrES_Code,$F195,nrES_Att,1)&gt;0),"Yes","No")))</f>
        <v/>
      </c>
      <c r="S195" s="16" t="n"/>
      <c r="T195" s="17">
        <f>IF($Q195&lt;&gt;"Yes","",IF($S195="","(enter date)",_xlfn.LET(_xlpm.dn,IFERROR(_xlfn.XLOOKUP($S195,nrCDdate,nrCDnum),""),IF(_xlpm.dn="","(not a class day)",IFERROR(_xlfn.XLOOKUP(_xlpm.dn+cfgRetestClassDays,nrCDnum,nrCDdate),"")))))</f>
        <v/>
      </c>
      <c r="U195" s="15">
        <f>IF($Q195&lt;&gt;"Yes","",IF(COUNTIFS(nrES_PID,$D195,nrES_Code,$F195,nrES_Att,2)&gt;0,"Retested",IF(OR($T195="",NOT(ISNUMBER($T195))),"Pending",IF(TODAY()&gt;$T195,"OVERDUE","Due "&amp;TEXT($T195,"mm/dd")))))</f>
        <v/>
      </c>
      <c r="V195" s="14" t="n"/>
      <c r="W195" s="14" t="n"/>
    </row>
    <row r="196">
      <c r="B196" s="15">
        <f>IF($C196="","",$D196&amp;"-"&amp;$F196&amp;"-"&amp;$K196)</f>
        <v/>
      </c>
      <c r="C196" s="14" t="n"/>
      <c r="D196" s="15">
        <f>IF($C196="","",IFERROR(INDEX(rngCadetPIDs,MATCH($C196,rngCadetNames,0)),"?"))</f>
        <v/>
      </c>
      <c r="E196" s="15">
        <f>IF($D196="","",IFERROR(INDEX(nrCadetAgency,MATCH($D196,rngCadetPIDs,0)),""))</f>
        <v/>
      </c>
      <c r="F196" s="14" t="n"/>
      <c r="G196" s="15">
        <f>IF($F196="","",IFERROR(INDEX(rngEPname,MATCH($F196,rngEPcode,0)),"?"))</f>
        <v/>
      </c>
      <c r="H196" s="15">
        <f>IF($F196="","",IFERROR(INDEX(rngEPtype,MATCH($F196,rngEPcode,0)),"?"))</f>
        <v/>
      </c>
      <c r="I196" s="15">
        <f>IF($F196="","",IFERROR(INDEX(rngEPseq,MATCH($F196,rngEPcode,0)),""))</f>
        <v/>
      </c>
      <c r="J196" s="15">
        <f>IF($F196="","",IFERROR(INDEX(rngEPpass,MATCH($F196,rngEPcode,0)),cfgPassingScore))</f>
        <v/>
      </c>
      <c r="K196" s="14" t="n"/>
      <c r="L196" s="14" t="n"/>
      <c r="M196" s="15">
        <f>IF($C196="","",IF($L196="","",IF($K196=1,IF(COUNTIFS(nrES_PID,$D196,nrES_Code,$F196,nrES_Att,2)&gt;0,"",$L196),IF(COUNTIFS(nrES_PID,$D196,nrES_Code,$F196,nrES_Att,1)=0,$L196,IF($L196&gt;=$J196,cfgRetakeRecordedCap,SUMIFS(nrES_Raw,nrES_PID,$D196,nrES_Code,$F196,nrES_Att,1))))))</f>
        <v/>
      </c>
      <c r="N196" s="15">
        <f>IF($C196="","",IF($L196="","",IF($L196&gt;=$J196,"Yes","No")))</f>
        <v/>
      </c>
      <c r="O196" s="15">
        <f>IF($C196="","",IF($M196="","",IF($M196&gt;=$J196,"Yes","No")))</f>
        <v/>
      </c>
      <c r="P196" s="15">
        <f>IF($C196="","",IF($K196="","",IF(COUNTIFS(nrES_PID,$D196,nrES_Code,$F196,nrES_Att,"&gt;"&amp;$K196)=0,"Yes","No")))</f>
        <v/>
      </c>
      <c r="Q196" s="15">
        <f>IF($C196="","",IF($L196="","",IF(AND($K196=1,$L196&lt;$J196,COUNTIFS(nrES_PID,$D196,nrES_Code,$F196,nrES_Att,2)=0),"Yes","No")))</f>
        <v/>
      </c>
      <c r="R196" s="15">
        <f>IF($C196="","",IF($L196="","",IF(AND($K196=2,$L196&lt;$J196,COUNTIFS(nrES_PID,$D196,nrES_Code,$F196,nrES_Att,1)&gt;0),"Yes","No")))</f>
        <v/>
      </c>
      <c r="S196" s="16" t="n"/>
      <c r="T196" s="17">
        <f>IF($Q196&lt;&gt;"Yes","",IF($S196="","(enter date)",_xlfn.LET(_xlpm.dn,IFERROR(_xlfn.XLOOKUP($S196,nrCDdate,nrCDnum),""),IF(_xlpm.dn="","(not a class day)",IFERROR(_xlfn.XLOOKUP(_xlpm.dn+cfgRetestClassDays,nrCDnum,nrCDdate),"")))))</f>
        <v/>
      </c>
      <c r="U196" s="15">
        <f>IF($Q196&lt;&gt;"Yes","",IF(COUNTIFS(nrES_PID,$D196,nrES_Code,$F196,nrES_Att,2)&gt;0,"Retested",IF(OR($T196="",NOT(ISNUMBER($T196))),"Pending",IF(TODAY()&gt;$T196,"OVERDUE","Due "&amp;TEXT($T196,"mm/dd")))))</f>
        <v/>
      </c>
      <c r="V196" s="14" t="n"/>
      <c r="W196" s="14" t="n"/>
    </row>
    <row r="197">
      <c r="B197" s="15">
        <f>IF($C197="","",$D197&amp;"-"&amp;$F197&amp;"-"&amp;$K197)</f>
        <v/>
      </c>
      <c r="C197" s="14" t="n"/>
      <c r="D197" s="15">
        <f>IF($C197="","",IFERROR(INDEX(rngCadetPIDs,MATCH($C197,rngCadetNames,0)),"?"))</f>
        <v/>
      </c>
      <c r="E197" s="15">
        <f>IF($D197="","",IFERROR(INDEX(nrCadetAgency,MATCH($D197,rngCadetPIDs,0)),""))</f>
        <v/>
      </c>
      <c r="F197" s="14" t="n"/>
      <c r="G197" s="15">
        <f>IF($F197="","",IFERROR(INDEX(rngEPname,MATCH($F197,rngEPcode,0)),"?"))</f>
        <v/>
      </c>
      <c r="H197" s="15">
        <f>IF($F197="","",IFERROR(INDEX(rngEPtype,MATCH($F197,rngEPcode,0)),"?"))</f>
        <v/>
      </c>
      <c r="I197" s="15">
        <f>IF($F197="","",IFERROR(INDEX(rngEPseq,MATCH($F197,rngEPcode,0)),""))</f>
        <v/>
      </c>
      <c r="J197" s="15">
        <f>IF($F197="","",IFERROR(INDEX(rngEPpass,MATCH($F197,rngEPcode,0)),cfgPassingScore))</f>
        <v/>
      </c>
      <c r="K197" s="14" t="n"/>
      <c r="L197" s="14" t="n"/>
      <c r="M197" s="15">
        <f>IF($C197="","",IF($L197="","",IF($K197=1,IF(COUNTIFS(nrES_PID,$D197,nrES_Code,$F197,nrES_Att,2)&gt;0,"",$L197),IF(COUNTIFS(nrES_PID,$D197,nrES_Code,$F197,nrES_Att,1)=0,$L197,IF($L197&gt;=$J197,cfgRetakeRecordedCap,SUMIFS(nrES_Raw,nrES_PID,$D197,nrES_Code,$F197,nrES_Att,1))))))</f>
        <v/>
      </c>
      <c r="N197" s="15">
        <f>IF($C197="","",IF($L197="","",IF($L197&gt;=$J197,"Yes","No")))</f>
        <v/>
      </c>
      <c r="O197" s="15">
        <f>IF($C197="","",IF($M197="","",IF($M197&gt;=$J197,"Yes","No")))</f>
        <v/>
      </c>
      <c r="P197" s="15">
        <f>IF($C197="","",IF($K197="","",IF(COUNTIFS(nrES_PID,$D197,nrES_Code,$F197,nrES_Att,"&gt;"&amp;$K197)=0,"Yes","No")))</f>
        <v/>
      </c>
      <c r="Q197" s="15">
        <f>IF($C197="","",IF($L197="","",IF(AND($K197=1,$L197&lt;$J197,COUNTIFS(nrES_PID,$D197,nrES_Code,$F197,nrES_Att,2)=0),"Yes","No")))</f>
        <v/>
      </c>
      <c r="R197" s="15">
        <f>IF($C197="","",IF($L197="","",IF(AND($K197=2,$L197&lt;$J197,COUNTIFS(nrES_PID,$D197,nrES_Code,$F197,nrES_Att,1)&gt;0),"Yes","No")))</f>
        <v/>
      </c>
      <c r="S197" s="16" t="n"/>
      <c r="T197" s="17">
        <f>IF($Q197&lt;&gt;"Yes","",IF($S197="","(enter date)",_xlfn.LET(_xlpm.dn,IFERROR(_xlfn.XLOOKUP($S197,nrCDdate,nrCDnum),""),IF(_xlpm.dn="","(not a class day)",IFERROR(_xlfn.XLOOKUP(_xlpm.dn+cfgRetestClassDays,nrCDnum,nrCDdate),"")))))</f>
        <v/>
      </c>
      <c r="U197" s="15">
        <f>IF($Q197&lt;&gt;"Yes","",IF(COUNTIFS(nrES_PID,$D197,nrES_Code,$F197,nrES_Att,2)&gt;0,"Retested",IF(OR($T197="",NOT(ISNUMBER($T197))),"Pending",IF(TODAY()&gt;$T197,"OVERDUE","Due "&amp;TEXT($T197,"mm/dd")))))</f>
        <v/>
      </c>
      <c r="V197" s="14" t="n"/>
      <c r="W197" s="14" t="n"/>
    </row>
    <row r="198">
      <c r="B198" s="15">
        <f>IF($C198="","",$D198&amp;"-"&amp;$F198&amp;"-"&amp;$K198)</f>
        <v/>
      </c>
      <c r="C198" s="14" t="n"/>
      <c r="D198" s="15">
        <f>IF($C198="","",IFERROR(INDEX(rngCadetPIDs,MATCH($C198,rngCadetNames,0)),"?"))</f>
        <v/>
      </c>
      <c r="E198" s="15">
        <f>IF($D198="","",IFERROR(INDEX(nrCadetAgency,MATCH($D198,rngCadetPIDs,0)),""))</f>
        <v/>
      </c>
      <c r="F198" s="14" t="n"/>
      <c r="G198" s="15">
        <f>IF($F198="","",IFERROR(INDEX(rngEPname,MATCH($F198,rngEPcode,0)),"?"))</f>
        <v/>
      </c>
      <c r="H198" s="15">
        <f>IF($F198="","",IFERROR(INDEX(rngEPtype,MATCH($F198,rngEPcode,0)),"?"))</f>
        <v/>
      </c>
      <c r="I198" s="15">
        <f>IF($F198="","",IFERROR(INDEX(rngEPseq,MATCH($F198,rngEPcode,0)),""))</f>
        <v/>
      </c>
      <c r="J198" s="15">
        <f>IF($F198="","",IFERROR(INDEX(rngEPpass,MATCH($F198,rngEPcode,0)),cfgPassingScore))</f>
        <v/>
      </c>
      <c r="K198" s="14" t="n"/>
      <c r="L198" s="14" t="n"/>
      <c r="M198" s="15">
        <f>IF($C198="","",IF($L198="","",IF($K198=1,IF(COUNTIFS(nrES_PID,$D198,nrES_Code,$F198,nrES_Att,2)&gt;0,"",$L198),IF(COUNTIFS(nrES_PID,$D198,nrES_Code,$F198,nrES_Att,1)=0,$L198,IF($L198&gt;=$J198,cfgRetakeRecordedCap,SUMIFS(nrES_Raw,nrES_PID,$D198,nrES_Code,$F198,nrES_Att,1))))))</f>
        <v/>
      </c>
      <c r="N198" s="15">
        <f>IF($C198="","",IF($L198="","",IF($L198&gt;=$J198,"Yes","No")))</f>
        <v/>
      </c>
      <c r="O198" s="15">
        <f>IF($C198="","",IF($M198="","",IF($M198&gt;=$J198,"Yes","No")))</f>
        <v/>
      </c>
      <c r="P198" s="15">
        <f>IF($C198="","",IF($K198="","",IF(COUNTIFS(nrES_PID,$D198,nrES_Code,$F198,nrES_Att,"&gt;"&amp;$K198)=0,"Yes","No")))</f>
        <v/>
      </c>
      <c r="Q198" s="15">
        <f>IF($C198="","",IF($L198="","",IF(AND($K198=1,$L198&lt;$J198,COUNTIFS(nrES_PID,$D198,nrES_Code,$F198,nrES_Att,2)=0),"Yes","No")))</f>
        <v/>
      </c>
      <c r="R198" s="15">
        <f>IF($C198="","",IF($L198="","",IF(AND($K198=2,$L198&lt;$J198,COUNTIFS(nrES_PID,$D198,nrES_Code,$F198,nrES_Att,1)&gt;0),"Yes","No")))</f>
        <v/>
      </c>
      <c r="S198" s="16" t="n"/>
      <c r="T198" s="17">
        <f>IF($Q198&lt;&gt;"Yes","",IF($S198="","(enter date)",_xlfn.LET(_xlpm.dn,IFERROR(_xlfn.XLOOKUP($S198,nrCDdate,nrCDnum),""),IF(_xlpm.dn="","(not a class day)",IFERROR(_xlfn.XLOOKUP(_xlpm.dn+cfgRetestClassDays,nrCDnum,nrCDdate),"")))))</f>
        <v/>
      </c>
      <c r="U198" s="15">
        <f>IF($Q198&lt;&gt;"Yes","",IF(COUNTIFS(nrES_PID,$D198,nrES_Code,$F198,nrES_Att,2)&gt;0,"Retested",IF(OR($T198="",NOT(ISNUMBER($T198))),"Pending",IF(TODAY()&gt;$T198,"OVERDUE","Due "&amp;TEXT($T198,"mm/dd")))))</f>
        <v/>
      </c>
      <c r="V198" s="14" t="n"/>
      <c r="W198" s="14" t="n"/>
    </row>
    <row r="199">
      <c r="B199" s="15">
        <f>IF($C199="","",$D199&amp;"-"&amp;$F199&amp;"-"&amp;$K199)</f>
        <v/>
      </c>
      <c r="C199" s="14" t="n"/>
      <c r="D199" s="15">
        <f>IF($C199="","",IFERROR(INDEX(rngCadetPIDs,MATCH($C199,rngCadetNames,0)),"?"))</f>
        <v/>
      </c>
      <c r="E199" s="15">
        <f>IF($D199="","",IFERROR(INDEX(nrCadetAgency,MATCH($D199,rngCadetPIDs,0)),""))</f>
        <v/>
      </c>
      <c r="F199" s="14" t="n"/>
      <c r="G199" s="15">
        <f>IF($F199="","",IFERROR(INDEX(rngEPname,MATCH($F199,rngEPcode,0)),"?"))</f>
        <v/>
      </c>
      <c r="H199" s="15">
        <f>IF($F199="","",IFERROR(INDEX(rngEPtype,MATCH($F199,rngEPcode,0)),"?"))</f>
        <v/>
      </c>
      <c r="I199" s="15">
        <f>IF($F199="","",IFERROR(INDEX(rngEPseq,MATCH($F199,rngEPcode,0)),""))</f>
        <v/>
      </c>
      <c r="J199" s="15">
        <f>IF($F199="","",IFERROR(INDEX(rngEPpass,MATCH($F199,rngEPcode,0)),cfgPassingScore))</f>
        <v/>
      </c>
      <c r="K199" s="14" t="n"/>
      <c r="L199" s="14" t="n"/>
      <c r="M199" s="15">
        <f>IF($C199="","",IF($L199="","",IF($K199=1,IF(COUNTIFS(nrES_PID,$D199,nrES_Code,$F199,nrES_Att,2)&gt;0,"",$L199),IF(COUNTIFS(nrES_PID,$D199,nrES_Code,$F199,nrES_Att,1)=0,$L199,IF($L199&gt;=$J199,cfgRetakeRecordedCap,SUMIFS(nrES_Raw,nrES_PID,$D199,nrES_Code,$F199,nrES_Att,1))))))</f>
        <v/>
      </c>
      <c r="N199" s="15">
        <f>IF($C199="","",IF($L199="","",IF($L199&gt;=$J199,"Yes","No")))</f>
        <v/>
      </c>
      <c r="O199" s="15">
        <f>IF($C199="","",IF($M199="","",IF($M199&gt;=$J199,"Yes","No")))</f>
        <v/>
      </c>
      <c r="P199" s="15">
        <f>IF($C199="","",IF($K199="","",IF(COUNTIFS(nrES_PID,$D199,nrES_Code,$F199,nrES_Att,"&gt;"&amp;$K199)=0,"Yes","No")))</f>
        <v/>
      </c>
      <c r="Q199" s="15">
        <f>IF($C199="","",IF($L199="","",IF(AND($K199=1,$L199&lt;$J199,COUNTIFS(nrES_PID,$D199,nrES_Code,$F199,nrES_Att,2)=0),"Yes","No")))</f>
        <v/>
      </c>
      <c r="R199" s="15">
        <f>IF($C199="","",IF($L199="","",IF(AND($K199=2,$L199&lt;$J199,COUNTIFS(nrES_PID,$D199,nrES_Code,$F199,nrES_Att,1)&gt;0),"Yes","No")))</f>
        <v/>
      </c>
      <c r="S199" s="16" t="n"/>
      <c r="T199" s="17">
        <f>IF($Q199&lt;&gt;"Yes","",IF($S199="","(enter date)",_xlfn.LET(_xlpm.dn,IFERROR(_xlfn.XLOOKUP($S199,nrCDdate,nrCDnum),""),IF(_xlpm.dn="","(not a class day)",IFERROR(_xlfn.XLOOKUP(_xlpm.dn+cfgRetestClassDays,nrCDnum,nrCDdate),"")))))</f>
        <v/>
      </c>
      <c r="U199" s="15">
        <f>IF($Q199&lt;&gt;"Yes","",IF(COUNTIFS(nrES_PID,$D199,nrES_Code,$F199,nrES_Att,2)&gt;0,"Retested",IF(OR($T199="",NOT(ISNUMBER($T199))),"Pending",IF(TODAY()&gt;$T199,"OVERDUE","Due "&amp;TEXT($T199,"mm/dd")))))</f>
        <v/>
      </c>
      <c r="V199" s="14" t="n"/>
      <c r="W199" s="14" t="n"/>
    </row>
    <row r="200">
      <c r="B200" s="15">
        <f>IF($C200="","",$D200&amp;"-"&amp;$F200&amp;"-"&amp;$K200)</f>
        <v/>
      </c>
      <c r="C200" s="14" t="n"/>
      <c r="D200" s="15">
        <f>IF($C200="","",IFERROR(INDEX(rngCadetPIDs,MATCH($C200,rngCadetNames,0)),"?"))</f>
        <v/>
      </c>
      <c r="E200" s="15">
        <f>IF($D200="","",IFERROR(INDEX(nrCadetAgency,MATCH($D200,rngCadetPIDs,0)),""))</f>
        <v/>
      </c>
      <c r="F200" s="14" t="n"/>
      <c r="G200" s="15">
        <f>IF($F200="","",IFERROR(INDEX(rngEPname,MATCH($F200,rngEPcode,0)),"?"))</f>
        <v/>
      </c>
      <c r="H200" s="15">
        <f>IF($F200="","",IFERROR(INDEX(rngEPtype,MATCH($F200,rngEPcode,0)),"?"))</f>
        <v/>
      </c>
      <c r="I200" s="15">
        <f>IF($F200="","",IFERROR(INDEX(rngEPseq,MATCH($F200,rngEPcode,0)),""))</f>
        <v/>
      </c>
      <c r="J200" s="15">
        <f>IF($F200="","",IFERROR(INDEX(rngEPpass,MATCH($F200,rngEPcode,0)),cfgPassingScore))</f>
        <v/>
      </c>
      <c r="K200" s="14" t="n"/>
      <c r="L200" s="14" t="n"/>
      <c r="M200" s="15">
        <f>IF($C200="","",IF($L200="","",IF($K200=1,IF(COUNTIFS(nrES_PID,$D200,nrES_Code,$F200,nrES_Att,2)&gt;0,"",$L200),IF(COUNTIFS(nrES_PID,$D200,nrES_Code,$F200,nrES_Att,1)=0,$L200,IF($L200&gt;=$J200,cfgRetakeRecordedCap,SUMIFS(nrES_Raw,nrES_PID,$D200,nrES_Code,$F200,nrES_Att,1))))))</f>
        <v/>
      </c>
      <c r="N200" s="15">
        <f>IF($C200="","",IF($L200="","",IF($L200&gt;=$J200,"Yes","No")))</f>
        <v/>
      </c>
      <c r="O200" s="15">
        <f>IF($C200="","",IF($M200="","",IF($M200&gt;=$J200,"Yes","No")))</f>
        <v/>
      </c>
      <c r="P200" s="15">
        <f>IF($C200="","",IF($K200="","",IF(COUNTIFS(nrES_PID,$D200,nrES_Code,$F200,nrES_Att,"&gt;"&amp;$K200)=0,"Yes","No")))</f>
        <v/>
      </c>
      <c r="Q200" s="15">
        <f>IF($C200="","",IF($L200="","",IF(AND($K200=1,$L200&lt;$J200,COUNTIFS(nrES_PID,$D200,nrES_Code,$F200,nrES_Att,2)=0),"Yes","No")))</f>
        <v/>
      </c>
      <c r="R200" s="15">
        <f>IF($C200="","",IF($L200="","",IF(AND($K200=2,$L200&lt;$J200,COUNTIFS(nrES_PID,$D200,nrES_Code,$F200,nrES_Att,1)&gt;0),"Yes","No")))</f>
        <v/>
      </c>
      <c r="S200" s="16" t="n"/>
      <c r="T200" s="17">
        <f>IF($Q200&lt;&gt;"Yes","",IF($S200="","(enter date)",_xlfn.LET(_xlpm.dn,IFERROR(_xlfn.XLOOKUP($S200,nrCDdate,nrCDnum),""),IF(_xlpm.dn="","(not a class day)",IFERROR(_xlfn.XLOOKUP(_xlpm.dn+cfgRetestClassDays,nrCDnum,nrCDdate),"")))))</f>
        <v/>
      </c>
      <c r="U200" s="15">
        <f>IF($Q200&lt;&gt;"Yes","",IF(COUNTIFS(nrES_PID,$D200,nrES_Code,$F200,nrES_Att,2)&gt;0,"Retested",IF(OR($T200="",NOT(ISNUMBER($T200))),"Pending",IF(TODAY()&gt;$T200,"OVERDUE","Due "&amp;TEXT($T200,"mm/dd")))))</f>
        <v/>
      </c>
      <c r="V200" s="14" t="n"/>
      <c r="W200" s="14" t="n"/>
    </row>
    <row r="201">
      <c r="B201" s="15">
        <f>IF($C201="","",$D201&amp;"-"&amp;$F201&amp;"-"&amp;$K201)</f>
        <v/>
      </c>
      <c r="C201" s="14" t="n"/>
      <c r="D201" s="15">
        <f>IF($C201="","",IFERROR(INDEX(rngCadetPIDs,MATCH($C201,rngCadetNames,0)),"?"))</f>
        <v/>
      </c>
      <c r="E201" s="15">
        <f>IF($D201="","",IFERROR(INDEX(nrCadetAgency,MATCH($D201,rngCadetPIDs,0)),""))</f>
        <v/>
      </c>
      <c r="F201" s="14" t="n"/>
      <c r="G201" s="15">
        <f>IF($F201="","",IFERROR(INDEX(rngEPname,MATCH($F201,rngEPcode,0)),"?"))</f>
        <v/>
      </c>
      <c r="H201" s="15">
        <f>IF($F201="","",IFERROR(INDEX(rngEPtype,MATCH($F201,rngEPcode,0)),"?"))</f>
        <v/>
      </c>
      <c r="I201" s="15">
        <f>IF($F201="","",IFERROR(INDEX(rngEPseq,MATCH($F201,rngEPcode,0)),""))</f>
        <v/>
      </c>
      <c r="J201" s="15">
        <f>IF($F201="","",IFERROR(INDEX(rngEPpass,MATCH($F201,rngEPcode,0)),cfgPassingScore))</f>
        <v/>
      </c>
      <c r="K201" s="14" t="n"/>
      <c r="L201" s="14" t="n"/>
      <c r="M201" s="15">
        <f>IF($C201="","",IF($L201="","",IF($K201=1,IF(COUNTIFS(nrES_PID,$D201,nrES_Code,$F201,nrES_Att,2)&gt;0,"",$L201),IF(COUNTIFS(nrES_PID,$D201,nrES_Code,$F201,nrES_Att,1)=0,$L201,IF($L201&gt;=$J201,cfgRetakeRecordedCap,SUMIFS(nrES_Raw,nrES_PID,$D201,nrES_Code,$F201,nrES_Att,1))))))</f>
        <v/>
      </c>
      <c r="N201" s="15">
        <f>IF($C201="","",IF($L201="","",IF($L201&gt;=$J201,"Yes","No")))</f>
        <v/>
      </c>
      <c r="O201" s="15">
        <f>IF($C201="","",IF($M201="","",IF($M201&gt;=$J201,"Yes","No")))</f>
        <v/>
      </c>
      <c r="P201" s="15">
        <f>IF($C201="","",IF($K201="","",IF(COUNTIFS(nrES_PID,$D201,nrES_Code,$F201,nrES_Att,"&gt;"&amp;$K201)=0,"Yes","No")))</f>
        <v/>
      </c>
      <c r="Q201" s="15">
        <f>IF($C201="","",IF($L201="","",IF(AND($K201=1,$L201&lt;$J201,COUNTIFS(nrES_PID,$D201,nrES_Code,$F201,nrES_Att,2)=0),"Yes","No")))</f>
        <v/>
      </c>
      <c r="R201" s="15">
        <f>IF($C201="","",IF($L201="","",IF(AND($K201=2,$L201&lt;$J201,COUNTIFS(nrES_PID,$D201,nrES_Code,$F201,nrES_Att,1)&gt;0),"Yes","No")))</f>
        <v/>
      </c>
      <c r="S201" s="16" t="n"/>
      <c r="T201" s="17">
        <f>IF($Q201&lt;&gt;"Yes","",IF($S201="","(enter date)",_xlfn.LET(_xlpm.dn,IFERROR(_xlfn.XLOOKUP($S201,nrCDdate,nrCDnum),""),IF(_xlpm.dn="","(not a class day)",IFERROR(_xlfn.XLOOKUP(_xlpm.dn+cfgRetestClassDays,nrCDnum,nrCDdate),"")))))</f>
        <v/>
      </c>
      <c r="U201" s="15">
        <f>IF($Q201&lt;&gt;"Yes","",IF(COUNTIFS(nrES_PID,$D201,nrES_Code,$F201,nrES_Att,2)&gt;0,"Retested",IF(OR($T201="",NOT(ISNUMBER($T201))),"Pending",IF(TODAY()&gt;$T201,"OVERDUE","Due "&amp;TEXT($T201,"mm/dd")))))</f>
        <v/>
      </c>
      <c r="V201" s="14" t="n"/>
      <c r="W201" s="14" t="n"/>
    </row>
    <row r="202">
      <c r="B202" s="15">
        <f>IF($C202="","",$D202&amp;"-"&amp;$F202&amp;"-"&amp;$K202)</f>
        <v/>
      </c>
      <c r="C202" s="14" t="n"/>
      <c r="D202" s="15">
        <f>IF($C202="","",IFERROR(INDEX(rngCadetPIDs,MATCH($C202,rngCadetNames,0)),"?"))</f>
        <v/>
      </c>
      <c r="E202" s="15">
        <f>IF($D202="","",IFERROR(INDEX(nrCadetAgency,MATCH($D202,rngCadetPIDs,0)),""))</f>
        <v/>
      </c>
      <c r="F202" s="14" t="n"/>
      <c r="G202" s="15">
        <f>IF($F202="","",IFERROR(INDEX(rngEPname,MATCH($F202,rngEPcode,0)),"?"))</f>
        <v/>
      </c>
      <c r="H202" s="15">
        <f>IF($F202="","",IFERROR(INDEX(rngEPtype,MATCH($F202,rngEPcode,0)),"?"))</f>
        <v/>
      </c>
      <c r="I202" s="15">
        <f>IF($F202="","",IFERROR(INDEX(rngEPseq,MATCH($F202,rngEPcode,0)),""))</f>
        <v/>
      </c>
      <c r="J202" s="15">
        <f>IF($F202="","",IFERROR(INDEX(rngEPpass,MATCH($F202,rngEPcode,0)),cfgPassingScore))</f>
        <v/>
      </c>
      <c r="K202" s="14" t="n"/>
      <c r="L202" s="14" t="n"/>
      <c r="M202" s="15">
        <f>IF($C202="","",IF($L202="","",IF($K202=1,IF(COUNTIFS(nrES_PID,$D202,nrES_Code,$F202,nrES_Att,2)&gt;0,"",$L202),IF(COUNTIFS(nrES_PID,$D202,nrES_Code,$F202,nrES_Att,1)=0,$L202,IF($L202&gt;=$J202,cfgRetakeRecordedCap,SUMIFS(nrES_Raw,nrES_PID,$D202,nrES_Code,$F202,nrES_Att,1))))))</f>
        <v/>
      </c>
      <c r="N202" s="15">
        <f>IF($C202="","",IF($L202="","",IF($L202&gt;=$J202,"Yes","No")))</f>
        <v/>
      </c>
      <c r="O202" s="15">
        <f>IF($C202="","",IF($M202="","",IF($M202&gt;=$J202,"Yes","No")))</f>
        <v/>
      </c>
      <c r="P202" s="15">
        <f>IF($C202="","",IF($K202="","",IF(COUNTIFS(nrES_PID,$D202,nrES_Code,$F202,nrES_Att,"&gt;"&amp;$K202)=0,"Yes","No")))</f>
        <v/>
      </c>
      <c r="Q202" s="15">
        <f>IF($C202="","",IF($L202="","",IF(AND($K202=1,$L202&lt;$J202,COUNTIFS(nrES_PID,$D202,nrES_Code,$F202,nrES_Att,2)=0),"Yes","No")))</f>
        <v/>
      </c>
      <c r="R202" s="15">
        <f>IF($C202="","",IF($L202="","",IF(AND($K202=2,$L202&lt;$J202,COUNTIFS(nrES_PID,$D202,nrES_Code,$F202,nrES_Att,1)&gt;0),"Yes","No")))</f>
        <v/>
      </c>
      <c r="S202" s="16" t="n"/>
      <c r="T202" s="17">
        <f>IF($Q202&lt;&gt;"Yes","",IF($S202="","(enter date)",_xlfn.LET(_xlpm.dn,IFERROR(_xlfn.XLOOKUP($S202,nrCDdate,nrCDnum),""),IF(_xlpm.dn="","(not a class day)",IFERROR(_xlfn.XLOOKUP(_xlpm.dn+cfgRetestClassDays,nrCDnum,nrCDdate),"")))))</f>
        <v/>
      </c>
      <c r="U202" s="15">
        <f>IF($Q202&lt;&gt;"Yes","",IF(COUNTIFS(nrES_PID,$D202,nrES_Code,$F202,nrES_Att,2)&gt;0,"Retested",IF(OR($T202="",NOT(ISNUMBER($T202))),"Pending",IF(TODAY()&gt;$T202,"OVERDUE","Due "&amp;TEXT($T202,"mm/dd")))))</f>
        <v/>
      </c>
      <c r="V202" s="14" t="n"/>
      <c r="W202" s="14" t="n"/>
    </row>
    <row r="203">
      <c r="B203" s="15">
        <f>IF($C203="","",$D203&amp;"-"&amp;$F203&amp;"-"&amp;$K203)</f>
        <v/>
      </c>
      <c r="C203" s="14" t="n"/>
      <c r="D203" s="15">
        <f>IF($C203="","",IFERROR(INDEX(rngCadetPIDs,MATCH($C203,rngCadetNames,0)),"?"))</f>
        <v/>
      </c>
      <c r="E203" s="15">
        <f>IF($D203="","",IFERROR(INDEX(nrCadetAgency,MATCH($D203,rngCadetPIDs,0)),""))</f>
        <v/>
      </c>
      <c r="F203" s="14" t="n"/>
      <c r="G203" s="15">
        <f>IF($F203="","",IFERROR(INDEX(rngEPname,MATCH($F203,rngEPcode,0)),"?"))</f>
        <v/>
      </c>
      <c r="H203" s="15">
        <f>IF($F203="","",IFERROR(INDEX(rngEPtype,MATCH($F203,rngEPcode,0)),"?"))</f>
        <v/>
      </c>
      <c r="I203" s="15">
        <f>IF($F203="","",IFERROR(INDEX(rngEPseq,MATCH($F203,rngEPcode,0)),""))</f>
        <v/>
      </c>
      <c r="J203" s="15">
        <f>IF($F203="","",IFERROR(INDEX(rngEPpass,MATCH($F203,rngEPcode,0)),cfgPassingScore))</f>
        <v/>
      </c>
      <c r="K203" s="14" t="n"/>
      <c r="L203" s="14" t="n"/>
      <c r="M203" s="15">
        <f>IF($C203="","",IF($L203="","",IF($K203=1,IF(COUNTIFS(nrES_PID,$D203,nrES_Code,$F203,nrES_Att,2)&gt;0,"",$L203),IF(COUNTIFS(nrES_PID,$D203,nrES_Code,$F203,nrES_Att,1)=0,$L203,IF($L203&gt;=$J203,cfgRetakeRecordedCap,SUMIFS(nrES_Raw,nrES_PID,$D203,nrES_Code,$F203,nrES_Att,1))))))</f>
        <v/>
      </c>
      <c r="N203" s="15">
        <f>IF($C203="","",IF($L203="","",IF($L203&gt;=$J203,"Yes","No")))</f>
        <v/>
      </c>
      <c r="O203" s="15">
        <f>IF($C203="","",IF($M203="","",IF($M203&gt;=$J203,"Yes","No")))</f>
        <v/>
      </c>
      <c r="P203" s="15">
        <f>IF($C203="","",IF($K203="","",IF(COUNTIFS(nrES_PID,$D203,nrES_Code,$F203,nrES_Att,"&gt;"&amp;$K203)=0,"Yes","No")))</f>
        <v/>
      </c>
      <c r="Q203" s="15">
        <f>IF($C203="","",IF($L203="","",IF(AND($K203=1,$L203&lt;$J203,COUNTIFS(nrES_PID,$D203,nrES_Code,$F203,nrES_Att,2)=0),"Yes","No")))</f>
        <v/>
      </c>
      <c r="R203" s="15">
        <f>IF($C203="","",IF($L203="","",IF(AND($K203=2,$L203&lt;$J203,COUNTIFS(nrES_PID,$D203,nrES_Code,$F203,nrES_Att,1)&gt;0),"Yes","No")))</f>
        <v/>
      </c>
      <c r="S203" s="16" t="n"/>
      <c r="T203" s="17">
        <f>IF($Q203&lt;&gt;"Yes","",IF($S203="","(enter date)",_xlfn.LET(_xlpm.dn,IFERROR(_xlfn.XLOOKUP($S203,nrCDdate,nrCDnum),""),IF(_xlpm.dn="","(not a class day)",IFERROR(_xlfn.XLOOKUP(_xlpm.dn+cfgRetestClassDays,nrCDnum,nrCDdate),"")))))</f>
        <v/>
      </c>
      <c r="U203" s="15">
        <f>IF($Q203&lt;&gt;"Yes","",IF(COUNTIFS(nrES_PID,$D203,nrES_Code,$F203,nrES_Att,2)&gt;0,"Retested",IF(OR($T203="",NOT(ISNUMBER($T203))),"Pending",IF(TODAY()&gt;$T203,"OVERDUE","Due "&amp;TEXT($T203,"mm/dd")))))</f>
        <v/>
      </c>
      <c r="V203" s="14" t="n"/>
      <c r="W203" s="14" t="n"/>
    </row>
    <row r="204">
      <c r="B204" s="15">
        <f>IF($C204="","",$D204&amp;"-"&amp;$F204&amp;"-"&amp;$K204)</f>
        <v/>
      </c>
      <c r="C204" s="14" t="n"/>
      <c r="D204" s="15">
        <f>IF($C204="","",IFERROR(INDEX(rngCadetPIDs,MATCH($C204,rngCadetNames,0)),"?"))</f>
        <v/>
      </c>
      <c r="E204" s="15">
        <f>IF($D204="","",IFERROR(INDEX(nrCadetAgency,MATCH($D204,rngCadetPIDs,0)),""))</f>
        <v/>
      </c>
      <c r="F204" s="14" t="n"/>
      <c r="G204" s="15">
        <f>IF($F204="","",IFERROR(INDEX(rngEPname,MATCH($F204,rngEPcode,0)),"?"))</f>
        <v/>
      </c>
      <c r="H204" s="15">
        <f>IF($F204="","",IFERROR(INDEX(rngEPtype,MATCH($F204,rngEPcode,0)),"?"))</f>
        <v/>
      </c>
      <c r="I204" s="15">
        <f>IF($F204="","",IFERROR(INDEX(rngEPseq,MATCH($F204,rngEPcode,0)),""))</f>
        <v/>
      </c>
      <c r="J204" s="15">
        <f>IF($F204="","",IFERROR(INDEX(rngEPpass,MATCH($F204,rngEPcode,0)),cfgPassingScore))</f>
        <v/>
      </c>
      <c r="K204" s="14" t="n"/>
      <c r="L204" s="14" t="n"/>
      <c r="M204" s="15">
        <f>IF($C204="","",IF($L204="","",IF($K204=1,IF(COUNTIFS(nrES_PID,$D204,nrES_Code,$F204,nrES_Att,2)&gt;0,"",$L204),IF(COUNTIFS(nrES_PID,$D204,nrES_Code,$F204,nrES_Att,1)=0,$L204,IF($L204&gt;=$J204,cfgRetakeRecordedCap,SUMIFS(nrES_Raw,nrES_PID,$D204,nrES_Code,$F204,nrES_Att,1))))))</f>
        <v/>
      </c>
      <c r="N204" s="15">
        <f>IF($C204="","",IF($L204="","",IF($L204&gt;=$J204,"Yes","No")))</f>
        <v/>
      </c>
      <c r="O204" s="15">
        <f>IF($C204="","",IF($M204="","",IF($M204&gt;=$J204,"Yes","No")))</f>
        <v/>
      </c>
      <c r="P204" s="15">
        <f>IF($C204="","",IF($K204="","",IF(COUNTIFS(nrES_PID,$D204,nrES_Code,$F204,nrES_Att,"&gt;"&amp;$K204)=0,"Yes","No")))</f>
        <v/>
      </c>
      <c r="Q204" s="15">
        <f>IF($C204="","",IF($L204="","",IF(AND($K204=1,$L204&lt;$J204,COUNTIFS(nrES_PID,$D204,nrES_Code,$F204,nrES_Att,2)=0),"Yes","No")))</f>
        <v/>
      </c>
      <c r="R204" s="15">
        <f>IF($C204="","",IF($L204="","",IF(AND($K204=2,$L204&lt;$J204,COUNTIFS(nrES_PID,$D204,nrES_Code,$F204,nrES_Att,1)&gt;0),"Yes","No")))</f>
        <v/>
      </c>
      <c r="S204" s="16" t="n"/>
      <c r="T204" s="17">
        <f>IF($Q204&lt;&gt;"Yes","",IF($S204="","(enter date)",_xlfn.LET(_xlpm.dn,IFERROR(_xlfn.XLOOKUP($S204,nrCDdate,nrCDnum),""),IF(_xlpm.dn="","(not a class day)",IFERROR(_xlfn.XLOOKUP(_xlpm.dn+cfgRetestClassDays,nrCDnum,nrCDdate),"")))))</f>
        <v/>
      </c>
      <c r="U204" s="15">
        <f>IF($Q204&lt;&gt;"Yes","",IF(COUNTIFS(nrES_PID,$D204,nrES_Code,$F204,nrES_Att,2)&gt;0,"Retested",IF(OR($T204="",NOT(ISNUMBER($T204))),"Pending",IF(TODAY()&gt;$T204,"OVERDUE","Due "&amp;TEXT($T204,"mm/dd")))))</f>
        <v/>
      </c>
      <c r="V204" s="14" t="n"/>
      <c r="W204" s="14" t="n"/>
    </row>
    <row r="205">
      <c r="B205" s="15">
        <f>IF($C205="","",$D205&amp;"-"&amp;$F205&amp;"-"&amp;$K205)</f>
        <v/>
      </c>
      <c r="C205" s="14" t="n"/>
      <c r="D205" s="15">
        <f>IF($C205="","",IFERROR(INDEX(rngCadetPIDs,MATCH($C205,rngCadetNames,0)),"?"))</f>
        <v/>
      </c>
      <c r="E205" s="15">
        <f>IF($D205="","",IFERROR(INDEX(nrCadetAgency,MATCH($D205,rngCadetPIDs,0)),""))</f>
        <v/>
      </c>
      <c r="F205" s="14" t="n"/>
      <c r="G205" s="15">
        <f>IF($F205="","",IFERROR(INDEX(rngEPname,MATCH($F205,rngEPcode,0)),"?"))</f>
        <v/>
      </c>
      <c r="H205" s="15">
        <f>IF($F205="","",IFERROR(INDEX(rngEPtype,MATCH($F205,rngEPcode,0)),"?"))</f>
        <v/>
      </c>
      <c r="I205" s="15">
        <f>IF($F205="","",IFERROR(INDEX(rngEPseq,MATCH($F205,rngEPcode,0)),""))</f>
        <v/>
      </c>
      <c r="J205" s="15">
        <f>IF($F205="","",IFERROR(INDEX(rngEPpass,MATCH($F205,rngEPcode,0)),cfgPassingScore))</f>
        <v/>
      </c>
      <c r="K205" s="14" t="n"/>
      <c r="L205" s="14" t="n"/>
      <c r="M205" s="15">
        <f>IF($C205="","",IF($L205="","",IF($K205=1,IF(COUNTIFS(nrES_PID,$D205,nrES_Code,$F205,nrES_Att,2)&gt;0,"",$L205),IF(COUNTIFS(nrES_PID,$D205,nrES_Code,$F205,nrES_Att,1)=0,$L205,IF($L205&gt;=$J205,cfgRetakeRecordedCap,SUMIFS(nrES_Raw,nrES_PID,$D205,nrES_Code,$F205,nrES_Att,1))))))</f>
        <v/>
      </c>
      <c r="N205" s="15">
        <f>IF($C205="","",IF($L205="","",IF($L205&gt;=$J205,"Yes","No")))</f>
        <v/>
      </c>
      <c r="O205" s="15">
        <f>IF($C205="","",IF($M205="","",IF($M205&gt;=$J205,"Yes","No")))</f>
        <v/>
      </c>
      <c r="P205" s="15">
        <f>IF($C205="","",IF($K205="","",IF(COUNTIFS(nrES_PID,$D205,nrES_Code,$F205,nrES_Att,"&gt;"&amp;$K205)=0,"Yes","No")))</f>
        <v/>
      </c>
      <c r="Q205" s="15">
        <f>IF($C205="","",IF($L205="","",IF(AND($K205=1,$L205&lt;$J205,COUNTIFS(nrES_PID,$D205,nrES_Code,$F205,nrES_Att,2)=0),"Yes","No")))</f>
        <v/>
      </c>
      <c r="R205" s="15">
        <f>IF($C205="","",IF($L205="","",IF(AND($K205=2,$L205&lt;$J205,COUNTIFS(nrES_PID,$D205,nrES_Code,$F205,nrES_Att,1)&gt;0),"Yes","No")))</f>
        <v/>
      </c>
      <c r="S205" s="16" t="n"/>
      <c r="T205" s="17">
        <f>IF($Q205&lt;&gt;"Yes","",IF($S205="","(enter date)",_xlfn.LET(_xlpm.dn,IFERROR(_xlfn.XLOOKUP($S205,nrCDdate,nrCDnum),""),IF(_xlpm.dn="","(not a class day)",IFERROR(_xlfn.XLOOKUP(_xlpm.dn+cfgRetestClassDays,nrCDnum,nrCDdate),"")))))</f>
        <v/>
      </c>
      <c r="U205" s="15">
        <f>IF($Q205&lt;&gt;"Yes","",IF(COUNTIFS(nrES_PID,$D205,nrES_Code,$F205,nrES_Att,2)&gt;0,"Retested",IF(OR($T205="",NOT(ISNUMBER($T205))),"Pending",IF(TODAY()&gt;$T205,"OVERDUE","Due "&amp;TEXT($T205,"mm/dd")))))</f>
        <v/>
      </c>
      <c r="V205" s="14" t="n"/>
      <c r="W205" s="14" t="n"/>
    </row>
    <row r="206">
      <c r="B206" s="15">
        <f>IF($C206="","",$D206&amp;"-"&amp;$F206&amp;"-"&amp;$K206)</f>
        <v/>
      </c>
      <c r="C206" s="14" t="n"/>
      <c r="D206" s="15">
        <f>IF($C206="","",IFERROR(INDEX(rngCadetPIDs,MATCH($C206,rngCadetNames,0)),"?"))</f>
        <v/>
      </c>
      <c r="E206" s="15">
        <f>IF($D206="","",IFERROR(INDEX(nrCadetAgency,MATCH($D206,rngCadetPIDs,0)),""))</f>
        <v/>
      </c>
      <c r="F206" s="14" t="n"/>
      <c r="G206" s="15">
        <f>IF($F206="","",IFERROR(INDEX(rngEPname,MATCH($F206,rngEPcode,0)),"?"))</f>
        <v/>
      </c>
      <c r="H206" s="15">
        <f>IF($F206="","",IFERROR(INDEX(rngEPtype,MATCH($F206,rngEPcode,0)),"?"))</f>
        <v/>
      </c>
      <c r="I206" s="15">
        <f>IF($F206="","",IFERROR(INDEX(rngEPseq,MATCH($F206,rngEPcode,0)),""))</f>
        <v/>
      </c>
      <c r="J206" s="15">
        <f>IF($F206="","",IFERROR(INDEX(rngEPpass,MATCH($F206,rngEPcode,0)),cfgPassingScore))</f>
        <v/>
      </c>
      <c r="K206" s="14" t="n"/>
      <c r="L206" s="14" t="n"/>
      <c r="M206" s="15">
        <f>IF($C206="","",IF($L206="","",IF($K206=1,IF(COUNTIFS(nrES_PID,$D206,nrES_Code,$F206,nrES_Att,2)&gt;0,"",$L206),IF(COUNTIFS(nrES_PID,$D206,nrES_Code,$F206,nrES_Att,1)=0,$L206,IF($L206&gt;=$J206,cfgRetakeRecordedCap,SUMIFS(nrES_Raw,nrES_PID,$D206,nrES_Code,$F206,nrES_Att,1))))))</f>
        <v/>
      </c>
      <c r="N206" s="15">
        <f>IF($C206="","",IF($L206="","",IF($L206&gt;=$J206,"Yes","No")))</f>
        <v/>
      </c>
      <c r="O206" s="15">
        <f>IF($C206="","",IF($M206="","",IF($M206&gt;=$J206,"Yes","No")))</f>
        <v/>
      </c>
      <c r="P206" s="15">
        <f>IF($C206="","",IF($K206="","",IF(COUNTIFS(nrES_PID,$D206,nrES_Code,$F206,nrES_Att,"&gt;"&amp;$K206)=0,"Yes","No")))</f>
        <v/>
      </c>
      <c r="Q206" s="15">
        <f>IF($C206="","",IF($L206="","",IF(AND($K206=1,$L206&lt;$J206,COUNTIFS(nrES_PID,$D206,nrES_Code,$F206,nrES_Att,2)=0),"Yes","No")))</f>
        <v/>
      </c>
      <c r="R206" s="15">
        <f>IF($C206="","",IF($L206="","",IF(AND($K206=2,$L206&lt;$J206,COUNTIFS(nrES_PID,$D206,nrES_Code,$F206,nrES_Att,1)&gt;0),"Yes","No")))</f>
        <v/>
      </c>
      <c r="S206" s="16" t="n"/>
      <c r="T206" s="17">
        <f>IF($Q206&lt;&gt;"Yes","",IF($S206="","(enter date)",_xlfn.LET(_xlpm.dn,IFERROR(_xlfn.XLOOKUP($S206,nrCDdate,nrCDnum),""),IF(_xlpm.dn="","(not a class day)",IFERROR(_xlfn.XLOOKUP(_xlpm.dn+cfgRetestClassDays,nrCDnum,nrCDdate),"")))))</f>
        <v/>
      </c>
      <c r="U206" s="15">
        <f>IF($Q206&lt;&gt;"Yes","",IF(COUNTIFS(nrES_PID,$D206,nrES_Code,$F206,nrES_Att,2)&gt;0,"Retested",IF(OR($T206="",NOT(ISNUMBER($T206))),"Pending",IF(TODAY()&gt;$T206,"OVERDUE","Due "&amp;TEXT($T206,"mm/dd")))))</f>
        <v/>
      </c>
      <c r="V206" s="14" t="n"/>
      <c r="W206" s="14" t="n"/>
    </row>
    <row r="207">
      <c r="B207" s="15">
        <f>IF($C207="","",$D207&amp;"-"&amp;$F207&amp;"-"&amp;$K207)</f>
        <v/>
      </c>
      <c r="C207" s="14" t="n"/>
      <c r="D207" s="15">
        <f>IF($C207="","",IFERROR(INDEX(rngCadetPIDs,MATCH($C207,rngCadetNames,0)),"?"))</f>
        <v/>
      </c>
      <c r="E207" s="15">
        <f>IF($D207="","",IFERROR(INDEX(nrCadetAgency,MATCH($D207,rngCadetPIDs,0)),""))</f>
        <v/>
      </c>
      <c r="F207" s="14" t="n"/>
      <c r="G207" s="15">
        <f>IF($F207="","",IFERROR(INDEX(rngEPname,MATCH($F207,rngEPcode,0)),"?"))</f>
        <v/>
      </c>
      <c r="H207" s="15">
        <f>IF($F207="","",IFERROR(INDEX(rngEPtype,MATCH($F207,rngEPcode,0)),"?"))</f>
        <v/>
      </c>
      <c r="I207" s="15">
        <f>IF($F207="","",IFERROR(INDEX(rngEPseq,MATCH($F207,rngEPcode,0)),""))</f>
        <v/>
      </c>
      <c r="J207" s="15">
        <f>IF($F207="","",IFERROR(INDEX(rngEPpass,MATCH($F207,rngEPcode,0)),cfgPassingScore))</f>
        <v/>
      </c>
      <c r="K207" s="14" t="n"/>
      <c r="L207" s="14" t="n"/>
      <c r="M207" s="15">
        <f>IF($C207="","",IF($L207="","",IF($K207=1,IF(COUNTIFS(nrES_PID,$D207,nrES_Code,$F207,nrES_Att,2)&gt;0,"",$L207),IF(COUNTIFS(nrES_PID,$D207,nrES_Code,$F207,nrES_Att,1)=0,$L207,IF($L207&gt;=$J207,cfgRetakeRecordedCap,SUMIFS(nrES_Raw,nrES_PID,$D207,nrES_Code,$F207,nrES_Att,1))))))</f>
        <v/>
      </c>
      <c r="N207" s="15">
        <f>IF($C207="","",IF($L207="","",IF($L207&gt;=$J207,"Yes","No")))</f>
        <v/>
      </c>
      <c r="O207" s="15">
        <f>IF($C207="","",IF($M207="","",IF($M207&gt;=$J207,"Yes","No")))</f>
        <v/>
      </c>
      <c r="P207" s="15">
        <f>IF($C207="","",IF($K207="","",IF(COUNTIFS(nrES_PID,$D207,nrES_Code,$F207,nrES_Att,"&gt;"&amp;$K207)=0,"Yes","No")))</f>
        <v/>
      </c>
      <c r="Q207" s="15">
        <f>IF($C207="","",IF($L207="","",IF(AND($K207=1,$L207&lt;$J207,COUNTIFS(nrES_PID,$D207,nrES_Code,$F207,nrES_Att,2)=0),"Yes","No")))</f>
        <v/>
      </c>
      <c r="R207" s="15">
        <f>IF($C207="","",IF($L207="","",IF(AND($K207=2,$L207&lt;$J207,COUNTIFS(nrES_PID,$D207,nrES_Code,$F207,nrES_Att,1)&gt;0),"Yes","No")))</f>
        <v/>
      </c>
      <c r="S207" s="16" t="n"/>
      <c r="T207" s="17">
        <f>IF($Q207&lt;&gt;"Yes","",IF($S207="","(enter date)",_xlfn.LET(_xlpm.dn,IFERROR(_xlfn.XLOOKUP($S207,nrCDdate,nrCDnum),""),IF(_xlpm.dn="","(not a class day)",IFERROR(_xlfn.XLOOKUP(_xlpm.dn+cfgRetestClassDays,nrCDnum,nrCDdate),"")))))</f>
        <v/>
      </c>
      <c r="U207" s="15">
        <f>IF($Q207&lt;&gt;"Yes","",IF(COUNTIFS(nrES_PID,$D207,nrES_Code,$F207,nrES_Att,2)&gt;0,"Retested",IF(OR($T207="",NOT(ISNUMBER($T207))),"Pending",IF(TODAY()&gt;$T207,"OVERDUE","Due "&amp;TEXT($T207,"mm/dd")))))</f>
        <v/>
      </c>
      <c r="V207" s="14" t="n"/>
      <c r="W207" s="14" t="n"/>
    </row>
    <row r="208">
      <c r="B208" s="15">
        <f>IF($C208="","",$D208&amp;"-"&amp;$F208&amp;"-"&amp;$K208)</f>
        <v/>
      </c>
      <c r="C208" s="14" t="n"/>
      <c r="D208" s="15">
        <f>IF($C208="","",IFERROR(INDEX(rngCadetPIDs,MATCH($C208,rngCadetNames,0)),"?"))</f>
        <v/>
      </c>
      <c r="E208" s="15">
        <f>IF($D208="","",IFERROR(INDEX(nrCadetAgency,MATCH($D208,rngCadetPIDs,0)),""))</f>
        <v/>
      </c>
      <c r="F208" s="14" t="n"/>
      <c r="G208" s="15">
        <f>IF($F208="","",IFERROR(INDEX(rngEPname,MATCH($F208,rngEPcode,0)),"?"))</f>
        <v/>
      </c>
      <c r="H208" s="15">
        <f>IF($F208="","",IFERROR(INDEX(rngEPtype,MATCH($F208,rngEPcode,0)),"?"))</f>
        <v/>
      </c>
      <c r="I208" s="15">
        <f>IF($F208="","",IFERROR(INDEX(rngEPseq,MATCH($F208,rngEPcode,0)),""))</f>
        <v/>
      </c>
      <c r="J208" s="15">
        <f>IF($F208="","",IFERROR(INDEX(rngEPpass,MATCH($F208,rngEPcode,0)),cfgPassingScore))</f>
        <v/>
      </c>
      <c r="K208" s="14" t="n"/>
      <c r="L208" s="14" t="n"/>
      <c r="M208" s="15">
        <f>IF($C208="","",IF($L208="","",IF($K208=1,IF(COUNTIFS(nrES_PID,$D208,nrES_Code,$F208,nrES_Att,2)&gt;0,"",$L208),IF(COUNTIFS(nrES_PID,$D208,nrES_Code,$F208,nrES_Att,1)=0,$L208,IF($L208&gt;=$J208,cfgRetakeRecordedCap,SUMIFS(nrES_Raw,nrES_PID,$D208,nrES_Code,$F208,nrES_Att,1))))))</f>
        <v/>
      </c>
      <c r="N208" s="15">
        <f>IF($C208="","",IF($L208="","",IF($L208&gt;=$J208,"Yes","No")))</f>
        <v/>
      </c>
      <c r="O208" s="15">
        <f>IF($C208="","",IF($M208="","",IF($M208&gt;=$J208,"Yes","No")))</f>
        <v/>
      </c>
      <c r="P208" s="15">
        <f>IF($C208="","",IF($K208="","",IF(COUNTIFS(nrES_PID,$D208,nrES_Code,$F208,nrES_Att,"&gt;"&amp;$K208)=0,"Yes","No")))</f>
        <v/>
      </c>
      <c r="Q208" s="15">
        <f>IF($C208="","",IF($L208="","",IF(AND($K208=1,$L208&lt;$J208,COUNTIFS(nrES_PID,$D208,nrES_Code,$F208,nrES_Att,2)=0),"Yes","No")))</f>
        <v/>
      </c>
      <c r="R208" s="15">
        <f>IF($C208="","",IF($L208="","",IF(AND($K208=2,$L208&lt;$J208,COUNTIFS(nrES_PID,$D208,nrES_Code,$F208,nrES_Att,1)&gt;0),"Yes","No")))</f>
        <v/>
      </c>
      <c r="S208" s="16" t="n"/>
      <c r="T208" s="17">
        <f>IF($Q208&lt;&gt;"Yes","",IF($S208="","(enter date)",_xlfn.LET(_xlpm.dn,IFERROR(_xlfn.XLOOKUP($S208,nrCDdate,nrCDnum),""),IF(_xlpm.dn="","(not a class day)",IFERROR(_xlfn.XLOOKUP(_xlpm.dn+cfgRetestClassDays,nrCDnum,nrCDdate),"")))))</f>
        <v/>
      </c>
      <c r="U208" s="15">
        <f>IF($Q208&lt;&gt;"Yes","",IF(COUNTIFS(nrES_PID,$D208,nrES_Code,$F208,nrES_Att,2)&gt;0,"Retested",IF(OR($T208="",NOT(ISNUMBER($T208))),"Pending",IF(TODAY()&gt;$T208,"OVERDUE","Due "&amp;TEXT($T208,"mm/dd")))))</f>
        <v/>
      </c>
      <c r="V208" s="14" t="n"/>
      <c r="W208" s="14" t="n"/>
    </row>
    <row r="209">
      <c r="B209" s="15">
        <f>IF($C209="","",$D209&amp;"-"&amp;$F209&amp;"-"&amp;$K209)</f>
        <v/>
      </c>
      <c r="C209" s="14" t="n"/>
      <c r="D209" s="15">
        <f>IF($C209="","",IFERROR(INDEX(rngCadetPIDs,MATCH($C209,rngCadetNames,0)),"?"))</f>
        <v/>
      </c>
      <c r="E209" s="15">
        <f>IF($D209="","",IFERROR(INDEX(nrCadetAgency,MATCH($D209,rngCadetPIDs,0)),""))</f>
        <v/>
      </c>
      <c r="F209" s="14" t="n"/>
      <c r="G209" s="15">
        <f>IF($F209="","",IFERROR(INDEX(rngEPname,MATCH($F209,rngEPcode,0)),"?"))</f>
        <v/>
      </c>
      <c r="H209" s="15">
        <f>IF($F209="","",IFERROR(INDEX(rngEPtype,MATCH($F209,rngEPcode,0)),"?"))</f>
        <v/>
      </c>
      <c r="I209" s="15">
        <f>IF($F209="","",IFERROR(INDEX(rngEPseq,MATCH($F209,rngEPcode,0)),""))</f>
        <v/>
      </c>
      <c r="J209" s="15">
        <f>IF($F209="","",IFERROR(INDEX(rngEPpass,MATCH($F209,rngEPcode,0)),cfgPassingScore))</f>
        <v/>
      </c>
      <c r="K209" s="14" t="n"/>
      <c r="L209" s="14" t="n"/>
      <c r="M209" s="15">
        <f>IF($C209="","",IF($L209="","",IF($K209=1,IF(COUNTIFS(nrES_PID,$D209,nrES_Code,$F209,nrES_Att,2)&gt;0,"",$L209),IF(COUNTIFS(nrES_PID,$D209,nrES_Code,$F209,nrES_Att,1)=0,$L209,IF($L209&gt;=$J209,cfgRetakeRecordedCap,SUMIFS(nrES_Raw,nrES_PID,$D209,nrES_Code,$F209,nrES_Att,1))))))</f>
        <v/>
      </c>
      <c r="N209" s="15">
        <f>IF($C209="","",IF($L209="","",IF($L209&gt;=$J209,"Yes","No")))</f>
        <v/>
      </c>
      <c r="O209" s="15">
        <f>IF($C209="","",IF($M209="","",IF($M209&gt;=$J209,"Yes","No")))</f>
        <v/>
      </c>
      <c r="P209" s="15">
        <f>IF($C209="","",IF($K209="","",IF(COUNTIFS(nrES_PID,$D209,nrES_Code,$F209,nrES_Att,"&gt;"&amp;$K209)=0,"Yes","No")))</f>
        <v/>
      </c>
      <c r="Q209" s="15">
        <f>IF($C209="","",IF($L209="","",IF(AND($K209=1,$L209&lt;$J209,COUNTIFS(nrES_PID,$D209,nrES_Code,$F209,nrES_Att,2)=0),"Yes","No")))</f>
        <v/>
      </c>
      <c r="R209" s="15">
        <f>IF($C209="","",IF($L209="","",IF(AND($K209=2,$L209&lt;$J209,COUNTIFS(nrES_PID,$D209,nrES_Code,$F209,nrES_Att,1)&gt;0),"Yes","No")))</f>
        <v/>
      </c>
      <c r="S209" s="16" t="n"/>
      <c r="T209" s="17">
        <f>IF($Q209&lt;&gt;"Yes","",IF($S209="","(enter date)",_xlfn.LET(_xlpm.dn,IFERROR(_xlfn.XLOOKUP($S209,nrCDdate,nrCDnum),""),IF(_xlpm.dn="","(not a class day)",IFERROR(_xlfn.XLOOKUP(_xlpm.dn+cfgRetestClassDays,nrCDnum,nrCDdate),"")))))</f>
        <v/>
      </c>
      <c r="U209" s="15">
        <f>IF($Q209&lt;&gt;"Yes","",IF(COUNTIFS(nrES_PID,$D209,nrES_Code,$F209,nrES_Att,2)&gt;0,"Retested",IF(OR($T209="",NOT(ISNUMBER($T209))),"Pending",IF(TODAY()&gt;$T209,"OVERDUE","Due "&amp;TEXT($T209,"mm/dd")))))</f>
        <v/>
      </c>
      <c r="V209" s="14" t="n"/>
      <c r="W209" s="14" t="n"/>
    </row>
    <row r="210">
      <c r="B210" s="15">
        <f>IF($C210="","",$D210&amp;"-"&amp;$F210&amp;"-"&amp;$K210)</f>
        <v/>
      </c>
      <c r="C210" s="14" t="n"/>
      <c r="D210" s="15">
        <f>IF($C210="","",IFERROR(INDEX(rngCadetPIDs,MATCH($C210,rngCadetNames,0)),"?"))</f>
        <v/>
      </c>
      <c r="E210" s="15">
        <f>IF($D210="","",IFERROR(INDEX(nrCadetAgency,MATCH($D210,rngCadetPIDs,0)),""))</f>
        <v/>
      </c>
      <c r="F210" s="14" t="n"/>
      <c r="G210" s="15">
        <f>IF($F210="","",IFERROR(INDEX(rngEPname,MATCH($F210,rngEPcode,0)),"?"))</f>
        <v/>
      </c>
      <c r="H210" s="15">
        <f>IF($F210="","",IFERROR(INDEX(rngEPtype,MATCH($F210,rngEPcode,0)),"?"))</f>
        <v/>
      </c>
      <c r="I210" s="15">
        <f>IF($F210="","",IFERROR(INDEX(rngEPseq,MATCH($F210,rngEPcode,0)),""))</f>
        <v/>
      </c>
      <c r="J210" s="15">
        <f>IF($F210="","",IFERROR(INDEX(rngEPpass,MATCH($F210,rngEPcode,0)),cfgPassingScore))</f>
        <v/>
      </c>
      <c r="K210" s="14" t="n"/>
      <c r="L210" s="14" t="n"/>
      <c r="M210" s="15">
        <f>IF($C210="","",IF($L210="","",IF($K210=1,IF(COUNTIFS(nrES_PID,$D210,nrES_Code,$F210,nrES_Att,2)&gt;0,"",$L210),IF(COUNTIFS(nrES_PID,$D210,nrES_Code,$F210,nrES_Att,1)=0,$L210,IF($L210&gt;=$J210,cfgRetakeRecordedCap,SUMIFS(nrES_Raw,nrES_PID,$D210,nrES_Code,$F210,nrES_Att,1))))))</f>
        <v/>
      </c>
      <c r="N210" s="15">
        <f>IF($C210="","",IF($L210="","",IF($L210&gt;=$J210,"Yes","No")))</f>
        <v/>
      </c>
      <c r="O210" s="15">
        <f>IF($C210="","",IF($M210="","",IF($M210&gt;=$J210,"Yes","No")))</f>
        <v/>
      </c>
      <c r="P210" s="15">
        <f>IF($C210="","",IF($K210="","",IF(COUNTIFS(nrES_PID,$D210,nrES_Code,$F210,nrES_Att,"&gt;"&amp;$K210)=0,"Yes","No")))</f>
        <v/>
      </c>
      <c r="Q210" s="15">
        <f>IF($C210="","",IF($L210="","",IF(AND($K210=1,$L210&lt;$J210,COUNTIFS(nrES_PID,$D210,nrES_Code,$F210,nrES_Att,2)=0),"Yes","No")))</f>
        <v/>
      </c>
      <c r="R210" s="15">
        <f>IF($C210="","",IF($L210="","",IF(AND($K210=2,$L210&lt;$J210,COUNTIFS(nrES_PID,$D210,nrES_Code,$F210,nrES_Att,1)&gt;0),"Yes","No")))</f>
        <v/>
      </c>
      <c r="S210" s="16" t="n"/>
      <c r="T210" s="17">
        <f>IF($Q210&lt;&gt;"Yes","",IF($S210="","(enter date)",_xlfn.LET(_xlpm.dn,IFERROR(_xlfn.XLOOKUP($S210,nrCDdate,nrCDnum),""),IF(_xlpm.dn="","(not a class day)",IFERROR(_xlfn.XLOOKUP(_xlpm.dn+cfgRetestClassDays,nrCDnum,nrCDdate),"")))))</f>
        <v/>
      </c>
      <c r="U210" s="15">
        <f>IF($Q210&lt;&gt;"Yes","",IF(COUNTIFS(nrES_PID,$D210,nrES_Code,$F210,nrES_Att,2)&gt;0,"Retested",IF(OR($T210="",NOT(ISNUMBER($T210))),"Pending",IF(TODAY()&gt;$T210,"OVERDUE","Due "&amp;TEXT($T210,"mm/dd")))))</f>
        <v/>
      </c>
      <c r="V210" s="14" t="n"/>
      <c r="W210" s="14" t="n"/>
    </row>
    <row r="211">
      <c r="B211" s="15">
        <f>IF($C211="","",$D211&amp;"-"&amp;$F211&amp;"-"&amp;$K211)</f>
        <v/>
      </c>
      <c r="C211" s="14" t="n"/>
      <c r="D211" s="15">
        <f>IF($C211="","",IFERROR(INDEX(rngCadetPIDs,MATCH($C211,rngCadetNames,0)),"?"))</f>
        <v/>
      </c>
      <c r="E211" s="15">
        <f>IF($D211="","",IFERROR(INDEX(nrCadetAgency,MATCH($D211,rngCadetPIDs,0)),""))</f>
        <v/>
      </c>
      <c r="F211" s="14" t="n"/>
      <c r="G211" s="15">
        <f>IF($F211="","",IFERROR(INDEX(rngEPname,MATCH($F211,rngEPcode,0)),"?"))</f>
        <v/>
      </c>
      <c r="H211" s="15">
        <f>IF($F211="","",IFERROR(INDEX(rngEPtype,MATCH($F211,rngEPcode,0)),"?"))</f>
        <v/>
      </c>
      <c r="I211" s="15">
        <f>IF($F211="","",IFERROR(INDEX(rngEPseq,MATCH($F211,rngEPcode,0)),""))</f>
        <v/>
      </c>
      <c r="J211" s="15">
        <f>IF($F211="","",IFERROR(INDEX(rngEPpass,MATCH($F211,rngEPcode,0)),cfgPassingScore))</f>
        <v/>
      </c>
      <c r="K211" s="14" t="n"/>
      <c r="L211" s="14" t="n"/>
      <c r="M211" s="15">
        <f>IF($C211="","",IF($L211="","",IF($K211=1,IF(COUNTIFS(nrES_PID,$D211,nrES_Code,$F211,nrES_Att,2)&gt;0,"",$L211),IF(COUNTIFS(nrES_PID,$D211,nrES_Code,$F211,nrES_Att,1)=0,$L211,IF($L211&gt;=$J211,cfgRetakeRecordedCap,SUMIFS(nrES_Raw,nrES_PID,$D211,nrES_Code,$F211,nrES_Att,1))))))</f>
        <v/>
      </c>
      <c r="N211" s="15">
        <f>IF($C211="","",IF($L211="","",IF($L211&gt;=$J211,"Yes","No")))</f>
        <v/>
      </c>
      <c r="O211" s="15">
        <f>IF($C211="","",IF($M211="","",IF($M211&gt;=$J211,"Yes","No")))</f>
        <v/>
      </c>
      <c r="P211" s="15">
        <f>IF($C211="","",IF($K211="","",IF(COUNTIFS(nrES_PID,$D211,nrES_Code,$F211,nrES_Att,"&gt;"&amp;$K211)=0,"Yes","No")))</f>
        <v/>
      </c>
      <c r="Q211" s="15">
        <f>IF($C211="","",IF($L211="","",IF(AND($K211=1,$L211&lt;$J211,COUNTIFS(nrES_PID,$D211,nrES_Code,$F211,nrES_Att,2)=0),"Yes","No")))</f>
        <v/>
      </c>
      <c r="R211" s="15">
        <f>IF($C211="","",IF($L211="","",IF(AND($K211=2,$L211&lt;$J211,COUNTIFS(nrES_PID,$D211,nrES_Code,$F211,nrES_Att,1)&gt;0),"Yes","No")))</f>
        <v/>
      </c>
      <c r="S211" s="16" t="n"/>
      <c r="T211" s="17">
        <f>IF($Q211&lt;&gt;"Yes","",IF($S211="","(enter date)",_xlfn.LET(_xlpm.dn,IFERROR(_xlfn.XLOOKUP($S211,nrCDdate,nrCDnum),""),IF(_xlpm.dn="","(not a class day)",IFERROR(_xlfn.XLOOKUP(_xlpm.dn+cfgRetestClassDays,nrCDnum,nrCDdate),"")))))</f>
        <v/>
      </c>
      <c r="U211" s="15">
        <f>IF($Q211&lt;&gt;"Yes","",IF(COUNTIFS(nrES_PID,$D211,nrES_Code,$F211,nrES_Att,2)&gt;0,"Retested",IF(OR($T211="",NOT(ISNUMBER($T211))),"Pending",IF(TODAY()&gt;$T211,"OVERDUE","Due "&amp;TEXT($T211,"mm/dd")))))</f>
        <v/>
      </c>
      <c r="V211" s="14" t="n"/>
      <c r="W211" s="14" t="n"/>
    </row>
    <row r="212">
      <c r="B212" s="15">
        <f>IF($C212="","",$D212&amp;"-"&amp;$F212&amp;"-"&amp;$K212)</f>
        <v/>
      </c>
      <c r="C212" s="14" t="n"/>
      <c r="D212" s="15">
        <f>IF($C212="","",IFERROR(INDEX(rngCadetPIDs,MATCH($C212,rngCadetNames,0)),"?"))</f>
        <v/>
      </c>
      <c r="E212" s="15">
        <f>IF($D212="","",IFERROR(INDEX(nrCadetAgency,MATCH($D212,rngCadetPIDs,0)),""))</f>
        <v/>
      </c>
      <c r="F212" s="14" t="n"/>
      <c r="G212" s="15">
        <f>IF($F212="","",IFERROR(INDEX(rngEPname,MATCH($F212,rngEPcode,0)),"?"))</f>
        <v/>
      </c>
      <c r="H212" s="15">
        <f>IF($F212="","",IFERROR(INDEX(rngEPtype,MATCH($F212,rngEPcode,0)),"?"))</f>
        <v/>
      </c>
      <c r="I212" s="15">
        <f>IF($F212="","",IFERROR(INDEX(rngEPseq,MATCH($F212,rngEPcode,0)),""))</f>
        <v/>
      </c>
      <c r="J212" s="15">
        <f>IF($F212="","",IFERROR(INDEX(rngEPpass,MATCH($F212,rngEPcode,0)),cfgPassingScore))</f>
        <v/>
      </c>
      <c r="K212" s="14" t="n"/>
      <c r="L212" s="14" t="n"/>
      <c r="M212" s="15">
        <f>IF($C212="","",IF($L212="","",IF($K212=1,IF(COUNTIFS(nrES_PID,$D212,nrES_Code,$F212,nrES_Att,2)&gt;0,"",$L212),IF(COUNTIFS(nrES_PID,$D212,nrES_Code,$F212,nrES_Att,1)=0,$L212,IF($L212&gt;=$J212,cfgRetakeRecordedCap,SUMIFS(nrES_Raw,nrES_PID,$D212,nrES_Code,$F212,nrES_Att,1))))))</f>
        <v/>
      </c>
      <c r="N212" s="15">
        <f>IF($C212="","",IF($L212="","",IF($L212&gt;=$J212,"Yes","No")))</f>
        <v/>
      </c>
      <c r="O212" s="15">
        <f>IF($C212="","",IF($M212="","",IF($M212&gt;=$J212,"Yes","No")))</f>
        <v/>
      </c>
      <c r="P212" s="15">
        <f>IF($C212="","",IF($K212="","",IF(COUNTIFS(nrES_PID,$D212,nrES_Code,$F212,nrES_Att,"&gt;"&amp;$K212)=0,"Yes","No")))</f>
        <v/>
      </c>
      <c r="Q212" s="15">
        <f>IF($C212="","",IF($L212="","",IF(AND($K212=1,$L212&lt;$J212,COUNTIFS(nrES_PID,$D212,nrES_Code,$F212,nrES_Att,2)=0),"Yes","No")))</f>
        <v/>
      </c>
      <c r="R212" s="15">
        <f>IF($C212="","",IF($L212="","",IF(AND($K212=2,$L212&lt;$J212,COUNTIFS(nrES_PID,$D212,nrES_Code,$F212,nrES_Att,1)&gt;0),"Yes","No")))</f>
        <v/>
      </c>
      <c r="S212" s="16" t="n"/>
      <c r="T212" s="17">
        <f>IF($Q212&lt;&gt;"Yes","",IF($S212="","(enter date)",_xlfn.LET(_xlpm.dn,IFERROR(_xlfn.XLOOKUP($S212,nrCDdate,nrCDnum),""),IF(_xlpm.dn="","(not a class day)",IFERROR(_xlfn.XLOOKUP(_xlpm.dn+cfgRetestClassDays,nrCDnum,nrCDdate),"")))))</f>
        <v/>
      </c>
      <c r="U212" s="15">
        <f>IF($Q212&lt;&gt;"Yes","",IF(COUNTIFS(nrES_PID,$D212,nrES_Code,$F212,nrES_Att,2)&gt;0,"Retested",IF(OR($T212="",NOT(ISNUMBER($T212))),"Pending",IF(TODAY()&gt;$T212,"OVERDUE","Due "&amp;TEXT($T212,"mm/dd")))))</f>
        <v/>
      </c>
      <c r="V212" s="14" t="n"/>
      <c r="W212" s="14" t="n"/>
    </row>
    <row r="213">
      <c r="B213" s="15">
        <f>IF($C213="","",$D213&amp;"-"&amp;$F213&amp;"-"&amp;$K213)</f>
        <v/>
      </c>
      <c r="C213" s="14" t="n"/>
      <c r="D213" s="15">
        <f>IF($C213="","",IFERROR(INDEX(rngCadetPIDs,MATCH($C213,rngCadetNames,0)),"?"))</f>
        <v/>
      </c>
      <c r="E213" s="15">
        <f>IF($D213="","",IFERROR(INDEX(nrCadetAgency,MATCH($D213,rngCadetPIDs,0)),""))</f>
        <v/>
      </c>
      <c r="F213" s="14" t="n"/>
      <c r="G213" s="15">
        <f>IF($F213="","",IFERROR(INDEX(rngEPname,MATCH($F213,rngEPcode,0)),"?"))</f>
        <v/>
      </c>
      <c r="H213" s="15">
        <f>IF($F213="","",IFERROR(INDEX(rngEPtype,MATCH($F213,rngEPcode,0)),"?"))</f>
        <v/>
      </c>
      <c r="I213" s="15">
        <f>IF($F213="","",IFERROR(INDEX(rngEPseq,MATCH($F213,rngEPcode,0)),""))</f>
        <v/>
      </c>
      <c r="J213" s="15">
        <f>IF($F213="","",IFERROR(INDEX(rngEPpass,MATCH($F213,rngEPcode,0)),cfgPassingScore))</f>
        <v/>
      </c>
      <c r="K213" s="14" t="n"/>
      <c r="L213" s="14" t="n"/>
      <c r="M213" s="15">
        <f>IF($C213="","",IF($L213="","",IF($K213=1,IF(COUNTIFS(nrES_PID,$D213,nrES_Code,$F213,nrES_Att,2)&gt;0,"",$L213),IF(COUNTIFS(nrES_PID,$D213,nrES_Code,$F213,nrES_Att,1)=0,$L213,IF($L213&gt;=$J213,cfgRetakeRecordedCap,SUMIFS(nrES_Raw,nrES_PID,$D213,nrES_Code,$F213,nrES_Att,1))))))</f>
        <v/>
      </c>
      <c r="N213" s="15">
        <f>IF($C213="","",IF($L213="","",IF($L213&gt;=$J213,"Yes","No")))</f>
        <v/>
      </c>
      <c r="O213" s="15">
        <f>IF($C213="","",IF($M213="","",IF($M213&gt;=$J213,"Yes","No")))</f>
        <v/>
      </c>
      <c r="P213" s="15">
        <f>IF($C213="","",IF($K213="","",IF(COUNTIFS(nrES_PID,$D213,nrES_Code,$F213,nrES_Att,"&gt;"&amp;$K213)=0,"Yes","No")))</f>
        <v/>
      </c>
      <c r="Q213" s="15">
        <f>IF($C213="","",IF($L213="","",IF(AND($K213=1,$L213&lt;$J213,COUNTIFS(nrES_PID,$D213,nrES_Code,$F213,nrES_Att,2)=0),"Yes","No")))</f>
        <v/>
      </c>
      <c r="R213" s="15">
        <f>IF($C213="","",IF($L213="","",IF(AND($K213=2,$L213&lt;$J213,COUNTIFS(nrES_PID,$D213,nrES_Code,$F213,nrES_Att,1)&gt;0),"Yes","No")))</f>
        <v/>
      </c>
      <c r="S213" s="16" t="n"/>
      <c r="T213" s="17">
        <f>IF($Q213&lt;&gt;"Yes","",IF($S213="","(enter date)",_xlfn.LET(_xlpm.dn,IFERROR(_xlfn.XLOOKUP($S213,nrCDdate,nrCDnum),""),IF(_xlpm.dn="","(not a class day)",IFERROR(_xlfn.XLOOKUP(_xlpm.dn+cfgRetestClassDays,nrCDnum,nrCDdate),"")))))</f>
        <v/>
      </c>
      <c r="U213" s="15">
        <f>IF($Q213&lt;&gt;"Yes","",IF(COUNTIFS(nrES_PID,$D213,nrES_Code,$F213,nrES_Att,2)&gt;0,"Retested",IF(OR($T213="",NOT(ISNUMBER($T213))),"Pending",IF(TODAY()&gt;$T213,"OVERDUE","Due "&amp;TEXT($T213,"mm/dd")))))</f>
        <v/>
      </c>
      <c r="V213" s="14" t="n"/>
      <c r="W213" s="14" t="n"/>
    </row>
    <row r="214">
      <c r="B214" s="15">
        <f>IF($C214="","",$D214&amp;"-"&amp;$F214&amp;"-"&amp;$K214)</f>
        <v/>
      </c>
      <c r="C214" s="14" t="n"/>
      <c r="D214" s="15">
        <f>IF($C214="","",IFERROR(INDEX(rngCadetPIDs,MATCH($C214,rngCadetNames,0)),"?"))</f>
        <v/>
      </c>
      <c r="E214" s="15">
        <f>IF($D214="","",IFERROR(INDEX(nrCadetAgency,MATCH($D214,rngCadetPIDs,0)),""))</f>
        <v/>
      </c>
      <c r="F214" s="14" t="n"/>
      <c r="G214" s="15">
        <f>IF($F214="","",IFERROR(INDEX(rngEPname,MATCH($F214,rngEPcode,0)),"?"))</f>
        <v/>
      </c>
      <c r="H214" s="15">
        <f>IF($F214="","",IFERROR(INDEX(rngEPtype,MATCH($F214,rngEPcode,0)),"?"))</f>
        <v/>
      </c>
      <c r="I214" s="15">
        <f>IF($F214="","",IFERROR(INDEX(rngEPseq,MATCH($F214,rngEPcode,0)),""))</f>
        <v/>
      </c>
      <c r="J214" s="15">
        <f>IF($F214="","",IFERROR(INDEX(rngEPpass,MATCH($F214,rngEPcode,0)),cfgPassingScore))</f>
        <v/>
      </c>
      <c r="K214" s="14" t="n"/>
      <c r="L214" s="14" t="n"/>
      <c r="M214" s="15">
        <f>IF($C214="","",IF($L214="","",IF($K214=1,IF(COUNTIFS(nrES_PID,$D214,nrES_Code,$F214,nrES_Att,2)&gt;0,"",$L214),IF(COUNTIFS(nrES_PID,$D214,nrES_Code,$F214,nrES_Att,1)=0,$L214,IF($L214&gt;=$J214,cfgRetakeRecordedCap,SUMIFS(nrES_Raw,nrES_PID,$D214,nrES_Code,$F214,nrES_Att,1))))))</f>
        <v/>
      </c>
      <c r="N214" s="15">
        <f>IF($C214="","",IF($L214="","",IF($L214&gt;=$J214,"Yes","No")))</f>
        <v/>
      </c>
      <c r="O214" s="15">
        <f>IF($C214="","",IF($M214="","",IF($M214&gt;=$J214,"Yes","No")))</f>
        <v/>
      </c>
      <c r="P214" s="15">
        <f>IF($C214="","",IF($K214="","",IF(COUNTIFS(nrES_PID,$D214,nrES_Code,$F214,nrES_Att,"&gt;"&amp;$K214)=0,"Yes","No")))</f>
        <v/>
      </c>
      <c r="Q214" s="15">
        <f>IF($C214="","",IF($L214="","",IF(AND($K214=1,$L214&lt;$J214,COUNTIFS(nrES_PID,$D214,nrES_Code,$F214,nrES_Att,2)=0),"Yes","No")))</f>
        <v/>
      </c>
      <c r="R214" s="15">
        <f>IF($C214="","",IF($L214="","",IF(AND($K214=2,$L214&lt;$J214,COUNTIFS(nrES_PID,$D214,nrES_Code,$F214,nrES_Att,1)&gt;0),"Yes","No")))</f>
        <v/>
      </c>
      <c r="S214" s="16" t="n"/>
      <c r="T214" s="17">
        <f>IF($Q214&lt;&gt;"Yes","",IF($S214="","(enter date)",_xlfn.LET(_xlpm.dn,IFERROR(_xlfn.XLOOKUP($S214,nrCDdate,nrCDnum),""),IF(_xlpm.dn="","(not a class day)",IFERROR(_xlfn.XLOOKUP(_xlpm.dn+cfgRetestClassDays,nrCDnum,nrCDdate),"")))))</f>
        <v/>
      </c>
      <c r="U214" s="15">
        <f>IF($Q214&lt;&gt;"Yes","",IF(COUNTIFS(nrES_PID,$D214,nrES_Code,$F214,nrES_Att,2)&gt;0,"Retested",IF(OR($T214="",NOT(ISNUMBER($T214))),"Pending",IF(TODAY()&gt;$T214,"OVERDUE","Due "&amp;TEXT($T214,"mm/dd")))))</f>
        <v/>
      </c>
      <c r="V214" s="14" t="n"/>
      <c r="W214" s="14" t="n"/>
    </row>
    <row r="215">
      <c r="B215" s="15">
        <f>IF($C215="","",$D215&amp;"-"&amp;$F215&amp;"-"&amp;$K215)</f>
        <v/>
      </c>
      <c r="C215" s="14" t="n"/>
      <c r="D215" s="15">
        <f>IF($C215="","",IFERROR(INDEX(rngCadetPIDs,MATCH($C215,rngCadetNames,0)),"?"))</f>
        <v/>
      </c>
      <c r="E215" s="15">
        <f>IF($D215="","",IFERROR(INDEX(nrCadetAgency,MATCH($D215,rngCadetPIDs,0)),""))</f>
        <v/>
      </c>
      <c r="F215" s="14" t="n"/>
      <c r="G215" s="15">
        <f>IF($F215="","",IFERROR(INDEX(rngEPname,MATCH($F215,rngEPcode,0)),"?"))</f>
        <v/>
      </c>
      <c r="H215" s="15">
        <f>IF($F215="","",IFERROR(INDEX(rngEPtype,MATCH($F215,rngEPcode,0)),"?"))</f>
        <v/>
      </c>
      <c r="I215" s="15">
        <f>IF($F215="","",IFERROR(INDEX(rngEPseq,MATCH($F215,rngEPcode,0)),""))</f>
        <v/>
      </c>
      <c r="J215" s="15">
        <f>IF($F215="","",IFERROR(INDEX(rngEPpass,MATCH($F215,rngEPcode,0)),cfgPassingScore))</f>
        <v/>
      </c>
      <c r="K215" s="14" t="n"/>
      <c r="L215" s="14" t="n"/>
      <c r="M215" s="15">
        <f>IF($C215="","",IF($L215="","",IF($K215=1,IF(COUNTIFS(nrES_PID,$D215,nrES_Code,$F215,nrES_Att,2)&gt;0,"",$L215),IF(COUNTIFS(nrES_PID,$D215,nrES_Code,$F215,nrES_Att,1)=0,$L215,IF($L215&gt;=$J215,cfgRetakeRecordedCap,SUMIFS(nrES_Raw,nrES_PID,$D215,nrES_Code,$F215,nrES_Att,1))))))</f>
        <v/>
      </c>
      <c r="N215" s="15">
        <f>IF($C215="","",IF($L215="","",IF($L215&gt;=$J215,"Yes","No")))</f>
        <v/>
      </c>
      <c r="O215" s="15">
        <f>IF($C215="","",IF($M215="","",IF($M215&gt;=$J215,"Yes","No")))</f>
        <v/>
      </c>
      <c r="P215" s="15">
        <f>IF($C215="","",IF($K215="","",IF(COUNTIFS(nrES_PID,$D215,nrES_Code,$F215,nrES_Att,"&gt;"&amp;$K215)=0,"Yes","No")))</f>
        <v/>
      </c>
      <c r="Q215" s="15">
        <f>IF($C215="","",IF($L215="","",IF(AND($K215=1,$L215&lt;$J215,COUNTIFS(nrES_PID,$D215,nrES_Code,$F215,nrES_Att,2)=0),"Yes","No")))</f>
        <v/>
      </c>
      <c r="R215" s="15">
        <f>IF($C215="","",IF($L215="","",IF(AND($K215=2,$L215&lt;$J215,COUNTIFS(nrES_PID,$D215,nrES_Code,$F215,nrES_Att,1)&gt;0),"Yes","No")))</f>
        <v/>
      </c>
      <c r="S215" s="16" t="n"/>
      <c r="T215" s="17">
        <f>IF($Q215&lt;&gt;"Yes","",IF($S215="","(enter date)",_xlfn.LET(_xlpm.dn,IFERROR(_xlfn.XLOOKUP($S215,nrCDdate,nrCDnum),""),IF(_xlpm.dn="","(not a class day)",IFERROR(_xlfn.XLOOKUP(_xlpm.dn+cfgRetestClassDays,nrCDnum,nrCDdate),"")))))</f>
        <v/>
      </c>
      <c r="U215" s="15">
        <f>IF($Q215&lt;&gt;"Yes","",IF(COUNTIFS(nrES_PID,$D215,nrES_Code,$F215,nrES_Att,2)&gt;0,"Retested",IF(OR($T215="",NOT(ISNUMBER($T215))),"Pending",IF(TODAY()&gt;$T215,"OVERDUE","Due "&amp;TEXT($T215,"mm/dd")))))</f>
        <v/>
      </c>
      <c r="V215" s="14" t="n"/>
      <c r="W215" s="14" t="n"/>
    </row>
    <row r="216">
      <c r="B216" s="15">
        <f>IF($C216="","",$D216&amp;"-"&amp;$F216&amp;"-"&amp;$K216)</f>
        <v/>
      </c>
      <c r="C216" s="14" t="n"/>
      <c r="D216" s="15">
        <f>IF($C216="","",IFERROR(INDEX(rngCadetPIDs,MATCH($C216,rngCadetNames,0)),"?"))</f>
        <v/>
      </c>
      <c r="E216" s="15">
        <f>IF($D216="","",IFERROR(INDEX(nrCadetAgency,MATCH($D216,rngCadetPIDs,0)),""))</f>
        <v/>
      </c>
      <c r="F216" s="14" t="n"/>
      <c r="G216" s="15">
        <f>IF($F216="","",IFERROR(INDEX(rngEPname,MATCH($F216,rngEPcode,0)),"?"))</f>
        <v/>
      </c>
      <c r="H216" s="15">
        <f>IF($F216="","",IFERROR(INDEX(rngEPtype,MATCH($F216,rngEPcode,0)),"?"))</f>
        <v/>
      </c>
      <c r="I216" s="15">
        <f>IF($F216="","",IFERROR(INDEX(rngEPseq,MATCH($F216,rngEPcode,0)),""))</f>
        <v/>
      </c>
      <c r="J216" s="15">
        <f>IF($F216="","",IFERROR(INDEX(rngEPpass,MATCH($F216,rngEPcode,0)),cfgPassingScore))</f>
        <v/>
      </c>
      <c r="K216" s="14" t="n"/>
      <c r="L216" s="14" t="n"/>
      <c r="M216" s="15">
        <f>IF($C216="","",IF($L216="","",IF($K216=1,IF(COUNTIFS(nrES_PID,$D216,nrES_Code,$F216,nrES_Att,2)&gt;0,"",$L216),IF(COUNTIFS(nrES_PID,$D216,nrES_Code,$F216,nrES_Att,1)=0,$L216,IF($L216&gt;=$J216,cfgRetakeRecordedCap,SUMIFS(nrES_Raw,nrES_PID,$D216,nrES_Code,$F216,nrES_Att,1))))))</f>
        <v/>
      </c>
      <c r="N216" s="15">
        <f>IF($C216="","",IF($L216="","",IF($L216&gt;=$J216,"Yes","No")))</f>
        <v/>
      </c>
      <c r="O216" s="15">
        <f>IF($C216="","",IF($M216="","",IF($M216&gt;=$J216,"Yes","No")))</f>
        <v/>
      </c>
      <c r="P216" s="15">
        <f>IF($C216="","",IF($K216="","",IF(COUNTIFS(nrES_PID,$D216,nrES_Code,$F216,nrES_Att,"&gt;"&amp;$K216)=0,"Yes","No")))</f>
        <v/>
      </c>
      <c r="Q216" s="15">
        <f>IF($C216="","",IF($L216="","",IF(AND($K216=1,$L216&lt;$J216,COUNTIFS(nrES_PID,$D216,nrES_Code,$F216,nrES_Att,2)=0),"Yes","No")))</f>
        <v/>
      </c>
      <c r="R216" s="15">
        <f>IF($C216="","",IF($L216="","",IF(AND($K216=2,$L216&lt;$J216,COUNTIFS(nrES_PID,$D216,nrES_Code,$F216,nrES_Att,1)&gt;0),"Yes","No")))</f>
        <v/>
      </c>
      <c r="S216" s="16" t="n"/>
      <c r="T216" s="17">
        <f>IF($Q216&lt;&gt;"Yes","",IF($S216="","(enter date)",_xlfn.LET(_xlpm.dn,IFERROR(_xlfn.XLOOKUP($S216,nrCDdate,nrCDnum),""),IF(_xlpm.dn="","(not a class day)",IFERROR(_xlfn.XLOOKUP(_xlpm.dn+cfgRetestClassDays,nrCDnum,nrCDdate),"")))))</f>
        <v/>
      </c>
      <c r="U216" s="15">
        <f>IF($Q216&lt;&gt;"Yes","",IF(COUNTIFS(nrES_PID,$D216,nrES_Code,$F216,nrES_Att,2)&gt;0,"Retested",IF(OR($T216="",NOT(ISNUMBER($T216))),"Pending",IF(TODAY()&gt;$T216,"OVERDUE","Due "&amp;TEXT($T216,"mm/dd")))))</f>
        <v/>
      </c>
      <c r="V216" s="14" t="n"/>
      <c r="W216" s="14" t="n"/>
    </row>
    <row r="217">
      <c r="B217" s="15">
        <f>IF($C217="","",$D217&amp;"-"&amp;$F217&amp;"-"&amp;$K217)</f>
        <v/>
      </c>
      <c r="C217" s="14" t="n"/>
      <c r="D217" s="15">
        <f>IF($C217="","",IFERROR(INDEX(rngCadetPIDs,MATCH($C217,rngCadetNames,0)),"?"))</f>
        <v/>
      </c>
      <c r="E217" s="15">
        <f>IF($D217="","",IFERROR(INDEX(nrCadetAgency,MATCH($D217,rngCadetPIDs,0)),""))</f>
        <v/>
      </c>
      <c r="F217" s="14" t="n"/>
      <c r="G217" s="15">
        <f>IF($F217="","",IFERROR(INDEX(rngEPname,MATCH($F217,rngEPcode,0)),"?"))</f>
        <v/>
      </c>
      <c r="H217" s="15">
        <f>IF($F217="","",IFERROR(INDEX(rngEPtype,MATCH($F217,rngEPcode,0)),"?"))</f>
        <v/>
      </c>
      <c r="I217" s="15">
        <f>IF($F217="","",IFERROR(INDEX(rngEPseq,MATCH($F217,rngEPcode,0)),""))</f>
        <v/>
      </c>
      <c r="J217" s="15">
        <f>IF($F217="","",IFERROR(INDEX(rngEPpass,MATCH($F217,rngEPcode,0)),cfgPassingScore))</f>
        <v/>
      </c>
      <c r="K217" s="14" t="n"/>
      <c r="L217" s="14" t="n"/>
      <c r="M217" s="15">
        <f>IF($C217="","",IF($L217="","",IF($K217=1,IF(COUNTIFS(nrES_PID,$D217,nrES_Code,$F217,nrES_Att,2)&gt;0,"",$L217),IF(COUNTIFS(nrES_PID,$D217,nrES_Code,$F217,nrES_Att,1)=0,$L217,IF($L217&gt;=$J217,cfgRetakeRecordedCap,SUMIFS(nrES_Raw,nrES_PID,$D217,nrES_Code,$F217,nrES_Att,1))))))</f>
        <v/>
      </c>
      <c r="N217" s="15">
        <f>IF($C217="","",IF($L217="","",IF($L217&gt;=$J217,"Yes","No")))</f>
        <v/>
      </c>
      <c r="O217" s="15">
        <f>IF($C217="","",IF($M217="","",IF($M217&gt;=$J217,"Yes","No")))</f>
        <v/>
      </c>
      <c r="P217" s="15">
        <f>IF($C217="","",IF($K217="","",IF(COUNTIFS(nrES_PID,$D217,nrES_Code,$F217,nrES_Att,"&gt;"&amp;$K217)=0,"Yes","No")))</f>
        <v/>
      </c>
      <c r="Q217" s="15">
        <f>IF($C217="","",IF($L217="","",IF(AND($K217=1,$L217&lt;$J217,COUNTIFS(nrES_PID,$D217,nrES_Code,$F217,nrES_Att,2)=0),"Yes","No")))</f>
        <v/>
      </c>
      <c r="R217" s="15">
        <f>IF($C217="","",IF($L217="","",IF(AND($K217=2,$L217&lt;$J217,COUNTIFS(nrES_PID,$D217,nrES_Code,$F217,nrES_Att,1)&gt;0),"Yes","No")))</f>
        <v/>
      </c>
      <c r="S217" s="16" t="n"/>
      <c r="T217" s="17">
        <f>IF($Q217&lt;&gt;"Yes","",IF($S217="","(enter date)",_xlfn.LET(_xlpm.dn,IFERROR(_xlfn.XLOOKUP($S217,nrCDdate,nrCDnum),""),IF(_xlpm.dn="","(not a class day)",IFERROR(_xlfn.XLOOKUP(_xlpm.dn+cfgRetestClassDays,nrCDnum,nrCDdate),"")))))</f>
        <v/>
      </c>
      <c r="U217" s="15">
        <f>IF($Q217&lt;&gt;"Yes","",IF(COUNTIFS(nrES_PID,$D217,nrES_Code,$F217,nrES_Att,2)&gt;0,"Retested",IF(OR($T217="",NOT(ISNUMBER($T217))),"Pending",IF(TODAY()&gt;$T217,"OVERDUE","Due "&amp;TEXT($T217,"mm/dd")))))</f>
        <v/>
      </c>
      <c r="V217" s="14" t="n"/>
      <c r="W217" s="14" t="n"/>
    </row>
    <row r="218">
      <c r="B218" s="15">
        <f>IF($C218="","",$D218&amp;"-"&amp;$F218&amp;"-"&amp;$K218)</f>
        <v/>
      </c>
      <c r="C218" s="14" t="n"/>
      <c r="D218" s="15">
        <f>IF($C218="","",IFERROR(INDEX(rngCadetPIDs,MATCH($C218,rngCadetNames,0)),"?"))</f>
        <v/>
      </c>
      <c r="E218" s="15">
        <f>IF($D218="","",IFERROR(INDEX(nrCadetAgency,MATCH($D218,rngCadetPIDs,0)),""))</f>
        <v/>
      </c>
      <c r="F218" s="14" t="n"/>
      <c r="G218" s="15">
        <f>IF($F218="","",IFERROR(INDEX(rngEPname,MATCH($F218,rngEPcode,0)),"?"))</f>
        <v/>
      </c>
      <c r="H218" s="15">
        <f>IF($F218="","",IFERROR(INDEX(rngEPtype,MATCH($F218,rngEPcode,0)),"?"))</f>
        <v/>
      </c>
      <c r="I218" s="15">
        <f>IF($F218="","",IFERROR(INDEX(rngEPseq,MATCH($F218,rngEPcode,0)),""))</f>
        <v/>
      </c>
      <c r="J218" s="15">
        <f>IF($F218="","",IFERROR(INDEX(rngEPpass,MATCH($F218,rngEPcode,0)),cfgPassingScore))</f>
        <v/>
      </c>
      <c r="K218" s="14" t="n"/>
      <c r="L218" s="14" t="n"/>
      <c r="M218" s="15">
        <f>IF($C218="","",IF($L218="","",IF($K218=1,IF(COUNTIFS(nrES_PID,$D218,nrES_Code,$F218,nrES_Att,2)&gt;0,"",$L218),IF(COUNTIFS(nrES_PID,$D218,nrES_Code,$F218,nrES_Att,1)=0,$L218,IF($L218&gt;=$J218,cfgRetakeRecordedCap,SUMIFS(nrES_Raw,nrES_PID,$D218,nrES_Code,$F218,nrES_Att,1))))))</f>
        <v/>
      </c>
      <c r="N218" s="15">
        <f>IF($C218="","",IF($L218="","",IF($L218&gt;=$J218,"Yes","No")))</f>
        <v/>
      </c>
      <c r="O218" s="15">
        <f>IF($C218="","",IF($M218="","",IF($M218&gt;=$J218,"Yes","No")))</f>
        <v/>
      </c>
      <c r="P218" s="15">
        <f>IF($C218="","",IF($K218="","",IF(COUNTIFS(nrES_PID,$D218,nrES_Code,$F218,nrES_Att,"&gt;"&amp;$K218)=0,"Yes","No")))</f>
        <v/>
      </c>
      <c r="Q218" s="15">
        <f>IF($C218="","",IF($L218="","",IF(AND($K218=1,$L218&lt;$J218,COUNTIFS(nrES_PID,$D218,nrES_Code,$F218,nrES_Att,2)=0),"Yes","No")))</f>
        <v/>
      </c>
      <c r="R218" s="15">
        <f>IF($C218="","",IF($L218="","",IF(AND($K218=2,$L218&lt;$J218,COUNTIFS(nrES_PID,$D218,nrES_Code,$F218,nrES_Att,1)&gt;0),"Yes","No")))</f>
        <v/>
      </c>
      <c r="S218" s="16" t="n"/>
      <c r="T218" s="17">
        <f>IF($Q218&lt;&gt;"Yes","",IF($S218="","(enter date)",_xlfn.LET(_xlpm.dn,IFERROR(_xlfn.XLOOKUP($S218,nrCDdate,nrCDnum),""),IF(_xlpm.dn="","(not a class day)",IFERROR(_xlfn.XLOOKUP(_xlpm.dn+cfgRetestClassDays,nrCDnum,nrCDdate),"")))))</f>
        <v/>
      </c>
      <c r="U218" s="15">
        <f>IF($Q218&lt;&gt;"Yes","",IF(COUNTIFS(nrES_PID,$D218,nrES_Code,$F218,nrES_Att,2)&gt;0,"Retested",IF(OR($T218="",NOT(ISNUMBER($T218))),"Pending",IF(TODAY()&gt;$T218,"OVERDUE","Due "&amp;TEXT($T218,"mm/dd")))))</f>
        <v/>
      </c>
      <c r="V218" s="14" t="n"/>
      <c r="W218" s="14" t="n"/>
    </row>
    <row r="219">
      <c r="B219" s="15">
        <f>IF($C219="","",$D219&amp;"-"&amp;$F219&amp;"-"&amp;$K219)</f>
        <v/>
      </c>
      <c r="C219" s="14" t="n"/>
      <c r="D219" s="15">
        <f>IF($C219="","",IFERROR(INDEX(rngCadetPIDs,MATCH($C219,rngCadetNames,0)),"?"))</f>
        <v/>
      </c>
      <c r="E219" s="15">
        <f>IF($D219="","",IFERROR(INDEX(nrCadetAgency,MATCH($D219,rngCadetPIDs,0)),""))</f>
        <v/>
      </c>
      <c r="F219" s="14" t="n"/>
      <c r="G219" s="15">
        <f>IF($F219="","",IFERROR(INDEX(rngEPname,MATCH($F219,rngEPcode,0)),"?"))</f>
        <v/>
      </c>
      <c r="H219" s="15">
        <f>IF($F219="","",IFERROR(INDEX(rngEPtype,MATCH($F219,rngEPcode,0)),"?"))</f>
        <v/>
      </c>
      <c r="I219" s="15">
        <f>IF($F219="","",IFERROR(INDEX(rngEPseq,MATCH($F219,rngEPcode,0)),""))</f>
        <v/>
      </c>
      <c r="J219" s="15">
        <f>IF($F219="","",IFERROR(INDEX(rngEPpass,MATCH($F219,rngEPcode,0)),cfgPassingScore))</f>
        <v/>
      </c>
      <c r="K219" s="14" t="n"/>
      <c r="L219" s="14" t="n"/>
      <c r="M219" s="15">
        <f>IF($C219="","",IF($L219="","",IF($K219=1,IF(COUNTIFS(nrES_PID,$D219,nrES_Code,$F219,nrES_Att,2)&gt;0,"",$L219),IF(COUNTIFS(nrES_PID,$D219,nrES_Code,$F219,nrES_Att,1)=0,$L219,IF($L219&gt;=$J219,cfgRetakeRecordedCap,SUMIFS(nrES_Raw,nrES_PID,$D219,nrES_Code,$F219,nrES_Att,1))))))</f>
        <v/>
      </c>
      <c r="N219" s="15">
        <f>IF($C219="","",IF($L219="","",IF($L219&gt;=$J219,"Yes","No")))</f>
        <v/>
      </c>
      <c r="O219" s="15">
        <f>IF($C219="","",IF($M219="","",IF($M219&gt;=$J219,"Yes","No")))</f>
        <v/>
      </c>
      <c r="P219" s="15">
        <f>IF($C219="","",IF($K219="","",IF(COUNTIFS(nrES_PID,$D219,nrES_Code,$F219,nrES_Att,"&gt;"&amp;$K219)=0,"Yes","No")))</f>
        <v/>
      </c>
      <c r="Q219" s="15">
        <f>IF($C219="","",IF($L219="","",IF(AND($K219=1,$L219&lt;$J219,COUNTIFS(nrES_PID,$D219,nrES_Code,$F219,nrES_Att,2)=0),"Yes","No")))</f>
        <v/>
      </c>
      <c r="R219" s="15">
        <f>IF($C219="","",IF($L219="","",IF(AND($K219=2,$L219&lt;$J219,COUNTIFS(nrES_PID,$D219,nrES_Code,$F219,nrES_Att,1)&gt;0),"Yes","No")))</f>
        <v/>
      </c>
      <c r="S219" s="16" t="n"/>
      <c r="T219" s="17">
        <f>IF($Q219&lt;&gt;"Yes","",IF($S219="","(enter date)",_xlfn.LET(_xlpm.dn,IFERROR(_xlfn.XLOOKUP($S219,nrCDdate,nrCDnum),""),IF(_xlpm.dn="","(not a class day)",IFERROR(_xlfn.XLOOKUP(_xlpm.dn+cfgRetestClassDays,nrCDnum,nrCDdate),"")))))</f>
        <v/>
      </c>
      <c r="U219" s="15">
        <f>IF($Q219&lt;&gt;"Yes","",IF(COUNTIFS(nrES_PID,$D219,nrES_Code,$F219,nrES_Att,2)&gt;0,"Retested",IF(OR($T219="",NOT(ISNUMBER($T219))),"Pending",IF(TODAY()&gt;$T219,"OVERDUE","Due "&amp;TEXT($T219,"mm/dd")))))</f>
        <v/>
      </c>
      <c r="V219" s="14" t="n"/>
      <c r="W219" s="14" t="n"/>
    </row>
    <row r="220">
      <c r="B220" s="15">
        <f>IF($C220="","",$D220&amp;"-"&amp;$F220&amp;"-"&amp;$K220)</f>
        <v/>
      </c>
      <c r="C220" s="14" t="n"/>
      <c r="D220" s="15">
        <f>IF($C220="","",IFERROR(INDEX(rngCadetPIDs,MATCH($C220,rngCadetNames,0)),"?"))</f>
        <v/>
      </c>
      <c r="E220" s="15">
        <f>IF($D220="","",IFERROR(INDEX(nrCadetAgency,MATCH($D220,rngCadetPIDs,0)),""))</f>
        <v/>
      </c>
      <c r="F220" s="14" t="n"/>
      <c r="G220" s="15">
        <f>IF($F220="","",IFERROR(INDEX(rngEPname,MATCH($F220,rngEPcode,0)),"?"))</f>
        <v/>
      </c>
      <c r="H220" s="15">
        <f>IF($F220="","",IFERROR(INDEX(rngEPtype,MATCH($F220,rngEPcode,0)),"?"))</f>
        <v/>
      </c>
      <c r="I220" s="15">
        <f>IF($F220="","",IFERROR(INDEX(rngEPseq,MATCH($F220,rngEPcode,0)),""))</f>
        <v/>
      </c>
      <c r="J220" s="15">
        <f>IF($F220="","",IFERROR(INDEX(rngEPpass,MATCH($F220,rngEPcode,0)),cfgPassingScore))</f>
        <v/>
      </c>
      <c r="K220" s="14" t="n"/>
      <c r="L220" s="14" t="n"/>
      <c r="M220" s="15">
        <f>IF($C220="","",IF($L220="","",IF($K220=1,IF(COUNTIFS(nrES_PID,$D220,nrES_Code,$F220,nrES_Att,2)&gt;0,"",$L220),IF(COUNTIFS(nrES_PID,$D220,nrES_Code,$F220,nrES_Att,1)=0,$L220,IF($L220&gt;=$J220,cfgRetakeRecordedCap,SUMIFS(nrES_Raw,nrES_PID,$D220,nrES_Code,$F220,nrES_Att,1))))))</f>
        <v/>
      </c>
      <c r="N220" s="15">
        <f>IF($C220="","",IF($L220="","",IF($L220&gt;=$J220,"Yes","No")))</f>
        <v/>
      </c>
      <c r="O220" s="15">
        <f>IF($C220="","",IF($M220="","",IF($M220&gt;=$J220,"Yes","No")))</f>
        <v/>
      </c>
      <c r="P220" s="15">
        <f>IF($C220="","",IF($K220="","",IF(COUNTIFS(nrES_PID,$D220,nrES_Code,$F220,nrES_Att,"&gt;"&amp;$K220)=0,"Yes","No")))</f>
        <v/>
      </c>
      <c r="Q220" s="15">
        <f>IF($C220="","",IF($L220="","",IF(AND($K220=1,$L220&lt;$J220,COUNTIFS(nrES_PID,$D220,nrES_Code,$F220,nrES_Att,2)=0),"Yes","No")))</f>
        <v/>
      </c>
      <c r="R220" s="15">
        <f>IF($C220="","",IF($L220="","",IF(AND($K220=2,$L220&lt;$J220,COUNTIFS(nrES_PID,$D220,nrES_Code,$F220,nrES_Att,1)&gt;0),"Yes","No")))</f>
        <v/>
      </c>
      <c r="S220" s="16" t="n"/>
      <c r="T220" s="17">
        <f>IF($Q220&lt;&gt;"Yes","",IF($S220="","(enter date)",_xlfn.LET(_xlpm.dn,IFERROR(_xlfn.XLOOKUP($S220,nrCDdate,nrCDnum),""),IF(_xlpm.dn="","(not a class day)",IFERROR(_xlfn.XLOOKUP(_xlpm.dn+cfgRetestClassDays,nrCDnum,nrCDdate),"")))))</f>
        <v/>
      </c>
      <c r="U220" s="15">
        <f>IF($Q220&lt;&gt;"Yes","",IF(COUNTIFS(nrES_PID,$D220,nrES_Code,$F220,nrES_Att,2)&gt;0,"Retested",IF(OR($T220="",NOT(ISNUMBER($T220))),"Pending",IF(TODAY()&gt;$T220,"OVERDUE","Due "&amp;TEXT($T220,"mm/dd")))))</f>
        <v/>
      </c>
      <c r="V220" s="14" t="n"/>
      <c r="W220" s="14" t="n"/>
    </row>
    <row r="221">
      <c r="B221" s="15">
        <f>IF($C221="","",$D221&amp;"-"&amp;$F221&amp;"-"&amp;$K221)</f>
        <v/>
      </c>
      <c r="C221" s="14" t="n"/>
      <c r="D221" s="15">
        <f>IF($C221="","",IFERROR(INDEX(rngCadetPIDs,MATCH($C221,rngCadetNames,0)),"?"))</f>
        <v/>
      </c>
      <c r="E221" s="15">
        <f>IF($D221="","",IFERROR(INDEX(nrCadetAgency,MATCH($D221,rngCadetPIDs,0)),""))</f>
        <v/>
      </c>
      <c r="F221" s="14" t="n"/>
      <c r="G221" s="15">
        <f>IF($F221="","",IFERROR(INDEX(rngEPname,MATCH($F221,rngEPcode,0)),"?"))</f>
        <v/>
      </c>
      <c r="H221" s="15">
        <f>IF($F221="","",IFERROR(INDEX(rngEPtype,MATCH($F221,rngEPcode,0)),"?"))</f>
        <v/>
      </c>
      <c r="I221" s="15">
        <f>IF($F221="","",IFERROR(INDEX(rngEPseq,MATCH($F221,rngEPcode,0)),""))</f>
        <v/>
      </c>
      <c r="J221" s="15">
        <f>IF($F221="","",IFERROR(INDEX(rngEPpass,MATCH($F221,rngEPcode,0)),cfgPassingScore))</f>
        <v/>
      </c>
      <c r="K221" s="14" t="n"/>
      <c r="L221" s="14" t="n"/>
      <c r="M221" s="15">
        <f>IF($C221="","",IF($L221="","",IF($K221=1,IF(COUNTIFS(nrES_PID,$D221,nrES_Code,$F221,nrES_Att,2)&gt;0,"",$L221),IF(COUNTIFS(nrES_PID,$D221,nrES_Code,$F221,nrES_Att,1)=0,$L221,IF($L221&gt;=$J221,cfgRetakeRecordedCap,SUMIFS(nrES_Raw,nrES_PID,$D221,nrES_Code,$F221,nrES_Att,1))))))</f>
        <v/>
      </c>
      <c r="N221" s="15">
        <f>IF($C221="","",IF($L221="","",IF($L221&gt;=$J221,"Yes","No")))</f>
        <v/>
      </c>
      <c r="O221" s="15">
        <f>IF($C221="","",IF($M221="","",IF($M221&gt;=$J221,"Yes","No")))</f>
        <v/>
      </c>
      <c r="P221" s="15">
        <f>IF($C221="","",IF($K221="","",IF(COUNTIFS(nrES_PID,$D221,nrES_Code,$F221,nrES_Att,"&gt;"&amp;$K221)=0,"Yes","No")))</f>
        <v/>
      </c>
      <c r="Q221" s="15">
        <f>IF($C221="","",IF($L221="","",IF(AND($K221=1,$L221&lt;$J221,COUNTIFS(nrES_PID,$D221,nrES_Code,$F221,nrES_Att,2)=0),"Yes","No")))</f>
        <v/>
      </c>
      <c r="R221" s="15">
        <f>IF($C221="","",IF($L221="","",IF(AND($K221=2,$L221&lt;$J221,COUNTIFS(nrES_PID,$D221,nrES_Code,$F221,nrES_Att,1)&gt;0),"Yes","No")))</f>
        <v/>
      </c>
      <c r="S221" s="16" t="n"/>
      <c r="T221" s="17">
        <f>IF($Q221&lt;&gt;"Yes","",IF($S221="","(enter date)",_xlfn.LET(_xlpm.dn,IFERROR(_xlfn.XLOOKUP($S221,nrCDdate,nrCDnum),""),IF(_xlpm.dn="","(not a class day)",IFERROR(_xlfn.XLOOKUP(_xlpm.dn+cfgRetestClassDays,nrCDnum,nrCDdate),"")))))</f>
        <v/>
      </c>
      <c r="U221" s="15">
        <f>IF($Q221&lt;&gt;"Yes","",IF(COUNTIFS(nrES_PID,$D221,nrES_Code,$F221,nrES_Att,2)&gt;0,"Retested",IF(OR($T221="",NOT(ISNUMBER($T221))),"Pending",IF(TODAY()&gt;$T221,"OVERDUE","Due "&amp;TEXT($T221,"mm/dd")))))</f>
        <v/>
      </c>
      <c r="V221" s="14" t="n"/>
      <c r="W221" s="14" t="n"/>
    </row>
    <row r="222">
      <c r="B222" s="15">
        <f>IF($C222="","",$D222&amp;"-"&amp;$F222&amp;"-"&amp;$K222)</f>
        <v/>
      </c>
      <c r="C222" s="14" t="n"/>
      <c r="D222" s="15">
        <f>IF($C222="","",IFERROR(INDEX(rngCadetPIDs,MATCH($C222,rngCadetNames,0)),"?"))</f>
        <v/>
      </c>
      <c r="E222" s="15">
        <f>IF($D222="","",IFERROR(INDEX(nrCadetAgency,MATCH($D222,rngCadetPIDs,0)),""))</f>
        <v/>
      </c>
      <c r="F222" s="14" t="n"/>
      <c r="G222" s="15">
        <f>IF($F222="","",IFERROR(INDEX(rngEPname,MATCH($F222,rngEPcode,0)),"?"))</f>
        <v/>
      </c>
      <c r="H222" s="15">
        <f>IF($F222="","",IFERROR(INDEX(rngEPtype,MATCH($F222,rngEPcode,0)),"?"))</f>
        <v/>
      </c>
      <c r="I222" s="15">
        <f>IF($F222="","",IFERROR(INDEX(rngEPseq,MATCH($F222,rngEPcode,0)),""))</f>
        <v/>
      </c>
      <c r="J222" s="15">
        <f>IF($F222="","",IFERROR(INDEX(rngEPpass,MATCH($F222,rngEPcode,0)),cfgPassingScore))</f>
        <v/>
      </c>
      <c r="K222" s="14" t="n"/>
      <c r="L222" s="14" t="n"/>
      <c r="M222" s="15">
        <f>IF($C222="","",IF($L222="","",IF($K222=1,IF(COUNTIFS(nrES_PID,$D222,nrES_Code,$F222,nrES_Att,2)&gt;0,"",$L222),IF(COUNTIFS(nrES_PID,$D222,nrES_Code,$F222,nrES_Att,1)=0,$L222,IF($L222&gt;=$J222,cfgRetakeRecordedCap,SUMIFS(nrES_Raw,nrES_PID,$D222,nrES_Code,$F222,nrES_Att,1))))))</f>
        <v/>
      </c>
      <c r="N222" s="15">
        <f>IF($C222="","",IF($L222="","",IF($L222&gt;=$J222,"Yes","No")))</f>
        <v/>
      </c>
      <c r="O222" s="15">
        <f>IF($C222="","",IF($M222="","",IF($M222&gt;=$J222,"Yes","No")))</f>
        <v/>
      </c>
      <c r="P222" s="15">
        <f>IF($C222="","",IF($K222="","",IF(COUNTIFS(nrES_PID,$D222,nrES_Code,$F222,nrES_Att,"&gt;"&amp;$K222)=0,"Yes","No")))</f>
        <v/>
      </c>
      <c r="Q222" s="15">
        <f>IF($C222="","",IF($L222="","",IF(AND($K222=1,$L222&lt;$J222,COUNTIFS(nrES_PID,$D222,nrES_Code,$F222,nrES_Att,2)=0),"Yes","No")))</f>
        <v/>
      </c>
      <c r="R222" s="15">
        <f>IF($C222="","",IF($L222="","",IF(AND($K222=2,$L222&lt;$J222,COUNTIFS(nrES_PID,$D222,nrES_Code,$F222,nrES_Att,1)&gt;0),"Yes","No")))</f>
        <v/>
      </c>
      <c r="S222" s="16" t="n"/>
      <c r="T222" s="17">
        <f>IF($Q222&lt;&gt;"Yes","",IF($S222="","(enter date)",_xlfn.LET(_xlpm.dn,IFERROR(_xlfn.XLOOKUP($S222,nrCDdate,nrCDnum),""),IF(_xlpm.dn="","(not a class day)",IFERROR(_xlfn.XLOOKUP(_xlpm.dn+cfgRetestClassDays,nrCDnum,nrCDdate),"")))))</f>
        <v/>
      </c>
      <c r="U222" s="15">
        <f>IF($Q222&lt;&gt;"Yes","",IF(COUNTIFS(nrES_PID,$D222,nrES_Code,$F222,nrES_Att,2)&gt;0,"Retested",IF(OR($T222="",NOT(ISNUMBER($T222))),"Pending",IF(TODAY()&gt;$T222,"OVERDUE","Due "&amp;TEXT($T222,"mm/dd")))))</f>
        <v/>
      </c>
      <c r="V222" s="14" t="n"/>
      <c r="W222" s="14" t="n"/>
    </row>
    <row r="223">
      <c r="B223" s="15">
        <f>IF($C223="","",$D223&amp;"-"&amp;$F223&amp;"-"&amp;$K223)</f>
        <v/>
      </c>
      <c r="C223" s="14" t="n"/>
      <c r="D223" s="15">
        <f>IF($C223="","",IFERROR(INDEX(rngCadetPIDs,MATCH($C223,rngCadetNames,0)),"?"))</f>
        <v/>
      </c>
      <c r="E223" s="15">
        <f>IF($D223="","",IFERROR(INDEX(nrCadetAgency,MATCH($D223,rngCadetPIDs,0)),""))</f>
        <v/>
      </c>
      <c r="F223" s="14" t="n"/>
      <c r="G223" s="15">
        <f>IF($F223="","",IFERROR(INDEX(rngEPname,MATCH($F223,rngEPcode,0)),"?"))</f>
        <v/>
      </c>
      <c r="H223" s="15">
        <f>IF($F223="","",IFERROR(INDEX(rngEPtype,MATCH($F223,rngEPcode,0)),"?"))</f>
        <v/>
      </c>
      <c r="I223" s="15">
        <f>IF($F223="","",IFERROR(INDEX(rngEPseq,MATCH($F223,rngEPcode,0)),""))</f>
        <v/>
      </c>
      <c r="J223" s="15">
        <f>IF($F223="","",IFERROR(INDEX(rngEPpass,MATCH($F223,rngEPcode,0)),cfgPassingScore))</f>
        <v/>
      </c>
      <c r="K223" s="14" t="n"/>
      <c r="L223" s="14" t="n"/>
      <c r="M223" s="15">
        <f>IF($C223="","",IF($L223="","",IF($K223=1,IF(COUNTIFS(nrES_PID,$D223,nrES_Code,$F223,nrES_Att,2)&gt;0,"",$L223),IF(COUNTIFS(nrES_PID,$D223,nrES_Code,$F223,nrES_Att,1)=0,$L223,IF($L223&gt;=$J223,cfgRetakeRecordedCap,SUMIFS(nrES_Raw,nrES_PID,$D223,nrES_Code,$F223,nrES_Att,1))))))</f>
        <v/>
      </c>
      <c r="N223" s="15">
        <f>IF($C223="","",IF($L223="","",IF($L223&gt;=$J223,"Yes","No")))</f>
        <v/>
      </c>
      <c r="O223" s="15">
        <f>IF($C223="","",IF($M223="","",IF($M223&gt;=$J223,"Yes","No")))</f>
        <v/>
      </c>
      <c r="P223" s="15">
        <f>IF($C223="","",IF($K223="","",IF(COUNTIFS(nrES_PID,$D223,nrES_Code,$F223,nrES_Att,"&gt;"&amp;$K223)=0,"Yes","No")))</f>
        <v/>
      </c>
      <c r="Q223" s="15">
        <f>IF($C223="","",IF($L223="","",IF(AND($K223=1,$L223&lt;$J223,COUNTIFS(nrES_PID,$D223,nrES_Code,$F223,nrES_Att,2)=0),"Yes","No")))</f>
        <v/>
      </c>
      <c r="R223" s="15">
        <f>IF($C223="","",IF($L223="","",IF(AND($K223=2,$L223&lt;$J223,COUNTIFS(nrES_PID,$D223,nrES_Code,$F223,nrES_Att,1)&gt;0),"Yes","No")))</f>
        <v/>
      </c>
      <c r="S223" s="16" t="n"/>
      <c r="T223" s="17">
        <f>IF($Q223&lt;&gt;"Yes","",IF($S223="","(enter date)",_xlfn.LET(_xlpm.dn,IFERROR(_xlfn.XLOOKUP($S223,nrCDdate,nrCDnum),""),IF(_xlpm.dn="","(not a class day)",IFERROR(_xlfn.XLOOKUP(_xlpm.dn+cfgRetestClassDays,nrCDnum,nrCDdate),"")))))</f>
        <v/>
      </c>
      <c r="U223" s="15">
        <f>IF($Q223&lt;&gt;"Yes","",IF(COUNTIFS(nrES_PID,$D223,nrES_Code,$F223,nrES_Att,2)&gt;0,"Retested",IF(OR($T223="",NOT(ISNUMBER($T223))),"Pending",IF(TODAY()&gt;$T223,"OVERDUE","Due "&amp;TEXT($T223,"mm/dd")))))</f>
        <v/>
      </c>
      <c r="V223" s="14" t="n"/>
      <c r="W223" s="14" t="n"/>
    </row>
    <row r="224">
      <c r="B224" s="15">
        <f>IF($C224="","",$D224&amp;"-"&amp;$F224&amp;"-"&amp;$K224)</f>
        <v/>
      </c>
      <c r="C224" s="14" t="n"/>
      <c r="D224" s="15">
        <f>IF($C224="","",IFERROR(INDEX(rngCadetPIDs,MATCH($C224,rngCadetNames,0)),"?"))</f>
        <v/>
      </c>
      <c r="E224" s="15">
        <f>IF($D224="","",IFERROR(INDEX(nrCadetAgency,MATCH($D224,rngCadetPIDs,0)),""))</f>
        <v/>
      </c>
      <c r="F224" s="14" t="n"/>
      <c r="G224" s="15">
        <f>IF($F224="","",IFERROR(INDEX(rngEPname,MATCH($F224,rngEPcode,0)),"?"))</f>
        <v/>
      </c>
      <c r="H224" s="15">
        <f>IF($F224="","",IFERROR(INDEX(rngEPtype,MATCH($F224,rngEPcode,0)),"?"))</f>
        <v/>
      </c>
      <c r="I224" s="15">
        <f>IF($F224="","",IFERROR(INDEX(rngEPseq,MATCH($F224,rngEPcode,0)),""))</f>
        <v/>
      </c>
      <c r="J224" s="15">
        <f>IF($F224="","",IFERROR(INDEX(rngEPpass,MATCH($F224,rngEPcode,0)),cfgPassingScore))</f>
        <v/>
      </c>
      <c r="K224" s="14" t="n"/>
      <c r="L224" s="14" t="n"/>
      <c r="M224" s="15">
        <f>IF($C224="","",IF($L224="","",IF($K224=1,IF(COUNTIFS(nrES_PID,$D224,nrES_Code,$F224,nrES_Att,2)&gt;0,"",$L224),IF(COUNTIFS(nrES_PID,$D224,nrES_Code,$F224,nrES_Att,1)=0,$L224,IF($L224&gt;=$J224,cfgRetakeRecordedCap,SUMIFS(nrES_Raw,nrES_PID,$D224,nrES_Code,$F224,nrES_Att,1))))))</f>
        <v/>
      </c>
      <c r="N224" s="15">
        <f>IF($C224="","",IF($L224="","",IF($L224&gt;=$J224,"Yes","No")))</f>
        <v/>
      </c>
      <c r="O224" s="15">
        <f>IF($C224="","",IF($M224="","",IF($M224&gt;=$J224,"Yes","No")))</f>
        <v/>
      </c>
      <c r="P224" s="15">
        <f>IF($C224="","",IF($K224="","",IF(COUNTIFS(nrES_PID,$D224,nrES_Code,$F224,nrES_Att,"&gt;"&amp;$K224)=0,"Yes","No")))</f>
        <v/>
      </c>
      <c r="Q224" s="15">
        <f>IF($C224="","",IF($L224="","",IF(AND($K224=1,$L224&lt;$J224,COUNTIFS(nrES_PID,$D224,nrES_Code,$F224,nrES_Att,2)=0),"Yes","No")))</f>
        <v/>
      </c>
      <c r="R224" s="15">
        <f>IF($C224="","",IF($L224="","",IF(AND($K224=2,$L224&lt;$J224,COUNTIFS(nrES_PID,$D224,nrES_Code,$F224,nrES_Att,1)&gt;0),"Yes","No")))</f>
        <v/>
      </c>
      <c r="S224" s="16" t="n"/>
      <c r="T224" s="17">
        <f>IF($Q224&lt;&gt;"Yes","",IF($S224="","(enter date)",_xlfn.LET(_xlpm.dn,IFERROR(_xlfn.XLOOKUP($S224,nrCDdate,nrCDnum),""),IF(_xlpm.dn="","(not a class day)",IFERROR(_xlfn.XLOOKUP(_xlpm.dn+cfgRetestClassDays,nrCDnum,nrCDdate),"")))))</f>
        <v/>
      </c>
      <c r="U224" s="15">
        <f>IF($Q224&lt;&gt;"Yes","",IF(COUNTIFS(nrES_PID,$D224,nrES_Code,$F224,nrES_Att,2)&gt;0,"Retested",IF(OR($T224="",NOT(ISNUMBER($T224))),"Pending",IF(TODAY()&gt;$T224,"OVERDUE","Due "&amp;TEXT($T224,"mm/dd")))))</f>
        <v/>
      </c>
      <c r="V224" s="14" t="n"/>
      <c r="W224" s="14" t="n"/>
    </row>
    <row r="225">
      <c r="B225" s="15">
        <f>IF($C225="","",$D225&amp;"-"&amp;$F225&amp;"-"&amp;$K225)</f>
        <v/>
      </c>
      <c r="C225" s="14" t="n"/>
      <c r="D225" s="15">
        <f>IF($C225="","",IFERROR(INDEX(rngCadetPIDs,MATCH($C225,rngCadetNames,0)),"?"))</f>
        <v/>
      </c>
      <c r="E225" s="15">
        <f>IF($D225="","",IFERROR(INDEX(nrCadetAgency,MATCH($D225,rngCadetPIDs,0)),""))</f>
        <v/>
      </c>
      <c r="F225" s="14" t="n"/>
      <c r="G225" s="15">
        <f>IF($F225="","",IFERROR(INDEX(rngEPname,MATCH($F225,rngEPcode,0)),"?"))</f>
        <v/>
      </c>
      <c r="H225" s="15">
        <f>IF($F225="","",IFERROR(INDEX(rngEPtype,MATCH($F225,rngEPcode,0)),"?"))</f>
        <v/>
      </c>
      <c r="I225" s="15">
        <f>IF($F225="","",IFERROR(INDEX(rngEPseq,MATCH($F225,rngEPcode,0)),""))</f>
        <v/>
      </c>
      <c r="J225" s="15">
        <f>IF($F225="","",IFERROR(INDEX(rngEPpass,MATCH($F225,rngEPcode,0)),cfgPassingScore))</f>
        <v/>
      </c>
      <c r="K225" s="14" t="n"/>
      <c r="L225" s="14" t="n"/>
      <c r="M225" s="15">
        <f>IF($C225="","",IF($L225="","",IF($K225=1,IF(COUNTIFS(nrES_PID,$D225,nrES_Code,$F225,nrES_Att,2)&gt;0,"",$L225),IF(COUNTIFS(nrES_PID,$D225,nrES_Code,$F225,nrES_Att,1)=0,$L225,IF($L225&gt;=$J225,cfgRetakeRecordedCap,SUMIFS(nrES_Raw,nrES_PID,$D225,nrES_Code,$F225,nrES_Att,1))))))</f>
        <v/>
      </c>
      <c r="N225" s="15">
        <f>IF($C225="","",IF($L225="","",IF($L225&gt;=$J225,"Yes","No")))</f>
        <v/>
      </c>
      <c r="O225" s="15">
        <f>IF($C225="","",IF($M225="","",IF($M225&gt;=$J225,"Yes","No")))</f>
        <v/>
      </c>
      <c r="P225" s="15">
        <f>IF($C225="","",IF($K225="","",IF(COUNTIFS(nrES_PID,$D225,nrES_Code,$F225,nrES_Att,"&gt;"&amp;$K225)=0,"Yes","No")))</f>
        <v/>
      </c>
      <c r="Q225" s="15">
        <f>IF($C225="","",IF($L225="","",IF(AND($K225=1,$L225&lt;$J225,COUNTIFS(nrES_PID,$D225,nrES_Code,$F225,nrES_Att,2)=0),"Yes","No")))</f>
        <v/>
      </c>
      <c r="R225" s="15">
        <f>IF($C225="","",IF($L225="","",IF(AND($K225=2,$L225&lt;$J225,COUNTIFS(nrES_PID,$D225,nrES_Code,$F225,nrES_Att,1)&gt;0),"Yes","No")))</f>
        <v/>
      </c>
      <c r="S225" s="16" t="n"/>
      <c r="T225" s="17">
        <f>IF($Q225&lt;&gt;"Yes","",IF($S225="","(enter date)",_xlfn.LET(_xlpm.dn,IFERROR(_xlfn.XLOOKUP($S225,nrCDdate,nrCDnum),""),IF(_xlpm.dn="","(not a class day)",IFERROR(_xlfn.XLOOKUP(_xlpm.dn+cfgRetestClassDays,nrCDnum,nrCDdate),"")))))</f>
        <v/>
      </c>
      <c r="U225" s="15">
        <f>IF($Q225&lt;&gt;"Yes","",IF(COUNTIFS(nrES_PID,$D225,nrES_Code,$F225,nrES_Att,2)&gt;0,"Retested",IF(OR($T225="",NOT(ISNUMBER($T225))),"Pending",IF(TODAY()&gt;$T225,"OVERDUE","Due "&amp;TEXT($T225,"mm/dd")))))</f>
        <v/>
      </c>
      <c r="V225" s="14" t="n"/>
      <c r="W225" s="14" t="n"/>
    </row>
    <row r="226">
      <c r="B226" s="15">
        <f>IF($C226="","",$D226&amp;"-"&amp;$F226&amp;"-"&amp;$K226)</f>
        <v/>
      </c>
      <c r="C226" s="14" t="n"/>
      <c r="D226" s="15">
        <f>IF($C226="","",IFERROR(INDEX(rngCadetPIDs,MATCH($C226,rngCadetNames,0)),"?"))</f>
        <v/>
      </c>
      <c r="E226" s="15">
        <f>IF($D226="","",IFERROR(INDEX(nrCadetAgency,MATCH($D226,rngCadetPIDs,0)),""))</f>
        <v/>
      </c>
      <c r="F226" s="14" t="n"/>
      <c r="G226" s="15">
        <f>IF($F226="","",IFERROR(INDEX(rngEPname,MATCH($F226,rngEPcode,0)),"?"))</f>
        <v/>
      </c>
      <c r="H226" s="15">
        <f>IF($F226="","",IFERROR(INDEX(rngEPtype,MATCH($F226,rngEPcode,0)),"?"))</f>
        <v/>
      </c>
      <c r="I226" s="15">
        <f>IF($F226="","",IFERROR(INDEX(rngEPseq,MATCH($F226,rngEPcode,0)),""))</f>
        <v/>
      </c>
      <c r="J226" s="15">
        <f>IF($F226="","",IFERROR(INDEX(rngEPpass,MATCH($F226,rngEPcode,0)),cfgPassingScore))</f>
        <v/>
      </c>
      <c r="K226" s="14" t="n"/>
      <c r="L226" s="14" t="n"/>
      <c r="M226" s="15">
        <f>IF($C226="","",IF($L226="","",IF($K226=1,IF(COUNTIFS(nrES_PID,$D226,nrES_Code,$F226,nrES_Att,2)&gt;0,"",$L226),IF(COUNTIFS(nrES_PID,$D226,nrES_Code,$F226,nrES_Att,1)=0,$L226,IF($L226&gt;=$J226,cfgRetakeRecordedCap,SUMIFS(nrES_Raw,nrES_PID,$D226,nrES_Code,$F226,nrES_Att,1))))))</f>
        <v/>
      </c>
      <c r="N226" s="15">
        <f>IF($C226="","",IF($L226="","",IF($L226&gt;=$J226,"Yes","No")))</f>
        <v/>
      </c>
      <c r="O226" s="15">
        <f>IF($C226="","",IF($M226="","",IF($M226&gt;=$J226,"Yes","No")))</f>
        <v/>
      </c>
      <c r="P226" s="15">
        <f>IF($C226="","",IF($K226="","",IF(COUNTIFS(nrES_PID,$D226,nrES_Code,$F226,nrES_Att,"&gt;"&amp;$K226)=0,"Yes","No")))</f>
        <v/>
      </c>
      <c r="Q226" s="15">
        <f>IF($C226="","",IF($L226="","",IF(AND($K226=1,$L226&lt;$J226,COUNTIFS(nrES_PID,$D226,nrES_Code,$F226,nrES_Att,2)=0),"Yes","No")))</f>
        <v/>
      </c>
      <c r="R226" s="15">
        <f>IF($C226="","",IF($L226="","",IF(AND($K226=2,$L226&lt;$J226,COUNTIFS(nrES_PID,$D226,nrES_Code,$F226,nrES_Att,1)&gt;0),"Yes","No")))</f>
        <v/>
      </c>
      <c r="S226" s="16" t="n"/>
      <c r="T226" s="17">
        <f>IF($Q226&lt;&gt;"Yes","",IF($S226="","(enter date)",_xlfn.LET(_xlpm.dn,IFERROR(_xlfn.XLOOKUP($S226,nrCDdate,nrCDnum),""),IF(_xlpm.dn="","(not a class day)",IFERROR(_xlfn.XLOOKUP(_xlpm.dn+cfgRetestClassDays,nrCDnum,nrCDdate),"")))))</f>
        <v/>
      </c>
      <c r="U226" s="15">
        <f>IF($Q226&lt;&gt;"Yes","",IF(COUNTIFS(nrES_PID,$D226,nrES_Code,$F226,nrES_Att,2)&gt;0,"Retested",IF(OR($T226="",NOT(ISNUMBER($T226))),"Pending",IF(TODAY()&gt;$T226,"OVERDUE","Due "&amp;TEXT($T226,"mm/dd")))))</f>
        <v/>
      </c>
      <c r="V226" s="14" t="n"/>
      <c r="W226" s="14" t="n"/>
    </row>
    <row r="227">
      <c r="B227" s="15">
        <f>IF($C227="","",$D227&amp;"-"&amp;$F227&amp;"-"&amp;$K227)</f>
        <v/>
      </c>
      <c r="C227" s="14" t="n"/>
      <c r="D227" s="15">
        <f>IF($C227="","",IFERROR(INDEX(rngCadetPIDs,MATCH($C227,rngCadetNames,0)),"?"))</f>
        <v/>
      </c>
      <c r="E227" s="15">
        <f>IF($D227="","",IFERROR(INDEX(nrCadetAgency,MATCH($D227,rngCadetPIDs,0)),""))</f>
        <v/>
      </c>
      <c r="F227" s="14" t="n"/>
      <c r="G227" s="15">
        <f>IF($F227="","",IFERROR(INDEX(rngEPname,MATCH($F227,rngEPcode,0)),"?"))</f>
        <v/>
      </c>
      <c r="H227" s="15">
        <f>IF($F227="","",IFERROR(INDEX(rngEPtype,MATCH($F227,rngEPcode,0)),"?"))</f>
        <v/>
      </c>
      <c r="I227" s="15">
        <f>IF($F227="","",IFERROR(INDEX(rngEPseq,MATCH($F227,rngEPcode,0)),""))</f>
        <v/>
      </c>
      <c r="J227" s="15">
        <f>IF($F227="","",IFERROR(INDEX(rngEPpass,MATCH($F227,rngEPcode,0)),cfgPassingScore))</f>
        <v/>
      </c>
      <c r="K227" s="14" t="n"/>
      <c r="L227" s="14" t="n"/>
      <c r="M227" s="15">
        <f>IF($C227="","",IF($L227="","",IF($K227=1,IF(COUNTIFS(nrES_PID,$D227,nrES_Code,$F227,nrES_Att,2)&gt;0,"",$L227),IF(COUNTIFS(nrES_PID,$D227,nrES_Code,$F227,nrES_Att,1)=0,$L227,IF($L227&gt;=$J227,cfgRetakeRecordedCap,SUMIFS(nrES_Raw,nrES_PID,$D227,nrES_Code,$F227,nrES_Att,1))))))</f>
        <v/>
      </c>
      <c r="N227" s="15">
        <f>IF($C227="","",IF($L227="","",IF($L227&gt;=$J227,"Yes","No")))</f>
        <v/>
      </c>
      <c r="O227" s="15">
        <f>IF($C227="","",IF($M227="","",IF($M227&gt;=$J227,"Yes","No")))</f>
        <v/>
      </c>
      <c r="P227" s="15">
        <f>IF($C227="","",IF($K227="","",IF(COUNTIFS(nrES_PID,$D227,nrES_Code,$F227,nrES_Att,"&gt;"&amp;$K227)=0,"Yes","No")))</f>
        <v/>
      </c>
      <c r="Q227" s="15">
        <f>IF($C227="","",IF($L227="","",IF(AND($K227=1,$L227&lt;$J227,COUNTIFS(nrES_PID,$D227,nrES_Code,$F227,nrES_Att,2)=0),"Yes","No")))</f>
        <v/>
      </c>
      <c r="R227" s="15">
        <f>IF($C227="","",IF($L227="","",IF(AND($K227=2,$L227&lt;$J227,COUNTIFS(nrES_PID,$D227,nrES_Code,$F227,nrES_Att,1)&gt;0),"Yes","No")))</f>
        <v/>
      </c>
      <c r="S227" s="16" t="n"/>
      <c r="T227" s="17">
        <f>IF($Q227&lt;&gt;"Yes","",IF($S227="","(enter date)",_xlfn.LET(_xlpm.dn,IFERROR(_xlfn.XLOOKUP($S227,nrCDdate,nrCDnum),""),IF(_xlpm.dn="","(not a class day)",IFERROR(_xlfn.XLOOKUP(_xlpm.dn+cfgRetestClassDays,nrCDnum,nrCDdate),"")))))</f>
        <v/>
      </c>
      <c r="U227" s="15">
        <f>IF($Q227&lt;&gt;"Yes","",IF(COUNTIFS(nrES_PID,$D227,nrES_Code,$F227,nrES_Att,2)&gt;0,"Retested",IF(OR($T227="",NOT(ISNUMBER($T227))),"Pending",IF(TODAY()&gt;$T227,"OVERDUE","Due "&amp;TEXT($T227,"mm/dd")))))</f>
        <v/>
      </c>
      <c r="V227" s="14" t="n"/>
      <c r="W227" s="14" t="n"/>
    </row>
    <row r="228">
      <c r="B228" s="15">
        <f>IF($C228="","",$D228&amp;"-"&amp;$F228&amp;"-"&amp;$K228)</f>
        <v/>
      </c>
      <c r="C228" s="14" t="n"/>
      <c r="D228" s="15">
        <f>IF($C228="","",IFERROR(INDEX(rngCadetPIDs,MATCH($C228,rngCadetNames,0)),"?"))</f>
        <v/>
      </c>
      <c r="E228" s="15">
        <f>IF($D228="","",IFERROR(INDEX(nrCadetAgency,MATCH($D228,rngCadetPIDs,0)),""))</f>
        <v/>
      </c>
      <c r="F228" s="14" t="n"/>
      <c r="G228" s="15">
        <f>IF($F228="","",IFERROR(INDEX(rngEPname,MATCH($F228,rngEPcode,0)),"?"))</f>
        <v/>
      </c>
      <c r="H228" s="15">
        <f>IF($F228="","",IFERROR(INDEX(rngEPtype,MATCH($F228,rngEPcode,0)),"?"))</f>
        <v/>
      </c>
      <c r="I228" s="15">
        <f>IF($F228="","",IFERROR(INDEX(rngEPseq,MATCH($F228,rngEPcode,0)),""))</f>
        <v/>
      </c>
      <c r="J228" s="15">
        <f>IF($F228="","",IFERROR(INDEX(rngEPpass,MATCH($F228,rngEPcode,0)),cfgPassingScore))</f>
        <v/>
      </c>
      <c r="K228" s="14" t="n"/>
      <c r="L228" s="14" t="n"/>
      <c r="M228" s="15">
        <f>IF($C228="","",IF($L228="","",IF($K228=1,IF(COUNTIFS(nrES_PID,$D228,nrES_Code,$F228,nrES_Att,2)&gt;0,"",$L228),IF(COUNTIFS(nrES_PID,$D228,nrES_Code,$F228,nrES_Att,1)=0,$L228,IF($L228&gt;=$J228,cfgRetakeRecordedCap,SUMIFS(nrES_Raw,nrES_PID,$D228,nrES_Code,$F228,nrES_Att,1))))))</f>
        <v/>
      </c>
      <c r="N228" s="15">
        <f>IF($C228="","",IF($L228="","",IF($L228&gt;=$J228,"Yes","No")))</f>
        <v/>
      </c>
      <c r="O228" s="15">
        <f>IF($C228="","",IF($M228="","",IF($M228&gt;=$J228,"Yes","No")))</f>
        <v/>
      </c>
      <c r="P228" s="15">
        <f>IF($C228="","",IF($K228="","",IF(COUNTIFS(nrES_PID,$D228,nrES_Code,$F228,nrES_Att,"&gt;"&amp;$K228)=0,"Yes","No")))</f>
        <v/>
      </c>
      <c r="Q228" s="15">
        <f>IF($C228="","",IF($L228="","",IF(AND($K228=1,$L228&lt;$J228,COUNTIFS(nrES_PID,$D228,nrES_Code,$F228,nrES_Att,2)=0),"Yes","No")))</f>
        <v/>
      </c>
      <c r="R228" s="15">
        <f>IF($C228="","",IF($L228="","",IF(AND($K228=2,$L228&lt;$J228,COUNTIFS(nrES_PID,$D228,nrES_Code,$F228,nrES_Att,1)&gt;0),"Yes","No")))</f>
        <v/>
      </c>
      <c r="S228" s="16" t="n"/>
      <c r="T228" s="17">
        <f>IF($Q228&lt;&gt;"Yes","",IF($S228="","(enter date)",_xlfn.LET(_xlpm.dn,IFERROR(_xlfn.XLOOKUP($S228,nrCDdate,nrCDnum),""),IF(_xlpm.dn="","(not a class day)",IFERROR(_xlfn.XLOOKUP(_xlpm.dn+cfgRetestClassDays,nrCDnum,nrCDdate),"")))))</f>
        <v/>
      </c>
      <c r="U228" s="15">
        <f>IF($Q228&lt;&gt;"Yes","",IF(COUNTIFS(nrES_PID,$D228,nrES_Code,$F228,nrES_Att,2)&gt;0,"Retested",IF(OR($T228="",NOT(ISNUMBER($T228))),"Pending",IF(TODAY()&gt;$T228,"OVERDUE","Due "&amp;TEXT($T228,"mm/dd")))))</f>
        <v/>
      </c>
      <c r="V228" s="14" t="n"/>
      <c r="W228" s="14" t="n"/>
    </row>
    <row r="229">
      <c r="B229" s="15">
        <f>IF($C229="","",$D229&amp;"-"&amp;$F229&amp;"-"&amp;$K229)</f>
        <v/>
      </c>
      <c r="C229" s="14" t="n"/>
      <c r="D229" s="15">
        <f>IF($C229="","",IFERROR(INDEX(rngCadetPIDs,MATCH($C229,rngCadetNames,0)),"?"))</f>
        <v/>
      </c>
      <c r="E229" s="15">
        <f>IF($D229="","",IFERROR(INDEX(nrCadetAgency,MATCH($D229,rngCadetPIDs,0)),""))</f>
        <v/>
      </c>
      <c r="F229" s="14" t="n"/>
      <c r="G229" s="15">
        <f>IF($F229="","",IFERROR(INDEX(rngEPname,MATCH($F229,rngEPcode,0)),"?"))</f>
        <v/>
      </c>
      <c r="H229" s="15">
        <f>IF($F229="","",IFERROR(INDEX(rngEPtype,MATCH($F229,rngEPcode,0)),"?"))</f>
        <v/>
      </c>
      <c r="I229" s="15">
        <f>IF($F229="","",IFERROR(INDEX(rngEPseq,MATCH($F229,rngEPcode,0)),""))</f>
        <v/>
      </c>
      <c r="J229" s="15">
        <f>IF($F229="","",IFERROR(INDEX(rngEPpass,MATCH($F229,rngEPcode,0)),cfgPassingScore))</f>
        <v/>
      </c>
      <c r="K229" s="14" t="n"/>
      <c r="L229" s="14" t="n"/>
      <c r="M229" s="15">
        <f>IF($C229="","",IF($L229="","",IF($K229=1,IF(COUNTIFS(nrES_PID,$D229,nrES_Code,$F229,nrES_Att,2)&gt;0,"",$L229),IF(COUNTIFS(nrES_PID,$D229,nrES_Code,$F229,nrES_Att,1)=0,$L229,IF($L229&gt;=$J229,cfgRetakeRecordedCap,SUMIFS(nrES_Raw,nrES_PID,$D229,nrES_Code,$F229,nrES_Att,1))))))</f>
        <v/>
      </c>
      <c r="N229" s="15">
        <f>IF($C229="","",IF($L229="","",IF($L229&gt;=$J229,"Yes","No")))</f>
        <v/>
      </c>
      <c r="O229" s="15">
        <f>IF($C229="","",IF($M229="","",IF($M229&gt;=$J229,"Yes","No")))</f>
        <v/>
      </c>
      <c r="P229" s="15">
        <f>IF($C229="","",IF($K229="","",IF(COUNTIFS(nrES_PID,$D229,nrES_Code,$F229,nrES_Att,"&gt;"&amp;$K229)=0,"Yes","No")))</f>
        <v/>
      </c>
      <c r="Q229" s="15">
        <f>IF($C229="","",IF($L229="","",IF(AND($K229=1,$L229&lt;$J229,COUNTIFS(nrES_PID,$D229,nrES_Code,$F229,nrES_Att,2)=0),"Yes","No")))</f>
        <v/>
      </c>
      <c r="R229" s="15">
        <f>IF($C229="","",IF($L229="","",IF(AND($K229=2,$L229&lt;$J229,COUNTIFS(nrES_PID,$D229,nrES_Code,$F229,nrES_Att,1)&gt;0),"Yes","No")))</f>
        <v/>
      </c>
      <c r="S229" s="16" t="n"/>
      <c r="T229" s="17">
        <f>IF($Q229&lt;&gt;"Yes","",IF($S229="","(enter date)",_xlfn.LET(_xlpm.dn,IFERROR(_xlfn.XLOOKUP($S229,nrCDdate,nrCDnum),""),IF(_xlpm.dn="","(not a class day)",IFERROR(_xlfn.XLOOKUP(_xlpm.dn+cfgRetestClassDays,nrCDnum,nrCDdate),"")))))</f>
        <v/>
      </c>
      <c r="U229" s="15">
        <f>IF($Q229&lt;&gt;"Yes","",IF(COUNTIFS(nrES_PID,$D229,nrES_Code,$F229,nrES_Att,2)&gt;0,"Retested",IF(OR($T229="",NOT(ISNUMBER($T229))),"Pending",IF(TODAY()&gt;$T229,"OVERDUE","Due "&amp;TEXT($T229,"mm/dd")))))</f>
        <v/>
      </c>
      <c r="V229" s="14" t="n"/>
      <c r="W229" s="14" t="n"/>
    </row>
    <row r="230">
      <c r="B230" s="15">
        <f>IF($C230="","",$D230&amp;"-"&amp;$F230&amp;"-"&amp;$K230)</f>
        <v/>
      </c>
      <c r="C230" s="14" t="n"/>
      <c r="D230" s="15">
        <f>IF($C230="","",IFERROR(INDEX(rngCadetPIDs,MATCH($C230,rngCadetNames,0)),"?"))</f>
        <v/>
      </c>
      <c r="E230" s="15">
        <f>IF($D230="","",IFERROR(INDEX(nrCadetAgency,MATCH($D230,rngCadetPIDs,0)),""))</f>
        <v/>
      </c>
      <c r="F230" s="14" t="n"/>
      <c r="G230" s="15">
        <f>IF($F230="","",IFERROR(INDEX(rngEPname,MATCH($F230,rngEPcode,0)),"?"))</f>
        <v/>
      </c>
      <c r="H230" s="15">
        <f>IF($F230="","",IFERROR(INDEX(rngEPtype,MATCH($F230,rngEPcode,0)),"?"))</f>
        <v/>
      </c>
      <c r="I230" s="15">
        <f>IF($F230="","",IFERROR(INDEX(rngEPseq,MATCH($F230,rngEPcode,0)),""))</f>
        <v/>
      </c>
      <c r="J230" s="15">
        <f>IF($F230="","",IFERROR(INDEX(rngEPpass,MATCH($F230,rngEPcode,0)),cfgPassingScore))</f>
        <v/>
      </c>
      <c r="K230" s="14" t="n"/>
      <c r="L230" s="14" t="n"/>
      <c r="M230" s="15">
        <f>IF($C230="","",IF($L230="","",IF($K230=1,IF(COUNTIFS(nrES_PID,$D230,nrES_Code,$F230,nrES_Att,2)&gt;0,"",$L230),IF(COUNTIFS(nrES_PID,$D230,nrES_Code,$F230,nrES_Att,1)=0,$L230,IF($L230&gt;=$J230,cfgRetakeRecordedCap,SUMIFS(nrES_Raw,nrES_PID,$D230,nrES_Code,$F230,nrES_Att,1))))))</f>
        <v/>
      </c>
      <c r="N230" s="15">
        <f>IF($C230="","",IF($L230="","",IF($L230&gt;=$J230,"Yes","No")))</f>
        <v/>
      </c>
      <c r="O230" s="15">
        <f>IF($C230="","",IF($M230="","",IF($M230&gt;=$J230,"Yes","No")))</f>
        <v/>
      </c>
      <c r="P230" s="15">
        <f>IF($C230="","",IF($K230="","",IF(COUNTIFS(nrES_PID,$D230,nrES_Code,$F230,nrES_Att,"&gt;"&amp;$K230)=0,"Yes","No")))</f>
        <v/>
      </c>
      <c r="Q230" s="15">
        <f>IF($C230="","",IF($L230="","",IF(AND($K230=1,$L230&lt;$J230,COUNTIFS(nrES_PID,$D230,nrES_Code,$F230,nrES_Att,2)=0),"Yes","No")))</f>
        <v/>
      </c>
      <c r="R230" s="15">
        <f>IF($C230="","",IF($L230="","",IF(AND($K230=2,$L230&lt;$J230,COUNTIFS(nrES_PID,$D230,nrES_Code,$F230,nrES_Att,1)&gt;0),"Yes","No")))</f>
        <v/>
      </c>
      <c r="S230" s="16" t="n"/>
      <c r="T230" s="17">
        <f>IF($Q230&lt;&gt;"Yes","",IF($S230="","(enter date)",_xlfn.LET(_xlpm.dn,IFERROR(_xlfn.XLOOKUP($S230,nrCDdate,nrCDnum),""),IF(_xlpm.dn="","(not a class day)",IFERROR(_xlfn.XLOOKUP(_xlpm.dn+cfgRetestClassDays,nrCDnum,nrCDdate),"")))))</f>
        <v/>
      </c>
      <c r="U230" s="15">
        <f>IF($Q230&lt;&gt;"Yes","",IF(COUNTIFS(nrES_PID,$D230,nrES_Code,$F230,nrES_Att,2)&gt;0,"Retested",IF(OR($T230="",NOT(ISNUMBER($T230))),"Pending",IF(TODAY()&gt;$T230,"OVERDUE","Due "&amp;TEXT($T230,"mm/dd")))))</f>
        <v/>
      </c>
      <c r="V230" s="14" t="n"/>
      <c r="W230" s="14" t="n"/>
    </row>
    <row r="231">
      <c r="B231" s="15">
        <f>IF($C231="","",$D231&amp;"-"&amp;$F231&amp;"-"&amp;$K231)</f>
        <v/>
      </c>
      <c r="C231" s="14" t="n"/>
      <c r="D231" s="15">
        <f>IF($C231="","",IFERROR(INDEX(rngCadetPIDs,MATCH($C231,rngCadetNames,0)),"?"))</f>
        <v/>
      </c>
      <c r="E231" s="15">
        <f>IF($D231="","",IFERROR(INDEX(nrCadetAgency,MATCH($D231,rngCadetPIDs,0)),""))</f>
        <v/>
      </c>
      <c r="F231" s="14" t="n"/>
      <c r="G231" s="15">
        <f>IF($F231="","",IFERROR(INDEX(rngEPname,MATCH($F231,rngEPcode,0)),"?"))</f>
        <v/>
      </c>
      <c r="H231" s="15">
        <f>IF($F231="","",IFERROR(INDEX(rngEPtype,MATCH($F231,rngEPcode,0)),"?"))</f>
        <v/>
      </c>
      <c r="I231" s="15">
        <f>IF($F231="","",IFERROR(INDEX(rngEPseq,MATCH($F231,rngEPcode,0)),""))</f>
        <v/>
      </c>
      <c r="J231" s="15">
        <f>IF($F231="","",IFERROR(INDEX(rngEPpass,MATCH($F231,rngEPcode,0)),cfgPassingScore))</f>
        <v/>
      </c>
      <c r="K231" s="14" t="n"/>
      <c r="L231" s="14" t="n"/>
      <c r="M231" s="15">
        <f>IF($C231="","",IF($L231="","",IF($K231=1,IF(COUNTIFS(nrES_PID,$D231,nrES_Code,$F231,nrES_Att,2)&gt;0,"",$L231),IF(COUNTIFS(nrES_PID,$D231,nrES_Code,$F231,nrES_Att,1)=0,$L231,IF($L231&gt;=$J231,cfgRetakeRecordedCap,SUMIFS(nrES_Raw,nrES_PID,$D231,nrES_Code,$F231,nrES_Att,1))))))</f>
        <v/>
      </c>
      <c r="N231" s="15">
        <f>IF($C231="","",IF($L231="","",IF($L231&gt;=$J231,"Yes","No")))</f>
        <v/>
      </c>
      <c r="O231" s="15">
        <f>IF($C231="","",IF($M231="","",IF($M231&gt;=$J231,"Yes","No")))</f>
        <v/>
      </c>
      <c r="P231" s="15">
        <f>IF($C231="","",IF($K231="","",IF(COUNTIFS(nrES_PID,$D231,nrES_Code,$F231,nrES_Att,"&gt;"&amp;$K231)=0,"Yes","No")))</f>
        <v/>
      </c>
      <c r="Q231" s="15">
        <f>IF($C231="","",IF($L231="","",IF(AND($K231=1,$L231&lt;$J231,COUNTIFS(nrES_PID,$D231,nrES_Code,$F231,nrES_Att,2)=0),"Yes","No")))</f>
        <v/>
      </c>
      <c r="R231" s="15">
        <f>IF($C231="","",IF($L231="","",IF(AND($K231=2,$L231&lt;$J231,COUNTIFS(nrES_PID,$D231,nrES_Code,$F231,nrES_Att,1)&gt;0),"Yes","No")))</f>
        <v/>
      </c>
      <c r="S231" s="16" t="n"/>
      <c r="T231" s="17">
        <f>IF($Q231&lt;&gt;"Yes","",IF($S231="","(enter date)",_xlfn.LET(_xlpm.dn,IFERROR(_xlfn.XLOOKUP($S231,nrCDdate,nrCDnum),""),IF(_xlpm.dn="","(not a class day)",IFERROR(_xlfn.XLOOKUP(_xlpm.dn+cfgRetestClassDays,nrCDnum,nrCDdate),"")))))</f>
        <v/>
      </c>
      <c r="U231" s="15">
        <f>IF($Q231&lt;&gt;"Yes","",IF(COUNTIFS(nrES_PID,$D231,nrES_Code,$F231,nrES_Att,2)&gt;0,"Retested",IF(OR($T231="",NOT(ISNUMBER($T231))),"Pending",IF(TODAY()&gt;$T231,"OVERDUE","Due "&amp;TEXT($T231,"mm/dd")))))</f>
        <v/>
      </c>
      <c r="V231" s="14" t="n"/>
      <c r="W231" s="14" t="n"/>
    </row>
    <row r="232">
      <c r="B232" s="15">
        <f>IF($C232="","",$D232&amp;"-"&amp;$F232&amp;"-"&amp;$K232)</f>
        <v/>
      </c>
      <c r="C232" s="14" t="n"/>
      <c r="D232" s="15">
        <f>IF($C232="","",IFERROR(INDEX(rngCadetPIDs,MATCH($C232,rngCadetNames,0)),"?"))</f>
        <v/>
      </c>
      <c r="E232" s="15">
        <f>IF($D232="","",IFERROR(INDEX(nrCadetAgency,MATCH($D232,rngCadetPIDs,0)),""))</f>
        <v/>
      </c>
      <c r="F232" s="14" t="n"/>
      <c r="G232" s="15">
        <f>IF($F232="","",IFERROR(INDEX(rngEPname,MATCH($F232,rngEPcode,0)),"?"))</f>
        <v/>
      </c>
      <c r="H232" s="15">
        <f>IF($F232="","",IFERROR(INDEX(rngEPtype,MATCH($F232,rngEPcode,0)),"?"))</f>
        <v/>
      </c>
      <c r="I232" s="15">
        <f>IF($F232="","",IFERROR(INDEX(rngEPseq,MATCH($F232,rngEPcode,0)),""))</f>
        <v/>
      </c>
      <c r="J232" s="15">
        <f>IF($F232="","",IFERROR(INDEX(rngEPpass,MATCH($F232,rngEPcode,0)),cfgPassingScore))</f>
        <v/>
      </c>
      <c r="K232" s="14" t="n"/>
      <c r="L232" s="14" t="n"/>
      <c r="M232" s="15">
        <f>IF($C232="","",IF($L232="","",IF($K232=1,IF(COUNTIFS(nrES_PID,$D232,nrES_Code,$F232,nrES_Att,2)&gt;0,"",$L232),IF(COUNTIFS(nrES_PID,$D232,nrES_Code,$F232,nrES_Att,1)=0,$L232,IF($L232&gt;=$J232,cfgRetakeRecordedCap,SUMIFS(nrES_Raw,nrES_PID,$D232,nrES_Code,$F232,nrES_Att,1))))))</f>
        <v/>
      </c>
      <c r="N232" s="15">
        <f>IF($C232="","",IF($L232="","",IF($L232&gt;=$J232,"Yes","No")))</f>
        <v/>
      </c>
      <c r="O232" s="15">
        <f>IF($C232="","",IF($M232="","",IF($M232&gt;=$J232,"Yes","No")))</f>
        <v/>
      </c>
      <c r="P232" s="15">
        <f>IF($C232="","",IF($K232="","",IF(COUNTIFS(nrES_PID,$D232,nrES_Code,$F232,nrES_Att,"&gt;"&amp;$K232)=0,"Yes","No")))</f>
        <v/>
      </c>
      <c r="Q232" s="15">
        <f>IF($C232="","",IF($L232="","",IF(AND($K232=1,$L232&lt;$J232,COUNTIFS(nrES_PID,$D232,nrES_Code,$F232,nrES_Att,2)=0),"Yes","No")))</f>
        <v/>
      </c>
      <c r="R232" s="15">
        <f>IF($C232="","",IF($L232="","",IF(AND($K232=2,$L232&lt;$J232,COUNTIFS(nrES_PID,$D232,nrES_Code,$F232,nrES_Att,1)&gt;0),"Yes","No")))</f>
        <v/>
      </c>
      <c r="S232" s="16" t="n"/>
      <c r="T232" s="17">
        <f>IF($Q232&lt;&gt;"Yes","",IF($S232="","(enter date)",_xlfn.LET(_xlpm.dn,IFERROR(_xlfn.XLOOKUP($S232,nrCDdate,nrCDnum),""),IF(_xlpm.dn="","(not a class day)",IFERROR(_xlfn.XLOOKUP(_xlpm.dn+cfgRetestClassDays,nrCDnum,nrCDdate),"")))))</f>
        <v/>
      </c>
      <c r="U232" s="15">
        <f>IF($Q232&lt;&gt;"Yes","",IF(COUNTIFS(nrES_PID,$D232,nrES_Code,$F232,nrES_Att,2)&gt;0,"Retested",IF(OR($T232="",NOT(ISNUMBER($T232))),"Pending",IF(TODAY()&gt;$T232,"OVERDUE","Due "&amp;TEXT($T232,"mm/dd")))))</f>
        <v/>
      </c>
      <c r="V232" s="14" t="n"/>
      <c r="W232" s="14" t="n"/>
    </row>
    <row r="233">
      <c r="B233" s="15">
        <f>IF($C233="","",$D233&amp;"-"&amp;$F233&amp;"-"&amp;$K233)</f>
        <v/>
      </c>
      <c r="C233" s="14" t="n"/>
      <c r="D233" s="15">
        <f>IF($C233="","",IFERROR(INDEX(rngCadetPIDs,MATCH($C233,rngCadetNames,0)),"?"))</f>
        <v/>
      </c>
      <c r="E233" s="15">
        <f>IF($D233="","",IFERROR(INDEX(nrCadetAgency,MATCH($D233,rngCadetPIDs,0)),""))</f>
        <v/>
      </c>
      <c r="F233" s="14" t="n"/>
      <c r="G233" s="15">
        <f>IF($F233="","",IFERROR(INDEX(rngEPname,MATCH($F233,rngEPcode,0)),"?"))</f>
        <v/>
      </c>
      <c r="H233" s="15">
        <f>IF($F233="","",IFERROR(INDEX(rngEPtype,MATCH($F233,rngEPcode,0)),"?"))</f>
        <v/>
      </c>
      <c r="I233" s="15">
        <f>IF($F233="","",IFERROR(INDEX(rngEPseq,MATCH($F233,rngEPcode,0)),""))</f>
        <v/>
      </c>
      <c r="J233" s="15">
        <f>IF($F233="","",IFERROR(INDEX(rngEPpass,MATCH($F233,rngEPcode,0)),cfgPassingScore))</f>
        <v/>
      </c>
      <c r="K233" s="14" t="n"/>
      <c r="L233" s="14" t="n"/>
      <c r="M233" s="15">
        <f>IF($C233="","",IF($L233="","",IF($K233=1,IF(COUNTIFS(nrES_PID,$D233,nrES_Code,$F233,nrES_Att,2)&gt;0,"",$L233),IF(COUNTIFS(nrES_PID,$D233,nrES_Code,$F233,nrES_Att,1)=0,$L233,IF($L233&gt;=$J233,cfgRetakeRecordedCap,SUMIFS(nrES_Raw,nrES_PID,$D233,nrES_Code,$F233,nrES_Att,1))))))</f>
        <v/>
      </c>
      <c r="N233" s="15">
        <f>IF($C233="","",IF($L233="","",IF($L233&gt;=$J233,"Yes","No")))</f>
        <v/>
      </c>
      <c r="O233" s="15">
        <f>IF($C233="","",IF($M233="","",IF($M233&gt;=$J233,"Yes","No")))</f>
        <v/>
      </c>
      <c r="P233" s="15">
        <f>IF($C233="","",IF($K233="","",IF(COUNTIFS(nrES_PID,$D233,nrES_Code,$F233,nrES_Att,"&gt;"&amp;$K233)=0,"Yes","No")))</f>
        <v/>
      </c>
      <c r="Q233" s="15">
        <f>IF($C233="","",IF($L233="","",IF(AND($K233=1,$L233&lt;$J233,COUNTIFS(nrES_PID,$D233,nrES_Code,$F233,nrES_Att,2)=0),"Yes","No")))</f>
        <v/>
      </c>
      <c r="R233" s="15">
        <f>IF($C233="","",IF($L233="","",IF(AND($K233=2,$L233&lt;$J233,COUNTIFS(nrES_PID,$D233,nrES_Code,$F233,nrES_Att,1)&gt;0),"Yes","No")))</f>
        <v/>
      </c>
      <c r="S233" s="16" t="n"/>
      <c r="T233" s="17">
        <f>IF($Q233&lt;&gt;"Yes","",IF($S233="","(enter date)",_xlfn.LET(_xlpm.dn,IFERROR(_xlfn.XLOOKUP($S233,nrCDdate,nrCDnum),""),IF(_xlpm.dn="","(not a class day)",IFERROR(_xlfn.XLOOKUP(_xlpm.dn+cfgRetestClassDays,nrCDnum,nrCDdate),"")))))</f>
        <v/>
      </c>
      <c r="U233" s="15">
        <f>IF($Q233&lt;&gt;"Yes","",IF(COUNTIFS(nrES_PID,$D233,nrES_Code,$F233,nrES_Att,2)&gt;0,"Retested",IF(OR($T233="",NOT(ISNUMBER($T233))),"Pending",IF(TODAY()&gt;$T233,"OVERDUE","Due "&amp;TEXT($T233,"mm/dd")))))</f>
        <v/>
      </c>
      <c r="V233" s="14" t="n"/>
      <c r="W233" s="14" t="n"/>
    </row>
    <row r="234">
      <c r="B234" s="15">
        <f>IF($C234="","",$D234&amp;"-"&amp;$F234&amp;"-"&amp;$K234)</f>
        <v/>
      </c>
      <c r="C234" s="14" t="n"/>
      <c r="D234" s="15">
        <f>IF($C234="","",IFERROR(INDEX(rngCadetPIDs,MATCH($C234,rngCadetNames,0)),"?"))</f>
        <v/>
      </c>
      <c r="E234" s="15">
        <f>IF($D234="","",IFERROR(INDEX(nrCadetAgency,MATCH($D234,rngCadetPIDs,0)),""))</f>
        <v/>
      </c>
      <c r="F234" s="14" t="n"/>
      <c r="G234" s="15">
        <f>IF($F234="","",IFERROR(INDEX(rngEPname,MATCH($F234,rngEPcode,0)),"?"))</f>
        <v/>
      </c>
      <c r="H234" s="15">
        <f>IF($F234="","",IFERROR(INDEX(rngEPtype,MATCH($F234,rngEPcode,0)),"?"))</f>
        <v/>
      </c>
      <c r="I234" s="15">
        <f>IF($F234="","",IFERROR(INDEX(rngEPseq,MATCH($F234,rngEPcode,0)),""))</f>
        <v/>
      </c>
      <c r="J234" s="15">
        <f>IF($F234="","",IFERROR(INDEX(rngEPpass,MATCH($F234,rngEPcode,0)),cfgPassingScore))</f>
        <v/>
      </c>
      <c r="K234" s="14" t="n"/>
      <c r="L234" s="14" t="n"/>
      <c r="M234" s="15">
        <f>IF($C234="","",IF($L234="","",IF($K234=1,IF(COUNTIFS(nrES_PID,$D234,nrES_Code,$F234,nrES_Att,2)&gt;0,"",$L234),IF(COUNTIFS(nrES_PID,$D234,nrES_Code,$F234,nrES_Att,1)=0,$L234,IF($L234&gt;=$J234,cfgRetakeRecordedCap,SUMIFS(nrES_Raw,nrES_PID,$D234,nrES_Code,$F234,nrES_Att,1))))))</f>
        <v/>
      </c>
      <c r="N234" s="15">
        <f>IF($C234="","",IF($L234="","",IF($L234&gt;=$J234,"Yes","No")))</f>
        <v/>
      </c>
      <c r="O234" s="15">
        <f>IF($C234="","",IF($M234="","",IF($M234&gt;=$J234,"Yes","No")))</f>
        <v/>
      </c>
      <c r="P234" s="15">
        <f>IF($C234="","",IF($K234="","",IF(COUNTIFS(nrES_PID,$D234,nrES_Code,$F234,nrES_Att,"&gt;"&amp;$K234)=0,"Yes","No")))</f>
        <v/>
      </c>
      <c r="Q234" s="15">
        <f>IF($C234="","",IF($L234="","",IF(AND($K234=1,$L234&lt;$J234,COUNTIFS(nrES_PID,$D234,nrES_Code,$F234,nrES_Att,2)=0),"Yes","No")))</f>
        <v/>
      </c>
      <c r="R234" s="15">
        <f>IF($C234="","",IF($L234="","",IF(AND($K234=2,$L234&lt;$J234,COUNTIFS(nrES_PID,$D234,nrES_Code,$F234,nrES_Att,1)&gt;0),"Yes","No")))</f>
        <v/>
      </c>
      <c r="S234" s="16" t="n"/>
      <c r="T234" s="17">
        <f>IF($Q234&lt;&gt;"Yes","",IF($S234="","(enter date)",_xlfn.LET(_xlpm.dn,IFERROR(_xlfn.XLOOKUP($S234,nrCDdate,nrCDnum),""),IF(_xlpm.dn="","(not a class day)",IFERROR(_xlfn.XLOOKUP(_xlpm.dn+cfgRetestClassDays,nrCDnum,nrCDdate),"")))))</f>
        <v/>
      </c>
      <c r="U234" s="15">
        <f>IF($Q234&lt;&gt;"Yes","",IF(COUNTIFS(nrES_PID,$D234,nrES_Code,$F234,nrES_Att,2)&gt;0,"Retested",IF(OR($T234="",NOT(ISNUMBER($T234))),"Pending",IF(TODAY()&gt;$T234,"OVERDUE","Due "&amp;TEXT($T234,"mm/dd")))))</f>
        <v/>
      </c>
      <c r="V234" s="14" t="n"/>
      <c r="W234" s="14" t="n"/>
    </row>
    <row r="235">
      <c r="B235" s="15">
        <f>IF($C235="","",$D235&amp;"-"&amp;$F235&amp;"-"&amp;$K235)</f>
        <v/>
      </c>
      <c r="C235" s="14" t="n"/>
      <c r="D235" s="15">
        <f>IF($C235="","",IFERROR(INDEX(rngCadetPIDs,MATCH($C235,rngCadetNames,0)),"?"))</f>
        <v/>
      </c>
      <c r="E235" s="15">
        <f>IF($D235="","",IFERROR(INDEX(nrCadetAgency,MATCH($D235,rngCadetPIDs,0)),""))</f>
        <v/>
      </c>
      <c r="F235" s="14" t="n"/>
      <c r="G235" s="15">
        <f>IF($F235="","",IFERROR(INDEX(rngEPname,MATCH($F235,rngEPcode,0)),"?"))</f>
        <v/>
      </c>
      <c r="H235" s="15">
        <f>IF($F235="","",IFERROR(INDEX(rngEPtype,MATCH($F235,rngEPcode,0)),"?"))</f>
        <v/>
      </c>
      <c r="I235" s="15">
        <f>IF($F235="","",IFERROR(INDEX(rngEPseq,MATCH($F235,rngEPcode,0)),""))</f>
        <v/>
      </c>
      <c r="J235" s="15">
        <f>IF($F235="","",IFERROR(INDEX(rngEPpass,MATCH($F235,rngEPcode,0)),cfgPassingScore))</f>
        <v/>
      </c>
      <c r="K235" s="14" t="n"/>
      <c r="L235" s="14" t="n"/>
      <c r="M235" s="15">
        <f>IF($C235="","",IF($L235="","",IF($K235=1,IF(COUNTIFS(nrES_PID,$D235,nrES_Code,$F235,nrES_Att,2)&gt;0,"",$L235),IF(COUNTIFS(nrES_PID,$D235,nrES_Code,$F235,nrES_Att,1)=0,$L235,IF($L235&gt;=$J235,cfgRetakeRecordedCap,SUMIFS(nrES_Raw,nrES_PID,$D235,nrES_Code,$F235,nrES_Att,1))))))</f>
        <v/>
      </c>
      <c r="N235" s="15">
        <f>IF($C235="","",IF($L235="","",IF($L235&gt;=$J235,"Yes","No")))</f>
        <v/>
      </c>
      <c r="O235" s="15">
        <f>IF($C235="","",IF($M235="","",IF($M235&gt;=$J235,"Yes","No")))</f>
        <v/>
      </c>
      <c r="P235" s="15">
        <f>IF($C235="","",IF($K235="","",IF(COUNTIFS(nrES_PID,$D235,nrES_Code,$F235,nrES_Att,"&gt;"&amp;$K235)=0,"Yes","No")))</f>
        <v/>
      </c>
      <c r="Q235" s="15">
        <f>IF($C235="","",IF($L235="","",IF(AND($K235=1,$L235&lt;$J235,COUNTIFS(nrES_PID,$D235,nrES_Code,$F235,nrES_Att,2)=0),"Yes","No")))</f>
        <v/>
      </c>
      <c r="R235" s="15">
        <f>IF($C235="","",IF($L235="","",IF(AND($K235=2,$L235&lt;$J235,COUNTIFS(nrES_PID,$D235,nrES_Code,$F235,nrES_Att,1)&gt;0),"Yes","No")))</f>
        <v/>
      </c>
      <c r="S235" s="16" t="n"/>
      <c r="T235" s="17">
        <f>IF($Q235&lt;&gt;"Yes","",IF($S235="","(enter date)",_xlfn.LET(_xlpm.dn,IFERROR(_xlfn.XLOOKUP($S235,nrCDdate,nrCDnum),""),IF(_xlpm.dn="","(not a class day)",IFERROR(_xlfn.XLOOKUP(_xlpm.dn+cfgRetestClassDays,nrCDnum,nrCDdate),"")))))</f>
        <v/>
      </c>
      <c r="U235" s="15">
        <f>IF($Q235&lt;&gt;"Yes","",IF(COUNTIFS(nrES_PID,$D235,nrES_Code,$F235,nrES_Att,2)&gt;0,"Retested",IF(OR($T235="",NOT(ISNUMBER($T235))),"Pending",IF(TODAY()&gt;$T235,"OVERDUE","Due "&amp;TEXT($T235,"mm/dd")))))</f>
        <v/>
      </c>
      <c r="V235" s="14" t="n"/>
      <c r="W235" s="14" t="n"/>
    </row>
    <row r="236">
      <c r="B236" s="15">
        <f>IF($C236="","",$D236&amp;"-"&amp;$F236&amp;"-"&amp;$K236)</f>
        <v/>
      </c>
      <c r="C236" s="14" t="n"/>
      <c r="D236" s="15">
        <f>IF($C236="","",IFERROR(INDEX(rngCadetPIDs,MATCH($C236,rngCadetNames,0)),"?"))</f>
        <v/>
      </c>
      <c r="E236" s="15">
        <f>IF($D236="","",IFERROR(INDEX(nrCadetAgency,MATCH($D236,rngCadetPIDs,0)),""))</f>
        <v/>
      </c>
      <c r="F236" s="14" t="n"/>
      <c r="G236" s="15">
        <f>IF($F236="","",IFERROR(INDEX(rngEPname,MATCH($F236,rngEPcode,0)),"?"))</f>
        <v/>
      </c>
      <c r="H236" s="15">
        <f>IF($F236="","",IFERROR(INDEX(rngEPtype,MATCH($F236,rngEPcode,0)),"?"))</f>
        <v/>
      </c>
      <c r="I236" s="15">
        <f>IF($F236="","",IFERROR(INDEX(rngEPseq,MATCH($F236,rngEPcode,0)),""))</f>
        <v/>
      </c>
      <c r="J236" s="15">
        <f>IF($F236="","",IFERROR(INDEX(rngEPpass,MATCH($F236,rngEPcode,0)),cfgPassingScore))</f>
        <v/>
      </c>
      <c r="K236" s="14" t="n"/>
      <c r="L236" s="14" t="n"/>
      <c r="M236" s="15">
        <f>IF($C236="","",IF($L236="","",IF($K236=1,IF(COUNTIFS(nrES_PID,$D236,nrES_Code,$F236,nrES_Att,2)&gt;0,"",$L236),IF(COUNTIFS(nrES_PID,$D236,nrES_Code,$F236,nrES_Att,1)=0,$L236,IF($L236&gt;=$J236,cfgRetakeRecordedCap,SUMIFS(nrES_Raw,nrES_PID,$D236,nrES_Code,$F236,nrES_Att,1))))))</f>
        <v/>
      </c>
      <c r="N236" s="15">
        <f>IF($C236="","",IF($L236="","",IF($L236&gt;=$J236,"Yes","No")))</f>
        <v/>
      </c>
      <c r="O236" s="15">
        <f>IF($C236="","",IF($M236="","",IF($M236&gt;=$J236,"Yes","No")))</f>
        <v/>
      </c>
      <c r="P236" s="15">
        <f>IF($C236="","",IF($K236="","",IF(COUNTIFS(nrES_PID,$D236,nrES_Code,$F236,nrES_Att,"&gt;"&amp;$K236)=0,"Yes","No")))</f>
        <v/>
      </c>
      <c r="Q236" s="15">
        <f>IF($C236="","",IF($L236="","",IF(AND($K236=1,$L236&lt;$J236,COUNTIFS(nrES_PID,$D236,nrES_Code,$F236,nrES_Att,2)=0),"Yes","No")))</f>
        <v/>
      </c>
      <c r="R236" s="15">
        <f>IF($C236="","",IF($L236="","",IF(AND($K236=2,$L236&lt;$J236,COUNTIFS(nrES_PID,$D236,nrES_Code,$F236,nrES_Att,1)&gt;0),"Yes","No")))</f>
        <v/>
      </c>
      <c r="S236" s="16" t="n"/>
      <c r="T236" s="17">
        <f>IF($Q236&lt;&gt;"Yes","",IF($S236="","(enter date)",_xlfn.LET(_xlpm.dn,IFERROR(_xlfn.XLOOKUP($S236,nrCDdate,nrCDnum),""),IF(_xlpm.dn="","(not a class day)",IFERROR(_xlfn.XLOOKUP(_xlpm.dn+cfgRetestClassDays,nrCDnum,nrCDdate),"")))))</f>
        <v/>
      </c>
      <c r="U236" s="15">
        <f>IF($Q236&lt;&gt;"Yes","",IF(COUNTIFS(nrES_PID,$D236,nrES_Code,$F236,nrES_Att,2)&gt;0,"Retested",IF(OR($T236="",NOT(ISNUMBER($T236))),"Pending",IF(TODAY()&gt;$T236,"OVERDUE","Due "&amp;TEXT($T236,"mm/dd")))))</f>
        <v/>
      </c>
      <c r="V236" s="14" t="n"/>
      <c r="W236" s="14" t="n"/>
    </row>
    <row r="237">
      <c r="B237" s="15">
        <f>IF($C237="","",$D237&amp;"-"&amp;$F237&amp;"-"&amp;$K237)</f>
        <v/>
      </c>
      <c r="C237" s="14" t="n"/>
      <c r="D237" s="15">
        <f>IF($C237="","",IFERROR(INDEX(rngCadetPIDs,MATCH($C237,rngCadetNames,0)),"?"))</f>
        <v/>
      </c>
      <c r="E237" s="15">
        <f>IF($D237="","",IFERROR(INDEX(nrCadetAgency,MATCH($D237,rngCadetPIDs,0)),""))</f>
        <v/>
      </c>
      <c r="F237" s="14" t="n"/>
      <c r="G237" s="15">
        <f>IF($F237="","",IFERROR(INDEX(rngEPname,MATCH($F237,rngEPcode,0)),"?"))</f>
        <v/>
      </c>
      <c r="H237" s="15">
        <f>IF($F237="","",IFERROR(INDEX(rngEPtype,MATCH($F237,rngEPcode,0)),"?"))</f>
        <v/>
      </c>
      <c r="I237" s="15">
        <f>IF($F237="","",IFERROR(INDEX(rngEPseq,MATCH($F237,rngEPcode,0)),""))</f>
        <v/>
      </c>
      <c r="J237" s="15">
        <f>IF($F237="","",IFERROR(INDEX(rngEPpass,MATCH($F237,rngEPcode,0)),cfgPassingScore))</f>
        <v/>
      </c>
      <c r="K237" s="14" t="n"/>
      <c r="L237" s="14" t="n"/>
      <c r="M237" s="15">
        <f>IF($C237="","",IF($L237="","",IF($K237=1,IF(COUNTIFS(nrES_PID,$D237,nrES_Code,$F237,nrES_Att,2)&gt;0,"",$L237),IF(COUNTIFS(nrES_PID,$D237,nrES_Code,$F237,nrES_Att,1)=0,$L237,IF($L237&gt;=$J237,cfgRetakeRecordedCap,SUMIFS(nrES_Raw,nrES_PID,$D237,nrES_Code,$F237,nrES_Att,1))))))</f>
        <v/>
      </c>
      <c r="N237" s="15">
        <f>IF($C237="","",IF($L237="","",IF($L237&gt;=$J237,"Yes","No")))</f>
        <v/>
      </c>
      <c r="O237" s="15">
        <f>IF($C237="","",IF($M237="","",IF($M237&gt;=$J237,"Yes","No")))</f>
        <v/>
      </c>
      <c r="P237" s="15">
        <f>IF($C237="","",IF($K237="","",IF(COUNTIFS(nrES_PID,$D237,nrES_Code,$F237,nrES_Att,"&gt;"&amp;$K237)=0,"Yes","No")))</f>
        <v/>
      </c>
      <c r="Q237" s="15">
        <f>IF($C237="","",IF($L237="","",IF(AND($K237=1,$L237&lt;$J237,COUNTIFS(nrES_PID,$D237,nrES_Code,$F237,nrES_Att,2)=0),"Yes","No")))</f>
        <v/>
      </c>
      <c r="R237" s="15">
        <f>IF($C237="","",IF($L237="","",IF(AND($K237=2,$L237&lt;$J237,COUNTIFS(nrES_PID,$D237,nrES_Code,$F237,nrES_Att,1)&gt;0),"Yes","No")))</f>
        <v/>
      </c>
      <c r="S237" s="16" t="n"/>
      <c r="T237" s="17">
        <f>IF($Q237&lt;&gt;"Yes","",IF($S237="","(enter date)",_xlfn.LET(_xlpm.dn,IFERROR(_xlfn.XLOOKUP($S237,nrCDdate,nrCDnum),""),IF(_xlpm.dn="","(not a class day)",IFERROR(_xlfn.XLOOKUP(_xlpm.dn+cfgRetestClassDays,nrCDnum,nrCDdate),"")))))</f>
        <v/>
      </c>
      <c r="U237" s="15">
        <f>IF($Q237&lt;&gt;"Yes","",IF(COUNTIFS(nrES_PID,$D237,nrES_Code,$F237,nrES_Att,2)&gt;0,"Retested",IF(OR($T237="",NOT(ISNUMBER($T237))),"Pending",IF(TODAY()&gt;$T237,"OVERDUE","Due "&amp;TEXT($T237,"mm/dd")))))</f>
        <v/>
      </c>
      <c r="V237" s="14" t="n"/>
      <c r="W237" s="14" t="n"/>
    </row>
    <row r="238">
      <c r="B238" s="15">
        <f>IF($C238="","",$D238&amp;"-"&amp;$F238&amp;"-"&amp;$K238)</f>
        <v/>
      </c>
      <c r="C238" s="14" t="n"/>
      <c r="D238" s="15">
        <f>IF($C238="","",IFERROR(INDEX(rngCadetPIDs,MATCH($C238,rngCadetNames,0)),"?"))</f>
        <v/>
      </c>
      <c r="E238" s="15">
        <f>IF($D238="","",IFERROR(INDEX(nrCadetAgency,MATCH($D238,rngCadetPIDs,0)),""))</f>
        <v/>
      </c>
      <c r="F238" s="14" t="n"/>
      <c r="G238" s="15">
        <f>IF($F238="","",IFERROR(INDEX(rngEPname,MATCH($F238,rngEPcode,0)),"?"))</f>
        <v/>
      </c>
      <c r="H238" s="15">
        <f>IF($F238="","",IFERROR(INDEX(rngEPtype,MATCH($F238,rngEPcode,0)),"?"))</f>
        <v/>
      </c>
      <c r="I238" s="15">
        <f>IF($F238="","",IFERROR(INDEX(rngEPseq,MATCH($F238,rngEPcode,0)),""))</f>
        <v/>
      </c>
      <c r="J238" s="15">
        <f>IF($F238="","",IFERROR(INDEX(rngEPpass,MATCH($F238,rngEPcode,0)),cfgPassingScore))</f>
        <v/>
      </c>
      <c r="K238" s="14" t="n"/>
      <c r="L238" s="14" t="n"/>
      <c r="M238" s="15">
        <f>IF($C238="","",IF($L238="","",IF($K238=1,IF(COUNTIFS(nrES_PID,$D238,nrES_Code,$F238,nrES_Att,2)&gt;0,"",$L238),IF(COUNTIFS(nrES_PID,$D238,nrES_Code,$F238,nrES_Att,1)=0,$L238,IF($L238&gt;=$J238,cfgRetakeRecordedCap,SUMIFS(nrES_Raw,nrES_PID,$D238,nrES_Code,$F238,nrES_Att,1))))))</f>
        <v/>
      </c>
      <c r="N238" s="15">
        <f>IF($C238="","",IF($L238="","",IF($L238&gt;=$J238,"Yes","No")))</f>
        <v/>
      </c>
      <c r="O238" s="15">
        <f>IF($C238="","",IF($M238="","",IF($M238&gt;=$J238,"Yes","No")))</f>
        <v/>
      </c>
      <c r="P238" s="15">
        <f>IF($C238="","",IF($K238="","",IF(COUNTIFS(nrES_PID,$D238,nrES_Code,$F238,nrES_Att,"&gt;"&amp;$K238)=0,"Yes","No")))</f>
        <v/>
      </c>
      <c r="Q238" s="15">
        <f>IF($C238="","",IF($L238="","",IF(AND($K238=1,$L238&lt;$J238,COUNTIFS(nrES_PID,$D238,nrES_Code,$F238,nrES_Att,2)=0),"Yes","No")))</f>
        <v/>
      </c>
      <c r="R238" s="15">
        <f>IF($C238="","",IF($L238="","",IF(AND($K238=2,$L238&lt;$J238,COUNTIFS(nrES_PID,$D238,nrES_Code,$F238,nrES_Att,1)&gt;0),"Yes","No")))</f>
        <v/>
      </c>
      <c r="S238" s="16" t="n"/>
      <c r="T238" s="17">
        <f>IF($Q238&lt;&gt;"Yes","",IF($S238="","(enter date)",_xlfn.LET(_xlpm.dn,IFERROR(_xlfn.XLOOKUP($S238,nrCDdate,nrCDnum),""),IF(_xlpm.dn="","(not a class day)",IFERROR(_xlfn.XLOOKUP(_xlpm.dn+cfgRetestClassDays,nrCDnum,nrCDdate),"")))))</f>
        <v/>
      </c>
      <c r="U238" s="15">
        <f>IF($Q238&lt;&gt;"Yes","",IF(COUNTIFS(nrES_PID,$D238,nrES_Code,$F238,nrES_Att,2)&gt;0,"Retested",IF(OR($T238="",NOT(ISNUMBER($T238))),"Pending",IF(TODAY()&gt;$T238,"OVERDUE","Due "&amp;TEXT($T238,"mm/dd")))))</f>
        <v/>
      </c>
      <c r="V238" s="14" t="n"/>
      <c r="W238" s="14" t="n"/>
    </row>
    <row r="239">
      <c r="B239" s="15">
        <f>IF($C239="","",$D239&amp;"-"&amp;$F239&amp;"-"&amp;$K239)</f>
        <v/>
      </c>
      <c r="C239" s="14" t="n"/>
      <c r="D239" s="15">
        <f>IF($C239="","",IFERROR(INDEX(rngCadetPIDs,MATCH($C239,rngCadetNames,0)),"?"))</f>
        <v/>
      </c>
      <c r="E239" s="15">
        <f>IF($D239="","",IFERROR(INDEX(nrCadetAgency,MATCH($D239,rngCadetPIDs,0)),""))</f>
        <v/>
      </c>
      <c r="F239" s="14" t="n"/>
      <c r="G239" s="15">
        <f>IF($F239="","",IFERROR(INDEX(rngEPname,MATCH($F239,rngEPcode,0)),"?"))</f>
        <v/>
      </c>
      <c r="H239" s="15">
        <f>IF($F239="","",IFERROR(INDEX(rngEPtype,MATCH($F239,rngEPcode,0)),"?"))</f>
        <v/>
      </c>
      <c r="I239" s="15">
        <f>IF($F239="","",IFERROR(INDEX(rngEPseq,MATCH($F239,rngEPcode,0)),""))</f>
        <v/>
      </c>
      <c r="J239" s="15">
        <f>IF($F239="","",IFERROR(INDEX(rngEPpass,MATCH($F239,rngEPcode,0)),cfgPassingScore))</f>
        <v/>
      </c>
      <c r="K239" s="14" t="n"/>
      <c r="L239" s="14" t="n"/>
      <c r="M239" s="15">
        <f>IF($C239="","",IF($L239="","",IF($K239=1,IF(COUNTIFS(nrES_PID,$D239,nrES_Code,$F239,nrES_Att,2)&gt;0,"",$L239),IF(COUNTIFS(nrES_PID,$D239,nrES_Code,$F239,nrES_Att,1)=0,$L239,IF($L239&gt;=$J239,cfgRetakeRecordedCap,SUMIFS(nrES_Raw,nrES_PID,$D239,nrES_Code,$F239,nrES_Att,1))))))</f>
        <v/>
      </c>
      <c r="N239" s="15">
        <f>IF($C239="","",IF($L239="","",IF($L239&gt;=$J239,"Yes","No")))</f>
        <v/>
      </c>
      <c r="O239" s="15">
        <f>IF($C239="","",IF($M239="","",IF($M239&gt;=$J239,"Yes","No")))</f>
        <v/>
      </c>
      <c r="P239" s="15">
        <f>IF($C239="","",IF($K239="","",IF(COUNTIFS(nrES_PID,$D239,nrES_Code,$F239,nrES_Att,"&gt;"&amp;$K239)=0,"Yes","No")))</f>
        <v/>
      </c>
      <c r="Q239" s="15">
        <f>IF($C239="","",IF($L239="","",IF(AND($K239=1,$L239&lt;$J239,COUNTIFS(nrES_PID,$D239,nrES_Code,$F239,nrES_Att,2)=0),"Yes","No")))</f>
        <v/>
      </c>
      <c r="R239" s="15">
        <f>IF($C239="","",IF($L239="","",IF(AND($K239=2,$L239&lt;$J239,COUNTIFS(nrES_PID,$D239,nrES_Code,$F239,nrES_Att,1)&gt;0),"Yes","No")))</f>
        <v/>
      </c>
      <c r="S239" s="16" t="n"/>
      <c r="T239" s="17">
        <f>IF($Q239&lt;&gt;"Yes","",IF($S239="","(enter date)",_xlfn.LET(_xlpm.dn,IFERROR(_xlfn.XLOOKUP($S239,nrCDdate,nrCDnum),""),IF(_xlpm.dn="","(not a class day)",IFERROR(_xlfn.XLOOKUP(_xlpm.dn+cfgRetestClassDays,nrCDnum,nrCDdate),"")))))</f>
        <v/>
      </c>
      <c r="U239" s="15">
        <f>IF($Q239&lt;&gt;"Yes","",IF(COUNTIFS(nrES_PID,$D239,nrES_Code,$F239,nrES_Att,2)&gt;0,"Retested",IF(OR($T239="",NOT(ISNUMBER($T239))),"Pending",IF(TODAY()&gt;$T239,"OVERDUE","Due "&amp;TEXT($T239,"mm/dd")))))</f>
        <v/>
      </c>
      <c r="V239" s="14" t="n"/>
      <c r="W239" s="14" t="n"/>
    </row>
    <row r="240">
      <c r="B240" s="15">
        <f>IF($C240="","",$D240&amp;"-"&amp;$F240&amp;"-"&amp;$K240)</f>
        <v/>
      </c>
      <c r="C240" s="14" t="n"/>
      <c r="D240" s="15">
        <f>IF($C240="","",IFERROR(INDEX(rngCadetPIDs,MATCH($C240,rngCadetNames,0)),"?"))</f>
        <v/>
      </c>
      <c r="E240" s="15">
        <f>IF($D240="","",IFERROR(INDEX(nrCadetAgency,MATCH($D240,rngCadetPIDs,0)),""))</f>
        <v/>
      </c>
      <c r="F240" s="14" t="n"/>
      <c r="G240" s="15">
        <f>IF($F240="","",IFERROR(INDEX(rngEPname,MATCH($F240,rngEPcode,0)),"?"))</f>
        <v/>
      </c>
      <c r="H240" s="15">
        <f>IF($F240="","",IFERROR(INDEX(rngEPtype,MATCH($F240,rngEPcode,0)),"?"))</f>
        <v/>
      </c>
      <c r="I240" s="15">
        <f>IF($F240="","",IFERROR(INDEX(rngEPseq,MATCH($F240,rngEPcode,0)),""))</f>
        <v/>
      </c>
      <c r="J240" s="15">
        <f>IF($F240="","",IFERROR(INDEX(rngEPpass,MATCH($F240,rngEPcode,0)),cfgPassingScore))</f>
        <v/>
      </c>
      <c r="K240" s="14" t="n"/>
      <c r="L240" s="14" t="n"/>
      <c r="M240" s="15">
        <f>IF($C240="","",IF($L240="","",IF($K240=1,IF(COUNTIFS(nrES_PID,$D240,nrES_Code,$F240,nrES_Att,2)&gt;0,"",$L240),IF(COUNTIFS(nrES_PID,$D240,nrES_Code,$F240,nrES_Att,1)=0,$L240,IF($L240&gt;=$J240,cfgRetakeRecordedCap,SUMIFS(nrES_Raw,nrES_PID,$D240,nrES_Code,$F240,nrES_Att,1))))))</f>
        <v/>
      </c>
      <c r="N240" s="15">
        <f>IF($C240="","",IF($L240="","",IF($L240&gt;=$J240,"Yes","No")))</f>
        <v/>
      </c>
      <c r="O240" s="15">
        <f>IF($C240="","",IF($M240="","",IF($M240&gt;=$J240,"Yes","No")))</f>
        <v/>
      </c>
      <c r="P240" s="15">
        <f>IF($C240="","",IF($K240="","",IF(COUNTIFS(nrES_PID,$D240,nrES_Code,$F240,nrES_Att,"&gt;"&amp;$K240)=0,"Yes","No")))</f>
        <v/>
      </c>
      <c r="Q240" s="15">
        <f>IF($C240="","",IF($L240="","",IF(AND($K240=1,$L240&lt;$J240,COUNTIFS(nrES_PID,$D240,nrES_Code,$F240,nrES_Att,2)=0),"Yes","No")))</f>
        <v/>
      </c>
      <c r="R240" s="15">
        <f>IF($C240="","",IF($L240="","",IF(AND($K240=2,$L240&lt;$J240,COUNTIFS(nrES_PID,$D240,nrES_Code,$F240,nrES_Att,1)&gt;0),"Yes","No")))</f>
        <v/>
      </c>
      <c r="S240" s="16" t="n"/>
      <c r="T240" s="17">
        <f>IF($Q240&lt;&gt;"Yes","",IF($S240="","(enter date)",_xlfn.LET(_xlpm.dn,IFERROR(_xlfn.XLOOKUP($S240,nrCDdate,nrCDnum),""),IF(_xlpm.dn="","(not a class day)",IFERROR(_xlfn.XLOOKUP(_xlpm.dn+cfgRetestClassDays,nrCDnum,nrCDdate),"")))))</f>
        <v/>
      </c>
      <c r="U240" s="15">
        <f>IF($Q240&lt;&gt;"Yes","",IF(COUNTIFS(nrES_PID,$D240,nrES_Code,$F240,nrES_Att,2)&gt;0,"Retested",IF(OR($T240="",NOT(ISNUMBER($T240))),"Pending",IF(TODAY()&gt;$T240,"OVERDUE","Due "&amp;TEXT($T240,"mm/dd")))))</f>
        <v/>
      </c>
      <c r="V240" s="14" t="n"/>
      <c r="W240" s="14" t="n"/>
    </row>
    <row r="241">
      <c r="B241" s="15">
        <f>IF($C241="","",$D241&amp;"-"&amp;$F241&amp;"-"&amp;$K241)</f>
        <v/>
      </c>
      <c r="C241" s="14" t="n"/>
      <c r="D241" s="15">
        <f>IF($C241="","",IFERROR(INDEX(rngCadetPIDs,MATCH($C241,rngCadetNames,0)),"?"))</f>
        <v/>
      </c>
      <c r="E241" s="15">
        <f>IF($D241="","",IFERROR(INDEX(nrCadetAgency,MATCH($D241,rngCadetPIDs,0)),""))</f>
        <v/>
      </c>
      <c r="F241" s="14" t="n"/>
      <c r="G241" s="15">
        <f>IF($F241="","",IFERROR(INDEX(rngEPname,MATCH($F241,rngEPcode,0)),"?"))</f>
        <v/>
      </c>
      <c r="H241" s="15">
        <f>IF($F241="","",IFERROR(INDEX(rngEPtype,MATCH($F241,rngEPcode,0)),"?"))</f>
        <v/>
      </c>
      <c r="I241" s="15">
        <f>IF($F241="","",IFERROR(INDEX(rngEPseq,MATCH($F241,rngEPcode,0)),""))</f>
        <v/>
      </c>
      <c r="J241" s="15">
        <f>IF($F241="","",IFERROR(INDEX(rngEPpass,MATCH($F241,rngEPcode,0)),cfgPassingScore))</f>
        <v/>
      </c>
      <c r="K241" s="14" t="n"/>
      <c r="L241" s="14" t="n"/>
      <c r="M241" s="15">
        <f>IF($C241="","",IF($L241="","",IF($K241=1,IF(COUNTIFS(nrES_PID,$D241,nrES_Code,$F241,nrES_Att,2)&gt;0,"",$L241),IF(COUNTIFS(nrES_PID,$D241,nrES_Code,$F241,nrES_Att,1)=0,$L241,IF($L241&gt;=$J241,cfgRetakeRecordedCap,SUMIFS(nrES_Raw,nrES_PID,$D241,nrES_Code,$F241,nrES_Att,1))))))</f>
        <v/>
      </c>
      <c r="N241" s="15">
        <f>IF($C241="","",IF($L241="","",IF($L241&gt;=$J241,"Yes","No")))</f>
        <v/>
      </c>
      <c r="O241" s="15">
        <f>IF($C241="","",IF($M241="","",IF($M241&gt;=$J241,"Yes","No")))</f>
        <v/>
      </c>
      <c r="P241" s="15">
        <f>IF($C241="","",IF($K241="","",IF(COUNTIFS(nrES_PID,$D241,nrES_Code,$F241,nrES_Att,"&gt;"&amp;$K241)=0,"Yes","No")))</f>
        <v/>
      </c>
      <c r="Q241" s="15">
        <f>IF($C241="","",IF($L241="","",IF(AND($K241=1,$L241&lt;$J241,COUNTIFS(nrES_PID,$D241,nrES_Code,$F241,nrES_Att,2)=0),"Yes","No")))</f>
        <v/>
      </c>
      <c r="R241" s="15">
        <f>IF($C241="","",IF($L241="","",IF(AND($K241=2,$L241&lt;$J241,COUNTIFS(nrES_PID,$D241,nrES_Code,$F241,nrES_Att,1)&gt;0),"Yes","No")))</f>
        <v/>
      </c>
      <c r="S241" s="16" t="n"/>
      <c r="T241" s="17">
        <f>IF($Q241&lt;&gt;"Yes","",IF($S241="","(enter date)",_xlfn.LET(_xlpm.dn,IFERROR(_xlfn.XLOOKUP($S241,nrCDdate,nrCDnum),""),IF(_xlpm.dn="","(not a class day)",IFERROR(_xlfn.XLOOKUP(_xlpm.dn+cfgRetestClassDays,nrCDnum,nrCDdate),"")))))</f>
        <v/>
      </c>
      <c r="U241" s="15">
        <f>IF($Q241&lt;&gt;"Yes","",IF(COUNTIFS(nrES_PID,$D241,nrES_Code,$F241,nrES_Att,2)&gt;0,"Retested",IF(OR($T241="",NOT(ISNUMBER($T241))),"Pending",IF(TODAY()&gt;$T241,"OVERDUE","Due "&amp;TEXT($T241,"mm/dd")))))</f>
        <v/>
      </c>
      <c r="V241" s="14" t="n"/>
      <c r="W241" s="14" t="n"/>
    </row>
    <row r="242">
      <c r="B242" s="15">
        <f>IF($C242="","",$D242&amp;"-"&amp;$F242&amp;"-"&amp;$K242)</f>
        <v/>
      </c>
      <c r="C242" s="14" t="n"/>
      <c r="D242" s="15">
        <f>IF($C242="","",IFERROR(INDEX(rngCadetPIDs,MATCH($C242,rngCadetNames,0)),"?"))</f>
        <v/>
      </c>
      <c r="E242" s="15">
        <f>IF($D242="","",IFERROR(INDEX(nrCadetAgency,MATCH($D242,rngCadetPIDs,0)),""))</f>
        <v/>
      </c>
      <c r="F242" s="14" t="n"/>
      <c r="G242" s="15">
        <f>IF($F242="","",IFERROR(INDEX(rngEPname,MATCH($F242,rngEPcode,0)),"?"))</f>
        <v/>
      </c>
      <c r="H242" s="15">
        <f>IF($F242="","",IFERROR(INDEX(rngEPtype,MATCH($F242,rngEPcode,0)),"?"))</f>
        <v/>
      </c>
      <c r="I242" s="15">
        <f>IF($F242="","",IFERROR(INDEX(rngEPseq,MATCH($F242,rngEPcode,0)),""))</f>
        <v/>
      </c>
      <c r="J242" s="15">
        <f>IF($F242="","",IFERROR(INDEX(rngEPpass,MATCH($F242,rngEPcode,0)),cfgPassingScore))</f>
        <v/>
      </c>
      <c r="K242" s="14" t="n"/>
      <c r="L242" s="14" t="n"/>
      <c r="M242" s="15">
        <f>IF($C242="","",IF($L242="","",IF($K242=1,IF(COUNTIFS(nrES_PID,$D242,nrES_Code,$F242,nrES_Att,2)&gt;0,"",$L242),IF(COUNTIFS(nrES_PID,$D242,nrES_Code,$F242,nrES_Att,1)=0,$L242,IF($L242&gt;=$J242,cfgRetakeRecordedCap,SUMIFS(nrES_Raw,nrES_PID,$D242,nrES_Code,$F242,nrES_Att,1))))))</f>
        <v/>
      </c>
      <c r="N242" s="15">
        <f>IF($C242="","",IF($L242="","",IF($L242&gt;=$J242,"Yes","No")))</f>
        <v/>
      </c>
      <c r="O242" s="15">
        <f>IF($C242="","",IF($M242="","",IF($M242&gt;=$J242,"Yes","No")))</f>
        <v/>
      </c>
      <c r="P242" s="15">
        <f>IF($C242="","",IF($K242="","",IF(COUNTIFS(nrES_PID,$D242,nrES_Code,$F242,nrES_Att,"&gt;"&amp;$K242)=0,"Yes","No")))</f>
        <v/>
      </c>
      <c r="Q242" s="15">
        <f>IF($C242="","",IF($L242="","",IF(AND($K242=1,$L242&lt;$J242,COUNTIFS(nrES_PID,$D242,nrES_Code,$F242,nrES_Att,2)=0),"Yes","No")))</f>
        <v/>
      </c>
      <c r="R242" s="15">
        <f>IF($C242="","",IF($L242="","",IF(AND($K242=2,$L242&lt;$J242,COUNTIFS(nrES_PID,$D242,nrES_Code,$F242,nrES_Att,1)&gt;0),"Yes","No")))</f>
        <v/>
      </c>
      <c r="S242" s="16" t="n"/>
      <c r="T242" s="17">
        <f>IF($Q242&lt;&gt;"Yes","",IF($S242="","(enter date)",_xlfn.LET(_xlpm.dn,IFERROR(_xlfn.XLOOKUP($S242,nrCDdate,nrCDnum),""),IF(_xlpm.dn="","(not a class day)",IFERROR(_xlfn.XLOOKUP(_xlpm.dn+cfgRetestClassDays,nrCDnum,nrCDdate),"")))))</f>
        <v/>
      </c>
      <c r="U242" s="15">
        <f>IF($Q242&lt;&gt;"Yes","",IF(COUNTIFS(nrES_PID,$D242,nrES_Code,$F242,nrES_Att,2)&gt;0,"Retested",IF(OR($T242="",NOT(ISNUMBER($T242))),"Pending",IF(TODAY()&gt;$T242,"OVERDUE","Due "&amp;TEXT($T242,"mm/dd")))))</f>
        <v/>
      </c>
      <c r="V242" s="14" t="n"/>
      <c r="W242" s="14" t="n"/>
    </row>
    <row r="243">
      <c r="B243" s="15">
        <f>IF($C243="","",$D243&amp;"-"&amp;$F243&amp;"-"&amp;$K243)</f>
        <v/>
      </c>
      <c r="C243" s="14" t="n"/>
      <c r="D243" s="15">
        <f>IF($C243="","",IFERROR(INDEX(rngCadetPIDs,MATCH($C243,rngCadetNames,0)),"?"))</f>
        <v/>
      </c>
      <c r="E243" s="15">
        <f>IF($D243="","",IFERROR(INDEX(nrCadetAgency,MATCH($D243,rngCadetPIDs,0)),""))</f>
        <v/>
      </c>
      <c r="F243" s="14" t="n"/>
      <c r="G243" s="15">
        <f>IF($F243="","",IFERROR(INDEX(rngEPname,MATCH($F243,rngEPcode,0)),"?"))</f>
        <v/>
      </c>
      <c r="H243" s="15">
        <f>IF($F243="","",IFERROR(INDEX(rngEPtype,MATCH($F243,rngEPcode,0)),"?"))</f>
        <v/>
      </c>
      <c r="I243" s="15">
        <f>IF($F243="","",IFERROR(INDEX(rngEPseq,MATCH($F243,rngEPcode,0)),""))</f>
        <v/>
      </c>
      <c r="J243" s="15">
        <f>IF($F243="","",IFERROR(INDEX(rngEPpass,MATCH($F243,rngEPcode,0)),cfgPassingScore))</f>
        <v/>
      </c>
      <c r="K243" s="14" t="n"/>
      <c r="L243" s="14" t="n"/>
      <c r="M243" s="15">
        <f>IF($C243="","",IF($L243="","",IF($K243=1,IF(COUNTIFS(nrES_PID,$D243,nrES_Code,$F243,nrES_Att,2)&gt;0,"",$L243),IF(COUNTIFS(nrES_PID,$D243,nrES_Code,$F243,nrES_Att,1)=0,$L243,IF($L243&gt;=$J243,cfgRetakeRecordedCap,SUMIFS(nrES_Raw,nrES_PID,$D243,nrES_Code,$F243,nrES_Att,1))))))</f>
        <v/>
      </c>
      <c r="N243" s="15">
        <f>IF($C243="","",IF($L243="","",IF($L243&gt;=$J243,"Yes","No")))</f>
        <v/>
      </c>
      <c r="O243" s="15">
        <f>IF($C243="","",IF($M243="","",IF($M243&gt;=$J243,"Yes","No")))</f>
        <v/>
      </c>
      <c r="P243" s="15">
        <f>IF($C243="","",IF($K243="","",IF(COUNTIFS(nrES_PID,$D243,nrES_Code,$F243,nrES_Att,"&gt;"&amp;$K243)=0,"Yes","No")))</f>
        <v/>
      </c>
      <c r="Q243" s="15">
        <f>IF($C243="","",IF($L243="","",IF(AND($K243=1,$L243&lt;$J243,COUNTIFS(nrES_PID,$D243,nrES_Code,$F243,nrES_Att,2)=0),"Yes","No")))</f>
        <v/>
      </c>
      <c r="R243" s="15">
        <f>IF($C243="","",IF($L243="","",IF(AND($K243=2,$L243&lt;$J243,COUNTIFS(nrES_PID,$D243,nrES_Code,$F243,nrES_Att,1)&gt;0),"Yes","No")))</f>
        <v/>
      </c>
      <c r="S243" s="16" t="n"/>
      <c r="T243" s="17">
        <f>IF($Q243&lt;&gt;"Yes","",IF($S243="","(enter date)",_xlfn.LET(_xlpm.dn,IFERROR(_xlfn.XLOOKUP($S243,nrCDdate,nrCDnum),""),IF(_xlpm.dn="","(not a class day)",IFERROR(_xlfn.XLOOKUP(_xlpm.dn+cfgRetestClassDays,nrCDnum,nrCDdate),"")))))</f>
        <v/>
      </c>
      <c r="U243" s="15">
        <f>IF($Q243&lt;&gt;"Yes","",IF(COUNTIFS(nrES_PID,$D243,nrES_Code,$F243,nrES_Att,2)&gt;0,"Retested",IF(OR($T243="",NOT(ISNUMBER($T243))),"Pending",IF(TODAY()&gt;$T243,"OVERDUE","Due "&amp;TEXT($T243,"mm/dd")))))</f>
        <v/>
      </c>
      <c r="V243" s="14" t="n"/>
      <c r="W243" s="14" t="n"/>
    </row>
    <row r="244">
      <c r="B244" s="15">
        <f>IF($C244="","",$D244&amp;"-"&amp;$F244&amp;"-"&amp;$K244)</f>
        <v/>
      </c>
      <c r="C244" s="14" t="n"/>
      <c r="D244" s="15">
        <f>IF($C244="","",IFERROR(INDEX(rngCadetPIDs,MATCH($C244,rngCadetNames,0)),"?"))</f>
        <v/>
      </c>
      <c r="E244" s="15">
        <f>IF($D244="","",IFERROR(INDEX(nrCadetAgency,MATCH($D244,rngCadetPIDs,0)),""))</f>
        <v/>
      </c>
      <c r="F244" s="14" t="n"/>
      <c r="G244" s="15">
        <f>IF($F244="","",IFERROR(INDEX(rngEPname,MATCH($F244,rngEPcode,0)),"?"))</f>
        <v/>
      </c>
      <c r="H244" s="15">
        <f>IF($F244="","",IFERROR(INDEX(rngEPtype,MATCH($F244,rngEPcode,0)),"?"))</f>
        <v/>
      </c>
      <c r="I244" s="15">
        <f>IF($F244="","",IFERROR(INDEX(rngEPseq,MATCH($F244,rngEPcode,0)),""))</f>
        <v/>
      </c>
      <c r="J244" s="15">
        <f>IF($F244="","",IFERROR(INDEX(rngEPpass,MATCH($F244,rngEPcode,0)),cfgPassingScore))</f>
        <v/>
      </c>
      <c r="K244" s="14" t="n"/>
      <c r="L244" s="14" t="n"/>
      <c r="M244" s="15">
        <f>IF($C244="","",IF($L244="","",IF($K244=1,IF(COUNTIFS(nrES_PID,$D244,nrES_Code,$F244,nrES_Att,2)&gt;0,"",$L244),IF(COUNTIFS(nrES_PID,$D244,nrES_Code,$F244,nrES_Att,1)=0,$L244,IF($L244&gt;=$J244,cfgRetakeRecordedCap,SUMIFS(nrES_Raw,nrES_PID,$D244,nrES_Code,$F244,nrES_Att,1))))))</f>
        <v/>
      </c>
      <c r="N244" s="15">
        <f>IF($C244="","",IF($L244="","",IF($L244&gt;=$J244,"Yes","No")))</f>
        <v/>
      </c>
      <c r="O244" s="15">
        <f>IF($C244="","",IF($M244="","",IF($M244&gt;=$J244,"Yes","No")))</f>
        <v/>
      </c>
      <c r="P244" s="15">
        <f>IF($C244="","",IF($K244="","",IF(COUNTIFS(nrES_PID,$D244,nrES_Code,$F244,nrES_Att,"&gt;"&amp;$K244)=0,"Yes","No")))</f>
        <v/>
      </c>
      <c r="Q244" s="15">
        <f>IF($C244="","",IF($L244="","",IF(AND($K244=1,$L244&lt;$J244,COUNTIFS(nrES_PID,$D244,nrES_Code,$F244,nrES_Att,2)=0),"Yes","No")))</f>
        <v/>
      </c>
      <c r="R244" s="15">
        <f>IF($C244="","",IF($L244="","",IF(AND($K244=2,$L244&lt;$J244,COUNTIFS(nrES_PID,$D244,nrES_Code,$F244,nrES_Att,1)&gt;0),"Yes","No")))</f>
        <v/>
      </c>
      <c r="S244" s="16" t="n"/>
      <c r="T244" s="17">
        <f>IF($Q244&lt;&gt;"Yes","",IF($S244="","(enter date)",_xlfn.LET(_xlpm.dn,IFERROR(_xlfn.XLOOKUP($S244,nrCDdate,nrCDnum),""),IF(_xlpm.dn="","(not a class day)",IFERROR(_xlfn.XLOOKUP(_xlpm.dn+cfgRetestClassDays,nrCDnum,nrCDdate),"")))))</f>
        <v/>
      </c>
      <c r="U244" s="15">
        <f>IF($Q244&lt;&gt;"Yes","",IF(COUNTIFS(nrES_PID,$D244,nrES_Code,$F244,nrES_Att,2)&gt;0,"Retested",IF(OR($T244="",NOT(ISNUMBER($T244))),"Pending",IF(TODAY()&gt;$T244,"OVERDUE","Due "&amp;TEXT($T244,"mm/dd")))))</f>
        <v/>
      </c>
      <c r="V244" s="14" t="n"/>
      <c r="W244" s="14" t="n"/>
    </row>
    <row r="245">
      <c r="B245" s="15">
        <f>IF($C245="","",$D245&amp;"-"&amp;$F245&amp;"-"&amp;$K245)</f>
        <v/>
      </c>
      <c r="C245" s="14" t="n"/>
      <c r="D245" s="15">
        <f>IF($C245="","",IFERROR(INDEX(rngCadetPIDs,MATCH($C245,rngCadetNames,0)),"?"))</f>
        <v/>
      </c>
      <c r="E245" s="15">
        <f>IF($D245="","",IFERROR(INDEX(nrCadetAgency,MATCH($D245,rngCadetPIDs,0)),""))</f>
        <v/>
      </c>
      <c r="F245" s="14" t="n"/>
      <c r="G245" s="15">
        <f>IF($F245="","",IFERROR(INDEX(rngEPname,MATCH($F245,rngEPcode,0)),"?"))</f>
        <v/>
      </c>
      <c r="H245" s="15">
        <f>IF($F245="","",IFERROR(INDEX(rngEPtype,MATCH($F245,rngEPcode,0)),"?"))</f>
        <v/>
      </c>
      <c r="I245" s="15">
        <f>IF($F245="","",IFERROR(INDEX(rngEPseq,MATCH($F245,rngEPcode,0)),""))</f>
        <v/>
      </c>
      <c r="J245" s="15">
        <f>IF($F245="","",IFERROR(INDEX(rngEPpass,MATCH($F245,rngEPcode,0)),cfgPassingScore))</f>
        <v/>
      </c>
      <c r="K245" s="14" t="n"/>
      <c r="L245" s="14" t="n"/>
      <c r="M245" s="15">
        <f>IF($C245="","",IF($L245="","",IF($K245=1,IF(COUNTIFS(nrES_PID,$D245,nrES_Code,$F245,nrES_Att,2)&gt;0,"",$L245),IF(COUNTIFS(nrES_PID,$D245,nrES_Code,$F245,nrES_Att,1)=0,$L245,IF($L245&gt;=$J245,cfgRetakeRecordedCap,SUMIFS(nrES_Raw,nrES_PID,$D245,nrES_Code,$F245,nrES_Att,1))))))</f>
        <v/>
      </c>
      <c r="N245" s="15">
        <f>IF($C245="","",IF($L245="","",IF($L245&gt;=$J245,"Yes","No")))</f>
        <v/>
      </c>
      <c r="O245" s="15">
        <f>IF($C245="","",IF($M245="","",IF($M245&gt;=$J245,"Yes","No")))</f>
        <v/>
      </c>
      <c r="P245" s="15">
        <f>IF($C245="","",IF($K245="","",IF(COUNTIFS(nrES_PID,$D245,nrES_Code,$F245,nrES_Att,"&gt;"&amp;$K245)=0,"Yes","No")))</f>
        <v/>
      </c>
      <c r="Q245" s="15">
        <f>IF($C245="","",IF($L245="","",IF(AND($K245=1,$L245&lt;$J245,COUNTIFS(nrES_PID,$D245,nrES_Code,$F245,nrES_Att,2)=0),"Yes","No")))</f>
        <v/>
      </c>
      <c r="R245" s="15">
        <f>IF($C245="","",IF($L245="","",IF(AND($K245=2,$L245&lt;$J245,COUNTIFS(nrES_PID,$D245,nrES_Code,$F245,nrES_Att,1)&gt;0),"Yes","No")))</f>
        <v/>
      </c>
      <c r="S245" s="16" t="n"/>
      <c r="T245" s="17">
        <f>IF($Q245&lt;&gt;"Yes","",IF($S245="","(enter date)",_xlfn.LET(_xlpm.dn,IFERROR(_xlfn.XLOOKUP($S245,nrCDdate,nrCDnum),""),IF(_xlpm.dn="","(not a class day)",IFERROR(_xlfn.XLOOKUP(_xlpm.dn+cfgRetestClassDays,nrCDnum,nrCDdate),"")))))</f>
        <v/>
      </c>
      <c r="U245" s="15">
        <f>IF($Q245&lt;&gt;"Yes","",IF(COUNTIFS(nrES_PID,$D245,nrES_Code,$F245,nrES_Att,2)&gt;0,"Retested",IF(OR($T245="",NOT(ISNUMBER($T245))),"Pending",IF(TODAY()&gt;$T245,"OVERDUE","Due "&amp;TEXT($T245,"mm/dd")))))</f>
        <v/>
      </c>
      <c r="V245" s="14" t="n"/>
      <c r="W245" s="14" t="n"/>
    </row>
    <row r="246">
      <c r="B246" s="15">
        <f>IF($C246="","",$D246&amp;"-"&amp;$F246&amp;"-"&amp;$K246)</f>
        <v/>
      </c>
      <c r="C246" s="14" t="n"/>
      <c r="D246" s="15">
        <f>IF($C246="","",IFERROR(INDEX(rngCadetPIDs,MATCH($C246,rngCadetNames,0)),"?"))</f>
        <v/>
      </c>
      <c r="E246" s="15">
        <f>IF($D246="","",IFERROR(INDEX(nrCadetAgency,MATCH($D246,rngCadetPIDs,0)),""))</f>
        <v/>
      </c>
      <c r="F246" s="14" t="n"/>
      <c r="G246" s="15">
        <f>IF($F246="","",IFERROR(INDEX(rngEPname,MATCH($F246,rngEPcode,0)),"?"))</f>
        <v/>
      </c>
      <c r="H246" s="15">
        <f>IF($F246="","",IFERROR(INDEX(rngEPtype,MATCH($F246,rngEPcode,0)),"?"))</f>
        <v/>
      </c>
      <c r="I246" s="15">
        <f>IF($F246="","",IFERROR(INDEX(rngEPseq,MATCH($F246,rngEPcode,0)),""))</f>
        <v/>
      </c>
      <c r="J246" s="15">
        <f>IF($F246="","",IFERROR(INDEX(rngEPpass,MATCH($F246,rngEPcode,0)),cfgPassingScore))</f>
        <v/>
      </c>
      <c r="K246" s="14" t="n"/>
      <c r="L246" s="14" t="n"/>
      <c r="M246" s="15">
        <f>IF($C246="","",IF($L246="","",IF($K246=1,IF(COUNTIFS(nrES_PID,$D246,nrES_Code,$F246,nrES_Att,2)&gt;0,"",$L246),IF(COUNTIFS(nrES_PID,$D246,nrES_Code,$F246,nrES_Att,1)=0,$L246,IF($L246&gt;=$J246,cfgRetakeRecordedCap,SUMIFS(nrES_Raw,nrES_PID,$D246,nrES_Code,$F246,nrES_Att,1))))))</f>
        <v/>
      </c>
      <c r="N246" s="15">
        <f>IF($C246="","",IF($L246="","",IF($L246&gt;=$J246,"Yes","No")))</f>
        <v/>
      </c>
      <c r="O246" s="15">
        <f>IF($C246="","",IF($M246="","",IF($M246&gt;=$J246,"Yes","No")))</f>
        <v/>
      </c>
      <c r="P246" s="15">
        <f>IF($C246="","",IF($K246="","",IF(COUNTIFS(nrES_PID,$D246,nrES_Code,$F246,nrES_Att,"&gt;"&amp;$K246)=0,"Yes","No")))</f>
        <v/>
      </c>
      <c r="Q246" s="15">
        <f>IF($C246="","",IF($L246="","",IF(AND($K246=1,$L246&lt;$J246,COUNTIFS(nrES_PID,$D246,nrES_Code,$F246,nrES_Att,2)=0),"Yes","No")))</f>
        <v/>
      </c>
      <c r="R246" s="15">
        <f>IF($C246="","",IF($L246="","",IF(AND($K246=2,$L246&lt;$J246,COUNTIFS(nrES_PID,$D246,nrES_Code,$F246,nrES_Att,1)&gt;0),"Yes","No")))</f>
        <v/>
      </c>
      <c r="S246" s="16" t="n"/>
      <c r="T246" s="17">
        <f>IF($Q246&lt;&gt;"Yes","",IF($S246="","(enter date)",_xlfn.LET(_xlpm.dn,IFERROR(_xlfn.XLOOKUP($S246,nrCDdate,nrCDnum),""),IF(_xlpm.dn="","(not a class day)",IFERROR(_xlfn.XLOOKUP(_xlpm.dn+cfgRetestClassDays,nrCDnum,nrCDdate),"")))))</f>
        <v/>
      </c>
      <c r="U246" s="15">
        <f>IF($Q246&lt;&gt;"Yes","",IF(COUNTIFS(nrES_PID,$D246,nrES_Code,$F246,nrES_Att,2)&gt;0,"Retested",IF(OR($T246="",NOT(ISNUMBER($T246))),"Pending",IF(TODAY()&gt;$T246,"OVERDUE","Due "&amp;TEXT($T246,"mm/dd")))))</f>
        <v/>
      </c>
      <c r="V246" s="14" t="n"/>
      <c r="W246" s="14" t="n"/>
    </row>
    <row r="247">
      <c r="B247" s="15">
        <f>IF($C247="","",$D247&amp;"-"&amp;$F247&amp;"-"&amp;$K247)</f>
        <v/>
      </c>
      <c r="C247" s="14" t="n"/>
      <c r="D247" s="15">
        <f>IF($C247="","",IFERROR(INDEX(rngCadetPIDs,MATCH($C247,rngCadetNames,0)),"?"))</f>
        <v/>
      </c>
      <c r="E247" s="15">
        <f>IF($D247="","",IFERROR(INDEX(nrCadetAgency,MATCH($D247,rngCadetPIDs,0)),""))</f>
        <v/>
      </c>
      <c r="F247" s="14" t="n"/>
      <c r="G247" s="15">
        <f>IF($F247="","",IFERROR(INDEX(rngEPname,MATCH($F247,rngEPcode,0)),"?"))</f>
        <v/>
      </c>
      <c r="H247" s="15">
        <f>IF($F247="","",IFERROR(INDEX(rngEPtype,MATCH($F247,rngEPcode,0)),"?"))</f>
        <v/>
      </c>
      <c r="I247" s="15">
        <f>IF($F247="","",IFERROR(INDEX(rngEPseq,MATCH($F247,rngEPcode,0)),""))</f>
        <v/>
      </c>
      <c r="J247" s="15">
        <f>IF($F247="","",IFERROR(INDEX(rngEPpass,MATCH($F247,rngEPcode,0)),cfgPassingScore))</f>
        <v/>
      </c>
      <c r="K247" s="14" t="n"/>
      <c r="L247" s="14" t="n"/>
      <c r="M247" s="15">
        <f>IF($C247="","",IF($L247="","",IF($K247=1,IF(COUNTIFS(nrES_PID,$D247,nrES_Code,$F247,nrES_Att,2)&gt;0,"",$L247),IF(COUNTIFS(nrES_PID,$D247,nrES_Code,$F247,nrES_Att,1)=0,$L247,IF($L247&gt;=$J247,cfgRetakeRecordedCap,SUMIFS(nrES_Raw,nrES_PID,$D247,nrES_Code,$F247,nrES_Att,1))))))</f>
        <v/>
      </c>
      <c r="N247" s="15">
        <f>IF($C247="","",IF($L247="","",IF($L247&gt;=$J247,"Yes","No")))</f>
        <v/>
      </c>
      <c r="O247" s="15">
        <f>IF($C247="","",IF($M247="","",IF($M247&gt;=$J247,"Yes","No")))</f>
        <v/>
      </c>
      <c r="P247" s="15">
        <f>IF($C247="","",IF($K247="","",IF(COUNTIFS(nrES_PID,$D247,nrES_Code,$F247,nrES_Att,"&gt;"&amp;$K247)=0,"Yes","No")))</f>
        <v/>
      </c>
      <c r="Q247" s="15">
        <f>IF($C247="","",IF($L247="","",IF(AND($K247=1,$L247&lt;$J247,COUNTIFS(nrES_PID,$D247,nrES_Code,$F247,nrES_Att,2)=0),"Yes","No")))</f>
        <v/>
      </c>
      <c r="R247" s="15">
        <f>IF($C247="","",IF($L247="","",IF(AND($K247=2,$L247&lt;$J247,COUNTIFS(nrES_PID,$D247,nrES_Code,$F247,nrES_Att,1)&gt;0),"Yes","No")))</f>
        <v/>
      </c>
      <c r="S247" s="16" t="n"/>
      <c r="T247" s="17">
        <f>IF($Q247&lt;&gt;"Yes","",IF($S247="","(enter date)",_xlfn.LET(_xlpm.dn,IFERROR(_xlfn.XLOOKUP($S247,nrCDdate,nrCDnum),""),IF(_xlpm.dn="","(not a class day)",IFERROR(_xlfn.XLOOKUP(_xlpm.dn+cfgRetestClassDays,nrCDnum,nrCDdate),"")))))</f>
        <v/>
      </c>
      <c r="U247" s="15">
        <f>IF($Q247&lt;&gt;"Yes","",IF(COUNTIFS(nrES_PID,$D247,nrES_Code,$F247,nrES_Att,2)&gt;0,"Retested",IF(OR($T247="",NOT(ISNUMBER($T247))),"Pending",IF(TODAY()&gt;$T247,"OVERDUE","Due "&amp;TEXT($T247,"mm/dd")))))</f>
        <v/>
      </c>
      <c r="V247" s="14" t="n"/>
      <c r="W247" s="14" t="n"/>
    </row>
    <row r="248">
      <c r="B248" s="15">
        <f>IF($C248="","",$D248&amp;"-"&amp;$F248&amp;"-"&amp;$K248)</f>
        <v/>
      </c>
      <c r="C248" s="14" t="n"/>
      <c r="D248" s="15">
        <f>IF($C248="","",IFERROR(INDEX(rngCadetPIDs,MATCH($C248,rngCadetNames,0)),"?"))</f>
        <v/>
      </c>
      <c r="E248" s="15">
        <f>IF($D248="","",IFERROR(INDEX(nrCadetAgency,MATCH($D248,rngCadetPIDs,0)),""))</f>
        <v/>
      </c>
      <c r="F248" s="14" t="n"/>
      <c r="G248" s="15">
        <f>IF($F248="","",IFERROR(INDEX(rngEPname,MATCH($F248,rngEPcode,0)),"?"))</f>
        <v/>
      </c>
      <c r="H248" s="15">
        <f>IF($F248="","",IFERROR(INDEX(rngEPtype,MATCH($F248,rngEPcode,0)),"?"))</f>
        <v/>
      </c>
      <c r="I248" s="15">
        <f>IF($F248="","",IFERROR(INDEX(rngEPseq,MATCH($F248,rngEPcode,0)),""))</f>
        <v/>
      </c>
      <c r="J248" s="15">
        <f>IF($F248="","",IFERROR(INDEX(rngEPpass,MATCH($F248,rngEPcode,0)),cfgPassingScore))</f>
        <v/>
      </c>
      <c r="K248" s="14" t="n"/>
      <c r="L248" s="14" t="n"/>
      <c r="M248" s="15">
        <f>IF($C248="","",IF($L248="","",IF($K248=1,IF(COUNTIFS(nrES_PID,$D248,nrES_Code,$F248,nrES_Att,2)&gt;0,"",$L248),IF(COUNTIFS(nrES_PID,$D248,nrES_Code,$F248,nrES_Att,1)=0,$L248,IF($L248&gt;=$J248,cfgRetakeRecordedCap,SUMIFS(nrES_Raw,nrES_PID,$D248,nrES_Code,$F248,nrES_Att,1))))))</f>
        <v/>
      </c>
      <c r="N248" s="15">
        <f>IF($C248="","",IF($L248="","",IF($L248&gt;=$J248,"Yes","No")))</f>
        <v/>
      </c>
      <c r="O248" s="15">
        <f>IF($C248="","",IF($M248="","",IF($M248&gt;=$J248,"Yes","No")))</f>
        <v/>
      </c>
      <c r="P248" s="15">
        <f>IF($C248="","",IF($K248="","",IF(COUNTIFS(nrES_PID,$D248,nrES_Code,$F248,nrES_Att,"&gt;"&amp;$K248)=0,"Yes","No")))</f>
        <v/>
      </c>
      <c r="Q248" s="15">
        <f>IF($C248="","",IF($L248="","",IF(AND($K248=1,$L248&lt;$J248,COUNTIFS(nrES_PID,$D248,nrES_Code,$F248,nrES_Att,2)=0),"Yes","No")))</f>
        <v/>
      </c>
      <c r="R248" s="15">
        <f>IF($C248="","",IF($L248="","",IF(AND($K248=2,$L248&lt;$J248,COUNTIFS(nrES_PID,$D248,nrES_Code,$F248,nrES_Att,1)&gt;0),"Yes","No")))</f>
        <v/>
      </c>
      <c r="S248" s="16" t="n"/>
      <c r="T248" s="17">
        <f>IF($Q248&lt;&gt;"Yes","",IF($S248="","(enter date)",_xlfn.LET(_xlpm.dn,IFERROR(_xlfn.XLOOKUP($S248,nrCDdate,nrCDnum),""),IF(_xlpm.dn="","(not a class day)",IFERROR(_xlfn.XLOOKUP(_xlpm.dn+cfgRetestClassDays,nrCDnum,nrCDdate),"")))))</f>
        <v/>
      </c>
      <c r="U248" s="15">
        <f>IF($Q248&lt;&gt;"Yes","",IF(COUNTIFS(nrES_PID,$D248,nrES_Code,$F248,nrES_Att,2)&gt;0,"Retested",IF(OR($T248="",NOT(ISNUMBER($T248))),"Pending",IF(TODAY()&gt;$T248,"OVERDUE","Due "&amp;TEXT($T248,"mm/dd")))))</f>
        <v/>
      </c>
      <c r="V248" s="14" t="n"/>
      <c r="W248" s="14" t="n"/>
    </row>
    <row r="249">
      <c r="B249" s="15">
        <f>IF($C249="","",$D249&amp;"-"&amp;$F249&amp;"-"&amp;$K249)</f>
        <v/>
      </c>
      <c r="C249" s="14" t="n"/>
      <c r="D249" s="15">
        <f>IF($C249="","",IFERROR(INDEX(rngCadetPIDs,MATCH($C249,rngCadetNames,0)),"?"))</f>
        <v/>
      </c>
      <c r="E249" s="15">
        <f>IF($D249="","",IFERROR(INDEX(nrCadetAgency,MATCH($D249,rngCadetPIDs,0)),""))</f>
        <v/>
      </c>
      <c r="F249" s="14" t="n"/>
      <c r="G249" s="15">
        <f>IF($F249="","",IFERROR(INDEX(rngEPname,MATCH($F249,rngEPcode,0)),"?"))</f>
        <v/>
      </c>
      <c r="H249" s="15">
        <f>IF($F249="","",IFERROR(INDEX(rngEPtype,MATCH($F249,rngEPcode,0)),"?"))</f>
        <v/>
      </c>
      <c r="I249" s="15">
        <f>IF($F249="","",IFERROR(INDEX(rngEPseq,MATCH($F249,rngEPcode,0)),""))</f>
        <v/>
      </c>
      <c r="J249" s="15">
        <f>IF($F249="","",IFERROR(INDEX(rngEPpass,MATCH($F249,rngEPcode,0)),cfgPassingScore))</f>
        <v/>
      </c>
      <c r="K249" s="14" t="n"/>
      <c r="L249" s="14" t="n"/>
      <c r="M249" s="15">
        <f>IF($C249="","",IF($L249="","",IF($K249=1,IF(COUNTIFS(nrES_PID,$D249,nrES_Code,$F249,nrES_Att,2)&gt;0,"",$L249),IF(COUNTIFS(nrES_PID,$D249,nrES_Code,$F249,nrES_Att,1)=0,$L249,IF($L249&gt;=$J249,cfgRetakeRecordedCap,SUMIFS(nrES_Raw,nrES_PID,$D249,nrES_Code,$F249,nrES_Att,1))))))</f>
        <v/>
      </c>
      <c r="N249" s="15">
        <f>IF($C249="","",IF($L249="","",IF($L249&gt;=$J249,"Yes","No")))</f>
        <v/>
      </c>
      <c r="O249" s="15">
        <f>IF($C249="","",IF($M249="","",IF($M249&gt;=$J249,"Yes","No")))</f>
        <v/>
      </c>
      <c r="P249" s="15">
        <f>IF($C249="","",IF($K249="","",IF(COUNTIFS(nrES_PID,$D249,nrES_Code,$F249,nrES_Att,"&gt;"&amp;$K249)=0,"Yes","No")))</f>
        <v/>
      </c>
      <c r="Q249" s="15">
        <f>IF($C249="","",IF($L249="","",IF(AND($K249=1,$L249&lt;$J249,COUNTIFS(nrES_PID,$D249,nrES_Code,$F249,nrES_Att,2)=0),"Yes","No")))</f>
        <v/>
      </c>
      <c r="R249" s="15">
        <f>IF($C249="","",IF($L249="","",IF(AND($K249=2,$L249&lt;$J249,COUNTIFS(nrES_PID,$D249,nrES_Code,$F249,nrES_Att,1)&gt;0),"Yes","No")))</f>
        <v/>
      </c>
      <c r="S249" s="16" t="n"/>
      <c r="T249" s="17">
        <f>IF($Q249&lt;&gt;"Yes","",IF($S249="","(enter date)",_xlfn.LET(_xlpm.dn,IFERROR(_xlfn.XLOOKUP($S249,nrCDdate,nrCDnum),""),IF(_xlpm.dn="","(not a class day)",IFERROR(_xlfn.XLOOKUP(_xlpm.dn+cfgRetestClassDays,nrCDnum,nrCDdate),"")))))</f>
        <v/>
      </c>
      <c r="U249" s="15">
        <f>IF($Q249&lt;&gt;"Yes","",IF(COUNTIFS(nrES_PID,$D249,nrES_Code,$F249,nrES_Att,2)&gt;0,"Retested",IF(OR($T249="",NOT(ISNUMBER($T249))),"Pending",IF(TODAY()&gt;$T249,"OVERDUE","Due "&amp;TEXT($T249,"mm/dd")))))</f>
        <v/>
      </c>
      <c r="V249" s="14" t="n"/>
      <c r="W249" s="14" t="n"/>
    </row>
    <row r="250">
      <c r="B250" s="15">
        <f>IF($C250="","",$D250&amp;"-"&amp;$F250&amp;"-"&amp;$K250)</f>
        <v/>
      </c>
      <c r="C250" s="14" t="n"/>
      <c r="D250" s="15">
        <f>IF($C250="","",IFERROR(INDEX(rngCadetPIDs,MATCH($C250,rngCadetNames,0)),"?"))</f>
        <v/>
      </c>
      <c r="E250" s="15">
        <f>IF($D250="","",IFERROR(INDEX(nrCadetAgency,MATCH($D250,rngCadetPIDs,0)),""))</f>
        <v/>
      </c>
      <c r="F250" s="14" t="n"/>
      <c r="G250" s="15">
        <f>IF($F250="","",IFERROR(INDEX(rngEPname,MATCH($F250,rngEPcode,0)),"?"))</f>
        <v/>
      </c>
      <c r="H250" s="15">
        <f>IF($F250="","",IFERROR(INDEX(rngEPtype,MATCH($F250,rngEPcode,0)),"?"))</f>
        <v/>
      </c>
      <c r="I250" s="15">
        <f>IF($F250="","",IFERROR(INDEX(rngEPseq,MATCH($F250,rngEPcode,0)),""))</f>
        <v/>
      </c>
      <c r="J250" s="15">
        <f>IF($F250="","",IFERROR(INDEX(rngEPpass,MATCH($F250,rngEPcode,0)),cfgPassingScore))</f>
        <v/>
      </c>
      <c r="K250" s="14" t="n"/>
      <c r="L250" s="14" t="n"/>
      <c r="M250" s="15">
        <f>IF($C250="","",IF($L250="","",IF($K250=1,IF(COUNTIFS(nrES_PID,$D250,nrES_Code,$F250,nrES_Att,2)&gt;0,"",$L250),IF(COUNTIFS(nrES_PID,$D250,nrES_Code,$F250,nrES_Att,1)=0,$L250,IF($L250&gt;=$J250,cfgRetakeRecordedCap,SUMIFS(nrES_Raw,nrES_PID,$D250,nrES_Code,$F250,nrES_Att,1))))))</f>
        <v/>
      </c>
      <c r="N250" s="15">
        <f>IF($C250="","",IF($L250="","",IF($L250&gt;=$J250,"Yes","No")))</f>
        <v/>
      </c>
      <c r="O250" s="15">
        <f>IF($C250="","",IF($M250="","",IF($M250&gt;=$J250,"Yes","No")))</f>
        <v/>
      </c>
      <c r="P250" s="15">
        <f>IF($C250="","",IF($K250="","",IF(COUNTIFS(nrES_PID,$D250,nrES_Code,$F250,nrES_Att,"&gt;"&amp;$K250)=0,"Yes","No")))</f>
        <v/>
      </c>
      <c r="Q250" s="15">
        <f>IF($C250="","",IF($L250="","",IF(AND($K250=1,$L250&lt;$J250,COUNTIFS(nrES_PID,$D250,nrES_Code,$F250,nrES_Att,2)=0),"Yes","No")))</f>
        <v/>
      </c>
      <c r="R250" s="15">
        <f>IF($C250="","",IF($L250="","",IF(AND($K250=2,$L250&lt;$J250,COUNTIFS(nrES_PID,$D250,nrES_Code,$F250,nrES_Att,1)&gt;0),"Yes","No")))</f>
        <v/>
      </c>
      <c r="S250" s="16" t="n"/>
      <c r="T250" s="17">
        <f>IF($Q250&lt;&gt;"Yes","",IF($S250="","(enter date)",_xlfn.LET(_xlpm.dn,IFERROR(_xlfn.XLOOKUP($S250,nrCDdate,nrCDnum),""),IF(_xlpm.dn="","(not a class day)",IFERROR(_xlfn.XLOOKUP(_xlpm.dn+cfgRetestClassDays,nrCDnum,nrCDdate),"")))))</f>
        <v/>
      </c>
      <c r="U250" s="15">
        <f>IF($Q250&lt;&gt;"Yes","",IF(COUNTIFS(nrES_PID,$D250,nrES_Code,$F250,nrES_Att,2)&gt;0,"Retested",IF(OR($T250="",NOT(ISNUMBER($T250))),"Pending",IF(TODAY()&gt;$T250,"OVERDUE","Due "&amp;TEXT($T250,"mm/dd")))))</f>
        <v/>
      </c>
      <c r="V250" s="14" t="n"/>
      <c r="W250" s="14" t="n"/>
    </row>
    <row r="251">
      <c r="B251" s="15">
        <f>IF($C251="","",$D251&amp;"-"&amp;$F251&amp;"-"&amp;$K251)</f>
        <v/>
      </c>
      <c r="C251" s="14" t="n"/>
      <c r="D251" s="15">
        <f>IF($C251="","",IFERROR(INDEX(rngCadetPIDs,MATCH($C251,rngCadetNames,0)),"?"))</f>
        <v/>
      </c>
      <c r="E251" s="15">
        <f>IF($D251="","",IFERROR(INDEX(nrCadetAgency,MATCH($D251,rngCadetPIDs,0)),""))</f>
        <v/>
      </c>
      <c r="F251" s="14" t="n"/>
      <c r="G251" s="15">
        <f>IF($F251="","",IFERROR(INDEX(rngEPname,MATCH($F251,rngEPcode,0)),"?"))</f>
        <v/>
      </c>
      <c r="H251" s="15">
        <f>IF($F251="","",IFERROR(INDEX(rngEPtype,MATCH($F251,rngEPcode,0)),"?"))</f>
        <v/>
      </c>
      <c r="I251" s="15">
        <f>IF($F251="","",IFERROR(INDEX(rngEPseq,MATCH($F251,rngEPcode,0)),""))</f>
        <v/>
      </c>
      <c r="J251" s="15">
        <f>IF($F251="","",IFERROR(INDEX(rngEPpass,MATCH($F251,rngEPcode,0)),cfgPassingScore))</f>
        <v/>
      </c>
      <c r="K251" s="14" t="n"/>
      <c r="L251" s="14" t="n"/>
      <c r="M251" s="15">
        <f>IF($C251="","",IF($L251="","",IF($K251=1,IF(COUNTIFS(nrES_PID,$D251,nrES_Code,$F251,nrES_Att,2)&gt;0,"",$L251),IF(COUNTIFS(nrES_PID,$D251,nrES_Code,$F251,nrES_Att,1)=0,$L251,IF($L251&gt;=$J251,cfgRetakeRecordedCap,SUMIFS(nrES_Raw,nrES_PID,$D251,nrES_Code,$F251,nrES_Att,1))))))</f>
        <v/>
      </c>
      <c r="N251" s="15">
        <f>IF($C251="","",IF($L251="","",IF($L251&gt;=$J251,"Yes","No")))</f>
        <v/>
      </c>
      <c r="O251" s="15">
        <f>IF($C251="","",IF($M251="","",IF($M251&gt;=$J251,"Yes","No")))</f>
        <v/>
      </c>
      <c r="P251" s="15">
        <f>IF($C251="","",IF($K251="","",IF(COUNTIFS(nrES_PID,$D251,nrES_Code,$F251,nrES_Att,"&gt;"&amp;$K251)=0,"Yes","No")))</f>
        <v/>
      </c>
      <c r="Q251" s="15">
        <f>IF($C251="","",IF($L251="","",IF(AND($K251=1,$L251&lt;$J251,COUNTIFS(nrES_PID,$D251,nrES_Code,$F251,nrES_Att,2)=0),"Yes","No")))</f>
        <v/>
      </c>
      <c r="R251" s="15">
        <f>IF($C251="","",IF($L251="","",IF(AND($K251=2,$L251&lt;$J251,COUNTIFS(nrES_PID,$D251,nrES_Code,$F251,nrES_Att,1)&gt;0),"Yes","No")))</f>
        <v/>
      </c>
      <c r="S251" s="16" t="n"/>
      <c r="T251" s="17">
        <f>IF($Q251&lt;&gt;"Yes","",IF($S251="","(enter date)",_xlfn.LET(_xlpm.dn,IFERROR(_xlfn.XLOOKUP($S251,nrCDdate,nrCDnum),""),IF(_xlpm.dn="","(not a class day)",IFERROR(_xlfn.XLOOKUP(_xlpm.dn+cfgRetestClassDays,nrCDnum,nrCDdate),"")))))</f>
        <v/>
      </c>
      <c r="U251" s="15">
        <f>IF($Q251&lt;&gt;"Yes","",IF(COUNTIFS(nrES_PID,$D251,nrES_Code,$F251,nrES_Att,2)&gt;0,"Retested",IF(OR($T251="",NOT(ISNUMBER($T251))),"Pending",IF(TODAY()&gt;$T251,"OVERDUE","Due "&amp;TEXT($T251,"mm/dd")))))</f>
        <v/>
      </c>
      <c r="V251" s="14" t="n"/>
      <c r="W251" s="14" t="n"/>
    </row>
    <row r="252">
      <c r="B252" s="15">
        <f>IF($C252="","",$D252&amp;"-"&amp;$F252&amp;"-"&amp;$K252)</f>
        <v/>
      </c>
      <c r="C252" s="14" t="n"/>
      <c r="D252" s="15">
        <f>IF($C252="","",IFERROR(INDEX(rngCadetPIDs,MATCH($C252,rngCadetNames,0)),"?"))</f>
        <v/>
      </c>
      <c r="E252" s="15">
        <f>IF($D252="","",IFERROR(INDEX(nrCadetAgency,MATCH($D252,rngCadetPIDs,0)),""))</f>
        <v/>
      </c>
      <c r="F252" s="14" t="n"/>
      <c r="G252" s="15">
        <f>IF($F252="","",IFERROR(INDEX(rngEPname,MATCH($F252,rngEPcode,0)),"?"))</f>
        <v/>
      </c>
      <c r="H252" s="15">
        <f>IF($F252="","",IFERROR(INDEX(rngEPtype,MATCH($F252,rngEPcode,0)),"?"))</f>
        <v/>
      </c>
      <c r="I252" s="15">
        <f>IF($F252="","",IFERROR(INDEX(rngEPseq,MATCH($F252,rngEPcode,0)),""))</f>
        <v/>
      </c>
      <c r="J252" s="15">
        <f>IF($F252="","",IFERROR(INDEX(rngEPpass,MATCH($F252,rngEPcode,0)),cfgPassingScore))</f>
        <v/>
      </c>
      <c r="K252" s="14" t="n"/>
      <c r="L252" s="14" t="n"/>
      <c r="M252" s="15">
        <f>IF($C252="","",IF($L252="","",IF($K252=1,IF(COUNTIFS(nrES_PID,$D252,nrES_Code,$F252,nrES_Att,2)&gt;0,"",$L252),IF(COUNTIFS(nrES_PID,$D252,nrES_Code,$F252,nrES_Att,1)=0,$L252,IF($L252&gt;=$J252,cfgRetakeRecordedCap,SUMIFS(nrES_Raw,nrES_PID,$D252,nrES_Code,$F252,nrES_Att,1))))))</f>
        <v/>
      </c>
      <c r="N252" s="15">
        <f>IF($C252="","",IF($L252="","",IF($L252&gt;=$J252,"Yes","No")))</f>
        <v/>
      </c>
      <c r="O252" s="15">
        <f>IF($C252="","",IF($M252="","",IF($M252&gt;=$J252,"Yes","No")))</f>
        <v/>
      </c>
      <c r="P252" s="15">
        <f>IF($C252="","",IF($K252="","",IF(COUNTIFS(nrES_PID,$D252,nrES_Code,$F252,nrES_Att,"&gt;"&amp;$K252)=0,"Yes","No")))</f>
        <v/>
      </c>
      <c r="Q252" s="15">
        <f>IF($C252="","",IF($L252="","",IF(AND($K252=1,$L252&lt;$J252,COUNTIFS(nrES_PID,$D252,nrES_Code,$F252,nrES_Att,2)=0),"Yes","No")))</f>
        <v/>
      </c>
      <c r="R252" s="15">
        <f>IF($C252="","",IF($L252="","",IF(AND($K252=2,$L252&lt;$J252,COUNTIFS(nrES_PID,$D252,nrES_Code,$F252,nrES_Att,1)&gt;0),"Yes","No")))</f>
        <v/>
      </c>
      <c r="S252" s="16" t="n"/>
      <c r="T252" s="17">
        <f>IF($Q252&lt;&gt;"Yes","",IF($S252="","(enter date)",_xlfn.LET(_xlpm.dn,IFERROR(_xlfn.XLOOKUP($S252,nrCDdate,nrCDnum),""),IF(_xlpm.dn="","(not a class day)",IFERROR(_xlfn.XLOOKUP(_xlpm.dn+cfgRetestClassDays,nrCDnum,nrCDdate),"")))))</f>
        <v/>
      </c>
      <c r="U252" s="15">
        <f>IF($Q252&lt;&gt;"Yes","",IF(COUNTIFS(nrES_PID,$D252,nrES_Code,$F252,nrES_Att,2)&gt;0,"Retested",IF(OR($T252="",NOT(ISNUMBER($T252))),"Pending",IF(TODAY()&gt;$T252,"OVERDUE","Due "&amp;TEXT($T252,"mm/dd")))))</f>
        <v/>
      </c>
      <c r="V252" s="14" t="n"/>
      <c r="W252" s="14" t="n"/>
    </row>
    <row r="253">
      <c r="B253" s="15">
        <f>IF($C253="","",$D253&amp;"-"&amp;$F253&amp;"-"&amp;$K253)</f>
        <v/>
      </c>
      <c r="C253" s="14" t="n"/>
      <c r="D253" s="15">
        <f>IF($C253="","",IFERROR(INDEX(rngCadetPIDs,MATCH($C253,rngCadetNames,0)),"?"))</f>
        <v/>
      </c>
      <c r="E253" s="15">
        <f>IF($D253="","",IFERROR(INDEX(nrCadetAgency,MATCH($D253,rngCadetPIDs,0)),""))</f>
        <v/>
      </c>
      <c r="F253" s="14" t="n"/>
      <c r="G253" s="15">
        <f>IF($F253="","",IFERROR(INDEX(rngEPname,MATCH($F253,rngEPcode,0)),"?"))</f>
        <v/>
      </c>
      <c r="H253" s="15">
        <f>IF($F253="","",IFERROR(INDEX(rngEPtype,MATCH($F253,rngEPcode,0)),"?"))</f>
        <v/>
      </c>
      <c r="I253" s="15">
        <f>IF($F253="","",IFERROR(INDEX(rngEPseq,MATCH($F253,rngEPcode,0)),""))</f>
        <v/>
      </c>
      <c r="J253" s="15">
        <f>IF($F253="","",IFERROR(INDEX(rngEPpass,MATCH($F253,rngEPcode,0)),cfgPassingScore))</f>
        <v/>
      </c>
      <c r="K253" s="14" t="n"/>
      <c r="L253" s="14" t="n"/>
      <c r="M253" s="15">
        <f>IF($C253="","",IF($L253="","",IF($K253=1,IF(COUNTIFS(nrES_PID,$D253,nrES_Code,$F253,nrES_Att,2)&gt;0,"",$L253),IF(COUNTIFS(nrES_PID,$D253,nrES_Code,$F253,nrES_Att,1)=0,$L253,IF($L253&gt;=$J253,cfgRetakeRecordedCap,SUMIFS(nrES_Raw,nrES_PID,$D253,nrES_Code,$F253,nrES_Att,1))))))</f>
        <v/>
      </c>
      <c r="N253" s="15">
        <f>IF($C253="","",IF($L253="","",IF($L253&gt;=$J253,"Yes","No")))</f>
        <v/>
      </c>
      <c r="O253" s="15">
        <f>IF($C253="","",IF($M253="","",IF($M253&gt;=$J253,"Yes","No")))</f>
        <v/>
      </c>
      <c r="P253" s="15">
        <f>IF($C253="","",IF($K253="","",IF(COUNTIFS(nrES_PID,$D253,nrES_Code,$F253,nrES_Att,"&gt;"&amp;$K253)=0,"Yes","No")))</f>
        <v/>
      </c>
      <c r="Q253" s="15">
        <f>IF($C253="","",IF($L253="","",IF(AND($K253=1,$L253&lt;$J253,COUNTIFS(nrES_PID,$D253,nrES_Code,$F253,nrES_Att,2)=0),"Yes","No")))</f>
        <v/>
      </c>
      <c r="R253" s="15">
        <f>IF($C253="","",IF($L253="","",IF(AND($K253=2,$L253&lt;$J253,COUNTIFS(nrES_PID,$D253,nrES_Code,$F253,nrES_Att,1)&gt;0),"Yes","No")))</f>
        <v/>
      </c>
      <c r="S253" s="16" t="n"/>
      <c r="T253" s="17">
        <f>IF($Q253&lt;&gt;"Yes","",IF($S253="","(enter date)",_xlfn.LET(_xlpm.dn,IFERROR(_xlfn.XLOOKUP($S253,nrCDdate,nrCDnum),""),IF(_xlpm.dn="","(not a class day)",IFERROR(_xlfn.XLOOKUP(_xlpm.dn+cfgRetestClassDays,nrCDnum,nrCDdate),"")))))</f>
        <v/>
      </c>
      <c r="U253" s="15">
        <f>IF($Q253&lt;&gt;"Yes","",IF(COUNTIFS(nrES_PID,$D253,nrES_Code,$F253,nrES_Att,2)&gt;0,"Retested",IF(OR($T253="",NOT(ISNUMBER($T253))),"Pending",IF(TODAY()&gt;$T253,"OVERDUE","Due "&amp;TEXT($T253,"mm/dd")))))</f>
        <v/>
      </c>
      <c r="V253" s="14" t="n"/>
      <c r="W253" s="14" t="n"/>
    </row>
    <row r="254">
      <c r="B254" s="15">
        <f>IF($C254="","",$D254&amp;"-"&amp;$F254&amp;"-"&amp;$K254)</f>
        <v/>
      </c>
      <c r="C254" s="14" t="n"/>
      <c r="D254" s="15">
        <f>IF($C254="","",IFERROR(INDEX(rngCadetPIDs,MATCH($C254,rngCadetNames,0)),"?"))</f>
        <v/>
      </c>
      <c r="E254" s="15">
        <f>IF($D254="","",IFERROR(INDEX(nrCadetAgency,MATCH($D254,rngCadetPIDs,0)),""))</f>
        <v/>
      </c>
      <c r="F254" s="14" t="n"/>
      <c r="G254" s="15">
        <f>IF($F254="","",IFERROR(INDEX(rngEPname,MATCH($F254,rngEPcode,0)),"?"))</f>
        <v/>
      </c>
      <c r="H254" s="15">
        <f>IF($F254="","",IFERROR(INDEX(rngEPtype,MATCH($F254,rngEPcode,0)),"?"))</f>
        <v/>
      </c>
      <c r="I254" s="15">
        <f>IF($F254="","",IFERROR(INDEX(rngEPseq,MATCH($F254,rngEPcode,0)),""))</f>
        <v/>
      </c>
      <c r="J254" s="15">
        <f>IF($F254="","",IFERROR(INDEX(rngEPpass,MATCH($F254,rngEPcode,0)),cfgPassingScore))</f>
        <v/>
      </c>
      <c r="K254" s="14" t="n"/>
      <c r="L254" s="14" t="n"/>
      <c r="M254" s="15">
        <f>IF($C254="","",IF($L254="","",IF($K254=1,IF(COUNTIFS(nrES_PID,$D254,nrES_Code,$F254,nrES_Att,2)&gt;0,"",$L254),IF(COUNTIFS(nrES_PID,$D254,nrES_Code,$F254,nrES_Att,1)=0,$L254,IF($L254&gt;=$J254,cfgRetakeRecordedCap,SUMIFS(nrES_Raw,nrES_PID,$D254,nrES_Code,$F254,nrES_Att,1))))))</f>
        <v/>
      </c>
      <c r="N254" s="15">
        <f>IF($C254="","",IF($L254="","",IF($L254&gt;=$J254,"Yes","No")))</f>
        <v/>
      </c>
      <c r="O254" s="15">
        <f>IF($C254="","",IF($M254="","",IF($M254&gt;=$J254,"Yes","No")))</f>
        <v/>
      </c>
      <c r="P254" s="15">
        <f>IF($C254="","",IF($K254="","",IF(COUNTIFS(nrES_PID,$D254,nrES_Code,$F254,nrES_Att,"&gt;"&amp;$K254)=0,"Yes","No")))</f>
        <v/>
      </c>
      <c r="Q254" s="15">
        <f>IF($C254="","",IF($L254="","",IF(AND($K254=1,$L254&lt;$J254,COUNTIFS(nrES_PID,$D254,nrES_Code,$F254,nrES_Att,2)=0),"Yes","No")))</f>
        <v/>
      </c>
      <c r="R254" s="15">
        <f>IF($C254="","",IF($L254="","",IF(AND($K254=2,$L254&lt;$J254,COUNTIFS(nrES_PID,$D254,nrES_Code,$F254,nrES_Att,1)&gt;0),"Yes","No")))</f>
        <v/>
      </c>
      <c r="S254" s="16" t="n"/>
      <c r="T254" s="17">
        <f>IF($Q254&lt;&gt;"Yes","",IF($S254="","(enter date)",_xlfn.LET(_xlpm.dn,IFERROR(_xlfn.XLOOKUP($S254,nrCDdate,nrCDnum),""),IF(_xlpm.dn="","(not a class day)",IFERROR(_xlfn.XLOOKUP(_xlpm.dn+cfgRetestClassDays,nrCDnum,nrCDdate),"")))))</f>
        <v/>
      </c>
      <c r="U254" s="15">
        <f>IF($Q254&lt;&gt;"Yes","",IF(COUNTIFS(nrES_PID,$D254,nrES_Code,$F254,nrES_Att,2)&gt;0,"Retested",IF(OR($T254="",NOT(ISNUMBER($T254))),"Pending",IF(TODAY()&gt;$T254,"OVERDUE","Due "&amp;TEXT($T254,"mm/dd")))))</f>
        <v/>
      </c>
      <c r="V254" s="14" t="n"/>
      <c r="W254" s="14" t="n"/>
    </row>
    <row r="255">
      <c r="B255" s="15">
        <f>IF($C255="","",$D255&amp;"-"&amp;$F255&amp;"-"&amp;$K255)</f>
        <v/>
      </c>
      <c r="C255" s="14" t="n"/>
      <c r="D255" s="15">
        <f>IF($C255="","",IFERROR(INDEX(rngCadetPIDs,MATCH($C255,rngCadetNames,0)),"?"))</f>
        <v/>
      </c>
      <c r="E255" s="15">
        <f>IF($D255="","",IFERROR(INDEX(nrCadetAgency,MATCH($D255,rngCadetPIDs,0)),""))</f>
        <v/>
      </c>
      <c r="F255" s="14" t="n"/>
      <c r="G255" s="15">
        <f>IF($F255="","",IFERROR(INDEX(rngEPname,MATCH($F255,rngEPcode,0)),"?"))</f>
        <v/>
      </c>
      <c r="H255" s="15">
        <f>IF($F255="","",IFERROR(INDEX(rngEPtype,MATCH($F255,rngEPcode,0)),"?"))</f>
        <v/>
      </c>
      <c r="I255" s="15">
        <f>IF($F255="","",IFERROR(INDEX(rngEPseq,MATCH($F255,rngEPcode,0)),""))</f>
        <v/>
      </c>
      <c r="J255" s="15">
        <f>IF($F255="","",IFERROR(INDEX(rngEPpass,MATCH($F255,rngEPcode,0)),cfgPassingScore))</f>
        <v/>
      </c>
      <c r="K255" s="14" t="n"/>
      <c r="L255" s="14" t="n"/>
      <c r="M255" s="15">
        <f>IF($C255="","",IF($L255="","",IF($K255=1,IF(COUNTIFS(nrES_PID,$D255,nrES_Code,$F255,nrES_Att,2)&gt;0,"",$L255),IF(COUNTIFS(nrES_PID,$D255,nrES_Code,$F255,nrES_Att,1)=0,$L255,IF($L255&gt;=$J255,cfgRetakeRecordedCap,SUMIFS(nrES_Raw,nrES_PID,$D255,nrES_Code,$F255,nrES_Att,1))))))</f>
        <v/>
      </c>
      <c r="N255" s="15">
        <f>IF($C255="","",IF($L255="","",IF($L255&gt;=$J255,"Yes","No")))</f>
        <v/>
      </c>
      <c r="O255" s="15">
        <f>IF($C255="","",IF($M255="","",IF($M255&gt;=$J255,"Yes","No")))</f>
        <v/>
      </c>
      <c r="P255" s="15">
        <f>IF($C255="","",IF($K255="","",IF(COUNTIFS(nrES_PID,$D255,nrES_Code,$F255,nrES_Att,"&gt;"&amp;$K255)=0,"Yes","No")))</f>
        <v/>
      </c>
      <c r="Q255" s="15">
        <f>IF($C255="","",IF($L255="","",IF(AND($K255=1,$L255&lt;$J255,COUNTIFS(nrES_PID,$D255,nrES_Code,$F255,nrES_Att,2)=0),"Yes","No")))</f>
        <v/>
      </c>
      <c r="R255" s="15">
        <f>IF($C255="","",IF($L255="","",IF(AND($K255=2,$L255&lt;$J255,COUNTIFS(nrES_PID,$D255,nrES_Code,$F255,nrES_Att,1)&gt;0),"Yes","No")))</f>
        <v/>
      </c>
      <c r="S255" s="16" t="n"/>
      <c r="T255" s="17">
        <f>IF($Q255&lt;&gt;"Yes","",IF($S255="","(enter date)",_xlfn.LET(_xlpm.dn,IFERROR(_xlfn.XLOOKUP($S255,nrCDdate,nrCDnum),""),IF(_xlpm.dn="","(not a class day)",IFERROR(_xlfn.XLOOKUP(_xlpm.dn+cfgRetestClassDays,nrCDnum,nrCDdate),"")))))</f>
        <v/>
      </c>
      <c r="U255" s="15">
        <f>IF($Q255&lt;&gt;"Yes","",IF(COUNTIFS(nrES_PID,$D255,nrES_Code,$F255,nrES_Att,2)&gt;0,"Retested",IF(OR($T255="",NOT(ISNUMBER($T255))),"Pending",IF(TODAY()&gt;$T255,"OVERDUE","Due "&amp;TEXT($T255,"mm/dd")))))</f>
        <v/>
      </c>
      <c r="V255" s="14" t="n"/>
      <c r="W255" s="14" t="n"/>
    </row>
    <row r="256">
      <c r="B256" s="15">
        <f>IF($C256="","",$D256&amp;"-"&amp;$F256&amp;"-"&amp;$K256)</f>
        <v/>
      </c>
      <c r="C256" s="14" t="n"/>
      <c r="D256" s="15">
        <f>IF($C256="","",IFERROR(INDEX(rngCadetPIDs,MATCH($C256,rngCadetNames,0)),"?"))</f>
        <v/>
      </c>
      <c r="E256" s="15">
        <f>IF($D256="","",IFERROR(INDEX(nrCadetAgency,MATCH($D256,rngCadetPIDs,0)),""))</f>
        <v/>
      </c>
      <c r="F256" s="14" t="n"/>
      <c r="G256" s="15">
        <f>IF($F256="","",IFERROR(INDEX(rngEPname,MATCH($F256,rngEPcode,0)),"?"))</f>
        <v/>
      </c>
      <c r="H256" s="15">
        <f>IF($F256="","",IFERROR(INDEX(rngEPtype,MATCH($F256,rngEPcode,0)),"?"))</f>
        <v/>
      </c>
      <c r="I256" s="15">
        <f>IF($F256="","",IFERROR(INDEX(rngEPseq,MATCH($F256,rngEPcode,0)),""))</f>
        <v/>
      </c>
      <c r="J256" s="15">
        <f>IF($F256="","",IFERROR(INDEX(rngEPpass,MATCH($F256,rngEPcode,0)),cfgPassingScore))</f>
        <v/>
      </c>
      <c r="K256" s="14" t="n"/>
      <c r="L256" s="14" t="n"/>
      <c r="M256" s="15">
        <f>IF($C256="","",IF($L256="","",IF($K256=1,IF(COUNTIFS(nrES_PID,$D256,nrES_Code,$F256,nrES_Att,2)&gt;0,"",$L256),IF(COUNTIFS(nrES_PID,$D256,nrES_Code,$F256,nrES_Att,1)=0,$L256,IF($L256&gt;=$J256,cfgRetakeRecordedCap,SUMIFS(nrES_Raw,nrES_PID,$D256,nrES_Code,$F256,nrES_Att,1))))))</f>
        <v/>
      </c>
      <c r="N256" s="15">
        <f>IF($C256="","",IF($L256="","",IF($L256&gt;=$J256,"Yes","No")))</f>
        <v/>
      </c>
      <c r="O256" s="15">
        <f>IF($C256="","",IF($M256="","",IF($M256&gt;=$J256,"Yes","No")))</f>
        <v/>
      </c>
      <c r="P256" s="15">
        <f>IF($C256="","",IF($K256="","",IF(COUNTIFS(nrES_PID,$D256,nrES_Code,$F256,nrES_Att,"&gt;"&amp;$K256)=0,"Yes","No")))</f>
        <v/>
      </c>
      <c r="Q256" s="15">
        <f>IF($C256="","",IF($L256="","",IF(AND($K256=1,$L256&lt;$J256,COUNTIFS(nrES_PID,$D256,nrES_Code,$F256,nrES_Att,2)=0),"Yes","No")))</f>
        <v/>
      </c>
      <c r="R256" s="15">
        <f>IF($C256="","",IF($L256="","",IF(AND($K256=2,$L256&lt;$J256,COUNTIFS(nrES_PID,$D256,nrES_Code,$F256,nrES_Att,1)&gt;0),"Yes","No")))</f>
        <v/>
      </c>
      <c r="S256" s="16" t="n"/>
      <c r="T256" s="17">
        <f>IF($Q256&lt;&gt;"Yes","",IF($S256="","(enter date)",_xlfn.LET(_xlpm.dn,IFERROR(_xlfn.XLOOKUP($S256,nrCDdate,nrCDnum),""),IF(_xlpm.dn="","(not a class day)",IFERROR(_xlfn.XLOOKUP(_xlpm.dn+cfgRetestClassDays,nrCDnum,nrCDdate),"")))))</f>
        <v/>
      </c>
      <c r="U256" s="15">
        <f>IF($Q256&lt;&gt;"Yes","",IF(COUNTIFS(nrES_PID,$D256,nrES_Code,$F256,nrES_Att,2)&gt;0,"Retested",IF(OR($T256="",NOT(ISNUMBER($T256))),"Pending",IF(TODAY()&gt;$T256,"OVERDUE","Due "&amp;TEXT($T256,"mm/dd")))))</f>
        <v/>
      </c>
      <c r="V256" s="14" t="n"/>
      <c r="W256" s="14" t="n"/>
    </row>
    <row r="257">
      <c r="B257" s="15">
        <f>IF($C257="","",$D257&amp;"-"&amp;$F257&amp;"-"&amp;$K257)</f>
        <v/>
      </c>
      <c r="C257" s="14" t="n"/>
      <c r="D257" s="15">
        <f>IF($C257="","",IFERROR(INDEX(rngCadetPIDs,MATCH($C257,rngCadetNames,0)),"?"))</f>
        <v/>
      </c>
      <c r="E257" s="15">
        <f>IF($D257="","",IFERROR(INDEX(nrCadetAgency,MATCH($D257,rngCadetPIDs,0)),""))</f>
        <v/>
      </c>
      <c r="F257" s="14" t="n"/>
      <c r="G257" s="15">
        <f>IF($F257="","",IFERROR(INDEX(rngEPname,MATCH($F257,rngEPcode,0)),"?"))</f>
        <v/>
      </c>
      <c r="H257" s="15">
        <f>IF($F257="","",IFERROR(INDEX(rngEPtype,MATCH($F257,rngEPcode,0)),"?"))</f>
        <v/>
      </c>
      <c r="I257" s="15">
        <f>IF($F257="","",IFERROR(INDEX(rngEPseq,MATCH($F257,rngEPcode,0)),""))</f>
        <v/>
      </c>
      <c r="J257" s="15">
        <f>IF($F257="","",IFERROR(INDEX(rngEPpass,MATCH($F257,rngEPcode,0)),cfgPassingScore))</f>
        <v/>
      </c>
      <c r="K257" s="14" t="n"/>
      <c r="L257" s="14" t="n"/>
      <c r="M257" s="15">
        <f>IF($C257="","",IF($L257="","",IF($K257=1,IF(COUNTIFS(nrES_PID,$D257,nrES_Code,$F257,nrES_Att,2)&gt;0,"",$L257),IF(COUNTIFS(nrES_PID,$D257,nrES_Code,$F257,nrES_Att,1)=0,$L257,IF($L257&gt;=$J257,cfgRetakeRecordedCap,SUMIFS(nrES_Raw,nrES_PID,$D257,nrES_Code,$F257,nrES_Att,1))))))</f>
        <v/>
      </c>
      <c r="N257" s="15">
        <f>IF($C257="","",IF($L257="","",IF($L257&gt;=$J257,"Yes","No")))</f>
        <v/>
      </c>
      <c r="O257" s="15">
        <f>IF($C257="","",IF($M257="","",IF($M257&gt;=$J257,"Yes","No")))</f>
        <v/>
      </c>
      <c r="P257" s="15">
        <f>IF($C257="","",IF($K257="","",IF(COUNTIFS(nrES_PID,$D257,nrES_Code,$F257,nrES_Att,"&gt;"&amp;$K257)=0,"Yes","No")))</f>
        <v/>
      </c>
      <c r="Q257" s="15">
        <f>IF($C257="","",IF($L257="","",IF(AND($K257=1,$L257&lt;$J257,COUNTIFS(nrES_PID,$D257,nrES_Code,$F257,nrES_Att,2)=0),"Yes","No")))</f>
        <v/>
      </c>
      <c r="R257" s="15">
        <f>IF($C257="","",IF($L257="","",IF(AND($K257=2,$L257&lt;$J257,COUNTIFS(nrES_PID,$D257,nrES_Code,$F257,nrES_Att,1)&gt;0),"Yes","No")))</f>
        <v/>
      </c>
      <c r="S257" s="16" t="n"/>
      <c r="T257" s="17">
        <f>IF($Q257&lt;&gt;"Yes","",IF($S257="","(enter date)",_xlfn.LET(_xlpm.dn,IFERROR(_xlfn.XLOOKUP($S257,nrCDdate,nrCDnum),""),IF(_xlpm.dn="","(not a class day)",IFERROR(_xlfn.XLOOKUP(_xlpm.dn+cfgRetestClassDays,nrCDnum,nrCDdate),"")))))</f>
        <v/>
      </c>
      <c r="U257" s="15">
        <f>IF($Q257&lt;&gt;"Yes","",IF(COUNTIFS(nrES_PID,$D257,nrES_Code,$F257,nrES_Att,2)&gt;0,"Retested",IF(OR($T257="",NOT(ISNUMBER($T257))),"Pending",IF(TODAY()&gt;$T257,"OVERDUE","Due "&amp;TEXT($T257,"mm/dd")))))</f>
        <v/>
      </c>
      <c r="V257" s="14" t="n"/>
      <c r="W257" s="14" t="n"/>
    </row>
    <row r="258">
      <c r="B258" s="15">
        <f>IF($C258="","",$D258&amp;"-"&amp;$F258&amp;"-"&amp;$K258)</f>
        <v/>
      </c>
      <c r="C258" s="14" t="n"/>
      <c r="D258" s="15">
        <f>IF($C258="","",IFERROR(INDEX(rngCadetPIDs,MATCH($C258,rngCadetNames,0)),"?"))</f>
        <v/>
      </c>
      <c r="E258" s="15">
        <f>IF($D258="","",IFERROR(INDEX(nrCadetAgency,MATCH($D258,rngCadetPIDs,0)),""))</f>
        <v/>
      </c>
      <c r="F258" s="14" t="n"/>
      <c r="G258" s="15">
        <f>IF($F258="","",IFERROR(INDEX(rngEPname,MATCH($F258,rngEPcode,0)),"?"))</f>
        <v/>
      </c>
      <c r="H258" s="15">
        <f>IF($F258="","",IFERROR(INDEX(rngEPtype,MATCH($F258,rngEPcode,0)),"?"))</f>
        <v/>
      </c>
      <c r="I258" s="15">
        <f>IF($F258="","",IFERROR(INDEX(rngEPseq,MATCH($F258,rngEPcode,0)),""))</f>
        <v/>
      </c>
      <c r="J258" s="15">
        <f>IF($F258="","",IFERROR(INDEX(rngEPpass,MATCH($F258,rngEPcode,0)),cfgPassingScore))</f>
        <v/>
      </c>
      <c r="K258" s="14" t="n"/>
      <c r="L258" s="14" t="n"/>
      <c r="M258" s="15">
        <f>IF($C258="","",IF($L258="","",IF($K258=1,IF(COUNTIFS(nrES_PID,$D258,nrES_Code,$F258,nrES_Att,2)&gt;0,"",$L258),IF(COUNTIFS(nrES_PID,$D258,nrES_Code,$F258,nrES_Att,1)=0,$L258,IF($L258&gt;=$J258,cfgRetakeRecordedCap,SUMIFS(nrES_Raw,nrES_PID,$D258,nrES_Code,$F258,nrES_Att,1))))))</f>
        <v/>
      </c>
      <c r="N258" s="15">
        <f>IF($C258="","",IF($L258="","",IF($L258&gt;=$J258,"Yes","No")))</f>
        <v/>
      </c>
      <c r="O258" s="15">
        <f>IF($C258="","",IF($M258="","",IF($M258&gt;=$J258,"Yes","No")))</f>
        <v/>
      </c>
      <c r="P258" s="15">
        <f>IF($C258="","",IF($K258="","",IF(COUNTIFS(nrES_PID,$D258,nrES_Code,$F258,nrES_Att,"&gt;"&amp;$K258)=0,"Yes","No")))</f>
        <v/>
      </c>
      <c r="Q258" s="15">
        <f>IF($C258="","",IF($L258="","",IF(AND($K258=1,$L258&lt;$J258,COUNTIFS(nrES_PID,$D258,nrES_Code,$F258,nrES_Att,2)=0),"Yes","No")))</f>
        <v/>
      </c>
      <c r="R258" s="15">
        <f>IF($C258="","",IF($L258="","",IF(AND($K258=2,$L258&lt;$J258,COUNTIFS(nrES_PID,$D258,nrES_Code,$F258,nrES_Att,1)&gt;0),"Yes","No")))</f>
        <v/>
      </c>
      <c r="S258" s="16" t="n"/>
      <c r="T258" s="17">
        <f>IF($Q258&lt;&gt;"Yes","",IF($S258="","(enter date)",_xlfn.LET(_xlpm.dn,IFERROR(_xlfn.XLOOKUP($S258,nrCDdate,nrCDnum),""),IF(_xlpm.dn="","(not a class day)",IFERROR(_xlfn.XLOOKUP(_xlpm.dn+cfgRetestClassDays,nrCDnum,nrCDdate),"")))))</f>
        <v/>
      </c>
      <c r="U258" s="15">
        <f>IF($Q258&lt;&gt;"Yes","",IF(COUNTIFS(nrES_PID,$D258,nrES_Code,$F258,nrES_Att,2)&gt;0,"Retested",IF(OR($T258="",NOT(ISNUMBER($T258))),"Pending",IF(TODAY()&gt;$T258,"OVERDUE","Due "&amp;TEXT($T258,"mm/dd")))))</f>
        <v/>
      </c>
      <c r="V258" s="14" t="n"/>
      <c r="W258" s="14" t="n"/>
    </row>
    <row r="259">
      <c r="B259" s="15">
        <f>IF($C259="","",$D259&amp;"-"&amp;$F259&amp;"-"&amp;$K259)</f>
        <v/>
      </c>
      <c r="C259" s="14" t="n"/>
      <c r="D259" s="15">
        <f>IF($C259="","",IFERROR(INDEX(rngCadetPIDs,MATCH($C259,rngCadetNames,0)),"?"))</f>
        <v/>
      </c>
      <c r="E259" s="15">
        <f>IF($D259="","",IFERROR(INDEX(nrCadetAgency,MATCH($D259,rngCadetPIDs,0)),""))</f>
        <v/>
      </c>
      <c r="F259" s="14" t="n"/>
      <c r="G259" s="15">
        <f>IF($F259="","",IFERROR(INDEX(rngEPname,MATCH($F259,rngEPcode,0)),"?"))</f>
        <v/>
      </c>
      <c r="H259" s="15">
        <f>IF($F259="","",IFERROR(INDEX(rngEPtype,MATCH($F259,rngEPcode,0)),"?"))</f>
        <v/>
      </c>
      <c r="I259" s="15">
        <f>IF($F259="","",IFERROR(INDEX(rngEPseq,MATCH($F259,rngEPcode,0)),""))</f>
        <v/>
      </c>
      <c r="J259" s="15">
        <f>IF($F259="","",IFERROR(INDEX(rngEPpass,MATCH($F259,rngEPcode,0)),cfgPassingScore))</f>
        <v/>
      </c>
      <c r="K259" s="14" t="n"/>
      <c r="L259" s="14" t="n"/>
      <c r="M259" s="15">
        <f>IF($C259="","",IF($L259="","",IF($K259=1,IF(COUNTIFS(nrES_PID,$D259,nrES_Code,$F259,nrES_Att,2)&gt;0,"",$L259),IF(COUNTIFS(nrES_PID,$D259,nrES_Code,$F259,nrES_Att,1)=0,$L259,IF($L259&gt;=$J259,cfgRetakeRecordedCap,SUMIFS(nrES_Raw,nrES_PID,$D259,nrES_Code,$F259,nrES_Att,1))))))</f>
        <v/>
      </c>
      <c r="N259" s="15">
        <f>IF($C259="","",IF($L259="","",IF($L259&gt;=$J259,"Yes","No")))</f>
        <v/>
      </c>
      <c r="O259" s="15">
        <f>IF($C259="","",IF($M259="","",IF($M259&gt;=$J259,"Yes","No")))</f>
        <v/>
      </c>
      <c r="P259" s="15">
        <f>IF($C259="","",IF($K259="","",IF(COUNTIFS(nrES_PID,$D259,nrES_Code,$F259,nrES_Att,"&gt;"&amp;$K259)=0,"Yes","No")))</f>
        <v/>
      </c>
      <c r="Q259" s="15">
        <f>IF($C259="","",IF($L259="","",IF(AND($K259=1,$L259&lt;$J259,COUNTIFS(nrES_PID,$D259,nrES_Code,$F259,nrES_Att,2)=0),"Yes","No")))</f>
        <v/>
      </c>
      <c r="R259" s="15">
        <f>IF($C259="","",IF($L259="","",IF(AND($K259=2,$L259&lt;$J259,COUNTIFS(nrES_PID,$D259,nrES_Code,$F259,nrES_Att,1)&gt;0),"Yes","No")))</f>
        <v/>
      </c>
      <c r="S259" s="16" t="n"/>
      <c r="T259" s="17">
        <f>IF($Q259&lt;&gt;"Yes","",IF($S259="","(enter date)",_xlfn.LET(_xlpm.dn,IFERROR(_xlfn.XLOOKUP($S259,nrCDdate,nrCDnum),""),IF(_xlpm.dn="","(not a class day)",IFERROR(_xlfn.XLOOKUP(_xlpm.dn+cfgRetestClassDays,nrCDnum,nrCDdate),"")))))</f>
        <v/>
      </c>
      <c r="U259" s="15">
        <f>IF($Q259&lt;&gt;"Yes","",IF(COUNTIFS(nrES_PID,$D259,nrES_Code,$F259,nrES_Att,2)&gt;0,"Retested",IF(OR($T259="",NOT(ISNUMBER($T259))),"Pending",IF(TODAY()&gt;$T259,"OVERDUE","Due "&amp;TEXT($T259,"mm/dd")))))</f>
        <v/>
      </c>
      <c r="V259" s="14" t="n"/>
      <c r="W259" s="14" t="n"/>
    </row>
    <row r="260">
      <c r="B260" s="15">
        <f>IF($C260="","",$D260&amp;"-"&amp;$F260&amp;"-"&amp;$K260)</f>
        <v/>
      </c>
      <c r="C260" s="14" t="n"/>
      <c r="D260" s="15">
        <f>IF($C260="","",IFERROR(INDEX(rngCadetPIDs,MATCH($C260,rngCadetNames,0)),"?"))</f>
        <v/>
      </c>
      <c r="E260" s="15">
        <f>IF($D260="","",IFERROR(INDEX(nrCadetAgency,MATCH($D260,rngCadetPIDs,0)),""))</f>
        <v/>
      </c>
      <c r="F260" s="14" t="n"/>
      <c r="G260" s="15">
        <f>IF($F260="","",IFERROR(INDEX(rngEPname,MATCH($F260,rngEPcode,0)),"?"))</f>
        <v/>
      </c>
      <c r="H260" s="15">
        <f>IF($F260="","",IFERROR(INDEX(rngEPtype,MATCH($F260,rngEPcode,0)),"?"))</f>
        <v/>
      </c>
      <c r="I260" s="15">
        <f>IF($F260="","",IFERROR(INDEX(rngEPseq,MATCH($F260,rngEPcode,0)),""))</f>
        <v/>
      </c>
      <c r="J260" s="15">
        <f>IF($F260="","",IFERROR(INDEX(rngEPpass,MATCH($F260,rngEPcode,0)),cfgPassingScore))</f>
        <v/>
      </c>
      <c r="K260" s="14" t="n"/>
      <c r="L260" s="14" t="n"/>
      <c r="M260" s="15">
        <f>IF($C260="","",IF($L260="","",IF($K260=1,IF(COUNTIFS(nrES_PID,$D260,nrES_Code,$F260,nrES_Att,2)&gt;0,"",$L260),IF(COUNTIFS(nrES_PID,$D260,nrES_Code,$F260,nrES_Att,1)=0,$L260,IF($L260&gt;=$J260,cfgRetakeRecordedCap,SUMIFS(nrES_Raw,nrES_PID,$D260,nrES_Code,$F260,nrES_Att,1))))))</f>
        <v/>
      </c>
      <c r="N260" s="15">
        <f>IF($C260="","",IF($L260="","",IF($L260&gt;=$J260,"Yes","No")))</f>
        <v/>
      </c>
      <c r="O260" s="15">
        <f>IF($C260="","",IF($M260="","",IF($M260&gt;=$J260,"Yes","No")))</f>
        <v/>
      </c>
      <c r="P260" s="15">
        <f>IF($C260="","",IF($K260="","",IF(COUNTIFS(nrES_PID,$D260,nrES_Code,$F260,nrES_Att,"&gt;"&amp;$K260)=0,"Yes","No")))</f>
        <v/>
      </c>
      <c r="Q260" s="15">
        <f>IF($C260="","",IF($L260="","",IF(AND($K260=1,$L260&lt;$J260,COUNTIFS(nrES_PID,$D260,nrES_Code,$F260,nrES_Att,2)=0),"Yes","No")))</f>
        <v/>
      </c>
      <c r="R260" s="15">
        <f>IF($C260="","",IF($L260="","",IF(AND($K260=2,$L260&lt;$J260,COUNTIFS(nrES_PID,$D260,nrES_Code,$F260,nrES_Att,1)&gt;0),"Yes","No")))</f>
        <v/>
      </c>
      <c r="S260" s="16" t="n"/>
      <c r="T260" s="17">
        <f>IF($Q260&lt;&gt;"Yes","",IF($S260="","(enter date)",_xlfn.LET(_xlpm.dn,IFERROR(_xlfn.XLOOKUP($S260,nrCDdate,nrCDnum),""),IF(_xlpm.dn="","(not a class day)",IFERROR(_xlfn.XLOOKUP(_xlpm.dn+cfgRetestClassDays,nrCDnum,nrCDdate),"")))))</f>
        <v/>
      </c>
      <c r="U260" s="15">
        <f>IF($Q260&lt;&gt;"Yes","",IF(COUNTIFS(nrES_PID,$D260,nrES_Code,$F260,nrES_Att,2)&gt;0,"Retested",IF(OR($T260="",NOT(ISNUMBER($T260))),"Pending",IF(TODAY()&gt;$T260,"OVERDUE","Due "&amp;TEXT($T260,"mm/dd")))))</f>
        <v/>
      </c>
      <c r="V260" s="14" t="n"/>
      <c r="W260" s="14" t="n"/>
    </row>
    <row r="261">
      <c r="B261" s="15">
        <f>IF($C261="","",$D261&amp;"-"&amp;$F261&amp;"-"&amp;$K261)</f>
        <v/>
      </c>
      <c r="C261" s="14" t="n"/>
      <c r="D261" s="15">
        <f>IF($C261="","",IFERROR(INDEX(rngCadetPIDs,MATCH($C261,rngCadetNames,0)),"?"))</f>
        <v/>
      </c>
      <c r="E261" s="15">
        <f>IF($D261="","",IFERROR(INDEX(nrCadetAgency,MATCH($D261,rngCadetPIDs,0)),""))</f>
        <v/>
      </c>
      <c r="F261" s="14" t="n"/>
      <c r="G261" s="15">
        <f>IF($F261="","",IFERROR(INDEX(rngEPname,MATCH($F261,rngEPcode,0)),"?"))</f>
        <v/>
      </c>
      <c r="H261" s="15">
        <f>IF($F261="","",IFERROR(INDEX(rngEPtype,MATCH($F261,rngEPcode,0)),"?"))</f>
        <v/>
      </c>
      <c r="I261" s="15">
        <f>IF($F261="","",IFERROR(INDEX(rngEPseq,MATCH($F261,rngEPcode,0)),""))</f>
        <v/>
      </c>
      <c r="J261" s="15">
        <f>IF($F261="","",IFERROR(INDEX(rngEPpass,MATCH($F261,rngEPcode,0)),cfgPassingScore))</f>
        <v/>
      </c>
      <c r="K261" s="14" t="n"/>
      <c r="L261" s="14" t="n"/>
      <c r="M261" s="15">
        <f>IF($C261="","",IF($L261="","",IF($K261=1,IF(COUNTIFS(nrES_PID,$D261,nrES_Code,$F261,nrES_Att,2)&gt;0,"",$L261),IF(COUNTIFS(nrES_PID,$D261,nrES_Code,$F261,nrES_Att,1)=0,$L261,IF($L261&gt;=$J261,cfgRetakeRecordedCap,SUMIFS(nrES_Raw,nrES_PID,$D261,nrES_Code,$F261,nrES_Att,1))))))</f>
        <v/>
      </c>
      <c r="N261" s="15">
        <f>IF($C261="","",IF($L261="","",IF($L261&gt;=$J261,"Yes","No")))</f>
        <v/>
      </c>
      <c r="O261" s="15">
        <f>IF($C261="","",IF($M261="","",IF($M261&gt;=$J261,"Yes","No")))</f>
        <v/>
      </c>
      <c r="P261" s="15">
        <f>IF($C261="","",IF($K261="","",IF(COUNTIFS(nrES_PID,$D261,nrES_Code,$F261,nrES_Att,"&gt;"&amp;$K261)=0,"Yes","No")))</f>
        <v/>
      </c>
      <c r="Q261" s="15">
        <f>IF($C261="","",IF($L261="","",IF(AND($K261=1,$L261&lt;$J261,COUNTIFS(nrES_PID,$D261,nrES_Code,$F261,nrES_Att,2)=0),"Yes","No")))</f>
        <v/>
      </c>
      <c r="R261" s="15">
        <f>IF($C261="","",IF($L261="","",IF(AND($K261=2,$L261&lt;$J261,COUNTIFS(nrES_PID,$D261,nrES_Code,$F261,nrES_Att,1)&gt;0),"Yes","No")))</f>
        <v/>
      </c>
      <c r="S261" s="16" t="n"/>
      <c r="T261" s="17">
        <f>IF($Q261&lt;&gt;"Yes","",IF($S261="","(enter date)",_xlfn.LET(_xlpm.dn,IFERROR(_xlfn.XLOOKUP($S261,nrCDdate,nrCDnum),""),IF(_xlpm.dn="","(not a class day)",IFERROR(_xlfn.XLOOKUP(_xlpm.dn+cfgRetestClassDays,nrCDnum,nrCDdate),"")))))</f>
        <v/>
      </c>
      <c r="U261" s="15">
        <f>IF($Q261&lt;&gt;"Yes","",IF(COUNTIFS(nrES_PID,$D261,nrES_Code,$F261,nrES_Att,2)&gt;0,"Retested",IF(OR($T261="",NOT(ISNUMBER($T261))),"Pending",IF(TODAY()&gt;$T261,"OVERDUE","Due "&amp;TEXT($T261,"mm/dd")))))</f>
        <v/>
      </c>
      <c r="V261" s="14" t="n"/>
      <c r="W261" s="14" t="n"/>
    </row>
    <row r="262">
      <c r="B262" s="15">
        <f>IF($C262="","",$D262&amp;"-"&amp;$F262&amp;"-"&amp;$K262)</f>
        <v/>
      </c>
      <c r="C262" s="14" t="n"/>
      <c r="D262" s="15">
        <f>IF($C262="","",IFERROR(INDEX(rngCadetPIDs,MATCH($C262,rngCadetNames,0)),"?"))</f>
        <v/>
      </c>
      <c r="E262" s="15">
        <f>IF($D262="","",IFERROR(INDEX(nrCadetAgency,MATCH($D262,rngCadetPIDs,0)),""))</f>
        <v/>
      </c>
      <c r="F262" s="14" t="n"/>
      <c r="G262" s="15">
        <f>IF($F262="","",IFERROR(INDEX(rngEPname,MATCH($F262,rngEPcode,0)),"?"))</f>
        <v/>
      </c>
      <c r="H262" s="15">
        <f>IF($F262="","",IFERROR(INDEX(rngEPtype,MATCH($F262,rngEPcode,0)),"?"))</f>
        <v/>
      </c>
      <c r="I262" s="15">
        <f>IF($F262="","",IFERROR(INDEX(rngEPseq,MATCH($F262,rngEPcode,0)),""))</f>
        <v/>
      </c>
      <c r="J262" s="15">
        <f>IF($F262="","",IFERROR(INDEX(rngEPpass,MATCH($F262,rngEPcode,0)),cfgPassingScore))</f>
        <v/>
      </c>
      <c r="K262" s="14" t="n"/>
      <c r="L262" s="14" t="n"/>
      <c r="M262" s="15">
        <f>IF($C262="","",IF($L262="","",IF($K262=1,IF(COUNTIFS(nrES_PID,$D262,nrES_Code,$F262,nrES_Att,2)&gt;0,"",$L262),IF(COUNTIFS(nrES_PID,$D262,nrES_Code,$F262,nrES_Att,1)=0,$L262,IF($L262&gt;=$J262,cfgRetakeRecordedCap,SUMIFS(nrES_Raw,nrES_PID,$D262,nrES_Code,$F262,nrES_Att,1))))))</f>
        <v/>
      </c>
      <c r="N262" s="15">
        <f>IF($C262="","",IF($L262="","",IF($L262&gt;=$J262,"Yes","No")))</f>
        <v/>
      </c>
      <c r="O262" s="15">
        <f>IF($C262="","",IF($M262="","",IF($M262&gt;=$J262,"Yes","No")))</f>
        <v/>
      </c>
      <c r="P262" s="15">
        <f>IF($C262="","",IF($K262="","",IF(COUNTIFS(nrES_PID,$D262,nrES_Code,$F262,nrES_Att,"&gt;"&amp;$K262)=0,"Yes","No")))</f>
        <v/>
      </c>
      <c r="Q262" s="15">
        <f>IF($C262="","",IF($L262="","",IF(AND($K262=1,$L262&lt;$J262,COUNTIFS(nrES_PID,$D262,nrES_Code,$F262,nrES_Att,2)=0),"Yes","No")))</f>
        <v/>
      </c>
      <c r="R262" s="15">
        <f>IF($C262="","",IF($L262="","",IF(AND($K262=2,$L262&lt;$J262,COUNTIFS(nrES_PID,$D262,nrES_Code,$F262,nrES_Att,1)&gt;0),"Yes","No")))</f>
        <v/>
      </c>
      <c r="S262" s="16" t="n"/>
      <c r="T262" s="17">
        <f>IF($Q262&lt;&gt;"Yes","",IF($S262="","(enter date)",_xlfn.LET(_xlpm.dn,IFERROR(_xlfn.XLOOKUP($S262,nrCDdate,nrCDnum),""),IF(_xlpm.dn="","(not a class day)",IFERROR(_xlfn.XLOOKUP(_xlpm.dn+cfgRetestClassDays,nrCDnum,nrCDdate),"")))))</f>
        <v/>
      </c>
      <c r="U262" s="15">
        <f>IF($Q262&lt;&gt;"Yes","",IF(COUNTIFS(nrES_PID,$D262,nrES_Code,$F262,nrES_Att,2)&gt;0,"Retested",IF(OR($T262="",NOT(ISNUMBER($T262))),"Pending",IF(TODAY()&gt;$T262,"OVERDUE","Due "&amp;TEXT($T262,"mm/dd")))))</f>
        <v/>
      </c>
      <c r="V262" s="14" t="n"/>
      <c r="W262" s="14" t="n"/>
    </row>
    <row r="263">
      <c r="B263" s="15">
        <f>IF($C263="","",$D263&amp;"-"&amp;$F263&amp;"-"&amp;$K263)</f>
        <v/>
      </c>
      <c r="C263" s="14" t="n"/>
      <c r="D263" s="15">
        <f>IF($C263="","",IFERROR(INDEX(rngCadetPIDs,MATCH($C263,rngCadetNames,0)),"?"))</f>
        <v/>
      </c>
      <c r="E263" s="15">
        <f>IF($D263="","",IFERROR(INDEX(nrCadetAgency,MATCH($D263,rngCadetPIDs,0)),""))</f>
        <v/>
      </c>
      <c r="F263" s="14" t="n"/>
      <c r="G263" s="15">
        <f>IF($F263="","",IFERROR(INDEX(rngEPname,MATCH($F263,rngEPcode,0)),"?"))</f>
        <v/>
      </c>
      <c r="H263" s="15">
        <f>IF($F263="","",IFERROR(INDEX(rngEPtype,MATCH($F263,rngEPcode,0)),"?"))</f>
        <v/>
      </c>
      <c r="I263" s="15">
        <f>IF($F263="","",IFERROR(INDEX(rngEPseq,MATCH($F263,rngEPcode,0)),""))</f>
        <v/>
      </c>
      <c r="J263" s="15">
        <f>IF($F263="","",IFERROR(INDEX(rngEPpass,MATCH($F263,rngEPcode,0)),cfgPassingScore))</f>
        <v/>
      </c>
      <c r="K263" s="14" t="n"/>
      <c r="L263" s="14" t="n"/>
      <c r="M263" s="15">
        <f>IF($C263="","",IF($L263="","",IF($K263=1,IF(COUNTIFS(nrES_PID,$D263,nrES_Code,$F263,nrES_Att,2)&gt;0,"",$L263),IF(COUNTIFS(nrES_PID,$D263,nrES_Code,$F263,nrES_Att,1)=0,$L263,IF($L263&gt;=$J263,cfgRetakeRecordedCap,SUMIFS(nrES_Raw,nrES_PID,$D263,nrES_Code,$F263,nrES_Att,1))))))</f>
        <v/>
      </c>
      <c r="N263" s="15">
        <f>IF($C263="","",IF($L263="","",IF($L263&gt;=$J263,"Yes","No")))</f>
        <v/>
      </c>
      <c r="O263" s="15">
        <f>IF($C263="","",IF($M263="","",IF($M263&gt;=$J263,"Yes","No")))</f>
        <v/>
      </c>
      <c r="P263" s="15">
        <f>IF($C263="","",IF($K263="","",IF(COUNTIFS(nrES_PID,$D263,nrES_Code,$F263,nrES_Att,"&gt;"&amp;$K263)=0,"Yes","No")))</f>
        <v/>
      </c>
      <c r="Q263" s="15">
        <f>IF($C263="","",IF($L263="","",IF(AND($K263=1,$L263&lt;$J263,COUNTIFS(nrES_PID,$D263,nrES_Code,$F263,nrES_Att,2)=0),"Yes","No")))</f>
        <v/>
      </c>
      <c r="R263" s="15">
        <f>IF($C263="","",IF($L263="","",IF(AND($K263=2,$L263&lt;$J263,COUNTIFS(nrES_PID,$D263,nrES_Code,$F263,nrES_Att,1)&gt;0),"Yes","No")))</f>
        <v/>
      </c>
      <c r="S263" s="16" t="n"/>
      <c r="T263" s="17">
        <f>IF($Q263&lt;&gt;"Yes","",IF($S263="","(enter date)",_xlfn.LET(_xlpm.dn,IFERROR(_xlfn.XLOOKUP($S263,nrCDdate,nrCDnum),""),IF(_xlpm.dn="","(not a class day)",IFERROR(_xlfn.XLOOKUP(_xlpm.dn+cfgRetestClassDays,nrCDnum,nrCDdate),"")))))</f>
        <v/>
      </c>
      <c r="U263" s="15">
        <f>IF($Q263&lt;&gt;"Yes","",IF(COUNTIFS(nrES_PID,$D263,nrES_Code,$F263,nrES_Att,2)&gt;0,"Retested",IF(OR($T263="",NOT(ISNUMBER($T263))),"Pending",IF(TODAY()&gt;$T263,"OVERDUE","Due "&amp;TEXT($T263,"mm/dd")))))</f>
        <v/>
      </c>
      <c r="V263" s="14" t="n"/>
      <c r="W263" s="14" t="n"/>
    </row>
    <row r="264">
      <c r="B264" s="15">
        <f>IF($C264="","",$D264&amp;"-"&amp;$F264&amp;"-"&amp;$K264)</f>
        <v/>
      </c>
      <c r="C264" s="14" t="n"/>
      <c r="D264" s="15">
        <f>IF($C264="","",IFERROR(INDEX(rngCadetPIDs,MATCH($C264,rngCadetNames,0)),"?"))</f>
        <v/>
      </c>
      <c r="E264" s="15">
        <f>IF($D264="","",IFERROR(INDEX(nrCadetAgency,MATCH($D264,rngCadetPIDs,0)),""))</f>
        <v/>
      </c>
      <c r="F264" s="14" t="n"/>
      <c r="G264" s="15">
        <f>IF($F264="","",IFERROR(INDEX(rngEPname,MATCH($F264,rngEPcode,0)),"?"))</f>
        <v/>
      </c>
      <c r="H264" s="15">
        <f>IF($F264="","",IFERROR(INDEX(rngEPtype,MATCH($F264,rngEPcode,0)),"?"))</f>
        <v/>
      </c>
      <c r="I264" s="15">
        <f>IF($F264="","",IFERROR(INDEX(rngEPseq,MATCH($F264,rngEPcode,0)),""))</f>
        <v/>
      </c>
      <c r="J264" s="15">
        <f>IF($F264="","",IFERROR(INDEX(rngEPpass,MATCH($F264,rngEPcode,0)),cfgPassingScore))</f>
        <v/>
      </c>
      <c r="K264" s="14" t="n"/>
      <c r="L264" s="14" t="n"/>
      <c r="M264" s="15">
        <f>IF($C264="","",IF($L264="","",IF($K264=1,IF(COUNTIFS(nrES_PID,$D264,nrES_Code,$F264,nrES_Att,2)&gt;0,"",$L264),IF(COUNTIFS(nrES_PID,$D264,nrES_Code,$F264,nrES_Att,1)=0,$L264,IF($L264&gt;=$J264,cfgRetakeRecordedCap,SUMIFS(nrES_Raw,nrES_PID,$D264,nrES_Code,$F264,nrES_Att,1))))))</f>
        <v/>
      </c>
      <c r="N264" s="15">
        <f>IF($C264="","",IF($L264="","",IF($L264&gt;=$J264,"Yes","No")))</f>
        <v/>
      </c>
      <c r="O264" s="15">
        <f>IF($C264="","",IF($M264="","",IF($M264&gt;=$J264,"Yes","No")))</f>
        <v/>
      </c>
      <c r="P264" s="15">
        <f>IF($C264="","",IF($K264="","",IF(COUNTIFS(nrES_PID,$D264,nrES_Code,$F264,nrES_Att,"&gt;"&amp;$K264)=0,"Yes","No")))</f>
        <v/>
      </c>
      <c r="Q264" s="15">
        <f>IF($C264="","",IF($L264="","",IF(AND($K264=1,$L264&lt;$J264,COUNTIFS(nrES_PID,$D264,nrES_Code,$F264,nrES_Att,2)=0),"Yes","No")))</f>
        <v/>
      </c>
      <c r="R264" s="15">
        <f>IF($C264="","",IF($L264="","",IF(AND($K264=2,$L264&lt;$J264,COUNTIFS(nrES_PID,$D264,nrES_Code,$F264,nrES_Att,1)&gt;0),"Yes","No")))</f>
        <v/>
      </c>
      <c r="S264" s="16" t="n"/>
      <c r="T264" s="17">
        <f>IF($Q264&lt;&gt;"Yes","",IF($S264="","(enter date)",_xlfn.LET(_xlpm.dn,IFERROR(_xlfn.XLOOKUP($S264,nrCDdate,nrCDnum),""),IF(_xlpm.dn="","(not a class day)",IFERROR(_xlfn.XLOOKUP(_xlpm.dn+cfgRetestClassDays,nrCDnum,nrCDdate),"")))))</f>
        <v/>
      </c>
      <c r="U264" s="15">
        <f>IF($Q264&lt;&gt;"Yes","",IF(COUNTIFS(nrES_PID,$D264,nrES_Code,$F264,nrES_Att,2)&gt;0,"Retested",IF(OR($T264="",NOT(ISNUMBER($T264))),"Pending",IF(TODAY()&gt;$T264,"OVERDUE","Due "&amp;TEXT($T264,"mm/dd")))))</f>
        <v/>
      </c>
      <c r="V264" s="14" t="n"/>
      <c r="W264" s="14" t="n"/>
    </row>
    <row r="265">
      <c r="B265" s="15">
        <f>IF($C265="","",$D265&amp;"-"&amp;$F265&amp;"-"&amp;$K265)</f>
        <v/>
      </c>
      <c r="C265" s="14" t="n"/>
      <c r="D265" s="15">
        <f>IF($C265="","",IFERROR(INDEX(rngCadetPIDs,MATCH($C265,rngCadetNames,0)),"?"))</f>
        <v/>
      </c>
      <c r="E265" s="15">
        <f>IF($D265="","",IFERROR(INDEX(nrCadetAgency,MATCH($D265,rngCadetPIDs,0)),""))</f>
        <v/>
      </c>
      <c r="F265" s="14" t="n"/>
      <c r="G265" s="15">
        <f>IF($F265="","",IFERROR(INDEX(rngEPname,MATCH($F265,rngEPcode,0)),"?"))</f>
        <v/>
      </c>
      <c r="H265" s="15">
        <f>IF($F265="","",IFERROR(INDEX(rngEPtype,MATCH($F265,rngEPcode,0)),"?"))</f>
        <v/>
      </c>
      <c r="I265" s="15">
        <f>IF($F265="","",IFERROR(INDEX(rngEPseq,MATCH($F265,rngEPcode,0)),""))</f>
        <v/>
      </c>
      <c r="J265" s="15">
        <f>IF($F265="","",IFERROR(INDEX(rngEPpass,MATCH($F265,rngEPcode,0)),cfgPassingScore))</f>
        <v/>
      </c>
      <c r="K265" s="14" t="n"/>
      <c r="L265" s="14" t="n"/>
      <c r="M265" s="15">
        <f>IF($C265="","",IF($L265="","",IF($K265=1,IF(COUNTIFS(nrES_PID,$D265,nrES_Code,$F265,nrES_Att,2)&gt;0,"",$L265),IF(COUNTIFS(nrES_PID,$D265,nrES_Code,$F265,nrES_Att,1)=0,$L265,IF($L265&gt;=$J265,cfgRetakeRecordedCap,SUMIFS(nrES_Raw,nrES_PID,$D265,nrES_Code,$F265,nrES_Att,1))))))</f>
        <v/>
      </c>
      <c r="N265" s="15">
        <f>IF($C265="","",IF($L265="","",IF($L265&gt;=$J265,"Yes","No")))</f>
        <v/>
      </c>
      <c r="O265" s="15">
        <f>IF($C265="","",IF($M265="","",IF($M265&gt;=$J265,"Yes","No")))</f>
        <v/>
      </c>
      <c r="P265" s="15">
        <f>IF($C265="","",IF($K265="","",IF(COUNTIFS(nrES_PID,$D265,nrES_Code,$F265,nrES_Att,"&gt;"&amp;$K265)=0,"Yes","No")))</f>
        <v/>
      </c>
      <c r="Q265" s="15">
        <f>IF($C265="","",IF($L265="","",IF(AND($K265=1,$L265&lt;$J265,COUNTIFS(nrES_PID,$D265,nrES_Code,$F265,nrES_Att,2)=0),"Yes","No")))</f>
        <v/>
      </c>
      <c r="R265" s="15">
        <f>IF($C265="","",IF($L265="","",IF(AND($K265=2,$L265&lt;$J265,COUNTIFS(nrES_PID,$D265,nrES_Code,$F265,nrES_Att,1)&gt;0),"Yes","No")))</f>
        <v/>
      </c>
      <c r="S265" s="16" t="n"/>
      <c r="T265" s="17">
        <f>IF($Q265&lt;&gt;"Yes","",IF($S265="","(enter date)",_xlfn.LET(_xlpm.dn,IFERROR(_xlfn.XLOOKUP($S265,nrCDdate,nrCDnum),""),IF(_xlpm.dn="","(not a class day)",IFERROR(_xlfn.XLOOKUP(_xlpm.dn+cfgRetestClassDays,nrCDnum,nrCDdate),"")))))</f>
        <v/>
      </c>
      <c r="U265" s="15">
        <f>IF($Q265&lt;&gt;"Yes","",IF(COUNTIFS(nrES_PID,$D265,nrES_Code,$F265,nrES_Att,2)&gt;0,"Retested",IF(OR($T265="",NOT(ISNUMBER($T265))),"Pending",IF(TODAY()&gt;$T265,"OVERDUE","Due "&amp;TEXT($T265,"mm/dd")))))</f>
        <v/>
      </c>
      <c r="V265" s="14" t="n"/>
      <c r="W265" s="14" t="n"/>
    </row>
    <row r="266">
      <c r="B266" s="15">
        <f>IF($C266="","",$D266&amp;"-"&amp;$F266&amp;"-"&amp;$K266)</f>
        <v/>
      </c>
      <c r="C266" s="14" t="n"/>
      <c r="D266" s="15">
        <f>IF($C266="","",IFERROR(INDEX(rngCadetPIDs,MATCH($C266,rngCadetNames,0)),"?"))</f>
        <v/>
      </c>
      <c r="E266" s="15">
        <f>IF($D266="","",IFERROR(INDEX(nrCadetAgency,MATCH($D266,rngCadetPIDs,0)),""))</f>
        <v/>
      </c>
      <c r="F266" s="14" t="n"/>
      <c r="G266" s="15">
        <f>IF($F266="","",IFERROR(INDEX(rngEPname,MATCH($F266,rngEPcode,0)),"?"))</f>
        <v/>
      </c>
      <c r="H266" s="15">
        <f>IF($F266="","",IFERROR(INDEX(rngEPtype,MATCH($F266,rngEPcode,0)),"?"))</f>
        <v/>
      </c>
      <c r="I266" s="15">
        <f>IF($F266="","",IFERROR(INDEX(rngEPseq,MATCH($F266,rngEPcode,0)),""))</f>
        <v/>
      </c>
      <c r="J266" s="15">
        <f>IF($F266="","",IFERROR(INDEX(rngEPpass,MATCH($F266,rngEPcode,0)),cfgPassingScore))</f>
        <v/>
      </c>
      <c r="K266" s="14" t="n"/>
      <c r="L266" s="14" t="n"/>
      <c r="M266" s="15">
        <f>IF($C266="","",IF($L266="","",IF($K266=1,IF(COUNTIFS(nrES_PID,$D266,nrES_Code,$F266,nrES_Att,2)&gt;0,"",$L266),IF(COUNTIFS(nrES_PID,$D266,nrES_Code,$F266,nrES_Att,1)=0,$L266,IF($L266&gt;=$J266,cfgRetakeRecordedCap,SUMIFS(nrES_Raw,nrES_PID,$D266,nrES_Code,$F266,nrES_Att,1))))))</f>
        <v/>
      </c>
      <c r="N266" s="15">
        <f>IF($C266="","",IF($L266="","",IF($L266&gt;=$J266,"Yes","No")))</f>
        <v/>
      </c>
      <c r="O266" s="15">
        <f>IF($C266="","",IF($M266="","",IF($M266&gt;=$J266,"Yes","No")))</f>
        <v/>
      </c>
      <c r="P266" s="15">
        <f>IF($C266="","",IF($K266="","",IF(COUNTIFS(nrES_PID,$D266,nrES_Code,$F266,nrES_Att,"&gt;"&amp;$K266)=0,"Yes","No")))</f>
        <v/>
      </c>
      <c r="Q266" s="15">
        <f>IF($C266="","",IF($L266="","",IF(AND($K266=1,$L266&lt;$J266,COUNTIFS(nrES_PID,$D266,nrES_Code,$F266,nrES_Att,2)=0),"Yes","No")))</f>
        <v/>
      </c>
      <c r="R266" s="15">
        <f>IF($C266="","",IF($L266="","",IF(AND($K266=2,$L266&lt;$J266,COUNTIFS(nrES_PID,$D266,nrES_Code,$F266,nrES_Att,1)&gt;0),"Yes","No")))</f>
        <v/>
      </c>
      <c r="S266" s="16" t="n"/>
      <c r="T266" s="17">
        <f>IF($Q266&lt;&gt;"Yes","",IF($S266="","(enter date)",_xlfn.LET(_xlpm.dn,IFERROR(_xlfn.XLOOKUP($S266,nrCDdate,nrCDnum),""),IF(_xlpm.dn="","(not a class day)",IFERROR(_xlfn.XLOOKUP(_xlpm.dn+cfgRetestClassDays,nrCDnum,nrCDdate),"")))))</f>
        <v/>
      </c>
      <c r="U266" s="15">
        <f>IF($Q266&lt;&gt;"Yes","",IF(COUNTIFS(nrES_PID,$D266,nrES_Code,$F266,nrES_Att,2)&gt;0,"Retested",IF(OR($T266="",NOT(ISNUMBER($T266))),"Pending",IF(TODAY()&gt;$T266,"OVERDUE","Due "&amp;TEXT($T266,"mm/dd")))))</f>
        <v/>
      </c>
      <c r="V266" s="14" t="n"/>
      <c r="W266" s="14" t="n"/>
    </row>
    <row r="267">
      <c r="B267" s="15">
        <f>IF($C267="","",$D267&amp;"-"&amp;$F267&amp;"-"&amp;$K267)</f>
        <v/>
      </c>
      <c r="C267" s="14" t="n"/>
      <c r="D267" s="15">
        <f>IF($C267="","",IFERROR(INDEX(rngCadetPIDs,MATCH($C267,rngCadetNames,0)),"?"))</f>
        <v/>
      </c>
      <c r="E267" s="15">
        <f>IF($D267="","",IFERROR(INDEX(nrCadetAgency,MATCH($D267,rngCadetPIDs,0)),""))</f>
        <v/>
      </c>
      <c r="F267" s="14" t="n"/>
      <c r="G267" s="15">
        <f>IF($F267="","",IFERROR(INDEX(rngEPname,MATCH($F267,rngEPcode,0)),"?"))</f>
        <v/>
      </c>
      <c r="H267" s="15">
        <f>IF($F267="","",IFERROR(INDEX(rngEPtype,MATCH($F267,rngEPcode,0)),"?"))</f>
        <v/>
      </c>
      <c r="I267" s="15">
        <f>IF($F267="","",IFERROR(INDEX(rngEPseq,MATCH($F267,rngEPcode,0)),""))</f>
        <v/>
      </c>
      <c r="J267" s="15">
        <f>IF($F267="","",IFERROR(INDEX(rngEPpass,MATCH($F267,rngEPcode,0)),cfgPassingScore))</f>
        <v/>
      </c>
      <c r="K267" s="14" t="n"/>
      <c r="L267" s="14" t="n"/>
      <c r="M267" s="15">
        <f>IF($C267="","",IF($L267="","",IF($K267=1,IF(COUNTIFS(nrES_PID,$D267,nrES_Code,$F267,nrES_Att,2)&gt;0,"",$L267),IF(COUNTIFS(nrES_PID,$D267,nrES_Code,$F267,nrES_Att,1)=0,$L267,IF($L267&gt;=$J267,cfgRetakeRecordedCap,SUMIFS(nrES_Raw,nrES_PID,$D267,nrES_Code,$F267,nrES_Att,1))))))</f>
        <v/>
      </c>
      <c r="N267" s="15">
        <f>IF($C267="","",IF($L267="","",IF($L267&gt;=$J267,"Yes","No")))</f>
        <v/>
      </c>
      <c r="O267" s="15">
        <f>IF($C267="","",IF($M267="","",IF($M267&gt;=$J267,"Yes","No")))</f>
        <v/>
      </c>
      <c r="P267" s="15">
        <f>IF($C267="","",IF($K267="","",IF(COUNTIFS(nrES_PID,$D267,nrES_Code,$F267,nrES_Att,"&gt;"&amp;$K267)=0,"Yes","No")))</f>
        <v/>
      </c>
      <c r="Q267" s="15">
        <f>IF($C267="","",IF($L267="","",IF(AND($K267=1,$L267&lt;$J267,COUNTIFS(nrES_PID,$D267,nrES_Code,$F267,nrES_Att,2)=0),"Yes","No")))</f>
        <v/>
      </c>
      <c r="R267" s="15">
        <f>IF($C267="","",IF($L267="","",IF(AND($K267=2,$L267&lt;$J267,COUNTIFS(nrES_PID,$D267,nrES_Code,$F267,nrES_Att,1)&gt;0),"Yes","No")))</f>
        <v/>
      </c>
      <c r="S267" s="16" t="n"/>
      <c r="T267" s="17">
        <f>IF($Q267&lt;&gt;"Yes","",IF($S267="","(enter date)",_xlfn.LET(_xlpm.dn,IFERROR(_xlfn.XLOOKUP($S267,nrCDdate,nrCDnum),""),IF(_xlpm.dn="","(not a class day)",IFERROR(_xlfn.XLOOKUP(_xlpm.dn+cfgRetestClassDays,nrCDnum,nrCDdate),"")))))</f>
        <v/>
      </c>
      <c r="U267" s="15">
        <f>IF($Q267&lt;&gt;"Yes","",IF(COUNTIFS(nrES_PID,$D267,nrES_Code,$F267,nrES_Att,2)&gt;0,"Retested",IF(OR($T267="",NOT(ISNUMBER($T267))),"Pending",IF(TODAY()&gt;$T267,"OVERDUE","Due "&amp;TEXT($T267,"mm/dd")))))</f>
        <v/>
      </c>
      <c r="V267" s="14" t="n"/>
      <c r="W267" s="14" t="n"/>
    </row>
    <row r="268">
      <c r="B268" s="15">
        <f>IF($C268="","",$D268&amp;"-"&amp;$F268&amp;"-"&amp;$K268)</f>
        <v/>
      </c>
      <c r="C268" s="14" t="n"/>
      <c r="D268" s="15">
        <f>IF($C268="","",IFERROR(INDEX(rngCadetPIDs,MATCH($C268,rngCadetNames,0)),"?"))</f>
        <v/>
      </c>
      <c r="E268" s="15">
        <f>IF($D268="","",IFERROR(INDEX(nrCadetAgency,MATCH($D268,rngCadetPIDs,0)),""))</f>
        <v/>
      </c>
      <c r="F268" s="14" t="n"/>
      <c r="G268" s="15">
        <f>IF($F268="","",IFERROR(INDEX(rngEPname,MATCH($F268,rngEPcode,0)),"?"))</f>
        <v/>
      </c>
      <c r="H268" s="15">
        <f>IF($F268="","",IFERROR(INDEX(rngEPtype,MATCH($F268,rngEPcode,0)),"?"))</f>
        <v/>
      </c>
      <c r="I268" s="15">
        <f>IF($F268="","",IFERROR(INDEX(rngEPseq,MATCH($F268,rngEPcode,0)),""))</f>
        <v/>
      </c>
      <c r="J268" s="15">
        <f>IF($F268="","",IFERROR(INDEX(rngEPpass,MATCH($F268,rngEPcode,0)),cfgPassingScore))</f>
        <v/>
      </c>
      <c r="K268" s="14" t="n"/>
      <c r="L268" s="14" t="n"/>
      <c r="M268" s="15">
        <f>IF($C268="","",IF($L268="","",IF($K268=1,IF(COUNTIFS(nrES_PID,$D268,nrES_Code,$F268,nrES_Att,2)&gt;0,"",$L268),IF(COUNTIFS(nrES_PID,$D268,nrES_Code,$F268,nrES_Att,1)=0,$L268,IF($L268&gt;=$J268,cfgRetakeRecordedCap,SUMIFS(nrES_Raw,nrES_PID,$D268,nrES_Code,$F268,nrES_Att,1))))))</f>
        <v/>
      </c>
      <c r="N268" s="15">
        <f>IF($C268="","",IF($L268="","",IF($L268&gt;=$J268,"Yes","No")))</f>
        <v/>
      </c>
      <c r="O268" s="15">
        <f>IF($C268="","",IF($M268="","",IF($M268&gt;=$J268,"Yes","No")))</f>
        <v/>
      </c>
      <c r="P268" s="15">
        <f>IF($C268="","",IF($K268="","",IF(COUNTIFS(nrES_PID,$D268,nrES_Code,$F268,nrES_Att,"&gt;"&amp;$K268)=0,"Yes","No")))</f>
        <v/>
      </c>
      <c r="Q268" s="15">
        <f>IF($C268="","",IF($L268="","",IF(AND($K268=1,$L268&lt;$J268,COUNTIFS(nrES_PID,$D268,nrES_Code,$F268,nrES_Att,2)=0),"Yes","No")))</f>
        <v/>
      </c>
      <c r="R268" s="15">
        <f>IF($C268="","",IF($L268="","",IF(AND($K268=2,$L268&lt;$J268,COUNTIFS(nrES_PID,$D268,nrES_Code,$F268,nrES_Att,1)&gt;0),"Yes","No")))</f>
        <v/>
      </c>
      <c r="S268" s="16" t="n"/>
      <c r="T268" s="17">
        <f>IF($Q268&lt;&gt;"Yes","",IF($S268="","(enter date)",_xlfn.LET(_xlpm.dn,IFERROR(_xlfn.XLOOKUP($S268,nrCDdate,nrCDnum),""),IF(_xlpm.dn="","(not a class day)",IFERROR(_xlfn.XLOOKUP(_xlpm.dn+cfgRetestClassDays,nrCDnum,nrCDdate),"")))))</f>
        <v/>
      </c>
      <c r="U268" s="15">
        <f>IF($Q268&lt;&gt;"Yes","",IF(COUNTIFS(nrES_PID,$D268,nrES_Code,$F268,nrES_Att,2)&gt;0,"Retested",IF(OR($T268="",NOT(ISNUMBER($T268))),"Pending",IF(TODAY()&gt;$T268,"OVERDUE","Due "&amp;TEXT($T268,"mm/dd")))))</f>
        <v/>
      </c>
      <c r="V268" s="14" t="n"/>
      <c r="W268" s="14" t="n"/>
    </row>
    <row r="269">
      <c r="B269" s="15">
        <f>IF($C269="","",$D269&amp;"-"&amp;$F269&amp;"-"&amp;$K269)</f>
        <v/>
      </c>
      <c r="C269" s="14" t="n"/>
      <c r="D269" s="15">
        <f>IF($C269="","",IFERROR(INDEX(rngCadetPIDs,MATCH($C269,rngCadetNames,0)),"?"))</f>
        <v/>
      </c>
      <c r="E269" s="15">
        <f>IF($D269="","",IFERROR(INDEX(nrCadetAgency,MATCH($D269,rngCadetPIDs,0)),""))</f>
        <v/>
      </c>
      <c r="F269" s="14" t="n"/>
      <c r="G269" s="15">
        <f>IF($F269="","",IFERROR(INDEX(rngEPname,MATCH($F269,rngEPcode,0)),"?"))</f>
        <v/>
      </c>
      <c r="H269" s="15">
        <f>IF($F269="","",IFERROR(INDEX(rngEPtype,MATCH($F269,rngEPcode,0)),"?"))</f>
        <v/>
      </c>
      <c r="I269" s="15">
        <f>IF($F269="","",IFERROR(INDEX(rngEPseq,MATCH($F269,rngEPcode,0)),""))</f>
        <v/>
      </c>
      <c r="J269" s="15">
        <f>IF($F269="","",IFERROR(INDEX(rngEPpass,MATCH($F269,rngEPcode,0)),cfgPassingScore))</f>
        <v/>
      </c>
      <c r="K269" s="14" t="n"/>
      <c r="L269" s="14" t="n"/>
      <c r="M269" s="15">
        <f>IF($C269="","",IF($L269="","",IF($K269=1,IF(COUNTIFS(nrES_PID,$D269,nrES_Code,$F269,nrES_Att,2)&gt;0,"",$L269),IF(COUNTIFS(nrES_PID,$D269,nrES_Code,$F269,nrES_Att,1)=0,$L269,IF($L269&gt;=$J269,cfgRetakeRecordedCap,SUMIFS(nrES_Raw,nrES_PID,$D269,nrES_Code,$F269,nrES_Att,1))))))</f>
        <v/>
      </c>
      <c r="N269" s="15">
        <f>IF($C269="","",IF($L269="","",IF($L269&gt;=$J269,"Yes","No")))</f>
        <v/>
      </c>
      <c r="O269" s="15">
        <f>IF($C269="","",IF($M269="","",IF($M269&gt;=$J269,"Yes","No")))</f>
        <v/>
      </c>
      <c r="P269" s="15">
        <f>IF($C269="","",IF($K269="","",IF(COUNTIFS(nrES_PID,$D269,nrES_Code,$F269,nrES_Att,"&gt;"&amp;$K269)=0,"Yes","No")))</f>
        <v/>
      </c>
      <c r="Q269" s="15">
        <f>IF($C269="","",IF($L269="","",IF(AND($K269=1,$L269&lt;$J269,COUNTIFS(nrES_PID,$D269,nrES_Code,$F269,nrES_Att,2)=0),"Yes","No")))</f>
        <v/>
      </c>
      <c r="R269" s="15">
        <f>IF($C269="","",IF($L269="","",IF(AND($K269=2,$L269&lt;$J269,COUNTIFS(nrES_PID,$D269,nrES_Code,$F269,nrES_Att,1)&gt;0),"Yes","No")))</f>
        <v/>
      </c>
      <c r="S269" s="16" t="n"/>
      <c r="T269" s="17">
        <f>IF($Q269&lt;&gt;"Yes","",IF($S269="","(enter date)",_xlfn.LET(_xlpm.dn,IFERROR(_xlfn.XLOOKUP($S269,nrCDdate,nrCDnum),""),IF(_xlpm.dn="","(not a class day)",IFERROR(_xlfn.XLOOKUP(_xlpm.dn+cfgRetestClassDays,nrCDnum,nrCDdate),"")))))</f>
        <v/>
      </c>
      <c r="U269" s="15">
        <f>IF($Q269&lt;&gt;"Yes","",IF(COUNTIFS(nrES_PID,$D269,nrES_Code,$F269,nrES_Att,2)&gt;0,"Retested",IF(OR($T269="",NOT(ISNUMBER($T269))),"Pending",IF(TODAY()&gt;$T269,"OVERDUE","Due "&amp;TEXT($T269,"mm/dd")))))</f>
        <v/>
      </c>
      <c r="V269" s="14" t="n"/>
      <c r="W269" s="14" t="n"/>
    </row>
    <row r="270">
      <c r="B270" s="15">
        <f>IF($C270="","",$D270&amp;"-"&amp;$F270&amp;"-"&amp;$K270)</f>
        <v/>
      </c>
      <c r="C270" s="14" t="n"/>
      <c r="D270" s="15">
        <f>IF($C270="","",IFERROR(INDEX(rngCadetPIDs,MATCH($C270,rngCadetNames,0)),"?"))</f>
        <v/>
      </c>
      <c r="E270" s="15">
        <f>IF($D270="","",IFERROR(INDEX(nrCadetAgency,MATCH($D270,rngCadetPIDs,0)),""))</f>
        <v/>
      </c>
      <c r="F270" s="14" t="n"/>
      <c r="G270" s="15">
        <f>IF($F270="","",IFERROR(INDEX(rngEPname,MATCH($F270,rngEPcode,0)),"?"))</f>
        <v/>
      </c>
      <c r="H270" s="15">
        <f>IF($F270="","",IFERROR(INDEX(rngEPtype,MATCH($F270,rngEPcode,0)),"?"))</f>
        <v/>
      </c>
      <c r="I270" s="15">
        <f>IF($F270="","",IFERROR(INDEX(rngEPseq,MATCH($F270,rngEPcode,0)),""))</f>
        <v/>
      </c>
      <c r="J270" s="15">
        <f>IF($F270="","",IFERROR(INDEX(rngEPpass,MATCH($F270,rngEPcode,0)),cfgPassingScore))</f>
        <v/>
      </c>
      <c r="K270" s="14" t="n"/>
      <c r="L270" s="14" t="n"/>
      <c r="M270" s="15">
        <f>IF($C270="","",IF($L270="","",IF($K270=1,IF(COUNTIFS(nrES_PID,$D270,nrES_Code,$F270,nrES_Att,2)&gt;0,"",$L270),IF(COUNTIFS(nrES_PID,$D270,nrES_Code,$F270,nrES_Att,1)=0,$L270,IF($L270&gt;=$J270,cfgRetakeRecordedCap,SUMIFS(nrES_Raw,nrES_PID,$D270,nrES_Code,$F270,nrES_Att,1))))))</f>
        <v/>
      </c>
      <c r="N270" s="15">
        <f>IF($C270="","",IF($L270="","",IF($L270&gt;=$J270,"Yes","No")))</f>
        <v/>
      </c>
      <c r="O270" s="15">
        <f>IF($C270="","",IF($M270="","",IF($M270&gt;=$J270,"Yes","No")))</f>
        <v/>
      </c>
      <c r="P270" s="15">
        <f>IF($C270="","",IF($K270="","",IF(COUNTIFS(nrES_PID,$D270,nrES_Code,$F270,nrES_Att,"&gt;"&amp;$K270)=0,"Yes","No")))</f>
        <v/>
      </c>
      <c r="Q270" s="15">
        <f>IF($C270="","",IF($L270="","",IF(AND($K270=1,$L270&lt;$J270,COUNTIFS(nrES_PID,$D270,nrES_Code,$F270,nrES_Att,2)=0),"Yes","No")))</f>
        <v/>
      </c>
      <c r="R270" s="15">
        <f>IF($C270="","",IF($L270="","",IF(AND($K270=2,$L270&lt;$J270,COUNTIFS(nrES_PID,$D270,nrES_Code,$F270,nrES_Att,1)&gt;0),"Yes","No")))</f>
        <v/>
      </c>
      <c r="S270" s="16" t="n"/>
      <c r="T270" s="17">
        <f>IF($Q270&lt;&gt;"Yes","",IF($S270="","(enter date)",_xlfn.LET(_xlpm.dn,IFERROR(_xlfn.XLOOKUP($S270,nrCDdate,nrCDnum),""),IF(_xlpm.dn="","(not a class day)",IFERROR(_xlfn.XLOOKUP(_xlpm.dn+cfgRetestClassDays,nrCDnum,nrCDdate),"")))))</f>
        <v/>
      </c>
      <c r="U270" s="15">
        <f>IF($Q270&lt;&gt;"Yes","",IF(COUNTIFS(nrES_PID,$D270,nrES_Code,$F270,nrES_Att,2)&gt;0,"Retested",IF(OR($T270="",NOT(ISNUMBER($T270))),"Pending",IF(TODAY()&gt;$T270,"OVERDUE","Due "&amp;TEXT($T270,"mm/dd")))))</f>
        <v/>
      </c>
      <c r="V270" s="14" t="n"/>
      <c r="W270" s="14" t="n"/>
    </row>
    <row r="271">
      <c r="B271" s="15">
        <f>IF($C271="","",$D271&amp;"-"&amp;$F271&amp;"-"&amp;$K271)</f>
        <v/>
      </c>
      <c r="C271" s="14" t="n"/>
      <c r="D271" s="15">
        <f>IF($C271="","",IFERROR(INDEX(rngCadetPIDs,MATCH($C271,rngCadetNames,0)),"?"))</f>
        <v/>
      </c>
      <c r="E271" s="15">
        <f>IF($D271="","",IFERROR(INDEX(nrCadetAgency,MATCH($D271,rngCadetPIDs,0)),""))</f>
        <v/>
      </c>
      <c r="F271" s="14" t="n"/>
      <c r="G271" s="15">
        <f>IF($F271="","",IFERROR(INDEX(rngEPname,MATCH($F271,rngEPcode,0)),"?"))</f>
        <v/>
      </c>
      <c r="H271" s="15">
        <f>IF($F271="","",IFERROR(INDEX(rngEPtype,MATCH($F271,rngEPcode,0)),"?"))</f>
        <v/>
      </c>
      <c r="I271" s="15">
        <f>IF($F271="","",IFERROR(INDEX(rngEPseq,MATCH($F271,rngEPcode,0)),""))</f>
        <v/>
      </c>
      <c r="J271" s="15">
        <f>IF($F271="","",IFERROR(INDEX(rngEPpass,MATCH($F271,rngEPcode,0)),cfgPassingScore))</f>
        <v/>
      </c>
      <c r="K271" s="14" t="n"/>
      <c r="L271" s="14" t="n"/>
      <c r="M271" s="15">
        <f>IF($C271="","",IF($L271="","",IF($K271=1,IF(COUNTIFS(nrES_PID,$D271,nrES_Code,$F271,nrES_Att,2)&gt;0,"",$L271),IF(COUNTIFS(nrES_PID,$D271,nrES_Code,$F271,nrES_Att,1)=0,$L271,IF($L271&gt;=$J271,cfgRetakeRecordedCap,SUMIFS(nrES_Raw,nrES_PID,$D271,nrES_Code,$F271,nrES_Att,1))))))</f>
        <v/>
      </c>
      <c r="N271" s="15">
        <f>IF($C271="","",IF($L271="","",IF($L271&gt;=$J271,"Yes","No")))</f>
        <v/>
      </c>
      <c r="O271" s="15">
        <f>IF($C271="","",IF($M271="","",IF($M271&gt;=$J271,"Yes","No")))</f>
        <v/>
      </c>
      <c r="P271" s="15">
        <f>IF($C271="","",IF($K271="","",IF(COUNTIFS(nrES_PID,$D271,nrES_Code,$F271,nrES_Att,"&gt;"&amp;$K271)=0,"Yes","No")))</f>
        <v/>
      </c>
      <c r="Q271" s="15">
        <f>IF($C271="","",IF($L271="","",IF(AND($K271=1,$L271&lt;$J271,COUNTIFS(nrES_PID,$D271,nrES_Code,$F271,nrES_Att,2)=0),"Yes","No")))</f>
        <v/>
      </c>
      <c r="R271" s="15">
        <f>IF($C271="","",IF($L271="","",IF(AND($K271=2,$L271&lt;$J271,COUNTIFS(nrES_PID,$D271,nrES_Code,$F271,nrES_Att,1)&gt;0),"Yes","No")))</f>
        <v/>
      </c>
      <c r="S271" s="16" t="n"/>
      <c r="T271" s="17">
        <f>IF($Q271&lt;&gt;"Yes","",IF($S271="","(enter date)",_xlfn.LET(_xlpm.dn,IFERROR(_xlfn.XLOOKUP($S271,nrCDdate,nrCDnum),""),IF(_xlpm.dn="","(not a class day)",IFERROR(_xlfn.XLOOKUP(_xlpm.dn+cfgRetestClassDays,nrCDnum,nrCDdate),"")))))</f>
        <v/>
      </c>
      <c r="U271" s="15">
        <f>IF($Q271&lt;&gt;"Yes","",IF(COUNTIFS(nrES_PID,$D271,nrES_Code,$F271,nrES_Att,2)&gt;0,"Retested",IF(OR($T271="",NOT(ISNUMBER($T271))),"Pending",IF(TODAY()&gt;$T271,"OVERDUE","Due "&amp;TEXT($T271,"mm/dd")))))</f>
        <v/>
      </c>
      <c r="V271" s="14" t="n"/>
      <c r="W271" s="14" t="n"/>
    </row>
    <row r="272">
      <c r="B272" s="15">
        <f>IF($C272="","",$D272&amp;"-"&amp;$F272&amp;"-"&amp;$K272)</f>
        <v/>
      </c>
      <c r="C272" s="14" t="n"/>
      <c r="D272" s="15">
        <f>IF($C272="","",IFERROR(INDEX(rngCadetPIDs,MATCH($C272,rngCadetNames,0)),"?"))</f>
        <v/>
      </c>
      <c r="E272" s="15">
        <f>IF($D272="","",IFERROR(INDEX(nrCadetAgency,MATCH($D272,rngCadetPIDs,0)),""))</f>
        <v/>
      </c>
      <c r="F272" s="14" t="n"/>
      <c r="G272" s="15">
        <f>IF($F272="","",IFERROR(INDEX(rngEPname,MATCH($F272,rngEPcode,0)),"?"))</f>
        <v/>
      </c>
      <c r="H272" s="15">
        <f>IF($F272="","",IFERROR(INDEX(rngEPtype,MATCH($F272,rngEPcode,0)),"?"))</f>
        <v/>
      </c>
      <c r="I272" s="15">
        <f>IF($F272="","",IFERROR(INDEX(rngEPseq,MATCH($F272,rngEPcode,0)),""))</f>
        <v/>
      </c>
      <c r="J272" s="15">
        <f>IF($F272="","",IFERROR(INDEX(rngEPpass,MATCH($F272,rngEPcode,0)),cfgPassingScore))</f>
        <v/>
      </c>
      <c r="K272" s="14" t="n"/>
      <c r="L272" s="14" t="n"/>
      <c r="M272" s="15">
        <f>IF($C272="","",IF($L272="","",IF($K272=1,IF(COUNTIFS(nrES_PID,$D272,nrES_Code,$F272,nrES_Att,2)&gt;0,"",$L272),IF(COUNTIFS(nrES_PID,$D272,nrES_Code,$F272,nrES_Att,1)=0,$L272,IF($L272&gt;=$J272,cfgRetakeRecordedCap,SUMIFS(nrES_Raw,nrES_PID,$D272,nrES_Code,$F272,nrES_Att,1))))))</f>
        <v/>
      </c>
      <c r="N272" s="15">
        <f>IF($C272="","",IF($L272="","",IF($L272&gt;=$J272,"Yes","No")))</f>
        <v/>
      </c>
      <c r="O272" s="15">
        <f>IF($C272="","",IF($M272="","",IF($M272&gt;=$J272,"Yes","No")))</f>
        <v/>
      </c>
      <c r="P272" s="15">
        <f>IF($C272="","",IF($K272="","",IF(COUNTIFS(nrES_PID,$D272,nrES_Code,$F272,nrES_Att,"&gt;"&amp;$K272)=0,"Yes","No")))</f>
        <v/>
      </c>
      <c r="Q272" s="15">
        <f>IF($C272="","",IF($L272="","",IF(AND($K272=1,$L272&lt;$J272,COUNTIFS(nrES_PID,$D272,nrES_Code,$F272,nrES_Att,2)=0),"Yes","No")))</f>
        <v/>
      </c>
      <c r="R272" s="15">
        <f>IF($C272="","",IF($L272="","",IF(AND($K272=2,$L272&lt;$J272,COUNTIFS(nrES_PID,$D272,nrES_Code,$F272,nrES_Att,1)&gt;0),"Yes","No")))</f>
        <v/>
      </c>
      <c r="S272" s="16" t="n"/>
      <c r="T272" s="17">
        <f>IF($Q272&lt;&gt;"Yes","",IF($S272="","(enter date)",_xlfn.LET(_xlpm.dn,IFERROR(_xlfn.XLOOKUP($S272,nrCDdate,nrCDnum),""),IF(_xlpm.dn="","(not a class day)",IFERROR(_xlfn.XLOOKUP(_xlpm.dn+cfgRetestClassDays,nrCDnum,nrCDdate),"")))))</f>
        <v/>
      </c>
      <c r="U272" s="15">
        <f>IF($Q272&lt;&gt;"Yes","",IF(COUNTIFS(nrES_PID,$D272,nrES_Code,$F272,nrES_Att,2)&gt;0,"Retested",IF(OR($T272="",NOT(ISNUMBER($T272))),"Pending",IF(TODAY()&gt;$T272,"OVERDUE","Due "&amp;TEXT($T272,"mm/dd")))))</f>
        <v/>
      </c>
      <c r="V272" s="14" t="n"/>
      <c r="W272" s="14" t="n"/>
    </row>
    <row r="273">
      <c r="B273" s="15">
        <f>IF($C273="","",$D273&amp;"-"&amp;$F273&amp;"-"&amp;$K273)</f>
        <v/>
      </c>
      <c r="C273" s="14" t="n"/>
      <c r="D273" s="15">
        <f>IF($C273="","",IFERROR(INDEX(rngCadetPIDs,MATCH($C273,rngCadetNames,0)),"?"))</f>
        <v/>
      </c>
      <c r="E273" s="15">
        <f>IF($D273="","",IFERROR(INDEX(nrCadetAgency,MATCH($D273,rngCadetPIDs,0)),""))</f>
        <v/>
      </c>
      <c r="F273" s="14" t="n"/>
      <c r="G273" s="15">
        <f>IF($F273="","",IFERROR(INDEX(rngEPname,MATCH($F273,rngEPcode,0)),"?"))</f>
        <v/>
      </c>
      <c r="H273" s="15">
        <f>IF($F273="","",IFERROR(INDEX(rngEPtype,MATCH($F273,rngEPcode,0)),"?"))</f>
        <v/>
      </c>
      <c r="I273" s="15">
        <f>IF($F273="","",IFERROR(INDEX(rngEPseq,MATCH($F273,rngEPcode,0)),""))</f>
        <v/>
      </c>
      <c r="J273" s="15">
        <f>IF($F273="","",IFERROR(INDEX(rngEPpass,MATCH($F273,rngEPcode,0)),cfgPassingScore))</f>
        <v/>
      </c>
      <c r="K273" s="14" t="n"/>
      <c r="L273" s="14" t="n"/>
      <c r="M273" s="15">
        <f>IF($C273="","",IF($L273="","",IF($K273=1,IF(COUNTIFS(nrES_PID,$D273,nrES_Code,$F273,nrES_Att,2)&gt;0,"",$L273),IF(COUNTIFS(nrES_PID,$D273,nrES_Code,$F273,nrES_Att,1)=0,$L273,IF($L273&gt;=$J273,cfgRetakeRecordedCap,SUMIFS(nrES_Raw,nrES_PID,$D273,nrES_Code,$F273,nrES_Att,1))))))</f>
        <v/>
      </c>
      <c r="N273" s="15">
        <f>IF($C273="","",IF($L273="","",IF($L273&gt;=$J273,"Yes","No")))</f>
        <v/>
      </c>
      <c r="O273" s="15">
        <f>IF($C273="","",IF($M273="","",IF($M273&gt;=$J273,"Yes","No")))</f>
        <v/>
      </c>
      <c r="P273" s="15">
        <f>IF($C273="","",IF($K273="","",IF(COUNTIFS(nrES_PID,$D273,nrES_Code,$F273,nrES_Att,"&gt;"&amp;$K273)=0,"Yes","No")))</f>
        <v/>
      </c>
      <c r="Q273" s="15">
        <f>IF($C273="","",IF($L273="","",IF(AND($K273=1,$L273&lt;$J273,COUNTIFS(nrES_PID,$D273,nrES_Code,$F273,nrES_Att,2)=0),"Yes","No")))</f>
        <v/>
      </c>
      <c r="R273" s="15">
        <f>IF($C273="","",IF($L273="","",IF(AND($K273=2,$L273&lt;$J273,COUNTIFS(nrES_PID,$D273,nrES_Code,$F273,nrES_Att,1)&gt;0),"Yes","No")))</f>
        <v/>
      </c>
      <c r="S273" s="16" t="n"/>
      <c r="T273" s="17">
        <f>IF($Q273&lt;&gt;"Yes","",IF($S273="","(enter date)",_xlfn.LET(_xlpm.dn,IFERROR(_xlfn.XLOOKUP($S273,nrCDdate,nrCDnum),""),IF(_xlpm.dn="","(not a class day)",IFERROR(_xlfn.XLOOKUP(_xlpm.dn+cfgRetestClassDays,nrCDnum,nrCDdate),"")))))</f>
        <v/>
      </c>
      <c r="U273" s="15">
        <f>IF($Q273&lt;&gt;"Yes","",IF(COUNTIFS(nrES_PID,$D273,nrES_Code,$F273,nrES_Att,2)&gt;0,"Retested",IF(OR($T273="",NOT(ISNUMBER($T273))),"Pending",IF(TODAY()&gt;$T273,"OVERDUE","Due "&amp;TEXT($T273,"mm/dd")))))</f>
        <v/>
      </c>
      <c r="V273" s="14" t="n"/>
      <c r="W273" s="14" t="n"/>
    </row>
    <row r="274">
      <c r="B274" s="15">
        <f>IF($C274="","",$D274&amp;"-"&amp;$F274&amp;"-"&amp;$K274)</f>
        <v/>
      </c>
      <c r="C274" s="14" t="n"/>
      <c r="D274" s="15">
        <f>IF($C274="","",IFERROR(INDEX(rngCadetPIDs,MATCH($C274,rngCadetNames,0)),"?"))</f>
        <v/>
      </c>
      <c r="E274" s="15">
        <f>IF($D274="","",IFERROR(INDEX(nrCadetAgency,MATCH($D274,rngCadetPIDs,0)),""))</f>
        <v/>
      </c>
      <c r="F274" s="14" t="n"/>
      <c r="G274" s="15">
        <f>IF($F274="","",IFERROR(INDEX(rngEPname,MATCH($F274,rngEPcode,0)),"?"))</f>
        <v/>
      </c>
      <c r="H274" s="15">
        <f>IF($F274="","",IFERROR(INDEX(rngEPtype,MATCH($F274,rngEPcode,0)),"?"))</f>
        <v/>
      </c>
      <c r="I274" s="15">
        <f>IF($F274="","",IFERROR(INDEX(rngEPseq,MATCH($F274,rngEPcode,0)),""))</f>
        <v/>
      </c>
      <c r="J274" s="15">
        <f>IF($F274="","",IFERROR(INDEX(rngEPpass,MATCH($F274,rngEPcode,0)),cfgPassingScore))</f>
        <v/>
      </c>
      <c r="K274" s="14" t="n"/>
      <c r="L274" s="14" t="n"/>
      <c r="M274" s="15">
        <f>IF($C274="","",IF($L274="","",IF($K274=1,IF(COUNTIFS(nrES_PID,$D274,nrES_Code,$F274,nrES_Att,2)&gt;0,"",$L274),IF(COUNTIFS(nrES_PID,$D274,nrES_Code,$F274,nrES_Att,1)=0,$L274,IF($L274&gt;=$J274,cfgRetakeRecordedCap,SUMIFS(nrES_Raw,nrES_PID,$D274,nrES_Code,$F274,nrES_Att,1))))))</f>
        <v/>
      </c>
      <c r="N274" s="15">
        <f>IF($C274="","",IF($L274="","",IF($L274&gt;=$J274,"Yes","No")))</f>
        <v/>
      </c>
      <c r="O274" s="15">
        <f>IF($C274="","",IF($M274="","",IF($M274&gt;=$J274,"Yes","No")))</f>
        <v/>
      </c>
      <c r="P274" s="15">
        <f>IF($C274="","",IF($K274="","",IF(COUNTIFS(nrES_PID,$D274,nrES_Code,$F274,nrES_Att,"&gt;"&amp;$K274)=0,"Yes","No")))</f>
        <v/>
      </c>
      <c r="Q274" s="15">
        <f>IF($C274="","",IF($L274="","",IF(AND($K274=1,$L274&lt;$J274,COUNTIFS(nrES_PID,$D274,nrES_Code,$F274,nrES_Att,2)=0),"Yes","No")))</f>
        <v/>
      </c>
      <c r="R274" s="15">
        <f>IF($C274="","",IF($L274="","",IF(AND($K274=2,$L274&lt;$J274,COUNTIFS(nrES_PID,$D274,nrES_Code,$F274,nrES_Att,1)&gt;0),"Yes","No")))</f>
        <v/>
      </c>
      <c r="S274" s="16" t="n"/>
      <c r="T274" s="17">
        <f>IF($Q274&lt;&gt;"Yes","",IF($S274="","(enter date)",_xlfn.LET(_xlpm.dn,IFERROR(_xlfn.XLOOKUP($S274,nrCDdate,nrCDnum),""),IF(_xlpm.dn="","(not a class day)",IFERROR(_xlfn.XLOOKUP(_xlpm.dn+cfgRetestClassDays,nrCDnum,nrCDdate),"")))))</f>
        <v/>
      </c>
      <c r="U274" s="15">
        <f>IF($Q274&lt;&gt;"Yes","",IF(COUNTIFS(nrES_PID,$D274,nrES_Code,$F274,nrES_Att,2)&gt;0,"Retested",IF(OR($T274="",NOT(ISNUMBER($T274))),"Pending",IF(TODAY()&gt;$T274,"OVERDUE","Due "&amp;TEXT($T274,"mm/dd")))))</f>
        <v/>
      </c>
      <c r="V274" s="14" t="n"/>
      <c r="W274" s="14" t="n"/>
    </row>
    <row r="275">
      <c r="B275" s="15">
        <f>IF($C275="","",$D275&amp;"-"&amp;$F275&amp;"-"&amp;$K275)</f>
        <v/>
      </c>
      <c r="C275" s="14" t="n"/>
      <c r="D275" s="15">
        <f>IF($C275="","",IFERROR(INDEX(rngCadetPIDs,MATCH($C275,rngCadetNames,0)),"?"))</f>
        <v/>
      </c>
      <c r="E275" s="15">
        <f>IF($D275="","",IFERROR(INDEX(nrCadetAgency,MATCH($D275,rngCadetPIDs,0)),""))</f>
        <v/>
      </c>
      <c r="F275" s="14" t="n"/>
      <c r="G275" s="15">
        <f>IF($F275="","",IFERROR(INDEX(rngEPname,MATCH($F275,rngEPcode,0)),"?"))</f>
        <v/>
      </c>
      <c r="H275" s="15">
        <f>IF($F275="","",IFERROR(INDEX(rngEPtype,MATCH($F275,rngEPcode,0)),"?"))</f>
        <v/>
      </c>
      <c r="I275" s="15">
        <f>IF($F275="","",IFERROR(INDEX(rngEPseq,MATCH($F275,rngEPcode,0)),""))</f>
        <v/>
      </c>
      <c r="J275" s="15">
        <f>IF($F275="","",IFERROR(INDEX(rngEPpass,MATCH($F275,rngEPcode,0)),cfgPassingScore))</f>
        <v/>
      </c>
      <c r="K275" s="14" t="n"/>
      <c r="L275" s="14" t="n"/>
      <c r="M275" s="15">
        <f>IF($C275="","",IF($L275="","",IF($K275=1,IF(COUNTIFS(nrES_PID,$D275,nrES_Code,$F275,nrES_Att,2)&gt;0,"",$L275),IF(COUNTIFS(nrES_PID,$D275,nrES_Code,$F275,nrES_Att,1)=0,$L275,IF($L275&gt;=$J275,cfgRetakeRecordedCap,SUMIFS(nrES_Raw,nrES_PID,$D275,nrES_Code,$F275,nrES_Att,1))))))</f>
        <v/>
      </c>
      <c r="N275" s="15">
        <f>IF($C275="","",IF($L275="","",IF($L275&gt;=$J275,"Yes","No")))</f>
        <v/>
      </c>
      <c r="O275" s="15">
        <f>IF($C275="","",IF($M275="","",IF($M275&gt;=$J275,"Yes","No")))</f>
        <v/>
      </c>
      <c r="P275" s="15">
        <f>IF($C275="","",IF($K275="","",IF(COUNTIFS(nrES_PID,$D275,nrES_Code,$F275,nrES_Att,"&gt;"&amp;$K275)=0,"Yes","No")))</f>
        <v/>
      </c>
      <c r="Q275" s="15">
        <f>IF($C275="","",IF($L275="","",IF(AND($K275=1,$L275&lt;$J275,COUNTIFS(nrES_PID,$D275,nrES_Code,$F275,nrES_Att,2)=0),"Yes","No")))</f>
        <v/>
      </c>
      <c r="R275" s="15">
        <f>IF($C275="","",IF($L275="","",IF(AND($K275=2,$L275&lt;$J275,COUNTIFS(nrES_PID,$D275,nrES_Code,$F275,nrES_Att,1)&gt;0),"Yes","No")))</f>
        <v/>
      </c>
      <c r="S275" s="16" t="n"/>
      <c r="T275" s="17">
        <f>IF($Q275&lt;&gt;"Yes","",IF($S275="","(enter date)",_xlfn.LET(_xlpm.dn,IFERROR(_xlfn.XLOOKUP($S275,nrCDdate,nrCDnum),""),IF(_xlpm.dn="","(not a class day)",IFERROR(_xlfn.XLOOKUP(_xlpm.dn+cfgRetestClassDays,nrCDnum,nrCDdate),"")))))</f>
        <v/>
      </c>
      <c r="U275" s="15">
        <f>IF($Q275&lt;&gt;"Yes","",IF(COUNTIFS(nrES_PID,$D275,nrES_Code,$F275,nrES_Att,2)&gt;0,"Retested",IF(OR($T275="",NOT(ISNUMBER($T275))),"Pending",IF(TODAY()&gt;$T275,"OVERDUE","Due "&amp;TEXT($T275,"mm/dd")))))</f>
        <v/>
      </c>
      <c r="V275" s="14" t="n"/>
      <c r="W275" s="14" t="n"/>
    </row>
    <row r="276">
      <c r="B276" s="15">
        <f>IF($C276="","",$D276&amp;"-"&amp;$F276&amp;"-"&amp;$K276)</f>
        <v/>
      </c>
      <c r="C276" s="14" t="n"/>
      <c r="D276" s="15">
        <f>IF($C276="","",IFERROR(INDEX(rngCadetPIDs,MATCH($C276,rngCadetNames,0)),"?"))</f>
        <v/>
      </c>
      <c r="E276" s="15">
        <f>IF($D276="","",IFERROR(INDEX(nrCadetAgency,MATCH($D276,rngCadetPIDs,0)),""))</f>
        <v/>
      </c>
      <c r="F276" s="14" t="n"/>
      <c r="G276" s="15">
        <f>IF($F276="","",IFERROR(INDEX(rngEPname,MATCH($F276,rngEPcode,0)),"?"))</f>
        <v/>
      </c>
      <c r="H276" s="15">
        <f>IF($F276="","",IFERROR(INDEX(rngEPtype,MATCH($F276,rngEPcode,0)),"?"))</f>
        <v/>
      </c>
      <c r="I276" s="15">
        <f>IF($F276="","",IFERROR(INDEX(rngEPseq,MATCH($F276,rngEPcode,0)),""))</f>
        <v/>
      </c>
      <c r="J276" s="15">
        <f>IF($F276="","",IFERROR(INDEX(rngEPpass,MATCH($F276,rngEPcode,0)),cfgPassingScore))</f>
        <v/>
      </c>
      <c r="K276" s="14" t="n"/>
      <c r="L276" s="14" t="n"/>
      <c r="M276" s="15">
        <f>IF($C276="","",IF($L276="","",IF($K276=1,IF(COUNTIFS(nrES_PID,$D276,nrES_Code,$F276,nrES_Att,2)&gt;0,"",$L276),IF(COUNTIFS(nrES_PID,$D276,nrES_Code,$F276,nrES_Att,1)=0,$L276,IF($L276&gt;=$J276,cfgRetakeRecordedCap,SUMIFS(nrES_Raw,nrES_PID,$D276,nrES_Code,$F276,nrES_Att,1))))))</f>
        <v/>
      </c>
      <c r="N276" s="15">
        <f>IF($C276="","",IF($L276="","",IF($L276&gt;=$J276,"Yes","No")))</f>
        <v/>
      </c>
      <c r="O276" s="15">
        <f>IF($C276="","",IF($M276="","",IF($M276&gt;=$J276,"Yes","No")))</f>
        <v/>
      </c>
      <c r="P276" s="15">
        <f>IF($C276="","",IF($K276="","",IF(COUNTIFS(nrES_PID,$D276,nrES_Code,$F276,nrES_Att,"&gt;"&amp;$K276)=0,"Yes","No")))</f>
        <v/>
      </c>
      <c r="Q276" s="15">
        <f>IF($C276="","",IF($L276="","",IF(AND($K276=1,$L276&lt;$J276,COUNTIFS(nrES_PID,$D276,nrES_Code,$F276,nrES_Att,2)=0),"Yes","No")))</f>
        <v/>
      </c>
      <c r="R276" s="15">
        <f>IF($C276="","",IF($L276="","",IF(AND($K276=2,$L276&lt;$J276,COUNTIFS(nrES_PID,$D276,nrES_Code,$F276,nrES_Att,1)&gt;0),"Yes","No")))</f>
        <v/>
      </c>
      <c r="S276" s="16" t="n"/>
      <c r="T276" s="17">
        <f>IF($Q276&lt;&gt;"Yes","",IF($S276="","(enter date)",_xlfn.LET(_xlpm.dn,IFERROR(_xlfn.XLOOKUP($S276,nrCDdate,nrCDnum),""),IF(_xlpm.dn="","(not a class day)",IFERROR(_xlfn.XLOOKUP(_xlpm.dn+cfgRetestClassDays,nrCDnum,nrCDdate),"")))))</f>
        <v/>
      </c>
      <c r="U276" s="15">
        <f>IF($Q276&lt;&gt;"Yes","",IF(COUNTIFS(nrES_PID,$D276,nrES_Code,$F276,nrES_Att,2)&gt;0,"Retested",IF(OR($T276="",NOT(ISNUMBER($T276))),"Pending",IF(TODAY()&gt;$T276,"OVERDUE","Due "&amp;TEXT($T276,"mm/dd")))))</f>
        <v/>
      </c>
      <c r="V276" s="14" t="n"/>
      <c r="W276" s="14" t="n"/>
    </row>
    <row r="277">
      <c r="B277" s="15">
        <f>IF($C277="","",$D277&amp;"-"&amp;$F277&amp;"-"&amp;$K277)</f>
        <v/>
      </c>
      <c r="C277" s="14" t="n"/>
      <c r="D277" s="15">
        <f>IF($C277="","",IFERROR(INDEX(rngCadetPIDs,MATCH($C277,rngCadetNames,0)),"?"))</f>
        <v/>
      </c>
      <c r="E277" s="15">
        <f>IF($D277="","",IFERROR(INDEX(nrCadetAgency,MATCH($D277,rngCadetPIDs,0)),""))</f>
        <v/>
      </c>
      <c r="F277" s="14" t="n"/>
      <c r="G277" s="15">
        <f>IF($F277="","",IFERROR(INDEX(rngEPname,MATCH($F277,rngEPcode,0)),"?"))</f>
        <v/>
      </c>
      <c r="H277" s="15">
        <f>IF($F277="","",IFERROR(INDEX(rngEPtype,MATCH($F277,rngEPcode,0)),"?"))</f>
        <v/>
      </c>
      <c r="I277" s="15">
        <f>IF($F277="","",IFERROR(INDEX(rngEPseq,MATCH($F277,rngEPcode,0)),""))</f>
        <v/>
      </c>
      <c r="J277" s="15">
        <f>IF($F277="","",IFERROR(INDEX(rngEPpass,MATCH($F277,rngEPcode,0)),cfgPassingScore))</f>
        <v/>
      </c>
      <c r="K277" s="14" t="n"/>
      <c r="L277" s="14" t="n"/>
      <c r="M277" s="15">
        <f>IF($C277="","",IF($L277="","",IF($K277=1,IF(COUNTIFS(nrES_PID,$D277,nrES_Code,$F277,nrES_Att,2)&gt;0,"",$L277),IF(COUNTIFS(nrES_PID,$D277,nrES_Code,$F277,nrES_Att,1)=0,$L277,IF($L277&gt;=$J277,cfgRetakeRecordedCap,SUMIFS(nrES_Raw,nrES_PID,$D277,nrES_Code,$F277,nrES_Att,1))))))</f>
        <v/>
      </c>
      <c r="N277" s="15">
        <f>IF($C277="","",IF($L277="","",IF($L277&gt;=$J277,"Yes","No")))</f>
        <v/>
      </c>
      <c r="O277" s="15">
        <f>IF($C277="","",IF($M277="","",IF($M277&gt;=$J277,"Yes","No")))</f>
        <v/>
      </c>
      <c r="P277" s="15">
        <f>IF($C277="","",IF($K277="","",IF(COUNTIFS(nrES_PID,$D277,nrES_Code,$F277,nrES_Att,"&gt;"&amp;$K277)=0,"Yes","No")))</f>
        <v/>
      </c>
      <c r="Q277" s="15">
        <f>IF($C277="","",IF($L277="","",IF(AND($K277=1,$L277&lt;$J277,COUNTIFS(nrES_PID,$D277,nrES_Code,$F277,nrES_Att,2)=0),"Yes","No")))</f>
        <v/>
      </c>
      <c r="R277" s="15">
        <f>IF($C277="","",IF($L277="","",IF(AND($K277=2,$L277&lt;$J277,COUNTIFS(nrES_PID,$D277,nrES_Code,$F277,nrES_Att,1)&gt;0),"Yes","No")))</f>
        <v/>
      </c>
      <c r="S277" s="16" t="n"/>
      <c r="T277" s="17">
        <f>IF($Q277&lt;&gt;"Yes","",IF($S277="","(enter date)",_xlfn.LET(_xlpm.dn,IFERROR(_xlfn.XLOOKUP($S277,nrCDdate,nrCDnum),""),IF(_xlpm.dn="","(not a class day)",IFERROR(_xlfn.XLOOKUP(_xlpm.dn+cfgRetestClassDays,nrCDnum,nrCDdate),"")))))</f>
        <v/>
      </c>
      <c r="U277" s="15">
        <f>IF($Q277&lt;&gt;"Yes","",IF(COUNTIFS(nrES_PID,$D277,nrES_Code,$F277,nrES_Att,2)&gt;0,"Retested",IF(OR($T277="",NOT(ISNUMBER($T277))),"Pending",IF(TODAY()&gt;$T277,"OVERDUE","Due "&amp;TEXT($T277,"mm/dd")))))</f>
        <v/>
      </c>
      <c r="V277" s="14" t="n"/>
      <c r="W277" s="14" t="n"/>
    </row>
    <row r="278">
      <c r="B278" s="15">
        <f>IF($C278="","",$D278&amp;"-"&amp;$F278&amp;"-"&amp;$K278)</f>
        <v/>
      </c>
      <c r="C278" s="14" t="n"/>
      <c r="D278" s="15">
        <f>IF($C278="","",IFERROR(INDEX(rngCadetPIDs,MATCH($C278,rngCadetNames,0)),"?"))</f>
        <v/>
      </c>
      <c r="E278" s="15">
        <f>IF($D278="","",IFERROR(INDEX(nrCadetAgency,MATCH($D278,rngCadetPIDs,0)),""))</f>
        <v/>
      </c>
      <c r="F278" s="14" t="n"/>
      <c r="G278" s="15">
        <f>IF($F278="","",IFERROR(INDEX(rngEPname,MATCH($F278,rngEPcode,0)),"?"))</f>
        <v/>
      </c>
      <c r="H278" s="15">
        <f>IF($F278="","",IFERROR(INDEX(rngEPtype,MATCH($F278,rngEPcode,0)),"?"))</f>
        <v/>
      </c>
      <c r="I278" s="15">
        <f>IF($F278="","",IFERROR(INDEX(rngEPseq,MATCH($F278,rngEPcode,0)),""))</f>
        <v/>
      </c>
      <c r="J278" s="15">
        <f>IF($F278="","",IFERROR(INDEX(rngEPpass,MATCH($F278,rngEPcode,0)),cfgPassingScore))</f>
        <v/>
      </c>
      <c r="K278" s="14" t="n"/>
      <c r="L278" s="14" t="n"/>
      <c r="M278" s="15">
        <f>IF($C278="","",IF($L278="","",IF($K278=1,IF(COUNTIFS(nrES_PID,$D278,nrES_Code,$F278,nrES_Att,2)&gt;0,"",$L278),IF(COUNTIFS(nrES_PID,$D278,nrES_Code,$F278,nrES_Att,1)=0,$L278,IF($L278&gt;=$J278,cfgRetakeRecordedCap,SUMIFS(nrES_Raw,nrES_PID,$D278,nrES_Code,$F278,nrES_Att,1))))))</f>
        <v/>
      </c>
      <c r="N278" s="15">
        <f>IF($C278="","",IF($L278="","",IF($L278&gt;=$J278,"Yes","No")))</f>
        <v/>
      </c>
      <c r="O278" s="15">
        <f>IF($C278="","",IF($M278="","",IF($M278&gt;=$J278,"Yes","No")))</f>
        <v/>
      </c>
      <c r="P278" s="15">
        <f>IF($C278="","",IF($K278="","",IF(COUNTIFS(nrES_PID,$D278,nrES_Code,$F278,nrES_Att,"&gt;"&amp;$K278)=0,"Yes","No")))</f>
        <v/>
      </c>
      <c r="Q278" s="15">
        <f>IF($C278="","",IF($L278="","",IF(AND($K278=1,$L278&lt;$J278,COUNTIFS(nrES_PID,$D278,nrES_Code,$F278,nrES_Att,2)=0),"Yes","No")))</f>
        <v/>
      </c>
      <c r="R278" s="15">
        <f>IF($C278="","",IF($L278="","",IF(AND($K278=2,$L278&lt;$J278,COUNTIFS(nrES_PID,$D278,nrES_Code,$F278,nrES_Att,1)&gt;0),"Yes","No")))</f>
        <v/>
      </c>
      <c r="S278" s="16" t="n"/>
      <c r="T278" s="17">
        <f>IF($Q278&lt;&gt;"Yes","",IF($S278="","(enter date)",_xlfn.LET(_xlpm.dn,IFERROR(_xlfn.XLOOKUP($S278,nrCDdate,nrCDnum),""),IF(_xlpm.dn="","(not a class day)",IFERROR(_xlfn.XLOOKUP(_xlpm.dn+cfgRetestClassDays,nrCDnum,nrCDdate),"")))))</f>
        <v/>
      </c>
      <c r="U278" s="15">
        <f>IF($Q278&lt;&gt;"Yes","",IF(COUNTIFS(nrES_PID,$D278,nrES_Code,$F278,nrES_Att,2)&gt;0,"Retested",IF(OR($T278="",NOT(ISNUMBER($T278))),"Pending",IF(TODAY()&gt;$T278,"OVERDUE","Due "&amp;TEXT($T278,"mm/dd")))))</f>
        <v/>
      </c>
      <c r="V278" s="14" t="n"/>
      <c r="W278" s="14" t="n"/>
    </row>
    <row r="279">
      <c r="B279" s="15">
        <f>IF($C279="","",$D279&amp;"-"&amp;$F279&amp;"-"&amp;$K279)</f>
        <v/>
      </c>
      <c r="C279" s="14" t="n"/>
      <c r="D279" s="15">
        <f>IF($C279="","",IFERROR(INDEX(rngCadetPIDs,MATCH($C279,rngCadetNames,0)),"?"))</f>
        <v/>
      </c>
      <c r="E279" s="15">
        <f>IF($D279="","",IFERROR(INDEX(nrCadetAgency,MATCH($D279,rngCadetPIDs,0)),""))</f>
        <v/>
      </c>
      <c r="F279" s="14" t="n"/>
      <c r="G279" s="15">
        <f>IF($F279="","",IFERROR(INDEX(rngEPname,MATCH($F279,rngEPcode,0)),"?"))</f>
        <v/>
      </c>
      <c r="H279" s="15">
        <f>IF($F279="","",IFERROR(INDEX(rngEPtype,MATCH($F279,rngEPcode,0)),"?"))</f>
        <v/>
      </c>
      <c r="I279" s="15">
        <f>IF($F279="","",IFERROR(INDEX(rngEPseq,MATCH($F279,rngEPcode,0)),""))</f>
        <v/>
      </c>
      <c r="J279" s="15">
        <f>IF($F279="","",IFERROR(INDEX(rngEPpass,MATCH($F279,rngEPcode,0)),cfgPassingScore))</f>
        <v/>
      </c>
      <c r="K279" s="14" t="n"/>
      <c r="L279" s="14" t="n"/>
      <c r="M279" s="15">
        <f>IF($C279="","",IF($L279="","",IF($K279=1,IF(COUNTIFS(nrES_PID,$D279,nrES_Code,$F279,nrES_Att,2)&gt;0,"",$L279),IF(COUNTIFS(nrES_PID,$D279,nrES_Code,$F279,nrES_Att,1)=0,$L279,IF($L279&gt;=$J279,cfgRetakeRecordedCap,SUMIFS(nrES_Raw,nrES_PID,$D279,nrES_Code,$F279,nrES_Att,1))))))</f>
        <v/>
      </c>
      <c r="N279" s="15">
        <f>IF($C279="","",IF($L279="","",IF($L279&gt;=$J279,"Yes","No")))</f>
        <v/>
      </c>
      <c r="O279" s="15">
        <f>IF($C279="","",IF($M279="","",IF($M279&gt;=$J279,"Yes","No")))</f>
        <v/>
      </c>
      <c r="P279" s="15">
        <f>IF($C279="","",IF($K279="","",IF(COUNTIFS(nrES_PID,$D279,nrES_Code,$F279,nrES_Att,"&gt;"&amp;$K279)=0,"Yes","No")))</f>
        <v/>
      </c>
      <c r="Q279" s="15">
        <f>IF($C279="","",IF($L279="","",IF(AND($K279=1,$L279&lt;$J279,COUNTIFS(nrES_PID,$D279,nrES_Code,$F279,nrES_Att,2)=0),"Yes","No")))</f>
        <v/>
      </c>
      <c r="R279" s="15">
        <f>IF($C279="","",IF($L279="","",IF(AND($K279=2,$L279&lt;$J279,COUNTIFS(nrES_PID,$D279,nrES_Code,$F279,nrES_Att,1)&gt;0),"Yes","No")))</f>
        <v/>
      </c>
      <c r="S279" s="16" t="n"/>
      <c r="T279" s="17">
        <f>IF($Q279&lt;&gt;"Yes","",IF($S279="","(enter date)",_xlfn.LET(_xlpm.dn,IFERROR(_xlfn.XLOOKUP($S279,nrCDdate,nrCDnum),""),IF(_xlpm.dn="","(not a class day)",IFERROR(_xlfn.XLOOKUP(_xlpm.dn+cfgRetestClassDays,nrCDnum,nrCDdate),"")))))</f>
        <v/>
      </c>
      <c r="U279" s="15">
        <f>IF($Q279&lt;&gt;"Yes","",IF(COUNTIFS(nrES_PID,$D279,nrES_Code,$F279,nrES_Att,2)&gt;0,"Retested",IF(OR($T279="",NOT(ISNUMBER($T279))),"Pending",IF(TODAY()&gt;$T279,"OVERDUE","Due "&amp;TEXT($T279,"mm/dd")))))</f>
        <v/>
      </c>
      <c r="V279" s="14" t="n"/>
      <c r="W279" s="14" t="n"/>
    </row>
    <row r="280">
      <c r="B280" s="15">
        <f>IF($C280="","",$D280&amp;"-"&amp;$F280&amp;"-"&amp;$K280)</f>
        <v/>
      </c>
      <c r="C280" s="14" t="n"/>
      <c r="D280" s="15">
        <f>IF($C280="","",IFERROR(INDEX(rngCadetPIDs,MATCH($C280,rngCadetNames,0)),"?"))</f>
        <v/>
      </c>
      <c r="E280" s="15">
        <f>IF($D280="","",IFERROR(INDEX(nrCadetAgency,MATCH($D280,rngCadetPIDs,0)),""))</f>
        <v/>
      </c>
      <c r="F280" s="14" t="n"/>
      <c r="G280" s="15">
        <f>IF($F280="","",IFERROR(INDEX(rngEPname,MATCH($F280,rngEPcode,0)),"?"))</f>
        <v/>
      </c>
      <c r="H280" s="15">
        <f>IF($F280="","",IFERROR(INDEX(rngEPtype,MATCH($F280,rngEPcode,0)),"?"))</f>
        <v/>
      </c>
      <c r="I280" s="15">
        <f>IF($F280="","",IFERROR(INDEX(rngEPseq,MATCH($F280,rngEPcode,0)),""))</f>
        <v/>
      </c>
      <c r="J280" s="15">
        <f>IF($F280="","",IFERROR(INDEX(rngEPpass,MATCH($F280,rngEPcode,0)),cfgPassingScore))</f>
        <v/>
      </c>
      <c r="K280" s="14" t="n"/>
      <c r="L280" s="14" t="n"/>
      <c r="M280" s="15">
        <f>IF($C280="","",IF($L280="","",IF($K280=1,IF(COUNTIFS(nrES_PID,$D280,nrES_Code,$F280,nrES_Att,2)&gt;0,"",$L280),IF(COUNTIFS(nrES_PID,$D280,nrES_Code,$F280,nrES_Att,1)=0,$L280,IF($L280&gt;=$J280,cfgRetakeRecordedCap,SUMIFS(nrES_Raw,nrES_PID,$D280,nrES_Code,$F280,nrES_Att,1))))))</f>
        <v/>
      </c>
      <c r="N280" s="15">
        <f>IF($C280="","",IF($L280="","",IF($L280&gt;=$J280,"Yes","No")))</f>
        <v/>
      </c>
      <c r="O280" s="15">
        <f>IF($C280="","",IF($M280="","",IF($M280&gt;=$J280,"Yes","No")))</f>
        <v/>
      </c>
      <c r="P280" s="15">
        <f>IF($C280="","",IF($K280="","",IF(COUNTIFS(nrES_PID,$D280,nrES_Code,$F280,nrES_Att,"&gt;"&amp;$K280)=0,"Yes","No")))</f>
        <v/>
      </c>
      <c r="Q280" s="15">
        <f>IF($C280="","",IF($L280="","",IF(AND($K280=1,$L280&lt;$J280,COUNTIFS(nrES_PID,$D280,nrES_Code,$F280,nrES_Att,2)=0),"Yes","No")))</f>
        <v/>
      </c>
      <c r="R280" s="15">
        <f>IF($C280="","",IF($L280="","",IF(AND($K280=2,$L280&lt;$J280,COUNTIFS(nrES_PID,$D280,nrES_Code,$F280,nrES_Att,1)&gt;0),"Yes","No")))</f>
        <v/>
      </c>
      <c r="S280" s="16" t="n"/>
      <c r="T280" s="17">
        <f>IF($Q280&lt;&gt;"Yes","",IF($S280="","(enter date)",_xlfn.LET(_xlpm.dn,IFERROR(_xlfn.XLOOKUP($S280,nrCDdate,nrCDnum),""),IF(_xlpm.dn="","(not a class day)",IFERROR(_xlfn.XLOOKUP(_xlpm.dn+cfgRetestClassDays,nrCDnum,nrCDdate),"")))))</f>
        <v/>
      </c>
      <c r="U280" s="15">
        <f>IF($Q280&lt;&gt;"Yes","",IF(COUNTIFS(nrES_PID,$D280,nrES_Code,$F280,nrES_Att,2)&gt;0,"Retested",IF(OR($T280="",NOT(ISNUMBER($T280))),"Pending",IF(TODAY()&gt;$T280,"OVERDUE","Due "&amp;TEXT($T280,"mm/dd")))))</f>
        <v/>
      </c>
      <c r="V280" s="14" t="n"/>
      <c r="W280" s="14" t="n"/>
    </row>
    <row r="281">
      <c r="B281" s="15">
        <f>IF($C281="","",$D281&amp;"-"&amp;$F281&amp;"-"&amp;$K281)</f>
        <v/>
      </c>
      <c r="C281" s="14" t="n"/>
      <c r="D281" s="15">
        <f>IF($C281="","",IFERROR(INDEX(rngCadetPIDs,MATCH($C281,rngCadetNames,0)),"?"))</f>
        <v/>
      </c>
      <c r="E281" s="15">
        <f>IF($D281="","",IFERROR(INDEX(nrCadetAgency,MATCH($D281,rngCadetPIDs,0)),""))</f>
        <v/>
      </c>
      <c r="F281" s="14" t="n"/>
      <c r="G281" s="15">
        <f>IF($F281="","",IFERROR(INDEX(rngEPname,MATCH($F281,rngEPcode,0)),"?"))</f>
        <v/>
      </c>
      <c r="H281" s="15">
        <f>IF($F281="","",IFERROR(INDEX(rngEPtype,MATCH($F281,rngEPcode,0)),"?"))</f>
        <v/>
      </c>
      <c r="I281" s="15">
        <f>IF($F281="","",IFERROR(INDEX(rngEPseq,MATCH($F281,rngEPcode,0)),""))</f>
        <v/>
      </c>
      <c r="J281" s="15">
        <f>IF($F281="","",IFERROR(INDEX(rngEPpass,MATCH($F281,rngEPcode,0)),cfgPassingScore))</f>
        <v/>
      </c>
      <c r="K281" s="14" t="n"/>
      <c r="L281" s="14" t="n"/>
      <c r="M281" s="15">
        <f>IF($C281="","",IF($L281="","",IF($K281=1,IF(COUNTIFS(nrES_PID,$D281,nrES_Code,$F281,nrES_Att,2)&gt;0,"",$L281),IF(COUNTIFS(nrES_PID,$D281,nrES_Code,$F281,nrES_Att,1)=0,$L281,IF($L281&gt;=$J281,cfgRetakeRecordedCap,SUMIFS(nrES_Raw,nrES_PID,$D281,nrES_Code,$F281,nrES_Att,1))))))</f>
        <v/>
      </c>
      <c r="N281" s="15">
        <f>IF($C281="","",IF($L281="","",IF($L281&gt;=$J281,"Yes","No")))</f>
        <v/>
      </c>
      <c r="O281" s="15">
        <f>IF($C281="","",IF($M281="","",IF($M281&gt;=$J281,"Yes","No")))</f>
        <v/>
      </c>
      <c r="P281" s="15">
        <f>IF($C281="","",IF($K281="","",IF(COUNTIFS(nrES_PID,$D281,nrES_Code,$F281,nrES_Att,"&gt;"&amp;$K281)=0,"Yes","No")))</f>
        <v/>
      </c>
      <c r="Q281" s="15">
        <f>IF($C281="","",IF($L281="","",IF(AND($K281=1,$L281&lt;$J281,COUNTIFS(nrES_PID,$D281,nrES_Code,$F281,nrES_Att,2)=0),"Yes","No")))</f>
        <v/>
      </c>
      <c r="R281" s="15">
        <f>IF($C281="","",IF($L281="","",IF(AND($K281=2,$L281&lt;$J281,COUNTIFS(nrES_PID,$D281,nrES_Code,$F281,nrES_Att,1)&gt;0),"Yes","No")))</f>
        <v/>
      </c>
      <c r="S281" s="16" t="n"/>
      <c r="T281" s="17">
        <f>IF($Q281&lt;&gt;"Yes","",IF($S281="","(enter date)",_xlfn.LET(_xlpm.dn,IFERROR(_xlfn.XLOOKUP($S281,nrCDdate,nrCDnum),""),IF(_xlpm.dn="","(not a class day)",IFERROR(_xlfn.XLOOKUP(_xlpm.dn+cfgRetestClassDays,nrCDnum,nrCDdate),"")))))</f>
        <v/>
      </c>
      <c r="U281" s="15">
        <f>IF($Q281&lt;&gt;"Yes","",IF(COUNTIFS(nrES_PID,$D281,nrES_Code,$F281,nrES_Att,2)&gt;0,"Retested",IF(OR($T281="",NOT(ISNUMBER($T281))),"Pending",IF(TODAY()&gt;$T281,"OVERDUE","Due "&amp;TEXT($T281,"mm/dd")))))</f>
        <v/>
      </c>
      <c r="V281" s="14" t="n"/>
      <c r="W281" s="14" t="n"/>
    </row>
    <row r="282">
      <c r="B282" s="15">
        <f>IF($C282="","",$D282&amp;"-"&amp;$F282&amp;"-"&amp;$K282)</f>
        <v/>
      </c>
      <c r="C282" s="14" t="n"/>
      <c r="D282" s="15">
        <f>IF($C282="","",IFERROR(INDEX(rngCadetPIDs,MATCH($C282,rngCadetNames,0)),"?"))</f>
        <v/>
      </c>
      <c r="E282" s="15">
        <f>IF($D282="","",IFERROR(INDEX(nrCadetAgency,MATCH($D282,rngCadetPIDs,0)),""))</f>
        <v/>
      </c>
      <c r="F282" s="14" t="n"/>
      <c r="G282" s="15">
        <f>IF($F282="","",IFERROR(INDEX(rngEPname,MATCH($F282,rngEPcode,0)),"?"))</f>
        <v/>
      </c>
      <c r="H282" s="15">
        <f>IF($F282="","",IFERROR(INDEX(rngEPtype,MATCH($F282,rngEPcode,0)),"?"))</f>
        <v/>
      </c>
      <c r="I282" s="15">
        <f>IF($F282="","",IFERROR(INDEX(rngEPseq,MATCH($F282,rngEPcode,0)),""))</f>
        <v/>
      </c>
      <c r="J282" s="15">
        <f>IF($F282="","",IFERROR(INDEX(rngEPpass,MATCH($F282,rngEPcode,0)),cfgPassingScore))</f>
        <v/>
      </c>
      <c r="K282" s="14" t="n"/>
      <c r="L282" s="14" t="n"/>
      <c r="M282" s="15">
        <f>IF($C282="","",IF($L282="","",IF($K282=1,IF(COUNTIFS(nrES_PID,$D282,nrES_Code,$F282,nrES_Att,2)&gt;0,"",$L282),IF(COUNTIFS(nrES_PID,$D282,nrES_Code,$F282,nrES_Att,1)=0,$L282,IF($L282&gt;=$J282,cfgRetakeRecordedCap,SUMIFS(nrES_Raw,nrES_PID,$D282,nrES_Code,$F282,nrES_Att,1))))))</f>
        <v/>
      </c>
      <c r="N282" s="15">
        <f>IF($C282="","",IF($L282="","",IF($L282&gt;=$J282,"Yes","No")))</f>
        <v/>
      </c>
      <c r="O282" s="15">
        <f>IF($C282="","",IF($M282="","",IF($M282&gt;=$J282,"Yes","No")))</f>
        <v/>
      </c>
      <c r="P282" s="15">
        <f>IF($C282="","",IF($K282="","",IF(COUNTIFS(nrES_PID,$D282,nrES_Code,$F282,nrES_Att,"&gt;"&amp;$K282)=0,"Yes","No")))</f>
        <v/>
      </c>
      <c r="Q282" s="15">
        <f>IF($C282="","",IF($L282="","",IF(AND($K282=1,$L282&lt;$J282,COUNTIFS(nrES_PID,$D282,nrES_Code,$F282,nrES_Att,2)=0),"Yes","No")))</f>
        <v/>
      </c>
      <c r="R282" s="15">
        <f>IF($C282="","",IF($L282="","",IF(AND($K282=2,$L282&lt;$J282,COUNTIFS(nrES_PID,$D282,nrES_Code,$F282,nrES_Att,1)&gt;0),"Yes","No")))</f>
        <v/>
      </c>
      <c r="S282" s="16" t="n"/>
      <c r="T282" s="17">
        <f>IF($Q282&lt;&gt;"Yes","",IF($S282="","(enter date)",_xlfn.LET(_xlpm.dn,IFERROR(_xlfn.XLOOKUP($S282,nrCDdate,nrCDnum),""),IF(_xlpm.dn="","(not a class day)",IFERROR(_xlfn.XLOOKUP(_xlpm.dn+cfgRetestClassDays,nrCDnum,nrCDdate),"")))))</f>
        <v/>
      </c>
      <c r="U282" s="15">
        <f>IF($Q282&lt;&gt;"Yes","",IF(COUNTIFS(nrES_PID,$D282,nrES_Code,$F282,nrES_Att,2)&gt;0,"Retested",IF(OR($T282="",NOT(ISNUMBER($T282))),"Pending",IF(TODAY()&gt;$T282,"OVERDUE","Due "&amp;TEXT($T282,"mm/dd")))))</f>
        <v/>
      </c>
      <c r="V282" s="14" t="n"/>
      <c r="W282" s="14" t="n"/>
    </row>
    <row r="283">
      <c r="B283" s="15">
        <f>IF($C283="","",$D283&amp;"-"&amp;$F283&amp;"-"&amp;$K283)</f>
        <v/>
      </c>
      <c r="C283" s="14" t="n"/>
      <c r="D283" s="15">
        <f>IF($C283="","",IFERROR(INDEX(rngCadetPIDs,MATCH($C283,rngCadetNames,0)),"?"))</f>
        <v/>
      </c>
      <c r="E283" s="15">
        <f>IF($D283="","",IFERROR(INDEX(nrCadetAgency,MATCH($D283,rngCadetPIDs,0)),""))</f>
        <v/>
      </c>
      <c r="F283" s="14" t="n"/>
      <c r="G283" s="15">
        <f>IF($F283="","",IFERROR(INDEX(rngEPname,MATCH($F283,rngEPcode,0)),"?"))</f>
        <v/>
      </c>
      <c r="H283" s="15">
        <f>IF($F283="","",IFERROR(INDEX(rngEPtype,MATCH($F283,rngEPcode,0)),"?"))</f>
        <v/>
      </c>
      <c r="I283" s="15">
        <f>IF($F283="","",IFERROR(INDEX(rngEPseq,MATCH($F283,rngEPcode,0)),""))</f>
        <v/>
      </c>
      <c r="J283" s="15">
        <f>IF($F283="","",IFERROR(INDEX(rngEPpass,MATCH($F283,rngEPcode,0)),cfgPassingScore))</f>
        <v/>
      </c>
      <c r="K283" s="14" t="n"/>
      <c r="L283" s="14" t="n"/>
      <c r="M283" s="15">
        <f>IF($C283="","",IF($L283="","",IF($K283=1,IF(COUNTIFS(nrES_PID,$D283,nrES_Code,$F283,nrES_Att,2)&gt;0,"",$L283),IF(COUNTIFS(nrES_PID,$D283,nrES_Code,$F283,nrES_Att,1)=0,$L283,IF($L283&gt;=$J283,cfgRetakeRecordedCap,SUMIFS(nrES_Raw,nrES_PID,$D283,nrES_Code,$F283,nrES_Att,1))))))</f>
        <v/>
      </c>
      <c r="N283" s="15">
        <f>IF($C283="","",IF($L283="","",IF($L283&gt;=$J283,"Yes","No")))</f>
        <v/>
      </c>
      <c r="O283" s="15">
        <f>IF($C283="","",IF($M283="","",IF($M283&gt;=$J283,"Yes","No")))</f>
        <v/>
      </c>
      <c r="P283" s="15">
        <f>IF($C283="","",IF($K283="","",IF(COUNTIFS(nrES_PID,$D283,nrES_Code,$F283,nrES_Att,"&gt;"&amp;$K283)=0,"Yes","No")))</f>
        <v/>
      </c>
      <c r="Q283" s="15">
        <f>IF($C283="","",IF($L283="","",IF(AND($K283=1,$L283&lt;$J283,COUNTIFS(nrES_PID,$D283,nrES_Code,$F283,nrES_Att,2)=0),"Yes","No")))</f>
        <v/>
      </c>
      <c r="R283" s="15">
        <f>IF($C283="","",IF($L283="","",IF(AND($K283=2,$L283&lt;$J283,COUNTIFS(nrES_PID,$D283,nrES_Code,$F283,nrES_Att,1)&gt;0),"Yes","No")))</f>
        <v/>
      </c>
      <c r="S283" s="16" t="n"/>
      <c r="T283" s="17">
        <f>IF($Q283&lt;&gt;"Yes","",IF($S283="","(enter date)",_xlfn.LET(_xlpm.dn,IFERROR(_xlfn.XLOOKUP($S283,nrCDdate,nrCDnum),""),IF(_xlpm.dn="","(not a class day)",IFERROR(_xlfn.XLOOKUP(_xlpm.dn+cfgRetestClassDays,nrCDnum,nrCDdate),"")))))</f>
        <v/>
      </c>
      <c r="U283" s="15">
        <f>IF($Q283&lt;&gt;"Yes","",IF(COUNTIFS(nrES_PID,$D283,nrES_Code,$F283,nrES_Att,2)&gt;0,"Retested",IF(OR($T283="",NOT(ISNUMBER($T283))),"Pending",IF(TODAY()&gt;$T283,"OVERDUE","Due "&amp;TEXT($T283,"mm/dd")))))</f>
        <v/>
      </c>
      <c r="V283" s="14" t="n"/>
      <c r="W283" s="14" t="n"/>
    </row>
    <row r="284">
      <c r="B284" s="15">
        <f>IF($C284="","",$D284&amp;"-"&amp;$F284&amp;"-"&amp;$K284)</f>
        <v/>
      </c>
      <c r="C284" s="14" t="n"/>
      <c r="D284" s="15">
        <f>IF($C284="","",IFERROR(INDEX(rngCadetPIDs,MATCH($C284,rngCadetNames,0)),"?"))</f>
        <v/>
      </c>
      <c r="E284" s="15">
        <f>IF($D284="","",IFERROR(INDEX(nrCadetAgency,MATCH($D284,rngCadetPIDs,0)),""))</f>
        <v/>
      </c>
      <c r="F284" s="14" t="n"/>
      <c r="G284" s="15">
        <f>IF($F284="","",IFERROR(INDEX(rngEPname,MATCH($F284,rngEPcode,0)),"?"))</f>
        <v/>
      </c>
      <c r="H284" s="15">
        <f>IF($F284="","",IFERROR(INDEX(rngEPtype,MATCH($F284,rngEPcode,0)),"?"))</f>
        <v/>
      </c>
      <c r="I284" s="15">
        <f>IF($F284="","",IFERROR(INDEX(rngEPseq,MATCH($F284,rngEPcode,0)),""))</f>
        <v/>
      </c>
      <c r="J284" s="15">
        <f>IF($F284="","",IFERROR(INDEX(rngEPpass,MATCH($F284,rngEPcode,0)),cfgPassingScore))</f>
        <v/>
      </c>
      <c r="K284" s="14" t="n"/>
      <c r="L284" s="14" t="n"/>
      <c r="M284" s="15">
        <f>IF($C284="","",IF($L284="","",IF($K284=1,IF(COUNTIFS(nrES_PID,$D284,nrES_Code,$F284,nrES_Att,2)&gt;0,"",$L284),IF(COUNTIFS(nrES_PID,$D284,nrES_Code,$F284,nrES_Att,1)=0,$L284,IF($L284&gt;=$J284,cfgRetakeRecordedCap,SUMIFS(nrES_Raw,nrES_PID,$D284,nrES_Code,$F284,nrES_Att,1))))))</f>
        <v/>
      </c>
      <c r="N284" s="15">
        <f>IF($C284="","",IF($L284="","",IF($L284&gt;=$J284,"Yes","No")))</f>
        <v/>
      </c>
      <c r="O284" s="15">
        <f>IF($C284="","",IF($M284="","",IF($M284&gt;=$J284,"Yes","No")))</f>
        <v/>
      </c>
      <c r="P284" s="15">
        <f>IF($C284="","",IF($K284="","",IF(COUNTIFS(nrES_PID,$D284,nrES_Code,$F284,nrES_Att,"&gt;"&amp;$K284)=0,"Yes","No")))</f>
        <v/>
      </c>
      <c r="Q284" s="15">
        <f>IF($C284="","",IF($L284="","",IF(AND($K284=1,$L284&lt;$J284,COUNTIFS(nrES_PID,$D284,nrES_Code,$F284,nrES_Att,2)=0),"Yes","No")))</f>
        <v/>
      </c>
      <c r="R284" s="15">
        <f>IF($C284="","",IF($L284="","",IF(AND($K284=2,$L284&lt;$J284,COUNTIFS(nrES_PID,$D284,nrES_Code,$F284,nrES_Att,1)&gt;0),"Yes","No")))</f>
        <v/>
      </c>
      <c r="S284" s="16" t="n"/>
      <c r="T284" s="17">
        <f>IF($Q284&lt;&gt;"Yes","",IF($S284="","(enter date)",_xlfn.LET(_xlpm.dn,IFERROR(_xlfn.XLOOKUP($S284,nrCDdate,nrCDnum),""),IF(_xlpm.dn="","(not a class day)",IFERROR(_xlfn.XLOOKUP(_xlpm.dn+cfgRetestClassDays,nrCDnum,nrCDdate),"")))))</f>
        <v/>
      </c>
      <c r="U284" s="15">
        <f>IF($Q284&lt;&gt;"Yes","",IF(COUNTIFS(nrES_PID,$D284,nrES_Code,$F284,nrES_Att,2)&gt;0,"Retested",IF(OR($T284="",NOT(ISNUMBER($T284))),"Pending",IF(TODAY()&gt;$T284,"OVERDUE","Due "&amp;TEXT($T284,"mm/dd")))))</f>
        <v/>
      </c>
      <c r="V284" s="14" t="n"/>
      <c r="W284" s="14" t="n"/>
    </row>
    <row r="285">
      <c r="B285" s="15">
        <f>IF($C285="","",$D285&amp;"-"&amp;$F285&amp;"-"&amp;$K285)</f>
        <v/>
      </c>
      <c r="C285" s="14" t="n"/>
      <c r="D285" s="15">
        <f>IF($C285="","",IFERROR(INDEX(rngCadetPIDs,MATCH($C285,rngCadetNames,0)),"?"))</f>
        <v/>
      </c>
      <c r="E285" s="15">
        <f>IF($D285="","",IFERROR(INDEX(nrCadetAgency,MATCH($D285,rngCadetPIDs,0)),""))</f>
        <v/>
      </c>
      <c r="F285" s="14" t="n"/>
      <c r="G285" s="15">
        <f>IF($F285="","",IFERROR(INDEX(rngEPname,MATCH($F285,rngEPcode,0)),"?"))</f>
        <v/>
      </c>
      <c r="H285" s="15">
        <f>IF($F285="","",IFERROR(INDEX(rngEPtype,MATCH($F285,rngEPcode,0)),"?"))</f>
        <v/>
      </c>
      <c r="I285" s="15">
        <f>IF($F285="","",IFERROR(INDEX(rngEPseq,MATCH($F285,rngEPcode,0)),""))</f>
        <v/>
      </c>
      <c r="J285" s="15">
        <f>IF($F285="","",IFERROR(INDEX(rngEPpass,MATCH($F285,rngEPcode,0)),cfgPassingScore))</f>
        <v/>
      </c>
      <c r="K285" s="14" t="n"/>
      <c r="L285" s="14" t="n"/>
      <c r="M285" s="15">
        <f>IF($C285="","",IF($L285="","",IF($K285=1,IF(COUNTIFS(nrES_PID,$D285,nrES_Code,$F285,nrES_Att,2)&gt;0,"",$L285),IF(COUNTIFS(nrES_PID,$D285,nrES_Code,$F285,nrES_Att,1)=0,$L285,IF($L285&gt;=$J285,cfgRetakeRecordedCap,SUMIFS(nrES_Raw,nrES_PID,$D285,nrES_Code,$F285,nrES_Att,1))))))</f>
        <v/>
      </c>
      <c r="N285" s="15">
        <f>IF($C285="","",IF($L285="","",IF($L285&gt;=$J285,"Yes","No")))</f>
        <v/>
      </c>
      <c r="O285" s="15">
        <f>IF($C285="","",IF($M285="","",IF($M285&gt;=$J285,"Yes","No")))</f>
        <v/>
      </c>
      <c r="P285" s="15">
        <f>IF($C285="","",IF($K285="","",IF(COUNTIFS(nrES_PID,$D285,nrES_Code,$F285,nrES_Att,"&gt;"&amp;$K285)=0,"Yes","No")))</f>
        <v/>
      </c>
      <c r="Q285" s="15">
        <f>IF($C285="","",IF($L285="","",IF(AND($K285=1,$L285&lt;$J285,COUNTIFS(nrES_PID,$D285,nrES_Code,$F285,nrES_Att,2)=0),"Yes","No")))</f>
        <v/>
      </c>
      <c r="R285" s="15">
        <f>IF($C285="","",IF($L285="","",IF(AND($K285=2,$L285&lt;$J285,COUNTIFS(nrES_PID,$D285,nrES_Code,$F285,nrES_Att,1)&gt;0),"Yes","No")))</f>
        <v/>
      </c>
      <c r="S285" s="16" t="n"/>
      <c r="T285" s="17">
        <f>IF($Q285&lt;&gt;"Yes","",IF($S285="","(enter date)",_xlfn.LET(_xlpm.dn,IFERROR(_xlfn.XLOOKUP($S285,nrCDdate,nrCDnum),""),IF(_xlpm.dn="","(not a class day)",IFERROR(_xlfn.XLOOKUP(_xlpm.dn+cfgRetestClassDays,nrCDnum,nrCDdate),"")))))</f>
        <v/>
      </c>
      <c r="U285" s="15">
        <f>IF($Q285&lt;&gt;"Yes","",IF(COUNTIFS(nrES_PID,$D285,nrES_Code,$F285,nrES_Att,2)&gt;0,"Retested",IF(OR($T285="",NOT(ISNUMBER($T285))),"Pending",IF(TODAY()&gt;$T285,"OVERDUE","Due "&amp;TEXT($T285,"mm/dd")))))</f>
        <v/>
      </c>
      <c r="V285" s="14" t="n"/>
      <c r="W285" s="14" t="n"/>
    </row>
    <row r="286">
      <c r="B286" s="15">
        <f>IF($C286="","",$D286&amp;"-"&amp;$F286&amp;"-"&amp;$K286)</f>
        <v/>
      </c>
      <c r="C286" s="14" t="n"/>
      <c r="D286" s="15">
        <f>IF($C286="","",IFERROR(INDEX(rngCadetPIDs,MATCH($C286,rngCadetNames,0)),"?"))</f>
        <v/>
      </c>
      <c r="E286" s="15">
        <f>IF($D286="","",IFERROR(INDEX(nrCadetAgency,MATCH($D286,rngCadetPIDs,0)),""))</f>
        <v/>
      </c>
      <c r="F286" s="14" t="n"/>
      <c r="G286" s="15">
        <f>IF($F286="","",IFERROR(INDEX(rngEPname,MATCH($F286,rngEPcode,0)),"?"))</f>
        <v/>
      </c>
      <c r="H286" s="15">
        <f>IF($F286="","",IFERROR(INDEX(rngEPtype,MATCH($F286,rngEPcode,0)),"?"))</f>
        <v/>
      </c>
      <c r="I286" s="15">
        <f>IF($F286="","",IFERROR(INDEX(rngEPseq,MATCH($F286,rngEPcode,0)),""))</f>
        <v/>
      </c>
      <c r="J286" s="15">
        <f>IF($F286="","",IFERROR(INDEX(rngEPpass,MATCH($F286,rngEPcode,0)),cfgPassingScore))</f>
        <v/>
      </c>
      <c r="K286" s="14" t="n"/>
      <c r="L286" s="14" t="n"/>
      <c r="M286" s="15">
        <f>IF($C286="","",IF($L286="","",IF($K286=1,IF(COUNTIFS(nrES_PID,$D286,nrES_Code,$F286,nrES_Att,2)&gt;0,"",$L286),IF(COUNTIFS(nrES_PID,$D286,nrES_Code,$F286,nrES_Att,1)=0,$L286,IF($L286&gt;=$J286,cfgRetakeRecordedCap,SUMIFS(nrES_Raw,nrES_PID,$D286,nrES_Code,$F286,nrES_Att,1))))))</f>
        <v/>
      </c>
      <c r="N286" s="15">
        <f>IF($C286="","",IF($L286="","",IF($L286&gt;=$J286,"Yes","No")))</f>
        <v/>
      </c>
      <c r="O286" s="15">
        <f>IF($C286="","",IF($M286="","",IF($M286&gt;=$J286,"Yes","No")))</f>
        <v/>
      </c>
      <c r="P286" s="15">
        <f>IF($C286="","",IF($K286="","",IF(COUNTIFS(nrES_PID,$D286,nrES_Code,$F286,nrES_Att,"&gt;"&amp;$K286)=0,"Yes","No")))</f>
        <v/>
      </c>
      <c r="Q286" s="15">
        <f>IF($C286="","",IF($L286="","",IF(AND($K286=1,$L286&lt;$J286,COUNTIFS(nrES_PID,$D286,nrES_Code,$F286,nrES_Att,2)=0),"Yes","No")))</f>
        <v/>
      </c>
      <c r="R286" s="15">
        <f>IF($C286="","",IF($L286="","",IF(AND($K286=2,$L286&lt;$J286,COUNTIFS(nrES_PID,$D286,nrES_Code,$F286,nrES_Att,1)&gt;0),"Yes","No")))</f>
        <v/>
      </c>
      <c r="S286" s="16" t="n"/>
      <c r="T286" s="17">
        <f>IF($Q286&lt;&gt;"Yes","",IF($S286="","(enter date)",_xlfn.LET(_xlpm.dn,IFERROR(_xlfn.XLOOKUP($S286,nrCDdate,nrCDnum),""),IF(_xlpm.dn="","(not a class day)",IFERROR(_xlfn.XLOOKUP(_xlpm.dn+cfgRetestClassDays,nrCDnum,nrCDdate),"")))))</f>
        <v/>
      </c>
      <c r="U286" s="15">
        <f>IF($Q286&lt;&gt;"Yes","",IF(COUNTIFS(nrES_PID,$D286,nrES_Code,$F286,nrES_Att,2)&gt;0,"Retested",IF(OR($T286="",NOT(ISNUMBER($T286))),"Pending",IF(TODAY()&gt;$T286,"OVERDUE","Due "&amp;TEXT($T286,"mm/dd")))))</f>
        <v/>
      </c>
      <c r="V286" s="14" t="n"/>
      <c r="W286" s="14" t="n"/>
    </row>
    <row r="287">
      <c r="B287" s="15">
        <f>IF($C287="","",$D287&amp;"-"&amp;$F287&amp;"-"&amp;$K287)</f>
        <v/>
      </c>
      <c r="C287" s="14" t="n"/>
      <c r="D287" s="15">
        <f>IF($C287="","",IFERROR(INDEX(rngCadetPIDs,MATCH($C287,rngCadetNames,0)),"?"))</f>
        <v/>
      </c>
      <c r="E287" s="15">
        <f>IF($D287="","",IFERROR(INDEX(nrCadetAgency,MATCH($D287,rngCadetPIDs,0)),""))</f>
        <v/>
      </c>
      <c r="F287" s="14" t="n"/>
      <c r="G287" s="15">
        <f>IF($F287="","",IFERROR(INDEX(rngEPname,MATCH($F287,rngEPcode,0)),"?"))</f>
        <v/>
      </c>
      <c r="H287" s="15">
        <f>IF($F287="","",IFERROR(INDEX(rngEPtype,MATCH($F287,rngEPcode,0)),"?"))</f>
        <v/>
      </c>
      <c r="I287" s="15">
        <f>IF($F287="","",IFERROR(INDEX(rngEPseq,MATCH($F287,rngEPcode,0)),""))</f>
        <v/>
      </c>
      <c r="J287" s="15">
        <f>IF($F287="","",IFERROR(INDEX(rngEPpass,MATCH($F287,rngEPcode,0)),cfgPassingScore))</f>
        <v/>
      </c>
      <c r="K287" s="14" t="n"/>
      <c r="L287" s="14" t="n"/>
      <c r="M287" s="15">
        <f>IF($C287="","",IF($L287="","",IF($K287=1,IF(COUNTIFS(nrES_PID,$D287,nrES_Code,$F287,nrES_Att,2)&gt;0,"",$L287),IF(COUNTIFS(nrES_PID,$D287,nrES_Code,$F287,nrES_Att,1)=0,$L287,IF($L287&gt;=$J287,cfgRetakeRecordedCap,SUMIFS(nrES_Raw,nrES_PID,$D287,nrES_Code,$F287,nrES_Att,1))))))</f>
        <v/>
      </c>
      <c r="N287" s="15">
        <f>IF($C287="","",IF($L287="","",IF($L287&gt;=$J287,"Yes","No")))</f>
        <v/>
      </c>
      <c r="O287" s="15">
        <f>IF($C287="","",IF($M287="","",IF($M287&gt;=$J287,"Yes","No")))</f>
        <v/>
      </c>
      <c r="P287" s="15">
        <f>IF($C287="","",IF($K287="","",IF(COUNTIFS(nrES_PID,$D287,nrES_Code,$F287,nrES_Att,"&gt;"&amp;$K287)=0,"Yes","No")))</f>
        <v/>
      </c>
      <c r="Q287" s="15">
        <f>IF($C287="","",IF($L287="","",IF(AND($K287=1,$L287&lt;$J287,COUNTIFS(nrES_PID,$D287,nrES_Code,$F287,nrES_Att,2)=0),"Yes","No")))</f>
        <v/>
      </c>
      <c r="R287" s="15">
        <f>IF($C287="","",IF($L287="","",IF(AND($K287=2,$L287&lt;$J287,COUNTIFS(nrES_PID,$D287,nrES_Code,$F287,nrES_Att,1)&gt;0),"Yes","No")))</f>
        <v/>
      </c>
      <c r="S287" s="16" t="n"/>
      <c r="T287" s="17">
        <f>IF($Q287&lt;&gt;"Yes","",IF($S287="","(enter date)",_xlfn.LET(_xlpm.dn,IFERROR(_xlfn.XLOOKUP($S287,nrCDdate,nrCDnum),""),IF(_xlpm.dn="","(not a class day)",IFERROR(_xlfn.XLOOKUP(_xlpm.dn+cfgRetestClassDays,nrCDnum,nrCDdate),"")))))</f>
        <v/>
      </c>
      <c r="U287" s="15">
        <f>IF($Q287&lt;&gt;"Yes","",IF(COUNTIFS(nrES_PID,$D287,nrES_Code,$F287,nrES_Att,2)&gt;0,"Retested",IF(OR($T287="",NOT(ISNUMBER($T287))),"Pending",IF(TODAY()&gt;$T287,"OVERDUE","Due "&amp;TEXT($T287,"mm/dd")))))</f>
        <v/>
      </c>
      <c r="V287" s="14" t="n"/>
      <c r="W287" s="14" t="n"/>
    </row>
    <row r="288">
      <c r="B288" s="15">
        <f>IF($C288="","",$D288&amp;"-"&amp;$F288&amp;"-"&amp;$K288)</f>
        <v/>
      </c>
      <c r="C288" s="14" t="n"/>
      <c r="D288" s="15">
        <f>IF($C288="","",IFERROR(INDEX(rngCadetPIDs,MATCH($C288,rngCadetNames,0)),"?"))</f>
        <v/>
      </c>
      <c r="E288" s="15">
        <f>IF($D288="","",IFERROR(INDEX(nrCadetAgency,MATCH($D288,rngCadetPIDs,0)),""))</f>
        <v/>
      </c>
      <c r="F288" s="14" t="n"/>
      <c r="G288" s="15">
        <f>IF($F288="","",IFERROR(INDEX(rngEPname,MATCH($F288,rngEPcode,0)),"?"))</f>
        <v/>
      </c>
      <c r="H288" s="15">
        <f>IF($F288="","",IFERROR(INDEX(rngEPtype,MATCH($F288,rngEPcode,0)),"?"))</f>
        <v/>
      </c>
      <c r="I288" s="15">
        <f>IF($F288="","",IFERROR(INDEX(rngEPseq,MATCH($F288,rngEPcode,0)),""))</f>
        <v/>
      </c>
      <c r="J288" s="15">
        <f>IF($F288="","",IFERROR(INDEX(rngEPpass,MATCH($F288,rngEPcode,0)),cfgPassingScore))</f>
        <v/>
      </c>
      <c r="K288" s="14" t="n"/>
      <c r="L288" s="14" t="n"/>
      <c r="M288" s="15">
        <f>IF($C288="","",IF($L288="","",IF($K288=1,IF(COUNTIFS(nrES_PID,$D288,nrES_Code,$F288,nrES_Att,2)&gt;0,"",$L288),IF(COUNTIFS(nrES_PID,$D288,nrES_Code,$F288,nrES_Att,1)=0,$L288,IF($L288&gt;=$J288,cfgRetakeRecordedCap,SUMIFS(nrES_Raw,nrES_PID,$D288,nrES_Code,$F288,nrES_Att,1))))))</f>
        <v/>
      </c>
      <c r="N288" s="15">
        <f>IF($C288="","",IF($L288="","",IF($L288&gt;=$J288,"Yes","No")))</f>
        <v/>
      </c>
      <c r="O288" s="15">
        <f>IF($C288="","",IF($M288="","",IF($M288&gt;=$J288,"Yes","No")))</f>
        <v/>
      </c>
      <c r="P288" s="15">
        <f>IF($C288="","",IF($K288="","",IF(COUNTIFS(nrES_PID,$D288,nrES_Code,$F288,nrES_Att,"&gt;"&amp;$K288)=0,"Yes","No")))</f>
        <v/>
      </c>
      <c r="Q288" s="15">
        <f>IF($C288="","",IF($L288="","",IF(AND($K288=1,$L288&lt;$J288,COUNTIFS(nrES_PID,$D288,nrES_Code,$F288,nrES_Att,2)=0),"Yes","No")))</f>
        <v/>
      </c>
      <c r="R288" s="15">
        <f>IF($C288="","",IF($L288="","",IF(AND($K288=2,$L288&lt;$J288,COUNTIFS(nrES_PID,$D288,nrES_Code,$F288,nrES_Att,1)&gt;0),"Yes","No")))</f>
        <v/>
      </c>
      <c r="S288" s="16" t="n"/>
      <c r="T288" s="17">
        <f>IF($Q288&lt;&gt;"Yes","",IF($S288="","(enter date)",_xlfn.LET(_xlpm.dn,IFERROR(_xlfn.XLOOKUP($S288,nrCDdate,nrCDnum),""),IF(_xlpm.dn="","(not a class day)",IFERROR(_xlfn.XLOOKUP(_xlpm.dn+cfgRetestClassDays,nrCDnum,nrCDdate),"")))))</f>
        <v/>
      </c>
      <c r="U288" s="15">
        <f>IF($Q288&lt;&gt;"Yes","",IF(COUNTIFS(nrES_PID,$D288,nrES_Code,$F288,nrES_Att,2)&gt;0,"Retested",IF(OR($T288="",NOT(ISNUMBER($T288))),"Pending",IF(TODAY()&gt;$T288,"OVERDUE","Due "&amp;TEXT($T288,"mm/dd")))))</f>
        <v/>
      </c>
      <c r="V288" s="14" t="n"/>
      <c r="W288" s="14" t="n"/>
    </row>
    <row r="289">
      <c r="B289" s="15">
        <f>IF($C289="","",$D289&amp;"-"&amp;$F289&amp;"-"&amp;$K289)</f>
        <v/>
      </c>
      <c r="C289" s="14" t="n"/>
      <c r="D289" s="15">
        <f>IF($C289="","",IFERROR(INDEX(rngCadetPIDs,MATCH($C289,rngCadetNames,0)),"?"))</f>
        <v/>
      </c>
      <c r="E289" s="15">
        <f>IF($D289="","",IFERROR(INDEX(nrCadetAgency,MATCH($D289,rngCadetPIDs,0)),""))</f>
        <v/>
      </c>
      <c r="F289" s="14" t="n"/>
      <c r="G289" s="15">
        <f>IF($F289="","",IFERROR(INDEX(rngEPname,MATCH($F289,rngEPcode,0)),"?"))</f>
        <v/>
      </c>
      <c r="H289" s="15">
        <f>IF($F289="","",IFERROR(INDEX(rngEPtype,MATCH($F289,rngEPcode,0)),"?"))</f>
        <v/>
      </c>
      <c r="I289" s="15">
        <f>IF($F289="","",IFERROR(INDEX(rngEPseq,MATCH($F289,rngEPcode,0)),""))</f>
        <v/>
      </c>
      <c r="J289" s="15">
        <f>IF($F289="","",IFERROR(INDEX(rngEPpass,MATCH($F289,rngEPcode,0)),cfgPassingScore))</f>
        <v/>
      </c>
      <c r="K289" s="14" t="n"/>
      <c r="L289" s="14" t="n"/>
      <c r="M289" s="15">
        <f>IF($C289="","",IF($L289="","",IF($K289=1,IF(COUNTIFS(nrES_PID,$D289,nrES_Code,$F289,nrES_Att,2)&gt;0,"",$L289),IF(COUNTIFS(nrES_PID,$D289,nrES_Code,$F289,nrES_Att,1)=0,$L289,IF($L289&gt;=$J289,cfgRetakeRecordedCap,SUMIFS(nrES_Raw,nrES_PID,$D289,nrES_Code,$F289,nrES_Att,1))))))</f>
        <v/>
      </c>
      <c r="N289" s="15">
        <f>IF($C289="","",IF($L289="","",IF($L289&gt;=$J289,"Yes","No")))</f>
        <v/>
      </c>
      <c r="O289" s="15">
        <f>IF($C289="","",IF($M289="","",IF($M289&gt;=$J289,"Yes","No")))</f>
        <v/>
      </c>
      <c r="P289" s="15">
        <f>IF($C289="","",IF($K289="","",IF(COUNTIFS(nrES_PID,$D289,nrES_Code,$F289,nrES_Att,"&gt;"&amp;$K289)=0,"Yes","No")))</f>
        <v/>
      </c>
      <c r="Q289" s="15">
        <f>IF($C289="","",IF($L289="","",IF(AND($K289=1,$L289&lt;$J289,COUNTIFS(nrES_PID,$D289,nrES_Code,$F289,nrES_Att,2)=0),"Yes","No")))</f>
        <v/>
      </c>
      <c r="R289" s="15">
        <f>IF($C289="","",IF($L289="","",IF(AND($K289=2,$L289&lt;$J289,COUNTIFS(nrES_PID,$D289,nrES_Code,$F289,nrES_Att,1)&gt;0),"Yes","No")))</f>
        <v/>
      </c>
      <c r="S289" s="16" t="n"/>
      <c r="T289" s="17">
        <f>IF($Q289&lt;&gt;"Yes","",IF($S289="","(enter date)",_xlfn.LET(_xlpm.dn,IFERROR(_xlfn.XLOOKUP($S289,nrCDdate,nrCDnum),""),IF(_xlpm.dn="","(not a class day)",IFERROR(_xlfn.XLOOKUP(_xlpm.dn+cfgRetestClassDays,nrCDnum,nrCDdate),"")))))</f>
        <v/>
      </c>
      <c r="U289" s="15">
        <f>IF($Q289&lt;&gt;"Yes","",IF(COUNTIFS(nrES_PID,$D289,nrES_Code,$F289,nrES_Att,2)&gt;0,"Retested",IF(OR($T289="",NOT(ISNUMBER($T289))),"Pending",IF(TODAY()&gt;$T289,"OVERDUE","Due "&amp;TEXT($T289,"mm/dd")))))</f>
        <v/>
      </c>
      <c r="V289" s="14" t="n"/>
      <c r="W289" s="14" t="n"/>
    </row>
    <row r="290">
      <c r="B290" s="15">
        <f>IF($C290="","",$D290&amp;"-"&amp;$F290&amp;"-"&amp;$K290)</f>
        <v/>
      </c>
      <c r="C290" s="14" t="n"/>
      <c r="D290" s="15">
        <f>IF($C290="","",IFERROR(INDEX(rngCadetPIDs,MATCH($C290,rngCadetNames,0)),"?"))</f>
        <v/>
      </c>
      <c r="E290" s="15">
        <f>IF($D290="","",IFERROR(INDEX(nrCadetAgency,MATCH($D290,rngCadetPIDs,0)),""))</f>
        <v/>
      </c>
      <c r="F290" s="14" t="n"/>
      <c r="G290" s="15">
        <f>IF($F290="","",IFERROR(INDEX(rngEPname,MATCH($F290,rngEPcode,0)),"?"))</f>
        <v/>
      </c>
      <c r="H290" s="15">
        <f>IF($F290="","",IFERROR(INDEX(rngEPtype,MATCH($F290,rngEPcode,0)),"?"))</f>
        <v/>
      </c>
      <c r="I290" s="15">
        <f>IF($F290="","",IFERROR(INDEX(rngEPseq,MATCH($F290,rngEPcode,0)),""))</f>
        <v/>
      </c>
      <c r="J290" s="15">
        <f>IF($F290="","",IFERROR(INDEX(rngEPpass,MATCH($F290,rngEPcode,0)),cfgPassingScore))</f>
        <v/>
      </c>
      <c r="K290" s="14" t="n"/>
      <c r="L290" s="14" t="n"/>
      <c r="M290" s="15">
        <f>IF($C290="","",IF($L290="","",IF($K290=1,IF(COUNTIFS(nrES_PID,$D290,nrES_Code,$F290,nrES_Att,2)&gt;0,"",$L290),IF(COUNTIFS(nrES_PID,$D290,nrES_Code,$F290,nrES_Att,1)=0,$L290,IF($L290&gt;=$J290,cfgRetakeRecordedCap,SUMIFS(nrES_Raw,nrES_PID,$D290,nrES_Code,$F290,nrES_Att,1))))))</f>
        <v/>
      </c>
      <c r="N290" s="15">
        <f>IF($C290="","",IF($L290="","",IF($L290&gt;=$J290,"Yes","No")))</f>
        <v/>
      </c>
      <c r="O290" s="15">
        <f>IF($C290="","",IF($M290="","",IF($M290&gt;=$J290,"Yes","No")))</f>
        <v/>
      </c>
      <c r="P290" s="15">
        <f>IF($C290="","",IF($K290="","",IF(COUNTIFS(nrES_PID,$D290,nrES_Code,$F290,nrES_Att,"&gt;"&amp;$K290)=0,"Yes","No")))</f>
        <v/>
      </c>
      <c r="Q290" s="15">
        <f>IF($C290="","",IF($L290="","",IF(AND($K290=1,$L290&lt;$J290,COUNTIFS(nrES_PID,$D290,nrES_Code,$F290,nrES_Att,2)=0),"Yes","No")))</f>
        <v/>
      </c>
      <c r="R290" s="15">
        <f>IF($C290="","",IF($L290="","",IF(AND($K290=2,$L290&lt;$J290,COUNTIFS(nrES_PID,$D290,nrES_Code,$F290,nrES_Att,1)&gt;0),"Yes","No")))</f>
        <v/>
      </c>
      <c r="S290" s="16" t="n"/>
      <c r="T290" s="17">
        <f>IF($Q290&lt;&gt;"Yes","",IF($S290="","(enter date)",_xlfn.LET(_xlpm.dn,IFERROR(_xlfn.XLOOKUP($S290,nrCDdate,nrCDnum),""),IF(_xlpm.dn="","(not a class day)",IFERROR(_xlfn.XLOOKUP(_xlpm.dn+cfgRetestClassDays,nrCDnum,nrCDdate),"")))))</f>
        <v/>
      </c>
      <c r="U290" s="15">
        <f>IF($Q290&lt;&gt;"Yes","",IF(COUNTIFS(nrES_PID,$D290,nrES_Code,$F290,nrES_Att,2)&gt;0,"Retested",IF(OR($T290="",NOT(ISNUMBER($T290))),"Pending",IF(TODAY()&gt;$T290,"OVERDUE","Due "&amp;TEXT($T290,"mm/dd")))))</f>
        <v/>
      </c>
      <c r="V290" s="14" t="n"/>
      <c r="W290" s="14" t="n"/>
    </row>
    <row r="291">
      <c r="B291" s="15">
        <f>IF($C291="","",$D291&amp;"-"&amp;$F291&amp;"-"&amp;$K291)</f>
        <v/>
      </c>
      <c r="C291" s="14" t="n"/>
      <c r="D291" s="15">
        <f>IF($C291="","",IFERROR(INDEX(rngCadetPIDs,MATCH($C291,rngCadetNames,0)),"?"))</f>
        <v/>
      </c>
      <c r="E291" s="15">
        <f>IF($D291="","",IFERROR(INDEX(nrCadetAgency,MATCH($D291,rngCadetPIDs,0)),""))</f>
        <v/>
      </c>
      <c r="F291" s="14" t="n"/>
      <c r="G291" s="15">
        <f>IF($F291="","",IFERROR(INDEX(rngEPname,MATCH($F291,rngEPcode,0)),"?"))</f>
        <v/>
      </c>
      <c r="H291" s="15">
        <f>IF($F291="","",IFERROR(INDEX(rngEPtype,MATCH($F291,rngEPcode,0)),"?"))</f>
        <v/>
      </c>
      <c r="I291" s="15">
        <f>IF($F291="","",IFERROR(INDEX(rngEPseq,MATCH($F291,rngEPcode,0)),""))</f>
        <v/>
      </c>
      <c r="J291" s="15">
        <f>IF($F291="","",IFERROR(INDEX(rngEPpass,MATCH($F291,rngEPcode,0)),cfgPassingScore))</f>
        <v/>
      </c>
      <c r="K291" s="14" t="n"/>
      <c r="L291" s="14" t="n"/>
      <c r="M291" s="15">
        <f>IF($C291="","",IF($L291="","",IF($K291=1,IF(COUNTIFS(nrES_PID,$D291,nrES_Code,$F291,nrES_Att,2)&gt;0,"",$L291),IF(COUNTIFS(nrES_PID,$D291,nrES_Code,$F291,nrES_Att,1)=0,$L291,IF($L291&gt;=$J291,cfgRetakeRecordedCap,SUMIFS(nrES_Raw,nrES_PID,$D291,nrES_Code,$F291,nrES_Att,1))))))</f>
        <v/>
      </c>
      <c r="N291" s="15">
        <f>IF($C291="","",IF($L291="","",IF($L291&gt;=$J291,"Yes","No")))</f>
        <v/>
      </c>
      <c r="O291" s="15">
        <f>IF($C291="","",IF($M291="","",IF($M291&gt;=$J291,"Yes","No")))</f>
        <v/>
      </c>
      <c r="P291" s="15">
        <f>IF($C291="","",IF($K291="","",IF(COUNTIFS(nrES_PID,$D291,nrES_Code,$F291,nrES_Att,"&gt;"&amp;$K291)=0,"Yes","No")))</f>
        <v/>
      </c>
      <c r="Q291" s="15">
        <f>IF($C291="","",IF($L291="","",IF(AND($K291=1,$L291&lt;$J291,COUNTIFS(nrES_PID,$D291,nrES_Code,$F291,nrES_Att,2)=0),"Yes","No")))</f>
        <v/>
      </c>
      <c r="R291" s="15">
        <f>IF($C291="","",IF($L291="","",IF(AND($K291=2,$L291&lt;$J291,COUNTIFS(nrES_PID,$D291,nrES_Code,$F291,nrES_Att,1)&gt;0),"Yes","No")))</f>
        <v/>
      </c>
      <c r="S291" s="16" t="n"/>
      <c r="T291" s="17">
        <f>IF($Q291&lt;&gt;"Yes","",IF($S291="","(enter date)",_xlfn.LET(_xlpm.dn,IFERROR(_xlfn.XLOOKUP($S291,nrCDdate,nrCDnum),""),IF(_xlpm.dn="","(not a class day)",IFERROR(_xlfn.XLOOKUP(_xlpm.dn+cfgRetestClassDays,nrCDnum,nrCDdate),"")))))</f>
        <v/>
      </c>
      <c r="U291" s="15">
        <f>IF($Q291&lt;&gt;"Yes","",IF(COUNTIFS(nrES_PID,$D291,nrES_Code,$F291,nrES_Att,2)&gt;0,"Retested",IF(OR($T291="",NOT(ISNUMBER($T291))),"Pending",IF(TODAY()&gt;$T291,"OVERDUE","Due "&amp;TEXT($T291,"mm/dd")))))</f>
        <v/>
      </c>
      <c r="V291" s="14" t="n"/>
      <c r="W291" s="14" t="n"/>
    </row>
    <row r="292">
      <c r="B292" s="15">
        <f>IF($C292="","",$D292&amp;"-"&amp;$F292&amp;"-"&amp;$K292)</f>
        <v/>
      </c>
      <c r="C292" s="14" t="n"/>
      <c r="D292" s="15">
        <f>IF($C292="","",IFERROR(INDEX(rngCadetPIDs,MATCH($C292,rngCadetNames,0)),"?"))</f>
        <v/>
      </c>
      <c r="E292" s="15">
        <f>IF($D292="","",IFERROR(INDEX(nrCadetAgency,MATCH($D292,rngCadetPIDs,0)),""))</f>
        <v/>
      </c>
      <c r="F292" s="14" t="n"/>
      <c r="G292" s="15">
        <f>IF($F292="","",IFERROR(INDEX(rngEPname,MATCH($F292,rngEPcode,0)),"?"))</f>
        <v/>
      </c>
      <c r="H292" s="15">
        <f>IF($F292="","",IFERROR(INDEX(rngEPtype,MATCH($F292,rngEPcode,0)),"?"))</f>
        <v/>
      </c>
      <c r="I292" s="15">
        <f>IF($F292="","",IFERROR(INDEX(rngEPseq,MATCH($F292,rngEPcode,0)),""))</f>
        <v/>
      </c>
      <c r="J292" s="15">
        <f>IF($F292="","",IFERROR(INDEX(rngEPpass,MATCH($F292,rngEPcode,0)),cfgPassingScore))</f>
        <v/>
      </c>
      <c r="K292" s="14" t="n"/>
      <c r="L292" s="14" t="n"/>
      <c r="M292" s="15">
        <f>IF($C292="","",IF($L292="","",IF($K292=1,IF(COUNTIFS(nrES_PID,$D292,nrES_Code,$F292,nrES_Att,2)&gt;0,"",$L292),IF(COUNTIFS(nrES_PID,$D292,nrES_Code,$F292,nrES_Att,1)=0,$L292,IF($L292&gt;=$J292,cfgRetakeRecordedCap,SUMIFS(nrES_Raw,nrES_PID,$D292,nrES_Code,$F292,nrES_Att,1))))))</f>
        <v/>
      </c>
      <c r="N292" s="15">
        <f>IF($C292="","",IF($L292="","",IF($L292&gt;=$J292,"Yes","No")))</f>
        <v/>
      </c>
      <c r="O292" s="15">
        <f>IF($C292="","",IF($M292="","",IF($M292&gt;=$J292,"Yes","No")))</f>
        <v/>
      </c>
      <c r="P292" s="15">
        <f>IF($C292="","",IF($K292="","",IF(COUNTIFS(nrES_PID,$D292,nrES_Code,$F292,nrES_Att,"&gt;"&amp;$K292)=0,"Yes","No")))</f>
        <v/>
      </c>
      <c r="Q292" s="15">
        <f>IF($C292="","",IF($L292="","",IF(AND($K292=1,$L292&lt;$J292,COUNTIFS(nrES_PID,$D292,nrES_Code,$F292,nrES_Att,2)=0),"Yes","No")))</f>
        <v/>
      </c>
      <c r="R292" s="15">
        <f>IF($C292="","",IF($L292="","",IF(AND($K292=2,$L292&lt;$J292,COUNTIFS(nrES_PID,$D292,nrES_Code,$F292,nrES_Att,1)&gt;0),"Yes","No")))</f>
        <v/>
      </c>
      <c r="S292" s="16" t="n"/>
      <c r="T292" s="17">
        <f>IF($Q292&lt;&gt;"Yes","",IF($S292="","(enter date)",_xlfn.LET(_xlpm.dn,IFERROR(_xlfn.XLOOKUP($S292,nrCDdate,nrCDnum),""),IF(_xlpm.dn="","(not a class day)",IFERROR(_xlfn.XLOOKUP(_xlpm.dn+cfgRetestClassDays,nrCDnum,nrCDdate),"")))))</f>
        <v/>
      </c>
      <c r="U292" s="15">
        <f>IF($Q292&lt;&gt;"Yes","",IF(COUNTIFS(nrES_PID,$D292,nrES_Code,$F292,nrES_Att,2)&gt;0,"Retested",IF(OR($T292="",NOT(ISNUMBER($T292))),"Pending",IF(TODAY()&gt;$T292,"OVERDUE","Due "&amp;TEXT($T292,"mm/dd")))))</f>
        <v/>
      </c>
      <c r="V292" s="14" t="n"/>
      <c r="W292" s="14" t="n"/>
    </row>
    <row r="293">
      <c r="B293" s="15">
        <f>IF($C293="","",$D293&amp;"-"&amp;$F293&amp;"-"&amp;$K293)</f>
        <v/>
      </c>
      <c r="C293" s="14" t="n"/>
      <c r="D293" s="15">
        <f>IF($C293="","",IFERROR(INDEX(rngCadetPIDs,MATCH($C293,rngCadetNames,0)),"?"))</f>
        <v/>
      </c>
      <c r="E293" s="15">
        <f>IF($D293="","",IFERROR(INDEX(nrCadetAgency,MATCH($D293,rngCadetPIDs,0)),""))</f>
        <v/>
      </c>
      <c r="F293" s="14" t="n"/>
      <c r="G293" s="15">
        <f>IF($F293="","",IFERROR(INDEX(rngEPname,MATCH($F293,rngEPcode,0)),"?"))</f>
        <v/>
      </c>
      <c r="H293" s="15">
        <f>IF($F293="","",IFERROR(INDEX(rngEPtype,MATCH($F293,rngEPcode,0)),"?"))</f>
        <v/>
      </c>
      <c r="I293" s="15">
        <f>IF($F293="","",IFERROR(INDEX(rngEPseq,MATCH($F293,rngEPcode,0)),""))</f>
        <v/>
      </c>
      <c r="J293" s="15">
        <f>IF($F293="","",IFERROR(INDEX(rngEPpass,MATCH($F293,rngEPcode,0)),cfgPassingScore))</f>
        <v/>
      </c>
      <c r="K293" s="14" t="n"/>
      <c r="L293" s="14" t="n"/>
      <c r="M293" s="15">
        <f>IF($C293="","",IF($L293="","",IF($K293=1,IF(COUNTIFS(nrES_PID,$D293,nrES_Code,$F293,nrES_Att,2)&gt;0,"",$L293),IF(COUNTIFS(nrES_PID,$D293,nrES_Code,$F293,nrES_Att,1)=0,$L293,IF($L293&gt;=$J293,cfgRetakeRecordedCap,SUMIFS(nrES_Raw,nrES_PID,$D293,nrES_Code,$F293,nrES_Att,1))))))</f>
        <v/>
      </c>
      <c r="N293" s="15">
        <f>IF($C293="","",IF($L293="","",IF($L293&gt;=$J293,"Yes","No")))</f>
        <v/>
      </c>
      <c r="O293" s="15">
        <f>IF($C293="","",IF($M293="","",IF($M293&gt;=$J293,"Yes","No")))</f>
        <v/>
      </c>
      <c r="P293" s="15">
        <f>IF($C293="","",IF($K293="","",IF(COUNTIFS(nrES_PID,$D293,nrES_Code,$F293,nrES_Att,"&gt;"&amp;$K293)=0,"Yes","No")))</f>
        <v/>
      </c>
      <c r="Q293" s="15">
        <f>IF($C293="","",IF($L293="","",IF(AND($K293=1,$L293&lt;$J293,COUNTIFS(nrES_PID,$D293,nrES_Code,$F293,nrES_Att,2)=0),"Yes","No")))</f>
        <v/>
      </c>
      <c r="R293" s="15">
        <f>IF($C293="","",IF($L293="","",IF(AND($K293=2,$L293&lt;$J293,COUNTIFS(nrES_PID,$D293,nrES_Code,$F293,nrES_Att,1)&gt;0),"Yes","No")))</f>
        <v/>
      </c>
      <c r="S293" s="16" t="n"/>
      <c r="T293" s="17">
        <f>IF($Q293&lt;&gt;"Yes","",IF($S293="","(enter date)",_xlfn.LET(_xlpm.dn,IFERROR(_xlfn.XLOOKUP($S293,nrCDdate,nrCDnum),""),IF(_xlpm.dn="","(not a class day)",IFERROR(_xlfn.XLOOKUP(_xlpm.dn+cfgRetestClassDays,nrCDnum,nrCDdate),"")))))</f>
        <v/>
      </c>
      <c r="U293" s="15">
        <f>IF($Q293&lt;&gt;"Yes","",IF(COUNTIFS(nrES_PID,$D293,nrES_Code,$F293,nrES_Att,2)&gt;0,"Retested",IF(OR($T293="",NOT(ISNUMBER($T293))),"Pending",IF(TODAY()&gt;$T293,"OVERDUE","Due "&amp;TEXT($T293,"mm/dd")))))</f>
        <v/>
      </c>
      <c r="V293" s="14" t="n"/>
      <c r="W293" s="14" t="n"/>
    </row>
    <row r="294">
      <c r="B294" s="15">
        <f>IF($C294="","",$D294&amp;"-"&amp;$F294&amp;"-"&amp;$K294)</f>
        <v/>
      </c>
      <c r="C294" s="14" t="n"/>
      <c r="D294" s="15">
        <f>IF($C294="","",IFERROR(INDEX(rngCadetPIDs,MATCH($C294,rngCadetNames,0)),"?"))</f>
        <v/>
      </c>
      <c r="E294" s="15">
        <f>IF($D294="","",IFERROR(INDEX(nrCadetAgency,MATCH($D294,rngCadetPIDs,0)),""))</f>
        <v/>
      </c>
      <c r="F294" s="14" t="n"/>
      <c r="G294" s="15">
        <f>IF($F294="","",IFERROR(INDEX(rngEPname,MATCH($F294,rngEPcode,0)),"?"))</f>
        <v/>
      </c>
      <c r="H294" s="15">
        <f>IF($F294="","",IFERROR(INDEX(rngEPtype,MATCH($F294,rngEPcode,0)),"?"))</f>
        <v/>
      </c>
      <c r="I294" s="15">
        <f>IF($F294="","",IFERROR(INDEX(rngEPseq,MATCH($F294,rngEPcode,0)),""))</f>
        <v/>
      </c>
      <c r="J294" s="15">
        <f>IF($F294="","",IFERROR(INDEX(rngEPpass,MATCH($F294,rngEPcode,0)),cfgPassingScore))</f>
        <v/>
      </c>
      <c r="K294" s="14" t="n"/>
      <c r="L294" s="14" t="n"/>
      <c r="M294" s="15">
        <f>IF($C294="","",IF($L294="","",IF($K294=1,IF(COUNTIFS(nrES_PID,$D294,nrES_Code,$F294,nrES_Att,2)&gt;0,"",$L294),IF(COUNTIFS(nrES_PID,$D294,nrES_Code,$F294,nrES_Att,1)=0,$L294,IF($L294&gt;=$J294,cfgRetakeRecordedCap,SUMIFS(nrES_Raw,nrES_PID,$D294,nrES_Code,$F294,nrES_Att,1))))))</f>
        <v/>
      </c>
      <c r="N294" s="15">
        <f>IF($C294="","",IF($L294="","",IF($L294&gt;=$J294,"Yes","No")))</f>
        <v/>
      </c>
      <c r="O294" s="15">
        <f>IF($C294="","",IF($M294="","",IF($M294&gt;=$J294,"Yes","No")))</f>
        <v/>
      </c>
      <c r="P294" s="15">
        <f>IF($C294="","",IF($K294="","",IF(COUNTIFS(nrES_PID,$D294,nrES_Code,$F294,nrES_Att,"&gt;"&amp;$K294)=0,"Yes","No")))</f>
        <v/>
      </c>
      <c r="Q294" s="15">
        <f>IF($C294="","",IF($L294="","",IF(AND($K294=1,$L294&lt;$J294,COUNTIFS(nrES_PID,$D294,nrES_Code,$F294,nrES_Att,2)=0),"Yes","No")))</f>
        <v/>
      </c>
      <c r="R294" s="15">
        <f>IF($C294="","",IF($L294="","",IF(AND($K294=2,$L294&lt;$J294,COUNTIFS(nrES_PID,$D294,nrES_Code,$F294,nrES_Att,1)&gt;0),"Yes","No")))</f>
        <v/>
      </c>
      <c r="S294" s="16" t="n"/>
      <c r="T294" s="17">
        <f>IF($Q294&lt;&gt;"Yes","",IF($S294="","(enter date)",_xlfn.LET(_xlpm.dn,IFERROR(_xlfn.XLOOKUP($S294,nrCDdate,nrCDnum),""),IF(_xlpm.dn="","(not a class day)",IFERROR(_xlfn.XLOOKUP(_xlpm.dn+cfgRetestClassDays,nrCDnum,nrCDdate),"")))))</f>
        <v/>
      </c>
      <c r="U294" s="15">
        <f>IF($Q294&lt;&gt;"Yes","",IF(COUNTIFS(nrES_PID,$D294,nrES_Code,$F294,nrES_Att,2)&gt;0,"Retested",IF(OR($T294="",NOT(ISNUMBER($T294))),"Pending",IF(TODAY()&gt;$T294,"OVERDUE","Due "&amp;TEXT($T294,"mm/dd")))))</f>
        <v/>
      </c>
      <c r="V294" s="14" t="n"/>
      <c r="W294" s="14" t="n"/>
    </row>
    <row r="295">
      <c r="B295" s="15">
        <f>IF($C295="","",$D295&amp;"-"&amp;$F295&amp;"-"&amp;$K295)</f>
        <v/>
      </c>
      <c r="C295" s="14" t="n"/>
      <c r="D295" s="15">
        <f>IF($C295="","",IFERROR(INDEX(rngCadetPIDs,MATCH($C295,rngCadetNames,0)),"?"))</f>
        <v/>
      </c>
      <c r="E295" s="15">
        <f>IF($D295="","",IFERROR(INDEX(nrCadetAgency,MATCH($D295,rngCadetPIDs,0)),""))</f>
        <v/>
      </c>
      <c r="F295" s="14" t="n"/>
      <c r="G295" s="15">
        <f>IF($F295="","",IFERROR(INDEX(rngEPname,MATCH($F295,rngEPcode,0)),"?"))</f>
        <v/>
      </c>
      <c r="H295" s="15">
        <f>IF($F295="","",IFERROR(INDEX(rngEPtype,MATCH($F295,rngEPcode,0)),"?"))</f>
        <v/>
      </c>
      <c r="I295" s="15">
        <f>IF($F295="","",IFERROR(INDEX(rngEPseq,MATCH($F295,rngEPcode,0)),""))</f>
        <v/>
      </c>
      <c r="J295" s="15">
        <f>IF($F295="","",IFERROR(INDEX(rngEPpass,MATCH($F295,rngEPcode,0)),cfgPassingScore))</f>
        <v/>
      </c>
      <c r="K295" s="14" t="n"/>
      <c r="L295" s="14" t="n"/>
      <c r="M295" s="15">
        <f>IF($C295="","",IF($L295="","",IF($K295=1,IF(COUNTIFS(nrES_PID,$D295,nrES_Code,$F295,nrES_Att,2)&gt;0,"",$L295),IF(COUNTIFS(nrES_PID,$D295,nrES_Code,$F295,nrES_Att,1)=0,$L295,IF($L295&gt;=$J295,cfgRetakeRecordedCap,SUMIFS(nrES_Raw,nrES_PID,$D295,nrES_Code,$F295,nrES_Att,1))))))</f>
        <v/>
      </c>
      <c r="N295" s="15">
        <f>IF($C295="","",IF($L295="","",IF($L295&gt;=$J295,"Yes","No")))</f>
        <v/>
      </c>
      <c r="O295" s="15">
        <f>IF($C295="","",IF($M295="","",IF($M295&gt;=$J295,"Yes","No")))</f>
        <v/>
      </c>
      <c r="P295" s="15">
        <f>IF($C295="","",IF($K295="","",IF(COUNTIFS(nrES_PID,$D295,nrES_Code,$F295,nrES_Att,"&gt;"&amp;$K295)=0,"Yes","No")))</f>
        <v/>
      </c>
      <c r="Q295" s="15">
        <f>IF($C295="","",IF($L295="","",IF(AND($K295=1,$L295&lt;$J295,COUNTIFS(nrES_PID,$D295,nrES_Code,$F295,nrES_Att,2)=0),"Yes","No")))</f>
        <v/>
      </c>
      <c r="R295" s="15">
        <f>IF($C295="","",IF($L295="","",IF(AND($K295=2,$L295&lt;$J295,COUNTIFS(nrES_PID,$D295,nrES_Code,$F295,nrES_Att,1)&gt;0),"Yes","No")))</f>
        <v/>
      </c>
      <c r="S295" s="16" t="n"/>
      <c r="T295" s="17">
        <f>IF($Q295&lt;&gt;"Yes","",IF($S295="","(enter date)",_xlfn.LET(_xlpm.dn,IFERROR(_xlfn.XLOOKUP($S295,nrCDdate,nrCDnum),""),IF(_xlpm.dn="","(not a class day)",IFERROR(_xlfn.XLOOKUP(_xlpm.dn+cfgRetestClassDays,nrCDnum,nrCDdate),"")))))</f>
        <v/>
      </c>
      <c r="U295" s="15">
        <f>IF($Q295&lt;&gt;"Yes","",IF(COUNTIFS(nrES_PID,$D295,nrES_Code,$F295,nrES_Att,2)&gt;0,"Retested",IF(OR($T295="",NOT(ISNUMBER($T295))),"Pending",IF(TODAY()&gt;$T295,"OVERDUE","Due "&amp;TEXT($T295,"mm/dd")))))</f>
        <v/>
      </c>
      <c r="V295" s="14" t="n"/>
      <c r="W295" s="14" t="n"/>
    </row>
    <row r="296">
      <c r="B296" s="15">
        <f>IF($C296="","",$D296&amp;"-"&amp;$F296&amp;"-"&amp;$K296)</f>
        <v/>
      </c>
      <c r="C296" s="14" t="n"/>
      <c r="D296" s="15">
        <f>IF($C296="","",IFERROR(INDEX(rngCadetPIDs,MATCH($C296,rngCadetNames,0)),"?"))</f>
        <v/>
      </c>
      <c r="E296" s="15">
        <f>IF($D296="","",IFERROR(INDEX(nrCadetAgency,MATCH($D296,rngCadetPIDs,0)),""))</f>
        <v/>
      </c>
      <c r="F296" s="14" t="n"/>
      <c r="G296" s="15">
        <f>IF($F296="","",IFERROR(INDEX(rngEPname,MATCH($F296,rngEPcode,0)),"?"))</f>
        <v/>
      </c>
      <c r="H296" s="15">
        <f>IF($F296="","",IFERROR(INDEX(rngEPtype,MATCH($F296,rngEPcode,0)),"?"))</f>
        <v/>
      </c>
      <c r="I296" s="15">
        <f>IF($F296="","",IFERROR(INDEX(rngEPseq,MATCH($F296,rngEPcode,0)),""))</f>
        <v/>
      </c>
      <c r="J296" s="15">
        <f>IF($F296="","",IFERROR(INDEX(rngEPpass,MATCH($F296,rngEPcode,0)),cfgPassingScore))</f>
        <v/>
      </c>
      <c r="K296" s="14" t="n"/>
      <c r="L296" s="14" t="n"/>
      <c r="M296" s="15">
        <f>IF($C296="","",IF($L296="","",IF($K296=1,IF(COUNTIFS(nrES_PID,$D296,nrES_Code,$F296,nrES_Att,2)&gt;0,"",$L296),IF(COUNTIFS(nrES_PID,$D296,nrES_Code,$F296,nrES_Att,1)=0,$L296,IF($L296&gt;=$J296,cfgRetakeRecordedCap,SUMIFS(nrES_Raw,nrES_PID,$D296,nrES_Code,$F296,nrES_Att,1))))))</f>
        <v/>
      </c>
      <c r="N296" s="15">
        <f>IF($C296="","",IF($L296="","",IF($L296&gt;=$J296,"Yes","No")))</f>
        <v/>
      </c>
      <c r="O296" s="15">
        <f>IF($C296="","",IF($M296="","",IF($M296&gt;=$J296,"Yes","No")))</f>
        <v/>
      </c>
      <c r="P296" s="15">
        <f>IF($C296="","",IF($K296="","",IF(COUNTIFS(nrES_PID,$D296,nrES_Code,$F296,nrES_Att,"&gt;"&amp;$K296)=0,"Yes","No")))</f>
        <v/>
      </c>
      <c r="Q296" s="15">
        <f>IF($C296="","",IF($L296="","",IF(AND($K296=1,$L296&lt;$J296,COUNTIFS(nrES_PID,$D296,nrES_Code,$F296,nrES_Att,2)=0),"Yes","No")))</f>
        <v/>
      </c>
      <c r="R296" s="15">
        <f>IF($C296="","",IF($L296="","",IF(AND($K296=2,$L296&lt;$J296,COUNTIFS(nrES_PID,$D296,nrES_Code,$F296,nrES_Att,1)&gt;0),"Yes","No")))</f>
        <v/>
      </c>
      <c r="S296" s="16" t="n"/>
      <c r="T296" s="17">
        <f>IF($Q296&lt;&gt;"Yes","",IF($S296="","(enter date)",_xlfn.LET(_xlpm.dn,IFERROR(_xlfn.XLOOKUP($S296,nrCDdate,nrCDnum),""),IF(_xlpm.dn="","(not a class day)",IFERROR(_xlfn.XLOOKUP(_xlpm.dn+cfgRetestClassDays,nrCDnum,nrCDdate),"")))))</f>
        <v/>
      </c>
      <c r="U296" s="15">
        <f>IF($Q296&lt;&gt;"Yes","",IF(COUNTIFS(nrES_PID,$D296,nrES_Code,$F296,nrES_Att,2)&gt;0,"Retested",IF(OR($T296="",NOT(ISNUMBER($T296))),"Pending",IF(TODAY()&gt;$T296,"OVERDUE","Due "&amp;TEXT($T296,"mm/dd")))))</f>
        <v/>
      </c>
      <c r="V296" s="14" t="n"/>
      <c r="W296" s="14" t="n"/>
    </row>
    <row r="297">
      <c r="B297" s="15">
        <f>IF($C297="","",$D297&amp;"-"&amp;$F297&amp;"-"&amp;$K297)</f>
        <v/>
      </c>
      <c r="C297" s="14" t="n"/>
      <c r="D297" s="15">
        <f>IF($C297="","",IFERROR(INDEX(rngCadetPIDs,MATCH($C297,rngCadetNames,0)),"?"))</f>
        <v/>
      </c>
      <c r="E297" s="15">
        <f>IF($D297="","",IFERROR(INDEX(nrCadetAgency,MATCH($D297,rngCadetPIDs,0)),""))</f>
        <v/>
      </c>
      <c r="F297" s="14" t="n"/>
      <c r="G297" s="15">
        <f>IF($F297="","",IFERROR(INDEX(rngEPname,MATCH($F297,rngEPcode,0)),"?"))</f>
        <v/>
      </c>
      <c r="H297" s="15">
        <f>IF($F297="","",IFERROR(INDEX(rngEPtype,MATCH($F297,rngEPcode,0)),"?"))</f>
        <v/>
      </c>
      <c r="I297" s="15">
        <f>IF($F297="","",IFERROR(INDEX(rngEPseq,MATCH($F297,rngEPcode,0)),""))</f>
        <v/>
      </c>
      <c r="J297" s="15">
        <f>IF($F297="","",IFERROR(INDEX(rngEPpass,MATCH($F297,rngEPcode,0)),cfgPassingScore))</f>
        <v/>
      </c>
      <c r="K297" s="14" t="n"/>
      <c r="L297" s="14" t="n"/>
      <c r="M297" s="15">
        <f>IF($C297="","",IF($L297="","",IF($K297=1,IF(COUNTIFS(nrES_PID,$D297,nrES_Code,$F297,nrES_Att,2)&gt;0,"",$L297),IF(COUNTIFS(nrES_PID,$D297,nrES_Code,$F297,nrES_Att,1)=0,$L297,IF($L297&gt;=$J297,cfgRetakeRecordedCap,SUMIFS(nrES_Raw,nrES_PID,$D297,nrES_Code,$F297,nrES_Att,1))))))</f>
        <v/>
      </c>
      <c r="N297" s="15">
        <f>IF($C297="","",IF($L297="","",IF($L297&gt;=$J297,"Yes","No")))</f>
        <v/>
      </c>
      <c r="O297" s="15">
        <f>IF($C297="","",IF($M297="","",IF($M297&gt;=$J297,"Yes","No")))</f>
        <v/>
      </c>
      <c r="P297" s="15">
        <f>IF($C297="","",IF($K297="","",IF(COUNTIFS(nrES_PID,$D297,nrES_Code,$F297,nrES_Att,"&gt;"&amp;$K297)=0,"Yes","No")))</f>
        <v/>
      </c>
      <c r="Q297" s="15">
        <f>IF($C297="","",IF($L297="","",IF(AND($K297=1,$L297&lt;$J297,COUNTIFS(nrES_PID,$D297,nrES_Code,$F297,nrES_Att,2)=0),"Yes","No")))</f>
        <v/>
      </c>
      <c r="R297" s="15">
        <f>IF($C297="","",IF($L297="","",IF(AND($K297=2,$L297&lt;$J297,COUNTIFS(nrES_PID,$D297,nrES_Code,$F297,nrES_Att,1)&gt;0),"Yes","No")))</f>
        <v/>
      </c>
      <c r="S297" s="16" t="n"/>
      <c r="T297" s="17">
        <f>IF($Q297&lt;&gt;"Yes","",IF($S297="","(enter date)",_xlfn.LET(_xlpm.dn,IFERROR(_xlfn.XLOOKUP($S297,nrCDdate,nrCDnum),""),IF(_xlpm.dn="","(not a class day)",IFERROR(_xlfn.XLOOKUP(_xlpm.dn+cfgRetestClassDays,nrCDnum,nrCDdate),"")))))</f>
        <v/>
      </c>
      <c r="U297" s="15">
        <f>IF($Q297&lt;&gt;"Yes","",IF(COUNTIFS(nrES_PID,$D297,nrES_Code,$F297,nrES_Att,2)&gt;0,"Retested",IF(OR($T297="",NOT(ISNUMBER($T297))),"Pending",IF(TODAY()&gt;$T297,"OVERDUE","Due "&amp;TEXT($T297,"mm/dd")))))</f>
        <v/>
      </c>
      <c r="V297" s="14" t="n"/>
      <c r="W297" s="14" t="n"/>
    </row>
    <row r="298">
      <c r="B298" s="15">
        <f>IF($C298="","",$D298&amp;"-"&amp;$F298&amp;"-"&amp;$K298)</f>
        <v/>
      </c>
      <c r="C298" s="14" t="n"/>
      <c r="D298" s="15">
        <f>IF($C298="","",IFERROR(INDEX(rngCadetPIDs,MATCH($C298,rngCadetNames,0)),"?"))</f>
        <v/>
      </c>
      <c r="E298" s="15">
        <f>IF($D298="","",IFERROR(INDEX(nrCadetAgency,MATCH($D298,rngCadetPIDs,0)),""))</f>
        <v/>
      </c>
      <c r="F298" s="14" t="n"/>
      <c r="G298" s="15">
        <f>IF($F298="","",IFERROR(INDEX(rngEPname,MATCH($F298,rngEPcode,0)),"?"))</f>
        <v/>
      </c>
      <c r="H298" s="15">
        <f>IF($F298="","",IFERROR(INDEX(rngEPtype,MATCH($F298,rngEPcode,0)),"?"))</f>
        <v/>
      </c>
      <c r="I298" s="15">
        <f>IF($F298="","",IFERROR(INDEX(rngEPseq,MATCH($F298,rngEPcode,0)),""))</f>
        <v/>
      </c>
      <c r="J298" s="15">
        <f>IF($F298="","",IFERROR(INDEX(rngEPpass,MATCH($F298,rngEPcode,0)),cfgPassingScore))</f>
        <v/>
      </c>
      <c r="K298" s="14" t="n"/>
      <c r="L298" s="14" t="n"/>
      <c r="M298" s="15">
        <f>IF($C298="","",IF($L298="","",IF($K298=1,IF(COUNTIFS(nrES_PID,$D298,nrES_Code,$F298,nrES_Att,2)&gt;0,"",$L298),IF(COUNTIFS(nrES_PID,$D298,nrES_Code,$F298,nrES_Att,1)=0,$L298,IF($L298&gt;=$J298,cfgRetakeRecordedCap,SUMIFS(nrES_Raw,nrES_PID,$D298,nrES_Code,$F298,nrES_Att,1))))))</f>
        <v/>
      </c>
      <c r="N298" s="15">
        <f>IF($C298="","",IF($L298="","",IF($L298&gt;=$J298,"Yes","No")))</f>
        <v/>
      </c>
      <c r="O298" s="15">
        <f>IF($C298="","",IF($M298="","",IF($M298&gt;=$J298,"Yes","No")))</f>
        <v/>
      </c>
      <c r="P298" s="15">
        <f>IF($C298="","",IF($K298="","",IF(COUNTIFS(nrES_PID,$D298,nrES_Code,$F298,nrES_Att,"&gt;"&amp;$K298)=0,"Yes","No")))</f>
        <v/>
      </c>
      <c r="Q298" s="15">
        <f>IF($C298="","",IF($L298="","",IF(AND($K298=1,$L298&lt;$J298,COUNTIFS(nrES_PID,$D298,nrES_Code,$F298,nrES_Att,2)=0),"Yes","No")))</f>
        <v/>
      </c>
      <c r="R298" s="15">
        <f>IF($C298="","",IF($L298="","",IF(AND($K298=2,$L298&lt;$J298,COUNTIFS(nrES_PID,$D298,nrES_Code,$F298,nrES_Att,1)&gt;0),"Yes","No")))</f>
        <v/>
      </c>
      <c r="S298" s="16" t="n"/>
      <c r="T298" s="17">
        <f>IF($Q298&lt;&gt;"Yes","",IF($S298="","(enter date)",_xlfn.LET(_xlpm.dn,IFERROR(_xlfn.XLOOKUP($S298,nrCDdate,nrCDnum),""),IF(_xlpm.dn="","(not a class day)",IFERROR(_xlfn.XLOOKUP(_xlpm.dn+cfgRetestClassDays,nrCDnum,nrCDdate),"")))))</f>
        <v/>
      </c>
      <c r="U298" s="15">
        <f>IF($Q298&lt;&gt;"Yes","",IF(COUNTIFS(nrES_PID,$D298,nrES_Code,$F298,nrES_Att,2)&gt;0,"Retested",IF(OR($T298="",NOT(ISNUMBER($T298))),"Pending",IF(TODAY()&gt;$T298,"OVERDUE","Due "&amp;TEXT($T298,"mm/dd")))))</f>
        <v/>
      </c>
      <c r="V298" s="14" t="n"/>
      <c r="W298" s="14" t="n"/>
    </row>
    <row r="299">
      <c r="B299" s="15">
        <f>IF($C299="","",$D299&amp;"-"&amp;$F299&amp;"-"&amp;$K299)</f>
        <v/>
      </c>
      <c r="C299" s="14" t="n"/>
      <c r="D299" s="15">
        <f>IF($C299="","",IFERROR(INDEX(rngCadetPIDs,MATCH($C299,rngCadetNames,0)),"?"))</f>
        <v/>
      </c>
      <c r="E299" s="15">
        <f>IF($D299="","",IFERROR(INDEX(nrCadetAgency,MATCH($D299,rngCadetPIDs,0)),""))</f>
        <v/>
      </c>
      <c r="F299" s="14" t="n"/>
      <c r="G299" s="15">
        <f>IF($F299="","",IFERROR(INDEX(rngEPname,MATCH($F299,rngEPcode,0)),"?"))</f>
        <v/>
      </c>
      <c r="H299" s="15">
        <f>IF($F299="","",IFERROR(INDEX(rngEPtype,MATCH($F299,rngEPcode,0)),"?"))</f>
        <v/>
      </c>
      <c r="I299" s="15">
        <f>IF($F299="","",IFERROR(INDEX(rngEPseq,MATCH($F299,rngEPcode,0)),""))</f>
        <v/>
      </c>
      <c r="J299" s="15">
        <f>IF($F299="","",IFERROR(INDEX(rngEPpass,MATCH($F299,rngEPcode,0)),cfgPassingScore))</f>
        <v/>
      </c>
      <c r="K299" s="14" t="n"/>
      <c r="L299" s="14" t="n"/>
      <c r="M299" s="15">
        <f>IF($C299="","",IF($L299="","",IF($K299=1,IF(COUNTIFS(nrES_PID,$D299,nrES_Code,$F299,nrES_Att,2)&gt;0,"",$L299),IF(COUNTIFS(nrES_PID,$D299,nrES_Code,$F299,nrES_Att,1)=0,$L299,IF($L299&gt;=$J299,cfgRetakeRecordedCap,SUMIFS(nrES_Raw,nrES_PID,$D299,nrES_Code,$F299,nrES_Att,1))))))</f>
        <v/>
      </c>
      <c r="N299" s="15">
        <f>IF($C299="","",IF($L299="","",IF($L299&gt;=$J299,"Yes","No")))</f>
        <v/>
      </c>
      <c r="O299" s="15">
        <f>IF($C299="","",IF($M299="","",IF($M299&gt;=$J299,"Yes","No")))</f>
        <v/>
      </c>
      <c r="P299" s="15">
        <f>IF($C299="","",IF($K299="","",IF(COUNTIFS(nrES_PID,$D299,nrES_Code,$F299,nrES_Att,"&gt;"&amp;$K299)=0,"Yes","No")))</f>
        <v/>
      </c>
      <c r="Q299" s="15">
        <f>IF($C299="","",IF($L299="","",IF(AND($K299=1,$L299&lt;$J299,COUNTIFS(nrES_PID,$D299,nrES_Code,$F299,nrES_Att,2)=0),"Yes","No")))</f>
        <v/>
      </c>
      <c r="R299" s="15">
        <f>IF($C299="","",IF($L299="","",IF(AND($K299=2,$L299&lt;$J299,COUNTIFS(nrES_PID,$D299,nrES_Code,$F299,nrES_Att,1)&gt;0),"Yes","No")))</f>
        <v/>
      </c>
      <c r="S299" s="16" t="n"/>
      <c r="T299" s="17">
        <f>IF($Q299&lt;&gt;"Yes","",IF($S299="","(enter date)",_xlfn.LET(_xlpm.dn,IFERROR(_xlfn.XLOOKUP($S299,nrCDdate,nrCDnum),""),IF(_xlpm.dn="","(not a class day)",IFERROR(_xlfn.XLOOKUP(_xlpm.dn+cfgRetestClassDays,nrCDnum,nrCDdate),"")))))</f>
        <v/>
      </c>
      <c r="U299" s="15">
        <f>IF($Q299&lt;&gt;"Yes","",IF(COUNTIFS(nrES_PID,$D299,nrES_Code,$F299,nrES_Att,2)&gt;0,"Retested",IF(OR($T299="",NOT(ISNUMBER($T299))),"Pending",IF(TODAY()&gt;$T299,"OVERDUE","Due "&amp;TEXT($T299,"mm/dd")))))</f>
        <v/>
      </c>
      <c r="V299" s="14" t="n"/>
      <c r="W299" s="14" t="n"/>
    </row>
    <row r="300">
      <c r="B300" s="15">
        <f>IF($C300="","",$D300&amp;"-"&amp;$F300&amp;"-"&amp;$K300)</f>
        <v/>
      </c>
      <c r="C300" s="14" t="n"/>
      <c r="D300" s="15">
        <f>IF($C300="","",IFERROR(INDEX(rngCadetPIDs,MATCH($C300,rngCadetNames,0)),"?"))</f>
        <v/>
      </c>
      <c r="E300" s="15">
        <f>IF($D300="","",IFERROR(INDEX(nrCadetAgency,MATCH($D300,rngCadetPIDs,0)),""))</f>
        <v/>
      </c>
      <c r="F300" s="14" t="n"/>
      <c r="G300" s="15">
        <f>IF($F300="","",IFERROR(INDEX(rngEPname,MATCH($F300,rngEPcode,0)),"?"))</f>
        <v/>
      </c>
      <c r="H300" s="15">
        <f>IF($F300="","",IFERROR(INDEX(rngEPtype,MATCH($F300,rngEPcode,0)),"?"))</f>
        <v/>
      </c>
      <c r="I300" s="15">
        <f>IF($F300="","",IFERROR(INDEX(rngEPseq,MATCH($F300,rngEPcode,0)),""))</f>
        <v/>
      </c>
      <c r="J300" s="15">
        <f>IF($F300="","",IFERROR(INDEX(rngEPpass,MATCH($F300,rngEPcode,0)),cfgPassingScore))</f>
        <v/>
      </c>
      <c r="K300" s="14" t="n"/>
      <c r="L300" s="14" t="n"/>
      <c r="M300" s="15">
        <f>IF($C300="","",IF($L300="","",IF($K300=1,IF(COUNTIFS(nrES_PID,$D300,nrES_Code,$F300,nrES_Att,2)&gt;0,"",$L300),IF(COUNTIFS(nrES_PID,$D300,nrES_Code,$F300,nrES_Att,1)=0,$L300,IF($L300&gt;=$J300,cfgRetakeRecordedCap,SUMIFS(nrES_Raw,nrES_PID,$D300,nrES_Code,$F300,nrES_Att,1))))))</f>
        <v/>
      </c>
      <c r="N300" s="15">
        <f>IF($C300="","",IF($L300="","",IF($L300&gt;=$J300,"Yes","No")))</f>
        <v/>
      </c>
      <c r="O300" s="15">
        <f>IF($C300="","",IF($M300="","",IF($M300&gt;=$J300,"Yes","No")))</f>
        <v/>
      </c>
      <c r="P300" s="15">
        <f>IF($C300="","",IF($K300="","",IF(COUNTIFS(nrES_PID,$D300,nrES_Code,$F300,nrES_Att,"&gt;"&amp;$K300)=0,"Yes","No")))</f>
        <v/>
      </c>
      <c r="Q300" s="15">
        <f>IF($C300="","",IF($L300="","",IF(AND($K300=1,$L300&lt;$J300,COUNTIFS(nrES_PID,$D300,nrES_Code,$F300,nrES_Att,2)=0),"Yes","No")))</f>
        <v/>
      </c>
      <c r="R300" s="15">
        <f>IF($C300="","",IF($L300="","",IF(AND($K300=2,$L300&lt;$J300,COUNTIFS(nrES_PID,$D300,nrES_Code,$F300,nrES_Att,1)&gt;0),"Yes","No")))</f>
        <v/>
      </c>
      <c r="S300" s="16" t="n"/>
      <c r="T300" s="17">
        <f>IF($Q300&lt;&gt;"Yes","",IF($S300="","(enter date)",_xlfn.LET(_xlpm.dn,IFERROR(_xlfn.XLOOKUP($S300,nrCDdate,nrCDnum),""),IF(_xlpm.dn="","(not a class day)",IFERROR(_xlfn.XLOOKUP(_xlpm.dn+cfgRetestClassDays,nrCDnum,nrCDdate),"")))))</f>
        <v/>
      </c>
      <c r="U300" s="15">
        <f>IF($Q300&lt;&gt;"Yes","",IF(COUNTIFS(nrES_PID,$D300,nrES_Code,$F300,nrES_Att,2)&gt;0,"Retested",IF(OR($T300="",NOT(ISNUMBER($T300))),"Pending",IF(TODAY()&gt;$T300,"OVERDUE","Due "&amp;TEXT($T300,"mm/dd")))))</f>
        <v/>
      </c>
      <c r="V300" s="14" t="n"/>
      <c r="W300" s="14" t="n"/>
    </row>
    <row r="301">
      <c r="B301" s="15">
        <f>IF($C301="","",$D301&amp;"-"&amp;$F301&amp;"-"&amp;$K301)</f>
        <v/>
      </c>
      <c r="C301" s="14" t="n"/>
      <c r="D301" s="15">
        <f>IF($C301="","",IFERROR(INDEX(rngCadetPIDs,MATCH($C301,rngCadetNames,0)),"?"))</f>
        <v/>
      </c>
      <c r="E301" s="15">
        <f>IF($D301="","",IFERROR(INDEX(nrCadetAgency,MATCH($D301,rngCadetPIDs,0)),""))</f>
        <v/>
      </c>
      <c r="F301" s="14" t="n"/>
      <c r="G301" s="15">
        <f>IF($F301="","",IFERROR(INDEX(rngEPname,MATCH($F301,rngEPcode,0)),"?"))</f>
        <v/>
      </c>
      <c r="H301" s="15">
        <f>IF($F301="","",IFERROR(INDEX(rngEPtype,MATCH($F301,rngEPcode,0)),"?"))</f>
        <v/>
      </c>
      <c r="I301" s="15">
        <f>IF($F301="","",IFERROR(INDEX(rngEPseq,MATCH($F301,rngEPcode,0)),""))</f>
        <v/>
      </c>
      <c r="J301" s="15">
        <f>IF($F301="","",IFERROR(INDEX(rngEPpass,MATCH($F301,rngEPcode,0)),cfgPassingScore))</f>
        <v/>
      </c>
      <c r="K301" s="14" t="n"/>
      <c r="L301" s="14" t="n"/>
      <c r="M301" s="15">
        <f>IF($C301="","",IF($L301="","",IF($K301=1,IF(COUNTIFS(nrES_PID,$D301,nrES_Code,$F301,nrES_Att,2)&gt;0,"",$L301),IF(COUNTIFS(nrES_PID,$D301,nrES_Code,$F301,nrES_Att,1)=0,$L301,IF($L301&gt;=$J301,cfgRetakeRecordedCap,SUMIFS(nrES_Raw,nrES_PID,$D301,nrES_Code,$F301,nrES_Att,1))))))</f>
        <v/>
      </c>
      <c r="N301" s="15">
        <f>IF($C301="","",IF($L301="","",IF($L301&gt;=$J301,"Yes","No")))</f>
        <v/>
      </c>
      <c r="O301" s="15">
        <f>IF($C301="","",IF($M301="","",IF($M301&gt;=$J301,"Yes","No")))</f>
        <v/>
      </c>
      <c r="P301" s="15">
        <f>IF($C301="","",IF($K301="","",IF(COUNTIFS(nrES_PID,$D301,nrES_Code,$F301,nrES_Att,"&gt;"&amp;$K301)=0,"Yes","No")))</f>
        <v/>
      </c>
      <c r="Q301" s="15">
        <f>IF($C301="","",IF($L301="","",IF(AND($K301=1,$L301&lt;$J301,COUNTIFS(nrES_PID,$D301,nrES_Code,$F301,nrES_Att,2)=0),"Yes","No")))</f>
        <v/>
      </c>
      <c r="R301" s="15">
        <f>IF($C301="","",IF($L301="","",IF(AND($K301=2,$L301&lt;$J301,COUNTIFS(nrES_PID,$D301,nrES_Code,$F301,nrES_Att,1)&gt;0),"Yes","No")))</f>
        <v/>
      </c>
      <c r="S301" s="16" t="n"/>
      <c r="T301" s="17">
        <f>IF($Q301&lt;&gt;"Yes","",IF($S301="","(enter date)",_xlfn.LET(_xlpm.dn,IFERROR(_xlfn.XLOOKUP($S301,nrCDdate,nrCDnum),""),IF(_xlpm.dn="","(not a class day)",IFERROR(_xlfn.XLOOKUP(_xlpm.dn+cfgRetestClassDays,nrCDnum,nrCDdate),"")))))</f>
        <v/>
      </c>
      <c r="U301" s="15">
        <f>IF($Q301&lt;&gt;"Yes","",IF(COUNTIFS(nrES_PID,$D301,nrES_Code,$F301,nrES_Att,2)&gt;0,"Retested",IF(OR($T301="",NOT(ISNUMBER($T301))),"Pending",IF(TODAY()&gt;$T301,"OVERDUE","Due "&amp;TEXT($T301,"mm/dd")))))</f>
        <v/>
      </c>
      <c r="V301" s="14" t="n"/>
      <c r="W301" s="14" t="n"/>
    </row>
    <row r="302">
      <c r="B302" s="15">
        <f>IF($C302="","",$D302&amp;"-"&amp;$F302&amp;"-"&amp;$K302)</f>
        <v/>
      </c>
      <c r="C302" s="14" t="n"/>
      <c r="D302" s="15">
        <f>IF($C302="","",IFERROR(INDEX(rngCadetPIDs,MATCH($C302,rngCadetNames,0)),"?"))</f>
        <v/>
      </c>
      <c r="E302" s="15">
        <f>IF($D302="","",IFERROR(INDEX(nrCadetAgency,MATCH($D302,rngCadetPIDs,0)),""))</f>
        <v/>
      </c>
      <c r="F302" s="14" t="n"/>
      <c r="G302" s="15">
        <f>IF($F302="","",IFERROR(INDEX(rngEPname,MATCH($F302,rngEPcode,0)),"?"))</f>
        <v/>
      </c>
      <c r="H302" s="15">
        <f>IF($F302="","",IFERROR(INDEX(rngEPtype,MATCH($F302,rngEPcode,0)),"?"))</f>
        <v/>
      </c>
      <c r="I302" s="15">
        <f>IF($F302="","",IFERROR(INDEX(rngEPseq,MATCH($F302,rngEPcode,0)),""))</f>
        <v/>
      </c>
      <c r="J302" s="15">
        <f>IF($F302="","",IFERROR(INDEX(rngEPpass,MATCH($F302,rngEPcode,0)),cfgPassingScore))</f>
        <v/>
      </c>
      <c r="K302" s="14" t="n"/>
      <c r="L302" s="14" t="n"/>
      <c r="M302" s="15">
        <f>IF($C302="","",IF($L302="","",IF($K302=1,IF(COUNTIFS(nrES_PID,$D302,nrES_Code,$F302,nrES_Att,2)&gt;0,"",$L302),IF(COUNTIFS(nrES_PID,$D302,nrES_Code,$F302,nrES_Att,1)=0,$L302,IF($L302&gt;=$J302,cfgRetakeRecordedCap,SUMIFS(nrES_Raw,nrES_PID,$D302,nrES_Code,$F302,nrES_Att,1))))))</f>
        <v/>
      </c>
      <c r="N302" s="15">
        <f>IF($C302="","",IF($L302="","",IF($L302&gt;=$J302,"Yes","No")))</f>
        <v/>
      </c>
      <c r="O302" s="15">
        <f>IF($C302="","",IF($M302="","",IF($M302&gt;=$J302,"Yes","No")))</f>
        <v/>
      </c>
      <c r="P302" s="15">
        <f>IF($C302="","",IF($K302="","",IF(COUNTIFS(nrES_PID,$D302,nrES_Code,$F302,nrES_Att,"&gt;"&amp;$K302)=0,"Yes","No")))</f>
        <v/>
      </c>
      <c r="Q302" s="15">
        <f>IF($C302="","",IF($L302="","",IF(AND($K302=1,$L302&lt;$J302,COUNTIFS(nrES_PID,$D302,nrES_Code,$F302,nrES_Att,2)=0),"Yes","No")))</f>
        <v/>
      </c>
      <c r="R302" s="15">
        <f>IF($C302="","",IF($L302="","",IF(AND($K302=2,$L302&lt;$J302,COUNTIFS(nrES_PID,$D302,nrES_Code,$F302,nrES_Att,1)&gt;0),"Yes","No")))</f>
        <v/>
      </c>
      <c r="S302" s="16" t="n"/>
      <c r="T302" s="17">
        <f>IF($Q302&lt;&gt;"Yes","",IF($S302="","(enter date)",_xlfn.LET(_xlpm.dn,IFERROR(_xlfn.XLOOKUP($S302,nrCDdate,nrCDnum),""),IF(_xlpm.dn="","(not a class day)",IFERROR(_xlfn.XLOOKUP(_xlpm.dn+cfgRetestClassDays,nrCDnum,nrCDdate),"")))))</f>
        <v/>
      </c>
      <c r="U302" s="15">
        <f>IF($Q302&lt;&gt;"Yes","",IF(COUNTIFS(nrES_PID,$D302,nrES_Code,$F302,nrES_Att,2)&gt;0,"Retested",IF(OR($T302="",NOT(ISNUMBER($T302))),"Pending",IF(TODAY()&gt;$T302,"OVERDUE","Due "&amp;TEXT($T302,"mm/dd")))))</f>
        <v/>
      </c>
      <c r="V302" s="14" t="n"/>
      <c r="W302" s="14" t="n"/>
    </row>
    <row r="303">
      <c r="B303" s="15">
        <f>IF($C303="","",$D303&amp;"-"&amp;$F303&amp;"-"&amp;$K303)</f>
        <v/>
      </c>
      <c r="C303" s="14" t="n"/>
      <c r="D303" s="15">
        <f>IF($C303="","",IFERROR(INDEX(rngCadetPIDs,MATCH($C303,rngCadetNames,0)),"?"))</f>
        <v/>
      </c>
      <c r="E303" s="15">
        <f>IF($D303="","",IFERROR(INDEX(nrCadetAgency,MATCH($D303,rngCadetPIDs,0)),""))</f>
        <v/>
      </c>
      <c r="F303" s="14" t="n"/>
      <c r="G303" s="15">
        <f>IF($F303="","",IFERROR(INDEX(rngEPname,MATCH($F303,rngEPcode,0)),"?"))</f>
        <v/>
      </c>
      <c r="H303" s="15">
        <f>IF($F303="","",IFERROR(INDEX(rngEPtype,MATCH($F303,rngEPcode,0)),"?"))</f>
        <v/>
      </c>
      <c r="I303" s="15">
        <f>IF($F303="","",IFERROR(INDEX(rngEPseq,MATCH($F303,rngEPcode,0)),""))</f>
        <v/>
      </c>
      <c r="J303" s="15">
        <f>IF($F303="","",IFERROR(INDEX(rngEPpass,MATCH($F303,rngEPcode,0)),cfgPassingScore))</f>
        <v/>
      </c>
      <c r="K303" s="14" t="n"/>
      <c r="L303" s="14" t="n"/>
      <c r="M303" s="15">
        <f>IF($C303="","",IF($L303="","",IF($K303=1,IF(COUNTIFS(nrES_PID,$D303,nrES_Code,$F303,nrES_Att,2)&gt;0,"",$L303),IF(COUNTIFS(nrES_PID,$D303,nrES_Code,$F303,nrES_Att,1)=0,$L303,IF($L303&gt;=$J303,cfgRetakeRecordedCap,SUMIFS(nrES_Raw,nrES_PID,$D303,nrES_Code,$F303,nrES_Att,1))))))</f>
        <v/>
      </c>
      <c r="N303" s="15">
        <f>IF($C303="","",IF($L303="","",IF($L303&gt;=$J303,"Yes","No")))</f>
        <v/>
      </c>
      <c r="O303" s="15">
        <f>IF($C303="","",IF($M303="","",IF($M303&gt;=$J303,"Yes","No")))</f>
        <v/>
      </c>
      <c r="P303" s="15">
        <f>IF($C303="","",IF($K303="","",IF(COUNTIFS(nrES_PID,$D303,nrES_Code,$F303,nrES_Att,"&gt;"&amp;$K303)=0,"Yes","No")))</f>
        <v/>
      </c>
      <c r="Q303" s="15">
        <f>IF($C303="","",IF($L303="","",IF(AND($K303=1,$L303&lt;$J303,COUNTIFS(nrES_PID,$D303,nrES_Code,$F303,nrES_Att,2)=0),"Yes","No")))</f>
        <v/>
      </c>
      <c r="R303" s="15">
        <f>IF($C303="","",IF($L303="","",IF(AND($K303=2,$L303&lt;$J303,COUNTIFS(nrES_PID,$D303,nrES_Code,$F303,nrES_Att,1)&gt;0),"Yes","No")))</f>
        <v/>
      </c>
      <c r="S303" s="16" t="n"/>
      <c r="T303" s="17">
        <f>IF($Q303&lt;&gt;"Yes","",IF($S303="","(enter date)",_xlfn.LET(_xlpm.dn,IFERROR(_xlfn.XLOOKUP($S303,nrCDdate,nrCDnum),""),IF(_xlpm.dn="","(not a class day)",IFERROR(_xlfn.XLOOKUP(_xlpm.dn+cfgRetestClassDays,nrCDnum,nrCDdate),"")))))</f>
        <v/>
      </c>
      <c r="U303" s="15">
        <f>IF($Q303&lt;&gt;"Yes","",IF(COUNTIFS(nrES_PID,$D303,nrES_Code,$F303,nrES_Att,2)&gt;0,"Retested",IF(OR($T303="",NOT(ISNUMBER($T303))),"Pending",IF(TODAY()&gt;$T303,"OVERDUE","Due "&amp;TEXT($T303,"mm/dd")))))</f>
        <v/>
      </c>
      <c r="V303" s="14" t="n"/>
      <c r="W303" s="14" t="n"/>
    </row>
    <row r="304">
      <c r="B304" s="15">
        <f>IF($C304="","",$D304&amp;"-"&amp;$F304&amp;"-"&amp;$K304)</f>
        <v/>
      </c>
      <c r="C304" s="14" t="n"/>
      <c r="D304" s="15">
        <f>IF($C304="","",IFERROR(INDEX(rngCadetPIDs,MATCH($C304,rngCadetNames,0)),"?"))</f>
        <v/>
      </c>
      <c r="E304" s="15">
        <f>IF($D304="","",IFERROR(INDEX(nrCadetAgency,MATCH($D304,rngCadetPIDs,0)),""))</f>
        <v/>
      </c>
      <c r="F304" s="14" t="n"/>
      <c r="G304" s="15">
        <f>IF($F304="","",IFERROR(INDEX(rngEPname,MATCH($F304,rngEPcode,0)),"?"))</f>
        <v/>
      </c>
      <c r="H304" s="15">
        <f>IF($F304="","",IFERROR(INDEX(rngEPtype,MATCH($F304,rngEPcode,0)),"?"))</f>
        <v/>
      </c>
      <c r="I304" s="15">
        <f>IF($F304="","",IFERROR(INDEX(rngEPseq,MATCH($F304,rngEPcode,0)),""))</f>
        <v/>
      </c>
      <c r="J304" s="15">
        <f>IF($F304="","",IFERROR(INDEX(rngEPpass,MATCH($F304,rngEPcode,0)),cfgPassingScore))</f>
        <v/>
      </c>
      <c r="K304" s="14" t="n"/>
      <c r="L304" s="14" t="n"/>
      <c r="M304" s="15">
        <f>IF($C304="","",IF($L304="","",IF($K304=1,IF(COUNTIFS(nrES_PID,$D304,nrES_Code,$F304,nrES_Att,2)&gt;0,"",$L304),IF(COUNTIFS(nrES_PID,$D304,nrES_Code,$F304,nrES_Att,1)=0,$L304,IF($L304&gt;=$J304,cfgRetakeRecordedCap,SUMIFS(nrES_Raw,nrES_PID,$D304,nrES_Code,$F304,nrES_Att,1))))))</f>
        <v/>
      </c>
      <c r="N304" s="15">
        <f>IF($C304="","",IF($L304="","",IF($L304&gt;=$J304,"Yes","No")))</f>
        <v/>
      </c>
      <c r="O304" s="15">
        <f>IF($C304="","",IF($M304="","",IF($M304&gt;=$J304,"Yes","No")))</f>
        <v/>
      </c>
      <c r="P304" s="15">
        <f>IF($C304="","",IF($K304="","",IF(COUNTIFS(nrES_PID,$D304,nrES_Code,$F304,nrES_Att,"&gt;"&amp;$K304)=0,"Yes","No")))</f>
        <v/>
      </c>
      <c r="Q304" s="15">
        <f>IF($C304="","",IF($L304="","",IF(AND($K304=1,$L304&lt;$J304,COUNTIFS(nrES_PID,$D304,nrES_Code,$F304,nrES_Att,2)=0),"Yes","No")))</f>
        <v/>
      </c>
      <c r="R304" s="15">
        <f>IF($C304="","",IF($L304="","",IF(AND($K304=2,$L304&lt;$J304,COUNTIFS(nrES_PID,$D304,nrES_Code,$F304,nrES_Att,1)&gt;0),"Yes","No")))</f>
        <v/>
      </c>
      <c r="S304" s="16" t="n"/>
      <c r="T304" s="17">
        <f>IF($Q304&lt;&gt;"Yes","",IF($S304="","(enter date)",_xlfn.LET(_xlpm.dn,IFERROR(_xlfn.XLOOKUP($S304,nrCDdate,nrCDnum),""),IF(_xlpm.dn="","(not a class day)",IFERROR(_xlfn.XLOOKUP(_xlpm.dn+cfgRetestClassDays,nrCDnum,nrCDdate),"")))))</f>
        <v/>
      </c>
      <c r="U304" s="15">
        <f>IF($Q304&lt;&gt;"Yes","",IF(COUNTIFS(nrES_PID,$D304,nrES_Code,$F304,nrES_Att,2)&gt;0,"Retested",IF(OR($T304="",NOT(ISNUMBER($T304))),"Pending",IF(TODAY()&gt;$T304,"OVERDUE","Due "&amp;TEXT($T304,"mm/dd")))))</f>
        <v/>
      </c>
      <c r="V304" s="14" t="n"/>
      <c r="W304" s="14" t="n"/>
    </row>
    <row r="305">
      <c r="B305" s="15">
        <f>IF($C305="","",$D305&amp;"-"&amp;$F305&amp;"-"&amp;$K305)</f>
        <v/>
      </c>
      <c r="C305" s="14" t="n"/>
      <c r="D305" s="15">
        <f>IF($C305="","",IFERROR(INDEX(rngCadetPIDs,MATCH($C305,rngCadetNames,0)),"?"))</f>
        <v/>
      </c>
      <c r="E305" s="15">
        <f>IF($D305="","",IFERROR(INDEX(nrCadetAgency,MATCH($D305,rngCadetPIDs,0)),""))</f>
        <v/>
      </c>
      <c r="F305" s="14" t="n"/>
      <c r="G305" s="15">
        <f>IF($F305="","",IFERROR(INDEX(rngEPname,MATCH($F305,rngEPcode,0)),"?"))</f>
        <v/>
      </c>
      <c r="H305" s="15">
        <f>IF($F305="","",IFERROR(INDEX(rngEPtype,MATCH($F305,rngEPcode,0)),"?"))</f>
        <v/>
      </c>
      <c r="I305" s="15">
        <f>IF($F305="","",IFERROR(INDEX(rngEPseq,MATCH($F305,rngEPcode,0)),""))</f>
        <v/>
      </c>
      <c r="J305" s="15">
        <f>IF($F305="","",IFERROR(INDEX(rngEPpass,MATCH($F305,rngEPcode,0)),cfgPassingScore))</f>
        <v/>
      </c>
      <c r="K305" s="14" t="n"/>
      <c r="L305" s="14" t="n"/>
      <c r="M305" s="15">
        <f>IF($C305="","",IF($L305="","",IF($K305=1,IF(COUNTIFS(nrES_PID,$D305,nrES_Code,$F305,nrES_Att,2)&gt;0,"",$L305),IF(COUNTIFS(nrES_PID,$D305,nrES_Code,$F305,nrES_Att,1)=0,$L305,IF($L305&gt;=$J305,cfgRetakeRecordedCap,SUMIFS(nrES_Raw,nrES_PID,$D305,nrES_Code,$F305,nrES_Att,1))))))</f>
        <v/>
      </c>
      <c r="N305" s="15">
        <f>IF($C305="","",IF($L305="","",IF($L305&gt;=$J305,"Yes","No")))</f>
        <v/>
      </c>
      <c r="O305" s="15">
        <f>IF($C305="","",IF($M305="","",IF($M305&gt;=$J305,"Yes","No")))</f>
        <v/>
      </c>
      <c r="P305" s="15">
        <f>IF($C305="","",IF($K305="","",IF(COUNTIFS(nrES_PID,$D305,nrES_Code,$F305,nrES_Att,"&gt;"&amp;$K305)=0,"Yes","No")))</f>
        <v/>
      </c>
      <c r="Q305" s="15">
        <f>IF($C305="","",IF($L305="","",IF(AND($K305=1,$L305&lt;$J305,COUNTIFS(nrES_PID,$D305,nrES_Code,$F305,nrES_Att,2)=0),"Yes","No")))</f>
        <v/>
      </c>
      <c r="R305" s="15">
        <f>IF($C305="","",IF($L305="","",IF(AND($K305=2,$L305&lt;$J305,COUNTIFS(nrES_PID,$D305,nrES_Code,$F305,nrES_Att,1)&gt;0),"Yes","No")))</f>
        <v/>
      </c>
      <c r="S305" s="16" t="n"/>
      <c r="T305" s="17">
        <f>IF($Q305&lt;&gt;"Yes","",IF($S305="","(enter date)",_xlfn.LET(_xlpm.dn,IFERROR(_xlfn.XLOOKUP($S305,nrCDdate,nrCDnum),""),IF(_xlpm.dn="","(not a class day)",IFERROR(_xlfn.XLOOKUP(_xlpm.dn+cfgRetestClassDays,nrCDnum,nrCDdate),"")))))</f>
        <v/>
      </c>
      <c r="U305" s="15">
        <f>IF($Q305&lt;&gt;"Yes","",IF(COUNTIFS(nrES_PID,$D305,nrES_Code,$F305,nrES_Att,2)&gt;0,"Retested",IF(OR($T305="",NOT(ISNUMBER($T305))),"Pending",IF(TODAY()&gt;$T305,"OVERDUE","Due "&amp;TEXT($T305,"mm/dd")))))</f>
        <v/>
      </c>
      <c r="V305" s="14" t="n"/>
      <c r="W305" s="14" t="n"/>
    </row>
    <row r="306">
      <c r="B306" s="15">
        <f>IF($C306="","",$D306&amp;"-"&amp;$F306&amp;"-"&amp;$K306)</f>
        <v/>
      </c>
      <c r="C306" s="14" t="n"/>
      <c r="D306" s="15">
        <f>IF($C306="","",IFERROR(INDEX(rngCadetPIDs,MATCH($C306,rngCadetNames,0)),"?"))</f>
        <v/>
      </c>
      <c r="E306" s="15">
        <f>IF($D306="","",IFERROR(INDEX(nrCadetAgency,MATCH($D306,rngCadetPIDs,0)),""))</f>
        <v/>
      </c>
      <c r="F306" s="14" t="n"/>
      <c r="G306" s="15">
        <f>IF($F306="","",IFERROR(INDEX(rngEPname,MATCH($F306,rngEPcode,0)),"?"))</f>
        <v/>
      </c>
      <c r="H306" s="15">
        <f>IF($F306="","",IFERROR(INDEX(rngEPtype,MATCH($F306,rngEPcode,0)),"?"))</f>
        <v/>
      </c>
      <c r="I306" s="15">
        <f>IF($F306="","",IFERROR(INDEX(rngEPseq,MATCH($F306,rngEPcode,0)),""))</f>
        <v/>
      </c>
      <c r="J306" s="15">
        <f>IF($F306="","",IFERROR(INDEX(rngEPpass,MATCH($F306,rngEPcode,0)),cfgPassingScore))</f>
        <v/>
      </c>
      <c r="K306" s="14" t="n"/>
      <c r="L306" s="14" t="n"/>
      <c r="M306" s="15">
        <f>IF($C306="","",IF($L306="","",IF($K306=1,IF(COUNTIFS(nrES_PID,$D306,nrES_Code,$F306,nrES_Att,2)&gt;0,"",$L306),IF(COUNTIFS(nrES_PID,$D306,nrES_Code,$F306,nrES_Att,1)=0,$L306,IF($L306&gt;=$J306,cfgRetakeRecordedCap,SUMIFS(nrES_Raw,nrES_PID,$D306,nrES_Code,$F306,nrES_Att,1))))))</f>
        <v/>
      </c>
      <c r="N306" s="15">
        <f>IF($C306="","",IF($L306="","",IF($L306&gt;=$J306,"Yes","No")))</f>
        <v/>
      </c>
      <c r="O306" s="15">
        <f>IF($C306="","",IF($M306="","",IF($M306&gt;=$J306,"Yes","No")))</f>
        <v/>
      </c>
      <c r="P306" s="15">
        <f>IF($C306="","",IF($K306="","",IF(COUNTIFS(nrES_PID,$D306,nrES_Code,$F306,nrES_Att,"&gt;"&amp;$K306)=0,"Yes","No")))</f>
        <v/>
      </c>
      <c r="Q306" s="15">
        <f>IF($C306="","",IF($L306="","",IF(AND($K306=1,$L306&lt;$J306,COUNTIFS(nrES_PID,$D306,nrES_Code,$F306,nrES_Att,2)=0),"Yes","No")))</f>
        <v/>
      </c>
      <c r="R306" s="15">
        <f>IF($C306="","",IF($L306="","",IF(AND($K306=2,$L306&lt;$J306,COUNTIFS(nrES_PID,$D306,nrES_Code,$F306,nrES_Att,1)&gt;0),"Yes","No")))</f>
        <v/>
      </c>
      <c r="S306" s="16" t="n"/>
      <c r="T306" s="17">
        <f>IF($Q306&lt;&gt;"Yes","",IF($S306="","(enter date)",_xlfn.LET(_xlpm.dn,IFERROR(_xlfn.XLOOKUP($S306,nrCDdate,nrCDnum),""),IF(_xlpm.dn="","(not a class day)",IFERROR(_xlfn.XLOOKUP(_xlpm.dn+cfgRetestClassDays,nrCDnum,nrCDdate),"")))))</f>
        <v/>
      </c>
      <c r="U306" s="15">
        <f>IF($Q306&lt;&gt;"Yes","",IF(COUNTIFS(nrES_PID,$D306,nrES_Code,$F306,nrES_Att,2)&gt;0,"Retested",IF(OR($T306="",NOT(ISNUMBER($T306))),"Pending",IF(TODAY()&gt;$T306,"OVERDUE","Due "&amp;TEXT($T306,"mm/dd")))))</f>
        <v/>
      </c>
      <c r="V306" s="14" t="n"/>
      <c r="W306" s="14" t="n"/>
    </row>
    <row r="307">
      <c r="B307" s="15">
        <f>IF($C307="","",$D307&amp;"-"&amp;$F307&amp;"-"&amp;$K307)</f>
        <v/>
      </c>
      <c r="C307" s="14" t="n"/>
      <c r="D307" s="15">
        <f>IF($C307="","",IFERROR(INDEX(rngCadetPIDs,MATCH($C307,rngCadetNames,0)),"?"))</f>
        <v/>
      </c>
      <c r="E307" s="15">
        <f>IF($D307="","",IFERROR(INDEX(nrCadetAgency,MATCH($D307,rngCadetPIDs,0)),""))</f>
        <v/>
      </c>
      <c r="F307" s="14" t="n"/>
      <c r="G307" s="15">
        <f>IF($F307="","",IFERROR(INDEX(rngEPname,MATCH($F307,rngEPcode,0)),"?"))</f>
        <v/>
      </c>
      <c r="H307" s="15">
        <f>IF($F307="","",IFERROR(INDEX(rngEPtype,MATCH($F307,rngEPcode,0)),"?"))</f>
        <v/>
      </c>
      <c r="I307" s="15">
        <f>IF($F307="","",IFERROR(INDEX(rngEPseq,MATCH($F307,rngEPcode,0)),""))</f>
        <v/>
      </c>
      <c r="J307" s="15">
        <f>IF($F307="","",IFERROR(INDEX(rngEPpass,MATCH($F307,rngEPcode,0)),cfgPassingScore))</f>
        <v/>
      </c>
      <c r="K307" s="14" t="n"/>
      <c r="L307" s="14" t="n"/>
      <c r="M307" s="15">
        <f>IF($C307="","",IF($L307="","",IF($K307=1,IF(COUNTIFS(nrES_PID,$D307,nrES_Code,$F307,nrES_Att,2)&gt;0,"",$L307),IF(COUNTIFS(nrES_PID,$D307,nrES_Code,$F307,nrES_Att,1)=0,$L307,IF($L307&gt;=$J307,cfgRetakeRecordedCap,SUMIFS(nrES_Raw,nrES_PID,$D307,nrES_Code,$F307,nrES_Att,1))))))</f>
        <v/>
      </c>
      <c r="N307" s="15">
        <f>IF($C307="","",IF($L307="","",IF($L307&gt;=$J307,"Yes","No")))</f>
        <v/>
      </c>
      <c r="O307" s="15">
        <f>IF($C307="","",IF($M307="","",IF($M307&gt;=$J307,"Yes","No")))</f>
        <v/>
      </c>
      <c r="P307" s="15">
        <f>IF($C307="","",IF($K307="","",IF(COUNTIFS(nrES_PID,$D307,nrES_Code,$F307,nrES_Att,"&gt;"&amp;$K307)=0,"Yes","No")))</f>
        <v/>
      </c>
      <c r="Q307" s="15">
        <f>IF($C307="","",IF($L307="","",IF(AND($K307=1,$L307&lt;$J307,COUNTIFS(nrES_PID,$D307,nrES_Code,$F307,nrES_Att,2)=0),"Yes","No")))</f>
        <v/>
      </c>
      <c r="R307" s="15">
        <f>IF($C307="","",IF($L307="","",IF(AND($K307=2,$L307&lt;$J307,COUNTIFS(nrES_PID,$D307,nrES_Code,$F307,nrES_Att,1)&gt;0),"Yes","No")))</f>
        <v/>
      </c>
      <c r="S307" s="16" t="n"/>
      <c r="T307" s="17">
        <f>IF($Q307&lt;&gt;"Yes","",IF($S307="","(enter date)",_xlfn.LET(_xlpm.dn,IFERROR(_xlfn.XLOOKUP($S307,nrCDdate,nrCDnum),""),IF(_xlpm.dn="","(not a class day)",IFERROR(_xlfn.XLOOKUP(_xlpm.dn+cfgRetestClassDays,nrCDnum,nrCDdate),"")))))</f>
        <v/>
      </c>
      <c r="U307" s="15">
        <f>IF($Q307&lt;&gt;"Yes","",IF(COUNTIFS(nrES_PID,$D307,nrES_Code,$F307,nrES_Att,2)&gt;0,"Retested",IF(OR($T307="",NOT(ISNUMBER($T307))),"Pending",IF(TODAY()&gt;$T307,"OVERDUE","Due "&amp;TEXT($T307,"mm/dd")))))</f>
        <v/>
      </c>
      <c r="V307" s="14" t="n"/>
      <c r="W307" s="14" t="n"/>
    </row>
    <row r="308">
      <c r="B308" s="15">
        <f>IF($C308="","",$D308&amp;"-"&amp;$F308&amp;"-"&amp;$K308)</f>
        <v/>
      </c>
      <c r="C308" s="14" t="n"/>
      <c r="D308" s="15">
        <f>IF($C308="","",IFERROR(INDEX(rngCadetPIDs,MATCH($C308,rngCadetNames,0)),"?"))</f>
        <v/>
      </c>
      <c r="E308" s="15">
        <f>IF($D308="","",IFERROR(INDEX(nrCadetAgency,MATCH($D308,rngCadetPIDs,0)),""))</f>
        <v/>
      </c>
      <c r="F308" s="14" t="n"/>
      <c r="G308" s="15">
        <f>IF($F308="","",IFERROR(INDEX(rngEPname,MATCH($F308,rngEPcode,0)),"?"))</f>
        <v/>
      </c>
      <c r="H308" s="15">
        <f>IF($F308="","",IFERROR(INDEX(rngEPtype,MATCH($F308,rngEPcode,0)),"?"))</f>
        <v/>
      </c>
      <c r="I308" s="15">
        <f>IF($F308="","",IFERROR(INDEX(rngEPseq,MATCH($F308,rngEPcode,0)),""))</f>
        <v/>
      </c>
      <c r="J308" s="15">
        <f>IF($F308="","",IFERROR(INDEX(rngEPpass,MATCH($F308,rngEPcode,0)),cfgPassingScore))</f>
        <v/>
      </c>
      <c r="K308" s="14" t="n"/>
      <c r="L308" s="14" t="n"/>
      <c r="M308" s="15">
        <f>IF($C308="","",IF($L308="","",IF($K308=1,IF(COUNTIFS(nrES_PID,$D308,nrES_Code,$F308,nrES_Att,2)&gt;0,"",$L308),IF(COUNTIFS(nrES_PID,$D308,nrES_Code,$F308,nrES_Att,1)=0,$L308,IF($L308&gt;=$J308,cfgRetakeRecordedCap,SUMIFS(nrES_Raw,nrES_PID,$D308,nrES_Code,$F308,nrES_Att,1))))))</f>
        <v/>
      </c>
      <c r="N308" s="15">
        <f>IF($C308="","",IF($L308="","",IF($L308&gt;=$J308,"Yes","No")))</f>
        <v/>
      </c>
      <c r="O308" s="15">
        <f>IF($C308="","",IF($M308="","",IF($M308&gt;=$J308,"Yes","No")))</f>
        <v/>
      </c>
      <c r="P308" s="15">
        <f>IF($C308="","",IF($K308="","",IF(COUNTIFS(nrES_PID,$D308,nrES_Code,$F308,nrES_Att,"&gt;"&amp;$K308)=0,"Yes","No")))</f>
        <v/>
      </c>
      <c r="Q308" s="15">
        <f>IF($C308="","",IF($L308="","",IF(AND($K308=1,$L308&lt;$J308,COUNTIFS(nrES_PID,$D308,nrES_Code,$F308,nrES_Att,2)=0),"Yes","No")))</f>
        <v/>
      </c>
      <c r="R308" s="15">
        <f>IF($C308="","",IF($L308="","",IF(AND($K308=2,$L308&lt;$J308,COUNTIFS(nrES_PID,$D308,nrES_Code,$F308,nrES_Att,1)&gt;0),"Yes","No")))</f>
        <v/>
      </c>
      <c r="S308" s="16" t="n"/>
      <c r="T308" s="17">
        <f>IF($Q308&lt;&gt;"Yes","",IF($S308="","(enter date)",_xlfn.LET(_xlpm.dn,IFERROR(_xlfn.XLOOKUP($S308,nrCDdate,nrCDnum),""),IF(_xlpm.dn="","(not a class day)",IFERROR(_xlfn.XLOOKUP(_xlpm.dn+cfgRetestClassDays,nrCDnum,nrCDdate),"")))))</f>
        <v/>
      </c>
      <c r="U308" s="15">
        <f>IF($Q308&lt;&gt;"Yes","",IF(COUNTIFS(nrES_PID,$D308,nrES_Code,$F308,nrES_Att,2)&gt;0,"Retested",IF(OR($T308="",NOT(ISNUMBER($T308))),"Pending",IF(TODAY()&gt;$T308,"OVERDUE","Due "&amp;TEXT($T308,"mm/dd")))))</f>
        <v/>
      </c>
      <c r="V308" s="14" t="n"/>
      <c r="W308" s="14" t="n"/>
    </row>
    <row r="309">
      <c r="B309" s="15">
        <f>IF($C309="","",$D309&amp;"-"&amp;$F309&amp;"-"&amp;$K309)</f>
        <v/>
      </c>
      <c r="C309" s="14" t="n"/>
      <c r="D309" s="15">
        <f>IF($C309="","",IFERROR(INDEX(rngCadetPIDs,MATCH($C309,rngCadetNames,0)),"?"))</f>
        <v/>
      </c>
      <c r="E309" s="15">
        <f>IF($D309="","",IFERROR(INDEX(nrCadetAgency,MATCH($D309,rngCadetPIDs,0)),""))</f>
        <v/>
      </c>
      <c r="F309" s="14" t="n"/>
      <c r="G309" s="15">
        <f>IF($F309="","",IFERROR(INDEX(rngEPname,MATCH($F309,rngEPcode,0)),"?"))</f>
        <v/>
      </c>
      <c r="H309" s="15">
        <f>IF($F309="","",IFERROR(INDEX(rngEPtype,MATCH($F309,rngEPcode,0)),"?"))</f>
        <v/>
      </c>
      <c r="I309" s="15">
        <f>IF($F309="","",IFERROR(INDEX(rngEPseq,MATCH($F309,rngEPcode,0)),""))</f>
        <v/>
      </c>
      <c r="J309" s="15">
        <f>IF($F309="","",IFERROR(INDEX(rngEPpass,MATCH($F309,rngEPcode,0)),cfgPassingScore))</f>
        <v/>
      </c>
      <c r="K309" s="14" t="n"/>
      <c r="L309" s="14" t="n"/>
      <c r="M309" s="15">
        <f>IF($C309="","",IF($L309="","",IF($K309=1,IF(COUNTIFS(nrES_PID,$D309,nrES_Code,$F309,nrES_Att,2)&gt;0,"",$L309),IF(COUNTIFS(nrES_PID,$D309,nrES_Code,$F309,nrES_Att,1)=0,$L309,IF($L309&gt;=$J309,cfgRetakeRecordedCap,SUMIFS(nrES_Raw,nrES_PID,$D309,nrES_Code,$F309,nrES_Att,1))))))</f>
        <v/>
      </c>
      <c r="N309" s="15">
        <f>IF($C309="","",IF($L309="","",IF($L309&gt;=$J309,"Yes","No")))</f>
        <v/>
      </c>
      <c r="O309" s="15">
        <f>IF($C309="","",IF($M309="","",IF($M309&gt;=$J309,"Yes","No")))</f>
        <v/>
      </c>
      <c r="P309" s="15">
        <f>IF($C309="","",IF($K309="","",IF(COUNTIFS(nrES_PID,$D309,nrES_Code,$F309,nrES_Att,"&gt;"&amp;$K309)=0,"Yes","No")))</f>
        <v/>
      </c>
      <c r="Q309" s="15">
        <f>IF($C309="","",IF($L309="","",IF(AND($K309=1,$L309&lt;$J309,COUNTIFS(nrES_PID,$D309,nrES_Code,$F309,nrES_Att,2)=0),"Yes","No")))</f>
        <v/>
      </c>
      <c r="R309" s="15">
        <f>IF($C309="","",IF($L309="","",IF(AND($K309=2,$L309&lt;$J309,COUNTIFS(nrES_PID,$D309,nrES_Code,$F309,nrES_Att,1)&gt;0),"Yes","No")))</f>
        <v/>
      </c>
      <c r="S309" s="16" t="n"/>
      <c r="T309" s="17">
        <f>IF($Q309&lt;&gt;"Yes","",IF($S309="","(enter date)",_xlfn.LET(_xlpm.dn,IFERROR(_xlfn.XLOOKUP($S309,nrCDdate,nrCDnum),""),IF(_xlpm.dn="","(not a class day)",IFERROR(_xlfn.XLOOKUP(_xlpm.dn+cfgRetestClassDays,nrCDnum,nrCDdate),"")))))</f>
        <v/>
      </c>
      <c r="U309" s="15">
        <f>IF($Q309&lt;&gt;"Yes","",IF(COUNTIFS(nrES_PID,$D309,nrES_Code,$F309,nrES_Att,2)&gt;0,"Retested",IF(OR($T309="",NOT(ISNUMBER($T309))),"Pending",IF(TODAY()&gt;$T309,"OVERDUE","Due "&amp;TEXT($T309,"mm/dd")))))</f>
        <v/>
      </c>
      <c r="V309" s="14" t="n"/>
      <c r="W309" s="14" t="n"/>
    </row>
    <row r="310">
      <c r="B310" s="15">
        <f>IF($C310="","",$D310&amp;"-"&amp;$F310&amp;"-"&amp;$K310)</f>
        <v/>
      </c>
      <c r="C310" s="14" t="n"/>
      <c r="D310" s="15">
        <f>IF($C310="","",IFERROR(INDEX(rngCadetPIDs,MATCH($C310,rngCadetNames,0)),"?"))</f>
        <v/>
      </c>
      <c r="E310" s="15">
        <f>IF($D310="","",IFERROR(INDEX(nrCadetAgency,MATCH($D310,rngCadetPIDs,0)),""))</f>
        <v/>
      </c>
      <c r="F310" s="14" t="n"/>
      <c r="G310" s="15">
        <f>IF($F310="","",IFERROR(INDEX(rngEPname,MATCH($F310,rngEPcode,0)),"?"))</f>
        <v/>
      </c>
      <c r="H310" s="15">
        <f>IF($F310="","",IFERROR(INDEX(rngEPtype,MATCH($F310,rngEPcode,0)),"?"))</f>
        <v/>
      </c>
      <c r="I310" s="15">
        <f>IF($F310="","",IFERROR(INDEX(rngEPseq,MATCH($F310,rngEPcode,0)),""))</f>
        <v/>
      </c>
      <c r="J310" s="15">
        <f>IF($F310="","",IFERROR(INDEX(rngEPpass,MATCH($F310,rngEPcode,0)),cfgPassingScore))</f>
        <v/>
      </c>
      <c r="K310" s="14" t="n"/>
      <c r="L310" s="14" t="n"/>
      <c r="M310" s="15">
        <f>IF($C310="","",IF($L310="","",IF($K310=1,IF(COUNTIFS(nrES_PID,$D310,nrES_Code,$F310,nrES_Att,2)&gt;0,"",$L310),IF(COUNTIFS(nrES_PID,$D310,nrES_Code,$F310,nrES_Att,1)=0,$L310,IF($L310&gt;=$J310,cfgRetakeRecordedCap,SUMIFS(nrES_Raw,nrES_PID,$D310,nrES_Code,$F310,nrES_Att,1))))))</f>
        <v/>
      </c>
      <c r="N310" s="15">
        <f>IF($C310="","",IF($L310="","",IF($L310&gt;=$J310,"Yes","No")))</f>
        <v/>
      </c>
      <c r="O310" s="15">
        <f>IF($C310="","",IF($M310="","",IF($M310&gt;=$J310,"Yes","No")))</f>
        <v/>
      </c>
      <c r="P310" s="15">
        <f>IF($C310="","",IF($K310="","",IF(COUNTIFS(nrES_PID,$D310,nrES_Code,$F310,nrES_Att,"&gt;"&amp;$K310)=0,"Yes","No")))</f>
        <v/>
      </c>
      <c r="Q310" s="15">
        <f>IF($C310="","",IF($L310="","",IF(AND($K310=1,$L310&lt;$J310,COUNTIFS(nrES_PID,$D310,nrES_Code,$F310,nrES_Att,2)=0),"Yes","No")))</f>
        <v/>
      </c>
      <c r="R310" s="15">
        <f>IF($C310="","",IF($L310="","",IF(AND($K310=2,$L310&lt;$J310,COUNTIFS(nrES_PID,$D310,nrES_Code,$F310,nrES_Att,1)&gt;0),"Yes","No")))</f>
        <v/>
      </c>
      <c r="S310" s="16" t="n"/>
      <c r="T310" s="17">
        <f>IF($Q310&lt;&gt;"Yes","",IF($S310="","(enter date)",_xlfn.LET(_xlpm.dn,IFERROR(_xlfn.XLOOKUP($S310,nrCDdate,nrCDnum),""),IF(_xlpm.dn="","(not a class day)",IFERROR(_xlfn.XLOOKUP(_xlpm.dn+cfgRetestClassDays,nrCDnum,nrCDdate),"")))))</f>
        <v/>
      </c>
      <c r="U310" s="15">
        <f>IF($Q310&lt;&gt;"Yes","",IF(COUNTIFS(nrES_PID,$D310,nrES_Code,$F310,nrES_Att,2)&gt;0,"Retested",IF(OR($T310="",NOT(ISNUMBER($T310))),"Pending",IF(TODAY()&gt;$T310,"OVERDUE","Due "&amp;TEXT($T310,"mm/dd")))))</f>
        <v/>
      </c>
      <c r="V310" s="14" t="n"/>
      <c r="W310" s="14" t="n"/>
    </row>
    <row r="311">
      <c r="B311" s="15">
        <f>IF($C311="","",$D311&amp;"-"&amp;$F311&amp;"-"&amp;$K311)</f>
        <v/>
      </c>
      <c r="C311" s="14" t="n"/>
      <c r="D311" s="15">
        <f>IF($C311="","",IFERROR(INDEX(rngCadetPIDs,MATCH($C311,rngCadetNames,0)),"?"))</f>
        <v/>
      </c>
      <c r="E311" s="15">
        <f>IF($D311="","",IFERROR(INDEX(nrCadetAgency,MATCH($D311,rngCadetPIDs,0)),""))</f>
        <v/>
      </c>
      <c r="F311" s="14" t="n"/>
      <c r="G311" s="15">
        <f>IF($F311="","",IFERROR(INDEX(rngEPname,MATCH($F311,rngEPcode,0)),"?"))</f>
        <v/>
      </c>
      <c r="H311" s="15">
        <f>IF($F311="","",IFERROR(INDEX(rngEPtype,MATCH($F311,rngEPcode,0)),"?"))</f>
        <v/>
      </c>
      <c r="I311" s="15">
        <f>IF($F311="","",IFERROR(INDEX(rngEPseq,MATCH($F311,rngEPcode,0)),""))</f>
        <v/>
      </c>
      <c r="J311" s="15">
        <f>IF($F311="","",IFERROR(INDEX(rngEPpass,MATCH($F311,rngEPcode,0)),cfgPassingScore))</f>
        <v/>
      </c>
      <c r="K311" s="14" t="n"/>
      <c r="L311" s="14" t="n"/>
      <c r="M311" s="15">
        <f>IF($C311="","",IF($L311="","",IF($K311=1,IF(COUNTIFS(nrES_PID,$D311,nrES_Code,$F311,nrES_Att,2)&gt;0,"",$L311),IF(COUNTIFS(nrES_PID,$D311,nrES_Code,$F311,nrES_Att,1)=0,$L311,IF($L311&gt;=$J311,cfgRetakeRecordedCap,SUMIFS(nrES_Raw,nrES_PID,$D311,nrES_Code,$F311,nrES_Att,1))))))</f>
        <v/>
      </c>
      <c r="N311" s="15">
        <f>IF($C311="","",IF($L311="","",IF($L311&gt;=$J311,"Yes","No")))</f>
        <v/>
      </c>
      <c r="O311" s="15">
        <f>IF($C311="","",IF($M311="","",IF($M311&gt;=$J311,"Yes","No")))</f>
        <v/>
      </c>
      <c r="P311" s="15">
        <f>IF($C311="","",IF($K311="","",IF(COUNTIFS(nrES_PID,$D311,nrES_Code,$F311,nrES_Att,"&gt;"&amp;$K311)=0,"Yes","No")))</f>
        <v/>
      </c>
      <c r="Q311" s="15">
        <f>IF($C311="","",IF($L311="","",IF(AND($K311=1,$L311&lt;$J311,COUNTIFS(nrES_PID,$D311,nrES_Code,$F311,nrES_Att,2)=0),"Yes","No")))</f>
        <v/>
      </c>
      <c r="R311" s="15">
        <f>IF($C311="","",IF($L311="","",IF(AND($K311=2,$L311&lt;$J311,COUNTIFS(nrES_PID,$D311,nrES_Code,$F311,nrES_Att,1)&gt;0),"Yes","No")))</f>
        <v/>
      </c>
      <c r="S311" s="16" t="n"/>
      <c r="T311" s="17">
        <f>IF($Q311&lt;&gt;"Yes","",IF($S311="","(enter date)",_xlfn.LET(_xlpm.dn,IFERROR(_xlfn.XLOOKUP($S311,nrCDdate,nrCDnum),""),IF(_xlpm.dn="","(not a class day)",IFERROR(_xlfn.XLOOKUP(_xlpm.dn+cfgRetestClassDays,nrCDnum,nrCDdate),"")))))</f>
        <v/>
      </c>
      <c r="U311" s="15">
        <f>IF($Q311&lt;&gt;"Yes","",IF(COUNTIFS(nrES_PID,$D311,nrES_Code,$F311,nrES_Att,2)&gt;0,"Retested",IF(OR($T311="",NOT(ISNUMBER($T311))),"Pending",IF(TODAY()&gt;$T311,"OVERDUE","Due "&amp;TEXT($T311,"mm/dd")))))</f>
        <v/>
      </c>
      <c r="V311" s="14" t="n"/>
      <c r="W311" s="14" t="n"/>
    </row>
    <row r="312">
      <c r="B312" s="15">
        <f>IF($C312="","",$D312&amp;"-"&amp;$F312&amp;"-"&amp;$K312)</f>
        <v/>
      </c>
      <c r="C312" s="14" t="n"/>
      <c r="D312" s="15">
        <f>IF($C312="","",IFERROR(INDEX(rngCadetPIDs,MATCH($C312,rngCadetNames,0)),"?"))</f>
        <v/>
      </c>
      <c r="E312" s="15">
        <f>IF($D312="","",IFERROR(INDEX(nrCadetAgency,MATCH($D312,rngCadetPIDs,0)),""))</f>
        <v/>
      </c>
      <c r="F312" s="14" t="n"/>
      <c r="G312" s="15">
        <f>IF($F312="","",IFERROR(INDEX(rngEPname,MATCH($F312,rngEPcode,0)),"?"))</f>
        <v/>
      </c>
      <c r="H312" s="15">
        <f>IF($F312="","",IFERROR(INDEX(rngEPtype,MATCH($F312,rngEPcode,0)),"?"))</f>
        <v/>
      </c>
      <c r="I312" s="15">
        <f>IF($F312="","",IFERROR(INDEX(rngEPseq,MATCH($F312,rngEPcode,0)),""))</f>
        <v/>
      </c>
      <c r="J312" s="15">
        <f>IF($F312="","",IFERROR(INDEX(rngEPpass,MATCH($F312,rngEPcode,0)),cfgPassingScore))</f>
        <v/>
      </c>
      <c r="K312" s="14" t="n"/>
      <c r="L312" s="14" t="n"/>
      <c r="M312" s="15">
        <f>IF($C312="","",IF($L312="","",IF($K312=1,IF(COUNTIFS(nrES_PID,$D312,nrES_Code,$F312,nrES_Att,2)&gt;0,"",$L312),IF(COUNTIFS(nrES_PID,$D312,nrES_Code,$F312,nrES_Att,1)=0,$L312,IF($L312&gt;=$J312,cfgRetakeRecordedCap,SUMIFS(nrES_Raw,nrES_PID,$D312,nrES_Code,$F312,nrES_Att,1))))))</f>
        <v/>
      </c>
      <c r="N312" s="15">
        <f>IF($C312="","",IF($L312="","",IF($L312&gt;=$J312,"Yes","No")))</f>
        <v/>
      </c>
      <c r="O312" s="15">
        <f>IF($C312="","",IF($M312="","",IF($M312&gt;=$J312,"Yes","No")))</f>
        <v/>
      </c>
      <c r="P312" s="15">
        <f>IF($C312="","",IF($K312="","",IF(COUNTIFS(nrES_PID,$D312,nrES_Code,$F312,nrES_Att,"&gt;"&amp;$K312)=0,"Yes","No")))</f>
        <v/>
      </c>
      <c r="Q312" s="15">
        <f>IF($C312="","",IF($L312="","",IF(AND($K312=1,$L312&lt;$J312,COUNTIFS(nrES_PID,$D312,nrES_Code,$F312,nrES_Att,2)=0),"Yes","No")))</f>
        <v/>
      </c>
      <c r="R312" s="15">
        <f>IF($C312="","",IF($L312="","",IF(AND($K312=2,$L312&lt;$J312,COUNTIFS(nrES_PID,$D312,nrES_Code,$F312,nrES_Att,1)&gt;0),"Yes","No")))</f>
        <v/>
      </c>
      <c r="S312" s="16" t="n"/>
      <c r="T312" s="17">
        <f>IF($Q312&lt;&gt;"Yes","",IF($S312="","(enter date)",_xlfn.LET(_xlpm.dn,IFERROR(_xlfn.XLOOKUP($S312,nrCDdate,nrCDnum),""),IF(_xlpm.dn="","(not a class day)",IFERROR(_xlfn.XLOOKUP(_xlpm.dn+cfgRetestClassDays,nrCDnum,nrCDdate),"")))))</f>
        <v/>
      </c>
      <c r="U312" s="15">
        <f>IF($Q312&lt;&gt;"Yes","",IF(COUNTIFS(nrES_PID,$D312,nrES_Code,$F312,nrES_Att,2)&gt;0,"Retested",IF(OR($T312="",NOT(ISNUMBER($T312))),"Pending",IF(TODAY()&gt;$T312,"OVERDUE","Due "&amp;TEXT($T312,"mm/dd")))))</f>
        <v/>
      </c>
      <c r="V312" s="14" t="n"/>
      <c r="W312" s="14" t="n"/>
    </row>
    <row r="313">
      <c r="B313" s="15">
        <f>IF($C313="","",$D313&amp;"-"&amp;$F313&amp;"-"&amp;$K313)</f>
        <v/>
      </c>
      <c r="C313" s="14" t="n"/>
      <c r="D313" s="15">
        <f>IF($C313="","",IFERROR(INDEX(rngCadetPIDs,MATCH($C313,rngCadetNames,0)),"?"))</f>
        <v/>
      </c>
      <c r="E313" s="15">
        <f>IF($D313="","",IFERROR(INDEX(nrCadetAgency,MATCH($D313,rngCadetPIDs,0)),""))</f>
        <v/>
      </c>
      <c r="F313" s="14" t="n"/>
      <c r="G313" s="15">
        <f>IF($F313="","",IFERROR(INDEX(rngEPname,MATCH($F313,rngEPcode,0)),"?"))</f>
        <v/>
      </c>
      <c r="H313" s="15">
        <f>IF($F313="","",IFERROR(INDEX(rngEPtype,MATCH($F313,rngEPcode,0)),"?"))</f>
        <v/>
      </c>
      <c r="I313" s="15">
        <f>IF($F313="","",IFERROR(INDEX(rngEPseq,MATCH($F313,rngEPcode,0)),""))</f>
        <v/>
      </c>
      <c r="J313" s="15">
        <f>IF($F313="","",IFERROR(INDEX(rngEPpass,MATCH($F313,rngEPcode,0)),cfgPassingScore))</f>
        <v/>
      </c>
      <c r="K313" s="14" t="n"/>
      <c r="L313" s="14" t="n"/>
      <c r="M313" s="15">
        <f>IF($C313="","",IF($L313="","",IF($K313=1,IF(COUNTIFS(nrES_PID,$D313,nrES_Code,$F313,nrES_Att,2)&gt;0,"",$L313),IF(COUNTIFS(nrES_PID,$D313,nrES_Code,$F313,nrES_Att,1)=0,$L313,IF($L313&gt;=$J313,cfgRetakeRecordedCap,SUMIFS(nrES_Raw,nrES_PID,$D313,nrES_Code,$F313,nrES_Att,1))))))</f>
        <v/>
      </c>
      <c r="N313" s="15">
        <f>IF($C313="","",IF($L313="","",IF($L313&gt;=$J313,"Yes","No")))</f>
        <v/>
      </c>
      <c r="O313" s="15">
        <f>IF($C313="","",IF($M313="","",IF($M313&gt;=$J313,"Yes","No")))</f>
        <v/>
      </c>
      <c r="P313" s="15">
        <f>IF($C313="","",IF($K313="","",IF(COUNTIFS(nrES_PID,$D313,nrES_Code,$F313,nrES_Att,"&gt;"&amp;$K313)=0,"Yes","No")))</f>
        <v/>
      </c>
      <c r="Q313" s="15">
        <f>IF($C313="","",IF($L313="","",IF(AND($K313=1,$L313&lt;$J313,COUNTIFS(nrES_PID,$D313,nrES_Code,$F313,nrES_Att,2)=0),"Yes","No")))</f>
        <v/>
      </c>
      <c r="R313" s="15">
        <f>IF($C313="","",IF($L313="","",IF(AND($K313=2,$L313&lt;$J313,COUNTIFS(nrES_PID,$D313,nrES_Code,$F313,nrES_Att,1)&gt;0),"Yes","No")))</f>
        <v/>
      </c>
      <c r="S313" s="16" t="n"/>
      <c r="T313" s="17">
        <f>IF($Q313&lt;&gt;"Yes","",IF($S313="","(enter date)",_xlfn.LET(_xlpm.dn,IFERROR(_xlfn.XLOOKUP($S313,nrCDdate,nrCDnum),""),IF(_xlpm.dn="","(not a class day)",IFERROR(_xlfn.XLOOKUP(_xlpm.dn+cfgRetestClassDays,nrCDnum,nrCDdate),"")))))</f>
        <v/>
      </c>
      <c r="U313" s="15">
        <f>IF($Q313&lt;&gt;"Yes","",IF(COUNTIFS(nrES_PID,$D313,nrES_Code,$F313,nrES_Att,2)&gt;0,"Retested",IF(OR($T313="",NOT(ISNUMBER($T313))),"Pending",IF(TODAY()&gt;$T313,"OVERDUE","Due "&amp;TEXT($T313,"mm/dd")))))</f>
        <v/>
      </c>
      <c r="V313" s="14" t="n"/>
      <c r="W313" s="14" t="n"/>
    </row>
    <row r="314">
      <c r="B314" s="15">
        <f>IF($C314="","",$D314&amp;"-"&amp;$F314&amp;"-"&amp;$K314)</f>
        <v/>
      </c>
      <c r="C314" s="14" t="n"/>
      <c r="D314" s="15">
        <f>IF($C314="","",IFERROR(INDEX(rngCadetPIDs,MATCH($C314,rngCadetNames,0)),"?"))</f>
        <v/>
      </c>
      <c r="E314" s="15">
        <f>IF($D314="","",IFERROR(INDEX(nrCadetAgency,MATCH($D314,rngCadetPIDs,0)),""))</f>
        <v/>
      </c>
      <c r="F314" s="14" t="n"/>
      <c r="G314" s="15">
        <f>IF($F314="","",IFERROR(INDEX(rngEPname,MATCH($F314,rngEPcode,0)),"?"))</f>
        <v/>
      </c>
      <c r="H314" s="15">
        <f>IF($F314="","",IFERROR(INDEX(rngEPtype,MATCH($F314,rngEPcode,0)),"?"))</f>
        <v/>
      </c>
      <c r="I314" s="15">
        <f>IF($F314="","",IFERROR(INDEX(rngEPseq,MATCH($F314,rngEPcode,0)),""))</f>
        <v/>
      </c>
      <c r="J314" s="15">
        <f>IF($F314="","",IFERROR(INDEX(rngEPpass,MATCH($F314,rngEPcode,0)),cfgPassingScore))</f>
        <v/>
      </c>
      <c r="K314" s="14" t="n"/>
      <c r="L314" s="14" t="n"/>
      <c r="M314" s="15">
        <f>IF($C314="","",IF($L314="","",IF($K314=1,IF(COUNTIFS(nrES_PID,$D314,nrES_Code,$F314,nrES_Att,2)&gt;0,"",$L314),IF(COUNTIFS(nrES_PID,$D314,nrES_Code,$F314,nrES_Att,1)=0,$L314,IF($L314&gt;=$J314,cfgRetakeRecordedCap,SUMIFS(nrES_Raw,nrES_PID,$D314,nrES_Code,$F314,nrES_Att,1))))))</f>
        <v/>
      </c>
      <c r="N314" s="15">
        <f>IF($C314="","",IF($L314="","",IF($L314&gt;=$J314,"Yes","No")))</f>
        <v/>
      </c>
      <c r="O314" s="15">
        <f>IF($C314="","",IF($M314="","",IF($M314&gt;=$J314,"Yes","No")))</f>
        <v/>
      </c>
      <c r="P314" s="15">
        <f>IF($C314="","",IF($K314="","",IF(COUNTIFS(nrES_PID,$D314,nrES_Code,$F314,nrES_Att,"&gt;"&amp;$K314)=0,"Yes","No")))</f>
        <v/>
      </c>
      <c r="Q314" s="15">
        <f>IF($C314="","",IF($L314="","",IF(AND($K314=1,$L314&lt;$J314,COUNTIFS(nrES_PID,$D314,nrES_Code,$F314,nrES_Att,2)=0),"Yes","No")))</f>
        <v/>
      </c>
      <c r="R314" s="15">
        <f>IF($C314="","",IF($L314="","",IF(AND($K314=2,$L314&lt;$J314,COUNTIFS(nrES_PID,$D314,nrES_Code,$F314,nrES_Att,1)&gt;0),"Yes","No")))</f>
        <v/>
      </c>
      <c r="S314" s="16" t="n"/>
      <c r="T314" s="17">
        <f>IF($Q314&lt;&gt;"Yes","",IF($S314="","(enter date)",_xlfn.LET(_xlpm.dn,IFERROR(_xlfn.XLOOKUP($S314,nrCDdate,nrCDnum),""),IF(_xlpm.dn="","(not a class day)",IFERROR(_xlfn.XLOOKUP(_xlpm.dn+cfgRetestClassDays,nrCDnum,nrCDdate),"")))))</f>
        <v/>
      </c>
      <c r="U314" s="15">
        <f>IF($Q314&lt;&gt;"Yes","",IF(COUNTIFS(nrES_PID,$D314,nrES_Code,$F314,nrES_Att,2)&gt;0,"Retested",IF(OR($T314="",NOT(ISNUMBER($T314))),"Pending",IF(TODAY()&gt;$T314,"OVERDUE","Due "&amp;TEXT($T314,"mm/dd")))))</f>
        <v/>
      </c>
      <c r="V314" s="14" t="n"/>
      <c r="W314" s="14" t="n"/>
    </row>
    <row r="315">
      <c r="B315" s="15">
        <f>IF($C315="","",$D315&amp;"-"&amp;$F315&amp;"-"&amp;$K315)</f>
        <v/>
      </c>
      <c r="C315" s="14" t="n"/>
      <c r="D315" s="15">
        <f>IF($C315="","",IFERROR(INDEX(rngCadetPIDs,MATCH($C315,rngCadetNames,0)),"?"))</f>
        <v/>
      </c>
      <c r="E315" s="15">
        <f>IF($D315="","",IFERROR(INDEX(nrCadetAgency,MATCH($D315,rngCadetPIDs,0)),""))</f>
        <v/>
      </c>
      <c r="F315" s="14" t="n"/>
      <c r="G315" s="15">
        <f>IF($F315="","",IFERROR(INDEX(rngEPname,MATCH($F315,rngEPcode,0)),"?"))</f>
        <v/>
      </c>
      <c r="H315" s="15">
        <f>IF($F315="","",IFERROR(INDEX(rngEPtype,MATCH($F315,rngEPcode,0)),"?"))</f>
        <v/>
      </c>
      <c r="I315" s="15">
        <f>IF($F315="","",IFERROR(INDEX(rngEPseq,MATCH($F315,rngEPcode,0)),""))</f>
        <v/>
      </c>
      <c r="J315" s="15">
        <f>IF($F315="","",IFERROR(INDEX(rngEPpass,MATCH($F315,rngEPcode,0)),cfgPassingScore))</f>
        <v/>
      </c>
      <c r="K315" s="14" t="n"/>
      <c r="L315" s="14" t="n"/>
      <c r="M315" s="15">
        <f>IF($C315="","",IF($L315="","",IF($K315=1,IF(COUNTIFS(nrES_PID,$D315,nrES_Code,$F315,nrES_Att,2)&gt;0,"",$L315),IF(COUNTIFS(nrES_PID,$D315,nrES_Code,$F315,nrES_Att,1)=0,$L315,IF($L315&gt;=$J315,cfgRetakeRecordedCap,SUMIFS(nrES_Raw,nrES_PID,$D315,nrES_Code,$F315,nrES_Att,1))))))</f>
        <v/>
      </c>
      <c r="N315" s="15">
        <f>IF($C315="","",IF($L315="","",IF($L315&gt;=$J315,"Yes","No")))</f>
        <v/>
      </c>
      <c r="O315" s="15">
        <f>IF($C315="","",IF($M315="","",IF($M315&gt;=$J315,"Yes","No")))</f>
        <v/>
      </c>
      <c r="P315" s="15">
        <f>IF($C315="","",IF($K315="","",IF(COUNTIFS(nrES_PID,$D315,nrES_Code,$F315,nrES_Att,"&gt;"&amp;$K315)=0,"Yes","No")))</f>
        <v/>
      </c>
      <c r="Q315" s="15">
        <f>IF($C315="","",IF($L315="","",IF(AND($K315=1,$L315&lt;$J315,COUNTIFS(nrES_PID,$D315,nrES_Code,$F315,nrES_Att,2)=0),"Yes","No")))</f>
        <v/>
      </c>
      <c r="R315" s="15">
        <f>IF($C315="","",IF($L315="","",IF(AND($K315=2,$L315&lt;$J315,COUNTIFS(nrES_PID,$D315,nrES_Code,$F315,nrES_Att,1)&gt;0),"Yes","No")))</f>
        <v/>
      </c>
      <c r="S315" s="16" t="n"/>
      <c r="T315" s="17">
        <f>IF($Q315&lt;&gt;"Yes","",IF($S315="","(enter date)",_xlfn.LET(_xlpm.dn,IFERROR(_xlfn.XLOOKUP($S315,nrCDdate,nrCDnum),""),IF(_xlpm.dn="","(not a class day)",IFERROR(_xlfn.XLOOKUP(_xlpm.dn+cfgRetestClassDays,nrCDnum,nrCDdate),"")))))</f>
        <v/>
      </c>
      <c r="U315" s="15">
        <f>IF($Q315&lt;&gt;"Yes","",IF(COUNTIFS(nrES_PID,$D315,nrES_Code,$F315,nrES_Att,2)&gt;0,"Retested",IF(OR($T315="",NOT(ISNUMBER($T315))),"Pending",IF(TODAY()&gt;$T315,"OVERDUE","Due "&amp;TEXT($T315,"mm/dd")))))</f>
        <v/>
      </c>
      <c r="V315" s="14" t="n"/>
      <c r="W315" s="14" t="n"/>
    </row>
    <row r="316">
      <c r="B316" s="15">
        <f>IF($C316="","",$D316&amp;"-"&amp;$F316&amp;"-"&amp;$K316)</f>
        <v/>
      </c>
      <c r="C316" s="14" t="n"/>
      <c r="D316" s="15">
        <f>IF($C316="","",IFERROR(INDEX(rngCadetPIDs,MATCH($C316,rngCadetNames,0)),"?"))</f>
        <v/>
      </c>
      <c r="E316" s="15">
        <f>IF($D316="","",IFERROR(INDEX(nrCadetAgency,MATCH($D316,rngCadetPIDs,0)),""))</f>
        <v/>
      </c>
      <c r="F316" s="14" t="n"/>
      <c r="G316" s="15">
        <f>IF($F316="","",IFERROR(INDEX(rngEPname,MATCH($F316,rngEPcode,0)),"?"))</f>
        <v/>
      </c>
      <c r="H316" s="15">
        <f>IF($F316="","",IFERROR(INDEX(rngEPtype,MATCH($F316,rngEPcode,0)),"?"))</f>
        <v/>
      </c>
      <c r="I316" s="15">
        <f>IF($F316="","",IFERROR(INDEX(rngEPseq,MATCH($F316,rngEPcode,0)),""))</f>
        <v/>
      </c>
      <c r="J316" s="15">
        <f>IF($F316="","",IFERROR(INDEX(rngEPpass,MATCH($F316,rngEPcode,0)),cfgPassingScore))</f>
        <v/>
      </c>
      <c r="K316" s="14" t="n"/>
      <c r="L316" s="14" t="n"/>
      <c r="M316" s="15">
        <f>IF($C316="","",IF($L316="","",IF($K316=1,IF(COUNTIFS(nrES_PID,$D316,nrES_Code,$F316,nrES_Att,2)&gt;0,"",$L316),IF(COUNTIFS(nrES_PID,$D316,nrES_Code,$F316,nrES_Att,1)=0,$L316,IF($L316&gt;=$J316,cfgRetakeRecordedCap,SUMIFS(nrES_Raw,nrES_PID,$D316,nrES_Code,$F316,nrES_Att,1))))))</f>
        <v/>
      </c>
      <c r="N316" s="15">
        <f>IF($C316="","",IF($L316="","",IF($L316&gt;=$J316,"Yes","No")))</f>
        <v/>
      </c>
      <c r="O316" s="15">
        <f>IF($C316="","",IF($M316="","",IF($M316&gt;=$J316,"Yes","No")))</f>
        <v/>
      </c>
      <c r="P316" s="15">
        <f>IF($C316="","",IF($K316="","",IF(COUNTIFS(nrES_PID,$D316,nrES_Code,$F316,nrES_Att,"&gt;"&amp;$K316)=0,"Yes","No")))</f>
        <v/>
      </c>
      <c r="Q316" s="15">
        <f>IF($C316="","",IF($L316="","",IF(AND($K316=1,$L316&lt;$J316,COUNTIFS(nrES_PID,$D316,nrES_Code,$F316,nrES_Att,2)=0),"Yes","No")))</f>
        <v/>
      </c>
      <c r="R316" s="15">
        <f>IF($C316="","",IF($L316="","",IF(AND($K316=2,$L316&lt;$J316,COUNTIFS(nrES_PID,$D316,nrES_Code,$F316,nrES_Att,1)&gt;0),"Yes","No")))</f>
        <v/>
      </c>
      <c r="S316" s="16" t="n"/>
      <c r="T316" s="17">
        <f>IF($Q316&lt;&gt;"Yes","",IF($S316="","(enter date)",_xlfn.LET(_xlpm.dn,IFERROR(_xlfn.XLOOKUP($S316,nrCDdate,nrCDnum),""),IF(_xlpm.dn="","(not a class day)",IFERROR(_xlfn.XLOOKUP(_xlpm.dn+cfgRetestClassDays,nrCDnum,nrCDdate),"")))))</f>
        <v/>
      </c>
      <c r="U316" s="15">
        <f>IF($Q316&lt;&gt;"Yes","",IF(COUNTIFS(nrES_PID,$D316,nrES_Code,$F316,nrES_Att,2)&gt;0,"Retested",IF(OR($T316="",NOT(ISNUMBER($T316))),"Pending",IF(TODAY()&gt;$T316,"OVERDUE","Due "&amp;TEXT($T316,"mm/dd")))))</f>
        <v/>
      </c>
      <c r="V316" s="14" t="n"/>
      <c r="W316" s="14" t="n"/>
    </row>
    <row r="317">
      <c r="B317" s="15">
        <f>IF($C317="","",$D317&amp;"-"&amp;$F317&amp;"-"&amp;$K317)</f>
        <v/>
      </c>
      <c r="C317" s="14" t="n"/>
      <c r="D317" s="15">
        <f>IF($C317="","",IFERROR(INDEX(rngCadetPIDs,MATCH($C317,rngCadetNames,0)),"?"))</f>
        <v/>
      </c>
      <c r="E317" s="15">
        <f>IF($D317="","",IFERROR(INDEX(nrCadetAgency,MATCH($D317,rngCadetPIDs,0)),""))</f>
        <v/>
      </c>
      <c r="F317" s="14" t="n"/>
      <c r="G317" s="15">
        <f>IF($F317="","",IFERROR(INDEX(rngEPname,MATCH($F317,rngEPcode,0)),"?"))</f>
        <v/>
      </c>
      <c r="H317" s="15">
        <f>IF($F317="","",IFERROR(INDEX(rngEPtype,MATCH($F317,rngEPcode,0)),"?"))</f>
        <v/>
      </c>
      <c r="I317" s="15">
        <f>IF($F317="","",IFERROR(INDEX(rngEPseq,MATCH($F317,rngEPcode,0)),""))</f>
        <v/>
      </c>
      <c r="J317" s="15">
        <f>IF($F317="","",IFERROR(INDEX(rngEPpass,MATCH($F317,rngEPcode,0)),cfgPassingScore))</f>
        <v/>
      </c>
      <c r="K317" s="14" t="n"/>
      <c r="L317" s="14" t="n"/>
      <c r="M317" s="15">
        <f>IF($C317="","",IF($L317="","",IF($K317=1,IF(COUNTIFS(nrES_PID,$D317,nrES_Code,$F317,nrES_Att,2)&gt;0,"",$L317),IF(COUNTIFS(nrES_PID,$D317,nrES_Code,$F317,nrES_Att,1)=0,$L317,IF($L317&gt;=$J317,cfgRetakeRecordedCap,SUMIFS(nrES_Raw,nrES_PID,$D317,nrES_Code,$F317,nrES_Att,1))))))</f>
        <v/>
      </c>
      <c r="N317" s="15">
        <f>IF($C317="","",IF($L317="","",IF($L317&gt;=$J317,"Yes","No")))</f>
        <v/>
      </c>
      <c r="O317" s="15">
        <f>IF($C317="","",IF($M317="","",IF($M317&gt;=$J317,"Yes","No")))</f>
        <v/>
      </c>
      <c r="P317" s="15">
        <f>IF($C317="","",IF($K317="","",IF(COUNTIFS(nrES_PID,$D317,nrES_Code,$F317,nrES_Att,"&gt;"&amp;$K317)=0,"Yes","No")))</f>
        <v/>
      </c>
      <c r="Q317" s="15">
        <f>IF($C317="","",IF($L317="","",IF(AND($K317=1,$L317&lt;$J317,COUNTIFS(nrES_PID,$D317,nrES_Code,$F317,nrES_Att,2)=0),"Yes","No")))</f>
        <v/>
      </c>
      <c r="R317" s="15">
        <f>IF($C317="","",IF($L317="","",IF(AND($K317=2,$L317&lt;$J317,COUNTIFS(nrES_PID,$D317,nrES_Code,$F317,nrES_Att,1)&gt;0),"Yes","No")))</f>
        <v/>
      </c>
      <c r="S317" s="16" t="n"/>
      <c r="T317" s="17">
        <f>IF($Q317&lt;&gt;"Yes","",IF($S317="","(enter date)",_xlfn.LET(_xlpm.dn,IFERROR(_xlfn.XLOOKUP($S317,nrCDdate,nrCDnum),""),IF(_xlpm.dn="","(not a class day)",IFERROR(_xlfn.XLOOKUP(_xlpm.dn+cfgRetestClassDays,nrCDnum,nrCDdate),"")))))</f>
        <v/>
      </c>
      <c r="U317" s="15">
        <f>IF($Q317&lt;&gt;"Yes","",IF(COUNTIFS(nrES_PID,$D317,nrES_Code,$F317,nrES_Att,2)&gt;0,"Retested",IF(OR($T317="",NOT(ISNUMBER($T317))),"Pending",IF(TODAY()&gt;$T317,"OVERDUE","Due "&amp;TEXT($T317,"mm/dd")))))</f>
        <v/>
      </c>
      <c r="V317" s="14" t="n"/>
      <c r="W317" s="14" t="n"/>
    </row>
    <row r="318">
      <c r="B318" s="15">
        <f>IF($C318="","",$D318&amp;"-"&amp;$F318&amp;"-"&amp;$K318)</f>
        <v/>
      </c>
      <c r="C318" s="14" t="n"/>
      <c r="D318" s="15">
        <f>IF($C318="","",IFERROR(INDEX(rngCadetPIDs,MATCH($C318,rngCadetNames,0)),"?"))</f>
        <v/>
      </c>
      <c r="E318" s="15">
        <f>IF($D318="","",IFERROR(INDEX(nrCadetAgency,MATCH($D318,rngCadetPIDs,0)),""))</f>
        <v/>
      </c>
      <c r="F318" s="14" t="n"/>
      <c r="G318" s="15">
        <f>IF($F318="","",IFERROR(INDEX(rngEPname,MATCH($F318,rngEPcode,0)),"?"))</f>
        <v/>
      </c>
      <c r="H318" s="15">
        <f>IF($F318="","",IFERROR(INDEX(rngEPtype,MATCH($F318,rngEPcode,0)),"?"))</f>
        <v/>
      </c>
      <c r="I318" s="15">
        <f>IF($F318="","",IFERROR(INDEX(rngEPseq,MATCH($F318,rngEPcode,0)),""))</f>
        <v/>
      </c>
      <c r="J318" s="15">
        <f>IF($F318="","",IFERROR(INDEX(rngEPpass,MATCH($F318,rngEPcode,0)),cfgPassingScore))</f>
        <v/>
      </c>
      <c r="K318" s="14" t="n"/>
      <c r="L318" s="14" t="n"/>
      <c r="M318" s="15">
        <f>IF($C318="","",IF($L318="","",IF($K318=1,IF(COUNTIFS(nrES_PID,$D318,nrES_Code,$F318,nrES_Att,2)&gt;0,"",$L318),IF(COUNTIFS(nrES_PID,$D318,nrES_Code,$F318,nrES_Att,1)=0,$L318,IF($L318&gt;=$J318,cfgRetakeRecordedCap,SUMIFS(nrES_Raw,nrES_PID,$D318,nrES_Code,$F318,nrES_Att,1))))))</f>
        <v/>
      </c>
      <c r="N318" s="15">
        <f>IF($C318="","",IF($L318="","",IF($L318&gt;=$J318,"Yes","No")))</f>
        <v/>
      </c>
      <c r="O318" s="15">
        <f>IF($C318="","",IF($M318="","",IF($M318&gt;=$J318,"Yes","No")))</f>
        <v/>
      </c>
      <c r="P318" s="15">
        <f>IF($C318="","",IF($K318="","",IF(COUNTIFS(nrES_PID,$D318,nrES_Code,$F318,nrES_Att,"&gt;"&amp;$K318)=0,"Yes","No")))</f>
        <v/>
      </c>
      <c r="Q318" s="15">
        <f>IF($C318="","",IF($L318="","",IF(AND($K318=1,$L318&lt;$J318,COUNTIFS(nrES_PID,$D318,nrES_Code,$F318,nrES_Att,2)=0),"Yes","No")))</f>
        <v/>
      </c>
      <c r="R318" s="15">
        <f>IF($C318="","",IF($L318="","",IF(AND($K318=2,$L318&lt;$J318,COUNTIFS(nrES_PID,$D318,nrES_Code,$F318,nrES_Att,1)&gt;0),"Yes","No")))</f>
        <v/>
      </c>
      <c r="S318" s="16" t="n"/>
      <c r="T318" s="17">
        <f>IF($Q318&lt;&gt;"Yes","",IF($S318="","(enter date)",_xlfn.LET(_xlpm.dn,IFERROR(_xlfn.XLOOKUP($S318,nrCDdate,nrCDnum),""),IF(_xlpm.dn="","(not a class day)",IFERROR(_xlfn.XLOOKUP(_xlpm.dn+cfgRetestClassDays,nrCDnum,nrCDdate),"")))))</f>
        <v/>
      </c>
      <c r="U318" s="15">
        <f>IF($Q318&lt;&gt;"Yes","",IF(COUNTIFS(nrES_PID,$D318,nrES_Code,$F318,nrES_Att,2)&gt;0,"Retested",IF(OR($T318="",NOT(ISNUMBER($T318))),"Pending",IF(TODAY()&gt;$T318,"OVERDUE","Due "&amp;TEXT($T318,"mm/dd")))))</f>
        <v/>
      </c>
      <c r="V318" s="14" t="n"/>
      <c r="W318" s="14" t="n"/>
    </row>
    <row r="319">
      <c r="B319" s="15">
        <f>IF($C319="","",$D319&amp;"-"&amp;$F319&amp;"-"&amp;$K319)</f>
        <v/>
      </c>
      <c r="C319" s="14" t="n"/>
      <c r="D319" s="15">
        <f>IF($C319="","",IFERROR(INDEX(rngCadetPIDs,MATCH($C319,rngCadetNames,0)),"?"))</f>
        <v/>
      </c>
      <c r="E319" s="15">
        <f>IF($D319="","",IFERROR(INDEX(nrCadetAgency,MATCH($D319,rngCadetPIDs,0)),""))</f>
        <v/>
      </c>
      <c r="F319" s="14" t="n"/>
      <c r="G319" s="15">
        <f>IF($F319="","",IFERROR(INDEX(rngEPname,MATCH($F319,rngEPcode,0)),"?"))</f>
        <v/>
      </c>
      <c r="H319" s="15">
        <f>IF($F319="","",IFERROR(INDEX(rngEPtype,MATCH($F319,rngEPcode,0)),"?"))</f>
        <v/>
      </c>
      <c r="I319" s="15">
        <f>IF($F319="","",IFERROR(INDEX(rngEPseq,MATCH($F319,rngEPcode,0)),""))</f>
        <v/>
      </c>
      <c r="J319" s="15">
        <f>IF($F319="","",IFERROR(INDEX(rngEPpass,MATCH($F319,rngEPcode,0)),cfgPassingScore))</f>
        <v/>
      </c>
      <c r="K319" s="14" t="n"/>
      <c r="L319" s="14" t="n"/>
      <c r="M319" s="15">
        <f>IF($C319="","",IF($L319="","",IF($K319=1,IF(COUNTIFS(nrES_PID,$D319,nrES_Code,$F319,nrES_Att,2)&gt;0,"",$L319),IF(COUNTIFS(nrES_PID,$D319,nrES_Code,$F319,nrES_Att,1)=0,$L319,IF($L319&gt;=$J319,cfgRetakeRecordedCap,SUMIFS(nrES_Raw,nrES_PID,$D319,nrES_Code,$F319,nrES_Att,1))))))</f>
        <v/>
      </c>
      <c r="N319" s="15">
        <f>IF($C319="","",IF($L319="","",IF($L319&gt;=$J319,"Yes","No")))</f>
        <v/>
      </c>
      <c r="O319" s="15">
        <f>IF($C319="","",IF($M319="","",IF($M319&gt;=$J319,"Yes","No")))</f>
        <v/>
      </c>
      <c r="P319" s="15">
        <f>IF($C319="","",IF($K319="","",IF(COUNTIFS(nrES_PID,$D319,nrES_Code,$F319,nrES_Att,"&gt;"&amp;$K319)=0,"Yes","No")))</f>
        <v/>
      </c>
      <c r="Q319" s="15">
        <f>IF($C319="","",IF($L319="","",IF(AND($K319=1,$L319&lt;$J319,COUNTIFS(nrES_PID,$D319,nrES_Code,$F319,nrES_Att,2)=0),"Yes","No")))</f>
        <v/>
      </c>
      <c r="R319" s="15">
        <f>IF($C319="","",IF($L319="","",IF(AND($K319=2,$L319&lt;$J319,COUNTIFS(nrES_PID,$D319,nrES_Code,$F319,nrES_Att,1)&gt;0),"Yes","No")))</f>
        <v/>
      </c>
      <c r="S319" s="16" t="n"/>
      <c r="T319" s="17">
        <f>IF($Q319&lt;&gt;"Yes","",IF($S319="","(enter date)",_xlfn.LET(_xlpm.dn,IFERROR(_xlfn.XLOOKUP($S319,nrCDdate,nrCDnum),""),IF(_xlpm.dn="","(not a class day)",IFERROR(_xlfn.XLOOKUP(_xlpm.dn+cfgRetestClassDays,nrCDnum,nrCDdate),"")))))</f>
        <v/>
      </c>
      <c r="U319" s="15">
        <f>IF($Q319&lt;&gt;"Yes","",IF(COUNTIFS(nrES_PID,$D319,nrES_Code,$F319,nrES_Att,2)&gt;0,"Retested",IF(OR($T319="",NOT(ISNUMBER($T319))),"Pending",IF(TODAY()&gt;$T319,"OVERDUE","Due "&amp;TEXT($T319,"mm/dd")))))</f>
        <v/>
      </c>
      <c r="V319" s="14" t="n"/>
      <c r="W319" s="14" t="n"/>
    </row>
    <row r="320">
      <c r="B320" s="15">
        <f>IF($C320="","",$D320&amp;"-"&amp;$F320&amp;"-"&amp;$K320)</f>
        <v/>
      </c>
      <c r="C320" s="14" t="n"/>
      <c r="D320" s="15">
        <f>IF($C320="","",IFERROR(INDEX(rngCadetPIDs,MATCH($C320,rngCadetNames,0)),"?"))</f>
        <v/>
      </c>
      <c r="E320" s="15">
        <f>IF($D320="","",IFERROR(INDEX(nrCadetAgency,MATCH($D320,rngCadetPIDs,0)),""))</f>
        <v/>
      </c>
      <c r="F320" s="14" t="n"/>
      <c r="G320" s="15">
        <f>IF($F320="","",IFERROR(INDEX(rngEPname,MATCH($F320,rngEPcode,0)),"?"))</f>
        <v/>
      </c>
      <c r="H320" s="15">
        <f>IF($F320="","",IFERROR(INDEX(rngEPtype,MATCH($F320,rngEPcode,0)),"?"))</f>
        <v/>
      </c>
      <c r="I320" s="15">
        <f>IF($F320="","",IFERROR(INDEX(rngEPseq,MATCH($F320,rngEPcode,0)),""))</f>
        <v/>
      </c>
      <c r="J320" s="15">
        <f>IF($F320="","",IFERROR(INDEX(rngEPpass,MATCH($F320,rngEPcode,0)),cfgPassingScore))</f>
        <v/>
      </c>
      <c r="K320" s="14" t="n"/>
      <c r="L320" s="14" t="n"/>
      <c r="M320" s="15">
        <f>IF($C320="","",IF($L320="","",IF($K320=1,IF(COUNTIFS(nrES_PID,$D320,nrES_Code,$F320,nrES_Att,2)&gt;0,"",$L320),IF(COUNTIFS(nrES_PID,$D320,nrES_Code,$F320,nrES_Att,1)=0,$L320,IF($L320&gt;=$J320,cfgRetakeRecordedCap,SUMIFS(nrES_Raw,nrES_PID,$D320,nrES_Code,$F320,nrES_Att,1))))))</f>
        <v/>
      </c>
      <c r="N320" s="15">
        <f>IF($C320="","",IF($L320="","",IF($L320&gt;=$J320,"Yes","No")))</f>
        <v/>
      </c>
      <c r="O320" s="15">
        <f>IF($C320="","",IF($M320="","",IF($M320&gt;=$J320,"Yes","No")))</f>
        <v/>
      </c>
      <c r="P320" s="15">
        <f>IF($C320="","",IF($K320="","",IF(COUNTIFS(nrES_PID,$D320,nrES_Code,$F320,nrES_Att,"&gt;"&amp;$K320)=0,"Yes","No")))</f>
        <v/>
      </c>
      <c r="Q320" s="15">
        <f>IF($C320="","",IF($L320="","",IF(AND($K320=1,$L320&lt;$J320,COUNTIFS(nrES_PID,$D320,nrES_Code,$F320,nrES_Att,2)=0),"Yes","No")))</f>
        <v/>
      </c>
      <c r="R320" s="15">
        <f>IF($C320="","",IF($L320="","",IF(AND($K320=2,$L320&lt;$J320,COUNTIFS(nrES_PID,$D320,nrES_Code,$F320,nrES_Att,1)&gt;0),"Yes","No")))</f>
        <v/>
      </c>
      <c r="S320" s="16" t="n"/>
      <c r="T320" s="17">
        <f>IF($Q320&lt;&gt;"Yes","",IF($S320="","(enter date)",_xlfn.LET(_xlpm.dn,IFERROR(_xlfn.XLOOKUP($S320,nrCDdate,nrCDnum),""),IF(_xlpm.dn="","(not a class day)",IFERROR(_xlfn.XLOOKUP(_xlpm.dn+cfgRetestClassDays,nrCDnum,nrCDdate),"")))))</f>
        <v/>
      </c>
      <c r="U320" s="15">
        <f>IF($Q320&lt;&gt;"Yes","",IF(COUNTIFS(nrES_PID,$D320,nrES_Code,$F320,nrES_Att,2)&gt;0,"Retested",IF(OR($T320="",NOT(ISNUMBER($T320))),"Pending",IF(TODAY()&gt;$T320,"OVERDUE","Due "&amp;TEXT($T320,"mm/dd")))))</f>
        <v/>
      </c>
      <c r="V320" s="14" t="n"/>
      <c r="W320" s="14" t="n"/>
    </row>
    <row r="321">
      <c r="B321" s="15">
        <f>IF($C321="","",$D321&amp;"-"&amp;$F321&amp;"-"&amp;$K321)</f>
        <v/>
      </c>
      <c r="C321" s="14" t="n"/>
      <c r="D321" s="15">
        <f>IF($C321="","",IFERROR(INDEX(rngCadetPIDs,MATCH($C321,rngCadetNames,0)),"?"))</f>
        <v/>
      </c>
      <c r="E321" s="15">
        <f>IF($D321="","",IFERROR(INDEX(nrCadetAgency,MATCH($D321,rngCadetPIDs,0)),""))</f>
        <v/>
      </c>
      <c r="F321" s="14" t="n"/>
      <c r="G321" s="15">
        <f>IF($F321="","",IFERROR(INDEX(rngEPname,MATCH($F321,rngEPcode,0)),"?"))</f>
        <v/>
      </c>
      <c r="H321" s="15">
        <f>IF($F321="","",IFERROR(INDEX(rngEPtype,MATCH($F321,rngEPcode,0)),"?"))</f>
        <v/>
      </c>
      <c r="I321" s="15">
        <f>IF($F321="","",IFERROR(INDEX(rngEPseq,MATCH($F321,rngEPcode,0)),""))</f>
        <v/>
      </c>
      <c r="J321" s="15">
        <f>IF($F321="","",IFERROR(INDEX(rngEPpass,MATCH($F321,rngEPcode,0)),cfgPassingScore))</f>
        <v/>
      </c>
      <c r="K321" s="14" t="n"/>
      <c r="L321" s="14" t="n"/>
      <c r="M321" s="15">
        <f>IF($C321="","",IF($L321="","",IF($K321=1,IF(COUNTIFS(nrES_PID,$D321,nrES_Code,$F321,nrES_Att,2)&gt;0,"",$L321),IF(COUNTIFS(nrES_PID,$D321,nrES_Code,$F321,nrES_Att,1)=0,$L321,IF($L321&gt;=$J321,cfgRetakeRecordedCap,SUMIFS(nrES_Raw,nrES_PID,$D321,nrES_Code,$F321,nrES_Att,1))))))</f>
        <v/>
      </c>
      <c r="N321" s="15">
        <f>IF($C321="","",IF($L321="","",IF($L321&gt;=$J321,"Yes","No")))</f>
        <v/>
      </c>
      <c r="O321" s="15">
        <f>IF($C321="","",IF($M321="","",IF($M321&gt;=$J321,"Yes","No")))</f>
        <v/>
      </c>
      <c r="P321" s="15">
        <f>IF($C321="","",IF($K321="","",IF(COUNTIFS(nrES_PID,$D321,nrES_Code,$F321,nrES_Att,"&gt;"&amp;$K321)=0,"Yes","No")))</f>
        <v/>
      </c>
      <c r="Q321" s="15">
        <f>IF($C321="","",IF($L321="","",IF(AND($K321=1,$L321&lt;$J321,COUNTIFS(nrES_PID,$D321,nrES_Code,$F321,nrES_Att,2)=0),"Yes","No")))</f>
        <v/>
      </c>
      <c r="R321" s="15">
        <f>IF($C321="","",IF($L321="","",IF(AND($K321=2,$L321&lt;$J321,COUNTIFS(nrES_PID,$D321,nrES_Code,$F321,nrES_Att,1)&gt;0),"Yes","No")))</f>
        <v/>
      </c>
      <c r="S321" s="16" t="n"/>
      <c r="T321" s="17">
        <f>IF($Q321&lt;&gt;"Yes","",IF($S321="","(enter date)",_xlfn.LET(_xlpm.dn,IFERROR(_xlfn.XLOOKUP($S321,nrCDdate,nrCDnum),""),IF(_xlpm.dn="","(not a class day)",IFERROR(_xlfn.XLOOKUP(_xlpm.dn+cfgRetestClassDays,nrCDnum,nrCDdate),"")))))</f>
        <v/>
      </c>
      <c r="U321" s="15">
        <f>IF($Q321&lt;&gt;"Yes","",IF(COUNTIFS(nrES_PID,$D321,nrES_Code,$F321,nrES_Att,2)&gt;0,"Retested",IF(OR($T321="",NOT(ISNUMBER($T321))),"Pending",IF(TODAY()&gt;$T321,"OVERDUE","Due "&amp;TEXT($T321,"mm/dd")))))</f>
        <v/>
      </c>
      <c r="V321" s="14" t="n"/>
      <c r="W321" s="14" t="n"/>
    </row>
    <row r="322">
      <c r="B322" s="15">
        <f>IF($C322="","",$D322&amp;"-"&amp;$F322&amp;"-"&amp;$K322)</f>
        <v/>
      </c>
      <c r="C322" s="14" t="n"/>
      <c r="D322" s="15">
        <f>IF($C322="","",IFERROR(INDEX(rngCadetPIDs,MATCH($C322,rngCadetNames,0)),"?"))</f>
        <v/>
      </c>
      <c r="E322" s="15">
        <f>IF($D322="","",IFERROR(INDEX(nrCadetAgency,MATCH($D322,rngCadetPIDs,0)),""))</f>
        <v/>
      </c>
      <c r="F322" s="14" t="n"/>
      <c r="G322" s="15">
        <f>IF($F322="","",IFERROR(INDEX(rngEPname,MATCH($F322,rngEPcode,0)),"?"))</f>
        <v/>
      </c>
      <c r="H322" s="15">
        <f>IF($F322="","",IFERROR(INDEX(rngEPtype,MATCH($F322,rngEPcode,0)),"?"))</f>
        <v/>
      </c>
      <c r="I322" s="15">
        <f>IF($F322="","",IFERROR(INDEX(rngEPseq,MATCH($F322,rngEPcode,0)),""))</f>
        <v/>
      </c>
      <c r="J322" s="15">
        <f>IF($F322="","",IFERROR(INDEX(rngEPpass,MATCH($F322,rngEPcode,0)),cfgPassingScore))</f>
        <v/>
      </c>
      <c r="K322" s="14" t="n"/>
      <c r="L322" s="14" t="n"/>
      <c r="M322" s="15">
        <f>IF($C322="","",IF($L322="","",IF($K322=1,IF(COUNTIFS(nrES_PID,$D322,nrES_Code,$F322,nrES_Att,2)&gt;0,"",$L322),IF(COUNTIFS(nrES_PID,$D322,nrES_Code,$F322,nrES_Att,1)=0,$L322,IF($L322&gt;=$J322,cfgRetakeRecordedCap,SUMIFS(nrES_Raw,nrES_PID,$D322,nrES_Code,$F322,nrES_Att,1))))))</f>
        <v/>
      </c>
      <c r="N322" s="15">
        <f>IF($C322="","",IF($L322="","",IF($L322&gt;=$J322,"Yes","No")))</f>
        <v/>
      </c>
      <c r="O322" s="15">
        <f>IF($C322="","",IF($M322="","",IF($M322&gt;=$J322,"Yes","No")))</f>
        <v/>
      </c>
      <c r="P322" s="15">
        <f>IF($C322="","",IF($K322="","",IF(COUNTIFS(nrES_PID,$D322,nrES_Code,$F322,nrES_Att,"&gt;"&amp;$K322)=0,"Yes","No")))</f>
        <v/>
      </c>
      <c r="Q322" s="15">
        <f>IF($C322="","",IF($L322="","",IF(AND($K322=1,$L322&lt;$J322,COUNTIFS(nrES_PID,$D322,nrES_Code,$F322,nrES_Att,2)=0),"Yes","No")))</f>
        <v/>
      </c>
      <c r="R322" s="15">
        <f>IF($C322="","",IF($L322="","",IF(AND($K322=2,$L322&lt;$J322,COUNTIFS(nrES_PID,$D322,nrES_Code,$F322,nrES_Att,1)&gt;0),"Yes","No")))</f>
        <v/>
      </c>
      <c r="S322" s="16" t="n"/>
      <c r="T322" s="17">
        <f>IF($Q322&lt;&gt;"Yes","",IF($S322="","(enter date)",_xlfn.LET(_xlpm.dn,IFERROR(_xlfn.XLOOKUP($S322,nrCDdate,nrCDnum),""),IF(_xlpm.dn="","(not a class day)",IFERROR(_xlfn.XLOOKUP(_xlpm.dn+cfgRetestClassDays,nrCDnum,nrCDdate),"")))))</f>
        <v/>
      </c>
      <c r="U322" s="15">
        <f>IF($Q322&lt;&gt;"Yes","",IF(COUNTIFS(nrES_PID,$D322,nrES_Code,$F322,nrES_Att,2)&gt;0,"Retested",IF(OR($T322="",NOT(ISNUMBER($T322))),"Pending",IF(TODAY()&gt;$T322,"OVERDUE","Due "&amp;TEXT($T322,"mm/dd")))))</f>
        <v/>
      </c>
      <c r="V322" s="14" t="n"/>
      <c r="W322" s="14" t="n"/>
    </row>
    <row r="323">
      <c r="B323" s="15">
        <f>IF($C323="","",$D323&amp;"-"&amp;$F323&amp;"-"&amp;$K323)</f>
        <v/>
      </c>
      <c r="C323" s="14" t="n"/>
      <c r="D323" s="15">
        <f>IF($C323="","",IFERROR(INDEX(rngCadetPIDs,MATCH($C323,rngCadetNames,0)),"?"))</f>
        <v/>
      </c>
      <c r="E323" s="15">
        <f>IF($D323="","",IFERROR(INDEX(nrCadetAgency,MATCH($D323,rngCadetPIDs,0)),""))</f>
        <v/>
      </c>
      <c r="F323" s="14" t="n"/>
      <c r="G323" s="15">
        <f>IF($F323="","",IFERROR(INDEX(rngEPname,MATCH($F323,rngEPcode,0)),"?"))</f>
        <v/>
      </c>
      <c r="H323" s="15">
        <f>IF($F323="","",IFERROR(INDEX(rngEPtype,MATCH($F323,rngEPcode,0)),"?"))</f>
        <v/>
      </c>
      <c r="I323" s="15">
        <f>IF($F323="","",IFERROR(INDEX(rngEPseq,MATCH($F323,rngEPcode,0)),""))</f>
        <v/>
      </c>
      <c r="J323" s="15">
        <f>IF($F323="","",IFERROR(INDEX(rngEPpass,MATCH($F323,rngEPcode,0)),cfgPassingScore))</f>
        <v/>
      </c>
      <c r="K323" s="14" t="n"/>
      <c r="L323" s="14" t="n"/>
      <c r="M323" s="15">
        <f>IF($C323="","",IF($L323="","",IF($K323=1,IF(COUNTIFS(nrES_PID,$D323,nrES_Code,$F323,nrES_Att,2)&gt;0,"",$L323),IF(COUNTIFS(nrES_PID,$D323,nrES_Code,$F323,nrES_Att,1)=0,$L323,IF($L323&gt;=$J323,cfgRetakeRecordedCap,SUMIFS(nrES_Raw,nrES_PID,$D323,nrES_Code,$F323,nrES_Att,1))))))</f>
        <v/>
      </c>
      <c r="N323" s="15">
        <f>IF($C323="","",IF($L323="","",IF($L323&gt;=$J323,"Yes","No")))</f>
        <v/>
      </c>
      <c r="O323" s="15">
        <f>IF($C323="","",IF($M323="","",IF($M323&gt;=$J323,"Yes","No")))</f>
        <v/>
      </c>
      <c r="P323" s="15">
        <f>IF($C323="","",IF($K323="","",IF(COUNTIFS(nrES_PID,$D323,nrES_Code,$F323,nrES_Att,"&gt;"&amp;$K323)=0,"Yes","No")))</f>
        <v/>
      </c>
      <c r="Q323" s="15">
        <f>IF($C323="","",IF($L323="","",IF(AND($K323=1,$L323&lt;$J323,COUNTIFS(nrES_PID,$D323,nrES_Code,$F323,nrES_Att,2)=0),"Yes","No")))</f>
        <v/>
      </c>
      <c r="R323" s="15">
        <f>IF($C323="","",IF($L323="","",IF(AND($K323=2,$L323&lt;$J323,COUNTIFS(nrES_PID,$D323,nrES_Code,$F323,nrES_Att,1)&gt;0),"Yes","No")))</f>
        <v/>
      </c>
      <c r="S323" s="16" t="n"/>
      <c r="T323" s="17">
        <f>IF($Q323&lt;&gt;"Yes","",IF($S323="","(enter date)",_xlfn.LET(_xlpm.dn,IFERROR(_xlfn.XLOOKUP($S323,nrCDdate,nrCDnum),""),IF(_xlpm.dn="","(not a class day)",IFERROR(_xlfn.XLOOKUP(_xlpm.dn+cfgRetestClassDays,nrCDnum,nrCDdate),"")))))</f>
        <v/>
      </c>
      <c r="U323" s="15">
        <f>IF($Q323&lt;&gt;"Yes","",IF(COUNTIFS(nrES_PID,$D323,nrES_Code,$F323,nrES_Att,2)&gt;0,"Retested",IF(OR($T323="",NOT(ISNUMBER($T323))),"Pending",IF(TODAY()&gt;$T323,"OVERDUE","Due "&amp;TEXT($T323,"mm/dd")))))</f>
        <v/>
      </c>
      <c r="V323" s="14" t="n"/>
      <c r="W323" s="14" t="n"/>
    </row>
    <row r="324">
      <c r="B324" s="15">
        <f>IF($C324="","",$D324&amp;"-"&amp;$F324&amp;"-"&amp;$K324)</f>
        <v/>
      </c>
      <c r="C324" s="14" t="n"/>
      <c r="D324" s="15">
        <f>IF($C324="","",IFERROR(INDEX(rngCadetPIDs,MATCH($C324,rngCadetNames,0)),"?"))</f>
        <v/>
      </c>
      <c r="E324" s="15">
        <f>IF($D324="","",IFERROR(INDEX(nrCadetAgency,MATCH($D324,rngCadetPIDs,0)),""))</f>
        <v/>
      </c>
      <c r="F324" s="14" t="n"/>
      <c r="G324" s="15">
        <f>IF($F324="","",IFERROR(INDEX(rngEPname,MATCH($F324,rngEPcode,0)),"?"))</f>
        <v/>
      </c>
      <c r="H324" s="15">
        <f>IF($F324="","",IFERROR(INDEX(rngEPtype,MATCH($F324,rngEPcode,0)),"?"))</f>
        <v/>
      </c>
      <c r="I324" s="15">
        <f>IF($F324="","",IFERROR(INDEX(rngEPseq,MATCH($F324,rngEPcode,0)),""))</f>
        <v/>
      </c>
      <c r="J324" s="15">
        <f>IF($F324="","",IFERROR(INDEX(rngEPpass,MATCH($F324,rngEPcode,0)),cfgPassingScore))</f>
        <v/>
      </c>
      <c r="K324" s="14" t="n"/>
      <c r="L324" s="14" t="n"/>
      <c r="M324" s="15">
        <f>IF($C324="","",IF($L324="","",IF($K324=1,IF(COUNTIFS(nrES_PID,$D324,nrES_Code,$F324,nrES_Att,2)&gt;0,"",$L324),IF(COUNTIFS(nrES_PID,$D324,nrES_Code,$F324,nrES_Att,1)=0,$L324,IF($L324&gt;=$J324,cfgRetakeRecordedCap,SUMIFS(nrES_Raw,nrES_PID,$D324,nrES_Code,$F324,nrES_Att,1))))))</f>
        <v/>
      </c>
      <c r="N324" s="15">
        <f>IF($C324="","",IF($L324="","",IF($L324&gt;=$J324,"Yes","No")))</f>
        <v/>
      </c>
      <c r="O324" s="15">
        <f>IF($C324="","",IF($M324="","",IF($M324&gt;=$J324,"Yes","No")))</f>
        <v/>
      </c>
      <c r="P324" s="15">
        <f>IF($C324="","",IF($K324="","",IF(COUNTIFS(nrES_PID,$D324,nrES_Code,$F324,nrES_Att,"&gt;"&amp;$K324)=0,"Yes","No")))</f>
        <v/>
      </c>
      <c r="Q324" s="15">
        <f>IF($C324="","",IF($L324="","",IF(AND($K324=1,$L324&lt;$J324,COUNTIFS(nrES_PID,$D324,nrES_Code,$F324,nrES_Att,2)=0),"Yes","No")))</f>
        <v/>
      </c>
      <c r="R324" s="15">
        <f>IF($C324="","",IF($L324="","",IF(AND($K324=2,$L324&lt;$J324,COUNTIFS(nrES_PID,$D324,nrES_Code,$F324,nrES_Att,1)&gt;0),"Yes","No")))</f>
        <v/>
      </c>
      <c r="S324" s="16" t="n"/>
      <c r="T324" s="17">
        <f>IF($Q324&lt;&gt;"Yes","",IF($S324="","(enter date)",_xlfn.LET(_xlpm.dn,IFERROR(_xlfn.XLOOKUP($S324,nrCDdate,nrCDnum),""),IF(_xlpm.dn="","(not a class day)",IFERROR(_xlfn.XLOOKUP(_xlpm.dn+cfgRetestClassDays,nrCDnum,nrCDdate),"")))))</f>
        <v/>
      </c>
      <c r="U324" s="15">
        <f>IF($Q324&lt;&gt;"Yes","",IF(COUNTIFS(nrES_PID,$D324,nrES_Code,$F324,nrES_Att,2)&gt;0,"Retested",IF(OR($T324="",NOT(ISNUMBER($T324))),"Pending",IF(TODAY()&gt;$T324,"OVERDUE","Due "&amp;TEXT($T324,"mm/dd")))))</f>
        <v/>
      </c>
      <c r="V324" s="14" t="n"/>
      <c r="W324" s="14" t="n"/>
    </row>
    <row r="325">
      <c r="B325" s="15">
        <f>IF($C325="","",$D325&amp;"-"&amp;$F325&amp;"-"&amp;$K325)</f>
        <v/>
      </c>
      <c r="C325" s="14" t="n"/>
      <c r="D325" s="15">
        <f>IF($C325="","",IFERROR(INDEX(rngCadetPIDs,MATCH($C325,rngCadetNames,0)),"?"))</f>
        <v/>
      </c>
      <c r="E325" s="15">
        <f>IF($D325="","",IFERROR(INDEX(nrCadetAgency,MATCH($D325,rngCadetPIDs,0)),""))</f>
        <v/>
      </c>
      <c r="F325" s="14" t="n"/>
      <c r="G325" s="15">
        <f>IF($F325="","",IFERROR(INDEX(rngEPname,MATCH($F325,rngEPcode,0)),"?"))</f>
        <v/>
      </c>
      <c r="H325" s="15">
        <f>IF($F325="","",IFERROR(INDEX(rngEPtype,MATCH($F325,rngEPcode,0)),"?"))</f>
        <v/>
      </c>
      <c r="I325" s="15">
        <f>IF($F325="","",IFERROR(INDEX(rngEPseq,MATCH($F325,rngEPcode,0)),""))</f>
        <v/>
      </c>
      <c r="J325" s="15">
        <f>IF($F325="","",IFERROR(INDEX(rngEPpass,MATCH($F325,rngEPcode,0)),cfgPassingScore))</f>
        <v/>
      </c>
      <c r="K325" s="14" t="n"/>
      <c r="L325" s="14" t="n"/>
      <c r="M325" s="15">
        <f>IF($C325="","",IF($L325="","",IF($K325=1,IF(COUNTIFS(nrES_PID,$D325,nrES_Code,$F325,nrES_Att,2)&gt;0,"",$L325),IF(COUNTIFS(nrES_PID,$D325,nrES_Code,$F325,nrES_Att,1)=0,$L325,IF($L325&gt;=$J325,cfgRetakeRecordedCap,SUMIFS(nrES_Raw,nrES_PID,$D325,nrES_Code,$F325,nrES_Att,1))))))</f>
        <v/>
      </c>
      <c r="N325" s="15">
        <f>IF($C325="","",IF($L325="","",IF($L325&gt;=$J325,"Yes","No")))</f>
        <v/>
      </c>
      <c r="O325" s="15">
        <f>IF($C325="","",IF($M325="","",IF($M325&gt;=$J325,"Yes","No")))</f>
        <v/>
      </c>
      <c r="P325" s="15">
        <f>IF($C325="","",IF($K325="","",IF(COUNTIFS(nrES_PID,$D325,nrES_Code,$F325,nrES_Att,"&gt;"&amp;$K325)=0,"Yes","No")))</f>
        <v/>
      </c>
      <c r="Q325" s="15">
        <f>IF($C325="","",IF($L325="","",IF(AND($K325=1,$L325&lt;$J325,COUNTIFS(nrES_PID,$D325,nrES_Code,$F325,nrES_Att,2)=0),"Yes","No")))</f>
        <v/>
      </c>
      <c r="R325" s="15">
        <f>IF($C325="","",IF($L325="","",IF(AND($K325=2,$L325&lt;$J325,COUNTIFS(nrES_PID,$D325,nrES_Code,$F325,nrES_Att,1)&gt;0),"Yes","No")))</f>
        <v/>
      </c>
      <c r="S325" s="16" t="n"/>
      <c r="T325" s="17">
        <f>IF($Q325&lt;&gt;"Yes","",IF($S325="","(enter date)",_xlfn.LET(_xlpm.dn,IFERROR(_xlfn.XLOOKUP($S325,nrCDdate,nrCDnum),""),IF(_xlpm.dn="","(not a class day)",IFERROR(_xlfn.XLOOKUP(_xlpm.dn+cfgRetestClassDays,nrCDnum,nrCDdate),"")))))</f>
        <v/>
      </c>
      <c r="U325" s="15">
        <f>IF($Q325&lt;&gt;"Yes","",IF(COUNTIFS(nrES_PID,$D325,nrES_Code,$F325,nrES_Att,2)&gt;0,"Retested",IF(OR($T325="",NOT(ISNUMBER($T325))),"Pending",IF(TODAY()&gt;$T325,"OVERDUE","Due "&amp;TEXT($T325,"mm/dd")))))</f>
        <v/>
      </c>
      <c r="V325" s="14" t="n"/>
      <c r="W325" s="14" t="n"/>
    </row>
    <row r="326">
      <c r="B326" s="15">
        <f>IF($C326="","",$D326&amp;"-"&amp;$F326&amp;"-"&amp;$K326)</f>
        <v/>
      </c>
      <c r="C326" s="14" t="n"/>
      <c r="D326" s="15">
        <f>IF($C326="","",IFERROR(INDEX(rngCadetPIDs,MATCH($C326,rngCadetNames,0)),"?"))</f>
        <v/>
      </c>
      <c r="E326" s="15">
        <f>IF($D326="","",IFERROR(INDEX(nrCadetAgency,MATCH($D326,rngCadetPIDs,0)),""))</f>
        <v/>
      </c>
      <c r="F326" s="14" t="n"/>
      <c r="G326" s="15">
        <f>IF($F326="","",IFERROR(INDEX(rngEPname,MATCH($F326,rngEPcode,0)),"?"))</f>
        <v/>
      </c>
      <c r="H326" s="15">
        <f>IF($F326="","",IFERROR(INDEX(rngEPtype,MATCH($F326,rngEPcode,0)),"?"))</f>
        <v/>
      </c>
      <c r="I326" s="15">
        <f>IF($F326="","",IFERROR(INDEX(rngEPseq,MATCH($F326,rngEPcode,0)),""))</f>
        <v/>
      </c>
      <c r="J326" s="15">
        <f>IF($F326="","",IFERROR(INDEX(rngEPpass,MATCH($F326,rngEPcode,0)),cfgPassingScore))</f>
        <v/>
      </c>
      <c r="K326" s="14" t="n"/>
      <c r="L326" s="14" t="n"/>
      <c r="M326" s="15">
        <f>IF($C326="","",IF($L326="","",IF($K326=1,IF(COUNTIFS(nrES_PID,$D326,nrES_Code,$F326,nrES_Att,2)&gt;0,"",$L326),IF(COUNTIFS(nrES_PID,$D326,nrES_Code,$F326,nrES_Att,1)=0,$L326,IF($L326&gt;=$J326,cfgRetakeRecordedCap,SUMIFS(nrES_Raw,nrES_PID,$D326,nrES_Code,$F326,nrES_Att,1))))))</f>
        <v/>
      </c>
      <c r="N326" s="15">
        <f>IF($C326="","",IF($L326="","",IF($L326&gt;=$J326,"Yes","No")))</f>
        <v/>
      </c>
      <c r="O326" s="15">
        <f>IF($C326="","",IF($M326="","",IF($M326&gt;=$J326,"Yes","No")))</f>
        <v/>
      </c>
      <c r="P326" s="15">
        <f>IF($C326="","",IF($K326="","",IF(COUNTIFS(nrES_PID,$D326,nrES_Code,$F326,nrES_Att,"&gt;"&amp;$K326)=0,"Yes","No")))</f>
        <v/>
      </c>
      <c r="Q326" s="15">
        <f>IF($C326="","",IF($L326="","",IF(AND($K326=1,$L326&lt;$J326,COUNTIFS(nrES_PID,$D326,nrES_Code,$F326,nrES_Att,2)=0),"Yes","No")))</f>
        <v/>
      </c>
      <c r="R326" s="15">
        <f>IF($C326="","",IF($L326="","",IF(AND($K326=2,$L326&lt;$J326,COUNTIFS(nrES_PID,$D326,nrES_Code,$F326,nrES_Att,1)&gt;0),"Yes","No")))</f>
        <v/>
      </c>
      <c r="S326" s="16" t="n"/>
      <c r="T326" s="17">
        <f>IF($Q326&lt;&gt;"Yes","",IF($S326="","(enter date)",_xlfn.LET(_xlpm.dn,IFERROR(_xlfn.XLOOKUP($S326,nrCDdate,nrCDnum),""),IF(_xlpm.dn="","(not a class day)",IFERROR(_xlfn.XLOOKUP(_xlpm.dn+cfgRetestClassDays,nrCDnum,nrCDdate),"")))))</f>
        <v/>
      </c>
      <c r="U326" s="15">
        <f>IF($Q326&lt;&gt;"Yes","",IF(COUNTIFS(nrES_PID,$D326,nrES_Code,$F326,nrES_Att,2)&gt;0,"Retested",IF(OR($T326="",NOT(ISNUMBER($T326))),"Pending",IF(TODAY()&gt;$T326,"OVERDUE","Due "&amp;TEXT($T326,"mm/dd")))))</f>
        <v/>
      </c>
      <c r="V326" s="14" t="n"/>
      <c r="W326" s="14" t="n"/>
    </row>
    <row r="327">
      <c r="B327" s="15">
        <f>IF($C327="","",$D327&amp;"-"&amp;$F327&amp;"-"&amp;$K327)</f>
        <v/>
      </c>
      <c r="C327" s="14" t="n"/>
      <c r="D327" s="15">
        <f>IF($C327="","",IFERROR(INDEX(rngCadetPIDs,MATCH($C327,rngCadetNames,0)),"?"))</f>
        <v/>
      </c>
      <c r="E327" s="15">
        <f>IF($D327="","",IFERROR(INDEX(nrCadetAgency,MATCH($D327,rngCadetPIDs,0)),""))</f>
        <v/>
      </c>
      <c r="F327" s="14" t="n"/>
      <c r="G327" s="15">
        <f>IF($F327="","",IFERROR(INDEX(rngEPname,MATCH($F327,rngEPcode,0)),"?"))</f>
        <v/>
      </c>
      <c r="H327" s="15">
        <f>IF($F327="","",IFERROR(INDEX(rngEPtype,MATCH($F327,rngEPcode,0)),"?"))</f>
        <v/>
      </c>
      <c r="I327" s="15">
        <f>IF($F327="","",IFERROR(INDEX(rngEPseq,MATCH($F327,rngEPcode,0)),""))</f>
        <v/>
      </c>
      <c r="J327" s="15">
        <f>IF($F327="","",IFERROR(INDEX(rngEPpass,MATCH($F327,rngEPcode,0)),cfgPassingScore))</f>
        <v/>
      </c>
      <c r="K327" s="14" t="n"/>
      <c r="L327" s="14" t="n"/>
      <c r="M327" s="15">
        <f>IF($C327="","",IF($L327="","",IF($K327=1,IF(COUNTIFS(nrES_PID,$D327,nrES_Code,$F327,nrES_Att,2)&gt;0,"",$L327),IF(COUNTIFS(nrES_PID,$D327,nrES_Code,$F327,nrES_Att,1)=0,$L327,IF($L327&gt;=$J327,cfgRetakeRecordedCap,SUMIFS(nrES_Raw,nrES_PID,$D327,nrES_Code,$F327,nrES_Att,1))))))</f>
        <v/>
      </c>
      <c r="N327" s="15">
        <f>IF($C327="","",IF($L327="","",IF($L327&gt;=$J327,"Yes","No")))</f>
        <v/>
      </c>
      <c r="O327" s="15">
        <f>IF($C327="","",IF($M327="","",IF($M327&gt;=$J327,"Yes","No")))</f>
        <v/>
      </c>
      <c r="P327" s="15">
        <f>IF($C327="","",IF($K327="","",IF(COUNTIFS(nrES_PID,$D327,nrES_Code,$F327,nrES_Att,"&gt;"&amp;$K327)=0,"Yes","No")))</f>
        <v/>
      </c>
      <c r="Q327" s="15">
        <f>IF($C327="","",IF($L327="","",IF(AND($K327=1,$L327&lt;$J327,COUNTIFS(nrES_PID,$D327,nrES_Code,$F327,nrES_Att,2)=0),"Yes","No")))</f>
        <v/>
      </c>
      <c r="R327" s="15">
        <f>IF($C327="","",IF($L327="","",IF(AND($K327=2,$L327&lt;$J327,COUNTIFS(nrES_PID,$D327,nrES_Code,$F327,nrES_Att,1)&gt;0),"Yes","No")))</f>
        <v/>
      </c>
      <c r="S327" s="16" t="n"/>
      <c r="T327" s="17">
        <f>IF($Q327&lt;&gt;"Yes","",IF($S327="","(enter date)",_xlfn.LET(_xlpm.dn,IFERROR(_xlfn.XLOOKUP($S327,nrCDdate,nrCDnum),""),IF(_xlpm.dn="","(not a class day)",IFERROR(_xlfn.XLOOKUP(_xlpm.dn+cfgRetestClassDays,nrCDnum,nrCDdate),"")))))</f>
        <v/>
      </c>
      <c r="U327" s="15">
        <f>IF($Q327&lt;&gt;"Yes","",IF(COUNTIFS(nrES_PID,$D327,nrES_Code,$F327,nrES_Att,2)&gt;0,"Retested",IF(OR($T327="",NOT(ISNUMBER($T327))),"Pending",IF(TODAY()&gt;$T327,"OVERDUE","Due "&amp;TEXT($T327,"mm/dd")))))</f>
        <v/>
      </c>
      <c r="V327" s="14" t="n"/>
      <c r="W327" s="14" t="n"/>
    </row>
    <row r="328">
      <c r="B328" s="15">
        <f>IF($C328="","",$D328&amp;"-"&amp;$F328&amp;"-"&amp;$K328)</f>
        <v/>
      </c>
      <c r="C328" s="14" t="n"/>
      <c r="D328" s="15">
        <f>IF($C328="","",IFERROR(INDEX(rngCadetPIDs,MATCH($C328,rngCadetNames,0)),"?"))</f>
        <v/>
      </c>
      <c r="E328" s="15">
        <f>IF($D328="","",IFERROR(INDEX(nrCadetAgency,MATCH($D328,rngCadetPIDs,0)),""))</f>
        <v/>
      </c>
      <c r="F328" s="14" t="n"/>
      <c r="G328" s="15">
        <f>IF($F328="","",IFERROR(INDEX(rngEPname,MATCH($F328,rngEPcode,0)),"?"))</f>
        <v/>
      </c>
      <c r="H328" s="15">
        <f>IF($F328="","",IFERROR(INDEX(rngEPtype,MATCH($F328,rngEPcode,0)),"?"))</f>
        <v/>
      </c>
      <c r="I328" s="15">
        <f>IF($F328="","",IFERROR(INDEX(rngEPseq,MATCH($F328,rngEPcode,0)),""))</f>
        <v/>
      </c>
      <c r="J328" s="15">
        <f>IF($F328="","",IFERROR(INDEX(rngEPpass,MATCH($F328,rngEPcode,0)),cfgPassingScore))</f>
        <v/>
      </c>
      <c r="K328" s="14" t="n"/>
      <c r="L328" s="14" t="n"/>
      <c r="M328" s="15">
        <f>IF($C328="","",IF($L328="","",IF($K328=1,IF(COUNTIFS(nrES_PID,$D328,nrES_Code,$F328,nrES_Att,2)&gt;0,"",$L328),IF(COUNTIFS(nrES_PID,$D328,nrES_Code,$F328,nrES_Att,1)=0,$L328,IF($L328&gt;=$J328,cfgRetakeRecordedCap,SUMIFS(nrES_Raw,nrES_PID,$D328,nrES_Code,$F328,nrES_Att,1))))))</f>
        <v/>
      </c>
      <c r="N328" s="15">
        <f>IF($C328="","",IF($L328="","",IF($L328&gt;=$J328,"Yes","No")))</f>
        <v/>
      </c>
      <c r="O328" s="15">
        <f>IF($C328="","",IF($M328="","",IF($M328&gt;=$J328,"Yes","No")))</f>
        <v/>
      </c>
      <c r="P328" s="15">
        <f>IF($C328="","",IF($K328="","",IF(COUNTIFS(nrES_PID,$D328,nrES_Code,$F328,nrES_Att,"&gt;"&amp;$K328)=0,"Yes","No")))</f>
        <v/>
      </c>
      <c r="Q328" s="15">
        <f>IF($C328="","",IF($L328="","",IF(AND($K328=1,$L328&lt;$J328,COUNTIFS(nrES_PID,$D328,nrES_Code,$F328,nrES_Att,2)=0),"Yes","No")))</f>
        <v/>
      </c>
      <c r="R328" s="15">
        <f>IF($C328="","",IF($L328="","",IF(AND($K328=2,$L328&lt;$J328,COUNTIFS(nrES_PID,$D328,nrES_Code,$F328,nrES_Att,1)&gt;0),"Yes","No")))</f>
        <v/>
      </c>
      <c r="S328" s="16" t="n"/>
      <c r="T328" s="17">
        <f>IF($Q328&lt;&gt;"Yes","",IF($S328="","(enter date)",_xlfn.LET(_xlpm.dn,IFERROR(_xlfn.XLOOKUP($S328,nrCDdate,nrCDnum),""),IF(_xlpm.dn="","(not a class day)",IFERROR(_xlfn.XLOOKUP(_xlpm.dn+cfgRetestClassDays,nrCDnum,nrCDdate),"")))))</f>
        <v/>
      </c>
      <c r="U328" s="15">
        <f>IF($Q328&lt;&gt;"Yes","",IF(COUNTIFS(nrES_PID,$D328,nrES_Code,$F328,nrES_Att,2)&gt;0,"Retested",IF(OR($T328="",NOT(ISNUMBER($T328))),"Pending",IF(TODAY()&gt;$T328,"OVERDUE","Due "&amp;TEXT($T328,"mm/dd")))))</f>
        <v/>
      </c>
      <c r="V328" s="14" t="n"/>
      <c r="W328" s="14" t="n"/>
    </row>
    <row r="329">
      <c r="B329" s="15">
        <f>IF($C329="","",$D329&amp;"-"&amp;$F329&amp;"-"&amp;$K329)</f>
        <v/>
      </c>
      <c r="C329" s="14" t="n"/>
      <c r="D329" s="15">
        <f>IF($C329="","",IFERROR(INDEX(rngCadetPIDs,MATCH($C329,rngCadetNames,0)),"?"))</f>
        <v/>
      </c>
      <c r="E329" s="15">
        <f>IF($D329="","",IFERROR(INDEX(nrCadetAgency,MATCH($D329,rngCadetPIDs,0)),""))</f>
        <v/>
      </c>
      <c r="F329" s="14" t="n"/>
      <c r="G329" s="15">
        <f>IF($F329="","",IFERROR(INDEX(rngEPname,MATCH($F329,rngEPcode,0)),"?"))</f>
        <v/>
      </c>
      <c r="H329" s="15">
        <f>IF($F329="","",IFERROR(INDEX(rngEPtype,MATCH($F329,rngEPcode,0)),"?"))</f>
        <v/>
      </c>
      <c r="I329" s="15">
        <f>IF($F329="","",IFERROR(INDEX(rngEPseq,MATCH($F329,rngEPcode,0)),""))</f>
        <v/>
      </c>
      <c r="J329" s="15">
        <f>IF($F329="","",IFERROR(INDEX(rngEPpass,MATCH($F329,rngEPcode,0)),cfgPassingScore))</f>
        <v/>
      </c>
      <c r="K329" s="14" t="n"/>
      <c r="L329" s="14" t="n"/>
      <c r="M329" s="15">
        <f>IF($C329="","",IF($L329="","",IF($K329=1,IF(COUNTIFS(nrES_PID,$D329,nrES_Code,$F329,nrES_Att,2)&gt;0,"",$L329),IF(COUNTIFS(nrES_PID,$D329,nrES_Code,$F329,nrES_Att,1)=0,$L329,IF($L329&gt;=$J329,cfgRetakeRecordedCap,SUMIFS(nrES_Raw,nrES_PID,$D329,nrES_Code,$F329,nrES_Att,1))))))</f>
        <v/>
      </c>
      <c r="N329" s="15">
        <f>IF($C329="","",IF($L329="","",IF($L329&gt;=$J329,"Yes","No")))</f>
        <v/>
      </c>
      <c r="O329" s="15">
        <f>IF($C329="","",IF($M329="","",IF($M329&gt;=$J329,"Yes","No")))</f>
        <v/>
      </c>
      <c r="P329" s="15">
        <f>IF($C329="","",IF($K329="","",IF(COUNTIFS(nrES_PID,$D329,nrES_Code,$F329,nrES_Att,"&gt;"&amp;$K329)=0,"Yes","No")))</f>
        <v/>
      </c>
      <c r="Q329" s="15">
        <f>IF($C329="","",IF($L329="","",IF(AND($K329=1,$L329&lt;$J329,COUNTIFS(nrES_PID,$D329,nrES_Code,$F329,nrES_Att,2)=0),"Yes","No")))</f>
        <v/>
      </c>
      <c r="R329" s="15">
        <f>IF($C329="","",IF($L329="","",IF(AND($K329=2,$L329&lt;$J329,COUNTIFS(nrES_PID,$D329,nrES_Code,$F329,nrES_Att,1)&gt;0),"Yes","No")))</f>
        <v/>
      </c>
      <c r="S329" s="16" t="n"/>
      <c r="T329" s="17">
        <f>IF($Q329&lt;&gt;"Yes","",IF($S329="","(enter date)",_xlfn.LET(_xlpm.dn,IFERROR(_xlfn.XLOOKUP($S329,nrCDdate,nrCDnum),""),IF(_xlpm.dn="","(not a class day)",IFERROR(_xlfn.XLOOKUP(_xlpm.dn+cfgRetestClassDays,nrCDnum,nrCDdate),"")))))</f>
        <v/>
      </c>
      <c r="U329" s="15">
        <f>IF($Q329&lt;&gt;"Yes","",IF(COUNTIFS(nrES_PID,$D329,nrES_Code,$F329,nrES_Att,2)&gt;0,"Retested",IF(OR($T329="",NOT(ISNUMBER($T329))),"Pending",IF(TODAY()&gt;$T329,"OVERDUE","Due "&amp;TEXT($T329,"mm/dd")))))</f>
        <v/>
      </c>
      <c r="V329" s="14" t="n"/>
      <c r="W329" s="14" t="n"/>
    </row>
    <row r="330">
      <c r="B330" s="15">
        <f>IF($C330="","",$D330&amp;"-"&amp;$F330&amp;"-"&amp;$K330)</f>
        <v/>
      </c>
      <c r="C330" s="14" t="n"/>
      <c r="D330" s="15">
        <f>IF($C330="","",IFERROR(INDEX(rngCadetPIDs,MATCH($C330,rngCadetNames,0)),"?"))</f>
        <v/>
      </c>
      <c r="E330" s="15">
        <f>IF($D330="","",IFERROR(INDEX(nrCadetAgency,MATCH($D330,rngCadetPIDs,0)),""))</f>
        <v/>
      </c>
      <c r="F330" s="14" t="n"/>
      <c r="G330" s="15">
        <f>IF($F330="","",IFERROR(INDEX(rngEPname,MATCH($F330,rngEPcode,0)),"?"))</f>
        <v/>
      </c>
      <c r="H330" s="15">
        <f>IF($F330="","",IFERROR(INDEX(rngEPtype,MATCH($F330,rngEPcode,0)),"?"))</f>
        <v/>
      </c>
      <c r="I330" s="15">
        <f>IF($F330="","",IFERROR(INDEX(rngEPseq,MATCH($F330,rngEPcode,0)),""))</f>
        <v/>
      </c>
      <c r="J330" s="15">
        <f>IF($F330="","",IFERROR(INDEX(rngEPpass,MATCH($F330,rngEPcode,0)),cfgPassingScore))</f>
        <v/>
      </c>
      <c r="K330" s="14" t="n"/>
      <c r="L330" s="14" t="n"/>
      <c r="M330" s="15">
        <f>IF($C330="","",IF($L330="","",IF($K330=1,IF(COUNTIFS(nrES_PID,$D330,nrES_Code,$F330,nrES_Att,2)&gt;0,"",$L330),IF(COUNTIFS(nrES_PID,$D330,nrES_Code,$F330,nrES_Att,1)=0,$L330,IF($L330&gt;=$J330,cfgRetakeRecordedCap,SUMIFS(nrES_Raw,nrES_PID,$D330,nrES_Code,$F330,nrES_Att,1))))))</f>
        <v/>
      </c>
      <c r="N330" s="15">
        <f>IF($C330="","",IF($L330="","",IF($L330&gt;=$J330,"Yes","No")))</f>
        <v/>
      </c>
      <c r="O330" s="15">
        <f>IF($C330="","",IF($M330="","",IF($M330&gt;=$J330,"Yes","No")))</f>
        <v/>
      </c>
      <c r="P330" s="15">
        <f>IF($C330="","",IF($K330="","",IF(COUNTIFS(nrES_PID,$D330,nrES_Code,$F330,nrES_Att,"&gt;"&amp;$K330)=0,"Yes","No")))</f>
        <v/>
      </c>
      <c r="Q330" s="15">
        <f>IF($C330="","",IF($L330="","",IF(AND($K330=1,$L330&lt;$J330,COUNTIFS(nrES_PID,$D330,nrES_Code,$F330,nrES_Att,2)=0),"Yes","No")))</f>
        <v/>
      </c>
      <c r="R330" s="15">
        <f>IF($C330="","",IF($L330="","",IF(AND($K330=2,$L330&lt;$J330,COUNTIFS(nrES_PID,$D330,nrES_Code,$F330,nrES_Att,1)&gt;0),"Yes","No")))</f>
        <v/>
      </c>
      <c r="S330" s="16" t="n"/>
      <c r="T330" s="17">
        <f>IF($Q330&lt;&gt;"Yes","",IF($S330="","(enter date)",_xlfn.LET(_xlpm.dn,IFERROR(_xlfn.XLOOKUP($S330,nrCDdate,nrCDnum),""),IF(_xlpm.dn="","(not a class day)",IFERROR(_xlfn.XLOOKUP(_xlpm.dn+cfgRetestClassDays,nrCDnum,nrCDdate),"")))))</f>
        <v/>
      </c>
      <c r="U330" s="15">
        <f>IF($Q330&lt;&gt;"Yes","",IF(COUNTIFS(nrES_PID,$D330,nrES_Code,$F330,nrES_Att,2)&gt;0,"Retested",IF(OR($T330="",NOT(ISNUMBER($T330))),"Pending",IF(TODAY()&gt;$T330,"OVERDUE","Due "&amp;TEXT($T330,"mm/dd")))))</f>
        <v/>
      </c>
      <c r="V330" s="14" t="n"/>
      <c r="W330" s="14" t="n"/>
    </row>
    <row r="331">
      <c r="B331" s="15">
        <f>IF($C331="","",$D331&amp;"-"&amp;$F331&amp;"-"&amp;$K331)</f>
        <v/>
      </c>
      <c r="C331" s="14" t="n"/>
      <c r="D331" s="15">
        <f>IF($C331="","",IFERROR(INDEX(rngCadetPIDs,MATCH($C331,rngCadetNames,0)),"?"))</f>
        <v/>
      </c>
      <c r="E331" s="15">
        <f>IF($D331="","",IFERROR(INDEX(nrCadetAgency,MATCH($D331,rngCadetPIDs,0)),""))</f>
        <v/>
      </c>
      <c r="F331" s="14" t="n"/>
      <c r="G331" s="15">
        <f>IF($F331="","",IFERROR(INDEX(rngEPname,MATCH($F331,rngEPcode,0)),"?"))</f>
        <v/>
      </c>
      <c r="H331" s="15">
        <f>IF($F331="","",IFERROR(INDEX(rngEPtype,MATCH($F331,rngEPcode,0)),"?"))</f>
        <v/>
      </c>
      <c r="I331" s="15">
        <f>IF($F331="","",IFERROR(INDEX(rngEPseq,MATCH($F331,rngEPcode,0)),""))</f>
        <v/>
      </c>
      <c r="J331" s="15">
        <f>IF($F331="","",IFERROR(INDEX(rngEPpass,MATCH($F331,rngEPcode,0)),cfgPassingScore))</f>
        <v/>
      </c>
      <c r="K331" s="14" t="n"/>
      <c r="L331" s="14" t="n"/>
      <c r="M331" s="15">
        <f>IF($C331="","",IF($L331="","",IF($K331=1,IF(COUNTIFS(nrES_PID,$D331,nrES_Code,$F331,nrES_Att,2)&gt;0,"",$L331),IF(COUNTIFS(nrES_PID,$D331,nrES_Code,$F331,nrES_Att,1)=0,$L331,IF($L331&gt;=$J331,cfgRetakeRecordedCap,SUMIFS(nrES_Raw,nrES_PID,$D331,nrES_Code,$F331,nrES_Att,1))))))</f>
        <v/>
      </c>
      <c r="N331" s="15">
        <f>IF($C331="","",IF($L331="","",IF($L331&gt;=$J331,"Yes","No")))</f>
        <v/>
      </c>
      <c r="O331" s="15">
        <f>IF($C331="","",IF($M331="","",IF($M331&gt;=$J331,"Yes","No")))</f>
        <v/>
      </c>
      <c r="P331" s="15">
        <f>IF($C331="","",IF($K331="","",IF(COUNTIFS(nrES_PID,$D331,nrES_Code,$F331,nrES_Att,"&gt;"&amp;$K331)=0,"Yes","No")))</f>
        <v/>
      </c>
      <c r="Q331" s="15">
        <f>IF($C331="","",IF($L331="","",IF(AND($K331=1,$L331&lt;$J331,COUNTIFS(nrES_PID,$D331,nrES_Code,$F331,nrES_Att,2)=0),"Yes","No")))</f>
        <v/>
      </c>
      <c r="R331" s="15">
        <f>IF($C331="","",IF($L331="","",IF(AND($K331=2,$L331&lt;$J331,COUNTIFS(nrES_PID,$D331,nrES_Code,$F331,nrES_Att,1)&gt;0),"Yes","No")))</f>
        <v/>
      </c>
      <c r="S331" s="16" t="n"/>
      <c r="T331" s="17">
        <f>IF($Q331&lt;&gt;"Yes","",IF($S331="","(enter date)",_xlfn.LET(_xlpm.dn,IFERROR(_xlfn.XLOOKUP($S331,nrCDdate,nrCDnum),""),IF(_xlpm.dn="","(not a class day)",IFERROR(_xlfn.XLOOKUP(_xlpm.dn+cfgRetestClassDays,nrCDnum,nrCDdate),"")))))</f>
        <v/>
      </c>
      <c r="U331" s="15">
        <f>IF($Q331&lt;&gt;"Yes","",IF(COUNTIFS(nrES_PID,$D331,nrES_Code,$F331,nrES_Att,2)&gt;0,"Retested",IF(OR($T331="",NOT(ISNUMBER($T331))),"Pending",IF(TODAY()&gt;$T331,"OVERDUE","Due "&amp;TEXT($T331,"mm/dd")))))</f>
        <v/>
      </c>
      <c r="V331" s="14" t="n"/>
      <c r="W331" s="14" t="n"/>
    </row>
    <row r="332">
      <c r="B332" s="15">
        <f>IF($C332="","",$D332&amp;"-"&amp;$F332&amp;"-"&amp;$K332)</f>
        <v/>
      </c>
      <c r="C332" s="14" t="n"/>
      <c r="D332" s="15">
        <f>IF($C332="","",IFERROR(INDEX(rngCadetPIDs,MATCH($C332,rngCadetNames,0)),"?"))</f>
        <v/>
      </c>
      <c r="E332" s="15">
        <f>IF($D332="","",IFERROR(INDEX(nrCadetAgency,MATCH($D332,rngCadetPIDs,0)),""))</f>
        <v/>
      </c>
      <c r="F332" s="14" t="n"/>
      <c r="G332" s="15">
        <f>IF($F332="","",IFERROR(INDEX(rngEPname,MATCH($F332,rngEPcode,0)),"?"))</f>
        <v/>
      </c>
      <c r="H332" s="15">
        <f>IF($F332="","",IFERROR(INDEX(rngEPtype,MATCH($F332,rngEPcode,0)),"?"))</f>
        <v/>
      </c>
      <c r="I332" s="15">
        <f>IF($F332="","",IFERROR(INDEX(rngEPseq,MATCH($F332,rngEPcode,0)),""))</f>
        <v/>
      </c>
      <c r="J332" s="15">
        <f>IF($F332="","",IFERROR(INDEX(rngEPpass,MATCH($F332,rngEPcode,0)),cfgPassingScore))</f>
        <v/>
      </c>
      <c r="K332" s="14" t="n"/>
      <c r="L332" s="14" t="n"/>
      <c r="M332" s="15">
        <f>IF($C332="","",IF($L332="","",IF($K332=1,IF(COUNTIFS(nrES_PID,$D332,nrES_Code,$F332,nrES_Att,2)&gt;0,"",$L332),IF(COUNTIFS(nrES_PID,$D332,nrES_Code,$F332,nrES_Att,1)=0,$L332,IF($L332&gt;=$J332,cfgRetakeRecordedCap,SUMIFS(nrES_Raw,nrES_PID,$D332,nrES_Code,$F332,nrES_Att,1))))))</f>
        <v/>
      </c>
      <c r="N332" s="15">
        <f>IF($C332="","",IF($L332="","",IF($L332&gt;=$J332,"Yes","No")))</f>
        <v/>
      </c>
      <c r="O332" s="15">
        <f>IF($C332="","",IF($M332="","",IF($M332&gt;=$J332,"Yes","No")))</f>
        <v/>
      </c>
      <c r="P332" s="15">
        <f>IF($C332="","",IF($K332="","",IF(COUNTIFS(nrES_PID,$D332,nrES_Code,$F332,nrES_Att,"&gt;"&amp;$K332)=0,"Yes","No")))</f>
        <v/>
      </c>
      <c r="Q332" s="15">
        <f>IF($C332="","",IF($L332="","",IF(AND($K332=1,$L332&lt;$J332,COUNTIFS(nrES_PID,$D332,nrES_Code,$F332,nrES_Att,2)=0),"Yes","No")))</f>
        <v/>
      </c>
      <c r="R332" s="15">
        <f>IF($C332="","",IF($L332="","",IF(AND($K332=2,$L332&lt;$J332,COUNTIFS(nrES_PID,$D332,nrES_Code,$F332,nrES_Att,1)&gt;0),"Yes","No")))</f>
        <v/>
      </c>
      <c r="S332" s="16" t="n"/>
      <c r="T332" s="17">
        <f>IF($Q332&lt;&gt;"Yes","",IF($S332="","(enter date)",_xlfn.LET(_xlpm.dn,IFERROR(_xlfn.XLOOKUP($S332,nrCDdate,nrCDnum),""),IF(_xlpm.dn="","(not a class day)",IFERROR(_xlfn.XLOOKUP(_xlpm.dn+cfgRetestClassDays,nrCDnum,nrCDdate),"")))))</f>
        <v/>
      </c>
      <c r="U332" s="15">
        <f>IF($Q332&lt;&gt;"Yes","",IF(COUNTIFS(nrES_PID,$D332,nrES_Code,$F332,nrES_Att,2)&gt;0,"Retested",IF(OR($T332="",NOT(ISNUMBER($T332))),"Pending",IF(TODAY()&gt;$T332,"OVERDUE","Due "&amp;TEXT($T332,"mm/dd")))))</f>
        <v/>
      </c>
      <c r="V332" s="14" t="n"/>
      <c r="W332" s="14" t="n"/>
    </row>
    <row r="333">
      <c r="B333" s="15">
        <f>IF($C333="","",$D333&amp;"-"&amp;$F333&amp;"-"&amp;$K333)</f>
        <v/>
      </c>
      <c r="C333" s="14" t="n"/>
      <c r="D333" s="15">
        <f>IF($C333="","",IFERROR(INDEX(rngCadetPIDs,MATCH($C333,rngCadetNames,0)),"?"))</f>
        <v/>
      </c>
      <c r="E333" s="15">
        <f>IF($D333="","",IFERROR(INDEX(nrCadetAgency,MATCH($D333,rngCadetPIDs,0)),""))</f>
        <v/>
      </c>
      <c r="F333" s="14" t="n"/>
      <c r="G333" s="15">
        <f>IF($F333="","",IFERROR(INDEX(rngEPname,MATCH($F333,rngEPcode,0)),"?"))</f>
        <v/>
      </c>
      <c r="H333" s="15">
        <f>IF($F333="","",IFERROR(INDEX(rngEPtype,MATCH($F333,rngEPcode,0)),"?"))</f>
        <v/>
      </c>
      <c r="I333" s="15">
        <f>IF($F333="","",IFERROR(INDEX(rngEPseq,MATCH($F333,rngEPcode,0)),""))</f>
        <v/>
      </c>
      <c r="J333" s="15">
        <f>IF($F333="","",IFERROR(INDEX(rngEPpass,MATCH($F333,rngEPcode,0)),cfgPassingScore))</f>
        <v/>
      </c>
      <c r="K333" s="14" t="n"/>
      <c r="L333" s="14" t="n"/>
      <c r="M333" s="15">
        <f>IF($C333="","",IF($L333="","",IF($K333=1,IF(COUNTIFS(nrES_PID,$D333,nrES_Code,$F333,nrES_Att,2)&gt;0,"",$L333),IF(COUNTIFS(nrES_PID,$D333,nrES_Code,$F333,nrES_Att,1)=0,$L333,IF($L333&gt;=$J333,cfgRetakeRecordedCap,SUMIFS(nrES_Raw,nrES_PID,$D333,nrES_Code,$F333,nrES_Att,1))))))</f>
        <v/>
      </c>
      <c r="N333" s="15">
        <f>IF($C333="","",IF($L333="","",IF($L333&gt;=$J333,"Yes","No")))</f>
        <v/>
      </c>
      <c r="O333" s="15">
        <f>IF($C333="","",IF($M333="","",IF($M333&gt;=$J333,"Yes","No")))</f>
        <v/>
      </c>
      <c r="P333" s="15">
        <f>IF($C333="","",IF($K333="","",IF(COUNTIFS(nrES_PID,$D333,nrES_Code,$F333,nrES_Att,"&gt;"&amp;$K333)=0,"Yes","No")))</f>
        <v/>
      </c>
      <c r="Q333" s="15">
        <f>IF($C333="","",IF($L333="","",IF(AND($K333=1,$L333&lt;$J333,COUNTIFS(nrES_PID,$D333,nrES_Code,$F333,nrES_Att,2)=0),"Yes","No")))</f>
        <v/>
      </c>
      <c r="R333" s="15">
        <f>IF($C333="","",IF($L333="","",IF(AND($K333=2,$L333&lt;$J333,COUNTIFS(nrES_PID,$D333,nrES_Code,$F333,nrES_Att,1)&gt;0),"Yes","No")))</f>
        <v/>
      </c>
      <c r="S333" s="16" t="n"/>
      <c r="T333" s="17">
        <f>IF($Q333&lt;&gt;"Yes","",IF($S333="","(enter date)",_xlfn.LET(_xlpm.dn,IFERROR(_xlfn.XLOOKUP($S333,nrCDdate,nrCDnum),""),IF(_xlpm.dn="","(not a class day)",IFERROR(_xlfn.XLOOKUP(_xlpm.dn+cfgRetestClassDays,nrCDnum,nrCDdate),"")))))</f>
        <v/>
      </c>
      <c r="U333" s="15">
        <f>IF($Q333&lt;&gt;"Yes","",IF(COUNTIFS(nrES_PID,$D333,nrES_Code,$F333,nrES_Att,2)&gt;0,"Retested",IF(OR($T333="",NOT(ISNUMBER($T333))),"Pending",IF(TODAY()&gt;$T333,"OVERDUE","Due "&amp;TEXT($T333,"mm/dd")))))</f>
        <v/>
      </c>
      <c r="V333" s="14" t="n"/>
      <c r="W333" s="14" t="n"/>
    </row>
    <row r="334">
      <c r="B334" s="15">
        <f>IF($C334="","",$D334&amp;"-"&amp;$F334&amp;"-"&amp;$K334)</f>
        <v/>
      </c>
      <c r="C334" s="14" t="n"/>
      <c r="D334" s="15">
        <f>IF($C334="","",IFERROR(INDEX(rngCadetPIDs,MATCH($C334,rngCadetNames,0)),"?"))</f>
        <v/>
      </c>
      <c r="E334" s="15">
        <f>IF($D334="","",IFERROR(INDEX(nrCadetAgency,MATCH($D334,rngCadetPIDs,0)),""))</f>
        <v/>
      </c>
      <c r="F334" s="14" t="n"/>
      <c r="G334" s="15">
        <f>IF($F334="","",IFERROR(INDEX(rngEPname,MATCH($F334,rngEPcode,0)),"?"))</f>
        <v/>
      </c>
      <c r="H334" s="15">
        <f>IF($F334="","",IFERROR(INDEX(rngEPtype,MATCH($F334,rngEPcode,0)),"?"))</f>
        <v/>
      </c>
      <c r="I334" s="15">
        <f>IF($F334="","",IFERROR(INDEX(rngEPseq,MATCH($F334,rngEPcode,0)),""))</f>
        <v/>
      </c>
      <c r="J334" s="15">
        <f>IF($F334="","",IFERROR(INDEX(rngEPpass,MATCH($F334,rngEPcode,0)),cfgPassingScore))</f>
        <v/>
      </c>
      <c r="K334" s="14" t="n"/>
      <c r="L334" s="14" t="n"/>
      <c r="M334" s="15">
        <f>IF($C334="","",IF($L334="","",IF($K334=1,IF(COUNTIFS(nrES_PID,$D334,nrES_Code,$F334,nrES_Att,2)&gt;0,"",$L334),IF(COUNTIFS(nrES_PID,$D334,nrES_Code,$F334,nrES_Att,1)=0,$L334,IF($L334&gt;=$J334,cfgRetakeRecordedCap,SUMIFS(nrES_Raw,nrES_PID,$D334,nrES_Code,$F334,nrES_Att,1))))))</f>
        <v/>
      </c>
      <c r="N334" s="15">
        <f>IF($C334="","",IF($L334="","",IF($L334&gt;=$J334,"Yes","No")))</f>
        <v/>
      </c>
      <c r="O334" s="15">
        <f>IF($C334="","",IF($M334="","",IF($M334&gt;=$J334,"Yes","No")))</f>
        <v/>
      </c>
      <c r="P334" s="15">
        <f>IF($C334="","",IF($K334="","",IF(COUNTIFS(nrES_PID,$D334,nrES_Code,$F334,nrES_Att,"&gt;"&amp;$K334)=0,"Yes","No")))</f>
        <v/>
      </c>
      <c r="Q334" s="15">
        <f>IF($C334="","",IF($L334="","",IF(AND($K334=1,$L334&lt;$J334,COUNTIFS(nrES_PID,$D334,nrES_Code,$F334,nrES_Att,2)=0),"Yes","No")))</f>
        <v/>
      </c>
      <c r="R334" s="15">
        <f>IF($C334="","",IF($L334="","",IF(AND($K334=2,$L334&lt;$J334,COUNTIFS(nrES_PID,$D334,nrES_Code,$F334,nrES_Att,1)&gt;0),"Yes","No")))</f>
        <v/>
      </c>
      <c r="S334" s="16" t="n"/>
      <c r="T334" s="17">
        <f>IF($Q334&lt;&gt;"Yes","",IF($S334="","(enter date)",_xlfn.LET(_xlpm.dn,IFERROR(_xlfn.XLOOKUP($S334,nrCDdate,nrCDnum),""),IF(_xlpm.dn="","(not a class day)",IFERROR(_xlfn.XLOOKUP(_xlpm.dn+cfgRetestClassDays,nrCDnum,nrCDdate),"")))))</f>
        <v/>
      </c>
      <c r="U334" s="15">
        <f>IF($Q334&lt;&gt;"Yes","",IF(COUNTIFS(nrES_PID,$D334,nrES_Code,$F334,nrES_Att,2)&gt;0,"Retested",IF(OR($T334="",NOT(ISNUMBER($T334))),"Pending",IF(TODAY()&gt;$T334,"OVERDUE","Due "&amp;TEXT($T334,"mm/dd")))))</f>
        <v/>
      </c>
      <c r="V334" s="14" t="n"/>
      <c r="W334" s="14" t="n"/>
    </row>
    <row r="335">
      <c r="B335" s="15">
        <f>IF($C335="","",$D335&amp;"-"&amp;$F335&amp;"-"&amp;$K335)</f>
        <v/>
      </c>
      <c r="C335" s="14" t="n"/>
      <c r="D335" s="15">
        <f>IF($C335="","",IFERROR(INDEX(rngCadetPIDs,MATCH($C335,rngCadetNames,0)),"?"))</f>
        <v/>
      </c>
      <c r="E335" s="15">
        <f>IF($D335="","",IFERROR(INDEX(nrCadetAgency,MATCH($D335,rngCadetPIDs,0)),""))</f>
        <v/>
      </c>
      <c r="F335" s="14" t="n"/>
      <c r="G335" s="15">
        <f>IF($F335="","",IFERROR(INDEX(rngEPname,MATCH($F335,rngEPcode,0)),"?"))</f>
        <v/>
      </c>
      <c r="H335" s="15">
        <f>IF($F335="","",IFERROR(INDEX(rngEPtype,MATCH($F335,rngEPcode,0)),"?"))</f>
        <v/>
      </c>
      <c r="I335" s="15">
        <f>IF($F335="","",IFERROR(INDEX(rngEPseq,MATCH($F335,rngEPcode,0)),""))</f>
        <v/>
      </c>
      <c r="J335" s="15">
        <f>IF($F335="","",IFERROR(INDEX(rngEPpass,MATCH($F335,rngEPcode,0)),cfgPassingScore))</f>
        <v/>
      </c>
      <c r="K335" s="14" t="n"/>
      <c r="L335" s="14" t="n"/>
      <c r="M335" s="15">
        <f>IF($C335="","",IF($L335="","",IF($K335=1,IF(COUNTIFS(nrES_PID,$D335,nrES_Code,$F335,nrES_Att,2)&gt;0,"",$L335),IF(COUNTIFS(nrES_PID,$D335,nrES_Code,$F335,nrES_Att,1)=0,$L335,IF($L335&gt;=$J335,cfgRetakeRecordedCap,SUMIFS(nrES_Raw,nrES_PID,$D335,nrES_Code,$F335,nrES_Att,1))))))</f>
        <v/>
      </c>
      <c r="N335" s="15">
        <f>IF($C335="","",IF($L335="","",IF($L335&gt;=$J335,"Yes","No")))</f>
        <v/>
      </c>
      <c r="O335" s="15">
        <f>IF($C335="","",IF($M335="","",IF($M335&gt;=$J335,"Yes","No")))</f>
        <v/>
      </c>
      <c r="P335" s="15">
        <f>IF($C335="","",IF($K335="","",IF(COUNTIFS(nrES_PID,$D335,nrES_Code,$F335,nrES_Att,"&gt;"&amp;$K335)=0,"Yes","No")))</f>
        <v/>
      </c>
      <c r="Q335" s="15">
        <f>IF($C335="","",IF($L335="","",IF(AND($K335=1,$L335&lt;$J335,COUNTIFS(nrES_PID,$D335,nrES_Code,$F335,nrES_Att,2)=0),"Yes","No")))</f>
        <v/>
      </c>
      <c r="R335" s="15">
        <f>IF($C335="","",IF($L335="","",IF(AND($K335=2,$L335&lt;$J335,COUNTIFS(nrES_PID,$D335,nrES_Code,$F335,nrES_Att,1)&gt;0),"Yes","No")))</f>
        <v/>
      </c>
      <c r="S335" s="16" t="n"/>
      <c r="T335" s="17">
        <f>IF($Q335&lt;&gt;"Yes","",IF($S335="","(enter date)",_xlfn.LET(_xlpm.dn,IFERROR(_xlfn.XLOOKUP($S335,nrCDdate,nrCDnum),""),IF(_xlpm.dn="","(not a class day)",IFERROR(_xlfn.XLOOKUP(_xlpm.dn+cfgRetestClassDays,nrCDnum,nrCDdate),"")))))</f>
        <v/>
      </c>
      <c r="U335" s="15">
        <f>IF($Q335&lt;&gt;"Yes","",IF(COUNTIFS(nrES_PID,$D335,nrES_Code,$F335,nrES_Att,2)&gt;0,"Retested",IF(OR($T335="",NOT(ISNUMBER($T335))),"Pending",IF(TODAY()&gt;$T335,"OVERDUE","Due "&amp;TEXT($T335,"mm/dd")))))</f>
        <v/>
      </c>
      <c r="V335" s="14" t="n"/>
      <c r="W335" s="14" t="n"/>
    </row>
    <row r="336">
      <c r="B336" s="15">
        <f>IF($C336="","",$D336&amp;"-"&amp;$F336&amp;"-"&amp;$K336)</f>
        <v/>
      </c>
      <c r="C336" s="14" t="n"/>
      <c r="D336" s="15">
        <f>IF($C336="","",IFERROR(INDEX(rngCadetPIDs,MATCH($C336,rngCadetNames,0)),"?"))</f>
        <v/>
      </c>
      <c r="E336" s="15">
        <f>IF($D336="","",IFERROR(INDEX(nrCadetAgency,MATCH($D336,rngCadetPIDs,0)),""))</f>
        <v/>
      </c>
      <c r="F336" s="14" t="n"/>
      <c r="G336" s="15">
        <f>IF($F336="","",IFERROR(INDEX(rngEPname,MATCH($F336,rngEPcode,0)),"?"))</f>
        <v/>
      </c>
      <c r="H336" s="15">
        <f>IF($F336="","",IFERROR(INDEX(rngEPtype,MATCH($F336,rngEPcode,0)),"?"))</f>
        <v/>
      </c>
      <c r="I336" s="15">
        <f>IF($F336="","",IFERROR(INDEX(rngEPseq,MATCH($F336,rngEPcode,0)),""))</f>
        <v/>
      </c>
      <c r="J336" s="15">
        <f>IF($F336="","",IFERROR(INDEX(rngEPpass,MATCH($F336,rngEPcode,0)),cfgPassingScore))</f>
        <v/>
      </c>
      <c r="K336" s="14" t="n"/>
      <c r="L336" s="14" t="n"/>
      <c r="M336" s="15">
        <f>IF($C336="","",IF($L336="","",IF($K336=1,IF(COUNTIFS(nrES_PID,$D336,nrES_Code,$F336,nrES_Att,2)&gt;0,"",$L336),IF(COUNTIFS(nrES_PID,$D336,nrES_Code,$F336,nrES_Att,1)=0,$L336,IF($L336&gt;=$J336,cfgRetakeRecordedCap,SUMIFS(nrES_Raw,nrES_PID,$D336,nrES_Code,$F336,nrES_Att,1))))))</f>
        <v/>
      </c>
      <c r="N336" s="15">
        <f>IF($C336="","",IF($L336="","",IF($L336&gt;=$J336,"Yes","No")))</f>
        <v/>
      </c>
      <c r="O336" s="15">
        <f>IF($C336="","",IF($M336="","",IF($M336&gt;=$J336,"Yes","No")))</f>
        <v/>
      </c>
      <c r="P336" s="15">
        <f>IF($C336="","",IF($K336="","",IF(COUNTIFS(nrES_PID,$D336,nrES_Code,$F336,nrES_Att,"&gt;"&amp;$K336)=0,"Yes","No")))</f>
        <v/>
      </c>
      <c r="Q336" s="15">
        <f>IF($C336="","",IF($L336="","",IF(AND($K336=1,$L336&lt;$J336,COUNTIFS(nrES_PID,$D336,nrES_Code,$F336,nrES_Att,2)=0),"Yes","No")))</f>
        <v/>
      </c>
      <c r="R336" s="15">
        <f>IF($C336="","",IF($L336="","",IF(AND($K336=2,$L336&lt;$J336,COUNTIFS(nrES_PID,$D336,nrES_Code,$F336,nrES_Att,1)&gt;0),"Yes","No")))</f>
        <v/>
      </c>
      <c r="S336" s="16" t="n"/>
      <c r="T336" s="17">
        <f>IF($Q336&lt;&gt;"Yes","",IF($S336="","(enter date)",_xlfn.LET(_xlpm.dn,IFERROR(_xlfn.XLOOKUP($S336,nrCDdate,nrCDnum),""),IF(_xlpm.dn="","(not a class day)",IFERROR(_xlfn.XLOOKUP(_xlpm.dn+cfgRetestClassDays,nrCDnum,nrCDdate),"")))))</f>
        <v/>
      </c>
      <c r="U336" s="15">
        <f>IF($Q336&lt;&gt;"Yes","",IF(COUNTIFS(nrES_PID,$D336,nrES_Code,$F336,nrES_Att,2)&gt;0,"Retested",IF(OR($T336="",NOT(ISNUMBER($T336))),"Pending",IF(TODAY()&gt;$T336,"OVERDUE","Due "&amp;TEXT($T336,"mm/dd")))))</f>
        <v/>
      </c>
      <c r="V336" s="14" t="n"/>
      <c r="W336" s="14" t="n"/>
    </row>
    <row r="337">
      <c r="B337" s="15">
        <f>IF($C337="","",$D337&amp;"-"&amp;$F337&amp;"-"&amp;$K337)</f>
        <v/>
      </c>
      <c r="C337" s="14" t="n"/>
      <c r="D337" s="15">
        <f>IF($C337="","",IFERROR(INDEX(rngCadetPIDs,MATCH($C337,rngCadetNames,0)),"?"))</f>
        <v/>
      </c>
      <c r="E337" s="15">
        <f>IF($D337="","",IFERROR(INDEX(nrCadetAgency,MATCH($D337,rngCadetPIDs,0)),""))</f>
        <v/>
      </c>
      <c r="F337" s="14" t="n"/>
      <c r="G337" s="15">
        <f>IF($F337="","",IFERROR(INDEX(rngEPname,MATCH($F337,rngEPcode,0)),"?"))</f>
        <v/>
      </c>
      <c r="H337" s="15">
        <f>IF($F337="","",IFERROR(INDEX(rngEPtype,MATCH($F337,rngEPcode,0)),"?"))</f>
        <v/>
      </c>
      <c r="I337" s="15">
        <f>IF($F337="","",IFERROR(INDEX(rngEPseq,MATCH($F337,rngEPcode,0)),""))</f>
        <v/>
      </c>
      <c r="J337" s="15">
        <f>IF($F337="","",IFERROR(INDEX(rngEPpass,MATCH($F337,rngEPcode,0)),cfgPassingScore))</f>
        <v/>
      </c>
      <c r="K337" s="14" t="n"/>
      <c r="L337" s="14" t="n"/>
      <c r="M337" s="15">
        <f>IF($C337="","",IF($L337="","",IF($K337=1,IF(COUNTIFS(nrES_PID,$D337,nrES_Code,$F337,nrES_Att,2)&gt;0,"",$L337),IF(COUNTIFS(nrES_PID,$D337,nrES_Code,$F337,nrES_Att,1)=0,$L337,IF($L337&gt;=$J337,cfgRetakeRecordedCap,SUMIFS(nrES_Raw,nrES_PID,$D337,nrES_Code,$F337,nrES_Att,1))))))</f>
        <v/>
      </c>
      <c r="N337" s="15">
        <f>IF($C337="","",IF($L337="","",IF($L337&gt;=$J337,"Yes","No")))</f>
        <v/>
      </c>
      <c r="O337" s="15">
        <f>IF($C337="","",IF($M337="","",IF($M337&gt;=$J337,"Yes","No")))</f>
        <v/>
      </c>
      <c r="P337" s="15">
        <f>IF($C337="","",IF($K337="","",IF(COUNTIFS(nrES_PID,$D337,nrES_Code,$F337,nrES_Att,"&gt;"&amp;$K337)=0,"Yes","No")))</f>
        <v/>
      </c>
      <c r="Q337" s="15">
        <f>IF($C337="","",IF($L337="","",IF(AND($K337=1,$L337&lt;$J337,COUNTIFS(nrES_PID,$D337,nrES_Code,$F337,nrES_Att,2)=0),"Yes","No")))</f>
        <v/>
      </c>
      <c r="R337" s="15">
        <f>IF($C337="","",IF($L337="","",IF(AND($K337=2,$L337&lt;$J337,COUNTIFS(nrES_PID,$D337,nrES_Code,$F337,nrES_Att,1)&gt;0),"Yes","No")))</f>
        <v/>
      </c>
      <c r="S337" s="16" t="n"/>
      <c r="T337" s="17">
        <f>IF($Q337&lt;&gt;"Yes","",IF($S337="","(enter date)",_xlfn.LET(_xlpm.dn,IFERROR(_xlfn.XLOOKUP($S337,nrCDdate,nrCDnum),""),IF(_xlpm.dn="","(not a class day)",IFERROR(_xlfn.XLOOKUP(_xlpm.dn+cfgRetestClassDays,nrCDnum,nrCDdate),"")))))</f>
        <v/>
      </c>
      <c r="U337" s="15">
        <f>IF($Q337&lt;&gt;"Yes","",IF(COUNTIFS(nrES_PID,$D337,nrES_Code,$F337,nrES_Att,2)&gt;0,"Retested",IF(OR($T337="",NOT(ISNUMBER($T337))),"Pending",IF(TODAY()&gt;$T337,"OVERDUE","Due "&amp;TEXT($T337,"mm/dd")))))</f>
        <v/>
      </c>
      <c r="V337" s="14" t="n"/>
      <c r="W337" s="14" t="n"/>
    </row>
    <row r="338">
      <c r="B338" s="15">
        <f>IF($C338="","",$D338&amp;"-"&amp;$F338&amp;"-"&amp;$K338)</f>
        <v/>
      </c>
      <c r="C338" s="14" t="n"/>
      <c r="D338" s="15">
        <f>IF($C338="","",IFERROR(INDEX(rngCadetPIDs,MATCH($C338,rngCadetNames,0)),"?"))</f>
        <v/>
      </c>
      <c r="E338" s="15">
        <f>IF($D338="","",IFERROR(INDEX(nrCadetAgency,MATCH($D338,rngCadetPIDs,0)),""))</f>
        <v/>
      </c>
      <c r="F338" s="14" t="n"/>
      <c r="G338" s="15">
        <f>IF($F338="","",IFERROR(INDEX(rngEPname,MATCH($F338,rngEPcode,0)),"?"))</f>
        <v/>
      </c>
      <c r="H338" s="15">
        <f>IF($F338="","",IFERROR(INDEX(rngEPtype,MATCH($F338,rngEPcode,0)),"?"))</f>
        <v/>
      </c>
      <c r="I338" s="15">
        <f>IF($F338="","",IFERROR(INDEX(rngEPseq,MATCH($F338,rngEPcode,0)),""))</f>
        <v/>
      </c>
      <c r="J338" s="15">
        <f>IF($F338="","",IFERROR(INDEX(rngEPpass,MATCH($F338,rngEPcode,0)),cfgPassingScore))</f>
        <v/>
      </c>
      <c r="K338" s="14" t="n"/>
      <c r="L338" s="14" t="n"/>
      <c r="M338" s="15">
        <f>IF($C338="","",IF($L338="","",IF($K338=1,IF(COUNTIFS(nrES_PID,$D338,nrES_Code,$F338,nrES_Att,2)&gt;0,"",$L338),IF(COUNTIFS(nrES_PID,$D338,nrES_Code,$F338,nrES_Att,1)=0,$L338,IF($L338&gt;=$J338,cfgRetakeRecordedCap,SUMIFS(nrES_Raw,nrES_PID,$D338,nrES_Code,$F338,nrES_Att,1))))))</f>
        <v/>
      </c>
      <c r="N338" s="15">
        <f>IF($C338="","",IF($L338="","",IF($L338&gt;=$J338,"Yes","No")))</f>
        <v/>
      </c>
      <c r="O338" s="15">
        <f>IF($C338="","",IF($M338="","",IF($M338&gt;=$J338,"Yes","No")))</f>
        <v/>
      </c>
      <c r="P338" s="15">
        <f>IF($C338="","",IF($K338="","",IF(COUNTIFS(nrES_PID,$D338,nrES_Code,$F338,nrES_Att,"&gt;"&amp;$K338)=0,"Yes","No")))</f>
        <v/>
      </c>
      <c r="Q338" s="15">
        <f>IF($C338="","",IF($L338="","",IF(AND($K338=1,$L338&lt;$J338,COUNTIFS(nrES_PID,$D338,nrES_Code,$F338,nrES_Att,2)=0),"Yes","No")))</f>
        <v/>
      </c>
      <c r="R338" s="15">
        <f>IF($C338="","",IF($L338="","",IF(AND($K338=2,$L338&lt;$J338,COUNTIFS(nrES_PID,$D338,nrES_Code,$F338,nrES_Att,1)&gt;0),"Yes","No")))</f>
        <v/>
      </c>
      <c r="S338" s="16" t="n"/>
      <c r="T338" s="17">
        <f>IF($Q338&lt;&gt;"Yes","",IF($S338="","(enter date)",_xlfn.LET(_xlpm.dn,IFERROR(_xlfn.XLOOKUP($S338,nrCDdate,nrCDnum),""),IF(_xlpm.dn="","(not a class day)",IFERROR(_xlfn.XLOOKUP(_xlpm.dn+cfgRetestClassDays,nrCDnum,nrCDdate),"")))))</f>
        <v/>
      </c>
      <c r="U338" s="15">
        <f>IF($Q338&lt;&gt;"Yes","",IF(COUNTIFS(nrES_PID,$D338,nrES_Code,$F338,nrES_Att,2)&gt;0,"Retested",IF(OR($T338="",NOT(ISNUMBER($T338))),"Pending",IF(TODAY()&gt;$T338,"OVERDUE","Due "&amp;TEXT($T338,"mm/dd")))))</f>
        <v/>
      </c>
      <c r="V338" s="14" t="n"/>
      <c r="W338" s="14" t="n"/>
    </row>
    <row r="339">
      <c r="B339" s="15">
        <f>IF($C339="","",$D339&amp;"-"&amp;$F339&amp;"-"&amp;$K339)</f>
        <v/>
      </c>
      <c r="C339" s="14" t="n"/>
      <c r="D339" s="15">
        <f>IF($C339="","",IFERROR(INDEX(rngCadetPIDs,MATCH($C339,rngCadetNames,0)),"?"))</f>
        <v/>
      </c>
      <c r="E339" s="15">
        <f>IF($D339="","",IFERROR(INDEX(nrCadetAgency,MATCH($D339,rngCadetPIDs,0)),""))</f>
        <v/>
      </c>
      <c r="F339" s="14" t="n"/>
      <c r="G339" s="15">
        <f>IF($F339="","",IFERROR(INDEX(rngEPname,MATCH($F339,rngEPcode,0)),"?"))</f>
        <v/>
      </c>
      <c r="H339" s="15">
        <f>IF($F339="","",IFERROR(INDEX(rngEPtype,MATCH($F339,rngEPcode,0)),"?"))</f>
        <v/>
      </c>
      <c r="I339" s="15">
        <f>IF($F339="","",IFERROR(INDEX(rngEPseq,MATCH($F339,rngEPcode,0)),""))</f>
        <v/>
      </c>
      <c r="J339" s="15">
        <f>IF($F339="","",IFERROR(INDEX(rngEPpass,MATCH($F339,rngEPcode,0)),cfgPassingScore))</f>
        <v/>
      </c>
      <c r="K339" s="14" t="n"/>
      <c r="L339" s="14" t="n"/>
      <c r="M339" s="15">
        <f>IF($C339="","",IF($L339="","",IF($K339=1,IF(COUNTIFS(nrES_PID,$D339,nrES_Code,$F339,nrES_Att,2)&gt;0,"",$L339),IF(COUNTIFS(nrES_PID,$D339,nrES_Code,$F339,nrES_Att,1)=0,$L339,IF($L339&gt;=$J339,cfgRetakeRecordedCap,SUMIFS(nrES_Raw,nrES_PID,$D339,nrES_Code,$F339,nrES_Att,1))))))</f>
        <v/>
      </c>
      <c r="N339" s="15">
        <f>IF($C339="","",IF($L339="","",IF($L339&gt;=$J339,"Yes","No")))</f>
        <v/>
      </c>
      <c r="O339" s="15">
        <f>IF($C339="","",IF($M339="","",IF($M339&gt;=$J339,"Yes","No")))</f>
        <v/>
      </c>
      <c r="P339" s="15">
        <f>IF($C339="","",IF($K339="","",IF(COUNTIFS(nrES_PID,$D339,nrES_Code,$F339,nrES_Att,"&gt;"&amp;$K339)=0,"Yes","No")))</f>
        <v/>
      </c>
      <c r="Q339" s="15">
        <f>IF($C339="","",IF($L339="","",IF(AND($K339=1,$L339&lt;$J339,COUNTIFS(nrES_PID,$D339,nrES_Code,$F339,nrES_Att,2)=0),"Yes","No")))</f>
        <v/>
      </c>
      <c r="R339" s="15">
        <f>IF($C339="","",IF($L339="","",IF(AND($K339=2,$L339&lt;$J339,COUNTIFS(nrES_PID,$D339,nrES_Code,$F339,nrES_Att,1)&gt;0),"Yes","No")))</f>
        <v/>
      </c>
      <c r="S339" s="16" t="n"/>
      <c r="T339" s="17">
        <f>IF($Q339&lt;&gt;"Yes","",IF($S339="","(enter date)",_xlfn.LET(_xlpm.dn,IFERROR(_xlfn.XLOOKUP($S339,nrCDdate,nrCDnum),""),IF(_xlpm.dn="","(not a class day)",IFERROR(_xlfn.XLOOKUP(_xlpm.dn+cfgRetestClassDays,nrCDnum,nrCDdate),"")))))</f>
        <v/>
      </c>
      <c r="U339" s="15">
        <f>IF($Q339&lt;&gt;"Yes","",IF(COUNTIFS(nrES_PID,$D339,nrES_Code,$F339,nrES_Att,2)&gt;0,"Retested",IF(OR($T339="",NOT(ISNUMBER($T339))),"Pending",IF(TODAY()&gt;$T339,"OVERDUE","Due "&amp;TEXT($T339,"mm/dd")))))</f>
        <v/>
      </c>
      <c r="V339" s="14" t="n"/>
      <c r="W339" s="14" t="n"/>
    </row>
    <row r="340">
      <c r="B340" s="15">
        <f>IF($C340="","",$D340&amp;"-"&amp;$F340&amp;"-"&amp;$K340)</f>
        <v/>
      </c>
      <c r="C340" s="14" t="n"/>
      <c r="D340" s="15">
        <f>IF($C340="","",IFERROR(INDEX(rngCadetPIDs,MATCH($C340,rngCadetNames,0)),"?"))</f>
        <v/>
      </c>
      <c r="E340" s="15">
        <f>IF($D340="","",IFERROR(INDEX(nrCadetAgency,MATCH($D340,rngCadetPIDs,0)),""))</f>
        <v/>
      </c>
      <c r="F340" s="14" t="n"/>
      <c r="G340" s="15">
        <f>IF($F340="","",IFERROR(INDEX(rngEPname,MATCH($F340,rngEPcode,0)),"?"))</f>
        <v/>
      </c>
      <c r="H340" s="15">
        <f>IF($F340="","",IFERROR(INDEX(rngEPtype,MATCH($F340,rngEPcode,0)),"?"))</f>
        <v/>
      </c>
      <c r="I340" s="15">
        <f>IF($F340="","",IFERROR(INDEX(rngEPseq,MATCH($F340,rngEPcode,0)),""))</f>
        <v/>
      </c>
      <c r="J340" s="15">
        <f>IF($F340="","",IFERROR(INDEX(rngEPpass,MATCH($F340,rngEPcode,0)),cfgPassingScore))</f>
        <v/>
      </c>
      <c r="K340" s="14" t="n"/>
      <c r="L340" s="14" t="n"/>
      <c r="M340" s="15">
        <f>IF($C340="","",IF($L340="","",IF($K340=1,IF(COUNTIFS(nrES_PID,$D340,nrES_Code,$F340,nrES_Att,2)&gt;0,"",$L340),IF(COUNTIFS(nrES_PID,$D340,nrES_Code,$F340,nrES_Att,1)=0,$L340,IF($L340&gt;=$J340,cfgRetakeRecordedCap,SUMIFS(nrES_Raw,nrES_PID,$D340,nrES_Code,$F340,nrES_Att,1))))))</f>
        <v/>
      </c>
      <c r="N340" s="15">
        <f>IF($C340="","",IF($L340="","",IF($L340&gt;=$J340,"Yes","No")))</f>
        <v/>
      </c>
      <c r="O340" s="15">
        <f>IF($C340="","",IF($M340="","",IF($M340&gt;=$J340,"Yes","No")))</f>
        <v/>
      </c>
      <c r="P340" s="15">
        <f>IF($C340="","",IF($K340="","",IF(COUNTIFS(nrES_PID,$D340,nrES_Code,$F340,nrES_Att,"&gt;"&amp;$K340)=0,"Yes","No")))</f>
        <v/>
      </c>
      <c r="Q340" s="15">
        <f>IF($C340="","",IF($L340="","",IF(AND($K340=1,$L340&lt;$J340,COUNTIFS(nrES_PID,$D340,nrES_Code,$F340,nrES_Att,2)=0),"Yes","No")))</f>
        <v/>
      </c>
      <c r="R340" s="15">
        <f>IF($C340="","",IF($L340="","",IF(AND($K340=2,$L340&lt;$J340,COUNTIFS(nrES_PID,$D340,nrES_Code,$F340,nrES_Att,1)&gt;0),"Yes","No")))</f>
        <v/>
      </c>
      <c r="S340" s="16" t="n"/>
      <c r="T340" s="17">
        <f>IF($Q340&lt;&gt;"Yes","",IF($S340="","(enter date)",_xlfn.LET(_xlpm.dn,IFERROR(_xlfn.XLOOKUP($S340,nrCDdate,nrCDnum),""),IF(_xlpm.dn="","(not a class day)",IFERROR(_xlfn.XLOOKUP(_xlpm.dn+cfgRetestClassDays,nrCDnum,nrCDdate),"")))))</f>
        <v/>
      </c>
      <c r="U340" s="15">
        <f>IF($Q340&lt;&gt;"Yes","",IF(COUNTIFS(nrES_PID,$D340,nrES_Code,$F340,nrES_Att,2)&gt;0,"Retested",IF(OR($T340="",NOT(ISNUMBER($T340))),"Pending",IF(TODAY()&gt;$T340,"OVERDUE","Due "&amp;TEXT($T340,"mm/dd")))))</f>
        <v/>
      </c>
      <c r="V340" s="14" t="n"/>
      <c r="W340" s="14" t="n"/>
    </row>
    <row r="341">
      <c r="B341" s="15">
        <f>IF($C341="","",$D341&amp;"-"&amp;$F341&amp;"-"&amp;$K341)</f>
        <v/>
      </c>
      <c r="C341" s="14" t="n"/>
      <c r="D341" s="15">
        <f>IF($C341="","",IFERROR(INDEX(rngCadetPIDs,MATCH($C341,rngCadetNames,0)),"?"))</f>
        <v/>
      </c>
      <c r="E341" s="15">
        <f>IF($D341="","",IFERROR(INDEX(nrCadetAgency,MATCH($D341,rngCadetPIDs,0)),""))</f>
        <v/>
      </c>
      <c r="F341" s="14" t="n"/>
      <c r="G341" s="15">
        <f>IF($F341="","",IFERROR(INDEX(rngEPname,MATCH($F341,rngEPcode,0)),"?"))</f>
        <v/>
      </c>
      <c r="H341" s="15">
        <f>IF($F341="","",IFERROR(INDEX(rngEPtype,MATCH($F341,rngEPcode,0)),"?"))</f>
        <v/>
      </c>
      <c r="I341" s="15">
        <f>IF($F341="","",IFERROR(INDEX(rngEPseq,MATCH($F341,rngEPcode,0)),""))</f>
        <v/>
      </c>
      <c r="J341" s="15">
        <f>IF($F341="","",IFERROR(INDEX(rngEPpass,MATCH($F341,rngEPcode,0)),cfgPassingScore))</f>
        <v/>
      </c>
      <c r="K341" s="14" t="n"/>
      <c r="L341" s="14" t="n"/>
      <c r="M341" s="15">
        <f>IF($C341="","",IF($L341="","",IF($K341=1,IF(COUNTIFS(nrES_PID,$D341,nrES_Code,$F341,nrES_Att,2)&gt;0,"",$L341),IF(COUNTIFS(nrES_PID,$D341,nrES_Code,$F341,nrES_Att,1)=0,$L341,IF($L341&gt;=$J341,cfgRetakeRecordedCap,SUMIFS(nrES_Raw,nrES_PID,$D341,nrES_Code,$F341,nrES_Att,1))))))</f>
        <v/>
      </c>
      <c r="N341" s="15">
        <f>IF($C341="","",IF($L341="","",IF($L341&gt;=$J341,"Yes","No")))</f>
        <v/>
      </c>
      <c r="O341" s="15">
        <f>IF($C341="","",IF($M341="","",IF($M341&gt;=$J341,"Yes","No")))</f>
        <v/>
      </c>
      <c r="P341" s="15">
        <f>IF($C341="","",IF($K341="","",IF(COUNTIFS(nrES_PID,$D341,nrES_Code,$F341,nrES_Att,"&gt;"&amp;$K341)=0,"Yes","No")))</f>
        <v/>
      </c>
      <c r="Q341" s="15">
        <f>IF($C341="","",IF($L341="","",IF(AND($K341=1,$L341&lt;$J341,COUNTIFS(nrES_PID,$D341,nrES_Code,$F341,nrES_Att,2)=0),"Yes","No")))</f>
        <v/>
      </c>
      <c r="R341" s="15">
        <f>IF($C341="","",IF($L341="","",IF(AND($K341=2,$L341&lt;$J341,COUNTIFS(nrES_PID,$D341,nrES_Code,$F341,nrES_Att,1)&gt;0),"Yes","No")))</f>
        <v/>
      </c>
      <c r="S341" s="16" t="n"/>
      <c r="T341" s="17">
        <f>IF($Q341&lt;&gt;"Yes","",IF($S341="","(enter date)",_xlfn.LET(_xlpm.dn,IFERROR(_xlfn.XLOOKUP($S341,nrCDdate,nrCDnum),""),IF(_xlpm.dn="","(not a class day)",IFERROR(_xlfn.XLOOKUP(_xlpm.dn+cfgRetestClassDays,nrCDnum,nrCDdate),"")))))</f>
        <v/>
      </c>
      <c r="U341" s="15">
        <f>IF($Q341&lt;&gt;"Yes","",IF(COUNTIFS(nrES_PID,$D341,nrES_Code,$F341,nrES_Att,2)&gt;0,"Retested",IF(OR($T341="",NOT(ISNUMBER($T341))),"Pending",IF(TODAY()&gt;$T341,"OVERDUE","Due "&amp;TEXT($T341,"mm/dd")))))</f>
        <v/>
      </c>
      <c r="V341" s="14" t="n"/>
      <c r="W341" s="14" t="n"/>
    </row>
    <row r="342">
      <c r="B342" s="15">
        <f>IF($C342="","",$D342&amp;"-"&amp;$F342&amp;"-"&amp;$K342)</f>
        <v/>
      </c>
      <c r="C342" s="14" t="n"/>
      <c r="D342" s="15">
        <f>IF($C342="","",IFERROR(INDEX(rngCadetPIDs,MATCH($C342,rngCadetNames,0)),"?"))</f>
        <v/>
      </c>
      <c r="E342" s="15">
        <f>IF($D342="","",IFERROR(INDEX(nrCadetAgency,MATCH($D342,rngCadetPIDs,0)),""))</f>
        <v/>
      </c>
      <c r="F342" s="14" t="n"/>
      <c r="G342" s="15">
        <f>IF($F342="","",IFERROR(INDEX(rngEPname,MATCH($F342,rngEPcode,0)),"?"))</f>
        <v/>
      </c>
      <c r="H342" s="15">
        <f>IF($F342="","",IFERROR(INDEX(rngEPtype,MATCH($F342,rngEPcode,0)),"?"))</f>
        <v/>
      </c>
      <c r="I342" s="15">
        <f>IF($F342="","",IFERROR(INDEX(rngEPseq,MATCH($F342,rngEPcode,0)),""))</f>
        <v/>
      </c>
      <c r="J342" s="15">
        <f>IF($F342="","",IFERROR(INDEX(rngEPpass,MATCH($F342,rngEPcode,0)),cfgPassingScore))</f>
        <v/>
      </c>
      <c r="K342" s="14" t="n"/>
      <c r="L342" s="14" t="n"/>
      <c r="M342" s="15">
        <f>IF($C342="","",IF($L342="","",IF($K342=1,IF(COUNTIFS(nrES_PID,$D342,nrES_Code,$F342,nrES_Att,2)&gt;0,"",$L342),IF(COUNTIFS(nrES_PID,$D342,nrES_Code,$F342,nrES_Att,1)=0,$L342,IF($L342&gt;=$J342,cfgRetakeRecordedCap,SUMIFS(nrES_Raw,nrES_PID,$D342,nrES_Code,$F342,nrES_Att,1))))))</f>
        <v/>
      </c>
      <c r="N342" s="15">
        <f>IF($C342="","",IF($L342="","",IF($L342&gt;=$J342,"Yes","No")))</f>
        <v/>
      </c>
      <c r="O342" s="15">
        <f>IF($C342="","",IF($M342="","",IF($M342&gt;=$J342,"Yes","No")))</f>
        <v/>
      </c>
      <c r="P342" s="15">
        <f>IF($C342="","",IF($K342="","",IF(COUNTIFS(nrES_PID,$D342,nrES_Code,$F342,nrES_Att,"&gt;"&amp;$K342)=0,"Yes","No")))</f>
        <v/>
      </c>
      <c r="Q342" s="15">
        <f>IF($C342="","",IF($L342="","",IF(AND($K342=1,$L342&lt;$J342,COUNTIFS(nrES_PID,$D342,nrES_Code,$F342,nrES_Att,2)=0),"Yes","No")))</f>
        <v/>
      </c>
      <c r="R342" s="15">
        <f>IF($C342="","",IF($L342="","",IF(AND($K342=2,$L342&lt;$J342,COUNTIFS(nrES_PID,$D342,nrES_Code,$F342,nrES_Att,1)&gt;0),"Yes","No")))</f>
        <v/>
      </c>
      <c r="S342" s="16" t="n"/>
      <c r="T342" s="17">
        <f>IF($Q342&lt;&gt;"Yes","",IF($S342="","(enter date)",_xlfn.LET(_xlpm.dn,IFERROR(_xlfn.XLOOKUP($S342,nrCDdate,nrCDnum),""),IF(_xlpm.dn="","(not a class day)",IFERROR(_xlfn.XLOOKUP(_xlpm.dn+cfgRetestClassDays,nrCDnum,nrCDdate),"")))))</f>
        <v/>
      </c>
      <c r="U342" s="15">
        <f>IF($Q342&lt;&gt;"Yes","",IF(COUNTIFS(nrES_PID,$D342,nrES_Code,$F342,nrES_Att,2)&gt;0,"Retested",IF(OR($T342="",NOT(ISNUMBER($T342))),"Pending",IF(TODAY()&gt;$T342,"OVERDUE","Due "&amp;TEXT($T342,"mm/dd")))))</f>
        <v/>
      </c>
      <c r="V342" s="14" t="n"/>
      <c r="W342" s="14" t="n"/>
    </row>
    <row r="343">
      <c r="B343" s="15">
        <f>IF($C343="","",$D343&amp;"-"&amp;$F343&amp;"-"&amp;$K343)</f>
        <v/>
      </c>
      <c r="C343" s="14" t="n"/>
      <c r="D343" s="15">
        <f>IF($C343="","",IFERROR(INDEX(rngCadetPIDs,MATCH($C343,rngCadetNames,0)),"?"))</f>
        <v/>
      </c>
      <c r="E343" s="15">
        <f>IF($D343="","",IFERROR(INDEX(nrCadetAgency,MATCH($D343,rngCadetPIDs,0)),""))</f>
        <v/>
      </c>
      <c r="F343" s="14" t="n"/>
      <c r="G343" s="15">
        <f>IF($F343="","",IFERROR(INDEX(rngEPname,MATCH($F343,rngEPcode,0)),"?"))</f>
        <v/>
      </c>
      <c r="H343" s="15">
        <f>IF($F343="","",IFERROR(INDEX(rngEPtype,MATCH($F343,rngEPcode,0)),"?"))</f>
        <v/>
      </c>
      <c r="I343" s="15">
        <f>IF($F343="","",IFERROR(INDEX(rngEPseq,MATCH($F343,rngEPcode,0)),""))</f>
        <v/>
      </c>
      <c r="J343" s="15">
        <f>IF($F343="","",IFERROR(INDEX(rngEPpass,MATCH($F343,rngEPcode,0)),cfgPassingScore))</f>
        <v/>
      </c>
      <c r="K343" s="14" t="n"/>
      <c r="L343" s="14" t="n"/>
      <c r="M343" s="15">
        <f>IF($C343="","",IF($L343="","",IF($K343=1,IF(COUNTIFS(nrES_PID,$D343,nrES_Code,$F343,nrES_Att,2)&gt;0,"",$L343),IF(COUNTIFS(nrES_PID,$D343,nrES_Code,$F343,nrES_Att,1)=0,$L343,IF($L343&gt;=$J343,cfgRetakeRecordedCap,SUMIFS(nrES_Raw,nrES_PID,$D343,nrES_Code,$F343,nrES_Att,1))))))</f>
        <v/>
      </c>
      <c r="N343" s="15">
        <f>IF($C343="","",IF($L343="","",IF($L343&gt;=$J343,"Yes","No")))</f>
        <v/>
      </c>
      <c r="O343" s="15">
        <f>IF($C343="","",IF($M343="","",IF($M343&gt;=$J343,"Yes","No")))</f>
        <v/>
      </c>
      <c r="P343" s="15">
        <f>IF($C343="","",IF($K343="","",IF(COUNTIFS(nrES_PID,$D343,nrES_Code,$F343,nrES_Att,"&gt;"&amp;$K343)=0,"Yes","No")))</f>
        <v/>
      </c>
      <c r="Q343" s="15">
        <f>IF($C343="","",IF($L343="","",IF(AND($K343=1,$L343&lt;$J343,COUNTIFS(nrES_PID,$D343,nrES_Code,$F343,nrES_Att,2)=0),"Yes","No")))</f>
        <v/>
      </c>
      <c r="R343" s="15">
        <f>IF($C343="","",IF($L343="","",IF(AND($K343=2,$L343&lt;$J343,COUNTIFS(nrES_PID,$D343,nrES_Code,$F343,nrES_Att,1)&gt;0),"Yes","No")))</f>
        <v/>
      </c>
      <c r="S343" s="16" t="n"/>
      <c r="T343" s="17">
        <f>IF($Q343&lt;&gt;"Yes","",IF($S343="","(enter date)",_xlfn.LET(_xlpm.dn,IFERROR(_xlfn.XLOOKUP($S343,nrCDdate,nrCDnum),""),IF(_xlpm.dn="","(not a class day)",IFERROR(_xlfn.XLOOKUP(_xlpm.dn+cfgRetestClassDays,nrCDnum,nrCDdate),"")))))</f>
        <v/>
      </c>
      <c r="U343" s="15">
        <f>IF($Q343&lt;&gt;"Yes","",IF(COUNTIFS(nrES_PID,$D343,nrES_Code,$F343,nrES_Att,2)&gt;0,"Retested",IF(OR($T343="",NOT(ISNUMBER($T343))),"Pending",IF(TODAY()&gt;$T343,"OVERDUE","Due "&amp;TEXT($T343,"mm/dd")))))</f>
        <v/>
      </c>
      <c r="V343" s="14" t="n"/>
      <c r="W343" s="14" t="n"/>
    </row>
    <row r="344">
      <c r="B344" s="15">
        <f>IF($C344="","",$D344&amp;"-"&amp;$F344&amp;"-"&amp;$K344)</f>
        <v/>
      </c>
      <c r="C344" s="14" t="n"/>
      <c r="D344" s="15">
        <f>IF($C344="","",IFERROR(INDEX(rngCadetPIDs,MATCH($C344,rngCadetNames,0)),"?"))</f>
        <v/>
      </c>
      <c r="E344" s="15">
        <f>IF($D344="","",IFERROR(INDEX(nrCadetAgency,MATCH($D344,rngCadetPIDs,0)),""))</f>
        <v/>
      </c>
      <c r="F344" s="14" t="n"/>
      <c r="G344" s="15">
        <f>IF($F344="","",IFERROR(INDEX(rngEPname,MATCH($F344,rngEPcode,0)),"?"))</f>
        <v/>
      </c>
      <c r="H344" s="15">
        <f>IF($F344="","",IFERROR(INDEX(rngEPtype,MATCH($F344,rngEPcode,0)),"?"))</f>
        <v/>
      </c>
      <c r="I344" s="15">
        <f>IF($F344="","",IFERROR(INDEX(rngEPseq,MATCH($F344,rngEPcode,0)),""))</f>
        <v/>
      </c>
      <c r="J344" s="15">
        <f>IF($F344="","",IFERROR(INDEX(rngEPpass,MATCH($F344,rngEPcode,0)),cfgPassingScore))</f>
        <v/>
      </c>
      <c r="K344" s="14" t="n"/>
      <c r="L344" s="14" t="n"/>
      <c r="M344" s="15">
        <f>IF($C344="","",IF($L344="","",IF($K344=1,IF(COUNTIFS(nrES_PID,$D344,nrES_Code,$F344,nrES_Att,2)&gt;0,"",$L344),IF(COUNTIFS(nrES_PID,$D344,nrES_Code,$F344,nrES_Att,1)=0,$L344,IF($L344&gt;=$J344,cfgRetakeRecordedCap,SUMIFS(nrES_Raw,nrES_PID,$D344,nrES_Code,$F344,nrES_Att,1))))))</f>
        <v/>
      </c>
      <c r="N344" s="15">
        <f>IF($C344="","",IF($L344="","",IF($L344&gt;=$J344,"Yes","No")))</f>
        <v/>
      </c>
      <c r="O344" s="15">
        <f>IF($C344="","",IF($M344="","",IF($M344&gt;=$J344,"Yes","No")))</f>
        <v/>
      </c>
      <c r="P344" s="15">
        <f>IF($C344="","",IF($K344="","",IF(COUNTIFS(nrES_PID,$D344,nrES_Code,$F344,nrES_Att,"&gt;"&amp;$K344)=0,"Yes","No")))</f>
        <v/>
      </c>
      <c r="Q344" s="15">
        <f>IF($C344="","",IF($L344="","",IF(AND($K344=1,$L344&lt;$J344,COUNTIFS(nrES_PID,$D344,nrES_Code,$F344,nrES_Att,2)=0),"Yes","No")))</f>
        <v/>
      </c>
      <c r="R344" s="15">
        <f>IF($C344="","",IF($L344="","",IF(AND($K344=2,$L344&lt;$J344,COUNTIFS(nrES_PID,$D344,nrES_Code,$F344,nrES_Att,1)&gt;0),"Yes","No")))</f>
        <v/>
      </c>
      <c r="S344" s="16" t="n"/>
      <c r="T344" s="17">
        <f>IF($Q344&lt;&gt;"Yes","",IF($S344="","(enter date)",_xlfn.LET(_xlpm.dn,IFERROR(_xlfn.XLOOKUP($S344,nrCDdate,nrCDnum),""),IF(_xlpm.dn="","(not a class day)",IFERROR(_xlfn.XLOOKUP(_xlpm.dn+cfgRetestClassDays,nrCDnum,nrCDdate),"")))))</f>
        <v/>
      </c>
      <c r="U344" s="15">
        <f>IF($Q344&lt;&gt;"Yes","",IF(COUNTIFS(nrES_PID,$D344,nrES_Code,$F344,nrES_Att,2)&gt;0,"Retested",IF(OR($T344="",NOT(ISNUMBER($T344))),"Pending",IF(TODAY()&gt;$T344,"OVERDUE","Due "&amp;TEXT($T344,"mm/dd")))))</f>
        <v/>
      </c>
      <c r="V344" s="14" t="n"/>
      <c r="W344" s="14" t="n"/>
    </row>
    <row r="345">
      <c r="B345" s="15">
        <f>IF($C345="","",$D345&amp;"-"&amp;$F345&amp;"-"&amp;$K345)</f>
        <v/>
      </c>
      <c r="C345" s="14" t="n"/>
      <c r="D345" s="15">
        <f>IF($C345="","",IFERROR(INDEX(rngCadetPIDs,MATCH($C345,rngCadetNames,0)),"?"))</f>
        <v/>
      </c>
      <c r="E345" s="15">
        <f>IF($D345="","",IFERROR(INDEX(nrCadetAgency,MATCH($D345,rngCadetPIDs,0)),""))</f>
        <v/>
      </c>
      <c r="F345" s="14" t="n"/>
      <c r="G345" s="15">
        <f>IF($F345="","",IFERROR(INDEX(rngEPname,MATCH($F345,rngEPcode,0)),"?"))</f>
        <v/>
      </c>
      <c r="H345" s="15">
        <f>IF($F345="","",IFERROR(INDEX(rngEPtype,MATCH($F345,rngEPcode,0)),"?"))</f>
        <v/>
      </c>
      <c r="I345" s="15">
        <f>IF($F345="","",IFERROR(INDEX(rngEPseq,MATCH($F345,rngEPcode,0)),""))</f>
        <v/>
      </c>
      <c r="J345" s="15">
        <f>IF($F345="","",IFERROR(INDEX(rngEPpass,MATCH($F345,rngEPcode,0)),cfgPassingScore))</f>
        <v/>
      </c>
      <c r="K345" s="14" t="n"/>
      <c r="L345" s="14" t="n"/>
      <c r="M345" s="15">
        <f>IF($C345="","",IF($L345="","",IF($K345=1,IF(COUNTIFS(nrES_PID,$D345,nrES_Code,$F345,nrES_Att,2)&gt;0,"",$L345),IF(COUNTIFS(nrES_PID,$D345,nrES_Code,$F345,nrES_Att,1)=0,$L345,IF($L345&gt;=$J345,cfgRetakeRecordedCap,SUMIFS(nrES_Raw,nrES_PID,$D345,nrES_Code,$F345,nrES_Att,1))))))</f>
        <v/>
      </c>
      <c r="N345" s="15">
        <f>IF($C345="","",IF($L345="","",IF($L345&gt;=$J345,"Yes","No")))</f>
        <v/>
      </c>
      <c r="O345" s="15">
        <f>IF($C345="","",IF($M345="","",IF($M345&gt;=$J345,"Yes","No")))</f>
        <v/>
      </c>
      <c r="P345" s="15">
        <f>IF($C345="","",IF($K345="","",IF(COUNTIFS(nrES_PID,$D345,nrES_Code,$F345,nrES_Att,"&gt;"&amp;$K345)=0,"Yes","No")))</f>
        <v/>
      </c>
      <c r="Q345" s="15">
        <f>IF($C345="","",IF($L345="","",IF(AND($K345=1,$L345&lt;$J345,COUNTIFS(nrES_PID,$D345,nrES_Code,$F345,nrES_Att,2)=0),"Yes","No")))</f>
        <v/>
      </c>
      <c r="R345" s="15">
        <f>IF($C345="","",IF($L345="","",IF(AND($K345=2,$L345&lt;$J345,COUNTIFS(nrES_PID,$D345,nrES_Code,$F345,nrES_Att,1)&gt;0),"Yes","No")))</f>
        <v/>
      </c>
      <c r="S345" s="16" t="n"/>
      <c r="T345" s="17">
        <f>IF($Q345&lt;&gt;"Yes","",IF($S345="","(enter date)",_xlfn.LET(_xlpm.dn,IFERROR(_xlfn.XLOOKUP($S345,nrCDdate,nrCDnum),""),IF(_xlpm.dn="","(not a class day)",IFERROR(_xlfn.XLOOKUP(_xlpm.dn+cfgRetestClassDays,nrCDnum,nrCDdate),"")))))</f>
        <v/>
      </c>
      <c r="U345" s="15">
        <f>IF($Q345&lt;&gt;"Yes","",IF(COUNTIFS(nrES_PID,$D345,nrES_Code,$F345,nrES_Att,2)&gt;0,"Retested",IF(OR($T345="",NOT(ISNUMBER($T345))),"Pending",IF(TODAY()&gt;$T345,"OVERDUE","Due "&amp;TEXT($T345,"mm/dd")))))</f>
        <v/>
      </c>
      <c r="V345" s="14" t="n"/>
      <c r="W345" s="14" t="n"/>
    </row>
    <row r="346">
      <c r="B346" s="15">
        <f>IF($C346="","",$D346&amp;"-"&amp;$F346&amp;"-"&amp;$K346)</f>
        <v/>
      </c>
      <c r="C346" s="14" t="n"/>
      <c r="D346" s="15">
        <f>IF($C346="","",IFERROR(INDEX(rngCadetPIDs,MATCH($C346,rngCadetNames,0)),"?"))</f>
        <v/>
      </c>
      <c r="E346" s="15">
        <f>IF($D346="","",IFERROR(INDEX(nrCadetAgency,MATCH($D346,rngCadetPIDs,0)),""))</f>
        <v/>
      </c>
      <c r="F346" s="14" t="n"/>
      <c r="G346" s="15">
        <f>IF($F346="","",IFERROR(INDEX(rngEPname,MATCH($F346,rngEPcode,0)),"?"))</f>
        <v/>
      </c>
      <c r="H346" s="15">
        <f>IF($F346="","",IFERROR(INDEX(rngEPtype,MATCH($F346,rngEPcode,0)),"?"))</f>
        <v/>
      </c>
      <c r="I346" s="15">
        <f>IF($F346="","",IFERROR(INDEX(rngEPseq,MATCH($F346,rngEPcode,0)),""))</f>
        <v/>
      </c>
      <c r="J346" s="15">
        <f>IF($F346="","",IFERROR(INDEX(rngEPpass,MATCH($F346,rngEPcode,0)),cfgPassingScore))</f>
        <v/>
      </c>
      <c r="K346" s="14" t="n"/>
      <c r="L346" s="14" t="n"/>
      <c r="M346" s="15">
        <f>IF($C346="","",IF($L346="","",IF($K346=1,IF(COUNTIFS(nrES_PID,$D346,nrES_Code,$F346,nrES_Att,2)&gt;0,"",$L346),IF(COUNTIFS(nrES_PID,$D346,nrES_Code,$F346,nrES_Att,1)=0,$L346,IF($L346&gt;=$J346,cfgRetakeRecordedCap,SUMIFS(nrES_Raw,nrES_PID,$D346,nrES_Code,$F346,nrES_Att,1))))))</f>
        <v/>
      </c>
      <c r="N346" s="15">
        <f>IF($C346="","",IF($L346="","",IF($L346&gt;=$J346,"Yes","No")))</f>
        <v/>
      </c>
      <c r="O346" s="15">
        <f>IF($C346="","",IF($M346="","",IF($M346&gt;=$J346,"Yes","No")))</f>
        <v/>
      </c>
      <c r="P346" s="15">
        <f>IF($C346="","",IF($K346="","",IF(COUNTIFS(nrES_PID,$D346,nrES_Code,$F346,nrES_Att,"&gt;"&amp;$K346)=0,"Yes","No")))</f>
        <v/>
      </c>
      <c r="Q346" s="15">
        <f>IF($C346="","",IF($L346="","",IF(AND($K346=1,$L346&lt;$J346,COUNTIFS(nrES_PID,$D346,nrES_Code,$F346,nrES_Att,2)=0),"Yes","No")))</f>
        <v/>
      </c>
      <c r="R346" s="15">
        <f>IF($C346="","",IF($L346="","",IF(AND($K346=2,$L346&lt;$J346,COUNTIFS(nrES_PID,$D346,nrES_Code,$F346,nrES_Att,1)&gt;0),"Yes","No")))</f>
        <v/>
      </c>
      <c r="S346" s="16" t="n"/>
      <c r="T346" s="17">
        <f>IF($Q346&lt;&gt;"Yes","",IF($S346="","(enter date)",_xlfn.LET(_xlpm.dn,IFERROR(_xlfn.XLOOKUP($S346,nrCDdate,nrCDnum),""),IF(_xlpm.dn="","(not a class day)",IFERROR(_xlfn.XLOOKUP(_xlpm.dn+cfgRetestClassDays,nrCDnum,nrCDdate),"")))))</f>
        <v/>
      </c>
      <c r="U346" s="15">
        <f>IF($Q346&lt;&gt;"Yes","",IF(COUNTIFS(nrES_PID,$D346,nrES_Code,$F346,nrES_Att,2)&gt;0,"Retested",IF(OR($T346="",NOT(ISNUMBER($T346))),"Pending",IF(TODAY()&gt;$T346,"OVERDUE","Due "&amp;TEXT($T346,"mm/dd")))))</f>
        <v/>
      </c>
      <c r="V346" s="14" t="n"/>
      <c r="W346" s="14" t="n"/>
    </row>
    <row r="347">
      <c r="B347" s="15">
        <f>IF($C347="","",$D347&amp;"-"&amp;$F347&amp;"-"&amp;$K347)</f>
        <v/>
      </c>
      <c r="C347" s="14" t="n"/>
      <c r="D347" s="15">
        <f>IF($C347="","",IFERROR(INDEX(rngCadetPIDs,MATCH($C347,rngCadetNames,0)),"?"))</f>
        <v/>
      </c>
      <c r="E347" s="15">
        <f>IF($D347="","",IFERROR(INDEX(nrCadetAgency,MATCH($D347,rngCadetPIDs,0)),""))</f>
        <v/>
      </c>
      <c r="F347" s="14" t="n"/>
      <c r="G347" s="15">
        <f>IF($F347="","",IFERROR(INDEX(rngEPname,MATCH($F347,rngEPcode,0)),"?"))</f>
        <v/>
      </c>
      <c r="H347" s="15">
        <f>IF($F347="","",IFERROR(INDEX(rngEPtype,MATCH($F347,rngEPcode,0)),"?"))</f>
        <v/>
      </c>
      <c r="I347" s="15">
        <f>IF($F347="","",IFERROR(INDEX(rngEPseq,MATCH($F347,rngEPcode,0)),""))</f>
        <v/>
      </c>
      <c r="J347" s="15">
        <f>IF($F347="","",IFERROR(INDEX(rngEPpass,MATCH($F347,rngEPcode,0)),cfgPassingScore))</f>
        <v/>
      </c>
      <c r="K347" s="14" t="n"/>
      <c r="L347" s="14" t="n"/>
      <c r="M347" s="15">
        <f>IF($C347="","",IF($L347="","",IF($K347=1,IF(COUNTIFS(nrES_PID,$D347,nrES_Code,$F347,nrES_Att,2)&gt;0,"",$L347),IF(COUNTIFS(nrES_PID,$D347,nrES_Code,$F347,nrES_Att,1)=0,$L347,IF($L347&gt;=$J347,cfgRetakeRecordedCap,SUMIFS(nrES_Raw,nrES_PID,$D347,nrES_Code,$F347,nrES_Att,1))))))</f>
        <v/>
      </c>
      <c r="N347" s="15">
        <f>IF($C347="","",IF($L347="","",IF($L347&gt;=$J347,"Yes","No")))</f>
        <v/>
      </c>
      <c r="O347" s="15">
        <f>IF($C347="","",IF($M347="","",IF($M347&gt;=$J347,"Yes","No")))</f>
        <v/>
      </c>
      <c r="P347" s="15">
        <f>IF($C347="","",IF($K347="","",IF(COUNTIFS(nrES_PID,$D347,nrES_Code,$F347,nrES_Att,"&gt;"&amp;$K347)=0,"Yes","No")))</f>
        <v/>
      </c>
      <c r="Q347" s="15">
        <f>IF($C347="","",IF($L347="","",IF(AND($K347=1,$L347&lt;$J347,COUNTIFS(nrES_PID,$D347,nrES_Code,$F347,nrES_Att,2)=0),"Yes","No")))</f>
        <v/>
      </c>
      <c r="R347" s="15">
        <f>IF($C347="","",IF($L347="","",IF(AND($K347=2,$L347&lt;$J347,COUNTIFS(nrES_PID,$D347,nrES_Code,$F347,nrES_Att,1)&gt;0),"Yes","No")))</f>
        <v/>
      </c>
      <c r="S347" s="16" t="n"/>
      <c r="T347" s="17">
        <f>IF($Q347&lt;&gt;"Yes","",IF($S347="","(enter date)",_xlfn.LET(_xlpm.dn,IFERROR(_xlfn.XLOOKUP($S347,nrCDdate,nrCDnum),""),IF(_xlpm.dn="","(not a class day)",IFERROR(_xlfn.XLOOKUP(_xlpm.dn+cfgRetestClassDays,nrCDnum,nrCDdate),"")))))</f>
        <v/>
      </c>
      <c r="U347" s="15">
        <f>IF($Q347&lt;&gt;"Yes","",IF(COUNTIFS(nrES_PID,$D347,nrES_Code,$F347,nrES_Att,2)&gt;0,"Retested",IF(OR($T347="",NOT(ISNUMBER($T347))),"Pending",IF(TODAY()&gt;$T347,"OVERDUE","Due "&amp;TEXT($T347,"mm/dd")))))</f>
        <v/>
      </c>
      <c r="V347" s="14" t="n"/>
      <c r="W347" s="14" t="n"/>
    </row>
    <row r="348">
      <c r="B348" s="15">
        <f>IF($C348="","",$D348&amp;"-"&amp;$F348&amp;"-"&amp;$K348)</f>
        <v/>
      </c>
      <c r="C348" s="14" t="n"/>
      <c r="D348" s="15">
        <f>IF($C348="","",IFERROR(INDEX(rngCadetPIDs,MATCH($C348,rngCadetNames,0)),"?"))</f>
        <v/>
      </c>
      <c r="E348" s="15">
        <f>IF($D348="","",IFERROR(INDEX(nrCadetAgency,MATCH($D348,rngCadetPIDs,0)),""))</f>
        <v/>
      </c>
      <c r="F348" s="14" t="n"/>
      <c r="G348" s="15">
        <f>IF($F348="","",IFERROR(INDEX(rngEPname,MATCH($F348,rngEPcode,0)),"?"))</f>
        <v/>
      </c>
      <c r="H348" s="15">
        <f>IF($F348="","",IFERROR(INDEX(rngEPtype,MATCH($F348,rngEPcode,0)),"?"))</f>
        <v/>
      </c>
      <c r="I348" s="15">
        <f>IF($F348="","",IFERROR(INDEX(rngEPseq,MATCH($F348,rngEPcode,0)),""))</f>
        <v/>
      </c>
      <c r="J348" s="15">
        <f>IF($F348="","",IFERROR(INDEX(rngEPpass,MATCH($F348,rngEPcode,0)),cfgPassingScore))</f>
        <v/>
      </c>
      <c r="K348" s="14" t="n"/>
      <c r="L348" s="14" t="n"/>
      <c r="M348" s="15">
        <f>IF($C348="","",IF($L348="","",IF($K348=1,IF(COUNTIFS(nrES_PID,$D348,nrES_Code,$F348,nrES_Att,2)&gt;0,"",$L348),IF(COUNTIFS(nrES_PID,$D348,nrES_Code,$F348,nrES_Att,1)=0,$L348,IF($L348&gt;=$J348,cfgRetakeRecordedCap,SUMIFS(nrES_Raw,nrES_PID,$D348,nrES_Code,$F348,nrES_Att,1))))))</f>
        <v/>
      </c>
      <c r="N348" s="15">
        <f>IF($C348="","",IF($L348="","",IF($L348&gt;=$J348,"Yes","No")))</f>
        <v/>
      </c>
      <c r="O348" s="15">
        <f>IF($C348="","",IF($M348="","",IF($M348&gt;=$J348,"Yes","No")))</f>
        <v/>
      </c>
      <c r="P348" s="15">
        <f>IF($C348="","",IF($K348="","",IF(COUNTIFS(nrES_PID,$D348,nrES_Code,$F348,nrES_Att,"&gt;"&amp;$K348)=0,"Yes","No")))</f>
        <v/>
      </c>
      <c r="Q348" s="15">
        <f>IF($C348="","",IF($L348="","",IF(AND($K348=1,$L348&lt;$J348,COUNTIFS(nrES_PID,$D348,nrES_Code,$F348,nrES_Att,2)=0),"Yes","No")))</f>
        <v/>
      </c>
      <c r="R348" s="15">
        <f>IF($C348="","",IF($L348="","",IF(AND($K348=2,$L348&lt;$J348,COUNTIFS(nrES_PID,$D348,nrES_Code,$F348,nrES_Att,1)&gt;0),"Yes","No")))</f>
        <v/>
      </c>
      <c r="S348" s="16" t="n"/>
      <c r="T348" s="17">
        <f>IF($Q348&lt;&gt;"Yes","",IF($S348="","(enter date)",_xlfn.LET(_xlpm.dn,IFERROR(_xlfn.XLOOKUP($S348,nrCDdate,nrCDnum),""),IF(_xlpm.dn="","(not a class day)",IFERROR(_xlfn.XLOOKUP(_xlpm.dn+cfgRetestClassDays,nrCDnum,nrCDdate),"")))))</f>
        <v/>
      </c>
      <c r="U348" s="15">
        <f>IF($Q348&lt;&gt;"Yes","",IF(COUNTIFS(nrES_PID,$D348,nrES_Code,$F348,nrES_Att,2)&gt;0,"Retested",IF(OR($T348="",NOT(ISNUMBER($T348))),"Pending",IF(TODAY()&gt;$T348,"OVERDUE","Due "&amp;TEXT($T348,"mm/dd")))))</f>
        <v/>
      </c>
      <c r="V348" s="14" t="n"/>
      <c r="W348" s="14" t="n"/>
    </row>
    <row r="349">
      <c r="B349" s="15">
        <f>IF($C349="","",$D349&amp;"-"&amp;$F349&amp;"-"&amp;$K349)</f>
        <v/>
      </c>
      <c r="C349" s="14" t="n"/>
      <c r="D349" s="15">
        <f>IF($C349="","",IFERROR(INDEX(rngCadetPIDs,MATCH($C349,rngCadetNames,0)),"?"))</f>
        <v/>
      </c>
      <c r="E349" s="15">
        <f>IF($D349="","",IFERROR(INDEX(nrCadetAgency,MATCH($D349,rngCadetPIDs,0)),""))</f>
        <v/>
      </c>
      <c r="F349" s="14" t="n"/>
      <c r="G349" s="15">
        <f>IF($F349="","",IFERROR(INDEX(rngEPname,MATCH($F349,rngEPcode,0)),"?"))</f>
        <v/>
      </c>
      <c r="H349" s="15">
        <f>IF($F349="","",IFERROR(INDEX(rngEPtype,MATCH($F349,rngEPcode,0)),"?"))</f>
        <v/>
      </c>
      <c r="I349" s="15">
        <f>IF($F349="","",IFERROR(INDEX(rngEPseq,MATCH($F349,rngEPcode,0)),""))</f>
        <v/>
      </c>
      <c r="J349" s="15">
        <f>IF($F349="","",IFERROR(INDEX(rngEPpass,MATCH($F349,rngEPcode,0)),cfgPassingScore))</f>
        <v/>
      </c>
      <c r="K349" s="14" t="n"/>
      <c r="L349" s="14" t="n"/>
      <c r="M349" s="15">
        <f>IF($C349="","",IF($L349="","",IF($K349=1,IF(COUNTIFS(nrES_PID,$D349,nrES_Code,$F349,nrES_Att,2)&gt;0,"",$L349),IF(COUNTIFS(nrES_PID,$D349,nrES_Code,$F349,nrES_Att,1)=0,$L349,IF($L349&gt;=$J349,cfgRetakeRecordedCap,SUMIFS(nrES_Raw,nrES_PID,$D349,nrES_Code,$F349,nrES_Att,1))))))</f>
        <v/>
      </c>
      <c r="N349" s="15">
        <f>IF($C349="","",IF($L349="","",IF($L349&gt;=$J349,"Yes","No")))</f>
        <v/>
      </c>
      <c r="O349" s="15">
        <f>IF($C349="","",IF($M349="","",IF($M349&gt;=$J349,"Yes","No")))</f>
        <v/>
      </c>
      <c r="P349" s="15">
        <f>IF($C349="","",IF($K349="","",IF(COUNTIFS(nrES_PID,$D349,nrES_Code,$F349,nrES_Att,"&gt;"&amp;$K349)=0,"Yes","No")))</f>
        <v/>
      </c>
      <c r="Q349" s="15">
        <f>IF($C349="","",IF($L349="","",IF(AND($K349=1,$L349&lt;$J349,COUNTIFS(nrES_PID,$D349,nrES_Code,$F349,nrES_Att,2)=0),"Yes","No")))</f>
        <v/>
      </c>
      <c r="R349" s="15">
        <f>IF($C349="","",IF($L349="","",IF(AND($K349=2,$L349&lt;$J349,COUNTIFS(nrES_PID,$D349,nrES_Code,$F349,nrES_Att,1)&gt;0),"Yes","No")))</f>
        <v/>
      </c>
      <c r="S349" s="16" t="n"/>
      <c r="T349" s="17">
        <f>IF($Q349&lt;&gt;"Yes","",IF($S349="","(enter date)",_xlfn.LET(_xlpm.dn,IFERROR(_xlfn.XLOOKUP($S349,nrCDdate,nrCDnum),""),IF(_xlpm.dn="","(not a class day)",IFERROR(_xlfn.XLOOKUP(_xlpm.dn+cfgRetestClassDays,nrCDnum,nrCDdate),"")))))</f>
        <v/>
      </c>
      <c r="U349" s="15">
        <f>IF($Q349&lt;&gt;"Yes","",IF(COUNTIFS(nrES_PID,$D349,nrES_Code,$F349,nrES_Att,2)&gt;0,"Retested",IF(OR($T349="",NOT(ISNUMBER($T349))),"Pending",IF(TODAY()&gt;$T349,"OVERDUE","Due "&amp;TEXT($T349,"mm/dd")))))</f>
        <v/>
      </c>
      <c r="V349" s="14" t="n"/>
      <c r="W349" s="14" t="n"/>
    </row>
    <row r="350">
      <c r="B350" s="15">
        <f>IF($C350="","",$D350&amp;"-"&amp;$F350&amp;"-"&amp;$K350)</f>
        <v/>
      </c>
      <c r="C350" s="14" t="n"/>
      <c r="D350" s="15">
        <f>IF($C350="","",IFERROR(INDEX(rngCadetPIDs,MATCH($C350,rngCadetNames,0)),"?"))</f>
        <v/>
      </c>
      <c r="E350" s="15">
        <f>IF($D350="","",IFERROR(INDEX(nrCadetAgency,MATCH($D350,rngCadetPIDs,0)),""))</f>
        <v/>
      </c>
      <c r="F350" s="14" t="n"/>
      <c r="G350" s="15">
        <f>IF($F350="","",IFERROR(INDEX(rngEPname,MATCH($F350,rngEPcode,0)),"?"))</f>
        <v/>
      </c>
      <c r="H350" s="15">
        <f>IF($F350="","",IFERROR(INDEX(rngEPtype,MATCH($F350,rngEPcode,0)),"?"))</f>
        <v/>
      </c>
      <c r="I350" s="15">
        <f>IF($F350="","",IFERROR(INDEX(rngEPseq,MATCH($F350,rngEPcode,0)),""))</f>
        <v/>
      </c>
      <c r="J350" s="15">
        <f>IF($F350="","",IFERROR(INDEX(rngEPpass,MATCH($F350,rngEPcode,0)),cfgPassingScore))</f>
        <v/>
      </c>
      <c r="K350" s="14" t="n"/>
      <c r="L350" s="14" t="n"/>
      <c r="M350" s="15">
        <f>IF($C350="","",IF($L350="","",IF($K350=1,IF(COUNTIFS(nrES_PID,$D350,nrES_Code,$F350,nrES_Att,2)&gt;0,"",$L350),IF(COUNTIFS(nrES_PID,$D350,nrES_Code,$F350,nrES_Att,1)=0,$L350,IF($L350&gt;=$J350,cfgRetakeRecordedCap,SUMIFS(nrES_Raw,nrES_PID,$D350,nrES_Code,$F350,nrES_Att,1))))))</f>
        <v/>
      </c>
      <c r="N350" s="15">
        <f>IF($C350="","",IF($L350="","",IF($L350&gt;=$J350,"Yes","No")))</f>
        <v/>
      </c>
      <c r="O350" s="15">
        <f>IF($C350="","",IF($M350="","",IF($M350&gt;=$J350,"Yes","No")))</f>
        <v/>
      </c>
      <c r="P350" s="15">
        <f>IF($C350="","",IF($K350="","",IF(COUNTIFS(nrES_PID,$D350,nrES_Code,$F350,nrES_Att,"&gt;"&amp;$K350)=0,"Yes","No")))</f>
        <v/>
      </c>
      <c r="Q350" s="15">
        <f>IF($C350="","",IF($L350="","",IF(AND($K350=1,$L350&lt;$J350,COUNTIFS(nrES_PID,$D350,nrES_Code,$F350,nrES_Att,2)=0),"Yes","No")))</f>
        <v/>
      </c>
      <c r="R350" s="15">
        <f>IF($C350="","",IF($L350="","",IF(AND($K350=2,$L350&lt;$J350,COUNTIFS(nrES_PID,$D350,nrES_Code,$F350,nrES_Att,1)&gt;0),"Yes","No")))</f>
        <v/>
      </c>
      <c r="S350" s="16" t="n"/>
      <c r="T350" s="17">
        <f>IF($Q350&lt;&gt;"Yes","",IF($S350="","(enter date)",_xlfn.LET(_xlpm.dn,IFERROR(_xlfn.XLOOKUP($S350,nrCDdate,nrCDnum),""),IF(_xlpm.dn="","(not a class day)",IFERROR(_xlfn.XLOOKUP(_xlpm.dn+cfgRetestClassDays,nrCDnum,nrCDdate),"")))))</f>
        <v/>
      </c>
      <c r="U350" s="15">
        <f>IF($Q350&lt;&gt;"Yes","",IF(COUNTIFS(nrES_PID,$D350,nrES_Code,$F350,nrES_Att,2)&gt;0,"Retested",IF(OR($T350="",NOT(ISNUMBER($T350))),"Pending",IF(TODAY()&gt;$T350,"OVERDUE","Due "&amp;TEXT($T350,"mm/dd")))))</f>
        <v/>
      </c>
      <c r="V350" s="14" t="n"/>
      <c r="W350" s="14" t="n"/>
    </row>
    <row r="351">
      <c r="B351" s="15">
        <f>IF($C351="","",$D351&amp;"-"&amp;$F351&amp;"-"&amp;$K351)</f>
        <v/>
      </c>
      <c r="C351" s="14" t="n"/>
      <c r="D351" s="15">
        <f>IF($C351="","",IFERROR(INDEX(rngCadetPIDs,MATCH($C351,rngCadetNames,0)),"?"))</f>
        <v/>
      </c>
      <c r="E351" s="15">
        <f>IF($D351="","",IFERROR(INDEX(nrCadetAgency,MATCH($D351,rngCadetPIDs,0)),""))</f>
        <v/>
      </c>
      <c r="F351" s="14" t="n"/>
      <c r="G351" s="15">
        <f>IF($F351="","",IFERROR(INDEX(rngEPname,MATCH($F351,rngEPcode,0)),"?"))</f>
        <v/>
      </c>
      <c r="H351" s="15">
        <f>IF($F351="","",IFERROR(INDEX(rngEPtype,MATCH($F351,rngEPcode,0)),"?"))</f>
        <v/>
      </c>
      <c r="I351" s="15">
        <f>IF($F351="","",IFERROR(INDEX(rngEPseq,MATCH($F351,rngEPcode,0)),""))</f>
        <v/>
      </c>
      <c r="J351" s="15">
        <f>IF($F351="","",IFERROR(INDEX(rngEPpass,MATCH($F351,rngEPcode,0)),cfgPassingScore))</f>
        <v/>
      </c>
      <c r="K351" s="14" t="n"/>
      <c r="L351" s="14" t="n"/>
      <c r="M351" s="15">
        <f>IF($C351="","",IF($L351="","",IF($K351=1,IF(COUNTIFS(nrES_PID,$D351,nrES_Code,$F351,nrES_Att,2)&gt;0,"",$L351),IF(COUNTIFS(nrES_PID,$D351,nrES_Code,$F351,nrES_Att,1)=0,$L351,IF($L351&gt;=$J351,cfgRetakeRecordedCap,SUMIFS(nrES_Raw,nrES_PID,$D351,nrES_Code,$F351,nrES_Att,1))))))</f>
        <v/>
      </c>
      <c r="N351" s="15">
        <f>IF($C351="","",IF($L351="","",IF($L351&gt;=$J351,"Yes","No")))</f>
        <v/>
      </c>
      <c r="O351" s="15">
        <f>IF($C351="","",IF($M351="","",IF($M351&gt;=$J351,"Yes","No")))</f>
        <v/>
      </c>
      <c r="P351" s="15">
        <f>IF($C351="","",IF($K351="","",IF(COUNTIFS(nrES_PID,$D351,nrES_Code,$F351,nrES_Att,"&gt;"&amp;$K351)=0,"Yes","No")))</f>
        <v/>
      </c>
      <c r="Q351" s="15">
        <f>IF($C351="","",IF($L351="","",IF(AND($K351=1,$L351&lt;$J351,COUNTIFS(nrES_PID,$D351,nrES_Code,$F351,nrES_Att,2)=0),"Yes","No")))</f>
        <v/>
      </c>
      <c r="R351" s="15">
        <f>IF($C351="","",IF($L351="","",IF(AND($K351=2,$L351&lt;$J351,COUNTIFS(nrES_PID,$D351,nrES_Code,$F351,nrES_Att,1)&gt;0),"Yes","No")))</f>
        <v/>
      </c>
      <c r="S351" s="16" t="n"/>
      <c r="T351" s="17">
        <f>IF($Q351&lt;&gt;"Yes","",IF($S351="","(enter date)",_xlfn.LET(_xlpm.dn,IFERROR(_xlfn.XLOOKUP($S351,nrCDdate,nrCDnum),""),IF(_xlpm.dn="","(not a class day)",IFERROR(_xlfn.XLOOKUP(_xlpm.dn+cfgRetestClassDays,nrCDnum,nrCDdate),"")))))</f>
        <v/>
      </c>
      <c r="U351" s="15">
        <f>IF($Q351&lt;&gt;"Yes","",IF(COUNTIFS(nrES_PID,$D351,nrES_Code,$F351,nrES_Att,2)&gt;0,"Retested",IF(OR($T351="",NOT(ISNUMBER($T351))),"Pending",IF(TODAY()&gt;$T351,"OVERDUE","Due "&amp;TEXT($T351,"mm/dd")))))</f>
        <v/>
      </c>
      <c r="V351" s="14" t="n"/>
      <c r="W351" s="14" t="n"/>
    </row>
    <row r="352">
      <c r="B352" s="15">
        <f>IF($C352="","",$D352&amp;"-"&amp;$F352&amp;"-"&amp;$K352)</f>
        <v/>
      </c>
      <c r="C352" s="14" t="n"/>
      <c r="D352" s="15">
        <f>IF($C352="","",IFERROR(INDEX(rngCadetPIDs,MATCH($C352,rngCadetNames,0)),"?"))</f>
        <v/>
      </c>
      <c r="E352" s="15">
        <f>IF($D352="","",IFERROR(INDEX(nrCadetAgency,MATCH($D352,rngCadetPIDs,0)),""))</f>
        <v/>
      </c>
      <c r="F352" s="14" t="n"/>
      <c r="G352" s="15">
        <f>IF($F352="","",IFERROR(INDEX(rngEPname,MATCH($F352,rngEPcode,0)),"?"))</f>
        <v/>
      </c>
      <c r="H352" s="15">
        <f>IF($F352="","",IFERROR(INDEX(rngEPtype,MATCH($F352,rngEPcode,0)),"?"))</f>
        <v/>
      </c>
      <c r="I352" s="15">
        <f>IF($F352="","",IFERROR(INDEX(rngEPseq,MATCH($F352,rngEPcode,0)),""))</f>
        <v/>
      </c>
      <c r="J352" s="15">
        <f>IF($F352="","",IFERROR(INDEX(rngEPpass,MATCH($F352,rngEPcode,0)),cfgPassingScore))</f>
        <v/>
      </c>
      <c r="K352" s="14" t="n"/>
      <c r="L352" s="14" t="n"/>
      <c r="M352" s="15">
        <f>IF($C352="","",IF($L352="","",IF($K352=1,IF(COUNTIFS(nrES_PID,$D352,nrES_Code,$F352,nrES_Att,2)&gt;0,"",$L352),IF(COUNTIFS(nrES_PID,$D352,nrES_Code,$F352,nrES_Att,1)=0,$L352,IF($L352&gt;=$J352,cfgRetakeRecordedCap,SUMIFS(nrES_Raw,nrES_PID,$D352,nrES_Code,$F352,nrES_Att,1))))))</f>
        <v/>
      </c>
      <c r="N352" s="15">
        <f>IF($C352="","",IF($L352="","",IF($L352&gt;=$J352,"Yes","No")))</f>
        <v/>
      </c>
      <c r="O352" s="15">
        <f>IF($C352="","",IF($M352="","",IF($M352&gt;=$J352,"Yes","No")))</f>
        <v/>
      </c>
      <c r="P352" s="15">
        <f>IF($C352="","",IF($K352="","",IF(COUNTIFS(nrES_PID,$D352,nrES_Code,$F352,nrES_Att,"&gt;"&amp;$K352)=0,"Yes","No")))</f>
        <v/>
      </c>
      <c r="Q352" s="15">
        <f>IF($C352="","",IF($L352="","",IF(AND($K352=1,$L352&lt;$J352,COUNTIFS(nrES_PID,$D352,nrES_Code,$F352,nrES_Att,2)=0),"Yes","No")))</f>
        <v/>
      </c>
      <c r="R352" s="15">
        <f>IF($C352="","",IF($L352="","",IF(AND($K352=2,$L352&lt;$J352,COUNTIFS(nrES_PID,$D352,nrES_Code,$F352,nrES_Att,1)&gt;0),"Yes","No")))</f>
        <v/>
      </c>
      <c r="S352" s="16" t="n"/>
      <c r="T352" s="17">
        <f>IF($Q352&lt;&gt;"Yes","",IF($S352="","(enter date)",_xlfn.LET(_xlpm.dn,IFERROR(_xlfn.XLOOKUP($S352,nrCDdate,nrCDnum),""),IF(_xlpm.dn="","(not a class day)",IFERROR(_xlfn.XLOOKUP(_xlpm.dn+cfgRetestClassDays,nrCDnum,nrCDdate),"")))))</f>
        <v/>
      </c>
      <c r="U352" s="15">
        <f>IF($Q352&lt;&gt;"Yes","",IF(COUNTIFS(nrES_PID,$D352,nrES_Code,$F352,nrES_Att,2)&gt;0,"Retested",IF(OR($T352="",NOT(ISNUMBER($T352))),"Pending",IF(TODAY()&gt;$T352,"OVERDUE","Due "&amp;TEXT($T352,"mm/dd")))))</f>
        <v/>
      </c>
      <c r="V352" s="14" t="n"/>
      <c r="W352" s="14" t="n"/>
    </row>
    <row r="353">
      <c r="B353" s="15">
        <f>IF($C353="","",$D353&amp;"-"&amp;$F353&amp;"-"&amp;$K353)</f>
        <v/>
      </c>
      <c r="C353" s="14" t="n"/>
      <c r="D353" s="15">
        <f>IF($C353="","",IFERROR(INDEX(rngCadetPIDs,MATCH($C353,rngCadetNames,0)),"?"))</f>
        <v/>
      </c>
      <c r="E353" s="15">
        <f>IF($D353="","",IFERROR(INDEX(nrCadetAgency,MATCH($D353,rngCadetPIDs,0)),""))</f>
        <v/>
      </c>
      <c r="F353" s="14" t="n"/>
      <c r="G353" s="15">
        <f>IF($F353="","",IFERROR(INDEX(rngEPname,MATCH($F353,rngEPcode,0)),"?"))</f>
        <v/>
      </c>
      <c r="H353" s="15">
        <f>IF($F353="","",IFERROR(INDEX(rngEPtype,MATCH($F353,rngEPcode,0)),"?"))</f>
        <v/>
      </c>
      <c r="I353" s="15">
        <f>IF($F353="","",IFERROR(INDEX(rngEPseq,MATCH($F353,rngEPcode,0)),""))</f>
        <v/>
      </c>
      <c r="J353" s="15">
        <f>IF($F353="","",IFERROR(INDEX(rngEPpass,MATCH($F353,rngEPcode,0)),cfgPassingScore))</f>
        <v/>
      </c>
      <c r="K353" s="14" t="n"/>
      <c r="L353" s="14" t="n"/>
      <c r="M353" s="15">
        <f>IF($C353="","",IF($L353="","",IF($K353=1,IF(COUNTIFS(nrES_PID,$D353,nrES_Code,$F353,nrES_Att,2)&gt;0,"",$L353),IF(COUNTIFS(nrES_PID,$D353,nrES_Code,$F353,nrES_Att,1)=0,$L353,IF($L353&gt;=$J353,cfgRetakeRecordedCap,SUMIFS(nrES_Raw,nrES_PID,$D353,nrES_Code,$F353,nrES_Att,1))))))</f>
        <v/>
      </c>
      <c r="N353" s="15">
        <f>IF($C353="","",IF($L353="","",IF($L353&gt;=$J353,"Yes","No")))</f>
        <v/>
      </c>
      <c r="O353" s="15">
        <f>IF($C353="","",IF($M353="","",IF($M353&gt;=$J353,"Yes","No")))</f>
        <v/>
      </c>
      <c r="P353" s="15">
        <f>IF($C353="","",IF($K353="","",IF(COUNTIFS(nrES_PID,$D353,nrES_Code,$F353,nrES_Att,"&gt;"&amp;$K353)=0,"Yes","No")))</f>
        <v/>
      </c>
      <c r="Q353" s="15">
        <f>IF($C353="","",IF($L353="","",IF(AND($K353=1,$L353&lt;$J353,COUNTIFS(nrES_PID,$D353,nrES_Code,$F353,nrES_Att,2)=0),"Yes","No")))</f>
        <v/>
      </c>
      <c r="R353" s="15">
        <f>IF($C353="","",IF($L353="","",IF(AND($K353=2,$L353&lt;$J353,COUNTIFS(nrES_PID,$D353,nrES_Code,$F353,nrES_Att,1)&gt;0),"Yes","No")))</f>
        <v/>
      </c>
      <c r="S353" s="16" t="n"/>
      <c r="T353" s="17">
        <f>IF($Q353&lt;&gt;"Yes","",IF($S353="","(enter date)",_xlfn.LET(_xlpm.dn,IFERROR(_xlfn.XLOOKUP($S353,nrCDdate,nrCDnum),""),IF(_xlpm.dn="","(not a class day)",IFERROR(_xlfn.XLOOKUP(_xlpm.dn+cfgRetestClassDays,nrCDnum,nrCDdate),"")))))</f>
        <v/>
      </c>
      <c r="U353" s="15">
        <f>IF($Q353&lt;&gt;"Yes","",IF(COUNTIFS(nrES_PID,$D353,nrES_Code,$F353,nrES_Att,2)&gt;0,"Retested",IF(OR($T353="",NOT(ISNUMBER($T353))),"Pending",IF(TODAY()&gt;$T353,"OVERDUE","Due "&amp;TEXT($T353,"mm/dd")))))</f>
        <v/>
      </c>
      <c r="V353" s="14" t="n"/>
      <c r="W353" s="14" t="n"/>
    </row>
    <row r="354">
      <c r="B354" s="15">
        <f>IF($C354="","",$D354&amp;"-"&amp;$F354&amp;"-"&amp;$K354)</f>
        <v/>
      </c>
      <c r="C354" s="14" t="n"/>
      <c r="D354" s="15">
        <f>IF($C354="","",IFERROR(INDEX(rngCadetPIDs,MATCH($C354,rngCadetNames,0)),"?"))</f>
        <v/>
      </c>
      <c r="E354" s="15">
        <f>IF($D354="","",IFERROR(INDEX(nrCadetAgency,MATCH($D354,rngCadetPIDs,0)),""))</f>
        <v/>
      </c>
      <c r="F354" s="14" t="n"/>
      <c r="G354" s="15">
        <f>IF($F354="","",IFERROR(INDEX(rngEPname,MATCH($F354,rngEPcode,0)),"?"))</f>
        <v/>
      </c>
      <c r="H354" s="15">
        <f>IF($F354="","",IFERROR(INDEX(rngEPtype,MATCH($F354,rngEPcode,0)),"?"))</f>
        <v/>
      </c>
      <c r="I354" s="15">
        <f>IF($F354="","",IFERROR(INDEX(rngEPseq,MATCH($F354,rngEPcode,0)),""))</f>
        <v/>
      </c>
      <c r="J354" s="15">
        <f>IF($F354="","",IFERROR(INDEX(rngEPpass,MATCH($F354,rngEPcode,0)),cfgPassingScore))</f>
        <v/>
      </c>
      <c r="K354" s="14" t="n"/>
      <c r="L354" s="14" t="n"/>
      <c r="M354" s="15">
        <f>IF($C354="","",IF($L354="","",IF($K354=1,IF(COUNTIFS(nrES_PID,$D354,nrES_Code,$F354,nrES_Att,2)&gt;0,"",$L354),IF(COUNTIFS(nrES_PID,$D354,nrES_Code,$F354,nrES_Att,1)=0,$L354,IF($L354&gt;=$J354,cfgRetakeRecordedCap,SUMIFS(nrES_Raw,nrES_PID,$D354,nrES_Code,$F354,nrES_Att,1))))))</f>
        <v/>
      </c>
      <c r="N354" s="15">
        <f>IF($C354="","",IF($L354="","",IF($L354&gt;=$J354,"Yes","No")))</f>
        <v/>
      </c>
      <c r="O354" s="15">
        <f>IF($C354="","",IF($M354="","",IF($M354&gt;=$J354,"Yes","No")))</f>
        <v/>
      </c>
      <c r="P354" s="15">
        <f>IF($C354="","",IF($K354="","",IF(COUNTIFS(nrES_PID,$D354,nrES_Code,$F354,nrES_Att,"&gt;"&amp;$K354)=0,"Yes","No")))</f>
        <v/>
      </c>
      <c r="Q354" s="15">
        <f>IF($C354="","",IF($L354="","",IF(AND($K354=1,$L354&lt;$J354,COUNTIFS(nrES_PID,$D354,nrES_Code,$F354,nrES_Att,2)=0),"Yes","No")))</f>
        <v/>
      </c>
      <c r="R354" s="15">
        <f>IF($C354="","",IF($L354="","",IF(AND($K354=2,$L354&lt;$J354,COUNTIFS(nrES_PID,$D354,nrES_Code,$F354,nrES_Att,1)&gt;0),"Yes","No")))</f>
        <v/>
      </c>
      <c r="S354" s="16" t="n"/>
      <c r="T354" s="17">
        <f>IF($Q354&lt;&gt;"Yes","",IF($S354="","(enter date)",_xlfn.LET(_xlpm.dn,IFERROR(_xlfn.XLOOKUP($S354,nrCDdate,nrCDnum),""),IF(_xlpm.dn="","(not a class day)",IFERROR(_xlfn.XLOOKUP(_xlpm.dn+cfgRetestClassDays,nrCDnum,nrCDdate),"")))))</f>
        <v/>
      </c>
      <c r="U354" s="15">
        <f>IF($Q354&lt;&gt;"Yes","",IF(COUNTIFS(nrES_PID,$D354,nrES_Code,$F354,nrES_Att,2)&gt;0,"Retested",IF(OR($T354="",NOT(ISNUMBER($T354))),"Pending",IF(TODAY()&gt;$T354,"OVERDUE","Due "&amp;TEXT($T354,"mm/dd")))))</f>
        <v/>
      </c>
      <c r="V354" s="14" t="n"/>
      <c r="W354" s="14" t="n"/>
    </row>
    <row r="355">
      <c r="B355" s="15">
        <f>IF($C355="","",$D355&amp;"-"&amp;$F355&amp;"-"&amp;$K355)</f>
        <v/>
      </c>
      <c r="C355" s="14" t="n"/>
      <c r="D355" s="15">
        <f>IF($C355="","",IFERROR(INDEX(rngCadetPIDs,MATCH($C355,rngCadetNames,0)),"?"))</f>
        <v/>
      </c>
      <c r="E355" s="15">
        <f>IF($D355="","",IFERROR(INDEX(nrCadetAgency,MATCH($D355,rngCadetPIDs,0)),""))</f>
        <v/>
      </c>
      <c r="F355" s="14" t="n"/>
      <c r="G355" s="15">
        <f>IF($F355="","",IFERROR(INDEX(rngEPname,MATCH($F355,rngEPcode,0)),"?"))</f>
        <v/>
      </c>
      <c r="H355" s="15">
        <f>IF($F355="","",IFERROR(INDEX(rngEPtype,MATCH($F355,rngEPcode,0)),"?"))</f>
        <v/>
      </c>
      <c r="I355" s="15">
        <f>IF($F355="","",IFERROR(INDEX(rngEPseq,MATCH($F355,rngEPcode,0)),""))</f>
        <v/>
      </c>
      <c r="J355" s="15">
        <f>IF($F355="","",IFERROR(INDEX(rngEPpass,MATCH($F355,rngEPcode,0)),cfgPassingScore))</f>
        <v/>
      </c>
      <c r="K355" s="14" t="n"/>
      <c r="L355" s="14" t="n"/>
      <c r="M355" s="15">
        <f>IF($C355="","",IF($L355="","",IF($K355=1,IF(COUNTIFS(nrES_PID,$D355,nrES_Code,$F355,nrES_Att,2)&gt;0,"",$L355),IF(COUNTIFS(nrES_PID,$D355,nrES_Code,$F355,nrES_Att,1)=0,$L355,IF($L355&gt;=$J355,cfgRetakeRecordedCap,SUMIFS(nrES_Raw,nrES_PID,$D355,nrES_Code,$F355,nrES_Att,1))))))</f>
        <v/>
      </c>
      <c r="N355" s="15">
        <f>IF($C355="","",IF($L355="","",IF($L355&gt;=$J355,"Yes","No")))</f>
        <v/>
      </c>
      <c r="O355" s="15">
        <f>IF($C355="","",IF($M355="","",IF($M355&gt;=$J355,"Yes","No")))</f>
        <v/>
      </c>
      <c r="P355" s="15">
        <f>IF($C355="","",IF($K355="","",IF(COUNTIFS(nrES_PID,$D355,nrES_Code,$F355,nrES_Att,"&gt;"&amp;$K355)=0,"Yes","No")))</f>
        <v/>
      </c>
      <c r="Q355" s="15">
        <f>IF($C355="","",IF($L355="","",IF(AND($K355=1,$L355&lt;$J355,COUNTIFS(nrES_PID,$D355,nrES_Code,$F355,nrES_Att,2)=0),"Yes","No")))</f>
        <v/>
      </c>
      <c r="R355" s="15">
        <f>IF($C355="","",IF($L355="","",IF(AND($K355=2,$L355&lt;$J355,COUNTIFS(nrES_PID,$D355,nrES_Code,$F355,nrES_Att,1)&gt;0),"Yes","No")))</f>
        <v/>
      </c>
      <c r="S355" s="16" t="n"/>
      <c r="T355" s="17">
        <f>IF($Q355&lt;&gt;"Yes","",IF($S355="","(enter date)",_xlfn.LET(_xlpm.dn,IFERROR(_xlfn.XLOOKUP($S355,nrCDdate,nrCDnum),""),IF(_xlpm.dn="","(not a class day)",IFERROR(_xlfn.XLOOKUP(_xlpm.dn+cfgRetestClassDays,nrCDnum,nrCDdate),"")))))</f>
        <v/>
      </c>
      <c r="U355" s="15">
        <f>IF($Q355&lt;&gt;"Yes","",IF(COUNTIFS(nrES_PID,$D355,nrES_Code,$F355,nrES_Att,2)&gt;0,"Retested",IF(OR($T355="",NOT(ISNUMBER($T355))),"Pending",IF(TODAY()&gt;$T355,"OVERDUE","Due "&amp;TEXT($T355,"mm/dd")))))</f>
        <v/>
      </c>
      <c r="V355" s="14" t="n"/>
      <c r="W355" s="14" t="n"/>
    </row>
    <row r="356">
      <c r="B356" s="15">
        <f>IF($C356="","",$D356&amp;"-"&amp;$F356&amp;"-"&amp;$K356)</f>
        <v/>
      </c>
      <c r="C356" s="14" t="n"/>
      <c r="D356" s="15">
        <f>IF($C356="","",IFERROR(INDEX(rngCadetPIDs,MATCH($C356,rngCadetNames,0)),"?"))</f>
        <v/>
      </c>
      <c r="E356" s="15">
        <f>IF($D356="","",IFERROR(INDEX(nrCadetAgency,MATCH($D356,rngCadetPIDs,0)),""))</f>
        <v/>
      </c>
      <c r="F356" s="14" t="n"/>
      <c r="G356" s="15">
        <f>IF($F356="","",IFERROR(INDEX(rngEPname,MATCH($F356,rngEPcode,0)),"?"))</f>
        <v/>
      </c>
      <c r="H356" s="15">
        <f>IF($F356="","",IFERROR(INDEX(rngEPtype,MATCH($F356,rngEPcode,0)),"?"))</f>
        <v/>
      </c>
      <c r="I356" s="15">
        <f>IF($F356="","",IFERROR(INDEX(rngEPseq,MATCH($F356,rngEPcode,0)),""))</f>
        <v/>
      </c>
      <c r="J356" s="15">
        <f>IF($F356="","",IFERROR(INDEX(rngEPpass,MATCH($F356,rngEPcode,0)),cfgPassingScore))</f>
        <v/>
      </c>
      <c r="K356" s="14" t="n"/>
      <c r="L356" s="14" t="n"/>
      <c r="M356" s="15">
        <f>IF($C356="","",IF($L356="","",IF($K356=1,IF(COUNTIFS(nrES_PID,$D356,nrES_Code,$F356,nrES_Att,2)&gt;0,"",$L356),IF(COUNTIFS(nrES_PID,$D356,nrES_Code,$F356,nrES_Att,1)=0,$L356,IF($L356&gt;=$J356,cfgRetakeRecordedCap,SUMIFS(nrES_Raw,nrES_PID,$D356,nrES_Code,$F356,nrES_Att,1))))))</f>
        <v/>
      </c>
      <c r="N356" s="15">
        <f>IF($C356="","",IF($L356="","",IF($L356&gt;=$J356,"Yes","No")))</f>
        <v/>
      </c>
      <c r="O356" s="15">
        <f>IF($C356="","",IF($M356="","",IF($M356&gt;=$J356,"Yes","No")))</f>
        <v/>
      </c>
      <c r="P356" s="15">
        <f>IF($C356="","",IF($K356="","",IF(COUNTIFS(nrES_PID,$D356,nrES_Code,$F356,nrES_Att,"&gt;"&amp;$K356)=0,"Yes","No")))</f>
        <v/>
      </c>
      <c r="Q356" s="15">
        <f>IF($C356="","",IF($L356="","",IF(AND($K356=1,$L356&lt;$J356,COUNTIFS(nrES_PID,$D356,nrES_Code,$F356,nrES_Att,2)=0),"Yes","No")))</f>
        <v/>
      </c>
      <c r="R356" s="15">
        <f>IF($C356="","",IF($L356="","",IF(AND($K356=2,$L356&lt;$J356,COUNTIFS(nrES_PID,$D356,nrES_Code,$F356,nrES_Att,1)&gt;0),"Yes","No")))</f>
        <v/>
      </c>
      <c r="S356" s="16" t="n"/>
      <c r="T356" s="17">
        <f>IF($Q356&lt;&gt;"Yes","",IF($S356="","(enter date)",_xlfn.LET(_xlpm.dn,IFERROR(_xlfn.XLOOKUP($S356,nrCDdate,nrCDnum),""),IF(_xlpm.dn="","(not a class day)",IFERROR(_xlfn.XLOOKUP(_xlpm.dn+cfgRetestClassDays,nrCDnum,nrCDdate),"")))))</f>
        <v/>
      </c>
      <c r="U356" s="15">
        <f>IF($Q356&lt;&gt;"Yes","",IF(COUNTIFS(nrES_PID,$D356,nrES_Code,$F356,nrES_Att,2)&gt;0,"Retested",IF(OR($T356="",NOT(ISNUMBER($T356))),"Pending",IF(TODAY()&gt;$T356,"OVERDUE","Due "&amp;TEXT($T356,"mm/dd")))))</f>
        <v/>
      </c>
      <c r="V356" s="14" t="n"/>
      <c r="W356" s="14" t="n"/>
    </row>
    <row r="357">
      <c r="B357" s="15">
        <f>IF($C357="","",$D357&amp;"-"&amp;$F357&amp;"-"&amp;$K357)</f>
        <v/>
      </c>
      <c r="C357" s="14" t="n"/>
      <c r="D357" s="15">
        <f>IF($C357="","",IFERROR(INDEX(rngCadetPIDs,MATCH($C357,rngCadetNames,0)),"?"))</f>
        <v/>
      </c>
      <c r="E357" s="15">
        <f>IF($D357="","",IFERROR(INDEX(nrCadetAgency,MATCH($D357,rngCadetPIDs,0)),""))</f>
        <v/>
      </c>
      <c r="F357" s="14" t="n"/>
      <c r="G357" s="15">
        <f>IF($F357="","",IFERROR(INDEX(rngEPname,MATCH($F357,rngEPcode,0)),"?"))</f>
        <v/>
      </c>
      <c r="H357" s="15">
        <f>IF($F357="","",IFERROR(INDEX(rngEPtype,MATCH($F357,rngEPcode,0)),"?"))</f>
        <v/>
      </c>
      <c r="I357" s="15">
        <f>IF($F357="","",IFERROR(INDEX(rngEPseq,MATCH($F357,rngEPcode,0)),""))</f>
        <v/>
      </c>
      <c r="J357" s="15">
        <f>IF($F357="","",IFERROR(INDEX(rngEPpass,MATCH($F357,rngEPcode,0)),cfgPassingScore))</f>
        <v/>
      </c>
      <c r="K357" s="14" t="n"/>
      <c r="L357" s="14" t="n"/>
      <c r="M357" s="15">
        <f>IF($C357="","",IF($L357="","",IF($K357=1,IF(COUNTIFS(nrES_PID,$D357,nrES_Code,$F357,nrES_Att,2)&gt;0,"",$L357),IF(COUNTIFS(nrES_PID,$D357,nrES_Code,$F357,nrES_Att,1)=0,$L357,IF($L357&gt;=$J357,cfgRetakeRecordedCap,SUMIFS(nrES_Raw,nrES_PID,$D357,nrES_Code,$F357,nrES_Att,1))))))</f>
        <v/>
      </c>
      <c r="N357" s="15">
        <f>IF($C357="","",IF($L357="","",IF($L357&gt;=$J357,"Yes","No")))</f>
        <v/>
      </c>
      <c r="O357" s="15">
        <f>IF($C357="","",IF($M357="","",IF($M357&gt;=$J357,"Yes","No")))</f>
        <v/>
      </c>
      <c r="P357" s="15">
        <f>IF($C357="","",IF($K357="","",IF(COUNTIFS(nrES_PID,$D357,nrES_Code,$F357,nrES_Att,"&gt;"&amp;$K357)=0,"Yes","No")))</f>
        <v/>
      </c>
      <c r="Q357" s="15">
        <f>IF($C357="","",IF($L357="","",IF(AND($K357=1,$L357&lt;$J357,COUNTIFS(nrES_PID,$D357,nrES_Code,$F357,nrES_Att,2)=0),"Yes","No")))</f>
        <v/>
      </c>
      <c r="R357" s="15">
        <f>IF($C357="","",IF($L357="","",IF(AND($K357=2,$L357&lt;$J357,COUNTIFS(nrES_PID,$D357,nrES_Code,$F357,nrES_Att,1)&gt;0),"Yes","No")))</f>
        <v/>
      </c>
      <c r="S357" s="16" t="n"/>
      <c r="T357" s="17">
        <f>IF($Q357&lt;&gt;"Yes","",IF($S357="","(enter date)",_xlfn.LET(_xlpm.dn,IFERROR(_xlfn.XLOOKUP($S357,nrCDdate,nrCDnum),""),IF(_xlpm.dn="","(not a class day)",IFERROR(_xlfn.XLOOKUP(_xlpm.dn+cfgRetestClassDays,nrCDnum,nrCDdate),"")))))</f>
        <v/>
      </c>
      <c r="U357" s="15">
        <f>IF($Q357&lt;&gt;"Yes","",IF(COUNTIFS(nrES_PID,$D357,nrES_Code,$F357,nrES_Att,2)&gt;0,"Retested",IF(OR($T357="",NOT(ISNUMBER($T357))),"Pending",IF(TODAY()&gt;$T357,"OVERDUE","Due "&amp;TEXT($T357,"mm/dd")))))</f>
        <v/>
      </c>
      <c r="V357" s="14" t="n"/>
      <c r="W357" s="14" t="n"/>
    </row>
    <row r="358">
      <c r="B358" s="15">
        <f>IF($C358="","",$D358&amp;"-"&amp;$F358&amp;"-"&amp;$K358)</f>
        <v/>
      </c>
      <c r="C358" s="14" t="n"/>
      <c r="D358" s="15">
        <f>IF($C358="","",IFERROR(INDEX(rngCadetPIDs,MATCH($C358,rngCadetNames,0)),"?"))</f>
        <v/>
      </c>
      <c r="E358" s="15">
        <f>IF($D358="","",IFERROR(INDEX(nrCadetAgency,MATCH($D358,rngCadetPIDs,0)),""))</f>
        <v/>
      </c>
      <c r="F358" s="14" t="n"/>
      <c r="G358" s="15">
        <f>IF($F358="","",IFERROR(INDEX(rngEPname,MATCH($F358,rngEPcode,0)),"?"))</f>
        <v/>
      </c>
      <c r="H358" s="15">
        <f>IF($F358="","",IFERROR(INDEX(rngEPtype,MATCH($F358,rngEPcode,0)),"?"))</f>
        <v/>
      </c>
      <c r="I358" s="15">
        <f>IF($F358="","",IFERROR(INDEX(rngEPseq,MATCH($F358,rngEPcode,0)),""))</f>
        <v/>
      </c>
      <c r="J358" s="15">
        <f>IF($F358="","",IFERROR(INDEX(rngEPpass,MATCH($F358,rngEPcode,0)),cfgPassingScore))</f>
        <v/>
      </c>
      <c r="K358" s="14" t="n"/>
      <c r="L358" s="14" t="n"/>
      <c r="M358" s="15">
        <f>IF($C358="","",IF($L358="","",IF($K358=1,IF(COUNTIFS(nrES_PID,$D358,nrES_Code,$F358,nrES_Att,2)&gt;0,"",$L358),IF(COUNTIFS(nrES_PID,$D358,nrES_Code,$F358,nrES_Att,1)=0,$L358,IF($L358&gt;=$J358,cfgRetakeRecordedCap,SUMIFS(nrES_Raw,nrES_PID,$D358,nrES_Code,$F358,nrES_Att,1))))))</f>
        <v/>
      </c>
      <c r="N358" s="15">
        <f>IF($C358="","",IF($L358="","",IF($L358&gt;=$J358,"Yes","No")))</f>
        <v/>
      </c>
      <c r="O358" s="15">
        <f>IF($C358="","",IF($M358="","",IF($M358&gt;=$J358,"Yes","No")))</f>
        <v/>
      </c>
      <c r="P358" s="15">
        <f>IF($C358="","",IF($K358="","",IF(COUNTIFS(nrES_PID,$D358,nrES_Code,$F358,nrES_Att,"&gt;"&amp;$K358)=0,"Yes","No")))</f>
        <v/>
      </c>
      <c r="Q358" s="15">
        <f>IF($C358="","",IF($L358="","",IF(AND($K358=1,$L358&lt;$J358,COUNTIFS(nrES_PID,$D358,nrES_Code,$F358,nrES_Att,2)=0),"Yes","No")))</f>
        <v/>
      </c>
      <c r="R358" s="15">
        <f>IF($C358="","",IF($L358="","",IF(AND($K358=2,$L358&lt;$J358,COUNTIFS(nrES_PID,$D358,nrES_Code,$F358,nrES_Att,1)&gt;0),"Yes","No")))</f>
        <v/>
      </c>
      <c r="S358" s="16" t="n"/>
      <c r="T358" s="17">
        <f>IF($Q358&lt;&gt;"Yes","",IF($S358="","(enter date)",_xlfn.LET(_xlpm.dn,IFERROR(_xlfn.XLOOKUP($S358,nrCDdate,nrCDnum),""),IF(_xlpm.dn="","(not a class day)",IFERROR(_xlfn.XLOOKUP(_xlpm.dn+cfgRetestClassDays,nrCDnum,nrCDdate),"")))))</f>
        <v/>
      </c>
      <c r="U358" s="15">
        <f>IF($Q358&lt;&gt;"Yes","",IF(COUNTIFS(nrES_PID,$D358,nrES_Code,$F358,nrES_Att,2)&gt;0,"Retested",IF(OR($T358="",NOT(ISNUMBER($T358))),"Pending",IF(TODAY()&gt;$T358,"OVERDUE","Due "&amp;TEXT($T358,"mm/dd")))))</f>
        <v/>
      </c>
      <c r="V358" s="14" t="n"/>
      <c r="W358" s="14" t="n"/>
    </row>
    <row r="359">
      <c r="B359" s="15">
        <f>IF($C359="","",$D359&amp;"-"&amp;$F359&amp;"-"&amp;$K359)</f>
        <v/>
      </c>
      <c r="C359" s="14" t="n"/>
      <c r="D359" s="15">
        <f>IF($C359="","",IFERROR(INDEX(rngCadetPIDs,MATCH($C359,rngCadetNames,0)),"?"))</f>
        <v/>
      </c>
      <c r="E359" s="15">
        <f>IF($D359="","",IFERROR(INDEX(nrCadetAgency,MATCH($D359,rngCadetPIDs,0)),""))</f>
        <v/>
      </c>
      <c r="F359" s="14" t="n"/>
      <c r="G359" s="15">
        <f>IF($F359="","",IFERROR(INDEX(rngEPname,MATCH($F359,rngEPcode,0)),"?"))</f>
        <v/>
      </c>
      <c r="H359" s="15">
        <f>IF($F359="","",IFERROR(INDEX(rngEPtype,MATCH($F359,rngEPcode,0)),"?"))</f>
        <v/>
      </c>
      <c r="I359" s="15">
        <f>IF($F359="","",IFERROR(INDEX(rngEPseq,MATCH($F359,rngEPcode,0)),""))</f>
        <v/>
      </c>
      <c r="J359" s="15">
        <f>IF($F359="","",IFERROR(INDEX(rngEPpass,MATCH($F359,rngEPcode,0)),cfgPassingScore))</f>
        <v/>
      </c>
      <c r="K359" s="14" t="n"/>
      <c r="L359" s="14" t="n"/>
      <c r="M359" s="15">
        <f>IF($C359="","",IF($L359="","",IF($K359=1,IF(COUNTIFS(nrES_PID,$D359,nrES_Code,$F359,nrES_Att,2)&gt;0,"",$L359),IF(COUNTIFS(nrES_PID,$D359,nrES_Code,$F359,nrES_Att,1)=0,$L359,IF($L359&gt;=$J359,cfgRetakeRecordedCap,SUMIFS(nrES_Raw,nrES_PID,$D359,nrES_Code,$F359,nrES_Att,1))))))</f>
        <v/>
      </c>
      <c r="N359" s="15">
        <f>IF($C359="","",IF($L359="","",IF($L359&gt;=$J359,"Yes","No")))</f>
        <v/>
      </c>
      <c r="O359" s="15">
        <f>IF($C359="","",IF($M359="","",IF($M359&gt;=$J359,"Yes","No")))</f>
        <v/>
      </c>
      <c r="P359" s="15">
        <f>IF($C359="","",IF($K359="","",IF(COUNTIFS(nrES_PID,$D359,nrES_Code,$F359,nrES_Att,"&gt;"&amp;$K359)=0,"Yes","No")))</f>
        <v/>
      </c>
      <c r="Q359" s="15">
        <f>IF($C359="","",IF($L359="","",IF(AND($K359=1,$L359&lt;$J359,COUNTIFS(nrES_PID,$D359,nrES_Code,$F359,nrES_Att,2)=0),"Yes","No")))</f>
        <v/>
      </c>
      <c r="R359" s="15">
        <f>IF($C359="","",IF($L359="","",IF(AND($K359=2,$L359&lt;$J359,COUNTIFS(nrES_PID,$D359,nrES_Code,$F359,nrES_Att,1)&gt;0),"Yes","No")))</f>
        <v/>
      </c>
      <c r="S359" s="16" t="n"/>
      <c r="T359" s="17">
        <f>IF($Q359&lt;&gt;"Yes","",IF($S359="","(enter date)",_xlfn.LET(_xlpm.dn,IFERROR(_xlfn.XLOOKUP($S359,nrCDdate,nrCDnum),""),IF(_xlpm.dn="","(not a class day)",IFERROR(_xlfn.XLOOKUP(_xlpm.dn+cfgRetestClassDays,nrCDnum,nrCDdate),"")))))</f>
        <v/>
      </c>
      <c r="U359" s="15">
        <f>IF($Q359&lt;&gt;"Yes","",IF(COUNTIFS(nrES_PID,$D359,nrES_Code,$F359,nrES_Att,2)&gt;0,"Retested",IF(OR($T359="",NOT(ISNUMBER($T359))),"Pending",IF(TODAY()&gt;$T359,"OVERDUE","Due "&amp;TEXT($T359,"mm/dd")))))</f>
        <v/>
      </c>
      <c r="V359" s="14" t="n"/>
      <c r="W359" s="14" t="n"/>
    </row>
    <row r="360">
      <c r="B360" s="15">
        <f>IF($C360="","",$D360&amp;"-"&amp;$F360&amp;"-"&amp;$K360)</f>
        <v/>
      </c>
      <c r="C360" s="14" t="n"/>
      <c r="D360" s="15">
        <f>IF($C360="","",IFERROR(INDEX(rngCadetPIDs,MATCH($C360,rngCadetNames,0)),"?"))</f>
        <v/>
      </c>
      <c r="E360" s="15">
        <f>IF($D360="","",IFERROR(INDEX(nrCadetAgency,MATCH($D360,rngCadetPIDs,0)),""))</f>
        <v/>
      </c>
      <c r="F360" s="14" t="n"/>
      <c r="G360" s="15">
        <f>IF($F360="","",IFERROR(INDEX(rngEPname,MATCH($F360,rngEPcode,0)),"?"))</f>
        <v/>
      </c>
      <c r="H360" s="15">
        <f>IF($F360="","",IFERROR(INDEX(rngEPtype,MATCH($F360,rngEPcode,0)),"?"))</f>
        <v/>
      </c>
      <c r="I360" s="15">
        <f>IF($F360="","",IFERROR(INDEX(rngEPseq,MATCH($F360,rngEPcode,0)),""))</f>
        <v/>
      </c>
      <c r="J360" s="15">
        <f>IF($F360="","",IFERROR(INDEX(rngEPpass,MATCH($F360,rngEPcode,0)),cfgPassingScore))</f>
        <v/>
      </c>
      <c r="K360" s="14" t="n"/>
      <c r="L360" s="14" t="n"/>
      <c r="M360" s="15">
        <f>IF($C360="","",IF($L360="","",IF($K360=1,IF(COUNTIFS(nrES_PID,$D360,nrES_Code,$F360,nrES_Att,2)&gt;0,"",$L360),IF(COUNTIFS(nrES_PID,$D360,nrES_Code,$F360,nrES_Att,1)=0,$L360,IF($L360&gt;=$J360,cfgRetakeRecordedCap,SUMIFS(nrES_Raw,nrES_PID,$D360,nrES_Code,$F360,nrES_Att,1))))))</f>
        <v/>
      </c>
      <c r="N360" s="15">
        <f>IF($C360="","",IF($L360="","",IF($L360&gt;=$J360,"Yes","No")))</f>
        <v/>
      </c>
      <c r="O360" s="15">
        <f>IF($C360="","",IF($M360="","",IF($M360&gt;=$J360,"Yes","No")))</f>
        <v/>
      </c>
      <c r="P360" s="15">
        <f>IF($C360="","",IF($K360="","",IF(COUNTIFS(nrES_PID,$D360,nrES_Code,$F360,nrES_Att,"&gt;"&amp;$K360)=0,"Yes","No")))</f>
        <v/>
      </c>
      <c r="Q360" s="15">
        <f>IF($C360="","",IF($L360="","",IF(AND($K360=1,$L360&lt;$J360,COUNTIFS(nrES_PID,$D360,nrES_Code,$F360,nrES_Att,2)=0),"Yes","No")))</f>
        <v/>
      </c>
      <c r="R360" s="15">
        <f>IF($C360="","",IF($L360="","",IF(AND($K360=2,$L360&lt;$J360,COUNTIFS(nrES_PID,$D360,nrES_Code,$F360,nrES_Att,1)&gt;0),"Yes","No")))</f>
        <v/>
      </c>
      <c r="S360" s="16" t="n"/>
      <c r="T360" s="17">
        <f>IF($Q360&lt;&gt;"Yes","",IF($S360="","(enter date)",_xlfn.LET(_xlpm.dn,IFERROR(_xlfn.XLOOKUP($S360,nrCDdate,nrCDnum),""),IF(_xlpm.dn="","(not a class day)",IFERROR(_xlfn.XLOOKUP(_xlpm.dn+cfgRetestClassDays,nrCDnum,nrCDdate),"")))))</f>
        <v/>
      </c>
      <c r="U360" s="15">
        <f>IF($Q360&lt;&gt;"Yes","",IF(COUNTIFS(nrES_PID,$D360,nrES_Code,$F360,nrES_Att,2)&gt;0,"Retested",IF(OR($T360="",NOT(ISNUMBER($T360))),"Pending",IF(TODAY()&gt;$T360,"OVERDUE","Due "&amp;TEXT($T360,"mm/dd")))))</f>
        <v/>
      </c>
      <c r="V360" s="14" t="n"/>
      <c r="W360" s="14" t="n"/>
    </row>
    <row r="361">
      <c r="B361" s="15">
        <f>IF($C361="","",$D361&amp;"-"&amp;$F361&amp;"-"&amp;$K361)</f>
        <v/>
      </c>
      <c r="C361" s="14" t="n"/>
      <c r="D361" s="15">
        <f>IF($C361="","",IFERROR(INDEX(rngCadetPIDs,MATCH($C361,rngCadetNames,0)),"?"))</f>
        <v/>
      </c>
      <c r="E361" s="15">
        <f>IF($D361="","",IFERROR(INDEX(nrCadetAgency,MATCH($D361,rngCadetPIDs,0)),""))</f>
        <v/>
      </c>
      <c r="F361" s="14" t="n"/>
      <c r="G361" s="15">
        <f>IF($F361="","",IFERROR(INDEX(rngEPname,MATCH($F361,rngEPcode,0)),"?"))</f>
        <v/>
      </c>
      <c r="H361" s="15">
        <f>IF($F361="","",IFERROR(INDEX(rngEPtype,MATCH($F361,rngEPcode,0)),"?"))</f>
        <v/>
      </c>
      <c r="I361" s="15">
        <f>IF($F361="","",IFERROR(INDEX(rngEPseq,MATCH($F361,rngEPcode,0)),""))</f>
        <v/>
      </c>
      <c r="J361" s="15">
        <f>IF($F361="","",IFERROR(INDEX(rngEPpass,MATCH($F361,rngEPcode,0)),cfgPassingScore))</f>
        <v/>
      </c>
      <c r="K361" s="14" t="n"/>
      <c r="L361" s="14" t="n"/>
      <c r="M361" s="15">
        <f>IF($C361="","",IF($L361="","",IF($K361=1,IF(COUNTIFS(nrES_PID,$D361,nrES_Code,$F361,nrES_Att,2)&gt;0,"",$L361),IF(COUNTIFS(nrES_PID,$D361,nrES_Code,$F361,nrES_Att,1)=0,$L361,IF($L361&gt;=$J361,cfgRetakeRecordedCap,SUMIFS(nrES_Raw,nrES_PID,$D361,nrES_Code,$F361,nrES_Att,1))))))</f>
        <v/>
      </c>
      <c r="N361" s="15">
        <f>IF($C361="","",IF($L361="","",IF($L361&gt;=$J361,"Yes","No")))</f>
        <v/>
      </c>
      <c r="O361" s="15">
        <f>IF($C361="","",IF($M361="","",IF($M361&gt;=$J361,"Yes","No")))</f>
        <v/>
      </c>
      <c r="P361" s="15">
        <f>IF($C361="","",IF($K361="","",IF(COUNTIFS(nrES_PID,$D361,nrES_Code,$F361,nrES_Att,"&gt;"&amp;$K361)=0,"Yes","No")))</f>
        <v/>
      </c>
      <c r="Q361" s="15">
        <f>IF($C361="","",IF($L361="","",IF(AND($K361=1,$L361&lt;$J361,COUNTIFS(nrES_PID,$D361,nrES_Code,$F361,nrES_Att,2)=0),"Yes","No")))</f>
        <v/>
      </c>
      <c r="R361" s="15">
        <f>IF($C361="","",IF($L361="","",IF(AND($K361=2,$L361&lt;$J361,COUNTIFS(nrES_PID,$D361,nrES_Code,$F361,nrES_Att,1)&gt;0),"Yes","No")))</f>
        <v/>
      </c>
      <c r="S361" s="16" t="n"/>
      <c r="T361" s="17">
        <f>IF($Q361&lt;&gt;"Yes","",IF($S361="","(enter date)",_xlfn.LET(_xlpm.dn,IFERROR(_xlfn.XLOOKUP($S361,nrCDdate,nrCDnum),""),IF(_xlpm.dn="","(not a class day)",IFERROR(_xlfn.XLOOKUP(_xlpm.dn+cfgRetestClassDays,nrCDnum,nrCDdate),"")))))</f>
        <v/>
      </c>
      <c r="U361" s="15">
        <f>IF($Q361&lt;&gt;"Yes","",IF(COUNTIFS(nrES_PID,$D361,nrES_Code,$F361,nrES_Att,2)&gt;0,"Retested",IF(OR($T361="",NOT(ISNUMBER($T361))),"Pending",IF(TODAY()&gt;$T361,"OVERDUE","Due "&amp;TEXT($T361,"mm/dd")))))</f>
        <v/>
      </c>
      <c r="V361" s="14" t="n"/>
      <c r="W361" s="14" t="n"/>
    </row>
    <row r="362">
      <c r="B362" s="15">
        <f>IF($C362="","",$D362&amp;"-"&amp;$F362&amp;"-"&amp;$K362)</f>
        <v/>
      </c>
      <c r="C362" s="14" t="n"/>
      <c r="D362" s="15">
        <f>IF($C362="","",IFERROR(INDEX(rngCadetPIDs,MATCH($C362,rngCadetNames,0)),"?"))</f>
        <v/>
      </c>
      <c r="E362" s="15">
        <f>IF($D362="","",IFERROR(INDEX(nrCadetAgency,MATCH($D362,rngCadetPIDs,0)),""))</f>
        <v/>
      </c>
      <c r="F362" s="14" t="n"/>
      <c r="G362" s="15">
        <f>IF($F362="","",IFERROR(INDEX(rngEPname,MATCH($F362,rngEPcode,0)),"?"))</f>
        <v/>
      </c>
      <c r="H362" s="15">
        <f>IF($F362="","",IFERROR(INDEX(rngEPtype,MATCH($F362,rngEPcode,0)),"?"))</f>
        <v/>
      </c>
      <c r="I362" s="15">
        <f>IF($F362="","",IFERROR(INDEX(rngEPseq,MATCH($F362,rngEPcode,0)),""))</f>
        <v/>
      </c>
      <c r="J362" s="15">
        <f>IF($F362="","",IFERROR(INDEX(rngEPpass,MATCH($F362,rngEPcode,0)),cfgPassingScore))</f>
        <v/>
      </c>
      <c r="K362" s="14" t="n"/>
      <c r="L362" s="14" t="n"/>
      <c r="M362" s="15">
        <f>IF($C362="","",IF($L362="","",IF($K362=1,IF(COUNTIFS(nrES_PID,$D362,nrES_Code,$F362,nrES_Att,2)&gt;0,"",$L362),IF(COUNTIFS(nrES_PID,$D362,nrES_Code,$F362,nrES_Att,1)=0,$L362,IF($L362&gt;=$J362,cfgRetakeRecordedCap,SUMIFS(nrES_Raw,nrES_PID,$D362,nrES_Code,$F362,nrES_Att,1))))))</f>
        <v/>
      </c>
      <c r="N362" s="15">
        <f>IF($C362="","",IF($L362="","",IF($L362&gt;=$J362,"Yes","No")))</f>
        <v/>
      </c>
      <c r="O362" s="15">
        <f>IF($C362="","",IF($M362="","",IF($M362&gt;=$J362,"Yes","No")))</f>
        <v/>
      </c>
      <c r="P362" s="15">
        <f>IF($C362="","",IF($K362="","",IF(COUNTIFS(nrES_PID,$D362,nrES_Code,$F362,nrES_Att,"&gt;"&amp;$K362)=0,"Yes","No")))</f>
        <v/>
      </c>
      <c r="Q362" s="15">
        <f>IF($C362="","",IF($L362="","",IF(AND($K362=1,$L362&lt;$J362,COUNTIFS(nrES_PID,$D362,nrES_Code,$F362,nrES_Att,2)=0),"Yes","No")))</f>
        <v/>
      </c>
      <c r="R362" s="15">
        <f>IF($C362="","",IF($L362="","",IF(AND($K362=2,$L362&lt;$J362,COUNTIFS(nrES_PID,$D362,nrES_Code,$F362,nrES_Att,1)&gt;0),"Yes","No")))</f>
        <v/>
      </c>
      <c r="S362" s="16" t="n"/>
      <c r="T362" s="17">
        <f>IF($Q362&lt;&gt;"Yes","",IF($S362="","(enter date)",_xlfn.LET(_xlpm.dn,IFERROR(_xlfn.XLOOKUP($S362,nrCDdate,nrCDnum),""),IF(_xlpm.dn="","(not a class day)",IFERROR(_xlfn.XLOOKUP(_xlpm.dn+cfgRetestClassDays,nrCDnum,nrCDdate),"")))))</f>
        <v/>
      </c>
      <c r="U362" s="15">
        <f>IF($Q362&lt;&gt;"Yes","",IF(COUNTIFS(nrES_PID,$D362,nrES_Code,$F362,nrES_Att,2)&gt;0,"Retested",IF(OR($T362="",NOT(ISNUMBER($T362))),"Pending",IF(TODAY()&gt;$T362,"OVERDUE","Due "&amp;TEXT($T362,"mm/dd")))))</f>
        <v/>
      </c>
      <c r="V362" s="14" t="n"/>
      <c r="W362" s="14" t="n"/>
    </row>
    <row r="363">
      <c r="B363" s="15">
        <f>IF($C363="","",$D363&amp;"-"&amp;$F363&amp;"-"&amp;$K363)</f>
        <v/>
      </c>
      <c r="C363" s="14" t="n"/>
      <c r="D363" s="15">
        <f>IF($C363="","",IFERROR(INDEX(rngCadetPIDs,MATCH($C363,rngCadetNames,0)),"?"))</f>
        <v/>
      </c>
      <c r="E363" s="15">
        <f>IF($D363="","",IFERROR(INDEX(nrCadetAgency,MATCH($D363,rngCadetPIDs,0)),""))</f>
        <v/>
      </c>
      <c r="F363" s="14" t="n"/>
      <c r="G363" s="15">
        <f>IF($F363="","",IFERROR(INDEX(rngEPname,MATCH($F363,rngEPcode,0)),"?"))</f>
        <v/>
      </c>
      <c r="H363" s="15">
        <f>IF($F363="","",IFERROR(INDEX(rngEPtype,MATCH($F363,rngEPcode,0)),"?"))</f>
        <v/>
      </c>
      <c r="I363" s="15">
        <f>IF($F363="","",IFERROR(INDEX(rngEPseq,MATCH($F363,rngEPcode,0)),""))</f>
        <v/>
      </c>
      <c r="J363" s="15">
        <f>IF($F363="","",IFERROR(INDEX(rngEPpass,MATCH($F363,rngEPcode,0)),cfgPassingScore))</f>
        <v/>
      </c>
      <c r="K363" s="14" t="n"/>
      <c r="L363" s="14" t="n"/>
      <c r="M363" s="15">
        <f>IF($C363="","",IF($L363="","",IF($K363=1,IF(COUNTIFS(nrES_PID,$D363,nrES_Code,$F363,nrES_Att,2)&gt;0,"",$L363),IF(COUNTIFS(nrES_PID,$D363,nrES_Code,$F363,nrES_Att,1)=0,$L363,IF($L363&gt;=$J363,cfgRetakeRecordedCap,SUMIFS(nrES_Raw,nrES_PID,$D363,nrES_Code,$F363,nrES_Att,1))))))</f>
        <v/>
      </c>
      <c r="N363" s="15">
        <f>IF($C363="","",IF($L363="","",IF($L363&gt;=$J363,"Yes","No")))</f>
        <v/>
      </c>
      <c r="O363" s="15">
        <f>IF($C363="","",IF($M363="","",IF($M363&gt;=$J363,"Yes","No")))</f>
        <v/>
      </c>
      <c r="P363" s="15">
        <f>IF($C363="","",IF($K363="","",IF(COUNTIFS(nrES_PID,$D363,nrES_Code,$F363,nrES_Att,"&gt;"&amp;$K363)=0,"Yes","No")))</f>
        <v/>
      </c>
      <c r="Q363" s="15">
        <f>IF($C363="","",IF($L363="","",IF(AND($K363=1,$L363&lt;$J363,COUNTIFS(nrES_PID,$D363,nrES_Code,$F363,nrES_Att,2)=0),"Yes","No")))</f>
        <v/>
      </c>
      <c r="R363" s="15">
        <f>IF($C363="","",IF($L363="","",IF(AND($K363=2,$L363&lt;$J363,COUNTIFS(nrES_PID,$D363,nrES_Code,$F363,nrES_Att,1)&gt;0),"Yes","No")))</f>
        <v/>
      </c>
      <c r="S363" s="16" t="n"/>
      <c r="T363" s="17">
        <f>IF($Q363&lt;&gt;"Yes","",IF($S363="","(enter date)",_xlfn.LET(_xlpm.dn,IFERROR(_xlfn.XLOOKUP($S363,nrCDdate,nrCDnum),""),IF(_xlpm.dn="","(not a class day)",IFERROR(_xlfn.XLOOKUP(_xlpm.dn+cfgRetestClassDays,nrCDnum,nrCDdate),"")))))</f>
        <v/>
      </c>
      <c r="U363" s="15">
        <f>IF($Q363&lt;&gt;"Yes","",IF(COUNTIFS(nrES_PID,$D363,nrES_Code,$F363,nrES_Att,2)&gt;0,"Retested",IF(OR($T363="",NOT(ISNUMBER($T363))),"Pending",IF(TODAY()&gt;$T363,"OVERDUE","Due "&amp;TEXT($T363,"mm/dd")))))</f>
        <v/>
      </c>
      <c r="V363" s="14" t="n"/>
      <c r="W363" s="14" t="n"/>
    </row>
    <row r="364">
      <c r="B364" s="15">
        <f>IF($C364="","",$D364&amp;"-"&amp;$F364&amp;"-"&amp;$K364)</f>
        <v/>
      </c>
      <c r="C364" s="14" t="n"/>
      <c r="D364" s="15">
        <f>IF($C364="","",IFERROR(INDEX(rngCadetPIDs,MATCH($C364,rngCadetNames,0)),"?"))</f>
        <v/>
      </c>
      <c r="E364" s="15">
        <f>IF($D364="","",IFERROR(INDEX(nrCadetAgency,MATCH($D364,rngCadetPIDs,0)),""))</f>
        <v/>
      </c>
      <c r="F364" s="14" t="n"/>
      <c r="G364" s="15">
        <f>IF($F364="","",IFERROR(INDEX(rngEPname,MATCH($F364,rngEPcode,0)),"?"))</f>
        <v/>
      </c>
      <c r="H364" s="15">
        <f>IF($F364="","",IFERROR(INDEX(rngEPtype,MATCH($F364,rngEPcode,0)),"?"))</f>
        <v/>
      </c>
      <c r="I364" s="15">
        <f>IF($F364="","",IFERROR(INDEX(rngEPseq,MATCH($F364,rngEPcode,0)),""))</f>
        <v/>
      </c>
      <c r="J364" s="15">
        <f>IF($F364="","",IFERROR(INDEX(rngEPpass,MATCH($F364,rngEPcode,0)),cfgPassingScore))</f>
        <v/>
      </c>
      <c r="K364" s="14" t="n"/>
      <c r="L364" s="14" t="n"/>
      <c r="M364" s="15">
        <f>IF($C364="","",IF($L364="","",IF($K364=1,IF(COUNTIFS(nrES_PID,$D364,nrES_Code,$F364,nrES_Att,2)&gt;0,"",$L364),IF(COUNTIFS(nrES_PID,$D364,nrES_Code,$F364,nrES_Att,1)=0,$L364,IF($L364&gt;=$J364,cfgRetakeRecordedCap,SUMIFS(nrES_Raw,nrES_PID,$D364,nrES_Code,$F364,nrES_Att,1))))))</f>
        <v/>
      </c>
      <c r="N364" s="15">
        <f>IF($C364="","",IF($L364="","",IF($L364&gt;=$J364,"Yes","No")))</f>
        <v/>
      </c>
      <c r="O364" s="15">
        <f>IF($C364="","",IF($M364="","",IF($M364&gt;=$J364,"Yes","No")))</f>
        <v/>
      </c>
      <c r="P364" s="15">
        <f>IF($C364="","",IF($K364="","",IF(COUNTIFS(nrES_PID,$D364,nrES_Code,$F364,nrES_Att,"&gt;"&amp;$K364)=0,"Yes","No")))</f>
        <v/>
      </c>
      <c r="Q364" s="15">
        <f>IF($C364="","",IF($L364="","",IF(AND($K364=1,$L364&lt;$J364,COUNTIFS(nrES_PID,$D364,nrES_Code,$F364,nrES_Att,2)=0),"Yes","No")))</f>
        <v/>
      </c>
      <c r="R364" s="15">
        <f>IF($C364="","",IF($L364="","",IF(AND($K364=2,$L364&lt;$J364,COUNTIFS(nrES_PID,$D364,nrES_Code,$F364,nrES_Att,1)&gt;0),"Yes","No")))</f>
        <v/>
      </c>
      <c r="S364" s="16" t="n"/>
      <c r="T364" s="17">
        <f>IF($Q364&lt;&gt;"Yes","",IF($S364="","(enter date)",_xlfn.LET(_xlpm.dn,IFERROR(_xlfn.XLOOKUP($S364,nrCDdate,nrCDnum),""),IF(_xlpm.dn="","(not a class day)",IFERROR(_xlfn.XLOOKUP(_xlpm.dn+cfgRetestClassDays,nrCDnum,nrCDdate),"")))))</f>
        <v/>
      </c>
      <c r="U364" s="15">
        <f>IF($Q364&lt;&gt;"Yes","",IF(COUNTIFS(nrES_PID,$D364,nrES_Code,$F364,nrES_Att,2)&gt;0,"Retested",IF(OR($T364="",NOT(ISNUMBER($T364))),"Pending",IF(TODAY()&gt;$T364,"OVERDUE","Due "&amp;TEXT($T364,"mm/dd")))))</f>
        <v/>
      </c>
      <c r="V364" s="14" t="n"/>
      <c r="W364" s="14" t="n"/>
    </row>
    <row r="365">
      <c r="B365" s="15">
        <f>IF($C365="","",$D365&amp;"-"&amp;$F365&amp;"-"&amp;$K365)</f>
        <v/>
      </c>
      <c r="C365" s="14" t="n"/>
      <c r="D365" s="15">
        <f>IF($C365="","",IFERROR(INDEX(rngCadetPIDs,MATCH($C365,rngCadetNames,0)),"?"))</f>
        <v/>
      </c>
      <c r="E365" s="15">
        <f>IF($D365="","",IFERROR(INDEX(nrCadetAgency,MATCH($D365,rngCadetPIDs,0)),""))</f>
        <v/>
      </c>
      <c r="F365" s="14" t="n"/>
      <c r="G365" s="15">
        <f>IF($F365="","",IFERROR(INDEX(rngEPname,MATCH($F365,rngEPcode,0)),"?"))</f>
        <v/>
      </c>
      <c r="H365" s="15">
        <f>IF($F365="","",IFERROR(INDEX(rngEPtype,MATCH($F365,rngEPcode,0)),"?"))</f>
        <v/>
      </c>
      <c r="I365" s="15">
        <f>IF($F365="","",IFERROR(INDEX(rngEPseq,MATCH($F365,rngEPcode,0)),""))</f>
        <v/>
      </c>
      <c r="J365" s="15">
        <f>IF($F365="","",IFERROR(INDEX(rngEPpass,MATCH($F365,rngEPcode,0)),cfgPassingScore))</f>
        <v/>
      </c>
      <c r="K365" s="14" t="n"/>
      <c r="L365" s="14" t="n"/>
      <c r="M365" s="15">
        <f>IF($C365="","",IF($L365="","",IF($K365=1,IF(COUNTIFS(nrES_PID,$D365,nrES_Code,$F365,nrES_Att,2)&gt;0,"",$L365),IF(COUNTIFS(nrES_PID,$D365,nrES_Code,$F365,nrES_Att,1)=0,$L365,IF($L365&gt;=$J365,cfgRetakeRecordedCap,SUMIFS(nrES_Raw,nrES_PID,$D365,nrES_Code,$F365,nrES_Att,1))))))</f>
        <v/>
      </c>
      <c r="N365" s="15">
        <f>IF($C365="","",IF($L365="","",IF($L365&gt;=$J365,"Yes","No")))</f>
        <v/>
      </c>
      <c r="O365" s="15">
        <f>IF($C365="","",IF($M365="","",IF($M365&gt;=$J365,"Yes","No")))</f>
        <v/>
      </c>
      <c r="P365" s="15">
        <f>IF($C365="","",IF($K365="","",IF(COUNTIFS(nrES_PID,$D365,nrES_Code,$F365,nrES_Att,"&gt;"&amp;$K365)=0,"Yes","No")))</f>
        <v/>
      </c>
      <c r="Q365" s="15">
        <f>IF($C365="","",IF($L365="","",IF(AND($K365=1,$L365&lt;$J365,COUNTIFS(nrES_PID,$D365,nrES_Code,$F365,nrES_Att,2)=0),"Yes","No")))</f>
        <v/>
      </c>
      <c r="R365" s="15">
        <f>IF($C365="","",IF($L365="","",IF(AND($K365=2,$L365&lt;$J365,COUNTIFS(nrES_PID,$D365,nrES_Code,$F365,nrES_Att,1)&gt;0),"Yes","No")))</f>
        <v/>
      </c>
      <c r="S365" s="16" t="n"/>
      <c r="T365" s="17">
        <f>IF($Q365&lt;&gt;"Yes","",IF($S365="","(enter date)",_xlfn.LET(_xlpm.dn,IFERROR(_xlfn.XLOOKUP($S365,nrCDdate,nrCDnum),""),IF(_xlpm.dn="","(not a class day)",IFERROR(_xlfn.XLOOKUP(_xlpm.dn+cfgRetestClassDays,nrCDnum,nrCDdate),"")))))</f>
        <v/>
      </c>
      <c r="U365" s="15">
        <f>IF($Q365&lt;&gt;"Yes","",IF(COUNTIFS(nrES_PID,$D365,nrES_Code,$F365,nrES_Att,2)&gt;0,"Retested",IF(OR($T365="",NOT(ISNUMBER($T365))),"Pending",IF(TODAY()&gt;$T365,"OVERDUE","Due "&amp;TEXT($T365,"mm/dd")))))</f>
        <v/>
      </c>
      <c r="V365" s="14" t="n"/>
      <c r="W365" s="14" t="n"/>
    </row>
    <row r="366">
      <c r="B366" s="15">
        <f>IF($C366="","",$D366&amp;"-"&amp;$F366&amp;"-"&amp;$K366)</f>
        <v/>
      </c>
      <c r="C366" s="14" t="n"/>
      <c r="D366" s="15">
        <f>IF($C366="","",IFERROR(INDEX(rngCadetPIDs,MATCH($C366,rngCadetNames,0)),"?"))</f>
        <v/>
      </c>
      <c r="E366" s="15">
        <f>IF($D366="","",IFERROR(INDEX(nrCadetAgency,MATCH($D366,rngCadetPIDs,0)),""))</f>
        <v/>
      </c>
      <c r="F366" s="14" t="n"/>
      <c r="G366" s="15">
        <f>IF($F366="","",IFERROR(INDEX(rngEPname,MATCH($F366,rngEPcode,0)),"?"))</f>
        <v/>
      </c>
      <c r="H366" s="15">
        <f>IF($F366="","",IFERROR(INDEX(rngEPtype,MATCH($F366,rngEPcode,0)),"?"))</f>
        <v/>
      </c>
      <c r="I366" s="15">
        <f>IF($F366="","",IFERROR(INDEX(rngEPseq,MATCH($F366,rngEPcode,0)),""))</f>
        <v/>
      </c>
      <c r="J366" s="15">
        <f>IF($F366="","",IFERROR(INDEX(rngEPpass,MATCH($F366,rngEPcode,0)),cfgPassingScore))</f>
        <v/>
      </c>
      <c r="K366" s="14" t="n"/>
      <c r="L366" s="14" t="n"/>
      <c r="M366" s="15">
        <f>IF($C366="","",IF($L366="","",IF($K366=1,IF(COUNTIFS(nrES_PID,$D366,nrES_Code,$F366,nrES_Att,2)&gt;0,"",$L366),IF(COUNTIFS(nrES_PID,$D366,nrES_Code,$F366,nrES_Att,1)=0,$L366,IF($L366&gt;=$J366,cfgRetakeRecordedCap,SUMIFS(nrES_Raw,nrES_PID,$D366,nrES_Code,$F366,nrES_Att,1))))))</f>
        <v/>
      </c>
      <c r="N366" s="15">
        <f>IF($C366="","",IF($L366="","",IF($L366&gt;=$J366,"Yes","No")))</f>
        <v/>
      </c>
      <c r="O366" s="15">
        <f>IF($C366="","",IF($M366="","",IF($M366&gt;=$J366,"Yes","No")))</f>
        <v/>
      </c>
      <c r="P366" s="15">
        <f>IF($C366="","",IF($K366="","",IF(COUNTIFS(nrES_PID,$D366,nrES_Code,$F366,nrES_Att,"&gt;"&amp;$K366)=0,"Yes","No")))</f>
        <v/>
      </c>
      <c r="Q366" s="15">
        <f>IF($C366="","",IF($L366="","",IF(AND($K366=1,$L366&lt;$J366,COUNTIFS(nrES_PID,$D366,nrES_Code,$F366,nrES_Att,2)=0),"Yes","No")))</f>
        <v/>
      </c>
      <c r="R366" s="15">
        <f>IF($C366="","",IF($L366="","",IF(AND($K366=2,$L366&lt;$J366,COUNTIFS(nrES_PID,$D366,nrES_Code,$F366,nrES_Att,1)&gt;0),"Yes","No")))</f>
        <v/>
      </c>
      <c r="S366" s="16" t="n"/>
      <c r="T366" s="17">
        <f>IF($Q366&lt;&gt;"Yes","",IF($S366="","(enter date)",_xlfn.LET(_xlpm.dn,IFERROR(_xlfn.XLOOKUP($S366,nrCDdate,nrCDnum),""),IF(_xlpm.dn="","(not a class day)",IFERROR(_xlfn.XLOOKUP(_xlpm.dn+cfgRetestClassDays,nrCDnum,nrCDdate),"")))))</f>
        <v/>
      </c>
      <c r="U366" s="15">
        <f>IF($Q366&lt;&gt;"Yes","",IF(COUNTIFS(nrES_PID,$D366,nrES_Code,$F366,nrES_Att,2)&gt;0,"Retested",IF(OR($T366="",NOT(ISNUMBER($T366))),"Pending",IF(TODAY()&gt;$T366,"OVERDUE","Due "&amp;TEXT($T366,"mm/dd")))))</f>
        <v/>
      </c>
      <c r="V366" s="14" t="n"/>
      <c r="W366" s="14" t="n"/>
    </row>
    <row r="367">
      <c r="B367" s="15">
        <f>IF($C367="","",$D367&amp;"-"&amp;$F367&amp;"-"&amp;$K367)</f>
        <v/>
      </c>
      <c r="C367" s="14" t="n"/>
      <c r="D367" s="15">
        <f>IF($C367="","",IFERROR(INDEX(rngCadetPIDs,MATCH($C367,rngCadetNames,0)),"?"))</f>
        <v/>
      </c>
      <c r="E367" s="15">
        <f>IF($D367="","",IFERROR(INDEX(nrCadetAgency,MATCH($D367,rngCadetPIDs,0)),""))</f>
        <v/>
      </c>
      <c r="F367" s="14" t="n"/>
      <c r="G367" s="15">
        <f>IF($F367="","",IFERROR(INDEX(rngEPname,MATCH($F367,rngEPcode,0)),"?"))</f>
        <v/>
      </c>
      <c r="H367" s="15">
        <f>IF($F367="","",IFERROR(INDEX(rngEPtype,MATCH($F367,rngEPcode,0)),"?"))</f>
        <v/>
      </c>
      <c r="I367" s="15">
        <f>IF($F367="","",IFERROR(INDEX(rngEPseq,MATCH($F367,rngEPcode,0)),""))</f>
        <v/>
      </c>
      <c r="J367" s="15">
        <f>IF($F367="","",IFERROR(INDEX(rngEPpass,MATCH($F367,rngEPcode,0)),cfgPassingScore))</f>
        <v/>
      </c>
      <c r="K367" s="14" t="n"/>
      <c r="L367" s="14" t="n"/>
      <c r="M367" s="15">
        <f>IF($C367="","",IF($L367="","",IF($K367=1,IF(COUNTIFS(nrES_PID,$D367,nrES_Code,$F367,nrES_Att,2)&gt;0,"",$L367),IF(COUNTIFS(nrES_PID,$D367,nrES_Code,$F367,nrES_Att,1)=0,$L367,IF($L367&gt;=$J367,cfgRetakeRecordedCap,SUMIFS(nrES_Raw,nrES_PID,$D367,nrES_Code,$F367,nrES_Att,1))))))</f>
        <v/>
      </c>
      <c r="N367" s="15">
        <f>IF($C367="","",IF($L367="","",IF($L367&gt;=$J367,"Yes","No")))</f>
        <v/>
      </c>
      <c r="O367" s="15">
        <f>IF($C367="","",IF($M367="","",IF($M367&gt;=$J367,"Yes","No")))</f>
        <v/>
      </c>
      <c r="P367" s="15">
        <f>IF($C367="","",IF($K367="","",IF(COUNTIFS(nrES_PID,$D367,nrES_Code,$F367,nrES_Att,"&gt;"&amp;$K367)=0,"Yes","No")))</f>
        <v/>
      </c>
      <c r="Q367" s="15">
        <f>IF($C367="","",IF($L367="","",IF(AND($K367=1,$L367&lt;$J367,COUNTIFS(nrES_PID,$D367,nrES_Code,$F367,nrES_Att,2)=0),"Yes","No")))</f>
        <v/>
      </c>
      <c r="R367" s="15">
        <f>IF($C367="","",IF($L367="","",IF(AND($K367=2,$L367&lt;$J367,COUNTIFS(nrES_PID,$D367,nrES_Code,$F367,nrES_Att,1)&gt;0),"Yes","No")))</f>
        <v/>
      </c>
      <c r="S367" s="16" t="n"/>
      <c r="T367" s="17">
        <f>IF($Q367&lt;&gt;"Yes","",IF($S367="","(enter date)",_xlfn.LET(_xlpm.dn,IFERROR(_xlfn.XLOOKUP($S367,nrCDdate,nrCDnum),""),IF(_xlpm.dn="","(not a class day)",IFERROR(_xlfn.XLOOKUP(_xlpm.dn+cfgRetestClassDays,nrCDnum,nrCDdate),"")))))</f>
        <v/>
      </c>
      <c r="U367" s="15">
        <f>IF($Q367&lt;&gt;"Yes","",IF(COUNTIFS(nrES_PID,$D367,nrES_Code,$F367,nrES_Att,2)&gt;0,"Retested",IF(OR($T367="",NOT(ISNUMBER($T367))),"Pending",IF(TODAY()&gt;$T367,"OVERDUE","Due "&amp;TEXT($T367,"mm/dd")))))</f>
        <v/>
      </c>
      <c r="V367" s="14" t="n"/>
      <c r="W367" s="14" t="n"/>
    </row>
    <row r="368">
      <c r="B368" s="15">
        <f>IF($C368="","",$D368&amp;"-"&amp;$F368&amp;"-"&amp;$K368)</f>
        <v/>
      </c>
      <c r="C368" s="14" t="n"/>
      <c r="D368" s="15">
        <f>IF($C368="","",IFERROR(INDEX(rngCadetPIDs,MATCH($C368,rngCadetNames,0)),"?"))</f>
        <v/>
      </c>
      <c r="E368" s="15">
        <f>IF($D368="","",IFERROR(INDEX(nrCadetAgency,MATCH($D368,rngCadetPIDs,0)),""))</f>
        <v/>
      </c>
      <c r="F368" s="14" t="n"/>
      <c r="G368" s="15">
        <f>IF($F368="","",IFERROR(INDEX(rngEPname,MATCH($F368,rngEPcode,0)),"?"))</f>
        <v/>
      </c>
      <c r="H368" s="15">
        <f>IF($F368="","",IFERROR(INDEX(rngEPtype,MATCH($F368,rngEPcode,0)),"?"))</f>
        <v/>
      </c>
      <c r="I368" s="15">
        <f>IF($F368="","",IFERROR(INDEX(rngEPseq,MATCH($F368,rngEPcode,0)),""))</f>
        <v/>
      </c>
      <c r="J368" s="15">
        <f>IF($F368="","",IFERROR(INDEX(rngEPpass,MATCH($F368,rngEPcode,0)),cfgPassingScore))</f>
        <v/>
      </c>
      <c r="K368" s="14" t="n"/>
      <c r="L368" s="14" t="n"/>
      <c r="M368" s="15">
        <f>IF($C368="","",IF($L368="","",IF($K368=1,IF(COUNTIFS(nrES_PID,$D368,nrES_Code,$F368,nrES_Att,2)&gt;0,"",$L368),IF(COUNTIFS(nrES_PID,$D368,nrES_Code,$F368,nrES_Att,1)=0,$L368,IF($L368&gt;=$J368,cfgRetakeRecordedCap,SUMIFS(nrES_Raw,nrES_PID,$D368,nrES_Code,$F368,nrES_Att,1))))))</f>
        <v/>
      </c>
      <c r="N368" s="15">
        <f>IF($C368="","",IF($L368="","",IF($L368&gt;=$J368,"Yes","No")))</f>
        <v/>
      </c>
      <c r="O368" s="15">
        <f>IF($C368="","",IF($M368="","",IF($M368&gt;=$J368,"Yes","No")))</f>
        <v/>
      </c>
      <c r="P368" s="15">
        <f>IF($C368="","",IF($K368="","",IF(COUNTIFS(nrES_PID,$D368,nrES_Code,$F368,nrES_Att,"&gt;"&amp;$K368)=0,"Yes","No")))</f>
        <v/>
      </c>
      <c r="Q368" s="15">
        <f>IF($C368="","",IF($L368="","",IF(AND($K368=1,$L368&lt;$J368,COUNTIFS(nrES_PID,$D368,nrES_Code,$F368,nrES_Att,2)=0),"Yes","No")))</f>
        <v/>
      </c>
      <c r="R368" s="15">
        <f>IF($C368="","",IF($L368="","",IF(AND($K368=2,$L368&lt;$J368,COUNTIFS(nrES_PID,$D368,nrES_Code,$F368,nrES_Att,1)&gt;0),"Yes","No")))</f>
        <v/>
      </c>
      <c r="S368" s="16" t="n"/>
      <c r="T368" s="17">
        <f>IF($Q368&lt;&gt;"Yes","",IF($S368="","(enter date)",_xlfn.LET(_xlpm.dn,IFERROR(_xlfn.XLOOKUP($S368,nrCDdate,nrCDnum),""),IF(_xlpm.dn="","(not a class day)",IFERROR(_xlfn.XLOOKUP(_xlpm.dn+cfgRetestClassDays,nrCDnum,nrCDdate),"")))))</f>
        <v/>
      </c>
      <c r="U368" s="15">
        <f>IF($Q368&lt;&gt;"Yes","",IF(COUNTIFS(nrES_PID,$D368,nrES_Code,$F368,nrES_Att,2)&gt;0,"Retested",IF(OR($T368="",NOT(ISNUMBER($T368))),"Pending",IF(TODAY()&gt;$T368,"OVERDUE","Due "&amp;TEXT($T368,"mm/dd")))))</f>
        <v/>
      </c>
      <c r="V368" s="14" t="n"/>
      <c r="W368" s="14" t="n"/>
    </row>
    <row r="369">
      <c r="B369" s="15">
        <f>IF($C369="","",$D369&amp;"-"&amp;$F369&amp;"-"&amp;$K369)</f>
        <v/>
      </c>
      <c r="C369" s="14" t="n"/>
      <c r="D369" s="15">
        <f>IF($C369="","",IFERROR(INDEX(rngCadetPIDs,MATCH($C369,rngCadetNames,0)),"?"))</f>
        <v/>
      </c>
      <c r="E369" s="15">
        <f>IF($D369="","",IFERROR(INDEX(nrCadetAgency,MATCH($D369,rngCadetPIDs,0)),""))</f>
        <v/>
      </c>
      <c r="F369" s="14" t="n"/>
      <c r="G369" s="15">
        <f>IF($F369="","",IFERROR(INDEX(rngEPname,MATCH($F369,rngEPcode,0)),"?"))</f>
        <v/>
      </c>
      <c r="H369" s="15">
        <f>IF($F369="","",IFERROR(INDEX(rngEPtype,MATCH($F369,rngEPcode,0)),"?"))</f>
        <v/>
      </c>
      <c r="I369" s="15">
        <f>IF($F369="","",IFERROR(INDEX(rngEPseq,MATCH($F369,rngEPcode,0)),""))</f>
        <v/>
      </c>
      <c r="J369" s="15">
        <f>IF($F369="","",IFERROR(INDEX(rngEPpass,MATCH($F369,rngEPcode,0)),cfgPassingScore))</f>
        <v/>
      </c>
      <c r="K369" s="14" t="n"/>
      <c r="L369" s="14" t="n"/>
      <c r="M369" s="15">
        <f>IF($C369="","",IF($L369="","",IF($K369=1,IF(COUNTIFS(nrES_PID,$D369,nrES_Code,$F369,nrES_Att,2)&gt;0,"",$L369),IF(COUNTIFS(nrES_PID,$D369,nrES_Code,$F369,nrES_Att,1)=0,$L369,IF($L369&gt;=$J369,cfgRetakeRecordedCap,SUMIFS(nrES_Raw,nrES_PID,$D369,nrES_Code,$F369,nrES_Att,1))))))</f>
        <v/>
      </c>
      <c r="N369" s="15">
        <f>IF($C369="","",IF($L369="","",IF($L369&gt;=$J369,"Yes","No")))</f>
        <v/>
      </c>
      <c r="O369" s="15">
        <f>IF($C369="","",IF($M369="","",IF($M369&gt;=$J369,"Yes","No")))</f>
        <v/>
      </c>
      <c r="P369" s="15">
        <f>IF($C369="","",IF($K369="","",IF(COUNTIFS(nrES_PID,$D369,nrES_Code,$F369,nrES_Att,"&gt;"&amp;$K369)=0,"Yes","No")))</f>
        <v/>
      </c>
      <c r="Q369" s="15">
        <f>IF($C369="","",IF($L369="","",IF(AND($K369=1,$L369&lt;$J369,COUNTIFS(nrES_PID,$D369,nrES_Code,$F369,nrES_Att,2)=0),"Yes","No")))</f>
        <v/>
      </c>
      <c r="R369" s="15">
        <f>IF($C369="","",IF($L369="","",IF(AND($K369=2,$L369&lt;$J369,COUNTIFS(nrES_PID,$D369,nrES_Code,$F369,nrES_Att,1)&gt;0),"Yes","No")))</f>
        <v/>
      </c>
      <c r="S369" s="16" t="n"/>
      <c r="T369" s="17">
        <f>IF($Q369&lt;&gt;"Yes","",IF($S369="","(enter date)",_xlfn.LET(_xlpm.dn,IFERROR(_xlfn.XLOOKUP($S369,nrCDdate,nrCDnum),""),IF(_xlpm.dn="","(not a class day)",IFERROR(_xlfn.XLOOKUP(_xlpm.dn+cfgRetestClassDays,nrCDnum,nrCDdate),"")))))</f>
        <v/>
      </c>
      <c r="U369" s="15">
        <f>IF($Q369&lt;&gt;"Yes","",IF(COUNTIFS(nrES_PID,$D369,nrES_Code,$F369,nrES_Att,2)&gt;0,"Retested",IF(OR($T369="",NOT(ISNUMBER($T369))),"Pending",IF(TODAY()&gt;$T369,"OVERDUE","Due "&amp;TEXT($T369,"mm/dd")))))</f>
        <v/>
      </c>
      <c r="V369" s="14" t="n"/>
      <c r="W369" s="14" t="n"/>
    </row>
    <row r="370">
      <c r="B370" s="15">
        <f>IF($C370="","",$D370&amp;"-"&amp;$F370&amp;"-"&amp;$K370)</f>
        <v/>
      </c>
      <c r="C370" s="14" t="n"/>
      <c r="D370" s="15">
        <f>IF($C370="","",IFERROR(INDEX(rngCadetPIDs,MATCH($C370,rngCadetNames,0)),"?"))</f>
        <v/>
      </c>
      <c r="E370" s="15">
        <f>IF($D370="","",IFERROR(INDEX(nrCadetAgency,MATCH($D370,rngCadetPIDs,0)),""))</f>
        <v/>
      </c>
      <c r="F370" s="14" t="n"/>
      <c r="G370" s="15">
        <f>IF($F370="","",IFERROR(INDEX(rngEPname,MATCH($F370,rngEPcode,0)),"?"))</f>
        <v/>
      </c>
      <c r="H370" s="15">
        <f>IF($F370="","",IFERROR(INDEX(rngEPtype,MATCH($F370,rngEPcode,0)),"?"))</f>
        <v/>
      </c>
      <c r="I370" s="15">
        <f>IF($F370="","",IFERROR(INDEX(rngEPseq,MATCH($F370,rngEPcode,0)),""))</f>
        <v/>
      </c>
      <c r="J370" s="15">
        <f>IF($F370="","",IFERROR(INDEX(rngEPpass,MATCH($F370,rngEPcode,0)),cfgPassingScore))</f>
        <v/>
      </c>
      <c r="K370" s="14" t="n"/>
      <c r="L370" s="14" t="n"/>
      <c r="M370" s="15">
        <f>IF($C370="","",IF($L370="","",IF($K370=1,IF(COUNTIFS(nrES_PID,$D370,nrES_Code,$F370,nrES_Att,2)&gt;0,"",$L370),IF(COUNTIFS(nrES_PID,$D370,nrES_Code,$F370,nrES_Att,1)=0,$L370,IF($L370&gt;=$J370,cfgRetakeRecordedCap,SUMIFS(nrES_Raw,nrES_PID,$D370,nrES_Code,$F370,nrES_Att,1))))))</f>
        <v/>
      </c>
      <c r="N370" s="15">
        <f>IF($C370="","",IF($L370="","",IF($L370&gt;=$J370,"Yes","No")))</f>
        <v/>
      </c>
      <c r="O370" s="15">
        <f>IF($C370="","",IF($M370="","",IF($M370&gt;=$J370,"Yes","No")))</f>
        <v/>
      </c>
      <c r="P370" s="15">
        <f>IF($C370="","",IF($K370="","",IF(COUNTIFS(nrES_PID,$D370,nrES_Code,$F370,nrES_Att,"&gt;"&amp;$K370)=0,"Yes","No")))</f>
        <v/>
      </c>
      <c r="Q370" s="15">
        <f>IF($C370="","",IF($L370="","",IF(AND($K370=1,$L370&lt;$J370,COUNTIFS(nrES_PID,$D370,nrES_Code,$F370,nrES_Att,2)=0),"Yes","No")))</f>
        <v/>
      </c>
      <c r="R370" s="15">
        <f>IF($C370="","",IF($L370="","",IF(AND($K370=2,$L370&lt;$J370,COUNTIFS(nrES_PID,$D370,nrES_Code,$F370,nrES_Att,1)&gt;0),"Yes","No")))</f>
        <v/>
      </c>
      <c r="S370" s="16" t="n"/>
      <c r="T370" s="17">
        <f>IF($Q370&lt;&gt;"Yes","",IF($S370="","(enter date)",_xlfn.LET(_xlpm.dn,IFERROR(_xlfn.XLOOKUP($S370,nrCDdate,nrCDnum),""),IF(_xlpm.dn="","(not a class day)",IFERROR(_xlfn.XLOOKUP(_xlpm.dn+cfgRetestClassDays,nrCDnum,nrCDdate),"")))))</f>
        <v/>
      </c>
      <c r="U370" s="15">
        <f>IF($Q370&lt;&gt;"Yes","",IF(COUNTIFS(nrES_PID,$D370,nrES_Code,$F370,nrES_Att,2)&gt;0,"Retested",IF(OR($T370="",NOT(ISNUMBER($T370))),"Pending",IF(TODAY()&gt;$T370,"OVERDUE","Due "&amp;TEXT($T370,"mm/dd")))))</f>
        <v/>
      </c>
      <c r="V370" s="14" t="n"/>
      <c r="W370" s="14" t="n"/>
    </row>
    <row r="371">
      <c r="B371" s="15">
        <f>IF($C371="","",$D371&amp;"-"&amp;$F371&amp;"-"&amp;$K371)</f>
        <v/>
      </c>
      <c r="C371" s="14" t="n"/>
      <c r="D371" s="15">
        <f>IF($C371="","",IFERROR(INDEX(rngCadetPIDs,MATCH($C371,rngCadetNames,0)),"?"))</f>
        <v/>
      </c>
      <c r="E371" s="15">
        <f>IF($D371="","",IFERROR(INDEX(nrCadetAgency,MATCH($D371,rngCadetPIDs,0)),""))</f>
        <v/>
      </c>
      <c r="F371" s="14" t="n"/>
      <c r="G371" s="15">
        <f>IF($F371="","",IFERROR(INDEX(rngEPname,MATCH($F371,rngEPcode,0)),"?"))</f>
        <v/>
      </c>
      <c r="H371" s="15">
        <f>IF($F371="","",IFERROR(INDEX(rngEPtype,MATCH($F371,rngEPcode,0)),"?"))</f>
        <v/>
      </c>
      <c r="I371" s="15">
        <f>IF($F371="","",IFERROR(INDEX(rngEPseq,MATCH($F371,rngEPcode,0)),""))</f>
        <v/>
      </c>
      <c r="J371" s="15">
        <f>IF($F371="","",IFERROR(INDEX(rngEPpass,MATCH($F371,rngEPcode,0)),cfgPassingScore))</f>
        <v/>
      </c>
      <c r="K371" s="14" t="n"/>
      <c r="L371" s="14" t="n"/>
      <c r="M371" s="15">
        <f>IF($C371="","",IF($L371="","",IF($K371=1,IF(COUNTIFS(nrES_PID,$D371,nrES_Code,$F371,nrES_Att,2)&gt;0,"",$L371),IF(COUNTIFS(nrES_PID,$D371,nrES_Code,$F371,nrES_Att,1)=0,$L371,IF($L371&gt;=$J371,cfgRetakeRecordedCap,SUMIFS(nrES_Raw,nrES_PID,$D371,nrES_Code,$F371,nrES_Att,1))))))</f>
        <v/>
      </c>
      <c r="N371" s="15">
        <f>IF($C371="","",IF($L371="","",IF($L371&gt;=$J371,"Yes","No")))</f>
        <v/>
      </c>
      <c r="O371" s="15">
        <f>IF($C371="","",IF($M371="","",IF($M371&gt;=$J371,"Yes","No")))</f>
        <v/>
      </c>
      <c r="P371" s="15">
        <f>IF($C371="","",IF($K371="","",IF(COUNTIFS(nrES_PID,$D371,nrES_Code,$F371,nrES_Att,"&gt;"&amp;$K371)=0,"Yes","No")))</f>
        <v/>
      </c>
      <c r="Q371" s="15">
        <f>IF($C371="","",IF($L371="","",IF(AND($K371=1,$L371&lt;$J371,COUNTIFS(nrES_PID,$D371,nrES_Code,$F371,nrES_Att,2)=0),"Yes","No")))</f>
        <v/>
      </c>
      <c r="R371" s="15">
        <f>IF($C371="","",IF($L371="","",IF(AND($K371=2,$L371&lt;$J371,COUNTIFS(nrES_PID,$D371,nrES_Code,$F371,nrES_Att,1)&gt;0),"Yes","No")))</f>
        <v/>
      </c>
      <c r="S371" s="16" t="n"/>
      <c r="T371" s="17">
        <f>IF($Q371&lt;&gt;"Yes","",IF($S371="","(enter date)",_xlfn.LET(_xlpm.dn,IFERROR(_xlfn.XLOOKUP($S371,nrCDdate,nrCDnum),""),IF(_xlpm.dn="","(not a class day)",IFERROR(_xlfn.XLOOKUP(_xlpm.dn+cfgRetestClassDays,nrCDnum,nrCDdate),"")))))</f>
        <v/>
      </c>
      <c r="U371" s="15">
        <f>IF($Q371&lt;&gt;"Yes","",IF(COUNTIFS(nrES_PID,$D371,nrES_Code,$F371,nrES_Att,2)&gt;0,"Retested",IF(OR($T371="",NOT(ISNUMBER($T371))),"Pending",IF(TODAY()&gt;$T371,"OVERDUE","Due "&amp;TEXT($T371,"mm/dd")))))</f>
        <v/>
      </c>
      <c r="V371" s="14" t="n"/>
      <c r="W371" s="14" t="n"/>
    </row>
    <row r="372">
      <c r="B372" s="15">
        <f>IF($C372="","",$D372&amp;"-"&amp;$F372&amp;"-"&amp;$K372)</f>
        <v/>
      </c>
      <c r="C372" s="14" t="n"/>
      <c r="D372" s="15">
        <f>IF($C372="","",IFERROR(INDEX(rngCadetPIDs,MATCH($C372,rngCadetNames,0)),"?"))</f>
        <v/>
      </c>
      <c r="E372" s="15">
        <f>IF($D372="","",IFERROR(INDEX(nrCadetAgency,MATCH($D372,rngCadetPIDs,0)),""))</f>
        <v/>
      </c>
      <c r="F372" s="14" t="n"/>
      <c r="G372" s="15">
        <f>IF($F372="","",IFERROR(INDEX(rngEPname,MATCH($F372,rngEPcode,0)),"?"))</f>
        <v/>
      </c>
      <c r="H372" s="15">
        <f>IF($F372="","",IFERROR(INDEX(rngEPtype,MATCH($F372,rngEPcode,0)),"?"))</f>
        <v/>
      </c>
      <c r="I372" s="15">
        <f>IF($F372="","",IFERROR(INDEX(rngEPseq,MATCH($F372,rngEPcode,0)),""))</f>
        <v/>
      </c>
      <c r="J372" s="15">
        <f>IF($F372="","",IFERROR(INDEX(rngEPpass,MATCH($F372,rngEPcode,0)),cfgPassingScore))</f>
        <v/>
      </c>
      <c r="K372" s="14" t="n"/>
      <c r="L372" s="14" t="n"/>
      <c r="M372" s="15">
        <f>IF($C372="","",IF($L372="","",IF($K372=1,IF(COUNTIFS(nrES_PID,$D372,nrES_Code,$F372,nrES_Att,2)&gt;0,"",$L372),IF(COUNTIFS(nrES_PID,$D372,nrES_Code,$F372,nrES_Att,1)=0,$L372,IF($L372&gt;=$J372,cfgRetakeRecordedCap,SUMIFS(nrES_Raw,nrES_PID,$D372,nrES_Code,$F372,nrES_Att,1))))))</f>
        <v/>
      </c>
      <c r="N372" s="15">
        <f>IF($C372="","",IF($L372="","",IF($L372&gt;=$J372,"Yes","No")))</f>
        <v/>
      </c>
      <c r="O372" s="15">
        <f>IF($C372="","",IF($M372="","",IF($M372&gt;=$J372,"Yes","No")))</f>
        <v/>
      </c>
      <c r="P372" s="15">
        <f>IF($C372="","",IF($K372="","",IF(COUNTIFS(nrES_PID,$D372,nrES_Code,$F372,nrES_Att,"&gt;"&amp;$K372)=0,"Yes","No")))</f>
        <v/>
      </c>
      <c r="Q372" s="15">
        <f>IF($C372="","",IF($L372="","",IF(AND($K372=1,$L372&lt;$J372,COUNTIFS(nrES_PID,$D372,nrES_Code,$F372,nrES_Att,2)=0),"Yes","No")))</f>
        <v/>
      </c>
      <c r="R372" s="15">
        <f>IF($C372="","",IF($L372="","",IF(AND($K372=2,$L372&lt;$J372,COUNTIFS(nrES_PID,$D372,nrES_Code,$F372,nrES_Att,1)&gt;0),"Yes","No")))</f>
        <v/>
      </c>
      <c r="S372" s="16" t="n"/>
      <c r="T372" s="17">
        <f>IF($Q372&lt;&gt;"Yes","",IF($S372="","(enter date)",_xlfn.LET(_xlpm.dn,IFERROR(_xlfn.XLOOKUP($S372,nrCDdate,nrCDnum),""),IF(_xlpm.dn="","(not a class day)",IFERROR(_xlfn.XLOOKUP(_xlpm.dn+cfgRetestClassDays,nrCDnum,nrCDdate),"")))))</f>
        <v/>
      </c>
      <c r="U372" s="15">
        <f>IF($Q372&lt;&gt;"Yes","",IF(COUNTIFS(nrES_PID,$D372,nrES_Code,$F372,nrES_Att,2)&gt;0,"Retested",IF(OR($T372="",NOT(ISNUMBER($T372))),"Pending",IF(TODAY()&gt;$T372,"OVERDUE","Due "&amp;TEXT($T372,"mm/dd")))))</f>
        <v/>
      </c>
      <c r="V372" s="14" t="n"/>
      <c r="W372" s="14" t="n"/>
    </row>
    <row r="373">
      <c r="B373" s="15">
        <f>IF($C373="","",$D373&amp;"-"&amp;$F373&amp;"-"&amp;$K373)</f>
        <v/>
      </c>
      <c r="C373" s="14" t="n"/>
      <c r="D373" s="15">
        <f>IF($C373="","",IFERROR(INDEX(rngCadetPIDs,MATCH($C373,rngCadetNames,0)),"?"))</f>
        <v/>
      </c>
      <c r="E373" s="15">
        <f>IF($D373="","",IFERROR(INDEX(nrCadetAgency,MATCH($D373,rngCadetPIDs,0)),""))</f>
        <v/>
      </c>
      <c r="F373" s="14" t="n"/>
      <c r="G373" s="15">
        <f>IF($F373="","",IFERROR(INDEX(rngEPname,MATCH($F373,rngEPcode,0)),"?"))</f>
        <v/>
      </c>
      <c r="H373" s="15">
        <f>IF($F373="","",IFERROR(INDEX(rngEPtype,MATCH($F373,rngEPcode,0)),"?"))</f>
        <v/>
      </c>
      <c r="I373" s="15">
        <f>IF($F373="","",IFERROR(INDEX(rngEPseq,MATCH($F373,rngEPcode,0)),""))</f>
        <v/>
      </c>
      <c r="J373" s="15">
        <f>IF($F373="","",IFERROR(INDEX(rngEPpass,MATCH($F373,rngEPcode,0)),cfgPassingScore))</f>
        <v/>
      </c>
      <c r="K373" s="14" t="n"/>
      <c r="L373" s="14" t="n"/>
      <c r="M373" s="15">
        <f>IF($C373="","",IF($L373="","",IF($K373=1,IF(COUNTIFS(nrES_PID,$D373,nrES_Code,$F373,nrES_Att,2)&gt;0,"",$L373),IF(COUNTIFS(nrES_PID,$D373,nrES_Code,$F373,nrES_Att,1)=0,$L373,IF($L373&gt;=$J373,cfgRetakeRecordedCap,SUMIFS(nrES_Raw,nrES_PID,$D373,nrES_Code,$F373,nrES_Att,1))))))</f>
        <v/>
      </c>
      <c r="N373" s="15">
        <f>IF($C373="","",IF($L373="","",IF($L373&gt;=$J373,"Yes","No")))</f>
        <v/>
      </c>
      <c r="O373" s="15">
        <f>IF($C373="","",IF($M373="","",IF($M373&gt;=$J373,"Yes","No")))</f>
        <v/>
      </c>
      <c r="P373" s="15">
        <f>IF($C373="","",IF($K373="","",IF(COUNTIFS(nrES_PID,$D373,nrES_Code,$F373,nrES_Att,"&gt;"&amp;$K373)=0,"Yes","No")))</f>
        <v/>
      </c>
      <c r="Q373" s="15">
        <f>IF($C373="","",IF($L373="","",IF(AND($K373=1,$L373&lt;$J373,COUNTIFS(nrES_PID,$D373,nrES_Code,$F373,nrES_Att,2)=0),"Yes","No")))</f>
        <v/>
      </c>
      <c r="R373" s="15">
        <f>IF($C373="","",IF($L373="","",IF(AND($K373=2,$L373&lt;$J373,COUNTIFS(nrES_PID,$D373,nrES_Code,$F373,nrES_Att,1)&gt;0),"Yes","No")))</f>
        <v/>
      </c>
      <c r="S373" s="16" t="n"/>
      <c r="T373" s="17">
        <f>IF($Q373&lt;&gt;"Yes","",IF($S373="","(enter date)",_xlfn.LET(_xlpm.dn,IFERROR(_xlfn.XLOOKUP($S373,nrCDdate,nrCDnum),""),IF(_xlpm.dn="","(not a class day)",IFERROR(_xlfn.XLOOKUP(_xlpm.dn+cfgRetestClassDays,nrCDnum,nrCDdate),"")))))</f>
        <v/>
      </c>
      <c r="U373" s="15">
        <f>IF($Q373&lt;&gt;"Yes","",IF(COUNTIFS(nrES_PID,$D373,nrES_Code,$F373,nrES_Att,2)&gt;0,"Retested",IF(OR($T373="",NOT(ISNUMBER($T373))),"Pending",IF(TODAY()&gt;$T373,"OVERDUE","Due "&amp;TEXT($T373,"mm/dd")))))</f>
        <v/>
      </c>
      <c r="V373" s="14" t="n"/>
      <c r="W373" s="14" t="n"/>
    </row>
    <row r="374">
      <c r="B374" s="15">
        <f>IF($C374="","",$D374&amp;"-"&amp;$F374&amp;"-"&amp;$K374)</f>
        <v/>
      </c>
      <c r="C374" s="14" t="n"/>
      <c r="D374" s="15">
        <f>IF($C374="","",IFERROR(INDEX(rngCadetPIDs,MATCH($C374,rngCadetNames,0)),"?"))</f>
        <v/>
      </c>
      <c r="E374" s="15">
        <f>IF($D374="","",IFERROR(INDEX(nrCadetAgency,MATCH($D374,rngCadetPIDs,0)),""))</f>
        <v/>
      </c>
      <c r="F374" s="14" t="n"/>
      <c r="G374" s="15">
        <f>IF($F374="","",IFERROR(INDEX(rngEPname,MATCH($F374,rngEPcode,0)),"?"))</f>
        <v/>
      </c>
      <c r="H374" s="15">
        <f>IF($F374="","",IFERROR(INDEX(rngEPtype,MATCH($F374,rngEPcode,0)),"?"))</f>
        <v/>
      </c>
      <c r="I374" s="15">
        <f>IF($F374="","",IFERROR(INDEX(rngEPseq,MATCH($F374,rngEPcode,0)),""))</f>
        <v/>
      </c>
      <c r="J374" s="15">
        <f>IF($F374="","",IFERROR(INDEX(rngEPpass,MATCH($F374,rngEPcode,0)),cfgPassingScore))</f>
        <v/>
      </c>
      <c r="K374" s="14" t="n"/>
      <c r="L374" s="14" t="n"/>
      <c r="M374" s="15">
        <f>IF($C374="","",IF($L374="","",IF($K374=1,IF(COUNTIFS(nrES_PID,$D374,nrES_Code,$F374,nrES_Att,2)&gt;0,"",$L374),IF(COUNTIFS(nrES_PID,$D374,nrES_Code,$F374,nrES_Att,1)=0,$L374,IF($L374&gt;=$J374,cfgRetakeRecordedCap,SUMIFS(nrES_Raw,nrES_PID,$D374,nrES_Code,$F374,nrES_Att,1))))))</f>
        <v/>
      </c>
      <c r="N374" s="15">
        <f>IF($C374="","",IF($L374="","",IF($L374&gt;=$J374,"Yes","No")))</f>
        <v/>
      </c>
      <c r="O374" s="15">
        <f>IF($C374="","",IF($M374="","",IF($M374&gt;=$J374,"Yes","No")))</f>
        <v/>
      </c>
      <c r="P374" s="15">
        <f>IF($C374="","",IF($K374="","",IF(COUNTIFS(nrES_PID,$D374,nrES_Code,$F374,nrES_Att,"&gt;"&amp;$K374)=0,"Yes","No")))</f>
        <v/>
      </c>
      <c r="Q374" s="15">
        <f>IF($C374="","",IF($L374="","",IF(AND($K374=1,$L374&lt;$J374,COUNTIFS(nrES_PID,$D374,nrES_Code,$F374,nrES_Att,2)=0),"Yes","No")))</f>
        <v/>
      </c>
      <c r="R374" s="15">
        <f>IF($C374="","",IF($L374="","",IF(AND($K374=2,$L374&lt;$J374,COUNTIFS(nrES_PID,$D374,nrES_Code,$F374,nrES_Att,1)&gt;0),"Yes","No")))</f>
        <v/>
      </c>
      <c r="S374" s="16" t="n"/>
      <c r="T374" s="17">
        <f>IF($Q374&lt;&gt;"Yes","",IF($S374="","(enter date)",_xlfn.LET(_xlpm.dn,IFERROR(_xlfn.XLOOKUP($S374,nrCDdate,nrCDnum),""),IF(_xlpm.dn="","(not a class day)",IFERROR(_xlfn.XLOOKUP(_xlpm.dn+cfgRetestClassDays,nrCDnum,nrCDdate),"")))))</f>
        <v/>
      </c>
      <c r="U374" s="15">
        <f>IF($Q374&lt;&gt;"Yes","",IF(COUNTIFS(nrES_PID,$D374,nrES_Code,$F374,nrES_Att,2)&gt;0,"Retested",IF(OR($T374="",NOT(ISNUMBER($T374))),"Pending",IF(TODAY()&gt;$T374,"OVERDUE","Due "&amp;TEXT($T374,"mm/dd")))))</f>
        <v/>
      </c>
      <c r="V374" s="14" t="n"/>
      <c r="W374" s="14" t="n"/>
    </row>
    <row r="375">
      <c r="B375" s="15">
        <f>IF($C375="","",$D375&amp;"-"&amp;$F375&amp;"-"&amp;$K375)</f>
        <v/>
      </c>
      <c r="C375" s="14" t="n"/>
      <c r="D375" s="15">
        <f>IF($C375="","",IFERROR(INDEX(rngCadetPIDs,MATCH($C375,rngCadetNames,0)),"?"))</f>
        <v/>
      </c>
      <c r="E375" s="15">
        <f>IF($D375="","",IFERROR(INDEX(nrCadetAgency,MATCH($D375,rngCadetPIDs,0)),""))</f>
        <v/>
      </c>
      <c r="F375" s="14" t="n"/>
      <c r="G375" s="15">
        <f>IF($F375="","",IFERROR(INDEX(rngEPname,MATCH($F375,rngEPcode,0)),"?"))</f>
        <v/>
      </c>
      <c r="H375" s="15">
        <f>IF($F375="","",IFERROR(INDEX(rngEPtype,MATCH($F375,rngEPcode,0)),"?"))</f>
        <v/>
      </c>
      <c r="I375" s="15">
        <f>IF($F375="","",IFERROR(INDEX(rngEPseq,MATCH($F375,rngEPcode,0)),""))</f>
        <v/>
      </c>
      <c r="J375" s="15">
        <f>IF($F375="","",IFERROR(INDEX(rngEPpass,MATCH($F375,rngEPcode,0)),cfgPassingScore))</f>
        <v/>
      </c>
      <c r="K375" s="14" t="n"/>
      <c r="L375" s="14" t="n"/>
      <c r="M375" s="15">
        <f>IF($C375="","",IF($L375="","",IF($K375=1,IF(COUNTIFS(nrES_PID,$D375,nrES_Code,$F375,nrES_Att,2)&gt;0,"",$L375),IF(COUNTIFS(nrES_PID,$D375,nrES_Code,$F375,nrES_Att,1)=0,$L375,IF($L375&gt;=$J375,cfgRetakeRecordedCap,SUMIFS(nrES_Raw,nrES_PID,$D375,nrES_Code,$F375,nrES_Att,1))))))</f>
        <v/>
      </c>
      <c r="N375" s="15">
        <f>IF($C375="","",IF($L375="","",IF($L375&gt;=$J375,"Yes","No")))</f>
        <v/>
      </c>
      <c r="O375" s="15">
        <f>IF($C375="","",IF($M375="","",IF($M375&gt;=$J375,"Yes","No")))</f>
        <v/>
      </c>
      <c r="P375" s="15">
        <f>IF($C375="","",IF($K375="","",IF(COUNTIFS(nrES_PID,$D375,nrES_Code,$F375,nrES_Att,"&gt;"&amp;$K375)=0,"Yes","No")))</f>
        <v/>
      </c>
      <c r="Q375" s="15">
        <f>IF($C375="","",IF($L375="","",IF(AND($K375=1,$L375&lt;$J375,COUNTIFS(nrES_PID,$D375,nrES_Code,$F375,nrES_Att,2)=0),"Yes","No")))</f>
        <v/>
      </c>
      <c r="R375" s="15">
        <f>IF($C375="","",IF($L375="","",IF(AND($K375=2,$L375&lt;$J375,COUNTIFS(nrES_PID,$D375,nrES_Code,$F375,nrES_Att,1)&gt;0),"Yes","No")))</f>
        <v/>
      </c>
      <c r="S375" s="16" t="n"/>
      <c r="T375" s="17">
        <f>IF($Q375&lt;&gt;"Yes","",IF($S375="","(enter date)",_xlfn.LET(_xlpm.dn,IFERROR(_xlfn.XLOOKUP($S375,nrCDdate,nrCDnum),""),IF(_xlpm.dn="","(not a class day)",IFERROR(_xlfn.XLOOKUP(_xlpm.dn+cfgRetestClassDays,nrCDnum,nrCDdate),"")))))</f>
        <v/>
      </c>
      <c r="U375" s="15">
        <f>IF($Q375&lt;&gt;"Yes","",IF(COUNTIFS(nrES_PID,$D375,nrES_Code,$F375,nrES_Att,2)&gt;0,"Retested",IF(OR($T375="",NOT(ISNUMBER($T375))),"Pending",IF(TODAY()&gt;$T375,"OVERDUE","Due "&amp;TEXT($T375,"mm/dd")))))</f>
        <v/>
      </c>
      <c r="V375" s="14" t="n"/>
      <c r="W375" s="14" t="n"/>
    </row>
    <row r="376">
      <c r="B376" s="15">
        <f>IF($C376="","",$D376&amp;"-"&amp;$F376&amp;"-"&amp;$K376)</f>
        <v/>
      </c>
      <c r="C376" s="14" t="n"/>
      <c r="D376" s="15">
        <f>IF($C376="","",IFERROR(INDEX(rngCadetPIDs,MATCH($C376,rngCadetNames,0)),"?"))</f>
        <v/>
      </c>
      <c r="E376" s="15">
        <f>IF($D376="","",IFERROR(INDEX(nrCadetAgency,MATCH($D376,rngCadetPIDs,0)),""))</f>
        <v/>
      </c>
      <c r="F376" s="14" t="n"/>
      <c r="G376" s="15">
        <f>IF($F376="","",IFERROR(INDEX(rngEPname,MATCH($F376,rngEPcode,0)),"?"))</f>
        <v/>
      </c>
      <c r="H376" s="15">
        <f>IF($F376="","",IFERROR(INDEX(rngEPtype,MATCH($F376,rngEPcode,0)),"?"))</f>
        <v/>
      </c>
      <c r="I376" s="15">
        <f>IF($F376="","",IFERROR(INDEX(rngEPseq,MATCH($F376,rngEPcode,0)),""))</f>
        <v/>
      </c>
      <c r="J376" s="15">
        <f>IF($F376="","",IFERROR(INDEX(rngEPpass,MATCH($F376,rngEPcode,0)),cfgPassingScore))</f>
        <v/>
      </c>
      <c r="K376" s="14" t="n"/>
      <c r="L376" s="14" t="n"/>
      <c r="M376" s="15">
        <f>IF($C376="","",IF($L376="","",IF($K376=1,IF(COUNTIFS(nrES_PID,$D376,nrES_Code,$F376,nrES_Att,2)&gt;0,"",$L376),IF(COUNTIFS(nrES_PID,$D376,nrES_Code,$F376,nrES_Att,1)=0,$L376,IF($L376&gt;=$J376,cfgRetakeRecordedCap,SUMIFS(nrES_Raw,nrES_PID,$D376,nrES_Code,$F376,nrES_Att,1))))))</f>
        <v/>
      </c>
      <c r="N376" s="15">
        <f>IF($C376="","",IF($L376="","",IF($L376&gt;=$J376,"Yes","No")))</f>
        <v/>
      </c>
      <c r="O376" s="15">
        <f>IF($C376="","",IF($M376="","",IF($M376&gt;=$J376,"Yes","No")))</f>
        <v/>
      </c>
      <c r="P376" s="15">
        <f>IF($C376="","",IF($K376="","",IF(COUNTIFS(nrES_PID,$D376,nrES_Code,$F376,nrES_Att,"&gt;"&amp;$K376)=0,"Yes","No")))</f>
        <v/>
      </c>
      <c r="Q376" s="15">
        <f>IF($C376="","",IF($L376="","",IF(AND($K376=1,$L376&lt;$J376,COUNTIFS(nrES_PID,$D376,nrES_Code,$F376,nrES_Att,2)=0),"Yes","No")))</f>
        <v/>
      </c>
      <c r="R376" s="15">
        <f>IF($C376="","",IF($L376="","",IF(AND($K376=2,$L376&lt;$J376,COUNTIFS(nrES_PID,$D376,nrES_Code,$F376,nrES_Att,1)&gt;0),"Yes","No")))</f>
        <v/>
      </c>
      <c r="S376" s="16" t="n"/>
      <c r="T376" s="17">
        <f>IF($Q376&lt;&gt;"Yes","",IF($S376="","(enter date)",_xlfn.LET(_xlpm.dn,IFERROR(_xlfn.XLOOKUP($S376,nrCDdate,nrCDnum),""),IF(_xlpm.dn="","(not a class day)",IFERROR(_xlfn.XLOOKUP(_xlpm.dn+cfgRetestClassDays,nrCDnum,nrCDdate),"")))))</f>
        <v/>
      </c>
      <c r="U376" s="15">
        <f>IF($Q376&lt;&gt;"Yes","",IF(COUNTIFS(nrES_PID,$D376,nrES_Code,$F376,nrES_Att,2)&gt;0,"Retested",IF(OR($T376="",NOT(ISNUMBER($T376))),"Pending",IF(TODAY()&gt;$T376,"OVERDUE","Due "&amp;TEXT($T376,"mm/dd")))))</f>
        <v/>
      </c>
      <c r="V376" s="14" t="n"/>
      <c r="W376" s="14" t="n"/>
    </row>
    <row r="377">
      <c r="B377" s="15">
        <f>IF($C377="","",$D377&amp;"-"&amp;$F377&amp;"-"&amp;$K377)</f>
        <v/>
      </c>
      <c r="C377" s="14" t="n"/>
      <c r="D377" s="15">
        <f>IF($C377="","",IFERROR(INDEX(rngCadetPIDs,MATCH($C377,rngCadetNames,0)),"?"))</f>
        <v/>
      </c>
      <c r="E377" s="15">
        <f>IF($D377="","",IFERROR(INDEX(nrCadetAgency,MATCH($D377,rngCadetPIDs,0)),""))</f>
        <v/>
      </c>
      <c r="F377" s="14" t="n"/>
      <c r="G377" s="15">
        <f>IF($F377="","",IFERROR(INDEX(rngEPname,MATCH($F377,rngEPcode,0)),"?"))</f>
        <v/>
      </c>
      <c r="H377" s="15">
        <f>IF($F377="","",IFERROR(INDEX(rngEPtype,MATCH($F377,rngEPcode,0)),"?"))</f>
        <v/>
      </c>
      <c r="I377" s="15">
        <f>IF($F377="","",IFERROR(INDEX(rngEPseq,MATCH($F377,rngEPcode,0)),""))</f>
        <v/>
      </c>
      <c r="J377" s="15">
        <f>IF($F377="","",IFERROR(INDEX(rngEPpass,MATCH($F377,rngEPcode,0)),cfgPassingScore))</f>
        <v/>
      </c>
      <c r="K377" s="14" t="n"/>
      <c r="L377" s="14" t="n"/>
      <c r="M377" s="15">
        <f>IF($C377="","",IF($L377="","",IF($K377=1,IF(COUNTIFS(nrES_PID,$D377,nrES_Code,$F377,nrES_Att,2)&gt;0,"",$L377),IF(COUNTIFS(nrES_PID,$D377,nrES_Code,$F377,nrES_Att,1)=0,$L377,IF($L377&gt;=$J377,cfgRetakeRecordedCap,SUMIFS(nrES_Raw,nrES_PID,$D377,nrES_Code,$F377,nrES_Att,1))))))</f>
        <v/>
      </c>
      <c r="N377" s="15">
        <f>IF($C377="","",IF($L377="","",IF($L377&gt;=$J377,"Yes","No")))</f>
        <v/>
      </c>
      <c r="O377" s="15">
        <f>IF($C377="","",IF($M377="","",IF($M377&gt;=$J377,"Yes","No")))</f>
        <v/>
      </c>
      <c r="P377" s="15">
        <f>IF($C377="","",IF($K377="","",IF(COUNTIFS(nrES_PID,$D377,nrES_Code,$F377,nrES_Att,"&gt;"&amp;$K377)=0,"Yes","No")))</f>
        <v/>
      </c>
      <c r="Q377" s="15">
        <f>IF($C377="","",IF($L377="","",IF(AND($K377=1,$L377&lt;$J377,COUNTIFS(nrES_PID,$D377,nrES_Code,$F377,nrES_Att,2)=0),"Yes","No")))</f>
        <v/>
      </c>
      <c r="R377" s="15">
        <f>IF($C377="","",IF($L377="","",IF(AND($K377=2,$L377&lt;$J377,COUNTIFS(nrES_PID,$D377,nrES_Code,$F377,nrES_Att,1)&gt;0),"Yes","No")))</f>
        <v/>
      </c>
      <c r="S377" s="16" t="n"/>
      <c r="T377" s="17">
        <f>IF($Q377&lt;&gt;"Yes","",IF($S377="","(enter date)",_xlfn.LET(_xlpm.dn,IFERROR(_xlfn.XLOOKUP($S377,nrCDdate,nrCDnum),""),IF(_xlpm.dn="","(not a class day)",IFERROR(_xlfn.XLOOKUP(_xlpm.dn+cfgRetestClassDays,nrCDnum,nrCDdate),"")))))</f>
        <v/>
      </c>
      <c r="U377" s="15">
        <f>IF($Q377&lt;&gt;"Yes","",IF(COUNTIFS(nrES_PID,$D377,nrES_Code,$F377,nrES_Att,2)&gt;0,"Retested",IF(OR($T377="",NOT(ISNUMBER($T377))),"Pending",IF(TODAY()&gt;$T377,"OVERDUE","Due "&amp;TEXT($T377,"mm/dd")))))</f>
        <v/>
      </c>
      <c r="V377" s="14" t="n"/>
      <c r="W377" s="14" t="n"/>
    </row>
    <row r="378">
      <c r="B378" s="15">
        <f>IF($C378="","",$D378&amp;"-"&amp;$F378&amp;"-"&amp;$K378)</f>
        <v/>
      </c>
      <c r="C378" s="14" t="n"/>
      <c r="D378" s="15">
        <f>IF($C378="","",IFERROR(INDEX(rngCadetPIDs,MATCH($C378,rngCadetNames,0)),"?"))</f>
        <v/>
      </c>
      <c r="E378" s="15">
        <f>IF($D378="","",IFERROR(INDEX(nrCadetAgency,MATCH($D378,rngCadetPIDs,0)),""))</f>
        <v/>
      </c>
      <c r="F378" s="14" t="n"/>
      <c r="G378" s="15">
        <f>IF($F378="","",IFERROR(INDEX(rngEPname,MATCH($F378,rngEPcode,0)),"?"))</f>
        <v/>
      </c>
      <c r="H378" s="15">
        <f>IF($F378="","",IFERROR(INDEX(rngEPtype,MATCH($F378,rngEPcode,0)),"?"))</f>
        <v/>
      </c>
      <c r="I378" s="15">
        <f>IF($F378="","",IFERROR(INDEX(rngEPseq,MATCH($F378,rngEPcode,0)),""))</f>
        <v/>
      </c>
      <c r="J378" s="15">
        <f>IF($F378="","",IFERROR(INDEX(rngEPpass,MATCH($F378,rngEPcode,0)),cfgPassingScore))</f>
        <v/>
      </c>
      <c r="K378" s="14" t="n"/>
      <c r="L378" s="14" t="n"/>
      <c r="M378" s="15">
        <f>IF($C378="","",IF($L378="","",IF($K378=1,IF(COUNTIFS(nrES_PID,$D378,nrES_Code,$F378,nrES_Att,2)&gt;0,"",$L378),IF(COUNTIFS(nrES_PID,$D378,nrES_Code,$F378,nrES_Att,1)=0,$L378,IF($L378&gt;=$J378,cfgRetakeRecordedCap,SUMIFS(nrES_Raw,nrES_PID,$D378,nrES_Code,$F378,nrES_Att,1))))))</f>
        <v/>
      </c>
      <c r="N378" s="15">
        <f>IF($C378="","",IF($L378="","",IF($L378&gt;=$J378,"Yes","No")))</f>
        <v/>
      </c>
      <c r="O378" s="15">
        <f>IF($C378="","",IF($M378="","",IF($M378&gt;=$J378,"Yes","No")))</f>
        <v/>
      </c>
      <c r="P378" s="15">
        <f>IF($C378="","",IF($K378="","",IF(COUNTIFS(nrES_PID,$D378,nrES_Code,$F378,nrES_Att,"&gt;"&amp;$K378)=0,"Yes","No")))</f>
        <v/>
      </c>
      <c r="Q378" s="15">
        <f>IF($C378="","",IF($L378="","",IF(AND($K378=1,$L378&lt;$J378,COUNTIFS(nrES_PID,$D378,nrES_Code,$F378,nrES_Att,2)=0),"Yes","No")))</f>
        <v/>
      </c>
      <c r="R378" s="15">
        <f>IF($C378="","",IF($L378="","",IF(AND($K378=2,$L378&lt;$J378,COUNTIFS(nrES_PID,$D378,nrES_Code,$F378,nrES_Att,1)&gt;0),"Yes","No")))</f>
        <v/>
      </c>
      <c r="S378" s="16" t="n"/>
      <c r="T378" s="17">
        <f>IF($Q378&lt;&gt;"Yes","",IF($S378="","(enter date)",_xlfn.LET(_xlpm.dn,IFERROR(_xlfn.XLOOKUP($S378,nrCDdate,nrCDnum),""),IF(_xlpm.dn="","(not a class day)",IFERROR(_xlfn.XLOOKUP(_xlpm.dn+cfgRetestClassDays,nrCDnum,nrCDdate),"")))))</f>
        <v/>
      </c>
      <c r="U378" s="15">
        <f>IF($Q378&lt;&gt;"Yes","",IF(COUNTIFS(nrES_PID,$D378,nrES_Code,$F378,nrES_Att,2)&gt;0,"Retested",IF(OR($T378="",NOT(ISNUMBER($T378))),"Pending",IF(TODAY()&gt;$T378,"OVERDUE","Due "&amp;TEXT($T378,"mm/dd")))))</f>
        <v/>
      </c>
      <c r="V378" s="14" t="n"/>
      <c r="W378" s="14" t="n"/>
    </row>
    <row r="379">
      <c r="B379" s="15">
        <f>IF($C379="","",$D379&amp;"-"&amp;$F379&amp;"-"&amp;$K379)</f>
        <v/>
      </c>
      <c r="C379" s="14" t="n"/>
      <c r="D379" s="15">
        <f>IF($C379="","",IFERROR(INDEX(rngCadetPIDs,MATCH($C379,rngCadetNames,0)),"?"))</f>
        <v/>
      </c>
      <c r="E379" s="15">
        <f>IF($D379="","",IFERROR(INDEX(nrCadetAgency,MATCH($D379,rngCadetPIDs,0)),""))</f>
        <v/>
      </c>
      <c r="F379" s="14" t="n"/>
      <c r="G379" s="15">
        <f>IF($F379="","",IFERROR(INDEX(rngEPname,MATCH($F379,rngEPcode,0)),"?"))</f>
        <v/>
      </c>
      <c r="H379" s="15">
        <f>IF($F379="","",IFERROR(INDEX(rngEPtype,MATCH($F379,rngEPcode,0)),"?"))</f>
        <v/>
      </c>
      <c r="I379" s="15">
        <f>IF($F379="","",IFERROR(INDEX(rngEPseq,MATCH($F379,rngEPcode,0)),""))</f>
        <v/>
      </c>
      <c r="J379" s="15">
        <f>IF($F379="","",IFERROR(INDEX(rngEPpass,MATCH($F379,rngEPcode,0)),cfgPassingScore))</f>
        <v/>
      </c>
      <c r="K379" s="14" t="n"/>
      <c r="L379" s="14" t="n"/>
      <c r="M379" s="15">
        <f>IF($C379="","",IF($L379="","",IF($K379=1,IF(COUNTIFS(nrES_PID,$D379,nrES_Code,$F379,nrES_Att,2)&gt;0,"",$L379),IF(COUNTIFS(nrES_PID,$D379,nrES_Code,$F379,nrES_Att,1)=0,$L379,IF($L379&gt;=$J379,cfgRetakeRecordedCap,SUMIFS(nrES_Raw,nrES_PID,$D379,nrES_Code,$F379,nrES_Att,1))))))</f>
        <v/>
      </c>
      <c r="N379" s="15">
        <f>IF($C379="","",IF($L379="","",IF($L379&gt;=$J379,"Yes","No")))</f>
        <v/>
      </c>
      <c r="O379" s="15">
        <f>IF($C379="","",IF($M379="","",IF($M379&gt;=$J379,"Yes","No")))</f>
        <v/>
      </c>
      <c r="P379" s="15">
        <f>IF($C379="","",IF($K379="","",IF(COUNTIFS(nrES_PID,$D379,nrES_Code,$F379,nrES_Att,"&gt;"&amp;$K379)=0,"Yes","No")))</f>
        <v/>
      </c>
      <c r="Q379" s="15">
        <f>IF($C379="","",IF($L379="","",IF(AND($K379=1,$L379&lt;$J379,COUNTIFS(nrES_PID,$D379,nrES_Code,$F379,nrES_Att,2)=0),"Yes","No")))</f>
        <v/>
      </c>
      <c r="R379" s="15">
        <f>IF($C379="","",IF($L379="","",IF(AND($K379=2,$L379&lt;$J379,COUNTIFS(nrES_PID,$D379,nrES_Code,$F379,nrES_Att,1)&gt;0),"Yes","No")))</f>
        <v/>
      </c>
      <c r="S379" s="16" t="n"/>
      <c r="T379" s="17">
        <f>IF($Q379&lt;&gt;"Yes","",IF($S379="","(enter date)",_xlfn.LET(_xlpm.dn,IFERROR(_xlfn.XLOOKUP($S379,nrCDdate,nrCDnum),""),IF(_xlpm.dn="","(not a class day)",IFERROR(_xlfn.XLOOKUP(_xlpm.dn+cfgRetestClassDays,nrCDnum,nrCDdate),"")))))</f>
        <v/>
      </c>
      <c r="U379" s="15">
        <f>IF($Q379&lt;&gt;"Yes","",IF(COUNTIFS(nrES_PID,$D379,nrES_Code,$F379,nrES_Att,2)&gt;0,"Retested",IF(OR($T379="",NOT(ISNUMBER($T379))),"Pending",IF(TODAY()&gt;$T379,"OVERDUE","Due "&amp;TEXT($T379,"mm/dd")))))</f>
        <v/>
      </c>
      <c r="V379" s="14" t="n"/>
      <c r="W379" s="14" t="n"/>
    </row>
    <row r="380">
      <c r="B380" s="15">
        <f>IF($C380="","",$D380&amp;"-"&amp;$F380&amp;"-"&amp;$K380)</f>
        <v/>
      </c>
      <c r="C380" s="14" t="n"/>
      <c r="D380" s="15">
        <f>IF($C380="","",IFERROR(INDEX(rngCadetPIDs,MATCH($C380,rngCadetNames,0)),"?"))</f>
        <v/>
      </c>
      <c r="E380" s="15">
        <f>IF($D380="","",IFERROR(INDEX(nrCadetAgency,MATCH($D380,rngCadetPIDs,0)),""))</f>
        <v/>
      </c>
      <c r="F380" s="14" t="n"/>
      <c r="G380" s="15">
        <f>IF($F380="","",IFERROR(INDEX(rngEPname,MATCH($F380,rngEPcode,0)),"?"))</f>
        <v/>
      </c>
      <c r="H380" s="15">
        <f>IF($F380="","",IFERROR(INDEX(rngEPtype,MATCH($F380,rngEPcode,0)),"?"))</f>
        <v/>
      </c>
      <c r="I380" s="15">
        <f>IF($F380="","",IFERROR(INDEX(rngEPseq,MATCH($F380,rngEPcode,0)),""))</f>
        <v/>
      </c>
      <c r="J380" s="15">
        <f>IF($F380="","",IFERROR(INDEX(rngEPpass,MATCH($F380,rngEPcode,0)),cfgPassingScore))</f>
        <v/>
      </c>
      <c r="K380" s="14" t="n"/>
      <c r="L380" s="14" t="n"/>
      <c r="M380" s="15">
        <f>IF($C380="","",IF($L380="","",IF($K380=1,IF(COUNTIFS(nrES_PID,$D380,nrES_Code,$F380,nrES_Att,2)&gt;0,"",$L380),IF(COUNTIFS(nrES_PID,$D380,nrES_Code,$F380,nrES_Att,1)=0,$L380,IF($L380&gt;=$J380,cfgRetakeRecordedCap,SUMIFS(nrES_Raw,nrES_PID,$D380,nrES_Code,$F380,nrES_Att,1))))))</f>
        <v/>
      </c>
      <c r="N380" s="15">
        <f>IF($C380="","",IF($L380="","",IF($L380&gt;=$J380,"Yes","No")))</f>
        <v/>
      </c>
      <c r="O380" s="15">
        <f>IF($C380="","",IF($M380="","",IF($M380&gt;=$J380,"Yes","No")))</f>
        <v/>
      </c>
      <c r="P380" s="15">
        <f>IF($C380="","",IF($K380="","",IF(COUNTIFS(nrES_PID,$D380,nrES_Code,$F380,nrES_Att,"&gt;"&amp;$K380)=0,"Yes","No")))</f>
        <v/>
      </c>
      <c r="Q380" s="15">
        <f>IF($C380="","",IF($L380="","",IF(AND($K380=1,$L380&lt;$J380,COUNTIFS(nrES_PID,$D380,nrES_Code,$F380,nrES_Att,2)=0),"Yes","No")))</f>
        <v/>
      </c>
      <c r="R380" s="15">
        <f>IF($C380="","",IF($L380="","",IF(AND($K380=2,$L380&lt;$J380,COUNTIFS(nrES_PID,$D380,nrES_Code,$F380,nrES_Att,1)&gt;0),"Yes","No")))</f>
        <v/>
      </c>
      <c r="S380" s="16" t="n"/>
      <c r="T380" s="17">
        <f>IF($Q380&lt;&gt;"Yes","",IF($S380="","(enter date)",_xlfn.LET(_xlpm.dn,IFERROR(_xlfn.XLOOKUP($S380,nrCDdate,nrCDnum),""),IF(_xlpm.dn="","(not a class day)",IFERROR(_xlfn.XLOOKUP(_xlpm.dn+cfgRetestClassDays,nrCDnum,nrCDdate),"")))))</f>
        <v/>
      </c>
      <c r="U380" s="15">
        <f>IF($Q380&lt;&gt;"Yes","",IF(COUNTIFS(nrES_PID,$D380,nrES_Code,$F380,nrES_Att,2)&gt;0,"Retested",IF(OR($T380="",NOT(ISNUMBER($T380))),"Pending",IF(TODAY()&gt;$T380,"OVERDUE","Due "&amp;TEXT($T380,"mm/dd")))))</f>
        <v/>
      </c>
      <c r="V380" s="14" t="n"/>
      <c r="W380" s="14" t="n"/>
    </row>
    <row r="381">
      <c r="B381" s="15">
        <f>IF($C381="","",$D381&amp;"-"&amp;$F381&amp;"-"&amp;$K381)</f>
        <v/>
      </c>
      <c r="C381" s="14" t="n"/>
      <c r="D381" s="15">
        <f>IF($C381="","",IFERROR(INDEX(rngCadetPIDs,MATCH($C381,rngCadetNames,0)),"?"))</f>
        <v/>
      </c>
      <c r="E381" s="15">
        <f>IF($D381="","",IFERROR(INDEX(nrCadetAgency,MATCH($D381,rngCadetPIDs,0)),""))</f>
        <v/>
      </c>
      <c r="F381" s="14" t="n"/>
      <c r="G381" s="15">
        <f>IF($F381="","",IFERROR(INDEX(rngEPname,MATCH($F381,rngEPcode,0)),"?"))</f>
        <v/>
      </c>
      <c r="H381" s="15">
        <f>IF($F381="","",IFERROR(INDEX(rngEPtype,MATCH($F381,rngEPcode,0)),"?"))</f>
        <v/>
      </c>
      <c r="I381" s="15">
        <f>IF($F381="","",IFERROR(INDEX(rngEPseq,MATCH($F381,rngEPcode,0)),""))</f>
        <v/>
      </c>
      <c r="J381" s="15">
        <f>IF($F381="","",IFERROR(INDEX(rngEPpass,MATCH($F381,rngEPcode,0)),cfgPassingScore))</f>
        <v/>
      </c>
      <c r="K381" s="14" t="n"/>
      <c r="L381" s="14" t="n"/>
      <c r="M381" s="15">
        <f>IF($C381="","",IF($L381="","",IF($K381=1,IF(COUNTIFS(nrES_PID,$D381,nrES_Code,$F381,nrES_Att,2)&gt;0,"",$L381),IF(COUNTIFS(nrES_PID,$D381,nrES_Code,$F381,nrES_Att,1)=0,$L381,IF($L381&gt;=$J381,cfgRetakeRecordedCap,SUMIFS(nrES_Raw,nrES_PID,$D381,nrES_Code,$F381,nrES_Att,1))))))</f>
        <v/>
      </c>
      <c r="N381" s="15">
        <f>IF($C381="","",IF($L381="","",IF($L381&gt;=$J381,"Yes","No")))</f>
        <v/>
      </c>
      <c r="O381" s="15">
        <f>IF($C381="","",IF($M381="","",IF($M381&gt;=$J381,"Yes","No")))</f>
        <v/>
      </c>
      <c r="P381" s="15">
        <f>IF($C381="","",IF($K381="","",IF(COUNTIFS(nrES_PID,$D381,nrES_Code,$F381,nrES_Att,"&gt;"&amp;$K381)=0,"Yes","No")))</f>
        <v/>
      </c>
      <c r="Q381" s="15">
        <f>IF($C381="","",IF($L381="","",IF(AND($K381=1,$L381&lt;$J381,COUNTIFS(nrES_PID,$D381,nrES_Code,$F381,nrES_Att,2)=0),"Yes","No")))</f>
        <v/>
      </c>
      <c r="R381" s="15">
        <f>IF($C381="","",IF($L381="","",IF(AND($K381=2,$L381&lt;$J381,COUNTIFS(nrES_PID,$D381,nrES_Code,$F381,nrES_Att,1)&gt;0),"Yes","No")))</f>
        <v/>
      </c>
      <c r="S381" s="16" t="n"/>
      <c r="T381" s="17">
        <f>IF($Q381&lt;&gt;"Yes","",IF($S381="","(enter date)",_xlfn.LET(_xlpm.dn,IFERROR(_xlfn.XLOOKUP($S381,nrCDdate,nrCDnum),""),IF(_xlpm.dn="","(not a class day)",IFERROR(_xlfn.XLOOKUP(_xlpm.dn+cfgRetestClassDays,nrCDnum,nrCDdate),"")))))</f>
        <v/>
      </c>
      <c r="U381" s="15">
        <f>IF($Q381&lt;&gt;"Yes","",IF(COUNTIFS(nrES_PID,$D381,nrES_Code,$F381,nrES_Att,2)&gt;0,"Retested",IF(OR($T381="",NOT(ISNUMBER($T381))),"Pending",IF(TODAY()&gt;$T381,"OVERDUE","Due "&amp;TEXT($T381,"mm/dd")))))</f>
        <v/>
      </c>
      <c r="V381" s="14" t="n"/>
      <c r="W381" s="14" t="n"/>
    </row>
    <row r="382">
      <c r="B382" s="15">
        <f>IF($C382="","",$D382&amp;"-"&amp;$F382&amp;"-"&amp;$K382)</f>
        <v/>
      </c>
      <c r="C382" s="14" t="n"/>
      <c r="D382" s="15">
        <f>IF($C382="","",IFERROR(INDEX(rngCadetPIDs,MATCH($C382,rngCadetNames,0)),"?"))</f>
        <v/>
      </c>
      <c r="E382" s="15">
        <f>IF($D382="","",IFERROR(INDEX(nrCadetAgency,MATCH($D382,rngCadetPIDs,0)),""))</f>
        <v/>
      </c>
      <c r="F382" s="14" t="n"/>
      <c r="G382" s="15">
        <f>IF($F382="","",IFERROR(INDEX(rngEPname,MATCH($F382,rngEPcode,0)),"?"))</f>
        <v/>
      </c>
      <c r="H382" s="15">
        <f>IF($F382="","",IFERROR(INDEX(rngEPtype,MATCH($F382,rngEPcode,0)),"?"))</f>
        <v/>
      </c>
      <c r="I382" s="15">
        <f>IF($F382="","",IFERROR(INDEX(rngEPseq,MATCH($F382,rngEPcode,0)),""))</f>
        <v/>
      </c>
      <c r="J382" s="15">
        <f>IF($F382="","",IFERROR(INDEX(rngEPpass,MATCH($F382,rngEPcode,0)),cfgPassingScore))</f>
        <v/>
      </c>
      <c r="K382" s="14" t="n"/>
      <c r="L382" s="14" t="n"/>
      <c r="M382" s="15">
        <f>IF($C382="","",IF($L382="","",IF($K382=1,IF(COUNTIFS(nrES_PID,$D382,nrES_Code,$F382,nrES_Att,2)&gt;0,"",$L382),IF(COUNTIFS(nrES_PID,$D382,nrES_Code,$F382,nrES_Att,1)=0,$L382,IF($L382&gt;=$J382,cfgRetakeRecordedCap,SUMIFS(nrES_Raw,nrES_PID,$D382,nrES_Code,$F382,nrES_Att,1))))))</f>
        <v/>
      </c>
      <c r="N382" s="15">
        <f>IF($C382="","",IF($L382="","",IF($L382&gt;=$J382,"Yes","No")))</f>
        <v/>
      </c>
      <c r="O382" s="15">
        <f>IF($C382="","",IF($M382="","",IF($M382&gt;=$J382,"Yes","No")))</f>
        <v/>
      </c>
      <c r="P382" s="15">
        <f>IF($C382="","",IF($K382="","",IF(COUNTIFS(nrES_PID,$D382,nrES_Code,$F382,nrES_Att,"&gt;"&amp;$K382)=0,"Yes","No")))</f>
        <v/>
      </c>
      <c r="Q382" s="15">
        <f>IF($C382="","",IF($L382="","",IF(AND($K382=1,$L382&lt;$J382,COUNTIFS(nrES_PID,$D382,nrES_Code,$F382,nrES_Att,2)=0),"Yes","No")))</f>
        <v/>
      </c>
      <c r="R382" s="15">
        <f>IF($C382="","",IF($L382="","",IF(AND($K382=2,$L382&lt;$J382,COUNTIFS(nrES_PID,$D382,nrES_Code,$F382,nrES_Att,1)&gt;0),"Yes","No")))</f>
        <v/>
      </c>
      <c r="S382" s="16" t="n"/>
      <c r="T382" s="17">
        <f>IF($Q382&lt;&gt;"Yes","",IF($S382="","(enter date)",_xlfn.LET(_xlpm.dn,IFERROR(_xlfn.XLOOKUP($S382,nrCDdate,nrCDnum),""),IF(_xlpm.dn="","(not a class day)",IFERROR(_xlfn.XLOOKUP(_xlpm.dn+cfgRetestClassDays,nrCDnum,nrCDdate),"")))))</f>
        <v/>
      </c>
      <c r="U382" s="15">
        <f>IF($Q382&lt;&gt;"Yes","",IF(COUNTIFS(nrES_PID,$D382,nrES_Code,$F382,nrES_Att,2)&gt;0,"Retested",IF(OR($T382="",NOT(ISNUMBER($T382))),"Pending",IF(TODAY()&gt;$T382,"OVERDUE","Due "&amp;TEXT($T382,"mm/dd")))))</f>
        <v/>
      </c>
      <c r="V382" s="14" t="n"/>
      <c r="W382" s="14" t="n"/>
    </row>
    <row r="383">
      <c r="B383" s="15">
        <f>IF($C383="","",$D383&amp;"-"&amp;$F383&amp;"-"&amp;$K383)</f>
        <v/>
      </c>
      <c r="C383" s="14" t="n"/>
      <c r="D383" s="15">
        <f>IF($C383="","",IFERROR(INDEX(rngCadetPIDs,MATCH($C383,rngCadetNames,0)),"?"))</f>
        <v/>
      </c>
      <c r="E383" s="15">
        <f>IF($D383="","",IFERROR(INDEX(nrCadetAgency,MATCH($D383,rngCadetPIDs,0)),""))</f>
        <v/>
      </c>
      <c r="F383" s="14" t="n"/>
      <c r="G383" s="15">
        <f>IF($F383="","",IFERROR(INDEX(rngEPname,MATCH($F383,rngEPcode,0)),"?"))</f>
        <v/>
      </c>
      <c r="H383" s="15">
        <f>IF($F383="","",IFERROR(INDEX(rngEPtype,MATCH($F383,rngEPcode,0)),"?"))</f>
        <v/>
      </c>
      <c r="I383" s="15">
        <f>IF($F383="","",IFERROR(INDEX(rngEPseq,MATCH($F383,rngEPcode,0)),""))</f>
        <v/>
      </c>
      <c r="J383" s="15">
        <f>IF($F383="","",IFERROR(INDEX(rngEPpass,MATCH($F383,rngEPcode,0)),cfgPassingScore))</f>
        <v/>
      </c>
      <c r="K383" s="14" t="n"/>
      <c r="L383" s="14" t="n"/>
      <c r="M383" s="15">
        <f>IF($C383="","",IF($L383="","",IF($K383=1,IF(COUNTIFS(nrES_PID,$D383,nrES_Code,$F383,nrES_Att,2)&gt;0,"",$L383),IF(COUNTIFS(nrES_PID,$D383,nrES_Code,$F383,nrES_Att,1)=0,$L383,IF($L383&gt;=$J383,cfgRetakeRecordedCap,SUMIFS(nrES_Raw,nrES_PID,$D383,nrES_Code,$F383,nrES_Att,1))))))</f>
        <v/>
      </c>
      <c r="N383" s="15">
        <f>IF($C383="","",IF($L383="","",IF($L383&gt;=$J383,"Yes","No")))</f>
        <v/>
      </c>
      <c r="O383" s="15">
        <f>IF($C383="","",IF($M383="","",IF($M383&gt;=$J383,"Yes","No")))</f>
        <v/>
      </c>
      <c r="P383" s="15">
        <f>IF($C383="","",IF($K383="","",IF(COUNTIFS(nrES_PID,$D383,nrES_Code,$F383,nrES_Att,"&gt;"&amp;$K383)=0,"Yes","No")))</f>
        <v/>
      </c>
      <c r="Q383" s="15">
        <f>IF($C383="","",IF($L383="","",IF(AND($K383=1,$L383&lt;$J383,COUNTIFS(nrES_PID,$D383,nrES_Code,$F383,nrES_Att,2)=0),"Yes","No")))</f>
        <v/>
      </c>
      <c r="R383" s="15">
        <f>IF($C383="","",IF($L383="","",IF(AND($K383=2,$L383&lt;$J383,COUNTIFS(nrES_PID,$D383,nrES_Code,$F383,nrES_Att,1)&gt;0),"Yes","No")))</f>
        <v/>
      </c>
      <c r="S383" s="16" t="n"/>
      <c r="T383" s="17">
        <f>IF($Q383&lt;&gt;"Yes","",IF($S383="","(enter date)",_xlfn.LET(_xlpm.dn,IFERROR(_xlfn.XLOOKUP($S383,nrCDdate,nrCDnum),""),IF(_xlpm.dn="","(not a class day)",IFERROR(_xlfn.XLOOKUP(_xlpm.dn+cfgRetestClassDays,nrCDnum,nrCDdate),"")))))</f>
        <v/>
      </c>
      <c r="U383" s="15">
        <f>IF($Q383&lt;&gt;"Yes","",IF(COUNTIFS(nrES_PID,$D383,nrES_Code,$F383,nrES_Att,2)&gt;0,"Retested",IF(OR($T383="",NOT(ISNUMBER($T383))),"Pending",IF(TODAY()&gt;$T383,"OVERDUE","Due "&amp;TEXT($T383,"mm/dd")))))</f>
        <v/>
      </c>
      <c r="V383" s="14" t="n"/>
      <c r="W383" s="14" t="n"/>
    </row>
    <row r="384">
      <c r="B384" s="15">
        <f>IF($C384="","",$D384&amp;"-"&amp;$F384&amp;"-"&amp;$K384)</f>
        <v/>
      </c>
      <c r="C384" s="14" t="n"/>
      <c r="D384" s="15">
        <f>IF($C384="","",IFERROR(INDEX(rngCadetPIDs,MATCH($C384,rngCadetNames,0)),"?"))</f>
        <v/>
      </c>
      <c r="E384" s="15">
        <f>IF($D384="","",IFERROR(INDEX(nrCadetAgency,MATCH($D384,rngCadetPIDs,0)),""))</f>
        <v/>
      </c>
      <c r="F384" s="14" t="n"/>
      <c r="G384" s="15">
        <f>IF($F384="","",IFERROR(INDEX(rngEPname,MATCH($F384,rngEPcode,0)),"?"))</f>
        <v/>
      </c>
      <c r="H384" s="15">
        <f>IF($F384="","",IFERROR(INDEX(rngEPtype,MATCH($F384,rngEPcode,0)),"?"))</f>
        <v/>
      </c>
      <c r="I384" s="15">
        <f>IF($F384="","",IFERROR(INDEX(rngEPseq,MATCH($F384,rngEPcode,0)),""))</f>
        <v/>
      </c>
      <c r="J384" s="15">
        <f>IF($F384="","",IFERROR(INDEX(rngEPpass,MATCH($F384,rngEPcode,0)),cfgPassingScore))</f>
        <v/>
      </c>
      <c r="K384" s="14" t="n"/>
      <c r="L384" s="14" t="n"/>
      <c r="M384" s="15">
        <f>IF($C384="","",IF($L384="","",IF($K384=1,IF(COUNTIFS(nrES_PID,$D384,nrES_Code,$F384,nrES_Att,2)&gt;0,"",$L384),IF(COUNTIFS(nrES_PID,$D384,nrES_Code,$F384,nrES_Att,1)=0,$L384,IF($L384&gt;=$J384,cfgRetakeRecordedCap,SUMIFS(nrES_Raw,nrES_PID,$D384,nrES_Code,$F384,nrES_Att,1))))))</f>
        <v/>
      </c>
      <c r="N384" s="15">
        <f>IF($C384="","",IF($L384="","",IF($L384&gt;=$J384,"Yes","No")))</f>
        <v/>
      </c>
      <c r="O384" s="15">
        <f>IF($C384="","",IF($M384="","",IF($M384&gt;=$J384,"Yes","No")))</f>
        <v/>
      </c>
      <c r="P384" s="15">
        <f>IF($C384="","",IF($K384="","",IF(COUNTIFS(nrES_PID,$D384,nrES_Code,$F384,nrES_Att,"&gt;"&amp;$K384)=0,"Yes","No")))</f>
        <v/>
      </c>
      <c r="Q384" s="15">
        <f>IF($C384="","",IF($L384="","",IF(AND($K384=1,$L384&lt;$J384,COUNTIFS(nrES_PID,$D384,nrES_Code,$F384,nrES_Att,2)=0),"Yes","No")))</f>
        <v/>
      </c>
      <c r="R384" s="15">
        <f>IF($C384="","",IF($L384="","",IF(AND($K384=2,$L384&lt;$J384,COUNTIFS(nrES_PID,$D384,nrES_Code,$F384,nrES_Att,1)&gt;0),"Yes","No")))</f>
        <v/>
      </c>
      <c r="S384" s="16" t="n"/>
      <c r="T384" s="17">
        <f>IF($Q384&lt;&gt;"Yes","",IF($S384="","(enter date)",_xlfn.LET(_xlpm.dn,IFERROR(_xlfn.XLOOKUP($S384,nrCDdate,nrCDnum),""),IF(_xlpm.dn="","(not a class day)",IFERROR(_xlfn.XLOOKUP(_xlpm.dn+cfgRetestClassDays,nrCDnum,nrCDdate),"")))))</f>
        <v/>
      </c>
      <c r="U384" s="15">
        <f>IF($Q384&lt;&gt;"Yes","",IF(COUNTIFS(nrES_PID,$D384,nrES_Code,$F384,nrES_Att,2)&gt;0,"Retested",IF(OR($T384="",NOT(ISNUMBER($T384))),"Pending",IF(TODAY()&gt;$T384,"OVERDUE","Due "&amp;TEXT($T384,"mm/dd")))))</f>
        <v/>
      </c>
      <c r="V384" s="14" t="n"/>
      <c r="W384" s="14" t="n"/>
    </row>
    <row r="385">
      <c r="B385" s="15">
        <f>IF($C385="","",$D385&amp;"-"&amp;$F385&amp;"-"&amp;$K385)</f>
        <v/>
      </c>
      <c r="C385" s="14" t="n"/>
      <c r="D385" s="15">
        <f>IF($C385="","",IFERROR(INDEX(rngCadetPIDs,MATCH($C385,rngCadetNames,0)),"?"))</f>
        <v/>
      </c>
      <c r="E385" s="15">
        <f>IF($D385="","",IFERROR(INDEX(nrCadetAgency,MATCH($D385,rngCadetPIDs,0)),""))</f>
        <v/>
      </c>
      <c r="F385" s="14" t="n"/>
      <c r="G385" s="15">
        <f>IF($F385="","",IFERROR(INDEX(rngEPname,MATCH($F385,rngEPcode,0)),"?"))</f>
        <v/>
      </c>
      <c r="H385" s="15">
        <f>IF($F385="","",IFERROR(INDEX(rngEPtype,MATCH($F385,rngEPcode,0)),"?"))</f>
        <v/>
      </c>
      <c r="I385" s="15">
        <f>IF($F385="","",IFERROR(INDEX(rngEPseq,MATCH($F385,rngEPcode,0)),""))</f>
        <v/>
      </c>
      <c r="J385" s="15">
        <f>IF($F385="","",IFERROR(INDEX(rngEPpass,MATCH($F385,rngEPcode,0)),cfgPassingScore))</f>
        <v/>
      </c>
      <c r="K385" s="14" t="n"/>
      <c r="L385" s="14" t="n"/>
      <c r="M385" s="15">
        <f>IF($C385="","",IF($L385="","",IF($K385=1,IF(COUNTIFS(nrES_PID,$D385,nrES_Code,$F385,nrES_Att,2)&gt;0,"",$L385),IF(COUNTIFS(nrES_PID,$D385,nrES_Code,$F385,nrES_Att,1)=0,$L385,IF($L385&gt;=$J385,cfgRetakeRecordedCap,SUMIFS(nrES_Raw,nrES_PID,$D385,nrES_Code,$F385,nrES_Att,1))))))</f>
        <v/>
      </c>
      <c r="N385" s="15">
        <f>IF($C385="","",IF($L385="","",IF($L385&gt;=$J385,"Yes","No")))</f>
        <v/>
      </c>
      <c r="O385" s="15">
        <f>IF($C385="","",IF($M385="","",IF($M385&gt;=$J385,"Yes","No")))</f>
        <v/>
      </c>
      <c r="P385" s="15">
        <f>IF($C385="","",IF($K385="","",IF(COUNTIFS(nrES_PID,$D385,nrES_Code,$F385,nrES_Att,"&gt;"&amp;$K385)=0,"Yes","No")))</f>
        <v/>
      </c>
      <c r="Q385" s="15">
        <f>IF($C385="","",IF($L385="","",IF(AND($K385=1,$L385&lt;$J385,COUNTIFS(nrES_PID,$D385,nrES_Code,$F385,nrES_Att,2)=0),"Yes","No")))</f>
        <v/>
      </c>
      <c r="R385" s="15">
        <f>IF($C385="","",IF($L385="","",IF(AND($K385=2,$L385&lt;$J385,COUNTIFS(nrES_PID,$D385,nrES_Code,$F385,nrES_Att,1)&gt;0),"Yes","No")))</f>
        <v/>
      </c>
      <c r="S385" s="16" t="n"/>
      <c r="T385" s="17">
        <f>IF($Q385&lt;&gt;"Yes","",IF($S385="","(enter date)",_xlfn.LET(_xlpm.dn,IFERROR(_xlfn.XLOOKUP($S385,nrCDdate,nrCDnum),""),IF(_xlpm.dn="","(not a class day)",IFERROR(_xlfn.XLOOKUP(_xlpm.dn+cfgRetestClassDays,nrCDnum,nrCDdate),"")))))</f>
        <v/>
      </c>
      <c r="U385" s="15">
        <f>IF($Q385&lt;&gt;"Yes","",IF(COUNTIFS(nrES_PID,$D385,nrES_Code,$F385,nrES_Att,2)&gt;0,"Retested",IF(OR($T385="",NOT(ISNUMBER($T385))),"Pending",IF(TODAY()&gt;$T385,"OVERDUE","Due "&amp;TEXT($T385,"mm/dd")))))</f>
        <v/>
      </c>
      <c r="V385" s="14" t="n"/>
      <c r="W385" s="14" t="n"/>
    </row>
    <row r="386">
      <c r="B386" s="15">
        <f>IF($C386="","",$D386&amp;"-"&amp;$F386&amp;"-"&amp;$K386)</f>
        <v/>
      </c>
      <c r="C386" s="14" t="n"/>
      <c r="D386" s="15">
        <f>IF($C386="","",IFERROR(INDEX(rngCadetPIDs,MATCH($C386,rngCadetNames,0)),"?"))</f>
        <v/>
      </c>
      <c r="E386" s="15">
        <f>IF($D386="","",IFERROR(INDEX(nrCadetAgency,MATCH($D386,rngCadetPIDs,0)),""))</f>
        <v/>
      </c>
      <c r="F386" s="14" t="n"/>
      <c r="G386" s="15">
        <f>IF($F386="","",IFERROR(INDEX(rngEPname,MATCH($F386,rngEPcode,0)),"?"))</f>
        <v/>
      </c>
      <c r="H386" s="15">
        <f>IF($F386="","",IFERROR(INDEX(rngEPtype,MATCH($F386,rngEPcode,0)),"?"))</f>
        <v/>
      </c>
      <c r="I386" s="15">
        <f>IF($F386="","",IFERROR(INDEX(rngEPseq,MATCH($F386,rngEPcode,0)),""))</f>
        <v/>
      </c>
      <c r="J386" s="15">
        <f>IF($F386="","",IFERROR(INDEX(rngEPpass,MATCH($F386,rngEPcode,0)),cfgPassingScore))</f>
        <v/>
      </c>
      <c r="K386" s="14" t="n"/>
      <c r="L386" s="14" t="n"/>
      <c r="M386" s="15">
        <f>IF($C386="","",IF($L386="","",IF($K386=1,IF(COUNTIFS(nrES_PID,$D386,nrES_Code,$F386,nrES_Att,2)&gt;0,"",$L386),IF(COUNTIFS(nrES_PID,$D386,nrES_Code,$F386,nrES_Att,1)=0,$L386,IF($L386&gt;=$J386,cfgRetakeRecordedCap,SUMIFS(nrES_Raw,nrES_PID,$D386,nrES_Code,$F386,nrES_Att,1))))))</f>
        <v/>
      </c>
      <c r="N386" s="15">
        <f>IF($C386="","",IF($L386="","",IF($L386&gt;=$J386,"Yes","No")))</f>
        <v/>
      </c>
      <c r="O386" s="15">
        <f>IF($C386="","",IF($M386="","",IF($M386&gt;=$J386,"Yes","No")))</f>
        <v/>
      </c>
      <c r="P386" s="15">
        <f>IF($C386="","",IF($K386="","",IF(COUNTIFS(nrES_PID,$D386,nrES_Code,$F386,nrES_Att,"&gt;"&amp;$K386)=0,"Yes","No")))</f>
        <v/>
      </c>
      <c r="Q386" s="15">
        <f>IF($C386="","",IF($L386="","",IF(AND($K386=1,$L386&lt;$J386,COUNTIFS(nrES_PID,$D386,nrES_Code,$F386,nrES_Att,2)=0),"Yes","No")))</f>
        <v/>
      </c>
      <c r="R386" s="15">
        <f>IF($C386="","",IF($L386="","",IF(AND($K386=2,$L386&lt;$J386,COUNTIFS(nrES_PID,$D386,nrES_Code,$F386,nrES_Att,1)&gt;0),"Yes","No")))</f>
        <v/>
      </c>
      <c r="S386" s="16" t="n"/>
      <c r="T386" s="17">
        <f>IF($Q386&lt;&gt;"Yes","",IF($S386="","(enter date)",_xlfn.LET(_xlpm.dn,IFERROR(_xlfn.XLOOKUP($S386,nrCDdate,nrCDnum),""),IF(_xlpm.dn="","(not a class day)",IFERROR(_xlfn.XLOOKUP(_xlpm.dn+cfgRetestClassDays,nrCDnum,nrCDdate),"")))))</f>
        <v/>
      </c>
      <c r="U386" s="15">
        <f>IF($Q386&lt;&gt;"Yes","",IF(COUNTIFS(nrES_PID,$D386,nrES_Code,$F386,nrES_Att,2)&gt;0,"Retested",IF(OR($T386="",NOT(ISNUMBER($T386))),"Pending",IF(TODAY()&gt;$T386,"OVERDUE","Due "&amp;TEXT($T386,"mm/dd")))))</f>
        <v/>
      </c>
      <c r="V386" s="14" t="n"/>
      <c r="W386" s="14" t="n"/>
    </row>
    <row r="387">
      <c r="B387" s="15">
        <f>IF($C387="","",$D387&amp;"-"&amp;$F387&amp;"-"&amp;$K387)</f>
        <v/>
      </c>
      <c r="C387" s="14" t="n"/>
      <c r="D387" s="15">
        <f>IF($C387="","",IFERROR(INDEX(rngCadetPIDs,MATCH($C387,rngCadetNames,0)),"?"))</f>
        <v/>
      </c>
      <c r="E387" s="15">
        <f>IF($D387="","",IFERROR(INDEX(nrCadetAgency,MATCH($D387,rngCadetPIDs,0)),""))</f>
        <v/>
      </c>
      <c r="F387" s="14" t="n"/>
      <c r="G387" s="15">
        <f>IF($F387="","",IFERROR(INDEX(rngEPname,MATCH($F387,rngEPcode,0)),"?"))</f>
        <v/>
      </c>
      <c r="H387" s="15">
        <f>IF($F387="","",IFERROR(INDEX(rngEPtype,MATCH($F387,rngEPcode,0)),"?"))</f>
        <v/>
      </c>
      <c r="I387" s="15">
        <f>IF($F387="","",IFERROR(INDEX(rngEPseq,MATCH($F387,rngEPcode,0)),""))</f>
        <v/>
      </c>
      <c r="J387" s="15">
        <f>IF($F387="","",IFERROR(INDEX(rngEPpass,MATCH($F387,rngEPcode,0)),cfgPassingScore))</f>
        <v/>
      </c>
      <c r="K387" s="14" t="n"/>
      <c r="L387" s="14" t="n"/>
      <c r="M387" s="15">
        <f>IF($C387="","",IF($L387="","",IF($K387=1,IF(COUNTIFS(nrES_PID,$D387,nrES_Code,$F387,nrES_Att,2)&gt;0,"",$L387),IF(COUNTIFS(nrES_PID,$D387,nrES_Code,$F387,nrES_Att,1)=0,$L387,IF($L387&gt;=$J387,cfgRetakeRecordedCap,SUMIFS(nrES_Raw,nrES_PID,$D387,nrES_Code,$F387,nrES_Att,1))))))</f>
        <v/>
      </c>
      <c r="N387" s="15">
        <f>IF($C387="","",IF($L387="","",IF($L387&gt;=$J387,"Yes","No")))</f>
        <v/>
      </c>
      <c r="O387" s="15">
        <f>IF($C387="","",IF($M387="","",IF($M387&gt;=$J387,"Yes","No")))</f>
        <v/>
      </c>
      <c r="P387" s="15">
        <f>IF($C387="","",IF($K387="","",IF(COUNTIFS(nrES_PID,$D387,nrES_Code,$F387,nrES_Att,"&gt;"&amp;$K387)=0,"Yes","No")))</f>
        <v/>
      </c>
      <c r="Q387" s="15">
        <f>IF($C387="","",IF($L387="","",IF(AND($K387=1,$L387&lt;$J387,COUNTIFS(nrES_PID,$D387,nrES_Code,$F387,nrES_Att,2)=0),"Yes","No")))</f>
        <v/>
      </c>
      <c r="R387" s="15">
        <f>IF($C387="","",IF($L387="","",IF(AND($K387=2,$L387&lt;$J387,COUNTIFS(nrES_PID,$D387,nrES_Code,$F387,nrES_Att,1)&gt;0),"Yes","No")))</f>
        <v/>
      </c>
      <c r="S387" s="16" t="n"/>
      <c r="T387" s="17">
        <f>IF($Q387&lt;&gt;"Yes","",IF($S387="","(enter date)",_xlfn.LET(_xlpm.dn,IFERROR(_xlfn.XLOOKUP($S387,nrCDdate,nrCDnum),""),IF(_xlpm.dn="","(not a class day)",IFERROR(_xlfn.XLOOKUP(_xlpm.dn+cfgRetestClassDays,nrCDnum,nrCDdate),"")))))</f>
        <v/>
      </c>
      <c r="U387" s="15">
        <f>IF($Q387&lt;&gt;"Yes","",IF(COUNTIFS(nrES_PID,$D387,nrES_Code,$F387,nrES_Att,2)&gt;0,"Retested",IF(OR($T387="",NOT(ISNUMBER($T387))),"Pending",IF(TODAY()&gt;$T387,"OVERDUE","Due "&amp;TEXT($T387,"mm/dd")))))</f>
        <v/>
      </c>
      <c r="V387" s="14" t="n"/>
      <c r="W387" s="14" t="n"/>
    </row>
    <row r="388">
      <c r="B388" s="15">
        <f>IF($C388="","",$D388&amp;"-"&amp;$F388&amp;"-"&amp;$K388)</f>
        <v/>
      </c>
      <c r="C388" s="14" t="n"/>
      <c r="D388" s="15">
        <f>IF($C388="","",IFERROR(INDEX(rngCadetPIDs,MATCH($C388,rngCadetNames,0)),"?"))</f>
        <v/>
      </c>
      <c r="E388" s="15">
        <f>IF($D388="","",IFERROR(INDEX(nrCadetAgency,MATCH($D388,rngCadetPIDs,0)),""))</f>
        <v/>
      </c>
      <c r="F388" s="14" t="n"/>
      <c r="G388" s="15">
        <f>IF($F388="","",IFERROR(INDEX(rngEPname,MATCH($F388,rngEPcode,0)),"?"))</f>
        <v/>
      </c>
      <c r="H388" s="15">
        <f>IF($F388="","",IFERROR(INDEX(rngEPtype,MATCH($F388,rngEPcode,0)),"?"))</f>
        <v/>
      </c>
      <c r="I388" s="15">
        <f>IF($F388="","",IFERROR(INDEX(rngEPseq,MATCH($F388,rngEPcode,0)),""))</f>
        <v/>
      </c>
      <c r="J388" s="15">
        <f>IF($F388="","",IFERROR(INDEX(rngEPpass,MATCH($F388,rngEPcode,0)),cfgPassingScore))</f>
        <v/>
      </c>
      <c r="K388" s="14" t="n"/>
      <c r="L388" s="14" t="n"/>
      <c r="M388" s="15">
        <f>IF($C388="","",IF($L388="","",IF($K388=1,IF(COUNTIFS(nrES_PID,$D388,nrES_Code,$F388,nrES_Att,2)&gt;0,"",$L388),IF(COUNTIFS(nrES_PID,$D388,nrES_Code,$F388,nrES_Att,1)=0,$L388,IF($L388&gt;=$J388,cfgRetakeRecordedCap,SUMIFS(nrES_Raw,nrES_PID,$D388,nrES_Code,$F388,nrES_Att,1))))))</f>
        <v/>
      </c>
      <c r="N388" s="15">
        <f>IF($C388="","",IF($L388="","",IF($L388&gt;=$J388,"Yes","No")))</f>
        <v/>
      </c>
      <c r="O388" s="15">
        <f>IF($C388="","",IF($M388="","",IF($M388&gt;=$J388,"Yes","No")))</f>
        <v/>
      </c>
      <c r="P388" s="15">
        <f>IF($C388="","",IF($K388="","",IF(COUNTIFS(nrES_PID,$D388,nrES_Code,$F388,nrES_Att,"&gt;"&amp;$K388)=0,"Yes","No")))</f>
        <v/>
      </c>
      <c r="Q388" s="15">
        <f>IF($C388="","",IF($L388="","",IF(AND($K388=1,$L388&lt;$J388,COUNTIFS(nrES_PID,$D388,nrES_Code,$F388,nrES_Att,2)=0),"Yes","No")))</f>
        <v/>
      </c>
      <c r="R388" s="15">
        <f>IF($C388="","",IF($L388="","",IF(AND($K388=2,$L388&lt;$J388,COUNTIFS(nrES_PID,$D388,nrES_Code,$F388,nrES_Att,1)&gt;0),"Yes","No")))</f>
        <v/>
      </c>
      <c r="S388" s="16" t="n"/>
      <c r="T388" s="17">
        <f>IF($Q388&lt;&gt;"Yes","",IF($S388="","(enter date)",_xlfn.LET(_xlpm.dn,IFERROR(_xlfn.XLOOKUP($S388,nrCDdate,nrCDnum),""),IF(_xlpm.dn="","(not a class day)",IFERROR(_xlfn.XLOOKUP(_xlpm.dn+cfgRetestClassDays,nrCDnum,nrCDdate),"")))))</f>
        <v/>
      </c>
      <c r="U388" s="15">
        <f>IF($Q388&lt;&gt;"Yes","",IF(COUNTIFS(nrES_PID,$D388,nrES_Code,$F388,nrES_Att,2)&gt;0,"Retested",IF(OR($T388="",NOT(ISNUMBER($T388))),"Pending",IF(TODAY()&gt;$T388,"OVERDUE","Due "&amp;TEXT($T388,"mm/dd")))))</f>
        <v/>
      </c>
      <c r="V388" s="14" t="n"/>
      <c r="W388" s="14" t="n"/>
    </row>
    <row r="389">
      <c r="B389" s="15">
        <f>IF($C389="","",$D389&amp;"-"&amp;$F389&amp;"-"&amp;$K389)</f>
        <v/>
      </c>
      <c r="C389" s="14" t="n"/>
      <c r="D389" s="15">
        <f>IF($C389="","",IFERROR(INDEX(rngCadetPIDs,MATCH($C389,rngCadetNames,0)),"?"))</f>
        <v/>
      </c>
      <c r="E389" s="15">
        <f>IF($D389="","",IFERROR(INDEX(nrCadetAgency,MATCH($D389,rngCadetPIDs,0)),""))</f>
        <v/>
      </c>
      <c r="F389" s="14" t="n"/>
      <c r="G389" s="15">
        <f>IF($F389="","",IFERROR(INDEX(rngEPname,MATCH($F389,rngEPcode,0)),"?"))</f>
        <v/>
      </c>
      <c r="H389" s="15">
        <f>IF($F389="","",IFERROR(INDEX(rngEPtype,MATCH($F389,rngEPcode,0)),"?"))</f>
        <v/>
      </c>
      <c r="I389" s="15">
        <f>IF($F389="","",IFERROR(INDEX(rngEPseq,MATCH($F389,rngEPcode,0)),""))</f>
        <v/>
      </c>
      <c r="J389" s="15">
        <f>IF($F389="","",IFERROR(INDEX(rngEPpass,MATCH($F389,rngEPcode,0)),cfgPassingScore))</f>
        <v/>
      </c>
      <c r="K389" s="14" t="n"/>
      <c r="L389" s="14" t="n"/>
      <c r="M389" s="15">
        <f>IF($C389="","",IF($L389="","",IF($K389=1,IF(COUNTIFS(nrES_PID,$D389,nrES_Code,$F389,nrES_Att,2)&gt;0,"",$L389),IF(COUNTIFS(nrES_PID,$D389,nrES_Code,$F389,nrES_Att,1)=0,$L389,IF($L389&gt;=$J389,cfgRetakeRecordedCap,SUMIFS(nrES_Raw,nrES_PID,$D389,nrES_Code,$F389,nrES_Att,1))))))</f>
        <v/>
      </c>
      <c r="N389" s="15">
        <f>IF($C389="","",IF($L389="","",IF($L389&gt;=$J389,"Yes","No")))</f>
        <v/>
      </c>
      <c r="O389" s="15">
        <f>IF($C389="","",IF($M389="","",IF($M389&gt;=$J389,"Yes","No")))</f>
        <v/>
      </c>
      <c r="P389" s="15">
        <f>IF($C389="","",IF($K389="","",IF(COUNTIFS(nrES_PID,$D389,nrES_Code,$F389,nrES_Att,"&gt;"&amp;$K389)=0,"Yes","No")))</f>
        <v/>
      </c>
      <c r="Q389" s="15">
        <f>IF($C389="","",IF($L389="","",IF(AND($K389=1,$L389&lt;$J389,COUNTIFS(nrES_PID,$D389,nrES_Code,$F389,nrES_Att,2)=0),"Yes","No")))</f>
        <v/>
      </c>
      <c r="R389" s="15">
        <f>IF($C389="","",IF($L389="","",IF(AND($K389=2,$L389&lt;$J389,COUNTIFS(nrES_PID,$D389,nrES_Code,$F389,nrES_Att,1)&gt;0),"Yes","No")))</f>
        <v/>
      </c>
      <c r="S389" s="16" t="n"/>
      <c r="T389" s="17">
        <f>IF($Q389&lt;&gt;"Yes","",IF($S389="","(enter date)",_xlfn.LET(_xlpm.dn,IFERROR(_xlfn.XLOOKUP($S389,nrCDdate,nrCDnum),""),IF(_xlpm.dn="","(not a class day)",IFERROR(_xlfn.XLOOKUP(_xlpm.dn+cfgRetestClassDays,nrCDnum,nrCDdate),"")))))</f>
        <v/>
      </c>
      <c r="U389" s="15">
        <f>IF($Q389&lt;&gt;"Yes","",IF(COUNTIFS(nrES_PID,$D389,nrES_Code,$F389,nrES_Att,2)&gt;0,"Retested",IF(OR($T389="",NOT(ISNUMBER($T389))),"Pending",IF(TODAY()&gt;$T389,"OVERDUE","Due "&amp;TEXT($T389,"mm/dd")))))</f>
        <v/>
      </c>
      <c r="V389" s="14" t="n"/>
      <c r="W389" s="14" t="n"/>
    </row>
    <row r="390">
      <c r="B390" s="15">
        <f>IF($C390="","",$D390&amp;"-"&amp;$F390&amp;"-"&amp;$K390)</f>
        <v/>
      </c>
      <c r="C390" s="14" t="n"/>
      <c r="D390" s="15">
        <f>IF($C390="","",IFERROR(INDEX(rngCadetPIDs,MATCH($C390,rngCadetNames,0)),"?"))</f>
        <v/>
      </c>
      <c r="E390" s="15">
        <f>IF($D390="","",IFERROR(INDEX(nrCadetAgency,MATCH($D390,rngCadetPIDs,0)),""))</f>
        <v/>
      </c>
      <c r="F390" s="14" t="n"/>
      <c r="G390" s="15">
        <f>IF($F390="","",IFERROR(INDEX(rngEPname,MATCH($F390,rngEPcode,0)),"?"))</f>
        <v/>
      </c>
      <c r="H390" s="15">
        <f>IF($F390="","",IFERROR(INDEX(rngEPtype,MATCH($F390,rngEPcode,0)),"?"))</f>
        <v/>
      </c>
      <c r="I390" s="15">
        <f>IF($F390="","",IFERROR(INDEX(rngEPseq,MATCH($F390,rngEPcode,0)),""))</f>
        <v/>
      </c>
      <c r="J390" s="15">
        <f>IF($F390="","",IFERROR(INDEX(rngEPpass,MATCH($F390,rngEPcode,0)),cfgPassingScore))</f>
        <v/>
      </c>
      <c r="K390" s="14" t="n"/>
      <c r="L390" s="14" t="n"/>
      <c r="M390" s="15">
        <f>IF($C390="","",IF($L390="","",IF($K390=1,IF(COUNTIFS(nrES_PID,$D390,nrES_Code,$F390,nrES_Att,2)&gt;0,"",$L390),IF(COUNTIFS(nrES_PID,$D390,nrES_Code,$F390,nrES_Att,1)=0,$L390,IF($L390&gt;=$J390,cfgRetakeRecordedCap,SUMIFS(nrES_Raw,nrES_PID,$D390,nrES_Code,$F390,nrES_Att,1))))))</f>
        <v/>
      </c>
      <c r="N390" s="15">
        <f>IF($C390="","",IF($L390="","",IF($L390&gt;=$J390,"Yes","No")))</f>
        <v/>
      </c>
      <c r="O390" s="15">
        <f>IF($C390="","",IF($M390="","",IF($M390&gt;=$J390,"Yes","No")))</f>
        <v/>
      </c>
      <c r="P390" s="15">
        <f>IF($C390="","",IF($K390="","",IF(COUNTIFS(nrES_PID,$D390,nrES_Code,$F390,nrES_Att,"&gt;"&amp;$K390)=0,"Yes","No")))</f>
        <v/>
      </c>
      <c r="Q390" s="15">
        <f>IF($C390="","",IF($L390="","",IF(AND($K390=1,$L390&lt;$J390,COUNTIFS(nrES_PID,$D390,nrES_Code,$F390,nrES_Att,2)=0),"Yes","No")))</f>
        <v/>
      </c>
      <c r="R390" s="15">
        <f>IF($C390="","",IF($L390="","",IF(AND($K390=2,$L390&lt;$J390,COUNTIFS(nrES_PID,$D390,nrES_Code,$F390,nrES_Att,1)&gt;0),"Yes","No")))</f>
        <v/>
      </c>
      <c r="S390" s="16" t="n"/>
      <c r="T390" s="17">
        <f>IF($Q390&lt;&gt;"Yes","",IF($S390="","(enter date)",_xlfn.LET(_xlpm.dn,IFERROR(_xlfn.XLOOKUP($S390,nrCDdate,nrCDnum),""),IF(_xlpm.dn="","(not a class day)",IFERROR(_xlfn.XLOOKUP(_xlpm.dn+cfgRetestClassDays,nrCDnum,nrCDdate),"")))))</f>
        <v/>
      </c>
      <c r="U390" s="15">
        <f>IF($Q390&lt;&gt;"Yes","",IF(COUNTIFS(nrES_PID,$D390,nrES_Code,$F390,nrES_Att,2)&gt;0,"Retested",IF(OR($T390="",NOT(ISNUMBER($T390))),"Pending",IF(TODAY()&gt;$T390,"OVERDUE","Due "&amp;TEXT($T390,"mm/dd")))))</f>
        <v/>
      </c>
      <c r="V390" s="14" t="n"/>
      <c r="W390" s="14" t="n"/>
    </row>
    <row r="391">
      <c r="B391" s="15">
        <f>IF($C391="","",$D391&amp;"-"&amp;$F391&amp;"-"&amp;$K391)</f>
        <v/>
      </c>
      <c r="C391" s="14" t="n"/>
      <c r="D391" s="15">
        <f>IF($C391="","",IFERROR(INDEX(rngCadetPIDs,MATCH($C391,rngCadetNames,0)),"?"))</f>
        <v/>
      </c>
      <c r="E391" s="15">
        <f>IF($D391="","",IFERROR(INDEX(nrCadetAgency,MATCH($D391,rngCadetPIDs,0)),""))</f>
        <v/>
      </c>
      <c r="F391" s="14" t="n"/>
      <c r="G391" s="15">
        <f>IF($F391="","",IFERROR(INDEX(rngEPname,MATCH($F391,rngEPcode,0)),"?"))</f>
        <v/>
      </c>
      <c r="H391" s="15">
        <f>IF($F391="","",IFERROR(INDEX(rngEPtype,MATCH($F391,rngEPcode,0)),"?"))</f>
        <v/>
      </c>
      <c r="I391" s="15">
        <f>IF($F391="","",IFERROR(INDEX(rngEPseq,MATCH($F391,rngEPcode,0)),""))</f>
        <v/>
      </c>
      <c r="J391" s="15">
        <f>IF($F391="","",IFERROR(INDEX(rngEPpass,MATCH($F391,rngEPcode,0)),cfgPassingScore))</f>
        <v/>
      </c>
      <c r="K391" s="14" t="n"/>
      <c r="L391" s="14" t="n"/>
      <c r="M391" s="15">
        <f>IF($C391="","",IF($L391="","",IF($K391=1,IF(COUNTIFS(nrES_PID,$D391,nrES_Code,$F391,nrES_Att,2)&gt;0,"",$L391),IF(COUNTIFS(nrES_PID,$D391,nrES_Code,$F391,nrES_Att,1)=0,$L391,IF($L391&gt;=$J391,cfgRetakeRecordedCap,SUMIFS(nrES_Raw,nrES_PID,$D391,nrES_Code,$F391,nrES_Att,1))))))</f>
        <v/>
      </c>
      <c r="N391" s="15">
        <f>IF($C391="","",IF($L391="","",IF($L391&gt;=$J391,"Yes","No")))</f>
        <v/>
      </c>
      <c r="O391" s="15">
        <f>IF($C391="","",IF($M391="","",IF($M391&gt;=$J391,"Yes","No")))</f>
        <v/>
      </c>
      <c r="P391" s="15">
        <f>IF($C391="","",IF($K391="","",IF(COUNTIFS(nrES_PID,$D391,nrES_Code,$F391,nrES_Att,"&gt;"&amp;$K391)=0,"Yes","No")))</f>
        <v/>
      </c>
      <c r="Q391" s="15">
        <f>IF($C391="","",IF($L391="","",IF(AND($K391=1,$L391&lt;$J391,COUNTIFS(nrES_PID,$D391,nrES_Code,$F391,nrES_Att,2)=0),"Yes","No")))</f>
        <v/>
      </c>
      <c r="R391" s="15">
        <f>IF($C391="","",IF($L391="","",IF(AND($K391=2,$L391&lt;$J391,COUNTIFS(nrES_PID,$D391,nrES_Code,$F391,nrES_Att,1)&gt;0),"Yes","No")))</f>
        <v/>
      </c>
      <c r="S391" s="16" t="n"/>
      <c r="T391" s="17">
        <f>IF($Q391&lt;&gt;"Yes","",IF($S391="","(enter date)",_xlfn.LET(_xlpm.dn,IFERROR(_xlfn.XLOOKUP($S391,nrCDdate,nrCDnum),""),IF(_xlpm.dn="","(not a class day)",IFERROR(_xlfn.XLOOKUP(_xlpm.dn+cfgRetestClassDays,nrCDnum,nrCDdate),"")))))</f>
        <v/>
      </c>
      <c r="U391" s="15">
        <f>IF($Q391&lt;&gt;"Yes","",IF(COUNTIFS(nrES_PID,$D391,nrES_Code,$F391,nrES_Att,2)&gt;0,"Retested",IF(OR($T391="",NOT(ISNUMBER($T391))),"Pending",IF(TODAY()&gt;$T391,"OVERDUE","Due "&amp;TEXT($T391,"mm/dd")))))</f>
        <v/>
      </c>
      <c r="V391" s="14" t="n"/>
      <c r="W391" s="14" t="n"/>
    </row>
    <row r="392">
      <c r="B392" s="15">
        <f>IF($C392="","",$D392&amp;"-"&amp;$F392&amp;"-"&amp;$K392)</f>
        <v/>
      </c>
      <c r="C392" s="14" t="n"/>
      <c r="D392" s="15">
        <f>IF($C392="","",IFERROR(INDEX(rngCadetPIDs,MATCH($C392,rngCadetNames,0)),"?"))</f>
        <v/>
      </c>
      <c r="E392" s="15">
        <f>IF($D392="","",IFERROR(INDEX(nrCadetAgency,MATCH($D392,rngCadetPIDs,0)),""))</f>
        <v/>
      </c>
      <c r="F392" s="14" t="n"/>
      <c r="G392" s="15">
        <f>IF($F392="","",IFERROR(INDEX(rngEPname,MATCH($F392,rngEPcode,0)),"?"))</f>
        <v/>
      </c>
      <c r="H392" s="15">
        <f>IF($F392="","",IFERROR(INDEX(rngEPtype,MATCH($F392,rngEPcode,0)),"?"))</f>
        <v/>
      </c>
      <c r="I392" s="15">
        <f>IF($F392="","",IFERROR(INDEX(rngEPseq,MATCH($F392,rngEPcode,0)),""))</f>
        <v/>
      </c>
      <c r="J392" s="15">
        <f>IF($F392="","",IFERROR(INDEX(rngEPpass,MATCH($F392,rngEPcode,0)),cfgPassingScore))</f>
        <v/>
      </c>
      <c r="K392" s="14" t="n"/>
      <c r="L392" s="14" t="n"/>
      <c r="M392" s="15">
        <f>IF($C392="","",IF($L392="","",IF($K392=1,IF(COUNTIFS(nrES_PID,$D392,nrES_Code,$F392,nrES_Att,2)&gt;0,"",$L392),IF(COUNTIFS(nrES_PID,$D392,nrES_Code,$F392,nrES_Att,1)=0,$L392,IF($L392&gt;=$J392,cfgRetakeRecordedCap,SUMIFS(nrES_Raw,nrES_PID,$D392,nrES_Code,$F392,nrES_Att,1))))))</f>
        <v/>
      </c>
      <c r="N392" s="15">
        <f>IF($C392="","",IF($L392="","",IF($L392&gt;=$J392,"Yes","No")))</f>
        <v/>
      </c>
      <c r="O392" s="15">
        <f>IF($C392="","",IF($M392="","",IF($M392&gt;=$J392,"Yes","No")))</f>
        <v/>
      </c>
      <c r="P392" s="15">
        <f>IF($C392="","",IF($K392="","",IF(COUNTIFS(nrES_PID,$D392,nrES_Code,$F392,nrES_Att,"&gt;"&amp;$K392)=0,"Yes","No")))</f>
        <v/>
      </c>
      <c r="Q392" s="15">
        <f>IF($C392="","",IF($L392="","",IF(AND($K392=1,$L392&lt;$J392,COUNTIFS(nrES_PID,$D392,nrES_Code,$F392,nrES_Att,2)=0),"Yes","No")))</f>
        <v/>
      </c>
      <c r="R392" s="15">
        <f>IF($C392="","",IF($L392="","",IF(AND($K392=2,$L392&lt;$J392,COUNTIFS(nrES_PID,$D392,nrES_Code,$F392,nrES_Att,1)&gt;0),"Yes","No")))</f>
        <v/>
      </c>
      <c r="S392" s="16" t="n"/>
      <c r="T392" s="17">
        <f>IF($Q392&lt;&gt;"Yes","",IF($S392="","(enter date)",_xlfn.LET(_xlpm.dn,IFERROR(_xlfn.XLOOKUP($S392,nrCDdate,nrCDnum),""),IF(_xlpm.dn="","(not a class day)",IFERROR(_xlfn.XLOOKUP(_xlpm.dn+cfgRetestClassDays,nrCDnum,nrCDdate),"")))))</f>
        <v/>
      </c>
      <c r="U392" s="15">
        <f>IF($Q392&lt;&gt;"Yes","",IF(COUNTIFS(nrES_PID,$D392,nrES_Code,$F392,nrES_Att,2)&gt;0,"Retested",IF(OR($T392="",NOT(ISNUMBER($T392))),"Pending",IF(TODAY()&gt;$T392,"OVERDUE","Due "&amp;TEXT($T392,"mm/dd")))))</f>
        <v/>
      </c>
      <c r="V392" s="14" t="n"/>
      <c r="W392" s="14" t="n"/>
    </row>
    <row r="393">
      <c r="B393" s="15">
        <f>IF($C393="","",$D393&amp;"-"&amp;$F393&amp;"-"&amp;$K393)</f>
        <v/>
      </c>
      <c r="C393" s="14" t="n"/>
      <c r="D393" s="15">
        <f>IF($C393="","",IFERROR(INDEX(rngCadetPIDs,MATCH($C393,rngCadetNames,0)),"?"))</f>
        <v/>
      </c>
      <c r="E393" s="15">
        <f>IF($D393="","",IFERROR(INDEX(nrCadetAgency,MATCH($D393,rngCadetPIDs,0)),""))</f>
        <v/>
      </c>
      <c r="F393" s="14" t="n"/>
      <c r="G393" s="15">
        <f>IF($F393="","",IFERROR(INDEX(rngEPname,MATCH($F393,rngEPcode,0)),"?"))</f>
        <v/>
      </c>
      <c r="H393" s="15">
        <f>IF($F393="","",IFERROR(INDEX(rngEPtype,MATCH($F393,rngEPcode,0)),"?"))</f>
        <v/>
      </c>
      <c r="I393" s="15">
        <f>IF($F393="","",IFERROR(INDEX(rngEPseq,MATCH($F393,rngEPcode,0)),""))</f>
        <v/>
      </c>
      <c r="J393" s="15">
        <f>IF($F393="","",IFERROR(INDEX(rngEPpass,MATCH($F393,rngEPcode,0)),cfgPassingScore))</f>
        <v/>
      </c>
      <c r="K393" s="14" t="n"/>
      <c r="L393" s="14" t="n"/>
      <c r="M393" s="15">
        <f>IF($C393="","",IF($L393="","",IF($K393=1,IF(COUNTIFS(nrES_PID,$D393,nrES_Code,$F393,nrES_Att,2)&gt;0,"",$L393),IF(COUNTIFS(nrES_PID,$D393,nrES_Code,$F393,nrES_Att,1)=0,$L393,IF($L393&gt;=$J393,cfgRetakeRecordedCap,SUMIFS(nrES_Raw,nrES_PID,$D393,nrES_Code,$F393,nrES_Att,1))))))</f>
        <v/>
      </c>
      <c r="N393" s="15">
        <f>IF($C393="","",IF($L393="","",IF($L393&gt;=$J393,"Yes","No")))</f>
        <v/>
      </c>
      <c r="O393" s="15">
        <f>IF($C393="","",IF($M393="","",IF($M393&gt;=$J393,"Yes","No")))</f>
        <v/>
      </c>
      <c r="P393" s="15">
        <f>IF($C393="","",IF($K393="","",IF(COUNTIFS(nrES_PID,$D393,nrES_Code,$F393,nrES_Att,"&gt;"&amp;$K393)=0,"Yes","No")))</f>
        <v/>
      </c>
      <c r="Q393" s="15">
        <f>IF($C393="","",IF($L393="","",IF(AND($K393=1,$L393&lt;$J393,COUNTIFS(nrES_PID,$D393,nrES_Code,$F393,nrES_Att,2)=0),"Yes","No")))</f>
        <v/>
      </c>
      <c r="R393" s="15">
        <f>IF($C393="","",IF($L393="","",IF(AND($K393=2,$L393&lt;$J393,COUNTIFS(nrES_PID,$D393,nrES_Code,$F393,nrES_Att,1)&gt;0),"Yes","No")))</f>
        <v/>
      </c>
      <c r="S393" s="16" t="n"/>
      <c r="T393" s="17">
        <f>IF($Q393&lt;&gt;"Yes","",IF($S393="","(enter date)",_xlfn.LET(_xlpm.dn,IFERROR(_xlfn.XLOOKUP($S393,nrCDdate,nrCDnum),""),IF(_xlpm.dn="","(not a class day)",IFERROR(_xlfn.XLOOKUP(_xlpm.dn+cfgRetestClassDays,nrCDnum,nrCDdate),"")))))</f>
        <v/>
      </c>
      <c r="U393" s="15">
        <f>IF($Q393&lt;&gt;"Yes","",IF(COUNTIFS(nrES_PID,$D393,nrES_Code,$F393,nrES_Att,2)&gt;0,"Retested",IF(OR($T393="",NOT(ISNUMBER($T393))),"Pending",IF(TODAY()&gt;$T393,"OVERDUE","Due "&amp;TEXT($T393,"mm/dd")))))</f>
        <v/>
      </c>
      <c r="V393" s="14" t="n"/>
      <c r="W393" s="14" t="n"/>
    </row>
    <row r="394">
      <c r="B394" s="15">
        <f>IF($C394="","",$D394&amp;"-"&amp;$F394&amp;"-"&amp;$K394)</f>
        <v/>
      </c>
      <c r="C394" s="14" t="n"/>
      <c r="D394" s="15">
        <f>IF($C394="","",IFERROR(INDEX(rngCadetPIDs,MATCH($C394,rngCadetNames,0)),"?"))</f>
        <v/>
      </c>
      <c r="E394" s="15">
        <f>IF($D394="","",IFERROR(INDEX(nrCadetAgency,MATCH($D394,rngCadetPIDs,0)),""))</f>
        <v/>
      </c>
      <c r="F394" s="14" t="n"/>
      <c r="G394" s="15">
        <f>IF($F394="","",IFERROR(INDEX(rngEPname,MATCH($F394,rngEPcode,0)),"?"))</f>
        <v/>
      </c>
      <c r="H394" s="15">
        <f>IF($F394="","",IFERROR(INDEX(rngEPtype,MATCH($F394,rngEPcode,0)),"?"))</f>
        <v/>
      </c>
      <c r="I394" s="15">
        <f>IF($F394="","",IFERROR(INDEX(rngEPseq,MATCH($F394,rngEPcode,0)),""))</f>
        <v/>
      </c>
      <c r="J394" s="15">
        <f>IF($F394="","",IFERROR(INDEX(rngEPpass,MATCH($F394,rngEPcode,0)),cfgPassingScore))</f>
        <v/>
      </c>
      <c r="K394" s="14" t="n"/>
      <c r="L394" s="14" t="n"/>
      <c r="M394" s="15">
        <f>IF($C394="","",IF($L394="","",IF($K394=1,IF(COUNTIFS(nrES_PID,$D394,nrES_Code,$F394,nrES_Att,2)&gt;0,"",$L394),IF(COUNTIFS(nrES_PID,$D394,nrES_Code,$F394,nrES_Att,1)=0,$L394,IF($L394&gt;=$J394,cfgRetakeRecordedCap,SUMIFS(nrES_Raw,nrES_PID,$D394,nrES_Code,$F394,nrES_Att,1))))))</f>
        <v/>
      </c>
      <c r="N394" s="15">
        <f>IF($C394="","",IF($L394="","",IF($L394&gt;=$J394,"Yes","No")))</f>
        <v/>
      </c>
      <c r="O394" s="15">
        <f>IF($C394="","",IF($M394="","",IF($M394&gt;=$J394,"Yes","No")))</f>
        <v/>
      </c>
      <c r="P394" s="15">
        <f>IF($C394="","",IF($K394="","",IF(COUNTIFS(nrES_PID,$D394,nrES_Code,$F394,nrES_Att,"&gt;"&amp;$K394)=0,"Yes","No")))</f>
        <v/>
      </c>
      <c r="Q394" s="15">
        <f>IF($C394="","",IF($L394="","",IF(AND($K394=1,$L394&lt;$J394,COUNTIFS(nrES_PID,$D394,nrES_Code,$F394,nrES_Att,2)=0),"Yes","No")))</f>
        <v/>
      </c>
      <c r="R394" s="15">
        <f>IF($C394="","",IF($L394="","",IF(AND($K394=2,$L394&lt;$J394,COUNTIFS(nrES_PID,$D394,nrES_Code,$F394,nrES_Att,1)&gt;0),"Yes","No")))</f>
        <v/>
      </c>
      <c r="S394" s="16" t="n"/>
      <c r="T394" s="17">
        <f>IF($Q394&lt;&gt;"Yes","",IF($S394="","(enter date)",_xlfn.LET(_xlpm.dn,IFERROR(_xlfn.XLOOKUP($S394,nrCDdate,nrCDnum),""),IF(_xlpm.dn="","(not a class day)",IFERROR(_xlfn.XLOOKUP(_xlpm.dn+cfgRetestClassDays,nrCDnum,nrCDdate),"")))))</f>
        <v/>
      </c>
      <c r="U394" s="15">
        <f>IF($Q394&lt;&gt;"Yes","",IF(COUNTIFS(nrES_PID,$D394,nrES_Code,$F394,nrES_Att,2)&gt;0,"Retested",IF(OR($T394="",NOT(ISNUMBER($T394))),"Pending",IF(TODAY()&gt;$T394,"OVERDUE","Due "&amp;TEXT($T394,"mm/dd")))))</f>
        <v/>
      </c>
      <c r="V394" s="14" t="n"/>
      <c r="W394" s="14" t="n"/>
    </row>
    <row r="395">
      <c r="B395" s="15">
        <f>IF($C395="","",$D395&amp;"-"&amp;$F395&amp;"-"&amp;$K395)</f>
        <v/>
      </c>
      <c r="C395" s="14" t="n"/>
      <c r="D395" s="15">
        <f>IF($C395="","",IFERROR(INDEX(rngCadetPIDs,MATCH($C395,rngCadetNames,0)),"?"))</f>
        <v/>
      </c>
      <c r="E395" s="15">
        <f>IF($D395="","",IFERROR(INDEX(nrCadetAgency,MATCH($D395,rngCadetPIDs,0)),""))</f>
        <v/>
      </c>
      <c r="F395" s="14" t="n"/>
      <c r="G395" s="15">
        <f>IF($F395="","",IFERROR(INDEX(rngEPname,MATCH($F395,rngEPcode,0)),"?"))</f>
        <v/>
      </c>
      <c r="H395" s="15">
        <f>IF($F395="","",IFERROR(INDEX(rngEPtype,MATCH($F395,rngEPcode,0)),"?"))</f>
        <v/>
      </c>
      <c r="I395" s="15">
        <f>IF($F395="","",IFERROR(INDEX(rngEPseq,MATCH($F395,rngEPcode,0)),""))</f>
        <v/>
      </c>
      <c r="J395" s="15">
        <f>IF($F395="","",IFERROR(INDEX(rngEPpass,MATCH($F395,rngEPcode,0)),cfgPassingScore))</f>
        <v/>
      </c>
      <c r="K395" s="14" t="n"/>
      <c r="L395" s="14" t="n"/>
      <c r="M395" s="15">
        <f>IF($C395="","",IF($L395="","",IF($K395=1,IF(COUNTIFS(nrES_PID,$D395,nrES_Code,$F395,nrES_Att,2)&gt;0,"",$L395),IF(COUNTIFS(nrES_PID,$D395,nrES_Code,$F395,nrES_Att,1)=0,$L395,IF($L395&gt;=$J395,cfgRetakeRecordedCap,SUMIFS(nrES_Raw,nrES_PID,$D395,nrES_Code,$F395,nrES_Att,1))))))</f>
        <v/>
      </c>
      <c r="N395" s="15">
        <f>IF($C395="","",IF($L395="","",IF($L395&gt;=$J395,"Yes","No")))</f>
        <v/>
      </c>
      <c r="O395" s="15">
        <f>IF($C395="","",IF($M395="","",IF($M395&gt;=$J395,"Yes","No")))</f>
        <v/>
      </c>
      <c r="P395" s="15">
        <f>IF($C395="","",IF($K395="","",IF(COUNTIFS(nrES_PID,$D395,nrES_Code,$F395,nrES_Att,"&gt;"&amp;$K395)=0,"Yes","No")))</f>
        <v/>
      </c>
      <c r="Q395" s="15">
        <f>IF($C395="","",IF($L395="","",IF(AND($K395=1,$L395&lt;$J395,COUNTIFS(nrES_PID,$D395,nrES_Code,$F395,nrES_Att,2)=0),"Yes","No")))</f>
        <v/>
      </c>
      <c r="R395" s="15">
        <f>IF($C395="","",IF($L395="","",IF(AND($K395=2,$L395&lt;$J395,COUNTIFS(nrES_PID,$D395,nrES_Code,$F395,nrES_Att,1)&gt;0),"Yes","No")))</f>
        <v/>
      </c>
      <c r="S395" s="16" t="n"/>
      <c r="T395" s="17">
        <f>IF($Q395&lt;&gt;"Yes","",IF($S395="","(enter date)",_xlfn.LET(_xlpm.dn,IFERROR(_xlfn.XLOOKUP($S395,nrCDdate,nrCDnum),""),IF(_xlpm.dn="","(not a class day)",IFERROR(_xlfn.XLOOKUP(_xlpm.dn+cfgRetestClassDays,nrCDnum,nrCDdate),"")))))</f>
        <v/>
      </c>
      <c r="U395" s="15">
        <f>IF($Q395&lt;&gt;"Yes","",IF(COUNTIFS(nrES_PID,$D395,nrES_Code,$F395,nrES_Att,2)&gt;0,"Retested",IF(OR($T395="",NOT(ISNUMBER($T395))),"Pending",IF(TODAY()&gt;$T395,"OVERDUE","Due "&amp;TEXT($T395,"mm/dd")))))</f>
        <v/>
      </c>
      <c r="V395" s="14" t="n"/>
      <c r="W395" s="14" t="n"/>
    </row>
    <row r="396">
      <c r="B396" s="15">
        <f>IF($C396="","",$D396&amp;"-"&amp;$F396&amp;"-"&amp;$K396)</f>
        <v/>
      </c>
      <c r="C396" s="14" t="n"/>
      <c r="D396" s="15">
        <f>IF($C396="","",IFERROR(INDEX(rngCadetPIDs,MATCH($C396,rngCadetNames,0)),"?"))</f>
        <v/>
      </c>
      <c r="E396" s="15">
        <f>IF($D396="","",IFERROR(INDEX(nrCadetAgency,MATCH($D396,rngCadetPIDs,0)),""))</f>
        <v/>
      </c>
      <c r="F396" s="14" t="n"/>
      <c r="G396" s="15">
        <f>IF($F396="","",IFERROR(INDEX(rngEPname,MATCH($F396,rngEPcode,0)),"?"))</f>
        <v/>
      </c>
      <c r="H396" s="15">
        <f>IF($F396="","",IFERROR(INDEX(rngEPtype,MATCH($F396,rngEPcode,0)),"?"))</f>
        <v/>
      </c>
      <c r="I396" s="15">
        <f>IF($F396="","",IFERROR(INDEX(rngEPseq,MATCH($F396,rngEPcode,0)),""))</f>
        <v/>
      </c>
      <c r="J396" s="15">
        <f>IF($F396="","",IFERROR(INDEX(rngEPpass,MATCH($F396,rngEPcode,0)),cfgPassingScore))</f>
        <v/>
      </c>
      <c r="K396" s="14" t="n"/>
      <c r="L396" s="14" t="n"/>
      <c r="M396" s="15">
        <f>IF($C396="","",IF($L396="","",IF($K396=1,IF(COUNTIFS(nrES_PID,$D396,nrES_Code,$F396,nrES_Att,2)&gt;0,"",$L396),IF(COUNTIFS(nrES_PID,$D396,nrES_Code,$F396,nrES_Att,1)=0,$L396,IF($L396&gt;=$J396,cfgRetakeRecordedCap,SUMIFS(nrES_Raw,nrES_PID,$D396,nrES_Code,$F396,nrES_Att,1))))))</f>
        <v/>
      </c>
      <c r="N396" s="15">
        <f>IF($C396="","",IF($L396="","",IF($L396&gt;=$J396,"Yes","No")))</f>
        <v/>
      </c>
      <c r="O396" s="15">
        <f>IF($C396="","",IF($M396="","",IF($M396&gt;=$J396,"Yes","No")))</f>
        <v/>
      </c>
      <c r="P396" s="15">
        <f>IF($C396="","",IF($K396="","",IF(COUNTIFS(nrES_PID,$D396,nrES_Code,$F396,nrES_Att,"&gt;"&amp;$K396)=0,"Yes","No")))</f>
        <v/>
      </c>
      <c r="Q396" s="15">
        <f>IF($C396="","",IF($L396="","",IF(AND($K396=1,$L396&lt;$J396,COUNTIFS(nrES_PID,$D396,nrES_Code,$F396,nrES_Att,2)=0),"Yes","No")))</f>
        <v/>
      </c>
      <c r="R396" s="15">
        <f>IF($C396="","",IF($L396="","",IF(AND($K396=2,$L396&lt;$J396,COUNTIFS(nrES_PID,$D396,nrES_Code,$F396,nrES_Att,1)&gt;0),"Yes","No")))</f>
        <v/>
      </c>
      <c r="S396" s="16" t="n"/>
      <c r="T396" s="17">
        <f>IF($Q396&lt;&gt;"Yes","",IF($S396="","(enter date)",_xlfn.LET(_xlpm.dn,IFERROR(_xlfn.XLOOKUP($S396,nrCDdate,nrCDnum),""),IF(_xlpm.dn="","(not a class day)",IFERROR(_xlfn.XLOOKUP(_xlpm.dn+cfgRetestClassDays,nrCDnum,nrCDdate),"")))))</f>
        <v/>
      </c>
      <c r="U396" s="15">
        <f>IF($Q396&lt;&gt;"Yes","",IF(COUNTIFS(nrES_PID,$D396,nrES_Code,$F396,nrES_Att,2)&gt;0,"Retested",IF(OR($T396="",NOT(ISNUMBER($T396))),"Pending",IF(TODAY()&gt;$T396,"OVERDUE","Due "&amp;TEXT($T396,"mm/dd")))))</f>
        <v/>
      </c>
      <c r="V396" s="14" t="n"/>
      <c r="W396" s="14" t="n"/>
    </row>
    <row r="397">
      <c r="B397" s="15">
        <f>IF($C397="","",$D397&amp;"-"&amp;$F397&amp;"-"&amp;$K397)</f>
        <v/>
      </c>
      <c r="C397" s="14" t="n"/>
      <c r="D397" s="15">
        <f>IF($C397="","",IFERROR(INDEX(rngCadetPIDs,MATCH($C397,rngCadetNames,0)),"?"))</f>
        <v/>
      </c>
      <c r="E397" s="15">
        <f>IF($D397="","",IFERROR(INDEX(nrCadetAgency,MATCH($D397,rngCadetPIDs,0)),""))</f>
        <v/>
      </c>
      <c r="F397" s="14" t="n"/>
      <c r="G397" s="15">
        <f>IF($F397="","",IFERROR(INDEX(rngEPname,MATCH($F397,rngEPcode,0)),"?"))</f>
        <v/>
      </c>
      <c r="H397" s="15">
        <f>IF($F397="","",IFERROR(INDEX(rngEPtype,MATCH($F397,rngEPcode,0)),"?"))</f>
        <v/>
      </c>
      <c r="I397" s="15">
        <f>IF($F397="","",IFERROR(INDEX(rngEPseq,MATCH($F397,rngEPcode,0)),""))</f>
        <v/>
      </c>
      <c r="J397" s="15">
        <f>IF($F397="","",IFERROR(INDEX(rngEPpass,MATCH($F397,rngEPcode,0)),cfgPassingScore))</f>
        <v/>
      </c>
      <c r="K397" s="14" t="n"/>
      <c r="L397" s="14" t="n"/>
      <c r="M397" s="15">
        <f>IF($C397="","",IF($L397="","",IF($K397=1,IF(COUNTIFS(nrES_PID,$D397,nrES_Code,$F397,nrES_Att,2)&gt;0,"",$L397),IF(COUNTIFS(nrES_PID,$D397,nrES_Code,$F397,nrES_Att,1)=0,$L397,IF($L397&gt;=$J397,cfgRetakeRecordedCap,SUMIFS(nrES_Raw,nrES_PID,$D397,nrES_Code,$F397,nrES_Att,1))))))</f>
        <v/>
      </c>
      <c r="N397" s="15">
        <f>IF($C397="","",IF($L397="","",IF($L397&gt;=$J397,"Yes","No")))</f>
        <v/>
      </c>
      <c r="O397" s="15">
        <f>IF($C397="","",IF($M397="","",IF($M397&gt;=$J397,"Yes","No")))</f>
        <v/>
      </c>
      <c r="P397" s="15">
        <f>IF($C397="","",IF($K397="","",IF(COUNTIFS(nrES_PID,$D397,nrES_Code,$F397,nrES_Att,"&gt;"&amp;$K397)=0,"Yes","No")))</f>
        <v/>
      </c>
      <c r="Q397" s="15">
        <f>IF($C397="","",IF($L397="","",IF(AND($K397=1,$L397&lt;$J397,COUNTIFS(nrES_PID,$D397,nrES_Code,$F397,nrES_Att,2)=0),"Yes","No")))</f>
        <v/>
      </c>
      <c r="R397" s="15">
        <f>IF($C397="","",IF($L397="","",IF(AND($K397=2,$L397&lt;$J397,COUNTIFS(nrES_PID,$D397,nrES_Code,$F397,nrES_Att,1)&gt;0),"Yes","No")))</f>
        <v/>
      </c>
      <c r="S397" s="16" t="n"/>
      <c r="T397" s="17">
        <f>IF($Q397&lt;&gt;"Yes","",IF($S397="","(enter date)",_xlfn.LET(_xlpm.dn,IFERROR(_xlfn.XLOOKUP($S397,nrCDdate,nrCDnum),""),IF(_xlpm.dn="","(not a class day)",IFERROR(_xlfn.XLOOKUP(_xlpm.dn+cfgRetestClassDays,nrCDnum,nrCDdate),"")))))</f>
        <v/>
      </c>
      <c r="U397" s="15">
        <f>IF($Q397&lt;&gt;"Yes","",IF(COUNTIFS(nrES_PID,$D397,nrES_Code,$F397,nrES_Att,2)&gt;0,"Retested",IF(OR($T397="",NOT(ISNUMBER($T397))),"Pending",IF(TODAY()&gt;$T397,"OVERDUE","Due "&amp;TEXT($T397,"mm/dd")))))</f>
        <v/>
      </c>
      <c r="V397" s="14" t="n"/>
      <c r="W397" s="14" t="n"/>
    </row>
    <row r="398">
      <c r="B398" s="15">
        <f>IF($C398="","",$D398&amp;"-"&amp;$F398&amp;"-"&amp;$K398)</f>
        <v/>
      </c>
      <c r="C398" s="14" t="n"/>
      <c r="D398" s="15">
        <f>IF($C398="","",IFERROR(INDEX(rngCadetPIDs,MATCH($C398,rngCadetNames,0)),"?"))</f>
        <v/>
      </c>
      <c r="E398" s="15">
        <f>IF($D398="","",IFERROR(INDEX(nrCadetAgency,MATCH($D398,rngCadetPIDs,0)),""))</f>
        <v/>
      </c>
      <c r="F398" s="14" t="n"/>
      <c r="G398" s="15">
        <f>IF($F398="","",IFERROR(INDEX(rngEPname,MATCH($F398,rngEPcode,0)),"?"))</f>
        <v/>
      </c>
      <c r="H398" s="15">
        <f>IF($F398="","",IFERROR(INDEX(rngEPtype,MATCH($F398,rngEPcode,0)),"?"))</f>
        <v/>
      </c>
      <c r="I398" s="15">
        <f>IF($F398="","",IFERROR(INDEX(rngEPseq,MATCH($F398,rngEPcode,0)),""))</f>
        <v/>
      </c>
      <c r="J398" s="15">
        <f>IF($F398="","",IFERROR(INDEX(rngEPpass,MATCH($F398,rngEPcode,0)),cfgPassingScore))</f>
        <v/>
      </c>
      <c r="K398" s="14" t="n"/>
      <c r="L398" s="14" t="n"/>
      <c r="M398" s="15">
        <f>IF($C398="","",IF($L398="","",IF($K398=1,IF(COUNTIFS(nrES_PID,$D398,nrES_Code,$F398,nrES_Att,2)&gt;0,"",$L398),IF(COUNTIFS(nrES_PID,$D398,nrES_Code,$F398,nrES_Att,1)=0,$L398,IF($L398&gt;=$J398,cfgRetakeRecordedCap,SUMIFS(nrES_Raw,nrES_PID,$D398,nrES_Code,$F398,nrES_Att,1))))))</f>
        <v/>
      </c>
      <c r="N398" s="15">
        <f>IF($C398="","",IF($L398="","",IF($L398&gt;=$J398,"Yes","No")))</f>
        <v/>
      </c>
      <c r="O398" s="15">
        <f>IF($C398="","",IF($M398="","",IF($M398&gt;=$J398,"Yes","No")))</f>
        <v/>
      </c>
      <c r="P398" s="15">
        <f>IF($C398="","",IF($K398="","",IF(COUNTIFS(nrES_PID,$D398,nrES_Code,$F398,nrES_Att,"&gt;"&amp;$K398)=0,"Yes","No")))</f>
        <v/>
      </c>
      <c r="Q398" s="15">
        <f>IF($C398="","",IF($L398="","",IF(AND($K398=1,$L398&lt;$J398,COUNTIFS(nrES_PID,$D398,nrES_Code,$F398,nrES_Att,2)=0),"Yes","No")))</f>
        <v/>
      </c>
      <c r="R398" s="15">
        <f>IF($C398="","",IF($L398="","",IF(AND($K398=2,$L398&lt;$J398,COUNTIFS(nrES_PID,$D398,nrES_Code,$F398,nrES_Att,1)&gt;0),"Yes","No")))</f>
        <v/>
      </c>
      <c r="S398" s="16" t="n"/>
      <c r="T398" s="17">
        <f>IF($Q398&lt;&gt;"Yes","",IF($S398="","(enter date)",_xlfn.LET(_xlpm.dn,IFERROR(_xlfn.XLOOKUP($S398,nrCDdate,nrCDnum),""),IF(_xlpm.dn="","(not a class day)",IFERROR(_xlfn.XLOOKUP(_xlpm.dn+cfgRetestClassDays,nrCDnum,nrCDdate),"")))))</f>
        <v/>
      </c>
      <c r="U398" s="15">
        <f>IF($Q398&lt;&gt;"Yes","",IF(COUNTIFS(nrES_PID,$D398,nrES_Code,$F398,nrES_Att,2)&gt;0,"Retested",IF(OR($T398="",NOT(ISNUMBER($T398))),"Pending",IF(TODAY()&gt;$T398,"OVERDUE","Due "&amp;TEXT($T398,"mm/dd")))))</f>
        <v/>
      </c>
      <c r="V398" s="14" t="n"/>
      <c r="W398" s="14" t="n"/>
    </row>
    <row r="399">
      <c r="B399" s="15">
        <f>IF($C399="","",$D399&amp;"-"&amp;$F399&amp;"-"&amp;$K399)</f>
        <v/>
      </c>
      <c r="C399" s="14" t="n"/>
      <c r="D399" s="15">
        <f>IF($C399="","",IFERROR(INDEX(rngCadetPIDs,MATCH($C399,rngCadetNames,0)),"?"))</f>
        <v/>
      </c>
      <c r="E399" s="15">
        <f>IF($D399="","",IFERROR(INDEX(nrCadetAgency,MATCH($D399,rngCadetPIDs,0)),""))</f>
        <v/>
      </c>
      <c r="F399" s="14" t="n"/>
      <c r="G399" s="15">
        <f>IF($F399="","",IFERROR(INDEX(rngEPname,MATCH($F399,rngEPcode,0)),"?"))</f>
        <v/>
      </c>
      <c r="H399" s="15">
        <f>IF($F399="","",IFERROR(INDEX(rngEPtype,MATCH($F399,rngEPcode,0)),"?"))</f>
        <v/>
      </c>
      <c r="I399" s="15">
        <f>IF($F399="","",IFERROR(INDEX(rngEPseq,MATCH($F399,rngEPcode,0)),""))</f>
        <v/>
      </c>
      <c r="J399" s="15">
        <f>IF($F399="","",IFERROR(INDEX(rngEPpass,MATCH($F399,rngEPcode,0)),cfgPassingScore))</f>
        <v/>
      </c>
      <c r="K399" s="14" t="n"/>
      <c r="L399" s="14" t="n"/>
      <c r="M399" s="15">
        <f>IF($C399="","",IF($L399="","",IF($K399=1,IF(COUNTIFS(nrES_PID,$D399,nrES_Code,$F399,nrES_Att,2)&gt;0,"",$L399),IF(COUNTIFS(nrES_PID,$D399,nrES_Code,$F399,nrES_Att,1)=0,$L399,IF($L399&gt;=$J399,cfgRetakeRecordedCap,SUMIFS(nrES_Raw,nrES_PID,$D399,nrES_Code,$F399,nrES_Att,1))))))</f>
        <v/>
      </c>
      <c r="N399" s="15">
        <f>IF($C399="","",IF($L399="","",IF($L399&gt;=$J399,"Yes","No")))</f>
        <v/>
      </c>
      <c r="O399" s="15">
        <f>IF($C399="","",IF($M399="","",IF($M399&gt;=$J399,"Yes","No")))</f>
        <v/>
      </c>
      <c r="P399" s="15">
        <f>IF($C399="","",IF($K399="","",IF(COUNTIFS(nrES_PID,$D399,nrES_Code,$F399,nrES_Att,"&gt;"&amp;$K399)=0,"Yes","No")))</f>
        <v/>
      </c>
      <c r="Q399" s="15">
        <f>IF($C399="","",IF($L399="","",IF(AND($K399=1,$L399&lt;$J399,COUNTIFS(nrES_PID,$D399,nrES_Code,$F399,nrES_Att,2)=0),"Yes","No")))</f>
        <v/>
      </c>
      <c r="R399" s="15">
        <f>IF($C399="","",IF($L399="","",IF(AND($K399=2,$L399&lt;$J399,COUNTIFS(nrES_PID,$D399,nrES_Code,$F399,nrES_Att,1)&gt;0),"Yes","No")))</f>
        <v/>
      </c>
      <c r="S399" s="16" t="n"/>
      <c r="T399" s="17">
        <f>IF($Q399&lt;&gt;"Yes","",IF($S399="","(enter date)",_xlfn.LET(_xlpm.dn,IFERROR(_xlfn.XLOOKUP($S399,nrCDdate,nrCDnum),""),IF(_xlpm.dn="","(not a class day)",IFERROR(_xlfn.XLOOKUP(_xlpm.dn+cfgRetestClassDays,nrCDnum,nrCDdate),"")))))</f>
        <v/>
      </c>
      <c r="U399" s="15">
        <f>IF($Q399&lt;&gt;"Yes","",IF(COUNTIFS(nrES_PID,$D399,nrES_Code,$F399,nrES_Att,2)&gt;0,"Retested",IF(OR($T399="",NOT(ISNUMBER($T399))),"Pending",IF(TODAY()&gt;$T399,"OVERDUE","Due "&amp;TEXT($T399,"mm/dd")))))</f>
        <v/>
      </c>
      <c r="V399" s="14" t="n"/>
      <c r="W399" s="14" t="n"/>
    </row>
    <row r="400">
      <c r="B400" s="15">
        <f>IF($C400="","",$D400&amp;"-"&amp;$F400&amp;"-"&amp;$K400)</f>
        <v/>
      </c>
      <c r="C400" s="14" t="n"/>
      <c r="D400" s="15">
        <f>IF($C400="","",IFERROR(INDEX(rngCadetPIDs,MATCH($C400,rngCadetNames,0)),"?"))</f>
        <v/>
      </c>
      <c r="E400" s="15">
        <f>IF($D400="","",IFERROR(INDEX(nrCadetAgency,MATCH($D400,rngCadetPIDs,0)),""))</f>
        <v/>
      </c>
      <c r="F400" s="14" t="n"/>
      <c r="G400" s="15">
        <f>IF($F400="","",IFERROR(INDEX(rngEPname,MATCH($F400,rngEPcode,0)),"?"))</f>
        <v/>
      </c>
      <c r="H400" s="15">
        <f>IF($F400="","",IFERROR(INDEX(rngEPtype,MATCH($F400,rngEPcode,0)),"?"))</f>
        <v/>
      </c>
      <c r="I400" s="15">
        <f>IF($F400="","",IFERROR(INDEX(rngEPseq,MATCH($F400,rngEPcode,0)),""))</f>
        <v/>
      </c>
      <c r="J400" s="15">
        <f>IF($F400="","",IFERROR(INDEX(rngEPpass,MATCH($F400,rngEPcode,0)),cfgPassingScore))</f>
        <v/>
      </c>
      <c r="K400" s="14" t="n"/>
      <c r="L400" s="14" t="n"/>
      <c r="M400" s="15">
        <f>IF($C400="","",IF($L400="","",IF($K400=1,IF(COUNTIFS(nrES_PID,$D400,nrES_Code,$F400,nrES_Att,2)&gt;0,"",$L400),IF(COUNTIFS(nrES_PID,$D400,nrES_Code,$F400,nrES_Att,1)=0,$L400,IF($L400&gt;=$J400,cfgRetakeRecordedCap,SUMIFS(nrES_Raw,nrES_PID,$D400,nrES_Code,$F400,nrES_Att,1))))))</f>
        <v/>
      </c>
      <c r="N400" s="15">
        <f>IF($C400="","",IF($L400="","",IF($L400&gt;=$J400,"Yes","No")))</f>
        <v/>
      </c>
      <c r="O400" s="15">
        <f>IF($C400="","",IF($M400="","",IF($M400&gt;=$J400,"Yes","No")))</f>
        <v/>
      </c>
      <c r="P400" s="15">
        <f>IF($C400="","",IF($K400="","",IF(COUNTIFS(nrES_PID,$D400,nrES_Code,$F400,nrES_Att,"&gt;"&amp;$K400)=0,"Yes","No")))</f>
        <v/>
      </c>
      <c r="Q400" s="15">
        <f>IF($C400="","",IF($L400="","",IF(AND($K400=1,$L400&lt;$J400,COUNTIFS(nrES_PID,$D400,nrES_Code,$F400,nrES_Att,2)=0),"Yes","No")))</f>
        <v/>
      </c>
      <c r="R400" s="15">
        <f>IF($C400="","",IF($L400="","",IF(AND($K400=2,$L400&lt;$J400,COUNTIFS(nrES_PID,$D400,nrES_Code,$F400,nrES_Att,1)&gt;0),"Yes","No")))</f>
        <v/>
      </c>
      <c r="S400" s="16" t="n"/>
      <c r="T400" s="17">
        <f>IF($Q400&lt;&gt;"Yes","",IF($S400="","(enter date)",_xlfn.LET(_xlpm.dn,IFERROR(_xlfn.XLOOKUP($S400,nrCDdate,nrCDnum),""),IF(_xlpm.dn="","(not a class day)",IFERROR(_xlfn.XLOOKUP(_xlpm.dn+cfgRetestClassDays,nrCDnum,nrCDdate),"")))))</f>
        <v/>
      </c>
      <c r="U400" s="15">
        <f>IF($Q400&lt;&gt;"Yes","",IF(COUNTIFS(nrES_PID,$D400,nrES_Code,$F400,nrES_Att,2)&gt;0,"Retested",IF(OR($T400="",NOT(ISNUMBER($T400))),"Pending",IF(TODAY()&gt;$T400,"OVERDUE","Due "&amp;TEXT($T400,"mm/dd")))))</f>
        <v/>
      </c>
      <c r="V400" s="14" t="n"/>
      <c r="W400" s="14" t="n"/>
    </row>
    <row r="401">
      <c r="B401" s="15">
        <f>IF($C401="","",$D401&amp;"-"&amp;$F401&amp;"-"&amp;$K401)</f>
        <v/>
      </c>
      <c r="C401" s="14" t="n"/>
      <c r="D401" s="15">
        <f>IF($C401="","",IFERROR(INDEX(rngCadetPIDs,MATCH($C401,rngCadetNames,0)),"?"))</f>
        <v/>
      </c>
      <c r="E401" s="15">
        <f>IF($D401="","",IFERROR(INDEX(nrCadetAgency,MATCH($D401,rngCadetPIDs,0)),""))</f>
        <v/>
      </c>
      <c r="F401" s="14" t="n"/>
      <c r="G401" s="15">
        <f>IF($F401="","",IFERROR(INDEX(rngEPname,MATCH($F401,rngEPcode,0)),"?"))</f>
        <v/>
      </c>
      <c r="H401" s="15">
        <f>IF($F401="","",IFERROR(INDEX(rngEPtype,MATCH($F401,rngEPcode,0)),"?"))</f>
        <v/>
      </c>
      <c r="I401" s="15">
        <f>IF($F401="","",IFERROR(INDEX(rngEPseq,MATCH($F401,rngEPcode,0)),""))</f>
        <v/>
      </c>
      <c r="J401" s="15">
        <f>IF($F401="","",IFERROR(INDEX(rngEPpass,MATCH($F401,rngEPcode,0)),cfgPassingScore))</f>
        <v/>
      </c>
      <c r="K401" s="14" t="n"/>
      <c r="L401" s="14" t="n"/>
      <c r="M401" s="15">
        <f>IF($C401="","",IF($L401="","",IF($K401=1,IF(COUNTIFS(nrES_PID,$D401,nrES_Code,$F401,nrES_Att,2)&gt;0,"",$L401),IF(COUNTIFS(nrES_PID,$D401,nrES_Code,$F401,nrES_Att,1)=0,$L401,IF($L401&gt;=$J401,cfgRetakeRecordedCap,SUMIFS(nrES_Raw,nrES_PID,$D401,nrES_Code,$F401,nrES_Att,1))))))</f>
        <v/>
      </c>
      <c r="N401" s="15">
        <f>IF($C401="","",IF($L401="","",IF($L401&gt;=$J401,"Yes","No")))</f>
        <v/>
      </c>
      <c r="O401" s="15">
        <f>IF($C401="","",IF($M401="","",IF($M401&gt;=$J401,"Yes","No")))</f>
        <v/>
      </c>
      <c r="P401" s="15">
        <f>IF($C401="","",IF($K401="","",IF(COUNTIFS(nrES_PID,$D401,nrES_Code,$F401,nrES_Att,"&gt;"&amp;$K401)=0,"Yes","No")))</f>
        <v/>
      </c>
      <c r="Q401" s="15">
        <f>IF($C401="","",IF($L401="","",IF(AND($K401=1,$L401&lt;$J401,COUNTIFS(nrES_PID,$D401,nrES_Code,$F401,nrES_Att,2)=0),"Yes","No")))</f>
        <v/>
      </c>
      <c r="R401" s="15">
        <f>IF($C401="","",IF($L401="","",IF(AND($K401=2,$L401&lt;$J401,COUNTIFS(nrES_PID,$D401,nrES_Code,$F401,nrES_Att,1)&gt;0),"Yes","No")))</f>
        <v/>
      </c>
      <c r="S401" s="16" t="n"/>
      <c r="T401" s="17">
        <f>IF($Q401&lt;&gt;"Yes","",IF($S401="","(enter date)",_xlfn.LET(_xlpm.dn,IFERROR(_xlfn.XLOOKUP($S401,nrCDdate,nrCDnum),""),IF(_xlpm.dn="","(not a class day)",IFERROR(_xlfn.XLOOKUP(_xlpm.dn+cfgRetestClassDays,nrCDnum,nrCDdate),"")))))</f>
        <v/>
      </c>
      <c r="U401" s="15">
        <f>IF($Q401&lt;&gt;"Yes","",IF(COUNTIFS(nrES_PID,$D401,nrES_Code,$F401,nrES_Att,2)&gt;0,"Retested",IF(OR($T401="",NOT(ISNUMBER($T401))),"Pending",IF(TODAY()&gt;$T401,"OVERDUE","Due "&amp;TEXT($T401,"mm/dd")))))</f>
        <v/>
      </c>
      <c r="V401" s="14" t="n"/>
      <c r="W401" s="14" t="n"/>
    </row>
    <row r="402">
      <c r="B402" s="15">
        <f>IF($C402="","",$D402&amp;"-"&amp;$F402&amp;"-"&amp;$K402)</f>
        <v/>
      </c>
      <c r="C402" s="14" t="n"/>
      <c r="D402" s="15">
        <f>IF($C402="","",IFERROR(INDEX(rngCadetPIDs,MATCH($C402,rngCadetNames,0)),"?"))</f>
        <v/>
      </c>
      <c r="E402" s="15">
        <f>IF($D402="","",IFERROR(INDEX(nrCadetAgency,MATCH($D402,rngCadetPIDs,0)),""))</f>
        <v/>
      </c>
      <c r="F402" s="14" t="n"/>
      <c r="G402" s="15">
        <f>IF($F402="","",IFERROR(INDEX(rngEPname,MATCH($F402,rngEPcode,0)),"?"))</f>
        <v/>
      </c>
      <c r="H402" s="15">
        <f>IF($F402="","",IFERROR(INDEX(rngEPtype,MATCH($F402,rngEPcode,0)),"?"))</f>
        <v/>
      </c>
      <c r="I402" s="15">
        <f>IF($F402="","",IFERROR(INDEX(rngEPseq,MATCH($F402,rngEPcode,0)),""))</f>
        <v/>
      </c>
      <c r="J402" s="15">
        <f>IF($F402="","",IFERROR(INDEX(rngEPpass,MATCH($F402,rngEPcode,0)),cfgPassingScore))</f>
        <v/>
      </c>
      <c r="K402" s="14" t="n"/>
      <c r="L402" s="14" t="n"/>
      <c r="M402" s="15">
        <f>IF($C402="","",IF($L402="","",IF($K402=1,IF(COUNTIFS(nrES_PID,$D402,nrES_Code,$F402,nrES_Att,2)&gt;0,"",$L402),IF(COUNTIFS(nrES_PID,$D402,nrES_Code,$F402,nrES_Att,1)=0,$L402,IF($L402&gt;=$J402,cfgRetakeRecordedCap,SUMIFS(nrES_Raw,nrES_PID,$D402,nrES_Code,$F402,nrES_Att,1))))))</f>
        <v/>
      </c>
      <c r="N402" s="15">
        <f>IF($C402="","",IF($L402="","",IF($L402&gt;=$J402,"Yes","No")))</f>
        <v/>
      </c>
      <c r="O402" s="15">
        <f>IF($C402="","",IF($M402="","",IF($M402&gt;=$J402,"Yes","No")))</f>
        <v/>
      </c>
      <c r="P402" s="15">
        <f>IF($C402="","",IF($K402="","",IF(COUNTIFS(nrES_PID,$D402,nrES_Code,$F402,nrES_Att,"&gt;"&amp;$K402)=0,"Yes","No")))</f>
        <v/>
      </c>
      <c r="Q402" s="15">
        <f>IF($C402="","",IF($L402="","",IF(AND($K402=1,$L402&lt;$J402,COUNTIFS(nrES_PID,$D402,nrES_Code,$F402,nrES_Att,2)=0),"Yes","No")))</f>
        <v/>
      </c>
      <c r="R402" s="15">
        <f>IF($C402="","",IF($L402="","",IF(AND($K402=2,$L402&lt;$J402,COUNTIFS(nrES_PID,$D402,nrES_Code,$F402,nrES_Att,1)&gt;0),"Yes","No")))</f>
        <v/>
      </c>
      <c r="S402" s="16" t="n"/>
      <c r="T402" s="17">
        <f>IF($Q402&lt;&gt;"Yes","",IF($S402="","(enter date)",_xlfn.LET(_xlpm.dn,IFERROR(_xlfn.XLOOKUP($S402,nrCDdate,nrCDnum),""),IF(_xlpm.dn="","(not a class day)",IFERROR(_xlfn.XLOOKUP(_xlpm.dn+cfgRetestClassDays,nrCDnum,nrCDdate),"")))))</f>
        <v/>
      </c>
      <c r="U402" s="15">
        <f>IF($Q402&lt;&gt;"Yes","",IF(COUNTIFS(nrES_PID,$D402,nrES_Code,$F402,nrES_Att,2)&gt;0,"Retested",IF(OR($T402="",NOT(ISNUMBER($T402))),"Pending",IF(TODAY()&gt;$T402,"OVERDUE","Due "&amp;TEXT($T402,"mm/dd")))))</f>
        <v/>
      </c>
      <c r="V402" s="14" t="n"/>
      <c r="W402" s="14" t="n"/>
    </row>
    <row r="403">
      <c r="B403" s="15">
        <f>IF($C403="","",$D403&amp;"-"&amp;$F403&amp;"-"&amp;$K403)</f>
        <v/>
      </c>
      <c r="C403" s="14" t="n"/>
      <c r="D403" s="15">
        <f>IF($C403="","",IFERROR(INDEX(rngCadetPIDs,MATCH($C403,rngCadetNames,0)),"?"))</f>
        <v/>
      </c>
      <c r="E403" s="15">
        <f>IF($D403="","",IFERROR(INDEX(nrCadetAgency,MATCH($D403,rngCadetPIDs,0)),""))</f>
        <v/>
      </c>
      <c r="F403" s="14" t="n"/>
      <c r="G403" s="15">
        <f>IF($F403="","",IFERROR(INDEX(rngEPname,MATCH($F403,rngEPcode,0)),"?"))</f>
        <v/>
      </c>
      <c r="H403" s="15">
        <f>IF($F403="","",IFERROR(INDEX(rngEPtype,MATCH($F403,rngEPcode,0)),"?"))</f>
        <v/>
      </c>
      <c r="I403" s="15">
        <f>IF($F403="","",IFERROR(INDEX(rngEPseq,MATCH($F403,rngEPcode,0)),""))</f>
        <v/>
      </c>
      <c r="J403" s="15">
        <f>IF($F403="","",IFERROR(INDEX(rngEPpass,MATCH($F403,rngEPcode,0)),cfgPassingScore))</f>
        <v/>
      </c>
      <c r="K403" s="14" t="n"/>
      <c r="L403" s="14" t="n"/>
      <c r="M403" s="15">
        <f>IF($C403="","",IF($L403="","",IF($K403=1,IF(COUNTIFS(nrES_PID,$D403,nrES_Code,$F403,nrES_Att,2)&gt;0,"",$L403),IF(COUNTIFS(nrES_PID,$D403,nrES_Code,$F403,nrES_Att,1)=0,$L403,IF($L403&gt;=$J403,cfgRetakeRecordedCap,SUMIFS(nrES_Raw,nrES_PID,$D403,nrES_Code,$F403,nrES_Att,1))))))</f>
        <v/>
      </c>
      <c r="N403" s="15">
        <f>IF($C403="","",IF($L403="","",IF($L403&gt;=$J403,"Yes","No")))</f>
        <v/>
      </c>
      <c r="O403" s="15">
        <f>IF($C403="","",IF($M403="","",IF($M403&gt;=$J403,"Yes","No")))</f>
        <v/>
      </c>
      <c r="P403" s="15">
        <f>IF($C403="","",IF($K403="","",IF(COUNTIFS(nrES_PID,$D403,nrES_Code,$F403,nrES_Att,"&gt;"&amp;$K403)=0,"Yes","No")))</f>
        <v/>
      </c>
      <c r="Q403" s="15">
        <f>IF($C403="","",IF($L403="","",IF(AND($K403=1,$L403&lt;$J403,COUNTIFS(nrES_PID,$D403,nrES_Code,$F403,nrES_Att,2)=0),"Yes","No")))</f>
        <v/>
      </c>
      <c r="R403" s="15">
        <f>IF($C403="","",IF($L403="","",IF(AND($K403=2,$L403&lt;$J403,COUNTIFS(nrES_PID,$D403,nrES_Code,$F403,nrES_Att,1)&gt;0),"Yes","No")))</f>
        <v/>
      </c>
      <c r="S403" s="16" t="n"/>
      <c r="T403" s="17">
        <f>IF($Q403&lt;&gt;"Yes","",IF($S403="","(enter date)",_xlfn.LET(_xlpm.dn,IFERROR(_xlfn.XLOOKUP($S403,nrCDdate,nrCDnum),""),IF(_xlpm.dn="","(not a class day)",IFERROR(_xlfn.XLOOKUP(_xlpm.dn+cfgRetestClassDays,nrCDnum,nrCDdate),"")))))</f>
        <v/>
      </c>
      <c r="U403" s="15">
        <f>IF($Q403&lt;&gt;"Yes","",IF(COUNTIFS(nrES_PID,$D403,nrES_Code,$F403,nrES_Att,2)&gt;0,"Retested",IF(OR($T403="",NOT(ISNUMBER($T403))),"Pending",IF(TODAY()&gt;$T403,"OVERDUE","Due "&amp;TEXT($T403,"mm/dd")))))</f>
        <v/>
      </c>
      <c r="V403" s="14" t="n"/>
      <c r="W403" s="14" t="n"/>
    </row>
    <row r="404">
      <c r="B404" s="15">
        <f>IF($C404="","",$D404&amp;"-"&amp;$F404&amp;"-"&amp;$K404)</f>
        <v/>
      </c>
      <c r="C404" s="14" t="n"/>
      <c r="D404" s="15">
        <f>IF($C404="","",IFERROR(INDEX(rngCadetPIDs,MATCH($C404,rngCadetNames,0)),"?"))</f>
        <v/>
      </c>
      <c r="E404" s="15">
        <f>IF($D404="","",IFERROR(INDEX(nrCadetAgency,MATCH($D404,rngCadetPIDs,0)),""))</f>
        <v/>
      </c>
      <c r="F404" s="14" t="n"/>
      <c r="G404" s="15">
        <f>IF($F404="","",IFERROR(INDEX(rngEPname,MATCH($F404,rngEPcode,0)),"?"))</f>
        <v/>
      </c>
      <c r="H404" s="15">
        <f>IF($F404="","",IFERROR(INDEX(rngEPtype,MATCH($F404,rngEPcode,0)),"?"))</f>
        <v/>
      </c>
      <c r="I404" s="15">
        <f>IF($F404="","",IFERROR(INDEX(rngEPseq,MATCH($F404,rngEPcode,0)),""))</f>
        <v/>
      </c>
      <c r="J404" s="15">
        <f>IF($F404="","",IFERROR(INDEX(rngEPpass,MATCH($F404,rngEPcode,0)),cfgPassingScore))</f>
        <v/>
      </c>
      <c r="K404" s="14" t="n"/>
      <c r="L404" s="14" t="n"/>
      <c r="M404" s="15">
        <f>IF($C404="","",IF($L404="","",IF($K404=1,IF(COUNTIFS(nrES_PID,$D404,nrES_Code,$F404,nrES_Att,2)&gt;0,"",$L404),IF(COUNTIFS(nrES_PID,$D404,nrES_Code,$F404,nrES_Att,1)=0,$L404,IF($L404&gt;=$J404,cfgRetakeRecordedCap,SUMIFS(nrES_Raw,nrES_PID,$D404,nrES_Code,$F404,nrES_Att,1))))))</f>
        <v/>
      </c>
      <c r="N404" s="15">
        <f>IF($C404="","",IF($L404="","",IF($L404&gt;=$J404,"Yes","No")))</f>
        <v/>
      </c>
      <c r="O404" s="15">
        <f>IF($C404="","",IF($M404="","",IF($M404&gt;=$J404,"Yes","No")))</f>
        <v/>
      </c>
      <c r="P404" s="15">
        <f>IF($C404="","",IF($K404="","",IF(COUNTIFS(nrES_PID,$D404,nrES_Code,$F404,nrES_Att,"&gt;"&amp;$K404)=0,"Yes","No")))</f>
        <v/>
      </c>
      <c r="Q404" s="15">
        <f>IF($C404="","",IF($L404="","",IF(AND($K404=1,$L404&lt;$J404,COUNTIFS(nrES_PID,$D404,nrES_Code,$F404,nrES_Att,2)=0),"Yes","No")))</f>
        <v/>
      </c>
      <c r="R404" s="15">
        <f>IF($C404="","",IF($L404="","",IF(AND($K404=2,$L404&lt;$J404,COUNTIFS(nrES_PID,$D404,nrES_Code,$F404,nrES_Att,1)&gt;0),"Yes","No")))</f>
        <v/>
      </c>
      <c r="S404" s="16" t="n"/>
      <c r="T404" s="17">
        <f>IF($Q404&lt;&gt;"Yes","",IF($S404="","(enter date)",_xlfn.LET(_xlpm.dn,IFERROR(_xlfn.XLOOKUP($S404,nrCDdate,nrCDnum),""),IF(_xlpm.dn="","(not a class day)",IFERROR(_xlfn.XLOOKUP(_xlpm.dn+cfgRetestClassDays,nrCDnum,nrCDdate),"")))))</f>
        <v/>
      </c>
      <c r="U404" s="15">
        <f>IF($Q404&lt;&gt;"Yes","",IF(COUNTIFS(nrES_PID,$D404,nrES_Code,$F404,nrES_Att,2)&gt;0,"Retested",IF(OR($T404="",NOT(ISNUMBER($T404))),"Pending",IF(TODAY()&gt;$T404,"OVERDUE","Due "&amp;TEXT($T404,"mm/dd")))))</f>
        <v/>
      </c>
      <c r="V404" s="14" t="n"/>
      <c r="W404" s="14" t="n"/>
    </row>
    <row r="405">
      <c r="B405" s="15">
        <f>IF($C405="","",$D405&amp;"-"&amp;$F405&amp;"-"&amp;$K405)</f>
        <v/>
      </c>
      <c r="C405" s="14" t="n"/>
      <c r="D405" s="15">
        <f>IF($C405="","",IFERROR(INDEX(rngCadetPIDs,MATCH($C405,rngCadetNames,0)),"?"))</f>
        <v/>
      </c>
      <c r="E405" s="15">
        <f>IF($D405="","",IFERROR(INDEX(nrCadetAgency,MATCH($D405,rngCadetPIDs,0)),""))</f>
        <v/>
      </c>
      <c r="F405" s="14" t="n"/>
      <c r="G405" s="15">
        <f>IF($F405="","",IFERROR(INDEX(rngEPname,MATCH($F405,rngEPcode,0)),"?"))</f>
        <v/>
      </c>
      <c r="H405" s="15">
        <f>IF($F405="","",IFERROR(INDEX(rngEPtype,MATCH($F405,rngEPcode,0)),"?"))</f>
        <v/>
      </c>
      <c r="I405" s="15">
        <f>IF($F405="","",IFERROR(INDEX(rngEPseq,MATCH($F405,rngEPcode,0)),""))</f>
        <v/>
      </c>
      <c r="J405" s="15">
        <f>IF($F405="","",IFERROR(INDEX(rngEPpass,MATCH($F405,rngEPcode,0)),cfgPassingScore))</f>
        <v/>
      </c>
      <c r="K405" s="14" t="n"/>
      <c r="L405" s="14" t="n"/>
      <c r="M405" s="15">
        <f>IF($C405="","",IF($L405="","",IF($K405=1,IF(COUNTIFS(nrES_PID,$D405,nrES_Code,$F405,nrES_Att,2)&gt;0,"",$L405),IF(COUNTIFS(nrES_PID,$D405,nrES_Code,$F405,nrES_Att,1)=0,$L405,IF($L405&gt;=$J405,cfgRetakeRecordedCap,SUMIFS(nrES_Raw,nrES_PID,$D405,nrES_Code,$F405,nrES_Att,1))))))</f>
        <v/>
      </c>
      <c r="N405" s="15">
        <f>IF($C405="","",IF($L405="","",IF($L405&gt;=$J405,"Yes","No")))</f>
        <v/>
      </c>
      <c r="O405" s="15">
        <f>IF($C405="","",IF($M405="","",IF($M405&gt;=$J405,"Yes","No")))</f>
        <v/>
      </c>
      <c r="P405" s="15">
        <f>IF($C405="","",IF($K405="","",IF(COUNTIFS(nrES_PID,$D405,nrES_Code,$F405,nrES_Att,"&gt;"&amp;$K405)=0,"Yes","No")))</f>
        <v/>
      </c>
      <c r="Q405" s="15">
        <f>IF($C405="","",IF($L405="","",IF(AND($K405=1,$L405&lt;$J405,COUNTIFS(nrES_PID,$D405,nrES_Code,$F405,nrES_Att,2)=0),"Yes","No")))</f>
        <v/>
      </c>
      <c r="R405" s="15">
        <f>IF($C405="","",IF($L405="","",IF(AND($K405=2,$L405&lt;$J405,COUNTIFS(nrES_PID,$D405,nrES_Code,$F405,nrES_Att,1)&gt;0),"Yes","No")))</f>
        <v/>
      </c>
      <c r="S405" s="16" t="n"/>
      <c r="T405" s="17">
        <f>IF($Q405&lt;&gt;"Yes","",IF($S405="","(enter date)",_xlfn.LET(_xlpm.dn,IFERROR(_xlfn.XLOOKUP($S405,nrCDdate,nrCDnum),""),IF(_xlpm.dn="","(not a class day)",IFERROR(_xlfn.XLOOKUP(_xlpm.dn+cfgRetestClassDays,nrCDnum,nrCDdate),"")))))</f>
        <v/>
      </c>
      <c r="U405" s="15">
        <f>IF($Q405&lt;&gt;"Yes","",IF(COUNTIFS(nrES_PID,$D405,nrES_Code,$F405,nrES_Att,2)&gt;0,"Retested",IF(OR($T405="",NOT(ISNUMBER($T405))),"Pending",IF(TODAY()&gt;$T405,"OVERDUE","Due "&amp;TEXT($T405,"mm/dd")))))</f>
        <v/>
      </c>
      <c r="V405" s="14" t="n"/>
      <c r="W405" s="14" t="n"/>
    </row>
    <row r="406">
      <c r="B406" s="15">
        <f>IF($C406="","",$D406&amp;"-"&amp;$F406&amp;"-"&amp;$K406)</f>
        <v/>
      </c>
      <c r="C406" s="14" t="n"/>
      <c r="D406" s="15">
        <f>IF($C406="","",IFERROR(INDEX(rngCadetPIDs,MATCH($C406,rngCadetNames,0)),"?"))</f>
        <v/>
      </c>
      <c r="E406" s="15">
        <f>IF($D406="","",IFERROR(INDEX(nrCadetAgency,MATCH($D406,rngCadetPIDs,0)),""))</f>
        <v/>
      </c>
      <c r="F406" s="14" t="n"/>
      <c r="G406" s="15">
        <f>IF($F406="","",IFERROR(INDEX(rngEPname,MATCH($F406,rngEPcode,0)),"?"))</f>
        <v/>
      </c>
      <c r="H406" s="15">
        <f>IF($F406="","",IFERROR(INDEX(rngEPtype,MATCH($F406,rngEPcode,0)),"?"))</f>
        <v/>
      </c>
      <c r="I406" s="15">
        <f>IF($F406="","",IFERROR(INDEX(rngEPseq,MATCH($F406,rngEPcode,0)),""))</f>
        <v/>
      </c>
      <c r="J406" s="15">
        <f>IF($F406="","",IFERROR(INDEX(rngEPpass,MATCH($F406,rngEPcode,0)),cfgPassingScore))</f>
        <v/>
      </c>
      <c r="K406" s="14" t="n"/>
      <c r="L406" s="14" t="n"/>
      <c r="M406" s="15">
        <f>IF($C406="","",IF($L406="","",IF($K406=1,IF(COUNTIFS(nrES_PID,$D406,nrES_Code,$F406,nrES_Att,2)&gt;0,"",$L406),IF(COUNTIFS(nrES_PID,$D406,nrES_Code,$F406,nrES_Att,1)=0,$L406,IF($L406&gt;=$J406,cfgRetakeRecordedCap,SUMIFS(nrES_Raw,nrES_PID,$D406,nrES_Code,$F406,nrES_Att,1))))))</f>
        <v/>
      </c>
      <c r="N406" s="15">
        <f>IF($C406="","",IF($L406="","",IF($L406&gt;=$J406,"Yes","No")))</f>
        <v/>
      </c>
      <c r="O406" s="15">
        <f>IF($C406="","",IF($M406="","",IF($M406&gt;=$J406,"Yes","No")))</f>
        <v/>
      </c>
      <c r="P406" s="15">
        <f>IF($C406="","",IF($K406="","",IF(COUNTIFS(nrES_PID,$D406,nrES_Code,$F406,nrES_Att,"&gt;"&amp;$K406)=0,"Yes","No")))</f>
        <v/>
      </c>
      <c r="Q406" s="15">
        <f>IF($C406="","",IF($L406="","",IF(AND($K406=1,$L406&lt;$J406,COUNTIFS(nrES_PID,$D406,nrES_Code,$F406,nrES_Att,2)=0),"Yes","No")))</f>
        <v/>
      </c>
      <c r="R406" s="15">
        <f>IF($C406="","",IF($L406="","",IF(AND($K406=2,$L406&lt;$J406,COUNTIFS(nrES_PID,$D406,nrES_Code,$F406,nrES_Att,1)&gt;0),"Yes","No")))</f>
        <v/>
      </c>
      <c r="S406" s="16" t="n"/>
      <c r="T406" s="17">
        <f>IF($Q406&lt;&gt;"Yes","",IF($S406="","(enter date)",_xlfn.LET(_xlpm.dn,IFERROR(_xlfn.XLOOKUP($S406,nrCDdate,nrCDnum),""),IF(_xlpm.dn="","(not a class day)",IFERROR(_xlfn.XLOOKUP(_xlpm.dn+cfgRetestClassDays,nrCDnum,nrCDdate),"")))))</f>
        <v/>
      </c>
      <c r="U406" s="15">
        <f>IF($Q406&lt;&gt;"Yes","",IF(COUNTIFS(nrES_PID,$D406,nrES_Code,$F406,nrES_Att,2)&gt;0,"Retested",IF(OR($T406="",NOT(ISNUMBER($T406))),"Pending",IF(TODAY()&gt;$T406,"OVERDUE","Due "&amp;TEXT($T406,"mm/dd")))))</f>
        <v/>
      </c>
      <c r="V406" s="14" t="n"/>
      <c r="W406" s="14" t="n"/>
    </row>
    <row r="407">
      <c r="B407" s="15">
        <f>IF($C407="","",$D407&amp;"-"&amp;$F407&amp;"-"&amp;$K407)</f>
        <v/>
      </c>
      <c r="C407" s="14" t="n"/>
      <c r="D407" s="15">
        <f>IF($C407="","",IFERROR(INDEX(rngCadetPIDs,MATCH($C407,rngCadetNames,0)),"?"))</f>
        <v/>
      </c>
      <c r="E407" s="15">
        <f>IF($D407="","",IFERROR(INDEX(nrCadetAgency,MATCH($D407,rngCadetPIDs,0)),""))</f>
        <v/>
      </c>
      <c r="F407" s="14" t="n"/>
      <c r="G407" s="15">
        <f>IF($F407="","",IFERROR(INDEX(rngEPname,MATCH($F407,rngEPcode,0)),"?"))</f>
        <v/>
      </c>
      <c r="H407" s="15">
        <f>IF($F407="","",IFERROR(INDEX(rngEPtype,MATCH($F407,rngEPcode,0)),"?"))</f>
        <v/>
      </c>
      <c r="I407" s="15">
        <f>IF($F407="","",IFERROR(INDEX(rngEPseq,MATCH($F407,rngEPcode,0)),""))</f>
        <v/>
      </c>
      <c r="J407" s="15">
        <f>IF($F407="","",IFERROR(INDEX(rngEPpass,MATCH($F407,rngEPcode,0)),cfgPassingScore))</f>
        <v/>
      </c>
      <c r="K407" s="14" t="n"/>
      <c r="L407" s="14" t="n"/>
      <c r="M407" s="15">
        <f>IF($C407="","",IF($L407="","",IF($K407=1,IF(COUNTIFS(nrES_PID,$D407,nrES_Code,$F407,nrES_Att,2)&gt;0,"",$L407),IF(COUNTIFS(nrES_PID,$D407,nrES_Code,$F407,nrES_Att,1)=0,$L407,IF($L407&gt;=$J407,cfgRetakeRecordedCap,SUMIFS(nrES_Raw,nrES_PID,$D407,nrES_Code,$F407,nrES_Att,1))))))</f>
        <v/>
      </c>
      <c r="N407" s="15">
        <f>IF($C407="","",IF($L407="","",IF($L407&gt;=$J407,"Yes","No")))</f>
        <v/>
      </c>
      <c r="O407" s="15">
        <f>IF($C407="","",IF($M407="","",IF($M407&gt;=$J407,"Yes","No")))</f>
        <v/>
      </c>
      <c r="P407" s="15">
        <f>IF($C407="","",IF($K407="","",IF(COUNTIFS(nrES_PID,$D407,nrES_Code,$F407,nrES_Att,"&gt;"&amp;$K407)=0,"Yes","No")))</f>
        <v/>
      </c>
      <c r="Q407" s="15">
        <f>IF($C407="","",IF($L407="","",IF(AND($K407=1,$L407&lt;$J407,COUNTIFS(nrES_PID,$D407,nrES_Code,$F407,nrES_Att,2)=0),"Yes","No")))</f>
        <v/>
      </c>
      <c r="R407" s="15">
        <f>IF($C407="","",IF($L407="","",IF(AND($K407=2,$L407&lt;$J407,COUNTIFS(nrES_PID,$D407,nrES_Code,$F407,nrES_Att,1)&gt;0),"Yes","No")))</f>
        <v/>
      </c>
      <c r="S407" s="16" t="n"/>
      <c r="T407" s="17">
        <f>IF($Q407&lt;&gt;"Yes","",IF($S407="","(enter date)",_xlfn.LET(_xlpm.dn,IFERROR(_xlfn.XLOOKUP($S407,nrCDdate,nrCDnum),""),IF(_xlpm.dn="","(not a class day)",IFERROR(_xlfn.XLOOKUP(_xlpm.dn+cfgRetestClassDays,nrCDnum,nrCDdate),"")))))</f>
        <v/>
      </c>
      <c r="U407" s="15">
        <f>IF($Q407&lt;&gt;"Yes","",IF(COUNTIFS(nrES_PID,$D407,nrES_Code,$F407,nrES_Att,2)&gt;0,"Retested",IF(OR($T407="",NOT(ISNUMBER($T407))),"Pending",IF(TODAY()&gt;$T407,"OVERDUE","Due "&amp;TEXT($T407,"mm/dd")))))</f>
        <v/>
      </c>
      <c r="V407" s="14" t="n"/>
      <c r="W407" s="14" t="n"/>
    </row>
    <row r="408">
      <c r="B408" s="15">
        <f>IF($C408="","",$D408&amp;"-"&amp;$F408&amp;"-"&amp;$K408)</f>
        <v/>
      </c>
      <c r="C408" s="14" t="n"/>
      <c r="D408" s="15">
        <f>IF($C408="","",IFERROR(INDEX(rngCadetPIDs,MATCH($C408,rngCadetNames,0)),"?"))</f>
        <v/>
      </c>
      <c r="E408" s="15">
        <f>IF($D408="","",IFERROR(INDEX(nrCadetAgency,MATCH($D408,rngCadetPIDs,0)),""))</f>
        <v/>
      </c>
      <c r="F408" s="14" t="n"/>
      <c r="G408" s="15">
        <f>IF($F408="","",IFERROR(INDEX(rngEPname,MATCH($F408,rngEPcode,0)),"?"))</f>
        <v/>
      </c>
      <c r="H408" s="15">
        <f>IF($F408="","",IFERROR(INDEX(rngEPtype,MATCH($F408,rngEPcode,0)),"?"))</f>
        <v/>
      </c>
      <c r="I408" s="15">
        <f>IF($F408="","",IFERROR(INDEX(rngEPseq,MATCH($F408,rngEPcode,0)),""))</f>
        <v/>
      </c>
      <c r="J408" s="15">
        <f>IF($F408="","",IFERROR(INDEX(rngEPpass,MATCH($F408,rngEPcode,0)),cfgPassingScore))</f>
        <v/>
      </c>
      <c r="K408" s="14" t="n"/>
      <c r="L408" s="14" t="n"/>
      <c r="M408" s="15">
        <f>IF($C408="","",IF($L408="","",IF($K408=1,IF(COUNTIFS(nrES_PID,$D408,nrES_Code,$F408,nrES_Att,2)&gt;0,"",$L408),IF(COUNTIFS(nrES_PID,$D408,nrES_Code,$F408,nrES_Att,1)=0,$L408,IF($L408&gt;=$J408,cfgRetakeRecordedCap,SUMIFS(nrES_Raw,nrES_PID,$D408,nrES_Code,$F408,nrES_Att,1))))))</f>
        <v/>
      </c>
      <c r="N408" s="15">
        <f>IF($C408="","",IF($L408="","",IF($L408&gt;=$J408,"Yes","No")))</f>
        <v/>
      </c>
      <c r="O408" s="15">
        <f>IF($C408="","",IF($M408="","",IF($M408&gt;=$J408,"Yes","No")))</f>
        <v/>
      </c>
      <c r="P408" s="15">
        <f>IF($C408="","",IF($K408="","",IF(COUNTIFS(nrES_PID,$D408,nrES_Code,$F408,nrES_Att,"&gt;"&amp;$K408)=0,"Yes","No")))</f>
        <v/>
      </c>
      <c r="Q408" s="15">
        <f>IF($C408="","",IF($L408="","",IF(AND($K408=1,$L408&lt;$J408,COUNTIFS(nrES_PID,$D408,nrES_Code,$F408,nrES_Att,2)=0),"Yes","No")))</f>
        <v/>
      </c>
      <c r="R408" s="15">
        <f>IF($C408="","",IF($L408="","",IF(AND($K408=2,$L408&lt;$J408,COUNTIFS(nrES_PID,$D408,nrES_Code,$F408,nrES_Att,1)&gt;0),"Yes","No")))</f>
        <v/>
      </c>
      <c r="S408" s="16" t="n"/>
      <c r="T408" s="17">
        <f>IF($Q408&lt;&gt;"Yes","",IF($S408="","(enter date)",_xlfn.LET(_xlpm.dn,IFERROR(_xlfn.XLOOKUP($S408,nrCDdate,nrCDnum),""),IF(_xlpm.dn="","(not a class day)",IFERROR(_xlfn.XLOOKUP(_xlpm.dn+cfgRetestClassDays,nrCDnum,nrCDdate),"")))))</f>
        <v/>
      </c>
      <c r="U408" s="15">
        <f>IF($Q408&lt;&gt;"Yes","",IF(COUNTIFS(nrES_PID,$D408,nrES_Code,$F408,nrES_Att,2)&gt;0,"Retested",IF(OR($T408="",NOT(ISNUMBER($T408))),"Pending",IF(TODAY()&gt;$T408,"OVERDUE","Due "&amp;TEXT($T408,"mm/dd")))))</f>
        <v/>
      </c>
      <c r="V408" s="14" t="n"/>
      <c r="W408" s="14" t="n"/>
    </row>
    <row r="409">
      <c r="B409" s="15">
        <f>IF($C409="","",$D409&amp;"-"&amp;$F409&amp;"-"&amp;$K409)</f>
        <v/>
      </c>
      <c r="C409" s="14" t="n"/>
      <c r="D409" s="15">
        <f>IF($C409="","",IFERROR(INDEX(rngCadetPIDs,MATCH($C409,rngCadetNames,0)),"?"))</f>
        <v/>
      </c>
      <c r="E409" s="15">
        <f>IF($D409="","",IFERROR(INDEX(nrCadetAgency,MATCH($D409,rngCadetPIDs,0)),""))</f>
        <v/>
      </c>
      <c r="F409" s="14" t="n"/>
      <c r="G409" s="15">
        <f>IF($F409="","",IFERROR(INDEX(rngEPname,MATCH($F409,rngEPcode,0)),"?"))</f>
        <v/>
      </c>
      <c r="H409" s="15">
        <f>IF($F409="","",IFERROR(INDEX(rngEPtype,MATCH($F409,rngEPcode,0)),"?"))</f>
        <v/>
      </c>
      <c r="I409" s="15">
        <f>IF($F409="","",IFERROR(INDEX(rngEPseq,MATCH($F409,rngEPcode,0)),""))</f>
        <v/>
      </c>
      <c r="J409" s="15">
        <f>IF($F409="","",IFERROR(INDEX(rngEPpass,MATCH($F409,rngEPcode,0)),cfgPassingScore))</f>
        <v/>
      </c>
      <c r="K409" s="14" t="n"/>
      <c r="L409" s="14" t="n"/>
      <c r="M409" s="15">
        <f>IF($C409="","",IF($L409="","",IF($K409=1,IF(COUNTIFS(nrES_PID,$D409,nrES_Code,$F409,nrES_Att,2)&gt;0,"",$L409),IF(COUNTIFS(nrES_PID,$D409,nrES_Code,$F409,nrES_Att,1)=0,$L409,IF($L409&gt;=$J409,cfgRetakeRecordedCap,SUMIFS(nrES_Raw,nrES_PID,$D409,nrES_Code,$F409,nrES_Att,1))))))</f>
        <v/>
      </c>
      <c r="N409" s="15">
        <f>IF($C409="","",IF($L409="","",IF($L409&gt;=$J409,"Yes","No")))</f>
        <v/>
      </c>
      <c r="O409" s="15">
        <f>IF($C409="","",IF($M409="","",IF($M409&gt;=$J409,"Yes","No")))</f>
        <v/>
      </c>
      <c r="P409" s="15">
        <f>IF($C409="","",IF($K409="","",IF(COUNTIFS(nrES_PID,$D409,nrES_Code,$F409,nrES_Att,"&gt;"&amp;$K409)=0,"Yes","No")))</f>
        <v/>
      </c>
      <c r="Q409" s="15">
        <f>IF($C409="","",IF($L409="","",IF(AND($K409=1,$L409&lt;$J409,COUNTIFS(nrES_PID,$D409,nrES_Code,$F409,nrES_Att,2)=0),"Yes","No")))</f>
        <v/>
      </c>
      <c r="R409" s="15">
        <f>IF($C409="","",IF($L409="","",IF(AND($K409=2,$L409&lt;$J409,COUNTIFS(nrES_PID,$D409,nrES_Code,$F409,nrES_Att,1)&gt;0),"Yes","No")))</f>
        <v/>
      </c>
      <c r="S409" s="16" t="n"/>
      <c r="T409" s="17">
        <f>IF($Q409&lt;&gt;"Yes","",IF($S409="","(enter date)",_xlfn.LET(_xlpm.dn,IFERROR(_xlfn.XLOOKUP($S409,nrCDdate,nrCDnum),""),IF(_xlpm.dn="","(not a class day)",IFERROR(_xlfn.XLOOKUP(_xlpm.dn+cfgRetestClassDays,nrCDnum,nrCDdate),"")))))</f>
        <v/>
      </c>
      <c r="U409" s="15">
        <f>IF($Q409&lt;&gt;"Yes","",IF(COUNTIFS(nrES_PID,$D409,nrES_Code,$F409,nrES_Att,2)&gt;0,"Retested",IF(OR($T409="",NOT(ISNUMBER($T409))),"Pending",IF(TODAY()&gt;$T409,"OVERDUE","Due "&amp;TEXT($T409,"mm/dd")))))</f>
        <v/>
      </c>
      <c r="V409" s="14" t="n"/>
      <c r="W409" s="14" t="n"/>
    </row>
    <row r="410">
      <c r="B410" s="15">
        <f>IF($C410="","",$D410&amp;"-"&amp;$F410&amp;"-"&amp;$K410)</f>
        <v/>
      </c>
      <c r="C410" s="14" t="n"/>
      <c r="D410" s="15">
        <f>IF($C410="","",IFERROR(INDEX(rngCadetPIDs,MATCH($C410,rngCadetNames,0)),"?"))</f>
        <v/>
      </c>
      <c r="E410" s="15">
        <f>IF($D410="","",IFERROR(INDEX(nrCadetAgency,MATCH($D410,rngCadetPIDs,0)),""))</f>
        <v/>
      </c>
      <c r="F410" s="14" t="n"/>
      <c r="G410" s="15">
        <f>IF($F410="","",IFERROR(INDEX(rngEPname,MATCH($F410,rngEPcode,0)),"?"))</f>
        <v/>
      </c>
      <c r="H410" s="15">
        <f>IF($F410="","",IFERROR(INDEX(rngEPtype,MATCH($F410,rngEPcode,0)),"?"))</f>
        <v/>
      </c>
      <c r="I410" s="15">
        <f>IF($F410="","",IFERROR(INDEX(rngEPseq,MATCH($F410,rngEPcode,0)),""))</f>
        <v/>
      </c>
      <c r="J410" s="15">
        <f>IF($F410="","",IFERROR(INDEX(rngEPpass,MATCH($F410,rngEPcode,0)),cfgPassingScore))</f>
        <v/>
      </c>
      <c r="K410" s="14" t="n"/>
      <c r="L410" s="14" t="n"/>
      <c r="M410" s="15">
        <f>IF($C410="","",IF($L410="","",IF($K410=1,IF(COUNTIFS(nrES_PID,$D410,nrES_Code,$F410,nrES_Att,2)&gt;0,"",$L410),IF(COUNTIFS(nrES_PID,$D410,nrES_Code,$F410,nrES_Att,1)=0,$L410,IF($L410&gt;=$J410,cfgRetakeRecordedCap,SUMIFS(nrES_Raw,nrES_PID,$D410,nrES_Code,$F410,nrES_Att,1))))))</f>
        <v/>
      </c>
      <c r="N410" s="15">
        <f>IF($C410="","",IF($L410="","",IF($L410&gt;=$J410,"Yes","No")))</f>
        <v/>
      </c>
      <c r="O410" s="15">
        <f>IF($C410="","",IF($M410="","",IF($M410&gt;=$J410,"Yes","No")))</f>
        <v/>
      </c>
      <c r="P410" s="15">
        <f>IF($C410="","",IF($K410="","",IF(COUNTIFS(nrES_PID,$D410,nrES_Code,$F410,nrES_Att,"&gt;"&amp;$K410)=0,"Yes","No")))</f>
        <v/>
      </c>
      <c r="Q410" s="15">
        <f>IF($C410="","",IF($L410="","",IF(AND($K410=1,$L410&lt;$J410,COUNTIFS(nrES_PID,$D410,nrES_Code,$F410,nrES_Att,2)=0),"Yes","No")))</f>
        <v/>
      </c>
      <c r="R410" s="15">
        <f>IF($C410="","",IF($L410="","",IF(AND($K410=2,$L410&lt;$J410,COUNTIFS(nrES_PID,$D410,nrES_Code,$F410,nrES_Att,1)&gt;0),"Yes","No")))</f>
        <v/>
      </c>
      <c r="S410" s="16" t="n"/>
      <c r="T410" s="17">
        <f>IF($Q410&lt;&gt;"Yes","",IF($S410="","(enter date)",_xlfn.LET(_xlpm.dn,IFERROR(_xlfn.XLOOKUP($S410,nrCDdate,nrCDnum),""),IF(_xlpm.dn="","(not a class day)",IFERROR(_xlfn.XLOOKUP(_xlpm.dn+cfgRetestClassDays,nrCDnum,nrCDdate),"")))))</f>
        <v/>
      </c>
      <c r="U410" s="15">
        <f>IF($Q410&lt;&gt;"Yes","",IF(COUNTIFS(nrES_PID,$D410,nrES_Code,$F410,nrES_Att,2)&gt;0,"Retested",IF(OR($T410="",NOT(ISNUMBER($T410))),"Pending",IF(TODAY()&gt;$T410,"OVERDUE","Due "&amp;TEXT($T410,"mm/dd")))))</f>
        <v/>
      </c>
      <c r="V410" s="14" t="n"/>
      <c r="W410" s="14" t="n"/>
    </row>
    <row r="411">
      <c r="B411" s="15">
        <f>IF($C411="","",$D411&amp;"-"&amp;$F411&amp;"-"&amp;$K411)</f>
        <v/>
      </c>
      <c r="C411" s="14" t="n"/>
      <c r="D411" s="15">
        <f>IF($C411="","",IFERROR(INDEX(rngCadetPIDs,MATCH($C411,rngCadetNames,0)),"?"))</f>
        <v/>
      </c>
      <c r="E411" s="15">
        <f>IF($D411="","",IFERROR(INDEX(nrCadetAgency,MATCH($D411,rngCadetPIDs,0)),""))</f>
        <v/>
      </c>
      <c r="F411" s="14" t="n"/>
      <c r="G411" s="15">
        <f>IF($F411="","",IFERROR(INDEX(rngEPname,MATCH($F411,rngEPcode,0)),"?"))</f>
        <v/>
      </c>
      <c r="H411" s="15">
        <f>IF($F411="","",IFERROR(INDEX(rngEPtype,MATCH($F411,rngEPcode,0)),"?"))</f>
        <v/>
      </c>
      <c r="I411" s="15">
        <f>IF($F411="","",IFERROR(INDEX(rngEPseq,MATCH($F411,rngEPcode,0)),""))</f>
        <v/>
      </c>
      <c r="J411" s="15">
        <f>IF($F411="","",IFERROR(INDEX(rngEPpass,MATCH($F411,rngEPcode,0)),cfgPassingScore))</f>
        <v/>
      </c>
      <c r="K411" s="14" t="n"/>
      <c r="L411" s="14" t="n"/>
      <c r="M411" s="15">
        <f>IF($C411="","",IF($L411="","",IF($K411=1,IF(COUNTIFS(nrES_PID,$D411,nrES_Code,$F411,nrES_Att,2)&gt;0,"",$L411),IF(COUNTIFS(nrES_PID,$D411,nrES_Code,$F411,nrES_Att,1)=0,$L411,IF($L411&gt;=$J411,cfgRetakeRecordedCap,SUMIFS(nrES_Raw,nrES_PID,$D411,nrES_Code,$F411,nrES_Att,1))))))</f>
        <v/>
      </c>
      <c r="N411" s="15">
        <f>IF($C411="","",IF($L411="","",IF($L411&gt;=$J411,"Yes","No")))</f>
        <v/>
      </c>
      <c r="O411" s="15">
        <f>IF($C411="","",IF($M411="","",IF($M411&gt;=$J411,"Yes","No")))</f>
        <v/>
      </c>
      <c r="P411" s="15">
        <f>IF($C411="","",IF($K411="","",IF(COUNTIFS(nrES_PID,$D411,nrES_Code,$F411,nrES_Att,"&gt;"&amp;$K411)=0,"Yes","No")))</f>
        <v/>
      </c>
      <c r="Q411" s="15">
        <f>IF($C411="","",IF($L411="","",IF(AND($K411=1,$L411&lt;$J411,COUNTIFS(nrES_PID,$D411,nrES_Code,$F411,nrES_Att,2)=0),"Yes","No")))</f>
        <v/>
      </c>
      <c r="R411" s="15">
        <f>IF($C411="","",IF($L411="","",IF(AND($K411=2,$L411&lt;$J411,COUNTIFS(nrES_PID,$D411,nrES_Code,$F411,nrES_Att,1)&gt;0),"Yes","No")))</f>
        <v/>
      </c>
      <c r="S411" s="16" t="n"/>
      <c r="T411" s="17">
        <f>IF($Q411&lt;&gt;"Yes","",IF($S411="","(enter date)",_xlfn.LET(_xlpm.dn,IFERROR(_xlfn.XLOOKUP($S411,nrCDdate,nrCDnum),""),IF(_xlpm.dn="","(not a class day)",IFERROR(_xlfn.XLOOKUP(_xlpm.dn+cfgRetestClassDays,nrCDnum,nrCDdate),"")))))</f>
        <v/>
      </c>
      <c r="U411" s="15">
        <f>IF($Q411&lt;&gt;"Yes","",IF(COUNTIFS(nrES_PID,$D411,nrES_Code,$F411,nrES_Att,2)&gt;0,"Retested",IF(OR($T411="",NOT(ISNUMBER($T411))),"Pending",IF(TODAY()&gt;$T411,"OVERDUE","Due "&amp;TEXT($T411,"mm/dd")))))</f>
        <v/>
      </c>
      <c r="V411" s="14" t="n"/>
      <c r="W411" s="14" t="n"/>
    </row>
    <row r="412">
      <c r="B412" s="15">
        <f>IF($C412="","",$D412&amp;"-"&amp;$F412&amp;"-"&amp;$K412)</f>
        <v/>
      </c>
      <c r="C412" s="14" t="n"/>
      <c r="D412" s="15">
        <f>IF($C412="","",IFERROR(INDEX(rngCadetPIDs,MATCH($C412,rngCadetNames,0)),"?"))</f>
        <v/>
      </c>
      <c r="E412" s="15">
        <f>IF($D412="","",IFERROR(INDEX(nrCadetAgency,MATCH($D412,rngCadetPIDs,0)),""))</f>
        <v/>
      </c>
      <c r="F412" s="14" t="n"/>
      <c r="G412" s="15">
        <f>IF($F412="","",IFERROR(INDEX(rngEPname,MATCH($F412,rngEPcode,0)),"?"))</f>
        <v/>
      </c>
      <c r="H412" s="15">
        <f>IF($F412="","",IFERROR(INDEX(rngEPtype,MATCH($F412,rngEPcode,0)),"?"))</f>
        <v/>
      </c>
      <c r="I412" s="15">
        <f>IF($F412="","",IFERROR(INDEX(rngEPseq,MATCH($F412,rngEPcode,0)),""))</f>
        <v/>
      </c>
      <c r="J412" s="15">
        <f>IF($F412="","",IFERROR(INDEX(rngEPpass,MATCH($F412,rngEPcode,0)),cfgPassingScore))</f>
        <v/>
      </c>
      <c r="K412" s="14" t="n"/>
      <c r="L412" s="14" t="n"/>
      <c r="M412" s="15">
        <f>IF($C412="","",IF($L412="","",IF($K412=1,IF(COUNTIFS(nrES_PID,$D412,nrES_Code,$F412,nrES_Att,2)&gt;0,"",$L412),IF(COUNTIFS(nrES_PID,$D412,nrES_Code,$F412,nrES_Att,1)=0,$L412,IF($L412&gt;=$J412,cfgRetakeRecordedCap,SUMIFS(nrES_Raw,nrES_PID,$D412,nrES_Code,$F412,nrES_Att,1))))))</f>
        <v/>
      </c>
      <c r="N412" s="15">
        <f>IF($C412="","",IF($L412="","",IF($L412&gt;=$J412,"Yes","No")))</f>
        <v/>
      </c>
      <c r="O412" s="15">
        <f>IF($C412="","",IF($M412="","",IF($M412&gt;=$J412,"Yes","No")))</f>
        <v/>
      </c>
      <c r="P412" s="15">
        <f>IF($C412="","",IF($K412="","",IF(COUNTIFS(nrES_PID,$D412,nrES_Code,$F412,nrES_Att,"&gt;"&amp;$K412)=0,"Yes","No")))</f>
        <v/>
      </c>
      <c r="Q412" s="15">
        <f>IF($C412="","",IF($L412="","",IF(AND($K412=1,$L412&lt;$J412,COUNTIFS(nrES_PID,$D412,nrES_Code,$F412,nrES_Att,2)=0),"Yes","No")))</f>
        <v/>
      </c>
      <c r="R412" s="15">
        <f>IF($C412="","",IF($L412="","",IF(AND($K412=2,$L412&lt;$J412,COUNTIFS(nrES_PID,$D412,nrES_Code,$F412,nrES_Att,1)&gt;0),"Yes","No")))</f>
        <v/>
      </c>
      <c r="S412" s="16" t="n"/>
      <c r="T412" s="17">
        <f>IF($Q412&lt;&gt;"Yes","",IF($S412="","(enter date)",_xlfn.LET(_xlpm.dn,IFERROR(_xlfn.XLOOKUP($S412,nrCDdate,nrCDnum),""),IF(_xlpm.dn="","(not a class day)",IFERROR(_xlfn.XLOOKUP(_xlpm.dn+cfgRetestClassDays,nrCDnum,nrCDdate),"")))))</f>
        <v/>
      </c>
      <c r="U412" s="15">
        <f>IF($Q412&lt;&gt;"Yes","",IF(COUNTIFS(nrES_PID,$D412,nrES_Code,$F412,nrES_Att,2)&gt;0,"Retested",IF(OR($T412="",NOT(ISNUMBER($T412))),"Pending",IF(TODAY()&gt;$T412,"OVERDUE","Due "&amp;TEXT($T412,"mm/dd")))))</f>
        <v/>
      </c>
      <c r="V412" s="14" t="n"/>
      <c r="W412" s="14" t="n"/>
    </row>
    <row r="413">
      <c r="B413" s="15">
        <f>IF($C413="","",$D413&amp;"-"&amp;$F413&amp;"-"&amp;$K413)</f>
        <v/>
      </c>
      <c r="C413" s="14" t="n"/>
      <c r="D413" s="15">
        <f>IF($C413="","",IFERROR(INDEX(rngCadetPIDs,MATCH($C413,rngCadetNames,0)),"?"))</f>
        <v/>
      </c>
      <c r="E413" s="15">
        <f>IF($D413="","",IFERROR(INDEX(nrCadetAgency,MATCH($D413,rngCadetPIDs,0)),""))</f>
        <v/>
      </c>
      <c r="F413" s="14" t="n"/>
      <c r="G413" s="15">
        <f>IF($F413="","",IFERROR(INDEX(rngEPname,MATCH($F413,rngEPcode,0)),"?"))</f>
        <v/>
      </c>
      <c r="H413" s="15">
        <f>IF($F413="","",IFERROR(INDEX(rngEPtype,MATCH($F413,rngEPcode,0)),"?"))</f>
        <v/>
      </c>
      <c r="I413" s="15">
        <f>IF($F413="","",IFERROR(INDEX(rngEPseq,MATCH($F413,rngEPcode,0)),""))</f>
        <v/>
      </c>
      <c r="J413" s="15">
        <f>IF($F413="","",IFERROR(INDEX(rngEPpass,MATCH($F413,rngEPcode,0)),cfgPassingScore))</f>
        <v/>
      </c>
      <c r="K413" s="14" t="n"/>
      <c r="L413" s="14" t="n"/>
      <c r="M413" s="15">
        <f>IF($C413="","",IF($L413="","",IF($K413=1,IF(COUNTIFS(nrES_PID,$D413,nrES_Code,$F413,nrES_Att,2)&gt;0,"",$L413),IF(COUNTIFS(nrES_PID,$D413,nrES_Code,$F413,nrES_Att,1)=0,$L413,IF($L413&gt;=$J413,cfgRetakeRecordedCap,SUMIFS(nrES_Raw,nrES_PID,$D413,nrES_Code,$F413,nrES_Att,1))))))</f>
        <v/>
      </c>
      <c r="N413" s="15">
        <f>IF($C413="","",IF($L413="","",IF($L413&gt;=$J413,"Yes","No")))</f>
        <v/>
      </c>
      <c r="O413" s="15">
        <f>IF($C413="","",IF($M413="","",IF($M413&gt;=$J413,"Yes","No")))</f>
        <v/>
      </c>
      <c r="P413" s="15">
        <f>IF($C413="","",IF($K413="","",IF(COUNTIFS(nrES_PID,$D413,nrES_Code,$F413,nrES_Att,"&gt;"&amp;$K413)=0,"Yes","No")))</f>
        <v/>
      </c>
      <c r="Q413" s="15">
        <f>IF($C413="","",IF($L413="","",IF(AND($K413=1,$L413&lt;$J413,COUNTIFS(nrES_PID,$D413,nrES_Code,$F413,nrES_Att,2)=0),"Yes","No")))</f>
        <v/>
      </c>
      <c r="R413" s="15">
        <f>IF($C413="","",IF($L413="","",IF(AND($K413=2,$L413&lt;$J413,COUNTIFS(nrES_PID,$D413,nrES_Code,$F413,nrES_Att,1)&gt;0),"Yes","No")))</f>
        <v/>
      </c>
      <c r="S413" s="16" t="n"/>
      <c r="T413" s="17">
        <f>IF($Q413&lt;&gt;"Yes","",IF($S413="","(enter date)",_xlfn.LET(_xlpm.dn,IFERROR(_xlfn.XLOOKUP($S413,nrCDdate,nrCDnum),""),IF(_xlpm.dn="","(not a class day)",IFERROR(_xlfn.XLOOKUP(_xlpm.dn+cfgRetestClassDays,nrCDnum,nrCDdate),"")))))</f>
        <v/>
      </c>
      <c r="U413" s="15">
        <f>IF($Q413&lt;&gt;"Yes","",IF(COUNTIFS(nrES_PID,$D413,nrES_Code,$F413,nrES_Att,2)&gt;0,"Retested",IF(OR($T413="",NOT(ISNUMBER($T413))),"Pending",IF(TODAY()&gt;$T413,"OVERDUE","Due "&amp;TEXT($T413,"mm/dd")))))</f>
        <v/>
      </c>
      <c r="V413" s="14" t="n"/>
      <c r="W413" s="14" t="n"/>
    </row>
    <row r="414">
      <c r="B414" s="15">
        <f>IF($C414="","",$D414&amp;"-"&amp;$F414&amp;"-"&amp;$K414)</f>
        <v/>
      </c>
      <c r="C414" s="14" t="n"/>
      <c r="D414" s="15">
        <f>IF($C414="","",IFERROR(INDEX(rngCadetPIDs,MATCH($C414,rngCadetNames,0)),"?"))</f>
        <v/>
      </c>
      <c r="E414" s="15">
        <f>IF($D414="","",IFERROR(INDEX(nrCadetAgency,MATCH($D414,rngCadetPIDs,0)),""))</f>
        <v/>
      </c>
      <c r="F414" s="14" t="n"/>
      <c r="G414" s="15">
        <f>IF($F414="","",IFERROR(INDEX(rngEPname,MATCH($F414,rngEPcode,0)),"?"))</f>
        <v/>
      </c>
      <c r="H414" s="15">
        <f>IF($F414="","",IFERROR(INDEX(rngEPtype,MATCH($F414,rngEPcode,0)),"?"))</f>
        <v/>
      </c>
      <c r="I414" s="15">
        <f>IF($F414="","",IFERROR(INDEX(rngEPseq,MATCH($F414,rngEPcode,0)),""))</f>
        <v/>
      </c>
      <c r="J414" s="15">
        <f>IF($F414="","",IFERROR(INDEX(rngEPpass,MATCH($F414,rngEPcode,0)),cfgPassingScore))</f>
        <v/>
      </c>
      <c r="K414" s="14" t="n"/>
      <c r="L414" s="14" t="n"/>
      <c r="M414" s="15">
        <f>IF($C414="","",IF($L414="","",IF($K414=1,IF(COUNTIFS(nrES_PID,$D414,nrES_Code,$F414,nrES_Att,2)&gt;0,"",$L414),IF(COUNTIFS(nrES_PID,$D414,nrES_Code,$F414,nrES_Att,1)=0,$L414,IF($L414&gt;=$J414,cfgRetakeRecordedCap,SUMIFS(nrES_Raw,nrES_PID,$D414,nrES_Code,$F414,nrES_Att,1))))))</f>
        <v/>
      </c>
      <c r="N414" s="15">
        <f>IF($C414="","",IF($L414="","",IF($L414&gt;=$J414,"Yes","No")))</f>
        <v/>
      </c>
      <c r="O414" s="15">
        <f>IF($C414="","",IF($M414="","",IF($M414&gt;=$J414,"Yes","No")))</f>
        <v/>
      </c>
      <c r="P414" s="15">
        <f>IF($C414="","",IF($K414="","",IF(COUNTIFS(nrES_PID,$D414,nrES_Code,$F414,nrES_Att,"&gt;"&amp;$K414)=0,"Yes","No")))</f>
        <v/>
      </c>
      <c r="Q414" s="15">
        <f>IF($C414="","",IF($L414="","",IF(AND($K414=1,$L414&lt;$J414,COUNTIFS(nrES_PID,$D414,nrES_Code,$F414,nrES_Att,2)=0),"Yes","No")))</f>
        <v/>
      </c>
      <c r="R414" s="15">
        <f>IF($C414="","",IF($L414="","",IF(AND($K414=2,$L414&lt;$J414,COUNTIFS(nrES_PID,$D414,nrES_Code,$F414,nrES_Att,1)&gt;0),"Yes","No")))</f>
        <v/>
      </c>
      <c r="S414" s="16" t="n"/>
      <c r="T414" s="17">
        <f>IF($Q414&lt;&gt;"Yes","",IF($S414="","(enter date)",_xlfn.LET(_xlpm.dn,IFERROR(_xlfn.XLOOKUP($S414,nrCDdate,nrCDnum),""),IF(_xlpm.dn="","(not a class day)",IFERROR(_xlfn.XLOOKUP(_xlpm.dn+cfgRetestClassDays,nrCDnum,nrCDdate),"")))))</f>
        <v/>
      </c>
      <c r="U414" s="15">
        <f>IF($Q414&lt;&gt;"Yes","",IF(COUNTIFS(nrES_PID,$D414,nrES_Code,$F414,nrES_Att,2)&gt;0,"Retested",IF(OR($T414="",NOT(ISNUMBER($T414))),"Pending",IF(TODAY()&gt;$T414,"OVERDUE","Due "&amp;TEXT($T414,"mm/dd")))))</f>
        <v/>
      </c>
      <c r="V414" s="14" t="n"/>
      <c r="W414" s="14" t="n"/>
    </row>
    <row r="415">
      <c r="B415" s="15">
        <f>IF($C415="","",$D415&amp;"-"&amp;$F415&amp;"-"&amp;$K415)</f>
        <v/>
      </c>
      <c r="C415" s="14" t="n"/>
      <c r="D415" s="15">
        <f>IF($C415="","",IFERROR(INDEX(rngCadetPIDs,MATCH($C415,rngCadetNames,0)),"?"))</f>
        <v/>
      </c>
      <c r="E415" s="15">
        <f>IF($D415="","",IFERROR(INDEX(nrCadetAgency,MATCH($D415,rngCadetPIDs,0)),""))</f>
        <v/>
      </c>
      <c r="F415" s="14" t="n"/>
      <c r="G415" s="15">
        <f>IF($F415="","",IFERROR(INDEX(rngEPname,MATCH($F415,rngEPcode,0)),"?"))</f>
        <v/>
      </c>
      <c r="H415" s="15">
        <f>IF($F415="","",IFERROR(INDEX(rngEPtype,MATCH($F415,rngEPcode,0)),"?"))</f>
        <v/>
      </c>
      <c r="I415" s="15">
        <f>IF($F415="","",IFERROR(INDEX(rngEPseq,MATCH($F415,rngEPcode,0)),""))</f>
        <v/>
      </c>
      <c r="J415" s="15">
        <f>IF($F415="","",IFERROR(INDEX(rngEPpass,MATCH($F415,rngEPcode,0)),cfgPassingScore))</f>
        <v/>
      </c>
      <c r="K415" s="14" t="n"/>
      <c r="L415" s="14" t="n"/>
      <c r="M415" s="15">
        <f>IF($C415="","",IF($L415="","",IF($K415=1,IF(COUNTIFS(nrES_PID,$D415,nrES_Code,$F415,nrES_Att,2)&gt;0,"",$L415),IF(COUNTIFS(nrES_PID,$D415,nrES_Code,$F415,nrES_Att,1)=0,$L415,IF($L415&gt;=$J415,cfgRetakeRecordedCap,SUMIFS(nrES_Raw,nrES_PID,$D415,nrES_Code,$F415,nrES_Att,1))))))</f>
        <v/>
      </c>
      <c r="N415" s="15">
        <f>IF($C415="","",IF($L415="","",IF($L415&gt;=$J415,"Yes","No")))</f>
        <v/>
      </c>
      <c r="O415" s="15">
        <f>IF($C415="","",IF($M415="","",IF($M415&gt;=$J415,"Yes","No")))</f>
        <v/>
      </c>
      <c r="P415" s="15">
        <f>IF($C415="","",IF($K415="","",IF(COUNTIFS(nrES_PID,$D415,nrES_Code,$F415,nrES_Att,"&gt;"&amp;$K415)=0,"Yes","No")))</f>
        <v/>
      </c>
      <c r="Q415" s="15">
        <f>IF($C415="","",IF($L415="","",IF(AND($K415=1,$L415&lt;$J415,COUNTIFS(nrES_PID,$D415,nrES_Code,$F415,nrES_Att,2)=0),"Yes","No")))</f>
        <v/>
      </c>
      <c r="R415" s="15">
        <f>IF($C415="","",IF($L415="","",IF(AND($K415=2,$L415&lt;$J415,COUNTIFS(nrES_PID,$D415,nrES_Code,$F415,nrES_Att,1)&gt;0),"Yes","No")))</f>
        <v/>
      </c>
      <c r="S415" s="16" t="n"/>
      <c r="T415" s="17">
        <f>IF($Q415&lt;&gt;"Yes","",IF($S415="","(enter date)",_xlfn.LET(_xlpm.dn,IFERROR(_xlfn.XLOOKUP($S415,nrCDdate,nrCDnum),""),IF(_xlpm.dn="","(not a class day)",IFERROR(_xlfn.XLOOKUP(_xlpm.dn+cfgRetestClassDays,nrCDnum,nrCDdate),"")))))</f>
        <v/>
      </c>
      <c r="U415" s="15">
        <f>IF($Q415&lt;&gt;"Yes","",IF(COUNTIFS(nrES_PID,$D415,nrES_Code,$F415,nrES_Att,2)&gt;0,"Retested",IF(OR($T415="",NOT(ISNUMBER($T415))),"Pending",IF(TODAY()&gt;$T415,"OVERDUE","Due "&amp;TEXT($T415,"mm/dd")))))</f>
        <v/>
      </c>
      <c r="V415" s="14" t="n"/>
      <c r="W415" s="14" t="n"/>
    </row>
    <row r="416">
      <c r="B416" s="15">
        <f>IF($C416="","",$D416&amp;"-"&amp;$F416&amp;"-"&amp;$K416)</f>
        <v/>
      </c>
      <c r="C416" s="14" t="n"/>
      <c r="D416" s="15">
        <f>IF($C416="","",IFERROR(INDEX(rngCadetPIDs,MATCH($C416,rngCadetNames,0)),"?"))</f>
        <v/>
      </c>
      <c r="E416" s="15">
        <f>IF($D416="","",IFERROR(INDEX(nrCadetAgency,MATCH($D416,rngCadetPIDs,0)),""))</f>
        <v/>
      </c>
      <c r="F416" s="14" t="n"/>
      <c r="G416" s="15">
        <f>IF($F416="","",IFERROR(INDEX(rngEPname,MATCH($F416,rngEPcode,0)),"?"))</f>
        <v/>
      </c>
      <c r="H416" s="15">
        <f>IF($F416="","",IFERROR(INDEX(rngEPtype,MATCH($F416,rngEPcode,0)),"?"))</f>
        <v/>
      </c>
      <c r="I416" s="15">
        <f>IF($F416="","",IFERROR(INDEX(rngEPseq,MATCH($F416,rngEPcode,0)),""))</f>
        <v/>
      </c>
      <c r="J416" s="15">
        <f>IF($F416="","",IFERROR(INDEX(rngEPpass,MATCH($F416,rngEPcode,0)),cfgPassingScore))</f>
        <v/>
      </c>
      <c r="K416" s="14" t="n"/>
      <c r="L416" s="14" t="n"/>
      <c r="M416" s="15">
        <f>IF($C416="","",IF($L416="","",IF($K416=1,IF(COUNTIFS(nrES_PID,$D416,nrES_Code,$F416,nrES_Att,2)&gt;0,"",$L416),IF(COUNTIFS(nrES_PID,$D416,nrES_Code,$F416,nrES_Att,1)=0,$L416,IF($L416&gt;=$J416,cfgRetakeRecordedCap,SUMIFS(nrES_Raw,nrES_PID,$D416,nrES_Code,$F416,nrES_Att,1))))))</f>
        <v/>
      </c>
      <c r="N416" s="15">
        <f>IF($C416="","",IF($L416="","",IF($L416&gt;=$J416,"Yes","No")))</f>
        <v/>
      </c>
      <c r="O416" s="15">
        <f>IF($C416="","",IF($M416="","",IF($M416&gt;=$J416,"Yes","No")))</f>
        <v/>
      </c>
      <c r="P416" s="15">
        <f>IF($C416="","",IF($K416="","",IF(COUNTIFS(nrES_PID,$D416,nrES_Code,$F416,nrES_Att,"&gt;"&amp;$K416)=0,"Yes","No")))</f>
        <v/>
      </c>
      <c r="Q416" s="15">
        <f>IF($C416="","",IF($L416="","",IF(AND($K416=1,$L416&lt;$J416,COUNTIFS(nrES_PID,$D416,nrES_Code,$F416,nrES_Att,2)=0),"Yes","No")))</f>
        <v/>
      </c>
      <c r="R416" s="15">
        <f>IF($C416="","",IF($L416="","",IF(AND($K416=2,$L416&lt;$J416,COUNTIFS(nrES_PID,$D416,nrES_Code,$F416,nrES_Att,1)&gt;0),"Yes","No")))</f>
        <v/>
      </c>
      <c r="S416" s="16" t="n"/>
      <c r="T416" s="17">
        <f>IF($Q416&lt;&gt;"Yes","",IF($S416="","(enter date)",_xlfn.LET(_xlpm.dn,IFERROR(_xlfn.XLOOKUP($S416,nrCDdate,nrCDnum),""),IF(_xlpm.dn="","(not a class day)",IFERROR(_xlfn.XLOOKUP(_xlpm.dn+cfgRetestClassDays,nrCDnum,nrCDdate),"")))))</f>
        <v/>
      </c>
      <c r="U416" s="15">
        <f>IF($Q416&lt;&gt;"Yes","",IF(COUNTIFS(nrES_PID,$D416,nrES_Code,$F416,nrES_Att,2)&gt;0,"Retested",IF(OR($T416="",NOT(ISNUMBER($T416))),"Pending",IF(TODAY()&gt;$T416,"OVERDUE","Due "&amp;TEXT($T416,"mm/dd")))))</f>
        <v/>
      </c>
      <c r="V416" s="14" t="n"/>
      <c r="W416" s="14" t="n"/>
    </row>
    <row r="417">
      <c r="B417" s="15">
        <f>IF($C417="","",$D417&amp;"-"&amp;$F417&amp;"-"&amp;$K417)</f>
        <v/>
      </c>
      <c r="C417" s="14" t="n"/>
      <c r="D417" s="15">
        <f>IF($C417="","",IFERROR(INDEX(rngCadetPIDs,MATCH($C417,rngCadetNames,0)),"?"))</f>
        <v/>
      </c>
      <c r="E417" s="15">
        <f>IF($D417="","",IFERROR(INDEX(nrCadetAgency,MATCH($D417,rngCadetPIDs,0)),""))</f>
        <v/>
      </c>
      <c r="F417" s="14" t="n"/>
      <c r="G417" s="15">
        <f>IF($F417="","",IFERROR(INDEX(rngEPname,MATCH($F417,rngEPcode,0)),"?"))</f>
        <v/>
      </c>
      <c r="H417" s="15">
        <f>IF($F417="","",IFERROR(INDEX(rngEPtype,MATCH($F417,rngEPcode,0)),"?"))</f>
        <v/>
      </c>
      <c r="I417" s="15">
        <f>IF($F417="","",IFERROR(INDEX(rngEPseq,MATCH($F417,rngEPcode,0)),""))</f>
        <v/>
      </c>
      <c r="J417" s="15">
        <f>IF($F417="","",IFERROR(INDEX(rngEPpass,MATCH($F417,rngEPcode,0)),cfgPassingScore))</f>
        <v/>
      </c>
      <c r="K417" s="14" t="n"/>
      <c r="L417" s="14" t="n"/>
      <c r="M417" s="15">
        <f>IF($C417="","",IF($L417="","",IF($K417=1,IF(COUNTIFS(nrES_PID,$D417,nrES_Code,$F417,nrES_Att,2)&gt;0,"",$L417),IF(COUNTIFS(nrES_PID,$D417,nrES_Code,$F417,nrES_Att,1)=0,$L417,IF($L417&gt;=$J417,cfgRetakeRecordedCap,SUMIFS(nrES_Raw,nrES_PID,$D417,nrES_Code,$F417,nrES_Att,1))))))</f>
        <v/>
      </c>
      <c r="N417" s="15">
        <f>IF($C417="","",IF($L417="","",IF($L417&gt;=$J417,"Yes","No")))</f>
        <v/>
      </c>
      <c r="O417" s="15">
        <f>IF($C417="","",IF($M417="","",IF($M417&gt;=$J417,"Yes","No")))</f>
        <v/>
      </c>
      <c r="P417" s="15">
        <f>IF($C417="","",IF($K417="","",IF(COUNTIFS(nrES_PID,$D417,nrES_Code,$F417,nrES_Att,"&gt;"&amp;$K417)=0,"Yes","No")))</f>
        <v/>
      </c>
      <c r="Q417" s="15">
        <f>IF($C417="","",IF($L417="","",IF(AND($K417=1,$L417&lt;$J417,COUNTIFS(nrES_PID,$D417,nrES_Code,$F417,nrES_Att,2)=0),"Yes","No")))</f>
        <v/>
      </c>
      <c r="R417" s="15">
        <f>IF($C417="","",IF($L417="","",IF(AND($K417=2,$L417&lt;$J417,COUNTIFS(nrES_PID,$D417,nrES_Code,$F417,nrES_Att,1)&gt;0),"Yes","No")))</f>
        <v/>
      </c>
      <c r="S417" s="16" t="n"/>
      <c r="T417" s="17">
        <f>IF($Q417&lt;&gt;"Yes","",IF($S417="","(enter date)",_xlfn.LET(_xlpm.dn,IFERROR(_xlfn.XLOOKUP($S417,nrCDdate,nrCDnum),""),IF(_xlpm.dn="","(not a class day)",IFERROR(_xlfn.XLOOKUP(_xlpm.dn+cfgRetestClassDays,nrCDnum,nrCDdate),"")))))</f>
        <v/>
      </c>
      <c r="U417" s="15">
        <f>IF($Q417&lt;&gt;"Yes","",IF(COUNTIFS(nrES_PID,$D417,nrES_Code,$F417,nrES_Att,2)&gt;0,"Retested",IF(OR($T417="",NOT(ISNUMBER($T417))),"Pending",IF(TODAY()&gt;$T417,"OVERDUE","Due "&amp;TEXT($T417,"mm/dd")))))</f>
        <v/>
      </c>
      <c r="V417" s="14" t="n"/>
      <c r="W417" s="14" t="n"/>
    </row>
    <row r="418">
      <c r="B418" s="15">
        <f>IF($C418="","",$D418&amp;"-"&amp;$F418&amp;"-"&amp;$K418)</f>
        <v/>
      </c>
      <c r="C418" s="14" t="n"/>
      <c r="D418" s="15">
        <f>IF($C418="","",IFERROR(INDEX(rngCadetPIDs,MATCH($C418,rngCadetNames,0)),"?"))</f>
        <v/>
      </c>
      <c r="E418" s="15">
        <f>IF($D418="","",IFERROR(INDEX(nrCadetAgency,MATCH($D418,rngCadetPIDs,0)),""))</f>
        <v/>
      </c>
      <c r="F418" s="14" t="n"/>
      <c r="G418" s="15">
        <f>IF($F418="","",IFERROR(INDEX(rngEPname,MATCH($F418,rngEPcode,0)),"?"))</f>
        <v/>
      </c>
      <c r="H418" s="15">
        <f>IF($F418="","",IFERROR(INDEX(rngEPtype,MATCH($F418,rngEPcode,0)),"?"))</f>
        <v/>
      </c>
      <c r="I418" s="15">
        <f>IF($F418="","",IFERROR(INDEX(rngEPseq,MATCH($F418,rngEPcode,0)),""))</f>
        <v/>
      </c>
      <c r="J418" s="15">
        <f>IF($F418="","",IFERROR(INDEX(rngEPpass,MATCH($F418,rngEPcode,0)),cfgPassingScore))</f>
        <v/>
      </c>
      <c r="K418" s="14" t="n"/>
      <c r="L418" s="14" t="n"/>
      <c r="M418" s="15">
        <f>IF($C418="","",IF($L418="","",IF($K418=1,IF(COUNTIFS(nrES_PID,$D418,nrES_Code,$F418,nrES_Att,2)&gt;0,"",$L418),IF(COUNTIFS(nrES_PID,$D418,nrES_Code,$F418,nrES_Att,1)=0,$L418,IF($L418&gt;=$J418,cfgRetakeRecordedCap,SUMIFS(nrES_Raw,nrES_PID,$D418,nrES_Code,$F418,nrES_Att,1))))))</f>
        <v/>
      </c>
      <c r="N418" s="15">
        <f>IF($C418="","",IF($L418="","",IF($L418&gt;=$J418,"Yes","No")))</f>
        <v/>
      </c>
      <c r="O418" s="15">
        <f>IF($C418="","",IF($M418="","",IF($M418&gt;=$J418,"Yes","No")))</f>
        <v/>
      </c>
      <c r="P418" s="15">
        <f>IF($C418="","",IF($K418="","",IF(COUNTIFS(nrES_PID,$D418,nrES_Code,$F418,nrES_Att,"&gt;"&amp;$K418)=0,"Yes","No")))</f>
        <v/>
      </c>
      <c r="Q418" s="15">
        <f>IF($C418="","",IF($L418="","",IF(AND($K418=1,$L418&lt;$J418,COUNTIFS(nrES_PID,$D418,nrES_Code,$F418,nrES_Att,2)=0),"Yes","No")))</f>
        <v/>
      </c>
      <c r="R418" s="15">
        <f>IF($C418="","",IF($L418="","",IF(AND($K418=2,$L418&lt;$J418,COUNTIFS(nrES_PID,$D418,nrES_Code,$F418,nrES_Att,1)&gt;0),"Yes","No")))</f>
        <v/>
      </c>
      <c r="S418" s="16" t="n"/>
      <c r="T418" s="17">
        <f>IF($Q418&lt;&gt;"Yes","",IF($S418="","(enter date)",_xlfn.LET(_xlpm.dn,IFERROR(_xlfn.XLOOKUP($S418,nrCDdate,nrCDnum),""),IF(_xlpm.dn="","(not a class day)",IFERROR(_xlfn.XLOOKUP(_xlpm.dn+cfgRetestClassDays,nrCDnum,nrCDdate),"")))))</f>
        <v/>
      </c>
      <c r="U418" s="15">
        <f>IF($Q418&lt;&gt;"Yes","",IF(COUNTIFS(nrES_PID,$D418,nrES_Code,$F418,nrES_Att,2)&gt;0,"Retested",IF(OR($T418="",NOT(ISNUMBER($T418))),"Pending",IF(TODAY()&gt;$T418,"OVERDUE","Due "&amp;TEXT($T418,"mm/dd")))))</f>
        <v/>
      </c>
      <c r="V418" s="14" t="n"/>
      <c r="W418" s="14" t="n"/>
    </row>
    <row r="419">
      <c r="B419" s="15">
        <f>IF($C419="","",$D419&amp;"-"&amp;$F419&amp;"-"&amp;$K419)</f>
        <v/>
      </c>
      <c r="C419" s="14" t="n"/>
      <c r="D419" s="15">
        <f>IF($C419="","",IFERROR(INDEX(rngCadetPIDs,MATCH($C419,rngCadetNames,0)),"?"))</f>
        <v/>
      </c>
      <c r="E419" s="15">
        <f>IF($D419="","",IFERROR(INDEX(nrCadetAgency,MATCH($D419,rngCadetPIDs,0)),""))</f>
        <v/>
      </c>
      <c r="F419" s="14" t="n"/>
      <c r="G419" s="15">
        <f>IF($F419="","",IFERROR(INDEX(rngEPname,MATCH($F419,rngEPcode,0)),"?"))</f>
        <v/>
      </c>
      <c r="H419" s="15">
        <f>IF($F419="","",IFERROR(INDEX(rngEPtype,MATCH($F419,rngEPcode,0)),"?"))</f>
        <v/>
      </c>
      <c r="I419" s="15">
        <f>IF($F419="","",IFERROR(INDEX(rngEPseq,MATCH($F419,rngEPcode,0)),""))</f>
        <v/>
      </c>
      <c r="J419" s="15">
        <f>IF($F419="","",IFERROR(INDEX(rngEPpass,MATCH($F419,rngEPcode,0)),cfgPassingScore))</f>
        <v/>
      </c>
      <c r="K419" s="14" t="n"/>
      <c r="L419" s="14" t="n"/>
      <c r="M419" s="15">
        <f>IF($C419="","",IF($L419="","",IF($K419=1,IF(COUNTIFS(nrES_PID,$D419,nrES_Code,$F419,nrES_Att,2)&gt;0,"",$L419),IF(COUNTIFS(nrES_PID,$D419,nrES_Code,$F419,nrES_Att,1)=0,$L419,IF($L419&gt;=$J419,cfgRetakeRecordedCap,SUMIFS(nrES_Raw,nrES_PID,$D419,nrES_Code,$F419,nrES_Att,1))))))</f>
        <v/>
      </c>
      <c r="N419" s="15">
        <f>IF($C419="","",IF($L419="","",IF($L419&gt;=$J419,"Yes","No")))</f>
        <v/>
      </c>
      <c r="O419" s="15">
        <f>IF($C419="","",IF($M419="","",IF($M419&gt;=$J419,"Yes","No")))</f>
        <v/>
      </c>
      <c r="P419" s="15">
        <f>IF($C419="","",IF($K419="","",IF(COUNTIFS(nrES_PID,$D419,nrES_Code,$F419,nrES_Att,"&gt;"&amp;$K419)=0,"Yes","No")))</f>
        <v/>
      </c>
      <c r="Q419" s="15">
        <f>IF($C419="","",IF($L419="","",IF(AND($K419=1,$L419&lt;$J419,COUNTIFS(nrES_PID,$D419,nrES_Code,$F419,nrES_Att,2)=0),"Yes","No")))</f>
        <v/>
      </c>
      <c r="R419" s="15">
        <f>IF($C419="","",IF($L419="","",IF(AND($K419=2,$L419&lt;$J419,COUNTIFS(nrES_PID,$D419,nrES_Code,$F419,nrES_Att,1)&gt;0),"Yes","No")))</f>
        <v/>
      </c>
      <c r="S419" s="16" t="n"/>
      <c r="T419" s="17">
        <f>IF($Q419&lt;&gt;"Yes","",IF($S419="","(enter date)",_xlfn.LET(_xlpm.dn,IFERROR(_xlfn.XLOOKUP($S419,nrCDdate,nrCDnum),""),IF(_xlpm.dn="","(not a class day)",IFERROR(_xlfn.XLOOKUP(_xlpm.dn+cfgRetestClassDays,nrCDnum,nrCDdate),"")))))</f>
        <v/>
      </c>
      <c r="U419" s="15">
        <f>IF($Q419&lt;&gt;"Yes","",IF(COUNTIFS(nrES_PID,$D419,nrES_Code,$F419,nrES_Att,2)&gt;0,"Retested",IF(OR($T419="",NOT(ISNUMBER($T419))),"Pending",IF(TODAY()&gt;$T419,"OVERDUE","Due "&amp;TEXT($T419,"mm/dd")))))</f>
        <v/>
      </c>
      <c r="V419" s="14" t="n"/>
      <c r="W419" s="14" t="n"/>
    </row>
    <row r="420">
      <c r="B420" s="15">
        <f>IF($C420="","",$D420&amp;"-"&amp;$F420&amp;"-"&amp;$K420)</f>
        <v/>
      </c>
      <c r="C420" s="14" t="n"/>
      <c r="D420" s="15">
        <f>IF($C420="","",IFERROR(INDEX(rngCadetPIDs,MATCH($C420,rngCadetNames,0)),"?"))</f>
        <v/>
      </c>
      <c r="E420" s="15">
        <f>IF($D420="","",IFERROR(INDEX(nrCadetAgency,MATCH($D420,rngCadetPIDs,0)),""))</f>
        <v/>
      </c>
      <c r="F420" s="14" t="n"/>
      <c r="G420" s="15">
        <f>IF($F420="","",IFERROR(INDEX(rngEPname,MATCH($F420,rngEPcode,0)),"?"))</f>
        <v/>
      </c>
      <c r="H420" s="15">
        <f>IF($F420="","",IFERROR(INDEX(rngEPtype,MATCH($F420,rngEPcode,0)),"?"))</f>
        <v/>
      </c>
      <c r="I420" s="15">
        <f>IF($F420="","",IFERROR(INDEX(rngEPseq,MATCH($F420,rngEPcode,0)),""))</f>
        <v/>
      </c>
      <c r="J420" s="15">
        <f>IF($F420="","",IFERROR(INDEX(rngEPpass,MATCH($F420,rngEPcode,0)),cfgPassingScore))</f>
        <v/>
      </c>
      <c r="K420" s="14" t="n"/>
      <c r="L420" s="14" t="n"/>
      <c r="M420" s="15">
        <f>IF($C420="","",IF($L420="","",IF($K420=1,IF(COUNTIFS(nrES_PID,$D420,nrES_Code,$F420,nrES_Att,2)&gt;0,"",$L420),IF(COUNTIFS(nrES_PID,$D420,nrES_Code,$F420,nrES_Att,1)=0,$L420,IF($L420&gt;=$J420,cfgRetakeRecordedCap,SUMIFS(nrES_Raw,nrES_PID,$D420,nrES_Code,$F420,nrES_Att,1))))))</f>
        <v/>
      </c>
      <c r="N420" s="15">
        <f>IF($C420="","",IF($L420="","",IF($L420&gt;=$J420,"Yes","No")))</f>
        <v/>
      </c>
      <c r="O420" s="15">
        <f>IF($C420="","",IF($M420="","",IF($M420&gt;=$J420,"Yes","No")))</f>
        <v/>
      </c>
      <c r="P420" s="15">
        <f>IF($C420="","",IF($K420="","",IF(COUNTIFS(nrES_PID,$D420,nrES_Code,$F420,nrES_Att,"&gt;"&amp;$K420)=0,"Yes","No")))</f>
        <v/>
      </c>
      <c r="Q420" s="15">
        <f>IF($C420="","",IF($L420="","",IF(AND($K420=1,$L420&lt;$J420,COUNTIFS(nrES_PID,$D420,nrES_Code,$F420,nrES_Att,2)=0),"Yes","No")))</f>
        <v/>
      </c>
      <c r="R420" s="15">
        <f>IF($C420="","",IF($L420="","",IF(AND($K420=2,$L420&lt;$J420,COUNTIFS(nrES_PID,$D420,nrES_Code,$F420,nrES_Att,1)&gt;0),"Yes","No")))</f>
        <v/>
      </c>
      <c r="S420" s="16" t="n"/>
      <c r="T420" s="17">
        <f>IF($Q420&lt;&gt;"Yes","",IF($S420="","(enter date)",_xlfn.LET(_xlpm.dn,IFERROR(_xlfn.XLOOKUP($S420,nrCDdate,nrCDnum),""),IF(_xlpm.dn="","(not a class day)",IFERROR(_xlfn.XLOOKUP(_xlpm.dn+cfgRetestClassDays,nrCDnum,nrCDdate),"")))))</f>
        <v/>
      </c>
      <c r="U420" s="15">
        <f>IF($Q420&lt;&gt;"Yes","",IF(COUNTIFS(nrES_PID,$D420,nrES_Code,$F420,nrES_Att,2)&gt;0,"Retested",IF(OR($T420="",NOT(ISNUMBER($T420))),"Pending",IF(TODAY()&gt;$T420,"OVERDUE","Due "&amp;TEXT($T420,"mm/dd")))))</f>
        <v/>
      </c>
      <c r="V420" s="14" t="n"/>
      <c r="W420" s="14" t="n"/>
    </row>
    <row r="421">
      <c r="B421" s="15">
        <f>IF($C421="","",$D421&amp;"-"&amp;$F421&amp;"-"&amp;$K421)</f>
        <v/>
      </c>
      <c r="C421" s="14" t="n"/>
      <c r="D421" s="15">
        <f>IF($C421="","",IFERROR(INDEX(rngCadetPIDs,MATCH($C421,rngCadetNames,0)),"?"))</f>
        <v/>
      </c>
      <c r="E421" s="15">
        <f>IF($D421="","",IFERROR(INDEX(nrCadetAgency,MATCH($D421,rngCadetPIDs,0)),""))</f>
        <v/>
      </c>
      <c r="F421" s="14" t="n"/>
      <c r="G421" s="15">
        <f>IF($F421="","",IFERROR(INDEX(rngEPname,MATCH($F421,rngEPcode,0)),"?"))</f>
        <v/>
      </c>
      <c r="H421" s="15">
        <f>IF($F421="","",IFERROR(INDEX(rngEPtype,MATCH($F421,rngEPcode,0)),"?"))</f>
        <v/>
      </c>
      <c r="I421" s="15">
        <f>IF($F421="","",IFERROR(INDEX(rngEPseq,MATCH($F421,rngEPcode,0)),""))</f>
        <v/>
      </c>
      <c r="J421" s="15">
        <f>IF($F421="","",IFERROR(INDEX(rngEPpass,MATCH($F421,rngEPcode,0)),cfgPassingScore))</f>
        <v/>
      </c>
      <c r="K421" s="14" t="n"/>
      <c r="L421" s="14" t="n"/>
      <c r="M421" s="15">
        <f>IF($C421="","",IF($L421="","",IF($K421=1,IF(COUNTIFS(nrES_PID,$D421,nrES_Code,$F421,nrES_Att,2)&gt;0,"",$L421),IF(COUNTIFS(nrES_PID,$D421,nrES_Code,$F421,nrES_Att,1)=0,$L421,IF($L421&gt;=$J421,cfgRetakeRecordedCap,SUMIFS(nrES_Raw,nrES_PID,$D421,nrES_Code,$F421,nrES_Att,1))))))</f>
        <v/>
      </c>
      <c r="N421" s="15">
        <f>IF($C421="","",IF($L421="","",IF($L421&gt;=$J421,"Yes","No")))</f>
        <v/>
      </c>
      <c r="O421" s="15">
        <f>IF($C421="","",IF($M421="","",IF($M421&gt;=$J421,"Yes","No")))</f>
        <v/>
      </c>
      <c r="P421" s="15">
        <f>IF($C421="","",IF($K421="","",IF(COUNTIFS(nrES_PID,$D421,nrES_Code,$F421,nrES_Att,"&gt;"&amp;$K421)=0,"Yes","No")))</f>
        <v/>
      </c>
      <c r="Q421" s="15">
        <f>IF($C421="","",IF($L421="","",IF(AND($K421=1,$L421&lt;$J421,COUNTIFS(nrES_PID,$D421,nrES_Code,$F421,nrES_Att,2)=0),"Yes","No")))</f>
        <v/>
      </c>
      <c r="R421" s="15">
        <f>IF($C421="","",IF($L421="","",IF(AND($K421=2,$L421&lt;$J421,COUNTIFS(nrES_PID,$D421,nrES_Code,$F421,nrES_Att,1)&gt;0),"Yes","No")))</f>
        <v/>
      </c>
      <c r="S421" s="16" t="n"/>
      <c r="T421" s="17">
        <f>IF($Q421&lt;&gt;"Yes","",IF($S421="","(enter date)",_xlfn.LET(_xlpm.dn,IFERROR(_xlfn.XLOOKUP($S421,nrCDdate,nrCDnum),""),IF(_xlpm.dn="","(not a class day)",IFERROR(_xlfn.XLOOKUP(_xlpm.dn+cfgRetestClassDays,nrCDnum,nrCDdate),"")))))</f>
        <v/>
      </c>
      <c r="U421" s="15">
        <f>IF($Q421&lt;&gt;"Yes","",IF(COUNTIFS(nrES_PID,$D421,nrES_Code,$F421,nrES_Att,2)&gt;0,"Retested",IF(OR($T421="",NOT(ISNUMBER($T421))),"Pending",IF(TODAY()&gt;$T421,"OVERDUE","Due "&amp;TEXT($T421,"mm/dd")))))</f>
        <v/>
      </c>
      <c r="V421" s="14" t="n"/>
      <c r="W421" s="14" t="n"/>
    </row>
    <row r="422">
      <c r="B422" s="15">
        <f>IF($C422="","",$D422&amp;"-"&amp;$F422&amp;"-"&amp;$K422)</f>
        <v/>
      </c>
      <c r="C422" s="14" t="n"/>
      <c r="D422" s="15">
        <f>IF($C422="","",IFERROR(INDEX(rngCadetPIDs,MATCH($C422,rngCadetNames,0)),"?"))</f>
        <v/>
      </c>
      <c r="E422" s="15">
        <f>IF($D422="","",IFERROR(INDEX(nrCadetAgency,MATCH($D422,rngCadetPIDs,0)),""))</f>
        <v/>
      </c>
      <c r="F422" s="14" t="n"/>
      <c r="G422" s="15">
        <f>IF($F422="","",IFERROR(INDEX(rngEPname,MATCH($F422,rngEPcode,0)),"?"))</f>
        <v/>
      </c>
      <c r="H422" s="15">
        <f>IF($F422="","",IFERROR(INDEX(rngEPtype,MATCH($F422,rngEPcode,0)),"?"))</f>
        <v/>
      </c>
      <c r="I422" s="15">
        <f>IF($F422="","",IFERROR(INDEX(rngEPseq,MATCH($F422,rngEPcode,0)),""))</f>
        <v/>
      </c>
      <c r="J422" s="15">
        <f>IF($F422="","",IFERROR(INDEX(rngEPpass,MATCH($F422,rngEPcode,0)),cfgPassingScore))</f>
        <v/>
      </c>
      <c r="K422" s="14" t="n"/>
      <c r="L422" s="14" t="n"/>
      <c r="M422" s="15">
        <f>IF($C422="","",IF($L422="","",IF($K422=1,IF(COUNTIFS(nrES_PID,$D422,nrES_Code,$F422,nrES_Att,2)&gt;0,"",$L422),IF(COUNTIFS(nrES_PID,$D422,nrES_Code,$F422,nrES_Att,1)=0,$L422,IF($L422&gt;=$J422,cfgRetakeRecordedCap,SUMIFS(nrES_Raw,nrES_PID,$D422,nrES_Code,$F422,nrES_Att,1))))))</f>
        <v/>
      </c>
      <c r="N422" s="15">
        <f>IF($C422="","",IF($L422="","",IF($L422&gt;=$J422,"Yes","No")))</f>
        <v/>
      </c>
      <c r="O422" s="15">
        <f>IF($C422="","",IF($M422="","",IF($M422&gt;=$J422,"Yes","No")))</f>
        <v/>
      </c>
      <c r="P422" s="15">
        <f>IF($C422="","",IF($K422="","",IF(COUNTIFS(nrES_PID,$D422,nrES_Code,$F422,nrES_Att,"&gt;"&amp;$K422)=0,"Yes","No")))</f>
        <v/>
      </c>
      <c r="Q422" s="15">
        <f>IF($C422="","",IF($L422="","",IF(AND($K422=1,$L422&lt;$J422,COUNTIFS(nrES_PID,$D422,nrES_Code,$F422,nrES_Att,2)=0),"Yes","No")))</f>
        <v/>
      </c>
      <c r="R422" s="15">
        <f>IF($C422="","",IF($L422="","",IF(AND($K422=2,$L422&lt;$J422,COUNTIFS(nrES_PID,$D422,nrES_Code,$F422,nrES_Att,1)&gt;0),"Yes","No")))</f>
        <v/>
      </c>
      <c r="S422" s="16" t="n"/>
      <c r="T422" s="17">
        <f>IF($Q422&lt;&gt;"Yes","",IF($S422="","(enter date)",_xlfn.LET(_xlpm.dn,IFERROR(_xlfn.XLOOKUP($S422,nrCDdate,nrCDnum),""),IF(_xlpm.dn="","(not a class day)",IFERROR(_xlfn.XLOOKUP(_xlpm.dn+cfgRetestClassDays,nrCDnum,nrCDdate),"")))))</f>
        <v/>
      </c>
      <c r="U422" s="15">
        <f>IF($Q422&lt;&gt;"Yes","",IF(COUNTIFS(nrES_PID,$D422,nrES_Code,$F422,nrES_Att,2)&gt;0,"Retested",IF(OR($T422="",NOT(ISNUMBER($T422))),"Pending",IF(TODAY()&gt;$T422,"OVERDUE","Due "&amp;TEXT($T422,"mm/dd")))))</f>
        <v/>
      </c>
      <c r="V422" s="14" t="n"/>
      <c r="W422" s="14" t="n"/>
    </row>
    <row r="423">
      <c r="B423" s="15">
        <f>IF($C423="","",$D423&amp;"-"&amp;$F423&amp;"-"&amp;$K423)</f>
        <v/>
      </c>
      <c r="C423" s="14" t="n"/>
      <c r="D423" s="15">
        <f>IF($C423="","",IFERROR(INDEX(rngCadetPIDs,MATCH($C423,rngCadetNames,0)),"?"))</f>
        <v/>
      </c>
      <c r="E423" s="15">
        <f>IF($D423="","",IFERROR(INDEX(nrCadetAgency,MATCH($D423,rngCadetPIDs,0)),""))</f>
        <v/>
      </c>
      <c r="F423" s="14" t="n"/>
      <c r="G423" s="15">
        <f>IF($F423="","",IFERROR(INDEX(rngEPname,MATCH($F423,rngEPcode,0)),"?"))</f>
        <v/>
      </c>
      <c r="H423" s="15">
        <f>IF($F423="","",IFERROR(INDEX(rngEPtype,MATCH($F423,rngEPcode,0)),"?"))</f>
        <v/>
      </c>
      <c r="I423" s="15">
        <f>IF($F423="","",IFERROR(INDEX(rngEPseq,MATCH($F423,rngEPcode,0)),""))</f>
        <v/>
      </c>
      <c r="J423" s="15">
        <f>IF($F423="","",IFERROR(INDEX(rngEPpass,MATCH($F423,rngEPcode,0)),cfgPassingScore))</f>
        <v/>
      </c>
      <c r="K423" s="14" t="n"/>
      <c r="L423" s="14" t="n"/>
      <c r="M423" s="15">
        <f>IF($C423="","",IF($L423="","",IF($K423=1,IF(COUNTIFS(nrES_PID,$D423,nrES_Code,$F423,nrES_Att,2)&gt;0,"",$L423),IF(COUNTIFS(nrES_PID,$D423,nrES_Code,$F423,nrES_Att,1)=0,$L423,IF($L423&gt;=$J423,cfgRetakeRecordedCap,SUMIFS(nrES_Raw,nrES_PID,$D423,nrES_Code,$F423,nrES_Att,1))))))</f>
        <v/>
      </c>
      <c r="N423" s="15">
        <f>IF($C423="","",IF($L423="","",IF($L423&gt;=$J423,"Yes","No")))</f>
        <v/>
      </c>
      <c r="O423" s="15">
        <f>IF($C423="","",IF($M423="","",IF($M423&gt;=$J423,"Yes","No")))</f>
        <v/>
      </c>
      <c r="P423" s="15">
        <f>IF($C423="","",IF($K423="","",IF(COUNTIFS(nrES_PID,$D423,nrES_Code,$F423,nrES_Att,"&gt;"&amp;$K423)=0,"Yes","No")))</f>
        <v/>
      </c>
      <c r="Q423" s="15">
        <f>IF($C423="","",IF($L423="","",IF(AND($K423=1,$L423&lt;$J423,COUNTIFS(nrES_PID,$D423,nrES_Code,$F423,nrES_Att,2)=0),"Yes","No")))</f>
        <v/>
      </c>
      <c r="R423" s="15">
        <f>IF($C423="","",IF($L423="","",IF(AND($K423=2,$L423&lt;$J423,COUNTIFS(nrES_PID,$D423,nrES_Code,$F423,nrES_Att,1)&gt;0),"Yes","No")))</f>
        <v/>
      </c>
      <c r="S423" s="16" t="n"/>
      <c r="T423" s="17">
        <f>IF($Q423&lt;&gt;"Yes","",IF($S423="","(enter date)",_xlfn.LET(_xlpm.dn,IFERROR(_xlfn.XLOOKUP($S423,nrCDdate,nrCDnum),""),IF(_xlpm.dn="","(not a class day)",IFERROR(_xlfn.XLOOKUP(_xlpm.dn+cfgRetestClassDays,nrCDnum,nrCDdate),"")))))</f>
        <v/>
      </c>
      <c r="U423" s="15">
        <f>IF($Q423&lt;&gt;"Yes","",IF(COUNTIFS(nrES_PID,$D423,nrES_Code,$F423,nrES_Att,2)&gt;0,"Retested",IF(OR($T423="",NOT(ISNUMBER($T423))),"Pending",IF(TODAY()&gt;$T423,"OVERDUE","Due "&amp;TEXT($T423,"mm/dd")))))</f>
        <v/>
      </c>
      <c r="V423" s="14" t="n"/>
      <c r="W423" s="14" t="n"/>
    </row>
    <row r="424">
      <c r="B424" s="15">
        <f>IF($C424="","",$D424&amp;"-"&amp;$F424&amp;"-"&amp;$K424)</f>
        <v/>
      </c>
      <c r="C424" s="14" t="n"/>
      <c r="D424" s="15">
        <f>IF($C424="","",IFERROR(INDEX(rngCadetPIDs,MATCH($C424,rngCadetNames,0)),"?"))</f>
        <v/>
      </c>
      <c r="E424" s="15">
        <f>IF($D424="","",IFERROR(INDEX(nrCadetAgency,MATCH($D424,rngCadetPIDs,0)),""))</f>
        <v/>
      </c>
      <c r="F424" s="14" t="n"/>
      <c r="G424" s="15">
        <f>IF($F424="","",IFERROR(INDEX(rngEPname,MATCH($F424,rngEPcode,0)),"?"))</f>
        <v/>
      </c>
      <c r="H424" s="15">
        <f>IF($F424="","",IFERROR(INDEX(rngEPtype,MATCH($F424,rngEPcode,0)),"?"))</f>
        <v/>
      </c>
      <c r="I424" s="15">
        <f>IF($F424="","",IFERROR(INDEX(rngEPseq,MATCH($F424,rngEPcode,0)),""))</f>
        <v/>
      </c>
      <c r="J424" s="15">
        <f>IF($F424="","",IFERROR(INDEX(rngEPpass,MATCH($F424,rngEPcode,0)),cfgPassingScore))</f>
        <v/>
      </c>
      <c r="K424" s="14" t="n"/>
      <c r="L424" s="14" t="n"/>
      <c r="M424" s="15">
        <f>IF($C424="","",IF($L424="","",IF($K424=1,IF(COUNTIFS(nrES_PID,$D424,nrES_Code,$F424,nrES_Att,2)&gt;0,"",$L424),IF(COUNTIFS(nrES_PID,$D424,nrES_Code,$F424,nrES_Att,1)=0,$L424,IF($L424&gt;=$J424,cfgRetakeRecordedCap,SUMIFS(nrES_Raw,nrES_PID,$D424,nrES_Code,$F424,nrES_Att,1))))))</f>
        <v/>
      </c>
      <c r="N424" s="15">
        <f>IF($C424="","",IF($L424="","",IF($L424&gt;=$J424,"Yes","No")))</f>
        <v/>
      </c>
      <c r="O424" s="15">
        <f>IF($C424="","",IF($M424="","",IF($M424&gt;=$J424,"Yes","No")))</f>
        <v/>
      </c>
      <c r="P424" s="15">
        <f>IF($C424="","",IF($K424="","",IF(COUNTIFS(nrES_PID,$D424,nrES_Code,$F424,nrES_Att,"&gt;"&amp;$K424)=0,"Yes","No")))</f>
        <v/>
      </c>
      <c r="Q424" s="15">
        <f>IF($C424="","",IF($L424="","",IF(AND($K424=1,$L424&lt;$J424,COUNTIFS(nrES_PID,$D424,nrES_Code,$F424,nrES_Att,2)=0),"Yes","No")))</f>
        <v/>
      </c>
      <c r="R424" s="15">
        <f>IF($C424="","",IF($L424="","",IF(AND($K424=2,$L424&lt;$J424,COUNTIFS(nrES_PID,$D424,nrES_Code,$F424,nrES_Att,1)&gt;0),"Yes","No")))</f>
        <v/>
      </c>
      <c r="S424" s="16" t="n"/>
      <c r="T424" s="17">
        <f>IF($Q424&lt;&gt;"Yes","",IF($S424="","(enter date)",_xlfn.LET(_xlpm.dn,IFERROR(_xlfn.XLOOKUP($S424,nrCDdate,nrCDnum),""),IF(_xlpm.dn="","(not a class day)",IFERROR(_xlfn.XLOOKUP(_xlpm.dn+cfgRetestClassDays,nrCDnum,nrCDdate),"")))))</f>
        <v/>
      </c>
      <c r="U424" s="15">
        <f>IF($Q424&lt;&gt;"Yes","",IF(COUNTIFS(nrES_PID,$D424,nrES_Code,$F424,nrES_Att,2)&gt;0,"Retested",IF(OR($T424="",NOT(ISNUMBER($T424))),"Pending",IF(TODAY()&gt;$T424,"OVERDUE","Due "&amp;TEXT($T424,"mm/dd")))))</f>
        <v/>
      </c>
      <c r="V424" s="14" t="n"/>
      <c r="W424" s="14" t="n"/>
    </row>
    <row r="425">
      <c r="B425" s="15">
        <f>IF($C425="","",$D425&amp;"-"&amp;$F425&amp;"-"&amp;$K425)</f>
        <v/>
      </c>
      <c r="C425" s="14" t="n"/>
      <c r="D425" s="15">
        <f>IF($C425="","",IFERROR(INDEX(rngCadetPIDs,MATCH($C425,rngCadetNames,0)),"?"))</f>
        <v/>
      </c>
      <c r="E425" s="15">
        <f>IF($D425="","",IFERROR(INDEX(nrCadetAgency,MATCH($D425,rngCadetPIDs,0)),""))</f>
        <v/>
      </c>
      <c r="F425" s="14" t="n"/>
      <c r="G425" s="15">
        <f>IF($F425="","",IFERROR(INDEX(rngEPname,MATCH($F425,rngEPcode,0)),"?"))</f>
        <v/>
      </c>
      <c r="H425" s="15">
        <f>IF($F425="","",IFERROR(INDEX(rngEPtype,MATCH($F425,rngEPcode,0)),"?"))</f>
        <v/>
      </c>
      <c r="I425" s="15">
        <f>IF($F425="","",IFERROR(INDEX(rngEPseq,MATCH($F425,rngEPcode,0)),""))</f>
        <v/>
      </c>
      <c r="J425" s="15">
        <f>IF($F425="","",IFERROR(INDEX(rngEPpass,MATCH($F425,rngEPcode,0)),cfgPassingScore))</f>
        <v/>
      </c>
      <c r="K425" s="14" t="n"/>
      <c r="L425" s="14" t="n"/>
      <c r="M425" s="15">
        <f>IF($C425="","",IF($L425="","",IF($K425=1,IF(COUNTIFS(nrES_PID,$D425,nrES_Code,$F425,nrES_Att,2)&gt;0,"",$L425),IF(COUNTIFS(nrES_PID,$D425,nrES_Code,$F425,nrES_Att,1)=0,$L425,IF($L425&gt;=$J425,cfgRetakeRecordedCap,SUMIFS(nrES_Raw,nrES_PID,$D425,nrES_Code,$F425,nrES_Att,1))))))</f>
        <v/>
      </c>
      <c r="N425" s="15">
        <f>IF($C425="","",IF($L425="","",IF($L425&gt;=$J425,"Yes","No")))</f>
        <v/>
      </c>
      <c r="O425" s="15">
        <f>IF($C425="","",IF($M425="","",IF($M425&gt;=$J425,"Yes","No")))</f>
        <v/>
      </c>
      <c r="P425" s="15">
        <f>IF($C425="","",IF($K425="","",IF(COUNTIFS(nrES_PID,$D425,nrES_Code,$F425,nrES_Att,"&gt;"&amp;$K425)=0,"Yes","No")))</f>
        <v/>
      </c>
      <c r="Q425" s="15">
        <f>IF($C425="","",IF($L425="","",IF(AND($K425=1,$L425&lt;$J425,COUNTIFS(nrES_PID,$D425,nrES_Code,$F425,nrES_Att,2)=0),"Yes","No")))</f>
        <v/>
      </c>
      <c r="R425" s="15">
        <f>IF($C425="","",IF($L425="","",IF(AND($K425=2,$L425&lt;$J425,COUNTIFS(nrES_PID,$D425,nrES_Code,$F425,nrES_Att,1)&gt;0),"Yes","No")))</f>
        <v/>
      </c>
      <c r="S425" s="16" t="n"/>
      <c r="T425" s="17">
        <f>IF($Q425&lt;&gt;"Yes","",IF($S425="","(enter date)",_xlfn.LET(_xlpm.dn,IFERROR(_xlfn.XLOOKUP($S425,nrCDdate,nrCDnum),""),IF(_xlpm.dn="","(not a class day)",IFERROR(_xlfn.XLOOKUP(_xlpm.dn+cfgRetestClassDays,nrCDnum,nrCDdate),"")))))</f>
        <v/>
      </c>
      <c r="U425" s="15">
        <f>IF($Q425&lt;&gt;"Yes","",IF(COUNTIFS(nrES_PID,$D425,nrES_Code,$F425,nrES_Att,2)&gt;0,"Retested",IF(OR($T425="",NOT(ISNUMBER($T425))),"Pending",IF(TODAY()&gt;$T425,"OVERDUE","Due "&amp;TEXT($T425,"mm/dd")))))</f>
        <v/>
      </c>
      <c r="V425" s="14" t="n"/>
      <c r="W425" s="14" t="n"/>
    </row>
    <row r="426">
      <c r="B426" s="15">
        <f>IF($C426="","",$D426&amp;"-"&amp;$F426&amp;"-"&amp;$K426)</f>
        <v/>
      </c>
      <c r="C426" s="14" t="n"/>
      <c r="D426" s="15">
        <f>IF($C426="","",IFERROR(INDEX(rngCadetPIDs,MATCH($C426,rngCadetNames,0)),"?"))</f>
        <v/>
      </c>
      <c r="E426" s="15">
        <f>IF($D426="","",IFERROR(INDEX(nrCadetAgency,MATCH($D426,rngCadetPIDs,0)),""))</f>
        <v/>
      </c>
      <c r="F426" s="14" t="n"/>
      <c r="G426" s="15">
        <f>IF($F426="","",IFERROR(INDEX(rngEPname,MATCH($F426,rngEPcode,0)),"?"))</f>
        <v/>
      </c>
      <c r="H426" s="15">
        <f>IF($F426="","",IFERROR(INDEX(rngEPtype,MATCH($F426,rngEPcode,0)),"?"))</f>
        <v/>
      </c>
      <c r="I426" s="15">
        <f>IF($F426="","",IFERROR(INDEX(rngEPseq,MATCH($F426,rngEPcode,0)),""))</f>
        <v/>
      </c>
      <c r="J426" s="15">
        <f>IF($F426="","",IFERROR(INDEX(rngEPpass,MATCH($F426,rngEPcode,0)),cfgPassingScore))</f>
        <v/>
      </c>
      <c r="K426" s="14" t="n"/>
      <c r="L426" s="14" t="n"/>
      <c r="M426" s="15">
        <f>IF($C426="","",IF($L426="","",IF($K426=1,IF(COUNTIFS(nrES_PID,$D426,nrES_Code,$F426,nrES_Att,2)&gt;0,"",$L426),IF(COUNTIFS(nrES_PID,$D426,nrES_Code,$F426,nrES_Att,1)=0,$L426,IF($L426&gt;=$J426,cfgRetakeRecordedCap,SUMIFS(nrES_Raw,nrES_PID,$D426,nrES_Code,$F426,nrES_Att,1))))))</f>
        <v/>
      </c>
      <c r="N426" s="15">
        <f>IF($C426="","",IF($L426="","",IF($L426&gt;=$J426,"Yes","No")))</f>
        <v/>
      </c>
      <c r="O426" s="15">
        <f>IF($C426="","",IF($M426="","",IF($M426&gt;=$J426,"Yes","No")))</f>
        <v/>
      </c>
      <c r="P426" s="15">
        <f>IF($C426="","",IF($K426="","",IF(COUNTIFS(nrES_PID,$D426,nrES_Code,$F426,nrES_Att,"&gt;"&amp;$K426)=0,"Yes","No")))</f>
        <v/>
      </c>
      <c r="Q426" s="15">
        <f>IF($C426="","",IF($L426="","",IF(AND($K426=1,$L426&lt;$J426,COUNTIFS(nrES_PID,$D426,nrES_Code,$F426,nrES_Att,2)=0),"Yes","No")))</f>
        <v/>
      </c>
      <c r="R426" s="15">
        <f>IF($C426="","",IF($L426="","",IF(AND($K426=2,$L426&lt;$J426,COUNTIFS(nrES_PID,$D426,nrES_Code,$F426,nrES_Att,1)&gt;0),"Yes","No")))</f>
        <v/>
      </c>
      <c r="S426" s="16" t="n"/>
      <c r="T426" s="17">
        <f>IF($Q426&lt;&gt;"Yes","",IF($S426="","(enter date)",_xlfn.LET(_xlpm.dn,IFERROR(_xlfn.XLOOKUP($S426,nrCDdate,nrCDnum),""),IF(_xlpm.dn="","(not a class day)",IFERROR(_xlfn.XLOOKUP(_xlpm.dn+cfgRetestClassDays,nrCDnum,nrCDdate),"")))))</f>
        <v/>
      </c>
      <c r="U426" s="15">
        <f>IF($Q426&lt;&gt;"Yes","",IF(COUNTIFS(nrES_PID,$D426,nrES_Code,$F426,nrES_Att,2)&gt;0,"Retested",IF(OR($T426="",NOT(ISNUMBER($T426))),"Pending",IF(TODAY()&gt;$T426,"OVERDUE","Due "&amp;TEXT($T426,"mm/dd")))))</f>
        <v/>
      </c>
      <c r="V426" s="14" t="n"/>
      <c r="W426" s="14" t="n"/>
    </row>
    <row r="427">
      <c r="B427" s="15">
        <f>IF($C427="","",$D427&amp;"-"&amp;$F427&amp;"-"&amp;$K427)</f>
        <v/>
      </c>
      <c r="C427" s="14" t="n"/>
      <c r="D427" s="15">
        <f>IF($C427="","",IFERROR(INDEX(rngCadetPIDs,MATCH($C427,rngCadetNames,0)),"?"))</f>
        <v/>
      </c>
      <c r="E427" s="15">
        <f>IF($D427="","",IFERROR(INDEX(nrCadetAgency,MATCH($D427,rngCadetPIDs,0)),""))</f>
        <v/>
      </c>
      <c r="F427" s="14" t="n"/>
      <c r="G427" s="15">
        <f>IF($F427="","",IFERROR(INDEX(rngEPname,MATCH($F427,rngEPcode,0)),"?"))</f>
        <v/>
      </c>
      <c r="H427" s="15">
        <f>IF($F427="","",IFERROR(INDEX(rngEPtype,MATCH($F427,rngEPcode,0)),"?"))</f>
        <v/>
      </c>
      <c r="I427" s="15">
        <f>IF($F427="","",IFERROR(INDEX(rngEPseq,MATCH($F427,rngEPcode,0)),""))</f>
        <v/>
      </c>
      <c r="J427" s="15">
        <f>IF($F427="","",IFERROR(INDEX(rngEPpass,MATCH($F427,rngEPcode,0)),cfgPassingScore))</f>
        <v/>
      </c>
      <c r="K427" s="14" t="n"/>
      <c r="L427" s="14" t="n"/>
      <c r="M427" s="15">
        <f>IF($C427="","",IF($L427="","",IF($K427=1,IF(COUNTIFS(nrES_PID,$D427,nrES_Code,$F427,nrES_Att,2)&gt;0,"",$L427),IF(COUNTIFS(nrES_PID,$D427,nrES_Code,$F427,nrES_Att,1)=0,$L427,IF($L427&gt;=$J427,cfgRetakeRecordedCap,SUMIFS(nrES_Raw,nrES_PID,$D427,nrES_Code,$F427,nrES_Att,1))))))</f>
        <v/>
      </c>
      <c r="N427" s="15">
        <f>IF($C427="","",IF($L427="","",IF($L427&gt;=$J427,"Yes","No")))</f>
        <v/>
      </c>
      <c r="O427" s="15">
        <f>IF($C427="","",IF($M427="","",IF($M427&gt;=$J427,"Yes","No")))</f>
        <v/>
      </c>
      <c r="P427" s="15">
        <f>IF($C427="","",IF($K427="","",IF(COUNTIFS(nrES_PID,$D427,nrES_Code,$F427,nrES_Att,"&gt;"&amp;$K427)=0,"Yes","No")))</f>
        <v/>
      </c>
      <c r="Q427" s="15">
        <f>IF($C427="","",IF($L427="","",IF(AND($K427=1,$L427&lt;$J427,COUNTIFS(nrES_PID,$D427,nrES_Code,$F427,nrES_Att,2)=0),"Yes","No")))</f>
        <v/>
      </c>
      <c r="R427" s="15">
        <f>IF($C427="","",IF($L427="","",IF(AND($K427=2,$L427&lt;$J427,COUNTIFS(nrES_PID,$D427,nrES_Code,$F427,nrES_Att,1)&gt;0),"Yes","No")))</f>
        <v/>
      </c>
      <c r="S427" s="16" t="n"/>
      <c r="T427" s="17">
        <f>IF($Q427&lt;&gt;"Yes","",IF($S427="","(enter date)",_xlfn.LET(_xlpm.dn,IFERROR(_xlfn.XLOOKUP($S427,nrCDdate,nrCDnum),""),IF(_xlpm.dn="","(not a class day)",IFERROR(_xlfn.XLOOKUP(_xlpm.dn+cfgRetestClassDays,nrCDnum,nrCDdate),"")))))</f>
        <v/>
      </c>
      <c r="U427" s="15">
        <f>IF($Q427&lt;&gt;"Yes","",IF(COUNTIFS(nrES_PID,$D427,nrES_Code,$F427,nrES_Att,2)&gt;0,"Retested",IF(OR($T427="",NOT(ISNUMBER($T427))),"Pending",IF(TODAY()&gt;$T427,"OVERDUE","Due "&amp;TEXT($T427,"mm/dd")))))</f>
        <v/>
      </c>
      <c r="V427" s="14" t="n"/>
      <c r="W427" s="14" t="n"/>
    </row>
    <row r="428">
      <c r="B428" s="15">
        <f>IF($C428="","",$D428&amp;"-"&amp;$F428&amp;"-"&amp;$K428)</f>
        <v/>
      </c>
      <c r="C428" s="14" t="n"/>
      <c r="D428" s="15">
        <f>IF($C428="","",IFERROR(INDEX(rngCadetPIDs,MATCH($C428,rngCadetNames,0)),"?"))</f>
        <v/>
      </c>
      <c r="E428" s="15">
        <f>IF($D428="","",IFERROR(INDEX(nrCadetAgency,MATCH($D428,rngCadetPIDs,0)),""))</f>
        <v/>
      </c>
      <c r="F428" s="14" t="n"/>
      <c r="G428" s="15">
        <f>IF($F428="","",IFERROR(INDEX(rngEPname,MATCH($F428,rngEPcode,0)),"?"))</f>
        <v/>
      </c>
      <c r="H428" s="15">
        <f>IF($F428="","",IFERROR(INDEX(rngEPtype,MATCH($F428,rngEPcode,0)),"?"))</f>
        <v/>
      </c>
      <c r="I428" s="15">
        <f>IF($F428="","",IFERROR(INDEX(rngEPseq,MATCH($F428,rngEPcode,0)),""))</f>
        <v/>
      </c>
      <c r="J428" s="15">
        <f>IF($F428="","",IFERROR(INDEX(rngEPpass,MATCH($F428,rngEPcode,0)),cfgPassingScore))</f>
        <v/>
      </c>
      <c r="K428" s="14" t="n"/>
      <c r="L428" s="14" t="n"/>
      <c r="M428" s="15">
        <f>IF($C428="","",IF($L428="","",IF($K428=1,IF(COUNTIFS(nrES_PID,$D428,nrES_Code,$F428,nrES_Att,2)&gt;0,"",$L428),IF(COUNTIFS(nrES_PID,$D428,nrES_Code,$F428,nrES_Att,1)=0,$L428,IF($L428&gt;=$J428,cfgRetakeRecordedCap,SUMIFS(nrES_Raw,nrES_PID,$D428,nrES_Code,$F428,nrES_Att,1))))))</f>
        <v/>
      </c>
      <c r="N428" s="15">
        <f>IF($C428="","",IF($L428="","",IF($L428&gt;=$J428,"Yes","No")))</f>
        <v/>
      </c>
      <c r="O428" s="15">
        <f>IF($C428="","",IF($M428="","",IF($M428&gt;=$J428,"Yes","No")))</f>
        <v/>
      </c>
      <c r="P428" s="15">
        <f>IF($C428="","",IF($K428="","",IF(COUNTIFS(nrES_PID,$D428,nrES_Code,$F428,nrES_Att,"&gt;"&amp;$K428)=0,"Yes","No")))</f>
        <v/>
      </c>
      <c r="Q428" s="15">
        <f>IF($C428="","",IF($L428="","",IF(AND($K428=1,$L428&lt;$J428,COUNTIFS(nrES_PID,$D428,nrES_Code,$F428,nrES_Att,2)=0),"Yes","No")))</f>
        <v/>
      </c>
      <c r="R428" s="15">
        <f>IF($C428="","",IF($L428="","",IF(AND($K428=2,$L428&lt;$J428,COUNTIFS(nrES_PID,$D428,nrES_Code,$F428,nrES_Att,1)&gt;0),"Yes","No")))</f>
        <v/>
      </c>
      <c r="S428" s="16" t="n"/>
      <c r="T428" s="17">
        <f>IF($Q428&lt;&gt;"Yes","",IF($S428="","(enter date)",_xlfn.LET(_xlpm.dn,IFERROR(_xlfn.XLOOKUP($S428,nrCDdate,nrCDnum),""),IF(_xlpm.dn="","(not a class day)",IFERROR(_xlfn.XLOOKUP(_xlpm.dn+cfgRetestClassDays,nrCDnum,nrCDdate),"")))))</f>
        <v/>
      </c>
      <c r="U428" s="15">
        <f>IF($Q428&lt;&gt;"Yes","",IF(COUNTIFS(nrES_PID,$D428,nrES_Code,$F428,nrES_Att,2)&gt;0,"Retested",IF(OR($T428="",NOT(ISNUMBER($T428))),"Pending",IF(TODAY()&gt;$T428,"OVERDUE","Due "&amp;TEXT($T428,"mm/dd")))))</f>
        <v/>
      </c>
      <c r="V428" s="14" t="n"/>
      <c r="W428" s="14" t="n"/>
    </row>
    <row r="429">
      <c r="B429" s="15">
        <f>IF($C429="","",$D429&amp;"-"&amp;$F429&amp;"-"&amp;$K429)</f>
        <v/>
      </c>
      <c r="C429" s="14" t="n"/>
      <c r="D429" s="15">
        <f>IF($C429="","",IFERROR(INDEX(rngCadetPIDs,MATCH($C429,rngCadetNames,0)),"?"))</f>
        <v/>
      </c>
      <c r="E429" s="15">
        <f>IF($D429="","",IFERROR(INDEX(nrCadetAgency,MATCH($D429,rngCadetPIDs,0)),""))</f>
        <v/>
      </c>
      <c r="F429" s="14" t="n"/>
      <c r="G429" s="15">
        <f>IF($F429="","",IFERROR(INDEX(rngEPname,MATCH($F429,rngEPcode,0)),"?"))</f>
        <v/>
      </c>
      <c r="H429" s="15">
        <f>IF($F429="","",IFERROR(INDEX(rngEPtype,MATCH($F429,rngEPcode,0)),"?"))</f>
        <v/>
      </c>
      <c r="I429" s="15">
        <f>IF($F429="","",IFERROR(INDEX(rngEPseq,MATCH($F429,rngEPcode,0)),""))</f>
        <v/>
      </c>
      <c r="J429" s="15">
        <f>IF($F429="","",IFERROR(INDEX(rngEPpass,MATCH($F429,rngEPcode,0)),cfgPassingScore))</f>
        <v/>
      </c>
      <c r="K429" s="14" t="n"/>
      <c r="L429" s="14" t="n"/>
      <c r="M429" s="15">
        <f>IF($C429="","",IF($L429="","",IF($K429=1,IF(COUNTIFS(nrES_PID,$D429,nrES_Code,$F429,nrES_Att,2)&gt;0,"",$L429),IF(COUNTIFS(nrES_PID,$D429,nrES_Code,$F429,nrES_Att,1)=0,$L429,IF($L429&gt;=$J429,cfgRetakeRecordedCap,SUMIFS(nrES_Raw,nrES_PID,$D429,nrES_Code,$F429,nrES_Att,1))))))</f>
        <v/>
      </c>
      <c r="N429" s="15">
        <f>IF($C429="","",IF($L429="","",IF($L429&gt;=$J429,"Yes","No")))</f>
        <v/>
      </c>
      <c r="O429" s="15">
        <f>IF($C429="","",IF($M429="","",IF($M429&gt;=$J429,"Yes","No")))</f>
        <v/>
      </c>
      <c r="P429" s="15">
        <f>IF($C429="","",IF($K429="","",IF(COUNTIFS(nrES_PID,$D429,nrES_Code,$F429,nrES_Att,"&gt;"&amp;$K429)=0,"Yes","No")))</f>
        <v/>
      </c>
      <c r="Q429" s="15">
        <f>IF($C429="","",IF($L429="","",IF(AND($K429=1,$L429&lt;$J429,COUNTIFS(nrES_PID,$D429,nrES_Code,$F429,nrES_Att,2)=0),"Yes","No")))</f>
        <v/>
      </c>
      <c r="R429" s="15">
        <f>IF($C429="","",IF($L429="","",IF(AND($K429=2,$L429&lt;$J429,COUNTIFS(nrES_PID,$D429,nrES_Code,$F429,nrES_Att,1)&gt;0),"Yes","No")))</f>
        <v/>
      </c>
      <c r="S429" s="16" t="n"/>
      <c r="T429" s="17">
        <f>IF($Q429&lt;&gt;"Yes","",IF($S429="","(enter date)",_xlfn.LET(_xlpm.dn,IFERROR(_xlfn.XLOOKUP($S429,nrCDdate,nrCDnum),""),IF(_xlpm.dn="","(not a class day)",IFERROR(_xlfn.XLOOKUP(_xlpm.dn+cfgRetestClassDays,nrCDnum,nrCDdate),"")))))</f>
        <v/>
      </c>
      <c r="U429" s="15">
        <f>IF($Q429&lt;&gt;"Yes","",IF(COUNTIFS(nrES_PID,$D429,nrES_Code,$F429,nrES_Att,2)&gt;0,"Retested",IF(OR($T429="",NOT(ISNUMBER($T429))),"Pending",IF(TODAY()&gt;$T429,"OVERDUE","Due "&amp;TEXT($T429,"mm/dd")))))</f>
        <v/>
      </c>
      <c r="V429" s="14" t="n"/>
      <c r="W429" s="14" t="n"/>
    </row>
    <row r="430">
      <c r="B430" s="15">
        <f>IF($C430="","",$D430&amp;"-"&amp;$F430&amp;"-"&amp;$K430)</f>
        <v/>
      </c>
      <c r="C430" s="14" t="n"/>
      <c r="D430" s="15">
        <f>IF($C430="","",IFERROR(INDEX(rngCadetPIDs,MATCH($C430,rngCadetNames,0)),"?"))</f>
        <v/>
      </c>
      <c r="E430" s="15">
        <f>IF($D430="","",IFERROR(INDEX(nrCadetAgency,MATCH($D430,rngCadetPIDs,0)),""))</f>
        <v/>
      </c>
      <c r="F430" s="14" t="n"/>
      <c r="G430" s="15">
        <f>IF($F430="","",IFERROR(INDEX(rngEPname,MATCH($F430,rngEPcode,0)),"?"))</f>
        <v/>
      </c>
      <c r="H430" s="15">
        <f>IF($F430="","",IFERROR(INDEX(rngEPtype,MATCH($F430,rngEPcode,0)),"?"))</f>
        <v/>
      </c>
      <c r="I430" s="15">
        <f>IF($F430="","",IFERROR(INDEX(rngEPseq,MATCH($F430,rngEPcode,0)),""))</f>
        <v/>
      </c>
      <c r="J430" s="15">
        <f>IF($F430="","",IFERROR(INDEX(rngEPpass,MATCH($F430,rngEPcode,0)),cfgPassingScore))</f>
        <v/>
      </c>
      <c r="K430" s="14" t="n"/>
      <c r="L430" s="14" t="n"/>
      <c r="M430" s="15">
        <f>IF($C430="","",IF($L430="","",IF($K430=1,IF(COUNTIFS(nrES_PID,$D430,nrES_Code,$F430,nrES_Att,2)&gt;0,"",$L430),IF(COUNTIFS(nrES_PID,$D430,nrES_Code,$F430,nrES_Att,1)=0,$L430,IF($L430&gt;=$J430,cfgRetakeRecordedCap,SUMIFS(nrES_Raw,nrES_PID,$D430,nrES_Code,$F430,nrES_Att,1))))))</f>
        <v/>
      </c>
      <c r="N430" s="15">
        <f>IF($C430="","",IF($L430="","",IF($L430&gt;=$J430,"Yes","No")))</f>
        <v/>
      </c>
      <c r="O430" s="15">
        <f>IF($C430="","",IF($M430="","",IF($M430&gt;=$J430,"Yes","No")))</f>
        <v/>
      </c>
      <c r="P430" s="15">
        <f>IF($C430="","",IF($K430="","",IF(COUNTIFS(nrES_PID,$D430,nrES_Code,$F430,nrES_Att,"&gt;"&amp;$K430)=0,"Yes","No")))</f>
        <v/>
      </c>
      <c r="Q430" s="15">
        <f>IF($C430="","",IF($L430="","",IF(AND($K430=1,$L430&lt;$J430,COUNTIFS(nrES_PID,$D430,nrES_Code,$F430,nrES_Att,2)=0),"Yes","No")))</f>
        <v/>
      </c>
      <c r="R430" s="15">
        <f>IF($C430="","",IF($L430="","",IF(AND($K430=2,$L430&lt;$J430,COUNTIFS(nrES_PID,$D430,nrES_Code,$F430,nrES_Att,1)&gt;0),"Yes","No")))</f>
        <v/>
      </c>
      <c r="S430" s="16" t="n"/>
      <c r="T430" s="17">
        <f>IF($Q430&lt;&gt;"Yes","",IF($S430="","(enter date)",_xlfn.LET(_xlpm.dn,IFERROR(_xlfn.XLOOKUP($S430,nrCDdate,nrCDnum),""),IF(_xlpm.dn="","(not a class day)",IFERROR(_xlfn.XLOOKUP(_xlpm.dn+cfgRetestClassDays,nrCDnum,nrCDdate),"")))))</f>
        <v/>
      </c>
      <c r="U430" s="15">
        <f>IF($Q430&lt;&gt;"Yes","",IF(COUNTIFS(nrES_PID,$D430,nrES_Code,$F430,nrES_Att,2)&gt;0,"Retested",IF(OR($T430="",NOT(ISNUMBER($T430))),"Pending",IF(TODAY()&gt;$T430,"OVERDUE","Due "&amp;TEXT($T430,"mm/dd")))))</f>
        <v/>
      </c>
      <c r="V430" s="14" t="n"/>
      <c r="W430" s="14" t="n"/>
    </row>
    <row r="431">
      <c r="B431" s="15">
        <f>IF($C431="","",$D431&amp;"-"&amp;$F431&amp;"-"&amp;$K431)</f>
        <v/>
      </c>
      <c r="C431" s="14" t="n"/>
      <c r="D431" s="15">
        <f>IF($C431="","",IFERROR(INDEX(rngCadetPIDs,MATCH($C431,rngCadetNames,0)),"?"))</f>
        <v/>
      </c>
      <c r="E431" s="15">
        <f>IF($D431="","",IFERROR(INDEX(nrCadetAgency,MATCH($D431,rngCadetPIDs,0)),""))</f>
        <v/>
      </c>
      <c r="F431" s="14" t="n"/>
      <c r="G431" s="15">
        <f>IF($F431="","",IFERROR(INDEX(rngEPname,MATCH($F431,rngEPcode,0)),"?"))</f>
        <v/>
      </c>
      <c r="H431" s="15">
        <f>IF($F431="","",IFERROR(INDEX(rngEPtype,MATCH($F431,rngEPcode,0)),"?"))</f>
        <v/>
      </c>
      <c r="I431" s="15">
        <f>IF($F431="","",IFERROR(INDEX(rngEPseq,MATCH($F431,rngEPcode,0)),""))</f>
        <v/>
      </c>
      <c r="J431" s="15">
        <f>IF($F431="","",IFERROR(INDEX(rngEPpass,MATCH($F431,rngEPcode,0)),cfgPassingScore))</f>
        <v/>
      </c>
      <c r="K431" s="14" t="n"/>
      <c r="L431" s="14" t="n"/>
      <c r="M431" s="15">
        <f>IF($C431="","",IF($L431="","",IF($K431=1,IF(COUNTIFS(nrES_PID,$D431,nrES_Code,$F431,nrES_Att,2)&gt;0,"",$L431),IF(COUNTIFS(nrES_PID,$D431,nrES_Code,$F431,nrES_Att,1)=0,$L431,IF($L431&gt;=$J431,cfgRetakeRecordedCap,SUMIFS(nrES_Raw,nrES_PID,$D431,nrES_Code,$F431,nrES_Att,1))))))</f>
        <v/>
      </c>
      <c r="N431" s="15">
        <f>IF($C431="","",IF($L431="","",IF($L431&gt;=$J431,"Yes","No")))</f>
        <v/>
      </c>
      <c r="O431" s="15">
        <f>IF($C431="","",IF($M431="","",IF($M431&gt;=$J431,"Yes","No")))</f>
        <v/>
      </c>
      <c r="P431" s="15">
        <f>IF($C431="","",IF($K431="","",IF(COUNTIFS(nrES_PID,$D431,nrES_Code,$F431,nrES_Att,"&gt;"&amp;$K431)=0,"Yes","No")))</f>
        <v/>
      </c>
      <c r="Q431" s="15">
        <f>IF($C431="","",IF($L431="","",IF(AND($K431=1,$L431&lt;$J431,COUNTIFS(nrES_PID,$D431,nrES_Code,$F431,nrES_Att,2)=0),"Yes","No")))</f>
        <v/>
      </c>
      <c r="R431" s="15">
        <f>IF($C431="","",IF($L431="","",IF(AND($K431=2,$L431&lt;$J431,COUNTIFS(nrES_PID,$D431,nrES_Code,$F431,nrES_Att,1)&gt;0),"Yes","No")))</f>
        <v/>
      </c>
      <c r="S431" s="16" t="n"/>
      <c r="T431" s="17">
        <f>IF($Q431&lt;&gt;"Yes","",IF($S431="","(enter date)",_xlfn.LET(_xlpm.dn,IFERROR(_xlfn.XLOOKUP($S431,nrCDdate,nrCDnum),""),IF(_xlpm.dn="","(not a class day)",IFERROR(_xlfn.XLOOKUP(_xlpm.dn+cfgRetestClassDays,nrCDnum,nrCDdate),"")))))</f>
        <v/>
      </c>
      <c r="U431" s="15">
        <f>IF($Q431&lt;&gt;"Yes","",IF(COUNTIFS(nrES_PID,$D431,nrES_Code,$F431,nrES_Att,2)&gt;0,"Retested",IF(OR($T431="",NOT(ISNUMBER($T431))),"Pending",IF(TODAY()&gt;$T431,"OVERDUE","Due "&amp;TEXT($T431,"mm/dd")))))</f>
        <v/>
      </c>
      <c r="V431" s="14" t="n"/>
      <c r="W431" s="14" t="n"/>
    </row>
    <row r="432">
      <c r="B432" s="15">
        <f>IF($C432="","",$D432&amp;"-"&amp;$F432&amp;"-"&amp;$K432)</f>
        <v/>
      </c>
      <c r="C432" s="14" t="n"/>
      <c r="D432" s="15">
        <f>IF($C432="","",IFERROR(INDEX(rngCadetPIDs,MATCH($C432,rngCadetNames,0)),"?"))</f>
        <v/>
      </c>
      <c r="E432" s="15">
        <f>IF($D432="","",IFERROR(INDEX(nrCadetAgency,MATCH($D432,rngCadetPIDs,0)),""))</f>
        <v/>
      </c>
      <c r="F432" s="14" t="n"/>
      <c r="G432" s="15">
        <f>IF($F432="","",IFERROR(INDEX(rngEPname,MATCH($F432,rngEPcode,0)),"?"))</f>
        <v/>
      </c>
      <c r="H432" s="15">
        <f>IF($F432="","",IFERROR(INDEX(rngEPtype,MATCH($F432,rngEPcode,0)),"?"))</f>
        <v/>
      </c>
      <c r="I432" s="15">
        <f>IF($F432="","",IFERROR(INDEX(rngEPseq,MATCH($F432,rngEPcode,0)),""))</f>
        <v/>
      </c>
      <c r="J432" s="15">
        <f>IF($F432="","",IFERROR(INDEX(rngEPpass,MATCH($F432,rngEPcode,0)),cfgPassingScore))</f>
        <v/>
      </c>
      <c r="K432" s="14" t="n"/>
      <c r="L432" s="14" t="n"/>
      <c r="M432" s="15">
        <f>IF($C432="","",IF($L432="","",IF($K432=1,IF(COUNTIFS(nrES_PID,$D432,nrES_Code,$F432,nrES_Att,2)&gt;0,"",$L432),IF(COUNTIFS(nrES_PID,$D432,nrES_Code,$F432,nrES_Att,1)=0,$L432,IF($L432&gt;=$J432,cfgRetakeRecordedCap,SUMIFS(nrES_Raw,nrES_PID,$D432,nrES_Code,$F432,nrES_Att,1))))))</f>
        <v/>
      </c>
      <c r="N432" s="15">
        <f>IF($C432="","",IF($L432="","",IF($L432&gt;=$J432,"Yes","No")))</f>
        <v/>
      </c>
      <c r="O432" s="15">
        <f>IF($C432="","",IF($M432="","",IF($M432&gt;=$J432,"Yes","No")))</f>
        <v/>
      </c>
      <c r="P432" s="15">
        <f>IF($C432="","",IF($K432="","",IF(COUNTIFS(nrES_PID,$D432,nrES_Code,$F432,nrES_Att,"&gt;"&amp;$K432)=0,"Yes","No")))</f>
        <v/>
      </c>
      <c r="Q432" s="15">
        <f>IF($C432="","",IF($L432="","",IF(AND($K432=1,$L432&lt;$J432,COUNTIFS(nrES_PID,$D432,nrES_Code,$F432,nrES_Att,2)=0),"Yes","No")))</f>
        <v/>
      </c>
      <c r="R432" s="15">
        <f>IF($C432="","",IF($L432="","",IF(AND($K432=2,$L432&lt;$J432,COUNTIFS(nrES_PID,$D432,nrES_Code,$F432,nrES_Att,1)&gt;0),"Yes","No")))</f>
        <v/>
      </c>
      <c r="S432" s="16" t="n"/>
      <c r="T432" s="17">
        <f>IF($Q432&lt;&gt;"Yes","",IF($S432="","(enter date)",_xlfn.LET(_xlpm.dn,IFERROR(_xlfn.XLOOKUP($S432,nrCDdate,nrCDnum),""),IF(_xlpm.dn="","(not a class day)",IFERROR(_xlfn.XLOOKUP(_xlpm.dn+cfgRetestClassDays,nrCDnum,nrCDdate),"")))))</f>
        <v/>
      </c>
      <c r="U432" s="15">
        <f>IF($Q432&lt;&gt;"Yes","",IF(COUNTIFS(nrES_PID,$D432,nrES_Code,$F432,nrES_Att,2)&gt;0,"Retested",IF(OR($T432="",NOT(ISNUMBER($T432))),"Pending",IF(TODAY()&gt;$T432,"OVERDUE","Due "&amp;TEXT($T432,"mm/dd")))))</f>
        <v/>
      </c>
      <c r="V432" s="14" t="n"/>
      <c r="W432" s="14" t="n"/>
    </row>
    <row r="433">
      <c r="B433" s="15">
        <f>IF($C433="","",$D433&amp;"-"&amp;$F433&amp;"-"&amp;$K433)</f>
        <v/>
      </c>
      <c r="C433" s="14" t="n"/>
      <c r="D433" s="15">
        <f>IF($C433="","",IFERROR(INDEX(rngCadetPIDs,MATCH($C433,rngCadetNames,0)),"?"))</f>
        <v/>
      </c>
      <c r="E433" s="15">
        <f>IF($D433="","",IFERROR(INDEX(nrCadetAgency,MATCH($D433,rngCadetPIDs,0)),""))</f>
        <v/>
      </c>
      <c r="F433" s="14" t="n"/>
      <c r="G433" s="15">
        <f>IF($F433="","",IFERROR(INDEX(rngEPname,MATCH($F433,rngEPcode,0)),"?"))</f>
        <v/>
      </c>
      <c r="H433" s="15">
        <f>IF($F433="","",IFERROR(INDEX(rngEPtype,MATCH($F433,rngEPcode,0)),"?"))</f>
        <v/>
      </c>
      <c r="I433" s="15">
        <f>IF($F433="","",IFERROR(INDEX(rngEPseq,MATCH($F433,rngEPcode,0)),""))</f>
        <v/>
      </c>
      <c r="J433" s="15">
        <f>IF($F433="","",IFERROR(INDEX(rngEPpass,MATCH($F433,rngEPcode,0)),cfgPassingScore))</f>
        <v/>
      </c>
      <c r="K433" s="14" t="n"/>
      <c r="L433" s="14" t="n"/>
      <c r="M433" s="15">
        <f>IF($C433="","",IF($L433="","",IF($K433=1,IF(COUNTIFS(nrES_PID,$D433,nrES_Code,$F433,nrES_Att,2)&gt;0,"",$L433),IF(COUNTIFS(nrES_PID,$D433,nrES_Code,$F433,nrES_Att,1)=0,$L433,IF($L433&gt;=$J433,cfgRetakeRecordedCap,SUMIFS(nrES_Raw,nrES_PID,$D433,nrES_Code,$F433,nrES_Att,1))))))</f>
        <v/>
      </c>
      <c r="N433" s="15">
        <f>IF($C433="","",IF($L433="","",IF($L433&gt;=$J433,"Yes","No")))</f>
        <v/>
      </c>
      <c r="O433" s="15">
        <f>IF($C433="","",IF($M433="","",IF($M433&gt;=$J433,"Yes","No")))</f>
        <v/>
      </c>
      <c r="P433" s="15">
        <f>IF($C433="","",IF($K433="","",IF(COUNTIFS(nrES_PID,$D433,nrES_Code,$F433,nrES_Att,"&gt;"&amp;$K433)=0,"Yes","No")))</f>
        <v/>
      </c>
      <c r="Q433" s="15">
        <f>IF($C433="","",IF($L433="","",IF(AND($K433=1,$L433&lt;$J433,COUNTIFS(nrES_PID,$D433,nrES_Code,$F433,nrES_Att,2)=0),"Yes","No")))</f>
        <v/>
      </c>
      <c r="R433" s="15">
        <f>IF($C433="","",IF($L433="","",IF(AND($K433=2,$L433&lt;$J433,COUNTIFS(nrES_PID,$D433,nrES_Code,$F433,nrES_Att,1)&gt;0),"Yes","No")))</f>
        <v/>
      </c>
      <c r="S433" s="16" t="n"/>
      <c r="T433" s="17">
        <f>IF($Q433&lt;&gt;"Yes","",IF($S433="","(enter date)",_xlfn.LET(_xlpm.dn,IFERROR(_xlfn.XLOOKUP($S433,nrCDdate,nrCDnum),""),IF(_xlpm.dn="","(not a class day)",IFERROR(_xlfn.XLOOKUP(_xlpm.dn+cfgRetestClassDays,nrCDnum,nrCDdate),"")))))</f>
        <v/>
      </c>
      <c r="U433" s="15">
        <f>IF($Q433&lt;&gt;"Yes","",IF(COUNTIFS(nrES_PID,$D433,nrES_Code,$F433,nrES_Att,2)&gt;0,"Retested",IF(OR($T433="",NOT(ISNUMBER($T433))),"Pending",IF(TODAY()&gt;$T433,"OVERDUE","Due "&amp;TEXT($T433,"mm/dd")))))</f>
        <v/>
      </c>
      <c r="V433" s="14" t="n"/>
      <c r="W433" s="14" t="n"/>
    </row>
    <row r="434">
      <c r="B434" s="15">
        <f>IF($C434="","",$D434&amp;"-"&amp;$F434&amp;"-"&amp;$K434)</f>
        <v/>
      </c>
      <c r="C434" s="14" t="n"/>
      <c r="D434" s="15">
        <f>IF($C434="","",IFERROR(INDEX(rngCadetPIDs,MATCH($C434,rngCadetNames,0)),"?"))</f>
        <v/>
      </c>
      <c r="E434" s="15">
        <f>IF($D434="","",IFERROR(INDEX(nrCadetAgency,MATCH($D434,rngCadetPIDs,0)),""))</f>
        <v/>
      </c>
      <c r="F434" s="14" t="n"/>
      <c r="G434" s="15">
        <f>IF($F434="","",IFERROR(INDEX(rngEPname,MATCH($F434,rngEPcode,0)),"?"))</f>
        <v/>
      </c>
      <c r="H434" s="15">
        <f>IF($F434="","",IFERROR(INDEX(rngEPtype,MATCH($F434,rngEPcode,0)),"?"))</f>
        <v/>
      </c>
      <c r="I434" s="15">
        <f>IF($F434="","",IFERROR(INDEX(rngEPseq,MATCH($F434,rngEPcode,0)),""))</f>
        <v/>
      </c>
      <c r="J434" s="15">
        <f>IF($F434="","",IFERROR(INDEX(rngEPpass,MATCH($F434,rngEPcode,0)),cfgPassingScore))</f>
        <v/>
      </c>
      <c r="K434" s="14" t="n"/>
      <c r="L434" s="14" t="n"/>
      <c r="M434" s="15">
        <f>IF($C434="","",IF($L434="","",IF($K434=1,IF(COUNTIFS(nrES_PID,$D434,nrES_Code,$F434,nrES_Att,2)&gt;0,"",$L434),IF(COUNTIFS(nrES_PID,$D434,nrES_Code,$F434,nrES_Att,1)=0,$L434,IF($L434&gt;=$J434,cfgRetakeRecordedCap,SUMIFS(nrES_Raw,nrES_PID,$D434,nrES_Code,$F434,nrES_Att,1))))))</f>
        <v/>
      </c>
      <c r="N434" s="15">
        <f>IF($C434="","",IF($L434="","",IF($L434&gt;=$J434,"Yes","No")))</f>
        <v/>
      </c>
      <c r="O434" s="15">
        <f>IF($C434="","",IF($M434="","",IF($M434&gt;=$J434,"Yes","No")))</f>
        <v/>
      </c>
      <c r="P434" s="15">
        <f>IF($C434="","",IF($K434="","",IF(COUNTIFS(nrES_PID,$D434,nrES_Code,$F434,nrES_Att,"&gt;"&amp;$K434)=0,"Yes","No")))</f>
        <v/>
      </c>
      <c r="Q434" s="15">
        <f>IF($C434="","",IF($L434="","",IF(AND($K434=1,$L434&lt;$J434,COUNTIFS(nrES_PID,$D434,nrES_Code,$F434,nrES_Att,2)=0),"Yes","No")))</f>
        <v/>
      </c>
      <c r="R434" s="15">
        <f>IF($C434="","",IF($L434="","",IF(AND($K434=2,$L434&lt;$J434,COUNTIFS(nrES_PID,$D434,nrES_Code,$F434,nrES_Att,1)&gt;0),"Yes","No")))</f>
        <v/>
      </c>
      <c r="S434" s="16" t="n"/>
      <c r="T434" s="17">
        <f>IF($Q434&lt;&gt;"Yes","",IF($S434="","(enter date)",_xlfn.LET(_xlpm.dn,IFERROR(_xlfn.XLOOKUP($S434,nrCDdate,nrCDnum),""),IF(_xlpm.dn="","(not a class day)",IFERROR(_xlfn.XLOOKUP(_xlpm.dn+cfgRetestClassDays,nrCDnum,nrCDdate),"")))))</f>
        <v/>
      </c>
      <c r="U434" s="15">
        <f>IF($Q434&lt;&gt;"Yes","",IF(COUNTIFS(nrES_PID,$D434,nrES_Code,$F434,nrES_Att,2)&gt;0,"Retested",IF(OR($T434="",NOT(ISNUMBER($T434))),"Pending",IF(TODAY()&gt;$T434,"OVERDUE","Due "&amp;TEXT($T434,"mm/dd")))))</f>
        <v/>
      </c>
      <c r="V434" s="14" t="n"/>
      <c r="W434" s="14" t="n"/>
    </row>
    <row r="435">
      <c r="B435" s="15">
        <f>IF($C435="","",$D435&amp;"-"&amp;$F435&amp;"-"&amp;$K435)</f>
        <v/>
      </c>
      <c r="C435" s="14" t="n"/>
      <c r="D435" s="15">
        <f>IF($C435="","",IFERROR(INDEX(rngCadetPIDs,MATCH($C435,rngCadetNames,0)),"?"))</f>
        <v/>
      </c>
      <c r="E435" s="15">
        <f>IF($D435="","",IFERROR(INDEX(nrCadetAgency,MATCH($D435,rngCadetPIDs,0)),""))</f>
        <v/>
      </c>
      <c r="F435" s="14" t="n"/>
      <c r="G435" s="15">
        <f>IF($F435="","",IFERROR(INDEX(rngEPname,MATCH($F435,rngEPcode,0)),"?"))</f>
        <v/>
      </c>
      <c r="H435" s="15">
        <f>IF($F435="","",IFERROR(INDEX(rngEPtype,MATCH($F435,rngEPcode,0)),"?"))</f>
        <v/>
      </c>
      <c r="I435" s="15">
        <f>IF($F435="","",IFERROR(INDEX(rngEPseq,MATCH($F435,rngEPcode,0)),""))</f>
        <v/>
      </c>
      <c r="J435" s="15">
        <f>IF($F435="","",IFERROR(INDEX(rngEPpass,MATCH($F435,rngEPcode,0)),cfgPassingScore))</f>
        <v/>
      </c>
      <c r="K435" s="14" t="n"/>
      <c r="L435" s="14" t="n"/>
      <c r="M435" s="15">
        <f>IF($C435="","",IF($L435="","",IF($K435=1,IF(COUNTIFS(nrES_PID,$D435,nrES_Code,$F435,nrES_Att,2)&gt;0,"",$L435),IF(COUNTIFS(nrES_PID,$D435,nrES_Code,$F435,nrES_Att,1)=0,$L435,IF($L435&gt;=$J435,cfgRetakeRecordedCap,SUMIFS(nrES_Raw,nrES_PID,$D435,nrES_Code,$F435,nrES_Att,1))))))</f>
        <v/>
      </c>
      <c r="N435" s="15">
        <f>IF($C435="","",IF($L435="","",IF($L435&gt;=$J435,"Yes","No")))</f>
        <v/>
      </c>
      <c r="O435" s="15">
        <f>IF($C435="","",IF($M435="","",IF($M435&gt;=$J435,"Yes","No")))</f>
        <v/>
      </c>
      <c r="P435" s="15">
        <f>IF($C435="","",IF($K435="","",IF(COUNTIFS(nrES_PID,$D435,nrES_Code,$F435,nrES_Att,"&gt;"&amp;$K435)=0,"Yes","No")))</f>
        <v/>
      </c>
      <c r="Q435" s="15">
        <f>IF($C435="","",IF($L435="","",IF(AND($K435=1,$L435&lt;$J435,COUNTIFS(nrES_PID,$D435,nrES_Code,$F435,nrES_Att,2)=0),"Yes","No")))</f>
        <v/>
      </c>
      <c r="R435" s="15">
        <f>IF($C435="","",IF($L435="","",IF(AND($K435=2,$L435&lt;$J435,COUNTIFS(nrES_PID,$D435,nrES_Code,$F435,nrES_Att,1)&gt;0),"Yes","No")))</f>
        <v/>
      </c>
      <c r="S435" s="16" t="n"/>
      <c r="T435" s="17">
        <f>IF($Q435&lt;&gt;"Yes","",IF($S435="","(enter date)",_xlfn.LET(_xlpm.dn,IFERROR(_xlfn.XLOOKUP($S435,nrCDdate,nrCDnum),""),IF(_xlpm.dn="","(not a class day)",IFERROR(_xlfn.XLOOKUP(_xlpm.dn+cfgRetestClassDays,nrCDnum,nrCDdate),"")))))</f>
        <v/>
      </c>
      <c r="U435" s="15">
        <f>IF($Q435&lt;&gt;"Yes","",IF(COUNTIFS(nrES_PID,$D435,nrES_Code,$F435,nrES_Att,2)&gt;0,"Retested",IF(OR($T435="",NOT(ISNUMBER($T435))),"Pending",IF(TODAY()&gt;$T435,"OVERDUE","Due "&amp;TEXT($T435,"mm/dd")))))</f>
        <v/>
      </c>
      <c r="V435" s="14" t="n"/>
      <c r="W435" s="14" t="n"/>
    </row>
    <row r="436">
      <c r="B436" s="15">
        <f>IF($C436="","",$D436&amp;"-"&amp;$F436&amp;"-"&amp;$K436)</f>
        <v/>
      </c>
      <c r="C436" s="14" t="n"/>
      <c r="D436" s="15">
        <f>IF($C436="","",IFERROR(INDEX(rngCadetPIDs,MATCH($C436,rngCadetNames,0)),"?"))</f>
        <v/>
      </c>
      <c r="E436" s="15">
        <f>IF($D436="","",IFERROR(INDEX(nrCadetAgency,MATCH($D436,rngCadetPIDs,0)),""))</f>
        <v/>
      </c>
      <c r="F436" s="14" t="n"/>
      <c r="G436" s="15">
        <f>IF($F436="","",IFERROR(INDEX(rngEPname,MATCH($F436,rngEPcode,0)),"?"))</f>
        <v/>
      </c>
      <c r="H436" s="15">
        <f>IF($F436="","",IFERROR(INDEX(rngEPtype,MATCH($F436,rngEPcode,0)),"?"))</f>
        <v/>
      </c>
      <c r="I436" s="15">
        <f>IF($F436="","",IFERROR(INDEX(rngEPseq,MATCH($F436,rngEPcode,0)),""))</f>
        <v/>
      </c>
      <c r="J436" s="15">
        <f>IF($F436="","",IFERROR(INDEX(rngEPpass,MATCH($F436,rngEPcode,0)),cfgPassingScore))</f>
        <v/>
      </c>
      <c r="K436" s="14" t="n"/>
      <c r="L436" s="14" t="n"/>
      <c r="M436" s="15">
        <f>IF($C436="","",IF($L436="","",IF($K436=1,IF(COUNTIFS(nrES_PID,$D436,nrES_Code,$F436,nrES_Att,2)&gt;0,"",$L436),IF(COUNTIFS(nrES_PID,$D436,nrES_Code,$F436,nrES_Att,1)=0,$L436,IF($L436&gt;=$J436,cfgRetakeRecordedCap,SUMIFS(nrES_Raw,nrES_PID,$D436,nrES_Code,$F436,nrES_Att,1))))))</f>
        <v/>
      </c>
      <c r="N436" s="15">
        <f>IF($C436="","",IF($L436="","",IF($L436&gt;=$J436,"Yes","No")))</f>
        <v/>
      </c>
      <c r="O436" s="15">
        <f>IF($C436="","",IF($M436="","",IF($M436&gt;=$J436,"Yes","No")))</f>
        <v/>
      </c>
      <c r="P436" s="15">
        <f>IF($C436="","",IF($K436="","",IF(COUNTIFS(nrES_PID,$D436,nrES_Code,$F436,nrES_Att,"&gt;"&amp;$K436)=0,"Yes","No")))</f>
        <v/>
      </c>
      <c r="Q436" s="15">
        <f>IF($C436="","",IF($L436="","",IF(AND($K436=1,$L436&lt;$J436,COUNTIFS(nrES_PID,$D436,nrES_Code,$F436,nrES_Att,2)=0),"Yes","No")))</f>
        <v/>
      </c>
      <c r="R436" s="15">
        <f>IF($C436="","",IF($L436="","",IF(AND($K436=2,$L436&lt;$J436,COUNTIFS(nrES_PID,$D436,nrES_Code,$F436,nrES_Att,1)&gt;0),"Yes","No")))</f>
        <v/>
      </c>
      <c r="S436" s="16" t="n"/>
      <c r="T436" s="17">
        <f>IF($Q436&lt;&gt;"Yes","",IF($S436="","(enter date)",_xlfn.LET(_xlpm.dn,IFERROR(_xlfn.XLOOKUP($S436,nrCDdate,nrCDnum),""),IF(_xlpm.dn="","(not a class day)",IFERROR(_xlfn.XLOOKUP(_xlpm.dn+cfgRetestClassDays,nrCDnum,nrCDdate),"")))))</f>
        <v/>
      </c>
      <c r="U436" s="15">
        <f>IF($Q436&lt;&gt;"Yes","",IF(COUNTIFS(nrES_PID,$D436,nrES_Code,$F436,nrES_Att,2)&gt;0,"Retested",IF(OR($T436="",NOT(ISNUMBER($T436))),"Pending",IF(TODAY()&gt;$T436,"OVERDUE","Due "&amp;TEXT($T436,"mm/dd")))))</f>
        <v/>
      </c>
      <c r="V436" s="14" t="n"/>
      <c r="W436" s="14" t="n"/>
    </row>
    <row r="437">
      <c r="B437" s="15">
        <f>IF($C437="","",$D437&amp;"-"&amp;$F437&amp;"-"&amp;$K437)</f>
        <v/>
      </c>
      <c r="C437" s="14" t="n"/>
      <c r="D437" s="15">
        <f>IF($C437="","",IFERROR(INDEX(rngCadetPIDs,MATCH($C437,rngCadetNames,0)),"?"))</f>
        <v/>
      </c>
      <c r="E437" s="15">
        <f>IF($D437="","",IFERROR(INDEX(nrCadetAgency,MATCH($D437,rngCadetPIDs,0)),""))</f>
        <v/>
      </c>
      <c r="F437" s="14" t="n"/>
      <c r="G437" s="15">
        <f>IF($F437="","",IFERROR(INDEX(rngEPname,MATCH($F437,rngEPcode,0)),"?"))</f>
        <v/>
      </c>
      <c r="H437" s="15">
        <f>IF($F437="","",IFERROR(INDEX(rngEPtype,MATCH($F437,rngEPcode,0)),"?"))</f>
        <v/>
      </c>
      <c r="I437" s="15">
        <f>IF($F437="","",IFERROR(INDEX(rngEPseq,MATCH($F437,rngEPcode,0)),""))</f>
        <v/>
      </c>
      <c r="J437" s="15">
        <f>IF($F437="","",IFERROR(INDEX(rngEPpass,MATCH($F437,rngEPcode,0)),cfgPassingScore))</f>
        <v/>
      </c>
      <c r="K437" s="14" t="n"/>
      <c r="L437" s="14" t="n"/>
      <c r="M437" s="15">
        <f>IF($C437="","",IF($L437="","",IF($K437=1,IF(COUNTIFS(nrES_PID,$D437,nrES_Code,$F437,nrES_Att,2)&gt;0,"",$L437),IF(COUNTIFS(nrES_PID,$D437,nrES_Code,$F437,nrES_Att,1)=0,$L437,IF($L437&gt;=$J437,cfgRetakeRecordedCap,SUMIFS(nrES_Raw,nrES_PID,$D437,nrES_Code,$F437,nrES_Att,1))))))</f>
        <v/>
      </c>
      <c r="N437" s="15">
        <f>IF($C437="","",IF($L437="","",IF($L437&gt;=$J437,"Yes","No")))</f>
        <v/>
      </c>
      <c r="O437" s="15">
        <f>IF($C437="","",IF($M437="","",IF($M437&gt;=$J437,"Yes","No")))</f>
        <v/>
      </c>
      <c r="P437" s="15">
        <f>IF($C437="","",IF($K437="","",IF(COUNTIFS(nrES_PID,$D437,nrES_Code,$F437,nrES_Att,"&gt;"&amp;$K437)=0,"Yes","No")))</f>
        <v/>
      </c>
      <c r="Q437" s="15">
        <f>IF($C437="","",IF($L437="","",IF(AND($K437=1,$L437&lt;$J437,COUNTIFS(nrES_PID,$D437,nrES_Code,$F437,nrES_Att,2)=0),"Yes","No")))</f>
        <v/>
      </c>
      <c r="R437" s="15">
        <f>IF($C437="","",IF($L437="","",IF(AND($K437=2,$L437&lt;$J437,COUNTIFS(nrES_PID,$D437,nrES_Code,$F437,nrES_Att,1)&gt;0),"Yes","No")))</f>
        <v/>
      </c>
      <c r="S437" s="16" t="n"/>
      <c r="T437" s="17">
        <f>IF($Q437&lt;&gt;"Yes","",IF($S437="","(enter date)",_xlfn.LET(_xlpm.dn,IFERROR(_xlfn.XLOOKUP($S437,nrCDdate,nrCDnum),""),IF(_xlpm.dn="","(not a class day)",IFERROR(_xlfn.XLOOKUP(_xlpm.dn+cfgRetestClassDays,nrCDnum,nrCDdate),"")))))</f>
        <v/>
      </c>
      <c r="U437" s="15">
        <f>IF($Q437&lt;&gt;"Yes","",IF(COUNTIFS(nrES_PID,$D437,nrES_Code,$F437,nrES_Att,2)&gt;0,"Retested",IF(OR($T437="",NOT(ISNUMBER($T437))),"Pending",IF(TODAY()&gt;$T437,"OVERDUE","Due "&amp;TEXT($T437,"mm/dd")))))</f>
        <v/>
      </c>
      <c r="V437" s="14" t="n"/>
      <c r="W437" s="14" t="n"/>
    </row>
    <row r="438">
      <c r="B438" s="15">
        <f>IF($C438="","",$D438&amp;"-"&amp;$F438&amp;"-"&amp;$K438)</f>
        <v/>
      </c>
      <c r="C438" s="14" t="n"/>
      <c r="D438" s="15">
        <f>IF($C438="","",IFERROR(INDEX(rngCadetPIDs,MATCH($C438,rngCadetNames,0)),"?"))</f>
        <v/>
      </c>
      <c r="E438" s="15">
        <f>IF($D438="","",IFERROR(INDEX(nrCadetAgency,MATCH($D438,rngCadetPIDs,0)),""))</f>
        <v/>
      </c>
      <c r="F438" s="14" t="n"/>
      <c r="G438" s="15">
        <f>IF($F438="","",IFERROR(INDEX(rngEPname,MATCH($F438,rngEPcode,0)),"?"))</f>
        <v/>
      </c>
      <c r="H438" s="15">
        <f>IF($F438="","",IFERROR(INDEX(rngEPtype,MATCH($F438,rngEPcode,0)),"?"))</f>
        <v/>
      </c>
      <c r="I438" s="15">
        <f>IF($F438="","",IFERROR(INDEX(rngEPseq,MATCH($F438,rngEPcode,0)),""))</f>
        <v/>
      </c>
      <c r="J438" s="15">
        <f>IF($F438="","",IFERROR(INDEX(rngEPpass,MATCH($F438,rngEPcode,0)),cfgPassingScore))</f>
        <v/>
      </c>
      <c r="K438" s="14" t="n"/>
      <c r="L438" s="14" t="n"/>
      <c r="M438" s="15">
        <f>IF($C438="","",IF($L438="","",IF($K438=1,IF(COUNTIFS(nrES_PID,$D438,nrES_Code,$F438,nrES_Att,2)&gt;0,"",$L438),IF(COUNTIFS(nrES_PID,$D438,nrES_Code,$F438,nrES_Att,1)=0,$L438,IF($L438&gt;=$J438,cfgRetakeRecordedCap,SUMIFS(nrES_Raw,nrES_PID,$D438,nrES_Code,$F438,nrES_Att,1))))))</f>
        <v/>
      </c>
      <c r="N438" s="15">
        <f>IF($C438="","",IF($L438="","",IF($L438&gt;=$J438,"Yes","No")))</f>
        <v/>
      </c>
      <c r="O438" s="15">
        <f>IF($C438="","",IF($M438="","",IF($M438&gt;=$J438,"Yes","No")))</f>
        <v/>
      </c>
      <c r="P438" s="15">
        <f>IF($C438="","",IF($K438="","",IF(COUNTIFS(nrES_PID,$D438,nrES_Code,$F438,nrES_Att,"&gt;"&amp;$K438)=0,"Yes","No")))</f>
        <v/>
      </c>
      <c r="Q438" s="15">
        <f>IF($C438="","",IF($L438="","",IF(AND($K438=1,$L438&lt;$J438,COUNTIFS(nrES_PID,$D438,nrES_Code,$F438,nrES_Att,2)=0),"Yes","No")))</f>
        <v/>
      </c>
      <c r="R438" s="15">
        <f>IF($C438="","",IF($L438="","",IF(AND($K438=2,$L438&lt;$J438,COUNTIFS(nrES_PID,$D438,nrES_Code,$F438,nrES_Att,1)&gt;0),"Yes","No")))</f>
        <v/>
      </c>
      <c r="S438" s="16" t="n"/>
      <c r="T438" s="17">
        <f>IF($Q438&lt;&gt;"Yes","",IF($S438="","(enter date)",_xlfn.LET(_xlpm.dn,IFERROR(_xlfn.XLOOKUP($S438,nrCDdate,nrCDnum),""),IF(_xlpm.dn="","(not a class day)",IFERROR(_xlfn.XLOOKUP(_xlpm.dn+cfgRetestClassDays,nrCDnum,nrCDdate),"")))))</f>
        <v/>
      </c>
      <c r="U438" s="15">
        <f>IF($Q438&lt;&gt;"Yes","",IF(COUNTIFS(nrES_PID,$D438,nrES_Code,$F438,nrES_Att,2)&gt;0,"Retested",IF(OR($T438="",NOT(ISNUMBER($T438))),"Pending",IF(TODAY()&gt;$T438,"OVERDUE","Due "&amp;TEXT($T438,"mm/dd")))))</f>
        <v/>
      </c>
      <c r="V438" s="14" t="n"/>
      <c r="W438" s="14" t="n"/>
    </row>
    <row r="439">
      <c r="B439" s="15">
        <f>IF($C439="","",$D439&amp;"-"&amp;$F439&amp;"-"&amp;$K439)</f>
        <v/>
      </c>
      <c r="C439" s="14" t="n"/>
      <c r="D439" s="15">
        <f>IF($C439="","",IFERROR(INDEX(rngCadetPIDs,MATCH($C439,rngCadetNames,0)),"?"))</f>
        <v/>
      </c>
      <c r="E439" s="15">
        <f>IF($D439="","",IFERROR(INDEX(nrCadetAgency,MATCH($D439,rngCadetPIDs,0)),""))</f>
        <v/>
      </c>
      <c r="F439" s="14" t="n"/>
      <c r="G439" s="15">
        <f>IF($F439="","",IFERROR(INDEX(rngEPname,MATCH($F439,rngEPcode,0)),"?"))</f>
        <v/>
      </c>
      <c r="H439" s="15">
        <f>IF($F439="","",IFERROR(INDEX(rngEPtype,MATCH($F439,rngEPcode,0)),"?"))</f>
        <v/>
      </c>
      <c r="I439" s="15">
        <f>IF($F439="","",IFERROR(INDEX(rngEPseq,MATCH($F439,rngEPcode,0)),""))</f>
        <v/>
      </c>
      <c r="J439" s="15">
        <f>IF($F439="","",IFERROR(INDEX(rngEPpass,MATCH($F439,rngEPcode,0)),cfgPassingScore))</f>
        <v/>
      </c>
      <c r="K439" s="14" t="n"/>
      <c r="L439" s="14" t="n"/>
      <c r="M439" s="15">
        <f>IF($C439="","",IF($L439="","",IF($K439=1,IF(COUNTIFS(nrES_PID,$D439,nrES_Code,$F439,nrES_Att,2)&gt;0,"",$L439),IF(COUNTIFS(nrES_PID,$D439,nrES_Code,$F439,nrES_Att,1)=0,$L439,IF($L439&gt;=$J439,cfgRetakeRecordedCap,SUMIFS(nrES_Raw,nrES_PID,$D439,nrES_Code,$F439,nrES_Att,1))))))</f>
        <v/>
      </c>
      <c r="N439" s="15">
        <f>IF($C439="","",IF($L439="","",IF($L439&gt;=$J439,"Yes","No")))</f>
        <v/>
      </c>
      <c r="O439" s="15">
        <f>IF($C439="","",IF($M439="","",IF($M439&gt;=$J439,"Yes","No")))</f>
        <v/>
      </c>
      <c r="P439" s="15">
        <f>IF($C439="","",IF($K439="","",IF(COUNTIFS(nrES_PID,$D439,nrES_Code,$F439,nrES_Att,"&gt;"&amp;$K439)=0,"Yes","No")))</f>
        <v/>
      </c>
      <c r="Q439" s="15">
        <f>IF($C439="","",IF($L439="","",IF(AND($K439=1,$L439&lt;$J439,COUNTIFS(nrES_PID,$D439,nrES_Code,$F439,nrES_Att,2)=0),"Yes","No")))</f>
        <v/>
      </c>
      <c r="R439" s="15">
        <f>IF($C439="","",IF($L439="","",IF(AND($K439=2,$L439&lt;$J439,COUNTIFS(nrES_PID,$D439,nrES_Code,$F439,nrES_Att,1)&gt;0),"Yes","No")))</f>
        <v/>
      </c>
      <c r="S439" s="16" t="n"/>
      <c r="T439" s="17">
        <f>IF($Q439&lt;&gt;"Yes","",IF($S439="","(enter date)",_xlfn.LET(_xlpm.dn,IFERROR(_xlfn.XLOOKUP($S439,nrCDdate,nrCDnum),""),IF(_xlpm.dn="","(not a class day)",IFERROR(_xlfn.XLOOKUP(_xlpm.dn+cfgRetestClassDays,nrCDnum,nrCDdate),"")))))</f>
        <v/>
      </c>
      <c r="U439" s="15">
        <f>IF($Q439&lt;&gt;"Yes","",IF(COUNTIFS(nrES_PID,$D439,nrES_Code,$F439,nrES_Att,2)&gt;0,"Retested",IF(OR($T439="",NOT(ISNUMBER($T439))),"Pending",IF(TODAY()&gt;$T439,"OVERDUE","Due "&amp;TEXT($T439,"mm/dd")))))</f>
        <v/>
      </c>
      <c r="V439" s="14" t="n"/>
      <c r="W439" s="14" t="n"/>
    </row>
    <row r="440">
      <c r="B440" s="15">
        <f>IF($C440="","",$D440&amp;"-"&amp;$F440&amp;"-"&amp;$K440)</f>
        <v/>
      </c>
      <c r="C440" s="14" t="n"/>
      <c r="D440" s="15">
        <f>IF($C440="","",IFERROR(INDEX(rngCadetPIDs,MATCH($C440,rngCadetNames,0)),"?"))</f>
        <v/>
      </c>
      <c r="E440" s="15">
        <f>IF($D440="","",IFERROR(INDEX(nrCadetAgency,MATCH($D440,rngCadetPIDs,0)),""))</f>
        <v/>
      </c>
      <c r="F440" s="14" t="n"/>
      <c r="G440" s="15">
        <f>IF($F440="","",IFERROR(INDEX(rngEPname,MATCH($F440,rngEPcode,0)),"?"))</f>
        <v/>
      </c>
      <c r="H440" s="15">
        <f>IF($F440="","",IFERROR(INDEX(rngEPtype,MATCH($F440,rngEPcode,0)),"?"))</f>
        <v/>
      </c>
      <c r="I440" s="15">
        <f>IF($F440="","",IFERROR(INDEX(rngEPseq,MATCH($F440,rngEPcode,0)),""))</f>
        <v/>
      </c>
      <c r="J440" s="15">
        <f>IF($F440="","",IFERROR(INDEX(rngEPpass,MATCH($F440,rngEPcode,0)),cfgPassingScore))</f>
        <v/>
      </c>
      <c r="K440" s="14" t="n"/>
      <c r="L440" s="14" t="n"/>
      <c r="M440" s="15">
        <f>IF($C440="","",IF($L440="","",IF($K440=1,IF(COUNTIFS(nrES_PID,$D440,nrES_Code,$F440,nrES_Att,2)&gt;0,"",$L440),IF(COUNTIFS(nrES_PID,$D440,nrES_Code,$F440,nrES_Att,1)=0,$L440,IF($L440&gt;=$J440,cfgRetakeRecordedCap,SUMIFS(nrES_Raw,nrES_PID,$D440,nrES_Code,$F440,nrES_Att,1))))))</f>
        <v/>
      </c>
      <c r="N440" s="15">
        <f>IF($C440="","",IF($L440="","",IF($L440&gt;=$J440,"Yes","No")))</f>
        <v/>
      </c>
      <c r="O440" s="15">
        <f>IF($C440="","",IF($M440="","",IF($M440&gt;=$J440,"Yes","No")))</f>
        <v/>
      </c>
      <c r="P440" s="15">
        <f>IF($C440="","",IF($K440="","",IF(COUNTIFS(nrES_PID,$D440,nrES_Code,$F440,nrES_Att,"&gt;"&amp;$K440)=0,"Yes","No")))</f>
        <v/>
      </c>
      <c r="Q440" s="15">
        <f>IF($C440="","",IF($L440="","",IF(AND($K440=1,$L440&lt;$J440,COUNTIFS(nrES_PID,$D440,nrES_Code,$F440,nrES_Att,2)=0),"Yes","No")))</f>
        <v/>
      </c>
      <c r="R440" s="15">
        <f>IF($C440="","",IF($L440="","",IF(AND($K440=2,$L440&lt;$J440,COUNTIFS(nrES_PID,$D440,nrES_Code,$F440,nrES_Att,1)&gt;0),"Yes","No")))</f>
        <v/>
      </c>
      <c r="S440" s="16" t="n"/>
      <c r="T440" s="17">
        <f>IF($Q440&lt;&gt;"Yes","",IF($S440="","(enter date)",_xlfn.LET(_xlpm.dn,IFERROR(_xlfn.XLOOKUP($S440,nrCDdate,nrCDnum),""),IF(_xlpm.dn="","(not a class day)",IFERROR(_xlfn.XLOOKUP(_xlpm.dn+cfgRetestClassDays,nrCDnum,nrCDdate),"")))))</f>
        <v/>
      </c>
      <c r="U440" s="15">
        <f>IF($Q440&lt;&gt;"Yes","",IF(COUNTIFS(nrES_PID,$D440,nrES_Code,$F440,nrES_Att,2)&gt;0,"Retested",IF(OR($T440="",NOT(ISNUMBER($T440))),"Pending",IF(TODAY()&gt;$T440,"OVERDUE","Due "&amp;TEXT($T440,"mm/dd")))))</f>
        <v/>
      </c>
      <c r="V440" s="14" t="n"/>
      <c r="W440" s="14" t="n"/>
    </row>
    <row r="441">
      <c r="B441" s="15">
        <f>IF($C441="","",$D441&amp;"-"&amp;$F441&amp;"-"&amp;$K441)</f>
        <v/>
      </c>
      <c r="C441" s="14" t="n"/>
      <c r="D441" s="15">
        <f>IF($C441="","",IFERROR(INDEX(rngCadetPIDs,MATCH($C441,rngCadetNames,0)),"?"))</f>
        <v/>
      </c>
      <c r="E441" s="15">
        <f>IF($D441="","",IFERROR(INDEX(nrCadetAgency,MATCH($D441,rngCadetPIDs,0)),""))</f>
        <v/>
      </c>
      <c r="F441" s="14" t="n"/>
      <c r="G441" s="15">
        <f>IF($F441="","",IFERROR(INDEX(rngEPname,MATCH($F441,rngEPcode,0)),"?"))</f>
        <v/>
      </c>
      <c r="H441" s="15">
        <f>IF($F441="","",IFERROR(INDEX(rngEPtype,MATCH($F441,rngEPcode,0)),"?"))</f>
        <v/>
      </c>
      <c r="I441" s="15">
        <f>IF($F441="","",IFERROR(INDEX(rngEPseq,MATCH($F441,rngEPcode,0)),""))</f>
        <v/>
      </c>
      <c r="J441" s="15">
        <f>IF($F441="","",IFERROR(INDEX(rngEPpass,MATCH($F441,rngEPcode,0)),cfgPassingScore))</f>
        <v/>
      </c>
      <c r="K441" s="14" t="n"/>
      <c r="L441" s="14" t="n"/>
      <c r="M441" s="15">
        <f>IF($C441="","",IF($L441="","",IF($K441=1,IF(COUNTIFS(nrES_PID,$D441,nrES_Code,$F441,nrES_Att,2)&gt;0,"",$L441),IF(COUNTIFS(nrES_PID,$D441,nrES_Code,$F441,nrES_Att,1)=0,$L441,IF($L441&gt;=$J441,cfgRetakeRecordedCap,SUMIFS(nrES_Raw,nrES_PID,$D441,nrES_Code,$F441,nrES_Att,1))))))</f>
        <v/>
      </c>
      <c r="N441" s="15">
        <f>IF($C441="","",IF($L441="","",IF($L441&gt;=$J441,"Yes","No")))</f>
        <v/>
      </c>
      <c r="O441" s="15">
        <f>IF($C441="","",IF($M441="","",IF($M441&gt;=$J441,"Yes","No")))</f>
        <v/>
      </c>
      <c r="P441" s="15">
        <f>IF($C441="","",IF($K441="","",IF(COUNTIFS(nrES_PID,$D441,nrES_Code,$F441,nrES_Att,"&gt;"&amp;$K441)=0,"Yes","No")))</f>
        <v/>
      </c>
      <c r="Q441" s="15">
        <f>IF($C441="","",IF($L441="","",IF(AND($K441=1,$L441&lt;$J441,COUNTIFS(nrES_PID,$D441,nrES_Code,$F441,nrES_Att,2)=0),"Yes","No")))</f>
        <v/>
      </c>
      <c r="R441" s="15">
        <f>IF($C441="","",IF($L441="","",IF(AND($K441=2,$L441&lt;$J441,COUNTIFS(nrES_PID,$D441,nrES_Code,$F441,nrES_Att,1)&gt;0),"Yes","No")))</f>
        <v/>
      </c>
      <c r="S441" s="16" t="n"/>
      <c r="T441" s="17">
        <f>IF($Q441&lt;&gt;"Yes","",IF($S441="","(enter date)",_xlfn.LET(_xlpm.dn,IFERROR(_xlfn.XLOOKUP($S441,nrCDdate,nrCDnum),""),IF(_xlpm.dn="","(not a class day)",IFERROR(_xlfn.XLOOKUP(_xlpm.dn+cfgRetestClassDays,nrCDnum,nrCDdate),"")))))</f>
        <v/>
      </c>
      <c r="U441" s="15">
        <f>IF($Q441&lt;&gt;"Yes","",IF(COUNTIFS(nrES_PID,$D441,nrES_Code,$F441,nrES_Att,2)&gt;0,"Retested",IF(OR($T441="",NOT(ISNUMBER($T441))),"Pending",IF(TODAY()&gt;$T441,"OVERDUE","Due "&amp;TEXT($T441,"mm/dd")))))</f>
        <v/>
      </c>
      <c r="V441" s="14" t="n"/>
      <c r="W441" s="14" t="n"/>
    </row>
    <row r="442">
      <c r="B442" s="15">
        <f>IF($C442="","",$D442&amp;"-"&amp;$F442&amp;"-"&amp;$K442)</f>
        <v/>
      </c>
      <c r="C442" s="14" t="n"/>
      <c r="D442" s="15">
        <f>IF($C442="","",IFERROR(INDEX(rngCadetPIDs,MATCH($C442,rngCadetNames,0)),"?"))</f>
        <v/>
      </c>
      <c r="E442" s="15">
        <f>IF($D442="","",IFERROR(INDEX(nrCadetAgency,MATCH($D442,rngCadetPIDs,0)),""))</f>
        <v/>
      </c>
      <c r="F442" s="14" t="n"/>
      <c r="G442" s="15">
        <f>IF($F442="","",IFERROR(INDEX(rngEPname,MATCH($F442,rngEPcode,0)),"?"))</f>
        <v/>
      </c>
      <c r="H442" s="15">
        <f>IF($F442="","",IFERROR(INDEX(rngEPtype,MATCH($F442,rngEPcode,0)),"?"))</f>
        <v/>
      </c>
      <c r="I442" s="15">
        <f>IF($F442="","",IFERROR(INDEX(rngEPseq,MATCH($F442,rngEPcode,0)),""))</f>
        <v/>
      </c>
      <c r="J442" s="15">
        <f>IF($F442="","",IFERROR(INDEX(rngEPpass,MATCH($F442,rngEPcode,0)),cfgPassingScore))</f>
        <v/>
      </c>
      <c r="K442" s="14" t="n"/>
      <c r="L442" s="14" t="n"/>
      <c r="M442" s="15">
        <f>IF($C442="","",IF($L442="","",IF($K442=1,IF(COUNTIFS(nrES_PID,$D442,nrES_Code,$F442,nrES_Att,2)&gt;0,"",$L442),IF(COUNTIFS(nrES_PID,$D442,nrES_Code,$F442,nrES_Att,1)=0,$L442,IF($L442&gt;=$J442,cfgRetakeRecordedCap,SUMIFS(nrES_Raw,nrES_PID,$D442,nrES_Code,$F442,nrES_Att,1))))))</f>
        <v/>
      </c>
      <c r="N442" s="15">
        <f>IF($C442="","",IF($L442="","",IF($L442&gt;=$J442,"Yes","No")))</f>
        <v/>
      </c>
      <c r="O442" s="15">
        <f>IF($C442="","",IF($M442="","",IF($M442&gt;=$J442,"Yes","No")))</f>
        <v/>
      </c>
      <c r="P442" s="15">
        <f>IF($C442="","",IF($K442="","",IF(COUNTIFS(nrES_PID,$D442,nrES_Code,$F442,nrES_Att,"&gt;"&amp;$K442)=0,"Yes","No")))</f>
        <v/>
      </c>
      <c r="Q442" s="15">
        <f>IF($C442="","",IF($L442="","",IF(AND($K442=1,$L442&lt;$J442,COUNTIFS(nrES_PID,$D442,nrES_Code,$F442,nrES_Att,2)=0),"Yes","No")))</f>
        <v/>
      </c>
      <c r="R442" s="15">
        <f>IF($C442="","",IF($L442="","",IF(AND($K442=2,$L442&lt;$J442,COUNTIFS(nrES_PID,$D442,nrES_Code,$F442,nrES_Att,1)&gt;0),"Yes","No")))</f>
        <v/>
      </c>
      <c r="S442" s="16" t="n"/>
      <c r="T442" s="17">
        <f>IF($Q442&lt;&gt;"Yes","",IF($S442="","(enter date)",_xlfn.LET(_xlpm.dn,IFERROR(_xlfn.XLOOKUP($S442,nrCDdate,nrCDnum),""),IF(_xlpm.dn="","(not a class day)",IFERROR(_xlfn.XLOOKUP(_xlpm.dn+cfgRetestClassDays,nrCDnum,nrCDdate),"")))))</f>
        <v/>
      </c>
      <c r="U442" s="15">
        <f>IF($Q442&lt;&gt;"Yes","",IF(COUNTIFS(nrES_PID,$D442,nrES_Code,$F442,nrES_Att,2)&gt;0,"Retested",IF(OR($T442="",NOT(ISNUMBER($T442))),"Pending",IF(TODAY()&gt;$T442,"OVERDUE","Due "&amp;TEXT($T442,"mm/dd")))))</f>
        <v/>
      </c>
      <c r="V442" s="14" t="n"/>
      <c r="W442" s="14" t="n"/>
    </row>
    <row r="443">
      <c r="B443" s="15">
        <f>IF($C443="","",$D443&amp;"-"&amp;$F443&amp;"-"&amp;$K443)</f>
        <v/>
      </c>
      <c r="C443" s="14" t="n"/>
      <c r="D443" s="15">
        <f>IF($C443="","",IFERROR(INDEX(rngCadetPIDs,MATCH($C443,rngCadetNames,0)),"?"))</f>
        <v/>
      </c>
      <c r="E443" s="15">
        <f>IF($D443="","",IFERROR(INDEX(nrCadetAgency,MATCH($D443,rngCadetPIDs,0)),""))</f>
        <v/>
      </c>
      <c r="F443" s="14" t="n"/>
      <c r="G443" s="15">
        <f>IF($F443="","",IFERROR(INDEX(rngEPname,MATCH($F443,rngEPcode,0)),"?"))</f>
        <v/>
      </c>
      <c r="H443" s="15">
        <f>IF($F443="","",IFERROR(INDEX(rngEPtype,MATCH($F443,rngEPcode,0)),"?"))</f>
        <v/>
      </c>
      <c r="I443" s="15">
        <f>IF($F443="","",IFERROR(INDEX(rngEPseq,MATCH($F443,rngEPcode,0)),""))</f>
        <v/>
      </c>
      <c r="J443" s="15">
        <f>IF($F443="","",IFERROR(INDEX(rngEPpass,MATCH($F443,rngEPcode,0)),cfgPassingScore))</f>
        <v/>
      </c>
      <c r="K443" s="14" t="n"/>
      <c r="L443" s="14" t="n"/>
      <c r="M443" s="15">
        <f>IF($C443="","",IF($L443="","",IF($K443=1,IF(COUNTIFS(nrES_PID,$D443,nrES_Code,$F443,nrES_Att,2)&gt;0,"",$L443),IF(COUNTIFS(nrES_PID,$D443,nrES_Code,$F443,nrES_Att,1)=0,$L443,IF($L443&gt;=$J443,cfgRetakeRecordedCap,SUMIFS(nrES_Raw,nrES_PID,$D443,nrES_Code,$F443,nrES_Att,1))))))</f>
        <v/>
      </c>
      <c r="N443" s="15">
        <f>IF($C443="","",IF($L443="","",IF($L443&gt;=$J443,"Yes","No")))</f>
        <v/>
      </c>
      <c r="O443" s="15">
        <f>IF($C443="","",IF($M443="","",IF($M443&gt;=$J443,"Yes","No")))</f>
        <v/>
      </c>
      <c r="P443" s="15">
        <f>IF($C443="","",IF($K443="","",IF(COUNTIFS(nrES_PID,$D443,nrES_Code,$F443,nrES_Att,"&gt;"&amp;$K443)=0,"Yes","No")))</f>
        <v/>
      </c>
      <c r="Q443" s="15">
        <f>IF($C443="","",IF($L443="","",IF(AND($K443=1,$L443&lt;$J443,COUNTIFS(nrES_PID,$D443,nrES_Code,$F443,nrES_Att,2)=0),"Yes","No")))</f>
        <v/>
      </c>
      <c r="R443" s="15">
        <f>IF($C443="","",IF($L443="","",IF(AND($K443=2,$L443&lt;$J443,COUNTIFS(nrES_PID,$D443,nrES_Code,$F443,nrES_Att,1)&gt;0),"Yes","No")))</f>
        <v/>
      </c>
      <c r="S443" s="16" t="n"/>
      <c r="T443" s="17">
        <f>IF($Q443&lt;&gt;"Yes","",IF($S443="","(enter date)",_xlfn.LET(_xlpm.dn,IFERROR(_xlfn.XLOOKUP($S443,nrCDdate,nrCDnum),""),IF(_xlpm.dn="","(not a class day)",IFERROR(_xlfn.XLOOKUP(_xlpm.dn+cfgRetestClassDays,nrCDnum,nrCDdate),"")))))</f>
        <v/>
      </c>
      <c r="U443" s="15">
        <f>IF($Q443&lt;&gt;"Yes","",IF(COUNTIFS(nrES_PID,$D443,nrES_Code,$F443,nrES_Att,2)&gt;0,"Retested",IF(OR($T443="",NOT(ISNUMBER($T443))),"Pending",IF(TODAY()&gt;$T443,"OVERDUE","Due "&amp;TEXT($T443,"mm/dd")))))</f>
        <v/>
      </c>
      <c r="V443" s="14" t="n"/>
      <c r="W443" s="14" t="n"/>
    </row>
    <row r="444">
      <c r="B444" s="15">
        <f>IF($C444="","",$D444&amp;"-"&amp;$F444&amp;"-"&amp;$K444)</f>
        <v/>
      </c>
      <c r="C444" s="14" t="n"/>
      <c r="D444" s="15">
        <f>IF($C444="","",IFERROR(INDEX(rngCadetPIDs,MATCH($C444,rngCadetNames,0)),"?"))</f>
        <v/>
      </c>
      <c r="E444" s="15">
        <f>IF($D444="","",IFERROR(INDEX(nrCadetAgency,MATCH($D444,rngCadetPIDs,0)),""))</f>
        <v/>
      </c>
      <c r="F444" s="14" t="n"/>
      <c r="G444" s="15">
        <f>IF($F444="","",IFERROR(INDEX(rngEPname,MATCH($F444,rngEPcode,0)),"?"))</f>
        <v/>
      </c>
      <c r="H444" s="15">
        <f>IF($F444="","",IFERROR(INDEX(rngEPtype,MATCH($F444,rngEPcode,0)),"?"))</f>
        <v/>
      </c>
      <c r="I444" s="15">
        <f>IF($F444="","",IFERROR(INDEX(rngEPseq,MATCH($F444,rngEPcode,0)),""))</f>
        <v/>
      </c>
      <c r="J444" s="15">
        <f>IF($F444="","",IFERROR(INDEX(rngEPpass,MATCH($F444,rngEPcode,0)),cfgPassingScore))</f>
        <v/>
      </c>
      <c r="K444" s="14" t="n"/>
      <c r="L444" s="14" t="n"/>
      <c r="M444" s="15">
        <f>IF($C444="","",IF($L444="","",IF($K444=1,IF(COUNTIFS(nrES_PID,$D444,nrES_Code,$F444,nrES_Att,2)&gt;0,"",$L444),IF(COUNTIFS(nrES_PID,$D444,nrES_Code,$F444,nrES_Att,1)=0,$L444,IF($L444&gt;=$J444,cfgRetakeRecordedCap,SUMIFS(nrES_Raw,nrES_PID,$D444,nrES_Code,$F444,nrES_Att,1))))))</f>
        <v/>
      </c>
      <c r="N444" s="15">
        <f>IF($C444="","",IF($L444="","",IF($L444&gt;=$J444,"Yes","No")))</f>
        <v/>
      </c>
      <c r="O444" s="15">
        <f>IF($C444="","",IF($M444="","",IF($M444&gt;=$J444,"Yes","No")))</f>
        <v/>
      </c>
      <c r="P444" s="15">
        <f>IF($C444="","",IF($K444="","",IF(COUNTIFS(nrES_PID,$D444,nrES_Code,$F444,nrES_Att,"&gt;"&amp;$K444)=0,"Yes","No")))</f>
        <v/>
      </c>
      <c r="Q444" s="15">
        <f>IF($C444="","",IF($L444="","",IF(AND($K444=1,$L444&lt;$J444,COUNTIFS(nrES_PID,$D444,nrES_Code,$F444,nrES_Att,2)=0),"Yes","No")))</f>
        <v/>
      </c>
      <c r="R444" s="15">
        <f>IF($C444="","",IF($L444="","",IF(AND($K444=2,$L444&lt;$J444,COUNTIFS(nrES_PID,$D444,nrES_Code,$F444,nrES_Att,1)&gt;0),"Yes","No")))</f>
        <v/>
      </c>
      <c r="S444" s="16" t="n"/>
      <c r="T444" s="17">
        <f>IF($Q444&lt;&gt;"Yes","",IF($S444="","(enter date)",_xlfn.LET(_xlpm.dn,IFERROR(_xlfn.XLOOKUP($S444,nrCDdate,nrCDnum),""),IF(_xlpm.dn="","(not a class day)",IFERROR(_xlfn.XLOOKUP(_xlpm.dn+cfgRetestClassDays,nrCDnum,nrCDdate),"")))))</f>
        <v/>
      </c>
      <c r="U444" s="15">
        <f>IF($Q444&lt;&gt;"Yes","",IF(COUNTIFS(nrES_PID,$D444,nrES_Code,$F444,nrES_Att,2)&gt;0,"Retested",IF(OR($T444="",NOT(ISNUMBER($T444))),"Pending",IF(TODAY()&gt;$T444,"OVERDUE","Due "&amp;TEXT($T444,"mm/dd")))))</f>
        <v/>
      </c>
      <c r="V444" s="14" t="n"/>
      <c r="W444" s="14" t="n"/>
    </row>
    <row r="445">
      <c r="B445" s="15">
        <f>IF($C445="","",$D445&amp;"-"&amp;$F445&amp;"-"&amp;$K445)</f>
        <v/>
      </c>
      <c r="C445" s="14" t="n"/>
      <c r="D445" s="15">
        <f>IF($C445="","",IFERROR(INDEX(rngCadetPIDs,MATCH($C445,rngCadetNames,0)),"?"))</f>
        <v/>
      </c>
      <c r="E445" s="15">
        <f>IF($D445="","",IFERROR(INDEX(nrCadetAgency,MATCH($D445,rngCadetPIDs,0)),""))</f>
        <v/>
      </c>
      <c r="F445" s="14" t="n"/>
      <c r="G445" s="15">
        <f>IF($F445="","",IFERROR(INDEX(rngEPname,MATCH($F445,rngEPcode,0)),"?"))</f>
        <v/>
      </c>
      <c r="H445" s="15">
        <f>IF($F445="","",IFERROR(INDEX(rngEPtype,MATCH($F445,rngEPcode,0)),"?"))</f>
        <v/>
      </c>
      <c r="I445" s="15">
        <f>IF($F445="","",IFERROR(INDEX(rngEPseq,MATCH($F445,rngEPcode,0)),""))</f>
        <v/>
      </c>
      <c r="J445" s="15">
        <f>IF($F445="","",IFERROR(INDEX(rngEPpass,MATCH($F445,rngEPcode,0)),cfgPassingScore))</f>
        <v/>
      </c>
      <c r="K445" s="14" t="n"/>
      <c r="L445" s="14" t="n"/>
      <c r="M445" s="15">
        <f>IF($C445="","",IF($L445="","",IF($K445=1,IF(COUNTIFS(nrES_PID,$D445,nrES_Code,$F445,nrES_Att,2)&gt;0,"",$L445),IF(COUNTIFS(nrES_PID,$D445,nrES_Code,$F445,nrES_Att,1)=0,$L445,IF($L445&gt;=$J445,cfgRetakeRecordedCap,SUMIFS(nrES_Raw,nrES_PID,$D445,nrES_Code,$F445,nrES_Att,1))))))</f>
        <v/>
      </c>
      <c r="N445" s="15">
        <f>IF($C445="","",IF($L445="","",IF($L445&gt;=$J445,"Yes","No")))</f>
        <v/>
      </c>
      <c r="O445" s="15">
        <f>IF($C445="","",IF($M445="","",IF($M445&gt;=$J445,"Yes","No")))</f>
        <v/>
      </c>
      <c r="P445" s="15">
        <f>IF($C445="","",IF($K445="","",IF(COUNTIFS(nrES_PID,$D445,nrES_Code,$F445,nrES_Att,"&gt;"&amp;$K445)=0,"Yes","No")))</f>
        <v/>
      </c>
      <c r="Q445" s="15">
        <f>IF($C445="","",IF($L445="","",IF(AND($K445=1,$L445&lt;$J445,COUNTIFS(nrES_PID,$D445,nrES_Code,$F445,nrES_Att,2)=0),"Yes","No")))</f>
        <v/>
      </c>
      <c r="R445" s="15">
        <f>IF($C445="","",IF($L445="","",IF(AND($K445=2,$L445&lt;$J445,COUNTIFS(nrES_PID,$D445,nrES_Code,$F445,nrES_Att,1)&gt;0),"Yes","No")))</f>
        <v/>
      </c>
      <c r="S445" s="16" t="n"/>
      <c r="T445" s="17">
        <f>IF($Q445&lt;&gt;"Yes","",IF($S445="","(enter date)",_xlfn.LET(_xlpm.dn,IFERROR(_xlfn.XLOOKUP($S445,nrCDdate,nrCDnum),""),IF(_xlpm.dn="","(not a class day)",IFERROR(_xlfn.XLOOKUP(_xlpm.dn+cfgRetestClassDays,nrCDnum,nrCDdate),"")))))</f>
        <v/>
      </c>
      <c r="U445" s="15">
        <f>IF($Q445&lt;&gt;"Yes","",IF(COUNTIFS(nrES_PID,$D445,nrES_Code,$F445,nrES_Att,2)&gt;0,"Retested",IF(OR($T445="",NOT(ISNUMBER($T445))),"Pending",IF(TODAY()&gt;$T445,"OVERDUE","Due "&amp;TEXT($T445,"mm/dd")))))</f>
        <v/>
      </c>
      <c r="V445" s="14" t="n"/>
      <c r="W445" s="14" t="n"/>
    </row>
    <row r="446">
      <c r="B446" s="15">
        <f>IF($C446="","",$D446&amp;"-"&amp;$F446&amp;"-"&amp;$K446)</f>
        <v/>
      </c>
      <c r="C446" s="14" t="n"/>
      <c r="D446" s="15">
        <f>IF($C446="","",IFERROR(INDEX(rngCadetPIDs,MATCH($C446,rngCadetNames,0)),"?"))</f>
        <v/>
      </c>
      <c r="E446" s="15">
        <f>IF($D446="","",IFERROR(INDEX(nrCadetAgency,MATCH($D446,rngCadetPIDs,0)),""))</f>
        <v/>
      </c>
      <c r="F446" s="14" t="n"/>
      <c r="G446" s="15">
        <f>IF($F446="","",IFERROR(INDEX(rngEPname,MATCH($F446,rngEPcode,0)),"?"))</f>
        <v/>
      </c>
      <c r="H446" s="15">
        <f>IF($F446="","",IFERROR(INDEX(rngEPtype,MATCH($F446,rngEPcode,0)),"?"))</f>
        <v/>
      </c>
      <c r="I446" s="15">
        <f>IF($F446="","",IFERROR(INDEX(rngEPseq,MATCH($F446,rngEPcode,0)),""))</f>
        <v/>
      </c>
      <c r="J446" s="15">
        <f>IF($F446="","",IFERROR(INDEX(rngEPpass,MATCH($F446,rngEPcode,0)),cfgPassingScore))</f>
        <v/>
      </c>
      <c r="K446" s="14" t="n"/>
      <c r="L446" s="14" t="n"/>
      <c r="M446" s="15">
        <f>IF($C446="","",IF($L446="","",IF($K446=1,IF(COUNTIFS(nrES_PID,$D446,nrES_Code,$F446,nrES_Att,2)&gt;0,"",$L446),IF(COUNTIFS(nrES_PID,$D446,nrES_Code,$F446,nrES_Att,1)=0,$L446,IF($L446&gt;=$J446,cfgRetakeRecordedCap,SUMIFS(nrES_Raw,nrES_PID,$D446,nrES_Code,$F446,nrES_Att,1))))))</f>
        <v/>
      </c>
      <c r="N446" s="15">
        <f>IF($C446="","",IF($L446="","",IF($L446&gt;=$J446,"Yes","No")))</f>
        <v/>
      </c>
      <c r="O446" s="15">
        <f>IF($C446="","",IF($M446="","",IF($M446&gt;=$J446,"Yes","No")))</f>
        <v/>
      </c>
      <c r="P446" s="15">
        <f>IF($C446="","",IF($K446="","",IF(COUNTIFS(nrES_PID,$D446,nrES_Code,$F446,nrES_Att,"&gt;"&amp;$K446)=0,"Yes","No")))</f>
        <v/>
      </c>
      <c r="Q446" s="15">
        <f>IF($C446="","",IF($L446="","",IF(AND($K446=1,$L446&lt;$J446,COUNTIFS(nrES_PID,$D446,nrES_Code,$F446,nrES_Att,2)=0),"Yes","No")))</f>
        <v/>
      </c>
      <c r="R446" s="15">
        <f>IF($C446="","",IF($L446="","",IF(AND($K446=2,$L446&lt;$J446,COUNTIFS(nrES_PID,$D446,nrES_Code,$F446,nrES_Att,1)&gt;0),"Yes","No")))</f>
        <v/>
      </c>
      <c r="S446" s="16" t="n"/>
      <c r="T446" s="17">
        <f>IF($Q446&lt;&gt;"Yes","",IF($S446="","(enter date)",_xlfn.LET(_xlpm.dn,IFERROR(_xlfn.XLOOKUP($S446,nrCDdate,nrCDnum),""),IF(_xlpm.dn="","(not a class day)",IFERROR(_xlfn.XLOOKUP(_xlpm.dn+cfgRetestClassDays,nrCDnum,nrCDdate),"")))))</f>
        <v/>
      </c>
      <c r="U446" s="15">
        <f>IF($Q446&lt;&gt;"Yes","",IF(COUNTIFS(nrES_PID,$D446,nrES_Code,$F446,nrES_Att,2)&gt;0,"Retested",IF(OR($T446="",NOT(ISNUMBER($T446))),"Pending",IF(TODAY()&gt;$T446,"OVERDUE","Due "&amp;TEXT($T446,"mm/dd")))))</f>
        <v/>
      </c>
      <c r="V446" s="14" t="n"/>
      <c r="W446" s="14" t="n"/>
    </row>
    <row r="447">
      <c r="B447" s="15">
        <f>IF($C447="","",$D447&amp;"-"&amp;$F447&amp;"-"&amp;$K447)</f>
        <v/>
      </c>
      <c r="C447" s="14" t="n"/>
      <c r="D447" s="15">
        <f>IF($C447="","",IFERROR(INDEX(rngCadetPIDs,MATCH($C447,rngCadetNames,0)),"?"))</f>
        <v/>
      </c>
      <c r="E447" s="15">
        <f>IF($D447="","",IFERROR(INDEX(nrCadetAgency,MATCH($D447,rngCadetPIDs,0)),""))</f>
        <v/>
      </c>
      <c r="F447" s="14" t="n"/>
      <c r="G447" s="15">
        <f>IF($F447="","",IFERROR(INDEX(rngEPname,MATCH($F447,rngEPcode,0)),"?"))</f>
        <v/>
      </c>
      <c r="H447" s="15">
        <f>IF($F447="","",IFERROR(INDEX(rngEPtype,MATCH($F447,rngEPcode,0)),"?"))</f>
        <v/>
      </c>
      <c r="I447" s="15">
        <f>IF($F447="","",IFERROR(INDEX(rngEPseq,MATCH($F447,rngEPcode,0)),""))</f>
        <v/>
      </c>
      <c r="J447" s="15">
        <f>IF($F447="","",IFERROR(INDEX(rngEPpass,MATCH($F447,rngEPcode,0)),cfgPassingScore))</f>
        <v/>
      </c>
      <c r="K447" s="14" t="n"/>
      <c r="L447" s="14" t="n"/>
      <c r="M447" s="15">
        <f>IF($C447="","",IF($L447="","",IF($K447=1,IF(COUNTIFS(nrES_PID,$D447,nrES_Code,$F447,nrES_Att,2)&gt;0,"",$L447),IF(COUNTIFS(nrES_PID,$D447,nrES_Code,$F447,nrES_Att,1)=0,$L447,IF($L447&gt;=$J447,cfgRetakeRecordedCap,SUMIFS(nrES_Raw,nrES_PID,$D447,nrES_Code,$F447,nrES_Att,1))))))</f>
        <v/>
      </c>
      <c r="N447" s="15">
        <f>IF($C447="","",IF($L447="","",IF($L447&gt;=$J447,"Yes","No")))</f>
        <v/>
      </c>
      <c r="O447" s="15">
        <f>IF($C447="","",IF($M447="","",IF($M447&gt;=$J447,"Yes","No")))</f>
        <v/>
      </c>
      <c r="P447" s="15">
        <f>IF($C447="","",IF($K447="","",IF(COUNTIFS(nrES_PID,$D447,nrES_Code,$F447,nrES_Att,"&gt;"&amp;$K447)=0,"Yes","No")))</f>
        <v/>
      </c>
      <c r="Q447" s="15">
        <f>IF($C447="","",IF($L447="","",IF(AND($K447=1,$L447&lt;$J447,COUNTIFS(nrES_PID,$D447,nrES_Code,$F447,nrES_Att,2)=0),"Yes","No")))</f>
        <v/>
      </c>
      <c r="R447" s="15">
        <f>IF($C447="","",IF($L447="","",IF(AND($K447=2,$L447&lt;$J447,COUNTIFS(nrES_PID,$D447,nrES_Code,$F447,nrES_Att,1)&gt;0),"Yes","No")))</f>
        <v/>
      </c>
      <c r="S447" s="16" t="n"/>
      <c r="T447" s="17">
        <f>IF($Q447&lt;&gt;"Yes","",IF($S447="","(enter date)",_xlfn.LET(_xlpm.dn,IFERROR(_xlfn.XLOOKUP($S447,nrCDdate,nrCDnum),""),IF(_xlpm.dn="","(not a class day)",IFERROR(_xlfn.XLOOKUP(_xlpm.dn+cfgRetestClassDays,nrCDnum,nrCDdate),"")))))</f>
        <v/>
      </c>
      <c r="U447" s="15">
        <f>IF($Q447&lt;&gt;"Yes","",IF(COUNTIFS(nrES_PID,$D447,nrES_Code,$F447,nrES_Att,2)&gt;0,"Retested",IF(OR($T447="",NOT(ISNUMBER($T447))),"Pending",IF(TODAY()&gt;$T447,"OVERDUE","Due "&amp;TEXT($T447,"mm/dd")))))</f>
        <v/>
      </c>
      <c r="V447" s="14" t="n"/>
      <c r="W447" s="14" t="n"/>
    </row>
    <row r="448">
      <c r="B448" s="15">
        <f>IF($C448="","",$D448&amp;"-"&amp;$F448&amp;"-"&amp;$K448)</f>
        <v/>
      </c>
      <c r="C448" s="14" t="n"/>
      <c r="D448" s="15">
        <f>IF($C448="","",IFERROR(INDEX(rngCadetPIDs,MATCH($C448,rngCadetNames,0)),"?"))</f>
        <v/>
      </c>
      <c r="E448" s="15">
        <f>IF($D448="","",IFERROR(INDEX(nrCadetAgency,MATCH($D448,rngCadetPIDs,0)),""))</f>
        <v/>
      </c>
      <c r="F448" s="14" t="n"/>
      <c r="G448" s="15">
        <f>IF($F448="","",IFERROR(INDEX(rngEPname,MATCH($F448,rngEPcode,0)),"?"))</f>
        <v/>
      </c>
      <c r="H448" s="15">
        <f>IF($F448="","",IFERROR(INDEX(rngEPtype,MATCH($F448,rngEPcode,0)),"?"))</f>
        <v/>
      </c>
      <c r="I448" s="15">
        <f>IF($F448="","",IFERROR(INDEX(rngEPseq,MATCH($F448,rngEPcode,0)),""))</f>
        <v/>
      </c>
      <c r="J448" s="15">
        <f>IF($F448="","",IFERROR(INDEX(rngEPpass,MATCH($F448,rngEPcode,0)),cfgPassingScore))</f>
        <v/>
      </c>
      <c r="K448" s="14" t="n"/>
      <c r="L448" s="14" t="n"/>
      <c r="M448" s="15">
        <f>IF($C448="","",IF($L448="","",IF($K448=1,IF(COUNTIFS(nrES_PID,$D448,nrES_Code,$F448,nrES_Att,2)&gt;0,"",$L448),IF(COUNTIFS(nrES_PID,$D448,nrES_Code,$F448,nrES_Att,1)=0,$L448,IF($L448&gt;=$J448,cfgRetakeRecordedCap,SUMIFS(nrES_Raw,nrES_PID,$D448,nrES_Code,$F448,nrES_Att,1))))))</f>
        <v/>
      </c>
      <c r="N448" s="15">
        <f>IF($C448="","",IF($L448="","",IF($L448&gt;=$J448,"Yes","No")))</f>
        <v/>
      </c>
      <c r="O448" s="15">
        <f>IF($C448="","",IF($M448="","",IF($M448&gt;=$J448,"Yes","No")))</f>
        <v/>
      </c>
      <c r="P448" s="15">
        <f>IF($C448="","",IF($K448="","",IF(COUNTIFS(nrES_PID,$D448,nrES_Code,$F448,nrES_Att,"&gt;"&amp;$K448)=0,"Yes","No")))</f>
        <v/>
      </c>
      <c r="Q448" s="15">
        <f>IF($C448="","",IF($L448="","",IF(AND($K448=1,$L448&lt;$J448,COUNTIFS(nrES_PID,$D448,nrES_Code,$F448,nrES_Att,2)=0),"Yes","No")))</f>
        <v/>
      </c>
      <c r="R448" s="15">
        <f>IF($C448="","",IF($L448="","",IF(AND($K448=2,$L448&lt;$J448,COUNTIFS(nrES_PID,$D448,nrES_Code,$F448,nrES_Att,1)&gt;0),"Yes","No")))</f>
        <v/>
      </c>
      <c r="S448" s="16" t="n"/>
      <c r="T448" s="17">
        <f>IF($Q448&lt;&gt;"Yes","",IF($S448="","(enter date)",_xlfn.LET(_xlpm.dn,IFERROR(_xlfn.XLOOKUP($S448,nrCDdate,nrCDnum),""),IF(_xlpm.dn="","(not a class day)",IFERROR(_xlfn.XLOOKUP(_xlpm.dn+cfgRetestClassDays,nrCDnum,nrCDdate),"")))))</f>
        <v/>
      </c>
      <c r="U448" s="15">
        <f>IF($Q448&lt;&gt;"Yes","",IF(COUNTIFS(nrES_PID,$D448,nrES_Code,$F448,nrES_Att,2)&gt;0,"Retested",IF(OR($T448="",NOT(ISNUMBER($T448))),"Pending",IF(TODAY()&gt;$T448,"OVERDUE","Due "&amp;TEXT($T448,"mm/dd")))))</f>
        <v/>
      </c>
      <c r="V448" s="14" t="n"/>
      <c r="W448" s="14" t="n"/>
    </row>
    <row r="449">
      <c r="B449" s="15">
        <f>IF($C449="","",$D449&amp;"-"&amp;$F449&amp;"-"&amp;$K449)</f>
        <v/>
      </c>
      <c r="C449" s="14" t="n"/>
      <c r="D449" s="15">
        <f>IF($C449="","",IFERROR(INDEX(rngCadetPIDs,MATCH($C449,rngCadetNames,0)),"?"))</f>
        <v/>
      </c>
      <c r="E449" s="15">
        <f>IF($D449="","",IFERROR(INDEX(nrCadetAgency,MATCH($D449,rngCadetPIDs,0)),""))</f>
        <v/>
      </c>
      <c r="F449" s="14" t="n"/>
      <c r="G449" s="15">
        <f>IF($F449="","",IFERROR(INDEX(rngEPname,MATCH($F449,rngEPcode,0)),"?"))</f>
        <v/>
      </c>
      <c r="H449" s="15">
        <f>IF($F449="","",IFERROR(INDEX(rngEPtype,MATCH($F449,rngEPcode,0)),"?"))</f>
        <v/>
      </c>
      <c r="I449" s="15">
        <f>IF($F449="","",IFERROR(INDEX(rngEPseq,MATCH($F449,rngEPcode,0)),""))</f>
        <v/>
      </c>
      <c r="J449" s="15">
        <f>IF($F449="","",IFERROR(INDEX(rngEPpass,MATCH($F449,rngEPcode,0)),cfgPassingScore))</f>
        <v/>
      </c>
      <c r="K449" s="14" t="n"/>
      <c r="L449" s="14" t="n"/>
      <c r="M449" s="15">
        <f>IF($C449="","",IF($L449="","",IF($K449=1,IF(COUNTIFS(nrES_PID,$D449,nrES_Code,$F449,nrES_Att,2)&gt;0,"",$L449),IF(COUNTIFS(nrES_PID,$D449,nrES_Code,$F449,nrES_Att,1)=0,$L449,IF($L449&gt;=$J449,cfgRetakeRecordedCap,SUMIFS(nrES_Raw,nrES_PID,$D449,nrES_Code,$F449,nrES_Att,1))))))</f>
        <v/>
      </c>
      <c r="N449" s="15">
        <f>IF($C449="","",IF($L449="","",IF($L449&gt;=$J449,"Yes","No")))</f>
        <v/>
      </c>
      <c r="O449" s="15">
        <f>IF($C449="","",IF($M449="","",IF($M449&gt;=$J449,"Yes","No")))</f>
        <v/>
      </c>
      <c r="P449" s="15">
        <f>IF($C449="","",IF($K449="","",IF(COUNTIFS(nrES_PID,$D449,nrES_Code,$F449,nrES_Att,"&gt;"&amp;$K449)=0,"Yes","No")))</f>
        <v/>
      </c>
      <c r="Q449" s="15">
        <f>IF($C449="","",IF($L449="","",IF(AND($K449=1,$L449&lt;$J449,COUNTIFS(nrES_PID,$D449,nrES_Code,$F449,nrES_Att,2)=0),"Yes","No")))</f>
        <v/>
      </c>
      <c r="R449" s="15">
        <f>IF($C449="","",IF($L449="","",IF(AND($K449=2,$L449&lt;$J449,COUNTIFS(nrES_PID,$D449,nrES_Code,$F449,nrES_Att,1)&gt;0),"Yes","No")))</f>
        <v/>
      </c>
      <c r="S449" s="16" t="n"/>
      <c r="T449" s="17">
        <f>IF($Q449&lt;&gt;"Yes","",IF($S449="","(enter date)",_xlfn.LET(_xlpm.dn,IFERROR(_xlfn.XLOOKUP($S449,nrCDdate,nrCDnum),""),IF(_xlpm.dn="","(not a class day)",IFERROR(_xlfn.XLOOKUP(_xlpm.dn+cfgRetestClassDays,nrCDnum,nrCDdate),"")))))</f>
        <v/>
      </c>
      <c r="U449" s="15">
        <f>IF($Q449&lt;&gt;"Yes","",IF(COUNTIFS(nrES_PID,$D449,nrES_Code,$F449,nrES_Att,2)&gt;0,"Retested",IF(OR($T449="",NOT(ISNUMBER($T449))),"Pending",IF(TODAY()&gt;$T449,"OVERDUE","Due "&amp;TEXT($T449,"mm/dd")))))</f>
        <v/>
      </c>
      <c r="V449" s="14" t="n"/>
      <c r="W449" s="14" t="n"/>
    </row>
    <row r="450">
      <c r="B450" s="15">
        <f>IF($C450="","",$D450&amp;"-"&amp;$F450&amp;"-"&amp;$K450)</f>
        <v/>
      </c>
      <c r="C450" s="14" t="n"/>
      <c r="D450" s="15">
        <f>IF($C450="","",IFERROR(INDEX(rngCadetPIDs,MATCH($C450,rngCadetNames,0)),"?"))</f>
        <v/>
      </c>
      <c r="E450" s="15">
        <f>IF($D450="","",IFERROR(INDEX(nrCadetAgency,MATCH($D450,rngCadetPIDs,0)),""))</f>
        <v/>
      </c>
      <c r="F450" s="14" t="n"/>
      <c r="G450" s="15">
        <f>IF($F450="","",IFERROR(INDEX(rngEPname,MATCH($F450,rngEPcode,0)),"?"))</f>
        <v/>
      </c>
      <c r="H450" s="15">
        <f>IF($F450="","",IFERROR(INDEX(rngEPtype,MATCH($F450,rngEPcode,0)),"?"))</f>
        <v/>
      </c>
      <c r="I450" s="15">
        <f>IF($F450="","",IFERROR(INDEX(rngEPseq,MATCH($F450,rngEPcode,0)),""))</f>
        <v/>
      </c>
      <c r="J450" s="15">
        <f>IF($F450="","",IFERROR(INDEX(rngEPpass,MATCH($F450,rngEPcode,0)),cfgPassingScore))</f>
        <v/>
      </c>
      <c r="K450" s="14" t="n"/>
      <c r="L450" s="14" t="n"/>
      <c r="M450" s="15">
        <f>IF($C450="","",IF($L450="","",IF($K450=1,IF(COUNTIFS(nrES_PID,$D450,nrES_Code,$F450,nrES_Att,2)&gt;0,"",$L450),IF(COUNTIFS(nrES_PID,$D450,nrES_Code,$F450,nrES_Att,1)=0,$L450,IF($L450&gt;=$J450,cfgRetakeRecordedCap,SUMIFS(nrES_Raw,nrES_PID,$D450,nrES_Code,$F450,nrES_Att,1))))))</f>
        <v/>
      </c>
      <c r="N450" s="15">
        <f>IF($C450="","",IF($L450="","",IF($L450&gt;=$J450,"Yes","No")))</f>
        <v/>
      </c>
      <c r="O450" s="15">
        <f>IF($C450="","",IF($M450="","",IF($M450&gt;=$J450,"Yes","No")))</f>
        <v/>
      </c>
      <c r="P450" s="15">
        <f>IF($C450="","",IF($K450="","",IF(COUNTIFS(nrES_PID,$D450,nrES_Code,$F450,nrES_Att,"&gt;"&amp;$K450)=0,"Yes","No")))</f>
        <v/>
      </c>
      <c r="Q450" s="15">
        <f>IF($C450="","",IF($L450="","",IF(AND($K450=1,$L450&lt;$J450,COUNTIFS(nrES_PID,$D450,nrES_Code,$F450,nrES_Att,2)=0),"Yes","No")))</f>
        <v/>
      </c>
      <c r="R450" s="15">
        <f>IF($C450="","",IF($L450="","",IF(AND($K450=2,$L450&lt;$J450,COUNTIFS(nrES_PID,$D450,nrES_Code,$F450,nrES_Att,1)&gt;0),"Yes","No")))</f>
        <v/>
      </c>
      <c r="S450" s="16" t="n"/>
      <c r="T450" s="17">
        <f>IF($Q450&lt;&gt;"Yes","",IF($S450="","(enter date)",_xlfn.LET(_xlpm.dn,IFERROR(_xlfn.XLOOKUP($S450,nrCDdate,nrCDnum),""),IF(_xlpm.dn="","(not a class day)",IFERROR(_xlfn.XLOOKUP(_xlpm.dn+cfgRetestClassDays,nrCDnum,nrCDdate),"")))))</f>
        <v/>
      </c>
      <c r="U450" s="15">
        <f>IF($Q450&lt;&gt;"Yes","",IF(COUNTIFS(nrES_PID,$D450,nrES_Code,$F450,nrES_Att,2)&gt;0,"Retested",IF(OR($T450="",NOT(ISNUMBER($T450))),"Pending",IF(TODAY()&gt;$T450,"OVERDUE","Due "&amp;TEXT($T450,"mm/dd")))))</f>
        <v/>
      </c>
      <c r="V450" s="14" t="n"/>
      <c r="W450" s="14" t="n"/>
    </row>
    <row r="451">
      <c r="B451" s="15">
        <f>IF($C451="","",$D451&amp;"-"&amp;$F451&amp;"-"&amp;$K451)</f>
        <v/>
      </c>
      <c r="C451" s="14" t="n"/>
      <c r="D451" s="15">
        <f>IF($C451="","",IFERROR(INDEX(rngCadetPIDs,MATCH($C451,rngCadetNames,0)),"?"))</f>
        <v/>
      </c>
      <c r="E451" s="15">
        <f>IF($D451="","",IFERROR(INDEX(nrCadetAgency,MATCH($D451,rngCadetPIDs,0)),""))</f>
        <v/>
      </c>
      <c r="F451" s="14" t="n"/>
      <c r="G451" s="15">
        <f>IF($F451="","",IFERROR(INDEX(rngEPname,MATCH($F451,rngEPcode,0)),"?"))</f>
        <v/>
      </c>
      <c r="H451" s="15">
        <f>IF($F451="","",IFERROR(INDEX(rngEPtype,MATCH($F451,rngEPcode,0)),"?"))</f>
        <v/>
      </c>
      <c r="I451" s="15">
        <f>IF($F451="","",IFERROR(INDEX(rngEPseq,MATCH($F451,rngEPcode,0)),""))</f>
        <v/>
      </c>
      <c r="J451" s="15">
        <f>IF($F451="","",IFERROR(INDEX(rngEPpass,MATCH($F451,rngEPcode,0)),cfgPassingScore))</f>
        <v/>
      </c>
      <c r="K451" s="14" t="n"/>
      <c r="L451" s="14" t="n"/>
      <c r="M451" s="15">
        <f>IF($C451="","",IF($L451="","",IF($K451=1,IF(COUNTIFS(nrES_PID,$D451,nrES_Code,$F451,nrES_Att,2)&gt;0,"",$L451),IF(COUNTIFS(nrES_PID,$D451,nrES_Code,$F451,nrES_Att,1)=0,$L451,IF($L451&gt;=$J451,cfgRetakeRecordedCap,SUMIFS(nrES_Raw,nrES_PID,$D451,nrES_Code,$F451,nrES_Att,1))))))</f>
        <v/>
      </c>
      <c r="N451" s="15">
        <f>IF($C451="","",IF($L451="","",IF($L451&gt;=$J451,"Yes","No")))</f>
        <v/>
      </c>
      <c r="O451" s="15">
        <f>IF($C451="","",IF($M451="","",IF($M451&gt;=$J451,"Yes","No")))</f>
        <v/>
      </c>
      <c r="P451" s="15">
        <f>IF($C451="","",IF($K451="","",IF(COUNTIFS(nrES_PID,$D451,nrES_Code,$F451,nrES_Att,"&gt;"&amp;$K451)=0,"Yes","No")))</f>
        <v/>
      </c>
      <c r="Q451" s="15">
        <f>IF($C451="","",IF($L451="","",IF(AND($K451=1,$L451&lt;$J451,COUNTIFS(nrES_PID,$D451,nrES_Code,$F451,nrES_Att,2)=0),"Yes","No")))</f>
        <v/>
      </c>
      <c r="R451" s="15">
        <f>IF($C451="","",IF($L451="","",IF(AND($K451=2,$L451&lt;$J451,COUNTIFS(nrES_PID,$D451,nrES_Code,$F451,nrES_Att,1)&gt;0),"Yes","No")))</f>
        <v/>
      </c>
      <c r="S451" s="16" t="n"/>
      <c r="T451" s="17">
        <f>IF($Q451&lt;&gt;"Yes","",IF($S451="","(enter date)",_xlfn.LET(_xlpm.dn,IFERROR(_xlfn.XLOOKUP($S451,nrCDdate,nrCDnum),""),IF(_xlpm.dn="","(not a class day)",IFERROR(_xlfn.XLOOKUP(_xlpm.dn+cfgRetestClassDays,nrCDnum,nrCDdate),"")))))</f>
        <v/>
      </c>
      <c r="U451" s="15">
        <f>IF($Q451&lt;&gt;"Yes","",IF(COUNTIFS(nrES_PID,$D451,nrES_Code,$F451,nrES_Att,2)&gt;0,"Retested",IF(OR($T451="",NOT(ISNUMBER($T451))),"Pending",IF(TODAY()&gt;$T451,"OVERDUE","Due "&amp;TEXT($T451,"mm/dd")))))</f>
        <v/>
      </c>
      <c r="V451" s="14" t="n"/>
      <c r="W451" s="14" t="n"/>
    </row>
    <row r="452">
      <c r="B452" s="15">
        <f>IF($C452="","",$D452&amp;"-"&amp;$F452&amp;"-"&amp;$K452)</f>
        <v/>
      </c>
      <c r="C452" s="14" t="n"/>
      <c r="D452" s="15">
        <f>IF($C452="","",IFERROR(INDEX(rngCadetPIDs,MATCH($C452,rngCadetNames,0)),"?"))</f>
        <v/>
      </c>
      <c r="E452" s="15">
        <f>IF($D452="","",IFERROR(INDEX(nrCadetAgency,MATCH($D452,rngCadetPIDs,0)),""))</f>
        <v/>
      </c>
      <c r="F452" s="14" t="n"/>
      <c r="G452" s="15">
        <f>IF($F452="","",IFERROR(INDEX(rngEPname,MATCH($F452,rngEPcode,0)),"?"))</f>
        <v/>
      </c>
      <c r="H452" s="15">
        <f>IF($F452="","",IFERROR(INDEX(rngEPtype,MATCH($F452,rngEPcode,0)),"?"))</f>
        <v/>
      </c>
      <c r="I452" s="15">
        <f>IF($F452="","",IFERROR(INDEX(rngEPseq,MATCH($F452,rngEPcode,0)),""))</f>
        <v/>
      </c>
      <c r="J452" s="15">
        <f>IF($F452="","",IFERROR(INDEX(rngEPpass,MATCH($F452,rngEPcode,0)),cfgPassingScore))</f>
        <v/>
      </c>
      <c r="K452" s="14" t="n"/>
      <c r="L452" s="14" t="n"/>
      <c r="M452" s="15">
        <f>IF($C452="","",IF($L452="","",IF($K452=1,IF(COUNTIFS(nrES_PID,$D452,nrES_Code,$F452,nrES_Att,2)&gt;0,"",$L452),IF(COUNTIFS(nrES_PID,$D452,nrES_Code,$F452,nrES_Att,1)=0,$L452,IF($L452&gt;=$J452,cfgRetakeRecordedCap,SUMIFS(nrES_Raw,nrES_PID,$D452,nrES_Code,$F452,nrES_Att,1))))))</f>
        <v/>
      </c>
      <c r="N452" s="15">
        <f>IF($C452="","",IF($L452="","",IF($L452&gt;=$J452,"Yes","No")))</f>
        <v/>
      </c>
      <c r="O452" s="15">
        <f>IF($C452="","",IF($M452="","",IF($M452&gt;=$J452,"Yes","No")))</f>
        <v/>
      </c>
      <c r="P452" s="15">
        <f>IF($C452="","",IF($K452="","",IF(COUNTIFS(nrES_PID,$D452,nrES_Code,$F452,nrES_Att,"&gt;"&amp;$K452)=0,"Yes","No")))</f>
        <v/>
      </c>
      <c r="Q452" s="15">
        <f>IF($C452="","",IF($L452="","",IF(AND($K452=1,$L452&lt;$J452,COUNTIFS(nrES_PID,$D452,nrES_Code,$F452,nrES_Att,2)=0),"Yes","No")))</f>
        <v/>
      </c>
      <c r="R452" s="15">
        <f>IF($C452="","",IF($L452="","",IF(AND($K452=2,$L452&lt;$J452,COUNTIFS(nrES_PID,$D452,nrES_Code,$F452,nrES_Att,1)&gt;0),"Yes","No")))</f>
        <v/>
      </c>
      <c r="S452" s="16" t="n"/>
      <c r="T452" s="17">
        <f>IF($Q452&lt;&gt;"Yes","",IF($S452="","(enter date)",_xlfn.LET(_xlpm.dn,IFERROR(_xlfn.XLOOKUP($S452,nrCDdate,nrCDnum),""),IF(_xlpm.dn="","(not a class day)",IFERROR(_xlfn.XLOOKUP(_xlpm.dn+cfgRetestClassDays,nrCDnum,nrCDdate),"")))))</f>
        <v/>
      </c>
      <c r="U452" s="15">
        <f>IF($Q452&lt;&gt;"Yes","",IF(COUNTIFS(nrES_PID,$D452,nrES_Code,$F452,nrES_Att,2)&gt;0,"Retested",IF(OR($T452="",NOT(ISNUMBER($T452))),"Pending",IF(TODAY()&gt;$T452,"OVERDUE","Due "&amp;TEXT($T452,"mm/dd")))))</f>
        <v/>
      </c>
      <c r="V452" s="14" t="n"/>
      <c r="W452" s="14" t="n"/>
    </row>
    <row r="453">
      <c r="B453" s="15">
        <f>IF($C453="","",$D453&amp;"-"&amp;$F453&amp;"-"&amp;$K453)</f>
        <v/>
      </c>
      <c r="C453" s="14" t="n"/>
      <c r="D453" s="15">
        <f>IF($C453="","",IFERROR(INDEX(rngCadetPIDs,MATCH($C453,rngCadetNames,0)),"?"))</f>
        <v/>
      </c>
      <c r="E453" s="15">
        <f>IF($D453="","",IFERROR(INDEX(nrCadetAgency,MATCH($D453,rngCadetPIDs,0)),""))</f>
        <v/>
      </c>
      <c r="F453" s="14" t="n"/>
      <c r="G453" s="15">
        <f>IF($F453="","",IFERROR(INDEX(rngEPname,MATCH($F453,rngEPcode,0)),"?"))</f>
        <v/>
      </c>
      <c r="H453" s="15">
        <f>IF($F453="","",IFERROR(INDEX(rngEPtype,MATCH($F453,rngEPcode,0)),"?"))</f>
        <v/>
      </c>
      <c r="I453" s="15">
        <f>IF($F453="","",IFERROR(INDEX(rngEPseq,MATCH($F453,rngEPcode,0)),""))</f>
        <v/>
      </c>
      <c r="J453" s="15">
        <f>IF($F453="","",IFERROR(INDEX(rngEPpass,MATCH($F453,rngEPcode,0)),cfgPassingScore))</f>
        <v/>
      </c>
      <c r="K453" s="14" t="n"/>
      <c r="L453" s="14" t="n"/>
      <c r="M453" s="15">
        <f>IF($C453="","",IF($L453="","",IF($K453=1,IF(COUNTIFS(nrES_PID,$D453,nrES_Code,$F453,nrES_Att,2)&gt;0,"",$L453),IF(COUNTIFS(nrES_PID,$D453,nrES_Code,$F453,nrES_Att,1)=0,$L453,IF($L453&gt;=$J453,cfgRetakeRecordedCap,SUMIFS(nrES_Raw,nrES_PID,$D453,nrES_Code,$F453,nrES_Att,1))))))</f>
        <v/>
      </c>
      <c r="N453" s="15">
        <f>IF($C453="","",IF($L453="","",IF($L453&gt;=$J453,"Yes","No")))</f>
        <v/>
      </c>
      <c r="O453" s="15">
        <f>IF($C453="","",IF($M453="","",IF($M453&gt;=$J453,"Yes","No")))</f>
        <v/>
      </c>
      <c r="P453" s="15">
        <f>IF($C453="","",IF($K453="","",IF(COUNTIFS(nrES_PID,$D453,nrES_Code,$F453,nrES_Att,"&gt;"&amp;$K453)=0,"Yes","No")))</f>
        <v/>
      </c>
      <c r="Q453" s="15">
        <f>IF($C453="","",IF($L453="","",IF(AND($K453=1,$L453&lt;$J453,COUNTIFS(nrES_PID,$D453,nrES_Code,$F453,nrES_Att,2)=0),"Yes","No")))</f>
        <v/>
      </c>
      <c r="R453" s="15">
        <f>IF($C453="","",IF($L453="","",IF(AND($K453=2,$L453&lt;$J453,COUNTIFS(nrES_PID,$D453,nrES_Code,$F453,nrES_Att,1)&gt;0),"Yes","No")))</f>
        <v/>
      </c>
      <c r="S453" s="16" t="n"/>
      <c r="T453" s="17">
        <f>IF($Q453&lt;&gt;"Yes","",IF($S453="","(enter date)",_xlfn.LET(_xlpm.dn,IFERROR(_xlfn.XLOOKUP($S453,nrCDdate,nrCDnum),""),IF(_xlpm.dn="","(not a class day)",IFERROR(_xlfn.XLOOKUP(_xlpm.dn+cfgRetestClassDays,nrCDnum,nrCDdate),"")))))</f>
        <v/>
      </c>
      <c r="U453" s="15">
        <f>IF($Q453&lt;&gt;"Yes","",IF(COUNTIFS(nrES_PID,$D453,nrES_Code,$F453,nrES_Att,2)&gt;0,"Retested",IF(OR($T453="",NOT(ISNUMBER($T453))),"Pending",IF(TODAY()&gt;$T453,"OVERDUE","Due "&amp;TEXT($T453,"mm/dd")))))</f>
        <v/>
      </c>
      <c r="V453" s="14" t="n"/>
      <c r="W453" s="14" t="n"/>
    </row>
    <row r="454">
      <c r="B454" s="15">
        <f>IF($C454="","",$D454&amp;"-"&amp;$F454&amp;"-"&amp;$K454)</f>
        <v/>
      </c>
      <c r="C454" s="14" t="n"/>
      <c r="D454" s="15">
        <f>IF($C454="","",IFERROR(INDEX(rngCadetPIDs,MATCH($C454,rngCadetNames,0)),"?"))</f>
        <v/>
      </c>
      <c r="E454" s="15">
        <f>IF($D454="","",IFERROR(INDEX(nrCadetAgency,MATCH($D454,rngCadetPIDs,0)),""))</f>
        <v/>
      </c>
      <c r="F454" s="14" t="n"/>
      <c r="G454" s="15">
        <f>IF($F454="","",IFERROR(INDEX(rngEPname,MATCH($F454,rngEPcode,0)),"?"))</f>
        <v/>
      </c>
      <c r="H454" s="15">
        <f>IF($F454="","",IFERROR(INDEX(rngEPtype,MATCH($F454,rngEPcode,0)),"?"))</f>
        <v/>
      </c>
      <c r="I454" s="15">
        <f>IF($F454="","",IFERROR(INDEX(rngEPseq,MATCH($F454,rngEPcode,0)),""))</f>
        <v/>
      </c>
      <c r="J454" s="15">
        <f>IF($F454="","",IFERROR(INDEX(rngEPpass,MATCH($F454,rngEPcode,0)),cfgPassingScore))</f>
        <v/>
      </c>
      <c r="K454" s="14" t="n"/>
      <c r="L454" s="14" t="n"/>
      <c r="M454" s="15">
        <f>IF($C454="","",IF($L454="","",IF($K454=1,IF(COUNTIFS(nrES_PID,$D454,nrES_Code,$F454,nrES_Att,2)&gt;0,"",$L454),IF(COUNTIFS(nrES_PID,$D454,nrES_Code,$F454,nrES_Att,1)=0,$L454,IF($L454&gt;=$J454,cfgRetakeRecordedCap,SUMIFS(nrES_Raw,nrES_PID,$D454,nrES_Code,$F454,nrES_Att,1))))))</f>
        <v/>
      </c>
      <c r="N454" s="15">
        <f>IF($C454="","",IF($L454="","",IF($L454&gt;=$J454,"Yes","No")))</f>
        <v/>
      </c>
      <c r="O454" s="15">
        <f>IF($C454="","",IF($M454="","",IF($M454&gt;=$J454,"Yes","No")))</f>
        <v/>
      </c>
      <c r="P454" s="15">
        <f>IF($C454="","",IF($K454="","",IF(COUNTIFS(nrES_PID,$D454,nrES_Code,$F454,nrES_Att,"&gt;"&amp;$K454)=0,"Yes","No")))</f>
        <v/>
      </c>
      <c r="Q454" s="15">
        <f>IF($C454="","",IF($L454="","",IF(AND($K454=1,$L454&lt;$J454,COUNTIFS(nrES_PID,$D454,nrES_Code,$F454,nrES_Att,2)=0),"Yes","No")))</f>
        <v/>
      </c>
      <c r="R454" s="15">
        <f>IF($C454="","",IF($L454="","",IF(AND($K454=2,$L454&lt;$J454,COUNTIFS(nrES_PID,$D454,nrES_Code,$F454,nrES_Att,1)&gt;0),"Yes","No")))</f>
        <v/>
      </c>
      <c r="S454" s="16" t="n"/>
      <c r="T454" s="17">
        <f>IF($Q454&lt;&gt;"Yes","",IF($S454="","(enter date)",_xlfn.LET(_xlpm.dn,IFERROR(_xlfn.XLOOKUP($S454,nrCDdate,nrCDnum),""),IF(_xlpm.dn="","(not a class day)",IFERROR(_xlfn.XLOOKUP(_xlpm.dn+cfgRetestClassDays,nrCDnum,nrCDdate),"")))))</f>
        <v/>
      </c>
      <c r="U454" s="15">
        <f>IF($Q454&lt;&gt;"Yes","",IF(COUNTIFS(nrES_PID,$D454,nrES_Code,$F454,nrES_Att,2)&gt;0,"Retested",IF(OR($T454="",NOT(ISNUMBER($T454))),"Pending",IF(TODAY()&gt;$T454,"OVERDUE","Due "&amp;TEXT($T454,"mm/dd")))))</f>
        <v/>
      </c>
      <c r="V454" s="14" t="n"/>
      <c r="W454" s="14" t="n"/>
    </row>
    <row r="455">
      <c r="B455" s="15">
        <f>IF($C455="","",$D455&amp;"-"&amp;$F455&amp;"-"&amp;$K455)</f>
        <v/>
      </c>
      <c r="C455" s="14" t="n"/>
      <c r="D455" s="15">
        <f>IF($C455="","",IFERROR(INDEX(rngCadetPIDs,MATCH($C455,rngCadetNames,0)),"?"))</f>
        <v/>
      </c>
      <c r="E455" s="15">
        <f>IF($D455="","",IFERROR(INDEX(nrCadetAgency,MATCH($D455,rngCadetPIDs,0)),""))</f>
        <v/>
      </c>
      <c r="F455" s="14" t="n"/>
      <c r="G455" s="15">
        <f>IF($F455="","",IFERROR(INDEX(rngEPname,MATCH($F455,rngEPcode,0)),"?"))</f>
        <v/>
      </c>
      <c r="H455" s="15">
        <f>IF($F455="","",IFERROR(INDEX(rngEPtype,MATCH($F455,rngEPcode,0)),"?"))</f>
        <v/>
      </c>
      <c r="I455" s="15">
        <f>IF($F455="","",IFERROR(INDEX(rngEPseq,MATCH($F455,rngEPcode,0)),""))</f>
        <v/>
      </c>
      <c r="J455" s="15">
        <f>IF($F455="","",IFERROR(INDEX(rngEPpass,MATCH($F455,rngEPcode,0)),cfgPassingScore))</f>
        <v/>
      </c>
      <c r="K455" s="14" t="n"/>
      <c r="L455" s="14" t="n"/>
      <c r="M455" s="15">
        <f>IF($C455="","",IF($L455="","",IF($K455=1,IF(COUNTIFS(nrES_PID,$D455,nrES_Code,$F455,nrES_Att,2)&gt;0,"",$L455),IF(COUNTIFS(nrES_PID,$D455,nrES_Code,$F455,nrES_Att,1)=0,$L455,IF($L455&gt;=$J455,cfgRetakeRecordedCap,SUMIFS(nrES_Raw,nrES_PID,$D455,nrES_Code,$F455,nrES_Att,1))))))</f>
        <v/>
      </c>
      <c r="N455" s="15">
        <f>IF($C455="","",IF($L455="","",IF($L455&gt;=$J455,"Yes","No")))</f>
        <v/>
      </c>
      <c r="O455" s="15">
        <f>IF($C455="","",IF($M455="","",IF($M455&gt;=$J455,"Yes","No")))</f>
        <v/>
      </c>
      <c r="P455" s="15">
        <f>IF($C455="","",IF($K455="","",IF(COUNTIFS(nrES_PID,$D455,nrES_Code,$F455,nrES_Att,"&gt;"&amp;$K455)=0,"Yes","No")))</f>
        <v/>
      </c>
      <c r="Q455" s="15">
        <f>IF($C455="","",IF($L455="","",IF(AND($K455=1,$L455&lt;$J455,COUNTIFS(nrES_PID,$D455,nrES_Code,$F455,nrES_Att,2)=0),"Yes","No")))</f>
        <v/>
      </c>
      <c r="R455" s="15">
        <f>IF($C455="","",IF($L455="","",IF(AND($K455=2,$L455&lt;$J455,COUNTIFS(nrES_PID,$D455,nrES_Code,$F455,nrES_Att,1)&gt;0),"Yes","No")))</f>
        <v/>
      </c>
      <c r="S455" s="16" t="n"/>
      <c r="T455" s="17">
        <f>IF($Q455&lt;&gt;"Yes","",IF($S455="","(enter date)",_xlfn.LET(_xlpm.dn,IFERROR(_xlfn.XLOOKUP($S455,nrCDdate,nrCDnum),""),IF(_xlpm.dn="","(not a class day)",IFERROR(_xlfn.XLOOKUP(_xlpm.dn+cfgRetestClassDays,nrCDnum,nrCDdate),"")))))</f>
        <v/>
      </c>
      <c r="U455" s="15">
        <f>IF($Q455&lt;&gt;"Yes","",IF(COUNTIFS(nrES_PID,$D455,nrES_Code,$F455,nrES_Att,2)&gt;0,"Retested",IF(OR($T455="",NOT(ISNUMBER($T455))),"Pending",IF(TODAY()&gt;$T455,"OVERDUE","Due "&amp;TEXT($T455,"mm/dd")))))</f>
        <v/>
      </c>
      <c r="V455" s="14" t="n"/>
      <c r="W455" s="14" t="n"/>
    </row>
    <row r="456">
      <c r="B456" s="15">
        <f>IF($C456="","",$D456&amp;"-"&amp;$F456&amp;"-"&amp;$K456)</f>
        <v/>
      </c>
      <c r="C456" s="14" t="n"/>
      <c r="D456" s="15">
        <f>IF($C456="","",IFERROR(INDEX(rngCadetPIDs,MATCH($C456,rngCadetNames,0)),"?"))</f>
        <v/>
      </c>
      <c r="E456" s="15">
        <f>IF($D456="","",IFERROR(INDEX(nrCadetAgency,MATCH($D456,rngCadetPIDs,0)),""))</f>
        <v/>
      </c>
      <c r="F456" s="14" t="n"/>
      <c r="G456" s="15">
        <f>IF($F456="","",IFERROR(INDEX(rngEPname,MATCH($F456,rngEPcode,0)),"?"))</f>
        <v/>
      </c>
      <c r="H456" s="15">
        <f>IF($F456="","",IFERROR(INDEX(rngEPtype,MATCH($F456,rngEPcode,0)),"?"))</f>
        <v/>
      </c>
      <c r="I456" s="15">
        <f>IF($F456="","",IFERROR(INDEX(rngEPseq,MATCH($F456,rngEPcode,0)),""))</f>
        <v/>
      </c>
      <c r="J456" s="15">
        <f>IF($F456="","",IFERROR(INDEX(rngEPpass,MATCH($F456,rngEPcode,0)),cfgPassingScore))</f>
        <v/>
      </c>
      <c r="K456" s="14" t="n"/>
      <c r="L456" s="14" t="n"/>
      <c r="M456" s="15">
        <f>IF($C456="","",IF($L456="","",IF($K456=1,IF(COUNTIFS(nrES_PID,$D456,nrES_Code,$F456,nrES_Att,2)&gt;0,"",$L456),IF(COUNTIFS(nrES_PID,$D456,nrES_Code,$F456,nrES_Att,1)=0,$L456,IF($L456&gt;=$J456,cfgRetakeRecordedCap,SUMIFS(nrES_Raw,nrES_PID,$D456,nrES_Code,$F456,nrES_Att,1))))))</f>
        <v/>
      </c>
      <c r="N456" s="15">
        <f>IF($C456="","",IF($L456="","",IF($L456&gt;=$J456,"Yes","No")))</f>
        <v/>
      </c>
      <c r="O456" s="15">
        <f>IF($C456="","",IF($M456="","",IF($M456&gt;=$J456,"Yes","No")))</f>
        <v/>
      </c>
      <c r="P456" s="15">
        <f>IF($C456="","",IF($K456="","",IF(COUNTIFS(nrES_PID,$D456,nrES_Code,$F456,nrES_Att,"&gt;"&amp;$K456)=0,"Yes","No")))</f>
        <v/>
      </c>
      <c r="Q456" s="15">
        <f>IF($C456="","",IF($L456="","",IF(AND($K456=1,$L456&lt;$J456,COUNTIFS(nrES_PID,$D456,nrES_Code,$F456,nrES_Att,2)=0),"Yes","No")))</f>
        <v/>
      </c>
      <c r="R456" s="15">
        <f>IF($C456="","",IF($L456="","",IF(AND($K456=2,$L456&lt;$J456,COUNTIFS(nrES_PID,$D456,nrES_Code,$F456,nrES_Att,1)&gt;0),"Yes","No")))</f>
        <v/>
      </c>
      <c r="S456" s="16" t="n"/>
      <c r="T456" s="17">
        <f>IF($Q456&lt;&gt;"Yes","",IF($S456="","(enter date)",_xlfn.LET(_xlpm.dn,IFERROR(_xlfn.XLOOKUP($S456,nrCDdate,nrCDnum),""),IF(_xlpm.dn="","(not a class day)",IFERROR(_xlfn.XLOOKUP(_xlpm.dn+cfgRetestClassDays,nrCDnum,nrCDdate),"")))))</f>
        <v/>
      </c>
      <c r="U456" s="15">
        <f>IF($Q456&lt;&gt;"Yes","",IF(COUNTIFS(nrES_PID,$D456,nrES_Code,$F456,nrES_Att,2)&gt;0,"Retested",IF(OR($T456="",NOT(ISNUMBER($T456))),"Pending",IF(TODAY()&gt;$T456,"OVERDUE","Due "&amp;TEXT($T456,"mm/dd")))))</f>
        <v/>
      </c>
      <c r="V456" s="14" t="n"/>
      <c r="W456" s="14" t="n"/>
    </row>
    <row r="457">
      <c r="B457" s="15">
        <f>IF($C457="","",$D457&amp;"-"&amp;$F457&amp;"-"&amp;$K457)</f>
        <v/>
      </c>
      <c r="C457" s="14" t="n"/>
      <c r="D457" s="15">
        <f>IF($C457="","",IFERROR(INDEX(rngCadetPIDs,MATCH($C457,rngCadetNames,0)),"?"))</f>
        <v/>
      </c>
      <c r="E457" s="15">
        <f>IF($D457="","",IFERROR(INDEX(nrCadetAgency,MATCH($D457,rngCadetPIDs,0)),""))</f>
        <v/>
      </c>
      <c r="F457" s="14" t="n"/>
      <c r="G457" s="15">
        <f>IF($F457="","",IFERROR(INDEX(rngEPname,MATCH($F457,rngEPcode,0)),"?"))</f>
        <v/>
      </c>
      <c r="H457" s="15">
        <f>IF($F457="","",IFERROR(INDEX(rngEPtype,MATCH($F457,rngEPcode,0)),"?"))</f>
        <v/>
      </c>
      <c r="I457" s="15">
        <f>IF($F457="","",IFERROR(INDEX(rngEPseq,MATCH($F457,rngEPcode,0)),""))</f>
        <v/>
      </c>
      <c r="J457" s="15">
        <f>IF($F457="","",IFERROR(INDEX(rngEPpass,MATCH($F457,rngEPcode,0)),cfgPassingScore))</f>
        <v/>
      </c>
      <c r="K457" s="14" t="n"/>
      <c r="L457" s="14" t="n"/>
      <c r="M457" s="15">
        <f>IF($C457="","",IF($L457="","",IF($K457=1,IF(COUNTIFS(nrES_PID,$D457,nrES_Code,$F457,nrES_Att,2)&gt;0,"",$L457),IF(COUNTIFS(nrES_PID,$D457,nrES_Code,$F457,nrES_Att,1)=0,$L457,IF($L457&gt;=$J457,cfgRetakeRecordedCap,SUMIFS(nrES_Raw,nrES_PID,$D457,nrES_Code,$F457,nrES_Att,1))))))</f>
        <v/>
      </c>
      <c r="N457" s="15">
        <f>IF($C457="","",IF($L457="","",IF($L457&gt;=$J457,"Yes","No")))</f>
        <v/>
      </c>
      <c r="O457" s="15">
        <f>IF($C457="","",IF($M457="","",IF($M457&gt;=$J457,"Yes","No")))</f>
        <v/>
      </c>
      <c r="P457" s="15">
        <f>IF($C457="","",IF($K457="","",IF(COUNTIFS(nrES_PID,$D457,nrES_Code,$F457,nrES_Att,"&gt;"&amp;$K457)=0,"Yes","No")))</f>
        <v/>
      </c>
      <c r="Q457" s="15">
        <f>IF($C457="","",IF($L457="","",IF(AND($K457=1,$L457&lt;$J457,COUNTIFS(nrES_PID,$D457,nrES_Code,$F457,nrES_Att,2)=0),"Yes","No")))</f>
        <v/>
      </c>
      <c r="R457" s="15">
        <f>IF($C457="","",IF($L457="","",IF(AND($K457=2,$L457&lt;$J457,COUNTIFS(nrES_PID,$D457,nrES_Code,$F457,nrES_Att,1)&gt;0),"Yes","No")))</f>
        <v/>
      </c>
      <c r="S457" s="16" t="n"/>
      <c r="T457" s="17">
        <f>IF($Q457&lt;&gt;"Yes","",IF($S457="","(enter date)",_xlfn.LET(_xlpm.dn,IFERROR(_xlfn.XLOOKUP($S457,nrCDdate,nrCDnum),""),IF(_xlpm.dn="","(not a class day)",IFERROR(_xlfn.XLOOKUP(_xlpm.dn+cfgRetestClassDays,nrCDnum,nrCDdate),"")))))</f>
        <v/>
      </c>
      <c r="U457" s="15">
        <f>IF($Q457&lt;&gt;"Yes","",IF(COUNTIFS(nrES_PID,$D457,nrES_Code,$F457,nrES_Att,2)&gt;0,"Retested",IF(OR($T457="",NOT(ISNUMBER($T457))),"Pending",IF(TODAY()&gt;$T457,"OVERDUE","Due "&amp;TEXT($T457,"mm/dd")))))</f>
        <v/>
      </c>
      <c r="V457" s="14" t="n"/>
      <c r="W457" s="14" t="n"/>
    </row>
    <row r="458">
      <c r="B458" s="15">
        <f>IF($C458="","",$D458&amp;"-"&amp;$F458&amp;"-"&amp;$K458)</f>
        <v/>
      </c>
      <c r="C458" s="14" t="n"/>
      <c r="D458" s="15">
        <f>IF($C458="","",IFERROR(INDEX(rngCadetPIDs,MATCH($C458,rngCadetNames,0)),"?"))</f>
        <v/>
      </c>
      <c r="E458" s="15">
        <f>IF($D458="","",IFERROR(INDEX(nrCadetAgency,MATCH($D458,rngCadetPIDs,0)),""))</f>
        <v/>
      </c>
      <c r="F458" s="14" t="n"/>
      <c r="G458" s="15">
        <f>IF($F458="","",IFERROR(INDEX(rngEPname,MATCH($F458,rngEPcode,0)),"?"))</f>
        <v/>
      </c>
      <c r="H458" s="15">
        <f>IF($F458="","",IFERROR(INDEX(rngEPtype,MATCH($F458,rngEPcode,0)),"?"))</f>
        <v/>
      </c>
      <c r="I458" s="15">
        <f>IF($F458="","",IFERROR(INDEX(rngEPseq,MATCH($F458,rngEPcode,0)),""))</f>
        <v/>
      </c>
      <c r="J458" s="15">
        <f>IF($F458="","",IFERROR(INDEX(rngEPpass,MATCH($F458,rngEPcode,0)),cfgPassingScore))</f>
        <v/>
      </c>
      <c r="K458" s="14" t="n"/>
      <c r="L458" s="14" t="n"/>
      <c r="M458" s="15">
        <f>IF($C458="","",IF($L458="","",IF($K458=1,IF(COUNTIFS(nrES_PID,$D458,nrES_Code,$F458,nrES_Att,2)&gt;0,"",$L458),IF(COUNTIFS(nrES_PID,$D458,nrES_Code,$F458,nrES_Att,1)=0,$L458,IF($L458&gt;=$J458,cfgRetakeRecordedCap,SUMIFS(nrES_Raw,nrES_PID,$D458,nrES_Code,$F458,nrES_Att,1))))))</f>
        <v/>
      </c>
      <c r="N458" s="15">
        <f>IF($C458="","",IF($L458="","",IF($L458&gt;=$J458,"Yes","No")))</f>
        <v/>
      </c>
      <c r="O458" s="15">
        <f>IF($C458="","",IF($M458="","",IF($M458&gt;=$J458,"Yes","No")))</f>
        <v/>
      </c>
      <c r="P458" s="15">
        <f>IF($C458="","",IF($K458="","",IF(COUNTIFS(nrES_PID,$D458,nrES_Code,$F458,nrES_Att,"&gt;"&amp;$K458)=0,"Yes","No")))</f>
        <v/>
      </c>
      <c r="Q458" s="15">
        <f>IF($C458="","",IF($L458="","",IF(AND($K458=1,$L458&lt;$J458,COUNTIFS(nrES_PID,$D458,nrES_Code,$F458,nrES_Att,2)=0),"Yes","No")))</f>
        <v/>
      </c>
      <c r="R458" s="15">
        <f>IF($C458="","",IF($L458="","",IF(AND($K458=2,$L458&lt;$J458,COUNTIFS(nrES_PID,$D458,nrES_Code,$F458,nrES_Att,1)&gt;0),"Yes","No")))</f>
        <v/>
      </c>
      <c r="S458" s="16" t="n"/>
      <c r="T458" s="17">
        <f>IF($Q458&lt;&gt;"Yes","",IF($S458="","(enter date)",_xlfn.LET(_xlpm.dn,IFERROR(_xlfn.XLOOKUP($S458,nrCDdate,nrCDnum),""),IF(_xlpm.dn="","(not a class day)",IFERROR(_xlfn.XLOOKUP(_xlpm.dn+cfgRetestClassDays,nrCDnum,nrCDdate),"")))))</f>
        <v/>
      </c>
      <c r="U458" s="15">
        <f>IF($Q458&lt;&gt;"Yes","",IF(COUNTIFS(nrES_PID,$D458,nrES_Code,$F458,nrES_Att,2)&gt;0,"Retested",IF(OR($T458="",NOT(ISNUMBER($T458))),"Pending",IF(TODAY()&gt;$T458,"OVERDUE","Due "&amp;TEXT($T458,"mm/dd")))))</f>
        <v/>
      </c>
      <c r="V458" s="14" t="n"/>
      <c r="W458" s="14" t="n"/>
    </row>
    <row r="459">
      <c r="B459" s="15">
        <f>IF($C459="","",$D459&amp;"-"&amp;$F459&amp;"-"&amp;$K459)</f>
        <v/>
      </c>
      <c r="C459" s="14" t="n"/>
      <c r="D459" s="15">
        <f>IF($C459="","",IFERROR(INDEX(rngCadetPIDs,MATCH($C459,rngCadetNames,0)),"?"))</f>
        <v/>
      </c>
      <c r="E459" s="15">
        <f>IF($D459="","",IFERROR(INDEX(nrCadetAgency,MATCH($D459,rngCadetPIDs,0)),""))</f>
        <v/>
      </c>
      <c r="F459" s="14" t="n"/>
      <c r="G459" s="15">
        <f>IF($F459="","",IFERROR(INDEX(rngEPname,MATCH($F459,rngEPcode,0)),"?"))</f>
        <v/>
      </c>
      <c r="H459" s="15">
        <f>IF($F459="","",IFERROR(INDEX(rngEPtype,MATCH($F459,rngEPcode,0)),"?"))</f>
        <v/>
      </c>
      <c r="I459" s="15">
        <f>IF($F459="","",IFERROR(INDEX(rngEPseq,MATCH($F459,rngEPcode,0)),""))</f>
        <v/>
      </c>
      <c r="J459" s="15">
        <f>IF($F459="","",IFERROR(INDEX(rngEPpass,MATCH($F459,rngEPcode,0)),cfgPassingScore))</f>
        <v/>
      </c>
      <c r="K459" s="14" t="n"/>
      <c r="L459" s="14" t="n"/>
      <c r="M459" s="15">
        <f>IF($C459="","",IF($L459="","",IF($K459=1,IF(COUNTIFS(nrES_PID,$D459,nrES_Code,$F459,nrES_Att,2)&gt;0,"",$L459),IF(COUNTIFS(nrES_PID,$D459,nrES_Code,$F459,nrES_Att,1)=0,$L459,IF($L459&gt;=$J459,cfgRetakeRecordedCap,SUMIFS(nrES_Raw,nrES_PID,$D459,nrES_Code,$F459,nrES_Att,1))))))</f>
        <v/>
      </c>
      <c r="N459" s="15">
        <f>IF($C459="","",IF($L459="","",IF($L459&gt;=$J459,"Yes","No")))</f>
        <v/>
      </c>
      <c r="O459" s="15">
        <f>IF($C459="","",IF($M459="","",IF($M459&gt;=$J459,"Yes","No")))</f>
        <v/>
      </c>
      <c r="P459" s="15">
        <f>IF($C459="","",IF($K459="","",IF(COUNTIFS(nrES_PID,$D459,nrES_Code,$F459,nrES_Att,"&gt;"&amp;$K459)=0,"Yes","No")))</f>
        <v/>
      </c>
      <c r="Q459" s="15">
        <f>IF($C459="","",IF($L459="","",IF(AND($K459=1,$L459&lt;$J459,COUNTIFS(nrES_PID,$D459,nrES_Code,$F459,nrES_Att,2)=0),"Yes","No")))</f>
        <v/>
      </c>
      <c r="R459" s="15">
        <f>IF($C459="","",IF($L459="","",IF(AND($K459=2,$L459&lt;$J459,COUNTIFS(nrES_PID,$D459,nrES_Code,$F459,nrES_Att,1)&gt;0),"Yes","No")))</f>
        <v/>
      </c>
      <c r="S459" s="16" t="n"/>
      <c r="T459" s="17">
        <f>IF($Q459&lt;&gt;"Yes","",IF($S459="","(enter date)",_xlfn.LET(_xlpm.dn,IFERROR(_xlfn.XLOOKUP($S459,nrCDdate,nrCDnum),""),IF(_xlpm.dn="","(not a class day)",IFERROR(_xlfn.XLOOKUP(_xlpm.dn+cfgRetestClassDays,nrCDnum,nrCDdate),"")))))</f>
        <v/>
      </c>
      <c r="U459" s="15">
        <f>IF($Q459&lt;&gt;"Yes","",IF(COUNTIFS(nrES_PID,$D459,nrES_Code,$F459,nrES_Att,2)&gt;0,"Retested",IF(OR($T459="",NOT(ISNUMBER($T459))),"Pending",IF(TODAY()&gt;$T459,"OVERDUE","Due "&amp;TEXT($T459,"mm/dd")))))</f>
        <v/>
      </c>
      <c r="V459" s="14" t="n"/>
      <c r="W459" s="14" t="n"/>
    </row>
    <row r="460">
      <c r="B460" s="15">
        <f>IF($C460="","",$D460&amp;"-"&amp;$F460&amp;"-"&amp;$K460)</f>
        <v/>
      </c>
      <c r="C460" s="14" t="n"/>
      <c r="D460" s="15">
        <f>IF($C460="","",IFERROR(INDEX(rngCadetPIDs,MATCH($C460,rngCadetNames,0)),"?"))</f>
        <v/>
      </c>
      <c r="E460" s="15">
        <f>IF($D460="","",IFERROR(INDEX(nrCadetAgency,MATCH($D460,rngCadetPIDs,0)),""))</f>
        <v/>
      </c>
      <c r="F460" s="14" t="n"/>
      <c r="G460" s="15">
        <f>IF($F460="","",IFERROR(INDEX(rngEPname,MATCH($F460,rngEPcode,0)),"?"))</f>
        <v/>
      </c>
      <c r="H460" s="15">
        <f>IF($F460="","",IFERROR(INDEX(rngEPtype,MATCH($F460,rngEPcode,0)),"?"))</f>
        <v/>
      </c>
      <c r="I460" s="15">
        <f>IF($F460="","",IFERROR(INDEX(rngEPseq,MATCH($F460,rngEPcode,0)),""))</f>
        <v/>
      </c>
      <c r="J460" s="15">
        <f>IF($F460="","",IFERROR(INDEX(rngEPpass,MATCH($F460,rngEPcode,0)),cfgPassingScore))</f>
        <v/>
      </c>
      <c r="K460" s="14" t="n"/>
      <c r="L460" s="14" t="n"/>
      <c r="M460" s="15">
        <f>IF($C460="","",IF($L460="","",IF($K460=1,IF(COUNTIFS(nrES_PID,$D460,nrES_Code,$F460,nrES_Att,2)&gt;0,"",$L460),IF(COUNTIFS(nrES_PID,$D460,nrES_Code,$F460,nrES_Att,1)=0,$L460,IF($L460&gt;=$J460,cfgRetakeRecordedCap,SUMIFS(nrES_Raw,nrES_PID,$D460,nrES_Code,$F460,nrES_Att,1))))))</f>
        <v/>
      </c>
      <c r="N460" s="15">
        <f>IF($C460="","",IF($L460="","",IF($L460&gt;=$J460,"Yes","No")))</f>
        <v/>
      </c>
      <c r="O460" s="15">
        <f>IF($C460="","",IF($M460="","",IF($M460&gt;=$J460,"Yes","No")))</f>
        <v/>
      </c>
      <c r="P460" s="15">
        <f>IF($C460="","",IF($K460="","",IF(COUNTIFS(nrES_PID,$D460,nrES_Code,$F460,nrES_Att,"&gt;"&amp;$K460)=0,"Yes","No")))</f>
        <v/>
      </c>
      <c r="Q460" s="15">
        <f>IF($C460="","",IF($L460="","",IF(AND($K460=1,$L460&lt;$J460,COUNTIFS(nrES_PID,$D460,nrES_Code,$F460,nrES_Att,2)=0),"Yes","No")))</f>
        <v/>
      </c>
      <c r="R460" s="15">
        <f>IF($C460="","",IF($L460="","",IF(AND($K460=2,$L460&lt;$J460,COUNTIFS(nrES_PID,$D460,nrES_Code,$F460,nrES_Att,1)&gt;0),"Yes","No")))</f>
        <v/>
      </c>
      <c r="S460" s="16" t="n"/>
      <c r="T460" s="17">
        <f>IF($Q460&lt;&gt;"Yes","",IF($S460="","(enter date)",_xlfn.LET(_xlpm.dn,IFERROR(_xlfn.XLOOKUP($S460,nrCDdate,nrCDnum),""),IF(_xlpm.dn="","(not a class day)",IFERROR(_xlfn.XLOOKUP(_xlpm.dn+cfgRetestClassDays,nrCDnum,nrCDdate),"")))))</f>
        <v/>
      </c>
      <c r="U460" s="15">
        <f>IF($Q460&lt;&gt;"Yes","",IF(COUNTIFS(nrES_PID,$D460,nrES_Code,$F460,nrES_Att,2)&gt;0,"Retested",IF(OR($T460="",NOT(ISNUMBER($T460))),"Pending",IF(TODAY()&gt;$T460,"OVERDUE","Due "&amp;TEXT($T460,"mm/dd")))))</f>
        <v/>
      </c>
      <c r="V460" s="14" t="n"/>
      <c r="W460" s="14" t="n"/>
    </row>
    <row r="461">
      <c r="B461" s="15">
        <f>IF($C461="","",$D461&amp;"-"&amp;$F461&amp;"-"&amp;$K461)</f>
        <v/>
      </c>
      <c r="C461" s="14" t="n"/>
      <c r="D461" s="15">
        <f>IF($C461="","",IFERROR(INDEX(rngCadetPIDs,MATCH($C461,rngCadetNames,0)),"?"))</f>
        <v/>
      </c>
      <c r="E461" s="15">
        <f>IF($D461="","",IFERROR(INDEX(nrCadetAgency,MATCH($D461,rngCadetPIDs,0)),""))</f>
        <v/>
      </c>
      <c r="F461" s="14" t="n"/>
      <c r="G461" s="15">
        <f>IF($F461="","",IFERROR(INDEX(rngEPname,MATCH($F461,rngEPcode,0)),"?"))</f>
        <v/>
      </c>
      <c r="H461" s="15">
        <f>IF($F461="","",IFERROR(INDEX(rngEPtype,MATCH($F461,rngEPcode,0)),"?"))</f>
        <v/>
      </c>
      <c r="I461" s="15">
        <f>IF($F461="","",IFERROR(INDEX(rngEPseq,MATCH($F461,rngEPcode,0)),""))</f>
        <v/>
      </c>
      <c r="J461" s="15">
        <f>IF($F461="","",IFERROR(INDEX(rngEPpass,MATCH($F461,rngEPcode,0)),cfgPassingScore))</f>
        <v/>
      </c>
      <c r="K461" s="14" t="n"/>
      <c r="L461" s="14" t="n"/>
      <c r="M461" s="15">
        <f>IF($C461="","",IF($L461="","",IF($K461=1,IF(COUNTIFS(nrES_PID,$D461,nrES_Code,$F461,nrES_Att,2)&gt;0,"",$L461),IF(COUNTIFS(nrES_PID,$D461,nrES_Code,$F461,nrES_Att,1)=0,$L461,IF($L461&gt;=$J461,cfgRetakeRecordedCap,SUMIFS(nrES_Raw,nrES_PID,$D461,nrES_Code,$F461,nrES_Att,1))))))</f>
        <v/>
      </c>
      <c r="N461" s="15">
        <f>IF($C461="","",IF($L461="","",IF($L461&gt;=$J461,"Yes","No")))</f>
        <v/>
      </c>
      <c r="O461" s="15">
        <f>IF($C461="","",IF($M461="","",IF($M461&gt;=$J461,"Yes","No")))</f>
        <v/>
      </c>
      <c r="P461" s="15">
        <f>IF($C461="","",IF($K461="","",IF(COUNTIFS(nrES_PID,$D461,nrES_Code,$F461,nrES_Att,"&gt;"&amp;$K461)=0,"Yes","No")))</f>
        <v/>
      </c>
      <c r="Q461" s="15">
        <f>IF($C461="","",IF($L461="","",IF(AND($K461=1,$L461&lt;$J461,COUNTIFS(nrES_PID,$D461,nrES_Code,$F461,nrES_Att,2)=0),"Yes","No")))</f>
        <v/>
      </c>
      <c r="R461" s="15">
        <f>IF($C461="","",IF($L461="","",IF(AND($K461=2,$L461&lt;$J461,COUNTIFS(nrES_PID,$D461,nrES_Code,$F461,nrES_Att,1)&gt;0),"Yes","No")))</f>
        <v/>
      </c>
      <c r="S461" s="16" t="n"/>
      <c r="T461" s="17">
        <f>IF($Q461&lt;&gt;"Yes","",IF($S461="","(enter date)",_xlfn.LET(_xlpm.dn,IFERROR(_xlfn.XLOOKUP($S461,nrCDdate,nrCDnum),""),IF(_xlpm.dn="","(not a class day)",IFERROR(_xlfn.XLOOKUP(_xlpm.dn+cfgRetestClassDays,nrCDnum,nrCDdate),"")))))</f>
        <v/>
      </c>
      <c r="U461" s="15">
        <f>IF($Q461&lt;&gt;"Yes","",IF(COUNTIFS(nrES_PID,$D461,nrES_Code,$F461,nrES_Att,2)&gt;0,"Retested",IF(OR($T461="",NOT(ISNUMBER($T461))),"Pending",IF(TODAY()&gt;$T461,"OVERDUE","Due "&amp;TEXT($T461,"mm/dd")))))</f>
        <v/>
      </c>
      <c r="V461" s="14" t="n"/>
      <c r="W461" s="14" t="n"/>
    </row>
    <row r="462">
      <c r="B462" s="15">
        <f>IF($C462="","",$D462&amp;"-"&amp;$F462&amp;"-"&amp;$K462)</f>
        <v/>
      </c>
      <c r="C462" s="14" t="n"/>
      <c r="D462" s="15">
        <f>IF($C462="","",IFERROR(INDEX(rngCadetPIDs,MATCH($C462,rngCadetNames,0)),"?"))</f>
        <v/>
      </c>
      <c r="E462" s="15">
        <f>IF($D462="","",IFERROR(INDEX(nrCadetAgency,MATCH($D462,rngCadetPIDs,0)),""))</f>
        <v/>
      </c>
      <c r="F462" s="14" t="n"/>
      <c r="G462" s="15">
        <f>IF($F462="","",IFERROR(INDEX(rngEPname,MATCH($F462,rngEPcode,0)),"?"))</f>
        <v/>
      </c>
      <c r="H462" s="15">
        <f>IF($F462="","",IFERROR(INDEX(rngEPtype,MATCH($F462,rngEPcode,0)),"?"))</f>
        <v/>
      </c>
      <c r="I462" s="15">
        <f>IF($F462="","",IFERROR(INDEX(rngEPseq,MATCH($F462,rngEPcode,0)),""))</f>
        <v/>
      </c>
      <c r="J462" s="15">
        <f>IF($F462="","",IFERROR(INDEX(rngEPpass,MATCH($F462,rngEPcode,0)),cfgPassingScore))</f>
        <v/>
      </c>
      <c r="K462" s="14" t="n"/>
      <c r="L462" s="14" t="n"/>
      <c r="M462" s="15">
        <f>IF($C462="","",IF($L462="","",IF($K462=1,IF(COUNTIFS(nrES_PID,$D462,nrES_Code,$F462,nrES_Att,2)&gt;0,"",$L462),IF(COUNTIFS(nrES_PID,$D462,nrES_Code,$F462,nrES_Att,1)=0,$L462,IF($L462&gt;=$J462,cfgRetakeRecordedCap,SUMIFS(nrES_Raw,nrES_PID,$D462,nrES_Code,$F462,nrES_Att,1))))))</f>
        <v/>
      </c>
      <c r="N462" s="15">
        <f>IF($C462="","",IF($L462="","",IF($L462&gt;=$J462,"Yes","No")))</f>
        <v/>
      </c>
      <c r="O462" s="15">
        <f>IF($C462="","",IF($M462="","",IF($M462&gt;=$J462,"Yes","No")))</f>
        <v/>
      </c>
      <c r="P462" s="15">
        <f>IF($C462="","",IF($K462="","",IF(COUNTIFS(nrES_PID,$D462,nrES_Code,$F462,nrES_Att,"&gt;"&amp;$K462)=0,"Yes","No")))</f>
        <v/>
      </c>
      <c r="Q462" s="15">
        <f>IF($C462="","",IF($L462="","",IF(AND($K462=1,$L462&lt;$J462,COUNTIFS(nrES_PID,$D462,nrES_Code,$F462,nrES_Att,2)=0),"Yes","No")))</f>
        <v/>
      </c>
      <c r="R462" s="15">
        <f>IF($C462="","",IF($L462="","",IF(AND($K462=2,$L462&lt;$J462,COUNTIFS(nrES_PID,$D462,nrES_Code,$F462,nrES_Att,1)&gt;0),"Yes","No")))</f>
        <v/>
      </c>
      <c r="S462" s="16" t="n"/>
      <c r="T462" s="17">
        <f>IF($Q462&lt;&gt;"Yes","",IF($S462="","(enter date)",_xlfn.LET(_xlpm.dn,IFERROR(_xlfn.XLOOKUP($S462,nrCDdate,nrCDnum),""),IF(_xlpm.dn="","(not a class day)",IFERROR(_xlfn.XLOOKUP(_xlpm.dn+cfgRetestClassDays,nrCDnum,nrCDdate),"")))))</f>
        <v/>
      </c>
      <c r="U462" s="15">
        <f>IF($Q462&lt;&gt;"Yes","",IF(COUNTIFS(nrES_PID,$D462,nrES_Code,$F462,nrES_Att,2)&gt;0,"Retested",IF(OR($T462="",NOT(ISNUMBER($T462))),"Pending",IF(TODAY()&gt;$T462,"OVERDUE","Due "&amp;TEXT($T462,"mm/dd")))))</f>
        <v/>
      </c>
      <c r="V462" s="14" t="n"/>
      <c r="W462" s="14" t="n"/>
    </row>
    <row r="463">
      <c r="B463" s="15">
        <f>IF($C463="","",$D463&amp;"-"&amp;$F463&amp;"-"&amp;$K463)</f>
        <v/>
      </c>
      <c r="C463" s="14" t="n"/>
      <c r="D463" s="15">
        <f>IF($C463="","",IFERROR(INDEX(rngCadetPIDs,MATCH($C463,rngCadetNames,0)),"?"))</f>
        <v/>
      </c>
      <c r="E463" s="15">
        <f>IF($D463="","",IFERROR(INDEX(nrCadetAgency,MATCH($D463,rngCadetPIDs,0)),""))</f>
        <v/>
      </c>
      <c r="F463" s="14" t="n"/>
      <c r="G463" s="15">
        <f>IF($F463="","",IFERROR(INDEX(rngEPname,MATCH($F463,rngEPcode,0)),"?"))</f>
        <v/>
      </c>
      <c r="H463" s="15">
        <f>IF($F463="","",IFERROR(INDEX(rngEPtype,MATCH($F463,rngEPcode,0)),"?"))</f>
        <v/>
      </c>
      <c r="I463" s="15">
        <f>IF($F463="","",IFERROR(INDEX(rngEPseq,MATCH($F463,rngEPcode,0)),""))</f>
        <v/>
      </c>
      <c r="J463" s="15">
        <f>IF($F463="","",IFERROR(INDEX(rngEPpass,MATCH($F463,rngEPcode,0)),cfgPassingScore))</f>
        <v/>
      </c>
      <c r="K463" s="14" t="n"/>
      <c r="L463" s="14" t="n"/>
      <c r="M463" s="15">
        <f>IF($C463="","",IF($L463="","",IF($K463=1,IF(COUNTIFS(nrES_PID,$D463,nrES_Code,$F463,nrES_Att,2)&gt;0,"",$L463),IF(COUNTIFS(nrES_PID,$D463,nrES_Code,$F463,nrES_Att,1)=0,$L463,IF($L463&gt;=$J463,cfgRetakeRecordedCap,SUMIFS(nrES_Raw,nrES_PID,$D463,nrES_Code,$F463,nrES_Att,1))))))</f>
        <v/>
      </c>
      <c r="N463" s="15">
        <f>IF($C463="","",IF($L463="","",IF($L463&gt;=$J463,"Yes","No")))</f>
        <v/>
      </c>
      <c r="O463" s="15">
        <f>IF($C463="","",IF($M463="","",IF($M463&gt;=$J463,"Yes","No")))</f>
        <v/>
      </c>
      <c r="P463" s="15">
        <f>IF($C463="","",IF($K463="","",IF(COUNTIFS(nrES_PID,$D463,nrES_Code,$F463,nrES_Att,"&gt;"&amp;$K463)=0,"Yes","No")))</f>
        <v/>
      </c>
      <c r="Q463" s="15">
        <f>IF($C463="","",IF($L463="","",IF(AND($K463=1,$L463&lt;$J463,COUNTIFS(nrES_PID,$D463,nrES_Code,$F463,nrES_Att,2)=0),"Yes","No")))</f>
        <v/>
      </c>
      <c r="R463" s="15">
        <f>IF($C463="","",IF($L463="","",IF(AND($K463=2,$L463&lt;$J463,COUNTIFS(nrES_PID,$D463,nrES_Code,$F463,nrES_Att,1)&gt;0),"Yes","No")))</f>
        <v/>
      </c>
      <c r="S463" s="16" t="n"/>
      <c r="T463" s="17">
        <f>IF($Q463&lt;&gt;"Yes","",IF($S463="","(enter date)",_xlfn.LET(_xlpm.dn,IFERROR(_xlfn.XLOOKUP($S463,nrCDdate,nrCDnum),""),IF(_xlpm.dn="","(not a class day)",IFERROR(_xlfn.XLOOKUP(_xlpm.dn+cfgRetestClassDays,nrCDnum,nrCDdate),"")))))</f>
        <v/>
      </c>
      <c r="U463" s="15">
        <f>IF($Q463&lt;&gt;"Yes","",IF(COUNTIFS(nrES_PID,$D463,nrES_Code,$F463,nrES_Att,2)&gt;0,"Retested",IF(OR($T463="",NOT(ISNUMBER($T463))),"Pending",IF(TODAY()&gt;$T463,"OVERDUE","Due "&amp;TEXT($T463,"mm/dd")))))</f>
        <v/>
      </c>
      <c r="V463" s="14" t="n"/>
      <c r="W463" s="14" t="n"/>
    </row>
    <row r="464">
      <c r="B464" s="15">
        <f>IF($C464="","",$D464&amp;"-"&amp;$F464&amp;"-"&amp;$K464)</f>
        <v/>
      </c>
      <c r="C464" s="14" t="n"/>
      <c r="D464" s="15">
        <f>IF($C464="","",IFERROR(INDEX(rngCadetPIDs,MATCH($C464,rngCadetNames,0)),"?"))</f>
        <v/>
      </c>
      <c r="E464" s="15">
        <f>IF($D464="","",IFERROR(INDEX(nrCadetAgency,MATCH($D464,rngCadetPIDs,0)),""))</f>
        <v/>
      </c>
      <c r="F464" s="14" t="n"/>
      <c r="G464" s="15">
        <f>IF($F464="","",IFERROR(INDEX(rngEPname,MATCH($F464,rngEPcode,0)),"?"))</f>
        <v/>
      </c>
      <c r="H464" s="15">
        <f>IF($F464="","",IFERROR(INDEX(rngEPtype,MATCH($F464,rngEPcode,0)),"?"))</f>
        <v/>
      </c>
      <c r="I464" s="15">
        <f>IF($F464="","",IFERROR(INDEX(rngEPseq,MATCH($F464,rngEPcode,0)),""))</f>
        <v/>
      </c>
      <c r="J464" s="15">
        <f>IF($F464="","",IFERROR(INDEX(rngEPpass,MATCH($F464,rngEPcode,0)),cfgPassingScore))</f>
        <v/>
      </c>
      <c r="K464" s="14" t="n"/>
      <c r="L464" s="14" t="n"/>
      <c r="M464" s="15">
        <f>IF($C464="","",IF($L464="","",IF($K464=1,IF(COUNTIFS(nrES_PID,$D464,nrES_Code,$F464,nrES_Att,2)&gt;0,"",$L464),IF(COUNTIFS(nrES_PID,$D464,nrES_Code,$F464,nrES_Att,1)=0,$L464,IF($L464&gt;=$J464,cfgRetakeRecordedCap,SUMIFS(nrES_Raw,nrES_PID,$D464,nrES_Code,$F464,nrES_Att,1))))))</f>
        <v/>
      </c>
      <c r="N464" s="15">
        <f>IF($C464="","",IF($L464="","",IF($L464&gt;=$J464,"Yes","No")))</f>
        <v/>
      </c>
      <c r="O464" s="15">
        <f>IF($C464="","",IF($M464="","",IF($M464&gt;=$J464,"Yes","No")))</f>
        <v/>
      </c>
      <c r="P464" s="15">
        <f>IF($C464="","",IF($K464="","",IF(COUNTIFS(nrES_PID,$D464,nrES_Code,$F464,nrES_Att,"&gt;"&amp;$K464)=0,"Yes","No")))</f>
        <v/>
      </c>
      <c r="Q464" s="15">
        <f>IF($C464="","",IF($L464="","",IF(AND($K464=1,$L464&lt;$J464,COUNTIFS(nrES_PID,$D464,nrES_Code,$F464,nrES_Att,2)=0),"Yes","No")))</f>
        <v/>
      </c>
      <c r="R464" s="15">
        <f>IF($C464="","",IF($L464="","",IF(AND($K464=2,$L464&lt;$J464,COUNTIFS(nrES_PID,$D464,nrES_Code,$F464,nrES_Att,1)&gt;0),"Yes","No")))</f>
        <v/>
      </c>
      <c r="S464" s="16" t="n"/>
      <c r="T464" s="17">
        <f>IF($Q464&lt;&gt;"Yes","",IF($S464="","(enter date)",_xlfn.LET(_xlpm.dn,IFERROR(_xlfn.XLOOKUP($S464,nrCDdate,nrCDnum),""),IF(_xlpm.dn="","(not a class day)",IFERROR(_xlfn.XLOOKUP(_xlpm.dn+cfgRetestClassDays,nrCDnum,nrCDdate),"")))))</f>
        <v/>
      </c>
      <c r="U464" s="15">
        <f>IF($Q464&lt;&gt;"Yes","",IF(COUNTIFS(nrES_PID,$D464,nrES_Code,$F464,nrES_Att,2)&gt;0,"Retested",IF(OR($T464="",NOT(ISNUMBER($T464))),"Pending",IF(TODAY()&gt;$T464,"OVERDUE","Due "&amp;TEXT($T464,"mm/dd")))))</f>
        <v/>
      </c>
      <c r="V464" s="14" t="n"/>
      <c r="W464" s="14" t="n"/>
    </row>
    <row r="465">
      <c r="B465" s="15">
        <f>IF($C465="","",$D465&amp;"-"&amp;$F465&amp;"-"&amp;$K465)</f>
        <v/>
      </c>
      <c r="C465" s="14" t="n"/>
      <c r="D465" s="15">
        <f>IF($C465="","",IFERROR(INDEX(rngCadetPIDs,MATCH($C465,rngCadetNames,0)),"?"))</f>
        <v/>
      </c>
      <c r="E465" s="15">
        <f>IF($D465="","",IFERROR(INDEX(nrCadetAgency,MATCH($D465,rngCadetPIDs,0)),""))</f>
        <v/>
      </c>
      <c r="F465" s="14" t="n"/>
      <c r="G465" s="15">
        <f>IF($F465="","",IFERROR(INDEX(rngEPname,MATCH($F465,rngEPcode,0)),"?"))</f>
        <v/>
      </c>
      <c r="H465" s="15">
        <f>IF($F465="","",IFERROR(INDEX(rngEPtype,MATCH($F465,rngEPcode,0)),"?"))</f>
        <v/>
      </c>
      <c r="I465" s="15">
        <f>IF($F465="","",IFERROR(INDEX(rngEPseq,MATCH($F465,rngEPcode,0)),""))</f>
        <v/>
      </c>
      <c r="J465" s="15">
        <f>IF($F465="","",IFERROR(INDEX(rngEPpass,MATCH($F465,rngEPcode,0)),cfgPassingScore))</f>
        <v/>
      </c>
      <c r="K465" s="14" t="n"/>
      <c r="L465" s="14" t="n"/>
      <c r="M465" s="15">
        <f>IF($C465="","",IF($L465="","",IF($K465=1,IF(COUNTIFS(nrES_PID,$D465,nrES_Code,$F465,nrES_Att,2)&gt;0,"",$L465),IF(COUNTIFS(nrES_PID,$D465,nrES_Code,$F465,nrES_Att,1)=0,$L465,IF($L465&gt;=$J465,cfgRetakeRecordedCap,SUMIFS(nrES_Raw,nrES_PID,$D465,nrES_Code,$F465,nrES_Att,1))))))</f>
        <v/>
      </c>
      <c r="N465" s="15">
        <f>IF($C465="","",IF($L465="","",IF($L465&gt;=$J465,"Yes","No")))</f>
        <v/>
      </c>
      <c r="O465" s="15">
        <f>IF($C465="","",IF($M465="","",IF($M465&gt;=$J465,"Yes","No")))</f>
        <v/>
      </c>
      <c r="P465" s="15">
        <f>IF($C465="","",IF($K465="","",IF(COUNTIFS(nrES_PID,$D465,nrES_Code,$F465,nrES_Att,"&gt;"&amp;$K465)=0,"Yes","No")))</f>
        <v/>
      </c>
      <c r="Q465" s="15">
        <f>IF($C465="","",IF($L465="","",IF(AND($K465=1,$L465&lt;$J465,COUNTIFS(nrES_PID,$D465,nrES_Code,$F465,nrES_Att,2)=0),"Yes","No")))</f>
        <v/>
      </c>
      <c r="R465" s="15">
        <f>IF($C465="","",IF($L465="","",IF(AND($K465=2,$L465&lt;$J465,COUNTIFS(nrES_PID,$D465,nrES_Code,$F465,nrES_Att,1)&gt;0),"Yes","No")))</f>
        <v/>
      </c>
      <c r="S465" s="16" t="n"/>
      <c r="T465" s="17">
        <f>IF($Q465&lt;&gt;"Yes","",IF($S465="","(enter date)",_xlfn.LET(_xlpm.dn,IFERROR(_xlfn.XLOOKUP($S465,nrCDdate,nrCDnum),""),IF(_xlpm.dn="","(not a class day)",IFERROR(_xlfn.XLOOKUP(_xlpm.dn+cfgRetestClassDays,nrCDnum,nrCDdate),"")))))</f>
        <v/>
      </c>
      <c r="U465" s="15">
        <f>IF($Q465&lt;&gt;"Yes","",IF(COUNTIFS(nrES_PID,$D465,nrES_Code,$F465,nrES_Att,2)&gt;0,"Retested",IF(OR($T465="",NOT(ISNUMBER($T465))),"Pending",IF(TODAY()&gt;$T465,"OVERDUE","Due "&amp;TEXT($T465,"mm/dd")))))</f>
        <v/>
      </c>
      <c r="V465" s="14" t="n"/>
      <c r="W465" s="14" t="n"/>
    </row>
    <row r="466">
      <c r="B466" s="15">
        <f>IF($C466="","",$D466&amp;"-"&amp;$F466&amp;"-"&amp;$K466)</f>
        <v/>
      </c>
      <c r="C466" s="14" t="n"/>
      <c r="D466" s="15">
        <f>IF($C466="","",IFERROR(INDEX(rngCadetPIDs,MATCH($C466,rngCadetNames,0)),"?"))</f>
        <v/>
      </c>
      <c r="E466" s="15">
        <f>IF($D466="","",IFERROR(INDEX(nrCadetAgency,MATCH($D466,rngCadetPIDs,0)),""))</f>
        <v/>
      </c>
      <c r="F466" s="14" t="n"/>
      <c r="G466" s="15">
        <f>IF($F466="","",IFERROR(INDEX(rngEPname,MATCH($F466,rngEPcode,0)),"?"))</f>
        <v/>
      </c>
      <c r="H466" s="15">
        <f>IF($F466="","",IFERROR(INDEX(rngEPtype,MATCH($F466,rngEPcode,0)),"?"))</f>
        <v/>
      </c>
      <c r="I466" s="15">
        <f>IF($F466="","",IFERROR(INDEX(rngEPseq,MATCH($F466,rngEPcode,0)),""))</f>
        <v/>
      </c>
      <c r="J466" s="15">
        <f>IF($F466="","",IFERROR(INDEX(rngEPpass,MATCH($F466,rngEPcode,0)),cfgPassingScore))</f>
        <v/>
      </c>
      <c r="K466" s="14" t="n"/>
      <c r="L466" s="14" t="n"/>
      <c r="M466" s="15">
        <f>IF($C466="","",IF($L466="","",IF($K466=1,IF(COUNTIFS(nrES_PID,$D466,nrES_Code,$F466,nrES_Att,2)&gt;0,"",$L466),IF(COUNTIFS(nrES_PID,$D466,nrES_Code,$F466,nrES_Att,1)=0,$L466,IF($L466&gt;=$J466,cfgRetakeRecordedCap,SUMIFS(nrES_Raw,nrES_PID,$D466,nrES_Code,$F466,nrES_Att,1))))))</f>
        <v/>
      </c>
      <c r="N466" s="15">
        <f>IF($C466="","",IF($L466="","",IF($L466&gt;=$J466,"Yes","No")))</f>
        <v/>
      </c>
      <c r="O466" s="15">
        <f>IF($C466="","",IF($M466="","",IF($M466&gt;=$J466,"Yes","No")))</f>
        <v/>
      </c>
      <c r="P466" s="15">
        <f>IF($C466="","",IF($K466="","",IF(COUNTIFS(nrES_PID,$D466,nrES_Code,$F466,nrES_Att,"&gt;"&amp;$K466)=0,"Yes","No")))</f>
        <v/>
      </c>
      <c r="Q466" s="15">
        <f>IF($C466="","",IF($L466="","",IF(AND($K466=1,$L466&lt;$J466,COUNTIFS(nrES_PID,$D466,nrES_Code,$F466,nrES_Att,2)=0),"Yes","No")))</f>
        <v/>
      </c>
      <c r="R466" s="15">
        <f>IF($C466="","",IF($L466="","",IF(AND($K466=2,$L466&lt;$J466,COUNTIFS(nrES_PID,$D466,nrES_Code,$F466,nrES_Att,1)&gt;0),"Yes","No")))</f>
        <v/>
      </c>
      <c r="S466" s="16" t="n"/>
      <c r="T466" s="17">
        <f>IF($Q466&lt;&gt;"Yes","",IF($S466="","(enter date)",_xlfn.LET(_xlpm.dn,IFERROR(_xlfn.XLOOKUP($S466,nrCDdate,nrCDnum),""),IF(_xlpm.dn="","(not a class day)",IFERROR(_xlfn.XLOOKUP(_xlpm.dn+cfgRetestClassDays,nrCDnum,nrCDdate),"")))))</f>
        <v/>
      </c>
      <c r="U466" s="15">
        <f>IF($Q466&lt;&gt;"Yes","",IF(COUNTIFS(nrES_PID,$D466,nrES_Code,$F466,nrES_Att,2)&gt;0,"Retested",IF(OR($T466="",NOT(ISNUMBER($T466))),"Pending",IF(TODAY()&gt;$T466,"OVERDUE","Due "&amp;TEXT($T466,"mm/dd")))))</f>
        <v/>
      </c>
      <c r="V466" s="14" t="n"/>
      <c r="W466" s="14" t="n"/>
    </row>
    <row r="467">
      <c r="B467" s="15">
        <f>IF($C467="","",$D467&amp;"-"&amp;$F467&amp;"-"&amp;$K467)</f>
        <v/>
      </c>
      <c r="C467" s="14" t="n"/>
      <c r="D467" s="15">
        <f>IF($C467="","",IFERROR(INDEX(rngCadetPIDs,MATCH($C467,rngCadetNames,0)),"?"))</f>
        <v/>
      </c>
      <c r="E467" s="15">
        <f>IF($D467="","",IFERROR(INDEX(nrCadetAgency,MATCH($D467,rngCadetPIDs,0)),""))</f>
        <v/>
      </c>
      <c r="F467" s="14" t="n"/>
      <c r="G467" s="15">
        <f>IF($F467="","",IFERROR(INDEX(rngEPname,MATCH($F467,rngEPcode,0)),"?"))</f>
        <v/>
      </c>
      <c r="H467" s="15">
        <f>IF($F467="","",IFERROR(INDEX(rngEPtype,MATCH($F467,rngEPcode,0)),"?"))</f>
        <v/>
      </c>
      <c r="I467" s="15">
        <f>IF($F467="","",IFERROR(INDEX(rngEPseq,MATCH($F467,rngEPcode,0)),""))</f>
        <v/>
      </c>
      <c r="J467" s="15">
        <f>IF($F467="","",IFERROR(INDEX(rngEPpass,MATCH($F467,rngEPcode,0)),cfgPassingScore))</f>
        <v/>
      </c>
      <c r="K467" s="14" t="n"/>
      <c r="L467" s="14" t="n"/>
      <c r="M467" s="15">
        <f>IF($C467="","",IF($L467="","",IF($K467=1,IF(COUNTIFS(nrES_PID,$D467,nrES_Code,$F467,nrES_Att,2)&gt;0,"",$L467),IF(COUNTIFS(nrES_PID,$D467,nrES_Code,$F467,nrES_Att,1)=0,$L467,IF($L467&gt;=$J467,cfgRetakeRecordedCap,SUMIFS(nrES_Raw,nrES_PID,$D467,nrES_Code,$F467,nrES_Att,1))))))</f>
        <v/>
      </c>
      <c r="N467" s="15">
        <f>IF($C467="","",IF($L467="","",IF($L467&gt;=$J467,"Yes","No")))</f>
        <v/>
      </c>
      <c r="O467" s="15">
        <f>IF($C467="","",IF($M467="","",IF($M467&gt;=$J467,"Yes","No")))</f>
        <v/>
      </c>
      <c r="P467" s="15">
        <f>IF($C467="","",IF($K467="","",IF(COUNTIFS(nrES_PID,$D467,nrES_Code,$F467,nrES_Att,"&gt;"&amp;$K467)=0,"Yes","No")))</f>
        <v/>
      </c>
      <c r="Q467" s="15">
        <f>IF($C467="","",IF($L467="","",IF(AND($K467=1,$L467&lt;$J467,COUNTIFS(nrES_PID,$D467,nrES_Code,$F467,nrES_Att,2)=0),"Yes","No")))</f>
        <v/>
      </c>
      <c r="R467" s="15">
        <f>IF($C467="","",IF($L467="","",IF(AND($K467=2,$L467&lt;$J467,COUNTIFS(nrES_PID,$D467,nrES_Code,$F467,nrES_Att,1)&gt;0),"Yes","No")))</f>
        <v/>
      </c>
      <c r="S467" s="16" t="n"/>
      <c r="T467" s="17">
        <f>IF($Q467&lt;&gt;"Yes","",IF($S467="","(enter date)",_xlfn.LET(_xlpm.dn,IFERROR(_xlfn.XLOOKUP($S467,nrCDdate,nrCDnum),""),IF(_xlpm.dn="","(not a class day)",IFERROR(_xlfn.XLOOKUP(_xlpm.dn+cfgRetestClassDays,nrCDnum,nrCDdate),"")))))</f>
        <v/>
      </c>
      <c r="U467" s="15">
        <f>IF($Q467&lt;&gt;"Yes","",IF(COUNTIFS(nrES_PID,$D467,nrES_Code,$F467,nrES_Att,2)&gt;0,"Retested",IF(OR($T467="",NOT(ISNUMBER($T467))),"Pending",IF(TODAY()&gt;$T467,"OVERDUE","Due "&amp;TEXT($T467,"mm/dd")))))</f>
        <v/>
      </c>
      <c r="V467" s="14" t="n"/>
      <c r="W467" s="14" t="n"/>
    </row>
    <row r="468">
      <c r="B468" s="15">
        <f>IF($C468="","",$D468&amp;"-"&amp;$F468&amp;"-"&amp;$K468)</f>
        <v/>
      </c>
      <c r="C468" s="14" t="n"/>
      <c r="D468" s="15">
        <f>IF($C468="","",IFERROR(INDEX(rngCadetPIDs,MATCH($C468,rngCadetNames,0)),"?"))</f>
        <v/>
      </c>
      <c r="E468" s="15">
        <f>IF($D468="","",IFERROR(INDEX(nrCadetAgency,MATCH($D468,rngCadetPIDs,0)),""))</f>
        <v/>
      </c>
      <c r="F468" s="14" t="n"/>
      <c r="G468" s="15">
        <f>IF($F468="","",IFERROR(INDEX(rngEPname,MATCH($F468,rngEPcode,0)),"?"))</f>
        <v/>
      </c>
      <c r="H468" s="15">
        <f>IF($F468="","",IFERROR(INDEX(rngEPtype,MATCH($F468,rngEPcode,0)),"?"))</f>
        <v/>
      </c>
      <c r="I468" s="15">
        <f>IF($F468="","",IFERROR(INDEX(rngEPseq,MATCH($F468,rngEPcode,0)),""))</f>
        <v/>
      </c>
      <c r="J468" s="15">
        <f>IF($F468="","",IFERROR(INDEX(rngEPpass,MATCH($F468,rngEPcode,0)),cfgPassingScore))</f>
        <v/>
      </c>
      <c r="K468" s="14" t="n"/>
      <c r="L468" s="14" t="n"/>
      <c r="M468" s="15">
        <f>IF($C468="","",IF($L468="","",IF($K468=1,IF(COUNTIFS(nrES_PID,$D468,nrES_Code,$F468,nrES_Att,2)&gt;0,"",$L468),IF(COUNTIFS(nrES_PID,$D468,nrES_Code,$F468,nrES_Att,1)=0,$L468,IF($L468&gt;=$J468,cfgRetakeRecordedCap,SUMIFS(nrES_Raw,nrES_PID,$D468,nrES_Code,$F468,nrES_Att,1))))))</f>
        <v/>
      </c>
      <c r="N468" s="15">
        <f>IF($C468="","",IF($L468="","",IF($L468&gt;=$J468,"Yes","No")))</f>
        <v/>
      </c>
      <c r="O468" s="15">
        <f>IF($C468="","",IF($M468="","",IF($M468&gt;=$J468,"Yes","No")))</f>
        <v/>
      </c>
      <c r="P468" s="15">
        <f>IF($C468="","",IF($K468="","",IF(COUNTIFS(nrES_PID,$D468,nrES_Code,$F468,nrES_Att,"&gt;"&amp;$K468)=0,"Yes","No")))</f>
        <v/>
      </c>
      <c r="Q468" s="15">
        <f>IF($C468="","",IF($L468="","",IF(AND($K468=1,$L468&lt;$J468,COUNTIFS(nrES_PID,$D468,nrES_Code,$F468,nrES_Att,2)=0),"Yes","No")))</f>
        <v/>
      </c>
      <c r="R468" s="15">
        <f>IF($C468="","",IF($L468="","",IF(AND($K468=2,$L468&lt;$J468,COUNTIFS(nrES_PID,$D468,nrES_Code,$F468,nrES_Att,1)&gt;0),"Yes","No")))</f>
        <v/>
      </c>
      <c r="S468" s="16" t="n"/>
      <c r="T468" s="17">
        <f>IF($Q468&lt;&gt;"Yes","",IF($S468="","(enter date)",_xlfn.LET(_xlpm.dn,IFERROR(_xlfn.XLOOKUP($S468,nrCDdate,nrCDnum),""),IF(_xlpm.dn="","(not a class day)",IFERROR(_xlfn.XLOOKUP(_xlpm.dn+cfgRetestClassDays,nrCDnum,nrCDdate),"")))))</f>
        <v/>
      </c>
      <c r="U468" s="15">
        <f>IF($Q468&lt;&gt;"Yes","",IF(COUNTIFS(nrES_PID,$D468,nrES_Code,$F468,nrES_Att,2)&gt;0,"Retested",IF(OR($T468="",NOT(ISNUMBER($T468))),"Pending",IF(TODAY()&gt;$T468,"OVERDUE","Due "&amp;TEXT($T468,"mm/dd")))))</f>
        <v/>
      </c>
      <c r="V468" s="14" t="n"/>
      <c r="W468" s="14" t="n"/>
    </row>
    <row r="469">
      <c r="B469" s="15">
        <f>IF($C469="","",$D469&amp;"-"&amp;$F469&amp;"-"&amp;$K469)</f>
        <v/>
      </c>
      <c r="C469" s="14" t="n"/>
      <c r="D469" s="15">
        <f>IF($C469="","",IFERROR(INDEX(rngCadetPIDs,MATCH($C469,rngCadetNames,0)),"?"))</f>
        <v/>
      </c>
      <c r="E469" s="15">
        <f>IF($D469="","",IFERROR(INDEX(nrCadetAgency,MATCH($D469,rngCadetPIDs,0)),""))</f>
        <v/>
      </c>
      <c r="F469" s="14" t="n"/>
      <c r="G469" s="15">
        <f>IF($F469="","",IFERROR(INDEX(rngEPname,MATCH($F469,rngEPcode,0)),"?"))</f>
        <v/>
      </c>
      <c r="H469" s="15">
        <f>IF($F469="","",IFERROR(INDEX(rngEPtype,MATCH($F469,rngEPcode,0)),"?"))</f>
        <v/>
      </c>
      <c r="I469" s="15">
        <f>IF($F469="","",IFERROR(INDEX(rngEPseq,MATCH($F469,rngEPcode,0)),""))</f>
        <v/>
      </c>
      <c r="J469" s="15">
        <f>IF($F469="","",IFERROR(INDEX(rngEPpass,MATCH($F469,rngEPcode,0)),cfgPassingScore))</f>
        <v/>
      </c>
      <c r="K469" s="14" t="n"/>
      <c r="L469" s="14" t="n"/>
      <c r="M469" s="15">
        <f>IF($C469="","",IF($L469="","",IF($K469=1,IF(COUNTIFS(nrES_PID,$D469,nrES_Code,$F469,nrES_Att,2)&gt;0,"",$L469),IF(COUNTIFS(nrES_PID,$D469,nrES_Code,$F469,nrES_Att,1)=0,$L469,IF($L469&gt;=$J469,cfgRetakeRecordedCap,SUMIFS(nrES_Raw,nrES_PID,$D469,nrES_Code,$F469,nrES_Att,1))))))</f>
        <v/>
      </c>
      <c r="N469" s="15">
        <f>IF($C469="","",IF($L469="","",IF($L469&gt;=$J469,"Yes","No")))</f>
        <v/>
      </c>
      <c r="O469" s="15">
        <f>IF($C469="","",IF($M469="","",IF($M469&gt;=$J469,"Yes","No")))</f>
        <v/>
      </c>
      <c r="P469" s="15">
        <f>IF($C469="","",IF($K469="","",IF(COUNTIFS(nrES_PID,$D469,nrES_Code,$F469,nrES_Att,"&gt;"&amp;$K469)=0,"Yes","No")))</f>
        <v/>
      </c>
      <c r="Q469" s="15">
        <f>IF($C469="","",IF($L469="","",IF(AND($K469=1,$L469&lt;$J469,COUNTIFS(nrES_PID,$D469,nrES_Code,$F469,nrES_Att,2)=0),"Yes","No")))</f>
        <v/>
      </c>
      <c r="R469" s="15">
        <f>IF($C469="","",IF($L469="","",IF(AND($K469=2,$L469&lt;$J469,COUNTIFS(nrES_PID,$D469,nrES_Code,$F469,nrES_Att,1)&gt;0),"Yes","No")))</f>
        <v/>
      </c>
      <c r="S469" s="16" t="n"/>
      <c r="T469" s="17">
        <f>IF($Q469&lt;&gt;"Yes","",IF($S469="","(enter date)",_xlfn.LET(_xlpm.dn,IFERROR(_xlfn.XLOOKUP($S469,nrCDdate,nrCDnum),""),IF(_xlpm.dn="","(not a class day)",IFERROR(_xlfn.XLOOKUP(_xlpm.dn+cfgRetestClassDays,nrCDnum,nrCDdate),"")))))</f>
        <v/>
      </c>
      <c r="U469" s="15">
        <f>IF($Q469&lt;&gt;"Yes","",IF(COUNTIFS(nrES_PID,$D469,nrES_Code,$F469,nrES_Att,2)&gt;0,"Retested",IF(OR($T469="",NOT(ISNUMBER($T469))),"Pending",IF(TODAY()&gt;$T469,"OVERDUE","Due "&amp;TEXT($T469,"mm/dd")))))</f>
        <v/>
      </c>
      <c r="V469" s="14" t="n"/>
      <c r="W469" s="14" t="n"/>
    </row>
    <row r="470">
      <c r="B470" s="15">
        <f>IF($C470="","",$D470&amp;"-"&amp;$F470&amp;"-"&amp;$K470)</f>
        <v/>
      </c>
      <c r="C470" s="14" t="n"/>
      <c r="D470" s="15">
        <f>IF($C470="","",IFERROR(INDEX(rngCadetPIDs,MATCH($C470,rngCadetNames,0)),"?"))</f>
        <v/>
      </c>
      <c r="E470" s="15">
        <f>IF($D470="","",IFERROR(INDEX(nrCadetAgency,MATCH($D470,rngCadetPIDs,0)),""))</f>
        <v/>
      </c>
      <c r="F470" s="14" t="n"/>
      <c r="G470" s="15">
        <f>IF($F470="","",IFERROR(INDEX(rngEPname,MATCH($F470,rngEPcode,0)),"?"))</f>
        <v/>
      </c>
      <c r="H470" s="15">
        <f>IF($F470="","",IFERROR(INDEX(rngEPtype,MATCH($F470,rngEPcode,0)),"?"))</f>
        <v/>
      </c>
      <c r="I470" s="15">
        <f>IF($F470="","",IFERROR(INDEX(rngEPseq,MATCH($F470,rngEPcode,0)),""))</f>
        <v/>
      </c>
      <c r="J470" s="15">
        <f>IF($F470="","",IFERROR(INDEX(rngEPpass,MATCH($F470,rngEPcode,0)),cfgPassingScore))</f>
        <v/>
      </c>
      <c r="K470" s="14" t="n"/>
      <c r="L470" s="14" t="n"/>
      <c r="M470" s="15">
        <f>IF($C470="","",IF($L470="","",IF($K470=1,IF(COUNTIFS(nrES_PID,$D470,nrES_Code,$F470,nrES_Att,2)&gt;0,"",$L470),IF(COUNTIFS(nrES_PID,$D470,nrES_Code,$F470,nrES_Att,1)=0,$L470,IF($L470&gt;=$J470,cfgRetakeRecordedCap,SUMIFS(nrES_Raw,nrES_PID,$D470,nrES_Code,$F470,nrES_Att,1))))))</f>
        <v/>
      </c>
      <c r="N470" s="15">
        <f>IF($C470="","",IF($L470="","",IF($L470&gt;=$J470,"Yes","No")))</f>
        <v/>
      </c>
      <c r="O470" s="15">
        <f>IF($C470="","",IF($M470="","",IF($M470&gt;=$J470,"Yes","No")))</f>
        <v/>
      </c>
      <c r="P470" s="15">
        <f>IF($C470="","",IF($K470="","",IF(COUNTIFS(nrES_PID,$D470,nrES_Code,$F470,nrES_Att,"&gt;"&amp;$K470)=0,"Yes","No")))</f>
        <v/>
      </c>
      <c r="Q470" s="15">
        <f>IF($C470="","",IF($L470="","",IF(AND($K470=1,$L470&lt;$J470,COUNTIFS(nrES_PID,$D470,nrES_Code,$F470,nrES_Att,2)=0),"Yes","No")))</f>
        <v/>
      </c>
      <c r="R470" s="15">
        <f>IF($C470="","",IF($L470="","",IF(AND($K470=2,$L470&lt;$J470,COUNTIFS(nrES_PID,$D470,nrES_Code,$F470,nrES_Att,1)&gt;0),"Yes","No")))</f>
        <v/>
      </c>
      <c r="S470" s="16" t="n"/>
      <c r="T470" s="17">
        <f>IF($Q470&lt;&gt;"Yes","",IF($S470="","(enter date)",_xlfn.LET(_xlpm.dn,IFERROR(_xlfn.XLOOKUP($S470,nrCDdate,nrCDnum),""),IF(_xlpm.dn="","(not a class day)",IFERROR(_xlfn.XLOOKUP(_xlpm.dn+cfgRetestClassDays,nrCDnum,nrCDdate),"")))))</f>
        <v/>
      </c>
      <c r="U470" s="15">
        <f>IF($Q470&lt;&gt;"Yes","",IF(COUNTIFS(nrES_PID,$D470,nrES_Code,$F470,nrES_Att,2)&gt;0,"Retested",IF(OR($T470="",NOT(ISNUMBER($T470))),"Pending",IF(TODAY()&gt;$T470,"OVERDUE","Due "&amp;TEXT($T470,"mm/dd")))))</f>
        <v/>
      </c>
      <c r="V470" s="14" t="n"/>
      <c r="W470" s="14" t="n"/>
    </row>
    <row r="471">
      <c r="B471" s="15">
        <f>IF($C471="","",$D471&amp;"-"&amp;$F471&amp;"-"&amp;$K471)</f>
        <v/>
      </c>
      <c r="C471" s="14" t="n"/>
      <c r="D471" s="15">
        <f>IF($C471="","",IFERROR(INDEX(rngCadetPIDs,MATCH($C471,rngCadetNames,0)),"?"))</f>
        <v/>
      </c>
      <c r="E471" s="15">
        <f>IF($D471="","",IFERROR(INDEX(nrCadetAgency,MATCH($D471,rngCadetPIDs,0)),""))</f>
        <v/>
      </c>
      <c r="F471" s="14" t="n"/>
      <c r="G471" s="15">
        <f>IF($F471="","",IFERROR(INDEX(rngEPname,MATCH($F471,rngEPcode,0)),"?"))</f>
        <v/>
      </c>
      <c r="H471" s="15">
        <f>IF($F471="","",IFERROR(INDEX(rngEPtype,MATCH($F471,rngEPcode,0)),"?"))</f>
        <v/>
      </c>
      <c r="I471" s="15">
        <f>IF($F471="","",IFERROR(INDEX(rngEPseq,MATCH($F471,rngEPcode,0)),""))</f>
        <v/>
      </c>
      <c r="J471" s="15">
        <f>IF($F471="","",IFERROR(INDEX(rngEPpass,MATCH($F471,rngEPcode,0)),cfgPassingScore))</f>
        <v/>
      </c>
      <c r="K471" s="14" t="n"/>
      <c r="L471" s="14" t="n"/>
      <c r="M471" s="15">
        <f>IF($C471="","",IF($L471="","",IF($K471=1,IF(COUNTIFS(nrES_PID,$D471,nrES_Code,$F471,nrES_Att,2)&gt;0,"",$L471),IF(COUNTIFS(nrES_PID,$D471,nrES_Code,$F471,nrES_Att,1)=0,$L471,IF($L471&gt;=$J471,cfgRetakeRecordedCap,SUMIFS(nrES_Raw,nrES_PID,$D471,nrES_Code,$F471,nrES_Att,1))))))</f>
        <v/>
      </c>
      <c r="N471" s="15">
        <f>IF($C471="","",IF($L471="","",IF($L471&gt;=$J471,"Yes","No")))</f>
        <v/>
      </c>
      <c r="O471" s="15">
        <f>IF($C471="","",IF($M471="","",IF($M471&gt;=$J471,"Yes","No")))</f>
        <v/>
      </c>
      <c r="P471" s="15">
        <f>IF($C471="","",IF($K471="","",IF(COUNTIFS(nrES_PID,$D471,nrES_Code,$F471,nrES_Att,"&gt;"&amp;$K471)=0,"Yes","No")))</f>
        <v/>
      </c>
      <c r="Q471" s="15">
        <f>IF($C471="","",IF($L471="","",IF(AND($K471=1,$L471&lt;$J471,COUNTIFS(nrES_PID,$D471,nrES_Code,$F471,nrES_Att,2)=0),"Yes","No")))</f>
        <v/>
      </c>
      <c r="R471" s="15">
        <f>IF($C471="","",IF($L471="","",IF(AND($K471=2,$L471&lt;$J471,COUNTIFS(nrES_PID,$D471,nrES_Code,$F471,nrES_Att,1)&gt;0),"Yes","No")))</f>
        <v/>
      </c>
      <c r="S471" s="16" t="n"/>
      <c r="T471" s="17">
        <f>IF($Q471&lt;&gt;"Yes","",IF($S471="","(enter date)",_xlfn.LET(_xlpm.dn,IFERROR(_xlfn.XLOOKUP($S471,nrCDdate,nrCDnum),""),IF(_xlpm.dn="","(not a class day)",IFERROR(_xlfn.XLOOKUP(_xlpm.dn+cfgRetestClassDays,nrCDnum,nrCDdate),"")))))</f>
        <v/>
      </c>
      <c r="U471" s="15">
        <f>IF($Q471&lt;&gt;"Yes","",IF(COUNTIFS(nrES_PID,$D471,nrES_Code,$F471,nrES_Att,2)&gt;0,"Retested",IF(OR($T471="",NOT(ISNUMBER($T471))),"Pending",IF(TODAY()&gt;$T471,"OVERDUE","Due "&amp;TEXT($T471,"mm/dd")))))</f>
        <v/>
      </c>
      <c r="V471" s="14" t="n"/>
      <c r="W471" s="14" t="n"/>
    </row>
    <row r="472">
      <c r="B472" s="15">
        <f>IF($C472="","",$D472&amp;"-"&amp;$F472&amp;"-"&amp;$K472)</f>
        <v/>
      </c>
      <c r="C472" s="14" t="n"/>
      <c r="D472" s="15">
        <f>IF($C472="","",IFERROR(INDEX(rngCadetPIDs,MATCH($C472,rngCadetNames,0)),"?"))</f>
        <v/>
      </c>
      <c r="E472" s="15">
        <f>IF($D472="","",IFERROR(INDEX(nrCadetAgency,MATCH($D472,rngCadetPIDs,0)),""))</f>
        <v/>
      </c>
      <c r="F472" s="14" t="n"/>
      <c r="G472" s="15">
        <f>IF($F472="","",IFERROR(INDEX(rngEPname,MATCH($F472,rngEPcode,0)),"?"))</f>
        <v/>
      </c>
      <c r="H472" s="15">
        <f>IF($F472="","",IFERROR(INDEX(rngEPtype,MATCH($F472,rngEPcode,0)),"?"))</f>
        <v/>
      </c>
      <c r="I472" s="15">
        <f>IF($F472="","",IFERROR(INDEX(rngEPseq,MATCH($F472,rngEPcode,0)),""))</f>
        <v/>
      </c>
      <c r="J472" s="15">
        <f>IF($F472="","",IFERROR(INDEX(rngEPpass,MATCH($F472,rngEPcode,0)),cfgPassingScore))</f>
        <v/>
      </c>
      <c r="K472" s="14" t="n"/>
      <c r="L472" s="14" t="n"/>
      <c r="M472" s="15">
        <f>IF($C472="","",IF($L472="","",IF($K472=1,IF(COUNTIFS(nrES_PID,$D472,nrES_Code,$F472,nrES_Att,2)&gt;0,"",$L472),IF(COUNTIFS(nrES_PID,$D472,nrES_Code,$F472,nrES_Att,1)=0,$L472,IF($L472&gt;=$J472,cfgRetakeRecordedCap,SUMIFS(nrES_Raw,nrES_PID,$D472,nrES_Code,$F472,nrES_Att,1))))))</f>
        <v/>
      </c>
      <c r="N472" s="15">
        <f>IF($C472="","",IF($L472="","",IF($L472&gt;=$J472,"Yes","No")))</f>
        <v/>
      </c>
      <c r="O472" s="15">
        <f>IF($C472="","",IF($M472="","",IF($M472&gt;=$J472,"Yes","No")))</f>
        <v/>
      </c>
      <c r="P472" s="15">
        <f>IF($C472="","",IF($K472="","",IF(COUNTIFS(nrES_PID,$D472,nrES_Code,$F472,nrES_Att,"&gt;"&amp;$K472)=0,"Yes","No")))</f>
        <v/>
      </c>
      <c r="Q472" s="15">
        <f>IF($C472="","",IF($L472="","",IF(AND($K472=1,$L472&lt;$J472,COUNTIFS(nrES_PID,$D472,nrES_Code,$F472,nrES_Att,2)=0),"Yes","No")))</f>
        <v/>
      </c>
      <c r="R472" s="15">
        <f>IF($C472="","",IF($L472="","",IF(AND($K472=2,$L472&lt;$J472,COUNTIFS(nrES_PID,$D472,nrES_Code,$F472,nrES_Att,1)&gt;0),"Yes","No")))</f>
        <v/>
      </c>
      <c r="S472" s="16" t="n"/>
      <c r="T472" s="17">
        <f>IF($Q472&lt;&gt;"Yes","",IF($S472="","(enter date)",_xlfn.LET(_xlpm.dn,IFERROR(_xlfn.XLOOKUP($S472,nrCDdate,nrCDnum),""),IF(_xlpm.dn="","(not a class day)",IFERROR(_xlfn.XLOOKUP(_xlpm.dn+cfgRetestClassDays,nrCDnum,nrCDdate),"")))))</f>
        <v/>
      </c>
      <c r="U472" s="15">
        <f>IF($Q472&lt;&gt;"Yes","",IF(COUNTIFS(nrES_PID,$D472,nrES_Code,$F472,nrES_Att,2)&gt;0,"Retested",IF(OR($T472="",NOT(ISNUMBER($T472))),"Pending",IF(TODAY()&gt;$T472,"OVERDUE","Due "&amp;TEXT($T472,"mm/dd")))))</f>
        <v/>
      </c>
      <c r="V472" s="14" t="n"/>
      <c r="W472" s="14" t="n"/>
    </row>
    <row r="473">
      <c r="B473" s="15">
        <f>IF($C473="","",$D473&amp;"-"&amp;$F473&amp;"-"&amp;$K473)</f>
        <v/>
      </c>
      <c r="C473" s="14" t="n"/>
      <c r="D473" s="15">
        <f>IF($C473="","",IFERROR(INDEX(rngCadetPIDs,MATCH($C473,rngCadetNames,0)),"?"))</f>
        <v/>
      </c>
      <c r="E473" s="15">
        <f>IF($D473="","",IFERROR(INDEX(nrCadetAgency,MATCH($D473,rngCadetPIDs,0)),""))</f>
        <v/>
      </c>
      <c r="F473" s="14" t="n"/>
      <c r="G473" s="15">
        <f>IF($F473="","",IFERROR(INDEX(rngEPname,MATCH($F473,rngEPcode,0)),"?"))</f>
        <v/>
      </c>
      <c r="H473" s="15">
        <f>IF($F473="","",IFERROR(INDEX(rngEPtype,MATCH($F473,rngEPcode,0)),"?"))</f>
        <v/>
      </c>
      <c r="I473" s="15">
        <f>IF($F473="","",IFERROR(INDEX(rngEPseq,MATCH($F473,rngEPcode,0)),""))</f>
        <v/>
      </c>
      <c r="J473" s="15">
        <f>IF($F473="","",IFERROR(INDEX(rngEPpass,MATCH($F473,rngEPcode,0)),cfgPassingScore))</f>
        <v/>
      </c>
      <c r="K473" s="14" t="n"/>
      <c r="L473" s="14" t="n"/>
      <c r="M473" s="15">
        <f>IF($C473="","",IF($L473="","",IF($K473=1,IF(COUNTIFS(nrES_PID,$D473,nrES_Code,$F473,nrES_Att,2)&gt;0,"",$L473),IF(COUNTIFS(nrES_PID,$D473,nrES_Code,$F473,nrES_Att,1)=0,$L473,IF($L473&gt;=$J473,cfgRetakeRecordedCap,SUMIFS(nrES_Raw,nrES_PID,$D473,nrES_Code,$F473,nrES_Att,1))))))</f>
        <v/>
      </c>
      <c r="N473" s="15">
        <f>IF($C473="","",IF($L473="","",IF($L473&gt;=$J473,"Yes","No")))</f>
        <v/>
      </c>
      <c r="O473" s="15">
        <f>IF($C473="","",IF($M473="","",IF($M473&gt;=$J473,"Yes","No")))</f>
        <v/>
      </c>
      <c r="P473" s="15">
        <f>IF($C473="","",IF($K473="","",IF(COUNTIFS(nrES_PID,$D473,nrES_Code,$F473,nrES_Att,"&gt;"&amp;$K473)=0,"Yes","No")))</f>
        <v/>
      </c>
      <c r="Q473" s="15">
        <f>IF($C473="","",IF($L473="","",IF(AND($K473=1,$L473&lt;$J473,COUNTIFS(nrES_PID,$D473,nrES_Code,$F473,nrES_Att,2)=0),"Yes","No")))</f>
        <v/>
      </c>
      <c r="R473" s="15">
        <f>IF($C473="","",IF($L473="","",IF(AND($K473=2,$L473&lt;$J473,COUNTIFS(nrES_PID,$D473,nrES_Code,$F473,nrES_Att,1)&gt;0),"Yes","No")))</f>
        <v/>
      </c>
      <c r="S473" s="16" t="n"/>
      <c r="T473" s="17">
        <f>IF($Q473&lt;&gt;"Yes","",IF($S473="","(enter date)",_xlfn.LET(_xlpm.dn,IFERROR(_xlfn.XLOOKUP($S473,nrCDdate,nrCDnum),""),IF(_xlpm.dn="","(not a class day)",IFERROR(_xlfn.XLOOKUP(_xlpm.dn+cfgRetestClassDays,nrCDnum,nrCDdate),"")))))</f>
        <v/>
      </c>
      <c r="U473" s="15">
        <f>IF($Q473&lt;&gt;"Yes","",IF(COUNTIFS(nrES_PID,$D473,nrES_Code,$F473,nrES_Att,2)&gt;0,"Retested",IF(OR($T473="",NOT(ISNUMBER($T473))),"Pending",IF(TODAY()&gt;$T473,"OVERDUE","Due "&amp;TEXT($T473,"mm/dd")))))</f>
        <v/>
      </c>
      <c r="V473" s="14" t="n"/>
      <c r="W473" s="14" t="n"/>
    </row>
    <row r="474">
      <c r="B474" s="15">
        <f>IF($C474="","",$D474&amp;"-"&amp;$F474&amp;"-"&amp;$K474)</f>
        <v/>
      </c>
      <c r="C474" s="14" t="n"/>
      <c r="D474" s="15">
        <f>IF($C474="","",IFERROR(INDEX(rngCadetPIDs,MATCH($C474,rngCadetNames,0)),"?"))</f>
        <v/>
      </c>
      <c r="E474" s="15">
        <f>IF($D474="","",IFERROR(INDEX(nrCadetAgency,MATCH($D474,rngCadetPIDs,0)),""))</f>
        <v/>
      </c>
      <c r="F474" s="14" t="n"/>
      <c r="G474" s="15">
        <f>IF($F474="","",IFERROR(INDEX(rngEPname,MATCH($F474,rngEPcode,0)),"?"))</f>
        <v/>
      </c>
      <c r="H474" s="15">
        <f>IF($F474="","",IFERROR(INDEX(rngEPtype,MATCH($F474,rngEPcode,0)),"?"))</f>
        <v/>
      </c>
      <c r="I474" s="15">
        <f>IF($F474="","",IFERROR(INDEX(rngEPseq,MATCH($F474,rngEPcode,0)),""))</f>
        <v/>
      </c>
      <c r="J474" s="15">
        <f>IF($F474="","",IFERROR(INDEX(rngEPpass,MATCH($F474,rngEPcode,0)),cfgPassingScore))</f>
        <v/>
      </c>
      <c r="K474" s="14" t="n"/>
      <c r="L474" s="14" t="n"/>
      <c r="M474" s="15">
        <f>IF($C474="","",IF($L474="","",IF($K474=1,IF(COUNTIFS(nrES_PID,$D474,nrES_Code,$F474,nrES_Att,2)&gt;0,"",$L474),IF(COUNTIFS(nrES_PID,$D474,nrES_Code,$F474,nrES_Att,1)=0,$L474,IF($L474&gt;=$J474,cfgRetakeRecordedCap,SUMIFS(nrES_Raw,nrES_PID,$D474,nrES_Code,$F474,nrES_Att,1))))))</f>
        <v/>
      </c>
      <c r="N474" s="15">
        <f>IF($C474="","",IF($L474="","",IF($L474&gt;=$J474,"Yes","No")))</f>
        <v/>
      </c>
      <c r="O474" s="15">
        <f>IF($C474="","",IF($M474="","",IF($M474&gt;=$J474,"Yes","No")))</f>
        <v/>
      </c>
      <c r="P474" s="15">
        <f>IF($C474="","",IF($K474="","",IF(COUNTIFS(nrES_PID,$D474,nrES_Code,$F474,nrES_Att,"&gt;"&amp;$K474)=0,"Yes","No")))</f>
        <v/>
      </c>
      <c r="Q474" s="15">
        <f>IF($C474="","",IF($L474="","",IF(AND($K474=1,$L474&lt;$J474,COUNTIFS(nrES_PID,$D474,nrES_Code,$F474,nrES_Att,2)=0),"Yes","No")))</f>
        <v/>
      </c>
      <c r="R474" s="15">
        <f>IF($C474="","",IF($L474="","",IF(AND($K474=2,$L474&lt;$J474,COUNTIFS(nrES_PID,$D474,nrES_Code,$F474,nrES_Att,1)&gt;0),"Yes","No")))</f>
        <v/>
      </c>
      <c r="S474" s="16" t="n"/>
      <c r="T474" s="17">
        <f>IF($Q474&lt;&gt;"Yes","",IF($S474="","(enter date)",_xlfn.LET(_xlpm.dn,IFERROR(_xlfn.XLOOKUP($S474,nrCDdate,nrCDnum),""),IF(_xlpm.dn="","(not a class day)",IFERROR(_xlfn.XLOOKUP(_xlpm.dn+cfgRetestClassDays,nrCDnum,nrCDdate),"")))))</f>
        <v/>
      </c>
      <c r="U474" s="15">
        <f>IF($Q474&lt;&gt;"Yes","",IF(COUNTIFS(nrES_PID,$D474,nrES_Code,$F474,nrES_Att,2)&gt;0,"Retested",IF(OR($T474="",NOT(ISNUMBER($T474))),"Pending",IF(TODAY()&gt;$T474,"OVERDUE","Due "&amp;TEXT($T474,"mm/dd")))))</f>
        <v/>
      </c>
      <c r="V474" s="14" t="n"/>
      <c r="W474" s="14" t="n"/>
    </row>
    <row r="475">
      <c r="B475" s="15">
        <f>IF($C475="","",$D475&amp;"-"&amp;$F475&amp;"-"&amp;$K475)</f>
        <v/>
      </c>
      <c r="C475" s="14" t="n"/>
      <c r="D475" s="15">
        <f>IF($C475="","",IFERROR(INDEX(rngCadetPIDs,MATCH($C475,rngCadetNames,0)),"?"))</f>
        <v/>
      </c>
      <c r="E475" s="15">
        <f>IF($D475="","",IFERROR(INDEX(nrCadetAgency,MATCH($D475,rngCadetPIDs,0)),""))</f>
        <v/>
      </c>
      <c r="F475" s="14" t="n"/>
      <c r="G475" s="15">
        <f>IF($F475="","",IFERROR(INDEX(rngEPname,MATCH($F475,rngEPcode,0)),"?"))</f>
        <v/>
      </c>
      <c r="H475" s="15">
        <f>IF($F475="","",IFERROR(INDEX(rngEPtype,MATCH($F475,rngEPcode,0)),"?"))</f>
        <v/>
      </c>
      <c r="I475" s="15">
        <f>IF($F475="","",IFERROR(INDEX(rngEPseq,MATCH($F475,rngEPcode,0)),""))</f>
        <v/>
      </c>
      <c r="J475" s="15">
        <f>IF($F475="","",IFERROR(INDEX(rngEPpass,MATCH($F475,rngEPcode,0)),cfgPassingScore))</f>
        <v/>
      </c>
      <c r="K475" s="14" t="n"/>
      <c r="L475" s="14" t="n"/>
      <c r="M475" s="15">
        <f>IF($C475="","",IF($L475="","",IF($K475=1,IF(COUNTIFS(nrES_PID,$D475,nrES_Code,$F475,nrES_Att,2)&gt;0,"",$L475),IF(COUNTIFS(nrES_PID,$D475,nrES_Code,$F475,nrES_Att,1)=0,$L475,IF($L475&gt;=$J475,cfgRetakeRecordedCap,SUMIFS(nrES_Raw,nrES_PID,$D475,nrES_Code,$F475,nrES_Att,1))))))</f>
        <v/>
      </c>
      <c r="N475" s="15">
        <f>IF($C475="","",IF($L475="","",IF($L475&gt;=$J475,"Yes","No")))</f>
        <v/>
      </c>
      <c r="O475" s="15">
        <f>IF($C475="","",IF($M475="","",IF($M475&gt;=$J475,"Yes","No")))</f>
        <v/>
      </c>
      <c r="P475" s="15">
        <f>IF($C475="","",IF($K475="","",IF(COUNTIFS(nrES_PID,$D475,nrES_Code,$F475,nrES_Att,"&gt;"&amp;$K475)=0,"Yes","No")))</f>
        <v/>
      </c>
      <c r="Q475" s="15">
        <f>IF($C475="","",IF($L475="","",IF(AND($K475=1,$L475&lt;$J475,COUNTIFS(nrES_PID,$D475,nrES_Code,$F475,nrES_Att,2)=0),"Yes","No")))</f>
        <v/>
      </c>
      <c r="R475" s="15">
        <f>IF($C475="","",IF($L475="","",IF(AND($K475=2,$L475&lt;$J475,COUNTIFS(nrES_PID,$D475,nrES_Code,$F475,nrES_Att,1)&gt;0),"Yes","No")))</f>
        <v/>
      </c>
      <c r="S475" s="16" t="n"/>
      <c r="T475" s="17">
        <f>IF($Q475&lt;&gt;"Yes","",IF($S475="","(enter date)",_xlfn.LET(_xlpm.dn,IFERROR(_xlfn.XLOOKUP($S475,nrCDdate,nrCDnum),""),IF(_xlpm.dn="","(not a class day)",IFERROR(_xlfn.XLOOKUP(_xlpm.dn+cfgRetestClassDays,nrCDnum,nrCDdate),"")))))</f>
        <v/>
      </c>
      <c r="U475" s="15">
        <f>IF($Q475&lt;&gt;"Yes","",IF(COUNTIFS(nrES_PID,$D475,nrES_Code,$F475,nrES_Att,2)&gt;0,"Retested",IF(OR($T475="",NOT(ISNUMBER($T475))),"Pending",IF(TODAY()&gt;$T475,"OVERDUE","Due "&amp;TEXT($T475,"mm/dd")))))</f>
        <v/>
      </c>
      <c r="V475" s="14" t="n"/>
      <c r="W475" s="14" t="n"/>
    </row>
    <row r="476">
      <c r="B476" s="15">
        <f>IF($C476="","",$D476&amp;"-"&amp;$F476&amp;"-"&amp;$K476)</f>
        <v/>
      </c>
      <c r="C476" s="14" t="n"/>
      <c r="D476" s="15">
        <f>IF($C476="","",IFERROR(INDEX(rngCadetPIDs,MATCH($C476,rngCadetNames,0)),"?"))</f>
        <v/>
      </c>
      <c r="E476" s="15">
        <f>IF($D476="","",IFERROR(INDEX(nrCadetAgency,MATCH($D476,rngCadetPIDs,0)),""))</f>
        <v/>
      </c>
      <c r="F476" s="14" t="n"/>
      <c r="G476" s="15">
        <f>IF($F476="","",IFERROR(INDEX(rngEPname,MATCH($F476,rngEPcode,0)),"?"))</f>
        <v/>
      </c>
      <c r="H476" s="15">
        <f>IF($F476="","",IFERROR(INDEX(rngEPtype,MATCH($F476,rngEPcode,0)),"?"))</f>
        <v/>
      </c>
      <c r="I476" s="15">
        <f>IF($F476="","",IFERROR(INDEX(rngEPseq,MATCH($F476,rngEPcode,0)),""))</f>
        <v/>
      </c>
      <c r="J476" s="15">
        <f>IF($F476="","",IFERROR(INDEX(rngEPpass,MATCH($F476,rngEPcode,0)),cfgPassingScore))</f>
        <v/>
      </c>
      <c r="K476" s="14" t="n"/>
      <c r="L476" s="14" t="n"/>
      <c r="M476" s="15">
        <f>IF($C476="","",IF($L476="","",IF($K476=1,IF(COUNTIFS(nrES_PID,$D476,nrES_Code,$F476,nrES_Att,2)&gt;0,"",$L476),IF(COUNTIFS(nrES_PID,$D476,nrES_Code,$F476,nrES_Att,1)=0,$L476,IF($L476&gt;=$J476,cfgRetakeRecordedCap,SUMIFS(nrES_Raw,nrES_PID,$D476,nrES_Code,$F476,nrES_Att,1))))))</f>
        <v/>
      </c>
      <c r="N476" s="15">
        <f>IF($C476="","",IF($L476="","",IF($L476&gt;=$J476,"Yes","No")))</f>
        <v/>
      </c>
      <c r="O476" s="15">
        <f>IF($C476="","",IF($M476="","",IF($M476&gt;=$J476,"Yes","No")))</f>
        <v/>
      </c>
      <c r="P476" s="15">
        <f>IF($C476="","",IF($K476="","",IF(COUNTIFS(nrES_PID,$D476,nrES_Code,$F476,nrES_Att,"&gt;"&amp;$K476)=0,"Yes","No")))</f>
        <v/>
      </c>
      <c r="Q476" s="15">
        <f>IF($C476="","",IF($L476="","",IF(AND($K476=1,$L476&lt;$J476,COUNTIFS(nrES_PID,$D476,nrES_Code,$F476,nrES_Att,2)=0),"Yes","No")))</f>
        <v/>
      </c>
      <c r="R476" s="15">
        <f>IF($C476="","",IF($L476="","",IF(AND($K476=2,$L476&lt;$J476,COUNTIFS(nrES_PID,$D476,nrES_Code,$F476,nrES_Att,1)&gt;0),"Yes","No")))</f>
        <v/>
      </c>
      <c r="S476" s="16" t="n"/>
      <c r="T476" s="17">
        <f>IF($Q476&lt;&gt;"Yes","",IF($S476="","(enter date)",_xlfn.LET(_xlpm.dn,IFERROR(_xlfn.XLOOKUP($S476,nrCDdate,nrCDnum),""),IF(_xlpm.dn="","(not a class day)",IFERROR(_xlfn.XLOOKUP(_xlpm.dn+cfgRetestClassDays,nrCDnum,nrCDdate),"")))))</f>
        <v/>
      </c>
      <c r="U476" s="15">
        <f>IF($Q476&lt;&gt;"Yes","",IF(COUNTIFS(nrES_PID,$D476,nrES_Code,$F476,nrES_Att,2)&gt;0,"Retested",IF(OR($T476="",NOT(ISNUMBER($T476))),"Pending",IF(TODAY()&gt;$T476,"OVERDUE","Due "&amp;TEXT($T476,"mm/dd")))))</f>
        <v/>
      </c>
      <c r="V476" s="14" t="n"/>
      <c r="W476" s="14" t="n"/>
    </row>
    <row r="477">
      <c r="B477" s="15">
        <f>IF($C477="","",$D477&amp;"-"&amp;$F477&amp;"-"&amp;$K477)</f>
        <v/>
      </c>
      <c r="C477" s="14" t="n"/>
      <c r="D477" s="15">
        <f>IF($C477="","",IFERROR(INDEX(rngCadetPIDs,MATCH($C477,rngCadetNames,0)),"?"))</f>
        <v/>
      </c>
      <c r="E477" s="15">
        <f>IF($D477="","",IFERROR(INDEX(nrCadetAgency,MATCH($D477,rngCadetPIDs,0)),""))</f>
        <v/>
      </c>
      <c r="F477" s="14" t="n"/>
      <c r="G477" s="15">
        <f>IF($F477="","",IFERROR(INDEX(rngEPname,MATCH($F477,rngEPcode,0)),"?"))</f>
        <v/>
      </c>
      <c r="H477" s="15">
        <f>IF($F477="","",IFERROR(INDEX(rngEPtype,MATCH($F477,rngEPcode,0)),"?"))</f>
        <v/>
      </c>
      <c r="I477" s="15">
        <f>IF($F477="","",IFERROR(INDEX(rngEPseq,MATCH($F477,rngEPcode,0)),""))</f>
        <v/>
      </c>
      <c r="J477" s="15">
        <f>IF($F477="","",IFERROR(INDEX(rngEPpass,MATCH($F477,rngEPcode,0)),cfgPassingScore))</f>
        <v/>
      </c>
      <c r="K477" s="14" t="n"/>
      <c r="L477" s="14" t="n"/>
      <c r="M477" s="15">
        <f>IF($C477="","",IF($L477="","",IF($K477=1,IF(COUNTIFS(nrES_PID,$D477,nrES_Code,$F477,nrES_Att,2)&gt;0,"",$L477),IF(COUNTIFS(nrES_PID,$D477,nrES_Code,$F477,nrES_Att,1)=0,$L477,IF($L477&gt;=$J477,cfgRetakeRecordedCap,SUMIFS(nrES_Raw,nrES_PID,$D477,nrES_Code,$F477,nrES_Att,1))))))</f>
        <v/>
      </c>
      <c r="N477" s="15">
        <f>IF($C477="","",IF($L477="","",IF($L477&gt;=$J477,"Yes","No")))</f>
        <v/>
      </c>
      <c r="O477" s="15">
        <f>IF($C477="","",IF($M477="","",IF($M477&gt;=$J477,"Yes","No")))</f>
        <v/>
      </c>
      <c r="P477" s="15">
        <f>IF($C477="","",IF($K477="","",IF(COUNTIFS(nrES_PID,$D477,nrES_Code,$F477,nrES_Att,"&gt;"&amp;$K477)=0,"Yes","No")))</f>
        <v/>
      </c>
      <c r="Q477" s="15">
        <f>IF($C477="","",IF($L477="","",IF(AND($K477=1,$L477&lt;$J477,COUNTIFS(nrES_PID,$D477,nrES_Code,$F477,nrES_Att,2)=0),"Yes","No")))</f>
        <v/>
      </c>
      <c r="R477" s="15">
        <f>IF($C477="","",IF($L477="","",IF(AND($K477=2,$L477&lt;$J477,COUNTIFS(nrES_PID,$D477,nrES_Code,$F477,nrES_Att,1)&gt;0),"Yes","No")))</f>
        <v/>
      </c>
      <c r="S477" s="16" t="n"/>
      <c r="T477" s="17">
        <f>IF($Q477&lt;&gt;"Yes","",IF($S477="","(enter date)",_xlfn.LET(_xlpm.dn,IFERROR(_xlfn.XLOOKUP($S477,nrCDdate,nrCDnum),""),IF(_xlpm.dn="","(not a class day)",IFERROR(_xlfn.XLOOKUP(_xlpm.dn+cfgRetestClassDays,nrCDnum,nrCDdate),"")))))</f>
        <v/>
      </c>
      <c r="U477" s="15">
        <f>IF($Q477&lt;&gt;"Yes","",IF(COUNTIFS(nrES_PID,$D477,nrES_Code,$F477,nrES_Att,2)&gt;0,"Retested",IF(OR($T477="",NOT(ISNUMBER($T477))),"Pending",IF(TODAY()&gt;$T477,"OVERDUE","Due "&amp;TEXT($T477,"mm/dd")))))</f>
        <v/>
      </c>
      <c r="V477" s="14" t="n"/>
      <c r="W477" s="14" t="n"/>
    </row>
    <row r="478">
      <c r="B478" s="15">
        <f>IF($C478="","",$D478&amp;"-"&amp;$F478&amp;"-"&amp;$K478)</f>
        <v/>
      </c>
      <c r="C478" s="14" t="n"/>
      <c r="D478" s="15">
        <f>IF($C478="","",IFERROR(INDEX(rngCadetPIDs,MATCH($C478,rngCadetNames,0)),"?"))</f>
        <v/>
      </c>
      <c r="E478" s="15">
        <f>IF($D478="","",IFERROR(INDEX(nrCadetAgency,MATCH($D478,rngCadetPIDs,0)),""))</f>
        <v/>
      </c>
      <c r="F478" s="14" t="n"/>
      <c r="G478" s="15">
        <f>IF($F478="","",IFERROR(INDEX(rngEPname,MATCH($F478,rngEPcode,0)),"?"))</f>
        <v/>
      </c>
      <c r="H478" s="15">
        <f>IF($F478="","",IFERROR(INDEX(rngEPtype,MATCH($F478,rngEPcode,0)),"?"))</f>
        <v/>
      </c>
      <c r="I478" s="15">
        <f>IF($F478="","",IFERROR(INDEX(rngEPseq,MATCH($F478,rngEPcode,0)),""))</f>
        <v/>
      </c>
      <c r="J478" s="15">
        <f>IF($F478="","",IFERROR(INDEX(rngEPpass,MATCH($F478,rngEPcode,0)),cfgPassingScore))</f>
        <v/>
      </c>
      <c r="K478" s="14" t="n"/>
      <c r="L478" s="14" t="n"/>
      <c r="M478" s="15">
        <f>IF($C478="","",IF($L478="","",IF($K478=1,IF(COUNTIFS(nrES_PID,$D478,nrES_Code,$F478,nrES_Att,2)&gt;0,"",$L478),IF(COUNTIFS(nrES_PID,$D478,nrES_Code,$F478,nrES_Att,1)=0,$L478,IF($L478&gt;=$J478,cfgRetakeRecordedCap,SUMIFS(nrES_Raw,nrES_PID,$D478,nrES_Code,$F478,nrES_Att,1))))))</f>
        <v/>
      </c>
      <c r="N478" s="15">
        <f>IF($C478="","",IF($L478="","",IF($L478&gt;=$J478,"Yes","No")))</f>
        <v/>
      </c>
      <c r="O478" s="15">
        <f>IF($C478="","",IF($M478="","",IF($M478&gt;=$J478,"Yes","No")))</f>
        <v/>
      </c>
      <c r="P478" s="15">
        <f>IF($C478="","",IF($K478="","",IF(COUNTIFS(nrES_PID,$D478,nrES_Code,$F478,nrES_Att,"&gt;"&amp;$K478)=0,"Yes","No")))</f>
        <v/>
      </c>
      <c r="Q478" s="15">
        <f>IF($C478="","",IF($L478="","",IF(AND($K478=1,$L478&lt;$J478,COUNTIFS(nrES_PID,$D478,nrES_Code,$F478,nrES_Att,2)=0),"Yes","No")))</f>
        <v/>
      </c>
      <c r="R478" s="15">
        <f>IF($C478="","",IF($L478="","",IF(AND($K478=2,$L478&lt;$J478,COUNTIFS(nrES_PID,$D478,nrES_Code,$F478,nrES_Att,1)&gt;0),"Yes","No")))</f>
        <v/>
      </c>
      <c r="S478" s="16" t="n"/>
      <c r="T478" s="17">
        <f>IF($Q478&lt;&gt;"Yes","",IF($S478="","(enter date)",_xlfn.LET(_xlpm.dn,IFERROR(_xlfn.XLOOKUP($S478,nrCDdate,nrCDnum),""),IF(_xlpm.dn="","(not a class day)",IFERROR(_xlfn.XLOOKUP(_xlpm.dn+cfgRetestClassDays,nrCDnum,nrCDdate),"")))))</f>
        <v/>
      </c>
      <c r="U478" s="15">
        <f>IF($Q478&lt;&gt;"Yes","",IF(COUNTIFS(nrES_PID,$D478,nrES_Code,$F478,nrES_Att,2)&gt;0,"Retested",IF(OR($T478="",NOT(ISNUMBER($T478))),"Pending",IF(TODAY()&gt;$T478,"OVERDUE","Due "&amp;TEXT($T478,"mm/dd")))))</f>
        <v/>
      </c>
      <c r="V478" s="14" t="n"/>
      <c r="W478" s="14" t="n"/>
    </row>
    <row r="479">
      <c r="B479" s="15">
        <f>IF($C479="","",$D479&amp;"-"&amp;$F479&amp;"-"&amp;$K479)</f>
        <v/>
      </c>
      <c r="C479" s="14" t="n"/>
      <c r="D479" s="15">
        <f>IF($C479="","",IFERROR(INDEX(rngCadetPIDs,MATCH($C479,rngCadetNames,0)),"?"))</f>
        <v/>
      </c>
      <c r="E479" s="15">
        <f>IF($D479="","",IFERROR(INDEX(nrCadetAgency,MATCH($D479,rngCadetPIDs,0)),""))</f>
        <v/>
      </c>
      <c r="F479" s="14" t="n"/>
      <c r="G479" s="15">
        <f>IF($F479="","",IFERROR(INDEX(rngEPname,MATCH($F479,rngEPcode,0)),"?"))</f>
        <v/>
      </c>
      <c r="H479" s="15">
        <f>IF($F479="","",IFERROR(INDEX(rngEPtype,MATCH($F479,rngEPcode,0)),"?"))</f>
        <v/>
      </c>
      <c r="I479" s="15">
        <f>IF($F479="","",IFERROR(INDEX(rngEPseq,MATCH($F479,rngEPcode,0)),""))</f>
        <v/>
      </c>
      <c r="J479" s="15">
        <f>IF($F479="","",IFERROR(INDEX(rngEPpass,MATCH($F479,rngEPcode,0)),cfgPassingScore))</f>
        <v/>
      </c>
      <c r="K479" s="14" t="n"/>
      <c r="L479" s="14" t="n"/>
      <c r="M479" s="15">
        <f>IF($C479="","",IF($L479="","",IF($K479=1,IF(COUNTIFS(nrES_PID,$D479,nrES_Code,$F479,nrES_Att,2)&gt;0,"",$L479),IF(COUNTIFS(nrES_PID,$D479,nrES_Code,$F479,nrES_Att,1)=0,$L479,IF($L479&gt;=$J479,cfgRetakeRecordedCap,SUMIFS(nrES_Raw,nrES_PID,$D479,nrES_Code,$F479,nrES_Att,1))))))</f>
        <v/>
      </c>
      <c r="N479" s="15">
        <f>IF($C479="","",IF($L479="","",IF($L479&gt;=$J479,"Yes","No")))</f>
        <v/>
      </c>
      <c r="O479" s="15">
        <f>IF($C479="","",IF($M479="","",IF($M479&gt;=$J479,"Yes","No")))</f>
        <v/>
      </c>
      <c r="P479" s="15">
        <f>IF($C479="","",IF($K479="","",IF(COUNTIFS(nrES_PID,$D479,nrES_Code,$F479,nrES_Att,"&gt;"&amp;$K479)=0,"Yes","No")))</f>
        <v/>
      </c>
      <c r="Q479" s="15">
        <f>IF($C479="","",IF($L479="","",IF(AND($K479=1,$L479&lt;$J479,COUNTIFS(nrES_PID,$D479,nrES_Code,$F479,nrES_Att,2)=0),"Yes","No")))</f>
        <v/>
      </c>
      <c r="R479" s="15">
        <f>IF($C479="","",IF($L479="","",IF(AND($K479=2,$L479&lt;$J479,COUNTIFS(nrES_PID,$D479,nrES_Code,$F479,nrES_Att,1)&gt;0),"Yes","No")))</f>
        <v/>
      </c>
      <c r="S479" s="16" t="n"/>
      <c r="T479" s="17">
        <f>IF($Q479&lt;&gt;"Yes","",IF($S479="","(enter date)",_xlfn.LET(_xlpm.dn,IFERROR(_xlfn.XLOOKUP($S479,nrCDdate,nrCDnum),""),IF(_xlpm.dn="","(not a class day)",IFERROR(_xlfn.XLOOKUP(_xlpm.dn+cfgRetestClassDays,nrCDnum,nrCDdate),"")))))</f>
        <v/>
      </c>
      <c r="U479" s="15">
        <f>IF($Q479&lt;&gt;"Yes","",IF(COUNTIFS(nrES_PID,$D479,nrES_Code,$F479,nrES_Att,2)&gt;0,"Retested",IF(OR($T479="",NOT(ISNUMBER($T479))),"Pending",IF(TODAY()&gt;$T479,"OVERDUE","Due "&amp;TEXT($T479,"mm/dd")))))</f>
        <v/>
      </c>
      <c r="V479" s="14" t="n"/>
      <c r="W479" s="14" t="n"/>
    </row>
    <row r="480">
      <c r="B480" s="15">
        <f>IF($C480="","",$D480&amp;"-"&amp;$F480&amp;"-"&amp;$K480)</f>
        <v/>
      </c>
      <c r="C480" s="14" t="n"/>
      <c r="D480" s="15">
        <f>IF($C480="","",IFERROR(INDEX(rngCadetPIDs,MATCH($C480,rngCadetNames,0)),"?"))</f>
        <v/>
      </c>
      <c r="E480" s="15">
        <f>IF($D480="","",IFERROR(INDEX(nrCadetAgency,MATCH($D480,rngCadetPIDs,0)),""))</f>
        <v/>
      </c>
      <c r="F480" s="14" t="n"/>
      <c r="G480" s="15">
        <f>IF($F480="","",IFERROR(INDEX(rngEPname,MATCH($F480,rngEPcode,0)),"?"))</f>
        <v/>
      </c>
      <c r="H480" s="15">
        <f>IF($F480="","",IFERROR(INDEX(rngEPtype,MATCH($F480,rngEPcode,0)),"?"))</f>
        <v/>
      </c>
      <c r="I480" s="15">
        <f>IF($F480="","",IFERROR(INDEX(rngEPseq,MATCH($F480,rngEPcode,0)),""))</f>
        <v/>
      </c>
      <c r="J480" s="15">
        <f>IF($F480="","",IFERROR(INDEX(rngEPpass,MATCH($F480,rngEPcode,0)),cfgPassingScore))</f>
        <v/>
      </c>
      <c r="K480" s="14" t="n"/>
      <c r="L480" s="14" t="n"/>
      <c r="M480" s="15">
        <f>IF($C480="","",IF($L480="","",IF($K480=1,IF(COUNTIFS(nrES_PID,$D480,nrES_Code,$F480,nrES_Att,2)&gt;0,"",$L480),IF(COUNTIFS(nrES_PID,$D480,nrES_Code,$F480,nrES_Att,1)=0,$L480,IF($L480&gt;=$J480,cfgRetakeRecordedCap,SUMIFS(nrES_Raw,nrES_PID,$D480,nrES_Code,$F480,nrES_Att,1))))))</f>
        <v/>
      </c>
      <c r="N480" s="15">
        <f>IF($C480="","",IF($L480="","",IF($L480&gt;=$J480,"Yes","No")))</f>
        <v/>
      </c>
      <c r="O480" s="15">
        <f>IF($C480="","",IF($M480="","",IF($M480&gt;=$J480,"Yes","No")))</f>
        <v/>
      </c>
      <c r="P480" s="15">
        <f>IF($C480="","",IF($K480="","",IF(COUNTIFS(nrES_PID,$D480,nrES_Code,$F480,nrES_Att,"&gt;"&amp;$K480)=0,"Yes","No")))</f>
        <v/>
      </c>
      <c r="Q480" s="15">
        <f>IF($C480="","",IF($L480="","",IF(AND($K480=1,$L480&lt;$J480,COUNTIFS(nrES_PID,$D480,nrES_Code,$F480,nrES_Att,2)=0),"Yes","No")))</f>
        <v/>
      </c>
      <c r="R480" s="15">
        <f>IF($C480="","",IF($L480="","",IF(AND($K480=2,$L480&lt;$J480,COUNTIFS(nrES_PID,$D480,nrES_Code,$F480,nrES_Att,1)&gt;0),"Yes","No")))</f>
        <v/>
      </c>
      <c r="S480" s="16" t="n"/>
      <c r="T480" s="17">
        <f>IF($Q480&lt;&gt;"Yes","",IF($S480="","(enter date)",_xlfn.LET(_xlpm.dn,IFERROR(_xlfn.XLOOKUP($S480,nrCDdate,nrCDnum),""),IF(_xlpm.dn="","(not a class day)",IFERROR(_xlfn.XLOOKUP(_xlpm.dn+cfgRetestClassDays,nrCDnum,nrCDdate),"")))))</f>
        <v/>
      </c>
      <c r="U480" s="15">
        <f>IF($Q480&lt;&gt;"Yes","",IF(COUNTIFS(nrES_PID,$D480,nrES_Code,$F480,nrES_Att,2)&gt;0,"Retested",IF(OR($T480="",NOT(ISNUMBER($T480))),"Pending",IF(TODAY()&gt;$T480,"OVERDUE","Due "&amp;TEXT($T480,"mm/dd")))))</f>
        <v/>
      </c>
      <c r="V480" s="14" t="n"/>
      <c r="W480" s="14" t="n"/>
    </row>
    <row r="481">
      <c r="B481" s="15">
        <f>IF($C481="","",$D481&amp;"-"&amp;$F481&amp;"-"&amp;$K481)</f>
        <v/>
      </c>
      <c r="C481" s="14" t="n"/>
      <c r="D481" s="15">
        <f>IF($C481="","",IFERROR(INDEX(rngCadetPIDs,MATCH($C481,rngCadetNames,0)),"?"))</f>
        <v/>
      </c>
      <c r="E481" s="15">
        <f>IF($D481="","",IFERROR(INDEX(nrCadetAgency,MATCH($D481,rngCadetPIDs,0)),""))</f>
        <v/>
      </c>
      <c r="F481" s="14" t="n"/>
      <c r="G481" s="15">
        <f>IF($F481="","",IFERROR(INDEX(rngEPname,MATCH($F481,rngEPcode,0)),"?"))</f>
        <v/>
      </c>
      <c r="H481" s="15">
        <f>IF($F481="","",IFERROR(INDEX(rngEPtype,MATCH($F481,rngEPcode,0)),"?"))</f>
        <v/>
      </c>
      <c r="I481" s="15">
        <f>IF($F481="","",IFERROR(INDEX(rngEPseq,MATCH($F481,rngEPcode,0)),""))</f>
        <v/>
      </c>
      <c r="J481" s="15">
        <f>IF($F481="","",IFERROR(INDEX(rngEPpass,MATCH($F481,rngEPcode,0)),cfgPassingScore))</f>
        <v/>
      </c>
      <c r="K481" s="14" t="n"/>
      <c r="L481" s="14" t="n"/>
      <c r="M481" s="15">
        <f>IF($C481="","",IF($L481="","",IF($K481=1,IF(COUNTIFS(nrES_PID,$D481,nrES_Code,$F481,nrES_Att,2)&gt;0,"",$L481),IF(COUNTIFS(nrES_PID,$D481,nrES_Code,$F481,nrES_Att,1)=0,$L481,IF($L481&gt;=$J481,cfgRetakeRecordedCap,SUMIFS(nrES_Raw,nrES_PID,$D481,nrES_Code,$F481,nrES_Att,1))))))</f>
        <v/>
      </c>
      <c r="N481" s="15">
        <f>IF($C481="","",IF($L481="","",IF($L481&gt;=$J481,"Yes","No")))</f>
        <v/>
      </c>
      <c r="O481" s="15">
        <f>IF($C481="","",IF($M481="","",IF($M481&gt;=$J481,"Yes","No")))</f>
        <v/>
      </c>
      <c r="P481" s="15">
        <f>IF($C481="","",IF($K481="","",IF(COUNTIFS(nrES_PID,$D481,nrES_Code,$F481,nrES_Att,"&gt;"&amp;$K481)=0,"Yes","No")))</f>
        <v/>
      </c>
      <c r="Q481" s="15">
        <f>IF($C481="","",IF($L481="","",IF(AND($K481=1,$L481&lt;$J481,COUNTIFS(nrES_PID,$D481,nrES_Code,$F481,nrES_Att,2)=0),"Yes","No")))</f>
        <v/>
      </c>
      <c r="R481" s="15">
        <f>IF($C481="","",IF($L481="","",IF(AND($K481=2,$L481&lt;$J481,COUNTIFS(nrES_PID,$D481,nrES_Code,$F481,nrES_Att,1)&gt;0),"Yes","No")))</f>
        <v/>
      </c>
      <c r="S481" s="16" t="n"/>
      <c r="T481" s="17">
        <f>IF($Q481&lt;&gt;"Yes","",IF($S481="","(enter date)",_xlfn.LET(_xlpm.dn,IFERROR(_xlfn.XLOOKUP($S481,nrCDdate,nrCDnum),""),IF(_xlpm.dn="","(not a class day)",IFERROR(_xlfn.XLOOKUP(_xlpm.dn+cfgRetestClassDays,nrCDnum,nrCDdate),"")))))</f>
        <v/>
      </c>
      <c r="U481" s="15">
        <f>IF($Q481&lt;&gt;"Yes","",IF(COUNTIFS(nrES_PID,$D481,nrES_Code,$F481,nrES_Att,2)&gt;0,"Retested",IF(OR($T481="",NOT(ISNUMBER($T481))),"Pending",IF(TODAY()&gt;$T481,"OVERDUE","Due "&amp;TEXT($T481,"mm/dd")))))</f>
        <v/>
      </c>
      <c r="V481" s="14" t="n"/>
      <c r="W481" s="14" t="n"/>
    </row>
    <row r="482">
      <c r="B482" s="15">
        <f>IF($C482="","",$D482&amp;"-"&amp;$F482&amp;"-"&amp;$K482)</f>
        <v/>
      </c>
      <c r="C482" s="14" t="n"/>
      <c r="D482" s="15">
        <f>IF($C482="","",IFERROR(INDEX(rngCadetPIDs,MATCH($C482,rngCadetNames,0)),"?"))</f>
        <v/>
      </c>
      <c r="E482" s="15">
        <f>IF($D482="","",IFERROR(INDEX(nrCadetAgency,MATCH($D482,rngCadetPIDs,0)),""))</f>
        <v/>
      </c>
      <c r="F482" s="14" t="n"/>
      <c r="G482" s="15">
        <f>IF($F482="","",IFERROR(INDEX(rngEPname,MATCH($F482,rngEPcode,0)),"?"))</f>
        <v/>
      </c>
      <c r="H482" s="15">
        <f>IF($F482="","",IFERROR(INDEX(rngEPtype,MATCH($F482,rngEPcode,0)),"?"))</f>
        <v/>
      </c>
      <c r="I482" s="15">
        <f>IF($F482="","",IFERROR(INDEX(rngEPseq,MATCH($F482,rngEPcode,0)),""))</f>
        <v/>
      </c>
      <c r="J482" s="15">
        <f>IF($F482="","",IFERROR(INDEX(rngEPpass,MATCH($F482,rngEPcode,0)),cfgPassingScore))</f>
        <v/>
      </c>
      <c r="K482" s="14" t="n"/>
      <c r="L482" s="14" t="n"/>
      <c r="M482" s="15">
        <f>IF($C482="","",IF($L482="","",IF($K482=1,IF(COUNTIFS(nrES_PID,$D482,nrES_Code,$F482,nrES_Att,2)&gt;0,"",$L482),IF(COUNTIFS(nrES_PID,$D482,nrES_Code,$F482,nrES_Att,1)=0,$L482,IF($L482&gt;=$J482,cfgRetakeRecordedCap,SUMIFS(nrES_Raw,nrES_PID,$D482,nrES_Code,$F482,nrES_Att,1))))))</f>
        <v/>
      </c>
      <c r="N482" s="15">
        <f>IF($C482="","",IF($L482="","",IF($L482&gt;=$J482,"Yes","No")))</f>
        <v/>
      </c>
      <c r="O482" s="15">
        <f>IF($C482="","",IF($M482="","",IF($M482&gt;=$J482,"Yes","No")))</f>
        <v/>
      </c>
      <c r="P482" s="15">
        <f>IF($C482="","",IF($K482="","",IF(COUNTIFS(nrES_PID,$D482,nrES_Code,$F482,nrES_Att,"&gt;"&amp;$K482)=0,"Yes","No")))</f>
        <v/>
      </c>
      <c r="Q482" s="15">
        <f>IF($C482="","",IF($L482="","",IF(AND($K482=1,$L482&lt;$J482,COUNTIFS(nrES_PID,$D482,nrES_Code,$F482,nrES_Att,2)=0),"Yes","No")))</f>
        <v/>
      </c>
      <c r="R482" s="15">
        <f>IF($C482="","",IF($L482="","",IF(AND($K482=2,$L482&lt;$J482,COUNTIFS(nrES_PID,$D482,nrES_Code,$F482,nrES_Att,1)&gt;0),"Yes","No")))</f>
        <v/>
      </c>
      <c r="S482" s="16" t="n"/>
      <c r="T482" s="17">
        <f>IF($Q482&lt;&gt;"Yes","",IF($S482="","(enter date)",_xlfn.LET(_xlpm.dn,IFERROR(_xlfn.XLOOKUP($S482,nrCDdate,nrCDnum),""),IF(_xlpm.dn="","(not a class day)",IFERROR(_xlfn.XLOOKUP(_xlpm.dn+cfgRetestClassDays,nrCDnum,nrCDdate),"")))))</f>
        <v/>
      </c>
      <c r="U482" s="15">
        <f>IF($Q482&lt;&gt;"Yes","",IF(COUNTIFS(nrES_PID,$D482,nrES_Code,$F482,nrES_Att,2)&gt;0,"Retested",IF(OR($T482="",NOT(ISNUMBER($T482))),"Pending",IF(TODAY()&gt;$T482,"OVERDUE","Due "&amp;TEXT($T482,"mm/dd")))))</f>
        <v/>
      </c>
      <c r="V482" s="14" t="n"/>
      <c r="W482" s="14" t="n"/>
    </row>
    <row r="483">
      <c r="B483" s="15">
        <f>IF($C483="","",$D483&amp;"-"&amp;$F483&amp;"-"&amp;$K483)</f>
        <v/>
      </c>
      <c r="C483" s="14" t="n"/>
      <c r="D483" s="15">
        <f>IF($C483="","",IFERROR(INDEX(rngCadetPIDs,MATCH($C483,rngCadetNames,0)),"?"))</f>
        <v/>
      </c>
      <c r="E483" s="15">
        <f>IF($D483="","",IFERROR(INDEX(nrCadetAgency,MATCH($D483,rngCadetPIDs,0)),""))</f>
        <v/>
      </c>
      <c r="F483" s="14" t="n"/>
      <c r="G483" s="15">
        <f>IF($F483="","",IFERROR(INDEX(rngEPname,MATCH($F483,rngEPcode,0)),"?"))</f>
        <v/>
      </c>
      <c r="H483" s="15">
        <f>IF($F483="","",IFERROR(INDEX(rngEPtype,MATCH($F483,rngEPcode,0)),"?"))</f>
        <v/>
      </c>
      <c r="I483" s="15">
        <f>IF($F483="","",IFERROR(INDEX(rngEPseq,MATCH($F483,rngEPcode,0)),""))</f>
        <v/>
      </c>
      <c r="J483" s="15">
        <f>IF($F483="","",IFERROR(INDEX(rngEPpass,MATCH($F483,rngEPcode,0)),cfgPassingScore))</f>
        <v/>
      </c>
      <c r="K483" s="14" t="n"/>
      <c r="L483" s="14" t="n"/>
      <c r="M483" s="15">
        <f>IF($C483="","",IF($L483="","",IF($K483=1,IF(COUNTIFS(nrES_PID,$D483,nrES_Code,$F483,nrES_Att,2)&gt;0,"",$L483),IF(COUNTIFS(nrES_PID,$D483,nrES_Code,$F483,nrES_Att,1)=0,$L483,IF($L483&gt;=$J483,cfgRetakeRecordedCap,SUMIFS(nrES_Raw,nrES_PID,$D483,nrES_Code,$F483,nrES_Att,1))))))</f>
        <v/>
      </c>
      <c r="N483" s="15">
        <f>IF($C483="","",IF($L483="","",IF($L483&gt;=$J483,"Yes","No")))</f>
        <v/>
      </c>
      <c r="O483" s="15">
        <f>IF($C483="","",IF($M483="","",IF($M483&gt;=$J483,"Yes","No")))</f>
        <v/>
      </c>
      <c r="P483" s="15">
        <f>IF($C483="","",IF($K483="","",IF(COUNTIFS(nrES_PID,$D483,nrES_Code,$F483,nrES_Att,"&gt;"&amp;$K483)=0,"Yes","No")))</f>
        <v/>
      </c>
      <c r="Q483" s="15">
        <f>IF($C483="","",IF($L483="","",IF(AND($K483=1,$L483&lt;$J483,COUNTIFS(nrES_PID,$D483,nrES_Code,$F483,nrES_Att,2)=0),"Yes","No")))</f>
        <v/>
      </c>
      <c r="R483" s="15">
        <f>IF($C483="","",IF($L483="","",IF(AND($K483=2,$L483&lt;$J483,COUNTIFS(nrES_PID,$D483,nrES_Code,$F483,nrES_Att,1)&gt;0),"Yes","No")))</f>
        <v/>
      </c>
      <c r="S483" s="16" t="n"/>
      <c r="T483" s="17">
        <f>IF($Q483&lt;&gt;"Yes","",IF($S483="","(enter date)",_xlfn.LET(_xlpm.dn,IFERROR(_xlfn.XLOOKUP($S483,nrCDdate,nrCDnum),""),IF(_xlpm.dn="","(not a class day)",IFERROR(_xlfn.XLOOKUP(_xlpm.dn+cfgRetestClassDays,nrCDnum,nrCDdate),"")))))</f>
        <v/>
      </c>
      <c r="U483" s="15">
        <f>IF($Q483&lt;&gt;"Yes","",IF(COUNTIFS(nrES_PID,$D483,nrES_Code,$F483,nrES_Att,2)&gt;0,"Retested",IF(OR($T483="",NOT(ISNUMBER($T483))),"Pending",IF(TODAY()&gt;$T483,"OVERDUE","Due "&amp;TEXT($T483,"mm/dd")))))</f>
        <v/>
      </c>
      <c r="V483" s="14" t="n"/>
      <c r="W483" s="14" t="n"/>
    </row>
    <row r="484">
      <c r="B484" s="15">
        <f>IF($C484="","",$D484&amp;"-"&amp;$F484&amp;"-"&amp;$K484)</f>
        <v/>
      </c>
      <c r="C484" s="14" t="n"/>
      <c r="D484" s="15">
        <f>IF($C484="","",IFERROR(INDEX(rngCadetPIDs,MATCH($C484,rngCadetNames,0)),"?"))</f>
        <v/>
      </c>
      <c r="E484" s="15">
        <f>IF($D484="","",IFERROR(INDEX(nrCadetAgency,MATCH($D484,rngCadetPIDs,0)),""))</f>
        <v/>
      </c>
      <c r="F484" s="14" t="n"/>
      <c r="G484" s="15">
        <f>IF($F484="","",IFERROR(INDEX(rngEPname,MATCH($F484,rngEPcode,0)),"?"))</f>
        <v/>
      </c>
      <c r="H484" s="15">
        <f>IF($F484="","",IFERROR(INDEX(rngEPtype,MATCH($F484,rngEPcode,0)),"?"))</f>
        <v/>
      </c>
      <c r="I484" s="15">
        <f>IF($F484="","",IFERROR(INDEX(rngEPseq,MATCH($F484,rngEPcode,0)),""))</f>
        <v/>
      </c>
      <c r="J484" s="15">
        <f>IF($F484="","",IFERROR(INDEX(rngEPpass,MATCH($F484,rngEPcode,0)),cfgPassingScore))</f>
        <v/>
      </c>
      <c r="K484" s="14" t="n"/>
      <c r="L484" s="14" t="n"/>
      <c r="M484" s="15">
        <f>IF($C484="","",IF($L484="","",IF($K484=1,IF(COUNTIFS(nrES_PID,$D484,nrES_Code,$F484,nrES_Att,2)&gt;0,"",$L484),IF(COUNTIFS(nrES_PID,$D484,nrES_Code,$F484,nrES_Att,1)=0,$L484,IF($L484&gt;=$J484,cfgRetakeRecordedCap,SUMIFS(nrES_Raw,nrES_PID,$D484,nrES_Code,$F484,nrES_Att,1))))))</f>
        <v/>
      </c>
      <c r="N484" s="15">
        <f>IF($C484="","",IF($L484="","",IF($L484&gt;=$J484,"Yes","No")))</f>
        <v/>
      </c>
      <c r="O484" s="15">
        <f>IF($C484="","",IF($M484="","",IF($M484&gt;=$J484,"Yes","No")))</f>
        <v/>
      </c>
      <c r="P484" s="15">
        <f>IF($C484="","",IF($K484="","",IF(COUNTIFS(nrES_PID,$D484,nrES_Code,$F484,nrES_Att,"&gt;"&amp;$K484)=0,"Yes","No")))</f>
        <v/>
      </c>
      <c r="Q484" s="15">
        <f>IF($C484="","",IF($L484="","",IF(AND($K484=1,$L484&lt;$J484,COUNTIFS(nrES_PID,$D484,nrES_Code,$F484,nrES_Att,2)=0),"Yes","No")))</f>
        <v/>
      </c>
      <c r="R484" s="15">
        <f>IF($C484="","",IF($L484="","",IF(AND($K484=2,$L484&lt;$J484,COUNTIFS(nrES_PID,$D484,nrES_Code,$F484,nrES_Att,1)&gt;0),"Yes","No")))</f>
        <v/>
      </c>
      <c r="S484" s="16" t="n"/>
      <c r="T484" s="17">
        <f>IF($Q484&lt;&gt;"Yes","",IF($S484="","(enter date)",_xlfn.LET(_xlpm.dn,IFERROR(_xlfn.XLOOKUP($S484,nrCDdate,nrCDnum),""),IF(_xlpm.dn="","(not a class day)",IFERROR(_xlfn.XLOOKUP(_xlpm.dn+cfgRetestClassDays,nrCDnum,nrCDdate),"")))))</f>
        <v/>
      </c>
      <c r="U484" s="15">
        <f>IF($Q484&lt;&gt;"Yes","",IF(COUNTIFS(nrES_PID,$D484,nrES_Code,$F484,nrES_Att,2)&gt;0,"Retested",IF(OR($T484="",NOT(ISNUMBER($T484))),"Pending",IF(TODAY()&gt;$T484,"OVERDUE","Due "&amp;TEXT($T484,"mm/dd")))))</f>
        <v/>
      </c>
      <c r="V484" s="14" t="n"/>
      <c r="W484" s="14" t="n"/>
    </row>
    <row r="485">
      <c r="B485" s="15">
        <f>IF($C485="","",$D485&amp;"-"&amp;$F485&amp;"-"&amp;$K485)</f>
        <v/>
      </c>
      <c r="C485" s="14" t="n"/>
      <c r="D485" s="15">
        <f>IF($C485="","",IFERROR(INDEX(rngCadetPIDs,MATCH($C485,rngCadetNames,0)),"?"))</f>
        <v/>
      </c>
      <c r="E485" s="15">
        <f>IF($D485="","",IFERROR(INDEX(nrCadetAgency,MATCH($D485,rngCadetPIDs,0)),""))</f>
        <v/>
      </c>
      <c r="F485" s="14" t="n"/>
      <c r="G485" s="15">
        <f>IF($F485="","",IFERROR(INDEX(rngEPname,MATCH($F485,rngEPcode,0)),"?"))</f>
        <v/>
      </c>
      <c r="H485" s="15">
        <f>IF($F485="","",IFERROR(INDEX(rngEPtype,MATCH($F485,rngEPcode,0)),"?"))</f>
        <v/>
      </c>
      <c r="I485" s="15">
        <f>IF($F485="","",IFERROR(INDEX(rngEPseq,MATCH($F485,rngEPcode,0)),""))</f>
        <v/>
      </c>
      <c r="J485" s="15">
        <f>IF($F485="","",IFERROR(INDEX(rngEPpass,MATCH($F485,rngEPcode,0)),cfgPassingScore))</f>
        <v/>
      </c>
      <c r="K485" s="14" t="n"/>
      <c r="L485" s="14" t="n"/>
      <c r="M485" s="15">
        <f>IF($C485="","",IF($L485="","",IF($K485=1,IF(COUNTIFS(nrES_PID,$D485,nrES_Code,$F485,nrES_Att,2)&gt;0,"",$L485),IF(COUNTIFS(nrES_PID,$D485,nrES_Code,$F485,nrES_Att,1)=0,$L485,IF($L485&gt;=$J485,cfgRetakeRecordedCap,SUMIFS(nrES_Raw,nrES_PID,$D485,nrES_Code,$F485,nrES_Att,1))))))</f>
        <v/>
      </c>
      <c r="N485" s="15">
        <f>IF($C485="","",IF($L485="","",IF($L485&gt;=$J485,"Yes","No")))</f>
        <v/>
      </c>
      <c r="O485" s="15">
        <f>IF($C485="","",IF($M485="","",IF($M485&gt;=$J485,"Yes","No")))</f>
        <v/>
      </c>
      <c r="P485" s="15">
        <f>IF($C485="","",IF($K485="","",IF(COUNTIFS(nrES_PID,$D485,nrES_Code,$F485,nrES_Att,"&gt;"&amp;$K485)=0,"Yes","No")))</f>
        <v/>
      </c>
      <c r="Q485" s="15">
        <f>IF($C485="","",IF($L485="","",IF(AND($K485=1,$L485&lt;$J485,COUNTIFS(nrES_PID,$D485,nrES_Code,$F485,nrES_Att,2)=0),"Yes","No")))</f>
        <v/>
      </c>
      <c r="R485" s="15">
        <f>IF($C485="","",IF($L485="","",IF(AND($K485=2,$L485&lt;$J485,COUNTIFS(nrES_PID,$D485,nrES_Code,$F485,nrES_Att,1)&gt;0),"Yes","No")))</f>
        <v/>
      </c>
      <c r="S485" s="16" t="n"/>
      <c r="T485" s="17">
        <f>IF($Q485&lt;&gt;"Yes","",IF($S485="","(enter date)",_xlfn.LET(_xlpm.dn,IFERROR(_xlfn.XLOOKUP($S485,nrCDdate,nrCDnum),""),IF(_xlpm.dn="","(not a class day)",IFERROR(_xlfn.XLOOKUP(_xlpm.dn+cfgRetestClassDays,nrCDnum,nrCDdate),"")))))</f>
        <v/>
      </c>
      <c r="U485" s="15">
        <f>IF($Q485&lt;&gt;"Yes","",IF(COUNTIFS(nrES_PID,$D485,nrES_Code,$F485,nrES_Att,2)&gt;0,"Retested",IF(OR($T485="",NOT(ISNUMBER($T485))),"Pending",IF(TODAY()&gt;$T485,"OVERDUE","Due "&amp;TEXT($T485,"mm/dd")))))</f>
        <v/>
      </c>
      <c r="V485" s="14" t="n"/>
      <c r="W485" s="14" t="n"/>
    </row>
    <row r="486">
      <c r="B486" s="15">
        <f>IF($C486="","",$D486&amp;"-"&amp;$F486&amp;"-"&amp;$K486)</f>
        <v/>
      </c>
      <c r="C486" s="14" t="n"/>
      <c r="D486" s="15">
        <f>IF($C486="","",IFERROR(INDEX(rngCadetPIDs,MATCH($C486,rngCadetNames,0)),"?"))</f>
        <v/>
      </c>
      <c r="E486" s="15">
        <f>IF($D486="","",IFERROR(INDEX(nrCadetAgency,MATCH($D486,rngCadetPIDs,0)),""))</f>
        <v/>
      </c>
      <c r="F486" s="14" t="n"/>
      <c r="G486" s="15">
        <f>IF($F486="","",IFERROR(INDEX(rngEPname,MATCH($F486,rngEPcode,0)),"?"))</f>
        <v/>
      </c>
      <c r="H486" s="15">
        <f>IF($F486="","",IFERROR(INDEX(rngEPtype,MATCH($F486,rngEPcode,0)),"?"))</f>
        <v/>
      </c>
      <c r="I486" s="15">
        <f>IF($F486="","",IFERROR(INDEX(rngEPseq,MATCH($F486,rngEPcode,0)),""))</f>
        <v/>
      </c>
      <c r="J486" s="15">
        <f>IF($F486="","",IFERROR(INDEX(rngEPpass,MATCH($F486,rngEPcode,0)),cfgPassingScore))</f>
        <v/>
      </c>
      <c r="K486" s="14" t="n"/>
      <c r="L486" s="14" t="n"/>
      <c r="M486" s="15">
        <f>IF($C486="","",IF($L486="","",IF($K486=1,IF(COUNTIFS(nrES_PID,$D486,nrES_Code,$F486,nrES_Att,2)&gt;0,"",$L486),IF(COUNTIFS(nrES_PID,$D486,nrES_Code,$F486,nrES_Att,1)=0,$L486,IF($L486&gt;=$J486,cfgRetakeRecordedCap,SUMIFS(nrES_Raw,nrES_PID,$D486,nrES_Code,$F486,nrES_Att,1))))))</f>
        <v/>
      </c>
      <c r="N486" s="15">
        <f>IF($C486="","",IF($L486="","",IF($L486&gt;=$J486,"Yes","No")))</f>
        <v/>
      </c>
      <c r="O486" s="15">
        <f>IF($C486="","",IF($M486="","",IF($M486&gt;=$J486,"Yes","No")))</f>
        <v/>
      </c>
      <c r="P486" s="15">
        <f>IF($C486="","",IF($K486="","",IF(COUNTIFS(nrES_PID,$D486,nrES_Code,$F486,nrES_Att,"&gt;"&amp;$K486)=0,"Yes","No")))</f>
        <v/>
      </c>
      <c r="Q486" s="15">
        <f>IF($C486="","",IF($L486="","",IF(AND($K486=1,$L486&lt;$J486,COUNTIFS(nrES_PID,$D486,nrES_Code,$F486,nrES_Att,2)=0),"Yes","No")))</f>
        <v/>
      </c>
      <c r="R486" s="15">
        <f>IF($C486="","",IF($L486="","",IF(AND($K486=2,$L486&lt;$J486,COUNTIFS(nrES_PID,$D486,nrES_Code,$F486,nrES_Att,1)&gt;0),"Yes","No")))</f>
        <v/>
      </c>
      <c r="S486" s="16" t="n"/>
      <c r="T486" s="17">
        <f>IF($Q486&lt;&gt;"Yes","",IF($S486="","(enter date)",_xlfn.LET(_xlpm.dn,IFERROR(_xlfn.XLOOKUP($S486,nrCDdate,nrCDnum),""),IF(_xlpm.dn="","(not a class day)",IFERROR(_xlfn.XLOOKUP(_xlpm.dn+cfgRetestClassDays,nrCDnum,nrCDdate),"")))))</f>
        <v/>
      </c>
      <c r="U486" s="15">
        <f>IF($Q486&lt;&gt;"Yes","",IF(COUNTIFS(nrES_PID,$D486,nrES_Code,$F486,nrES_Att,2)&gt;0,"Retested",IF(OR($T486="",NOT(ISNUMBER($T486))),"Pending",IF(TODAY()&gt;$T486,"OVERDUE","Due "&amp;TEXT($T486,"mm/dd")))))</f>
        <v/>
      </c>
      <c r="V486" s="14" t="n"/>
      <c r="W486" s="14" t="n"/>
    </row>
    <row r="487">
      <c r="B487" s="15">
        <f>IF($C487="","",$D487&amp;"-"&amp;$F487&amp;"-"&amp;$K487)</f>
        <v/>
      </c>
      <c r="C487" s="14" t="n"/>
      <c r="D487" s="15">
        <f>IF($C487="","",IFERROR(INDEX(rngCadetPIDs,MATCH($C487,rngCadetNames,0)),"?"))</f>
        <v/>
      </c>
      <c r="E487" s="15">
        <f>IF($D487="","",IFERROR(INDEX(nrCadetAgency,MATCH($D487,rngCadetPIDs,0)),""))</f>
        <v/>
      </c>
      <c r="F487" s="14" t="n"/>
      <c r="G487" s="15">
        <f>IF($F487="","",IFERROR(INDEX(rngEPname,MATCH($F487,rngEPcode,0)),"?"))</f>
        <v/>
      </c>
      <c r="H487" s="15">
        <f>IF($F487="","",IFERROR(INDEX(rngEPtype,MATCH($F487,rngEPcode,0)),"?"))</f>
        <v/>
      </c>
      <c r="I487" s="15">
        <f>IF($F487="","",IFERROR(INDEX(rngEPseq,MATCH($F487,rngEPcode,0)),""))</f>
        <v/>
      </c>
      <c r="J487" s="15">
        <f>IF($F487="","",IFERROR(INDEX(rngEPpass,MATCH($F487,rngEPcode,0)),cfgPassingScore))</f>
        <v/>
      </c>
      <c r="K487" s="14" t="n"/>
      <c r="L487" s="14" t="n"/>
      <c r="M487" s="15">
        <f>IF($C487="","",IF($L487="","",IF($K487=1,IF(COUNTIFS(nrES_PID,$D487,nrES_Code,$F487,nrES_Att,2)&gt;0,"",$L487),IF(COUNTIFS(nrES_PID,$D487,nrES_Code,$F487,nrES_Att,1)=0,$L487,IF($L487&gt;=$J487,cfgRetakeRecordedCap,SUMIFS(nrES_Raw,nrES_PID,$D487,nrES_Code,$F487,nrES_Att,1))))))</f>
        <v/>
      </c>
      <c r="N487" s="15">
        <f>IF($C487="","",IF($L487="","",IF($L487&gt;=$J487,"Yes","No")))</f>
        <v/>
      </c>
      <c r="O487" s="15">
        <f>IF($C487="","",IF($M487="","",IF($M487&gt;=$J487,"Yes","No")))</f>
        <v/>
      </c>
      <c r="P487" s="15">
        <f>IF($C487="","",IF($K487="","",IF(COUNTIFS(nrES_PID,$D487,nrES_Code,$F487,nrES_Att,"&gt;"&amp;$K487)=0,"Yes","No")))</f>
        <v/>
      </c>
      <c r="Q487" s="15">
        <f>IF($C487="","",IF($L487="","",IF(AND($K487=1,$L487&lt;$J487,COUNTIFS(nrES_PID,$D487,nrES_Code,$F487,nrES_Att,2)=0),"Yes","No")))</f>
        <v/>
      </c>
      <c r="R487" s="15">
        <f>IF($C487="","",IF($L487="","",IF(AND($K487=2,$L487&lt;$J487,COUNTIFS(nrES_PID,$D487,nrES_Code,$F487,nrES_Att,1)&gt;0),"Yes","No")))</f>
        <v/>
      </c>
      <c r="S487" s="16" t="n"/>
      <c r="T487" s="17">
        <f>IF($Q487&lt;&gt;"Yes","",IF($S487="","(enter date)",_xlfn.LET(_xlpm.dn,IFERROR(_xlfn.XLOOKUP($S487,nrCDdate,nrCDnum),""),IF(_xlpm.dn="","(not a class day)",IFERROR(_xlfn.XLOOKUP(_xlpm.dn+cfgRetestClassDays,nrCDnum,nrCDdate),"")))))</f>
        <v/>
      </c>
      <c r="U487" s="15">
        <f>IF($Q487&lt;&gt;"Yes","",IF(COUNTIFS(nrES_PID,$D487,nrES_Code,$F487,nrES_Att,2)&gt;0,"Retested",IF(OR($T487="",NOT(ISNUMBER($T487))),"Pending",IF(TODAY()&gt;$T487,"OVERDUE","Due "&amp;TEXT($T487,"mm/dd")))))</f>
        <v/>
      </c>
      <c r="V487" s="14" t="n"/>
      <c r="W487" s="14" t="n"/>
    </row>
    <row r="488">
      <c r="B488" s="15">
        <f>IF($C488="","",$D488&amp;"-"&amp;$F488&amp;"-"&amp;$K488)</f>
        <v/>
      </c>
      <c r="C488" s="14" t="n"/>
      <c r="D488" s="15">
        <f>IF($C488="","",IFERROR(INDEX(rngCadetPIDs,MATCH($C488,rngCadetNames,0)),"?"))</f>
        <v/>
      </c>
      <c r="E488" s="15">
        <f>IF($D488="","",IFERROR(INDEX(nrCadetAgency,MATCH($D488,rngCadetPIDs,0)),""))</f>
        <v/>
      </c>
      <c r="F488" s="14" t="n"/>
      <c r="G488" s="15">
        <f>IF($F488="","",IFERROR(INDEX(rngEPname,MATCH($F488,rngEPcode,0)),"?"))</f>
        <v/>
      </c>
      <c r="H488" s="15">
        <f>IF($F488="","",IFERROR(INDEX(rngEPtype,MATCH($F488,rngEPcode,0)),"?"))</f>
        <v/>
      </c>
      <c r="I488" s="15">
        <f>IF($F488="","",IFERROR(INDEX(rngEPseq,MATCH($F488,rngEPcode,0)),""))</f>
        <v/>
      </c>
      <c r="J488" s="15">
        <f>IF($F488="","",IFERROR(INDEX(rngEPpass,MATCH($F488,rngEPcode,0)),cfgPassingScore))</f>
        <v/>
      </c>
      <c r="K488" s="14" t="n"/>
      <c r="L488" s="14" t="n"/>
      <c r="M488" s="15">
        <f>IF($C488="","",IF($L488="","",IF($K488=1,IF(COUNTIFS(nrES_PID,$D488,nrES_Code,$F488,nrES_Att,2)&gt;0,"",$L488),IF(COUNTIFS(nrES_PID,$D488,nrES_Code,$F488,nrES_Att,1)=0,$L488,IF($L488&gt;=$J488,cfgRetakeRecordedCap,SUMIFS(nrES_Raw,nrES_PID,$D488,nrES_Code,$F488,nrES_Att,1))))))</f>
        <v/>
      </c>
      <c r="N488" s="15">
        <f>IF($C488="","",IF($L488="","",IF($L488&gt;=$J488,"Yes","No")))</f>
        <v/>
      </c>
      <c r="O488" s="15">
        <f>IF($C488="","",IF($M488="","",IF($M488&gt;=$J488,"Yes","No")))</f>
        <v/>
      </c>
      <c r="P488" s="15">
        <f>IF($C488="","",IF($K488="","",IF(COUNTIFS(nrES_PID,$D488,nrES_Code,$F488,nrES_Att,"&gt;"&amp;$K488)=0,"Yes","No")))</f>
        <v/>
      </c>
      <c r="Q488" s="15">
        <f>IF($C488="","",IF($L488="","",IF(AND($K488=1,$L488&lt;$J488,COUNTIFS(nrES_PID,$D488,nrES_Code,$F488,nrES_Att,2)=0),"Yes","No")))</f>
        <v/>
      </c>
      <c r="R488" s="15">
        <f>IF($C488="","",IF($L488="","",IF(AND($K488=2,$L488&lt;$J488,COUNTIFS(nrES_PID,$D488,nrES_Code,$F488,nrES_Att,1)&gt;0),"Yes","No")))</f>
        <v/>
      </c>
      <c r="S488" s="16" t="n"/>
      <c r="T488" s="17">
        <f>IF($Q488&lt;&gt;"Yes","",IF($S488="","(enter date)",_xlfn.LET(_xlpm.dn,IFERROR(_xlfn.XLOOKUP($S488,nrCDdate,nrCDnum),""),IF(_xlpm.dn="","(not a class day)",IFERROR(_xlfn.XLOOKUP(_xlpm.dn+cfgRetestClassDays,nrCDnum,nrCDdate),"")))))</f>
        <v/>
      </c>
      <c r="U488" s="15">
        <f>IF($Q488&lt;&gt;"Yes","",IF(COUNTIFS(nrES_PID,$D488,nrES_Code,$F488,nrES_Att,2)&gt;0,"Retested",IF(OR($T488="",NOT(ISNUMBER($T488))),"Pending",IF(TODAY()&gt;$T488,"OVERDUE","Due "&amp;TEXT($T488,"mm/dd")))))</f>
        <v/>
      </c>
      <c r="V488" s="14" t="n"/>
      <c r="W488" s="14" t="n"/>
    </row>
    <row r="489">
      <c r="B489" s="15">
        <f>IF($C489="","",$D489&amp;"-"&amp;$F489&amp;"-"&amp;$K489)</f>
        <v/>
      </c>
      <c r="C489" s="14" t="n"/>
      <c r="D489" s="15">
        <f>IF($C489="","",IFERROR(INDEX(rngCadetPIDs,MATCH($C489,rngCadetNames,0)),"?"))</f>
        <v/>
      </c>
      <c r="E489" s="15">
        <f>IF($D489="","",IFERROR(INDEX(nrCadetAgency,MATCH($D489,rngCadetPIDs,0)),""))</f>
        <v/>
      </c>
      <c r="F489" s="14" t="n"/>
      <c r="G489" s="15">
        <f>IF($F489="","",IFERROR(INDEX(rngEPname,MATCH($F489,rngEPcode,0)),"?"))</f>
        <v/>
      </c>
      <c r="H489" s="15">
        <f>IF($F489="","",IFERROR(INDEX(rngEPtype,MATCH($F489,rngEPcode,0)),"?"))</f>
        <v/>
      </c>
      <c r="I489" s="15">
        <f>IF($F489="","",IFERROR(INDEX(rngEPseq,MATCH($F489,rngEPcode,0)),""))</f>
        <v/>
      </c>
      <c r="J489" s="15">
        <f>IF($F489="","",IFERROR(INDEX(rngEPpass,MATCH($F489,rngEPcode,0)),cfgPassingScore))</f>
        <v/>
      </c>
      <c r="K489" s="14" t="n"/>
      <c r="L489" s="14" t="n"/>
      <c r="M489" s="15">
        <f>IF($C489="","",IF($L489="","",IF($K489=1,IF(COUNTIFS(nrES_PID,$D489,nrES_Code,$F489,nrES_Att,2)&gt;0,"",$L489),IF(COUNTIFS(nrES_PID,$D489,nrES_Code,$F489,nrES_Att,1)=0,$L489,IF($L489&gt;=$J489,cfgRetakeRecordedCap,SUMIFS(nrES_Raw,nrES_PID,$D489,nrES_Code,$F489,nrES_Att,1))))))</f>
        <v/>
      </c>
      <c r="N489" s="15">
        <f>IF($C489="","",IF($L489="","",IF($L489&gt;=$J489,"Yes","No")))</f>
        <v/>
      </c>
      <c r="O489" s="15">
        <f>IF($C489="","",IF($M489="","",IF($M489&gt;=$J489,"Yes","No")))</f>
        <v/>
      </c>
      <c r="P489" s="15">
        <f>IF($C489="","",IF($K489="","",IF(COUNTIFS(nrES_PID,$D489,nrES_Code,$F489,nrES_Att,"&gt;"&amp;$K489)=0,"Yes","No")))</f>
        <v/>
      </c>
      <c r="Q489" s="15">
        <f>IF($C489="","",IF($L489="","",IF(AND($K489=1,$L489&lt;$J489,COUNTIFS(nrES_PID,$D489,nrES_Code,$F489,nrES_Att,2)=0),"Yes","No")))</f>
        <v/>
      </c>
      <c r="R489" s="15">
        <f>IF($C489="","",IF($L489="","",IF(AND($K489=2,$L489&lt;$J489,COUNTIFS(nrES_PID,$D489,nrES_Code,$F489,nrES_Att,1)&gt;0),"Yes","No")))</f>
        <v/>
      </c>
      <c r="S489" s="16" t="n"/>
      <c r="T489" s="17">
        <f>IF($Q489&lt;&gt;"Yes","",IF($S489="","(enter date)",_xlfn.LET(_xlpm.dn,IFERROR(_xlfn.XLOOKUP($S489,nrCDdate,nrCDnum),""),IF(_xlpm.dn="","(not a class day)",IFERROR(_xlfn.XLOOKUP(_xlpm.dn+cfgRetestClassDays,nrCDnum,nrCDdate),"")))))</f>
        <v/>
      </c>
      <c r="U489" s="15">
        <f>IF($Q489&lt;&gt;"Yes","",IF(COUNTIFS(nrES_PID,$D489,nrES_Code,$F489,nrES_Att,2)&gt;0,"Retested",IF(OR($T489="",NOT(ISNUMBER($T489))),"Pending",IF(TODAY()&gt;$T489,"OVERDUE","Due "&amp;TEXT($T489,"mm/dd")))))</f>
        <v/>
      </c>
      <c r="V489" s="14" t="n"/>
      <c r="W489" s="14" t="n"/>
    </row>
    <row r="490">
      <c r="B490" s="15">
        <f>IF($C490="","",$D490&amp;"-"&amp;$F490&amp;"-"&amp;$K490)</f>
        <v/>
      </c>
      <c r="C490" s="14" t="n"/>
      <c r="D490" s="15">
        <f>IF($C490="","",IFERROR(INDEX(rngCadetPIDs,MATCH($C490,rngCadetNames,0)),"?"))</f>
        <v/>
      </c>
      <c r="E490" s="15">
        <f>IF($D490="","",IFERROR(INDEX(nrCadetAgency,MATCH($D490,rngCadetPIDs,0)),""))</f>
        <v/>
      </c>
      <c r="F490" s="14" t="n"/>
      <c r="G490" s="15">
        <f>IF($F490="","",IFERROR(INDEX(rngEPname,MATCH($F490,rngEPcode,0)),"?"))</f>
        <v/>
      </c>
      <c r="H490" s="15">
        <f>IF($F490="","",IFERROR(INDEX(rngEPtype,MATCH($F490,rngEPcode,0)),"?"))</f>
        <v/>
      </c>
      <c r="I490" s="15">
        <f>IF($F490="","",IFERROR(INDEX(rngEPseq,MATCH($F490,rngEPcode,0)),""))</f>
        <v/>
      </c>
      <c r="J490" s="15">
        <f>IF($F490="","",IFERROR(INDEX(rngEPpass,MATCH($F490,rngEPcode,0)),cfgPassingScore))</f>
        <v/>
      </c>
      <c r="K490" s="14" t="n"/>
      <c r="L490" s="14" t="n"/>
      <c r="M490" s="15">
        <f>IF($C490="","",IF($L490="","",IF($K490=1,IF(COUNTIFS(nrES_PID,$D490,nrES_Code,$F490,nrES_Att,2)&gt;0,"",$L490),IF(COUNTIFS(nrES_PID,$D490,nrES_Code,$F490,nrES_Att,1)=0,$L490,IF($L490&gt;=$J490,cfgRetakeRecordedCap,SUMIFS(nrES_Raw,nrES_PID,$D490,nrES_Code,$F490,nrES_Att,1))))))</f>
        <v/>
      </c>
      <c r="N490" s="15">
        <f>IF($C490="","",IF($L490="","",IF($L490&gt;=$J490,"Yes","No")))</f>
        <v/>
      </c>
      <c r="O490" s="15">
        <f>IF($C490="","",IF($M490="","",IF($M490&gt;=$J490,"Yes","No")))</f>
        <v/>
      </c>
      <c r="P490" s="15">
        <f>IF($C490="","",IF($K490="","",IF(COUNTIFS(nrES_PID,$D490,nrES_Code,$F490,nrES_Att,"&gt;"&amp;$K490)=0,"Yes","No")))</f>
        <v/>
      </c>
      <c r="Q490" s="15">
        <f>IF($C490="","",IF($L490="","",IF(AND($K490=1,$L490&lt;$J490,COUNTIFS(nrES_PID,$D490,nrES_Code,$F490,nrES_Att,2)=0),"Yes","No")))</f>
        <v/>
      </c>
      <c r="R490" s="15">
        <f>IF($C490="","",IF($L490="","",IF(AND($K490=2,$L490&lt;$J490,COUNTIFS(nrES_PID,$D490,nrES_Code,$F490,nrES_Att,1)&gt;0),"Yes","No")))</f>
        <v/>
      </c>
      <c r="S490" s="16" t="n"/>
      <c r="T490" s="17">
        <f>IF($Q490&lt;&gt;"Yes","",IF($S490="","(enter date)",_xlfn.LET(_xlpm.dn,IFERROR(_xlfn.XLOOKUP($S490,nrCDdate,nrCDnum),""),IF(_xlpm.dn="","(not a class day)",IFERROR(_xlfn.XLOOKUP(_xlpm.dn+cfgRetestClassDays,nrCDnum,nrCDdate),"")))))</f>
        <v/>
      </c>
      <c r="U490" s="15">
        <f>IF($Q490&lt;&gt;"Yes","",IF(COUNTIFS(nrES_PID,$D490,nrES_Code,$F490,nrES_Att,2)&gt;0,"Retested",IF(OR($T490="",NOT(ISNUMBER($T490))),"Pending",IF(TODAY()&gt;$T490,"OVERDUE","Due "&amp;TEXT($T490,"mm/dd")))))</f>
        <v/>
      </c>
      <c r="V490" s="14" t="n"/>
      <c r="W490" s="14" t="n"/>
    </row>
    <row r="491">
      <c r="B491" s="15">
        <f>IF($C491="","",$D491&amp;"-"&amp;$F491&amp;"-"&amp;$K491)</f>
        <v/>
      </c>
      <c r="C491" s="14" t="n"/>
      <c r="D491" s="15">
        <f>IF($C491="","",IFERROR(INDEX(rngCadetPIDs,MATCH($C491,rngCadetNames,0)),"?"))</f>
        <v/>
      </c>
      <c r="E491" s="15">
        <f>IF($D491="","",IFERROR(INDEX(nrCadetAgency,MATCH($D491,rngCadetPIDs,0)),""))</f>
        <v/>
      </c>
      <c r="F491" s="14" t="n"/>
      <c r="G491" s="15">
        <f>IF($F491="","",IFERROR(INDEX(rngEPname,MATCH($F491,rngEPcode,0)),"?"))</f>
        <v/>
      </c>
      <c r="H491" s="15">
        <f>IF($F491="","",IFERROR(INDEX(rngEPtype,MATCH($F491,rngEPcode,0)),"?"))</f>
        <v/>
      </c>
      <c r="I491" s="15">
        <f>IF($F491="","",IFERROR(INDEX(rngEPseq,MATCH($F491,rngEPcode,0)),""))</f>
        <v/>
      </c>
      <c r="J491" s="15">
        <f>IF($F491="","",IFERROR(INDEX(rngEPpass,MATCH($F491,rngEPcode,0)),cfgPassingScore))</f>
        <v/>
      </c>
      <c r="K491" s="14" t="n"/>
      <c r="L491" s="14" t="n"/>
      <c r="M491" s="15">
        <f>IF($C491="","",IF($L491="","",IF($K491=1,IF(COUNTIFS(nrES_PID,$D491,nrES_Code,$F491,nrES_Att,2)&gt;0,"",$L491),IF(COUNTIFS(nrES_PID,$D491,nrES_Code,$F491,nrES_Att,1)=0,$L491,IF($L491&gt;=$J491,cfgRetakeRecordedCap,SUMIFS(nrES_Raw,nrES_PID,$D491,nrES_Code,$F491,nrES_Att,1))))))</f>
        <v/>
      </c>
      <c r="N491" s="15">
        <f>IF($C491="","",IF($L491="","",IF($L491&gt;=$J491,"Yes","No")))</f>
        <v/>
      </c>
      <c r="O491" s="15">
        <f>IF($C491="","",IF($M491="","",IF($M491&gt;=$J491,"Yes","No")))</f>
        <v/>
      </c>
      <c r="P491" s="15">
        <f>IF($C491="","",IF($K491="","",IF(COUNTIFS(nrES_PID,$D491,nrES_Code,$F491,nrES_Att,"&gt;"&amp;$K491)=0,"Yes","No")))</f>
        <v/>
      </c>
      <c r="Q491" s="15">
        <f>IF($C491="","",IF($L491="","",IF(AND($K491=1,$L491&lt;$J491,COUNTIFS(nrES_PID,$D491,nrES_Code,$F491,nrES_Att,2)=0),"Yes","No")))</f>
        <v/>
      </c>
      <c r="R491" s="15">
        <f>IF($C491="","",IF($L491="","",IF(AND($K491=2,$L491&lt;$J491,COUNTIFS(nrES_PID,$D491,nrES_Code,$F491,nrES_Att,1)&gt;0),"Yes","No")))</f>
        <v/>
      </c>
      <c r="S491" s="16" t="n"/>
      <c r="T491" s="17">
        <f>IF($Q491&lt;&gt;"Yes","",IF($S491="","(enter date)",_xlfn.LET(_xlpm.dn,IFERROR(_xlfn.XLOOKUP($S491,nrCDdate,nrCDnum),""),IF(_xlpm.dn="","(not a class day)",IFERROR(_xlfn.XLOOKUP(_xlpm.dn+cfgRetestClassDays,nrCDnum,nrCDdate),"")))))</f>
        <v/>
      </c>
      <c r="U491" s="15">
        <f>IF($Q491&lt;&gt;"Yes","",IF(COUNTIFS(nrES_PID,$D491,nrES_Code,$F491,nrES_Att,2)&gt;0,"Retested",IF(OR($T491="",NOT(ISNUMBER($T491))),"Pending",IF(TODAY()&gt;$T491,"OVERDUE","Due "&amp;TEXT($T491,"mm/dd")))))</f>
        <v/>
      </c>
      <c r="V491" s="14" t="n"/>
      <c r="W491" s="14" t="n"/>
    </row>
    <row r="492">
      <c r="B492" s="15">
        <f>IF($C492="","",$D492&amp;"-"&amp;$F492&amp;"-"&amp;$K492)</f>
        <v/>
      </c>
      <c r="C492" s="14" t="n"/>
      <c r="D492" s="15">
        <f>IF($C492="","",IFERROR(INDEX(rngCadetPIDs,MATCH($C492,rngCadetNames,0)),"?"))</f>
        <v/>
      </c>
      <c r="E492" s="15">
        <f>IF($D492="","",IFERROR(INDEX(nrCadetAgency,MATCH($D492,rngCadetPIDs,0)),""))</f>
        <v/>
      </c>
      <c r="F492" s="14" t="n"/>
      <c r="G492" s="15">
        <f>IF($F492="","",IFERROR(INDEX(rngEPname,MATCH($F492,rngEPcode,0)),"?"))</f>
        <v/>
      </c>
      <c r="H492" s="15">
        <f>IF($F492="","",IFERROR(INDEX(rngEPtype,MATCH($F492,rngEPcode,0)),"?"))</f>
        <v/>
      </c>
      <c r="I492" s="15">
        <f>IF($F492="","",IFERROR(INDEX(rngEPseq,MATCH($F492,rngEPcode,0)),""))</f>
        <v/>
      </c>
      <c r="J492" s="15">
        <f>IF($F492="","",IFERROR(INDEX(rngEPpass,MATCH($F492,rngEPcode,0)),cfgPassingScore))</f>
        <v/>
      </c>
      <c r="K492" s="14" t="n"/>
      <c r="L492" s="14" t="n"/>
      <c r="M492" s="15">
        <f>IF($C492="","",IF($L492="","",IF($K492=1,IF(COUNTIFS(nrES_PID,$D492,nrES_Code,$F492,nrES_Att,2)&gt;0,"",$L492),IF(COUNTIFS(nrES_PID,$D492,nrES_Code,$F492,nrES_Att,1)=0,$L492,IF($L492&gt;=$J492,cfgRetakeRecordedCap,SUMIFS(nrES_Raw,nrES_PID,$D492,nrES_Code,$F492,nrES_Att,1))))))</f>
        <v/>
      </c>
      <c r="N492" s="15">
        <f>IF($C492="","",IF($L492="","",IF($L492&gt;=$J492,"Yes","No")))</f>
        <v/>
      </c>
      <c r="O492" s="15">
        <f>IF($C492="","",IF($M492="","",IF($M492&gt;=$J492,"Yes","No")))</f>
        <v/>
      </c>
      <c r="P492" s="15">
        <f>IF($C492="","",IF($K492="","",IF(COUNTIFS(nrES_PID,$D492,nrES_Code,$F492,nrES_Att,"&gt;"&amp;$K492)=0,"Yes","No")))</f>
        <v/>
      </c>
      <c r="Q492" s="15">
        <f>IF($C492="","",IF($L492="","",IF(AND($K492=1,$L492&lt;$J492,COUNTIFS(nrES_PID,$D492,nrES_Code,$F492,nrES_Att,2)=0),"Yes","No")))</f>
        <v/>
      </c>
      <c r="R492" s="15">
        <f>IF($C492="","",IF($L492="","",IF(AND($K492=2,$L492&lt;$J492,COUNTIFS(nrES_PID,$D492,nrES_Code,$F492,nrES_Att,1)&gt;0),"Yes","No")))</f>
        <v/>
      </c>
      <c r="S492" s="16" t="n"/>
      <c r="T492" s="17">
        <f>IF($Q492&lt;&gt;"Yes","",IF($S492="","(enter date)",_xlfn.LET(_xlpm.dn,IFERROR(_xlfn.XLOOKUP($S492,nrCDdate,nrCDnum),""),IF(_xlpm.dn="","(not a class day)",IFERROR(_xlfn.XLOOKUP(_xlpm.dn+cfgRetestClassDays,nrCDnum,nrCDdate),"")))))</f>
        <v/>
      </c>
      <c r="U492" s="15">
        <f>IF($Q492&lt;&gt;"Yes","",IF(COUNTIFS(nrES_PID,$D492,nrES_Code,$F492,nrES_Att,2)&gt;0,"Retested",IF(OR($T492="",NOT(ISNUMBER($T492))),"Pending",IF(TODAY()&gt;$T492,"OVERDUE","Due "&amp;TEXT($T492,"mm/dd")))))</f>
        <v/>
      </c>
      <c r="V492" s="14" t="n"/>
      <c r="W492" s="14" t="n"/>
    </row>
    <row r="493">
      <c r="B493" s="15">
        <f>IF($C493="","",$D493&amp;"-"&amp;$F493&amp;"-"&amp;$K493)</f>
        <v/>
      </c>
      <c r="C493" s="14" t="n"/>
      <c r="D493" s="15">
        <f>IF($C493="","",IFERROR(INDEX(rngCadetPIDs,MATCH($C493,rngCadetNames,0)),"?"))</f>
        <v/>
      </c>
      <c r="E493" s="15">
        <f>IF($D493="","",IFERROR(INDEX(nrCadetAgency,MATCH($D493,rngCadetPIDs,0)),""))</f>
        <v/>
      </c>
      <c r="F493" s="14" t="n"/>
      <c r="G493" s="15">
        <f>IF($F493="","",IFERROR(INDEX(rngEPname,MATCH($F493,rngEPcode,0)),"?"))</f>
        <v/>
      </c>
      <c r="H493" s="15">
        <f>IF($F493="","",IFERROR(INDEX(rngEPtype,MATCH($F493,rngEPcode,0)),"?"))</f>
        <v/>
      </c>
      <c r="I493" s="15">
        <f>IF($F493="","",IFERROR(INDEX(rngEPseq,MATCH($F493,rngEPcode,0)),""))</f>
        <v/>
      </c>
      <c r="J493" s="15">
        <f>IF($F493="","",IFERROR(INDEX(rngEPpass,MATCH($F493,rngEPcode,0)),cfgPassingScore))</f>
        <v/>
      </c>
      <c r="K493" s="14" t="n"/>
      <c r="L493" s="14" t="n"/>
      <c r="M493" s="15">
        <f>IF($C493="","",IF($L493="","",IF($K493=1,IF(COUNTIFS(nrES_PID,$D493,nrES_Code,$F493,nrES_Att,2)&gt;0,"",$L493),IF(COUNTIFS(nrES_PID,$D493,nrES_Code,$F493,nrES_Att,1)=0,$L493,IF($L493&gt;=$J493,cfgRetakeRecordedCap,SUMIFS(nrES_Raw,nrES_PID,$D493,nrES_Code,$F493,nrES_Att,1))))))</f>
        <v/>
      </c>
      <c r="N493" s="15">
        <f>IF($C493="","",IF($L493="","",IF($L493&gt;=$J493,"Yes","No")))</f>
        <v/>
      </c>
      <c r="O493" s="15">
        <f>IF($C493="","",IF($M493="","",IF($M493&gt;=$J493,"Yes","No")))</f>
        <v/>
      </c>
      <c r="P493" s="15">
        <f>IF($C493="","",IF($K493="","",IF(COUNTIFS(nrES_PID,$D493,nrES_Code,$F493,nrES_Att,"&gt;"&amp;$K493)=0,"Yes","No")))</f>
        <v/>
      </c>
      <c r="Q493" s="15">
        <f>IF($C493="","",IF($L493="","",IF(AND($K493=1,$L493&lt;$J493,COUNTIFS(nrES_PID,$D493,nrES_Code,$F493,nrES_Att,2)=0),"Yes","No")))</f>
        <v/>
      </c>
      <c r="R493" s="15">
        <f>IF($C493="","",IF($L493="","",IF(AND($K493=2,$L493&lt;$J493,COUNTIFS(nrES_PID,$D493,nrES_Code,$F493,nrES_Att,1)&gt;0),"Yes","No")))</f>
        <v/>
      </c>
      <c r="S493" s="16" t="n"/>
      <c r="T493" s="17">
        <f>IF($Q493&lt;&gt;"Yes","",IF($S493="","(enter date)",_xlfn.LET(_xlpm.dn,IFERROR(_xlfn.XLOOKUP($S493,nrCDdate,nrCDnum),""),IF(_xlpm.dn="","(not a class day)",IFERROR(_xlfn.XLOOKUP(_xlpm.dn+cfgRetestClassDays,nrCDnum,nrCDdate),"")))))</f>
        <v/>
      </c>
      <c r="U493" s="15">
        <f>IF($Q493&lt;&gt;"Yes","",IF(COUNTIFS(nrES_PID,$D493,nrES_Code,$F493,nrES_Att,2)&gt;0,"Retested",IF(OR($T493="",NOT(ISNUMBER($T493))),"Pending",IF(TODAY()&gt;$T493,"OVERDUE","Due "&amp;TEXT($T493,"mm/dd")))))</f>
        <v/>
      </c>
      <c r="V493" s="14" t="n"/>
      <c r="W493" s="14" t="n"/>
    </row>
    <row r="494">
      <c r="B494" s="15">
        <f>IF($C494="","",$D494&amp;"-"&amp;$F494&amp;"-"&amp;$K494)</f>
        <v/>
      </c>
      <c r="C494" s="14" t="n"/>
      <c r="D494" s="15">
        <f>IF($C494="","",IFERROR(INDEX(rngCadetPIDs,MATCH($C494,rngCadetNames,0)),"?"))</f>
        <v/>
      </c>
      <c r="E494" s="15">
        <f>IF($D494="","",IFERROR(INDEX(nrCadetAgency,MATCH($D494,rngCadetPIDs,0)),""))</f>
        <v/>
      </c>
      <c r="F494" s="14" t="n"/>
      <c r="G494" s="15">
        <f>IF($F494="","",IFERROR(INDEX(rngEPname,MATCH($F494,rngEPcode,0)),"?"))</f>
        <v/>
      </c>
      <c r="H494" s="15">
        <f>IF($F494="","",IFERROR(INDEX(rngEPtype,MATCH($F494,rngEPcode,0)),"?"))</f>
        <v/>
      </c>
      <c r="I494" s="15">
        <f>IF($F494="","",IFERROR(INDEX(rngEPseq,MATCH($F494,rngEPcode,0)),""))</f>
        <v/>
      </c>
      <c r="J494" s="15">
        <f>IF($F494="","",IFERROR(INDEX(rngEPpass,MATCH($F494,rngEPcode,0)),cfgPassingScore))</f>
        <v/>
      </c>
      <c r="K494" s="14" t="n"/>
      <c r="L494" s="14" t="n"/>
      <c r="M494" s="15">
        <f>IF($C494="","",IF($L494="","",IF($K494=1,IF(COUNTIFS(nrES_PID,$D494,nrES_Code,$F494,nrES_Att,2)&gt;0,"",$L494),IF(COUNTIFS(nrES_PID,$D494,nrES_Code,$F494,nrES_Att,1)=0,$L494,IF($L494&gt;=$J494,cfgRetakeRecordedCap,SUMIFS(nrES_Raw,nrES_PID,$D494,nrES_Code,$F494,nrES_Att,1))))))</f>
        <v/>
      </c>
      <c r="N494" s="15">
        <f>IF($C494="","",IF($L494="","",IF($L494&gt;=$J494,"Yes","No")))</f>
        <v/>
      </c>
      <c r="O494" s="15">
        <f>IF($C494="","",IF($M494="","",IF($M494&gt;=$J494,"Yes","No")))</f>
        <v/>
      </c>
      <c r="P494" s="15">
        <f>IF($C494="","",IF($K494="","",IF(COUNTIFS(nrES_PID,$D494,nrES_Code,$F494,nrES_Att,"&gt;"&amp;$K494)=0,"Yes","No")))</f>
        <v/>
      </c>
      <c r="Q494" s="15">
        <f>IF($C494="","",IF($L494="","",IF(AND($K494=1,$L494&lt;$J494,COUNTIFS(nrES_PID,$D494,nrES_Code,$F494,nrES_Att,2)=0),"Yes","No")))</f>
        <v/>
      </c>
      <c r="R494" s="15">
        <f>IF($C494="","",IF($L494="","",IF(AND($K494=2,$L494&lt;$J494,COUNTIFS(nrES_PID,$D494,nrES_Code,$F494,nrES_Att,1)&gt;0),"Yes","No")))</f>
        <v/>
      </c>
      <c r="S494" s="16" t="n"/>
      <c r="T494" s="17">
        <f>IF($Q494&lt;&gt;"Yes","",IF($S494="","(enter date)",_xlfn.LET(_xlpm.dn,IFERROR(_xlfn.XLOOKUP($S494,nrCDdate,nrCDnum),""),IF(_xlpm.dn="","(not a class day)",IFERROR(_xlfn.XLOOKUP(_xlpm.dn+cfgRetestClassDays,nrCDnum,nrCDdate),"")))))</f>
        <v/>
      </c>
      <c r="U494" s="15">
        <f>IF($Q494&lt;&gt;"Yes","",IF(COUNTIFS(nrES_PID,$D494,nrES_Code,$F494,nrES_Att,2)&gt;0,"Retested",IF(OR($T494="",NOT(ISNUMBER($T494))),"Pending",IF(TODAY()&gt;$T494,"OVERDUE","Due "&amp;TEXT($T494,"mm/dd")))))</f>
        <v/>
      </c>
      <c r="V494" s="14" t="n"/>
      <c r="W494" s="14" t="n"/>
    </row>
    <row r="495">
      <c r="B495" s="15">
        <f>IF($C495="","",$D495&amp;"-"&amp;$F495&amp;"-"&amp;$K495)</f>
        <v/>
      </c>
      <c r="C495" s="14" t="n"/>
      <c r="D495" s="15">
        <f>IF($C495="","",IFERROR(INDEX(rngCadetPIDs,MATCH($C495,rngCadetNames,0)),"?"))</f>
        <v/>
      </c>
      <c r="E495" s="15">
        <f>IF($D495="","",IFERROR(INDEX(nrCadetAgency,MATCH($D495,rngCadetPIDs,0)),""))</f>
        <v/>
      </c>
      <c r="F495" s="14" t="n"/>
      <c r="G495" s="15">
        <f>IF($F495="","",IFERROR(INDEX(rngEPname,MATCH($F495,rngEPcode,0)),"?"))</f>
        <v/>
      </c>
      <c r="H495" s="15">
        <f>IF($F495="","",IFERROR(INDEX(rngEPtype,MATCH($F495,rngEPcode,0)),"?"))</f>
        <v/>
      </c>
      <c r="I495" s="15">
        <f>IF($F495="","",IFERROR(INDEX(rngEPseq,MATCH($F495,rngEPcode,0)),""))</f>
        <v/>
      </c>
      <c r="J495" s="15">
        <f>IF($F495="","",IFERROR(INDEX(rngEPpass,MATCH($F495,rngEPcode,0)),cfgPassingScore))</f>
        <v/>
      </c>
      <c r="K495" s="14" t="n"/>
      <c r="L495" s="14" t="n"/>
      <c r="M495" s="15">
        <f>IF($C495="","",IF($L495="","",IF($K495=1,IF(COUNTIFS(nrES_PID,$D495,nrES_Code,$F495,nrES_Att,2)&gt;0,"",$L495),IF(COUNTIFS(nrES_PID,$D495,nrES_Code,$F495,nrES_Att,1)=0,$L495,IF($L495&gt;=$J495,cfgRetakeRecordedCap,SUMIFS(nrES_Raw,nrES_PID,$D495,nrES_Code,$F495,nrES_Att,1))))))</f>
        <v/>
      </c>
      <c r="N495" s="15">
        <f>IF($C495="","",IF($L495="","",IF($L495&gt;=$J495,"Yes","No")))</f>
        <v/>
      </c>
      <c r="O495" s="15">
        <f>IF($C495="","",IF($M495="","",IF($M495&gt;=$J495,"Yes","No")))</f>
        <v/>
      </c>
      <c r="P495" s="15">
        <f>IF($C495="","",IF($K495="","",IF(COUNTIFS(nrES_PID,$D495,nrES_Code,$F495,nrES_Att,"&gt;"&amp;$K495)=0,"Yes","No")))</f>
        <v/>
      </c>
      <c r="Q495" s="15">
        <f>IF($C495="","",IF($L495="","",IF(AND($K495=1,$L495&lt;$J495,COUNTIFS(nrES_PID,$D495,nrES_Code,$F495,nrES_Att,2)=0),"Yes","No")))</f>
        <v/>
      </c>
      <c r="R495" s="15">
        <f>IF($C495="","",IF($L495="","",IF(AND($K495=2,$L495&lt;$J495,COUNTIFS(nrES_PID,$D495,nrES_Code,$F495,nrES_Att,1)&gt;0),"Yes","No")))</f>
        <v/>
      </c>
      <c r="S495" s="16" t="n"/>
      <c r="T495" s="17">
        <f>IF($Q495&lt;&gt;"Yes","",IF($S495="","(enter date)",_xlfn.LET(_xlpm.dn,IFERROR(_xlfn.XLOOKUP($S495,nrCDdate,nrCDnum),""),IF(_xlpm.dn="","(not a class day)",IFERROR(_xlfn.XLOOKUP(_xlpm.dn+cfgRetestClassDays,nrCDnum,nrCDdate),"")))))</f>
        <v/>
      </c>
      <c r="U495" s="15">
        <f>IF($Q495&lt;&gt;"Yes","",IF(COUNTIFS(nrES_PID,$D495,nrES_Code,$F495,nrES_Att,2)&gt;0,"Retested",IF(OR($T495="",NOT(ISNUMBER($T495))),"Pending",IF(TODAY()&gt;$T495,"OVERDUE","Due "&amp;TEXT($T495,"mm/dd")))))</f>
        <v/>
      </c>
      <c r="V495" s="14" t="n"/>
      <c r="W495" s="14" t="n"/>
    </row>
    <row r="496">
      <c r="B496" s="15">
        <f>IF($C496="","",$D496&amp;"-"&amp;$F496&amp;"-"&amp;$K496)</f>
        <v/>
      </c>
      <c r="C496" s="14" t="n"/>
      <c r="D496" s="15">
        <f>IF($C496="","",IFERROR(INDEX(rngCadetPIDs,MATCH($C496,rngCadetNames,0)),"?"))</f>
        <v/>
      </c>
      <c r="E496" s="15">
        <f>IF($D496="","",IFERROR(INDEX(nrCadetAgency,MATCH($D496,rngCadetPIDs,0)),""))</f>
        <v/>
      </c>
      <c r="F496" s="14" t="n"/>
      <c r="G496" s="15">
        <f>IF($F496="","",IFERROR(INDEX(rngEPname,MATCH($F496,rngEPcode,0)),"?"))</f>
        <v/>
      </c>
      <c r="H496" s="15">
        <f>IF($F496="","",IFERROR(INDEX(rngEPtype,MATCH($F496,rngEPcode,0)),"?"))</f>
        <v/>
      </c>
      <c r="I496" s="15">
        <f>IF($F496="","",IFERROR(INDEX(rngEPseq,MATCH($F496,rngEPcode,0)),""))</f>
        <v/>
      </c>
      <c r="J496" s="15">
        <f>IF($F496="","",IFERROR(INDEX(rngEPpass,MATCH($F496,rngEPcode,0)),cfgPassingScore))</f>
        <v/>
      </c>
      <c r="K496" s="14" t="n"/>
      <c r="L496" s="14" t="n"/>
      <c r="M496" s="15">
        <f>IF($C496="","",IF($L496="","",IF($K496=1,IF(COUNTIFS(nrES_PID,$D496,nrES_Code,$F496,nrES_Att,2)&gt;0,"",$L496),IF(COUNTIFS(nrES_PID,$D496,nrES_Code,$F496,nrES_Att,1)=0,$L496,IF($L496&gt;=$J496,cfgRetakeRecordedCap,SUMIFS(nrES_Raw,nrES_PID,$D496,nrES_Code,$F496,nrES_Att,1))))))</f>
        <v/>
      </c>
      <c r="N496" s="15">
        <f>IF($C496="","",IF($L496="","",IF($L496&gt;=$J496,"Yes","No")))</f>
        <v/>
      </c>
      <c r="O496" s="15">
        <f>IF($C496="","",IF($M496="","",IF($M496&gt;=$J496,"Yes","No")))</f>
        <v/>
      </c>
      <c r="P496" s="15">
        <f>IF($C496="","",IF($K496="","",IF(COUNTIFS(nrES_PID,$D496,nrES_Code,$F496,nrES_Att,"&gt;"&amp;$K496)=0,"Yes","No")))</f>
        <v/>
      </c>
      <c r="Q496" s="15">
        <f>IF($C496="","",IF($L496="","",IF(AND($K496=1,$L496&lt;$J496,COUNTIFS(nrES_PID,$D496,nrES_Code,$F496,nrES_Att,2)=0),"Yes","No")))</f>
        <v/>
      </c>
      <c r="R496" s="15">
        <f>IF($C496="","",IF($L496="","",IF(AND($K496=2,$L496&lt;$J496,COUNTIFS(nrES_PID,$D496,nrES_Code,$F496,nrES_Att,1)&gt;0),"Yes","No")))</f>
        <v/>
      </c>
      <c r="S496" s="16" t="n"/>
      <c r="T496" s="17">
        <f>IF($Q496&lt;&gt;"Yes","",IF($S496="","(enter date)",_xlfn.LET(_xlpm.dn,IFERROR(_xlfn.XLOOKUP($S496,nrCDdate,nrCDnum),""),IF(_xlpm.dn="","(not a class day)",IFERROR(_xlfn.XLOOKUP(_xlpm.dn+cfgRetestClassDays,nrCDnum,nrCDdate),"")))))</f>
        <v/>
      </c>
      <c r="U496" s="15">
        <f>IF($Q496&lt;&gt;"Yes","",IF(COUNTIFS(nrES_PID,$D496,nrES_Code,$F496,nrES_Att,2)&gt;0,"Retested",IF(OR($T496="",NOT(ISNUMBER($T496))),"Pending",IF(TODAY()&gt;$T496,"OVERDUE","Due "&amp;TEXT($T496,"mm/dd")))))</f>
        <v/>
      </c>
      <c r="V496" s="14" t="n"/>
      <c r="W496" s="14" t="n"/>
    </row>
    <row r="497">
      <c r="B497" s="15">
        <f>IF($C497="","",$D497&amp;"-"&amp;$F497&amp;"-"&amp;$K497)</f>
        <v/>
      </c>
      <c r="C497" s="14" t="n"/>
      <c r="D497" s="15">
        <f>IF($C497="","",IFERROR(INDEX(rngCadetPIDs,MATCH($C497,rngCadetNames,0)),"?"))</f>
        <v/>
      </c>
      <c r="E497" s="15">
        <f>IF($D497="","",IFERROR(INDEX(nrCadetAgency,MATCH($D497,rngCadetPIDs,0)),""))</f>
        <v/>
      </c>
      <c r="F497" s="14" t="n"/>
      <c r="G497" s="15">
        <f>IF($F497="","",IFERROR(INDEX(rngEPname,MATCH($F497,rngEPcode,0)),"?"))</f>
        <v/>
      </c>
      <c r="H497" s="15">
        <f>IF($F497="","",IFERROR(INDEX(rngEPtype,MATCH($F497,rngEPcode,0)),"?"))</f>
        <v/>
      </c>
      <c r="I497" s="15">
        <f>IF($F497="","",IFERROR(INDEX(rngEPseq,MATCH($F497,rngEPcode,0)),""))</f>
        <v/>
      </c>
      <c r="J497" s="15">
        <f>IF($F497="","",IFERROR(INDEX(rngEPpass,MATCH($F497,rngEPcode,0)),cfgPassingScore))</f>
        <v/>
      </c>
      <c r="K497" s="14" t="n"/>
      <c r="L497" s="14" t="n"/>
      <c r="M497" s="15">
        <f>IF($C497="","",IF($L497="","",IF($K497=1,IF(COUNTIFS(nrES_PID,$D497,nrES_Code,$F497,nrES_Att,2)&gt;0,"",$L497),IF(COUNTIFS(nrES_PID,$D497,nrES_Code,$F497,nrES_Att,1)=0,$L497,IF($L497&gt;=$J497,cfgRetakeRecordedCap,SUMIFS(nrES_Raw,nrES_PID,$D497,nrES_Code,$F497,nrES_Att,1))))))</f>
        <v/>
      </c>
      <c r="N497" s="15">
        <f>IF($C497="","",IF($L497="","",IF($L497&gt;=$J497,"Yes","No")))</f>
        <v/>
      </c>
      <c r="O497" s="15">
        <f>IF($C497="","",IF($M497="","",IF($M497&gt;=$J497,"Yes","No")))</f>
        <v/>
      </c>
      <c r="P497" s="15">
        <f>IF($C497="","",IF($K497="","",IF(COUNTIFS(nrES_PID,$D497,nrES_Code,$F497,nrES_Att,"&gt;"&amp;$K497)=0,"Yes","No")))</f>
        <v/>
      </c>
      <c r="Q497" s="15">
        <f>IF($C497="","",IF($L497="","",IF(AND($K497=1,$L497&lt;$J497,COUNTIFS(nrES_PID,$D497,nrES_Code,$F497,nrES_Att,2)=0),"Yes","No")))</f>
        <v/>
      </c>
      <c r="R497" s="15">
        <f>IF($C497="","",IF($L497="","",IF(AND($K497=2,$L497&lt;$J497,COUNTIFS(nrES_PID,$D497,nrES_Code,$F497,nrES_Att,1)&gt;0),"Yes","No")))</f>
        <v/>
      </c>
      <c r="S497" s="16" t="n"/>
      <c r="T497" s="17">
        <f>IF($Q497&lt;&gt;"Yes","",IF($S497="","(enter date)",_xlfn.LET(_xlpm.dn,IFERROR(_xlfn.XLOOKUP($S497,nrCDdate,nrCDnum),""),IF(_xlpm.dn="","(not a class day)",IFERROR(_xlfn.XLOOKUP(_xlpm.dn+cfgRetestClassDays,nrCDnum,nrCDdate),"")))))</f>
        <v/>
      </c>
      <c r="U497" s="15">
        <f>IF($Q497&lt;&gt;"Yes","",IF(COUNTIFS(nrES_PID,$D497,nrES_Code,$F497,nrES_Att,2)&gt;0,"Retested",IF(OR($T497="",NOT(ISNUMBER($T497))),"Pending",IF(TODAY()&gt;$T497,"OVERDUE","Due "&amp;TEXT($T497,"mm/dd")))))</f>
        <v/>
      </c>
      <c r="V497" s="14" t="n"/>
      <c r="W497" s="14" t="n"/>
    </row>
    <row r="498">
      <c r="B498" s="15">
        <f>IF($C498="","",$D498&amp;"-"&amp;$F498&amp;"-"&amp;$K498)</f>
        <v/>
      </c>
      <c r="C498" s="14" t="n"/>
      <c r="D498" s="15">
        <f>IF($C498="","",IFERROR(INDEX(rngCadetPIDs,MATCH($C498,rngCadetNames,0)),"?"))</f>
        <v/>
      </c>
      <c r="E498" s="15">
        <f>IF($D498="","",IFERROR(INDEX(nrCadetAgency,MATCH($D498,rngCadetPIDs,0)),""))</f>
        <v/>
      </c>
      <c r="F498" s="14" t="n"/>
      <c r="G498" s="15">
        <f>IF($F498="","",IFERROR(INDEX(rngEPname,MATCH($F498,rngEPcode,0)),"?"))</f>
        <v/>
      </c>
      <c r="H498" s="15">
        <f>IF($F498="","",IFERROR(INDEX(rngEPtype,MATCH($F498,rngEPcode,0)),"?"))</f>
        <v/>
      </c>
      <c r="I498" s="15">
        <f>IF($F498="","",IFERROR(INDEX(rngEPseq,MATCH($F498,rngEPcode,0)),""))</f>
        <v/>
      </c>
      <c r="J498" s="15">
        <f>IF($F498="","",IFERROR(INDEX(rngEPpass,MATCH($F498,rngEPcode,0)),cfgPassingScore))</f>
        <v/>
      </c>
      <c r="K498" s="14" t="n"/>
      <c r="L498" s="14" t="n"/>
      <c r="M498" s="15">
        <f>IF($C498="","",IF($L498="","",IF($K498=1,IF(COUNTIFS(nrES_PID,$D498,nrES_Code,$F498,nrES_Att,2)&gt;0,"",$L498),IF(COUNTIFS(nrES_PID,$D498,nrES_Code,$F498,nrES_Att,1)=0,$L498,IF($L498&gt;=$J498,cfgRetakeRecordedCap,SUMIFS(nrES_Raw,nrES_PID,$D498,nrES_Code,$F498,nrES_Att,1))))))</f>
        <v/>
      </c>
      <c r="N498" s="15">
        <f>IF($C498="","",IF($L498="","",IF($L498&gt;=$J498,"Yes","No")))</f>
        <v/>
      </c>
      <c r="O498" s="15">
        <f>IF($C498="","",IF($M498="","",IF($M498&gt;=$J498,"Yes","No")))</f>
        <v/>
      </c>
      <c r="P498" s="15">
        <f>IF($C498="","",IF($K498="","",IF(COUNTIFS(nrES_PID,$D498,nrES_Code,$F498,nrES_Att,"&gt;"&amp;$K498)=0,"Yes","No")))</f>
        <v/>
      </c>
      <c r="Q498" s="15">
        <f>IF($C498="","",IF($L498="","",IF(AND($K498=1,$L498&lt;$J498,COUNTIFS(nrES_PID,$D498,nrES_Code,$F498,nrES_Att,2)=0),"Yes","No")))</f>
        <v/>
      </c>
      <c r="R498" s="15">
        <f>IF($C498="","",IF($L498="","",IF(AND($K498=2,$L498&lt;$J498,COUNTIFS(nrES_PID,$D498,nrES_Code,$F498,nrES_Att,1)&gt;0),"Yes","No")))</f>
        <v/>
      </c>
      <c r="S498" s="16" t="n"/>
      <c r="T498" s="17">
        <f>IF($Q498&lt;&gt;"Yes","",IF($S498="","(enter date)",_xlfn.LET(_xlpm.dn,IFERROR(_xlfn.XLOOKUP($S498,nrCDdate,nrCDnum),""),IF(_xlpm.dn="","(not a class day)",IFERROR(_xlfn.XLOOKUP(_xlpm.dn+cfgRetestClassDays,nrCDnum,nrCDdate),"")))))</f>
        <v/>
      </c>
      <c r="U498" s="15">
        <f>IF($Q498&lt;&gt;"Yes","",IF(COUNTIFS(nrES_PID,$D498,nrES_Code,$F498,nrES_Att,2)&gt;0,"Retested",IF(OR($T498="",NOT(ISNUMBER($T498))),"Pending",IF(TODAY()&gt;$T498,"OVERDUE","Due "&amp;TEXT($T498,"mm/dd")))))</f>
        <v/>
      </c>
      <c r="V498" s="14" t="n"/>
      <c r="W498" s="14" t="n"/>
    </row>
    <row r="499">
      <c r="B499" s="15">
        <f>IF($C499="","",$D499&amp;"-"&amp;$F499&amp;"-"&amp;$K499)</f>
        <v/>
      </c>
      <c r="C499" s="14" t="n"/>
      <c r="D499" s="15">
        <f>IF($C499="","",IFERROR(INDEX(rngCadetPIDs,MATCH($C499,rngCadetNames,0)),"?"))</f>
        <v/>
      </c>
      <c r="E499" s="15">
        <f>IF($D499="","",IFERROR(INDEX(nrCadetAgency,MATCH($D499,rngCadetPIDs,0)),""))</f>
        <v/>
      </c>
      <c r="F499" s="14" t="n"/>
      <c r="G499" s="15">
        <f>IF($F499="","",IFERROR(INDEX(rngEPname,MATCH($F499,rngEPcode,0)),"?"))</f>
        <v/>
      </c>
      <c r="H499" s="15">
        <f>IF($F499="","",IFERROR(INDEX(rngEPtype,MATCH($F499,rngEPcode,0)),"?"))</f>
        <v/>
      </c>
      <c r="I499" s="15">
        <f>IF($F499="","",IFERROR(INDEX(rngEPseq,MATCH($F499,rngEPcode,0)),""))</f>
        <v/>
      </c>
      <c r="J499" s="15">
        <f>IF($F499="","",IFERROR(INDEX(rngEPpass,MATCH($F499,rngEPcode,0)),cfgPassingScore))</f>
        <v/>
      </c>
      <c r="K499" s="14" t="n"/>
      <c r="L499" s="14" t="n"/>
      <c r="M499" s="15">
        <f>IF($C499="","",IF($L499="","",IF($K499=1,IF(COUNTIFS(nrES_PID,$D499,nrES_Code,$F499,nrES_Att,2)&gt;0,"",$L499),IF(COUNTIFS(nrES_PID,$D499,nrES_Code,$F499,nrES_Att,1)=0,$L499,IF($L499&gt;=$J499,cfgRetakeRecordedCap,SUMIFS(nrES_Raw,nrES_PID,$D499,nrES_Code,$F499,nrES_Att,1))))))</f>
        <v/>
      </c>
      <c r="N499" s="15">
        <f>IF($C499="","",IF($L499="","",IF($L499&gt;=$J499,"Yes","No")))</f>
        <v/>
      </c>
      <c r="O499" s="15">
        <f>IF($C499="","",IF($M499="","",IF($M499&gt;=$J499,"Yes","No")))</f>
        <v/>
      </c>
      <c r="P499" s="15">
        <f>IF($C499="","",IF($K499="","",IF(COUNTIFS(nrES_PID,$D499,nrES_Code,$F499,nrES_Att,"&gt;"&amp;$K499)=0,"Yes","No")))</f>
        <v/>
      </c>
      <c r="Q499" s="15">
        <f>IF($C499="","",IF($L499="","",IF(AND($K499=1,$L499&lt;$J499,COUNTIFS(nrES_PID,$D499,nrES_Code,$F499,nrES_Att,2)=0),"Yes","No")))</f>
        <v/>
      </c>
      <c r="R499" s="15">
        <f>IF($C499="","",IF($L499="","",IF(AND($K499=2,$L499&lt;$J499,COUNTIFS(nrES_PID,$D499,nrES_Code,$F499,nrES_Att,1)&gt;0),"Yes","No")))</f>
        <v/>
      </c>
      <c r="S499" s="16" t="n"/>
      <c r="T499" s="17">
        <f>IF($Q499&lt;&gt;"Yes","",IF($S499="","(enter date)",_xlfn.LET(_xlpm.dn,IFERROR(_xlfn.XLOOKUP($S499,nrCDdate,nrCDnum),""),IF(_xlpm.dn="","(not a class day)",IFERROR(_xlfn.XLOOKUP(_xlpm.dn+cfgRetestClassDays,nrCDnum,nrCDdate),"")))))</f>
        <v/>
      </c>
      <c r="U499" s="15">
        <f>IF($Q499&lt;&gt;"Yes","",IF(COUNTIFS(nrES_PID,$D499,nrES_Code,$F499,nrES_Att,2)&gt;0,"Retested",IF(OR($T499="",NOT(ISNUMBER($T499))),"Pending",IF(TODAY()&gt;$T499,"OVERDUE","Due "&amp;TEXT($T499,"mm/dd")))))</f>
        <v/>
      </c>
      <c r="V499" s="14" t="n"/>
      <c r="W499" s="14" t="n"/>
    </row>
    <row r="500">
      <c r="B500" s="15">
        <f>IF($C500="","",$D500&amp;"-"&amp;$F500&amp;"-"&amp;$K500)</f>
        <v/>
      </c>
      <c r="C500" s="14" t="n"/>
      <c r="D500" s="15">
        <f>IF($C500="","",IFERROR(INDEX(rngCadetPIDs,MATCH($C500,rngCadetNames,0)),"?"))</f>
        <v/>
      </c>
      <c r="E500" s="15">
        <f>IF($D500="","",IFERROR(INDEX(nrCadetAgency,MATCH($D500,rngCadetPIDs,0)),""))</f>
        <v/>
      </c>
      <c r="F500" s="14" t="n"/>
      <c r="G500" s="15">
        <f>IF($F500="","",IFERROR(INDEX(rngEPname,MATCH($F500,rngEPcode,0)),"?"))</f>
        <v/>
      </c>
      <c r="H500" s="15">
        <f>IF($F500="","",IFERROR(INDEX(rngEPtype,MATCH($F500,rngEPcode,0)),"?"))</f>
        <v/>
      </c>
      <c r="I500" s="15">
        <f>IF($F500="","",IFERROR(INDEX(rngEPseq,MATCH($F500,rngEPcode,0)),""))</f>
        <v/>
      </c>
      <c r="J500" s="15">
        <f>IF($F500="","",IFERROR(INDEX(rngEPpass,MATCH($F500,rngEPcode,0)),cfgPassingScore))</f>
        <v/>
      </c>
      <c r="K500" s="14" t="n"/>
      <c r="L500" s="14" t="n"/>
      <c r="M500" s="15">
        <f>IF($C500="","",IF($L500="","",IF($K500=1,IF(COUNTIFS(nrES_PID,$D500,nrES_Code,$F500,nrES_Att,2)&gt;0,"",$L500),IF(COUNTIFS(nrES_PID,$D500,nrES_Code,$F500,nrES_Att,1)=0,$L500,IF($L500&gt;=$J500,cfgRetakeRecordedCap,SUMIFS(nrES_Raw,nrES_PID,$D500,nrES_Code,$F500,nrES_Att,1))))))</f>
        <v/>
      </c>
      <c r="N500" s="15">
        <f>IF($C500="","",IF($L500="","",IF($L500&gt;=$J500,"Yes","No")))</f>
        <v/>
      </c>
      <c r="O500" s="15">
        <f>IF($C500="","",IF($M500="","",IF($M500&gt;=$J500,"Yes","No")))</f>
        <v/>
      </c>
      <c r="P500" s="15">
        <f>IF($C500="","",IF($K500="","",IF(COUNTIFS(nrES_PID,$D500,nrES_Code,$F500,nrES_Att,"&gt;"&amp;$K500)=0,"Yes","No")))</f>
        <v/>
      </c>
      <c r="Q500" s="15">
        <f>IF($C500="","",IF($L500="","",IF(AND($K500=1,$L500&lt;$J500,COUNTIFS(nrES_PID,$D500,nrES_Code,$F500,nrES_Att,2)=0),"Yes","No")))</f>
        <v/>
      </c>
      <c r="R500" s="15">
        <f>IF($C500="","",IF($L500="","",IF(AND($K500=2,$L500&lt;$J500,COUNTIFS(nrES_PID,$D500,nrES_Code,$F500,nrES_Att,1)&gt;0),"Yes","No")))</f>
        <v/>
      </c>
      <c r="S500" s="16" t="n"/>
      <c r="T500" s="17">
        <f>IF($Q500&lt;&gt;"Yes","",IF($S500="","(enter date)",_xlfn.LET(_xlpm.dn,IFERROR(_xlfn.XLOOKUP($S500,nrCDdate,nrCDnum),""),IF(_xlpm.dn="","(not a class day)",IFERROR(_xlfn.XLOOKUP(_xlpm.dn+cfgRetestClassDays,nrCDnum,nrCDdate),"")))))</f>
        <v/>
      </c>
      <c r="U500" s="15">
        <f>IF($Q500&lt;&gt;"Yes","",IF(COUNTIFS(nrES_PID,$D500,nrES_Code,$F500,nrES_Att,2)&gt;0,"Retested",IF(OR($T500="",NOT(ISNUMBER($T500))),"Pending",IF(TODAY()&gt;$T500,"OVERDUE","Due "&amp;TEXT($T500,"mm/dd")))))</f>
        <v/>
      </c>
      <c r="V500" s="14" t="n"/>
      <c r="W500" s="14" t="n"/>
    </row>
    <row r="501">
      <c r="B501" s="15">
        <f>IF($C501="","",$D501&amp;"-"&amp;$F501&amp;"-"&amp;$K501)</f>
        <v/>
      </c>
      <c r="C501" s="14" t="n"/>
      <c r="D501" s="15">
        <f>IF($C501="","",IFERROR(INDEX(rngCadetPIDs,MATCH($C501,rngCadetNames,0)),"?"))</f>
        <v/>
      </c>
      <c r="E501" s="15">
        <f>IF($D501="","",IFERROR(INDEX(nrCadetAgency,MATCH($D501,rngCadetPIDs,0)),""))</f>
        <v/>
      </c>
      <c r="F501" s="14" t="n"/>
      <c r="G501" s="15">
        <f>IF($F501="","",IFERROR(INDEX(rngEPname,MATCH($F501,rngEPcode,0)),"?"))</f>
        <v/>
      </c>
      <c r="H501" s="15">
        <f>IF($F501="","",IFERROR(INDEX(rngEPtype,MATCH($F501,rngEPcode,0)),"?"))</f>
        <v/>
      </c>
      <c r="I501" s="15">
        <f>IF($F501="","",IFERROR(INDEX(rngEPseq,MATCH($F501,rngEPcode,0)),""))</f>
        <v/>
      </c>
      <c r="J501" s="15">
        <f>IF($F501="","",IFERROR(INDEX(rngEPpass,MATCH($F501,rngEPcode,0)),cfgPassingScore))</f>
        <v/>
      </c>
      <c r="K501" s="14" t="n"/>
      <c r="L501" s="14" t="n"/>
      <c r="M501" s="15">
        <f>IF($C501="","",IF($L501="","",IF($K501=1,IF(COUNTIFS(nrES_PID,$D501,nrES_Code,$F501,nrES_Att,2)&gt;0,"",$L501),IF(COUNTIFS(nrES_PID,$D501,nrES_Code,$F501,nrES_Att,1)=0,$L501,IF($L501&gt;=$J501,cfgRetakeRecordedCap,SUMIFS(nrES_Raw,nrES_PID,$D501,nrES_Code,$F501,nrES_Att,1))))))</f>
        <v/>
      </c>
      <c r="N501" s="15">
        <f>IF($C501="","",IF($L501="","",IF($L501&gt;=$J501,"Yes","No")))</f>
        <v/>
      </c>
      <c r="O501" s="15">
        <f>IF($C501="","",IF($M501="","",IF($M501&gt;=$J501,"Yes","No")))</f>
        <v/>
      </c>
      <c r="P501" s="15">
        <f>IF($C501="","",IF($K501="","",IF(COUNTIFS(nrES_PID,$D501,nrES_Code,$F501,nrES_Att,"&gt;"&amp;$K501)=0,"Yes","No")))</f>
        <v/>
      </c>
      <c r="Q501" s="15">
        <f>IF($C501="","",IF($L501="","",IF(AND($K501=1,$L501&lt;$J501,COUNTIFS(nrES_PID,$D501,nrES_Code,$F501,nrES_Att,2)=0),"Yes","No")))</f>
        <v/>
      </c>
      <c r="R501" s="15">
        <f>IF($C501="","",IF($L501="","",IF(AND($K501=2,$L501&lt;$J501,COUNTIFS(nrES_PID,$D501,nrES_Code,$F501,nrES_Att,1)&gt;0),"Yes","No")))</f>
        <v/>
      </c>
      <c r="S501" s="16" t="n"/>
      <c r="T501" s="17">
        <f>IF($Q501&lt;&gt;"Yes","",IF($S501="","(enter date)",_xlfn.LET(_xlpm.dn,IFERROR(_xlfn.XLOOKUP($S501,nrCDdate,nrCDnum),""),IF(_xlpm.dn="","(not a class day)",IFERROR(_xlfn.XLOOKUP(_xlpm.dn+cfgRetestClassDays,nrCDnum,nrCDdate),"")))))</f>
        <v/>
      </c>
      <c r="U501" s="15">
        <f>IF($Q501&lt;&gt;"Yes","",IF(COUNTIFS(nrES_PID,$D501,nrES_Code,$F501,nrES_Att,2)&gt;0,"Retested",IF(OR($T501="",NOT(ISNUMBER($T501))),"Pending",IF(TODAY()&gt;$T501,"OVERDUE","Due "&amp;TEXT($T501,"mm/dd")))))</f>
        <v/>
      </c>
      <c r="V501" s="14" t="n"/>
      <c r="W501" s="14" t="n"/>
    </row>
    <row r="502">
      <c r="B502" s="15">
        <f>IF($C502="","",$D502&amp;"-"&amp;$F502&amp;"-"&amp;$K502)</f>
        <v/>
      </c>
      <c r="C502" s="14" t="n"/>
      <c r="D502" s="15">
        <f>IF($C502="","",IFERROR(INDEX(rngCadetPIDs,MATCH($C502,rngCadetNames,0)),"?"))</f>
        <v/>
      </c>
      <c r="E502" s="15">
        <f>IF($D502="","",IFERROR(INDEX(nrCadetAgency,MATCH($D502,rngCadetPIDs,0)),""))</f>
        <v/>
      </c>
      <c r="F502" s="14" t="n"/>
      <c r="G502" s="15">
        <f>IF($F502="","",IFERROR(INDEX(rngEPname,MATCH($F502,rngEPcode,0)),"?"))</f>
        <v/>
      </c>
      <c r="H502" s="15">
        <f>IF($F502="","",IFERROR(INDEX(rngEPtype,MATCH($F502,rngEPcode,0)),"?"))</f>
        <v/>
      </c>
      <c r="I502" s="15">
        <f>IF($F502="","",IFERROR(INDEX(rngEPseq,MATCH($F502,rngEPcode,0)),""))</f>
        <v/>
      </c>
      <c r="J502" s="15">
        <f>IF($F502="","",IFERROR(INDEX(rngEPpass,MATCH($F502,rngEPcode,0)),cfgPassingScore))</f>
        <v/>
      </c>
      <c r="K502" s="14" t="n"/>
      <c r="L502" s="14" t="n"/>
      <c r="M502" s="15">
        <f>IF($C502="","",IF($L502="","",IF($K502=1,IF(COUNTIFS(nrES_PID,$D502,nrES_Code,$F502,nrES_Att,2)&gt;0,"",$L502),IF(COUNTIFS(nrES_PID,$D502,nrES_Code,$F502,nrES_Att,1)=0,$L502,IF($L502&gt;=$J502,cfgRetakeRecordedCap,SUMIFS(nrES_Raw,nrES_PID,$D502,nrES_Code,$F502,nrES_Att,1))))))</f>
        <v/>
      </c>
      <c r="N502" s="15">
        <f>IF($C502="","",IF($L502="","",IF($L502&gt;=$J502,"Yes","No")))</f>
        <v/>
      </c>
      <c r="O502" s="15">
        <f>IF($C502="","",IF($M502="","",IF($M502&gt;=$J502,"Yes","No")))</f>
        <v/>
      </c>
      <c r="P502" s="15">
        <f>IF($C502="","",IF($K502="","",IF(COUNTIFS(nrES_PID,$D502,nrES_Code,$F502,nrES_Att,"&gt;"&amp;$K502)=0,"Yes","No")))</f>
        <v/>
      </c>
      <c r="Q502" s="15">
        <f>IF($C502="","",IF($L502="","",IF(AND($K502=1,$L502&lt;$J502,COUNTIFS(nrES_PID,$D502,nrES_Code,$F502,nrES_Att,2)=0),"Yes","No")))</f>
        <v/>
      </c>
      <c r="R502" s="15">
        <f>IF($C502="","",IF($L502="","",IF(AND($K502=2,$L502&lt;$J502,COUNTIFS(nrES_PID,$D502,nrES_Code,$F502,nrES_Att,1)&gt;0),"Yes","No")))</f>
        <v/>
      </c>
      <c r="S502" s="16" t="n"/>
      <c r="T502" s="17">
        <f>IF($Q502&lt;&gt;"Yes","",IF($S502="","(enter date)",_xlfn.LET(_xlpm.dn,IFERROR(_xlfn.XLOOKUP($S502,nrCDdate,nrCDnum),""),IF(_xlpm.dn="","(not a class day)",IFERROR(_xlfn.XLOOKUP(_xlpm.dn+cfgRetestClassDays,nrCDnum,nrCDdate),"")))))</f>
        <v/>
      </c>
      <c r="U502" s="15">
        <f>IF($Q502&lt;&gt;"Yes","",IF(COUNTIFS(nrES_PID,$D502,nrES_Code,$F502,nrES_Att,2)&gt;0,"Retested",IF(OR($T502="",NOT(ISNUMBER($T502))),"Pending",IF(TODAY()&gt;$T502,"OVERDUE","Due "&amp;TEXT($T502,"mm/dd")))))</f>
        <v/>
      </c>
      <c r="V502" s="14" t="n"/>
      <c r="W502" s="14" t="n"/>
    </row>
    <row r="503">
      <c r="B503" s="15">
        <f>IF($C503="","",$D503&amp;"-"&amp;$F503&amp;"-"&amp;$K503)</f>
        <v/>
      </c>
      <c r="C503" s="14" t="n"/>
      <c r="D503" s="15">
        <f>IF($C503="","",IFERROR(INDEX(rngCadetPIDs,MATCH($C503,rngCadetNames,0)),"?"))</f>
        <v/>
      </c>
      <c r="E503" s="15">
        <f>IF($D503="","",IFERROR(INDEX(nrCadetAgency,MATCH($D503,rngCadetPIDs,0)),""))</f>
        <v/>
      </c>
      <c r="F503" s="14" t="n"/>
      <c r="G503" s="15">
        <f>IF($F503="","",IFERROR(INDEX(rngEPname,MATCH($F503,rngEPcode,0)),"?"))</f>
        <v/>
      </c>
      <c r="H503" s="15">
        <f>IF($F503="","",IFERROR(INDEX(rngEPtype,MATCH($F503,rngEPcode,0)),"?"))</f>
        <v/>
      </c>
      <c r="I503" s="15">
        <f>IF($F503="","",IFERROR(INDEX(rngEPseq,MATCH($F503,rngEPcode,0)),""))</f>
        <v/>
      </c>
      <c r="J503" s="15">
        <f>IF($F503="","",IFERROR(INDEX(rngEPpass,MATCH($F503,rngEPcode,0)),cfgPassingScore))</f>
        <v/>
      </c>
      <c r="K503" s="14" t="n"/>
      <c r="L503" s="14" t="n"/>
      <c r="M503" s="15">
        <f>IF($C503="","",IF($L503="","",IF($K503=1,IF(COUNTIFS(nrES_PID,$D503,nrES_Code,$F503,nrES_Att,2)&gt;0,"",$L503),IF(COUNTIFS(nrES_PID,$D503,nrES_Code,$F503,nrES_Att,1)=0,$L503,IF($L503&gt;=$J503,cfgRetakeRecordedCap,SUMIFS(nrES_Raw,nrES_PID,$D503,nrES_Code,$F503,nrES_Att,1))))))</f>
        <v/>
      </c>
      <c r="N503" s="15">
        <f>IF($C503="","",IF($L503="","",IF($L503&gt;=$J503,"Yes","No")))</f>
        <v/>
      </c>
      <c r="O503" s="15">
        <f>IF($C503="","",IF($M503="","",IF($M503&gt;=$J503,"Yes","No")))</f>
        <v/>
      </c>
      <c r="P503" s="15">
        <f>IF($C503="","",IF($K503="","",IF(COUNTIFS(nrES_PID,$D503,nrES_Code,$F503,nrES_Att,"&gt;"&amp;$K503)=0,"Yes","No")))</f>
        <v/>
      </c>
      <c r="Q503" s="15">
        <f>IF($C503="","",IF($L503="","",IF(AND($K503=1,$L503&lt;$J503,COUNTIFS(nrES_PID,$D503,nrES_Code,$F503,nrES_Att,2)=0),"Yes","No")))</f>
        <v/>
      </c>
      <c r="R503" s="15">
        <f>IF($C503="","",IF($L503="","",IF(AND($K503=2,$L503&lt;$J503,COUNTIFS(nrES_PID,$D503,nrES_Code,$F503,nrES_Att,1)&gt;0),"Yes","No")))</f>
        <v/>
      </c>
      <c r="S503" s="16" t="n"/>
      <c r="T503" s="17">
        <f>IF($Q503&lt;&gt;"Yes","",IF($S503="","(enter date)",_xlfn.LET(_xlpm.dn,IFERROR(_xlfn.XLOOKUP($S503,nrCDdate,nrCDnum),""),IF(_xlpm.dn="","(not a class day)",IFERROR(_xlfn.XLOOKUP(_xlpm.dn+cfgRetestClassDays,nrCDnum,nrCDdate),"")))))</f>
        <v/>
      </c>
      <c r="U503" s="15">
        <f>IF($Q503&lt;&gt;"Yes","",IF(COUNTIFS(nrES_PID,$D503,nrES_Code,$F503,nrES_Att,2)&gt;0,"Retested",IF(OR($T503="",NOT(ISNUMBER($T503))),"Pending",IF(TODAY()&gt;$T503,"OVERDUE","Due "&amp;TEXT($T503,"mm/dd")))))</f>
        <v/>
      </c>
      <c r="V503" s="14" t="n"/>
      <c r="W503" s="14" t="n"/>
    </row>
    <row r="504">
      <c r="B504" s="15">
        <f>IF($C504="","",$D504&amp;"-"&amp;$F504&amp;"-"&amp;$K504)</f>
        <v/>
      </c>
      <c r="C504" s="14" t="n"/>
      <c r="D504" s="15">
        <f>IF($C504="","",IFERROR(INDEX(rngCadetPIDs,MATCH($C504,rngCadetNames,0)),"?"))</f>
        <v/>
      </c>
      <c r="E504" s="15">
        <f>IF($D504="","",IFERROR(INDEX(nrCadetAgency,MATCH($D504,rngCadetPIDs,0)),""))</f>
        <v/>
      </c>
      <c r="F504" s="14" t="n"/>
      <c r="G504" s="15">
        <f>IF($F504="","",IFERROR(INDEX(rngEPname,MATCH($F504,rngEPcode,0)),"?"))</f>
        <v/>
      </c>
      <c r="H504" s="15">
        <f>IF($F504="","",IFERROR(INDEX(rngEPtype,MATCH($F504,rngEPcode,0)),"?"))</f>
        <v/>
      </c>
      <c r="I504" s="15">
        <f>IF($F504="","",IFERROR(INDEX(rngEPseq,MATCH($F504,rngEPcode,0)),""))</f>
        <v/>
      </c>
      <c r="J504" s="15">
        <f>IF($F504="","",IFERROR(INDEX(rngEPpass,MATCH($F504,rngEPcode,0)),cfgPassingScore))</f>
        <v/>
      </c>
      <c r="K504" s="14" t="n"/>
      <c r="L504" s="14" t="n"/>
      <c r="M504" s="15">
        <f>IF($C504="","",IF($L504="","",IF($K504=1,IF(COUNTIFS(nrES_PID,$D504,nrES_Code,$F504,nrES_Att,2)&gt;0,"",$L504),IF(COUNTIFS(nrES_PID,$D504,nrES_Code,$F504,nrES_Att,1)=0,$L504,IF($L504&gt;=$J504,cfgRetakeRecordedCap,SUMIFS(nrES_Raw,nrES_PID,$D504,nrES_Code,$F504,nrES_Att,1))))))</f>
        <v/>
      </c>
      <c r="N504" s="15">
        <f>IF($C504="","",IF($L504="","",IF($L504&gt;=$J504,"Yes","No")))</f>
        <v/>
      </c>
      <c r="O504" s="15">
        <f>IF($C504="","",IF($M504="","",IF($M504&gt;=$J504,"Yes","No")))</f>
        <v/>
      </c>
      <c r="P504" s="15">
        <f>IF($C504="","",IF($K504="","",IF(COUNTIFS(nrES_PID,$D504,nrES_Code,$F504,nrES_Att,"&gt;"&amp;$K504)=0,"Yes","No")))</f>
        <v/>
      </c>
      <c r="Q504" s="15">
        <f>IF($C504="","",IF($L504="","",IF(AND($K504=1,$L504&lt;$J504,COUNTIFS(nrES_PID,$D504,nrES_Code,$F504,nrES_Att,2)=0),"Yes","No")))</f>
        <v/>
      </c>
      <c r="R504" s="15">
        <f>IF($C504="","",IF($L504="","",IF(AND($K504=2,$L504&lt;$J504,COUNTIFS(nrES_PID,$D504,nrES_Code,$F504,nrES_Att,1)&gt;0),"Yes","No")))</f>
        <v/>
      </c>
      <c r="S504" s="16" t="n"/>
      <c r="T504" s="17">
        <f>IF($Q504&lt;&gt;"Yes","",IF($S504="","(enter date)",_xlfn.LET(_xlpm.dn,IFERROR(_xlfn.XLOOKUP($S504,nrCDdate,nrCDnum),""),IF(_xlpm.dn="","(not a class day)",IFERROR(_xlfn.XLOOKUP(_xlpm.dn+cfgRetestClassDays,nrCDnum,nrCDdate),"")))))</f>
        <v/>
      </c>
      <c r="U504" s="15">
        <f>IF($Q504&lt;&gt;"Yes","",IF(COUNTIFS(nrES_PID,$D504,nrES_Code,$F504,nrES_Att,2)&gt;0,"Retested",IF(OR($T504="",NOT(ISNUMBER($T504))),"Pending",IF(TODAY()&gt;$T504,"OVERDUE","Due "&amp;TEXT($T504,"mm/dd")))))</f>
        <v/>
      </c>
      <c r="V504" s="14" t="n"/>
      <c r="W504" s="14" t="n"/>
    </row>
    <row r="505">
      <c r="B505" s="15">
        <f>IF($C505="","",$D505&amp;"-"&amp;$F505&amp;"-"&amp;$K505)</f>
        <v/>
      </c>
      <c r="C505" s="14" t="n"/>
      <c r="D505" s="15">
        <f>IF($C505="","",IFERROR(INDEX(rngCadetPIDs,MATCH($C505,rngCadetNames,0)),"?"))</f>
        <v/>
      </c>
      <c r="E505" s="15">
        <f>IF($D505="","",IFERROR(INDEX(nrCadetAgency,MATCH($D505,rngCadetPIDs,0)),""))</f>
        <v/>
      </c>
      <c r="F505" s="14" t="n"/>
      <c r="G505" s="15">
        <f>IF($F505="","",IFERROR(INDEX(rngEPname,MATCH($F505,rngEPcode,0)),"?"))</f>
        <v/>
      </c>
      <c r="H505" s="15">
        <f>IF($F505="","",IFERROR(INDEX(rngEPtype,MATCH($F505,rngEPcode,0)),"?"))</f>
        <v/>
      </c>
      <c r="I505" s="15">
        <f>IF($F505="","",IFERROR(INDEX(rngEPseq,MATCH($F505,rngEPcode,0)),""))</f>
        <v/>
      </c>
      <c r="J505" s="15">
        <f>IF($F505="","",IFERROR(INDEX(rngEPpass,MATCH($F505,rngEPcode,0)),cfgPassingScore))</f>
        <v/>
      </c>
      <c r="K505" s="14" t="n"/>
      <c r="L505" s="14" t="n"/>
      <c r="M505" s="15">
        <f>IF($C505="","",IF($L505="","",IF($K505=1,IF(COUNTIFS(nrES_PID,$D505,nrES_Code,$F505,nrES_Att,2)&gt;0,"",$L505),IF(COUNTIFS(nrES_PID,$D505,nrES_Code,$F505,nrES_Att,1)=0,$L505,IF($L505&gt;=$J505,cfgRetakeRecordedCap,SUMIFS(nrES_Raw,nrES_PID,$D505,nrES_Code,$F505,nrES_Att,1))))))</f>
        <v/>
      </c>
      <c r="N505" s="15">
        <f>IF($C505="","",IF($L505="","",IF($L505&gt;=$J505,"Yes","No")))</f>
        <v/>
      </c>
      <c r="O505" s="15">
        <f>IF($C505="","",IF($M505="","",IF($M505&gt;=$J505,"Yes","No")))</f>
        <v/>
      </c>
      <c r="P505" s="15">
        <f>IF($C505="","",IF($K505="","",IF(COUNTIFS(nrES_PID,$D505,nrES_Code,$F505,nrES_Att,"&gt;"&amp;$K505)=0,"Yes","No")))</f>
        <v/>
      </c>
      <c r="Q505" s="15">
        <f>IF($C505="","",IF($L505="","",IF(AND($K505=1,$L505&lt;$J505,COUNTIFS(nrES_PID,$D505,nrES_Code,$F505,nrES_Att,2)=0),"Yes","No")))</f>
        <v/>
      </c>
      <c r="R505" s="15">
        <f>IF($C505="","",IF($L505="","",IF(AND($K505=2,$L505&lt;$J505,COUNTIFS(nrES_PID,$D505,nrES_Code,$F505,nrES_Att,1)&gt;0),"Yes","No")))</f>
        <v/>
      </c>
      <c r="S505" s="16" t="n"/>
      <c r="T505" s="17">
        <f>IF($Q505&lt;&gt;"Yes","",IF($S505="","(enter date)",_xlfn.LET(_xlpm.dn,IFERROR(_xlfn.XLOOKUP($S505,nrCDdate,nrCDnum),""),IF(_xlpm.dn="","(not a class day)",IFERROR(_xlfn.XLOOKUP(_xlpm.dn+cfgRetestClassDays,nrCDnum,nrCDdate),"")))))</f>
        <v/>
      </c>
      <c r="U505" s="15">
        <f>IF($Q505&lt;&gt;"Yes","",IF(COUNTIFS(nrES_PID,$D505,nrES_Code,$F505,nrES_Att,2)&gt;0,"Retested",IF(OR($T505="",NOT(ISNUMBER($T505))),"Pending",IF(TODAY()&gt;$T505,"OVERDUE","Due "&amp;TEXT($T505,"mm/dd")))))</f>
        <v/>
      </c>
      <c r="V505" s="14" t="n"/>
      <c r="W505" s="14" t="n"/>
    </row>
    <row r="506">
      <c r="B506" s="15">
        <f>IF($C506="","",$D506&amp;"-"&amp;$F506&amp;"-"&amp;$K506)</f>
        <v/>
      </c>
      <c r="C506" s="14" t="n"/>
      <c r="D506" s="15">
        <f>IF($C506="","",IFERROR(INDEX(rngCadetPIDs,MATCH($C506,rngCadetNames,0)),"?"))</f>
        <v/>
      </c>
      <c r="E506" s="15">
        <f>IF($D506="","",IFERROR(INDEX(nrCadetAgency,MATCH($D506,rngCadetPIDs,0)),""))</f>
        <v/>
      </c>
      <c r="F506" s="14" t="n"/>
      <c r="G506" s="15">
        <f>IF($F506="","",IFERROR(INDEX(rngEPname,MATCH($F506,rngEPcode,0)),"?"))</f>
        <v/>
      </c>
      <c r="H506" s="15">
        <f>IF($F506="","",IFERROR(INDEX(rngEPtype,MATCH($F506,rngEPcode,0)),"?"))</f>
        <v/>
      </c>
      <c r="I506" s="15">
        <f>IF($F506="","",IFERROR(INDEX(rngEPseq,MATCH($F506,rngEPcode,0)),""))</f>
        <v/>
      </c>
      <c r="J506" s="15">
        <f>IF($F506="","",IFERROR(INDEX(rngEPpass,MATCH($F506,rngEPcode,0)),cfgPassingScore))</f>
        <v/>
      </c>
      <c r="K506" s="14" t="n"/>
      <c r="L506" s="14" t="n"/>
      <c r="M506" s="15">
        <f>IF($C506="","",IF($L506="","",IF($K506=1,IF(COUNTIFS(nrES_PID,$D506,nrES_Code,$F506,nrES_Att,2)&gt;0,"",$L506),IF(COUNTIFS(nrES_PID,$D506,nrES_Code,$F506,nrES_Att,1)=0,$L506,IF($L506&gt;=$J506,cfgRetakeRecordedCap,SUMIFS(nrES_Raw,nrES_PID,$D506,nrES_Code,$F506,nrES_Att,1))))))</f>
        <v/>
      </c>
      <c r="N506" s="15">
        <f>IF($C506="","",IF($L506="","",IF($L506&gt;=$J506,"Yes","No")))</f>
        <v/>
      </c>
      <c r="O506" s="15">
        <f>IF($C506="","",IF($M506="","",IF($M506&gt;=$J506,"Yes","No")))</f>
        <v/>
      </c>
      <c r="P506" s="15">
        <f>IF($C506="","",IF($K506="","",IF(COUNTIFS(nrES_PID,$D506,nrES_Code,$F506,nrES_Att,"&gt;"&amp;$K506)=0,"Yes","No")))</f>
        <v/>
      </c>
      <c r="Q506" s="15">
        <f>IF($C506="","",IF($L506="","",IF(AND($K506=1,$L506&lt;$J506,COUNTIFS(nrES_PID,$D506,nrES_Code,$F506,nrES_Att,2)=0),"Yes","No")))</f>
        <v/>
      </c>
      <c r="R506" s="15">
        <f>IF($C506="","",IF($L506="","",IF(AND($K506=2,$L506&lt;$J506,COUNTIFS(nrES_PID,$D506,nrES_Code,$F506,nrES_Att,1)&gt;0),"Yes","No")))</f>
        <v/>
      </c>
      <c r="S506" s="16" t="n"/>
      <c r="T506" s="17">
        <f>IF($Q506&lt;&gt;"Yes","",IF($S506="","(enter date)",_xlfn.LET(_xlpm.dn,IFERROR(_xlfn.XLOOKUP($S506,nrCDdate,nrCDnum),""),IF(_xlpm.dn="","(not a class day)",IFERROR(_xlfn.XLOOKUP(_xlpm.dn+cfgRetestClassDays,nrCDnum,nrCDdate),"")))))</f>
        <v/>
      </c>
      <c r="U506" s="15">
        <f>IF($Q506&lt;&gt;"Yes","",IF(COUNTIFS(nrES_PID,$D506,nrES_Code,$F506,nrES_Att,2)&gt;0,"Retested",IF(OR($T506="",NOT(ISNUMBER($T506))),"Pending",IF(TODAY()&gt;$T506,"OVERDUE","Due "&amp;TEXT($T506,"mm/dd")))))</f>
        <v/>
      </c>
      <c r="V506" s="14" t="n"/>
      <c r="W506" s="14" t="n"/>
    </row>
    <row r="507">
      <c r="B507" s="15">
        <f>IF($C507="","",$D507&amp;"-"&amp;$F507&amp;"-"&amp;$K507)</f>
        <v/>
      </c>
      <c r="C507" s="14" t="n"/>
      <c r="D507" s="15">
        <f>IF($C507="","",IFERROR(INDEX(rngCadetPIDs,MATCH($C507,rngCadetNames,0)),"?"))</f>
        <v/>
      </c>
      <c r="E507" s="15">
        <f>IF($D507="","",IFERROR(INDEX(nrCadetAgency,MATCH($D507,rngCadetPIDs,0)),""))</f>
        <v/>
      </c>
      <c r="F507" s="14" t="n"/>
      <c r="G507" s="15">
        <f>IF($F507="","",IFERROR(INDEX(rngEPname,MATCH($F507,rngEPcode,0)),"?"))</f>
        <v/>
      </c>
      <c r="H507" s="15">
        <f>IF($F507="","",IFERROR(INDEX(rngEPtype,MATCH($F507,rngEPcode,0)),"?"))</f>
        <v/>
      </c>
      <c r="I507" s="15">
        <f>IF($F507="","",IFERROR(INDEX(rngEPseq,MATCH($F507,rngEPcode,0)),""))</f>
        <v/>
      </c>
      <c r="J507" s="15">
        <f>IF($F507="","",IFERROR(INDEX(rngEPpass,MATCH($F507,rngEPcode,0)),cfgPassingScore))</f>
        <v/>
      </c>
      <c r="K507" s="14" t="n"/>
      <c r="L507" s="14" t="n"/>
      <c r="M507" s="15">
        <f>IF($C507="","",IF($L507="","",IF($K507=1,IF(COUNTIFS(nrES_PID,$D507,nrES_Code,$F507,nrES_Att,2)&gt;0,"",$L507),IF(COUNTIFS(nrES_PID,$D507,nrES_Code,$F507,nrES_Att,1)=0,$L507,IF($L507&gt;=$J507,cfgRetakeRecordedCap,SUMIFS(nrES_Raw,nrES_PID,$D507,nrES_Code,$F507,nrES_Att,1))))))</f>
        <v/>
      </c>
      <c r="N507" s="15">
        <f>IF($C507="","",IF($L507="","",IF($L507&gt;=$J507,"Yes","No")))</f>
        <v/>
      </c>
      <c r="O507" s="15">
        <f>IF($C507="","",IF($M507="","",IF($M507&gt;=$J507,"Yes","No")))</f>
        <v/>
      </c>
      <c r="P507" s="15">
        <f>IF($C507="","",IF($K507="","",IF(COUNTIFS(nrES_PID,$D507,nrES_Code,$F507,nrES_Att,"&gt;"&amp;$K507)=0,"Yes","No")))</f>
        <v/>
      </c>
      <c r="Q507" s="15">
        <f>IF($C507="","",IF($L507="","",IF(AND($K507=1,$L507&lt;$J507,COUNTIFS(nrES_PID,$D507,nrES_Code,$F507,nrES_Att,2)=0),"Yes","No")))</f>
        <v/>
      </c>
      <c r="R507" s="15">
        <f>IF($C507="","",IF($L507="","",IF(AND($K507=2,$L507&lt;$J507,COUNTIFS(nrES_PID,$D507,nrES_Code,$F507,nrES_Att,1)&gt;0),"Yes","No")))</f>
        <v/>
      </c>
      <c r="S507" s="16" t="n"/>
      <c r="T507" s="17">
        <f>IF($Q507&lt;&gt;"Yes","",IF($S507="","(enter date)",_xlfn.LET(_xlpm.dn,IFERROR(_xlfn.XLOOKUP($S507,nrCDdate,nrCDnum),""),IF(_xlpm.dn="","(not a class day)",IFERROR(_xlfn.XLOOKUP(_xlpm.dn+cfgRetestClassDays,nrCDnum,nrCDdate),"")))))</f>
        <v/>
      </c>
      <c r="U507" s="15">
        <f>IF($Q507&lt;&gt;"Yes","",IF(COUNTIFS(nrES_PID,$D507,nrES_Code,$F507,nrES_Att,2)&gt;0,"Retested",IF(OR($T507="",NOT(ISNUMBER($T507))),"Pending",IF(TODAY()&gt;$T507,"OVERDUE","Due "&amp;TEXT($T507,"mm/dd")))))</f>
        <v/>
      </c>
      <c r="V507" s="14" t="n"/>
      <c r="W507" s="14" t="n"/>
    </row>
    <row r="508">
      <c r="B508" s="15">
        <f>IF($C508="","",$D508&amp;"-"&amp;$F508&amp;"-"&amp;$K508)</f>
        <v/>
      </c>
      <c r="C508" s="14" t="n"/>
      <c r="D508" s="15">
        <f>IF($C508="","",IFERROR(INDEX(rngCadetPIDs,MATCH($C508,rngCadetNames,0)),"?"))</f>
        <v/>
      </c>
      <c r="E508" s="15">
        <f>IF($D508="","",IFERROR(INDEX(nrCadetAgency,MATCH($D508,rngCadetPIDs,0)),""))</f>
        <v/>
      </c>
      <c r="F508" s="14" t="n"/>
      <c r="G508" s="15">
        <f>IF($F508="","",IFERROR(INDEX(rngEPname,MATCH($F508,rngEPcode,0)),"?"))</f>
        <v/>
      </c>
      <c r="H508" s="15">
        <f>IF($F508="","",IFERROR(INDEX(rngEPtype,MATCH($F508,rngEPcode,0)),"?"))</f>
        <v/>
      </c>
      <c r="I508" s="15">
        <f>IF($F508="","",IFERROR(INDEX(rngEPseq,MATCH($F508,rngEPcode,0)),""))</f>
        <v/>
      </c>
      <c r="J508" s="15">
        <f>IF($F508="","",IFERROR(INDEX(rngEPpass,MATCH($F508,rngEPcode,0)),cfgPassingScore))</f>
        <v/>
      </c>
      <c r="K508" s="14" t="n"/>
      <c r="L508" s="14" t="n"/>
      <c r="M508" s="15">
        <f>IF($C508="","",IF($L508="","",IF($K508=1,IF(COUNTIFS(nrES_PID,$D508,nrES_Code,$F508,nrES_Att,2)&gt;0,"",$L508),IF(COUNTIFS(nrES_PID,$D508,nrES_Code,$F508,nrES_Att,1)=0,$L508,IF($L508&gt;=$J508,cfgRetakeRecordedCap,SUMIFS(nrES_Raw,nrES_PID,$D508,nrES_Code,$F508,nrES_Att,1))))))</f>
        <v/>
      </c>
      <c r="N508" s="15">
        <f>IF($C508="","",IF($L508="","",IF($L508&gt;=$J508,"Yes","No")))</f>
        <v/>
      </c>
      <c r="O508" s="15">
        <f>IF($C508="","",IF($M508="","",IF($M508&gt;=$J508,"Yes","No")))</f>
        <v/>
      </c>
      <c r="P508" s="15">
        <f>IF($C508="","",IF($K508="","",IF(COUNTIFS(nrES_PID,$D508,nrES_Code,$F508,nrES_Att,"&gt;"&amp;$K508)=0,"Yes","No")))</f>
        <v/>
      </c>
      <c r="Q508" s="15">
        <f>IF($C508="","",IF($L508="","",IF(AND($K508=1,$L508&lt;$J508,COUNTIFS(nrES_PID,$D508,nrES_Code,$F508,nrES_Att,2)=0),"Yes","No")))</f>
        <v/>
      </c>
      <c r="R508" s="15">
        <f>IF($C508="","",IF($L508="","",IF(AND($K508=2,$L508&lt;$J508,COUNTIFS(nrES_PID,$D508,nrES_Code,$F508,nrES_Att,1)&gt;0),"Yes","No")))</f>
        <v/>
      </c>
      <c r="S508" s="16" t="n"/>
      <c r="T508" s="17">
        <f>IF($Q508&lt;&gt;"Yes","",IF($S508="","(enter date)",_xlfn.LET(_xlpm.dn,IFERROR(_xlfn.XLOOKUP($S508,nrCDdate,nrCDnum),""),IF(_xlpm.dn="","(not a class day)",IFERROR(_xlfn.XLOOKUP(_xlpm.dn+cfgRetestClassDays,nrCDnum,nrCDdate),"")))))</f>
        <v/>
      </c>
      <c r="U508" s="15">
        <f>IF($Q508&lt;&gt;"Yes","",IF(COUNTIFS(nrES_PID,$D508,nrES_Code,$F508,nrES_Att,2)&gt;0,"Retested",IF(OR($T508="",NOT(ISNUMBER($T508))),"Pending",IF(TODAY()&gt;$T508,"OVERDUE","Due "&amp;TEXT($T508,"mm/dd")))))</f>
        <v/>
      </c>
      <c r="V508" s="14" t="n"/>
      <c r="W508" s="14" t="n"/>
    </row>
    <row r="509">
      <c r="B509" s="15">
        <f>IF($C509="","",$D509&amp;"-"&amp;$F509&amp;"-"&amp;$K509)</f>
        <v/>
      </c>
      <c r="C509" s="14" t="n"/>
      <c r="D509" s="15">
        <f>IF($C509="","",IFERROR(INDEX(rngCadetPIDs,MATCH($C509,rngCadetNames,0)),"?"))</f>
        <v/>
      </c>
      <c r="E509" s="15">
        <f>IF($D509="","",IFERROR(INDEX(nrCadetAgency,MATCH($D509,rngCadetPIDs,0)),""))</f>
        <v/>
      </c>
      <c r="F509" s="14" t="n"/>
      <c r="G509" s="15">
        <f>IF($F509="","",IFERROR(INDEX(rngEPname,MATCH($F509,rngEPcode,0)),"?"))</f>
        <v/>
      </c>
      <c r="H509" s="15">
        <f>IF($F509="","",IFERROR(INDEX(rngEPtype,MATCH($F509,rngEPcode,0)),"?"))</f>
        <v/>
      </c>
      <c r="I509" s="15">
        <f>IF($F509="","",IFERROR(INDEX(rngEPseq,MATCH($F509,rngEPcode,0)),""))</f>
        <v/>
      </c>
      <c r="J509" s="15">
        <f>IF($F509="","",IFERROR(INDEX(rngEPpass,MATCH($F509,rngEPcode,0)),cfgPassingScore))</f>
        <v/>
      </c>
      <c r="K509" s="14" t="n"/>
      <c r="L509" s="14" t="n"/>
      <c r="M509" s="15">
        <f>IF($C509="","",IF($L509="","",IF($K509=1,IF(COUNTIFS(nrES_PID,$D509,nrES_Code,$F509,nrES_Att,2)&gt;0,"",$L509),IF(COUNTIFS(nrES_PID,$D509,nrES_Code,$F509,nrES_Att,1)=0,$L509,IF($L509&gt;=$J509,cfgRetakeRecordedCap,SUMIFS(nrES_Raw,nrES_PID,$D509,nrES_Code,$F509,nrES_Att,1))))))</f>
        <v/>
      </c>
      <c r="N509" s="15">
        <f>IF($C509="","",IF($L509="","",IF($L509&gt;=$J509,"Yes","No")))</f>
        <v/>
      </c>
      <c r="O509" s="15">
        <f>IF($C509="","",IF($M509="","",IF($M509&gt;=$J509,"Yes","No")))</f>
        <v/>
      </c>
      <c r="P509" s="15">
        <f>IF($C509="","",IF($K509="","",IF(COUNTIFS(nrES_PID,$D509,nrES_Code,$F509,nrES_Att,"&gt;"&amp;$K509)=0,"Yes","No")))</f>
        <v/>
      </c>
      <c r="Q509" s="15">
        <f>IF($C509="","",IF($L509="","",IF(AND($K509=1,$L509&lt;$J509,COUNTIFS(nrES_PID,$D509,nrES_Code,$F509,nrES_Att,2)=0),"Yes","No")))</f>
        <v/>
      </c>
      <c r="R509" s="15">
        <f>IF($C509="","",IF($L509="","",IF(AND($K509=2,$L509&lt;$J509,COUNTIFS(nrES_PID,$D509,nrES_Code,$F509,nrES_Att,1)&gt;0),"Yes","No")))</f>
        <v/>
      </c>
      <c r="S509" s="16" t="n"/>
      <c r="T509" s="17">
        <f>IF($Q509&lt;&gt;"Yes","",IF($S509="","(enter date)",_xlfn.LET(_xlpm.dn,IFERROR(_xlfn.XLOOKUP($S509,nrCDdate,nrCDnum),""),IF(_xlpm.dn="","(not a class day)",IFERROR(_xlfn.XLOOKUP(_xlpm.dn+cfgRetestClassDays,nrCDnum,nrCDdate),"")))))</f>
        <v/>
      </c>
      <c r="U509" s="15">
        <f>IF($Q509&lt;&gt;"Yes","",IF(COUNTIFS(nrES_PID,$D509,nrES_Code,$F509,nrES_Att,2)&gt;0,"Retested",IF(OR($T509="",NOT(ISNUMBER($T509))),"Pending",IF(TODAY()&gt;$T509,"OVERDUE","Due "&amp;TEXT($T509,"mm/dd")))))</f>
        <v/>
      </c>
      <c r="V509" s="14" t="n"/>
      <c r="W509" s="14" t="n"/>
    </row>
    <row r="510">
      <c r="B510" s="15">
        <f>IF($C510="","",$D510&amp;"-"&amp;$F510&amp;"-"&amp;$K510)</f>
        <v/>
      </c>
      <c r="C510" s="14" t="n"/>
      <c r="D510" s="15">
        <f>IF($C510="","",IFERROR(INDEX(rngCadetPIDs,MATCH($C510,rngCadetNames,0)),"?"))</f>
        <v/>
      </c>
      <c r="E510" s="15">
        <f>IF($D510="","",IFERROR(INDEX(nrCadetAgency,MATCH($D510,rngCadetPIDs,0)),""))</f>
        <v/>
      </c>
      <c r="F510" s="14" t="n"/>
      <c r="G510" s="15">
        <f>IF($F510="","",IFERROR(INDEX(rngEPname,MATCH($F510,rngEPcode,0)),"?"))</f>
        <v/>
      </c>
      <c r="H510" s="15">
        <f>IF($F510="","",IFERROR(INDEX(rngEPtype,MATCH($F510,rngEPcode,0)),"?"))</f>
        <v/>
      </c>
      <c r="I510" s="15">
        <f>IF($F510="","",IFERROR(INDEX(rngEPseq,MATCH($F510,rngEPcode,0)),""))</f>
        <v/>
      </c>
      <c r="J510" s="15">
        <f>IF($F510="","",IFERROR(INDEX(rngEPpass,MATCH($F510,rngEPcode,0)),cfgPassingScore))</f>
        <v/>
      </c>
      <c r="K510" s="14" t="n"/>
      <c r="L510" s="14" t="n"/>
      <c r="M510" s="15">
        <f>IF($C510="","",IF($L510="","",IF($K510=1,IF(COUNTIFS(nrES_PID,$D510,nrES_Code,$F510,nrES_Att,2)&gt;0,"",$L510),IF(COUNTIFS(nrES_PID,$D510,nrES_Code,$F510,nrES_Att,1)=0,$L510,IF($L510&gt;=$J510,cfgRetakeRecordedCap,SUMIFS(nrES_Raw,nrES_PID,$D510,nrES_Code,$F510,nrES_Att,1))))))</f>
        <v/>
      </c>
      <c r="N510" s="15">
        <f>IF($C510="","",IF($L510="","",IF($L510&gt;=$J510,"Yes","No")))</f>
        <v/>
      </c>
      <c r="O510" s="15">
        <f>IF($C510="","",IF($M510="","",IF($M510&gt;=$J510,"Yes","No")))</f>
        <v/>
      </c>
      <c r="P510" s="15">
        <f>IF($C510="","",IF($K510="","",IF(COUNTIFS(nrES_PID,$D510,nrES_Code,$F510,nrES_Att,"&gt;"&amp;$K510)=0,"Yes","No")))</f>
        <v/>
      </c>
      <c r="Q510" s="15">
        <f>IF($C510="","",IF($L510="","",IF(AND($K510=1,$L510&lt;$J510,COUNTIFS(nrES_PID,$D510,nrES_Code,$F510,nrES_Att,2)=0),"Yes","No")))</f>
        <v/>
      </c>
      <c r="R510" s="15">
        <f>IF($C510="","",IF($L510="","",IF(AND($K510=2,$L510&lt;$J510,COUNTIFS(nrES_PID,$D510,nrES_Code,$F510,nrES_Att,1)&gt;0),"Yes","No")))</f>
        <v/>
      </c>
      <c r="S510" s="16" t="n"/>
      <c r="T510" s="17">
        <f>IF($Q510&lt;&gt;"Yes","",IF($S510="","(enter date)",_xlfn.LET(_xlpm.dn,IFERROR(_xlfn.XLOOKUP($S510,nrCDdate,nrCDnum),""),IF(_xlpm.dn="","(not a class day)",IFERROR(_xlfn.XLOOKUP(_xlpm.dn+cfgRetestClassDays,nrCDnum,nrCDdate),"")))))</f>
        <v/>
      </c>
      <c r="U510" s="15">
        <f>IF($Q510&lt;&gt;"Yes","",IF(COUNTIFS(nrES_PID,$D510,nrES_Code,$F510,nrES_Att,2)&gt;0,"Retested",IF(OR($T510="",NOT(ISNUMBER($T510))),"Pending",IF(TODAY()&gt;$T510,"OVERDUE","Due "&amp;TEXT($T510,"mm/dd")))))</f>
        <v/>
      </c>
      <c r="V510" s="14" t="n"/>
      <c r="W510" s="14" t="n"/>
    </row>
    <row r="511">
      <c r="B511" s="15">
        <f>IF($C511="","",$D511&amp;"-"&amp;$F511&amp;"-"&amp;$K511)</f>
        <v/>
      </c>
      <c r="C511" s="14" t="n"/>
      <c r="D511" s="15">
        <f>IF($C511="","",IFERROR(INDEX(rngCadetPIDs,MATCH($C511,rngCadetNames,0)),"?"))</f>
        <v/>
      </c>
      <c r="E511" s="15">
        <f>IF($D511="","",IFERROR(INDEX(nrCadetAgency,MATCH($D511,rngCadetPIDs,0)),""))</f>
        <v/>
      </c>
      <c r="F511" s="14" t="n"/>
      <c r="G511" s="15">
        <f>IF($F511="","",IFERROR(INDEX(rngEPname,MATCH($F511,rngEPcode,0)),"?"))</f>
        <v/>
      </c>
      <c r="H511" s="15">
        <f>IF($F511="","",IFERROR(INDEX(rngEPtype,MATCH($F511,rngEPcode,0)),"?"))</f>
        <v/>
      </c>
      <c r="I511" s="15">
        <f>IF($F511="","",IFERROR(INDEX(rngEPseq,MATCH($F511,rngEPcode,0)),""))</f>
        <v/>
      </c>
      <c r="J511" s="15">
        <f>IF($F511="","",IFERROR(INDEX(rngEPpass,MATCH($F511,rngEPcode,0)),cfgPassingScore))</f>
        <v/>
      </c>
      <c r="K511" s="14" t="n"/>
      <c r="L511" s="14" t="n"/>
      <c r="M511" s="15">
        <f>IF($C511="","",IF($L511="","",IF($K511=1,IF(COUNTIFS(nrES_PID,$D511,nrES_Code,$F511,nrES_Att,2)&gt;0,"",$L511),IF(COUNTIFS(nrES_PID,$D511,nrES_Code,$F511,nrES_Att,1)=0,$L511,IF($L511&gt;=$J511,cfgRetakeRecordedCap,SUMIFS(nrES_Raw,nrES_PID,$D511,nrES_Code,$F511,nrES_Att,1))))))</f>
        <v/>
      </c>
      <c r="N511" s="15">
        <f>IF($C511="","",IF($L511="","",IF($L511&gt;=$J511,"Yes","No")))</f>
        <v/>
      </c>
      <c r="O511" s="15">
        <f>IF($C511="","",IF($M511="","",IF($M511&gt;=$J511,"Yes","No")))</f>
        <v/>
      </c>
      <c r="P511" s="15">
        <f>IF($C511="","",IF($K511="","",IF(COUNTIFS(nrES_PID,$D511,nrES_Code,$F511,nrES_Att,"&gt;"&amp;$K511)=0,"Yes","No")))</f>
        <v/>
      </c>
      <c r="Q511" s="15">
        <f>IF($C511="","",IF($L511="","",IF(AND($K511=1,$L511&lt;$J511,COUNTIFS(nrES_PID,$D511,nrES_Code,$F511,nrES_Att,2)=0),"Yes","No")))</f>
        <v/>
      </c>
      <c r="R511" s="15">
        <f>IF($C511="","",IF($L511="","",IF(AND($K511=2,$L511&lt;$J511,COUNTIFS(nrES_PID,$D511,nrES_Code,$F511,nrES_Att,1)&gt;0),"Yes","No")))</f>
        <v/>
      </c>
      <c r="S511" s="16" t="n"/>
      <c r="T511" s="17">
        <f>IF($Q511&lt;&gt;"Yes","",IF($S511="","(enter date)",_xlfn.LET(_xlpm.dn,IFERROR(_xlfn.XLOOKUP($S511,nrCDdate,nrCDnum),""),IF(_xlpm.dn="","(not a class day)",IFERROR(_xlfn.XLOOKUP(_xlpm.dn+cfgRetestClassDays,nrCDnum,nrCDdate),"")))))</f>
        <v/>
      </c>
      <c r="U511" s="15">
        <f>IF($Q511&lt;&gt;"Yes","",IF(COUNTIFS(nrES_PID,$D511,nrES_Code,$F511,nrES_Att,2)&gt;0,"Retested",IF(OR($T511="",NOT(ISNUMBER($T511))),"Pending",IF(TODAY()&gt;$T511,"OVERDUE","Due "&amp;TEXT($T511,"mm/dd")))))</f>
        <v/>
      </c>
      <c r="V511" s="14" t="n"/>
      <c r="W511" s="14" t="n"/>
    </row>
    <row r="512">
      <c r="B512" s="15">
        <f>IF($C512="","",$D512&amp;"-"&amp;$F512&amp;"-"&amp;$K512)</f>
        <v/>
      </c>
      <c r="C512" s="14" t="n"/>
      <c r="D512" s="15">
        <f>IF($C512="","",IFERROR(INDEX(rngCadetPIDs,MATCH($C512,rngCadetNames,0)),"?"))</f>
        <v/>
      </c>
      <c r="E512" s="15">
        <f>IF($D512="","",IFERROR(INDEX(nrCadetAgency,MATCH($D512,rngCadetPIDs,0)),""))</f>
        <v/>
      </c>
      <c r="F512" s="14" t="n"/>
      <c r="G512" s="15">
        <f>IF($F512="","",IFERROR(INDEX(rngEPname,MATCH($F512,rngEPcode,0)),"?"))</f>
        <v/>
      </c>
      <c r="H512" s="15">
        <f>IF($F512="","",IFERROR(INDEX(rngEPtype,MATCH($F512,rngEPcode,0)),"?"))</f>
        <v/>
      </c>
      <c r="I512" s="15">
        <f>IF($F512="","",IFERROR(INDEX(rngEPseq,MATCH($F512,rngEPcode,0)),""))</f>
        <v/>
      </c>
      <c r="J512" s="15">
        <f>IF($F512="","",IFERROR(INDEX(rngEPpass,MATCH($F512,rngEPcode,0)),cfgPassingScore))</f>
        <v/>
      </c>
      <c r="K512" s="14" t="n"/>
      <c r="L512" s="14" t="n"/>
      <c r="M512" s="15">
        <f>IF($C512="","",IF($L512="","",IF($K512=1,IF(COUNTIFS(nrES_PID,$D512,nrES_Code,$F512,nrES_Att,2)&gt;0,"",$L512),IF(COUNTIFS(nrES_PID,$D512,nrES_Code,$F512,nrES_Att,1)=0,$L512,IF($L512&gt;=$J512,cfgRetakeRecordedCap,SUMIFS(nrES_Raw,nrES_PID,$D512,nrES_Code,$F512,nrES_Att,1))))))</f>
        <v/>
      </c>
      <c r="N512" s="15">
        <f>IF($C512="","",IF($L512="","",IF($L512&gt;=$J512,"Yes","No")))</f>
        <v/>
      </c>
      <c r="O512" s="15">
        <f>IF($C512="","",IF($M512="","",IF($M512&gt;=$J512,"Yes","No")))</f>
        <v/>
      </c>
      <c r="P512" s="15">
        <f>IF($C512="","",IF($K512="","",IF(COUNTIFS(nrES_PID,$D512,nrES_Code,$F512,nrES_Att,"&gt;"&amp;$K512)=0,"Yes","No")))</f>
        <v/>
      </c>
      <c r="Q512" s="15">
        <f>IF($C512="","",IF($L512="","",IF(AND($K512=1,$L512&lt;$J512,COUNTIFS(nrES_PID,$D512,nrES_Code,$F512,nrES_Att,2)=0),"Yes","No")))</f>
        <v/>
      </c>
      <c r="R512" s="15">
        <f>IF($C512="","",IF($L512="","",IF(AND($K512=2,$L512&lt;$J512,COUNTIFS(nrES_PID,$D512,nrES_Code,$F512,nrES_Att,1)&gt;0),"Yes","No")))</f>
        <v/>
      </c>
      <c r="S512" s="16" t="n"/>
      <c r="T512" s="17">
        <f>IF($Q512&lt;&gt;"Yes","",IF($S512="","(enter date)",_xlfn.LET(_xlpm.dn,IFERROR(_xlfn.XLOOKUP($S512,nrCDdate,nrCDnum),""),IF(_xlpm.dn="","(not a class day)",IFERROR(_xlfn.XLOOKUP(_xlpm.dn+cfgRetestClassDays,nrCDnum,nrCDdate),"")))))</f>
        <v/>
      </c>
      <c r="U512" s="15">
        <f>IF($Q512&lt;&gt;"Yes","",IF(COUNTIFS(nrES_PID,$D512,nrES_Code,$F512,nrES_Att,2)&gt;0,"Retested",IF(OR($T512="",NOT(ISNUMBER($T512))),"Pending",IF(TODAY()&gt;$T512,"OVERDUE","Due "&amp;TEXT($T512,"mm/dd")))))</f>
        <v/>
      </c>
      <c r="V512" s="14" t="n"/>
      <c r="W512" s="14" t="n"/>
    </row>
    <row r="513">
      <c r="B513" s="15">
        <f>IF($C513="","",$D513&amp;"-"&amp;$F513&amp;"-"&amp;$K513)</f>
        <v/>
      </c>
      <c r="C513" s="14" t="n"/>
      <c r="D513" s="15">
        <f>IF($C513="","",IFERROR(INDEX(rngCadetPIDs,MATCH($C513,rngCadetNames,0)),"?"))</f>
        <v/>
      </c>
      <c r="E513" s="15">
        <f>IF($D513="","",IFERROR(INDEX(nrCadetAgency,MATCH($D513,rngCadetPIDs,0)),""))</f>
        <v/>
      </c>
      <c r="F513" s="14" t="n"/>
      <c r="G513" s="15">
        <f>IF($F513="","",IFERROR(INDEX(rngEPname,MATCH($F513,rngEPcode,0)),"?"))</f>
        <v/>
      </c>
      <c r="H513" s="15">
        <f>IF($F513="","",IFERROR(INDEX(rngEPtype,MATCH($F513,rngEPcode,0)),"?"))</f>
        <v/>
      </c>
      <c r="I513" s="15">
        <f>IF($F513="","",IFERROR(INDEX(rngEPseq,MATCH($F513,rngEPcode,0)),""))</f>
        <v/>
      </c>
      <c r="J513" s="15">
        <f>IF($F513="","",IFERROR(INDEX(rngEPpass,MATCH($F513,rngEPcode,0)),cfgPassingScore))</f>
        <v/>
      </c>
      <c r="K513" s="14" t="n"/>
      <c r="L513" s="14" t="n"/>
      <c r="M513" s="15">
        <f>IF($C513="","",IF($L513="","",IF($K513=1,IF(COUNTIFS(nrES_PID,$D513,nrES_Code,$F513,nrES_Att,2)&gt;0,"",$L513),IF(COUNTIFS(nrES_PID,$D513,nrES_Code,$F513,nrES_Att,1)=0,$L513,IF($L513&gt;=$J513,cfgRetakeRecordedCap,SUMIFS(nrES_Raw,nrES_PID,$D513,nrES_Code,$F513,nrES_Att,1))))))</f>
        <v/>
      </c>
      <c r="N513" s="15">
        <f>IF($C513="","",IF($L513="","",IF($L513&gt;=$J513,"Yes","No")))</f>
        <v/>
      </c>
      <c r="O513" s="15">
        <f>IF($C513="","",IF($M513="","",IF($M513&gt;=$J513,"Yes","No")))</f>
        <v/>
      </c>
      <c r="P513" s="15">
        <f>IF($C513="","",IF($K513="","",IF(COUNTIFS(nrES_PID,$D513,nrES_Code,$F513,nrES_Att,"&gt;"&amp;$K513)=0,"Yes","No")))</f>
        <v/>
      </c>
      <c r="Q513" s="15">
        <f>IF($C513="","",IF($L513="","",IF(AND($K513=1,$L513&lt;$J513,COUNTIFS(nrES_PID,$D513,nrES_Code,$F513,nrES_Att,2)=0),"Yes","No")))</f>
        <v/>
      </c>
      <c r="R513" s="15">
        <f>IF($C513="","",IF($L513="","",IF(AND($K513=2,$L513&lt;$J513,COUNTIFS(nrES_PID,$D513,nrES_Code,$F513,nrES_Att,1)&gt;0),"Yes","No")))</f>
        <v/>
      </c>
      <c r="S513" s="16" t="n"/>
      <c r="T513" s="17">
        <f>IF($Q513&lt;&gt;"Yes","",IF($S513="","(enter date)",_xlfn.LET(_xlpm.dn,IFERROR(_xlfn.XLOOKUP($S513,nrCDdate,nrCDnum),""),IF(_xlpm.dn="","(not a class day)",IFERROR(_xlfn.XLOOKUP(_xlpm.dn+cfgRetestClassDays,nrCDnum,nrCDdate),"")))))</f>
        <v/>
      </c>
      <c r="U513" s="15">
        <f>IF($Q513&lt;&gt;"Yes","",IF(COUNTIFS(nrES_PID,$D513,nrES_Code,$F513,nrES_Att,2)&gt;0,"Retested",IF(OR($T513="",NOT(ISNUMBER($T513))),"Pending",IF(TODAY()&gt;$T513,"OVERDUE","Due "&amp;TEXT($T513,"mm/dd")))))</f>
        <v/>
      </c>
      <c r="V513" s="14" t="n"/>
      <c r="W513" s="14" t="n"/>
    </row>
    <row r="514">
      <c r="B514" s="15">
        <f>IF($C514="","",$D514&amp;"-"&amp;$F514&amp;"-"&amp;$K514)</f>
        <v/>
      </c>
      <c r="C514" s="14" t="n"/>
      <c r="D514" s="15">
        <f>IF($C514="","",IFERROR(INDEX(rngCadetPIDs,MATCH($C514,rngCadetNames,0)),"?"))</f>
        <v/>
      </c>
      <c r="E514" s="15">
        <f>IF($D514="","",IFERROR(INDEX(nrCadetAgency,MATCH($D514,rngCadetPIDs,0)),""))</f>
        <v/>
      </c>
      <c r="F514" s="14" t="n"/>
      <c r="G514" s="15">
        <f>IF($F514="","",IFERROR(INDEX(rngEPname,MATCH($F514,rngEPcode,0)),"?"))</f>
        <v/>
      </c>
      <c r="H514" s="15">
        <f>IF($F514="","",IFERROR(INDEX(rngEPtype,MATCH($F514,rngEPcode,0)),"?"))</f>
        <v/>
      </c>
      <c r="I514" s="15">
        <f>IF($F514="","",IFERROR(INDEX(rngEPseq,MATCH($F514,rngEPcode,0)),""))</f>
        <v/>
      </c>
      <c r="J514" s="15">
        <f>IF($F514="","",IFERROR(INDEX(rngEPpass,MATCH($F514,rngEPcode,0)),cfgPassingScore))</f>
        <v/>
      </c>
      <c r="K514" s="14" t="n"/>
      <c r="L514" s="14" t="n"/>
      <c r="M514" s="15">
        <f>IF($C514="","",IF($L514="","",IF($K514=1,IF(COUNTIFS(nrES_PID,$D514,nrES_Code,$F514,nrES_Att,2)&gt;0,"",$L514),IF(COUNTIFS(nrES_PID,$D514,nrES_Code,$F514,nrES_Att,1)=0,$L514,IF($L514&gt;=$J514,cfgRetakeRecordedCap,SUMIFS(nrES_Raw,nrES_PID,$D514,nrES_Code,$F514,nrES_Att,1))))))</f>
        <v/>
      </c>
      <c r="N514" s="15">
        <f>IF($C514="","",IF($L514="","",IF($L514&gt;=$J514,"Yes","No")))</f>
        <v/>
      </c>
      <c r="O514" s="15">
        <f>IF($C514="","",IF($M514="","",IF($M514&gt;=$J514,"Yes","No")))</f>
        <v/>
      </c>
      <c r="P514" s="15">
        <f>IF($C514="","",IF($K514="","",IF(COUNTIFS(nrES_PID,$D514,nrES_Code,$F514,nrES_Att,"&gt;"&amp;$K514)=0,"Yes","No")))</f>
        <v/>
      </c>
      <c r="Q514" s="15">
        <f>IF($C514="","",IF($L514="","",IF(AND($K514=1,$L514&lt;$J514,COUNTIFS(nrES_PID,$D514,nrES_Code,$F514,nrES_Att,2)=0),"Yes","No")))</f>
        <v/>
      </c>
      <c r="R514" s="15">
        <f>IF($C514="","",IF($L514="","",IF(AND($K514=2,$L514&lt;$J514,COUNTIFS(nrES_PID,$D514,nrES_Code,$F514,nrES_Att,1)&gt;0),"Yes","No")))</f>
        <v/>
      </c>
      <c r="S514" s="16" t="n"/>
      <c r="T514" s="17">
        <f>IF($Q514&lt;&gt;"Yes","",IF($S514="","(enter date)",_xlfn.LET(_xlpm.dn,IFERROR(_xlfn.XLOOKUP($S514,nrCDdate,nrCDnum),""),IF(_xlpm.dn="","(not a class day)",IFERROR(_xlfn.XLOOKUP(_xlpm.dn+cfgRetestClassDays,nrCDnum,nrCDdate),"")))))</f>
        <v/>
      </c>
      <c r="U514" s="15">
        <f>IF($Q514&lt;&gt;"Yes","",IF(COUNTIFS(nrES_PID,$D514,nrES_Code,$F514,nrES_Att,2)&gt;0,"Retested",IF(OR($T514="",NOT(ISNUMBER($T514))),"Pending",IF(TODAY()&gt;$T514,"OVERDUE","Due "&amp;TEXT($T514,"mm/dd")))))</f>
        <v/>
      </c>
      <c r="V514" s="14" t="n"/>
      <c r="W514" s="14" t="n"/>
    </row>
    <row r="515">
      <c r="B515" s="15">
        <f>IF($C515="","",$D515&amp;"-"&amp;$F515&amp;"-"&amp;$K515)</f>
        <v/>
      </c>
      <c r="C515" s="14" t="n"/>
      <c r="D515" s="15">
        <f>IF($C515="","",IFERROR(INDEX(rngCadetPIDs,MATCH($C515,rngCadetNames,0)),"?"))</f>
        <v/>
      </c>
      <c r="E515" s="15">
        <f>IF($D515="","",IFERROR(INDEX(nrCadetAgency,MATCH($D515,rngCadetPIDs,0)),""))</f>
        <v/>
      </c>
      <c r="F515" s="14" t="n"/>
      <c r="G515" s="15">
        <f>IF($F515="","",IFERROR(INDEX(rngEPname,MATCH($F515,rngEPcode,0)),"?"))</f>
        <v/>
      </c>
      <c r="H515" s="15">
        <f>IF($F515="","",IFERROR(INDEX(rngEPtype,MATCH($F515,rngEPcode,0)),"?"))</f>
        <v/>
      </c>
      <c r="I515" s="15">
        <f>IF($F515="","",IFERROR(INDEX(rngEPseq,MATCH($F515,rngEPcode,0)),""))</f>
        <v/>
      </c>
      <c r="J515" s="15">
        <f>IF($F515="","",IFERROR(INDEX(rngEPpass,MATCH($F515,rngEPcode,0)),cfgPassingScore))</f>
        <v/>
      </c>
      <c r="K515" s="14" t="n"/>
      <c r="L515" s="14" t="n"/>
      <c r="M515" s="15">
        <f>IF($C515="","",IF($L515="","",IF($K515=1,IF(COUNTIFS(nrES_PID,$D515,nrES_Code,$F515,nrES_Att,2)&gt;0,"",$L515),IF(COUNTIFS(nrES_PID,$D515,nrES_Code,$F515,nrES_Att,1)=0,$L515,IF($L515&gt;=$J515,cfgRetakeRecordedCap,SUMIFS(nrES_Raw,nrES_PID,$D515,nrES_Code,$F515,nrES_Att,1))))))</f>
        <v/>
      </c>
      <c r="N515" s="15">
        <f>IF($C515="","",IF($L515="","",IF($L515&gt;=$J515,"Yes","No")))</f>
        <v/>
      </c>
      <c r="O515" s="15">
        <f>IF($C515="","",IF($M515="","",IF($M515&gt;=$J515,"Yes","No")))</f>
        <v/>
      </c>
      <c r="P515" s="15">
        <f>IF($C515="","",IF($K515="","",IF(COUNTIFS(nrES_PID,$D515,nrES_Code,$F515,nrES_Att,"&gt;"&amp;$K515)=0,"Yes","No")))</f>
        <v/>
      </c>
      <c r="Q515" s="15">
        <f>IF($C515="","",IF($L515="","",IF(AND($K515=1,$L515&lt;$J515,COUNTIFS(nrES_PID,$D515,nrES_Code,$F515,nrES_Att,2)=0),"Yes","No")))</f>
        <v/>
      </c>
      <c r="R515" s="15">
        <f>IF($C515="","",IF($L515="","",IF(AND($K515=2,$L515&lt;$J515,COUNTIFS(nrES_PID,$D515,nrES_Code,$F515,nrES_Att,1)&gt;0),"Yes","No")))</f>
        <v/>
      </c>
      <c r="S515" s="16" t="n"/>
      <c r="T515" s="17">
        <f>IF($Q515&lt;&gt;"Yes","",IF($S515="","(enter date)",_xlfn.LET(_xlpm.dn,IFERROR(_xlfn.XLOOKUP($S515,nrCDdate,nrCDnum),""),IF(_xlpm.dn="","(not a class day)",IFERROR(_xlfn.XLOOKUP(_xlpm.dn+cfgRetestClassDays,nrCDnum,nrCDdate),"")))))</f>
        <v/>
      </c>
      <c r="U515" s="15">
        <f>IF($Q515&lt;&gt;"Yes","",IF(COUNTIFS(nrES_PID,$D515,nrES_Code,$F515,nrES_Att,2)&gt;0,"Retested",IF(OR($T515="",NOT(ISNUMBER($T515))),"Pending",IF(TODAY()&gt;$T515,"OVERDUE","Due "&amp;TEXT($T515,"mm/dd")))))</f>
        <v/>
      </c>
      <c r="V515" s="14" t="n"/>
      <c r="W515" s="14" t="n"/>
    </row>
    <row r="516">
      <c r="B516" s="15">
        <f>IF($C516="","",$D516&amp;"-"&amp;$F516&amp;"-"&amp;$K516)</f>
        <v/>
      </c>
      <c r="C516" s="14" t="n"/>
      <c r="D516" s="15">
        <f>IF($C516="","",IFERROR(INDEX(rngCadetPIDs,MATCH($C516,rngCadetNames,0)),"?"))</f>
        <v/>
      </c>
      <c r="E516" s="15">
        <f>IF($D516="","",IFERROR(INDEX(nrCadetAgency,MATCH($D516,rngCadetPIDs,0)),""))</f>
        <v/>
      </c>
      <c r="F516" s="14" t="n"/>
      <c r="G516" s="15">
        <f>IF($F516="","",IFERROR(INDEX(rngEPname,MATCH($F516,rngEPcode,0)),"?"))</f>
        <v/>
      </c>
      <c r="H516" s="15">
        <f>IF($F516="","",IFERROR(INDEX(rngEPtype,MATCH($F516,rngEPcode,0)),"?"))</f>
        <v/>
      </c>
      <c r="I516" s="15">
        <f>IF($F516="","",IFERROR(INDEX(rngEPseq,MATCH($F516,rngEPcode,0)),""))</f>
        <v/>
      </c>
      <c r="J516" s="15">
        <f>IF($F516="","",IFERROR(INDEX(rngEPpass,MATCH($F516,rngEPcode,0)),cfgPassingScore))</f>
        <v/>
      </c>
      <c r="K516" s="14" t="n"/>
      <c r="L516" s="14" t="n"/>
      <c r="M516" s="15">
        <f>IF($C516="","",IF($L516="","",IF($K516=1,IF(COUNTIFS(nrES_PID,$D516,nrES_Code,$F516,nrES_Att,2)&gt;0,"",$L516),IF(COUNTIFS(nrES_PID,$D516,nrES_Code,$F516,nrES_Att,1)=0,$L516,IF($L516&gt;=$J516,cfgRetakeRecordedCap,SUMIFS(nrES_Raw,nrES_PID,$D516,nrES_Code,$F516,nrES_Att,1))))))</f>
        <v/>
      </c>
      <c r="N516" s="15">
        <f>IF($C516="","",IF($L516="","",IF($L516&gt;=$J516,"Yes","No")))</f>
        <v/>
      </c>
      <c r="O516" s="15">
        <f>IF($C516="","",IF($M516="","",IF($M516&gt;=$J516,"Yes","No")))</f>
        <v/>
      </c>
      <c r="P516" s="15">
        <f>IF($C516="","",IF($K516="","",IF(COUNTIFS(nrES_PID,$D516,nrES_Code,$F516,nrES_Att,"&gt;"&amp;$K516)=0,"Yes","No")))</f>
        <v/>
      </c>
      <c r="Q516" s="15">
        <f>IF($C516="","",IF($L516="","",IF(AND($K516=1,$L516&lt;$J516,COUNTIFS(nrES_PID,$D516,nrES_Code,$F516,nrES_Att,2)=0),"Yes","No")))</f>
        <v/>
      </c>
      <c r="R516" s="15">
        <f>IF($C516="","",IF($L516="","",IF(AND($K516=2,$L516&lt;$J516,COUNTIFS(nrES_PID,$D516,nrES_Code,$F516,nrES_Att,1)&gt;0),"Yes","No")))</f>
        <v/>
      </c>
      <c r="S516" s="16" t="n"/>
      <c r="T516" s="17">
        <f>IF($Q516&lt;&gt;"Yes","",IF($S516="","(enter date)",_xlfn.LET(_xlpm.dn,IFERROR(_xlfn.XLOOKUP($S516,nrCDdate,nrCDnum),""),IF(_xlpm.dn="","(not a class day)",IFERROR(_xlfn.XLOOKUP(_xlpm.dn+cfgRetestClassDays,nrCDnum,nrCDdate),"")))))</f>
        <v/>
      </c>
      <c r="U516" s="15">
        <f>IF($Q516&lt;&gt;"Yes","",IF(COUNTIFS(nrES_PID,$D516,nrES_Code,$F516,nrES_Att,2)&gt;0,"Retested",IF(OR($T516="",NOT(ISNUMBER($T516))),"Pending",IF(TODAY()&gt;$T516,"OVERDUE","Due "&amp;TEXT($T516,"mm/dd")))))</f>
        <v/>
      </c>
      <c r="V516" s="14" t="n"/>
      <c r="W516" s="14" t="n"/>
    </row>
    <row r="517">
      <c r="B517" s="15">
        <f>IF($C517="","",$D517&amp;"-"&amp;$F517&amp;"-"&amp;$K517)</f>
        <v/>
      </c>
      <c r="C517" s="14" t="n"/>
      <c r="D517" s="15">
        <f>IF($C517="","",IFERROR(INDEX(rngCadetPIDs,MATCH($C517,rngCadetNames,0)),"?"))</f>
        <v/>
      </c>
      <c r="E517" s="15">
        <f>IF($D517="","",IFERROR(INDEX(nrCadetAgency,MATCH($D517,rngCadetPIDs,0)),""))</f>
        <v/>
      </c>
      <c r="F517" s="14" t="n"/>
      <c r="G517" s="15">
        <f>IF($F517="","",IFERROR(INDEX(rngEPname,MATCH($F517,rngEPcode,0)),"?"))</f>
        <v/>
      </c>
      <c r="H517" s="15">
        <f>IF($F517="","",IFERROR(INDEX(rngEPtype,MATCH($F517,rngEPcode,0)),"?"))</f>
        <v/>
      </c>
      <c r="I517" s="15">
        <f>IF($F517="","",IFERROR(INDEX(rngEPseq,MATCH($F517,rngEPcode,0)),""))</f>
        <v/>
      </c>
      <c r="J517" s="15">
        <f>IF($F517="","",IFERROR(INDEX(rngEPpass,MATCH($F517,rngEPcode,0)),cfgPassingScore))</f>
        <v/>
      </c>
      <c r="K517" s="14" t="n"/>
      <c r="L517" s="14" t="n"/>
      <c r="M517" s="15">
        <f>IF($C517="","",IF($L517="","",IF($K517=1,IF(COUNTIFS(nrES_PID,$D517,nrES_Code,$F517,nrES_Att,2)&gt;0,"",$L517),IF(COUNTIFS(nrES_PID,$D517,nrES_Code,$F517,nrES_Att,1)=0,$L517,IF($L517&gt;=$J517,cfgRetakeRecordedCap,SUMIFS(nrES_Raw,nrES_PID,$D517,nrES_Code,$F517,nrES_Att,1))))))</f>
        <v/>
      </c>
      <c r="N517" s="15">
        <f>IF($C517="","",IF($L517="","",IF($L517&gt;=$J517,"Yes","No")))</f>
        <v/>
      </c>
      <c r="O517" s="15">
        <f>IF($C517="","",IF($M517="","",IF($M517&gt;=$J517,"Yes","No")))</f>
        <v/>
      </c>
      <c r="P517" s="15">
        <f>IF($C517="","",IF($K517="","",IF(COUNTIFS(nrES_PID,$D517,nrES_Code,$F517,nrES_Att,"&gt;"&amp;$K517)=0,"Yes","No")))</f>
        <v/>
      </c>
      <c r="Q517" s="15">
        <f>IF($C517="","",IF($L517="","",IF(AND($K517=1,$L517&lt;$J517,COUNTIFS(nrES_PID,$D517,nrES_Code,$F517,nrES_Att,2)=0),"Yes","No")))</f>
        <v/>
      </c>
      <c r="R517" s="15">
        <f>IF($C517="","",IF($L517="","",IF(AND($K517=2,$L517&lt;$J517,COUNTIFS(nrES_PID,$D517,nrES_Code,$F517,nrES_Att,1)&gt;0),"Yes","No")))</f>
        <v/>
      </c>
      <c r="S517" s="16" t="n"/>
      <c r="T517" s="17">
        <f>IF($Q517&lt;&gt;"Yes","",IF($S517="","(enter date)",_xlfn.LET(_xlpm.dn,IFERROR(_xlfn.XLOOKUP($S517,nrCDdate,nrCDnum),""),IF(_xlpm.dn="","(not a class day)",IFERROR(_xlfn.XLOOKUP(_xlpm.dn+cfgRetestClassDays,nrCDnum,nrCDdate),"")))))</f>
        <v/>
      </c>
      <c r="U517" s="15">
        <f>IF($Q517&lt;&gt;"Yes","",IF(COUNTIFS(nrES_PID,$D517,nrES_Code,$F517,nrES_Att,2)&gt;0,"Retested",IF(OR($T517="",NOT(ISNUMBER($T517))),"Pending",IF(TODAY()&gt;$T517,"OVERDUE","Due "&amp;TEXT($T517,"mm/dd")))))</f>
        <v/>
      </c>
      <c r="V517" s="14" t="n"/>
      <c r="W517" s="14" t="n"/>
    </row>
    <row r="518">
      <c r="B518" s="15">
        <f>IF($C518="","",$D518&amp;"-"&amp;$F518&amp;"-"&amp;$K518)</f>
        <v/>
      </c>
      <c r="C518" s="14" t="n"/>
      <c r="D518" s="15">
        <f>IF($C518="","",IFERROR(INDEX(rngCadetPIDs,MATCH($C518,rngCadetNames,0)),"?"))</f>
        <v/>
      </c>
      <c r="E518" s="15">
        <f>IF($D518="","",IFERROR(INDEX(nrCadetAgency,MATCH($D518,rngCadetPIDs,0)),""))</f>
        <v/>
      </c>
      <c r="F518" s="14" t="n"/>
      <c r="G518" s="15">
        <f>IF($F518="","",IFERROR(INDEX(rngEPname,MATCH($F518,rngEPcode,0)),"?"))</f>
        <v/>
      </c>
      <c r="H518" s="15">
        <f>IF($F518="","",IFERROR(INDEX(rngEPtype,MATCH($F518,rngEPcode,0)),"?"))</f>
        <v/>
      </c>
      <c r="I518" s="15">
        <f>IF($F518="","",IFERROR(INDEX(rngEPseq,MATCH($F518,rngEPcode,0)),""))</f>
        <v/>
      </c>
      <c r="J518" s="15">
        <f>IF($F518="","",IFERROR(INDEX(rngEPpass,MATCH($F518,rngEPcode,0)),cfgPassingScore))</f>
        <v/>
      </c>
      <c r="K518" s="14" t="n"/>
      <c r="L518" s="14" t="n"/>
      <c r="M518" s="15">
        <f>IF($C518="","",IF($L518="","",IF($K518=1,IF(COUNTIFS(nrES_PID,$D518,nrES_Code,$F518,nrES_Att,2)&gt;0,"",$L518),IF(COUNTIFS(nrES_PID,$D518,nrES_Code,$F518,nrES_Att,1)=0,$L518,IF($L518&gt;=$J518,cfgRetakeRecordedCap,SUMIFS(nrES_Raw,nrES_PID,$D518,nrES_Code,$F518,nrES_Att,1))))))</f>
        <v/>
      </c>
      <c r="N518" s="15">
        <f>IF($C518="","",IF($L518="","",IF($L518&gt;=$J518,"Yes","No")))</f>
        <v/>
      </c>
      <c r="O518" s="15">
        <f>IF($C518="","",IF($M518="","",IF($M518&gt;=$J518,"Yes","No")))</f>
        <v/>
      </c>
      <c r="P518" s="15">
        <f>IF($C518="","",IF($K518="","",IF(COUNTIFS(nrES_PID,$D518,nrES_Code,$F518,nrES_Att,"&gt;"&amp;$K518)=0,"Yes","No")))</f>
        <v/>
      </c>
      <c r="Q518" s="15">
        <f>IF($C518="","",IF($L518="","",IF(AND($K518=1,$L518&lt;$J518,COUNTIFS(nrES_PID,$D518,nrES_Code,$F518,nrES_Att,2)=0),"Yes","No")))</f>
        <v/>
      </c>
      <c r="R518" s="15">
        <f>IF($C518="","",IF($L518="","",IF(AND($K518=2,$L518&lt;$J518,COUNTIFS(nrES_PID,$D518,nrES_Code,$F518,nrES_Att,1)&gt;0),"Yes","No")))</f>
        <v/>
      </c>
      <c r="S518" s="16" t="n"/>
      <c r="T518" s="17">
        <f>IF($Q518&lt;&gt;"Yes","",IF($S518="","(enter date)",_xlfn.LET(_xlpm.dn,IFERROR(_xlfn.XLOOKUP($S518,nrCDdate,nrCDnum),""),IF(_xlpm.dn="","(not a class day)",IFERROR(_xlfn.XLOOKUP(_xlpm.dn+cfgRetestClassDays,nrCDnum,nrCDdate),"")))))</f>
        <v/>
      </c>
      <c r="U518" s="15">
        <f>IF($Q518&lt;&gt;"Yes","",IF(COUNTIFS(nrES_PID,$D518,nrES_Code,$F518,nrES_Att,2)&gt;0,"Retested",IF(OR($T518="",NOT(ISNUMBER($T518))),"Pending",IF(TODAY()&gt;$T518,"OVERDUE","Due "&amp;TEXT($T518,"mm/dd")))))</f>
        <v/>
      </c>
      <c r="V518" s="14" t="n"/>
      <c r="W518" s="14" t="n"/>
    </row>
    <row r="519">
      <c r="B519" s="15">
        <f>IF($C519="","",$D519&amp;"-"&amp;$F519&amp;"-"&amp;$K519)</f>
        <v/>
      </c>
      <c r="C519" s="14" t="n"/>
      <c r="D519" s="15">
        <f>IF($C519="","",IFERROR(INDEX(rngCadetPIDs,MATCH($C519,rngCadetNames,0)),"?"))</f>
        <v/>
      </c>
      <c r="E519" s="15">
        <f>IF($D519="","",IFERROR(INDEX(nrCadetAgency,MATCH($D519,rngCadetPIDs,0)),""))</f>
        <v/>
      </c>
      <c r="F519" s="14" t="n"/>
      <c r="G519" s="15">
        <f>IF($F519="","",IFERROR(INDEX(rngEPname,MATCH($F519,rngEPcode,0)),"?"))</f>
        <v/>
      </c>
      <c r="H519" s="15">
        <f>IF($F519="","",IFERROR(INDEX(rngEPtype,MATCH($F519,rngEPcode,0)),"?"))</f>
        <v/>
      </c>
      <c r="I519" s="15">
        <f>IF($F519="","",IFERROR(INDEX(rngEPseq,MATCH($F519,rngEPcode,0)),""))</f>
        <v/>
      </c>
      <c r="J519" s="15">
        <f>IF($F519="","",IFERROR(INDEX(rngEPpass,MATCH($F519,rngEPcode,0)),cfgPassingScore))</f>
        <v/>
      </c>
      <c r="K519" s="14" t="n"/>
      <c r="L519" s="14" t="n"/>
      <c r="M519" s="15">
        <f>IF($C519="","",IF($L519="","",IF($K519=1,IF(COUNTIFS(nrES_PID,$D519,nrES_Code,$F519,nrES_Att,2)&gt;0,"",$L519),IF(COUNTIFS(nrES_PID,$D519,nrES_Code,$F519,nrES_Att,1)=0,$L519,IF($L519&gt;=$J519,cfgRetakeRecordedCap,SUMIFS(nrES_Raw,nrES_PID,$D519,nrES_Code,$F519,nrES_Att,1))))))</f>
        <v/>
      </c>
      <c r="N519" s="15">
        <f>IF($C519="","",IF($L519="","",IF($L519&gt;=$J519,"Yes","No")))</f>
        <v/>
      </c>
      <c r="O519" s="15">
        <f>IF($C519="","",IF($M519="","",IF($M519&gt;=$J519,"Yes","No")))</f>
        <v/>
      </c>
      <c r="P519" s="15">
        <f>IF($C519="","",IF($K519="","",IF(COUNTIFS(nrES_PID,$D519,nrES_Code,$F519,nrES_Att,"&gt;"&amp;$K519)=0,"Yes","No")))</f>
        <v/>
      </c>
      <c r="Q519" s="15">
        <f>IF($C519="","",IF($L519="","",IF(AND($K519=1,$L519&lt;$J519,COUNTIFS(nrES_PID,$D519,nrES_Code,$F519,nrES_Att,2)=0),"Yes","No")))</f>
        <v/>
      </c>
      <c r="R519" s="15">
        <f>IF($C519="","",IF($L519="","",IF(AND($K519=2,$L519&lt;$J519,COUNTIFS(nrES_PID,$D519,nrES_Code,$F519,nrES_Att,1)&gt;0),"Yes","No")))</f>
        <v/>
      </c>
      <c r="S519" s="16" t="n"/>
      <c r="T519" s="17">
        <f>IF($Q519&lt;&gt;"Yes","",IF($S519="","(enter date)",_xlfn.LET(_xlpm.dn,IFERROR(_xlfn.XLOOKUP($S519,nrCDdate,nrCDnum),""),IF(_xlpm.dn="","(not a class day)",IFERROR(_xlfn.XLOOKUP(_xlpm.dn+cfgRetestClassDays,nrCDnum,nrCDdate),"")))))</f>
        <v/>
      </c>
      <c r="U519" s="15">
        <f>IF($Q519&lt;&gt;"Yes","",IF(COUNTIFS(nrES_PID,$D519,nrES_Code,$F519,nrES_Att,2)&gt;0,"Retested",IF(OR($T519="",NOT(ISNUMBER($T519))),"Pending",IF(TODAY()&gt;$T519,"OVERDUE","Due "&amp;TEXT($T519,"mm/dd")))))</f>
        <v/>
      </c>
      <c r="V519" s="14" t="n"/>
      <c r="W519" s="14" t="n"/>
    </row>
    <row r="520">
      <c r="B520" s="15">
        <f>IF($C520="","",$D520&amp;"-"&amp;$F520&amp;"-"&amp;$K520)</f>
        <v/>
      </c>
      <c r="C520" s="14" t="n"/>
      <c r="D520" s="15">
        <f>IF($C520="","",IFERROR(INDEX(rngCadetPIDs,MATCH($C520,rngCadetNames,0)),"?"))</f>
        <v/>
      </c>
      <c r="E520" s="15">
        <f>IF($D520="","",IFERROR(INDEX(nrCadetAgency,MATCH($D520,rngCadetPIDs,0)),""))</f>
        <v/>
      </c>
      <c r="F520" s="14" t="n"/>
      <c r="G520" s="15">
        <f>IF($F520="","",IFERROR(INDEX(rngEPname,MATCH($F520,rngEPcode,0)),"?"))</f>
        <v/>
      </c>
      <c r="H520" s="15">
        <f>IF($F520="","",IFERROR(INDEX(rngEPtype,MATCH($F520,rngEPcode,0)),"?"))</f>
        <v/>
      </c>
      <c r="I520" s="15">
        <f>IF($F520="","",IFERROR(INDEX(rngEPseq,MATCH($F520,rngEPcode,0)),""))</f>
        <v/>
      </c>
      <c r="J520" s="15">
        <f>IF($F520="","",IFERROR(INDEX(rngEPpass,MATCH($F520,rngEPcode,0)),cfgPassingScore))</f>
        <v/>
      </c>
      <c r="K520" s="14" t="n"/>
      <c r="L520" s="14" t="n"/>
      <c r="M520" s="15">
        <f>IF($C520="","",IF($L520="","",IF($K520=1,IF(COUNTIFS(nrES_PID,$D520,nrES_Code,$F520,nrES_Att,2)&gt;0,"",$L520),IF(COUNTIFS(nrES_PID,$D520,nrES_Code,$F520,nrES_Att,1)=0,$L520,IF($L520&gt;=$J520,cfgRetakeRecordedCap,SUMIFS(nrES_Raw,nrES_PID,$D520,nrES_Code,$F520,nrES_Att,1))))))</f>
        <v/>
      </c>
      <c r="N520" s="15">
        <f>IF($C520="","",IF($L520="","",IF($L520&gt;=$J520,"Yes","No")))</f>
        <v/>
      </c>
      <c r="O520" s="15">
        <f>IF($C520="","",IF($M520="","",IF($M520&gt;=$J520,"Yes","No")))</f>
        <v/>
      </c>
      <c r="P520" s="15">
        <f>IF($C520="","",IF($K520="","",IF(COUNTIFS(nrES_PID,$D520,nrES_Code,$F520,nrES_Att,"&gt;"&amp;$K520)=0,"Yes","No")))</f>
        <v/>
      </c>
      <c r="Q520" s="15">
        <f>IF($C520="","",IF($L520="","",IF(AND($K520=1,$L520&lt;$J520,COUNTIFS(nrES_PID,$D520,nrES_Code,$F520,nrES_Att,2)=0),"Yes","No")))</f>
        <v/>
      </c>
      <c r="R520" s="15">
        <f>IF($C520="","",IF($L520="","",IF(AND($K520=2,$L520&lt;$J520,COUNTIFS(nrES_PID,$D520,nrES_Code,$F520,nrES_Att,1)&gt;0),"Yes","No")))</f>
        <v/>
      </c>
      <c r="S520" s="16" t="n"/>
      <c r="T520" s="17">
        <f>IF($Q520&lt;&gt;"Yes","",IF($S520="","(enter date)",_xlfn.LET(_xlpm.dn,IFERROR(_xlfn.XLOOKUP($S520,nrCDdate,nrCDnum),""),IF(_xlpm.dn="","(not a class day)",IFERROR(_xlfn.XLOOKUP(_xlpm.dn+cfgRetestClassDays,nrCDnum,nrCDdate),"")))))</f>
        <v/>
      </c>
      <c r="U520" s="15">
        <f>IF($Q520&lt;&gt;"Yes","",IF(COUNTIFS(nrES_PID,$D520,nrES_Code,$F520,nrES_Att,2)&gt;0,"Retested",IF(OR($T520="",NOT(ISNUMBER($T520))),"Pending",IF(TODAY()&gt;$T520,"OVERDUE","Due "&amp;TEXT($T520,"mm/dd")))))</f>
        <v/>
      </c>
      <c r="V520" s="14" t="n"/>
      <c r="W520" s="14" t="n"/>
    </row>
    <row r="521">
      <c r="B521" s="15">
        <f>IF($C521="","",$D521&amp;"-"&amp;$F521&amp;"-"&amp;$K521)</f>
        <v/>
      </c>
      <c r="C521" s="14" t="n"/>
      <c r="D521" s="15">
        <f>IF($C521="","",IFERROR(INDEX(rngCadetPIDs,MATCH($C521,rngCadetNames,0)),"?"))</f>
        <v/>
      </c>
      <c r="E521" s="15">
        <f>IF($D521="","",IFERROR(INDEX(nrCadetAgency,MATCH($D521,rngCadetPIDs,0)),""))</f>
        <v/>
      </c>
      <c r="F521" s="14" t="n"/>
      <c r="G521" s="15">
        <f>IF($F521="","",IFERROR(INDEX(rngEPname,MATCH($F521,rngEPcode,0)),"?"))</f>
        <v/>
      </c>
      <c r="H521" s="15">
        <f>IF($F521="","",IFERROR(INDEX(rngEPtype,MATCH($F521,rngEPcode,0)),"?"))</f>
        <v/>
      </c>
      <c r="I521" s="15">
        <f>IF($F521="","",IFERROR(INDEX(rngEPseq,MATCH($F521,rngEPcode,0)),""))</f>
        <v/>
      </c>
      <c r="J521" s="15">
        <f>IF($F521="","",IFERROR(INDEX(rngEPpass,MATCH($F521,rngEPcode,0)),cfgPassingScore))</f>
        <v/>
      </c>
      <c r="K521" s="14" t="n"/>
      <c r="L521" s="14" t="n"/>
      <c r="M521" s="15">
        <f>IF($C521="","",IF($L521="","",IF($K521=1,IF(COUNTIFS(nrES_PID,$D521,nrES_Code,$F521,nrES_Att,2)&gt;0,"",$L521),IF(COUNTIFS(nrES_PID,$D521,nrES_Code,$F521,nrES_Att,1)=0,$L521,IF($L521&gt;=$J521,cfgRetakeRecordedCap,SUMIFS(nrES_Raw,nrES_PID,$D521,nrES_Code,$F521,nrES_Att,1))))))</f>
        <v/>
      </c>
      <c r="N521" s="15">
        <f>IF($C521="","",IF($L521="","",IF($L521&gt;=$J521,"Yes","No")))</f>
        <v/>
      </c>
      <c r="O521" s="15">
        <f>IF($C521="","",IF($M521="","",IF($M521&gt;=$J521,"Yes","No")))</f>
        <v/>
      </c>
      <c r="P521" s="15">
        <f>IF($C521="","",IF($K521="","",IF(COUNTIFS(nrES_PID,$D521,nrES_Code,$F521,nrES_Att,"&gt;"&amp;$K521)=0,"Yes","No")))</f>
        <v/>
      </c>
      <c r="Q521" s="15">
        <f>IF($C521="","",IF($L521="","",IF(AND($K521=1,$L521&lt;$J521,COUNTIFS(nrES_PID,$D521,nrES_Code,$F521,nrES_Att,2)=0),"Yes","No")))</f>
        <v/>
      </c>
      <c r="R521" s="15">
        <f>IF($C521="","",IF($L521="","",IF(AND($K521=2,$L521&lt;$J521,COUNTIFS(nrES_PID,$D521,nrES_Code,$F521,nrES_Att,1)&gt;0),"Yes","No")))</f>
        <v/>
      </c>
      <c r="S521" s="16" t="n"/>
      <c r="T521" s="17">
        <f>IF($Q521&lt;&gt;"Yes","",IF($S521="","(enter date)",_xlfn.LET(_xlpm.dn,IFERROR(_xlfn.XLOOKUP($S521,nrCDdate,nrCDnum),""),IF(_xlpm.dn="","(not a class day)",IFERROR(_xlfn.XLOOKUP(_xlpm.dn+cfgRetestClassDays,nrCDnum,nrCDdate),"")))))</f>
        <v/>
      </c>
      <c r="U521" s="15">
        <f>IF($Q521&lt;&gt;"Yes","",IF(COUNTIFS(nrES_PID,$D521,nrES_Code,$F521,nrES_Att,2)&gt;0,"Retested",IF(OR($T521="",NOT(ISNUMBER($T521))),"Pending",IF(TODAY()&gt;$T521,"OVERDUE","Due "&amp;TEXT($T521,"mm/dd")))))</f>
        <v/>
      </c>
      <c r="V521" s="14" t="n"/>
      <c r="W521" s="14" t="n"/>
    </row>
    <row r="522">
      <c r="B522" s="15">
        <f>IF($C522="","",$D522&amp;"-"&amp;$F522&amp;"-"&amp;$K522)</f>
        <v/>
      </c>
      <c r="C522" s="14" t="n"/>
      <c r="D522" s="15">
        <f>IF($C522="","",IFERROR(INDEX(rngCadetPIDs,MATCH($C522,rngCadetNames,0)),"?"))</f>
        <v/>
      </c>
      <c r="E522" s="15">
        <f>IF($D522="","",IFERROR(INDEX(nrCadetAgency,MATCH($D522,rngCadetPIDs,0)),""))</f>
        <v/>
      </c>
      <c r="F522" s="14" t="n"/>
      <c r="G522" s="15">
        <f>IF($F522="","",IFERROR(INDEX(rngEPname,MATCH($F522,rngEPcode,0)),"?"))</f>
        <v/>
      </c>
      <c r="H522" s="15">
        <f>IF($F522="","",IFERROR(INDEX(rngEPtype,MATCH($F522,rngEPcode,0)),"?"))</f>
        <v/>
      </c>
      <c r="I522" s="15">
        <f>IF($F522="","",IFERROR(INDEX(rngEPseq,MATCH($F522,rngEPcode,0)),""))</f>
        <v/>
      </c>
      <c r="J522" s="15">
        <f>IF($F522="","",IFERROR(INDEX(rngEPpass,MATCH($F522,rngEPcode,0)),cfgPassingScore))</f>
        <v/>
      </c>
      <c r="K522" s="14" t="n"/>
      <c r="L522" s="14" t="n"/>
      <c r="M522" s="15">
        <f>IF($C522="","",IF($L522="","",IF($K522=1,IF(COUNTIFS(nrES_PID,$D522,nrES_Code,$F522,nrES_Att,2)&gt;0,"",$L522),IF(COUNTIFS(nrES_PID,$D522,nrES_Code,$F522,nrES_Att,1)=0,$L522,IF($L522&gt;=$J522,cfgRetakeRecordedCap,SUMIFS(nrES_Raw,nrES_PID,$D522,nrES_Code,$F522,nrES_Att,1))))))</f>
        <v/>
      </c>
      <c r="N522" s="15">
        <f>IF($C522="","",IF($L522="","",IF($L522&gt;=$J522,"Yes","No")))</f>
        <v/>
      </c>
      <c r="O522" s="15">
        <f>IF($C522="","",IF($M522="","",IF($M522&gt;=$J522,"Yes","No")))</f>
        <v/>
      </c>
      <c r="P522" s="15">
        <f>IF($C522="","",IF($K522="","",IF(COUNTIFS(nrES_PID,$D522,nrES_Code,$F522,nrES_Att,"&gt;"&amp;$K522)=0,"Yes","No")))</f>
        <v/>
      </c>
      <c r="Q522" s="15">
        <f>IF($C522="","",IF($L522="","",IF(AND($K522=1,$L522&lt;$J522,COUNTIFS(nrES_PID,$D522,nrES_Code,$F522,nrES_Att,2)=0),"Yes","No")))</f>
        <v/>
      </c>
      <c r="R522" s="15">
        <f>IF($C522="","",IF($L522="","",IF(AND($K522=2,$L522&lt;$J522,COUNTIFS(nrES_PID,$D522,nrES_Code,$F522,nrES_Att,1)&gt;0),"Yes","No")))</f>
        <v/>
      </c>
      <c r="S522" s="16" t="n"/>
      <c r="T522" s="17">
        <f>IF($Q522&lt;&gt;"Yes","",IF($S522="","(enter date)",_xlfn.LET(_xlpm.dn,IFERROR(_xlfn.XLOOKUP($S522,nrCDdate,nrCDnum),""),IF(_xlpm.dn="","(not a class day)",IFERROR(_xlfn.XLOOKUP(_xlpm.dn+cfgRetestClassDays,nrCDnum,nrCDdate),"")))))</f>
        <v/>
      </c>
      <c r="U522" s="15">
        <f>IF($Q522&lt;&gt;"Yes","",IF(COUNTIFS(nrES_PID,$D522,nrES_Code,$F522,nrES_Att,2)&gt;0,"Retested",IF(OR($T522="",NOT(ISNUMBER($T522))),"Pending",IF(TODAY()&gt;$T522,"OVERDUE","Due "&amp;TEXT($T522,"mm/dd")))))</f>
        <v/>
      </c>
      <c r="V522" s="14" t="n"/>
      <c r="W522" s="14" t="n"/>
    </row>
    <row r="523">
      <c r="B523" s="15">
        <f>IF($C523="","",$D523&amp;"-"&amp;$F523&amp;"-"&amp;$K523)</f>
        <v/>
      </c>
      <c r="C523" s="14" t="n"/>
      <c r="D523" s="15">
        <f>IF($C523="","",IFERROR(INDEX(rngCadetPIDs,MATCH($C523,rngCadetNames,0)),"?"))</f>
        <v/>
      </c>
      <c r="E523" s="15">
        <f>IF($D523="","",IFERROR(INDEX(nrCadetAgency,MATCH($D523,rngCadetPIDs,0)),""))</f>
        <v/>
      </c>
      <c r="F523" s="14" t="n"/>
      <c r="G523" s="15">
        <f>IF($F523="","",IFERROR(INDEX(rngEPname,MATCH($F523,rngEPcode,0)),"?"))</f>
        <v/>
      </c>
      <c r="H523" s="15">
        <f>IF($F523="","",IFERROR(INDEX(rngEPtype,MATCH($F523,rngEPcode,0)),"?"))</f>
        <v/>
      </c>
      <c r="I523" s="15">
        <f>IF($F523="","",IFERROR(INDEX(rngEPseq,MATCH($F523,rngEPcode,0)),""))</f>
        <v/>
      </c>
      <c r="J523" s="15">
        <f>IF($F523="","",IFERROR(INDEX(rngEPpass,MATCH($F523,rngEPcode,0)),cfgPassingScore))</f>
        <v/>
      </c>
      <c r="K523" s="14" t="n"/>
      <c r="L523" s="14" t="n"/>
      <c r="M523" s="15">
        <f>IF($C523="","",IF($L523="","",IF($K523=1,IF(COUNTIFS(nrES_PID,$D523,nrES_Code,$F523,nrES_Att,2)&gt;0,"",$L523),IF(COUNTIFS(nrES_PID,$D523,nrES_Code,$F523,nrES_Att,1)=0,$L523,IF($L523&gt;=$J523,cfgRetakeRecordedCap,SUMIFS(nrES_Raw,nrES_PID,$D523,nrES_Code,$F523,nrES_Att,1))))))</f>
        <v/>
      </c>
      <c r="N523" s="15">
        <f>IF($C523="","",IF($L523="","",IF($L523&gt;=$J523,"Yes","No")))</f>
        <v/>
      </c>
      <c r="O523" s="15">
        <f>IF($C523="","",IF($M523="","",IF($M523&gt;=$J523,"Yes","No")))</f>
        <v/>
      </c>
      <c r="P523" s="15">
        <f>IF($C523="","",IF($K523="","",IF(COUNTIFS(nrES_PID,$D523,nrES_Code,$F523,nrES_Att,"&gt;"&amp;$K523)=0,"Yes","No")))</f>
        <v/>
      </c>
      <c r="Q523" s="15">
        <f>IF($C523="","",IF($L523="","",IF(AND($K523=1,$L523&lt;$J523,COUNTIFS(nrES_PID,$D523,nrES_Code,$F523,nrES_Att,2)=0),"Yes","No")))</f>
        <v/>
      </c>
      <c r="R523" s="15">
        <f>IF($C523="","",IF($L523="","",IF(AND($K523=2,$L523&lt;$J523,COUNTIFS(nrES_PID,$D523,nrES_Code,$F523,nrES_Att,1)&gt;0),"Yes","No")))</f>
        <v/>
      </c>
      <c r="S523" s="16" t="n"/>
      <c r="T523" s="17">
        <f>IF($Q523&lt;&gt;"Yes","",IF($S523="","(enter date)",_xlfn.LET(_xlpm.dn,IFERROR(_xlfn.XLOOKUP($S523,nrCDdate,nrCDnum),""),IF(_xlpm.dn="","(not a class day)",IFERROR(_xlfn.XLOOKUP(_xlpm.dn+cfgRetestClassDays,nrCDnum,nrCDdate),"")))))</f>
        <v/>
      </c>
      <c r="U523" s="15">
        <f>IF($Q523&lt;&gt;"Yes","",IF(COUNTIFS(nrES_PID,$D523,nrES_Code,$F523,nrES_Att,2)&gt;0,"Retested",IF(OR($T523="",NOT(ISNUMBER($T523))),"Pending",IF(TODAY()&gt;$T523,"OVERDUE","Due "&amp;TEXT($T523,"mm/dd")))))</f>
        <v/>
      </c>
      <c r="V523" s="14" t="n"/>
      <c r="W523" s="14" t="n"/>
    </row>
    <row r="524">
      <c r="B524" s="15">
        <f>IF($C524="","",$D524&amp;"-"&amp;$F524&amp;"-"&amp;$K524)</f>
        <v/>
      </c>
      <c r="C524" s="14" t="n"/>
      <c r="D524" s="15">
        <f>IF($C524="","",IFERROR(INDEX(rngCadetPIDs,MATCH($C524,rngCadetNames,0)),"?"))</f>
        <v/>
      </c>
      <c r="E524" s="15">
        <f>IF($D524="","",IFERROR(INDEX(nrCadetAgency,MATCH($D524,rngCadetPIDs,0)),""))</f>
        <v/>
      </c>
      <c r="F524" s="14" t="n"/>
      <c r="G524" s="15">
        <f>IF($F524="","",IFERROR(INDEX(rngEPname,MATCH($F524,rngEPcode,0)),"?"))</f>
        <v/>
      </c>
      <c r="H524" s="15">
        <f>IF($F524="","",IFERROR(INDEX(rngEPtype,MATCH($F524,rngEPcode,0)),"?"))</f>
        <v/>
      </c>
      <c r="I524" s="15">
        <f>IF($F524="","",IFERROR(INDEX(rngEPseq,MATCH($F524,rngEPcode,0)),""))</f>
        <v/>
      </c>
      <c r="J524" s="15">
        <f>IF($F524="","",IFERROR(INDEX(rngEPpass,MATCH($F524,rngEPcode,0)),cfgPassingScore))</f>
        <v/>
      </c>
      <c r="K524" s="14" t="n"/>
      <c r="L524" s="14" t="n"/>
      <c r="M524" s="15">
        <f>IF($C524="","",IF($L524="","",IF($K524=1,IF(COUNTIFS(nrES_PID,$D524,nrES_Code,$F524,nrES_Att,2)&gt;0,"",$L524),IF(COUNTIFS(nrES_PID,$D524,nrES_Code,$F524,nrES_Att,1)=0,$L524,IF($L524&gt;=$J524,cfgRetakeRecordedCap,SUMIFS(nrES_Raw,nrES_PID,$D524,nrES_Code,$F524,nrES_Att,1))))))</f>
        <v/>
      </c>
      <c r="N524" s="15">
        <f>IF($C524="","",IF($L524="","",IF($L524&gt;=$J524,"Yes","No")))</f>
        <v/>
      </c>
      <c r="O524" s="15">
        <f>IF($C524="","",IF($M524="","",IF($M524&gt;=$J524,"Yes","No")))</f>
        <v/>
      </c>
      <c r="P524" s="15">
        <f>IF($C524="","",IF($K524="","",IF(COUNTIFS(nrES_PID,$D524,nrES_Code,$F524,nrES_Att,"&gt;"&amp;$K524)=0,"Yes","No")))</f>
        <v/>
      </c>
      <c r="Q524" s="15">
        <f>IF($C524="","",IF($L524="","",IF(AND($K524=1,$L524&lt;$J524,COUNTIFS(nrES_PID,$D524,nrES_Code,$F524,nrES_Att,2)=0),"Yes","No")))</f>
        <v/>
      </c>
      <c r="R524" s="15">
        <f>IF($C524="","",IF($L524="","",IF(AND($K524=2,$L524&lt;$J524,COUNTIFS(nrES_PID,$D524,nrES_Code,$F524,nrES_Att,1)&gt;0),"Yes","No")))</f>
        <v/>
      </c>
      <c r="S524" s="16" t="n"/>
      <c r="T524" s="17">
        <f>IF($Q524&lt;&gt;"Yes","",IF($S524="","(enter date)",_xlfn.LET(_xlpm.dn,IFERROR(_xlfn.XLOOKUP($S524,nrCDdate,nrCDnum),""),IF(_xlpm.dn="","(not a class day)",IFERROR(_xlfn.XLOOKUP(_xlpm.dn+cfgRetestClassDays,nrCDnum,nrCDdate),"")))))</f>
        <v/>
      </c>
      <c r="U524" s="15">
        <f>IF($Q524&lt;&gt;"Yes","",IF(COUNTIFS(nrES_PID,$D524,nrES_Code,$F524,nrES_Att,2)&gt;0,"Retested",IF(OR($T524="",NOT(ISNUMBER($T524))),"Pending",IF(TODAY()&gt;$T524,"OVERDUE","Due "&amp;TEXT($T524,"mm/dd")))))</f>
        <v/>
      </c>
      <c r="V524" s="14" t="n"/>
      <c r="W524" s="14" t="n"/>
    </row>
    <row r="525">
      <c r="B525" s="15">
        <f>IF($C525="","",$D525&amp;"-"&amp;$F525&amp;"-"&amp;$K525)</f>
        <v/>
      </c>
      <c r="C525" s="14" t="n"/>
      <c r="D525" s="15">
        <f>IF($C525="","",IFERROR(INDEX(rngCadetPIDs,MATCH($C525,rngCadetNames,0)),"?"))</f>
        <v/>
      </c>
      <c r="E525" s="15">
        <f>IF($D525="","",IFERROR(INDEX(nrCadetAgency,MATCH($D525,rngCadetPIDs,0)),""))</f>
        <v/>
      </c>
      <c r="F525" s="14" t="n"/>
      <c r="G525" s="15">
        <f>IF($F525="","",IFERROR(INDEX(rngEPname,MATCH($F525,rngEPcode,0)),"?"))</f>
        <v/>
      </c>
      <c r="H525" s="15">
        <f>IF($F525="","",IFERROR(INDEX(rngEPtype,MATCH($F525,rngEPcode,0)),"?"))</f>
        <v/>
      </c>
      <c r="I525" s="15">
        <f>IF($F525="","",IFERROR(INDEX(rngEPseq,MATCH($F525,rngEPcode,0)),""))</f>
        <v/>
      </c>
      <c r="J525" s="15">
        <f>IF($F525="","",IFERROR(INDEX(rngEPpass,MATCH($F525,rngEPcode,0)),cfgPassingScore))</f>
        <v/>
      </c>
      <c r="K525" s="14" t="n"/>
      <c r="L525" s="14" t="n"/>
      <c r="M525" s="15">
        <f>IF($C525="","",IF($L525="","",IF($K525=1,IF(COUNTIFS(nrES_PID,$D525,nrES_Code,$F525,nrES_Att,2)&gt;0,"",$L525),IF(COUNTIFS(nrES_PID,$D525,nrES_Code,$F525,nrES_Att,1)=0,$L525,IF($L525&gt;=$J525,cfgRetakeRecordedCap,SUMIFS(nrES_Raw,nrES_PID,$D525,nrES_Code,$F525,nrES_Att,1))))))</f>
        <v/>
      </c>
      <c r="N525" s="15">
        <f>IF($C525="","",IF($L525="","",IF($L525&gt;=$J525,"Yes","No")))</f>
        <v/>
      </c>
      <c r="O525" s="15">
        <f>IF($C525="","",IF($M525="","",IF($M525&gt;=$J525,"Yes","No")))</f>
        <v/>
      </c>
      <c r="P525" s="15">
        <f>IF($C525="","",IF($K525="","",IF(COUNTIFS(nrES_PID,$D525,nrES_Code,$F525,nrES_Att,"&gt;"&amp;$K525)=0,"Yes","No")))</f>
        <v/>
      </c>
      <c r="Q525" s="15">
        <f>IF($C525="","",IF($L525="","",IF(AND($K525=1,$L525&lt;$J525,COUNTIFS(nrES_PID,$D525,nrES_Code,$F525,nrES_Att,2)=0),"Yes","No")))</f>
        <v/>
      </c>
      <c r="R525" s="15">
        <f>IF($C525="","",IF($L525="","",IF(AND($K525=2,$L525&lt;$J525,COUNTIFS(nrES_PID,$D525,nrES_Code,$F525,nrES_Att,1)&gt;0),"Yes","No")))</f>
        <v/>
      </c>
      <c r="S525" s="16" t="n"/>
      <c r="T525" s="17">
        <f>IF($Q525&lt;&gt;"Yes","",IF($S525="","(enter date)",_xlfn.LET(_xlpm.dn,IFERROR(_xlfn.XLOOKUP($S525,nrCDdate,nrCDnum),""),IF(_xlpm.dn="","(not a class day)",IFERROR(_xlfn.XLOOKUP(_xlpm.dn+cfgRetestClassDays,nrCDnum,nrCDdate),"")))))</f>
        <v/>
      </c>
      <c r="U525" s="15">
        <f>IF($Q525&lt;&gt;"Yes","",IF(COUNTIFS(nrES_PID,$D525,nrES_Code,$F525,nrES_Att,2)&gt;0,"Retested",IF(OR($T525="",NOT(ISNUMBER($T525))),"Pending",IF(TODAY()&gt;$T525,"OVERDUE","Due "&amp;TEXT($T525,"mm/dd")))))</f>
        <v/>
      </c>
      <c r="V525" s="14" t="n"/>
      <c r="W525" s="14" t="n"/>
    </row>
    <row r="526">
      <c r="B526" s="15">
        <f>IF($C526="","",$D526&amp;"-"&amp;$F526&amp;"-"&amp;$K526)</f>
        <v/>
      </c>
      <c r="C526" s="14" t="n"/>
      <c r="D526" s="15">
        <f>IF($C526="","",IFERROR(INDEX(rngCadetPIDs,MATCH($C526,rngCadetNames,0)),"?"))</f>
        <v/>
      </c>
      <c r="E526" s="15">
        <f>IF($D526="","",IFERROR(INDEX(nrCadetAgency,MATCH($D526,rngCadetPIDs,0)),""))</f>
        <v/>
      </c>
      <c r="F526" s="14" t="n"/>
      <c r="G526" s="15">
        <f>IF($F526="","",IFERROR(INDEX(rngEPname,MATCH($F526,rngEPcode,0)),"?"))</f>
        <v/>
      </c>
      <c r="H526" s="15">
        <f>IF($F526="","",IFERROR(INDEX(rngEPtype,MATCH($F526,rngEPcode,0)),"?"))</f>
        <v/>
      </c>
      <c r="I526" s="15">
        <f>IF($F526="","",IFERROR(INDEX(rngEPseq,MATCH($F526,rngEPcode,0)),""))</f>
        <v/>
      </c>
      <c r="J526" s="15">
        <f>IF($F526="","",IFERROR(INDEX(rngEPpass,MATCH($F526,rngEPcode,0)),cfgPassingScore))</f>
        <v/>
      </c>
      <c r="K526" s="14" t="n"/>
      <c r="L526" s="14" t="n"/>
      <c r="M526" s="15">
        <f>IF($C526="","",IF($L526="","",IF($K526=1,IF(COUNTIFS(nrES_PID,$D526,nrES_Code,$F526,nrES_Att,2)&gt;0,"",$L526),IF(COUNTIFS(nrES_PID,$D526,nrES_Code,$F526,nrES_Att,1)=0,$L526,IF($L526&gt;=$J526,cfgRetakeRecordedCap,SUMIFS(nrES_Raw,nrES_PID,$D526,nrES_Code,$F526,nrES_Att,1))))))</f>
        <v/>
      </c>
      <c r="N526" s="15">
        <f>IF($C526="","",IF($L526="","",IF($L526&gt;=$J526,"Yes","No")))</f>
        <v/>
      </c>
      <c r="O526" s="15">
        <f>IF($C526="","",IF($M526="","",IF($M526&gt;=$J526,"Yes","No")))</f>
        <v/>
      </c>
      <c r="P526" s="15">
        <f>IF($C526="","",IF($K526="","",IF(COUNTIFS(nrES_PID,$D526,nrES_Code,$F526,nrES_Att,"&gt;"&amp;$K526)=0,"Yes","No")))</f>
        <v/>
      </c>
      <c r="Q526" s="15">
        <f>IF($C526="","",IF($L526="","",IF(AND($K526=1,$L526&lt;$J526,COUNTIFS(nrES_PID,$D526,nrES_Code,$F526,nrES_Att,2)=0),"Yes","No")))</f>
        <v/>
      </c>
      <c r="R526" s="15">
        <f>IF($C526="","",IF($L526="","",IF(AND($K526=2,$L526&lt;$J526,COUNTIFS(nrES_PID,$D526,nrES_Code,$F526,nrES_Att,1)&gt;0),"Yes","No")))</f>
        <v/>
      </c>
      <c r="S526" s="16" t="n"/>
      <c r="T526" s="17">
        <f>IF($Q526&lt;&gt;"Yes","",IF($S526="","(enter date)",_xlfn.LET(_xlpm.dn,IFERROR(_xlfn.XLOOKUP($S526,nrCDdate,nrCDnum),""),IF(_xlpm.dn="","(not a class day)",IFERROR(_xlfn.XLOOKUP(_xlpm.dn+cfgRetestClassDays,nrCDnum,nrCDdate),"")))))</f>
        <v/>
      </c>
      <c r="U526" s="15">
        <f>IF($Q526&lt;&gt;"Yes","",IF(COUNTIFS(nrES_PID,$D526,nrES_Code,$F526,nrES_Att,2)&gt;0,"Retested",IF(OR($T526="",NOT(ISNUMBER($T526))),"Pending",IF(TODAY()&gt;$T526,"OVERDUE","Due "&amp;TEXT($T526,"mm/dd")))))</f>
        <v/>
      </c>
      <c r="V526" s="14" t="n"/>
      <c r="W526" s="14" t="n"/>
    </row>
    <row r="527">
      <c r="B527" s="15">
        <f>IF($C527="","",$D527&amp;"-"&amp;$F527&amp;"-"&amp;$K527)</f>
        <v/>
      </c>
      <c r="C527" s="14" t="n"/>
      <c r="D527" s="15">
        <f>IF($C527="","",IFERROR(INDEX(rngCadetPIDs,MATCH($C527,rngCadetNames,0)),"?"))</f>
        <v/>
      </c>
      <c r="E527" s="15">
        <f>IF($D527="","",IFERROR(INDEX(nrCadetAgency,MATCH($D527,rngCadetPIDs,0)),""))</f>
        <v/>
      </c>
      <c r="F527" s="14" t="n"/>
      <c r="G527" s="15">
        <f>IF($F527="","",IFERROR(INDEX(rngEPname,MATCH($F527,rngEPcode,0)),"?"))</f>
        <v/>
      </c>
      <c r="H527" s="15">
        <f>IF($F527="","",IFERROR(INDEX(rngEPtype,MATCH($F527,rngEPcode,0)),"?"))</f>
        <v/>
      </c>
      <c r="I527" s="15">
        <f>IF($F527="","",IFERROR(INDEX(rngEPseq,MATCH($F527,rngEPcode,0)),""))</f>
        <v/>
      </c>
      <c r="J527" s="15">
        <f>IF($F527="","",IFERROR(INDEX(rngEPpass,MATCH($F527,rngEPcode,0)),cfgPassingScore))</f>
        <v/>
      </c>
      <c r="K527" s="14" t="n"/>
      <c r="L527" s="14" t="n"/>
      <c r="M527" s="15">
        <f>IF($C527="","",IF($L527="","",IF($K527=1,IF(COUNTIFS(nrES_PID,$D527,nrES_Code,$F527,nrES_Att,2)&gt;0,"",$L527),IF(COUNTIFS(nrES_PID,$D527,nrES_Code,$F527,nrES_Att,1)=0,$L527,IF($L527&gt;=$J527,cfgRetakeRecordedCap,SUMIFS(nrES_Raw,nrES_PID,$D527,nrES_Code,$F527,nrES_Att,1))))))</f>
        <v/>
      </c>
      <c r="N527" s="15">
        <f>IF($C527="","",IF($L527="","",IF($L527&gt;=$J527,"Yes","No")))</f>
        <v/>
      </c>
      <c r="O527" s="15">
        <f>IF($C527="","",IF($M527="","",IF($M527&gt;=$J527,"Yes","No")))</f>
        <v/>
      </c>
      <c r="P527" s="15">
        <f>IF($C527="","",IF($K527="","",IF(COUNTIFS(nrES_PID,$D527,nrES_Code,$F527,nrES_Att,"&gt;"&amp;$K527)=0,"Yes","No")))</f>
        <v/>
      </c>
      <c r="Q527" s="15">
        <f>IF($C527="","",IF($L527="","",IF(AND($K527=1,$L527&lt;$J527,COUNTIFS(nrES_PID,$D527,nrES_Code,$F527,nrES_Att,2)=0),"Yes","No")))</f>
        <v/>
      </c>
      <c r="R527" s="15">
        <f>IF($C527="","",IF($L527="","",IF(AND($K527=2,$L527&lt;$J527,COUNTIFS(nrES_PID,$D527,nrES_Code,$F527,nrES_Att,1)&gt;0),"Yes","No")))</f>
        <v/>
      </c>
      <c r="S527" s="16" t="n"/>
      <c r="T527" s="17">
        <f>IF($Q527&lt;&gt;"Yes","",IF($S527="","(enter date)",_xlfn.LET(_xlpm.dn,IFERROR(_xlfn.XLOOKUP($S527,nrCDdate,nrCDnum),""),IF(_xlpm.dn="","(not a class day)",IFERROR(_xlfn.XLOOKUP(_xlpm.dn+cfgRetestClassDays,nrCDnum,nrCDdate),"")))))</f>
        <v/>
      </c>
      <c r="U527" s="15">
        <f>IF($Q527&lt;&gt;"Yes","",IF(COUNTIFS(nrES_PID,$D527,nrES_Code,$F527,nrES_Att,2)&gt;0,"Retested",IF(OR($T527="",NOT(ISNUMBER($T527))),"Pending",IF(TODAY()&gt;$T527,"OVERDUE","Due "&amp;TEXT($T527,"mm/dd")))))</f>
        <v/>
      </c>
      <c r="V527" s="14" t="n"/>
      <c r="W527" s="14" t="n"/>
    </row>
    <row r="528">
      <c r="B528" s="15">
        <f>IF($C528="","",$D528&amp;"-"&amp;$F528&amp;"-"&amp;$K528)</f>
        <v/>
      </c>
      <c r="C528" s="14" t="n"/>
      <c r="D528" s="15">
        <f>IF($C528="","",IFERROR(INDEX(rngCadetPIDs,MATCH($C528,rngCadetNames,0)),"?"))</f>
        <v/>
      </c>
      <c r="E528" s="15">
        <f>IF($D528="","",IFERROR(INDEX(nrCadetAgency,MATCH($D528,rngCadetPIDs,0)),""))</f>
        <v/>
      </c>
      <c r="F528" s="14" t="n"/>
      <c r="G528" s="15">
        <f>IF($F528="","",IFERROR(INDEX(rngEPname,MATCH($F528,rngEPcode,0)),"?"))</f>
        <v/>
      </c>
      <c r="H528" s="15">
        <f>IF($F528="","",IFERROR(INDEX(rngEPtype,MATCH($F528,rngEPcode,0)),"?"))</f>
        <v/>
      </c>
      <c r="I528" s="15">
        <f>IF($F528="","",IFERROR(INDEX(rngEPseq,MATCH($F528,rngEPcode,0)),""))</f>
        <v/>
      </c>
      <c r="J528" s="15">
        <f>IF($F528="","",IFERROR(INDEX(rngEPpass,MATCH($F528,rngEPcode,0)),cfgPassingScore))</f>
        <v/>
      </c>
      <c r="K528" s="14" t="n"/>
      <c r="L528" s="14" t="n"/>
      <c r="M528" s="15">
        <f>IF($C528="","",IF($L528="","",IF($K528=1,IF(COUNTIFS(nrES_PID,$D528,nrES_Code,$F528,nrES_Att,2)&gt;0,"",$L528),IF(COUNTIFS(nrES_PID,$D528,nrES_Code,$F528,nrES_Att,1)=0,$L528,IF($L528&gt;=$J528,cfgRetakeRecordedCap,SUMIFS(nrES_Raw,nrES_PID,$D528,nrES_Code,$F528,nrES_Att,1))))))</f>
        <v/>
      </c>
      <c r="N528" s="15">
        <f>IF($C528="","",IF($L528="","",IF($L528&gt;=$J528,"Yes","No")))</f>
        <v/>
      </c>
      <c r="O528" s="15">
        <f>IF($C528="","",IF($M528="","",IF($M528&gt;=$J528,"Yes","No")))</f>
        <v/>
      </c>
      <c r="P528" s="15">
        <f>IF($C528="","",IF($K528="","",IF(COUNTIFS(nrES_PID,$D528,nrES_Code,$F528,nrES_Att,"&gt;"&amp;$K528)=0,"Yes","No")))</f>
        <v/>
      </c>
      <c r="Q528" s="15">
        <f>IF($C528="","",IF($L528="","",IF(AND($K528=1,$L528&lt;$J528,COUNTIFS(nrES_PID,$D528,nrES_Code,$F528,nrES_Att,2)=0),"Yes","No")))</f>
        <v/>
      </c>
      <c r="R528" s="15">
        <f>IF($C528="","",IF($L528="","",IF(AND($K528=2,$L528&lt;$J528,COUNTIFS(nrES_PID,$D528,nrES_Code,$F528,nrES_Att,1)&gt;0),"Yes","No")))</f>
        <v/>
      </c>
      <c r="S528" s="16" t="n"/>
      <c r="T528" s="17">
        <f>IF($Q528&lt;&gt;"Yes","",IF($S528="","(enter date)",_xlfn.LET(_xlpm.dn,IFERROR(_xlfn.XLOOKUP($S528,nrCDdate,nrCDnum),""),IF(_xlpm.dn="","(not a class day)",IFERROR(_xlfn.XLOOKUP(_xlpm.dn+cfgRetestClassDays,nrCDnum,nrCDdate),"")))))</f>
        <v/>
      </c>
      <c r="U528" s="15">
        <f>IF($Q528&lt;&gt;"Yes","",IF(COUNTIFS(nrES_PID,$D528,nrES_Code,$F528,nrES_Att,2)&gt;0,"Retested",IF(OR($T528="",NOT(ISNUMBER($T528))),"Pending",IF(TODAY()&gt;$T528,"OVERDUE","Due "&amp;TEXT($T528,"mm/dd")))))</f>
        <v/>
      </c>
      <c r="V528" s="14" t="n"/>
      <c r="W528" s="14" t="n"/>
    </row>
    <row r="529">
      <c r="B529" s="15">
        <f>IF($C529="","",$D529&amp;"-"&amp;$F529&amp;"-"&amp;$K529)</f>
        <v/>
      </c>
      <c r="C529" s="14" t="n"/>
      <c r="D529" s="15">
        <f>IF($C529="","",IFERROR(INDEX(rngCadetPIDs,MATCH($C529,rngCadetNames,0)),"?"))</f>
        <v/>
      </c>
      <c r="E529" s="15">
        <f>IF($D529="","",IFERROR(INDEX(nrCadetAgency,MATCH($D529,rngCadetPIDs,0)),""))</f>
        <v/>
      </c>
      <c r="F529" s="14" t="n"/>
      <c r="G529" s="15">
        <f>IF($F529="","",IFERROR(INDEX(rngEPname,MATCH($F529,rngEPcode,0)),"?"))</f>
        <v/>
      </c>
      <c r="H529" s="15">
        <f>IF($F529="","",IFERROR(INDEX(rngEPtype,MATCH($F529,rngEPcode,0)),"?"))</f>
        <v/>
      </c>
      <c r="I529" s="15">
        <f>IF($F529="","",IFERROR(INDEX(rngEPseq,MATCH($F529,rngEPcode,0)),""))</f>
        <v/>
      </c>
      <c r="J529" s="15">
        <f>IF($F529="","",IFERROR(INDEX(rngEPpass,MATCH($F529,rngEPcode,0)),cfgPassingScore))</f>
        <v/>
      </c>
      <c r="K529" s="14" t="n"/>
      <c r="L529" s="14" t="n"/>
      <c r="M529" s="15">
        <f>IF($C529="","",IF($L529="","",IF($K529=1,IF(COUNTIFS(nrES_PID,$D529,nrES_Code,$F529,nrES_Att,2)&gt;0,"",$L529),IF(COUNTIFS(nrES_PID,$D529,nrES_Code,$F529,nrES_Att,1)=0,$L529,IF($L529&gt;=$J529,cfgRetakeRecordedCap,SUMIFS(nrES_Raw,nrES_PID,$D529,nrES_Code,$F529,nrES_Att,1))))))</f>
        <v/>
      </c>
      <c r="N529" s="15">
        <f>IF($C529="","",IF($L529="","",IF($L529&gt;=$J529,"Yes","No")))</f>
        <v/>
      </c>
      <c r="O529" s="15">
        <f>IF($C529="","",IF($M529="","",IF($M529&gt;=$J529,"Yes","No")))</f>
        <v/>
      </c>
      <c r="P529" s="15">
        <f>IF($C529="","",IF($K529="","",IF(COUNTIFS(nrES_PID,$D529,nrES_Code,$F529,nrES_Att,"&gt;"&amp;$K529)=0,"Yes","No")))</f>
        <v/>
      </c>
      <c r="Q529" s="15">
        <f>IF($C529="","",IF($L529="","",IF(AND($K529=1,$L529&lt;$J529,COUNTIFS(nrES_PID,$D529,nrES_Code,$F529,nrES_Att,2)=0),"Yes","No")))</f>
        <v/>
      </c>
      <c r="R529" s="15">
        <f>IF($C529="","",IF($L529="","",IF(AND($K529=2,$L529&lt;$J529,COUNTIFS(nrES_PID,$D529,nrES_Code,$F529,nrES_Att,1)&gt;0),"Yes","No")))</f>
        <v/>
      </c>
      <c r="S529" s="16" t="n"/>
      <c r="T529" s="17">
        <f>IF($Q529&lt;&gt;"Yes","",IF($S529="","(enter date)",_xlfn.LET(_xlpm.dn,IFERROR(_xlfn.XLOOKUP($S529,nrCDdate,nrCDnum),""),IF(_xlpm.dn="","(not a class day)",IFERROR(_xlfn.XLOOKUP(_xlpm.dn+cfgRetestClassDays,nrCDnum,nrCDdate),"")))))</f>
        <v/>
      </c>
      <c r="U529" s="15">
        <f>IF($Q529&lt;&gt;"Yes","",IF(COUNTIFS(nrES_PID,$D529,nrES_Code,$F529,nrES_Att,2)&gt;0,"Retested",IF(OR($T529="",NOT(ISNUMBER($T529))),"Pending",IF(TODAY()&gt;$T529,"OVERDUE","Due "&amp;TEXT($T529,"mm/dd")))))</f>
        <v/>
      </c>
      <c r="V529" s="14" t="n"/>
      <c r="W529" s="14" t="n"/>
    </row>
    <row r="530">
      <c r="B530" s="15">
        <f>IF($C530="","",$D530&amp;"-"&amp;$F530&amp;"-"&amp;$K530)</f>
        <v/>
      </c>
      <c r="C530" s="14" t="n"/>
      <c r="D530" s="15">
        <f>IF($C530="","",IFERROR(INDEX(rngCadetPIDs,MATCH($C530,rngCadetNames,0)),"?"))</f>
        <v/>
      </c>
      <c r="E530" s="15">
        <f>IF($D530="","",IFERROR(INDEX(nrCadetAgency,MATCH($D530,rngCadetPIDs,0)),""))</f>
        <v/>
      </c>
      <c r="F530" s="14" t="n"/>
      <c r="G530" s="15">
        <f>IF($F530="","",IFERROR(INDEX(rngEPname,MATCH($F530,rngEPcode,0)),"?"))</f>
        <v/>
      </c>
      <c r="H530" s="15">
        <f>IF($F530="","",IFERROR(INDEX(rngEPtype,MATCH($F530,rngEPcode,0)),"?"))</f>
        <v/>
      </c>
      <c r="I530" s="15">
        <f>IF($F530="","",IFERROR(INDEX(rngEPseq,MATCH($F530,rngEPcode,0)),""))</f>
        <v/>
      </c>
      <c r="J530" s="15">
        <f>IF($F530="","",IFERROR(INDEX(rngEPpass,MATCH($F530,rngEPcode,0)),cfgPassingScore))</f>
        <v/>
      </c>
      <c r="K530" s="14" t="n"/>
      <c r="L530" s="14" t="n"/>
      <c r="M530" s="15">
        <f>IF($C530="","",IF($L530="","",IF($K530=1,IF(COUNTIFS(nrES_PID,$D530,nrES_Code,$F530,nrES_Att,2)&gt;0,"",$L530),IF(COUNTIFS(nrES_PID,$D530,nrES_Code,$F530,nrES_Att,1)=0,$L530,IF($L530&gt;=$J530,cfgRetakeRecordedCap,SUMIFS(nrES_Raw,nrES_PID,$D530,nrES_Code,$F530,nrES_Att,1))))))</f>
        <v/>
      </c>
      <c r="N530" s="15">
        <f>IF($C530="","",IF($L530="","",IF($L530&gt;=$J530,"Yes","No")))</f>
        <v/>
      </c>
      <c r="O530" s="15">
        <f>IF($C530="","",IF($M530="","",IF($M530&gt;=$J530,"Yes","No")))</f>
        <v/>
      </c>
      <c r="P530" s="15">
        <f>IF($C530="","",IF($K530="","",IF(COUNTIFS(nrES_PID,$D530,nrES_Code,$F530,nrES_Att,"&gt;"&amp;$K530)=0,"Yes","No")))</f>
        <v/>
      </c>
      <c r="Q530" s="15">
        <f>IF($C530="","",IF($L530="","",IF(AND($K530=1,$L530&lt;$J530,COUNTIFS(nrES_PID,$D530,nrES_Code,$F530,nrES_Att,2)=0),"Yes","No")))</f>
        <v/>
      </c>
      <c r="R530" s="15">
        <f>IF($C530="","",IF($L530="","",IF(AND($K530=2,$L530&lt;$J530,COUNTIFS(nrES_PID,$D530,nrES_Code,$F530,nrES_Att,1)&gt;0),"Yes","No")))</f>
        <v/>
      </c>
      <c r="S530" s="16" t="n"/>
      <c r="T530" s="17">
        <f>IF($Q530&lt;&gt;"Yes","",IF($S530="","(enter date)",_xlfn.LET(_xlpm.dn,IFERROR(_xlfn.XLOOKUP($S530,nrCDdate,nrCDnum),""),IF(_xlpm.dn="","(not a class day)",IFERROR(_xlfn.XLOOKUP(_xlpm.dn+cfgRetestClassDays,nrCDnum,nrCDdate),"")))))</f>
        <v/>
      </c>
      <c r="U530" s="15">
        <f>IF($Q530&lt;&gt;"Yes","",IF(COUNTIFS(nrES_PID,$D530,nrES_Code,$F530,nrES_Att,2)&gt;0,"Retested",IF(OR($T530="",NOT(ISNUMBER($T530))),"Pending",IF(TODAY()&gt;$T530,"OVERDUE","Due "&amp;TEXT($T530,"mm/dd")))))</f>
        <v/>
      </c>
      <c r="V530" s="14" t="n"/>
      <c r="W530" s="14" t="n"/>
    </row>
    <row r="531">
      <c r="B531" s="15">
        <f>IF($C531="","",$D531&amp;"-"&amp;$F531&amp;"-"&amp;$K531)</f>
        <v/>
      </c>
      <c r="C531" s="14" t="n"/>
      <c r="D531" s="15">
        <f>IF($C531="","",IFERROR(INDEX(rngCadetPIDs,MATCH($C531,rngCadetNames,0)),"?"))</f>
        <v/>
      </c>
      <c r="E531" s="15">
        <f>IF($D531="","",IFERROR(INDEX(nrCadetAgency,MATCH($D531,rngCadetPIDs,0)),""))</f>
        <v/>
      </c>
      <c r="F531" s="14" t="n"/>
      <c r="G531" s="15">
        <f>IF($F531="","",IFERROR(INDEX(rngEPname,MATCH($F531,rngEPcode,0)),"?"))</f>
        <v/>
      </c>
      <c r="H531" s="15">
        <f>IF($F531="","",IFERROR(INDEX(rngEPtype,MATCH($F531,rngEPcode,0)),"?"))</f>
        <v/>
      </c>
      <c r="I531" s="15">
        <f>IF($F531="","",IFERROR(INDEX(rngEPseq,MATCH($F531,rngEPcode,0)),""))</f>
        <v/>
      </c>
      <c r="J531" s="15">
        <f>IF($F531="","",IFERROR(INDEX(rngEPpass,MATCH($F531,rngEPcode,0)),cfgPassingScore))</f>
        <v/>
      </c>
      <c r="K531" s="14" t="n"/>
      <c r="L531" s="14" t="n"/>
      <c r="M531" s="15">
        <f>IF($C531="","",IF($L531="","",IF($K531=1,IF(COUNTIFS(nrES_PID,$D531,nrES_Code,$F531,nrES_Att,2)&gt;0,"",$L531),IF(COUNTIFS(nrES_PID,$D531,nrES_Code,$F531,nrES_Att,1)=0,$L531,IF($L531&gt;=$J531,cfgRetakeRecordedCap,SUMIFS(nrES_Raw,nrES_PID,$D531,nrES_Code,$F531,nrES_Att,1))))))</f>
        <v/>
      </c>
      <c r="N531" s="15">
        <f>IF($C531="","",IF($L531="","",IF($L531&gt;=$J531,"Yes","No")))</f>
        <v/>
      </c>
      <c r="O531" s="15">
        <f>IF($C531="","",IF($M531="","",IF($M531&gt;=$J531,"Yes","No")))</f>
        <v/>
      </c>
      <c r="P531" s="15">
        <f>IF($C531="","",IF($K531="","",IF(COUNTIFS(nrES_PID,$D531,nrES_Code,$F531,nrES_Att,"&gt;"&amp;$K531)=0,"Yes","No")))</f>
        <v/>
      </c>
      <c r="Q531" s="15">
        <f>IF($C531="","",IF($L531="","",IF(AND($K531=1,$L531&lt;$J531,COUNTIFS(nrES_PID,$D531,nrES_Code,$F531,nrES_Att,2)=0),"Yes","No")))</f>
        <v/>
      </c>
      <c r="R531" s="15">
        <f>IF($C531="","",IF($L531="","",IF(AND($K531=2,$L531&lt;$J531,COUNTIFS(nrES_PID,$D531,nrES_Code,$F531,nrES_Att,1)&gt;0),"Yes","No")))</f>
        <v/>
      </c>
      <c r="S531" s="16" t="n"/>
      <c r="T531" s="17">
        <f>IF($Q531&lt;&gt;"Yes","",IF($S531="","(enter date)",_xlfn.LET(_xlpm.dn,IFERROR(_xlfn.XLOOKUP($S531,nrCDdate,nrCDnum),""),IF(_xlpm.dn="","(not a class day)",IFERROR(_xlfn.XLOOKUP(_xlpm.dn+cfgRetestClassDays,nrCDnum,nrCDdate),"")))))</f>
        <v/>
      </c>
      <c r="U531" s="15">
        <f>IF($Q531&lt;&gt;"Yes","",IF(COUNTIFS(nrES_PID,$D531,nrES_Code,$F531,nrES_Att,2)&gt;0,"Retested",IF(OR($T531="",NOT(ISNUMBER($T531))),"Pending",IF(TODAY()&gt;$T531,"OVERDUE","Due "&amp;TEXT($T531,"mm/dd")))))</f>
        <v/>
      </c>
      <c r="V531" s="14" t="n"/>
      <c r="W531" s="14" t="n"/>
    </row>
    <row r="532">
      <c r="B532" s="15">
        <f>IF($C532="","",$D532&amp;"-"&amp;$F532&amp;"-"&amp;$K532)</f>
        <v/>
      </c>
      <c r="C532" s="14" t="n"/>
      <c r="D532" s="15">
        <f>IF($C532="","",IFERROR(INDEX(rngCadetPIDs,MATCH($C532,rngCadetNames,0)),"?"))</f>
        <v/>
      </c>
      <c r="E532" s="15">
        <f>IF($D532="","",IFERROR(INDEX(nrCadetAgency,MATCH($D532,rngCadetPIDs,0)),""))</f>
        <v/>
      </c>
      <c r="F532" s="14" t="n"/>
      <c r="G532" s="15">
        <f>IF($F532="","",IFERROR(INDEX(rngEPname,MATCH($F532,rngEPcode,0)),"?"))</f>
        <v/>
      </c>
      <c r="H532" s="15">
        <f>IF($F532="","",IFERROR(INDEX(rngEPtype,MATCH($F532,rngEPcode,0)),"?"))</f>
        <v/>
      </c>
      <c r="I532" s="15">
        <f>IF($F532="","",IFERROR(INDEX(rngEPseq,MATCH($F532,rngEPcode,0)),""))</f>
        <v/>
      </c>
      <c r="J532" s="15">
        <f>IF($F532="","",IFERROR(INDEX(rngEPpass,MATCH($F532,rngEPcode,0)),cfgPassingScore))</f>
        <v/>
      </c>
      <c r="K532" s="14" t="n"/>
      <c r="L532" s="14" t="n"/>
      <c r="M532" s="15">
        <f>IF($C532="","",IF($L532="","",IF($K532=1,IF(COUNTIFS(nrES_PID,$D532,nrES_Code,$F532,nrES_Att,2)&gt;0,"",$L532),IF(COUNTIFS(nrES_PID,$D532,nrES_Code,$F532,nrES_Att,1)=0,$L532,IF($L532&gt;=$J532,cfgRetakeRecordedCap,SUMIFS(nrES_Raw,nrES_PID,$D532,nrES_Code,$F532,nrES_Att,1))))))</f>
        <v/>
      </c>
      <c r="N532" s="15">
        <f>IF($C532="","",IF($L532="","",IF($L532&gt;=$J532,"Yes","No")))</f>
        <v/>
      </c>
      <c r="O532" s="15">
        <f>IF($C532="","",IF($M532="","",IF($M532&gt;=$J532,"Yes","No")))</f>
        <v/>
      </c>
      <c r="P532" s="15">
        <f>IF($C532="","",IF($K532="","",IF(COUNTIFS(nrES_PID,$D532,nrES_Code,$F532,nrES_Att,"&gt;"&amp;$K532)=0,"Yes","No")))</f>
        <v/>
      </c>
      <c r="Q532" s="15">
        <f>IF($C532="","",IF($L532="","",IF(AND($K532=1,$L532&lt;$J532,COUNTIFS(nrES_PID,$D532,nrES_Code,$F532,nrES_Att,2)=0),"Yes","No")))</f>
        <v/>
      </c>
      <c r="R532" s="15">
        <f>IF($C532="","",IF($L532="","",IF(AND($K532=2,$L532&lt;$J532,COUNTIFS(nrES_PID,$D532,nrES_Code,$F532,nrES_Att,1)&gt;0),"Yes","No")))</f>
        <v/>
      </c>
      <c r="S532" s="16" t="n"/>
      <c r="T532" s="17">
        <f>IF($Q532&lt;&gt;"Yes","",IF($S532="","(enter date)",_xlfn.LET(_xlpm.dn,IFERROR(_xlfn.XLOOKUP($S532,nrCDdate,nrCDnum),""),IF(_xlpm.dn="","(not a class day)",IFERROR(_xlfn.XLOOKUP(_xlpm.dn+cfgRetestClassDays,nrCDnum,nrCDdate),"")))))</f>
        <v/>
      </c>
      <c r="U532" s="15">
        <f>IF($Q532&lt;&gt;"Yes","",IF(COUNTIFS(nrES_PID,$D532,nrES_Code,$F532,nrES_Att,2)&gt;0,"Retested",IF(OR($T532="",NOT(ISNUMBER($T532))),"Pending",IF(TODAY()&gt;$T532,"OVERDUE","Due "&amp;TEXT($T532,"mm/dd")))))</f>
        <v/>
      </c>
      <c r="V532" s="14" t="n"/>
      <c r="W532" s="14" t="n"/>
    </row>
    <row r="533">
      <c r="B533" s="15">
        <f>IF($C533="","",$D533&amp;"-"&amp;$F533&amp;"-"&amp;$K533)</f>
        <v/>
      </c>
      <c r="C533" s="14" t="n"/>
      <c r="D533" s="15">
        <f>IF($C533="","",IFERROR(INDEX(rngCadetPIDs,MATCH($C533,rngCadetNames,0)),"?"))</f>
        <v/>
      </c>
      <c r="E533" s="15">
        <f>IF($D533="","",IFERROR(INDEX(nrCadetAgency,MATCH($D533,rngCadetPIDs,0)),""))</f>
        <v/>
      </c>
      <c r="F533" s="14" t="n"/>
      <c r="G533" s="15">
        <f>IF($F533="","",IFERROR(INDEX(rngEPname,MATCH($F533,rngEPcode,0)),"?"))</f>
        <v/>
      </c>
      <c r="H533" s="15">
        <f>IF($F533="","",IFERROR(INDEX(rngEPtype,MATCH($F533,rngEPcode,0)),"?"))</f>
        <v/>
      </c>
      <c r="I533" s="15">
        <f>IF($F533="","",IFERROR(INDEX(rngEPseq,MATCH($F533,rngEPcode,0)),""))</f>
        <v/>
      </c>
      <c r="J533" s="15">
        <f>IF($F533="","",IFERROR(INDEX(rngEPpass,MATCH($F533,rngEPcode,0)),cfgPassingScore))</f>
        <v/>
      </c>
      <c r="K533" s="14" t="n"/>
      <c r="L533" s="14" t="n"/>
      <c r="M533" s="15">
        <f>IF($C533="","",IF($L533="","",IF($K533=1,IF(COUNTIFS(nrES_PID,$D533,nrES_Code,$F533,nrES_Att,2)&gt;0,"",$L533),IF(COUNTIFS(nrES_PID,$D533,nrES_Code,$F533,nrES_Att,1)=0,$L533,IF($L533&gt;=$J533,cfgRetakeRecordedCap,SUMIFS(nrES_Raw,nrES_PID,$D533,nrES_Code,$F533,nrES_Att,1))))))</f>
        <v/>
      </c>
      <c r="N533" s="15">
        <f>IF($C533="","",IF($L533="","",IF($L533&gt;=$J533,"Yes","No")))</f>
        <v/>
      </c>
      <c r="O533" s="15">
        <f>IF($C533="","",IF($M533="","",IF($M533&gt;=$J533,"Yes","No")))</f>
        <v/>
      </c>
      <c r="P533" s="15">
        <f>IF($C533="","",IF($K533="","",IF(COUNTIFS(nrES_PID,$D533,nrES_Code,$F533,nrES_Att,"&gt;"&amp;$K533)=0,"Yes","No")))</f>
        <v/>
      </c>
      <c r="Q533" s="15">
        <f>IF($C533="","",IF($L533="","",IF(AND($K533=1,$L533&lt;$J533,COUNTIFS(nrES_PID,$D533,nrES_Code,$F533,nrES_Att,2)=0),"Yes","No")))</f>
        <v/>
      </c>
      <c r="R533" s="15">
        <f>IF($C533="","",IF($L533="","",IF(AND($K533=2,$L533&lt;$J533,COUNTIFS(nrES_PID,$D533,nrES_Code,$F533,nrES_Att,1)&gt;0),"Yes","No")))</f>
        <v/>
      </c>
      <c r="S533" s="16" t="n"/>
      <c r="T533" s="17">
        <f>IF($Q533&lt;&gt;"Yes","",IF($S533="","(enter date)",_xlfn.LET(_xlpm.dn,IFERROR(_xlfn.XLOOKUP($S533,nrCDdate,nrCDnum),""),IF(_xlpm.dn="","(not a class day)",IFERROR(_xlfn.XLOOKUP(_xlpm.dn+cfgRetestClassDays,nrCDnum,nrCDdate),"")))))</f>
        <v/>
      </c>
      <c r="U533" s="15">
        <f>IF($Q533&lt;&gt;"Yes","",IF(COUNTIFS(nrES_PID,$D533,nrES_Code,$F533,nrES_Att,2)&gt;0,"Retested",IF(OR($T533="",NOT(ISNUMBER($T533))),"Pending",IF(TODAY()&gt;$T533,"OVERDUE","Due "&amp;TEXT($T533,"mm/dd")))))</f>
        <v/>
      </c>
      <c r="V533" s="14" t="n"/>
      <c r="W533" s="14" t="n"/>
    </row>
    <row r="534">
      <c r="B534" s="15">
        <f>IF($C534="","",$D534&amp;"-"&amp;$F534&amp;"-"&amp;$K534)</f>
        <v/>
      </c>
      <c r="C534" s="14" t="n"/>
      <c r="D534" s="15">
        <f>IF($C534="","",IFERROR(INDEX(rngCadetPIDs,MATCH($C534,rngCadetNames,0)),"?"))</f>
        <v/>
      </c>
      <c r="E534" s="15">
        <f>IF($D534="","",IFERROR(INDEX(nrCadetAgency,MATCH($D534,rngCadetPIDs,0)),""))</f>
        <v/>
      </c>
      <c r="F534" s="14" t="n"/>
      <c r="G534" s="15">
        <f>IF($F534="","",IFERROR(INDEX(rngEPname,MATCH($F534,rngEPcode,0)),"?"))</f>
        <v/>
      </c>
      <c r="H534" s="15">
        <f>IF($F534="","",IFERROR(INDEX(rngEPtype,MATCH($F534,rngEPcode,0)),"?"))</f>
        <v/>
      </c>
      <c r="I534" s="15">
        <f>IF($F534="","",IFERROR(INDEX(rngEPseq,MATCH($F534,rngEPcode,0)),""))</f>
        <v/>
      </c>
      <c r="J534" s="15">
        <f>IF($F534="","",IFERROR(INDEX(rngEPpass,MATCH($F534,rngEPcode,0)),cfgPassingScore))</f>
        <v/>
      </c>
      <c r="K534" s="14" t="n"/>
      <c r="L534" s="14" t="n"/>
      <c r="M534" s="15">
        <f>IF($C534="","",IF($L534="","",IF($K534=1,IF(COUNTIFS(nrES_PID,$D534,nrES_Code,$F534,nrES_Att,2)&gt;0,"",$L534),IF(COUNTIFS(nrES_PID,$D534,nrES_Code,$F534,nrES_Att,1)=0,$L534,IF($L534&gt;=$J534,cfgRetakeRecordedCap,SUMIFS(nrES_Raw,nrES_PID,$D534,nrES_Code,$F534,nrES_Att,1))))))</f>
        <v/>
      </c>
      <c r="N534" s="15">
        <f>IF($C534="","",IF($L534="","",IF($L534&gt;=$J534,"Yes","No")))</f>
        <v/>
      </c>
      <c r="O534" s="15">
        <f>IF($C534="","",IF($M534="","",IF($M534&gt;=$J534,"Yes","No")))</f>
        <v/>
      </c>
      <c r="P534" s="15">
        <f>IF($C534="","",IF($K534="","",IF(COUNTIFS(nrES_PID,$D534,nrES_Code,$F534,nrES_Att,"&gt;"&amp;$K534)=0,"Yes","No")))</f>
        <v/>
      </c>
      <c r="Q534" s="15">
        <f>IF($C534="","",IF($L534="","",IF(AND($K534=1,$L534&lt;$J534,COUNTIFS(nrES_PID,$D534,nrES_Code,$F534,nrES_Att,2)=0),"Yes","No")))</f>
        <v/>
      </c>
      <c r="R534" s="15">
        <f>IF($C534="","",IF($L534="","",IF(AND($K534=2,$L534&lt;$J534,COUNTIFS(nrES_PID,$D534,nrES_Code,$F534,nrES_Att,1)&gt;0),"Yes","No")))</f>
        <v/>
      </c>
      <c r="S534" s="16" t="n"/>
      <c r="T534" s="17">
        <f>IF($Q534&lt;&gt;"Yes","",IF($S534="","(enter date)",_xlfn.LET(_xlpm.dn,IFERROR(_xlfn.XLOOKUP($S534,nrCDdate,nrCDnum),""),IF(_xlpm.dn="","(not a class day)",IFERROR(_xlfn.XLOOKUP(_xlpm.dn+cfgRetestClassDays,nrCDnum,nrCDdate),"")))))</f>
        <v/>
      </c>
      <c r="U534" s="15">
        <f>IF($Q534&lt;&gt;"Yes","",IF(COUNTIFS(nrES_PID,$D534,nrES_Code,$F534,nrES_Att,2)&gt;0,"Retested",IF(OR($T534="",NOT(ISNUMBER($T534))),"Pending",IF(TODAY()&gt;$T534,"OVERDUE","Due "&amp;TEXT($T534,"mm/dd")))))</f>
        <v/>
      </c>
      <c r="V534" s="14" t="n"/>
      <c r="W534" s="14" t="n"/>
    </row>
    <row r="535">
      <c r="B535" s="15">
        <f>IF($C535="","",$D535&amp;"-"&amp;$F535&amp;"-"&amp;$K535)</f>
        <v/>
      </c>
      <c r="C535" s="14" t="n"/>
      <c r="D535" s="15">
        <f>IF($C535="","",IFERROR(INDEX(rngCadetPIDs,MATCH($C535,rngCadetNames,0)),"?"))</f>
        <v/>
      </c>
      <c r="E535" s="15">
        <f>IF($D535="","",IFERROR(INDEX(nrCadetAgency,MATCH($D535,rngCadetPIDs,0)),""))</f>
        <v/>
      </c>
      <c r="F535" s="14" t="n"/>
      <c r="G535" s="15">
        <f>IF($F535="","",IFERROR(INDEX(rngEPname,MATCH($F535,rngEPcode,0)),"?"))</f>
        <v/>
      </c>
      <c r="H535" s="15">
        <f>IF($F535="","",IFERROR(INDEX(rngEPtype,MATCH($F535,rngEPcode,0)),"?"))</f>
        <v/>
      </c>
      <c r="I535" s="15">
        <f>IF($F535="","",IFERROR(INDEX(rngEPseq,MATCH($F535,rngEPcode,0)),""))</f>
        <v/>
      </c>
      <c r="J535" s="15">
        <f>IF($F535="","",IFERROR(INDEX(rngEPpass,MATCH($F535,rngEPcode,0)),cfgPassingScore))</f>
        <v/>
      </c>
      <c r="K535" s="14" t="n"/>
      <c r="L535" s="14" t="n"/>
      <c r="M535" s="15">
        <f>IF($C535="","",IF($L535="","",IF($K535=1,IF(COUNTIFS(nrES_PID,$D535,nrES_Code,$F535,nrES_Att,2)&gt;0,"",$L535),IF(COUNTIFS(nrES_PID,$D535,nrES_Code,$F535,nrES_Att,1)=0,$L535,IF($L535&gt;=$J535,cfgRetakeRecordedCap,SUMIFS(nrES_Raw,nrES_PID,$D535,nrES_Code,$F535,nrES_Att,1))))))</f>
        <v/>
      </c>
      <c r="N535" s="15">
        <f>IF($C535="","",IF($L535="","",IF($L535&gt;=$J535,"Yes","No")))</f>
        <v/>
      </c>
      <c r="O535" s="15">
        <f>IF($C535="","",IF($M535="","",IF($M535&gt;=$J535,"Yes","No")))</f>
        <v/>
      </c>
      <c r="P535" s="15">
        <f>IF($C535="","",IF($K535="","",IF(COUNTIFS(nrES_PID,$D535,nrES_Code,$F535,nrES_Att,"&gt;"&amp;$K535)=0,"Yes","No")))</f>
        <v/>
      </c>
      <c r="Q535" s="15">
        <f>IF($C535="","",IF($L535="","",IF(AND($K535=1,$L535&lt;$J535,COUNTIFS(nrES_PID,$D535,nrES_Code,$F535,nrES_Att,2)=0),"Yes","No")))</f>
        <v/>
      </c>
      <c r="R535" s="15">
        <f>IF($C535="","",IF($L535="","",IF(AND($K535=2,$L535&lt;$J535,COUNTIFS(nrES_PID,$D535,nrES_Code,$F535,nrES_Att,1)&gt;0),"Yes","No")))</f>
        <v/>
      </c>
      <c r="S535" s="16" t="n"/>
      <c r="T535" s="17">
        <f>IF($Q535&lt;&gt;"Yes","",IF($S535="","(enter date)",_xlfn.LET(_xlpm.dn,IFERROR(_xlfn.XLOOKUP($S535,nrCDdate,nrCDnum),""),IF(_xlpm.dn="","(not a class day)",IFERROR(_xlfn.XLOOKUP(_xlpm.dn+cfgRetestClassDays,nrCDnum,nrCDdate),"")))))</f>
        <v/>
      </c>
      <c r="U535" s="15">
        <f>IF($Q535&lt;&gt;"Yes","",IF(COUNTIFS(nrES_PID,$D535,nrES_Code,$F535,nrES_Att,2)&gt;0,"Retested",IF(OR($T535="",NOT(ISNUMBER($T535))),"Pending",IF(TODAY()&gt;$T535,"OVERDUE","Due "&amp;TEXT($T535,"mm/dd")))))</f>
        <v/>
      </c>
      <c r="V535" s="14" t="n"/>
      <c r="W535" s="14" t="n"/>
    </row>
    <row r="536">
      <c r="B536" s="15">
        <f>IF($C536="","",$D536&amp;"-"&amp;$F536&amp;"-"&amp;$K536)</f>
        <v/>
      </c>
      <c r="C536" s="14" t="n"/>
      <c r="D536" s="15">
        <f>IF($C536="","",IFERROR(INDEX(rngCadetPIDs,MATCH($C536,rngCadetNames,0)),"?"))</f>
        <v/>
      </c>
      <c r="E536" s="15">
        <f>IF($D536="","",IFERROR(INDEX(nrCadetAgency,MATCH($D536,rngCadetPIDs,0)),""))</f>
        <v/>
      </c>
      <c r="F536" s="14" t="n"/>
      <c r="G536" s="15">
        <f>IF($F536="","",IFERROR(INDEX(rngEPname,MATCH($F536,rngEPcode,0)),"?"))</f>
        <v/>
      </c>
      <c r="H536" s="15">
        <f>IF($F536="","",IFERROR(INDEX(rngEPtype,MATCH($F536,rngEPcode,0)),"?"))</f>
        <v/>
      </c>
      <c r="I536" s="15">
        <f>IF($F536="","",IFERROR(INDEX(rngEPseq,MATCH($F536,rngEPcode,0)),""))</f>
        <v/>
      </c>
      <c r="J536" s="15">
        <f>IF($F536="","",IFERROR(INDEX(rngEPpass,MATCH($F536,rngEPcode,0)),cfgPassingScore))</f>
        <v/>
      </c>
      <c r="K536" s="14" t="n"/>
      <c r="L536" s="14" t="n"/>
      <c r="M536" s="15">
        <f>IF($C536="","",IF($L536="","",IF($K536=1,IF(COUNTIFS(nrES_PID,$D536,nrES_Code,$F536,nrES_Att,2)&gt;0,"",$L536),IF(COUNTIFS(nrES_PID,$D536,nrES_Code,$F536,nrES_Att,1)=0,$L536,IF($L536&gt;=$J536,cfgRetakeRecordedCap,SUMIFS(nrES_Raw,nrES_PID,$D536,nrES_Code,$F536,nrES_Att,1))))))</f>
        <v/>
      </c>
      <c r="N536" s="15">
        <f>IF($C536="","",IF($L536="","",IF($L536&gt;=$J536,"Yes","No")))</f>
        <v/>
      </c>
      <c r="O536" s="15">
        <f>IF($C536="","",IF($M536="","",IF($M536&gt;=$J536,"Yes","No")))</f>
        <v/>
      </c>
      <c r="P536" s="15">
        <f>IF($C536="","",IF($K536="","",IF(COUNTIFS(nrES_PID,$D536,nrES_Code,$F536,nrES_Att,"&gt;"&amp;$K536)=0,"Yes","No")))</f>
        <v/>
      </c>
      <c r="Q536" s="15">
        <f>IF($C536="","",IF($L536="","",IF(AND($K536=1,$L536&lt;$J536,COUNTIFS(nrES_PID,$D536,nrES_Code,$F536,nrES_Att,2)=0),"Yes","No")))</f>
        <v/>
      </c>
      <c r="R536" s="15">
        <f>IF($C536="","",IF($L536="","",IF(AND($K536=2,$L536&lt;$J536,COUNTIFS(nrES_PID,$D536,nrES_Code,$F536,nrES_Att,1)&gt;0),"Yes","No")))</f>
        <v/>
      </c>
      <c r="S536" s="16" t="n"/>
      <c r="T536" s="17">
        <f>IF($Q536&lt;&gt;"Yes","",IF($S536="","(enter date)",_xlfn.LET(_xlpm.dn,IFERROR(_xlfn.XLOOKUP($S536,nrCDdate,nrCDnum),""),IF(_xlpm.dn="","(not a class day)",IFERROR(_xlfn.XLOOKUP(_xlpm.dn+cfgRetestClassDays,nrCDnum,nrCDdate),"")))))</f>
        <v/>
      </c>
      <c r="U536" s="15">
        <f>IF($Q536&lt;&gt;"Yes","",IF(COUNTIFS(nrES_PID,$D536,nrES_Code,$F536,nrES_Att,2)&gt;0,"Retested",IF(OR($T536="",NOT(ISNUMBER($T536))),"Pending",IF(TODAY()&gt;$T536,"OVERDUE","Due "&amp;TEXT($T536,"mm/dd")))))</f>
        <v/>
      </c>
      <c r="V536" s="14" t="n"/>
      <c r="W536" s="14" t="n"/>
    </row>
    <row r="537">
      <c r="B537" s="15">
        <f>IF($C537="","",$D537&amp;"-"&amp;$F537&amp;"-"&amp;$K537)</f>
        <v/>
      </c>
      <c r="C537" s="14" t="n"/>
      <c r="D537" s="15">
        <f>IF($C537="","",IFERROR(INDEX(rngCadetPIDs,MATCH($C537,rngCadetNames,0)),"?"))</f>
        <v/>
      </c>
      <c r="E537" s="15">
        <f>IF($D537="","",IFERROR(INDEX(nrCadetAgency,MATCH($D537,rngCadetPIDs,0)),""))</f>
        <v/>
      </c>
      <c r="F537" s="14" t="n"/>
      <c r="G537" s="15">
        <f>IF($F537="","",IFERROR(INDEX(rngEPname,MATCH($F537,rngEPcode,0)),"?"))</f>
        <v/>
      </c>
      <c r="H537" s="15">
        <f>IF($F537="","",IFERROR(INDEX(rngEPtype,MATCH($F537,rngEPcode,0)),"?"))</f>
        <v/>
      </c>
      <c r="I537" s="15">
        <f>IF($F537="","",IFERROR(INDEX(rngEPseq,MATCH($F537,rngEPcode,0)),""))</f>
        <v/>
      </c>
      <c r="J537" s="15">
        <f>IF($F537="","",IFERROR(INDEX(rngEPpass,MATCH($F537,rngEPcode,0)),cfgPassingScore))</f>
        <v/>
      </c>
      <c r="K537" s="14" t="n"/>
      <c r="L537" s="14" t="n"/>
      <c r="M537" s="15">
        <f>IF($C537="","",IF($L537="","",IF($K537=1,IF(COUNTIFS(nrES_PID,$D537,nrES_Code,$F537,nrES_Att,2)&gt;0,"",$L537),IF(COUNTIFS(nrES_PID,$D537,nrES_Code,$F537,nrES_Att,1)=0,$L537,IF($L537&gt;=$J537,cfgRetakeRecordedCap,SUMIFS(nrES_Raw,nrES_PID,$D537,nrES_Code,$F537,nrES_Att,1))))))</f>
        <v/>
      </c>
      <c r="N537" s="15">
        <f>IF($C537="","",IF($L537="","",IF($L537&gt;=$J537,"Yes","No")))</f>
        <v/>
      </c>
      <c r="O537" s="15">
        <f>IF($C537="","",IF($M537="","",IF($M537&gt;=$J537,"Yes","No")))</f>
        <v/>
      </c>
      <c r="P537" s="15">
        <f>IF($C537="","",IF($K537="","",IF(COUNTIFS(nrES_PID,$D537,nrES_Code,$F537,nrES_Att,"&gt;"&amp;$K537)=0,"Yes","No")))</f>
        <v/>
      </c>
      <c r="Q537" s="15">
        <f>IF($C537="","",IF($L537="","",IF(AND($K537=1,$L537&lt;$J537,COUNTIFS(nrES_PID,$D537,nrES_Code,$F537,nrES_Att,2)=0),"Yes","No")))</f>
        <v/>
      </c>
      <c r="R537" s="15">
        <f>IF($C537="","",IF($L537="","",IF(AND($K537=2,$L537&lt;$J537,COUNTIFS(nrES_PID,$D537,nrES_Code,$F537,nrES_Att,1)&gt;0),"Yes","No")))</f>
        <v/>
      </c>
      <c r="S537" s="16" t="n"/>
      <c r="T537" s="17">
        <f>IF($Q537&lt;&gt;"Yes","",IF($S537="","(enter date)",_xlfn.LET(_xlpm.dn,IFERROR(_xlfn.XLOOKUP($S537,nrCDdate,nrCDnum),""),IF(_xlpm.dn="","(not a class day)",IFERROR(_xlfn.XLOOKUP(_xlpm.dn+cfgRetestClassDays,nrCDnum,nrCDdate),"")))))</f>
        <v/>
      </c>
      <c r="U537" s="15">
        <f>IF($Q537&lt;&gt;"Yes","",IF(COUNTIFS(nrES_PID,$D537,nrES_Code,$F537,nrES_Att,2)&gt;0,"Retested",IF(OR($T537="",NOT(ISNUMBER($T537))),"Pending",IF(TODAY()&gt;$T537,"OVERDUE","Due "&amp;TEXT($T537,"mm/dd")))))</f>
        <v/>
      </c>
      <c r="V537" s="14" t="n"/>
      <c r="W537" s="14" t="n"/>
    </row>
    <row r="538">
      <c r="B538" s="15">
        <f>IF($C538="","",$D538&amp;"-"&amp;$F538&amp;"-"&amp;$K538)</f>
        <v/>
      </c>
      <c r="C538" s="14" t="n"/>
      <c r="D538" s="15">
        <f>IF($C538="","",IFERROR(INDEX(rngCadetPIDs,MATCH($C538,rngCadetNames,0)),"?"))</f>
        <v/>
      </c>
      <c r="E538" s="15">
        <f>IF($D538="","",IFERROR(INDEX(nrCadetAgency,MATCH($D538,rngCadetPIDs,0)),""))</f>
        <v/>
      </c>
      <c r="F538" s="14" t="n"/>
      <c r="G538" s="15">
        <f>IF($F538="","",IFERROR(INDEX(rngEPname,MATCH($F538,rngEPcode,0)),"?"))</f>
        <v/>
      </c>
      <c r="H538" s="15">
        <f>IF($F538="","",IFERROR(INDEX(rngEPtype,MATCH($F538,rngEPcode,0)),"?"))</f>
        <v/>
      </c>
      <c r="I538" s="15">
        <f>IF($F538="","",IFERROR(INDEX(rngEPseq,MATCH($F538,rngEPcode,0)),""))</f>
        <v/>
      </c>
      <c r="J538" s="15">
        <f>IF($F538="","",IFERROR(INDEX(rngEPpass,MATCH($F538,rngEPcode,0)),cfgPassingScore))</f>
        <v/>
      </c>
      <c r="K538" s="14" t="n"/>
      <c r="L538" s="14" t="n"/>
      <c r="M538" s="15">
        <f>IF($C538="","",IF($L538="","",IF($K538=1,IF(COUNTIFS(nrES_PID,$D538,nrES_Code,$F538,nrES_Att,2)&gt;0,"",$L538),IF(COUNTIFS(nrES_PID,$D538,nrES_Code,$F538,nrES_Att,1)=0,$L538,IF($L538&gt;=$J538,cfgRetakeRecordedCap,SUMIFS(nrES_Raw,nrES_PID,$D538,nrES_Code,$F538,nrES_Att,1))))))</f>
        <v/>
      </c>
      <c r="N538" s="15">
        <f>IF($C538="","",IF($L538="","",IF($L538&gt;=$J538,"Yes","No")))</f>
        <v/>
      </c>
      <c r="O538" s="15">
        <f>IF($C538="","",IF($M538="","",IF($M538&gt;=$J538,"Yes","No")))</f>
        <v/>
      </c>
      <c r="P538" s="15">
        <f>IF($C538="","",IF($K538="","",IF(COUNTIFS(nrES_PID,$D538,nrES_Code,$F538,nrES_Att,"&gt;"&amp;$K538)=0,"Yes","No")))</f>
        <v/>
      </c>
      <c r="Q538" s="15">
        <f>IF($C538="","",IF($L538="","",IF(AND($K538=1,$L538&lt;$J538,COUNTIFS(nrES_PID,$D538,nrES_Code,$F538,nrES_Att,2)=0),"Yes","No")))</f>
        <v/>
      </c>
      <c r="R538" s="15">
        <f>IF($C538="","",IF($L538="","",IF(AND($K538=2,$L538&lt;$J538,COUNTIFS(nrES_PID,$D538,nrES_Code,$F538,nrES_Att,1)&gt;0),"Yes","No")))</f>
        <v/>
      </c>
      <c r="S538" s="16" t="n"/>
      <c r="T538" s="17">
        <f>IF($Q538&lt;&gt;"Yes","",IF($S538="","(enter date)",_xlfn.LET(_xlpm.dn,IFERROR(_xlfn.XLOOKUP($S538,nrCDdate,nrCDnum),""),IF(_xlpm.dn="","(not a class day)",IFERROR(_xlfn.XLOOKUP(_xlpm.dn+cfgRetestClassDays,nrCDnum,nrCDdate),"")))))</f>
        <v/>
      </c>
      <c r="U538" s="15">
        <f>IF($Q538&lt;&gt;"Yes","",IF(COUNTIFS(nrES_PID,$D538,nrES_Code,$F538,nrES_Att,2)&gt;0,"Retested",IF(OR($T538="",NOT(ISNUMBER($T538))),"Pending",IF(TODAY()&gt;$T538,"OVERDUE","Due "&amp;TEXT($T538,"mm/dd")))))</f>
        <v/>
      </c>
      <c r="V538" s="14" t="n"/>
      <c r="W538" s="14" t="n"/>
    </row>
    <row r="539">
      <c r="B539" s="15">
        <f>IF($C539="","",$D539&amp;"-"&amp;$F539&amp;"-"&amp;$K539)</f>
        <v/>
      </c>
      <c r="C539" s="14" t="n"/>
      <c r="D539" s="15">
        <f>IF($C539="","",IFERROR(INDEX(rngCadetPIDs,MATCH($C539,rngCadetNames,0)),"?"))</f>
        <v/>
      </c>
      <c r="E539" s="15">
        <f>IF($D539="","",IFERROR(INDEX(nrCadetAgency,MATCH($D539,rngCadetPIDs,0)),""))</f>
        <v/>
      </c>
      <c r="F539" s="14" t="n"/>
      <c r="G539" s="15">
        <f>IF($F539="","",IFERROR(INDEX(rngEPname,MATCH($F539,rngEPcode,0)),"?"))</f>
        <v/>
      </c>
      <c r="H539" s="15">
        <f>IF($F539="","",IFERROR(INDEX(rngEPtype,MATCH($F539,rngEPcode,0)),"?"))</f>
        <v/>
      </c>
      <c r="I539" s="15">
        <f>IF($F539="","",IFERROR(INDEX(rngEPseq,MATCH($F539,rngEPcode,0)),""))</f>
        <v/>
      </c>
      <c r="J539" s="15">
        <f>IF($F539="","",IFERROR(INDEX(rngEPpass,MATCH($F539,rngEPcode,0)),cfgPassingScore))</f>
        <v/>
      </c>
      <c r="K539" s="14" t="n"/>
      <c r="L539" s="14" t="n"/>
      <c r="M539" s="15">
        <f>IF($C539="","",IF($L539="","",IF($K539=1,IF(COUNTIFS(nrES_PID,$D539,nrES_Code,$F539,nrES_Att,2)&gt;0,"",$L539),IF(COUNTIFS(nrES_PID,$D539,nrES_Code,$F539,nrES_Att,1)=0,$L539,IF($L539&gt;=$J539,cfgRetakeRecordedCap,SUMIFS(nrES_Raw,nrES_PID,$D539,nrES_Code,$F539,nrES_Att,1))))))</f>
        <v/>
      </c>
      <c r="N539" s="15">
        <f>IF($C539="","",IF($L539="","",IF($L539&gt;=$J539,"Yes","No")))</f>
        <v/>
      </c>
      <c r="O539" s="15">
        <f>IF($C539="","",IF($M539="","",IF($M539&gt;=$J539,"Yes","No")))</f>
        <v/>
      </c>
      <c r="P539" s="15">
        <f>IF($C539="","",IF($K539="","",IF(COUNTIFS(nrES_PID,$D539,nrES_Code,$F539,nrES_Att,"&gt;"&amp;$K539)=0,"Yes","No")))</f>
        <v/>
      </c>
      <c r="Q539" s="15">
        <f>IF($C539="","",IF($L539="","",IF(AND($K539=1,$L539&lt;$J539,COUNTIFS(nrES_PID,$D539,nrES_Code,$F539,nrES_Att,2)=0),"Yes","No")))</f>
        <v/>
      </c>
      <c r="R539" s="15">
        <f>IF($C539="","",IF($L539="","",IF(AND($K539=2,$L539&lt;$J539,COUNTIFS(nrES_PID,$D539,nrES_Code,$F539,nrES_Att,1)&gt;0),"Yes","No")))</f>
        <v/>
      </c>
      <c r="S539" s="16" t="n"/>
      <c r="T539" s="17">
        <f>IF($Q539&lt;&gt;"Yes","",IF($S539="","(enter date)",_xlfn.LET(_xlpm.dn,IFERROR(_xlfn.XLOOKUP($S539,nrCDdate,nrCDnum),""),IF(_xlpm.dn="","(not a class day)",IFERROR(_xlfn.XLOOKUP(_xlpm.dn+cfgRetestClassDays,nrCDnum,nrCDdate),"")))))</f>
        <v/>
      </c>
      <c r="U539" s="15">
        <f>IF($Q539&lt;&gt;"Yes","",IF(COUNTIFS(nrES_PID,$D539,nrES_Code,$F539,nrES_Att,2)&gt;0,"Retested",IF(OR($T539="",NOT(ISNUMBER($T539))),"Pending",IF(TODAY()&gt;$T539,"OVERDUE","Due "&amp;TEXT($T539,"mm/dd")))))</f>
        <v/>
      </c>
      <c r="V539" s="14" t="n"/>
      <c r="W539" s="14" t="n"/>
    </row>
    <row r="540">
      <c r="B540" s="15">
        <f>IF($C540="","",$D540&amp;"-"&amp;$F540&amp;"-"&amp;$K540)</f>
        <v/>
      </c>
      <c r="C540" s="14" t="n"/>
      <c r="D540" s="15">
        <f>IF($C540="","",IFERROR(INDEX(rngCadetPIDs,MATCH($C540,rngCadetNames,0)),"?"))</f>
        <v/>
      </c>
      <c r="E540" s="15">
        <f>IF($D540="","",IFERROR(INDEX(nrCadetAgency,MATCH($D540,rngCadetPIDs,0)),""))</f>
        <v/>
      </c>
      <c r="F540" s="14" t="n"/>
      <c r="G540" s="15">
        <f>IF($F540="","",IFERROR(INDEX(rngEPname,MATCH($F540,rngEPcode,0)),"?"))</f>
        <v/>
      </c>
      <c r="H540" s="15">
        <f>IF($F540="","",IFERROR(INDEX(rngEPtype,MATCH($F540,rngEPcode,0)),"?"))</f>
        <v/>
      </c>
      <c r="I540" s="15">
        <f>IF($F540="","",IFERROR(INDEX(rngEPseq,MATCH($F540,rngEPcode,0)),""))</f>
        <v/>
      </c>
      <c r="J540" s="15">
        <f>IF($F540="","",IFERROR(INDEX(rngEPpass,MATCH($F540,rngEPcode,0)),cfgPassingScore))</f>
        <v/>
      </c>
      <c r="K540" s="14" t="n"/>
      <c r="L540" s="14" t="n"/>
      <c r="M540" s="15">
        <f>IF($C540="","",IF($L540="","",IF($K540=1,IF(COUNTIFS(nrES_PID,$D540,nrES_Code,$F540,nrES_Att,2)&gt;0,"",$L540),IF(COUNTIFS(nrES_PID,$D540,nrES_Code,$F540,nrES_Att,1)=0,$L540,IF($L540&gt;=$J540,cfgRetakeRecordedCap,SUMIFS(nrES_Raw,nrES_PID,$D540,nrES_Code,$F540,nrES_Att,1))))))</f>
        <v/>
      </c>
      <c r="N540" s="15">
        <f>IF($C540="","",IF($L540="","",IF($L540&gt;=$J540,"Yes","No")))</f>
        <v/>
      </c>
      <c r="O540" s="15">
        <f>IF($C540="","",IF($M540="","",IF($M540&gt;=$J540,"Yes","No")))</f>
        <v/>
      </c>
      <c r="P540" s="15">
        <f>IF($C540="","",IF($K540="","",IF(COUNTIFS(nrES_PID,$D540,nrES_Code,$F540,nrES_Att,"&gt;"&amp;$K540)=0,"Yes","No")))</f>
        <v/>
      </c>
      <c r="Q540" s="15">
        <f>IF($C540="","",IF($L540="","",IF(AND($K540=1,$L540&lt;$J540,COUNTIFS(nrES_PID,$D540,nrES_Code,$F540,nrES_Att,2)=0),"Yes","No")))</f>
        <v/>
      </c>
      <c r="R540" s="15">
        <f>IF($C540="","",IF($L540="","",IF(AND($K540=2,$L540&lt;$J540,COUNTIFS(nrES_PID,$D540,nrES_Code,$F540,nrES_Att,1)&gt;0),"Yes","No")))</f>
        <v/>
      </c>
      <c r="S540" s="16" t="n"/>
      <c r="T540" s="17">
        <f>IF($Q540&lt;&gt;"Yes","",IF($S540="","(enter date)",_xlfn.LET(_xlpm.dn,IFERROR(_xlfn.XLOOKUP($S540,nrCDdate,nrCDnum),""),IF(_xlpm.dn="","(not a class day)",IFERROR(_xlfn.XLOOKUP(_xlpm.dn+cfgRetestClassDays,nrCDnum,nrCDdate),"")))))</f>
        <v/>
      </c>
      <c r="U540" s="15">
        <f>IF($Q540&lt;&gt;"Yes","",IF(COUNTIFS(nrES_PID,$D540,nrES_Code,$F540,nrES_Att,2)&gt;0,"Retested",IF(OR($T540="",NOT(ISNUMBER($T540))),"Pending",IF(TODAY()&gt;$T540,"OVERDUE","Due "&amp;TEXT($T540,"mm/dd")))))</f>
        <v/>
      </c>
      <c r="V540" s="14" t="n"/>
      <c r="W540" s="14" t="n"/>
    </row>
    <row r="541">
      <c r="B541" s="15">
        <f>IF($C541="","",$D541&amp;"-"&amp;$F541&amp;"-"&amp;$K541)</f>
        <v/>
      </c>
      <c r="C541" s="14" t="n"/>
      <c r="D541" s="15">
        <f>IF($C541="","",IFERROR(INDEX(rngCadetPIDs,MATCH($C541,rngCadetNames,0)),"?"))</f>
        <v/>
      </c>
      <c r="E541" s="15">
        <f>IF($D541="","",IFERROR(INDEX(nrCadetAgency,MATCH($D541,rngCadetPIDs,0)),""))</f>
        <v/>
      </c>
      <c r="F541" s="14" t="n"/>
      <c r="G541" s="15">
        <f>IF($F541="","",IFERROR(INDEX(rngEPname,MATCH($F541,rngEPcode,0)),"?"))</f>
        <v/>
      </c>
      <c r="H541" s="15">
        <f>IF($F541="","",IFERROR(INDEX(rngEPtype,MATCH($F541,rngEPcode,0)),"?"))</f>
        <v/>
      </c>
      <c r="I541" s="15">
        <f>IF($F541="","",IFERROR(INDEX(rngEPseq,MATCH($F541,rngEPcode,0)),""))</f>
        <v/>
      </c>
      <c r="J541" s="15">
        <f>IF($F541="","",IFERROR(INDEX(rngEPpass,MATCH($F541,rngEPcode,0)),cfgPassingScore))</f>
        <v/>
      </c>
      <c r="K541" s="14" t="n"/>
      <c r="L541" s="14" t="n"/>
      <c r="M541" s="15">
        <f>IF($C541="","",IF($L541="","",IF($K541=1,IF(COUNTIFS(nrES_PID,$D541,nrES_Code,$F541,nrES_Att,2)&gt;0,"",$L541),IF(COUNTIFS(nrES_PID,$D541,nrES_Code,$F541,nrES_Att,1)=0,$L541,IF($L541&gt;=$J541,cfgRetakeRecordedCap,SUMIFS(nrES_Raw,nrES_PID,$D541,nrES_Code,$F541,nrES_Att,1))))))</f>
        <v/>
      </c>
      <c r="N541" s="15">
        <f>IF($C541="","",IF($L541="","",IF($L541&gt;=$J541,"Yes","No")))</f>
        <v/>
      </c>
      <c r="O541" s="15">
        <f>IF($C541="","",IF($M541="","",IF($M541&gt;=$J541,"Yes","No")))</f>
        <v/>
      </c>
      <c r="P541" s="15">
        <f>IF($C541="","",IF($K541="","",IF(COUNTIFS(nrES_PID,$D541,nrES_Code,$F541,nrES_Att,"&gt;"&amp;$K541)=0,"Yes","No")))</f>
        <v/>
      </c>
      <c r="Q541" s="15">
        <f>IF($C541="","",IF($L541="","",IF(AND($K541=1,$L541&lt;$J541,COUNTIFS(nrES_PID,$D541,nrES_Code,$F541,nrES_Att,2)=0),"Yes","No")))</f>
        <v/>
      </c>
      <c r="R541" s="15">
        <f>IF($C541="","",IF($L541="","",IF(AND($K541=2,$L541&lt;$J541,COUNTIFS(nrES_PID,$D541,nrES_Code,$F541,nrES_Att,1)&gt;0),"Yes","No")))</f>
        <v/>
      </c>
      <c r="S541" s="16" t="n"/>
      <c r="T541" s="17">
        <f>IF($Q541&lt;&gt;"Yes","",IF($S541="","(enter date)",_xlfn.LET(_xlpm.dn,IFERROR(_xlfn.XLOOKUP($S541,nrCDdate,nrCDnum),""),IF(_xlpm.dn="","(not a class day)",IFERROR(_xlfn.XLOOKUP(_xlpm.dn+cfgRetestClassDays,nrCDnum,nrCDdate),"")))))</f>
        <v/>
      </c>
      <c r="U541" s="15">
        <f>IF($Q541&lt;&gt;"Yes","",IF(COUNTIFS(nrES_PID,$D541,nrES_Code,$F541,nrES_Att,2)&gt;0,"Retested",IF(OR($T541="",NOT(ISNUMBER($T541))),"Pending",IF(TODAY()&gt;$T541,"OVERDUE","Due "&amp;TEXT($T541,"mm/dd")))))</f>
        <v/>
      </c>
      <c r="V541" s="14" t="n"/>
      <c r="W541" s="14" t="n"/>
    </row>
    <row r="542">
      <c r="B542" s="15">
        <f>IF($C542="","",$D542&amp;"-"&amp;$F542&amp;"-"&amp;$K542)</f>
        <v/>
      </c>
      <c r="C542" s="14" t="n"/>
      <c r="D542" s="15">
        <f>IF($C542="","",IFERROR(INDEX(rngCadetPIDs,MATCH($C542,rngCadetNames,0)),"?"))</f>
        <v/>
      </c>
      <c r="E542" s="15">
        <f>IF($D542="","",IFERROR(INDEX(nrCadetAgency,MATCH($D542,rngCadetPIDs,0)),""))</f>
        <v/>
      </c>
      <c r="F542" s="14" t="n"/>
      <c r="G542" s="15">
        <f>IF($F542="","",IFERROR(INDEX(rngEPname,MATCH($F542,rngEPcode,0)),"?"))</f>
        <v/>
      </c>
      <c r="H542" s="15">
        <f>IF($F542="","",IFERROR(INDEX(rngEPtype,MATCH($F542,rngEPcode,0)),"?"))</f>
        <v/>
      </c>
      <c r="I542" s="15">
        <f>IF($F542="","",IFERROR(INDEX(rngEPseq,MATCH($F542,rngEPcode,0)),""))</f>
        <v/>
      </c>
      <c r="J542" s="15">
        <f>IF($F542="","",IFERROR(INDEX(rngEPpass,MATCH($F542,rngEPcode,0)),cfgPassingScore))</f>
        <v/>
      </c>
      <c r="K542" s="14" t="n"/>
      <c r="L542" s="14" t="n"/>
      <c r="M542" s="15">
        <f>IF($C542="","",IF($L542="","",IF($K542=1,IF(COUNTIFS(nrES_PID,$D542,nrES_Code,$F542,nrES_Att,2)&gt;0,"",$L542),IF(COUNTIFS(nrES_PID,$D542,nrES_Code,$F542,nrES_Att,1)=0,$L542,IF($L542&gt;=$J542,cfgRetakeRecordedCap,SUMIFS(nrES_Raw,nrES_PID,$D542,nrES_Code,$F542,nrES_Att,1))))))</f>
        <v/>
      </c>
      <c r="N542" s="15">
        <f>IF($C542="","",IF($L542="","",IF($L542&gt;=$J542,"Yes","No")))</f>
        <v/>
      </c>
      <c r="O542" s="15">
        <f>IF($C542="","",IF($M542="","",IF($M542&gt;=$J542,"Yes","No")))</f>
        <v/>
      </c>
      <c r="P542" s="15">
        <f>IF($C542="","",IF($K542="","",IF(COUNTIFS(nrES_PID,$D542,nrES_Code,$F542,nrES_Att,"&gt;"&amp;$K542)=0,"Yes","No")))</f>
        <v/>
      </c>
      <c r="Q542" s="15">
        <f>IF($C542="","",IF($L542="","",IF(AND($K542=1,$L542&lt;$J542,COUNTIFS(nrES_PID,$D542,nrES_Code,$F542,nrES_Att,2)=0),"Yes","No")))</f>
        <v/>
      </c>
      <c r="R542" s="15">
        <f>IF($C542="","",IF($L542="","",IF(AND($K542=2,$L542&lt;$J542,COUNTIFS(nrES_PID,$D542,nrES_Code,$F542,nrES_Att,1)&gt;0),"Yes","No")))</f>
        <v/>
      </c>
      <c r="S542" s="16" t="n"/>
      <c r="T542" s="17">
        <f>IF($Q542&lt;&gt;"Yes","",IF($S542="","(enter date)",_xlfn.LET(_xlpm.dn,IFERROR(_xlfn.XLOOKUP($S542,nrCDdate,nrCDnum),""),IF(_xlpm.dn="","(not a class day)",IFERROR(_xlfn.XLOOKUP(_xlpm.dn+cfgRetestClassDays,nrCDnum,nrCDdate),"")))))</f>
        <v/>
      </c>
      <c r="U542" s="15">
        <f>IF($Q542&lt;&gt;"Yes","",IF(COUNTIFS(nrES_PID,$D542,nrES_Code,$F542,nrES_Att,2)&gt;0,"Retested",IF(OR($T542="",NOT(ISNUMBER($T542))),"Pending",IF(TODAY()&gt;$T542,"OVERDUE","Due "&amp;TEXT($T542,"mm/dd")))))</f>
        <v/>
      </c>
      <c r="V542" s="14" t="n"/>
      <c r="W542" s="14" t="n"/>
    </row>
    <row r="543">
      <c r="B543" s="15">
        <f>IF($C543="","",$D543&amp;"-"&amp;$F543&amp;"-"&amp;$K543)</f>
        <v/>
      </c>
      <c r="C543" s="14" t="n"/>
      <c r="D543" s="15">
        <f>IF($C543="","",IFERROR(INDEX(rngCadetPIDs,MATCH($C543,rngCadetNames,0)),"?"))</f>
        <v/>
      </c>
      <c r="E543" s="15">
        <f>IF($D543="","",IFERROR(INDEX(nrCadetAgency,MATCH($D543,rngCadetPIDs,0)),""))</f>
        <v/>
      </c>
      <c r="F543" s="14" t="n"/>
      <c r="G543" s="15">
        <f>IF($F543="","",IFERROR(INDEX(rngEPname,MATCH($F543,rngEPcode,0)),"?"))</f>
        <v/>
      </c>
      <c r="H543" s="15">
        <f>IF($F543="","",IFERROR(INDEX(rngEPtype,MATCH($F543,rngEPcode,0)),"?"))</f>
        <v/>
      </c>
      <c r="I543" s="15">
        <f>IF($F543="","",IFERROR(INDEX(rngEPseq,MATCH($F543,rngEPcode,0)),""))</f>
        <v/>
      </c>
      <c r="J543" s="15">
        <f>IF($F543="","",IFERROR(INDEX(rngEPpass,MATCH($F543,rngEPcode,0)),cfgPassingScore))</f>
        <v/>
      </c>
      <c r="K543" s="14" t="n"/>
      <c r="L543" s="14" t="n"/>
      <c r="M543" s="15">
        <f>IF($C543="","",IF($L543="","",IF($K543=1,IF(COUNTIFS(nrES_PID,$D543,nrES_Code,$F543,nrES_Att,2)&gt;0,"",$L543),IF(COUNTIFS(nrES_PID,$D543,nrES_Code,$F543,nrES_Att,1)=0,$L543,IF($L543&gt;=$J543,cfgRetakeRecordedCap,SUMIFS(nrES_Raw,nrES_PID,$D543,nrES_Code,$F543,nrES_Att,1))))))</f>
        <v/>
      </c>
      <c r="N543" s="15">
        <f>IF($C543="","",IF($L543="","",IF($L543&gt;=$J543,"Yes","No")))</f>
        <v/>
      </c>
      <c r="O543" s="15">
        <f>IF($C543="","",IF($M543="","",IF($M543&gt;=$J543,"Yes","No")))</f>
        <v/>
      </c>
      <c r="P543" s="15">
        <f>IF($C543="","",IF($K543="","",IF(COUNTIFS(nrES_PID,$D543,nrES_Code,$F543,nrES_Att,"&gt;"&amp;$K543)=0,"Yes","No")))</f>
        <v/>
      </c>
      <c r="Q543" s="15">
        <f>IF($C543="","",IF($L543="","",IF(AND($K543=1,$L543&lt;$J543,COUNTIFS(nrES_PID,$D543,nrES_Code,$F543,nrES_Att,2)=0),"Yes","No")))</f>
        <v/>
      </c>
      <c r="R543" s="15">
        <f>IF($C543="","",IF($L543="","",IF(AND($K543=2,$L543&lt;$J543,COUNTIFS(nrES_PID,$D543,nrES_Code,$F543,nrES_Att,1)&gt;0),"Yes","No")))</f>
        <v/>
      </c>
      <c r="S543" s="16" t="n"/>
      <c r="T543" s="17">
        <f>IF($Q543&lt;&gt;"Yes","",IF($S543="","(enter date)",_xlfn.LET(_xlpm.dn,IFERROR(_xlfn.XLOOKUP($S543,nrCDdate,nrCDnum),""),IF(_xlpm.dn="","(not a class day)",IFERROR(_xlfn.XLOOKUP(_xlpm.dn+cfgRetestClassDays,nrCDnum,nrCDdate),"")))))</f>
        <v/>
      </c>
      <c r="U543" s="15">
        <f>IF($Q543&lt;&gt;"Yes","",IF(COUNTIFS(nrES_PID,$D543,nrES_Code,$F543,nrES_Att,2)&gt;0,"Retested",IF(OR($T543="",NOT(ISNUMBER($T543))),"Pending",IF(TODAY()&gt;$T543,"OVERDUE","Due "&amp;TEXT($T543,"mm/dd")))))</f>
        <v/>
      </c>
      <c r="V543" s="14" t="n"/>
      <c r="W543" s="14" t="n"/>
    </row>
    <row r="544">
      <c r="B544" s="15">
        <f>IF($C544="","",$D544&amp;"-"&amp;$F544&amp;"-"&amp;$K544)</f>
        <v/>
      </c>
      <c r="C544" s="14" t="n"/>
      <c r="D544" s="15">
        <f>IF($C544="","",IFERROR(INDEX(rngCadetPIDs,MATCH($C544,rngCadetNames,0)),"?"))</f>
        <v/>
      </c>
      <c r="E544" s="15">
        <f>IF($D544="","",IFERROR(INDEX(nrCadetAgency,MATCH($D544,rngCadetPIDs,0)),""))</f>
        <v/>
      </c>
      <c r="F544" s="14" t="n"/>
      <c r="G544" s="15">
        <f>IF($F544="","",IFERROR(INDEX(rngEPname,MATCH($F544,rngEPcode,0)),"?"))</f>
        <v/>
      </c>
      <c r="H544" s="15">
        <f>IF($F544="","",IFERROR(INDEX(rngEPtype,MATCH($F544,rngEPcode,0)),"?"))</f>
        <v/>
      </c>
      <c r="I544" s="15">
        <f>IF($F544="","",IFERROR(INDEX(rngEPseq,MATCH($F544,rngEPcode,0)),""))</f>
        <v/>
      </c>
      <c r="J544" s="15">
        <f>IF($F544="","",IFERROR(INDEX(rngEPpass,MATCH($F544,rngEPcode,0)),cfgPassingScore))</f>
        <v/>
      </c>
      <c r="K544" s="14" t="n"/>
      <c r="L544" s="14" t="n"/>
      <c r="M544" s="15">
        <f>IF($C544="","",IF($L544="","",IF($K544=1,IF(COUNTIFS(nrES_PID,$D544,nrES_Code,$F544,nrES_Att,2)&gt;0,"",$L544),IF(COUNTIFS(nrES_PID,$D544,nrES_Code,$F544,nrES_Att,1)=0,$L544,IF($L544&gt;=$J544,cfgRetakeRecordedCap,SUMIFS(nrES_Raw,nrES_PID,$D544,nrES_Code,$F544,nrES_Att,1))))))</f>
        <v/>
      </c>
      <c r="N544" s="15">
        <f>IF($C544="","",IF($L544="","",IF($L544&gt;=$J544,"Yes","No")))</f>
        <v/>
      </c>
      <c r="O544" s="15">
        <f>IF($C544="","",IF($M544="","",IF($M544&gt;=$J544,"Yes","No")))</f>
        <v/>
      </c>
      <c r="P544" s="15">
        <f>IF($C544="","",IF($K544="","",IF(COUNTIFS(nrES_PID,$D544,nrES_Code,$F544,nrES_Att,"&gt;"&amp;$K544)=0,"Yes","No")))</f>
        <v/>
      </c>
      <c r="Q544" s="15">
        <f>IF($C544="","",IF($L544="","",IF(AND($K544=1,$L544&lt;$J544,COUNTIFS(nrES_PID,$D544,nrES_Code,$F544,nrES_Att,2)=0),"Yes","No")))</f>
        <v/>
      </c>
      <c r="R544" s="15">
        <f>IF($C544="","",IF($L544="","",IF(AND($K544=2,$L544&lt;$J544,COUNTIFS(nrES_PID,$D544,nrES_Code,$F544,nrES_Att,1)&gt;0),"Yes","No")))</f>
        <v/>
      </c>
      <c r="S544" s="16" t="n"/>
      <c r="T544" s="17">
        <f>IF($Q544&lt;&gt;"Yes","",IF($S544="","(enter date)",_xlfn.LET(_xlpm.dn,IFERROR(_xlfn.XLOOKUP($S544,nrCDdate,nrCDnum),""),IF(_xlpm.dn="","(not a class day)",IFERROR(_xlfn.XLOOKUP(_xlpm.dn+cfgRetestClassDays,nrCDnum,nrCDdate),"")))))</f>
        <v/>
      </c>
      <c r="U544" s="15">
        <f>IF($Q544&lt;&gt;"Yes","",IF(COUNTIFS(nrES_PID,$D544,nrES_Code,$F544,nrES_Att,2)&gt;0,"Retested",IF(OR($T544="",NOT(ISNUMBER($T544))),"Pending",IF(TODAY()&gt;$T544,"OVERDUE","Due "&amp;TEXT($T544,"mm/dd")))))</f>
        <v/>
      </c>
      <c r="V544" s="14" t="n"/>
      <c r="W544" s="14" t="n"/>
    </row>
    <row r="545">
      <c r="B545" s="15">
        <f>IF($C545="","",$D545&amp;"-"&amp;$F545&amp;"-"&amp;$K545)</f>
        <v/>
      </c>
      <c r="C545" s="14" t="n"/>
      <c r="D545" s="15">
        <f>IF($C545="","",IFERROR(INDEX(rngCadetPIDs,MATCH($C545,rngCadetNames,0)),"?"))</f>
        <v/>
      </c>
      <c r="E545" s="15">
        <f>IF($D545="","",IFERROR(INDEX(nrCadetAgency,MATCH($D545,rngCadetPIDs,0)),""))</f>
        <v/>
      </c>
      <c r="F545" s="14" t="n"/>
      <c r="G545" s="15">
        <f>IF($F545="","",IFERROR(INDEX(rngEPname,MATCH($F545,rngEPcode,0)),"?"))</f>
        <v/>
      </c>
      <c r="H545" s="15">
        <f>IF($F545="","",IFERROR(INDEX(rngEPtype,MATCH($F545,rngEPcode,0)),"?"))</f>
        <v/>
      </c>
      <c r="I545" s="15">
        <f>IF($F545="","",IFERROR(INDEX(rngEPseq,MATCH($F545,rngEPcode,0)),""))</f>
        <v/>
      </c>
      <c r="J545" s="15">
        <f>IF($F545="","",IFERROR(INDEX(rngEPpass,MATCH($F545,rngEPcode,0)),cfgPassingScore))</f>
        <v/>
      </c>
      <c r="K545" s="14" t="n"/>
      <c r="L545" s="14" t="n"/>
      <c r="M545" s="15">
        <f>IF($C545="","",IF($L545="","",IF($K545=1,IF(COUNTIFS(nrES_PID,$D545,nrES_Code,$F545,nrES_Att,2)&gt;0,"",$L545),IF(COUNTIFS(nrES_PID,$D545,nrES_Code,$F545,nrES_Att,1)=0,$L545,IF($L545&gt;=$J545,cfgRetakeRecordedCap,SUMIFS(nrES_Raw,nrES_PID,$D545,nrES_Code,$F545,nrES_Att,1))))))</f>
        <v/>
      </c>
      <c r="N545" s="15">
        <f>IF($C545="","",IF($L545="","",IF($L545&gt;=$J545,"Yes","No")))</f>
        <v/>
      </c>
      <c r="O545" s="15">
        <f>IF($C545="","",IF($M545="","",IF($M545&gt;=$J545,"Yes","No")))</f>
        <v/>
      </c>
      <c r="P545" s="15">
        <f>IF($C545="","",IF($K545="","",IF(COUNTIFS(nrES_PID,$D545,nrES_Code,$F545,nrES_Att,"&gt;"&amp;$K545)=0,"Yes","No")))</f>
        <v/>
      </c>
      <c r="Q545" s="15">
        <f>IF($C545="","",IF($L545="","",IF(AND($K545=1,$L545&lt;$J545,COUNTIFS(nrES_PID,$D545,nrES_Code,$F545,nrES_Att,2)=0),"Yes","No")))</f>
        <v/>
      </c>
      <c r="R545" s="15">
        <f>IF($C545="","",IF($L545="","",IF(AND($K545=2,$L545&lt;$J545,COUNTIFS(nrES_PID,$D545,nrES_Code,$F545,nrES_Att,1)&gt;0),"Yes","No")))</f>
        <v/>
      </c>
      <c r="S545" s="16" t="n"/>
      <c r="T545" s="17">
        <f>IF($Q545&lt;&gt;"Yes","",IF($S545="","(enter date)",_xlfn.LET(_xlpm.dn,IFERROR(_xlfn.XLOOKUP($S545,nrCDdate,nrCDnum),""),IF(_xlpm.dn="","(not a class day)",IFERROR(_xlfn.XLOOKUP(_xlpm.dn+cfgRetestClassDays,nrCDnum,nrCDdate),"")))))</f>
        <v/>
      </c>
      <c r="U545" s="15">
        <f>IF($Q545&lt;&gt;"Yes","",IF(COUNTIFS(nrES_PID,$D545,nrES_Code,$F545,nrES_Att,2)&gt;0,"Retested",IF(OR($T545="",NOT(ISNUMBER($T545))),"Pending",IF(TODAY()&gt;$T545,"OVERDUE","Due "&amp;TEXT($T545,"mm/dd")))))</f>
        <v/>
      </c>
      <c r="V545" s="14" t="n"/>
      <c r="W545" s="14" t="n"/>
    </row>
    <row r="546">
      <c r="B546" s="15">
        <f>IF($C546="","",$D546&amp;"-"&amp;$F546&amp;"-"&amp;$K546)</f>
        <v/>
      </c>
      <c r="C546" s="14" t="n"/>
      <c r="D546" s="15">
        <f>IF($C546="","",IFERROR(INDEX(rngCadetPIDs,MATCH($C546,rngCadetNames,0)),"?"))</f>
        <v/>
      </c>
      <c r="E546" s="15">
        <f>IF($D546="","",IFERROR(INDEX(nrCadetAgency,MATCH($D546,rngCadetPIDs,0)),""))</f>
        <v/>
      </c>
      <c r="F546" s="14" t="n"/>
      <c r="G546" s="15">
        <f>IF($F546="","",IFERROR(INDEX(rngEPname,MATCH($F546,rngEPcode,0)),"?"))</f>
        <v/>
      </c>
      <c r="H546" s="15">
        <f>IF($F546="","",IFERROR(INDEX(rngEPtype,MATCH($F546,rngEPcode,0)),"?"))</f>
        <v/>
      </c>
      <c r="I546" s="15">
        <f>IF($F546="","",IFERROR(INDEX(rngEPseq,MATCH($F546,rngEPcode,0)),""))</f>
        <v/>
      </c>
      <c r="J546" s="15">
        <f>IF($F546="","",IFERROR(INDEX(rngEPpass,MATCH($F546,rngEPcode,0)),cfgPassingScore))</f>
        <v/>
      </c>
      <c r="K546" s="14" t="n"/>
      <c r="L546" s="14" t="n"/>
      <c r="M546" s="15">
        <f>IF($C546="","",IF($L546="","",IF($K546=1,IF(COUNTIFS(nrES_PID,$D546,nrES_Code,$F546,nrES_Att,2)&gt;0,"",$L546),IF(COUNTIFS(nrES_PID,$D546,nrES_Code,$F546,nrES_Att,1)=0,$L546,IF($L546&gt;=$J546,cfgRetakeRecordedCap,SUMIFS(nrES_Raw,nrES_PID,$D546,nrES_Code,$F546,nrES_Att,1))))))</f>
        <v/>
      </c>
      <c r="N546" s="15">
        <f>IF($C546="","",IF($L546="","",IF($L546&gt;=$J546,"Yes","No")))</f>
        <v/>
      </c>
      <c r="O546" s="15">
        <f>IF($C546="","",IF($M546="","",IF($M546&gt;=$J546,"Yes","No")))</f>
        <v/>
      </c>
      <c r="P546" s="15">
        <f>IF($C546="","",IF($K546="","",IF(COUNTIFS(nrES_PID,$D546,nrES_Code,$F546,nrES_Att,"&gt;"&amp;$K546)=0,"Yes","No")))</f>
        <v/>
      </c>
      <c r="Q546" s="15">
        <f>IF($C546="","",IF($L546="","",IF(AND($K546=1,$L546&lt;$J546,COUNTIFS(nrES_PID,$D546,nrES_Code,$F546,nrES_Att,2)=0),"Yes","No")))</f>
        <v/>
      </c>
      <c r="R546" s="15">
        <f>IF($C546="","",IF($L546="","",IF(AND($K546=2,$L546&lt;$J546,COUNTIFS(nrES_PID,$D546,nrES_Code,$F546,nrES_Att,1)&gt;0),"Yes","No")))</f>
        <v/>
      </c>
      <c r="S546" s="16" t="n"/>
      <c r="T546" s="17">
        <f>IF($Q546&lt;&gt;"Yes","",IF($S546="","(enter date)",_xlfn.LET(_xlpm.dn,IFERROR(_xlfn.XLOOKUP($S546,nrCDdate,nrCDnum),""),IF(_xlpm.dn="","(not a class day)",IFERROR(_xlfn.XLOOKUP(_xlpm.dn+cfgRetestClassDays,nrCDnum,nrCDdate),"")))))</f>
        <v/>
      </c>
      <c r="U546" s="15">
        <f>IF($Q546&lt;&gt;"Yes","",IF(COUNTIFS(nrES_PID,$D546,nrES_Code,$F546,nrES_Att,2)&gt;0,"Retested",IF(OR($T546="",NOT(ISNUMBER($T546))),"Pending",IF(TODAY()&gt;$T546,"OVERDUE","Due "&amp;TEXT($T546,"mm/dd")))))</f>
        <v/>
      </c>
      <c r="V546" s="14" t="n"/>
      <c r="W546" s="14" t="n"/>
    </row>
    <row r="547">
      <c r="B547" s="15">
        <f>IF($C547="","",$D547&amp;"-"&amp;$F547&amp;"-"&amp;$K547)</f>
        <v/>
      </c>
      <c r="C547" s="14" t="n"/>
      <c r="D547" s="15">
        <f>IF($C547="","",IFERROR(INDEX(rngCadetPIDs,MATCH($C547,rngCadetNames,0)),"?"))</f>
        <v/>
      </c>
      <c r="E547" s="15">
        <f>IF($D547="","",IFERROR(INDEX(nrCadetAgency,MATCH($D547,rngCadetPIDs,0)),""))</f>
        <v/>
      </c>
      <c r="F547" s="14" t="n"/>
      <c r="G547" s="15">
        <f>IF($F547="","",IFERROR(INDEX(rngEPname,MATCH($F547,rngEPcode,0)),"?"))</f>
        <v/>
      </c>
      <c r="H547" s="15">
        <f>IF($F547="","",IFERROR(INDEX(rngEPtype,MATCH($F547,rngEPcode,0)),"?"))</f>
        <v/>
      </c>
      <c r="I547" s="15">
        <f>IF($F547="","",IFERROR(INDEX(rngEPseq,MATCH($F547,rngEPcode,0)),""))</f>
        <v/>
      </c>
      <c r="J547" s="15">
        <f>IF($F547="","",IFERROR(INDEX(rngEPpass,MATCH($F547,rngEPcode,0)),cfgPassingScore))</f>
        <v/>
      </c>
      <c r="K547" s="14" t="n"/>
      <c r="L547" s="14" t="n"/>
      <c r="M547" s="15">
        <f>IF($C547="","",IF($L547="","",IF($K547=1,IF(COUNTIFS(nrES_PID,$D547,nrES_Code,$F547,nrES_Att,2)&gt;0,"",$L547),IF(COUNTIFS(nrES_PID,$D547,nrES_Code,$F547,nrES_Att,1)=0,$L547,IF($L547&gt;=$J547,cfgRetakeRecordedCap,SUMIFS(nrES_Raw,nrES_PID,$D547,nrES_Code,$F547,nrES_Att,1))))))</f>
        <v/>
      </c>
      <c r="N547" s="15">
        <f>IF($C547="","",IF($L547="","",IF($L547&gt;=$J547,"Yes","No")))</f>
        <v/>
      </c>
      <c r="O547" s="15">
        <f>IF($C547="","",IF($M547="","",IF($M547&gt;=$J547,"Yes","No")))</f>
        <v/>
      </c>
      <c r="P547" s="15">
        <f>IF($C547="","",IF($K547="","",IF(COUNTIFS(nrES_PID,$D547,nrES_Code,$F547,nrES_Att,"&gt;"&amp;$K547)=0,"Yes","No")))</f>
        <v/>
      </c>
      <c r="Q547" s="15">
        <f>IF($C547="","",IF($L547="","",IF(AND($K547=1,$L547&lt;$J547,COUNTIFS(nrES_PID,$D547,nrES_Code,$F547,nrES_Att,2)=0),"Yes","No")))</f>
        <v/>
      </c>
      <c r="R547" s="15">
        <f>IF($C547="","",IF($L547="","",IF(AND($K547=2,$L547&lt;$J547,COUNTIFS(nrES_PID,$D547,nrES_Code,$F547,nrES_Att,1)&gt;0),"Yes","No")))</f>
        <v/>
      </c>
      <c r="S547" s="16" t="n"/>
      <c r="T547" s="17">
        <f>IF($Q547&lt;&gt;"Yes","",IF($S547="","(enter date)",_xlfn.LET(_xlpm.dn,IFERROR(_xlfn.XLOOKUP($S547,nrCDdate,nrCDnum),""),IF(_xlpm.dn="","(not a class day)",IFERROR(_xlfn.XLOOKUP(_xlpm.dn+cfgRetestClassDays,nrCDnum,nrCDdate),"")))))</f>
        <v/>
      </c>
      <c r="U547" s="15">
        <f>IF($Q547&lt;&gt;"Yes","",IF(COUNTIFS(nrES_PID,$D547,nrES_Code,$F547,nrES_Att,2)&gt;0,"Retested",IF(OR($T547="",NOT(ISNUMBER($T547))),"Pending",IF(TODAY()&gt;$T547,"OVERDUE","Due "&amp;TEXT($T547,"mm/dd")))))</f>
        <v/>
      </c>
      <c r="V547" s="14" t="n"/>
      <c r="W547" s="14" t="n"/>
    </row>
    <row r="548">
      <c r="B548" s="15">
        <f>IF($C548="","",$D548&amp;"-"&amp;$F548&amp;"-"&amp;$K548)</f>
        <v/>
      </c>
      <c r="C548" s="14" t="n"/>
      <c r="D548" s="15">
        <f>IF($C548="","",IFERROR(INDEX(rngCadetPIDs,MATCH($C548,rngCadetNames,0)),"?"))</f>
        <v/>
      </c>
      <c r="E548" s="15">
        <f>IF($D548="","",IFERROR(INDEX(nrCadetAgency,MATCH($D548,rngCadetPIDs,0)),""))</f>
        <v/>
      </c>
      <c r="F548" s="14" t="n"/>
      <c r="G548" s="15">
        <f>IF($F548="","",IFERROR(INDEX(rngEPname,MATCH($F548,rngEPcode,0)),"?"))</f>
        <v/>
      </c>
      <c r="H548" s="15">
        <f>IF($F548="","",IFERROR(INDEX(rngEPtype,MATCH($F548,rngEPcode,0)),"?"))</f>
        <v/>
      </c>
      <c r="I548" s="15">
        <f>IF($F548="","",IFERROR(INDEX(rngEPseq,MATCH($F548,rngEPcode,0)),""))</f>
        <v/>
      </c>
      <c r="J548" s="15">
        <f>IF($F548="","",IFERROR(INDEX(rngEPpass,MATCH($F548,rngEPcode,0)),cfgPassingScore))</f>
        <v/>
      </c>
      <c r="K548" s="14" t="n"/>
      <c r="L548" s="14" t="n"/>
      <c r="M548" s="15">
        <f>IF($C548="","",IF($L548="","",IF($K548=1,IF(COUNTIFS(nrES_PID,$D548,nrES_Code,$F548,nrES_Att,2)&gt;0,"",$L548),IF(COUNTIFS(nrES_PID,$D548,nrES_Code,$F548,nrES_Att,1)=0,$L548,IF($L548&gt;=$J548,cfgRetakeRecordedCap,SUMIFS(nrES_Raw,nrES_PID,$D548,nrES_Code,$F548,nrES_Att,1))))))</f>
        <v/>
      </c>
      <c r="N548" s="15">
        <f>IF($C548="","",IF($L548="","",IF($L548&gt;=$J548,"Yes","No")))</f>
        <v/>
      </c>
      <c r="O548" s="15">
        <f>IF($C548="","",IF($M548="","",IF($M548&gt;=$J548,"Yes","No")))</f>
        <v/>
      </c>
      <c r="P548" s="15">
        <f>IF($C548="","",IF($K548="","",IF(COUNTIFS(nrES_PID,$D548,nrES_Code,$F548,nrES_Att,"&gt;"&amp;$K548)=0,"Yes","No")))</f>
        <v/>
      </c>
      <c r="Q548" s="15">
        <f>IF($C548="","",IF($L548="","",IF(AND($K548=1,$L548&lt;$J548,COUNTIFS(nrES_PID,$D548,nrES_Code,$F548,nrES_Att,2)=0),"Yes","No")))</f>
        <v/>
      </c>
      <c r="R548" s="15">
        <f>IF($C548="","",IF($L548="","",IF(AND($K548=2,$L548&lt;$J548,COUNTIFS(nrES_PID,$D548,nrES_Code,$F548,nrES_Att,1)&gt;0),"Yes","No")))</f>
        <v/>
      </c>
      <c r="S548" s="16" t="n"/>
      <c r="T548" s="17">
        <f>IF($Q548&lt;&gt;"Yes","",IF($S548="","(enter date)",_xlfn.LET(_xlpm.dn,IFERROR(_xlfn.XLOOKUP($S548,nrCDdate,nrCDnum),""),IF(_xlpm.dn="","(not a class day)",IFERROR(_xlfn.XLOOKUP(_xlpm.dn+cfgRetestClassDays,nrCDnum,nrCDdate),"")))))</f>
        <v/>
      </c>
      <c r="U548" s="15">
        <f>IF($Q548&lt;&gt;"Yes","",IF(COUNTIFS(nrES_PID,$D548,nrES_Code,$F548,nrES_Att,2)&gt;0,"Retested",IF(OR($T548="",NOT(ISNUMBER($T548))),"Pending",IF(TODAY()&gt;$T548,"OVERDUE","Due "&amp;TEXT($T548,"mm/dd")))))</f>
        <v/>
      </c>
      <c r="V548" s="14" t="n"/>
      <c r="W548" s="14" t="n"/>
    </row>
    <row r="549">
      <c r="B549" s="15">
        <f>IF($C549="","",$D549&amp;"-"&amp;$F549&amp;"-"&amp;$K549)</f>
        <v/>
      </c>
      <c r="C549" s="14" t="n"/>
      <c r="D549" s="15">
        <f>IF($C549="","",IFERROR(INDEX(rngCadetPIDs,MATCH($C549,rngCadetNames,0)),"?"))</f>
        <v/>
      </c>
      <c r="E549" s="15">
        <f>IF($D549="","",IFERROR(INDEX(nrCadetAgency,MATCH($D549,rngCadetPIDs,0)),""))</f>
        <v/>
      </c>
      <c r="F549" s="14" t="n"/>
      <c r="G549" s="15">
        <f>IF($F549="","",IFERROR(INDEX(rngEPname,MATCH($F549,rngEPcode,0)),"?"))</f>
        <v/>
      </c>
      <c r="H549" s="15">
        <f>IF($F549="","",IFERROR(INDEX(rngEPtype,MATCH($F549,rngEPcode,0)),"?"))</f>
        <v/>
      </c>
      <c r="I549" s="15">
        <f>IF($F549="","",IFERROR(INDEX(rngEPseq,MATCH($F549,rngEPcode,0)),""))</f>
        <v/>
      </c>
      <c r="J549" s="15">
        <f>IF($F549="","",IFERROR(INDEX(rngEPpass,MATCH($F549,rngEPcode,0)),cfgPassingScore))</f>
        <v/>
      </c>
      <c r="K549" s="14" t="n"/>
      <c r="L549" s="14" t="n"/>
      <c r="M549" s="15">
        <f>IF($C549="","",IF($L549="","",IF($K549=1,IF(COUNTIFS(nrES_PID,$D549,nrES_Code,$F549,nrES_Att,2)&gt;0,"",$L549),IF(COUNTIFS(nrES_PID,$D549,nrES_Code,$F549,nrES_Att,1)=0,$L549,IF($L549&gt;=$J549,cfgRetakeRecordedCap,SUMIFS(nrES_Raw,nrES_PID,$D549,nrES_Code,$F549,nrES_Att,1))))))</f>
        <v/>
      </c>
      <c r="N549" s="15">
        <f>IF($C549="","",IF($L549="","",IF($L549&gt;=$J549,"Yes","No")))</f>
        <v/>
      </c>
      <c r="O549" s="15">
        <f>IF($C549="","",IF($M549="","",IF($M549&gt;=$J549,"Yes","No")))</f>
        <v/>
      </c>
      <c r="P549" s="15">
        <f>IF($C549="","",IF($K549="","",IF(COUNTIFS(nrES_PID,$D549,nrES_Code,$F549,nrES_Att,"&gt;"&amp;$K549)=0,"Yes","No")))</f>
        <v/>
      </c>
      <c r="Q549" s="15">
        <f>IF($C549="","",IF($L549="","",IF(AND($K549=1,$L549&lt;$J549,COUNTIFS(nrES_PID,$D549,nrES_Code,$F549,nrES_Att,2)=0),"Yes","No")))</f>
        <v/>
      </c>
      <c r="R549" s="15">
        <f>IF($C549="","",IF($L549="","",IF(AND($K549=2,$L549&lt;$J549,COUNTIFS(nrES_PID,$D549,nrES_Code,$F549,nrES_Att,1)&gt;0),"Yes","No")))</f>
        <v/>
      </c>
      <c r="S549" s="16" t="n"/>
      <c r="T549" s="17">
        <f>IF($Q549&lt;&gt;"Yes","",IF($S549="","(enter date)",_xlfn.LET(_xlpm.dn,IFERROR(_xlfn.XLOOKUP($S549,nrCDdate,nrCDnum),""),IF(_xlpm.dn="","(not a class day)",IFERROR(_xlfn.XLOOKUP(_xlpm.dn+cfgRetestClassDays,nrCDnum,nrCDdate),"")))))</f>
        <v/>
      </c>
      <c r="U549" s="15">
        <f>IF($Q549&lt;&gt;"Yes","",IF(COUNTIFS(nrES_PID,$D549,nrES_Code,$F549,nrES_Att,2)&gt;0,"Retested",IF(OR($T549="",NOT(ISNUMBER($T549))),"Pending",IF(TODAY()&gt;$T549,"OVERDUE","Due "&amp;TEXT($T549,"mm/dd")))))</f>
        <v/>
      </c>
      <c r="V549" s="14" t="n"/>
      <c r="W549" s="14" t="n"/>
    </row>
    <row r="550">
      <c r="B550" s="15">
        <f>IF($C550="","",$D550&amp;"-"&amp;$F550&amp;"-"&amp;$K550)</f>
        <v/>
      </c>
      <c r="C550" s="14" t="n"/>
      <c r="D550" s="15">
        <f>IF($C550="","",IFERROR(INDEX(rngCadetPIDs,MATCH($C550,rngCadetNames,0)),"?"))</f>
        <v/>
      </c>
      <c r="E550" s="15">
        <f>IF($D550="","",IFERROR(INDEX(nrCadetAgency,MATCH($D550,rngCadetPIDs,0)),""))</f>
        <v/>
      </c>
      <c r="F550" s="14" t="n"/>
      <c r="G550" s="15">
        <f>IF($F550="","",IFERROR(INDEX(rngEPname,MATCH($F550,rngEPcode,0)),"?"))</f>
        <v/>
      </c>
      <c r="H550" s="15">
        <f>IF($F550="","",IFERROR(INDEX(rngEPtype,MATCH($F550,rngEPcode,0)),"?"))</f>
        <v/>
      </c>
      <c r="I550" s="15">
        <f>IF($F550="","",IFERROR(INDEX(rngEPseq,MATCH($F550,rngEPcode,0)),""))</f>
        <v/>
      </c>
      <c r="J550" s="15">
        <f>IF($F550="","",IFERROR(INDEX(rngEPpass,MATCH($F550,rngEPcode,0)),cfgPassingScore))</f>
        <v/>
      </c>
      <c r="K550" s="14" t="n"/>
      <c r="L550" s="14" t="n"/>
      <c r="M550" s="15">
        <f>IF($C550="","",IF($L550="","",IF($K550=1,IF(COUNTIFS(nrES_PID,$D550,nrES_Code,$F550,nrES_Att,2)&gt;0,"",$L550),IF(COUNTIFS(nrES_PID,$D550,nrES_Code,$F550,nrES_Att,1)=0,$L550,IF($L550&gt;=$J550,cfgRetakeRecordedCap,SUMIFS(nrES_Raw,nrES_PID,$D550,nrES_Code,$F550,nrES_Att,1))))))</f>
        <v/>
      </c>
      <c r="N550" s="15">
        <f>IF($C550="","",IF($L550="","",IF($L550&gt;=$J550,"Yes","No")))</f>
        <v/>
      </c>
      <c r="O550" s="15">
        <f>IF($C550="","",IF($M550="","",IF($M550&gt;=$J550,"Yes","No")))</f>
        <v/>
      </c>
      <c r="P550" s="15">
        <f>IF($C550="","",IF($K550="","",IF(COUNTIFS(nrES_PID,$D550,nrES_Code,$F550,nrES_Att,"&gt;"&amp;$K550)=0,"Yes","No")))</f>
        <v/>
      </c>
      <c r="Q550" s="15">
        <f>IF($C550="","",IF($L550="","",IF(AND($K550=1,$L550&lt;$J550,COUNTIFS(nrES_PID,$D550,nrES_Code,$F550,nrES_Att,2)=0),"Yes","No")))</f>
        <v/>
      </c>
      <c r="R550" s="15">
        <f>IF($C550="","",IF($L550="","",IF(AND($K550=2,$L550&lt;$J550,COUNTIFS(nrES_PID,$D550,nrES_Code,$F550,nrES_Att,1)&gt;0),"Yes","No")))</f>
        <v/>
      </c>
      <c r="S550" s="16" t="n"/>
      <c r="T550" s="17">
        <f>IF($Q550&lt;&gt;"Yes","",IF($S550="","(enter date)",_xlfn.LET(_xlpm.dn,IFERROR(_xlfn.XLOOKUP($S550,nrCDdate,nrCDnum),""),IF(_xlpm.dn="","(not a class day)",IFERROR(_xlfn.XLOOKUP(_xlpm.dn+cfgRetestClassDays,nrCDnum,nrCDdate),"")))))</f>
        <v/>
      </c>
      <c r="U550" s="15">
        <f>IF($Q550&lt;&gt;"Yes","",IF(COUNTIFS(nrES_PID,$D550,nrES_Code,$F550,nrES_Att,2)&gt;0,"Retested",IF(OR($T550="",NOT(ISNUMBER($T550))),"Pending",IF(TODAY()&gt;$T550,"OVERDUE","Due "&amp;TEXT($T550,"mm/dd")))))</f>
        <v/>
      </c>
      <c r="V550" s="14" t="n"/>
      <c r="W550" s="14" t="n"/>
    </row>
    <row r="551">
      <c r="B551" s="15">
        <f>IF($C551="","",$D551&amp;"-"&amp;$F551&amp;"-"&amp;$K551)</f>
        <v/>
      </c>
      <c r="C551" s="14" t="n"/>
      <c r="D551" s="15">
        <f>IF($C551="","",IFERROR(INDEX(rngCadetPIDs,MATCH($C551,rngCadetNames,0)),"?"))</f>
        <v/>
      </c>
      <c r="E551" s="15">
        <f>IF($D551="","",IFERROR(INDEX(nrCadetAgency,MATCH($D551,rngCadetPIDs,0)),""))</f>
        <v/>
      </c>
      <c r="F551" s="14" t="n"/>
      <c r="G551" s="15">
        <f>IF($F551="","",IFERROR(INDEX(rngEPname,MATCH($F551,rngEPcode,0)),"?"))</f>
        <v/>
      </c>
      <c r="H551" s="15">
        <f>IF($F551="","",IFERROR(INDEX(rngEPtype,MATCH($F551,rngEPcode,0)),"?"))</f>
        <v/>
      </c>
      <c r="I551" s="15">
        <f>IF($F551="","",IFERROR(INDEX(rngEPseq,MATCH($F551,rngEPcode,0)),""))</f>
        <v/>
      </c>
      <c r="J551" s="15">
        <f>IF($F551="","",IFERROR(INDEX(rngEPpass,MATCH($F551,rngEPcode,0)),cfgPassingScore))</f>
        <v/>
      </c>
      <c r="K551" s="14" t="n"/>
      <c r="L551" s="14" t="n"/>
      <c r="M551" s="15">
        <f>IF($C551="","",IF($L551="","",IF($K551=1,IF(COUNTIFS(nrES_PID,$D551,nrES_Code,$F551,nrES_Att,2)&gt;0,"",$L551),IF(COUNTIFS(nrES_PID,$D551,nrES_Code,$F551,nrES_Att,1)=0,$L551,IF($L551&gt;=$J551,cfgRetakeRecordedCap,SUMIFS(nrES_Raw,nrES_PID,$D551,nrES_Code,$F551,nrES_Att,1))))))</f>
        <v/>
      </c>
      <c r="N551" s="15">
        <f>IF($C551="","",IF($L551="","",IF($L551&gt;=$J551,"Yes","No")))</f>
        <v/>
      </c>
      <c r="O551" s="15">
        <f>IF($C551="","",IF($M551="","",IF($M551&gt;=$J551,"Yes","No")))</f>
        <v/>
      </c>
      <c r="P551" s="15">
        <f>IF($C551="","",IF($K551="","",IF(COUNTIFS(nrES_PID,$D551,nrES_Code,$F551,nrES_Att,"&gt;"&amp;$K551)=0,"Yes","No")))</f>
        <v/>
      </c>
      <c r="Q551" s="15">
        <f>IF($C551="","",IF($L551="","",IF(AND($K551=1,$L551&lt;$J551,COUNTIFS(nrES_PID,$D551,nrES_Code,$F551,nrES_Att,2)=0),"Yes","No")))</f>
        <v/>
      </c>
      <c r="R551" s="15">
        <f>IF($C551="","",IF($L551="","",IF(AND($K551=2,$L551&lt;$J551,COUNTIFS(nrES_PID,$D551,nrES_Code,$F551,nrES_Att,1)&gt;0),"Yes","No")))</f>
        <v/>
      </c>
      <c r="S551" s="16" t="n"/>
      <c r="T551" s="17">
        <f>IF($Q551&lt;&gt;"Yes","",IF($S551="","(enter date)",_xlfn.LET(_xlpm.dn,IFERROR(_xlfn.XLOOKUP($S551,nrCDdate,nrCDnum),""),IF(_xlpm.dn="","(not a class day)",IFERROR(_xlfn.XLOOKUP(_xlpm.dn+cfgRetestClassDays,nrCDnum,nrCDdate),"")))))</f>
        <v/>
      </c>
      <c r="U551" s="15">
        <f>IF($Q551&lt;&gt;"Yes","",IF(COUNTIFS(nrES_PID,$D551,nrES_Code,$F551,nrES_Att,2)&gt;0,"Retested",IF(OR($T551="",NOT(ISNUMBER($T551))),"Pending",IF(TODAY()&gt;$T551,"OVERDUE","Due "&amp;TEXT($T551,"mm/dd")))))</f>
        <v/>
      </c>
      <c r="V551" s="14" t="n"/>
      <c r="W551" s="14" t="n"/>
    </row>
    <row r="552">
      <c r="B552" s="15">
        <f>IF($C552="","",$D552&amp;"-"&amp;$F552&amp;"-"&amp;$K552)</f>
        <v/>
      </c>
      <c r="C552" s="14" t="n"/>
      <c r="D552" s="15">
        <f>IF($C552="","",IFERROR(INDEX(rngCadetPIDs,MATCH($C552,rngCadetNames,0)),"?"))</f>
        <v/>
      </c>
      <c r="E552" s="15">
        <f>IF($D552="","",IFERROR(INDEX(nrCadetAgency,MATCH($D552,rngCadetPIDs,0)),""))</f>
        <v/>
      </c>
      <c r="F552" s="14" t="n"/>
      <c r="G552" s="15">
        <f>IF($F552="","",IFERROR(INDEX(rngEPname,MATCH($F552,rngEPcode,0)),"?"))</f>
        <v/>
      </c>
      <c r="H552" s="15">
        <f>IF($F552="","",IFERROR(INDEX(rngEPtype,MATCH($F552,rngEPcode,0)),"?"))</f>
        <v/>
      </c>
      <c r="I552" s="15">
        <f>IF($F552="","",IFERROR(INDEX(rngEPseq,MATCH($F552,rngEPcode,0)),""))</f>
        <v/>
      </c>
      <c r="J552" s="15">
        <f>IF($F552="","",IFERROR(INDEX(rngEPpass,MATCH($F552,rngEPcode,0)),cfgPassingScore))</f>
        <v/>
      </c>
      <c r="K552" s="14" t="n"/>
      <c r="L552" s="14" t="n"/>
      <c r="M552" s="15">
        <f>IF($C552="","",IF($L552="","",IF($K552=1,IF(COUNTIFS(nrES_PID,$D552,nrES_Code,$F552,nrES_Att,2)&gt;0,"",$L552),IF(COUNTIFS(nrES_PID,$D552,nrES_Code,$F552,nrES_Att,1)=0,$L552,IF($L552&gt;=$J552,cfgRetakeRecordedCap,SUMIFS(nrES_Raw,nrES_PID,$D552,nrES_Code,$F552,nrES_Att,1))))))</f>
        <v/>
      </c>
      <c r="N552" s="15">
        <f>IF($C552="","",IF($L552="","",IF($L552&gt;=$J552,"Yes","No")))</f>
        <v/>
      </c>
      <c r="O552" s="15">
        <f>IF($C552="","",IF($M552="","",IF($M552&gt;=$J552,"Yes","No")))</f>
        <v/>
      </c>
      <c r="P552" s="15">
        <f>IF($C552="","",IF($K552="","",IF(COUNTIFS(nrES_PID,$D552,nrES_Code,$F552,nrES_Att,"&gt;"&amp;$K552)=0,"Yes","No")))</f>
        <v/>
      </c>
      <c r="Q552" s="15">
        <f>IF($C552="","",IF($L552="","",IF(AND($K552=1,$L552&lt;$J552,COUNTIFS(nrES_PID,$D552,nrES_Code,$F552,nrES_Att,2)=0),"Yes","No")))</f>
        <v/>
      </c>
      <c r="R552" s="15">
        <f>IF($C552="","",IF($L552="","",IF(AND($K552=2,$L552&lt;$J552,COUNTIFS(nrES_PID,$D552,nrES_Code,$F552,nrES_Att,1)&gt;0),"Yes","No")))</f>
        <v/>
      </c>
      <c r="S552" s="16" t="n"/>
      <c r="T552" s="17">
        <f>IF($Q552&lt;&gt;"Yes","",IF($S552="","(enter date)",_xlfn.LET(_xlpm.dn,IFERROR(_xlfn.XLOOKUP($S552,nrCDdate,nrCDnum),""),IF(_xlpm.dn="","(not a class day)",IFERROR(_xlfn.XLOOKUP(_xlpm.dn+cfgRetestClassDays,nrCDnum,nrCDdate),"")))))</f>
        <v/>
      </c>
      <c r="U552" s="15">
        <f>IF($Q552&lt;&gt;"Yes","",IF(COUNTIFS(nrES_PID,$D552,nrES_Code,$F552,nrES_Att,2)&gt;0,"Retested",IF(OR($T552="",NOT(ISNUMBER($T552))),"Pending",IF(TODAY()&gt;$T552,"OVERDUE","Due "&amp;TEXT($T552,"mm/dd")))))</f>
        <v/>
      </c>
      <c r="V552" s="14" t="n"/>
      <c r="W552" s="14" t="n"/>
    </row>
    <row r="553">
      <c r="B553" s="15">
        <f>IF($C553="","",$D553&amp;"-"&amp;$F553&amp;"-"&amp;$K553)</f>
        <v/>
      </c>
      <c r="C553" s="14" t="n"/>
      <c r="D553" s="15">
        <f>IF($C553="","",IFERROR(INDEX(rngCadetPIDs,MATCH($C553,rngCadetNames,0)),"?"))</f>
        <v/>
      </c>
      <c r="E553" s="15">
        <f>IF($D553="","",IFERROR(INDEX(nrCadetAgency,MATCH($D553,rngCadetPIDs,0)),""))</f>
        <v/>
      </c>
      <c r="F553" s="14" t="n"/>
      <c r="G553" s="15">
        <f>IF($F553="","",IFERROR(INDEX(rngEPname,MATCH($F553,rngEPcode,0)),"?"))</f>
        <v/>
      </c>
      <c r="H553" s="15">
        <f>IF($F553="","",IFERROR(INDEX(rngEPtype,MATCH($F553,rngEPcode,0)),"?"))</f>
        <v/>
      </c>
      <c r="I553" s="15">
        <f>IF($F553="","",IFERROR(INDEX(rngEPseq,MATCH($F553,rngEPcode,0)),""))</f>
        <v/>
      </c>
      <c r="J553" s="15">
        <f>IF($F553="","",IFERROR(INDEX(rngEPpass,MATCH($F553,rngEPcode,0)),cfgPassingScore))</f>
        <v/>
      </c>
      <c r="K553" s="14" t="n"/>
      <c r="L553" s="14" t="n"/>
      <c r="M553" s="15">
        <f>IF($C553="","",IF($L553="","",IF($K553=1,IF(COUNTIFS(nrES_PID,$D553,nrES_Code,$F553,nrES_Att,2)&gt;0,"",$L553),IF(COUNTIFS(nrES_PID,$D553,nrES_Code,$F553,nrES_Att,1)=0,$L553,IF($L553&gt;=$J553,cfgRetakeRecordedCap,SUMIFS(nrES_Raw,nrES_PID,$D553,nrES_Code,$F553,nrES_Att,1))))))</f>
        <v/>
      </c>
      <c r="N553" s="15">
        <f>IF($C553="","",IF($L553="","",IF($L553&gt;=$J553,"Yes","No")))</f>
        <v/>
      </c>
      <c r="O553" s="15">
        <f>IF($C553="","",IF($M553="","",IF($M553&gt;=$J553,"Yes","No")))</f>
        <v/>
      </c>
      <c r="P553" s="15">
        <f>IF($C553="","",IF($K553="","",IF(COUNTIFS(nrES_PID,$D553,nrES_Code,$F553,nrES_Att,"&gt;"&amp;$K553)=0,"Yes","No")))</f>
        <v/>
      </c>
      <c r="Q553" s="15">
        <f>IF($C553="","",IF($L553="","",IF(AND($K553=1,$L553&lt;$J553,COUNTIFS(nrES_PID,$D553,nrES_Code,$F553,nrES_Att,2)=0),"Yes","No")))</f>
        <v/>
      </c>
      <c r="R553" s="15">
        <f>IF($C553="","",IF($L553="","",IF(AND($K553=2,$L553&lt;$J553,COUNTIFS(nrES_PID,$D553,nrES_Code,$F553,nrES_Att,1)&gt;0),"Yes","No")))</f>
        <v/>
      </c>
      <c r="S553" s="16" t="n"/>
      <c r="T553" s="17">
        <f>IF($Q553&lt;&gt;"Yes","",IF($S553="","(enter date)",_xlfn.LET(_xlpm.dn,IFERROR(_xlfn.XLOOKUP($S553,nrCDdate,nrCDnum),""),IF(_xlpm.dn="","(not a class day)",IFERROR(_xlfn.XLOOKUP(_xlpm.dn+cfgRetestClassDays,nrCDnum,nrCDdate),"")))))</f>
        <v/>
      </c>
      <c r="U553" s="15">
        <f>IF($Q553&lt;&gt;"Yes","",IF(COUNTIFS(nrES_PID,$D553,nrES_Code,$F553,nrES_Att,2)&gt;0,"Retested",IF(OR($T553="",NOT(ISNUMBER($T553))),"Pending",IF(TODAY()&gt;$T553,"OVERDUE","Due "&amp;TEXT($T553,"mm/dd")))))</f>
        <v/>
      </c>
      <c r="V553" s="14" t="n"/>
      <c r="W553" s="14" t="n"/>
    </row>
    <row r="554">
      <c r="B554" s="15">
        <f>IF($C554="","",$D554&amp;"-"&amp;$F554&amp;"-"&amp;$K554)</f>
        <v/>
      </c>
      <c r="C554" s="14" t="n"/>
      <c r="D554" s="15">
        <f>IF($C554="","",IFERROR(INDEX(rngCadetPIDs,MATCH($C554,rngCadetNames,0)),"?"))</f>
        <v/>
      </c>
      <c r="E554" s="15">
        <f>IF($D554="","",IFERROR(INDEX(nrCadetAgency,MATCH($D554,rngCadetPIDs,0)),""))</f>
        <v/>
      </c>
      <c r="F554" s="14" t="n"/>
      <c r="G554" s="15">
        <f>IF($F554="","",IFERROR(INDEX(rngEPname,MATCH($F554,rngEPcode,0)),"?"))</f>
        <v/>
      </c>
      <c r="H554" s="15">
        <f>IF($F554="","",IFERROR(INDEX(rngEPtype,MATCH($F554,rngEPcode,0)),"?"))</f>
        <v/>
      </c>
      <c r="I554" s="15">
        <f>IF($F554="","",IFERROR(INDEX(rngEPseq,MATCH($F554,rngEPcode,0)),""))</f>
        <v/>
      </c>
      <c r="J554" s="15">
        <f>IF($F554="","",IFERROR(INDEX(rngEPpass,MATCH($F554,rngEPcode,0)),cfgPassingScore))</f>
        <v/>
      </c>
      <c r="K554" s="14" t="n"/>
      <c r="L554" s="14" t="n"/>
      <c r="M554" s="15">
        <f>IF($C554="","",IF($L554="","",IF($K554=1,IF(COUNTIFS(nrES_PID,$D554,nrES_Code,$F554,nrES_Att,2)&gt;0,"",$L554),IF(COUNTIFS(nrES_PID,$D554,nrES_Code,$F554,nrES_Att,1)=0,$L554,IF($L554&gt;=$J554,cfgRetakeRecordedCap,SUMIFS(nrES_Raw,nrES_PID,$D554,nrES_Code,$F554,nrES_Att,1))))))</f>
        <v/>
      </c>
      <c r="N554" s="15">
        <f>IF($C554="","",IF($L554="","",IF($L554&gt;=$J554,"Yes","No")))</f>
        <v/>
      </c>
      <c r="O554" s="15">
        <f>IF($C554="","",IF($M554="","",IF($M554&gt;=$J554,"Yes","No")))</f>
        <v/>
      </c>
      <c r="P554" s="15">
        <f>IF($C554="","",IF($K554="","",IF(COUNTIFS(nrES_PID,$D554,nrES_Code,$F554,nrES_Att,"&gt;"&amp;$K554)=0,"Yes","No")))</f>
        <v/>
      </c>
      <c r="Q554" s="15">
        <f>IF($C554="","",IF($L554="","",IF(AND($K554=1,$L554&lt;$J554,COUNTIFS(nrES_PID,$D554,nrES_Code,$F554,nrES_Att,2)=0),"Yes","No")))</f>
        <v/>
      </c>
      <c r="R554" s="15">
        <f>IF($C554="","",IF($L554="","",IF(AND($K554=2,$L554&lt;$J554,COUNTIFS(nrES_PID,$D554,nrES_Code,$F554,nrES_Att,1)&gt;0),"Yes","No")))</f>
        <v/>
      </c>
      <c r="S554" s="16" t="n"/>
      <c r="T554" s="17">
        <f>IF($Q554&lt;&gt;"Yes","",IF($S554="","(enter date)",_xlfn.LET(_xlpm.dn,IFERROR(_xlfn.XLOOKUP($S554,nrCDdate,nrCDnum),""),IF(_xlpm.dn="","(not a class day)",IFERROR(_xlfn.XLOOKUP(_xlpm.dn+cfgRetestClassDays,nrCDnum,nrCDdate),"")))))</f>
        <v/>
      </c>
      <c r="U554" s="15">
        <f>IF($Q554&lt;&gt;"Yes","",IF(COUNTIFS(nrES_PID,$D554,nrES_Code,$F554,nrES_Att,2)&gt;0,"Retested",IF(OR($T554="",NOT(ISNUMBER($T554))),"Pending",IF(TODAY()&gt;$T554,"OVERDUE","Due "&amp;TEXT($T554,"mm/dd")))))</f>
        <v/>
      </c>
      <c r="V554" s="14" t="n"/>
      <c r="W554" s="14" t="n"/>
    </row>
    <row r="555">
      <c r="B555" s="15">
        <f>IF($C555="","",$D555&amp;"-"&amp;$F555&amp;"-"&amp;$K555)</f>
        <v/>
      </c>
      <c r="C555" s="14" t="n"/>
      <c r="D555" s="15">
        <f>IF($C555="","",IFERROR(INDEX(rngCadetPIDs,MATCH($C555,rngCadetNames,0)),"?"))</f>
        <v/>
      </c>
      <c r="E555" s="15">
        <f>IF($D555="","",IFERROR(INDEX(nrCadetAgency,MATCH($D555,rngCadetPIDs,0)),""))</f>
        <v/>
      </c>
      <c r="F555" s="14" t="n"/>
      <c r="G555" s="15">
        <f>IF($F555="","",IFERROR(INDEX(rngEPname,MATCH($F555,rngEPcode,0)),"?"))</f>
        <v/>
      </c>
      <c r="H555" s="15">
        <f>IF($F555="","",IFERROR(INDEX(rngEPtype,MATCH($F555,rngEPcode,0)),"?"))</f>
        <v/>
      </c>
      <c r="I555" s="15">
        <f>IF($F555="","",IFERROR(INDEX(rngEPseq,MATCH($F555,rngEPcode,0)),""))</f>
        <v/>
      </c>
      <c r="J555" s="15">
        <f>IF($F555="","",IFERROR(INDEX(rngEPpass,MATCH($F555,rngEPcode,0)),cfgPassingScore))</f>
        <v/>
      </c>
      <c r="K555" s="14" t="n"/>
      <c r="L555" s="14" t="n"/>
      <c r="M555" s="15">
        <f>IF($C555="","",IF($L555="","",IF($K555=1,IF(COUNTIFS(nrES_PID,$D555,nrES_Code,$F555,nrES_Att,2)&gt;0,"",$L555),IF(COUNTIFS(nrES_PID,$D555,nrES_Code,$F555,nrES_Att,1)=0,$L555,IF($L555&gt;=$J555,cfgRetakeRecordedCap,SUMIFS(nrES_Raw,nrES_PID,$D555,nrES_Code,$F555,nrES_Att,1))))))</f>
        <v/>
      </c>
      <c r="N555" s="15">
        <f>IF($C555="","",IF($L555="","",IF($L555&gt;=$J555,"Yes","No")))</f>
        <v/>
      </c>
      <c r="O555" s="15">
        <f>IF($C555="","",IF($M555="","",IF($M555&gt;=$J555,"Yes","No")))</f>
        <v/>
      </c>
      <c r="P555" s="15">
        <f>IF($C555="","",IF($K555="","",IF(COUNTIFS(nrES_PID,$D555,nrES_Code,$F555,nrES_Att,"&gt;"&amp;$K555)=0,"Yes","No")))</f>
        <v/>
      </c>
      <c r="Q555" s="15">
        <f>IF($C555="","",IF($L555="","",IF(AND($K555=1,$L555&lt;$J555,COUNTIFS(nrES_PID,$D555,nrES_Code,$F555,nrES_Att,2)=0),"Yes","No")))</f>
        <v/>
      </c>
      <c r="R555" s="15">
        <f>IF($C555="","",IF($L555="","",IF(AND($K555=2,$L555&lt;$J555,COUNTIFS(nrES_PID,$D555,nrES_Code,$F555,nrES_Att,1)&gt;0),"Yes","No")))</f>
        <v/>
      </c>
      <c r="S555" s="16" t="n"/>
      <c r="T555" s="17">
        <f>IF($Q555&lt;&gt;"Yes","",IF($S555="","(enter date)",_xlfn.LET(_xlpm.dn,IFERROR(_xlfn.XLOOKUP($S555,nrCDdate,nrCDnum),""),IF(_xlpm.dn="","(not a class day)",IFERROR(_xlfn.XLOOKUP(_xlpm.dn+cfgRetestClassDays,nrCDnum,nrCDdate),"")))))</f>
        <v/>
      </c>
      <c r="U555" s="15">
        <f>IF($Q555&lt;&gt;"Yes","",IF(COUNTIFS(nrES_PID,$D555,nrES_Code,$F555,nrES_Att,2)&gt;0,"Retested",IF(OR($T555="",NOT(ISNUMBER($T555))),"Pending",IF(TODAY()&gt;$T555,"OVERDUE","Due "&amp;TEXT($T555,"mm/dd")))))</f>
        <v/>
      </c>
      <c r="V555" s="14" t="n"/>
      <c r="W555" s="14" t="n"/>
    </row>
    <row r="556">
      <c r="B556" s="15">
        <f>IF($C556="","",$D556&amp;"-"&amp;$F556&amp;"-"&amp;$K556)</f>
        <v/>
      </c>
      <c r="C556" s="14" t="n"/>
      <c r="D556" s="15">
        <f>IF($C556="","",IFERROR(INDEX(rngCadetPIDs,MATCH($C556,rngCadetNames,0)),"?"))</f>
        <v/>
      </c>
      <c r="E556" s="15">
        <f>IF($D556="","",IFERROR(INDEX(nrCadetAgency,MATCH($D556,rngCadetPIDs,0)),""))</f>
        <v/>
      </c>
      <c r="F556" s="14" t="n"/>
      <c r="G556" s="15">
        <f>IF($F556="","",IFERROR(INDEX(rngEPname,MATCH($F556,rngEPcode,0)),"?"))</f>
        <v/>
      </c>
      <c r="H556" s="15">
        <f>IF($F556="","",IFERROR(INDEX(rngEPtype,MATCH($F556,rngEPcode,0)),"?"))</f>
        <v/>
      </c>
      <c r="I556" s="15">
        <f>IF($F556="","",IFERROR(INDEX(rngEPseq,MATCH($F556,rngEPcode,0)),""))</f>
        <v/>
      </c>
      <c r="J556" s="15">
        <f>IF($F556="","",IFERROR(INDEX(rngEPpass,MATCH($F556,rngEPcode,0)),cfgPassingScore))</f>
        <v/>
      </c>
      <c r="K556" s="14" t="n"/>
      <c r="L556" s="14" t="n"/>
      <c r="M556" s="15">
        <f>IF($C556="","",IF($L556="","",IF($K556=1,IF(COUNTIFS(nrES_PID,$D556,nrES_Code,$F556,nrES_Att,2)&gt;0,"",$L556),IF(COUNTIFS(nrES_PID,$D556,nrES_Code,$F556,nrES_Att,1)=0,$L556,IF($L556&gt;=$J556,cfgRetakeRecordedCap,SUMIFS(nrES_Raw,nrES_PID,$D556,nrES_Code,$F556,nrES_Att,1))))))</f>
        <v/>
      </c>
      <c r="N556" s="15">
        <f>IF($C556="","",IF($L556="","",IF($L556&gt;=$J556,"Yes","No")))</f>
        <v/>
      </c>
      <c r="O556" s="15">
        <f>IF($C556="","",IF($M556="","",IF($M556&gt;=$J556,"Yes","No")))</f>
        <v/>
      </c>
      <c r="P556" s="15">
        <f>IF($C556="","",IF($K556="","",IF(COUNTIFS(nrES_PID,$D556,nrES_Code,$F556,nrES_Att,"&gt;"&amp;$K556)=0,"Yes","No")))</f>
        <v/>
      </c>
      <c r="Q556" s="15">
        <f>IF($C556="","",IF($L556="","",IF(AND($K556=1,$L556&lt;$J556,COUNTIFS(nrES_PID,$D556,nrES_Code,$F556,nrES_Att,2)=0),"Yes","No")))</f>
        <v/>
      </c>
      <c r="R556" s="15">
        <f>IF($C556="","",IF($L556="","",IF(AND($K556=2,$L556&lt;$J556,COUNTIFS(nrES_PID,$D556,nrES_Code,$F556,nrES_Att,1)&gt;0),"Yes","No")))</f>
        <v/>
      </c>
      <c r="S556" s="16" t="n"/>
      <c r="T556" s="17">
        <f>IF($Q556&lt;&gt;"Yes","",IF($S556="","(enter date)",_xlfn.LET(_xlpm.dn,IFERROR(_xlfn.XLOOKUP($S556,nrCDdate,nrCDnum),""),IF(_xlpm.dn="","(not a class day)",IFERROR(_xlfn.XLOOKUP(_xlpm.dn+cfgRetestClassDays,nrCDnum,nrCDdate),"")))))</f>
        <v/>
      </c>
      <c r="U556" s="15">
        <f>IF($Q556&lt;&gt;"Yes","",IF(COUNTIFS(nrES_PID,$D556,nrES_Code,$F556,nrES_Att,2)&gt;0,"Retested",IF(OR($T556="",NOT(ISNUMBER($T556))),"Pending",IF(TODAY()&gt;$T556,"OVERDUE","Due "&amp;TEXT($T556,"mm/dd")))))</f>
        <v/>
      </c>
      <c r="V556" s="14" t="n"/>
      <c r="W556" s="14" t="n"/>
    </row>
    <row r="557">
      <c r="B557" s="15">
        <f>IF($C557="","",$D557&amp;"-"&amp;$F557&amp;"-"&amp;$K557)</f>
        <v/>
      </c>
      <c r="C557" s="14" t="n"/>
      <c r="D557" s="15">
        <f>IF($C557="","",IFERROR(INDEX(rngCadetPIDs,MATCH($C557,rngCadetNames,0)),"?"))</f>
        <v/>
      </c>
      <c r="E557" s="15">
        <f>IF($D557="","",IFERROR(INDEX(nrCadetAgency,MATCH($D557,rngCadetPIDs,0)),""))</f>
        <v/>
      </c>
      <c r="F557" s="14" t="n"/>
      <c r="G557" s="15">
        <f>IF($F557="","",IFERROR(INDEX(rngEPname,MATCH($F557,rngEPcode,0)),"?"))</f>
        <v/>
      </c>
      <c r="H557" s="15">
        <f>IF($F557="","",IFERROR(INDEX(rngEPtype,MATCH($F557,rngEPcode,0)),"?"))</f>
        <v/>
      </c>
      <c r="I557" s="15">
        <f>IF($F557="","",IFERROR(INDEX(rngEPseq,MATCH($F557,rngEPcode,0)),""))</f>
        <v/>
      </c>
      <c r="J557" s="15">
        <f>IF($F557="","",IFERROR(INDEX(rngEPpass,MATCH($F557,rngEPcode,0)),cfgPassingScore))</f>
        <v/>
      </c>
      <c r="K557" s="14" t="n"/>
      <c r="L557" s="14" t="n"/>
      <c r="M557" s="15">
        <f>IF($C557="","",IF($L557="","",IF($K557=1,IF(COUNTIFS(nrES_PID,$D557,nrES_Code,$F557,nrES_Att,2)&gt;0,"",$L557),IF(COUNTIFS(nrES_PID,$D557,nrES_Code,$F557,nrES_Att,1)=0,$L557,IF($L557&gt;=$J557,cfgRetakeRecordedCap,SUMIFS(nrES_Raw,nrES_PID,$D557,nrES_Code,$F557,nrES_Att,1))))))</f>
        <v/>
      </c>
      <c r="N557" s="15">
        <f>IF($C557="","",IF($L557="","",IF($L557&gt;=$J557,"Yes","No")))</f>
        <v/>
      </c>
      <c r="O557" s="15">
        <f>IF($C557="","",IF($M557="","",IF($M557&gt;=$J557,"Yes","No")))</f>
        <v/>
      </c>
      <c r="P557" s="15">
        <f>IF($C557="","",IF($K557="","",IF(COUNTIFS(nrES_PID,$D557,nrES_Code,$F557,nrES_Att,"&gt;"&amp;$K557)=0,"Yes","No")))</f>
        <v/>
      </c>
      <c r="Q557" s="15">
        <f>IF($C557="","",IF($L557="","",IF(AND($K557=1,$L557&lt;$J557,COUNTIFS(nrES_PID,$D557,nrES_Code,$F557,nrES_Att,2)=0),"Yes","No")))</f>
        <v/>
      </c>
      <c r="R557" s="15">
        <f>IF($C557="","",IF($L557="","",IF(AND($K557=2,$L557&lt;$J557,COUNTIFS(nrES_PID,$D557,nrES_Code,$F557,nrES_Att,1)&gt;0),"Yes","No")))</f>
        <v/>
      </c>
      <c r="S557" s="16" t="n"/>
      <c r="T557" s="17">
        <f>IF($Q557&lt;&gt;"Yes","",IF($S557="","(enter date)",_xlfn.LET(_xlpm.dn,IFERROR(_xlfn.XLOOKUP($S557,nrCDdate,nrCDnum),""),IF(_xlpm.dn="","(not a class day)",IFERROR(_xlfn.XLOOKUP(_xlpm.dn+cfgRetestClassDays,nrCDnum,nrCDdate),"")))))</f>
        <v/>
      </c>
      <c r="U557" s="15">
        <f>IF($Q557&lt;&gt;"Yes","",IF(COUNTIFS(nrES_PID,$D557,nrES_Code,$F557,nrES_Att,2)&gt;0,"Retested",IF(OR($T557="",NOT(ISNUMBER($T557))),"Pending",IF(TODAY()&gt;$T557,"OVERDUE","Due "&amp;TEXT($T557,"mm/dd")))))</f>
        <v/>
      </c>
      <c r="V557" s="14" t="n"/>
      <c r="W557" s="14" t="n"/>
    </row>
    <row r="558">
      <c r="B558" s="15">
        <f>IF($C558="","",$D558&amp;"-"&amp;$F558&amp;"-"&amp;$K558)</f>
        <v/>
      </c>
      <c r="C558" s="14" t="n"/>
      <c r="D558" s="15">
        <f>IF($C558="","",IFERROR(INDEX(rngCadetPIDs,MATCH($C558,rngCadetNames,0)),"?"))</f>
        <v/>
      </c>
      <c r="E558" s="15">
        <f>IF($D558="","",IFERROR(INDEX(nrCadetAgency,MATCH($D558,rngCadetPIDs,0)),""))</f>
        <v/>
      </c>
      <c r="F558" s="14" t="n"/>
      <c r="G558" s="15">
        <f>IF($F558="","",IFERROR(INDEX(rngEPname,MATCH($F558,rngEPcode,0)),"?"))</f>
        <v/>
      </c>
      <c r="H558" s="15">
        <f>IF($F558="","",IFERROR(INDEX(rngEPtype,MATCH($F558,rngEPcode,0)),"?"))</f>
        <v/>
      </c>
      <c r="I558" s="15">
        <f>IF($F558="","",IFERROR(INDEX(rngEPseq,MATCH($F558,rngEPcode,0)),""))</f>
        <v/>
      </c>
      <c r="J558" s="15">
        <f>IF($F558="","",IFERROR(INDEX(rngEPpass,MATCH($F558,rngEPcode,0)),cfgPassingScore))</f>
        <v/>
      </c>
      <c r="K558" s="14" t="n"/>
      <c r="L558" s="14" t="n"/>
      <c r="M558" s="15">
        <f>IF($C558="","",IF($L558="","",IF($K558=1,IF(COUNTIFS(nrES_PID,$D558,nrES_Code,$F558,nrES_Att,2)&gt;0,"",$L558),IF(COUNTIFS(nrES_PID,$D558,nrES_Code,$F558,nrES_Att,1)=0,$L558,IF($L558&gt;=$J558,cfgRetakeRecordedCap,SUMIFS(nrES_Raw,nrES_PID,$D558,nrES_Code,$F558,nrES_Att,1))))))</f>
        <v/>
      </c>
      <c r="N558" s="15">
        <f>IF($C558="","",IF($L558="","",IF($L558&gt;=$J558,"Yes","No")))</f>
        <v/>
      </c>
      <c r="O558" s="15">
        <f>IF($C558="","",IF($M558="","",IF($M558&gt;=$J558,"Yes","No")))</f>
        <v/>
      </c>
      <c r="P558" s="15">
        <f>IF($C558="","",IF($K558="","",IF(COUNTIFS(nrES_PID,$D558,nrES_Code,$F558,nrES_Att,"&gt;"&amp;$K558)=0,"Yes","No")))</f>
        <v/>
      </c>
      <c r="Q558" s="15">
        <f>IF($C558="","",IF($L558="","",IF(AND($K558=1,$L558&lt;$J558,COUNTIFS(nrES_PID,$D558,nrES_Code,$F558,nrES_Att,2)=0),"Yes","No")))</f>
        <v/>
      </c>
      <c r="R558" s="15">
        <f>IF($C558="","",IF($L558="","",IF(AND($K558=2,$L558&lt;$J558,COUNTIFS(nrES_PID,$D558,nrES_Code,$F558,nrES_Att,1)&gt;0),"Yes","No")))</f>
        <v/>
      </c>
      <c r="S558" s="16" t="n"/>
      <c r="T558" s="17">
        <f>IF($Q558&lt;&gt;"Yes","",IF($S558="","(enter date)",_xlfn.LET(_xlpm.dn,IFERROR(_xlfn.XLOOKUP($S558,nrCDdate,nrCDnum),""),IF(_xlpm.dn="","(not a class day)",IFERROR(_xlfn.XLOOKUP(_xlpm.dn+cfgRetestClassDays,nrCDnum,nrCDdate),"")))))</f>
        <v/>
      </c>
      <c r="U558" s="15">
        <f>IF($Q558&lt;&gt;"Yes","",IF(COUNTIFS(nrES_PID,$D558,nrES_Code,$F558,nrES_Att,2)&gt;0,"Retested",IF(OR($T558="",NOT(ISNUMBER($T558))),"Pending",IF(TODAY()&gt;$T558,"OVERDUE","Due "&amp;TEXT($T558,"mm/dd")))))</f>
        <v/>
      </c>
      <c r="V558" s="14" t="n"/>
      <c r="W558" s="14" t="n"/>
    </row>
    <row r="559">
      <c r="B559" s="15">
        <f>IF($C559="","",$D559&amp;"-"&amp;$F559&amp;"-"&amp;$K559)</f>
        <v/>
      </c>
      <c r="C559" s="14" t="n"/>
      <c r="D559" s="15">
        <f>IF($C559="","",IFERROR(INDEX(rngCadetPIDs,MATCH($C559,rngCadetNames,0)),"?"))</f>
        <v/>
      </c>
      <c r="E559" s="15">
        <f>IF($D559="","",IFERROR(INDEX(nrCadetAgency,MATCH($D559,rngCadetPIDs,0)),""))</f>
        <v/>
      </c>
      <c r="F559" s="14" t="n"/>
      <c r="G559" s="15">
        <f>IF($F559="","",IFERROR(INDEX(rngEPname,MATCH($F559,rngEPcode,0)),"?"))</f>
        <v/>
      </c>
      <c r="H559" s="15">
        <f>IF($F559="","",IFERROR(INDEX(rngEPtype,MATCH($F559,rngEPcode,0)),"?"))</f>
        <v/>
      </c>
      <c r="I559" s="15">
        <f>IF($F559="","",IFERROR(INDEX(rngEPseq,MATCH($F559,rngEPcode,0)),""))</f>
        <v/>
      </c>
      <c r="J559" s="15">
        <f>IF($F559="","",IFERROR(INDEX(rngEPpass,MATCH($F559,rngEPcode,0)),cfgPassingScore))</f>
        <v/>
      </c>
      <c r="K559" s="14" t="n"/>
      <c r="L559" s="14" t="n"/>
      <c r="M559" s="15">
        <f>IF($C559="","",IF($L559="","",IF($K559=1,IF(COUNTIFS(nrES_PID,$D559,nrES_Code,$F559,nrES_Att,2)&gt;0,"",$L559),IF(COUNTIFS(nrES_PID,$D559,nrES_Code,$F559,nrES_Att,1)=0,$L559,IF($L559&gt;=$J559,cfgRetakeRecordedCap,SUMIFS(nrES_Raw,nrES_PID,$D559,nrES_Code,$F559,nrES_Att,1))))))</f>
        <v/>
      </c>
      <c r="N559" s="15">
        <f>IF($C559="","",IF($L559="","",IF($L559&gt;=$J559,"Yes","No")))</f>
        <v/>
      </c>
      <c r="O559" s="15">
        <f>IF($C559="","",IF($M559="","",IF($M559&gt;=$J559,"Yes","No")))</f>
        <v/>
      </c>
      <c r="P559" s="15">
        <f>IF($C559="","",IF($K559="","",IF(COUNTIFS(nrES_PID,$D559,nrES_Code,$F559,nrES_Att,"&gt;"&amp;$K559)=0,"Yes","No")))</f>
        <v/>
      </c>
      <c r="Q559" s="15">
        <f>IF($C559="","",IF($L559="","",IF(AND($K559=1,$L559&lt;$J559,COUNTIFS(nrES_PID,$D559,nrES_Code,$F559,nrES_Att,2)=0),"Yes","No")))</f>
        <v/>
      </c>
      <c r="R559" s="15">
        <f>IF($C559="","",IF($L559="","",IF(AND($K559=2,$L559&lt;$J559,COUNTIFS(nrES_PID,$D559,nrES_Code,$F559,nrES_Att,1)&gt;0),"Yes","No")))</f>
        <v/>
      </c>
      <c r="S559" s="16" t="n"/>
      <c r="T559" s="17">
        <f>IF($Q559&lt;&gt;"Yes","",IF($S559="","(enter date)",_xlfn.LET(_xlpm.dn,IFERROR(_xlfn.XLOOKUP($S559,nrCDdate,nrCDnum),""),IF(_xlpm.dn="","(not a class day)",IFERROR(_xlfn.XLOOKUP(_xlpm.dn+cfgRetestClassDays,nrCDnum,nrCDdate),"")))))</f>
        <v/>
      </c>
      <c r="U559" s="15">
        <f>IF($Q559&lt;&gt;"Yes","",IF(COUNTIFS(nrES_PID,$D559,nrES_Code,$F559,nrES_Att,2)&gt;0,"Retested",IF(OR($T559="",NOT(ISNUMBER($T559))),"Pending",IF(TODAY()&gt;$T559,"OVERDUE","Due "&amp;TEXT($T559,"mm/dd")))))</f>
        <v/>
      </c>
      <c r="V559" s="14" t="n"/>
      <c r="W559" s="14" t="n"/>
    </row>
    <row r="560">
      <c r="B560" s="15">
        <f>IF($C560="","",$D560&amp;"-"&amp;$F560&amp;"-"&amp;$K560)</f>
        <v/>
      </c>
      <c r="C560" s="14" t="n"/>
      <c r="D560" s="15">
        <f>IF($C560="","",IFERROR(INDEX(rngCadetPIDs,MATCH($C560,rngCadetNames,0)),"?"))</f>
        <v/>
      </c>
      <c r="E560" s="15">
        <f>IF($D560="","",IFERROR(INDEX(nrCadetAgency,MATCH($D560,rngCadetPIDs,0)),""))</f>
        <v/>
      </c>
      <c r="F560" s="14" t="n"/>
      <c r="G560" s="15">
        <f>IF($F560="","",IFERROR(INDEX(rngEPname,MATCH($F560,rngEPcode,0)),"?"))</f>
        <v/>
      </c>
      <c r="H560" s="15">
        <f>IF($F560="","",IFERROR(INDEX(rngEPtype,MATCH($F560,rngEPcode,0)),"?"))</f>
        <v/>
      </c>
      <c r="I560" s="15">
        <f>IF($F560="","",IFERROR(INDEX(rngEPseq,MATCH($F560,rngEPcode,0)),""))</f>
        <v/>
      </c>
      <c r="J560" s="15">
        <f>IF($F560="","",IFERROR(INDEX(rngEPpass,MATCH($F560,rngEPcode,0)),cfgPassingScore))</f>
        <v/>
      </c>
      <c r="K560" s="14" t="n"/>
      <c r="L560" s="14" t="n"/>
      <c r="M560" s="15">
        <f>IF($C560="","",IF($L560="","",IF($K560=1,IF(COUNTIFS(nrES_PID,$D560,nrES_Code,$F560,nrES_Att,2)&gt;0,"",$L560),IF(COUNTIFS(nrES_PID,$D560,nrES_Code,$F560,nrES_Att,1)=0,$L560,IF($L560&gt;=$J560,cfgRetakeRecordedCap,SUMIFS(nrES_Raw,nrES_PID,$D560,nrES_Code,$F560,nrES_Att,1))))))</f>
        <v/>
      </c>
      <c r="N560" s="15">
        <f>IF($C560="","",IF($L560="","",IF($L560&gt;=$J560,"Yes","No")))</f>
        <v/>
      </c>
      <c r="O560" s="15">
        <f>IF($C560="","",IF($M560="","",IF($M560&gt;=$J560,"Yes","No")))</f>
        <v/>
      </c>
      <c r="P560" s="15">
        <f>IF($C560="","",IF($K560="","",IF(COUNTIFS(nrES_PID,$D560,nrES_Code,$F560,nrES_Att,"&gt;"&amp;$K560)=0,"Yes","No")))</f>
        <v/>
      </c>
      <c r="Q560" s="15">
        <f>IF($C560="","",IF($L560="","",IF(AND($K560=1,$L560&lt;$J560,COUNTIFS(nrES_PID,$D560,nrES_Code,$F560,nrES_Att,2)=0),"Yes","No")))</f>
        <v/>
      </c>
      <c r="R560" s="15">
        <f>IF($C560="","",IF($L560="","",IF(AND($K560=2,$L560&lt;$J560,COUNTIFS(nrES_PID,$D560,nrES_Code,$F560,nrES_Att,1)&gt;0),"Yes","No")))</f>
        <v/>
      </c>
      <c r="S560" s="16" t="n"/>
      <c r="T560" s="17">
        <f>IF($Q560&lt;&gt;"Yes","",IF($S560="","(enter date)",_xlfn.LET(_xlpm.dn,IFERROR(_xlfn.XLOOKUP($S560,nrCDdate,nrCDnum),""),IF(_xlpm.dn="","(not a class day)",IFERROR(_xlfn.XLOOKUP(_xlpm.dn+cfgRetestClassDays,nrCDnum,nrCDdate),"")))))</f>
        <v/>
      </c>
      <c r="U560" s="15">
        <f>IF($Q560&lt;&gt;"Yes","",IF(COUNTIFS(nrES_PID,$D560,nrES_Code,$F560,nrES_Att,2)&gt;0,"Retested",IF(OR($T560="",NOT(ISNUMBER($T560))),"Pending",IF(TODAY()&gt;$T560,"OVERDUE","Due "&amp;TEXT($T560,"mm/dd")))))</f>
        <v/>
      </c>
      <c r="V560" s="14" t="n"/>
      <c r="W560" s="14" t="n"/>
    </row>
    <row r="561">
      <c r="B561" s="15">
        <f>IF($C561="","",$D561&amp;"-"&amp;$F561&amp;"-"&amp;$K561)</f>
        <v/>
      </c>
      <c r="C561" s="14" t="n"/>
      <c r="D561" s="15">
        <f>IF($C561="","",IFERROR(INDEX(rngCadetPIDs,MATCH($C561,rngCadetNames,0)),"?"))</f>
        <v/>
      </c>
      <c r="E561" s="15">
        <f>IF($D561="","",IFERROR(INDEX(nrCadetAgency,MATCH($D561,rngCadetPIDs,0)),""))</f>
        <v/>
      </c>
      <c r="F561" s="14" t="n"/>
      <c r="G561" s="15">
        <f>IF($F561="","",IFERROR(INDEX(rngEPname,MATCH($F561,rngEPcode,0)),"?"))</f>
        <v/>
      </c>
      <c r="H561" s="15">
        <f>IF($F561="","",IFERROR(INDEX(rngEPtype,MATCH($F561,rngEPcode,0)),"?"))</f>
        <v/>
      </c>
      <c r="I561" s="15">
        <f>IF($F561="","",IFERROR(INDEX(rngEPseq,MATCH($F561,rngEPcode,0)),""))</f>
        <v/>
      </c>
      <c r="J561" s="15">
        <f>IF($F561="","",IFERROR(INDEX(rngEPpass,MATCH($F561,rngEPcode,0)),cfgPassingScore))</f>
        <v/>
      </c>
      <c r="K561" s="14" t="n"/>
      <c r="L561" s="14" t="n"/>
      <c r="M561" s="15">
        <f>IF($C561="","",IF($L561="","",IF($K561=1,IF(COUNTIFS(nrES_PID,$D561,nrES_Code,$F561,nrES_Att,2)&gt;0,"",$L561),IF(COUNTIFS(nrES_PID,$D561,nrES_Code,$F561,nrES_Att,1)=0,$L561,IF($L561&gt;=$J561,cfgRetakeRecordedCap,SUMIFS(nrES_Raw,nrES_PID,$D561,nrES_Code,$F561,nrES_Att,1))))))</f>
        <v/>
      </c>
      <c r="N561" s="15">
        <f>IF($C561="","",IF($L561="","",IF($L561&gt;=$J561,"Yes","No")))</f>
        <v/>
      </c>
      <c r="O561" s="15">
        <f>IF($C561="","",IF($M561="","",IF($M561&gt;=$J561,"Yes","No")))</f>
        <v/>
      </c>
      <c r="P561" s="15">
        <f>IF($C561="","",IF($K561="","",IF(COUNTIFS(nrES_PID,$D561,nrES_Code,$F561,nrES_Att,"&gt;"&amp;$K561)=0,"Yes","No")))</f>
        <v/>
      </c>
      <c r="Q561" s="15">
        <f>IF($C561="","",IF($L561="","",IF(AND($K561=1,$L561&lt;$J561,COUNTIFS(nrES_PID,$D561,nrES_Code,$F561,nrES_Att,2)=0),"Yes","No")))</f>
        <v/>
      </c>
      <c r="R561" s="15">
        <f>IF($C561="","",IF($L561="","",IF(AND($K561=2,$L561&lt;$J561,COUNTIFS(nrES_PID,$D561,nrES_Code,$F561,nrES_Att,1)&gt;0),"Yes","No")))</f>
        <v/>
      </c>
      <c r="S561" s="16" t="n"/>
      <c r="T561" s="17">
        <f>IF($Q561&lt;&gt;"Yes","",IF($S561="","(enter date)",_xlfn.LET(_xlpm.dn,IFERROR(_xlfn.XLOOKUP($S561,nrCDdate,nrCDnum),""),IF(_xlpm.dn="","(not a class day)",IFERROR(_xlfn.XLOOKUP(_xlpm.dn+cfgRetestClassDays,nrCDnum,nrCDdate),"")))))</f>
        <v/>
      </c>
      <c r="U561" s="15">
        <f>IF($Q561&lt;&gt;"Yes","",IF(COUNTIFS(nrES_PID,$D561,nrES_Code,$F561,nrES_Att,2)&gt;0,"Retested",IF(OR($T561="",NOT(ISNUMBER($T561))),"Pending",IF(TODAY()&gt;$T561,"OVERDUE","Due "&amp;TEXT($T561,"mm/dd")))))</f>
        <v/>
      </c>
      <c r="V561" s="14" t="n"/>
      <c r="W561" s="14" t="n"/>
    </row>
    <row r="562">
      <c r="B562" s="15">
        <f>IF($C562="","",$D562&amp;"-"&amp;$F562&amp;"-"&amp;$K562)</f>
        <v/>
      </c>
      <c r="C562" s="14" t="n"/>
      <c r="D562" s="15">
        <f>IF($C562="","",IFERROR(INDEX(rngCadetPIDs,MATCH($C562,rngCadetNames,0)),"?"))</f>
        <v/>
      </c>
      <c r="E562" s="15">
        <f>IF($D562="","",IFERROR(INDEX(nrCadetAgency,MATCH($D562,rngCadetPIDs,0)),""))</f>
        <v/>
      </c>
      <c r="F562" s="14" t="n"/>
      <c r="G562" s="15">
        <f>IF($F562="","",IFERROR(INDEX(rngEPname,MATCH($F562,rngEPcode,0)),"?"))</f>
        <v/>
      </c>
      <c r="H562" s="15">
        <f>IF($F562="","",IFERROR(INDEX(rngEPtype,MATCH($F562,rngEPcode,0)),"?"))</f>
        <v/>
      </c>
      <c r="I562" s="15">
        <f>IF($F562="","",IFERROR(INDEX(rngEPseq,MATCH($F562,rngEPcode,0)),""))</f>
        <v/>
      </c>
      <c r="J562" s="15">
        <f>IF($F562="","",IFERROR(INDEX(rngEPpass,MATCH($F562,rngEPcode,0)),cfgPassingScore))</f>
        <v/>
      </c>
      <c r="K562" s="14" t="n"/>
      <c r="L562" s="14" t="n"/>
      <c r="M562" s="15">
        <f>IF($C562="","",IF($L562="","",IF($K562=1,IF(COUNTIFS(nrES_PID,$D562,nrES_Code,$F562,nrES_Att,2)&gt;0,"",$L562),IF(COUNTIFS(nrES_PID,$D562,nrES_Code,$F562,nrES_Att,1)=0,$L562,IF($L562&gt;=$J562,cfgRetakeRecordedCap,SUMIFS(nrES_Raw,nrES_PID,$D562,nrES_Code,$F562,nrES_Att,1))))))</f>
        <v/>
      </c>
      <c r="N562" s="15">
        <f>IF($C562="","",IF($L562="","",IF($L562&gt;=$J562,"Yes","No")))</f>
        <v/>
      </c>
      <c r="O562" s="15">
        <f>IF($C562="","",IF($M562="","",IF($M562&gt;=$J562,"Yes","No")))</f>
        <v/>
      </c>
      <c r="P562" s="15">
        <f>IF($C562="","",IF($K562="","",IF(COUNTIFS(nrES_PID,$D562,nrES_Code,$F562,nrES_Att,"&gt;"&amp;$K562)=0,"Yes","No")))</f>
        <v/>
      </c>
      <c r="Q562" s="15">
        <f>IF($C562="","",IF($L562="","",IF(AND($K562=1,$L562&lt;$J562,COUNTIFS(nrES_PID,$D562,nrES_Code,$F562,nrES_Att,2)=0),"Yes","No")))</f>
        <v/>
      </c>
      <c r="R562" s="15">
        <f>IF($C562="","",IF($L562="","",IF(AND($K562=2,$L562&lt;$J562,COUNTIFS(nrES_PID,$D562,nrES_Code,$F562,nrES_Att,1)&gt;0),"Yes","No")))</f>
        <v/>
      </c>
      <c r="S562" s="16" t="n"/>
      <c r="T562" s="17">
        <f>IF($Q562&lt;&gt;"Yes","",IF($S562="","(enter date)",_xlfn.LET(_xlpm.dn,IFERROR(_xlfn.XLOOKUP($S562,nrCDdate,nrCDnum),""),IF(_xlpm.dn="","(not a class day)",IFERROR(_xlfn.XLOOKUP(_xlpm.dn+cfgRetestClassDays,nrCDnum,nrCDdate),"")))))</f>
        <v/>
      </c>
      <c r="U562" s="15">
        <f>IF($Q562&lt;&gt;"Yes","",IF(COUNTIFS(nrES_PID,$D562,nrES_Code,$F562,nrES_Att,2)&gt;0,"Retested",IF(OR($T562="",NOT(ISNUMBER($T562))),"Pending",IF(TODAY()&gt;$T562,"OVERDUE","Due "&amp;TEXT($T562,"mm/dd")))))</f>
        <v/>
      </c>
      <c r="V562" s="14" t="n"/>
      <c r="W562" s="14" t="n"/>
    </row>
    <row r="563">
      <c r="B563" s="15">
        <f>IF($C563="","",$D563&amp;"-"&amp;$F563&amp;"-"&amp;$K563)</f>
        <v/>
      </c>
      <c r="C563" s="14" t="n"/>
      <c r="D563" s="15">
        <f>IF($C563="","",IFERROR(INDEX(rngCadetPIDs,MATCH($C563,rngCadetNames,0)),"?"))</f>
        <v/>
      </c>
      <c r="E563" s="15">
        <f>IF($D563="","",IFERROR(INDEX(nrCadetAgency,MATCH($D563,rngCadetPIDs,0)),""))</f>
        <v/>
      </c>
      <c r="F563" s="14" t="n"/>
      <c r="G563" s="15">
        <f>IF($F563="","",IFERROR(INDEX(rngEPname,MATCH($F563,rngEPcode,0)),"?"))</f>
        <v/>
      </c>
      <c r="H563" s="15">
        <f>IF($F563="","",IFERROR(INDEX(rngEPtype,MATCH($F563,rngEPcode,0)),"?"))</f>
        <v/>
      </c>
      <c r="I563" s="15">
        <f>IF($F563="","",IFERROR(INDEX(rngEPseq,MATCH($F563,rngEPcode,0)),""))</f>
        <v/>
      </c>
      <c r="J563" s="15">
        <f>IF($F563="","",IFERROR(INDEX(rngEPpass,MATCH($F563,rngEPcode,0)),cfgPassingScore))</f>
        <v/>
      </c>
      <c r="K563" s="14" t="n"/>
      <c r="L563" s="14" t="n"/>
      <c r="M563" s="15">
        <f>IF($C563="","",IF($L563="","",IF($K563=1,IF(COUNTIFS(nrES_PID,$D563,nrES_Code,$F563,nrES_Att,2)&gt;0,"",$L563),IF(COUNTIFS(nrES_PID,$D563,nrES_Code,$F563,nrES_Att,1)=0,$L563,IF($L563&gt;=$J563,cfgRetakeRecordedCap,SUMIFS(nrES_Raw,nrES_PID,$D563,nrES_Code,$F563,nrES_Att,1))))))</f>
        <v/>
      </c>
      <c r="N563" s="15">
        <f>IF($C563="","",IF($L563="","",IF($L563&gt;=$J563,"Yes","No")))</f>
        <v/>
      </c>
      <c r="O563" s="15">
        <f>IF($C563="","",IF($M563="","",IF($M563&gt;=$J563,"Yes","No")))</f>
        <v/>
      </c>
      <c r="P563" s="15">
        <f>IF($C563="","",IF($K563="","",IF(COUNTIFS(nrES_PID,$D563,nrES_Code,$F563,nrES_Att,"&gt;"&amp;$K563)=0,"Yes","No")))</f>
        <v/>
      </c>
      <c r="Q563" s="15">
        <f>IF($C563="","",IF($L563="","",IF(AND($K563=1,$L563&lt;$J563,COUNTIFS(nrES_PID,$D563,nrES_Code,$F563,nrES_Att,2)=0),"Yes","No")))</f>
        <v/>
      </c>
      <c r="R563" s="15">
        <f>IF($C563="","",IF($L563="","",IF(AND($K563=2,$L563&lt;$J563,COUNTIFS(nrES_PID,$D563,nrES_Code,$F563,nrES_Att,1)&gt;0),"Yes","No")))</f>
        <v/>
      </c>
      <c r="S563" s="16" t="n"/>
      <c r="T563" s="17">
        <f>IF($Q563&lt;&gt;"Yes","",IF($S563="","(enter date)",_xlfn.LET(_xlpm.dn,IFERROR(_xlfn.XLOOKUP($S563,nrCDdate,nrCDnum),""),IF(_xlpm.dn="","(not a class day)",IFERROR(_xlfn.XLOOKUP(_xlpm.dn+cfgRetestClassDays,nrCDnum,nrCDdate),"")))))</f>
        <v/>
      </c>
      <c r="U563" s="15">
        <f>IF($Q563&lt;&gt;"Yes","",IF(COUNTIFS(nrES_PID,$D563,nrES_Code,$F563,nrES_Att,2)&gt;0,"Retested",IF(OR($T563="",NOT(ISNUMBER($T563))),"Pending",IF(TODAY()&gt;$T563,"OVERDUE","Due "&amp;TEXT($T563,"mm/dd")))))</f>
        <v/>
      </c>
      <c r="V563" s="14" t="n"/>
      <c r="W563" s="14" t="n"/>
    </row>
    <row r="564">
      <c r="B564" s="15">
        <f>IF($C564="","",$D564&amp;"-"&amp;$F564&amp;"-"&amp;$K564)</f>
        <v/>
      </c>
      <c r="C564" s="14" t="n"/>
      <c r="D564" s="15">
        <f>IF($C564="","",IFERROR(INDEX(rngCadetPIDs,MATCH($C564,rngCadetNames,0)),"?"))</f>
        <v/>
      </c>
      <c r="E564" s="15">
        <f>IF($D564="","",IFERROR(INDEX(nrCadetAgency,MATCH($D564,rngCadetPIDs,0)),""))</f>
        <v/>
      </c>
      <c r="F564" s="14" t="n"/>
      <c r="G564" s="15">
        <f>IF($F564="","",IFERROR(INDEX(rngEPname,MATCH($F564,rngEPcode,0)),"?"))</f>
        <v/>
      </c>
      <c r="H564" s="15">
        <f>IF($F564="","",IFERROR(INDEX(rngEPtype,MATCH($F564,rngEPcode,0)),"?"))</f>
        <v/>
      </c>
      <c r="I564" s="15">
        <f>IF($F564="","",IFERROR(INDEX(rngEPseq,MATCH($F564,rngEPcode,0)),""))</f>
        <v/>
      </c>
      <c r="J564" s="15">
        <f>IF($F564="","",IFERROR(INDEX(rngEPpass,MATCH($F564,rngEPcode,0)),cfgPassingScore))</f>
        <v/>
      </c>
      <c r="K564" s="14" t="n"/>
      <c r="L564" s="14" t="n"/>
      <c r="M564" s="15">
        <f>IF($C564="","",IF($L564="","",IF($K564=1,IF(COUNTIFS(nrES_PID,$D564,nrES_Code,$F564,nrES_Att,2)&gt;0,"",$L564),IF(COUNTIFS(nrES_PID,$D564,nrES_Code,$F564,nrES_Att,1)=0,$L564,IF($L564&gt;=$J564,cfgRetakeRecordedCap,SUMIFS(nrES_Raw,nrES_PID,$D564,nrES_Code,$F564,nrES_Att,1))))))</f>
        <v/>
      </c>
      <c r="N564" s="15">
        <f>IF($C564="","",IF($L564="","",IF($L564&gt;=$J564,"Yes","No")))</f>
        <v/>
      </c>
      <c r="O564" s="15">
        <f>IF($C564="","",IF($M564="","",IF($M564&gt;=$J564,"Yes","No")))</f>
        <v/>
      </c>
      <c r="P564" s="15">
        <f>IF($C564="","",IF($K564="","",IF(COUNTIFS(nrES_PID,$D564,nrES_Code,$F564,nrES_Att,"&gt;"&amp;$K564)=0,"Yes","No")))</f>
        <v/>
      </c>
      <c r="Q564" s="15">
        <f>IF($C564="","",IF($L564="","",IF(AND($K564=1,$L564&lt;$J564,COUNTIFS(nrES_PID,$D564,nrES_Code,$F564,nrES_Att,2)=0),"Yes","No")))</f>
        <v/>
      </c>
      <c r="R564" s="15">
        <f>IF($C564="","",IF($L564="","",IF(AND($K564=2,$L564&lt;$J564,COUNTIFS(nrES_PID,$D564,nrES_Code,$F564,nrES_Att,1)&gt;0),"Yes","No")))</f>
        <v/>
      </c>
      <c r="S564" s="16" t="n"/>
      <c r="T564" s="17">
        <f>IF($Q564&lt;&gt;"Yes","",IF($S564="","(enter date)",_xlfn.LET(_xlpm.dn,IFERROR(_xlfn.XLOOKUP($S564,nrCDdate,nrCDnum),""),IF(_xlpm.dn="","(not a class day)",IFERROR(_xlfn.XLOOKUP(_xlpm.dn+cfgRetestClassDays,nrCDnum,nrCDdate),"")))))</f>
        <v/>
      </c>
      <c r="U564" s="15">
        <f>IF($Q564&lt;&gt;"Yes","",IF(COUNTIFS(nrES_PID,$D564,nrES_Code,$F564,nrES_Att,2)&gt;0,"Retested",IF(OR($T564="",NOT(ISNUMBER($T564))),"Pending",IF(TODAY()&gt;$T564,"OVERDUE","Due "&amp;TEXT($T564,"mm/dd")))))</f>
        <v/>
      </c>
      <c r="V564" s="14" t="n"/>
      <c r="W564" s="14" t="n"/>
    </row>
    <row r="565">
      <c r="B565" s="15">
        <f>IF($C565="","",$D565&amp;"-"&amp;$F565&amp;"-"&amp;$K565)</f>
        <v/>
      </c>
      <c r="C565" s="14" t="n"/>
      <c r="D565" s="15">
        <f>IF($C565="","",IFERROR(INDEX(rngCadetPIDs,MATCH($C565,rngCadetNames,0)),"?"))</f>
        <v/>
      </c>
      <c r="E565" s="15">
        <f>IF($D565="","",IFERROR(INDEX(nrCadetAgency,MATCH($D565,rngCadetPIDs,0)),""))</f>
        <v/>
      </c>
      <c r="F565" s="14" t="n"/>
      <c r="G565" s="15">
        <f>IF($F565="","",IFERROR(INDEX(rngEPname,MATCH($F565,rngEPcode,0)),"?"))</f>
        <v/>
      </c>
      <c r="H565" s="15">
        <f>IF($F565="","",IFERROR(INDEX(rngEPtype,MATCH($F565,rngEPcode,0)),"?"))</f>
        <v/>
      </c>
      <c r="I565" s="15">
        <f>IF($F565="","",IFERROR(INDEX(rngEPseq,MATCH($F565,rngEPcode,0)),""))</f>
        <v/>
      </c>
      <c r="J565" s="15">
        <f>IF($F565="","",IFERROR(INDEX(rngEPpass,MATCH($F565,rngEPcode,0)),cfgPassingScore))</f>
        <v/>
      </c>
      <c r="K565" s="14" t="n"/>
      <c r="L565" s="14" t="n"/>
      <c r="M565" s="15">
        <f>IF($C565="","",IF($L565="","",IF($K565=1,IF(COUNTIFS(nrES_PID,$D565,nrES_Code,$F565,nrES_Att,2)&gt;0,"",$L565),IF(COUNTIFS(nrES_PID,$D565,nrES_Code,$F565,nrES_Att,1)=0,$L565,IF($L565&gt;=$J565,cfgRetakeRecordedCap,SUMIFS(nrES_Raw,nrES_PID,$D565,nrES_Code,$F565,nrES_Att,1))))))</f>
        <v/>
      </c>
      <c r="N565" s="15">
        <f>IF($C565="","",IF($L565="","",IF($L565&gt;=$J565,"Yes","No")))</f>
        <v/>
      </c>
      <c r="O565" s="15">
        <f>IF($C565="","",IF($M565="","",IF($M565&gt;=$J565,"Yes","No")))</f>
        <v/>
      </c>
      <c r="P565" s="15">
        <f>IF($C565="","",IF($K565="","",IF(COUNTIFS(nrES_PID,$D565,nrES_Code,$F565,nrES_Att,"&gt;"&amp;$K565)=0,"Yes","No")))</f>
        <v/>
      </c>
      <c r="Q565" s="15">
        <f>IF($C565="","",IF($L565="","",IF(AND($K565=1,$L565&lt;$J565,COUNTIFS(nrES_PID,$D565,nrES_Code,$F565,nrES_Att,2)=0),"Yes","No")))</f>
        <v/>
      </c>
      <c r="R565" s="15">
        <f>IF($C565="","",IF($L565="","",IF(AND($K565=2,$L565&lt;$J565,COUNTIFS(nrES_PID,$D565,nrES_Code,$F565,nrES_Att,1)&gt;0),"Yes","No")))</f>
        <v/>
      </c>
      <c r="S565" s="16" t="n"/>
      <c r="T565" s="17">
        <f>IF($Q565&lt;&gt;"Yes","",IF($S565="","(enter date)",_xlfn.LET(_xlpm.dn,IFERROR(_xlfn.XLOOKUP($S565,nrCDdate,nrCDnum),""),IF(_xlpm.dn="","(not a class day)",IFERROR(_xlfn.XLOOKUP(_xlpm.dn+cfgRetestClassDays,nrCDnum,nrCDdate),"")))))</f>
        <v/>
      </c>
      <c r="U565" s="15">
        <f>IF($Q565&lt;&gt;"Yes","",IF(COUNTIFS(nrES_PID,$D565,nrES_Code,$F565,nrES_Att,2)&gt;0,"Retested",IF(OR($T565="",NOT(ISNUMBER($T565))),"Pending",IF(TODAY()&gt;$T565,"OVERDUE","Due "&amp;TEXT($T565,"mm/dd")))))</f>
        <v/>
      </c>
      <c r="V565" s="14" t="n"/>
      <c r="W565" s="14" t="n"/>
    </row>
    <row r="566">
      <c r="B566" s="15">
        <f>IF($C566="","",$D566&amp;"-"&amp;$F566&amp;"-"&amp;$K566)</f>
        <v/>
      </c>
      <c r="C566" s="14" t="n"/>
      <c r="D566" s="15">
        <f>IF($C566="","",IFERROR(INDEX(rngCadetPIDs,MATCH($C566,rngCadetNames,0)),"?"))</f>
        <v/>
      </c>
      <c r="E566" s="15">
        <f>IF($D566="","",IFERROR(INDEX(nrCadetAgency,MATCH($D566,rngCadetPIDs,0)),""))</f>
        <v/>
      </c>
      <c r="F566" s="14" t="n"/>
      <c r="G566" s="15">
        <f>IF($F566="","",IFERROR(INDEX(rngEPname,MATCH($F566,rngEPcode,0)),"?"))</f>
        <v/>
      </c>
      <c r="H566" s="15">
        <f>IF($F566="","",IFERROR(INDEX(rngEPtype,MATCH($F566,rngEPcode,0)),"?"))</f>
        <v/>
      </c>
      <c r="I566" s="15">
        <f>IF($F566="","",IFERROR(INDEX(rngEPseq,MATCH($F566,rngEPcode,0)),""))</f>
        <v/>
      </c>
      <c r="J566" s="15">
        <f>IF($F566="","",IFERROR(INDEX(rngEPpass,MATCH($F566,rngEPcode,0)),cfgPassingScore))</f>
        <v/>
      </c>
      <c r="K566" s="14" t="n"/>
      <c r="L566" s="14" t="n"/>
      <c r="M566" s="15">
        <f>IF($C566="","",IF($L566="","",IF($K566=1,IF(COUNTIFS(nrES_PID,$D566,nrES_Code,$F566,nrES_Att,2)&gt;0,"",$L566),IF(COUNTIFS(nrES_PID,$D566,nrES_Code,$F566,nrES_Att,1)=0,$L566,IF($L566&gt;=$J566,cfgRetakeRecordedCap,SUMIFS(nrES_Raw,nrES_PID,$D566,nrES_Code,$F566,nrES_Att,1))))))</f>
        <v/>
      </c>
      <c r="N566" s="15">
        <f>IF($C566="","",IF($L566="","",IF($L566&gt;=$J566,"Yes","No")))</f>
        <v/>
      </c>
      <c r="O566" s="15">
        <f>IF($C566="","",IF($M566="","",IF($M566&gt;=$J566,"Yes","No")))</f>
        <v/>
      </c>
      <c r="P566" s="15">
        <f>IF($C566="","",IF($K566="","",IF(COUNTIFS(nrES_PID,$D566,nrES_Code,$F566,nrES_Att,"&gt;"&amp;$K566)=0,"Yes","No")))</f>
        <v/>
      </c>
      <c r="Q566" s="15">
        <f>IF($C566="","",IF($L566="","",IF(AND($K566=1,$L566&lt;$J566,COUNTIFS(nrES_PID,$D566,nrES_Code,$F566,nrES_Att,2)=0),"Yes","No")))</f>
        <v/>
      </c>
      <c r="R566" s="15">
        <f>IF($C566="","",IF($L566="","",IF(AND($K566=2,$L566&lt;$J566,COUNTIFS(nrES_PID,$D566,nrES_Code,$F566,nrES_Att,1)&gt;0),"Yes","No")))</f>
        <v/>
      </c>
      <c r="S566" s="16" t="n"/>
      <c r="T566" s="17">
        <f>IF($Q566&lt;&gt;"Yes","",IF($S566="","(enter date)",_xlfn.LET(_xlpm.dn,IFERROR(_xlfn.XLOOKUP($S566,nrCDdate,nrCDnum),""),IF(_xlpm.dn="","(not a class day)",IFERROR(_xlfn.XLOOKUP(_xlpm.dn+cfgRetestClassDays,nrCDnum,nrCDdate),"")))))</f>
        <v/>
      </c>
      <c r="U566" s="15">
        <f>IF($Q566&lt;&gt;"Yes","",IF(COUNTIFS(nrES_PID,$D566,nrES_Code,$F566,nrES_Att,2)&gt;0,"Retested",IF(OR($T566="",NOT(ISNUMBER($T566))),"Pending",IF(TODAY()&gt;$T566,"OVERDUE","Due "&amp;TEXT($T566,"mm/dd")))))</f>
        <v/>
      </c>
      <c r="V566" s="14" t="n"/>
      <c r="W566" s="14" t="n"/>
    </row>
    <row r="567">
      <c r="B567" s="15">
        <f>IF($C567="","",$D567&amp;"-"&amp;$F567&amp;"-"&amp;$K567)</f>
        <v/>
      </c>
      <c r="C567" s="14" t="n"/>
      <c r="D567" s="15">
        <f>IF($C567="","",IFERROR(INDEX(rngCadetPIDs,MATCH($C567,rngCadetNames,0)),"?"))</f>
        <v/>
      </c>
      <c r="E567" s="15">
        <f>IF($D567="","",IFERROR(INDEX(nrCadetAgency,MATCH($D567,rngCadetPIDs,0)),""))</f>
        <v/>
      </c>
      <c r="F567" s="14" t="n"/>
      <c r="G567" s="15">
        <f>IF($F567="","",IFERROR(INDEX(rngEPname,MATCH($F567,rngEPcode,0)),"?"))</f>
        <v/>
      </c>
      <c r="H567" s="15">
        <f>IF($F567="","",IFERROR(INDEX(rngEPtype,MATCH($F567,rngEPcode,0)),"?"))</f>
        <v/>
      </c>
      <c r="I567" s="15">
        <f>IF($F567="","",IFERROR(INDEX(rngEPseq,MATCH($F567,rngEPcode,0)),""))</f>
        <v/>
      </c>
      <c r="J567" s="15">
        <f>IF($F567="","",IFERROR(INDEX(rngEPpass,MATCH($F567,rngEPcode,0)),cfgPassingScore))</f>
        <v/>
      </c>
      <c r="K567" s="14" t="n"/>
      <c r="L567" s="14" t="n"/>
      <c r="M567" s="15">
        <f>IF($C567="","",IF($L567="","",IF($K567=1,IF(COUNTIFS(nrES_PID,$D567,nrES_Code,$F567,nrES_Att,2)&gt;0,"",$L567),IF(COUNTIFS(nrES_PID,$D567,nrES_Code,$F567,nrES_Att,1)=0,$L567,IF($L567&gt;=$J567,cfgRetakeRecordedCap,SUMIFS(nrES_Raw,nrES_PID,$D567,nrES_Code,$F567,nrES_Att,1))))))</f>
        <v/>
      </c>
      <c r="N567" s="15">
        <f>IF($C567="","",IF($L567="","",IF($L567&gt;=$J567,"Yes","No")))</f>
        <v/>
      </c>
      <c r="O567" s="15">
        <f>IF($C567="","",IF($M567="","",IF($M567&gt;=$J567,"Yes","No")))</f>
        <v/>
      </c>
      <c r="P567" s="15">
        <f>IF($C567="","",IF($K567="","",IF(COUNTIFS(nrES_PID,$D567,nrES_Code,$F567,nrES_Att,"&gt;"&amp;$K567)=0,"Yes","No")))</f>
        <v/>
      </c>
      <c r="Q567" s="15">
        <f>IF($C567="","",IF($L567="","",IF(AND($K567=1,$L567&lt;$J567,COUNTIFS(nrES_PID,$D567,nrES_Code,$F567,nrES_Att,2)=0),"Yes","No")))</f>
        <v/>
      </c>
      <c r="R567" s="15">
        <f>IF($C567="","",IF($L567="","",IF(AND($K567=2,$L567&lt;$J567,COUNTIFS(nrES_PID,$D567,nrES_Code,$F567,nrES_Att,1)&gt;0),"Yes","No")))</f>
        <v/>
      </c>
      <c r="S567" s="16" t="n"/>
      <c r="T567" s="17">
        <f>IF($Q567&lt;&gt;"Yes","",IF($S567="","(enter date)",_xlfn.LET(_xlpm.dn,IFERROR(_xlfn.XLOOKUP($S567,nrCDdate,nrCDnum),""),IF(_xlpm.dn="","(not a class day)",IFERROR(_xlfn.XLOOKUP(_xlpm.dn+cfgRetestClassDays,nrCDnum,nrCDdate),"")))))</f>
        <v/>
      </c>
      <c r="U567" s="15">
        <f>IF($Q567&lt;&gt;"Yes","",IF(COUNTIFS(nrES_PID,$D567,nrES_Code,$F567,nrES_Att,2)&gt;0,"Retested",IF(OR($T567="",NOT(ISNUMBER($T567))),"Pending",IF(TODAY()&gt;$T567,"OVERDUE","Due "&amp;TEXT($T567,"mm/dd")))))</f>
        <v/>
      </c>
      <c r="V567" s="14" t="n"/>
      <c r="W567" s="14" t="n"/>
    </row>
    <row r="568">
      <c r="B568" s="15">
        <f>IF($C568="","",$D568&amp;"-"&amp;$F568&amp;"-"&amp;$K568)</f>
        <v/>
      </c>
      <c r="C568" s="14" t="n"/>
      <c r="D568" s="15">
        <f>IF($C568="","",IFERROR(INDEX(rngCadetPIDs,MATCH($C568,rngCadetNames,0)),"?"))</f>
        <v/>
      </c>
      <c r="E568" s="15">
        <f>IF($D568="","",IFERROR(INDEX(nrCadetAgency,MATCH($D568,rngCadetPIDs,0)),""))</f>
        <v/>
      </c>
      <c r="F568" s="14" t="n"/>
      <c r="G568" s="15">
        <f>IF($F568="","",IFERROR(INDEX(rngEPname,MATCH($F568,rngEPcode,0)),"?"))</f>
        <v/>
      </c>
      <c r="H568" s="15">
        <f>IF($F568="","",IFERROR(INDEX(rngEPtype,MATCH($F568,rngEPcode,0)),"?"))</f>
        <v/>
      </c>
      <c r="I568" s="15">
        <f>IF($F568="","",IFERROR(INDEX(rngEPseq,MATCH($F568,rngEPcode,0)),""))</f>
        <v/>
      </c>
      <c r="J568" s="15">
        <f>IF($F568="","",IFERROR(INDEX(rngEPpass,MATCH($F568,rngEPcode,0)),cfgPassingScore))</f>
        <v/>
      </c>
      <c r="K568" s="14" t="n"/>
      <c r="L568" s="14" t="n"/>
      <c r="M568" s="15">
        <f>IF($C568="","",IF($L568="","",IF($K568=1,IF(COUNTIFS(nrES_PID,$D568,nrES_Code,$F568,nrES_Att,2)&gt;0,"",$L568),IF(COUNTIFS(nrES_PID,$D568,nrES_Code,$F568,nrES_Att,1)=0,$L568,IF($L568&gt;=$J568,cfgRetakeRecordedCap,SUMIFS(nrES_Raw,nrES_PID,$D568,nrES_Code,$F568,nrES_Att,1))))))</f>
        <v/>
      </c>
      <c r="N568" s="15">
        <f>IF($C568="","",IF($L568="","",IF($L568&gt;=$J568,"Yes","No")))</f>
        <v/>
      </c>
      <c r="O568" s="15">
        <f>IF($C568="","",IF($M568="","",IF($M568&gt;=$J568,"Yes","No")))</f>
        <v/>
      </c>
      <c r="P568" s="15">
        <f>IF($C568="","",IF($K568="","",IF(COUNTIFS(nrES_PID,$D568,nrES_Code,$F568,nrES_Att,"&gt;"&amp;$K568)=0,"Yes","No")))</f>
        <v/>
      </c>
      <c r="Q568" s="15">
        <f>IF($C568="","",IF($L568="","",IF(AND($K568=1,$L568&lt;$J568,COUNTIFS(nrES_PID,$D568,nrES_Code,$F568,nrES_Att,2)=0),"Yes","No")))</f>
        <v/>
      </c>
      <c r="R568" s="15">
        <f>IF($C568="","",IF($L568="","",IF(AND($K568=2,$L568&lt;$J568,COUNTIFS(nrES_PID,$D568,nrES_Code,$F568,nrES_Att,1)&gt;0),"Yes","No")))</f>
        <v/>
      </c>
      <c r="S568" s="16" t="n"/>
      <c r="T568" s="17">
        <f>IF($Q568&lt;&gt;"Yes","",IF($S568="","(enter date)",_xlfn.LET(_xlpm.dn,IFERROR(_xlfn.XLOOKUP($S568,nrCDdate,nrCDnum),""),IF(_xlpm.dn="","(not a class day)",IFERROR(_xlfn.XLOOKUP(_xlpm.dn+cfgRetestClassDays,nrCDnum,nrCDdate),"")))))</f>
        <v/>
      </c>
      <c r="U568" s="15">
        <f>IF($Q568&lt;&gt;"Yes","",IF(COUNTIFS(nrES_PID,$D568,nrES_Code,$F568,nrES_Att,2)&gt;0,"Retested",IF(OR($T568="",NOT(ISNUMBER($T568))),"Pending",IF(TODAY()&gt;$T568,"OVERDUE","Due "&amp;TEXT($T568,"mm/dd")))))</f>
        <v/>
      </c>
      <c r="V568" s="14" t="n"/>
      <c r="W568" s="14" t="n"/>
    </row>
    <row r="569">
      <c r="B569" s="15">
        <f>IF($C569="","",$D569&amp;"-"&amp;$F569&amp;"-"&amp;$K569)</f>
        <v/>
      </c>
      <c r="C569" s="14" t="n"/>
      <c r="D569" s="15">
        <f>IF($C569="","",IFERROR(INDEX(rngCadetPIDs,MATCH($C569,rngCadetNames,0)),"?"))</f>
        <v/>
      </c>
      <c r="E569" s="15">
        <f>IF($D569="","",IFERROR(INDEX(nrCadetAgency,MATCH($D569,rngCadetPIDs,0)),""))</f>
        <v/>
      </c>
      <c r="F569" s="14" t="n"/>
      <c r="G569" s="15">
        <f>IF($F569="","",IFERROR(INDEX(rngEPname,MATCH($F569,rngEPcode,0)),"?"))</f>
        <v/>
      </c>
      <c r="H569" s="15">
        <f>IF($F569="","",IFERROR(INDEX(rngEPtype,MATCH($F569,rngEPcode,0)),"?"))</f>
        <v/>
      </c>
      <c r="I569" s="15">
        <f>IF($F569="","",IFERROR(INDEX(rngEPseq,MATCH($F569,rngEPcode,0)),""))</f>
        <v/>
      </c>
      <c r="J569" s="15">
        <f>IF($F569="","",IFERROR(INDEX(rngEPpass,MATCH($F569,rngEPcode,0)),cfgPassingScore))</f>
        <v/>
      </c>
      <c r="K569" s="14" t="n"/>
      <c r="L569" s="14" t="n"/>
      <c r="M569" s="15">
        <f>IF($C569="","",IF($L569="","",IF($K569=1,IF(COUNTIFS(nrES_PID,$D569,nrES_Code,$F569,nrES_Att,2)&gt;0,"",$L569),IF(COUNTIFS(nrES_PID,$D569,nrES_Code,$F569,nrES_Att,1)=0,$L569,IF($L569&gt;=$J569,cfgRetakeRecordedCap,SUMIFS(nrES_Raw,nrES_PID,$D569,nrES_Code,$F569,nrES_Att,1))))))</f>
        <v/>
      </c>
      <c r="N569" s="15">
        <f>IF($C569="","",IF($L569="","",IF($L569&gt;=$J569,"Yes","No")))</f>
        <v/>
      </c>
      <c r="O569" s="15">
        <f>IF($C569="","",IF($M569="","",IF($M569&gt;=$J569,"Yes","No")))</f>
        <v/>
      </c>
      <c r="P569" s="15">
        <f>IF($C569="","",IF($K569="","",IF(COUNTIFS(nrES_PID,$D569,nrES_Code,$F569,nrES_Att,"&gt;"&amp;$K569)=0,"Yes","No")))</f>
        <v/>
      </c>
      <c r="Q569" s="15">
        <f>IF($C569="","",IF($L569="","",IF(AND($K569=1,$L569&lt;$J569,COUNTIFS(nrES_PID,$D569,nrES_Code,$F569,nrES_Att,2)=0),"Yes","No")))</f>
        <v/>
      </c>
      <c r="R569" s="15">
        <f>IF($C569="","",IF($L569="","",IF(AND($K569=2,$L569&lt;$J569,COUNTIFS(nrES_PID,$D569,nrES_Code,$F569,nrES_Att,1)&gt;0),"Yes","No")))</f>
        <v/>
      </c>
      <c r="S569" s="16" t="n"/>
      <c r="T569" s="17">
        <f>IF($Q569&lt;&gt;"Yes","",IF($S569="","(enter date)",_xlfn.LET(_xlpm.dn,IFERROR(_xlfn.XLOOKUP($S569,nrCDdate,nrCDnum),""),IF(_xlpm.dn="","(not a class day)",IFERROR(_xlfn.XLOOKUP(_xlpm.dn+cfgRetestClassDays,nrCDnum,nrCDdate),"")))))</f>
        <v/>
      </c>
      <c r="U569" s="15">
        <f>IF($Q569&lt;&gt;"Yes","",IF(COUNTIFS(nrES_PID,$D569,nrES_Code,$F569,nrES_Att,2)&gt;0,"Retested",IF(OR($T569="",NOT(ISNUMBER($T569))),"Pending",IF(TODAY()&gt;$T569,"OVERDUE","Due "&amp;TEXT($T569,"mm/dd")))))</f>
        <v/>
      </c>
      <c r="V569" s="14" t="n"/>
      <c r="W569" s="14" t="n"/>
    </row>
    <row r="570">
      <c r="B570" s="15">
        <f>IF($C570="","",$D570&amp;"-"&amp;$F570&amp;"-"&amp;$K570)</f>
        <v/>
      </c>
      <c r="C570" s="14" t="n"/>
      <c r="D570" s="15">
        <f>IF($C570="","",IFERROR(INDEX(rngCadetPIDs,MATCH($C570,rngCadetNames,0)),"?"))</f>
        <v/>
      </c>
      <c r="E570" s="15">
        <f>IF($D570="","",IFERROR(INDEX(nrCadetAgency,MATCH($D570,rngCadetPIDs,0)),""))</f>
        <v/>
      </c>
      <c r="F570" s="14" t="n"/>
      <c r="G570" s="15">
        <f>IF($F570="","",IFERROR(INDEX(rngEPname,MATCH($F570,rngEPcode,0)),"?"))</f>
        <v/>
      </c>
      <c r="H570" s="15">
        <f>IF($F570="","",IFERROR(INDEX(rngEPtype,MATCH($F570,rngEPcode,0)),"?"))</f>
        <v/>
      </c>
      <c r="I570" s="15">
        <f>IF($F570="","",IFERROR(INDEX(rngEPseq,MATCH($F570,rngEPcode,0)),""))</f>
        <v/>
      </c>
      <c r="J570" s="15">
        <f>IF($F570="","",IFERROR(INDEX(rngEPpass,MATCH($F570,rngEPcode,0)),cfgPassingScore))</f>
        <v/>
      </c>
      <c r="K570" s="14" t="n"/>
      <c r="L570" s="14" t="n"/>
      <c r="M570" s="15">
        <f>IF($C570="","",IF($L570="","",IF($K570=1,IF(COUNTIFS(nrES_PID,$D570,nrES_Code,$F570,nrES_Att,2)&gt;0,"",$L570),IF(COUNTIFS(nrES_PID,$D570,nrES_Code,$F570,nrES_Att,1)=0,$L570,IF($L570&gt;=$J570,cfgRetakeRecordedCap,SUMIFS(nrES_Raw,nrES_PID,$D570,nrES_Code,$F570,nrES_Att,1))))))</f>
        <v/>
      </c>
      <c r="N570" s="15">
        <f>IF($C570="","",IF($L570="","",IF($L570&gt;=$J570,"Yes","No")))</f>
        <v/>
      </c>
      <c r="O570" s="15">
        <f>IF($C570="","",IF($M570="","",IF($M570&gt;=$J570,"Yes","No")))</f>
        <v/>
      </c>
      <c r="P570" s="15">
        <f>IF($C570="","",IF($K570="","",IF(COUNTIFS(nrES_PID,$D570,nrES_Code,$F570,nrES_Att,"&gt;"&amp;$K570)=0,"Yes","No")))</f>
        <v/>
      </c>
      <c r="Q570" s="15">
        <f>IF($C570="","",IF($L570="","",IF(AND($K570=1,$L570&lt;$J570,COUNTIFS(nrES_PID,$D570,nrES_Code,$F570,nrES_Att,2)=0),"Yes","No")))</f>
        <v/>
      </c>
      <c r="R570" s="15">
        <f>IF($C570="","",IF($L570="","",IF(AND($K570=2,$L570&lt;$J570,COUNTIFS(nrES_PID,$D570,nrES_Code,$F570,nrES_Att,1)&gt;0),"Yes","No")))</f>
        <v/>
      </c>
      <c r="S570" s="16" t="n"/>
      <c r="T570" s="17">
        <f>IF($Q570&lt;&gt;"Yes","",IF($S570="","(enter date)",_xlfn.LET(_xlpm.dn,IFERROR(_xlfn.XLOOKUP($S570,nrCDdate,nrCDnum),""),IF(_xlpm.dn="","(not a class day)",IFERROR(_xlfn.XLOOKUP(_xlpm.dn+cfgRetestClassDays,nrCDnum,nrCDdate),"")))))</f>
        <v/>
      </c>
      <c r="U570" s="15">
        <f>IF($Q570&lt;&gt;"Yes","",IF(COUNTIFS(nrES_PID,$D570,nrES_Code,$F570,nrES_Att,2)&gt;0,"Retested",IF(OR($T570="",NOT(ISNUMBER($T570))),"Pending",IF(TODAY()&gt;$T570,"OVERDUE","Due "&amp;TEXT($T570,"mm/dd")))))</f>
        <v/>
      </c>
      <c r="V570" s="14" t="n"/>
      <c r="W570" s="14" t="n"/>
    </row>
    <row r="571">
      <c r="B571" s="15">
        <f>IF($C571="","",$D571&amp;"-"&amp;$F571&amp;"-"&amp;$K571)</f>
        <v/>
      </c>
      <c r="C571" s="14" t="n"/>
      <c r="D571" s="15">
        <f>IF($C571="","",IFERROR(INDEX(rngCadetPIDs,MATCH($C571,rngCadetNames,0)),"?"))</f>
        <v/>
      </c>
      <c r="E571" s="15">
        <f>IF($D571="","",IFERROR(INDEX(nrCadetAgency,MATCH($D571,rngCadetPIDs,0)),""))</f>
        <v/>
      </c>
      <c r="F571" s="14" t="n"/>
      <c r="G571" s="15">
        <f>IF($F571="","",IFERROR(INDEX(rngEPname,MATCH($F571,rngEPcode,0)),"?"))</f>
        <v/>
      </c>
      <c r="H571" s="15">
        <f>IF($F571="","",IFERROR(INDEX(rngEPtype,MATCH($F571,rngEPcode,0)),"?"))</f>
        <v/>
      </c>
      <c r="I571" s="15">
        <f>IF($F571="","",IFERROR(INDEX(rngEPseq,MATCH($F571,rngEPcode,0)),""))</f>
        <v/>
      </c>
      <c r="J571" s="15">
        <f>IF($F571="","",IFERROR(INDEX(rngEPpass,MATCH($F571,rngEPcode,0)),cfgPassingScore))</f>
        <v/>
      </c>
      <c r="K571" s="14" t="n"/>
      <c r="L571" s="14" t="n"/>
      <c r="M571" s="15">
        <f>IF($C571="","",IF($L571="","",IF($K571=1,IF(COUNTIFS(nrES_PID,$D571,nrES_Code,$F571,nrES_Att,2)&gt;0,"",$L571),IF(COUNTIFS(nrES_PID,$D571,nrES_Code,$F571,nrES_Att,1)=0,$L571,IF($L571&gt;=$J571,cfgRetakeRecordedCap,SUMIFS(nrES_Raw,nrES_PID,$D571,nrES_Code,$F571,nrES_Att,1))))))</f>
        <v/>
      </c>
      <c r="N571" s="15">
        <f>IF($C571="","",IF($L571="","",IF($L571&gt;=$J571,"Yes","No")))</f>
        <v/>
      </c>
      <c r="O571" s="15">
        <f>IF($C571="","",IF($M571="","",IF($M571&gt;=$J571,"Yes","No")))</f>
        <v/>
      </c>
      <c r="P571" s="15">
        <f>IF($C571="","",IF($K571="","",IF(COUNTIFS(nrES_PID,$D571,nrES_Code,$F571,nrES_Att,"&gt;"&amp;$K571)=0,"Yes","No")))</f>
        <v/>
      </c>
      <c r="Q571" s="15">
        <f>IF($C571="","",IF($L571="","",IF(AND($K571=1,$L571&lt;$J571,COUNTIFS(nrES_PID,$D571,nrES_Code,$F571,nrES_Att,2)=0),"Yes","No")))</f>
        <v/>
      </c>
      <c r="R571" s="15">
        <f>IF($C571="","",IF($L571="","",IF(AND($K571=2,$L571&lt;$J571,COUNTIFS(nrES_PID,$D571,nrES_Code,$F571,nrES_Att,1)&gt;0),"Yes","No")))</f>
        <v/>
      </c>
      <c r="S571" s="16" t="n"/>
      <c r="T571" s="17">
        <f>IF($Q571&lt;&gt;"Yes","",IF($S571="","(enter date)",_xlfn.LET(_xlpm.dn,IFERROR(_xlfn.XLOOKUP($S571,nrCDdate,nrCDnum),""),IF(_xlpm.dn="","(not a class day)",IFERROR(_xlfn.XLOOKUP(_xlpm.dn+cfgRetestClassDays,nrCDnum,nrCDdate),"")))))</f>
        <v/>
      </c>
      <c r="U571" s="15">
        <f>IF($Q571&lt;&gt;"Yes","",IF(COUNTIFS(nrES_PID,$D571,nrES_Code,$F571,nrES_Att,2)&gt;0,"Retested",IF(OR($T571="",NOT(ISNUMBER($T571))),"Pending",IF(TODAY()&gt;$T571,"OVERDUE","Due "&amp;TEXT($T571,"mm/dd")))))</f>
        <v/>
      </c>
      <c r="V571" s="14" t="n"/>
      <c r="W571" s="14" t="n"/>
    </row>
    <row r="572">
      <c r="B572" s="15">
        <f>IF($C572="","",$D572&amp;"-"&amp;$F572&amp;"-"&amp;$K572)</f>
        <v/>
      </c>
      <c r="C572" s="14" t="n"/>
      <c r="D572" s="15">
        <f>IF($C572="","",IFERROR(INDEX(rngCadetPIDs,MATCH($C572,rngCadetNames,0)),"?"))</f>
        <v/>
      </c>
      <c r="E572" s="15">
        <f>IF($D572="","",IFERROR(INDEX(nrCadetAgency,MATCH($D572,rngCadetPIDs,0)),""))</f>
        <v/>
      </c>
      <c r="F572" s="14" t="n"/>
      <c r="G572" s="15">
        <f>IF($F572="","",IFERROR(INDEX(rngEPname,MATCH($F572,rngEPcode,0)),"?"))</f>
        <v/>
      </c>
      <c r="H572" s="15">
        <f>IF($F572="","",IFERROR(INDEX(rngEPtype,MATCH($F572,rngEPcode,0)),"?"))</f>
        <v/>
      </c>
      <c r="I572" s="15">
        <f>IF($F572="","",IFERROR(INDEX(rngEPseq,MATCH($F572,rngEPcode,0)),""))</f>
        <v/>
      </c>
      <c r="J572" s="15">
        <f>IF($F572="","",IFERROR(INDEX(rngEPpass,MATCH($F572,rngEPcode,0)),cfgPassingScore))</f>
        <v/>
      </c>
      <c r="K572" s="14" t="n"/>
      <c r="L572" s="14" t="n"/>
      <c r="M572" s="15">
        <f>IF($C572="","",IF($L572="","",IF($K572=1,IF(COUNTIFS(nrES_PID,$D572,nrES_Code,$F572,nrES_Att,2)&gt;0,"",$L572),IF(COUNTIFS(nrES_PID,$D572,nrES_Code,$F572,nrES_Att,1)=0,$L572,IF($L572&gt;=$J572,cfgRetakeRecordedCap,SUMIFS(nrES_Raw,nrES_PID,$D572,nrES_Code,$F572,nrES_Att,1))))))</f>
        <v/>
      </c>
      <c r="N572" s="15">
        <f>IF($C572="","",IF($L572="","",IF($L572&gt;=$J572,"Yes","No")))</f>
        <v/>
      </c>
      <c r="O572" s="15">
        <f>IF($C572="","",IF($M572="","",IF($M572&gt;=$J572,"Yes","No")))</f>
        <v/>
      </c>
      <c r="P572" s="15">
        <f>IF($C572="","",IF($K572="","",IF(COUNTIFS(nrES_PID,$D572,nrES_Code,$F572,nrES_Att,"&gt;"&amp;$K572)=0,"Yes","No")))</f>
        <v/>
      </c>
      <c r="Q572" s="15">
        <f>IF($C572="","",IF($L572="","",IF(AND($K572=1,$L572&lt;$J572,COUNTIFS(nrES_PID,$D572,nrES_Code,$F572,nrES_Att,2)=0),"Yes","No")))</f>
        <v/>
      </c>
      <c r="R572" s="15">
        <f>IF($C572="","",IF($L572="","",IF(AND($K572=2,$L572&lt;$J572,COUNTIFS(nrES_PID,$D572,nrES_Code,$F572,nrES_Att,1)&gt;0),"Yes","No")))</f>
        <v/>
      </c>
      <c r="S572" s="16" t="n"/>
      <c r="T572" s="17">
        <f>IF($Q572&lt;&gt;"Yes","",IF($S572="","(enter date)",_xlfn.LET(_xlpm.dn,IFERROR(_xlfn.XLOOKUP($S572,nrCDdate,nrCDnum),""),IF(_xlpm.dn="","(not a class day)",IFERROR(_xlfn.XLOOKUP(_xlpm.dn+cfgRetestClassDays,nrCDnum,nrCDdate),"")))))</f>
        <v/>
      </c>
      <c r="U572" s="15">
        <f>IF($Q572&lt;&gt;"Yes","",IF(COUNTIFS(nrES_PID,$D572,nrES_Code,$F572,nrES_Att,2)&gt;0,"Retested",IF(OR($T572="",NOT(ISNUMBER($T572))),"Pending",IF(TODAY()&gt;$T572,"OVERDUE","Due "&amp;TEXT($T572,"mm/dd")))))</f>
        <v/>
      </c>
      <c r="V572" s="14" t="n"/>
      <c r="W572" s="14" t="n"/>
    </row>
    <row r="573">
      <c r="B573" s="15">
        <f>IF($C573="","",$D573&amp;"-"&amp;$F573&amp;"-"&amp;$K573)</f>
        <v/>
      </c>
      <c r="C573" s="14" t="n"/>
      <c r="D573" s="15">
        <f>IF($C573="","",IFERROR(INDEX(rngCadetPIDs,MATCH($C573,rngCadetNames,0)),"?"))</f>
        <v/>
      </c>
      <c r="E573" s="15">
        <f>IF($D573="","",IFERROR(INDEX(nrCadetAgency,MATCH($D573,rngCadetPIDs,0)),""))</f>
        <v/>
      </c>
      <c r="F573" s="14" t="n"/>
      <c r="G573" s="15">
        <f>IF($F573="","",IFERROR(INDEX(rngEPname,MATCH($F573,rngEPcode,0)),"?"))</f>
        <v/>
      </c>
      <c r="H573" s="15">
        <f>IF($F573="","",IFERROR(INDEX(rngEPtype,MATCH($F573,rngEPcode,0)),"?"))</f>
        <v/>
      </c>
      <c r="I573" s="15">
        <f>IF($F573="","",IFERROR(INDEX(rngEPseq,MATCH($F573,rngEPcode,0)),""))</f>
        <v/>
      </c>
      <c r="J573" s="15">
        <f>IF($F573="","",IFERROR(INDEX(rngEPpass,MATCH($F573,rngEPcode,0)),cfgPassingScore))</f>
        <v/>
      </c>
      <c r="K573" s="14" t="n"/>
      <c r="L573" s="14" t="n"/>
      <c r="M573" s="15">
        <f>IF($C573="","",IF($L573="","",IF($K573=1,IF(COUNTIFS(nrES_PID,$D573,nrES_Code,$F573,nrES_Att,2)&gt;0,"",$L573),IF(COUNTIFS(nrES_PID,$D573,nrES_Code,$F573,nrES_Att,1)=0,$L573,IF($L573&gt;=$J573,cfgRetakeRecordedCap,SUMIFS(nrES_Raw,nrES_PID,$D573,nrES_Code,$F573,nrES_Att,1))))))</f>
        <v/>
      </c>
      <c r="N573" s="15">
        <f>IF($C573="","",IF($L573="","",IF($L573&gt;=$J573,"Yes","No")))</f>
        <v/>
      </c>
      <c r="O573" s="15">
        <f>IF($C573="","",IF($M573="","",IF($M573&gt;=$J573,"Yes","No")))</f>
        <v/>
      </c>
      <c r="P573" s="15">
        <f>IF($C573="","",IF($K573="","",IF(COUNTIFS(nrES_PID,$D573,nrES_Code,$F573,nrES_Att,"&gt;"&amp;$K573)=0,"Yes","No")))</f>
        <v/>
      </c>
      <c r="Q573" s="15">
        <f>IF($C573="","",IF($L573="","",IF(AND($K573=1,$L573&lt;$J573,COUNTIFS(nrES_PID,$D573,nrES_Code,$F573,nrES_Att,2)=0),"Yes","No")))</f>
        <v/>
      </c>
      <c r="R573" s="15">
        <f>IF($C573="","",IF($L573="","",IF(AND($K573=2,$L573&lt;$J573,COUNTIFS(nrES_PID,$D573,nrES_Code,$F573,nrES_Att,1)&gt;0),"Yes","No")))</f>
        <v/>
      </c>
      <c r="S573" s="16" t="n"/>
      <c r="T573" s="17">
        <f>IF($Q573&lt;&gt;"Yes","",IF($S573="","(enter date)",_xlfn.LET(_xlpm.dn,IFERROR(_xlfn.XLOOKUP($S573,nrCDdate,nrCDnum),""),IF(_xlpm.dn="","(not a class day)",IFERROR(_xlfn.XLOOKUP(_xlpm.dn+cfgRetestClassDays,nrCDnum,nrCDdate),"")))))</f>
        <v/>
      </c>
      <c r="U573" s="15">
        <f>IF($Q573&lt;&gt;"Yes","",IF(COUNTIFS(nrES_PID,$D573,nrES_Code,$F573,nrES_Att,2)&gt;0,"Retested",IF(OR($T573="",NOT(ISNUMBER($T573))),"Pending",IF(TODAY()&gt;$T573,"OVERDUE","Due "&amp;TEXT($T573,"mm/dd")))))</f>
        <v/>
      </c>
      <c r="V573" s="14" t="n"/>
      <c r="W573" s="14" t="n"/>
    </row>
    <row r="574">
      <c r="B574" s="15">
        <f>IF($C574="","",$D574&amp;"-"&amp;$F574&amp;"-"&amp;$K574)</f>
        <v/>
      </c>
      <c r="C574" s="14" t="n"/>
      <c r="D574" s="15">
        <f>IF($C574="","",IFERROR(INDEX(rngCadetPIDs,MATCH($C574,rngCadetNames,0)),"?"))</f>
        <v/>
      </c>
      <c r="E574" s="15">
        <f>IF($D574="","",IFERROR(INDEX(nrCadetAgency,MATCH($D574,rngCadetPIDs,0)),""))</f>
        <v/>
      </c>
      <c r="F574" s="14" t="n"/>
      <c r="G574" s="15">
        <f>IF($F574="","",IFERROR(INDEX(rngEPname,MATCH($F574,rngEPcode,0)),"?"))</f>
        <v/>
      </c>
      <c r="H574" s="15">
        <f>IF($F574="","",IFERROR(INDEX(rngEPtype,MATCH($F574,rngEPcode,0)),"?"))</f>
        <v/>
      </c>
      <c r="I574" s="15">
        <f>IF($F574="","",IFERROR(INDEX(rngEPseq,MATCH($F574,rngEPcode,0)),""))</f>
        <v/>
      </c>
      <c r="J574" s="15">
        <f>IF($F574="","",IFERROR(INDEX(rngEPpass,MATCH($F574,rngEPcode,0)),cfgPassingScore))</f>
        <v/>
      </c>
      <c r="K574" s="14" t="n"/>
      <c r="L574" s="14" t="n"/>
      <c r="M574" s="15">
        <f>IF($C574="","",IF($L574="","",IF($K574=1,IF(COUNTIFS(nrES_PID,$D574,nrES_Code,$F574,nrES_Att,2)&gt;0,"",$L574),IF(COUNTIFS(nrES_PID,$D574,nrES_Code,$F574,nrES_Att,1)=0,$L574,IF($L574&gt;=$J574,cfgRetakeRecordedCap,SUMIFS(nrES_Raw,nrES_PID,$D574,nrES_Code,$F574,nrES_Att,1))))))</f>
        <v/>
      </c>
      <c r="N574" s="15">
        <f>IF($C574="","",IF($L574="","",IF($L574&gt;=$J574,"Yes","No")))</f>
        <v/>
      </c>
      <c r="O574" s="15">
        <f>IF($C574="","",IF($M574="","",IF($M574&gt;=$J574,"Yes","No")))</f>
        <v/>
      </c>
      <c r="P574" s="15">
        <f>IF($C574="","",IF($K574="","",IF(COUNTIFS(nrES_PID,$D574,nrES_Code,$F574,nrES_Att,"&gt;"&amp;$K574)=0,"Yes","No")))</f>
        <v/>
      </c>
      <c r="Q574" s="15">
        <f>IF($C574="","",IF($L574="","",IF(AND($K574=1,$L574&lt;$J574,COUNTIFS(nrES_PID,$D574,nrES_Code,$F574,nrES_Att,2)=0),"Yes","No")))</f>
        <v/>
      </c>
      <c r="R574" s="15">
        <f>IF($C574="","",IF($L574="","",IF(AND($K574=2,$L574&lt;$J574,COUNTIFS(nrES_PID,$D574,nrES_Code,$F574,nrES_Att,1)&gt;0),"Yes","No")))</f>
        <v/>
      </c>
      <c r="S574" s="16" t="n"/>
      <c r="T574" s="17">
        <f>IF($Q574&lt;&gt;"Yes","",IF($S574="","(enter date)",_xlfn.LET(_xlpm.dn,IFERROR(_xlfn.XLOOKUP($S574,nrCDdate,nrCDnum),""),IF(_xlpm.dn="","(not a class day)",IFERROR(_xlfn.XLOOKUP(_xlpm.dn+cfgRetestClassDays,nrCDnum,nrCDdate),"")))))</f>
        <v/>
      </c>
      <c r="U574" s="15">
        <f>IF($Q574&lt;&gt;"Yes","",IF(COUNTIFS(nrES_PID,$D574,nrES_Code,$F574,nrES_Att,2)&gt;0,"Retested",IF(OR($T574="",NOT(ISNUMBER($T574))),"Pending",IF(TODAY()&gt;$T574,"OVERDUE","Due "&amp;TEXT($T574,"mm/dd")))))</f>
        <v/>
      </c>
      <c r="V574" s="14" t="n"/>
      <c r="W574" s="14" t="n"/>
    </row>
    <row r="575">
      <c r="B575" s="15">
        <f>IF($C575="","",$D575&amp;"-"&amp;$F575&amp;"-"&amp;$K575)</f>
        <v/>
      </c>
      <c r="C575" s="14" t="n"/>
      <c r="D575" s="15">
        <f>IF($C575="","",IFERROR(INDEX(rngCadetPIDs,MATCH($C575,rngCadetNames,0)),"?"))</f>
        <v/>
      </c>
      <c r="E575" s="15">
        <f>IF($D575="","",IFERROR(INDEX(nrCadetAgency,MATCH($D575,rngCadetPIDs,0)),""))</f>
        <v/>
      </c>
      <c r="F575" s="14" t="n"/>
      <c r="G575" s="15">
        <f>IF($F575="","",IFERROR(INDEX(rngEPname,MATCH($F575,rngEPcode,0)),"?"))</f>
        <v/>
      </c>
      <c r="H575" s="15">
        <f>IF($F575="","",IFERROR(INDEX(rngEPtype,MATCH($F575,rngEPcode,0)),"?"))</f>
        <v/>
      </c>
      <c r="I575" s="15">
        <f>IF($F575="","",IFERROR(INDEX(rngEPseq,MATCH($F575,rngEPcode,0)),""))</f>
        <v/>
      </c>
      <c r="J575" s="15">
        <f>IF($F575="","",IFERROR(INDEX(rngEPpass,MATCH($F575,rngEPcode,0)),cfgPassingScore))</f>
        <v/>
      </c>
      <c r="K575" s="14" t="n"/>
      <c r="L575" s="14" t="n"/>
      <c r="M575" s="15">
        <f>IF($C575="","",IF($L575="","",IF($K575=1,IF(COUNTIFS(nrES_PID,$D575,nrES_Code,$F575,nrES_Att,2)&gt;0,"",$L575),IF(COUNTIFS(nrES_PID,$D575,nrES_Code,$F575,nrES_Att,1)=0,$L575,IF($L575&gt;=$J575,cfgRetakeRecordedCap,SUMIFS(nrES_Raw,nrES_PID,$D575,nrES_Code,$F575,nrES_Att,1))))))</f>
        <v/>
      </c>
      <c r="N575" s="15">
        <f>IF($C575="","",IF($L575="","",IF($L575&gt;=$J575,"Yes","No")))</f>
        <v/>
      </c>
      <c r="O575" s="15">
        <f>IF($C575="","",IF($M575="","",IF($M575&gt;=$J575,"Yes","No")))</f>
        <v/>
      </c>
      <c r="P575" s="15">
        <f>IF($C575="","",IF($K575="","",IF(COUNTIFS(nrES_PID,$D575,nrES_Code,$F575,nrES_Att,"&gt;"&amp;$K575)=0,"Yes","No")))</f>
        <v/>
      </c>
      <c r="Q575" s="15">
        <f>IF($C575="","",IF($L575="","",IF(AND($K575=1,$L575&lt;$J575,COUNTIFS(nrES_PID,$D575,nrES_Code,$F575,nrES_Att,2)=0),"Yes","No")))</f>
        <v/>
      </c>
      <c r="R575" s="15">
        <f>IF($C575="","",IF($L575="","",IF(AND($K575=2,$L575&lt;$J575,COUNTIFS(nrES_PID,$D575,nrES_Code,$F575,nrES_Att,1)&gt;0),"Yes","No")))</f>
        <v/>
      </c>
      <c r="S575" s="16" t="n"/>
      <c r="T575" s="17">
        <f>IF($Q575&lt;&gt;"Yes","",IF($S575="","(enter date)",_xlfn.LET(_xlpm.dn,IFERROR(_xlfn.XLOOKUP($S575,nrCDdate,nrCDnum),""),IF(_xlpm.dn="","(not a class day)",IFERROR(_xlfn.XLOOKUP(_xlpm.dn+cfgRetestClassDays,nrCDnum,nrCDdate),"")))))</f>
        <v/>
      </c>
      <c r="U575" s="15">
        <f>IF($Q575&lt;&gt;"Yes","",IF(COUNTIFS(nrES_PID,$D575,nrES_Code,$F575,nrES_Att,2)&gt;0,"Retested",IF(OR($T575="",NOT(ISNUMBER($T575))),"Pending",IF(TODAY()&gt;$T575,"OVERDUE","Due "&amp;TEXT($T575,"mm/dd")))))</f>
        <v/>
      </c>
      <c r="V575" s="14" t="n"/>
      <c r="W575" s="14" t="n"/>
    </row>
    <row r="576">
      <c r="B576" s="15">
        <f>IF($C576="","",$D576&amp;"-"&amp;$F576&amp;"-"&amp;$K576)</f>
        <v/>
      </c>
      <c r="C576" s="14" t="n"/>
      <c r="D576" s="15">
        <f>IF($C576="","",IFERROR(INDEX(rngCadetPIDs,MATCH($C576,rngCadetNames,0)),"?"))</f>
        <v/>
      </c>
      <c r="E576" s="15">
        <f>IF($D576="","",IFERROR(INDEX(nrCadetAgency,MATCH($D576,rngCadetPIDs,0)),""))</f>
        <v/>
      </c>
      <c r="F576" s="14" t="n"/>
      <c r="G576" s="15">
        <f>IF($F576="","",IFERROR(INDEX(rngEPname,MATCH($F576,rngEPcode,0)),"?"))</f>
        <v/>
      </c>
      <c r="H576" s="15">
        <f>IF($F576="","",IFERROR(INDEX(rngEPtype,MATCH($F576,rngEPcode,0)),"?"))</f>
        <v/>
      </c>
      <c r="I576" s="15">
        <f>IF($F576="","",IFERROR(INDEX(rngEPseq,MATCH($F576,rngEPcode,0)),""))</f>
        <v/>
      </c>
      <c r="J576" s="15">
        <f>IF($F576="","",IFERROR(INDEX(rngEPpass,MATCH($F576,rngEPcode,0)),cfgPassingScore))</f>
        <v/>
      </c>
      <c r="K576" s="14" t="n"/>
      <c r="L576" s="14" t="n"/>
      <c r="M576" s="15">
        <f>IF($C576="","",IF($L576="","",IF($K576=1,IF(COUNTIFS(nrES_PID,$D576,nrES_Code,$F576,nrES_Att,2)&gt;0,"",$L576),IF(COUNTIFS(nrES_PID,$D576,nrES_Code,$F576,nrES_Att,1)=0,$L576,IF($L576&gt;=$J576,cfgRetakeRecordedCap,SUMIFS(nrES_Raw,nrES_PID,$D576,nrES_Code,$F576,nrES_Att,1))))))</f>
        <v/>
      </c>
      <c r="N576" s="15">
        <f>IF($C576="","",IF($L576="","",IF($L576&gt;=$J576,"Yes","No")))</f>
        <v/>
      </c>
      <c r="O576" s="15">
        <f>IF($C576="","",IF($M576="","",IF($M576&gt;=$J576,"Yes","No")))</f>
        <v/>
      </c>
      <c r="P576" s="15">
        <f>IF($C576="","",IF($K576="","",IF(COUNTIFS(nrES_PID,$D576,nrES_Code,$F576,nrES_Att,"&gt;"&amp;$K576)=0,"Yes","No")))</f>
        <v/>
      </c>
      <c r="Q576" s="15">
        <f>IF($C576="","",IF($L576="","",IF(AND($K576=1,$L576&lt;$J576,COUNTIFS(nrES_PID,$D576,nrES_Code,$F576,nrES_Att,2)=0),"Yes","No")))</f>
        <v/>
      </c>
      <c r="R576" s="15">
        <f>IF($C576="","",IF($L576="","",IF(AND($K576=2,$L576&lt;$J576,COUNTIFS(nrES_PID,$D576,nrES_Code,$F576,nrES_Att,1)&gt;0),"Yes","No")))</f>
        <v/>
      </c>
      <c r="S576" s="16" t="n"/>
      <c r="T576" s="17">
        <f>IF($Q576&lt;&gt;"Yes","",IF($S576="","(enter date)",_xlfn.LET(_xlpm.dn,IFERROR(_xlfn.XLOOKUP($S576,nrCDdate,nrCDnum),""),IF(_xlpm.dn="","(not a class day)",IFERROR(_xlfn.XLOOKUP(_xlpm.dn+cfgRetestClassDays,nrCDnum,nrCDdate),"")))))</f>
        <v/>
      </c>
      <c r="U576" s="15">
        <f>IF($Q576&lt;&gt;"Yes","",IF(COUNTIFS(nrES_PID,$D576,nrES_Code,$F576,nrES_Att,2)&gt;0,"Retested",IF(OR($T576="",NOT(ISNUMBER($T576))),"Pending",IF(TODAY()&gt;$T576,"OVERDUE","Due "&amp;TEXT($T576,"mm/dd")))))</f>
        <v/>
      </c>
      <c r="V576" s="14" t="n"/>
      <c r="W576" s="14" t="n"/>
    </row>
    <row r="577">
      <c r="B577" s="15">
        <f>IF($C577="","",$D577&amp;"-"&amp;$F577&amp;"-"&amp;$K577)</f>
        <v/>
      </c>
      <c r="C577" s="14" t="n"/>
      <c r="D577" s="15">
        <f>IF($C577="","",IFERROR(INDEX(rngCadetPIDs,MATCH($C577,rngCadetNames,0)),"?"))</f>
        <v/>
      </c>
      <c r="E577" s="15">
        <f>IF($D577="","",IFERROR(INDEX(nrCadetAgency,MATCH($D577,rngCadetPIDs,0)),""))</f>
        <v/>
      </c>
      <c r="F577" s="14" t="n"/>
      <c r="G577" s="15">
        <f>IF($F577="","",IFERROR(INDEX(rngEPname,MATCH($F577,rngEPcode,0)),"?"))</f>
        <v/>
      </c>
      <c r="H577" s="15">
        <f>IF($F577="","",IFERROR(INDEX(rngEPtype,MATCH($F577,rngEPcode,0)),"?"))</f>
        <v/>
      </c>
      <c r="I577" s="15">
        <f>IF($F577="","",IFERROR(INDEX(rngEPseq,MATCH($F577,rngEPcode,0)),""))</f>
        <v/>
      </c>
      <c r="J577" s="15">
        <f>IF($F577="","",IFERROR(INDEX(rngEPpass,MATCH($F577,rngEPcode,0)),cfgPassingScore))</f>
        <v/>
      </c>
      <c r="K577" s="14" t="n"/>
      <c r="L577" s="14" t="n"/>
      <c r="M577" s="15">
        <f>IF($C577="","",IF($L577="","",IF($K577=1,IF(COUNTIFS(nrES_PID,$D577,nrES_Code,$F577,nrES_Att,2)&gt;0,"",$L577),IF(COUNTIFS(nrES_PID,$D577,nrES_Code,$F577,nrES_Att,1)=0,$L577,IF($L577&gt;=$J577,cfgRetakeRecordedCap,SUMIFS(nrES_Raw,nrES_PID,$D577,nrES_Code,$F577,nrES_Att,1))))))</f>
        <v/>
      </c>
      <c r="N577" s="15">
        <f>IF($C577="","",IF($L577="","",IF($L577&gt;=$J577,"Yes","No")))</f>
        <v/>
      </c>
      <c r="O577" s="15">
        <f>IF($C577="","",IF($M577="","",IF($M577&gt;=$J577,"Yes","No")))</f>
        <v/>
      </c>
      <c r="P577" s="15">
        <f>IF($C577="","",IF($K577="","",IF(COUNTIFS(nrES_PID,$D577,nrES_Code,$F577,nrES_Att,"&gt;"&amp;$K577)=0,"Yes","No")))</f>
        <v/>
      </c>
      <c r="Q577" s="15">
        <f>IF($C577="","",IF($L577="","",IF(AND($K577=1,$L577&lt;$J577,COUNTIFS(nrES_PID,$D577,nrES_Code,$F577,nrES_Att,2)=0),"Yes","No")))</f>
        <v/>
      </c>
      <c r="R577" s="15">
        <f>IF($C577="","",IF($L577="","",IF(AND($K577=2,$L577&lt;$J577,COUNTIFS(nrES_PID,$D577,nrES_Code,$F577,nrES_Att,1)&gt;0),"Yes","No")))</f>
        <v/>
      </c>
      <c r="S577" s="16" t="n"/>
      <c r="T577" s="17">
        <f>IF($Q577&lt;&gt;"Yes","",IF($S577="","(enter date)",_xlfn.LET(_xlpm.dn,IFERROR(_xlfn.XLOOKUP($S577,nrCDdate,nrCDnum),""),IF(_xlpm.dn="","(not a class day)",IFERROR(_xlfn.XLOOKUP(_xlpm.dn+cfgRetestClassDays,nrCDnum,nrCDdate),"")))))</f>
        <v/>
      </c>
      <c r="U577" s="15">
        <f>IF($Q577&lt;&gt;"Yes","",IF(COUNTIFS(nrES_PID,$D577,nrES_Code,$F577,nrES_Att,2)&gt;0,"Retested",IF(OR($T577="",NOT(ISNUMBER($T577))),"Pending",IF(TODAY()&gt;$T577,"OVERDUE","Due "&amp;TEXT($T577,"mm/dd")))))</f>
        <v/>
      </c>
      <c r="V577" s="14" t="n"/>
      <c r="W577" s="14" t="n"/>
    </row>
    <row r="578">
      <c r="B578" s="15">
        <f>IF($C578="","",$D578&amp;"-"&amp;$F578&amp;"-"&amp;$K578)</f>
        <v/>
      </c>
      <c r="C578" s="14" t="n"/>
      <c r="D578" s="15">
        <f>IF($C578="","",IFERROR(INDEX(rngCadetPIDs,MATCH($C578,rngCadetNames,0)),"?"))</f>
        <v/>
      </c>
      <c r="E578" s="15">
        <f>IF($D578="","",IFERROR(INDEX(nrCadetAgency,MATCH($D578,rngCadetPIDs,0)),""))</f>
        <v/>
      </c>
      <c r="F578" s="14" t="n"/>
      <c r="G578" s="15">
        <f>IF($F578="","",IFERROR(INDEX(rngEPname,MATCH($F578,rngEPcode,0)),"?"))</f>
        <v/>
      </c>
      <c r="H578" s="15">
        <f>IF($F578="","",IFERROR(INDEX(rngEPtype,MATCH($F578,rngEPcode,0)),"?"))</f>
        <v/>
      </c>
      <c r="I578" s="15">
        <f>IF($F578="","",IFERROR(INDEX(rngEPseq,MATCH($F578,rngEPcode,0)),""))</f>
        <v/>
      </c>
      <c r="J578" s="15">
        <f>IF($F578="","",IFERROR(INDEX(rngEPpass,MATCH($F578,rngEPcode,0)),cfgPassingScore))</f>
        <v/>
      </c>
      <c r="K578" s="14" t="n"/>
      <c r="L578" s="14" t="n"/>
      <c r="M578" s="15">
        <f>IF($C578="","",IF($L578="","",IF($K578=1,IF(COUNTIFS(nrES_PID,$D578,nrES_Code,$F578,nrES_Att,2)&gt;0,"",$L578),IF(COUNTIFS(nrES_PID,$D578,nrES_Code,$F578,nrES_Att,1)=0,$L578,IF($L578&gt;=$J578,cfgRetakeRecordedCap,SUMIFS(nrES_Raw,nrES_PID,$D578,nrES_Code,$F578,nrES_Att,1))))))</f>
        <v/>
      </c>
      <c r="N578" s="15">
        <f>IF($C578="","",IF($L578="","",IF($L578&gt;=$J578,"Yes","No")))</f>
        <v/>
      </c>
      <c r="O578" s="15">
        <f>IF($C578="","",IF($M578="","",IF($M578&gt;=$J578,"Yes","No")))</f>
        <v/>
      </c>
      <c r="P578" s="15">
        <f>IF($C578="","",IF($K578="","",IF(COUNTIFS(nrES_PID,$D578,nrES_Code,$F578,nrES_Att,"&gt;"&amp;$K578)=0,"Yes","No")))</f>
        <v/>
      </c>
      <c r="Q578" s="15">
        <f>IF($C578="","",IF($L578="","",IF(AND($K578=1,$L578&lt;$J578,COUNTIFS(nrES_PID,$D578,nrES_Code,$F578,nrES_Att,2)=0),"Yes","No")))</f>
        <v/>
      </c>
      <c r="R578" s="15">
        <f>IF($C578="","",IF($L578="","",IF(AND($K578=2,$L578&lt;$J578,COUNTIFS(nrES_PID,$D578,nrES_Code,$F578,nrES_Att,1)&gt;0),"Yes","No")))</f>
        <v/>
      </c>
      <c r="S578" s="16" t="n"/>
      <c r="T578" s="17">
        <f>IF($Q578&lt;&gt;"Yes","",IF($S578="","(enter date)",_xlfn.LET(_xlpm.dn,IFERROR(_xlfn.XLOOKUP($S578,nrCDdate,nrCDnum),""),IF(_xlpm.dn="","(not a class day)",IFERROR(_xlfn.XLOOKUP(_xlpm.dn+cfgRetestClassDays,nrCDnum,nrCDdate),"")))))</f>
        <v/>
      </c>
      <c r="U578" s="15">
        <f>IF($Q578&lt;&gt;"Yes","",IF(COUNTIFS(nrES_PID,$D578,nrES_Code,$F578,nrES_Att,2)&gt;0,"Retested",IF(OR($T578="",NOT(ISNUMBER($T578))),"Pending",IF(TODAY()&gt;$T578,"OVERDUE","Due "&amp;TEXT($T578,"mm/dd")))))</f>
        <v/>
      </c>
      <c r="V578" s="14" t="n"/>
      <c r="W578" s="14" t="n"/>
    </row>
    <row r="579">
      <c r="B579" s="15">
        <f>IF($C579="","",$D579&amp;"-"&amp;$F579&amp;"-"&amp;$K579)</f>
        <v/>
      </c>
      <c r="C579" s="14" t="n"/>
      <c r="D579" s="15">
        <f>IF($C579="","",IFERROR(INDEX(rngCadetPIDs,MATCH($C579,rngCadetNames,0)),"?"))</f>
        <v/>
      </c>
      <c r="E579" s="15">
        <f>IF($D579="","",IFERROR(INDEX(nrCadetAgency,MATCH($D579,rngCadetPIDs,0)),""))</f>
        <v/>
      </c>
      <c r="F579" s="14" t="n"/>
      <c r="G579" s="15">
        <f>IF($F579="","",IFERROR(INDEX(rngEPname,MATCH($F579,rngEPcode,0)),"?"))</f>
        <v/>
      </c>
      <c r="H579" s="15">
        <f>IF($F579="","",IFERROR(INDEX(rngEPtype,MATCH($F579,rngEPcode,0)),"?"))</f>
        <v/>
      </c>
      <c r="I579" s="15">
        <f>IF($F579="","",IFERROR(INDEX(rngEPseq,MATCH($F579,rngEPcode,0)),""))</f>
        <v/>
      </c>
      <c r="J579" s="15">
        <f>IF($F579="","",IFERROR(INDEX(rngEPpass,MATCH($F579,rngEPcode,0)),cfgPassingScore))</f>
        <v/>
      </c>
      <c r="K579" s="14" t="n"/>
      <c r="L579" s="14" t="n"/>
      <c r="M579" s="15">
        <f>IF($C579="","",IF($L579="","",IF($K579=1,IF(COUNTIFS(nrES_PID,$D579,nrES_Code,$F579,nrES_Att,2)&gt;0,"",$L579),IF(COUNTIFS(nrES_PID,$D579,nrES_Code,$F579,nrES_Att,1)=0,$L579,IF($L579&gt;=$J579,cfgRetakeRecordedCap,SUMIFS(nrES_Raw,nrES_PID,$D579,nrES_Code,$F579,nrES_Att,1))))))</f>
        <v/>
      </c>
      <c r="N579" s="15">
        <f>IF($C579="","",IF($L579="","",IF($L579&gt;=$J579,"Yes","No")))</f>
        <v/>
      </c>
      <c r="O579" s="15">
        <f>IF($C579="","",IF($M579="","",IF($M579&gt;=$J579,"Yes","No")))</f>
        <v/>
      </c>
      <c r="P579" s="15">
        <f>IF($C579="","",IF($K579="","",IF(COUNTIFS(nrES_PID,$D579,nrES_Code,$F579,nrES_Att,"&gt;"&amp;$K579)=0,"Yes","No")))</f>
        <v/>
      </c>
      <c r="Q579" s="15">
        <f>IF($C579="","",IF($L579="","",IF(AND($K579=1,$L579&lt;$J579,COUNTIFS(nrES_PID,$D579,nrES_Code,$F579,nrES_Att,2)=0),"Yes","No")))</f>
        <v/>
      </c>
      <c r="R579" s="15">
        <f>IF($C579="","",IF($L579="","",IF(AND($K579=2,$L579&lt;$J579,COUNTIFS(nrES_PID,$D579,nrES_Code,$F579,nrES_Att,1)&gt;0),"Yes","No")))</f>
        <v/>
      </c>
      <c r="S579" s="16" t="n"/>
      <c r="T579" s="17">
        <f>IF($Q579&lt;&gt;"Yes","",IF($S579="","(enter date)",_xlfn.LET(_xlpm.dn,IFERROR(_xlfn.XLOOKUP($S579,nrCDdate,nrCDnum),""),IF(_xlpm.dn="","(not a class day)",IFERROR(_xlfn.XLOOKUP(_xlpm.dn+cfgRetestClassDays,nrCDnum,nrCDdate),"")))))</f>
        <v/>
      </c>
      <c r="U579" s="15">
        <f>IF($Q579&lt;&gt;"Yes","",IF(COUNTIFS(nrES_PID,$D579,nrES_Code,$F579,nrES_Att,2)&gt;0,"Retested",IF(OR($T579="",NOT(ISNUMBER($T579))),"Pending",IF(TODAY()&gt;$T579,"OVERDUE","Due "&amp;TEXT($T579,"mm/dd")))))</f>
        <v/>
      </c>
      <c r="V579" s="14" t="n"/>
      <c r="W579" s="14" t="n"/>
    </row>
    <row r="580">
      <c r="B580" s="15">
        <f>IF($C580="","",$D580&amp;"-"&amp;$F580&amp;"-"&amp;$K580)</f>
        <v/>
      </c>
      <c r="C580" s="14" t="n"/>
      <c r="D580" s="15">
        <f>IF($C580="","",IFERROR(INDEX(rngCadetPIDs,MATCH($C580,rngCadetNames,0)),"?"))</f>
        <v/>
      </c>
      <c r="E580" s="15">
        <f>IF($D580="","",IFERROR(INDEX(nrCadetAgency,MATCH($D580,rngCadetPIDs,0)),""))</f>
        <v/>
      </c>
      <c r="F580" s="14" t="n"/>
      <c r="G580" s="15">
        <f>IF($F580="","",IFERROR(INDEX(rngEPname,MATCH($F580,rngEPcode,0)),"?"))</f>
        <v/>
      </c>
      <c r="H580" s="15">
        <f>IF($F580="","",IFERROR(INDEX(rngEPtype,MATCH($F580,rngEPcode,0)),"?"))</f>
        <v/>
      </c>
      <c r="I580" s="15">
        <f>IF($F580="","",IFERROR(INDEX(rngEPseq,MATCH($F580,rngEPcode,0)),""))</f>
        <v/>
      </c>
      <c r="J580" s="15">
        <f>IF($F580="","",IFERROR(INDEX(rngEPpass,MATCH($F580,rngEPcode,0)),cfgPassingScore))</f>
        <v/>
      </c>
      <c r="K580" s="14" t="n"/>
      <c r="L580" s="14" t="n"/>
      <c r="M580" s="15">
        <f>IF($C580="","",IF($L580="","",IF($K580=1,IF(COUNTIFS(nrES_PID,$D580,nrES_Code,$F580,nrES_Att,2)&gt;0,"",$L580),IF(COUNTIFS(nrES_PID,$D580,nrES_Code,$F580,nrES_Att,1)=0,$L580,IF($L580&gt;=$J580,cfgRetakeRecordedCap,SUMIFS(nrES_Raw,nrES_PID,$D580,nrES_Code,$F580,nrES_Att,1))))))</f>
        <v/>
      </c>
      <c r="N580" s="15">
        <f>IF($C580="","",IF($L580="","",IF($L580&gt;=$J580,"Yes","No")))</f>
        <v/>
      </c>
      <c r="O580" s="15">
        <f>IF($C580="","",IF($M580="","",IF($M580&gt;=$J580,"Yes","No")))</f>
        <v/>
      </c>
      <c r="P580" s="15">
        <f>IF($C580="","",IF($K580="","",IF(COUNTIFS(nrES_PID,$D580,nrES_Code,$F580,nrES_Att,"&gt;"&amp;$K580)=0,"Yes","No")))</f>
        <v/>
      </c>
      <c r="Q580" s="15">
        <f>IF($C580="","",IF($L580="","",IF(AND($K580=1,$L580&lt;$J580,COUNTIFS(nrES_PID,$D580,nrES_Code,$F580,nrES_Att,2)=0),"Yes","No")))</f>
        <v/>
      </c>
      <c r="R580" s="15">
        <f>IF($C580="","",IF($L580="","",IF(AND($K580=2,$L580&lt;$J580,COUNTIFS(nrES_PID,$D580,nrES_Code,$F580,nrES_Att,1)&gt;0),"Yes","No")))</f>
        <v/>
      </c>
      <c r="S580" s="16" t="n"/>
      <c r="T580" s="17">
        <f>IF($Q580&lt;&gt;"Yes","",IF($S580="","(enter date)",_xlfn.LET(_xlpm.dn,IFERROR(_xlfn.XLOOKUP($S580,nrCDdate,nrCDnum),""),IF(_xlpm.dn="","(not a class day)",IFERROR(_xlfn.XLOOKUP(_xlpm.dn+cfgRetestClassDays,nrCDnum,nrCDdate),"")))))</f>
        <v/>
      </c>
      <c r="U580" s="15">
        <f>IF($Q580&lt;&gt;"Yes","",IF(COUNTIFS(nrES_PID,$D580,nrES_Code,$F580,nrES_Att,2)&gt;0,"Retested",IF(OR($T580="",NOT(ISNUMBER($T580))),"Pending",IF(TODAY()&gt;$T580,"OVERDUE","Due "&amp;TEXT($T580,"mm/dd")))))</f>
        <v/>
      </c>
      <c r="V580" s="14" t="n"/>
      <c r="W580" s="14" t="n"/>
    </row>
    <row r="581">
      <c r="B581" s="15">
        <f>IF($C581="","",$D581&amp;"-"&amp;$F581&amp;"-"&amp;$K581)</f>
        <v/>
      </c>
      <c r="C581" s="14" t="n"/>
      <c r="D581" s="15">
        <f>IF($C581="","",IFERROR(INDEX(rngCadetPIDs,MATCH($C581,rngCadetNames,0)),"?"))</f>
        <v/>
      </c>
      <c r="E581" s="15">
        <f>IF($D581="","",IFERROR(INDEX(nrCadetAgency,MATCH($D581,rngCadetPIDs,0)),""))</f>
        <v/>
      </c>
      <c r="F581" s="14" t="n"/>
      <c r="G581" s="15">
        <f>IF($F581="","",IFERROR(INDEX(rngEPname,MATCH($F581,rngEPcode,0)),"?"))</f>
        <v/>
      </c>
      <c r="H581" s="15">
        <f>IF($F581="","",IFERROR(INDEX(rngEPtype,MATCH($F581,rngEPcode,0)),"?"))</f>
        <v/>
      </c>
      <c r="I581" s="15">
        <f>IF($F581="","",IFERROR(INDEX(rngEPseq,MATCH($F581,rngEPcode,0)),""))</f>
        <v/>
      </c>
      <c r="J581" s="15">
        <f>IF($F581="","",IFERROR(INDEX(rngEPpass,MATCH($F581,rngEPcode,0)),cfgPassingScore))</f>
        <v/>
      </c>
      <c r="K581" s="14" t="n"/>
      <c r="L581" s="14" t="n"/>
      <c r="M581" s="15">
        <f>IF($C581="","",IF($L581="","",IF($K581=1,IF(COUNTIFS(nrES_PID,$D581,nrES_Code,$F581,nrES_Att,2)&gt;0,"",$L581),IF(COUNTIFS(nrES_PID,$D581,nrES_Code,$F581,nrES_Att,1)=0,$L581,IF($L581&gt;=$J581,cfgRetakeRecordedCap,SUMIFS(nrES_Raw,nrES_PID,$D581,nrES_Code,$F581,nrES_Att,1))))))</f>
        <v/>
      </c>
      <c r="N581" s="15">
        <f>IF($C581="","",IF($L581="","",IF($L581&gt;=$J581,"Yes","No")))</f>
        <v/>
      </c>
      <c r="O581" s="15">
        <f>IF($C581="","",IF($M581="","",IF($M581&gt;=$J581,"Yes","No")))</f>
        <v/>
      </c>
      <c r="P581" s="15">
        <f>IF($C581="","",IF($K581="","",IF(COUNTIFS(nrES_PID,$D581,nrES_Code,$F581,nrES_Att,"&gt;"&amp;$K581)=0,"Yes","No")))</f>
        <v/>
      </c>
      <c r="Q581" s="15">
        <f>IF($C581="","",IF($L581="","",IF(AND($K581=1,$L581&lt;$J581,COUNTIFS(nrES_PID,$D581,nrES_Code,$F581,nrES_Att,2)=0),"Yes","No")))</f>
        <v/>
      </c>
      <c r="R581" s="15">
        <f>IF($C581="","",IF($L581="","",IF(AND($K581=2,$L581&lt;$J581,COUNTIFS(nrES_PID,$D581,nrES_Code,$F581,nrES_Att,1)&gt;0),"Yes","No")))</f>
        <v/>
      </c>
      <c r="S581" s="16" t="n"/>
      <c r="T581" s="17">
        <f>IF($Q581&lt;&gt;"Yes","",IF($S581="","(enter date)",_xlfn.LET(_xlpm.dn,IFERROR(_xlfn.XLOOKUP($S581,nrCDdate,nrCDnum),""),IF(_xlpm.dn="","(not a class day)",IFERROR(_xlfn.XLOOKUP(_xlpm.dn+cfgRetestClassDays,nrCDnum,nrCDdate),"")))))</f>
        <v/>
      </c>
      <c r="U581" s="15">
        <f>IF($Q581&lt;&gt;"Yes","",IF(COUNTIFS(nrES_PID,$D581,nrES_Code,$F581,nrES_Att,2)&gt;0,"Retested",IF(OR($T581="",NOT(ISNUMBER($T581))),"Pending",IF(TODAY()&gt;$T581,"OVERDUE","Due "&amp;TEXT($T581,"mm/dd")))))</f>
        <v/>
      </c>
      <c r="V581" s="14" t="n"/>
      <c r="W581" s="14" t="n"/>
    </row>
    <row r="582">
      <c r="B582" s="15">
        <f>IF($C582="","",$D582&amp;"-"&amp;$F582&amp;"-"&amp;$K582)</f>
        <v/>
      </c>
      <c r="C582" s="14" t="n"/>
      <c r="D582" s="15">
        <f>IF($C582="","",IFERROR(INDEX(rngCadetPIDs,MATCH($C582,rngCadetNames,0)),"?"))</f>
        <v/>
      </c>
      <c r="E582" s="15">
        <f>IF($D582="","",IFERROR(INDEX(nrCadetAgency,MATCH($D582,rngCadetPIDs,0)),""))</f>
        <v/>
      </c>
      <c r="F582" s="14" t="n"/>
      <c r="G582" s="15">
        <f>IF($F582="","",IFERROR(INDEX(rngEPname,MATCH($F582,rngEPcode,0)),"?"))</f>
        <v/>
      </c>
      <c r="H582" s="15">
        <f>IF($F582="","",IFERROR(INDEX(rngEPtype,MATCH($F582,rngEPcode,0)),"?"))</f>
        <v/>
      </c>
      <c r="I582" s="15">
        <f>IF($F582="","",IFERROR(INDEX(rngEPseq,MATCH($F582,rngEPcode,0)),""))</f>
        <v/>
      </c>
      <c r="J582" s="15">
        <f>IF($F582="","",IFERROR(INDEX(rngEPpass,MATCH($F582,rngEPcode,0)),cfgPassingScore))</f>
        <v/>
      </c>
      <c r="K582" s="14" t="n"/>
      <c r="L582" s="14" t="n"/>
      <c r="M582" s="15">
        <f>IF($C582="","",IF($L582="","",IF($K582=1,IF(COUNTIFS(nrES_PID,$D582,nrES_Code,$F582,nrES_Att,2)&gt;0,"",$L582),IF(COUNTIFS(nrES_PID,$D582,nrES_Code,$F582,nrES_Att,1)=0,$L582,IF($L582&gt;=$J582,cfgRetakeRecordedCap,SUMIFS(nrES_Raw,nrES_PID,$D582,nrES_Code,$F582,nrES_Att,1))))))</f>
        <v/>
      </c>
      <c r="N582" s="15">
        <f>IF($C582="","",IF($L582="","",IF($L582&gt;=$J582,"Yes","No")))</f>
        <v/>
      </c>
      <c r="O582" s="15">
        <f>IF($C582="","",IF($M582="","",IF($M582&gt;=$J582,"Yes","No")))</f>
        <v/>
      </c>
      <c r="P582" s="15">
        <f>IF($C582="","",IF($K582="","",IF(COUNTIFS(nrES_PID,$D582,nrES_Code,$F582,nrES_Att,"&gt;"&amp;$K582)=0,"Yes","No")))</f>
        <v/>
      </c>
      <c r="Q582" s="15">
        <f>IF($C582="","",IF($L582="","",IF(AND($K582=1,$L582&lt;$J582,COUNTIFS(nrES_PID,$D582,nrES_Code,$F582,nrES_Att,2)=0),"Yes","No")))</f>
        <v/>
      </c>
      <c r="R582" s="15">
        <f>IF($C582="","",IF($L582="","",IF(AND($K582=2,$L582&lt;$J582,COUNTIFS(nrES_PID,$D582,nrES_Code,$F582,nrES_Att,1)&gt;0),"Yes","No")))</f>
        <v/>
      </c>
      <c r="S582" s="16" t="n"/>
      <c r="T582" s="17">
        <f>IF($Q582&lt;&gt;"Yes","",IF($S582="","(enter date)",_xlfn.LET(_xlpm.dn,IFERROR(_xlfn.XLOOKUP($S582,nrCDdate,nrCDnum),""),IF(_xlpm.dn="","(not a class day)",IFERROR(_xlfn.XLOOKUP(_xlpm.dn+cfgRetestClassDays,nrCDnum,nrCDdate),"")))))</f>
        <v/>
      </c>
      <c r="U582" s="15">
        <f>IF($Q582&lt;&gt;"Yes","",IF(COUNTIFS(nrES_PID,$D582,nrES_Code,$F582,nrES_Att,2)&gt;0,"Retested",IF(OR($T582="",NOT(ISNUMBER($T582))),"Pending",IF(TODAY()&gt;$T582,"OVERDUE","Due "&amp;TEXT($T582,"mm/dd")))))</f>
        <v/>
      </c>
      <c r="V582" s="14" t="n"/>
      <c r="W582" s="14" t="n"/>
    </row>
    <row r="583">
      <c r="B583" s="15">
        <f>IF($C583="","",$D583&amp;"-"&amp;$F583&amp;"-"&amp;$K583)</f>
        <v/>
      </c>
      <c r="C583" s="14" t="n"/>
      <c r="D583" s="15">
        <f>IF($C583="","",IFERROR(INDEX(rngCadetPIDs,MATCH($C583,rngCadetNames,0)),"?"))</f>
        <v/>
      </c>
      <c r="E583" s="15">
        <f>IF($D583="","",IFERROR(INDEX(nrCadetAgency,MATCH($D583,rngCadetPIDs,0)),""))</f>
        <v/>
      </c>
      <c r="F583" s="14" t="n"/>
      <c r="G583" s="15">
        <f>IF($F583="","",IFERROR(INDEX(rngEPname,MATCH($F583,rngEPcode,0)),"?"))</f>
        <v/>
      </c>
      <c r="H583" s="15">
        <f>IF($F583="","",IFERROR(INDEX(rngEPtype,MATCH($F583,rngEPcode,0)),"?"))</f>
        <v/>
      </c>
      <c r="I583" s="15">
        <f>IF($F583="","",IFERROR(INDEX(rngEPseq,MATCH($F583,rngEPcode,0)),""))</f>
        <v/>
      </c>
      <c r="J583" s="15">
        <f>IF($F583="","",IFERROR(INDEX(rngEPpass,MATCH($F583,rngEPcode,0)),cfgPassingScore))</f>
        <v/>
      </c>
      <c r="K583" s="14" t="n"/>
      <c r="L583" s="14" t="n"/>
      <c r="M583" s="15">
        <f>IF($C583="","",IF($L583="","",IF($K583=1,IF(COUNTIFS(nrES_PID,$D583,nrES_Code,$F583,nrES_Att,2)&gt;0,"",$L583),IF(COUNTIFS(nrES_PID,$D583,nrES_Code,$F583,nrES_Att,1)=0,$L583,IF($L583&gt;=$J583,cfgRetakeRecordedCap,SUMIFS(nrES_Raw,nrES_PID,$D583,nrES_Code,$F583,nrES_Att,1))))))</f>
        <v/>
      </c>
      <c r="N583" s="15">
        <f>IF($C583="","",IF($L583="","",IF($L583&gt;=$J583,"Yes","No")))</f>
        <v/>
      </c>
      <c r="O583" s="15">
        <f>IF($C583="","",IF($M583="","",IF($M583&gt;=$J583,"Yes","No")))</f>
        <v/>
      </c>
      <c r="P583" s="15">
        <f>IF($C583="","",IF($K583="","",IF(COUNTIFS(nrES_PID,$D583,nrES_Code,$F583,nrES_Att,"&gt;"&amp;$K583)=0,"Yes","No")))</f>
        <v/>
      </c>
      <c r="Q583" s="15">
        <f>IF($C583="","",IF($L583="","",IF(AND($K583=1,$L583&lt;$J583,COUNTIFS(nrES_PID,$D583,nrES_Code,$F583,nrES_Att,2)=0),"Yes","No")))</f>
        <v/>
      </c>
      <c r="R583" s="15">
        <f>IF($C583="","",IF($L583="","",IF(AND($K583=2,$L583&lt;$J583,COUNTIFS(nrES_PID,$D583,nrES_Code,$F583,nrES_Att,1)&gt;0),"Yes","No")))</f>
        <v/>
      </c>
      <c r="S583" s="16" t="n"/>
      <c r="T583" s="17">
        <f>IF($Q583&lt;&gt;"Yes","",IF($S583="","(enter date)",_xlfn.LET(_xlpm.dn,IFERROR(_xlfn.XLOOKUP($S583,nrCDdate,nrCDnum),""),IF(_xlpm.dn="","(not a class day)",IFERROR(_xlfn.XLOOKUP(_xlpm.dn+cfgRetestClassDays,nrCDnum,nrCDdate),"")))))</f>
        <v/>
      </c>
      <c r="U583" s="15">
        <f>IF($Q583&lt;&gt;"Yes","",IF(COUNTIFS(nrES_PID,$D583,nrES_Code,$F583,nrES_Att,2)&gt;0,"Retested",IF(OR($T583="",NOT(ISNUMBER($T583))),"Pending",IF(TODAY()&gt;$T583,"OVERDUE","Due "&amp;TEXT($T583,"mm/dd")))))</f>
        <v/>
      </c>
      <c r="V583" s="14" t="n"/>
      <c r="W583" s="14" t="n"/>
    </row>
    <row r="584">
      <c r="B584" s="15">
        <f>IF($C584="","",$D584&amp;"-"&amp;$F584&amp;"-"&amp;$K584)</f>
        <v/>
      </c>
      <c r="C584" s="14" t="n"/>
      <c r="D584" s="15">
        <f>IF($C584="","",IFERROR(INDEX(rngCadetPIDs,MATCH($C584,rngCadetNames,0)),"?"))</f>
        <v/>
      </c>
      <c r="E584" s="15">
        <f>IF($D584="","",IFERROR(INDEX(nrCadetAgency,MATCH($D584,rngCadetPIDs,0)),""))</f>
        <v/>
      </c>
      <c r="F584" s="14" t="n"/>
      <c r="G584" s="15">
        <f>IF($F584="","",IFERROR(INDEX(rngEPname,MATCH($F584,rngEPcode,0)),"?"))</f>
        <v/>
      </c>
      <c r="H584" s="15">
        <f>IF($F584="","",IFERROR(INDEX(rngEPtype,MATCH($F584,rngEPcode,0)),"?"))</f>
        <v/>
      </c>
      <c r="I584" s="15">
        <f>IF($F584="","",IFERROR(INDEX(rngEPseq,MATCH($F584,rngEPcode,0)),""))</f>
        <v/>
      </c>
      <c r="J584" s="15">
        <f>IF($F584="","",IFERROR(INDEX(rngEPpass,MATCH($F584,rngEPcode,0)),cfgPassingScore))</f>
        <v/>
      </c>
      <c r="K584" s="14" t="n"/>
      <c r="L584" s="14" t="n"/>
      <c r="M584" s="15">
        <f>IF($C584="","",IF($L584="","",IF($K584=1,IF(COUNTIFS(nrES_PID,$D584,nrES_Code,$F584,nrES_Att,2)&gt;0,"",$L584),IF(COUNTIFS(nrES_PID,$D584,nrES_Code,$F584,nrES_Att,1)=0,$L584,IF($L584&gt;=$J584,cfgRetakeRecordedCap,SUMIFS(nrES_Raw,nrES_PID,$D584,nrES_Code,$F584,nrES_Att,1))))))</f>
        <v/>
      </c>
      <c r="N584" s="15">
        <f>IF($C584="","",IF($L584="","",IF($L584&gt;=$J584,"Yes","No")))</f>
        <v/>
      </c>
      <c r="O584" s="15">
        <f>IF($C584="","",IF($M584="","",IF($M584&gt;=$J584,"Yes","No")))</f>
        <v/>
      </c>
      <c r="P584" s="15">
        <f>IF($C584="","",IF($K584="","",IF(COUNTIFS(nrES_PID,$D584,nrES_Code,$F584,nrES_Att,"&gt;"&amp;$K584)=0,"Yes","No")))</f>
        <v/>
      </c>
      <c r="Q584" s="15">
        <f>IF($C584="","",IF($L584="","",IF(AND($K584=1,$L584&lt;$J584,COUNTIFS(nrES_PID,$D584,nrES_Code,$F584,nrES_Att,2)=0),"Yes","No")))</f>
        <v/>
      </c>
      <c r="R584" s="15">
        <f>IF($C584="","",IF($L584="","",IF(AND($K584=2,$L584&lt;$J584,COUNTIFS(nrES_PID,$D584,nrES_Code,$F584,nrES_Att,1)&gt;0),"Yes","No")))</f>
        <v/>
      </c>
      <c r="S584" s="16" t="n"/>
      <c r="T584" s="17">
        <f>IF($Q584&lt;&gt;"Yes","",IF($S584="","(enter date)",_xlfn.LET(_xlpm.dn,IFERROR(_xlfn.XLOOKUP($S584,nrCDdate,nrCDnum),""),IF(_xlpm.dn="","(not a class day)",IFERROR(_xlfn.XLOOKUP(_xlpm.dn+cfgRetestClassDays,nrCDnum,nrCDdate),"")))))</f>
        <v/>
      </c>
      <c r="U584" s="15">
        <f>IF($Q584&lt;&gt;"Yes","",IF(COUNTIFS(nrES_PID,$D584,nrES_Code,$F584,nrES_Att,2)&gt;0,"Retested",IF(OR($T584="",NOT(ISNUMBER($T584))),"Pending",IF(TODAY()&gt;$T584,"OVERDUE","Due "&amp;TEXT($T584,"mm/dd")))))</f>
        <v/>
      </c>
      <c r="V584" s="14" t="n"/>
      <c r="W584" s="14" t="n"/>
    </row>
    <row r="585">
      <c r="B585" s="15">
        <f>IF($C585="","",$D585&amp;"-"&amp;$F585&amp;"-"&amp;$K585)</f>
        <v/>
      </c>
      <c r="C585" s="14" t="n"/>
      <c r="D585" s="15">
        <f>IF($C585="","",IFERROR(INDEX(rngCadetPIDs,MATCH($C585,rngCadetNames,0)),"?"))</f>
        <v/>
      </c>
      <c r="E585" s="15">
        <f>IF($D585="","",IFERROR(INDEX(nrCadetAgency,MATCH($D585,rngCadetPIDs,0)),""))</f>
        <v/>
      </c>
      <c r="F585" s="14" t="n"/>
      <c r="G585" s="15">
        <f>IF($F585="","",IFERROR(INDEX(rngEPname,MATCH($F585,rngEPcode,0)),"?"))</f>
        <v/>
      </c>
      <c r="H585" s="15">
        <f>IF($F585="","",IFERROR(INDEX(rngEPtype,MATCH($F585,rngEPcode,0)),"?"))</f>
        <v/>
      </c>
      <c r="I585" s="15">
        <f>IF($F585="","",IFERROR(INDEX(rngEPseq,MATCH($F585,rngEPcode,0)),""))</f>
        <v/>
      </c>
      <c r="J585" s="15">
        <f>IF($F585="","",IFERROR(INDEX(rngEPpass,MATCH($F585,rngEPcode,0)),cfgPassingScore))</f>
        <v/>
      </c>
      <c r="K585" s="14" t="n"/>
      <c r="L585" s="14" t="n"/>
      <c r="M585" s="15">
        <f>IF($C585="","",IF($L585="","",IF($K585=1,IF(COUNTIFS(nrES_PID,$D585,nrES_Code,$F585,nrES_Att,2)&gt;0,"",$L585),IF(COUNTIFS(nrES_PID,$D585,nrES_Code,$F585,nrES_Att,1)=0,$L585,IF($L585&gt;=$J585,cfgRetakeRecordedCap,SUMIFS(nrES_Raw,nrES_PID,$D585,nrES_Code,$F585,nrES_Att,1))))))</f>
        <v/>
      </c>
      <c r="N585" s="15">
        <f>IF($C585="","",IF($L585="","",IF($L585&gt;=$J585,"Yes","No")))</f>
        <v/>
      </c>
      <c r="O585" s="15">
        <f>IF($C585="","",IF($M585="","",IF($M585&gt;=$J585,"Yes","No")))</f>
        <v/>
      </c>
      <c r="P585" s="15">
        <f>IF($C585="","",IF($K585="","",IF(COUNTIFS(nrES_PID,$D585,nrES_Code,$F585,nrES_Att,"&gt;"&amp;$K585)=0,"Yes","No")))</f>
        <v/>
      </c>
      <c r="Q585" s="15">
        <f>IF($C585="","",IF($L585="","",IF(AND($K585=1,$L585&lt;$J585,COUNTIFS(nrES_PID,$D585,nrES_Code,$F585,nrES_Att,2)=0),"Yes","No")))</f>
        <v/>
      </c>
      <c r="R585" s="15">
        <f>IF($C585="","",IF($L585="","",IF(AND($K585=2,$L585&lt;$J585,COUNTIFS(nrES_PID,$D585,nrES_Code,$F585,nrES_Att,1)&gt;0),"Yes","No")))</f>
        <v/>
      </c>
      <c r="S585" s="16" t="n"/>
      <c r="T585" s="17">
        <f>IF($Q585&lt;&gt;"Yes","",IF($S585="","(enter date)",_xlfn.LET(_xlpm.dn,IFERROR(_xlfn.XLOOKUP($S585,nrCDdate,nrCDnum),""),IF(_xlpm.dn="","(not a class day)",IFERROR(_xlfn.XLOOKUP(_xlpm.dn+cfgRetestClassDays,nrCDnum,nrCDdate),"")))))</f>
        <v/>
      </c>
      <c r="U585" s="15">
        <f>IF($Q585&lt;&gt;"Yes","",IF(COUNTIFS(nrES_PID,$D585,nrES_Code,$F585,nrES_Att,2)&gt;0,"Retested",IF(OR($T585="",NOT(ISNUMBER($T585))),"Pending",IF(TODAY()&gt;$T585,"OVERDUE","Due "&amp;TEXT($T585,"mm/dd")))))</f>
        <v/>
      </c>
      <c r="V585" s="14" t="n"/>
      <c r="W585" s="14" t="n"/>
    </row>
    <row r="586">
      <c r="B586" s="15">
        <f>IF($C586="","",$D586&amp;"-"&amp;$F586&amp;"-"&amp;$K586)</f>
        <v/>
      </c>
      <c r="C586" s="14" t="n"/>
      <c r="D586" s="15">
        <f>IF($C586="","",IFERROR(INDEX(rngCadetPIDs,MATCH($C586,rngCadetNames,0)),"?"))</f>
        <v/>
      </c>
      <c r="E586" s="15">
        <f>IF($D586="","",IFERROR(INDEX(nrCadetAgency,MATCH($D586,rngCadetPIDs,0)),""))</f>
        <v/>
      </c>
      <c r="F586" s="14" t="n"/>
      <c r="G586" s="15">
        <f>IF($F586="","",IFERROR(INDEX(rngEPname,MATCH($F586,rngEPcode,0)),"?"))</f>
        <v/>
      </c>
      <c r="H586" s="15">
        <f>IF($F586="","",IFERROR(INDEX(rngEPtype,MATCH($F586,rngEPcode,0)),"?"))</f>
        <v/>
      </c>
      <c r="I586" s="15">
        <f>IF($F586="","",IFERROR(INDEX(rngEPseq,MATCH($F586,rngEPcode,0)),""))</f>
        <v/>
      </c>
      <c r="J586" s="15">
        <f>IF($F586="","",IFERROR(INDEX(rngEPpass,MATCH($F586,rngEPcode,0)),cfgPassingScore))</f>
        <v/>
      </c>
      <c r="K586" s="14" t="n"/>
      <c r="L586" s="14" t="n"/>
      <c r="M586" s="15">
        <f>IF($C586="","",IF($L586="","",IF($K586=1,IF(COUNTIFS(nrES_PID,$D586,nrES_Code,$F586,nrES_Att,2)&gt;0,"",$L586),IF(COUNTIFS(nrES_PID,$D586,nrES_Code,$F586,nrES_Att,1)=0,$L586,IF($L586&gt;=$J586,cfgRetakeRecordedCap,SUMIFS(nrES_Raw,nrES_PID,$D586,nrES_Code,$F586,nrES_Att,1))))))</f>
        <v/>
      </c>
      <c r="N586" s="15">
        <f>IF($C586="","",IF($L586="","",IF($L586&gt;=$J586,"Yes","No")))</f>
        <v/>
      </c>
      <c r="O586" s="15">
        <f>IF($C586="","",IF($M586="","",IF($M586&gt;=$J586,"Yes","No")))</f>
        <v/>
      </c>
      <c r="P586" s="15">
        <f>IF($C586="","",IF($K586="","",IF(COUNTIFS(nrES_PID,$D586,nrES_Code,$F586,nrES_Att,"&gt;"&amp;$K586)=0,"Yes","No")))</f>
        <v/>
      </c>
      <c r="Q586" s="15">
        <f>IF($C586="","",IF($L586="","",IF(AND($K586=1,$L586&lt;$J586,COUNTIFS(nrES_PID,$D586,nrES_Code,$F586,nrES_Att,2)=0),"Yes","No")))</f>
        <v/>
      </c>
      <c r="R586" s="15">
        <f>IF($C586="","",IF($L586="","",IF(AND($K586=2,$L586&lt;$J586,COUNTIFS(nrES_PID,$D586,nrES_Code,$F586,nrES_Att,1)&gt;0),"Yes","No")))</f>
        <v/>
      </c>
      <c r="S586" s="16" t="n"/>
      <c r="T586" s="17">
        <f>IF($Q586&lt;&gt;"Yes","",IF($S586="","(enter date)",_xlfn.LET(_xlpm.dn,IFERROR(_xlfn.XLOOKUP($S586,nrCDdate,nrCDnum),""),IF(_xlpm.dn="","(not a class day)",IFERROR(_xlfn.XLOOKUP(_xlpm.dn+cfgRetestClassDays,nrCDnum,nrCDdate),"")))))</f>
        <v/>
      </c>
      <c r="U586" s="15">
        <f>IF($Q586&lt;&gt;"Yes","",IF(COUNTIFS(nrES_PID,$D586,nrES_Code,$F586,nrES_Att,2)&gt;0,"Retested",IF(OR($T586="",NOT(ISNUMBER($T586))),"Pending",IF(TODAY()&gt;$T586,"OVERDUE","Due "&amp;TEXT($T586,"mm/dd")))))</f>
        <v/>
      </c>
      <c r="V586" s="14" t="n"/>
      <c r="W586" s="14" t="n"/>
    </row>
    <row r="587">
      <c r="B587" s="15">
        <f>IF($C587="","",$D587&amp;"-"&amp;$F587&amp;"-"&amp;$K587)</f>
        <v/>
      </c>
      <c r="C587" s="14" t="n"/>
      <c r="D587" s="15">
        <f>IF($C587="","",IFERROR(INDEX(rngCadetPIDs,MATCH($C587,rngCadetNames,0)),"?"))</f>
        <v/>
      </c>
      <c r="E587" s="15">
        <f>IF($D587="","",IFERROR(INDEX(nrCadetAgency,MATCH($D587,rngCadetPIDs,0)),""))</f>
        <v/>
      </c>
      <c r="F587" s="14" t="n"/>
      <c r="G587" s="15">
        <f>IF($F587="","",IFERROR(INDEX(rngEPname,MATCH($F587,rngEPcode,0)),"?"))</f>
        <v/>
      </c>
      <c r="H587" s="15">
        <f>IF($F587="","",IFERROR(INDEX(rngEPtype,MATCH($F587,rngEPcode,0)),"?"))</f>
        <v/>
      </c>
      <c r="I587" s="15">
        <f>IF($F587="","",IFERROR(INDEX(rngEPseq,MATCH($F587,rngEPcode,0)),""))</f>
        <v/>
      </c>
      <c r="J587" s="15">
        <f>IF($F587="","",IFERROR(INDEX(rngEPpass,MATCH($F587,rngEPcode,0)),cfgPassingScore))</f>
        <v/>
      </c>
      <c r="K587" s="14" t="n"/>
      <c r="L587" s="14" t="n"/>
      <c r="M587" s="15">
        <f>IF($C587="","",IF($L587="","",IF($K587=1,IF(COUNTIFS(nrES_PID,$D587,nrES_Code,$F587,nrES_Att,2)&gt;0,"",$L587),IF(COUNTIFS(nrES_PID,$D587,nrES_Code,$F587,nrES_Att,1)=0,$L587,IF($L587&gt;=$J587,cfgRetakeRecordedCap,SUMIFS(nrES_Raw,nrES_PID,$D587,nrES_Code,$F587,nrES_Att,1))))))</f>
        <v/>
      </c>
      <c r="N587" s="15">
        <f>IF($C587="","",IF($L587="","",IF($L587&gt;=$J587,"Yes","No")))</f>
        <v/>
      </c>
      <c r="O587" s="15">
        <f>IF($C587="","",IF($M587="","",IF($M587&gt;=$J587,"Yes","No")))</f>
        <v/>
      </c>
      <c r="P587" s="15">
        <f>IF($C587="","",IF($K587="","",IF(COUNTIFS(nrES_PID,$D587,nrES_Code,$F587,nrES_Att,"&gt;"&amp;$K587)=0,"Yes","No")))</f>
        <v/>
      </c>
      <c r="Q587" s="15">
        <f>IF($C587="","",IF($L587="","",IF(AND($K587=1,$L587&lt;$J587,COUNTIFS(nrES_PID,$D587,nrES_Code,$F587,nrES_Att,2)=0),"Yes","No")))</f>
        <v/>
      </c>
      <c r="R587" s="15">
        <f>IF($C587="","",IF($L587="","",IF(AND($K587=2,$L587&lt;$J587,COUNTIFS(nrES_PID,$D587,nrES_Code,$F587,nrES_Att,1)&gt;0),"Yes","No")))</f>
        <v/>
      </c>
      <c r="S587" s="16" t="n"/>
      <c r="T587" s="17">
        <f>IF($Q587&lt;&gt;"Yes","",IF($S587="","(enter date)",_xlfn.LET(_xlpm.dn,IFERROR(_xlfn.XLOOKUP($S587,nrCDdate,nrCDnum),""),IF(_xlpm.dn="","(not a class day)",IFERROR(_xlfn.XLOOKUP(_xlpm.dn+cfgRetestClassDays,nrCDnum,nrCDdate),"")))))</f>
        <v/>
      </c>
      <c r="U587" s="15">
        <f>IF($Q587&lt;&gt;"Yes","",IF(COUNTIFS(nrES_PID,$D587,nrES_Code,$F587,nrES_Att,2)&gt;0,"Retested",IF(OR($T587="",NOT(ISNUMBER($T587))),"Pending",IF(TODAY()&gt;$T587,"OVERDUE","Due "&amp;TEXT($T587,"mm/dd")))))</f>
        <v/>
      </c>
      <c r="V587" s="14" t="n"/>
      <c r="W587" s="14" t="n"/>
    </row>
    <row r="588">
      <c r="B588" s="15">
        <f>IF($C588="","",$D588&amp;"-"&amp;$F588&amp;"-"&amp;$K588)</f>
        <v/>
      </c>
      <c r="C588" s="14" t="n"/>
      <c r="D588" s="15">
        <f>IF($C588="","",IFERROR(INDEX(rngCadetPIDs,MATCH($C588,rngCadetNames,0)),"?"))</f>
        <v/>
      </c>
      <c r="E588" s="15">
        <f>IF($D588="","",IFERROR(INDEX(nrCadetAgency,MATCH($D588,rngCadetPIDs,0)),""))</f>
        <v/>
      </c>
      <c r="F588" s="14" t="n"/>
      <c r="G588" s="15">
        <f>IF($F588="","",IFERROR(INDEX(rngEPname,MATCH($F588,rngEPcode,0)),"?"))</f>
        <v/>
      </c>
      <c r="H588" s="15">
        <f>IF($F588="","",IFERROR(INDEX(rngEPtype,MATCH($F588,rngEPcode,0)),"?"))</f>
        <v/>
      </c>
      <c r="I588" s="15">
        <f>IF($F588="","",IFERROR(INDEX(rngEPseq,MATCH($F588,rngEPcode,0)),""))</f>
        <v/>
      </c>
      <c r="J588" s="15">
        <f>IF($F588="","",IFERROR(INDEX(rngEPpass,MATCH($F588,rngEPcode,0)),cfgPassingScore))</f>
        <v/>
      </c>
      <c r="K588" s="14" t="n"/>
      <c r="L588" s="14" t="n"/>
      <c r="M588" s="15">
        <f>IF($C588="","",IF($L588="","",IF($K588=1,IF(COUNTIFS(nrES_PID,$D588,nrES_Code,$F588,nrES_Att,2)&gt;0,"",$L588),IF(COUNTIFS(nrES_PID,$D588,nrES_Code,$F588,nrES_Att,1)=0,$L588,IF($L588&gt;=$J588,cfgRetakeRecordedCap,SUMIFS(nrES_Raw,nrES_PID,$D588,nrES_Code,$F588,nrES_Att,1))))))</f>
        <v/>
      </c>
      <c r="N588" s="15">
        <f>IF($C588="","",IF($L588="","",IF($L588&gt;=$J588,"Yes","No")))</f>
        <v/>
      </c>
      <c r="O588" s="15">
        <f>IF($C588="","",IF($M588="","",IF($M588&gt;=$J588,"Yes","No")))</f>
        <v/>
      </c>
      <c r="P588" s="15">
        <f>IF($C588="","",IF($K588="","",IF(COUNTIFS(nrES_PID,$D588,nrES_Code,$F588,nrES_Att,"&gt;"&amp;$K588)=0,"Yes","No")))</f>
        <v/>
      </c>
      <c r="Q588" s="15">
        <f>IF($C588="","",IF($L588="","",IF(AND($K588=1,$L588&lt;$J588,COUNTIFS(nrES_PID,$D588,nrES_Code,$F588,nrES_Att,2)=0),"Yes","No")))</f>
        <v/>
      </c>
      <c r="R588" s="15">
        <f>IF($C588="","",IF($L588="","",IF(AND($K588=2,$L588&lt;$J588,COUNTIFS(nrES_PID,$D588,nrES_Code,$F588,nrES_Att,1)&gt;0),"Yes","No")))</f>
        <v/>
      </c>
      <c r="S588" s="16" t="n"/>
      <c r="T588" s="17">
        <f>IF($Q588&lt;&gt;"Yes","",IF($S588="","(enter date)",_xlfn.LET(_xlpm.dn,IFERROR(_xlfn.XLOOKUP($S588,nrCDdate,nrCDnum),""),IF(_xlpm.dn="","(not a class day)",IFERROR(_xlfn.XLOOKUP(_xlpm.dn+cfgRetestClassDays,nrCDnum,nrCDdate),"")))))</f>
        <v/>
      </c>
      <c r="U588" s="15">
        <f>IF($Q588&lt;&gt;"Yes","",IF(COUNTIFS(nrES_PID,$D588,nrES_Code,$F588,nrES_Att,2)&gt;0,"Retested",IF(OR($T588="",NOT(ISNUMBER($T588))),"Pending",IF(TODAY()&gt;$T588,"OVERDUE","Due "&amp;TEXT($T588,"mm/dd")))))</f>
        <v/>
      </c>
      <c r="V588" s="14" t="n"/>
      <c r="W588" s="14" t="n"/>
    </row>
    <row r="589">
      <c r="B589" s="15">
        <f>IF($C589="","",$D589&amp;"-"&amp;$F589&amp;"-"&amp;$K589)</f>
        <v/>
      </c>
      <c r="C589" s="14" t="n"/>
      <c r="D589" s="15">
        <f>IF($C589="","",IFERROR(INDEX(rngCadetPIDs,MATCH($C589,rngCadetNames,0)),"?"))</f>
        <v/>
      </c>
      <c r="E589" s="15">
        <f>IF($D589="","",IFERROR(INDEX(nrCadetAgency,MATCH($D589,rngCadetPIDs,0)),""))</f>
        <v/>
      </c>
      <c r="F589" s="14" t="n"/>
      <c r="G589" s="15">
        <f>IF($F589="","",IFERROR(INDEX(rngEPname,MATCH($F589,rngEPcode,0)),"?"))</f>
        <v/>
      </c>
      <c r="H589" s="15">
        <f>IF($F589="","",IFERROR(INDEX(rngEPtype,MATCH($F589,rngEPcode,0)),"?"))</f>
        <v/>
      </c>
      <c r="I589" s="15">
        <f>IF($F589="","",IFERROR(INDEX(rngEPseq,MATCH($F589,rngEPcode,0)),""))</f>
        <v/>
      </c>
      <c r="J589" s="15">
        <f>IF($F589="","",IFERROR(INDEX(rngEPpass,MATCH($F589,rngEPcode,0)),cfgPassingScore))</f>
        <v/>
      </c>
      <c r="K589" s="14" t="n"/>
      <c r="L589" s="14" t="n"/>
      <c r="M589" s="15">
        <f>IF($C589="","",IF($L589="","",IF($K589=1,IF(COUNTIFS(nrES_PID,$D589,nrES_Code,$F589,nrES_Att,2)&gt;0,"",$L589),IF(COUNTIFS(nrES_PID,$D589,nrES_Code,$F589,nrES_Att,1)=0,$L589,IF($L589&gt;=$J589,cfgRetakeRecordedCap,SUMIFS(nrES_Raw,nrES_PID,$D589,nrES_Code,$F589,nrES_Att,1))))))</f>
        <v/>
      </c>
      <c r="N589" s="15">
        <f>IF($C589="","",IF($L589="","",IF($L589&gt;=$J589,"Yes","No")))</f>
        <v/>
      </c>
      <c r="O589" s="15">
        <f>IF($C589="","",IF($M589="","",IF($M589&gt;=$J589,"Yes","No")))</f>
        <v/>
      </c>
      <c r="P589" s="15">
        <f>IF($C589="","",IF($K589="","",IF(COUNTIFS(nrES_PID,$D589,nrES_Code,$F589,nrES_Att,"&gt;"&amp;$K589)=0,"Yes","No")))</f>
        <v/>
      </c>
      <c r="Q589" s="15">
        <f>IF($C589="","",IF($L589="","",IF(AND($K589=1,$L589&lt;$J589,COUNTIFS(nrES_PID,$D589,nrES_Code,$F589,nrES_Att,2)=0),"Yes","No")))</f>
        <v/>
      </c>
      <c r="R589" s="15">
        <f>IF($C589="","",IF($L589="","",IF(AND($K589=2,$L589&lt;$J589,COUNTIFS(nrES_PID,$D589,nrES_Code,$F589,nrES_Att,1)&gt;0),"Yes","No")))</f>
        <v/>
      </c>
      <c r="S589" s="16" t="n"/>
      <c r="T589" s="17">
        <f>IF($Q589&lt;&gt;"Yes","",IF($S589="","(enter date)",_xlfn.LET(_xlpm.dn,IFERROR(_xlfn.XLOOKUP($S589,nrCDdate,nrCDnum),""),IF(_xlpm.dn="","(not a class day)",IFERROR(_xlfn.XLOOKUP(_xlpm.dn+cfgRetestClassDays,nrCDnum,nrCDdate),"")))))</f>
        <v/>
      </c>
      <c r="U589" s="15">
        <f>IF($Q589&lt;&gt;"Yes","",IF(COUNTIFS(nrES_PID,$D589,nrES_Code,$F589,nrES_Att,2)&gt;0,"Retested",IF(OR($T589="",NOT(ISNUMBER($T589))),"Pending",IF(TODAY()&gt;$T589,"OVERDUE","Due "&amp;TEXT($T589,"mm/dd")))))</f>
        <v/>
      </c>
      <c r="V589" s="14" t="n"/>
      <c r="W589" s="14" t="n"/>
    </row>
    <row r="590">
      <c r="B590" s="15">
        <f>IF($C590="","",$D590&amp;"-"&amp;$F590&amp;"-"&amp;$K590)</f>
        <v/>
      </c>
      <c r="C590" s="14" t="n"/>
      <c r="D590" s="15">
        <f>IF($C590="","",IFERROR(INDEX(rngCadetPIDs,MATCH($C590,rngCadetNames,0)),"?"))</f>
        <v/>
      </c>
      <c r="E590" s="15">
        <f>IF($D590="","",IFERROR(INDEX(nrCadetAgency,MATCH($D590,rngCadetPIDs,0)),""))</f>
        <v/>
      </c>
      <c r="F590" s="14" t="n"/>
      <c r="G590" s="15">
        <f>IF($F590="","",IFERROR(INDEX(rngEPname,MATCH($F590,rngEPcode,0)),"?"))</f>
        <v/>
      </c>
      <c r="H590" s="15">
        <f>IF($F590="","",IFERROR(INDEX(rngEPtype,MATCH($F590,rngEPcode,0)),"?"))</f>
        <v/>
      </c>
      <c r="I590" s="15">
        <f>IF($F590="","",IFERROR(INDEX(rngEPseq,MATCH($F590,rngEPcode,0)),""))</f>
        <v/>
      </c>
      <c r="J590" s="15">
        <f>IF($F590="","",IFERROR(INDEX(rngEPpass,MATCH($F590,rngEPcode,0)),cfgPassingScore))</f>
        <v/>
      </c>
      <c r="K590" s="14" t="n"/>
      <c r="L590" s="14" t="n"/>
      <c r="M590" s="15">
        <f>IF($C590="","",IF($L590="","",IF($K590=1,IF(COUNTIFS(nrES_PID,$D590,nrES_Code,$F590,nrES_Att,2)&gt;0,"",$L590),IF(COUNTIFS(nrES_PID,$D590,nrES_Code,$F590,nrES_Att,1)=0,$L590,IF($L590&gt;=$J590,cfgRetakeRecordedCap,SUMIFS(nrES_Raw,nrES_PID,$D590,nrES_Code,$F590,nrES_Att,1))))))</f>
        <v/>
      </c>
      <c r="N590" s="15">
        <f>IF($C590="","",IF($L590="","",IF($L590&gt;=$J590,"Yes","No")))</f>
        <v/>
      </c>
      <c r="O590" s="15">
        <f>IF($C590="","",IF($M590="","",IF($M590&gt;=$J590,"Yes","No")))</f>
        <v/>
      </c>
      <c r="P590" s="15">
        <f>IF($C590="","",IF($K590="","",IF(COUNTIFS(nrES_PID,$D590,nrES_Code,$F590,nrES_Att,"&gt;"&amp;$K590)=0,"Yes","No")))</f>
        <v/>
      </c>
      <c r="Q590" s="15">
        <f>IF($C590="","",IF($L590="","",IF(AND($K590=1,$L590&lt;$J590,COUNTIFS(nrES_PID,$D590,nrES_Code,$F590,nrES_Att,2)=0),"Yes","No")))</f>
        <v/>
      </c>
      <c r="R590" s="15">
        <f>IF($C590="","",IF($L590="","",IF(AND($K590=2,$L590&lt;$J590,COUNTIFS(nrES_PID,$D590,nrES_Code,$F590,nrES_Att,1)&gt;0),"Yes","No")))</f>
        <v/>
      </c>
      <c r="S590" s="16" t="n"/>
      <c r="T590" s="17">
        <f>IF($Q590&lt;&gt;"Yes","",IF($S590="","(enter date)",_xlfn.LET(_xlpm.dn,IFERROR(_xlfn.XLOOKUP($S590,nrCDdate,nrCDnum),""),IF(_xlpm.dn="","(not a class day)",IFERROR(_xlfn.XLOOKUP(_xlpm.dn+cfgRetestClassDays,nrCDnum,nrCDdate),"")))))</f>
        <v/>
      </c>
      <c r="U590" s="15">
        <f>IF($Q590&lt;&gt;"Yes","",IF(COUNTIFS(nrES_PID,$D590,nrES_Code,$F590,nrES_Att,2)&gt;0,"Retested",IF(OR($T590="",NOT(ISNUMBER($T590))),"Pending",IF(TODAY()&gt;$T590,"OVERDUE","Due "&amp;TEXT($T590,"mm/dd")))))</f>
        <v/>
      </c>
      <c r="V590" s="14" t="n"/>
      <c r="W590" s="14" t="n"/>
    </row>
    <row r="591">
      <c r="B591" s="15">
        <f>IF($C591="","",$D591&amp;"-"&amp;$F591&amp;"-"&amp;$K591)</f>
        <v/>
      </c>
      <c r="C591" s="14" t="n"/>
      <c r="D591" s="15">
        <f>IF($C591="","",IFERROR(INDEX(rngCadetPIDs,MATCH($C591,rngCadetNames,0)),"?"))</f>
        <v/>
      </c>
      <c r="E591" s="15">
        <f>IF($D591="","",IFERROR(INDEX(nrCadetAgency,MATCH($D591,rngCadetPIDs,0)),""))</f>
        <v/>
      </c>
      <c r="F591" s="14" t="n"/>
      <c r="G591" s="15">
        <f>IF($F591="","",IFERROR(INDEX(rngEPname,MATCH($F591,rngEPcode,0)),"?"))</f>
        <v/>
      </c>
      <c r="H591" s="15">
        <f>IF($F591="","",IFERROR(INDEX(rngEPtype,MATCH($F591,rngEPcode,0)),"?"))</f>
        <v/>
      </c>
      <c r="I591" s="15">
        <f>IF($F591="","",IFERROR(INDEX(rngEPseq,MATCH($F591,rngEPcode,0)),""))</f>
        <v/>
      </c>
      <c r="J591" s="15">
        <f>IF($F591="","",IFERROR(INDEX(rngEPpass,MATCH($F591,rngEPcode,0)),cfgPassingScore))</f>
        <v/>
      </c>
      <c r="K591" s="14" t="n"/>
      <c r="L591" s="14" t="n"/>
      <c r="M591" s="15">
        <f>IF($C591="","",IF($L591="","",IF($K591=1,IF(COUNTIFS(nrES_PID,$D591,nrES_Code,$F591,nrES_Att,2)&gt;0,"",$L591),IF(COUNTIFS(nrES_PID,$D591,nrES_Code,$F591,nrES_Att,1)=0,$L591,IF($L591&gt;=$J591,cfgRetakeRecordedCap,SUMIFS(nrES_Raw,nrES_PID,$D591,nrES_Code,$F591,nrES_Att,1))))))</f>
        <v/>
      </c>
      <c r="N591" s="15">
        <f>IF($C591="","",IF($L591="","",IF($L591&gt;=$J591,"Yes","No")))</f>
        <v/>
      </c>
      <c r="O591" s="15">
        <f>IF($C591="","",IF($M591="","",IF($M591&gt;=$J591,"Yes","No")))</f>
        <v/>
      </c>
      <c r="P591" s="15">
        <f>IF($C591="","",IF($K591="","",IF(COUNTIFS(nrES_PID,$D591,nrES_Code,$F591,nrES_Att,"&gt;"&amp;$K591)=0,"Yes","No")))</f>
        <v/>
      </c>
      <c r="Q591" s="15">
        <f>IF($C591="","",IF($L591="","",IF(AND($K591=1,$L591&lt;$J591,COUNTIFS(nrES_PID,$D591,nrES_Code,$F591,nrES_Att,2)=0),"Yes","No")))</f>
        <v/>
      </c>
      <c r="R591" s="15">
        <f>IF($C591="","",IF($L591="","",IF(AND($K591=2,$L591&lt;$J591,COUNTIFS(nrES_PID,$D591,nrES_Code,$F591,nrES_Att,1)&gt;0),"Yes","No")))</f>
        <v/>
      </c>
      <c r="S591" s="16" t="n"/>
      <c r="T591" s="17">
        <f>IF($Q591&lt;&gt;"Yes","",IF($S591="","(enter date)",_xlfn.LET(_xlpm.dn,IFERROR(_xlfn.XLOOKUP($S591,nrCDdate,nrCDnum),""),IF(_xlpm.dn="","(not a class day)",IFERROR(_xlfn.XLOOKUP(_xlpm.dn+cfgRetestClassDays,nrCDnum,nrCDdate),"")))))</f>
        <v/>
      </c>
      <c r="U591" s="15">
        <f>IF($Q591&lt;&gt;"Yes","",IF(COUNTIFS(nrES_PID,$D591,nrES_Code,$F591,nrES_Att,2)&gt;0,"Retested",IF(OR($T591="",NOT(ISNUMBER($T591))),"Pending",IF(TODAY()&gt;$T591,"OVERDUE","Due "&amp;TEXT($T591,"mm/dd")))))</f>
        <v/>
      </c>
      <c r="V591" s="14" t="n"/>
      <c r="W591" s="14" t="n"/>
    </row>
    <row r="592">
      <c r="B592" s="15">
        <f>IF($C592="","",$D592&amp;"-"&amp;$F592&amp;"-"&amp;$K592)</f>
        <v/>
      </c>
      <c r="C592" s="14" t="n"/>
      <c r="D592" s="15">
        <f>IF($C592="","",IFERROR(INDEX(rngCadetPIDs,MATCH($C592,rngCadetNames,0)),"?"))</f>
        <v/>
      </c>
      <c r="E592" s="15">
        <f>IF($D592="","",IFERROR(INDEX(nrCadetAgency,MATCH($D592,rngCadetPIDs,0)),""))</f>
        <v/>
      </c>
      <c r="F592" s="14" t="n"/>
      <c r="G592" s="15">
        <f>IF($F592="","",IFERROR(INDEX(rngEPname,MATCH($F592,rngEPcode,0)),"?"))</f>
        <v/>
      </c>
      <c r="H592" s="15">
        <f>IF($F592="","",IFERROR(INDEX(rngEPtype,MATCH($F592,rngEPcode,0)),"?"))</f>
        <v/>
      </c>
      <c r="I592" s="15">
        <f>IF($F592="","",IFERROR(INDEX(rngEPseq,MATCH($F592,rngEPcode,0)),""))</f>
        <v/>
      </c>
      <c r="J592" s="15">
        <f>IF($F592="","",IFERROR(INDEX(rngEPpass,MATCH($F592,rngEPcode,0)),cfgPassingScore))</f>
        <v/>
      </c>
      <c r="K592" s="14" t="n"/>
      <c r="L592" s="14" t="n"/>
      <c r="M592" s="15">
        <f>IF($C592="","",IF($L592="","",IF($K592=1,IF(COUNTIFS(nrES_PID,$D592,nrES_Code,$F592,nrES_Att,2)&gt;0,"",$L592),IF(COUNTIFS(nrES_PID,$D592,nrES_Code,$F592,nrES_Att,1)=0,$L592,IF($L592&gt;=$J592,cfgRetakeRecordedCap,SUMIFS(nrES_Raw,nrES_PID,$D592,nrES_Code,$F592,nrES_Att,1))))))</f>
        <v/>
      </c>
      <c r="N592" s="15">
        <f>IF($C592="","",IF($L592="","",IF($L592&gt;=$J592,"Yes","No")))</f>
        <v/>
      </c>
      <c r="O592" s="15">
        <f>IF($C592="","",IF($M592="","",IF($M592&gt;=$J592,"Yes","No")))</f>
        <v/>
      </c>
      <c r="P592" s="15">
        <f>IF($C592="","",IF($K592="","",IF(COUNTIFS(nrES_PID,$D592,nrES_Code,$F592,nrES_Att,"&gt;"&amp;$K592)=0,"Yes","No")))</f>
        <v/>
      </c>
      <c r="Q592" s="15">
        <f>IF($C592="","",IF($L592="","",IF(AND($K592=1,$L592&lt;$J592,COUNTIFS(nrES_PID,$D592,nrES_Code,$F592,nrES_Att,2)=0),"Yes","No")))</f>
        <v/>
      </c>
      <c r="R592" s="15">
        <f>IF($C592="","",IF($L592="","",IF(AND($K592=2,$L592&lt;$J592,COUNTIFS(nrES_PID,$D592,nrES_Code,$F592,nrES_Att,1)&gt;0),"Yes","No")))</f>
        <v/>
      </c>
      <c r="S592" s="16" t="n"/>
      <c r="T592" s="17">
        <f>IF($Q592&lt;&gt;"Yes","",IF($S592="","(enter date)",_xlfn.LET(_xlpm.dn,IFERROR(_xlfn.XLOOKUP($S592,nrCDdate,nrCDnum),""),IF(_xlpm.dn="","(not a class day)",IFERROR(_xlfn.XLOOKUP(_xlpm.dn+cfgRetestClassDays,nrCDnum,nrCDdate),"")))))</f>
        <v/>
      </c>
      <c r="U592" s="15">
        <f>IF($Q592&lt;&gt;"Yes","",IF(COUNTIFS(nrES_PID,$D592,nrES_Code,$F592,nrES_Att,2)&gt;0,"Retested",IF(OR($T592="",NOT(ISNUMBER($T592))),"Pending",IF(TODAY()&gt;$T592,"OVERDUE","Due "&amp;TEXT($T592,"mm/dd")))))</f>
        <v/>
      </c>
      <c r="V592" s="14" t="n"/>
      <c r="W592" s="14" t="n"/>
    </row>
    <row r="593">
      <c r="B593" s="15">
        <f>IF($C593="","",$D593&amp;"-"&amp;$F593&amp;"-"&amp;$K593)</f>
        <v/>
      </c>
      <c r="C593" s="14" t="n"/>
      <c r="D593" s="15">
        <f>IF($C593="","",IFERROR(INDEX(rngCadetPIDs,MATCH($C593,rngCadetNames,0)),"?"))</f>
        <v/>
      </c>
      <c r="E593" s="15">
        <f>IF($D593="","",IFERROR(INDEX(nrCadetAgency,MATCH($D593,rngCadetPIDs,0)),""))</f>
        <v/>
      </c>
      <c r="F593" s="14" t="n"/>
      <c r="G593" s="15">
        <f>IF($F593="","",IFERROR(INDEX(rngEPname,MATCH($F593,rngEPcode,0)),"?"))</f>
        <v/>
      </c>
      <c r="H593" s="15">
        <f>IF($F593="","",IFERROR(INDEX(rngEPtype,MATCH($F593,rngEPcode,0)),"?"))</f>
        <v/>
      </c>
      <c r="I593" s="15">
        <f>IF($F593="","",IFERROR(INDEX(rngEPseq,MATCH($F593,rngEPcode,0)),""))</f>
        <v/>
      </c>
      <c r="J593" s="15">
        <f>IF($F593="","",IFERROR(INDEX(rngEPpass,MATCH($F593,rngEPcode,0)),cfgPassingScore))</f>
        <v/>
      </c>
      <c r="K593" s="14" t="n"/>
      <c r="L593" s="14" t="n"/>
      <c r="M593" s="15">
        <f>IF($C593="","",IF($L593="","",IF($K593=1,IF(COUNTIFS(nrES_PID,$D593,nrES_Code,$F593,nrES_Att,2)&gt;0,"",$L593),IF(COUNTIFS(nrES_PID,$D593,nrES_Code,$F593,nrES_Att,1)=0,$L593,IF($L593&gt;=$J593,cfgRetakeRecordedCap,SUMIFS(nrES_Raw,nrES_PID,$D593,nrES_Code,$F593,nrES_Att,1))))))</f>
        <v/>
      </c>
      <c r="N593" s="15">
        <f>IF($C593="","",IF($L593="","",IF($L593&gt;=$J593,"Yes","No")))</f>
        <v/>
      </c>
      <c r="O593" s="15">
        <f>IF($C593="","",IF($M593="","",IF($M593&gt;=$J593,"Yes","No")))</f>
        <v/>
      </c>
      <c r="P593" s="15">
        <f>IF($C593="","",IF($K593="","",IF(COUNTIFS(nrES_PID,$D593,nrES_Code,$F593,nrES_Att,"&gt;"&amp;$K593)=0,"Yes","No")))</f>
        <v/>
      </c>
      <c r="Q593" s="15">
        <f>IF($C593="","",IF($L593="","",IF(AND($K593=1,$L593&lt;$J593,COUNTIFS(nrES_PID,$D593,nrES_Code,$F593,nrES_Att,2)=0),"Yes","No")))</f>
        <v/>
      </c>
      <c r="R593" s="15">
        <f>IF($C593="","",IF($L593="","",IF(AND($K593=2,$L593&lt;$J593,COUNTIFS(nrES_PID,$D593,nrES_Code,$F593,nrES_Att,1)&gt;0),"Yes","No")))</f>
        <v/>
      </c>
      <c r="S593" s="16" t="n"/>
      <c r="T593" s="17">
        <f>IF($Q593&lt;&gt;"Yes","",IF($S593="","(enter date)",_xlfn.LET(_xlpm.dn,IFERROR(_xlfn.XLOOKUP($S593,nrCDdate,nrCDnum),""),IF(_xlpm.dn="","(not a class day)",IFERROR(_xlfn.XLOOKUP(_xlpm.dn+cfgRetestClassDays,nrCDnum,nrCDdate),"")))))</f>
        <v/>
      </c>
      <c r="U593" s="15">
        <f>IF($Q593&lt;&gt;"Yes","",IF(COUNTIFS(nrES_PID,$D593,nrES_Code,$F593,nrES_Att,2)&gt;0,"Retested",IF(OR($T593="",NOT(ISNUMBER($T593))),"Pending",IF(TODAY()&gt;$T593,"OVERDUE","Due "&amp;TEXT($T593,"mm/dd")))))</f>
        <v/>
      </c>
      <c r="V593" s="14" t="n"/>
      <c r="W593" s="14" t="n"/>
    </row>
    <row r="594">
      <c r="B594" s="15">
        <f>IF($C594="","",$D594&amp;"-"&amp;$F594&amp;"-"&amp;$K594)</f>
        <v/>
      </c>
      <c r="C594" s="14" t="n"/>
      <c r="D594" s="15">
        <f>IF($C594="","",IFERROR(INDEX(rngCadetPIDs,MATCH($C594,rngCadetNames,0)),"?"))</f>
        <v/>
      </c>
      <c r="E594" s="15">
        <f>IF($D594="","",IFERROR(INDEX(nrCadetAgency,MATCH($D594,rngCadetPIDs,0)),""))</f>
        <v/>
      </c>
      <c r="F594" s="14" t="n"/>
      <c r="G594" s="15">
        <f>IF($F594="","",IFERROR(INDEX(rngEPname,MATCH($F594,rngEPcode,0)),"?"))</f>
        <v/>
      </c>
      <c r="H594" s="15">
        <f>IF($F594="","",IFERROR(INDEX(rngEPtype,MATCH($F594,rngEPcode,0)),"?"))</f>
        <v/>
      </c>
      <c r="I594" s="15">
        <f>IF($F594="","",IFERROR(INDEX(rngEPseq,MATCH($F594,rngEPcode,0)),""))</f>
        <v/>
      </c>
      <c r="J594" s="15">
        <f>IF($F594="","",IFERROR(INDEX(rngEPpass,MATCH($F594,rngEPcode,0)),cfgPassingScore))</f>
        <v/>
      </c>
      <c r="K594" s="14" t="n"/>
      <c r="L594" s="14" t="n"/>
      <c r="M594" s="15">
        <f>IF($C594="","",IF($L594="","",IF($K594=1,IF(COUNTIFS(nrES_PID,$D594,nrES_Code,$F594,nrES_Att,2)&gt;0,"",$L594),IF(COUNTIFS(nrES_PID,$D594,nrES_Code,$F594,nrES_Att,1)=0,$L594,IF($L594&gt;=$J594,cfgRetakeRecordedCap,SUMIFS(nrES_Raw,nrES_PID,$D594,nrES_Code,$F594,nrES_Att,1))))))</f>
        <v/>
      </c>
      <c r="N594" s="15">
        <f>IF($C594="","",IF($L594="","",IF($L594&gt;=$J594,"Yes","No")))</f>
        <v/>
      </c>
      <c r="O594" s="15">
        <f>IF($C594="","",IF($M594="","",IF($M594&gt;=$J594,"Yes","No")))</f>
        <v/>
      </c>
      <c r="P594" s="15">
        <f>IF($C594="","",IF($K594="","",IF(COUNTIFS(nrES_PID,$D594,nrES_Code,$F594,nrES_Att,"&gt;"&amp;$K594)=0,"Yes","No")))</f>
        <v/>
      </c>
      <c r="Q594" s="15">
        <f>IF($C594="","",IF($L594="","",IF(AND($K594=1,$L594&lt;$J594,COUNTIFS(nrES_PID,$D594,nrES_Code,$F594,nrES_Att,2)=0),"Yes","No")))</f>
        <v/>
      </c>
      <c r="R594" s="15">
        <f>IF($C594="","",IF($L594="","",IF(AND($K594=2,$L594&lt;$J594,COUNTIFS(nrES_PID,$D594,nrES_Code,$F594,nrES_Att,1)&gt;0),"Yes","No")))</f>
        <v/>
      </c>
      <c r="S594" s="16" t="n"/>
      <c r="T594" s="17">
        <f>IF($Q594&lt;&gt;"Yes","",IF($S594="","(enter date)",_xlfn.LET(_xlpm.dn,IFERROR(_xlfn.XLOOKUP($S594,nrCDdate,nrCDnum),""),IF(_xlpm.dn="","(not a class day)",IFERROR(_xlfn.XLOOKUP(_xlpm.dn+cfgRetestClassDays,nrCDnum,nrCDdate),"")))))</f>
        <v/>
      </c>
      <c r="U594" s="15">
        <f>IF($Q594&lt;&gt;"Yes","",IF(COUNTIFS(nrES_PID,$D594,nrES_Code,$F594,nrES_Att,2)&gt;0,"Retested",IF(OR($T594="",NOT(ISNUMBER($T594))),"Pending",IF(TODAY()&gt;$T594,"OVERDUE","Due "&amp;TEXT($T594,"mm/dd")))))</f>
        <v/>
      </c>
      <c r="V594" s="14" t="n"/>
      <c r="W594" s="14" t="n"/>
    </row>
    <row r="595">
      <c r="B595" s="15">
        <f>IF($C595="","",$D595&amp;"-"&amp;$F595&amp;"-"&amp;$K595)</f>
        <v/>
      </c>
      <c r="C595" s="14" t="n"/>
      <c r="D595" s="15">
        <f>IF($C595="","",IFERROR(INDEX(rngCadetPIDs,MATCH($C595,rngCadetNames,0)),"?"))</f>
        <v/>
      </c>
      <c r="E595" s="15">
        <f>IF($D595="","",IFERROR(INDEX(nrCadetAgency,MATCH($D595,rngCadetPIDs,0)),""))</f>
        <v/>
      </c>
      <c r="F595" s="14" t="n"/>
      <c r="G595" s="15">
        <f>IF($F595="","",IFERROR(INDEX(rngEPname,MATCH($F595,rngEPcode,0)),"?"))</f>
        <v/>
      </c>
      <c r="H595" s="15">
        <f>IF($F595="","",IFERROR(INDEX(rngEPtype,MATCH($F595,rngEPcode,0)),"?"))</f>
        <v/>
      </c>
      <c r="I595" s="15">
        <f>IF($F595="","",IFERROR(INDEX(rngEPseq,MATCH($F595,rngEPcode,0)),""))</f>
        <v/>
      </c>
      <c r="J595" s="15">
        <f>IF($F595="","",IFERROR(INDEX(rngEPpass,MATCH($F595,rngEPcode,0)),cfgPassingScore))</f>
        <v/>
      </c>
      <c r="K595" s="14" t="n"/>
      <c r="L595" s="14" t="n"/>
      <c r="M595" s="15">
        <f>IF($C595="","",IF($L595="","",IF($K595=1,IF(COUNTIFS(nrES_PID,$D595,nrES_Code,$F595,nrES_Att,2)&gt;0,"",$L595),IF(COUNTIFS(nrES_PID,$D595,nrES_Code,$F595,nrES_Att,1)=0,$L595,IF($L595&gt;=$J595,cfgRetakeRecordedCap,SUMIFS(nrES_Raw,nrES_PID,$D595,nrES_Code,$F595,nrES_Att,1))))))</f>
        <v/>
      </c>
      <c r="N595" s="15">
        <f>IF($C595="","",IF($L595="","",IF($L595&gt;=$J595,"Yes","No")))</f>
        <v/>
      </c>
      <c r="O595" s="15">
        <f>IF($C595="","",IF($M595="","",IF($M595&gt;=$J595,"Yes","No")))</f>
        <v/>
      </c>
      <c r="P595" s="15">
        <f>IF($C595="","",IF($K595="","",IF(COUNTIFS(nrES_PID,$D595,nrES_Code,$F595,nrES_Att,"&gt;"&amp;$K595)=0,"Yes","No")))</f>
        <v/>
      </c>
      <c r="Q595" s="15">
        <f>IF($C595="","",IF($L595="","",IF(AND($K595=1,$L595&lt;$J595,COUNTIFS(nrES_PID,$D595,nrES_Code,$F595,nrES_Att,2)=0),"Yes","No")))</f>
        <v/>
      </c>
      <c r="R595" s="15">
        <f>IF($C595="","",IF($L595="","",IF(AND($K595=2,$L595&lt;$J595,COUNTIFS(nrES_PID,$D595,nrES_Code,$F595,nrES_Att,1)&gt;0),"Yes","No")))</f>
        <v/>
      </c>
      <c r="S595" s="16" t="n"/>
      <c r="T595" s="17">
        <f>IF($Q595&lt;&gt;"Yes","",IF($S595="","(enter date)",_xlfn.LET(_xlpm.dn,IFERROR(_xlfn.XLOOKUP($S595,nrCDdate,nrCDnum),""),IF(_xlpm.dn="","(not a class day)",IFERROR(_xlfn.XLOOKUP(_xlpm.dn+cfgRetestClassDays,nrCDnum,nrCDdate),"")))))</f>
        <v/>
      </c>
      <c r="U595" s="15">
        <f>IF($Q595&lt;&gt;"Yes","",IF(COUNTIFS(nrES_PID,$D595,nrES_Code,$F595,nrES_Att,2)&gt;0,"Retested",IF(OR($T595="",NOT(ISNUMBER($T595))),"Pending",IF(TODAY()&gt;$T595,"OVERDUE","Due "&amp;TEXT($T595,"mm/dd")))))</f>
        <v/>
      </c>
      <c r="V595" s="14" t="n"/>
      <c r="W595" s="14" t="n"/>
    </row>
    <row r="596">
      <c r="B596" s="15">
        <f>IF($C596="","",$D596&amp;"-"&amp;$F596&amp;"-"&amp;$K596)</f>
        <v/>
      </c>
      <c r="C596" s="14" t="n"/>
      <c r="D596" s="15">
        <f>IF($C596="","",IFERROR(INDEX(rngCadetPIDs,MATCH($C596,rngCadetNames,0)),"?"))</f>
        <v/>
      </c>
      <c r="E596" s="15">
        <f>IF($D596="","",IFERROR(INDEX(nrCadetAgency,MATCH($D596,rngCadetPIDs,0)),""))</f>
        <v/>
      </c>
      <c r="F596" s="14" t="n"/>
      <c r="G596" s="15">
        <f>IF($F596="","",IFERROR(INDEX(rngEPname,MATCH($F596,rngEPcode,0)),"?"))</f>
        <v/>
      </c>
      <c r="H596" s="15">
        <f>IF($F596="","",IFERROR(INDEX(rngEPtype,MATCH($F596,rngEPcode,0)),"?"))</f>
        <v/>
      </c>
      <c r="I596" s="15">
        <f>IF($F596="","",IFERROR(INDEX(rngEPseq,MATCH($F596,rngEPcode,0)),""))</f>
        <v/>
      </c>
      <c r="J596" s="15">
        <f>IF($F596="","",IFERROR(INDEX(rngEPpass,MATCH($F596,rngEPcode,0)),cfgPassingScore))</f>
        <v/>
      </c>
      <c r="K596" s="14" t="n"/>
      <c r="L596" s="14" t="n"/>
      <c r="M596" s="15">
        <f>IF($C596="","",IF($L596="","",IF($K596=1,IF(COUNTIFS(nrES_PID,$D596,nrES_Code,$F596,nrES_Att,2)&gt;0,"",$L596),IF(COUNTIFS(nrES_PID,$D596,nrES_Code,$F596,nrES_Att,1)=0,$L596,IF($L596&gt;=$J596,cfgRetakeRecordedCap,SUMIFS(nrES_Raw,nrES_PID,$D596,nrES_Code,$F596,nrES_Att,1))))))</f>
        <v/>
      </c>
      <c r="N596" s="15">
        <f>IF($C596="","",IF($L596="","",IF($L596&gt;=$J596,"Yes","No")))</f>
        <v/>
      </c>
      <c r="O596" s="15">
        <f>IF($C596="","",IF($M596="","",IF($M596&gt;=$J596,"Yes","No")))</f>
        <v/>
      </c>
      <c r="P596" s="15">
        <f>IF($C596="","",IF($K596="","",IF(COUNTIFS(nrES_PID,$D596,nrES_Code,$F596,nrES_Att,"&gt;"&amp;$K596)=0,"Yes","No")))</f>
        <v/>
      </c>
      <c r="Q596" s="15">
        <f>IF($C596="","",IF($L596="","",IF(AND($K596=1,$L596&lt;$J596,COUNTIFS(nrES_PID,$D596,nrES_Code,$F596,nrES_Att,2)=0),"Yes","No")))</f>
        <v/>
      </c>
      <c r="R596" s="15">
        <f>IF($C596="","",IF($L596="","",IF(AND($K596=2,$L596&lt;$J596,COUNTIFS(nrES_PID,$D596,nrES_Code,$F596,nrES_Att,1)&gt;0),"Yes","No")))</f>
        <v/>
      </c>
      <c r="S596" s="16" t="n"/>
      <c r="T596" s="17">
        <f>IF($Q596&lt;&gt;"Yes","",IF($S596="","(enter date)",_xlfn.LET(_xlpm.dn,IFERROR(_xlfn.XLOOKUP($S596,nrCDdate,nrCDnum),""),IF(_xlpm.dn="","(not a class day)",IFERROR(_xlfn.XLOOKUP(_xlpm.dn+cfgRetestClassDays,nrCDnum,nrCDdate),"")))))</f>
        <v/>
      </c>
      <c r="U596" s="15">
        <f>IF($Q596&lt;&gt;"Yes","",IF(COUNTIFS(nrES_PID,$D596,nrES_Code,$F596,nrES_Att,2)&gt;0,"Retested",IF(OR($T596="",NOT(ISNUMBER($T596))),"Pending",IF(TODAY()&gt;$T596,"OVERDUE","Due "&amp;TEXT($T596,"mm/dd")))))</f>
        <v/>
      </c>
      <c r="V596" s="14" t="n"/>
      <c r="W596" s="14" t="n"/>
    </row>
    <row r="597">
      <c r="B597" s="15">
        <f>IF($C597="","",$D597&amp;"-"&amp;$F597&amp;"-"&amp;$K597)</f>
        <v/>
      </c>
      <c r="C597" s="14" t="n"/>
      <c r="D597" s="15">
        <f>IF($C597="","",IFERROR(INDEX(rngCadetPIDs,MATCH($C597,rngCadetNames,0)),"?"))</f>
        <v/>
      </c>
      <c r="E597" s="15">
        <f>IF($D597="","",IFERROR(INDEX(nrCadetAgency,MATCH($D597,rngCadetPIDs,0)),""))</f>
        <v/>
      </c>
      <c r="F597" s="14" t="n"/>
      <c r="G597" s="15">
        <f>IF($F597="","",IFERROR(INDEX(rngEPname,MATCH($F597,rngEPcode,0)),"?"))</f>
        <v/>
      </c>
      <c r="H597" s="15">
        <f>IF($F597="","",IFERROR(INDEX(rngEPtype,MATCH($F597,rngEPcode,0)),"?"))</f>
        <v/>
      </c>
      <c r="I597" s="15">
        <f>IF($F597="","",IFERROR(INDEX(rngEPseq,MATCH($F597,rngEPcode,0)),""))</f>
        <v/>
      </c>
      <c r="J597" s="15">
        <f>IF($F597="","",IFERROR(INDEX(rngEPpass,MATCH($F597,rngEPcode,0)),cfgPassingScore))</f>
        <v/>
      </c>
      <c r="K597" s="14" t="n"/>
      <c r="L597" s="14" t="n"/>
      <c r="M597" s="15">
        <f>IF($C597="","",IF($L597="","",IF($K597=1,IF(COUNTIFS(nrES_PID,$D597,nrES_Code,$F597,nrES_Att,2)&gt;0,"",$L597),IF(COUNTIFS(nrES_PID,$D597,nrES_Code,$F597,nrES_Att,1)=0,$L597,IF($L597&gt;=$J597,cfgRetakeRecordedCap,SUMIFS(nrES_Raw,nrES_PID,$D597,nrES_Code,$F597,nrES_Att,1))))))</f>
        <v/>
      </c>
      <c r="N597" s="15">
        <f>IF($C597="","",IF($L597="","",IF($L597&gt;=$J597,"Yes","No")))</f>
        <v/>
      </c>
      <c r="O597" s="15">
        <f>IF($C597="","",IF($M597="","",IF($M597&gt;=$J597,"Yes","No")))</f>
        <v/>
      </c>
      <c r="P597" s="15">
        <f>IF($C597="","",IF($K597="","",IF(COUNTIFS(nrES_PID,$D597,nrES_Code,$F597,nrES_Att,"&gt;"&amp;$K597)=0,"Yes","No")))</f>
        <v/>
      </c>
      <c r="Q597" s="15">
        <f>IF($C597="","",IF($L597="","",IF(AND($K597=1,$L597&lt;$J597,COUNTIFS(nrES_PID,$D597,nrES_Code,$F597,nrES_Att,2)=0),"Yes","No")))</f>
        <v/>
      </c>
      <c r="R597" s="15">
        <f>IF($C597="","",IF($L597="","",IF(AND($K597=2,$L597&lt;$J597,COUNTIFS(nrES_PID,$D597,nrES_Code,$F597,nrES_Att,1)&gt;0),"Yes","No")))</f>
        <v/>
      </c>
      <c r="S597" s="16" t="n"/>
      <c r="T597" s="17">
        <f>IF($Q597&lt;&gt;"Yes","",IF($S597="","(enter date)",_xlfn.LET(_xlpm.dn,IFERROR(_xlfn.XLOOKUP($S597,nrCDdate,nrCDnum),""),IF(_xlpm.dn="","(not a class day)",IFERROR(_xlfn.XLOOKUP(_xlpm.dn+cfgRetestClassDays,nrCDnum,nrCDdate),"")))))</f>
        <v/>
      </c>
      <c r="U597" s="15">
        <f>IF($Q597&lt;&gt;"Yes","",IF(COUNTIFS(nrES_PID,$D597,nrES_Code,$F597,nrES_Att,2)&gt;0,"Retested",IF(OR($T597="",NOT(ISNUMBER($T597))),"Pending",IF(TODAY()&gt;$T597,"OVERDUE","Due "&amp;TEXT($T597,"mm/dd")))))</f>
        <v/>
      </c>
      <c r="V597" s="14" t="n"/>
      <c r="W597" s="14" t="n"/>
    </row>
    <row r="598">
      <c r="B598" s="15">
        <f>IF($C598="","",$D598&amp;"-"&amp;$F598&amp;"-"&amp;$K598)</f>
        <v/>
      </c>
      <c r="C598" s="14" t="n"/>
      <c r="D598" s="15">
        <f>IF($C598="","",IFERROR(INDEX(rngCadetPIDs,MATCH($C598,rngCadetNames,0)),"?"))</f>
        <v/>
      </c>
      <c r="E598" s="15">
        <f>IF($D598="","",IFERROR(INDEX(nrCadetAgency,MATCH($D598,rngCadetPIDs,0)),""))</f>
        <v/>
      </c>
      <c r="F598" s="14" t="n"/>
      <c r="G598" s="15">
        <f>IF($F598="","",IFERROR(INDEX(rngEPname,MATCH($F598,rngEPcode,0)),"?"))</f>
        <v/>
      </c>
      <c r="H598" s="15">
        <f>IF($F598="","",IFERROR(INDEX(rngEPtype,MATCH($F598,rngEPcode,0)),"?"))</f>
        <v/>
      </c>
      <c r="I598" s="15">
        <f>IF($F598="","",IFERROR(INDEX(rngEPseq,MATCH($F598,rngEPcode,0)),""))</f>
        <v/>
      </c>
      <c r="J598" s="15">
        <f>IF($F598="","",IFERROR(INDEX(rngEPpass,MATCH($F598,rngEPcode,0)),cfgPassingScore))</f>
        <v/>
      </c>
      <c r="K598" s="14" t="n"/>
      <c r="L598" s="14" t="n"/>
      <c r="M598" s="15">
        <f>IF($C598="","",IF($L598="","",IF($K598=1,IF(COUNTIFS(nrES_PID,$D598,nrES_Code,$F598,nrES_Att,2)&gt;0,"",$L598),IF(COUNTIFS(nrES_PID,$D598,nrES_Code,$F598,nrES_Att,1)=0,$L598,IF($L598&gt;=$J598,cfgRetakeRecordedCap,SUMIFS(nrES_Raw,nrES_PID,$D598,nrES_Code,$F598,nrES_Att,1))))))</f>
        <v/>
      </c>
      <c r="N598" s="15">
        <f>IF($C598="","",IF($L598="","",IF($L598&gt;=$J598,"Yes","No")))</f>
        <v/>
      </c>
      <c r="O598" s="15">
        <f>IF($C598="","",IF($M598="","",IF($M598&gt;=$J598,"Yes","No")))</f>
        <v/>
      </c>
      <c r="P598" s="15">
        <f>IF($C598="","",IF($K598="","",IF(COUNTIFS(nrES_PID,$D598,nrES_Code,$F598,nrES_Att,"&gt;"&amp;$K598)=0,"Yes","No")))</f>
        <v/>
      </c>
      <c r="Q598" s="15">
        <f>IF($C598="","",IF($L598="","",IF(AND($K598=1,$L598&lt;$J598,COUNTIFS(nrES_PID,$D598,nrES_Code,$F598,nrES_Att,2)=0),"Yes","No")))</f>
        <v/>
      </c>
      <c r="R598" s="15">
        <f>IF($C598="","",IF($L598="","",IF(AND($K598=2,$L598&lt;$J598,COUNTIFS(nrES_PID,$D598,nrES_Code,$F598,nrES_Att,1)&gt;0),"Yes","No")))</f>
        <v/>
      </c>
      <c r="S598" s="16" t="n"/>
      <c r="T598" s="17">
        <f>IF($Q598&lt;&gt;"Yes","",IF($S598="","(enter date)",_xlfn.LET(_xlpm.dn,IFERROR(_xlfn.XLOOKUP($S598,nrCDdate,nrCDnum),""),IF(_xlpm.dn="","(not a class day)",IFERROR(_xlfn.XLOOKUP(_xlpm.dn+cfgRetestClassDays,nrCDnum,nrCDdate),"")))))</f>
        <v/>
      </c>
      <c r="U598" s="15">
        <f>IF($Q598&lt;&gt;"Yes","",IF(COUNTIFS(nrES_PID,$D598,nrES_Code,$F598,nrES_Att,2)&gt;0,"Retested",IF(OR($T598="",NOT(ISNUMBER($T598))),"Pending",IF(TODAY()&gt;$T598,"OVERDUE","Due "&amp;TEXT($T598,"mm/dd")))))</f>
        <v/>
      </c>
      <c r="V598" s="14" t="n"/>
      <c r="W598" s="14" t="n"/>
    </row>
    <row r="599">
      <c r="B599" s="15">
        <f>IF($C599="","",$D599&amp;"-"&amp;$F599&amp;"-"&amp;$K599)</f>
        <v/>
      </c>
      <c r="C599" s="14" t="n"/>
      <c r="D599" s="15">
        <f>IF($C599="","",IFERROR(INDEX(rngCadetPIDs,MATCH($C599,rngCadetNames,0)),"?"))</f>
        <v/>
      </c>
      <c r="E599" s="15">
        <f>IF($D599="","",IFERROR(INDEX(nrCadetAgency,MATCH($D599,rngCadetPIDs,0)),""))</f>
        <v/>
      </c>
      <c r="F599" s="14" t="n"/>
      <c r="G599" s="15">
        <f>IF($F599="","",IFERROR(INDEX(rngEPname,MATCH($F599,rngEPcode,0)),"?"))</f>
        <v/>
      </c>
      <c r="H599" s="15">
        <f>IF($F599="","",IFERROR(INDEX(rngEPtype,MATCH($F599,rngEPcode,0)),"?"))</f>
        <v/>
      </c>
      <c r="I599" s="15">
        <f>IF($F599="","",IFERROR(INDEX(rngEPseq,MATCH($F599,rngEPcode,0)),""))</f>
        <v/>
      </c>
      <c r="J599" s="15">
        <f>IF($F599="","",IFERROR(INDEX(rngEPpass,MATCH($F599,rngEPcode,0)),cfgPassingScore))</f>
        <v/>
      </c>
      <c r="K599" s="14" t="n"/>
      <c r="L599" s="14" t="n"/>
      <c r="M599" s="15">
        <f>IF($C599="","",IF($L599="","",IF($K599=1,IF(COUNTIFS(nrES_PID,$D599,nrES_Code,$F599,nrES_Att,2)&gt;0,"",$L599),IF(COUNTIFS(nrES_PID,$D599,nrES_Code,$F599,nrES_Att,1)=0,$L599,IF($L599&gt;=$J599,cfgRetakeRecordedCap,SUMIFS(nrES_Raw,nrES_PID,$D599,nrES_Code,$F599,nrES_Att,1))))))</f>
        <v/>
      </c>
      <c r="N599" s="15">
        <f>IF($C599="","",IF($L599="","",IF($L599&gt;=$J599,"Yes","No")))</f>
        <v/>
      </c>
      <c r="O599" s="15">
        <f>IF($C599="","",IF($M599="","",IF($M599&gt;=$J599,"Yes","No")))</f>
        <v/>
      </c>
      <c r="P599" s="15">
        <f>IF($C599="","",IF($K599="","",IF(COUNTIFS(nrES_PID,$D599,nrES_Code,$F599,nrES_Att,"&gt;"&amp;$K599)=0,"Yes","No")))</f>
        <v/>
      </c>
      <c r="Q599" s="15">
        <f>IF($C599="","",IF($L599="","",IF(AND($K599=1,$L599&lt;$J599,COUNTIFS(nrES_PID,$D599,nrES_Code,$F599,nrES_Att,2)=0),"Yes","No")))</f>
        <v/>
      </c>
      <c r="R599" s="15">
        <f>IF($C599="","",IF($L599="","",IF(AND($K599=2,$L599&lt;$J599,COUNTIFS(nrES_PID,$D599,nrES_Code,$F599,nrES_Att,1)&gt;0),"Yes","No")))</f>
        <v/>
      </c>
      <c r="S599" s="16" t="n"/>
      <c r="T599" s="17">
        <f>IF($Q599&lt;&gt;"Yes","",IF($S599="","(enter date)",_xlfn.LET(_xlpm.dn,IFERROR(_xlfn.XLOOKUP($S599,nrCDdate,nrCDnum),""),IF(_xlpm.dn="","(not a class day)",IFERROR(_xlfn.XLOOKUP(_xlpm.dn+cfgRetestClassDays,nrCDnum,nrCDdate),"")))))</f>
        <v/>
      </c>
      <c r="U599" s="15">
        <f>IF($Q599&lt;&gt;"Yes","",IF(COUNTIFS(nrES_PID,$D599,nrES_Code,$F599,nrES_Att,2)&gt;0,"Retested",IF(OR($T599="",NOT(ISNUMBER($T599))),"Pending",IF(TODAY()&gt;$T599,"OVERDUE","Due "&amp;TEXT($T599,"mm/dd")))))</f>
        <v/>
      </c>
      <c r="V599" s="14" t="n"/>
      <c r="W599" s="14" t="n"/>
    </row>
    <row r="600">
      <c r="B600" s="15">
        <f>IF($C600="","",$D600&amp;"-"&amp;$F600&amp;"-"&amp;$K600)</f>
        <v/>
      </c>
      <c r="C600" s="14" t="n"/>
      <c r="D600" s="15">
        <f>IF($C600="","",IFERROR(INDEX(rngCadetPIDs,MATCH($C600,rngCadetNames,0)),"?"))</f>
        <v/>
      </c>
      <c r="E600" s="15">
        <f>IF($D600="","",IFERROR(INDEX(nrCadetAgency,MATCH($D600,rngCadetPIDs,0)),""))</f>
        <v/>
      </c>
      <c r="F600" s="14" t="n"/>
      <c r="G600" s="15">
        <f>IF($F600="","",IFERROR(INDEX(rngEPname,MATCH($F600,rngEPcode,0)),"?"))</f>
        <v/>
      </c>
      <c r="H600" s="15">
        <f>IF($F600="","",IFERROR(INDEX(rngEPtype,MATCH($F600,rngEPcode,0)),"?"))</f>
        <v/>
      </c>
      <c r="I600" s="15">
        <f>IF($F600="","",IFERROR(INDEX(rngEPseq,MATCH($F600,rngEPcode,0)),""))</f>
        <v/>
      </c>
      <c r="J600" s="15">
        <f>IF($F600="","",IFERROR(INDEX(rngEPpass,MATCH($F600,rngEPcode,0)),cfgPassingScore))</f>
        <v/>
      </c>
      <c r="K600" s="14" t="n"/>
      <c r="L600" s="14" t="n"/>
      <c r="M600" s="15">
        <f>IF($C600="","",IF($L600="","",IF($K600=1,IF(COUNTIFS(nrES_PID,$D600,nrES_Code,$F600,nrES_Att,2)&gt;0,"",$L600),IF(COUNTIFS(nrES_PID,$D600,nrES_Code,$F600,nrES_Att,1)=0,$L600,IF($L600&gt;=$J600,cfgRetakeRecordedCap,SUMIFS(nrES_Raw,nrES_PID,$D600,nrES_Code,$F600,nrES_Att,1))))))</f>
        <v/>
      </c>
      <c r="N600" s="15">
        <f>IF($C600="","",IF($L600="","",IF($L600&gt;=$J600,"Yes","No")))</f>
        <v/>
      </c>
      <c r="O600" s="15">
        <f>IF($C600="","",IF($M600="","",IF($M600&gt;=$J600,"Yes","No")))</f>
        <v/>
      </c>
      <c r="P600" s="15">
        <f>IF($C600="","",IF($K600="","",IF(COUNTIFS(nrES_PID,$D600,nrES_Code,$F600,nrES_Att,"&gt;"&amp;$K600)=0,"Yes","No")))</f>
        <v/>
      </c>
      <c r="Q600" s="15">
        <f>IF($C600="","",IF($L600="","",IF(AND($K600=1,$L600&lt;$J600,COUNTIFS(nrES_PID,$D600,nrES_Code,$F600,nrES_Att,2)=0),"Yes","No")))</f>
        <v/>
      </c>
      <c r="R600" s="15">
        <f>IF($C600="","",IF($L600="","",IF(AND($K600=2,$L600&lt;$J600,COUNTIFS(nrES_PID,$D600,nrES_Code,$F600,nrES_Att,1)&gt;0),"Yes","No")))</f>
        <v/>
      </c>
      <c r="S600" s="16" t="n"/>
      <c r="T600" s="17">
        <f>IF($Q600&lt;&gt;"Yes","",IF($S600="","(enter date)",_xlfn.LET(_xlpm.dn,IFERROR(_xlfn.XLOOKUP($S600,nrCDdate,nrCDnum),""),IF(_xlpm.dn="","(not a class day)",IFERROR(_xlfn.XLOOKUP(_xlpm.dn+cfgRetestClassDays,nrCDnum,nrCDdate),"")))))</f>
        <v/>
      </c>
      <c r="U600" s="15">
        <f>IF($Q600&lt;&gt;"Yes","",IF(COUNTIFS(nrES_PID,$D600,nrES_Code,$F600,nrES_Att,2)&gt;0,"Retested",IF(OR($T600="",NOT(ISNUMBER($T600))),"Pending",IF(TODAY()&gt;$T600,"OVERDUE","Due "&amp;TEXT($T600,"mm/dd")))))</f>
        <v/>
      </c>
      <c r="V600" s="14" t="n"/>
      <c r="W600" s="14" t="n"/>
    </row>
    <row r="601">
      <c r="B601" s="15">
        <f>IF($C601="","",$D601&amp;"-"&amp;$F601&amp;"-"&amp;$K601)</f>
        <v/>
      </c>
      <c r="C601" s="14" t="n"/>
      <c r="D601" s="15">
        <f>IF($C601="","",IFERROR(INDEX(rngCadetPIDs,MATCH($C601,rngCadetNames,0)),"?"))</f>
        <v/>
      </c>
      <c r="E601" s="15">
        <f>IF($D601="","",IFERROR(INDEX(nrCadetAgency,MATCH($D601,rngCadetPIDs,0)),""))</f>
        <v/>
      </c>
      <c r="F601" s="14" t="n"/>
      <c r="G601" s="15">
        <f>IF($F601="","",IFERROR(INDEX(rngEPname,MATCH($F601,rngEPcode,0)),"?"))</f>
        <v/>
      </c>
      <c r="H601" s="15">
        <f>IF($F601="","",IFERROR(INDEX(rngEPtype,MATCH($F601,rngEPcode,0)),"?"))</f>
        <v/>
      </c>
      <c r="I601" s="15">
        <f>IF($F601="","",IFERROR(INDEX(rngEPseq,MATCH($F601,rngEPcode,0)),""))</f>
        <v/>
      </c>
      <c r="J601" s="15">
        <f>IF($F601="","",IFERROR(INDEX(rngEPpass,MATCH($F601,rngEPcode,0)),cfgPassingScore))</f>
        <v/>
      </c>
      <c r="K601" s="14" t="n"/>
      <c r="L601" s="14" t="n"/>
      <c r="M601" s="15">
        <f>IF($C601="","",IF($L601="","",IF($K601=1,IF(COUNTIFS(nrES_PID,$D601,nrES_Code,$F601,nrES_Att,2)&gt;0,"",$L601),IF(COUNTIFS(nrES_PID,$D601,nrES_Code,$F601,nrES_Att,1)=0,$L601,IF($L601&gt;=$J601,cfgRetakeRecordedCap,SUMIFS(nrES_Raw,nrES_PID,$D601,nrES_Code,$F601,nrES_Att,1))))))</f>
        <v/>
      </c>
      <c r="N601" s="15">
        <f>IF($C601="","",IF($L601="","",IF($L601&gt;=$J601,"Yes","No")))</f>
        <v/>
      </c>
      <c r="O601" s="15">
        <f>IF($C601="","",IF($M601="","",IF($M601&gt;=$J601,"Yes","No")))</f>
        <v/>
      </c>
      <c r="P601" s="15">
        <f>IF($C601="","",IF($K601="","",IF(COUNTIFS(nrES_PID,$D601,nrES_Code,$F601,nrES_Att,"&gt;"&amp;$K601)=0,"Yes","No")))</f>
        <v/>
      </c>
      <c r="Q601" s="15">
        <f>IF($C601="","",IF($L601="","",IF(AND($K601=1,$L601&lt;$J601,COUNTIFS(nrES_PID,$D601,nrES_Code,$F601,nrES_Att,2)=0),"Yes","No")))</f>
        <v/>
      </c>
      <c r="R601" s="15">
        <f>IF($C601="","",IF($L601="","",IF(AND($K601=2,$L601&lt;$J601,COUNTIFS(nrES_PID,$D601,nrES_Code,$F601,nrES_Att,1)&gt;0),"Yes","No")))</f>
        <v/>
      </c>
      <c r="S601" s="16" t="n"/>
      <c r="T601" s="17">
        <f>IF($Q601&lt;&gt;"Yes","",IF($S601="","(enter date)",_xlfn.LET(_xlpm.dn,IFERROR(_xlfn.XLOOKUP($S601,nrCDdate,nrCDnum),""),IF(_xlpm.dn="","(not a class day)",IFERROR(_xlfn.XLOOKUP(_xlpm.dn+cfgRetestClassDays,nrCDnum,nrCDdate),"")))))</f>
        <v/>
      </c>
      <c r="U601" s="15">
        <f>IF($Q601&lt;&gt;"Yes","",IF(COUNTIFS(nrES_PID,$D601,nrES_Code,$F601,nrES_Att,2)&gt;0,"Retested",IF(OR($T601="",NOT(ISNUMBER($T601))),"Pending",IF(TODAY()&gt;$T601,"OVERDUE","Due "&amp;TEXT($T601,"mm/dd")))))</f>
        <v/>
      </c>
      <c r="V601" s="14" t="n"/>
      <c r="W601" s="14" t="n"/>
    </row>
    <row r="602">
      <c r="B602" s="15">
        <f>IF($C602="","",$D602&amp;"-"&amp;$F602&amp;"-"&amp;$K602)</f>
        <v/>
      </c>
      <c r="C602" s="14" t="n"/>
      <c r="D602" s="15">
        <f>IF($C602="","",IFERROR(INDEX(rngCadetPIDs,MATCH($C602,rngCadetNames,0)),"?"))</f>
        <v/>
      </c>
      <c r="E602" s="15">
        <f>IF($D602="","",IFERROR(INDEX(nrCadetAgency,MATCH($D602,rngCadetPIDs,0)),""))</f>
        <v/>
      </c>
      <c r="F602" s="14" t="n"/>
      <c r="G602" s="15">
        <f>IF($F602="","",IFERROR(INDEX(rngEPname,MATCH($F602,rngEPcode,0)),"?"))</f>
        <v/>
      </c>
      <c r="H602" s="15">
        <f>IF($F602="","",IFERROR(INDEX(rngEPtype,MATCH($F602,rngEPcode,0)),"?"))</f>
        <v/>
      </c>
      <c r="I602" s="15">
        <f>IF($F602="","",IFERROR(INDEX(rngEPseq,MATCH($F602,rngEPcode,0)),""))</f>
        <v/>
      </c>
      <c r="J602" s="15">
        <f>IF($F602="","",IFERROR(INDEX(rngEPpass,MATCH($F602,rngEPcode,0)),cfgPassingScore))</f>
        <v/>
      </c>
      <c r="K602" s="14" t="n"/>
      <c r="L602" s="14" t="n"/>
      <c r="M602" s="15">
        <f>IF($C602="","",IF($L602="","",IF($K602=1,IF(COUNTIFS(nrES_PID,$D602,nrES_Code,$F602,nrES_Att,2)&gt;0,"",$L602),IF(COUNTIFS(nrES_PID,$D602,nrES_Code,$F602,nrES_Att,1)=0,$L602,IF($L602&gt;=$J602,cfgRetakeRecordedCap,SUMIFS(nrES_Raw,nrES_PID,$D602,nrES_Code,$F602,nrES_Att,1))))))</f>
        <v/>
      </c>
      <c r="N602" s="15">
        <f>IF($C602="","",IF($L602="","",IF($L602&gt;=$J602,"Yes","No")))</f>
        <v/>
      </c>
      <c r="O602" s="15">
        <f>IF($C602="","",IF($M602="","",IF($M602&gt;=$J602,"Yes","No")))</f>
        <v/>
      </c>
      <c r="P602" s="15">
        <f>IF($C602="","",IF($K602="","",IF(COUNTIFS(nrES_PID,$D602,nrES_Code,$F602,nrES_Att,"&gt;"&amp;$K602)=0,"Yes","No")))</f>
        <v/>
      </c>
      <c r="Q602" s="15">
        <f>IF($C602="","",IF($L602="","",IF(AND($K602=1,$L602&lt;$J602,COUNTIFS(nrES_PID,$D602,nrES_Code,$F602,nrES_Att,2)=0),"Yes","No")))</f>
        <v/>
      </c>
      <c r="R602" s="15">
        <f>IF($C602="","",IF($L602="","",IF(AND($K602=2,$L602&lt;$J602,COUNTIFS(nrES_PID,$D602,nrES_Code,$F602,nrES_Att,1)&gt;0),"Yes","No")))</f>
        <v/>
      </c>
      <c r="S602" s="16" t="n"/>
      <c r="T602" s="17">
        <f>IF($Q602&lt;&gt;"Yes","",IF($S602="","(enter date)",_xlfn.LET(_xlpm.dn,IFERROR(_xlfn.XLOOKUP($S602,nrCDdate,nrCDnum),""),IF(_xlpm.dn="","(not a class day)",IFERROR(_xlfn.XLOOKUP(_xlpm.dn+cfgRetestClassDays,nrCDnum,nrCDdate),"")))))</f>
        <v/>
      </c>
      <c r="U602" s="15">
        <f>IF($Q602&lt;&gt;"Yes","",IF(COUNTIFS(nrES_PID,$D602,nrES_Code,$F602,nrES_Att,2)&gt;0,"Retested",IF(OR($T602="",NOT(ISNUMBER($T602))),"Pending",IF(TODAY()&gt;$T602,"OVERDUE","Due "&amp;TEXT($T602,"mm/dd")))))</f>
        <v/>
      </c>
      <c r="V602" s="14" t="n"/>
      <c r="W602" s="14" t="n"/>
    </row>
    <row r="603">
      <c r="B603" s="15">
        <f>IF($C603="","",$D603&amp;"-"&amp;$F603&amp;"-"&amp;$K603)</f>
        <v/>
      </c>
      <c r="C603" s="14" t="n"/>
      <c r="D603" s="15">
        <f>IF($C603="","",IFERROR(INDEX(rngCadetPIDs,MATCH($C603,rngCadetNames,0)),"?"))</f>
        <v/>
      </c>
      <c r="E603" s="15">
        <f>IF($D603="","",IFERROR(INDEX(nrCadetAgency,MATCH($D603,rngCadetPIDs,0)),""))</f>
        <v/>
      </c>
      <c r="F603" s="14" t="n"/>
      <c r="G603" s="15">
        <f>IF($F603="","",IFERROR(INDEX(rngEPname,MATCH($F603,rngEPcode,0)),"?"))</f>
        <v/>
      </c>
      <c r="H603" s="15">
        <f>IF($F603="","",IFERROR(INDEX(rngEPtype,MATCH($F603,rngEPcode,0)),"?"))</f>
        <v/>
      </c>
      <c r="I603" s="15">
        <f>IF($F603="","",IFERROR(INDEX(rngEPseq,MATCH($F603,rngEPcode,0)),""))</f>
        <v/>
      </c>
      <c r="J603" s="15">
        <f>IF($F603="","",IFERROR(INDEX(rngEPpass,MATCH($F603,rngEPcode,0)),cfgPassingScore))</f>
        <v/>
      </c>
      <c r="K603" s="14" t="n"/>
      <c r="L603" s="14" t="n"/>
      <c r="M603" s="15">
        <f>IF($C603="","",IF($L603="","",IF($K603=1,IF(COUNTIFS(nrES_PID,$D603,nrES_Code,$F603,nrES_Att,2)&gt;0,"",$L603),IF(COUNTIFS(nrES_PID,$D603,nrES_Code,$F603,nrES_Att,1)=0,$L603,IF($L603&gt;=$J603,cfgRetakeRecordedCap,SUMIFS(nrES_Raw,nrES_PID,$D603,nrES_Code,$F603,nrES_Att,1))))))</f>
        <v/>
      </c>
      <c r="N603" s="15">
        <f>IF($C603="","",IF($L603="","",IF($L603&gt;=$J603,"Yes","No")))</f>
        <v/>
      </c>
      <c r="O603" s="15">
        <f>IF($C603="","",IF($M603="","",IF($M603&gt;=$J603,"Yes","No")))</f>
        <v/>
      </c>
      <c r="P603" s="15">
        <f>IF($C603="","",IF($K603="","",IF(COUNTIFS(nrES_PID,$D603,nrES_Code,$F603,nrES_Att,"&gt;"&amp;$K603)=0,"Yes","No")))</f>
        <v/>
      </c>
      <c r="Q603" s="15">
        <f>IF($C603="","",IF($L603="","",IF(AND($K603=1,$L603&lt;$J603,COUNTIFS(nrES_PID,$D603,nrES_Code,$F603,nrES_Att,2)=0),"Yes","No")))</f>
        <v/>
      </c>
      <c r="R603" s="15">
        <f>IF($C603="","",IF($L603="","",IF(AND($K603=2,$L603&lt;$J603,COUNTIFS(nrES_PID,$D603,nrES_Code,$F603,nrES_Att,1)&gt;0),"Yes","No")))</f>
        <v/>
      </c>
      <c r="S603" s="16" t="n"/>
      <c r="T603" s="17">
        <f>IF($Q603&lt;&gt;"Yes","",IF($S603="","(enter date)",_xlfn.LET(_xlpm.dn,IFERROR(_xlfn.XLOOKUP($S603,nrCDdate,nrCDnum),""),IF(_xlpm.dn="","(not a class day)",IFERROR(_xlfn.XLOOKUP(_xlpm.dn+cfgRetestClassDays,nrCDnum,nrCDdate),"")))))</f>
        <v/>
      </c>
      <c r="U603" s="15">
        <f>IF($Q603&lt;&gt;"Yes","",IF(COUNTIFS(nrES_PID,$D603,nrES_Code,$F603,nrES_Att,2)&gt;0,"Retested",IF(OR($T603="",NOT(ISNUMBER($T603))),"Pending",IF(TODAY()&gt;$T603,"OVERDUE","Due "&amp;TEXT($T603,"mm/dd")))))</f>
        <v/>
      </c>
      <c r="V603" s="14" t="n"/>
      <c r="W603" s="14" t="n"/>
    </row>
    <row r="604">
      <c r="B604" s="15">
        <f>IF($C604="","",$D604&amp;"-"&amp;$F604&amp;"-"&amp;$K604)</f>
        <v/>
      </c>
      <c r="C604" s="14" t="n"/>
      <c r="D604" s="15">
        <f>IF($C604="","",IFERROR(INDEX(rngCadetPIDs,MATCH($C604,rngCadetNames,0)),"?"))</f>
        <v/>
      </c>
      <c r="E604" s="15">
        <f>IF($D604="","",IFERROR(INDEX(nrCadetAgency,MATCH($D604,rngCadetPIDs,0)),""))</f>
        <v/>
      </c>
      <c r="F604" s="14" t="n"/>
      <c r="G604" s="15">
        <f>IF($F604="","",IFERROR(INDEX(rngEPname,MATCH($F604,rngEPcode,0)),"?"))</f>
        <v/>
      </c>
      <c r="H604" s="15">
        <f>IF($F604="","",IFERROR(INDEX(rngEPtype,MATCH($F604,rngEPcode,0)),"?"))</f>
        <v/>
      </c>
      <c r="I604" s="15">
        <f>IF($F604="","",IFERROR(INDEX(rngEPseq,MATCH($F604,rngEPcode,0)),""))</f>
        <v/>
      </c>
      <c r="J604" s="15">
        <f>IF($F604="","",IFERROR(INDEX(rngEPpass,MATCH($F604,rngEPcode,0)),cfgPassingScore))</f>
        <v/>
      </c>
      <c r="K604" s="14" t="n"/>
      <c r="L604" s="14" t="n"/>
      <c r="M604" s="15">
        <f>IF($C604="","",IF($L604="","",IF($K604=1,IF(COUNTIFS(nrES_PID,$D604,nrES_Code,$F604,nrES_Att,2)&gt;0,"",$L604),IF(COUNTIFS(nrES_PID,$D604,nrES_Code,$F604,nrES_Att,1)=0,$L604,IF($L604&gt;=$J604,cfgRetakeRecordedCap,SUMIFS(nrES_Raw,nrES_PID,$D604,nrES_Code,$F604,nrES_Att,1))))))</f>
        <v/>
      </c>
      <c r="N604" s="15">
        <f>IF($C604="","",IF($L604="","",IF($L604&gt;=$J604,"Yes","No")))</f>
        <v/>
      </c>
      <c r="O604" s="15">
        <f>IF($C604="","",IF($M604="","",IF($M604&gt;=$J604,"Yes","No")))</f>
        <v/>
      </c>
      <c r="P604" s="15">
        <f>IF($C604="","",IF($K604="","",IF(COUNTIFS(nrES_PID,$D604,nrES_Code,$F604,nrES_Att,"&gt;"&amp;$K604)=0,"Yes","No")))</f>
        <v/>
      </c>
      <c r="Q604" s="15">
        <f>IF($C604="","",IF($L604="","",IF(AND($K604=1,$L604&lt;$J604,COUNTIFS(nrES_PID,$D604,nrES_Code,$F604,nrES_Att,2)=0),"Yes","No")))</f>
        <v/>
      </c>
      <c r="R604" s="15">
        <f>IF($C604="","",IF($L604="","",IF(AND($K604=2,$L604&lt;$J604,COUNTIFS(nrES_PID,$D604,nrES_Code,$F604,nrES_Att,1)&gt;0),"Yes","No")))</f>
        <v/>
      </c>
      <c r="S604" s="16" t="n"/>
      <c r="T604" s="17">
        <f>IF($Q604&lt;&gt;"Yes","",IF($S604="","(enter date)",_xlfn.LET(_xlpm.dn,IFERROR(_xlfn.XLOOKUP($S604,nrCDdate,nrCDnum),""),IF(_xlpm.dn="","(not a class day)",IFERROR(_xlfn.XLOOKUP(_xlpm.dn+cfgRetestClassDays,nrCDnum,nrCDdate),"")))))</f>
        <v/>
      </c>
      <c r="U604" s="15">
        <f>IF($Q604&lt;&gt;"Yes","",IF(COUNTIFS(nrES_PID,$D604,nrES_Code,$F604,nrES_Att,2)&gt;0,"Retested",IF(OR($T604="",NOT(ISNUMBER($T604))),"Pending",IF(TODAY()&gt;$T604,"OVERDUE","Due "&amp;TEXT($T604,"mm/dd")))))</f>
        <v/>
      </c>
      <c r="V604" s="14" t="n"/>
      <c r="W604" s="14" t="n"/>
    </row>
    <row r="605">
      <c r="B605" s="15">
        <f>IF($C605="","",$D605&amp;"-"&amp;$F605&amp;"-"&amp;$K605)</f>
        <v/>
      </c>
      <c r="C605" s="14" t="n"/>
      <c r="D605" s="15">
        <f>IF($C605="","",IFERROR(INDEX(rngCadetPIDs,MATCH($C605,rngCadetNames,0)),"?"))</f>
        <v/>
      </c>
      <c r="E605" s="15">
        <f>IF($D605="","",IFERROR(INDEX(nrCadetAgency,MATCH($D605,rngCadetPIDs,0)),""))</f>
        <v/>
      </c>
      <c r="F605" s="14" t="n"/>
      <c r="G605" s="15">
        <f>IF($F605="","",IFERROR(INDEX(rngEPname,MATCH($F605,rngEPcode,0)),"?"))</f>
        <v/>
      </c>
      <c r="H605" s="15">
        <f>IF($F605="","",IFERROR(INDEX(rngEPtype,MATCH($F605,rngEPcode,0)),"?"))</f>
        <v/>
      </c>
      <c r="I605" s="15">
        <f>IF($F605="","",IFERROR(INDEX(rngEPseq,MATCH($F605,rngEPcode,0)),""))</f>
        <v/>
      </c>
      <c r="J605" s="15">
        <f>IF($F605="","",IFERROR(INDEX(rngEPpass,MATCH($F605,rngEPcode,0)),cfgPassingScore))</f>
        <v/>
      </c>
      <c r="K605" s="14" t="n"/>
      <c r="L605" s="14" t="n"/>
      <c r="M605" s="15">
        <f>IF($C605="","",IF($L605="","",IF($K605=1,IF(COUNTIFS(nrES_PID,$D605,nrES_Code,$F605,nrES_Att,2)&gt;0,"",$L605),IF(COUNTIFS(nrES_PID,$D605,nrES_Code,$F605,nrES_Att,1)=0,$L605,IF($L605&gt;=$J605,cfgRetakeRecordedCap,SUMIFS(nrES_Raw,nrES_PID,$D605,nrES_Code,$F605,nrES_Att,1))))))</f>
        <v/>
      </c>
      <c r="N605" s="15">
        <f>IF($C605="","",IF($L605="","",IF($L605&gt;=$J605,"Yes","No")))</f>
        <v/>
      </c>
      <c r="O605" s="15">
        <f>IF($C605="","",IF($M605="","",IF($M605&gt;=$J605,"Yes","No")))</f>
        <v/>
      </c>
      <c r="P605" s="15">
        <f>IF($C605="","",IF($K605="","",IF(COUNTIFS(nrES_PID,$D605,nrES_Code,$F605,nrES_Att,"&gt;"&amp;$K605)=0,"Yes","No")))</f>
        <v/>
      </c>
      <c r="Q605" s="15">
        <f>IF($C605="","",IF($L605="","",IF(AND($K605=1,$L605&lt;$J605,COUNTIFS(nrES_PID,$D605,nrES_Code,$F605,nrES_Att,2)=0),"Yes","No")))</f>
        <v/>
      </c>
      <c r="R605" s="15">
        <f>IF($C605="","",IF($L605="","",IF(AND($K605=2,$L605&lt;$J605,COUNTIFS(nrES_PID,$D605,nrES_Code,$F605,nrES_Att,1)&gt;0),"Yes","No")))</f>
        <v/>
      </c>
      <c r="S605" s="16" t="n"/>
      <c r="T605" s="17">
        <f>IF($Q605&lt;&gt;"Yes","",IF($S605="","(enter date)",_xlfn.LET(_xlpm.dn,IFERROR(_xlfn.XLOOKUP($S605,nrCDdate,nrCDnum),""),IF(_xlpm.dn="","(not a class day)",IFERROR(_xlfn.XLOOKUP(_xlpm.dn+cfgRetestClassDays,nrCDnum,nrCDdate),"")))))</f>
        <v/>
      </c>
      <c r="U605" s="15">
        <f>IF($Q605&lt;&gt;"Yes","",IF(COUNTIFS(nrES_PID,$D605,nrES_Code,$F605,nrES_Att,2)&gt;0,"Retested",IF(OR($T605="",NOT(ISNUMBER($T605))),"Pending",IF(TODAY()&gt;$T605,"OVERDUE","Due "&amp;TEXT($T605,"mm/dd")))))</f>
        <v/>
      </c>
      <c r="V605" s="14" t="n"/>
      <c r="W605" s="14" t="n"/>
    </row>
    <row r="606">
      <c r="B606" s="15">
        <f>IF($C606="","",$D606&amp;"-"&amp;$F606&amp;"-"&amp;$K606)</f>
        <v/>
      </c>
      <c r="C606" s="14" t="n"/>
      <c r="D606" s="15">
        <f>IF($C606="","",IFERROR(INDEX(rngCadetPIDs,MATCH($C606,rngCadetNames,0)),"?"))</f>
        <v/>
      </c>
      <c r="E606" s="15">
        <f>IF($D606="","",IFERROR(INDEX(nrCadetAgency,MATCH($D606,rngCadetPIDs,0)),""))</f>
        <v/>
      </c>
      <c r="F606" s="14" t="n"/>
      <c r="G606" s="15">
        <f>IF($F606="","",IFERROR(INDEX(rngEPname,MATCH($F606,rngEPcode,0)),"?"))</f>
        <v/>
      </c>
      <c r="H606" s="15">
        <f>IF($F606="","",IFERROR(INDEX(rngEPtype,MATCH($F606,rngEPcode,0)),"?"))</f>
        <v/>
      </c>
      <c r="I606" s="15">
        <f>IF($F606="","",IFERROR(INDEX(rngEPseq,MATCH($F606,rngEPcode,0)),""))</f>
        <v/>
      </c>
      <c r="J606" s="15">
        <f>IF($F606="","",IFERROR(INDEX(rngEPpass,MATCH($F606,rngEPcode,0)),cfgPassingScore))</f>
        <v/>
      </c>
      <c r="K606" s="14" t="n"/>
      <c r="L606" s="14" t="n"/>
      <c r="M606" s="15">
        <f>IF($C606="","",IF($L606="","",IF($K606=1,IF(COUNTIFS(nrES_PID,$D606,nrES_Code,$F606,nrES_Att,2)&gt;0,"",$L606),IF(COUNTIFS(nrES_PID,$D606,nrES_Code,$F606,nrES_Att,1)=0,$L606,IF($L606&gt;=$J606,cfgRetakeRecordedCap,SUMIFS(nrES_Raw,nrES_PID,$D606,nrES_Code,$F606,nrES_Att,1))))))</f>
        <v/>
      </c>
      <c r="N606" s="15">
        <f>IF($C606="","",IF($L606="","",IF($L606&gt;=$J606,"Yes","No")))</f>
        <v/>
      </c>
      <c r="O606" s="15">
        <f>IF($C606="","",IF($M606="","",IF($M606&gt;=$J606,"Yes","No")))</f>
        <v/>
      </c>
      <c r="P606" s="15">
        <f>IF($C606="","",IF($K606="","",IF(COUNTIFS(nrES_PID,$D606,nrES_Code,$F606,nrES_Att,"&gt;"&amp;$K606)=0,"Yes","No")))</f>
        <v/>
      </c>
      <c r="Q606" s="15">
        <f>IF($C606="","",IF($L606="","",IF(AND($K606=1,$L606&lt;$J606,COUNTIFS(nrES_PID,$D606,nrES_Code,$F606,nrES_Att,2)=0),"Yes","No")))</f>
        <v/>
      </c>
      <c r="R606" s="15">
        <f>IF($C606="","",IF($L606="","",IF(AND($K606=2,$L606&lt;$J606,COUNTIFS(nrES_PID,$D606,nrES_Code,$F606,nrES_Att,1)&gt;0),"Yes","No")))</f>
        <v/>
      </c>
      <c r="S606" s="16" t="n"/>
      <c r="T606" s="17">
        <f>IF($Q606&lt;&gt;"Yes","",IF($S606="","(enter date)",_xlfn.LET(_xlpm.dn,IFERROR(_xlfn.XLOOKUP($S606,nrCDdate,nrCDnum),""),IF(_xlpm.dn="","(not a class day)",IFERROR(_xlfn.XLOOKUP(_xlpm.dn+cfgRetestClassDays,nrCDnum,nrCDdate),"")))))</f>
        <v/>
      </c>
      <c r="U606" s="15">
        <f>IF($Q606&lt;&gt;"Yes","",IF(COUNTIFS(nrES_PID,$D606,nrES_Code,$F606,nrES_Att,2)&gt;0,"Retested",IF(OR($T606="",NOT(ISNUMBER($T606))),"Pending",IF(TODAY()&gt;$T606,"OVERDUE","Due "&amp;TEXT($T606,"mm/dd")))))</f>
        <v/>
      </c>
      <c r="V606" s="14" t="n"/>
      <c r="W606" s="14" t="n"/>
    </row>
    <row r="607">
      <c r="B607" s="15">
        <f>IF($C607="","",$D607&amp;"-"&amp;$F607&amp;"-"&amp;$K607)</f>
        <v/>
      </c>
      <c r="C607" s="14" t="n"/>
      <c r="D607" s="15">
        <f>IF($C607="","",IFERROR(INDEX(rngCadetPIDs,MATCH($C607,rngCadetNames,0)),"?"))</f>
        <v/>
      </c>
      <c r="E607" s="15">
        <f>IF($D607="","",IFERROR(INDEX(nrCadetAgency,MATCH($D607,rngCadetPIDs,0)),""))</f>
        <v/>
      </c>
      <c r="F607" s="14" t="n"/>
      <c r="G607" s="15">
        <f>IF($F607="","",IFERROR(INDEX(rngEPname,MATCH($F607,rngEPcode,0)),"?"))</f>
        <v/>
      </c>
      <c r="H607" s="15">
        <f>IF($F607="","",IFERROR(INDEX(rngEPtype,MATCH($F607,rngEPcode,0)),"?"))</f>
        <v/>
      </c>
      <c r="I607" s="15">
        <f>IF($F607="","",IFERROR(INDEX(rngEPseq,MATCH($F607,rngEPcode,0)),""))</f>
        <v/>
      </c>
      <c r="J607" s="15">
        <f>IF($F607="","",IFERROR(INDEX(rngEPpass,MATCH($F607,rngEPcode,0)),cfgPassingScore))</f>
        <v/>
      </c>
      <c r="K607" s="14" t="n"/>
      <c r="L607" s="14" t="n"/>
      <c r="M607" s="15">
        <f>IF($C607="","",IF($L607="","",IF($K607=1,IF(COUNTIFS(nrES_PID,$D607,nrES_Code,$F607,nrES_Att,2)&gt;0,"",$L607),IF(COUNTIFS(nrES_PID,$D607,nrES_Code,$F607,nrES_Att,1)=0,$L607,IF($L607&gt;=$J607,cfgRetakeRecordedCap,SUMIFS(nrES_Raw,nrES_PID,$D607,nrES_Code,$F607,nrES_Att,1))))))</f>
        <v/>
      </c>
      <c r="N607" s="15">
        <f>IF($C607="","",IF($L607="","",IF($L607&gt;=$J607,"Yes","No")))</f>
        <v/>
      </c>
      <c r="O607" s="15">
        <f>IF($C607="","",IF($M607="","",IF($M607&gt;=$J607,"Yes","No")))</f>
        <v/>
      </c>
      <c r="P607" s="15">
        <f>IF($C607="","",IF($K607="","",IF(COUNTIFS(nrES_PID,$D607,nrES_Code,$F607,nrES_Att,"&gt;"&amp;$K607)=0,"Yes","No")))</f>
        <v/>
      </c>
      <c r="Q607" s="15">
        <f>IF($C607="","",IF($L607="","",IF(AND($K607=1,$L607&lt;$J607,COUNTIFS(nrES_PID,$D607,nrES_Code,$F607,nrES_Att,2)=0),"Yes","No")))</f>
        <v/>
      </c>
      <c r="R607" s="15">
        <f>IF($C607="","",IF($L607="","",IF(AND($K607=2,$L607&lt;$J607,COUNTIFS(nrES_PID,$D607,nrES_Code,$F607,nrES_Att,1)&gt;0),"Yes","No")))</f>
        <v/>
      </c>
      <c r="S607" s="16" t="n"/>
      <c r="T607" s="17">
        <f>IF($Q607&lt;&gt;"Yes","",IF($S607="","(enter date)",_xlfn.LET(_xlpm.dn,IFERROR(_xlfn.XLOOKUP($S607,nrCDdate,nrCDnum),""),IF(_xlpm.dn="","(not a class day)",IFERROR(_xlfn.XLOOKUP(_xlpm.dn+cfgRetestClassDays,nrCDnum,nrCDdate),"")))))</f>
        <v/>
      </c>
      <c r="U607" s="15">
        <f>IF($Q607&lt;&gt;"Yes","",IF(COUNTIFS(nrES_PID,$D607,nrES_Code,$F607,nrES_Att,2)&gt;0,"Retested",IF(OR($T607="",NOT(ISNUMBER($T607))),"Pending",IF(TODAY()&gt;$T607,"OVERDUE","Due "&amp;TEXT($T607,"mm/dd")))))</f>
        <v/>
      </c>
      <c r="V607" s="14" t="n"/>
      <c r="W607" s="14" t="n"/>
    </row>
    <row r="608">
      <c r="B608" s="15">
        <f>IF($C608="","",$D608&amp;"-"&amp;$F608&amp;"-"&amp;$K608)</f>
        <v/>
      </c>
      <c r="C608" s="14" t="n"/>
      <c r="D608" s="15">
        <f>IF($C608="","",IFERROR(INDEX(rngCadetPIDs,MATCH($C608,rngCadetNames,0)),"?"))</f>
        <v/>
      </c>
      <c r="E608" s="15">
        <f>IF($D608="","",IFERROR(INDEX(nrCadetAgency,MATCH($D608,rngCadetPIDs,0)),""))</f>
        <v/>
      </c>
      <c r="F608" s="14" t="n"/>
      <c r="G608" s="15">
        <f>IF($F608="","",IFERROR(INDEX(rngEPname,MATCH($F608,rngEPcode,0)),"?"))</f>
        <v/>
      </c>
      <c r="H608" s="15">
        <f>IF($F608="","",IFERROR(INDEX(rngEPtype,MATCH($F608,rngEPcode,0)),"?"))</f>
        <v/>
      </c>
      <c r="I608" s="15">
        <f>IF($F608="","",IFERROR(INDEX(rngEPseq,MATCH($F608,rngEPcode,0)),""))</f>
        <v/>
      </c>
      <c r="J608" s="15">
        <f>IF($F608="","",IFERROR(INDEX(rngEPpass,MATCH($F608,rngEPcode,0)),cfgPassingScore))</f>
        <v/>
      </c>
      <c r="K608" s="14" t="n"/>
      <c r="L608" s="14" t="n"/>
      <c r="M608" s="15">
        <f>IF($C608="","",IF($L608="","",IF($K608=1,IF(COUNTIFS(nrES_PID,$D608,nrES_Code,$F608,nrES_Att,2)&gt;0,"",$L608),IF(COUNTIFS(nrES_PID,$D608,nrES_Code,$F608,nrES_Att,1)=0,$L608,IF($L608&gt;=$J608,cfgRetakeRecordedCap,SUMIFS(nrES_Raw,nrES_PID,$D608,nrES_Code,$F608,nrES_Att,1))))))</f>
        <v/>
      </c>
      <c r="N608" s="15">
        <f>IF($C608="","",IF($L608="","",IF($L608&gt;=$J608,"Yes","No")))</f>
        <v/>
      </c>
      <c r="O608" s="15">
        <f>IF($C608="","",IF($M608="","",IF($M608&gt;=$J608,"Yes","No")))</f>
        <v/>
      </c>
      <c r="P608" s="15">
        <f>IF($C608="","",IF($K608="","",IF(COUNTIFS(nrES_PID,$D608,nrES_Code,$F608,nrES_Att,"&gt;"&amp;$K608)=0,"Yes","No")))</f>
        <v/>
      </c>
      <c r="Q608" s="15">
        <f>IF($C608="","",IF($L608="","",IF(AND($K608=1,$L608&lt;$J608,COUNTIFS(nrES_PID,$D608,nrES_Code,$F608,nrES_Att,2)=0),"Yes","No")))</f>
        <v/>
      </c>
      <c r="R608" s="15">
        <f>IF($C608="","",IF($L608="","",IF(AND($K608=2,$L608&lt;$J608,COUNTIFS(nrES_PID,$D608,nrES_Code,$F608,nrES_Att,1)&gt;0),"Yes","No")))</f>
        <v/>
      </c>
      <c r="S608" s="16" t="n"/>
      <c r="T608" s="17">
        <f>IF($Q608&lt;&gt;"Yes","",IF($S608="","(enter date)",_xlfn.LET(_xlpm.dn,IFERROR(_xlfn.XLOOKUP($S608,nrCDdate,nrCDnum),""),IF(_xlpm.dn="","(not a class day)",IFERROR(_xlfn.XLOOKUP(_xlpm.dn+cfgRetestClassDays,nrCDnum,nrCDdate),"")))))</f>
        <v/>
      </c>
      <c r="U608" s="15">
        <f>IF($Q608&lt;&gt;"Yes","",IF(COUNTIFS(nrES_PID,$D608,nrES_Code,$F608,nrES_Att,2)&gt;0,"Retested",IF(OR($T608="",NOT(ISNUMBER($T608))),"Pending",IF(TODAY()&gt;$T608,"OVERDUE","Due "&amp;TEXT($T608,"mm/dd")))))</f>
        <v/>
      </c>
      <c r="V608" s="14" t="n"/>
      <c r="W608" s="14" t="n"/>
    </row>
    <row r="609">
      <c r="B609" s="15">
        <f>IF($C609="","",$D609&amp;"-"&amp;$F609&amp;"-"&amp;$K609)</f>
        <v/>
      </c>
      <c r="C609" s="14" t="n"/>
      <c r="D609" s="15">
        <f>IF($C609="","",IFERROR(INDEX(rngCadetPIDs,MATCH($C609,rngCadetNames,0)),"?"))</f>
        <v/>
      </c>
      <c r="E609" s="15">
        <f>IF($D609="","",IFERROR(INDEX(nrCadetAgency,MATCH($D609,rngCadetPIDs,0)),""))</f>
        <v/>
      </c>
      <c r="F609" s="14" t="n"/>
      <c r="G609" s="15">
        <f>IF($F609="","",IFERROR(INDEX(rngEPname,MATCH($F609,rngEPcode,0)),"?"))</f>
        <v/>
      </c>
      <c r="H609" s="15">
        <f>IF($F609="","",IFERROR(INDEX(rngEPtype,MATCH($F609,rngEPcode,0)),"?"))</f>
        <v/>
      </c>
      <c r="I609" s="15">
        <f>IF($F609="","",IFERROR(INDEX(rngEPseq,MATCH($F609,rngEPcode,0)),""))</f>
        <v/>
      </c>
      <c r="J609" s="15">
        <f>IF($F609="","",IFERROR(INDEX(rngEPpass,MATCH($F609,rngEPcode,0)),cfgPassingScore))</f>
        <v/>
      </c>
      <c r="K609" s="14" t="n"/>
      <c r="L609" s="14" t="n"/>
      <c r="M609" s="15">
        <f>IF($C609="","",IF($L609="","",IF($K609=1,IF(COUNTIFS(nrES_PID,$D609,nrES_Code,$F609,nrES_Att,2)&gt;0,"",$L609),IF(COUNTIFS(nrES_PID,$D609,nrES_Code,$F609,nrES_Att,1)=0,$L609,IF($L609&gt;=$J609,cfgRetakeRecordedCap,SUMIFS(nrES_Raw,nrES_PID,$D609,nrES_Code,$F609,nrES_Att,1))))))</f>
        <v/>
      </c>
      <c r="N609" s="15">
        <f>IF($C609="","",IF($L609="","",IF($L609&gt;=$J609,"Yes","No")))</f>
        <v/>
      </c>
      <c r="O609" s="15">
        <f>IF($C609="","",IF($M609="","",IF($M609&gt;=$J609,"Yes","No")))</f>
        <v/>
      </c>
      <c r="P609" s="15">
        <f>IF($C609="","",IF($K609="","",IF(COUNTIFS(nrES_PID,$D609,nrES_Code,$F609,nrES_Att,"&gt;"&amp;$K609)=0,"Yes","No")))</f>
        <v/>
      </c>
      <c r="Q609" s="15">
        <f>IF($C609="","",IF($L609="","",IF(AND($K609=1,$L609&lt;$J609,COUNTIFS(nrES_PID,$D609,nrES_Code,$F609,nrES_Att,2)=0),"Yes","No")))</f>
        <v/>
      </c>
      <c r="R609" s="15">
        <f>IF($C609="","",IF($L609="","",IF(AND($K609=2,$L609&lt;$J609,COUNTIFS(nrES_PID,$D609,nrES_Code,$F609,nrES_Att,1)&gt;0),"Yes","No")))</f>
        <v/>
      </c>
      <c r="S609" s="16" t="n"/>
      <c r="T609" s="17">
        <f>IF($Q609&lt;&gt;"Yes","",IF($S609="","(enter date)",_xlfn.LET(_xlpm.dn,IFERROR(_xlfn.XLOOKUP($S609,nrCDdate,nrCDnum),""),IF(_xlpm.dn="","(not a class day)",IFERROR(_xlfn.XLOOKUP(_xlpm.dn+cfgRetestClassDays,nrCDnum,nrCDdate),"")))))</f>
        <v/>
      </c>
      <c r="U609" s="15">
        <f>IF($Q609&lt;&gt;"Yes","",IF(COUNTIFS(nrES_PID,$D609,nrES_Code,$F609,nrES_Att,2)&gt;0,"Retested",IF(OR($T609="",NOT(ISNUMBER($T609))),"Pending",IF(TODAY()&gt;$T609,"OVERDUE","Due "&amp;TEXT($T609,"mm/dd")))))</f>
        <v/>
      </c>
      <c r="V609" s="14" t="n"/>
      <c r="W609" s="14" t="n"/>
    </row>
    <row r="610">
      <c r="B610" s="15">
        <f>IF($C610="","",$D610&amp;"-"&amp;$F610&amp;"-"&amp;$K610)</f>
        <v/>
      </c>
      <c r="C610" s="14" t="n"/>
      <c r="D610" s="15">
        <f>IF($C610="","",IFERROR(INDEX(rngCadetPIDs,MATCH($C610,rngCadetNames,0)),"?"))</f>
        <v/>
      </c>
      <c r="E610" s="15">
        <f>IF($D610="","",IFERROR(INDEX(nrCadetAgency,MATCH($D610,rngCadetPIDs,0)),""))</f>
        <v/>
      </c>
      <c r="F610" s="14" t="n"/>
      <c r="G610" s="15">
        <f>IF($F610="","",IFERROR(INDEX(rngEPname,MATCH($F610,rngEPcode,0)),"?"))</f>
        <v/>
      </c>
      <c r="H610" s="15">
        <f>IF($F610="","",IFERROR(INDEX(rngEPtype,MATCH($F610,rngEPcode,0)),"?"))</f>
        <v/>
      </c>
      <c r="I610" s="15">
        <f>IF($F610="","",IFERROR(INDEX(rngEPseq,MATCH($F610,rngEPcode,0)),""))</f>
        <v/>
      </c>
      <c r="J610" s="15">
        <f>IF($F610="","",IFERROR(INDEX(rngEPpass,MATCH($F610,rngEPcode,0)),cfgPassingScore))</f>
        <v/>
      </c>
      <c r="K610" s="14" t="n"/>
      <c r="L610" s="14" t="n"/>
      <c r="M610" s="15">
        <f>IF($C610="","",IF($L610="","",IF($K610=1,IF(COUNTIFS(nrES_PID,$D610,nrES_Code,$F610,nrES_Att,2)&gt;0,"",$L610),IF(COUNTIFS(nrES_PID,$D610,nrES_Code,$F610,nrES_Att,1)=0,$L610,IF($L610&gt;=$J610,cfgRetakeRecordedCap,SUMIFS(nrES_Raw,nrES_PID,$D610,nrES_Code,$F610,nrES_Att,1))))))</f>
        <v/>
      </c>
      <c r="N610" s="15">
        <f>IF($C610="","",IF($L610="","",IF($L610&gt;=$J610,"Yes","No")))</f>
        <v/>
      </c>
      <c r="O610" s="15">
        <f>IF($C610="","",IF($M610="","",IF($M610&gt;=$J610,"Yes","No")))</f>
        <v/>
      </c>
      <c r="P610" s="15">
        <f>IF($C610="","",IF($K610="","",IF(COUNTIFS(nrES_PID,$D610,nrES_Code,$F610,nrES_Att,"&gt;"&amp;$K610)=0,"Yes","No")))</f>
        <v/>
      </c>
      <c r="Q610" s="15">
        <f>IF($C610="","",IF($L610="","",IF(AND($K610=1,$L610&lt;$J610,COUNTIFS(nrES_PID,$D610,nrES_Code,$F610,nrES_Att,2)=0),"Yes","No")))</f>
        <v/>
      </c>
      <c r="R610" s="15">
        <f>IF($C610="","",IF($L610="","",IF(AND($K610=2,$L610&lt;$J610,COUNTIFS(nrES_PID,$D610,nrES_Code,$F610,nrES_Att,1)&gt;0),"Yes","No")))</f>
        <v/>
      </c>
      <c r="S610" s="16" t="n"/>
      <c r="T610" s="17">
        <f>IF($Q610&lt;&gt;"Yes","",IF($S610="","(enter date)",_xlfn.LET(_xlpm.dn,IFERROR(_xlfn.XLOOKUP($S610,nrCDdate,nrCDnum),""),IF(_xlpm.dn="","(not a class day)",IFERROR(_xlfn.XLOOKUP(_xlpm.dn+cfgRetestClassDays,nrCDnum,nrCDdate),"")))))</f>
        <v/>
      </c>
      <c r="U610" s="15">
        <f>IF($Q610&lt;&gt;"Yes","",IF(COUNTIFS(nrES_PID,$D610,nrES_Code,$F610,nrES_Att,2)&gt;0,"Retested",IF(OR($T610="",NOT(ISNUMBER($T610))),"Pending",IF(TODAY()&gt;$T610,"OVERDUE","Due "&amp;TEXT($T610,"mm/dd")))))</f>
        <v/>
      </c>
      <c r="V610" s="14" t="n"/>
      <c r="W610" s="14" t="n"/>
    </row>
    <row r="611">
      <c r="B611" s="15">
        <f>IF($C611="","",$D611&amp;"-"&amp;$F611&amp;"-"&amp;$K611)</f>
        <v/>
      </c>
      <c r="C611" s="14" t="n"/>
      <c r="D611" s="15">
        <f>IF($C611="","",IFERROR(INDEX(rngCadetPIDs,MATCH($C611,rngCadetNames,0)),"?"))</f>
        <v/>
      </c>
      <c r="E611" s="15">
        <f>IF($D611="","",IFERROR(INDEX(nrCadetAgency,MATCH($D611,rngCadetPIDs,0)),""))</f>
        <v/>
      </c>
      <c r="F611" s="14" t="n"/>
      <c r="G611" s="15">
        <f>IF($F611="","",IFERROR(INDEX(rngEPname,MATCH($F611,rngEPcode,0)),"?"))</f>
        <v/>
      </c>
      <c r="H611" s="15">
        <f>IF($F611="","",IFERROR(INDEX(rngEPtype,MATCH($F611,rngEPcode,0)),"?"))</f>
        <v/>
      </c>
      <c r="I611" s="15">
        <f>IF($F611="","",IFERROR(INDEX(rngEPseq,MATCH($F611,rngEPcode,0)),""))</f>
        <v/>
      </c>
      <c r="J611" s="15">
        <f>IF($F611="","",IFERROR(INDEX(rngEPpass,MATCH($F611,rngEPcode,0)),cfgPassingScore))</f>
        <v/>
      </c>
      <c r="K611" s="14" t="n"/>
      <c r="L611" s="14" t="n"/>
      <c r="M611" s="15">
        <f>IF($C611="","",IF($L611="","",IF($K611=1,IF(COUNTIFS(nrES_PID,$D611,nrES_Code,$F611,nrES_Att,2)&gt;0,"",$L611),IF(COUNTIFS(nrES_PID,$D611,nrES_Code,$F611,nrES_Att,1)=0,$L611,IF($L611&gt;=$J611,cfgRetakeRecordedCap,SUMIFS(nrES_Raw,nrES_PID,$D611,nrES_Code,$F611,nrES_Att,1))))))</f>
        <v/>
      </c>
      <c r="N611" s="15">
        <f>IF($C611="","",IF($L611="","",IF($L611&gt;=$J611,"Yes","No")))</f>
        <v/>
      </c>
      <c r="O611" s="15">
        <f>IF($C611="","",IF($M611="","",IF($M611&gt;=$J611,"Yes","No")))</f>
        <v/>
      </c>
      <c r="P611" s="15">
        <f>IF($C611="","",IF($K611="","",IF(COUNTIFS(nrES_PID,$D611,nrES_Code,$F611,nrES_Att,"&gt;"&amp;$K611)=0,"Yes","No")))</f>
        <v/>
      </c>
      <c r="Q611" s="15">
        <f>IF($C611="","",IF($L611="","",IF(AND($K611=1,$L611&lt;$J611,COUNTIFS(nrES_PID,$D611,nrES_Code,$F611,nrES_Att,2)=0),"Yes","No")))</f>
        <v/>
      </c>
      <c r="R611" s="15">
        <f>IF($C611="","",IF($L611="","",IF(AND($K611=2,$L611&lt;$J611,COUNTIFS(nrES_PID,$D611,nrES_Code,$F611,nrES_Att,1)&gt;0),"Yes","No")))</f>
        <v/>
      </c>
      <c r="S611" s="16" t="n"/>
      <c r="T611" s="17">
        <f>IF($Q611&lt;&gt;"Yes","",IF($S611="","(enter date)",_xlfn.LET(_xlpm.dn,IFERROR(_xlfn.XLOOKUP($S611,nrCDdate,nrCDnum),""),IF(_xlpm.dn="","(not a class day)",IFERROR(_xlfn.XLOOKUP(_xlpm.dn+cfgRetestClassDays,nrCDnum,nrCDdate),"")))))</f>
        <v/>
      </c>
      <c r="U611" s="15">
        <f>IF($Q611&lt;&gt;"Yes","",IF(COUNTIFS(nrES_PID,$D611,nrES_Code,$F611,nrES_Att,2)&gt;0,"Retested",IF(OR($T611="",NOT(ISNUMBER($T611))),"Pending",IF(TODAY()&gt;$T611,"OVERDUE","Due "&amp;TEXT($T611,"mm/dd")))))</f>
        <v/>
      </c>
      <c r="V611" s="14" t="n"/>
      <c r="W611" s="14" t="n"/>
    </row>
    <row r="612">
      <c r="B612" s="15">
        <f>IF($C612="","",$D612&amp;"-"&amp;$F612&amp;"-"&amp;$K612)</f>
        <v/>
      </c>
      <c r="C612" s="14" t="n"/>
      <c r="D612" s="15">
        <f>IF($C612="","",IFERROR(INDEX(rngCadetPIDs,MATCH($C612,rngCadetNames,0)),"?"))</f>
        <v/>
      </c>
      <c r="E612" s="15">
        <f>IF($D612="","",IFERROR(INDEX(nrCadetAgency,MATCH($D612,rngCadetPIDs,0)),""))</f>
        <v/>
      </c>
      <c r="F612" s="14" t="n"/>
      <c r="G612" s="15">
        <f>IF($F612="","",IFERROR(INDEX(rngEPname,MATCH($F612,rngEPcode,0)),"?"))</f>
        <v/>
      </c>
      <c r="H612" s="15">
        <f>IF($F612="","",IFERROR(INDEX(rngEPtype,MATCH($F612,rngEPcode,0)),"?"))</f>
        <v/>
      </c>
      <c r="I612" s="15">
        <f>IF($F612="","",IFERROR(INDEX(rngEPseq,MATCH($F612,rngEPcode,0)),""))</f>
        <v/>
      </c>
      <c r="J612" s="15">
        <f>IF($F612="","",IFERROR(INDEX(rngEPpass,MATCH($F612,rngEPcode,0)),cfgPassingScore))</f>
        <v/>
      </c>
      <c r="K612" s="14" t="n"/>
      <c r="L612" s="14" t="n"/>
      <c r="M612" s="15">
        <f>IF($C612="","",IF($L612="","",IF($K612=1,IF(COUNTIFS(nrES_PID,$D612,nrES_Code,$F612,nrES_Att,2)&gt;0,"",$L612),IF(COUNTIFS(nrES_PID,$D612,nrES_Code,$F612,nrES_Att,1)=0,$L612,IF($L612&gt;=$J612,cfgRetakeRecordedCap,SUMIFS(nrES_Raw,nrES_PID,$D612,nrES_Code,$F612,nrES_Att,1))))))</f>
        <v/>
      </c>
      <c r="N612" s="15">
        <f>IF($C612="","",IF($L612="","",IF($L612&gt;=$J612,"Yes","No")))</f>
        <v/>
      </c>
      <c r="O612" s="15">
        <f>IF($C612="","",IF($M612="","",IF($M612&gt;=$J612,"Yes","No")))</f>
        <v/>
      </c>
      <c r="P612" s="15">
        <f>IF($C612="","",IF($K612="","",IF(COUNTIFS(nrES_PID,$D612,nrES_Code,$F612,nrES_Att,"&gt;"&amp;$K612)=0,"Yes","No")))</f>
        <v/>
      </c>
      <c r="Q612" s="15">
        <f>IF($C612="","",IF($L612="","",IF(AND($K612=1,$L612&lt;$J612,COUNTIFS(nrES_PID,$D612,nrES_Code,$F612,nrES_Att,2)=0),"Yes","No")))</f>
        <v/>
      </c>
      <c r="R612" s="15">
        <f>IF($C612="","",IF($L612="","",IF(AND($K612=2,$L612&lt;$J612,COUNTIFS(nrES_PID,$D612,nrES_Code,$F612,nrES_Att,1)&gt;0),"Yes","No")))</f>
        <v/>
      </c>
      <c r="S612" s="16" t="n"/>
      <c r="T612" s="17">
        <f>IF($Q612&lt;&gt;"Yes","",IF($S612="","(enter date)",_xlfn.LET(_xlpm.dn,IFERROR(_xlfn.XLOOKUP($S612,nrCDdate,nrCDnum),""),IF(_xlpm.dn="","(not a class day)",IFERROR(_xlfn.XLOOKUP(_xlpm.dn+cfgRetestClassDays,nrCDnum,nrCDdate),"")))))</f>
        <v/>
      </c>
      <c r="U612" s="15">
        <f>IF($Q612&lt;&gt;"Yes","",IF(COUNTIFS(nrES_PID,$D612,nrES_Code,$F612,nrES_Att,2)&gt;0,"Retested",IF(OR($T612="",NOT(ISNUMBER($T612))),"Pending",IF(TODAY()&gt;$T612,"OVERDUE","Due "&amp;TEXT($T612,"mm/dd")))))</f>
        <v/>
      </c>
      <c r="V612" s="14" t="n"/>
      <c r="W612" s="14" t="n"/>
    </row>
    <row r="613">
      <c r="B613" s="15">
        <f>IF($C613="","",$D613&amp;"-"&amp;$F613&amp;"-"&amp;$K613)</f>
        <v/>
      </c>
      <c r="C613" s="14" t="n"/>
      <c r="D613" s="15">
        <f>IF($C613="","",IFERROR(INDEX(rngCadetPIDs,MATCH($C613,rngCadetNames,0)),"?"))</f>
        <v/>
      </c>
      <c r="E613" s="15">
        <f>IF($D613="","",IFERROR(INDEX(nrCadetAgency,MATCH($D613,rngCadetPIDs,0)),""))</f>
        <v/>
      </c>
      <c r="F613" s="14" t="n"/>
      <c r="G613" s="15">
        <f>IF($F613="","",IFERROR(INDEX(rngEPname,MATCH($F613,rngEPcode,0)),"?"))</f>
        <v/>
      </c>
      <c r="H613" s="15">
        <f>IF($F613="","",IFERROR(INDEX(rngEPtype,MATCH($F613,rngEPcode,0)),"?"))</f>
        <v/>
      </c>
      <c r="I613" s="15">
        <f>IF($F613="","",IFERROR(INDEX(rngEPseq,MATCH($F613,rngEPcode,0)),""))</f>
        <v/>
      </c>
      <c r="J613" s="15">
        <f>IF($F613="","",IFERROR(INDEX(rngEPpass,MATCH($F613,rngEPcode,0)),cfgPassingScore))</f>
        <v/>
      </c>
      <c r="K613" s="14" t="n"/>
      <c r="L613" s="14" t="n"/>
      <c r="M613" s="15">
        <f>IF($C613="","",IF($L613="","",IF($K613=1,IF(COUNTIFS(nrES_PID,$D613,nrES_Code,$F613,nrES_Att,2)&gt;0,"",$L613),IF(COUNTIFS(nrES_PID,$D613,nrES_Code,$F613,nrES_Att,1)=0,$L613,IF($L613&gt;=$J613,cfgRetakeRecordedCap,SUMIFS(nrES_Raw,nrES_PID,$D613,nrES_Code,$F613,nrES_Att,1))))))</f>
        <v/>
      </c>
      <c r="N613" s="15">
        <f>IF($C613="","",IF($L613="","",IF($L613&gt;=$J613,"Yes","No")))</f>
        <v/>
      </c>
      <c r="O613" s="15">
        <f>IF($C613="","",IF($M613="","",IF($M613&gt;=$J613,"Yes","No")))</f>
        <v/>
      </c>
      <c r="P613" s="15">
        <f>IF($C613="","",IF($K613="","",IF(COUNTIFS(nrES_PID,$D613,nrES_Code,$F613,nrES_Att,"&gt;"&amp;$K613)=0,"Yes","No")))</f>
        <v/>
      </c>
      <c r="Q613" s="15">
        <f>IF($C613="","",IF($L613="","",IF(AND($K613=1,$L613&lt;$J613,COUNTIFS(nrES_PID,$D613,nrES_Code,$F613,nrES_Att,2)=0),"Yes","No")))</f>
        <v/>
      </c>
      <c r="R613" s="15">
        <f>IF($C613="","",IF($L613="","",IF(AND($K613=2,$L613&lt;$J613,COUNTIFS(nrES_PID,$D613,nrES_Code,$F613,nrES_Att,1)&gt;0),"Yes","No")))</f>
        <v/>
      </c>
      <c r="S613" s="16" t="n"/>
      <c r="T613" s="17">
        <f>IF($Q613&lt;&gt;"Yes","",IF($S613="","(enter date)",_xlfn.LET(_xlpm.dn,IFERROR(_xlfn.XLOOKUP($S613,nrCDdate,nrCDnum),""),IF(_xlpm.dn="","(not a class day)",IFERROR(_xlfn.XLOOKUP(_xlpm.dn+cfgRetestClassDays,nrCDnum,nrCDdate),"")))))</f>
        <v/>
      </c>
      <c r="U613" s="15">
        <f>IF($Q613&lt;&gt;"Yes","",IF(COUNTIFS(nrES_PID,$D613,nrES_Code,$F613,nrES_Att,2)&gt;0,"Retested",IF(OR($T613="",NOT(ISNUMBER($T613))),"Pending",IF(TODAY()&gt;$T613,"OVERDUE","Due "&amp;TEXT($T613,"mm/dd")))))</f>
        <v/>
      </c>
      <c r="V613" s="14" t="n"/>
      <c r="W613" s="14" t="n"/>
    </row>
    <row r="614">
      <c r="B614" s="15">
        <f>IF($C614="","",$D614&amp;"-"&amp;$F614&amp;"-"&amp;$K614)</f>
        <v/>
      </c>
      <c r="C614" s="14" t="n"/>
      <c r="D614" s="15">
        <f>IF($C614="","",IFERROR(INDEX(rngCadetPIDs,MATCH($C614,rngCadetNames,0)),"?"))</f>
        <v/>
      </c>
      <c r="E614" s="15">
        <f>IF($D614="","",IFERROR(INDEX(nrCadetAgency,MATCH($D614,rngCadetPIDs,0)),""))</f>
        <v/>
      </c>
      <c r="F614" s="14" t="n"/>
      <c r="G614" s="15">
        <f>IF($F614="","",IFERROR(INDEX(rngEPname,MATCH($F614,rngEPcode,0)),"?"))</f>
        <v/>
      </c>
      <c r="H614" s="15">
        <f>IF($F614="","",IFERROR(INDEX(rngEPtype,MATCH($F614,rngEPcode,0)),"?"))</f>
        <v/>
      </c>
      <c r="I614" s="15">
        <f>IF($F614="","",IFERROR(INDEX(rngEPseq,MATCH($F614,rngEPcode,0)),""))</f>
        <v/>
      </c>
      <c r="J614" s="15">
        <f>IF($F614="","",IFERROR(INDEX(rngEPpass,MATCH($F614,rngEPcode,0)),cfgPassingScore))</f>
        <v/>
      </c>
      <c r="K614" s="14" t="n"/>
      <c r="L614" s="14" t="n"/>
      <c r="M614" s="15">
        <f>IF($C614="","",IF($L614="","",IF($K614=1,IF(COUNTIFS(nrES_PID,$D614,nrES_Code,$F614,nrES_Att,2)&gt;0,"",$L614),IF(COUNTIFS(nrES_PID,$D614,nrES_Code,$F614,nrES_Att,1)=0,$L614,IF($L614&gt;=$J614,cfgRetakeRecordedCap,SUMIFS(nrES_Raw,nrES_PID,$D614,nrES_Code,$F614,nrES_Att,1))))))</f>
        <v/>
      </c>
      <c r="N614" s="15">
        <f>IF($C614="","",IF($L614="","",IF($L614&gt;=$J614,"Yes","No")))</f>
        <v/>
      </c>
      <c r="O614" s="15">
        <f>IF($C614="","",IF($M614="","",IF($M614&gt;=$J614,"Yes","No")))</f>
        <v/>
      </c>
      <c r="P614" s="15">
        <f>IF($C614="","",IF($K614="","",IF(COUNTIFS(nrES_PID,$D614,nrES_Code,$F614,nrES_Att,"&gt;"&amp;$K614)=0,"Yes","No")))</f>
        <v/>
      </c>
      <c r="Q614" s="15">
        <f>IF($C614="","",IF($L614="","",IF(AND($K614=1,$L614&lt;$J614,COUNTIFS(nrES_PID,$D614,nrES_Code,$F614,nrES_Att,2)=0),"Yes","No")))</f>
        <v/>
      </c>
      <c r="R614" s="15">
        <f>IF($C614="","",IF($L614="","",IF(AND($K614=2,$L614&lt;$J614,COUNTIFS(nrES_PID,$D614,nrES_Code,$F614,nrES_Att,1)&gt;0),"Yes","No")))</f>
        <v/>
      </c>
      <c r="S614" s="16" t="n"/>
      <c r="T614" s="17">
        <f>IF($Q614&lt;&gt;"Yes","",IF($S614="","(enter date)",_xlfn.LET(_xlpm.dn,IFERROR(_xlfn.XLOOKUP($S614,nrCDdate,nrCDnum),""),IF(_xlpm.dn="","(not a class day)",IFERROR(_xlfn.XLOOKUP(_xlpm.dn+cfgRetestClassDays,nrCDnum,nrCDdate),"")))))</f>
        <v/>
      </c>
      <c r="U614" s="15">
        <f>IF($Q614&lt;&gt;"Yes","",IF(COUNTIFS(nrES_PID,$D614,nrES_Code,$F614,nrES_Att,2)&gt;0,"Retested",IF(OR($T614="",NOT(ISNUMBER($T614))),"Pending",IF(TODAY()&gt;$T614,"OVERDUE","Due "&amp;TEXT($T614,"mm/dd")))))</f>
        <v/>
      </c>
      <c r="V614" s="14" t="n"/>
      <c r="W614" s="14" t="n"/>
    </row>
    <row r="615">
      <c r="B615" s="15">
        <f>IF($C615="","",$D615&amp;"-"&amp;$F615&amp;"-"&amp;$K615)</f>
        <v/>
      </c>
      <c r="C615" s="14" t="n"/>
      <c r="D615" s="15">
        <f>IF($C615="","",IFERROR(INDEX(rngCadetPIDs,MATCH($C615,rngCadetNames,0)),"?"))</f>
        <v/>
      </c>
      <c r="E615" s="15">
        <f>IF($D615="","",IFERROR(INDEX(nrCadetAgency,MATCH($D615,rngCadetPIDs,0)),""))</f>
        <v/>
      </c>
      <c r="F615" s="14" t="n"/>
      <c r="G615" s="15">
        <f>IF($F615="","",IFERROR(INDEX(rngEPname,MATCH($F615,rngEPcode,0)),"?"))</f>
        <v/>
      </c>
      <c r="H615" s="15">
        <f>IF($F615="","",IFERROR(INDEX(rngEPtype,MATCH($F615,rngEPcode,0)),"?"))</f>
        <v/>
      </c>
      <c r="I615" s="15">
        <f>IF($F615="","",IFERROR(INDEX(rngEPseq,MATCH($F615,rngEPcode,0)),""))</f>
        <v/>
      </c>
      <c r="J615" s="15">
        <f>IF($F615="","",IFERROR(INDEX(rngEPpass,MATCH($F615,rngEPcode,0)),cfgPassingScore))</f>
        <v/>
      </c>
      <c r="K615" s="14" t="n"/>
      <c r="L615" s="14" t="n"/>
      <c r="M615" s="15">
        <f>IF($C615="","",IF($L615="","",IF($K615=1,IF(COUNTIFS(nrES_PID,$D615,nrES_Code,$F615,nrES_Att,2)&gt;0,"",$L615),IF(COUNTIFS(nrES_PID,$D615,nrES_Code,$F615,nrES_Att,1)=0,$L615,IF($L615&gt;=$J615,cfgRetakeRecordedCap,SUMIFS(nrES_Raw,nrES_PID,$D615,nrES_Code,$F615,nrES_Att,1))))))</f>
        <v/>
      </c>
      <c r="N615" s="15">
        <f>IF($C615="","",IF($L615="","",IF($L615&gt;=$J615,"Yes","No")))</f>
        <v/>
      </c>
      <c r="O615" s="15">
        <f>IF($C615="","",IF($M615="","",IF($M615&gt;=$J615,"Yes","No")))</f>
        <v/>
      </c>
      <c r="P615" s="15">
        <f>IF($C615="","",IF($K615="","",IF(COUNTIFS(nrES_PID,$D615,nrES_Code,$F615,nrES_Att,"&gt;"&amp;$K615)=0,"Yes","No")))</f>
        <v/>
      </c>
      <c r="Q615" s="15">
        <f>IF($C615="","",IF($L615="","",IF(AND($K615=1,$L615&lt;$J615,COUNTIFS(nrES_PID,$D615,nrES_Code,$F615,nrES_Att,2)=0),"Yes","No")))</f>
        <v/>
      </c>
      <c r="R615" s="15">
        <f>IF($C615="","",IF($L615="","",IF(AND($K615=2,$L615&lt;$J615,COUNTIFS(nrES_PID,$D615,nrES_Code,$F615,nrES_Att,1)&gt;0),"Yes","No")))</f>
        <v/>
      </c>
      <c r="S615" s="16" t="n"/>
      <c r="T615" s="17">
        <f>IF($Q615&lt;&gt;"Yes","",IF($S615="","(enter date)",_xlfn.LET(_xlpm.dn,IFERROR(_xlfn.XLOOKUP($S615,nrCDdate,nrCDnum),""),IF(_xlpm.dn="","(not a class day)",IFERROR(_xlfn.XLOOKUP(_xlpm.dn+cfgRetestClassDays,nrCDnum,nrCDdate),"")))))</f>
        <v/>
      </c>
      <c r="U615" s="15">
        <f>IF($Q615&lt;&gt;"Yes","",IF(COUNTIFS(nrES_PID,$D615,nrES_Code,$F615,nrES_Att,2)&gt;0,"Retested",IF(OR($T615="",NOT(ISNUMBER($T615))),"Pending",IF(TODAY()&gt;$T615,"OVERDUE","Due "&amp;TEXT($T615,"mm/dd")))))</f>
        <v/>
      </c>
      <c r="V615" s="14" t="n"/>
      <c r="W615" s="14" t="n"/>
    </row>
    <row r="616">
      <c r="B616" s="15">
        <f>IF($C616="","",$D616&amp;"-"&amp;$F616&amp;"-"&amp;$K616)</f>
        <v/>
      </c>
      <c r="C616" s="14" t="n"/>
      <c r="D616" s="15">
        <f>IF($C616="","",IFERROR(INDEX(rngCadetPIDs,MATCH($C616,rngCadetNames,0)),"?"))</f>
        <v/>
      </c>
      <c r="E616" s="15">
        <f>IF($D616="","",IFERROR(INDEX(nrCadetAgency,MATCH($D616,rngCadetPIDs,0)),""))</f>
        <v/>
      </c>
      <c r="F616" s="14" t="n"/>
      <c r="G616" s="15">
        <f>IF($F616="","",IFERROR(INDEX(rngEPname,MATCH($F616,rngEPcode,0)),"?"))</f>
        <v/>
      </c>
      <c r="H616" s="15">
        <f>IF($F616="","",IFERROR(INDEX(rngEPtype,MATCH($F616,rngEPcode,0)),"?"))</f>
        <v/>
      </c>
      <c r="I616" s="15">
        <f>IF($F616="","",IFERROR(INDEX(rngEPseq,MATCH($F616,rngEPcode,0)),""))</f>
        <v/>
      </c>
      <c r="J616" s="15">
        <f>IF($F616="","",IFERROR(INDEX(rngEPpass,MATCH($F616,rngEPcode,0)),cfgPassingScore))</f>
        <v/>
      </c>
      <c r="K616" s="14" t="n"/>
      <c r="L616" s="14" t="n"/>
      <c r="M616" s="15">
        <f>IF($C616="","",IF($L616="","",IF($K616=1,IF(COUNTIFS(nrES_PID,$D616,nrES_Code,$F616,nrES_Att,2)&gt;0,"",$L616),IF(COUNTIFS(nrES_PID,$D616,nrES_Code,$F616,nrES_Att,1)=0,$L616,IF($L616&gt;=$J616,cfgRetakeRecordedCap,SUMIFS(nrES_Raw,nrES_PID,$D616,nrES_Code,$F616,nrES_Att,1))))))</f>
        <v/>
      </c>
      <c r="N616" s="15">
        <f>IF($C616="","",IF($L616="","",IF($L616&gt;=$J616,"Yes","No")))</f>
        <v/>
      </c>
      <c r="O616" s="15">
        <f>IF($C616="","",IF($M616="","",IF($M616&gt;=$J616,"Yes","No")))</f>
        <v/>
      </c>
      <c r="P616" s="15">
        <f>IF($C616="","",IF($K616="","",IF(COUNTIFS(nrES_PID,$D616,nrES_Code,$F616,nrES_Att,"&gt;"&amp;$K616)=0,"Yes","No")))</f>
        <v/>
      </c>
      <c r="Q616" s="15">
        <f>IF($C616="","",IF($L616="","",IF(AND($K616=1,$L616&lt;$J616,COUNTIFS(nrES_PID,$D616,nrES_Code,$F616,nrES_Att,2)=0),"Yes","No")))</f>
        <v/>
      </c>
      <c r="R616" s="15">
        <f>IF($C616="","",IF($L616="","",IF(AND($K616=2,$L616&lt;$J616,COUNTIFS(nrES_PID,$D616,nrES_Code,$F616,nrES_Att,1)&gt;0),"Yes","No")))</f>
        <v/>
      </c>
      <c r="S616" s="16" t="n"/>
      <c r="T616" s="17">
        <f>IF($Q616&lt;&gt;"Yes","",IF($S616="","(enter date)",_xlfn.LET(_xlpm.dn,IFERROR(_xlfn.XLOOKUP($S616,nrCDdate,nrCDnum),""),IF(_xlpm.dn="","(not a class day)",IFERROR(_xlfn.XLOOKUP(_xlpm.dn+cfgRetestClassDays,nrCDnum,nrCDdate),"")))))</f>
        <v/>
      </c>
      <c r="U616" s="15">
        <f>IF($Q616&lt;&gt;"Yes","",IF(COUNTIFS(nrES_PID,$D616,nrES_Code,$F616,nrES_Att,2)&gt;0,"Retested",IF(OR($T616="",NOT(ISNUMBER($T616))),"Pending",IF(TODAY()&gt;$T616,"OVERDUE","Due "&amp;TEXT($T616,"mm/dd")))))</f>
        <v/>
      </c>
      <c r="V616" s="14" t="n"/>
      <c r="W616" s="14" t="n"/>
    </row>
    <row r="617">
      <c r="B617" s="15">
        <f>IF($C617="","",$D617&amp;"-"&amp;$F617&amp;"-"&amp;$K617)</f>
        <v/>
      </c>
      <c r="C617" s="14" t="n"/>
      <c r="D617" s="15">
        <f>IF($C617="","",IFERROR(INDEX(rngCadetPIDs,MATCH($C617,rngCadetNames,0)),"?"))</f>
        <v/>
      </c>
      <c r="E617" s="15">
        <f>IF($D617="","",IFERROR(INDEX(nrCadetAgency,MATCH($D617,rngCadetPIDs,0)),""))</f>
        <v/>
      </c>
      <c r="F617" s="14" t="n"/>
      <c r="G617" s="15">
        <f>IF($F617="","",IFERROR(INDEX(rngEPname,MATCH($F617,rngEPcode,0)),"?"))</f>
        <v/>
      </c>
      <c r="H617" s="15">
        <f>IF($F617="","",IFERROR(INDEX(rngEPtype,MATCH($F617,rngEPcode,0)),"?"))</f>
        <v/>
      </c>
      <c r="I617" s="15">
        <f>IF($F617="","",IFERROR(INDEX(rngEPseq,MATCH($F617,rngEPcode,0)),""))</f>
        <v/>
      </c>
      <c r="J617" s="15">
        <f>IF($F617="","",IFERROR(INDEX(rngEPpass,MATCH($F617,rngEPcode,0)),cfgPassingScore))</f>
        <v/>
      </c>
      <c r="K617" s="14" t="n"/>
      <c r="L617" s="14" t="n"/>
      <c r="M617" s="15">
        <f>IF($C617="","",IF($L617="","",IF($K617=1,IF(COUNTIFS(nrES_PID,$D617,nrES_Code,$F617,nrES_Att,2)&gt;0,"",$L617),IF(COUNTIFS(nrES_PID,$D617,nrES_Code,$F617,nrES_Att,1)=0,$L617,IF($L617&gt;=$J617,cfgRetakeRecordedCap,SUMIFS(nrES_Raw,nrES_PID,$D617,nrES_Code,$F617,nrES_Att,1))))))</f>
        <v/>
      </c>
      <c r="N617" s="15">
        <f>IF($C617="","",IF($L617="","",IF($L617&gt;=$J617,"Yes","No")))</f>
        <v/>
      </c>
      <c r="O617" s="15">
        <f>IF($C617="","",IF($M617="","",IF($M617&gt;=$J617,"Yes","No")))</f>
        <v/>
      </c>
      <c r="P617" s="15">
        <f>IF($C617="","",IF($K617="","",IF(COUNTIFS(nrES_PID,$D617,nrES_Code,$F617,nrES_Att,"&gt;"&amp;$K617)=0,"Yes","No")))</f>
        <v/>
      </c>
      <c r="Q617" s="15">
        <f>IF($C617="","",IF($L617="","",IF(AND($K617=1,$L617&lt;$J617,COUNTIFS(nrES_PID,$D617,nrES_Code,$F617,nrES_Att,2)=0),"Yes","No")))</f>
        <v/>
      </c>
      <c r="R617" s="15">
        <f>IF($C617="","",IF($L617="","",IF(AND($K617=2,$L617&lt;$J617,COUNTIFS(nrES_PID,$D617,nrES_Code,$F617,nrES_Att,1)&gt;0),"Yes","No")))</f>
        <v/>
      </c>
      <c r="S617" s="16" t="n"/>
      <c r="T617" s="17">
        <f>IF($Q617&lt;&gt;"Yes","",IF($S617="","(enter date)",_xlfn.LET(_xlpm.dn,IFERROR(_xlfn.XLOOKUP($S617,nrCDdate,nrCDnum),""),IF(_xlpm.dn="","(not a class day)",IFERROR(_xlfn.XLOOKUP(_xlpm.dn+cfgRetestClassDays,nrCDnum,nrCDdate),"")))))</f>
        <v/>
      </c>
      <c r="U617" s="15">
        <f>IF($Q617&lt;&gt;"Yes","",IF(COUNTIFS(nrES_PID,$D617,nrES_Code,$F617,nrES_Att,2)&gt;0,"Retested",IF(OR($T617="",NOT(ISNUMBER($T617))),"Pending",IF(TODAY()&gt;$T617,"OVERDUE","Due "&amp;TEXT($T617,"mm/dd")))))</f>
        <v/>
      </c>
      <c r="V617" s="14" t="n"/>
      <c r="W617" s="14" t="n"/>
    </row>
    <row r="618">
      <c r="B618" s="15">
        <f>IF($C618="","",$D618&amp;"-"&amp;$F618&amp;"-"&amp;$K618)</f>
        <v/>
      </c>
      <c r="C618" s="14" t="n"/>
      <c r="D618" s="15">
        <f>IF($C618="","",IFERROR(INDEX(rngCadetPIDs,MATCH($C618,rngCadetNames,0)),"?"))</f>
        <v/>
      </c>
      <c r="E618" s="15">
        <f>IF($D618="","",IFERROR(INDEX(nrCadetAgency,MATCH($D618,rngCadetPIDs,0)),""))</f>
        <v/>
      </c>
      <c r="F618" s="14" t="n"/>
      <c r="G618" s="15">
        <f>IF($F618="","",IFERROR(INDEX(rngEPname,MATCH($F618,rngEPcode,0)),"?"))</f>
        <v/>
      </c>
      <c r="H618" s="15">
        <f>IF($F618="","",IFERROR(INDEX(rngEPtype,MATCH($F618,rngEPcode,0)),"?"))</f>
        <v/>
      </c>
      <c r="I618" s="15">
        <f>IF($F618="","",IFERROR(INDEX(rngEPseq,MATCH($F618,rngEPcode,0)),""))</f>
        <v/>
      </c>
      <c r="J618" s="15">
        <f>IF($F618="","",IFERROR(INDEX(rngEPpass,MATCH($F618,rngEPcode,0)),cfgPassingScore))</f>
        <v/>
      </c>
      <c r="K618" s="14" t="n"/>
      <c r="L618" s="14" t="n"/>
      <c r="M618" s="15">
        <f>IF($C618="","",IF($L618="","",IF($K618=1,IF(COUNTIFS(nrES_PID,$D618,nrES_Code,$F618,nrES_Att,2)&gt;0,"",$L618),IF(COUNTIFS(nrES_PID,$D618,nrES_Code,$F618,nrES_Att,1)=0,$L618,IF($L618&gt;=$J618,cfgRetakeRecordedCap,SUMIFS(nrES_Raw,nrES_PID,$D618,nrES_Code,$F618,nrES_Att,1))))))</f>
        <v/>
      </c>
      <c r="N618" s="15">
        <f>IF($C618="","",IF($L618="","",IF($L618&gt;=$J618,"Yes","No")))</f>
        <v/>
      </c>
      <c r="O618" s="15">
        <f>IF($C618="","",IF($M618="","",IF($M618&gt;=$J618,"Yes","No")))</f>
        <v/>
      </c>
      <c r="P618" s="15">
        <f>IF($C618="","",IF($K618="","",IF(COUNTIFS(nrES_PID,$D618,nrES_Code,$F618,nrES_Att,"&gt;"&amp;$K618)=0,"Yes","No")))</f>
        <v/>
      </c>
      <c r="Q618" s="15">
        <f>IF($C618="","",IF($L618="","",IF(AND($K618=1,$L618&lt;$J618,COUNTIFS(nrES_PID,$D618,nrES_Code,$F618,nrES_Att,2)=0),"Yes","No")))</f>
        <v/>
      </c>
      <c r="R618" s="15">
        <f>IF($C618="","",IF($L618="","",IF(AND($K618=2,$L618&lt;$J618,COUNTIFS(nrES_PID,$D618,nrES_Code,$F618,nrES_Att,1)&gt;0),"Yes","No")))</f>
        <v/>
      </c>
      <c r="S618" s="16" t="n"/>
      <c r="T618" s="17">
        <f>IF($Q618&lt;&gt;"Yes","",IF($S618="","(enter date)",_xlfn.LET(_xlpm.dn,IFERROR(_xlfn.XLOOKUP($S618,nrCDdate,nrCDnum),""),IF(_xlpm.dn="","(not a class day)",IFERROR(_xlfn.XLOOKUP(_xlpm.dn+cfgRetestClassDays,nrCDnum,nrCDdate),"")))))</f>
        <v/>
      </c>
      <c r="U618" s="15">
        <f>IF($Q618&lt;&gt;"Yes","",IF(COUNTIFS(nrES_PID,$D618,nrES_Code,$F618,nrES_Att,2)&gt;0,"Retested",IF(OR($T618="",NOT(ISNUMBER($T618))),"Pending",IF(TODAY()&gt;$T618,"OVERDUE","Due "&amp;TEXT($T618,"mm/dd")))))</f>
        <v/>
      </c>
      <c r="V618" s="14" t="n"/>
      <c r="W618" s="14" t="n"/>
    </row>
    <row r="619">
      <c r="B619" s="15">
        <f>IF($C619="","",$D619&amp;"-"&amp;$F619&amp;"-"&amp;$K619)</f>
        <v/>
      </c>
      <c r="C619" s="14" t="n"/>
      <c r="D619" s="15">
        <f>IF($C619="","",IFERROR(INDEX(rngCadetPIDs,MATCH($C619,rngCadetNames,0)),"?"))</f>
        <v/>
      </c>
      <c r="E619" s="15">
        <f>IF($D619="","",IFERROR(INDEX(nrCadetAgency,MATCH($D619,rngCadetPIDs,0)),""))</f>
        <v/>
      </c>
      <c r="F619" s="14" t="n"/>
      <c r="G619" s="15">
        <f>IF($F619="","",IFERROR(INDEX(rngEPname,MATCH($F619,rngEPcode,0)),"?"))</f>
        <v/>
      </c>
      <c r="H619" s="15">
        <f>IF($F619="","",IFERROR(INDEX(rngEPtype,MATCH($F619,rngEPcode,0)),"?"))</f>
        <v/>
      </c>
      <c r="I619" s="15">
        <f>IF($F619="","",IFERROR(INDEX(rngEPseq,MATCH($F619,rngEPcode,0)),""))</f>
        <v/>
      </c>
      <c r="J619" s="15">
        <f>IF($F619="","",IFERROR(INDEX(rngEPpass,MATCH($F619,rngEPcode,0)),cfgPassingScore))</f>
        <v/>
      </c>
      <c r="K619" s="14" t="n"/>
      <c r="L619" s="14" t="n"/>
      <c r="M619" s="15">
        <f>IF($C619="","",IF($L619="","",IF($K619=1,IF(COUNTIFS(nrES_PID,$D619,nrES_Code,$F619,nrES_Att,2)&gt;0,"",$L619),IF(COUNTIFS(nrES_PID,$D619,nrES_Code,$F619,nrES_Att,1)=0,$L619,IF($L619&gt;=$J619,cfgRetakeRecordedCap,SUMIFS(nrES_Raw,nrES_PID,$D619,nrES_Code,$F619,nrES_Att,1))))))</f>
        <v/>
      </c>
      <c r="N619" s="15">
        <f>IF($C619="","",IF($L619="","",IF($L619&gt;=$J619,"Yes","No")))</f>
        <v/>
      </c>
      <c r="O619" s="15">
        <f>IF($C619="","",IF($M619="","",IF($M619&gt;=$J619,"Yes","No")))</f>
        <v/>
      </c>
      <c r="P619" s="15">
        <f>IF($C619="","",IF($K619="","",IF(COUNTIFS(nrES_PID,$D619,nrES_Code,$F619,nrES_Att,"&gt;"&amp;$K619)=0,"Yes","No")))</f>
        <v/>
      </c>
      <c r="Q619" s="15">
        <f>IF($C619="","",IF($L619="","",IF(AND($K619=1,$L619&lt;$J619,COUNTIFS(nrES_PID,$D619,nrES_Code,$F619,nrES_Att,2)=0),"Yes","No")))</f>
        <v/>
      </c>
      <c r="R619" s="15">
        <f>IF($C619="","",IF($L619="","",IF(AND($K619=2,$L619&lt;$J619,COUNTIFS(nrES_PID,$D619,nrES_Code,$F619,nrES_Att,1)&gt;0),"Yes","No")))</f>
        <v/>
      </c>
      <c r="S619" s="16" t="n"/>
      <c r="T619" s="17">
        <f>IF($Q619&lt;&gt;"Yes","",IF($S619="","(enter date)",_xlfn.LET(_xlpm.dn,IFERROR(_xlfn.XLOOKUP($S619,nrCDdate,nrCDnum),""),IF(_xlpm.dn="","(not a class day)",IFERROR(_xlfn.XLOOKUP(_xlpm.dn+cfgRetestClassDays,nrCDnum,nrCDdate),"")))))</f>
        <v/>
      </c>
      <c r="U619" s="15">
        <f>IF($Q619&lt;&gt;"Yes","",IF(COUNTIFS(nrES_PID,$D619,nrES_Code,$F619,nrES_Att,2)&gt;0,"Retested",IF(OR($T619="",NOT(ISNUMBER($T619))),"Pending",IF(TODAY()&gt;$T619,"OVERDUE","Due "&amp;TEXT($T619,"mm/dd")))))</f>
        <v/>
      </c>
      <c r="V619" s="14" t="n"/>
      <c r="W619" s="14" t="n"/>
    </row>
    <row r="620">
      <c r="B620" s="15">
        <f>IF($C620="","",$D620&amp;"-"&amp;$F620&amp;"-"&amp;$K620)</f>
        <v/>
      </c>
      <c r="C620" s="14" t="n"/>
      <c r="D620" s="15">
        <f>IF($C620="","",IFERROR(INDEX(rngCadetPIDs,MATCH($C620,rngCadetNames,0)),"?"))</f>
        <v/>
      </c>
      <c r="E620" s="15">
        <f>IF($D620="","",IFERROR(INDEX(nrCadetAgency,MATCH($D620,rngCadetPIDs,0)),""))</f>
        <v/>
      </c>
      <c r="F620" s="14" t="n"/>
      <c r="G620" s="15">
        <f>IF($F620="","",IFERROR(INDEX(rngEPname,MATCH($F620,rngEPcode,0)),"?"))</f>
        <v/>
      </c>
      <c r="H620" s="15">
        <f>IF($F620="","",IFERROR(INDEX(rngEPtype,MATCH($F620,rngEPcode,0)),"?"))</f>
        <v/>
      </c>
      <c r="I620" s="15">
        <f>IF($F620="","",IFERROR(INDEX(rngEPseq,MATCH($F620,rngEPcode,0)),""))</f>
        <v/>
      </c>
      <c r="J620" s="15">
        <f>IF($F620="","",IFERROR(INDEX(rngEPpass,MATCH($F620,rngEPcode,0)),cfgPassingScore))</f>
        <v/>
      </c>
      <c r="K620" s="14" t="n"/>
      <c r="L620" s="14" t="n"/>
      <c r="M620" s="15">
        <f>IF($C620="","",IF($L620="","",IF($K620=1,IF(COUNTIFS(nrES_PID,$D620,nrES_Code,$F620,nrES_Att,2)&gt;0,"",$L620),IF(COUNTIFS(nrES_PID,$D620,nrES_Code,$F620,nrES_Att,1)=0,$L620,IF($L620&gt;=$J620,cfgRetakeRecordedCap,SUMIFS(nrES_Raw,nrES_PID,$D620,nrES_Code,$F620,nrES_Att,1))))))</f>
        <v/>
      </c>
      <c r="N620" s="15">
        <f>IF($C620="","",IF($L620="","",IF($L620&gt;=$J620,"Yes","No")))</f>
        <v/>
      </c>
      <c r="O620" s="15">
        <f>IF($C620="","",IF($M620="","",IF($M620&gt;=$J620,"Yes","No")))</f>
        <v/>
      </c>
      <c r="P620" s="15">
        <f>IF($C620="","",IF($K620="","",IF(COUNTIFS(nrES_PID,$D620,nrES_Code,$F620,nrES_Att,"&gt;"&amp;$K620)=0,"Yes","No")))</f>
        <v/>
      </c>
      <c r="Q620" s="15">
        <f>IF($C620="","",IF($L620="","",IF(AND($K620=1,$L620&lt;$J620,COUNTIFS(nrES_PID,$D620,nrES_Code,$F620,nrES_Att,2)=0),"Yes","No")))</f>
        <v/>
      </c>
      <c r="R620" s="15">
        <f>IF($C620="","",IF($L620="","",IF(AND($K620=2,$L620&lt;$J620,COUNTIFS(nrES_PID,$D620,nrES_Code,$F620,nrES_Att,1)&gt;0),"Yes","No")))</f>
        <v/>
      </c>
      <c r="S620" s="16" t="n"/>
      <c r="T620" s="17">
        <f>IF($Q620&lt;&gt;"Yes","",IF($S620="","(enter date)",_xlfn.LET(_xlpm.dn,IFERROR(_xlfn.XLOOKUP($S620,nrCDdate,nrCDnum),""),IF(_xlpm.dn="","(not a class day)",IFERROR(_xlfn.XLOOKUP(_xlpm.dn+cfgRetestClassDays,nrCDnum,nrCDdate),"")))))</f>
        <v/>
      </c>
      <c r="U620" s="15">
        <f>IF($Q620&lt;&gt;"Yes","",IF(COUNTIFS(nrES_PID,$D620,nrES_Code,$F620,nrES_Att,2)&gt;0,"Retested",IF(OR($T620="",NOT(ISNUMBER($T620))),"Pending",IF(TODAY()&gt;$T620,"OVERDUE","Due "&amp;TEXT($T620,"mm/dd")))))</f>
        <v/>
      </c>
      <c r="V620" s="14" t="n"/>
      <c r="W620" s="14" t="n"/>
    </row>
    <row r="621">
      <c r="B621" s="15">
        <f>IF($C621="","",$D621&amp;"-"&amp;$F621&amp;"-"&amp;$K621)</f>
        <v/>
      </c>
      <c r="C621" s="14" t="n"/>
      <c r="D621" s="15">
        <f>IF($C621="","",IFERROR(INDEX(rngCadetPIDs,MATCH($C621,rngCadetNames,0)),"?"))</f>
        <v/>
      </c>
      <c r="E621" s="15">
        <f>IF($D621="","",IFERROR(INDEX(nrCadetAgency,MATCH($D621,rngCadetPIDs,0)),""))</f>
        <v/>
      </c>
      <c r="F621" s="14" t="n"/>
      <c r="G621" s="15">
        <f>IF($F621="","",IFERROR(INDEX(rngEPname,MATCH($F621,rngEPcode,0)),"?"))</f>
        <v/>
      </c>
      <c r="H621" s="15">
        <f>IF($F621="","",IFERROR(INDEX(rngEPtype,MATCH($F621,rngEPcode,0)),"?"))</f>
        <v/>
      </c>
      <c r="I621" s="15">
        <f>IF($F621="","",IFERROR(INDEX(rngEPseq,MATCH($F621,rngEPcode,0)),""))</f>
        <v/>
      </c>
      <c r="J621" s="15">
        <f>IF($F621="","",IFERROR(INDEX(rngEPpass,MATCH($F621,rngEPcode,0)),cfgPassingScore))</f>
        <v/>
      </c>
      <c r="K621" s="14" t="n"/>
      <c r="L621" s="14" t="n"/>
      <c r="M621" s="15">
        <f>IF($C621="","",IF($L621="","",IF($K621=1,IF(COUNTIFS(nrES_PID,$D621,nrES_Code,$F621,nrES_Att,2)&gt;0,"",$L621),IF(COUNTIFS(nrES_PID,$D621,nrES_Code,$F621,nrES_Att,1)=0,$L621,IF($L621&gt;=$J621,cfgRetakeRecordedCap,SUMIFS(nrES_Raw,nrES_PID,$D621,nrES_Code,$F621,nrES_Att,1))))))</f>
        <v/>
      </c>
      <c r="N621" s="15">
        <f>IF($C621="","",IF($L621="","",IF($L621&gt;=$J621,"Yes","No")))</f>
        <v/>
      </c>
      <c r="O621" s="15">
        <f>IF($C621="","",IF($M621="","",IF($M621&gt;=$J621,"Yes","No")))</f>
        <v/>
      </c>
      <c r="P621" s="15">
        <f>IF($C621="","",IF($K621="","",IF(COUNTIFS(nrES_PID,$D621,nrES_Code,$F621,nrES_Att,"&gt;"&amp;$K621)=0,"Yes","No")))</f>
        <v/>
      </c>
      <c r="Q621" s="15">
        <f>IF($C621="","",IF($L621="","",IF(AND($K621=1,$L621&lt;$J621,COUNTIFS(nrES_PID,$D621,nrES_Code,$F621,nrES_Att,2)=0),"Yes","No")))</f>
        <v/>
      </c>
      <c r="R621" s="15">
        <f>IF($C621="","",IF($L621="","",IF(AND($K621=2,$L621&lt;$J621,COUNTIFS(nrES_PID,$D621,nrES_Code,$F621,nrES_Att,1)&gt;0),"Yes","No")))</f>
        <v/>
      </c>
      <c r="S621" s="16" t="n"/>
      <c r="T621" s="17">
        <f>IF($Q621&lt;&gt;"Yes","",IF($S621="","(enter date)",_xlfn.LET(_xlpm.dn,IFERROR(_xlfn.XLOOKUP($S621,nrCDdate,nrCDnum),""),IF(_xlpm.dn="","(not a class day)",IFERROR(_xlfn.XLOOKUP(_xlpm.dn+cfgRetestClassDays,nrCDnum,nrCDdate),"")))))</f>
        <v/>
      </c>
      <c r="U621" s="15">
        <f>IF($Q621&lt;&gt;"Yes","",IF(COUNTIFS(nrES_PID,$D621,nrES_Code,$F621,nrES_Att,2)&gt;0,"Retested",IF(OR($T621="",NOT(ISNUMBER($T621))),"Pending",IF(TODAY()&gt;$T621,"OVERDUE","Due "&amp;TEXT($T621,"mm/dd")))))</f>
        <v/>
      </c>
      <c r="V621" s="14" t="n"/>
      <c r="W621" s="14" t="n"/>
    </row>
    <row r="622">
      <c r="B622" s="15">
        <f>IF($C622="","",$D622&amp;"-"&amp;$F622&amp;"-"&amp;$K622)</f>
        <v/>
      </c>
      <c r="C622" s="14" t="n"/>
      <c r="D622" s="15">
        <f>IF($C622="","",IFERROR(INDEX(rngCadetPIDs,MATCH($C622,rngCadetNames,0)),"?"))</f>
        <v/>
      </c>
      <c r="E622" s="15">
        <f>IF($D622="","",IFERROR(INDEX(nrCadetAgency,MATCH($D622,rngCadetPIDs,0)),""))</f>
        <v/>
      </c>
      <c r="F622" s="14" t="n"/>
      <c r="G622" s="15">
        <f>IF($F622="","",IFERROR(INDEX(rngEPname,MATCH($F622,rngEPcode,0)),"?"))</f>
        <v/>
      </c>
      <c r="H622" s="15">
        <f>IF($F622="","",IFERROR(INDEX(rngEPtype,MATCH($F622,rngEPcode,0)),"?"))</f>
        <v/>
      </c>
      <c r="I622" s="15">
        <f>IF($F622="","",IFERROR(INDEX(rngEPseq,MATCH($F622,rngEPcode,0)),""))</f>
        <v/>
      </c>
      <c r="J622" s="15">
        <f>IF($F622="","",IFERROR(INDEX(rngEPpass,MATCH($F622,rngEPcode,0)),cfgPassingScore))</f>
        <v/>
      </c>
      <c r="K622" s="14" t="n"/>
      <c r="L622" s="14" t="n"/>
      <c r="M622" s="15">
        <f>IF($C622="","",IF($L622="","",IF($K622=1,IF(COUNTIFS(nrES_PID,$D622,nrES_Code,$F622,nrES_Att,2)&gt;0,"",$L622),IF(COUNTIFS(nrES_PID,$D622,nrES_Code,$F622,nrES_Att,1)=0,$L622,IF($L622&gt;=$J622,cfgRetakeRecordedCap,SUMIFS(nrES_Raw,nrES_PID,$D622,nrES_Code,$F622,nrES_Att,1))))))</f>
        <v/>
      </c>
      <c r="N622" s="15">
        <f>IF($C622="","",IF($L622="","",IF($L622&gt;=$J622,"Yes","No")))</f>
        <v/>
      </c>
      <c r="O622" s="15">
        <f>IF($C622="","",IF($M622="","",IF($M622&gt;=$J622,"Yes","No")))</f>
        <v/>
      </c>
      <c r="P622" s="15">
        <f>IF($C622="","",IF($K622="","",IF(COUNTIFS(nrES_PID,$D622,nrES_Code,$F622,nrES_Att,"&gt;"&amp;$K622)=0,"Yes","No")))</f>
        <v/>
      </c>
      <c r="Q622" s="15">
        <f>IF($C622="","",IF($L622="","",IF(AND($K622=1,$L622&lt;$J622,COUNTIFS(nrES_PID,$D622,nrES_Code,$F622,nrES_Att,2)=0),"Yes","No")))</f>
        <v/>
      </c>
      <c r="R622" s="15">
        <f>IF($C622="","",IF($L622="","",IF(AND($K622=2,$L622&lt;$J622,COUNTIFS(nrES_PID,$D622,nrES_Code,$F622,nrES_Att,1)&gt;0),"Yes","No")))</f>
        <v/>
      </c>
      <c r="S622" s="16" t="n"/>
      <c r="T622" s="17">
        <f>IF($Q622&lt;&gt;"Yes","",IF($S622="","(enter date)",_xlfn.LET(_xlpm.dn,IFERROR(_xlfn.XLOOKUP($S622,nrCDdate,nrCDnum),""),IF(_xlpm.dn="","(not a class day)",IFERROR(_xlfn.XLOOKUP(_xlpm.dn+cfgRetestClassDays,nrCDnum,nrCDdate),"")))))</f>
        <v/>
      </c>
      <c r="U622" s="15">
        <f>IF($Q622&lt;&gt;"Yes","",IF(COUNTIFS(nrES_PID,$D622,nrES_Code,$F622,nrES_Att,2)&gt;0,"Retested",IF(OR($T622="",NOT(ISNUMBER($T622))),"Pending",IF(TODAY()&gt;$T622,"OVERDUE","Due "&amp;TEXT($T622,"mm/dd")))))</f>
        <v/>
      </c>
      <c r="V622" s="14" t="n"/>
      <c r="W622" s="14" t="n"/>
    </row>
    <row r="623">
      <c r="B623" s="15">
        <f>IF($C623="","",$D623&amp;"-"&amp;$F623&amp;"-"&amp;$K623)</f>
        <v/>
      </c>
      <c r="C623" s="14" t="n"/>
      <c r="D623" s="15">
        <f>IF($C623="","",IFERROR(INDEX(rngCadetPIDs,MATCH($C623,rngCadetNames,0)),"?"))</f>
        <v/>
      </c>
      <c r="E623" s="15">
        <f>IF($D623="","",IFERROR(INDEX(nrCadetAgency,MATCH($D623,rngCadetPIDs,0)),""))</f>
        <v/>
      </c>
      <c r="F623" s="14" t="n"/>
      <c r="G623" s="15">
        <f>IF($F623="","",IFERROR(INDEX(rngEPname,MATCH($F623,rngEPcode,0)),"?"))</f>
        <v/>
      </c>
      <c r="H623" s="15">
        <f>IF($F623="","",IFERROR(INDEX(rngEPtype,MATCH($F623,rngEPcode,0)),"?"))</f>
        <v/>
      </c>
      <c r="I623" s="15">
        <f>IF($F623="","",IFERROR(INDEX(rngEPseq,MATCH($F623,rngEPcode,0)),""))</f>
        <v/>
      </c>
      <c r="J623" s="15">
        <f>IF($F623="","",IFERROR(INDEX(rngEPpass,MATCH($F623,rngEPcode,0)),cfgPassingScore))</f>
        <v/>
      </c>
      <c r="K623" s="14" t="n"/>
      <c r="L623" s="14" t="n"/>
      <c r="M623" s="15">
        <f>IF($C623="","",IF($L623="","",IF($K623=1,IF(COUNTIFS(nrES_PID,$D623,nrES_Code,$F623,nrES_Att,2)&gt;0,"",$L623),IF(COUNTIFS(nrES_PID,$D623,nrES_Code,$F623,nrES_Att,1)=0,$L623,IF($L623&gt;=$J623,cfgRetakeRecordedCap,SUMIFS(nrES_Raw,nrES_PID,$D623,nrES_Code,$F623,nrES_Att,1))))))</f>
        <v/>
      </c>
      <c r="N623" s="15">
        <f>IF($C623="","",IF($L623="","",IF($L623&gt;=$J623,"Yes","No")))</f>
        <v/>
      </c>
      <c r="O623" s="15">
        <f>IF($C623="","",IF($M623="","",IF($M623&gt;=$J623,"Yes","No")))</f>
        <v/>
      </c>
      <c r="P623" s="15">
        <f>IF($C623="","",IF($K623="","",IF(COUNTIFS(nrES_PID,$D623,nrES_Code,$F623,nrES_Att,"&gt;"&amp;$K623)=0,"Yes","No")))</f>
        <v/>
      </c>
      <c r="Q623" s="15">
        <f>IF($C623="","",IF($L623="","",IF(AND($K623=1,$L623&lt;$J623,COUNTIFS(nrES_PID,$D623,nrES_Code,$F623,nrES_Att,2)=0),"Yes","No")))</f>
        <v/>
      </c>
      <c r="R623" s="15">
        <f>IF($C623="","",IF($L623="","",IF(AND($K623=2,$L623&lt;$J623,COUNTIFS(nrES_PID,$D623,nrES_Code,$F623,nrES_Att,1)&gt;0),"Yes","No")))</f>
        <v/>
      </c>
      <c r="S623" s="16" t="n"/>
      <c r="T623" s="17">
        <f>IF($Q623&lt;&gt;"Yes","",IF($S623="","(enter date)",_xlfn.LET(_xlpm.dn,IFERROR(_xlfn.XLOOKUP($S623,nrCDdate,nrCDnum),""),IF(_xlpm.dn="","(not a class day)",IFERROR(_xlfn.XLOOKUP(_xlpm.dn+cfgRetestClassDays,nrCDnum,nrCDdate),"")))))</f>
        <v/>
      </c>
      <c r="U623" s="15">
        <f>IF($Q623&lt;&gt;"Yes","",IF(COUNTIFS(nrES_PID,$D623,nrES_Code,$F623,nrES_Att,2)&gt;0,"Retested",IF(OR($T623="",NOT(ISNUMBER($T623))),"Pending",IF(TODAY()&gt;$T623,"OVERDUE","Due "&amp;TEXT($T623,"mm/dd")))))</f>
        <v/>
      </c>
      <c r="V623" s="14" t="n"/>
      <c r="W623" s="14" t="n"/>
    </row>
    <row r="624">
      <c r="B624" s="15">
        <f>IF($C624="","",$D624&amp;"-"&amp;$F624&amp;"-"&amp;$K624)</f>
        <v/>
      </c>
      <c r="C624" s="14" t="n"/>
      <c r="D624" s="15">
        <f>IF($C624="","",IFERROR(INDEX(rngCadetPIDs,MATCH($C624,rngCadetNames,0)),"?"))</f>
        <v/>
      </c>
      <c r="E624" s="15">
        <f>IF($D624="","",IFERROR(INDEX(nrCadetAgency,MATCH($D624,rngCadetPIDs,0)),""))</f>
        <v/>
      </c>
      <c r="F624" s="14" t="n"/>
      <c r="G624" s="15">
        <f>IF($F624="","",IFERROR(INDEX(rngEPname,MATCH($F624,rngEPcode,0)),"?"))</f>
        <v/>
      </c>
      <c r="H624" s="15">
        <f>IF($F624="","",IFERROR(INDEX(rngEPtype,MATCH($F624,rngEPcode,0)),"?"))</f>
        <v/>
      </c>
      <c r="I624" s="15">
        <f>IF($F624="","",IFERROR(INDEX(rngEPseq,MATCH($F624,rngEPcode,0)),""))</f>
        <v/>
      </c>
      <c r="J624" s="15">
        <f>IF($F624="","",IFERROR(INDEX(rngEPpass,MATCH($F624,rngEPcode,0)),cfgPassingScore))</f>
        <v/>
      </c>
      <c r="K624" s="14" t="n"/>
      <c r="L624" s="14" t="n"/>
      <c r="M624" s="15">
        <f>IF($C624="","",IF($L624="","",IF($K624=1,IF(COUNTIFS(nrES_PID,$D624,nrES_Code,$F624,nrES_Att,2)&gt;0,"",$L624),IF(COUNTIFS(nrES_PID,$D624,nrES_Code,$F624,nrES_Att,1)=0,$L624,IF($L624&gt;=$J624,cfgRetakeRecordedCap,SUMIFS(nrES_Raw,nrES_PID,$D624,nrES_Code,$F624,nrES_Att,1))))))</f>
        <v/>
      </c>
      <c r="N624" s="15">
        <f>IF($C624="","",IF($L624="","",IF($L624&gt;=$J624,"Yes","No")))</f>
        <v/>
      </c>
      <c r="O624" s="15">
        <f>IF($C624="","",IF($M624="","",IF($M624&gt;=$J624,"Yes","No")))</f>
        <v/>
      </c>
      <c r="P624" s="15">
        <f>IF($C624="","",IF($K624="","",IF(COUNTIFS(nrES_PID,$D624,nrES_Code,$F624,nrES_Att,"&gt;"&amp;$K624)=0,"Yes","No")))</f>
        <v/>
      </c>
      <c r="Q624" s="15">
        <f>IF($C624="","",IF($L624="","",IF(AND($K624=1,$L624&lt;$J624,COUNTIFS(nrES_PID,$D624,nrES_Code,$F624,nrES_Att,2)=0),"Yes","No")))</f>
        <v/>
      </c>
      <c r="R624" s="15">
        <f>IF($C624="","",IF($L624="","",IF(AND($K624=2,$L624&lt;$J624,COUNTIFS(nrES_PID,$D624,nrES_Code,$F624,nrES_Att,1)&gt;0),"Yes","No")))</f>
        <v/>
      </c>
      <c r="S624" s="16" t="n"/>
      <c r="T624" s="17">
        <f>IF($Q624&lt;&gt;"Yes","",IF($S624="","(enter date)",_xlfn.LET(_xlpm.dn,IFERROR(_xlfn.XLOOKUP($S624,nrCDdate,nrCDnum),""),IF(_xlpm.dn="","(not a class day)",IFERROR(_xlfn.XLOOKUP(_xlpm.dn+cfgRetestClassDays,nrCDnum,nrCDdate),"")))))</f>
        <v/>
      </c>
      <c r="U624" s="15">
        <f>IF($Q624&lt;&gt;"Yes","",IF(COUNTIFS(nrES_PID,$D624,nrES_Code,$F624,nrES_Att,2)&gt;0,"Retested",IF(OR($T624="",NOT(ISNUMBER($T624))),"Pending",IF(TODAY()&gt;$T624,"OVERDUE","Due "&amp;TEXT($T624,"mm/dd")))))</f>
        <v/>
      </c>
      <c r="V624" s="14" t="n"/>
      <c r="W624" s="14" t="n"/>
    </row>
    <row r="625">
      <c r="B625" s="15">
        <f>IF($C625="","",$D625&amp;"-"&amp;$F625&amp;"-"&amp;$K625)</f>
        <v/>
      </c>
      <c r="C625" s="14" t="n"/>
      <c r="D625" s="15">
        <f>IF($C625="","",IFERROR(INDEX(rngCadetPIDs,MATCH($C625,rngCadetNames,0)),"?"))</f>
        <v/>
      </c>
      <c r="E625" s="15">
        <f>IF($D625="","",IFERROR(INDEX(nrCadetAgency,MATCH($D625,rngCadetPIDs,0)),""))</f>
        <v/>
      </c>
      <c r="F625" s="14" t="n"/>
      <c r="G625" s="15">
        <f>IF($F625="","",IFERROR(INDEX(rngEPname,MATCH($F625,rngEPcode,0)),"?"))</f>
        <v/>
      </c>
      <c r="H625" s="15">
        <f>IF($F625="","",IFERROR(INDEX(rngEPtype,MATCH($F625,rngEPcode,0)),"?"))</f>
        <v/>
      </c>
      <c r="I625" s="15">
        <f>IF($F625="","",IFERROR(INDEX(rngEPseq,MATCH($F625,rngEPcode,0)),""))</f>
        <v/>
      </c>
      <c r="J625" s="15">
        <f>IF($F625="","",IFERROR(INDEX(rngEPpass,MATCH($F625,rngEPcode,0)),cfgPassingScore))</f>
        <v/>
      </c>
      <c r="K625" s="14" t="n"/>
      <c r="L625" s="14" t="n"/>
      <c r="M625" s="15">
        <f>IF($C625="","",IF($L625="","",IF($K625=1,IF(COUNTIFS(nrES_PID,$D625,nrES_Code,$F625,nrES_Att,2)&gt;0,"",$L625),IF(COUNTIFS(nrES_PID,$D625,nrES_Code,$F625,nrES_Att,1)=0,$L625,IF($L625&gt;=$J625,cfgRetakeRecordedCap,SUMIFS(nrES_Raw,nrES_PID,$D625,nrES_Code,$F625,nrES_Att,1))))))</f>
        <v/>
      </c>
      <c r="N625" s="15">
        <f>IF($C625="","",IF($L625="","",IF($L625&gt;=$J625,"Yes","No")))</f>
        <v/>
      </c>
      <c r="O625" s="15">
        <f>IF($C625="","",IF($M625="","",IF($M625&gt;=$J625,"Yes","No")))</f>
        <v/>
      </c>
      <c r="P625" s="15">
        <f>IF($C625="","",IF($K625="","",IF(COUNTIFS(nrES_PID,$D625,nrES_Code,$F625,nrES_Att,"&gt;"&amp;$K625)=0,"Yes","No")))</f>
        <v/>
      </c>
      <c r="Q625" s="15">
        <f>IF($C625="","",IF($L625="","",IF(AND($K625=1,$L625&lt;$J625,COUNTIFS(nrES_PID,$D625,nrES_Code,$F625,nrES_Att,2)=0),"Yes","No")))</f>
        <v/>
      </c>
      <c r="R625" s="15">
        <f>IF($C625="","",IF($L625="","",IF(AND($K625=2,$L625&lt;$J625,COUNTIFS(nrES_PID,$D625,nrES_Code,$F625,nrES_Att,1)&gt;0),"Yes","No")))</f>
        <v/>
      </c>
      <c r="S625" s="16" t="n"/>
      <c r="T625" s="17">
        <f>IF($Q625&lt;&gt;"Yes","",IF($S625="","(enter date)",_xlfn.LET(_xlpm.dn,IFERROR(_xlfn.XLOOKUP($S625,nrCDdate,nrCDnum),""),IF(_xlpm.dn="","(not a class day)",IFERROR(_xlfn.XLOOKUP(_xlpm.dn+cfgRetestClassDays,nrCDnum,nrCDdate),"")))))</f>
        <v/>
      </c>
      <c r="U625" s="15">
        <f>IF($Q625&lt;&gt;"Yes","",IF(COUNTIFS(nrES_PID,$D625,nrES_Code,$F625,nrES_Att,2)&gt;0,"Retested",IF(OR($T625="",NOT(ISNUMBER($T625))),"Pending",IF(TODAY()&gt;$T625,"OVERDUE","Due "&amp;TEXT($T625,"mm/dd")))))</f>
        <v/>
      </c>
      <c r="V625" s="14" t="n"/>
      <c r="W625" s="14" t="n"/>
    </row>
    <row r="626">
      <c r="B626" s="15">
        <f>IF($C626="","",$D626&amp;"-"&amp;$F626&amp;"-"&amp;$K626)</f>
        <v/>
      </c>
      <c r="C626" s="14" t="n"/>
      <c r="D626" s="15">
        <f>IF($C626="","",IFERROR(INDEX(rngCadetPIDs,MATCH($C626,rngCadetNames,0)),"?"))</f>
        <v/>
      </c>
      <c r="E626" s="15">
        <f>IF($D626="","",IFERROR(INDEX(nrCadetAgency,MATCH($D626,rngCadetPIDs,0)),""))</f>
        <v/>
      </c>
      <c r="F626" s="14" t="n"/>
      <c r="G626" s="15">
        <f>IF($F626="","",IFERROR(INDEX(rngEPname,MATCH($F626,rngEPcode,0)),"?"))</f>
        <v/>
      </c>
      <c r="H626" s="15">
        <f>IF($F626="","",IFERROR(INDEX(rngEPtype,MATCH($F626,rngEPcode,0)),"?"))</f>
        <v/>
      </c>
      <c r="I626" s="15">
        <f>IF($F626="","",IFERROR(INDEX(rngEPseq,MATCH($F626,rngEPcode,0)),""))</f>
        <v/>
      </c>
      <c r="J626" s="15">
        <f>IF($F626="","",IFERROR(INDEX(rngEPpass,MATCH($F626,rngEPcode,0)),cfgPassingScore))</f>
        <v/>
      </c>
      <c r="K626" s="14" t="n"/>
      <c r="L626" s="14" t="n"/>
      <c r="M626" s="15">
        <f>IF($C626="","",IF($L626="","",IF($K626=1,IF(COUNTIFS(nrES_PID,$D626,nrES_Code,$F626,nrES_Att,2)&gt;0,"",$L626),IF(COUNTIFS(nrES_PID,$D626,nrES_Code,$F626,nrES_Att,1)=0,$L626,IF($L626&gt;=$J626,cfgRetakeRecordedCap,SUMIFS(nrES_Raw,nrES_PID,$D626,nrES_Code,$F626,nrES_Att,1))))))</f>
        <v/>
      </c>
      <c r="N626" s="15">
        <f>IF($C626="","",IF($L626="","",IF($L626&gt;=$J626,"Yes","No")))</f>
        <v/>
      </c>
      <c r="O626" s="15">
        <f>IF($C626="","",IF($M626="","",IF($M626&gt;=$J626,"Yes","No")))</f>
        <v/>
      </c>
      <c r="P626" s="15">
        <f>IF($C626="","",IF($K626="","",IF(COUNTIFS(nrES_PID,$D626,nrES_Code,$F626,nrES_Att,"&gt;"&amp;$K626)=0,"Yes","No")))</f>
        <v/>
      </c>
      <c r="Q626" s="15">
        <f>IF($C626="","",IF($L626="","",IF(AND($K626=1,$L626&lt;$J626,COUNTIFS(nrES_PID,$D626,nrES_Code,$F626,nrES_Att,2)=0),"Yes","No")))</f>
        <v/>
      </c>
      <c r="R626" s="15">
        <f>IF($C626="","",IF($L626="","",IF(AND($K626=2,$L626&lt;$J626,COUNTIFS(nrES_PID,$D626,nrES_Code,$F626,nrES_Att,1)&gt;0),"Yes","No")))</f>
        <v/>
      </c>
      <c r="S626" s="16" t="n"/>
      <c r="T626" s="17">
        <f>IF($Q626&lt;&gt;"Yes","",IF($S626="","(enter date)",_xlfn.LET(_xlpm.dn,IFERROR(_xlfn.XLOOKUP($S626,nrCDdate,nrCDnum),""),IF(_xlpm.dn="","(not a class day)",IFERROR(_xlfn.XLOOKUP(_xlpm.dn+cfgRetestClassDays,nrCDnum,nrCDdate),"")))))</f>
        <v/>
      </c>
      <c r="U626" s="15">
        <f>IF($Q626&lt;&gt;"Yes","",IF(COUNTIFS(nrES_PID,$D626,nrES_Code,$F626,nrES_Att,2)&gt;0,"Retested",IF(OR($T626="",NOT(ISNUMBER($T626))),"Pending",IF(TODAY()&gt;$T626,"OVERDUE","Due "&amp;TEXT($T626,"mm/dd")))))</f>
        <v/>
      </c>
      <c r="V626" s="14" t="n"/>
      <c r="W626" s="14" t="n"/>
    </row>
    <row r="627">
      <c r="B627" s="15">
        <f>IF($C627="","",$D627&amp;"-"&amp;$F627&amp;"-"&amp;$K627)</f>
        <v/>
      </c>
      <c r="C627" s="14" t="n"/>
      <c r="D627" s="15">
        <f>IF($C627="","",IFERROR(INDEX(rngCadetPIDs,MATCH($C627,rngCadetNames,0)),"?"))</f>
        <v/>
      </c>
      <c r="E627" s="15">
        <f>IF($D627="","",IFERROR(INDEX(nrCadetAgency,MATCH($D627,rngCadetPIDs,0)),""))</f>
        <v/>
      </c>
      <c r="F627" s="14" t="n"/>
      <c r="G627" s="15">
        <f>IF($F627="","",IFERROR(INDEX(rngEPname,MATCH($F627,rngEPcode,0)),"?"))</f>
        <v/>
      </c>
      <c r="H627" s="15">
        <f>IF($F627="","",IFERROR(INDEX(rngEPtype,MATCH($F627,rngEPcode,0)),"?"))</f>
        <v/>
      </c>
      <c r="I627" s="15">
        <f>IF($F627="","",IFERROR(INDEX(rngEPseq,MATCH($F627,rngEPcode,0)),""))</f>
        <v/>
      </c>
      <c r="J627" s="15">
        <f>IF($F627="","",IFERROR(INDEX(rngEPpass,MATCH($F627,rngEPcode,0)),cfgPassingScore))</f>
        <v/>
      </c>
      <c r="K627" s="14" t="n"/>
      <c r="L627" s="14" t="n"/>
      <c r="M627" s="15">
        <f>IF($C627="","",IF($L627="","",IF($K627=1,IF(COUNTIFS(nrES_PID,$D627,nrES_Code,$F627,nrES_Att,2)&gt;0,"",$L627),IF(COUNTIFS(nrES_PID,$D627,nrES_Code,$F627,nrES_Att,1)=0,$L627,IF($L627&gt;=$J627,cfgRetakeRecordedCap,SUMIFS(nrES_Raw,nrES_PID,$D627,nrES_Code,$F627,nrES_Att,1))))))</f>
        <v/>
      </c>
      <c r="N627" s="15">
        <f>IF($C627="","",IF($L627="","",IF($L627&gt;=$J627,"Yes","No")))</f>
        <v/>
      </c>
      <c r="O627" s="15">
        <f>IF($C627="","",IF($M627="","",IF($M627&gt;=$J627,"Yes","No")))</f>
        <v/>
      </c>
      <c r="P627" s="15">
        <f>IF($C627="","",IF($K627="","",IF(COUNTIFS(nrES_PID,$D627,nrES_Code,$F627,nrES_Att,"&gt;"&amp;$K627)=0,"Yes","No")))</f>
        <v/>
      </c>
      <c r="Q627" s="15">
        <f>IF($C627="","",IF($L627="","",IF(AND($K627=1,$L627&lt;$J627,COUNTIFS(nrES_PID,$D627,nrES_Code,$F627,nrES_Att,2)=0),"Yes","No")))</f>
        <v/>
      </c>
      <c r="R627" s="15">
        <f>IF($C627="","",IF($L627="","",IF(AND($K627=2,$L627&lt;$J627,COUNTIFS(nrES_PID,$D627,nrES_Code,$F627,nrES_Att,1)&gt;0),"Yes","No")))</f>
        <v/>
      </c>
      <c r="S627" s="16" t="n"/>
      <c r="T627" s="17">
        <f>IF($Q627&lt;&gt;"Yes","",IF($S627="","(enter date)",_xlfn.LET(_xlpm.dn,IFERROR(_xlfn.XLOOKUP($S627,nrCDdate,nrCDnum),""),IF(_xlpm.dn="","(not a class day)",IFERROR(_xlfn.XLOOKUP(_xlpm.dn+cfgRetestClassDays,nrCDnum,nrCDdate),"")))))</f>
        <v/>
      </c>
      <c r="U627" s="15">
        <f>IF($Q627&lt;&gt;"Yes","",IF(COUNTIFS(nrES_PID,$D627,nrES_Code,$F627,nrES_Att,2)&gt;0,"Retested",IF(OR($T627="",NOT(ISNUMBER($T627))),"Pending",IF(TODAY()&gt;$T627,"OVERDUE","Due "&amp;TEXT($T627,"mm/dd")))))</f>
        <v/>
      </c>
      <c r="V627" s="14" t="n"/>
      <c r="W627" s="14" t="n"/>
    </row>
    <row r="628">
      <c r="B628" s="15">
        <f>IF($C628="","",$D628&amp;"-"&amp;$F628&amp;"-"&amp;$K628)</f>
        <v/>
      </c>
      <c r="C628" s="14" t="n"/>
      <c r="D628" s="15">
        <f>IF($C628="","",IFERROR(INDEX(rngCadetPIDs,MATCH($C628,rngCadetNames,0)),"?"))</f>
        <v/>
      </c>
      <c r="E628" s="15">
        <f>IF($D628="","",IFERROR(INDEX(nrCadetAgency,MATCH($D628,rngCadetPIDs,0)),""))</f>
        <v/>
      </c>
      <c r="F628" s="14" t="n"/>
      <c r="G628" s="15">
        <f>IF($F628="","",IFERROR(INDEX(rngEPname,MATCH($F628,rngEPcode,0)),"?"))</f>
        <v/>
      </c>
      <c r="H628" s="15">
        <f>IF($F628="","",IFERROR(INDEX(rngEPtype,MATCH($F628,rngEPcode,0)),"?"))</f>
        <v/>
      </c>
      <c r="I628" s="15">
        <f>IF($F628="","",IFERROR(INDEX(rngEPseq,MATCH($F628,rngEPcode,0)),""))</f>
        <v/>
      </c>
      <c r="J628" s="15">
        <f>IF($F628="","",IFERROR(INDEX(rngEPpass,MATCH($F628,rngEPcode,0)),cfgPassingScore))</f>
        <v/>
      </c>
      <c r="K628" s="14" t="n"/>
      <c r="L628" s="14" t="n"/>
      <c r="M628" s="15">
        <f>IF($C628="","",IF($L628="","",IF($K628=1,IF(COUNTIFS(nrES_PID,$D628,nrES_Code,$F628,nrES_Att,2)&gt;0,"",$L628),IF(COUNTIFS(nrES_PID,$D628,nrES_Code,$F628,nrES_Att,1)=0,$L628,IF($L628&gt;=$J628,cfgRetakeRecordedCap,SUMIFS(nrES_Raw,nrES_PID,$D628,nrES_Code,$F628,nrES_Att,1))))))</f>
        <v/>
      </c>
      <c r="N628" s="15">
        <f>IF($C628="","",IF($L628="","",IF($L628&gt;=$J628,"Yes","No")))</f>
        <v/>
      </c>
      <c r="O628" s="15">
        <f>IF($C628="","",IF($M628="","",IF($M628&gt;=$J628,"Yes","No")))</f>
        <v/>
      </c>
      <c r="P628" s="15">
        <f>IF($C628="","",IF($K628="","",IF(COUNTIFS(nrES_PID,$D628,nrES_Code,$F628,nrES_Att,"&gt;"&amp;$K628)=0,"Yes","No")))</f>
        <v/>
      </c>
      <c r="Q628" s="15">
        <f>IF($C628="","",IF($L628="","",IF(AND($K628=1,$L628&lt;$J628,COUNTIFS(nrES_PID,$D628,nrES_Code,$F628,nrES_Att,2)=0),"Yes","No")))</f>
        <v/>
      </c>
      <c r="R628" s="15">
        <f>IF($C628="","",IF($L628="","",IF(AND($K628=2,$L628&lt;$J628,COUNTIFS(nrES_PID,$D628,nrES_Code,$F628,nrES_Att,1)&gt;0),"Yes","No")))</f>
        <v/>
      </c>
      <c r="S628" s="16" t="n"/>
      <c r="T628" s="17">
        <f>IF($Q628&lt;&gt;"Yes","",IF($S628="","(enter date)",_xlfn.LET(_xlpm.dn,IFERROR(_xlfn.XLOOKUP($S628,nrCDdate,nrCDnum),""),IF(_xlpm.dn="","(not a class day)",IFERROR(_xlfn.XLOOKUP(_xlpm.dn+cfgRetestClassDays,nrCDnum,nrCDdate),"")))))</f>
        <v/>
      </c>
      <c r="U628" s="15">
        <f>IF($Q628&lt;&gt;"Yes","",IF(COUNTIFS(nrES_PID,$D628,nrES_Code,$F628,nrES_Att,2)&gt;0,"Retested",IF(OR($T628="",NOT(ISNUMBER($T628))),"Pending",IF(TODAY()&gt;$T628,"OVERDUE","Due "&amp;TEXT($T628,"mm/dd")))))</f>
        <v/>
      </c>
      <c r="V628" s="14" t="n"/>
      <c r="W628" s="14" t="n"/>
    </row>
    <row r="629">
      <c r="B629" s="15">
        <f>IF($C629="","",$D629&amp;"-"&amp;$F629&amp;"-"&amp;$K629)</f>
        <v/>
      </c>
      <c r="C629" s="14" t="n"/>
      <c r="D629" s="15">
        <f>IF($C629="","",IFERROR(INDEX(rngCadetPIDs,MATCH($C629,rngCadetNames,0)),"?"))</f>
        <v/>
      </c>
      <c r="E629" s="15">
        <f>IF($D629="","",IFERROR(INDEX(nrCadetAgency,MATCH($D629,rngCadetPIDs,0)),""))</f>
        <v/>
      </c>
      <c r="F629" s="14" t="n"/>
      <c r="G629" s="15">
        <f>IF($F629="","",IFERROR(INDEX(rngEPname,MATCH($F629,rngEPcode,0)),"?"))</f>
        <v/>
      </c>
      <c r="H629" s="15">
        <f>IF($F629="","",IFERROR(INDEX(rngEPtype,MATCH($F629,rngEPcode,0)),"?"))</f>
        <v/>
      </c>
      <c r="I629" s="15">
        <f>IF($F629="","",IFERROR(INDEX(rngEPseq,MATCH($F629,rngEPcode,0)),""))</f>
        <v/>
      </c>
      <c r="J629" s="15">
        <f>IF($F629="","",IFERROR(INDEX(rngEPpass,MATCH($F629,rngEPcode,0)),cfgPassingScore))</f>
        <v/>
      </c>
      <c r="K629" s="14" t="n"/>
      <c r="L629" s="14" t="n"/>
      <c r="M629" s="15">
        <f>IF($C629="","",IF($L629="","",IF($K629=1,IF(COUNTIFS(nrES_PID,$D629,nrES_Code,$F629,nrES_Att,2)&gt;0,"",$L629),IF(COUNTIFS(nrES_PID,$D629,nrES_Code,$F629,nrES_Att,1)=0,$L629,IF($L629&gt;=$J629,cfgRetakeRecordedCap,SUMIFS(nrES_Raw,nrES_PID,$D629,nrES_Code,$F629,nrES_Att,1))))))</f>
        <v/>
      </c>
      <c r="N629" s="15">
        <f>IF($C629="","",IF($L629="","",IF($L629&gt;=$J629,"Yes","No")))</f>
        <v/>
      </c>
      <c r="O629" s="15">
        <f>IF($C629="","",IF($M629="","",IF($M629&gt;=$J629,"Yes","No")))</f>
        <v/>
      </c>
      <c r="P629" s="15">
        <f>IF($C629="","",IF($K629="","",IF(COUNTIFS(nrES_PID,$D629,nrES_Code,$F629,nrES_Att,"&gt;"&amp;$K629)=0,"Yes","No")))</f>
        <v/>
      </c>
      <c r="Q629" s="15">
        <f>IF($C629="","",IF($L629="","",IF(AND($K629=1,$L629&lt;$J629,COUNTIFS(nrES_PID,$D629,nrES_Code,$F629,nrES_Att,2)=0),"Yes","No")))</f>
        <v/>
      </c>
      <c r="R629" s="15">
        <f>IF($C629="","",IF($L629="","",IF(AND($K629=2,$L629&lt;$J629,COUNTIFS(nrES_PID,$D629,nrES_Code,$F629,nrES_Att,1)&gt;0),"Yes","No")))</f>
        <v/>
      </c>
      <c r="S629" s="16" t="n"/>
      <c r="T629" s="17">
        <f>IF($Q629&lt;&gt;"Yes","",IF($S629="","(enter date)",_xlfn.LET(_xlpm.dn,IFERROR(_xlfn.XLOOKUP($S629,nrCDdate,nrCDnum),""),IF(_xlpm.dn="","(not a class day)",IFERROR(_xlfn.XLOOKUP(_xlpm.dn+cfgRetestClassDays,nrCDnum,nrCDdate),"")))))</f>
        <v/>
      </c>
      <c r="U629" s="15">
        <f>IF($Q629&lt;&gt;"Yes","",IF(COUNTIFS(nrES_PID,$D629,nrES_Code,$F629,nrES_Att,2)&gt;0,"Retested",IF(OR($T629="",NOT(ISNUMBER($T629))),"Pending",IF(TODAY()&gt;$T629,"OVERDUE","Due "&amp;TEXT($T629,"mm/dd")))))</f>
        <v/>
      </c>
      <c r="V629" s="14" t="n"/>
      <c r="W629" s="14" t="n"/>
    </row>
    <row r="630">
      <c r="B630" s="15">
        <f>IF($C630="","",$D630&amp;"-"&amp;$F630&amp;"-"&amp;$K630)</f>
        <v/>
      </c>
      <c r="C630" s="14" t="n"/>
      <c r="D630" s="15">
        <f>IF($C630="","",IFERROR(INDEX(rngCadetPIDs,MATCH($C630,rngCadetNames,0)),"?"))</f>
        <v/>
      </c>
      <c r="E630" s="15">
        <f>IF($D630="","",IFERROR(INDEX(nrCadetAgency,MATCH($D630,rngCadetPIDs,0)),""))</f>
        <v/>
      </c>
      <c r="F630" s="14" t="n"/>
      <c r="G630" s="15">
        <f>IF($F630="","",IFERROR(INDEX(rngEPname,MATCH($F630,rngEPcode,0)),"?"))</f>
        <v/>
      </c>
      <c r="H630" s="15">
        <f>IF($F630="","",IFERROR(INDEX(rngEPtype,MATCH($F630,rngEPcode,0)),"?"))</f>
        <v/>
      </c>
      <c r="I630" s="15">
        <f>IF($F630="","",IFERROR(INDEX(rngEPseq,MATCH($F630,rngEPcode,0)),""))</f>
        <v/>
      </c>
      <c r="J630" s="15">
        <f>IF($F630="","",IFERROR(INDEX(rngEPpass,MATCH($F630,rngEPcode,0)),cfgPassingScore))</f>
        <v/>
      </c>
      <c r="K630" s="14" t="n"/>
      <c r="L630" s="14" t="n"/>
      <c r="M630" s="15">
        <f>IF($C630="","",IF($L630="","",IF($K630=1,IF(COUNTIFS(nrES_PID,$D630,nrES_Code,$F630,nrES_Att,2)&gt;0,"",$L630),IF(COUNTIFS(nrES_PID,$D630,nrES_Code,$F630,nrES_Att,1)=0,$L630,IF($L630&gt;=$J630,cfgRetakeRecordedCap,SUMIFS(nrES_Raw,nrES_PID,$D630,nrES_Code,$F630,nrES_Att,1))))))</f>
        <v/>
      </c>
      <c r="N630" s="15">
        <f>IF($C630="","",IF($L630="","",IF($L630&gt;=$J630,"Yes","No")))</f>
        <v/>
      </c>
      <c r="O630" s="15">
        <f>IF($C630="","",IF($M630="","",IF($M630&gt;=$J630,"Yes","No")))</f>
        <v/>
      </c>
      <c r="P630" s="15">
        <f>IF($C630="","",IF($K630="","",IF(COUNTIFS(nrES_PID,$D630,nrES_Code,$F630,nrES_Att,"&gt;"&amp;$K630)=0,"Yes","No")))</f>
        <v/>
      </c>
      <c r="Q630" s="15">
        <f>IF($C630="","",IF($L630="","",IF(AND($K630=1,$L630&lt;$J630,COUNTIFS(nrES_PID,$D630,nrES_Code,$F630,nrES_Att,2)=0),"Yes","No")))</f>
        <v/>
      </c>
      <c r="R630" s="15">
        <f>IF($C630="","",IF($L630="","",IF(AND($K630=2,$L630&lt;$J630,COUNTIFS(nrES_PID,$D630,nrES_Code,$F630,nrES_Att,1)&gt;0),"Yes","No")))</f>
        <v/>
      </c>
      <c r="S630" s="16" t="n"/>
      <c r="T630" s="17">
        <f>IF($Q630&lt;&gt;"Yes","",IF($S630="","(enter date)",_xlfn.LET(_xlpm.dn,IFERROR(_xlfn.XLOOKUP($S630,nrCDdate,nrCDnum),""),IF(_xlpm.dn="","(not a class day)",IFERROR(_xlfn.XLOOKUP(_xlpm.dn+cfgRetestClassDays,nrCDnum,nrCDdate),"")))))</f>
        <v/>
      </c>
      <c r="U630" s="15">
        <f>IF($Q630&lt;&gt;"Yes","",IF(COUNTIFS(nrES_PID,$D630,nrES_Code,$F630,nrES_Att,2)&gt;0,"Retested",IF(OR($T630="",NOT(ISNUMBER($T630))),"Pending",IF(TODAY()&gt;$T630,"OVERDUE","Due "&amp;TEXT($T630,"mm/dd")))))</f>
        <v/>
      </c>
      <c r="V630" s="14" t="n"/>
      <c r="W630" s="14" t="n"/>
    </row>
    <row r="631">
      <c r="B631" s="15">
        <f>IF($C631="","",$D631&amp;"-"&amp;$F631&amp;"-"&amp;$K631)</f>
        <v/>
      </c>
      <c r="C631" s="14" t="n"/>
      <c r="D631" s="15">
        <f>IF($C631="","",IFERROR(INDEX(rngCadetPIDs,MATCH($C631,rngCadetNames,0)),"?"))</f>
        <v/>
      </c>
      <c r="E631" s="15">
        <f>IF($D631="","",IFERROR(INDEX(nrCadetAgency,MATCH($D631,rngCadetPIDs,0)),""))</f>
        <v/>
      </c>
      <c r="F631" s="14" t="n"/>
      <c r="G631" s="15">
        <f>IF($F631="","",IFERROR(INDEX(rngEPname,MATCH($F631,rngEPcode,0)),"?"))</f>
        <v/>
      </c>
      <c r="H631" s="15">
        <f>IF($F631="","",IFERROR(INDEX(rngEPtype,MATCH($F631,rngEPcode,0)),"?"))</f>
        <v/>
      </c>
      <c r="I631" s="15">
        <f>IF($F631="","",IFERROR(INDEX(rngEPseq,MATCH($F631,rngEPcode,0)),""))</f>
        <v/>
      </c>
      <c r="J631" s="15">
        <f>IF($F631="","",IFERROR(INDEX(rngEPpass,MATCH($F631,rngEPcode,0)),cfgPassingScore))</f>
        <v/>
      </c>
      <c r="K631" s="14" t="n"/>
      <c r="L631" s="14" t="n"/>
      <c r="M631" s="15">
        <f>IF($C631="","",IF($L631="","",IF($K631=1,IF(COUNTIFS(nrES_PID,$D631,nrES_Code,$F631,nrES_Att,2)&gt;0,"",$L631),IF(COUNTIFS(nrES_PID,$D631,nrES_Code,$F631,nrES_Att,1)=0,$L631,IF($L631&gt;=$J631,cfgRetakeRecordedCap,SUMIFS(nrES_Raw,nrES_PID,$D631,nrES_Code,$F631,nrES_Att,1))))))</f>
        <v/>
      </c>
      <c r="N631" s="15">
        <f>IF($C631="","",IF($L631="","",IF($L631&gt;=$J631,"Yes","No")))</f>
        <v/>
      </c>
      <c r="O631" s="15">
        <f>IF($C631="","",IF($M631="","",IF($M631&gt;=$J631,"Yes","No")))</f>
        <v/>
      </c>
      <c r="P631" s="15">
        <f>IF($C631="","",IF($K631="","",IF(COUNTIFS(nrES_PID,$D631,nrES_Code,$F631,nrES_Att,"&gt;"&amp;$K631)=0,"Yes","No")))</f>
        <v/>
      </c>
      <c r="Q631" s="15">
        <f>IF($C631="","",IF($L631="","",IF(AND($K631=1,$L631&lt;$J631,COUNTIFS(nrES_PID,$D631,nrES_Code,$F631,nrES_Att,2)=0),"Yes","No")))</f>
        <v/>
      </c>
      <c r="R631" s="15">
        <f>IF($C631="","",IF($L631="","",IF(AND($K631=2,$L631&lt;$J631,COUNTIFS(nrES_PID,$D631,nrES_Code,$F631,nrES_Att,1)&gt;0),"Yes","No")))</f>
        <v/>
      </c>
      <c r="S631" s="16" t="n"/>
      <c r="T631" s="17">
        <f>IF($Q631&lt;&gt;"Yes","",IF($S631="","(enter date)",_xlfn.LET(_xlpm.dn,IFERROR(_xlfn.XLOOKUP($S631,nrCDdate,nrCDnum),""),IF(_xlpm.dn="","(not a class day)",IFERROR(_xlfn.XLOOKUP(_xlpm.dn+cfgRetestClassDays,nrCDnum,nrCDdate),"")))))</f>
        <v/>
      </c>
      <c r="U631" s="15">
        <f>IF($Q631&lt;&gt;"Yes","",IF(COUNTIFS(nrES_PID,$D631,nrES_Code,$F631,nrES_Att,2)&gt;0,"Retested",IF(OR($T631="",NOT(ISNUMBER($T631))),"Pending",IF(TODAY()&gt;$T631,"OVERDUE","Due "&amp;TEXT($T631,"mm/dd")))))</f>
        <v/>
      </c>
      <c r="V631" s="14" t="n"/>
      <c r="W631" s="14" t="n"/>
    </row>
    <row r="632">
      <c r="B632" s="15">
        <f>IF($C632="","",$D632&amp;"-"&amp;$F632&amp;"-"&amp;$K632)</f>
        <v/>
      </c>
      <c r="C632" s="14" t="n"/>
      <c r="D632" s="15">
        <f>IF($C632="","",IFERROR(INDEX(rngCadetPIDs,MATCH($C632,rngCadetNames,0)),"?"))</f>
        <v/>
      </c>
      <c r="E632" s="15">
        <f>IF($D632="","",IFERROR(INDEX(nrCadetAgency,MATCH($D632,rngCadetPIDs,0)),""))</f>
        <v/>
      </c>
      <c r="F632" s="14" t="n"/>
      <c r="G632" s="15">
        <f>IF($F632="","",IFERROR(INDEX(rngEPname,MATCH($F632,rngEPcode,0)),"?"))</f>
        <v/>
      </c>
      <c r="H632" s="15">
        <f>IF($F632="","",IFERROR(INDEX(rngEPtype,MATCH($F632,rngEPcode,0)),"?"))</f>
        <v/>
      </c>
      <c r="I632" s="15">
        <f>IF($F632="","",IFERROR(INDEX(rngEPseq,MATCH($F632,rngEPcode,0)),""))</f>
        <v/>
      </c>
      <c r="J632" s="15">
        <f>IF($F632="","",IFERROR(INDEX(rngEPpass,MATCH($F632,rngEPcode,0)),cfgPassingScore))</f>
        <v/>
      </c>
      <c r="K632" s="14" t="n"/>
      <c r="L632" s="14" t="n"/>
      <c r="M632" s="15">
        <f>IF($C632="","",IF($L632="","",IF($K632=1,IF(COUNTIFS(nrES_PID,$D632,nrES_Code,$F632,nrES_Att,2)&gt;0,"",$L632),IF(COUNTIFS(nrES_PID,$D632,nrES_Code,$F632,nrES_Att,1)=0,$L632,IF($L632&gt;=$J632,cfgRetakeRecordedCap,SUMIFS(nrES_Raw,nrES_PID,$D632,nrES_Code,$F632,nrES_Att,1))))))</f>
        <v/>
      </c>
      <c r="N632" s="15">
        <f>IF($C632="","",IF($L632="","",IF($L632&gt;=$J632,"Yes","No")))</f>
        <v/>
      </c>
      <c r="O632" s="15">
        <f>IF($C632="","",IF($M632="","",IF($M632&gt;=$J632,"Yes","No")))</f>
        <v/>
      </c>
      <c r="P632" s="15">
        <f>IF($C632="","",IF($K632="","",IF(COUNTIFS(nrES_PID,$D632,nrES_Code,$F632,nrES_Att,"&gt;"&amp;$K632)=0,"Yes","No")))</f>
        <v/>
      </c>
      <c r="Q632" s="15">
        <f>IF($C632="","",IF($L632="","",IF(AND($K632=1,$L632&lt;$J632,COUNTIFS(nrES_PID,$D632,nrES_Code,$F632,nrES_Att,2)=0),"Yes","No")))</f>
        <v/>
      </c>
      <c r="R632" s="15">
        <f>IF($C632="","",IF($L632="","",IF(AND($K632=2,$L632&lt;$J632,COUNTIFS(nrES_PID,$D632,nrES_Code,$F632,nrES_Att,1)&gt;0),"Yes","No")))</f>
        <v/>
      </c>
      <c r="S632" s="16" t="n"/>
      <c r="T632" s="17">
        <f>IF($Q632&lt;&gt;"Yes","",IF($S632="","(enter date)",_xlfn.LET(_xlpm.dn,IFERROR(_xlfn.XLOOKUP($S632,nrCDdate,nrCDnum),""),IF(_xlpm.dn="","(not a class day)",IFERROR(_xlfn.XLOOKUP(_xlpm.dn+cfgRetestClassDays,nrCDnum,nrCDdate),"")))))</f>
        <v/>
      </c>
      <c r="U632" s="15">
        <f>IF($Q632&lt;&gt;"Yes","",IF(COUNTIFS(nrES_PID,$D632,nrES_Code,$F632,nrES_Att,2)&gt;0,"Retested",IF(OR($T632="",NOT(ISNUMBER($T632))),"Pending",IF(TODAY()&gt;$T632,"OVERDUE","Due "&amp;TEXT($T632,"mm/dd")))))</f>
        <v/>
      </c>
      <c r="V632" s="14" t="n"/>
      <c r="W632" s="14" t="n"/>
    </row>
    <row r="633">
      <c r="B633" s="15">
        <f>IF($C633="","",$D633&amp;"-"&amp;$F633&amp;"-"&amp;$K633)</f>
        <v/>
      </c>
      <c r="C633" s="14" t="n"/>
      <c r="D633" s="15">
        <f>IF($C633="","",IFERROR(INDEX(rngCadetPIDs,MATCH($C633,rngCadetNames,0)),"?"))</f>
        <v/>
      </c>
      <c r="E633" s="15">
        <f>IF($D633="","",IFERROR(INDEX(nrCadetAgency,MATCH($D633,rngCadetPIDs,0)),""))</f>
        <v/>
      </c>
      <c r="F633" s="14" t="n"/>
      <c r="G633" s="15">
        <f>IF($F633="","",IFERROR(INDEX(rngEPname,MATCH($F633,rngEPcode,0)),"?"))</f>
        <v/>
      </c>
      <c r="H633" s="15">
        <f>IF($F633="","",IFERROR(INDEX(rngEPtype,MATCH($F633,rngEPcode,0)),"?"))</f>
        <v/>
      </c>
      <c r="I633" s="15">
        <f>IF($F633="","",IFERROR(INDEX(rngEPseq,MATCH($F633,rngEPcode,0)),""))</f>
        <v/>
      </c>
      <c r="J633" s="15">
        <f>IF($F633="","",IFERROR(INDEX(rngEPpass,MATCH($F633,rngEPcode,0)),cfgPassingScore))</f>
        <v/>
      </c>
      <c r="K633" s="14" t="n"/>
      <c r="L633" s="14" t="n"/>
      <c r="M633" s="15">
        <f>IF($C633="","",IF($L633="","",IF($K633=1,IF(COUNTIFS(nrES_PID,$D633,nrES_Code,$F633,nrES_Att,2)&gt;0,"",$L633),IF(COUNTIFS(nrES_PID,$D633,nrES_Code,$F633,nrES_Att,1)=0,$L633,IF($L633&gt;=$J633,cfgRetakeRecordedCap,SUMIFS(nrES_Raw,nrES_PID,$D633,nrES_Code,$F633,nrES_Att,1))))))</f>
        <v/>
      </c>
      <c r="N633" s="15">
        <f>IF($C633="","",IF($L633="","",IF($L633&gt;=$J633,"Yes","No")))</f>
        <v/>
      </c>
      <c r="O633" s="15">
        <f>IF($C633="","",IF($M633="","",IF($M633&gt;=$J633,"Yes","No")))</f>
        <v/>
      </c>
      <c r="P633" s="15">
        <f>IF($C633="","",IF($K633="","",IF(COUNTIFS(nrES_PID,$D633,nrES_Code,$F633,nrES_Att,"&gt;"&amp;$K633)=0,"Yes","No")))</f>
        <v/>
      </c>
      <c r="Q633" s="15">
        <f>IF($C633="","",IF($L633="","",IF(AND($K633=1,$L633&lt;$J633,COUNTIFS(nrES_PID,$D633,nrES_Code,$F633,nrES_Att,2)=0),"Yes","No")))</f>
        <v/>
      </c>
      <c r="R633" s="15">
        <f>IF($C633="","",IF($L633="","",IF(AND($K633=2,$L633&lt;$J633,COUNTIFS(nrES_PID,$D633,nrES_Code,$F633,nrES_Att,1)&gt;0),"Yes","No")))</f>
        <v/>
      </c>
      <c r="S633" s="16" t="n"/>
      <c r="T633" s="17">
        <f>IF($Q633&lt;&gt;"Yes","",IF($S633="","(enter date)",_xlfn.LET(_xlpm.dn,IFERROR(_xlfn.XLOOKUP($S633,nrCDdate,nrCDnum),""),IF(_xlpm.dn="","(not a class day)",IFERROR(_xlfn.XLOOKUP(_xlpm.dn+cfgRetestClassDays,nrCDnum,nrCDdate),"")))))</f>
        <v/>
      </c>
      <c r="U633" s="15">
        <f>IF($Q633&lt;&gt;"Yes","",IF(COUNTIFS(nrES_PID,$D633,nrES_Code,$F633,nrES_Att,2)&gt;0,"Retested",IF(OR($T633="",NOT(ISNUMBER($T633))),"Pending",IF(TODAY()&gt;$T633,"OVERDUE","Due "&amp;TEXT($T633,"mm/dd")))))</f>
        <v/>
      </c>
      <c r="V633" s="14" t="n"/>
      <c r="W633" s="14" t="n"/>
    </row>
    <row r="634">
      <c r="B634" s="15">
        <f>IF($C634="","",$D634&amp;"-"&amp;$F634&amp;"-"&amp;$K634)</f>
        <v/>
      </c>
      <c r="C634" s="14" t="n"/>
      <c r="D634" s="15">
        <f>IF($C634="","",IFERROR(INDEX(rngCadetPIDs,MATCH($C634,rngCadetNames,0)),"?"))</f>
        <v/>
      </c>
      <c r="E634" s="15">
        <f>IF($D634="","",IFERROR(INDEX(nrCadetAgency,MATCH($D634,rngCadetPIDs,0)),""))</f>
        <v/>
      </c>
      <c r="F634" s="14" t="n"/>
      <c r="G634" s="15">
        <f>IF($F634="","",IFERROR(INDEX(rngEPname,MATCH($F634,rngEPcode,0)),"?"))</f>
        <v/>
      </c>
      <c r="H634" s="15">
        <f>IF($F634="","",IFERROR(INDEX(rngEPtype,MATCH($F634,rngEPcode,0)),"?"))</f>
        <v/>
      </c>
      <c r="I634" s="15">
        <f>IF($F634="","",IFERROR(INDEX(rngEPseq,MATCH($F634,rngEPcode,0)),""))</f>
        <v/>
      </c>
      <c r="J634" s="15">
        <f>IF($F634="","",IFERROR(INDEX(rngEPpass,MATCH($F634,rngEPcode,0)),cfgPassingScore))</f>
        <v/>
      </c>
      <c r="K634" s="14" t="n"/>
      <c r="L634" s="14" t="n"/>
      <c r="M634" s="15">
        <f>IF($C634="","",IF($L634="","",IF($K634=1,IF(COUNTIFS(nrES_PID,$D634,nrES_Code,$F634,nrES_Att,2)&gt;0,"",$L634),IF(COUNTIFS(nrES_PID,$D634,nrES_Code,$F634,nrES_Att,1)=0,$L634,IF($L634&gt;=$J634,cfgRetakeRecordedCap,SUMIFS(nrES_Raw,nrES_PID,$D634,nrES_Code,$F634,nrES_Att,1))))))</f>
        <v/>
      </c>
      <c r="N634" s="15">
        <f>IF($C634="","",IF($L634="","",IF($L634&gt;=$J634,"Yes","No")))</f>
        <v/>
      </c>
      <c r="O634" s="15">
        <f>IF($C634="","",IF($M634="","",IF($M634&gt;=$J634,"Yes","No")))</f>
        <v/>
      </c>
      <c r="P634" s="15">
        <f>IF($C634="","",IF($K634="","",IF(COUNTIFS(nrES_PID,$D634,nrES_Code,$F634,nrES_Att,"&gt;"&amp;$K634)=0,"Yes","No")))</f>
        <v/>
      </c>
      <c r="Q634" s="15">
        <f>IF($C634="","",IF($L634="","",IF(AND($K634=1,$L634&lt;$J634,COUNTIFS(nrES_PID,$D634,nrES_Code,$F634,nrES_Att,2)=0),"Yes","No")))</f>
        <v/>
      </c>
      <c r="R634" s="15">
        <f>IF($C634="","",IF($L634="","",IF(AND($K634=2,$L634&lt;$J634,COUNTIFS(nrES_PID,$D634,nrES_Code,$F634,nrES_Att,1)&gt;0),"Yes","No")))</f>
        <v/>
      </c>
      <c r="S634" s="16" t="n"/>
      <c r="T634" s="17">
        <f>IF($Q634&lt;&gt;"Yes","",IF($S634="","(enter date)",_xlfn.LET(_xlpm.dn,IFERROR(_xlfn.XLOOKUP($S634,nrCDdate,nrCDnum),""),IF(_xlpm.dn="","(not a class day)",IFERROR(_xlfn.XLOOKUP(_xlpm.dn+cfgRetestClassDays,nrCDnum,nrCDdate),"")))))</f>
        <v/>
      </c>
      <c r="U634" s="15">
        <f>IF($Q634&lt;&gt;"Yes","",IF(COUNTIFS(nrES_PID,$D634,nrES_Code,$F634,nrES_Att,2)&gt;0,"Retested",IF(OR($T634="",NOT(ISNUMBER($T634))),"Pending",IF(TODAY()&gt;$T634,"OVERDUE","Due "&amp;TEXT($T634,"mm/dd")))))</f>
        <v/>
      </c>
      <c r="V634" s="14" t="n"/>
      <c r="W634" s="14" t="n"/>
    </row>
    <row r="635">
      <c r="B635" s="15">
        <f>IF($C635="","",$D635&amp;"-"&amp;$F635&amp;"-"&amp;$K635)</f>
        <v/>
      </c>
      <c r="C635" s="14" t="n"/>
      <c r="D635" s="15">
        <f>IF($C635="","",IFERROR(INDEX(rngCadetPIDs,MATCH($C635,rngCadetNames,0)),"?"))</f>
        <v/>
      </c>
      <c r="E635" s="15">
        <f>IF($D635="","",IFERROR(INDEX(nrCadetAgency,MATCH($D635,rngCadetPIDs,0)),""))</f>
        <v/>
      </c>
      <c r="F635" s="14" t="n"/>
      <c r="G635" s="15">
        <f>IF($F635="","",IFERROR(INDEX(rngEPname,MATCH($F635,rngEPcode,0)),"?"))</f>
        <v/>
      </c>
      <c r="H635" s="15">
        <f>IF($F635="","",IFERROR(INDEX(rngEPtype,MATCH($F635,rngEPcode,0)),"?"))</f>
        <v/>
      </c>
      <c r="I635" s="15">
        <f>IF($F635="","",IFERROR(INDEX(rngEPseq,MATCH($F635,rngEPcode,0)),""))</f>
        <v/>
      </c>
      <c r="J635" s="15">
        <f>IF($F635="","",IFERROR(INDEX(rngEPpass,MATCH($F635,rngEPcode,0)),cfgPassingScore))</f>
        <v/>
      </c>
      <c r="K635" s="14" t="n"/>
      <c r="L635" s="14" t="n"/>
      <c r="M635" s="15">
        <f>IF($C635="","",IF($L635="","",IF($K635=1,IF(COUNTIFS(nrES_PID,$D635,nrES_Code,$F635,nrES_Att,2)&gt;0,"",$L635),IF(COUNTIFS(nrES_PID,$D635,nrES_Code,$F635,nrES_Att,1)=0,$L635,IF($L635&gt;=$J635,cfgRetakeRecordedCap,SUMIFS(nrES_Raw,nrES_PID,$D635,nrES_Code,$F635,nrES_Att,1))))))</f>
        <v/>
      </c>
      <c r="N635" s="15">
        <f>IF($C635="","",IF($L635="","",IF($L635&gt;=$J635,"Yes","No")))</f>
        <v/>
      </c>
      <c r="O635" s="15">
        <f>IF($C635="","",IF($M635="","",IF($M635&gt;=$J635,"Yes","No")))</f>
        <v/>
      </c>
      <c r="P635" s="15">
        <f>IF($C635="","",IF($K635="","",IF(COUNTIFS(nrES_PID,$D635,nrES_Code,$F635,nrES_Att,"&gt;"&amp;$K635)=0,"Yes","No")))</f>
        <v/>
      </c>
      <c r="Q635" s="15">
        <f>IF($C635="","",IF($L635="","",IF(AND($K635=1,$L635&lt;$J635,COUNTIFS(nrES_PID,$D635,nrES_Code,$F635,nrES_Att,2)=0),"Yes","No")))</f>
        <v/>
      </c>
      <c r="R635" s="15">
        <f>IF($C635="","",IF($L635="","",IF(AND($K635=2,$L635&lt;$J635,COUNTIFS(nrES_PID,$D635,nrES_Code,$F635,nrES_Att,1)&gt;0),"Yes","No")))</f>
        <v/>
      </c>
      <c r="S635" s="16" t="n"/>
      <c r="T635" s="17">
        <f>IF($Q635&lt;&gt;"Yes","",IF($S635="","(enter date)",_xlfn.LET(_xlpm.dn,IFERROR(_xlfn.XLOOKUP($S635,nrCDdate,nrCDnum),""),IF(_xlpm.dn="","(not a class day)",IFERROR(_xlfn.XLOOKUP(_xlpm.dn+cfgRetestClassDays,nrCDnum,nrCDdate),"")))))</f>
        <v/>
      </c>
      <c r="U635" s="15">
        <f>IF($Q635&lt;&gt;"Yes","",IF(COUNTIFS(nrES_PID,$D635,nrES_Code,$F635,nrES_Att,2)&gt;0,"Retested",IF(OR($T635="",NOT(ISNUMBER($T635))),"Pending",IF(TODAY()&gt;$T635,"OVERDUE","Due "&amp;TEXT($T635,"mm/dd")))))</f>
        <v/>
      </c>
      <c r="V635" s="14" t="n"/>
      <c r="W635" s="14" t="n"/>
    </row>
    <row r="636">
      <c r="B636" s="15">
        <f>IF($C636="","",$D636&amp;"-"&amp;$F636&amp;"-"&amp;$K636)</f>
        <v/>
      </c>
      <c r="C636" s="14" t="n"/>
      <c r="D636" s="15">
        <f>IF($C636="","",IFERROR(INDEX(rngCadetPIDs,MATCH($C636,rngCadetNames,0)),"?"))</f>
        <v/>
      </c>
      <c r="E636" s="15">
        <f>IF($D636="","",IFERROR(INDEX(nrCadetAgency,MATCH($D636,rngCadetPIDs,0)),""))</f>
        <v/>
      </c>
      <c r="F636" s="14" t="n"/>
      <c r="G636" s="15">
        <f>IF($F636="","",IFERROR(INDEX(rngEPname,MATCH($F636,rngEPcode,0)),"?"))</f>
        <v/>
      </c>
      <c r="H636" s="15">
        <f>IF($F636="","",IFERROR(INDEX(rngEPtype,MATCH($F636,rngEPcode,0)),"?"))</f>
        <v/>
      </c>
      <c r="I636" s="15">
        <f>IF($F636="","",IFERROR(INDEX(rngEPseq,MATCH($F636,rngEPcode,0)),""))</f>
        <v/>
      </c>
      <c r="J636" s="15">
        <f>IF($F636="","",IFERROR(INDEX(rngEPpass,MATCH($F636,rngEPcode,0)),cfgPassingScore))</f>
        <v/>
      </c>
      <c r="K636" s="14" t="n"/>
      <c r="L636" s="14" t="n"/>
      <c r="M636" s="15">
        <f>IF($C636="","",IF($L636="","",IF($K636=1,IF(COUNTIFS(nrES_PID,$D636,nrES_Code,$F636,nrES_Att,2)&gt;0,"",$L636),IF(COUNTIFS(nrES_PID,$D636,nrES_Code,$F636,nrES_Att,1)=0,$L636,IF($L636&gt;=$J636,cfgRetakeRecordedCap,SUMIFS(nrES_Raw,nrES_PID,$D636,nrES_Code,$F636,nrES_Att,1))))))</f>
        <v/>
      </c>
      <c r="N636" s="15">
        <f>IF($C636="","",IF($L636="","",IF($L636&gt;=$J636,"Yes","No")))</f>
        <v/>
      </c>
      <c r="O636" s="15">
        <f>IF($C636="","",IF($M636="","",IF($M636&gt;=$J636,"Yes","No")))</f>
        <v/>
      </c>
      <c r="P636" s="15">
        <f>IF($C636="","",IF($K636="","",IF(COUNTIFS(nrES_PID,$D636,nrES_Code,$F636,nrES_Att,"&gt;"&amp;$K636)=0,"Yes","No")))</f>
        <v/>
      </c>
      <c r="Q636" s="15">
        <f>IF($C636="","",IF($L636="","",IF(AND($K636=1,$L636&lt;$J636,COUNTIFS(nrES_PID,$D636,nrES_Code,$F636,nrES_Att,2)=0),"Yes","No")))</f>
        <v/>
      </c>
      <c r="R636" s="15">
        <f>IF($C636="","",IF($L636="","",IF(AND($K636=2,$L636&lt;$J636,COUNTIFS(nrES_PID,$D636,nrES_Code,$F636,nrES_Att,1)&gt;0),"Yes","No")))</f>
        <v/>
      </c>
      <c r="S636" s="16" t="n"/>
      <c r="T636" s="17">
        <f>IF($Q636&lt;&gt;"Yes","",IF($S636="","(enter date)",_xlfn.LET(_xlpm.dn,IFERROR(_xlfn.XLOOKUP($S636,nrCDdate,nrCDnum),""),IF(_xlpm.dn="","(not a class day)",IFERROR(_xlfn.XLOOKUP(_xlpm.dn+cfgRetestClassDays,nrCDnum,nrCDdate),"")))))</f>
        <v/>
      </c>
      <c r="U636" s="15">
        <f>IF($Q636&lt;&gt;"Yes","",IF(COUNTIFS(nrES_PID,$D636,nrES_Code,$F636,nrES_Att,2)&gt;0,"Retested",IF(OR($T636="",NOT(ISNUMBER($T636))),"Pending",IF(TODAY()&gt;$T636,"OVERDUE","Due "&amp;TEXT($T636,"mm/dd")))))</f>
        <v/>
      </c>
      <c r="V636" s="14" t="n"/>
      <c r="W636" s="14" t="n"/>
    </row>
    <row r="637">
      <c r="B637" s="15">
        <f>IF($C637="","",$D637&amp;"-"&amp;$F637&amp;"-"&amp;$K637)</f>
        <v/>
      </c>
      <c r="C637" s="14" t="n"/>
      <c r="D637" s="15">
        <f>IF($C637="","",IFERROR(INDEX(rngCadetPIDs,MATCH($C637,rngCadetNames,0)),"?"))</f>
        <v/>
      </c>
      <c r="E637" s="15">
        <f>IF($D637="","",IFERROR(INDEX(nrCadetAgency,MATCH($D637,rngCadetPIDs,0)),""))</f>
        <v/>
      </c>
      <c r="F637" s="14" t="n"/>
      <c r="G637" s="15">
        <f>IF($F637="","",IFERROR(INDEX(rngEPname,MATCH($F637,rngEPcode,0)),"?"))</f>
        <v/>
      </c>
      <c r="H637" s="15">
        <f>IF($F637="","",IFERROR(INDEX(rngEPtype,MATCH($F637,rngEPcode,0)),"?"))</f>
        <v/>
      </c>
      <c r="I637" s="15">
        <f>IF($F637="","",IFERROR(INDEX(rngEPseq,MATCH($F637,rngEPcode,0)),""))</f>
        <v/>
      </c>
      <c r="J637" s="15">
        <f>IF($F637="","",IFERROR(INDEX(rngEPpass,MATCH($F637,rngEPcode,0)),cfgPassingScore))</f>
        <v/>
      </c>
      <c r="K637" s="14" t="n"/>
      <c r="L637" s="14" t="n"/>
      <c r="M637" s="15">
        <f>IF($C637="","",IF($L637="","",IF($K637=1,IF(COUNTIFS(nrES_PID,$D637,nrES_Code,$F637,nrES_Att,2)&gt;0,"",$L637),IF(COUNTIFS(nrES_PID,$D637,nrES_Code,$F637,nrES_Att,1)=0,$L637,IF($L637&gt;=$J637,cfgRetakeRecordedCap,SUMIFS(nrES_Raw,nrES_PID,$D637,nrES_Code,$F637,nrES_Att,1))))))</f>
        <v/>
      </c>
      <c r="N637" s="15">
        <f>IF($C637="","",IF($L637="","",IF($L637&gt;=$J637,"Yes","No")))</f>
        <v/>
      </c>
      <c r="O637" s="15">
        <f>IF($C637="","",IF($M637="","",IF($M637&gt;=$J637,"Yes","No")))</f>
        <v/>
      </c>
      <c r="P637" s="15">
        <f>IF($C637="","",IF($K637="","",IF(COUNTIFS(nrES_PID,$D637,nrES_Code,$F637,nrES_Att,"&gt;"&amp;$K637)=0,"Yes","No")))</f>
        <v/>
      </c>
      <c r="Q637" s="15">
        <f>IF($C637="","",IF($L637="","",IF(AND($K637=1,$L637&lt;$J637,COUNTIFS(nrES_PID,$D637,nrES_Code,$F637,nrES_Att,2)=0),"Yes","No")))</f>
        <v/>
      </c>
      <c r="R637" s="15">
        <f>IF($C637="","",IF($L637="","",IF(AND($K637=2,$L637&lt;$J637,COUNTIFS(nrES_PID,$D637,nrES_Code,$F637,nrES_Att,1)&gt;0),"Yes","No")))</f>
        <v/>
      </c>
      <c r="S637" s="16" t="n"/>
      <c r="T637" s="17">
        <f>IF($Q637&lt;&gt;"Yes","",IF($S637="","(enter date)",_xlfn.LET(_xlpm.dn,IFERROR(_xlfn.XLOOKUP($S637,nrCDdate,nrCDnum),""),IF(_xlpm.dn="","(not a class day)",IFERROR(_xlfn.XLOOKUP(_xlpm.dn+cfgRetestClassDays,nrCDnum,nrCDdate),"")))))</f>
        <v/>
      </c>
      <c r="U637" s="15">
        <f>IF($Q637&lt;&gt;"Yes","",IF(COUNTIFS(nrES_PID,$D637,nrES_Code,$F637,nrES_Att,2)&gt;0,"Retested",IF(OR($T637="",NOT(ISNUMBER($T637))),"Pending",IF(TODAY()&gt;$T637,"OVERDUE","Due "&amp;TEXT($T637,"mm/dd")))))</f>
        <v/>
      </c>
      <c r="V637" s="14" t="n"/>
      <c r="W637" s="14" t="n"/>
    </row>
    <row r="638">
      <c r="B638" s="15">
        <f>IF($C638="","",$D638&amp;"-"&amp;$F638&amp;"-"&amp;$K638)</f>
        <v/>
      </c>
      <c r="C638" s="14" t="n"/>
      <c r="D638" s="15">
        <f>IF($C638="","",IFERROR(INDEX(rngCadetPIDs,MATCH($C638,rngCadetNames,0)),"?"))</f>
        <v/>
      </c>
      <c r="E638" s="15">
        <f>IF($D638="","",IFERROR(INDEX(nrCadetAgency,MATCH($D638,rngCadetPIDs,0)),""))</f>
        <v/>
      </c>
      <c r="F638" s="14" t="n"/>
      <c r="G638" s="15">
        <f>IF($F638="","",IFERROR(INDEX(rngEPname,MATCH($F638,rngEPcode,0)),"?"))</f>
        <v/>
      </c>
      <c r="H638" s="15">
        <f>IF($F638="","",IFERROR(INDEX(rngEPtype,MATCH($F638,rngEPcode,0)),"?"))</f>
        <v/>
      </c>
      <c r="I638" s="15">
        <f>IF($F638="","",IFERROR(INDEX(rngEPseq,MATCH($F638,rngEPcode,0)),""))</f>
        <v/>
      </c>
      <c r="J638" s="15">
        <f>IF($F638="","",IFERROR(INDEX(rngEPpass,MATCH($F638,rngEPcode,0)),cfgPassingScore))</f>
        <v/>
      </c>
      <c r="K638" s="14" t="n"/>
      <c r="L638" s="14" t="n"/>
      <c r="M638" s="15">
        <f>IF($C638="","",IF($L638="","",IF($K638=1,IF(COUNTIFS(nrES_PID,$D638,nrES_Code,$F638,nrES_Att,2)&gt;0,"",$L638),IF(COUNTIFS(nrES_PID,$D638,nrES_Code,$F638,nrES_Att,1)=0,$L638,IF($L638&gt;=$J638,cfgRetakeRecordedCap,SUMIFS(nrES_Raw,nrES_PID,$D638,nrES_Code,$F638,nrES_Att,1))))))</f>
        <v/>
      </c>
      <c r="N638" s="15">
        <f>IF($C638="","",IF($L638="","",IF($L638&gt;=$J638,"Yes","No")))</f>
        <v/>
      </c>
      <c r="O638" s="15">
        <f>IF($C638="","",IF($M638="","",IF($M638&gt;=$J638,"Yes","No")))</f>
        <v/>
      </c>
      <c r="P638" s="15">
        <f>IF($C638="","",IF($K638="","",IF(COUNTIFS(nrES_PID,$D638,nrES_Code,$F638,nrES_Att,"&gt;"&amp;$K638)=0,"Yes","No")))</f>
        <v/>
      </c>
      <c r="Q638" s="15">
        <f>IF($C638="","",IF($L638="","",IF(AND($K638=1,$L638&lt;$J638,COUNTIFS(nrES_PID,$D638,nrES_Code,$F638,nrES_Att,2)=0),"Yes","No")))</f>
        <v/>
      </c>
      <c r="R638" s="15">
        <f>IF($C638="","",IF($L638="","",IF(AND($K638=2,$L638&lt;$J638,COUNTIFS(nrES_PID,$D638,nrES_Code,$F638,nrES_Att,1)&gt;0),"Yes","No")))</f>
        <v/>
      </c>
      <c r="S638" s="16" t="n"/>
      <c r="T638" s="17">
        <f>IF($Q638&lt;&gt;"Yes","",IF($S638="","(enter date)",_xlfn.LET(_xlpm.dn,IFERROR(_xlfn.XLOOKUP($S638,nrCDdate,nrCDnum),""),IF(_xlpm.dn="","(not a class day)",IFERROR(_xlfn.XLOOKUP(_xlpm.dn+cfgRetestClassDays,nrCDnum,nrCDdate),"")))))</f>
        <v/>
      </c>
      <c r="U638" s="15">
        <f>IF($Q638&lt;&gt;"Yes","",IF(COUNTIFS(nrES_PID,$D638,nrES_Code,$F638,nrES_Att,2)&gt;0,"Retested",IF(OR($T638="",NOT(ISNUMBER($T638))),"Pending",IF(TODAY()&gt;$T638,"OVERDUE","Due "&amp;TEXT($T638,"mm/dd")))))</f>
        <v/>
      </c>
      <c r="V638" s="14" t="n"/>
      <c r="W638" s="14" t="n"/>
    </row>
    <row r="639">
      <c r="B639" s="15">
        <f>IF($C639="","",$D639&amp;"-"&amp;$F639&amp;"-"&amp;$K639)</f>
        <v/>
      </c>
      <c r="C639" s="14" t="n"/>
      <c r="D639" s="15">
        <f>IF($C639="","",IFERROR(INDEX(rngCadetPIDs,MATCH($C639,rngCadetNames,0)),"?"))</f>
        <v/>
      </c>
      <c r="E639" s="15">
        <f>IF($D639="","",IFERROR(INDEX(nrCadetAgency,MATCH($D639,rngCadetPIDs,0)),""))</f>
        <v/>
      </c>
      <c r="F639" s="14" t="n"/>
      <c r="G639" s="15">
        <f>IF($F639="","",IFERROR(INDEX(rngEPname,MATCH($F639,rngEPcode,0)),"?"))</f>
        <v/>
      </c>
      <c r="H639" s="15">
        <f>IF($F639="","",IFERROR(INDEX(rngEPtype,MATCH($F639,rngEPcode,0)),"?"))</f>
        <v/>
      </c>
      <c r="I639" s="15">
        <f>IF($F639="","",IFERROR(INDEX(rngEPseq,MATCH($F639,rngEPcode,0)),""))</f>
        <v/>
      </c>
      <c r="J639" s="15">
        <f>IF($F639="","",IFERROR(INDEX(rngEPpass,MATCH($F639,rngEPcode,0)),cfgPassingScore))</f>
        <v/>
      </c>
      <c r="K639" s="14" t="n"/>
      <c r="L639" s="14" t="n"/>
      <c r="M639" s="15">
        <f>IF($C639="","",IF($L639="","",IF($K639=1,IF(COUNTIFS(nrES_PID,$D639,nrES_Code,$F639,nrES_Att,2)&gt;0,"",$L639),IF(COUNTIFS(nrES_PID,$D639,nrES_Code,$F639,nrES_Att,1)=0,$L639,IF($L639&gt;=$J639,cfgRetakeRecordedCap,SUMIFS(nrES_Raw,nrES_PID,$D639,nrES_Code,$F639,nrES_Att,1))))))</f>
        <v/>
      </c>
      <c r="N639" s="15">
        <f>IF($C639="","",IF($L639="","",IF($L639&gt;=$J639,"Yes","No")))</f>
        <v/>
      </c>
      <c r="O639" s="15">
        <f>IF($C639="","",IF($M639="","",IF($M639&gt;=$J639,"Yes","No")))</f>
        <v/>
      </c>
      <c r="P639" s="15">
        <f>IF($C639="","",IF($K639="","",IF(COUNTIFS(nrES_PID,$D639,nrES_Code,$F639,nrES_Att,"&gt;"&amp;$K639)=0,"Yes","No")))</f>
        <v/>
      </c>
      <c r="Q639" s="15">
        <f>IF($C639="","",IF($L639="","",IF(AND($K639=1,$L639&lt;$J639,COUNTIFS(nrES_PID,$D639,nrES_Code,$F639,nrES_Att,2)=0),"Yes","No")))</f>
        <v/>
      </c>
      <c r="R639" s="15">
        <f>IF($C639="","",IF($L639="","",IF(AND($K639=2,$L639&lt;$J639,COUNTIFS(nrES_PID,$D639,nrES_Code,$F639,nrES_Att,1)&gt;0),"Yes","No")))</f>
        <v/>
      </c>
      <c r="S639" s="16" t="n"/>
      <c r="T639" s="17">
        <f>IF($Q639&lt;&gt;"Yes","",IF($S639="","(enter date)",_xlfn.LET(_xlpm.dn,IFERROR(_xlfn.XLOOKUP($S639,nrCDdate,nrCDnum),""),IF(_xlpm.dn="","(not a class day)",IFERROR(_xlfn.XLOOKUP(_xlpm.dn+cfgRetestClassDays,nrCDnum,nrCDdate),"")))))</f>
        <v/>
      </c>
      <c r="U639" s="15">
        <f>IF($Q639&lt;&gt;"Yes","",IF(COUNTIFS(nrES_PID,$D639,nrES_Code,$F639,nrES_Att,2)&gt;0,"Retested",IF(OR($T639="",NOT(ISNUMBER($T639))),"Pending",IF(TODAY()&gt;$T639,"OVERDUE","Due "&amp;TEXT($T639,"mm/dd")))))</f>
        <v/>
      </c>
      <c r="V639" s="14" t="n"/>
      <c r="W639" s="14" t="n"/>
    </row>
    <row r="640">
      <c r="B640" s="15">
        <f>IF($C640="","",$D640&amp;"-"&amp;$F640&amp;"-"&amp;$K640)</f>
        <v/>
      </c>
      <c r="C640" s="14" t="n"/>
      <c r="D640" s="15">
        <f>IF($C640="","",IFERROR(INDEX(rngCadetPIDs,MATCH($C640,rngCadetNames,0)),"?"))</f>
        <v/>
      </c>
      <c r="E640" s="15">
        <f>IF($D640="","",IFERROR(INDEX(nrCadetAgency,MATCH($D640,rngCadetPIDs,0)),""))</f>
        <v/>
      </c>
      <c r="F640" s="14" t="n"/>
      <c r="G640" s="15">
        <f>IF($F640="","",IFERROR(INDEX(rngEPname,MATCH($F640,rngEPcode,0)),"?"))</f>
        <v/>
      </c>
      <c r="H640" s="15">
        <f>IF($F640="","",IFERROR(INDEX(rngEPtype,MATCH($F640,rngEPcode,0)),"?"))</f>
        <v/>
      </c>
      <c r="I640" s="15">
        <f>IF($F640="","",IFERROR(INDEX(rngEPseq,MATCH($F640,rngEPcode,0)),""))</f>
        <v/>
      </c>
      <c r="J640" s="15">
        <f>IF($F640="","",IFERROR(INDEX(rngEPpass,MATCH($F640,rngEPcode,0)),cfgPassingScore))</f>
        <v/>
      </c>
      <c r="K640" s="14" t="n"/>
      <c r="L640" s="14" t="n"/>
      <c r="M640" s="15">
        <f>IF($C640="","",IF($L640="","",IF($K640=1,IF(COUNTIFS(nrES_PID,$D640,nrES_Code,$F640,nrES_Att,2)&gt;0,"",$L640),IF(COUNTIFS(nrES_PID,$D640,nrES_Code,$F640,nrES_Att,1)=0,$L640,IF($L640&gt;=$J640,cfgRetakeRecordedCap,SUMIFS(nrES_Raw,nrES_PID,$D640,nrES_Code,$F640,nrES_Att,1))))))</f>
        <v/>
      </c>
      <c r="N640" s="15">
        <f>IF($C640="","",IF($L640="","",IF($L640&gt;=$J640,"Yes","No")))</f>
        <v/>
      </c>
      <c r="O640" s="15">
        <f>IF($C640="","",IF($M640="","",IF($M640&gt;=$J640,"Yes","No")))</f>
        <v/>
      </c>
      <c r="P640" s="15">
        <f>IF($C640="","",IF($K640="","",IF(COUNTIFS(nrES_PID,$D640,nrES_Code,$F640,nrES_Att,"&gt;"&amp;$K640)=0,"Yes","No")))</f>
        <v/>
      </c>
      <c r="Q640" s="15">
        <f>IF($C640="","",IF($L640="","",IF(AND($K640=1,$L640&lt;$J640,COUNTIFS(nrES_PID,$D640,nrES_Code,$F640,nrES_Att,2)=0),"Yes","No")))</f>
        <v/>
      </c>
      <c r="R640" s="15">
        <f>IF($C640="","",IF($L640="","",IF(AND($K640=2,$L640&lt;$J640,COUNTIFS(nrES_PID,$D640,nrES_Code,$F640,nrES_Att,1)&gt;0),"Yes","No")))</f>
        <v/>
      </c>
      <c r="S640" s="16" t="n"/>
      <c r="T640" s="17">
        <f>IF($Q640&lt;&gt;"Yes","",IF($S640="","(enter date)",_xlfn.LET(_xlpm.dn,IFERROR(_xlfn.XLOOKUP($S640,nrCDdate,nrCDnum),""),IF(_xlpm.dn="","(not a class day)",IFERROR(_xlfn.XLOOKUP(_xlpm.dn+cfgRetestClassDays,nrCDnum,nrCDdate),"")))))</f>
        <v/>
      </c>
      <c r="U640" s="15">
        <f>IF($Q640&lt;&gt;"Yes","",IF(COUNTIFS(nrES_PID,$D640,nrES_Code,$F640,nrES_Att,2)&gt;0,"Retested",IF(OR($T640="",NOT(ISNUMBER($T640))),"Pending",IF(TODAY()&gt;$T640,"OVERDUE","Due "&amp;TEXT($T640,"mm/dd")))))</f>
        <v/>
      </c>
      <c r="V640" s="14" t="n"/>
      <c r="W640" s="14" t="n"/>
    </row>
    <row r="641">
      <c r="B641" s="15">
        <f>IF($C641="","",$D641&amp;"-"&amp;$F641&amp;"-"&amp;$K641)</f>
        <v/>
      </c>
      <c r="C641" s="14" t="n"/>
      <c r="D641" s="15">
        <f>IF($C641="","",IFERROR(INDEX(rngCadetPIDs,MATCH($C641,rngCadetNames,0)),"?"))</f>
        <v/>
      </c>
      <c r="E641" s="15">
        <f>IF($D641="","",IFERROR(INDEX(nrCadetAgency,MATCH($D641,rngCadetPIDs,0)),""))</f>
        <v/>
      </c>
      <c r="F641" s="14" t="n"/>
      <c r="G641" s="15">
        <f>IF($F641="","",IFERROR(INDEX(rngEPname,MATCH($F641,rngEPcode,0)),"?"))</f>
        <v/>
      </c>
      <c r="H641" s="15">
        <f>IF($F641="","",IFERROR(INDEX(rngEPtype,MATCH($F641,rngEPcode,0)),"?"))</f>
        <v/>
      </c>
      <c r="I641" s="15">
        <f>IF($F641="","",IFERROR(INDEX(rngEPseq,MATCH($F641,rngEPcode,0)),""))</f>
        <v/>
      </c>
      <c r="J641" s="15">
        <f>IF($F641="","",IFERROR(INDEX(rngEPpass,MATCH($F641,rngEPcode,0)),cfgPassingScore))</f>
        <v/>
      </c>
      <c r="K641" s="14" t="n"/>
      <c r="L641" s="14" t="n"/>
      <c r="M641" s="15">
        <f>IF($C641="","",IF($L641="","",IF($K641=1,IF(COUNTIFS(nrES_PID,$D641,nrES_Code,$F641,nrES_Att,2)&gt;0,"",$L641),IF(COUNTIFS(nrES_PID,$D641,nrES_Code,$F641,nrES_Att,1)=0,$L641,IF($L641&gt;=$J641,cfgRetakeRecordedCap,SUMIFS(nrES_Raw,nrES_PID,$D641,nrES_Code,$F641,nrES_Att,1))))))</f>
        <v/>
      </c>
      <c r="N641" s="15">
        <f>IF($C641="","",IF($L641="","",IF($L641&gt;=$J641,"Yes","No")))</f>
        <v/>
      </c>
      <c r="O641" s="15">
        <f>IF($C641="","",IF($M641="","",IF($M641&gt;=$J641,"Yes","No")))</f>
        <v/>
      </c>
      <c r="P641" s="15">
        <f>IF($C641="","",IF($K641="","",IF(COUNTIFS(nrES_PID,$D641,nrES_Code,$F641,nrES_Att,"&gt;"&amp;$K641)=0,"Yes","No")))</f>
        <v/>
      </c>
      <c r="Q641" s="15">
        <f>IF($C641="","",IF($L641="","",IF(AND($K641=1,$L641&lt;$J641,COUNTIFS(nrES_PID,$D641,nrES_Code,$F641,nrES_Att,2)=0),"Yes","No")))</f>
        <v/>
      </c>
      <c r="R641" s="15">
        <f>IF($C641="","",IF($L641="","",IF(AND($K641=2,$L641&lt;$J641,COUNTIFS(nrES_PID,$D641,nrES_Code,$F641,nrES_Att,1)&gt;0),"Yes","No")))</f>
        <v/>
      </c>
      <c r="S641" s="16" t="n"/>
      <c r="T641" s="17">
        <f>IF($Q641&lt;&gt;"Yes","",IF($S641="","(enter date)",_xlfn.LET(_xlpm.dn,IFERROR(_xlfn.XLOOKUP($S641,nrCDdate,nrCDnum),""),IF(_xlpm.dn="","(not a class day)",IFERROR(_xlfn.XLOOKUP(_xlpm.dn+cfgRetestClassDays,nrCDnum,nrCDdate),"")))))</f>
        <v/>
      </c>
      <c r="U641" s="15">
        <f>IF($Q641&lt;&gt;"Yes","",IF(COUNTIFS(nrES_PID,$D641,nrES_Code,$F641,nrES_Att,2)&gt;0,"Retested",IF(OR($T641="",NOT(ISNUMBER($T641))),"Pending",IF(TODAY()&gt;$T641,"OVERDUE","Due "&amp;TEXT($T641,"mm/dd")))))</f>
        <v/>
      </c>
      <c r="V641" s="14" t="n"/>
      <c r="W641" s="14" t="n"/>
    </row>
    <row r="642">
      <c r="B642" s="15">
        <f>IF($C642="","",$D642&amp;"-"&amp;$F642&amp;"-"&amp;$K642)</f>
        <v/>
      </c>
      <c r="C642" s="14" t="n"/>
      <c r="D642" s="15">
        <f>IF($C642="","",IFERROR(INDEX(rngCadetPIDs,MATCH($C642,rngCadetNames,0)),"?"))</f>
        <v/>
      </c>
      <c r="E642" s="15">
        <f>IF($D642="","",IFERROR(INDEX(nrCadetAgency,MATCH($D642,rngCadetPIDs,0)),""))</f>
        <v/>
      </c>
      <c r="F642" s="14" t="n"/>
      <c r="G642" s="15">
        <f>IF($F642="","",IFERROR(INDEX(rngEPname,MATCH($F642,rngEPcode,0)),"?"))</f>
        <v/>
      </c>
      <c r="H642" s="15">
        <f>IF($F642="","",IFERROR(INDEX(rngEPtype,MATCH($F642,rngEPcode,0)),"?"))</f>
        <v/>
      </c>
      <c r="I642" s="15">
        <f>IF($F642="","",IFERROR(INDEX(rngEPseq,MATCH($F642,rngEPcode,0)),""))</f>
        <v/>
      </c>
      <c r="J642" s="15">
        <f>IF($F642="","",IFERROR(INDEX(rngEPpass,MATCH($F642,rngEPcode,0)),cfgPassingScore))</f>
        <v/>
      </c>
      <c r="K642" s="14" t="n"/>
      <c r="L642" s="14" t="n"/>
      <c r="M642" s="15">
        <f>IF($C642="","",IF($L642="","",IF($K642=1,IF(COUNTIFS(nrES_PID,$D642,nrES_Code,$F642,nrES_Att,2)&gt;0,"",$L642),IF(COUNTIFS(nrES_PID,$D642,nrES_Code,$F642,nrES_Att,1)=0,$L642,IF($L642&gt;=$J642,cfgRetakeRecordedCap,SUMIFS(nrES_Raw,nrES_PID,$D642,nrES_Code,$F642,nrES_Att,1))))))</f>
        <v/>
      </c>
      <c r="N642" s="15">
        <f>IF($C642="","",IF($L642="","",IF($L642&gt;=$J642,"Yes","No")))</f>
        <v/>
      </c>
      <c r="O642" s="15">
        <f>IF($C642="","",IF($M642="","",IF($M642&gt;=$J642,"Yes","No")))</f>
        <v/>
      </c>
      <c r="P642" s="15">
        <f>IF($C642="","",IF($K642="","",IF(COUNTIFS(nrES_PID,$D642,nrES_Code,$F642,nrES_Att,"&gt;"&amp;$K642)=0,"Yes","No")))</f>
        <v/>
      </c>
      <c r="Q642" s="15">
        <f>IF($C642="","",IF($L642="","",IF(AND($K642=1,$L642&lt;$J642,COUNTIFS(nrES_PID,$D642,nrES_Code,$F642,nrES_Att,2)=0),"Yes","No")))</f>
        <v/>
      </c>
      <c r="R642" s="15">
        <f>IF($C642="","",IF($L642="","",IF(AND($K642=2,$L642&lt;$J642,COUNTIFS(nrES_PID,$D642,nrES_Code,$F642,nrES_Att,1)&gt;0),"Yes","No")))</f>
        <v/>
      </c>
      <c r="S642" s="16" t="n"/>
      <c r="T642" s="17">
        <f>IF($Q642&lt;&gt;"Yes","",IF($S642="","(enter date)",_xlfn.LET(_xlpm.dn,IFERROR(_xlfn.XLOOKUP($S642,nrCDdate,nrCDnum),""),IF(_xlpm.dn="","(not a class day)",IFERROR(_xlfn.XLOOKUP(_xlpm.dn+cfgRetestClassDays,nrCDnum,nrCDdate),"")))))</f>
        <v/>
      </c>
      <c r="U642" s="15">
        <f>IF($Q642&lt;&gt;"Yes","",IF(COUNTIFS(nrES_PID,$D642,nrES_Code,$F642,nrES_Att,2)&gt;0,"Retested",IF(OR($T642="",NOT(ISNUMBER($T642))),"Pending",IF(TODAY()&gt;$T642,"OVERDUE","Due "&amp;TEXT($T642,"mm/dd")))))</f>
        <v/>
      </c>
      <c r="V642" s="14" t="n"/>
      <c r="W642" s="14" t="n"/>
    </row>
    <row r="643">
      <c r="B643" s="15">
        <f>IF($C643="","",$D643&amp;"-"&amp;$F643&amp;"-"&amp;$K643)</f>
        <v/>
      </c>
      <c r="C643" s="14" t="n"/>
      <c r="D643" s="15">
        <f>IF($C643="","",IFERROR(INDEX(rngCadetPIDs,MATCH($C643,rngCadetNames,0)),"?"))</f>
        <v/>
      </c>
      <c r="E643" s="15">
        <f>IF($D643="","",IFERROR(INDEX(nrCadetAgency,MATCH($D643,rngCadetPIDs,0)),""))</f>
        <v/>
      </c>
      <c r="F643" s="14" t="n"/>
      <c r="G643" s="15">
        <f>IF($F643="","",IFERROR(INDEX(rngEPname,MATCH($F643,rngEPcode,0)),"?"))</f>
        <v/>
      </c>
      <c r="H643" s="15">
        <f>IF($F643="","",IFERROR(INDEX(rngEPtype,MATCH($F643,rngEPcode,0)),"?"))</f>
        <v/>
      </c>
      <c r="I643" s="15">
        <f>IF($F643="","",IFERROR(INDEX(rngEPseq,MATCH($F643,rngEPcode,0)),""))</f>
        <v/>
      </c>
      <c r="J643" s="15">
        <f>IF($F643="","",IFERROR(INDEX(rngEPpass,MATCH($F643,rngEPcode,0)),cfgPassingScore))</f>
        <v/>
      </c>
      <c r="K643" s="14" t="n"/>
      <c r="L643" s="14" t="n"/>
      <c r="M643" s="15">
        <f>IF($C643="","",IF($L643="","",IF($K643=1,IF(COUNTIFS(nrES_PID,$D643,nrES_Code,$F643,nrES_Att,2)&gt;0,"",$L643),IF(COUNTIFS(nrES_PID,$D643,nrES_Code,$F643,nrES_Att,1)=0,$L643,IF($L643&gt;=$J643,cfgRetakeRecordedCap,SUMIFS(nrES_Raw,nrES_PID,$D643,nrES_Code,$F643,nrES_Att,1))))))</f>
        <v/>
      </c>
      <c r="N643" s="15">
        <f>IF($C643="","",IF($L643="","",IF($L643&gt;=$J643,"Yes","No")))</f>
        <v/>
      </c>
      <c r="O643" s="15">
        <f>IF($C643="","",IF($M643="","",IF($M643&gt;=$J643,"Yes","No")))</f>
        <v/>
      </c>
      <c r="P643" s="15">
        <f>IF($C643="","",IF($K643="","",IF(COUNTIFS(nrES_PID,$D643,nrES_Code,$F643,nrES_Att,"&gt;"&amp;$K643)=0,"Yes","No")))</f>
        <v/>
      </c>
      <c r="Q643" s="15">
        <f>IF($C643="","",IF($L643="","",IF(AND($K643=1,$L643&lt;$J643,COUNTIFS(nrES_PID,$D643,nrES_Code,$F643,nrES_Att,2)=0),"Yes","No")))</f>
        <v/>
      </c>
      <c r="R643" s="15">
        <f>IF($C643="","",IF($L643="","",IF(AND($K643=2,$L643&lt;$J643,COUNTIFS(nrES_PID,$D643,nrES_Code,$F643,nrES_Att,1)&gt;0),"Yes","No")))</f>
        <v/>
      </c>
      <c r="S643" s="16" t="n"/>
      <c r="T643" s="17">
        <f>IF($Q643&lt;&gt;"Yes","",IF($S643="","(enter date)",_xlfn.LET(_xlpm.dn,IFERROR(_xlfn.XLOOKUP($S643,nrCDdate,nrCDnum),""),IF(_xlpm.dn="","(not a class day)",IFERROR(_xlfn.XLOOKUP(_xlpm.dn+cfgRetestClassDays,nrCDnum,nrCDdate),"")))))</f>
        <v/>
      </c>
      <c r="U643" s="15">
        <f>IF($Q643&lt;&gt;"Yes","",IF(COUNTIFS(nrES_PID,$D643,nrES_Code,$F643,nrES_Att,2)&gt;0,"Retested",IF(OR($T643="",NOT(ISNUMBER($T643))),"Pending",IF(TODAY()&gt;$T643,"OVERDUE","Due "&amp;TEXT($T643,"mm/dd")))))</f>
        <v/>
      </c>
      <c r="V643" s="14" t="n"/>
      <c r="W643" s="14" t="n"/>
    </row>
    <row r="644">
      <c r="B644" s="15">
        <f>IF($C644="","",$D644&amp;"-"&amp;$F644&amp;"-"&amp;$K644)</f>
        <v/>
      </c>
      <c r="C644" s="14" t="n"/>
      <c r="D644" s="15">
        <f>IF($C644="","",IFERROR(INDEX(rngCadetPIDs,MATCH($C644,rngCadetNames,0)),"?"))</f>
        <v/>
      </c>
      <c r="E644" s="15">
        <f>IF($D644="","",IFERROR(INDEX(nrCadetAgency,MATCH($D644,rngCadetPIDs,0)),""))</f>
        <v/>
      </c>
      <c r="F644" s="14" t="n"/>
      <c r="G644" s="15">
        <f>IF($F644="","",IFERROR(INDEX(rngEPname,MATCH($F644,rngEPcode,0)),"?"))</f>
        <v/>
      </c>
      <c r="H644" s="15">
        <f>IF($F644="","",IFERROR(INDEX(rngEPtype,MATCH($F644,rngEPcode,0)),"?"))</f>
        <v/>
      </c>
      <c r="I644" s="15">
        <f>IF($F644="","",IFERROR(INDEX(rngEPseq,MATCH($F644,rngEPcode,0)),""))</f>
        <v/>
      </c>
      <c r="J644" s="15">
        <f>IF($F644="","",IFERROR(INDEX(rngEPpass,MATCH($F644,rngEPcode,0)),cfgPassingScore))</f>
        <v/>
      </c>
      <c r="K644" s="14" t="n"/>
      <c r="L644" s="14" t="n"/>
      <c r="M644" s="15">
        <f>IF($C644="","",IF($L644="","",IF($K644=1,IF(COUNTIFS(nrES_PID,$D644,nrES_Code,$F644,nrES_Att,2)&gt;0,"",$L644),IF(COUNTIFS(nrES_PID,$D644,nrES_Code,$F644,nrES_Att,1)=0,$L644,IF($L644&gt;=$J644,cfgRetakeRecordedCap,SUMIFS(nrES_Raw,nrES_PID,$D644,nrES_Code,$F644,nrES_Att,1))))))</f>
        <v/>
      </c>
      <c r="N644" s="15">
        <f>IF($C644="","",IF($L644="","",IF($L644&gt;=$J644,"Yes","No")))</f>
        <v/>
      </c>
      <c r="O644" s="15">
        <f>IF($C644="","",IF($M644="","",IF($M644&gt;=$J644,"Yes","No")))</f>
        <v/>
      </c>
      <c r="P644" s="15">
        <f>IF($C644="","",IF($K644="","",IF(COUNTIFS(nrES_PID,$D644,nrES_Code,$F644,nrES_Att,"&gt;"&amp;$K644)=0,"Yes","No")))</f>
        <v/>
      </c>
      <c r="Q644" s="15">
        <f>IF($C644="","",IF($L644="","",IF(AND($K644=1,$L644&lt;$J644,COUNTIFS(nrES_PID,$D644,nrES_Code,$F644,nrES_Att,2)=0),"Yes","No")))</f>
        <v/>
      </c>
      <c r="R644" s="15">
        <f>IF($C644="","",IF($L644="","",IF(AND($K644=2,$L644&lt;$J644,COUNTIFS(nrES_PID,$D644,nrES_Code,$F644,nrES_Att,1)&gt;0),"Yes","No")))</f>
        <v/>
      </c>
      <c r="S644" s="16" t="n"/>
      <c r="T644" s="17">
        <f>IF($Q644&lt;&gt;"Yes","",IF($S644="","(enter date)",_xlfn.LET(_xlpm.dn,IFERROR(_xlfn.XLOOKUP($S644,nrCDdate,nrCDnum),""),IF(_xlpm.dn="","(not a class day)",IFERROR(_xlfn.XLOOKUP(_xlpm.dn+cfgRetestClassDays,nrCDnum,nrCDdate),"")))))</f>
        <v/>
      </c>
      <c r="U644" s="15">
        <f>IF($Q644&lt;&gt;"Yes","",IF(COUNTIFS(nrES_PID,$D644,nrES_Code,$F644,nrES_Att,2)&gt;0,"Retested",IF(OR($T644="",NOT(ISNUMBER($T644))),"Pending",IF(TODAY()&gt;$T644,"OVERDUE","Due "&amp;TEXT($T644,"mm/dd")))))</f>
        <v/>
      </c>
      <c r="V644" s="14" t="n"/>
      <c r="W644" s="14" t="n"/>
    </row>
    <row r="645">
      <c r="B645" s="15">
        <f>IF($C645="","",$D645&amp;"-"&amp;$F645&amp;"-"&amp;$K645)</f>
        <v/>
      </c>
      <c r="C645" s="14" t="n"/>
      <c r="D645" s="15">
        <f>IF($C645="","",IFERROR(INDEX(rngCadetPIDs,MATCH($C645,rngCadetNames,0)),"?"))</f>
        <v/>
      </c>
      <c r="E645" s="15">
        <f>IF($D645="","",IFERROR(INDEX(nrCadetAgency,MATCH($D645,rngCadetPIDs,0)),""))</f>
        <v/>
      </c>
      <c r="F645" s="14" t="n"/>
      <c r="G645" s="15">
        <f>IF($F645="","",IFERROR(INDEX(rngEPname,MATCH($F645,rngEPcode,0)),"?"))</f>
        <v/>
      </c>
      <c r="H645" s="15">
        <f>IF($F645="","",IFERROR(INDEX(rngEPtype,MATCH($F645,rngEPcode,0)),"?"))</f>
        <v/>
      </c>
      <c r="I645" s="15">
        <f>IF($F645="","",IFERROR(INDEX(rngEPseq,MATCH($F645,rngEPcode,0)),""))</f>
        <v/>
      </c>
      <c r="J645" s="15">
        <f>IF($F645="","",IFERROR(INDEX(rngEPpass,MATCH($F645,rngEPcode,0)),cfgPassingScore))</f>
        <v/>
      </c>
      <c r="K645" s="14" t="n"/>
      <c r="L645" s="14" t="n"/>
      <c r="M645" s="15">
        <f>IF($C645="","",IF($L645="","",IF($K645=1,IF(COUNTIFS(nrES_PID,$D645,nrES_Code,$F645,nrES_Att,2)&gt;0,"",$L645),IF(COUNTIFS(nrES_PID,$D645,nrES_Code,$F645,nrES_Att,1)=0,$L645,IF($L645&gt;=$J645,cfgRetakeRecordedCap,SUMIFS(nrES_Raw,nrES_PID,$D645,nrES_Code,$F645,nrES_Att,1))))))</f>
        <v/>
      </c>
      <c r="N645" s="15">
        <f>IF($C645="","",IF($L645="","",IF($L645&gt;=$J645,"Yes","No")))</f>
        <v/>
      </c>
      <c r="O645" s="15">
        <f>IF($C645="","",IF($M645="","",IF($M645&gt;=$J645,"Yes","No")))</f>
        <v/>
      </c>
      <c r="P645" s="15">
        <f>IF($C645="","",IF($K645="","",IF(COUNTIFS(nrES_PID,$D645,nrES_Code,$F645,nrES_Att,"&gt;"&amp;$K645)=0,"Yes","No")))</f>
        <v/>
      </c>
      <c r="Q645" s="15">
        <f>IF($C645="","",IF($L645="","",IF(AND($K645=1,$L645&lt;$J645,COUNTIFS(nrES_PID,$D645,nrES_Code,$F645,nrES_Att,2)=0),"Yes","No")))</f>
        <v/>
      </c>
      <c r="R645" s="15">
        <f>IF($C645="","",IF($L645="","",IF(AND($K645=2,$L645&lt;$J645,COUNTIFS(nrES_PID,$D645,nrES_Code,$F645,nrES_Att,1)&gt;0),"Yes","No")))</f>
        <v/>
      </c>
      <c r="S645" s="16" t="n"/>
      <c r="T645" s="17">
        <f>IF($Q645&lt;&gt;"Yes","",IF($S645="","(enter date)",_xlfn.LET(_xlpm.dn,IFERROR(_xlfn.XLOOKUP($S645,nrCDdate,nrCDnum),""),IF(_xlpm.dn="","(not a class day)",IFERROR(_xlfn.XLOOKUP(_xlpm.dn+cfgRetestClassDays,nrCDnum,nrCDdate),"")))))</f>
        <v/>
      </c>
      <c r="U645" s="15">
        <f>IF($Q645&lt;&gt;"Yes","",IF(COUNTIFS(nrES_PID,$D645,nrES_Code,$F645,nrES_Att,2)&gt;0,"Retested",IF(OR($T645="",NOT(ISNUMBER($T645))),"Pending",IF(TODAY()&gt;$T645,"OVERDUE","Due "&amp;TEXT($T645,"mm/dd")))))</f>
        <v/>
      </c>
      <c r="V645" s="14" t="n"/>
      <c r="W645" s="14" t="n"/>
    </row>
    <row r="646">
      <c r="B646" s="15">
        <f>IF($C646="","",$D646&amp;"-"&amp;$F646&amp;"-"&amp;$K646)</f>
        <v/>
      </c>
      <c r="C646" s="14" t="n"/>
      <c r="D646" s="15">
        <f>IF($C646="","",IFERROR(INDEX(rngCadetPIDs,MATCH($C646,rngCadetNames,0)),"?"))</f>
        <v/>
      </c>
      <c r="E646" s="15">
        <f>IF($D646="","",IFERROR(INDEX(nrCadetAgency,MATCH($D646,rngCadetPIDs,0)),""))</f>
        <v/>
      </c>
      <c r="F646" s="14" t="n"/>
      <c r="G646" s="15">
        <f>IF($F646="","",IFERROR(INDEX(rngEPname,MATCH($F646,rngEPcode,0)),"?"))</f>
        <v/>
      </c>
      <c r="H646" s="15">
        <f>IF($F646="","",IFERROR(INDEX(rngEPtype,MATCH($F646,rngEPcode,0)),"?"))</f>
        <v/>
      </c>
      <c r="I646" s="15">
        <f>IF($F646="","",IFERROR(INDEX(rngEPseq,MATCH($F646,rngEPcode,0)),""))</f>
        <v/>
      </c>
      <c r="J646" s="15">
        <f>IF($F646="","",IFERROR(INDEX(rngEPpass,MATCH($F646,rngEPcode,0)),cfgPassingScore))</f>
        <v/>
      </c>
      <c r="K646" s="14" t="n"/>
      <c r="L646" s="14" t="n"/>
      <c r="M646" s="15">
        <f>IF($C646="","",IF($L646="","",IF($K646=1,IF(COUNTIFS(nrES_PID,$D646,nrES_Code,$F646,nrES_Att,2)&gt;0,"",$L646),IF(COUNTIFS(nrES_PID,$D646,nrES_Code,$F646,nrES_Att,1)=0,$L646,IF($L646&gt;=$J646,cfgRetakeRecordedCap,SUMIFS(nrES_Raw,nrES_PID,$D646,nrES_Code,$F646,nrES_Att,1))))))</f>
        <v/>
      </c>
      <c r="N646" s="15">
        <f>IF($C646="","",IF($L646="","",IF($L646&gt;=$J646,"Yes","No")))</f>
        <v/>
      </c>
      <c r="O646" s="15">
        <f>IF($C646="","",IF($M646="","",IF($M646&gt;=$J646,"Yes","No")))</f>
        <v/>
      </c>
      <c r="P646" s="15">
        <f>IF($C646="","",IF($K646="","",IF(COUNTIFS(nrES_PID,$D646,nrES_Code,$F646,nrES_Att,"&gt;"&amp;$K646)=0,"Yes","No")))</f>
        <v/>
      </c>
      <c r="Q646" s="15">
        <f>IF($C646="","",IF($L646="","",IF(AND($K646=1,$L646&lt;$J646,COUNTIFS(nrES_PID,$D646,nrES_Code,$F646,nrES_Att,2)=0),"Yes","No")))</f>
        <v/>
      </c>
      <c r="R646" s="15">
        <f>IF($C646="","",IF($L646="","",IF(AND($K646=2,$L646&lt;$J646,COUNTIFS(nrES_PID,$D646,nrES_Code,$F646,nrES_Att,1)&gt;0),"Yes","No")))</f>
        <v/>
      </c>
      <c r="S646" s="16" t="n"/>
      <c r="T646" s="17">
        <f>IF($Q646&lt;&gt;"Yes","",IF($S646="","(enter date)",_xlfn.LET(_xlpm.dn,IFERROR(_xlfn.XLOOKUP($S646,nrCDdate,nrCDnum),""),IF(_xlpm.dn="","(not a class day)",IFERROR(_xlfn.XLOOKUP(_xlpm.dn+cfgRetestClassDays,nrCDnum,nrCDdate),"")))))</f>
        <v/>
      </c>
      <c r="U646" s="15">
        <f>IF($Q646&lt;&gt;"Yes","",IF(COUNTIFS(nrES_PID,$D646,nrES_Code,$F646,nrES_Att,2)&gt;0,"Retested",IF(OR($T646="",NOT(ISNUMBER($T646))),"Pending",IF(TODAY()&gt;$T646,"OVERDUE","Due "&amp;TEXT($T646,"mm/dd")))))</f>
        <v/>
      </c>
      <c r="V646" s="14" t="n"/>
      <c r="W646" s="14" t="n"/>
    </row>
    <row r="647">
      <c r="B647" s="15">
        <f>IF($C647="","",$D647&amp;"-"&amp;$F647&amp;"-"&amp;$K647)</f>
        <v/>
      </c>
      <c r="C647" s="14" t="n"/>
      <c r="D647" s="15">
        <f>IF($C647="","",IFERROR(INDEX(rngCadetPIDs,MATCH($C647,rngCadetNames,0)),"?"))</f>
        <v/>
      </c>
      <c r="E647" s="15">
        <f>IF($D647="","",IFERROR(INDEX(nrCadetAgency,MATCH($D647,rngCadetPIDs,0)),""))</f>
        <v/>
      </c>
      <c r="F647" s="14" t="n"/>
      <c r="G647" s="15">
        <f>IF($F647="","",IFERROR(INDEX(rngEPname,MATCH($F647,rngEPcode,0)),"?"))</f>
        <v/>
      </c>
      <c r="H647" s="15">
        <f>IF($F647="","",IFERROR(INDEX(rngEPtype,MATCH($F647,rngEPcode,0)),"?"))</f>
        <v/>
      </c>
      <c r="I647" s="15">
        <f>IF($F647="","",IFERROR(INDEX(rngEPseq,MATCH($F647,rngEPcode,0)),""))</f>
        <v/>
      </c>
      <c r="J647" s="15">
        <f>IF($F647="","",IFERROR(INDEX(rngEPpass,MATCH($F647,rngEPcode,0)),cfgPassingScore))</f>
        <v/>
      </c>
      <c r="K647" s="14" t="n"/>
      <c r="L647" s="14" t="n"/>
      <c r="M647" s="15">
        <f>IF($C647="","",IF($L647="","",IF($K647=1,IF(COUNTIFS(nrES_PID,$D647,nrES_Code,$F647,nrES_Att,2)&gt;0,"",$L647),IF(COUNTIFS(nrES_PID,$D647,nrES_Code,$F647,nrES_Att,1)=0,$L647,IF($L647&gt;=$J647,cfgRetakeRecordedCap,SUMIFS(nrES_Raw,nrES_PID,$D647,nrES_Code,$F647,nrES_Att,1))))))</f>
        <v/>
      </c>
      <c r="N647" s="15">
        <f>IF($C647="","",IF($L647="","",IF($L647&gt;=$J647,"Yes","No")))</f>
        <v/>
      </c>
      <c r="O647" s="15">
        <f>IF($C647="","",IF($M647="","",IF($M647&gt;=$J647,"Yes","No")))</f>
        <v/>
      </c>
      <c r="P647" s="15">
        <f>IF($C647="","",IF($K647="","",IF(COUNTIFS(nrES_PID,$D647,nrES_Code,$F647,nrES_Att,"&gt;"&amp;$K647)=0,"Yes","No")))</f>
        <v/>
      </c>
      <c r="Q647" s="15">
        <f>IF($C647="","",IF($L647="","",IF(AND($K647=1,$L647&lt;$J647,COUNTIFS(nrES_PID,$D647,nrES_Code,$F647,nrES_Att,2)=0),"Yes","No")))</f>
        <v/>
      </c>
      <c r="R647" s="15">
        <f>IF($C647="","",IF($L647="","",IF(AND($K647=2,$L647&lt;$J647,COUNTIFS(nrES_PID,$D647,nrES_Code,$F647,nrES_Att,1)&gt;0),"Yes","No")))</f>
        <v/>
      </c>
      <c r="S647" s="16" t="n"/>
      <c r="T647" s="17">
        <f>IF($Q647&lt;&gt;"Yes","",IF($S647="","(enter date)",_xlfn.LET(_xlpm.dn,IFERROR(_xlfn.XLOOKUP($S647,nrCDdate,nrCDnum),""),IF(_xlpm.dn="","(not a class day)",IFERROR(_xlfn.XLOOKUP(_xlpm.dn+cfgRetestClassDays,nrCDnum,nrCDdate),"")))))</f>
        <v/>
      </c>
      <c r="U647" s="15">
        <f>IF($Q647&lt;&gt;"Yes","",IF(COUNTIFS(nrES_PID,$D647,nrES_Code,$F647,nrES_Att,2)&gt;0,"Retested",IF(OR($T647="",NOT(ISNUMBER($T647))),"Pending",IF(TODAY()&gt;$T647,"OVERDUE","Due "&amp;TEXT($T647,"mm/dd")))))</f>
        <v/>
      </c>
      <c r="V647" s="14" t="n"/>
      <c r="W647" s="14" t="n"/>
    </row>
    <row r="648">
      <c r="B648" s="15">
        <f>IF($C648="","",$D648&amp;"-"&amp;$F648&amp;"-"&amp;$K648)</f>
        <v/>
      </c>
      <c r="C648" s="14" t="n"/>
      <c r="D648" s="15">
        <f>IF($C648="","",IFERROR(INDEX(rngCadetPIDs,MATCH($C648,rngCadetNames,0)),"?"))</f>
        <v/>
      </c>
      <c r="E648" s="15">
        <f>IF($D648="","",IFERROR(INDEX(nrCadetAgency,MATCH($D648,rngCadetPIDs,0)),""))</f>
        <v/>
      </c>
      <c r="F648" s="14" t="n"/>
      <c r="G648" s="15">
        <f>IF($F648="","",IFERROR(INDEX(rngEPname,MATCH($F648,rngEPcode,0)),"?"))</f>
        <v/>
      </c>
      <c r="H648" s="15">
        <f>IF($F648="","",IFERROR(INDEX(rngEPtype,MATCH($F648,rngEPcode,0)),"?"))</f>
        <v/>
      </c>
      <c r="I648" s="15">
        <f>IF($F648="","",IFERROR(INDEX(rngEPseq,MATCH($F648,rngEPcode,0)),""))</f>
        <v/>
      </c>
      <c r="J648" s="15">
        <f>IF($F648="","",IFERROR(INDEX(rngEPpass,MATCH($F648,rngEPcode,0)),cfgPassingScore))</f>
        <v/>
      </c>
      <c r="K648" s="14" t="n"/>
      <c r="L648" s="14" t="n"/>
      <c r="M648" s="15">
        <f>IF($C648="","",IF($L648="","",IF($K648=1,IF(COUNTIFS(nrES_PID,$D648,nrES_Code,$F648,nrES_Att,2)&gt;0,"",$L648),IF(COUNTIFS(nrES_PID,$D648,nrES_Code,$F648,nrES_Att,1)=0,$L648,IF($L648&gt;=$J648,cfgRetakeRecordedCap,SUMIFS(nrES_Raw,nrES_PID,$D648,nrES_Code,$F648,nrES_Att,1))))))</f>
        <v/>
      </c>
      <c r="N648" s="15">
        <f>IF($C648="","",IF($L648="","",IF($L648&gt;=$J648,"Yes","No")))</f>
        <v/>
      </c>
      <c r="O648" s="15">
        <f>IF($C648="","",IF($M648="","",IF($M648&gt;=$J648,"Yes","No")))</f>
        <v/>
      </c>
      <c r="P648" s="15">
        <f>IF($C648="","",IF($K648="","",IF(COUNTIFS(nrES_PID,$D648,nrES_Code,$F648,nrES_Att,"&gt;"&amp;$K648)=0,"Yes","No")))</f>
        <v/>
      </c>
      <c r="Q648" s="15">
        <f>IF($C648="","",IF($L648="","",IF(AND($K648=1,$L648&lt;$J648,COUNTIFS(nrES_PID,$D648,nrES_Code,$F648,nrES_Att,2)=0),"Yes","No")))</f>
        <v/>
      </c>
      <c r="R648" s="15">
        <f>IF($C648="","",IF($L648="","",IF(AND($K648=2,$L648&lt;$J648,COUNTIFS(nrES_PID,$D648,nrES_Code,$F648,nrES_Att,1)&gt;0),"Yes","No")))</f>
        <v/>
      </c>
      <c r="S648" s="16" t="n"/>
      <c r="T648" s="17">
        <f>IF($Q648&lt;&gt;"Yes","",IF($S648="","(enter date)",_xlfn.LET(_xlpm.dn,IFERROR(_xlfn.XLOOKUP($S648,nrCDdate,nrCDnum),""),IF(_xlpm.dn="","(not a class day)",IFERROR(_xlfn.XLOOKUP(_xlpm.dn+cfgRetestClassDays,nrCDnum,nrCDdate),"")))))</f>
        <v/>
      </c>
      <c r="U648" s="15">
        <f>IF($Q648&lt;&gt;"Yes","",IF(COUNTIFS(nrES_PID,$D648,nrES_Code,$F648,nrES_Att,2)&gt;0,"Retested",IF(OR($T648="",NOT(ISNUMBER($T648))),"Pending",IF(TODAY()&gt;$T648,"OVERDUE","Due "&amp;TEXT($T648,"mm/dd")))))</f>
        <v/>
      </c>
      <c r="V648" s="14" t="n"/>
      <c r="W648" s="14" t="n"/>
    </row>
    <row r="649">
      <c r="B649" s="15">
        <f>IF($C649="","",$D649&amp;"-"&amp;$F649&amp;"-"&amp;$K649)</f>
        <v/>
      </c>
      <c r="C649" s="14" t="n"/>
      <c r="D649" s="15">
        <f>IF($C649="","",IFERROR(INDEX(rngCadetPIDs,MATCH($C649,rngCadetNames,0)),"?"))</f>
        <v/>
      </c>
      <c r="E649" s="15">
        <f>IF($D649="","",IFERROR(INDEX(nrCadetAgency,MATCH($D649,rngCadetPIDs,0)),""))</f>
        <v/>
      </c>
      <c r="F649" s="14" t="n"/>
      <c r="G649" s="15">
        <f>IF($F649="","",IFERROR(INDEX(rngEPname,MATCH($F649,rngEPcode,0)),"?"))</f>
        <v/>
      </c>
      <c r="H649" s="15">
        <f>IF($F649="","",IFERROR(INDEX(rngEPtype,MATCH($F649,rngEPcode,0)),"?"))</f>
        <v/>
      </c>
      <c r="I649" s="15">
        <f>IF($F649="","",IFERROR(INDEX(rngEPseq,MATCH($F649,rngEPcode,0)),""))</f>
        <v/>
      </c>
      <c r="J649" s="15">
        <f>IF($F649="","",IFERROR(INDEX(rngEPpass,MATCH($F649,rngEPcode,0)),cfgPassingScore))</f>
        <v/>
      </c>
      <c r="K649" s="14" t="n"/>
      <c r="L649" s="14" t="n"/>
      <c r="M649" s="15">
        <f>IF($C649="","",IF($L649="","",IF($K649=1,IF(COUNTIFS(nrES_PID,$D649,nrES_Code,$F649,nrES_Att,2)&gt;0,"",$L649),IF(COUNTIFS(nrES_PID,$D649,nrES_Code,$F649,nrES_Att,1)=0,$L649,IF($L649&gt;=$J649,cfgRetakeRecordedCap,SUMIFS(nrES_Raw,nrES_PID,$D649,nrES_Code,$F649,nrES_Att,1))))))</f>
        <v/>
      </c>
      <c r="N649" s="15">
        <f>IF($C649="","",IF($L649="","",IF($L649&gt;=$J649,"Yes","No")))</f>
        <v/>
      </c>
      <c r="O649" s="15">
        <f>IF($C649="","",IF($M649="","",IF($M649&gt;=$J649,"Yes","No")))</f>
        <v/>
      </c>
      <c r="P649" s="15">
        <f>IF($C649="","",IF($K649="","",IF(COUNTIFS(nrES_PID,$D649,nrES_Code,$F649,nrES_Att,"&gt;"&amp;$K649)=0,"Yes","No")))</f>
        <v/>
      </c>
      <c r="Q649" s="15">
        <f>IF($C649="","",IF($L649="","",IF(AND($K649=1,$L649&lt;$J649,COUNTIFS(nrES_PID,$D649,nrES_Code,$F649,nrES_Att,2)=0),"Yes","No")))</f>
        <v/>
      </c>
      <c r="R649" s="15">
        <f>IF($C649="","",IF($L649="","",IF(AND($K649=2,$L649&lt;$J649,COUNTIFS(nrES_PID,$D649,nrES_Code,$F649,nrES_Att,1)&gt;0),"Yes","No")))</f>
        <v/>
      </c>
      <c r="S649" s="16" t="n"/>
      <c r="T649" s="17">
        <f>IF($Q649&lt;&gt;"Yes","",IF($S649="","(enter date)",_xlfn.LET(_xlpm.dn,IFERROR(_xlfn.XLOOKUP($S649,nrCDdate,nrCDnum),""),IF(_xlpm.dn="","(not a class day)",IFERROR(_xlfn.XLOOKUP(_xlpm.dn+cfgRetestClassDays,nrCDnum,nrCDdate),"")))))</f>
        <v/>
      </c>
      <c r="U649" s="15">
        <f>IF($Q649&lt;&gt;"Yes","",IF(COUNTIFS(nrES_PID,$D649,nrES_Code,$F649,nrES_Att,2)&gt;0,"Retested",IF(OR($T649="",NOT(ISNUMBER($T649))),"Pending",IF(TODAY()&gt;$T649,"OVERDUE","Due "&amp;TEXT($T649,"mm/dd")))))</f>
        <v/>
      </c>
      <c r="V649" s="14" t="n"/>
      <c r="W649" s="14" t="n"/>
    </row>
    <row r="650">
      <c r="B650" s="15">
        <f>IF($C650="","",$D650&amp;"-"&amp;$F650&amp;"-"&amp;$K650)</f>
        <v/>
      </c>
      <c r="C650" s="14" t="n"/>
      <c r="D650" s="15">
        <f>IF($C650="","",IFERROR(INDEX(rngCadetPIDs,MATCH($C650,rngCadetNames,0)),"?"))</f>
        <v/>
      </c>
      <c r="E650" s="15">
        <f>IF($D650="","",IFERROR(INDEX(nrCadetAgency,MATCH($D650,rngCadetPIDs,0)),""))</f>
        <v/>
      </c>
      <c r="F650" s="14" t="n"/>
      <c r="G650" s="15">
        <f>IF($F650="","",IFERROR(INDEX(rngEPname,MATCH($F650,rngEPcode,0)),"?"))</f>
        <v/>
      </c>
      <c r="H650" s="15">
        <f>IF($F650="","",IFERROR(INDEX(rngEPtype,MATCH($F650,rngEPcode,0)),"?"))</f>
        <v/>
      </c>
      <c r="I650" s="15">
        <f>IF($F650="","",IFERROR(INDEX(rngEPseq,MATCH($F650,rngEPcode,0)),""))</f>
        <v/>
      </c>
      <c r="J650" s="15">
        <f>IF($F650="","",IFERROR(INDEX(rngEPpass,MATCH($F650,rngEPcode,0)),cfgPassingScore))</f>
        <v/>
      </c>
      <c r="K650" s="14" t="n"/>
      <c r="L650" s="14" t="n"/>
      <c r="M650" s="15">
        <f>IF($C650="","",IF($L650="","",IF($K650=1,IF(COUNTIFS(nrES_PID,$D650,nrES_Code,$F650,nrES_Att,2)&gt;0,"",$L650),IF(COUNTIFS(nrES_PID,$D650,nrES_Code,$F650,nrES_Att,1)=0,$L650,IF($L650&gt;=$J650,cfgRetakeRecordedCap,SUMIFS(nrES_Raw,nrES_PID,$D650,nrES_Code,$F650,nrES_Att,1))))))</f>
        <v/>
      </c>
      <c r="N650" s="15">
        <f>IF($C650="","",IF($L650="","",IF($L650&gt;=$J650,"Yes","No")))</f>
        <v/>
      </c>
      <c r="O650" s="15">
        <f>IF($C650="","",IF($M650="","",IF($M650&gt;=$J650,"Yes","No")))</f>
        <v/>
      </c>
      <c r="P650" s="15">
        <f>IF($C650="","",IF($K650="","",IF(COUNTIFS(nrES_PID,$D650,nrES_Code,$F650,nrES_Att,"&gt;"&amp;$K650)=0,"Yes","No")))</f>
        <v/>
      </c>
      <c r="Q650" s="15">
        <f>IF($C650="","",IF($L650="","",IF(AND($K650=1,$L650&lt;$J650,COUNTIFS(nrES_PID,$D650,nrES_Code,$F650,nrES_Att,2)=0),"Yes","No")))</f>
        <v/>
      </c>
      <c r="R650" s="15">
        <f>IF($C650="","",IF($L650="","",IF(AND($K650=2,$L650&lt;$J650,COUNTIFS(nrES_PID,$D650,nrES_Code,$F650,nrES_Att,1)&gt;0),"Yes","No")))</f>
        <v/>
      </c>
      <c r="S650" s="16" t="n"/>
      <c r="T650" s="17">
        <f>IF($Q650&lt;&gt;"Yes","",IF($S650="","(enter date)",_xlfn.LET(_xlpm.dn,IFERROR(_xlfn.XLOOKUP($S650,nrCDdate,nrCDnum),""),IF(_xlpm.dn="","(not a class day)",IFERROR(_xlfn.XLOOKUP(_xlpm.dn+cfgRetestClassDays,nrCDnum,nrCDdate),"")))))</f>
        <v/>
      </c>
      <c r="U650" s="15">
        <f>IF($Q650&lt;&gt;"Yes","",IF(COUNTIFS(nrES_PID,$D650,nrES_Code,$F650,nrES_Att,2)&gt;0,"Retested",IF(OR($T650="",NOT(ISNUMBER($T650))),"Pending",IF(TODAY()&gt;$T650,"OVERDUE","Due "&amp;TEXT($T650,"mm/dd")))))</f>
        <v/>
      </c>
      <c r="V650" s="14" t="n"/>
      <c r="W650" s="14" t="n"/>
    </row>
    <row r="651">
      <c r="B651" s="15">
        <f>IF($C651="","",$D651&amp;"-"&amp;$F651&amp;"-"&amp;$K651)</f>
        <v/>
      </c>
      <c r="C651" s="14" t="n"/>
      <c r="D651" s="15">
        <f>IF($C651="","",IFERROR(INDEX(rngCadetPIDs,MATCH($C651,rngCadetNames,0)),"?"))</f>
        <v/>
      </c>
      <c r="E651" s="15">
        <f>IF($D651="","",IFERROR(INDEX(nrCadetAgency,MATCH($D651,rngCadetPIDs,0)),""))</f>
        <v/>
      </c>
      <c r="F651" s="14" t="n"/>
      <c r="G651" s="15">
        <f>IF($F651="","",IFERROR(INDEX(rngEPname,MATCH($F651,rngEPcode,0)),"?"))</f>
        <v/>
      </c>
      <c r="H651" s="15">
        <f>IF($F651="","",IFERROR(INDEX(rngEPtype,MATCH($F651,rngEPcode,0)),"?"))</f>
        <v/>
      </c>
      <c r="I651" s="15">
        <f>IF($F651="","",IFERROR(INDEX(rngEPseq,MATCH($F651,rngEPcode,0)),""))</f>
        <v/>
      </c>
      <c r="J651" s="15">
        <f>IF($F651="","",IFERROR(INDEX(rngEPpass,MATCH($F651,rngEPcode,0)),cfgPassingScore))</f>
        <v/>
      </c>
      <c r="K651" s="14" t="n"/>
      <c r="L651" s="14" t="n"/>
      <c r="M651" s="15">
        <f>IF($C651="","",IF($L651="","",IF($K651=1,IF(COUNTIFS(nrES_PID,$D651,nrES_Code,$F651,nrES_Att,2)&gt;0,"",$L651),IF(COUNTIFS(nrES_PID,$D651,nrES_Code,$F651,nrES_Att,1)=0,$L651,IF($L651&gt;=$J651,cfgRetakeRecordedCap,SUMIFS(nrES_Raw,nrES_PID,$D651,nrES_Code,$F651,nrES_Att,1))))))</f>
        <v/>
      </c>
      <c r="N651" s="15">
        <f>IF($C651="","",IF($L651="","",IF($L651&gt;=$J651,"Yes","No")))</f>
        <v/>
      </c>
      <c r="O651" s="15">
        <f>IF($C651="","",IF($M651="","",IF($M651&gt;=$J651,"Yes","No")))</f>
        <v/>
      </c>
      <c r="P651" s="15">
        <f>IF($C651="","",IF($K651="","",IF(COUNTIFS(nrES_PID,$D651,nrES_Code,$F651,nrES_Att,"&gt;"&amp;$K651)=0,"Yes","No")))</f>
        <v/>
      </c>
      <c r="Q651" s="15">
        <f>IF($C651="","",IF($L651="","",IF(AND($K651=1,$L651&lt;$J651,COUNTIFS(nrES_PID,$D651,nrES_Code,$F651,nrES_Att,2)=0),"Yes","No")))</f>
        <v/>
      </c>
      <c r="R651" s="15">
        <f>IF($C651="","",IF($L651="","",IF(AND($K651=2,$L651&lt;$J651,COUNTIFS(nrES_PID,$D651,nrES_Code,$F651,nrES_Att,1)&gt;0),"Yes","No")))</f>
        <v/>
      </c>
      <c r="S651" s="16" t="n"/>
      <c r="T651" s="17">
        <f>IF($Q651&lt;&gt;"Yes","",IF($S651="","(enter date)",_xlfn.LET(_xlpm.dn,IFERROR(_xlfn.XLOOKUP($S651,nrCDdate,nrCDnum),""),IF(_xlpm.dn="","(not a class day)",IFERROR(_xlfn.XLOOKUP(_xlpm.dn+cfgRetestClassDays,nrCDnum,nrCDdate),"")))))</f>
        <v/>
      </c>
      <c r="U651" s="15">
        <f>IF($Q651&lt;&gt;"Yes","",IF(COUNTIFS(nrES_PID,$D651,nrES_Code,$F651,nrES_Att,2)&gt;0,"Retested",IF(OR($T651="",NOT(ISNUMBER($T651))),"Pending",IF(TODAY()&gt;$T651,"OVERDUE","Due "&amp;TEXT($T651,"mm/dd")))))</f>
        <v/>
      </c>
      <c r="V651" s="14" t="n"/>
      <c r="W651" s="14" t="n"/>
    </row>
    <row r="652">
      <c r="B652" s="15">
        <f>IF($C652="","",$D652&amp;"-"&amp;$F652&amp;"-"&amp;$K652)</f>
        <v/>
      </c>
      <c r="C652" s="14" t="n"/>
      <c r="D652" s="15">
        <f>IF($C652="","",IFERROR(INDEX(rngCadetPIDs,MATCH($C652,rngCadetNames,0)),"?"))</f>
        <v/>
      </c>
      <c r="E652" s="15">
        <f>IF($D652="","",IFERROR(INDEX(nrCadetAgency,MATCH($D652,rngCadetPIDs,0)),""))</f>
        <v/>
      </c>
      <c r="F652" s="14" t="n"/>
      <c r="G652" s="15">
        <f>IF($F652="","",IFERROR(INDEX(rngEPname,MATCH($F652,rngEPcode,0)),"?"))</f>
        <v/>
      </c>
      <c r="H652" s="15">
        <f>IF($F652="","",IFERROR(INDEX(rngEPtype,MATCH($F652,rngEPcode,0)),"?"))</f>
        <v/>
      </c>
      <c r="I652" s="15">
        <f>IF($F652="","",IFERROR(INDEX(rngEPseq,MATCH($F652,rngEPcode,0)),""))</f>
        <v/>
      </c>
      <c r="J652" s="15">
        <f>IF($F652="","",IFERROR(INDEX(rngEPpass,MATCH($F652,rngEPcode,0)),cfgPassingScore))</f>
        <v/>
      </c>
      <c r="K652" s="14" t="n"/>
      <c r="L652" s="14" t="n"/>
      <c r="M652" s="15">
        <f>IF($C652="","",IF($L652="","",IF($K652=1,IF(COUNTIFS(nrES_PID,$D652,nrES_Code,$F652,nrES_Att,2)&gt;0,"",$L652),IF(COUNTIFS(nrES_PID,$D652,nrES_Code,$F652,nrES_Att,1)=0,$L652,IF($L652&gt;=$J652,cfgRetakeRecordedCap,SUMIFS(nrES_Raw,nrES_PID,$D652,nrES_Code,$F652,nrES_Att,1))))))</f>
        <v/>
      </c>
      <c r="N652" s="15">
        <f>IF($C652="","",IF($L652="","",IF($L652&gt;=$J652,"Yes","No")))</f>
        <v/>
      </c>
      <c r="O652" s="15">
        <f>IF($C652="","",IF($M652="","",IF($M652&gt;=$J652,"Yes","No")))</f>
        <v/>
      </c>
      <c r="P652" s="15">
        <f>IF($C652="","",IF($K652="","",IF(COUNTIFS(nrES_PID,$D652,nrES_Code,$F652,nrES_Att,"&gt;"&amp;$K652)=0,"Yes","No")))</f>
        <v/>
      </c>
      <c r="Q652" s="15">
        <f>IF($C652="","",IF($L652="","",IF(AND($K652=1,$L652&lt;$J652,COUNTIFS(nrES_PID,$D652,nrES_Code,$F652,nrES_Att,2)=0),"Yes","No")))</f>
        <v/>
      </c>
      <c r="R652" s="15">
        <f>IF($C652="","",IF($L652="","",IF(AND($K652=2,$L652&lt;$J652,COUNTIFS(nrES_PID,$D652,nrES_Code,$F652,nrES_Att,1)&gt;0),"Yes","No")))</f>
        <v/>
      </c>
      <c r="S652" s="16" t="n"/>
      <c r="T652" s="17">
        <f>IF($Q652&lt;&gt;"Yes","",IF($S652="","(enter date)",_xlfn.LET(_xlpm.dn,IFERROR(_xlfn.XLOOKUP($S652,nrCDdate,nrCDnum),""),IF(_xlpm.dn="","(not a class day)",IFERROR(_xlfn.XLOOKUP(_xlpm.dn+cfgRetestClassDays,nrCDnum,nrCDdate),"")))))</f>
        <v/>
      </c>
      <c r="U652" s="15">
        <f>IF($Q652&lt;&gt;"Yes","",IF(COUNTIFS(nrES_PID,$D652,nrES_Code,$F652,nrES_Att,2)&gt;0,"Retested",IF(OR($T652="",NOT(ISNUMBER($T652))),"Pending",IF(TODAY()&gt;$T652,"OVERDUE","Due "&amp;TEXT($T652,"mm/dd")))))</f>
        <v/>
      </c>
      <c r="V652" s="14" t="n"/>
      <c r="W652" s="14" t="n"/>
    </row>
    <row r="653">
      <c r="B653" s="15">
        <f>IF($C653="","",$D653&amp;"-"&amp;$F653&amp;"-"&amp;$K653)</f>
        <v/>
      </c>
      <c r="C653" s="14" t="n"/>
      <c r="D653" s="15">
        <f>IF($C653="","",IFERROR(INDEX(rngCadetPIDs,MATCH($C653,rngCadetNames,0)),"?"))</f>
        <v/>
      </c>
      <c r="E653" s="15">
        <f>IF($D653="","",IFERROR(INDEX(nrCadetAgency,MATCH($D653,rngCadetPIDs,0)),""))</f>
        <v/>
      </c>
      <c r="F653" s="14" t="n"/>
      <c r="G653" s="15">
        <f>IF($F653="","",IFERROR(INDEX(rngEPname,MATCH($F653,rngEPcode,0)),"?"))</f>
        <v/>
      </c>
      <c r="H653" s="15">
        <f>IF($F653="","",IFERROR(INDEX(rngEPtype,MATCH($F653,rngEPcode,0)),"?"))</f>
        <v/>
      </c>
      <c r="I653" s="15">
        <f>IF($F653="","",IFERROR(INDEX(rngEPseq,MATCH($F653,rngEPcode,0)),""))</f>
        <v/>
      </c>
      <c r="J653" s="15">
        <f>IF($F653="","",IFERROR(INDEX(rngEPpass,MATCH($F653,rngEPcode,0)),cfgPassingScore))</f>
        <v/>
      </c>
      <c r="K653" s="14" t="n"/>
      <c r="L653" s="14" t="n"/>
      <c r="M653" s="15">
        <f>IF($C653="","",IF($L653="","",IF($K653=1,IF(COUNTIFS(nrES_PID,$D653,nrES_Code,$F653,nrES_Att,2)&gt;0,"",$L653),IF(COUNTIFS(nrES_PID,$D653,nrES_Code,$F653,nrES_Att,1)=0,$L653,IF($L653&gt;=$J653,cfgRetakeRecordedCap,SUMIFS(nrES_Raw,nrES_PID,$D653,nrES_Code,$F653,nrES_Att,1))))))</f>
        <v/>
      </c>
      <c r="N653" s="15">
        <f>IF($C653="","",IF($L653="","",IF($L653&gt;=$J653,"Yes","No")))</f>
        <v/>
      </c>
      <c r="O653" s="15">
        <f>IF($C653="","",IF($M653="","",IF($M653&gt;=$J653,"Yes","No")))</f>
        <v/>
      </c>
      <c r="P653" s="15">
        <f>IF($C653="","",IF($K653="","",IF(COUNTIFS(nrES_PID,$D653,nrES_Code,$F653,nrES_Att,"&gt;"&amp;$K653)=0,"Yes","No")))</f>
        <v/>
      </c>
      <c r="Q653" s="15">
        <f>IF($C653="","",IF($L653="","",IF(AND($K653=1,$L653&lt;$J653,COUNTIFS(nrES_PID,$D653,nrES_Code,$F653,nrES_Att,2)=0),"Yes","No")))</f>
        <v/>
      </c>
      <c r="R653" s="15">
        <f>IF($C653="","",IF($L653="","",IF(AND($K653=2,$L653&lt;$J653,COUNTIFS(nrES_PID,$D653,nrES_Code,$F653,nrES_Att,1)&gt;0),"Yes","No")))</f>
        <v/>
      </c>
      <c r="S653" s="16" t="n"/>
      <c r="T653" s="17">
        <f>IF($Q653&lt;&gt;"Yes","",IF($S653="","(enter date)",_xlfn.LET(_xlpm.dn,IFERROR(_xlfn.XLOOKUP($S653,nrCDdate,nrCDnum),""),IF(_xlpm.dn="","(not a class day)",IFERROR(_xlfn.XLOOKUP(_xlpm.dn+cfgRetestClassDays,nrCDnum,nrCDdate),"")))))</f>
        <v/>
      </c>
      <c r="U653" s="15">
        <f>IF($Q653&lt;&gt;"Yes","",IF(COUNTIFS(nrES_PID,$D653,nrES_Code,$F653,nrES_Att,2)&gt;0,"Retested",IF(OR($T653="",NOT(ISNUMBER($T653))),"Pending",IF(TODAY()&gt;$T653,"OVERDUE","Due "&amp;TEXT($T653,"mm/dd")))))</f>
        <v/>
      </c>
      <c r="V653" s="14" t="n"/>
      <c r="W653" s="14" t="n"/>
    </row>
    <row r="654">
      <c r="B654" s="15">
        <f>IF($C654="","",$D654&amp;"-"&amp;$F654&amp;"-"&amp;$K654)</f>
        <v/>
      </c>
      <c r="C654" s="14" t="n"/>
      <c r="D654" s="15">
        <f>IF($C654="","",IFERROR(INDEX(rngCadetPIDs,MATCH($C654,rngCadetNames,0)),"?"))</f>
        <v/>
      </c>
      <c r="E654" s="15">
        <f>IF($D654="","",IFERROR(INDEX(nrCadetAgency,MATCH($D654,rngCadetPIDs,0)),""))</f>
        <v/>
      </c>
      <c r="F654" s="14" t="n"/>
      <c r="G654" s="15">
        <f>IF($F654="","",IFERROR(INDEX(rngEPname,MATCH($F654,rngEPcode,0)),"?"))</f>
        <v/>
      </c>
      <c r="H654" s="15">
        <f>IF($F654="","",IFERROR(INDEX(rngEPtype,MATCH($F654,rngEPcode,0)),"?"))</f>
        <v/>
      </c>
      <c r="I654" s="15">
        <f>IF($F654="","",IFERROR(INDEX(rngEPseq,MATCH($F654,rngEPcode,0)),""))</f>
        <v/>
      </c>
      <c r="J654" s="15">
        <f>IF($F654="","",IFERROR(INDEX(rngEPpass,MATCH($F654,rngEPcode,0)),cfgPassingScore))</f>
        <v/>
      </c>
      <c r="K654" s="14" t="n"/>
      <c r="L654" s="14" t="n"/>
      <c r="M654" s="15">
        <f>IF($C654="","",IF($L654="","",IF($K654=1,IF(COUNTIFS(nrES_PID,$D654,nrES_Code,$F654,nrES_Att,2)&gt;0,"",$L654),IF(COUNTIFS(nrES_PID,$D654,nrES_Code,$F654,nrES_Att,1)=0,$L654,IF($L654&gt;=$J654,cfgRetakeRecordedCap,SUMIFS(nrES_Raw,nrES_PID,$D654,nrES_Code,$F654,nrES_Att,1))))))</f>
        <v/>
      </c>
      <c r="N654" s="15">
        <f>IF($C654="","",IF($L654="","",IF($L654&gt;=$J654,"Yes","No")))</f>
        <v/>
      </c>
      <c r="O654" s="15">
        <f>IF($C654="","",IF($M654="","",IF($M654&gt;=$J654,"Yes","No")))</f>
        <v/>
      </c>
      <c r="P654" s="15">
        <f>IF($C654="","",IF($K654="","",IF(COUNTIFS(nrES_PID,$D654,nrES_Code,$F654,nrES_Att,"&gt;"&amp;$K654)=0,"Yes","No")))</f>
        <v/>
      </c>
      <c r="Q654" s="15">
        <f>IF($C654="","",IF($L654="","",IF(AND($K654=1,$L654&lt;$J654,COUNTIFS(nrES_PID,$D654,nrES_Code,$F654,nrES_Att,2)=0),"Yes","No")))</f>
        <v/>
      </c>
      <c r="R654" s="15">
        <f>IF($C654="","",IF($L654="","",IF(AND($K654=2,$L654&lt;$J654,COUNTIFS(nrES_PID,$D654,nrES_Code,$F654,nrES_Att,1)&gt;0),"Yes","No")))</f>
        <v/>
      </c>
      <c r="S654" s="16" t="n"/>
      <c r="T654" s="17">
        <f>IF($Q654&lt;&gt;"Yes","",IF($S654="","(enter date)",_xlfn.LET(_xlpm.dn,IFERROR(_xlfn.XLOOKUP($S654,nrCDdate,nrCDnum),""),IF(_xlpm.dn="","(not a class day)",IFERROR(_xlfn.XLOOKUP(_xlpm.dn+cfgRetestClassDays,nrCDnum,nrCDdate),"")))))</f>
        <v/>
      </c>
      <c r="U654" s="15">
        <f>IF($Q654&lt;&gt;"Yes","",IF(COUNTIFS(nrES_PID,$D654,nrES_Code,$F654,nrES_Att,2)&gt;0,"Retested",IF(OR($T654="",NOT(ISNUMBER($T654))),"Pending",IF(TODAY()&gt;$T654,"OVERDUE","Due "&amp;TEXT($T654,"mm/dd")))))</f>
        <v/>
      </c>
      <c r="V654" s="14" t="n"/>
      <c r="W654" s="14" t="n"/>
    </row>
    <row r="655">
      <c r="B655" s="15">
        <f>IF($C655="","",$D655&amp;"-"&amp;$F655&amp;"-"&amp;$K655)</f>
        <v/>
      </c>
      <c r="C655" s="14" t="n"/>
      <c r="D655" s="15">
        <f>IF($C655="","",IFERROR(INDEX(rngCadetPIDs,MATCH($C655,rngCadetNames,0)),"?"))</f>
        <v/>
      </c>
      <c r="E655" s="15">
        <f>IF($D655="","",IFERROR(INDEX(nrCadetAgency,MATCH($D655,rngCadetPIDs,0)),""))</f>
        <v/>
      </c>
      <c r="F655" s="14" t="n"/>
      <c r="G655" s="15">
        <f>IF($F655="","",IFERROR(INDEX(rngEPname,MATCH($F655,rngEPcode,0)),"?"))</f>
        <v/>
      </c>
      <c r="H655" s="15">
        <f>IF($F655="","",IFERROR(INDEX(rngEPtype,MATCH($F655,rngEPcode,0)),"?"))</f>
        <v/>
      </c>
      <c r="I655" s="15">
        <f>IF($F655="","",IFERROR(INDEX(rngEPseq,MATCH($F655,rngEPcode,0)),""))</f>
        <v/>
      </c>
      <c r="J655" s="15">
        <f>IF($F655="","",IFERROR(INDEX(rngEPpass,MATCH($F655,rngEPcode,0)),cfgPassingScore))</f>
        <v/>
      </c>
      <c r="K655" s="14" t="n"/>
      <c r="L655" s="14" t="n"/>
      <c r="M655" s="15">
        <f>IF($C655="","",IF($L655="","",IF($K655=1,IF(COUNTIFS(nrES_PID,$D655,nrES_Code,$F655,nrES_Att,2)&gt;0,"",$L655),IF(COUNTIFS(nrES_PID,$D655,nrES_Code,$F655,nrES_Att,1)=0,$L655,IF($L655&gt;=$J655,cfgRetakeRecordedCap,SUMIFS(nrES_Raw,nrES_PID,$D655,nrES_Code,$F655,nrES_Att,1))))))</f>
        <v/>
      </c>
      <c r="N655" s="15">
        <f>IF($C655="","",IF($L655="","",IF($L655&gt;=$J655,"Yes","No")))</f>
        <v/>
      </c>
      <c r="O655" s="15">
        <f>IF($C655="","",IF($M655="","",IF($M655&gt;=$J655,"Yes","No")))</f>
        <v/>
      </c>
      <c r="P655" s="15">
        <f>IF($C655="","",IF($K655="","",IF(COUNTIFS(nrES_PID,$D655,nrES_Code,$F655,nrES_Att,"&gt;"&amp;$K655)=0,"Yes","No")))</f>
        <v/>
      </c>
      <c r="Q655" s="15">
        <f>IF($C655="","",IF($L655="","",IF(AND($K655=1,$L655&lt;$J655,COUNTIFS(nrES_PID,$D655,nrES_Code,$F655,nrES_Att,2)=0),"Yes","No")))</f>
        <v/>
      </c>
      <c r="R655" s="15">
        <f>IF($C655="","",IF($L655="","",IF(AND($K655=2,$L655&lt;$J655,COUNTIFS(nrES_PID,$D655,nrES_Code,$F655,nrES_Att,1)&gt;0),"Yes","No")))</f>
        <v/>
      </c>
      <c r="S655" s="16" t="n"/>
      <c r="T655" s="17">
        <f>IF($Q655&lt;&gt;"Yes","",IF($S655="","(enter date)",_xlfn.LET(_xlpm.dn,IFERROR(_xlfn.XLOOKUP($S655,nrCDdate,nrCDnum),""),IF(_xlpm.dn="","(not a class day)",IFERROR(_xlfn.XLOOKUP(_xlpm.dn+cfgRetestClassDays,nrCDnum,nrCDdate),"")))))</f>
        <v/>
      </c>
      <c r="U655" s="15">
        <f>IF($Q655&lt;&gt;"Yes","",IF(COUNTIFS(nrES_PID,$D655,nrES_Code,$F655,nrES_Att,2)&gt;0,"Retested",IF(OR($T655="",NOT(ISNUMBER($T655))),"Pending",IF(TODAY()&gt;$T655,"OVERDUE","Due "&amp;TEXT($T655,"mm/dd")))))</f>
        <v/>
      </c>
      <c r="V655" s="14" t="n"/>
      <c r="W655" s="14" t="n"/>
    </row>
    <row r="656">
      <c r="B656" s="15">
        <f>IF($C656="","",$D656&amp;"-"&amp;$F656&amp;"-"&amp;$K656)</f>
        <v/>
      </c>
      <c r="C656" s="14" t="n"/>
      <c r="D656" s="15">
        <f>IF($C656="","",IFERROR(INDEX(rngCadetPIDs,MATCH($C656,rngCadetNames,0)),"?"))</f>
        <v/>
      </c>
      <c r="E656" s="15">
        <f>IF($D656="","",IFERROR(INDEX(nrCadetAgency,MATCH($D656,rngCadetPIDs,0)),""))</f>
        <v/>
      </c>
      <c r="F656" s="14" t="n"/>
      <c r="G656" s="15">
        <f>IF($F656="","",IFERROR(INDEX(rngEPname,MATCH($F656,rngEPcode,0)),"?"))</f>
        <v/>
      </c>
      <c r="H656" s="15">
        <f>IF($F656="","",IFERROR(INDEX(rngEPtype,MATCH($F656,rngEPcode,0)),"?"))</f>
        <v/>
      </c>
      <c r="I656" s="15">
        <f>IF($F656="","",IFERROR(INDEX(rngEPseq,MATCH($F656,rngEPcode,0)),""))</f>
        <v/>
      </c>
      <c r="J656" s="15">
        <f>IF($F656="","",IFERROR(INDEX(rngEPpass,MATCH($F656,rngEPcode,0)),cfgPassingScore))</f>
        <v/>
      </c>
      <c r="K656" s="14" t="n"/>
      <c r="L656" s="14" t="n"/>
      <c r="M656" s="15">
        <f>IF($C656="","",IF($L656="","",IF($K656=1,IF(COUNTIFS(nrES_PID,$D656,nrES_Code,$F656,nrES_Att,2)&gt;0,"",$L656),IF(COUNTIFS(nrES_PID,$D656,nrES_Code,$F656,nrES_Att,1)=0,$L656,IF($L656&gt;=$J656,cfgRetakeRecordedCap,SUMIFS(nrES_Raw,nrES_PID,$D656,nrES_Code,$F656,nrES_Att,1))))))</f>
        <v/>
      </c>
      <c r="N656" s="15">
        <f>IF($C656="","",IF($L656="","",IF($L656&gt;=$J656,"Yes","No")))</f>
        <v/>
      </c>
      <c r="O656" s="15">
        <f>IF($C656="","",IF($M656="","",IF($M656&gt;=$J656,"Yes","No")))</f>
        <v/>
      </c>
      <c r="P656" s="15">
        <f>IF($C656="","",IF($K656="","",IF(COUNTIFS(nrES_PID,$D656,nrES_Code,$F656,nrES_Att,"&gt;"&amp;$K656)=0,"Yes","No")))</f>
        <v/>
      </c>
      <c r="Q656" s="15">
        <f>IF($C656="","",IF($L656="","",IF(AND($K656=1,$L656&lt;$J656,COUNTIFS(nrES_PID,$D656,nrES_Code,$F656,nrES_Att,2)=0),"Yes","No")))</f>
        <v/>
      </c>
      <c r="R656" s="15">
        <f>IF($C656="","",IF($L656="","",IF(AND($K656=2,$L656&lt;$J656,COUNTIFS(nrES_PID,$D656,nrES_Code,$F656,nrES_Att,1)&gt;0),"Yes","No")))</f>
        <v/>
      </c>
      <c r="S656" s="16" t="n"/>
      <c r="T656" s="17">
        <f>IF($Q656&lt;&gt;"Yes","",IF($S656="","(enter date)",_xlfn.LET(_xlpm.dn,IFERROR(_xlfn.XLOOKUP($S656,nrCDdate,nrCDnum),""),IF(_xlpm.dn="","(not a class day)",IFERROR(_xlfn.XLOOKUP(_xlpm.dn+cfgRetestClassDays,nrCDnum,nrCDdate),"")))))</f>
        <v/>
      </c>
      <c r="U656" s="15">
        <f>IF($Q656&lt;&gt;"Yes","",IF(COUNTIFS(nrES_PID,$D656,nrES_Code,$F656,nrES_Att,2)&gt;0,"Retested",IF(OR($T656="",NOT(ISNUMBER($T656))),"Pending",IF(TODAY()&gt;$T656,"OVERDUE","Due "&amp;TEXT($T656,"mm/dd")))))</f>
        <v/>
      </c>
      <c r="V656" s="14" t="n"/>
      <c r="W656" s="14" t="n"/>
    </row>
    <row r="657">
      <c r="B657" s="15">
        <f>IF($C657="","",$D657&amp;"-"&amp;$F657&amp;"-"&amp;$K657)</f>
        <v/>
      </c>
      <c r="C657" s="14" t="n"/>
      <c r="D657" s="15">
        <f>IF($C657="","",IFERROR(INDEX(rngCadetPIDs,MATCH($C657,rngCadetNames,0)),"?"))</f>
        <v/>
      </c>
      <c r="E657" s="15">
        <f>IF($D657="","",IFERROR(INDEX(nrCadetAgency,MATCH($D657,rngCadetPIDs,0)),""))</f>
        <v/>
      </c>
      <c r="F657" s="14" t="n"/>
      <c r="G657" s="15">
        <f>IF($F657="","",IFERROR(INDEX(rngEPname,MATCH($F657,rngEPcode,0)),"?"))</f>
        <v/>
      </c>
      <c r="H657" s="15">
        <f>IF($F657="","",IFERROR(INDEX(rngEPtype,MATCH($F657,rngEPcode,0)),"?"))</f>
        <v/>
      </c>
      <c r="I657" s="15">
        <f>IF($F657="","",IFERROR(INDEX(rngEPseq,MATCH($F657,rngEPcode,0)),""))</f>
        <v/>
      </c>
      <c r="J657" s="15">
        <f>IF($F657="","",IFERROR(INDEX(rngEPpass,MATCH($F657,rngEPcode,0)),cfgPassingScore))</f>
        <v/>
      </c>
      <c r="K657" s="14" t="n"/>
      <c r="L657" s="14" t="n"/>
      <c r="M657" s="15">
        <f>IF($C657="","",IF($L657="","",IF($K657=1,IF(COUNTIFS(nrES_PID,$D657,nrES_Code,$F657,nrES_Att,2)&gt;0,"",$L657),IF(COUNTIFS(nrES_PID,$D657,nrES_Code,$F657,nrES_Att,1)=0,$L657,IF($L657&gt;=$J657,cfgRetakeRecordedCap,SUMIFS(nrES_Raw,nrES_PID,$D657,nrES_Code,$F657,nrES_Att,1))))))</f>
        <v/>
      </c>
      <c r="N657" s="15">
        <f>IF($C657="","",IF($L657="","",IF($L657&gt;=$J657,"Yes","No")))</f>
        <v/>
      </c>
      <c r="O657" s="15">
        <f>IF($C657="","",IF($M657="","",IF($M657&gt;=$J657,"Yes","No")))</f>
        <v/>
      </c>
      <c r="P657" s="15">
        <f>IF($C657="","",IF($K657="","",IF(COUNTIFS(nrES_PID,$D657,nrES_Code,$F657,nrES_Att,"&gt;"&amp;$K657)=0,"Yes","No")))</f>
        <v/>
      </c>
      <c r="Q657" s="15">
        <f>IF($C657="","",IF($L657="","",IF(AND($K657=1,$L657&lt;$J657,COUNTIFS(nrES_PID,$D657,nrES_Code,$F657,nrES_Att,2)=0),"Yes","No")))</f>
        <v/>
      </c>
      <c r="R657" s="15">
        <f>IF($C657="","",IF($L657="","",IF(AND($K657=2,$L657&lt;$J657,COUNTIFS(nrES_PID,$D657,nrES_Code,$F657,nrES_Att,1)&gt;0),"Yes","No")))</f>
        <v/>
      </c>
      <c r="S657" s="16" t="n"/>
      <c r="T657" s="17">
        <f>IF($Q657&lt;&gt;"Yes","",IF($S657="","(enter date)",_xlfn.LET(_xlpm.dn,IFERROR(_xlfn.XLOOKUP($S657,nrCDdate,nrCDnum),""),IF(_xlpm.dn="","(not a class day)",IFERROR(_xlfn.XLOOKUP(_xlpm.dn+cfgRetestClassDays,nrCDnum,nrCDdate),"")))))</f>
        <v/>
      </c>
      <c r="U657" s="15">
        <f>IF($Q657&lt;&gt;"Yes","",IF(COUNTIFS(nrES_PID,$D657,nrES_Code,$F657,nrES_Att,2)&gt;0,"Retested",IF(OR($T657="",NOT(ISNUMBER($T657))),"Pending",IF(TODAY()&gt;$T657,"OVERDUE","Due "&amp;TEXT($T657,"mm/dd")))))</f>
        <v/>
      </c>
      <c r="V657" s="14" t="n"/>
      <c r="W657" s="14" t="n"/>
    </row>
    <row r="658">
      <c r="B658" s="15">
        <f>IF($C658="","",$D658&amp;"-"&amp;$F658&amp;"-"&amp;$K658)</f>
        <v/>
      </c>
      <c r="C658" s="14" t="n"/>
      <c r="D658" s="15">
        <f>IF($C658="","",IFERROR(INDEX(rngCadetPIDs,MATCH($C658,rngCadetNames,0)),"?"))</f>
        <v/>
      </c>
      <c r="E658" s="15">
        <f>IF($D658="","",IFERROR(INDEX(nrCadetAgency,MATCH($D658,rngCadetPIDs,0)),""))</f>
        <v/>
      </c>
      <c r="F658" s="14" t="n"/>
      <c r="G658" s="15">
        <f>IF($F658="","",IFERROR(INDEX(rngEPname,MATCH($F658,rngEPcode,0)),"?"))</f>
        <v/>
      </c>
      <c r="H658" s="15">
        <f>IF($F658="","",IFERROR(INDEX(rngEPtype,MATCH($F658,rngEPcode,0)),"?"))</f>
        <v/>
      </c>
      <c r="I658" s="15">
        <f>IF($F658="","",IFERROR(INDEX(rngEPseq,MATCH($F658,rngEPcode,0)),""))</f>
        <v/>
      </c>
      <c r="J658" s="15">
        <f>IF($F658="","",IFERROR(INDEX(rngEPpass,MATCH($F658,rngEPcode,0)),cfgPassingScore))</f>
        <v/>
      </c>
      <c r="K658" s="14" t="n"/>
      <c r="L658" s="14" t="n"/>
      <c r="M658" s="15">
        <f>IF($C658="","",IF($L658="","",IF($K658=1,IF(COUNTIFS(nrES_PID,$D658,nrES_Code,$F658,nrES_Att,2)&gt;0,"",$L658),IF(COUNTIFS(nrES_PID,$D658,nrES_Code,$F658,nrES_Att,1)=0,$L658,IF($L658&gt;=$J658,cfgRetakeRecordedCap,SUMIFS(nrES_Raw,nrES_PID,$D658,nrES_Code,$F658,nrES_Att,1))))))</f>
        <v/>
      </c>
      <c r="N658" s="15">
        <f>IF($C658="","",IF($L658="","",IF($L658&gt;=$J658,"Yes","No")))</f>
        <v/>
      </c>
      <c r="O658" s="15">
        <f>IF($C658="","",IF($M658="","",IF($M658&gt;=$J658,"Yes","No")))</f>
        <v/>
      </c>
      <c r="P658" s="15">
        <f>IF($C658="","",IF($K658="","",IF(COUNTIFS(nrES_PID,$D658,nrES_Code,$F658,nrES_Att,"&gt;"&amp;$K658)=0,"Yes","No")))</f>
        <v/>
      </c>
      <c r="Q658" s="15">
        <f>IF($C658="","",IF($L658="","",IF(AND($K658=1,$L658&lt;$J658,COUNTIFS(nrES_PID,$D658,nrES_Code,$F658,nrES_Att,2)=0),"Yes","No")))</f>
        <v/>
      </c>
      <c r="R658" s="15">
        <f>IF($C658="","",IF($L658="","",IF(AND($K658=2,$L658&lt;$J658,COUNTIFS(nrES_PID,$D658,nrES_Code,$F658,nrES_Att,1)&gt;0),"Yes","No")))</f>
        <v/>
      </c>
      <c r="S658" s="16" t="n"/>
      <c r="T658" s="17">
        <f>IF($Q658&lt;&gt;"Yes","",IF($S658="","(enter date)",_xlfn.LET(_xlpm.dn,IFERROR(_xlfn.XLOOKUP($S658,nrCDdate,nrCDnum),""),IF(_xlpm.dn="","(not a class day)",IFERROR(_xlfn.XLOOKUP(_xlpm.dn+cfgRetestClassDays,nrCDnum,nrCDdate),"")))))</f>
        <v/>
      </c>
      <c r="U658" s="15">
        <f>IF($Q658&lt;&gt;"Yes","",IF(COUNTIFS(nrES_PID,$D658,nrES_Code,$F658,nrES_Att,2)&gt;0,"Retested",IF(OR($T658="",NOT(ISNUMBER($T658))),"Pending",IF(TODAY()&gt;$T658,"OVERDUE","Due "&amp;TEXT($T658,"mm/dd")))))</f>
        <v/>
      </c>
      <c r="V658" s="14" t="n"/>
      <c r="W658" s="14" t="n"/>
    </row>
    <row r="659">
      <c r="B659" s="15">
        <f>IF($C659="","",$D659&amp;"-"&amp;$F659&amp;"-"&amp;$K659)</f>
        <v/>
      </c>
      <c r="C659" s="14" t="n"/>
      <c r="D659" s="15">
        <f>IF($C659="","",IFERROR(INDEX(rngCadetPIDs,MATCH($C659,rngCadetNames,0)),"?"))</f>
        <v/>
      </c>
      <c r="E659" s="15">
        <f>IF($D659="","",IFERROR(INDEX(nrCadetAgency,MATCH($D659,rngCadetPIDs,0)),""))</f>
        <v/>
      </c>
      <c r="F659" s="14" t="n"/>
      <c r="G659" s="15">
        <f>IF($F659="","",IFERROR(INDEX(rngEPname,MATCH($F659,rngEPcode,0)),"?"))</f>
        <v/>
      </c>
      <c r="H659" s="15">
        <f>IF($F659="","",IFERROR(INDEX(rngEPtype,MATCH($F659,rngEPcode,0)),"?"))</f>
        <v/>
      </c>
      <c r="I659" s="15">
        <f>IF($F659="","",IFERROR(INDEX(rngEPseq,MATCH($F659,rngEPcode,0)),""))</f>
        <v/>
      </c>
      <c r="J659" s="15">
        <f>IF($F659="","",IFERROR(INDEX(rngEPpass,MATCH($F659,rngEPcode,0)),cfgPassingScore))</f>
        <v/>
      </c>
      <c r="K659" s="14" t="n"/>
      <c r="L659" s="14" t="n"/>
      <c r="M659" s="15">
        <f>IF($C659="","",IF($L659="","",IF($K659=1,IF(COUNTIFS(nrES_PID,$D659,nrES_Code,$F659,nrES_Att,2)&gt;0,"",$L659),IF(COUNTIFS(nrES_PID,$D659,nrES_Code,$F659,nrES_Att,1)=0,$L659,IF($L659&gt;=$J659,cfgRetakeRecordedCap,SUMIFS(nrES_Raw,nrES_PID,$D659,nrES_Code,$F659,nrES_Att,1))))))</f>
        <v/>
      </c>
      <c r="N659" s="15">
        <f>IF($C659="","",IF($L659="","",IF($L659&gt;=$J659,"Yes","No")))</f>
        <v/>
      </c>
      <c r="O659" s="15">
        <f>IF($C659="","",IF($M659="","",IF($M659&gt;=$J659,"Yes","No")))</f>
        <v/>
      </c>
      <c r="P659" s="15">
        <f>IF($C659="","",IF($K659="","",IF(COUNTIFS(nrES_PID,$D659,nrES_Code,$F659,nrES_Att,"&gt;"&amp;$K659)=0,"Yes","No")))</f>
        <v/>
      </c>
      <c r="Q659" s="15">
        <f>IF($C659="","",IF($L659="","",IF(AND($K659=1,$L659&lt;$J659,COUNTIFS(nrES_PID,$D659,nrES_Code,$F659,nrES_Att,2)=0),"Yes","No")))</f>
        <v/>
      </c>
      <c r="R659" s="15">
        <f>IF($C659="","",IF($L659="","",IF(AND($K659=2,$L659&lt;$J659,COUNTIFS(nrES_PID,$D659,nrES_Code,$F659,nrES_Att,1)&gt;0),"Yes","No")))</f>
        <v/>
      </c>
      <c r="S659" s="16" t="n"/>
      <c r="T659" s="17">
        <f>IF($Q659&lt;&gt;"Yes","",IF($S659="","(enter date)",_xlfn.LET(_xlpm.dn,IFERROR(_xlfn.XLOOKUP($S659,nrCDdate,nrCDnum),""),IF(_xlpm.dn="","(not a class day)",IFERROR(_xlfn.XLOOKUP(_xlpm.dn+cfgRetestClassDays,nrCDnum,nrCDdate),"")))))</f>
        <v/>
      </c>
      <c r="U659" s="15">
        <f>IF($Q659&lt;&gt;"Yes","",IF(COUNTIFS(nrES_PID,$D659,nrES_Code,$F659,nrES_Att,2)&gt;0,"Retested",IF(OR($T659="",NOT(ISNUMBER($T659))),"Pending",IF(TODAY()&gt;$T659,"OVERDUE","Due "&amp;TEXT($T659,"mm/dd")))))</f>
        <v/>
      </c>
      <c r="V659" s="14" t="n"/>
      <c r="W659" s="14" t="n"/>
    </row>
    <row r="660">
      <c r="B660" s="15">
        <f>IF($C660="","",$D660&amp;"-"&amp;$F660&amp;"-"&amp;$K660)</f>
        <v/>
      </c>
      <c r="C660" s="14" t="n"/>
      <c r="D660" s="15">
        <f>IF($C660="","",IFERROR(INDEX(rngCadetPIDs,MATCH($C660,rngCadetNames,0)),"?"))</f>
        <v/>
      </c>
      <c r="E660" s="15">
        <f>IF($D660="","",IFERROR(INDEX(nrCadetAgency,MATCH($D660,rngCadetPIDs,0)),""))</f>
        <v/>
      </c>
      <c r="F660" s="14" t="n"/>
      <c r="G660" s="15">
        <f>IF($F660="","",IFERROR(INDEX(rngEPname,MATCH($F660,rngEPcode,0)),"?"))</f>
        <v/>
      </c>
      <c r="H660" s="15">
        <f>IF($F660="","",IFERROR(INDEX(rngEPtype,MATCH($F660,rngEPcode,0)),"?"))</f>
        <v/>
      </c>
      <c r="I660" s="15">
        <f>IF($F660="","",IFERROR(INDEX(rngEPseq,MATCH($F660,rngEPcode,0)),""))</f>
        <v/>
      </c>
      <c r="J660" s="15">
        <f>IF($F660="","",IFERROR(INDEX(rngEPpass,MATCH($F660,rngEPcode,0)),cfgPassingScore))</f>
        <v/>
      </c>
      <c r="K660" s="14" t="n"/>
      <c r="L660" s="14" t="n"/>
      <c r="M660" s="15">
        <f>IF($C660="","",IF($L660="","",IF($K660=1,IF(COUNTIFS(nrES_PID,$D660,nrES_Code,$F660,nrES_Att,2)&gt;0,"",$L660),IF(COUNTIFS(nrES_PID,$D660,nrES_Code,$F660,nrES_Att,1)=0,$L660,IF($L660&gt;=$J660,cfgRetakeRecordedCap,SUMIFS(nrES_Raw,nrES_PID,$D660,nrES_Code,$F660,nrES_Att,1))))))</f>
        <v/>
      </c>
      <c r="N660" s="15">
        <f>IF($C660="","",IF($L660="","",IF($L660&gt;=$J660,"Yes","No")))</f>
        <v/>
      </c>
      <c r="O660" s="15">
        <f>IF($C660="","",IF($M660="","",IF($M660&gt;=$J660,"Yes","No")))</f>
        <v/>
      </c>
      <c r="P660" s="15">
        <f>IF($C660="","",IF($K660="","",IF(COUNTIFS(nrES_PID,$D660,nrES_Code,$F660,nrES_Att,"&gt;"&amp;$K660)=0,"Yes","No")))</f>
        <v/>
      </c>
      <c r="Q660" s="15">
        <f>IF($C660="","",IF($L660="","",IF(AND($K660=1,$L660&lt;$J660,COUNTIFS(nrES_PID,$D660,nrES_Code,$F660,nrES_Att,2)=0),"Yes","No")))</f>
        <v/>
      </c>
      <c r="R660" s="15">
        <f>IF($C660="","",IF($L660="","",IF(AND($K660=2,$L660&lt;$J660,COUNTIFS(nrES_PID,$D660,nrES_Code,$F660,nrES_Att,1)&gt;0),"Yes","No")))</f>
        <v/>
      </c>
      <c r="S660" s="16" t="n"/>
      <c r="T660" s="17">
        <f>IF($Q660&lt;&gt;"Yes","",IF($S660="","(enter date)",_xlfn.LET(_xlpm.dn,IFERROR(_xlfn.XLOOKUP($S660,nrCDdate,nrCDnum),""),IF(_xlpm.dn="","(not a class day)",IFERROR(_xlfn.XLOOKUP(_xlpm.dn+cfgRetestClassDays,nrCDnum,nrCDdate),"")))))</f>
        <v/>
      </c>
      <c r="U660" s="15">
        <f>IF($Q660&lt;&gt;"Yes","",IF(COUNTIFS(nrES_PID,$D660,nrES_Code,$F660,nrES_Att,2)&gt;0,"Retested",IF(OR($T660="",NOT(ISNUMBER($T660))),"Pending",IF(TODAY()&gt;$T660,"OVERDUE","Due "&amp;TEXT($T660,"mm/dd")))))</f>
        <v/>
      </c>
      <c r="V660" s="14" t="n"/>
      <c r="W660" s="14" t="n"/>
    </row>
    <row r="661">
      <c r="B661" s="15">
        <f>IF($C661="","",$D661&amp;"-"&amp;$F661&amp;"-"&amp;$K661)</f>
        <v/>
      </c>
      <c r="C661" s="14" t="n"/>
      <c r="D661" s="15">
        <f>IF($C661="","",IFERROR(INDEX(rngCadetPIDs,MATCH($C661,rngCadetNames,0)),"?"))</f>
        <v/>
      </c>
      <c r="E661" s="15">
        <f>IF($D661="","",IFERROR(INDEX(nrCadetAgency,MATCH($D661,rngCadetPIDs,0)),""))</f>
        <v/>
      </c>
      <c r="F661" s="14" t="n"/>
      <c r="G661" s="15">
        <f>IF($F661="","",IFERROR(INDEX(rngEPname,MATCH($F661,rngEPcode,0)),"?"))</f>
        <v/>
      </c>
      <c r="H661" s="15">
        <f>IF($F661="","",IFERROR(INDEX(rngEPtype,MATCH($F661,rngEPcode,0)),"?"))</f>
        <v/>
      </c>
      <c r="I661" s="15">
        <f>IF($F661="","",IFERROR(INDEX(rngEPseq,MATCH($F661,rngEPcode,0)),""))</f>
        <v/>
      </c>
      <c r="J661" s="15">
        <f>IF($F661="","",IFERROR(INDEX(rngEPpass,MATCH($F661,rngEPcode,0)),cfgPassingScore))</f>
        <v/>
      </c>
      <c r="K661" s="14" t="n"/>
      <c r="L661" s="14" t="n"/>
      <c r="M661" s="15">
        <f>IF($C661="","",IF($L661="","",IF($K661=1,IF(COUNTIFS(nrES_PID,$D661,nrES_Code,$F661,nrES_Att,2)&gt;0,"",$L661),IF(COUNTIFS(nrES_PID,$D661,nrES_Code,$F661,nrES_Att,1)=0,$L661,IF($L661&gt;=$J661,cfgRetakeRecordedCap,SUMIFS(nrES_Raw,nrES_PID,$D661,nrES_Code,$F661,nrES_Att,1))))))</f>
        <v/>
      </c>
      <c r="N661" s="15">
        <f>IF($C661="","",IF($L661="","",IF($L661&gt;=$J661,"Yes","No")))</f>
        <v/>
      </c>
      <c r="O661" s="15">
        <f>IF($C661="","",IF($M661="","",IF($M661&gt;=$J661,"Yes","No")))</f>
        <v/>
      </c>
      <c r="P661" s="15">
        <f>IF($C661="","",IF($K661="","",IF(COUNTIFS(nrES_PID,$D661,nrES_Code,$F661,nrES_Att,"&gt;"&amp;$K661)=0,"Yes","No")))</f>
        <v/>
      </c>
      <c r="Q661" s="15">
        <f>IF($C661="","",IF($L661="","",IF(AND($K661=1,$L661&lt;$J661,COUNTIFS(nrES_PID,$D661,nrES_Code,$F661,nrES_Att,2)=0),"Yes","No")))</f>
        <v/>
      </c>
      <c r="R661" s="15">
        <f>IF($C661="","",IF($L661="","",IF(AND($K661=2,$L661&lt;$J661,COUNTIFS(nrES_PID,$D661,nrES_Code,$F661,nrES_Att,1)&gt;0),"Yes","No")))</f>
        <v/>
      </c>
      <c r="S661" s="16" t="n"/>
      <c r="T661" s="17">
        <f>IF($Q661&lt;&gt;"Yes","",IF($S661="","(enter date)",_xlfn.LET(_xlpm.dn,IFERROR(_xlfn.XLOOKUP($S661,nrCDdate,nrCDnum),""),IF(_xlpm.dn="","(not a class day)",IFERROR(_xlfn.XLOOKUP(_xlpm.dn+cfgRetestClassDays,nrCDnum,nrCDdate),"")))))</f>
        <v/>
      </c>
      <c r="U661" s="15">
        <f>IF($Q661&lt;&gt;"Yes","",IF(COUNTIFS(nrES_PID,$D661,nrES_Code,$F661,nrES_Att,2)&gt;0,"Retested",IF(OR($T661="",NOT(ISNUMBER($T661))),"Pending",IF(TODAY()&gt;$T661,"OVERDUE","Due "&amp;TEXT($T661,"mm/dd")))))</f>
        <v/>
      </c>
      <c r="V661" s="14" t="n"/>
      <c r="W661" s="14" t="n"/>
    </row>
    <row r="662">
      <c r="B662" s="15">
        <f>IF($C662="","",$D662&amp;"-"&amp;$F662&amp;"-"&amp;$K662)</f>
        <v/>
      </c>
      <c r="C662" s="14" t="n"/>
      <c r="D662" s="15">
        <f>IF($C662="","",IFERROR(INDEX(rngCadetPIDs,MATCH($C662,rngCadetNames,0)),"?"))</f>
        <v/>
      </c>
      <c r="E662" s="15">
        <f>IF($D662="","",IFERROR(INDEX(nrCadetAgency,MATCH($D662,rngCadetPIDs,0)),""))</f>
        <v/>
      </c>
      <c r="F662" s="14" t="n"/>
      <c r="G662" s="15">
        <f>IF($F662="","",IFERROR(INDEX(rngEPname,MATCH($F662,rngEPcode,0)),"?"))</f>
        <v/>
      </c>
      <c r="H662" s="15">
        <f>IF($F662="","",IFERROR(INDEX(rngEPtype,MATCH($F662,rngEPcode,0)),"?"))</f>
        <v/>
      </c>
      <c r="I662" s="15">
        <f>IF($F662="","",IFERROR(INDEX(rngEPseq,MATCH($F662,rngEPcode,0)),""))</f>
        <v/>
      </c>
      <c r="J662" s="15">
        <f>IF($F662="","",IFERROR(INDEX(rngEPpass,MATCH($F662,rngEPcode,0)),cfgPassingScore))</f>
        <v/>
      </c>
      <c r="K662" s="14" t="n"/>
      <c r="L662" s="14" t="n"/>
      <c r="M662" s="15">
        <f>IF($C662="","",IF($L662="","",IF($K662=1,IF(COUNTIFS(nrES_PID,$D662,nrES_Code,$F662,nrES_Att,2)&gt;0,"",$L662),IF(COUNTIFS(nrES_PID,$D662,nrES_Code,$F662,nrES_Att,1)=0,$L662,IF($L662&gt;=$J662,cfgRetakeRecordedCap,SUMIFS(nrES_Raw,nrES_PID,$D662,nrES_Code,$F662,nrES_Att,1))))))</f>
        <v/>
      </c>
      <c r="N662" s="15">
        <f>IF($C662="","",IF($L662="","",IF($L662&gt;=$J662,"Yes","No")))</f>
        <v/>
      </c>
      <c r="O662" s="15">
        <f>IF($C662="","",IF($M662="","",IF($M662&gt;=$J662,"Yes","No")))</f>
        <v/>
      </c>
      <c r="P662" s="15">
        <f>IF($C662="","",IF($K662="","",IF(COUNTIFS(nrES_PID,$D662,nrES_Code,$F662,nrES_Att,"&gt;"&amp;$K662)=0,"Yes","No")))</f>
        <v/>
      </c>
      <c r="Q662" s="15">
        <f>IF($C662="","",IF($L662="","",IF(AND($K662=1,$L662&lt;$J662,COUNTIFS(nrES_PID,$D662,nrES_Code,$F662,nrES_Att,2)=0),"Yes","No")))</f>
        <v/>
      </c>
      <c r="R662" s="15">
        <f>IF($C662="","",IF($L662="","",IF(AND($K662=2,$L662&lt;$J662,COUNTIFS(nrES_PID,$D662,nrES_Code,$F662,nrES_Att,1)&gt;0),"Yes","No")))</f>
        <v/>
      </c>
      <c r="S662" s="16" t="n"/>
      <c r="T662" s="17">
        <f>IF($Q662&lt;&gt;"Yes","",IF($S662="","(enter date)",_xlfn.LET(_xlpm.dn,IFERROR(_xlfn.XLOOKUP($S662,nrCDdate,nrCDnum),""),IF(_xlpm.dn="","(not a class day)",IFERROR(_xlfn.XLOOKUP(_xlpm.dn+cfgRetestClassDays,nrCDnum,nrCDdate),"")))))</f>
        <v/>
      </c>
      <c r="U662" s="15">
        <f>IF($Q662&lt;&gt;"Yes","",IF(COUNTIFS(nrES_PID,$D662,nrES_Code,$F662,nrES_Att,2)&gt;0,"Retested",IF(OR($T662="",NOT(ISNUMBER($T662))),"Pending",IF(TODAY()&gt;$T662,"OVERDUE","Due "&amp;TEXT($T662,"mm/dd")))))</f>
        <v/>
      </c>
      <c r="V662" s="14" t="n"/>
      <c r="W662" s="14" t="n"/>
    </row>
    <row r="663">
      <c r="B663" s="15">
        <f>IF($C663="","",$D663&amp;"-"&amp;$F663&amp;"-"&amp;$K663)</f>
        <v/>
      </c>
      <c r="C663" s="14" t="n"/>
      <c r="D663" s="15">
        <f>IF($C663="","",IFERROR(INDEX(rngCadetPIDs,MATCH($C663,rngCadetNames,0)),"?"))</f>
        <v/>
      </c>
      <c r="E663" s="15">
        <f>IF($D663="","",IFERROR(INDEX(nrCadetAgency,MATCH($D663,rngCadetPIDs,0)),""))</f>
        <v/>
      </c>
      <c r="F663" s="14" t="n"/>
      <c r="G663" s="15">
        <f>IF($F663="","",IFERROR(INDEX(rngEPname,MATCH($F663,rngEPcode,0)),"?"))</f>
        <v/>
      </c>
      <c r="H663" s="15">
        <f>IF($F663="","",IFERROR(INDEX(rngEPtype,MATCH($F663,rngEPcode,0)),"?"))</f>
        <v/>
      </c>
      <c r="I663" s="15">
        <f>IF($F663="","",IFERROR(INDEX(rngEPseq,MATCH($F663,rngEPcode,0)),""))</f>
        <v/>
      </c>
      <c r="J663" s="15">
        <f>IF($F663="","",IFERROR(INDEX(rngEPpass,MATCH($F663,rngEPcode,0)),cfgPassingScore))</f>
        <v/>
      </c>
      <c r="K663" s="14" t="n"/>
      <c r="L663" s="14" t="n"/>
      <c r="M663" s="15">
        <f>IF($C663="","",IF($L663="","",IF($K663=1,IF(COUNTIFS(nrES_PID,$D663,nrES_Code,$F663,nrES_Att,2)&gt;0,"",$L663),IF(COUNTIFS(nrES_PID,$D663,nrES_Code,$F663,nrES_Att,1)=0,$L663,IF($L663&gt;=$J663,cfgRetakeRecordedCap,SUMIFS(nrES_Raw,nrES_PID,$D663,nrES_Code,$F663,nrES_Att,1))))))</f>
        <v/>
      </c>
      <c r="N663" s="15">
        <f>IF($C663="","",IF($L663="","",IF($L663&gt;=$J663,"Yes","No")))</f>
        <v/>
      </c>
      <c r="O663" s="15">
        <f>IF($C663="","",IF($M663="","",IF($M663&gt;=$J663,"Yes","No")))</f>
        <v/>
      </c>
      <c r="P663" s="15">
        <f>IF($C663="","",IF($K663="","",IF(COUNTIFS(nrES_PID,$D663,nrES_Code,$F663,nrES_Att,"&gt;"&amp;$K663)=0,"Yes","No")))</f>
        <v/>
      </c>
      <c r="Q663" s="15">
        <f>IF($C663="","",IF($L663="","",IF(AND($K663=1,$L663&lt;$J663,COUNTIFS(nrES_PID,$D663,nrES_Code,$F663,nrES_Att,2)=0),"Yes","No")))</f>
        <v/>
      </c>
      <c r="R663" s="15">
        <f>IF($C663="","",IF($L663="","",IF(AND($K663=2,$L663&lt;$J663,COUNTIFS(nrES_PID,$D663,nrES_Code,$F663,nrES_Att,1)&gt;0),"Yes","No")))</f>
        <v/>
      </c>
      <c r="S663" s="16" t="n"/>
      <c r="T663" s="17">
        <f>IF($Q663&lt;&gt;"Yes","",IF($S663="","(enter date)",_xlfn.LET(_xlpm.dn,IFERROR(_xlfn.XLOOKUP($S663,nrCDdate,nrCDnum),""),IF(_xlpm.dn="","(not a class day)",IFERROR(_xlfn.XLOOKUP(_xlpm.dn+cfgRetestClassDays,nrCDnum,nrCDdate),"")))))</f>
        <v/>
      </c>
      <c r="U663" s="15">
        <f>IF($Q663&lt;&gt;"Yes","",IF(COUNTIFS(nrES_PID,$D663,nrES_Code,$F663,nrES_Att,2)&gt;0,"Retested",IF(OR($T663="",NOT(ISNUMBER($T663))),"Pending",IF(TODAY()&gt;$T663,"OVERDUE","Due "&amp;TEXT($T663,"mm/dd")))))</f>
        <v/>
      </c>
      <c r="V663" s="14" t="n"/>
      <c r="W663" s="14" t="n"/>
    </row>
    <row r="664">
      <c r="B664" s="15">
        <f>IF($C664="","",$D664&amp;"-"&amp;$F664&amp;"-"&amp;$K664)</f>
        <v/>
      </c>
      <c r="C664" s="14" t="n"/>
      <c r="D664" s="15">
        <f>IF($C664="","",IFERROR(INDEX(rngCadetPIDs,MATCH($C664,rngCadetNames,0)),"?"))</f>
        <v/>
      </c>
      <c r="E664" s="15">
        <f>IF($D664="","",IFERROR(INDEX(nrCadetAgency,MATCH($D664,rngCadetPIDs,0)),""))</f>
        <v/>
      </c>
      <c r="F664" s="14" t="n"/>
      <c r="G664" s="15">
        <f>IF($F664="","",IFERROR(INDEX(rngEPname,MATCH($F664,rngEPcode,0)),"?"))</f>
        <v/>
      </c>
      <c r="H664" s="15">
        <f>IF($F664="","",IFERROR(INDEX(rngEPtype,MATCH($F664,rngEPcode,0)),"?"))</f>
        <v/>
      </c>
      <c r="I664" s="15">
        <f>IF($F664="","",IFERROR(INDEX(rngEPseq,MATCH($F664,rngEPcode,0)),""))</f>
        <v/>
      </c>
      <c r="J664" s="15">
        <f>IF($F664="","",IFERROR(INDEX(rngEPpass,MATCH($F664,rngEPcode,0)),cfgPassingScore))</f>
        <v/>
      </c>
      <c r="K664" s="14" t="n"/>
      <c r="L664" s="14" t="n"/>
      <c r="M664" s="15">
        <f>IF($C664="","",IF($L664="","",IF($K664=1,IF(COUNTIFS(nrES_PID,$D664,nrES_Code,$F664,nrES_Att,2)&gt;0,"",$L664),IF(COUNTIFS(nrES_PID,$D664,nrES_Code,$F664,nrES_Att,1)=0,$L664,IF($L664&gt;=$J664,cfgRetakeRecordedCap,SUMIFS(nrES_Raw,nrES_PID,$D664,nrES_Code,$F664,nrES_Att,1))))))</f>
        <v/>
      </c>
      <c r="N664" s="15">
        <f>IF($C664="","",IF($L664="","",IF($L664&gt;=$J664,"Yes","No")))</f>
        <v/>
      </c>
      <c r="O664" s="15">
        <f>IF($C664="","",IF($M664="","",IF($M664&gt;=$J664,"Yes","No")))</f>
        <v/>
      </c>
      <c r="P664" s="15">
        <f>IF($C664="","",IF($K664="","",IF(COUNTIFS(nrES_PID,$D664,nrES_Code,$F664,nrES_Att,"&gt;"&amp;$K664)=0,"Yes","No")))</f>
        <v/>
      </c>
      <c r="Q664" s="15">
        <f>IF($C664="","",IF($L664="","",IF(AND($K664=1,$L664&lt;$J664,COUNTIFS(nrES_PID,$D664,nrES_Code,$F664,nrES_Att,2)=0),"Yes","No")))</f>
        <v/>
      </c>
      <c r="R664" s="15">
        <f>IF($C664="","",IF($L664="","",IF(AND($K664=2,$L664&lt;$J664,COUNTIFS(nrES_PID,$D664,nrES_Code,$F664,nrES_Att,1)&gt;0),"Yes","No")))</f>
        <v/>
      </c>
      <c r="S664" s="16" t="n"/>
      <c r="T664" s="17">
        <f>IF($Q664&lt;&gt;"Yes","",IF($S664="","(enter date)",_xlfn.LET(_xlpm.dn,IFERROR(_xlfn.XLOOKUP($S664,nrCDdate,nrCDnum),""),IF(_xlpm.dn="","(not a class day)",IFERROR(_xlfn.XLOOKUP(_xlpm.dn+cfgRetestClassDays,nrCDnum,nrCDdate),"")))))</f>
        <v/>
      </c>
      <c r="U664" s="15">
        <f>IF($Q664&lt;&gt;"Yes","",IF(COUNTIFS(nrES_PID,$D664,nrES_Code,$F664,nrES_Att,2)&gt;0,"Retested",IF(OR($T664="",NOT(ISNUMBER($T664))),"Pending",IF(TODAY()&gt;$T664,"OVERDUE","Due "&amp;TEXT($T664,"mm/dd")))))</f>
        <v/>
      </c>
      <c r="V664" s="14" t="n"/>
      <c r="W664" s="14" t="n"/>
    </row>
    <row r="665">
      <c r="B665" s="15">
        <f>IF($C665="","",$D665&amp;"-"&amp;$F665&amp;"-"&amp;$K665)</f>
        <v/>
      </c>
      <c r="C665" s="14" t="n"/>
      <c r="D665" s="15">
        <f>IF($C665="","",IFERROR(INDEX(rngCadetPIDs,MATCH($C665,rngCadetNames,0)),"?"))</f>
        <v/>
      </c>
      <c r="E665" s="15">
        <f>IF($D665="","",IFERROR(INDEX(nrCadetAgency,MATCH($D665,rngCadetPIDs,0)),""))</f>
        <v/>
      </c>
      <c r="F665" s="14" t="n"/>
      <c r="G665" s="15">
        <f>IF($F665="","",IFERROR(INDEX(rngEPname,MATCH($F665,rngEPcode,0)),"?"))</f>
        <v/>
      </c>
      <c r="H665" s="15">
        <f>IF($F665="","",IFERROR(INDEX(rngEPtype,MATCH($F665,rngEPcode,0)),"?"))</f>
        <v/>
      </c>
      <c r="I665" s="15">
        <f>IF($F665="","",IFERROR(INDEX(rngEPseq,MATCH($F665,rngEPcode,0)),""))</f>
        <v/>
      </c>
      <c r="J665" s="15">
        <f>IF($F665="","",IFERROR(INDEX(rngEPpass,MATCH($F665,rngEPcode,0)),cfgPassingScore))</f>
        <v/>
      </c>
      <c r="K665" s="14" t="n"/>
      <c r="L665" s="14" t="n"/>
      <c r="M665" s="15">
        <f>IF($C665="","",IF($L665="","",IF($K665=1,IF(COUNTIFS(nrES_PID,$D665,nrES_Code,$F665,nrES_Att,2)&gt;0,"",$L665),IF(COUNTIFS(nrES_PID,$D665,nrES_Code,$F665,nrES_Att,1)=0,$L665,IF($L665&gt;=$J665,cfgRetakeRecordedCap,SUMIFS(nrES_Raw,nrES_PID,$D665,nrES_Code,$F665,nrES_Att,1))))))</f>
        <v/>
      </c>
      <c r="N665" s="15">
        <f>IF($C665="","",IF($L665="","",IF($L665&gt;=$J665,"Yes","No")))</f>
        <v/>
      </c>
      <c r="O665" s="15">
        <f>IF($C665="","",IF($M665="","",IF($M665&gt;=$J665,"Yes","No")))</f>
        <v/>
      </c>
      <c r="P665" s="15">
        <f>IF($C665="","",IF($K665="","",IF(COUNTIFS(nrES_PID,$D665,nrES_Code,$F665,nrES_Att,"&gt;"&amp;$K665)=0,"Yes","No")))</f>
        <v/>
      </c>
      <c r="Q665" s="15">
        <f>IF($C665="","",IF($L665="","",IF(AND($K665=1,$L665&lt;$J665,COUNTIFS(nrES_PID,$D665,nrES_Code,$F665,nrES_Att,2)=0),"Yes","No")))</f>
        <v/>
      </c>
      <c r="R665" s="15">
        <f>IF($C665="","",IF($L665="","",IF(AND($K665=2,$L665&lt;$J665,COUNTIFS(nrES_PID,$D665,nrES_Code,$F665,nrES_Att,1)&gt;0),"Yes","No")))</f>
        <v/>
      </c>
      <c r="S665" s="16" t="n"/>
      <c r="T665" s="17">
        <f>IF($Q665&lt;&gt;"Yes","",IF($S665="","(enter date)",_xlfn.LET(_xlpm.dn,IFERROR(_xlfn.XLOOKUP($S665,nrCDdate,nrCDnum),""),IF(_xlpm.dn="","(not a class day)",IFERROR(_xlfn.XLOOKUP(_xlpm.dn+cfgRetestClassDays,nrCDnum,nrCDdate),"")))))</f>
        <v/>
      </c>
      <c r="U665" s="15">
        <f>IF($Q665&lt;&gt;"Yes","",IF(COUNTIFS(nrES_PID,$D665,nrES_Code,$F665,nrES_Att,2)&gt;0,"Retested",IF(OR($T665="",NOT(ISNUMBER($T665))),"Pending",IF(TODAY()&gt;$T665,"OVERDUE","Due "&amp;TEXT($T665,"mm/dd")))))</f>
        <v/>
      </c>
      <c r="V665" s="14" t="n"/>
      <c r="W665" s="14" t="n"/>
    </row>
    <row r="666">
      <c r="B666" s="15">
        <f>IF($C666="","",$D666&amp;"-"&amp;$F666&amp;"-"&amp;$K666)</f>
        <v/>
      </c>
      <c r="C666" s="14" t="n"/>
      <c r="D666" s="15">
        <f>IF($C666="","",IFERROR(INDEX(rngCadetPIDs,MATCH($C666,rngCadetNames,0)),"?"))</f>
        <v/>
      </c>
      <c r="E666" s="15">
        <f>IF($D666="","",IFERROR(INDEX(nrCadetAgency,MATCH($D666,rngCadetPIDs,0)),""))</f>
        <v/>
      </c>
      <c r="F666" s="14" t="n"/>
      <c r="G666" s="15">
        <f>IF($F666="","",IFERROR(INDEX(rngEPname,MATCH($F666,rngEPcode,0)),"?"))</f>
        <v/>
      </c>
      <c r="H666" s="15">
        <f>IF($F666="","",IFERROR(INDEX(rngEPtype,MATCH($F666,rngEPcode,0)),"?"))</f>
        <v/>
      </c>
      <c r="I666" s="15">
        <f>IF($F666="","",IFERROR(INDEX(rngEPseq,MATCH($F666,rngEPcode,0)),""))</f>
        <v/>
      </c>
      <c r="J666" s="15">
        <f>IF($F666="","",IFERROR(INDEX(rngEPpass,MATCH($F666,rngEPcode,0)),cfgPassingScore))</f>
        <v/>
      </c>
      <c r="K666" s="14" t="n"/>
      <c r="L666" s="14" t="n"/>
      <c r="M666" s="15">
        <f>IF($C666="","",IF($L666="","",IF($K666=1,IF(COUNTIFS(nrES_PID,$D666,nrES_Code,$F666,nrES_Att,2)&gt;0,"",$L666),IF(COUNTIFS(nrES_PID,$D666,nrES_Code,$F666,nrES_Att,1)=0,$L666,IF($L666&gt;=$J666,cfgRetakeRecordedCap,SUMIFS(nrES_Raw,nrES_PID,$D666,nrES_Code,$F666,nrES_Att,1))))))</f>
        <v/>
      </c>
      <c r="N666" s="15">
        <f>IF($C666="","",IF($L666="","",IF($L666&gt;=$J666,"Yes","No")))</f>
        <v/>
      </c>
      <c r="O666" s="15">
        <f>IF($C666="","",IF($M666="","",IF($M666&gt;=$J666,"Yes","No")))</f>
        <v/>
      </c>
      <c r="P666" s="15">
        <f>IF($C666="","",IF($K666="","",IF(COUNTIFS(nrES_PID,$D666,nrES_Code,$F666,nrES_Att,"&gt;"&amp;$K666)=0,"Yes","No")))</f>
        <v/>
      </c>
      <c r="Q666" s="15">
        <f>IF($C666="","",IF($L666="","",IF(AND($K666=1,$L666&lt;$J666,COUNTIFS(nrES_PID,$D666,nrES_Code,$F666,nrES_Att,2)=0),"Yes","No")))</f>
        <v/>
      </c>
      <c r="R666" s="15">
        <f>IF($C666="","",IF($L666="","",IF(AND($K666=2,$L666&lt;$J666,COUNTIFS(nrES_PID,$D666,nrES_Code,$F666,nrES_Att,1)&gt;0),"Yes","No")))</f>
        <v/>
      </c>
      <c r="S666" s="16" t="n"/>
      <c r="T666" s="17">
        <f>IF($Q666&lt;&gt;"Yes","",IF($S666="","(enter date)",_xlfn.LET(_xlpm.dn,IFERROR(_xlfn.XLOOKUP($S666,nrCDdate,nrCDnum),""),IF(_xlpm.dn="","(not a class day)",IFERROR(_xlfn.XLOOKUP(_xlpm.dn+cfgRetestClassDays,nrCDnum,nrCDdate),"")))))</f>
        <v/>
      </c>
      <c r="U666" s="15">
        <f>IF($Q666&lt;&gt;"Yes","",IF(COUNTIFS(nrES_PID,$D666,nrES_Code,$F666,nrES_Att,2)&gt;0,"Retested",IF(OR($T666="",NOT(ISNUMBER($T666))),"Pending",IF(TODAY()&gt;$T666,"OVERDUE","Due "&amp;TEXT($T666,"mm/dd")))))</f>
        <v/>
      </c>
      <c r="V666" s="14" t="n"/>
      <c r="W666" s="14" t="n"/>
    </row>
    <row r="667">
      <c r="B667" s="15">
        <f>IF($C667="","",$D667&amp;"-"&amp;$F667&amp;"-"&amp;$K667)</f>
        <v/>
      </c>
      <c r="C667" s="14" t="n"/>
      <c r="D667" s="15">
        <f>IF($C667="","",IFERROR(INDEX(rngCadetPIDs,MATCH($C667,rngCadetNames,0)),"?"))</f>
        <v/>
      </c>
      <c r="E667" s="15">
        <f>IF($D667="","",IFERROR(INDEX(nrCadetAgency,MATCH($D667,rngCadetPIDs,0)),""))</f>
        <v/>
      </c>
      <c r="F667" s="14" t="n"/>
      <c r="G667" s="15">
        <f>IF($F667="","",IFERROR(INDEX(rngEPname,MATCH($F667,rngEPcode,0)),"?"))</f>
        <v/>
      </c>
      <c r="H667" s="15">
        <f>IF($F667="","",IFERROR(INDEX(rngEPtype,MATCH($F667,rngEPcode,0)),"?"))</f>
        <v/>
      </c>
      <c r="I667" s="15">
        <f>IF($F667="","",IFERROR(INDEX(rngEPseq,MATCH($F667,rngEPcode,0)),""))</f>
        <v/>
      </c>
      <c r="J667" s="15">
        <f>IF($F667="","",IFERROR(INDEX(rngEPpass,MATCH($F667,rngEPcode,0)),cfgPassingScore))</f>
        <v/>
      </c>
      <c r="K667" s="14" t="n"/>
      <c r="L667" s="14" t="n"/>
      <c r="M667" s="15">
        <f>IF($C667="","",IF($L667="","",IF($K667=1,IF(COUNTIFS(nrES_PID,$D667,nrES_Code,$F667,nrES_Att,2)&gt;0,"",$L667),IF(COUNTIFS(nrES_PID,$D667,nrES_Code,$F667,nrES_Att,1)=0,$L667,IF($L667&gt;=$J667,cfgRetakeRecordedCap,SUMIFS(nrES_Raw,nrES_PID,$D667,nrES_Code,$F667,nrES_Att,1))))))</f>
        <v/>
      </c>
      <c r="N667" s="15">
        <f>IF($C667="","",IF($L667="","",IF($L667&gt;=$J667,"Yes","No")))</f>
        <v/>
      </c>
      <c r="O667" s="15">
        <f>IF($C667="","",IF($M667="","",IF($M667&gt;=$J667,"Yes","No")))</f>
        <v/>
      </c>
      <c r="P667" s="15">
        <f>IF($C667="","",IF($K667="","",IF(COUNTIFS(nrES_PID,$D667,nrES_Code,$F667,nrES_Att,"&gt;"&amp;$K667)=0,"Yes","No")))</f>
        <v/>
      </c>
      <c r="Q667" s="15">
        <f>IF($C667="","",IF($L667="","",IF(AND($K667=1,$L667&lt;$J667,COUNTIFS(nrES_PID,$D667,nrES_Code,$F667,nrES_Att,2)=0),"Yes","No")))</f>
        <v/>
      </c>
      <c r="R667" s="15">
        <f>IF($C667="","",IF($L667="","",IF(AND($K667=2,$L667&lt;$J667,COUNTIFS(nrES_PID,$D667,nrES_Code,$F667,nrES_Att,1)&gt;0),"Yes","No")))</f>
        <v/>
      </c>
      <c r="S667" s="16" t="n"/>
      <c r="T667" s="17">
        <f>IF($Q667&lt;&gt;"Yes","",IF($S667="","(enter date)",_xlfn.LET(_xlpm.dn,IFERROR(_xlfn.XLOOKUP($S667,nrCDdate,nrCDnum),""),IF(_xlpm.dn="","(not a class day)",IFERROR(_xlfn.XLOOKUP(_xlpm.dn+cfgRetestClassDays,nrCDnum,nrCDdate),"")))))</f>
        <v/>
      </c>
      <c r="U667" s="15">
        <f>IF($Q667&lt;&gt;"Yes","",IF(COUNTIFS(nrES_PID,$D667,nrES_Code,$F667,nrES_Att,2)&gt;0,"Retested",IF(OR($T667="",NOT(ISNUMBER($T667))),"Pending",IF(TODAY()&gt;$T667,"OVERDUE","Due "&amp;TEXT($T667,"mm/dd")))))</f>
        <v/>
      </c>
      <c r="V667" s="14" t="n"/>
      <c r="W667" s="14" t="n"/>
    </row>
    <row r="668">
      <c r="B668" s="15">
        <f>IF($C668="","",$D668&amp;"-"&amp;$F668&amp;"-"&amp;$K668)</f>
        <v/>
      </c>
      <c r="C668" s="14" t="n"/>
      <c r="D668" s="15">
        <f>IF($C668="","",IFERROR(INDEX(rngCadetPIDs,MATCH($C668,rngCadetNames,0)),"?"))</f>
        <v/>
      </c>
      <c r="E668" s="15">
        <f>IF($D668="","",IFERROR(INDEX(nrCadetAgency,MATCH($D668,rngCadetPIDs,0)),""))</f>
        <v/>
      </c>
      <c r="F668" s="14" t="n"/>
      <c r="G668" s="15">
        <f>IF($F668="","",IFERROR(INDEX(rngEPname,MATCH($F668,rngEPcode,0)),"?"))</f>
        <v/>
      </c>
      <c r="H668" s="15">
        <f>IF($F668="","",IFERROR(INDEX(rngEPtype,MATCH($F668,rngEPcode,0)),"?"))</f>
        <v/>
      </c>
      <c r="I668" s="15">
        <f>IF($F668="","",IFERROR(INDEX(rngEPseq,MATCH($F668,rngEPcode,0)),""))</f>
        <v/>
      </c>
      <c r="J668" s="15">
        <f>IF($F668="","",IFERROR(INDEX(rngEPpass,MATCH($F668,rngEPcode,0)),cfgPassingScore))</f>
        <v/>
      </c>
      <c r="K668" s="14" t="n"/>
      <c r="L668" s="14" t="n"/>
      <c r="M668" s="15">
        <f>IF($C668="","",IF($L668="","",IF($K668=1,IF(COUNTIFS(nrES_PID,$D668,nrES_Code,$F668,nrES_Att,2)&gt;0,"",$L668),IF(COUNTIFS(nrES_PID,$D668,nrES_Code,$F668,nrES_Att,1)=0,$L668,IF($L668&gt;=$J668,cfgRetakeRecordedCap,SUMIFS(nrES_Raw,nrES_PID,$D668,nrES_Code,$F668,nrES_Att,1))))))</f>
        <v/>
      </c>
      <c r="N668" s="15">
        <f>IF($C668="","",IF($L668="","",IF($L668&gt;=$J668,"Yes","No")))</f>
        <v/>
      </c>
      <c r="O668" s="15">
        <f>IF($C668="","",IF($M668="","",IF($M668&gt;=$J668,"Yes","No")))</f>
        <v/>
      </c>
      <c r="P668" s="15">
        <f>IF($C668="","",IF($K668="","",IF(COUNTIFS(nrES_PID,$D668,nrES_Code,$F668,nrES_Att,"&gt;"&amp;$K668)=0,"Yes","No")))</f>
        <v/>
      </c>
      <c r="Q668" s="15">
        <f>IF($C668="","",IF($L668="","",IF(AND($K668=1,$L668&lt;$J668,COUNTIFS(nrES_PID,$D668,nrES_Code,$F668,nrES_Att,2)=0),"Yes","No")))</f>
        <v/>
      </c>
      <c r="R668" s="15">
        <f>IF($C668="","",IF($L668="","",IF(AND($K668=2,$L668&lt;$J668,COUNTIFS(nrES_PID,$D668,nrES_Code,$F668,nrES_Att,1)&gt;0),"Yes","No")))</f>
        <v/>
      </c>
      <c r="S668" s="16" t="n"/>
      <c r="T668" s="17">
        <f>IF($Q668&lt;&gt;"Yes","",IF($S668="","(enter date)",_xlfn.LET(_xlpm.dn,IFERROR(_xlfn.XLOOKUP($S668,nrCDdate,nrCDnum),""),IF(_xlpm.dn="","(not a class day)",IFERROR(_xlfn.XLOOKUP(_xlpm.dn+cfgRetestClassDays,nrCDnum,nrCDdate),"")))))</f>
        <v/>
      </c>
      <c r="U668" s="15">
        <f>IF($Q668&lt;&gt;"Yes","",IF(COUNTIFS(nrES_PID,$D668,nrES_Code,$F668,nrES_Att,2)&gt;0,"Retested",IF(OR($T668="",NOT(ISNUMBER($T668))),"Pending",IF(TODAY()&gt;$T668,"OVERDUE","Due "&amp;TEXT($T668,"mm/dd")))))</f>
        <v/>
      </c>
      <c r="V668" s="14" t="n"/>
      <c r="W668" s="14" t="n"/>
    </row>
    <row r="669">
      <c r="B669" s="15">
        <f>IF($C669="","",$D669&amp;"-"&amp;$F669&amp;"-"&amp;$K669)</f>
        <v/>
      </c>
      <c r="C669" s="14" t="n"/>
      <c r="D669" s="15">
        <f>IF($C669="","",IFERROR(INDEX(rngCadetPIDs,MATCH($C669,rngCadetNames,0)),"?"))</f>
        <v/>
      </c>
      <c r="E669" s="15">
        <f>IF($D669="","",IFERROR(INDEX(nrCadetAgency,MATCH($D669,rngCadetPIDs,0)),""))</f>
        <v/>
      </c>
      <c r="F669" s="14" t="n"/>
      <c r="G669" s="15">
        <f>IF($F669="","",IFERROR(INDEX(rngEPname,MATCH($F669,rngEPcode,0)),"?"))</f>
        <v/>
      </c>
      <c r="H669" s="15">
        <f>IF($F669="","",IFERROR(INDEX(rngEPtype,MATCH($F669,rngEPcode,0)),"?"))</f>
        <v/>
      </c>
      <c r="I669" s="15">
        <f>IF($F669="","",IFERROR(INDEX(rngEPseq,MATCH($F669,rngEPcode,0)),""))</f>
        <v/>
      </c>
      <c r="J669" s="15">
        <f>IF($F669="","",IFERROR(INDEX(rngEPpass,MATCH($F669,rngEPcode,0)),cfgPassingScore))</f>
        <v/>
      </c>
      <c r="K669" s="14" t="n"/>
      <c r="L669" s="14" t="n"/>
      <c r="M669" s="15">
        <f>IF($C669="","",IF($L669="","",IF($K669=1,IF(COUNTIFS(nrES_PID,$D669,nrES_Code,$F669,nrES_Att,2)&gt;0,"",$L669),IF(COUNTIFS(nrES_PID,$D669,nrES_Code,$F669,nrES_Att,1)=0,$L669,IF($L669&gt;=$J669,cfgRetakeRecordedCap,SUMIFS(nrES_Raw,nrES_PID,$D669,nrES_Code,$F669,nrES_Att,1))))))</f>
        <v/>
      </c>
      <c r="N669" s="15">
        <f>IF($C669="","",IF($L669="","",IF($L669&gt;=$J669,"Yes","No")))</f>
        <v/>
      </c>
      <c r="O669" s="15">
        <f>IF($C669="","",IF($M669="","",IF($M669&gt;=$J669,"Yes","No")))</f>
        <v/>
      </c>
      <c r="P669" s="15">
        <f>IF($C669="","",IF($K669="","",IF(COUNTIFS(nrES_PID,$D669,nrES_Code,$F669,nrES_Att,"&gt;"&amp;$K669)=0,"Yes","No")))</f>
        <v/>
      </c>
      <c r="Q669" s="15">
        <f>IF($C669="","",IF($L669="","",IF(AND($K669=1,$L669&lt;$J669,COUNTIFS(nrES_PID,$D669,nrES_Code,$F669,nrES_Att,2)=0),"Yes","No")))</f>
        <v/>
      </c>
      <c r="R669" s="15">
        <f>IF($C669="","",IF($L669="","",IF(AND($K669=2,$L669&lt;$J669,COUNTIFS(nrES_PID,$D669,nrES_Code,$F669,nrES_Att,1)&gt;0),"Yes","No")))</f>
        <v/>
      </c>
      <c r="S669" s="16" t="n"/>
      <c r="T669" s="17">
        <f>IF($Q669&lt;&gt;"Yes","",IF($S669="","(enter date)",_xlfn.LET(_xlpm.dn,IFERROR(_xlfn.XLOOKUP($S669,nrCDdate,nrCDnum),""),IF(_xlpm.dn="","(not a class day)",IFERROR(_xlfn.XLOOKUP(_xlpm.dn+cfgRetestClassDays,nrCDnum,nrCDdate),"")))))</f>
        <v/>
      </c>
      <c r="U669" s="15">
        <f>IF($Q669&lt;&gt;"Yes","",IF(COUNTIFS(nrES_PID,$D669,nrES_Code,$F669,nrES_Att,2)&gt;0,"Retested",IF(OR($T669="",NOT(ISNUMBER($T669))),"Pending",IF(TODAY()&gt;$T669,"OVERDUE","Due "&amp;TEXT($T669,"mm/dd")))))</f>
        <v/>
      </c>
      <c r="V669" s="14" t="n"/>
      <c r="W669" s="14" t="n"/>
    </row>
    <row r="670">
      <c r="B670" s="15">
        <f>IF($C670="","",$D670&amp;"-"&amp;$F670&amp;"-"&amp;$K670)</f>
        <v/>
      </c>
      <c r="C670" s="14" t="n"/>
      <c r="D670" s="15">
        <f>IF($C670="","",IFERROR(INDEX(rngCadetPIDs,MATCH($C670,rngCadetNames,0)),"?"))</f>
        <v/>
      </c>
      <c r="E670" s="15">
        <f>IF($D670="","",IFERROR(INDEX(nrCadetAgency,MATCH($D670,rngCadetPIDs,0)),""))</f>
        <v/>
      </c>
      <c r="F670" s="14" t="n"/>
      <c r="G670" s="15">
        <f>IF($F670="","",IFERROR(INDEX(rngEPname,MATCH($F670,rngEPcode,0)),"?"))</f>
        <v/>
      </c>
      <c r="H670" s="15">
        <f>IF($F670="","",IFERROR(INDEX(rngEPtype,MATCH($F670,rngEPcode,0)),"?"))</f>
        <v/>
      </c>
      <c r="I670" s="15">
        <f>IF($F670="","",IFERROR(INDEX(rngEPseq,MATCH($F670,rngEPcode,0)),""))</f>
        <v/>
      </c>
      <c r="J670" s="15">
        <f>IF($F670="","",IFERROR(INDEX(rngEPpass,MATCH($F670,rngEPcode,0)),cfgPassingScore))</f>
        <v/>
      </c>
      <c r="K670" s="14" t="n"/>
      <c r="L670" s="14" t="n"/>
      <c r="M670" s="15">
        <f>IF($C670="","",IF($L670="","",IF($K670=1,IF(COUNTIFS(nrES_PID,$D670,nrES_Code,$F670,nrES_Att,2)&gt;0,"",$L670),IF(COUNTIFS(nrES_PID,$D670,nrES_Code,$F670,nrES_Att,1)=0,$L670,IF($L670&gt;=$J670,cfgRetakeRecordedCap,SUMIFS(nrES_Raw,nrES_PID,$D670,nrES_Code,$F670,nrES_Att,1))))))</f>
        <v/>
      </c>
      <c r="N670" s="15">
        <f>IF($C670="","",IF($L670="","",IF($L670&gt;=$J670,"Yes","No")))</f>
        <v/>
      </c>
      <c r="O670" s="15">
        <f>IF($C670="","",IF($M670="","",IF($M670&gt;=$J670,"Yes","No")))</f>
        <v/>
      </c>
      <c r="P670" s="15">
        <f>IF($C670="","",IF($K670="","",IF(COUNTIFS(nrES_PID,$D670,nrES_Code,$F670,nrES_Att,"&gt;"&amp;$K670)=0,"Yes","No")))</f>
        <v/>
      </c>
      <c r="Q670" s="15">
        <f>IF($C670="","",IF($L670="","",IF(AND($K670=1,$L670&lt;$J670,COUNTIFS(nrES_PID,$D670,nrES_Code,$F670,nrES_Att,2)=0),"Yes","No")))</f>
        <v/>
      </c>
      <c r="R670" s="15">
        <f>IF($C670="","",IF($L670="","",IF(AND($K670=2,$L670&lt;$J670,COUNTIFS(nrES_PID,$D670,nrES_Code,$F670,nrES_Att,1)&gt;0),"Yes","No")))</f>
        <v/>
      </c>
      <c r="S670" s="16" t="n"/>
      <c r="T670" s="17">
        <f>IF($Q670&lt;&gt;"Yes","",IF($S670="","(enter date)",_xlfn.LET(_xlpm.dn,IFERROR(_xlfn.XLOOKUP($S670,nrCDdate,nrCDnum),""),IF(_xlpm.dn="","(not a class day)",IFERROR(_xlfn.XLOOKUP(_xlpm.dn+cfgRetestClassDays,nrCDnum,nrCDdate),"")))))</f>
        <v/>
      </c>
      <c r="U670" s="15">
        <f>IF($Q670&lt;&gt;"Yes","",IF(COUNTIFS(nrES_PID,$D670,nrES_Code,$F670,nrES_Att,2)&gt;0,"Retested",IF(OR($T670="",NOT(ISNUMBER($T670))),"Pending",IF(TODAY()&gt;$T670,"OVERDUE","Due "&amp;TEXT($T670,"mm/dd")))))</f>
        <v/>
      </c>
      <c r="V670" s="14" t="n"/>
      <c r="W670" s="14" t="n"/>
    </row>
    <row r="671">
      <c r="B671" s="15">
        <f>IF($C671="","",$D671&amp;"-"&amp;$F671&amp;"-"&amp;$K671)</f>
        <v/>
      </c>
      <c r="C671" s="14" t="n"/>
      <c r="D671" s="15">
        <f>IF($C671="","",IFERROR(INDEX(rngCadetPIDs,MATCH($C671,rngCadetNames,0)),"?"))</f>
        <v/>
      </c>
      <c r="E671" s="15">
        <f>IF($D671="","",IFERROR(INDEX(nrCadetAgency,MATCH($D671,rngCadetPIDs,0)),""))</f>
        <v/>
      </c>
      <c r="F671" s="14" t="n"/>
      <c r="G671" s="15">
        <f>IF($F671="","",IFERROR(INDEX(rngEPname,MATCH($F671,rngEPcode,0)),"?"))</f>
        <v/>
      </c>
      <c r="H671" s="15">
        <f>IF($F671="","",IFERROR(INDEX(rngEPtype,MATCH($F671,rngEPcode,0)),"?"))</f>
        <v/>
      </c>
      <c r="I671" s="15">
        <f>IF($F671="","",IFERROR(INDEX(rngEPseq,MATCH($F671,rngEPcode,0)),""))</f>
        <v/>
      </c>
      <c r="J671" s="15">
        <f>IF($F671="","",IFERROR(INDEX(rngEPpass,MATCH($F671,rngEPcode,0)),cfgPassingScore))</f>
        <v/>
      </c>
      <c r="K671" s="14" t="n"/>
      <c r="L671" s="14" t="n"/>
      <c r="M671" s="15">
        <f>IF($C671="","",IF($L671="","",IF($K671=1,IF(COUNTIFS(nrES_PID,$D671,nrES_Code,$F671,nrES_Att,2)&gt;0,"",$L671),IF(COUNTIFS(nrES_PID,$D671,nrES_Code,$F671,nrES_Att,1)=0,$L671,IF($L671&gt;=$J671,cfgRetakeRecordedCap,SUMIFS(nrES_Raw,nrES_PID,$D671,nrES_Code,$F671,nrES_Att,1))))))</f>
        <v/>
      </c>
      <c r="N671" s="15">
        <f>IF($C671="","",IF($L671="","",IF($L671&gt;=$J671,"Yes","No")))</f>
        <v/>
      </c>
      <c r="O671" s="15">
        <f>IF($C671="","",IF($M671="","",IF($M671&gt;=$J671,"Yes","No")))</f>
        <v/>
      </c>
      <c r="P671" s="15">
        <f>IF($C671="","",IF($K671="","",IF(COUNTIFS(nrES_PID,$D671,nrES_Code,$F671,nrES_Att,"&gt;"&amp;$K671)=0,"Yes","No")))</f>
        <v/>
      </c>
      <c r="Q671" s="15">
        <f>IF($C671="","",IF($L671="","",IF(AND($K671=1,$L671&lt;$J671,COUNTIFS(nrES_PID,$D671,nrES_Code,$F671,nrES_Att,2)=0),"Yes","No")))</f>
        <v/>
      </c>
      <c r="R671" s="15">
        <f>IF($C671="","",IF($L671="","",IF(AND($K671=2,$L671&lt;$J671,COUNTIFS(nrES_PID,$D671,nrES_Code,$F671,nrES_Att,1)&gt;0),"Yes","No")))</f>
        <v/>
      </c>
      <c r="S671" s="16" t="n"/>
      <c r="T671" s="17">
        <f>IF($Q671&lt;&gt;"Yes","",IF($S671="","(enter date)",_xlfn.LET(_xlpm.dn,IFERROR(_xlfn.XLOOKUP($S671,nrCDdate,nrCDnum),""),IF(_xlpm.dn="","(not a class day)",IFERROR(_xlfn.XLOOKUP(_xlpm.dn+cfgRetestClassDays,nrCDnum,nrCDdate),"")))))</f>
        <v/>
      </c>
      <c r="U671" s="15">
        <f>IF($Q671&lt;&gt;"Yes","",IF(COUNTIFS(nrES_PID,$D671,nrES_Code,$F671,nrES_Att,2)&gt;0,"Retested",IF(OR($T671="",NOT(ISNUMBER($T671))),"Pending",IF(TODAY()&gt;$T671,"OVERDUE","Due "&amp;TEXT($T671,"mm/dd")))))</f>
        <v/>
      </c>
      <c r="V671" s="14" t="n"/>
      <c r="W671" s="14" t="n"/>
    </row>
    <row r="672">
      <c r="B672" s="15">
        <f>IF($C672="","",$D672&amp;"-"&amp;$F672&amp;"-"&amp;$K672)</f>
        <v/>
      </c>
      <c r="C672" s="14" t="n"/>
      <c r="D672" s="15">
        <f>IF($C672="","",IFERROR(INDEX(rngCadetPIDs,MATCH($C672,rngCadetNames,0)),"?"))</f>
        <v/>
      </c>
      <c r="E672" s="15">
        <f>IF($D672="","",IFERROR(INDEX(nrCadetAgency,MATCH($D672,rngCadetPIDs,0)),""))</f>
        <v/>
      </c>
      <c r="F672" s="14" t="n"/>
      <c r="G672" s="15">
        <f>IF($F672="","",IFERROR(INDEX(rngEPname,MATCH($F672,rngEPcode,0)),"?"))</f>
        <v/>
      </c>
      <c r="H672" s="15">
        <f>IF($F672="","",IFERROR(INDEX(rngEPtype,MATCH($F672,rngEPcode,0)),"?"))</f>
        <v/>
      </c>
      <c r="I672" s="15">
        <f>IF($F672="","",IFERROR(INDEX(rngEPseq,MATCH($F672,rngEPcode,0)),""))</f>
        <v/>
      </c>
      <c r="J672" s="15">
        <f>IF($F672="","",IFERROR(INDEX(rngEPpass,MATCH($F672,rngEPcode,0)),cfgPassingScore))</f>
        <v/>
      </c>
      <c r="K672" s="14" t="n"/>
      <c r="L672" s="14" t="n"/>
      <c r="M672" s="15">
        <f>IF($C672="","",IF($L672="","",IF($K672=1,IF(COUNTIFS(nrES_PID,$D672,nrES_Code,$F672,nrES_Att,2)&gt;0,"",$L672),IF(COUNTIFS(nrES_PID,$D672,nrES_Code,$F672,nrES_Att,1)=0,$L672,IF($L672&gt;=$J672,cfgRetakeRecordedCap,SUMIFS(nrES_Raw,nrES_PID,$D672,nrES_Code,$F672,nrES_Att,1))))))</f>
        <v/>
      </c>
      <c r="N672" s="15">
        <f>IF($C672="","",IF($L672="","",IF($L672&gt;=$J672,"Yes","No")))</f>
        <v/>
      </c>
      <c r="O672" s="15">
        <f>IF($C672="","",IF($M672="","",IF($M672&gt;=$J672,"Yes","No")))</f>
        <v/>
      </c>
      <c r="P672" s="15">
        <f>IF($C672="","",IF($K672="","",IF(COUNTIFS(nrES_PID,$D672,nrES_Code,$F672,nrES_Att,"&gt;"&amp;$K672)=0,"Yes","No")))</f>
        <v/>
      </c>
      <c r="Q672" s="15">
        <f>IF($C672="","",IF($L672="","",IF(AND($K672=1,$L672&lt;$J672,COUNTIFS(nrES_PID,$D672,nrES_Code,$F672,nrES_Att,2)=0),"Yes","No")))</f>
        <v/>
      </c>
      <c r="R672" s="15">
        <f>IF($C672="","",IF($L672="","",IF(AND($K672=2,$L672&lt;$J672,COUNTIFS(nrES_PID,$D672,nrES_Code,$F672,nrES_Att,1)&gt;0),"Yes","No")))</f>
        <v/>
      </c>
      <c r="S672" s="16" t="n"/>
      <c r="T672" s="17">
        <f>IF($Q672&lt;&gt;"Yes","",IF($S672="","(enter date)",_xlfn.LET(_xlpm.dn,IFERROR(_xlfn.XLOOKUP($S672,nrCDdate,nrCDnum),""),IF(_xlpm.dn="","(not a class day)",IFERROR(_xlfn.XLOOKUP(_xlpm.dn+cfgRetestClassDays,nrCDnum,nrCDdate),"")))))</f>
        <v/>
      </c>
      <c r="U672" s="15">
        <f>IF($Q672&lt;&gt;"Yes","",IF(COUNTIFS(nrES_PID,$D672,nrES_Code,$F672,nrES_Att,2)&gt;0,"Retested",IF(OR($T672="",NOT(ISNUMBER($T672))),"Pending",IF(TODAY()&gt;$T672,"OVERDUE","Due "&amp;TEXT($T672,"mm/dd")))))</f>
        <v/>
      </c>
      <c r="V672" s="14" t="n"/>
      <c r="W672" s="14" t="n"/>
    </row>
    <row r="673">
      <c r="B673" s="15">
        <f>IF($C673="","",$D673&amp;"-"&amp;$F673&amp;"-"&amp;$K673)</f>
        <v/>
      </c>
      <c r="C673" s="14" t="n"/>
      <c r="D673" s="15">
        <f>IF($C673="","",IFERROR(INDEX(rngCadetPIDs,MATCH($C673,rngCadetNames,0)),"?"))</f>
        <v/>
      </c>
      <c r="E673" s="15">
        <f>IF($D673="","",IFERROR(INDEX(nrCadetAgency,MATCH($D673,rngCadetPIDs,0)),""))</f>
        <v/>
      </c>
      <c r="F673" s="14" t="n"/>
      <c r="G673" s="15">
        <f>IF($F673="","",IFERROR(INDEX(rngEPname,MATCH($F673,rngEPcode,0)),"?"))</f>
        <v/>
      </c>
      <c r="H673" s="15">
        <f>IF($F673="","",IFERROR(INDEX(rngEPtype,MATCH($F673,rngEPcode,0)),"?"))</f>
        <v/>
      </c>
      <c r="I673" s="15">
        <f>IF($F673="","",IFERROR(INDEX(rngEPseq,MATCH($F673,rngEPcode,0)),""))</f>
        <v/>
      </c>
      <c r="J673" s="15">
        <f>IF($F673="","",IFERROR(INDEX(rngEPpass,MATCH($F673,rngEPcode,0)),cfgPassingScore))</f>
        <v/>
      </c>
      <c r="K673" s="14" t="n"/>
      <c r="L673" s="14" t="n"/>
      <c r="M673" s="15">
        <f>IF($C673="","",IF($L673="","",IF($K673=1,IF(COUNTIFS(nrES_PID,$D673,nrES_Code,$F673,nrES_Att,2)&gt;0,"",$L673),IF(COUNTIFS(nrES_PID,$D673,nrES_Code,$F673,nrES_Att,1)=0,$L673,IF($L673&gt;=$J673,cfgRetakeRecordedCap,SUMIFS(nrES_Raw,nrES_PID,$D673,nrES_Code,$F673,nrES_Att,1))))))</f>
        <v/>
      </c>
      <c r="N673" s="15">
        <f>IF($C673="","",IF($L673="","",IF($L673&gt;=$J673,"Yes","No")))</f>
        <v/>
      </c>
      <c r="O673" s="15">
        <f>IF($C673="","",IF($M673="","",IF($M673&gt;=$J673,"Yes","No")))</f>
        <v/>
      </c>
      <c r="P673" s="15">
        <f>IF($C673="","",IF($K673="","",IF(COUNTIFS(nrES_PID,$D673,nrES_Code,$F673,nrES_Att,"&gt;"&amp;$K673)=0,"Yes","No")))</f>
        <v/>
      </c>
      <c r="Q673" s="15">
        <f>IF($C673="","",IF($L673="","",IF(AND($K673=1,$L673&lt;$J673,COUNTIFS(nrES_PID,$D673,nrES_Code,$F673,nrES_Att,2)=0),"Yes","No")))</f>
        <v/>
      </c>
      <c r="R673" s="15">
        <f>IF($C673="","",IF($L673="","",IF(AND($K673=2,$L673&lt;$J673,COUNTIFS(nrES_PID,$D673,nrES_Code,$F673,nrES_Att,1)&gt;0),"Yes","No")))</f>
        <v/>
      </c>
      <c r="S673" s="16" t="n"/>
      <c r="T673" s="17">
        <f>IF($Q673&lt;&gt;"Yes","",IF($S673="","(enter date)",_xlfn.LET(_xlpm.dn,IFERROR(_xlfn.XLOOKUP($S673,nrCDdate,nrCDnum),""),IF(_xlpm.dn="","(not a class day)",IFERROR(_xlfn.XLOOKUP(_xlpm.dn+cfgRetestClassDays,nrCDnum,nrCDdate),"")))))</f>
        <v/>
      </c>
      <c r="U673" s="15">
        <f>IF($Q673&lt;&gt;"Yes","",IF(COUNTIFS(nrES_PID,$D673,nrES_Code,$F673,nrES_Att,2)&gt;0,"Retested",IF(OR($T673="",NOT(ISNUMBER($T673))),"Pending",IF(TODAY()&gt;$T673,"OVERDUE","Due "&amp;TEXT($T673,"mm/dd")))))</f>
        <v/>
      </c>
      <c r="V673" s="14" t="n"/>
      <c r="W673" s="14" t="n"/>
    </row>
    <row r="674">
      <c r="B674" s="15">
        <f>IF($C674="","",$D674&amp;"-"&amp;$F674&amp;"-"&amp;$K674)</f>
        <v/>
      </c>
      <c r="C674" s="14" t="n"/>
      <c r="D674" s="15">
        <f>IF($C674="","",IFERROR(INDEX(rngCadetPIDs,MATCH($C674,rngCadetNames,0)),"?"))</f>
        <v/>
      </c>
      <c r="E674" s="15">
        <f>IF($D674="","",IFERROR(INDEX(nrCadetAgency,MATCH($D674,rngCadetPIDs,0)),""))</f>
        <v/>
      </c>
      <c r="F674" s="14" t="n"/>
      <c r="G674" s="15">
        <f>IF($F674="","",IFERROR(INDEX(rngEPname,MATCH($F674,rngEPcode,0)),"?"))</f>
        <v/>
      </c>
      <c r="H674" s="15">
        <f>IF($F674="","",IFERROR(INDEX(rngEPtype,MATCH($F674,rngEPcode,0)),"?"))</f>
        <v/>
      </c>
      <c r="I674" s="15">
        <f>IF($F674="","",IFERROR(INDEX(rngEPseq,MATCH($F674,rngEPcode,0)),""))</f>
        <v/>
      </c>
      <c r="J674" s="15">
        <f>IF($F674="","",IFERROR(INDEX(rngEPpass,MATCH($F674,rngEPcode,0)),cfgPassingScore))</f>
        <v/>
      </c>
      <c r="K674" s="14" t="n"/>
      <c r="L674" s="14" t="n"/>
      <c r="M674" s="15">
        <f>IF($C674="","",IF($L674="","",IF($K674=1,IF(COUNTIFS(nrES_PID,$D674,nrES_Code,$F674,nrES_Att,2)&gt;0,"",$L674),IF(COUNTIFS(nrES_PID,$D674,nrES_Code,$F674,nrES_Att,1)=0,$L674,IF($L674&gt;=$J674,cfgRetakeRecordedCap,SUMIFS(nrES_Raw,nrES_PID,$D674,nrES_Code,$F674,nrES_Att,1))))))</f>
        <v/>
      </c>
      <c r="N674" s="15">
        <f>IF($C674="","",IF($L674="","",IF($L674&gt;=$J674,"Yes","No")))</f>
        <v/>
      </c>
      <c r="O674" s="15">
        <f>IF($C674="","",IF($M674="","",IF($M674&gt;=$J674,"Yes","No")))</f>
        <v/>
      </c>
      <c r="P674" s="15">
        <f>IF($C674="","",IF($K674="","",IF(COUNTIFS(nrES_PID,$D674,nrES_Code,$F674,nrES_Att,"&gt;"&amp;$K674)=0,"Yes","No")))</f>
        <v/>
      </c>
      <c r="Q674" s="15">
        <f>IF($C674="","",IF($L674="","",IF(AND($K674=1,$L674&lt;$J674,COUNTIFS(nrES_PID,$D674,nrES_Code,$F674,nrES_Att,2)=0),"Yes","No")))</f>
        <v/>
      </c>
      <c r="R674" s="15">
        <f>IF($C674="","",IF($L674="","",IF(AND($K674=2,$L674&lt;$J674,COUNTIFS(nrES_PID,$D674,nrES_Code,$F674,nrES_Att,1)&gt;0),"Yes","No")))</f>
        <v/>
      </c>
      <c r="S674" s="16" t="n"/>
      <c r="T674" s="17">
        <f>IF($Q674&lt;&gt;"Yes","",IF($S674="","(enter date)",_xlfn.LET(_xlpm.dn,IFERROR(_xlfn.XLOOKUP($S674,nrCDdate,nrCDnum),""),IF(_xlpm.dn="","(not a class day)",IFERROR(_xlfn.XLOOKUP(_xlpm.dn+cfgRetestClassDays,nrCDnum,nrCDdate),"")))))</f>
        <v/>
      </c>
      <c r="U674" s="15">
        <f>IF($Q674&lt;&gt;"Yes","",IF(COUNTIFS(nrES_PID,$D674,nrES_Code,$F674,nrES_Att,2)&gt;0,"Retested",IF(OR($T674="",NOT(ISNUMBER($T674))),"Pending",IF(TODAY()&gt;$T674,"OVERDUE","Due "&amp;TEXT($T674,"mm/dd")))))</f>
        <v/>
      </c>
      <c r="V674" s="14" t="n"/>
      <c r="W674" s="14" t="n"/>
    </row>
    <row r="675">
      <c r="B675" s="15">
        <f>IF($C675="","",$D675&amp;"-"&amp;$F675&amp;"-"&amp;$K675)</f>
        <v/>
      </c>
      <c r="C675" s="14" t="n"/>
      <c r="D675" s="15">
        <f>IF($C675="","",IFERROR(INDEX(rngCadetPIDs,MATCH($C675,rngCadetNames,0)),"?"))</f>
        <v/>
      </c>
      <c r="E675" s="15">
        <f>IF($D675="","",IFERROR(INDEX(nrCadetAgency,MATCH($D675,rngCadetPIDs,0)),""))</f>
        <v/>
      </c>
      <c r="F675" s="14" t="n"/>
      <c r="G675" s="15">
        <f>IF($F675="","",IFERROR(INDEX(rngEPname,MATCH($F675,rngEPcode,0)),"?"))</f>
        <v/>
      </c>
      <c r="H675" s="15">
        <f>IF($F675="","",IFERROR(INDEX(rngEPtype,MATCH($F675,rngEPcode,0)),"?"))</f>
        <v/>
      </c>
      <c r="I675" s="15">
        <f>IF($F675="","",IFERROR(INDEX(rngEPseq,MATCH($F675,rngEPcode,0)),""))</f>
        <v/>
      </c>
      <c r="J675" s="15">
        <f>IF($F675="","",IFERROR(INDEX(rngEPpass,MATCH($F675,rngEPcode,0)),cfgPassingScore))</f>
        <v/>
      </c>
      <c r="K675" s="14" t="n"/>
      <c r="L675" s="14" t="n"/>
      <c r="M675" s="15">
        <f>IF($C675="","",IF($L675="","",IF($K675=1,IF(COUNTIFS(nrES_PID,$D675,nrES_Code,$F675,nrES_Att,2)&gt;0,"",$L675),IF(COUNTIFS(nrES_PID,$D675,nrES_Code,$F675,nrES_Att,1)=0,$L675,IF($L675&gt;=$J675,cfgRetakeRecordedCap,SUMIFS(nrES_Raw,nrES_PID,$D675,nrES_Code,$F675,nrES_Att,1))))))</f>
        <v/>
      </c>
      <c r="N675" s="15">
        <f>IF($C675="","",IF($L675="","",IF($L675&gt;=$J675,"Yes","No")))</f>
        <v/>
      </c>
      <c r="O675" s="15">
        <f>IF($C675="","",IF($M675="","",IF($M675&gt;=$J675,"Yes","No")))</f>
        <v/>
      </c>
      <c r="P675" s="15">
        <f>IF($C675="","",IF($K675="","",IF(COUNTIFS(nrES_PID,$D675,nrES_Code,$F675,nrES_Att,"&gt;"&amp;$K675)=0,"Yes","No")))</f>
        <v/>
      </c>
      <c r="Q675" s="15">
        <f>IF($C675="","",IF($L675="","",IF(AND($K675=1,$L675&lt;$J675,COUNTIFS(nrES_PID,$D675,nrES_Code,$F675,nrES_Att,2)=0),"Yes","No")))</f>
        <v/>
      </c>
      <c r="R675" s="15">
        <f>IF($C675="","",IF($L675="","",IF(AND($K675=2,$L675&lt;$J675,COUNTIFS(nrES_PID,$D675,nrES_Code,$F675,nrES_Att,1)&gt;0),"Yes","No")))</f>
        <v/>
      </c>
      <c r="S675" s="16" t="n"/>
      <c r="T675" s="17">
        <f>IF($Q675&lt;&gt;"Yes","",IF($S675="","(enter date)",_xlfn.LET(_xlpm.dn,IFERROR(_xlfn.XLOOKUP($S675,nrCDdate,nrCDnum),""),IF(_xlpm.dn="","(not a class day)",IFERROR(_xlfn.XLOOKUP(_xlpm.dn+cfgRetestClassDays,nrCDnum,nrCDdate),"")))))</f>
        <v/>
      </c>
      <c r="U675" s="15">
        <f>IF($Q675&lt;&gt;"Yes","",IF(COUNTIFS(nrES_PID,$D675,nrES_Code,$F675,nrES_Att,2)&gt;0,"Retested",IF(OR($T675="",NOT(ISNUMBER($T675))),"Pending",IF(TODAY()&gt;$T675,"OVERDUE","Due "&amp;TEXT($T675,"mm/dd")))))</f>
        <v/>
      </c>
      <c r="V675" s="14" t="n"/>
      <c r="W675" s="14" t="n"/>
    </row>
    <row r="676">
      <c r="B676" s="15">
        <f>IF($C676="","",$D676&amp;"-"&amp;$F676&amp;"-"&amp;$K676)</f>
        <v/>
      </c>
      <c r="C676" s="14" t="n"/>
      <c r="D676" s="15">
        <f>IF($C676="","",IFERROR(INDEX(rngCadetPIDs,MATCH($C676,rngCadetNames,0)),"?"))</f>
        <v/>
      </c>
      <c r="E676" s="15">
        <f>IF($D676="","",IFERROR(INDEX(nrCadetAgency,MATCH($D676,rngCadetPIDs,0)),""))</f>
        <v/>
      </c>
      <c r="F676" s="14" t="n"/>
      <c r="G676" s="15">
        <f>IF($F676="","",IFERROR(INDEX(rngEPname,MATCH($F676,rngEPcode,0)),"?"))</f>
        <v/>
      </c>
      <c r="H676" s="15">
        <f>IF($F676="","",IFERROR(INDEX(rngEPtype,MATCH($F676,rngEPcode,0)),"?"))</f>
        <v/>
      </c>
      <c r="I676" s="15">
        <f>IF($F676="","",IFERROR(INDEX(rngEPseq,MATCH($F676,rngEPcode,0)),""))</f>
        <v/>
      </c>
      <c r="J676" s="15">
        <f>IF($F676="","",IFERROR(INDEX(rngEPpass,MATCH($F676,rngEPcode,0)),cfgPassingScore))</f>
        <v/>
      </c>
      <c r="K676" s="14" t="n"/>
      <c r="L676" s="14" t="n"/>
      <c r="M676" s="15">
        <f>IF($C676="","",IF($L676="","",IF($K676=1,IF(COUNTIFS(nrES_PID,$D676,nrES_Code,$F676,nrES_Att,2)&gt;0,"",$L676),IF(COUNTIFS(nrES_PID,$D676,nrES_Code,$F676,nrES_Att,1)=0,$L676,IF($L676&gt;=$J676,cfgRetakeRecordedCap,SUMIFS(nrES_Raw,nrES_PID,$D676,nrES_Code,$F676,nrES_Att,1))))))</f>
        <v/>
      </c>
      <c r="N676" s="15">
        <f>IF($C676="","",IF($L676="","",IF($L676&gt;=$J676,"Yes","No")))</f>
        <v/>
      </c>
      <c r="O676" s="15">
        <f>IF($C676="","",IF($M676="","",IF($M676&gt;=$J676,"Yes","No")))</f>
        <v/>
      </c>
      <c r="P676" s="15">
        <f>IF($C676="","",IF($K676="","",IF(COUNTIFS(nrES_PID,$D676,nrES_Code,$F676,nrES_Att,"&gt;"&amp;$K676)=0,"Yes","No")))</f>
        <v/>
      </c>
      <c r="Q676" s="15">
        <f>IF($C676="","",IF($L676="","",IF(AND($K676=1,$L676&lt;$J676,COUNTIFS(nrES_PID,$D676,nrES_Code,$F676,nrES_Att,2)=0),"Yes","No")))</f>
        <v/>
      </c>
      <c r="R676" s="15">
        <f>IF($C676="","",IF($L676="","",IF(AND($K676=2,$L676&lt;$J676,COUNTIFS(nrES_PID,$D676,nrES_Code,$F676,nrES_Att,1)&gt;0),"Yes","No")))</f>
        <v/>
      </c>
      <c r="S676" s="16" t="n"/>
      <c r="T676" s="17">
        <f>IF($Q676&lt;&gt;"Yes","",IF($S676="","(enter date)",_xlfn.LET(_xlpm.dn,IFERROR(_xlfn.XLOOKUP($S676,nrCDdate,nrCDnum),""),IF(_xlpm.dn="","(not a class day)",IFERROR(_xlfn.XLOOKUP(_xlpm.dn+cfgRetestClassDays,nrCDnum,nrCDdate),"")))))</f>
        <v/>
      </c>
      <c r="U676" s="15">
        <f>IF($Q676&lt;&gt;"Yes","",IF(COUNTIFS(nrES_PID,$D676,nrES_Code,$F676,nrES_Att,2)&gt;0,"Retested",IF(OR($T676="",NOT(ISNUMBER($T676))),"Pending",IF(TODAY()&gt;$T676,"OVERDUE","Due "&amp;TEXT($T676,"mm/dd")))))</f>
        <v/>
      </c>
      <c r="V676" s="14" t="n"/>
      <c r="W676" s="14" t="n"/>
    </row>
    <row r="677">
      <c r="B677" s="15">
        <f>IF($C677="","",$D677&amp;"-"&amp;$F677&amp;"-"&amp;$K677)</f>
        <v/>
      </c>
      <c r="C677" s="14" t="n"/>
      <c r="D677" s="15">
        <f>IF($C677="","",IFERROR(INDEX(rngCadetPIDs,MATCH($C677,rngCadetNames,0)),"?"))</f>
        <v/>
      </c>
      <c r="E677" s="15">
        <f>IF($D677="","",IFERROR(INDEX(nrCadetAgency,MATCH($D677,rngCadetPIDs,0)),""))</f>
        <v/>
      </c>
      <c r="F677" s="14" t="n"/>
      <c r="G677" s="15">
        <f>IF($F677="","",IFERROR(INDEX(rngEPname,MATCH($F677,rngEPcode,0)),"?"))</f>
        <v/>
      </c>
      <c r="H677" s="15">
        <f>IF($F677="","",IFERROR(INDEX(rngEPtype,MATCH($F677,rngEPcode,0)),"?"))</f>
        <v/>
      </c>
      <c r="I677" s="15">
        <f>IF($F677="","",IFERROR(INDEX(rngEPseq,MATCH($F677,rngEPcode,0)),""))</f>
        <v/>
      </c>
      <c r="J677" s="15">
        <f>IF($F677="","",IFERROR(INDEX(rngEPpass,MATCH($F677,rngEPcode,0)),cfgPassingScore))</f>
        <v/>
      </c>
      <c r="K677" s="14" t="n"/>
      <c r="L677" s="14" t="n"/>
      <c r="M677" s="15">
        <f>IF($C677="","",IF($L677="","",IF($K677=1,IF(COUNTIFS(nrES_PID,$D677,nrES_Code,$F677,nrES_Att,2)&gt;0,"",$L677),IF(COUNTIFS(nrES_PID,$D677,nrES_Code,$F677,nrES_Att,1)=0,$L677,IF($L677&gt;=$J677,cfgRetakeRecordedCap,SUMIFS(nrES_Raw,nrES_PID,$D677,nrES_Code,$F677,nrES_Att,1))))))</f>
        <v/>
      </c>
      <c r="N677" s="15">
        <f>IF($C677="","",IF($L677="","",IF($L677&gt;=$J677,"Yes","No")))</f>
        <v/>
      </c>
      <c r="O677" s="15">
        <f>IF($C677="","",IF($M677="","",IF($M677&gt;=$J677,"Yes","No")))</f>
        <v/>
      </c>
      <c r="P677" s="15">
        <f>IF($C677="","",IF($K677="","",IF(COUNTIFS(nrES_PID,$D677,nrES_Code,$F677,nrES_Att,"&gt;"&amp;$K677)=0,"Yes","No")))</f>
        <v/>
      </c>
      <c r="Q677" s="15">
        <f>IF($C677="","",IF($L677="","",IF(AND($K677=1,$L677&lt;$J677,COUNTIFS(nrES_PID,$D677,nrES_Code,$F677,nrES_Att,2)=0),"Yes","No")))</f>
        <v/>
      </c>
      <c r="R677" s="15">
        <f>IF($C677="","",IF($L677="","",IF(AND($K677=2,$L677&lt;$J677,COUNTIFS(nrES_PID,$D677,nrES_Code,$F677,nrES_Att,1)&gt;0),"Yes","No")))</f>
        <v/>
      </c>
      <c r="S677" s="16" t="n"/>
      <c r="T677" s="17">
        <f>IF($Q677&lt;&gt;"Yes","",IF($S677="","(enter date)",_xlfn.LET(_xlpm.dn,IFERROR(_xlfn.XLOOKUP($S677,nrCDdate,nrCDnum),""),IF(_xlpm.dn="","(not a class day)",IFERROR(_xlfn.XLOOKUP(_xlpm.dn+cfgRetestClassDays,nrCDnum,nrCDdate),"")))))</f>
        <v/>
      </c>
      <c r="U677" s="15">
        <f>IF($Q677&lt;&gt;"Yes","",IF(COUNTIFS(nrES_PID,$D677,nrES_Code,$F677,nrES_Att,2)&gt;0,"Retested",IF(OR($T677="",NOT(ISNUMBER($T677))),"Pending",IF(TODAY()&gt;$T677,"OVERDUE","Due "&amp;TEXT($T677,"mm/dd")))))</f>
        <v/>
      </c>
      <c r="V677" s="14" t="n"/>
      <c r="W677" s="14" t="n"/>
    </row>
    <row r="678">
      <c r="B678" s="15">
        <f>IF($C678="","",$D678&amp;"-"&amp;$F678&amp;"-"&amp;$K678)</f>
        <v/>
      </c>
      <c r="C678" s="14" t="n"/>
      <c r="D678" s="15">
        <f>IF($C678="","",IFERROR(INDEX(rngCadetPIDs,MATCH($C678,rngCadetNames,0)),"?"))</f>
        <v/>
      </c>
      <c r="E678" s="15">
        <f>IF($D678="","",IFERROR(INDEX(nrCadetAgency,MATCH($D678,rngCadetPIDs,0)),""))</f>
        <v/>
      </c>
      <c r="F678" s="14" t="n"/>
      <c r="G678" s="15">
        <f>IF($F678="","",IFERROR(INDEX(rngEPname,MATCH($F678,rngEPcode,0)),"?"))</f>
        <v/>
      </c>
      <c r="H678" s="15">
        <f>IF($F678="","",IFERROR(INDEX(rngEPtype,MATCH($F678,rngEPcode,0)),"?"))</f>
        <v/>
      </c>
      <c r="I678" s="15">
        <f>IF($F678="","",IFERROR(INDEX(rngEPseq,MATCH($F678,rngEPcode,0)),""))</f>
        <v/>
      </c>
      <c r="J678" s="15">
        <f>IF($F678="","",IFERROR(INDEX(rngEPpass,MATCH($F678,rngEPcode,0)),cfgPassingScore))</f>
        <v/>
      </c>
      <c r="K678" s="14" t="n"/>
      <c r="L678" s="14" t="n"/>
      <c r="M678" s="15">
        <f>IF($C678="","",IF($L678="","",IF($K678=1,IF(COUNTIFS(nrES_PID,$D678,nrES_Code,$F678,nrES_Att,2)&gt;0,"",$L678),IF(COUNTIFS(nrES_PID,$D678,nrES_Code,$F678,nrES_Att,1)=0,$L678,IF($L678&gt;=$J678,cfgRetakeRecordedCap,SUMIFS(nrES_Raw,nrES_PID,$D678,nrES_Code,$F678,nrES_Att,1))))))</f>
        <v/>
      </c>
      <c r="N678" s="15">
        <f>IF($C678="","",IF($L678="","",IF($L678&gt;=$J678,"Yes","No")))</f>
        <v/>
      </c>
      <c r="O678" s="15">
        <f>IF($C678="","",IF($M678="","",IF($M678&gt;=$J678,"Yes","No")))</f>
        <v/>
      </c>
      <c r="P678" s="15">
        <f>IF($C678="","",IF($K678="","",IF(COUNTIFS(nrES_PID,$D678,nrES_Code,$F678,nrES_Att,"&gt;"&amp;$K678)=0,"Yes","No")))</f>
        <v/>
      </c>
      <c r="Q678" s="15">
        <f>IF($C678="","",IF($L678="","",IF(AND($K678=1,$L678&lt;$J678,COUNTIFS(nrES_PID,$D678,nrES_Code,$F678,nrES_Att,2)=0),"Yes","No")))</f>
        <v/>
      </c>
      <c r="R678" s="15">
        <f>IF($C678="","",IF($L678="","",IF(AND($K678=2,$L678&lt;$J678,COUNTIFS(nrES_PID,$D678,nrES_Code,$F678,nrES_Att,1)&gt;0),"Yes","No")))</f>
        <v/>
      </c>
      <c r="S678" s="16" t="n"/>
      <c r="T678" s="17">
        <f>IF($Q678&lt;&gt;"Yes","",IF($S678="","(enter date)",_xlfn.LET(_xlpm.dn,IFERROR(_xlfn.XLOOKUP($S678,nrCDdate,nrCDnum),""),IF(_xlpm.dn="","(not a class day)",IFERROR(_xlfn.XLOOKUP(_xlpm.dn+cfgRetestClassDays,nrCDnum,nrCDdate),"")))))</f>
        <v/>
      </c>
      <c r="U678" s="15">
        <f>IF($Q678&lt;&gt;"Yes","",IF(COUNTIFS(nrES_PID,$D678,nrES_Code,$F678,nrES_Att,2)&gt;0,"Retested",IF(OR($T678="",NOT(ISNUMBER($T678))),"Pending",IF(TODAY()&gt;$T678,"OVERDUE","Due "&amp;TEXT($T678,"mm/dd")))))</f>
        <v/>
      </c>
      <c r="V678" s="14" t="n"/>
      <c r="W678" s="14" t="n"/>
    </row>
    <row r="679">
      <c r="B679" s="15">
        <f>IF($C679="","",$D679&amp;"-"&amp;$F679&amp;"-"&amp;$K679)</f>
        <v/>
      </c>
      <c r="C679" s="14" t="n"/>
      <c r="D679" s="15">
        <f>IF($C679="","",IFERROR(INDEX(rngCadetPIDs,MATCH($C679,rngCadetNames,0)),"?"))</f>
        <v/>
      </c>
      <c r="E679" s="15">
        <f>IF($D679="","",IFERROR(INDEX(nrCadetAgency,MATCH($D679,rngCadetPIDs,0)),""))</f>
        <v/>
      </c>
      <c r="F679" s="14" t="n"/>
      <c r="G679" s="15">
        <f>IF($F679="","",IFERROR(INDEX(rngEPname,MATCH($F679,rngEPcode,0)),"?"))</f>
        <v/>
      </c>
      <c r="H679" s="15">
        <f>IF($F679="","",IFERROR(INDEX(rngEPtype,MATCH($F679,rngEPcode,0)),"?"))</f>
        <v/>
      </c>
      <c r="I679" s="15">
        <f>IF($F679="","",IFERROR(INDEX(rngEPseq,MATCH($F679,rngEPcode,0)),""))</f>
        <v/>
      </c>
      <c r="J679" s="15">
        <f>IF($F679="","",IFERROR(INDEX(rngEPpass,MATCH($F679,rngEPcode,0)),cfgPassingScore))</f>
        <v/>
      </c>
      <c r="K679" s="14" t="n"/>
      <c r="L679" s="14" t="n"/>
      <c r="M679" s="15">
        <f>IF($C679="","",IF($L679="","",IF($K679=1,IF(COUNTIFS(nrES_PID,$D679,nrES_Code,$F679,nrES_Att,2)&gt;0,"",$L679),IF(COUNTIFS(nrES_PID,$D679,nrES_Code,$F679,nrES_Att,1)=0,$L679,IF($L679&gt;=$J679,cfgRetakeRecordedCap,SUMIFS(nrES_Raw,nrES_PID,$D679,nrES_Code,$F679,nrES_Att,1))))))</f>
        <v/>
      </c>
      <c r="N679" s="15">
        <f>IF($C679="","",IF($L679="","",IF($L679&gt;=$J679,"Yes","No")))</f>
        <v/>
      </c>
      <c r="O679" s="15">
        <f>IF($C679="","",IF($M679="","",IF($M679&gt;=$J679,"Yes","No")))</f>
        <v/>
      </c>
      <c r="P679" s="15">
        <f>IF($C679="","",IF($K679="","",IF(COUNTIFS(nrES_PID,$D679,nrES_Code,$F679,nrES_Att,"&gt;"&amp;$K679)=0,"Yes","No")))</f>
        <v/>
      </c>
      <c r="Q679" s="15">
        <f>IF($C679="","",IF($L679="","",IF(AND($K679=1,$L679&lt;$J679,COUNTIFS(nrES_PID,$D679,nrES_Code,$F679,nrES_Att,2)=0),"Yes","No")))</f>
        <v/>
      </c>
      <c r="R679" s="15">
        <f>IF($C679="","",IF($L679="","",IF(AND($K679=2,$L679&lt;$J679,COUNTIFS(nrES_PID,$D679,nrES_Code,$F679,nrES_Att,1)&gt;0),"Yes","No")))</f>
        <v/>
      </c>
      <c r="S679" s="16" t="n"/>
      <c r="T679" s="17">
        <f>IF($Q679&lt;&gt;"Yes","",IF($S679="","(enter date)",_xlfn.LET(_xlpm.dn,IFERROR(_xlfn.XLOOKUP($S679,nrCDdate,nrCDnum),""),IF(_xlpm.dn="","(not a class day)",IFERROR(_xlfn.XLOOKUP(_xlpm.dn+cfgRetestClassDays,nrCDnum,nrCDdate),"")))))</f>
        <v/>
      </c>
      <c r="U679" s="15">
        <f>IF($Q679&lt;&gt;"Yes","",IF(COUNTIFS(nrES_PID,$D679,nrES_Code,$F679,nrES_Att,2)&gt;0,"Retested",IF(OR($T679="",NOT(ISNUMBER($T679))),"Pending",IF(TODAY()&gt;$T679,"OVERDUE","Due "&amp;TEXT($T679,"mm/dd")))))</f>
        <v/>
      </c>
      <c r="V679" s="14" t="n"/>
      <c r="W679" s="14" t="n"/>
    </row>
    <row r="680">
      <c r="B680" s="15">
        <f>IF($C680="","",$D680&amp;"-"&amp;$F680&amp;"-"&amp;$K680)</f>
        <v/>
      </c>
      <c r="C680" s="14" t="n"/>
      <c r="D680" s="15">
        <f>IF($C680="","",IFERROR(INDEX(rngCadetPIDs,MATCH($C680,rngCadetNames,0)),"?"))</f>
        <v/>
      </c>
      <c r="E680" s="15">
        <f>IF($D680="","",IFERROR(INDEX(nrCadetAgency,MATCH($D680,rngCadetPIDs,0)),""))</f>
        <v/>
      </c>
      <c r="F680" s="14" t="n"/>
      <c r="G680" s="15">
        <f>IF($F680="","",IFERROR(INDEX(rngEPname,MATCH($F680,rngEPcode,0)),"?"))</f>
        <v/>
      </c>
      <c r="H680" s="15">
        <f>IF($F680="","",IFERROR(INDEX(rngEPtype,MATCH($F680,rngEPcode,0)),"?"))</f>
        <v/>
      </c>
      <c r="I680" s="15">
        <f>IF($F680="","",IFERROR(INDEX(rngEPseq,MATCH($F680,rngEPcode,0)),""))</f>
        <v/>
      </c>
      <c r="J680" s="15">
        <f>IF($F680="","",IFERROR(INDEX(rngEPpass,MATCH($F680,rngEPcode,0)),cfgPassingScore))</f>
        <v/>
      </c>
      <c r="K680" s="14" t="n"/>
      <c r="L680" s="14" t="n"/>
      <c r="M680" s="15">
        <f>IF($C680="","",IF($L680="","",IF($K680=1,IF(COUNTIFS(nrES_PID,$D680,nrES_Code,$F680,nrES_Att,2)&gt;0,"",$L680),IF(COUNTIFS(nrES_PID,$D680,nrES_Code,$F680,nrES_Att,1)=0,$L680,IF($L680&gt;=$J680,cfgRetakeRecordedCap,SUMIFS(nrES_Raw,nrES_PID,$D680,nrES_Code,$F680,nrES_Att,1))))))</f>
        <v/>
      </c>
      <c r="N680" s="15">
        <f>IF($C680="","",IF($L680="","",IF($L680&gt;=$J680,"Yes","No")))</f>
        <v/>
      </c>
      <c r="O680" s="15">
        <f>IF($C680="","",IF($M680="","",IF($M680&gt;=$J680,"Yes","No")))</f>
        <v/>
      </c>
      <c r="P680" s="15">
        <f>IF($C680="","",IF($K680="","",IF(COUNTIFS(nrES_PID,$D680,nrES_Code,$F680,nrES_Att,"&gt;"&amp;$K680)=0,"Yes","No")))</f>
        <v/>
      </c>
      <c r="Q680" s="15">
        <f>IF($C680="","",IF($L680="","",IF(AND($K680=1,$L680&lt;$J680,COUNTIFS(nrES_PID,$D680,nrES_Code,$F680,nrES_Att,2)=0),"Yes","No")))</f>
        <v/>
      </c>
      <c r="R680" s="15">
        <f>IF($C680="","",IF($L680="","",IF(AND($K680=2,$L680&lt;$J680,COUNTIFS(nrES_PID,$D680,nrES_Code,$F680,nrES_Att,1)&gt;0),"Yes","No")))</f>
        <v/>
      </c>
      <c r="S680" s="16" t="n"/>
      <c r="T680" s="17">
        <f>IF($Q680&lt;&gt;"Yes","",IF($S680="","(enter date)",_xlfn.LET(_xlpm.dn,IFERROR(_xlfn.XLOOKUP($S680,nrCDdate,nrCDnum),""),IF(_xlpm.dn="","(not a class day)",IFERROR(_xlfn.XLOOKUP(_xlpm.dn+cfgRetestClassDays,nrCDnum,nrCDdate),"")))))</f>
        <v/>
      </c>
      <c r="U680" s="15">
        <f>IF($Q680&lt;&gt;"Yes","",IF(COUNTIFS(nrES_PID,$D680,nrES_Code,$F680,nrES_Att,2)&gt;0,"Retested",IF(OR($T680="",NOT(ISNUMBER($T680))),"Pending",IF(TODAY()&gt;$T680,"OVERDUE","Due "&amp;TEXT($T680,"mm/dd")))))</f>
        <v/>
      </c>
      <c r="V680" s="14" t="n"/>
      <c r="W680" s="14" t="n"/>
    </row>
    <row r="681">
      <c r="B681" s="15">
        <f>IF($C681="","",$D681&amp;"-"&amp;$F681&amp;"-"&amp;$K681)</f>
        <v/>
      </c>
      <c r="C681" s="14" t="n"/>
      <c r="D681" s="15">
        <f>IF($C681="","",IFERROR(INDEX(rngCadetPIDs,MATCH($C681,rngCadetNames,0)),"?"))</f>
        <v/>
      </c>
      <c r="E681" s="15">
        <f>IF($D681="","",IFERROR(INDEX(nrCadetAgency,MATCH($D681,rngCadetPIDs,0)),""))</f>
        <v/>
      </c>
      <c r="F681" s="14" t="n"/>
      <c r="G681" s="15">
        <f>IF($F681="","",IFERROR(INDEX(rngEPname,MATCH($F681,rngEPcode,0)),"?"))</f>
        <v/>
      </c>
      <c r="H681" s="15">
        <f>IF($F681="","",IFERROR(INDEX(rngEPtype,MATCH($F681,rngEPcode,0)),"?"))</f>
        <v/>
      </c>
      <c r="I681" s="15">
        <f>IF($F681="","",IFERROR(INDEX(rngEPseq,MATCH($F681,rngEPcode,0)),""))</f>
        <v/>
      </c>
      <c r="J681" s="15">
        <f>IF($F681="","",IFERROR(INDEX(rngEPpass,MATCH($F681,rngEPcode,0)),cfgPassingScore))</f>
        <v/>
      </c>
      <c r="K681" s="14" t="n"/>
      <c r="L681" s="14" t="n"/>
      <c r="M681" s="15">
        <f>IF($C681="","",IF($L681="","",IF($K681=1,IF(COUNTIFS(nrES_PID,$D681,nrES_Code,$F681,nrES_Att,2)&gt;0,"",$L681),IF(COUNTIFS(nrES_PID,$D681,nrES_Code,$F681,nrES_Att,1)=0,$L681,IF($L681&gt;=$J681,cfgRetakeRecordedCap,SUMIFS(nrES_Raw,nrES_PID,$D681,nrES_Code,$F681,nrES_Att,1))))))</f>
        <v/>
      </c>
      <c r="N681" s="15">
        <f>IF($C681="","",IF($L681="","",IF($L681&gt;=$J681,"Yes","No")))</f>
        <v/>
      </c>
      <c r="O681" s="15">
        <f>IF($C681="","",IF($M681="","",IF($M681&gt;=$J681,"Yes","No")))</f>
        <v/>
      </c>
      <c r="P681" s="15">
        <f>IF($C681="","",IF($K681="","",IF(COUNTIFS(nrES_PID,$D681,nrES_Code,$F681,nrES_Att,"&gt;"&amp;$K681)=0,"Yes","No")))</f>
        <v/>
      </c>
      <c r="Q681" s="15">
        <f>IF($C681="","",IF($L681="","",IF(AND($K681=1,$L681&lt;$J681,COUNTIFS(nrES_PID,$D681,nrES_Code,$F681,nrES_Att,2)=0),"Yes","No")))</f>
        <v/>
      </c>
      <c r="R681" s="15">
        <f>IF($C681="","",IF($L681="","",IF(AND($K681=2,$L681&lt;$J681,COUNTIFS(nrES_PID,$D681,nrES_Code,$F681,nrES_Att,1)&gt;0),"Yes","No")))</f>
        <v/>
      </c>
      <c r="S681" s="16" t="n"/>
      <c r="T681" s="17">
        <f>IF($Q681&lt;&gt;"Yes","",IF($S681="","(enter date)",_xlfn.LET(_xlpm.dn,IFERROR(_xlfn.XLOOKUP($S681,nrCDdate,nrCDnum),""),IF(_xlpm.dn="","(not a class day)",IFERROR(_xlfn.XLOOKUP(_xlpm.dn+cfgRetestClassDays,nrCDnum,nrCDdate),"")))))</f>
        <v/>
      </c>
      <c r="U681" s="15">
        <f>IF($Q681&lt;&gt;"Yes","",IF(COUNTIFS(nrES_PID,$D681,nrES_Code,$F681,nrES_Att,2)&gt;0,"Retested",IF(OR($T681="",NOT(ISNUMBER($T681))),"Pending",IF(TODAY()&gt;$T681,"OVERDUE","Due "&amp;TEXT($T681,"mm/dd")))))</f>
        <v/>
      </c>
      <c r="V681" s="14" t="n"/>
      <c r="W681" s="14" t="n"/>
    </row>
    <row r="682">
      <c r="B682" s="15">
        <f>IF($C682="","",$D682&amp;"-"&amp;$F682&amp;"-"&amp;$K682)</f>
        <v/>
      </c>
      <c r="C682" s="14" t="n"/>
      <c r="D682" s="15">
        <f>IF($C682="","",IFERROR(INDEX(rngCadetPIDs,MATCH($C682,rngCadetNames,0)),"?"))</f>
        <v/>
      </c>
      <c r="E682" s="15">
        <f>IF($D682="","",IFERROR(INDEX(nrCadetAgency,MATCH($D682,rngCadetPIDs,0)),""))</f>
        <v/>
      </c>
      <c r="F682" s="14" t="n"/>
      <c r="G682" s="15">
        <f>IF($F682="","",IFERROR(INDEX(rngEPname,MATCH($F682,rngEPcode,0)),"?"))</f>
        <v/>
      </c>
      <c r="H682" s="15">
        <f>IF($F682="","",IFERROR(INDEX(rngEPtype,MATCH($F682,rngEPcode,0)),"?"))</f>
        <v/>
      </c>
      <c r="I682" s="15">
        <f>IF($F682="","",IFERROR(INDEX(rngEPseq,MATCH($F682,rngEPcode,0)),""))</f>
        <v/>
      </c>
      <c r="J682" s="15">
        <f>IF($F682="","",IFERROR(INDEX(rngEPpass,MATCH($F682,rngEPcode,0)),cfgPassingScore))</f>
        <v/>
      </c>
      <c r="K682" s="14" t="n"/>
      <c r="L682" s="14" t="n"/>
      <c r="M682" s="15">
        <f>IF($C682="","",IF($L682="","",IF($K682=1,IF(COUNTIFS(nrES_PID,$D682,nrES_Code,$F682,nrES_Att,2)&gt;0,"",$L682),IF(COUNTIFS(nrES_PID,$D682,nrES_Code,$F682,nrES_Att,1)=0,$L682,IF($L682&gt;=$J682,cfgRetakeRecordedCap,SUMIFS(nrES_Raw,nrES_PID,$D682,nrES_Code,$F682,nrES_Att,1))))))</f>
        <v/>
      </c>
      <c r="N682" s="15">
        <f>IF($C682="","",IF($L682="","",IF($L682&gt;=$J682,"Yes","No")))</f>
        <v/>
      </c>
      <c r="O682" s="15">
        <f>IF($C682="","",IF($M682="","",IF($M682&gt;=$J682,"Yes","No")))</f>
        <v/>
      </c>
      <c r="P682" s="15">
        <f>IF($C682="","",IF($K682="","",IF(COUNTIFS(nrES_PID,$D682,nrES_Code,$F682,nrES_Att,"&gt;"&amp;$K682)=0,"Yes","No")))</f>
        <v/>
      </c>
      <c r="Q682" s="15">
        <f>IF($C682="","",IF($L682="","",IF(AND($K682=1,$L682&lt;$J682,COUNTIFS(nrES_PID,$D682,nrES_Code,$F682,nrES_Att,2)=0),"Yes","No")))</f>
        <v/>
      </c>
      <c r="R682" s="15">
        <f>IF($C682="","",IF($L682="","",IF(AND($K682=2,$L682&lt;$J682,COUNTIFS(nrES_PID,$D682,nrES_Code,$F682,nrES_Att,1)&gt;0),"Yes","No")))</f>
        <v/>
      </c>
      <c r="S682" s="16" t="n"/>
      <c r="T682" s="17">
        <f>IF($Q682&lt;&gt;"Yes","",IF($S682="","(enter date)",_xlfn.LET(_xlpm.dn,IFERROR(_xlfn.XLOOKUP($S682,nrCDdate,nrCDnum),""),IF(_xlpm.dn="","(not a class day)",IFERROR(_xlfn.XLOOKUP(_xlpm.dn+cfgRetestClassDays,nrCDnum,nrCDdate),"")))))</f>
        <v/>
      </c>
      <c r="U682" s="15">
        <f>IF($Q682&lt;&gt;"Yes","",IF(COUNTIFS(nrES_PID,$D682,nrES_Code,$F682,nrES_Att,2)&gt;0,"Retested",IF(OR($T682="",NOT(ISNUMBER($T682))),"Pending",IF(TODAY()&gt;$T682,"OVERDUE","Due "&amp;TEXT($T682,"mm/dd")))))</f>
        <v/>
      </c>
      <c r="V682" s="14" t="n"/>
      <c r="W682" s="14" t="n"/>
    </row>
    <row r="683">
      <c r="B683" s="15">
        <f>IF($C683="","",$D683&amp;"-"&amp;$F683&amp;"-"&amp;$K683)</f>
        <v/>
      </c>
      <c r="C683" s="14" t="n"/>
      <c r="D683" s="15">
        <f>IF($C683="","",IFERROR(INDEX(rngCadetPIDs,MATCH($C683,rngCadetNames,0)),"?"))</f>
        <v/>
      </c>
      <c r="E683" s="15">
        <f>IF($D683="","",IFERROR(INDEX(nrCadetAgency,MATCH($D683,rngCadetPIDs,0)),""))</f>
        <v/>
      </c>
      <c r="F683" s="14" t="n"/>
      <c r="G683" s="15">
        <f>IF($F683="","",IFERROR(INDEX(rngEPname,MATCH($F683,rngEPcode,0)),"?"))</f>
        <v/>
      </c>
      <c r="H683" s="15">
        <f>IF($F683="","",IFERROR(INDEX(rngEPtype,MATCH($F683,rngEPcode,0)),"?"))</f>
        <v/>
      </c>
      <c r="I683" s="15">
        <f>IF($F683="","",IFERROR(INDEX(rngEPseq,MATCH($F683,rngEPcode,0)),""))</f>
        <v/>
      </c>
      <c r="J683" s="15">
        <f>IF($F683="","",IFERROR(INDEX(rngEPpass,MATCH($F683,rngEPcode,0)),cfgPassingScore))</f>
        <v/>
      </c>
      <c r="K683" s="14" t="n"/>
      <c r="L683" s="14" t="n"/>
      <c r="M683" s="15">
        <f>IF($C683="","",IF($L683="","",IF($K683=1,IF(COUNTIFS(nrES_PID,$D683,nrES_Code,$F683,nrES_Att,2)&gt;0,"",$L683),IF(COUNTIFS(nrES_PID,$D683,nrES_Code,$F683,nrES_Att,1)=0,$L683,IF($L683&gt;=$J683,cfgRetakeRecordedCap,SUMIFS(nrES_Raw,nrES_PID,$D683,nrES_Code,$F683,nrES_Att,1))))))</f>
        <v/>
      </c>
      <c r="N683" s="15">
        <f>IF($C683="","",IF($L683="","",IF($L683&gt;=$J683,"Yes","No")))</f>
        <v/>
      </c>
      <c r="O683" s="15">
        <f>IF($C683="","",IF($M683="","",IF($M683&gt;=$J683,"Yes","No")))</f>
        <v/>
      </c>
      <c r="P683" s="15">
        <f>IF($C683="","",IF($K683="","",IF(COUNTIFS(nrES_PID,$D683,nrES_Code,$F683,nrES_Att,"&gt;"&amp;$K683)=0,"Yes","No")))</f>
        <v/>
      </c>
      <c r="Q683" s="15">
        <f>IF($C683="","",IF($L683="","",IF(AND($K683=1,$L683&lt;$J683,COUNTIFS(nrES_PID,$D683,nrES_Code,$F683,nrES_Att,2)=0),"Yes","No")))</f>
        <v/>
      </c>
      <c r="R683" s="15">
        <f>IF($C683="","",IF($L683="","",IF(AND($K683=2,$L683&lt;$J683,COUNTIFS(nrES_PID,$D683,nrES_Code,$F683,nrES_Att,1)&gt;0),"Yes","No")))</f>
        <v/>
      </c>
      <c r="S683" s="16" t="n"/>
      <c r="T683" s="17">
        <f>IF($Q683&lt;&gt;"Yes","",IF($S683="","(enter date)",_xlfn.LET(_xlpm.dn,IFERROR(_xlfn.XLOOKUP($S683,nrCDdate,nrCDnum),""),IF(_xlpm.dn="","(not a class day)",IFERROR(_xlfn.XLOOKUP(_xlpm.dn+cfgRetestClassDays,nrCDnum,nrCDdate),"")))))</f>
        <v/>
      </c>
      <c r="U683" s="15">
        <f>IF($Q683&lt;&gt;"Yes","",IF(COUNTIFS(nrES_PID,$D683,nrES_Code,$F683,nrES_Att,2)&gt;0,"Retested",IF(OR($T683="",NOT(ISNUMBER($T683))),"Pending",IF(TODAY()&gt;$T683,"OVERDUE","Due "&amp;TEXT($T683,"mm/dd")))))</f>
        <v/>
      </c>
      <c r="V683" s="14" t="n"/>
      <c r="W683" s="14" t="n"/>
    </row>
    <row r="684">
      <c r="B684" s="15">
        <f>IF($C684="","",$D684&amp;"-"&amp;$F684&amp;"-"&amp;$K684)</f>
        <v/>
      </c>
      <c r="C684" s="14" t="n"/>
      <c r="D684" s="15">
        <f>IF($C684="","",IFERROR(INDEX(rngCadetPIDs,MATCH($C684,rngCadetNames,0)),"?"))</f>
        <v/>
      </c>
      <c r="E684" s="15">
        <f>IF($D684="","",IFERROR(INDEX(nrCadetAgency,MATCH($D684,rngCadetPIDs,0)),""))</f>
        <v/>
      </c>
      <c r="F684" s="14" t="n"/>
      <c r="G684" s="15">
        <f>IF($F684="","",IFERROR(INDEX(rngEPname,MATCH($F684,rngEPcode,0)),"?"))</f>
        <v/>
      </c>
      <c r="H684" s="15">
        <f>IF($F684="","",IFERROR(INDEX(rngEPtype,MATCH($F684,rngEPcode,0)),"?"))</f>
        <v/>
      </c>
      <c r="I684" s="15">
        <f>IF($F684="","",IFERROR(INDEX(rngEPseq,MATCH($F684,rngEPcode,0)),""))</f>
        <v/>
      </c>
      <c r="J684" s="15">
        <f>IF($F684="","",IFERROR(INDEX(rngEPpass,MATCH($F684,rngEPcode,0)),cfgPassingScore))</f>
        <v/>
      </c>
      <c r="K684" s="14" t="n"/>
      <c r="L684" s="14" t="n"/>
      <c r="M684" s="15">
        <f>IF($C684="","",IF($L684="","",IF($K684=1,IF(COUNTIFS(nrES_PID,$D684,nrES_Code,$F684,nrES_Att,2)&gt;0,"",$L684),IF(COUNTIFS(nrES_PID,$D684,nrES_Code,$F684,nrES_Att,1)=0,$L684,IF($L684&gt;=$J684,cfgRetakeRecordedCap,SUMIFS(nrES_Raw,nrES_PID,$D684,nrES_Code,$F684,nrES_Att,1))))))</f>
        <v/>
      </c>
      <c r="N684" s="15">
        <f>IF($C684="","",IF($L684="","",IF($L684&gt;=$J684,"Yes","No")))</f>
        <v/>
      </c>
      <c r="O684" s="15">
        <f>IF($C684="","",IF($M684="","",IF($M684&gt;=$J684,"Yes","No")))</f>
        <v/>
      </c>
      <c r="P684" s="15">
        <f>IF($C684="","",IF($K684="","",IF(COUNTIFS(nrES_PID,$D684,nrES_Code,$F684,nrES_Att,"&gt;"&amp;$K684)=0,"Yes","No")))</f>
        <v/>
      </c>
      <c r="Q684" s="15">
        <f>IF($C684="","",IF($L684="","",IF(AND($K684=1,$L684&lt;$J684,COUNTIFS(nrES_PID,$D684,nrES_Code,$F684,nrES_Att,2)=0),"Yes","No")))</f>
        <v/>
      </c>
      <c r="R684" s="15">
        <f>IF($C684="","",IF($L684="","",IF(AND($K684=2,$L684&lt;$J684,COUNTIFS(nrES_PID,$D684,nrES_Code,$F684,nrES_Att,1)&gt;0),"Yes","No")))</f>
        <v/>
      </c>
      <c r="S684" s="16" t="n"/>
      <c r="T684" s="17">
        <f>IF($Q684&lt;&gt;"Yes","",IF($S684="","(enter date)",_xlfn.LET(_xlpm.dn,IFERROR(_xlfn.XLOOKUP($S684,nrCDdate,nrCDnum),""),IF(_xlpm.dn="","(not a class day)",IFERROR(_xlfn.XLOOKUP(_xlpm.dn+cfgRetestClassDays,nrCDnum,nrCDdate),"")))))</f>
        <v/>
      </c>
      <c r="U684" s="15">
        <f>IF($Q684&lt;&gt;"Yes","",IF(COUNTIFS(nrES_PID,$D684,nrES_Code,$F684,nrES_Att,2)&gt;0,"Retested",IF(OR($T684="",NOT(ISNUMBER($T684))),"Pending",IF(TODAY()&gt;$T684,"OVERDUE","Due "&amp;TEXT($T684,"mm/dd")))))</f>
        <v/>
      </c>
      <c r="V684" s="14" t="n"/>
      <c r="W684" s="14" t="n"/>
    </row>
    <row r="685">
      <c r="B685" s="15">
        <f>IF($C685="","",$D685&amp;"-"&amp;$F685&amp;"-"&amp;$K685)</f>
        <v/>
      </c>
      <c r="C685" s="14" t="n"/>
      <c r="D685" s="15">
        <f>IF($C685="","",IFERROR(INDEX(rngCadetPIDs,MATCH($C685,rngCadetNames,0)),"?"))</f>
        <v/>
      </c>
      <c r="E685" s="15">
        <f>IF($D685="","",IFERROR(INDEX(nrCadetAgency,MATCH($D685,rngCadetPIDs,0)),""))</f>
        <v/>
      </c>
      <c r="F685" s="14" t="n"/>
      <c r="G685" s="15">
        <f>IF($F685="","",IFERROR(INDEX(rngEPname,MATCH($F685,rngEPcode,0)),"?"))</f>
        <v/>
      </c>
      <c r="H685" s="15">
        <f>IF($F685="","",IFERROR(INDEX(rngEPtype,MATCH($F685,rngEPcode,0)),"?"))</f>
        <v/>
      </c>
      <c r="I685" s="15">
        <f>IF($F685="","",IFERROR(INDEX(rngEPseq,MATCH($F685,rngEPcode,0)),""))</f>
        <v/>
      </c>
      <c r="J685" s="15">
        <f>IF($F685="","",IFERROR(INDEX(rngEPpass,MATCH($F685,rngEPcode,0)),cfgPassingScore))</f>
        <v/>
      </c>
      <c r="K685" s="14" t="n"/>
      <c r="L685" s="14" t="n"/>
      <c r="M685" s="15">
        <f>IF($C685="","",IF($L685="","",IF($K685=1,IF(COUNTIFS(nrES_PID,$D685,nrES_Code,$F685,nrES_Att,2)&gt;0,"",$L685),IF(COUNTIFS(nrES_PID,$D685,nrES_Code,$F685,nrES_Att,1)=0,$L685,IF($L685&gt;=$J685,cfgRetakeRecordedCap,SUMIFS(nrES_Raw,nrES_PID,$D685,nrES_Code,$F685,nrES_Att,1))))))</f>
        <v/>
      </c>
      <c r="N685" s="15">
        <f>IF($C685="","",IF($L685="","",IF($L685&gt;=$J685,"Yes","No")))</f>
        <v/>
      </c>
      <c r="O685" s="15">
        <f>IF($C685="","",IF($M685="","",IF($M685&gt;=$J685,"Yes","No")))</f>
        <v/>
      </c>
      <c r="P685" s="15">
        <f>IF($C685="","",IF($K685="","",IF(COUNTIFS(nrES_PID,$D685,nrES_Code,$F685,nrES_Att,"&gt;"&amp;$K685)=0,"Yes","No")))</f>
        <v/>
      </c>
      <c r="Q685" s="15">
        <f>IF($C685="","",IF($L685="","",IF(AND($K685=1,$L685&lt;$J685,COUNTIFS(nrES_PID,$D685,nrES_Code,$F685,nrES_Att,2)=0),"Yes","No")))</f>
        <v/>
      </c>
      <c r="R685" s="15">
        <f>IF($C685="","",IF($L685="","",IF(AND($K685=2,$L685&lt;$J685,COUNTIFS(nrES_PID,$D685,nrES_Code,$F685,nrES_Att,1)&gt;0),"Yes","No")))</f>
        <v/>
      </c>
      <c r="S685" s="16" t="n"/>
      <c r="T685" s="17">
        <f>IF($Q685&lt;&gt;"Yes","",IF($S685="","(enter date)",_xlfn.LET(_xlpm.dn,IFERROR(_xlfn.XLOOKUP($S685,nrCDdate,nrCDnum),""),IF(_xlpm.dn="","(not a class day)",IFERROR(_xlfn.XLOOKUP(_xlpm.dn+cfgRetestClassDays,nrCDnum,nrCDdate),"")))))</f>
        <v/>
      </c>
      <c r="U685" s="15">
        <f>IF($Q685&lt;&gt;"Yes","",IF(COUNTIFS(nrES_PID,$D685,nrES_Code,$F685,nrES_Att,2)&gt;0,"Retested",IF(OR($T685="",NOT(ISNUMBER($T685))),"Pending",IF(TODAY()&gt;$T685,"OVERDUE","Due "&amp;TEXT($T685,"mm/dd")))))</f>
        <v/>
      </c>
      <c r="V685" s="14" t="n"/>
      <c r="W685" s="14" t="n"/>
    </row>
    <row r="686">
      <c r="B686" s="15">
        <f>IF($C686="","",$D686&amp;"-"&amp;$F686&amp;"-"&amp;$K686)</f>
        <v/>
      </c>
      <c r="C686" s="14" t="n"/>
      <c r="D686" s="15">
        <f>IF($C686="","",IFERROR(INDEX(rngCadetPIDs,MATCH($C686,rngCadetNames,0)),"?"))</f>
        <v/>
      </c>
      <c r="E686" s="15">
        <f>IF($D686="","",IFERROR(INDEX(nrCadetAgency,MATCH($D686,rngCadetPIDs,0)),""))</f>
        <v/>
      </c>
      <c r="F686" s="14" t="n"/>
      <c r="G686" s="15">
        <f>IF($F686="","",IFERROR(INDEX(rngEPname,MATCH($F686,rngEPcode,0)),"?"))</f>
        <v/>
      </c>
      <c r="H686" s="15">
        <f>IF($F686="","",IFERROR(INDEX(rngEPtype,MATCH($F686,rngEPcode,0)),"?"))</f>
        <v/>
      </c>
      <c r="I686" s="15">
        <f>IF($F686="","",IFERROR(INDEX(rngEPseq,MATCH($F686,rngEPcode,0)),""))</f>
        <v/>
      </c>
      <c r="J686" s="15">
        <f>IF($F686="","",IFERROR(INDEX(rngEPpass,MATCH($F686,rngEPcode,0)),cfgPassingScore))</f>
        <v/>
      </c>
      <c r="K686" s="14" t="n"/>
      <c r="L686" s="14" t="n"/>
      <c r="M686" s="15">
        <f>IF($C686="","",IF($L686="","",IF($K686=1,IF(COUNTIFS(nrES_PID,$D686,nrES_Code,$F686,nrES_Att,2)&gt;0,"",$L686),IF(COUNTIFS(nrES_PID,$D686,nrES_Code,$F686,nrES_Att,1)=0,$L686,IF($L686&gt;=$J686,cfgRetakeRecordedCap,SUMIFS(nrES_Raw,nrES_PID,$D686,nrES_Code,$F686,nrES_Att,1))))))</f>
        <v/>
      </c>
      <c r="N686" s="15">
        <f>IF($C686="","",IF($L686="","",IF($L686&gt;=$J686,"Yes","No")))</f>
        <v/>
      </c>
      <c r="O686" s="15">
        <f>IF($C686="","",IF($M686="","",IF($M686&gt;=$J686,"Yes","No")))</f>
        <v/>
      </c>
      <c r="P686" s="15">
        <f>IF($C686="","",IF($K686="","",IF(COUNTIFS(nrES_PID,$D686,nrES_Code,$F686,nrES_Att,"&gt;"&amp;$K686)=0,"Yes","No")))</f>
        <v/>
      </c>
      <c r="Q686" s="15">
        <f>IF($C686="","",IF($L686="","",IF(AND($K686=1,$L686&lt;$J686,COUNTIFS(nrES_PID,$D686,nrES_Code,$F686,nrES_Att,2)=0),"Yes","No")))</f>
        <v/>
      </c>
      <c r="R686" s="15">
        <f>IF($C686="","",IF($L686="","",IF(AND($K686=2,$L686&lt;$J686,COUNTIFS(nrES_PID,$D686,nrES_Code,$F686,nrES_Att,1)&gt;0),"Yes","No")))</f>
        <v/>
      </c>
      <c r="S686" s="16" t="n"/>
      <c r="T686" s="17">
        <f>IF($Q686&lt;&gt;"Yes","",IF($S686="","(enter date)",_xlfn.LET(_xlpm.dn,IFERROR(_xlfn.XLOOKUP($S686,nrCDdate,nrCDnum),""),IF(_xlpm.dn="","(not a class day)",IFERROR(_xlfn.XLOOKUP(_xlpm.dn+cfgRetestClassDays,nrCDnum,nrCDdate),"")))))</f>
        <v/>
      </c>
      <c r="U686" s="15">
        <f>IF($Q686&lt;&gt;"Yes","",IF(COUNTIFS(nrES_PID,$D686,nrES_Code,$F686,nrES_Att,2)&gt;0,"Retested",IF(OR($T686="",NOT(ISNUMBER($T686))),"Pending",IF(TODAY()&gt;$T686,"OVERDUE","Due "&amp;TEXT($T686,"mm/dd")))))</f>
        <v/>
      </c>
      <c r="V686" s="14" t="n"/>
      <c r="W686" s="14" t="n"/>
    </row>
    <row r="687">
      <c r="B687" s="15">
        <f>IF($C687="","",$D687&amp;"-"&amp;$F687&amp;"-"&amp;$K687)</f>
        <v/>
      </c>
      <c r="C687" s="14" t="n"/>
      <c r="D687" s="15">
        <f>IF($C687="","",IFERROR(INDEX(rngCadetPIDs,MATCH($C687,rngCadetNames,0)),"?"))</f>
        <v/>
      </c>
      <c r="E687" s="15">
        <f>IF($D687="","",IFERROR(INDEX(nrCadetAgency,MATCH($D687,rngCadetPIDs,0)),""))</f>
        <v/>
      </c>
      <c r="F687" s="14" t="n"/>
      <c r="G687" s="15">
        <f>IF($F687="","",IFERROR(INDEX(rngEPname,MATCH($F687,rngEPcode,0)),"?"))</f>
        <v/>
      </c>
      <c r="H687" s="15">
        <f>IF($F687="","",IFERROR(INDEX(rngEPtype,MATCH($F687,rngEPcode,0)),"?"))</f>
        <v/>
      </c>
      <c r="I687" s="15">
        <f>IF($F687="","",IFERROR(INDEX(rngEPseq,MATCH($F687,rngEPcode,0)),""))</f>
        <v/>
      </c>
      <c r="J687" s="15">
        <f>IF($F687="","",IFERROR(INDEX(rngEPpass,MATCH($F687,rngEPcode,0)),cfgPassingScore))</f>
        <v/>
      </c>
      <c r="K687" s="14" t="n"/>
      <c r="L687" s="14" t="n"/>
      <c r="M687" s="15">
        <f>IF($C687="","",IF($L687="","",IF($K687=1,IF(COUNTIFS(nrES_PID,$D687,nrES_Code,$F687,nrES_Att,2)&gt;0,"",$L687),IF(COUNTIFS(nrES_PID,$D687,nrES_Code,$F687,nrES_Att,1)=0,$L687,IF($L687&gt;=$J687,cfgRetakeRecordedCap,SUMIFS(nrES_Raw,nrES_PID,$D687,nrES_Code,$F687,nrES_Att,1))))))</f>
        <v/>
      </c>
      <c r="N687" s="15">
        <f>IF($C687="","",IF($L687="","",IF($L687&gt;=$J687,"Yes","No")))</f>
        <v/>
      </c>
      <c r="O687" s="15">
        <f>IF($C687="","",IF($M687="","",IF($M687&gt;=$J687,"Yes","No")))</f>
        <v/>
      </c>
      <c r="P687" s="15">
        <f>IF($C687="","",IF($K687="","",IF(COUNTIFS(nrES_PID,$D687,nrES_Code,$F687,nrES_Att,"&gt;"&amp;$K687)=0,"Yes","No")))</f>
        <v/>
      </c>
      <c r="Q687" s="15">
        <f>IF($C687="","",IF($L687="","",IF(AND($K687=1,$L687&lt;$J687,COUNTIFS(nrES_PID,$D687,nrES_Code,$F687,nrES_Att,2)=0),"Yes","No")))</f>
        <v/>
      </c>
      <c r="R687" s="15">
        <f>IF($C687="","",IF($L687="","",IF(AND($K687=2,$L687&lt;$J687,COUNTIFS(nrES_PID,$D687,nrES_Code,$F687,nrES_Att,1)&gt;0),"Yes","No")))</f>
        <v/>
      </c>
      <c r="S687" s="16" t="n"/>
      <c r="T687" s="17">
        <f>IF($Q687&lt;&gt;"Yes","",IF($S687="","(enter date)",_xlfn.LET(_xlpm.dn,IFERROR(_xlfn.XLOOKUP($S687,nrCDdate,nrCDnum),""),IF(_xlpm.dn="","(not a class day)",IFERROR(_xlfn.XLOOKUP(_xlpm.dn+cfgRetestClassDays,nrCDnum,nrCDdate),"")))))</f>
        <v/>
      </c>
      <c r="U687" s="15">
        <f>IF($Q687&lt;&gt;"Yes","",IF(COUNTIFS(nrES_PID,$D687,nrES_Code,$F687,nrES_Att,2)&gt;0,"Retested",IF(OR($T687="",NOT(ISNUMBER($T687))),"Pending",IF(TODAY()&gt;$T687,"OVERDUE","Due "&amp;TEXT($T687,"mm/dd")))))</f>
        <v/>
      </c>
      <c r="V687" s="14" t="n"/>
      <c r="W687" s="14" t="n"/>
    </row>
    <row r="688">
      <c r="B688" s="15">
        <f>IF($C688="","",$D688&amp;"-"&amp;$F688&amp;"-"&amp;$K688)</f>
        <v/>
      </c>
      <c r="C688" s="14" t="n"/>
      <c r="D688" s="15">
        <f>IF($C688="","",IFERROR(INDEX(rngCadetPIDs,MATCH($C688,rngCadetNames,0)),"?"))</f>
        <v/>
      </c>
      <c r="E688" s="15">
        <f>IF($D688="","",IFERROR(INDEX(nrCadetAgency,MATCH($D688,rngCadetPIDs,0)),""))</f>
        <v/>
      </c>
      <c r="F688" s="14" t="n"/>
      <c r="G688" s="15">
        <f>IF($F688="","",IFERROR(INDEX(rngEPname,MATCH($F688,rngEPcode,0)),"?"))</f>
        <v/>
      </c>
      <c r="H688" s="15">
        <f>IF($F688="","",IFERROR(INDEX(rngEPtype,MATCH($F688,rngEPcode,0)),"?"))</f>
        <v/>
      </c>
      <c r="I688" s="15">
        <f>IF($F688="","",IFERROR(INDEX(rngEPseq,MATCH($F688,rngEPcode,0)),""))</f>
        <v/>
      </c>
      <c r="J688" s="15">
        <f>IF($F688="","",IFERROR(INDEX(rngEPpass,MATCH($F688,rngEPcode,0)),cfgPassingScore))</f>
        <v/>
      </c>
      <c r="K688" s="14" t="n"/>
      <c r="L688" s="14" t="n"/>
      <c r="M688" s="15">
        <f>IF($C688="","",IF($L688="","",IF($K688=1,IF(COUNTIFS(nrES_PID,$D688,nrES_Code,$F688,nrES_Att,2)&gt;0,"",$L688),IF(COUNTIFS(nrES_PID,$D688,nrES_Code,$F688,nrES_Att,1)=0,$L688,IF($L688&gt;=$J688,cfgRetakeRecordedCap,SUMIFS(nrES_Raw,nrES_PID,$D688,nrES_Code,$F688,nrES_Att,1))))))</f>
        <v/>
      </c>
      <c r="N688" s="15">
        <f>IF($C688="","",IF($L688="","",IF($L688&gt;=$J688,"Yes","No")))</f>
        <v/>
      </c>
      <c r="O688" s="15">
        <f>IF($C688="","",IF($M688="","",IF($M688&gt;=$J688,"Yes","No")))</f>
        <v/>
      </c>
      <c r="P688" s="15">
        <f>IF($C688="","",IF($K688="","",IF(COUNTIFS(nrES_PID,$D688,nrES_Code,$F688,nrES_Att,"&gt;"&amp;$K688)=0,"Yes","No")))</f>
        <v/>
      </c>
      <c r="Q688" s="15">
        <f>IF($C688="","",IF($L688="","",IF(AND($K688=1,$L688&lt;$J688,COUNTIFS(nrES_PID,$D688,nrES_Code,$F688,nrES_Att,2)=0),"Yes","No")))</f>
        <v/>
      </c>
      <c r="R688" s="15">
        <f>IF($C688="","",IF($L688="","",IF(AND($K688=2,$L688&lt;$J688,COUNTIFS(nrES_PID,$D688,nrES_Code,$F688,nrES_Att,1)&gt;0),"Yes","No")))</f>
        <v/>
      </c>
      <c r="S688" s="16" t="n"/>
      <c r="T688" s="17">
        <f>IF($Q688&lt;&gt;"Yes","",IF($S688="","(enter date)",_xlfn.LET(_xlpm.dn,IFERROR(_xlfn.XLOOKUP($S688,nrCDdate,nrCDnum),""),IF(_xlpm.dn="","(not a class day)",IFERROR(_xlfn.XLOOKUP(_xlpm.dn+cfgRetestClassDays,nrCDnum,nrCDdate),"")))))</f>
        <v/>
      </c>
      <c r="U688" s="15">
        <f>IF($Q688&lt;&gt;"Yes","",IF(COUNTIFS(nrES_PID,$D688,nrES_Code,$F688,nrES_Att,2)&gt;0,"Retested",IF(OR($T688="",NOT(ISNUMBER($T688))),"Pending",IF(TODAY()&gt;$T688,"OVERDUE","Due "&amp;TEXT($T688,"mm/dd")))))</f>
        <v/>
      </c>
      <c r="V688" s="14" t="n"/>
      <c r="W688" s="14" t="n"/>
    </row>
    <row r="689">
      <c r="B689" s="15">
        <f>IF($C689="","",$D689&amp;"-"&amp;$F689&amp;"-"&amp;$K689)</f>
        <v/>
      </c>
      <c r="C689" s="14" t="n"/>
      <c r="D689" s="15">
        <f>IF($C689="","",IFERROR(INDEX(rngCadetPIDs,MATCH($C689,rngCadetNames,0)),"?"))</f>
        <v/>
      </c>
      <c r="E689" s="15">
        <f>IF($D689="","",IFERROR(INDEX(nrCadetAgency,MATCH($D689,rngCadetPIDs,0)),""))</f>
        <v/>
      </c>
      <c r="F689" s="14" t="n"/>
      <c r="G689" s="15">
        <f>IF($F689="","",IFERROR(INDEX(rngEPname,MATCH($F689,rngEPcode,0)),"?"))</f>
        <v/>
      </c>
      <c r="H689" s="15">
        <f>IF($F689="","",IFERROR(INDEX(rngEPtype,MATCH($F689,rngEPcode,0)),"?"))</f>
        <v/>
      </c>
      <c r="I689" s="15">
        <f>IF($F689="","",IFERROR(INDEX(rngEPseq,MATCH($F689,rngEPcode,0)),""))</f>
        <v/>
      </c>
      <c r="J689" s="15">
        <f>IF($F689="","",IFERROR(INDEX(rngEPpass,MATCH($F689,rngEPcode,0)),cfgPassingScore))</f>
        <v/>
      </c>
      <c r="K689" s="14" t="n"/>
      <c r="L689" s="14" t="n"/>
      <c r="M689" s="15">
        <f>IF($C689="","",IF($L689="","",IF($K689=1,IF(COUNTIFS(nrES_PID,$D689,nrES_Code,$F689,nrES_Att,2)&gt;0,"",$L689),IF(COUNTIFS(nrES_PID,$D689,nrES_Code,$F689,nrES_Att,1)=0,$L689,IF($L689&gt;=$J689,cfgRetakeRecordedCap,SUMIFS(nrES_Raw,nrES_PID,$D689,nrES_Code,$F689,nrES_Att,1))))))</f>
        <v/>
      </c>
      <c r="N689" s="15">
        <f>IF($C689="","",IF($L689="","",IF($L689&gt;=$J689,"Yes","No")))</f>
        <v/>
      </c>
      <c r="O689" s="15">
        <f>IF($C689="","",IF($M689="","",IF($M689&gt;=$J689,"Yes","No")))</f>
        <v/>
      </c>
      <c r="P689" s="15">
        <f>IF($C689="","",IF($K689="","",IF(COUNTIFS(nrES_PID,$D689,nrES_Code,$F689,nrES_Att,"&gt;"&amp;$K689)=0,"Yes","No")))</f>
        <v/>
      </c>
      <c r="Q689" s="15">
        <f>IF($C689="","",IF($L689="","",IF(AND($K689=1,$L689&lt;$J689,COUNTIFS(nrES_PID,$D689,nrES_Code,$F689,nrES_Att,2)=0),"Yes","No")))</f>
        <v/>
      </c>
      <c r="R689" s="15">
        <f>IF($C689="","",IF($L689="","",IF(AND($K689=2,$L689&lt;$J689,COUNTIFS(nrES_PID,$D689,nrES_Code,$F689,nrES_Att,1)&gt;0),"Yes","No")))</f>
        <v/>
      </c>
      <c r="S689" s="16" t="n"/>
      <c r="T689" s="17">
        <f>IF($Q689&lt;&gt;"Yes","",IF($S689="","(enter date)",_xlfn.LET(_xlpm.dn,IFERROR(_xlfn.XLOOKUP($S689,nrCDdate,nrCDnum),""),IF(_xlpm.dn="","(not a class day)",IFERROR(_xlfn.XLOOKUP(_xlpm.dn+cfgRetestClassDays,nrCDnum,nrCDdate),"")))))</f>
        <v/>
      </c>
      <c r="U689" s="15">
        <f>IF($Q689&lt;&gt;"Yes","",IF(COUNTIFS(nrES_PID,$D689,nrES_Code,$F689,nrES_Att,2)&gt;0,"Retested",IF(OR($T689="",NOT(ISNUMBER($T689))),"Pending",IF(TODAY()&gt;$T689,"OVERDUE","Due "&amp;TEXT($T689,"mm/dd")))))</f>
        <v/>
      </c>
      <c r="V689" s="14" t="n"/>
      <c r="W689" s="14" t="n"/>
    </row>
    <row r="690">
      <c r="B690" s="15">
        <f>IF($C690="","",$D690&amp;"-"&amp;$F690&amp;"-"&amp;$K690)</f>
        <v/>
      </c>
      <c r="C690" s="14" t="n"/>
      <c r="D690" s="15">
        <f>IF($C690="","",IFERROR(INDEX(rngCadetPIDs,MATCH($C690,rngCadetNames,0)),"?"))</f>
        <v/>
      </c>
      <c r="E690" s="15">
        <f>IF($D690="","",IFERROR(INDEX(nrCadetAgency,MATCH($D690,rngCadetPIDs,0)),""))</f>
        <v/>
      </c>
      <c r="F690" s="14" t="n"/>
      <c r="G690" s="15">
        <f>IF($F690="","",IFERROR(INDEX(rngEPname,MATCH($F690,rngEPcode,0)),"?"))</f>
        <v/>
      </c>
      <c r="H690" s="15">
        <f>IF($F690="","",IFERROR(INDEX(rngEPtype,MATCH($F690,rngEPcode,0)),"?"))</f>
        <v/>
      </c>
      <c r="I690" s="15">
        <f>IF($F690="","",IFERROR(INDEX(rngEPseq,MATCH($F690,rngEPcode,0)),""))</f>
        <v/>
      </c>
      <c r="J690" s="15">
        <f>IF($F690="","",IFERROR(INDEX(rngEPpass,MATCH($F690,rngEPcode,0)),cfgPassingScore))</f>
        <v/>
      </c>
      <c r="K690" s="14" t="n"/>
      <c r="L690" s="14" t="n"/>
      <c r="M690" s="15">
        <f>IF($C690="","",IF($L690="","",IF($K690=1,IF(COUNTIFS(nrES_PID,$D690,nrES_Code,$F690,nrES_Att,2)&gt;0,"",$L690),IF(COUNTIFS(nrES_PID,$D690,nrES_Code,$F690,nrES_Att,1)=0,$L690,IF($L690&gt;=$J690,cfgRetakeRecordedCap,SUMIFS(nrES_Raw,nrES_PID,$D690,nrES_Code,$F690,nrES_Att,1))))))</f>
        <v/>
      </c>
      <c r="N690" s="15">
        <f>IF($C690="","",IF($L690="","",IF($L690&gt;=$J690,"Yes","No")))</f>
        <v/>
      </c>
      <c r="O690" s="15">
        <f>IF($C690="","",IF($M690="","",IF($M690&gt;=$J690,"Yes","No")))</f>
        <v/>
      </c>
      <c r="P690" s="15">
        <f>IF($C690="","",IF($K690="","",IF(COUNTIFS(nrES_PID,$D690,nrES_Code,$F690,nrES_Att,"&gt;"&amp;$K690)=0,"Yes","No")))</f>
        <v/>
      </c>
      <c r="Q690" s="15">
        <f>IF($C690="","",IF($L690="","",IF(AND($K690=1,$L690&lt;$J690,COUNTIFS(nrES_PID,$D690,nrES_Code,$F690,nrES_Att,2)=0),"Yes","No")))</f>
        <v/>
      </c>
      <c r="R690" s="15">
        <f>IF($C690="","",IF($L690="","",IF(AND($K690=2,$L690&lt;$J690,COUNTIFS(nrES_PID,$D690,nrES_Code,$F690,nrES_Att,1)&gt;0),"Yes","No")))</f>
        <v/>
      </c>
      <c r="S690" s="16" t="n"/>
      <c r="T690" s="17">
        <f>IF($Q690&lt;&gt;"Yes","",IF($S690="","(enter date)",_xlfn.LET(_xlpm.dn,IFERROR(_xlfn.XLOOKUP($S690,nrCDdate,nrCDnum),""),IF(_xlpm.dn="","(not a class day)",IFERROR(_xlfn.XLOOKUP(_xlpm.dn+cfgRetestClassDays,nrCDnum,nrCDdate),"")))))</f>
        <v/>
      </c>
      <c r="U690" s="15">
        <f>IF($Q690&lt;&gt;"Yes","",IF(COUNTIFS(nrES_PID,$D690,nrES_Code,$F690,nrES_Att,2)&gt;0,"Retested",IF(OR($T690="",NOT(ISNUMBER($T690))),"Pending",IF(TODAY()&gt;$T690,"OVERDUE","Due "&amp;TEXT($T690,"mm/dd")))))</f>
        <v/>
      </c>
      <c r="V690" s="14" t="n"/>
      <c r="W690" s="14" t="n"/>
    </row>
    <row r="691">
      <c r="B691" s="15">
        <f>IF($C691="","",$D691&amp;"-"&amp;$F691&amp;"-"&amp;$K691)</f>
        <v/>
      </c>
      <c r="C691" s="14" t="n"/>
      <c r="D691" s="15">
        <f>IF($C691="","",IFERROR(INDEX(rngCadetPIDs,MATCH($C691,rngCadetNames,0)),"?"))</f>
        <v/>
      </c>
      <c r="E691" s="15">
        <f>IF($D691="","",IFERROR(INDEX(nrCadetAgency,MATCH($D691,rngCadetPIDs,0)),""))</f>
        <v/>
      </c>
      <c r="F691" s="14" t="n"/>
      <c r="G691" s="15">
        <f>IF($F691="","",IFERROR(INDEX(rngEPname,MATCH($F691,rngEPcode,0)),"?"))</f>
        <v/>
      </c>
      <c r="H691" s="15">
        <f>IF($F691="","",IFERROR(INDEX(rngEPtype,MATCH($F691,rngEPcode,0)),"?"))</f>
        <v/>
      </c>
      <c r="I691" s="15">
        <f>IF($F691="","",IFERROR(INDEX(rngEPseq,MATCH($F691,rngEPcode,0)),""))</f>
        <v/>
      </c>
      <c r="J691" s="15">
        <f>IF($F691="","",IFERROR(INDEX(rngEPpass,MATCH($F691,rngEPcode,0)),cfgPassingScore))</f>
        <v/>
      </c>
      <c r="K691" s="14" t="n"/>
      <c r="L691" s="14" t="n"/>
      <c r="M691" s="15">
        <f>IF($C691="","",IF($L691="","",IF($K691=1,IF(COUNTIFS(nrES_PID,$D691,nrES_Code,$F691,nrES_Att,2)&gt;0,"",$L691),IF(COUNTIFS(nrES_PID,$D691,nrES_Code,$F691,nrES_Att,1)=0,$L691,IF($L691&gt;=$J691,cfgRetakeRecordedCap,SUMIFS(nrES_Raw,nrES_PID,$D691,nrES_Code,$F691,nrES_Att,1))))))</f>
        <v/>
      </c>
      <c r="N691" s="15">
        <f>IF($C691="","",IF($L691="","",IF($L691&gt;=$J691,"Yes","No")))</f>
        <v/>
      </c>
      <c r="O691" s="15">
        <f>IF($C691="","",IF($M691="","",IF($M691&gt;=$J691,"Yes","No")))</f>
        <v/>
      </c>
      <c r="P691" s="15">
        <f>IF($C691="","",IF($K691="","",IF(COUNTIFS(nrES_PID,$D691,nrES_Code,$F691,nrES_Att,"&gt;"&amp;$K691)=0,"Yes","No")))</f>
        <v/>
      </c>
      <c r="Q691" s="15">
        <f>IF($C691="","",IF($L691="","",IF(AND($K691=1,$L691&lt;$J691,COUNTIFS(nrES_PID,$D691,nrES_Code,$F691,nrES_Att,2)=0),"Yes","No")))</f>
        <v/>
      </c>
      <c r="R691" s="15">
        <f>IF($C691="","",IF($L691="","",IF(AND($K691=2,$L691&lt;$J691,COUNTIFS(nrES_PID,$D691,nrES_Code,$F691,nrES_Att,1)&gt;0),"Yes","No")))</f>
        <v/>
      </c>
      <c r="S691" s="16" t="n"/>
      <c r="T691" s="17">
        <f>IF($Q691&lt;&gt;"Yes","",IF($S691="","(enter date)",_xlfn.LET(_xlpm.dn,IFERROR(_xlfn.XLOOKUP($S691,nrCDdate,nrCDnum),""),IF(_xlpm.dn="","(not a class day)",IFERROR(_xlfn.XLOOKUP(_xlpm.dn+cfgRetestClassDays,nrCDnum,nrCDdate),"")))))</f>
        <v/>
      </c>
      <c r="U691" s="15">
        <f>IF($Q691&lt;&gt;"Yes","",IF(COUNTIFS(nrES_PID,$D691,nrES_Code,$F691,nrES_Att,2)&gt;0,"Retested",IF(OR($T691="",NOT(ISNUMBER($T691))),"Pending",IF(TODAY()&gt;$T691,"OVERDUE","Due "&amp;TEXT($T691,"mm/dd")))))</f>
        <v/>
      </c>
      <c r="V691" s="14" t="n"/>
      <c r="W691" s="14" t="n"/>
    </row>
    <row r="692">
      <c r="B692" s="15">
        <f>IF($C692="","",$D692&amp;"-"&amp;$F692&amp;"-"&amp;$K692)</f>
        <v/>
      </c>
      <c r="C692" s="14" t="n"/>
      <c r="D692" s="15">
        <f>IF($C692="","",IFERROR(INDEX(rngCadetPIDs,MATCH($C692,rngCadetNames,0)),"?"))</f>
        <v/>
      </c>
      <c r="E692" s="15">
        <f>IF($D692="","",IFERROR(INDEX(nrCadetAgency,MATCH($D692,rngCadetPIDs,0)),""))</f>
        <v/>
      </c>
      <c r="F692" s="14" t="n"/>
      <c r="G692" s="15">
        <f>IF($F692="","",IFERROR(INDEX(rngEPname,MATCH($F692,rngEPcode,0)),"?"))</f>
        <v/>
      </c>
      <c r="H692" s="15">
        <f>IF($F692="","",IFERROR(INDEX(rngEPtype,MATCH($F692,rngEPcode,0)),"?"))</f>
        <v/>
      </c>
      <c r="I692" s="15">
        <f>IF($F692="","",IFERROR(INDEX(rngEPseq,MATCH($F692,rngEPcode,0)),""))</f>
        <v/>
      </c>
      <c r="J692" s="15">
        <f>IF($F692="","",IFERROR(INDEX(rngEPpass,MATCH($F692,rngEPcode,0)),cfgPassingScore))</f>
        <v/>
      </c>
      <c r="K692" s="14" t="n"/>
      <c r="L692" s="14" t="n"/>
      <c r="M692" s="15">
        <f>IF($C692="","",IF($L692="","",IF($K692=1,IF(COUNTIFS(nrES_PID,$D692,nrES_Code,$F692,nrES_Att,2)&gt;0,"",$L692),IF(COUNTIFS(nrES_PID,$D692,nrES_Code,$F692,nrES_Att,1)=0,$L692,IF($L692&gt;=$J692,cfgRetakeRecordedCap,SUMIFS(nrES_Raw,nrES_PID,$D692,nrES_Code,$F692,nrES_Att,1))))))</f>
        <v/>
      </c>
      <c r="N692" s="15">
        <f>IF($C692="","",IF($L692="","",IF($L692&gt;=$J692,"Yes","No")))</f>
        <v/>
      </c>
      <c r="O692" s="15">
        <f>IF($C692="","",IF($M692="","",IF($M692&gt;=$J692,"Yes","No")))</f>
        <v/>
      </c>
      <c r="P692" s="15">
        <f>IF($C692="","",IF($K692="","",IF(COUNTIFS(nrES_PID,$D692,nrES_Code,$F692,nrES_Att,"&gt;"&amp;$K692)=0,"Yes","No")))</f>
        <v/>
      </c>
      <c r="Q692" s="15">
        <f>IF($C692="","",IF($L692="","",IF(AND($K692=1,$L692&lt;$J692,COUNTIFS(nrES_PID,$D692,nrES_Code,$F692,nrES_Att,2)=0),"Yes","No")))</f>
        <v/>
      </c>
      <c r="R692" s="15">
        <f>IF($C692="","",IF($L692="","",IF(AND($K692=2,$L692&lt;$J692,COUNTIFS(nrES_PID,$D692,nrES_Code,$F692,nrES_Att,1)&gt;0),"Yes","No")))</f>
        <v/>
      </c>
      <c r="S692" s="16" t="n"/>
      <c r="T692" s="17">
        <f>IF($Q692&lt;&gt;"Yes","",IF($S692="","(enter date)",_xlfn.LET(_xlpm.dn,IFERROR(_xlfn.XLOOKUP($S692,nrCDdate,nrCDnum),""),IF(_xlpm.dn="","(not a class day)",IFERROR(_xlfn.XLOOKUP(_xlpm.dn+cfgRetestClassDays,nrCDnum,nrCDdate),"")))))</f>
        <v/>
      </c>
      <c r="U692" s="15">
        <f>IF($Q692&lt;&gt;"Yes","",IF(COUNTIFS(nrES_PID,$D692,nrES_Code,$F692,nrES_Att,2)&gt;0,"Retested",IF(OR($T692="",NOT(ISNUMBER($T692))),"Pending",IF(TODAY()&gt;$T692,"OVERDUE","Due "&amp;TEXT($T692,"mm/dd")))))</f>
        <v/>
      </c>
      <c r="V692" s="14" t="n"/>
      <c r="W692" s="14" t="n"/>
    </row>
    <row r="693">
      <c r="B693" s="15">
        <f>IF($C693="","",$D693&amp;"-"&amp;$F693&amp;"-"&amp;$K693)</f>
        <v/>
      </c>
      <c r="C693" s="14" t="n"/>
      <c r="D693" s="15">
        <f>IF($C693="","",IFERROR(INDEX(rngCadetPIDs,MATCH($C693,rngCadetNames,0)),"?"))</f>
        <v/>
      </c>
      <c r="E693" s="15">
        <f>IF($D693="","",IFERROR(INDEX(nrCadetAgency,MATCH($D693,rngCadetPIDs,0)),""))</f>
        <v/>
      </c>
      <c r="F693" s="14" t="n"/>
      <c r="G693" s="15">
        <f>IF($F693="","",IFERROR(INDEX(rngEPname,MATCH($F693,rngEPcode,0)),"?"))</f>
        <v/>
      </c>
      <c r="H693" s="15">
        <f>IF($F693="","",IFERROR(INDEX(rngEPtype,MATCH($F693,rngEPcode,0)),"?"))</f>
        <v/>
      </c>
      <c r="I693" s="15">
        <f>IF($F693="","",IFERROR(INDEX(rngEPseq,MATCH($F693,rngEPcode,0)),""))</f>
        <v/>
      </c>
      <c r="J693" s="15">
        <f>IF($F693="","",IFERROR(INDEX(rngEPpass,MATCH($F693,rngEPcode,0)),cfgPassingScore))</f>
        <v/>
      </c>
      <c r="K693" s="14" t="n"/>
      <c r="L693" s="14" t="n"/>
      <c r="M693" s="15">
        <f>IF($C693="","",IF($L693="","",IF($K693=1,IF(COUNTIFS(nrES_PID,$D693,nrES_Code,$F693,nrES_Att,2)&gt;0,"",$L693),IF(COUNTIFS(nrES_PID,$D693,nrES_Code,$F693,nrES_Att,1)=0,$L693,IF($L693&gt;=$J693,cfgRetakeRecordedCap,SUMIFS(nrES_Raw,nrES_PID,$D693,nrES_Code,$F693,nrES_Att,1))))))</f>
        <v/>
      </c>
      <c r="N693" s="15">
        <f>IF($C693="","",IF($L693="","",IF($L693&gt;=$J693,"Yes","No")))</f>
        <v/>
      </c>
      <c r="O693" s="15">
        <f>IF($C693="","",IF($M693="","",IF($M693&gt;=$J693,"Yes","No")))</f>
        <v/>
      </c>
      <c r="P693" s="15">
        <f>IF($C693="","",IF($K693="","",IF(COUNTIFS(nrES_PID,$D693,nrES_Code,$F693,nrES_Att,"&gt;"&amp;$K693)=0,"Yes","No")))</f>
        <v/>
      </c>
      <c r="Q693" s="15">
        <f>IF($C693="","",IF($L693="","",IF(AND($K693=1,$L693&lt;$J693,COUNTIFS(nrES_PID,$D693,nrES_Code,$F693,nrES_Att,2)=0),"Yes","No")))</f>
        <v/>
      </c>
      <c r="R693" s="15">
        <f>IF($C693="","",IF($L693="","",IF(AND($K693=2,$L693&lt;$J693,COUNTIFS(nrES_PID,$D693,nrES_Code,$F693,nrES_Att,1)&gt;0),"Yes","No")))</f>
        <v/>
      </c>
      <c r="S693" s="16" t="n"/>
      <c r="T693" s="17">
        <f>IF($Q693&lt;&gt;"Yes","",IF($S693="","(enter date)",_xlfn.LET(_xlpm.dn,IFERROR(_xlfn.XLOOKUP($S693,nrCDdate,nrCDnum),""),IF(_xlpm.dn="","(not a class day)",IFERROR(_xlfn.XLOOKUP(_xlpm.dn+cfgRetestClassDays,nrCDnum,nrCDdate),"")))))</f>
        <v/>
      </c>
      <c r="U693" s="15">
        <f>IF($Q693&lt;&gt;"Yes","",IF(COUNTIFS(nrES_PID,$D693,nrES_Code,$F693,nrES_Att,2)&gt;0,"Retested",IF(OR($T693="",NOT(ISNUMBER($T693))),"Pending",IF(TODAY()&gt;$T693,"OVERDUE","Due "&amp;TEXT($T693,"mm/dd")))))</f>
        <v/>
      </c>
      <c r="V693" s="14" t="n"/>
      <c r="W693" s="14" t="n"/>
    </row>
    <row r="694">
      <c r="B694" s="15">
        <f>IF($C694="","",$D694&amp;"-"&amp;$F694&amp;"-"&amp;$K694)</f>
        <v/>
      </c>
      <c r="C694" s="14" t="n"/>
      <c r="D694" s="15">
        <f>IF($C694="","",IFERROR(INDEX(rngCadetPIDs,MATCH($C694,rngCadetNames,0)),"?"))</f>
        <v/>
      </c>
      <c r="E694" s="15">
        <f>IF($D694="","",IFERROR(INDEX(nrCadetAgency,MATCH($D694,rngCadetPIDs,0)),""))</f>
        <v/>
      </c>
      <c r="F694" s="14" t="n"/>
      <c r="G694" s="15">
        <f>IF($F694="","",IFERROR(INDEX(rngEPname,MATCH($F694,rngEPcode,0)),"?"))</f>
        <v/>
      </c>
      <c r="H694" s="15">
        <f>IF($F694="","",IFERROR(INDEX(rngEPtype,MATCH($F694,rngEPcode,0)),"?"))</f>
        <v/>
      </c>
      <c r="I694" s="15">
        <f>IF($F694="","",IFERROR(INDEX(rngEPseq,MATCH($F694,rngEPcode,0)),""))</f>
        <v/>
      </c>
      <c r="J694" s="15">
        <f>IF($F694="","",IFERROR(INDEX(rngEPpass,MATCH($F694,rngEPcode,0)),cfgPassingScore))</f>
        <v/>
      </c>
      <c r="K694" s="14" t="n"/>
      <c r="L694" s="14" t="n"/>
      <c r="M694" s="15">
        <f>IF($C694="","",IF($L694="","",IF($K694=1,IF(COUNTIFS(nrES_PID,$D694,nrES_Code,$F694,nrES_Att,2)&gt;0,"",$L694),IF(COUNTIFS(nrES_PID,$D694,nrES_Code,$F694,nrES_Att,1)=0,$L694,IF($L694&gt;=$J694,cfgRetakeRecordedCap,SUMIFS(nrES_Raw,nrES_PID,$D694,nrES_Code,$F694,nrES_Att,1))))))</f>
        <v/>
      </c>
      <c r="N694" s="15">
        <f>IF($C694="","",IF($L694="","",IF($L694&gt;=$J694,"Yes","No")))</f>
        <v/>
      </c>
      <c r="O694" s="15">
        <f>IF($C694="","",IF($M694="","",IF($M694&gt;=$J694,"Yes","No")))</f>
        <v/>
      </c>
      <c r="P694" s="15">
        <f>IF($C694="","",IF($K694="","",IF(COUNTIFS(nrES_PID,$D694,nrES_Code,$F694,nrES_Att,"&gt;"&amp;$K694)=0,"Yes","No")))</f>
        <v/>
      </c>
      <c r="Q694" s="15">
        <f>IF($C694="","",IF($L694="","",IF(AND($K694=1,$L694&lt;$J694,COUNTIFS(nrES_PID,$D694,nrES_Code,$F694,nrES_Att,2)=0),"Yes","No")))</f>
        <v/>
      </c>
      <c r="R694" s="15">
        <f>IF($C694="","",IF($L694="","",IF(AND($K694=2,$L694&lt;$J694,COUNTIFS(nrES_PID,$D694,nrES_Code,$F694,nrES_Att,1)&gt;0),"Yes","No")))</f>
        <v/>
      </c>
      <c r="S694" s="16" t="n"/>
      <c r="T694" s="17">
        <f>IF($Q694&lt;&gt;"Yes","",IF($S694="","(enter date)",_xlfn.LET(_xlpm.dn,IFERROR(_xlfn.XLOOKUP($S694,nrCDdate,nrCDnum),""),IF(_xlpm.dn="","(not a class day)",IFERROR(_xlfn.XLOOKUP(_xlpm.dn+cfgRetestClassDays,nrCDnum,nrCDdate),"")))))</f>
        <v/>
      </c>
      <c r="U694" s="15">
        <f>IF($Q694&lt;&gt;"Yes","",IF(COUNTIFS(nrES_PID,$D694,nrES_Code,$F694,nrES_Att,2)&gt;0,"Retested",IF(OR($T694="",NOT(ISNUMBER($T694))),"Pending",IF(TODAY()&gt;$T694,"OVERDUE","Due "&amp;TEXT($T694,"mm/dd")))))</f>
        <v/>
      </c>
      <c r="V694" s="14" t="n"/>
      <c r="W694" s="14" t="n"/>
    </row>
    <row r="695">
      <c r="B695" s="15">
        <f>IF($C695="","",$D695&amp;"-"&amp;$F695&amp;"-"&amp;$K695)</f>
        <v/>
      </c>
      <c r="C695" s="14" t="n"/>
      <c r="D695" s="15">
        <f>IF($C695="","",IFERROR(INDEX(rngCadetPIDs,MATCH($C695,rngCadetNames,0)),"?"))</f>
        <v/>
      </c>
      <c r="E695" s="15">
        <f>IF($D695="","",IFERROR(INDEX(nrCadetAgency,MATCH($D695,rngCadetPIDs,0)),""))</f>
        <v/>
      </c>
      <c r="F695" s="14" t="n"/>
      <c r="G695" s="15">
        <f>IF($F695="","",IFERROR(INDEX(rngEPname,MATCH($F695,rngEPcode,0)),"?"))</f>
        <v/>
      </c>
      <c r="H695" s="15">
        <f>IF($F695="","",IFERROR(INDEX(rngEPtype,MATCH($F695,rngEPcode,0)),"?"))</f>
        <v/>
      </c>
      <c r="I695" s="15">
        <f>IF($F695="","",IFERROR(INDEX(rngEPseq,MATCH($F695,rngEPcode,0)),""))</f>
        <v/>
      </c>
      <c r="J695" s="15">
        <f>IF($F695="","",IFERROR(INDEX(rngEPpass,MATCH($F695,rngEPcode,0)),cfgPassingScore))</f>
        <v/>
      </c>
      <c r="K695" s="14" t="n"/>
      <c r="L695" s="14" t="n"/>
      <c r="M695" s="15">
        <f>IF($C695="","",IF($L695="","",IF($K695=1,IF(COUNTIFS(nrES_PID,$D695,nrES_Code,$F695,nrES_Att,2)&gt;0,"",$L695),IF(COUNTIFS(nrES_PID,$D695,nrES_Code,$F695,nrES_Att,1)=0,$L695,IF($L695&gt;=$J695,cfgRetakeRecordedCap,SUMIFS(nrES_Raw,nrES_PID,$D695,nrES_Code,$F695,nrES_Att,1))))))</f>
        <v/>
      </c>
      <c r="N695" s="15">
        <f>IF($C695="","",IF($L695="","",IF($L695&gt;=$J695,"Yes","No")))</f>
        <v/>
      </c>
      <c r="O695" s="15">
        <f>IF($C695="","",IF($M695="","",IF($M695&gt;=$J695,"Yes","No")))</f>
        <v/>
      </c>
      <c r="P695" s="15">
        <f>IF($C695="","",IF($K695="","",IF(COUNTIFS(nrES_PID,$D695,nrES_Code,$F695,nrES_Att,"&gt;"&amp;$K695)=0,"Yes","No")))</f>
        <v/>
      </c>
      <c r="Q695" s="15">
        <f>IF($C695="","",IF($L695="","",IF(AND($K695=1,$L695&lt;$J695,COUNTIFS(nrES_PID,$D695,nrES_Code,$F695,nrES_Att,2)=0),"Yes","No")))</f>
        <v/>
      </c>
      <c r="R695" s="15">
        <f>IF($C695="","",IF($L695="","",IF(AND($K695=2,$L695&lt;$J695,COUNTIFS(nrES_PID,$D695,nrES_Code,$F695,nrES_Att,1)&gt;0),"Yes","No")))</f>
        <v/>
      </c>
      <c r="S695" s="16" t="n"/>
      <c r="T695" s="17">
        <f>IF($Q695&lt;&gt;"Yes","",IF($S695="","(enter date)",_xlfn.LET(_xlpm.dn,IFERROR(_xlfn.XLOOKUP($S695,nrCDdate,nrCDnum),""),IF(_xlpm.dn="","(not a class day)",IFERROR(_xlfn.XLOOKUP(_xlpm.dn+cfgRetestClassDays,nrCDnum,nrCDdate),"")))))</f>
        <v/>
      </c>
      <c r="U695" s="15">
        <f>IF($Q695&lt;&gt;"Yes","",IF(COUNTIFS(nrES_PID,$D695,nrES_Code,$F695,nrES_Att,2)&gt;0,"Retested",IF(OR($T695="",NOT(ISNUMBER($T695))),"Pending",IF(TODAY()&gt;$T695,"OVERDUE","Due "&amp;TEXT($T695,"mm/dd")))))</f>
        <v/>
      </c>
      <c r="V695" s="14" t="n"/>
      <c r="W695" s="14" t="n"/>
    </row>
    <row r="696">
      <c r="B696" s="15">
        <f>IF($C696="","",$D696&amp;"-"&amp;$F696&amp;"-"&amp;$K696)</f>
        <v/>
      </c>
      <c r="C696" s="14" t="n"/>
      <c r="D696" s="15">
        <f>IF($C696="","",IFERROR(INDEX(rngCadetPIDs,MATCH($C696,rngCadetNames,0)),"?"))</f>
        <v/>
      </c>
      <c r="E696" s="15">
        <f>IF($D696="","",IFERROR(INDEX(nrCadetAgency,MATCH($D696,rngCadetPIDs,0)),""))</f>
        <v/>
      </c>
      <c r="F696" s="14" t="n"/>
      <c r="G696" s="15">
        <f>IF($F696="","",IFERROR(INDEX(rngEPname,MATCH($F696,rngEPcode,0)),"?"))</f>
        <v/>
      </c>
      <c r="H696" s="15">
        <f>IF($F696="","",IFERROR(INDEX(rngEPtype,MATCH($F696,rngEPcode,0)),"?"))</f>
        <v/>
      </c>
      <c r="I696" s="15">
        <f>IF($F696="","",IFERROR(INDEX(rngEPseq,MATCH($F696,rngEPcode,0)),""))</f>
        <v/>
      </c>
      <c r="J696" s="15">
        <f>IF($F696="","",IFERROR(INDEX(rngEPpass,MATCH($F696,rngEPcode,0)),cfgPassingScore))</f>
        <v/>
      </c>
      <c r="K696" s="14" t="n"/>
      <c r="L696" s="14" t="n"/>
      <c r="M696" s="15">
        <f>IF($C696="","",IF($L696="","",IF($K696=1,IF(COUNTIFS(nrES_PID,$D696,nrES_Code,$F696,nrES_Att,2)&gt;0,"",$L696),IF(COUNTIFS(nrES_PID,$D696,nrES_Code,$F696,nrES_Att,1)=0,$L696,IF($L696&gt;=$J696,cfgRetakeRecordedCap,SUMIFS(nrES_Raw,nrES_PID,$D696,nrES_Code,$F696,nrES_Att,1))))))</f>
        <v/>
      </c>
      <c r="N696" s="15">
        <f>IF($C696="","",IF($L696="","",IF($L696&gt;=$J696,"Yes","No")))</f>
        <v/>
      </c>
      <c r="O696" s="15">
        <f>IF($C696="","",IF($M696="","",IF($M696&gt;=$J696,"Yes","No")))</f>
        <v/>
      </c>
      <c r="P696" s="15">
        <f>IF($C696="","",IF($K696="","",IF(COUNTIFS(nrES_PID,$D696,nrES_Code,$F696,nrES_Att,"&gt;"&amp;$K696)=0,"Yes","No")))</f>
        <v/>
      </c>
      <c r="Q696" s="15">
        <f>IF($C696="","",IF($L696="","",IF(AND($K696=1,$L696&lt;$J696,COUNTIFS(nrES_PID,$D696,nrES_Code,$F696,nrES_Att,2)=0),"Yes","No")))</f>
        <v/>
      </c>
      <c r="R696" s="15">
        <f>IF($C696="","",IF($L696="","",IF(AND($K696=2,$L696&lt;$J696,COUNTIFS(nrES_PID,$D696,nrES_Code,$F696,nrES_Att,1)&gt;0),"Yes","No")))</f>
        <v/>
      </c>
      <c r="S696" s="16" t="n"/>
      <c r="T696" s="17">
        <f>IF($Q696&lt;&gt;"Yes","",IF($S696="","(enter date)",_xlfn.LET(_xlpm.dn,IFERROR(_xlfn.XLOOKUP($S696,nrCDdate,nrCDnum),""),IF(_xlpm.dn="","(not a class day)",IFERROR(_xlfn.XLOOKUP(_xlpm.dn+cfgRetestClassDays,nrCDnum,nrCDdate),"")))))</f>
        <v/>
      </c>
      <c r="U696" s="15">
        <f>IF($Q696&lt;&gt;"Yes","",IF(COUNTIFS(nrES_PID,$D696,nrES_Code,$F696,nrES_Att,2)&gt;0,"Retested",IF(OR($T696="",NOT(ISNUMBER($T696))),"Pending",IF(TODAY()&gt;$T696,"OVERDUE","Due "&amp;TEXT($T696,"mm/dd")))))</f>
        <v/>
      </c>
      <c r="V696" s="14" t="n"/>
      <c r="W696" s="14" t="n"/>
    </row>
    <row r="697">
      <c r="B697" s="15">
        <f>IF($C697="","",$D697&amp;"-"&amp;$F697&amp;"-"&amp;$K697)</f>
        <v/>
      </c>
      <c r="C697" s="14" t="n"/>
      <c r="D697" s="15">
        <f>IF($C697="","",IFERROR(INDEX(rngCadetPIDs,MATCH($C697,rngCadetNames,0)),"?"))</f>
        <v/>
      </c>
      <c r="E697" s="15">
        <f>IF($D697="","",IFERROR(INDEX(nrCadetAgency,MATCH($D697,rngCadetPIDs,0)),""))</f>
        <v/>
      </c>
      <c r="F697" s="14" t="n"/>
      <c r="G697" s="15">
        <f>IF($F697="","",IFERROR(INDEX(rngEPname,MATCH($F697,rngEPcode,0)),"?"))</f>
        <v/>
      </c>
      <c r="H697" s="15">
        <f>IF($F697="","",IFERROR(INDEX(rngEPtype,MATCH($F697,rngEPcode,0)),"?"))</f>
        <v/>
      </c>
      <c r="I697" s="15">
        <f>IF($F697="","",IFERROR(INDEX(rngEPseq,MATCH($F697,rngEPcode,0)),""))</f>
        <v/>
      </c>
      <c r="J697" s="15">
        <f>IF($F697="","",IFERROR(INDEX(rngEPpass,MATCH($F697,rngEPcode,0)),cfgPassingScore))</f>
        <v/>
      </c>
      <c r="K697" s="14" t="n"/>
      <c r="L697" s="14" t="n"/>
      <c r="M697" s="15">
        <f>IF($C697="","",IF($L697="","",IF($K697=1,IF(COUNTIFS(nrES_PID,$D697,nrES_Code,$F697,nrES_Att,2)&gt;0,"",$L697),IF(COUNTIFS(nrES_PID,$D697,nrES_Code,$F697,nrES_Att,1)=0,$L697,IF($L697&gt;=$J697,cfgRetakeRecordedCap,SUMIFS(nrES_Raw,nrES_PID,$D697,nrES_Code,$F697,nrES_Att,1))))))</f>
        <v/>
      </c>
      <c r="N697" s="15">
        <f>IF($C697="","",IF($L697="","",IF($L697&gt;=$J697,"Yes","No")))</f>
        <v/>
      </c>
      <c r="O697" s="15">
        <f>IF($C697="","",IF($M697="","",IF($M697&gt;=$J697,"Yes","No")))</f>
        <v/>
      </c>
      <c r="P697" s="15">
        <f>IF($C697="","",IF($K697="","",IF(COUNTIFS(nrES_PID,$D697,nrES_Code,$F697,nrES_Att,"&gt;"&amp;$K697)=0,"Yes","No")))</f>
        <v/>
      </c>
      <c r="Q697" s="15">
        <f>IF($C697="","",IF($L697="","",IF(AND($K697=1,$L697&lt;$J697,COUNTIFS(nrES_PID,$D697,nrES_Code,$F697,nrES_Att,2)=0),"Yes","No")))</f>
        <v/>
      </c>
      <c r="R697" s="15">
        <f>IF($C697="","",IF($L697="","",IF(AND($K697=2,$L697&lt;$J697,COUNTIFS(nrES_PID,$D697,nrES_Code,$F697,nrES_Att,1)&gt;0),"Yes","No")))</f>
        <v/>
      </c>
      <c r="S697" s="16" t="n"/>
      <c r="T697" s="17">
        <f>IF($Q697&lt;&gt;"Yes","",IF($S697="","(enter date)",_xlfn.LET(_xlpm.dn,IFERROR(_xlfn.XLOOKUP($S697,nrCDdate,nrCDnum),""),IF(_xlpm.dn="","(not a class day)",IFERROR(_xlfn.XLOOKUP(_xlpm.dn+cfgRetestClassDays,nrCDnum,nrCDdate),"")))))</f>
        <v/>
      </c>
      <c r="U697" s="15">
        <f>IF($Q697&lt;&gt;"Yes","",IF(COUNTIFS(nrES_PID,$D697,nrES_Code,$F697,nrES_Att,2)&gt;0,"Retested",IF(OR($T697="",NOT(ISNUMBER($T697))),"Pending",IF(TODAY()&gt;$T697,"OVERDUE","Due "&amp;TEXT($T697,"mm/dd")))))</f>
        <v/>
      </c>
      <c r="V697" s="14" t="n"/>
      <c r="W697" s="14" t="n"/>
    </row>
    <row r="698">
      <c r="B698" s="15">
        <f>IF($C698="","",$D698&amp;"-"&amp;$F698&amp;"-"&amp;$K698)</f>
        <v/>
      </c>
      <c r="C698" s="14" t="n"/>
      <c r="D698" s="15">
        <f>IF($C698="","",IFERROR(INDEX(rngCadetPIDs,MATCH($C698,rngCadetNames,0)),"?"))</f>
        <v/>
      </c>
      <c r="E698" s="15">
        <f>IF($D698="","",IFERROR(INDEX(nrCadetAgency,MATCH($D698,rngCadetPIDs,0)),""))</f>
        <v/>
      </c>
      <c r="F698" s="14" t="n"/>
      <c r="G698" s="15">
        <f>IF($F698="","",IFERROR(INDEX(rngEPname,MATCH($F698,rngEPcode,0)),"?"))</f>
        <v/>
      </c>
      <c r="H698" s="15">
        <f>IF($F698="","",IFERROR(INDEX(rngEPtype,MATCH($F698,rngEPcode,0)),"?"))</f>
        <v/>
      </c>
      <c r="I698" s="15">
        <f>IF($F698="","",IFERROR(INDEX(rngEPseq,MATCH($F698,rngEPcode,0)),""))</f>
        <v/>
      </c>
      <c r="J698" s="15">
        <f>IF($F698="","",IFERROR(INDEX(rngEPpass,MATCH($F698,rngEPcode,0)),cfgPassingScore))</f>
        <v/>
      </c>
      <c r="K698" s="14" t="n"/>
      <c r="L698" s="14" t="n"/>
      <c r="M698" s="15">
        <f>IF($C698="","",IF($L698="","",IF($K698=1,IF(COUNTIFS(nrES_PID,$D698,nrES_Code,$F698,nrES_Att,2)&gt;0,"",$L698),IF(COUNTIFS(nrES_PID,$D698,nrES_Code,$F698,nrES_Att,1)=0,$L698,IF($L698&gt;=$J698,cfgRetakeRecordedCap,SUMIFS(nrES_Raw,nrES_PID,$D698,nrES_Code,$F698,nrES_Att,1))))))</f>
        <v/>
      </c>
      <c r="N698" s="15">
        <f>IF($C698="","",IF($L698="","",IF($L698&gt;=$J698,"Yes","No")))</f>
        <v/>
      </c>
      <c r="O698" s="15">
        <f>IF($C698="","",IF($M698="","",IF($M698&gt;=$J698,"Yes","No")))</f>
        <v/>
      </c>
      <c r="P698" s="15">
        <f>IF($C698="","",IF($K698="","",IF(COUNTIFS(nrES_PID,$D698,nrES_Code,$F698,nrES_Att,"&gt;"&amp;$K698)=0,"Yes","No")))</f>
        <v/>
      </c>
      <c r="Q698" s="15">
        <f>IF($C698="","",IF($L698="","",IF(AND($K698=1,$L698&lt;$J698,COUNTIFS(nrES_PID,$D698,nrES_Code,$F698,nrES_Att,2)=0),"Yes","No")))</f>
        <v/>
      </c>
      <c r="R698" s="15">
        <f>IF($C698="","",IF($L698="","",IF(AND($K698=2,$L698&lt;$J698,COUNTIFS(nrES_PID,$D698,nrES_Code,$F698,nrES_Att,1)&gt;0),"Yes","No")))</f>
        <v/>
      </c>
      <c r="S698" s="16" t="n"/>
      <c r="T698" s="17">
        <f>IF($Q698&lt;&gt;"Yes","",IF($S698="","(enter date)",_xlfn.LET(_xlpm.dn,IFERROR(_xlfn.XLOOKUP($S698,nrCDdate,nrCDnum),""),IF(_xlpm.dn="","(not a class day)",IFERROR(_xlfn.XLOOKUP(_xlpm.dn+cfgRetestClassDays,nrCDnum,nrCDdate),"")))))</f>
        <v/>
      </c>
      <c r="U698" s="15">
        <f>IF($Q698&lt;&gt;"Yes","",IF(COUNTIFS(nrES_PID,$D698,nrES_Code,$F698,nrES_Att,2)&gt;0,"Retested",IF(OR($T698="",NOT(ISNUMBER($T698))),"Pending",IF(TODAY()&gt;$T698,"OVERDUE","Due "&amp;TEXT($T698,"mm/dd")))))</f>
        <v/>
      </c>
      <c r="V698" s="14" t="n"/>
      <c r="W698" s="14" t="n"/>
    </row>
    <row r="699">
      <c r="B699" s="15">
        <f>IF($C699="","",$D699&amp;"-"&amp;$F699&amp;"-"&amp;$K699)</f>
        <v/>
      </c>
      <c r="C699" s="14" t="n"/>
      <c r="D699" s="15">
        <f>IF($C699="","",IFERROR(INDEX(rngCadetPIDs,MATCH($C699,rngCadetNames,0)),"?"))</f>
        <v/>
      </c>
      <c r="E699" s="15">
        <f>IF($D699="","",IFERROR(INDEX(nrCadetAgency,MATCH($D699,rngCadetPIDs,0)),""))</f>
        <v/>
      </c>
      <c r="F699" s="14" t="n"/>
      <c r="G699" s="15">
        <f>IF($F699="","",IFERROR(INDEX(rngEPname,MATCH($F699,rngEPcode,0)),"?"))</f>
        <v/>
      </c>
      <c r="H699" s="15">
        <f>IF($F699="","",IFERROR(INDEX(rngEPtype,MATCH($F699,rngEPcode,0)),"?"))</f>
        <v/>
      </c>
      <c r="I699" s="15">
        <f>IF($F699="","",IFERROR(INDEX(rngEPseq,MATCH($F699,rngEPcode,0)),""))</f>
        <v/>
      </c>
      <c r="J699" s="15">
        <f>IF($F699="","",IFERROR(INDEX(rngEPpass,MATCH($F699,rngEPcode,0)),cfgPassingScore))</f>
        <v/>
      </c>
      <c r="K699" s="14" t="n"/>
      <c r="L699" s="14" t="n"/>
      <c r="M699" s="15">
        <f>IF($C699="","",IF($L699="","",IF($K699=1,IF(COUNTIFS(nrES_PID,$D699,nrES_Code,$F699,nrES_Att,2)&gt;0,"",$L699),IF(COUNTIFS(nrES_PID,$D699,nrES_Code,$F699,nrES_Att,1)=0,$L699,IF($L699&gt;=$J699,cfgRetakeRecordedCap,SUMIFS(nrES_Raw,nrES_PID,$D699,nrES_Code,$F699,nrES_Att,1))))))</f>
        <v/>
      </c>
      <c r="N699" s="15">
        <f>IF($C699="","",IF($L699="","",IF($L699&gt;=$J699,"Yes","No")))</f>
        <v/>
      </c>
      <c r="O699" s="15">
        <f>IF($C699="","",IF($M699="","",IF($M699&gt;=$J699,"Yes","No")))</f>
        <v/>
      </c>
      <c r="P699" s="15">
        <f>IF($C699="","",IF($K699="","",IF(COUNTIFS(nrES_PID,$D699,nrES_Code,$F699,nrES_Att,"&gt;"&amp;$K699)=0,"Yes","No")))</f>
        <v/>
      </c>
      <c r="Q699" s="15">
        <f>IF($C699="","",IF($L699="","",IF(AND($K699=1,$L699&lt;$J699,COUNTIFS(nrES_PID,$D699,nrES_Code,$F699,nrES_Att,2)=0),"Yes","No")))</f>
        <v/>
      </c>
      <c r="R699" s="15">
        <f>IF($C699="","",IF($L699="","",IF(AND($K699=2,$L699&lt;$J699,COUNTIFS(nrES_PID,$D699,nrES_Code,$F699,nrES_Att,1)&gt;0),"Yes","No")))</f>
        <v/>
      </c>
      <c r="S699" s="16" t="n"/>
      <c r="T699" s="17">
        <f>IF($Q699&lt;&gt;"Yes","",IF($S699="","(enter date)",_xlfn.LET(_xlpm.dn,IFERROR(_xlfn.XLOOKUP($S699,nrCDdate,nrCDnum),""),IF(_xlpm.dn="","(not a class day)",IFERROR(_xlfn.XLOOKUP(_xlpm.dn+cfgRetestClassDays,nrCDnum,nrCDdate),"")))))</f>
        <v/>
      </c>
      <c r="U699" s="15">
        <f>IF($Q699&lt;&gt;"Yes","",IF(COUNTIFS(nrES_PID,$D699,nrES_Code,$F699,nrES_Att,2)&gt;0,"Retested",IF(OR($T699="",NOT(ISNUMBER($T699))),"Pending",IF(TODAY()&gt;$T699,"OVERDUE","Due "&amp;TEXT($T699,"mm/dd")))))</f>
        <v/>
      </c>
      <c r="V699" s="14" t="n"/>
      <c r="W699" s="14" t="n"/>
    </row>
    <row r="700">
      <c r="B700" s="15">
        <f>IF($C700="","",$D700&amp;"-"&amp;$F700&amp;"-"&amp;$K700)</f>
        <v/>
      </c>
      <c r="C700" s="14" t="n"/>
      <c r="D700" s="15">
        <f>IF($C700="","",IFERROR(INDEX(rngCadetPIDs,MATCH($C700,rngCadetNames,0)),"?"))</f>
        <v/>
      </c>
      <c r="E700" s="15">
        <f>IF($D700="","",IFERROR(INDEX(nrCadetAgency,MATCH($D700,rngCadetPIDs,0)),""))</f>
        <v/>
      </c>
      <c r="F700" s="14" t="n"/>
      <c r="G700" s="15">
        <f>IF($F700="","",IFERROR(INDEX(rngEPname,MATCH($F700,rngEPcode,0)),"?"))</f>
        <v/>
      </c>
      <c r="H700" s="15">
        <f>IF($F700="","",IFERROR(INDEX(rngEPtype,MATCH($F700,rngEPcode,0)),"?"))</f>
        <v/>
      </c>
      <c r="I700" s="15">
        <f>IF($F700="","",IFERROR(INDEX(rngEPseq,MATCH($F700,rngEPcode,0)),""))</f>
        <v/>
      </c>
      <c r="J700" s="15">
        <f>IF($F700="","",IFERROR(INDEX(rngEPpass,MATCH($F700,rngEPcode,0)),cfgPassingScore))</f>
        <v/>
      </c>
      <c r="K700" s="14" t="n"/>
      <c r="L700" s="14" t="n"/>
      <c r="M700" s="15">
        <f>IF($C700="","",IF($L700="","",IF($K700=1,IF(COUNTIFS(nrES_PID,$D700,nrES_Code,$F700,nrES_Att,2)&gt;0,"",$L700),IF(COUNTIFS(nrES_PID,$D700,nrES_Code,$F700,nrES_Att,1)=0,$L700,IF($L700&gt;=$J700,cfgRetakeRecordedCap,SUMIFS(nrES_Raw,nrES_PID,$D700,nrES_Code,$F700,nrES_Att,1))))))</f>
        <v/>
      </c>
      <c r="N700" s="15">
        <f>IF($C700="","",IF($L700="","",IF($L700&gt;=$J700,"Yes","No")))</f>
        <v/>
      </c>
      <c r="O700" s="15">
        <f>IF($C700="","",IF($M700="","",IF($M700&gt;=$J700,"Yes","No")))</f>
        <v/>
      </c>
      <c r="P700" s="15">
        <f>IF($C700="","",IF($K700="","",IF(COUNTIFS(nrES_PID,$D700,nrES_Code,$F700,nrES_Att,"&gt;"&amp;$K700)=0,"Yes","No")))</f>
        <v/>
      </c>
      <c r="Q700" s="15">
        <f>IF($C700="","",IF($L700="","",IF(AND($K700=1,$L700&lt;$J700,COUNTIFS(nrES_PID,$D700,nrES_Code,$F700,nrES_Att,2)=0),"Yes","No")))</f>
        <v/>
      </c>
      <c r="R700" s="15">
        <f>IF($C700="","",IF($L700="","",IF(AND($K700=2,$L700&lt;$J700,COUNTIFS(nrES_PID,$D700,nrES_Code,$F700,nrES_Att,1)&gt;0),"Yes","No")))</f>
        <v/>
      </c>
      <c r="S700" s="16" t="n"/>
      <c r="T700" s="17">
        <f>IF($Q700&lt;&gt;"Yes","",IF($S700="","(enter date)",_xlfn.LET(_xlpm.dn,IFERROR(_xlfn.XLOOKUP($S700,nrCDdate,nrCDnum),""),IF(_xlpm.dn="","(not a class day)",IFERROR(_xlfn.XLOOKUP(_xlpm.dn+cfgRetestClassDays,nrCDnum,nrCDdate),"")))))</f>
        <v/>
      </c>
      <c r="U700" s="15">
        <f>IF($Q700&lt;&gt;"Yes","",IF(COUNTIFS(nrES_PID,$D700,nrES_Code,$F700,nrES_Att,2)&gt;0,"Retested",IF(OR($T700="",NOT(ISNUMBER($T700))),"Pending",IF(TODAY()&gt;$T700,"OVERDUE","Due "&amp;TEXT($T700,"mm/dd")))))</f>
        <v/>
      </c>
      <c r="V700" s="14" t="n"/>
      <c r="W700" s="14" t="n"/>
    </row>
    <row r="701">
      <c r="B701" s="15">
        <f>IF($C701="","",$D701&amp;"-"&amp;$F701&amp;"-"&amp;$K701)</f>
        <v/>
      </c>
      <c r="C701" s="14" t="n"/>
      <c r="D701" s="15">
        <f>IF($C701="","",IFERROR(INDEX(rngCadetPIDs,MATCH($C701,rngCadetNames,0)),"?"))</f>
        <v/>
      </c>
      <c r="E701" s="15">
        <f>IF($D701="","",IFERROR(INDEX(nrCadetAgency,MATCH($D701,rngCadetPIDs,0)),""))</f>
        <v/>
      </c>
      <c r="F701" s="14" t="n"/>
      <c r="G701" s="15">
        <f>IF($F701="","",IFERROR(INDEX(rngEPname,MATCH($F701,rngEPcode,0)),"?"))</f>
        <v/>
      </c>
      <c r="H701" s="15">
        <f>IF($F701="","",IFERROR(INDEX(rngEPtype,MATCH($F701,rngEPcode,0)),"?"))</f>
        <v/>
      </c>
      <c r="I701" s="15">
        <f>IF($F701="","",IFERROR(INDEX(rngEPseq,MATCH($F701,rngEPcode,0)),""))</f>
        <v/>
      </c>
      <c r="J701" s="15">
        <f>IF($F701="","",IFERROR(INDEX(rngEPpass,MATCH($F701,rngEPcode,0)),cfgPassingScore))</f>
        <v/>
      </c>
      <c r="K701" s="14" t="n"/>
      <c r="L701" s="14" t="n"/>
      <c r="M701" s="15">
        <f>IF($C701="","",IF($L701="","",IF($K701=1,IF(COUNTIFS(nrES_PID,$D701,nrES_Code,$F701,nrES_Att,2)&gt;0,"",$L701),IF(COUNTIFS(nrES_PID,$D701,nrES_Code,$F701,nrES_Att,1)=0,$L701,IF($L701&gt;=$J701,cfgRetakeRecordedCap,SUMIFS(nrES_Raw,nrES_PID,$D701,nrES_Code,$F701,nrES_Att,1))))))</f>
        <v/>
      </c>
      <c r="N701" s="15">
        <f>IF($C701="","",IF($L701="","",IF($L701&gt;=$J701,"Yes","No")))</f>
        <v/>
      </c>
      <c r="O701" s="15">
        <f>IF($C701="","",IF($M701="","",IF($M701&gt;=$J701,"Yes","No")))</f>
        <v/>
      </c>
      <c r="P701" s="15">
        <f>IF($C701="","",IF($K701="","",IF(COUNTIFS(nrES_PID,$D701,nrES_Code,$F701,nrES_Att,"&gt;"&amp;$K701)=0,"Yes","No")))</f>
        <v/>
      </c>
      <c r="Q701" s="15">
        <f>IF($C701="","",IF($L701="","",IF(AND($K701=1,$L701&lt;$J701,COUNTIFS(nrES_PID,$D701,nrES_Code,$F701,nrES_Att,2)=0),"Yes","No")))</f>
        <v/>
      </c>
      <c r="R701" s="15">
        <f>IF($C701="","",IF($L701="","",IF(AND($K701=2,$L701&lt;$J701,COUNTIFS(nrES_PID,$D701,nrES_Code,$F701,nrES_Att,1)&gt;0),"Yes","No")))</f>
        <v/>
      </c>
      <c r="S701" s="16" t="n"/>
      <c r="T701" s="17">
        <f>IF($Q701&lt;&gt;"Yes","",IF($S701="","(enter date)",_xlfn.LET(_xlpm.dn,IFERROR(_xlfn.XLOOKUP($S701,nrCDdate,nrCDnum),""),IF(_xlpm.dn="","(not a class day)",IFERROR(_xlfn.XLOOKUP(_xlpm.dn+cfgRetestClassDays,nrCDnum,nrCDdate),"")))))</f>
        <v/>
      </c>
      <c r="U701" s="15">
        <f>IF($Q701&lt;&gt;"Yes","",IF(COUNTIFS(nrES_PID,$D701,nrES_Code,$F701,nrES_Att,2)&gt;0,"Retested",IF(OR($T701="",NOT(ISNUMBER($T701))),"Pending",IF(TODAY()&gt;$T701,"OVERDUE","Due "&amp;TEXT($T701,"mm/dd")))))</f>
        <v/>
      </c>
      <c r="V701" s="14" t="n"/>
      <c r="W701" s="14" t="n"/>
    </row>
    <row r="702">
      <c r="B702" s="15">
        <f>IF($C702="","",$D702&amp;"-"&amp;$F702&amp;"-"&amp;$K702)</f>
        <v/>
      </c>
      <c r="C702" s="14" t="n"/>
      <c r="D702" s="15">
        <f>IF($C702="","",IFERROR(INDEX(rngCadetPIDs,MATCH($C702,rngCadetNames,0)),"?"))</f>
        <v/>
      </c>
      <c r="E702" s="15">
        <f>IF($D702="","",IFERROR(INDEX(nrCadetAgency,MATCH($D702,rngCadetPIDs,0)),""))</f>
        <v/>
      </c>
      <c r="F702" s="14" t="n"/>
      <c r="G702" s="15">
        <f>IF($F702="","",IFERROR(INDEX(rngEPname,MATCH($F702,rngEPcode,0)),"?"))</f>
        <v/>
      </c>
      <c r="H702" s="15">
        <f>IF($F702="","",IFERROR(INDEX(rngEPtype,MATCH($F702,rngEPcode,0)),"?"))</f>
        <v/>
      </c>
      <c r="I702" s="15">
        <f>IF($F702="","",IFERROR(INDEX(rngEPseq,MATCH($F702,rngEPcode,0)),""))</f>
        <v/>
      </c>
      <c r="J702" s="15">
        <f>IF($F702="","",IFERROR(INDEX(rngEPpass,MATCH($F702,rngEPcode,0)),cfgPassingScore))</f>
        <v/>
      </c>
      <c r="K702" s="14" t="n"/>
      <c r="L702" s="14" t="n"/>
      <c r="M702" s="15">
        <f>IF($C702="","",IF($L702="","",IF($K702=1,IF(COUNTIFS(nrES_PID,$D702,nrES_Code,$F702,nrES_Att,2)&gt;0,"",$L702),IF(COUNTIFS(nrES_PID,$D702,nrES_Code,$F702,nrES_Att,1)=0,$L702,IF($L702&gt;=$J702,cfgRetakeRecordedCap,SUMIFS(nrES_Raw,nrES_PID,$D702,nrES_Code,$F702,nrES_Att,1))))))</f>
        <v/>
      </c>
      <c r="N702" s="15">
        <f>IF($C702="","",IF($L702="","",IF($L702&gt;=$J702,"Yes","No")))</f>
        <v/>
      </c>
      <c r="O702" s="15">
        <f>IF($C702="","",IF($M702="","",IF($M702&gt;=$J702,"Yes","No")))</f>
        <v/>
      </c>
      <c r="P702" s="15">
        <f>IF($C702="","",IF($K702="","",IF(COUNTIFS(nrES_PID,$D702,nrES_Code,$F702,nrES_Att,"&gt;"&amp;$K702)=0,"Yes","No")))</f>
        <v/>
      </c>
      <c r="Q702" s="15">
        <f>IF($C702="","",IF($L702="","",IF(AND($K702=1,$L702&lt;$J702,COUNTIFS(nrES_PID,$D702,nrES_Code,$F702,nrES_Att,2)=0),"Yes","No")))</f>
        <v/>
      </c>
      <c r="R702" s="15">
        <f>IF($C702="","",IF($L702="","",IF(AND($K702=2,$L702&lt;$J702,COUNTIFS(nrES_PID,$D702,nrES_Code,$F702,nrES_Att,1)&gt;0),"Yes","No")))</f>
        <v/>
      </c>
      <c r="S702" s="16" t="n"/>
      <c r="T702" s="17">
        <f>IF($Q702&lt;&gt;"Yes","",IF($S702="","(enter date)",_xlfn.LET(_xlpm.dn,IFERROR(_xlfn.XLOOKUP($S702,nrCDdate,nrCDnum),""),IF(_xlpm.dn="","(not a class day)",IFERROR(_xlfn.XLOOKUP(_xlpm.dn+cfgRetestClassDays,nrCDnum,nrCDdate),"")))))</f>
        <v/>
      </c>
      <c r="U702" s="15">
        <f>IF($Q702&lt;&gt;"Yes","",IF(COUNTIFS(nrES_PID,$D702,nrES_Code,$F702,nrES_Att,2)&gt;0,"Retested",IF(OR($T702="",NOT(ISNUMBER($T702))),"Pending",IF(TODAY()&gt;$T702,"OVERDUE","Due "&amp;TEXT($T702,"mm/dd")))))</f>
        <v/>
      </c>
      <c r="V702" s="14" t="n"/>
      <c r="W702" s="14" t="n"/>
    </row>
    <row r="703">
      <c r="B703" s="15">
        <f>IF($C703="","",$D703&amp;"-"&amp;$F703&amp;"-"&amp;$K703)</f>
        <v/>
      </c>
      <c r="C703" s="14" t="n"/>
      <c r="D703" s="15">
        <f>IF($C703="","",IFERROR(INDEX(rngCadetPIDs,MATCH($C703,rngCadetNames,0)),"?"))</f>
        <v/>
      </c>
      <c r="E703" s="15">
        <f>IF($D703="","",IFERROR(INDEX(nrCadetAgency,MATCH($D703,rngCadetPIDs,0)),""))</f>
        <v/>
      </c>
      <c r="F703" s="14" t="n"/>
      <c r="G703" s="15">
        <f>IF($F703="","",IFERROR(INDEX(rngEPname,MATCH($F703,rngEPcode,0)),"?"))</f>
        <v/>
      </c>
      <c r="H703" s="15">
        <f>IF($F703="","",IFERROR(INDEX(rngEPtype,MATCH($F703,rngEPcode,0)),"?"))</f>
        <v/>
      </c>
      <c r="I703" s="15">
        <f>IF($F703="","",IFERROR(INDEX(rngEPseq,MATCH($F703,rngEPcode,0)),""))</f>
        <v/>
      </c>
      <c r="J703" s="15">
        <f>IF($F703="","",IFERROR(INDEX(rngEPpass,MATCH($F703,rngEPcode,0)),cfgPassingScore))</f>
        <v/>
      </c>
      <c r="K703" s="14" t="n"/>
      <c r="L703" s="14" t="n"/>
      <c r="M703" s="15">
        <f>IF($C703="","",IF($L703="","",IF($K703=1,IF(COUNTIFS(nrES_PID,$D703,nrES_Code,$F703,nrES_Att,2)&gt;0,"",$L703),IF(COUNTIFS(nrES_PID,$D703,nrES_Code,$F703,nrES_Att,1)=0,$L703,IF($L703&gt;=$J703,cfgRetakeRecordedCap,SUMIFS(nrES_Raw,nrES_PID,$D703,nrES_Code,$F703,nrES_Att,1))))))</f>
        <v/>
      </c>
      <c r="N703" s="15">
        <f>IF($C703="","",IF($L703="","",IF($L703&gt;=$J703,"Yes","No")))</f>
        <v/>
      </c>
      <c r="O703" s="15">
        <f>IF($C703="","",IF($M703="","",IF($M703&gt;=$J703,"Yes","No")))</f>
        <v/>
      </c>
      <c r="P703" s="15">
        <f>IF($C703="","",IF($K703="","",IF(COUNTIFS(nrES_PID,$D703,nrES_Code,$F703,nrES_Att,"&gt;"&amp;$K703)=0,"Yes","No")))</f>
        <v/>
      </c>
      <c r="Q703" s="15">
        <f>IF($C703="","",IF($L703="","",IF(AND($K703=1,$L703&lt;$J703,COUNTIFS(nrES_PID,$D703,nrES_Code,$F703,nrES_Att,2)=0),"Yes","No")))</f>
        <v/>
      </c>
      <c r="R703" s="15">
        <f>IF($C703="","",IF($L703="","",IF(AND($K703=2,$L703&lt;$J703,COUNTIFS(nrES_PID,$D703,nrES_Code,$F703,nrES_Att,1)&gt;0),"Yes","No")))</f>
        <v/>
      </c>
      <c r="S703" s="16" t="n"/>
      <c r="T703" s="17">
        <f>IF($Q703&lt;&gt;"Yes","",IF($S703="","(enter date)",_xlfn.LET(_xlpm.dn,IFERROR(_xlfn.XLOOKUP($S703,nrCDdate,nrCDnum),""),IF(_xlpm.dn="","(not a class day)",IFERROR(_xlfn.XLOOKUP(_xlpm.dn+cfgRetestClassDays,nrCDnum,nrCDdate),"")))))</f>
        <v/>
      </c>
      <c r="U703" s="15">
        <f>IF($Q703&lt;&gt;"Yes","",IF(COUNTIFS(nrES_PID,$D703,nrES_Code,$F703,nrES_Att,2)&gt;0,"Retested",IF(OR($T703="",NOT(ISNUMBER($T703))),"Pending",IF(TODAY()&gt;$T703,"OVERDUE","Due "&amp;TEXT($T703,"mm/dd")))))</f>
        <v/>
      </c>
      <c r="V703" s="14" t="n"/>
      <c r="W703" s="14" t="n"/>
    </row>
    <row r="704">
      <c r="B704" s="15">
        <f>IF($C704="","",$D704&amp;"-"&amp;$F704&amp;"-"&amp;$K704)</f>
        <v/>
      </c>
      <c r="C704" s="14" t="n"/>
      <c r="D704" s="15">
        <f>IF($C704="","",IFERROR(INDEX(rngCadetPIDs,MATCH($C704,rngCadetNames,0)),"?"))</f>
        <v/>
      </c>
      <c r="E704" s="15">
        <f>IF($D704="","",IFERROR(INDEX(nrCadetAgency,MATCH($D704,rngCadetPIDs,0)),""))</f>
        <v/>
      </c>
      <c r="F704" s="14" t="n"/>
      <c r="G704" s="15">
        <f>IF($F704="","",IFERROR(INDEX(rngEPname,MATCH($F704,rngEPcode,0)),"?"))</f>
        <v/>
      </c>
      <c r="H704" s="15">
        <f>IF($F704="","",IFERROR(INDEX(rngEPtype,MATCH($F704,rngEPcode,0)),"?"))</f>
        <v/>
      </c>
      <c r="I704" s="15">
        <f>IF($F704="","",IFERROR(INDEX(rngEPseq,MATCH($F704,rngEPcode,0)),""))</f>
        <v/>
      </c>
      <c r="J704" s="15">
        <f>IF($F704="","",IFERROR(INDEX(rngEPpass,MATCH($F704,rngEPcode,0)),cfgPassingScore))</f>
        <v/>
      </c>
      <c r="K704" s="14" t="n"/>
      <c r="L704" s="14" t="n"/>
      <c r="M704" s="15">
        <f>IF($C704="","",IF($L704="","",IF($K704=1,IF(COUNTIFS(nrES_PID,$D704,nrES_Code,$F704,nrES_Att,2)&gt;0,"",$L704),IF(COUNTIFS(nrES_PID,$D704,nrES_Code,$F704,nrES_Att,1)=0,$L704,IF($L704&gt;=$J704,cfgRetakeRecordedCap,SUMIFS(nrES_Raw,nrES_PID,$D704,nrES_Code,$F704,nrES_Att,1))))))</f>
        <v/>
      </c>
      <c r="N704" s="15">
        <f>IF($C704="","",IF($L704="","",IF($L704&gt;=$J704,"Yes","No")))</f>
        <v/>
      </c>
      <c r="O704" s="15">
        <f>IF($C704="","",IF($M704="","",IF($M704&gt;=$J704,"Yes","No")))</f>
        <v/>
      </c>
      <c r="P704" s="15">
        <f>IF($C704="","",IF($K704="","",IF(COUNTIFS(nrES_PID,$D704,nrES_Code,$F704,nrES_Att,"&gt;"&amp;$K704)=0,"Yes","No")))</f>
        <v/>
      </c>
      <c r="Q704" s="15">
        <f>IF($C704="","",IF($L704="","",IF(AND($K704=1,$L704&lt;$J704,COUNTIFS(nrES_PID,$D704,nrES_Code,$F704,nrES_Att,2)=0),"Yes","No")))</f>
        <v/>
      </c>
      <c r="R704" s="15">
        <f>IF($C704="","",IF($L704="","",IF(AND($K704=2,$L704&lt;$J704,COUNTIFS(nrES_PID,$D704,nrES_Code,$F704,nrES_Att,1)&gt;0),"Yes","No")))</f>
        <v/>
      </c>
      <c r="S704" s="16" t="n"/>
      <c r="T704" s="17">
        <f>IF($Q704&lt;&gt;"Yes","",IF($S704="","(enter date)",_xlfn.LET(_xlpm.dn,IFERROR(_xlfn.XLOOKUP($S704,nrCDdate,nrCDnum),""),IF(_xlpm.dn="","(not a class day)",IFERROR(_xlfn.XLOOKUP(_xlpm.dn+cfgRetestClassDays,nrCDnum,nrCDdate),"")))))</f>
        <v/>
      </c>
      <c r="U704" s="15">
        <f>IF($Q704&lt;&gt;"Yes","",IF(COUNTIFS(nrES_PID,$D704,nrES_Code,$F704,nrES_Att,2)&gt;0,"Retested",IF(OR($T704="",NOT(ISNUMBER($T704))),"Pending",IF(TODAY()&gt;$T704,"OVERDUE","Due "&amp;TEXT($T704,"mm/dd")))))</f>
        <v/>
      </c>
      <c r="V704" s="14" t="n"/>
      <c r="W704" s="14" t="n"/>
    </row>
    <row r="705">
      <c r="B705" s="15">
        <f>IF($C705="","",$D705&amp;"-"&amp;$F705&amp;"-"&amp;$K705)</f>
        <v/>
      </c>
      <c r="C705" s="14" t="n"/>
      <c r="D705" s="15">
        <f>IF($C705="","",IFERROR(INDEX(rngCadetPIDs,MATCH($C705,rngCadetNames,0)),"?"))</f>
        <v/>
      </c>
      <c r="E705" s="15">
        <f>IF($D705="","",IFERROR(INDEX(nrCadetAgency,MATCH($D705,rngCadetPIDs,0)),""))</f>
        <v/>
      </c>
      <c r="F705" s="14" t="n"/>
      <c r="G705" s="15">
        <f>IF($F705="","",IFERROR(INDEX(rngEPname,MATCH($F705,rngEPcode,0)),"?"))</f>
        <v/>
      </c>
      <c r="H705" s="15">
        <f>IF($F705="","",IFERROR(INDEX(rngEPtype,MATCH($F705,rngEPcode,0)),"?"))</f>
        <v/>
      </c>
      <c r="I705" s="15">
        <f>IF($F705="","",IFERROR(INDEX(rngEPseq,MATCH($F705,rngEPcode,0)),""))</f>
        <v/>
      </c>
      <c r="J705" s="15">
        <f>IF($F705="","",IFERROR(INDEX(rngEPpass,MATCH($F705,rngEPcode,0)),cfgPassingScore))</f>
        <v/>
      </c>
      <c r="K705" s="14" t="n"/>
      <c r="L705" s="14" t="n"/>
      <c r="M705" s="15">
        <f>IF($C705="","",IF($L705="","",IF($K705=1,IF(COUNTIFS(nrES_PID,$D705,nrES_Code,$F705,nrES_Att,2)&gt;0,"",$L705),IF(COUNTIFS(nrES_PID,$D705,nrES_Code,$F705,nrES_Att,1)=0,$L705,IF($L705&gt;=$J705,cfgRetakeRecordedCap,SUMIFS(nrES_Raw,nrES_PID,$D705,nrES_Code,$F705,nrES_Att,1))))))</f>
        <v/>
      </c>
      <c r="N705" s="15">
        <f>IF($C705="","",IF($L705="","",IF($L705&gt;=$J705,"Yes","No")))</f>
        <v/>
      </c>
      <c r="O705" s="15">
        <f>IF($C705="","",IF($M705="","",IF($M705&gt;=$J705,"Yes","No")))</f>
        <v/>
      </c>
      <c r="P705" s="15">
        <f>IF($C705="","",IF($K705="","",IF(COUNTIFS(nrES_PID,$D705,nrES_Code,$F705,nrES_Att,"&gt;"&amp;$K705)=0,"Yes","No")))</f>
        <v/>
      </c>
      <c r="Q705" s="15">
        <f>IF($C705="","",IF($L705="","",IF(AND($K705=1,$L705&lt;$J705,COUNTIFS(nrES_PID,$D705,nrES_Code,$F705,nrES_Att,2)=0),"Yes","No")))</f>
        <v/>
      </c>
      <c r="R705" s="15">
        <f>IF($C705="","",IF($L705="","",IF(AND($K705=2,$L705&lt;$J705,COUNTIFS(nrES_PID,$D705,nrES_Code,$F705,nrES_Att,1)&gt;0),"Yes","No")))</f>
        <v/>
      </c>
      <c r="S705" s="16" t="n"/>
      <c r="T705" s="17">
        <f>IF($Q705&lt;&gt;"Yes","",IF($S705="","(enter date)",_xlfn.LET(_xlpm.dn,IFERROR(_xlfn.XLOOKUP($S705,nrCDdate,nrCDnum),""),IF(_xlpm.dn="","(not a class day)",IFERROR(_xlfn.XLOOKUP(_xlpm.dn+cfgRetestClassDays,nrCDnum,nrCDdate),"")))))</f>
        <v/>
      </c>
      <c r="U705" s="15">
        <f>IF($Q705&lt;&gt;"Yes","",IF(COUNTIFS(nrES_PID,$D705,nrES_Code,$F705,nrES_Att,2)&gt;0,"Retested",IF(OR($T705="",NOT(ISNUMBER($T705))),"Pending",IF(TODAY()&gt;$T705,"OVERDUE","Due "&amp;TEXT($T705,"mm/dd")))))</f>
        <v/>
      </c>
      <c r="V705" s="14" t="n"/>
      <c r="W705" s="14" t="n"/>
    </row>
    <row r="706">
      <c r="B706" s="15">
        <f>IF($C706="","",$D706&amp;"-"&amp;$F706&amp;"-"&amp;$K706)</f>
        <v/>
      </c>
      <c r="C706" s="14" t="n"/>
      <c r="D706" s="15">
        <f>IF($C706="","",IFERROR(INDEX(rngCadetPIDs,MATCH($C706,rngCadetNames,0)),"?"))</f>
        <v/>
      </c>
      <c r="E706" s="15">
        <f>IF($D706="","",IFERROR(INDEX(nrCadetAgency,MATCH($D706,rngCadetPIDs,0)),""))</f>
        <v/>
      </c>
      <c r="F706" s="14" t="n"/>
      <c r="G706" s="15">
        <f>IF($F706="","",IFERROR(INDEX(rngEPname,MATCH($F706,rngEPcode,0)),"?"))</f>
        <v/>
      </c>
      <c r="H706" s="15">
        <f>IF($F706="","",IFERROR(INDEX(rngEPtype,MATCH($F706,rngEPcode,0)),"?"))</f>
        <v/>
      </c>
      <c r="I706" s="15">
        <f>IF($F706="","",IFERROR(INDEX(rngEPseq,MATCH($F706,rngEPcode,0)),""))</f>
        <v/>
      </c>
      <c r="J706" s="15">
        <f>IF($F706="","",IFERROR(INDEX(rngEPpass,MATCH($F706,rngEPcode,0)),cfgPassingScore))</f>
        <v/>
      </c>
      <c r="K706" s="14" t="n"/>
      <c r="L706" s="14" t="n"/>
      <c r="M706" s="15">
        <f>IF($C706="","",IF($L706="","",IF($K706=1,IF(COUNTIFS(nrES_PID,$D706,nrES_Code,$F706,nrES_Att,2)&gt;0,"",$L706),IF(COUNTIFS(nrES_PID,$D706,nrES_Code,$F706,nrES_Att,1)=0,$L706,IF($L706&gt;=$J706,cfgRetakeRecordedCap,SUMIFS(nrES_Raw,nrES_PID,$D706,nrES_Code,$F706,nrES_Att,1))))))</f>
        <v/>
      </c>
      <c r="N706" s="15">
        <f>IF($C706="","",IF($L706="","",IF($L706&gt;=$J706,"Yes","No")))</f>
        <v/>
      </c>
      <c r="O706" s="15">
        <f>IF($C706="","",IF($M706="","",IF($M706&gt;=$J706,"Yes","No")))</f>
        <v/>
      </c>
      <c r="P706" s="15">
        <f>IF($C706="","",IF($K706="","",IF(COUNTIFS(nrES_PID,$D706,nrES_Code,$F706,nrES_Att,"&gt;"&amp;$K706)=0,"Yes","No")))</f>
        <v/>
      </c>
      <c r="Q706" s="15">
        <f>IF($C706="","",IF($L706="","",IF(AND($K706=1,$L706&lt;$J706,COUNTIFS(nrES_PID,$D706,nrES_Code,$F706,nrES_Att,2)=0),"Yes","No")))</f>
        <v/>
      </c>
      <c r="R706" s="15">
        <f>IF($C706="","",IF($L706="","",IF(AND($K706=2,$L706&lt;$J706,COUNTIFS(nrES_PID,$D706,nrES_Code,$F706,nrES_Att,1)&gt;0),"Yes","No")))</f>
        <v/>
      </c>
      <c r="S706" s="16" t="n"/>
      <c r="T706" s="17">
        <f>IF($Q706&lt;&gt;"Yes","",IF($S706="","(enter date)",_xlfn.LET(_xlpm.dn,IFERROR(_xlfn.XLOOKUP($S706,nrCDdate,nrCDnum),""),IF(_xlpm.dn="","(not a class day)",IFERROR(_xlfn.XLOOKUP(_xlpm.dn+cfgRetestClassDays,nrCDnum,nrCDdate),"")))))</f>
        <v/>
      </c>
      <c r="U706" s="15">
        <f>IF($Q706&lt;&gt;"Yes","",IF(COUNTIFS(nrES_PID,$D706,nrES_Code,$F706,nrES_Att,2)&gt;0,"Retested",IF(OR($T706="",NOT(ISNUMBER($T706))),"Pending",IF(TODAY()&gt;$T706,"OVERDUE","Due "&amp;TEXT($T706,"mm/dd")))))</f>
        <v/>
      </c>
      <c r="V706" s="14" t="n"/>
      <c r="W706" s="14" t="n"/>
    </row>
    <row r="707">
      <c r="B707" s="15">
        <f>IF($C707="","",$D707&amp;"-"&amp;$F707&amp;"-"&amp;$K707)</f>
        <v/>
      </c>
      <c r="C707" s="14" t="n"/>
      <c r="D707" s="15">
        <f>IF($C707="","",IFERROR(INDEX(rngCadetPIDs,MATCH($C707,rngCadetNames,0)),"?"))</f>
        <v/>
      </c>
      <c r="E707" s="15">
        <f>IF($D707="","",IFERROR(INDEX(nrCadetAgency,MATCH($D707,rngCadetPIDs,0)),""))</f>
        <v/>
      </c>
      <c r="F707" s="14" t="n"/>
      <c r="G707" s="15">
        <f>IF($F707="","",IFERROR(INDEX(rngEPname,MATCH($F707,rngEPcode,0)),"?"))</f>
        <v/>
      </c>
      <c r="H707" s="15">
        <f>IF($F707="","",IFERROR(INDEX(rngEPtype,MATCH($F707,rngEPcode,0)),"?"))</f>
        <v/>
      </c>
      <c r="I707" s="15">
        <f>IF($F707="","",IFERROR(INDEX(rngEPseq,MATCH($F707,rngEPcode,0)),""))</f>
        <v/>
      </c>
      <c r="J707" s="15">
        <f>IF($F707="","",IFERROR(INDEX(rngEPpass,MATCH($F707,rngEPcode,0)),cfgPassingScore))</f>
        <v/>
      </c>
      <c r="K707" s="14" t="n"/>
      <c r="L707" s="14" t="n"/>
      <c r="M707" s="15">
        <f>IF($C707="","",IF($L707="","",IF($K707=1,IF(COUNTIFS(nrES_PID,$D707,nrES_Code,$F707,nrES_Att,2)&gt;0,"",$L707),IF(COUNTIFS(nrES_PID,$D707,nrES_Code,$F707,nrES_Att,1)=0,$L707,IF($L707&gt;=$J707,cfgRetakeRecordedCap,SUMIFS(nrES_Raw,nrES_PID,$D707,nrES_Code,$F707,nrES_Att,1))))))</f>
        <v/>
      </c>
      <c r="N707" s="15">
        <f>IF($C707="","",IF($L707="","",IF($L707&gt;=$J707,"Yes","No")))</f>
        <v/>
      </c>
      <c r="O707" s="15">
        <f>IF($C707="","",IF($M707="","",IF($M707&gt;=$J707,"Yes","No")))</f>
        <v/>
      </c>
      <c r="P707" s="15">
        <f>IF($C707="","",IF($K707="","",IF(COUNTIFS(nrES_PID,$D707,nrES_Code,$F707,nrES_Att,"&gt;"&amp;$K707)=0,"Yes","No")))</f>
        <v/>
      </c>
      <c r="Q707" s="15">
        <f>IF($C707="","",IF($L707="","",IF(AND($K707=1,$L707&lt;$J707,COUNTIFS(nrES_PID,$D707,nrES_Code,$F707,nrES_Att,2)=0),"Yes","No")))</f>
        <v/>
      </c>
      <c r="R707" s="15">
        <f>IF($C707="","",IF($L707="","",IF(AND($K707=2,$L707&lt;$J707,COUNTIFS(nrES_PID,$D707,nrES_Code,$F707,nrES_Att,1)&gt;0),"Yes","No")))</f>
        <v/>
      </c>
      <c r="S707" s="16" t="n"/>
      <c r="T707" s="17">
        <f>IF($Q707&lt;&gt;"Yes","",IF($S707="","(enter date)",_xlfn.LET(_xlpm.dn,IFERROR(_xlfn.XLOOKUP($S707,nrCDdate,nrCDnum),""),IF(_xlpm.dn="","(not a class day)",IFERROR(_xlfn.XLOOKUP(_xlpm.dn+cfgRetestClassDays,nrCDnum,nrCDdate),"")))))</f>
        <v/>
      </c>
      <c r="U707" s="15">
        <f>IF($Q707&lt;&gt;"Yes","",IF(COUNTIFS(nrES_PID,$D707,nrES_Code,$F707,nrES_Att,2)&gt;0,"Retested",IF(OR($T707="",NOT(ISNUMBER($T707))),"Pending",IF(TODAY()&gt;$T707,"OVERDUE","Due "&amp;TEXT($T707,"mm/dd")))))</f>
        <v/>
      </c>
      <c r="V707" s="14" t="n"/>
      <c r="W707" s="14" t="n"/>
    </row>
    <row r="708">
      <c r="B708" s="15">
        <f>IF($C708="","",$D708&amp;"-"&amp;$F708&amp;"-"&amp;$K708)</f>
        <v/>
      </c>
      <c r="C708" s="14" t="n"/>
      <c r="D708" s="15">
        <f>IF($C708="","",IFERROR(INDEX(rngCadetPIDs,MATCH($C708,rngCadetNames,0)),"?"))</f>
        <v/>
      </c>
      <c r="E708" s="15">
        <f>IF($D708="","",IFERROR(INDEX(nrCadetAgency,MATCH($D708,rngCadetPIDs,0)),""))</f>
        <v/>
      </c>
      <c r="F708" s="14" t="n"/>
      <c r="G708" s="15">
        <f>IF($F708="","",IFERROR(INDEX(rngEPname,MATCH($F708,rngEPcode,0)),"?"))</f>
        <v/>
      </c>
      <c r="H708" s="15">
        <f>IF($F708="","",IFERROR(INDEX(rngEPtype,MATCH($F708,rngEPcode,0)),"?"))</f>
        <v/>
      </c>
      <c r="I708" s="15">
        <f>IF($F708="","",IFERROR(INDEX(rngEPseq,MATCH($F708,rngEPcode,0)),""))</f>
        <v/>
      </c>
      <c r="J708" s="15">
        <f>IF($F708="","",IFERROR(INDEX(rngEPpass,MATCH($F708,rngEPcode,0)),cfgPassingScore))</f>
        <v/>
      </c>
      <c r="K708" s="14" t="n"/>
      <c r="L708" s="14" t="n"/>
      <c r="M708" s="15">
        <f>IF($C708="","",IF($L708="","",IF($K708=1,IF(COUNTIFS(nrES_PID,$D708,nrES_Code,$F708,nrES_Att,2)&gt;0,"",$L708),IF(COUNTIFS(nrES_PID,$D708,nrES_Code,$F708,nrES_Att,1)=0,$L708,IF($L708&gt;=$J708,cfgRetakeRecordedCap,SUMIFS(nrES_Raw,nrES_PID,$D708,nrES_Code,$F708,nrES_Att,1))))))</f>
        <v/>
      </c>
      <c r="N708" s="15">
        <f>IF($C708="","",IF($L708="","",IF($L708&gt;=$J708,"Yes","No")))</f>
        <v/>
      </c>
      <c r="O708" s="15">
        <f>IF($C708="","",IF($M708="","",IF($M708&gt;=$J708,"Yes","No")))</f>
        <v/>
      </c>
      <c r="P708" s="15">
        <f>IF($C708="","",IF($K708="","",IF(COUNTIFS(nrES_PID,$D708,nrES_Code,$F708,nrES_Att,"&gt;"&amp;$K708)=0,"Yes","No")))</f>
        <v/>
      </c>
      <c r="Q708" s="15">
        <f>IF($C708="","",IF($L708="","",IF(AND($K708=1,$L708&lt;$J708,COUNTIFS(nrES_PID,$D708,nrES_Code,$F708,nrES_Att,2)=0),"Yes","No")))</f>
        <v/>
      </c>
      <c r="R708" s="15">
        <f>IF($C708="","",IF($L708="","",IF(AND($K708=2,$L708&lt;$J708,COUNTIFS(nrES_PID,$D708,nrES_Code,$F708,nrES_Att,1)&gt;0),"Yes","No")))</f>
        <v/>
      </c>
      <c r="S708" s="16" t="n"/>
      <c r="T708" s="17">
        <f>IF($Q708&lt;&gt;"Yes","",IF($S708="","(enter date)",_xlfn.LET(_xlpm.dn,IFERROR(_xlfn.XLOOKUP($S708,nrCDdate,nrCDnum),""),IF(_xlpm.dn="","(not a class day)",IFERROR(_xlfn.XLOOKUP(_xlpm.dn+cfgRetestClassDays,nrCDnum,nrCDdate),"")))))</f>
        <v/>
      </c>
      <c r="U708" s="15">
        <f>IF($Q708&lt;&gt;"Yes","",IF(COUNTIFS(nrES_PID,$D708,nrES_Code,$F708,nrES_Att,2)&gt;0,"Retested",IF(OR($T708="",NOT(ISNUMBER($T708))),"Pending",IF(TODAY()&gt;$T708,"OVERDUE","Due "&amp;TEXT($T708,"mm/dd")))))</f>
        <v/>
      </c>
      <c r="V708" s="14" t="n"/>
      <c r="W708" s="14" t="n"/>
    </row>
    <row r="709">
      <c r="B709" s="15">
        <f>IF($C709="","",$D709&amp;"-"&amp;$F709&amp;"-"&amp;$K709)</f>
        <v/>
      </c>
      <c r="C709" s="14" t="n"/>
      <c r="D709" s="15">
        <f>IF($C709="","",IFERROR(INDEX(rngCadetPIDs,MATCH($C709,rngCadetNames,0)),"?"))</f>
        <v/>
      </c>
      <c r="E709" s="15">
        <f>IF($D709="","",IFERROR(INDEX(nrCadetAgency,MATCH($D709,rngCadetPIDs,0)),""))</f>
        <v/>
      </c>
      <c r="F709" s="14" t="n"/>
      <c r="G709" s="15">
        <f>IF($F709="","",IFERROR(INDEX(rngEPname,MATCH($F709,rngEPcode,0)),"?"))</f>
        <v/>
      </c>
      <c r="H709" s="15">
        <f>IF($F709="","",IFERROR(INDEX(rngEPtype,MATCH($F709,rngEPcode,0)),"?"))</f>
        <v/>
      </c>
      <c r="I709" s="15">
        <f>IF($F709="","",IFERROR(INDEX(rngEPseq,MATCH($F709,rngEPcode,0)),""))</f>
        <v/>
      </c>
      <c r="J709" s="15">
        <f>IF($F709="","",IFERROR(INDEX(rngEPpass,MATCH($F709,rngEPcode,0)),cfgPassingScore))</f>
        <v/>
      </c>
      <c r="K709" s="14" t="n"/>
      <c r="L709" s="14" t="n"/>
      <c r="M709" s="15">
        <f>IF($C709="","",IF($L709="","",IF($K709=1,IF(COUNTIFS(nrES_PID,$D709,nrES_Code,$F709,nrES_Att,2)&gt;0,"",$L709),IF(COUNTIFS(nrES_PID,$D709,nrES_Code,$F709,nrES_Att,1)=0,$L709,IF($L709&gt;=$J709,cfgRetakeRecordedCap,SUMIFS(nrES_Raw,nrES_PID,$D709,nrES_Code,$F709,nrES_Att,1))))))</f>
        <v/>
      </c>
      <c r="N709" s="15">
        <f>IF($C709="","",IF($L709="","",IF($L709&gt;=$J709,"Yes","No")))</f>
        <v/>
      </c>
      <c r="O709" s="15">
        <f>IF($C709="","",IF($M709="","",IF($M709&gt;=$J709,"Yes","No")))</f>
        <v/>
      </c>
      <c r="P709" s="15">
        <f>IF($C709="","",IF($K709="","",IF(COUNTIFS(nrES_PID,$D709,nrES_Code,$F709,nrES_Att,"&gt;"&amp;$K709)=0,"Yes","No")))</f>
        <v/>
      </c>
      <c r="Q709" s="15">
        <f>IF($C709="","",IF($L709="","",IF(AND($K709=1,$L709&lt;$J709,COUNTIFS(nrES_PID,$D709,nrES_Code,$F709,nrES_Att,2)=0),"Yes","No")))</f>
        <v/>
      </c>
      <c r="R709" s="15">
        <f>IF($C709="","",IF($L709="","",IF(AND($K709=2,$L709&lt;$J709,COUNTIFS(nrES_PID,$D709,nrES_Code,$F709,nrES_Att,1)&gt;0),"Yes","No")))</f>
        <v/>
      </c>
      <c r="S709" s="16" t="n"/>
      <c r="T709" s="17">
        <f>IF($Q709&lt;&gt;"Yes","",IF($S709="","(enter date)",_xlfn.LET(_xlpm.dn,IFERROR(_xlfn.XLOOKUP($S709,nrCDdate,nrCDnum),""),IF(_xlpm.dn="","(not a class day)",IFERROR(_xlfn.XLOOKUP(_xlpm.dn+cfgRetestClassDays,nrCDnum,nrCDdate),"")))))</f>
        <v/>
      </c>
      <c r="U709" s="15">
        <f>IF($Q709&lt;&gt;"Yes","",IF(COUNTIFS(nrES_PID,$D709,nrES_Code,$F709,nrES_Att,2)&gt;0,"Retested",IF(OR($T709="",NOT(ISNUMBER($T709))),"Pending",IF(TODAY()&gt;$T709,"OVERDUE","Due "&amp;TEXT($T709,"mm/dd")))))</f>
        <v/>
      </c>
      <c r="V709" s="14" t="n"/>
      <c r="W709" s="14" t="n"/>
    </row>
    <row r="710">
      <c r="B710" s="15">
        <f>IF($C710="","",$D710&amp;"-"&amp;$F710&amp;"-"&amp;$K710)</f>
        <v/>
      </c>
      <c r="C710" s="14" t="n"/>
      <c r="D710" s="15">
        <f>IF($C710="","",IFERROR(INDEX(rngCadetPIDs,MATCH($C710,rngCadetNames,0)),"?"))</f>
        <v/>
      </c>
      <c r="E710" s="15">
        <f>IF($D710="","",IFERROR(INDEX(nrCadetAgency,MATCH($D710,rngCadetPIDs,0)),""))</f>
        <v/>
      </c>
      <c r="F710" s="14" t="n"/>
      <c r="G710" s="15">
        <f>IF($F710="","",IFERROR(INDEX(rngEPname,MATCH($F710,rngEPcode,0)),"?"))</f>
        <v/>
      </c>
      <c r="H710" s="15">
        <f>IF($F710="","",IFERROR(INDEX(rngEPtype,MATCH($F710,rngEPcode,0)),"?"))</f>
        <v/>
      </c>
      <c r="I710" s="15">
        <f>IF($F710="","",IFERROR(INDEX(rngEPseq,MATCH($F710,rngEPcode,0)),""))</f>
        <v/>
      </c>
      <c r="J710" s="15">
        <f>IF($F710="","",IFERROR(INDEX(rngEPpass,MATCH($F710,rngEPcode,0)),cfgPassingScore))</f>
        <v/>
      </c>
      <c r="K710" s="14" t="n"/>
      <c r="L710" s="14" t="n"/>
      <c r="M710" s="15">
        <f>IF($C710="","",IF($L710="","",IF($K710=1,IF(COUNTIFS(nrES_PID,$D710,nrES_Code,$F710,nrES_Att,2)&gt;0,"",$L710),IF(COUNTIFS(nrES_PID,$D710,nrES_Code,$F710,nrES_Att,1)=0,$L710,IF($L710&gt;=$J710,cfgRetakeRecordedCap,SUMIFS(nrES_Raw,nrES_PID,$D710,nrES_Code,$F710,nrES_Att,1))))))</f>
        <v/>
      </c>
      <c r="N710" s="15">
        <f>IF($C710="","",IF($L710="","",IF($L710&gt;=$J710,"Yes","No")))</f>
        <v/>
      </c>
      <c r="O710" s="15">
        <f>IF($C710="","",IF($M710="","",IF($M710&gt;=$J710,"Yes","No")))</f>
        <v/>
      </c>
      <c r="P710" s="15">
        <f>IF($C710="","",IF($K710="","",IF(COUNTIFS(nrES_PID,$D710,nrES_Code,$F710,nrES_Att,"&gt;"&amp;$K710)=0,"Yes","No")))</f>
        <v/>
      </c>
      <c r="Q710" s="15">
        <f>IF($C710="","",IF($L710="","",IF(AND($K710=1,$L710&lt;$J710,COUNTIFS(nrES_PID,$D710,nrES_Code,$F710,nrES_Att,2)=0),"Yes","No")))</f>
        <v/>
      </c>
      <c r="R710" s="15">
        <f>IF($C710="","",IF($L710="","",IF(AND($K710=2,$L710&lt;$J710,COUNTIFS(nrES_PID,$D710,nrES_Code,$F710,nrES_Att,1)&gt;0),"Yes","No")))</f>
        <v/>
      </c>
      <c r="S710" s="16" t="n"/>
      <c r="T710" s="17">
        <f>IF($Q710&lt;&gt;"Yes","",IF($S710="","(enter date)",_xlfn.LET(_xlpm.dn,IFERROR(_xlfn.XLOOKUP($S710,nrCDdate,nrCDnum),""),IF(_xlpm.dn="","(not a class day)",IFERROR(_xlfn.XLOOKUP(_xlpm.dn+cfgRetestClassDays,nrCDnum,nrCDdate),"")))))</f>
        <v/>
      </c>
      <c r="U710" s="15">
        <f>IF($Q710&lt;&gt;"Yes","",IF(COUNTIFS(nrES_PID,$D710,nrES_Code,$F710,nrES_Att,2)&gt;0,"Retested",IF(OR($T710="",NOT(ISNUMBER($T710))),"Pending",IF(TODAY()&gt;$T710,"OVERDUE","Due "&amp;TEXT($T710,"mm/dd")))))</f>
        <v/>
      </c>
      <c r="V710" s="14" t="n"/>
      <c r="W710" s="14" t="n"/>
    </row>
    <row r="711">
      <c r="B711" s="15">
        <f>IF($C711="","",$D711&amp;"-"&amp;$F711&amp;"-"&amp;$K711)</f>
        <v/>
      </c>
      <c r="C711" s="14" t="n"/>
      <c r="D711" s="15">
        <f>IF($C711="","",IFERROR(INDEX(rngCadetPIDs,MATCH($C711,rngCadetNames,0)),"?"))</f>
        <v/>
      </c>
      <c r="E711" s="15">
        <f>IF($D711="","",IFERROR(INDEX(nrCadetAgency,MATCH($D711,rngCadetPIDs,0)),""))</f>
        <v/>
      </c>
      <c r="F711" s="14" t="n"/>
      <c r="G711" s="15">
        <f>IF($F711="","",IFERROR(INDEX(rngEPname,MATCH($F711,rngEPcode,0)),"?"))</f>
        <v/>
      </c>
      <c r="H711" s="15">
        <f>IF($F711="","",IFERROR(INDEX(rngEPtype,MATCH($F711,rngEPcode,0)),"?"))</f>
        <v/>
      </c>
      <c r="I711" s="15">
        <f>IF($F711="","",IFERROR(INDEX(rngEPseq,MATCH($F711,rngEPcode,0)),""))</f>
        <v/>
      </c>
      <c r="J711" s="15">
        <f>IF($F711="","",IFERROR(INDEX(rngEPpass,MATCH($F711,rngEPcode,0)),cfgPassingScore))</f>
        <v/>
      </c>
      <c r="K711" s="14" t="n"/>
      <c r="L711" s="14" t="n"/>
      <c r="M711" s="15">
        <f>IF($C711="","",IF($L711="","",IF($K711=1,IF(COUNTIFS(nrES_PID,$D711,nrES_Code,$F711,nrES_Att,2)&gt;0,"",$L711),IF(COUNTIFS(nrES_PID,$D711,nrES_Code,$F711,nrES_Att,1)=0,$L711,IF($L711&gt;=$J711,cfgRetakeRecordedCap,SUMIFS(nrES_Raw,nrES_PID,$D711,nrES_Code,$F711,nrES_Att,1))))))</f>
        <v/>
      </c>
      <c r="N711" s="15">
        <f>IF($C711="","",IF($L711="","",IF($L711&gt;=$J711,"Yes","No")))</f>
        <v/>
      </c>
      <c r="O711" s="15">
        <f>IF($C711="","",IF($M711="","",IF($M711&gt;=$J711,"Yes","No")))</f>
        <v/>
      </c>
      <c r="P711" s="15">
        <f>IF($C711="","",IF($K711="","",IF(COUNTIFS(nrES_PID,$D711,nrES_Code,$F711,nrES_Att,"&gt;"&amp;$K711)=0,"Yes","No")))</f>
        <v/>
      </c>
      <c r="Q711" s="15">
        <f>IF($C711="","",IF($L711="","",IF(AND($K711=1,$L711&lt;$J711,COUNTIFS(nrES_PID,$D711,nrES_Code,$F711,nrES_Att,2)=0),"Yes","No")))</f>
        <v/>
      </c>
      <c r="R711" s="15">
        <f>IF($C711="","",IF($L711="","",IF(AND($K711=2,$L711&lt;$J711,COUNTIFS(nrES_PID,$D711,nrES_Code,$F711,nrES_Att,1)&gt;0),"Yes","No")))</f>
        <v/>
      </c>
      <c r="S711" s="16" t="n"/>
      <c r="T711" s="17">
        <f>IF($Q711&lt;&gt;"Yes","",IF($S711="","(enter date)",_xlfn.LET(_xlpm.dn,IFERROR(_xlfn.XLOOKUP($S711,nrCDdate,nrCDnum),""),IF(_xlpm.dn="","(not a class day)",IFERROR(_xlfn.XLOOKUP(_xlpm.dn+cfgRetestClassDays,nrCDnum,nrCDdate),"")))))</f>
        <v/>
      </c>
      <c r="U711" s="15">
        <f>IF($Q711&lt;&gt;"Yes","",IF(COUNTIFS(nrES_PID,$D711,nrES_Code,$F711,nrES_Att,2)&gt;0,"Retested",IF(OR($T711="",NOT(ISNUMBER($T711))),"Pending",IF(TODAY()&gt;$T711,"OVERDUE","Due "&amp;TEXT($T711,"mm/dd")))))</f>
        <v/>
      </c>
      <c r="V711" s="14" t="n"/>
      <c r="W711" s="14" t="n"/>
    </row>
    <row r="712">
      <c r="B712" s="15">
        <f>IF($C712="","",$D712&amp;"-"&amp;$F712&amp;"-"&amp;$K712)</f>
        <v/>
      </c>
      <c r="C712" s="14" t="n"/>
      <c r="D712" s="15">
        <f>IF($C712="","",IFERROR(INDEX(rngCadetPIDs,MATCH($C712,rngCadetNames,0)),"?"))</f>
        <v/>
      </c>
      <c r="E712" s="15">
        <f>IF($D712="","",IFERROR(INDEX(nrCadetAgency,MATCH($D712,rngCadetPIDs,0)),""))</f>
        <v/>
      </c>
      <c r="F712" s="14" t="n"/>
      <c r="G712" s="15">
        <f>IF($F712="","",IFERROR(INDEX(rngEPname,MATCH($F712,rngEPcode,0)),"?"))</f>
        <v/>
      </c>
      <c r="H712" s="15">
        <f>IF($F712="","",IFERROR(INDEX(rngEPtype,MATCH($F712,rngEPcode,0)),"?"))</f>
        <v/>
      </c>
      <c r="I712" s="15">
        <f>IF($F712="","",IFERROR(INDEX(rngEPseq,MATCH($F712,rngEPcode,0)),""))</f>
        <v/>
      </c>
      <c r="J712" s="15">
        <f>IF($F712="","",IFERROR(INDEX(rngEPpass,MATCH($F712,rngEPcode,0)),cfgPassingScore))</f>
        <v/>
      </c>
      <c r="K712" s="14" t="n"/>
      <c r="L712" s="14" t="n"/>
      <c r="M712" s="15">
        <f>IF($C712="","",IF($L712="","",IF($K712=1,IF(COUNTIFS(nrES_PID,$D712,nrES_Code,$F712,nrES_Att,2)&gt;0,"",$L712),IF(COUNTIFS(nrES_PID,$D712,nrES_Code,$F712,nrES_Att,1)=0,$L712,IF($L712&gt;=$J712,cfgRetakeRecordedCap,SUMIFS(nrES_Raw,nrES_PID,$D712,nrES_Code,$F712,nrES_Att,1))))))</f>
        <v/>
      </c>
      <c r="N712" s="15">
        <f>IF($C712="","",IF($L712="","",IF($L712&gt;=$J712,"Yes","No")))</f>
        <v/>
      </c>
      <c r="O712" s="15">
        <f>IF($C712="","",IF($M712="","",IF($M712&gt;=$J712,"Yes","No")))</f>
        <v/>
      </c>
      <c r="P712" s="15">
        <f>IF($C712="","",IF($K712="","",IF(COUNTIFS(nrES_PID,$D712,nrES_Code,$F712,nrES_Att,"&gt;"&amp;$K712)=0,"Yes","No")))</f>
        <v/>
      </c>
      <c r="Q712" s="15">
        <f>IF($C712="","",IF($L712="","",IF(AND($K712=1,$L712&lt;$J712,COUNTIFS(nrES_PID,$D712,nrES_Code,$F712,nrES_Att,2)=0),"Yes","No")))</f>
        <v/>
      </c>
      <c r="R712" s="15">
        <f>IF($C712="","",IF($L712="","",IF(AND($K712=2,$L712&lt;$J712,COUNTIFS(nrES_PID,$D712,nrES_Code,$F712,nrES_Att,1)&gt;0),"Yes","No")))</f>
        <v/>
      </c>
      <c r="S712" s="16" t="n"/>
      <c r="T712" s="17">
        <f>IF($Q712&lt;&gt;"Yes","",IF($S712="","(enter date)",_xlfn.LET(_xlpm.dn,IFERROR(_xlfn.XLOOKUP($S712,nrCDdate,nrCDnum),""),IF(_xlpm.dn="","(not a class day)",IFERROR(_xlfn.XLOOKUP(_xlpm.dn+cfgRetestClassDays,nrCDnum,nrCDdate),"")))))</f>
        <v/>
      </c>
      <c r="U712" s="15">
        <f>IF($Q712&lt;&gt;"Yes","",IF(COUNTIFS(nrES_PID,$D712,nrES_Code,$F712,nrES_Att,2)&gt;0,"Retested",IF(OR($T712="",NOT(ISNUMBER($T712))),"Pending",IF(TODAY()&gt;$T712,"OVERDUE","Due "&amp;TEXT($T712,"mm/dd")))))</f>
        <v/>
      </c>
      <c r="V712" s="14" t="n"/>
      <c r="W712" s="14" t="n"/>
    </row>
    <row r="713">
      <c r="B713" s="15">
        <f>IF($C713="","",$D713&amp;"-"&amp;$F713&amp;"-"&amp;$K713)</f>
        <v/>
      </c>
      <c r="C713" s="14" t="n"/>
      <c r="D713" s="15">
        <f>IF($C713="","",IFERROR(INDEX(rngCadetPIDs,MATCH($C713,rngCadetNames,0)),"?"))</f>
        <v/>
      </c>
      <c r="E713" s="15">
        <f>IF($D713="","",IFERROR(INDEX(nrCadetAgency,MATCH($D713,rngCadetPIDs,0)),""))</f>
        <v/>
      </c>
      <c r="F713" s="14" t="n"/>
      <c r="G713" s="15">
        <f>IF($F713="","",IFERROR(INDEX(rngEPname,MATCH($F713,rngEPcode,0)),"?"))</f>
        <v/>
      </c>
      <c r="H713" s="15">
        <f>IF($F713="","",IFERROR(INDEX(rngEPtype,MATCH($F713,rngEPcode,0)),"?"))</f>
        <v/>
      </c>
      <c r="I713" s="15">
        <f>IF($F713="","",IFERROR(INDEX(rngEPseq,MATCH($F713,rngEPcode,0)),""))</f>
        <v/>
      </c>
      <c r="J713" s="15">
        <f>IF($F713="","",IFERROR(INDEX(rngEPpass,MATCH($F713,rngEPcode,0)),cfgPassingScore))</f>
        <v/>
      </c>
      <c r="K713" s="14" t="n"/>
      <c r="L713" s="14" t="n"/>
      <c r="M713" s="15">
        <f>IF($C713="","",IF($L713="","",IF($K713=1,IF(COUNTIFS(nrES_PID,$D713,nrES_Code,$F713,nrES_Att,2)&gt;0,"",$L713),IF(COUNTIFS(nrES_PID,$D713,nrES_Code,$F713,nrES_Att,1)=0,$L713,IF($L713&gt;=$J713,cfgRetakeRecordedCap,SUMIFS(nrES_Raw,nrES_PID,$D713,nrES_Code,$F713,nrES_Att,1))))))</f>
        <v/>
      </c>
      <c r="N713" s="15">
        <f>IF($C713="","",IF($L713="","",IF($L713&gt;=$J713,"Yes","No")))</f>
        <v/>
      </c>
      <c r="O713" s="15">
        <f>IF($C713="","",IF($M713="","",IF($M713&gt;=$J713,"Yes","No")))</f>
        <v/>
      </c>
      <c r="P713" s="15">
        <f>IF($C713="","",IF($K713="","",IF(COUNTIFS(nrES_PID,$D713,nrES_Code,$F713,nrES_Att,"&gt;"&amp;$K713)=0,"Yes","No")))</f>
        <v/>
      </c>
      <c r="Q713" s="15">
        <f>IF($C713="","",IF($L713="","",IF(AND($K713=1,$L713&lt;$J713,COUNTIFS(nrES_PID,$D713,nrES_Code,$F713,nrES_Att,2)=0),"Yes","No")))</f>
        <v/>
      </c>
      <c r="R713" s="15">
        <f>IF($C713="","",IF($L713="","",IF(AND($K713=2,$L713&lt;$J713,COUNTIFS(nrES_PID,$D713,nrES_Code,$F713,nrES_Att,1)&gt;0),"Yes","No")))</f>
        <v/>
      </c>
      <c r="S713" s="16" t="n"/>
      <c r="T713" s="17">
        <f>IF($Q713&lt;&gt;"Yes","",IF($S713="","(enter date)",_xlfn.LET(_xlpm.dn,IFERROR(_xlfn.XLOOKUP($S713,nrCDdate,nrCDnum),""),IF(_xlpm.dn="","(not a class day)",IFERROR(_xlfn.XLOOKUP(_xlpm.dn+cfgRetestClassDays,nrCDnum,nrCDdate),"")))))</f>
        <v/>
      </c>
      <c r="U713" s="15">
        <f>IF($Q713&lt;&gt;"Yes","",IF(COUNTIFS(nrES_PID,$D713,nrES_Code,$F713,nrES_Att,2)&gt;0,"Retested",IF(OR($T713="",NOT(ISNUMBER($T713))),"Pending",IF(TODAY()&gt;$T713,"OVERDUE","Due "&amp;TEXT($T713,"mm/dd")))))</f>
        <v/>
      </c>
      <c r="V713" s="14" t="n"/>
      <c r="W713" s="14" t="n"/>
    </row>
    <row r="714">
      <c r="B714" s="15">
        <f>IF($C714="","",$D714&amp;"-"&amp;$F714&amp;"-"&amp;$K714)</f>
        <v/>
      </c>
      <c r="C714" s="14" t="n"/>
      <c r="D714" s="15">
        <f>IF($C714="","",IFERROR(INDEX(rngCadetPIDs,MATCH($C714,rngCadetNames,0)),"?"))</f>
        <v/>
      </c>
      <c r="E714" s="15">
        <f>IF($D714="","",IFERROR(INDEX(nrCadetAgency,MATCH($D714,rngCadetPIDs,0)),""))</f>
        <v/>
      </c>
      <c r="F714" s="14" t="n"/>
      <c r="G714" s="15">
        <f>IF($F714="","",IFERROR(INDEX(rngEPname,MATCH($F714,rngEPcode,0)),"?"))</f>
        <v/>
      </c>
      <c r="H714" s="15">
        <f>IF($F714="","",IFERROR(INDEX(rngEPtype,MATCH($F714,rngEPcode,0)),"?"))</f>
        <v/>
      </c>
      <c r="I714" s="15">
        <f>IF($F714="","",IFERROR(INDEX(rngEPseq,MATCH($F714,rngEPcode,0)),""))</f>
        <v/>
      </c>
      <c r="J714" s="15">
        <f>IF($F714="","",IFERROR(INDEX(rngEPpass,MATCH($F714,rngEPcode,0)),cfgPassingScore))</f>
        <v/>
      </c>
      <c r="K714" s="14" t="n"/>
      <c r="L714" s="14" t="n"/>
      <c r="M714" s="15">
        <f>IF($C714="","",IF($L714="","",IF($K714=1,IF(COUNTIFS(nrES_PID,$D714,nrES_Code,$F714,nrES_Att,2)&gt;0,"",$L714),IF(COUNTIFS(nrES_PID,$D714,nrES_Code,$F714,nrES_Att,1)=0,$L714,IF($L714&gt;=$J714,cfgRetakeRecordedCap,SUMIFS(nrES_Raw,nrES_PID,$D714,nrES_Code,$F714,nrES_Att,1))))))</f>
        <v/>
      </c>
      <c r="N714" s="15">
        <f>IF($C714="","",IF($L714="","",IF($L714&gt;=$J714,"Yes","No")))</f>
        <v/>
      </c>
      <c r="O714" s="15">
        <f>IF($C714="","",IF($M714="","",IF($M714&gt;=$J714,"Yes","No")))</f>
        <v/>
      </c>
      <c r="P714" s="15">
        <f>IF($C714="","",IF($K714="","",IF(COUNTIFS(nrES_PID,$D714,nrES_Code,$F714,nrES_Att,"&gt;"&amp;$K714)=0,"Yes","No")))</f>
        <v/>
      </c>
      <c r="Q714" s="15">
        <f>IF($C714="","",IF($L714="","",IF(AND($K714=1,$L714&lt;$J714,COUNTIFS(nrES_PID,$D714,nrES_Code,$F714,nrES_Att,2)=0),"Yes","No")))</f>
        <v/>
      </c>
      <c r="R714" s="15">
        <f>IF($C714="","",IF($L714="","",IF(AND($K714=2,$L714&lt;$J714,COUNTIFS(nrES_PID,$D714,nrES_Code,$F714,nrES_Att,1)&gt;0),"Yes","No")))</f>
        <v/>
      </c>
      <c r="S714" s="16" t="n"/>
      <c r="T714" s="17">
        <f>IF($Q714&lt;&gt;"Yes","",IF($S714="","(enter date)",_xlfn.LET(_xlpm.dn,IFERROR(_xlfn.XLOOKUP($S714,nrCDdate,nrCDnum),""),IF(_xlpm.dn="","(not a class day)",IFERROR(_xlfn.XLOOKUP(_xlpm.dn+cfgRetestClassDays,nrCDnum,nrCDdate),"")))))</f>
        <v/>
      </c>
      <c r="U714" s="15">
        <f>IF($Q714&lt;&gt;"Yes","",IF(COUNTIFS(nrES_PID,$D714,nrES_Code,$F714,nrES_Att,2)&gt;0,"Retested",IF(OR($T714="",NOT(ISNUMBER($T714))),"Pending",IF(TODAY()&gt;$T714,"OVERDUE","Due "&amp;TEXT($T714,"mm/dd")))))</f>
        <v/>
      </c>
      <c r="V714" s="14" t="n"/>
      <c r="W714" s="14" t="n"/>
    </row>
    <row r="715">
      <c r="B715" s="15">
        <f>IF($C715="","",$D715&amp;"-"&amp;$F715&amp;"-"&amp;$K715)</f>
        <v/>
      </c>
      <c r="C715" s="14" t="n"/>
      <c r="D715" s="15">
        <f>IF($C715="","",IFERROR(INDEX(rngCadetPIDs,MATCH($C715,rngCadetNames,0)),"?"))</f>
        <v/>
      </c>
      <c r="E715" s="15">
        <f>IF($D715="","",IFERROR(INDEX(nrCadetAgency,MATCH($D715,rngCadetPIDs,0)),""))</f>
        <v/>
      </c>
      <c r="F715" s="14" t="n"/>
      <c r="G715" s="15">
        <f>IF($F715="","",IFERROR(INDEX(rngEPname,MATCH($F715,rngEPcode,0)),"?"))</f>
        <v/>
      </c>
      <c r="H715" s="15">
        <f>IF($F715="","",IFERROR(INDEX(rngEPtype,MATCH($F715,rngEPcode,0)),"?"))</f>
        <v/>
      </c>
      <c r="I715" s="15">
        <f>IF($F715="","",IFERROR(INDEX(rngEPseq,MATCH($F715,rngEPcode,0)),""))</f>
        <v/>
      </c>
      <c r="J715" s="15">
        <f>IF($F715="","",IFERROR(INDEX(rngEPpass,MATCH($F715,rngEPcode,0)),cfgPassingScore))</f>
        <v/>
      </c>
      <c r="K715" s="14" t="n"/>
      <c r="L715" s="14" t="n"/>
      <c r="M715" s="15">
        <f>IF($C715="","",IF($L715="","",IF($K715=1,IF(COUNTIFS(nrES_PID,$D715,nrES_Code,$F715,nrES_Att,2)&gt;0,"",$L715),IF(COUNTIFS(nrES_PID,$D715,nrES_Code,$F715,nrES_Att,1)=0,$L715,IF($L715&gt;=$J715,cfgRetakeRecordedCap,SUMIFS(nrES_Raw,nrES_PID,$D715,nrES_Code,$F715,nrES_Att,1))))))</f>
        <v/>
      </c>
      <c r="N715" s="15">
        <f>IF($C715="","",IF($L715="","",IF($L715&gt;=$J715,"Yes","No")))</f>
        <v/>
      </c>
      <c r="O715" s="15">
        <f>IF($C715="","",IF($M715="","",IF($M715&gt;=$J715,"Yes","No")))</f>
        <v/>
      </c>
      <c r="P715" s="15">
        <f>IF($C715="","",IF($K715="","",IF(COUNTIFS(nrES_PID,$D715,nrES_Code,$F715,nrES_Att,"&gt;"&amp;$K715)=0,"Yes","No")))</f>
        <v/>
      </c>
      <c r="Q715" s="15">
        <f>IF($C715="","",IF($L715="","",IF(AND($K715=1,$L715&lt;$J715,COUNTIFS(nrES_PID,$D715,nrES_Code,$F715,nrES_Att,2)=0),"Yes","No")))</f>
        <v/>
      </c>
      <c r="R715" s="15">
        <f>IF($C715="","",IF($L715="","",IF(AND($K715=2,$L715&lt;$J715,COUNTIFS(nrES_PID,$D715,nrES_Code,$F715,nrES_Att,1)&gt;0),"Yes","No")))</f>
        <v/>
      </c>
      <c r="S715" s="16" t="n"/>
      <c r="T715" s="17">
        <f>IF($Q715&lt;&gt;"Yes","",IF($S715="","(enter date)",_xlfn.LET(_xlpm.dn,IFERROR(_xlfn.XLOOKUP($S715,nrCDdate,nrCDnum),""),IF(_xlpm.dn="","(not a class day)",IFERROR(_xlfn.XLOOKUP(_xlpm.dn+cfgRetestClassDays,nrCDnum,nrCDdate),"")))))</f>
        <v/>
      </c>
      <c r="U715" s="15">
        <f>IF($Q715&lt;&gt;"Yes","",IF(COUNTIFS(nrES_PID,$D715,nrES_Code,$F715,nrES_Att,2)&gt;0,"Retested",IF(OR($T715="",NOT(ISNUMBER($T715))),"Pending",IF(TODAY()&gt;$T715,"OVERDUE","Due "&amp;TEXT($T715,"mm/dd")))))</f>
        <v/>
      </c>
      <c r="V715" s="14" t="n"/>
      <c r="W715" s="14" t="n"/>
    </row>
    <row r="716">
      <c r="B716" s="15">
        <f>IF($C716="","",$D716&amp;"-"&amp;$F716&amp;"-"&amp;$K716)</f>
        <v/>
      </c>
      <c r="C716" s="14" t="n"/>
      <c r="D716" s="15">
        <f>IF($C716="","",IFERROR(INDEX(rngCadetPIDs,MATCH($C716,rngCadetNames,0)),"?"))</f>
        <v/>
      </c>
      <c r="E716" s="15">
        <f>IF($D716="","",IFERROR(INDEX(nrCadetAgency,MATCH($D716,rngCadetPIDs,0)),""))</f>
        <v/>
      </c>
      <c r="F716" s="14" t="n"/>
      <c r="G716" s="15">
        <f>IF($F716="","",IFERROR(INDEX(rngEPname,MATCH($F716,rngEPcode,0)),"?"))</f>
        <v/>
      </c>
      <c r="H716" s="15">
        <f>IF($F716="","",IFERROR(INDEX(rngEPtype,MATCH($F716,rngEPcode,0)),"?"))</f>
        <v/>
      </c>
      <c r="I716" s="15">
        <f>IF($F716="","",IFERROR(INDEX(rngEPseq,MATCH($F716,rngEPcode,0)),""))</f>
        <v/>
      </c>
      <c r="J716" s="15">
        <f>IF($F716="","",IFERROR(INDEX(rngEPpass,MATCH($F716,rngEPcode,0)),cfgPassingScore))</f>
        <v/>
      </c>
      <c r="K716" s="14" t="n"/>
      <c r="L716" s="14" t="n"/>
      <c r="M716" s="15">
        <f>IF($C716="","",IF($L716="","",IF($K716=1,IF(COUNTIFS(nrES_PID,$D716,nrES_Code,$F716,nrES_Att,2)&gt;0,"",$L716),IF(COUNTIFS(nrES_PID,$D716,nrES_Code,$F716,nrES_Att,1)=0,$L716,IF($L716&gt;=$J716,cfgRetakeRecordedCap,SUMIFS(nrES_Raw,nrES_PID,$D716,nrES_Code,$F716,nrES_Att,1))))))</f>
        <v/>
      </c>
      <c r="N716" s="15">
        <f>IF($C716="","",IF($L716="","",IF($L716&gt;=$J716,"Yes","No")))</f>
        <v/>
      </c>
      <c r="O716" s="15">
        <f>IF($C716="","",IF($M716="","",IF($M716&gt;=$J716,"Yes","No")))</f>
        <v/>
      </c>
      <c r="P716" s="15">
        <f>IF($C716="","",IF($K716="","",IF(COUNTIFS(nrES_PID,$D716,nrES_Code,$F716,nrES_Att,"&gt;"&amp;$K716)=0,"Yes","No")))</f>
        <v/>
      </c>
      <c r="Q716" s="15">
        <f>IF($C716="","",IF($L716="","",IF(AND($K716=1,$L716&lt;$J716,COUNTIFS(nrES_PID,$D716,nrES_Code,$F716,nrES_Att,2)=0),"Yes","No")))</f>
        <v/>
      </c>
      <c r="R716" s="15">
        <f>IF($C716="","",IF($L716="","",IF(AND($K716=2,$L716&lt;$J716,COUNTIFS(nrES_PID,$D716,nrES_Code,$F716,nrES_Att,1)&gt;0),"Yes","No")))</f>
        <v/>
      </c>
      <c r="S716" s="16" t="n"/>
      <c r="T716" s="17">
        <f>IF($Q716&lt;&gt;"Yes","",IF($S716="","(enter date)",_xlfn.LET(_xlpm.dn,IFERROR(_xlfn.XLOOKUP($S716,nrCDdate,nrCDnum),""),IF(_xlpm.dn="","(not a class day)",IFERROR(_xlfn.XLOOKUP(_xlpm.dn+cfgRetestClassDays,nrCDnum,nrCDdate),"")))))</f>
        <v/>
      </c>
      <c r="U716" s="15">
        <f>IF($Q716&lt;&gt;"Yes","",IF(COUNTIFS(nrES_PID,$D716,nrES_Code,$F716,nrES_Att,2)&gt;0,"Retested",IF(OR($T716="",NOT(ISNUMBER($T716))),"Pending",IF(TODAY()&gt;$T716,"OVERDUE","Due "&amp;TEXT($T716,"mm/dd")))))</f>
        <v/>
      </c>
      <c r="V716" s="14" t="n"/>
      <c r="W716" s="14" t="n"/>
    </row>
    <row r="717">
      <c r="B717" s="15">
        <f>IF($C717="","",$D717&amp;"-"&amp;$F717&amp;"-"&amp;$K717)</f>
        <v/>
      </c>
      <c r="C717" s="14" t="n"/>
      <c r="D717" s="15">
        <f>IF($C717="","",IFERROR(INDEX(rngCadetPIDs,MATCH($C717,rngCadetNames,0)),"?"))</f>
        <v/>
      </c>
      <c r="E717" s="15">
        <f>IF($D717="","",IFERROR(INDEX(nrCadetAgency,MATCH($D717,rngCadetPIDs,0)),""))</f>
        <v/>
      </c>
      <c r="F717" s="14" t="n"/>
      <c r="G717" s="15">
        <f>IF($F717="","",IFERROR(INDEX(rngEPname,MATCH($F717,rngEPcode,0)),"?"))</f>
        <v/>
      </c>
      <c r="H717" s="15">
        <f>IF($F717="","",IFERROR(INDEX(rngEPtype,MATCH($F717,rngEPcode,0)),"?"))</f>
        <v/>
      </c>
      <c r="I717" s="15">
        <f>IF($F717="","",IFERROR(INDEX(rngEPseq,MATCH($F717,rngEPcode,0)),""))</f>
        <v/>
      </c>
      <c r="J717" s="15">
        <f>IF($F717="","",IFERROR(INDEX(rngEPpass,MATCH($F717,rngEPcode,0)),cfgPassingScore))</f>
        <v/>
      </c>
      <c r="K717" s="14" t="n"/>
      <c r="L717" s="14" t="n"/>
      <c r="M717" s="15">
        <f>IF($C717="","",IF($L717="","",IF($K717=1,IF(COUNTIFS(nrES_PID,$D717,nrES_Code,$F717,nrES_Att,2)&gt;0,"",$L717),IF(COUNTIFS(nrES_PID,$D717,nrES_Code,$F717,nrES_Att,1)=0,$L717,IF($L717&gt;=$J717,cfgRetakeRecordedCap,SUMIFS(nrES_Raw,nrES_PID,$D717,nrES_Code,$F717,nrES_Att,1))))))</f>
        <v/>
      </c>
      <c r="N717" s="15">
        <f>IF($C717="","",IF($L717="","",IF($L717&gt;=$J717,"Yes","No")))</f>
        <v/>
      </c>
      <c r="O717" s="15">
        <f>IF($C717="","",IF($M717="","",IF($M717&gt;=$J717,"Yes","No")))</f>
        <v/>
      </c>
      <c r="P717" s="15">
        <f>IF($C717="","",IF($K717="","",IF(COUNTIFS(nrES_PID,$D717,nrES_Code,$F717,nrES_Att,"&gt;"&amp;$K717)=0,"Yes","No")))</f>
        <v/>
      </c>
      <c r="Q717" s="15">
        <f>IF($C717="","",IF($L717="","",IF(AND($K717=1,$L717&lt;$J717,COUNTIFS(nrES_PID,$D717,nrES_Code,$F717,nrES_Att,2)=0),"Yes","No")))</f>
        <v/>
      </c>
      <c r="R717" s="15">
        <f>IF($C717="","",IF($L717="","",IF(AND($K717=2,$L717&lt;$J717,COUNTIFS(nrES_PID,$D717,nrES_Code,$F717,nrES_Att,1)&gt;0),"Yes","No")))</f>
        <v/>
      </c>
      <c r="S717" s="16" t="n"/>
      <c r="T717" s="17">
        <f>IF($Q717&lt;&gt;"Yes","",IF($S717="","(enter date)",_xlfn.LET(_xlpm.dn,IFERROR(_xlfn.XLOOKUP($S717,nrCDdate,nrCDnum),""),IF(_xlpm.dn="","(not a class day)",IFERROR(_xlfn.XLOOKUP(_xlpm.dn+cfgRetestClassDays,nrCDnum,nrCDdate),"")))))</f>
        <v/>
      </c>
      <c r="U717" s="15">
        <f>IF($Q717&lt;&gt;"Yes","",IF(COUNTIFS(nrES_PID,$D717,nrES_Code,$F717,nrES_Att,2)&gt;0,"Retested",IF(OR($T717="",NOT(ISNUMBER($T717))),"Pending",IF(TODAY()&gt;$T717,"OVERDUE","Due "&amp;TEXT($T717,"mm/dd")))))</f>
        <v/>
      </c>
      <c r="V717" s="14" t="n"/>
      <c r="W717" s="14" t="n"/>
    </row>
    <row r="718">
      <c r="B718" s="15">
        <f>IF($C718="","",$D718&amp;"-"&amp;$F718&amp;"-"&amp;$K718)</f>
        <v/>
      </c>
      <c r="C718" s="14" t="n"/>
      <c r="D718" s="15">
        <f>IF($C718="","",IFERROR(INDEX(rngCadetPIDs,MATCH($C718,rngCadetNames,0)),"?"))</f>
        <v/>
      </c>
      <c r="E718" s="15">
        <f>IF($D718="","",IFERROR(INDEX(nrCadetAgency,MATCH($D718,rngCadetPIDs,0)),""))</f>
        <v/>
      </c>
      <c r="F718" s="14" t="n"/>
      <c r="G718" s="15">
        <f>IF($F718="","",IFERROR(INDEX(rngEPname,MATCH($F718,rngEPcode,0)),"?"))</f>
        <v/>
      </c>
      <c r="H718" s="15">
        <f>IF($F718="","",IFERROR(INDEX(rngEPtype,MATCH($F718,rngEPcode,0)),"?"))</f>
        <v/>
      </c>
      <c r="I718" s="15">
        <f>IF($F718="","",IFERROR(INDEX(rngEPseq,MATCH($F718,rngEPcode,0)),""))</f>
        <v/>
      </c>
      <c r="J718" s="15">
        <f>IF($F718="","",IFERROR(INDEX(rngEPpass,MATCH($F718,rngEPcode,0)),cfgPassingScore))</f>
        <v/>
      </c>
      <c r="K718" s="14" t="n"/>
      <c r="L718" s="14" t="n"/>
      <c r="M718" s="15">
        <f>IF($C718="","",IF($L718="","",IF($K718=1,IF(COUNTIFS(nrES_PID,$D718,nrES_Code,$F718,nrES_Att,2)&gt;0,"",$L718),IF(COUNTIFS(nrES_PID,$D718,nrES_Code,$F718,nrES_Att,1)=0,$L718,IF($L718&gt;=$J718,cfgRetakeRecordedCap,SUMIFS(nrES_Raw,nrES_PID,$D718,nrES_Code,$F718,nrES_Att,1))))))</f>
        <v/>
      </c>
      <c r="N718" s="15">
        <f>IF($C718="","",IF($L718="","",IF($L718&gt;=$J718,"Yes","No")))</f>
        <v/>
      </c>
      <c r="O718" s="15">
        <f>IF($C718="","",IF($M718="","",IF($M718&gt;=$J718,"Yes","No")))</f>
        <v/>
      </c>
      <c r="P718" s="15">
        <f>IF($C718="","",IF($K718="","",IF(COUNTIFS(nrES_PID,$D718,nrES_Code,$F718,nrES_Att,"&gt;"&amp;$K718)=0,"Yes","No")))</f>
        <v/>
      </c>
      <c r="Q718" s="15">
        <f>IF($C718="","",IF($L718="","",IF(AND($K718=1,$L718&lt;$J718,COUNTIFS(nrES_PID,$D718,nrES_Code,$F718,nrES_Att,2)=0),"Yes","No")))</f>
        <v/>
      </c>
      <c r="R718" s="15">
        <f>IF($C718="","",IF($L718="","",IF(AND($K718=2,$L718&lt;$J718,COUNTIFS(nrES_PID,$D718,nrES_Code,$F718,nrES_Att,1)&gt;0),"Yes","No")))</f>
        <v/>
      </c>
      <c r="S718" s="16" t="n"/>
      <c r="T718" s="17">
        <f>IF($Q718&lt;&gt;"Yes","",IF($S718="","(enter date)",_xlfn.LET(_xlpm.dn,IFERROR(_xlfn.XLOOKUP($S718,nrCDdate,nrCDnum),""),IF(_xlpm.dn="","(not a class day)",IFERROR(_xlfn.XLOOKUP(_xlpm.dn+cfgRetestClassDays,nrCDnum,nrCDdate),"")))))</f>
        <v/>
      </c>
      <c r="U718" s="15">
        <f>IF($Q718&lt;&gt;"Yes","",IF(COUNTIFS(nrES_PID,$D718,nrES_Code,$F718,nrES_Att,2)&gt;0,"Retested",IF(OR($T718="",NOT(ISNUMBER($T718))),"Pending",IF(TODAY()&gt;$T718,"OVERDUE","Due "&amp;TEXT($T718,"mm/dd")))))</f>
        <v/>
      </c>
      <c r="V718" s="14" t="n"/>
      <c r="W718" s="14" t="n"/>
    </row>
    <row r="719">
      <c r="B719" s="15">
        <f>IF($C719="","",$D719&amp;"-"&amp;$F719&amp;"-"&amp;$K719)</f>
        <v/>
      </c>
      <c r="C719" s="14" t="n"/>
      <c r="D719" s="15">
        <f>IF($C719="","",IFERROR(INDEX(rngCadetPIDs,MATCH($C719,rngCadetNames,0)),"?"))</f>
        <v/>
      </c>
      <c r="E719" s="15">
        <f>IF($D719="","",IFERROR(INDEX(nrCadetAgency,MATCH($D719,rngCadetPIDs,0)),""))</f>
        <v/>
      </c>
      <c r="F719" s="14" t="n"/>
      <c r="G719" s="15">
        <f>IF($F719="","",IFERROR(INDEX(rngEPname,MATCH($F719,rngEPcode,0)),"?"))</f>
        <v/>
      </c>
      <c r="H719" s="15">
        <f>IF($F719="","",IFERROR(INDEX(rngEPtype,MATCH($F719,rngEPcode,0)),"?"))</f>
        <v/>
      </c>
      <c r="I719" s="15">
        <f>IF($F719="","",IFERROR(INDEX(rngEPseq,MATCH($F719,rngEPcode,0)),""))</f>
        <v/>
      </c>
      <c r="J719" s="15">
        <f>IF($F719="","",IFERROR(INDEX(rngEPpass,MATCH($F719,rngEPcode,0)),cfgPassingScore))</f>
        <v/>
      </c>
      <c r="K719" s="14" t="n"/>
      <c r="L719" s="14" t="n"/>
      <c r="M719" s="15">
        <f>IF($C719="","",IF($L719="","",IF($K719=1,IF(COUNTIFS(nrES_PID,$D719,nrES_Code,$F719,nrES_Att,2)&gt;0,"",$L719),IF(COUNTIFS(nrES_PID,$D719,nrES_Code,$F719,nrES_Att,1)=0,$L719,IF($L719&gt;=$J719,cfgRetakeRecordedCap,SUMIFS(nrES_Raw,nrES_PID,$D719,nrES_Code,$F719,nrES_Att,1))))))</f>
        <v/>
      </c>
      <c r="N719" s="15">
        <f>IF($C719="","",IF($L719="","",IF($L719&gt;=$J719,"Yes","No")))</f>
        <v/>
      </c>
      <c r="O719" s="15">
        <f>IF($C719="","",IF($M719="","",IF($M719&gt;=$J719,"Yes","No")))</f>
        <v/>
      </c>
      <c r="P719" s="15">
        <f>IF($C719="","",IF($K719="","",IF(COUNTIFS(nrES_PID,$D719,nrES_Code,$F719,nrES_Att,"&gt;"&amp;$K719)=0,"Yes","No")))</f>
        <v/>
      </c>
      <c r="Q719" s="15">
        <f>IF($C719="","",IF($L719="","",IF(AND($K719=1,$L719&lt;$J719,COUNTIFS(nrES_PID,$D719,nrES_Code,$F719,nrES_Att,2)=0),"Yes","No")))</f>
        <v/>
      </c>
      <c r="R719" s="15">
        <f>IF($C719="","",IF($L719="","",IF(AND($K719=2,$L719&lt;$J719,COUNTIFS(nrES_PID,$D719,nrES_Code,$F719,nrES_Att,1)&gt;0),"Yes","No")))</f>
        <v/>
      </c>
      <c r="S719" s="16" t="n"/>
      <c r="T719" s="17">
        <f>IF($Q719&lt;&gt;"Yes","",IF($S719="","(enter date)",_xlfn.LET(_xlpm.dn,IFERROR(_xlfn.XLOOKUP($S719,nrCDdate,nrCDnum),""),IF(_xlpm.dn="","(not a class day)",IFERROR(_xlfn.XLOOKUP(_xlpm.dn+cfgRetestClassDays,nrCDnum,nrCDdate),"")))))</f>
        <v/>
      </c>
      <c r="U719" s="15">
        <f>IF($Q719&lt;&gt;"Yes","",IF(COUNTIFS(nrES_PID,$D719,nrES_Code,$F719,nrES_Att,2)&gt;0,"Retested",IF(OR($T719="",NOT(ISNUMBER($T719))),"Pending",IF(TODAY()&gt;$T719,"OVERDUE","Due "&amp;TEXT($T719,"mm/dd")))))</f>
        <v/>
      </c>
      <c r="V719" s="14" t="n"/>
      <c r="W719" s="14" t="n"/>
    </row>
    <row r="720">
      <c r="B720" s="15">
        <f>IF($C720="","",$D720&amp;"-"&amp;$F720&amp;"-"&amp;$K720)</f>
        <v/>
      </c>
      <c r="C720" s="14" t="n"/>
      <c r="D720" s="15">
        <f>IF($C720="","",IFERROR(INDEX(rngCadetPIDs,MATCH($C720,rngCadetNames,0)),"?"))</f>
        <v/>
      </c>
      <c r="E720" s="15">
        <f>IF($D720="","",IFERROR(INDEX(nrCadetAgency,MATCH($D720,rngCadetPIDs,0)),""))</f>
        <v/>
      </c>
      <c r="F720" s="14" t="n"/>
      <c r="G720" s="15">
        <f>IF($F720="","",IFERROR(INDEX(rngEPname,MATCH($F720,rngEPcode,0)),"?"))</f>
        <v/>
      </c>
      <c r="H720" s="15">
        <f>IF($F720="","",IFERROR(INDEX(rngEPtype,MATCH($F720,rngEPcode,0)),"?"))</f>
        <v/>
      </c>
      <c r="I720" s="15">
        <f>IF($F720="","",IFERROR(INDEX(rngEPseq,MATCH($F720,rngEPcode,0)),""))</f>
        <v/>
      </c>
      <c r="J720" s="15">
        <f>IF($F720="","",IFERROR(INDEX(rngEPpass,MATCH($F720,rngEPcode,0)),cfgPassingScore))</f>
        <v/>
      </c>
      <c r="K720" s="14" t="n"/>
      <c r="L720" s="14" t="n"/>
      <c r="M720" s="15">
        <f>IF($C720="","",IF($L720="","",IF($K720=1,IF(COUNTIFS(nrES_PID,$D720,nrES_Code,$F720,nrES_Att,2)&gt;0,"",$L720),IF(COUNTIFS(nrES_PID,$D720,nrES_Code,$F720,nrES_Att,1)=0,$L720,IF($L720&gt;=$J720,cfgRetakeRecordedCap,SUMIFS(nrES_Raw,nrES_PID,$D720,nrES_Code,$F720,nrES_Att,1))))))</f>
        <v/>
      </c>
      <c r="N720" s="15">
        <f>IF($C720="","",IF($L720="","",IF($L720&gt;=$J720,"Yes","No")))</f>
        <v/>
      </c>
      <c r="O720" s="15">
        <f>IF($C720="","",IF($M720="","",IF($M720&gt;=$J720,"Yes","No")))</f>
        <v/>
      </c>
      <c r="P720" s="15">
        <f>IF($C720="","",IF($K720="","",IF(COUNTIFS(nrES_PID,$D720,nrES_Code,$F720,nrES_Att,"&gt;"&amp;$K720)=0,"Yes","No")))</f>
        <v/>
      </c>
      <c r="Q720" s="15">
        <f>IF($C720="","",IF($L720="","",IF(AND($K720=1,$L720&lt;$J720,COUNTIFS(nrES_PID,$D720,nrES_Code,$F720,nrES_Att,2)=0),"Yes","No")))</f>
        <v/>
      </c>
      <c r="R720" s="15">
        <f>IF($C720="","",IF($L720="","",IF(AND($K720=2,$L720&lt;$J720,COUNTIFS(nrES_PID,$D720,nrES_Code,$F720,nrES_Att,1)&gt;0),"Yes","No")))</f>
        <v/>
      </c>
      <c r="S720" s="16" t="n"/>
      <c r="T720" s="17">
        <f>IF($Q720&lt;&gt;"Yes","",IF($S720="","(enter date)",_xlfn.LET(_xlpm.dn,IFERROR(_xlfn.XLOOKUP($S720,nrCDdate,nrCDnum),""),IF(_xlpm.dn="","(not a class day)",IFERROR(_xlfn.XLOOKUP(_xlpm.dn+cfgRetestClassDays,nrCDnum,nrCDdate),"")))))</f>
        <v/>
      </c>
      <c r="U720" s="15">
        <f>IF($Q720&lt;&gt;"Yes","",IF(COUNTIFS(nrES_PID,$D720,nrES_Code,$F720,nrES_Att,2)&gt;0,"Retested",IF(OR($T720="",NOT(ISNUMBER($T720))),"Pending",IF(TODAY()&gt;$T720,"OVERDUE","Due "&amp;TEXT($T720,"mm/dd")))))</f>
        <v/>
      </c>
      <c r="V720" s="14" t="n"/>
      <c r="W720" s="14" t="n"/>
    </row>
    <row r="721">
      <c r="B721" s="15">
        <f>IF($C721="","",$D721&amp;"-"&amp;$F721&amp;"-"&amp;$K721)</f>
        <v/>
      </c>
      <c r="C721" s="14" t="n"/>
      <c r="D721" s="15">
        <f>IF($C721="","",IFERROR(INDEX(rngCadetPIDs,MATCH($C721,rngCadetNames,0)),"?"))</f>
        <v/>
      </c>
      <c r="E721" s="15">
        <f>IF($D721="","",IFERROR(INDEX(nrCadetAgency,MATCH($D721,rngCadetPIDs,0)),""))</f>
        <v/>
      </c>
      <c r="F721" s="14" t="n"/>
      <c r="G721" s="15">
        <f>IF($F721="","",IFERROR(INDEX(rngEPname,MATCH($F721,rngEPcode,0)),"?"))</f>
        <v/>
      </c>
      <c r="H721" s="15">
        <f>IF($F721="","",IFERROR(INDEX(rngEPtype,MATCH($F721,rngEPcode,0)),"?"))</f>
        <v/>
      </c>
      <c r="I721" s="15">
        <f>IF($F721="","",IFERROR(INDEX(rngEPseq,MATCH($F721,rngEPcode,0)),""))</f>
        <v/>
      </c>
      <c r="J721" s="15">
        <f>IF($F721="","",IFERROR(INDEX(rngEPpass,MATCH($F721,rngEPcode,0)),cfgPassingScore))</f>
        <v/>
      </c>
      <c r="K721" s="14" t="n"/>
      <c r="L721" s="14" t="n"/>
      <c r="M721" s="15">
        <f>IF($C721="","",IF($L721="","",IF($K721=1,IF(COUNTIFS(nrES_PID,$D721,nrES_Code,$F721,nrES_Att,2)&gt;0,"",$L721),IF(COUNTIFS(nrES_PID,$D721,nrES_Code,$F721,nrES_Att,1)=0,$L721,IF($L721&gt;=$J721,cfgRetakeRecordedCap,SUMIFS(nrES_Raw,nrES_PID,$D721,nrES_Code,$F721,nrES_Att,1))))))</f>
        <v/>
      </c>
      <c r="N721" s="15">
        <f>IF($C721="","",IF($L721="","",IF($L721&gt;=$J721,"Yes","No")))</f>
        <v/>
      </c>
      <c r="O721" s="15">
        <f>IF($C721="","",IF($M721="","",IF($M721&gt;=$J721,"Yes","No")))</f>
        <v/>
      </c>
      <c r="P721" s="15">
        <f>IF($C721="","",IF($K721="","",IF(COUNTIFS(nrES_PID,$D721,nrES_Code,$F721,nrES_Att,"&gt;"&amp;$K721)=0,"Yes","No")))</f>
        <v/>
      </c>
      <c r="Q721" s="15">
        <f>IF($C721="","",IF($L721="","",IF(AND($K721=1,$L721&lt;$J721,COUNTIFS(nrES_PID,$D721,nrES_Code,$F721,nrES_Att,2)=0),"Yes","No")))</f>
        <v/>
      </c>
      <c r="R721" s="15">
        <f>IF($C721="","",IF($L721="","",IF(AND($K721=2,$L721&lt;$J721,COUNTIFS(nrES_PID,$D721,nrES_Code,$F721,nrES_Att,1)&gt;0),"Yes","No")))</f>
        <v/>
      </c>
      <c r="S721" s="16" t="n"/>
      <c r="T721" s="17">
        <f>IF($Q721&lt;&gt;"Yes","",IF($S721="","(enter date)",_xlfn.LET(_xlpm.dn,IFERROR(_xlfn.XLOOKUP($S721,nrCDdate,nrCDnum),""),IF(_xlpm.dn="","(not a class day)",IFERROR(_xlfn.XLOOKUP(_xlpm.dn+cfgRetestClassDays,nrCDnum,nrCDdate),"")))))</f>
        <v/>
      </c>
      <c r="U721" s="15">
        <f>IF($Q721&lt;&gt;"Yes","",IF(COUNTIFS(nrES_PID,$D721,nrES_Code,$F721,nrES_Att,2)&gt;0,"Retested",IF(OR($T721="",NOT(ISNUMBER($T721))),"Pending",IF(TODAY()&gt;$T721,"OVERDUE","Due "&amp;TEXT($T721,"mm/dd")))))</f>
        <v/>
      </c>
      <c r="V721" s="14" t="n"/>
      <c r="W721" s="14" t="n"/>
    </row>
    <row r="722">
      <c r="B722" s="15">
        <f>IF($C722="","",$D722&amp;"-"&amp;$F722&amp;"-"&amp;$K722)</f>
        <v/>
      </c>
      <c r="C722" s="14" t="n"/>
      <c r="D722" s="15">
        <f>IF($C722="","",IFERROR(INDEX(rngCadetPIDs,MATCH($C722,rngCadetNames,0)),"?"))</f>
        <v/>
      </c>
      <c r="E722" s="15">
        <f>IF($D722="","",IFERROR(INDEX(nrCadetAgency,MATCH($D722,rngCadetPIDs,0)),""))</f>
        <v/>
      </c>
      <c r="F722" s="14" t="n"/>
      <c r="G722" s="15">
        <f>IF($F722="","",IFERROR(INDEX(rngEPname,MATCH($F722,rngEPcode,0)),"?"))</f>
        <v/>
      </c>
      <c r="H722" s="15">
        <f>IF($F722="","",IFERROR(INDEX(rngEPtype,MATCH($F722,rngEPcode,0)),"?"))</f>
        <v/>
      </c>
      <c r="I722" s="15">
        <f>IF($F722="","",IFERROR(INDEX(rngEPseq,MATCH($F722,rngEPcode,0)),""))</f>
        <v/>
      </c>
      <c r="J722" s="15">
        <f>IF($F722="","",IFERROR(INDEX(rngEPpass,MATCH($F722,rngEPcode,0)),cfgPassingScore))</f>
        <v/>
      </c>
      <c r="K722" s="14" t="n"/>
      <c r="L722" s="14" t="n"/>
      <c r="M722" s="15">
        <f>IF($C722="","",IF($L722="","",IF($K722=1,IF(COUNTIFS(nrES_PID,$D722,nrES_Code,$F722,nrES_Att,2)&gt;0,"",$L722),IF(COUNTIFS(nrES_PID,$D722,nrES_Code,$F722,nrES_Att,1)=0,$L722,IF($L722&gt;=$J722,cfgRetakeRecordedCap,SUMIFS(nrES_Raw,nrES_PID,$D722,nrES_Code,$F722,nrES_Att,1))))))</f>
        <v/>
      </c>
      <c r="N722" s="15">
        <f>IF($C722="","",IF($L722="","",IF($L722&gt;=$J722,"Yes","No")))</f>
        <v/>
      </c>
      <c r="O722" s="15">
        <f>IF($C722="","",IF($M722="","",IF($M722&gt;=$J722,"Yes","No")))</f>
        <v/>
      </c>
      <c r="P722" s="15">
        <f>IF($C722="","",IF($K722="","",IF(COUNTIFS(nrES_PID,$D722,nrES_Code,$F722,nrES_Att,"&gt;"&amp;$K722)=0,"Yes","No")))</f>
        <v/>
      </c>
      <c r="Q722" s="15">
        <f>IF($C722="","",IF($L722="","",IF(AND($K722=1,$L722&lt;$J722,COUNTIFS(nrES_PID,$D722,nrES_Code,$F722,nrES_Att,2)=0),"Yes","No")))</f>
        <v/>
      </c>
      <c r="R722" s="15">
        <f>IF($C722="","",IF($L722="","",IF(AND($K722=2,$L722&lt;$J722,COUNTIFS(nrES_PID,$D722,nrES_Code,$F722,nrES_Att,1)&gt;0),"Yes","No")))</f>
        <v/>
      </c>
      <c r="S722" s="16" t="n"/>
      <c r="T722" s="17">
        <f>IF($Q722&lt;&gt;"Yes","",IF($S722="","(enter date)",_xlfn.LET(_xlpm.dn,IFERROR(_xlfn.XLOOKUP($S722,nrCDdate,nrCDnum),""),IF(_xlpm.dn="","(not a class day)",IFERROR(_xlfn.XLOOKUP(_xlpm.dn+cfgRetestClassDays,nrCDnum,nrCDdate),"")))))</f>
        <v/>
      </c>
      <c r="U722" s="15">
        <f>IF($Q722&lt;&gt;"Yes","",IF(COUNTIFS(nrES_PID,$D722,nrES_Code,$F722,nrES_Att,2)&gt;0,"Retested",IF(OR($T722="",NOT(ISNUMBER($T722))),"Pending",IF(TODAY()&gt;$T722,"OVERDUE","Due "&amp;TEXT($T722,"mm/dd")))))</f>
        <v/>
      </c>
      <c r="V722" s="14" t="n"/>
      <c r="W722" s="14" t="n"/>
    </row>
    <row r="723">
      <c r="B723" s="15">
        <f>IF($C723="","",$D723&amp;"-"&amp;$F723&amp;"-"&amp;$K723)</f>
        <v/>
      </c>
      <c r="C723" s="14" t="n"/>
      <c r="D723" s="15">
        <f>IF($C723="","",IFERROR(INDEX(rngCadetPIDs,MATCH($C723,rngCadetNames,0)),"?"))</f>
        <v/>
      </c>
      <c r="E723" s="15">
        <f>IF($D723="","",IFERROR(INDEX(nrCadetAgency,MATCH($D723,rngCadetPIDs,0)),""))</f>
        <v/>
      </c>
      <c r="F723" s="14" t="n"/>
      <c r="G723" s="15">
        <f>IF($F723="","",IFERROR(INDEX(rngEPname,MATCH($F723,rngEPcode,0)),"?"))</f>
        <v/>
      </c>
      <c r="H723" s="15">
        <f>IF($F723="","",IFERROR(INDEX(rngEPtype,MATCH($F723,rngEPcode,0)),"?"))</f>
        <v/>
      </c>
      <c r="I723" s="15">
        <f>IF($F723="","",IFERROR(INDEX(rngEPseq,MATCH($F723,rngEPcode,0)),""))</f>
        <v/>
      </c>
      <c r="J723" s="15">
        <f>IF($F723="","",IFERROR(INDEX(rngEPpass,MATCH($F723,rngEPcode,0)),cfgPassingScore))</f>
        <v/>
      </c>
      <c r="K723" s="14" t="n"/>
      <c r="L723" s="14" t="n"/>
      <c r="M723" s="15">
        <f>IF($C723="","",IF($L723="","",IF($K723=1,IF(COUNTIFS(nrES_PID,$D723,nrES_Code,$F723,nrES_Att,2)&gt;0,"",$L723),IF(COUNTIFS(nrES_PID,$D723,nrES_Code,$F723,nrES_Att,1)=0,$L723,IF($L723&gt;=$J723,cfgRetakeRecordedCap,SUMIFS(nrES_Raw,nrES_PID,$D723,nrES_Code,$F723,nrES_Att,1))))))</f>
        <v/>
      </c>
      <c r="N723" s="15">
        <f>IF($C723="","",IF($L723="","",IF($L723&gt;=$J723,"Yes","No")))</f>
        <v/>
      </c>
      <c r="O723" s="15">
        <f>IF($C723="","",IF($M723="","",IF($M723&gt;=$J723,"Yes","No")))</f>
        <v/>
      </c>
      <c r="P723" s="15">
        <f>IF($C723="","",IF($K723="","",IF(COUNTIFS(nrES_PID,$D723,nrES_Code,$F723,nrES_Att,"&gt;"&amp;$K723)=0,"Yes","No")))</f>
        <v/>
      </c>
      <c r="Q723" s="15">
        <f>IF($C723="","",IF($L723="","",IF(AND($K723=1,$L723&lt;$J723,COUNTIFS(nrES_PID,$D723,nrES_Code,$F723,nrES_Att,2)=0),"Yes","No")))</f>
        <v/>
      </c>
      <c r="R723" s="15">
        <f>IF($C723="","",IF($L723="","",IF(AND($K723=2,$L723&lt;$J723,COUNTIFS(nrES_PID,$D723,nrES_Code,$F723,nrES_Att,1)&gt;0),"Yes","No")))</f>
        <v/>
      </c>
      <c r="S723" s="16" t="n"/>
      <c r="T723" s="17">
        <f>IF($Q723&lt;&gt;"Yes","",IF($S723="","(enter date)",_xlfn.LET(_xlpm.dn,IFERROR(_xlfn.XLOOKUP($S723,nrCDdate,nrCDnum),""),IF(_xlpm.dn="","(not a class day)",IFERROR(_xlfn.XLOOKUP(_xlpm.dn+cfgRetestClassDays,nrCDnum,nrCDdate),"")))))</f>
        <v/>
      </c>
      <c r="U723" s="15">
        <f>IF($Q723&lt;&gt;"Yes","",IF(COUNTIFS(nrES_PID,$D723,nrES_Code,$F723,nrES_Att,2)&gt;0,"Retested",IF(OR($T723="",NOT(ISNUMBER($T723))),"Pending",IF(TODAY()&gt;$T723,"OVERDUE","Due "&amp;TEXT($T723,"mm/dd")))))</f>
        <v/>
      </c>
      <c r="V723" s="14" t="n"/>
      <c r="W723" s="14" t="n"/>
    </row>
    <row r="724">
      <c r="B724" s="15">
        <f>IF($C724="","",$D724&amp;"-"&amp;$F724&amp;"-"&amp;$K724)</f>
        <v/>
      </c>
      <c r="C724" s="14" t="n"/>
      <c r="D724" s="15">
        <f>IF($C724="","",IFERROR(INDEX(rngCadetPIDs,MATCH($C724,rngCadetNames,0)),"?"))</f>
        <v/>
      </c>
      <c r="E724" s="15">
        <f>IF($D724="","",IFERROR(INDEX(nrCadetAgency,MATCH($D724,rngCadetPIDs,0)),""))</f>
        <v/>
      </c>
      <c r="F724" s="14" t="n"/>
      <c r="G724" s="15">
        <f>IF($F724="","",IFERROR(INDEX(rngEPname,MATCH($F724,rngEPcode,0)),"?"))</f>
        <v/>
      </c>
      <c r="H724" s="15">
        <f>IF($F724="","",IFERROR(INDEX(rngEPtype,MATCH($F724,rngEPcode,0)),"?"))</f>
        <v/>
      </c>
      <c r="I724" s="15">
        <f>IF($F724="","",IFERROR(INDEX(rngEPseq,MATCH($F724,rngEPcode,0)),""))</f>
        <v/>
      </c>
      <c r="J724" s="15">
        <f>IF($F724="","",IFERROR(INDEX(rngEPpass,MATCH($F724,rngEPcode,0)),cfgPassingScore))</f>
        <v/>
      </c>
      <c r="K724" s="14" t="n"/>
      <c r="L724" s="14" t="n"/>
      <c r="M724" s="15">
        <f>IF($C724="","",IF($L724="","",IF($K724=1,IF(COUNTIFS(nrES_PID,$D724,nrES_Code,$F724,nrES_Att,2)&gt;0,"",$L724),IF(COUNTIFS(nrES_PID,$D724,nrES_Code,$F724,nrES_Att,1)=0,$L724,IF($L724&gt;=$J724,cfgRetakeRecordedCap,SUMIFS(nrES_Raw,nrES_PID,$D724,nrES_Code,$F724,nrES_Att,1))))))</f>
        <v/>
      </c>
      <c r="N724" s="15">
        <f>IF($C724="","",IF($L724="","",IF($L724&gt;=$J724,"Yes","No")))</f>
        <v/>
      </c>
      <c r="O724" s="15">
        <f>IF($C724="","",IF($M724="","",IF($M724&gt;=$J724,"Yes","No")))</f>
        <v/>
      </c>
      <c r="P724" s="15">
        <f>IF($C724="","",IF($K724="","",IF(COUNTIFS(nrES_PID,$D724,nrES_Code,$F724,nrES_Att,"&gt;"&amp;$K724)=0,"Yes","No")))</f>
        <v/>
      </c>
      <c r="Q724" s="15">
        <f>IF($C724="","",IF($L724="","",IF(AND($K724=1,$L724&lt;$J724,COUNTIFS(nrES_PID,$D724,nrES_Code,$F724,nrES_Att,2)=0),"Yes","No")))</f>
        <v/>
      </c>
      <c r="R724" s="15">
        <f>IF($C724="","",IF($L724="","",IF(AND($K724=2,$L724&lt;$J724,COUNTIFS(nrES_PID,$D724,nrES_Code,$F724,nrES_Att,1)&gt;0),"Yes","No")))</f>
        <v/>
      </c>
      <c r="S724" s="16" t="n"/>
      <c r="T724" s="17">
        <f>IF($Q724&lt;&gt;"Yes","",IF($S724="","(enter date)",_xlfn.LET(_xlpm.dn,IFERROR(_xlfn.XLOOKUP($S724,nrCDdate,nrCDnum),""),IF(_xlpm.dn="","(not a class day)",IFERROR(_xlfn.XLOOKUP(_xlpm.dn+cfgRetestClassDays,nrCDnum,nrCDdate),"")))))</f>
        <v/>
      </c>
      <c r="U724" s="15">
        <f>IF($Q724&lt;&gt;"Yes","",IF(COUNTIFS(nrES_PID,$D724,nrES_Code,$F724,nrES_Att,2)&gt;0,"Retested",IF(OR($T724="",NOT(ISNUMBER($T724))),"Pending",IF(TODAY()&gt;$T724,"OVERDUE","Due "&amp;TEXT($T724,"mm/dd")))))</f>
        <v/>
      </c>
      <c r="V724" s="14" t="n"/>
      <c r="W724" s="14" t="n"/>
    </row>
    <row r="725">
      <c r="B725" s="15">
        <f>IF($C725="","",$D725&amp;"-"&amp;$F725&amp;"-"&amp;$K725)</f>
        <v/>
      </c>
      <c r="C725" s="14" t="n"/>
      <c r="D725" s="15">
        <f>IF($C725="","",IFERROR(INDEX(rngCadetPIDs,MATCH($C725,rngCadetNames,0)),"?"))</f>
        <v/>
      </c>
      <c r="E725" s="15">
        <f>IF($D725="","",IFERROR(INDEX(nrCadetAgency,MATCH($D725,rngCadetPIDs,0)),""))</f>
        <v/>
      </c>
      <c r="F725" s="14" t="n"/>
      <c r="G725" s="15">
        <f>IF($F725="","",IFERROR(INDEX(rngEPname,MATCH($F725,rngEPcode,0)),"?"))</f>
        <v/>
      </c>
      <c r="H725" s="15">
        <f>IF($F725="","",IFERROR(INDEX(rngEPtype,MATCH($F725,rngEPcode,0)),"?"))</f>
        <v/>
      </c>
      <c r="I725" s="15">
        <f>IF($F725="","",IFERROR(INDEX(rngEPseq,MATCH($F725,rngEPcode,0)),""))</f>
        <v/>
      </c>
      <c r="J725" s="15">
        <f>IF($F725="","",IFERROR(INDEX(rngEPpass,MATCH($F725,rngEPcode,0)),cfgPassingScore))</f>
        <v/>
      </c>
      <c r="K725" s="14" t="n"/>
      <c r="L725" s="14" t="n"/>
      <c r="M725" s="15">
        <f>IF($C725="","",IF($L725="","",IF($K725=1,IF(COUNTIFS(nrES_PID,$D725,nrES_Code,$F725,nrES_Att,2)&gt;0,"",$L725),IF(COUNTIFS(nrES_PID,$D725,nrES_Code,$F725,nrES_Att,1)=0,$L725,IF($L725&gt;=$J725,cfgRetakeRecordedCap,SUMIFS(nrES_Raw,nrES_PID,$D725,nrES_Code,$F725,nrES_Att,1))))))</f>
        <v/>
      </c>
      <c r="N725" s="15">
        <f>IF($C725="","",IF($L725="","",IF($L725&gt;=$J725,"Yes","No")))</f>
        <v/>
      </c>
      <c r="O725" s="15">
        <f>IF($C725="","",IF($M725="","",IF($M725&gt;=$J725,"Yes","No")))</f>
        <v/>
      </c>
      <c r="P725" s="15">
        <f>IF($C725="","",IF($K725="","",IF(COUNTIFS(nrES_PID,$D725,nrES_Code,$F725,nrES_Att,"&gt;"&amp;$K725)=0,"Yes","No")))</f>
        <v/>
      </c>
      <c r="Q725" s="15">
        <f>IF($C725="","",IF($L725="","",IF(AND($K725=1,$L725&lt;$J725,COUNTIFS(nrES_PID,$D725,nrES_Code,$F725,nrES_Att,2)=0),"Yes","No")))</f>
        <v/>
      </c>
      <c r="R725" s="15">
        <f>IF($C725="","",IF($L725="","",IF(AND($K725=2,$L725&lt;$J725,COUNTIFS(nrES_PID,$D725,nrES_Code,$F725,nrES_Att,1)&gt;0),"Yes","No")))</f>
        <v/>
      </c>
      <c r="S725" s="16" t="n"/>
      <c r="T725" s="17">
        <f>IF($Q725&lt;&gt;"Yes","",IF($S725="","(enter date)",_xlfn.LET(_xlpm.dn,IFERROR(_xlfn.XLOOKUP($S725,nrCDdate,nrCDnum),""),IF(_xlpm.dn="","(not a class day)",IFERROR(_xlfn.XLOOKUP(_xlpm.dn+cfgRetestClassDays,nrCDnum,nrCDdate),"")))))</f>
        <v/>
      </c>
      <c r="U725" s="15">
        <f>IF($Q725&lt;&gt;"Yes","",IF(COUNTIFS(nrES_PID,$D725,nrES_Code,$F725,nrES_Att,2)&gt;0,"Retested",IF(OR($T725="",NOT(ISNUMBER($T725))),"Pending",IF(TODAY()&gt;$T725,"OVERDUE","Due "&amp;TEXT($T725,"mm/dd")))))</f>
        <v/>
      </c>
      <c r="V725" s="14" t="n"/>
      <c r="W725" s="14" t="n"/>
    </row>
    <row r="726">
      <c r="B726" s="15">
        <f>IF($C726="","",$D726&amp;"-"&amp;$F726&amp;"-"&amp;$K726)</f>
        <v/>
      </c>
      <c r="C726" s="14" t="n"/>
      <c r="D726" s="15">
        <f>IF($C726="","",IFERROR(INDEX(rngCadetPIDs,MATCH($C726,rngCadetNames,0)),"?"))</f>
        <v/>
      </c>
      <c r="E726" s="15">
        <f>IF($D726="","",IFERROR(INDEX(nrCadetAgency,MATCH($D726,rngCadetPIDs,0)),""))</f>
        <v/>
      </c>
      <c r="F726" s="14" t="n"/>
      <c r="G726" s="15">
        <f>IF($F726="","",IFERROR(INDEX(rngEPname,MATCH($F726,rngEPcode,0)),"?"))</f>
        <v/>
      </c>
      <c r="H726" s="15">
        <f>IF($F726="","",IFERROR(INDEX(rngEPtype,MATCH($F726,rngEPcode,0)),"?"))</f>
        <v/>
      </c>
      <c r="I726" s="15">
        <f>IF($F726="","",IFERROR(INDEX(rngEPseq,MATCH($F726,rngEPcode,0)),""))</f>
        <v/>
      </c>
      <c r="J726" s="15">
        <f>IF($F726="","",IFERROR(INDEX(rngEPpass,MATCH($F726,rngEPcode,0)),cfgPassingScore))</f>
        <v/>
      </c>
      <c r="K726" s="14" t="n"/>
      <c r="L726" s="14" t="n"/>
      <c r="M726" s="15">
        <f>IF($C726="","",IF($L726="","",IF($K726=1,IF(COUNTIFS(nrES_PID,$D726,nrES_Code,$F726,nrES_Att,2)&gt;0,"",$L726),IF(COUNTIFS(nrES_PID,$D726,nrES_Code,$F726,nrES_Att,1)=0,$L726,IF($L726&gt;=$J726,cfgRetakeRecordedCap,SUMIFS(nrES_Raw,nrES_PID,$D726,nrES_Code,$F726,nrES_Att,1))))))</f>
        <v/>
      </c>
      <c r="N726" s="15">
        <f>IF($C726="","",IF($L726="","",IF($L726&gt;=$J726,"Yes","No")))</f>
        <v/>
      </c>
      <c r="O726" s="15">
        <f>IF($C726="","",IF($M726="","",IF($M726&gt;=$J726,"Yes","No")))</f>
        <v/>
      </c>
      <c r="P726" s="15">
        <f>IF($C726="","",IF($K726="","",IF(COUNTIFS(nrES_PID,$D726,nrES_Code,$F726,nrES_Att,"&gt;"&amp;$K726)=0,"Yes","No")))</f>
        <v/>
      </c>
      <c r="Q726" s="15">
        <f>IF($C726="","",IF($L726="","",IF(AND($K726=1,$L726&lt;$J726,COUNTIFS(nrES_PID,$D726,nrES_Code,$F726,nrES_Att,2)=0),"Yes","No")))</f>
        <v/>
      </c>
      <c r="R726" s="15">
        <f>IF($C726="","",IF($L726="","",IF(AND($K726=2,$L726&lt;$J726,COUNTIFS(nrES_PID,$D726,nrES_Code,$F726,nrES_Att,1)&gt;0),"Yes","No")))</f>
        <v/>
      </c>
      <c r="S726" s="16" t="n"/>
      <c r="T726" s="17">
        <f>IF($Q726&lt;&gt;"Yes","",IF($S726="","(enter date)",_xlfn.LET(_xlpm.dn,IFERROR(_xlfn.XLOOKUP($S726,nrCDdate,nrCDnum),""),IF(_xlpm.dn="","(not a class day)",IFERROR(_xlfn.XLOOKUP(_xlpm.dn+cfgRetestClassDays,nrCDnum,nrCDdate),"")))))</f>
        <v/>
      </c>
      <c r="U726" s="15">
        <f>IF($Q726&lt;&gt;"Yes","",IF(COUNTIFS(nrES_PID,$D726,nrES_Code,$F726,nrES_Att,2)&gt;0,"Retested",IF(OR($T726="",NOT(ISNUMBER($T726))),"Pending",IF(TODAY()&gt;$T726,"OVERDUE","Due "&amp;TEXT($T726,"mm/dd")))))</f>
        <v/>
      </c>
      <c r="V726" s="14" t="n"/>
      <c r="W726" s="14" t="n"/>
    </row>
    <row r="727">
      <c r="B727" s="15">
        <f>IF($C727="","",$D727&amp;"-"&amp;$F727&amp;"-"&amp;$K727)</f>
        <v/>
      </c>
      <c r="C727" s="14" t="n"/>
      <c r="D727" s="15">
        <f>IF($C727="","",IFERROR(INDEX(rngCadetPIDs,MATCH($C727,rngCadetNames,0)),"?"))</f>
        <v/>
      </c>
      <c r="E727" s="15">
        <f>IF($D727="","",IFERROR(INDEX(nrCadetAgency,MATCH($D727,rngCadetPIDs,0)),""))</f>
        <v/>
      </c>
      <c r="F727" s="14" t="n"/>
      <c r="G727" s="15">
        <f>IF($F727="","",IFERROR(INDEX(rngEPname,MATCH($F727,rngEPcode,0)),"?"))</f>
        <v/>
      </c>
      <c r="H727" s="15">
        <f>IF($F727="","",IFERROR(INDEX(rngEPtype,MATCH($F727,rngEPcode,0)),"?"))</f>
        <v/>
      </c>
      <c r="I727" s="15">
        <f>IF($F727="","",IFERROR(INDEX(rngEPseq,MATCH($F727,rngEPcode,0)),""))</f>
        <v/>
      </c>
      <c r="J727" s="15">
        <f>IF($F727="","",IFERROR(INDEX(rngEPpass,MATCH($F727,rngEPcode,0)),cfgPassingScore))</f>
        <v/>
      </c>
      <c r="K727" s="14" t="n"/>
      <c r="L727" s="14" t="n"/>
      <c r="M727" s="15">
        <f>IF($C727="","",IF($L727="","",IF($K727=1,IF(COUNTIFS(nrES_PID,$D727,nrES_Code,$F727,nrES_Att,2)&gt;0,"",$L727),IF(COUNTIFS(nrES_PID,$D727,nrES_Code,$F727,nrES_Att,1)=0,$L727,IF($L727&gt;=$J727,cfgRetakeRecordedCap,SUMIFS(nrES_Raw,nrES_PID,$D727,nrES_Code,$F727,nrES_Att,1))))))</f>
        <v/>
      </c>
      <c r="N727" s="15">
        <f>IF($C727="","",IF($L727="","",IF($L727&gt;=$J727,"Yes","No")))</f>
        <v/>
      </c>
      <c r="O727" s="15">
        <f>IF($C727="","",IF($M727="","",IF($M727&gt;=$J727,"Yes","No")))</f>
        <v/>
      </c>
      <c r="P727" s="15">
        <f>IF($C727="","",IF($K727="","",IF(COUNTIFS(nrES_PID,$D727,nrES_Code,$F727,nrES_Att,"&gt;"&amp;$K727)=0,"Yes","No")))</f>
        <v/>
      </c>
      <c r="Q727" s="15">
        <f>IF($C727="","",IF($L727="","",IF(AND($K727=1,$L727&lt;$J727,COUNTIFS(nrES_PID,$D727,nrES_Code,$F727,nrES_Att,2)=0),"Yes","No")))</f>
        <v/>
      </c>
      <c r="R727" s="15">
        <f>IF($C727="","",IF($L727="","",IF(AND($K727=2,$L727&lt;$J727,COUNTIFS(nrES_PID,$D727,nrES_Code,$F727,nrES_Att,1)&gt;0),"Yes","No")))</f>
        <v/>
      </c>
      <c r="S727" s="16" t="n"/>
      <c r="T727" s="17">
        <f>IF($Q727&lt;&gt;"Yes","",IF($S727="","(enter date)",_xlfn.LET(_xlpm.dn,IFERROR(_xlfn.XLOOKUP($S727,nrCDdate,nrCDnum),""),IF(_xlpm.dn="","(not a class day)",IFERROR(_xlfn.XLOOKUP(_xlpm.dn+cfgRetestClassDays,nrCDnum,nrCDdate),"")))))</f>
        <v/>
      </c>
      <c r="U727" s="15">
        <f>IF($Q727&lt;&gt;"Yes","",IF(COUNTIFS(nrES_PID,$D727,nrES_Code,$F727,nrES_Att,2)&gt;0,"Retested",IF(OR($T727="",NOT(ISNUMBER($T727))),"Pending",IF(TODAY()&gt;$T727,"OVERDUE","Due "&amp;TEXT($T727,"mm/dd")))))</f>
        <v/>
      </c>
      <c r="V727" s="14" t="n"/>
      <c r="W727" s="14" t="n"/>
    </row>
    <row r="728">
      <c r="B728" s="15">
        <f>IF($C728="","",$D728&amp;"-"&amp;$F728&amp;"-"&amp;$K728)</f>
        <v/>
      </c>
      <c r="C728" s="14" t="n"/>
      <c r="D728" s="15">
        <f>IF($C728="","",IFERROR(INDEX(rngCadetPIDs,MATCH($C728,rngCadetNames,0)),"?"))</f>
        <v/>
      </c>
      <c r="E728" s="15">
        <f>IF($D728="","",IFERROR(INDEX(nrCadetAgency,MATCH($D728,rngCadetPIDs,0)),""))</f>
        <v/>
      </c>
      <c r="F728" s="14" t="n"/>
      <c r="G728" s="15">
        <f>IF($F728="","",IFERROR(INDEX(rngEPname,MATCH($F728,rngEPcode,0)),"?"))</f>
        <v/>
      </c>
      <c r="H728" s="15">
        <f>IF($F728="","",IFERROR(INDEX(rngEPtype,MATCH($F728,rngEPcode,0)),"?"))</f>
        <v/>
      </c>
      <c r="I728" s="15">
        <f>IF($F728="","",IFERROR(INDEX(rngEPseq,MATCH($F728,rngEPcode,0)),""))</f>
        <v/>
      </c>
      <c r="J728" s="15">
        <f>IF($F728="","",IFERROR(INDEX(rngEPpass,MATCH($F728,rngEPcode,0)),cfgPassingScore))</f>
        <v/>
      </c>
      <c r="K728" s="14" t="n"/>
      <c r="L728" s="14" t="n"/>
      <c r="M728" s="15">
        <f>IF($C728="","",IF($L728="","",IF($K728=1,IF(COUNTIFS(nrES_PID,$D728,nrES_Code,$F728,nrES_Att,2)&gt;0,"",$L728),IF(COUNTIFS(nrES_PID,$D728,nrES_Code,$F728,nrES_Att,1)=0,$L728,IF($L728&gt;=$J728,cfgRetakeRecordedCap,SUMIFS(nrES_Raw,nrES_PID,$D728,nrES_Code,$F728,nrES_Att,1))))))</f>
        <v/>
      </c>
      <c r="N728" s="15">
        <f>IF($C728="","",IF($L728="","",IF($L728&gt;=$J728,"Yes","No")))</f>
        <v/>
      </c>
      <c r="O728" s="15">
        <f>IF($C728="","",IF($M728="","",IF($M728&gt;=$J728,"Yes","No")))</f>
        <v/>
      </c>
      <c r="P728" s="15">
        <f>IF($C728="","",IF($K728="","",IF(COUNTIFS(nrES_PID,$D728,nrES_Code,$F728,nrES_Att,"&gt;"&amp;$K728)=0,"Yes","No")))</f>
        <v/>
      </c>
      <c r="Q728" s="15">
        <f>IF($C728="","",IF($L728="","",IF(AND($K728=1,$L728&lt;$J728,COUNTIFS(nrES_PID,$D728,nrES_Code,$F728,nrES_Att,2)=0),"Yes","No")))</f>
        <v/>
      </c>
      <c r="R728" s="15">
        <f>IF($C728="","",IF($L728="","",IF(AND($K728=2,$L728&lt;$J728,COUNTIFS(nrES_PID,$D728,nrES_Code,$F728,nrES_Att,1)&gt;0),"Yes","No")))</f>
        <v/>
      </c>
      <c r="S728" s="16" t="n"/>
      <c r="T728" s="17">
        <f>IF($Q728&lt;&gt;"Yes","",IF($S728="","(enter date)",_xlfn.LET(_xlpm.dn,IFERROR(_xlfn.XLOOKUP($S728,nrCDdate,nrCDnum),""),IF(_xlpm.dn="","(not a class day)",IFERROR(_xlfn.XLOOKUP(_xlpm.dn+cfgRetestClassDays,nrCDnum,nrCDdate),"")))))</f>
        <v/>
      </c>
      <c r="U728" s="15">
        <f>IF($Q728&lt;&gt;"Yes","",IF(COUNTIFS(nrES_PID,$D728,nrES_Code,$F728,nrES_Att,2)&gt;0,"Retested",IF(OR($T728="",NOT(ISNUMBER($T728))),"Pending",IF(TODAY()&gt;$T728,"OVERDUE","Due "&amp;TEXT($T728,"mm/dd")))))</f>
        <v/>
      </c>
      <c r="V728" s="14" t="n"/>
      <c r="W728" s="14" t="n"/>
    </row>
    <row r="729">
      <c r="B729" s="15">
        <f>IF($C729="","",$D729&amp;"-"&amp;$F729&amp;"-"&amp;$K729)</f>
        <v/>
      </c>
      <c r="C729" s="14" t="n"/>
      <c r="D729" s="15">
        <f>IF($C729="","",IFERROR(INDEX(rngCadetPIDs,MATCH($C729,rngCadetNames,0)),"?"))</f>
        <v/>
      </c>
      <c r="E729" s="15">
        <f>IF($D729="","",IFERROR(INDEX(nrCadetAgency,MATCH($D729,rngCadetPIDs,0)),""))</f>
        <v/>
      </c>
      <c r="F729" s="14" t="n"/>
      <c r="G729" s="15">
        <f>IF($F729="","",IFERROR(INDEX(rngEPname,MATCH($F729,rngEPcode,0)),"?"))</f>
        <v/>
      </c>
      <c r="H729" s="15">
        <f>IF($F729="","",IFERROR(INDEX(rngEPtype,MATCH($F729,rngEPcode,0)),"?"))</f>
        <v/>
      </c>
      <c r="I729" s="15">
        <f>IF($F729="","",IFERROR(INDEX(rngEPseq,MATCH($F729,rngEPcode,0)),""))</f>
        <v/>
      </c>
      <c r="J729" s="15">
        <f>IF($F729="","",IFERROR(INDEX(rngEPpass,MATCH($F729,rngEPcode,0)),cfgPassingScore))</f>
        <v/>
      </c>
      <c r="K729" s="14" t="n"/>
      <c r="L729" s="14" t="n"/>
      <c r="M729" s="15">
        <f>IF($C729="","",IF($L729="","",IF($K729=1,IF(COUNTIFS(nrES_PID,$D729,nrES_Code,$F729,nrES_Att,2)&gt;0,"",$L729),IF(COUNTIFS(nrES_PID,$D729,nrES_Code,$F729,nrES_Att,1)=0,$L729,IF($L729&gt;=$J729,cfgRetakeRecordedCap,SUMIFS(nrES_Raw,nrES_PID,$D729,nrES_Code,$F729,nrES_Att,1))))))</f>
        <v/>
      </c>
      <c r="N729" s="15">
        <f>IF($C729="","",IF($L729="","",IF($L729&gt;=$J729,"Yes","No")))</f>
        <v/>
      </c>
      <c r="O729" s="15">
        <f>IF($C729="","",IF($M729="","",IF($M729&gt;=$J729,"Yes","No")))</f>
        <v/>
      </c>
      <c r="P729" s="15">
        <f>IF($C729="","",IF($K729="","",IF(COUNTIFS(nrES_PID,$D729,nrES_Code,$F729,nrES_Att,"&gt;"&amp;$K729)=0,"Yes","No")))</f>
        <v/>
      </c>
      <c r="Q729" s="15">
        <f>IF($C729="","",IF($L729="","",IF(AND($K729=1,$L729&lt;$J729,COUNTIFS(nrES_PID,$D729,nrES_Code,$F729,nrES_Att,2)=0),"Yes","No")))</f>
        <v/>
      </c>
      <c r="R729" s="15">
        <f>IF($C729="","",IF($L729="","",IF(AND($K729=2,$L729&lt;$J729,COUNTIFS(nrES_PID,$D729,nrES_Code,$F729,nrES_Att,1)&gt;0),"Yes","No")))</f>
        <v/>
      </c>
      <c r="S729" s="16" t="n"/>
      <c r="T729" s="17">
        <f>IF($Q729&lt;&gt;"Yes","",IF($S729="","(enter date)",_xlfn.LET(_xlpm.dn,IFERROR(_xlfn.XLOOKUP($S729,nrCDdate,nrCDnum),""),IF(_xlpm.dn="","(not a class day)",IFERROR(_xlfn.XLOOKUP(_xlpm.dn+cfgRetestClassDays,nrCDnum,nrCDdate),"")))))</f>
        <v/>
      </c>
      <c r="U729" s="15">
        <f>IF($Q729&lt;&gt;"Yes","",IF(COUNTIFS(nrES_PID,$D729,nrES_Code,$F729,nrES_Att,2)&gt;0,"Retested",IF(OR($T729="",NOT(ISNUMBER($T729))),"Pending",IF(TODAY()&gt;$T729,"OVERDUE","Due "&amp;TEXT($T729,"mm/dd")))))</f>
        <v/>
      </c>
      <c r="V729" s="14" t="n"/>
      <c r="W729" s="14" t="n"/>
    </row>
    <row r="730">
      <c r="B730" s="15">
        <f>IF($C730="","",$D730&amp;"-"&amp;$F730&amp;"-"&amp;$K730)</f>
        <v/>
      </c>
      <c r="C730" s="14" t="n"/>
      <c r="D730" s="15">
        <f>IF($C730="","",IFERROR(INDEX(rngCadetPIDs,MATCH($C730,rngCadetNames,0)),"?"))</f>
        <v/>
      </c>
      <c r="E730" s="15">
        <f>IF($D730="","",IFERROR(INDEX(nrCadetAgency,MATCH($D730,rngCadetPIDs,0)),""))</f>
        <v/>
      </c>
      <c r="F730" s="14" t="n"/>
      <c r="G730" s="15">
        <f>IF($F730="","",IFERROR(INDEX(rngEPname,MATCH($F730,rngEPcode,0)),"?"))</f>
        <v/>
      </c>
      <c r="H730" s="15">
        <f>IF($F730="","",IFERROR(INDEX(rngEPtype,MATCH($F730,rngEPcode,0)),"?"))</f>
        <v/>
      </c>
      <c r="I730" s="15">
        <f>IF($F730="","",IFERROR(INDEX(rngEPseq,MATCH($F730,rngEPcode,0)),""))</f>
        <v/>
      </c>
      <c r="J730" s="15">
        <f>IF($F730="","",IFERROR(INDEX(rngEPpass,MATCH($F730,rngEPcode,0)),cfgPassingScore))</f>
        <v/>
      </c>
      <c r="K730" s="14" t="n"/>
      <c r="L730" s="14" t="n"/>
      <c r="M730" s="15">
        <f>IF($C730="","",IF($L730="","",IF($K730=1,IF(COUNTIFS(nrES_PID,$D730,nrES_Code,$F730,nrES_Att,2)&gt;0,"",$L730),IF(COUNTIFS(nrES_PID,$D730,nrES_Code,$F730,nrES_Att,1)=0,$L730,IF($L730&gt;=$J730,cfgRetakeRecordedCap,SUMIFS(nrES_Raw,nrES_PID,$D730,nrES_Code,$F730,nrES_Att,1))))))</f>
        <v/>
      </c>
      <c r="N730" s="15">
        <f>IF($C730="","",IF($L730="","",IF($L730&gt;=$J730,"Yes","No")))</f>
        <v/>
      </c>
      <c r="O730" s="15">
        <f>IF($C730="","",IF($M730="","",IF($M730&gt;=$J730,"Yes","No")))</f>
        <v/>
      </c>
      <c r="P730" s="15">
        <f>IF($C730="","",IF($K730="","",IF(COUNTIFS(nrES_PID,$D730,nrES_Code,$F730,nrES_Att,"&gt;"&amp;$K730)=0,"Yes","No")))</f>
        <v/>
      </c>
      <c r="Q730" s="15">
        <f>IF($C730="","",IF($L730="","",IF(AND($K730=1,$L730&lt;$J730,COUNTIFS(nrES_PID,$D730,nrES_Code,$F730,nrES_Att,2)=0),"Yes","No")))</f>
        <v/>
      </c>
      <c r="R730" s="15">
        <f>IF($C730="","",IF($L730="","",IF(AND($K730=2,$L730&lt;$J730,COUNTIFS(nrES_PID,$D730,nrES_Code,$F730,nrES_Att,1)&gt;0),"Yes","No")))</f>
        <v/>
      </c>
      <c r="S730" s="16" t="n"/>
      <c r="T730" s="17">
        <f>IF($Q730&lt;&gt;"Yes","",IF($S730="","(enter date)",_xlfn.LET(_xlpm.dn,IFERROR(_xlfn.XLOOKUP($S730,nrCDdate,nrCDnum),""),IF(_xlpm.dn="","(not a class day)",IFERROR(_xlfn.XLOOKUP(_xlpm.dn+cfgRetestClassDays,nrCDnum,nrCDdate),"")))))</f>
        <v/>
      </c>
      <c r="U730" s="15">
        <f>IF($Q730&lt;&gt;"Yes","",IF(COUNTIFS(nrES_PID,$D730,nrES_Code,$F730,nrES_Att,2)&gt;0,"Retested",IF(OR($T730="",NOT(ISNUMBER($T730))),"Pending",IF(TODAY()&gt;$T730,"OVERDUE","Due "&amp;TEXT($T730,"mm/dd")))))</f>
        <v/>
      </c>
      <c r="V730" s="14" t="n"/>
      <c r="W730" s="14" t="n"/>
    </row>
    <row r="731">
      <c r="B731" s="15">
        <f>IF($C731="","",$D731&amp;"-"&amp;$F731&amp;"-"&amp;$K731)</f>
        <v/>
      </c>
      <c r="C731" s="14" t="n"/>
      <c r="D731" s="15">
        <f>IF($C731="","",IFERROR(INDEX(rngCadetPIDs,MATCH($C731,rngCadetNames,0)),"?"))</f>
        <v/>
      </c>
      <c r="E731" s="15">
        <f>IF($D731="","",IFERROR(INDEX(nrCadetAgency,MATCH($D731,rngCadetPIDs,0)),""))</f>
        <v/>
      </c>
      <c r="F731" s="14" t="n"/>
      <c r="G731" s="15">
        <f>IF($F731="","",IFERROR(INDEX(rngEPname,MATCH($F731,rngEPcode,0)),"?"))</f>
        <v/>
      </c>
      <c r="H731" s="15">
        <f>IF($F731="","",IFERROR(INDEX(rngEPtype,MATCH($F731,rngEPcode,0)),"?"))</f>
        <v/>
      </c>
      <c r="I731" s="15">
        <f>IF($F731="","",IFERROR(INDEX(rngEPseq,MATCH($F731,rngEPcode,0)),""))</f>
        <v/>
      </c>
      <c r="J731" s="15">
        <f>IF($F731="","",IFERROR(INDEX(rngEPpass,MATCH($F731,rngEPcode,0)),cfgPassingScore))</f>
        <v/>
      </c>
      <c r="K731" s="14" t="n"/>
      <c r="L731" s="14" t="n"/>
      <c r="M731" s="15">
        <f>IF($C731="","",IF($L731="","",IF($K731=1,IF(COUNTIFS(nrES_PID,$D731,nrES_Code,$F731,nrES_Att,2)&gt;0,"",$L731),IF(COUNTIFS(nrES_PID,$D731,nrES_Code,$F731,nrES_Att,1)=0,$L731,IF($L731&gt;=$J731,cfgRetakeRecordedCap,SUMIFS(nrES_Raw,nrES_PID,$D731,nrES_Code,$F731,nrES_Att,1))))))</f>
        <v/>
      </c>
      <c r="N731" s="15">
        <f>IF($C731="","",IF($L731="","",IF($L731&gt;=$J731,"Yes","No")))</f>
        <v/>
      </c>
      <c r="O731" s="15">
        <f>IF($C731="","",IF($M731="","",IF($M731&gt;=$J731,"Yes","No")))</f>
        <v/>
      </c>
      <c r="P731" s="15">
        <f>IF($C731="","",IF($K731="","",IF(COUNTIFS(nrES_PID,$D731,nrES_Code,$F731,nrES_Att,"&gt;"&amp;$K731)=0,"Yes","No")))</f>
        <v/>
      </c>
      <c r="Q731" s="15">
        <f>IF($C731="","",IF($L731="","",IF(AND($K731=1,$L731&lt;$J731,COUNTIFS(nrES_PID,$D731,nrES_Code,$F731,nrES_Att,2)=0),"Yes","No")))</f>
        <v/>
      </c>
      <c r="R731" s="15">
        <f>IF($C731="","",IF($L731="","",IF(AND($K731=2,$L731&lt;$J731,COUNTIFS(nrES_PID,$D731,nrES_Code,$F731,nrES_Att,1)&gt;0),"Yes","No")))</f>
        <v/>
      </c>
      <c r="S731" s="16" t="n"/>
      <c r="T731" s="17">
        <f>IF($Q731&lt;&gt;"Yes","",IF($S731="","(enter date)",_xlfn.LET(_xlpm.dn,IFERROR(_xlfn.XLOOKUP($S731,nrCDdate,nrCDnum),""),IF(_xlpm.dn="","(not a class day)",IFERROR(_xlfn.XLOOKUP(_xlpm.dn+cfgRetestClassDays,nrCDnum,nrCDdate),"")))))</f>
        <v/>
      </c>
      <c r="U731" s="15">
        <f>IF($Q731&lt;&gt;"Yes","",IF(COUNTIFS(nrES_PID,$D731,nrES_Code,$F731,nrES_Att,2)&gt;0,"Retested",IF(OR($T731="",NOT(ISNUMBER($T731))),"Pending",IF(TODAY()&gt;$T731,"OVERDUE","Due "&amp;TEXT($T731,"mm/dd")))))</f>
        <v/>
      </c>
      <c r="V731" s="14" t="n"/>
      <c r="W731" s="14" t="n"/>
    </row>
    <row r="732">
      <c r="B732" s="15">
        <f>IF($C732="","",$D732&amp;"-"&amp;$F732&amp;"-"&amp;$K732)</f>
        <v/>
      </c>
      <c r="C732" s="14" t="n"/>
      <c r="D732" s="15">
        <f>IF($C732="","",IFERROR(INDEX(rngCadetPIDs,MATCH($C732,rngCadetNames,0)),"?"))</f>
        <v/>
      </c>
      <c r="E732" s="15">
        <f>IF($D732="","",IFERROR(INDEX(nrCadetAgency,MATCH($D732,rngCadetPIDs,0)),""))</f>
        <v/>
      </c>
      <c r="F732" s="14" t="n"/>
      <c r="G732" s="15">
        <f>IF($F732="","",IFERROR(INDEX(rngEPname,MATCH($F732,rngEPcode,0)),"?"))</f>
        <v/>
      </c>
      <c r="H732" s="15">
        <f>IF($F732="","",IFERROR(INDEX(rngEPtype,MATCH($F732,rngEPcode,0)),"?"))</f>
        <v/>
      </c>
      <c r="I732" s="15">
        <f>IF($F732="","",IFERROR(INDEX(rngEPseq,MATCH($F732,rngEPcode,0)),""))</f>
        <v/>
      </c>
      <c r="J732" s="15">
        <f>IF($F732="","",IFERROR(INDEX(rngEPpass,MATCH($F732,rngEPcode,0)),cfgPassingScore))</f>
        <v/>
      </c>
      <c r="K732" s="14" t="n"/>
      <c r="L732" s="14" t="n"/>
      <c r="M732" s="15">
        <f>IF($C732="","",IF($L732="","",IF($K732=1,IF(COUNTIFS(nrES_PID,$D732,nrES_Code,$F732,nrES_Att,2)&gt;0,"",$L732),IF(COUNTIFS(nrES_PID,$D732,nrES_Code,$F732,nrES_Att,1)=0,$L732,IF($L732&gt;=$J732,cfgRetakeRecordedCap,SUMIFS(nrES_Raw,nrES_PID,$D732,nrES_Code,$F732,nrES_Att,1))))))</f>
        <v/>
      </c>
      <c r="N732" s="15">
        <f>IF($C732="","",IF($L732="","",IF($L732&gt;=$J732,"Yes","No")))</f>
        <v/>
      </c>
      <c r="O732" s="15">
        <f>IF($C732="","",IF($M732="","",IF($M732&gt;=$J732,"Yes","No")))</f>
        <v/>
      </c>
      <c r="P732" s="15">
        <f>IF($C732="","",IF($K732="","",IF(COUNTIFS(nrES_PID,$D732,nrES_Code,$F732,nrES_Att,"&gt;"&amp;$K732)=0,"Yes","No")))</f>
        <v/>
      </c>
      <c r="Q732" s="15">
        <f>IF($C732="","",IF($L732="","",IF(AND($K732=1,$L732&lt;$J732,COUNTIFS(nrES_PID,$D732,nrES_Code,$F732,nrES_Att,2)=0),"Yes","No")))</f>
        <v/>
      </c>
      <c r="R732" s="15">
        <f>IF($C732="","",IF($L732="","",IF(AND($K732=2,$L732&lt;$J732,COUNTIFS(nrES_PID,$D732,nrES_Code,$F732,nrES_Att,1)&gt;0),"Yes","No")))</f>
        <v/>
      </c>
      <c r="S732" s="16" t="n"/>
      <c r="T732" s="17">
        <f>IF($Q732&lt;&gt;"Yes","",IF($S732="","(enter date)",_xlfn.LET(_xlpm.dn,IFERROR(_xlfn.XLOOKUP($S732,nrCDdate,nrCDnum),""),IF(_xlpm.dn="","(not a class day)",IFERROR(_xlfn.XLOOKUP(_xlpm.dn+cfgRetestClassDays,nrCDnum,nrCDdate),"")))))</f>
        <v/>
      </c>
      <c r="U732" s="15">
        <f>IF($Q732&lt;&gt;"Yes","",IF(COUNTIFS(nrES_PID,$D732,nrES_Code,$F732,nrES_Att,2)&gt;0,"Retested",IF(OR($T732="",NOT(ISNUMBER($T732))),"Pending",IF(TODAY()&gt;$T732,"OVERDUE","Due "&amp;TEXT($T732,"mm/dd")))))</f>
        <v/>
      </c>
      <c r="V732" s="14" t="n"/>
      <c r="W732" s="14" t="n"/>
    </row>
    <row r="733">
      <c r="B733" s="15">
        <f>IF($C733="","",$D733&amp;"-"&amp;$F733&amp;"-"&amp;$K733)</f>
        <v/>
      </c>
      <c r="C733" s="14" t="n"/>
      <c r="D733" s="15">
        <f>IF($C733="","",IFERROR(INDEX(rngCadetPIDs,MATCH($C733,rngCadetNames,0)),"?"))</f>
        <v/>
      </c>
      <c r="E733" s="15">
        <f>IF($D733="","",IFERROR(INDEX(nrCadetAgency,MATCH($D733,rngCadetPIDs,0)),""))</f>
        <v/>
      </c>
      <c r="F733" s="14" t="n"/>
      <c r="G733" s="15">
        <f>IF($F733="","",IFERROR(INDEX(rngEPname,MATCH($F733,rngEPcode,0)),"?"))</f>
        <v/>
      </c>
      <c r="H733" s="15">
        <f>IF($F733="","",IFERROR(INDEX(rngEPtype,MATCH($F733,rngEPcode,0)),"?"))</f>
        <v/>
      </c>
      <c r="I733" s="15">
        <f>IF($F733="","",IFERROR(INDEX(rngEPseq,MATCH($F733,rngEPcode,0)),""))</f>
        <v/>
      </c>
      <c r="J733" s="15">
        <f>IF($F733="","",IFERROR(INDEX(rngEPpass,MATCH($F733,rngEPcode,0)),cfgPassingScore))</f>
        <v/>
      </c>
      <c r="K733" s="14" t="n"/>
      <c r="L733" s="14" t="n"/>
      <c r="M733" s="15">
        <f>IF($C733="","",IF($L733="","",IF($K733=1,IF(COUNTIFS(nrES_PID,$D733,nrES_Code,$F733,nrES_Att,2)&gt;0,"",$L733),IF(COUNTIFS(nrES_PID,$D733,nrES_Code,$F733,nrES_Att,1)=0,$L733,IF($L733&gt;=$J733,cfgRetakeRecordedCap,SUMIFS(nrES_Raw,nrES_PID,$D733,nrES_Code,$F733,nrES_Att,1))))))</f>
        <v/>
      </c>
      <c r="N733" s="15">
        <f>IF($C733="","",IF($L733="","",IF($L733&gt;=$J733,"Yes","No")))</f>
        <v/>
      </c>
      <c r="O733" s="15">
        <f>IF($C733="","",IF($M733="","",IF($M733&gt;=$J733,"Yes","No")))</f>
        <v/>
      </c>
      <c r="P733" s="15">
        <f>IF($C733="","",IF($K733="","",IF(COUNTIFS(nrES_PID,$D733,nrES_Code,$F733,nrES_Att,"&gt;"&amp;$K733)=0,"Yes","No")))</f>
        <v/>
      </c>
      <c r="Q733" s="15">
        <f>IF($C733="","",IF($L733="","",IF(AND($K733=1,$L733&lt;$J733,COUNTIFS(nrES_PID,$D733,nrES_Code,$F733,nrES_Att,2)=0),"Yes","No")))</f>
        <v/>
      </c>
      <c r="R733" s="15">
        <f>IF($C733="","",IF($L733="","",IF(AND($K733=2,$L733&lt;$J733,COUNTIFS(nrES_PID,$D733,nrES_Code,$F733,nrES_Att,1)&gt;0),"Yes","No")))</f>
        <v/>
      </c>
      <c r="S733" s="16" t="n"/>
      <c r="T733" s="17">
        <f>IF($Q733&lt;&gt;"Yes","",IF($S733="","(enter date)",_xlfn.LET(_xlpm.dn,IFERROR(_xlfn.XLOOKUP($S733,nrCDdate,nrCDnum),""),IF(_xlpm.dn="","(not a class day)",IFERROR(_xlfn.XLOOKUP(_xlpm.dn+cfgRetestClassDays,nrCDnum,nrCDdate),"")))))</f>
        <v/>
      </c>
      <c r="U733" s="15">
        <f>IF($Q733&lt;&gt;"Yes","",IF(COUNTIFS(nrES_PID,$D733,nrES_Code,$F733,nrES_Att,2)&gt;0,"Retested",IF(OR($T733="",NOT(ISNUMBER($T733))),"Pending",IF(TODAY()&gt;$T733,"OVERDUE","Due "&amp;TEXT($T733,"mm/dd")))))</f>
        <v/>
      </c>
      <c r="V733" s="14" t="n"/>
      <c r="W733" s="14" t="n"/>
    </row>
    <row r="734">
      <c r="B734" s="15">
        <f>IF($C734="","",$D734&amp;"-"&amp;$F734&amp;"-"&amp;$K734)</f>
        <v/>
      </c>
      <c r="C734" s="14" t="n"/>
      <c r="D734" s="15">
        <f>IF($C734="","",IFERROR(INDEX(rngCadetPIDs,MATCH($C734,rngCadetNames,0)),"?"))</f>
        <v/>
      </c>
      <c r="E734" s="15">
        <f>IF($D734="","",IFERROR(INDEX(nrCadetAgency,MATCH($D734,rngCadetPIDs,0)),""))</f>
        <v/>
      </c>
      <c r="F734" s="14" t="n"/>
      <c r="G734" s="15">
        <f>IF($F734="","",IFERROR(INDEX(rngEPname,MATCH($F734,rngEPcode,0)),"?"))</f>
        <v/>
      </c>
      <c r="H734" s="15">
        <f>IF($F734="","",IFERROR(INDEX(rngEPtype,MATCH($F734,rngEPcode,0)),"?"))</f>
        <v/>
      </c>
      <c r="I734" s="15">
        <f>IF($F734="","",IFERROR(INDEX(rngEPseq,MATCH($F734,rngEPcode,0)),""))</f>
        <v/>
      </c>
      <c r="J734" s="15">
        <f>IF($F734="","",IFERROR(INDEX(rngEPpass,MATCH($F734,rngEPcode,0)),cfgPassingScore))</f>
        <v/>
      </c>
      <c r="K734" s="14" t="n"/>
      <c r="L734" s="14" t="n"/>
      <c r="M734" s="15">
        <f>IF($C734="","",IF($L734="","",IF($K734=1,IF(COUNTIFS(nrES_PID,$D734,nrES_Code,$F734,nrES_Att,2)&gt;0,"",$L734),IF(COUNTIFS(nrES_PID,$D734,nrES_Code,$F734,nrES_Att,1)=0,$L734,IF($L734&gt;=$J734,cfgRetakeRecordedCap,SUMIFS(nrES_Raw,nrES_PID,$D734,nrES_Code,$F734,nrES_Att,1))))))</f>
        <v/>
      </c>
      <c r="N734" s="15">
        <f>IF($C734="","",IF($L734="","",IF($L734&gt;=$J734,"Yes","No")))</f>
        <v/>
      </c>
      <c r="O734" s="15">
        <f>IF($C734="","",IF($M734="","",IF($M734&gt;=$J734,"Yes","No")))</f>
        <v/>
      </c>
      <c r="P734" s="15">
        <f>IF($C734="","",IF($K734="","",IF(COUNTIFS(nrES_PID,$D734,nrES_Code,$F734,nrES_Att,"&gt;"&amp;$K734)=0,"Yes","No")))</f>
        <v/>
      </c>
      <c r="Q734" s="15">
        <f>IF($C734="","",IF($L734="","",IF(AND($K734=1,$L734&lt;$J734,COUNTIFS(nrES_PID,$D734,nrES_Code,$F734,nrES_Att,2)=0),"Yes","No")))</f>
        <v/>
      </c>
      <c r="R734" s="15">
        <f>IF($C734="","",IF($L734="","",IF(AND($K734=2,$L734&lt;$J734,COUNTIFS(nrES_PID,$D734,nrES_Code,$F734,nrES_Att,1)&gt;0),"Yes","No")))</f>
        <v/>
      </c>
      <c r="S734" s="16" t="n"/>
      <c r="T734" s="17">
        <f>IF($Q734&lt;&gt;"Yes","",IF($S734="","(enter date)",_xlfn.LET(_xlpm.dn,IFERROR(_xlfn.XLOOKUP($S734,nrCDdate,nrCDnum),""),IF(_xlpm.dn="","(not a class day)",IFERROR(_xlfn.XLOOKUP(_xlpm.dn+cfgRetestClassDays,nrCDnum,nrCDdate),"")))))</f>
        <v/>
      </c>
      <c r="U734" s="15">
        <f>IF($Q734&lt;&gt;"Yes","",IF(COUNTIFS(nrES_PID,$D734,nrES_Code,$F734,nrES_Att,2)&gt;0,"Retested",IF(OR($T734="",NOT(ISNUMBER($T734))),"Pending",IF(TODAY()&gt;$T734,"OVERDUE","Due "&amp;TEXT($T734,"mm/dd")))))</f>
        <v/>
      </c>
      <c r="V734" s="14" t="n"/>
      <c r="W734" s="14" t="n"/>
    </row>
    <row r="735">
      <c r="B735" s="15">
        <f>IF($C735="","",$D735&amp;"-"&amp;$F735&amp;"-"&amp;$K735)</f>
        <v/>
      </c>
      <c r="C735" s="14" t="n"/>
      <c r="D735" s="15">
        <f>IF($C735="","",IFERROR(INDEX(rngCadetPIDs,MATCH($C735,rngCadetNames,0)),"?"))</f>
        <v/>
      </c>
      <c r="E735" s="15">
        <f>IF($D735="","",IFERROR(INDEX(nrCadetAgency,MATCH($D735,rngCadetPIDs,0)),""))</f>
        <v/>
      </c>
      <c r="F735" s="14" t="n"/>
      <c r="G735" s="15">
        <f>IF($F735="","",IFERROR(INDEX(rngEPname,MATCH($F735,rngEPcode,0)),"?"))</f>
        <v/>
      </c>
      <c r="H735" s="15">
        <f>IF($F735="","",IFERROR(INDEX(rngEPtype,MATCH($F735,rngEPcode,0)),"?"))</f>
        <v/>
      </c>
      <c r="I735" s="15">
        <f>IF($F735="","",IFERROR(INDEX(rngEPseq,MATCH($F735,rngEPcode,0)),""))</f>
        <v/>
      </c>
      <c r="J735" s="15">
        <f>IF($F735="","",IFERROR(INDEX(rngEPpass,MATCH($F735,rngEPcode,0)),cfgPassingScore))</f>
        <v/>
      </c>
      <c r="K735" s="14" t="n"/>
      <c r="L735" s="14" t="n"/>
      <c r="M735" s="15">
        <f>IF($C735="","",IF($L735="","",IF($K735=1,IF(COUNTIFS(nrES_PID,$D735,nrES_Code,$F735,nrES_Att,2)&gt;0,"",$L735),IF(COUNTIFS(nrES_PID,$D735,nrES_Code,$F735,nrES_Att,1)=0,$L735,IF($L735&gt;=$J735,cfgRetakeRecordedCap,SUMIFS(nrES_Raw,nrES_PID,$D735,nrES_Code,$F735,nrES_Att,1))))))</f>
        <v/>
      </c>
      <c r="N735" s="15">
        <f>IF($C735="","",IF($L735="","",IF($L735&gt;=$J735,"Yes","No")))</f>
        <v/>
      </c>
      <c r="O735" s="15">
        <f>IF($C735="","",IF($M735="","",IF($M735&gt;=$J735,"Yes","No")))</f>
        <v/>
      </c>
      <c r="P735" s="15">
        <f>IF($C735="","",IF($K735="","",IF(COUNTIFS(nrES_PID,$D735,nrES_Code,$F735,nrES_Att,"&gt;"&amp;$K735)=0,"Yes","No")))</f>
        <v/>
      </c>
      <c r="Q735" s="15">
        <f>IF($C735="","",IF($L735="","",IF(AND($K735=1,$L735&lt;$J735,COUNTIFS(nrES_PID,$D735,nrES_Code,$F735,nrES_Att,2)=0),"Yes","No")))</f>
        <v/>
      </c>
      <c r="R735" s="15">
        <f>IF($C735="","",IF($L735="","",IF(AND($K735=2,$L735&lt;$J735,COUNTIFS(nrES_PID,$D735,nrES_Code,$F735,nrES_Att,1)&gt;0),"Yes","No")))</f>
        <v/>
      </c>
      <c r="S735" s="16" t="n"/>
      <c r="T735" s="17">
        <f>IF($Q735&lt;&gt;"Yes","",IF($S735="","(enter date)",_xlfn.LET(_xlpm.dn,IFERROR(_xlfn.XLOOKUP($S735,nrCDdate,nrCDnum),""),IF(_xlpm.dn="","(not a class day)",IFERROR(_xlfn.XLOOKUP(_xlpm.dn+cfgRetestClassDays,nrCDnum,nrCDdate),"")))))</f>
        <v/>
      </c>
      <c r="U735" s="15">
        <f>IF($Q735&lt;&gt;"Yes","",IF(COUNTIFS(nrES_PID,$D735,nrES_Code,$F735,nrES_Att,2)&gt;0,"Retested",IF(OR($T735="",NOT(ISNUMBER($T735))),"Pending",IF(TODAY()&gt;$T735,"OVERDUE","Due "&amp;TEXT($T735,"mm/dd")))))</f>
        <v/>
      </c>
      <c r="V735" s="14" t="n"/>
      <c r="W735" s="14" t="n"/>
    </row>
    <row r="736">
      <c r="B736" s="15">
        <f>IF($C736="","",$D736&amp;"-"&amp;$F736&amp;"-"&amp;$K736)</f>
        <v/>
      </c>
      <c r="C736" s="14" t="n"/>
      <c r="D736" s="15">
        <f>IF($C736="","",IFERROR(INDEX(rngCadetPIDs,MATCH($C736,rngCadetNames,0)),"?"))</f>
        <v/>
      </c>
      <c r="E736" s="15">
        <f>IF($D736="","",IFERROR(INDEX(nrCadetAgency,MATCH($D736,rngCadetPIDs,0)),""))</f>
        <v/>
      </c>
      <c r="F736" s="14" t="n"/>
      <c r="G736" s="15">
        <f>IF($F736="","",IFERROR(INDEX(rngEPname,MATCH($F736,rngEPcode,0)),"?"))</f>
        <v/>
      </c>
      <c r="H736" s="15">
        <f>IF($F736="","",IFERROR(INDEX(rngEPtype,MATCH($F736,rngEPcode,0)),"?"))</f>
        <v/>
      </c>
      <c r="I736" s="15">
        <f>IF($F736="","",IFERROR(INDEX(rngEPseq,MATCH($F736,rngEPcode,0)),""))</f>
        <v/>
      </c>
      <c r="J736" s="15">
        <f>IF($F736="","",IFERROR(INDEX(rngEPpass,MATCH($F736,rngEPcode,0)),cfgPassingScore))</f>
        <v/>
      </c>
      <c r="K736" s="14" t="n"/>
      <c r="L736" s="14" t="n"/>
      <c r="M736" s="15">
        <f>IF($C736="","",IF($L736="","",IF($K736=1,IF(COUNTIFS(nrES_PID,$D736,nrES_Code,$F736,nrES_Att,2)&gt;0,"",$L736),IF(COUNTIFS(nrES_PID,$D736,nrES_Code,$F736,nrES_Att,1)=0,$L736,IF($L736&gt;=$J736,cfgRetakeRecordedCap,SUMIFS(nrES_Raw,nrES_PID,$D736,nrES_Code,$F736,nrES_Att,1))))))</f>
        <v/>
      </c>
      <c r="N736" s="15">
        <f>IF($C736="","",IF($L736="","",IF($L736&gt;=$J736,"Yes","No")))</f>
        <v/>
      </c>
      <c r="O736" s="15">
        <f>IF($C736="","",IF($M736="","",IF($M736&gt;=$J736,"Yes","No")))</f>
        <v/>
      </c>
      <c r="P736" s="15">
        <f>IF($C736="","",IF($K736="","",IF(COUNTIFS(nrES_PID,$D736,nrES_Code,$F736,nrES_Att,"&gt;"&amp;$K736)=0,"Yes","No")))</f>
        <v/>
      </c>
      <c r="Q736" s="15">
        <f>IF($C736="","",IF($L736="","",IF(AND($K736=1,$L736&lt;$J736,COUNTIFS(nrES_PID,$D736,nrES_Code,$F736,nrES_Att,2)=0),"Yes","No")))</f>
        <v/>
      </c>
      <c r="R736" s="15">
        <f>IF($C736="","",IF($L736="","",IF(AND($K736=2,$L736&lt;$J736,COUNTIFS(nrES_PID,$D736,nrES_Code,$F736,nrES_Att,1)&gt;0),"Yes","No")))</f>
        <v/>
      </c>
      <c r="S736" s="16" t="n"/>
      <c r="T736" s="17">
        <f>IF($Q736&lt;&gt;"Yes","",IF($S736="","(enter date)",_xlfn.LET(_xlpm.dn,IFERROR(_xlfn.XLOOKUP($S736,nrCDdate,nrCDnum),""),IF(_xlpm.dn="","(not a class day)",IFERROR(_xlfn.XLOOKUP(_xlpm.dn+cfgRetestClassDays,nrCDnum,nrCDdate),"")))))</f>
        <v/>
      </c>
      <c r="U736" s="15">
        <f>IF($Q736&lt;&gt;"Yes","",IF(COUNTIFS(nrES_PID,$D736,nrES_Code,$F736,nrES_Att,2)&gt;0,"Retested",IF(OR($T736="",NOT(ISNUMBER($T736))),"Pending",IF(TODAY()&gt;$T736,"OVERDUE","Due "&amp;TEXT($T736,"mm/dd")))))</f>
        <v/>
      </c>
      <c r="V736" s="14" t="n"/>
      <c r="W736" s="14" t="n"/>
    </row>
    <row r="737">
      <c r="B737" s="15">
        <f>IF($C737="","",$D737&amp;"-"&amp;$F737&amp;"-"&amp;$K737)</f>
        <v/>
      </c>
      <c r="C737" s="14" t="n"/>
      <c r="D737" s="15">
        <f>IF($C737="","",IFERROR(INDEX(rngCadetPIDs,MATCH($C737,rngCadetNames,0)),"?"))</f>
        <v/>
      </c>
      <c r="E737" s="15">
        <f>IF($D737="","",IFERROR(INDEX(nrCadetAgency,MATCH($D737,rngCadetPIDs,0)),""))</f>
        <v/>
      </c>
      <c r="F737" s="14" t="n"/>
      <c r="G737" s="15">
        <f>IF($F737="","",IFERROR(INDEX(rngEPname,MATCH($F737,rngEPcode,0)),"?"))</f>
        <v/>
      </c>
      <c r="H737" s="15">
        <f>IF($F737="","",IFERROR(INDEX(rngEPtype,MATCH($F737,rngEPcode,0)),"?"))</f>
        <v/>
      </c>
      <c r="I737" s="15">
        <f>IF($F737="","",IFERROR(INDEX(rngEPseq,MATCH($F737,rngEPcode,0)),""))</f>
        <v/>
      </c>
      <c r="J737" s="15">
        <f>IF($F737="","",IFERROR(INDEX(rngEPpass,MATCH($F737,rngEPcode,0)),cfgPassingScore))</f>
        <v/>
      </c>
      <c r="K737" s="14" t="n"/>
      <c r="L737" s="14" t="n"/>
      <c r="M737" s="15">
        <f>IF($C737="","",IF($L737="","",IF($K737=1,IF(COUNTIFS(nrES_PID,$D737,nrES_Code,$F737,nrES_Att,2)&gt;0,"",$L737),IF(COUNTIFS(nrES_PID,$D737,nrES_Code,$F737,nrES_Att,1)=0,$L737,IF($L737&gt;=$J737,cfgRetakeRecordedCap,SUMIFS(nrES_Raw,nrES_PID,$D737,nrES_Code,$F737,nrES_Att,1))))))</f>
        <v/>
      </c>
      <c r="N737" s="15">
        <f>IF($C737="","",IF($L737="","",IF($L737&gt;=$J737,"Yes","No")))</f>
        <v/>
      </c>
      <c r="O737" s="15">
        <f>IF($C737="","",IF($M737="","",IF($M737&gt;=$J737,"Yes","No")))</f>
        <v/>
      </c>
      <c r="P737" s="15">
        <f>IF($C737="","",IF($K737="","",IF(COUNTIFS(nrES_PID,$D737,nrES_Code,$F737,nrES_Att,"&gt;"&amp;$K737)=0,"Yes","No")))</f>
        <v/>
      </c>
      <c r="Q737" s="15">
        <f>IF($C737="","",IF($L737="","",IF(AND($K737=1,$L737&lt;$J737,COUNTIFS(nrES_PID,$D737,nrES_Code,$F737,nrES_Att,2)=0),"Yes","No")))</f>
        <v/>
      </c>
      <c r="R737" s="15">
        <f>IF($C737="","",IF($L737="","",IF(AND($K737=2,$L737&lt;$J737,COUNTIFS(nrES_PID,$D737,nrES_Code,$F737,nrES_Att,1)&gt;0),"Yes","No")))</f>
        <v/>
      </c>
      <c r="S737" s="16" t="n"/>
      <c r="T737" s="17">
        <f>IF($Q737&lt;&gt;"Yes","",IF($S737="","(enter date)",_xlfn.LET(_xlpm.dn,IFERROR(_xlfn.XLOOKUP($S737,nrCDdate,nrCDnum),""),IF(_xlpm.dn="","(not a class day)",IFERROR(_xlfn.XLOOKUP(_xlpm.dn+cfgRetestClassDays,nrCDnum,nrCDdate),"")))))</f>
        <v/>
      </c>
      <c r="U737" s="15">
        <f>IF($Q737&lt;&gt;"Yes","",IF(COUNTIFS(nrES_PID,$D737,nrES_Code,$F737,nrES_Att,2)&gt;0,"Retested",IF(OR($T737="",NOT(ISNUMBER($T737))),"Pending",IF(TODAY()&gt;$T737,"OVERDUE","Due "&amp;TEXT($T737,"mm/dd")))))</f>
        <v/>
      </c>
      <c r="V737" s="14" t="n"/>
      <c r="W737" s="14" t="n"/>
    </row>
    <row r="738">
      <c r="B738" s="15">
        <f>IF($C738="","",$D738&amp;"-"&amp;$F738&amp;"-"&amp;$K738)</f>
        <v/>
      </c>
      <c r="C738" s="14" t="n"/>
      <c r="D738" s="15">
        <f>IF($C738="","",IFERROR(INDEX(rngCadetPIDs,MATCH($C738,rngCadetNames,0)),"?"))</f>
        <v/>
      </c>
      <c r="E738" s="15">
        <f>IF($D738="","",IFERROR(INDEX(nrCadetAgency,MATCH($D738,rngCadetPIDs,0)),""))</f>
        <v/>
      </c>
      <c r="F738" s="14" t="n"/>
      <c r="G738" s="15">
        <f>IF($F738="","",IFERROR(INDEX(rngEPname,MATCH($F738,rngEPcode,0)),"?"))</f>
        <v/>
      </c>
      <c r="H738" s="15">
        <f>IF($F738="","",IFERROR(INDEX(rngEPtype,MATCH($F738,rngEPcode,0)),"?"))</f>
        <v/>
      </c>
      <c r="I738" s="15">
        <f>IF($F738="","",IFERROR(INDEX(rngEPseq,MATCH($F738,rngEPcode,0)),""))</f>
        <v/>
      </c>
      <c r="J738" s="15">
        <f>IF($F738="","",IFERROR(INDEX(rngEPpass,MATCH($F738,rngEPcode,0)),cfgPassingScore))</f>
        <v/>
      </c>
      <c r="K738" s="14" t="n"/>
      <c r="L738" s="14" t="n"/>
      <c r="M738" s="15">
        <f>IF($C738="","",IF($L738="","",IF($K738=1,IF(COUNTIFS(nrES_PID,$D738,nrES_Code,$F738,nrES_Att,2)&gt;0,"",$L738),IF(COUNTIFS(nrES_PID,$D738,nrES_Code,$F738,nrES_Att,1)=0,$L738,IF($L738&gt;=$J738,cfgRetakeRecordedCap,SUMIFS(nrES_Raw,nrES_PID,$D738,nrES_Code,$F738,nrES_Att,1))))))</f>
        <v/>
      </c>
      <c r="N738" s="15">
        <f>IF($C738="","",IF($L738="","",IF($L738&gt;=$J738,"Yes","No")))</f>
        <v/>
      </c>
      <c r="O738" s="15">
        <f>IF($C738="","",IF($M738="","",IF($M738&gt;=$J738,"Yes","No")))</f>
        <v/>
      </c>
      <c r="P738" s="15">
        <f>IF($C738="","",IF($K738="","",IF(COUNTIFS(nrES_PID,$D738,nrES_Code,$F738,nrES_Att,"&gt;"&amp;$K738)=0,"Yes","No")))</f>
        <v/>
      </c>
      <c r="Q738" s="15">
        <f>IF($C738="","",IF($L738="","",IF(AND($K738=1,$L738&lt;$J738,COUNTIFS(nrES_PID,$D738,nrES_Code,$F738,nrES_Att,2)=0),"Yes","No")))</f>
        <v/>
      </c>
      <c r="R738" s="15">
        <f>IF($C738="","",IF($L738="","",IF(AND($K738=2,$L738&lt;$J738,COUNTIFS(nrES_PID,$D738,nrES_Code,$F738,nrES_Att,1)&gt;0),"Yes","No")))</f>
        <v/>
      </c>
      <c r="S738" s="16" t="n"/>
      <c r="T738" s="17">
        <f>IF($Q738&lt;&gt;"Yes","",IF($S738="","(enter date)",_xlfn.LET(_xlpm.dn,IFERROR(_xlfn.XLOOKUP($S738,nrCDdate,nrCDnum),""),IF(_xlpm.dn="","(not a class day)",IFERROR(_xlfn.XLOOKUP(_xlpm.dn+cfgRetestClassDays,nrCDnum,nrCDdate),"")))))</f>
        <v/>
      </c>
      <c r="U738" s="15">
        <f>IF($Q738&lt;&gt;"Yes","",IF(COUNTIFS(nrES_PID,$D738,nrES_Code,$F738,nrES_Att,2)&gt;0,"Retested",IF(OR($T738="",NOT(ISNUMBER($T738))),"Pending",IF(TODAY()&gt;$T738,"OVERDUE","Due "&amp;TEXT($T738,"mm/dd")))))</f>
        <v/>
      </c>
      <c r="V738" s="14" t="n"/>
      <c r="W738" s="14" t="n"/>
    </row>
    <row r="739">
      <c r="B739" s="15">
        <f>IF($C739="","",$D739&amp;"-"&amp;$F739&amp;"-"&amp;$K739)</f>
        <v/>
      </c>
      <c r="C739" s="14" t="n"/>
      <c r="D739" s="15">
        <f>IF($C739="","",IFERROR(INDEX(rngCadetPIDs,MATCH($C739,rngCadetNames,0)),"?"))</f>
        <v/>
      </c>
      <c r="E739" s="15">
        <f>IF($D739="","",IFERROR(INDEX(nrCadetAgency,MATCH($D739,rngCadetPIDs,0)),""))</f>
        <v/>
      </c>
      <c r="F739" s="14" t="n"/>
      <c r="G739" s="15">
        <f>IF($F739="","",IFERROR(INDEX(rngEPname,MATCH($F739,rngEPcode,0)),"?"))</f>
        <v/>
      </c>
      <c r="H739" s="15">
        <f>IF($F739="","",IFERROR(INDEX(rngEPtype,MATCH($F739,rngEPcode,0)),"?"))</f>
        <v/>
      </c>
      <c r="I739" s="15">
        <f>IF($F739="","",IFERROR(INDEX(rngEPseq,MATCH($F739,rngEPcode,0)),""))</f>
        <v/>
      </c>
      <c r="J739" s="15">
        <f>IF($F739="","",IFERROR(INDEX(rngEPpass,MATCH($F739,rngEPcode,0)),cfgPassingScore))</f>
        <v/>
      </c>
      <c r="K739" s="14" t="n"/>
      <c r="L739" s="14" t="n"/>
      <c r="M739" s="15">
        <f>IF($C739="","",IF($L739="","",IF($K739=1,IF(COUNTIFS(nrES_PID,$D739,nrES_Code,$F739,nrES_Att,2)&gt;0,"",$L739),IF(COUNTIFS(nrES_PID,$D739,nrES_Code,$F739,nrES_Att,1)=0,$L739,IF($L739&gt;=$J739,cfgRetakeRecordedCap,SUMIFS(nrES_Raw,nrES_PID,$D739,nrES_Code,$F739,nrES_Att,1))))))</f>
        <v/>
      </c>
      <c r="N739" s="15">
        <f>IF($C739="","",IF($L739="","",IF($L739&gt;=$J739,"Yes","No")))</f>
        <v/>
      </c>
      <c r="O739" s="15">
        <f>IF($C739="","",IF($M739="","",IF($M739&gt;=$J739,"Yes","No")))</f>
        <v/>
      </c>
      <c r="P739" s="15">
        <f>IF($C739="","",IF($K739="","",IF(COUNTIFS(nrES_PID,$D739,nrES_Code,$F739,nrES_Att,"&gt;"&amp;$K739)=0,"Yes","No")))</f>
        <v/>
      </c>
      <c r="Q739" s="15">
        <f>IF($C739="","",IF($L739="","",IF(AND($K739=1,$L739&lt;$J739,COUNTIFS(nrES_PID,$D739,nrES_Code,$F739,nrES_Att,2)=0),"Yes","No")))</f>
        <v/>
      </c>
      <c r="R739" s="15">
        <f>IF($C739="","",IF($L739="","",IF(AND($K739=2,$L739&lt;$J739,COUNTIFS(nrES_PID,$D739,nrES_Code,$F739,nrES_Att,1)&gt;0),"Yes","No")))</f>
        <v/>
      </c>
      <c r="S739" s="16" t="n"/>
      <c r="T739" s="17">
        <f>IF($Q739&lt;&gt;"Yes","",IF($S739="","(enter date)",_xlfn.LET(_xlpm.dn,IFERROR(_xlfn.XLOOKUP($S739,nrCDdate,nrCDnum),""),IF(_xlpm.dn="","(not a class day)",IFERROR(_xlfn.XLOOKUP(_xlpm.dn+cfgRetestClassDays,nrCDnum,nrCDdate),"")))))</f>
        <v/>
      </c>
      <c r="U739" s="15">
        <f>IF($Q739&lt;&gt;"Yes","",IF(COUNTIFS(nrES_PID,$D739,nrES_Code,$F739,nrES_Att,2)&gt;0,"Retested",IF(OR($T739="",NOT(ISNUMBER($T739))),"Pending",IF(TODAY()&gt;$T739,"OVERDUE","Due "&amp;TEXT($T739,"mm/dd")))))</f>
        <v/>
      </c>
      <c r="V739" s="14" t="n"/>
      <c r="W739" s="14" t="n"/>
    </row>
    <row r="740">
      <c r="B740" s="15">
        <f>IF($C740="","",$D740&amp;"-"&amp;$F740&amp;"-"&amp;$K740)</f>
        <v/>
      </c>
      <c r="C740" s="14" t="n"/>
      <c r="D740" s="15">
        <f>IF($C740="","",IFERROR(INDEX(rngCadetPIDs,MATCH($C740,rngCadetNames,0)),"?"))</f>
        <v/>
      </c>
      <c r="E740" s="15">
        <f>IF($D740="","",IFERROR(INDEX(nrCadetAgency,MATCH($D740,rngCadetPIDs,0)),""))</f>
        <v/>
      </c>
      <c r="F740" s="14" t="n"/>
      <c r="G740" s="15">
        <f>IF($F740="","",IFERROR(INDEX(rngEPname,MATCH($F740,rngEPcode,0)),"?"))</f>
        <v/>
      </c>
      <c r="H740" s="15">
        <f>IF($F740="","",IFERROR(INDEX(rngEPtype,MATCH($F740,rngEPcode,0)),"?"))</f>
        <v/>
      </c>
      <c r="I740" s="15">
        <f>IF($F740="","",IFERROR(INDEX(rngEPseq,MATCH($F740,rngEPcode,0)),""))</f>
        <v/>
      </c>
      <c r="J740" s="15">
        <f>IF($F740="","",IFERROR(INDEX(rngEPpass,MATCH($F740,rngEPcode,0)),cfgPassingScore))</f>
        <v/>
      </c>
      <c r="K740" s="14" t="n"/>
      <c r="L740" s="14" t="n"/>
      <c r="M740" s="15">
        <f>IF($C740="","",IF($L740="","",IF($K740=1,IF(COUNTIFS(nrES_PID,$D740,nrES_Code,$F740,nrES_Att,2)&gt;0,"",$L740),IF(COUNTIFS(nrES_PID,$D740,nrES_Code,$F740,nrES_Att,1)=0,$L740,IF($L740&gt;=$J740,cfgRetakeRecordedCap,SUMIFS(nrES_Raw,nrES_PID,$D740,nrES_Code,$F740,nrES_Att,1))))))</f>
        <v/>
      </c>
      <c r="N740" s="15">
        <f>IF($C740="","",IF($L740="","",IF($L740&gt;=$J740,"Yes","No")))</f>
        <v/>
      </c>
      <c r="O740" s="15">
        <f>IF($C740="","",IF($M740="","",IF($M740&gt;=$J740,"Yes","No")))</f>
        <v/>
      </c>
      <c r="P740" s="15">
        <f>IF($C740="","",IF($K740="","",IF(COUNTIFS(nrES_PID,$D740,nrES_Code,$F740,nrES_Att,"&gt;"&amp;$K740)=0,"Yes","No")))</f>
        <v/>
      </c>
      <c r="Q740" s="15">
        <f>IF($C740="","",IF($L740="","",IF(AND($K740=1,$L740&lt;$J740,COUNTIFS(nrES_PID,$D740,nrES_Code,$F740,nrES_Att,2)=0),"Yes","No")))</f>
        <v/>
      </c>
      <c r="R740" s="15">
        <f>IF($C740="","",IF($L740="","",IF(AND($K740=2,$L740&lt;$J740,COUNTIFS(nrES_PID,$D740,nrES_Code,$F740,nrES_Att,1)&gt;0),"Yes","No")))</f>
        <v/>
      </c>
      <c r="S740" s="16" t="n"/>
      <c r="T740" s="17">
        <f>IF($Q740&lt;&gt;"Yes","",IF($S740="","(enter date)",_xlfn.LET(_xlpm.dn,IFERROR(_xlfn.XLOOKUP($S740,nrCDdate,nrCDnum),""),IF(_xlpm.dn="","(not a class day)",IFERROR(_xlfn.XLOOKUP(_xlpm.dn+cfgRetestClassDays,nrCDnum,nrCDdate),"")))))</f>
        <v/>
      </c>
      <c r="U740" s="15">
        <f>IF($Q740&lt;&gt;"Yes","",IF(COUNTIFS(nrES_PID,$D740,nrES_Code,$F740,nrES_Att,2)&gt;0,"Retested",IF(OR($T740="",NOT(ISNUMBER($T740))),"Pending",IF(TODAY()&gt;$T740,"OVERDUE","Due "&amp;TEXT($T740,"mm/dd")))))</f>
        <v/>
      </c>
      <c r="V740" s="14" t="n"/>
      <c r="W740" s="14" t="n"/>
    </row>
    <row r="741">
      <c r="B741" s="15">
        <f>IF($C741="","",$D741&amp;"-"&amp;$F741&amp;"-"&amp;$K741)</f>
        <v/>
      </c>
      <c r="C741" s="14" t="n"/>
      <c r="D741" s="15">
        <f>IF($C741="","",IFERROR(INDEX(rngCadetPIDs,MATCH($C741,rngCadetNames,0)),"?"))</f>
        <v/>
      </c>
      <c r="E741" s="15">
        <f>IF($D741="","",IFERROR(INDEX(nrCadetAgency,MATCH($D741,rngCadetPIDs,0)),""))</f>
        <v/>
      </c>
      <c r="F741" s="14" t="n"/>
      <c r="G741" s="15">
        <f>IF($F741="","",IFERROR(INDEX(rngEPname,MATCH($F741,rngEPcode,0)),"?"))</f>
        <v/>
      </c>
      <c r="H741" s="15">
        <f>IF($F741="","",IFERROR(INDEX(rngEPtype,MATCH($F741,rngEPcode,0)),"?"))</f>
        <v/>
      </c>
      <c r="I741" s="15">
        <f>IF($F741="","",IFERROR(INDEX(rngEPseq,MATCH($F741,rngEPcode,0)),""))</f>
        <v/>
      </c>
      <c r="J741" s="15">
        <f>IF($F741="","",IFERROR(INDEX(rngEPpass,MATCH($F741,rngEPcode,0)),cfgPassingScore))</f>
        <v/>
      </c>
      <c r="K741" s="14" t="n"/>
      <c r="L741" s="14" t="n"/>
      <c r="M741" s="15">
        <f>IF($C741="","",IF($L741="","",IF($K741=1,IF(COUNTIFS(nrES_PID,$D741,nrES_Code,$F741,nrES_Att,2)&gt;0,"",$L741),IF(COUNTIFS(nrES_PID,$D741,nrES_Code,$F741,nrES_Att,1)=0,$L741,IF($L741&gt;=$J741,cfgRetakeRecordedCap,SUMIFS(nrES_Raw,nrES_PID,$D741,nrES_Code,$F741,nrES_Att,1))))))</f>
        <v/>
      </c>
      <c r="N741" s="15">
        <f>IF($C741="","",IF($L741="","",IF($L741&gt;=$J741,"Yes","No")))</f>
        <v/>
      </c>
      <c r="O741" s="15">
        <f>IF($C741="","",IF($M741="","",IF($M741&gt;=$J741,"Yes","No")))</f>
        <v/>
      </c>
      <c r="P741" s="15">
        <f>IF($C741="","",IF($K741="","",IF(COUNTIFS(nrES_PID,$D741,nrES_Code,$F741,nrES_Att,"&gt;"&amp;$K741)=0,"Yes","No")))</f>
        <v/>
      </c>
      <c r="Q741" s="15">
        <f>IF($C741="","",IF($L741="","",IF(AND($K741=1,$L741&lt;$J741,COUNTIFS(nrES_PID,$D741,nrES_Code,$F741,nrES_Att,2)=0),"Yes","No")))</f>
        <v/>
      </c>
      <c r="R741" s="15">
        <f>IF($C741="","",IF($L741="","",IF(AND($K741=2,$L741&lt;$J741,COUNTIFS(nrES_PID,$D741,nrES_Code,$F741,nrES_Att,1)&gt;0),"Yes","No")))</f>
        <v/>
      </c>
      <c r="S741" s="16" t="n"/>
      <c r="T741" s="17">
        <f>IF($Q741&lt;&gt;"Yes","",IF($S741="","(enter date)",_xlfn.LET(_xlpm.dn,IFERROR(_xlfn.XLOOKUP($S741,nrCDdate,nrCDnum),""),IF(_xlpm.dn="","(not a class day)",IFERROR(_xlfn.XLOOKUP(_xlpm.dn+cfgRetestClassDays,nrCDnum,nrCDdate),"")))))</f>
        <v/>
      </c>
      <c r="U741" s="15">
        <f>IF($Q741&lt;&gt;"Yes","",IF(COUNTIFS(nrES_PID,$D741,nrES_Code,$F741,nrES_Att,2)&gt;0,"Retested",IF(OR($T741="",NOT(ISNUMBER($T741))),"Pending",IF(TODAY()&gt;$T741,"OVERDUE","Due "&amp;TEXT($T741,"mm/dd")))))</f>
        <v/>
      </c>
      <c r="V741" s="14" t="n"/>
      <c r="W741" s="14" t="n"/>
    </row>
    <row r="742">
      <c r="B742" s="15">
        <f>IF($C742="","",$D742&amp;"-"&amp;$F742&amp;"-"&amp;$K742)</f>
        <v/>
      </c>
      <c r="C742" s="14" t="n"/>
      <c r="D742" s="15">
        <f>IF($C742="","",IFERROR(INDEX(rngCadetPIDs,MATCH($C742,rngCadetNames,0)),"?"))</f>
        <v/>
      </c>
      <c r="E742" s="15">
        <f>IF($D742="","",IFERROR(INDEX(nrCadetAgency,MATCH($D742,rngCadetPIDs,0)),""))</f>
        <v/>
      </c>
      <c r="F742" s="14" t="n"/>
      <c r="G742" s="15">
        <f>IF($F742="","",IFERROR(INDEX(rngEPname,MATCH($F742,rngEPcode,0)),"?"))</f>
        <v/>
      </c>
      <c r="H742" s="15">
        <f>IF($F742="","",IFERROR(INDEX(rngEPtype,MATCH($F742,rngEPcode,0)),"?"))</f>
        <v/>
      </c>
      <c r="I742" s="15">
        <f>IF($F742="","",IFERROR(INDEX(rngEPseq,MATCH($F742,rngEPcode,0)),""))</f>
        <v/>
      </c>
      <c r="J742" s="15">
        <f>IF($F742="","",IFERROR(INDEX(rngEPpass,MATCH($F742,rngEPcode,0)),cfgPassingScore))</f>
        <v/>
      </c>
      <c r="K742" s="14" t="n"/>
      <c r="L742" s="14" t="n"/>
      <c r="M742" s="15">
        <f>IF($C742="","",IF($L742="","",IF($K742=1,IF(COUNTIFS(nrES_PID,$D742,nrES_Code,$F742,nrES_Att,2)&gt;0,"",$L742),IF(COUNTIFS(nrES_PID,$D742,nrES_Code,$F742,nrES_Att,1)=0,$L742,IF($L742&gt;=$J742,cfgRetakeRecordedCap,SUMIFS(nrES_Raw,nrES_PID,$D742,nrES_Code,$F742,nrES_Att,1))))))</f>
        <v/>
      </c>
      <c r="N742" s="15">
        <f>IF($C742="","",IF($L742="","",IF($L742&gt;=$J742,"Yes","No")))</f>
        <v/>
      </c>
      <c r="O742" s="15">
        <f>IF($C742="","",IF($M742="","",IF($M742&gt;=$J742,"Yes","No")))</f>
        <v/>
      </c>
      <c r="P742" s="15">
        <f>IF($C742="","",IF($K742="","",IF(COUNTIFS(nrES_PID,$D742,nrES_Code,$F742,nrES_Att,"&gt;"&amp;$K742)=0,"Yes","No")))</f>
        <v/>
      </c>
      <c r="Q742" s="15">
        <f>IF($C742="","",IF($L742="","",IF(AND($K742=1,$L742&lt;$J742,COUNTIFS(nrES_PID,$D742,nrES_Code,$F742,nrES_Att,2)=0),"Yes","No")))</f>
        <v/>
      </c>
      <c r="R742" s="15">
        <f>IF($C742="","",IF($L742="","",IF(AND($K742=2,$L742&lt;$J742,COUNTIFS(nrES_PID,$D742,nrES_Code,$F742,nrES_Att,1)&gt;0),"Yes","No")))</f>
        <v/>
      </c>
      <c r="S742" s="16" t="n"/>
      <c r="T742" s="17">
        <f>IF($Q742&lt;&gt;"Yes","",IF($S742="","(enter date)",_xlfn.LET(_xlpm.dn,IFERROR(_xlfn.XLOOKUP($S742,nrCDdate,nrCDnum),""),IF(_xlpm.dn="","(not a class day)",IFERROR(_xlfn.XLOOKUP(_xlpm.dn+cfgRetestClassDays,nrCDnum,nrCDdate),"")))))</f>
        <v/>
      </c>
      <c r="U742" s="15">
        <f>IF($Q742&lt;&gt;"Yes","",IF(COUNTIFS(nrES_PID,$D742,nrES_Code,$F742,nrES_Att,2)&gt;0,"Retested",IF(OR($T742="",NOT(ISNUMBER($T742))),"Pending",IF(TODAY()&gt;$T742,"OVERDUE","Due "&amp;TEXT($T742,"mm/dd")))))</f>
        <v/>
      </c>
      <c r="V742" s="14" t="n"/>
      <c r="W742" s="14" t="n"/>
    </row>
    <row r="743">
      <c r="B743" s="15">
        <f>IF($C743="","",$D743&amp;"-"&amp;$F743&amp;"-"&amp;$K743)</f>
        <v/>
      </c>
      <c r="C743" s="14" t="n"/>
      <c r="D743" s="15">
        <f>IF($C743="","",IFERROR(INDEX(rngCadetPIDs,MATCH($C743,rngCadetNames,0)),"?"))</f>
        <v/>
      </c>
      <c r="E743" s="15">
        <f>IF($D743="","",IFERROR(INDEX(nrCadetAgency,MATCH($D743,rngCadetPIDs,0)),""))</f>
        <v/>
      </c>
      <c r="F743" s="14" t="n"/>
      <c r="G743" s="15">
        <f>IF($F743="","",IFERROR(INDEX(rngEPname,MATCH($F743,rngEPcode,0)),"?"))</f>
        <v/>
      </c>
      <c r="H743" s="15">
        <f>IF($F743="","",IFERROR(INDEX(rngEPtype,MATCH($F743,rngEPcode,0)),"?"))</f>
        <v/>
      </c>
      <c r="I743" s="15">
        <f>IF($F743="","",IFERROR(INDEX(rngEPseq,MATCH($F743,rngEPcode,0)),""))</f>
        <v/>
      </c>
      <c r="J743" s="15">
        <f>IF($F743="","",IFERROR(INDEX(rngEPpass,MATCH($F743,rngEPcode,0)),cfgPassingScore))</f>
        <v/>
      </c>
      <c r="K743" s="14" t="n"/>
      <c r="L743" s="14" t="n"/>
      <c r="M743" s="15">
        <f>IF($C743="","",IF($L743="","",IF($K743=1,IF(COUNTIFS(nrES_PID,$D743,nrES_Code,$F743,nrES_Att,2)&gt;0,"",$L743),IF(COUNTIFS(nrES_PID,$D743,nrES_Code,$F743,nrES_Att,1)=0,$L743,IF($L743&gt;=$J743,cfgRetakeRecordedCap,SUMIFS(nrES_Raw,nrES_PID,$D743,nrES_Code,$F743,nrES_Att,1))))))</f>
        <v/>
      </c>
      <c r="N743" s="15">
        <f>IF($C743="","",IF($L743="","",IF($L743&gt;=$J743,"Yes","No")))</f>
        <v/>
      </c>
      <c r="O743" s="15">
        <f>IF($C743="","",IF($M743="","",IF($M743&gt;=$J743,"Yes","No")))</f>
        <v/>
      </c>
      <c r="P743" s="15">
        <f>IF($C743="","",IF($K743="","",IF(COUNTIFS(nrES_PID,$D743,nrES_Code,$F743,nrES_Att,"&gt;"&amp;$K743)=0,"Yes","No")))</f>
        <v/>
      </c>
      <c r="Q743" s="15">
        <f>IF($C743="","",IF($L743="","",IF(AND($K743=1,$L743&lt;$J743,COUNTIFS(nrES_PID,$D743,nrES_Code,$F743,nrES_Att,2)=0),"Yes","No")))</f>
        <v/>
      </c>
      <c r="R743" s="15">
        <f>IF($C743="","",IF($L743="","",IF(AND($K743=2,$L743&lt;$J743,COUNTIFS(nrES_PID,$D743,nrES_Code,$F743,nrES_Att,1)&gt;0),"Yes","No")))</f>
        <v/>
      </c>
      <c r="S743" s="16" t="n"/>
      <c r="T743" s="17">
        <f>IF($Q743&lt;&gt;"Yes","",IF($S743="","(enter date)",_xlfn.LET(_xlpm.dn,IFERROR(_xlfn.XLOOKUP($S743,nrCDdate,nrCDnum),""),IF(_xlpm.dn="","(not a class day)",IFERROR(_xlfn.XLOOKUP(_xlpm.dn+cfgRetestClassDays,nrCDnum,nrCDdate),"")))))</f>
        <v/>
      </c>
      <c r="U743" s="15">
        <f>IF($Q743&lt;&gt;"Yes","",IF(COUNTIFS(nrES_PID,$D743,nrES_Code,$F743,nrES_Att,2)&gt;0,"Retested",IF(OR($T743="",NOT(ISNUMBER($T743))),"Pending",IF(TODAY()&gt;$T743,"OVERDUE","Due "&amp;TEXT($T743,"mm/dd")))))</f>
        <v/>
      </c>
      <c r="V743" s="14" t="n"/>
      <c r="W743" s="14" t="n"/>
    </row>
    <row r="744">
      <c r="B744" s="15">
        <f>IF($C744="","",$D744&amp;"-"&amp;$F744&amp;"-"&amp;$K744)</f>
        <v/>
      </c>
      <c r="C744" s="14" t="n"/>
      <c r="D744" s="15">
        <f>IF($C744="","",IFERROR(INDEX(rngCadetPIDs,MATCH($C744,rngCadetNames,0)),"?"))</f>
        <v/>
      </c>
      <c r="E744" s="15">
        <f>IF($D744="","",IFERROR(INDEX(nrCadetAgency,MATCH($D744,rngCadetPIDs,0)),""))</f>
        <v/>
      </c>
      <c r="F744" s="14" t="n"/>
      <c r="G744" s="15">
        <f>IF($F744="","",IFERROR(INDEX(rngEPname,MATCH($F744,rngEPcode,0)),"?"))</f>
        <v/>
      </c>
      <c r="H744" s="15">
        <f>IF($F744="","",IFERROR(INDEX(rngEPtype,MATCH($F744,rngEPcode,0)),"?"))</f>
        <v/>
      </c>
      <c r="I744" s="15">
        <f>IF($F744="","",IFERROR(INDEX(rngEPseq,MATCH($F744,rngEPcode,0)),""))</f>
        <v/>
      </c>
      <c r="J744" s="15">
        <f>IF($F744="","",IFERROR(INDEX(rngEPpass,MATCH($F744,rngEPcode,0)),cfgPassingScore))</f>
        <v/>
      </c>
      <c r="K744" s="14" t="n"/>
      <c r="L744" s="14" t="n"/>
      <c r="M744" s="15">
        <f>IF($C744="","",IF($L744="","",IF($K744=1,IF(COUNTIFS(nrES_PID,$D744,nrES_Code,$F744,nrES_Att,2)&gt;0,"",$L744),IF(COUNTIFS(nrES_PID,$D744,nrES_Code,$F744,nrES_Att,1)=0,$L744,IF($L744&gt;=$J744,cfgRetakeRecordedCap,SUMIFS(nrES_Raw,nrES_PID,$D744,nrES_Code,$F744,nrES_Att,1))))))</f>
        <v/>
      </c>
      <c r="N744" s="15">
        <f>IF($C744="","",IF($L744="","",IF($L744&gt;=$J744,"Yes","No")))</f>
        <v/>
      </c>
      <c r="O744" s="15">
        <f>IF($C744="","",IF($M744="","",IF($M744&gt;=$J744,"Yes","No")))</f>
        <v/>
      </c>
      <c r="P744" s="15">
        <f>IF($C744="","",IF($K744="","",IF(COUNTIFS(nrES_PID,$D744,nrES_Code,$F744,nrES_Att,"&gt;"&amp;$K744)=0,"Yes","No")))</f>
        <v/>
      </c>
      <c r="Q744" s="15">
        <f>IF($C744="","",IF($L744="","",IF(AND($K744=1,$L744&lt;$J744,COUNTIFS(nrES_PID,$D744,nrES_Code,$F744,nrES_Att,2)=0),"Yes","No")))</f>
        <v/>
      </c>
      <c r="R744" s="15">
        <f>IF($C744="","",IF($L744="","",IF(AND($K744=2,$L744&lt;$J744,COUNTIFS(nrES_PID,$D744,nrES_Code,$F744,nrES_Att,1)&gt;0),"Yes","No")))</f>
        <v/>
      </c>
      <c r="S744" s="16" t="n"/>
      <c r="T744" s="17">
        <f>IF($Q744&lt;&gt;"Yes","",IF($S744="","(enter date)",_xlfn.LET(_xlpm.dn,IFERROR(_xlfn.XLOOKUP($S744,nrCDdate,nrCDnum),""),IF(_xlpm.dn="","(not a class day)",IFERROR(_xlfn.XLOOKUP(_xlpm.dn+cfgRetestClassDays,nrCDnum,nrCDdate),"")))))</f>
        <v/>
      </c>
      <c r="U744" s="15">
        <f>IF($Q744&lt;&gt;"Yes","",IF(COUNTIFS(nrES_PID,$D744,nrES_Code,$F744,nrES_Att,2)&gt;0,"Retested",IF(OR($T744="",NOT(ISNUMBER($T744))),"Pending",IF(TODAY()&gt;$T744,"OVERDUE","Due "&amp;TEXT($T744,"mm/dd")))))</f>
        <v/>
      </c>
      <c r="V744" s="14" t="n"/>
      <c r="W744" s="14" t="n"/>
    </row>
    <row r="745">
      <c r="B745" s="15">
        <f>IF($C745="","",$D745&amp;"-"&amp;$F745&amp;"-"&amp;$K745)</f>
        <v/>
      </c>
      <c r="C745" s="14" t="n"/>
      <c r="D745" s="15">
        <f>IF($C745="","",IFERROR(INDEX(rngCadetPIDs,MATCH($C745,rngCadetNames,0)),"?"))</f>
        <v/>
      </c>
      <c r="E745" s="15">
        <f>IF($D745="","",IFERROR(INDEX(nrCadetAgency,MATCH($D745,rngCadetPIDs,0)),""))</f>
        <v/>
      </c>
      <c r="F745" s="14" t="n"/>
      <c r="G745" s="15">
        <f>IF($F745="","",IFERROR(INDEX(rngEPname,MATCH($F745,rngEPcode,0)),"?"))</f>
        <v/>
      </c>
      <c r="H745" s="15">
        <f>IF($F745="","",IFERROR(INDEX(rngEPtype,MATCH($F745,rngEPcode,0)),"?"))</f>
        <v/>
      </c>
      <c r="I745" s="15">
        <f>IF($F745="","",IFERROR(INDEX(rngEPseq,MATCH($F745,rngEPcode,0)),""))</f>
        <v/>
      </c>
      <c r="J745" s="15">
        <f>IF($F745="","",IFERROR(INDEX(rngEPpass,MATCH($F745,rngEPcode,0)),cfgPassingScore))</f>
        <v/>
      </c>
      <c r="K745" s="14" t="n"/>
      <c r="L745" s="14" t="n"/>
      <c r="M745" s="15">
        <f>IF($C745="","",IF($L745="","",IF($K745=1,IF(COUNTIFS(nrES_PID,$D745,nrES_Code,$F745,nrES_Att,2)&gt;0,"",$L745),IF(COUNTIFS(nrES_PID,$D745,nrES_Code,$F745,nrES_Att,1)=0,$L745,IF($L745&gt;=$J745,cfgRetakeRecordedCap,SUMIFS(nrES_Raw,nrES_PID,$D745,nrES_Code,$F745,nrES_Att,1))))))</f>
        <v/>
      </c>
      <c r="N745" s="15">
        <f>IF($C745="","",IF($L745="","",IF($L745&gt;=$J745,"Yes","No")))</f>
        <v/>
      </c>
      <c r="O745" s="15">
        <f>IF($C745="","",IF($M745="","",IF($M745&gt;=$J745,"Yes","No")))</f>
        <v/>
      </c>
      <c r="P745" s="15">
        <f>IF($C745="","",IF($K745="","",IF(COUNTIFS(nrES_PID,$D745,nrES_Code,$F745,nrES_Att,"&gt;"&amp;$K745)=0,"Yes","No")))</f>
        <v/>
      </c>
      <c r="Q745" s="15">
        <f>IF($C745="","",IF($L745="","",IF(AND($K745=1,$L745&lt;$J745,COUNTIFS(nrES_PID,$D745,nrES_Code,$F745,nrES_Att,2)=0),"Yes","No")))</f>
        <v/>
      </c>
      <c r="R745" s="15">
        <f>IF($C745="","",IF($L745="","",IF(AND($K745=2,$L745&lt;$J745,COUNTIFS(nrES_PID,$D745,nrES_Code,$F745,nrES_Att,1)&gt;0),"Yes","No")))</f>
        <v/>
      </c>
      <c r="S745" s="16" t="n"/>
      <c r="T745" s="17">
        <f>IF($Q745&lt;&gt;"Yes","",IF($S745="","(enter date)",_xlfn.LET(_xlpm.dn,IFERROR(_xlfn.XLOOKUP($S745,nrCDdate,nrCDnum),""),IF(_xlpm.dn="","(not a class day)",IFERROR(_xlfn.XLOOKUP(_xlpm.dn+cfgRetestClassDays,nrCDnum,nrCDdate),"")))))</f>
        <v/>
      </c>
      <c r="U745" s="15">
        <f>IF($Q745&lt;&gt;"Yes","",IF(COUNTIFS(nrES_PID,$D745,nrES_Code,$F745,nrES_Att,2)&gt;0,"Retested",IF(OR($T745="",NOT(ISNUMBER($T745))),"Pending",IF(TODAY()&gt;$T745,"OVERDUE","Due "&amp;TEXT($T745,"mm/dd")))))</f>
        <v/>
      </c>
      <c r="V745" s="14" t="n"/>
      <c r="W745" s="14" t="n"/>
    </row>
    <row r="746">
      <c r="B746" s="15">
        <f>IF($C746="","",$D746&amp;"-"&amp;$F746&amp;"-"&amp;$K746)</f>
        <v/>
      </c>
      <c r="C746" s="14" t="n"/>
      <c r="D746" s="15">
        <f>IF($C746="","",IFERROR(INDEX(rngCadetPIDs,MATCH($C746,rngCadetNames,0)),"?"))</f>
        <v/>
      </c>
      <c r="E746" s="15">
        <f>IF($D746="","",IFERROR(INDEX(nrCadetAgency,MATCH($D746,rngCadetPIDs,0)),""))</f>
        <v/>
      </c>
      <c r="F746" s="14" t="n"/>
      <c r="G746" s="15">
        <f>IF($F746="","",IFERROR(INDEX(rngEPname,MATCH($F746,rngEPcode,0)),"?"))</f>
        <v/>
      </c>
      <c r="H746" s="15">
        <f>IF($F746="","",IFERROR(INDEX(rngEPtype,MATCH($F746,rngEPcode,0)),"?"))</f>
        <v/>
      </c>
      <c r="I746" s="15">
        <f>IF($F746="","",IFERROR(INDEX(rngEPseq,MATCH($F746,rngEPcode,0)),""))</f>
        <v/>
      </c>
      <c r="J746" s="15">
        <f>IF($F746="","",IFERROR(INDEX(rngEPpass,MATCH($F746,rngEPcode,0)),cfgPassingScore))</f>
        <v/>
      </c>
      <c r="K746" s="14" t="n"/>
      <c r="L746" s="14" t="n"/>
      <c r="M746" s="15">
        <f>IF($C746="","",IF($L746="","",IF($K746=1,IF(COUNTIFS(nrES_PID,$D746,nrES_Code,$F746,nrES_Att,2)&gt;0,"",$L746),IF(COUNTIFS(nrES_PID,$D746,nrES_Code,$F746,nrES_Att,1)=0,$L746,IF($L746&gt;=$J746,cfgRetakeRecordedCap,SUMIFS(nrES_Raw,nrES_PID,$D746,nrES_Code,$F746,nrES_Att,1))))))</f>
        <v/>
      </c>
      <c r="N746" s="15">
        <f>IF($C746="","",IF($L746="","",IF($L746&gt;=$J746,"Yes","No")))</f>
        <v/>
      </c>
      <c r="O746" s="15">
        <f>IF($C746="","",IF($M746="","",IF($M746&gt;=$J746,"Yes","No")))</f>
        <v/>
      </c>
      <c r="P746" s="15">
        <f>IF($C746="","",IF($K746="","",IF(COUNTIFS(nrES_PID,$D746,nrES_Code,$F746,nrES_Att,"&gt;"&amp;$K746)=0,"Yes","No")))</f>
        <v/>
      </c>
      <c r="Q746" s="15">
        <f>IF($C746="","",IF($L746="","",IF(AND($K746=1,$L746&lt;$J746,COUNTIFS(nrES_PID,$D746,nrES_Code,$F746,nrES_Att,2)=0),"Yes","No")))</f>
        <v/>
      </c>
      <c r="R746" s="15">
        <f>IF($C746="","",IF($L746="","",IF(AND($K746=2,$L746&lt;$J746,COUNTIFS(nrES_PID,$D746,nrES_Code,$F746,nrES_Att,1)&gt;0),"Yes","No")))</f>
        <v/>
      </c>
      <c r="S746" s="16" t="n"/>
      <c r="T746" s="17">
        <f>IF($Q746&lt;&gt;"Yes","",IF($S746="","(enter date)",_xlfn.LET(_xlpm.dn,IFERROR(_xlfn.XLOOKUP($S746,nrCDdate,nrCDnum),""),IF(_xlpm.dn="","(not a class day)",IFERROR(_xlfn.XLOOKUP(_xlpm.dn+cfgRetestClassDays,nrCDnum,nrCDdate),"")))))</f>
        <v/>
      </c>
      <c r="U746" s="15">
        <f>IF($Q746&lt;&gt;"Yes","",IF(COUNTIFS(nrES_PID,$D746,nrES_Code,$F746,nrES_Att,2)&gt;0,"Retested",IF(OR($T746="",NOT(ISNUMBER($T746))),"Pending",IF(TODAY()&gt;$T746,"OVERDUE","Due "&amp;TEXT($T746,"mm/dd")))))</f>
        <v/>
      </c>
      <c r="V746" s="14" t="n"/>
      <c r="W746" s="14" t="n"/>
    </row>
    <row r="747">
      <c r="B747" s="15">
        <f>IF($C747="","",$D747&amp;"-"&amp;$F747&amp;"-"&amp;$K747)</f>
        <v/>
      </c>
      <c r="C747" s="14" t="n"/>
      <c r="D747" s="15">
        <f>IF($C747="","",IFERROR(INDEX(rngCadetPIDs,MATCH($C747,rngCadetNames,0)),"?"))</f>
        <v/>
      </c>
      <c r="E747" s="15">
        <f>IF($D747="","",IFERROR(INDEX(nrCadetAgency,MATCH($D747,rngCadetPIDs,0)),""))</f>
        <v/>
      </c>
      <c r="F747" s="14" t="n"/>
      <c r="G747" s="15">
        <f>IF($F747="","",IFERROR(INDEX(rngEPname,MATCH($F747,rngEPcode,0)),"?"))</f>
        <v/>
      </c>
      <c r="H747" s="15">
        <f>IF($F747="","",IFERROR(INDEX(rngEPtype,MATCH($F747,rngEPcode,0)),"?"))</f>
        <v/>
      </c>
      <c r="I747" s="15">
        <f>IF($F747="","",IFERROR(INDEX(rngEPseq,MATCH($F747,rngEPcode,0)),""))</f>
        <v/>
      </c>
      <c r="J747" s="15">
        <f>IF($F747="","",IFERROR(INDEX(rngEPpass,MATCH($F747,rngEPcode,0)),cfgPassingScore))</f>
        <v/>
      </c>
      <c r="K747" s="14" t="n"/>
      <c r="L747" s="14" t="n"/>
      <c r="M747" s="15">
        <f>IF($C747="","",IF($L747="","",IF($K747=1,IF(COUNTIFS(nrES_PID,$D747,nrES_Code,$F747,nrES_Att,2)&gt;0,"",$L747),IF(COUNTIFS(nrES_PID,$D747,nrES_Code,$F747,nrES_Att,1)=0,$L747,IF($L747&gt;=$J747,cfgRetakeRecordedCap,SUMIFS(nrES_Raw,nrES_PID,$D747,nrES_Code,$F747,nrES_Att,1))))))</f>
        <v/>
      </c>
      <c r="N747" s="15">
        <f>IF($C747="","",IF($L747="","",IF($L747&gt;=$J747,"Yes","No")))</f>
        <v/>
      </c>
      <c r="O747" s="15">
        <f>IF($C747="","",IF($M747="","",IF($M747&gt;=$J747,"Yes","No")))</f>
        <v/>
      </c>
      <c r="P747" s="15">
        <f>IF($C747="","",IF($K747="","",IF(COUNTIFS(nrES_PID,$D747,nrES_Code,$F747,nrES_Att,"&gt;"&amp;$K747)=0,"Yes","No")))</f>
        <v/>
      </c>
      <c r="Q747" s="15">
        <f>IF($C747="","",IF($L747="","",IF(AND($K747=1,$L747&lt;$J747,COUNTIFS(nrES_PID,$D747,nrES_Code,$F747,nrES_Att,2)=0),"Yes","No")))</f>
        <v/>
      </c>
      <c r="R747" s="15">
        <f>IF($C747="","",IF($L747="","",IF(AND($K747=2,$L747&lt;$J747,COUNTIFS(nrES_PID,$D747,nrES_Code,$F747,nrES_Att,1)&gt;0),"Yes","No")))</f>
        <v/>
      </c>
      <c r="S747" s="16" t="n"/>
      <c r="T747" s="17">
        <f>IF($Q747&lt;&gt;"Yes","",IF($S747="","(enter date)",_xlfn.LET(_xlpm.dn,IFERROR(_xlfn.XLOOKUP($S747,nrCDdate,nrCDnum),""),IF(_xlpm.dn="","(not a class day)",IFERROR(_xlfn.XLOOKUP(_xlpm.dn+cfgRetestClassDays,nrCDnum,nrCDdate),"")))))</f>
        <v/>
      </c>
      <c r="U747" s="15">
        <f>IF($Q747&lt;&gt;"Yes","",IF(COUNTIFS(nrES_PID,$D747,nrES_Code,$F747,nrES_Att,2)&gt;0,"Retested",IF(OR($T747="",NOT(ISNUMBER($T747))),"Pending",IF(TODAY()&gt;$T747,"OVERDUE","Due "&amp;TEXT($T747,"mm/dd")))))</f>
        <v/>
      </c>
      <c r="V747" s="14" t="n"/>
      <c r="W747" s="14" t="n"/>
    </row>
    <row r="748">
      <c r="B748" s="15">
        <f>IF($C748="","",$D748&amp;"-"&amp;$F748&amp;"-"&amp;$K748)</f>
        <v/>
      </c>
      <c r="C748" s="14" t="n"/>
      <c r="D748" s="15">
        <f>IF($C748="","",IFERROR(INDEX(rngCadetPIDs,MATCH($C748,rngCadetNames,0)),"?"))</f>
        <v/>
      </c>
      <c r="E748" s="15">
        <f>IF($D748="","",IFERROR(INDEX(nrCadetAgency,MATCH($D748,rngCadetPIDs,0)),""))</f>
        <v/>
      </c>
      <c r="F748" s="14" t="n"/>
      <c r="G748" s="15">
        <f>IF($F748="","",IFERROR(INDEX(rngEPname,MATCH($F748,rngEPcode,0)),"?"))</f>
        <v/>
      </c>
      <c r="H748" s="15">
        <f>IF($F748="","",IFERROR(INDEX(rngEPtype,MATCH($F748,rngEPcode,0)),"?"))</f>
        <v/>
      </c>
      <c r="I748" s="15">
        <f>IF($F748="","",IFERROR(INDEX(rngEPseq,MATCH($F748,rngEPcode,0)),""))</f>
        <v/>
      </c>
      <c r="J748" s="15">
        <f>IF($F748="","",IFERROR(INDEX(rngEPpass,MATCH($F748,rngEPcode,0)),cfgPassingScore))</f>
        <v/>
      </c>
      <c r="K748" s="14" t="n"/>
      <c r="L748" s="14" t="n"/>
      <c r="M748" s="15">
        <f>IF($C748="","",IF($L748="","",IF($K748=1,IF(COUNTIFS(nrES_PID,$D748,nrES_Code,$F748,nrES_Att,2)&gt;0,"",$L748),IF(COUNTIFS(nrES_PID,$D748,nrES_Code,$F748,nrES_Att,1)=0,$L748,IF($L748&gt;=$J748,cfgRetakeRecordedCap,SUMIFS(nrES_Raw,nrES_PID,$D748,nrES_Code,$F748,nrES_Att,1))))))</f>
        <v/>
      </c>
      <c r="N748" s="15">
        <f>IF($C748="","",IF($L748="","",IF($L748&gt;=$J748,"Yes","No")))</f>
        <v/>
      </c>
      <c r="O748" s="15">
        <f>IF($C748="","",IF($M748="","",IF($M748&gt;=$J748,"Yes","No")))</f>
        <v/>
      </c>
      <c r="P748" s="15">
        <f>IF($C748="","",IF($K748="","",IF(COUNTIFS(nrES_PID,$D748,nrES_Code,$F748,nrES_Att,"&gt;"&amp;$K748)=0,"Yes","No")))</f>
        <v/>
      </c>
      <c r="Q748" s="15">
        <f>IF($C748="","",IF($L748="","",IF(AND($K748=1,$L748&lt;$J748,COUNTIFS(nrES_PID,$D748,nrES_Code,$F748,nrES_Att,2)=0),"Yes","No")))</f>
        <v/>
      </c>
      <c r="R748" s="15">
        <f>IF($C748="","",IF($L748="","",IF(AND($K748=2,$L748&lt;$J748,COUNTIFS(nrES_PID,$D748,nrES_Code,$F748,nrES_Att,1)&gt;0),"Yes","No")))</f>
        <v/>
      </c>
      <c r="S748" s="16" t="n"/>
      <c r="T748" s="17">
        <f>IF($Q748&lt;&gt;"Yes","",IF($S748="","(enter date)",_xlfn.LET(_xlpm.dn,IFERROR(_xlfn.XLOOKUP($S748,nrCDdate,nrCDnum),""),IF(_xlpm.dn="","(not a class day)",IFERROR(_xlfn.XLOOKUP(_xlpm.dn+cfgRetestClassDays,nrCDnum,nrCDdate),"")))))</f>
        <v/>
      </c>
      <c r="U748" s="15">
        <f>IF($Q748&lt;&gt;"Yes","",IF(COUNTIFS(nrES_PID,$D748,nrES_Code,$F748,nrES_Att,2)&gt;0,"Retested",IF(OR($T748="",NOT(ISNUMBER($T748))),"Pending",IF(TODAY()&gt;$T748,"OVERDUE","Due "&amp;TEXT($T748,"mm/dd")))))</f>
        <v/>
      </c>
      <c r="V748" s="14" t="n"/>
      <c r="W748" s="14" t="n"/>
    </row>
    <row r="749">
      <c r="B749" s="15">
        <f>IF($C749="","",$D749&amp;"-"&amp;$F749&amp;"-"&amp;$K749)</f>
        <v/>
      </c>
      <c r="C749" s="14" t="n"/>
      <c r="D749" s="15">
        <f>IF($C749="","",IFERROR(INDEX(rngCadetPIDs,MATCH($C749,rngCadetNames,0)),"?"))</f>
        <v/>
      </c>
      <c r="E749" s="15">
        <f>IF($D749="","",IFERROR(INDEX(nrCadetAgency,MATCH($D749,rngCadetPIDs,0)),""))</f>
        <v/>
      </c>
      <c r="F749" s="14" t="n"/>
      <c r="G749" s="15">
        <f>IF($F749="","",IFERROR(INDEX(rngEPname,MATCH($F749,rngEPcode,0)),"?"))</f>
        <v/>
      </c>
      <c r="H749" s="15">
        <f>IF($F749="","",IFERROR(INDEX(rngEPtype,MATCH($F749,rngEPcode,0)),"?"))</f>
        <v/>
      </c>
      <c r="I749" s="15">
        <f>IF($F749="","",IFERROR(INDEX(rngEPseq,MATCH($F749,rngEPcode,0)),""))</f>
        <v/>
      </c>
      <c r="J749" s="15">
        <f>IF($F749="","",IFERROR(INDEX(rngEPpass,MATCH($F749,rngEPcode,0)),cfgPassingScore))</f>
        <v/>
      </c>
      <c r="K749" s="14" t="n"/>
      <c r="L749" s="14" t="n"/>
      <c r="M749" s="15">
        <f>IF($C749="","",IF($L749="","",IF($K749=1,IF(COUNTIFS(nrES_PID,$D749,nrES_Code,$F749,nrES_Att,2)&gt;0,"",$L749),IF(COUNTIFS(nrES_PID,$D749,nrES_Code,$F749,nrES_Att,1)=0,$L749,IF($L749&gt;=$J749,cfgRetakeRecordedCap,SUMIFS(nrES_Raw,nrES_PID,$D749,nrES_Code,$F749,nrES_Att,1))))))</f>
        <v/>
      </c>
      <c r="N749" s="15">
        <f>IF($C749="","",IF($L749="","",IF($L749&gt;=$J749,"Yes","No")))</f>
        <v/>
      </c>
      <c r="O749" s="15">
        <f>IF($C749="","",IF($M749="","",IF($M749&gt;=$J749,"Yes","No")))</f>
        <v/>
      </c>
      <c r="P749" s="15">
        <f>IF($C749="","",IF($K749="","",IF(COUNTIFS(nrES_PID,$D749,nrES_Code,$F749,nrES_Att,"&gt;"&amp;$K749)=0,"Yes","No")))</f>
        <v/>
      </c>
      <c r="Q749" s="15">
        <f>IF($C749="","",IF($L749="","",IF(AND($K749=1,$L749&lt;$J749,COUNTIFS(nrES_PID,$D749,nrES_Code,$F749,nrES_Att,2)=0),"Yes","No")))</f>
        <v/>
      </c>
      <c r="R749" s="15">
        <f>IF($C749="","",IF($L749="","",IF(AND($K749=2,$L749&lt;$J749,COUNTIFS(nrES_PID,$D749,nrES_Code,$F749,nrES_Att,1)&gt;0),"Yes","No")))</f>
        <v/>
      </c>
      <c r="S749" s="16" t="n"/>
      <c r="T749" s="17">
        <f>IF($Q749&lt;&gt;"Yes","",IF($S749="","(enter date)",_xlfn.LET(_xlpm.dn,IFERROR(_xlfn.XLOOKUP($S749,nrCDdate,nrCDnum),""),IF(_xlpm.dn="","(not a class day)",IFERROR(_xlfn.XLOOKUP(_xlpm.dn+cfgRetestClassDays,nrCDnum,nrCDdate),"")))))</f>
        <v/>
      </c>
      <c r="U749" s="15">
        <f>IF($Q749&lt;&gt;"Yes","",IF(COUNTIFS(nrES_PID,$D749,nrES_Code,$F749,nrES_Att,2)&gt;0,"Retested",IF(OR($T749="",NOT(ISNUMBER($T749))),"Pending",IF(TODAY()&gt;$T749,"OVERDUE","Due "&amp;TEXT($T749,"mm/dd")))))</f>
        <v/>
      </c>
      <c r="V749" s="14" t="n"/>
      <c r="W749" s="14" t="n"/>
    </row>
    <row r="750">
      <c r="B750" s="15">
        <f>IF($C750="","",$D750&amp;"-"&amp;$F750&amp;"-"&amp;$K750)</f>
        <v/>
      </c>
      <c r="C750" s="14" t="n"/>
      <c r="D750" s="15">
        <f>IF($C750="","",IFERROR(INDEX(rngCadetPIDs,MATCH($C750,rngCadetNames,0)),"?"))</f>
        <v/>
      </c>
      <c r="E750" s="15">
        <f>IF($D750="","",IFERROR(INDEX(nrCadetAgency,MATCH($D750,rngCadetPIDs,0)),""))</f>
        <v/>
      </c>
      <c r="F750" s="14" t="n"/>
      <c r="G750" s="15">
        <f>IF($F750="","",IFERROR(INDEX(rngEPname,MATCH($F750,rngEPcode,0)),"?"))</f>
        <v/>
      </c>
      <c r="H750" s="15">
        <f>IF($F750="","",IFERROR(INDEX(rngEPtype,MATCH($F750,rngEPcode,0)),"?"))</f>
        <v/>
      </c>
      <c r="I750" s="15">
        <f>IF($F750="","",IFERROR(INDEX(rngEPseq,MATCH($F750,rngEPcode,0)),""))</f>
        <v/>
      </c>
      <c r="J750" s="15">
        <f>IF($F750="","",IFERROR(INDEX(rngEPpass,MATCH($F750,rngEPcode,0)),cfgPassingScore))</f>
        <v/>
      </c>
      <c r="K750" s="14" t="n"/>
      <c r="L750" s="14" t="n"/>
      <c r="M750" s="15">
        <f>IF($C750="","",IF($L750="","",IF($K750=1,IF(COUNTIFS(nrES_PID,$D750,nrES_Code,$F750,nrES_Att,2)&gt;0,"",$L750),IF(COUNTIFS(nrES_PID,$D750,nrES_Code,$F750,nrES_Att,1)=0,$L750,IF($L750&gt;=$J750,cfgRetakeRecordedCap,SUMIFS(nrES_Raw,nrES_PID,$D750,nrES_Code,$F750,nrES_Att,1))))))</f>
        <v/>
      </c>
      <c r="N750" s="15">
        <f>IF($C750="","",IF($L750="","",IF($L750&gt;=$J750,"Yes","No")))</f>
        <v/>
      </c>
      <c r="O750" s="15">
        <f>IF($C750="","",IF($M750="","",IF($M750&gt;=$J750,"Yes","No")))</f>
        <v/>
      </c>
      <c r="P750" s="15">
        <f>IF($C750="","",IF($K750="","",IF(COUNTIFS(nrES_PID,$D750,nrES_Code,$F750,nrES_Att,"&gt;"&amp;$K750)=0,"Yes","No")))</f>
        <v/>
      </c>
      <c r="Q750" s="15">
        <f>IF($C750="","",IF($L750="","",IF(AND($K750=1,$L750&lt;$J750,COUNTIFS(nrES_PID,$D750,nrES_Code,$F750,nrES_Att,2)=0),"Yes","No")))</f>
        <v/>
      </c>
      <c r="R750" s="15">
        <f>IF($C750="","",IF($L750="","",IF(AND($K750=2,$L750&lt;$J750,COUNTIFS(nrES_PID,$D750,nrES_Code,$F750,nrES_Att,1)&gt;0),"Yes","No")))</f>
        <v/>
      </c>
      <c r="S750" s="16" t="n"/>
      <c r="T750" s="17">
        <f>IF($Q750&lt;&gt;"Yes","",IF($S750="","(enter date)",_xlfn.LET(_xlpm.dn,IFERROR(_xlfn.XLOOKUP($S750,nrCDdate,nrCDnum),""),IF(_xlpm.dn="","(not a class day)",IFERROR(_xlfn.XLOOKUP(_xlpm.dn+cfgRetestClassDays,nrCDnum,nrCDdate),"")))))</f>
        <v/>
      </c>
      <c r="U750" s="15">
        <f>IF($Q750&lt;&gt;"Yes","",IF(COUNTIFS(nrES_PID,$D750,nrES_Code,$F750,nrES_Att,2)&gt;0,"Retested",IF(OR($T750="",NOT(ISNUMBER($T750))),"Pending",IF(TODAY()&gt;$T750,"OVERDUE","Due "&amp;TEXT($T750,"mm/dd")))))</f>
        <v/>
      </c>
      <c r="V750" s="14" t="n"/>
      <c r="W750" s="14" t="n"/>
    </row>
    <row r="751">
      <c r="B751" s="15">
        <f>IF($C751="","",$D751&amp;"-"&amp;$F751&amp;"-"&amp;$K751)</f>
        <v/>
      </c>
      <c r="C751" s="14" t="n"/>
      <c r="D751" s="15">
        <f>IF($C751="","",IFERROR(INDEX(rngCadetPIDs,MATCH($C751,rngCadetNames,0)),"?"))</f>
        <v/>
      </c>
      <c r="E751" s="15">
        <f>IF($D751="","",IFERROR(INDEX(nrCadetAgency,MATCH($D751,rngCadetPIDs,0)),""))</f>
        <v/>
      </c>
      <c r="F751" s="14" t="n"/>
      <c r="G751" s="15">
        <f>IF($F751="","",IFERROR(INDEX(rngEPname,MATCH($F751,rngEPcode,0)),"?"))</f>
        <v/>
      </c>
      <c r="H751" s="15">
        <f>IF($F751="","",IFERROR(INDEX(rngEPtype,MATCH($F751,rngEPcode,0)),"?"))</f>
        <v/>
      </c>
      <c r="I751" s="15">
        <f>IF($F751="","",IFERROR(INDEX(rngEPseq,MATCH($F751,rngEPcode,0)),""))</f>
        <v/>
      </c>
      <c r="J751" s="15">
        <f>IF($F751="","",IFERROR(INDEX(rngEPpass,MATCH($F751,rngEPcode,0)),cfgPassingScore))</f>
        <v/>
      </c>
      <c r="K751" s="14" t="n"/>
      <c r="L751" s="14" t="n"/>
      <c r="M751" s="15">
        <f>IF($C751="","",IF($L751="","",IF($K751=1,IF(COUNTIFS(nrES_PID,$D751,nrES_Code,$F751,nrES_Att,2)&gt;0,"",$L751),IF(COUNTIFS(nrES_PID,$D751,nrES_Code,$F751,nrES_Att,1)=0,$L751,IF($L751&gt;=$J751,cfgRetakeRecordedCap,SUMIFS(nrES_Raw,nrES_PID,$D751,nrES_Code,$F751,nrES_Att,1))))))</f>
        <v/>
      </c>
      <c r="N751" s="15">
        <f>IF($C751="","",IF($L751="","",IF($L751&gt;=$J751,"Yes","No")))</f>
        <v/>
      </c>
      <c r="O751" s="15">
        <f>IF($C751="","",IF($M751="","",IF($M751&gt;=$J751,"Yes","No")))</f>
        <v/>
      </c>
      <c r="P751" s="15">
        <f>IF($C751="","",IF($K751="","",IF(COUNTIFS(nrES_PID,$D751,nrES_Code,$F751,nrES_Att,"&gt;"&amp;$K751)=0,"Yes","No")))</f>
        <v/>
      </c>
      <c r="Q751" s="15">
        <f>IF($C751="","",IF($L751="","",IF(AND($K751=1,$L751&lt;$J751,COUNTIFS(nrES_PID,$D751,nrES_Code,$F751,nrES_Att,2)=0),"Yes","No")))</f>
        <v/>
      </c>
      <c r="R751" s="15">
        <f>IF($C751="","",IF($L751="","",IF(AND($K751=2,$L751&lt;$J751,COUNTIFS(nrES_PID,$D751,nrES_Code,$F751,nrES_Att,1)&gt;0),"Yes","No")))</f>
        <v/>
      </c>
      <c r="S751" s="16" t="n"/>
      <c r="T751" s="17">
        <f>IF($Q751&lt;&gt;"Yes","",IF($S751="","(enter date)",_xlfn.LET(_xlpm.dn,IFERROR(_xlfn.XLOOKUP($S751,nrCDdate,nrCDnum),""),IF(_xlpm.dn="","(not a class day)",IFERROR(_xlfn.XLOOKUP(_xlpm.dn+cfgRetestClassDays,nrCDnum,nrCDdate),"")))))</f>
        <v/>
      </c>
      <c r="U751" s="15">
        <f>IF($Q751&lt;&gt;"Yes","",IF(COUNTIFS(nrES_PID,$D751,nrES_Code,$F751,nrES_Att,2)&gt;0,"Retested",IF(OR($T751="",NOT(ISNUMBER($T751))),"Pending",IF(TODAY()&gt;$T751,"OVERDUE","Due "&amp;TEXT($T751,"mm/dd")))))</f>
        <v/>
      </c>
      <c r="V751" s="14" t="n"/>
      <c r="W751" s="14" t="n"/>
    </row>
    <row r="752">
      <c r="B752" s="15">
        <f>IF($C752="","",$D752&amp;"-"&amp;$F752&amp;"-"&amp;$K752)</f>
        <v/>
      </c>
      <c r="C752" s="14" t="n"/>
      <c r="D752" s="15">
        <f>IF($C752="","",IFERROR(INDEX(rngCadetPIDs,MATCH($C752,rngCadetNames,0)),"?"))</f>
        <v/>
      </c>
      <c r="E752" s="15">
        <f>IF($D752="","",IFERROR(INDEX(nrCadetAgency,MATCH($D752,rngCadetPIDs,0)),""))</f>
        <v/>
      </c>
      <c r="F752" s="14" t="n"/>
      <c r="G752" s="15">
        <f>IF($F752="","",IFERROR(INDEX(rngEPname,MATCH($F752,rngEPcode,0)),"?"))</f>
        <v/>
      </c>
      <c r="H752" s="15">
        <f>IF($F752="","",IFERROR(INDEX(rngEPtype,MATCH($F752,rngEPcode,0)),"?"))</f>
        <v/>
      </c>
      <c r="I752" s="15">
        <f>IF($F752="","",IFERROR(INDEX(rngEPseq,MATCH($F752,rngEPcode,0)),""))</f>
        <v/>
      </c>
      <c r="J752" s="15">
        <f>IF($F752="","",IFERROR(INDEX(rngEPpass,MATCH($F752,rngEPcode,0)),cfgPassingScore))</f>
        <v/>
      </c>
      <c r="K752" s="14" t="n"/>
      <c r="L752" s="14" t="n"/>
      <c r="M752" s="15">
        <f>IF($C752="","",IF($L752="","",IF($K752=1,IF(COUNTIFS(nrES_PID,$D752,nrES_Code,$F752,nrES_Att,2)&gt;0,"",$L752),IF(COUNTIFS(nrES_PID,$D752,nrES_Code,$F752,nrES_Att,1)=0,$L752,IF($L752&gt;=$J752,cfgRetakeRecordedCap,SUMIFS(nrES_Raw,nrES_PID,$D752,nrES_Code,$F752,nrES_Att,1))))))</f>
        <v/>
      </c>
      <c r="N752" s="15">
        <f>IF($C752="","",IF($L752="","",IF($L752&gt;=$J752,"Yes","No")))</f>
        <v/>
      </c>
      <c r="O752" s="15">
        <f>IF($C752="","",IF($M752="","",IF($M752&gt;=$J752,"Yes","No")))</f>
        <v/>
      </c>
      <c r="P752" s="15">
        <f>IF($C752="","",IF($K752="","",IF(COUNTIFS(nrES_PID,$D752,nrES_Code,$F752,nrES_Att,"&gt;"&amp;$K752)=0,"Yes","No")))</f>
        <v/>
      </c>
      <c r="Q752" s="15">
        <f>IF($C752="","",IF($L752="","",IF(AND($K752=1,$L752&lt;$J752,COUNTIFS(nrES_PID,$D752,nrES_Code,$F752,nrES_Att,2)=0),"Yes","No")))</f>
        <v/>
      </c>
      <c r="R752" s="15">
        <f>IF($C752="","",IF($L752="","",IF(AND($K752=2,$L752&lt;$J752,COUNTIFS(nrES_PID,$D752,nrES_Code,$F752,nrES_Att,1)&gt;0),"Yes","No")))</f>
        <v/>
      </c>
      <c r="S752" s="16" t="n"/>
      <c r="T752" s="17">
        <f>IF($Q752&lt;&gt;"Yes","",IF($S752="","(enter date)",_xlfn.LET(_xlpm.dn,IFERROR(_xlfn.XLOOKUP($S752,nrCDdate,nrCDnum),""),IF(_xlpm.dn="","(not a class day)",IFERROR(_xlfn.XLOOKUP(_xlpm.dn+cfgRetestClassDays,nrCDnum,nrCDdate),"")))))</f>
        <v/>
      </c>
      <c r="U752" s="15">
        <f>IF($Q752&lt;&gt;"Yes","",IF(COUNTIFS(nrES_PID,$D752,nrES_Code,$F752,nrES_Att,2)&gt;0,"Retested",IF(OR($T752="",NOT(ISNUMBER($T752))),"Pending",IF(TODAY()&gt;$T752,"OVERDUE","Due "&amp;TEXT($T752,"mm/dd")))))</f>
        <v/>
      </c>
      <c r="V752" s="14" t="n"/>
      <c r="W752" s="14" t="n"/>
    </row>
    <row r="753">
      <c r="B753" s="15">
        <f>IF($C753="","",$D753&amp;"-"&amp;$F753&amp;"-"&amp;$K753)</f>
        <v/>
      </c>
      <c r="C753" s="14" t="n"/>
      <c r="D753" s="15">
        <f>IF($C753="","",IFERROR(INDEX(rngCadetPIDs,MATCH($C753,rngCadetNames,0)),"?"))</f>
        <v/>
      </c>
      <c r="E753" s="15">
        <f>IF($D753="","",IFERROR(INDEX(nrCadetAgency,MATCH($D753,rngCadetPIDs,0)),""))</f>
        <v/>
      </c>
      <c r="F753" s="14" t="n"/>
      <c r="G753" s="15">
        <f>IF($F753="","",IFERROR(INDEX(rngEPname,MATCH($F753,rngEPcode,0)),"?"))</f>
        <v/>
      </c>
      <c r="H753" s="15">
        <f>IF($F753="","",IFERROR(INDEX(rngEPtype,MATCH($F753,rngEPcode,0)),"?"))</f>
        <v/>
      </c>
      <c r="I753" s="15">
        <f>IF($F753="","",IFERROR(INDEX(rngEPseq,MATCH($F753,rngEPcode,0)),""))</f>
        <v/>
      </c>
      <c r="J753" s="15">
        <f>IF($F753="","",IFERROR(INDEX(rngEPpass,MATCH($F753,rngEPcode,0)),cfgPassingScore))</f>
        <v/>
      </c>
      <c r="K753" s="14" t="n"/>
      <c r="L753" s="14" t="n"/>
      <c r="M753" s="15">
        <f>IF($C753="","",IF($L753="","",IF($K753=1,IF(COUNTIFS(nrES_PID,$D753,nrES_Code,$F753,nrES_Att,2)&gt;0,"",$L753),IF(COUNTIFS(nrES_PID,$D753,nrES_Code,$F753,nrES_Att,1)=0,$L753,IF($L753&gt;=$J753,cfgRetakeRecordedCap,SUMIFS(nrES_Raw,nrES_PID,$D753,nrES_Code,$F753,nrES_Att,1))))))</f>
        <v/>
      </c>
      <c r="N753" s="15">
        <f>IF($C753="","",IF($L753="","",IF($L753&gt;=$J753,"Yes","No")))</f>
        <v/>
      </c>
      <c r="O753" s="15">
        <f>IF($C753="","",IF($M753="","",IF($M753&gt;=$J753,"Yes","No")))</f>
        <v/>
      </c>
      <c r="P753" s="15">
        <f>IF($C753="","",IF($K753="","",IF(COUNTIFS(nrES_PID,$D753,nrES_Code,$F753,nrES_Att,"&gt;"&amp;$K753)=0,"Yes","No")))</f>
        <v/>
      </c>
      <c r="Q753" s="15">
        <f>IF($C753="","",IF($L753="","",IF(AND($K753=1,$L753&lt;$J753,COUNTIFS(nrES_PID,$D753,nrES_Code,$F753,nrES_Att,2)=0),"Yes","No")))</f>
        <v/>
      </c>
      <c r="R753" s="15">
        <f>IF($C753="","",IF($L753="","",IF(AND($K753=2,$L753&lt;$J753,COUNTIFS(nrES_PID,$D753,nrES_Code,$F753,nrES_Att,1)&gt;0),"Yes","No")))</f>
        <v/>
      </c>
      <c r="S753" s="16" t="n"/>
      <c r="T753" s="17">
        <f>IF($Q753&lt;&gt;"Yes","",IF($S753="","(enter date)",_xlfn.LET(_xlpm.dn,IFERROR(_xlfn.XLOOKUP($S753,nrCDdate,nrCDnum),""),IF(_xlpm.dn="","(not a class day)",IFERROR(_xlfn.XLOOKUP(_xlpm.dn+cfgRetestClassDays,nrCDnum,nrCDdate),"")))))</f>
        <v/>
      </c>
      <c r="U753" s="15">
        <f>IF($Q753&lt;&gt;"Yes","",IF(COUNTIFS(nrES_PID,$D753,nrES_Code,$F753,nrES_Att,2)&gt;0,"Retested",IF(OR($T753="",NOT(ISNUMBER($T753))),"Pending",IF(TODAY()&gt;$T753,"OVERDUE","Due "&amp;TEXT($T753,"mm/dd")))))</f>
        <v/>
      </c>
      <c r="V753" s="14" t="n"/>
      <c r="W753" s="14" t="n"/>
    </row>
    <row r="754">
      <c r="B754" s="15">
        <f>IF($C754="","",$D754&amp;"-"&amp;$F754&amp;"-"&amp;$K754)</f>
        <v/>
      </c>
      <c r="C754" s="14" t="n"/>
      <c r="D754" s="15">
        <f>IF($C754="","",IFERROR(INDEX(rngCadetPIDs,MATCH($C754,rngCadetNames,0)),"?"))</f>
        <v/>
      </c>
      <c r="E754" s="15">
        <f>IF($D754="","",IFERROR(INDEX(nrCadetAgency,MATCH($D754,rngCadetPIDs,0)),""))</f>
        <v/>
      </c>
      <c r="F754" s="14" t="n"/>
      <c r="G754" s="15">
        <f>IF($F754="","",IFERROR(INDEX(rngEPname,MATCH($F754,rngEPcode,0)),"?"))</f>
        <v/>
      </c>
      <c r="H754" s="15">
        <f>IF($F754="","",IFERROR(INDEX(rngEPtype,MATCH($F754,rngEPcode,0)),"?"))</f>
        <v/>
      </c>
      <c r="I754" s="15">
        <f>IF($F754="","",IFERROR(INDEX(rngEPseq,MATCH($F754,rngEPcode,0)),""))</f>
        <v/>
      </c>
      <c r="J754" s="15">
        <f>IF($F754="","",IFERROR(INDEX(rngEPpass,MATCH($F754,rngEPcode,0)),cfgPassingScore))</f>
        <v/>
      </c>
      <c r="K754" s="14" t="n"/>
      <c r="L754" s="14" t="n"/>
      <c r="M754" s="15">
        <f>IF($C754="","",IF($L754="","",IF($K754=1,IF(COUNTIFS(nrES_PID,$D754,nrES_Code,$F754,nrES_Att,2)&gt;0,"",$L754),IF(COUNTIFS(nrES_PID,$D754,nrES_Code,$F754,nrES_Att,1)=0,$L754,IF($L754&gt;=$J754,cfgRetakeRecordedCap,SUMIFS(nrES_Raw,nrES_PID,$D754,nrES_Code,$F754,nrES_Att,1))))))</f>
        <v/>
      </c>
      <c r="N754" s="15">
        <f>IF($C754="","",IF($L754="","",IF($L754&gt;=$J754,"Yes","No")))</f>
        <v/>
      </c>
      <c r="O754" s="15">
        <f>IF($C754="","",IF($M754="","",IF($M754&gt;=$J754,"Yes","No")))</f>
        <v/>
      </c>
      <c r="P754" s="15">
        <f>IF($C754="","",IF($K754="","",IF(COUNTIFS(nrES_PID,$D754,nrES_Code,$F754,nrES_Att,"&gt;"&amp;$K754)=0,"Yes","No")))</f>
        <v/>
      </c>
      <c r="Q754" s="15">
        <f>IF($C754="","",IF($L754="","",IF(AND($K754=1,$L754&lt;$J754,COUNTIFS(nrES_PID,$D754,nrES_Code,$F754,nrES_Att,2)=0),"Yes","No")))</f>
        <v/>
      </c>
      <c r="R754" s="15">
        <f>IF($C754="","",IF($L754="","",IF(AND($K754=2,$L754&lt;$J754,COUNTIFS(nrES_PID,$D754,nrES_Code,$F754,nrES_Att,1)&gt;0),"Yes","No")))</f>
        <v/>
      </c>
      <c r="S754" s="16" t="n"/>
      <c r="T754" s="17">
        <f>IF($Q754&lt;&gt;"Yes","",IF($S754="","(enter date)",_xlfn.LET(_xlpm.dn,IFERROR(_xlfn.XLOOKUP($S754,nrCDdate,nrCDnum),""),IF(_xlpm.dn="","(not a class day)",IFERROR(_xlfn.XLOOKUP(_xlpm.dn+cfgRetestClassDays,nrCDnum,nrCDdate),"")))))</f>
        <v/>
      </c>
      <c r="U754" s="15">
        <f>IF($Q754&lt;&gt;"Yes","",IF(COUNTIFS(nrES_PID,$D754,nrES_Code,$F754,nrES_Att,2)&gt;0,"Retested",IF(OR($T754="",NOT(ISNUMBER($T754))),"Pending",IF(TODAY()&gt;$T754,"OVERDUE","Due "&amp;TEXT($T754,"mm/dd")))))</f>
        <v/>
      </c>
      <c r="V754" s="14" t="n"/>
      <c r="W754" s="14" t="n"/>
    </row>
    <row r="755">
      <c r="B755" s="15">
        <f>IF($C755="","",$D755&amp;"-"&amp;$F755&amp;"-"&amp;$K755)</f>
        <v/>
      </c>
      <c r="C755" s="14" t="n"/>
      <c r="D755" s="15">
        <f>IF($C755="","",IFERROR(INDEX(rngCadetPIDs,MATCH($C755,rngCadetNames,0)),"?"))</f>
        <v/>
      </c>
      <c r="E755" s="15">
        <f>IF($D755="","",IFERROR(INDEX(nrCadetAgency,MATCH($D755,rngCadetPIDs,0)),""))</f>
        <v/>
      </c>
      <c r="F755" s="14" t="n"/>
      <c r="G755" s="15">
        <f>IF($F755="","",IFERROR(INDEX(rngEPname,MATCH($F755,rngEPcode,0)),"?"))</f>
        <v/>
      </c>
      <c r="H755" s="15">
        <f>IF($F755="","",IFERROR(INDEX(rngEPtype,MATCH($F755,rngEPcode,0)),"?"))</f>
        <v/>
      </c>
      <c r="I755" s="15">
        <f>IF($F755="","",IFERROR(INDEX(rngEPseq,MATCH($F755,rngEPcode,0)),""))</f>
        <v/>
      </c>
      <c r="J755" s="15">
        <f>IF($F755="","",IFERROR(INDEX(rngEPpass,MATCH($F755,rngEPcode,0)),cfgPassingScore))</f>
        <v/>
      </c>
      <c r="K755" s="14" t="n"/>
      <c r="L755" s="14" t="n"/>
      <c r="M755" s="15">
        <f>IF($C755="","",IF($L755="","",IF($K755=1,IF(COUNTIFS(nrES_PID,$D755,nrES_Code,$F755,nrES_Att,2)&gt;0,"",$L755),IF(COUNTIFS(nrES_PID,$D755,nrES_Code,$F755,nrES_Att,1)=0,$L755,IF($L755&gt;=$J755,cfgRetakeRecordedCap,SUMIFS(nrES_Raw,nrES_PID,$D755,nrES_Code,$F755,nrES_Att,1))))))</f>
        <v/>
      </c>
      <c r="N755" s="15">
        <f>IF($C755="","",IF($L755="","",IF($L755&gt;=$J755,"Yes","No")))</f>
        <v/>
      </c>
      <c r="O755" s="15">
        <f>IF($C755="","",IF($M755="","",IF($M755&gt;=$J755,"Yes","No")))</f>
        <v/>
      </c>
      <c r="P755" s="15">
        <f>IF($C755="","",IF($K755="","",IF(COUNTIFS(nrES_PID,$D755,nrES_Code,$F755,nrES_Att,"&gt;"&amp;$K755)=0,"Yes","No")))</f>
        <v/>
      </c>
      <c r="Q755" s="15">
        <f>IF($C755="","",IF($L755="","",IF(AND($K755=1,$L755&lt;$J755,COUNTIFS(nrES_PID,$D755,nrES_Code,$F755,nrES_Att,2)=0),"Yes","No")))</f>
        <v/>
      </c>
      <c r="R755" s="15">
        <f>IF($C755="","",IF($L755="","",IF(AND($K755=2,$L755&lt;$J755,COUNTIFS(nrES_PID,$D755,nrES_Code,$F755,nrES_Att,1)&gt;0),"Yes","No")))</f>
        <v/>
      </c>
      <c r="S755" s="16" t="n"/>
      <c r="T755" s="17">
        <f>IF($Q755&lt;&gt;"Yes","",IF($S755="","(enter date)",_xlfn.LET(_xlpm.dn,IFERROR(_xlfn.XLOOKUP($S755,nrCDdate,nrCDnum),""),IF(_xlpm.dn="","(not a class day)",IFERROR(_xlfn.XLOOKUP(_xlpm.dn+cfgRetestClassDays,nrCDnum,nrCDdate),"")))))</f>
        <v/>
      </c>
      <c r="U755" s="15">
        <f>IF($Q755&lt;&gt;"Yes","",IF(COUNTIFS(nrES_PID,$D755,nrES_Code,$F755,nrES_Att,2)&gt;0,"Retested",IF(OR($T755="",NOT(ISNUMBER($T755))),"Pending",IF(TODAY()&gt;$T755,"OVERDUE","Due "&amp;TEXT($T755,"mm/dd")))))</f>
        <v/>
      </c>
      <c r="V755" s="14" t="n"/>
      <c r="W755" s="14" t="n"/>
    </row>
    <row r="756">
      <c r="B756" s="15">
        <f>IF($C756="","",$D756&amp;"-"&amp;$F756&amp;"-"&amp;$K756)</f>
        <v/>
      </c>
      <c r="C756" s="14" t="n"/>
      <c r="D756" s="15">
        <f>IF($C756="","",IFERROR(INDEX(rngCadetPIDs,MATCH($C756,rngCadetNames,0)),"?"))</f>
        <v/>
      </c>
      <c r="E756" s="15">
        <f>IF($D756="","",IFERROR(INDEX(nrCadetAgency,MATCH($D756,rngCadetPIDs,0)),""))</f>
        <v/>
      </c>
      <c r="F756" s="14" t="n"/>
      <c r="G756" s="15">
        <f>IF($F756="","",IFERROR(INDEX(rngEPname,MATCH($F756,rngEPcode,0)),"?"))</f>
        <v/>
      </c>
      <c r="H756" s="15">
        <f>IF($F756="","",IFERROR(INDEX(rngEPtype,MATCH($F756,rngEPcode,0)),"?"))</f>
        <v/>
      </c>
      <c r="I756" s="15">
        <f>IF($F756="","",IFERROR(INDEX(rngEPseq,MATCH($F756,rngEPcode,0)),""))</f>
        <v/>
      </c>
      <c r="J756" s="15">
        <f>IF($F756="","",IFERROR(INDEX(rngEPpass,MATCH($F756,rngEPcode,0)),cfgPassingScore))</f>
        <v/>
      </c>
      <c r="K756" s="14" t="n"/>
      <c r="L756" s="14" t="n"/>
      <c r="M756" s="15">
        <f>IF($C756="","",IF($L756="","",IF($K756=1,IF(COUNTIFS(nrES_PID,$D756,nrES_Code,$F756,nrES_Att,2)&gt;0,"",$L756),IF(COUNTIFS(nrES_PID,$D756,nrES_Code,$F756,nrES_Att,1)=0,$L756,IF($L756&gt;=$J756,cfgRetakeRecordedCap,SUMIFS(nrES_Raw,nrES_PID,$D756,nrES_Code,$F756,nrES_Att,1))))))</f>
        <v/>
      </c>
      <c r="N756" s="15">
        <f>IF($C756="","",IF($L756="","",IF($L756&gt;=$J756,"Yes","No")))</f>
        <v/>
      </c>
      <c r="O756" s="15">
        <f>IF($C756="","",IF($M756="","",IF($M756&gt;=$J756,"Yes","No")))</f>
        <v/>
      </c>
      <c r="P756" s="15">
        <f>IF($C756="","",IF($K756="","",IF(COUNTIFS(nrES_PID,$D756,nrES_Code,$F756,nrES_Att,"&gt;"&amp;$K756)=0,"Yes","No")))</f>
        <v/>
      </c>
      <c r="Q756" s="15">
        <f>IF($C756="","",IF($L756="","",IF(AND($K756=1,$L756&lt;$J756,COUNTIFS(nrES_PID,$D756,nrES_Code,$F756,nrES_Att,2)=0),"Yes","No")))</f>
        <v/>
      </c>
      <c r="R756" s="15">
        <f>IF($C756="","",IF($L756="","",IF(AND($K756=2,$L756&lt;$J756,COUNTIFS(nrES_PID,$D756,nrES_Code,$F756,nrES_Att,1)&gt;0),"Yes","No")))</f>
        <v/>
      </c>
      <c r="S756" s="16" t="n"/>
      <c r="T756" s="17">
        <f>IF($Q756&lt;&gt;"Yes","",IF($S756="","(enter date)",_xlfn.LET(_xlpm.dn,IFERROR(_xlfn.XLOOKUP($S756,nrCDdate,nrCDnum),""),IF(_xlpm.dn="","(not a class day)",IFERROR(_xlfn.XLOOKUP(_xlpm.dn+cfgRetestClassDays,nrCDnum,nrCDdate),"")))))</f>
        <v/>
      </c>
      <c r="U756" s="15">
        <f>IF($Q756&lt;&gt;"Yes","",IF(COUNTIFS(nrES_PID,$D756,nrES_Code,$F756,nrES_Att,2)&gt;0,"Retested",IF(OR($T756="",NOT(ISNUMBER($T756))),"Pending",IF(TODAY()&gt;$T756,"OVERDUE","Due "&amp;TEXT($T756,"mm/dd")))))</f>
        <v/>
      </c>
      <c r="V756" s="14" t="n"/>
      <c r="W756" s="14" t="n"/>
    </row>
    <row r="757">
      <c r="B757" s="15">
        <f>IF($C757="","",$D757&amp;"-"&amp;$F757&amp;"-"&amp;$K757)</f>
        <v/>
      </c>
      <c r="C757" s="14" t="n"/>
      <c r="D757" s="15">
        <f>IF($C757="","",IFERROR(INDEX(rngCadetPIDs,MATCH($C757,rngCadetNames,0)),"?"))</f>
        <v/>
      </c>
      <c r="E757" s="15">
        <f>IF($D757="","",IFERROR(INDEX(nrCadetAgency,MATCH($D757,rngCadetPIDs,0)),""))</f>
        <v/>
      </c>
      <c r="F757" s="14" t="n"/>
      <c r="G757" s="15">
        <f>IF($F757="","",IFERROR(INDEX(rngEPname,MATCH($F757,rngEPcode,0)),"?"))</f>
        <v/>
      </c>
      <c r="H757" s="15">
        <f>IF($F757="","",IFERROR(INDEX(rngEPtype,MATCH($F757,rngEPcode,0)),"?"))</f>
        <v/>
      </c>
      <c r="I757" s="15">
        <f>IF($F757="","",IFERROR(INDEX(rngEPseq,MATCH($F757,rngEPcode,0)),""))</f>
        <v/>
      </c>
      <c r="J757" s="15">
        <f>IF($F757="","",IFERROR(INDEX(rngEPpass,MATCH($F757,rngEPcode,0)),cfgPassingScore))</f>
        <v/>
      </c>
      <c r="K757" s="14" t="n"/>
      <c r="L757" s="14" t="n"/>
      <c r="M757" s="15">
        <f>IF($C757="","",IF($L757="","",IF($K757=1,IF(COUNTIFS(nrES_PID,$D757,nrES_Code,$F757,nrES_Att,2)&gt;0,"",$L757),IF(COUNTIFS(nrES_PID,$D757,nrES_Code,$F757,nrES_Att,1)=0,$L757,IF($L757&gt;=$J757,cfgRetakeRecordedCap,SUMIFS(nrES_Raw,nrES_PID,$D757,nrES_Code,$F757,nrES_Att,1))))))</f>
        <v/>
      </c>
      <c r="N757" s="15">
        <f>IF($C757="","",IF($L757="","",IF($L757&gt;=$J757,"Yes","No")))</f>
        <v/>
      </c>
      <c r="O757" s="15">
        <f>IF($C757="","",IF($M757="","",IF($M757&gt;=$J757,"Yes","No")))</f>
        <v/>
      </c>
      <c r="P757" s="15">
        <f>IF($C757="","",IF($K757="","",IF(COUNTIFS(nrES_PID,$D757,nrES_Code,$F757,nrES_Att,"&gt;"&amp;$K757)=0,"Yes","No")))</f>
        <v/>
      </c>
      <c r="Q757" s="15">
        <f>IF($C757="","",IF($L757="","",IF(AND($K757=1,$L757&lt;$J757,COUNTIFS(nrES_PID,$D757,nrES_Code,$F757,nrES_Att,2)=0),"Yes","No")))</f>
        <v/>
      </c>
      <c r="R757" s="15">
        <f>IF($C757="","",IF($L757="","",IF(AND($K757=2,$L757&lt;$J757,COUNTIFS(nrES_PID,$D757,nrES_Code,$F757,nrES_Att,1)&gt;0),"Yes","No")))</f>
        <v/>
      </c>
      <c r="S757" s="16" t="n"/>
      <c r="T757" s="17">
        <f>IF($Q757&lt;&gt;"Yes","",IF($S757="","(enter date)",_xlfn.LET(_xlpm.dn,IFERROR(_xlfn.XLOOKUP($S757,nrCDdate,nrCDnum),""),IF(_xlpm.dn="","(not a class day)",IFERROR(_xlfn.XLOOKUP(_xlpm.dn+cfgRetestClassDays,nrCDnum,nrCDdate),"")))))</f>
        <v/>
      </c>
      <c r="U757" s="15">
        <f>IF($Q757&lt;&gt;"Yes","",IF(COUNTIFS(nrES_PID,$D757,nrES_Code,$F757,nrES_Att,2)&gt;0,"Retested",IF(OR($T757="",NOT(ISNUMBER($T757))),"Pending",IF(TODAY()&gt;$T757,"OVERDUE","Due "&amp;TEXT($T757,"mm/dd")))))</f>
        <v/>
      </c>
      <c r="V757" s="14" t="n"/>
      <c r="W757" s="14" t="n"/>
    </row>
    <row r="758">
      <c r="B758" s="15">
        <f>IF($C758="","",$D758&amp;"-"&amp;$F758&amp;"-"&amp;$K758)</f>
        <v/>
      </c>
      <c r="C758" s="14" t="n"/>
      <c r="D758" s="15">
        <f>IF($C758="","",IFERROR(INDEX(rngCadetPIDs,MATCH($C758,rngCadetNames,0)),"?"))</f>
        <v/>
      </c>
      <c r="E758" s="15">
        <f>IF($D758="","",IFERROR(INDEX(nrCadetAgency,MATCH($D758,rngCadetPIDs,0)),""))</f>
        <v/>
      </c>
      <c r="F758" s="14" t="n"/>
      <c r="G758" s="15">
        <f>IF($F758="","",IFERROR(INDEX(rngEPname,MATCH($F758,rngEPcode,0)),"?"))</f>
        <v/>
      </c>
      <c r="H758" s="15">
        <f>IF($F758="","",IFERROR(INDEX(rngEPtype,MATCH($F758,rngEPcode,0)),"?"))</f>
        <v/>
      </c>
      <c r="I758" s="15">
        <f>IF($F758="","",IFERROR(INDEX(rngEPseq,MATCH($F758,rngEPcode,0)),""))</f>
        <v/>
      </c>
      <c r="J758" s="15">
        <f>IF($F758="","",IFERROR(INDEX(rngEPpass,MATCH($F758,rngEPcode,0)),cfgPassingScore))</f>
        <v/>
      </c>
      <c r="K758" s="14" t="n"/>
      <c r="L758" s="14" t="n"/>
      <c r="M758" s="15">
        <f>IF($C758="","",IF($L758="","",IF($K758=1,IF(COUNTIFS(nrES_PID,$D758,nrES_Code,$F758,nrES_Att,2)&gt;0,"",$L758),IF(COUNTIFS(nrES_PID,$D758,nrES_Code,$F758,nrES_Att,1)=0,$L758,IF($L758&gt;=$J758,cfgRetakeRecordedCap,SUMIFS(nrES_Raw,nrES_PID,$D758,nrES_Code,$F758,nrES_Att,1))))))</f>
        <v/>
      </c>
      <c r="N758" s="15">
        <f>IF($C758="","",IF($L758="","",IF($L758&gt;=$J758,"Yes","No")))</f>
        <v/>
      </c>
      <c r="O758" s="15">
        <f>IF($C758="","",IF($M758="","",IF($M758&gt;=$J758,"Yes","No")))</f>
        <v/>
      </c>
      <c r="P758" s="15">
        <f>IF($C758="","",IF($K758="","",IF(COUNTIFS(nrES_PID,$D758,nrES_Code,$F758,nrES_Att,"&gt;"&amp;$K758)=0,"Yes","No")))</f>
        <v/>
      </c>
      <c r="Q758" s="15">
        <f>IF($C758="","",IF($L758="","",IF(AND($K758=1,$L758&lt;$J758,COUNTIFS(nrES_PID,$D758,nrES_Code,$F758,nrES_Att,2)=0),"Yes","No")))</f>
        <v/>
      </c>
      <c r="R758" s="15">
        <f>IF($C758="","",IF($L758="","",IF(AND($K758=2,$L758&lt;$J758,COUNTIFS(nrES_PID,$D758,nrES_Code,$F758,nrES_Att,1)&gt;0),"Yes","No")))</f>
        <v/>
      </c>
      <c r="S758" s="16" t="n"/>
      <c r="T758" s="17">
        <f>IF($Q758&lt;&gt;"Yes","",IF($S758="","(enter date)",_xlfn.LET(_xlpm.dn,IFERROR(_xlfn.XLOOKUP($S758,nrCDdate,nrCDnum),""),IF(_xlpm.dn="","(not a class day)",IFERROR(_xlfn.XLOOKUP(_xlpm.dn+cfgRetestClassDays,nrCDnum,nrCDdate),"")))))</f>
        <v/>
      </c>
      <c r="U758" s="15">
        <f>IF($Q758&lt;&gt;"Yes","",IF(COUNTIFS(nrES_PID,$D758,nrES_Code,$F758,nrES_Att,2)&gt;0,"Retested",IF(OR($T758="",NOT(ISNUMBER($T758))),"Pending",IF(TODAY()&gt;$T758,"OVERDUE","Due "&amp;TEXT($T758,"mm/dd")))))</f>
        <v/>
      </c>
      <c r="V758" s="14" t="n"/>
      <c r="W758" s="14" t="n"/>
    </row>
    <row r="759">
      <c r="B759" s="15">
        <f>IF($C759="","",$D759&amp;"-"&amp;$F759&amp;"-"&amp;$K759)</f>
        <v/>
      </c>
      <c r="C759" s="14" t="n"/>
      <c r="D759" s="15">
        <f>IF($C759="","",IFERROR(INDEX(rngCadetPIDs,MATCH($C759,rngCadetNames,0)),"?"))</f>
        <v/>
      </c>
      <c r="E759" s="15">
        <f>IF($D759="","",IFERROR(INDEX(nrCadetAgency,MATCH($D759,rngCadetPIDs,0)),""))</f>
        <v/>
      </c>
      <c r="F759" s="14" t="n"/>
      <c r="G759" s="15">
        <f>IF($F759="","",IFERROR(INDEX(rngEPname,MATCH($F759,rngEPcode,0)),"?"))</f>
        <v/>
      </c>
      <c r="H759" s="15">
        <f>IF($F759="","",IFERROR(INDEX(rngEPtype,MATCH($F759,rngEPcode,0)),"?"))</f>
        <v/>
      </c>
      <c r="I759" s="15">
        <f>IF($F759="","",IFERROR(INDEX(rngEPseq,MATCH($F759,rngEPcode,0)),""))</f>
        <v/>
      </c>
      <c r="J759" s="15">
        <f>IF($F759="","",IFERROR(INDEX(rngEPpass,MATCH($F759,rngEPcode,0)),cfgPassingScore))</f>
        <v/>
      </c>
      <c r="K759" s="14" t="n"/>
      <c r="L759" s="14" t="n"/>
      <c r="M759" s="15">
        <f>IF($C759="","",IF($L759="","",IF($K759=1,IF(COUNTIFS(nrES_PID,$D759,nrES_Code,$F759,nrES_Att,2)&gt;0,"",$L759),IF(COUNTIFS(nrES_PID,$D759,nrES_Code,$F759,nrES_Att,1)=0,$L759,IF($L759&gt;=$J759,cfgRetakeRecordedCap,SUMIFS(nrES_Raw,nrES_PID,$D759,nrES_Code,$F759,nrES_Att,1))))))</f>
        <v/>
      </c>
      <c r="N759" s="15">
        <f>IF($C759="","",IF($L759="","",IF($L759&gt;=$J759,"Yes","No")))</f>
        <v/>
      </c>
      <c r="O759" s="15">
        <f>IF($C759="","",IF($M759="","",IF($M759&gt;=$J759,"Yes","No")))</f>
        <v/>
      </c>
      <c r="P759" s="15">
        <f>IF($C759="","",IF($K759="","",IF(COUNTIFS(nrES_PID,$D759,nrES_Code,$F759,nrES_Att,"&gt;"&amp;$K759)=0,"Yes","No")))</f>
        <v/>
      </c>
      <c r="Q759" s="15">
        <f>IF($C759="","",IF($L759="","",IF(AND($K759=1,$L759&lt;$J759,COUNTIFS(nrES_PID,$D759,nrES_Code,$F759,nrES_Att,2)=0),"Yes","No")))</f>
        <v/>
      </c>
      <c r="R759" s="15">
        <f>IF($C759="","",IF($L759="","",IF(AND($K759=2,$L759&lt;$J759,COUNTIFS(nrES_PID,$D759,nrES_Code,$F759,nrES_Att,1)&gt;0),"Yes","No")))</f>
        <v/>
      </c>
      <c r="S759" s="16" t="n"/>
      <c r="T759" s="17">
        <f>IF($Q759&lt;&gt;"Yes","",IF($S759="","(enter date)",_xlfn.LET(_xlpm.dn,IFERROR(_xlfn.XLOOKUP($S759,nrCDdate,nrCDnum),""),IF(_xlpm.dn="","(not a class day)",IFERROR(_xlfn.XLOOKUP(_xlpm.dn+cfgRetestClassDays,nrCDnum,nrCDdate),"")))))</f>
        <v/>
      </c>
      <c r="U759" s="15">
        <f>IF($Q759&lt;&gt;"Yes","",IF(COUNTIFS(nrES_PID,$D759,nrES_Code,$F759,nrES_Att,2)&gt;0,"Retested",IF(OR($T759="",NOT(ISNUMBER($T759))),"Pending",IF(TODAY()&gt;$T759,"OVERDUE","Due "&amp;TEXT($T759,"mm/dd")))))</f>
        <v/>
      </c>
      <c r="V759" s="14" t="n"/>
      <c r="W759" s="14" t="n"/>
    </row>
    <row r="760">
      <c r="B760" s="15">
        <f>IF($C760="","",$D760&amp;"-"&amp;$F760&amp;"-"&amp;$K760)</f>
        <v/>
      </c>
      <c r="C760" s="14" t="n"/>
      <c r="D760" s="15">
        <f>IF($C760="","",IFERROR(INDEX(rngCadetPIDs,MATCH($C760,rngCadetNames,0)),"?"))</f>
        <v/>
      </c>
      <c r="E760" s="15">
        <f>IF($D760="","",IFERROR(INDEX(nrCadetAgency,MATCH($D760,rngCadetPIDs,0)),""))</f>
        <v/>
      </c>
      <c r="F760" s="14" t="n"/>
      <c r="G760" s="15">
        <f>IF($F760="","",IFERROR(INDEX(rngEPname,MATCH($F760,rngEPcode,0)),"?"))</f>
        <v/>
      </c>
      <c r="H760" s="15">
        <f>IF($F760="","",IFERROR(INDEX(rngEPtype,MATCH($F760,rngEPcode,0)),"?"))</f>
        <v/>
      </c>
      <c r="I760" s="15">
        <f>IF($F760="","",IFERROR(INDEX(rngEPseq,MATCH($F760,rngEPcode,0)),""))</f>
        <v/>
      </c>
      <c r="J760" s="15">
        <f>IF($F760="","",IFERROR(INDEX(rngEPpass,MATCH($F760,rngEPcode,0)),cfgPassingScore))</f>
        <v/>
      </c>
      <c r="K760" s="14" t="n"/>
      <c r="L760" s="14" t="n"/>
      <c r="M760" s="15">
        <f>IF($C760="","",IF($L760="","",IF($K760=1,IF(COUNTIFS(nrES_PID,$D760,nrES_Code,$F760,nrES_Att,2)&gt;0,"",$L760),IF(COUNTIFS(nrES_PID,$D760,nrES_Code,$F760,nrES_Att,1)=0,$L760,IF($L760&gt;=$J760,cfgRetakeRecordedCap,SUMIFS(nrES_Raw,nrES_PID,$D760,nrES_Code,$F760,nrES_Att,1))))))</f>
        <v/>
      </c>
      <c r="N760" s="15">
        <f>IF($C760="","",IF($L760="","",IF($L760&gt;=$J760,"Yes","No")))</f>
        <v/>
      </c>
      <c r="O760" s="15">
        <f>IF($C760="","",IF($M760="","",IF($M760&gt;=$J760,"Yes","No")))</f>
        <v/>
      </c>
      <c r="P760" s="15">
        <f>IF($C760="","",IF($K760="","",IF(COUNTIFS(nrES_PID,$D760,nrES_Code,$F760,nrES_Att,"&gt;"&amp;$K760)=0,"Yes","No")))</f>
        <v/>
      </c>
      <c r="Q760" s="15">
        <f>IF($C760="","",IF($L760="","",IF(AND($K760=1,$L760&lt;$J760,COUNTIFS(nrES_PID,$D760,nrES_Code,$F760,nrES_Att,2)=0),"Yes","No")))</f>
        <v/>
      </c>
      <c r="R760" s="15">
        <f>IF($C760="","",IF($L760="","",IF(AND($K760=2,$L760&lt;$J760,COUNTIFS(nrES_PID,$D760,nrES_Code,$F760,nrES_Att,1)&gt;0),"Yes","No")))</f>
        <v/>
      </c>
      <c r="S760" s="16" t="n"/>
      <c r="T760" s="17">
        <f>IF($Q760&lt;&gt;"Yes","",IF($S760="","(enter date)",_xlfn.LET(_xlpm.dn,IFERROR(_xlfn.XLOOKUP($S760,nrCDdate,nrCDnum),""),IF(_xlpm.dn="","(not a class day)",IFERROR(_xlfn.XLOOKUP(_xlpm.dn+cfgRetestClassDays,nrCDnum,nrCDdate),"")))))</f>
        <v/>
      </c>
      <c r="U760" s="15">
        <f>IF($Q760&lt;&gt;"Yes","",IF(COUNTIFS(nrES_PID,$D760,nrES_Code,$F760,nrES_Att,2)&gt;0,"Retested",IF(OR($T760="",NOT(ISNUMBER($T760))),"Pending",IF(TODAY()&gt;$T760,"OVERDUE","Due "&amp;TEXT($T760,"mm/dd")))))</f>
        <v/>
      </c>
      <c r="V760" s="14" t="n"/>
      <c r="W760" s="14" t="n"/>
    </row>
    <row r="761">
      <c r="B761" s="15">
        <f>IF($C761="","",$D761&amp;"-"&amp;$F761&amp;"-"&amp;$K761)</f>
        <v/>
      </c>
      <c r="C761" s="14" t="n"/>
      <c r="D761" s="15">
        <f>IF($C761="","",IFERROR(INDEX(rngCadetPIDs,MATCH($C761,rngCadetNames,0)),"?"))</f>
        <v/>
      </c>
      <c r="E761" s="15">
        <f>IF($D761="","",IFERROR(INDEX(nrCadetAgency,MATCH($D761,rngCadetPIDs,0)),""))</f>
        <v/>
      </c>
      <c r="F761" s="14" t="n"/>
      <c r="G761" s="15">
        <f>IF($F761="","",IFERROR(INDEX(rngEPname,MATCH($F761,rngEPcode,0)),"?"))</f>
        <v/>
      </c>
      <c r="H761" s="15">
        <f>IF($F761="","",IFERROR(INDEX(rngEPtype,MATCH($F761,rngEPcode,0)),"?"))</f>
        <v/>
      </c>
      <c r="I761" s="15">
        <f>IF($F761="","",IFERROR(INDEX(rngEPseq,MATCH($F761,rngEPcode,0)),""))</f>
        <v/>
      </c>
      <c r="J761" s="15">
        <f>IF($F761="","",IFERROR(INDEX(rngEPpass,MATCH($F761,rngEPcode,0)),cfgPassingScore))</f>
        <v/>
      </c>
      <c r="K761" s="14" t="n"/>
      <c r="L761" s="14" t="n"/>
      <c r="M761" s="15">
        <f>IF($C761="","",IF($L761="","",IF($K761=1,IF(COUNTIFS(nrES_PID,$D761,nrES_Code,$F761,nrES_Att,2)&gt;0,"",$L761),IF(COUNTIFS(nrES_PID,$D761,nrES_Code,$F761,nrES_Att,1)=0,$L761,IF($L761&gt;=$J761,cfgRetakeRecordedCap,SUMIFS(nrES_Raw,nrES_PID,$D761,nrES_Code,$F761,nrES_Att,1))))))</f>
        <v/>
      </c>
      <c r="N761" s="15">
        <f>IF($C761="","",IF($L761="","",IF($L761&gt;=$J761,"Yes","No")))</f>
        <v/>
      </c>
      <c r="O761" s="15">
        <f>IF($C761="","",IF($M761="","",IF($M761&gt;=$J761,"Yes","No")))</f>
        <v/>
      </c>
      <c r="P761" s="15">
        <f>IF($C761="","",IF($K761="","",IF(COUNTIFS(nrES_PID,$D761,nrES_Code,$F761,nrES_Att,"&gt;"&amp;$K761)=0,"Yes","No")))</f>
        <v/>
      </c>
      <c r="Q761" s="15">
        <f>IF($C761="","",IF($L761="","",IF(AND($K761=1,$L761&lt;$J761,COUNTIFS(nrES_PID,$D761,nrES_Code,$F761,nrES_Att,2)=0),"Yes","No")))</f>
        <v/>
      </c>
      <c r="R761" s="15">
        <f>IF($C761="","",IF($L761="","",IF(AND($K761=2,$L761&lt;$J761,COUNTIFS(nrES_PID,$D761,nrES_Code,$F761,nrES_Att,1)&gt;0),"Yes","No")))</f>
        <v/>
      </c>
      <c r="S761" s="16" t="n"/>
      <c r="T761" s="17">
        <f>IF($Q761&lt;&gt;"Yes","",IF($S761="","(enter date)",_xlfn.LET(_xlpm.dn,IFERROR(_xlfn.XLOOKUP($S761,nrCDdate,nrCDnum),""),IF(_xlpm.dn="","(not a class day)",IFERROR(_xlfn.XLOOKUP(_xlpm.dn+cfgRetestClassDays,nrCDnum,nrCDdate),"")))))</f>
        <v/>
      </c>
      <c r="U761" s="15">
        <f>IF($Q761&lt;&gt;"Yes","",IF(COUNTIFS(nrES_PID,$D761,nrES_Code,$F761,nrES_Att,2)&gt;0,"Retested",IF(OR($T761="",NOT(ISNUMBER($T761))),"Pending",IF(TODAY()&gt;$T761,"OVERDUE","Due "&amp;TEXT($T761,"mm/dd")))))</f>
        <v/>
      </c>
      <c r="V761" s="14" t="n"/>
      <c r="W761" s="14" t="n"/>
    </row>
    <row r="762">
      <c r="B762" s="15">
        <f>IF($C762="","",$D762&amp;"-"&amp;$F762&amp;"-"&amp;$K762)</f>
        <v/>
      </c>
      <c r="C762" s="14" t="n"/>
      <c r="D762" s="15">
        <f>IF($C762="","",IFERROR(INDEX(rngCadetPIDs,MATCH($C762,rngCadetNames,0)),"?"))</f>
        <v/>
      </c>
      <c r="E762" s="15">
        <f>IF($D762="","",IFERROR(INDEX(nrCadetAgency,MATCH($D762,rngCadetPIDs,0)),""))</f>
        <v/>
      </c>
      <c r="F762" s="14" t="n"/>
      <c r="G762" s="15">
        <f>IF($F762="","",IFERROR(INDEX(rngEPname,MATCH($F762,rngEPcode,0)),"?"))</f>
        <v/>
      </c>
      <c r="H762" s="15">
        <f>IF($F762="","",IFERROR(INDEX(rngEPtype,MATCH($F762,rngEPcode,0)),"?"))</f>
        <v/>
      </c>
      <c r="I762" s="15">
        <f>IF($F762="","",IFERROR(INDEX(rngEPseq,MATCH($F762,rngEPcode,0)),""))</f>
        <v/>
      </c>
      <c r="J762" s="15">
        <f>IF($F762="","",IFERROR(INDEX(rngEPpass,MATCH($F762,rngEPcode,0)),cfgPassingScore))</f>
        <v/>
      </c>
      <c r="K762" s="14" t="n"/>
      <c r="L762" s="14" t="n"/>
      <c r="M762" s="15">
        <f>IF($C762="","",IF($L762="","",IF($K762=1,IF(COUNTIFS(nrES_PID,$D762,nrES_Code,$F762,nrES_Att,2)&gt;0,"",$L762),IF(COUNTIFS(nrES_PID,$D762,nrES_Code,$F762,nrES_Att,1)=0,$L762,IF($L762&gt;=$J762,cfgRetakeRecordedCap,SUMIFS(nrES_Raw,nrES_PID,$D762,nrES_Code,$F762,nrES_Att,1))))))</f>
        <v/>
      </c>
      <c r="N762" s="15">
        <f>IF($C762="","",IF($L762="","",IF($L762&gt;=$J762,"Yes","No")))</f>
        <v/>
      </c>
      <c r="O762" s="15">
        <f>IF($C762="","",IF($M762="","",IF($M762&gt;=$J762,"Yes","No")))</f>
        <v/>
      </c>
      <c r="P762" s="15">
        <f>IF($C762="","",IF($K762="","",IF(COUNTIFS(nrES_PID,$D762,nrES_Code,$F762,nrES_Att,"&gt;"&amp;$K762)=0,"Yes","No")))</f>
        <v/>
      </c>
      <c r="Q762" s="15">
        <f>IF($C762="","",IF($L762="","",IF(AND($K762=1,$L762&lt;$J762,COUNTIFS(nrES_PID,$D762,nrES_Code,$F762,nrES_Att,2)=0),"Yes","No")))</f>
        <v/>
      </c>
      <c r="R762" s="15">
        <f>IF($C762="","",IF($L762="","",IF(AND($K762=2,$L762&lt;$J762,COUNTIFS(nrES_PID,$D762,nrES_Code,$F762,nrES_Att,1)&gt;0),"Yes","No")))</f>
        <v/>
      </c>
      <c r="S762" s="16" t="n"/>
      <c r="T762" s="17">
        <f>IF($Q762&lt;&gt;"Yes","",IF($S762="","(enter date)",_xlfn.LET(_xlpm.dn,IFERROR(_xlfn.XLOOKUP($S762,nrCDdate,nrCDnum),""),IF(_xlpm.dn="","(not a class day)",IFERROR(_xlfn.XLOOKUP(_xlpm.dn+cfgRetestClassDays,nrCDnum,nrCDdate),"")))))</f>
        <v/>
      </c>
      <c r="U762" s="15">
        <f>IF($Q762&lt;&gt;"Yes","",IF(COUNTIFS(nrES_PID,$D762,nrES_Code,$F762,nrES_Att,2)&gt;0,"Retested",IF(OR($T762="",NOT(ISNUMBER($T762))),"Pending",IF(TODAY()&gt;$T762,"OVERDUE","Due "&amp;TEXT($T762,"mm/dd")))))</f>
        <v/>
      </c>
      <c r="V762" s="14" t="n"/>
      <c r="W762" s="14" t="n"/>
    </row>
    <row r="763">
      <c r="B763" s="15">
        <f>IF($C763="","",$D763&amp;"-"&amp;$F763&amp;"-"&amp;$K763)</f>
        <v/>
      </c>
      <c r="C763" s="14" t="n"/>
      <c r="D763" s="15">
        <f>IF($C763="","",IFERROR(INDEX(rngCadetPIDs,MATCH($C763,rngCadetNames,0)),"?"))</f>
        <v/>
      </c>
      <c r="E763" s="15">
        <f>IF($D763="","",IFERROR(INDEX(nrCadetAgency,MATCH($D763,rngCadetPIDs,0)),""))</f>
        <v/>
      </c>
      <c r="F763" s="14" t="n"/>
      <c r="G763" s="15">
        <f>IF($F763="","",IFERROR(INDEX(rngEPname,MATCH($F763,rngEPcode,0)),"?"))</f>
        <v/>
      </c>
      <c r="H763" s="15">
        <f>IF($F763="","",IFERROR(INDEX(rngEPtype,MATCH($F763,rngEPcode,0)),"?"))</f>
        <v/>
      </c>
      <c r="I763" s="15">
        <f>IF($F763="","",IFERROR(INDEX(rngEPseq,MATCH($F763,rngEPcode,0)),""))</f>
        <v/>
      </c>
      <c r="J763" s="15">
        <f>IF($F763="","",IFERROR(INDEX(rngEPpass,MATCH($F763,rngEPcode,0)),cfgPassingScore))</f>
        <v/>
      </c>
      <c r="K763" s="14" t="n"/>
      <c r="L763" s="14" t="n"/>
      <c r="M763" s="15">
        <f>IF($C763="","",IF($L763="","",IF($K763=1,IF(COUNTIFS(nrES_PID,$D763,nrES_Code,$F763,nrES_Att,2)&gt;0,"",$L763),IF(COUNTIFS(nrES_PID,$D763,nrES_Code,$F763,nrES_Att,1)=0,$L763,IF($L763&gt;=$J763,cfgRetakeRecordedCap,SUMIFS(nrES_Raw,nrES_PID,$D763,nrES_Code,$F763,nrES_Att,1))))))</f>
        <v/>
      </c>
      <c r="N763" s="15">
        <f>IF($C763="","",IF($L763="","",IF($L763&gt;=$J763,"Yes","No")))</f>
        <v/>
      </c>
      <c r="O763" s="15">
        <f>IF($C763="","",IF($M763="","",IF($M763&gt;=$J763,"Yes","No")))</f>
        <v/>
      </c>
      <c r="P763" s="15">
        <f>IF($C763="","",IF($K763="","",IF(COUNTIFS(nrES_PID,$D763,nrES_Code,$F763,nrES_Att,"&gt;"&amp;$K763)=0,"Yes","No")))</f>
        <v/>
      </c>
      <c r="Q763" s="15">
        <f>IF($C763="","",IF($L763="","",IF(AND($K763=1,$L763&lt;$J763,COUNTIFS(nrES_PID,$D763,nrES_Code,$F763,nrES_Att,2)=0),"Yes","No")))</f>
        <v/>
      </c>
      <c r="R763" s="15">
        <f>IF($C763="","",IF($L763="","",IF(AND($K763=2,$L763&lt;$J763,COUNTIFS(nrES_PID,$D763,nrES_Code,$F763,nrES_Att,1)&gt;0),"Yes","No")))</f>
        <v/>
      </c>
      <c r="S763" s="16" t="n"/>
      <c r="T763" s="17">
        <f>IF($Q763&lt;&gt;"Yes","",IF($S763="","(enter date)",_xlfn.LET(_xlpm.dn,IFERROR(_xlfn.XLOOKUP($S763,nrCDdate,nrCDnum),""),IF(_xlpm.dn="","(not a class day)",IFERROR(_xlfn.XLOOKUP(_xlpm.dn+cfgRetestClassDays,nrCDnum,nrCDdate),"")))))</f>
        <v/>
      </c>
      <c r="U763" s="15">
        <f>IF($Q763&lt;&gt;"Yes","",IF(COUNTIFS(nrES_PID,$D763,nrES_Code,$F763,nrES_Att,2)&gt;0,"Retested",IF(OR($T763="",NOT(ISNUMBER($T763))),"Pending",IF(TODAY()&gt;$T763,"OVERDUE","Due "&amp;TEXT($T763,"mm/dd")))))</f>
        <v/>
      </c>
      <c r="V763" s="14" t="n"/>
      <c r="W763" s="14" t="n"/>
    </row>
    <row r="764">
      <c r="B764" s="15">
        <f>IF($C764="","",$D764&amp;"-"&amp;$F764&amp;"-"&amp;$K764)</f>
        <v/>
      </c>
      <c r="C764" s="14" t="n"/>
      <c r="D764" s="15">
        <f>IF($C764="","",IFERROR(INDEX(rngCadetPIDs,MATCH($C764,rngCadetNames,0)),"?"))</f>
        <v/>
      </c>
      <c r="E764" s="15">
        <f>IF($D764="","",IFERROR(INDEX(nrCadetAgency,MATCH($D764,rngCadetPIDs,0)),""))</f>
        <v/>
      </c>
      <c r="F764" s="14" t="n"/>
      <c r="G764" s="15">
        <f>IF($F764="","",IFERROR(INDEX(rngEPname,MATCH($F764,rngEPcode,0)),"?"))</f>
        <v/>
      </c>
      <c r="H764" s="15">
        <f>IF($F764="","",IFERROR(INDEX(rngEPtype,MATCH($F764,rngEPcode,0)),"?"))</f>
        <v/>
      </c>
      <c r="I764" s="15">
        <f>IF($F764="","",IFERROR(INDEX(rngEPseq,MATCH($F764,rngEPcode,0)),""))</f>
        <v/>
      </c>
      <c r="J764" s="15">
        <f>IF($F764="","",IFERROR(INDEX(rngEPpass,MATCH($F764,rngEPcode,0)),cfgPassingScore))</f>
        <v/>
      </c>
      <c r="K764" s="14" t="n"/>
      <c r="L764" s="14" t="n"/>
      <c r="M764" s="15">
        <f>IF($C764="","",IF($L764="","",IF($K764=1,IF(COUNTIFS(nrES_PID,$D764,nrES_Code,$F764,nrES_Att,2)&gt;0,"",$L764),IF(COUNTIFS(nrES_PID,$D764,nrES_Code,$F764,nrES_Att,1)=0,$L764,IF($L764&gt;=$J764,cfgRetakeRecordedCap,SUMIFS(nrES_Raw,nrES_PID,$D764,nrES_Code,$F764,nrES_Att,1))))))</f>
        <v/>
      </c>
      <c r="N764" s="15">
        <f>IF($C764="","",IF($L764="","",IF($L764&gt;=$J764,"Yes","No")))</f>
        <v/>
      </c>
      <c r="O764" s="15">
        <f>IF($C764="","",IF($M764="","",IF($M764&gt;=$J764,"Yes","No")))</f>
        <v/>
      </c>
      <c r="P764" s="15">
        <f>IF($C764="","",IF($K764="","",IF(COUNTIFS(nrES_PID,$D764,nrES_Code,$F764,nrES_Att,"&gt;"&amp;$K764)=0,"Yes","No")))</f>
        <v/>
      </c>
      <c r="Q764" s="15">
        <f>IF($C764="","",IF($L764="","",IF(AND($K764=1,$L764&lt;$J764,COUNTIFS(nrES_PID,$D764,nrES_Code,$F764,nrES_Att,2)=0),"Yes","No")))</f>
        <v/>
      </c>
      <c r="R764" s="15">
        <f>IF($C764="","",IF($L764="","",IF(AND($K764=2,$L764&lt;$J764,COUNTIFS(nrES_PID,$D764,nrES_Code,$F764,nrES_Att,1)&gt;0),"Yes","No")))</f>
        <v/>
      </c>
      <c r="S764" s="16" t="n"/>
      <c r="T764" s="17">
        <f>IF($Q764&lt;&gt;"Yes","",IF($S764="","(enter date)",_xlfn.LET(_xlpm.dn,IFERROR(_xlfn.XLOOKUP($S764,nrCDdate,nrCDnum),""),IF(_xlpm.dn="","(not a class day)",IFERROR(_xlfn.XLOOKUP(_xlpm.dn+cfgRetestClassDays,nrCDnum,nrCDdate),"")))))</f>
        <v/>
      </c>
      <c r="U764" s="15">
        <f>IF($Q764&lt;&gt;"Yes","",IF(COUNTIFS(nrES_PID,$D764,nrES_Code,$F764,nrES_Att,2)&gt;0,"Retested",IF(OR($T764="",NOT(ISNUMBER($T764))),"Pending",IF(TODAY()&gt;$T764,"OVERDUE","Due "&amp;TEXT($T764,"mm/dd")))))</f>
        <v/>
      </c>
      <c r="V764" s="14" t="n"/>
      <c r="W764" s="14" t="n"/>
    </row>
    <row r="765">
      <c r="B765" s="15">
        <f>IF($C765="","",$D765&amp;"-"&amp;$F765&amp;"-"&amp;$K765)</f>
        <v/>
      </c>
      <c r="C765" s="14" t="n"/>
      <c r="D765" s="15">
        <f>IF($C765="","",IFERROR(INDEX(rngCadetPIDs,MATCH($C765,rngCadetNames,0)),"?"))</f>
        <v/>
      </c>
      <c r="E765" s="15">
        <f>IF($D765="","",IFERROR(INDEX(nrCadetAgency,MATCH($D765,rngCadetPIDs,0)),""))</f>
        <v/>
      </c>
      <c r="F765" s="14" t="n"/>
      <c r="G765" s="15">
        <f>IF($F765="","",IFERROR(INDEX(rngEPname,MATCH($F765,rngEPcode,0)),"?"))</f>
        <v/>
      </c>
      <c r="H765" s="15">
        <f>IF($F765="","",IFERROR(INDEX(rngEPtype,MATCH($F765,rngEPcode,0)),"?"))</f>
        <v/>
      </c>
      <c r="I765" s="15">
        <f>IF($F765="","",IFERROR(INDEX(rngEPseq,MATCH($F765,rngEPcode,0)),""))</f>
        <v/>
      </c>
      <c r="J765" s="15">
        <f>IF($F765="","",IFERROR(INDEX(rngEPpass,MATCH($F765,rngEPcode,0)),cfgPassingScore))</f>
        <v/>
      </c>
      <c r="K765" s="14" t="n"/>
      <c r="L765" s="14" t="n"/>
      <c r="M765" s="15">
        <f>IF($C765="","",IF($L765="","",IF($K765=1,IF(COUNTIFS(nrES_PID,$D765,nrES_Code,$F765,nrES_Att,2)&gt;0,"",$L765),IF(COUNTIFS(nrES_PID,$D765,nrES_Code,$F765,nrES_Att,1)=0,$L765,IF($L765&gt;=$J765,cfgRetakeRecordedCap,SUMIFS(nrES_Raw,nrES_PID,$D765,nrES_Code,$F765,nrES_Att,1))))))</f>
        <v/>
      </c>
      <c r="N765" s="15">
        <f>IF($C765="","",IF($L765="","",IF($L765&gt;=$J765,"Yes","No")))</f>
        <v/>
      </c>
      <c r="O765" s="15">
        <f>IF($C765="","",IF($M765="","",IF($M765&gt;=$J765,"Yes","No")))</f>
        <v/>
      </c>
      <c r="P765" s="15">
        <f>IF($C765="","",IF($K765="","",IF(COUNTIFS(nrES_PID,$D765,nrES_Code,$F765,nrES_Att,"&gt;"&amp;$K765)=0,"Yes","No")))</f>
        <v/>
      </c>
      <c r="Q765" s="15">
        <f>IF($C765="","",IF($L765="","",IF(AND($K765=1,$L765&lt;$J765,COUNTIFS(nrES_PID,$D765,nrES_Code,$F765,nrES_Att,2)=0),"Yes","No")))</f>
        <v/>
      </c>
      <c r="R765" s="15">
        <f>IF($C765="","",IF($L765="","",IF(AND($K765=2,$L765&lt;$J765,COUNTIFS(nrES_PID,$D765,nrES_Code,$F765,nrES_Att,1)&gt;0),"Yes","No")))</f>
        <v/>
      </c>
      <c r="S765" s="16" t="n"/>
      <c r="T765" s="17">
        <f>IF($Q765&lt;&gt;"Yes","",IF($S765="","(enter date)",_xlfn.LET(_xlpm.dn,IFERROR(_xlfn.XLOOKUP($S765,nrCDdate,nrCDnum),""),IF(_xlpm.dn="","(not a class day)",IFERROR(_xlfn.XLOOKUP(_xlpm.dn+cfgRetestClassDays,nrCDnum,nrCDdate),"")))))</f>
        <v/>
      </c>
      <c r="U765" s="15">
        <f>IF($Q765&lt;&gt;"Yes","",IF(COUNTIFS(nrES_PID,$D765,nrES_Code,$F765,nrES_Att,2)&gt;0,"Retested",IF(OR($T765="",NOT(ISNUMBER($T765))),"Pending",IF(TODAY()&gt;$T765,"OVERDUE","Due "&amp;TEXT($T765,"mm/dd")))))</f>
        <v/>
      </c>
      <c r="V765" s="14" t="n"/>
      <c r="W765" s="14" t="n"/>
    </row>
    <row r="766">
      <c r="B766" s="15">
        <f>IF($C766="","",$D766&amp;"-"&amp;$F766&amp;"-"&amp;$K766)</f>
        <v/>
      </c>
      <c r="C766" s="14" t="n"/>
      <c r="D766" s="15">
        <f>IF($C766="","",IFERROR(INDEX(rngCadetPIDs,MATCH($C766,rngCadetNames,0)),"?"))</f>
        <v/>
      </c>
      <c r="E766" s="15">
        <f>IF($D766="","",IFERROR(INDEX(nrCadetAgency,MATCH($D766,rngCadetPIDs,0)),""))</f>
        <v/>
      </c>
      <c r="F766" s="14" t="n"/>
      <c r="G766" s="15">
        <f>IF($F766="","",IFERROR(INDEX(rngEPname,MATCH($F766,rngEPcode,0)),"?"))</f>
        <v/>
      </c>
      <c r="H766" s="15">
        <f>IF($F766="","",IFERROR(INDEX(rngEPtype,MATCH($F766,rngEPcode,0)),"?"))</f>
        <v/>
      </c>
      <c r="I766" s="15">
        <f>IF($F766="","",IFERROR(INDEX(rngEPseq,MATCH($F766,rngEPcode,0)),""))</f>
        <v/>
      </c>
      <c r="J766" s="15">
        <f>IF($F766="","",IFERROR(INDEX(rngEPpass,MATCH($F766,rngEPcode,0)),cfgPassingScore))</f>
        <v/>
      </c>
      <c r="K766" s="14" t="n"/>
      <c r="L766" s="14" t="n"/>
      <c r="M766" s="15">
        <f>IF($C766="","",IF($L766="","",IF($K766=1,IF(COUNTIFS(nrES_PID,$D766,nrES_Code,$F766,nrES_Att,2)&gt;0,"",$L766),IF(COUNTIFS(nrES_PID,$D766,nrES_Code,$F766,nrES_Att,1)=0,$L766,IF($L766&gt;=$J766,cfgRetakeRecordedCap,SUMIFS(nrES_Raw,nrES_PID,$D766,nrES_Code,$F766,nrES_Att,1))))))</f>
        <v/>
      </c>
      <c r="N766" s="15">
        <f>IF($C766="","",IF($L766="","",IF($L766&gt;=$J766,"Yes","No")))</f>
        <v/>
      </c>
      <c r="O766" s="15">
        <f>IF($C766="","",IF($M766="","",IF($M766&gt;=$J766,"Yes","No")))</f>
        <v/>
      </c>
      <c r="P766" s="15">
        <f>IF($C766="","",IF($K766="","",IF(COUNTIFS(nrES_PID,$D766,nrES_Code,$F766,nrES_Att,"&gt;"&amp;$K766)=0,"Yes","No")))</f>
        <v/>
      </c>
      <c r="Q766" s="15">
        <f>IF($C766="","",IF($L766="","",IF(AND($K766=1,$L766&lt;$J766,COUNTIFS(nrES_PID,$D766,nrES_Code,$F766,nrES_Att,2)=0),"Yes","No")))</f>
        <v/>
      </c>
      <c r="R766" s="15">
        <f>IF($C766="","",IF($L766="","",IF(AND($K766=2,$L766&lt;$J766,COUNTIFS(nrES_PID,$D766,nrES_Code,$F766,nrES_Att,1)&gt;0),"Yes","No")))</f>
        <v/>
      </c>
      <c r="S766" s="16" t="n"/>
      <c r="T766" s="17">
        <f>IF($Q766&lt;&gt;"Yes","",IF($S766="","(enter date)",_xlfn.LET(_xlpm.dn,IFERROR(_xlfn.XLOOKUP($S766,nrCDdate,nrCDnum),""),IF(_xlpm.dn="","(not a class day)",IFERROR(_xlfn.XLOOKUP(_xlpm.dn+cfgRetestClassDays,nrCDnum,nrCDdate),"")))))</f>
        <v/>
      </c>
      <c r="U766" s="15">
        <f>IF($Q766&lt;&gt;"Yes","",IF(COUNTIFS(nrES_PID,$D766,nrES_Code,$F766,nrES_Att,2)&gt;0,"Retested",IF(OR($T766="",NOT(ISNUMBER($T766))),"Pending",IF(TODAY()&gt;$T766,"OVERDUE","Due "&amp;TEXT($T766,"mm/dd")))))</f>
        <v/>
      </c>
      <c r="V766" s="14" t="n"/>
      <c r="W766" s="14" t="n"/>
    </row>
    <row r="767">
      <c r="B767" s="15">
        <f>IF($C767="","",$D767&amp;"-"&amp;$F767&amp;"-"&amp;$K767)</f>
        <v/>
      </c>
      <c r="C767" s="14" t="n"/>
      <c r="D767" s="15">
        <f>IF($C767="","",IFERROR(INDEX(rngCadetPIDs,MATCH($C767,rngCadetNames,0)),"?"))</f>
        <v/>
      </c>
      <c r="E767" s="15">
        <f>IF($D767="","",IFERROR(INDEX(nrCadetAgency,MATCH($D767,rngCadetPIDs,0)),""))</f>
        <v/>
      </c>
      <c r="F767" s="14" t="n"/>
      <c r="G767" s="15">
        <f>IF($F767="","",IFERROR(INDEX(rngEPname,MATCH($F767,rngEPcode,0)),"?"))</f>
        <v/>
      </c>
      <c r="H767" s="15">
        <f>IF($F767="","",IFERROR(INDEX(rngEPtype,MATCH($F767,rngEPcode,0)),"?"))</f>
        <v/>
      </c>
      <c r="I767" s="15">
        <f>IF($F767="","",IFERROR(INDEX(rngEPseq,MATCH($F767,rngEPcode,0)),""))</f>
        <v/>
      </c>
      <c r="J767" s="15">
        <f>IF($F767="","",IFERROR(INDEX(rngEPpass,MATCH($F767,rngEPcode,0)),cfgPassingScore))</f>
        <v/>
      </c>
      <c r="K767" s="14" t="n"/>
      <c r="L767" s="14" t="n"/>
      <c r="M767" s="15">
        <f>IF($C767="","",IF($L767="","",IF($K767=1,IF(COUNTIFS(nrES_PID,$D767,nrES_Code,$F767,nrES_Att,2)&gt;0,"",$L767),IF(COUNTIFS(nrES_PID,$D767,nrES_Code,$F767,nrES_Att,1)=0,$L767,IF($L767&gt;=$J767,cfgRetakeRecordedCap,SUMIFS(nrES_Raw,nrES_PID,$D767,nrES_Code,$F767,nrES_Att,1))))))</f>
        <v/>
      </c>
      <c r="N767" s="15">
        <f>IF($C767="","",IF($L767="","",IF($L767&gt;=$J767,"Yes","No")))</f>
        <v/>
      </c>
      <c r="O767" s="15">
        <f>IF($C767="","",IF($M767="","",IF($M767&gt;=$J767,"Yes","No")))</f>
        <v/>
      </c>
      <c r="P767" s="15">
        <f>IF($C767="","",IF($K767="","",IF(COUNTIFS(nrES_PID,$D767,nrES_Code,$F767,nrES_Att,"&gt;"&amp;$K767)=0,"Yes","No")))</f>
        <v/>
      </c>
      <c r="Q767" s="15">
        <f>IF($C767="","",IF($L767="","",IF(AND($K767=1,$L767&lt;$J767,COUNTIFS(nrES_PID,$D767,nrES_Code,$F767,nrES_Att,2)=0),"Yes","No")))</f>
        <v/>
      </c>
      <c r="R767" s="15">
        <f>IF($C767="","",IF($L767="","",IF(AND($K767=2,$L767&lt;$J767,COUNTIFS(nrES_PID,$D767,nrES_Code,$F767,nrES_Att,1)&gt;0),"Yes","No")))</f>
        <v/>
      </c>
      <c r="S767" s="16" t="n"/>
      <c r="T767" s="17">
        <f>IF($Q767&lt;&gt;"Yes","",IF($S767="","(enter date)",_xlfn.LET(_xlpm.dn,IFERROR(_xlfn.XLOOKUP($S767,nrCDdate,nrCDnum),""),IF(_xlpm.dn="","(not a class day)",IFERROR(_xlfn.XLOOKUP(_xlpm.dn+cfgRetestClassDays,nrCDnum,nrCDdate),"")))))</f>
        <v/>
      </c>
      <c r="U767" s="15">
        <f>IF($Q767&lt;&gt;"Yes","",IF(COUNTIFS(nrES_PID,$D767,nrES_Code,$F767,nrES_Att,2)&gt;0,"Retested",IF(OR($T767="",NOT(ISNUMBER($T767))),"Pending",IF(TODAY()&gt;$T767,"OVERDUE","Due "&amp;TEXT($T767,"mm/dd")))))</f>
        <v/>
      </c>
      <c r="V767" s="14" t="n"/>
      <c r="W767" s="14" t="n"/>
    </row>
    <row r="768">
      <c r="B768" s="15">
        <f>IF($C768="","",$D768&amp;"-"&amp;$F768&amp;"-"&amp;$K768)</f>
        <v/>
      </c>
      <c r="C768" s="14" t="n"/>
      <c r="D768" s="15">
        <f>IF($C768="","",IFERROR(INDEX(rngCadetPIDs,MATCH($C768,rngCadetNames,0)),"?"))</f>
        <v/>
      </c>
      <c r="E768" s="15">
        <f>IF($D768="","",IFERROR(INDEX(nrCadetAgency,MATCH($D768,rngCadetPIDs,0)),""))</f>
        <v/>
      </c>
      <c r="F768" s="14" t="n"/>
      <c r="G768" s="15">
        <f>IF($F768="","",IFERROR(INDEX(rngEPname,MATCH($F768,rngEPcode,0)),"?"))</f>
        <v/>
      </c>
      <c r="H768" s="15">
        <f>IF($F768="","",IFERROR(INDEX(rngEPtype,MATCH($F768,rngEPcode,0)),"?"))</f>
        <v/>
      </c>
      <c r="I768" s="15">
        <f>IF($F768="","",IFERROR(INDEX(rngEPseq,MATCH($F768,rngEPcode,0)),""))</f>
        <v/>
      </c>
      <c r="J768" s="15">
        <f>IF($F768="","",IFERROR(INDEX(rngEPpass,MATCH($F768,rngEPcode,0)),cfgPassingScore))</f>
        <v/>
      </c>
      <c r="K768" s="14" t="n"/>
      <c r="L768" s="14" t="n"/>
      <c r="M768" s="15">
        <f>IF($C768="","",IF($L768="","",IF($K768=1,IF(COUNTIFS(nrES_PID,$D768,nrES_Code,$F768,nrES_Att,2)&gt;0,"",$L768),IF(COUNTIFS(nrES_PID,$D768,nrES_Code,$F768,nrES_Att,1)=0,$L768,IF($L768&gt;=$J768,cfgRetakeRecordedCap,SUMIFS(nrES_Raw,nrES_PID,$D768,nrES_Code,$F768,nrES_Att,1))))))</f>
        <v/>
      </c>
      <c r="N768" s="15">
        <f>IF($C768="","",IF($L768="","",IF($L768&gt;=$J768,"Yes","No")))</f>
        <v/>
      </c>
      <c r="O768" s="15">
        <f>IF($C768="","",IF($M768="","",IF($M768&gt;=$J768,"Yes","No")))</f>
        <v/>
      </c>
      <c r="P768" s="15">
        <f>IF($C768="","",IF($K768="","",IF(COUNTIFS(nrES_PID,$D768,nrES_Code,$F768,nrES_Att,"&gt;"&amp;$K768)=0,"Yes","No")))</f>
        <v/>
      </c>
      <c r="Q768" s="15">
        <f>IF($C768="","",IF($L768="","",IF(AND($K768=1,$L768&lt;$J768,COUNTIFS(nrES_PID,$D768,nrES_Code,$F768,nrES_Att,2)=0),"Yes","No")))</f>
        <v/>
      </c>
      <c r="R768" s="15">
        <f>IF($C768="","",IF($L768="","",IF(AND($K768=2,$L768&lt;$J768,COUNTIFS(nrES_PID,$D768,nrES_Code,$F768,nrES_Att,1)&gt;0),"Yes","No")))</f>
        <v/>
      </c>
      <c r="S768" s="16" t="n"/>
      <c r="T768" s="17">
        <f>IF($Q768&lt;&gt;"Yes","",IF($S768="","(enter date)",_xlfn.LET(_xlpm.dn,IFERROR(_xlfn.XLOOKUP($S768,nrCDdate,nrCDnum),""),IF(_xlpm.dn="","(not a class day)",IFERROR(_xlfn.XLOOKUP(_xlpm.dn+cfgRetestClassDays,nrCDnum,nrCDdate),"")))))</f>
        <v/>
      </c>
      <c r="U768" s="15">
        <f>IF($Q768&lt;&gt;"Yes","",IF(COUNTIFS(nrES_PID,$D768,nrES_Code,$F768,nrES_Att,2)&gt;0,"Retested",IF(OR($T768="",NOT(ISNUMBER($T768))),"Pending",IF(TODAY()&gt;$T768,"OVERDUE","Due "&amp;TEXT($T768,"mm/dd")))))</f>
        <v/>
      </c>
      <c r="V768" s="14" t="n"/>
      <c r="W768" s="14" t="n"/>
    </row>
    <row r="769">
      <c r="B769" s="15">
        <f>IF($C769="","",$D769&amp;"-"&amp;$F769&amp;"-"&amp;$K769)</f>
        <v/>
      </c>
      <c r="C769" s="14" t="n"/>
      <c r="D769" s="15">
        <f>IF($C769="","",IFERROR(INDEX(rngCadetPIDs,MATCH($C769,rngCadetNames,0)),"?"))</f>
        <v/>
      </c>
      <c r="E769" s="15">
        <f>IF($D769="","",IFERROR(INDEX(nrCadetAgency,MATCH($D769,rngCadetPIDs,0)),""))</f>
        <v/>
      </c>
      <c r="F769" s="14" t="n"/>
      <c r="G769" s="15">
        <f>IF($F769="","",IFERROR(INDEX(rngEPname,MATCH($F769,rngEPcode,0)),"?"))</f>
        <v/>
      </c>
      <c r="H769" s="15">
        <f>IF($F769="","",IFERROR(INDEX(rngEPtype,MATCH($F769,rngEPcode,0)),"?"))</f>
        <v/>
      </c>
      <c r="I769" s="15">
        <f>IF($F769="","",IFERROR(INDEX(rngEPseq,MATCH($F769,rngEPcode,0)),""))</f>
        <v/>
      </c>
      <c r="J769" s="15">
        <f>IF($F769="","",IFERROR(INDEX(rngEPpass,MATCH($F769,rngEPcode,0)),cfgPassingScore))</f>
        <v/>
      </c>
      <c r="K769" s="14" t="n"/>
      <c r="L769" s="14" t="n"/>
      <c r="M769" s="15">
        <f>IF($C769="","",IF($L769="","",IF($K769=1,IF(COUNTIFS(nrES_PID,$D769,nrES_Code,$F769,nrES_Att,2)&gt;0,"",$L769),IF(COUNTIFS(nrES_PID,$D769,nrES_Code,$F769,nrES_Att,1)=0,$L769,IF($L769&gt;=$J769,cfgRetakeRecordedCap,SUMIFS(nrES_Raw,nrES_PID,$D769,nrES_Code,$F769,nrES_Att,1))))))</f>
        <v/>
      </c>
      <c r="N769" s="15">
        <f>IF($C769="","",IF($L769="","",IF($L769&gt;=$J769,"Yes","No")))</f>
        <v/>
      </c>
      <c r="O769" s="15">
        <f>IF($C769="","",IF($M769="","",IF($M769&gt;=$J769,"Yes","No")))</f>
        <v/>
      </c>
      <c r="P769" s="15">
        <f>IF($C769="","",IF($K769="","",IF(COUNTIFS(nrES_PID,$D769,nrES_Code,$F769,nrES_Att,"&gt;"&amp;$K769)=0,"Yes","No")))</f>
        <v/>
      </c>
      <c r="Q769" s="15">
        <f>IF($C769="","",IF($L769="","",IF(AND($K769=1,$L769&lt;$J769,COUNTIFS(nrES_PID,$D769,nrES_Code,$F769,nrES_Att,2)=0),"Yes","No")))</f>
        <v/>
      </c>
      <c r="R769" s="15">
        <f>IF($C769="","",IF($L769="","",IF(AND($K769=2,$L769&lt;$J769,COUNTIFS(nrES_PID,$D769,nrES_Code,$F769,nrES_Att,1)&gt;0),"Yes","No")))</f>
        <v/>
      </c>
      <c r="S769" s="16" t="n"/>
      <c r="T769" s="17">
        <f>IF($Q769&lt;&gt;"Yes","",IF($S769="","(enter date)",_xlfn.LET(_xlpm.dn,IFERROR(_xlfn.XLOOKUP($S769,nrCDdate,nrCDnum),""),IF(_xlpm.dn="","(not a class day)",IFERROR(_xlfn.XLOOKUP(_xlpm.dn+cfgRetestClassDays,nrCDnum,nrCDdate),"")))))</f>
        <v/>
      </c>
      <c r="U769" s="15">
        <f>IF($Q769&lt;&gt;"Yes","",IF(COUNTIFS(nrES_PID,$D769,nrES_Code,$F769,nrES_Att,2)&gt;0,"Retested",IF(OR($T769="",NOT(ISNUMBER($T769))),"Pending",IF(TODAY()&gt;$T769,"OVERDUE","Due "&amp;TEXT($T769,"mm/dd")))))</f>
        <v/>
      </c>
      <c r="V769" s="14" t="n"/>
      <c r="W769" s="14" t="n"/>
    </row>
    <row r="770">
      <c r="B770" s="15">
        <f>IF($C770="","",$D770&amp;"-"&amp;$F770&amp;"-"&amp;$K770)</f>
        <v/>
      </c>
      <c r="C770" s="14" t="n"/>
      <c r="D770" s="15">
        <f>IF($C770="","",IFERROR(INDEX(rngCadetPIDs,MATCH($C770,rngCadetNames,0)),"?"))</f>
        <v/>
      </c>
      <c r="E770" s="15">
        <f>IF($D770="","",IFERROR(INDEX(nrCadetAgency,MATCH($D770,rngCadetPIDs,0)),""))</f>
        <v/>
      </c>
      <c r="F770" s="14" t="n"/>
      <c r="G770" s="15">
        <f>IF($F770="","",IFERROR(INDEX(rngEPname,MATCH($F770,rngEPcode,0)),"?"))</f>
        <v/>
      </c>
      <c r="H770" s="15">
        <f>IF($F770="","",IFERROR(INDEX(rngEPtype,MATCH($F770,rngEPcode,0)),"?"))</f>
        <v/>
      </c>
      <c r="I770" s="15">
        <f>IF($F770="","",IFERROR(INDEX(rngEPseq,MATCH($F770,rngEPcode,0)),""))</f>
        <v/>
      </c>
      <c r="J770" s="15">
        <f>IF($F770="","",IFERROR(INDEX(rngEPpass,MATCH($F770,rngEPcode,0)),cfgPassingScore))</f>
        <v/>
      </c>
      <c r="K770" s="14" t="n"/>
      <c r="L770" s="14" t="n"/>
      <c r="M770" s="15">
        <f>IF($C770="","",IF($L770="","",IF($K770=1,IF(COUNTIFS(nrES_PID,$D770,nrES_Code,$F770,nrES_Att,2)&gt;0,"",$L770),IF(COUNTIFS(nrES_PID,$D770,nrES_Code,$F770,nrES_Att,1)=0,$L770,IF($L770&gt;=$J770,cfgRetakeRecordedCap,SUMIFS(nrES_Raw,nrES_PID,$D770,nrES_Code,$F770,nrES_Att,1))))))</f>
        <v/>
      </c>
      <c r="N770" s="15">
        <f>IF($C770="","",IF($L770="","",IF($L770&gt;=$J770,"Yes","No")))</f>
        <v/>
      </c>
      <c r="O770" s="15">
        <f>IF($C770="","",IF($M770="","",IF($M770&gt;=$J770,"Yes","No")))</f>
        <v/>
      </c>
      <c r="P770" s="15">
        <f>IF($C770="","",IF($K770="","",IF(COUNTIFS(nrES_PID,$D770,nrES_Code,$F770,nrES_Att,"&gt;"&amp;$K770)=0,"Yes","No")))</f>
        <v/>
      </c>
      <c r="Q770" s="15">
        <f>IF($C770="","",IF($L770="","",IF(AND($K770=1,$L770&lt;$J770,COUNTIFS(nrES_PID,$D770,nrES_Code,$F770,nrES_Att,2)=0),"Yes","No")))</f>
        <v/>
      </c>
      <c r="R770" s="15">
        <f>IF($C770="","",IF($L770="","",IF(AND($K770=2,$L770&lt;$J770,COUNTIFS(nrES_PID,$D770,nrES_Code,$F770,nrES_Att,1)&gt;0),"Yes","No")))</f>
        <v/>
      </c>
      <c r="S770" s="16" t="n"/>
      <c r="T770" s="17">
        <f>IF($Q770&lt;&gt;"Yes","",IF($S770="","(enter date)",_xlfn.LET(_xlpm.dn,IFERROR(_xlfn.XLOOKUP($S770,nrCDdate,nrCDnum),""),IF(_xlpm.dn="","(not a class day)",IFERROR(_xlfn.XLOOKUP(_xlpm.dn+cfgRetestClassDays,nrCDnum,nrCDdate),"")))))</f>
        <v/>
      </c>
      <c r="U770" s="15">
        <f>IF($Q770&lt;&gt;"Yes","",IF(COUNTIFS(nrES_PID,$D770,nrES_Code,$F770,nrES_Att,2)&gt;0,"Retested",IF(OR($T770="",NOT(ISNUMBER($T770))),"Pending",IF(TODAY()&gt;$T770,"OVERDUE","Due "&amp;TEXT($T770,"mm/dd")))))</f>
        <v/>
      </c>
      <c r="V770" s="14" t="n"/>
      <c r="W770" s="14" t="n"/>
    </row>
    <row r="771">
      <c r="B771" s="15">
        <f>IF($C771="","",$D771&amp;"-"&amp;$F771&amp;"-"&amp;$K771)</f>
        <v/>
      </c>
      <c r="C771" s="14" t="n"/>
      <c r="D771" s="15">
        <f>IF($C771="","",IFERROR(INDEX(rngCadetPIDs,MATCH($C771,rngCadetNames,0)),"?"))</f>
        <v/>
      </c>
      <c r="E771" s="15">
        <f>IF($D771="","",IFERROR(INDEX(nrCadetAgency,MATCH($D771,rngCadetPIDs,0)),""))</f>
        <v/>
      </c>
      <c r="F771" s="14" t="n"/>
      <c r="G771" s="15">
        <f>IF($F771="","",IFERROR(INDEX(rngEPname,MATCH($F771,rngEPcode,0)),"?"))</f>
        <v/>
      </c>
      <c r="H771" s="15">
        <f>IF($F771="","",IFERROR(INDEX(rngEPtype,MATCH($F771,rngEPcode,0)),"?"))</f>
        <v/>
      </c>
      <c r="I771" s="15">
        <f>IF($F771="","",IFERROR(INDEX(rngEPseq,MATCH($F771,rngEPcode,0)),""))</f>
        <v/>
      </c>
      <c r="J771" s="15">
        <f>IF($F771="","",IFERROR(INDEX(rngEPpass,MATCH($F771,rngEPcode,0)),cfgPassingScore))</f>
        <v/>
      </c>
      <c r="K771" s="14" t="n"/>
      <c r="L771" s="14" t="n"/>
      <c r="M771" s="15">
        <f>IF($C771="","",IF($L771="","",IF($K771=1,IF(COUNTIFS(nrES_PID,$D771,nrES_Code,$F771,nrES_Att,2)&gt;0,"",$L771),IF(COUNTIFS(nrES_PID,$D771,nrES_Code,$F771,nrES_Att,1)=0,$L771,IF($L771&gt;=$J771,cfgRetakeRecordedCap,SUMIFS(nrES_Raw,nrES_PID,$D771,nrES_Code,$F771,nrES_Att,1))))))</f>
        <v/>
      </c>
      <c r="N771" s="15">
        <f>IF($C771="","",IF($L771="","",IF($L771&gt;=$J771,"Yes","No")))</f>
        <v/>
      </c>
      <c r="O771" s="15">
        <f>IF($C771="","",IF($M771="","",IF($M771&gt;=$J771,"Yes","No")))</f>
        <v/>
      </c>
      <c r="P771" s="15">
        <f>IF($C771="","",IF($K771="","",IF(COUNTIFS(nrES_PID,$D771,nrES_Code,$F771,nrES_Att,"&gt;"&amp;$K771)=0,"Yes","No")))</f>
        <v/>
      </c>
      <c r="Q771" s="15">
        <f>IF($C771="","",IF($L771="","",IF(AND($K771=1,$L771&lt;$J771,COUNTIFS(nrES_PID,$D771,nrES_Code,$F771,nrES_Att,2)=0),"Yes","No")))</f>
        <v/>
      </c>
      <c r="R771" s="15">
        <f>IF($C771="","",IF($L771="","",IF(AND($K771=2,$L771&lt;$J771,COUNTIFS(nrES_PID,$D771,nrES_Code,$F771,nrES_Att,1)&gt;0),"Yes","No")))</f>
        <v/>
      </c>
      <c r="S771" s="16" t="n"/>
      <c r="T771" s="17">
        <f>IF($Q771&lt;&gt;"Yes","",IF($S771="","(enter date)",_xlfn.LET(_xlpm.dn,IFERROR(_xlfn.XLOOKUP($S771,nrCDdate,nrCDnum),""),IF(_xlpm.dn="","(not a class day)",IFERROR(_xlfn.XLOOKUP(_xlpm.dn+cfgRetestClassDays,nrCDnum,nrCDdate),"")))))</f>
        <v/>
      </c>
      <c r="U771" s="15">
        <f>IF($Q771&lt;&gt;"Yes","",IF(COUNTIFS(nrES_PID,$D771,nrES_Code,$F771,nrES_Att,2)&gt;0,"Retested",IF(OR($T771="",NOT(ISNUMBER($T771))),"Pending",IF(TODAY()&gt;$T771,"OVERDUE","Due "&amp;TEXT($T771,"mm/dd")))))</f>
        <v/>
      </c>
      <c r="V771" s="14" t="n"/>
      <c r="W771" s="14" t="n"/>
    </row>
    <row r="772">
      <c r="B772" s="15">
        <f>IF($C772="","",$D772&amp;"-"&amp;$F772&amp;"-"&amp;$K772)</f>
        <v/>
      </c>
      <c r="C772" s="14" t="n"/>
      <c r="D772" s="15">
        <f>IF($C772="","",IFERROR(INDEX(rngCadetPIDs,MATCH($C772,rngCadetNames,0)),"?"))</f>
        <v/>
      </c>
      <c r="E772" s="15">
        <f>IF($D772="","",IFERROR(INDEX(nrCadetAgency,MATCH($D772,rngCadetPIDs,0)),""))</f>
        <v/>
      </c>
      <c r="F772" s="14" t="n"/>
      <c r="G772" s="15">
        <f>IF($F772="","",IFERROR(INDEX(rngEPname,MATCH($F772,rngEPcode,0)),"?"))</f>
        <v/>
      </c>
      <c r="H772" s="15">
        <f>IF($F772="","",IFERROR(INDEX(rngEPtype,MATCH($F772,rngEPcode,0)),"?"))</f>
        <v/>
      </c>
      <c r="I772" s="15">
        <f>IF($F772="","",IFERROR(INDEX(rngEPseq,MATCH($F772,rngEPcode,0)),""))</f>
        <v/>
      </c>
      <c r="J772" s="15">
        <f>IF($F772="","",IFERROR(INDEX(rngEPpass,MATCH($F772,rngEPcode,0)),cfgPassingScore))</f>
        <v/>
      </c>
      <c r="K772" s="14" t="n"/>
      <c r="L772" s="14" t="n"/>
      <c r="M772" s="15">
        <f>IF($C772="","",IF($L772="","",IF($K772=1,IF(COUNTIFS(nrES_PID,$D772,nrES_Code,$F772,nrES_Att,2)&gt;0,"",$L772),IF(COUNTIFS(nrES_PID,$D772,nrES_Code,$F772,nrES_Att,1)=0,$L772,IF($L772&gt;=$J772,cfgRetakeRecordedCap,SUMIFS(nrES_Raw,nrES_PID,$D772,nrES_Code,$F772,nrES_Att,1))))))</f>
        <v/>
      </c>
      <c r="N772" s="15">
        <f>IF($C772="","",IF($L772="","",IF($L772&gt;=$J772,"Yes","No")))</f>
        <v/>
      </c>
      <c r="O772" s="15">
        <f>IF($C772="","",IF($M772="","",IF($M772&gt;=$J772,"Yes","No")))</f>
        <v/>
      </c>
      <c r="P772" s="15">
        <f>IF($C772="","",IF($K772="","",IF(COUNTIFS(nrES_PID,$D772,nrES_Code,$F772,nrES_Att,"&gt;"&amp;$K772)=0,"Yes","No")))</f>
        <v/>
      </c>
      <c r="Q772" s="15">
        <f>IF($C772="","",IF($L772="","",IF(AND($K772=1,$L772&lt;$J772,COUNTIFS(nrES_PID,$D772,nrES_Code,$F772,nrES_Att,2)=0),"Yes","No")))</f>
        <v/>
      </c>
      <c r="R772" s="15">
        <f>IF($C772="","",IF($L772="","",IF(AND($K772=2,$L772&lt;$J772,COUNTIFS(nrES_PID,$D772,nrES_Code,$F772,nrES_Att,1)&gt;0),"Yes","No")))</f>
        <v/>
      </c>
      <c r="S772" s="16" t="n"/>
      <c r="T772" s="17">
        <f>IF($Q772&lt;&gt;"Yes","",IF($S772="","(enter date)",_xlfn.LET(_xlpm.dn,IFERROR(_xlfn.XLOOKUP($S772,nrCDdate,nrCDnum),""),IF(_xlpm.dn="","(not a class day)",IFERROR(_xlfn.XLOOKUP(_xlpm.dn+cfgRetestClassDays,nrCDnum,nrCDdate),"")))))</f>
        <v/>
      </c>
      <c r="U772" s="15">
        <f>IF($Q772&lt;&gt;"Yes","",IF(COUNTIFS(nrES_PID,$D772,nrES_Code,$F772,nrES_Att,2)&gt;0,"Retested",IF(OR($T772="",NOT(ISNUMBER($T772))),"Pending",IF(TODAY()&gt;$T772,"OVERDUE","Due "&amp;TEXT($T772,"mm/dd")))))</f>
        <v/>
      </c>
      <c r="V772" s="14" t="n"/>
      <c r="W772" s="14" t="n"/>
    </row>
    <row r="773">
      <c r="B773" s="15">
        <f>IF($C773="","",$D773&amp;"-"&amp;$F773&amp;"-"&amp;$K773)</f>
        <v/>
      </c>
      <c r="C773" s="14" t="n"/>
      <c r="D773" s="15">
        <f>IF($C773="","",IFERROR(INDEX(rngCadetPIDs,MATCH($C773,rngCadetNames,0)),"?"))</f>
        <v/>
      </c>
      <c r="E773" s="15">
        <f>IF($D773="","",IFERROR(INDEX(nrCadetAgency,MATCH($D773,rngCadetPIDs,0)),""))</f>
        <v/>
      </c>
      <c r="F773" s="14" t="n"/>
      <c r="G773" s="15">
        <f>IF($F773="","",IFERROR(INDEX(rngEPname,MATCH($F773,rngEPcode,0)),"?"))</f>
        <v/>
      </c>
      <c r="H773" s="15">
        <f>IF($F773="","",IFERROR(INDEX(rngEPtype,MATCH($F773,rngEPcode,0)),"?"))</f>
        <v/>
      </c>
      <c r="I773" s="15">
        <f>IF($F773="","",IFERROR(INDEX(rngEPseq,MATCH($F773,rngEPcode,0)),""))</f>
        <v/>
      </c>
      <c r="J773" s="15">
        <f>IF($F773="","",IFERROR(INDEX(rngEPpass,MATCH($F773,rngEPcode,0)),cfgPassingScore))</f>
        <v/>
      </c>
      <c r="K773" s="14" t="n"/>
      <c r="L773" s="14" t="n"/>
      <c r="M773" s="15">
        <f>IF($C773="","",IF($L773="","",IF($K773=1,IF(COUNTIFS(nrES_PID,$D773,nrES_Code,$F773,nrES_Att,2)&gt;0,"",$L773),IF(COUNTIFS(nrES_PID,$D773,nrES_Code,$F773,nrES_Att,1)=0,$L773,IF($L773&gt;=$J773,cfgRetakeRecordedCap,SUMIFS(nrES_Raw,nrES_PID,$D773,nrES_Code,$F773,nrES_Att,1))))))</f>
        <v/>
      </c>
      <c r="N773" s="15">
        <f>IF($C773="","",IF($L773="","",IF($L773&gt;=$J773,"Yes","No")))</f>
        <v/>
      </c>
      <c r="O773" s="15">
        <f>IF($C773="","",IF($M773="","",IF($M773&gt;=$J773,"Yes","No")))</f>
        <v/>
      </c>
      <c r="P773" s="15">
        <f>IF($C773="","",IF($K773="","",IF(COUNTIFS(nrES_PID,$D773,nrES_Code,$F773,nrES_Att,"&gt;"&amp;$K773)=0,"Yes","No")))</f>
        <v/>
      </c>
      <c r="Q773" s="15">
        <f>IF($C773="","",IF($L773="","",IF(AND($K773=1,$L773&lt;$J773,COUNTIFS(nrES_PID,$D773,nrES_Code,$F773,nrES_Att,2)=0),"Yes","No")))</f>
        <v/>
      </c>
      <c r="R773" s="15">
        <f>IF($C773="","",IF($L773="","",IF(AND($K773=2,$L773&lt;$J773,COUNTIFS(nrES_PID,$D773,nrES_Code,$F773,nrES_Att,1)&gt;0),"Yes","No")))</f>
        <v/>
      </c>
      <c r="S773" s="16" t="n"/>
      <c r="T773" s="17">
        <f>IF($Q773&lt;&gt;"Yes","",IF($S773="","(enter date)",_xlfn.LET(_xlpm.dn,IFERROR(_xlfn.XLOOKUP($S773,nrCDdate,nrCDnum),""),IF(_xlpm.dn="","(not a class day)",IFERROR(_xlfn.XLOOKUP(_xlpm.dn+cfgRetestClassDays,nrCDnum,nrCDdate),"")))))</f>
        <v/>
      </c>
      <c r="U773" s="15">
        <f>IF($Q773&lt;&gt;"Yes","",IF(COUNTIFS(nrES_PID,$D773,nrES_Code,$F773,nrES_Att,2)&gt;0,"Retested",IF(OR($T773="",NOT(ISNUMBER($T773))),"Pending",IF(TODAY()&gt;$T773,"OVERDUE","Due "&amp;TEXT($T773,"mm/dd")))))</f>
        <v/>
      </c>
      <c r="V773" s="14" t="n"/>
      <c r="W773" s="14" t="n"/>
    </row>
    <row r="774">
      <c r="B774" s="15">
        <f>IF($C774="","",$D774&amp;"-"&amp;$F774&amp;"-"&amp;$K774)</f>
        <v/>
      </c>
      <c r="C774" s="14" t="n"/>
      <c r="D774" s="15">
        <f>IF($C774="","",IFERROR(INDEX(rngCadetPIDs,MATCH($C774,rngCadetNames,0)),"?"))</f>
        <v/>
      </c>
      <c r="E774" s="15">
        <f>IF($D774="","",IFERROR(INDEX(nrCadetAgency,MATCH($D774,rngCadetPIDs,0)),""))</f>
        <v/>
      </c>
      <c r="F774" s="14" t="n"/>
      <c r="G774" s="15">
        <f>IF($F774="","",IFERROR(INDEX(rngEPname,MATCH($F774,rngEPcode,0)),"?"))</f>
        <v/>
      </c>
      <c r="H774" s="15">
        <f>IF($F774="","",IFERROR(INDEX(rngEPtype,MATCH($F774,rngEPcode,0)),"?"))</f>
        <v/>
      </c>
      <c r="I774" s="15">
        <f>IF($F774="","",IFERROR(INDEX(rngEPseq,MATCH($F774,rngEPcode,0)),""))</f>
        <v/>
      </c>
      <c r="J774" s="15">
        <f>IF($F774="","",IFERROR(INDEX(rngEPpass,MATCH($F774,rngEPcode,0)),cfgPassingScore))</f>
        <v/>
      </c>
      <c r="K774" s="14" t="n"/>
      <c r="L774" s="14" t="n"/>
      <c r="M774" s="15">
        <f>IF($C774="","",IF($L774="","",IF($K774=1,IF(COUNTIFS(nrES_PID,$D774,nrES_Code,$F774,nrES_Att,2)&gt;0,"",$L774),IF(COUNTIFS(nrES_PID,$D774,nrES_Code,$F774,nrES_Att,1)=0,$L774,IF($L774&gt;=$J774,cfgRetakeRecordedCap,SUMIFS(nrES_Raw,nrES_PID,$D774,nrES_Code,$F774,nrES_Att,1))))))</f>
        <v/>
      </c>
      <c r="N774" s="15">
        <f>IF($C774="","",IF($L774="","",IF($L774&gt;=$J774,"Yes","No")))</f>
        <v/>
      </c>
      <c r="O774" s="15">
        <f>IF($C774="","",IF($M774="","",IF($M774&gt;=$J774,"Yes","No")))</f>
        <v/>
      </c>
      <c r="P774" s="15">
        <f>IF($C774="","",IF($K774="","",IF(COUNTIFS(nrES_PID,$D774,nrES_Code,$F774,nrES_Att,"&gt;"&amp;$K774)=0,"Yes","No")))</f>
        <v/>
      </c>
      <c r="Q774" s="15">
        <f>IF($C774="","",IF($L774="","",IF(AND($K774=1,$L774&lt;$J774,COUNTIFS(nrES_PID,$D774,nrES_Code,$F774,nrES_Att,2)=0),"Yes","No")))</f>
        <v/>
      </c>
      <c r="R774" s="15">
        <f>IF($C774="","",IF($L774="","",IF(AND($K774=2,$L774&lt;$J774,COUNTIFS(nrES_PID,$D774,nrES_Code,$F774,nrES_Att,1)&gt;0),"Yes","No")))</f>
        <v/>
      </c>
      <c r="S774" s="16" t="n"/>
      <c r="T774" s="17">
        <f>IF($Q774&lt;&gt;"Yes","",IF($S774="","(enter date)",_xlfn.LET(_xlpm.dn,IFERROR(_xlfn.XLOOKUP($S774,nrCDdate,nrCDnum),""),IF(_xlpm.dn="","(not a class day)",IFERROR(_xlfn.XLOOKUP(_xlpm.dn+cfgRetestClassDays,nrCDnum,nrCDdate),"")))))</f>
        <v/>
      </c>
      <c r="U774" s="15">
        <f>IF($Q774&lt;&gt;"Yes","",IF(COUNTIFS(nrES_PID,$D774,nrES_Code,$F774,nrES_Att,2)&gt;0,"Retested",IF(OR($T774="",NOT(ISNUMBER($T774))),"Pending",IF(TODAY()&gt;$T774,"OVERDUE","Due "&amp;TEXT($T774,"mm/dd")))))</f>
        <v/>
      </c>
      <c r="V774" s="14" t="n"/>
      <c r="W774" s="14" t="n"/>
    </row>
    <row r="775">
      <c r="B775" s="15">
        <f>IF($C775="","",$D775&amp;"-"&amp;$F775&amp;"-"&amp;$K775)</f>
        <v/>
      </c>
      <c r="C775" s="14" t="n"/>
      <c r="D775" s="15">
        <f>IF($C775="","",IFERROR(INDEX(rngCadetPIDs,MATCH($C775,rngCadetNames,0)),"?"))</f>
        <v/>
      </c>
      <c r="E775" s="15">
        <f>IF($D775="","",IFERROR(INDEX(nrCadetAgency,MATCH($D775,rngCadetPIDs,0)),""))</f>
        <v/>
      </c>
      <c r="F775" s="14" t="n"/>
      <c r="G775" s="15">
        <f>IF($F775="","",IFERROR(INDEX(rngEPname,MATCH($F775,rngEPcode,0)),"?"))</f>
        <v/>
      </c>
      <c r="H775" s="15">
        <f>IF($F775="","",IFERROR(INDEX(rngEPtype,MATCH($F775,rngEPcode,0)),"?"))</f>
        <v/>
      </c>
      <c r="I775" s="15">
        <f>IF($F775="","",IFERROR(INDEX(rngEPseq,MATCH($F775,rngEPcode,0)),""))</f>
        <v/>
      </c>
      <c r="J775" s="15">
        <f>IF($F775="","",IFERROR(INDEX(rngEPpass,MATCH($F775,rngEPcode,0)),cfgPassingScore))</f>
        <v/>
      </c>
      <c r="K775" s="14" t="n"/>
      <c r="L775" s="14" t="n"/>
      <c r="M775" s="15">
        <f>IF($C775="","",IF($L775="","",IF($K775=1,IF(COUNTIFS(nrES_PID,$D775,nrES_Code,$F775,nrES_Att,2)&gt;0,"",$L775),IF(COUNTIFS(nrES_PID,$D775,nrES_Code,$F775,nrES_Att,1)=0,$L775,IF($L775&gt;=$J775,cfgRetakeRecordedCap,SUMIFS(nrES_Raw,nrES_PID,$D775,nrES_Code,$F775,nrES_Att,1))))))</f>
        <v/>
      </c>
      <c r="N775" s="15">
        <f>IF($C775="","",IF($L775="","",IF($L775&gt;=$J775,"Yes","No")))</f>
        <v/>
      </c>
      <c r="O775" s="15">
        <f>IF($C775="","",IF($M775="","",IF($M775&gt;=$J775,"Yes","No")))</f>
        <v/>
      </c>
      <c r="P775" s="15">
        <f>IF($C775="","",IF($K775="","",IF(COUNTIFS(nrES_PID,$D775,nrES_Code,$F775,nrES_Att,"&gt;"&amp;$K775)=0,"Yes","No")))</f>
        <v/>
      </c>
      <c r="Q775" s="15">
        <f>IF($C775="","",IF($L775="","",IF(AND($K775=1,$L775&lt;$J775,COUNTIFS(nrES_PID,$D775,nrES_Code,$F775,nrES_Att,2)=0),"Yes","No")))</f>
        <v/>
      </c>
      <c r="R775" s="15">
        <f>IF($C775="","",IF($L775="","",IF(AND($K775=2,$L775&lt;$J775,COUNTIFS(nrES_PID,$D775,nrES_Code,$F775,nrES_Att,1)&gt;0),"Yes","No")))</f>
        <v/>
      </c>
      <c r="S775" s="16" t="n"/>
      <c r="T775" s="17">
        <f>IF($Q775&lt;&gt;"Yes","",IF($S775="","(enter date)",_xlfn.LET(_xlpm.dn,IFERROR(_xlfn.XLOOKUP($S775,nrCDdate,nrCDnum),""),IF(_xlpm.dn="","(not a class day)",IFERROR(_xlfn.XLOOKUP(_xlpm.dn+cfgRetestClassDays,nrCDnum,nrCDdate),"")))))</f>
        <v/>
      </c>
      <c r="U775" s="15">
        <f>IF($Q775&lt;&gt;"Yes","",IF(COUNTIFS(nrES_PID,$D775,nrES_Code,$F775,nrES_Att,2)&gt;0,"Retested",IF(OR($T775="",NOT(ISNUMBER($T775))),"Pending",IF(TODAY()&gt;$T775,"OVERDUE","Due "&amp;TEXT($T775,"mm/dd")))))</f>
        <v/>
      </c>
      <c r="V775" s="14" t="n"/>
      <c r="W775" s="14" t="n"/>
    </row>
    <row r="776">
      <c r="B776" s="15">
        <f>IF($C776="","",$D776&amp;"-"&amp;$F776&amp;"-"&amp;$K776)</f>
        <v/>
      </c>
      <c r="C776" s="14" t="n"/>
      <c r="D776" s="15">
        <f>IF($C776="","",IFERROR(INDEX(rngCadetPIDs,MATCH($C776,rngCadetNames,0)),"?"))</f>
        <v/>
      </c>
      <c r="E776" s="15">
        <f>IF($D776="","",IFERROR(INDEX(nrCadetAgency,MATCH($D776,rngCadetPIDs,0)),""))</f>
        <v/>
      </c>
      <c r="F776" s="14" t="n"/>
      <c r="G776" s="15">
        <f>IF($F776="","",IFERROR(INDEX(rngEPname,MATCH($F776,rngEPcode,0)),"?"))</f>
        <v/>
      </c>
      <c r="H776" s="15">
        <f>IF($F776="","",IFERROR(INDEX(rngEPtype,MATCH($F776,rngEPcode,0)),"?"))</f>
        <v/>
      </c>
      <c r="I776" s="15">
        <f>IF($F776="","",IFERROR(INDEX(rngEPseq,MATCH($F776,rngEPcode,0)),""))</f>
        <v/>
      </c>
      <c r="J776" s="15">
        <f>IF($F776="","",IFERROR(INDEX(rngEPpass,MATCH($F776,rngEPcode,0)),cfgPassingScore))</f>
        <v/>
      </c>
      <c r="K776" s="14" t="n"/>
      <c r="L776" s="14" t="n"/>
      <c r="M776" s="15">
        <f>IF($C776="","",IF($L776="","",IF($K776=1,IF(COUNTIFS(nrES_PID,$D776,nrES_Code,$F776,nrES_Att,2)&gt;0,"",$L776),IF(COUNTIFS(nrES_PID,$D776,nrES_Code,$F776,nrES_Att,1)=0,$L776,IF($L776&gt;=$J776,cfgRetakeRecordedCap,SUMIFS(nrES_Raw,nrES_PID,$D776,nrES_Code,$F776,nrES_Att,1))))))</f>
        <v/>
      </c>
      <c r="N776" s="15">
        <f>IF($C776="","",IF($L776="","",IF($L776&gt;=$J776,"Yes","No")))</f>
        <v/>
      </c>
      <c r="O776" s="15">
        <f>IF($C776="","",IF($M776="","",IF($M776&gt;=$J776,"Yes","No")))</f>
        <v/>
      </c>
      <c r="P776" s="15">
        <f>IF($C776="","",IF($K776="","",IF(COUNTIFS(nrES_PID,$D776,nrES_Code,$F776,nrES_Att,"&gt;"&amp;$K776)=0,"Yes","No")))</f>
        <v/>
      </c>
      <c r="Q776" s="15">
        <f>IF($C776="","",IF($L776="","",IF(AND($K776=1,$L776&lt;$J776,COUNTIFS(nrES_PID,$D776,nrES_Code,$F776,nrES_Att,2)=0),"Yes","No")))</f>
        <v/>
      </c>
      <c r="R776" s="15">
        <f>IF($C776="","",IF($L776="","",IF(AND($K776=2,$L776&lt;$J776,COUNTIFS(nrES_PID,$D776,nrES_Code,$F776,nrES_Att,1)&gt;0),"Yes","No")))</f>
        <v/>
      </c>
      <c r="S776" s="16" t="n"/>
      <c r="T776" s="17">
        <f>IF($Q776&lt;&gt;"Yes","",IF($S776="","(enter date)",_xlfn.LET(_xlpm.dn,IFERROR(_xlfn.XLOOKUP($S776,nrCDdate,nrCDnum),""),IF(_xlpm.dn="","(not a class day)",IFERROR(_xlfn.XLOOKUP(_xlpm.dn+cfgRetestClassDays,nrCDnum,nrCDdate),"")))))</f>
        <v/>
      </c>
      <c r="U776" s="15">
        <f>IF($Q776&lt;&gt;"Yes","",IF(COUNTIFS(nrES_PID,$D776,nrES_Code,$F776,nrES_Att,2)&gt;0,"Retested",IF(OR($T776="",NOT(ISNUMBER($T776))),"Pending",IF(TODAY()&gt;$T776,"OVERDUE","Due "&amp;TEXT($T776,"mm/dd")))))</f>
        <v/>
      </c>
      <c r="V776" s="14" t="n"/>
      <c r="W776" s="14" t="n"/>
    </row>
    <row r="777">
      <c r="B777" s="15">
        <f>IF($C777="","",$D777&amp;"-"&amp;$F777&amp;"-"&amp;$K777)</f>
        <v/>
      </c>
      <c r="C777" s="14" t="n"/>
      <c r="D777" s="15">
        <f>IF($C777="","",IFERROR(INDEX(rngCadetPIDs,MATCH($C777,rngCadetNames,0)),"?"))</f>
        <v/>
      </c>
      <c r="E777" s="15">
        <f>IF($D777="","",IFERROR(INDEX(nrCadetAgency,MATCH($D777,rngCadetPIDs,0)),""))</f>
        <v/>
      </c>
      <c r="F777" s="14" t="n"/>
      <c r="G777" s="15">
        <f>IF($F777="","",IFERROR(INDEX(rngEPname,MATCH($F777,rngEPcode,0)),"?"))</f>
        <v/>
      </c>
      <c r="H777" s="15">
        <f>IF($F777="","",IFERROR(INDEX(rngEPtype,MATCH($F777,rngEPcode,0)),"?"))</f>
        <v/>
      </c>
      <c r="I777" s="15">
        <f>IF($F777="","",IFERROR(INDEX(rngEPseq,MATCH($F777,rngEPcode,0)),""))</f>
        <v/>
      </c>
      <c r="J777" s="15">
        <f>IF($F777="","",IFERROR(INDEX(rngEPpass,MATCH($F777,rngEPcode,0)),cfgPassingScore))</f>
        <v/>
      </c>
      <c r="K777" s="14" t="n"/>
      <c r="L777" s="14" t="n"/>
      <c r="M777" s="15">
        <f>IF($C777="","",IF($L777="","",IF($K777=1,IF(COUNTIFS(nrES_PID,$D777,nrES_Code,$F777,nrES_Att,2)&gt;0,"",$L777),IF(COUNTIFS(nrES_PID,$D777,nrES_Code,$F777,nrES_Att,1)=0,$L777,IF($L777&gt;=$J777,cfgRetakeRecordedCap,SUMIFS(nrES_Raw,nrES_PID,$D777,nrES_Code,$F777,nrES_Att,1))))))</f>
        <v/>
      </c>
      <c r="N777" s="15">
        <f>IF($C777="","",IF($L777="","",IF($L777&gt;=$J777,"Yes","No")))</f>
        <v/>
      </c>
      <c r="O777" s="15">
        <f>IF($C777="","",IF($M777="","",IF($M777&gt;=$J777,"Yes","No")))</f>
        <v/>
      </c>
      <c r="P777" s="15">
        <f>IF($C777="","",IF($K777="","",IF(COUNTIFS(nrES_PID,$D777,nrES_Code,$F777,nrES_Att,"&gt;"&amp;$K777)=0,"Yes","No")))</f>
        <v/>
      </c>
      <c r="Q777" s="15">
        <f>IF($C777="","",IF($L777="","",IF(AND($K777=1,$L777&lt;$J777,COUNTIFS(nrES_PID,$D777,nrES_Code,$F777,nrES_Att,2)=0),"Yes","No")))</f>
        <v/>
      </c>
      <c r="R777" s="15">
        <f>IF($C777="","",IF($L777="","",IF(AND($K777=2,$L777&lt;$J777,COUNTIFS(nrES_PID,$D777,nrES_Code,$F777,nrES_Att,1)&gt;0),"Yes","No")))</f>
        <v/>
      </c>
      <c r="S777" s="16" t="n"/>
      <c r="T777" s="17">
        <f>IF($Q777&lt;&gt;"Yes","",IF($S777="","(enter date)",_xlfn.LET(_xlpm.dn,IFERROR(_xlfn.XLOOKUP($S777,nrCDdate,nrCDnum),""),IF(_xlpm.dn="","(not a class day)",IFERROR(_xlfn.XLOOKUP(_xlpm.dn+cfgRetestClassDays,nrCDnum,nrCDdate),"")))))</f>
        <v/>
      </c>
      <c r="U777" s="15">
        <f>IF($Q777&lt;&gt;"Yes","",IF(COUNTIFS(nrES_PID,$D777,nrES_Code,$F777,nrES_Att,2)&gt;0,"Retested",IF(OR($T777="",NOT(ISNUMBER($T777))),"Pending",IF(TODAY()&gt;$T777,"OVERDUE","Due "&amp;TEXT($T777,"mm/dd")))))</f>
        <v/>
      </c>
      <c r="V777" s="14" t="n"/>
      <c r="W777" s="14" t="n"/>
    </row>
    <row r="778">
      <c r="B778" s="15">
        <f>IF($C778="","",$D778&amp;"-"&amp;$F778&amp;"-"&amp;$K778)</f>
        <v/>
      </c>
      <c r="C778" s="14" t="n"/>
      <c r="D778" s="15">
        <f>IF($C778="","",IFERROR(INDEX(rngCadetPIDs,MATCH($C778,rngCadetNames,0)),"?"))</f>
        <v/>
      </c>
      <c r="E778" s="15">
        <f>IF($D778="","",IFERROR(INDEX(nrCadetAgency,MATCH($D778,rngCadetPIDs,0)),""))</f>
        <v/>
      </c>
      <c r="F778" s="14" t="n"/>
      <c r="G778" s="15">
        <f>IF($F778="","",IFERROR(INDEX(rngEPname,MATCH($F778,rngEPcode,0)),"?"))</f>
        <v/>
      </c>
      <c r="H778" s="15">
        <f>IF($F778="","",IFERROR(INDEX(rngEPtype,MATCH($F778,rngEPcode,0)),"?"))</f>
        <v/>
      </c>
      <c r="I778" s="15">
        <f>IF($F778="","",IFERROR(INDEX(rngEPseq,MATCH($F778,rngEPcode,0)),""))</f>
        <v/>
      </c>
      <c r="J778" s="15">
        <f>IF($F778="","",IFERROR(INDEX(rngEPpass,MATCH($F778,rngEPcode,0)),cfgPassingScore))</f>
        <v/>
      </c>
      <c r="K778" s="14" t="n"/>
      <c r="L778" s="14" t="n"/>
      <c r="M778" s="15">
        <f>IF($C778="","",IF($L778="","",IF($K778=1,IF(COUNTIFS(nrES_PID,$D778,nrES_Code,$F778,nrES_Att,2)&gt;0,"",$L778),IF(COUNTIFS(nrES_PID,$D778,nrES_Code,$F778,nrES_Att,1)=0,$L778,IF($L778&gt;=$J778,cfgRetakeRecordedCap,SUMIFS(nrES_Raw,nrES_PID,$D778,nrES_Code,$F778,nrES_Att,1))))))</f>
        <v/>
      </c>
      <c r="N778" s="15">
        <f>IF($C778="","",IF($L778="","",IF($L778&gt;=$J778,"Yes","No")))</f>
        <v/>
      </c>
      <c r="O778" s="15">
        <f>IF($C778="","",IF($M778="","",IF($M778&gt;=$J778,"Yes","No")))</f>
        <v/>
      </c>
      <c r="P778" s="15">
        <f>IF($C778="","",IF($K778="","",IF(COUNTIFS(nrES_PID,$D778,nrES_Code,$F778,nrES_Att,"&gt;"&amp;$K778)=0,"Yes","No")))</f>
        <v/>
      </c>
      <c r="Q778" s="15">
        <f>IF($C778="","",IF($L778="","",IF(AND($K778=1,$L778&lt;$J778,COUNTIFS(nrES_PID,$D778,nrES_Code,$F778,nrES_Att,2)=0),"Yes","No")))</f>
        <v/>
      </c>
      <c r="R778" s="15">
        <f>IF($C778="","",IF($L778="","",IF(AND($K778=2,$L778&lt;$J778,COUNTIFS(nrES_PID,$D778,nrES_Code,$F778,nrES_Att,1)&gt;0),"Yes","No")))</f>
        <v/>
      </c>
      <c r="S778" s="16" t="n"/>
      <c r="T778" s="17">
        <f>IF($Q778&lt;&gt;"Yes","",IF($S778="","(enter date)",_xlfn.LET(_xlpm.dn,IFERROR(_xlfn.XLOOKUP($S778,nrCDdate,nrCDnum),""),IF(_xlpm.dn="","(not a class day)",IFERROR(_xlfn.XLOOKUP(_xlpm.dn+cfgRetestClassDays,nrCDnum,nrCDdate),"")))))</f>
        <v/>
      </c>
      <c r="U778" s="15">
        <f>IF($Q778&lt;&gt;"Yes","",IF(COUNTIFS(nrES_PID,$D778,nrES_Code,$F778,nrES_Att,2)&gt;0,"Retested",IF(OR($T778="",NOT(ISNUMBER($T778))),"Pending",IF(TODAY()&gt;$T778,"OVERDUE","Due "&amp;TEXT($T778,"mm/dd")))))</f>
        <v/>
      </c>
      <c r="V778" s="14" t="n"/>
      <c r="W778" s="14" t="n"/>
    </row>
    <row r="779">
      <c r="B779" s="15">
        <f>IF($C779="","",$D779&amp;"-"&amp;$F779&amp;"-"&amp;$K779)</f>
        <v/>
      </c>
      <c r="C779" s="14" t="n"/>
      <c r="D779" s="15">
        <f>IF($C779="","",IFERROR(INDEX(rngCadetPIDs,MATCH($C779,rngCadetNames,0)),"?"))</f>
        <v/>
      </c>
      <c r="E779" s="15">
        <f>IF($D779="","",IFERROR(INDEX(nrCadetAgency,MATCH($D779,rngCadetPIDs,0)),""))</f>
        <v/>
      </c>
      <c r="F779" s="14" t="n"/>
      <c r="G779" s="15">
        <f>IF($F779="","",IFERROR(INDEX(rngEPname,MATCH($F779,rngEPcode,0)),"?"))</f>
        <v/>
      </c>
      <c r="H779" s="15">
        <f>IF($F779="","",IFERROR(INDEX(rngEPtype,MATCH($F779,rngEPcode,0)),"?"))</f>
        <v/>
      </c>
      <c r="I779" s="15">
        <f>IF($F779="","",IFERROR(INDEX(rngEPseq,MATCH($F779,rngEPcode,0)),""))</f>
        <v/>
      </c>
      <c r="J779" s="15">
        <f>IF($F779="","",IFERROR(INDEX(rngEPpass,MATCH($F779,rngEPcode,0)),cfgPassingScore))</f>
        <v/>
      </c>
      <c r="K779" s="14" t="n"/>
      <c r="L779" s="14" t="n"/>
      <c r="M779" s="15">
        <f>IF($C779="","",IF($L779="","",IF($K779=1,IF(COUNTIFS(nrES_PID,$D779,nrES_Code,$F779,nrES_Att,2)&gt;0,"",$L779),IF(COUNTIFS(nrES_PID,$D779,nrES_Code,$F779,nrES_Att,1)=0,$L779,IF($L779&gt;=$J779,cfgRetakeRecordedCap,SUMIFS(nrES_Raw,nrES_PID,$D779,nrES_Code,$F779,nrES_Att,1))))))</f>
        <v/>
      </c>
      <c r="N779" s="15">
        <f>IF($C779="","",IF($L779="","",IF($L779&gt;=$J779,"Yes","No")))</f>
        <v/>
      </c>
      <c r="O779" s="15">
        <f>IF($C779="","",IF($M779="","",IF($M779&gt;=$J779,"Yes","No")))</f>
        <v/>
      </c>
      <c r="P779" s="15">
        <f>IF($C779="","",IF($K779="","",IF(COUNTIFS(nrES_PID,$D779,nrES_Code,$F779,nrES_Att,"&gt;"&amp;$K779)=0,"Yes","No")))</f>
        <v/>
      </c>
      <c r="Q779" s="15">
        <f>IF($C779="","",IF($L779="","",IF(AND($K779=1,$L779&lt;$J779,COUNTIFS(nrES_PID,$D779,nrES_Code,$F779,nrES_Att,2)=0),"Yes","No")))</f>
        <v/>
      </c>
      <c r="R779" s="15">
        <f>IF($C779="","",IF($L779="","",IF(AND($K779=2,$L779&lt;$J779,COUNTIFS(nrES_PID,$D779,nrES_Code,$F779,nrES_Att,1)&gt;0),"Yes","No")))</f>
        <v/>
      </c>
      <c r="S779" s="16" t="n"/>
      <c r="T779" s="17">
        <f>IF($Q779&lt;&gt;"Yes","",IF($S779="","(enter date)",_xlfn.LET(_xlpm.dn,IFERROR(_xlfn.XLOOKUP($S779,nrCDdate,nrCDnum),""),IF(_xlpm.dn="","(not a class day)",IFERROR(_xlfn.XLOOKUP(_xlpm.dn+cfgRetestClassDays,nrCDnum,nrCDdate),"")))))</f>
        <v/>
      </c>
      <c r="U779" s="15">
        <f>IF($Q779&lt;&gt;"Yes","",IF(COUNTIFS(nrES_PID,$D779,nrES_Code,$F779,nrES_Att,2)&gt;0,"Retested",IF(OR($T779="",NOT(ISNUMBER($T779))),"Pending",IF(TODAY()&gt;$T779,"OVERDUE","Due "&amp;TEXT($T779,"mm/dd")))))</f>
        <v/>
      </c>
      <c r="V779" s="14" t="n"/>
      <c r="W779" s="14" t="n"/>
    </row>
    <row r="780">
      <c r="B780" s="15">
        <f>IF($C780="","",$D780&amp;"-"&amp;$F780&amp;"-"&amp;$K780)</f>
        <v/>
      </c>
      <c r="C780" s="14" t="n"/>
      <c r="D780" s="15">
        <f>IF($C780="","",IFERROR(INDEX(rngCadetPIDs,MATCH($C780,rngCadetNames,0)),"?"))</f>
        <v/>
      </c>
      <c r="E780" s="15">
        <f>IF($D780="","",IFERROR(INDEX(nrCadetAgency,MATCH($D780,rngCadetPIDs,0)),""))</f>
        <v/>
      </c>
      <c r="F780" s="14" t="n"/>
      <c r="G780" s="15">
        <f>IF($F780="","",IFERROR(INDEX(rngEPname,MATCH($F780,rngEPcode,0)),"?"))</f>
        <v/>
      </c>
      <c r="H780" s="15">
        <f>IF($F780="","",IFERROR(INDEX(rngEPtype,MATCH($F780,rngEPcode,0)),"?"))</f>
        <v/>
      </c>
      <c r="I780" s="15">
        <f>IF($F780="","",IFERROR(INDEX(rngEPseq,MATCH($F780,rngEPcode,0)),""))</f>
        <v/>
      </c>
      <c r="J780" s="15">
        <f>IF($F780="","",IFERROR(INDEX(rngEPpass,MATCH($F780,rngEPcode,0)),cfgPassingScore))</f>
        <v/>
      </c>
      <c r="K780" s="14" t="n"/>
      <c r="L780" s="14" t="n"/>
      <c r="M780" s="15">
        <f>IF($C780="","",IF($L780="","",IF($K780=1,IF(COUNTIFS(nrES_PID,$D780,nrES_Code,$F780,nrES_Att,2)&gt;0,"",$L780),IF(COUNTIFS(nrES_PID,$D780,nrES_Code,$F780,nrES_Att,1)=0,$L780,IF($L780&gt;=$J780,cfgRetakeRecordedCap,SUMIFS(nrES_Raw,nrES_PID,$D780,nrES_Code,$F780,nrES_Att,1))))))</f>
        <v/>
      </c>
      <c r="N780" s="15">
        <f>IF($C780="","",IF($L780="","",IF($L780&gt;=$J780,"Yes","No")))</f>
        <v/>
      </c>
      <c r="O780" s="15">
        <f>IF($C780="","",IF($M780="","",IF($M780&gt;=$J780,"Yes","No")))</f>
        <v/>
      </c>
      <c r="P780" s="15">
        <f>IF($C780="","",IF($K780="","",IF(COUNTIFS(nrES_PID,$D780,nrES_Code,$F780,nrES_Att,"&gt;"&amp;$K780)=0,"Yes","No")))</f>
        <v/>
      </c>
      <c r="Q780" s="15">
        <f>IF($C780="","",IF($L780="","",IF(AND($K780=1,$L780&lt;$J780,COUNTIFS(nrES_PID,$D780,nrES_Code,$F780,nrES_Att,2)=0),"Yes","No")))</f>
        <v/>
      </c>
      <c r="R780" s="15">
        <f>IF($C780="","",IF($L780="","",IF(AND($K780=2,$L780&lt;$J780,COUNTIFS(nrES_PID,$D780,nrES_Code,$F780,nrES_Att,1)&gt;0),"Yes","No")))</f>
        <v/>
      </c>
      <c r="S780" s="16" t="n"/>
      <c r="T780" s="17">
        <f>IF($Q780&lt;&gt;"Yes","",IF($S780="","(enter date)",_xlfn.LET(_xlpm.dn,IFERROR(_xlfn.XLOOKUP($S780,nrCDdate,nrCDnum),""),IF(_xlpm.dn="","(not a class day)",IFERROR(_xlfn.XLOOKUP(_xlpm.dn+cfgRetestClassDays,nrCDnum,nrCDdate),"")))))</f>
        <v/>
      </c>
      <c r="U780" s="15">
        <f>IF($Q780&lt;&gt;"Yes","",IF(COUNTIFS(nrES_PID,$D780,nrES_Code,$F780,nrES_Att,2)&gt;0,"Retested",IF(OR($T780="",NOT(ISNUMBER($T780))),"Pending",IF(TODAY()&gt;$T780,"OVERDUE","Due "&amp;TEXT($T780,"mm/dd")))))</f>
        <v/>
      </c>
      <c r="V780" s="14" t="n"/>
      <c r="W780" s="14" t="n"/>
    </row>
    <row r="781">
      <c r="B781" s="15">
        <f>IF($C781="","",$D781&amp;"-"&amp;$F781&amp;"-"&amp;$K781)</f>
        <v/>
      </c>
      <c r="C781" s="14" t="n"/>
      <c r="D781" s="15">
        <f>IF($C781="","",IFERROR(INDEX(rngCadetPIDs,MATCH($C781,rngCadetNames,0)),"?"))</f>
        <v/>
      </c>
      <c r="E781" s="15">
        <f>IF($D781="","",IFERROR(INDEX(nrCadetAgency,MATCH($D781,rngCadetPIDs,0)),""))</f>
        <v/>
      </c>
      <c r="F781" s="14" t="n"/>
      <c r="G781" s="15">
        <f>IF($F781="","",IFERROR(INDEX(rngEPname,MATCH($F781,rngEPcode,0)),"?"))</f>
        <v/>
      </c>
      <c r="H781" s="15">
        <f>IF($F781="","",IFERROR(INDEX(rngEPtype,MATCH($F781,rngEPcode,0)),"?"))</f>
        <v/>
      </c>
      <c r="I781" s="15">
        <f>IF($F781="","",IFERROR(INDEX(rngEPseq,MATCH($F781,rngEPcode,0)),""))</f>
        <v/>
      </c>
      <c r="J781" s="15">
        <f>IF($F781="","",IFERROR(INDEX(rngEPpass,MATCH($F781,rngEPcode,0)),cfgPassingScore))</f>
        <v/>
      </c>
      <c r="K781" s="14" t="n"/>
      <c r="L781" s="14" t="n"/>
      <c r="M781" s="15">
        <f>IF($C781="","",IF($L781="","",IF($K781=1,IF(COUNTIFS(nrES_PID,$D781,nrES_Code,$F781,nrES_Att,2)&gt;0,"",$L781),IF(COUNTIFS(nrES_PID,$D781,nrES_Code,$F781,nrES_Att,1)=0,$L781,IF($L781&gt;=$J781,cfgRetakeRecordedCap,SUMIFS(nrES_Raw,nrES_PID,$D781,nrES_Code,$F781,nrES_Att,1))))))</f>
        <v/>
      </c>
      <c r="N781" s="15">
        <f>IF($C781="","",IF($L781="","",IF($L781&gt;=$J781,"Yes","No")))</f>
        <v/>
      </c>
      <c r="O781" s="15">
        <f>IF($C781="","",IF($M781="","",IF($M781&gt;=$J781,"Yes","No")))</f>
        <v/>
      </c>
      <c r="P781" s="15">
        <f>IF($C781="","",IF($K781="","",IF(COUNTIFS(nrES_PID,$D781,nrES_Code,$F781,nrES_Att,"&gt;"&amp;$K781)=0,"Yes","No")))</f>
        <v/>
      </c>
      <c r="Q781" s="15">
        <f>IF($C781="","",IF($L781="","",IF(AND($K781=1,$L781&lt;$J781,COUNTIFS(nrES_PID,$D781,nrES_Code,$F781,nrES_Att,2)=0),"Yes","No")))</f>
        <v/>
      </c>
      <c r="R781" s="15">
        <f>IF($C781="","",IF($L781="","",IF(AND($K781=2,$L781&lt;$J781,COUNTIFS(nrES_PID,$D781,nrES_Code,$F781,nrES_Att,1)&gt;0),"Yes","No")))</f>
        <v/>
      </c>
      <c r="S781" s="16" t="n"/>
      <c r="T781" s="17">
        <f>IF($Q781&lt;&gt;"Yes","",IF($S781="","(enter date)",_xlfn.LET(_xlpm.dn,IFERROR(_xlfn.XLOOKUP($S781,nrCDdate,nrCDnum),""),IF(_xlpm.dn="","(not a class day)",IFERROR(_xlfn.XLOOKUP(_xlpm.dn+cfgRetestClassDays,nrCDnum,nrCDdate),"")))))</f>
        <v/>
      </c>
      <c r="U781" s="15">
        <f>IF($Q781&lt;&gt;"Yes","",IF(COUNTIFS(nrES_PID,$D781,nrES_Code,$F781,nrES_Att,2)&gt;0,"Retested",IF(OR($T781="",NOT(ISNUMBER($T781))),"Pending",IF(TODAY()&gt;$T781,"OVERDUE","Due "&amp;TEXT($T781,"mm/dd")))))</f>
        <v/>
      </c>
      <c r="V781" s="14" t="n"/>
      <c r="W781" s="14" t="n"/>
    </row>
    <row r="782">
      <c r="B782" s="15">
        <f>IF($C782="","",$D782&amp;"-"&amp;$F782&amp;"-"&amp;$K782)</f>
        <v/>
      </c>
      <c r="C782" s="14" t="n"/>
      <c r="D782" s="15">
        <f>IF($C782="","",IFERROR(INDEX(rngCadetPIDs,MATCH($C782,rngCadetNames,0)),"?"))</f>
        <v/>
      </c>
      <c r="E782" s="15">
        <f>IF($D782="","",IFERROR(INDEX(nrCadetAgency,MATCH($D782,rngCadetPIDs,0)),""))</f>
        <v/>
      </c>
      <c r="F782" s="14" t="n"/>
      <c r="G782" s="15">
        <f>IF($F782="","",IFERROR(INDEX(rngEPname,MATCH($F782,rngEPcode,0)),"?"))</f>
        <v/>
      </c>
      <c r="H782" s="15">
        <f>IF($F782="","",IFERROR(INDEX(rngEPtype,MATCH($F782,rngEPcode,0)),"?"))</f>
        <v/>
      </c>
      <c r="I782" s="15">
        <f>IF($F782="","",IFERROR(INDEX(rngEPseq,MATCH($F782,rngEPcode,0)),""))</f>
        <v/>
      </c>
      <c r="J782" s="15">
        <f>IF($F782="","",IFERROR(INDEX(rngEPpass,MATCH($F782,rngEPcode,0)),cfgPassingScore))</f>
        <v/>
      </c>
      <c r="K782" s="14" t="n"/>
      <c r="L782" s="14" t="n"/>
      <c r="M782" s="15">
        <f>IF($C782="","",IF($L782="","",IF($K782=1,IF(COUNTIFS(nrES_PID,$D782,nrES_Code,$F782,nrES_Att,2)&gt;0,"",$L782),IF(COUNTIFS(nrES_PID,$D782,nrES_Code,$F782,nrES_Att,1)=0,$L782,IF($L782&gt;=$J782,cfgRetakeRecordedCap,SUMIFS(nrES_Raw,nrES_PID,$D782,nrES_Code,$F782,nrES_Att,1))))))</f>
        <v/>
      </c>
      <c r="N782" s="15">
        <f>IF($C782="","",IF($L782="","",IF($L782&gt;=$J782,"Yes","No")))</f>
        <v/>
      </c>
      <c r="O782" s="15">
        <f>IF($C782="","",IF($M782="","",IF($M782&gt;=$J782,"Yes","No")))</f>
        <v/>
      </c>
      <c r="P782" s="15">
        <f>IF($C782="","",IF($K782="","",IF(COUNTIFS(nrES_PID,$D782,nrES_Code,$F782,nrES_Att,"&gt;"&amp;$K782)=0,"Yes","No")))</f>
        <v/>
      </c>
      <c r="Q782" s="15">
        <f>IF($C782="","",IF($L782="","",IF(AND($K782=1,$L782&lt;$J782,COUNTIFS(nrES_PID,$D782,nrES_Code,$F782,nrES_Att,2)=0),"Yes","No")))</f>
        <v/>
      </c>
      <c r="R782" s="15">
        <f>IF($C782="","",IF($L782="","",IF(AND($K782=2,$L782&lt;$J782,COUNTIFS(nrES_PID,$D782,nrES_Code,$F782,nrES_Att,1)&gt;0),"Yes","No")))</f>
        <v/>
      </c>
      <c r="S782" s="16" t="n"/>
      <c r="T782" s="17">
        <f>IF($Q782&lt;&gt;"Yes","",IF($S782="","(enter date)",_xlfn.LET(_xlpm.dn,IFERROR(_xlfn.XLOOKUP($S782,nrCDdate,nrCDnum),""),IF(_xlpm.dn="","(not a class day)",IFERROR(_xlfn.XLOOKUP(_xlpm.dn+cfgRetestClassDays,nrCDnum,nrCDdate),"")))))</f>
        <v/>
      </c>
      <c r="U782" s="15">
        <f>IF($Q782&lt;&gt;"Yes","",IF(COUNTIFS(nrES_PID,$D782,nrES_Code,$F782,nrES_Att,2)&gt;0,"Retested",IF(OR($T782="",NOT(ISNUMBER($T782))),"Pending",IF(TODAY()&gt;$T782,"OVERDUE","Due "&amp;TEXT($T782,"mm/dd")))))</f>
        <v/>
      </c>
      <c r="V782" s="14" t="n"/>
      <c r="W782" s="14" t="n"/>
    </row>
    <row r="783">
      <c r="B783" s="15">
        <f>IF($C783="","",$D783&amp;"-"&amp;$F783&amp;"-"&amp;$K783)</f>
        <v/>
      </c>
      <c r="C783" s="14" t="n"/>
      <c r="D783" s="15">
        <f>IF($C783="","",IFERROR(INDEX(rngCadetPIDs,MATCH($C783,rngCadetNames,0)),"?"))</f>
        <v/>
      </c>
      <c r="E783" s="15">
        <f>IF($D783="","",IFERROR(INDEX(nrCadetAgency,MATCH($D783,rngCadetPIDs,0)),""))</f>
        <v/>
      </c>
      <c r="F783" s="14" t="n"/>
      <c r="G783" s="15">
        <f>IF($F783="","",IFERROR(INDEX(rngEPname,MATCH($F783,rngEPcode,0)),"?"))</f>
        <v/>
      </c>
      <c r="H783" s="15">
        <f>IF($F783="","",IFERROR(INDEX(rngEPtype,MATCH($F783,rngEPcode,0)),"?"))</f>
        <v/>
      </c>
      <c r="I783" s="15">
        <f>IF($F783="","",IFERROR(INDEX(rngEPseq,MATCH($F783,rngEPcode,0)),""))</f>
        <v/>
      </c>
      <c r="J783" s="15">
        <f>IF($F783="","",IFERROR(INDEX(rngEPpass,MATCH($F783,rngEPcode,0)),cfgPassingScore))</f>
        <v/>
      </c>
      <c r="K783" s="14" t="n"/>
      <c r="L783" s="14" t="n"/>
      <c r="M783" s="15">
        <f>IF($C783="","",IF($L783="","",IF($K783=1,IF(COUNTIFS(nrES_PID,$D783,nrES_Code,$F783,nrES_Att,2)&gt;0,"",$L783),IF(COUNTIFS(nrES_PID,$D783,nrES_Code,$F783,nrES_Att,1)=0,$L783,IF($L783&gt;=$J783,cfgRetakeRecordedCap,SUMIFS(nrES_Raw,nrES_PID,$D783,nrES_Code,$F783,nrES_Att,1))))))</f>
        <v/>
      </c>
      <c r="N783" s="15">
        <f>IF($C783="","",IF($L783="","",IF($L783&gt;=$J783,"Yes","No")))</f>
        <v/>
      </c>
      <c r="O783" s="15">
        <f>IF($C783="","",IF($M783="","",IF($M783&gt;=$J783,"Yes","No")))</f>
        <v/>
      </c>
      <c r="P783" s="15">
        <f>IF($C783="","",IF($K783="","",IF(COUNTIFS(nrES_PID,$D783,nrES_Code,$F783,nrES_Att,"&gt;"&amp;$K783)=0,"Yes","No")))</f>
        <v/>
      </c>
      <c r="Q783" s="15">
        <f>IF($C783="","",IF($L783="","",IF(AND($K783=1,$L783&lt;$J783,COUNTIFS(nrES_PID,$D783,nrES_Code,$F783,nrES_Att,2)=0),"Yes","No")))</f>
        <v/>
      </c>
      <c r="R783" s="15">
        <f>IF($C783="","",IF($L783="","",IF(AND($K783=2,$L783&lt;$J783,COUNTIFS(nrES_PID,$D783,nrES_Code,$F783,nrES_Att,1)&gt;0),"Yes","No")))</f>
        <v/>
      </c>
      <c r="S783" s="16" t="n"/>
      <c r="T783" s="17">
        <f>IF($Q783&lt;&gt;"Yes","",IF($S783="","(enter date)",_xlfn.LET(_xlpm.dn,IFERROR(_xlfn.XLOOKUP($S783,nrCDdate,nrCDnum),""),IF(_xlpm.dn="","(not a class day)",IFERROR(_xlfn.XLOOKUP(_xlpm.dn+cfgRetestClassDays,nrCDnum,nrCDdate),"")))))</f>
        <v/>
      </c>
      <c r="U783" s="15">
        <f>IF($Q783&lt;&gt;"Yes","",IF(COUNTIFS(nrES_PID,$D783,nrES_Code,$F783,nrES_Att,2)&gt;0,"Retested",IF(OR($T783="",NOT(ISNUMBER($T783))),"Pending",IF(TODAY()&gt;$T783,"OVERDUE","Due "&amp;TEXT($T783,"mm/dd")))))</f>
        <v/>
      </c>
      <c r="V783" s="14" t="n"/>
      <c r="W783" s="14" t="n"/>
    </row>
    <row r="784">
      <c r="B784" s="15">
        <f>IF($C784="","",$D784&amp;"-"&amp;$F784&amp;"-"&amp;$K784)</f>
        <v/>
      </c>
      <c r="C784" s="14" t="n"/>
      <c r="D784" s="15">
        <f>IF($C784="","",IFERROR(INDEX(rngCadetPIDs,MATCH($C784,rngCadetNames,0)),"?"))</f>
        <v/>
      </c>
      <c r="E784" s="15">
        <f>IF($D784="","",IFERROR(INDEX(nrCadetAgency,MATCH($D784,rngCadetPIDs,0)),""))</f>
        <v/>
      </c>
      <c r="F784" s="14" t="n"/>
      <c r="G784" s="15">
        <f>IF($F784="","",IFERROR(INDEX(rngEPname,MATCH($F784,rngEPcode,0)),"?"))</f>
        <v/>
      </c>
      <c r="H784" s="15">
        <f>IF($F784="","",IFERROR(INDEX(rngEPtype,MATCH($F784,rngEPcode,0)),"?"))</f>
        <v/>
      </c>
      <c r="I784" s="15">
        <f>IF($F784="","",IFERROR(INDEX(rngEPseq,MATCH($F784,rngEPcode,0)),""))</f>
        <v/>
      </c>
      <c r="J784" s="15">
        <f>IF($F784="","",IFERROR(INDEX(rngEPpass,MATCH($F784,rngEPcode,0)),cfgPassingScore))</f>
        <v/>
      </c>
      <c r="K784" s="14" t="n"/>
      <c r="L784" s="14" t="n"/>
      <c r="M784" s="15">
        <f>IF($C784="","",IF($L784="","",IF($K784=1,IF(COUNTIFS(nrES_PID,$D784,nrES_Code,$F784,nrES_Att,2)&gt;0,"",$L784),IF(COUNTIFS(nrES_PID,$D784,nrES_Code,$F784,nrES_Att,1)=0,$L784,IF($L784&gt;=$J784,cfgRetakeRecordedCap,SUMIFS(nrES_Raw,nrES_PID,$D784,nrES_Code,$F784,nrES_Att,1))))))</f>
        <v/>
      </c>
      <c r="N784" s="15">
        <f>IF($C784="","",IF($L784="","",IF($L784&gt;=$J784,"Yes","No")))</f>
        <v/>
      </c>
      <c r="O784" s="15">
        <f>IF($C784="","",IF($M784="","",IF($M784&gt;=$J784,"Yes","No")))</f>
        <v/>
      </c>
      <c r="P784" s="15">
        <f>IF($C784="","",IF($K784="","",IF(COUNTIFS(nrES_PID,$D784,nrES_Code,$F784,nrES_Att,"&gt;"&amp;$K784)=0,"Yes","No")))</f>
        <v/>
      </c>
      <c r="Q784" s="15">
        <f>IF($C784="","",IF($L784="","",IF(AND($K784=1,$L784&lt;$J784,COUNTIFS(nrES_PID,$D784,nrES_Code,$F784,nrES_Att,2)=0),"Yes","No")))</f>
        <v/>
      </c>
      <c r="R784" s="15">
        <f>IF($C784="","",IF($L784="","",IF(AND($K784=2,$L784&lt;$J784,COUNTIFS(nrES_PID,$D784,nrES_Code,$F784,nrES_Att,1)&gt;0),"Yes","No")))</f>
        <v/>
      </c>
      <c r="S784" s="16" t="n"/>
      <c r="T784" s="17">
        <f>IF($Q784&lt;&gt;"Yes","",IF($S784="","(enter date)",_xlfn.LET(_xlpm.dn,IFERROR(_xlfn.XLOOKUP($S784,nrCDdate,nrCDnum),""),IF(_xlpm.dn="","(not a class day)",IFERROR(_xlfn.XLOOKUP(_xlpm.dn+cfgRetestClassDays,nrCDnum,nrCDdate),"")))))</f>
        <v/>
      </c>
      <c r="U784" s="15">
        <f>IF($Q784&lt;&gt;"Yes","",IF(COUNTIFS(nrES_PID,$D784,nrES_Code,$F784,nrES_Att,2)&gt;0,"Retested",IF(OR($T784="",NOT(ISNUMBER($T784))),"Pending",IF(TODAY()&gt;$T784,"OVERDUE","Due "&amp;TEXT($T784,"mm/dd")))))</f>
        <v/>
      </c>
      <c r="V784" s="14" t="n"/>
      <c r="W784" s="14" t="n"/>
    </row>
    <row r="785">
      <c r="B785" s="15">
        <f>IF($C785="","",$D785&amp;"-"&amp;$F785&amp;"-"&amp;$K785)</f>
        <v/>
      </c>
      <c r="C785" s="14" t="n"/>
      <c r="D785" s="15">
        <f>IF($C785="","",IFERROR(INDEX(rngCadetPIDs,MATCH($C785,rngCadetNames,0)),"?"))</f>
        <v/>
      </c>
      <c r="E785" s="15">
        <f>IF($D785="","",IFERROR(INDEX(nrCadetAgency,MATCH($D785,rngCadetPIDs,0)),""))</f>
        <v/>
      </c>
      <c r="F785" s="14" t="n"/>
      <c r="G785" s="15">
        <f>IF($F785="","",IFERROR(INDEX(rngEPname,MATCH($F785,rngEPcode,0)),"?"))</f>
        <v/>
      </c>
      <c r="H785" s="15">
        <f>IF($F785="","",IFERROR(INDEX(rngEPtype,MATCH($F785,rngEPcode,0)),"?"))</f>
        <v/>
      </c>
      <c r="I785" s="15">
        <f>IF($F785="","",IFERROR(INDEX(rngEPseq,MATCH($F785,rngEPcode,0)),""))</f>
        <v/>
      </c>
      <c r="J785" s="15">
        <f>IF($F785="","",IFERROR(INDEX(rngEPpass,MATCH($F785,rngEPcode,0)),cfgPassingScore))</f>
        <v/>
      </c>
      <c r="K785" s="14" t="n"/>
      <c r="L785" s="14" t="n"/>
      <c r="M785" s="15">
        <f>IF($C785="","",IF($L785="","",IF($K785=1,IF(COUNTIFS(nrES_PID,$D785,nrES_Code,$F785,nrES_Att,2)&gt;0,"",$L785),IF(COUNTIFS(nrES_PID,$D785,nrES_Code,$F785,nrES_Att,1)=0,$L785,IF($L785&gt;=$J785,cfgRetakeRecordedCap,SUMIFS(nrES_Raw,nrES_PID,$D785,nrES_Code,$F785,nrES_Att,1))))))</f>
        <v/>
      </c>
      <c r="N785" s="15">
        <f>IF($C785="","",IF($L785="","",IF($L785&gt;=$J785,"Yes","No")))</f>
        <v/>
      </c>
      <c r="O785" s="15">
        <f>IF($C785="","",IF($M785="","",IF($M785&gt;=$J785,"Yes","No")))</f>
        <v/>
      </c>
      <c r="P785" s="15">
        <f>IF($C785="","",IF($K785="","",IF(COUNTIFS(nrES_PID,$D785,nrES_Code,$F785,nrES_Att,"&gt;"&amp;$K785)=0,"Yes","No")))</f>
        <v/>
      </c>
      <c r="Q785" s="15">
        <f>IF($C785="","",IF($L785="","",IF(AND($K785=1,$L785&lt;$J785,COUNTIFS(nrES_PID,$D785,nrES_Code,$F785,nrES_Att,2)=0),"Yes","No")))</f>
        <v/>
      </c>
      <c r="R785" s="15">
        <f>IF($C785="","",IF($L785="","",IF(AND($K785=2,$L785&lt;$J785,COUNTIFS(nrES_PID,$D785,nrES_Code,$F785,nrES_Att,1)&gt;0),"Yes","No")))</f>
        <v/>
      </c>
      <c r="S785" s="16" t="n"/>
      <c r="T785" s="17">
        <f>IF($Q785&lt;&gt;"Yes","",IF($S785="","(enter date)",_xlfn.LET(_xlpm.dn,IFERROR(_xlfn.XLOOKUP($S785,nrCDdate,nrCDnum),""),IF(_xlpm.dn="","(not a class day)",IFERROR(_xlfn.XLOOKUP(_xlpm.dn+cfgRetestClassDays,nrCDnum,nrCDdate),"")))))</f>
        <v/>
      </c>
      <c r="U785" s="15">
        <f>IF($Q785&lt;&gt;"Yes","",IF(COUNTIFS(nrES_PID,$D785,nrES_Code,$F785,nrES_Att,2)&gt;0,"Retested",IF(OR($T785="",NOT(ISNUMBER($T785))),"Pending",IF(TODAY()&gt;$T785,"OVERDUE","Due "&amp;TEXT($T785,"mm/dd")))))</f>
        <v/>
      </c>
      <c r="V785" s="14" t="n"/>
      <c r="W785" s="14" t="n"/>
    </row>
    <row r="786">
      <c r="B786" s="15">
        <f>IF($C786="","",$D786&amp;"-"&amp;$F786&amp;"-"&amp;$K786)</f>
        <v/>
      </c>
      <c r="C786" s="14" t="n"/>
      <c r="D786" s="15">
        <f>IF($C786="","",IFERROR(INDEX(rngCadetPIDs,MATCH($C786,rngCadetNames,0)),"?"))</f>
        <v/>
      </c>
      <c r="E786" s="15">
        <f>IF($D786="","",IFERROR(INDEX(nrCadetAgency,MATCH($D786,rngCadetPIDs,0)),""))</f>
        <v/>
      </c>
      <c r="F786" s="14" t="n"/>
      <c r="G786" s="15">
        <f>IF($F786="","",IFERROR(INDEX(rngEPname,MATCH($F786,rngEPcode,0)),"?"))</f>
        <v/>
      </c>
      <c r="H786" s="15">
        <f>IF($F786="","",IFERROR(INDEX(rngEPtype,MATCH($F786,rngEPcode,0)),"?"))</f>
        <v/>
      </c>
      <c r="I786" s="15">
        <f>IF($F786="","",IFERROR(INDEX(rngEPseq,MATCH($F786,rngEPcode,0)),""))</f>
        <v/>
      </c>
      <c r="J786" s="15">
        <f>IF($F786="","",IFERROR(INDEX(rngEPpass,MATCH($F786,rngEPcode,0)),cfgPassingScore))</f>
        <v/>
      </c>
      <c r="K786" s="14" t="n"/>
      <c r="L786" s="14" t="n"/>
      <c r="M786" s="15">
        <f>IF($C786="","",IF($L786="","",IF($K786=1,IF(COUNTIFS(nrES_PID,$D786,nrES_Code,$F786,nrES_Att,2)&gt;0,"",$L786),IF(COUNTIFS(nrES_PID,$D786,nrES_Code,$F786,nrES_Att,1)=0,$L786,IF($L786&gt;=$J786,cfgRetakeRecordedCap,SUMIFS(nrES_Raw,nrES_PID,$D786,nrES_Code,$F786,nrES_Att,1))))))</f>
        <v/>
      </c>
      <c r="N786" s="15">
        <f>IF($C786="","",IF($L786="","",IF($L786&gt;=$J786,"Yes","No")))</f>
        <v/>
      </c>
      <c r="O786" s="15">
        <f>IF($C786="","",IF($M786="","",IF($M786&gt;=$J786,"Yes","No")))</f>
        <v/>
      </c>
      <c r="P786" s="15">
        <f>IF($C786="","",IF($K786="","",IF(COUNTIFS(nrES_PID,$D786,nrES_Code,$F786,nrES_Att,"&gt;"&amp;$K786)=0,"Yes","No")))</f>
        <v/>
      </c>
      <c r="Q786" s="15">
        <f>IF($C786="","",IF($L786="","",IF(AND($K786=1,$L786&lt;$J786,COUNTIFS(nrES_PID,$D786,nrES_Code,$F786,nrES_Att,2)=0),"Yes","No")))</f>
        <v/>
      </c>
      <c r="R786" s="15">
        <f>IF($C786="","",IF($L786="","",IF(AND($K786=2,$L786&lt;$J786,COUNTIFS(nrES_PID,$D786,nrES_Code,$F786,nrES_Att,1)&gt;0),"Yes","No")))</f>
        <v/>
      </c>
      <c r="S786" s="16" t="n"/>
      <c r="T786" s="17">
        <f>IF($Q786&lt;&gt;"Yes","",IF($S786="","(enter date)",_xlfn.LET(_xlpm.dn,IFERROR(_xlfn.XLOOKUP($S786,nrCDdate,nrCDnum),""),IF(_xlpm.dn="","(not a class day)",IFERROR(_xlfn.XLOOKUP(_xlpm.dn+cfgRetestClassDays,nrCDnum,nrCDdate),"")))))</f>
        <v/>
      </c>
      <c r="U786" s="15">
        <f>IF($Q786&lt;&gt;"Yes","",IF(COUNTIFS(nrES_PID,$D786,nrES_Code,$F786,nrES_Att,2)&gt;0,"Retested",IF(OR($T786="",NOT(ISNUMBER($T786))),"Pending",IF(TODAY()&gt;$T786,"OVERDUE","Due "&amp;TEXT($T786,"mm/dd")))))</f>
        <v/>
      </c>
      <c r="V786" s="14" t="n"/>
      <c r="W786" s="14" t="n"/>
    </row>
    <row r="787">
      <c r="B787" s="15">
        <f>IF($C787="","",$D787&amp;"-"&amp;$F787&amp;"-"&amp;$K787)</f>
        <v/>
      </c>
      <c r="C787" s="14" t="n"/>
      <c r="D787" s="15">
        <f>IF($C787="","",IFERROR(INDEX(rngCadetPIDs,MATCH($C787,rngCadetNames,0)),"?"))</f>
        <v/>
      </c>
      <c r="E787" s="15">
        <f>IF($D787="","",IFERROR(INDEX(nrCadetAgency,MATCH($D787,rngCadetPIDs,0)),""))</f>
        <v/>
      </c>
      <c r="F787" s="14" t="n"/>
      <c r="G787" s="15">
        <f>IF($F787="","",IFERROR(INDEX(rngEPname,MATCH($F787,rngEPcode,0)),"?"))</f>
        <v/>
      </c>
      <c r="H787" s="15">
        <f>IF($F787="","",IFERROR(INDEX(rngEPtype,MATCH($F787,rngEPcode,0)),"?"))</f>
        <v/>
      </c>
      <c r="I787" s="15">
        <f>IF($F787="","",IFERROR(INDEX(rngEPseq,MATCH($F787,rngEPcode,0)),""))</f>
        <v/>
      </c>
      <c r="J787" s="15">
        <f>IF($F787="","",IFERROR(INDEX(rngEPpass,MATCH($F787,rngEPcode,0)),cfgPassingScore))</f>
        <v/>
      </c>
      <c r="K787" s="14" t="n"/>
      <c r="L787" s="14" t="n"/>
      <c r="M787" s="15">
        <f>IF($C787="","",IF($L787="","",IF($K787=1,IF(COUNTIFS(nrES_PID,$D787,nrES_Code,$F787,nrES_Att,2)&gt;0,"",$L787),IF(COUNTIFS(nrES_PID,$D787,nrES_Code,$F787,nrES_Att,1)=0,$L787,IF($L787&gt;=$J787,cfgRetakeRecordedCap,SUMIFS(nrES_Raw,nrES_PID,$D787,nrES_Code,$F787,nrES_Att,1))))))</f>
        <v/>
      </c>
      <c r="N787" s="15">
        <f>IF($C787="","",IF($L787="","",IF($L787&gt;=$J787,"Yes","No")))</f>
        <v/>
      </c>
      <c r="O787" s="15">
        <f>IF($C787="","",IF($M787="","",IF($M787&gt;=$J787,"Yes","No")))</f>
        <v/>
      </c>
      <c r="P787" s="15">
        <f>IF($C787="","",IF($K787="","",IF(COUNTIFS(nrES_PID,$D787,nrES_Code,$F787,nrES_Att,"&gt;"&amp;$K787)=0,"Yes","No")))</f>
        <v/>
      </c>
      <c r="Q787" s="15">
        <f>IF($C787="","",IF($L787="","",IF(AND($K787=1,$L787&lt;$J787,COUNTIFS(nrES_PID,$D787,nrES_Code,$F787,nrES_Att,2)=0),"Yes","No")))</f>
        <v/>
      </c>
      <c r="R787" s="15">
        <f>IF($C787="","",IF($L787="","",IF(AND($K787=2,$L787&lt;$J787,COUNTIFS(nrES_PID,$D787,nrES_Code,$F787,nrES_Att,1)&gt;0),"Yes","No")))</f>
        <v/>
      </c>
      <c r="S787" s="16" t="n"/>
      <c r="T787" s="17">
        <f>IF($Q787&lt;&gt;"Yes","",IF($S787="","(enter date)",_xlfn.LET(_xlpm.dn,IFERROR(_xlfn.XLOOKUP($S787,nrCDdate,nrCDnum),""),IF(_xlpm.dn="","(not a class day)",IFERROR(_xlfn.XLOOKUP(_xlpm.dn+cfgRetestClassDays,nrCDnum,nrCDdate),"")))))</f>
        <v/>
      </c>
      <c r="U787" s="15">
        <f>IF($Q787&lt;&gt;"Yes","",IF(COUNTIFS(nrES_PID,$D787,nrES_Code,$F787,nrES_Att,2)&gt;0,"Retested",IF(OR($T787="",NOT(ISNUMBER($T787))),"Pending",IF(TODAY()&gt;$T787,"OVERDUE","Due "&amp;TEXT($T787,"mm/dd")))))</f>
        <v/>
      </c>
      <c r="V787" s="14" t="n"/>
      <c r="W787" s="14" t="n"/>
    </row>
    <row r="788">
      <c r="B788" s="15">
        <f>IF($C788="","",$D788&amp;"-"&amp;$F788&amp;"-"&amp;$K788)</f>
        <v/>
      </c>
      <c r="C788" s="14" t="n"/>
      <c r="D788" s="15">
        <f>IF($C788="","",IFERROR(INDEX(rngCadetPIDs,MATCH($C788,rngCadetNames,0)),"?"))</f>
        <v/>
      </c>
      <c r="E788" s="15">
        <f>IF($D788="","",IFERROR(INDEX(nrCadetAgency,MATCH($D788,rngCadetPIDs,0)),""))</f>
        <v/>
      </c>
      <c r="F788" s="14" t="n"/>
      <c r="G788" s="15">
        <f>IF($F788="","",IFERROR(INDEX(rngEPname,MATCH($F788,rngEPcode,0)),"?"))</f>
        <v/>
      </c>
      <c r="H788" s="15">
        <f>IF($F788="","",IFERROR(INDEX(rngEPtype,MATCH($F788,rngEPcode,0)),"?"))</f>
        <v/>
      </c>
      <c r="I788" s="15">
        <f>IF($F788="","",IFERROR(INDEX(rngEPseq,MATCH($F788,rngEPcode,0)),""))</f>
        <v/>
      </c>
      <c r="J788" s="15">
        <f>IF($F788="","",IFERROR(INDEX(rngEPpass,MATCH($F788,rngEPcode,0)),cfgPassingScore))</f>
        <v/>
      </c>
      <c r="K788" s="14" t="n"/>
      <c r="L788" s="14" t="n"/>
      <c r="M788" s="15">
        <f>IF($C788="","",IF($L788="","",IF($K788=1,IF(COUNTIFS(nrES_PID,$D788,nrES_Code,$F788,nrES_Att,2)&gt;0,"",$L788),IF(COUNTIFS(nrES_PID,$D788,nrES_Code,$F788,nrES_Att,1)=0,$L788,IF($L788&gt;=$J788,cfgRetakeRecordedCap,SUMIFS(nrES_Raw,nrES_PID,$D788,nrES_Code,$F788,nrES_Att,1))))))</f>
        <v/>
      </c>
      <c r="N788" s="15">
        <f>IF($C788="","",IF($L788="","",IF($L788&gt;=$J788,"Yes","No")))</f>
        <v/>
      </c>
      <c r="O788" s="15">
        <f>IF($C788="","",IF($M788="","",IF($M788&gt;=$J788,"Yes","No")))</f>
        <v/>
      </c>
      <c r="P788" s="15">
        <f>IF($C788="","",IF($K788="","",IF(COUNTIFS(nrES_PID,$D788,nrES_Code,$F788,nrES_Att,"&gt;"&amp;$K788)=0,"Yes","No")))</f>
        <v/>
      </c>
      <c r="Q788" s="15">
        <f>IF($C788="","",IF($L788="","",IF(AND($K788=1,$L788&lt;$J788,COUNTIFS(nrES_PID,$D788,nrES_Code,$F788,nrES_Att,2)=0),"Yes","No")))</f>
        <v/>
      </c>
      <c r="R788" s="15">
        <f>IF($C788="","",IF($L788="","",IF(AND($K788=2,$L788&lt;$J788,COUNTIFS(nrES_PID,$D788,nrES_Code,$F788,nrES_Att,1)&gt;0),"Yes","No")))</f>
        <v/>
      </c>
      <c r="S788" s="16" t="n"/>
      <c r="T788" s="17">
        <f>IF($Q788&lt;&gt;"Yes","",IF($S788="","(enter date)",_xlfn.LET(_xlpm.dn,IFERROR(_xlfn.XLOOKUP($S788,nrCDdate,nrCDnum),""),IF(_xlpm.dn="","(not a class day)",IFERROR(_xlfn.XLOOKUP(_xlpm.dn+cfgRetestClassDays,nrCDnum,nrCDdate),"")))))</f>
        <v/>
      </c>
      <c r="U788" s="15">
        <f>IF($Q788&lt;&gt;"Yes","",IF(COUNTIFS(nrES_PID,$D788,nrES_Code,$F788,nrES_Att,2)&gt;0,"Retested",IF(OR($T788="",NOT(ISNUMBER($T788))),"Pending",IF(TODAY()&gt;$T788,"OVERDUE","Due "&amp;TEXT($T788,"mm/dd")))))</f>
        <v/>
      </c>
      <c r="V788" s="14" t="n"/>
      <c r="W788" s="14" t="n"/>
    </row>
    <row r="789">
      <c r="B789" s="15">
        <f>IF($C789="","",$D789&amp;"-"&amp;$F789&amp;"-"&amp;$K789)</f>
        <v/>
      </c>
      <c r="C789" s="14" t="n"/>
      <c r="D789" s="15">
        <f>IF($C789="","",IFERROR(INDEX(rngCadetPIDs,MATCH($C789,rngCadetNames,0)),"?"))</f>
        <v/>
      </c>
      <c r="E789" s="15">
        <f>IF($D789="","",IFERROR(INDEX(nrCadetAgency,MATCH($D789,rngCadetPIDs,0)),""))</f>
        <v/>
      </c>
      <c r="F789" s="14" t="n"/>
      <c r="G789" s="15">
        <f>IF($F789="","",IFERROR(INDEX(rngEPname,MATCH($F789,rngEPcode,0)),"?"))</f>
        <v/>
      </c>
      <c r="H789" s="15">
        <f>IF($F789="","",IFERROR(INDEX(rngEPtype,MATCH($F789,rngEPcode,0)),"?"))</f>
        <v/>
      </c>
      <c r="I789" s="15">
        <f>IF($F789="","",IFERROR(INDEX(rngEPseq,MATCH($F789,rngEPcode,0)),""))</f>
        <v/>
      </c>
      <c r="J789" s="15">
        <f>IF($F789="","",IFERROR(INDEX(rngEPpass,MATCH($F789,rngEPcode,0)),cfgPassingScore))</f>
        <v/>
      </c>
      <c r="K789" s="14" t="n"/>
      <c r="L789" s="14" t="n"/>
      <c r="M789" s="15">
        <f>IF($C789="","",IF($L789="","",IF($K789=1,IF(COUNTIFS(nrES_PID,$D789,nrES_Code,$F789,nrES_Att,2)&gt;0,"",$L789),IF(COUNTIFS(nrES_PID,$D789,nrES_Code,$F789,nrES_Att,1)=0,$L789,IF($L789&gt;=$J789,cfgRetakeRecordedCap,SUMIFS(nrES_Raw,nrES_PID,$D789,nrES_Code,$F789,nrES_Att,1))))))</f>
        <v/>
      </c>
      <c r="N789" s="15">
        <f>IF($C789="","",IF($L789="","",IF($L789&gt;=$J789,"Yes","No")))</f>
        <v/>
      </c>
      <c r="O789" s="15">
        <f>IF($C789="","",IF($M789="","",IF($M789&gt;=$J789,"Yes","No")))</f>
        <v/>
      </c>
      <c r="P789" s="15">
        <f>IF($C789="","",IF($K789="","",IF(COUNTIFS(nrES_PID,$D789,nrES_Code,$F789,nrES_Att,"&gt;"&amp;$K789)=0,"Yes","No")))</f>
        <v/>
      </c>
      <c r="Q789" s="15">
        <f>IF($C789="","",IF($L789="","",IF(AND($K789=1,$L789&lt;$J789,COUNTIFS(nrES_PID,$D789,nrES_Code,$F789,nrES_Att,2)=0),"Yes","No")))</f>
        <v/>
      </c>
      <c r="R789" s="15">
        <f>IF($C789="","",IF($L789="","",IF(AND($K789=2,$L789&lt;$J789,COUNTIFS(nrES_PID,$D789,nrES_Code,$F789,nrES_Att,1)&gt;0),"Yes","No")))</f>
        <v/>
      </c>
      <c r="S789" s="16" t="n"/>
      <c r="T789" s="17">
        <f>IF($Q789&lt;&gt;"Yes","",IF($S789="","(enter date)",_xlfn.LET(_xlpm.dn,IFERROR(_xlfn.XLOOKUP($S789,nrCDdate,nrCDnum),""),IF(_xlpm.dn="","(not a class day)",IFERROR(_xlfn.XLOOKUP(_xlpm.dn+cfgRetestClassDays,nrCDnum,nrCDdate),"")))))</f>
        <v/>
      </c>
      <c r="U789" s="15">
        <f>IF($Q789&lt;&gt;"Yes","",IF(COUNTIFS(nrES_PID,$D789,nrES_Code,$F789,nrES_Att,2)&gt;0,"Retested",IF(OR($T789="",NOT(ISNUMBER($T789))),"Pending",IF(TODAY()&gt;$T789,"OVERDUE","Due "&amp;TEXT($T789,"mm/dd")))))</f>
        <v/>
      </c>
      <c r="V789" s="14" t="n"/>
      <c r="W789" s="14" t="n"/>
    </row>
    <row r="790">
      <c r="B790" s="15">
        <f>IF($C790="","",$D790&amp;"-"&amp;$F790&amp;"-"&amp;$K790)</f>
        <v/>
      </c>
      <c r="C790" s="14" t="n"/>
      <c r="D790" s="15">
        <f>IF($C790="","",IFERROR(INDEX(rngCadetPIDs,MATCH($C790,rngCadetNames,0)),"?"))</f>
        <v/>
      </c>
      <c r="E790" s="15">
        <f>IF($D790="","",IFERROR(INDEX(nrCadetAgency,MATCH($D790,rngCadetPIDs,0)),""))</f>
        <v/>
      </c>
      <c r="F790" s="14" t="n"/>
      <c r="G790" s="15">
        <f>IF($F790="","",IFERROR(INDEX(rngEPname,MATCH($F790,rngEPcode,0)),"?"))</f>
        <v/>
      </c>
      <c r="H790" s="15">
        <f>IF($F790="","",IFERROR(INDEX(rngEPtype,MATCH($F790,rngEPcode,0)),"?"))</f>
        <v/>
      </c>
      <c r="I790" s="15">
        <f>IF($F790="","",IFERROR(INDEX(rngEPseq,MATCH($F790,rngEPcode,0)),""))</f>
        <v/>
      </c>
      <c r="J790" s="15">
        <f>IF($F790="","",IFERROR(INDEX(rngEPpass,MATCH($F790,rngEPcode,0)),cfgPassingScore))</f>
        <v/>
      </c>
      <c r="K790" s="14" t="n"/>
      <c r="L790" s="14" t="n"/>
      <c r="M790" s="15">
        <f>IF($C790="","",IF($L790="","",IF($K790=1,IF(COUNTIFS(nrES_PID,$D790,nrES_Code,$F790,nrES_Att,2)&gt;0,"",$L790),IF(COUNTIFS(nrES_PID,$D790,nrES_Code,$F790,nrES_Att,1)=0,$L790,IF($L790&gt;=$J790,cfgRetakeRecordedCap,SUMIFS(nrES_Raw,nrES_PID,$D790,nrES_Code,$F790,nrES_Att,1))))))</f>
        <v/>
      </c>
      <c r="N790" s="15">
        <f>IF($C790="","",IF($L790="","",IF($L790&gt;=$J790,"Yes","No")))</f>
        <v/>
      </c>
      <c r="O790" s="15">
        <f>IF($C790="","",IF($M790="","",IF($M790&gt;=$J790,"Yes","No")))</f>
        <v/>
      </c>
      <c r="P790" s="15">
        <f>IF($C790="","",IF($K790="","",IF(COUNTIFS(nrES_PID,$D790,nrES_Code,$F790,nrES_Att,"&gt;"&amp;$K790)=0,"Yes","No")))</f>
        <v/>
      </c>
      <c r="Q790" s="15">
        <f>IF($C790="","",IF($L790="","",IF(AND($K790=1,$L790&lt;$J790,COUNTIFS(nrES_PID,$D790,nrES_Code,$F790,nrES_Att,2)=0),"Yes","No")))</f>
        <v/>
      </c>
      <c r="R790" s="15">
        <f>IF($C790="","",IF($L790="","",IF(AND($K790=2,$L790&lt;$J790,COUNTIFS(nrES_PID,$D790,nrES_Code,$F790,nrES_Att,1)&gt;0),"Yes","No")))</f>
        <v/>
      </c>
      <c r="S790" s="16" t="n"/>
      <c r="T790" s="17">
        <f>IF($Q790&lt;&gt;"Yes","",IF($S790="","(enter date)",_xlfn.LET(_xlpm.dn,IFERROR(_xlfn.XLOOKUP($S790,nrCDdate,nrCDnum),""),IF(_xlpm.dn="","(not a class day)",IFERROR(_xlfn.XLOOKUP(_xlpm.dn+cfgRetestClassDays,nrCDnum,nrCDdate),"")))))</f>
        <v/>
      </c>
      <c r="U790" s="15">
        <f>IF($Q790&lt;&gt;"Yes","",IF(COUNTIFS(nrES_PID,$D790,nrES_Code,$F790,nrES_Att,2)&gt;0,"Retested",IF(OR($T790="",NOT(ISNUMBER($T790))),"Pending",IF(TODAY()&gt;$T790,"OVERDUE","Due "&amp;TEXT($T790,"mm/dd")))))</f>
        <v/>
      </c>
      <c r="V790" s="14" t="n"/>
      <c r="W790" s="14" t="n"/>
    </row>
    <row r="791">
      <c r="B791" s="15">
        <f>IF($C791="","",$D791&amp;"-"&amp;$F791&amp;"-"&amp;$K791)</f>
        <v/>
      </c>
      <c r="C791" s="14" t="n"/>
      <c r="D791" s="15">
        <f>IF($C791="","",IFERROR(INDEX(rngCadetPIDs,MATCH($C791,rngCadetNames,0)),"?"))</f>
        <v/>
      </c>
      <c r="E791" s="15">
        <f>IF($D791="","",IFERROR(INDEX(nrCadetAgency,MATCH($D791,rngCadetPIDs,0)),""))</f>
        <v/>
      </c>
      <c r="F791" s="14" t="n"/>
      <c r="G791" s="15">
        <f>IF($F791="","",IFERROR(INDEX(rngEPname,MATCH($F791,rngEPcode,0)),"?"))</f>
        <v/>
      </c>
      <c r="H791" s="15">
        <f>IF($F791="","",IFERROR(INDEX(rngEPtype,MATCH($F791,rngEPcode,0)),"?"))</f>
        <v/>
      </c>
      <c r="I791" s="15">
        <f>IF($F791="","",IFERROR(INDEX(rngEPseq,MATCH($F791,rngEPcode,0)),""))</f>
        <v/>
      </c>
      <c r="J791" s="15">
        <f>IF($F791="","",IFERROR(INDEX(rngEPpass,MATCH($F791,rngEPcode,0)),cfgPassingScore))</f>
        <v/>
      </c>
      <c r="K791" s="14" t="n"/>
      <c r="L791" s="14" t="n"/>
      <c r="M791" s="15">
        <f>IF($C791="","",IF($L791="","",IF($K791=1,IF(COUNTIFS(nrES_PID,$D791,nrES_Code,$F791,nrES_Att,2)&gt;0,"",$L791),IF(COUNTIFS(nrES_PID,$D791,nrES_Code,$F791,nrES_Att,1)=0,$L791,IF($L791&gt;=$J791,cfgRetakeRecordedCap,SUMIFS(nrES_Raw,nrES_PID,$D791,nrES_Code,$F791,nrES_Att,1))))))</f>
        <v/>
      </c>
      <c r="N791" s="15">
        <f>IF($C791="","",IF($L791="","",IF($L791&gt;=$J791,"Yes","No")))</f>
        <v/>
      </c>
      <c r="O791" s="15">
        <f>IF($C791="","",IF($M791="","",IF($M791&gt;=$J791,"Yes","No")))</f>
        <v/>
      </c>
      <c r="P791" s="15">
        <f>IF($C791="","",IF($K791="","",IF(COUNTIFS(nrES_PID,$D791,nrES_Code,$F791,nrES_Att,"&gt;"&amp;$K791)=0,"Yes","No")))</f>
        <v/>
      </c>
      <c r="Q791" s="15">
        <f>IF($C791="","",IF($L791="","",IF(AND($K791=1,$L791&lt;$J791,COUNTIFS(nrES_PID,$D791,nrES_Code,$F791,nrES_Att,2)=0),"Yes","No")))</f>
        <v/>
      </c>
      <c r="R791" s="15">
        <f>IF($C791="","",IF($L791="","",IF(AND($K791=2,$L791&lt;$J791,COUNTIFS(nrES_PID,$D791,nrES_Code,$F791,nrES_Att,1)&gt;0),"Yes","No")))</f>
        <v/>
      </c>
      <c r="S791" s="16" t="n"/>
      <c r="T791" s="17">
        <f>IF($Q791&lt;&gt;"Yes","",IF($S791="","(enter date)",_xlfn.LET(_xlpm.dn,IFERROR(_xlfn.XLOOKUP($S791,nrCDdate,nrCDnum),""),IF(_xlpm.dn="","(not a class day)",IFERROR(_xlfn.XLOOKUP(_xlpm.dn+cfgRetestClassDays,nrCDnum,nrCDdate),"")))))</f>
        <v/>
      </c>
      <c r="U791" s="15">
        <f>IF($Q791&lt;&gt;"Yes","",IF(COUNTIFS(nrES_PID,$D791,nrES_Code,$F791,nrES_Att,2)&gt;0,"Retested",IF(OR($T791="",NOT(ISNUMBER($T791))),"Pending",IF(TODAY()&gt;$T791,"OVERDUE","Due "&amp;TEXT($T791,"mm/dd")))))</f>
        <v/>
      </c>
      <c r="V791" s="14" t="n"/>
      <c r="W791" s="14" t="n"/>
    </row>
    <row r="792">
      <c r="B792" s="15">
        <f>IF($C792="","",$D792&amp;"-"&amp;$F792&amp;"-"&amp;$K792)</f>
        <v/>
      </c>
      <c r="C792" s="14" t="n"/>
      <c r="D792" s="15">
        <f>IF($C792="","",IFERROR(INDEX(rngCadetPIDs,MATCH($C792,rngCadetNames,0)),"?"))</f>
        <v/>
      </c>
      <c r="E792" s="15">
        <f>IF($D792="","",IFERROR(INDEX(nrCadetAgency,MATCH($D792,rngCadetPIDs,0)),""))</f>
        <v/>
      </c>
      <c r="F792" s="14" t="n"/>
      <c r="G792" s="15">
        <f>IF($F792="","",IFERROR(INDEX(rngEPname,MATCH($F792,rngEPcode,0)),"?"))</f>
        <v/>
      </c>
      <c r="H792" s="15">
        <f>IF($F792="","",IFERROR(INDEX(rngEPtype,MATCH($F792,rngEPcode,0)),"?"))</f>
        <v/>
      </c>
      <c r="I792" s="15">
        <f>IF($F792="","",IFERROR(INDEX(rngEPseq,MATCH($F792,rngEPcode,0)),""))</f>
        <v/>
      </c>
      <c r="J792" s="15">
        <f>IF($F792="","",IFERROR(INDEX(rngEPpass,MATCH($F792,rngEPcode,0)),cfgPassingScore))</f>
        <v/>
      </c>
      <c r="K792" s="14" t="n"/>
      <c r="L792" s="14" t="n"/>
      <c r="M792" s="15">
        <f>IF($C792="","",IF($L792="","",IF($K792=1,IF(COUNTIFS(nrES_PID,$D792,nrES_Code,$F792,nrES_Att,2)&gt;0,"",$L792),IF(COUNTIFS(nrES_PID,$D792,nrES_Code,$F792,nrES_Att,1)=0,$L792,IF($L792&gt;=$J792,cfgRetakeRecordedCap,SUMIFS(nrES_Raw,nrES_PID,$D792,nrES_Code,$F792,nrES_Att,1))))))</f>
        <v/>
      </c>
      <c r="N792" s="15">
        <f>IF($C792="","",IF($L792="","",IF($L792&gt;=$J792,"Yes","No")))</f>
        <v/>
      </c>
      <c r="O792" s="15">
        <f>IF($C792="","",IF($M792="","",IF($M792&gt;=$J792,"Yes","No")))</f>
        <v/>
      </c>
      <c r="P792" s="15">
        <f>IF($C792="","",IF($K792="","",IF(COUNTIFS(nrES_PID,$D792,nrES_Code,$F792,nrES_Att,"&gt;"&amp;$K792)=0,"Yes","No")))</f>
        <v/>
      </c>
      <c r="Q792" s="15">
        <f>IF($C792="","",IF($L792="","",IF(AND($K792=1,$L792&lt;$J792,COUNTIFS(nrES_PID,$D792,nrES_Code,$F792,nrES_Att,2)=0),"Yes","No")))</f>
        <v/>
      </c>
      <c r="R792" s="15">
        <f>IF($C792="","",IF($L792="","",IF(AND($K792=2,$L792&lt;$J792,COUNTIFS(nrES_PID,$D792,nrES_Code,$F792,nrES_Att,1)&gt;0),"Yes","No")))</f>
        <v/>
      </c>
      <c r="S792" s="16" t="n"/>
      <c r="T792" s="17">
        <f>IF($Q792&lt;&gt;"Yes","",IF($S792="","(enter date)",_xlfn.LET(_xlpm.dn,IFERROR(_xlfn.XLOOKUP($S792,nrCDdate,nrCDnum),""),IF(_xlpm.dn="","(not a class day)",IFERROR(_xlfn.XLOOKUP(_xlpm.dn+cfgRetestClassDays,nrCDnum,nrCDdate),"")))))</f>
        <v/>
      </c>
      <c r="U792" s="15">
        <f>IF($Q792&lt;&gt;"Yes","",IF(COUNTIFS(nrES_PID,$D792,nrES_Code,$F792,nrES_Att,2)&gt;0,"Retested",IF(OR($T792="",NOT(ISNUMBER($T792))),"Pending",IF(TODAY()&gt;$T792,"OVERDUE","Due "&amp;TEXT($T792,"mm/dd")))))</f>
        <v/>
      </c>
      <c r="V792" s="14" t="n"/>
      <c r="W792" s="14" t="n"/>
    </row>
    <row r="793">
      <c r="B793" s="15">
        <f>IF($C793="","",$D793&amp;"-"&amp;$F793&amp;"-"&amp;$K793)</f>
        <v/>
      </c>
      <c r="C793" s="14" t="n"/>
      <c r="D793" s="15">
        <f>IF($C793="","",IFERROR(INDEX(rngCadetPIDs,MATCH($C793,rngCadetNames,0)),"?"))</f>
        <v/>
      </c>
      <c r="E793" s="15">
        <f>IF($D793="","",IFERROR(INDEX(nrCadetAgency,MATCH($D793,rngCadetPIDs,0)),""))</f>
        <v/>
      </c>
      <c r="F793" s="14" t="n"/>
      <c r="G793" s="15">
        <f>IF($F793="","",IFERROR(INDEX(rngEPname,MATCH($F793,rngEPcode,0)),"?"))</f>
        <v/>
      </c>
      <c r="H793" s="15">
        <f>IF($F793="","",IFERROR(INDEX(rngEPtype,MATCH($F793,rngEPcode,0)),"?"))</f>
        <v/>
      </c>
      <c r="I793" s="15">
        <f>IF($F793="","",IFERROR(INDEX(rngEPseq,MATCH($F793,rngEPcode,0)),""))</f>
        <v/>
      </c>
      <c r="J793" s="15">
        <f>IF($F793="","",IFERROR(INDEX(rngEPpass,MATCH($F793,rngEPcode,0)),cfgPassingScore))</f>
        <v/>
      </c>
      <c r="K793" s="14" t="n"/>
      <c r="L793" s="14" t="n"/>
      <c r="M793" s="15">
        <f>IF($C793="","",IF($L793="","",IF($K793=1,IF(COUNTIFS(nrES_PID,$D793,nrES_Code,$F793,nrES_Att,2)&gt;0,"",$L793),IF(COUNTIFS(nrES_PID,$D793,nrES_Code,$F793,nrES_Att,1)=0,$L793,IF($L793&gt;=$J793,cfgRetakeRecordedCap,SUMIFS(nrES_Raw,nrES_PID,$D793,nrES_Code,$F793,nrES_Att,1))))))</f>
        <v/>
      </c>
      <c r="N793" s="15">
        <f>IF($C793="","",IF($L793="","",IF($L793&gt;=$J793,"Yes","No")))</f>
        <v/>
      </c>
      <c r="O793" s="15">
        <f>IF($C793="","",IF($M793="","",IF($M793&gt;=$J793,"Yes","No")))</f>
        <v/>
      </c>
      <c r="P793" s="15">
        <f>IF($C793="","",IF($K793="","",IF(COUNTIFS(nrES_PID,$D793,nrES_Code,$F793,nrES_Att,"&gt;"&amp;$K793)=0,"Yes","No")))</f>
        <v/>
      </c>
      <c r="Q793" s="15">
        <f>IF($C793="","",IF($L793="","",IF(AND($K793=1,$L793&lt;$J793,COUNTIFS(nrES_PID,$D793,nrES_Code,$F793,nrES_Att,2)=0),"Yes","No")))</f>
        <v/>
      </c>
      <c r="R793" s="15">
        <f>IF($C793="","",IF($L793="","",IF(AND($K793=2,$L793&lt;$J793,COUNTIFS(nrES_PID,$D793,nrES_Code,$F793,nrES_Att,1)&gt;0),"Yes","No")))</f>
        <v/>
      </c>
      <c r="S793" s="16" t="n"/>
      <c r="T793" s="17">
        <f>IF($Q793&lt;&gt;"Yes","",IF($S793="","(enter date)",_xlfn.LET(_xlpm.dn,IFERROR(_xlfn.XLOOKUP($S793,nrCDdate,nrCDnum),""),IF(_xlpm.dn="","(not a class day)",IFERROR(_xlfn.XLOOKUP(_xlpm.dn+cfgRetestClassDays,nrCDnum,nrCDdate),"")))))</f>
        <v/>
      </c>
      <c r="U793" s="15">
        <f>IF($Q793&lt;&gt;"Yes","",IF(COUNTIFS(nrES_PID,$D793,nrES_Code,$F793,nrES_Att,2)&gt;0,"Retested",IF(OR($T793="",NOT(ISNUMBER($T793))),"Pending",IF(TODAY()&gt;$T793,"OVERDUE","Due "&amp;TEXT($T793,"mm/dd")))))</f>
        <v/>
      </c>
      <c r="V793" s="14" t="n"/>
      <c r="W793" s="14" t="n"/>
    </row>
    <row r="794">
      <c r="B794" s="15">
        <f>IF($C794="","",$D794&amp;"-"&amp;$F794&amp;"-"&amp;$K794)</f>
        <v/>
      </c>
      <c r="C794" s="14" t="n"/>
      <c r="D794" s="15">
        <f>IF($C794="","",IFERROR(INDEX(rngCadetPIDs,MATCH($C794,rngCadetNames,0)),"?"))</f>
        <v/>
      </c>
      <c r="E794" s="15">
        <f>IF($D794="","",IFERROR(INDEX(nrCadetAgency,MATCH($D794,rngCadetPIDs,0)),""))</f>
        <v/>
      </c>
      <c r="F794" s="14" t="n"/>
      <c r="G794" s="15">
        <f>IF($F794="","",IFERROR(INDEX(rngEPname,MATCH($F794,rngEPcode,0)),"?"))</f>
        <v/>
      </c>
      <c r="H794" s="15">
        <f>IF($F794="","",IFERROR(INDEX(rngEPtype,MATCH($F794,rngEPcode,0)),"?"))</f>
        <v/>
      </c>
      <c r="I794" s="15">
        <f>IF($F794="","",IFERROR(INDEX(rngEPseq,MATCH($F794,rngEPcode,0)),""))</f>
        <v/>
      </c>
      <c r="J794" s="15">
        <f>IF($F794="","",IFERROR(INDEX(rngEPpass,MATCH($F794,rngEPcode,0)),cfgPassingScore))</f>
        <v/>
      </c>
      <c r="K794" s="14" t="n"/>
      <c r="L794" s="14" t="n"/>
      <c r="M794" s="15">
        <f>IF($C794="","",IF($L794="","",IF($K794=1,IF(COUNTIFS(nrES_PID,$D794,nrES_Code,$F794,nrES_Att,2)&gt;0,"",$L794),IF(COUNTIFS(nrES_PID,$D794,nrES_Code,$F794,nrES_Att,1)=0,$L794,IF($L794&gt;=$J794,cfgRetakeRecordedCap,SUMIFS(nrES_Raw,nrES_PID,$D794,nrES_Code,$F794,nrES_Att,1))))))</f>
        <v/>
      </c>
      <c r="N794" s="15">
        <f>IF($C794="","",IF($L794="","",IF($L794&gt;=$J794,"Yes","No")))</f>
        <v/>
      </c>
      <c r="O794" s="15">
        <f>IF($C794="","",IF($M794="","",IF($M794&gt;=$J794,"Yes","No")))</f>
        <v/>
      </c>
      <c r="P794" s="15">
        <f>IF($C794="","",IF($K794="","",IF(COUNTIFS(nrES_PID,$D794,nrES_Code,$F794,nrES_Att,"&gt;"&amp;$K794)=0,"Yes","No")))</f>
        <v/>
      </c>
      <c r="Q794" s="15">
        <f>IF($C794="","",IF($L794="","",IF(AND($K794=1,$L794&lt;$J794,COUNTIFS(nrES_PID,$D794,nrES_Code,$F794,nrES_Att,2)=0),"Yes","No")))</f>
        <v/>
      </c>
      <c r="R794" s="15">
        <f>IF($C794="","",IF($L794="","",IF(AND($K794=2,$L794&lt;$J794,COUNTIFS(nrES_PID,$D794,nrES_Code,$F794,nrES_Att,1)&gt;0),"Yes","No")))</f>
        <v/>
      </c>
      <c r="S794" s="16" t="n"/>
      <c r="T794" s="17">
        <f>IF($Q794&lt;&gt;"Yes","",IF($S794="","(enter date)",_xlfn.LET(_xlpm.dn,IFERROR(_xlfn.XLOOKUP($S794,nrCDdate,nrCDnum),""),IF(_xlpm.dn="","(not a class day)",IFERROR(_xlfn.XLOOKUP(_xlpm.dn+cfgRetestClassDays,nrCDnum,nrCDdate),"")))))</f>
        <v/>
      </c>
      <c r="U794" s="15">
        <f>IF($Q794&lt;&gt;"Yes","",IF(COUNTIFS(nrES_PID,$D794,nrES_Code,$F794,nrES_Att,2)&gt;0,"Retested",IF(OR($T794="",NOT(ISNUMBER($T794))),"Pending",IF(TODAY()&gt;$T794,"OVERDUE","Due "&amp;TEXT($T794,"mm/dd")))))</f>
        <v/>
      </c>
      <c r="V794" s="14" t="n"/>
      <c r="W794" s="14" t="n"/>
    </row>
    <row r="795">
      <c r="B795" s="15">
        <f>IF($C795="","",$D795&amp;"-"&amp;$F795&amp;"-"&amp;$K795)</f>
        <v/>
      </c>
      <c r="C795" s="14" t="n"/>
      <c r="D795" s="15">
        <f>IF($C795="","",IFERROR(INDEX(rngCadetPIDs,MATCH($C795,rngCadetNames,0)),"?"))</f>
        <v/>
      </c>
      <c r="E795" s="15">
        <f>IF($D795="","",IFERROR(INDEX(nrCadetAgency,MATCH($D795,rngCadetPIDs,0)),""))</f>
        <v/>
      </c>
      <c r="F795" s="14" t="n"/>
      <c r="G795" s="15">
        <f>IF($F795="","",IFERROR(INDEX(rngEPname,MATCH($F795,rngEPcode,0)),"?"))</f>
        <v/>
      </c>
      <c r="H795" s="15">
        <f>IF($F795="","",IFERROR(INDEX(rngEPtype,MATCH($F795,rngEPcode,0)),"?"))</f>
        <v/>
      </c>
      <c r="I795" s="15">
        <f>IF($F795="","",IFERROR(INDEX(rngEPseq,MATCH($F795,rngEPcode,0)),""))</f>
        <v/>
      </c>
      <c r="J795" s="15">
        <f>IF($F795="","",IFERROR(INDEX(rngEPpass,MATCH($F795,rngEPcode,0)),cfgPassingScore))</f>
        <v/>
      </c>
      <c r="K795" s="14" t="n"/>
      <c r="L795" s="14" t="n"/>
      <c r="M795" s="15">
        <f>IF($C795="","",IF($L795="","",IF($K795=1,IF(COUNTIFS(nrES_PID,$D795,nrES_Code,$F795,nrES_Att,2)&gt;0,"",$L795),IF(COUNTIFS(nrES_PID,$D795,nrES_Code,$F795,nrES_Att,1)=0,$L795,IF($L795&gt;=$J795,cfgRetakeRecordedCap,SUMIFS(nrES_Raw,nrES_PID,$D795,nrES_Code,$F795,nrES_Att,1))))))</f>
        <v/>
      </c>
      <c r="N795" s="15">
        <f>IF($C795="","",IF($L795="","",IF($L795&gt;=$J795,"Yes","No")))</f>
        <v/>
      </c>
      <c r="O795" s="15">
        <f>IF($C795="","",IF($M795="","",IF($M795&gt;=$J795,"Yes","No")))</f>
        <v/>
      </c>
      <c r="P795" s="15">
        <f>IF($C795="","",IF($K795="","",IF(COUNTIFS(nrES_PID,$D795,nrES_Code,$F795,nrES_Att,"&gt;"&amp;$K795)=0,"Yes","No")))</f>
        <v/>
      </c>
      <c r="Q795" s="15">
        <f>IF($C795="","",IF($L795="","",IF(AND($K795=1,$L795&lt;$J795,COUNTIFS(nrES_PID,$D795,nrES_Code,$F795,nrES_Att,2)=0),"Yes","No")))</f>
        <v/>
      </c>
      <c r="R795" s="15">
        <f>IF($C795="","",IF($L795="","",IF(AND($K795=2,$L795&lt;$J795,COUNTIFS(nrES_PID,$D795,nrES_Code,$F795,nrES_Att,1)&gt;0),"Yes","No")))</f>
        <v/>
      </c>
      <c r="S795" s="16" t="n"/>
      <c r="T795" s="17">
        <f>IF($Q795&lt;&gt;"Yes","",IF($S795="","(enter date)",_xlfn.LET(_xlpm.dn,IFERROR(_xlfn.XLOOKUP($S795,nrCDdate,nrCDnum),""),IF(_xlpm.dn="","(not a class day)",IFERROR(_xlfn.XLOOKUP(_xlpm.dn+cfgRetestClassDays,nrCDnum,nrCDdate),"")))))</f>
        <v/>
      </c>
      <c r="U795" s="15">
        <f>IF($Q795&lt;&gt;"Yes","",IF(COUNTIFS(nrES_PID,$D795,nrES_Code,$F795,nrES_Att,2)&gt;0,"Retested",IF(OR($T795="",NOT(ISNUMBER($T795))),"Pending",IF(TODAY()&gt;$T795,"OVERDUE","Due "&amp;TEXT($T795,"mm/dd")))))</f>
        <v/>
      </c>
      <c r="V795" s="14" t="n"/>
      <c r="W795" s="14" t="n"/>
    </row>
    <row r="796">
      <c r="B796" s="15">
        <f>IF($C796="","",$D796&amp;"-"&amp;$F796&amp;"-"&amp;$K796)</f>
        <v/>
      </c>
      <c r="C796" s="14" t="n"/>
      <c r="D796" s="15">
        <f>IF($C796="","",IFERROR(INDEX(rngCadetPIDs,MATCH($C796,rngCadetNames,0)),"?"))</f>
        <v/>
      </c>
      <c r="E796" s="15">
        <f>IF($D796="","",IFERROR(INDEX(nrCadetAgency,MATCH($D796,rngCadetPIDs,0)),""))</f>
        <v/>
      </c>
      <c r="F796" s="14" t="n"/>
      <c r="G796" s="15">
        <f>IF($F796="","",IFERROR(INDEX(rngEPname,MATCH($F796,rngEPcode,0)),"?"))</f>
        <v/>
      </c>
      <c r="H796" s="15">
        <f>IF($F796="","",IFERROR(INDEX(rngEPtype,MATCH($F796,rngEPcode,0)),"?"))</f>
        <v/>
      </c>
      <c r="I796" s="15">
        <f>IF($F796="","",IFERROR(INDEX(rngEPseq,MATCH($F796,rngEPcode,0)),""))</f>
        <v/>
      </c>
      <c r="J796" s="15">
        <f>IF($F796="","",IFERROR(INDEX(rngEPpass,MATCH($F796,rngEPcode,0)),cfgPassingScore))</f>
        <v/>
      </c>
      <c r="K796" s="14" t="n"/>
      <c r="L796" s="14" t="n"/>
      <c r="M796" s="15">
        <f>IF($C796="","",IF($L796="","",IF($K796=1,IF(COUNTIFS(nrES_PID,$D796,nrES_Code,$F796,nrES_Att,2)&gt;0,"",$L796),IF(COUNTIFS(nrES_PID,$D796,nrES_Code,$F796,nrES_Att,1)=0,$L796,IF($L796&gt;=$J796,cfgRetakeRecordedCap,SUMIFS(nrES_Raw,nrES_PID,$D796,nrES_Code,$F796,nrES_Att,1))))))</f>
        <v/>
      </c>
      <c r="N796" s="15">
        <f>IF($C796="","",IF($L796="","",IF($L796&gt;=$J796,"Yes","No")))</f>
        <v/>
      </c>
      <c r="O796" s="15">
        <f>IF($C796="","",IF($M796="","",IF($M796&gt;=$J796,"Yes","No")))</f>
        <v/>
      </c>
      <c r="P796" s="15">
        <f>IF($C796="","",IF($K796="","",IF(COUNTIFS(nrES_PID,$D796,nrES_Code,$F796,nrES_Att,"&gt;"&amp;$K796)=0,"Yes","No")))</f>
        <v/>
      </c>
      <c r="Q796" s="15">
        <f>IF($C796="","",IF($L796="","",IF(AND($K796=1,$L796&lt;$J796,COUNTIFS(nrES_PID,$D796,nrES_Code,$F796,nrES_Att,2)=0),"Yes","No")))</f>
        <v/>
      </c>
      <c r="R796" s="15">
        <f>IF($C796="","",IF($L796="","",IF(AND($K796=2,$L796&lt;$J796,COUNTIFS(nrES_PID,$D796,nrES_Code,$F796,nrES_Att,1)&gt;0),"Yes","No")))</f>
        <v/>
      </c>
      <c r="S796" s="16" t="n"/>
      <c r="T796" s="17">
        <f>IF($Q796&lt;&gt;"Yes","",IF($S796="","(enter date)",_xlfn.LET(_xlpm.dn,IFERROR(_xlfn.XLOOKUP($S796,nrCDdate,nrCDnum),""),IF(_xlpm.dn="","(not a class day)",IFERROR(_xlfn.XLOOKUP(_xlpm.dn+cfgRetestClassDays,nrCDnum,nrCDdate),"")))))</f>
        <v/>
      </c>
      <c r="U796" s="15">
        <f>IF($Q796&lt;&gt;"Yes","",IF(COUNTIFS(nrES_PID,$D796,nrES_Code,$F796,nrES_Att,2)&gt;0,"Retested",IF(OR($T796="",NOT(ISNUMBER($T796))),"Pending",IF(TODAY()&gt;$T796,"OVERDUE","Due "&amp;TEXT($T796,"mm/dd")))))</f>
        <v/>
      </c>
      <c r="V796" s="14" t="n"/>
      <c r="W796" s="14" t="n"/>
    </row>
    <row r="797">
      <c r="B797" s="15">
        <f>IF($C797="","",$D797&amp;"-"&amp;$F797&amp;"-"&amp;$K797)</f>
        <v/>
      </c>
      <c r="C797" s="14" t="n"/>
      <c r="D797" s="15">
        <f>IF($C797="","",IFERROR(INDEX(rngCadetPIDs,MATCH($C797,rngCadetNames,0)),"?"))</f>
        <v/>
      </c>
      <c r="E797" s="15">
        <f>IF($D797="","",IFERROR(INDEX(nrCadetAgency,MATCH($D797,rngCadetPIDs,0)),""))</f>
        <v/>
      </c>
      <c r="F797" s="14" t="n"/>
      <c r="G797" s="15">
        <f>IF($F797="","",IFERROR(INDEX(rngEPname,MATCH($F797,rngEPcode,0)),"?"))</f>
        <v/>
      </c>
      <c r="H797" s="15">
        <f>IF($F797="","",IFERROR(INDEX(rngEPtype,MATCH($F797,rngEPcode,0)),"?"))</f>
        <v/>
      </c>
      <c r="I797" s="15">
        <f>IF($F797="","",IFERROR(INDEX(rngEPseq,MATCH($F797,rngEPcode,0)),""))</f>
        <v/>
      </c>
      <c r="J797" s="15">
        <f>IF($F797="","",IFERROR(INDEX(rngEPpass,MATCH($F797,rngEPcode,0)),cfgPassingScore))</f>
        <v/>
      </c>
      <c r="K797" s="14" t="n"/>
      <c r="L797" s="14" t="n"/>
      <c r="M797" s="15">
        <f>IF($C797="","",IF($L797="","",IF($K797=1,IF(COUNTIFS(nrES_PID,$D797,nrES_Code,$F797,nrES_Att,2)&gt;0,"",$L797),IF(COUNTIFS(nrES_PID,$D797,nrES_Code,$F797,nrES_Att,1)=0,$L797,IF($L797&gt;=$J797,cfgRetakeRecordedCap,SUMIFS(nrES_Raw,nrES_PID,$D797,nrES_Code,$F797,nrES_Att,1))))))</f>
        <v/>
      </c>
      <c r="N797" s="15">
        <f>IF($C797="","",IF($L797="","",IF($L797&gt;=$J797,"Yes","No")))</f>
        <v/>
      </c>
      <c r="O797" s="15">
        <f>IF($C797="","",IF($M797="","",IF($M797&gt;=$J797,"Yes","No")))</f>
        <v/>
      </c>
      <c r="P797" s="15">
        <f>IF($C797="","",IF($K797="","",IF(COUNTIFS(nrES_PID,$D797,nrES_Code,$F797,nrES_Att,"&gt;"&amp;$K797)=0,"Yes","No")))</f>
        <v/>
      </c>
      <c r="Q797" s="15">
        <f>IF($C797="","",IF($L797="","",IF(AND($K797=1,$L797&lt;$J797,COUNTIFS(nrES_PID,$D797,nrES_Code,$F797,nrES_Att,2)=0),"Yes","No")))</f>
        <v/>
      </c>
      <c r="R797" s="15">
        <f>IF($C797="","",IF($L797="","",IF(AND($K797=2,$L797&lt;$J797,COUNTIFS(nrES_PID,$D797,nrES_Code,$F797,nrES_Att,1)&gt;0),"Yes","No")))</f>
        <v/>
      </c>
      <c r="S797" s="16" t="n"/>
      <c r="T797" s="17">
        <f>IF($Q797&lt;&gt;"Yes","",IF($S797="","(enter date)",_xlfn.LET(_xlpm.dn,IFERROR(_xlfn.XLOOKUP($S797,nrCDdate,nrCDnum),""),IF(_xlpm.dn="","(not a class day)",IFERROR(_xlfn.XLOOKUP(_xlpm.dn+cfgRetestClassDays,nrCDnum,nrCDdate),"")))))</f>
        <v/>
      </c>
      <c r="U797" s="15">
        <f>IF($Q797&lt;&gt;"Yes","",IF(COUNTIFS(nrES_PID,$D797,nrES_Code,$F797,nrES_Att,2)&gt;0,"Retested",IF(OR($T797="",NOT(ISNUMBER($T797))),"Pending",IF(TODAY()&gt;$T797,"OVERDUE","Due "&amp;TEXT($T797,"mm/dd")))))</f>
        <v/>
      </c>
      <c r="V797" s="14" t="n"/>
      <c r="W797" s="14" t="n"/>
    </row>
    <row r="798">
      <c r="B798" s="15">
        <f>IF($C798="","",$D798&amp;"-"&amp;$F798&amp;"-"&amp;$K798)</f>
        <v/>
      </c>
      <c r="C798" s="14" t="n"/>
      <c r="D798" s="15">
        <f>IF($C798="","",IFERROR(INDEX(rngCadetPIDs,MATCH($C798,rngCadetNames,0)),"?"))</f>
        <v/>
      </c>
      <c r="E798" s="15">
        <f>IF($D798="","",IFERROR(INDEX(nrCadetAgency,MATCH($D798,rngCadetPIDs,0)),""))</f>
        <v/>
      </c>
      <c r="F798" s="14" t="n"/>
      <c r="G798" s="15">
        <f>IF($F798="","",IFERROR(INDEX(rngEPname,MATCH($F798,rngEPcode,0)),"?"))</f>
        <v/>
      </c>
      <c r="H798" s="15">
        <f>IF($F798="","",IFERROR(INDEX(rngEPtype,MATCH($F798,rngEPcode,0)),"?"))</f>
        <v/>
      </c>
      <c r="I798" s="15">
        <f>IF($F798="","",IFERROR(INDEX(rngEPseq,MATCH($F798,rngEPcode,0)),""))</f>
        <v/>
      </c>
      <c r="J798" s="15">
        <f>IF($F798="","",IFERROR(INDEX(rngEPpass,MATCH($F798,rngEPcode,0)),cfgPassingScore))</f>
        <v/>
      </c>
      <c r="K798" s="14" t="n"/>
      <c r="L798" s="14" t="n"/>
      <c r="M798" s="15">
        <f>IF($C798="","",IF($L798="","",IF($K798=1,IF(COUNTIFS(nrES_PID,$D798,nrES_Code,$F798,nrES_Att,2)&gt;0,"",$L798),IF(COUNTIFS(nrES_PID,$D798,nrES_Code,$F798,nrES_Att,1)=0,$L798,IF($L798&gt;=$J798,cfgRetakeRecordedCap,SUMIFS(nrES_Raw,nrES_PID,$D798,nrES_Code,$F798,nrES_Att,1))))))</f>
        <v/>
      </c>
      <c r="N798" s="15">
        <f>IF($C798="","",IF($L798="","",IF($L798&gt;=$J798,"Yes","No")))</f>
        <v/>
      </c>
      <c r="O798" s="15">
        <f>IF($C798="","",IF($M798="","",IF($M798&gt;=$J798,"Yes","No")))</f>
        <v/>
      </c>
      <c r="P798" s="15">
        <f>IF($C798="","",IF($K798="","",IF(COUNTIFS(nrES_PID,$D798,nrES_Code,$F798,nrES_Att,"&gt;"&amp;$K798)=0,"Yes","No")))</f>
        <v/>
      </c>
      <c r="Q798" s="15">
        <f>IF($C798="","",IF($L798="","",IF(AND($K798=1,$L798&lt;$J798,COUNTIFS(nrES_PID,$D798,nrES_Code,$F798,nrES_Att,2)=0),"Yes","No")))</f>
        <v/>
      </c>
      <c r="R798" s="15">
        <f>IF($C798="","",IF($L798="","",IF(AND($K798=2,$L798&lt;$J798,COUNTIFS(nrES_PID,$D798,nrES_Code,$F798,nrES_Att,1)&gt;0),"Yes","No")))</f>
        <v/>
      </c>
      <c r="S798" s="16" t="n"/>
      <c r="T798" s="17">
        <f>IF($Q798&lt;&gt;"Yes","",IF($S798="","(enter date)",_xlfn.LET(_xlpm.dn,IFERROR(_xlfn.XLOOKUP($S798,nrCDdate,nrCDnum),""),IF(_xlpm.dn="","(not a class day)",IFERROR(_xlfn.XLOOKUP(_xlpm.dn+cfgRetestClassDays,nrCDnum,nrCDdate),"")))))</f>
        <v/>
      </c>
      <c r="U798" s="15">
        <f>IF($Q798&lt;&gt;"Yes","",IF(COUNTIFS(nrES_PID,$D798,nrES_Code,$F798,nrES_Att,2)&gt;0,"Retested",IF(OR($T798="",NOT(ISNUMBER($T798))),"Pending",IF(TODAY()&gt;$T798,"OVERDUE","Due "&amp;TEXT($T798,"mm/dd")))))</f>
        <v/>
      </c>
      <c r="V798" s="14" t="n"/>
      <c r="W798" s="14" t="n"/>
    </row>
    <row r="799">
      <c r="B799" s="15">
        <f>IF($C799="","",$D799&amp;"-"&amp;$F799&amp;"-"&amp;$K799)</f>
        <v/>
      </c>
      <c r="C799" s="14" t="n"/>
      <c r="D799" s="15">
        <f>IF($C799="","",IFERROR(INDEX(rngCadetPIDs,MATCH($C799,rngCadetNames,0)),"?"))</f>
        <v/>
      </c>
      <c r="E799" s="15">
        <f>IF($D799="","",IFERROR(INDEX(nrCadetAgency,MATCH($D799,rngCadetPIDs,0)),""))</f>
        <v/>
      </c>
      <c r="F799" s="14" t="n"/>
      <c r="G799" s="15">
        <f>IF($F799="","",IFERROR(INDEX(rngEPname,MATCH($F799,rngEPcode,0)),"?"))</f>
        <v/>
      </c>
      <c r="H799" s="15">
        <f>IF($F799="","",IFERROR(INDEX(rngEPtype,MATCH($F799,rngEPcode,0)),"?"))</f>
        <v/>
      </c>
      <c r="I799" s="15">
        <f>IF($F799="","",IFERROR(INDEX(rngEPseq,MATCH($F799,rngEPcode,0)),""))</f>
        <v/>
      </c>
      <c r="J799" s="15">
        <f>IF($F799="","",IFERROR(INDEX(rngEPpass,MATCH($F799,rngEPcode,0)),cfgPassingScore))</f>
        <v/>
      </c>
      <c r="K799" s="14" t="n"/>
      <c r="L799" s="14" t="n"/>
      <c r="M799" s="15">
        <f>IF($C799="","",IF($L799="","",IF($K799=1,IF(COUNTIFS(nrES_PID,$D799,nrES_Code,$F799,nrES_Att,2)&gt;0,"",$L799),IF(COUNTIFS(nrES_PID,$D799,nrES_Code,$F799,nrES_Att,1)=0,$L799,IF($L799&gt;=$J799,cfgRetakeRecordedCap,SUMIFS(nrES_Raw,nrES_PID,$D799,nrES_Code,$F799,nrES_Att,1))))))</f>
        <v/>
      </c>
      <c r="N799" s="15">
        <f>IF($C799="","",IF($L799="","",IF($L799&gt;=$J799,"Yes","No")))</f>
        <v/>
      </c>
      <c r="O799" s="15">
        <f>IF($C799="","",IF($M799="","",IF($M799&gt;=$J799,"Yes","No")))</f>
        <v/>
      </c>
      <c r="P799" s="15">
        <f>IF($C799="","",IF($K799="","",IF(COUNTIFS(nrES_PID,$D799,nrES_Code,$F799,nrES_Att,"&gt;"&amp;$K799)=0,"Yes","No")))</f>
        <v/>
      </c>
      <c r="Q799" s="15">
        <f>IF($C799="","",IF($L799="","",IF(AND($K799=1,$L799&lt;$J799,COUNTIFS(nrES_PID,$D799,nrES_Code,$F799,nrES_Att,2)=0),"Yes","No")))</f>
        <v/>
      </c>
      <c r="R799" s="15">
        <f>IF($C799="","",IF($L799="","",IF(AND($K799=2,$L799&lt;$J799,COUNTIFS(nrES_PID,$D799,nrES_Code,$F799,nrES_Att,1)&gt;0),"Yes","No")))</f>
        <v/>
      </c>
      <c r="S799" s="16" t="n"/>
      <c r="T799" s="17">
        <f>IF($Q799&lt;&gt;"Yes","",IF($S799="","(enter date)",_xlfn.LET(_xlpm.dn,IFERROR(_xlfn.XLOOKUP($S799,nrCDdate,nrCDnum),""),IF(_xlpm.dn="","(not a class day)",IFERROR(_xlfn.XLOOKUP(_xlpm.dn+cfgRetestClassDays,nrCDnum,nrCDdate),"")))))</f>
        <v/>
      </c>
      <c r="U799" s="15">
        <f>IF($Q799&lt;&gt;"Yes","",IF(COUNTIFS(nrES_PID,$D799,nrES_Code,$F799,nrES_Att,2)&gt;0,"Retested",IF(OR($T799="",NOT(ISNUMBER($T799))),"Pending",IF(TODAY()&gt;$T799,"OVERDUE","Due "&amp;TEXT($T799,"mm/dd")))))</f>
        <v/>
      </c>
      <c r="V799" s="14" t="n"/>
      <c r="W799" s="14" t="n"/>
    </row>
    <row r="800">
      <c r="B800" s="15">
        <f>IF($C800="","",$D800&amp;"-"&amp;$F800&amp;"-"&amp;$K800)</f>
        <v/>
      </c>
      <c r="C800" s="14" t="n"/>
      <c r="D800" s="15">
        <f>IF($C800="","",IFERROR(INDEX(rngCadetPIDs,MATCH($C800,rngCadetNames,0)),"?"))</f>
        <v/>
      </c>
      <c r="E800" s="15">
        <f>IF($D800="","",IFERROR(INDEX(nrCadetAgency,MATCH($D800,rngCadetPIDs,0)),""))</f>
        <v/>
      </c>
      <c r="F800" s="14" t="n"/>
      <c r="G800" s="15">
        <f>IF($F800="","",IFERROR(INDEX(rngEPname,MATCH($F800,rngEPcode,0)),"?"))</f>
        <v/>
      </c>
      <c r="H800" s="15">
        <f>IF($F800="","",IFERROR(INDEX(rngEPtype,MATCH($F800,rngEPcode,0)),"?"))</f>
        <v/>
      </c>
      <c r="I800" s="15">
        <f>IF($F800="","",IFERROR(INDEX(rngEPseq,MATCH($F800,rngEPcode,0)),""))</f>
        <v/>
      </c>
      <c r="J800" s="15">
        <f>IF($F800="","",IFERROR(INDEX(rngEPpass,MATCH($F800,rngEPcode,0)),cfgPassingScore))</f>
        <v/>
      </c>
      <c r="K800" s="14" t="n"/>
      <c r="L800" s="14" t="n"/>
      <c r="M800" s="15">
        <f>IF($C800="","",IF($L800="","",IF($K800=1,IF(COUNTIFS(nrES_PID,$D800,nrES_Code,$F800,nrES_Att,2)&gt;0,"",$L800),IF(COUNTIFS(nrES_PID,$D800,nrES_Code,$F800,nrES_Att,1)=0,$L800,IF($L800&gt;=$J800,cfgRetakeRecordedCap,SUMIFS(nrES_Raw,nrES_PID,$D800,nrES_Code,$F800,nrES_Att,1))))))</f>
        <v/>
      </c>
      <c r="N800" s="15">
        <f>IF($C800="","",IF($L800="","",IF($L800&gt;=$J800,"Yes","No")))</f>
        <v/>
      </c>
      <c r="O800" s="15">
        <f>IF($C800="","",IF($M800="","",IF($M800&gt;=$J800,"Yes","No")))</f>
        <v/>
      </c>
      <c r="P800" s="15">
        <f>IF($C800="","",IF($K800="","",IF(COUNTIFS(nrES_PID,$D800,nrES_Code,$F800,nrES_Att,"&gt;"&amp;$K800)=0,"Yes","No")))</f>
        <v/>
      </c>
      <c r="Q800" s="15">
        <f>IF($C800="","",IF($L800="","",IF(AND($K800=1,$L800&lt;$J800,COUNTIFS(nrES_PID,$D800,nrES_Code,$F800,nrES_Att,2)=0),"Yes","No")))</f>
        <v/>
      </c>
      <c r="R800" s="15">
        <f>IF($C800="","",IF($L800="","",IF(AND($K800=2,$L800&lt;$J800,COUNTIFS(nrES_PID,$D800,nrES_Code,$F800,nrES_Att,1)&gt;0),"Yes","No")))</f>
        <v/>
      </c>
      <c r="S800" s="16" t="n"/>
      <c r="T800" s="17">
        <f>IF($Q800&lt;&gt;"Yes","",IF($S800="","(enter date)",_xlfn.LET(_xlpm.dn,IFERROR(_xlfn.XLOOKUP($S800,nrCDdate,nrCDnum),""),IF(_xlpm.dn="","(not a class day)",IFERROR(_xlfn.XLOOKUP(_xlpm.dn+cfgRetestClassDays,nrCDnum,nrCDdate),"")))))</f>
        <v/>
      </c>
      <c r="U800" s="15">
        <f>IF($Q800&lt;&gt;"Yes","",IF(COUNTIFS(nrES_PID,$D800,nrES_Code,$F800,nrES_Att,2)&gt;0,"Retested",IF(OR($T800="",NOT(ISNUMBER($T800))),"Pending",IF(TODAY()&gt;$T800,"OVERDUE","Due "&amp;TEXT($T800,"mm/dd")))))</f>
        <v/>
      </c>
      <c r="V800" s="14" t="n"/>
      <c r="W800" s="14" t="n"/>
    </row>
    <row r="801">
      <c r="B801" s="15">
        <f>IF($C801="","",$D801&amp;"-"&amp;$F801&amp;"-"&amp;$K801)</f>
        <v/>
      </c>
      <c r="C801" s="14" t="n"/>
      <c r="D801" s="15">
        <f>IF($C801="","",IFERROR(INDEX(rngCadetPIDs,MATCH($C801,rngCadetNames,0)),"?"))</f>
        <v/>
      </c>
      <c r="E801" s="15">
        <f>IF($D801="","",IFERROR(INDEX(nrCadetAgency,MATCH($D801,rngCadetPIDs,0)),""))</f>
        <v/>
      </c>
      <c r="F801" s="14" t="n"/>
      <c r="G801" s="15">
        <f>IF($F801="","",IFERROR(INDEX(rngEPname,MATCH($F801,rngEPcode,0)),"?"))</f>
        <v/>
      </c>
      <c r="H801" s="15">
        <f>IF($F801="","",IFERROR(INDEX(rngEPtype,MATCH($F801,rngEPcode,0)),"?"))</f>
        <v/>
      </c>
      <c r="I801" s="15">
        <f>IF($F801="","",IFERROR(INDEX(rngEPseq,MATCH($F801,rngEPcode,0)),""))</f>
        <v/>
      </c>
      <c r="J801" s="15">
        <f>IF($F801="","",IFERROR(INDEX(rngEPpass,MATCH($F801,rngEPcode,0)),cfgPassingScore))</f>
        <v/>
      </c>
      <c r="K801" s="14" t="n"/>
      <c r="L801" s="14" t="n"/>
      <c r="M801" s="15">
        <f>IF($C801="","",IF($L801="","",IF($K801=1,IF(COUNTIFS(nrES_PID,$D801,nrES_Code,$F801,nrES_Att,2)&gt;0,"",$L801),IF(COUNTIFS(nrES_PID,$D801,nrES_Code,$F801,nrES_Att,1)=0,$L801,IF($L801&gt;=$J801,cfgRetakeRecordedCap,SUMIFS(nrES_Raw,nrES_PID,$D801,nrES_Code,$F801,nrES_Att,1))))))</f>
        <v/>
      </c>
      <c r="N801" s="15">
        <f>IF($C801="","",IF($L801="","",IF($L801&gt;=$J801,"Yes","No")))</f>
        <v/>
      </c>
      <c r="O801" s="15">
        <f>IF($C801="","",IF($M801="","",IF($M801&gt;=$J801,"Yes","No")))</f>
        <v/>
      </c>
      <c r="P801" s="15">
        <f>IF($C801="","",IF($K801="","",IF(COUNTIFS(nrES_PID,$D801,nrES_Code,$F801,nrES_Att,"&gt;"&amp;$K801)=0,"Yes","No")))</f>
        <v/>
      </c>
      <c r="Q801" s="15">
        <f>IF($C801="","",IF($L801="","",IF(AND($K801=1,$L801&lt;$J801,COUNTIFS(nrES_PID,$D801,nrES_Code,$F801,nrES_Att,2)=0),"Yes","No")))</f>
        <v/>
      </c>
      <c r="R801" s="15">
        <f>IF($C801="","",IF($L801="","",IF(AND($K801=2,$L801&lt;$J801,COUNTIFS(nrES_PID,$D801,nrES_Code,$F801,nrES_Att,1)&gt;0),"Yes","No")))</f>
        <v/>
      </c>
      <c r="S801" s="16" t="n"/>
      <c r="T801" s="17">
        <f>IF($Q801&lt;&gt;"Yes","",IF($S801="","(enter date)",_xlfn.LET(_xlpm.dn,IFERROR(_xlfn.XLOOKUP($S801,nrCDdate,nrCDnum),""),IF(_xlpm.dn="","(not a class day)",IFERROR(_xlfn.XLOOKUP(_xlpm.dn+cfgRetestClassDays,nrCDnum,nrCDdate),"")))))</f>
        <v/>
      </c>
      <c r="U801" s="15">
        <f>IF($Q801&lt;&gt;"Yes","",IF(COUNTIFS(nrES_PID,$D801,nrES_Code,$F801,nrES_Att,2)&gt;0,"Retested",IF(OR($T801="",NOT(ISNUMBER($T801))),"Pending",IF(TODAY()&gt;$T801,"OVERDUE","Due "&amp;TEXT($T801,"mm/dd")))))</f>
        <v/>
      </c>
      <c r="V801" s="14" t="n"/>
      <c r="W801" s="14" t="n"/>
    </row>
    <row r="802">
      <c r="B802" s="15">
        <f>IF($C802="","",$D802&amp;"-"&amp;$F802&amp;"-"&amp;$K802)</f>
        <v/>
      </c>
      <c r="C802" s="14" t="n"/>
      <c r="D802" s="15">
        <f>IF($C802="","",IFERROR(INDEX(rngCadetPIDs,MATCH($C802,rngCadetNames,0)),"?"))</f>
        <v/>
      </c>
      <c r="E802" s="15">
        <f>IF($D802="","",IFERROR(INDEX(nrCadetAgency,MATCH($D802,rngCadetPIDs,0)),""))</f>
        <v/>
      </c>
      <c r="F802" s="14" t="n"/>
      <c r="G802" s="15">
        <f>IF($F802="","",IFERROR(INDEX(rngEPname,MATCH($F802,rngEPcode,0)),"?"))</f>
        <v/>
      </c>
      <c r="H802" s="15">
        <f>IF($F802="","",IFERROR(INDEX(rngEPtype,MATCH($F802,rngEPcode,0)),"?"))</f>
        <v/>
      </c>
      <c r="I802" s="15">
        <f>IF($F802="","",IFERROR(INDEX(rngEPseq,MATCH($F802,rngEPcode,0)),""))</f>
        <v/>
      </c>
      <c r="J802" s="15">
        <f>IF($F802="","",IFERROR(INDEX(rngEPpass,MATCH($F802,rngEPcode,0)),cfgPassingScore))</f>
        <v/>
      </c>
      <c r="K802" s="14" t="n"/>
      <c r="L802" s="14" t="n"/>
      <c r="M802" s="15">
        <f>IF($C802="","",IF($L802="","",IF($K802=1,IF(COUNTIFS(nrES_PID,$D802,nrES_Code,$F802,nrES_Att,2)&gt;0,"",$L802),IF(COUNTIFS(nrES_PID,$D802,nrES_Code,$F802,nrES_Att,1)=0,$L802,IF($L802&gt;=$J802,cfgRetakeRecordedCap,SUMIFS(nrES_Raw,nrES_PID,$D802,nrES_Code,$F802,nrES_Att,1))))))</f>
        <v/>
      </c>
      <c r="N802" s="15">
        <f>IF($C802="","",IF($L802="","",IF($L802&gt;=$J802,"Yes","No")))</f>
        <v/>
      </c>
      <c r="O802" s="15">
        <f>IF($C802="","",IF($M802="","",IF($M802&gt;=$J802,"Yes","No")))</f>
        <v/>
      </c>
      <c r="P802" s="15">
        <f>IF($C802="","",IF($K802="","",IF(COUNTIFS(nrES_PID,$D802,nrES_Code,$F802,nrES_Att,"&gt;"&amp;$K802)=0,"Yes","No")))</f>
        <v/>
      </c>
      <c r="Q802" s="15">
        <f>IF($C802="","",IF($L802="","",IF(AND($K802=1,$L802&lt;$J802,COUNTIFS(nrES_PID,$D802,nrES_Code,$F802,nrES_Att,2)=0),"Yes","No")))</f>
        <v/>
      </c>
      <c r="R802" s="15">
        <f>IF($C802="","",IF($L802="","",IF(AND($K802=2,$L802&lt;$J802,COUNTIFS(nrES_PID,$D802,nrES_Code,$F802,nrES_Att,1)&gt;0),"Yes","No")))</f>
        <v/>
      </c>
      <c r="S802" s="16" t="n"/>
      <c r="T802" s="17">
        <f>IF($Q802&lt;&gt;"Yes","",IF($S802="","(enter date)",_xlfn.LET(_xlpm.dn,IFERROR(_xlfn.XLOOKUP($S802,nrCDdate,nrCDnum),""),IF(_xlpm.dn="","(not a class day)",IFERROR(_xlfn.XLOOKUP(_xlpm.dn+cfgRetestClassDays,nrCDnum,nrCDdate),"")))))</f>
        <v/>
      </c>
      <c r="U802" s="15">
        <f>IF($Q802&lt;&gt;"Yes","",IF(COUNTIFS(nrES_PID,$D802,nrES_Code,$F802,nrES_Att,2)&gt;0,"Retested",IF(OR($T802="",NOT(ISNUMBER($T802))),"Pending",IF(TODAY()&gt;$T802,"OVERDUE","Due "&amp;TEXT($T802,"mm/dd")))))</f>
        <v/>
      </c>
      <c r="V802" s="14" t="n"/>
      <c r="W802" s="14" t="n"/>
    </row>
    <row r="803">
      <c r="B803" s="15">
        <f>IF($C803="","",$D803&amp;"-"&amp;$F803&amp;"-"&amp;$K803)</f>
        <v/>
      </c>
      <c r="C803" s="14" t="n"/>
      <c r="D803" s="15">
        <f>IF($C803="","",IFERROR(INDEX(rngCadetPIDs,MATCH($C803,rngCadetNames,0)),"?"))</f>
        <v/>
      </c>
      <c r="E803" s="15">
        <f>IF($D803="","",IFERROR(INDEX(nrCadetAgency,MATCH($D803,rngCadetPIDs,0)),""))</f>
        <v/>
      </c>
      <c r="F803" s="14" t="n"/>
      <c r="G803" s="15">
        <f>IF($F803="","",IFERROR(INDEX(rngEPname,MATCH($F803,rngEPcode,0)),"?"))</f>
        <v/>
      </c>
      <c r="H803" s="15">
        <f>IF($F803="","",IFERROR(INDEX(rngEPtype,MATCH($F803,rngEPcode,0)),"?"))</f>
        <v/>
      </c>
      <c r="I803" s="15">
        <f>IF($F803="","",IFERROR(INDEX(rngEPseq,MATCH($F803,rngEPcode,0)),""))</f>
        <v/>
      </c>
      <c r="J803" s="15">
        <f>IF($F803="","",IFERROR(INDEX(rngEPpass,MATCH($F803,rngEPcode,0)),cfgPassingScore))</f>
        <v/>
      </c>
      <c r="K803" s="14" t="n"/>
      <c r="L803" s="14" t="n"/>
      <c r="M803" s="15">
        <f>IF($C803="","",IF($L803="","",IF($K803=1,IF(COUNTIFS(nrES_PID,$D803,nrES_Code,$F803,nrES_Att,2)&gt;0,"",$L803),IF(COUNTIFS(nrES_PID,$D803,nrES_Code,$F803,nrES_Att,1)=0,$L803,IF($L803&gt;=$J803,cfgRetakeRecordedCap,SUMIFS(nrES_Raw,nrES_PID,$D803,nrES_Code,$F803,nrES_Att,1))))))</f>
        <v/>
      </c>
      <c r="N803" s="15">
        <f>IF($C803="","",IF($L803="","",IF($L803&gt;=$J803,"Yes","No")))</f>
        <v/>
      </c>
      <c r="O803" s="15">
        <f>IF($C803="","",IF($M803="","",IF($M803&gt;=$J803,"Yes","No")))</f>
        <v/>
      </c>
      <c r="P803" s="15">
        <f>IF($C803="","",IF($K803="","",IF(COUNTIFS(nrES_PID,$D803,nrES_Code,$F803,nrES_Att,"&gt;"&amp;$K803)=0,"Yes","No")))</f>
        <v/>
      </c>
      <c r="Q803" s="15">
        <f>IF($C803="","",IF($L803="","",IF(AND($K803=1,$L803&lt;$J803,COUNTIFS(nrES_PID,$D803,nrES_Code,$F803,nrES_Att,2)=0),"Yes","No")))</f>
        <v/>
      </c>
      <c r="R803" s="15">
        <f>IF($C803="","",IF($L803="","",IF(AND($K803=2,$L803&lt;$J803,COUNTIFS(nrES_PID,$D803,nrES_Code,$F803,nrES_Att,1)&gt;0),"Yes","No")))</f>
        <v/>
      </c>
      <c r="S803" s="16" t="n"/>
      <c r="T803" s="17">
        <f>IF($Q803&lt;&gt;"Yes","",IF($S803="","(enter date)",_xlfn.LET(_xlpm.dn,IFERROR(_xlfn.XLOOKUP($S803,nrCDdate,nrCDnum),""),IF(_xlpm.dn="","(not a class day)",IFERROR(_xlfn.XLOOKUP(_xlpm.dn+cfgRetestClassDays,nrCDnum,nrCDdate),"")))))</f>
        <v/>
      </c>
      <c r="U803" s="15">
        <f>IF($Q803&lt;&gt;"Yes","",IF(COUNTIFS(nrES_PID,$D803,nrES_Code,$F803,nrES_Att,2)&gt;0,"Retested",IF(OR($T803="",NOT(ISNUMBER($T803))),"Pending",IF(TODAY()&gt;$T803,"OVERDUE","Due "&amp;TEXT($T803,"mm/dd")))))</f>
        <v/>
      </c>
      <c r="V803" s="14" t="n"/>
      <c r="W803" s="14" t="n"/>
    </row>
    <row r="804">
      <c r="B804" s="15">
        <f>IF($C804="","",$D804&amp;"-"&amp;$F804&amp;"-"&amp;$K804)</f>
        <v/>
      </c>
      <c r="C804" s="14" t="n"/>
      <c r="D804" s="15">
        <f>IF($C804="","",IFERROR(INDEX(rngCadetPIDs,MATCH($C804,rngCadetNames,0)),"?"))</f>
        <v/>
      </c>
      <c r="E804" s="15">
        <f>IF($D804="","",IFERROR(INDEX(nrCadetAgency,MATCH($D804,rngCadetPIDs,0)),""))</f>
        <v/>
      </c>
      <c r="F804" s="14" t="n"/>
      <c r="G804" s="15">
        <f>IF($F804="","",IFERROR(INDEX(rngEPname,MATCH($F804,rngEPcode,0)),"?"))</f>
        <v/>
      </c>
      <c r="H804" s="15">
        <f>IF($F804="","",IFERROR(INDEX(rngEPtype,MATCH($F804,rngEPcode,0)),"?"))</f>
        <v/>
      </c>
      <c r="I804" s="15">
        <f>IF($F804="","",IFERROR(INDEX(rngEPseq,MATCH($F804,rngEPcode,0)),""))</f>
        <v/>
      </c>
      <c r="J804" s="15">
        <f>IF($F804="","",IFERROR(INDEX(rngEPpass,MATCH($F804,rngEPcode,0)),cfgPassingScore))</f>
        <v/>
      </c>
      <c r="K804" s="14" t="n"/>
      <c r="L804" s="14" t="n"/>
      <c r="M804" s="15">
        <f>IF($C804="","",IF($L804="","",IF($K804=1,IF(COUNTIFS(nrES_PID,$D804,nrES_Code,$F804,nrES_Att,2)&gt;0,"",$L804),IF(COUNTIFS(nrES_PID,$D804,nrES_Code,$F804,nrES_Att,1)=0,$L804,IF($L804&gt;=$J804,cfgRetakeRecordedCap,SUMIFS(nrES_Raw,nrES_PID,$D804,nrES_Code,$F804,nrES_Att,1))))))</f>
        <v/>
      </c>
      <c r="N804" s="15">
        <f>IF($C804="","",IF($L804="","",IF($L804&gt;=$J804,"Yes","No")))</f>
        <v/>
      </c>
      <c r="O804" s="15">
        <f>IF($C804="","",IF($M804="","",IF($M804&gt;=$J804,"Yes","No")))</f>
        <v/>
      </c>
      <c r="P804" s="15">
        <f>IF($C804="","",IF($K804="","",IF(COUNTIFS(nrES_PID,$D804,nrES_Code,$F804,nrES_Att,"&gt;"&amp;$K804)=0,"Yes","No")))</f>
        <v/>
      </c>
      <c r="Q804" s="15">
        <f>IF($C804="","",IF($L804="","",IF(AND($K804=1,$L804&lt;$J804,COUNTIFS(nrES_PID,$D804,nrES_Code,$F804,nrES_Att,2)=0),"Yes","No")))</f>
        <v/>
      </c>
      <c r="R804" s="15">
        <f>IF($C804="","",IF($L804="","",IF(AND($K804=2,$L804&lt;$J804,COUNTIFS(nrES_PID,$D804,nrES_Code,$F804,nrES_Att,1)&gt;0),"Yes","No")))</f>
        <v/>
      </c>
      <c r="S804" s="16" t="n"/>
      <c r="T804" s="17">
        <f>IF($Q804&lt;&gt;"Yes","",IF($S804="","(enter date)",_xlfn.LET(_xlpm.dn,IFERROR(_xlfn.XLOOKUP($S804,nrCDdate,nrCDnum),""),IF(_xlpm.dn="","(not a class day)",IFERROR(_xlfn.XLOOKUP(_xlpm.dn+cfgRetestClassDays,nrCDnum,nrCDdate),"")))))</f>
        <v/>
      </c>
      <c r="U804" s="15">
        <f>IF($Q804&lt;&gt;"Yes","",IF(COUNTIFS(nrES_PID,$D804,nrES_Code,$F804,nrES_Att,2)&gt;0,"Retested",IF(OR($T804="",NOT(ISNUMBER($T804))),"Pending",IF(TODAY()&gt;$T804,"OVERDUE","Due "&amp;TEXT($T804,"mm/dd")))))</f>
        <v/>
      </c>
      <c r="V804" s="14" t="n"/>
      <c r="W804" s="14" t="n"/>
    </row>
    <row r="805">
      <c r="B805" s="15">
        <f>IF($C805="","",$D805&amp;"-"&amp;$F805&amp;"-"&amp;$K805)</f>
        <v/>
      </c>
      <c r="C805" s="14" t="n"/>
      <c r="D805" s="15">
        <f>IF($C805="","",IFERROR(INDEX(rngCadetPIDs,MATCH($C805,rngCadetNames,0)),"?"))</f>
        <v/>
      </c>
      <c r="E805" s="15">
        <f>IF($D805="","",IFERROR(INDEX(nrCadetAgency,MATCH($D805,rngCadetPIDs,0)),""))</f>
        <v/>
      </c>
      <c r="F805" s="14" t="n"/>
      <c r="G805" s="15">
        <f>IF($F805="","",IFERROR(INDEX(rngEPname,MATCH($F805,rngEPcode,0)),"?"))</f>
        <v/>
      </c>
      <c r="H805" s="15">
        <f>IF($F805="","",IFERROR(INDEX(rngEPtype,MATCH($F805,rngEPcode,0)),"?"))</f>
        <v/>
      </c>
      <c r="I805" s="15">
        <f>IF($F805="","",IFERROR(INDEX(rngEPseq,MATCH($F805,rngEPcode,0)),""))</f>
        <v/>
      </c>
      <c r="J805" s="15">
        <f>IF($F805="","",IFERROR(INDEX(rngEPpass,MATCH($F805,rngEPcode,0)),cfgPassingScore))</f>
        <v/>
      </c>
      <c r="K805" s="14" t="n"/>
      <c r="L805" s="14" t="n"/>
      <c r="M805" s="15">
        <f>IF($C805="","",IF($L805="","",IF($K805=1,IF(COUNTIFS(nrES_PID,$D805,nrES_Code,$F805,nrES_Att,2)&gt;0,"",$L805),IF(COUNTIFS(nrES_PID,$D805,nrES_Code,$F805,nrES_Att,1)=0,$L805,IF($L805&gt;=$J805,cfgRetakeRecordedCap,SUMIFS(nrES_Raw,nrES_PID,$D805,nrES_Code,$F805,nrES_Att,1))))))</f>
        <v/>
      </c>
      <c r="N805" s="15">
        <f>IF($C805="","",IF($L805="","",IF($L805&gt;=$J805,"Yes","No")))</f>
        <v/>
      </c>
      <c r="O805" s="15">
        <f>IF($C805="","",IF($M805="","",IF($M805&gt;=$J805,"Yes","No")))</f>
        <v/>
      </c>
      <c r="P805" s="15">
        <f>IF($C805="","",IF($K805="","",IF(COUNTIFS(nrES_PID,$D805,nrES_Code,$F805,nrES_Att,"&gt;"&amp;$K805)=0,"Yes","No")))</f>
        <v/>
      </c>
      <c r="Q805" s="15">
        <f>IF($C805="","",IF($L805="","",IF(AND($K805=1,$L805&lt;$J805,COUNTIFS(nrES_PID,$D805,nrES_Code,$F805,nrES_Att,2)=0),"Yes","No")))</f>
        <v/>
      </c>
      <c r="R805" s="15">
        <f>IF($C805="","",IF($L805="","",IF(AND($K805=2,$L805&lt;$J805,COUNTIFS(nrES_PID,$D805,nrES_Code,$F805,nrES_Att,1)&gt;0),"Yes","No")))</f>
        <v/>
      </c>
      <c r="S805" s="16" t="n"/>
      <c r="T805" s="17">
        <f>IF($Q805&lt;&gt;"Yes","",IF($S805="","(enter date)",_xlfn.LET(_xlpm.dn,IFERROR(_xlfn.XLOOKUP($S805,nrCDdate,nrCDnum),""),IF(_xlpm.dn="","(not a class day)",IFERROR(_xlfn.XLOOKUP(_xlpm.dn+cfgRetestClassDays,nrCDnum,nrCDdate),"")))))</f>
        <v/>
      </c>
      <c r="U805" s="15">
        <f>IF($Q805&lt;&gt;"Yes","",IF(COUNTIFS(nrES_PID,$D805,nrES_Code,$F805,nrES_Att,2)&gt;0,"Retested",IF(OR($T805="",NOT(ISNUMBER($T805))),"Pending",IF(TODAY()&gt;$T805,"OVERDUE","Due "&amp;TEXT($T805,"mm/dd")))))</f>
        <v/>
      </c>
      <c r="V805" s="14" t="n"/>
      <c r="W805" s="14" t="n"/>
    </row>
    <row r="806">
      <c r="B806" s="15">
        <f>IF($C806="","",$D806&amp;"-"&amp;$F806&amp;"-"&amp;$K806)</f>
        <v/>
      </c>
      <c r="C806" s="14" t="n"/>
      <c r="D806" s="15">
        <f>IF($C806="","",IFERROR(INDEX(rngCadetPIDs,MATCH($C806,rngCadetNames,0)),"?"))</f>
        <v/>
      </c>
      <c r="E806" s="15">
        <f>IF($D806="","",IFERROR(INDEX(nrCadetAgency,MATCH($D806,rngCadetPIDs,0)),""))</f>
        <v/>
      </c>
      <c r="F806" s="14" t="n"/>
      <c r="G806" s="15">
        <f>IF($F806="","",IFERROR(INDEX(rngEPname,MATCH($F806,rngEPcode,0)),"?"))</f>
        <v/>
      </c>
      <c r="H806" s="15">
        <f>IF($F806="","",IFERROR(INDEX(rngEPtype,MATCH($F806,rngEPcode,0)),"?"))</f>
        <v/>
      </c>
      <c r="I806" s="15">
        <f>IF($F806="","",IFERROR(INDEX(rngEPseq,MATCH($F806,rngEPcode,0)),""))</f>
        <v/>
      </c>
      <c r="J806" s="15">
        <f>IF($F806="","",IFERROR(INDEX(rngEPpass,MATCH($F806,rngEPcode,0)),cfgPassingScore))</f>
        <v/>
      </c>
      <c r="K806" s="14" t="n"/>
      <c r="L806" s="14" t="n"/>
      <c r="M806" s="15">
        <f>IF($C806="","",IF($L806="","",IF($K806=1,IF(COUNTIFS(nrES_PID,$D806,nrES_Code,$F806,nrES_Att,2)&gt;0,"",$L806),IF(COUNTIFS(nrES_PID,$D806,nrES_Code,$F806,nrES_Att,1)=0,$L806,IF($L806&gt;=$J806,cfgRetakeRecordedCap,SUMIFS(nrES_Raw,nrES_PID,$D806,nrES_Code,$F806,nrES_Att,1))))))</f>
        <v/>
      </c>
      <c r="N806" s="15">
        <f>IF($C806="","",IF($L806="","",IF($L806&gt;=$J806,"Yes","No")))</f>
        <v/>
      </c>
      <c r="O806" s="15">
        <f>IF($C806="","",IF($M806="","",IF($M806&gt;=$J806,"Yes","No")))</f>
        <v/>
      </c>
      <c r="P806" s="15">
        <f>IF($C806="","",IF($K806="","",IF(COUNTIFS(nrES_PID,$D806,nrES_Code,$F806,nrES_Att,"&gt;"&amp;$K806)=0,"Yes","No")))</f>
        <v/>
      </c>
      <c r="Q806" s="15">
        <f>IF($C806="","",IF($L806="","",IF(AND($K806=1,$L806&lt;$J806,COUNTIFS(nrES_PID,$D806,nrES_Code,$F806,nrES_Att,2)=0),"Yes","No")))</f>
        <v/>
      </c>
      <c r="R806" s="15">
        <f>IF($C806="","",IF($L806="","",IF(AND($K806=2,$L806&lt;$J806,COUNTIFS(nrES_PID,$D806,nrES_Code,$F806,nrES_Att,1)&gt;0),"Yes","No")))</f>
        <v/>
      </c>
      <c r="S806" s="16" t="n"/>
      <c r="T806" s="17">
        <f>IF($Q806&lt;&gt;"Yes","",IF($S806="","(enter date)",_xlfn.LET(_xlpm.dn,IFERROR(_xlfn.XLOOKUP($S806,nrCDdate,nrCDnum),""),IF(_xlpm.dn="","(not a class day)",IFERROR(_xlfn.XLOOKUP(_xlpm.dn+cfgRetestClassDays,nrCDnum,nrCDdate),"")))))</f>
        <v/>
      </c>
      <c r="U806" s="15">
        <f>IF($Q806&lt;&gt;"Yes","",IF(COUNTIFS(nrES_PID,$D806,nrES_Code,$F806,nrES_Att,2)&gt;0,"Retested",IF(OR($T806="",NOT(ISNUMBER($T806))),"Pending",IF(TODAY()&gt;$T806,"OVERDUE","Due "&amp;TEXT($T806,"mm/dd")))))</f>
        <v/>
      </c>
      <c r="V806" s="14" t="n"/>
      <c r="W806" s="14" t="n"/>
    </row>
    <row r="807">
      <c r="B807" s="15">
        <f>IF($C807="","",$D807&amp;"-"&amp;$F807&amp;"-"&amp;$K807)</f>
        <v/>
      </c>
      <c r="C807" s="14" t="n"/>
      <c r="D807" s="15">
        <f>IF($C807="","",IFERROR(INDEX(rngCadetPIDs,MATCH($C807,rngCadetNames,0)),"?"))</f>
        <v/>
      </c>
      <c r="E807" s="15">
        <f>IF($D807="","",IFERROR(INDEX(nrCadetAgency,MATCH($D807,rngCadetPIDs,0)),""))</f>
        <v/>
      </c>
      <c r="F807" s="14" t="n"/>
      <c r="G807" s="15">
        <f>IF($F807="","",IFERROR(INDEX(rngEPname,MATCH($F807,rngEPcode,0)),"?"))</f>
        <v/>
      </c>
      <c r="H807" s="15">
        <f>IF($F807="","",IFERROR(INDEX(rngEPtype,MATCH($F807,rngEPcode,0)),"?"))</f>
        <v/>
      </c>
      <c r="I807" s="15">
        <f>IF($F807="","",IFERROR(INDEX(rngEPseq,MATCH($F807,rngEPcode,0)),""))</f>
        <v/>
      </c>
      <c r="J807" s="15">
        <f>IF($F807="","",IFERROR(INDEX(rngEPpass,MATCH($F807,rngEPcode,0)),cfgPassingScore))</f>
        <v/>
      </c>
      <c r="K807" s="14" t="n"/>
      <c r="L807" s="14" t="n"/>
      <c r="M807" s="15">
        <f>IF($C807="","",IF($L807="","",IF($K807=1,IF(COUNTIFS(nrES_PID,$D807,nrES_Code,$F807,nrES_Att,2)&gt;0,"",$L807),IF(COUNTIFS(nrES_PID,$D807,nrES_Code,$F807,nrES_Att,1)=0,$L807,IF($L807&gt;=$J807,cfgRetakeRecordedCap,SUMIFS(nrES_Raw,nrES_PID,$D807,nrES_Code,$F807,nrES_Att,1))))))</f>
        <v/>
      </c>
      <c r="N807" s="15">
        <f>IF($C807="","",IF($L807="","",IF($L807&gt;=$J807,"Yes","No")))</f>
        <v/>
      </c>
      <c r="O807" s="15">
        <f>IF($C807="","",IF($M807="","",IF($M807&gt;=$J807,"Yes","No")))</f>
        <v/>
      </c>
      <c r="P807" s="15">
        <f>IF($C807="","",IF($K807="","",IF(COUNTIFS(nrES_PID,$D807,nrES_Code,$F807,nrES_Att,"&gt;"&amp;$K807)=0,"Yes","No")))</f>
        <v/>
      </c>
      <c r="Q807" s="15">
        <f>IF($C807="","",IF($L807="","",IF(AND($K807=1,$L807&lt;$J807,COUNTIFS(nrES_PID,$D807,nrES_Code,$F807,nrES_Att,2)=0),"Yes","No")))</f>
        <v/>
      </c>
      <c r="R807" s="15">
        <f>IF($C807="","",IF($L807="","",IF(AND($K807=2,$L807&lt;$J807,COUNTIFS(nrES_PID,$D807,nrES_Code,$F807,nrES_Att,1)&gt;0),"Yes","No")))</f>
        <v/>
      </c>
      <c r="S807" s="16" t="n"/>
      <c r="T807" s="17">
        <f>IF($Q807&lt;&gt;"Yes","",IF($S807="","(enter date)",_xlfn.LET(_xlpm.dn,IFERROR(_xlfn.XLOOKUP($S807,nrCDdate,nrCDnum),""),IF(_xlpm.dn="","(not a class day)",IFERROR(_xlfn.XLOOKUP(_xlpm.dn+cfgRetestClassDays,nrCDnum,nrCDdate),"")))))</f>
        <v/>
      </c>
      <c r="U807" s="15">
        <f>IF($Q807&lt;&gt;"Yes","",IF(COUNTIFS(nrES_PID,$D807,nrES_Code,$F807,nrES_Att,2)&gt;0,"Retested",IF(OR($T807="",NOT(ISNUMBER($T807))),"Pending",IF(TODAY()&gt;$T807,"OVERDUE","Due "&amp;TEXT($T807,"mm/dd")))))</f>
        <v/>
      </c>
      <c r="V807" s="14" t="n"/>
      <c r="W807" s="14" t="n"/>
    </row>
    <row r="808">
      <c r="B808" s="15">
        <f>IF($C808="","",$D808&amp;"-"&amp;$F808&amp;"-"&amp;$K808)</f>
        <v/>
      </c>
      <c r="C808" s="14" t="n"/>
      <c r="D808" s="15">
        <f>IF($C808="","",IFERROR(INDEX(rngCadetPIDs,MATCH($C808,rngCadetNames,0)),"?"))</f>
        <v/>
      </c>
      <c r="E808" s="15">
        <f>IF($D808="","",IFERROR(INDEX(nrCadetAgency,MATCH($D808,rngCadetPIDs,0)),""))</f>
        <v/>
      </c>
      <c r="F808" s="14" t="n"/>
      <c r="G808" s="15">
        <f>IF($F808="","",IFERROR(INDEX(rngEPname,MATCH($F808,rngEPcode,0)),"?"))</f>
        <v/>
      </c>
      <c r="H808" s="15">
        <f>IF($F808="","",IFERROR(INDEX(rngEPtype,MATCH($F808,rngEPcode,0)),"?"))</f>
        <v/>
      </c>
      <c r="I808" s="15">
        <f>IF($F808="","",IFERROR(INDEX(rngEPseq,MATCH($F808,rngEPcode,0)),""))</f>
        <v/>
      </c>
      <c r="J808" s="15">
        <f>IF($F808="","",IFERROR(INDEX(rngEPpass,MATCH($F808,rngEPcode,0)),cfgPassingScore))</f>
        <v/>
      </c>
      <c r="K808" s="14" t="n"/>
      <c r="L808" s="14" t="n"/>
      <c r="M808" s="15">
        <f>IF($C808="","",IF($L808="","",IF($K808=1,IF(COUNTIFS(nrES_PID,$D808,nrES_Code,$F808,nrES_Att,2)&gt;0,"",$L808),IF(COUNTIFS(nrES_PID,$D808,nrES_Code,$F808,nrES_Att,1)=0,$L808,IF($L808&gt;=$J808,cfgRetakeRecordedCap,SUMIFS(nrES_Raw,nrES_PID,$D808,nrES_Code,$F808,nrES_Att,1))))))</f>
        <v/>
      </c>
      <c r="N808" s="15">
        <f>IF($C808="","",IF($L808="","",IF($L808&gt;=$J808,"Yes","No")))</f>
        <v/>
      </c>
      <c r="O808" s="15">
        <f>IF($C808="","",IF($M808="","",IF($M808&gt;=$J808,"Yes","No")))</f>
        <v/>
      </c>
      <c r="P808" s="15">
        <f>IF($C808="","",IF($K808="","",IF(COUNTIFS(nrES_PID,$D808,nrES_Code,$F808,nrES_Att,"&gt;"&amp;$K808)=0,"Yes","No")))</f>
        <v/>
      </c>
      <c r="Q808" s="15">
        <f>IF($C808="","",IF($L808="","",IF(AND($K808=1,$L808&lt;$J808,COUNTIFS(nrES_PID,$D808,nrES_Code,$F808,nrES_Att,2)=0),"Yes","No")))</f>
        <v/>
      </c>
      <c r="R808" s="15">
        <f>IF($C808="","",IF($L808="","",IF(AND($K808=2,$L808&lt;$J808,COUNTIFS(nrES_PID,$D808,nrES_Code,$F808,nrES_Att,1)&gt;0),"Yes","No")))</f>
        <v/>
      </c>
      <c r="S808" s="16" t="n"/>
      <c r="T808" s="17">
        <f>IF($Q808&lt;&gt;"Yes","",IF($S808="","(enter date)",_xlfn.LET(_xlpm.dn,IFERROR(_xlfn.XLOOKUP($S808,nrCDdate,nrCDnum),""),IF(_xlpm.dn="","(not a class day)",IFERROR(_xlfn.XLOOKUP(_xlpm.dn+cfgRetestClassDays,nrCDnum,nrCDdate),"")))))</f>
        <v/>
      </c>
      <c r="U808" s="15">
        <f>IF($Q808&lt;&gt;"Yes","",IF(COUNTIFS(nrES_PID,$D808,nrES_Code,$F808,nrES_Att,2)&gt;0,"Retested",IF(OR($T808="",NOT(ISNUMBER($T808))),"Pending",IF(TODAY()&gt;$T808,"OVERDUE","Due "&amp;TEXT($T808,"mm/dd")))))</f>
        <v/>
      </c>
      <c r="V808" s="14" t="n"/>
      <c r="W808" s="14" t="n"/>
    </row>
    <row r="809">
      <c r="B809" s="15">
        <f>IF($C809="","",$D809&amp;"-"&amp;$F809&amp;"-"&amp;$K809)</f>
        <v/>
      </c>
      <c r="C809" s="14" t="n"/>
      <c r="D809" s="15">
        <f>IF($C809="","",IFERROR(INDEX(rngCadetPIDs,MATCH($C809,rngCadetNames,0)),"?"))</f>
        <v/>
      </c>
      <c r="E809" s="15">
        <f>IF($D809="","",IFERROR(INDEX(nrCadetAgency,MATCH($D809,rngCadetPIDs,0)),""))</f>
        <v/>
      </c>
      <c r="F809" s="14" t="n"/>
      <c r="G809" s="15">
        <f>IF($F809="","",IFERROR(INDEX(rngEPname,MATCH($F809,rngEPcode,0)),"?"))</f>
        <v/>
      </c>
      <c r="H809" s="15">
        <f>IF($F809="","",IFERROR(INDEX(rngEPtype,MATCH($F809,rngEPcode,0)),"?"))</f>
        <v/>
      </c>
      <c r="I809" s="15">
        <f>IF($F809="","",IFERROR(INDEX(rngEPseq,MATCH($F809,rngEPcode,0)),""))</f>
        <v/>
      </c>
      <c r="J809" s="15">
        <f>IF($F809="","",IFERROR(INDEX(rngEPpass,MATCH($F809,rngEPcode,0)),cfgPassingScore))</f>
        <v/>
      </c>
      <c r="K809" s="14" t="n"/>
      <c r="L809" s="14" t="n"/>
      <c r="M809" s="15">
        <f>IF($C809="","",IF($L809="","",IF($K809=1,IF(COUNTIFS(nrES_PID,$D809,nrES_Code,$F809,nrES_Att,2)&gt;0,"",$L809),IF(COUNTIFS(nrES_PID,$D809,nrES_Code,$F809,nrES_Att,1)=0,$L809,IF($L809&gt;=$J809,cfgRetakeRecordedCap,SUMIFS(nrES_Raw,nrES_PID,$D809,nrES_Code,$F809,nrES_Att,1))))))</f>
        <v/>
      </c>
      <c r="N809" s="15">
        <f>IF($C809="","",IF($L809="","",IF($L809&gt;=$J809,"Yes","No")))</f>
        <v/>
      </c>
      <c r="O809" s="15">
        <f>IF($C809="","",IF($M809="","",IF($M809&gt;=$J809,"Yes","No")))</f>
        <v/>
      </c>
      <c r="P809" s="15">
        <f>IF($C809="","",IF($K809="","",IF(COUNTIFS(nrES_PID,$D809,nrES_Code,$F809,nrES_Att,"&gt;"&amp;$K809)=0,"Yes","No")))</f>
        <v/>
      </c>
      <c r="Q809" s="15">
        <f>IF($C809="","",IF($L809="","",IF(AND($K809=1,$L809&lt;$J809,COUNTIFS(nrES_PID,$D809,nrES_Code,$F809,nrES_Att,2)=0),"Yes","No")))</f>
        <v/>
      </c>
      <c r="R809" s="15">
        <f>IF($C809="","",IF($L809="","",IF(AND($K809=2,$L809&lt;$J809,COUNTIFS(nrES_PID,$D809,nrES_Code,$F809,nrES_Att,1)&gt;0),"Yes","No")))</f>
        <v/>
      </c>
      <c r="S809" s="16" t="n"/>
      <c r="T809" s="17">
        <f>IF($Q809&lt;&gt;"Yes","",IF($S809="","(enter date)",_xlfn.LET(_xlpm.dn,IFERROR(_xlfn.XLOOKUP($S809,nrCDdate,nrCDnum),""),IF(_xlpm.dn="","(not a class day)",IFERROR(_xlfn.XLOOKUP(_xlpm.dn+cfgRetestClassDays,nrCDnum,nrCDdate),"")))))</f>
        <v/>
      </c>
      <c r="U809" s="15">
        <f>IF($Q809&lt;&gt;"Yes","",IF(COUNTIFS(nrES_PID,$D809,nrES_Code,$F809,nrES_Att,2)&gt;0,"Retested",IF(OR($T809="",NOT(ISNUMBER($T809))),"Pending",IF(TODAY()&gt;$T809,"OVERDUE","Due "&amp;TEXT($T809,"mm/dd")))))</f>
        <v/>
      </c>
      <c r="V809" s="14" t="n"/>
      <c r="W809" s="14" t="n"/>
    </row>
    <row r="810">
      <c r="B810" s="15">
        <f>IF($C810="","",$D810&amp;"-"&amp;$F810&amp;"-"&amp;$K810)</f>
        <v/>
      </c>
      <c r="C810" s="14" t="n"/>
      <c r="D810" s="15">
        <f>IF($C810="","",IFERROR(INDEX(rngCadetPIDs,MATCH($C810,rngCadetNames,0)),"?"))</f>
        <v/>
      </c>
      <c r="E810" s="15">
        <f>IF($D810="","",IFERROR(INDEX(nrCadetAgency,MATCH($D810,rngCadetPIDs,0)),""))</f>
        <v/>
      </c>
      <c r="F810" s="14" t="n"/>
      <c r="G810" s="15">
        <f>IF($F810="","",IFERROR(INDEX(rngEPname,MATCH($F810,rngEPcode,0)),"?"))</f>
        <v/>
      </c>
      <c r="H810" s="15">
        <f>IF($F810="","",IFERROR(INDEX(rngEPtype,MATCH($F810,rngEPcode,0)),"?"))</f>
        <v/>
      </c>
      <c r="I810" s="15">
        <f>IF($F810="","",IFERROR(INDEX(rngEPseq,MATCH($F810,rngEPcode,0)),""))</f>
        <v/>
      </c>
      <c r="J810" s="15">
        <f>IF($F810="","",IFERROR(INDEX(rngEPpass,MATCH($F810,rngEPcode,0)),cfgPassingScore))</f>
        <v/>
      </c>
      <c r="K810" s="14" t="n"/>
      <c r="L810" s="14" t="n"/>
      <c r="M810" s="15">
        <f>IF($C810="","",IF($L810="","",IF($K810=1,IF(COUNTIFS(nrES_PID,$D810,nrES_Code,$F810,nrES_Att,2)&gt;0,"",$L810),IF(COUNTIFS(nrES_PID,$D810,nrES_Code,$F810,nrES_Att,1)=0,$L810,IF($L810&gt;=$J810,cfgRetakeRecordedCap,SUMIFS(nrES_Raw,nrES_PID,$D810,nrES_Code,$F810,nrES_Att,1))))))</f>
        <v/>
      </c>
      <c r="N810" s="15">
        <f>IF($C810="","",IF($L810="","",IF($L810&gt;=$J810,"Yes","No")))</f>
        <v/>
      </c>
      <c r="O810" s="15">
        <f>IF($C810="","",IF($M810="","",IF($M810&gt;=$J810,"Yes","No")))</f>
        <v/>
      </c>
      <c r="P810" s="15">
        <f>IF($C810="","",IF($K810="","",IF(COUNTIFS(nrES_PID,$D810,nrES_Code,$F810,nrES_Att,"&gt;"&amp;$K810)=0,"Yes","No")))</f>
        <v/>
      </c>
      <c r="Q810" s="15">
        <f>IF($C810="","",IF($L810="","",IF(AND($K810=1,$L810&lt;$J810,COUNTIFS(nrES_PID,$D810,nrES_Code,$F810,nrES_Att,2)=0),"Yes","No")))</f>
        <v/>
      </c>
      <c r="R810" s="15">
        <f>IF($C810="","",IF($L810="","",IF(AND($K810=2,$L810&lt;$J810,COUNTIFS(nrES_PID,$D810,nrES_Code,$F810,nrES_Att,1)&gt;0),"Yes","No")))</f>
        <v/>
      </c>
      <c r="S810" s="16" t="n"/>
      <c r="T810" s="17">
        <f>IF($Q810&lt;&gt;"Yes","",IF($S810="","(enter date)",_xlfn.LET(_xlpm.dn,IFERROR(_xlfn.XLOOKUP($S810,nrCDdate,nrCDnum),""),IF(_xlpm.dn="","(not a class day)",IFERROR(_xlfn.XLOOKUP(_xlpm.dn+cfgRetestClassDays,nrCDnum,nrCDdate),"")))))</f>
        <v/>
      </c>
      <c r="U810" s="15">
        <f>IF($Q810&lt;&gt;"Yes","",IF(COUNTIFS(nrES_PID,$D810,nrES_Code,$F810,nrES_Att,2)&gt;0,"Retested",IF(OR($T810="",NOT(ISNUMBER($T810))),"Pending",IF(TODAY()&gt;$T810,"OVERDUE","Due "&amp;TEXT($T810,"mm/dd")))))</f>
        <v/>
      </c>
      <c r="V810" s="14" t="n"/>
      <c r="W810" s="14" t="n"/>
    </row>
    <row r="811">
      <c r="B811" s="15">
        <f>IF($C811="","",$D811&amp;"-"&amp;$F811&amp;"-"&amp;$K811)</f>
        <v/>
      </c>
      <c r="C811" s="14" t="n"/>
      <c r="D811" s="15">
        <f>IF($C811="","",IFERROR(INDEX(rngCadetPIDs,MATCH($C811,rngCadetNames,0)),"?"))</f>
        <v/>
      </c>
      <c r="E811" s="15">
        <f>IF($D811="","",IFERROR(INDEX(nrCadetAgency,MATCH($D811,rngCadetPIDs,0)),""))</f>
        <v/>
      </c>
      <c r="F811" s="14" t="n"/>
      <c r="G811" s="15">
        <f>IF($F811="","",IFERROR(INDEX(rngEPname,MATCH($F811,rngEPcode,0)),"?"))</f>
        <v/>
      </c>
      <c r="H811" s="15">
        <f>IF($F811="","",IFERROR(INDEX(rngEPtype,MATCH($F811,rngEPcode,0)),"?"))</f>
        <v/>
      </c>
      <c r="I811" s="15">
        <f>IF($F811="","",IFERROR(INDEX(rngEPseq,MATCH($F811,rngEPcode,0)),""))</f>
        <v/>
      </c>
      <c r="J811" s="15">
        <f>IF($F811="","",IFERROR(INDEX(rngEPpass,MATCH($F811,rngEPcode,0)),cfgPassingScore))</f>
        <v/>
      </c>
      <c r="K811" s="14" t="n"/>
      <c r="L811" s="14" t="n"/>
      <c r="M811" s="15">
        <f>IF($C811="","",IF($L811="","",IF($K811=1,IF(COUNTIFS(nrES_PID,$D811,nrES_Code,$F811,nrES_Att,2)&gt;0,"",$L811),IF(COUNTIFS(nrES_PID,$D811,nrES_Code,$F811,nrES_Att,1)=0,$L811,IF($L811&gt;=$J811,cfgRetakeRecordedCap,SUMIFS(nrES_Raw,nrES_PID,$D811,nrES_Code,$F811,nrES_Att,1))))))</f>
        <v/>
      </c>
      <c r="N811" s="15">
        <f>IF($C811="","",IF($L811="","",IF($L811&gt;=$J811,"Yes","No")))</f>
        <v/>
      </c>
      <c r="O811" s="15">
        <f>IF($C811="","",IF($M811="","",IF($M811&gt;=$J811,"Yes","No")))</f>
        <v/>
      </c>
      <c r="P811" s="15">
        <f>IF($C811="","",IF($K811="","",IF(COUNTIFS(nrES_PID,$D811,nrES_Code,$F811,nrES_Att,"&gt;"&amp;$K811)=0,"Yes","No")))</f>
        <v/>
      </c>
      <c r="Q811" s="15">
        <f>IF($C811="","",IF($L811="","",IF(AND($K811=1,$L811&lt;$J811,COUNTIFS(nrES_PID,$D811,nrES_Code,$F811,nrES_Att,2)=0),"Yes","No")))</f>
        <v/>
      </c>
      <c r="R811" s="15">
        <f>IF($C811="","",IF($L811="","",IF(AND($K811=2,$L811&lt;$J811,COUNTIFS(nrES_PID,$D811,nrES_Code,$F811,nrES_Att,1)&gt;0),"Yes","No")))</f>
        <v/>
      </c>
      <c r="S811" s="16" t="n"/>
      <c r="T811" s="17">
        <f>IF($Q811&lt;&gt;"Yes","",IF($S811="","(enter date)",_xlfn.LET(_xlpm.dn,IFERROR(_xlfn.XLOOKUP($S811,nrCDdate,nrCDnum),""),IF(_xlpm.dn="","(not a class day)",IFERROR(_xlfn.XLOOKUP(_xlpm.dn+cfgRetestClassDays,nrCDnum,nrCDdate),"")))))</f>
        <v/>
      </c>
      <c r="U811" s="15">
        <f>IF($Q811&lt;&gt;"Yes","",IF(COUNTIFS(nrES_PID,$D811,nrES_Code,$F811,nrES_Att,2)&gt;0,"Retested",IF(OR($T811="",NOT(ISNUMBER($T811))),"Pending",IF(TODAY()&gt;$T811,"OVERDUE","Due "&amp;TEXT($T811,"mm/dd")))))</f>
        <v/>
      </c>
      <c r="V811" s="14" t="n"/>
      <c r="W811" s="14" t="n"/>
    </row>
    <row r="812">
      <c r="B812" s="15">
        <f>IF($C812="","",$D812&amp;"-"&amp;$F812&amp;"-"&amp;$K812)</f>
        <v/>
      </c>
      <c r="C812" s="14" t="n"/>
      <c r="D812" s="15">
        <f>IF($C812="","",IFERROR(INDEX(rngCadetPIDs,MATCH($C812,rngCadetNames,0)),"?"))</f>
        <v/>
      </c>
      <c r="E812" s="15">
        <f>IF($D812="","",IFERROR(INDEX(nrCadetAgency,MATCH($D812,rngCadetPIDs,0)),""))</f>
        <v/>
      </c>
      <c r="F812" s="14" t="n"/>
      <c r="G812" s="15">
        <f>IF($F812="","",IFERROR(INDEX(rngEPname,MATCH($F812,rngEPcode,0)),"?"))</f>
        <v/>
      </c>
      <c r="H812" s="15">
        <f>IF($F812="","",IFERROR(INDEX(rngEPtype,MATCH($F812,rngEPcode,0)),"?"))</f>
        <v/>
      </c>
      <c r="I812" s="15">
        <f>IF($F812="","",IFERROR(INDEX(rngEPseq,MATCH($F812,rngEPcode,0)),""))</f>
        <v/>
      </c>
      <c r="J812" s="15">
        <f>IF($F812="","",IFERROR(INDEX(rngEPpass,MATCH($F812,rngEPcode,0)),cfgPassingScore))</f>
        <v/>
      </c>
      <c r="K812" s="14" t="n"/>
      <c r="L812" s="14" t="n"/>
      <c r="M812" s="15">
        <f>IF($C812="","",IF($L812="","",IF($K812=1,IF(COUNTIFS(nrES_PID,$D812,nrES_Code,$F812,nrES_Att,2)&gt;0,"",$L812),IF(COUNTIFS(nrES_PID,$D812,nrES_Code,$F812,nrES_Att,1)=0,$L812,IF($L812&gt;=$J812,cfgRetakeRecordedCap,SUMIFS(nrES_Raw,nrES_PID,$D812,nrES_Code,$F812,nrES_Att,1))))))</f>
        <v/>
      </c>
      <c r="N812" s="15">
        <f>IF($C812="","",IF($L812="","",IF($L812&gt;=$J812,"Yes","No")))</f>
        <v/>
      </c>
      <c r="O812" s="15">
        <f>IF($C812="","",IF($M812="","",IF($M812&gt;=$J812,"Yes","No")))</f>
        <v/>
      </c>
      <c r="P812" s="15">
        <f>IF($C812="","",IF($K812="","",IF(COUNTIFS(nrES_PID,$D812,nrES_Code,$F812,nrES_Att,"&gt;"&amp;$K812)=0,"Yes","No")))</f>
        <v/>
      </c>
      <c r="Q812" s="15">
        <f>IF($C812="","",IF($L812="","",IF(AND($K812=1,$L812&lt;$J812,COUNTIFS(nrES_PID,$D812,nrES_Code,$F812,nrES_Att,2)=0),"Yes","No")))</f>
        <v/>
      </c>
      <c r="R812" s="15">
        <f>IF($C812="","",IF($L812="","",IF(AND($K812=2,$L812&lt;$J812,COUNTIFS(nrES_PID,$D812,nrES_Code,$F812,nrES_Att,1)&gt;0),"Yes","No")))</f>
        <v/>
      </c>
      <c r="S812" s="16" t="n"/>
      <c r="T812" s="17">
        <f>IF($Q812&lt;&gt;"Yes","",IF($S812="","(enter date)",_xlfn.LET(_xlpm.dn,IFERROR(_xlfn.XLOOKUP($S812,nrCDdate,nrCDnum),""),IF(_xlpm.dn="","(not a class day)",IFERROR(_xlfn.XLOOKUP(_xlpm.dn+cfgRetestClassDays,nrCDnum,nrCDdate),"")))))</f>
        <v/>
      </c>
      <c r="U812" s="15">
        <f>IF($Q812&lt;&gt;"Yes","",IF(COUNTIFS(nrES_PID,$D812,nrES_Code,$F812,nrES_Att,2)&gt;0,"Retested",IF(OR($T812="",NOT(ISNUMBER($T812))),"Pending",IF(TODAY()&gt;$T812,"OVERDUE","Due "&amp;TEXT($T812,"mm/dd")))))</f>
        <v/>
      </c>
      <c r="V812" s="14" t="n"/>
      <c r="W812" s="14" t="n"/>
    </row>
    <row r="813">
      <c r="B813" s="15">
        <f>IF($C813="","",$D813&amp;"-"&amp;$F813&amp;"-"&amp;$K813)</f>
        <v/>
      </c>
      <c r="C813" s="14" t="n"/>
      <c r="D813" s="15">
        <f>IF($C813="","",IFERROR(INDEX(rngCadetPIDs,MATCH($C813,rngCadetNames,0)),"?"))</f>
        <v/>
      </c>
      <c r="E813" s="15">
        <f>IF($D813="","",IFERROR(INDEX(nrCadetAgency,MATCH($D813,rngCadetPIDs,0)),""))</f>
        <v/>
      </c>
      <c r="F813" s="14" t="n"/>
      <c r="G813" s="15">
        <f>IF($F813="","",IFERROR(INDEX(rngEPname,MATCH($F813,rngEPcode,0)),"?"))</f>
        <v/>
      </c>
      <c r="H813" s="15">
        <f>IF($F813="","",IFERROR(INDEX(rngEPtype,MATCH($F813,rngEPcode,0)),"?"))</f>
        <v/>
      </c>
      <c r="I813" s="15">
        <f>IF($F813="","",IFERROR(INDEX(rngEPseq,MATCH($F813,rngEPcode,0)),""))</f>
        <v/>
      </c>
      <c r="J813" s="15">
        <f>IF($F813="","",IFERROR(INDEX(rngEPpass,MATCH($F813,rngEPcode,0)),cfgPassingScore))</f>
        <v/>
      </c>
      <c r="K813" s="14" t="n"/>
      <c r="L813" s="14" t="n"/>
      <c r="M813" s="15">
        <f>IF($C813="","",IF($L813="","",IF($K813=1,IF(COUNTIFS(nrES_PID,$D813,nrES_Code,$F813,nrES_Att,2)&gt;0,"",$L813),IF(COUNTIFS(nrES_PID,$D813,nrES_Code,$F813,nrES_Att,1)=0,$L813,IF($L813&gt;=$J813,cfgRetakeRecordedCap,SUMIFS(nrES_Raw,nrES_PID,$D813,nrES_Code,$F813,nrES_Att,1))))))</f>
        <v/>
      </c>
      <c r="N813" s="15">
        <f>IF($C813="","",IF($L813="","",IF($L813&gt;=$J813,"Yes","No")))</f>
        <v/>
      </c>
      <c r="O813" s="15">
        <f>IF($C813="","",IF($M813="","",IF($M813&gt;=$J813,"Yes","No")))</f>
        <v/>
      </c>
      <c r="P813" s="15">
        <f>IF($C813="","",IF($K813="","",IF(COUNTIFS(nrES_PID,$D813,nrES_Code,$F813,nrES_Att,"&gt;"&amp;$K813)=0,"Yes","No")))</f>
        <v/>
      </c>
      <c r="Q813" s="15">
        <f>IF($C813="","",IF($L813="","",IF(AND($K813=1,$L813&lt;$J813,COUNTIFS(nrES_PID,$D813,nrES_Code,$F813,nrES_Att,2)=0),"Yes","No")))</f>
        <v/>
      </c>
      <c r="R813" s="15">
        <f>IF($C813="","",IF($L813="","",IF(AND($K813=2,$L813&lt;$J813,COUNTIFS(nrES_PID,$D813,nrES_Code,$F813,nrES_Att,1)&gt;0),"Yes","No")))</f>
        <v/>
      </c>
      <c r="S813" s="16" t="n"/>
      <c r="T813" s="17">
        <f>IF($Q813&lt;&gt;"Yes","",IF($S813="","(enter date)",_xlfn.LET(_xlpm.dn,IFERROR(_xlfn.XLOOKUP($S813,nrCDdate,nrCDnum),""),IF(_xlpm.dn="","(not a class day)",IFERROR(_xlfn.XLOOKUP(_xlpm.dn+cfgRetestClassDays,nrCDnum,nrCDdate),"")))))</f>
        <v/>
      </c>
      <c r="U813" s="15">
        <f>IF($Q813&lt;&gt;"Yes","",IF(COUNTIFS(nrES_PID,$D813,nrES_Code,$F813,nrES_Att,2)&gt;0,"Retested",IF(OR($T813="",NOT(ISNUMBER($T813))),"Pending",IF(TODAY()&gt;$T813,"OVERDUE","Due "&amp;TEXT($T813,"mm/dd")))))</f>
        <v/>
      </c>
      <c r="V813" s="14" t="n"/>
      <c r="W813" s="14" t="n"/>
    </row>
    <row r="814">
      <c r="B814" s="15">
        <f>IF($C814="","",$D814&amp;"-"&amp;$F814&amp;"-"&amp;$K814)</f>
        <v/>
      </c>
      <c r="C814" s="14" t="n"/>
      <c r="D814" s="15">
        <f>IF($C814="","",IFERROR(INDEX(rngCadetPIDs,MATCH($C814,rngCadetNames,0)),"?"))</f>
        <v/>
      </c>
      <c r="E814" s="15">
        <f>IF($D814="","",IFERROR(INDEX(nrCadetAgency,MATCH($D814,rngCadetPIDs,0)),""))</f>
        <v/>
      </c>
      <c r="F814" s="14" t="n"/>
      <c r="G814" s="15">
        <f>IF($F814="","",IFERROR(INDEX(rngEPname,MATCH($F814,rngEPcode,0)),"?"))</f>
        <v/>
      </c>
      <c r="H814" s="15">
        <f>IF($F814="","",IFERROR(INDEX(rngEPtype,MATCH($F814,rngEPcode,0)),"?"))</f>
        <v/>
      </c>
      <c r="I814" s="15">
        <f>IF($F814="","",IFERROR(INDEX(rngEPseq,MATCH($F814,rngEPcode,0)),""))</f>
        <v/>
      </c>
      <c r="J814" s="15">
        <f>IF($F814="","",IFERROR(INDEX(rngEPpass,MATCH($F814,rngEPcode,0)),cfgPassingScore))</f>
        <v/>
      </c>
      <c r="K814" s="14" t="n"/>
      <c r="L814" s="14" t="n"/>
      <c r="M814" s="15">
        <f>IF($C814="","",IF($L814="","",IF($K814=1,IF(COUNTIFS(nrES_PID,$D814,nrES_Code,$F814,nrES_Att,2)&gt;0,"",$L814),IF(COUNTIFS(nrES_PID,$D814,nrES_Code,$F814,nrES_Att,1)=0,$L814,IF($L814&gt;=$J814,cfgRetakeRecordedCap,SUMIFS(nrES_Raw,nrES_PID,$D814,nrES_Code,$F814,nrES_Att,1))))))</f>
        <v/>
      </c>
      <c r="N814" s="15">
        <f>IF($C814="","",IF($L814="","",IF($L814&gt;=$J814,"Yes","No")))</f>
        <v/>
      </c>
      <c r="O814" s="15">
        <f>IF($C814="","",IF($M814="","",IF($M814&gt;=$J814,"Yes","No")))</f>
        <v/>
      </c>
      <c r="P814" s="15">
        <f>IF($C814="","",IF($K814="","",IF(COUNTIFS(nrES_PID,$D814,nrES_Code,$F814,nrES_Att,"&gt;"&amp;$K814)=0,"Yes","No")))</f>
        <v/>
      </c>
      <c r="Q814" s="15">
        <f>IF($C814="","",IF($L814="","",IF(AND($K814=1,$L814&lt;$J814,COUNTIFS(nrES_PID,$D814,nrES_Code,$F814,nrES_Att,2)=0),"Yes","No")))</f>
        <v/>
      </c>
      <c r="R814" s="15">
        <f>IF($C814="","",IF($L814="","",IF(AND($K814=2,$L814&lt;$J814,COUNTIFS(nrES_PID,$D814,nrES_Code,$F814,nrES_Att,1)&gt;0),"Yes","No")))</f>
        <v/>
      </c>
      <c r="S814" s="16" t="n"/>
      <c r="T814" s="17">
        <f>IF($Q814&lt;&gt;"Yes","",IF($S814="","(enter date)",_xlfn.LET(_xlpm.dn,IFERROR(_xlfn.XLOOKUP($S814,nrCDdate,nrCDnum),""),IF(_xlpm.dn="","(not a class day)",IFERROR(_xlfn.XLOOKUP(_xlpm.dn+cfgRetestClassDays,nrCDnum,nrCDdate),"")))))</f>
        <v/>
      </c>
      <c r="U814" s="15">
        <f>IF($Q814&lt;&gt;"Yes","",IF(COUNTIFS(nrES_PID,$D814,nrES_Code,$F814,nrES_Att,2)&gt;0,"Retested",IF(OR($T814="",NOT(ISNUMBER($T814))),"Pending",IF(TODAY()&gt;$T814,"OVERDUE","Due "&amp;TEXT($T814,"mm/dd")))))</f>
        <v/>
      </c>
      <c r="V814" s="14" t="n"/>
      <c r="W814" s="14" t="n"/>
    </row>
    <row r="815">
      <c r="B815" s="15">
        <f>IF($C815="","",$D815&amp;"-"&amp;$F815&amp;"-"&amp;$K815)</f>
        <v/>
      </c>
      <c r="C815" s="14" t="n"/>
      <c r="D815" s="15">
        <f>IF($C815="","",IFERROR(INDEX(rngCadetPIDs,MATCH($C815,rngCadetNames,0)),"?"))</f>
        <v/>
      </c>
      <c r="E815" s="15">
        <f>IF($D815="","",IFERROR(INDEX(nrCadetAgency,MATCH($D815,rngCadetPIDs,0)),""))</f>
        <v/>
      </c>
      <c r="F815" s="14" t="n"/>
      <c r="G815" s="15">
        <f>IF($F815="","",IFERROR(INDEX(rngEPname,MATCH($F815,rngEPcode,0)),"?"))</f>
        <v/>
      </c>
      <c r="H815" s="15">
        <f>IF($F815="","",IFERROR(INDEX(rngEPtype,MATCH($F815,rngEPcode,0)),"?"))</f>
        <v/>
      </c>
      <c r="I815" s="15">
        <f>IF($F815="","",IFERROR(INDEX(rngEPseq,MATCH($F815,rngEPcode,0)),""))</f>
        <v/>
      </c>
      <c r="J815" s="15">
        <f>IF($F815="","",IFERROR(INDEX(rngEPpass,MATCH($F815,rngEPcode,0)),cfgPassingScore))</f>
        <v/>
      </c>
      <c r="K815" s="14" t="n"/>
      <c r="L815" s="14" t="n"/>
      <c r="M815" s="15">
        <f>IF($C815="","",IF($L815="","",IF($K815=1,IF(COUNTIFS(nrES_PID,$D815,nrES_Code,$F815,nrES_Att,2)&gt;0,"",$L815),IF(COUNTIFS(nrES_PID,$D815,nrES_Code,$F815,nrES_Att,1)=0,$L815,IF($L815&gt;=$J815,cfgRetakeRecordedCap,SUMIFS(nrES_Raw,nrES_PID,$D815,nrES_Code,$F815,nrES_Att,1))))))</f>
        <v/>
      </c>
      <c r="N815" s="15">
        <f>IF($C815="","",IF($L815="","",IF($L815&gt;=$J815,"Yes","No")))</f>
        <v/>
      </c>
      <c r="O815" s="15">
        <f>IF($C815="","",IF($M815="","",IF($M815&gt;=$J815,"Yes","No")))</f>
        <v/>
      </c>
      <c r="P815" s="15">
        <f>IF($C815="","",IF($K815="","",IF(COUNTIFS(nrES_PID,$D815,nrES_Code,$F815,nrES_Att,"&gt;"&amp;$K815)=0,"Yes","No")))</f>
        <v/>
      </c>
      <c r="Q815" s="15">
        <f>IF($C815="","",IF($L815="","",IF(AND($K815=1,$L815&lt;$J815,COUNTIFS(nrES_PID,$D815,nrES_Code,$F815,nrES_Att,2)=0),"Yes","No")))</f>
        <v/>
      </c>
      <c r="R815" s="15">
        <f>IF($C815="","",IF($L815="","",IF(AND($K815=2,$L815&lt;$J815,COUNTIFS(nrES_PID,$D815,nrES_Code,$F815,nrES_Att,1)&gt;0),"Yes","No")))</f>
        <v/>
      </c>
      <c r="S815" s="16" t="n"/>
      <c r="T815" s="17">
        <f>IF($Q815&lt;&gt;"Yes","",IF($S815="","(enter date)",_xlfn.LET(_xlpm.dn,IFERROR(_xlfn.XLOOKUP($S815,nrCDdate,nrCDnum),""),IF(_xlpm.dn="","(not a class day)",IFERROR(_xlfn.XLOOKUP(_xlpm.dn+cfgRetestClassDays,nrCDnum,nrCDdate),"")))))</f>
        <v/>
      </c>
      <c r="U815" s="15">
        <f>IF($Q815&lt;&gt;"Yes","",IF(COUNTIFS(nrES_PID,$D815,nrES_Code,$F815,nrES_Att,2)&gt;0,"Retested",IF(OR($T815="",NOT(ISNUMBER($T815))),"Pending",IF(TODAY()&gt;$T815,"OVERDUE","Due "&amp;TEXT($T815,"mm/dd")))))</f>
        <v/>
      </c>
      <c r="V815" s="14" t="n"/>
      <c r="W815" s="14" t="n"/>
    </row>
    <row r="816">
      <c r="B816" s="15">
        <f>IF($C816="","",$D816&amp;"-"&amp;$F816&amp;"-"&amp;$K816)</f>
        <v/>
      </c>
      <c r="C816" s="14" t="n"/>
      <c r="D816" s="15">
        <f>IF($C816="","",IFERROR(INDEX(rngCadetPIDs,MATCH($C816,rngCadetNames,0)),"?"))</f>
        <v/>
      </c>
      <c r="E816" s="15">
        <f>IF($D816="","",IFERROR(INDEX(nrCadetAgency,MATCH($D816,rngCadetPIDs,0)),""))</f>
        <v/>
      </c>
      <c r="F816" s="14" t="n"/>
      <c r="G816" s="15">
        <f>IF($F816="","",IFERROR(INDEX(rngEPname,MATCH($F816,rngEPcode,0)),"?"))</f>
        <v/>
      </c>
      <c r="H816" s="15">
        <f>IF($F816="","",IFERROR(INDEX(rngEPtype,MATCH($F816,rngEPcode,0)),"?"))</f>
        <v/>
      </c>
      <c r="I816" s="15">
        <f>IF($F816="","",IFERROR(INDEX(rngEPseq,MATCH($F816,rngEPcode,0)),""))</f>
        <v/>
      </c>
      <c r="J816" s="15">
        <f>IF($F816="","",IFERROR(INDEX(rngEPpass,MATCH($F816,rngEPcode,0)),cfgPassingScore))</f>
        <v/>
      </c>
      <c r="K816" s="14" t="n"/>
      <c r="L816" s="14" t="n"/>
      <c r="M816" s="15">
        <f>IF($C816="","",IF($L816="","",IF($K816=1,IF(COUNTIFS(nrES_PID,$D816,nrES_Code,$F816,nrES_Att,2)&gt;0,"",$L816),IF(COUNTIFS(nrES_PID,$D816,nrES_Code,$F816,nrES_Att,1)=0,$L816,IF($L816&gt;=$J816,cfgRetakeRecordedCap,SUMIFS(nrES_Raw,nrES_PID,$D816,nrES_Code,$F816,nrES_Att,1))))))</f>
        <v/>
      </c>
      <c r="N816" s="15">
        <f>IF($C816="","",IF($L816="","",IF($L816&gt;=$J816,"Yes","No")))</f>
        <v/>
      </c>
      <c r="O816" s="15">
        <f>IF($C816="","",IF($M816="","",IF($M816&gt;=$J816,"Yes","No")))</f>
        <v/>
      </c>
      <c r="P816" s="15">
        <f>IF($C816="","",IF($K816="","",IF(COUNTIFS(nrES_PID,$D816,nrES_Code,$F816,nrES_Att,"&gt;"&amp;$K816)=0,"Yes","No")))</f>
        <v/>
      </c>
      <c r="Q816" s="15">
        <f>IF($C816="","",IF($L816="","",IF(AND($K816=1,$L816&lt;$J816,COUNTIFS(nrES_PID,$D816,nrES_Code,$F816,nrES_Att,2)=0),"Yes","No")))</f>
        <v/>
      </c>
      <c r="R816" s="15">
        <f>IF($C816="","",IF($L816="","",IF(AND($K816=2,$L816&lt;$J816,COUNTIFS(nrES_PID,$D816,nrES_Code,$F816,nrES_Att,1)&gt;0),"Yes","No")))</f>
        <v/>
      </c>
      <c r="S816" s="16" t="n"/>
      <c r="T816" s="17">
        <f>IF($Q816&lt;&gt;"Yes","",IF($S816="","(enter date)",_xlfn.LET(_xlpm.dn,IFERROR(_xlfn.XLOOKUP($S816,nrCDdate,nrCDnum),""),IF(_xlpm.dn="","(not a class day)",IFERROR(_xlfn.XLOOKUP(_xlpm.dn+cfgRetestClassDays,nrCDnum,nrCDdate),"")))))</f>
        <v/>
      </c>
      <c r="U816" s="15">
        <f>IF($Q816&lt;&gt;"Yes","",IF(COUNTIFS(nrES_PID,$D816,nrES_Code,$F816,nrES_Att,2)&gt;0,"Retested",IF(OR($T816="",NOT(ISNUMBER($T816))),"Pending",IF(TODAY()&gt;$T816,"OVERDUE","Due "&amp;TEXT($T816,"mm/dd")))))</f>
        <v/>
      </c>
      <c r="V816" s="14" t="n"/>
      <c r="W816" s="14" t="n"/>
    </row>
    <row r="817">
      <c r="B817" s="15">
        <f>IF($C817="","",$D817&amp;"-"&amp;$F817&amp;"-"&amp;$K817)</f>
        <v/>
      </c>
      <c r="C817" s="14" t="n"/>
      <c r="D817" s="15">
        <f>IF($C817="","",IFERROR(INDEX(rngCadetPIDs,MATCH($C817,rngCadetNames,0)),"?"))</f>
        <v/>
      </c>
      <c r="E817" s="15">
        <f>IF($D817="","",IFERROR(INDEX(nrCadetAgency,MATCH($D817,rngCadetPIDs,0)),""))</f>
        <v/>
      </c>
      <c r="F817" s="14" t="n"/>
      <c r="G817" s="15">
        <f>IF($F817="","",IFERROR(INDEX(rngEPname,MATCH($F817,rngEPcode,0)),"?"))</f>
        <v/>
      </c>
      <c r="H817" s="15">
        <f>IF($F817="","",IFERROR(INDEX(rngEPtype,MATCH($F817,rngEPcode,0)),"?"))</f>
        <v/>
      </c>
      <c r="I817" s="15">
        <f>IF($F817="","",IFERROR(INDEX(rngEPseq,MATCH($F817,rngEPcode,0)),""))</f>
        <v/>
      </c>
      <c r="J817" s="15">
        <f>IF($F817="","",IFERROR(INDEX(rngEPpass,MATCH($F817,rngEPcode,0)),cfgPassingScore))</f>
        <v/>
      </c>
      <c r="K817" s="14" t="n"/>
      <c r="L817" s="14" t="n"/>
      <c r="M817" s="15">
        <f>IF($C817="","",IF($L817="","",IF($K817=1,IF(COUNTIFS(nrES_PID,$D817,nrES_Code,$F817,nrES_Att,2)&gt;0,"",$L817),IF(COUNTIFS(nrES_PID,$D817,nrES_Code,$F817,nrES_Att,1)=0,$L817,IF($L817&gt;=$J817,cfgRetakeRecordedCap,SUMIFS(nrES_Raw,nrES_PID,$D817,nrES_Code,$F817,nrES_Att,1))))))</f>
        <v/>
      </c>
      <c r="N817" s="15">
        <f>IF($C817="","",IF($L817="","",IF($L817&gt;=$J817,"Yes","No")))</f>
        <v/>
      </c>
      <c r="O817" s="15">
        <f>IF($C817="","",IF($M817="","",IF($M817&gt;=$J817,"Yes","No")))</f>
        <v/>
      </c>
      <c r="P817" s="15">
        <f>IF($C817="","",IF($K817="","",IF(COUNTIFS(nrES_PID,$D817,nrES_Code,$F817,nrES_Att,"&gt;"&amp;$K817)=0,"Yes","No")))</f>
        <v/>
      </c>
      <c r="Q817" s="15">
        <f>IF($C817="","",IF($L817="","",IF(AND($K817=1,$L817&lt;$J817,COUNTIFS(nrES_PID,$D817,nrES_Code,$F817,nrES_Att,2)=0),"Yes","No")))</f>
        <v/>
      </c>
      <c r="R817" s="15">
        <f>IF($C817="","",IF($L817="","",IF(AND($K817=2,$L817&lt;$J817,COUNTIFS(nrES_PID,$D817,nrES_Code,$F817,nrES_Att,1)&gt;0),"Yes","No")))</f>
        <v/>
      </c>
      <c r="S817" s="16" t="n"/>
      <c r="T817" s="17">
        <f>IF($Q817&lt;&gt;"Yes","",IF($S817="","(enter date)",_xlfn.LET(_xlpm.dn,IFERROR(_xlfn.XLOOKUP($S817,nrCDdate,nrCDnum),""),IF(_xlpm.dn="","(not a class day)",IFERROR(_xlfn.XLOOKUP(_xlpm.dn+cfgRetestClassDays,nrCDnum,nrCDdate),"")))))</f>
        <v/>
      </c>
      <c r="U817" s="15">
        <f>IF($Q817&lt;&gt;"Yes","",IF(COUNTIFS(nrES_PID,$D817,nrES_Code,$F817,nrES_Att,2)&gt;0,"Retested",IF(OR($T817="",NOT(ISNUMBER($T817))),"Pending",IF(TODAY()&gt;$T817,"OVERDUE","Due "&amp;TEXT($T817,"mm/dd")))))</f>
        <v/>
      </c>
      <c r="V817" s="14" t="n"/>
      <c r="W817" s="14" t="n"/>
    </row>
    <row r="818">
      <c r="B818" s="15">
        <f>IF($C818="","",$D818&amp;"-"&amp;$F818&amp;"-"&amp;$K818)</f>
        <v/>
      </c>
      <c r="C818" s="14" t="n"/>
      <c r="D818" s="15">
        <f>IF($C818="","",IFERROR(INDEX(rngCadetPIDs,MATCH($C818,rngCadetNames,0)),"?"))</f>
        <v/>
      </c>
      <c r="E818" s="15">
        <f>IF($D818="","",IFERROR(INDEX(nrCadetAgency,MATCH($D818,rngCadetPIDs,0)),""))</f>
        <v/>
      </c>
      <c r="F818" s="14" t="n"/>
      <c r="G818" s="15">
        <f>IF($F818="","",IFERROR(INDEX(rngEPname,MATCH($F818,rngEPcode,0)),"?"))</f>
        <v/>
      </c>
      <c r="H818" s="15">
        <f>IF($F818="","",IFERROR(INDEX(rngEPtype,MATCH($F818,rngEPcode,0)),"?"))</f>
        <v/>
      </c>
      <c r="I818" s="15">
        <f>IF($F818="","",IFERROR(INDEX(rngEPseq,MATCH($F818,rngEPcode,0)),""))</f>
        <v/>
      </c>
      <c r="J818" s="15">
        <f>IF($F818="","",IFERROR(INDEX(rngEPpass,MATCH($F818,rngEPcode,0)),cfgPassingScore))</f>
        <v/>
      </c>
      <c r="K818" s="14" t="n"/>
      <c r="L818" s="14" t="n"/>
      <c r="M818" s="15">
        <f>IF($C818="","",IF($L818="","",IF($K818=1,IF(COUNTIFS(nrES_PID,$D818,nrES_Code,$F818,nrES_Att,2)&gt;0,"",$L818),IF(COUNTIFS(nrES_PID,$D818,nrES_Code,$F818,nrES_Att,1)=0,$L818,IF($L818&gt;=$J818,cfgRetakeRecordedCap,SUMIFS(nrES_Raw,nrES_PID,$D818,nrES_Code,$F818,nrES_Att,1))))))</f>
        <v/>
      </c>
      <c r="N818" s="15">
        <f>IF($C818="","",IF($L818="","",IF($L818&gt;=$J818,"Yes","No")))</f>
        <v/>
      </c>
      <c r="O818" s="15">
        <f>IF($C818="","",IF($M818="","",IF($M818&gt;=$J818,"Yes","No")))</f>
        <v/>
      </c>
      <c r="P818" s="15">
        <f>IF($C818="","",IF($K818="","",IF(COUNTIFS(nrES_PID,$D818,nrES_Code,$F818,nrES_Att,"&gt;"&amp;$K818)=0,"Yes","No")))</f>
        <v/>
      </c>
      <c r="Q818" s="15">
        <f>IF($C818="","",IF($L818="","",IF(AND($K818=1,$L818&lt;$J818,COUNTIFS(nrES_PID,$D818,nrES_Code,$F818,nrES_Att,2)=0),"Yes","No")))</f>
        <v/>
      </c>
      <c r="R818" s="15">
        <f>IF($C818="","",IF($L818="","",IF(AND($K818=2,$L818&lt;$J818,COUNTIFS(nrES_PID,$D818,nrES_Code,$F818,nrES_Att,1)&gt;0),"Yes","No")))</f>
        <v/>
      </c>
      <c r="S818" s="16" t="n"/>
      <c r="T818" s="17">
        <f>IF($Q818&lt;&gt;"Yes","",IF($S818="","(enter date)",_xlfn.LET(_xlpm.dn,IFERROR(_xlfn.XLOOKUP($S818,nrCDdate,nrCDnum),""),IF(_xlpm.dn="","(not a class day)",IFERROR(_xlfn.XLOOKUP(_xlpm.dn+cfgRetestClassDays,nrCDnum,nrCDdate),"")))))</f>
        <v/>
      </c>
      <c r="U818" s="15">
        <f>IF($Q818&lt;&gt;"Yes","",IF(COUNTIFS(nrES_PID,$D818,nrES_Code,$F818,nrES_Att,2)&gt;0,"Retested",IF(OR($T818="",NOT(ISNUMBER($T818))),"Pending",IF(TODAY()&gt;$T818,"OVERDUE","Due "&amp;TEXT($T818,"mm/dd")))))</f>
        <v/>
      </c>
      <c r="V818" s="14" t="n"/>
      <c r="W818" s="14" t="n"/>
    </row>
    <row r="819">
      <c r="B819" s="15">
        <f>IF($C819="","",$D819&amp;"-"&amp;$F819&amp;"-"&amp;$K819)</f>
        <v/>
      </c>
      <c r="C819" s="14" t="n"/>
      <c r="D819" s="15">
        <f>IF($C819="","",IFERROR(INDEX(rngCadetPIDs,MATCH($C819,rngCadetNames,0)),"?"))</f>
        <v/>
      </c>
      <c r="E819" s="15">
        <f>IF($D819="","",IFERROR(INDEX(nrCadetAgency,MATCH($D819,rngCadetPIDs,0)),""))</f>
        <v/>
      </c>
      <c r="F819" s="14" t="n"/>
      <c r="G819" s="15">
        <f>IF($F819="","",IFERROR(INDEX(rngEPname,MATCH($F819,rngEPcode,0)),"?"))</f>
        <v/>
      </c>
      <c r="H819" s="15">
        <f>IF($F819="","",IFERROR(INDEX(rngEPtype,MATCH($F819,rngEPcode,0)),"?"))</f>
        <v/>
      </c>
      <c r="I819" s="15">
        <f>IF($F819="","",IFERROR(INDEX(rngEPseq,MATCH($F819,rngEPcode,0)),""))</f>
        <v/>
      </c>
      <c r="J819" s="15">
        <f>IF($F819="","",IFERROR(INDEX(rngEPpass,MATCH($F819,rngEPcode,0)),cfgPassingScore))</f>
        <v/>
      </c>
      <c r="K819" s="14" t="n"/>
      <c r="L819" s="14" t="n"/>
      <c r="M819" s="15">
        <f>IF($C819="","",IF($L819="","",IF($K819=1,IF(COUNTIFS(nrES_PID,$D819,nrES_Code,$F819,nrES_Att,2)&gt;0,"",$L819),IF(COUNTIFS(nrES_PID,$D819,nrES_Code,$F819,nrES_Att,1)=0,$L819,IF($L819&gt;=$J819,cfgRetakeRecordedCap,SUMIFS(nrES_Raw,nrES_PID,$D819,nrES_Code,$F819,nrES_Att,1))))))</f>
        <v/>
      </c>
      <c r="N819" s="15">
        <f>IF($C819="","",IF($L819="","",IF($L819&gt;=$J819,"Yes","No")))</f>
        <v/>
      </c>
      <c r="O819" s="15">
        <f>IF($C819="","",IF($M819="","",IF($M819&gt;=$J819,"Yes","No")))</f>
        <v/>
      </c>
      <c r="P819" s="15">
        <f>IF($C819="","",IF($K819="","",IF(COUNTIFS(nrES_PID,$D819,nrES_Code,$F819,nrES_Att,"&gt;"&amp;$K819)=0,"Yes","No")))</f>
        <v/>
      </c>
      <c r="Q819" s="15">
        <f>IF($C819="","",IF($L819="","",IF(AND($K819=1,$L819&lt;$J819,COUNTIFS(nrES_PID,$D819,nrES_Code,$F819,nrES_Att,2)=0),"Yes","No")))</f>
        <v/>
      </c>
      <c r="R819" s="15">
        <f>IF($C819="","",IF($L819="","",IF(AND($K819=2,$L819&lt;$J819,COUNTIFS(nrES_PID,$D819,nrES_Code,$F819,nrES_Att,1)&gt;0),"Yes","No")))</f>
        <v/>
      </c>
      <c r="S819" s="16" t="n"/>
      <c r="T819" s="17">
        <f>IF($Q819&lt;&gt;"Yes","",IF($S819="","(enter date)",_xlfn.LET(_xlpm.dn,IFERROR(_xlfn.XLOOKUP($S819,nrCDdate,nrCDnum),""),IF(_xlpm.dn="","(not a class day)",IFERROR(_xlfn.XLOOKUP(_xlpm.dn+cfgRetestClassDays,nrCDnum,nrCDdate),"")))))</f>
        <v/>
      </c>
      <c r="U819" s="15">
        <f>IF($Q819&lt;&gt;"Yes","",IF(COUNTIFS(nrES_PID,$D819,nrES_Code,$F819,nrES_Att,2)&gt;0,"Retested",IF(OR($T819="",NOT(ISNUMBER($T819))),"Pending",IF(TODAY()&gt;$T819,"OVERDUE","Due "&amp;TEXT($T819,"mm/dd")))))</f>
        <v/>
      </c>
      <c r="V819" s="14" t="n"/>
      <c r="W819" s="14" t="n"/>
    </row>
    <row r="820">
      <c r="B820" s="15">
        <f>IF($C820="","",$D820&amp;"-"&amp;$F820&amp;"-"&amp;$K820)</f>
        <v/>
      </c>
      <c r="C820" s="14" t="n"/>
      <c r="D820" s="15">
        <f>IF($C820="","",IFERROR(INDEX(rngCadetPIDs,MATCH($C820,rngCadetNames,0)),"?"))</f>
        <v/>
      </c>
      <c r="E820" s="15">
        <f>IF($D820="","",IFERROR(INDEX(nrCadetAgency,MATCH($D820,rngCadetPIDs,0)),""))</f>
        <v/>
      </c>
      <c r="F820" s="14" t="n"/>
      <c r="G820" s="15">
        <f>IF($F820="","",IFERROR(INDEX(rngEPname,MATCH($F820,rngEPcode,0)),"?"))</f>
        <v/>
      </c>
      <c r="H820" s="15">
        <f>IF($F820="","",IFERROR(INDEX(rngEPtype,MATCH($F820,rngEPcode,0)),"?"))</f>
        <v/>
      </c>
      <c r="I820" s="15">
        <f>IF($F820="","",IFERROR(INDEX(rngEPseq,MATCH($F820,rngEPcode,0)),""))</f>
        <v/>
      </c>
      <c r="J820" s="15">
        <f>IF($F820="","",IFERROR(INDEX(rngEPpass,MATCH($F820,rngEPcode,0)),cfgPassingScore))</f>
        <v/>
      </c>
      <c r="K820" s="14" t="n"/>
      <c r="L820" s="14" t="n"/>
      <c r="M820" s="15">
        <f>IF($C820="","",IF($L820="","",IF($K820=1,IF(COUNTIFS(nrES_PID,$D820,nrES_Code,$F820,nrES_Att,2)&gt;0,"",$L820),IF(COUNTIFS(nrES_PID,$D820,nrES_Code,$F820,nrES_Att,1)=0,$L820,IF($L820&gt;=$J820,cfgRetakeRecordedCap,SUMIFS(nrES_Raw,nrES_PID,$D820,nrES_Code,$F820,nrES_Att,1))))))</f>
        <v/>
      </c>
      <c r="N820" s="15">
        <f>IF($C820="","",IF($L820="","",IF($L820&gt;=$J820,"Yes","No")))</f>
        <v/>
      </c>
      <c r="O820" s="15">
        <f>IF($C820="","",IF($M820="","",IF($M820&gt;=$J820,"Yes","No")))</f>
        <v/>
      </c>
      <c r="P820" s="15">
        <f>IF($C820="","",IF($K820="","",IF(COUNTIFS(nrES_PID,$D820,nrES_Code,$F820,nrES_Att,"&gt;"&amp;$K820)=0,"Yes","No")))</f>
        <v/>
      </c>
      <c r="Q820" s="15">
        <f>IF($C820="","",IF($L820="","",IF(AND($K820=1,$L820&lt;$J820,COUNTIFS(nrES_PID,$D820,nrES_Code,$F820,nrES_Att,2)=0),"Yes","No")))</f>
        <v/>
      </c>
      <c r="R820" s="15">
        <f>IF($C820="","",IF($L820="","",IF(AND($K820=2,$L820&lt;$J820,COUNTIFS(nrES_PID,$D820,nrES_Code,$F820,nrES_Att,1)&gt;0),"Yes","No")))</f>
        <v/>
      </c>
      <c r="S820" s="16" t="n"/>
      <c r="T820" s="17">
        <f>IF($Q820&lt;&gt;"Yes","",IF($S820="","(enter date)",_xlfn.LET(_xlpm.dn,IFERROR(_xlfn.XLOOKUP($S820,nrCDdate,nrCDnum),""),IF(_xlpm.dn="","(not a class day)",IFERROR(_xlfn.XLOOKUP(_xlpm.dn+cfgRetestClassDays,nrCDnum,nrCDdate),"")))))</f>
        <v/>
      </c>
      <c r="U820" s="15">
        <f>IF($Q820&lt;&gt;"Yes","",IF(COUNTIFS(nrES_PID,$D820,nrES_Code,$F820,nrES_Att,2)&gt;0,"Retested",IF(OR($T820="",NOT(ISNUMBER($T820))),"Pending",IF(TODAY()&gt;$T820,"OVERDUE","Due "&amp;TEXT($T820,"mm/dd")))))</f>
        <v/>
      </c>
      <c r="V820" s="14" t="n"/>
      <c r="W820" s="14" t="n"/>
    </row>
    <row r="821">
      <c r="B821" s="15">
        <f>IF($C821="","",$D821&amp;"-"&amp;$F821&amp;"-"&amp;$K821)</f>
        <v/>
      </c>
      <c r="C821" s="14" t="n"/>
      <c r="D821" s="15">
        <f>IF($C821="","",IFERROR(INDEX(rngCadetPIDs,MATCH($C821,rngCadetNames,0)),"?"))</f>
        <v/>
      </c>
      <c r="E821" s="15">
        <f>IF($D821="","",IFERROR(INDEX(nrCadetAgency,MATCH($D821,rngCadetPIDs,0)),""))</f>
        <v/>
      </c>
      <c r="F821" s="14" t="n"/>
      <c r="G821" s="15">
        <f>IF($F821="","",IFERROR(INDEX(rngEPname,MATCH($F821,rngEPcode,0)),"?"))</f>
        <v/>
      </c>
      <c r="H821" s="15">
        <f>IF($F821="","",IFERROR(INDEX(rngEPtype,MATCH($F821,rngEPcode,0)),"?"))</f>
        <v/>
      </c>
      <c r="I821" s="15">
        <f>IF($F821="","",IFERROR(INDEX(rngEPseq,MATCH($F821,rngEPcode,0)),""))</f>
        <v/>
      </c>
      <c r="J821" s="15">
        <f>IF($F821="","",IFERROR(INDEX(rngEPpass,MATCH($F821,rngEPcode,0)),cfgPassingScore))</f>
        <v/>
      </c>
      <c r="K821" s="14" t="n"/>
      <c r="L821" s="14" t="n"/>
      <c r="M821" s="15">
        <f>IF($C821="","",IF($L821="","",IF($K821=1,IF(COUNTIFS(nrES_PID,$D821,nrES_Code,$F821,nrES_Att,2)&gt;0,"",$L821),IF(COUNTIFS(nrES_PID,$D821,nrES_Code,$F821,nrES_Att,1)=0,$L821,IF($L821&gt;=$J821,cfgRetakeRecordedCap,SUMIFS(nrES_Raw,nrES_PID,$D821,nrES_Code,$F821,nrES_Att,1))))))</f>
        <v/>
      </c>
      <c r="N821" s="15">
        <f>IF($C821="","",IF($L821="","",IF($L821&gt;=$J821,"Yes","No")))</f>
        <v/>
      </c>
      <c r="O821" s="15">
        <f>IF($C821="","",IF($M821="","",IF($M821&gt;=$J821,"Yes","No")))</f>
        <v/>
      </c>
      <c r="P821" s="15">
        <f>IF($C821="","",IF($K821="","",IF(COUNTIFS(nrES_PID,$D821,nrES_Code,$F821,nrES_Att,"&gt;"&amp;$K821)=0,"Yes","No")))</f>
        <v/>
      </c>
      <c r="Q821" s="15">
        <f>IF($C821="","",IF($L821="","",IF(AND($K821=1,$L821&lt;$J821,COUNTIFS(nrES_PID,$D821,nrES_Code,$F821,nrES_Att,2)=0),"Yes","No")))</f>
        <v/>
      </c>
      <c r="R821" s="15">
        <f>IF($C821="","",IF($L821="","",IF(AND($K821=2,$L821&lt;$J821,COUNTIFS(nrES_PID,$D821,nrES_Code,$F821,nrES_Att,1)&gt;0),"Yes","No")))</f>
        <v/>
      </c>
      <c r="S821" s="16" t="n"/>
      <c r="T821" s="17">
        <f>IF($Q821&lt;&gt;"Yes","",IF($S821="","(enter date)",_xlfn.LET(_xlpm.dn,IFERROR(_xlfn.XLOOKUP($S821,nrCDdate,nrCDnum),""),IF(_xlpm.dn="","(not a class day)",IFERROR(_xlfn.XLOOKUP(_xlpm.dn+cfgRetestClassDays,nrCDnum,nrCDdate),"")))))</f>
        <v/>
      </c>
      <c r="U821" s="15">
        <f>IF($Q821&lt;&gt;"Yes","",IF(COUNTIFS(nrES_PID,$D821,nrES_Code,$F821,nrES_Att,2)&gt;0,"Retested",IF(OR($T821="",NOT(ISNUMBER($T821))),"Pending",IF(TODAY()&gt;$T821,"OVERDUE","Due "&amp;TEXT($T821,"mm/dd")))))</f>
        <v/>
      </c>
      <c r="V821" s="14" t="n"/>
      <c r="W821" s="14" t="n"/>
    </row>
    <row r="822">
      <c r="B822" s="15">
        <f>IF($C822="","",$D822&amp;"-"&amp;$F822&amp;"-"&amp;$K822)</f>
        <v/>
      </c>
      <c r="C822" s="14" t="n"/>
      <c r="D822" s="15">
        <f>IF($C822="","",IFERROR(INDEX(rngCadetPIDs,MATCH($C822,rngCadetNames,0)),"?"))</f>
        <v/>
      </c>
      <c r="E822" s="15">
        <f>IF($D822="","",IFERROR(INDEX(nrCadetAgency,MATCH($D822,rngCadetPIDs,0)),""))</f>
        <v/>
      </c>
      <c r="F822" s="14" t="n"/>
      <c r="G822" s="15">
        <f>IF($F822="","",IFERROR(INDEX(rngEPname,MATCH($F822,rngEPcode,0)),"?"))</f>
        <v/>
      </c>
      <c r="H822" s="15">
        <f>IF($F822="","",IFERROR(INDEX(rngEPtype,MATCH($F822,rngEPcode,0)),"?"))</f>
        <v/>
      </c>
      <c r="I822" s="15">
        <f>IF($F822="","",IFERROR(INDEX(rngEPseq,MATCH($F822,rngEPcode,0)),""))</f>
        <v/>
      </c>
      <c r="J822" s="15">
        <f>IF($F822="","",IFERROR(INDEX(rngEPpass,MATCH($F822,rngEPcode,0)),cfgPassingScore))</f>
        <v/>
      </c>
      <c r="K822" s="14" t="n"/>
      <c r="L822" s="14" t="n"/>
      <c r="M822" s="15">
        <f>IF($C822="","",IF($L822="","",IF($K822=1,IF(COUNTIFS(nrES_PID,$D822,nrES_Code,$F822,nrES_Att,2)&gt;0,"",$L822),IF(COUNTIFS(nrES_PID,$D822,nrES_Code,$F822,nrES_Att,1)=0,$L822,IF($L822&gt;=$J822,cfgRetakeRecordedCap,SUMIFS(nrES_Raw,nrES_PID,$D822,nrES_Code,$F822,nrES_Att,1))))))</f>
        <v/>
      </c>
      <c r="N822" s="15">
        <f>IF($C822="","",IF($L822="","",IF($L822&gt;=$J822,"Yes","No")))</f>
        <v/>
      </c>
      <c r="O822" s="15">
        <f>IF($C822="","",IF($M822="","",IF($M822&gt;=$J822,"Yes","No")))</f>
        <v/>
      </c>
      <c r="P822" s="15">
        <f>IF($C822="","",IF($K822="","",IF(COUNTIFS(nrES_PID,$D822,nrES_Code,$F822,nrES_Att,"&gt;"&amp;$K822)=0,"Yes","No")))</f>
        <v/>
      </c>
      <c r="Q822" s="15">
        <f>IF($C822="","",IF($L822="","",IF(AND($K822=1,$L822&lt;$J822,COUNTIFS(nrES_PID,$D822,nrES_Code,$F822,nrES_Att,2)=0),"Yes","No")))</f>
        <v/>
      </c>
      <c r="R822" s="15">
        <f>IF($C822="","",IF($L822="","",IF(AND($K822=2,$L822&lt;$J822,COUNTIFS(nrES_PID,$D822,nrES_Code,$F822,nrES_Att,1)&gt;0),"Yes","No")))</f>
        <v/>
      </c>
      <c r="S822" s="16" t="n"/>
      <c r="T822" s="17">
        <f>IF($Q822&lt;&gt;"Yes","",IF($S822="","(enter date)",_xlfn.LET(_xlpm.dn,IFERROR(_xlfn.XLOOKUP($S822,nrCDdate,nrCDnum),""),IF(_xlpm.dn="","(not a class day)",IFERROR(_xlfn.XLOOKUP(_xlpm.dn+cfgRetestClassDays,nrCDnum,nrCDdate),"")))))</f>
        <v/>
      </c>
      <c r="U822" s="15">
        <f>IF($Q822&lt;&gt;"Yes","",IF(COUNTIFS(nrES_PID,$D822,nrES_Code,$F822,nrES_Att,2)&gt;0,"Retested",IF(OR($T822="",NOT(ISNUMBER($T822))),"Pending",IF(TODAY()&gt;$T822,"OVERDUE","Due "&amp;TEXT($T822,"mm/dd")))))</f>
        <v/>
      </c>
      <c r="V822" s="14" t="n"/>
      <c r="W822" s="14" t="n"/>
    </row>
    <row r="823">
      <c r="B823" s="15">
        <f>IF($C823="","",$D823&amp;"-"&amp;$F823&amp;"-"&amp;$K823)</f>
        <v/>
      </c>
      <c r="C823" s="14" t="n"/>
      <c r="D823" s="15">
        <f>IF($C823="","",IFERROR(INDEX(rngCadetPIDs,MATCH($C823,rngCadetNames,0)),"?"))</f>
        <v/>
      </c>
      <c r="E823" s="15">
        <f>IF($D823="","",IFERROR(INDEX(nrCadetAgency,MATCH($D823,rngCadetPIDs,0)),""))</f>
        <v/>
      </c>
      <c r="F823" s="14" t="n"/>
      <c r="G823" s="15">
        <f>IF($F823="","",IFERROR(INDEX(rngEPname,MATCH($F823,rngEPcode,0)),"?"))</f>
        <v/>
      </c>
      <c r="H823" s="15">
        <f>IF($F823="","",IFERROR(INDEX(rngEPtype,MATCH($F823,rngEPcode,0)),"?"))</f>
        <v/>
      </c>
      <c r="I823" s="15">
        <f>IF($F823="","",IFERROR(INDEX(rngEPseq,MATCH($F823,rngEPcode,0)),""))</f>
        <v/>
      </c>
      <c r="J823" s="15">
        <f>IF($F823="","",IFERROR(INDEX(rngEPpass,MATCH($F823,rngEPcode,0)),cfgPassingScore))</f>
        <v/>
      </c>
      <c r="K823" s="14" t="n"/>
      <c r="L823" s="14" t="n"/>
      <c r="M823" s="15">
        <f>IF($C823="","",IF($L823="","",IF($K823=1,IF(COUNTIFS(nrES_PID,$D823,nrES_Code,$F823,nrES_Att,2)&gt;0,"",$L823),IF(COUNTIFS(nrES_PID,$D823,nrES_Code,$F823,nrES_Att,1)=0,$L823,IF($L823&gt;=$J823,cfgRetakeRecordedCap,SUMIFS(nrES_Raw,nrES_PID,$D823,nrES_Code,$F823,nrES_Att,1))))))</f>
        <v/>
      </c>
      <c r="N823" s="15">
        <f>IF($C823="","",IF($L823="","",IF($L823&gt;=$J823,"Yes","No")))</f>
        <v/>
      </c>
      <c r="O823" s="15">
        <f>IF($C823="","",IF($M823="","",IF($M823&gt;=$J823,"Yes","No")))</f>
        <v/>
      </c>
      <c r="P823" s="15">
        <f>IF($C823="","",IF($K823="","",IF(COUNTIFS(nrES_PID,$D823,nrES_Code,$F823,nrES_Att,"&gt;"&amp;$K823)=0,"Yes","No")))</f>
        <v/>
      </c>
      <c r="Q823" s="15">
        <f>IF($C823="","",IF($L823="","",IF(AND($K823=1,$L823&lt;$J823,COUNTIFS(nrES_PID,$D823,nrES_Code,$F823,nrES_Att,2)=0),"Yes","No")))</f>
        <v/>
      </c>
      <c r="R823" s="15">
        <f>IF($C823="","",IF($L823="","",IF(AND($K823=2,$L823&lt;$J823,COUNTIFS(nrES_PID,$D823,nrES_Code,$F823,nrES_Att,1)&gt;0),"Yes","No")))</f>
        <v/>
      </c>
      <c r="S823" s="16" t="n"/>
      <c r="T823" s="17">
        <f>IF($Q823&lt;&gt;"Yes","",IF($S823="","(enter date)",_xlfn.LET(_xlpm.dn,IFERROR(_xlfn.XLOOKUP($S823,nrCDdate,nrCDnum),""),IF(_xlpm.dn="","(not a class day)",IFERROR(_xlfn.XLOOKUP(_xlpm.dn+cfgRetestClassDays,nrCDnum,nrCDdate),"")))))</f>
        <v/>
      </c>
      <c r="U823" s="15">
        <f>IF($Q823&lt;&gt;"Yes","",IF(COUNTIFS(nrES_PID,$D823,nrES_Code,$F823,nrES_Att,2)&gt;0,"Retested",IF(OR($T823="",NOT(ISNUMBER($T823))),"Pending",IF(TODAY()&gt;$T823,"OVERDUE","Due "&amp;TEXT($T823,"mm/dd")))))</f>
        <v/>
      </c>
      <c r="V823" s="14" t="n"/>
      <c r="W823" s="14" t="n"/>
    </row>
    <row r="824">
      <c r="B824" s="15">
        <f>IF($C824="","",$D824&amp;"-"&amp;$F824&amp;"-"&amp;$K824)</f>
        <v/>
      </c>
      <c r="C824" s="14" t="n"/>
      <c r="D824" s="15">
        <f>IF($C824="","",IFERROR(INDEX(rngCadetPIDs,MATCH($C824,rngCadetNames,0)),"?"))</f>
        <v/>
      </c>
      <c r="E824" s="15">
        <f>IF($D824="","",IFERROR(INDEX(nrCadetAgency,MATCH($D824,rngCadetPIDs,0)),""))</f>
        <v/>
      </c>
      <c r="F824" s="14" t="n"/>
      <c r="G824" s="15">
        <f>IF($F824="","",IFERROR(INDEX(rngEPname,MATCH($F824,rngEPcode,0)),"?"))</f>
        <v/>
      </c>
      <c r="H824" s="15">
        <f>IF($F824="","",IFERROR(INDEX(rngEPtype,MATCH($F824,rngEPcode,0)),"?"))</f>
        <v/>
      </c>
      <c r="I824" s="15">
        <f>IF($F824="","",IFERROR(INDEX(rngEPseq,MATCH($F824,rngEPcode,0)),""))</f>
        <v/>
      </c>
      <c r="J824" s="15">
        <f>IF($F824="","",IFERROR(INDEX(rngEPpass,MATCH($F824,rngEPcode,0)),cfgPassingScore))</f>
        <v/>
      </c>
      <c r="K824" s="14" t="n"/>
      <c r="L824" s="14" t="n"/>
      <c r="M824" s="15">
        <f>IF($C824="","",IF($L824="","",IF($K824=1,IF(COUNTIFS(nrES_PID,$D824,nrES_Code,$F824,nrES_Att,2)&gt;0,"",$L824),IF(COUNTIFS(nrES_PID,$D824,nrES_Code,$F824,nrES_Att,1)=0,$L824,IF($L824&gt;=$J824,cfgRetakeRecordedCap,SUMIFS(nrES_Raw,nrES_PID,$D824,nrES_Code,$F824,nrES_Att,1))))))</f>
        <v/>
      </c>
      <c r="N824" s="15">
        <f>IF($C824="","",IF($L824="","",IF($L824&gt;=$J824,"Yes","No")))</f>
        <v/>
      </c>
      <c r="O824" s="15">
        <f>IF($C824="","",IF($M824="","",IF($M824&gt;=$J824,"Yes","No")))</f>
        <v/>
      </c>
      <c r="P824" s="15">
        <f>IF($C824="","",IF($K824="","",IF(COUNTIFS(nrES_PID,$D824,nrES_Code,$F824,nrES_Att,"&gt;"&amp;$K824)=0,"Yes","No")))</f>
        <v/>
      </c>
      <c r="Q824" s="15">
        <f>IF($C824="","",IF($L824="","",IF(AND($K824=1,$L824&lt;$J824,COUNTIFS(nrES_PID,$D824,nrES_Code,$F824,nrES_Att,2)=0),"Yes","No")))</f>
        <v/>
      </c>
      <c r="R824" s="15">
        <f>IF($C824="","",IF($L824="","",IF(AND($K824=2,$L824&lt;$J824,COUNTIFS(nrES_PID,$D824,nrES_Code,$F824,nrES_Att,1)&gt;0),"Yes","No")))</f>
        <v/>
      </c>
      <c r="S824" s="16" t="n"/>
      <c r="T824" s="17">
        <f>IF($Q824&lt;&gt;"Yes","",IF($S824="","(enter date)",_xlfn.LET(_xlpm.dn,IFERROR(_xlfn.XLOOKUP($S824,nrCDdate,nrCDnum),""),IF(_xlpm.dn="","(not a class day)",IFERROR(_xlfn.XLOOKUP(_xlpm.dn+cfgRetestClassDays,nrCDnum,nrCDdate),"")))))</f>
        <v/>
      </c>
      <c r="U824" s="15">
        <f>IF($Q824&lt;&gt;"Yes","",IF(COUNTIFS(nrES_PID,$D824,nrES_Code,$F824,nrES_Att,2)&gt;0,"Retested",IF(OR($T824="",NOT(ISNUMBER($T824))),"Pending",IF(TODAY()&gt;$T824,"OVERDUE","Due "&amp;TEXT($T824,"mm/dd")))))</f>
        <v/>
      </c>
      <c r="V824" s="14" t="n"/>
      <c r="W824" s="14" t="n"/>
    </row>
    <row r="825">
      <c r="B825" s="15">
        <f>IF($C825="","",$D825&amp;"-"&amp;$F825&amp;"-"&amp;$K825)</f>
        <v/>
      </c>
      <c r="C825" s="14" t="n"/>
      <c r="D825" s="15">
        <f>IF($C825="","",IFERROR(INDEX(rngCadetPIDs,MATCH($C825,rngCadetNames,0)),"?"))</f>
        <v/>
      </c>
      <c r="E825" s="15">
        <f>IF($D825="","",IFERROR(INDEX(nrCadetAgency,MATCH($D825,rngCadetPIDs,0)),""))</f>
        <v/>
      </c>
      <c r="F825" s="14" t="n"/>
      <c r="G825" s="15">
        <f>IF($F825="","",IFERROR(INDEX(rngEPname,MATCH($F825,rngEPcode,0)),"?"))</f>
        <v/>
      </c>
      <c r="H825" s="15">
        <f>IF($F825="","",IFERROR(INDEX(rngEPtype,MATCH($F825,rngEPcode,0)),"?"))</f>
        <v/>
      </c>
      <c r="I825" s="15">
        <f>IF($F825="","",IFERROR(INDEX(rngEPseq,MATCH($F825,rngEPcode,0)),""))</f>
        <v/>
      </c>
      <c r="J825" s="15">
        <f>IF($F825="","",IFERROR(INDEX(rngEPpass,MATCH($F825,rngEPcode,0)),cfgPassingScore))</f>
        <v/>
      </c>
      <c r="K825" s="14" t="n"/>
      <c r="L825" s="14" t="n"/>
      <c r="M825" s="15">
        <f>IF($C825="","",IF($L825="","",IF($K825=1,IF(COUNTIFS(nrES_PID,$D825,nrES_Code,$F825,nrES_Att,2)&gt;0,"",$L825),IF(COUNTIFS(nrES_PID,$D825,nrES_Code,$F825,nrES_Att,1)=0,$L825,IF($L825&gt;=$J825,cfgRetakeRecordedCap,SUMIFS(nrES_Raw,nrES_PID,$D825,nrES_Code,$F825,nrES_Att,1))))))</f>
        <v/>
      </c>
      <c r="N825" s="15">
        <f>IF($C825="","",IF($L825="","",IF($L825&gt;=$J825,"Yes","No")))</f>
        <v/>
      </c>
      <c r="O825" s="15">
        <f>IF($C825="","",IF($M825="","",IF($M825&gt;=$J825,"Yes","No")))</f>
        <v/>
      </c>
      <c r="P825" s="15">
        <f>IF($C825="","",IF($K825="","",IF(COUNTIFS(nrES_PID,$D825,nrES_Code,$F825,nrES_Att,"&gt;"&amp;$K825)=0,"Yes","No")))</f>
        <v/>
      </c>
      <c r="Q825" s="15">
        <f>IF($C825="","",IF($L825="","",IF(AND($K825=1,$L825&lt;$J825,COUNTIFS(nrES_PID,$D825,nrES_Code,$F825,nrES_Att,2)=0),"Yes","No")))</f>
        <v/>
      </c>
      <c r="R825" s="15">
        <f>IF($C825="","",IF($L825="","",IF(AND($K825=2,$L825&lt;$J825,COUNTIFS(nrES_PID,$D825,nrES_Code,$F825,nrES_Att,1)&gt;0),"Yes","No")))</f>
        <v/>
      </c>
      <c r="S825" s="16" t="n"/>
      <c r="T825" s="17">
        <f>IF($Q825&lt;&gt;"Yes","",IF($S825="","(enter date)",_xlfn.LET(_xlpm.dn,IFERROR(_xlfn.XLOOKUP($S825,nrCDdate,nrCDnum),""),IF(_xlpm.dn="","(not a class day)",IFERROR(_xlfn.XLOOKUP(_xlpm.dn+cfgRetestClassDays,nrCDnum,nrCDdate),"")))))</f>
        <v/>
      </c>
      <c r="U825" s="15">
        <f>IF($Q825&lt;&gt;"Yes","",IF(COUNTIFS(nrES_PID,$D825,nrES_Code,$F825,nrES_Att,2)&gt;0,"Retested",IF(OR($T825="",NOT(ISNUMBER($T825))),"Pending",IF(TODAY()&gt;$T825,"OVERDUE","Due "&amp;TEXT($T825,"mm/dd")))))</f>
        <v/>
      </c>
      <c r="V825" s="14" t="n"/>
      <c r="W825" s="14" t="n"/>
    </row>
    <row r="826">
      <c r="B826" s="15">
        <f>IF($C826="","",$D826&amp;"-"&amp;$F826&amp;"-"&amp;$K826)</f>
        <v/>
      </c>
      <c r="C826" s="14" t="n"/>
      <c r="D826" s="15">
        <f>IF($C826="","",IFERROR(INDEX(rngCadetPIDs,MATCH($C826,rngCadetNames,0)),"?"))</f>
        <v/>
      </c>
      <c r="E826" s="15">
        <f>IF($D826="","",IFERROR(INDEX(nrCadetAgency,MATCH($D826,rngCadetPIDs,0)),""))</f>
        <v/>
      </c>
      <c r="F826" s="14" t="n"/>
      <c r="G826" s="15">
        <f>IF($F826="","",IFERROR(INDEX(rngEPname,MATCH($F826,rngEPcode,0)),"?"))</f>
        <v/>
      </c>
      <c r="H826" s="15">
        <f>IF($F826="","",IFERROR(INDEX(rngEPtype,MATCH($F826,rngEPcode,0)),"?"))</f>
        <v/>
      </c>
      <c r="I826" s="15">
        <f>IF($F826="","",IFERROR(INDEX(rngEPseq,MATCH($F826,rngEPcode,0)),""))</f>
        <v/>
      </c>
      <c r="J826" s="15">
        <f>IF($F826="","",IFERROR(INDEX(rngEPpass,MATCH($F826,rngEPcode,0)),cfgPassingScore))</f>
        <v/>
      </c>
      <c r="K826" s="14" t="n"/>
      <c r="L826" s="14" t="n"/>
      <c r="M826" s="15">
        <f>IF($C826="","",IF($L826="","",IF($K826=1,IF(COUNTIFS(nrES_PID,$D826,nrES_Code,$F826,nrES_Att,2)&gt;0,"",$L826),IF(COUNTIFS(nrES_PID,$D826,nrES_Code,$F826,nrES_Att,1)=0,$L826,IF($L826&gt;=$J826,cfgRetakeRecordedCap,SUMIFS(nrES_Raw,nrES_PID,$D826,nrES_Code,$F826,nrES_Att,1))))))</f>
        <v/>
      </c>
      <c r="N826" s="15">
        <f>IF($C826="","",IF($L826="","",IF($L826&gt;=$J826,"Yes","No")))</f>
        <v/>
      </c>
      <c r="O826" s="15">
        <f>IF($C826="","",IF($M826="","",IF($M826&gt;=$J826,"Yes","No")))</f>
        <v/>
      </c>
      <c r="P826" s="15">
        <f>IF($C826="","",IF($K826="","",IF(COUNTIFS(nrES_PID,$D826,nrES_Code,$F826,nrES_Att,"&gt;"&amp;$K826)=0,"Yes","No")))</f>
        <v/>
      </c>
      <c r="Q826" s="15">
        <f>IF($C826="","",IF($L826="","",IF(AND($K826=1,$L826&lt;$J826,COUNTIFS(nrES_PID,$D826,nrES_Code,$F826,nrES_Att,2)=0),"Yes","No")))</f>
        <v/>
      </c>
      <c r="R826" s="15">
        <f>IF($C826="","",IF($L826="","",IF(AND($K826=2,$L826&lt;$J826,COUNTIFS(nrES_PID,$D826,nrES_Code,$F826,nrES_Att,1)&gt;0),"Yes","No")))</f>
        <v/>
      </c>
      <c r="S826" s="16" t="n"/>
      <c r="T826" s="17">
        <f>IF($Q826&lt;&gt;"Yes","",IF($S826="","(enter date)",_xlfn.LET(_xlpm.dn,IFERROR(_xlfn.XLOOKUP($S826,nrCDdate,nrCDnum),""),IF(_xlpm.dn="","(not a class day)",IFERROR(_xlfn.XLOOKUP(_xlpm.dn+cfgRetestClassDays,nrCDnum,nrCDdate),"")))))</f>
        <v/>
      </c>
      <c r="U826" s="15">
        <f>IF($Q826&lt;&gt;"Yes","",IF(COUNTIFS(nrES_PID,$D826,nrES_Code,$F826,nrES_Att,2)&gt;0,"Retested",IF(OR($T826="",NOT(ISNUMBER($T826))),"Pending",IF(TODAY()&gt;$T826,"OVERDUE","Due "&amp;TEXT($T826,"mm/dd")))))</f>
        <v/>
      </c>
      <c r="V826" s="14" t="n"/>
      <c r="W826" s="14" t="n"/>
    </row>
    <row r="827">
      <c r="B827" s="15">
        <f>IF($C827="","",$D827&amp;"-"&amp;$F827&amp;"-"&amp;$K827)</f>
        <v/>
      </c>
      <c r="C827" s="14" t="n"/>
      <c r="D827" s="15">
        <f>IF($C827="","",IFERROR(INDEX(rngCadetPIDs,MATCH($C827,rngCadetNames,0)),"?"))</f>
        <v/>
      </c>
      <c r="E827" s="15">
        <f>IF($D827="","",IFERROR(INDEX(nrCadetAgency,MATCH($D827,rngCadetPIDs,0)),""))</f>
        <v/>
      </c>
      <c r="F827" s="14" t="n"/>
      <c r="G827" s="15">
        <f>IF($F827="","",IFERROR(INDEX(rngEPname,MATCH($F827,rngEPcode,0)),"?"))</f>
        <v/>
      </c>
      <c r="H827" s="15">
        <f>IF($F827="","",IFERROR(INDEX(rngEPtype,MATCH($F827,rngEPcode,0)),"?"))</f>
        <v/>
      </c>
      <c r="I827" s="15">
        <f>IF($F827="","",IFERROR(INDEX(rngEPseq,MATCH($F827,rngEPcode,0)),""))</f>
        <v/>
      </c>
      <c r="J827" s="15">
        <f>IF($F827="","",IFERROR(INDEX(rngEPpass,MATCH($F827,rngEPcode,0)),cfgPassingScore))</f>
        <v/>
      </c>
      <c r="K827" s="14" t="n"/>
      <c r="L827" s="14" t="n"/>
      <c r="M827" s="15">
        <f>IF($C827="","",IF($L827="","",IF($K827=1,IF(COUNTIFS(nrES_PID,$D827,nrES_Code,$F827,nrES_Att,2)&gt;0,"",$L827),IF(COUNTIFS(nrES_PID,$D827,nrES_Code,$F827,nrES_Att,1)=0,$L827,IF($L827&gt;=$J827,cfgRetakeRecordedCap,SUMIFS(nrES_Raw,nrES_PID,$D827,nrES_Code,$F827,nrES_Att,1))))))</f>
        <v/>
      </c>
      <c r="N827" s="15">
        <f>IF($C827="","",IF($L827="","",IF($L827&gt;=$J827,"Yes","No")))</f>
        <v/>
      </c>
      <c r="O827" s="15">
        <f>IF($C827="","",IF($M827="","",IF($M827&gt;=$J827,"Yes","No")))</f>
        <v/>
      </c>
      <c r="P827" s="15">
        <f>IF($C827="","",IF($K827="","",IF(COUNTIFS(nrES_PID,$D827,nrES_Code,$F827,nrES_Att,"&gt;"&amp;$K827)=0,"Yes","No")))</f>
        <v/>
      </c>
      <c r="Q827" s="15">
        <f>IF($C827="","",IF($L827="","",IF(AND($K827=1,$L827&lt;$J827,COUNTIFS(nrES_PID,$D827,nrES_Code,$F827,nrES_Att,2)=0),"Yes","No")))</f>
        <v/>
      </c>
      <c r="R827" s="15">
        <f>IF($C827="","",IF($L827="","",IF(AND($K827=2,$L827&lt;$J827,COUNTIFS(nrES_PID,$D827,nrES_Code,$F827,nrES_Att,1)&gt;0),"Yes","No")))</f>
        <v/>
      </c>
      <c r="S827" s="16" t="n"/>
      <c r="T827" s="17">
        <f>IF($Q827&lt;&gt;"Yes","",IF($S827="","(enter date)",_xlfn.LET(_xlpm.dn,IFERROR(_xlfn.XLOOKUP($S827,nrCDdate,nrCDnum),""),IF(_xlpm.dn="","(not a class day)",IFERROR(_xlfn.XLOOKUP(_xlpm.dn+cfgRetestClassDays,nrCDnum,nrCDdate),"")))))</f>
        <v/>
      </c>
      <c r="U827" s="15">
        <f>IF($Q827&lt;&gt;"Yes","",IF(COUNTIFS(nrES_PID,$D827,nrES_Code,$F827,nrES_Att,2)&gt;0,"Retested",IF(OR($T827="",NOT(ISNUMBER($T827))),"Pending",IF(TODAY()&gt;$T827,"OVERDUE","Due "&amp;TEXT($T827,"mm/dd")))))</f>
        <v/>
      </c>
      <c r="V827" s="14" t="n"/>
      <c r="W827" s="14" t="n"/>
    </row>
    <row r="828">
      <c r="B828" s="15">
        <f>IF($C828="","",$D828&amp;"-"&amp;$F828&amp;"-"&amp;$K828)</f>
        <v/>
      </c>
      <c r="C828" s="14" t="n"/>
      <c r="D828" s="15">
        <f>IF($C828="","",IFERROR(INDEX(rngCadetPIDs,MATCH($C828,rngCadetNames,0)),"?"))</f>
        <v/>
      </c>
      <c r="E828" s="15">
        <f>IF($D828="","",IFERROR(INDEX(nrCadetAgency,MATCH($D828,rngCadetPIDs,0)),""))</f>
        <v/>
      </c>
      <c r="F828" s="14" t="n"/>
      <c r="G828" s="15">
        <f>IF($F828="","",IFERROR(INDEX(rngEPname,MATCH($F828,rngEPcode,0)),"?"))</f>
        <v/>
      </c>
      <c r="H828" s="15">
        <f>IF($F828="","",IFERROR(INDEX(rngEPtype,MATCH($F828,rngEPcode,0)),"?"))</f>
        <v/>
      </c>
      <c r="I828" s="15">
        <f>IF($F828="","",IFERROR(INDEX(rngEPseq,MATCH($F828,rngEPcode,0)),""))</f>
        <v/>
      </c>
      <c r="J828" s="15">
        <f>IF($F828="","",IFERROR(INDEX(rngEPpass,MATCH($F828,rngEPcode,0)),cfgPassingScore))</f>
        <v/>
      </c>
      <c r="K828" s="14" t="n"/>
      <c r="L828" s="14" t="n"/>
      <c r="M828" s="15">
        <f>IF($C828="","",IF($L828="","",IF($K828=1,IF(COUNTIFS(nrES_PID,$D828,nrES_Code,$F828,nrES_Att,2)&gt;0,"",$L828),IF(COUNTIFS(nrES_PID,$D828,nrES_Code,$F828,nrES_Att,1)=0,$L828,IF($L828&gt;=$J828,cfgRetakeRecordedCap,SUMIFS(nrES_Raw,nrES_PID,$D828,nrES_Code,$F828,nrES_Att,1))))))</f>
        <v/>
      </c>
      <c r="N828" s="15">
        <f>IF($C828="","",IF($L828="","",IF($L828&gt;=$J828,"Yes","No")))</f>
        <v/>
      </c>
      <c r="O828" s="15">
        <f>IF($C828="","",IF($M828="","",IF($M828&gt;=$J828,"Yes","No")))</f>
        <v/>
      </c>
      <c r="P828" s="15">
        <f>IF($C828="","",IF($K828="","",IF(COUNTIFS(nrES_PID,$D828,nrES_Code,$F828,nrES_Att,"&gt;"&amp;$K828)=0,"Yes","No")))</f>
        <v/>
      </c>
      <c r="Q828" s="15">
        <f>IF($C828="","",IF($L828="","",IF(AND($K828=1,$L828&lt;$J828,COUNTIFS(nrES_PID,$D828,nrES_Code,$F828,nrES_Att,2)=0),"Yes","No")))</f>
        <v/>
      </c>
      <c r="R828" s="15">
        <f>IF($C828="","",IF($L828="","",IF(AND($K828=2,$L828&lt;$J828,COUNTIFS(nrES_PID,$D828,nrES_Code,$F828,nrES_Att,1)&gt;0),"Yes","No")))</f>
        <v/>
      </c>
      <c r="S828" s="16" t="n"/>
      <c r="T828" s="17">
        <f>IF($Q828&lt;&gt;"Yes","",IF($S828="","(enter date)",_xlfn.LET(_xlpm.dn,IFERROR(_xlfn.XLOOKUP($S828,nrCDdate,nrCDnum),""),IF(_xlpm.dn="","(not a class day)",IFERROR(_xlfn.XLOOKUP(_xlpm.dn+cfgRetestClassDays,nrCDnum,nrCDdate),"")))))</f>
        <v/>
      </c>
      <c r="U828" s="15">
        <f>IF($Q828&lt;&gt;"Yes","",IF(COUNTIFS(nrES_PID,$D828,nrES_Code,$F828,nrES_Att,2)&gt;0,"Retested",IF(OR($T828="",NOT(ISNUMBER($T828))),"Pending",IF(TODAY()&gt;$T828,"OVERDUE","Due "&amp;TEXT($T828,"mm/dd")))))</f>
        <v/>
      </c>
      <c r="V828" s="14" t="n"/>
      <c r="W828" s="14" t="n"/>
    </row>
    <row r="829">
      <c r="B829" s="15">
        <f>IF($C829="","",$D829&amp;"-"&amp;$F829&amp;"-"&amp;$K829)</f>
        <v/>
      </c>
      <c r="C829" s="14" t="n"/>
      <c r="D829" s="15">
        <f>IF($C829="","",IFERROR(INDEX(rngCadetPIDs,MATCH($C829,rngCadetNames,0)),"?"))</f>
        <v/>
      </c>
      <c r="E829" s="15">
        <f>IF($D829="","",IFERROR(INDEX(nrCadetAgency,MATCH($D829,rngCadetPIDs,0)),""))</f>
        <v/>
      </c>
      <c r="F829" s="14" t="n"/>
      <c r="G829" s="15">
        <f>IF($F829="","",IFERROR(INDEX(rngEPname,MATCH($F829,rngEPcode,0)),"?"))</f>
        <v/>
      </c>
      <c r="H829" s="15">
        <f>IF($F829="","",IFERROR(INDEX(rngEPtype,MATCH($F829,rngEPcode,0)),"?"))</f>
        <v/>
      </c>
      <c r="I829" s="15">
        <f>IF($F829="","",IFERROR(INDEX(rngEPseq,MATCH($F829,rngEPcode,0)),""))</f>
        <v/>
      </c>
      <c r="J829" s="15">
        <f>IF($F829="","",IFERROR(INDEX(rngEPpass,MATCH($F829,rngEPcode,0)),cfgPassingScore))</f>
        <v/>
      </c>
      <c r="K829" s="14" t="n"/>
      <c r="L829" s="14" t="n"/>
      <c r="M829" s="15">
        <f>IF($C829="","",IF($L829="","",IF($K829=1,IF(COUNTIFS(nrES_PID,$D829,nrES_Code,$F829,nrES_Att,2)&gt;0,"",$L829),IF(COUNTIFS(nrES_PID,$D829,nrES_Code,$F829,nrES_Att,1)=0,$L829,IF($L829&gt;=$J829,cfgRetakeRecordedCap,SUMIFS(nrES_Raw,nrES_PID,$D829,nrES_Code,$F829,nrES_Att,1))))))</f>
        <v/>
      </c>
      <c r="N829" s="15">
        <f>IF($C829="","",IF($L829="","",IF($L829&gt;=$J829,"Yes","No")))</f>
        <v/>
      </c>
      <c r="O829" s="15">
        <f>IF($C829="","",IF($M829="","",IF($M829&gt;=$J829,"Yes","No")))</f>
        <v/>
      </c>
      <c r="P829" s="15">
        <f>IF($C829="","",IF($K829="","",IF(COUNTIFS(nrES_PID,$D829,nrES_Code,$F829,nrES_Att,"&gt;"&amp;$K829)=0,"Yes","No")))</f>
        <v/>
      </c>
      <c r="Q829" s="15">
        <f>IF($C829="","",IF($L829="","",IF(AND($K829=1,$L829&lt;$J829,COUNTIFS(nrES_PID,$D829,nrES_Code,$F829,nrES_Att,2)=0),"Yes","No")))</f>
        <v/>
      </c>
      <c r="R829" s="15">
        <f>IF($C829="","",IF($L829="","",IF(AND($K829=2,$L829&lt;$J829,COUNTIFS(nrES_PID,$D829,nrES_Code,$F829,nrES_Att,1)&gt;0),"Yes","No")))</f>
        <v/>
      </c>
      <c r="S829" s="16" t="n"/>
      <c r="T829" s="17">
        <f>IF($Q829&lt;&gt;"Yes","",IF($S829="","(enter date)",_xlfn.LET(_xlpm.dn,IFERROR(_xlfn.XLOOKUP($S829,nrCDdate,nrCDnum),""),IF(_xlpm.dn="","(not a class day)",IFERROR(_xlfn.XLOOKUP(_xlpm.dn+cfgRetestClassDays,nrCDnum,nrCDdate),"")))))</f>
        <v/>
      </c>
      <c r="U829" s="15">
        <f>IF($Q829&lt;&gt;"Yes","",IF(COUNTIFS(nrES_PID,$D829,nrES_Code,$F829,nrES_Att,2)&gt;0,"Retested",IF(OR($T829="",NOT(ISNUMBER($T829))),"Pending",IF(TODAY()&gt;$T829,"OVERDUE","Due "&amp;TEXT($T829,"mm/dd")))))</f>
        <v/>
      </c>
      <c r="V829" s="14" t="n"/>
      <c r="W829" s="14" t="n"/>
    </row>
    <row r="830">
      <c r="B830" s="15">
        <f>IF($C830="","",$D830&amp;"-"&amp;$F830&amp;"-"&amp;$K830)</f>
        <v/>
      </c>
      <c r="C830" s="14" t="n"/>
      <c r="D830" s="15">
        <f>IF($C830="","",IFERROR(INDEX(rngCadetPIDs,MATCH($C830,rngCadetNames,0)),"?"))</f>
        <v/>
      </c>
      <c r="E830" s="15">
        <f>IF($D830="","",IFERROR(INDEX(nrCadetAgency,MATCH($D830,rngCadetPIDs,0)),""))</f>
        <v/>
      </c>
      <c r="F830" s="14" t="n"/>
      <c r="G830" s="15">
        <f>IF($F830="","",IFERROR(INDEX(rngEPname,MATCH($F830,rngEPcode,0)),"?"))</f>
        <v/>
      </c>
      <c r="H830" s="15">
        <f>IF($F830="","",IFERROR(INDEX(rngEPtype,MATCH($F830,rngEPcode,0)),"?"))</f>
        <v/>
      </c>
      <c r="I830" s="15">
        <f>IF($F830="","",IFERROR(INDEX(rngEPseq,MATCH($F830,rngEPcode,0)),""))</f>
        <v/>
      </c>
      <c r="J830" s="15">
        <f>IF($F830="","",IFERROR(INDEX(rngEPpass,MATCH($F830,rngEPcode,0)),cfgPassingScore))</f>
        <v/>
      </c>
      <c r="K830" s="14" t="n"/>
      <c r="L830" s="14" t="n"/>
      <c r="M830" s="15">
        <f>IF($C830="","",IF($L830="","",IF($K830=1,IF(COUNTIFS(nrES_PID,$D830,nrES_Code,$F830,nrES_Att,2)&gt;0,"",$L830),IF(COUNTIFS(nrES_PID,$D830,nrES_Code,$F830,nrES_Att,1)=0,$L830,IF($L830&gt;=$J830,cfgRetakeRecordedCap,SUMIFS(nrES_Raw,nrES_PID,$D830,nrES_Code,$F830,nrES_Att,1))))))</f>
        <v/>
      </c>
      <c r="N830" s="15">
        <f>IF($C830="","",IF($L830="","",IF($L830&gt;=$J830,"Yes","No")))</f>
        <v/>
      </c>
      <c r="O830" s="15">
        <f>IF($C830="","",IF($M830="","",IF($M830&gt;=$J830,"Yes","No")))</f>
        <v/>
      </c>
      <c r="P830" s="15">
        <f>IF($C830="","",IF($K830="","",IF(COUNTIFS(nrES_PID,$D830,nrES_Code,$F830,nrES_Att,"&gt;"&amp;$K830)=0,"Yes","No")))</f>
        <v/>
      </c>
      <c r="Q830" s="15">
        <f>IF($C830="","",IF($L830="","",IF(AND($K830=1,$L830&lt;$J830,COUNTIFS(nrES_PID,$D830,nrES_Code,$F830,nrES_Att,2)=0),"Yes","No")))</f>
        <v/>
      </c>
      <c r="R830" s="15">
        <f>IF($C830="","",IF($L830="","",IF(AND($K830=2,$L830&lt;$J830,COUNTIFS(nrES_PID,$D830,nrES_Code,$F830,nrES_Att,1)&gt;0),"Yes","No")))</f>
        <v/>
      </c>
      <c r="S830" s="16" t="n"/>
      <c r="T830" s="17">
        <f>IF($Q830&lt;&gt;"Yes","",IF($S830="","(enter date)",_xlfn.LET(_xlpm.dn,IFERROR(_xlfn.XLOOKUP($S830,nrCDdate,nrCDnum),""),IF(_xlpm.dn="","(not a class day)",IFERROR(_xlfn.XLOOKUP(_xlpm.dn+cfgRetestClassDays,nrCDnum,nrCDdate),"")))))</f>
        <v/>
      </c>
      <c r="U830" s="15">
        <f>IF($Q830&lt;&gt;"Yes","",IF(COUNTIFS(nrES_PID,$D830,nrES_Code,$F830,nrES_Att,2)&gt;0,"Retested",IF(OR($T830="",NOT(ISNUMBER($T830))),"Pending",IF(TODAY()&gt;$T830,"OVERDUE","Due "&amp;TEXT($T830,"mm/dd")))))</f>
        <v/>
      </c>
      <c r="V830" s="14" t="n"/>
      <c r="W830" s="14" t="n"/>
    </row>
    <row r="831">
      <c r="B831" s="15">
        <f>IF($C831="","",$D831&amp;"-"&amp;$F831&amp;"-"&amp;$K831)</f>
        <v/>
      </c>
      <c r="C831" s="14" t="n"/>
      <c r="D831" s="15">
        <f>IF($C831="","",IFERROR(INDEX(rngCadetPIDs,MATCH($C831,rngCadetNames,0)),"?"))</f>
        <v/>
      </c>
      <c r="E831" s="15">
        <f>IF($D831="","",IFERROR(INDEX(nrCadetAgency,MATCH($D831,rngCadetPIDs,0)),""))</f>
        <v/>
      </c>
      <c r="F831" s="14" t="n"/>
      <c r="G831" s="15">
        <f>IF($F831="","",IFERROR(INDEX(rngEPname,MATCH($F831,rngEPcode,0)),"?"))</f>
        <v/>
      </c>
      <c r="H831" s="15">
        <f>IF($F831="","",IFERROR(INDEX(rngEPtype,MATCH($F831,rngEPcode,0)),"?"))</f>
        <v/>
      </c>
      <c r="I831" s="15">
        <f>IF($F831="","",IFERROR(INDEX(rngEPseq,MATCH($F831,rngEPcode,0)),""))</f>
        <v/>
      </c>
      <c r="J831" s="15">
        <f>IF($F831="","",IFERROR(INDEX(rngEPpass,MATCH($F831,rngEPcode,0)),cfgPassingScore))</f>
        <v/>
      </c>
      <c r="K831" s="14" t="n"/>
      <c r="L831" s="14" t="n"/>
      <c r="M831" s="15">
        <f>IF($C831="","",IF($L831="","",IF($K831=1,IF(COUNTIFS(nrES_PID,$D831,nrES_Code,$F831,nrES_Att,2)&gt;0,"",$L831),IF(COUNTIFS(nrES_PID,$D831,nrES_Code,$F831,nrES_Att,1)=0,$L831,IF($L831&gt;=$J831,cfgRetakeRecordedCap,SUMIFS(nrES_Raw,nrES_PID,$D831,nrES_Code,$F831,nrES_Att,1))))))</f>
        <v/>
      </c>
      <c r="N831" s="15">
        <f>IF($C831="","",IF($L831="","",IF($L831&gt;=$J831,"Yes","No")))</f>
        <v/>
      </c>
      <c r="O831" s="15">
        <f>IF($C831="","",IF($M831="","",IF($M831&gt;=$J831,"Yes","No")))</f>
        <v/>
      </c>
      <c r="P831" s="15">
        <f>IF($C831="","",IF($K831="","",IF(COUNTIFS(nrES_PID,$D831,nrES_Code,$F831,nrES_Att,"&gt;"&amp;$K831)=0,"Yes","No")))</f>
        <v/>
      </c>
      <c r="Q831" s="15">
        <f>IF($C831="","",IF($L831="","",IF(AND($K831=1,$L831&lt;$J831,COUNTIFS(nrES_PID,$D831,nrES_Code,$F831,nrES_Att,2)=0),"Yes","No")))</f>
        <v/>
      </c>
      <c r="R831" s="15">
        <f>IF($C831="","",IF($L831="","",IF(AND($K831=2,$L831&lt;$J831,COUNTIFS(nrES_PID,$D831,nrES_Code,$F831,nrES_Att,1)&gt;0),"Yes","No")))</f>
        <v/>
      </c>
      <c r="S831" s="16" t="n"/>
      <c r="T831" s="17">
        <f>IF($Q831&lt;&gt;"Yes","",IF($S831="","(enter date)",_xlfn.LET(_xlpm.dn,IFERROR(_xlfn.XLOOKUP($S831,nrCDdate,nrCDnum),""),IF(_xlpm.dn="","(not a class day)",IFERROR(_xlfn.XLOOKUP(_xlpm.dn+cfgRetestClassDays,nrCDnum,nrCDdate),"")))))</f>
        <v/>
      </c>
      <c r="U831" s="15">
        <f>IF($Q831&lt;&gt;"Yes","",IF(COUNTIFS(nrES_PID,$D831,nrES_Code,$F831,nrES_Att,2)&gt;0,"Retested",IF(OR($T831="",NOT(ISNUMBER($T831))),"Pending",IF(TODAY()&gt;$T831,"OVERDUE","Due "&amp;TEXT($T831,"mm/dd")))))</f>
        <v/>
      </c>
      <c r="V831" s="14" t="n"/>
      <c r="W831" s="14" t="n"/>
    </row>
    <row r="832">
      <c r="B832" s="15">
        <f>IF($C832="","",$D832&amp;"-"&amp;$F832&amp;"-"&amp;$K832)</f>
        <v/>
      </c>
      <c r="C832" s="14" t="n"/>
      <c r="D832" s="15">
        <f>IF($C832="","",IFERROR(INDEX(rngCadetPIDs,MATCH($C832,rngCadetNames,0)),"?"))</f>
        <v/>
      </c>
      <c r="E832" s="15">
        <f>IF($D832="","",IFERROR(INDEX(nrCadetAgency,MATCH($D832,rngCadetPIDs,0)),""))</f>
        <v/>
      </c>
      <c r="F832" s="14" t="n"/>
      <c r="G832" s="15">
        <f>IF($F832="","",IFERROR(INDEX(rngEPname,MATCH($F832,rngEPcode,0)),"?"))</f>
        <v/>
      </c>
      <c r="H832" s="15">
        <f>IF($F832="","",IFERROR(INDEX(rngEPtype,MATCH($F832,rngEPcode,0)),"?"))</f>
        <v/>
      </c>
      <c r="I832" s="15">
        <f>IF($F832="","",IFERROR(INDEX(rngEPseq,MATCH($F832,rngEPcode,0)),""))</f>
        <v/>
      </c>
      <c r="J832" s="15">
        <f>IF($F832="","",IFERROR(INDEX(rngEPpass,MATCH($F832,rngEPcode,0)),cfgPassingScore))</f>
        <v/>
      </c>
      <c r="K832" s="14" t="n"/>
      <c r="L832" s="14" t="n"/>
      <c r="M832" s="15">
        <f>IF($C832="","",IF($L832="","",IF($K832=1,IF(COUNTIFS(nrES_PID,$D832,nrES_Code,$F832,nrES_Att,2)&gt;0,"",$L832),IF(COUNTIFS(nrES_PID,$D832,nrES_Code,$F832,nrES_Att,1)=0,$L832,IF($L832&gt;=$J832,cfgRetakeRecordedCap,SUMIFS(nrES_Raw,nrES_PID,$D832,nrES_Code,$F832,nrES_Att,1))))))</f>
        <v/>
      </c>
      <c r="N832" s="15">
        <f>IF($C832="","",IF($L832="","",IF($L832&gt;=$J832,"Yes","No")))</f>
        <v/>
      </c>
      <c r="O832" s="15">
        <f>IF($C832="","",IF($M832="","",IF($M832&gt;=$J832,"Yes","No")))</f>
        <v/>
      </c>
      <c r="P832" s="15">
        <f>IF($C832="","",IF($K832="","",IF(COUNTIFS(nrES_PID,$D832,nrES_Code,$F832,nrES_Att,"&gt;"&amp;$K832)=0,"Yes","No")))</f>
        <v/>
      </c>
      <c r="Q832" s="15">
        <f>IF($C832="","",IF($L832="","",IF(AND($K832=1,$L832&lt;$J832,COUNTIFS(nrES_PID,$D832,nrES_Code,$F832,nrES_Att,2)=0),"Yes","No")))</f>
        <v/>
      </c>
      <c r="R832" s="15">
        <f>IF($C832="","",IF($L832="","",IF(AND($K832=2,$L832&lt;$J832,COUNTIFS(nrES_PID,$D832,nrES_Code,$F832,nrES_Att,1)&gt;0),"Yes","No")))</f>
        <v/>
      </c>
      <c r="S832" s="16" t="n"/>
      <c r="T832" s="17">
        <f>IF($Q832&lt;&gt;"Yes","",IF($S832="","(enter date)",_xlfn.LET(_xlpm.dn,IFERROR(_xlfn.XLOOKUP($S832,nrCDdate,nrCDnum),""),IF(_xlpm.dn="","(not a class day)",IFERROR(_xlfn.XLOOKUP(_xlpm.dn+cfgRetestClassDays,nrCDnum,nrCDdate),"")))))</f>
        <v/>
      </c>
      <c r="U832" s="15">
        <f>IF($Q832&lt;&gt;"Yes","",IF(COUNTIFS(nrES_PID,$D832,nrES_Code,$F832,nrES_Att,2)&gt;0,"Retested",IF(OR($T832="",NOT(ISNUMBER($T832))),"Pending",IF(TODAY()&gt;$T832,"OVERDUE","Due "&amp;TEXT($T832,"mm/dd")))))</f>
        <v/>
      </c>
      <c r="V832" s="14" t="n"/>
      <c r="W832" s="14" t="n"/>
    </row>
    <row r="833">
      <c r="B833" s="15">
        <f>IF($C833="","",$D833&amp;"-"&amp;$F833&amp;"-"&amp;$K833)</f>
        <v/>
      </c>
      <c r="C833" s="14" t="n"/>
      <c r="D833" s="15">
        <f>IF($C833="","",IFERROR(INDEX(rngCadetPIDs,MATCH($C833,rngCadetNames,0)),"?"))</f>
        <v/>
      </c>
      <c r="E833" s="15">
        <f>IF($D833="","",IFERROR(INDEX(nrCadetAgency,MATCH($D833,rngCadetPIDs,0)),""))</f>
        <v/>
      </c>
      <c r="F833" s="14" t="n"/>
      <c r="G833" s="15">
        <f>IF($F833="","",IFERROR(INDEX(rngEPname,MATCH($F833,rngEPcode,0)),"?"))</f>
        <v/>
      </c>
      <c r="H833" s="15">
        <f>IF($F833="","",IFERROR(INDEX(rngEPtype,MATCH($F833,rngEPcode,0)),"?"))</f>
        <v/>
      </c>
      <c r="I833" s="15">
        <f>IF($F833="","",IFERROR(INDEX(rngEPseq,MATCH($F833,rngEPcode,0)),""))</f>
        <v/>
      </c>
      <c r="J833" s="15">
        <f>IF($F833="","",IFERROR(INDEX(rngEPpass,MATCH($F833,rngEPcode,0)),cfgPassingScore))</f>
        <v/>
      </c>
      <c r="K833" s="14" t="n"/>
      <c r="L833" s="14" t="n"/>
      <c r="M833" s="15">
        <f>IF($C833="","",IF($L833="","",IF($K833=1,IF(COUNTIFS(nrES_PID,$D833,nrES_Code,$F833,nrES_Att,2)&gt;0,"",$L833),IF(COUNTIFS(nrES_PID,$D833,nrES_Code,$F833,nrES_Att,1)=0,$L833,IF($L833&gt;=$J833,cfgRetakeRecordedCap,SUMIFS(nrES_Raw,nrES_PID,$D833,nrES_Code,$F833,nrES_Att,1))))))</f>
        <v/>
      </c>
      <c r="N833" s="15">
        <f>IF($C833="","",IF($L833="","",IF($L833&gt;=$J833,"Yes","No")))</f>
        <v/>
      </c>
      <c r="O833" s="15">
        <f>IF($C833="","",IF($M833="","",IF($M833&gt;=$J833,"Yes","No")))</f>
        <v/>
      </c>
      <c r="P833" s="15">
        <f>IF($C833="","",IF($K833="","",IF(COUNTIFS(nrES_PID,$D833,nrES_Code,$F833,nrES_Att,"&gt;"&amp;$K833)=0,"Yes","No")))</f>
        <v/>
      </c>
      <c r="Q833" s="15">
        <f>IF($C833="","",IF($L833="","",IF(AND($K833=1,$L833&lt;$J833,COUNTIFS(nrES_PID,$D833,nrES_Code,$F833,nrES_Att,2)=0),"Yes","No")))</f>
        <v/>
      </c>
      <c r="R833" s="15">
        <f>IF($C833="","",IF($L833="","",IF(AND($K833=2,$L833&lt;$J833,COUNTIFS(nrES_PID,$D833,nrES_Code,$F833,nrES_Att,1)&gt;0),"Yes","No")))</f>
        <v/>
      </c>
      <c r="S833" s="16" t="n"/>
      <c r="T833" s="17">
        <f>IF($Q833&lt;&gt;"Yes","",IF($S833="","(enter date)",_xlfn.LET(_xlpm.dn,IFERROR(_xlfn.XLOOKUP($S833,nrCDdate,nrCDnum),""),IF(_xlpm.dn="","(not a class day)",IFERROR(_xlfn.XLOOKUP(_xlpm.dn+cfgRetestClassDays,nrCDnum,nrCDdate),"")))))</f>
        <v/>
      </c>
      <c r="U833" s="15">
        <f>IF($Q833&lt;&gt;"Yes","",IF(COUNTIFS(nrES_PID,$D833,nrES_Code,$F833,nrES_Att,2)&gt;0,"Retested",IF(OR($T833="",NOT(ISNUMBER($T833))),"Pending",IF(TODAY()&gt;$T833,"OVERDUE","Due "&amp;TEXT($T833,"mm/dd")))))</f>
        <v/>
      </c>
      <c r="V833" s="14" t="n"/>
      <c r="W833" s="14" t="n"/>
    </row>
    <row r="834">
      <c r="B834" s="15">
        <f>IF($C834="","",$D834&amp;"-"&amp;$F834&amp;"-"&amp;$K834)</f>
        <v/>
      </c>
      <c r="C834" s="14" t="n"/>
      <c r="D834" s="15">
        <f>IF($C834="","",IFERROR(INDEX(rngCadetPIDs,MATCH($C834,rngCadetNames,0)),"?"))</f>
        <v/>
      </c>
      <c r="E834" s="15">
        <f>IF($D834="","",IFERROR(INDEX(nrCadetAgency,MATCH($D834,rngCadetPIDs,0)),""))</f>
        <v/>
      </c>
      <c r="F834" s="14" t="n"/>
      <c r="G834" s="15">
        <f>IF($F834="","",IFERROR(INDEX(rngEPname,MATCH($F834,rngEPcode,0)),"?"))</f>
        <v/>
      </c>
      <c r="H834" s="15">
        <f>IF($F834="","",IFERROR(INDEX(rngEPtype,MATCH($F834,rngEPcode,0)),"?"))</f>
        <v/>
      </c>
      <c r="I834" s="15">
        <f>IF($F834="","",IFERROR(INDEX(rngEPseq,MATCH($F834,rngEPcode,0)),""))</f>
        <v/>
      </c>
      <c r="J834" s="15">
        <f>IF($F834="","",IFERROR(INDEX(rngEPpass,MATCH($F834,rngEPcode,0)),cfgPassingScore))</f>
        <v/>
      </c>
      <c r="K834" s="14" t="n"/>
      <c r="L834" s="14" t="n"/>
      <c r="M834" s="15">
        <f>IF($C834="","",IF($L834="","",IF($K834=1,IF(COUNTIFS(nrES_PID,$D834,nrES_Code,$F834,nrES_Att,2)&gt;0,"",$L834),IF(COUNTIFS(nrES_PID,$D834,nrES_Code,$F834,nrES_Att,1)=0,$L834,IF($L834&gt;=$J834,cfgRetakeRecordedCap,SUMIFS(nrES_Raw,nrES_PID,$D834,nrES_Code,$F834,nrES_Att,1))))))</f>
        <v/>
      </c>
      <c r="N834" s="15">
        <f>IF($C834="","",IF($L834="","",IF($L834&gt;=$J834,"Yes","No")))</f>
        <v/>
      </c>
      <c r="O834" s="15">
        <f>IF($C834="","",IF($M834="","",IF($M834&gt;=$J834,"Yes","No")))</f>
        <v/>
      </c>
      <c r="P834" s="15">
        <f>IF($C834="","",IF($K834="","",IF(COUNTIFS(nrES_PID,$D834,nrES_Code,$F834,nrES_Att,"&gt;"&amp;$K834)=0,"Yes","No")))</f>
        <v/>
      </c>
      <c r="Q834" s="15">
        <f>IF($C834="","",IF($L834="","",IF(AND($K834=1,$L834&lt;$J834,COUNTIFS(nrES_PID,$D834,nrES_Code,$F834,nrES_Att,2)=0),"Yes","No")))</f>
        <v/>
      </c>
      <c r="R834" s="15">
        <f>IF($C834="","",IF($L834="","",IF(AND($K834=2,$L834&lt;$J834,COUNTIFS(nrES_PID,$D834,nrES_Code,$F834,nrES_Att,1)&gt;0),"Yes","No")))</f>
        <v/>
      </c>
      <c r="S834" s="16" t="n"/>
      <c r="T834" s="17">
        <f>IF($Q834&lt;&gt;"Yes","",IF($S834="","(enter date)",_xlfn.LET(_xlpm.dn,IFERROR(_xlfn.XLOOKUP($S834,nrCDdate,nrCDnum),""),IF(_xlpm.dn="","(not a class day)",IFERROR(_xlfn.XLOOKUP(_xlpm.dn+cfgRetestClassDays,nrCDnum,nrCDdate),"")))))</f>
        <v/>
      </c>
      <c r="U834" s="15">
        <f>IF($Q834&lt;&gt;"Yes","",IF(COUNTIFS(nrES_PID,$D834,nrES_Code,$F834,nrES_Att,2)&gt;0,"Retested",IF(OR($T834="",NOT(ISNUMBER($T834))),"Pending",IF(TODAY()&gt;$T834,"OVERDUE","Due "&amp;TEXT($T834,"mm/dd")))))</f>
        <v/>
      </c>
      <c r="V834" s="14" t="n"/>
      <c r="W834" s="14" t="n"/>
    </row>
    <row r="835">
      <c r="B835" s="15">
        <f>IF($C835="","",$D835&amp;"-"&amp;$F835&amp;"-"&amp;$K835)</f>
        <v/>
      </c>
      <c r="C835" s="14" t="n"/>
      <c r="D835" s="15">
        <f>IF($C835="","",IFERROR(INDEX(rngCadetPIDs,MATCH($C835,rngCadetNames,0)),"?"))</f>
        <v/>
      </c>
      <c r="E835" s="15">
        <f>IF($D835="","",IFERROR(INDEX(nrCadetAgency,MATCH($D835,rngCadetPIDs,0)),""))</f>
        <v/>
      </c>
      <c r="F835" s="14" t="n"/>
      <c r="G835" s="15">
        <f>IF($F835="","",IFERROR(INDEX(rngEPname,MATCH($F835,rngEPcode,0)),"?"))</f>
        <v/>
      </c>
      <c r="H835" s="15">
        <f>IF($F835="","",IFERROR(INDEX(rngEPtype,MATCH($F835,rngEPcode,0)),"?"))</f>
        <v/>
      </c>
      <c r="I835" s="15">
        <f>IF($F835="","",IFERROR(INDEX(rngEPseq,MATCH($F835,rngEPcode,0)),""))</f>
        <v/>
      </c>
      <c r="J835" s="15">
        <f>IF($F835="","",IFERROR(INDEX(rngEPpass,MATCH($F835,rngEPcode,0)),cfgPassingScore))</f>
        <v/>
      </c>
      <c r="K835" s="14" t="n"/>
      <c r="L835" s="14" t="n"/>
      <c r="M835" s="15">
        <f>IF($C835="","",IF($L835="","",IF($K835=1,IF(COUNTIFS(nrES_PID,$D835,nrES_Code,$F835,nrES_Att,2)&gt;0,"",$L835),IF(COUNTIFS(nrES_PID,$D835,nrES_Code,$F835,nrES_Att,1)=0,$L835,IF($L835&gt;=$J835,cfgRetakeRecordedCap,SUMIFS(nrES_Raw,nrES_PID,$D835,nrES_Code,$F835,nrES_Att,1))))))</f>
        <v/>
      </c>
      <c r="N835" s="15">
        <f>IF($C835="","",IF($L835="","",IF($L835&gt;=$J835,"Yes","No")))</f>
        <v/>
      </c>
      <c r="O835" s="15">
        <f>IF($C835="","",IF($M835="","",IF($M835&gt;=$J835,"Yes","No")))</f>
        <v/>
      </c>
      <c r="P835" s="15">
        <f>IF($C835="","",IF($K835="","",IF(COUNTIFS(nrES_PID,$D835,nrES_Code,$F835,nrES_Att,"&gt;"&amp;$K835)=0,"Yes","No")))</f>
        <v/>
      </c>
      <c r="Q835" s="15">
        <f>IF($C835="","",IF($L835="","",IF(AND($K835=1,$L835&lt;$J835,COUNTIFS(nrES_PID,$D835,nrES_Code,$F835,nrES_Att,2)=0),"Yes","No")))</f>
        <v/>
      </c>
      <c r="R835" s="15">
        <f>IF($C835="","",IF($L835="","",IF(AND($K835=2,$L835&lt;$J835,COUNTIFS(nrES_PID,$D835,nrES_Code,$F835,nrES_Att,1)&gt;0),"Yes","No")))</f>
        <v/>
      </c>
      <c r="S835" s="16" t="n"/>
      <c r="T835" s="17">
        <f>IF($Q835&lt;&gt;"Yes","",IF($S835="","(enter date)",_xlfn.LET(_xlpm.dn,IFERROR(_xlfn.XLOOKUP($S835,nrCDdate,nrCDnum),""),IF(_xlpm.dn="","(not a class day)",IFERROR(_xlfn.XLOOKUP(_xlpm.dn+cfgRetestClassDays,nrCDnum,nrCDdate),"")))))</f>
        <v/>
      </c>
      <c r="U835" s="15">
        <f>IF($Q835&lt;&gt;"Yes","",IF(COUNTIFS(nrES_PID,$D835,nrES_Code,$F835,nrES_Att,2)&gt;0,"Retested",IF(OR($T835="",NOT(ISNUMBER($T835))),"Pending",IF(TODAY()&gt;$T835,"OVERDUE","Due "&amp;TEXT($T835,"mm/dd")))))</f>
        <v/>
      </c>
      <c r="V835" s="14" t="n"/>
      <c r="W835" s="14" t="n"/>
    </row>
    <row r="836">
      <c r="B836" s="15">
        <f>IF($C836="","",$D836&amp;"-"&amp;$F836&amp;"-"&amp;$K836)</f>
        <v/>
      </c>
      <c r="C836" s="14" t="n"/>
      <c r="D836" s="15">
        <f>IF($C836="","",IFERROR(INDEX(rngCadetPIDs,MATCH($C836,rngCadetNames,0)),"?"))</f>
        <v/>
      </c>
      <c r="E836" s="15">
        <f>IF($D836="","",IFERROR(INDEX(nrCadetAgency,MATCH($D836,rngCadetPIDs,0)),""))</f>
        <v/>
      </c>
      <c r="F836" s="14" t="n"/>
      <c r="G836" s="15">
        <f>IF($F836="","",IFERROR(INDEX(rngEPname,MATCH($F836,rngEPcode,0)),"?"))</f>
        <v/>
      </c>
      <c r="H836" s="15">
        <f>IF($F836="","",IFERROR(INDEX(rngEPtype,MATCH($F836,rngEPcode,0)),"?"))</f>
        <v/>
      </c>
      <c r="I836" s="15">
        <f>IF($F836="","",IFERROR(INDEX(rngEPseq,MATCH($F836,rngEPcode,0)),""))</f>
        <v/>
      </c>
      <c r="J836" s="15">
        <f>IF($F836="","",IFERROR(INDEX(rngEPpass,MATCH($F836,rngEPcode,0)),cfgPassingScore))</f>
        <v/>
      </c>
      <c r="K836" s="14" t="n"/>
      <c r="L836" s="14" t="n"/>
      <c r="M836" s="15">
        <f>IF($C836="","",IF($L836="","",IF($K836=1,IF(COUNTIFS(nrES_PID,$D836,nrES_Code,$F836,nrES_Att,2)&gt;0,"",$L836),IF(COUNTIFS(nrES_PID,$D836,nrES_Code,$F836,nrES_Att,1)=0,$L836,IF($L836&gt;=$J836,cfgRetakeRecordedCap,SUMIFS(nrES_Raw,nrES_PID,$D836,nrES_Code,$F836,nrES_Att,1))))))</f>
        <v/>
      </c>
      <c r="N836" s="15">
        <f>IF($C836="","",IF($L836="","",IF($L836&gt;=$J836,"Yes","No")))</f>
        <v/>
      </c>
      <c r="O836" s="15">
        <f>IF($C836="","",IF($M836="","",IF($M836&gt;=$J836,"Yes","No")))</f>
        <v/>
      </c>
      <c r="P836" s="15">
        <f>IF($C836="","",IF($K836="","",IF(COUNTIFS(nrES_PID,$D836,nrES_Code,$F836,nrES_Att,"&gt;"&amp;$K836)=0,"Yes","No")))</f>
        <v/>
      </c>
      <c r="Q836" s="15">
        <f>IF($C836="","",IF($L836="","",IF(AND($K836=1,$L836&lt;$J836,COUNTIFS(nrES_PID,$D836,nrES_Code,$F836,nrES_Att,2)=0),"Yes","No")))</f>
        <v/>
      </c>
      <c r="R836" s="15">
        <f>IF($C836="","",IF($L836="","",IF(AND($K836=2,$L836&lt;$J836,COUNTIFS(nrES_PID,$D836,nrES_Code,$F836,nrES_Att,1)&gt;0),"Yes","No")))</f>
        <v/>
      </c>
      <c r="S836" s="16" t="n"/>
      <c r="T836" s="17">
        <f>IF($Q836&lt;&gt;"Yes","",IF($S836="","(enter date)",_xlfn.LET(_xlpm.dn,IFERROR(_xlfn.XLOOKUP($S836,nrCDdate,nrCDnum),""),IF(_xlpm.dn="","(not a class day)",IFERROR(_xlfn.XLOOKUP(_xlpm.dn+cfgRetestClassDays,nrCDnum,nrCDdate),"")))))</f>
        <v/>
      </c>
      <c r="U836" s="15">
        <f>IF($Q836&lt;&gt;"Yes","",IF(COUNTIFS(nrES_PID,$D836,nrES_Code,$F836,nrES_Att,2)&gt;0,"Retested",IF(OR($T836="",NOT(ISNUMBER($T836))),"Pending",IF(TODAY()&gt;$T836,"OVERDUE","Due "&amp;TEXT($T836,"mm/dd")))))</f>
        <v/>
      </c>
      <c r="V836" s="14" t="n"/>
      <c r="W836" s="14" t="n"/>
    </row>
    <row r="837">
      <c r="B837" s="15">
        <f>IF($C837="","",$D837&amp;"-"&amp;$F837&amp;"-"&amp;$K837)</f>
        <v/>
      </c>
      <c r="C837" s="14" t="n"/>
      <c r="D837" s="15">
        <f>IF($C837="","",IFERROR(INDEX(rngCadetPIDs,MATCH($C837,rngCadetNames,0)),"?"))</f>
        <v/>
      </c>
      <c r="E837" s="15">
        <f>IF($D837="","",IFERROR(INDEX(nrCadetAgency,MATCH($D837,rngCadetPIDs,0)),""))</f>
        <v/>
      </c>
      <c r="F837" s="14" t="n"/>
      <c r="G837" s="15">
        <f>IF($F837="","",IFERROR(INDEX(rngEPname,MATCH($F837,rngEPcode,0)),"?"))</f>
        <v/>
      </c>
      <c r="H837" s="15">
        <f>IF($F837="","",IFERROR(INDEX(rngEPtype,MATCH($F837,rngEPcode,0)),"?"))</f>
        <v/>
      </c>
      <c r="I837" s="15">
        <f>IF($F837="","",IFERROR(INDEX(rngEPseq,MATCH($F837,rngEPcode,0)),""))</f>
        <v/>
      </c>
      <c r="J837" s="15">
        <f>IF($F837="","",IFERROR(INDEX(rngEPpass,MATCH($F837,rngEPcode,0)),cfgPassingScore))</f>
        <v/>
      </c>
      <c r="K837" s="14" t="n"/>
      <c r="L837" s="14" t="n"/>
      <c r="M837" s="15">
        <f>IF($C837="","",IF($L837="","",IF($K837=1,IF(COUNTIFS(nrES_PID,$D837,nrES_Code,$F837,nrES_Att,2)&gt;0,"",$L837),IF(COUNTIFS(nrES_PID,$D837,nrES_Code,$F837,nrES_Att,1)=0,$L837,IF($L837&gt;=$J837,cfgRetakeRecordedCap,SUMIFS(nrES_Raw,nrES_PID,$D837,nrES_Code,$F837,nrES_Att,1))))))</f>
        <v/>
      </c>
      <c r="N837" s="15">
        <f>IF($C837="","",IF($L837="","",IF($L837&gt;=$J837,"Yes","No")))</f>
        <v/>
      </c>
      <c r="O837" s="15">
        <f>IF($C837="","",IF($M837="","",IF($M837&gt;=$J837,"Yes","No")))</f>
        <v/>
      </c>
      <c r="P837" s="15">
        <f>IF($C837="","",IF($K837="","",IF(COUNTIFS(nrES_PID,$D837,nrES_Code,$F837,nrES_Att,"&gt;"&amp;$K837)=0,"Yes","No")))</f>
        <v/>
      </c>
      <c r="Q837" s="15">
        <f>IF($C837="","",IF($L837="","",IF(AND($K837=1,$L837&lt;$J837,COUNTIFS(nrES_PID,$D837,nrES_Code,$F837,nrES_Att,2)=0),"Yes","No")))</f>
        <v/>
      </c>
      <c r="R837" s="15">
        <f>IF($C837="","",IF($L837="","",IF(AND($K837=2,$L837&lt;$J837,COUNTIFS(nrES_PID,$D837,nrES_Code,$F837,nrES_Att,1)&gt;0),"Yes","No")))</f>
        <v/>
      </c>
      <c r="S837" s="16" t="n"/>
      <c r="T837" s="17">
        <f>IF($Q837&lt;&gt;"Yes","",IF($S837="","(enter date)",_xlfn.LET(_xlpm.dn,IFERROR(_xlfn.XLOOKUP($S837,nrCDdate,nrCDnum),""),IF(_xlpm.dn="","(not a class day)",IFERROR(_xlfn.XLOOKUP(_xlpm.dn+cfgRetestClassDays,nrCDnum,nrCDdate),"")))))</f>
        <v/>
      </c>
      <c r="U837" s="15">
        <f>IF($Q837&lt;&gt;"Yes","",IF(COUNTIFS(nrES_PID,$D837,nrES_Code,$F837,nrES_Att,2)&gt;0,"Retested",IF(OR($T837="",NOT(ISNUMBER($T837))),"Pending",IF(TODAY()&gt;$T837,"OVERDUE","Due "&amp;TEXT($T837,"mm/dd")))))</f>
        <v/>
      </c>
      <c r="V837" s="14" t="n"/>
      <c r="W837" s="14" t="n"/>
    </row>
    <row r="838">
      <c r="B838" s="15">
        <f>IF($C838="","",$D838&amp;"-"&amp;$F838&amp;"-"&amp;$K838)</f>
        <v/>
      </c>
      <c r="C838" s="14" t="n"/>
      <c r="D838" s="15">
        <f>IF($C838="","",IFERROR(INDEX(rngCadetPIDs,MATCH($C838,rngCadetNames,0)),"?"))</f>
        <v/>
      </c>
      <c r="E838" s="15">
        <f>IF($D838="","",IFERROR(INDEX(nrCadetAgency,MATCH($D838,rngCadetPIDs,0)),""))</f>
        <v/>
      </c>
      <c r="F838" s="14" t="n"/>
      <c r="G838" s="15">
        <f>IF($F838="","",IFERROR(INDEX(rngEPname,MATCH($F838,rngEPcode,0)),"?"))</f>
        <v/>
      </c>
      <c r="H838" s="15">
        <f>IF($F838="","",IFERROR(INDEX(rngEPtype,MATCH($F838,rngEPcode,0)),"?"))</f>
        <v/>
      </c>
      <c r="I838" s="15">
        <f>IF($F838="","",IFERROR(INDEX(rngEPseq,MATCH($F838,rngEPcode,0)),""))</f>
        <v/>
      </c>
      <c r="J838" s="15">
        <f>IF($F838="","",IFERROR(INDEX(rngEPpass,MATCH($F838,rngEPcode,0)),cfgPassingScore))</f>
        <v/>
      </c>
      <c r="K838" s="14" t="n"/>
      <c r="L838" s="14" t="n"/>
      <c r="M838" s="15">
        <f>IF($C838="","",IF($L838="","",IF($K838=1,IF(COUNTIFS(nrES_PID,$D838,nrES_Code,$F838,nrES_Att,2)&gt;0,"",$L838),IF(COUNTIFS(nrES_PID,$D838,nrES_Code,$F838,nrES_Att,1)=0,$L838,IF($L838&gt;=$J838,cfgRetakeRecordedCap,SUMIFS(nrES_Raw,nrES_PID,$D838,nrES_Code,$F838,nrES_Att,1))))))</f>
        <v/>
      </c>
      <c r="N838" s="15">
        <f>IF($C838="","",IF($L838="","",IF($L838&gt;=$J838,"Yes","No")))</f>
        <v/>
      </c>
      <c r="O838" s="15">
        <f>IF($C838="","",IF($M838="","",IF($M838&gt;=$J838,"Yes","No")))</f>
        <v/>
      </c>
      <c r="P838" s="15">
        <f>IF($C838="","",IF($K838="","",IF(COUNTIFS(nrES_PID,$D838,nrES_Code,$F838,nrES_Att,"&gt;"&amp;$K838)=0,"Yes","No")))</f>
        <v/>
      </c>
      <c r="Q838" s="15">
        <f>IF($C838="","",IF($L838="","",IF(AND($K838=1,$L838&lt;$J838,COUNTIFS(nrES_PID,$D838,nrES_Code,$F838,nrES_Att,2)=0),"Yes","No")))</f>
        <v/>
      </c>
      <c r="R838" s="15">
        <f>IF($C838="","",IF($L838="","",IF(AND($K838=2,$L838&lt;$J838,COUNTIFS(nrES_PID,$D838,nrES_Code,$F838,nrES_Att,1)&gt;0),"Yes","No")))</f>
        <v/>
      </c>
      <c r="S838" s="16" t="n"/>
      <c r="T838" s="17">
        <f>IF($Q838&lt;&gt;"Yes","",IF($S838="","(enter date)",_xlfn.LET(_xlpm.dn,IFERROR(_xlfn.XLOOKUP($S838,nrCDdate,nrCDnum),""),IF(_xlpm.dn="","(not a class day)",IFERROR(_xlfn.XLOOKUP(_xlpm.dn+cfgRetestClassDays,nrCDnum,nrCDdate),"")))))</f>
        <v/>
      </c>
      <c r="U838" s="15">
        <f>IF($Q838&lt;&gt;"Yes","",IF(COUNTIFS(nrES_PID,$D838,nrES_Code,$F838,nrES_Att,2)&gt;0,"Retested",IF(OR($T838="",NOT(ISNUMBER($T838))),"Pending",IF(TODAY()&gt;$T838,"OVERDUE","Due "&amp;TEXT($T838,"mm/dd")))))</f>
        <v/>
      </c>
      <c r="V838" s="14" t="n"/>
      <c r="W838" s="14" t="n"/>
    </row>
    <row r="839">
      <c r="B839" s="15">
        <f>IF($C839="","",$D839&amp;"-"&amp;$F839&amp;"-"&amp;$K839)</f>
        <v/>
      </c>
      <c r="C839" s="14" t="n"/>
      <c r="D839" s="15">
        <f>IF($C839="","",IFERROR(INDEX(rngCadetPIDs,MATCH($C839,rngCadetNames,0)),"?"))</f>
        <v/>
      </c>
      <c r="E839" s="15">
        <f>IF($D839="","",IFERROR(INDEX(nrCadetAgency,MATCH($D839,rngCadetPIDs,0)),""))</f>
        <v/>
      </c>
      <c r="F839" s="14" t="n"/>
      <c r="G839" s="15">
        <f>IF($F839="","",IFERROR(INDEX(rngEPname,MATCH($F839,rngEPcode,0)),"?"))</f>
        <v/>
      </c>
      <c r="H839" s="15">
        <f>IF($F839="","",IFERROR(INDEX(rngEPtype,MATCH($F839,rngEPcode,0)),"?"))</f>
        <v/>
      </c>
      <c r="I839" s="15">
        <f>IF($F839="","",IFERROR(INDEX(rngEPseq,MATCH($F839,rngEPcode,0)),""))</f>
        <v/>
      </c>
      <c r="J839" s="15">
        <f>IF($F839="","",IFERROR(INDEX(rngEPpass,MATCH($F839,rngEPcode,0)),cfgPassingScore))</f>
        <v/>
      </c>
      <c r="K839" s="14" t="n"/>
      <c r="L839" s="14" t="n"/>
      <c r="M839" s="15">
        <f>IF($C839="","",IF($L839="","",IF($K839=1,IF(COUNTIFS(nrES_PID,$D839,nrES_Code,$F839,nrES_Att,2)&gt;0,"",$L839),IF(COUNTIFS(nrES_PID,$D839,nrES_Code,$F839,nrES_Att,1)=0,$L839,IF($L839&gt;=$J839,cfgRetakeRecordedCap,SUMIFS(nrES_Raw,nrES_PID,$D839,nrES_Code,$F839,nrES_Att,1))))))</f>
        <v/>
      </c>
      <c r="N839" s="15">
        <f>IF($C839="","",IF($L839="","",IF($L839&gt;=$J839,"Yes","No")))</f>
        <v/>
      </c>
      <c r="O839" s="15">
        <f>IF($C839="","",IF($M839="","",IF($M839&gt;=$J839,"Yes","No")))</f>
        <v/>
      </c>
      <c r="P839" s="15">
        <f>IF($C839="","",IF($K839="","",IF(COUNTIFS(nrES_PID,$D839,nrES_Code,$F839,nrES_Att,"&gt;"&amp;$K839)=0,"Yes","No")))</f>
        <v/>
      </c>
      <c r="Q839" s="15">
        <f>IF($C839="","",IF($L839="","",IF(AND($K839=1,$L839&lt;$J839,COUNTIFS(nrES_PID,$D839,nrES_Code,$F839,nrES_Att,2)=0),"Yes","No")))</f>
        <v/>
      </c>
      <c r="R839" s="15">
        <f>IF($C839="","",IF($L839="","",IF(AND($K839=2,$L839&lt;$J839,COUNTIFS(nrES_PID,$D839,nrES_Code,$F839,nrES_Att,1)&gt;0),"Yes","No")))</f>
        <v/>
      </c>
      <c r="S839" s="16" t="n"/>
      <c r="T839" s="17">
        <f>IF($Q839&lt;&gt;"Yes","",IF($S839="","(enter date)",_xlfn.LET(_xlpm.dn,IFERROR(_xlfn.XLOOKUP($S839,nrCDdate,nrCDnum),""),IF(_xlpm.dn="","(not a class day)",IFERROR(_xlfn.XLOOKUP(_xlpm.dn+cfgRetestClassDays,nrCDnum,nrCDdate),"")))))</f>
        <v/>
      </c>
      <c r="U839" s="15">
        <f>IF($Q839&lt;&gt;"Yes","",IF(COUNTIFS(nrES_PID,$D839,nrES_Code,$F839,nrES_Att,2)&gt;0,"Retested",IF(OR($T839="",NOT(ISNUMBER($T839))),"Pending",IF(TODAY()&gt;$T839,"OVERDUE","Due "&amp;TEXT($T839,"mm/dd")))))</f>
        <v/>
      </c>
      <c r="V839" s="14" t="n"/>
      <c r="W839" s="14" t="n"/>
    </row>
    <row r="840">
      <c r="B840" s="15">
        <f>IF($C840="","",$D840&amp;"-"&amp;$F840&amp;"-"&amp;$K840)</f>
        <v/>
      </c>
      <c r="C840" s="14" t="n"/>
      <c r="D840" s="15">
        <f>IF($C840="","",IFERROR(INDEX(rngCadetPIDs,MATCH($C840,rngCadetNames,0)),"?"))</f>
        <v/>
      </c>
      <c r="E840" s="15">
        <f>IF($D840="","",IFERROR(INDEX(nrCadetAgency,MATCH($D840,rngCadetPIDs,0)),""))</f>
        <v/>
      </c>
      <c r="F840" s="14" t="n"/>
      <c r="G840" s="15">
        <f>IF($F840="","",IFERROR(INDEX(rngEPname,MATCH($F840,rngEPcode,0)),"?"))</f>
        <v/>
      </c>
      <c r="H840" s="15">
        <f>IF($F840="","",IFERROR(INDEX(rngEPtype,MATCH($F840,rngEPcode,0)),"?"))</f>
        <v/>
      </c>
      <c r="I840" s="15">
        <f>IF($F840="","",IFERROR(INDEX(rngEPseq,MATCH($F840,rngEPcode,0)),""))</f>
        <v/>
      </c>
      <c r="J840" s="15">
        <f>IF($F840="","",IFERROR(INDEX(rngEPpass,MATCH($F840,rngEPcode,0)),cfgPassingScore))</f>
        <v/>
      </c>
      <c r="K840" s="14" t="n"/>
      <c r="L840" s="14" t="n"/>
      <c r="M840" s="15">
        <f>IF($C840="","",IF($L840="","",IF($K840=1,IF(COUNTIFS(nrES_PID,$D840,nrES_Code,$F840,nrES_Att,2)&gt;0,"",$L840),IF(COUNTIFS(nrES_PID,$D840,nrES_Code,$F840,nrES_Att,1)=0,$L840,IF($L840&gt;=$J840,cfgRetakeRecordedCap,SUMIFS(nrES_Raw,nrES_PID,$D840,nrES_Code,$F840,nrES_Att,1))))))</f>
        <v/>
      </c>
      <c r="N840" s="15">
        <f>IF($C840="","",IF($L840="","",IF($L840&gt;=$J840,"Yes","No")))</f>
        <v/>
      </c>
      <c r="O840" s="15">
        <f>IF($C840="","",IF($M840="","",IF($M840&gt;=$J840,"Yes","No")))</f>
        <v/>
      </c>
      <c r="P840" s="15">
        <f>IF($C840="","",IF($K840="","",IF(COUNTIFS(nrES_PID,$D840,nrES_Code,$F840,nrES_Att,"&gt;"&amp;$K840)=0,"Yes","No")))</f>
        <v/>
      </c>
      <c r="Q840" s="15">
        <f>IF($C840="","",IF($L840="","",IF(AND($K840=1,$L840&lt;$J840,COUNTIFS(nrES_PID,$D840,nrES_Code,$F840,nrES_Att,2)=0),"Yes","No")))</f>
        <v/>
      </c>
      <c r="R840" s="15">
        <f>IF($C840="","",IF($L840="","",IF(AND($K840=2,$L840&lt;$J840,COUNTIFS(nrES_PID,$D840,nrES_Code,$F840,nrES_Att,1)&gt;0),"Yes","No")))</f>
        <v/>
      </c>
      <c r="S840" s="16" t="n"/>
      <c r="T840" s="17">
        <f>IF($Q840&lt;&gt;"Yes","",IF($S840="","(enter date)",_xlfn.LET(_xlpm.dn,IFERROR(_xlfn.XLOOKUP($S840,nrCDdate,nrCDnum),""),IF(_xlpm.dn="","(not a class day)",IFERROR(_xlfn.XLOOKUP(_xlpm.dn+cfgRetestClassDays,nrCDnum,nrCDdate),"")))))</f>
        <v/>
      </c>
      <c r="U840" s="15">
        <f>IF($Q840&lt;&gt;"Yes","",IF(COUNTIFS(nrES_PID,$D840,nrES_Code,$F840,nrES_Att,2)&gt;0,"Retested",IF(OR($T840="",NOT(ISNUMBER($T840))),"Pending",IF(TODAY()&gt;$T840,"OVERDUE","Due "&amp;TEXT($T840,"mm/dd")))))</f>
        <v/>
      </c>
      <c r="V840" s="14" t="n"/>
      <c r="W840" s="14" t="n"/>
    </row>
    <row r="841">
      <c r="B841" s="15">
        <f>IF($C841="","",$D841&amp;"-"&amp;$F841&amp;"-"&amp;$K841)</f>
        <v/>
      </c>
      <c r="C841" s="14" t="n"/>
      <c r="D841" s="15">
        <f>IF($C841="","",IFERROR(INDEX(rngCadetPIDs,MATCH($C841,rngCadetNames,0)),"?"))</f>
        <v/>
      </c>
      <c r="E841" s="15">
        <f>IF($D841="","",IFERROR(INDEX(nrCadetAgency,MATCH($D841,rngCadetPIDs,0)),""))</f>
        <v/>
      </c>
      <c r="F841" s="14" t="n"/>
      <c r="G841" s="15">
        <f>IF($F841="","",IFERROR(INDEX(rngEPname,MATCH($F841,rngEPcode,0)),"?"))</f>
        <v/>
      </c>
      <c r="H841" s="15">
        <f>IF($F841="","",IFERROR(INDEX(rngEPtype,MATCH($F841,rngEPcode,0)),"?"))</f>
        <v/>
      </c>
      <c r="I841" s="15">
        <f>IF($F841="","",IFERROR(INDEX(rngEPseq,MATCH($F841,rngEPcode,0)),""))</f>
        <v/>
      </c>
      <c r="J841" s="15">
        <f>IF($F841="","",IFERROR(INDEX(rngEPpass,MATCH($F841,rngEPcode,0)),cfgPassingScore))</f>
        <v/>
      </c>
      <c r="K841" s="14" t="n"/>
      <c r="L841" s="14" t="n"/>
      <c r="M841" s="15">
        <f>IF($C841="","",IF($L841="","",IF($K841=1,IF(COUNTIFS(nrES_PID,$D841,nrES_Code,$F841,nrES_Att,2)&gt;0,"",$L841),IF(COUNTIFS(nrES_PID,$D841,nrES_Code,$F841,nrES_Att,1)=0,$L841,IF($L841&gt;=$J841,cfgRetakeRecordedCap,SUMIFS(nrES_Raw,nrES_PID,$D841,nrES_Code,$F841,nrES_Att,1))))))</f>
        <v/>
      </c>
      <c r="N841" s="15">
        <f>IF($C841="","",IF($L841="","",IF($L841&gt;=$J841,"Yes","No")))</f>
        <v/>
      </c>
      <c r="O841" s="15">
        <f>IF($C841="","",IF($M841="","",IF($M841&gt;=$J841,"Yes","No")))</f>
        <v/>
      </c>
      <c r="P841" s="15">
        <f>IF($C841="","",IF($K841="","",IF(COUNTIFS(nrES_PID,$D841,nrES_Code,$F841,nrES_Att,"&gt;"&amp;$K841)=0,"Yes","No")))</f>
        <v/>
      </c>
      <c r="Q841" s="15">
        <f>IF($C841="","",IF($L841="","",IF(AND($K841=1,$L841&lt;$J841,COUNTIFS(nrES_PID,$D841,nrES_Code,$F841,nrES_Att,2)=0),"Yes","No")))</f>
        <v/>
      </c>
      <c r="R841" s="15">
        <f>IF($C841="","",IF($L841="","",IF(AND($K841=2,$L841&lt;$J841,COUNTIFS(nrES_PID,$D841,nrES_Code,$F841,nrES_Att,1)&gt;0),"Yes","No")))</f>
        <v/>
      </c>
      <c r="S841" s="16" t="n"/>
      <c r="T841" s="17">
        <f>IF($Q841&lt;&gt;"Yes","",IF($S841="","(enter date)",_xlfn.LET(_xlpm.dn,IFERROR(_xlfn.XLOOKUP($S841,nrCDdate,nrCDnum),""),IF(_xlpm.dn="","(not a class day)",IFERROR(_xlfn.XLOOKUP(_xlpm.dn+cfgRetestClassDays,nrCDnum,nrCDdate),"")))))</f>
        <v/>
      </c>
      <c r="U841" s="15">
        <f>IF($Q841&lt;&gt;"Yes","",IF(COUNTIFS(nrES_PID,$D841,nrES_Code,$F841,nrES_Att,2)&gt;0,"Retested",IF(OR($T841="",NOT(ISNUMBER($T841))),"Pending",IF(TODAY()&gt;$T841,"OVERDUE","Due "&amp;TEXT($T841,"mm/dd")))))</f>
        <v/>
      </c>
      <c r="V841" s="14" t="n"/>
      <c r="W841" s="14" t="n"/>
    </row>
    <row r="842">
      <c r="B842" s="15">
        <f>IF($C842="","",$D842&amp;"-"&amp;$F842&amp;"-"&amp;$K842)</f>
        <v/>
      </c>
      <c r="C842" s="14" t="n"/>
      <c r="D842" s="15">
        <f>IF($C842="","",IFERROR(INDEX(rngCadetPIDs,MATCH($C842,rngCadetNames,0)),"?"))</f>
        <v/>
      </c>
      <c r="E842" s="15">
        <f>IF($D842="","",IFERROR(INDEX(nrCadetAgency,MATCH($D842,rngCadetPIDs,0)),""))</f>
        <v/>
      </c>
      <c r="F842" s="14" t="n"/>
      <c r="G842" s="15">
        <f>IF($F842="","",IFERROR(INDEX(rngEPname,MATCH($F842,rngEPcode,0)),"?"))</f>
        <v/>
      </c>
      <c r="H842" s="15">
        <f>IF($F842="","",IFERROR(INDEX(rngEPtype,MATCH($F842,rngEPcode,0)),"?"))</f>
        <v/>
      </c>
      <c r="I842" s="15">
        <f>IF($F842="","",IFERROR(INDEX(rngEPseq,MATCH($F842,rngEPcode,0)),""))</f>
        <v/>
      </c>
      <c r="J842" s="15">
        <f>IF($F842="","",IFERROR(INDEX(rngEPpass,MATCH($F842,rngEPcode,0)),cfgPassingScore))</f>
        <v/>
      </c>
      <c r="K842" s="14" t="n"/>
      <c r="L842" s="14" t="n"/>
      <c r="M842" s="15">
        <f>IF($C842="","",IF($L842="","",IF($K842=1,IF(COUNTIFS(nrES_PID,$D842,nrES_Code,$F842,nrES_Att,2)&gt;0,"",$L842),IF(COUNTIFS(nrES_PID,$D842,nrES_Code,$F842,nrES_Att,1)=0,$L842,IF($L842&gt;=$J842,cfgRetakeRecordedCap,SUMIFS(nrES_Raw,nrES_PID,$D842,nrES_Code,$F842,nrES_Att,1))))))</f>
        <v/>
      </c>
      <c r="N842" s="15">
        <f>IF($C842="","",IF($L842="","",IF($L842&gt;=$J842,"Yes","No")))</f>
        <v/>
      </c>
      <c r="O842" s="15">
        <f>IF($C842="","",IF($M842="","",IF($M842&gt;=$J842,"Yes","No")))</f>
        <v/>
      </c>
      <c r="P842" s="15">
        <f>IF($C842="","",IF($K842="","",IF(COUNTIFS(nrES_PID,$D842,nrES_Code,$F842,nrES_Att,"&gt;"&amp;$K842)=0,"Yes","No")))</f>
        <v/>
      </c>
      <c r="Q842" s="15">
        <f>IF($C842="","",IF($L842="","",IF(AND($K842=1,$L842&lt;$J842,COUNTIFS(nrES_PID,$D842,nrES_Code,$F842,nrES_Att,2)=0),"Yes","No")))</f>
        <v/>
      </c>
      <c r="R842" s="15">
        <f>IF($C842="","",IF($L842="","",IF(AND($K842=2,$L842&lt;$J842,COUNTIFS(nrES_PID,$D842,nrES_Code,$F842,nrES_Att,1)&gt;0),"Yes","No")))</f>
        <v/>
      </c>
      <c r="S842" s="16" t="n"/>
      <c r="T842" s="17">
        <f>IF($Q842&lt;&gt;"Yes","",IF($S842="","(enter date)",_xlfn.LET(_xlpm.dn,IFERROR(_xlfn.XLOOKUP($S842,nrCDdate,nrCDnum),""),IF(_xlpm.dn="","(not a class day)",IFERROR(_xlfn.XLOOKUP(_xlpm.dn+cfgRetestClassDays,nrCDnum,nrCDdate),"")))))</f>
        <v/>
      </c>
      <c r="U842" s="15">
        <f>IF($Q842&lt;&gt;"Yes","",IF(COUNTIFS(nrES_PID,$D842,nrES_Code,$F842,nrES_Att,2)&gt;0,"Retested",IF(OR($T842="",NOT(ISNUMBER($T842))),"Pending",IF(TODAY()&gt;$T842,"OVERDUE","Due "&amp;TEXT($T842,"mm/dd")))))</f>
        <v/>
      </c>
      <c r="V842" s="14" t="n"/>
      <c r="W842" s="14" t="n"/>
    </row>
    <row r="843">
      <c r="B843" s="15">
        <f>IF($C843="","",$D843&amp;"-"&amp;$F843&amp;"-"&amp;$K843)</f>
        <v/>
      </c>
      <c r="C843" s="14" t="n"/>
      <c r="D843" s="15">
        <f>IF($C843="","",IFERROR(INDEX(rngCadetPIDs,MATCH($C843,rngCadetNames,0)),"?"))</f>
        <v/>
      </c>
      <c r="E843" s="15">
        <f>IF($D843="","",IFERROR(INDEX(nrCadetAgency,MATCH($D843,rngCadetPIDs,0)),""))</f>
        <v/>
      </c>
      <c r="F843" s="14" t="n"/>
      <c r="G843" s="15">
        <f>IF($F843="","",IFERROR(INDEX(rngEPname,MATCH($F843,rngEPcode,0)),"?"))</f>
        <v/>
      </c>
      <c r="H843" s="15">
        <f>IF($F843="","",IFERROR(INDEX(rngEPtype,MATCH($F843,rngEPcode,0)),"?"))</f>
        <v/>
      </c>
      <c r="I843" s="15">
        <f>IF($F843="","",IFERROR(INDEX(rngEPseq,MATCH($F843,rngEPcode,0)),""))</f>
        <v/>
      </c>
      <c r="J843" s="15">
        <f>IF($F843="","",IFERROR(INDEX(rngEPpass,MATCH($F843,rngEPcode,0)),cfgPassingScore))</f>
        <v/>
      </c>
      <c r="K843" s="14" t="n"/>
      <c r="L843" s="14" t="n"/>
      <c r="M843" s="15">
        <f>IF($C843="","",IF($L843="","",IF($K843=1,IF(COUNTIFS(nrES_PID,$D843,nrES_Code,$F843,nrES_Att,2)&gt;0,"",$L843),IF(COUNTIFS(nrES_PID,$D843,nrES_Code,$F843,nrES_Att,1)=0,$L843,IF($L843&gt;=$J843,cfgRetakeRecordedCap,SUMIFS(nrES_Raw,nrES_PID,$D843,nrES_Code,$F843,nrES_Att,1))))))</f>
        <v/>
      </c>
      <c r="N843" s="15">
        <f>IF($C843="","",IF($L843="","",IF($L843&gt;=$J843,"Yes","No")))</f>
        <v/>
      </c>
      <c r="O843" s="15">
        <f>IF($C843="","",IF($M843="","",IF($M843&gt;=$J843,"Yes","No")))</f>
        <v/>
      </c>
      <c r="P843" s="15">
        <f>IF($C843="","",IF($K843="","",IF(COUNTIFS(nrES_PID,$D843,nrES_Code,$F843,nrES_Att,"&gt;"&amp;$K843)=0,"Yes","No")))</f>
        <v/>
      </c>
      <c r="Q843" s="15">
        <f>IF($C843="","",IF($L843="","",IF(AND($K843=1,$L843&lt;$J843,COUNTIFS(nrES_PID,$D843,nrES_Code,$F843,nrES_Att,2)=0),"Yes","No")))</f>
        <v/>
      </c>
      <c r="R843" s="15">
        <f>IF($C843="","",IF($L843="","",IF(AND($K843=2,$L843&lt;$J843,COUNTIFS(nrES_PID,$D843,nrES_Code,$F843,nrES_Att,1)&gt;0),"Yes","No")))</f>
        <v/>
      </c>
      <c r="S843" s="16" t="n"/>
      <c r="T843" s="17">
        <f>IF($Q843&lt;&gt;"Yes","",IF($S843="","(enter date)",_xlfn.LET(_xlpm.dn,IFERROR(_xlfn.XLOOKUP($S843,nrCDdate,nrCDnum),""),IF(_xlpm.dn="","(not a class day)",IFERROR(_xlfn.XLOOKUP(_xlpm.dn+cfgRetestClassDays,nrCDnum,nrCDdate),"")))))</f>
        <v/>
      </c>
      <c r="U843" s="15">
        <f>IF($Q843&lt;&gt;"Yes","",IF(COUNTIFS(nrES_PID,$D843,nrES_Code,$F843,nrES_Att,2)&gt;0,"Retested",IF(OR($T843="",NOT(ISNUMBER($T843))),"Pending",IF(TODAY()&gt;$T843,"OVERDUE","Due "&amp;TEXT($T843,"mm/dd")))))</f>
        <v/>
      </c>
      <c r="V843" s="14" t="n"/>
      <c r="W843" s="14" t="n"/>
    </row>
    <row r="844">
      <c r="B844" s="15">
        <f>IF($C844="","",$D844&amp;"-"&amp;$F844&amp;"-"&amp;$K844)</f>
        <v/>
      </c>
      <c r="C844" s="14" t="n"/>
      <c r="D844" s="15">
        <f>IF($C844="","",IFERROR(INDEX(rngCadetPIDs,MATCH($C844,rngCadetNames,0)),"?"))</f>
        <v/>
      </c>
      <c r="E844" s="15">
        <f>IF($D844="","",IFERROR(INDEX(nrCadetAgency,MATCH($D844,rngCadetPIDs,0)),""))</f>
        <v/>
      </c>
      <c r="F844" s="14" t="n"/>
      <c r="G844" s="15">
        <f>IF($F844="","",IFERROR(INDEX(rngEPname,MATCH($F844,rngEPcode,0)),"?"))</f>
        <v/>
      </c>
      <c r="H844" s="15">
        <f>IF($F844="","",IFERROR(INDEX(rngEPtype,MATCH($F844,rngEPcode,0)),"?"))</f>
        <v/>
      </c>
      <c r="I844" s="15">
        <f>IF($F844="","",IFERROR(INDEX(rngEPseq,MATCH($F844,rngEPcode,0)),""))</f>
        <v/>
      </c>
      <c r="J844" s="15">
        <f>IF($F844="","",IFERROR(INDEX(rngEPpass,MATCH($F844,rngEPcode,0)),cfgPassingScore))</f>
        <v/>
      </c>
      <c r="K844" s="14" t="n"/>
      <c r="L844" s="14" t="n"/>
      <c r="M844" s="15">
        <f>IF($C844="","",IF($L844="","",IF($K844=1,IF(COUNTIFS(nrES_PID,$D844,nrES_Code,$F844,nrES_Att,2)&gt;0,"",$L844),IF(COUNTIFS(nrES_PID,$D844,nrES_Code,$F844,nrES_Att,1)=0,$L844,IF($L844&gt;=$J844,cfgRetakeRecordedCap,SUMIFS(nrES_Raw,nrES_PID,$D844,nrES_Code,$F844,nrES_Att,1))))))</f>
        <v/>
      </c>
      <c r="N844" s="15">
        <f>IF($C844="","",IF($L844="","",IF($L844&gt;=$J844,"Yes","No")))</f>
        <v/>
      </c>
      <c r="O844" s="15">
        <f>IF($C844="","",IF($M844="","",IF($M844&gt;=$J844,"Yes","No")))</f>
        <v/>
      </c>
      <c r="P844" s="15">
        <f>IF($C844="","",IF($K844="","",IF(COUNTIFS(nrES_PID,$D844,nrES_Code,$F844,nrES_Att,"&gt;"&amp;$K844)=0,"Yes","No")))</f>
        <v/>
      </c>
      <c r="Q844" s="15">
        <f>IF($C844="","",IF($L844="","",IF(AND($K844=1,$L844&lt;$J844,COUNTIFS(nrES_PID,$D844,nrES_Code,$F844,nrES_Att,2)=0),"Yes","No")))</f>
        <v/>
      </c>
      <c r="R844" s="15">
        <f>IF($C844="","",IF($L844="","",IF(AND($K844=2,$L844&lt;$J844,COUNTIFS(nrES_PID,$D844,nrES_Code,$F844,nrES_Att,1)&gt;0),"Yes","No")))</f>
        <v/>
      </c>
      <c r="S844" s="16" t="n"/>
      <c r="T844" s="17">
        <f>IF($Q844&lt;&gt;"Yes","",IF($S844="","(enter date)",_xlfn.LET(_xlpm.dn,IFERROR(_xlfn.XLOOKUP($S844,nrCDdate,nrCDnum),""),IF(_xlpm.dn="","(not a class day)",IFERROR(_xlfn.XLOOKUP(_xlpm.dn+cfgRetestClassDays,nrCDnum,nrCDdate),"")))))</f>
        <v/>
      </c>
      <c r="U844" s="15">
        <f>IF($Q844&lt;&gt;"Yes","",IF(COUNTIFS(nrES_PID,$D844,nrES_Code,$F844,nrES_Att,2)&gt;0,"Retested",IF(OR($T844="",NOT(ISNUMBER($T844))),"Pending",IF(TODAY()&gt;$T844,"OVERDUE","Due "&amp;TEXT($T844,"mm/dd")))))</f>
        <v/>
      </c>
      <c r="V844" s="14" t="n"/>
      <c r="W844" s="14" t="n"/>
    </row>
    <row r="845">
      <c r="B845" s="15">
        <f>IF($C845="","",$D845&amp;"-"&amp;$F845&amp;"-"&amp;$K845)</f>
        <v/>
      </c>
      <c r="C845" s="14" t="n"/>
      <c r="D845" s="15">
        <f>IF($C845="","",IFERROR(INDEX(rngCadetPIDs,MATCH($C845,rngCadetNames,0)),"?"))</f>
        <v/>
      </c>
      <c r="E845" s="15">
        <f>IF($D845="","",IFERROR(INDEX(nrCadetAgency,MATCH($D845,rngCadetPIDs,0)),""))</f>
        <v/>
      </c>
      <c r="F845" s="14" t="n"/>
      <c r="G845" s="15">
        <f>IF($F845="","",IFERROR(INDEX(rngEPname,MATCH($F845,rngEPcode,0)),"?"))</f>
        <v/>
      </c>
      <c r="H845" s="15">
        <f>IF($F845="","",IFERROR(INDEX(rngEPtype,MATCH($F845,rngEPcode,0)),"?"))</f>
        <v/>
      </c>
      <c r="I845" s="15">
        <f>IF($F845="","",IFERROR(INDEX(rngEPseq,MATCH($F845,rngEPcode,0)),""))</f>
        <v/>
      </c>
      <c r="J845" s="15">
        <f>IF($F845="","",IFERROR(INDEX(rngEPpass,MATCH($F845,rngEPcode,0)),cfgPassingScore))</f>
        <v/>
      </c>
      <c r="K845" s="14" t="n"/>
      <c r="L845" s="14" t="n"/>
      <c r="M845" s="15">
        <f>IF($C845="","",IF($L845="","",IF($K845=1,IF(COUNTIFS(nrES_PID,$D845,nrES_Code,$F845,nrES_Att,2)&gt;0,"",$L845),IF(COUNTIFS(nrES_PID,$D845,nrES_Code,$F845,nrES_Att,1)=0,$L845,IF($L845&gt;=$J845,cfgRetakeRecordedCap,SUMIFS(nrES_Raw,nrES_PID,$D845,nrES_Code,$F845,nrES_Att,1))))))</f>
        <v/>
      </c>
      <c r="N845" s="15">
        <f>IF($C845="","",IF($L845="","",IF($L845&gt;=$J845,"Yes","No")))</f>
        <v/>
      </c>
      <c r="O845" s="15">
        <f>IF($C845="","",IF($M845="","",IF($M845&gt;=$J845,"Yes","No")))</f>
        <v/>
      </c>
      <c r="P845" s="15">
        <f>IF($C845="","",IF($K845="","",IF(COUNTIFS(nrES_PID,$D845,nrES_Code,$F845,nrES_Att,"&gt;"&amp;$K845)=0,"Yes","No")))</f>
        <v/>
      </c>
      <c r="Q845" s="15">
        <f>IF($C845="","",IF($L845="","",IF(AND($K845=1,$L845&lt;$J845,COUNTIFS(nrES_PID,$D845,nrES_Code,$F845,nrES_Att,2)=0),"Yes","No")))</f>
        <v/>
      </c>
      <c r="R845" s="15">
        <f>IF($C845="","",IF($L845="","",IF(AND($K845=2,$L845&lt;$J845,COUNTIFS(nrES_PID,$D845,nrES_Code,$F845,nrES_Att,1)&gt;0),"Yes","No")))</f>
        <v/>
      </c>
      <c r="S845" s="16" t="n"/>
      <c r="T845" s="17">
        <f>IF($Q845&lt;&gt;"Yes","",IF($S845="","(enter date)",_xlfn.LET(_xlpm.dn,IFERROR(_xlfn.XLOOKUP($S845,nrCDdate,nrCDnum),""),IF(_xlpm.dn="","(not a class day)",IFERROR(_xlfn.XLOOKUP(_xlpm.dn+cfgRetestClassDays,nrCDnum,nrCDdate),"")))))</f>
        <v/>
      </c>
      <c r="U845" s="15">
        <f>IF($Q845&lt;&gt;"Yes","",IF(COUNTIFS(nrES_PID,$D845,nrES_Code,$F845,nrES_Att,2)&gt;0,"Retested",IF(OR($T845="",NOT(ISNUMBER($T845))),"Pending",IF(TODAY()&gt;$T845,"OVERDUE","Due "&amp;TEXT($T845,"mm/dd")))))</f>
        <v/>
      </c>
      <c r="V845" s="14" t="n"/>
      <c r="W845" s="14" t="n"/>
    </row>
    <row r="846">
      <c r="B846" s="15">
        <f>IF($C846="","",$D846&amp;"-"&amp;$F846&amp;"-"&amp;$K846)</f>
        <v/>
      </c>
      <c r="C846" s="14" t="n"/>
      <c r="D846" s="15">
        <f>IF($C846="","",IFERROR(INDEX(rngCadetPIDs,MATCH($C846,rngCadetNames,0)),"?"))</f>
        <v/>
      </c>
      <c r="E846" s="15">
        <f>IF($D846="","",IFERROR(INDEX(nrCadetAgency,MATCH($D846,rngCadetPIDs,0)),""))</f>
        <v/>
      </c>
      <c r="F846" s="14" t="n"/>
      <c r="G846" s="15">
        <f>IF($F846="","",IFERROR(INDEX(rngEPname,MATCH($F846,rngEPcode,0)),"?"))</f>
        <v/>
      </c>
      <c r="H846" s="15">
        <f>IF($F846="","",IFERROR(INDEX(rngEPtype,MATCH($F846,rngEPcode,0)),"?"))</f>
        <v/>
      </c>
      <c r="I846" s="15">
        <f>IF($F846="","",IFERROR(INDEX(rngEPseq,MATCH($F846,rngEPcode,0)),""))</f>
        <v/>
      </c>
      <c r="J846" s="15">
        <f>IF($F846="","",IFERROR(INDEX(rngEPpass,MATCH($F846,rngEPcode,0)),cfgPassingScore))</f>
        <v/>
      </c>
      <c r="K846" s="14" t="n"/>
      <c r="L846" s="14" t="n"/>
      <c r="M846" s="15">
        <f>IF($C846="","",IF($L846="","",IF($K846=1,IF(COUNTIFS(nrES_PID,$D846,nrES_Code,$F846,nrES_Att,2)&gt;0,"",$L846),IF(COUNTIFS(nrES_PID,$D846,nrES_Code,$F846,nrES_Att,1)=0,$L846,IF($L846&gt;=$J846,cfgRetakeRecordedCap,SUMIFS(nrES_Raw,nrES_PID,$D846,nrES_Code,$F846,nrES_Att,1))))))</f>
        <v/>
      </c>
      <c r="N846" s="15">
        <f>IF($C846="","",IF($L846="","",IF($L846&gt;=$J846,"Yes","No")))</f>
        <v/>
      </c>
      <c r="O846" s="15">
        <f>IF($C846="","",IF($M846="","",IF($M846&gt;=$J846,"Yes","No")))</f>
        <v/>
      </c>
      <c r="P846" s="15">
        <f>IF($C846="","",IF($K846="","",IF(COUNTIFS(nrES_PID,$D846,nrES_Code,$F846,nrES_Att,"&gt;"&amp;$K846)=0,"Yes","No")))</f>
        <v/>
      </c>
      <c r="Q846" s="15">
        <f>IF($C846="","",IF($L846="","",IF(AND($K846=1,$L846&lt;$J846,COUNTIFS(nrES_PID,$D846,nrES_Code,$F846,nrES_Att,2)=0),"Yes","No")))</f>
        <v/>
      </c>
      <c r="R846" s="15">
        <f>IF($C846="","",IF($L846="","",IF(AND($K846=2,$L846&lt;$J846,COUNTIFS(nrES_PID,$D846,nrES_Code,$F846,nrES_Att,1)&gt;0),"Yes","No")))</f>
        <v/>
      </c>
      <c r="S846" s="16" t="n"/>
      <c r="T846" s="17">
        <f>IF($Q846&lt;&gt;"Yes","",IF($S846="","(enter date)",_xlfn.LET(_xlpm.dn,IFERROR(_xlfn.XLOOKUP($S846,nrCDdate,nrCDnum),""),IF(_xlpm.dn="","(not a class day)",IFERROR(_xlfn.XLOOKUP(_xlpm.dn+cfgRetestClassDays,nrCDnum,nrCDdate),"")))))</f>
        <v/>
      </c>
      <c r="U846" s="15">
        <f>IF($Q846&lt;&gt;"Yes","",IF(COUNTIFS(nrES_PID,$D846,nrES_Code,$F846,nrES_Att,2)&gt;0,"Retested",IF(OR($T846="",NOT(ISNUMBER($T846))),"Pending",IF(TODAY()&gt;$T846,"OVERDUE","Due "&amp;TEXT($T846,"mm/dd")))))</f>
        <v/>
      </c>
      <c r="V846" s="14" t="n"/>
      <c r="W846" s="14" t="n"/>
    </row>
    <row r="847">
      <c r="B847" s="15">
        <f>IF($C847="","",$D847&amp;"-"&amp;$F847&amp;"-"&amp;$K847)</f>
        <v/>
      </c>
      <c r="C847" s="14" t="n"/>
      <c r="D847" s="15">
        <f>IF($C847="","",IFERROR(INDEX(rngCadetPIDs,MATCH($C847,rngCadetNames,0)),"?"))</f>
        <v/>
      </c>
      <c r="E847" s="15">
        <f>IF($D847="","",IFERROR(INDEX(nrCadetAgency,MATCH($D847,rngCadetPIDs,0)),""))</f>
        <v/>
      </c>
      <c r="F847" s="14" t="n"/>
      <c r="G847" s="15">
        <f>IF($F847="","",IFERROR(INDEX(rngEPname,MATCH($F847,rngEPcode,0)),"?"))</f>
        <v/>
      </c>
      <c r="H847" s="15">
        <f>IF($F847="","",IFERROR(INDEX(rngEPtype,MATCH($F847,rngEPcode,0)),"?"))</f>
        <v/>
      </c>
      <c r="I847" s="15">
        <f>IF($F847="","",IFERROR(INDEX(rngEPseq,MATCH($F847,rngEPcode,0)),""))</f>
        <v/>
      </c>
      <c r="J847" s="15">
        <f>IF($F847="","",IFERROR(INDEX(rngEPpass,MATCH($F847,rngEPcode,0)),cfgPassingScore))</f>
        <v/>
      </c>
      <c r="K847" s="14" t="n"/>
      <c r="L847" s="14" t="n"/>
      <c r="M847" s="15">
        <f>IF($C847="","",IF($L847="","",IF($K847=1,IF(COUNTIFS(nrES_PID,$D847,nrES_Code,$F847,nrES_Att,2)&gt;0,"",$L847),IF(COUNTIFS(nrES_PID,$D847,nrES_Code,$F847,nrES_Att,1)=0,$L847,IF($L847&gt;=$J847,cfgRetakeRecordedCap,SUMIFS(nrES_Raw,nrES_PID,$D847,nrES_Code,$F847,nrES_Att,1))))))</f>
        <v/>
      </c>
      <c r="N847" s="15">
        <f>IF($C847="","",IF($L847="","",IF($L847&gt;=$J847,"Yes","No")))</f>
        <v/>
      </c>
      <c r="O847" s="15">
        <f>IF($C847="","",IF($M847="","",IF($M847&gt;=$J847,"Yes","No")))</f>
        <v/>
      </c>
      <c r="P847" s="15">
        <f>IF($C847="","",IF($K847="","",IF(COUNTIFS(nrES_PID,$D847,nrES_Code,$F847,nrES_Att,"&gt;"&amp;$K847)=0,"Yes","No")))</f>
        <v/>
      </c>
      <c r="Q847" s="15">
        <f>IF($C847="","",IF($L847="","",IF(AND($K847=1,$L847&lt;$J847,COUNTIFS(nrES_PID,$D847,nrES_Code,$F847,nrES_Att,2)=0),"Yes","No")))</f>
        <v/>
      </c>
      <c r="R847" s="15">
        <f>IF($C847="","",IF($L847="","",IF(AND($K847=2,$L847&lt;$J847,COUNTIFS(nrES_PID,$D847,nrES_Code,$F847,nrES_Att,1)&gt;0),"Yes","No")))</f>
        <v/>
      </c>
      <c r="S847" s="16" t="n"/>
      <c r="T847" s="17">
        <f>IF($Q847&lt;&gt;"Yes","",IF($S847="","(enter date)",_xlfn.LET(_xlpm.dn,IFERROR(_xlfn.XLOOKUP($S847,nrCDdate,nrCDnum),""),IF(_xlpm.dn="","(not a class day)",IFERROR(_xlfn.XLOOKUP(_xlpm.dn+cfgRetestClassDays,nrCDnum,nrCDdate),"")))))</f>
        <v/>
      </c>
      <c r="U847" s="15">
        <f>IF($Q847&lt;&gt;"Yes","",IF(COUNTIFS(nrES_PID,$D847,nrES_Code,$F847,nrES_Att,2)&gt;0,"Retested",IF(OR($T847="",NOT(ISNUMBER($T847))),"Pending",IF(TODAY()&gt;$T847,"OVERDUE","Due "&amp;TEXT($T847,"mm/dd")))))</f>
        <v/>
      </c>
      <c r="V847" s="14" t="n"/>
      <c r="W847" s="14" t="n"/>
    </row>
    <row r="848">
      <c r="B848" s="15">
        <f>IF($C848="","",$D848&amp;"-"&amp;$F848&amp;"-"&amp;$K848)</f>
        <v/>
      </c>
      <c r="C848" s="14" t="n"/>
      <c r="D848" s="15">
        <f>IF($C848="","",IFERROR(INDEX(rngCadetPIDs,MATCH($C848,rngCadetNames,0)),"?"))</f>
        <v/>
      </c>
      <c r="E848" s="15">
        <f>IF($D848="","",IFERROR(INDEX(nrCadetAgency,MATCH($D848,rngCadetPIDs,0)),""))</f>
        <v/>
      </c>
      <c r="F848" s="14" t="n"/>
      <c r="G848" s="15">
        <f>IF($F848="","",IFERROR(INDEX(rngEPname,MATCH($F848,rngEPcode,0)),"?"))</f>
        <v/>
      </c>
      <c r="H848" s="15">
        <f>IF($F848="","",IFERROR(INDEX(rngEPtype,MATCH($F848,rngEPcode,0)),"?"))</f>
        <v/>
      </c>
      <c r="I848" s="15">
        <f>IF($F848="","",IFERROR(INDEX(rngEPseq,MATCH($F848,rngEPcode,0)),""))</f>
        <v/>
      </c>
      <c r="J848" s="15">
        <f>IF($F848="","",IFERROR(INDEX(rngEPpass,MATCH($F848,rngEPcode,0)),cfgPassingScore))</f>
        <v/>
      </c>
      <c r="K848" s="14" t="n"/>
      <c r="L848" s="14" t="n"/>
      <c r="M848" s="15">
        <f>IF($C848="","",IF($L848="","",IF($K848=1,IF(COUNTIFS(nrES_PID,$D848,nrES_Code,$F848,nrES_Att,2)&gt;0,"",$L848),IF(COUNTIFS(nrES_PID,$D848,nrES_Code,$F848,nrES_Att,1)=0,$L848,IF($L848&gt;=$J848,cfgRetakeRecordedCap,SUMIFS(nrES_Raw,nrES_PID,$D848,nrES_Code,$F848,nrES_Att,1))))))</f>
        <v/>
      </c>
      <c r="N848" s="15">
        <f>IF($C848="","",IF($L848="","",IF($L848&gt;=$J848,"Yes","No")))</f>
        <v/>
      </c>
      <c r="O848" s="15">
        <f>IF($C848="","",IF($M848="","",IF($M848&gt;=$J848,"Yes","No")))</f>
        <v/>
      </c>
      <c r="P848" s="15">
        <f>IF($C848="","",IF($K848="","",IF(COUNTIFS(nrES_PID,$D848,nrES_Code,$F848,nrES_Att,"&gt;"&amp;$K848)=0,"Yes","No")))</f>
        <v/>
      </c>
      <c r="Q848" s="15">
        <f>IF($C848="","",IF($L848="","",IF(AND($K848=1,$L848&lt;$J848,COUNTIFS(nrES_PID,$D848,nrES_Code,$F848,nrES_Att,2)=0),"Yes","No")))</f>
        <v/>
      </c>
      <c r="R848" s="15">
        <f>IF($C848="","",IF($L848="","",IF(AND($K848=2,$L848&lt;$J848,COUNTIFS(nrES_PID,$D848,nrES_Code,$F848,nrES_Att,1)&gt;0),"Yes","No")))</f>
        <v/>
      </c>
      <c r="S848" s="16" t="n"/>
      <c r="T848" s="17">
        <f>IF($Q848&lt;&gt;"Yes","",IF($S848="","(enter date)",_xlfn.LET(_xlpm.dn,IFERROR(_xlfn.XLOOKUP($S848,nrCDdate,nrCDnum),""),IF(_xlpm.dn="","(not a class day)",IFERROR(_xlfn.XLOOKUP(_xlpm.dn+cfgRetestClassDays,nrCDnum,nrCDdate),"")))))</f>
        <v/>
      </c>
      <c r="U848" s="15">
        <f>IF($Q848&lt;&gt;"Yes","",IF(COUNTIFS(nrES_PID,$D848,nrES_Code,$F848,nrES_Att,2)&gt;0,"Retested",IF(OR($T848="",NOT(ISNUMBER($T848))),"Pending",IF(TODAY()&gt;$T848,"OVERDUE","Due "&amp;TEXT($T848,"mm/dd")))))</f>
        <v/>
      </c>
      <c r="V848" s="14" t="n"/>
      <c r="W848" s="14" t="n"/>
    </row>
    <row r="849">
      <c r="B849" s="15">
        <f>IF($C849="","",$D849&amp;"-"&amp;$F849&amp;"-"&amp;$K849)</f>
        <v/>
      </c>
      <c r="C849" s="14" t="n"/>
      <c r="D849" s="15">
        <f>IF($C849="","",IFERROR(INDEX(rngCadetPIDs,MATCH($C849,rngCadetNames,0)),"?"))</f>
        <v/>
      </c>
      <c r="E849" s="15">
        <f>IF($D849="","",IFERROR(INDEX(nrCadetAgency,MATCH($D849,rngCadetPIDs,0)),""))</f>
        <v/>
      </c>
      <c r="F849" s="14" t="n"/>
      <c r="G849" s="15">
        <f>IF($F849="","",IFERROR(INDEX(rngEPname,MATCH($F849,rngEPcode,0)),"?"))</f>
        <v/>
      </c>
      <c r="H849" s="15">
        <f>IF($F849="","",IFERROR(INDEX(rngEPtype,MATCH($F849,rngEPcode,0)),"?"))</f>
        <v/>
      </c>
      <c r="I849" s="15">
        <f>IF($F849="","",IFERROR(INDEX(rngEPseq,MATCH($F849,rngEPcode,0)),""))</f>
        <v/>
      </c>
      <c r="J849" s="15">
        <f>IF($F849="","",IFERROR(INDEX(rngEPpass,MATCH($F849,rngEPcode,0)),cfgPassingScore))</f>
        <v/>
      </c>
      <c r="K849" s="14" t="n"/>
      <c r="L849" s="14" t="n"/>
      <c r="M849" s="15">
        <f>IF($C849="","",IF($L849="","",IF($K849=1,IF(COUNTIFS(nrES_PID,$D849,nrES_Code,$F849,nrES_Att,2)&gt;0,"",$L849),IF(COUNTIFS(nrES_PID,$D849,nrES_Code,$F849,nrES_Att,1)=0,$L849,IF($L849&gt;=$J849,cfgRetakeRecordedCap,SUMIFS(nrES_Raw,nrES_PID,$D849,nrES_Code,$F849,nrES_Att,1))))))</f>
        <v/>
      </c>
      <c r="N849" s="15">
        <f>IF($C849="","",IF($L849="","",IF($L849&gt;=$J849,"Yes","No")))</f>
        <v/>
      </c>
      <c r="O849" s="15">
        <f>IF($C849="","",IF($M849="","",IF($M849&gt;=$J849,"Yes","No")))</f>
        <v/>
      </c>
      <c r="P849" s="15">
        <f>IF($C849="","",IF($K849="","",IF(COUNTIFS(nrES_PID,$D849,nrES_Code,$F849,nrES_Att,"&gt;"&amp;$K849)=0,"Yes","No")))</f>
        <v/>
      </c>
      <c r="Q849" s="15">
        <f>IF($C849="","",IF($L849="","",IF(AND($K849=1,$L849&lt;$J849,COUNTIFS(nrES_PID,$D849,nrES_Code,$F849,nrES_Att,2)=0),"Yes","No")))</f>
        <v/>
      </c>
      <c r="R849" s="15">
        <f>IF($C849="","",IF($L849="","",IF(AND($K849=2,$L849&lt;$J849,COUNTIFS(nrES_PID,$D849,nrES_Code,$F849,nrES_Att,1)&gt;0),"Yes","No")))</f>
        <v/>
      </c>
      <c r="S849" s="16" t="n"/>
      <c r="T849" s="17">
        <f>IF($Q849&lt;&gt;"Yes","",IF($S849="","(enter date)",_xlfn.LET(_xlpm.dn,IFERROR(_xlfn.XLOOKUP($S849,nrCDdate,nrCDnum),""),IF(_xlpm.dn="","(not a class day)",IFERROR(_xlfn.XLOOKUP(_xlpm.dn+cfgRetestClassDays,nrCDnum,nrCDdate),"")))))</f>
        <v/>
      </c>
      <c r="U849" s="15">
        <f>IF($Q849&lt;&gt;"Yes","",IF(COUNTIFS(nrES_PID,$D849,nrES_Code,$F849,nrES_Att,2)&gt;0,"Retested",IF(OR($T849="",NOT(ISNUMBER($T849))),"Pending",IF(TODAY()&gt;$T849,"OVERDUE","Due "&amp;TEXT($T849,"mm/dd")))))</f>
        <v/>
      </c>
      <c r="V849" s="14" t="n"/>
      <c r="W849" s="14" t="n"/>
    </row>
    <row r="850">
      <c r="B850" s="15">
        <f>IF($C850="","",$D850&amp;"-"&amp;$F850&amp;"-"&amp;$K850)</f>
        <v/>
      </c>
      <c r="C850" s="14" t="n"/>
      <c r="D850" s="15">
        <f>IF($C850="","",IFERROR(INDEX(rngCadetPIDs,MATCH($C850,rngCadetNames,0)),"?"))</f>
        <v/>
      </c>
      <c r="E850" s="15">
        <f>IF($D850="","",IFERROR(INDEX(nrCadetAgency,MATCH($D850,rngCadetPIDs,0)),""))</f>
        <v/>
      </c>
      <c r="F850" s="14" t="n"/>
      <c r="G850" s="15">
        <f>IF($F850="","",IFERROR(INDEX(rngEPname,MATCH($F850,rngEPcode,0)),"?"))</f>
        <v/>
      </c>
      <c r="H850" s="15">
        <f>IF($F850="","",IFERROR(INDEX(rngEPtype,MATCH($F850,rngEPcode,0)),"?"))</f>
        <v/>
      </c>
      <c r="I850" s="15">
        <f>IF($F850="","",IFERROR(INDEX(rngEPseq,MATCH($F850,rngEPcode,0)),""))</f>
        <v/>
      </c>
      <c r="J850" s="15">
        <f>IF($F850="","",IFERROR(INDEX(rngEPpass,MATCH($F850,rngEPcode,0)),cfgPassingScore))</f>
        <v/>
      </c>
      <c r="K850" s="14" t="n"/>
      <c r="L850" s="14" t="n"/>
      <c r="M850" s="15">
        <f>IF($C850="","",IF($L850="","",IF($K850=1,IF(COUNTIFS(nrES_PID,$D850,nrES_Code,$F850,nrES_Att,2)&gt;0,"",$L850),IF(COUNTIFS(nrES_PID,$D850,nrES_Code,$F850,nrES_Att,1)=0,$L850,IF($L850&gt;=$J850,cfgRetakeRecordedCap,SUMIFS(nrES_Raw,nrES_PID,$D850,nrES_Code,$F850,nrES_Att,1))))))</f>
        <v/>
      </c>
      <c r="N850" s="15">
        <f>IF($C850="","",IF($L850="","",IF($L850&gt;=$J850,"Yes","No")))</f>
        <v/>
      </c>
      <c r="O850" s="15">
        <f>IF($C850="","",IF($M850="","",IF($M850&gt;=$J850,"Yes","No")))</f>
        <v/>
      </c>
      <c r="P850" s="15">
        <f>IF($C850="","",IF($K850="","",IF(COUNTIFS(nrES_PID,$D850,nrES_Code,$F850,nrES_Att,"&gt;"&amp;$K850)=0,"Yes","No")))</f>
        <v/>
      </c>
      <c r="Q850" s="15">
        <f>IF($C850="","",IF($L850="","",IF(AND($K850=1,$L850&lt;$J850,COUNTIFS(nrES_PID,$D850,nrES_Code,$F850,nrES_Att,2)=0),"Yes","No")))</f>
        <v/>
      </c>
      <c r="R850" s="15">
        <f>IF($C850="","",IF($L850="","",IF(AND($K850=2,$L850&lt;$J850,COUNTIFS(nrES_PID,$D850,nrES_Code,$F850,nrES_Att,1)&gt;0),"Yes","No")))</f>
        <v/>
      </c>
      <c r="S850" s="16" t="n"/>
      <c r="T850" s="17">
        <f>IF($Q850&lt;&gt;"Yes","",IF($S850="","(enter date)",_xlfn.LET(_xlpm.dn,IFERROR(_xlfn.XLOOKUP($S850,nrCDdate,nrCDnum),""),IF(_xlpm.dn="","(not a class day)",IFERROR(_xlfn.XLOOKUP(_xlpm.dn+cfgRetestClassDays,nrCDnum,nrCDdate),"")))))</f>
        <v/>
      </c>
      <c r="U850" s="15">
        <f>IF($Q850&lt;&gt;"Yes","",IF(COUNTIFS(nrES_PID,$D850,nrES_Code,$F850,nrES_Att,2)&gt;0,"Retested",IF(OR($T850="",NOT(ISNUMBER($T850))),"Pending",IF(TODAY()&gt;$T850,"OVERDUE","Due "&amp;TEXT($T850,"mm/dd")))))</f>
        <v/>
      </c>
      <c r="V850" s="14" t="n"/>
      <c r="W850" s="14" t="n"/>
    </row>
    <row r="851">
      <c r="B851" s="15">
        <f>IF($C851="","",$D851&amp;"-"&amp;$F851&amp;"-"&amp;$K851)</f>
        <v/>
      </c>
      <c r="C851" s="14" t="n"/>
      <c r="D851" s="15">
        <f>IF($C851="","",IFERROR(INDEX(rngCadetPIDs,MATCH($C851,rngCadetNames,0)),"?"))</f>
        <v/>
      </c>
      <c r="E851" s="15">
        <f>IF($D851="","",IFERROR(INDEX(nrCadetAgency,MATCH($D851,rngCadetPIDs,0)),""))</f>
        <v/>
      </c>
      <c r="F851" s="14" t="n"/>
      <c r="G851" s="15">
        <f>IF($F851="","",IFERROR(INDEX(rngEPname,MATCH($F851,rngEPcode,0)),"?"))</f>
        <v/>
      </c>
      <c r="H851" s="15">
        <f>IF($F851="","",IFERROR(INDEX(rngEPtype,MATCH($F851,rngEPcode,0)),"?"))</f>
        <v/>
      </c>
      <c r="I851" s="15">
        <f>IF($F851="","",IFERROR(INDEX(rngEPseq,MATCH($F851,rngEPcode,0)),""))</f>
        <v/>
      </c>
      <c r="J851" s="15">
        <f>IF($F851="","",IFERROR(INDEX(rngEPpass,MATCH($F851,rngEPcode,0)),cfgPassingScore))</f>
        <v/>
      </c>
      <c r="K851" s="14" t="n"/>
      <c r="L851" s="14" t="n"/>
      <c r="M851" s="15">
        <f>IF($C851="","",IF($L851="","",IF($K851=1,IF(COUNTIFS(nrES_PID,$D851,nrES_Code,$F851,nrES_Att,2)&gt;0,"",$L851),IF(COUNTIFS(nrES_PID,$D851,nrES_Code,$F851,nrES_Att,1)=0,$L851,IF($L851&gt;=$J851,cfgRetakeRecordedCap,SUMIFS(nrES_Raw,nrES_PID,$D851,nrES_Code,$F851,nrES_Att,1))))))</f>
        <v/>
      </c>
      <c r="N851" s="15">
        <f>IF($C851="","",IF($L851="","",IF($L851&gt;=$J851,"Yes","No")))</f>
        <v/>
      </c>
      <c r="O851" s="15">
        <f>IF($C851="","",IF($M851="","",IF($M851&gt;=$J851,"Yes","No")))</f>
        <v/>
      </c>
      <c r="P851" s="15">
        <f>IF($C851="","",IF($K851="","",IF(COUNTIFS(nrES_PID,$D851,nrES_Code,$F851,nrES_Att,"&gt;"&amp;$K851)=0,"Yes","No")))</f>
        <v/>
      </c>
      <c r="Q851" s="15">
        <f>IF($C851="","",IF($L851="","",IF(AND($K851=1,$L851&lt;$J851,COUNTIFS(nrES_PID,$D851,nrES_Code,$F851,nrES_Att,2)=0),"Yes","No")))</f>
        <v/>
      </c>
      <c r="R851" s="15">
        <f>IF($C851="","",IF($L851="","",IF(AND($K851=2,$L851&lt;$J851,COUNTIFS(nrES_PID,$D851,nrES_Code,$F851,nrES_Att,1)&gt;0),"Yes","No")))</f>
        <v/>
      </c>
      <c r="S851" s="16" t="n"/>
      <c r="T851" s="17">
        <f>IF($Q851&lt;&gt;"Yes","",IF($S851="","(enter date)",_xlfn.LET(_xlpm.dn,IFERROR(_xlfn.XLOOKUP($S851,nrCDdate,nrCDnum),""),IF(_xlpm.dn="","(not a class day)",IFERROR(_xlfn.XLOOKUP(_xlpm.dn+cfgRetestClassDays,nrCDnum,nrCDdate),"")))))</f>
        <v/>
      </c>
      <c r="U851" s="15">
        <f>IF($Q851&lt;&gt;"Yes","",IF(COUNTIFS(nrES_PID,$D851,nrES_Code,$F851,nrES_Att,2)&gt;0,"Retested",IF(OR($T851="",NOT(ISNUMBER($T851))),"Pending",IF(TODAY()&gt;$T851,"OVERDUE","Due "&amp;TEXT($T851,"mm/dd")))))</f>
        <v/>
      </c>
      <c r="V851" s="14" t="n"/>
      <c r="W851" s="14" t="n"/>
    </row>
    <row r="852">
      <c r="B852" s="15">
        <f>IF($C852="","",$D852&amp;"-"&amp;$F852&amp;"-"&amp;$K852)</f>
        <v/>
      </c>
      <c r="C852" s="14" t="n"/>
      <c r="D852" s="15">
        <f>IF($C852="","",IFERROR(INDEX(rngCadetPIDs,MATCH($C852,rngCadetNames,0)),"?"))</f>
        <v/>
      </c>
      <c r="E852" s="15">
        <f>IF($D852="","",IFERROR(INDEX(nrCadetAgency,MATCH($D852,rngCadetPIDs,0)),""))</f>
        <v/>
      </c>
      <c r="F852" s="14" t="n"/>
      <c r="G852" s="15">
        <f>IF($F852="","",IFERROR(INDEX(rngEPname,MATCH($F852,rngEPcode,0)),"?"))</f>
        <v/>
      </c>
      <c r="H852" s="15">
        <f>IF($F852="","",IFERROR(INDEX(rngEPtype,MATCH($F852,rngEPcode,0)),"?"))</f>
        <v/>
      </c>
      <c r="I852" s="15">
        <f>IF($F852="","",IFERROR(INDEX(rngEPseq,MATCH($F852,rngEPcode,0)),""))</f>
        <v/>
      </c>
      <c r="J852" s="15">
        <f>IF($F852="","",IFERROR(INDEX(rngEPpass,MATCH($F852,rngEPcode,0)),cfgPassingScore))</f>
        <v/>
      </c>
      <c r="K852" s="14" t="n"/>
      <c r="L852" s="14" t="n"/>
      <c r="M852" s="15">
        <f>IF($C852="","",IF($L852="","",IF($K852=1,IF(COUNTIFS(nrES_PID,$D852,nrES_Code,$F852,nrES_Att,2)&gt;0,"",$L852),IF(COUNTIFS(nrES_PID,$D852,nrES_Code,$F852,nrES_Att,1)=0,$L852,IF($L852&gt;=$J852,cfgRetakeRecordedCap,SUMIFS(nrES_Raw,nrES_PID,$D852,nrES_Code,$F852,nrES_Att,1))))))</f>
        <v/>
      </c>
      <c r="N852" s="15">
        <f>IF($C852="","",IF($L852="","",IF($L852&gt;=$J852,"Yes","No")))</f>
        <v/>
      </c>
      <c r="O852" s="15">
        <f>IF($C852="","",IF($M852="","",IF($M852&gt;=$J852,"Yes","No")))</f>
        <v/>
      </c>
      <c r="P852" s="15">
        <f>IF($C852="","",IF($K852="","",IF(COUNTIFS(nrES_PID,$D852,nrES_Code,$F852,nrES_Att,"&gt;"&amp;$K852)=0,"Yes","No")))</f>
        <v/>
      </c>
      <c r="Q852" s="15">
        <f>IF($C852="","",IF($L852="","",IF(AND($K852=1,$L852&lt;$J852,COUNTIFS(nrES_PID,$D852,nrES_Code,$F852,nrES_Att,2)=0),"Yes","No")))</f>
        <v/>
      </c>
      <c r="R852" s="15">
        <f>IF($C852="","",IF($L852="","",IF(AND($K852=2,$L852&lt;$J852,COUNTIFS(nrES_PID,$D852,nrES_Code,$F852,nrES_Att,1)&gt;0),"Yes","No")))</f>
        <v/>
      </c>
      <c r="S852" s="16" t="n"/>
      <c r="T852" s="17">
        <f>IF($Q852&lt;&gt;"Yes","",IF($S852="","(enter date)",_xlfn.LET(_xlpm.dn,IFERROR(_xlfn.XLOOKUP($S852,nrCDdate,nrCDnum),""),IF(_xlpm.dn="","(not a class day)",IFERROR(_xlfn.XLOOKUP(_xlpm.dn+cfgRetestClassDays,nrCDnum,nrCDdate),"")))))</f>
        <v/>
      </c>
      <c r="U852" s="15">
        <f>IF($Q852&lt;&gt;"Yes","",IF(COUNTIFS(nrES_PID,$D852,nrES_Code,$F852,nrES_Att,2)&gt;0,"Retested",IF(OR($T852="",NOT(ISNUMBER($T852))),"Pending",IF(TODAY()&gt;$T852,"OVERDUE","Due "&amp;TEXT($T852,"mm/dd")))))</f>
        <v/>
      </c>
      <c r="V852" s="14" t="n"/>
      <c r="W852" s="14" t="n"/>
    </row>
    <row r="853">
      <c r="B853" s="15">
        <f>IF($C853="","",$D853&amp;"-"&amp;$F853&amp;"-"&amp;$K853)</f>
        <v/>
      </c>
      <c r="C853" s="14" t="n"/>
      <c r="D853" s="15">
        <f>IF($C853="","",IFERROR(INDEX(rngCadetPIDs,MATCH($C853,rngCadetNames,0)),"?"))</f>
        <v/>
      </c>
      <c r="E853" s="15">
        <f>IF($D853="","",IFERROR(INDEX(nrCadetAgency,MATCH($D853,rngCadetPIDs,0)),""))</f>
        <v/>
      </c>
      <c r="F853" s="14" t="n"/>
      <c r="G853" s="15">
        <f>IF($F853="","",IFERROR(INDEX(rngEPname,MATCH($F853,rngEPcode,0)),"?"))</f>
        <v/>
      </c>
      <c r="H853" s="15">
        <f>IF($F853="","",IFERROR(INDEX(rngEPtype,MATCH($F853,rngEPcode,0)),"?"))</f>
        <v/>
      </c>
      <c r="I853" s="15">
        <f>IF($F853="","",IFERROR(INDEX(rngEPseq,MATCH($F853,rngEPcode,0)),""))</f>
        <v/>
      </c>
      <c r="J853" s="15">
        <f>IF($F853="","",IFERROR(INDEX(rngEPpass,MATCH($F853,rngEPcode,0)),cfgPassingScore))</f>
        <v/>
      </c>
      <c r="K853" s="14" t="n"/>
      <c r="L853" s="14" t="n"/>
      <c r="M853" s="15">
        <f>IF($C853="","",IF($L853="","",IF($K853=1,IF(COUNTIFS(nrES_PID,$D853,nrES_Code,$F853,nrES_Att,2)&gt;0,"",$L853),IF(COUNTIFS(nrES_PID,$D853,nrES_Code,$F853,nrES_Att,1)=0,$L853,IF($L853&gt;=$J853,cfgRetakeRecordedCap,SUMIFS(nrES_Raw,nrES_PID,$D853,nrES_Code,$F853,nrES_Att,1))))))</f>
        <v/>
      </c>
      <c r="N853" s="15">
        <f>IF($C853="","",IF($L853="","",IF($L853&gt;=$J853,"Yes","No")))</f>
        <v/>
      </c>
      <c r="O853" s="15">
        <f>IF($C853="","",IF($M853="","",IF($M853&gt;=$J853,"Yes","No")))</f>
        <v/>
      </c>
      <c r="P853" s="15">
        <f>IF($C853="","",IF($K853="","",IF(COUNTIFS(nrES_PID,$D853,nrES_Code,$F853,nrES_Att,"&gt;"&amp;$K853)=0,"Yes","No")))</f>
        <v/>
      </c>
      <c r="Q853" s="15">
        <f>IF($C853="","",IF($L853="","",IF(AND($K853=1,$L853&lt;$J853,COUNTIFS(nrES_PID,$D853,nrES_Code,$F853,nrES_Att,2)=0),"Yes","No")))</f>
        <v/>
      </c>
      <c r="R853" s="15">
        <f>IF($C853="","",IF($L853="","",IF(AND($K853=2,$L853&lt;$J853,COUNTIFS(nrES_PID,$D853,nrES_Code,$F853,nrES_Att,1)&gt;0),"Yes","No")))</f>
        <v/>
      </c>
      <c r="S853" s="16" t="n"/>
      <c r="T853" s="17">
        <f>IF($Q853&lt;&gt;"Yes","",IF($S853="","(enter date)",_xlfn.LET(_xlpm.dn,IFERROR(_xlfn.XLOOKUP($S853,nrCDdate,nrCDnum),""),IF(_xlpm.dn="","(not a class day)",IFERROR(_xlfn.XLOOKUP(_xlpm.dn+cfgRetestClassDays,nrCDnum,nrCDdate),"")))))</f>
        <v/>
      </c>
      <c r="U853" s="15">
        <f>IF($Q853&lt;&gt;"Yes","",IF(COUNTIFS(nrES_PID,$D853,nrES_Code,$F853,nrES_Att,2)&gt;0,"Retested",IF(OR($T853="",NOT(ISNUMBER($T853))),"Pending",IF(TODAY()&gt;$T853,"OVERDUE","Due "&amp;TEXT($T853,"mm/dd")))))</f>
        <v/>
      </c>
      <c r="V853" s="14" t="n"/>
      <c r="W853" s="14" t="n"/>
    </row>
    <row r="854">
      <c r="B854" s="15">
        <f>IF($C854="","",$D854&amp;"-"&amp;$F854&amp;"-"&amp;$K854)</f>
        <v/>
      </c>
      <c r="C854" s="14" t="n"/>
      <c r="D854" s="15">
        <f>IF($C854="","",IFERROR(INDEX(rngCadetPIDs,MATCH($C854,rngCadetNames,0)),"?"))</f>
        <v/>
      </c>
      <c r="E854" s="15">
        <f>IF($D854="","",IFERROR(INDEX(nrCadetAgency,MATCH($D854,rngCadetPIDs,0)),""))</f>
        <v/>
      </c>
      <c r="F854" s="14" t="n"/>
      <c r="G854" s="15">
        <f>IF($F854="","",IFERROR(INDEX(rngEPname,MATCH($F854,rngEPcode,0)),"?"))</f>
        <v/>
      </c>
      <c r="H854" s="15">
        <f>IF($F854="","",IFERROR(INDEX(rngEPtype,MATCH($F854,rngEPcode,0)),"?"))</f>
        <v/>
      </c>
      <c r="I854" s="15">
        <f>IF($F854="","",IFERROR(INDEX(rngEPseq,MATCH($F854,rngEPcode,0)),""))</f>
        <v/>
      </c>
      <c r="J854" s="15">
        <f>IF($F854="","",IFERROR(INDEX(rngEPpass,MATCH($F854,rngEPcode,0)),cfgPassingScore))</f>
        <v/>
      </c>
      <c r="K854" s="14" t="n"/>
      <c r="L854" s="14" t="n"/>
      <c r="M854" s="15">
        <f>IF($C854="","",IF($L854="","",IF($K854=1,IF(COUNTIFS(nrES_PID,$D854,nrES_Code,$F854,nrES_Att,2)&gt;0,"",$L854),IF(COUNTIFS(nrES_PID,$D854,nrES_Code,$F854,nrES_Att,1)=0,$L854,IF($L854&gt;=$J854,cfgRetakeRecordedCap,SUMIFS(nrES_Raw,nrES_PID,$D854,nrES_Code,$F854,nrES_Att,1))))))</f>
        <v/>
      </c>
      <c r="N854" s="15">
        <f>IF($C854="","",IF($L854="","",IF($L854&gt;=$J854,"Yes","No")))</f>
        <v/>
      </c>
      <c r="O854" s="15">
        <f>IF($C854="","",IF($M854="","",IF($M854&gt;=$J854,"Yes","No")))</f>
        <v/>
      </c>
      <c r="P854" s="15">
        <f>IF($C854="","",IF($K854="","",IF(COUNTIFS(nrES_PID,$D854,nrES_Code,$F854,nrES_Att,"&gt;"&amp;$K854)=0,"Yes","No")))</f>
        <v/>
      </c>
      <c r="Q854" s="15">
        <f>IF($C854="","",IF($L854="","",IF(AND($K854=1,$L854&lt;$J854,COUNTIFS(nrES_PID,$D854,nrES_Code,$F854,nrES_Att,2)=0),"Yes","No")))</f>
        <v/>
      </c>
      <c r="R854" s="15">
        <f>IF($C854="","",IF($L854="","",IF(AND($K854=2,$L854&lt;$J854,COUNTIFS(nrES_PID,$D854,nrES_Code,$F854,nrES_Att,1)&gt;0),"Yes","No")))</f>
        <v/>
      </c>
      <c r="S854" s="16" t="n"/>
      <c r="T854" s="17">
        <f>IF($Q854&lt;&gt;"Yes","",IF($S854="","(enter date)",_xlfn.LET(_xlpm.dn,IFERROR(_xlfn.XLOOKUP($S854,nrCDdate,nrCDnum),""),IF(_xlpm.dn="","(not a class day)",IFERROR(_xlfn.XLOOKUP(_xlpm.dn+cfgRetestClassDays,nrCDnum,nrCDdate),"")))))</f>
        <v/>
      </c>
      <c r="U854" s="15">
        <f>IF($Q854&lt;&gt;"Yes","",IF(COUNTIFS(nrES_PID,$D854,nrES_Code,$F854,nrES_Att,2)&gt;0,"Retested",IF(OR($T854="",NOT(ISNUMBER($T854))),"Pending",IF(TODAY()&gt;$T854,"OVERDUE","Due "&amp;TEXT($T854,"mm/dd")))))</f>
        <v/>
      </c>
      <c r="V854" s="14" t="n"/>
      <c r="W854" s="14" t="n"/>
    </row>
    <row r="855">
      <c r="B855" s="15">
        <f>IF($C855="","",$D855&amp;"-"&amp;$F855&amp;"-"&amp;$K855)</f>
        <v/>
      </c>
      <c r="C855" s="14" t="n"/>
      <c r="D855" s="15">
        <f>IF($C855="","",IFERROR(INDEX(rngCadetPIDs,MATCH($C855,rngCadetNames,0)),"?"))</f>
        <v/>
      </c>
      <c r="E855" s="15">
        <f>IF($D855="","",IFERROR(INDEX(nrCadetAgency,MATCH($D855,rngCadetPIDs,0)),""))</f>
        <v/>
      </c>
      <c r="F855" s="14" t="n"/>
      <c r="G855" s="15">
        <f>IF($F855="","",IFERROR(INDEX(rngEPname,MATCH($F855,rngEPcode,0)),"?"))</f>
        <v/>
      </c>
      <c r="H855" s="15">
        <f>IF($F855="","",IFERROR(INDEX(rngEPtype,MATCH($F855,rngEPcode,0)),"?"))</f>
        <v/>
      </c>
      <c r="I855" s="15">
        <f>IF($F855="","",IFERROR(INDEX(rngEPseq,MATCH($F855,rngEPcode,0)),""))</f>
        <v/>
      </c>
      <c r="J855" s="15">
        <f>IF($F855="","",IFERROR(INDEX(rngEPpass,MATCH($F855,rngEPcode,0)),cfgPassingScore))</f>
        <v/>
      </c>
      <c r="K855" s="14" t="n"/>
      <c r="L855" s="14" t="n"/>
      <c r="M855" s="15">
        <f>IF($C855="","",IF($L855="","",IF($K855=1,IF(COUNTIFS(nrES_PID,$D855,nrES_Code,$F855,nrES_Att,2)&gt;0,"",$L855),IF(COUNTIFS(nrES_PID,$D855,nrES_Code,$F855,nrES_Att,1)=0,$L855,IF($L855&gt;=$J855,cfgRetakeRecordedCap,SUMIFS(nrES_Raw,nrES_PID,$D855,nrES_Code,$F855,nrES_Att,1))))))</f>
        <v/>
      </c>
      <c r="N855" s="15">
        <f>IF($C855="","",IF($L855="","",IF($L855&gt;=$J855,"Yes","No")))</f>
        <v/>
      </c>
      <c r="O855" s="15">
        <f>IF($C855="","",IF($M855="","",IF($M855&gt;=$J855,"Yes","No")))</f>
        <v/>
      </c>
      <c r="P855" s="15">
        <f>IF($C855="","",IF($K855="","",IF(COUNTIFS(nrES_PID,$D855,nrES_Code,$F855,nrES_Att,"&gt;"&amp;$K855)=0,"Yes","No")))</f>
        <v/>
      </c>
      <c r="Q855" s="15">
        <f>IF($C855="","",IF($L855="","",IF(AND($K855=1,$L855&lt;$J855,COUNTIFS(nrES_PID,$D855,nrES_Code,$F855,nrES_Att,2)=0),"Yes","No")))</f>
        <v/>
      </c>
      <c r="R855" s="15">
        <f>IF($C855="","",IF($L855="","",IF(AND($K855=2,$L855&lt;$J855,COUNTIFS(nrES_PID,$D855,nrES_Code,$F855,nrES_Att,1)&gt;0),"Yes","No")))</f>
        <v/>
      </c>
      <c r="S855" s="16" t="n"/>
      <c r="T855" s="17">
        <f>IF($Q855&lt;&gt;"Yes","",IF($S855="","(enter date)",_xlfn.LET(_xlpm.dn,IFERROR(_xlfn.XLOOKUP($S855,nrCDdate,nrCDnum),""),IF(_xlpm.dn="","(not a class day)",IFERROR(_xlfn.XLOOKUP(_xlpm.dn+cfgRetestClassDays,nrCDnum,nrCDdate),"")))))</f>
        <v/>
      </c>
      <c r="U855" s="15">
        <f>IF($Q855&lt;&gt;"Yes","",IF(COUNTIFS(nrES_PID,$D855,nrES_Code,$F855,nrES_Att,2)&gt;0,"Retested",IF(OR($T855="",NOT(ISNUMBER($T855))),"Pending",IF(TODAY()&gt;$T855,"OVERDUE","Due "&amp;TEXT($T855,"mm/dd")))))</f>
        <v/>
      </c>
      <c r="V855" s="14" t="n"/>
      <c r="W855" s="14" t="n"/>
    </row>
    <row r="856">
      <c r="B856" s="15">
        <f>IF($C856="","",$D856&amp;"-"&amp;$F856&amp;"-"&amp;$K856)</f>
        <v/>
      </c>
      <c r="C856" s="14" t="n"/>
      <c r="D856" s="15">
        <f>IF($C856="","",IFERROR(INDEX(rngCadetPIDs,MATCH($C856,rngCadetNames,0)),"?"))</f>
        <v/>
      </c>
      <c r="E856" s="15">
        <f>IF($D856="","",IFERROR(INDEX(nrCadetAgency,MATCH($D856,rngCadetPIDs,0)),""))</f>
        <v/>
      </c>
      <c r="F856" s="14" t="n"/>
      <c r="G856" s="15">
        <f>IF($F856="","",IFERROR(INDEX(rngEPname,MATCH($F856,rngEPcode,0)),"?"))</f>
        <v/>
      </c>
      <c r="H856" s="15">
        <f>IF($F856="","",IFERROR(INDEX(rngEPtype,MATCH($F856,rngEPcode,0)),"?"))</f>
        <v/>
      </c>
      <c r="I856" s="15">
        <f>IF($F856="","",IFERROR(INDEX(rngEPseq,MATCH($F856,rngEPcode,0)),""))</f>
        <v/>
      </c>
      <c r="J856" s="15">
        <f>IF($F856="","",IFERROR(INDEX(rngEPpass,MATCH($F856,rngEPcode,0)),cfgPassingScore))</f>
        <v/>
      </c>
      <c r="K856" s="14" t="n"/>
      <c r="L856" s="14" t="n"/>
      <c r="M856" s="15">
        <f>IF($C856="","",IF($L856="","",IF($K856=1,IF(COUNTIFS(nrES_PID,$D856,nrES_Code,$F856,nrES_Att,2)&gt;0,"",$L856),IF(COUNTIFS(nrES_PID,$D856,nrES_Code,$F856,nrES_Att,1)=0,$L856,IF($L856&gt;=$J856,cfgRetakeRecordedCap,SUMIFS(nrES_Raw,nrES_PID,$D856,nrES_Code,$F856,nrES_Att,1))))))</f>
        <v/>
      </c>
      <c r="N856" s="15">
        <f>IF($C856="","",IF($L856="","",IF($L856&gt;=$J856,"Yes","No")))</f>
        <v/>
      </c>
      <c r="O856" s="15">
        <f>IF($C856="","",IF($M856="","",IF($M856&gt;=$J856,"Yes","No")))</f>
        <v/>
      </c>
      <c r="P856" s="15">
        <f>IF($C856="","",IF($K856="","",IF(COUNTIFS(nrES_PID,$D856,nrES_Code,$F856,nrES_Att,"&gt;"&amp;$K856)=0,"Yes","No")))</f>
        <v/>
      </c>
      <c r="Q856" s="15">
        <f>IF($C856="","",IF($L856="","",IF(AND($K856=1,$L856&lt;$J856,COUNTIFS(nrES_PID,$D856,nrES_Code,$F856,nrES_Att,2)=0),"Yes","No")))</f>
        <v/>
      </c>
      <c r="R856" s="15">
        <f>IF($C856="","",IF($L856="","",IF(AND($K856=2,$L856&lt;$J856,COUNTIFS(nrES_PID,$D856,nrES_Code,$F856,nrES_Att,1)&gt;0),"Yes","No")))</f>
        <v/>
      </c>
      <c r="S856" s="16" t="n"/>
      <c r="T856" s="17">
        <f>IF($Q856&lt;&gt;"Yes","",IF($S856="","(enter date)",_xlfn.LET(_xlpm.dn,IFERROR(_xlfn.XLOOKUP($S856,nrCDdate,nrCDnum),""),IF(_xlpm.dn="","(not a class day)",IFERROR(_xlfn.XLOOKUP(_xlpm.dn+cfgRetestClassDays,nrCDnum,nrCDdate),"")))))</f>
        <v/>
      </c>
      <c r="U856" s="15">
        <f>IF($Q856&lt;&gt;"Yes","",IF(COUNTIFS(nrES_PID,$D856,nrES_Code,$F856,nrES_Att,2)&gt;0,"Retested",IF(OR($T856="",NOT(ISNUMBER($T856))),"Pending",IF(TODAY()&gt;$T856,"OVERDUE","Due "&amp;TEXT($T856,"mm/dd")))))</f>
        <v/>
      </c>
      <c r="V856" s="14" t="n"/>
      <c r="W856" s="14" t="n"/>
    </row>
    <row r="857">
      <c r="B857" s="15">
        <f>IF($C857="","",$D857&amp;"-"&amp;$F857&amp;"-"&amp;$K857)</f>
        <v/>
      </c>
      <c r="C857" s="14" t="n"/>
      <c r="D857" s="15">
        <f>IF($C857="","",IFERROR(INDEX(rngCadetPIDs,MATCH($C857,rngCadetNames,0)),"?"))</f>
        <v/>
      </c>
      <c r="E857" s="15">
        <f>IF($D857="","",IFERROR(INDEX(nrCadetAgency,MATCH($D857,rngCadetPIDs,0)),""))</f>
        <v/>
      </c>
      <c r="F857" s="14" t="n"/>
      <c r="G857" s="15">
        <f>IF($F857="","",IFERROR(INDEX(rngEPname,MATCH($F857,rngEPcode,0)),"?"))</f>
        <v/>
      </c>
      <c r="H857" s="15">
        <f>IF($F857="","",IFERROR(INDEX(rngEPtype,MATCH($F857,rngEPcode,0)),"?"))</f>
        <v/>
      </c>
      <c r="I857" s="15">
        <f>IF($F857="","",IFERROR(INDEX(rngEPseq,MATCH($F857,rngEPcode,0)),""))</f>
        <v/>
      </c>
      <c r="J857" s="15">
        <f>IF($F857="","",IFERROR(INDEX(rngEPpass,MATCH($F857,rngEPcode,0)),cfgPassingScore))</f>
        <v/>
      </c>
      <c r="K857" s="14" t="n"/>
      <c r="L857" s="14" t="n"/>
      <c r="M857" s="15">
        <f>IF($C857="","",IF($L857="","",IF($K857=1,IF(COUNTIFS(nrES_PID,$D857,nrES_Code,$F857,nrES_Att,2)&gt;0,"",$L857),IF(COUNTIFS(nrES_PID,$D857,nrES_Code,$F857,nrES_Att,1)=0,$L857,IF($L857&gt;=$J857,cfgRetakeRecordedCap,SUMIFS(nrES_Raw,nrES_PID,$D857,nrES_Code,$F857,nrES_Att,1))))))</f>
        <v/>
      </c>
      <c r="N857" s="15">
        <f>IF($C857="","",IF($L857="","",IF($L857&gt;=$J857,"Yes","No")))</f>
        <v/>
      </c>
      <c r="O857" s="15">
        <f>IF($C857="","",IF($M857="","",IF($M857&gt;=$J857,"Yes","No")))</f>
        <v/>
      </c>
      <c r="P857" s="15">
        <f>IF($C857="","",IF($K857="","",IF(COUNTIFS(nrES_PID,$D857,nrES_Code,$F857,nrES_Att,"&gt;"&amp;$K857)=0,"Yes","No")))</f>
        <v/>
      </c>
      <c r="Q857" s="15">
        <f>IF($C857="","",IF($L857="","",IF(AND($K857=1,$L857&lt;$J857,COUNTIFS(nrES_PID,$D857,nrES_Code,$F857,nrES_Att,2)=0),"Yes","No")))</f>
        <v/>
      </c>
      <c r="R857" s="15">
        <f>IF($C857="","",IF($L857="","",IF(AND($K857=2,$L857&lt;$J857,COUNTIFS(nrES_PID,$D857,nrES_Code,$F857,nrES_Att,1)&gt;0),"Yes","No")))</f>
        <v/>
      </c>
      <c r="S857" s="16" t="n"/>
      <c r="T857" s="17">
        <f>IF($Q857&lt;&gt;"Yes","",IF($S857="","(enter date)",_xlfn.LET(_xlpm.dn,IFERROR(_xlfn.XLOOKUP($S857,nrCDdate,nrCDnum),""),IF(_xlpm.dn="","(not a class day)",IFERROR(_xlfn.XLOOKUP(_xlpm.dn+cfgRetestClassDays,nrCDnum,nrCDdate),"")))))</f>
        <v/>
      </c>
      <c r="U857" s="15">
        <f>IF($Q857&lt;&gt;"Yes","",IF(COUNTIFS(nrES_PID,$D857,nrES_Code,$F857,nrES_Att,2)&gt;0,"Retested",IF(OR($T857="",NOT(ISNUMBER($T857))),"Pending",IF(TODAY()&gt;$T857,"OVERDUE","Due "&amp;TEXT($T857,"mm/dd")))))</f>
        <v/>
      </c>
      <c r="V857" s="14" t="n"/>
      <c r="W857" s="14" t="n"/>
    </row>
    <row r="858">
      <c r="B858" s="15">
        <f>IF($C858="","",$D858&amp;"-"&amp;$F858&amp;"-"&amp;$K858)</f>
        <v/>
      </c>
      <c r="C858" s="14" t="n"/>
      <c r="D858" s="15">
        <f>IF($C858="","",IFERROR(INDEX(rngCadetPIDs,MATCH($C858,rngCadetNames,0)),"?"))</f>
        <v/>
      </c>
      <c r="E858" s="15">
        <f>IF($D858="","",IFERROR(INDEX(nrCadetAgency,MATCH($D858,rngCadetPIDs,0)),""))</f>
        <v/>
      </c>
      <c r="F858" s="14" t="n"/>
      <c r="G858" s="15">
        <f>IF($F858="","",IFERROR(INDEX(rngEPname,MATCH($F858,rngEPcode,0)),"?"))</f>
        <v/>
      </c>
      <c r="H858" s="15">
        <f>IF($F858="","",IFERROR(INDEX(rngEPtype,MATCH($F858,rngEPcode,0)),"?"))</f>
        <v/>
      </c>
      <c r="I858" s="15">
        <f>IF($F858="","",IFERROR(INDEX(rngEPseq,MATCH($F858,rngEPcode,0)),""))</f>
        <v/>
      </c>
      <c r="J858" s="15">
        <f>IF($F858="","",IFERROR(INDEX(rngEPpass,MATCH($F858,rngEPcode,0)),cfgPassingScore))</f>
        <v/>
      </c>
      <c r="K858" s="14" t="n"/>
      <c r="L858" s="14" t="n"/>
      <c r="M858" s="15">
        <f>IF($C858="","",IF($L858="","",IF($K858=1,IF(COUNTIFS(nrES_PID,$D858,nrES_Code,$F858,nrES_Att,2)&gt;0,"",$L858),IF(COUNTIFS(nrES_PID,$D858,nrES_Code,$F858,nrES_Att,1)=0,$L858,IF($L858&gt;=$J858,cfgRetakeRecordedCap,SUMIFS(nrES_Raw,nrES_PID,$D858,nrES_Code,$F858,nrES_Att,1))))))</f>
        <v/>
      </c>
      <c r="N858" s="15">
        <f>IF($C858="","",IF($L858="","",IF($L858&gt;=$J858,"Yes","No")))</f>
        <v/>
      </c>
      <c r="O858" s="15">
        <f>IF($C858="","",IF($M858="","",IF($M858&gt;=$J858,"Yes","No")))</f>
        <v/>
      </c>
      <c r="P858" s="15">
        <f>IF($C858="","",IF($K858="","",IF(COUNTIFS(nrES_PID,$D858,nrES_Code,$F858,nrES_Att,"&gt;"&amp;$K858)=0,"Yes","No")))</f>
        <v/>
      </c>
      <c r="Q858" s="15">
        <f>IF($C858="","",IF($L858="","",IF(AND($K858=1,$L858&lt;$J858,COUNTIFS(nrES_PID,$D858,nrES_Code,$F858,nrES_Att,2)=0),"Yes","No")))</f>
        <v/>
      </c>
      <c r="R858" s="15">
        <f>IF($C858="","",IF($L858="","",IF(AND($K858=2,$L858&lt;$J858,COUNTIFS(nrES_PID,$D858,nrES_Code,$F858,nrES_Att,1)&gt;0),"Yes","No")))</f>
        <v/>
      </c>
      <c r="S858" s="16" t="n"/>
      <c r="T858" s="17">
        <f>IF($Q858&lt;&gt;"Yes","",IF($S858="","(enter date)",_xlfn.LET(_xlpm.dn,IFERROR(_xlfn.XLOOKUP($S858,nrCDdate,nrCDnum),""),IF(_xlpm.dn="","(not a class day)",IFERROR(_xlfn.XLOOKUP(_xlpm.dn+cfgRetestClassDays,nrCDnum,nrCDdate),"")))))</f>
        <v/>
      </c>
      <c r="U858" s="15">
        <f>IF($Q858&lt;&gt;"Yes","",IF(COUNTIFS(nrES_PID,$D858,nrES_Code,$F858,nrES_Att,2)&gt;0,"Retested",IF(OR($T858="",NOT(ISNUMBER($T858))),"Pending",IF(TODAY()&gt;$T858,"OVERDUE","Due "&amp;TEXT($T858,"mm/dd")))))</f>
        <v/>
      </c>
      <c r="V858" s="14" t="n"/>
      <c r="W858" s="14" t="n"/>
    </row>
    <row r="859">
      <c r="B859" s="15">
        <f>IF($C859="","",$D859&amp;"-"&amp;$F859&amp;"-"&amp;$K859)</f>
        <v/>
      </c>
      <c r="C859" s="14" t="n"/>
      <c r="D859" s="15">
        <f>IF($C859="","",IFERROR(INDEX(rngCadetPIDs,MATCH($C859,rngCadetNames,0)),"?"))</f>
        <v/>
      </c>
      <c r="E859" s="15">
        <f>IF($D859="","",IFERROR(INDEX(nrCadetAgency,MATCH($D859,rngCadetPIDs,0)),""))</f>
        <v/>
      </c>
      <c r="F859" s="14" t="n"/>
      <c r="G859" s="15">
        <f>IF($F859="","",IFERROR(INDEX(rngEPname,MATCH($F859,rngEPcode,0)),"?"))</f>
        <v/>
      </c>
      <c r="H859" s="15">
        <f>IF($F859="","",IFERROR(INDEX(rngEPtype,MATCH($F859,rngEPcode,0)),"?"))</f>
        <v/>
      </c>
      <c r="I859" s="15">
        <f>IF($F859="","",IFERROR(INDEX(rngEPseq,MATCH($F859,rngEPcode,0)),""))</f>
        <v/>
      </c>
      <c r="J859" s="15">
        <f>IF($F859="","",IFERROR(INDEX(rngEPpass,MATCH($F859,rngEPcode,0)),cfgPassingScore))</f>
        <v/>
      </c>
      <c r="K859" s="14" t="n"/>
      <c r="L859" s="14" t="n"/>
      <c r="M859" s="15">
        <f>IF($C859="","",IF($L859="","",IF($K859=1,IF(COUNTIFS(nrES_PID,$D859,nrES_Code,$F859,nrES_Att,2)&gt;0,"",$L859),IF(COUNTIFS(nrES_PID,$D859,nrES_Code,$F859,nrES_Att,1)=0,$L859,IF($L859&gt;=$J859,cfgRetakeRecordedCap,SUMIFS(nrES_Raw,nrES_PID,$D859,nrES_Code,$F859,nrES_Att,1))))))</f>
        <v/>
      </c>
      <c r="N859" s="15">
        <f>IF($C859="","",IF($L859="","",IF($L859&gt;=$J859,"Yes","No")))</f>
        <v/>
      </c>
      <c r="O859" s="15">
        <f>IF($C859="","",IF($M859="","",IF($M859&gt;=$J859,"Yes","No")))</f>
        <v/>
      </c>
      <c r="P859" s="15">
        <f>IF($C859="","",IF($K859="","",IF(COUNTIFS(nrES_PID,$D859,nrES_Code,$F859,nrES_Att,"&gt;"&amp;$K859)=0,"Yes","No")))</f>
        <v/>
      </c>
      <c r="Q859" s="15">
        <f>IF($C859="","",IF($L859="","",IF(AND($K859=1,$L859&lt;$J859,COUNTIFS(nrES_PID,$D859,nrES_Code,$F859,nrES_Att,2)=0),"Yes","No")))</f>
        <v/>
      </c>
      <c r="R859" s="15">
        <f>IF($C859="","",IF($L859="","",IF(AND($K859=2,$L859&lt;$J859,COUNTIFS(nrES_PID,$D859,nrES_Code,$F859,nrES_Att,1)&gt;0),"Yes","No")))</f>
        <v/>
      </c>
      <c r="S859" s="16" t="n"/>
      <c r="T859" s="17">
        <f>IF($Q859&lt;&gt;"Yes","",IF($S859="","(enter date)",_xlfn.LET(_xlpm.dn,IFERROR(_xlfn.XLOOKUP($S859,nrCDdate,nrCDnum),""),IF(_xlpm.dn="","(not a class day)",IFERROR(_xlfn.XLOOKUP(_xlpm.dn+cfgRetestClassDays,nrCDnum,nrCDdate),"")))))</f>
        <v/>
      </c>
      <c r="U859" s="15">
        <f>IF($Q859&lt;&gt;"Yes","",IF(COUNTIFS(nrES_PID,$D859,nrES_Code,$F859,nrES_Att,2)&gt;0,"Retested",IF(OR($T859="",NOT(ISNUMBER($T859))),"Pending",IF(TODAY()&gt;$T859,"OVERDUE","Due "&amp;TEXT($T859,"mm/dd")))))</f>
        <v/>
      </c>
      <c r="V859" s="14" t="n"/>
      <c r="W859" s="14" t="n"/>
    </row>
    <row r="860">
      <c r="B860" s="15">
        <f>IF($C860="","",$D860&amp;"-"&amp;$F860&amp;"-"&amp;$K860)</f>
        <v/>
      </c>
      <c r="C860" s="14" t="n"/>
      <c r="D860" s="15">
        <f>IF($C860="","",IFERROR(INDEX(rngCadetPIDs,MATCH($C860,rngCadetNames,0)),"?"))</f>
        <v/>
      </c>
      <c r="E860" s="15">
        <f>IF($D860="","",IFERROR(INDEX(nrCadetAgency,MATCH($D860,rngCadetPIDs,0)),""))</f>
        <v/>
      </c>
      <c r="F860" s="14" t="n"/>
      <c r="G860" s="15">
        <f>IF($F860="","",IFERROR(INDEX(rngEPname,MATCH($F860,rngEPcode,0)),"?"))</f>
        <v/>
      </c>
      <c r="H860" s="15">
        <f>IF($F860="","",IFERROR(INDEX(rngEPtype,MATCH($F860,rngEPcode,0)),"?"))</f>
        <v/>
      </c>
      <c r="I860" s="15">
        <f>IF($F860="","",IFERROR(INDEX(rngEPseq,MATCH($F860,rngEPcode,0)),""))</f>
        <v/>
      </c>
      <c r="J860" s="15">
        <f>IF($F860="","",IFERROR(INDEX(rngEPpass,MATCH($F860,rngEPcode,0)),cfgPassingScore))</f>
        <v/>
      </c>
      <c r="K860" s="14" t="n"/>
      <c r="L860" s="14" t="n"/>
      <c r="M860" s="15">
        <f>IF($C860="","",IF($L860="","",IF($K860=1,IF(COUNTIFS(nrES_PID,$D860,nrES_Code,$F860,nrES_Att,2)&gt;0,"",$L860),IF(COUNTIFS(nrES_PID,$D860,nrES_Code,$F860,nrES_Att,1)=0,$L860,IF($L860&gt;=$J860,cfgRetakeRecordedCap,SUMIFS(nrES_Raw,nrES_PID,$D860,nrES_Code,$F860,nrES_Att,1))))))</f>
        <v/>
      </c>
      <c r="N860" s="15">
        <f>IF($C860="","",IF($L860="","",IF($L860&gt;=$J860,"Yes","No")))</f>
        <v/>
      </c>
      <c r="O860" s="15">
        <f>IF($C860="","",IF($M860="","",IF($M860&gt;=$J860,"Yes","No")))</f>
        <v/>
      </c>
      <c r="P860" s="15">
        <f>IF($C860="","",IF($K860="","",IF(COUNTIFS(nrES_PID,$D860,nrES_Code,$F860,nrES_Att,"&gt;"&amp;$K860)=0,"Yes","No")))</f>
        <v/>
      </c>
      <c r="Q860" s="15">
        <f>IF($C860="","",IF($L860="","",IF(AND($K860=1,$L860&lt;$J860,COUNTIFS(nrES_PID,$D860,nrES_Code,$F860,nrES_Att,2)=0),"Yes","No")))</f>
        <v/>
      </c>
      <c r="R860" s="15">
        <f>IF($C860="","",IF($L860="","",IF(AND($K860=2,$L860&lt;$J860,COUNTIFS(nrES_PID,$D860,nrES_Code,$F860,nrES_Att,1)&gt;0),"Yes","No")))</f>
        <v/>
      </c>
      <c r="S860" s="16" t="n"/>
      <c r="T860" s="17">
        <f>IF($Q860&lt;&gt;"Yes","",IF($S860="","(enter date)",_xlfn.LET(_xlpm.dn,IFERROR(_xlfn.XLOOKUP($S860,nrCDdate,nrCDnum),""),IF(_xlpm.dn="","(not a class day)",IFERROR(_xlfn.XLOOKUP(_xlpm.dn+cfgRetestClassDays,nrCDnum,nrCDdate),"")))))</f>
        <v/>
      </c>
      <c r="U860" s="15">
        <f>IF($Q860&lt;&gt;"Yes","",IF(COUNTIFS(nrES_PID,$D860,nrES_Code,$F860,nrES_Att,2)&gt;0,"Retested",IF(OR($T860="",NOT(ISNUMBER($T860))),"Pending",IF(TODAY()&gt;$T860,"OVERDUE","Due "&amp;TEXT($T860,"mm/dd")))))</f>
        <v/>
      </c>
      <c r="V860" s="14" t="n"/>
      <c r="W860" s="14" t="n"/>
    </row>
    <row r="861">
      <c r="B861" s="15">
        <f>IF($C861="","",$D861&amp;"-"&amp;$F861&amp;"-"&amp;$K861)</f>
        <v/>
      </c>
      <c r="C861" s="14" t="n"/>
      <c r="D861" s="15">
        <f>IF($C861="","",IFERROR(INDEX(rngCadetPIDs,MATCH($C861,rngCadetNames,0)),"?"))</f>
        <v/>
      </c>
      <c r="E861" s="15">
        <f>IF($D861="","",IFERROR(INDEX(nrCadetAgency,MATCH($D861,rngCadetPIDs,0)),""))</f>
        <v/>
      </c>
      <c r="F861" s="14" t="n"/>
      <c r="G861" s="15">
        <f>IF($F861="","",IFERROR(INDEX(rngEPname,MATCH($F861,rngEPcode,0)),"?"))</f>
        <v/>
      </c>
      <c r="H861" s="15">
        <f>IF($F861="","",IFERROR(INDEX(rngEPtype,MATCH($F861,rngEPcode,0)),"?"))</f>
        <v/>
      </c>
      <c r="I861" s="15">
        <f>IF($F861="","",IFERROR(INDEX(rngEPseq,MATCH($F861,rngEPcode,0)),""))</f>
        <v/>
      </c>
      <c r="J861" s="15">
        <f>IF($F861="","",IFERROR(INDEX(rngEPpass,MATCH($F861,rngEPcode,0)),cfgPassingScore))</f>
        <v/>
      </c>
      <c r="K861" s="14" t="n"/>
      <c r="L861" s="14" t="n"/>
      <c r="M861" s="15">
        <f>IF($C861="","",IF($L861="","",IF($K861=1,IF(COUNTIFS(nrES_PID,$D861,nrES_Code,$F861,nrES_Att,2)&gt;0,"",$L861),IF(COUNTIFS(nrES_PID,$D861,nrES_Code,$F861,nrES_Att,1)=0,$L861,IF($L861&gt;=$J861,cfgRetakeRecordedCap,SUMIFS(nrES_Raw,nrES_PID,$D861,nrES_Code,$F861,nrES_Att,1))))))</f>
        <v/>
      </c>
      <c r="N861" s="15">
        <f>IF($C861="","",IF($L861="","",IF($L861&gt;=$J861,"Yes","No")))</f>
        <v/>
      </c>
      <c r="O861" s="15">
        <f>IF($C861="","",IF($M861="","",IF($M861&gt;=$J861,"Yes","No")))</f>
        <v/>
      </c>
      <c r="P861" s="15">
        <f>IF($C861="","",IF($K861="","",IF(COUNTIFS(nrES_PID,$D861,nrES_Code,$F861,nrES_Att,"&gt;"&amp;$K861)=0,"Yes","No")))</f>
        <v/>
      </c>
      <c r="Q861" s="15">
        <f>IF($C861="","",IF($L861="","",IF(AND($K861=1,$L861&lt;$J861,COUNTIFS(nrES_PID,$D861,nrES_Code,$F861,nrES_Att,2)=0),"Yes","No")))</f>
        <v/>
      </c>
      <c r="R861" s="15">
        <f>IF($C861="","",IF($L861="","",IF(AND($K861=2,$L861&lt;$J861,COUNTIFS(nrES_PID,$D861,nrES_Code,$F861,nrES_Att,1)&gt;0),"Yes","No")))</f>
        <v/>
      </c>
      <c r="S861" s="16" t="n"/>
      <c r="T861" s="17">
        <f>IF($Q861&lt;&gt;"Yes","",IF($S861="","(enter date)",_xlfn.LET(_xlpm.dn,IFERROR(_xlfn.XLOOKUP($S861,nrCDdate,nrCDnum),""),IF(_xlpm.dn="","(not a class day)",IFERROR(_xlfn.XLOOKUP(_xlpm.dn+cfgRetestClassDays,nrCDnum,nrCDdate),"")))))</f>
        <v/>
      </c>
      <c r="U861" s="15">
        <f>IF($Q861&lt;&gt;"Yes","",IF(COUNTIFS(nrES_PID,$D861,nrES_Code,$F861,nrES_Att,2)&gt;0,"Retested",IF(OR($T861="",NOT(ISNUMBER($T861))),"Pending",IF(TODAY()&gt;$T861,"OVERDUE","Due "&amp;TEXT($T861,"mm/dd")))))</f>
        <v/>
      </c>
      <c r="V861" s="14" t="n"/>
      <c r="W861" s="14" t="n"/>
    </row>
    <row r="862">
      <c r="B862" s="15">
        <f>IF($C862="","",$D862&amp;"-"&amp;$F862&amp;"-"&amp;$K862)</f>
        <v/>
      </c>
      <c r="C862" s="14" t="n"/>
      <c r="D862" s="15">
        <f>IF($C862="","",IFERROR(INDEX(rngCadetPIDs,MATCH($C862,rngCadetNames,0)),"?"))</f>
        <v/>
      </c>
      <c r="E862" s="15">
        <f>IF($D862="","",IFERROR(INDEX(nrCadetAgency,MATCH($D862,rngCadetPIDs,0)),""))</f>
        <v/>
      </c>
      <c r="F862" s="14" t="n"/>
      <c r="G862" s="15">
        <f>IF($F862="","",IFERROR(INDEX(rngEPname,MATCH($F862,rngEPcode,0)),"?"))</f>
        <v/>
      </c>
      <c r="H862" s="15">
        <f>IF($F862="","",IFERROR(INDEX(rngEPtype,MATCH($F862,rngEPcode,0)),"?"))</f>
        <v/>
      </c>
      <c r="I862" s="15">
        <f>IF($F862="","",IFERROR(INDEX(rngEPseq,MATCH($F862,rngEPcode,0)),""))</f>
        <v/>
      </c>
      <c r="J862" s="15">
        <f>IF($F862="","",IFERROR(INDEX(rngEPpass,MATCH($F862,rngEPcode,0)),cfgPassingScore))</f>
        <v/>
      </c>
      <c r="K862" s="14" t="n"/>
      <c r="L862" s="14" t="n"/>
      <c r="M862" s="15">
        <f>IF($C862="","",IF($L862="","",IF($K862=1,IF(COUNTIFS(nrES_PID,$D862,nrES_Code,$F862,nrES_Att,2)&gt;0,"",$L862),IF(COUNTIFS(nrES_PID,$D862,nrES_Code,$F862,nrES_Att,1)=0,$L862,IF($L862&gt;=$J862,cfgRetakeRecordedCap,SUMIFS(nrES_Raw,nrES_PID,$D862,nrES_Code,$F862,nrES_Att,1))))))</f>
        <v/>
      </c>
      <c r="N862" s="15">
        <f>IF($C862="","",IF($L862="","",IF($L862&gt;=$J862,"Yes","No")))</f>
        <v/>
      </c>
      <c r="O862" s="15">
        <f>IF($C862="","",IF($M862="","",IF($M862&gt;=$J862,"Yes","No")))</f>
        <v/>
      </c>
      <c r="P862" s="15">
        <f>IF($C862="","",IF($K862="","",IF(COUNTIFS(nrES_PID,$D862,nrES_Code,$F862,nrES_Att,"&gt;"&amp;$K862)=0,"Yes","No")))</f>
        <v/>
      </c>
      <c r="Q862" s="15">
        <f>IF($C862="","",IF($L862="","",IF(AND($K862=1,$L862&lt;$J862,COUNTIFS(nrES_PID,$D862,nrES_Code,$F862,nrES_Att,2)=0),"Yes","No")))</f>
        <v/>
      </c>
      <c r="R862" s="15">
        <f>IF($C862="","",IF($L862="","",IF(AND($K862=2,$L862&lt;$J862,COUNTIFS(nrES_PID,$D862,nrES_Code,$F862,nrES_Att,1)&gt;0),"Yes","No")))</f>
        <v/>
      </c>
      <c r="S862" s="16" t="n"/>
      <c r="T862" s="17">
        <f>IF($Q862&lt;&gt;"Yes","",IF($S862="","(enter date)",_xlfn.LET(_xlpm.dn,IFERROR(_xlfn.XLOOKUP($S862,nrCDdate,nrCDnum),""),IF(_xlpm.dn="","(not a class day)",IFERROR(_xlfn.XLOOKUP(_xlpm.dn+cfgRetestClassDays,nrCDnum,nrCDdate),"")))))</f>
        <v/>
      </c>
      <c r="U862" s="15">
        <f>IF($Q862&lt;&gt;"Yes","",IF(COUNTIFS(nrES_PID,$D862,nrES_Code,$F862,nrES_Att,2)&gt;0,"Retested",IF(OR($T862="",NOT(ISNUMBER($T862))),"Pending",IF(TODAY()&gt;$T862,"OVERDUE","Due "&amp;TEXT($T862,"mm/dd")))))</f>
        <v/>
      </c>
      <c r="V862" s="14" t="n"/>
      <c r="W862" s="14" t="n"/>
    </row>
    <row r="863">
      <c r="B863" s="15">
        <f>IF($C863="","",$D863&amp;"-"&amp;$F863&amp;"-"&amp;$K863)</f>
        <v/>
      </c>
      <c r="C863" s="14" t="n"/>
      <c r="D863" s="15">
        <f>IF($C863="","",IFERROR(INDEX(rngCadetPIDs,MATCH($C863,rngCadetNames,0)),"?"))</f>
        <v/>
      </c>
      <c r="E863" s="15">
        <f>IF($D863="","",IFERROR(INDEX(nrCadetAgency,MATCH($D863,rngCadetPIDs,0)),""))</f>
        <v/>
      </c>
      <c r="F863" s="14" t="n"/>
      <c r="G863" s="15">
        <f>IF($F863="","",IFERROR(INDEX(rngEPname,MATCH($F863,rngEPcode,0)),"?"))</f>
        <v/>
      </c>
      <c r="H863" s="15">
        <f>IF($F863="","",IFERROR(INDEX(rngEPtype,MATCH($F863,rngEPcode,0)),"?"))</f>
        <v/>
      </c>
      <c r="I863" s="15">
        <f>IF($F863="","",IFERROR(INDEX(rngEPseq,MATCH($F863,rngEPcode,0)),""))</f>
        <v/>
      </c>
      <c r="J863" s="15">
        <f>IF($F863="","",IFERROR(INDEX(rngEPpass,MATCH($F863,rngEPcode,0)),cfgPassingScore))</f>
        <v/>
      </c>
      <c r="K863" s="14" t="n"/>
      <c r="L863" s="14" t="n"/>
      <c r="M863" s="15">
        <f>IF($C863="","",IF($L863="","",IF($K863=1,IF(COUNTIFS(nrES_PID,$D863,nrES_Code,$F863,nrES_Att,2)&gt;0,"",$L863),IF(COUNTIFS(nrES_PID,$D863,nrES_Code,$F863,nrES_Att,1)=0,$L863,IF($L863&gt;=$J863,cfgRetakeRecordedCap,SUMIFS(nrES_Raw,nrES_PID,$D863,nrES_Code,$F863,nrES_Att,1))))))</f>
        <v/>
      </c>
      <c r="N863" s="15">
        <f>IF($C863="","",IF($L863="","",IF($L863&gt;=$J863,"Yes","No")))</f>
        <v/>
      </c>
      <c r="O863" s="15">
        <f>IF($C863="","",IF($M863="","",IF($M863&gt;=$J863,"Yes","No")))</f>
        <v/>
      </c>
      <c r="P863" s="15">
        <f>IF($C863="","",IF($K863="","",IF(COUNTIFS(nrES_PID,$D863,nrES_Code,$F863,nrES_Att,"&gt;"&amp;$K863)=0,"Yes","No")))</f>
        <v/>
      </c>
      <c r="Q863" s="15">
        <f>IF($C863="","",IF($L863="","",IF(AND($K863=1,$L863&lt;$J863,COUNTIFS(nrES_PID,$D863,nrES_Code,$F863,nrES_Att,2)=0),"Yes","No")))</f>
        <v/>
      </c>
      <c r="R863" s="15">
        <f>IF($C863="","",IF($L863="","",IF(AND($K863=2,$L863&lt;$J863,COUNTIFS(nrES_PID,$D863,nrES_Code,$F863,nrES_Att,1)&gt;0),"Yes","No")))</f>
        <v/>
      </c>
      <c r="S863" s="16" t="n"/>
      <c r="T863" s="17">
        <f>IF($Q863&lt;&gt;"Yes","",IF($S863="","(enter date)",_xlfn.LET(_xlpm.dn,IFERROR(_xlfn.XLOOKUP($S863,nrCDdate,nrCDnum),""),IF(_xlpm.dn="","(not a class day)",IFERROR(_xlfn.XLOOKUP(_xlpm.dn+cfgRetestClassDays,nrCDnum,nrCDdate),"")))))</f>
        <v/>
      </c>
      <c r="U863" s="15">
        <f>IF($Q863&lt;&gt;"Yes","",IF(COUNTIFS(nrES_PID,$D863,nrES_Code,$F863,nrES_Att,2)&gt;0,"Retested",IF(OR($T863="",NOT(ISNUMBER($T863))),"Pending",IF(TODAY()&gt;$T863,"OVERDUE","Due "&amp;TEXT($T863,"mm/dd")))))</f>
        <v/>
      </c>
      <c r="V863" s="14" t="n"/>
      <c r="W863" s="14" t="n"/>
    </row>
    <row r="864">
      <c r="B864" s="15">
        <f>IF($C864="","",$D864&amp;"-"&amp;$F864&amp;"-"&amp;$K864)</f>
        <v/>
      </c>
      <c r="C864" s="14" t="n"/>
      <c r="D864" s="15">
        <f>IF($C864="","",IFERROR(INDEX(rngCadetPIDs,MATCH($C864,rngCadetNames,0)),"?"))</f>
        <v/>
      </c>
      <c r="E864" s="15">
        <f>IF($D864="","",IFERROR(INDEX(nrCadetAgency,MATCH($D864,rngCadetPIDs,0)),""))</f>
        <v/>
      </c>
      <c r="F864" s="14" t="n"/>
      <c r="G864" s="15">
        <f>IF($F864="","",IFERROR(INDEX(rngEPname,MATCH($F864,rngEPcode,0)),"?"))</f>
        <v/>
      </c>
      <c r="H864" s="15">
        <f>IF($F864="","",IFERROR(INDEX(rngEPtype,MATCH($F864,rngEPcode,0)),"?"))</f>
        <v/>
      </c>
      <c r="I864" s="15">
        <f>IF($F864="","",IFERROR(INDEX(rngEPseq,MATCH($F864,rngEPcode,0)),""))</f>
        <v/>
      </c>
      <c r="J864" s="15">
        <f>IF($F864="","",IFERROR(INDEX(rngEPpass,MATCH($F864,rngEPcode,0)),cfgPassingScore))</f>
        <v/>
      </c>
      <c r="K864" s="14" t="n"/>
      <c r="L864" s="14" t="n"/>
      <c r="M864" s="15">
        <f>IF($C864="","",IF($L864="","",IF($K864=1,IF(COUNTIFS(nrES_PID,$D864,nrES_Code,$F864,nrES_Att,2)&gt;0,"",$L864),IF(COUNTIFS(nrES_PID,$D864,nrES_Code,$F864,nrES_Att,1)=0,$L864,IF($L864&gt;=$J864,cfgRetakeRecordedCap,SUMIFS(nrES_Raw,nrES_PID,$D864,nrES_Code,$F864,nrES_Att,1))))))</f>
        <v/>
      </c>
      <c r="N864" s="15">
        <f>IF($C864="","",IF($L864="","",IF($L864&gt;=$J864,"Yes","No")))</f>
        <v/>
      </c>
      <c r="O864" s="15">
        <f>IF($C864="","",IF($M864="","",IF($M864&gt;=$J864,"Yes","No")))</f>
        <v/>
      </c>
      <c r="P864" s="15">
        <f>IF($C864="","",IF($K864="","",IF(COUNTIFS(nrES_PID,$D864,nrES_Code,$F864,nrES_Att,"&gt;"&amp;$K864)=0,"Yes","No")))</f>
        <v/>
      </c>
      <c r="Q864" s="15">
        <f>IF($C864="","",IF($L864="","",IF(AND($K864=1,$L864&lt;$J864,COUNTIFS(nrES_PID,$D864,nrES_Code,$F864,nrES_Att,2)=0),"Yes","No")))</f>
        <v/>
      </c>
      <c r="R864" s="15">
        <f>IF($C864="","",IF($L864="","",IF(AND($K864=2,$L864&lt;$J864,COUNTIFS(nrES_PID,$D864,nrES_Code,$F864,nrES_Att,1)&gt;0),"Yes","No")))</f>
        <v/>
      </c>
      <c r="S864" s="16" t="n"/>
      <c r="T864" s="17">
        <f>IF($Q864&lt;&gt;"Yes","",IF($S864="","(enter date)",_xlfn.LET(_xlpm.dn,IFERROR(_xlfn.XLOOKUP($S864,nrCDdate,nrCDnum),""),IF(_xlpm.dn="","(not a class day)",IFERROR(_xlfn.XLOOKUP(_xlpm.dn+cfgRetestClassDays,nrCDnum,nrCDdate),"")))))</f>
        <v/>
      </c>
      <c r="U864" s="15">
        <f>IF($Q864&lt;&gt;"Yes","",IF(COUNTIFS(nrES_PID,$D864,nrES_Code,$F864,nrES_Att,2)&gt;0,"Retested",IF(OR($T864="",NOT(ISNUMBER($T864))),"Pending",IF(TODAY()&gt;$T864,"OVERDUE","Due "&amp;TEXT($T864,"mm/dd")))))</f>
        <v/>
      </c>
      <c r="V864" s="14" t="n"/>
      <c r="W864" s="14" t="n"/>
    </row>
    <row r="865">
      <c r="B865" s="15">
        <f>IF($C865="","",$D865&amp;"-"&amp;$F865&amp;"-"&amp;$K865)</f>
        <v/>
      </c>
      <c r="C865" s="14" t="n"/>
      <c r="D865" s="15">
        <f>IF($C865="","",IFERROR(INDEX(rngCadetPIDs,MATCH($C865,rngCadetNames,0)),"?"))</f>
        <v/>
      </c>
      <c r="E865" s="15">
        <f>IF($D865="","",IFERROR(INDEX(nrCadetAgency,MATCH($D865,rngCadetPIDs,0)),""))</f>
        <v/>
      </c>
      <c r="F865" s="14" t="n"/>
      <c r="G865" s="15">
        <f>IF($F865="","",IFERROR(INDEX(rngEPname,MATCH($F865,rngEPcode,0)),"?"))</f>
        <v/>
      </c>
      <c r="H865" s="15">
        <f>IF($F865="","",IFERROR(INDEX(rngEPtype,MATCH($F865,rngEPcode,0)),"?"))</f>
        <v/>
      </c>
      <c r="I865" s="15">
        <f>IF($F865="","",IFERROR(INDEX(rngEPseq,MATCH($F865,rngEPcode,0)),""))</f>
        <v/>
      </c>
      <c r="J865" s="15">
        <f>IF($F865="","",IFERROR(INDEX(rngEPpass,MATCH($F865,rngEPcode,0)),cfgPassingScore))</f>
        <v/>
      </c>
      <c r="K865" s="14" t="n"/>
      <c r="L865" s="14" t="n"/>
      <c r="M865" s="15">
        <f>IF($C865="","",IF($L865="","",IF($K865=1,IF(COUNTIFS(nrES_PID,$D865,nrES_Code,$F865,nrES_Att,2)&gt;0,"",$L865),IF(COUNTIFS(nrES_PID,$D865,nrES_Code,$F865,nrES_Att,1)=0,$L865,IF($L865&gt;=$J865,cfgRetakeRecordedCap,SUMIFS(nrES_Raw,nrES_PID,$D865,nrES_Code,$F865,nrES_Att,1))))))</f>
        <v/>
      </c>
      <c r="N865" s="15">
        <f>IF($C865="","",IF($L865="","",IF($L865&gt;=$J865,"Yes","No")))</f>
        <v/>
      </c>
      <c r="O865" s="15">
        <f>IF($C865="","",IF($M865="","",IF($M865&gt;=$J865,"Yes","No")))</f>
        <v/>
      </c>
      <c r="P865" s="15">
        <f>IF($C865="","",IF($K865="","",IF(COUNTIFS(nrES_PID,$D865,nrES_Code,$F865,nrES_Att,"&gt;"&amp;$K865)=0,"Yes","No")))</f>
        <v/>
      </c>
      <c r="Q865" s="15">
        <f>IF($C865="","",IF($L865="","",IF(AND($K865=1,$L865&lt;$J865,COUNTIFS(nrES_PID,$D865,nrES_Code,$F865,nrES_Att,2)=0),"Yes","No")))</f>
        <v/>
      </c>
      <c r="R865" s="15">
        <f>IF($C865="","",IF($L865="","",IF(AND($K865=2,$L865&lt;$J865,COUNTIFS(nrES_PID,$D865,nrES_Code,$F865,nrES_Att,1)&gt;0),"Yes","No")))</f>
        <v/>
      </c>
      <c r="S865" s="16" t="n"/>
      <c r="T865" s="17">
        <f>IF($Q865&lt;&gt;"Yes","",IF($S865="","(enter date)",_xlfn.LET(_xlpm.dn,IFERROR(_xlfn.XLOOKUP($S865,nrCDdate,nrCDnum),""),IF(_xlpm.dn="","(not a class day)",IFERROR(_xlfn.XLOOKUP(_xlpm.dn+cfgRetestClassDays,nrCDnum,nrCDdate),"")))))</f>
        <v/>
      </c>
      <c r="U865" s="15">
        <f>IF($Q865&lt;&gt;"Yes","",IF(COUNTIFS(nrES_PID,$D865,nrES_Code,$F865,nrES_Att,2)&gt;0,"Retested",IF(OR($T865="",NOT(ISNUMBER($T865))),"Pending",IF(TODAY()&gt;$T865,"OVERDUE","Due "&amp;TEXT($T865,"mm/dd")))))</f>
        <v/>
      </c>
      <c r="V865" s="14" t="n"/>
      <c r="W865" s="14" t="n"/>
    </row>
    <row r="866">
      <c r="B866" s="15">
        <f>IF($C866="","",$D866&amp;"-"&amp;$F866&amp;"-"&amp;$K866)</f>
        <v/>
      </c>
      <c r="C866" s="14" t="n"/>
      <c r="D866" s="15">
        <f>IF($C866="","",IFERROR(INDEX(rngCadetPIDs,MATCH($C866,rngCadetNames,0)),"?"))</f>
        <v/>
      </c>
      <c r="E866" s="15">
        <f>IF($D866="","",IFERROR(INDEX(nrCadetAgency,MATCH($D866,rngCadetPIDs,0)),""))</f>
        <v/>
      </c>
      <c r="F866" s="14" t="n"/>
      <c r="G866" s="15">
        <f>IF($F866="","",IFERROR(INDEX(rngEPname,MATCH($F866,rngEPcode,0)),"?"))</f>
        <v/>
      </c>
      <c r="H866" s="15">
        <f>IF($F866="","",IFERROR(INDEX(rngEPtype,MATCH($F866,rngEPcode,0)),"?"))</f>
        <v/>
      </c>
      <c r="I866" s="15">
        <f>IF($F866="","",IFERROR(INDEX(rngEPseq,MATCH($F866,rngEPcode,0)),""))</f>
        <v/>
      </c>
      <c r="J866" s="15">
        <f>IF($F866="","",IFERROR(INDEX(rngEPpass,MATCH($F866,rngEPcode,0)),cfgPassingScore))</f>
        <v/>
      </c>
      <c r="K866" s="14" t="n"/>
      <c r="L866" s="14" t="n"/>
      <c r="M866" s="15">
        <f>IF($C866="","",IF($L866="","",IF($K866=1,IF(COUNTIFS(nrES_PID,$D866,nrES_Code,$F866,nrES_Att,2)&gt;0,"",$L866),IF(COUNTIFS(nrES_PID,$D866,nrES_Code,$F866,nrES_Att,1)=0,$L866,IF($L866&gt;=$J866,cfgRetakeRecordedCap,SUMIFS(nrES_Raw,nrES_PID,$D866,nrES_Code,$F866,nrES_Att,1))))))</f>
        <v/>
      </c>
      <c r="N866" s="15">
        <f>IF($C866="","",IF($L866="","",IF($L866&gt;=$J866,"Yes","No")))</f>
        <v/>
      </c>
      <c r="O866" s="15">
        <f>IF($C866="","",IF($M866="","",IF($M866&gt;=$J866,"Yes","No")))</f>
        <v/>
      </c>
      <c r="P866" s="15">
        <f>IF($C866="","",IF($K866="","",IF(COUNTIFS(nrES_PID,$D866,nrES_Code,$F866,nrES_Att,"&gt;"&amp;$K866)=0,"Yes","No")))</f>
        <v/>
      </c>
      <c r="Q866" s="15">
        <f>IF($C866="","",IF($L866="","",IF(AND($K866=1,$L866&lt;$J866,COUNTIFS(nrES_PID,$D866,nrES_Code,$F866,nrES_Att,2)=0),"Yes","No")))</f>
        <v/>
      </c>
      <c r="R866" s="15">
        <f>IF($C866="","",IF($L866="","",IF(AND($K866=2,$L866&lt;$J866,COUNTIFS(nrES_PID,$D866,nrES_Code,$F866,nrES_Att,1)&gt;0),"Yes","No")))</f>
        <v/>
      </c>
      <c r="S866" s="16" t="n"/>
      <c r="T866" s="17">
        <f>IF($Q866&lt;&gt;"Yes","",IF($S866="","(enter date)",_xlfn.LET(_xlpm.dn,IFERROR(_xlfn.XLOOKUP($S866,nrCDdate,nrCDnum),""),IF(_xlpm.dn="","(not a class day)",IFERROR(_xlfn.XLOOKUP(_xlpm.dn+cfgRetestClassDays,nrCDnum,nrCDdate),"")))))</f>
        <v/>
      </c>
      <c r="U866" s="15">
        <f>IF($Q866&lt;&gt;"Yes","",IF(COUNTIFS(nrES_PID,$D866,nrES_Code,$F866,nrES_Att,2)&gt;0,"Retested",IF(OR($T866="",NOT(ISNUMBER($T866))),"Pending",IF(TODAY()&gt;$T866,"OVERDUE","Due "&amp;TEXT($T866,"mm/dd")))))</f>
        <v/>
      </c>
      <c r="V866" s="14" t="n"/>
      <c r="W866" s="14" t="n"/>
    </row>
    <row r="867">
      <c r="B867" s="15">
        <f>IF($C867="","",$D867&amp;"-"&amp;$F867&amp;"-"&amp;$K867)</f>
        <v/>
      </c>
      <c r="C867" s="14" t="n"/>
      <c r="D867" s="15">
        <f>IF($C867="","",IFERROR(INDEX(rngCadetPIDs,MATCH($C867,rngCadetNames,0)),"?"))</f>
        <v/>
      </c>
      <c r="E867" s="15">
        <f>IF($D867="","",IFERROR(INDEX(nrCadetAgency,MATCH($D867,rngCadetPIDs,0)),""))</f>
        <v/>
      </c>
      <c r="F867" s="14" t="n"/>
      <c r="G867" s="15">
        <f>IF($F867="","",IFERROR(INDEX(rngEPname,MATCH($F867,rngEPcode,0)),"?"))</f>
        <v/>
      </c>
      <c r="H867" s="15">
        <f>IF($F867="","",IFERROR(INDEX(rngEPtype,MATCH($F867,rngEPcode,0)),"?"))</f>
        <v/>
      </c>
      <c r="I867" s="15">
        <f>IF($F867="","",IFERROR(INDEX(rngEPseq,MATCH($F867,rngEPcode,0)),""))</f>
        <v/>
      </c>
      <c r="J867" s="15">
        <f>IF($F867="","",IFERROR(INDEX(rngEPpass,MATCH($F867,rngEPcode,0)),cfgPassingScore))</f>
        <v/>
      </c>
      <c r="K867" s="14" t="n"/>
      <c r="L867" s="14" t="n"/>
      <c r="M867" s="15">
        <f>IF($C867="","",IF($L867="","",IF($K867=1,IF(COUNTIFS(nrES_PID,$D867,nrES_Code,$F867,nrES_Att,2)&gt;0,"",$L867),IF(COUNTIFS(nrES_PID,$D867,nrES_Code,$F867,nrES_Att,1)=0,$L867,IF($L867&gt;=$J867,cfgRetakeRecordedCap,SUMIFS(nrES_Raw,nrES_PID,$D867,nrES_Code,$F867,nrES_Att,1))))))</f>
        <v/>
      </c>
      <c r="N867" s="15">
        <f>IF($C867="","",IF($L867="","",IF($L867&gt;=$J867,"Yes","No")))</f>
        <v/>
      </c>
      <c r="O867" s="15">
        <f>IF($C867="","",IF($M867="","",IF($M867&gt;=$J867,"Yes","No")))</f>
        <v/>
      </c>
      <c r="P867" s="15">
        <f>IF($C867="","",IF($K867="","",IF(COUNTIFS(nrES_PID,$D867,nrES_Code,$F867,nrES_Att,"&gt;"&amp;$K867)=0,"Yes","No")))</f>
        <v/>
      </c>
      <c r="Q867" s="15">
        <f>IF($C867="","",IF($L867="","",IF(AND($K867=1,$L867&lt;$J867,COUNTIFS(nrES_PID,$D867,nrES_Code,$F867,nrES_Att,2)=0),"Yes","No")))</f>
        <v/>
      </c>
      <c r="R867" s="15">
        <f>IF($C867="","",IF($L867="","",IF(AND($K867=2,$L867&lt;$J867,COUNTIFS(nrES_PID,$D867,nrES_Code,$F867,nrES_Att,1)&gt;0),"Yes","No")))</f>
        <v/>
      </c>
      <c r="S867" s="16" t="n"/>
      <c r="T867" s="17">
        <f>IF($Q867&lt;&gt;"Yes","",IF($S867="","(enter date)",_xlfn.LET(_xlpm.dn,IFERROR(_xlfn.XLOOKUP($S867,nrCDdate,nrCDnum),""),IF(_xlpm.dn="","(not a class day)",IFERROR(_xlfn.XLOOKUP(_xlpm.dn+cfgRetestClassDays,nrCDnum,nrCDdate),"")))))</f>
        <v/>
      </c>
      <c r="U867" s="15">
        <f>IF($Q867&lt;&gt;"Yes","",IF(COUNTIFS(nrES_PID,$D867,nrES_Code,$F867,nrES_Att,2)&gt;0,"Retested",IF(OR($T867="",NOT(ISNUMBER($T867))),"Pending",IF(TODAY()&gt;$T867,"OVERDUE","Due "&amp;TEXT($T867,"mm/dd")))))</f>
        <v/>
      </c>
      <c r="V867" s="14" t="n"/>
      <c r="W867" s="14" t="n"/>
    </row>
    <row r="868">
      <c r="B868" s="15">
        <f>IF($C868="","",$D868&amp;"-"&amp;$F868&amp;"-"&amp;$K868)</f>
        <v/>
      </c>
      <c r="C868" s="14" t="n"/>
      <c r="D868" s="15">
        <f>IF($C868="","",IFERROR(INDEX(rngCadetPIDs,MATCH($C868,rngCadetNames,0)),"?"))</f>
        <v/>
      </c>
      <c r="E868" s="15">
        <f>IF($D868="","",IFERROR(INDEX(nrCadetAgency,MATCH($D868,rngCadetPIDs,0)),""))</f>
        <v/>
      </c>
      <c r="F868" s="14" t="n"/>
      <c r="G868" s="15">
        <f>IF($F868="","",IFERROR(INDEX(rngEPname,MATCH($F868,rngEPcode,0)),"?"))</f>
        <v/>
      </c>
      <c r="H868" s="15">
        <f>IF($F868="","",IFERROR(INDEX(rngEPtype,MATCH($F868,rngEPcode,0)),"?"))</f>
        <v/>
      </c>
      <c r="I868" s="15">
        <f>IF($F868="","",IFERROR(INDEX(rngEPseq,MATCH($F868,rngEPcode,0)),""))</f>
        <v/>
      </c>
      <c r="J868" s="15">
        <f>IF($F868="","",IFERROR(INDEX(rngEPpass,MATCH($F868,rngEPcode,0)),cfgPassingScore))</f>
        <v/>
      </c>
      <c r="K868" s="14" t="n"/>
      <c r="L868" s="14" t="n"/>
      <c r="M868" s="15">
        <f>IF($C868="","",IF($L868="","",IF($K868=1,IF(COUNTIFS(nrES_PID,$D868,nrES_Code,$F868,nrES_Att,2)&gt;0,"",$L868),IF(COUNTIFS(nrES_PID,$D868,nrES_Code,$F868,nrES_Att,1)=0,$L868,IF($L868&gt;=$J868,cfgRetakeRecordedCap,SUMIFS(nrES_Raw,nrES_PID,$D868,nrES_Code,$F868,nrES_Att,1))))))</f>
        <v/>
      </c>
      <c r="N868" s="15">
        <f>IF($C868="","",IF($L868="","",IF($L868&gt;=$J868,"Yes","No")))</f>
        <v/>
      </c>
      <c r="O868" s="15">
        <f>IF($C868="","",IF($M868="","",IF($M868&gt;=$J868,"Yes","No")))</f>
        <v/>
      </c>
      <c r="P868" s="15">
        <f>IF($C868="","",IF($K868="","",IF(COUNTIFS(nrES_PID,$D868,nrES_Code,$F868,nrES_Att,"&gt;"&amp;$K868)=0,"Yes","No")))</f>
        <v/>
      </c>
      <c r="Q868" s="15">
        <f>IF($C868="","",IF($L868="","",IF(AND($K868=1,$L868&lt;$J868,COUNTIFS(nrES_PID,$D868,nrES_Code,$F868,nrES_Att,2)=0),"Yes","No")))</f>
        <v/>
      </c>
      <c r="R868" s="15">
        <f>IF($C868="","",IF($L868="","",IF(AND($K868=2,$L868&lt;$J868,COUNTIFS(nrES_PID,$D868,nrES_Code,$F868,nrES_Att,1)&gt;0),"Yes","No")))</f>
        <v/>
      </c>
      <c r="S868" s="16" t="n"/>
      <c r="T868" s="17">
        <f>IF($Q868&lt;&gt;"Yes","",IF($S868="","(enter date)",_xlfn.LET(_xlpm.dn,IFERROR(_xlfn.XLOOKUP($S868,nrCDdate,nrCDnum),""),IF(_xlpm.dn="","(not a class day)",IFERROR(_xlfn.XLOOKUP(_xlpm.dn+cfgRetestClassDays,nrCDnum,nrCDdate),"")))))</f>
        <v/>
      </c>
      <c r="U868" s="15">
        <f>IF($Q868&lt;&gt;"Yes","",IF(COUNTIFS(nrES_PID,$D868,nrES_Code,$F868,nrES_Att,2)&gt;0,"Retested",IF(OR($T868="",NOT(ISNUMBER($T868))),"Pending",IF(TODAY()&gt;$T868,"OVERDUE","Due "&amp;TEXT($T868,"mm/dd")))))</f>
        <v/>
      </c>
      <c r="V868" s="14" t="n"/>
      <c r="W868" s="14" t="n"/>
    </row>
    <row r="869">
      <c r="B869" s="15">
        <f>IF($C869="","",$D869&amp;"-"&amp;$F869&amp;"-"&amp;$K869)</f>
        <v/>
      </c>
      <c r="C869" s="14" t="n"/>
      <c r="D869" s="15">
        <f>IF($C869="","",IFERROR(INDEX(rngCadetPIDs,MATCH($C869,rngCadetNames,0)),"?"))</f>
        <v/>
      </c>
      <c r="E869" s="15">
        <f>IF($D869="","",IFERROR(INDEX(nrCadetAgency,MATCH($D869,rngCadetPIDs,0)),""))</f>
        <v/>
      </c>
      <c r="F869" s="14" t="n"/>
      <c r="G869" s="15">
        <f>IF($F869="","",IFERROR(INDEX(rngEPname,MATCH($F869,rngEPcode,0)),"?"))</f>
        <v/>
      </c>
      <c r="H869" s="15">
        <f>IF($F869="","",IFERROR(INDEX(rngEPtype,MATCH($F869,rngEPcode,0)),"?"))</f>
        <v/>
      </c>
      <c r="I869" s="15">
        <f>IF($F869="","",IFERROR(INDEX(rngEPseq,MATCH($F869,rngEPcode,0)),""))</f>
        <v/>
      </c>
      <c r="J869" s="15">
        <f>IF($F869="","",IFERROR(INDEX(rngEPpass,MATCH($F869,rngEPcode,0)),cfgPassingScore))</f>
        <v/>
      </c>
      <c r="K869" s="14" t="n"/>
      <c r="L869" s="14" t="n"/>
      <c r="M869" s="15">
        <f>IF($C869="","",IF($L869="","",IF($K869=1,IF(COUNTIFS(nrES_PID,$D869,nrES_Code,$F869,nrES_Att,2)&gt;0,"",$L869),IF(COUNTIFS(nrES_PID,$D869,nrES_Code,$F869,nrES_Att,1)=0,$L869,IF($L869&gt;=$J869,cfgRetakeRecordedCap,SUMIFS(nrES_Raw,nrES_PID,$D869,nrES_Code,$F869,nrES_Att,1))))))</f>
        <v/>
      </c>
      <c r="N869" s="15">
        <f>IF($C869="","",IF($L869="","",IF($L869&gt;=$J869,"Yes","No")))</f>
        <v/>
      </c>
      <c r="O869" s="15">
        <f>IF($C869="","",IF($M869="","",IF($M869&gt;=$J869,"Yes","No")))</f>
        <v/>
      </c>
      <c r="P869" s="15">
        <f>IF($C869="","",IF($K869="","",IF(COUNTIFS(nrES_PID,$D869,nrES_Code,$F869,nrES_Att,"&gt;"&amp;$K869)=0,"Yes","No")))</f>
        <v/>
      </c>
      <c r="Q869" s="15">
        <f>IF($C869="","",IF($L869="","",IF(AND($K869=1,$L869&lt;$J869,COUNTIFS(nrES_PID,$D869,nrES_Code,$F869,nrES_Att,2)=0),"Yes","No")))</f>
        <v/>
      </c>
      <c r="R869" s="15">
        <f>IF($C869="","",IF($L869="","",IF(AND($K869=2,$L869&lt;$J869,COUNTIFS(nrES_PID,$D869,nrES_Code,$F869,nrES_Att,1)&gt;0),"Yes","No")))</f>
        <v/>
      </c>
      <c r="S869" s="16" t="n"/>
      <c r="T869" s="17">
        <f>IF($Q869&lt;&gt;"Yes","",IF($S869="","(enter date)",_xlfn.LET(_xlpm.dn,IFERROR(_xlfn.XLOOKUP($S869,nrCDdate,nrCDnum),""),IF(_xlpm.dn="","(not a class day)",IFERROR(_xlfn.XLOOKUP(_xlpm.dn+cfgRetestClassDays,nrCDnum,nrCDdate),"")))))</f>
        <v/>
      </c>
      <c r="U869" s="15">
        <f>IF($Q869&lt;&gt;"Yes","",IF(COUNTIFS(nrES_PID,$D869,nrES_Code,$F869,nrES_Att,2)&gt;0,"Retested",IF(OR($T869="",NOT(ISNUMBER($T869))),"Pending",IF(TODAY()&gt;$T869,"OVERDUE","Due "&amp;TEXT($T869,"mm/dd")))))</f>
        <v/>
      </c>
      <c r="V869" s="14" t="n"/>
      <c r="W869" s="14" t="n"/>
    </row>
    <row r="870">
      <c r="B870" s="15">
        <f>IF($C870="","",$D870&amp;"-"&amp;$F870&amp;"-"&amp;$K870)</f>
        <v/>
      </c>
      <c r="C870" s="14" t="n"/>
      <c r="D870" s="15">
        <f>IF($C870="","",IFERROR(INDEX(rngCadetPIDs,MATCH($C870,rngCadetNames,0)),"?"))</f>
        <v/>
      </c>
      <c r="E870" s="15">
        <f>IF($D870="","",IFERROR(INDEX(nrCadetAgency,MATCH($D870,rngCadetPIDs,0)),""))</f>
        <v/>
      </c>
      <c r="F870" s="14" t="n"/>
      <c r="G870" s="15">
        <f>IF($F870="","",IFERROR(INDEX(rngEPname,MATCH($F870,rngEPcode,0)),"?"))</f>
        <v/>
      </c>
      <c r="H870" s="15">
        <f>IF($F870="","",IFERROR(INDEX(rngEPtype,MATCH($F870,rngEPcode,0)),"?"))</f>
        <v/>
      </c>
      <c r="I870" s="15">
        <f>IF($F870="","",IFERROR(INDEX(rngEPseq,MATCH($F870,rngEPcode,0)),""))</f>
        <v/>
      </c>
      <c r="J870" s="15">
        <f>IF($F870="","",IFERROR(INDEX(rngEPpass,MATCH($F870,rngEPcode,0)),cfgPassingScore))</f>
        <v/>
      </c>
      <c r="K870" s="14" t="n"/>
      <c r="L870" s="14" t="n"/>
      <c r="M870" s="15">
        <f>IF($C870="","",IF($L870="","",IF($K870=1,IF(COUNTIFS(nrES_PID,$D870,nrES_Code,$F870,nrES_Att,2)&gt;0,"",$L870),IF(COUNTIFS(nrES_PID,$D870,nrES_Code,$F870,nrES_Att,1)=0,$L870,IF($L870&gt;=$J870,cfgRetakeRecordedCap,SUMIFS(nrES_Raw,nrES_PID,$D870,nrES_Code,$F870,nrES_Att,1))))))</f>
        <v/>
      </c>
      <c r="N870" s="15">
        <f>IF($C870="","",IF($L870="","",IF($L870&gt;=$J870,"Yes","No")))</f>
        <v/>
      </c>
      <c r="O870" s="15">
        <f>IF($C870="","",IF($M870="","",IF($M870&gt;=$J870,"Yes","No")))</f>
        <v/>
      </c>
      <c r="P870" s="15">
        <f>IF($C870="","",IF($K870="","",IF(COUNTIFS(nrES_PID,$D870,nrES_Code,$F870,nrES_Att,"&gt;"&amp;$K870)=0,"Yes","No")))</f>
        <v/>
      </c>
      <c r="Q870" s="15">
        <f>IF($C870="","",IF($L870="","",IF(AND($K870=1,$L870&lt;$J870,COUNTIFS(nrES_PID,$D870,nrES_Code,$F870,nrES_Att,2)=0),"Yes","No")))</f>
        <v/>
      </c>
      <c r="R870" s="15">
        <f>IF($C870="","",IF($L870="","",IF(AND($K870=2,$L870&lt;$J870,COUNTIFS(nrES_PID,$D870,nrES_Code,$F870,nrES_Att,1)&gt;0),"Yes","No")))</f>
        <v/>
      </c>
      <c r="S870" s="16" t="n"/>
      <c r="T870" s="17">
        <f>IF($Q870&lt;&gt;"Yes","",IF($S870="","(enter date)",_xlfn.LET(_xlpm.dn,IFERROR(_xlfn.XLOOKUP($S870,nrCDdate,nrCDnum),""),IF(_xlpm.dn="","(not a class day)",IFERROR(_xlfn.XLOOKUP(_xlpm.dn+cfgRetestClassDays,nrCDnum,nrCDdate),"")))))</f>
        <v/>
      </c>
      <c r="U870" s="15">
        <f>IF($Q870&lt;&gt;"Yes","",IF(COUNTIFS(nrES_PID,$D870,nrES_Code,$F870,nrES_Att,2)&gt;0,"Retested",IF(OR($T870="",NOT(ISNUMBER($T870))),"Pending",IF(TODAY()&gt;$T870,"OVERDUE","Due "&amp;TEXT($T870,"mm/dd")))))</f>
        <v/>
      </c>
      <c r="V870" s="14" t="n"/>
      <c r="W870" s="14" t="n"/>
    </row>
    <row r="871">
      <c r="B871" s="15">
        <f>IF($C871="","",$D871&amp;"-"&amp;$F871&amp;"-"&amp;$K871)</f>
        <v/>
      </c>
      <c r="C871" s="14" t="n"/>
      <c r="D871" s="15">
        <f>IF($C871="","",IFERROR(INDEX(rngCadetPIDs,MATCH($C871,rngCadetNames,0)),"?"))</f>
        <v/>
      </c>
      <c r="E871" s="15">
        <f>IF($D871="","",IFERROR(INDEX(nrCadetAgency,MATCH($D871,rngCadetPIDs,0)),""))</f>
        <v/>
      </c>
      <c r="F871" s="14" t="n"/>
      <c r="G871" s="15">
        <f>IF($F871="","",IFERROR(INDEX(rngEPname,MATCH($F871,rngEPcode,0)),"?"))</f>
        <v/>
      </c>
      <c r="H871" s="15">
        <f>IF($F871="","",IFERROR(INDEX(rngEPtype,MATCH($F871,rngEPcode,0)),"?"))</f>
        <v/>
      </c>
      <c r="I871" s="15">
        <f>IF($F871="","",IFERROR(INDEX(rngEPseq,MATCH($F871,rngEPcode,0)),""))</f>
        <v/>
      </c>
      <c r="J871" s="15">
        <f>IF($F871="","",IFERROR(INDEX(rngEPpass,MATCH($F871,rngEPcode,0)),cfgPassingScore))</f>
        <v/>
      </c>
      <c r="K871" s="14" t="n"/>
      <c r="L871" s="14" t="n"/>
      <c r="M871" s="15">
        <f>IF($C871="","",IF($L871="","",IF($K871=1,IF(COUNTIFS(nrES_PID,$D871,nrES_Code,$F871,nrES_Att,2)&gt;0,"",$L871),IF(COUNTIFS(nrES_PID,$D871,nrES_Code,$F871,nrES_Att,1)=0,$L871,IF($L871&gt;=$J871,cfgRetakeRecordedCap,SUMIFS(nrES_Raw,nrES_PID,$D871,nrES_Code,$F871,nrES_Att,1))))))</f>
        <v/>
      </c>
      <c r="N871" s="15">
        <f>IF($C871="","",IF($L871="","",IF($L871&gt;=$J871,"Yes","No")))</f>
        <v/>
      </c>
      <c r="O871" s="15">
        <f>IF($C871="","",IF($M871="","",IF($M871&gt;=$J871,"Yes","No")))</f>
        <v/>
      </c>
      <c r="P871" s="15">
        <f>IF($C871="","",IF($K871="","",IF(COUNTIFS(nrES_PID,$D871,nrES_Code,$F871,nrES_Att,"&gt;"&amp;$K871)=0,"Yes","No")))</f>
        <v/>
      </c>
      <c r="Q871" s="15">
        <f>IF($C871="","",IF($L871="","",IF(AND($K871=1,$L871&lt;$J871,COUNTIFS(nrES_PID,$D871,nrES_Code,$F871,nrES_Att,2)=0),"Yes","No")))</f>
        <v/>
      </c>
      <c r="R871" s="15">
        <f>IF($C871="","",IF($L871="","",IF(AND($K871=2,$L871&lt;$J871,COUNTIFS(nrES_PID,$D871,nrES_Code,$F871,nrES_Att,1)&gt;0),"Yes","No")))</f>
        <v/>
      </c>
      <c r="S871" s="16" t="n"/>
      <c r="T871" s="17">
        <f>IF($Q871&lt;&gt;"Yes","",IF($S871="","(enter date)",_xlfn.LET(_xlpm.dn,IFERROR(_xlfn.XLOOKUP($S871,nrCDdate,nrCDnum),""),IF(_xlpm.dn="","(not a class day)",IFERROR(_xlfn.XLOOKUP(_xlpm.dn+cfgRetestClassDays,nrCDnum,nrCDdate),"")))))</f>
        <v/>
      </c>
      <c r="U871" s="15">
        <f>IF($Q871&lt;&gt;"Yes","",IF(COUNTIFS(nrES_PID,$D871,nrES_Code,$F871,nrES_Att,2)&gt;0,"Retested",IF(OR($T871="",NOT(ISNUMBER($T871))),"Pending",IF(TODAY()&gt;$T871,"OVERDUE","Due "&amp;TEXT($T871,"mm/dd")))))</f>
        <v/>
      </c>
      <c r="V871" s="14" t="n"/>
      <c r="W871" s="14" t="n"/>
    </row>
    <row r="872">
      <c r="B872" s="15">
        <f>IF($C872="","",$D872&amp;"-"&amp;$F872&amp;"-"&amp;$K872)</f>
        <v/>
      </c>
      <c r="C872" s="14" t="n"/>
      <c r="D872" s="15">
        <f>IF($C872="","",IFERROR(INDEX(rngCadetPIDs,MATCH($C872,rngCadetNames,0)),"?"))</f>
        <v/>
      </c>
      <c r="E872" s="15">
        <f>IF($D872="","",IFERROR(INDEX(nrCadetAgency,MATCH($D872,rngCadetPIDs,0)),""))</f>
        <v/>
      </c>
      <c r="F872" s="14" t="n"/>
      <c r="G872" s="15">
        <f>IF($F872="","",IFERROR(INDEX(rngEPname,MATCH($F872,rngEPcode,0)),"?"))</f>
        <v/>
      </c>
      <c r="H872" s="15">
        <f>IF($F872="","",IFERROR(INDEX(rngEPtype,MATCH($F872,rngEPcode,0)),"?"))</f>
        <v/>
      </c>
      <c r="I872" s="15">
        <f>IF($F872="","",IFERROR(INDEX(rngEPseq,MATCH($F872,rngEPcode,0)),""))</f>
        <v/>
      </c>
      <c r="J872" s="15">
        <f>IF($F872="","",IFERROR(INDEX(rngEPpass,MATCH($F872,rngEPcode,0)),cfgPassingScore))</f>
        <v/>
      </c>
      <c r="K872" s="14" t="n"/>
      <c r="L872" s="14" t="n"/>
      <c r="M872" s="15">
        <f>IF($C872="","",IF($L872="","",IF($K872=1,IF(COUNTIFS(nrES_PID,$D872,nrES_Code,$F872,nrES_Att,2)&gt;0,"",$L872),IF(COUNTIFS(nrES_PID,$D872,nrES_Code,$F872,nrES_Att,1)=0,$L872,IF($L872&gt;=$J872,cfgRetakeRecordedCap,SUMIFS(nrES_Raw,nrES_PID,$D872,nrES_Code,$F872,nrES_Att,1))))))</f>
        <v/>
      </c>
      <c r="N872" s="15">
        <f>IF($C872="","",IF($L872="","",IF($L872&gt;=$J872,"Yes","No")))</f>
        <v/>
      </c>
      <c r="O872" s="15">
        <f>IF($C872="","",IF($M872="","",IF($M872&gt;=$J872,"Yes","No")))</f>
        <v/>
      </c>
      <c r="P872" s="15">
        <f>IF($C872="","",IF($K872="","",IF(COUNTIFS(nrES_PID,$D872,nrES_Code,$F872,nrES_Att,"&gt;"&amp;$K872)=0,"Yes","No")))</f>
        <v/>
      </c>
      <c r="Q872" s="15">
        <f>IF($C872="","",IF($L872="","",IF(AND($K872=1,$L872&lt;$J872,COUNTIFS(nrES_PID,$D872,nrES_Code,$F872,nrES_Att,2)=0),"Yes","No")))</f>
        <v/>
      </c>
      <c r="R872" s="15">
        <f>IF($C872="","",IF($L872="","",IF(AND($K872=2,$L872&lt;$J872,COUNTIFS(nrES_PID,$D872,nrES_Code,$F872,nrES_Att,1)&gt;0),"Yes","No")))</f>
        <v/>
      </c>
      <c r="S872" s="16" t="n"/>
      <c r="T872" s="17">
        <f>IF($Q872&lt;&gt;"Yes","",IF($S872="","(enter date)",_xlfn.LET(_xlpm.dn,IFERROR(_xlfn.XLOOKUP($S872,nrCDdate,nrCDnum),""),IF(_xlpm.dn="","(not a class day)",IFERROR(_xlfn.XLOOKUP(_xlpm.dn+cfgRetestClassDays,nrCDnum,nrCDdate),"")))))</f>
        <v/>
      </c>
      <c r="U872" s="15">
        <f>IF($Q872&lt;&gt;"Yes","",IF(COUNTIFS(nrES_PID,$D872,nrES_Code,$F872,nrES_Att,2)&gt;0,"Retested",IF(OR($T872="",NOT(ISNUMBER($T872))),"Pending",IF(TODAY()&gt;$T872,"OVERDUE","Due "&amp;TEXT($T872,"mm/dd")))))</f>
        <v/>
      </c>
      <c r="V872" s="14" t="n"/>
      <c r="W872" s="14" t="n"/>
    </row>
    <row r="873">
      <c r="B873" s="15">
        <f>IF($C873="","",$D873&amp;"-"&amp;$F873&amp;"-"&amp;$K873)</f>
        <v/>
      </c>
      <c r="C873" s="14" t="n"/>
      <c r="D873" s="15">
        <f>IF($C873="","",IFERROR(INDEX(rngCadetPIDs,MATCH($C873,rngCadetNames,0)),"?"))</f>
        <v/>
      </c>
      <c r="E873" s="15">
        <f>IF($D873="","",IFERROR(INDEX(nrCadetAgency,MATCH($D873,rngCadetPIDs,0)),""))</f>
        <v/>
      </c>
      <c r="F873" s="14" t="n"/>
      <c r="G873" s="15">
        <f>IF($F873="","",IFERROR(INDEX(rngEPname,MATCH($F873,rngEPcode,0)),"?"))</f>
        <v/>
      </c>
      <c r="H873" s="15">
        <f>IF($F873="","",IFERROR(INDEX(rngEPtype,MATCH($F873,rngEPcode,0)),"?"))</f>
        <v/>
      </c>
      <c r="I873" s="15">
        <f>IF($F873="","",IFERROR(INDEX(rngEPseq,MATCH($F873,rngEPcode,0)),""))</f>
        <v/>
      </c>
      <c r="J873" s="15">
        <f>IF($F873="","",IFERROR(INDEX(rngEPpass,MATCH($F873,rngEPcode,0)),cfgPassingScore))</f>
        <v/>
      </c>
      <c r="K873" s="14" t="n"/>
      <c r="L873" s="14" t="n"/>
      <c r="M873" s="15">
        <f>IF($C873="","",IF($L873="","",IF($K873=1,IF(COUNTIFS(nrES_PID,$D873,nrES_Code,$F873,nrES_Att,2)&gt;0,"",$L873),IF(COUNTIFS(nrES_PID,$D873,nrES_Code,$F873,nrES_Att,1)=0,$L873,IF($L873&gt;=$J873,cfgRetakeRecordedCap,SUMIFS(nrES_Raw,nrES_PID,$D873,nrES_Code,$F873,nrES_Att,1))))))</f>
        <v/>
      </c>
      <c r="N873" s="15">
        <f>IF($C873="","",IF($L873="","",IF($L873&gt;=$J873,"Yes","No")))</f>
        <v/>
      </c>
      <c r="O873" s="15">
        <f>IF($C873="","",IF($M873="","",IF($M873&gt;=$J873,"Yes","No")))</f>
        <v/>
      </c>
      <c r="P873" s="15">
        <f>IF($C873="","",IF($K873="","",IF(COUNTIFS(nrES_PID,$D873,nrES_Code,$F873,nrES_Att,"&gt;"&amp;$K873)=0,"Yes","No")))</f>
        <v/>
      </c>
      <c r="Q873" s="15">
        <f>IF($C873="","",IF($L873="","",IF(AND($K873=1,$L873&lt;$J873,COUNTIFS(nrES_PID,$D873,nrES_Code,$F873,nrES_Att,2)=0),"Yes","No")))</f>
        <v/>
      </c>
      <c r="R873" s="15">
        <f>IF($C873="","",IF($L873="","",IF(AND($K873=2,$L873&lt;$J873,COUNTIFS(nrES_PID,$D873,nrES_Code,$F873,nrES_Att,1)&gt;0),"Yes","No")))</f>
        <v/>
      </c>
      <c r="S873" s="16" t="n"/>
      <c r="T873" s="17">
        <f>IF($Q873&lt;&gt;"Yes","",IF($S873="","(enter date)",_xlfn.LET(_xlpm.dn,IFERROR(_xlfn.XLOOKUP($S873,nrCDdate,nrCDnum),""),IF(_xlpm.dn="","(not a class day)",IFERROR(_xlfn.XLOOKUP(_xlpm.dn+cfgRetestClassDays,nrCDnum,nrCDdate),"")))))</f>
        <v/>
      </c>
      <c r="U873" s="15">
        <f>IF($Q873&lt;&gt;"Yes","",IF(COUNTIFS(nrES_PID,$D873,nrES_Code,$F873,nrES_Att,2)&gt;0,"Retested",IF(OR($T873="",NOT(ISNUMBER($T873))),"Pending",IF(TODAY()&gt;$T873,"OVERDUE","Due "&amp;TEXT($T873,"mm/dd")))))</f>
        <v/>
      </c>
      <c r="V873" s="14" t="n"/>
      <c r="W873" s="14" t="n"/>
    </row>
    <row r="874">
      <c r="B874" s="15">
        <f>IF($C874="","",$D874&amp;"-"&amp;$F874&amp;"-"&amp;$K874)</f>
        <v/>
      </c>
      <c r="C874" s="14" t="n"/>
      <c r="D874" s="15">
        <f>IF($C874="","",IFERROR(INDEX(rngCadetPIDs,MATCH($C874,rngCadetNames,0)),"?"))</f>
        <v/>
      </c>
      <c r="E874" s="15">
        <f>IF($D874="","",IFERROR(INDEX(nrCadetAgency,MATCH($D874,rngCadetPIDs,0)),""))</f>
        <v/>
      </c>
      <c r="F874" s="14" t="n"/>
      <c r="G874" s="15">
        <f>IF($F874="","",IFERROR(INDEX(rngEPname,MATCH($F874,rngEPcode,0)),"?"))</f>
        <v/>
      </c>
      <c r="H874" s="15">
        <f>IF($F874="","",IFERROR(INDEX(rngEPtype,MATCH($F874,rngEPcode,0)),"?"))</f>
        <v/>
      </c>
      <c r="I874" s="15">
        <f>IF($F874="","",IFERROR(INDEX(rngEPseq,MATCH($F874,rngEPcode,0)),""))</f>
        <v/>
      </c>
      <c r="J874" s="15">
        <f>IF($F874="","",IFERROR(INDEX(rngEPpass,MATCH($F874,rngEPcode,0)),cfgPassingScore))</f>
        <v/>
      </c>
      <c r="K874" s="14" t="n"/>
      <c r="L874" s="14" t="n"/>
      <c r="M874" s="15">
        <f>IF($C874="","",IF($L874="","",IF($K874=1,IF(COUNTIFS(nrES_PID,$D874,nrES_Code,$F874,nrES_Att,2)&gt;0,"",$L874),IF(COUNTIFS(nrES_PID,$D874,nrES_Code,$F874,nrES_Att,1)=0,$L874,IF($L874&gt;=$J874,cfgRetakeRecordedCap,SUMIFS(nrES_Raw,nrES_PID,$D874,nrES_Code,$F874,nrES_Att,1))))))</f>
        <v/>
      </c>
      <c r="N874" s="15">
        <f>IF($C874="","",IF($L874="","",IF($L874&gt;=$J874,"Yes","No")))</f>
        <v/>
      </c>
      <c r="O874" s="15">
        <f>IF($C874="","",IF($M874="","",IF($M874&gt;=$J874,"Yes","No")))</f>
        <v/>
      </c>
      <c r="P874" s="15">
        <f>IF($C874="","",IF($K874="","",IF(COUNTIFS(nrES_PID,$D874,nrES_Code,$F874,nrES_Att,"&gt;"&amp;$K874)=0,"Yes","No")))</f>
        <v/>
      </c>
      <c r="Q874" s="15">
        <f>IF($C874="","",IF($L874="","",IF(AND($K874=1,$L874&lt;$J874,COUNTIFS(nrES_PID,$D874,nrES_Code,$F874,nrES_Att,2)=0),"Yes","No")))</f>
        <v/>
      </c>
      <c r="R874" s="15">
        <f>IF($C874="","",IF($L874="","",IF(AND($K874=2,$L874&lt;$J874,COUNTIFS(nrES_PID,$D874,nrES_Code,$F874,nrES_Att,1)&gt;0),"Yes","No")))</f>
        <v/>
      </c>
      <c r="S874" s="16" t="n"/>
      <c r="T874" s="17">
        <f>IF($Q874&lt;&gt;"Yes","",IF($S874="","(enter date)",_xlfn.LET(_xlpm.dn,IFERROR(_xlfn.XLOOKUP($S874,nrCDdate,nrCDnum),""),IF(_xlpm.dn="","(not a class day)",IFERROR(_xlfn.XLOOKUP(_xlpm.dn+cfgRetestClassDays,nrCDnum,nrCDdate),"")))))</f>
        <v/>
      </c>
      <c r="U874" s="15">
        <f>IF($Q874&lt;&gt;"Yes","",IF(COUNTIFS(nrES_PID,$D874,nrES_Code,$F874,nrES_Att,2)&gt;0,"Retested",IF(OR($T874="",NOT(ISNUMBER($T874))),"Pending",IF(TODAY()&gt;$T874,"OVERDUE","Due "&amp;TEXT($T874,"mm/dd")))))</f>
        <v/>
      </c>
      <c r="V874" s="14" t="n"/>
      <c r="W874" s="14" t="n"/>
    </row>
    <row r="875">
      <c r="B875" s="15">
        <f>IF($C875="","",$D875&amp;"-"&amp;$F875&amp;"-"&amp;$K875)</f>
        <v/>
      </c>
      <c r="C875" s="14" t="n"/>
      <c r="D875" s="15">
        <f>IF($C875="","",IFERROR(INDEX(rngCadetPIDs,MATCH($C875,rngCadetNames,0)),"?"))</f>
        <v/>
      </c>
      <c r="E875" s="15">
        <f>IF($D875="","",IFERROR(INDEX(nrCadetAgency,MATCH($D875,rngCadetPIDs,0)),""))</f>
        <v/>
      </c>
      <c r="F875" s="14" t="n"/>
      <c r="G875" s="15">
        <f>IF($F875="","",IFERROR(INDEX(rngEPname,MATCH($F875,rngEPcode,0)),"?"))</f>
        <v/>
      </c>
      <c r="H875" s="15">
        <f>IF($F875="","",IFERROR(INDEX(rngEPtype,MATCH($F875,rngEPcode,0)),"?"))</f>
        <v/>
      </c>
      <c r="I875" s="15">
        <f>IF($F875="","",IFERROR(INDEX(rngEPseq,MATCH($F875,rngEPcode,0)),""))</f>
        <v/>
      </c>
      <c r="J875" s="15">
        <f>IF($F875="","",IFERROR(INDEX(rngEPpass,MATCH($F875,rngEPcode,0)),cfgPassingScore))</f>
        <v/>
      </c>
      <c r="K875" s="14" t="n"/>
      <c r="L875" s="14" t="n"/>
      <c r="M875" s="15">
        <f>IF($C875="","",IF($L875="","",IF($K875=1,IF(COUNTIFS(nrES_PID,$D875,nrES_Code,$F875,nrES_Att,2)&gt;0,"",$L875),IF(COUNTIFS(nrES_PID,$D875,nrES_Code,$F875,nrES_Att,1)=0,$L875,IF($L875&gt;=$J875,cfgRetakeRecordedCap,SUMIFS(nrES_Raw,nrES_PID,$D875,nrES_Code,$F875,nrES_Att,1))))))</f>
        <v/>
      </c>
      <c r="N875" s="15">
        <f>IF($C875="","",IF($L875="","",IF($L875&gt;=$J875,"Yes","No")))</f>
        <v/>
      </c>
      <c r="O875" s="15">
        <f>IF($C875="","",IF($M875="","",IF($M875&gt;=$J875,"Yes","No")))</f>
        <v/>
      </c>
      <c r="P875" s="15">
        <f>IF($C875="","",IF($K875="","",IF(COUNTIFS(nrES_PID,$D875,nrES_Code,$F875,nrES_Att,"&gt;"&amp;$K875)=0,"Yes","No")))</f>
        <v/>
      </c>
      <c r="Q875" s="15">
        <f>IF($C875="","",IF($L875="","",IF(AND($K875=1,$L875&lt;$J875,COUNTIFS(nrES_PID,$D875,nrES_Code,$F875,nrES_Att,2)=0),"Yes","No")))</f>
        <v/>
      </c>
      <c r="R875" s="15">
        <f>IF($C875="","",IF($L875="","",IF(AND($K875=2,$L875&lt;$J875,COUNTIFS(nrES_PID,$D875,nrES_Code,$F875,nrES_Att,1)&gt;0),"Yes","No")))</f>
        <v/>
      </c>
      <c r="S875" s="16" t="n"/>
      <c r="T875" s="17">
        <f>IF($Q875&lt;&gt;"Yes","",IF($S875="","(enter date)",_xlfn.LET(_xlpm.dn,IFERROR(_xlfn.XLOOKUP($S875,nrCDdate,nrCDnum),""),IF(_xlpm.dn="","(not a class day)",IFERROR(_xlfn.XLOOKUP(_xlpm.dn+cfgRetestClassDays,nrCDnum,nrCDdate),"")))))</f>
        <v/>
      </c>
      <c r="U875" s="15">
        <f>IF($Q875&lt;&gt;"Yes","",IF(COUNTIFS(nrES_PID,$D875,nrES_Code,$F875,nrES_Att,2)&gt;0,"Retested",IF(OR($T875="",NOT(ISNUMBER($T875))),"Pending",IF(TODAY()&gt;$T875,"OVERDUE","Due "&amp;TEXT($T875,"mm/dd")))))</f>
        <v/>
      </c>
      <c r="V875" s="14" t="n"/>
      <c r="W875" s="14" t="n"/>
    </row>
    <row r="876">
      <c r="B876" s="15">
        <f>IF($C876="","",$D876&amp;"-"&amp;$F876&amp;"-"&amp;$K876)</f>
        <v/>
      </c>
      <c r="C876" s="14" t="n"/>
      <c r="D876" s="15">
        <f>IF($C876="","",IFERROR(INDEX(rngCadetPIDs,MATCH($C876,rngCadetNames,0)),"?"))</f>
        <v/>
      </c>
      <c r="E876" s="15">
        <f>IF($D876="","",IFERROR(INDEX(nrCadetAgency,MATCH($D876,rngCadetPIDs,0)),""))</f>
        <v/>
      </c>
      <c r="F876" s="14" t="n"/>
      <c r="G876" s="15">
        <f>IF($F876="","",IFERROR(INDEX(rngEPname,MATCH($F876,rngEPcode,0)),"?"))</f>
        <v/>
      </c>
      <c r="H876" s="15">
        <f>IF($F876="","",IFERROR(INDEX(rngEPtype,MATCH($F876,rngEPcode,0)),"?"))</f>
        <v/>
      </c>
      <c r="I876" s="15">
        <f>IF($F876="","",IFERROR(INDEX(rngEPseq,MATCH($F876,rngEPcode,0)),""))</f>
        <v/>
      </c>
      <c r="J876" s="15">
        <f>IF($F876="","",IFERROR(INDEX(rngEPpass,MATCH($F876,rngEPcode,0)),cfgPassingScore))</f>
        <v/>
      </c>
      <c r="K876" s="14" t="n"/>
      <c r="L876" s="14" t="n"/>
      <c r="M876" s="15">
        <f>IF($C876="","",IF($L876="","",IF($K876=1,IF(COUNTIFS(nrES_PID,$D876,nrES_Code,$F876,nrES_Att,2)&gt;0,"",$L876),IF(COUNTIFS(nrES_PID,$D876,nrES_Code,$F876,nrES_Att,1)=0,$L876,IF($L876&gt;=$J876,cfgRetakeRecordedCap,SUMIFS(nrES_Raw,nrES_PID,$D876,nrES_Code,$F876,nrES_Att,1))))))</f>
        <v/>
      </c>
      <c r="N876" s="15">
        <f>IF($C876="","",IF($L876="","",IF($L876&gt;=$J876,"Yes","No")))</f>
        <v/>
      </c>
      <c r="O876" s="15">
        <f>IF($C876="","",IF($M876="","",IF($M876&gt;=$J876,"Yes","No")))</f>
        <v/>
      </c>
      <c r="P876" s="15">
        <f>IF($C876="","",IF($K876="","",IF(COUNTIFS(nrES_PID,$D876,nrES_Code,$F876,nrES_Att,"&gt;"&amp;$K876)=0,"Yes","No")))</f>
        <v/>
      </c>
      <c r="Q876" s="15">
        <f>IF($C876="","",IF($L876="","",IF(AND($K876=1,$L876&lt;$J876,COUNTIFS(nrES_PID,$D876,nrES_Code,$F876,nrES_Att,2)=0),"Yes","No")))</f>
        <v/>
      </c>
      <c r="R876" s="15">
        <f>IF($C876="","",IF($L876="","",IF(AND($K876=2,$L876&lt;$J876,COUNTIFS(nrES_PID,$D876,nrES_Code,$F876,nrES_Att,1)&gt;0),"Yes","No")))</f>
        <v/>
      </c>
      <c r="S876" s="16" t="n"/>
      <c r="T876" s="17">
        <f>IF($Q876&lt;&gt;"Yes","",IF($S876="","(enter date)",_xlfn.LET(_xlpm.dn,IFERROR(_xlfn.XLOOKUP($S876,nrCDdate,nrCDnum),""),IF(_xlpm.dn="","(not a class day)",IFERROR(_xlfn.XLOOKUP(_xlpm.dn+cfgRetestClassDays,nrCDnum,nrCDdate),"")))))</f>
        <v/>
      </c>
      <c r="U876" s="15">
        <f>IF($Q876&lt;&gt;"Yes","",IF(COUNTIFS(nrES_PID,$D876,nrES_Code,$F876,nrES_Att,2)&gt;0,"Retested",IF(OR($T876="",NOT(ISNUMBER($T876))),"Pending",IF(TODAY()&gt;$T876,"OVERDUE","Due "&amp;TEXT($T876,"mm/dd")))))</f>
        <v/>
      </c>
      <c r="V876" s="14" t="n"/>
      <c r="W876" s="14" t="n"/>
    </row>
    <row r="877">
      <c r="B877" s="15">
        <f>IF($C877="","",$D877&amp;"-"&amp;$F877&amp;"-"&amp;$K877)</f>
        <v/>
      </c>
      <c r="C877" s="14" t="n"/>
      <c r="D877" s="15">
        <f>IF($C877="","",IFERROR(INDEX(rngCadetPIDs,MATCH($C877,rngCadetNames,0)),"?"))</f>
        <v/>
      </c>
      <c r="E877" s="15">
        <f>IF($D877="","",IFERROR(INDEX(nrCadetAgency,MATCH($D877,rngCadetPIDs,0)),""))</f>
        <v/>
      </c>
      <c r="F877" s="14" t="n"/>
      <c r="G877" s="15">
        <f>IF($F877="","",IFERROR(INDEX(rngEPname,MATCH($F877,rngEPcode,0)),"?"))</f>
        <v/>
      </c>
      <c r="H877" s="15">
        <f>IF($F877="","",IFERROR(INDEX(rngEPtype,MATCH($F877,rngEPcode,0)),"?"))</f>
        <v/>
      </c>
      <c r="I877" s="15">
        <f>IF($F877="","",IFERROR(INDEX(rngEPseq,MATCH($F877,rngEPcode,0)),""))</f>
        <v/>
      </c>
      <c r="J877" s="15">
        <f>IF($F877="","",IFERROR(INDEX(rngEPpass,MATCH($F877,rngEPcode,0)),cfgPassingScore))</f>
        <v/>
      </c>
      <c r="K877" s="14" t="n"/>
      <c r="L877" s="14" t="n"/>
      <c r="M877" s="15">
        <f>IF($C877="","",IF($L877="","",IF($K877=1,IF(COUNTIFS(nrES_PID,$D877,nrES_Code,$F877,nrES_Att,2)&gt;0,"",$L877),IF(COUNTIFS(nrES_PID,$D877,nrES_Code,$F877,nrES_Att,1)=0,$L877,IF($L877&gt;=$J877,cfgRetakeRecordedCap,SUMIFS(nrES_Raw,nrES_PID,$D877,nrES_Code,$F877,nrES_Att,1))))))</f>
        <v/>
      </c>
      <c r="N877" s="15">
        <f>IF($C877="","",IF($L877="","",IF($L877&gt;=$J877,"Yes","No")))</f>
        <v/>
      </c>
      <c r="O877" s="15">
        <f>IF($C877="","",IF($M877="","",IF($M877&gt;=$J877,"Yes","No")))</f>
        <v/>
      </c>
      <c r="P877" s="15">
        <f>IF($C877="","",IF($K877="","",IF(COUNTIFS(nrES_PID,$D877,nrES_Code,$F877,nrES_Att,"&gt;"&amp;$K877)=0,"Yes","No")))</f>
        <v/>
      </c>
      <c r="Q877" s="15">
        <f>IF($C877="","",IF($L877="","",IF(AND($K877=1,$L877&lt;$J877,COUNTIFS(nrES_PID,$D877,nrES_Code,$F877,nrES_Att,2)=0),"Yes","No")))</f>
        <v/>
      </c>
      <c r="R877" s="15">
        <f>IF($C877="","",IF($L877="","",IF(AND($K877=2,$L877&lt;$J877,COUNTIFS(nrES_PID,$D877,nrES_Code,$F877,nrES_Att,1)&gt;0),"Yes","No")))</f>
        <v/>
      </c>
      <c r="S877" s="16" t="n"/>
      <c r="T877" s="17">
        <f>IF($Q877&lt;&gt;"Yes","",IF($S877="","(enter date)",_xlfn.LET(_xlpm.dn,IFERROR(_xlfn.XLOOKUP($S877,nrCDdate,nrCDnum),""),IF(_xlpm.dn="","(not a class day)",IFERROR(_xlfn.XLOOKUP(_xlpm.dn+cfgRetestClassDays,nrCDnum,nrCDdate),"")))))</f>
        <v/>
      </c>
      <c r="U877" s="15">
        <f>IF($Q877&lt;&gt;"Yes","",IF(COUNTIFS(nrES_PID,$D877,nrES_Code,$F877,nrES_Att,2)&gt;0,"Retested",IF(OR($T877="",NOT(ISNUMBER($T877))),"Pending",IF(TODAY()&gt;$T877,"OVERDUE","Due "&amp;TEXT($T877,"mm/dd")))))</f>
        <v/>
      </c>
      <c r="V877" s="14" t="n"/>
      <c r="W877" s="14" t="n"/>
    </row>
    <row r="878">
      <c r="B878" s="15">
        <f>IF($C878="","",$D878&amp;"-"&amp;$F878&amp;"-"&amp;$K878)</f>
        <v/>
      </c>
      <c r="C878" s="14" t="n"/>
      <c r="D878" s="15">
        <f>IF($C878="","",IFERROR(INDEX(rngCadetPIDs,MATCH($C878,rngCadetNames,0)),"?"))</f>
        <v/>
      </c>
      <c r="E878" s="15">
        <f>IF($D878="","",IFERROR(INDEX(nrCadetAgency,MATCH($D878,rngCadetPIDs,0)),""))</f>
        <v/>
      </c>
      <c r="F878" s="14" t="n"/>
      <c r="G878" s="15">
        <f>IF($F878="","",IFERROR(INDEX(rngEPname,MATCH($F878,rngEPcode,0)),"?"))</f>
        <v/>
      </c>
      <c r="H878" s="15">
        <f>IF($F878="","",IFERROR(INDEX(rngEPtype,MATCH($F878,rngEPcode,0)),"?"))</f>
        <v/>
      </c>
      <c r="I878" s="15">
        <f>IF($F878="","",IFERROR(INDEX(rngEPseq,MATCH($F878,rngEPcode,0)),""))</f>
        <v/>
      </c>
      <c r="J878" s="15">
        <f>IF($F878="","",IFERROR(INDEX(rngEPpass,MATCH($F878,rngEPcode,0)),cfgPassingScore))</f>
        <v/>
      </c>
      <c r="K878" s="14" t="n"/>
      <c r="L878" s="14" t="n"/>
      <c r="M878" s="15">
        <f>IF($C878="","",IF($L878="","",IF($K878=1,IF(COUNTIFS(nrES_PID,$D878,nrES_Code,$F878,nrES_Att,2)&gt;0,"",$L878),IF(COUNTIFS(nrES_PID,$D878,nrES_Code,$F878,nrES_Att,1)=0,$L878,IF($L878&gt;=$J878,cfgRetakeRecordedCap,SUMIFS(nrES_Raw,nrES_PID,$D878,nrES_Code,$F878,nrES_Att,1))))))</f>
        <v/>
      </c>
      <c r="N878" s="15">
        <f>IF($C878="","",IF($L878="","",IF($L878&gt;=$J878,"Yes","No")))</f>
        <v/>
      </c>
      <c r="O878" s="15">
        <f>IF($C878="","",IF($M878="","",IF($M878&gt;=$J878,"Yes","No")))</f>
        <v/>
      </c>
      <c r="P878" s="15">
        <f>IF($C878="","",IF($K878="","",IF(COUNTIFS(nrES_PID,$D878,nrES_Code,$F878,nrES_Att,"&gt;"&amp;$K878)=0,"Yes","No")))</f>
        <v/>
      </c>
      <c r="Q878" s="15">
        <f>IF($C878="","",IF($L878="","",IF(AND($K878=1,$L878&lt;$J878,COUNTIFS(nrES_PID,$D878,nrES_Code,$F878,nrES_Att,2)=0),"Yes","No")))</f>
        <v/>
      </c>
      <c r="R878" s="15">
        <f>IF($C878="","",IF($L878="","",IF(AND($K878=2,$L878&lt;$J878,COUNTIFS(nrES_PID,$D878,nrES_Code,$F878,nrES_Att,1)&gt;0),"Yes","No")))</f>
        <v/>
      </c>
      <c r="S878" s="16" t="n"/>
      <c r="T878" s="17">
        <f>IF($Q878&lt;&gt;"Yes","",IF($S878="","(enter date)",_xlfn.LET(_xlpm.dn,IFERROR(_xlfn.XLOOKUP($S878,nrCDdate,nrCDnum),""),IF(_xlpm.dn="","(not a class day)",IFERROR(_xlfn.XLOOKUP(_xlpm.dn+cfgRetestClassDays,nrCDnum,nrCDdate),"")))))</f>
        <v/>
      </c>
      <c r="U878" s="15">
        <f>IF($Q878&lt;&gt;"Yes","",IF(COUNTIFS(nrES_PID,$D878,nrES_Code,$F878,nrES_Att,2)&gt;0,"Retested",IF(OR($T878="",NOT(ISNUMBER($T878))),"Pending",IF(TODAY()&gt;$T878,"OVERDUE","Due "&amp;TEXT($T878,"mm/dd")))))</f>
        <v/>
      </c>
      <c r="V878" s="14" t="n"/>
      <c r="W878" s="14" t="n"/>
    </row>
    <row r="879">
      <c r="B879" s="15">
        <f>IF($C879="","",$D879&amp;"-"&amp;$F879&amp;"-"&amp;$K879)</f>
        <v/>
      </c>
      <c r="C879" s="14" t="n"/>
      <c r="D879" s="15">
        <f>IF($C879="","",IFERROR(INDEX(rngCadetPIDs,MATCH($C879,rngCadetNames,0)),"?"))</f>
        <v/>
      </c>
      <c r="E879" s="15">
        <f>IF($D879="","",IFERROR(INDEX(nrCadetAgency,MATCH($D879,rngCadetPIDs,0)),""))</f>
        <v/>
      </c>
      <c r="F879" s="14" t="n"/>
      <c r="G879" s="15">
        <f>IF($F879="","",IFERROR(INDEX(rngEPname,MATCH($F879,rngEPcode,0)),"?"))</f>
        <v/>
      </c>
      <c r="H879" s="15">
        <f>IF($F879="","",IFERROR(INDEX(rngEPtype,MATCH($F879,rngEPcode,0)),"?"))</f>
        <v/>
      </c>
      <c r="I879" s="15">
        <f>IF($F879="","",IFERROR(INDEX(rngEPseq,MATCH($F879,rngEPcode,0)),""))</f>
        <v/>
      </c>
      <c r="J879" s="15">
        <f>IF($F879="","",IFERROR(INDEX(rngEPpass,MATCH($F879,rngEPcode,0)),cfgPassingScore))</f>
        <v/>
      </c>
      <c r="K879" s="14" t="n"/>
      <c r="L879" s="14" t="n"/>
      <c r="M879" s="15">
        <f>IF($C879="","",IF($L879="","",IF($K879=1,IF(COUNTIFS(nrES_PID,$D879,nrES_Code,$F879,nrES_Att,2)&gt;0,"",$L879),IF(COUNTIFS(nrES_PID,$D879,nrES_Code,$F879,nrES_Att,1)=0,$L879,IF($L879&gt;=$J879,cfgRetakeRecordedCap,SUMIFS(nrES_Raw,nrES_PID,$D879,nrES_Code,$F879,nrES_Att,1))))))</f>
        <v/>
      </c>
      <c r="N879" s="15">
        <f>IF($C879="","",IF($L879="","",IF($L879&gt;=$J879,"Yes","No")))</f>
        <v/>
      </c>
      <c r="O879" s="15">
        <f>IF($C879="","",IF($M879="","",IF($M879&gt;=$J879,"Yes","No")))</f>
        <v/>
      </c>
      <c r="P879" s="15">
        <f>IF($C879="","",IF($K879="","",IF(COUNTIFS(nrES_PID,$D879,nrES_Code,$F879,nrES_Att,"&gt;"&amp;$K879)=0,"Yes","No")))</f>
        <v/>
      </c>
      <c r="Q879" s="15">
        <f>IF($C879="","",IF($L879="","",IF(AND($K879=1,$L879&lt;$J879,COUNTIFS(nrES_PID,$D879,nrES_Code,$F879,nrES_Att,2)=0),"Yes","No")))</f>
        <v/>
      </c>
      <c r="R879" s="15">
        <f>IF($C879="","",IF($L879="","",IF(AND($K879=2,$L879&lt;$J879,COUNTIFS(nrES_PID,$D879,nrES_Code,$F879,nrES_Att,1)&gt;0),"Yes","No")))</f>
        <v/>
      </c>
      <c r="S879" s="16" t="n"/>
      <c r="T879" s="17">
        <f>IF($Q879&lt;&gt;"Yes","",IF($S879="","(enter date)",_xlfn.LET(_xlpm.dn,IFERROR(_xlfn.XLOOKUP($S879,nrCDdate,nrCDnum),""),IF(_xlpm.dn="","(not a class day)",IFERROR(_xlfn.XLOOKUP(_xlpm.dn+cfgRetestClassDays,nrCDnum,nrCDdate),"")))))</f>
        <v/>
      </c>
      <c r="U879" s="15">
        <f>IF($Q879&lt;&gt;"Yes","",IF(COUNTIFS(nrES_PID,$D879,nrES_Code,$F879,nrES_Att,2)&gt;0,"Retested",IF(OR($T879="",NOT(ISNUMBER($T879))),"Pending",IF(TODAY()&gt;$T879,"OVERDUE","Due "&amp;TEXT($T879,"mm/dd")))))</f>
        <v/>
      </c>
      <c r="V879" s="14" t="n"/>
      <c r="W879" s="14" t="n"/>
    </row>
    <row r="880">
      <c r="B880" s="15">
        <f>IF($C880="","",$D880&amp;"-"&amp;$F880&amp;"-"&amp;$K880)</f>
        <v/>
      </c>
      <c r="C880" s="14" t="n"/>
      <c r="D880" s="15">
        <f>IF($C880="","",IFERROR(INDEX(rngCadetPIDs,MATCH($C880,rngCadetNames,0)),"?"))</f>
        <v/>
      </c>
      <c r="E880" s="15">
        <f>IF($D880="","",IFERROR(INDEX(nrCadetAgency,MATCH($D880,rngCadetPIDs,0)),""))</f>
        <v/>
      </c>
      <c r="F880" s="14" t="n"/>
      <c r="G880" s="15">
        <f>IF($F880="","",IFERROR(INDEX(rngEPname,MATCH($F880,rngEPcode,0)),"?"))</f>
        <v/>
      </c>
      <c r="H880" s="15">
        <f>IF($F880="","",IFERROR(INDEX(rngEPtype,MATCH($F880,rngEPcode,0)),"?"))</f>
        <v/>
      </c>
      <c r="I880" s="15">
        <f>IF($F880="","",IFERROR(INDEX(rngEPseq,MATCH($F880,rngEPcode,0)),""))</f>
        <v/>
      </c>
      <c r="J880" s="15">
        <f>IF($F880="","",IFERROR(INDEX(rngEPpass,MATCH($F880,rngEPcode,0)),cfgPassingScore))</f>
        <v/>
      </c>
      <c r="K880" s="14" t="n"/>
      <c r="L880" s="14" t="n"/>
      <c r="M880" s="15">
        <f>IF($C880="","",IF($L880="","",IF($K880=1,IF(COUNTIFS(nrES_PID,$D880,nrES_Code,$F880,nrES_Att,2)&gt;0,"",$L880),IF(COUNTIFS(nrES_PID,$D880,nrES_Code,$F880,nrES_Att,1)=0,$L880,IF($L880&gt;=$J880,cfgRetakeRecordedCap,SUMIFS(nrES_Raw,nrES_PID,$D880,nrES_Code,$F880,nrES_Att,1))))))</f>
        <v/>
      </c>
      <c r="N880" s="15">
        <f>IF($C880="","",IF($L880="","",IF($L880&gt;=$J880,"Yes","No")))</f>
        <v/>
      </c>
      <c r="O880" s="15">
        <f>IF($C880="","",IF($M880="","",IF($M880&gt;=$J880,"Yes","No")))</f>
        <v/>
      </c>
      <c r="P880" s="15">
        <f>IF($C880="","",IF($K880="","",IF(COUNTIFS(nrES_PID,$D880,nrES_Code,$F880,nrES_Att,"&gt;"&amp;$K880)=0,"Yes","No")))</f>
        <v/>
      </c>
      <c r="Q880" s="15">
        <f>IF($C880="","",IF($L880="","",IF(AND($K880=1,$L880&lt;$J880,COUNTIFS(nrES_PID,$D880,nrES_Code,$F880,nrES_Att,2)=0),"Yes","No")))</f>
        <v/>
      </c>
      <c r="R880" s="15">
        <f>IF($C880="","",IF($L880="","",IF(AND($K880=2,$L880&lt;$J880,COUNTIFS(nrES_PID,$D880,nrES_Code,$F880,nrES_Att,1)&gt;0),"Yes","No")))</f>
        <v/>
      </c>
      <c r="S880" s="16" t="n"/>
      <c r="T880" s="17">
        <f>IF($Q880&lt;&gt;"Yes","",IF($S880="","(enter date)",_xlfn.LET(_xlpm.dn,IFERROR(_xlfn.XLOOKUP($S880,nrCDdate,nrCDnum),""),IF(_xlpm.dn="","(not a class day)",IFERROR(_xlfn.XLOOKUP(_xlpm.dn+cfgRetestClassDays,nrCDnum,nrCDdate),"")))))</f>
        <v/>
      </c>
      <c r="U880" s="15">
        <f>IF($Q880&lt;&gt;"Yes","",IF(COUNTIFS(nrES_PID,$D880,nrES_Code,$F880,nrES_Att,2)&gt;0,"Retested",IF(OR($T880="",NOT(ISNUMBER($T880))),"Pending",IF(TODAY()&gt;$T880,"OVERDUE","Due "&amp;TEXT($T880,"mm/dd")))))</f>
        <v/>
      </c>
      <c r="V880" s="14" t="n"/>
      <c r="W880" s="14" t="n"/>
    </row>
    <row r="881">
      <c r="B881" s="15">
        <f>IF($C881="","",$D881&amp;"-"&amp;$F881&amp;"-"&amp;$K881)</f>
        <v/>
      </c>
      <c r="C881" s="14" t="n"/>
      <c r="D881" s="15">
        <f>IF($C881="","",IFERROR(INDEX(rngCadetPIDs,MATCH($C881,rngCadetNames,0)),"?"))</f>
        <v/>
      </c>
      <c r="E881" s="15">
        <f>IF($D881="","",IFERROR(INDEX(nrCadetAgency,MATCH($D881,rngCadetPIDs,0)),""))</f>
        <v/>
      </c>
      <c r="F881" s="14" t="n"/>
      <c r="G881" s="15">
        <f>IF($F881="","",IFERROR(INDEX(rngEPname,MATCH($F881,rngEPcode,0)),"?"))</f>
        <v/>
      </c>
      <c r="H881" s="15">
        <f>IF($F881="","",IFERROR(INDEX(rngEPtype,MATCH($F881,rngEPcode,0)),"?"))</f>
        <v/>
      </c>
      <c r="I881" s="15">
        <f>IF($F881="","",IFERROR(INDEX(rngEPseq,MATCH($F881,rngEPcode,0)),""))</f>
        <v/>
      </c>
      <c r="J881" s="15">
        <f>IF($F881="","",IFERROR(INDEX(rngEPpass,MATCH($F881,rngEPcode,0)),cfgPassingScore))</f>
        <v/>
      </c>
      <c r="K881" s="14" t="n"/>
      <c r="L881" s="14" t="n"/>
      <c r="M881" s="15">
        <f>IF($C881="","",IF($L881="","",IF($K881=1,IF(COUNTIFS(nrES_PID,$D881,nrES_Code,$F881,nrES_Att,2)&gt;0,"",$L881),IF(COUNTIFS(nrES_PID,$D881,nrES_Code,$F881,nrES_Att,1)=0,$L881,IF($L881&gt;=$J881,cfgRetakeRecordedCap,SUMIFS(nrES_Raw,nrES_PID,$D881,nrES_Code,$F881,nrES_Att,1))))))</f>
        <v/>
      </c>
      <c r="N881" s="15">
        <f>IF($C881="","",IF($L881="","",IF($L881&gt;=$J881,"Yes","No")))</f>
        <v/>
      </c>
      <c r="O881" s="15">
        <f>IF($C881="","",IF($M881="","",IF($M881&gt;=$J881,"Yes","No")))</f>
        <v/>
      </c>
      <c r="P881" s="15">
        <f>IF($C881="","",IF($K881="","",IF(COUNTIFS(nrES_PID,$D881,nrES_Code,$F881,nrES_Att,"&gt;"&amp;$K881)=0,"Yes","No")))</f>
        <v/>
      </c>
      <c r="Q881" s="15">
        <f>IF($C881="","",IF($L881="","",IF(AND($K881=1,$L881&lt;$J881,COUNTIFS(nrES_PID,$D881,nrES_Code,$F881,nrES_Att,2)=0),"Yes","No")))</f>
        <v/>
      </c>
      <c r="R881" s="15">
        <f>IF($C881="","",IF($L881="","",IF(AND($K881=2,$L881&lt;$J881,COUNTIFS(nrES_PID,$D881,nrES_Code,$F881,nrES_Att,1)&gt;0),"Yes","No")))</f>
        <v/>
      </c>
      <c r="S881" s="16" t="n"/>
      <c r="T881" s="17">
        <f>IF($Q881&lt;&gt;"Yes","",IF($S881="","(enter date)",_xlfn.LET(_xlpm.dn,IFERROR(_xlfn.XLOOKUP($S881,nrCDdate,nrCDnum),""),IF(_xlpm.dn="","(not a class day)",IFERROR(_xlfn.XLOOKUP(_xlpm.dn+cfgRetestClassDays,nrCDnum,nrCDdate),"")))))</f>
        <v/>
      </c>
      <c r="U881" s="15">
        <f>IF($Q881&lt;&gt;"Yes","",IF(COUNTIFS(nrES_PID,$D881,nrES_Code,$F881,nrES_Att,2)&gt;0,"Retested",IF(OR($T881="",NOT(ISNUMBER($T881))),"Pending",IF(TODAY()&gt;$T881,"OVERDUE","Due "&amp;TEXT($T881,"mm/dd")))))</f>
        <v/>
      </c>
      <c r="V881" s="14" t="n"/>
      <c r="W881" s="14" t="n"/>
    </row>
    <row r="882">
      <c r="B882" s="15">
        <f>IF($C882="","",$D882&amp;"-"&amp;$F882&amp;"-"&amp;$K882)</f>
        <v/>
      </c>
      <c r="C882" s="14" t="n"/>
      <c r="D882" s="15">
        <f>IF($C882="","",IFERROR(INDEX(rngCadetPIDs,MATCH($C882,rngCadetNames,0)),"?"))</f>
        <v/>
      </c>
      <c r="E882" s="15">
        <f>IF($D882="","",IFERROR(INDEX(nrCadetAgency,MATCH($D882,rngCadetPIDs,0)),""))</f>
        <v/>
      </c>
      <c r="F882" s="14" t="n"/>
      <c r="G882" s="15">
        <f>IF($F882="","",IFERROR(INDEX(rngEPname,MATCH($F882,rngEPcode,0)),"?"))</f>
        <v/>
      </c>
      <c r="H882" s="15">
        <f>IF($F882="","",IFERROR(INDEX(rngEPtype,MATCH($F882,rngEPcode,0)),"?"))</f>
        <v/>
      </c>
      <c r="I882" s="15">
        <f>IF($F882="","",IFERROR(INDEX(rngEPseq,MATCH($F882,rngEPcode,0)),""))</f>
        <v/>
      </c>
      <c r="J882" s="15">
        <f>IF($F882="","",IFERROR(INDEX(rngEPpass,MATCH($F882,rngEPcode,0)),cfgPassingScore))</f>
        <v/>
      </c>
      <c r="K882" s="14" t="n"/>
      <c r="L882" s="14" t="n"/>
      <c r="M882" s="15">
        <f>IF($C882="","",IF($L882="","",IF($K882=1,IF(COUNTIFS(nrES_PID,$D882,nrES_Code,$F882,nrES_Att,2)&gt;0,"",$L882),IF(COUNTIFS(nrES_PID,$D882,nrES_Code,$F882,nrES_Att,1)=0,$L882,IF($L882&gt;=$J882,cfgRetakeRecordedCap,SUMIFS(nrES_Raw,nrES_PID,$D882,nrES_Code,$F882,nrES_Att,1))))))</f>
        <v/>
      </c>
      <c r="N882" s="15">
        <f>IF($C882="","",IF($L882="","",IF($L882&gt;=$J882,"Yes","No")))</f>
        <v/>
      </c>
      <c r="O882" s="15">
        <f>IF($C882="","",IF($M882="","",IF($M882&gt;=$J882,"Yes","No")))</f>
        <v/>
      </c>
      <c r="P882" s="15">
        <f>IF($C882="","",IF($K882="","",IF(COUNTIFS(nrES_PID,$D882,nrES_Code,$F882,nrES_Att,"&gt;"&amp;$K882)=0,"Yes","No")))</f>
        <v/>
      </c>
      <c r="Q882" s="15">
        <f>IF($C882="","",IF($L882="","",IF(AND($K882=1,$L882&lt;$J882,COUNTIFS(nrES_PID,$D882,nrES_Code,$F882,nrES_Att,2)=0),"Yes","No")))</f>
        <v/>
      </c>
      <c r="R882" s="15">
        <f>IF($C882="","",IF($L882="","",IF(AND($K882=2,$L882&lt;$J882,COUNTIFS(nrES_PID,$D882,nrES_Code,$F882,nrES_Att,1)&gt;0),"Yes","No")))</f>
        <v/>
      </c>
      <c r="S882" s="16" t="n"/>
      <c r="T882" s="17">
        <f>IF($Q882&lt;&gt;"Yes","",IF($S882="","(enter date)",_xlfn.LET(_xlpm.dn,IFERROR(_xlfn.XLOOKUP($S882,nrCDdate,nrCDnum),""),IF(_xlpm.dn="","(not a class day)",IFERROR(_xlfn.XLOOKUP(_xlpm.dn+cfgRetestClassDays,nrCDnum,nrCDdate),"")))))</f>
        <v/>
      </c>
      <c r="U882" s="15">
        <f>IF($Q882&lt;&gt;"Yes","",IF(COUNTIFS(nrES_PID,$D882,nrES_Code,$F882,nrES_Att,2)&gt;0,"Retested",IF(OR($T882="",NOT(ISNUMBER($T882))),"Pending",IF(TODAY()&gt;$T882,"OVERDUE","Due "&amp;TEXT($T882,"mm/dd")))))</f>
        <v/>
      </c>
      <c r="V882" s="14" t="n"/>
      <c r="W882" s="14" t="n"/>
    </row>
    <row r="883">
      <c r="B883" s="15">
        <f>IF($C883="","",$D883&amp;"-"&amp;$F883&amp;"-"&amp;$K883)</f>
        <v/>
      </c>
      <c r="C883" s="14" t="n"/>
      <c r="D883" s="15">
        <f>IF($C883="","",IFERROR(INDEX(rngCadetPIDs,MATCH($C883,rngCadetNames,0)),"?"))</f>
        <v/>
      </c>
      <c r="E883" s="15">
        <f>IF($D883="","",IFERROR(INDEX(nrCadetAgency,MATCH($D883,rngCadetPIDs,0)),""))</f>
        <v/>
      </c>
      <c r="F883" s="14" t="n"/>
      <c r="G883" s="15">
        <f>IF($F883="","",IFERROR(INDEX(rngEPname,MATCH($F883,rngEPcode,0)),"?"))</f>
        <v/>
      </c>
      <c r="H883" s="15">
        <f>IF($F883="","",IFERROR(INDEX(rngEPtype,MATCH($F883,rngEPcode,0)),"?"))</f>
        <v/>
      </c>
      <c r="I883" s="15">
        <f>IF($F883="","",IFERROR(INDEX(rngEPseq,MATCH($F883,rngEPcode,0)),""))</f>
        <v/>
      </c>
      <c r="J883" s="15">
        <f>IF($F883="","",IFERROR(INDEX(rngEPpass,MATCH($F883,rngEPcode,0)),cfgPassingScore))</f>
        <v/>
      </c>
      <c r="K883" s="14" t="n"/>
      <c r="L883" s="14" t="n"/>
      <c r="M883" s="15">
        <f>IF($C883="","",IF($L883="","",IF($K883=1,IF(COUNTIFS(nrES_PID,$D883,nrES_Code,$F883,nrES_Att,2)&gt;0,"",$L883),IF(COUNTIFS(nrES_PID,$D883,nrES_Code,$F883,nrES_Att,1)=0,$L883,IF($L883&gt;=$J883,cfgRetakeRecordedCap,SUMIFS(nrES_Raw,nrES_PID,$D883,nrES_Code,$F883,nrES_Att,1))))))</f>
        <v/>
      </c>
      <c r="N883" s="15">
        <f>IF($C883="","",IF($L883="","",IF($L883&gt;=$J883,"Yes","No")))</f>
        <v/>
      </c>
      <c r="O883" s="15">
        <f>IF($C883="","",IF($M883="","",IF($M883&gt;=$J883,"Yes","No")))</f>
        <v/>
      </c>
      <c r="P883" s="15">
        <f>IF($C883="","",IF($K883="","",IF(COUNTIFS(nrES_PID,$D883,nrES_Code,$F883,nrES_Att,"&gt;"&amp;$K883)=0,"Yes","No")))</f>
        <v/>
      </c>
      <c r="Q883" s="15">
        <f>IF($C883="","",IF($L883="","",IF(AND($K883=1,$L883&lt;$J883,COUNTIFS(nrES_PID,$D883,nrES_Code,$F883,nrES_Att,2)=0),"Yes","No")))</f>
        <v/>
      </c>
      <c r="R883" s="15">
        <f>IF($C883="","",IF($L883="","",IF(AND($K883=2,$L883&lt;$J883,COUNTIFS(nrES_PID,$D883,nrES_Code,$F883,nrES_Att,1)&gt;0),"Yes","No")))</f>
        <v/>
      </c>
      <c r="S883" s="16" t="n"/>
      <c r="T883" s="17">
        <f>IF($Q883&lt;&gt;"Yes","",IF($S883="","(enter date)",_xlfn.LET(_xlpm.dn,IFERROR(_xlfn.XLOOKUP($S883,nrCDdate,nrCDnum),""),IF(_xlpm.dn="","(not a class day)",IFERROR(_xlfn.XLOOKUP(_xlpm.dn+cfgRetestClassDays,nrCDnum,nrCDdate),"")))))</f>
        <v/>
      </c>
      <c r="U883" s="15">
        <f>IF($Q883&lt;&gt;"Yes","",IF(COUNTIFS(nrES_PID,$D883,nrES_Code,$F883,nrES_Att,2)&gt;0,"Retested",IF(OR($T883="",NOT(ISNUMBER($T883))),"Pending",IF(TODAY()&gt;$T883,"OVERDUE","Due "&amp;TEXT($T883,"mm/dd")))))</f>
        <v/>
      </c>
      <c r="V883" s="14" t="n"/>
      <c r="W883" s="14" t="n"/>
    </row>
    <row r="884">
      <c r="B884" s="15">
        <f>IF($C884="","",$D884&amp;"-"&amp;$F884&amp;"-"&amp;$K884)</f>
        <v/>
      </c>
      <c r="C884" s="14" t="n"/>
      <c r="D884" s="15">
        <f>IF($C884="","",IFERROR(INDEX(rngCadetPIDs,MATCH($C884,rngCadetNames,0)),"?"))</f>
        <v/>
      </c>
      <c r="E884" s="15">
        <f>IF($D884="","",IFERROR(INDEX(nrCadetAgency,MATCH($D884,rngCadetPIDs,0)),""))</f>
        <v/>
      </c>
      <c r="F884" s="14" t="n"/>
      <c r="G884" s="15">
        <f>IF($F884="","",IFERROR(INDEX(rngEPname,MATCH($F884,rngEPcode,0)),"?"))</f>
        <v/>
      </c>
      <c r="H884" s="15">
        <f>IF($F884="","",IFERROR(INDEX(rngEPtype,MATCH($F884,rngEPcode,0)),"?"))</f>
        <v/>
      </c>
      <c r="I884" s="15">
        <f>IF($F884="","",IFERROR(INDEX(rngEPseq,MATCH($F884,rngEPcode,0)),""))</f>
        <v/>
      </c>
      <c r="J884" s="15">
        <f>IF($F884="","",IFERROR(INDEX(rngEPpass,MATCH($F884,rngEPcode,0)),cfgPassingScore))</f>
        <v/>
      </c>
      <c r="K884" s="14" t="n"/>
      <c r="L884" s="14" t="n"/>
      <c r="M884" s="15">
        <f>IF($C884="","",IF($L884="","",IF($K884=1,IF(COUNTIFS(nrES_PID,$D884,nrES_Code,$F884,nrES_Att,2)&gt;0,"",$L884),IF(COUNTIFS(nrES_PID,$D884,nrES_Code,$F884,nrES_Att,1)=0,$L884,IF($L884&gt;=$J884,cfgRetakeRecordedCap,SUMIFS(nrES_Raw,nrES_PID,$D884,nrES_Code,$F884,nrES_Att,1))))))</f>
        <v/>
      </c>
      <c r="N884" s="15">
        <f>IF($C884="","",IF($L884="","",IF($L884&gt;=$J884,"Yes","No")))</f>
        <v/>
      </c>
      <c r="O884" s="15">
        <f>IF($C884="","",IF($M884="","",IF($M884&gt;=$J884,"Yes","No")))</f>
        <v/>
      </c>
      <c r="P884" s="15">
        <f>IF($C884="","",IF($K884="","",IF(COUNTIFS(nrES_PID,$D884,nrES_Code,$F884,nrES_Att,"&gt;"&amp;$K884)=0,"Yes","No")))</f>
        <v/>
      </c>
      <c r="Q884" s="15">
        <f>IF($C884="","",IF($L884="","",IF(AND($K884=1,$L884&lt;$J884,COUNTIFS(nrES_PID,$D884,nrES_Code,$F884,nrES_Att,2)=0),"Yes","No")))</f>
        <v/>
      </c>
      <c r="R884" s="15">
        <f>IF($C884="","",IF($L884="","",IF(AND($K884=2,$L884&lt;$J884,COUNTIFS(nrES_PID,$D884,nrES_Code,$F884,nrES_Att,1)&gt;0),"Yes","No")))</f>
        <v/>
      </c>
      <c r="S884" s="16" t="n"/>
      <c r="T884" s="17">
        <f>IF($Q884&lt;&gt;"Yes","",IF($S884="","(enter date)",_xlfn.LET(_xlpm.dn,IFERROR(_xlfn.XLOOKUP($S884,nrCDdate,nrCDnum),""),IF(_xlpm.dn="","(not a class day)",IFERROR(_xlfn.XLOOKUP(_xlpm.dn+cfgRetestClassDays,nrCDnum,nrCDdate),"")))))</f>
        <v/>
      </c>
      <c r="U884" s="15">
        <f>IF($Q884&lt;&gt;"Yes","",IF(COUNTIFS(nrES_PID,$D884,nrES_Code,$F884,nrES_Att,2)&gt;0,"Retested",IF(OR($T884="",NOT(ISNUMBER($T884))),"Pending",IF(TODAY()&gt;$T884,"OVERDUE","Due "&amp;TEXT($T884,"mm/dd")))))</f>
        <v/>
      </c>
      <c r="V884" s="14" t="n"/>
      <c r="W884" s="14" t="n"/>
    </row>
    <row r="885">
      <c r="B885" s="15">
        <f>IF($C885="","",$D885&amp;"-"&amp;$F885&amp;"-"&amp;$K885)</f>
        <v/>
      </c>
      <c r="C885" s="14" t="n"/>
      <c r="D885" s="15">
        <f>IF($C885="","",IFERROR(INDEX(rngCadetPIDs,MATCH($C885,rngCadetNames,0)),"?"))</f>
        <v/>
      </c>
      <c r="E885" s="15">
        <f>IF($D885="","",IFERROR(INDEX(nrCadetAgency,MATCH($D885,rngCadetPIDs,0)),""))</f>
        <v/>
      </c>
      <c r="F885" s="14" t="n"/>
      <c r="G885" s="15">
        <f>IF($F885="","",IFERROR(INDEX(rngEPname,MATCH($F885,rngEPcode,0)),"?"))</f>
        <v/>
      </c>
      <c r="H885" s="15">
        <f>IF($F885="","",IFERROR(INDEX(rngEPtype,MATCH($F885,rngEPcode,0)),"?"))</f>
        <v/>
      </c>
      <c r="I885" s="15">
        <f>IF($F885="","",IFERROR(INDEX(rngEPseq,MATCH($F885,rngEPcode,0)),""))</f>
        <v/>
      </c>
      <c r="J885" s="15">
        <f>IF($F885="","",IFERROR(INDEX(rngEPpass,MATCH($F885,rngEPcode,0)),cfgPassingScore))</f>
        <v/>
      </c>
      <c r="K885" s="14" t="n"/>
      <c r="L885" s="14" t="n"/>
      <c r="M885" s="15">
        <f>IF($C885="","",IF($L885="","",IF($K885=1,IF(COUNTIFS(nrES_PID,$D885,nrES_Code,$F885,nrES_Att,2)&gt;0,"",$L885),IF(COUNTIFS(nrES_PID,$D885,nrES_Code,$F885,nrES_Att,1)=0,$L885,IF($L885&gt;=$J885,cfgRetakeRecordedCap,SUMIFS(nrES_Raw,nrES_PID,$D885,nrES_Code,$F885,nrES_Att,1))))))</f>
        <v/>
      </c>
      <c r="N885" s="15">
        <f>IF($C885="","",IF($L885="","",IF($L885&gt;=$J885,"Yes","No")))</f>
        <v/>
      </c>
      <c r="O885" s="15">
        <f>IF($C885="","",IF($M885="","",IF($M885&gt;=$J885,"Yes","No")))</f>
        <v/>
      </c>
      <c r="P885" s="15">
        <f>IF($C885="","",IF($K885="","",IF(COUNTIFS(nrES_PID,$D885,nrES_Code,$F885,nrES_Att,"&gt;"&amp;$K885)=0,"Yes","No")))</f>
        <v/>
      </c>
      <c r="Q885" s="15">
        <f>IF($C885="","",IF($L885="","",IF(AND($K885=1,$L885&lt;$J885,COUNTIFS(nrES_PID,$D885,nrES_Code,$F885,nrES_Att,2)=0),"Yes","No")))</f>
        <v/>
      </c>
      <c r="R885" s="15">
        <f>IF($C885="","",IF($L885="","",IF(AND($K885=2,$L885&lt;$J885,COUNTIFS(nrES_PID,$D885,nrES_Code,$F885,nrES_Att,1)&gt;0),"Yes","No")))</f>
        <v/>
      </c>
      <c r="S885" s="16" t="n"/>
      <c r="T885" s="17">
        <f>IF($Q885&lt;&gt;"Yes","",IF($S885="","(enter date)",_xlfn.LET(_xlpm.dn,IFERROR(_xlfn.XLOOKUP($S885,nrCDdate,nrCDnum),""),IF(_xlpm.dn="","(not a class day)",IFERROR(_xlfn.XLOOKUP(_xlpm.dn+cfgRetestClassDays,nrCDnum,nrCDdate),"")))))</f>
        <v/>
      </c>
      <c r="U885" s="15">
        <f>IF($Q885&lt;&gt;"Yes","",IF(COUNTIFS(nrES_PID,$D885,nrES_Code,$F885,nrES_Att,2)&gt;0,"Retested",IF(OR($T885="",NOT(ISNUMBER($T885))),"Pending",IF(TODAY()&gt;$T885,"OVERDUE","Due "&amp;TEXT($T885,"mm/dd")))))</f>
        <v/>
      </c>
      <c r="V885" s="14" t="n"/>
      <c r="W885" s="14" t="n"/>
    </row>
    <row r="886">
      <c r="B886" s="15">
        <f>IF($C886="","",$D886&amp;"-"&amp;$F886&amp;"-"&amp;$K886)</f>
        <v/>
      </c>
      <c r="C886" s="14" t="n"/>
      <c r="D886" s="15">
        <f>IF($C886="","",IFERROR(INDEX(rngCadetPIDs,MATCH($C886,rngCadetNames,0)),"?"))</f>
        <v/>
      </c>
      <c r="E886" s="15">
        <f>IF($D886="","",IFERROR(INDEX(nrCadetAgency,MATCH($D886,rngCadetPIDs,0)),""))</f>
        <v/>
      </c>
      <c r="F886" s="14" t="n"/>
      <c r="G886" s="15">
        <f>IF($F886="","",IFERROR(INDEX(rngEPname,MATCH($F886,rngEPcode,0)),"?"))</f>
        <v/>
      </c>
      <c r="H886" s="15">
        <f>IF($F886="","",IFERROR(INDEX(rngEPtype,MATCH($F886,rngEPcode,0)),"?"))</f>
        <v/>
      </c>
      <c r="I886" s="15">
        <f>IF($F886="","",IFERROR(INDEX(rngEPseq,MATCH($F886,rngEPcode,0)),""))</f>
        <v/>
      </c>
      <c r="J886" s="15">
        <f>IF($F886="","",IFERROR(INDEX(rngEPpass,MATCH($F886,rngEPcode,0)),cfgPassingScore))</f>
        <v/>
      </c>
      <c r="K886" s="14" t="n"/>
      <c r="L886" s="14" t="n"/>
      <c r="M886" s="15">
        <f>IF($C886="","",IF($L886="","",IF($K886=1,IF(COUNTIFS(nrES_PID,$D886,nrES_Code,$F886,nrES_Att,2)&gt;0,"",$L886),IF(COUNTIFS(nrES_PID,$D886,nrES_Code,$F886,nrES_Att,1)=0,$L886,IF($L886&gt;=$J886,cfgRetakeRecordedCap,SUMIFS(nrES_Raw,nrES_PID,$D886,nrES_Code,$F886,nrES_Att,1))))))</f>
        <v/>
      </c>
      <c r="N886" s="15">
        <f>IF($C886="","",IF($L886="","",IF($L886&gt;=$J886,"Yes","No")))</f>
        <v/>
      </c>
      <c r="O886" s="15">
        <f>IF($C886="","",IF($M886="","",IF($M886&gt;=$J886,"Yes","No")))</f>
        <v/>
      </c>
      <c r="P886" s="15">
        <f>IF($C886="","",IF($K886="","",IF(COUNTIFS(nrES_PID,$D886,nrES_Code,$F886,nrES_Att,"&gt;"&amp;$K886)=0,"Yes","No")))</f>
        <v/>
      </c>
      <c r="Q886" s="15">
        <f>IF($C886="","",IF($L886="","",IF(AND($K886=1,$L886&lt;$J886,COUNTIFS(nrES_PID,$D886,nrES_Code,$F886,nrES_Att,2)=0),"Yes","No")))</f>
        <v/>
      </c>
      <c r="R886" s="15">
        <f>IF($C886="","",IF($L886="","",IF(AND($K886=2,$L886&lt;$J886,COUNTIFS(nrES_PID,$D886,nrES_Code,$F886,nrES_Att,1)&gt;0),"Yes","No")))</f>
        <v/>
      </c>
      <c r="S886" s="16" t="n"/>
      <c r="T886" s="17">
        <f>IF($Q886&lt;&gt;"Yes","",IF($S886="","(enter date)",_xlfn.LET(_xlpm.dn,IFERROR(_xlfn.XLOOKUP($S886,nrCDdate,nrCDnum),""),IF(_xlpm.dn="","(not a class day)",IFERROR(_xlfn.XLOOKUP(_xlpm.dn+cfgRetestClassDays,nrCDnum,nrCDdate),"")))))</f>
        <v/>
      </c>
      <c r="U886" s="15">
        <f>IF($Q886&lt;&gt;"Yes","",IF(COUNTIFS(nrES_PID,$D886,nrES_Code,$F886,nrES_Att,2)&gt;0,"Retested",IF(OR($T886="",NOT(ISNUMBER($T886))),"Pending",IF(TODAY()&gt;$T886,"OVERDUE","Due "&amp;TEXT($T886,"mm/dd")))))</f>
        <v/>
      </c>
      <c r="V886" s="14" t="n"/>
      <c r="W886" s="14" t="n"/>
    </row>
    <row r="887">
      <c r="B887" s="15">
        <f>IF($C887="","",$D887&amp;"-"&amp;$F887&amp;"-"&amp;$K887)</f>
        <v/>
      </c>
      <c r="C887" s="14" t="n"/>
      <c r="D887" s="15">
        <f>IF($C887="","",IFERROR(INDEX(rngCadetPIDs,MATCH($C887,rngCadetNames,0)),"?"))</f>
        <v/>
      </c>
      <c r="E887" s="15">
        <f>IF($D887="","",IFERROR(INDEX(nrCadetAgency,MATCH($D887,rngCadetPIDs,0)),""))</f>
        <v/>
      </c>
      <c r="F887" s="14" t="n"/>
      <c r="G887" s="15">
        <f>IF($F887="","",IFERROR(INDEX(rngEPname,MATCH($F887,rngEPcode,0)),"?"))</f>
        <v/>
      </c>
      <c r="H887" s="15">
        <f>IF($F887="","",IFERROR(INDEX(rngEPtype,MATCH($F887,rngEPcode,0)),"?"))</f>
        <v/>
      </c>
      <c r="I887" s="15">
        <f>IF($F887="","",IFERROR(INDEX(rngEPseq,MATCH($F887,rngEPcode,0)),""))</f>
        <v/>
      </c>
      <c r="J887" s="15">
        <f>IF($F887="","",IFERROR(INDEX(rngEPpass,MATCH($F887,rngEPcode,0)),cfgPassingScore))</f>
        <v/>
      </c>
      <c r="K887" s="14" t="n"/>
      <c r="L887" s="14" t="n"/>
      <c r="M887" s="15">
        <f>IF($C887="","",IF($L887="","",IF($K887=1,IF(COUNTIFS(nrES_PID,$D887,nrES_Code,$F887,nrES_Att,2)&gt;0,"",$L887),IF(COUNTIFS(nrES_PID,$D887,nrES_Code,$F887,nrES_Att,1)=0,$L887,IF($L887&gt;=$J887,cfgRetakeRecordedCap,SUMIFS(nrES_Raw,nrES_PID,$D887,nrES_Code,$F887,nrES_Att,1))))))</f>
        <v/>
      </c>
      <c r="N887" s="15">
        <f>IF($C887="","",IF($L887="","",IF($L887&gt;=$J887,"Yes","No")))</f>
        <v/>
      </c>
      <c r="O887" s="15">
        <f>IF($C887="","",IF($M887="","",IF($M887&gt;=$J887,"Yes","No")))</f>
        <v/>
      </c>
      <c r="P887" s="15">
        <f>IF($C887="","",IF($K887="","",IF(COUNTIFS(nrES_PID,$D887,nrES_Code,$F887,nrES_Att,"&gt;"&amp;$K887)=0,"Yes","No")))</f>
        <v/>
      </c>
      <c r="Q887" s="15">
        <f>IF($C887="","",IF($L887="","",IF(AND($K887=1,$L887&lt;$J887,COUNTIFS(nrES_PID,$D887,nrES_Code,$F887,nrES_Att,2)=0),"Yes","No")))</f>
        <v/>
      </c>
      <c r="R887" s="15">
        <f>IF($C887="","",IF($L887="","",IF(AND($K887=2,$L887&lt;$J887,COUNTIFS(nrES_PID,$D887,nrES_Code,$F887,nrES_Att,1)&gt;0),"Yes","No")))</f>
        <v/>
      </c>
      <c r="S887" s="16" t="n"/>
      <c r="T887" s="17">
        <f>IF($Q887&lt;&gt;"Yes","",IF($S887="","(enter date)",_xlfn.LET(_xlpm.dn,IFERROR(_xlfn.XLOOKUP($S887,nrCDdate,nrCDnum),""),IF(_xlpm.dn="","(not a class day)",IFERROR(_xlfn.XLOOKUP(_xlpm.dn+cfgRetestClassDays,nrCDnum,nrCDdate),"")))))</f>
        <v/>
      </c>
      <c r="U887" s="15">
        <f>IF($Q887&lt;&gt;"Yes","",IF(COUNTIFS(nrES_PID,$D887,nrES_Code,$F887,nrES_Att,2)&gt;0,"Retested",IF(OR($T887="",NOT(ISNUMBER($T887))),"Pending",IF(TODAY()&gt;$T887,"OVERDUE","Due "&amp;TEXT($T887,"mm/dd")))))</f>
        <v/>
      </c>
      <c r="V887" s="14" t="n"/>
      <c r="W887" s="14" t="n"/>
    </row>
    <row r="888">
      <c r="B888" s="15">
        <f>IF($C888="","",$D888&amp;"-"&amp;$F888&amp;"-"&amp;$K888)</f>
        <v/>
      </c>
      <c r="C888" s="14" t="n"/>
      <c r="D888" s="15">
        <f>IF($C888="","",IFERROR(INDEX(rngCadetPIDs,MATCH($C888,rngCadetNames,0)),"?"))</f>
        <v/>
      </c>
      <c r="E888" s="15">
        <f>IF($D888="","",IFERROR(INDEX(nrCadetAgency,MATCH($D888,rngCadetPIDs,0)),""))</f>
        <v/>
      </c>
      <c r="F888" s="14" t="n"/>
      <c r="G888" s="15">
        <f>IF($F888="","",IFERROR(INDEX(rngEPname,MATCH($F888,rngEPcode,0)),"?"))</f>
        <v/>
      </c>
      <c r="H888" s="15">
        <f>IF($F888="","",IFERROR(INDEX(rngEPtype,MATCH($F888,rngEPcode,0)),"?"))</f>
        <v/>
      </c>
      <c r="I888" s="15">
        <f>IF($F888="","",IFERROR(INDEX(rngEPseq,MATCH($F888,rngEPcode,0)),""))</f>
        <v/>
      </c>
      <c r="J888" s="15">
        <f>IF($F888="","",IFERROR(INDEX(rngEPpass,MATCH($F888,rngEPcode,0)),cfgPassingScore))</f>
        <v/>
      </c>
      <c r="K888" s="14" t="n"/>
      <c r="L888" s="14" t="n"/>
      <c r="M888" s="15">
        <f>IF($C888="","",IF($L888="","",IF($K888=1,IF(COUNTIFS(nrES_PID,$D888,nrES_Code,$F888,nrES_Att,2)&gt;0,"",$L888),IF(COUNTIFS(nrES_PID,$D888,nrES_Code,$F888,nrES_Att,1)=0,$L888,IF($L888&gt;=$J888,cfgRetakeRecordedCap,SUMIFS(nrES_Raw,nrES_PID,$D888,nrES_Code,$F888,nrES_Att,1))))))</f>
        <v/>
      </c>
      <c r="N888" s="15">
        <f>IF($C888="","",IF($L888="","",IF($L888&gt;=$J888,"Yes","No")))</f>
        <v/>
      </c>
      <c r="O888" s="15">
        <f>IF($C888="","",IF($M888="","",IF($M888&gt;=$J888,"Yes","No")))</f>
        <v/>
      </c>
      <c r="P888" s="15">
        <f>IF($C888="","",IF($K888="","",IF(COUNTIFS(nrES_PID,$D888,nrES_Code,$F888,nrES_Att,"&gt;"&amp;$K888)=0,"Yes","No")))</f>
        <v/>
      </c>
      <c r="Q888" s="15">
        <f>IF($C888="","",IF($L888="","",IF(AND($K888=1,$L888&lt;$J888,COUNTIFS(nrES_PID,$D888,nrES_Code,$F888,nrES_Att,2)=0),"Yes","No")))</f>
        <v/>
      </c>
      <c r="R888" s="15">
        <f>IF($C888="","",IF($L888="","",IF(AND($K888=2,$L888&lt;$J888,COUNTIFS(nrES_PID,$D888,nrES_Code,$F888,nrES_Att,1)&gt;0),"Yes","No")))</f>
        <v/>
      </c>
      <c r="S888" s="16" t="n"/>
      <c r="T888" s="17">
        <f>IF($Q888&lt;&gt;"Yes","",IF($S888="","(enter date)",_xlfn.LET(_xlpm.dn,IFERROR(_xlfn.XLOOKUP($S888,nrCDdate,nrCDnum),""),IF(_xlpm.dn="","(not a class day)",IFERROR(_xlfn.XLOOKUP(_xlpm.dn+cfgRetestClassDays,nrCDnum,nrCDdate),"")))))</f>
        <v/>
      </c>
      <c r="U888" s="15">
        <f>IF($Q888&lt;&gt;"Yes","",IF(COUNTIFS(nrES_PID,$D888,nrES_Code,$F888,nrES_Att,2)&gt;0,"Retested",IF(OR($T888="",NOT(ISNUMBER($T888))),"Pending",IF(TODAY()&gt;$T888,"OVERDUE","Due "&amp;TEXT($T888,"mm/dd")))))</f>
        <v/>
      </c>
      <c r="V888" s="14" t="n"/>
      <c r="W888" s="14" t="n"/>
    </row>
    <row r="889">
      <c r="B889" s="15">
        <f>IF($C889="","",$D889&amp;"-"&amp;$F889&amp;"-"&amp;$K889)</f>
        <v/>
      </c>
      <c r="C889" s="14" t="n"/>
      <c r="D889" s="15">
        <f>IF($C889="","",IFERROR(INDEX(rngCadetPIDs,MATCH($C889,rngCadetNames,0)),"?"))</f>
        <v/>
      </c>
      <c r="E889" s="15">
        <f>IF($D889="","",IFERROR(INDEX(nrCadetAgency,MATCH($D889,rngCadetPIDs,0)),""))</f>
        <v/>
      </c>
      <c r="F889" s="14" t="n"/>
      <c r="G889" s="15">
        <f>IF($F889="","",IFERROR(INDEX(rngEPname,MATCH($F889,rngEPcode,0)),"?"))</f>
        <v/>
      </c>
      <c r="H889" s="15">
        <f>IF($F889="","",IFERROR(INDEX(rngEPtype,MATCH($F889,rngEPcode,0)),"?"))</f>
        <v/>
      </c>
      <c r="I889" s="15">
        <f>IF($F889="","",IFERROR(INDEX(rngEPseq,MATCH($F889,rngEPcode,0)),""))</f>
        <v/>
      </c>
      <c r="J889" s="15">
        <f>IF($F889="","",IFERROR(INDEX(rngEPpass,MATCH($F889,rngEPcode,0)),cfgPassingScore))</f>
        <v/>
      </c>
      <c r="K889" s="14" t="n"/>
      <c r="L889" s="14" t="n"/>
      <c r="M889" s="15">
        <f>IF($C889="","",IF($L889="","",IF($K889=1,IF(COUNTIFS(nrES_PID,$D889,nrES_Code,$F889,nrES_Att,2)&gt;0,"",$L889),IF(COUNTIFS(nrES_PID,$D889,nrES_Code,$F889,nrES_Att,1)=0,$L889,IF($L889&gt;=$J889,cfgRetakeRecordedCap,SUMIFS(nrES_Raw,nrES_PID,$D889,nrES_Code,$F889,nrES_Att,1))))))</f>
        <v/>
      </c>
      <c r="N889" s="15">
        <f>IF($C889="","",IF($L889="","",IF($L889&gt;=$J889,"Yes","No")))</f>
        <v/>
      </c>
      <c r="O889" s="15">
        <f>IF($C889="","",IF($M889="","",IF($M889&gt;=$J889,"Yes","No")))</f>
        <v/>
      </c>
      <c r="P889" s="15">
        <f>IF($C889="","",IF($K889="","",IF(COUNTIFS(nrES_PID,$D889,nrES_Code,$F889,nrES_Att,"&gt;"&amp;$K889)=0,"Yes","No")))</f>
        <v/>
      </c>
      <c r="Q889" s="15">
        <f>IF($C889="","",IF($L889="","",IF(AND($K889=1,$L889&lt;$J889,COUNTIFS(nrES_PID,$D889,nrES_Code,$F889,nrES_Att,2)=0),"Yes","No")))</f>
        <v/>
      </c>
      <c r="R889" s="15">
        <f>IF($C889="","",IF($L889="","",IF(AND($K889=2,$L889&lt;$J889,COUNTIFS(nrES_PID,$D889,nrES_Code,$F889,nrES_Att,1)&gt;0),"Yes","No")))</f>
        <v/>
      </c>
      <c r="S889" s="16" t="n"/>
      <c r="T889" s="17">
        <f>IF($Q889&lt;&gt;"Yes","",IF($S889="","(enter date)",_xlfn.LET(_xlpm.dn,IFERROR(_xlfn.XLOOKUP($S889,nrCDdate,nrCDnum),""),IF(_xlpm.dn="","(not a class day)",IFERROR(_xlfn.XLOOKUP(_xlpm.dn+cfgRetestClassDays,nrCDnum,nrCDdate),"")))))</f>
        <v/>
      </c>
      <c r="U889" s="15">
        <f>IF($Q889&lt;&gt;"Yes","",IF(COUNTIFS(nrES_PID,$D889,nrES_Code,$F889,nrES_Att,2)&gt;0,"Retested",IF(OR($T889="",NOT(ISNUMBER($T889))),"Pending",IF(TODAY()&gt;$T889,"OVERDUE","Due "&amp;TEXT($T889,"mm/dd")))))</f>
        <v/>
      </c>
      <c r="V889" s="14" t="n"/>
      <c r="W889" s="14" t="n"/>
    </row>
    <row r="890">
      <c r="B890" s="15">
        <f>IF($C890="","",$D890&amp;"-"&amp;$F890&amp;"-"&amp;$K890)</f>
        <v/>
      </c>
      <c r="C890" s="14" t="n"/>
      <c r="D890" s="15">
        <f>IF($C890="","",IFERROR(INDEX(rngCadetPIDs,MATCH($C890,rngCadetNames,0)),"?"))</f>
        <v/>
      </c>
      <c r="E890" s="15">
        <f>IF($D890="","",IFERROR(INDEX(nrCadetAgency,MATCH($D890,rngCadetPIDs,0)),""))</f>
        <v/>
      </c>
      <c r="F890" s="14" t="n"/>
      <c r="G890" s="15">
        <f>IF($F890="","",IFERROR(INDEX(rngEPname,MATCH($F890,rngEPcode,0)),"?"))</f>
        <v/>
      </c>
      <c r="H890" s="15">
        <f>IF($F890="","",IFERROR(INDEX(rngEPtype,MATCH($F890,rngEPcode,0)),"?"))</f>
        <v/>
      </c>
      <c r="I890" s="15">
        <f>IF($F890="","",IFERROR(INDEX(rngEPseq,MATCH($F890,rngEPcode,0)),""))</f>
        <v/>
      </c>
      <c r="J890" s="15">
        <f>IF($F890="","",IFERROR(INDEX(rngEPpass,MATCH($F890,rngEPcode,0)),cfgPassingScore))</f>
        <v/>
      </c>
      <c r="K890" s="14" t="n"/>
      <c r="L890" s="14" t="n"/>
      <c r="M890" s="15">
        <f>IF($C890="","",IF($L890="","",IF($K890=1,IF(COUNTIFS(nrES_PID,$D890,nrES_Code,$F890,nrES_Att,2)&gt;0,"",$L890),IF(COUNTIFS(nrES_PID,$D890,nrES_Code,$F890,nrES_Att,1)=0,$L890,IF($L890&gt;=$J890,cfgRetakeRecordedCap,SUMIFS(nrES_Raw,nrES_PID,$D890,nrES_Code,$F890,nrES_Att,1))))))</f>
        <v/>
      </c>
      <c r="N890" s="15">
        <f>IF($C890="","",IF($L890="","",IF($L890&gt;=$J890,"Yes","No")))</f>
        <v/>
      </c>
      <c r="O890" s="15">
        <f>IF($C890="","",IF($M890="","",IF($M890&gt;=$J890,"Yes","No")))</f>
        <v/>
      </c>
      <c r="P890" s="15">
        <f>IF($C890="","",IF($K890="","",IF(COUNTIFS(nrES_PID,$D890,nrES_Code,$F890,nrES_Att,"&gt;"&amp;$K890)=0,"Yes","No")))</f>
        <v/>
      </c>
      <c r="Q890" s="15">
        <f>IF($C890="","",IF($L890="","",IF(AND($K890=1,$L890&lt;$J890,COUNTIFS(nrES_PID,$D890,nrES_Code,$F890,nrES_Att,2)=0),"Yes","No")))</f>
        <v/>
      </c>
      <c r="R890" s="15">
        <f>IF($C890="","",IF($L890="","",IF(AND($K890=2,$L890&lt;$J890,COUNTIFS(nrES_PID,$D890,nrES_Code,$F890,nrES_Att,1)&gt;0),"Yes","No")))</f>
        <v/>
      </c>
      <c r="S890" s="16" t="n"/>
      <c r="T890" s="17">
        <f>IF($Q890&lt;&gt;"Yes","",IF($S890="","(enter date)",_xlfn.LET(_xlpm.dn,IFERROR(_xlfn.XLOOKUP($S890,nrCDdate,nrCDnum),""),IF(_xlpm.dn="","(not a class day)",IFERROR(_xlfn.XLOOKUP(_xlpm.dn+cfgRetestClassDays,nrCDnum,nrCDdate),"")))))</f>
        <v/>
      </c>
      <c r="U890" s="15">
        <f>IF($Q890&lt;&gt;"Yes","",IF(COUNTIFS(nrES_PID,$D890,nrES_Code,$F890,nrES_Att,2)&gt;0,"Retested",IF(OR($T890="",NOT(ISNUMBER($T890))),"Pending",IF(TODAY()&gt;$T890,"OVERDUE","Due "&amp;TEXT($T890,"mm/dd")))))</f>
        <v/>
      </c>
      <c r="V890" s="14" t="n"/>
      <c r="W890" s="14" t="n"/>
    </row>
    <row r="891">
      <c r="B891" s="15">
        <f>IF($C891="","",$D891&amp;"-"&amp;$F891&amp;"-"&amp;$K891)</f>
        <v/>
      </c>
      <c r="C891" s="14" t="n"/>
      <c r="D891" s="15">
        <f>IF($C891="","",IFERROR(INDEX(rngCadetPIDs,MATCH($C891,rngCadetNames,0)),"?"))</f>
        <v/>
      </c>
      <c r="E891" s="15">
        <f>IF($D891="","",IFERROR(INDEX(nrCadetAgency,MATCH($D891,rngCadetPIDs,0)),""))</f>
        <v/>
      </c>
      <c r="F891" s="14" t="n"/>
      <c r="G891" s="15">
        <f>IF($F891="","",IFERROR(INDEX(rngEPname,MATCH($F891,rngEPcode,0)),"?"))</f>
        <v/>
      </c>
      <c r="H891" s="15">
        <f>IF($F891="","",IFERROR(INDEX(rngEPtype,MATCH($F891,rngEPcode,0)),"?"))</f>
        <v/>
      </c>
      <c r="I891" s="15">
        <f>IF($F891="","",IFERROR(INDEX(rngEPseq,MATCH($F891,rngEPcode,0)),""))</f>
        <v/>
      </c>
      <c r="J891" s="15">
        <f>IF($F891="","",IFERROR(INDEX(rngEPpass,MATCH($F891,rngEPcode,0)),cfgPassingScore))</f>
        <v/>
      </c>
      <c r="K891" s="14" t="n"/>
      <c r="L891" s="14" t="n"/>
      <c r="M891" s="15">
        <f>IF($C891="","",IF($L891="","",IF($K891=1,IF(COUNTIFS(nrES_PID,$D891,nrES_Code,$F891,nrES_Att,2)&gt;0,"",$L891),IF(COUNTIFS(nrES_PID,$D891,nrES_Code,$F891,nrES_Att,1)=0,$L891,IF($L891&gt;=$J891,cfgRetakeRecordedCap,SUMIFS(nrES_Raw,nrES_PID,$D891,nrES_Code,$F891,nrES_Att,1))))))</f>
        <v/>
      </c>
      <c r="N891" s="15">
        <f>IF($C891="","",IF($L891="","",IF($L891&gt;=$J891,"Yes","No")))</f>
        <v/>
      </c>
      <c r="O891" s="15">
        <f>IF($C891="","",IF($M891="","",IF($M891&gt;=$J891,"Yes","No")))</f>
        <v/>
      </c>
      <c r="P891" s="15">
        <f>IF($C891="","",IF($K891="","",IF(COUNTIFS(nrES_PID,$D891,nrES_Code,$F891,nrES_Att,"&gt;"&amp;$K891)=0,"Yes","No")))</f>
        <v/>
      </c>
      <c r="Q891" s="15">
        <f>IF($C891="","",IF($L891="","",IF(AND($K891=1,$L891&lt;$J891,COUNTIFS(nrES_PID,$D891,nrES_Code,$F891,nrES_Att,2)=0),"Yes","No")))</f>
        <v/>
      </c>
      <c r="R891" s="15">
        <f>IF($C891="","",IF($L891="","",IF(AND($K891=2,$L891&lt;$J891,COUNTIFS(nrES_PID,$D891,nrES_Code,$F891,nrES_Att,1)&gt;0),"Yes","No")))</f>
        <v/>
      </c>
      <c r="S891" s="16" t="n"/>
      <c r="T891" s="17">
        <f>IF($Q891&lt;&gt;"Yes","",IF($S891="","(enter date)",_xlfn.LET(_xlpm.dn,IFERROR(_xlfn.XLOOKUP($S891,nrCDdate,nrCDnum),""),IF(_xlpm.dn="","(not a class day)",IFERROR(_xlfn.XLOOKUP(_xlpm.dn+cfgRetestClassDays,nrCDnum,nrCDdate),"")))))</f>
        <v/>
      </c>
      <c r="U891" s="15">
        <f>IF($Q891&lt;&gt;"Yes","",IF(COUNTIFS(nrES_PID,$D891,nrES_Code,$F891,nrES_Att,2)&gt;0,"Retested",IF(OR($T891="",NOT(ISNUMBER($T891))),"Pending",IF(TODAY()&gt;$T891,"OVERDUE","Due "&amp;TEXT($T891,"mm/dd")))))</f>
        <v/>
      </c>
      <c r="V891" s="14" t="n"/>
      <c r="W891" s="14" t="n"/>
    </row>
    <row r="892">
      <c r="B892" s="15">
        <f>IF($C892="","",$D892&amp;"-"&amp;$F892&amp;"-"&amp;$K892)</f>
        <v/>
      </c>
      <c r="C892" s="14" t="n"/>
      <c r="D892" s="15">
        <f>IF($C892="","",IFERROR(INDEX(rngCadetPIDs,MATCH($C892,rngCadetNames,0)),"?"))</f>
        <v/>
      </c>
      <c r="E892" s="15">
        <f>IF($D892="","",IFERROR(INDEX(nrCadetAgency,MATCH($D892,rngCadetPIDs,0)),""))</f>
        <v/>
      </c>
      <c r="F892" s="14" t="n"/>
      <c r="G892" s="15">
        <f>IF($F892="","",IFERROR(INDEX(rngEPname,MATCH($F892,rngEPcode,0)),"?"))</f>
        <v/>
      </c>
      <c r="H892" s="15">
        <f>IF($F892="","",IFERROR(INDEX(rngEPtype,MATCH($F892,rngEPcode,0)),"?"))</f>
        <v/>
      </c>
      <c r="I892" s="15">
        <f>IF($F892="","",IFERROR(INDEX(rngEPseq,MATCH($F892,rngEPcode,0)),""))</f>
        <v/>
      </c>
      <c r="J892" s="15">
        <f>IF($F892="","",IFERROR(INDEX(rngEPpass,MATCH($F892,rngEPcode,0)),cfgPassingScore))</f>
        <v/>
      </c>
      <c r="K892" s="14" t="n"/>
      <c r="L892" s="14" t="n"/>
      <c r="M892" s="15">
        <f>IF($C892="","",IF($L892="","",IF($K892=1,IF(COUNTIFS(nrES_PID,$D892,nrES_Code,$F892,nrES_Att,2)&gt;0,"",$L892),IF(COUNTIFS(nrES_PID,$D892,nrES_Code,$F892,nrES_Att,1)=0,$L892,IF($L892&gt;=$J892,cfgRetakeRecordedCap,SUMIFS(nrES_Raw,nrES_PID,$D892,nrES_Code,$F892,nrES_Att,1))))))</f>
        <v/>
      </c>
      <c r="N892" s="15">
        <f>IF($C892="","",IF($L892="","",IF($L892&gt;=$J892,"Yes","No")))</f>
        <v/>
      </c>
      <c r="O892" s="15">
        <f>IF($C892="","",IF($M892="","",IF($M892&gt;=$J892,"Yes","No")))</f>
        <v/>
      </c>
      <c r="P892" s="15">
        <f>IF($C892="","",IF($K892="","",IF(COUNTIFS(nrES_PID,$D892,nrES_Code,$F892,nrES_Att,"&gt;"&amp;$K892)=0,"Yes","No")))</f>
        <v/>
      </c>
      <c r="Q892" s="15">
        <f>IF($C892="","",IF($L892="","",IF(AND($K892=1,$L892&lt;$J892,COUNTIFS(nrES_PID,$D892,nrES_Code,$F892,nrES_Att,2)=0),"Yes","No")))</f>
        <v/>
      </c>
      <c r="R892" s="15">
        <f>IF($C892="","",IF($L892="","",IF(AND($K892=2,$L892&lt;$J892,COUNTIFS(nrES_PID,$D892,nrES_Code,$F892,nrES_Att,1)&gt;0),"Yes","No")))</f>
        <v/>
      </c>
      <c r="S892" s="16" t="n"/>
      <c r="T892" s="17">
        <f>IF($Q892&lt;&gt;"Yes","",IF($S892="","(enter date)",_xlfn.LET(_xlpm.dn,IFERROR(_xlfn.XLOOKUP($S892,nrCDdate,nrCDnum),""),IF(_xlpm.dn="","(not a class day)",IFERROR(_xlfn.XLOOKUP(_xlpm.dn+cfgRetestClassDays,nrCDnum,nrCDdate),"")))))</f>
        <v/>
      </c>
      <c r="U892" s="15">
        <f>IF($Q892&lt;&gt;"Yes","",IF(COUNTIFS(nrES_PID,$D892,nrES_Code,$F892,nrES_Att,2)&gt;0,"Retested",IF(OR($T892="",NOT(ISNUMBER($T892))),"Pending",IF(TODAY()&gt;$T892,"OVERDUE","Due "&amp;TEXT($T892,"mm/dd")))))</f>
        <v/>
      </c>
      <c r="V892" s="14" t="n"/>
      <c r="W892" s="14" t="n"/>
    </row>
    <row r="893">
      <c r="B893" s="15">
        <f>IF($C893="","",$D893&amp;"-"&amp;$F893&amp;"-"&amp;$K893)</f>
        <v/>
      </c>
      <c r="C893" s="14" t="n"/>
      <c r="D893" s="15">
        <f>IF($C893="","",IFERROR(INDEX(rngCadetPIDs,MATCH($C893,rngCadetNames,0)),"?"))</f>
        <v/>
      </c>
      <c r="E893" s="15">
        <f>IF($D893="","",IFERROR(INDEX(nrCadetAgency,MATCH($D893,rngCadetPIDs,0)),""))</f>
        <v/>
      </c>
      <c r="F893" s="14" t="n"/>
      <c r="G893" s="15">
        <f>IF($F893="","",IFERROR(INDEX(rngEPname,MATCH($F893,rngEPcode,0)),"?"))</f>
        <v/>
      </c>
      <c r="H893" s="15">
        <f>IF($F893="","",IFERROR(INDEX(rngEPtype,MATCH($F893,rngEPcode,0)),"?"))</f>
        <v/>
      </c>
      <c r="I893" s="15">
        <f>IF($F893="","",IFERROR(INDEX(rngEPseq,MATCH($F893,rngEPcode,0)),""))</f>
        <v/>
      </c>
      <c r="J893" s="15">
        <f>IF($F893="","",IFERROR(INDEX(rngEPpass,MATCH($F893,rngEPcode,0)),cfgPassingScore))</f>
        <v/>
      </c>
      <c r="K893" s="14" t="n"/>
      <c r="L893" s="14" t="n"/>
      <c r="M893" s="15">
        <f>IF($C893="","",IF($L893="","",IF($K893=1,IF(COUNTIFS(nrES_PID,$D893,nrES_Code,$F893,nrES_Att,2)&gt;0,"",$L893),IF(COUNTIFS(nrES_PID,$D893,nrES_Code,$F893,nrES_Att,1)=0,$L893,IF($L893&gt;=$J893,cfgRetakeRecordedCap,SUMIFS(nrES_Raw,nrES_PID,$D893,nrES_Code,$F893,nrES_Att,1))))))</f>
        <v/>
      </c>
      <c r="N893" s="15">
        <f>IF($C893="","",IF($L893="","",IF($L893&gt;=$J893,"Yes","No")))</f>
        <v/>
      </c>
      <c r="O893" s="15">
        <f>IF($C893="","",IF($M893="","",IF($M893&gt;=$J893,"Yes","No")))</f>
        <v/>
      </c>
      <c r="P893" s="15">
        <f>IF($C893="","",IF($K893="","",IF(COUNTIFS(nrES_PID,$D893,nrES_Code,$F893,nrES_Att,"&gt;"&amp;$K893)=0,"Yes","No")))</f>
        <v/>
      </c>
      <c r="Q893" s="15">
        <f>IF($C893="","",IF($L893="","",IF(AND($K893=1,$L893&lt;$J893,COUNTIFS(nrES_PID,$D893,nrES_Code,$F893,nrES_Att,2)=0),"Yes","No")))</f>
        <v/>
      </c>
      <c r="R893" s="15">
        <f>IF($C893="","",IF($L893="","",IF(AND($K893=2,$L893&lt;$J893,COUNTIFS(nrES_PID,$D893,nrES_Code,$F893,nrES_Att,1)&gt;0),"Yes","No")))</f>
        <v/>
      </c>
      <c r="S893" s="16" t="n"/>
      <c r="T893" s="17">
        <f>IF($Q893&lt;&gt;"Yes","",IF($S893="","(enter date)",_xlfn.LET(_xlpm.dn,IFERROR(_xlfn.XLOOKUP($S893,nrCDdate,nrCDnum),""),IF(_xlpm.dn="","(not a class day)",IFERROR(_xlfn.XLOOKUP(_xlpm.dn+cfgRetestClassDays,nrCDnum,nrCDdate),"")))))</f>
        <v/>
      </c>
      <c r="U893" s="15">
        <f>IF($Q893&lt;&gt;"Yes","",IF(COUNTIFS(nrES_PID,$D893,nrES_Code,$F893,nrES_Att,2)&gt;0,"Retested",IF(OR($T893="",NOT(ISNUMBER($T893))),"Pending",IF(TODAY()&gt;$T893,"OVERDUE","Due "&amp;TEXT($T893,"mm/dd")))))</f>
        <v/>
      </c>
      <c r="V893" s="14" t="n"/>
      <c r="W893" s="14" t="n"/>
    </row>
    <row r="894">
      <c r="B894" s="15">
        <f>IF($C894="","",$D894&amp;"-"&amp;$F894&amp;"-"&amp;$K894)</f>
        <v/>
      </c>
      <c r="C894" s="14" t="n"/>
      <c r="D894" s="15">
        <f>IF($C894="","",IFERROR(INDEX(rngCadetPIDs,MATCH($C894,rngCadetNames,0)),"?"))</f>
        <v/>
      </c>
      <c r="E894" s="15">
        <f>IF($D894="","",IFERROR(INDEX(nrCadetAgency,MATCH($D894,rngCadetPIDs,0)),""))</f>
        <v/>
      </c>
      <c r="F894" s="14" t="n"/>
      <c r="G894" s="15">
        <f>IF($F894="","",IFERROR(INDEX(rngEPname,MATCH($F894,rngEPcode,0)),"?"))</f>
        <v/>
      </c>
      <c r="H894" s="15">
        <f>IF($F894="","",IFERROR(INDEX(rngEPtype,MATCH($F894,rngEPcode,0)),"?"))</f>
        <v/>
      </c>
      <c r="I894" s="15">
        <f>IF($F894="","",IFERROR(INDEX(rngEPseq,MATCH($F894,rngEPcode,0)),""))</f>
        <v/>
      </c>
      <c r="J894" s="15">
        <f>IF($F894="","",IFERROR(INDEX(rngEPpass,MATCH($F894,rngEPcode,0)),cfgPassingScore))</f>
        <v/>
      </c>
      <c r="K894" s="14" t="n"/>
      <c r="L894" s="14" t="n"/>
      <c r="M894" s="15">
        <f>IF($C894="","",IF($L894="","",IF($K894=1,IF(COUNTIFS(nrES_PID,$D894,nrES_Code,$F894,nrES_Att,2)&gt;0,"",$L894),IF(COUNTIFS(nrES_PID,$D894,nrES_Code,$F894,nrES_Att,1)=0,$L894,IF($L894&gt;=$J894,cfgRetakeRecordedCap,SUMIFS(nrES_Raw,nrES_PID,$D894,nrES_Code,$F894,nrES_Att,1))))))</f>
        <v/>
      </c>
      <c r="N894" s="15">
        <f>IF($C894="","",IF($L894="","",IF($L894&gt;=$J894,"Yes","No")))</f>
        <v/>
      </c>
      <c r="O894" s="15">
        <f>IF($C894="","",IF($M894="","",IF($M894&gt;=$J894,"Yes","No")))</f>
        <v/>
      </c>
      <c r="P894" s="15">
        <f>IF($C894="","",IF($K894="","",IF(COUNTIFS(nrES_PID,$D894,nrES_Code,$F894,nrES_Att,"&gt;"&amp;$K894)=0,"Yes","No")))</f>
        <v/>
      </c>
      <c r="Q894" s="15">
        <f>IF($C894="","",IF($L894="","",IF(AND($K894=1,$L894&lt;$J894,COUNTIFS(nrES_PID,$D894,nrES_Code,$F894,nrES_Att,2)=0),"Yes","No")))</f>
        <v/>
      </c>
      <c r="R894" s="15">
        <f>IF($C894="","",IF($L894="","",IF(AND($K894=2,$L894&lt;$J894,COUNTIFS(nrES_PID,$D894,nrES_Code,$F894,nrES_Att,1)&gt;0),"Yes","No")))</f>
        <v/>
      </c>
      <c r="S894" s="16" t="n"/>
      <c r="T894" s="17">
        <f>IF($Q894&lt;&gt;"Yes","",IF($S894="","(enter date)",_xlfn.LET(_xlpm.dn,IFERROR(_xlfn.XLOOKUP($S894,nrCDdate,nrCDnum),""),IF(_xlpm.dn="","(not a class day)",IFERROR(_xlfn.XLOOKUP(_xlpm.dn+cfgRetestClassDays,nrCDnum,nrCDdate),"")))))</f>
        <v/>
      </c>
      <c r="U894" s="15">
        <f>IF($Q894&lt;&gt;"Yes","",IF(COUNTIFS(nrES_PID,$D894,nrES_Code,$F894,nrES_Att,2)&gt;0,"Retested",IF(OR($T894="",NOT(ISNUMBER($T894))),"Pending",IF(TODAY()&gt;$T894,"OVERDUE","Due "&amp;TEXT($T894,"mm/dd")))))</f>
        <v/>
      </c>
      <c r="V894" s="14" t="n"/>
      <c r="W894" s="14" t="n"/>
    </row>
    <row r="895">
      <c r="B895" s="15">
        <f>IF($C895="","",$D895&amp;"-"&amp;$F895&amp;"-"&amp;$K895)</f>
        <v/>
      </c>
      <c r="C895" s="14" t="n"/>
      <c r="D895" s="15">
        <f>IF($C895="","",IFERROR(INDEX(rngCadetPIDs,MATCH($C895,rngCadetNames,0)),"?"))</f>
        <v/>
      </c>
      <c r="E895" s="15">
        <f>IF($D895="","",IFERROR(INDEX(nrCadetAgency,MATCH($D895,rngCadetPIDs,0)),""))</f>
        <v/>
      </c>
      <c r="F895" s="14" t="n"/>
      <c r="G895" s="15">
        <f>IF($F895="","",IFERROR(INDEX(rngEPname,MATCH($F895,rngEPcode,0)),"?"))</f>
        <v/>
      </c>
      <c r="H895" s="15">
        <f>IF($F895="","",IFERROR(INDEX(rngEPtype,MATCH($F895,rngEPcode,0)),"?"))</f>
        <v/>
      </c>
      <c r="I895" s="15">
        <f>IF($F895="","",IFERROR(INDEX(rngEPseq,MATCH($F895,rngEPcode,0)),""))</f>
        <v/>
      </c>
      <c r="J895" s="15">
        <f>IF($F895="","",IFERROR(INDEX(rngEPpass,MATCH($F895,rngEPcode,0)),cfgPassingScore))</f>
        <v/>
      </c>
      <c r="K895" s="14" t="n"/>
      <c r="L895" s="14" t="n"/>
      <c r="M895" s="15">
        <f>IF($C895="","",IF($L895="","",IF($K895=1,IF(COUNTIFS(nrES_PID,$D895,nrES_Code,$F895,nrES_Att,2)&gt;0,"",$L895),IF(COUNTIFS(nrES_PID,$D895,nrES_Code,$F895,nrES_Att,1)=0,$L895,IF($L895&gt;=$J895,cfgRetakeRecordedCap,SUMIFS(nrES_Raw,nrES_PID,$D895,nrES_Code,$F895,nrES_Att,1))))))</f>
        <v/>
      </c>
      <c r="N895" s="15">
        <f>IF($C895="","",IF($L895="","",IF($L895&gt;=$J895,"Yes","No")))</f>
        <v/>
      </c>
      <c r="O895" s="15">
        <f>IF($C895="","",IF($M895="","",IF($M895&gt;=$J895,"Yes","No")))</f>
        <v/>
      </c>
      <c r="P895" s="15">
        <f>IF($C895="","",IF($K895="","",IF(COUNTIFS(nrES_PID,$D895,nrES_Code,$F895,nrES_Att,"&gt;"&amp;$K895)=0,"Yes","No")))</f>
        <v/>
      </c>
      <c r="Q895" s="15">
        <f>IF($C895="","",IF($L895="","",IF(AND($K895=1,$L895&lt;$J895,COUNTIFS(nrES_PID,$D895,nrES_Code,$F895,nrES_Att,2)=0),"Yes","No")))</f>
        <v/>
      </c>
      <c r="R895" s="15">
        <f>IF($C895="","",IF($L895="","",IF(AND($K895=2,$L895&lt;$J895,COUNTIFS(nrES_PID,$D895,nrES_Code,$F895,nrES_Att,1)&gt;0),"Yes","No")))</f>
        <v/>
      </c>
      <c r="S895" s="16" t="n"/>
      <c r="T895" s="17">
        <f>IF($Q895&lt;&gt;"Yes","",IF($S895="","(enter date)",_xlfn.LET(_xlpm.dn,IFERROR(_xlfn.XLOOKUP($S895,nrCDdate,nrCDnum),""),IF(_xlpm.dn="","(not a class day)",IFERROR(_xlfn.XLOOKUP(_xlpm.dn+cfgRetestClassDays,nrCDnum,nrCDdate),"")))))</f>
        <v/>
      </c>
      <c r="U895" s="15">
        <f>IF($Q895&lt;&gt;"Yes","",IF(COUNTIFS(nrES_PID,$D895,nrES_Code,$F895,nrES_Att,2)&gt;0,"Retested",IF(OR($T895="",NOT(ISNUMBER($T895))),"Pending",IF(TODAY()&gt;$T895,"OVERDUE","Due "&amp;TEXT($T895,"mm/dd")))))</f>
        <v/>
      </c>
      <c r="V895" s="14" t="n"/>
      <c r="W895" s="14" t="n"/>
    </row>
    <row r="896">
      <c r="B896" s="15">
        <f>IF($C896="","",$D896&amp;"-"&amp;$F896&amp;"-"&amp;$K896)</f>
        <v/>
      </c>
      <c r="C896" s="14" t="n"/>
      <c r="D896" s="15">
        <f>IF($C896="","",IFERROR(INDEX(rngCadetPIDs,MATCH($C896,rngCadetNames,0)),"?"))</f>
        <v/>
      </c>
      <c r="E896" s="15">
        <f>IF($D896="","",IFERROR(INDEX(nrCadetAgency,MATCH($D896,rngCadetPIDs,0)),""))</f>
        <v/>
      </c>
      <c r="F896" s="14" t="n"/>
      <c r="G896" s="15">
        <f>IF($F896="","",IFERROR(INDEX(rngEPname,MATCH($F896,rngEPcode,0)),"?"))</f>
        <v/>
      </c>
      <c r="H896" s="15">
        <f>IF($F896="","",IFERROR(INDEX(rngEPtype,MATCH($F896,rngEPcode,0)),"?"))</f>
        <v/>
      </c>
      <c r="I896" s="15">
        <f>IF($F896="","",IFERROR(INDEX(rngEPseq,MATCH($F896,rngEPcode,0)),""))</f>
        <v/>
      </c>
      <c r="J896" s="15">
        <f>IF($F896="","",IFERROR(INDEX(rngEPpass,MATCH($F896,rngEPcode,0)),cfgPassingScore))</f>
        <v/>
      </c>
      <c r="K896" s="14" t="n"/>
      <c r="L896" s="14" t="n"/>
      <c r="M896" s="15">
        <f>IF($C896="","",IF($L896="","",IF($K896=1,IF(COUNTIFS(nrES_PID,$D896,nrES_Code,$F896,nrES_Att,2)&gt;0,"",$L896),IF(COUNTIFS(nrES_PID,$D896,nrES_Code,$F896,nrES_Att,1)=0,$L896,IF($L896&gt;=$J896,cfgRetakeRecordedCap,SUMIFS(nrES_Raw,nrES_PID,$D896,nrES_Code,$F896,nrES_Att,1))))))</f>
        <v/>
      </c>
      <c r="N896" s="15">
        <f>IF($C896="","",IF($L896="","",IF($L896&gt;=$J896,"Yes","No")))</f>
        <v/>
      </c>
      <c r="O896" s="15">
        <f>IF($C896="","",IF($M896="","",IF($M896&gt;=$J896,"Yes","No")))</f>
        <v/>
      </c>
      <c r="P896" s="15">
        <f>IF($C896="","",IF($K896="","",IF(COUNTIFS(nrES_PID,$D896,nrES_Code,$F896,nrES_Att,"&gt;"&amp;$K896)=0,"Yes","No")))</f>
        <v/>
      </c>
      <c r="Q896" s="15">
        <f>IF($C896="","",IF($L896="","",IF(AND($K896=1,$L896&lt;$J896,COUNTIFS(nrES_PID,$D896,nrES_Code,$F896,nrES_Att,2)=0),"Yes","No")))</f>
        <v/>
      </c>
      <c r="R896" s="15">
        <f>IF($C896="","",IF($L896="","",IF(AND($K896=2,$L896&lt;$J896,COUNTIFS(nrES_PID,$D896,nrES_Code,$F896,nrES_Att,1)&gt;0),"Yes","No")))</f>
        <v/>
      </c>
      <c r="S896" s="16" t="n"/>
      <c r="T896" s="17">
        <f>IF($Q896&lt;&gt;"Yes","",IF($S896="","(enter date)",_xlfn.LET(_xlpm.dn,IFERROR(_xlfn.XLOOKUP($S896,nrCDdate,nrCDnum),""),IF(_xlpm.dn="","(not a class day)",IFERROR(_xlfn.XLOOKUP(_xlpm.dn+cfgRetestClassDays,nrCDnum,nrCDdate),"")))))</f>
        <v/>
      </c>
      <c r="U896" s="15">
        <f>IF($Q896&lt;&gt;"Yes","",IF(COUNTIFS(nrES_PID,$D896,nrES_Code,$F896,nrES_Att,2)&gt;0,"Retested",IF(OR($T896="",NOT(ISNUMBER($T896))),"Pending",IF(TODAY()&gt;$T896,"OVERDUE","Due "&amp;TEXT($T896,"mm/dd")))))</f>
        <v/>
      </c>
      <c r="V896" s="14" t="n"/>
      <c r="W896" s="14" t="n"/>
    </row>
    <row r="897">
      <c r="B897" s="15">
        <f>IF($C897="","",$D897&amp;"-"&amp;$F897&amp;"-"&amp;$K897)</f>
        <v/>
      </c>
      <c r="C897" s="14" t="n"/>
      <c r="D897" s="15">
        <f>IF($C897="","",IFERROR(INDEX(rngCadetPIDs,MATCH($C897,rngCadetNames,0)),"?"))</f>
        <v/>
      </c>
      <c r="E897" s="15">
        <f>IF($D897="","",IFERROR(INDEX(nrCadetAgency,MATCH($D897,rngCadetPIDs,0)),""))</f>
        <v/>
      </c>
      <c r="F897" s="14" t="n"/>
      <c r="G897" s="15">
        <f>IF($F897="","",IFERROR(INDEX(rngEPname,MATCH($F897,rngEPcode,0)),"?"))</f>
        <v/>
      </c>
      <c r="H897" s="15">
        <f>IF($F897="","",IFERROR(INDEX(rngEPtype,MATCH($F897,rngEPcode,0)),"?"))</f>
        <v/>
      </c>
      <c r="I897" s="15">
        <f>IF($F897="","",IFERROR(INDEX(rngEPseq,MATCH($F897,rngEPcode,0)),""))</f>
        <v/>
      </c>
      <c r="J897" s="15">
        <f>IF($F897="","",IFERROR(INDEX(rngEPpass,MATCH($F897,rngEPcode,0)),cfgPassingScore))</f>
        <v/>
      </c>
      <c r="K897" s="14" t="n"/>
      <c r="L897" s="14" t="n"/>
      <c r="M897" s="15">
        <f>IF($C897="","",IF($L897="","",IF($K897=1,IF(COUNTIFS(nrES_PID,$D897,nrES_Code,$F897,nrES_Att,2)&gt;0,"",$L897),IF(COUNTIFS(nrES_PID,$D897,nrES_Code,$F897,nrES_Att,1)=0,$L897,IF($L897&gt;=$J897,cfgRetakeRecordedCap,SUMIFS(nrES_Raw,nrES_PID,$D897,nrES_Code,$F897,nrES_Att,1))))))</f>
        <v/>
      </c>
      <c r="N897" s="15">
        <f>IF($C897="","",IF($L897="","",IF($L897&gt;=$J897,"Yes","No")))</f>
        <v/>
      </c>
      <c r="O897" s="15">
        <f>IF($C897="","",IF($M897="","",IF($M897&gt;=$J897,"Yes","No")))</f>
        <v/>
      </c>
      <c r="P897" s="15">
        <f>IF($C897="","",IF($K897="","",IF(COUNTIFS(nrES_PID,$D897,nrES_Code,$F897,nrES_Att,"&gt;"&amp;$K897)=0,"Yes","No")))</f>
        <v/>
      </c>
      <c r="Q897" s="15">
        <f>IF($C897="","",IF($L897="","",IF(AND($K897=1,$L897&lt;$J897,COUNTIFS(nrES_PID,$D897,nrES_Code,$F897,nrES_Att,2)=0),"Yes","No")))</f>
        <v/>
      </c>
      <c r="R897" s="15">
        <f>IF($C897="","",IF($L897="","",IF(AND($K897=2,$L897&lt;$J897,COUNTIFS(nrES_PID,$D897,nrES_Code,$F897,nrES_Att,1)&gt;0),"Yes","No")))</f>
        <v/>
      </c>
      <c r="S897" s="16" t="n"/>
      <c r="T897" s="17">
        <f>IF($Q897&lt;&gt;"Yes","",IF($S897="","(enter date)",_xlfn.LET(_xlpm.dn,IFERROR(_xlfn.XLOOKUP($S897,nrCDdate,nrCDnum),""),IF(_xlpm.dn="","(not a class day)",IFERROR(_xlfn.XLOOKUP(_xlpm.dn+cfgRetestClassDays,nrCDnum,nrCDdate),"")))))</f>
        <v/>
      </c>
      <c r="U897" s="15">
        <f>IF($Q897&lt;&gt;"Yes","",IF(COUNTIFS(nrES_PID,$D897,nrES_Code,$F897,nrES_Att,2)&gt;0,"Retested",IF(OR($T897="",NOT(ISNUMBER($T897))),"Pending",IF(TODAY()&gt;$T897,"OVERDUE","Due "&amp;TEXT($T897,"mm/dd")))))</f>
        <v/>
      </c>
      <c r="V897" s="14" t="n"/>
      <c r="W897" s="14" t="n"/>
    </row>
    <row r="898">
      <c r="B898" s="15">
        <f>IF($C898="","",$D898&amp;"-"&amp;$F898&amp;"-"&amp;$K898)</f>
        <v/>
      </c>
      <c r="C898" s="14" t="n"/>
      <c r="D898" s="15">
        <f>IF($C898="","",IFERROR(INDEX(rngCadetPIDs,MATCH($C898,rngCadetNames,0)),"?"))</f>
        <v/>
      </c>
      <c r="E898" s="15">
        <f>IF($D898="","",IFERROR(INDEX(nrCadetAgency,MATCH($D898,rngCadetPIDs,0)),""))</f>
        <v/>
      </c>
      <c r="F898" s="14" t="n"/>
      <c r="G898" s="15">
        <f>IF($F898="","",IFERROR(INDEX(rngEPname,MATCH($F898,rngEPcode,0)),"?"))</f>
        <v/>
      </c>
      <c r="H898" s="15">
        <f>IF($F898="","",IFERROR(INDEX(rngEPtype,MATCH($F898,rngEPcode,0)),"?"))</f>
        <v/>
      </c>
      <c r="I898" s="15">
        <f>IF($F898="","",IFERROR(INDEX(rngEPseq,MATCH($F898,rngEPcode,0)),""))</f>
        <v/>
      </c>
      <c r="J898" s="15">
        <f>IF($F898="","",IFERROR(INDEX(rngEPpass,MATCH($F898,rngEPcode,0)),cfgPassingScore))</f>
        <v/>
      </c>
      <c r="K898" s="14" t="n"/>
      <c r="L898" s="14" t="n"/>
      <c r="M898" s="15">
        <f>IF($C898="","",IF($L898="","",IF($K898=1,IF(COUNTIFS(nrES_PID,$D898,nrES_Code,$F898,nrES_Att,2)&gt;0,"",$L898),IF(COUNTIFS(nrES_PID,$D898,nrES_Code,$F898,nrES_Att,1)=0,$L898,IF($L898&gt;=$J898,cfgRetakeRecordedCap,SUMIFS(nrES_Raw,nrES_PID,$D898,nrES_Code,$F898,nrES_Att,1))))))</f>
        <v/>
      </c>
      <c r="N898" s="15">
        <f>IF($C898="","",IF($L898="","",IF($L898&gt;=$J898,"Yes","No")))</f>
        <v/>
      </c>
      <c r="O898" s="15">
        <f>IF($C898="","",IF($M898="","",IF($M898&gt;=$J898,"Yes","No")))</f>
        <v/>
      </c>
      <c r="P898" s="15">
        <f>IF($C898="","",IF($K898="","",IF(COUNTIFS(nrES_PID,$D898,nrES_Code,$F898,nrES_Att,"&gt;"&amp;$K898)=0,"Yes","No")))</f>
        <v/>
      </c>
      <c r="Q898" s="15">
        <f>IF($C898="","",IF($L898="","",IF(AND($K898=1,$L898&lt;$J898,COUNTIFS(nrES_PID,$D898,nrES_Code,$F898,nrES_Att,2)=0),"Yes","No")))</f>
        <v/>
      </c>
      <c r="R898" s="15">
        <f>IF($C898="","",IF($L898="","",IF(AND($K898=2,$L898&lt;$J898,COUNTIFS(nrES_PID,$D898,nrES_Code,$F898,nrES_Att,1)&gt;0),"Yes","No")))</f>
        <v/>
      </c>
      <c r="S898" s="16" t="n"/>
      <c r="T898" s="17">
        <f>IF($Q898&lt;&gt;"Yes","",IF($S898="","(enter date)",_xlfn.LET(_xlpm.dn,IFERROR(_xlfn.XLOOKUP($S898,nrCDdate,nrCDnum),""),IF(_xlpm.dn="","(not a class day)",IFERROR(_xlfn.XLOOKUP(_xlpm.dn+cfgRetestClassDays,nrCDnum,nrCDdate),"")))))</f>
        <v/>
      </c>
      <c r="U898" s="15">
        <f>IF($Q898&lt;&gt;"Yes","",IF(COUNTIFS(nrES_PID,$D898,nrES_Code,$F898,nrES_Att,2)&gt;0,"Retested",IF(OR($T898="",NOT(ISNUMBER($T898))),"Pending",IF(TODAY()&gt;$T898,"OVERDUE","Due "&amp;TEXT($T898,"mm/dd")))))</f>
        <v/>
      </c>
      <c r="V898" s="14" t="n"/>
      <c r="W898" s="14" t="n"/>
    </row>
    <row r="899">
      <c r="B899" s="15">
        <f>IF($C899="","",$D899&amp;"-"&amp;$F899&amp;"-"&amp;$K899)</f>
        <v/>
      </c>
      <c r="C899" s="14" t="n"/>
      <c r="D899" s="15">
        <f>IF($C899="","",IFERROR(INDEX(rngCadetPIDs,MATCH($C899,rngCadetNames,0)),"?"))</f>
        <v/>
      </c>
      <c r="E899" s="15">
        <f>IF($D899="","",IFERROR(INDEX(nrCadetAgency,MATCH($D899,rngCadetPIDs,0)),""))</f>
        <v/>
      </c>
      <c r="F899" s="14" t="n"/>
      <c r="G899" s="15">
        <f>IF($F899="","",IFERROR(INDEX(rngEPname,MATCH($F899,rngEPcode,0)),"?"))</f>
        <v/>
      </c>
      <c r="H899" s="15">
        <f>IF($F899="","",IFERROR(INDEX(rngEPtype,MATCH($F899,rngEPcode,0)),"?"))</f>
        <v/>
      </c>
      <c r="I899" s="15">
        <f>IF($F899="","",IFERROR(INDEX(rngEPseq,MATCH($F899,rngEPcode,0)),""))</f>
        <v/>
      </c>
      <c r="J899" s="15">
        <f>IF($F899="","",IFERROR(INDEX(rngEPpass,MATCH($F899,rngEPcode,0)),cfgPassingScore))</f>
        <v/>
      </c>
      <c r="K899" s="14" t="n"/>
      <c r="L899" s="14" t="n"/>
      <c r="M899" s="15">
        <f>IF($C899="","",IF($L899="","",IF($K899=1,IF(COUNTIFS(nrES_PID,$D899,nrES_Code,$F899,nrES_Att,2)&gt;0,"",$L899),IF(COUNTIFS(nrES_PID,$D899,nrES_Code,$F899,nrES_Att,1)=0,$L899,IF($L899&gt;=$J899,cfgRetakeRecordedCap,SUMIFS(nrES_Raw,nrES_PID,$D899,nrES_Code,$F899,nrES_Att,1))))))</f>
        <v/>
      </c>
      <c r="N899" s="15">
        <f>IF($C899="","",IF($L899="","",IF($L899&gt;=$J899,"Yes","No")))</f>
        <v/>
      </c>
      <c r="O899" s="15">
        <f>IF($C899="","",IF($M899="","",IF($M899&gt;=$J899,"Yes","No")))</f>
        <v/>
      </c>
      <c r="P899" s="15">
        <f>IF($C899="","",IF($K899="","",IF(COUNTIFS(nrES_PID,$D899,nrES_Code,$F899,nrES_Att,"&gt;"&amp;$K899)=0,"Yes","No")))</f>
        <v/>
      </c>
      <c r="Q899" s="15">
        <f>IF($C899="","",IF($L899="","",IF(AND($K899=1,$L899&lt;$J899,COUNTIFS(nrES_PID,$D899,nrES_Code,$F899,nrES_Att,2)=0),"Yes","No")))</f>
        <v/>
      </c>
      <c r="R899" s="15">
        <f>IF($C899="","",IF($L899="","",IF(AND($K899=2,$L899&lt;$J899,COUNTIFS(nrES_PID,$D899,nrES_Code,$F899,nrES_Att,1)&gt;0),"Yes","No")))</f>
        <v/>
      </c>
      <c r="S899" s="16" t="n"/>
      <c r="T899" s="17">
        <f>IF($Q899&lt;&gt;"Yes","",IF($S899="","(enter date)",_xlfn.LET(_xlpm.dn,IFERROR(_xlfn.XLOOKUP($S899,nrCDdate,nrCDnum),""),IF(_xlpm.dn="","(not a class day)",IFERROR(_xlfn.XLOOKUP(_xlpm.dn+cfgRetestClassDays,nrCDnum,nrCDdate),"")))))</f>
        <v/>
      </c>
      <c r="U899" s="15">
        <f>IF($Q899&lt;&gt;"Yes","",IF(COUNTIFS(nrES_PID,$D899,nrES_Code,$F899,nrES_Att,2)&gt;0,"Retested",IF(OR($T899="",NOT(ISNUMBER($T899))),"Pending",IF(TODAY()&gt;$T899,"OVERDUE","Due "&amp;TEXT($T899,"mm/dd")))))</f>
        <v/>
      </c>
      <c r="V899" s="14" t="n"/>
      <c r="W899" s="14" t="n"/>
    </row>
    <row r="900">
      <c r="B900" s="15">
        <f>IF($C900="","",$D900&amp;"-"&amp;$F900&amp;"-"&amp;$K900)</f>
        <v/>
      </c>
      <c r="C900" s="14" t="n"/>
      <c r="D900" s="15">
        <f>IF($C900="","",IFERROR(INDEX(rngCadetPIDs,MATCH($C900,rngCadetNames,0)),"?"))</f>
        <v/>
      </c>
      <c r="E900" s="15">
        <f>IF($D900="","",IFERROR(INDEX(nrCadetAgency,MATCH($D900,rngCadetPIDs,0)),""))</f>
        <v/>
      </c>
      <c r="F900" s="14" t="n"/>
      <c r="G900" s="15">
        <f>IF($F900="","",IFERROR(INDEX(rngEPname,MATCH($F900,rngEPcode,0)),"?"))</f>
        <v/>
      </c>
      <c r="H900" s="15">
        <f>IF($F900="","",IFERROR(INDEX(rngEPtype,MATCH($F900,rngEPcode,0)),"?"))</f>
        <v/>
      </c>
      <c r="I900" s="15">
        <f>IF($F900="","",IFERROR(INDEX(rngEPseq,MATCH($F900,rngEPcode,0)),""))</f>
        <v/>
      </c>
      <c r="J900" s="15">
        <f>IF($F900="","",IFERROR(INDEX(rngEPpass,MATCH($F900,rngEPcode,0)),cfgPassingScore))</f>
        <v/>
      </c>
      <c r="K900" s="14" t="n"/>
      <c r="L900" s="14" t="n"/>
      <c r="M900" s="15">
        <f>IF($C900="","",IF($L900="","",IF($K900=1,IF(COUNTIFS(nrES_PID,$D900,nrES_Code,$F900,nrES_Att,2)&gt;0,"",$L900),IF(COUNTIFS(nrES_PID,$D900,nrES_Code,$F900,nrES_Att,1)=0,$L900,IF($L900&gt;=$J900,cfgRetakeRecordedCap,SUMIFS(nrES_Raw,nrES_PID,$D900,nrES_Code,$F900,nrES_Att,1))))))</f>
        <v/>
      </c>
      <c r="N900" s="15">
        <f>IF($C900="","",IF($L900="","",IF($L900&gt;=$J900,"Yes","No")))</f>
        <v/>
      </c>
      <c r="O900" s="15">
        <f>IF($C900="","",IF($M900="","",IF($M900&gt;=$J900,"Yes","No")))</f>
        <v/>
      </c>
      <c r="P900" s="15">
        <f>IF($C900="","",IF($K900="","",IF(COUNTIFS(nrES_PID,$D900,nrES_Code,$F900,nrES_Att,"&gt;"&amp;$K900)=0,"Yes","No")))</f>
        <v/>
      </c>
      <c r="Q900" s="15">
        <f>IF($C900="","",IF($L900="","",IF(AND($K900=1,$L900&lt;$J900,COUNTIFS(nrES_PID,$D900,nrES_Code,$F900,nrES_Att,2)=0),"Yes","No")))</f>
        <v/>
      </c>
      <c r="R900" s="15">
        <f>IF($C900="","",IF($L900="","",IF(AND($K900=2,$L900&lt;$J900,COUNTIFS(nrES_PID,$D900,nrES_Code,$F900,nrES_Att,1)&gt;0),"Yes","No")))</f>
        <v/>
      </c>
      <c r="S900" s="16" t="n"/>
      <c r="T900" s="17">
        <f>IF($Q900&lt;&gt;"Yes","",IF($S900="","(enter date)",_xlfn.LET(_xlpm.dn,IFERROR(_xlfn.XLOOKUP($S900,nrCDdate,nrCDnum),""),IF(_xlpm.dn="","(not a class day)",IFERROR(_xlfn.XLOOKUP(_xlpm.dn+cfgRetestClassDays,nrCDnum,nrCDdate),"")))))</f>
        <v/>
      </c>
      <c r="U900" s="15">
        <f>IF($Q900&lt;&gt;"Yes","",IF(COUNTIFS(nrES_PID,$D900,nrES_Code,$F900,nrES_Att,2)&gt;0,"Retested",IF(OR($T900="",NOT(ISNUMBER($T900))),"Pending",IF(TODAY()&gt;$T900,"OVERDUE","Due "&amp;TEXT($T900,"mm/dd")))))</f>
        <v/>
      </c>
      <c r="V900" s="14" t="n"/>
      <c r="W900" s="14" t="n"/>
    </row>
    <row r="901">
      <c r="B901" s="15">
        <f>IF($C901="","",$D901&amp;"-"&amp;$F901&amp;"-"&amp;$K901)</f>
        <v/>
      </c>
      <c r="C901" s="14" t="n"/>
      <c r="D901" s="15">
        <f>IF($C901="","",IFERROR(INDEX(rngCadetPIDs,MATCH($C901,rngCadetNames,0)),"?"))</f>
        <v/>
      </c>
      <c r="E901" s="15">
        <f>IF($D901="","",IFERROR(INDEX(nrCadetAgency,MATCH($D901,rngCadetPIDs,0)),""))</f>
        <v/>
      </c>
      <c r="F901" s="14" t="n"/>
      <c r="G901" s="15">
        <f>IF($F901="","",IFERROR(INDEX(rngEPname,MATCH($F901,rngEPcode,0)),"?"))</f>
        <v/>
      </c>
      <c r="H901" s="15">
        <f>IF($F901="","",IFERROR(INDEX(rngEPtype,MATCH($F901,rngEPcode,0)),"?"))</f>
        <v/>
      </c>
      <c r="I901" s="15">
        <f>IF($F901="","",IFERROR(INDEX(rngEPseq,MATCH($F901,rngEPcode,0)),""))</f>
        <v/>
      </c>
      <c r="J901" s="15">
        <f>IF($F901="","",IFERROR(INDEX(rngEPpass,MATCH($F901,rngEPcode,0)),cfgPassingScore))</f>
        <v/>
      </c>
      <c r="K901" s="14" t="n"/>
      <c r="L901" s="14" t="n"/>
      <c r="M901" s="15">
        <f>IF($C901="","",IF($L901="","",IF($K901=1,IF(COUNTIFS(nrES_PID,$D901,nrES_Code,$F901,nrES_Att,2)&gt;0,"",$L901),IF(COUNTIFS(nrES_PID,$D901,nrES_Code,$F901,nrES_Att,1)=0,$L901,IF($L901&gt;=$J901,cfgRetakeRecordedCap,SUMIFS(nrES_Raw,nrES_PID,$D901,nrES_Code,$F901,nrES_Att,1))))))</f>
        <v/>
      </c>
      <c r="N901" s="15">
        <f>IF($C901="","",IF($L901="","",IF($L901&gt;=$J901,"Yes","No")))</f>
        <v/>
      </c>
      <c r="O901" s="15">
        <f>IF($C901="","",IF($M901="","",IF($M901&gt;=$J901,"Yes","No")))</f>
        <v/>
      </c>
      <c r="P901" s="15">
        <f>IF($C901="","",IF($K901="","",IF(COUNTIFS(nrES_PID,$D901,nrES_Code,$F901,nrES_Att,"&gt;"&amp;$K901)=0,"Yes","No")))</f>
        <v/>
      </c>
      <c r="Q901" s="15">
        <f>IF($C901="","",IF($L901="","",IF(AND($K901=1,$L901&lt;$J901,COUNTIFS(nrES_PID,$D901,nrES_Code,$F901,nrES_Att,2)=0),"Yes","No")))</f>
        <v/>
      </c>
      <c r="R901" s="15">
        <f>IF($C901="","",IF($L901="","",IF(AND($K901=2,$L901&lt;$J901,COUNTIFS(nrES_PID,$D901,nrES_Code,$F901,nrES_Att,1)&gt;0),"Yes","No")))</f>
        <v/>
      </c>
      <c r="S901" s="16" t="n"/>
      <c r="T901" s="17">
        <f>IF($Q901&lt;&gt;"Yes","",IF($S901="","(enter date)",_xlfn.LET(_xlpm.dn,IFERROR(_xlfn.XLOOKUP($S901,nrCDdate,nrCDnum),""),IF(_xlpm.dn="","(not a class day)",IFERROR(_xlfn.XLOOKUP(_xlpm.dn+cfgRetestClassDays,nrCDnum,nrCDdate),"")))))</f>
        <v/>
      </c>
      <c r="U901" s="15">
        <f>IF($Q901&lt;&gt;"Yes","",IF(COUNTIFS(nrES_PID,$D901,nrES_Code,$F901,nrES_Att,2)&gt;0,"Retested",IF(OR($T901="",NOT(ISNUMBER($T901))),"Pending",IF(TODAY()&gt;$T901,"OVERDUE","Due "&amp;TEXT($T901,"mm/dd")))))</f>
        <v/>
      </c>
      <c r="V901" s="14" t="n"/>
      <c r="W901" s="14" t="n"/>
    </row>
    <row r="902">
      <c r="B902" s="15">
        <f>IF($C902="","",$D902&amp;"-"&amp;$F902&amp;"-"&amp;$K902)</f>
        <v/>
      </c>
      <c r="C902" s="14" t="n"/>
      <c r="D902" s="15">
        <f>IF($C902="","",IFERROR(INDEX(rngCadetPIDs,MATCH($C902,rngCadetNames,0)),"?"))</f>
        <v/>
      </c>
      <c r="E902" s="15">
        <f>IF($D902="","",IFERROR(INDEX(nrCadetAgency,MATCH($D902,rngCadetPIDs,0)),""))</f>
        <v/>
      </c>
      <c r="F902" s="14" t="n"/>
      <c r="G902" s="15">
        <f>IF($F902="","",IFERROR(INDEX(rngEPname,MATCH($F902,rngEPcode,0)),"?"))</f>
        <v/>
      </c>
      <c r="H902" s="15">
        <f>IF($F902="","",IFERROR(INDEX(rngEPtype,MATCH($F902,rngEPcode,0)),"?"))</f>
        <v/>
      </c>
      <c r="I902" s="15">
        <f>IF($F902="","",IFERROR(INDEX(rngEPseq,MATCH($F902,rngEPcode,0)),""))</f>
        <v/>
      </c>
      <c r="J902" s="15">
        <f>IF($F902="","",IFERROR(INDEX(rngEPpass,MATCH($F902,rngEPcode,0)),cfgPassingScore))</f>
        <v/>
      </c>
      <c r="K902" s="14" t="n"/>
      <c r="L902" s="14" t="n"/>
      <c r="M902" s="15">
        <f>IF($C902="","",IF($L902="","",IF($K902=1,IF(COUNTIFS(nrES_PID,$D902,nrES_Code,$F902,nrES_Att,2)&gt;0,"",$L902),IF(COUNTIFS(nrES_PID,$D902,nrES_Code,$F902,nrES_Att,1)=0,$L902,IF($L902&gt;=$J902,cfgRetakeRecordedCap,SUMIFS(nrES_Raw,nrES_PID,$D902,nrES_Code,$F902,nrES_Att,1))))))</f>
        <v/>
      </c>
      <c r="N902" s="15">
        <f>IF($C902="","",IF($L902="","",IF($L902&gt;=$J902,"Yes","No")))</f>
        <v/>
      </c>
      <c r="O902" s="15">
        <f>IF($C902="","",IF($M902="","",IF($M902&gt;=$J902,"Yes","No")))</f>
        <v/>
      </c>
      <c r="P902" s="15">
        <f>IF($C902="","",IF($K902="","",IF(COUNTIFS(nrES_PID,$D902,nrES_Code,$F902,nrES_Att,"&gt;"&amp;$K902)=0,"Yes","No")))</f>
        <v/>
      </c>
      <c r="Q902" s="15">
        <f>IF($C902="","",IF($L902="","",IF(AND($K902=1,$L902&lt;$J902,COUNTIFS(nrES_PID,$D902,nrES_Code,$F902,nrES_Att,2)=0),"Yes","No")))</f>
        <v/>
      </c>
      <c r="R902" s="15">
        <f>IF($C902="","",IF($L902="","",IF(AND($K902=2,$L902&lt;$J902,COUNTIFS(nrES_PID,$D902,nrES_Code,$F902,nrES_Att,1)&gt;0),"Yes","No")))</f>
        <v/>
      </c>
      <c r="S902" s="16" t="n"/>
      <c r="T902" s="17">
        <f>IF($Q902&lt;&gt;"Yes","",IF($S902="","(enter date)",_xlfn.LET(_xlpm.dn,IFERROR(_xlfn.XLOOKUP($S902,nrCDdate,nrCDnum),""),IF(_xlpm.dn="","(not a class day)",IFERROR(_xlfn.XLOOKUP(_xlpm.dn+cfgRetestClassDays,nrCDnum,nrCDdate),"")))))</f>
        <v/>
      </c>
      <c r="U902" s="15">
        <f>IF($Q902&lt;&gt;"Yes","",IF(COUNTIFS(nrES_PID,$D902,nrES_Code,$F902,nrES_Att,2)&gt;0,"Retested",IF(OR($T902="",NOT(ISNUMBER($T902))),"Pending",IF(TODAY()&gt;$T902,"OVERDUE","Due "&amp;TEXT($T902,"mm/dd")))))</f>
        <v/>
      </c>
      <c r="V902" s="14" t="n"/>
      <c r="W902" s="14" t="n"/>
    </row>
    <row r="903">
      <c r="B903" s="15">
        <f>IF($C903="","",$D903&amp;"-"&amp;$F903&amp;"-"&amp;$K903)</f>
        <v/>
      </c>
      <c r="C903" s="14" t="n"/>
      <c r="D903" s="15">
        <f>IF($C903="","",IFERROR(INDEX(rngCadetPIDs,MATCH($C903,rngCadetNames,0)),"?"))</f>
        <v/>
      </c>
      <c r="E903" s="15">
        <f>IF($D903="","",IFERROR(INDEX(nrCadetAgency,MATCH($D903,rngCadetPIDs,0)),""))</f>
        <v/>
      </c>
      <c r="F903" s="14" t="n"/>
      <c r="G903" s="15">
        <f>IF($F903="","",IFERROR(INDEX(rngEPname,MATCH($F903,rngEPcode,0)),"?"))</f>
        <v/>
      </c>
      <c r="H903" s="15">
        <f>IF($F903="","",IFERROR(INDEX(rngEPtype,MATCH($F903,rngEPcode,0)),"?"))</f>
        <v/>
      </c>
      <c r="I903" s="15">
        <f>IF($F903="","",IFERROR(INDEX(rngEPseq,MATCH($F903,rngEPcode,0)),""))</f>
        <v/>
      </c>
      <c r="J903" s="15">
        <f>IF($F903="","",IFERROR(INDEX(rngEPpass,MATCH($F903,rngEPcode,0)),cfgPassingScore))</f>
        <v/>
      </c>
      <c r="K903" s="14" t="n"/>
      <c r="L903" s="14" t="n"/>
      <c r="M903" s="15">
        <f>IF($C903="","",IF($L903="","",IF($K903=1,IF(COUNTIFS(nrES_PID,$D903,nrES_Code,$F903,nrES_Att,2)&gt;0,"",$L903),IF(COUNTIFS(nrES_PID,$D903,nrES_Code,$F903,nrES_Att,1)=0,$L903,IF($L903&gt;=$J903,cfgRetakeRecordedCap,SUMIFS(nrES_Raw,nrES_PID,$D903,nrES_Code,$F903,nrES_Att,1))))))</f>
        <v/>
      </c>
      <c r="N903" s="15">
        <f>IF($C903="","",IF($L903="","",IF($L903&gt;=$J903,"Yes","No")))</f>
        <v/>
      </c>
      <c r="O903" s="15">
        <f>IF($C903="","",IF($M903="","",IF($M903&gt;=$J903,"Yes","No")))</f>
        <v/>
      </c>
      <c r="P903" s="15">
        <f>IF($C903="","",IF($K903="","",IF(COUNTIFS(nrES_PID,$D903,nrES_Code,$F903,nrES_Att,"&gt;"&amp;$K903)=0,"Yes","No")))</f>
        <v/>
      </c>
      <c r="Q903" s="15">
        <f>IF($C903="","",IF($L903="","",IF(AND($K903=1,$L903&lt;$J903,COUNTIFS(nrES_PID,$D903,nrES_Code,$F903,nrES_Att,2)=0),"Yes","No")))</f>
        <v/>
      </c>
      <c r="R903" s="15">
        <f>IF($C903="","",IF($L903="","",IF(AND($K903=2,$L903&lt;$J903,COUNTIFS(nrES_PID,$D903,nrES_Code,$F903,nrES_Att,1)&gt;0),"Yes","No")))</f>
        <v/>
      </c>
      <c r="S903" s="16" t="n"/>
      <c r="T903" s="17">
        <f>IF($Q903&lt;&gt;"Yes","",IF($S903="","(enter date)",_xlfn.LET(_xlpm.dn,IFERROR(_xlfn.XLOOKUP($S903,nrCDdate,nrCDnum),""),IF(_xlpm.dn="","(not a class day)",IFERROR(_xlfn.XLOOKUP(_xlpm.dn+cfgRetestClassDays,nrCDnum,nrCDdate),"")))))</f>
        <v/>
      </c>
      <c r="U903" s="15">
        <f>IF($Q903&lt;&gt;"Yes","",IF(COUNTIFS(nrES_PID,$D903,nrES_Code,$F903,nrES_Att,2)&gt;0,"Retested",IF(OR($T903="",NOT(ISNUMBER($T903))),"Pending",IF(TODAY()&gt;$T903,"OVERDUE","Due "&amp;TEXT($T903,"mm/dd")))))</f>
        <v/>
      </c>
      <c r="V903" s="14" t="n"/>
      <c r="W903" s="14" t="n"/>
    </row>
    <row r="904">
      <c r="B904" s="15">
        <f>IF($C904="","",$D904&amp;"-"&amp;$F904&amp;"-"&amp;$K904)</f>
        <v/>
      </c>
      <c r="C904" s="14" t="n"/>
      <c r="D904" s="15">
        <f>IF($C904="","",IFERROR(INDEX(rngCadetPIDs,MATCH($C904,rngCadetNames,0)),"?"))</f>
        <v/>
      </c>
      <c r="E904" s="15">
        <f>IF($D904="","",IFERROR(INDEX(nrCadetAgency,MATCH($D904,rngCadetPIDs,0)),""))</f>
        <v/>
      </c>
      <c r="F904" s="14" t="n"/>
      <c r="G904" s="15">
        <f>IF($F904="","",IFERROR(INDEX(rngEPname,MATCH($F904,rngEPcode,0)),"?"))</f>
        <v/>
      </c>
      <c r="H904" s="15">
        <f>IF($F904="","",IFERROR(INDEX(rngEPtype,MATCH($F904,rngEPcode,0)),"?"))</f>
        <v/>
      </c>
      <c r="I904" s="15">
        <f>IF($F904="","",IFERROR(INDEX(rngEPseq,MATCH($F904,rngEPcode,0)),""))</f>
        <v/>
      </c>
      <c r="J904" s="15">
        <f>IF($F904="","",IFERROR(INDEX(rngEPpass,MATCH($F904,rngEPcode,0)),cfgPassingScore))</f>
        <v/>
      </c>
      <c r="K904" s="14" t="n"/>
      <c r="L904" s="14" t="n"/>
      <c r="M904" s="15">
        <f>IF($C904="","",IF($L904="","",IF($K904=1,IF(COUNTIFS(nrES_PID,$D904,nrES_Code,$F904,nrES_Att,2)&gt;0,"",$L904),IF(COUNTIFS(nrES_PID,$D904,nrES_Code,$F904,nrES_Att,1)=0,$L904,IF($L904&gt;=$J904,cfgRetakeRecordedCap,SUMIFS(nrES_Raw,nrES_PID,$D904,nrES_Code,$F904,nrES_Att,1))))))</f>
        <v/>
      </c>
      <c r="N904" s="15">
        <f>IF($C904="","",IF($L904="","",IF($L904&gt;=$J904,"Yes","No")))</f>
        <v/>
      </c>
      <c r="O904" s="15">
        <f>IF($C904="","",IF($M904="","",IF($M904&gt;=$J904,"Yes","No")))</f>
        <v/>
      </c>
      <c r="P904" s="15">
        <f>IF($C904="","",IF($K904="","",IF(COUNTIFS(nrES_PID,$D904,nrES_Code,$F904,nrES_Att,"&gt;"&amp;$K904)=0,"Yes","No")))</f>
        <v/>
      </c>
      <c r="Q904" s="15">
        <f>IF($C904="","",IF($L904="","",IF(AND($K904=1,$L904&lt;$J904,COUNTIFS(nrES_PID,$D904,nrES_Code,$F904,nrES_Att,2)=0),"Yes","No")))</f>
        <v/>
      </c>
      <c r="R904" s="15">
        <f>IF($C904="","",IF($L904="","",IF(AND($K904=2,$L904&lt;$J904,COUNTIFS(nrES_PID,$D904,nrES_Code,$F904,nrES_Att,1)&gt;0),"Yes","No")))</f>
        <v/>
      </c>
      <c r="S904" s="16" t="n"/>
      <c r="T904" s="17">
        <f>IF($Q904&lt;&gt;"Yes","",IF($S904="","(enter date)",_xlfn.LET(_xlpm.dn,IFERROR(_xlfn.XLOOKUP($S904,nrCDdate,nrCDnum),""),IF(_xlpm.dn="","(not a class day)",IFERROR(_xlfn.XLOOKUP(_xlpm.dn+cfgRetestClassDays,nrCDnum,nrCDdate),"")))))</f>
        <v/>
      </c>
      <c r="U904" s="15">
        <f>IF($Q904&lt;&gt;"Yes","",IF(COUNTIFS(nrES_PID,$D904,nrES_Code,$F904,nrES_Att,2)&gt;0,"Retested",IF(OR($T904="",NOT(ISNUMBER($T904))),"Pending",IF(TODAY()&gt;$T904,"OVERDUE","Due "&amp;TEXT($T904,"mm/dd")))))</f>
        <v/>
      </c>
      <c r="V904" s="14" t="n"/>
      <c r="W904" s="14" t="n"/>
    </row>
    <row r="905">
      <c r="B905" s="15">
        <f>IF($C905="","",$D905&amp;"-"&amp;$F905&amp;"-"&amp;$K905)</f>
        <v/>
      </c>
      <c r="C905" s="14" t="n"/>
      <c r="D905" s="15">
        <f>IF($C905="","",IFERROR(INDEX(rngCadetPIDs,MATCH($C905,rngCadetNames,0)),"?"))</f>
        <v/>
      </c>
      <c r="E905" s="15">
        <f>IF($D905="","",IFERROR(INDEX(nrCadetAgency,MATCH($D905,rngCadetPIDs,0)),""))</f>
        <v/>
      </c>
      <c r="F905" s="14" t="n"/>
      <c r="G905" s="15">
        <f>IF($F905="","",IFERROR(INDEX(rngEPname,MATCH($F905,rngEPcode,0)),"?"))</f>
        <v/>
      </c>
      <c r="H905" s="15">
        <f>IF($F905="","",IFERROR(INDEX(rngEPtype,MATCH($F905,rngEPcode,0)),"?"))</f>
        <v/>
      </c>
      <c r="I905" s="15">
        <f>IF($F905="","",IFERROR(INDEX(rngEPseq,MATCH($F905,rngEPcode,0)),""))</f>
        <v/>
      </c>
      <c r="J905" s="15">
        <f>IF($F905="","",IFERROR(INDEX(rngEPpass,MATCH($F905,rngEPcode,0)),cfgPassingScore))</f>
        <v/>
      </c>
      <c r="K905" s="14" t="n"/>
      <c r="L905" s="14" t="n"/>
      <c r="M905" s="15">
        <f>IF($C905="","",IF($L905="","",IF($K905=1,IF(COUNTIFS(nrES_PID,$D905,nrES_Code,$F905,nrES_Att,2)&gt;0,"",$L905),IF(COUNTIFS(nrES_PID,$D905,nrES_Code,$F905,nrES_Att,1)=0,$L905,IF($L905&gt;=$J905,cfgRetakeRecordedCap,SUMIFS(nrES_Raw,nrES_PID,$D905,nrES_Code,$F905,nrES_Att,1))))))</f>
        <v/>
      </c>
      <c r="N905" s="15">
        <f>IF($C905="","",IF($L905="","",IF($L905&gt;=$J905,"Yes","No")))</f>
        <v/>
      </c>
      <c r="O905" s="15">
        <f>IF($C905="","",IF($M905="","",IF($M905&gt;=$J905,"Yes","No")))</f>
        <v/>
      </c>
      <c r="P905" s="15">
        <f>IF($C905="","",IF($K905="","",IF(COUNTIFS(nrES_PID,$D905,nrES_Code,$F905,nrES_Att,"&gt;"&amp;$K905)=0,"Yes","No")))</f>
        <v/>
      </c>
      <c r="Q905" s="15">
        <f>IF($C905="","",IF($L905="","",IF(AND($K905=1,$L905&lt;$J905,COUNTIFS(nrES_PID,$D905,nrES_Code,$F905,nrES_Att,2)=0),"Yes","No")))</f>
        <v/>
      </c>
      <c r="R905" s="15">
        <f>IF($C905="","",IF($L905="","",IF(AND($K905=2,$L905&lt;$J905,COUNTIFS(nrES_PID,$D905,nrES_Code,$F905,nrES_Att,1)&gt;0),"Yes","No")))</f>
        <v/>
      </c>
      <c r="S905" s="16" t="n"/>
      <c r="T905" s="17">
        <f>IF($Q905&lt;&gt;"Yes","",IF($S905="","(enter date)",_xlfn.LET(_xlpm.dn,IFERROR(_xlfn.XLOOKUP($S905,nrCDdate,nrCDnum),""),IF(_xlpm.dn="","(not a class day)",IFERROR(_xlfn.XLOOKUP(_xlpm.dn+cfgRetestClassDays,nrCDnum,nrCDdate),"")))))</f>
        <v/>
      </c>
      <c r="U905" s="15">
        <f>IF($Q905&lt;&gt;"Yes","",IF(COUNTIFS(nrES_PID,$D905,nrES_Code,$F905,nrES_Att,2)&gt;0,"Retested",IF(OR($T905="",NOT(ISNUMBER($T905))),"Pending",IF(TODAY()&gt;$T905,"OVERDUE","Due "&amp;TEXT($T905,"mm/dd")))))</f>
        <v/>
      </c>
      <c r="V905" s="14" t="n"/>
      <c r="W905" s="14" t="n"/>
    </row>
    <row r="906">
      <c r="B906" s="15">
        <f>IF($C906="","",$D906&amp;"-"&amp;$F906&amp;"-"&amp;$K906)</f>
        <v/>
      </c>
      <c r="C906" s="14" t="n"/>
      <c r="D906" s="15">
        <f>IF($C906="","",IFERROR(INDEX(rngCadetPIDs,MATCH($C906,rngCadetNames,0)),"?"))</f>
        <v/>
      </c>
      <c r="E906" s="15">
        <f>IF($D906="","",IFERROR(INDEX(nrCadetAgency,MATCH($D906,rngCadetPIDs,0)),""))</f>
        <v/>
      </c>
      <c r="F906" s="14" t="n"/>
      <c r="G906" s="15">
        <f>IF($F906="","",IFERROR(INDEX(rngEPname,MATCH($F906,rngEPcode,0)),"?"))</f>
        <v/>
      </c>
      <c r="H906" s="15">
        <f>IF($F906="","",IFERROR(INDEX(rngEPtype,MATCH($F906,rngEPcode,0)),"?"))</f>
        <v/>
      </c>
      <c r="I906" s="15">
        <f>IF($F906="","",IFERROR(INDEX(rngEPseq,MATCH($F906,rngEPcode,0)),""))</f>
        <v/>
      </c>
      <c r="J906" s="15">
        <f>IF($F906="","",IFERROR(INDEX(rngEPpass,MATCH($F906,rngEPcode,0)),cfgPassingScore))</f>
        <v/>
      </c>
      <c r="K906" s="14" t="n"/>
      <c r="L906" s="14" t="n"/>
      <c r="M906" s="15">
        <f>IF($C906="","",IF($L906="","",IF($K906=1,IF(COUNTIFS(nrES_PID,$D906,nrES_Code,$F906,nrES_Att,2)&gt;0,"",$L906),IF(COUNTIFS(nrES_PID,$D906,nrES_Code,$F906,nrES_Att,1)=0,$L906,IF($L906&gt;=$J906,cfgRetakeRecordedCap,SUMIFS(nrES_Raw,nrES_PID,$D906,nrES_Code,$F906,nrES_Att,1))))))</f>
        <v/>
      </c>
      <c r="N906" s="15">
        <f>IF($C906="","",IF($L906="","",IF($L906&gt;=$J906,"Yes","No")))</f>
        <v/>
      </c>
      <c r="O906" s="15">
        <f>IF($C906="","",IF($M906="","",IF($M906&gt;=$J906,"Yes","No")))</f>
        <v/>
      </c>
      <c r="P906" s="15">
        <f>IF($C906="","",IF($K906="","",IF(COUNTIFS(nrES_PID,$D906,nrES_Code,$F906,nrES_Att,"&gt;"&amp;$K906)=0,"Yes","No")))</f>
        <v/>
      </c>
      <c r="Q906" s="15">
        <f>IF($C906="","",IF($L906="","",IF(AND($K906=1,$L906&lt;$J906,COUNTIFS(nrES_PID,$D906,nrES_Code,$F906,nrES_Att,2)=0),"Yes","No")))</f>
        <v/>
      </c>
      <c r="R906" s="15">
        <f>IF($C906="","",IF($L906="","",IF(AND($K906=2,$L906&lt;$J906,COUNTIFS(nrES_PID,$D906,nrES_Code,$F906,nrES_Att,1)&gt;0),"Yes","No")))</f>
        <v/>
      </c>
      <c r="S906" s="16" t="n"/>
      <c r="T906" s="17">
        <f>IF($Q906&lt;&gt;"Yes","",IF($S906="","(enter date)",_xlfn.LET(_xlpm.dn,IFERROR(_xlfn.XLOOKUP($S906,nrCDdate,nrCDnum),""),IF(_xlpm.dn="","(not a class day)",IFERROR(_xlfn.XLOOKUP(_xlpm.dn+cfgRetestClassDays,nrCDnum,nrCDdate),"")))))</f>
        <v/>
      </c>
      <c r="U906" s="15">
        <f>IF($Q906&lt;&gt;"Yes","",IF(COUNTIFS(nrES_PID,$D906,nrES_Code,$F906,nrES_Att,2)&gt;0,"Retested",IF(OR($T906="",NOT(ISNUMBER($T906))),"Pending",IF(TODAY()&gt;$T906,"OVERDUE","Due "&amp;TEXT($T906,"mm/dd")))))</f>
        <v/>
      </c>
      <c r="V906" s="14" t="n"/>
      <c r="W906" s="14" t="n"/>
    </row>
    <row r="907">
      <c r="B907" s="15">
        <f>IF($C907="","",$D907&amp;"-"&amp;$F907&amp;"-"&amp;$K907)</f>
        <v/>
      </c>
      <c r="C907" s="14" t="n"/>
      <c r="D907" s="15">
        <f>IF($C907="","",IFERROR(INDEX(rngCadetPIDs,MATCH($C907,rngCadetNames,0)),"?"))</f>
        <v/>
      </c>
      <c r="E907" s="15">
        <f>IF($D907="","",IFERROR(INDEX(nrCadetAgency,MATCH($D907,rngCadetPIDs,0)),""))</f>
        <v/>
      </c>
      <c r="F907" s="14" t="n"/>
      <c r="G907" s="15">
        <f>IF($F907="","",IFERROR(INDEX(rngEPname,MATCH($F907,rngEPcode,0)),"?"))</f>
        <v/>
      </c>
      <c r="H907" s="15">
        <f>IF($F907="","",IFERROR(INDEX(rngEPtype,MATCH($F907,rngEPcode,0)),"?"))</f>
        <v/>
      </c>
      <c r="I907" s="15">
        <f>IF($F907="","",IFERROR(INDEX(rngEPseq,MATCH($F907,rngEPcode,0)),""))</f>
        <v/>
      </c>
      <c r="J907" s="15">
        <f>IF($F907="","",IFERROR(INDEX(rngEPpass,MATCH($F907,rngEPcode,0)),cfgPassingScore))</f>
        <v/>
      </c>
      <c r="K907" s="14" t="n"/>
      <c r="L907" s="14" t="n"/>
      <c r="M907" s="15">
        <f>IF($C907="","",IF($L907="","",IF($K907=1,IF(COUNTIFS(nrES_PID,$D907,nrES_Code,$F907,nrES_Att,2)&gt;0,"",$L907),IF(COUNTIFS(nrES_PID,$D907,nrES_Code,$F907,nrES_Att,1)=0,$L907,IF($L907&gt;=$J907,cfgRetakeRecordedCap,SUMIFS(nrES_Raw,nrES_PID,$D907,nrES_Code,$F907,nrES_Att,1))))))</f>
        <v/>
      </c>
      <c r="N907" s="15">
        <f>IF($C907="","",IF($L907="","",IF($L907&gt;=$J907,"Yes","No")))</f>
        <v/>
      </c>
      <c r="O907" s="15">
        <f>IF($C907="","",IF($M907="","",IF($M907&gt;=$J907,"Yes","No")))</f>
        <v/>
      </c>
      <c r="P907" s="15">
        <f>IF($C907="","",IF($K907="","",IF(COUNTIFS(nrES_PID,$D907,nrES_Code,$F907,nrES_Att,"&gt;"&amp;$K907)=0,"Yes","No")))</f>
        <v/>
      </c>
      <c r="Q907" s="15">
        <f>IF($C907="","",IF($L907="","",IF(AND($K907=1,$L907&lt;$J907,COUNTIFS(nrES_PID,$D907,nrES_Code,$F907,nrES_Att,2)=0),"Yes","No")))</f>
        <v/>
      </c>
      <c r="R907" s="15">
        <f>IF($C907="","",IF($L907="","",IF(AND($K907=2,$L907&lt;$J907,COUNTIFS(nrES_PID,$D907,nrES_Code,$F907,nrES_Att,1)&gt;0),"Yes","No")))</f>
        <v/>
      </c>
      <c r="S907" s="16" t="n"/>
      <c r="T907" s="17">
        <f>IF($Q907&lt;&gt;"Yes","",IF($S907="","(enter date)",_xlfn.LET(_xlpm.dn,IFERROR(_xlfn.XLOOKUP($S907,nrCDdate,nrCDnum),""),IF(_xlpm.dn="","(not a class day)",IFERROR(_xlfn.XLOOKUP(_xlpm.dn+cfgRetestClassDays,nrCDnum,nrCDdate),"")))))</f>
        <v/>
      </c>
      <c r="U907" s="15">
        <f>IF($Q907&lt;&gt;"Yes","",IF(COUNTIFS(nrES_PID,$D907,nrES_Code,$F907,nrES_Att,2)&gt;0,"Retested",IF(OR($T907="",NOT(ISNUMBER($T907))),"Pending",IF(TODAY()&gt;$T907,"OVERDUE","Due "&amp;TEXT($T907,"mm/dd")))))</f>
        <v/>
      </c>
      <c r="V907" s="14" t="n"/>
      <c r="W907" s="14" t="n"/>
    </row>
    <row r="908">
      <c r="B908" s="15">
        <f>IF($C908="","",$D908&amp;"-"&amp;$F908&amp;"-"&amp;$K908)</f>
        <v/>
      </c>
      <c r="C908" s="14" t="n"/>
      <c r="D908" s="15">
        <f>IF($C908="","",IFERROR(INDEX(rngCadetPIDs,MATCH($C908,rngCadetNames,0)),"?"))</f>
        <v/>
      </c>
      <c r="E908" s="15">
        <f>IF($D908="","",IFERROR(INDEX(nrCadetAgency,MATCH($D908,rngCadetPIDs,0)),""))</f>
        <v/>
      </c>
      <c r="F908" s="14" t="n"/>
      <c r="G908" s="15">
        <f>IF($F908="","",IFERROR(INDEX(rngEPname,MATCH($F908,rngEPcode,0)),"?"))</f>
        <v/>
      </c>
      <c r="H908" s="15">
        <f>IF($F908="","",IFERROR(INDEX(rngEPtype,MATCH($F908,rngEPcode,0)),"?"))</f>
        <v/>
      </c>
      <c r="I908" s="15">
        <f>IF($F908="","",IFERROR(INDEX(rngEPseq,MATCH($F908,rngEPcode,0)),""))</f>
        <v/>
      </c>
      <c r="J908" s="15">
        <f>IF($F908="","",IFERROR(INDEX(rngEPpass,MATCH($F908,rngEPcode,0)),cfgPassingScore))</f>
        <v/>
      </c>
      <c r="K908" s="14" t="n"/>
      <c r="L908" s="14" t="n"/>
      <c r="M908" s="15">
        <f>IF($C908="","",IF($L908="","",IF($K908=1,IF(COUNTIFS(nrES_PID,$D908,nrES_Code,$F908,nrES_Att,2)&gt;0,"",$L908),IF(COUNTIFS(nrES_PID,$D908,nrES_Code,$F908,nrES_Att,1)=0,$L908,IF($L908&gt;=$J908,cfgRetakeRecordedCap,SUMIFS(nrES_Raw,nrES_PID,$D908,nrES_Code,$F908,nrES_Att,1))))))</f>
        <v/>
      </c>
      <c r="N908" s="15">
        <f>IF($C908="","",IF($L908="","",IF($L908&gt;=$J908,"Yes","No")))</f>
        <v/>
      </c>
      <c r="O908" s="15">
        <f>IF($C908="","",IF($M908="","",IF($M908&gt;=$J908,"Yes","No")))</f>
        <v/>
      </c>
      <c r="P908" s="15">
        <f>IF($C908="","",IF($K908="","",IF(COUNTIFS(nrES_PID,$D908,nrES_Code,$F908,nrES_Att,"&gt;"&amp;$K908)=0,"Yes","No")))</f>
        <v/>
      </c>
      <c r="Q908" s="15">
        <f>IF($C908="","",IF($L908="","",IF(AND($K908=1,$L908&lt;$J908,COUNTIFS(nrES_PID,$D908,nrES_Code,$F908,nrES_Att,2)=0),"Yes","No")))</f>
        <v/>
      </c>
      <c r="R908" s="15">
        <f>IF($C908="","",IF($L908="","",IF(AND($K908=2,$L908&lt;$J908,COUNTIFS(nrES_PID,$D908,nrES_Code,$F908,nrES_Att,1)&gt;0),"Yes","No")))</f>
        <v/>
      </c>
      <c r="S908" s="16" t="n"/>
      <c r="T908" s="17">
        <f>IF($Q908&lt;&gt;"Yes","",IF($S908="","(enter date)",_xlfn.LET(_xlpm.dn,IFERROR(_xlfn.XLOOKUP($S908,nrCDdate,nrCDnum),""),IF(_xlpm.dn="","(not a class day)",IFERROR(_xlfn.XLOOKUP(_xlpm.dn+cfgRetestClassDays,nrCDnum,nrCDdate),"")))))</f>
        <v/>
      </c>
      <c r="U908" s="15">
        <f>IF($Q908&lt;&gt;"Yes","",IF(COUNTIFS(nrES_PID,$D908,nrES_Code,$F908,nrES_Att,2)&gt;0,"Retested",IF(OR($T908="",NOT(ISNUMBER($T908))),"Pending",IF(TODAY()&gt;$T908,"OVERDUE","Due "&amp;TEXT($T908,"mm/dd")))))</f>
        <v/>
      </c>
      <c r="V908" s="14" t="n"/>
      <c r="W908" s="14" t="n"/>
    </row>
    <row r="909">
      <c r="B909" s="15">
        <f>IF($C909="","",$D909&amp;"-"&amp;$F909&amp;"-"&amp;$K909)</f>
        <v/>
      </c>
      <c r="C909" s="14" t="n"/>
      <c r="D909" s="15">
        <f>IF($C909="","",IFERROR(INDEX(rngCadetPIDs,MATCH($C909,rngCadetNames,0)),"?"))</f>
        <v/>
      </c>
      <c r="E909" s="15">
        <f>IF($D909="","",IFERROR(INDEX(nrCadetAgency,MATCH($D909,rngCadetPIDs,0)),""))</f>
        <v/>
      </c>
      <c r="F909" s="14" t="n"/>
      <c r="G909" s="15">
        <f>IF($F909="","",IFERROR(INDEX(rngEPname,MATCH($F909,rngEPcode,0)),"?"))</f>
        <v/>
      </c>
      <c r="H909" s="15">
        <f>IF($F909="","",IFERROR(INDEX(rngEPtype,MATCH($F909,rngEPcode,0)),"?"))</f>
        <v/>
      </c>
      <c r="I909" s="15">
        <f>IF($F909="","",IFERROR(INDEX(rngEPseq,MATCH($F909,rngEPcode,0)),""))</f>
        <v/>
      </c>
      <c r="J909" s="15">
        <f>IF($F909="","",IFERROR(INDEX(rngEPpass,MATCH($F909,rngEPcode,0)),cfgPassingScore))</f>
        <v/>
      </c>
      <c r="K909" s="14" t="n"/>
      <c r="L909" s="14" t="n"/>
      <c r="M909" s="15">
        <f>IF($C909="","",IF($L909="","",IF($K909=1,IF(COUNTIFS(nrES_PID,$D909,nrES_Code,$F909,nrES_Att,2)&gt;0,"",$L909),IF(COUNTIFS(nrES_PID,$D909,nrES_Code,$F909,nrES_Att,1)=0,$L909,IF($L909&gt;=$J909,cfgRetakeRecordedCap,SUMIFS(nrES_Raw,nrES_PID,$D909,nrES_Code,$F909,nrES_Att,1))))))</f>
        <v/>
      </c>
      <c r="N909" s="15">
        <f>IF($C909="","",IF($L909="","",IF($L909&gt;=$J909,"Yes","No")))</f>
        <v/>
      </c>
      <c r="O909" s="15">
        <f>IF($C909="","",IF($M909="","",IF($M909&gt;=$J909,"Yes","No")))</f>
        <v/>
      </c>
      <c r="P909" s="15">
        <f>IF($C909="","",IF($K909="","",IF(COUNTIFS(nrES_PID,$D909,nrES_Code,$F909,nrES_Att,"&gt;"&amp;$K909)=0,"Yes","No")))</f>
        <v/>
      </c>
      <c r="Q909" s="15">
        <f>IF($C909="","",IF($L909="","",IF(AND($K909=1,$L909&lt;$J909,COUNTIFS(nrES_PID,$D909,nrES_Code,$F909,nrES_Att,2)=0),"Yes","No")))</f>
        <v/>
      </c>
      <c r="R909" s="15">
        <f>IF($C909="","",IF($L909="","",IF(AND($K909=2,$L909&lt;$J909,COUNTIFS(nrES_PID,$D909,nrES_Code,$F909,nrES_Att,1)&gt;0),"Yes","No")))</f>
        <v/>
      </c>
      <c r="S909" s="16" t="n"/>
      <c r="T909" s="17">
        <f>IF($Q909&lt;&gt;"Yes","",IF($S909="","(enter date)",_xlfn.LET(_xlpm.dn,IFERROR(_xlfn.XLOOKUP($S909,nrCDdate,nrCDnum),""),IF(_xlpm.dn="","(not a class day)",IFERROR(_xlfn.XLOOKUP(_xlpm.dn+cfgRetestClassDays,nrCDnum,nrCDdate),"")))))</f>
        <v/>
      </c>
      <c r="U909" s="15">
        <f>IF($Q909&lt;&gt;"Yes","",IF(COUNTIFS(nrES_PID,$D909,nrES_Code,$F909,nrES_Att,2)&gt;0,"Retested",IF(OR($T909="",NOT(ISNUMBER($T909))),"Pending",IF(TODAY()&gt;$T909,"OVERDUE","Due "&amp;TEXT($T909,"mm/dd")))))</f>
        <v/>
      </c>
      <c r="V909" s="14" t="n"/>
      <c r="W909" s="14" t="n"/>
    </row>
    <row r="910">
      <c r="B910" s="15">
        <f>IF($C910="","",$D910&amp;"-"&amp;$F910&amp;"-"&amp;$K910)</f>
        <v/>
      </c>
      <c r="C910" s="14" t="n"/>
      <c r="D910" s="15">
        <f>IF($C910="","",IFERROR(INDEX(rngCadetPIDs,MATCH($C910,rngCadetNames,0)),"?"))</f>
        <v/>
      </c>
      <c r="E910" s="15">
        <f>IF($D910="","",IFERROR(INDEX(nrCadetAgency,MATCH($D910,rngCadetPIDs,0)),""))</f>
        <v/>
      </c>
      <c r="F910" s="14" t="n"/>
      <c r="G910" s="15">
        <f>IF($F910="","",IFERROR(INDEX(rngEPname,MATCH($F910,rngEPcode,0)),"?"))</f>
        <v/>
      </c>
      <c r="H910" s="15">
        <f>IF($F910="","",IFERROR(INDEX(rngEPtype,MATCH($F910,rngEPcode,0)),"?"))</f>
        <v/>
      </c>
      <c r="I910" s="15">
        <f>IF($F910="","",IFERROR(INDEX(rngEPseq,MATCH($F910,rngEPcode,0)),""))</f>
        <v/>
      </c>
      <c r="J910" s="15">
        <f>IF($F910="","",IFERROR(INDEX(rngEPpass,MATCH($F910,rngEPcode,0)),cfgPassingScore))</f>
        <v/>
      </c>
      <c r="K910" s="14" t="n"/>
      <c r="L910" s="14" t="n"/>
      <c r="M910" s="15">
        <f>IF($C910="","",IF($L910="","",IF($K910=1,IF(COUNTIFS(nrES_PID,$D910,nrES_Code,$F910,nrES_Att,2)&gt;0,"",$L910),IF(COUNTIFS(nrES_PID,$D910,nrES_Code,$F910,nrES_Att,1)=0,$L910,IF($L910&gt;=$J910,cfgRetakeRecordedCap,SUMIFS(nrES_Raw,nrES_PID,$D910,nrES_Code,$F910,nrES_Att,1))))))</f>
        <v/>
      </c>
      <c r="N910" s="15">
        <f>IF($C910="","",IF($L910="","",IF($L910&gt;=$J910,"Yes","No")))</f>
        <v/>
      </c>
      <c r="O910" s="15">
        <f>IF($C910="","",IF($M910="","",IF($M910&gt;=$J910,"Yes","No")))</f>
        <v/>
      </c>
      <c r="P910" s="15">
        <f>IF($C910="","",IF($K910="","",IF(COUNTIFS(nrES_PID,$D910,nrES_Code,$F910,nrES_Att,"&gt;"&amp;$K910)=0,"Yes","No")))</f>
        <v/>
      </c>
      <c r="Q910" s="15">
        <f>IF($C910="","",IF($L910="","",IF(AND($K910=1,$L910&lt;$J910,COUNTIFS(nrES_PID,$D910,nrES_Code,$F910,nrES_Att,2)=0),"Yes","No")))</f>
        <v/>
      </c>
      <c r="R910" s="15">
        <f>IF($C910="","",IF($L910="","",IF(AND($K910=2,$L910&lt;$J910,COUNTIFS(nrES_PID,$D910,nrES_Code,$F910,nrES_Att,1)&gt;0),"Yes","No")))</f>
        <v/>
      </c>
      <c r="S910" s="16" t="n"/>
      <c r="T910" s="17">
        <f>IF($Q910&lt;&gt;"Yes","",IF($S910="","(enter date)",_xlfn.LET(_xlpm.dn,IFERROR(_xlfn.XLOOKUP($S910,nrCDdate,nrCDnum),""),IF(_xlpm.dn="","(not a class day)",IFERROR(_xlfn.XLOOKUP(_xlpm.dn+cfgRetestClassDays,nrCDnum,nrCDdate),"")))))</f>
        <v/>
      </c>
      <c r="U910" s="15">
        <f>IF($Q910&lt;&gt;"Yes","",IF(COUNTIFS(nrES_PID,$D910,nrES_Code,$F910,nrES_Att,2)&gt;0,"Retested",IF(OR($T910="",NOT(ISNUMBER($T910))),"Pending",IF(TODAY()&gt;$T910,"OVERDUE","Due "&amp;TEXT($T910,"mm/dd")))))</f>
        <v/>
      </c>
      <c r="V910" s="14" t="n"/>
      <c r="W910" s="14" t="n"/>
    </row>
    <row r="911">
      <c r="B911" s="15">
        <f>IF($C911="","",$D911&amp;"-"&amp;$F911&amp;"-"&amp;$K911)</f>
        <v/>
      </c>
      <c r="C911" s="14" t="n"/>
      <c r="D911" s="15">
        <f>IF($C911="","",IFERROR(INDEX(rngCadetPIDs,MATCH($C911,rngCadetNames,0)),"?"))</f>
        <v/>
      </c>
      <c r="E911" s="15">
        <f>IF($D911="","",IFERROR(INDEX(nrCadetAgency,MATCH($D911,rngCadetPIDs,0)),""))</f>
        <v/>
      </c>
      <c r="F911" s="14" t="n"/>
      <c r="G911" s="15">
        <f>IF($F911="","",IFERROR(INDEX(rngEPname,MATCH($F911,rngEPcode,0)),"?"))</f>
        <v/>
      </c>
      <c r="H911" s="15">
        <f>IF($F911="","",IFERROR(INDEX(rngEPtype,MATCH($F911,rngEPcode,0)),"?"))</f>
        <v/>
      </c>
      <c r="I911" s="15">
        <f>IF($F911="","",IFERROR(INDEX(rngEPseq,MATCH($F911,rngEPcode,0)),""))</f>
        <v/>
      </c>
      <c r="J911" s="15">
        <f>IF($F911="","",IFERROR(INDEX(rngEPpass,MATCH($F911,rngEPcode,0)),cfgPassingScore))</f>
        <v/>
      </c>
      <c r="K911" s="14" t="n"/>
      <c r="L911" s="14" t="n"/>
      <c r="M911" s="15">
        <f>IF($C911="","",IF($L911="","",IF($K911=1,IF(COUNTIFS(nrES_PID,$D911,nrES_Code,$F911,nrES_Att,2)&gt;0,"",$L911),IF(COUNTIFS(nrES_PID,$D911,nrES_Code,$F911,nrES_Att,1)=0,$L911,IF($L911&gt;=$J911,cfgRetakeRecordedCap,SUMIFS(nrES_Raw,nrES_PID,$D911,nrES_Code,$F911,nrES_Att,1))))))</f>
        <v/>
      </c>
      <c r="N911" s="15">
        <f>IF($C911="","",IF($L911="","",IF($L911&gt;=$J911,"Yes","No")))</f>
        <v/>
      </c>
      <c r="O911" s="15">
        <f>IF($C911="","",IF($M911="","",IF($M911&gt;=$J911,"Yes","No")))</f>
        <v/>
      </c>
      <c r="P911" s="15">
        <f>IF($C911="","",IF($K911="","",IF(COUNTIFS(nrES_PID,$D911,nrES_Code,$F911,nrES_Att,"&gt;"&amp;$K911)=0,"Yes","No")))</f>
        <v/>
      </c>
      <c r="Q911" s="15">
        <f>IF($C911="","",IF($L911="","",IF(AND($K911=1,$L911&lt;$J911,COUNTIFS(nrES_PID,$D911,nrES_Code,$F911,nrES_Att,2)=0),"Yes","No")))</f>
        <v/>
      </c>
      <c r="R911" s="15">
        <f>IF($C911="","",IF($L911="","",IF(AND($K911=2,$L911&lt;$J911,COUNTIFS(nrES_PID,$D911,nrES_Code,$F911,nrES_Att,1)&gt;0),"Yes","No")))</f>
        <v/>
      </c>
      <c r="S911" s="16" t="n"/>
      <c r="T911" s="17">
        <f>IF($Q911&lt;&gt;"Yes","",IF($S911="","(enter date)",_xlfn.LET(_xlpm.dn,IFERROR(_xlfn.XLOOKUP($S911,nrCDdate,nrCDnum),""),IF(_xlpm.dn="","(not a class day)",IFERROR(_xlfn.XLOOKUP(_xlpm.dn+cfgRetestClassDays,nrCDnum,nrCDdate),"")))))</f>
        <v/>
      </c>
      <c r="U911" s="15">
        <f>IF($Q911&lt;&gt;"Yes","",IF(COUNTIFS(nrES_PID,$D911,nrES_Code,$F911,nrES_Att,2)&gt;0,"Retested",IF(OR($T911="",NOT(ISNUMBER($T911))),"Pending",IF(TODAY()&gt;$T911,"OVERDUE","Due "&amp;TEXT($T911,"mm/dd")))))</f>
        <v/>
      </c>
      <c r="V911" s="14" t="n"/>
      <c r="W911" s="14" t="n"/>
    </row>
    <row r="912">
      <c r="B912" s="15">
        <f>IF($C912="","",$D912&amp;"-"&amp;$F912&amp;"-"&amp;$K912)</f>
        <v/>
      </c>
      <c r="C912" s="14" t="n"/>
      <c r="D912" s="15">
        <f>IF($C912="","",IFERROR(INDEX(rngCadetPIDs,MATCH($C912,rngCadetNames,0)),"?"))</f>
        <v/>
      </c>
      <c r="E912" s="15">
        <f>IF($D912="","",IFERROR(INDEX(nrCadetAgency,MATCH($D912,rngCadetPIDs,0)),""))</f>
        <v/>
      </c>
      <c r="F912" s="14" t="n"/>
      <c r="G912" s="15">
        <f>IF($F912="","",IFERROR(INDEX(rngEPname,MATCH($F912,rngEPcode,0)),"?"))</f>
        <v/>
      </c>
      <c r="H912" s="15">
        <f>IF($F912="","",IFERROR(INDEX(rngEPtype,MATCH($F912,rngEPcode,0)),"?"))</f>
        <v/>
      </c>
      <c r="I912" s="15">
        <f>IF($F912="","",IFERROR(INDEX(rngEPseq,MATCH($F912,rngEPcode,0)),""))</f>
        <v/>
      </c>
      <c r="J912" s="15">
        <f>IF($F912="","",IFERROR(INDEX(rngEPpass,MATCH($F912,rngEPcode,0)),cfgPassingScore))</f>
        <v/>
      </c>
      <c r="K912" s="14" t="n"/>
      <c r="L912" s="14" t="n"/>
      <c r="M912" s="15">
        <f>IF($C912="","",IF($L912="","",IF($K912=1,IF(COUNTIFS(nrES_PID,$D912,nrES_Code,$F912,nrES_Att,2)&gt;0,"",$L912),IF(COUNTIFS(nrES_PID,$D912,nrES_Code,$F912,nrES_Att,1)=0,$L912,IF($L912&gt;=$J912,cfgRetakeRecordedCap,SUMIFS(nrES_Raw,nrES_PID,$D912,nrES_Code,$F912,nrES_Att,1))))))</f>
        <v/>
      </c>
      <c r="N912" s="15">
        <f>IF($C912="","",IF($L912="","",IF($L912&gt;=$J912,"Yes","No")))</f>
        <v/>
      </c>
      <c r="O912" s="15">
        <f>IF($C912="","",IF($M912="","",IF($M912&gt;=$J912,"Yes","No")))</f>
        <v/>
      </c>
      <c r="P912" s="15">
        <f>IF($C912="","",IF($K912="","",IF(COUNTIFS(nrES_PID,$D912,nrES_Code,$F912,nrES_Att,"&gt;"&amp;$K912)=0,"Yes","No")))</f>
        <v/>
      </c>
      <c r="Q912" s="15">
        <f>IF($C912="","",IF($L912="","",IF(AND($K912=1,$L912&lt;$J912,COUNTIFS(nrES_PID,$D912,nrES_Code,$F912,nrES_Att,2)=0),"Yes","No")))</f>
        <v/>
      </c>
      <c r="R912" s="15">
        <f>IF($C912="","",IF($L912="","",IF(AND($K912=2,$L912&lt;$J912,COUNTIFS(nrES_PID,$D912,nrES_Code,$F912,nrES_Att,1)&gt;0),"Yes","No")))</f>
        <v/>
      </c>
      <c r="S912" s="16" t="n"/>
      <c r="T912" s="17">
        <f>IF($Q912&lt;&gt;"Yes","",IF($S912="","(enter date)",_xlfn.LET(_xlpm.dn,IFERROR(_xlfn.XLOOKUP($S912,nrCDdate,nrCDnum),""),IF(_xlpm.dn="","(not a class day)",IFERROR(_xlfn.XLOOKUP(_xlpm.dn+cfgRetestClassDays,nrCDnum,nrCDdate),"")))))</f>
        <v/>
      </c>
      <c r="U912" s="15">
        <f>IF($Q912&lt;&gt;"Yes","",IF(COUNTIFS(nrES_PID,$D912,nrES_Code,$F912,nrES_Att,2)&gt;0,"Retested",IF(OR($T912="",NOT(ISNUMBER($T912))),"Pending",IF(TODAY()&gt;$T912,"OVERDUE","Due "&amp;TEXT($T912,"mm/dd")))))</f>
        <v/>
      </c>
      <c r="V912" s="14" t="n"/>
      <c r="W912" s="14" t="n"/>
    </row>
    <row r="913">
      <c r="B913" s="15">
        <f>IF($C913="","",$D913&amp;"-"&amp;$F913&amp;"-"&amp;$K913)</f>
        <v/>
      </c>
      <c r="C913" s="14" t="n"/>
      <c r="D913" s="15">
        <f>IF($C913="","",IFERROR(INDEX(rngCadetPIDs,MATCH($C913,rngCadetNames,0)),"?"))</f>
        <v/>
      </c>
      <c r="E913" s="15">
        <f>IF($D913="","",IFERROR(INDEX(nrCadetAgency,MATCH($D913,rngCadetPIDs,0)),""))</f>
        <v/>
      </c>
      <c r="F913" s="14" t="n"/>
      <c r="G913" s="15">
        <f>IF($F913="","",IFERROR(INDEX(rngEPname,MATCH($F913,rngEPcode,0)),"?"))</f>
        <v/>
      </c>
      <c r="H913" s="15">
        <f>IF($F913="","",IFERROR(INDEX(rngEPtype,MATCH($F913,rngEPcode,0)),"?"))</f>
        <v/>
      </c>
      <c r="I913" s="15">
        <f>IF($F913="","",IFERROR(INDEX(rngEPseq,MATCH($F913,rngEPcode,0)),""))</f>
        <v/>
      </c>
      <c r="J913" s="15">
        <f>IF($F913="","",IFERROR(INDEX(rngEPpass,MATCH($F913,rngEPcode,0)),cfgPassingScore))</f>
        <v/>
      </c>
      <c r="K913" s="14" t="n"/>
      <c r="L913" s="14" t="n"/>
      <c r="M913" s="15">
        <f>IF($C913="","",IF($L913="","",IF($K913=1,IF(COUNTIFS(nrES_PID,$D913,nrES_Code,$F913,nrES_Att,2)&gt;0,"",$L913),IF(COUNTIFS(nrES_PID,$D913,nrES_Code,$F913,nrES_Att,1)=0,$L913,IF($L913&gt;=$J913,cfgRetakeRecordedCap,SUMIFS(nrES_Raw,nrES_PID,$D913,nrES_Code,$F913,nrES_Att,1))))))</f>
        <v/>
      </c>
      <c r="N913" s="15">
        <f>IF($C913="","",IF($L913="","",IF($L913&gt;=$J913,"Yes","No")))</f>
        <v/>
      </c>
      <c r="O913" s="15">
        <f>IF($C913="","",IF($M913="","",IF($M913&gt;=$J913,"Yes","No")))</f>
        <v/>
      </c>
      <c r="P913" s="15">
        <f>IF($C913="","",IF($K913="","",IF(COUNTIFS(nrES_PID,$D913,nrES_Code,$F913,nrES_Att,"&gt;"&amp;$K913)=0,"Yes","No")))</f>
        <v/>
      </c>
      <c r="Q913" s="15">
        <f>IF($C913="","",IF($L913="","",IF(AND($K913=1,$L913&lt;$J913,COUNTIFS(nrES_PID,$D913,nrES_Code,$F913,nrES_Att,2)=0),"Yes","No")))</f>
        <v/>
      </c>
      <c r="R913" s="15">
        <f>IF($C913="","",IF($L913="","",IF(AND($K913=2,$L913&lt;$J913,COUNTIFS(nrES_PID,$D913,nrES_Code,$F913,nrES_Att,1)&gt;0),"Yes","No")))</f>
        <v/>
      </c>
      <c r="S913" s="16" t="n"/>
      <c r="T913" s="17">
        <f>IF($Q913&lt;&gt;"Yes","",IF($S913="","(enter date)",_xlfn.LET(_xlpm.dn,IFERROR(_xlfn.XLOOKUP($S913,nrCDdate,nrCDnum),""),IF(_xlpm.dn="","(not a class day)",IFERROR(_xlfn.XLOOKUP(_xlpm.dn+cfgRetestClassDays,nrCDnum,nrCDdate),"")))))</f>
        <v/>
      </c>
      <c r="U913" s="15">
        <f>IF($Q913&lt;&gt;"Yes","",IF(COUNTIFS(nrES_PID,$D913,nrES_Code,$F913,nrES_Att,2)&gt;0,"Retested",IF(OR($T913="",NOT(ISNUMBER($T913))),"Pending",IF(TODAY()&gt;$T913,"OVERDUE","Due "&amp;TEXT($T913,"mm/dd")))))</f>
        <v/>
      </c>
      <c r="V913" s="14" t="n"/>
      <c r="W913" s="14" t="n"/>
    </row>
    <row r="914">
      <c r="B914" s="15">
        <f>IF($C914="","",$D914&amp;"-"&amp;$F914&amp;"-"&amp;$K914)</f>
        <v/>
      </c>
      <c r="C914" s="14" t="n"/>
      <c r="D914" s="15">
        <f>IF($C914="","",IFERROR(INDEX(rngCadetPIDs,MATCH($C914,rngCadetNames,0)),"?"))</f>
        <v/>
      </c>
      <c r="E914" s="15">
        <f>IF($D914="","",IFERROR(INDEX(nrCadetAgency,MATCH($D914,rngCadetPIDs,0)),""))</f>
        <v/>
      </c>
      <c r="F914" s="14" t="n"/>
      <c r="G914" s="15">
        <f>IF($F914="","",IFERROR(INDEX(rngEPname,MATCH($F914,rngEPcode,0)),"?"))</f>
        <v/>
      </c>
      <c r="H914" s="15">
        <f>IF($F914="","",IFERROR(INDEX(rngEPtype,MATCH($F914,rngEPcode,0)),"?"))</f>
        <v/>
      </c>
      <c r="I914" s="15">
        <f>IF($F914="","",IFERROR(INDEX(rngEPseq,MATCH($F914,rngEPcode,0)),""))</f>
        <v/>
      </c>
      <c r="J914" s="15">
        <f>IF($F914="","",IFERROR(INDEX(rngEPpass,MATCH($F914,rngEPcode,0)),cfgPassingScore))</f>
        <v/>
      </c>
      <c r="K914" s="14" t="n"/>
      <c r="L914" s="14" t="n"/>
      <c r="M914" s="15">
        <f>IF($C914="","",IF($L914="","",IF($K914=1,IF(COUNTIFS(nrES_PID,$D914,nrES_Code,$F914,nrES_Att,2)&gt;0,"",$L914),IF(COUNTIFS(nrES_PID,$D914,nrES_Code,$F914,nrES_Att,1)=0,$L914,IF($L914&gt;=$J914,cfgRetakeRecordedCap,SUMIFS(nrES_Raw,nrES_PID,$D914,nrES_Code,$F914,nrES_Att,1))))))</f>
        <v/>
      </c>
      <c r="N914" s="15">
        <f>IF($C914="","",IF($L914="","",IF($L914&gt;=$J914,"Yes","No")))</f>
        <v/>
      </c>
      <c r="O914" s="15">
        <f>IF($C914="","",IF($M914="","",IF($M914&gt;=$J914,"Yes","No")))</f>
        <v/>
      </c>
      <c r="P914" s="15">
        <f>IF($C914="","",IF($K914="","",IF(COUNTIFS(nrES_PID,$D914,nrES_Code,$F914,nrES_Att,"&gt;"&amp;$K914)=0,"Yes","No")))</f>
        <v/>
      </c>
      <c r="Q914" s="15">
        <f>IF($C914="","",IF($L914="","",IF(AND($K914=1,$L914&lt;$J914,COUNTIFS(nrES_PID,$D914,nrES_Code,$F914,nrES_Att,2)=0),"Yes","No")))</f>
        <v/>
      </c>
      <c r="R914" s="15">
        <f>IF($C914="","",IF($L914="","",IF(AND($K914=2,$L914&lt;$J914,COUNTIFS(nrES_PID,$D914,nrES_Code,$F914,nrES_Att,1)&gt;0),"Yes","No")))</f>
        <v/>
      </c>
      <c r="S914" s="16" t="n"/>
      <c r="T914" s="17">
        <f>IF($Q914&lt;&gt;"Yes","",IF($S914="","(enter date)",_xlfn.LET(_xlpm.dn,IFERROR(_xlfn.XLOOKUP($S914,nrCDdate,nrCDnum),""),IF(_xlpm.dn="","(not a class day)",IFERROR(_xlfn.XLOOKUP(_xlpm.dn+cfgRetestClassDays,nrCDnum,nrCDdate),"")))))</f>
        <v/>
      </c>
      <c r="U914" s="15">
        <f>IF($Q914&lt;&gt;"Yes","",IF(COUNTIFS(nrES_PID,$D914,nrES_Code,$F914,nrES_Att,2)&gt;0,"Retested",IF(OR($T914="",NOT(ISNUMBER($T914))),"Pending",IF(TODAY()&gt;$T914,"OVERDUE","Due "&amp;TEXT($T914,"mm/dd")))))</f>
        <v/>
      </c>
      <c r="V914" s="14" t="n"/>
      <c r="W914" s="14" t="n"/>
    </row>
    <row r="915">
      <c r="B915" s="15">
        <f>IF($C915="","",$D915&amp;"-"&amp;$F915&amp;"-"&amp;$K915)</f>
        <v/>
      </c>
      <c r="C915" s="14" t="n"/>
      <c r="D915" s="15">
        <f>IF($C915="","",IFERROR(INDEX(rngCadetPIDs,MATCH($C915,rngCadetNames,0)),"?"))</f>
        <v/>
      </c>
      <c r="E915" s="15">
        <f>IF($D915="","",IFERROR(INDEX(nrCadetAgency,MATCH($D915,rngCadetPIDs,0)),""))</f>
        <v/>
      </c>
      <c r="F915" s="14" t="n"/>
      <c r="G915" s="15">
        <f>IF($F915="","",IFERROR(INDEX(rngEPname,MATCH($F915,rngEPcode,0)),"?"))</f>
        <v/>
      </c>
      <c r="H915" s="15">
        <f>IF($F915="","",IFERROR(INDEX(rngEPtype,MATCH($F915,rngEPcode,0)),"?"))</f>
        <v/>
      </c>
      <c r="I915" s="15">
        <f>IF($F915="","",IFERROR(INDEX(rngEPseq,MATCH($F915,rngEPcode,0)),""))</f>
        <v/>
      </c>
      <c r="J915" s="15">
        <f>IF($F915="","",IFERROR(INDEX(rngEPpass,MATCH($F915,rngEPcode,0)),cfgPassingScore))</f>
        <v/>
      </c>
      <c r="K915" s="14" t="n"/>
      <c r="L915" s="14" t="n"/>
      <c r="M915" s="15">
        <f>IF($C915="","",IF($L915="","",IF($K915=1,IF(COUNTIFS(nrES_PID,$D915,nrES_Code,$F915,nrES_Att,2)&gt;0,"",$L915),IF(COUNTIFS(nrES_PID,$D915,nrES_Code,$F915,nrES_Att,1)=0,$L915,IF($L915&gt;=$J915,cfgRetakeRecordedCap,SUMIFS(nrES_Raw,nrES_PID,$D915,nrES_Code,$F915,nrES_Att,1))))))</f>
        <v/>
      </c>
      <c r="N915" s="15">
        <f>IF($C915="","",IF($L915="","",IF($L915&gt;=$J915,"Yes","No")))</f>
        <v/>
      </c>
      <c r="O915" s="15">
        <f>IF($C915="","",IF($M915="","",IF($M915&gt;=$J915,"Yes","No")))</f>
        <v/>
      </c>
      <c r="P915" s="15">
        <f>IF($C915="","",IF($K915="","",IF(COUNTIFS(nrES_PID,$D915,nrES_Code,$F915,nrES_Att,"&gt;"&amp;$K915)=0,"Yes","No")))</f>
        <v/>
      </c>
      <c r="Q915" s="15">
        <f>IF($C915="","",IF($L915="","",IF(AND($K915=1,$L915&lt;$J915,COUNTIFS(nrES_PID,$D915,nrES_Code,$F915,nrES_Att,2)=0),"Yes","No")))</f>
        <v/>
      </c>
      <c r="R915" s="15">
        <f>IF($C915="","",IF($L915="","",IF(AND($K915=2,$L915&lt;$J915,COUNTIFS(nrES_PID,$D915,nrES_Code,$F915,nrES_Att,1)&gt;0),"Yes","No")))</f>
        <v/>
      </c>
      <c r="S915" s="16" t="n"/>
      <c r="T915" s="17">
        <f>IF($Q915&lt;&gt;"Yes","",IF($S915="","(enter date)",_xlfn.LET(_xlpm.dn,IFERROR(_xlfn.XLOOKUP($S915,nrCDdate,nrCDnum),""),IF(_xlpm.dn="","(not a class day)",IFERROR(_xlfn.XLOOKUP(_xlpm.dn+cfgRetestClassDays,nrCDnum,nrCDdate),"")))))</f>
        <v/>
      </c>
      <c r="U915" s="15">
        <f>IF($Q915&lt;&gt;"Yes","",IF(COUNTIFS(nrES_PID,$D915,nrES_Code,$F915,nrES_Att,2)&gt;0,"Retested",IF(OR($T915="",NOT(ISNUMBER($T915))),"Pending",IF(TODAY()&gt;$T915,"OVERDUE","Due "&amp;TEXT($T915,"mm/dd")))))</f>
        <v/>
      </c>
      <c r="V915" s="14" t="n"/>
      <c r="W915" s="14" t="n"/>
    </row>
    <row r="916">
      <c r="B916" s="15">
        <f>IF($C916="","",$D916&amp;"-"&amp;$F916&amp;"-"&amp;$K916)</f>
        <v/>
      </c>
      <c r="C916" s="14" t="n"/>
      <c r="D916" s="15">
        <f>IF($C916="","",IFERROR(INDEX(rngCadetPIDs,MATCH($C916,rngCadetNames,0)),"?"))</f>
        <v/>
      </c>
      <c r="E916" s="15">
        <f>IF($D916="","",IFERROR(INDEX(nrCadetAgency,MATCH($D916,rngCadetPIDs,0)),""))</f>
        <v/>
      </c>
      <c r="F916" s="14" t="n"/>
      <c r="G916" s="15">
        <f>IF($F916="","",IFERROR(INDEX(rngEPname,MATCH($F916,rngEPcode,0)),"?"))</f>
        <v/>
      </c>
      <c r="H916" s="15">
        <f>IF($F916="","",IFERROR(INDEX(rngEPtype,MATCH($F916,rngEPcode,0)),"?"))</f>
        <v/>
      </c>
      <c r="I916" s="15">
        <f>IF($F916="","",IFERROR(INDEX(rngEPseq,MATCH($F916,rngEPcode,0)),""))</f>
        <v/>
      </c>
      <c r="J916" s="15">
        <f>IF($F916="","",IFERROR(INDEX(rngEPpass,MATCH($F916,rngEPcode,0)),cfgPassingScore))</f>
        <v/>
      </c>
      <c r="K916" s="14" t="n"/>
      <c r="L916" s="14" t="n"/>
      <c r="M916" s="15">
        <f>IF($C916="","",IF($L916="","",IF($K916=1,IF(COUNTIFS(nrES_PID,$D916,nrES_Code,$F916,nrES_Att,2)&gt;0,"",$L916),IF(COUNTIFS(nrES_PID,$D916,nrES_Code,$F916,nrES_Att,1)=0,$L916,IF($L916&gt;=$J916,cfgRetakeRecordedCap,SUMIFS(nrES_Raw,nrES_PID,$D916,nrES_Code,$F916,nrES_Att,1))))))</f>
        <v/>
      </c>
      <c r="N916" s="15">
        <f>IF($C916="","",IF($L916="","",IF($L916&gt;=$J916,"Yes","No")))</f>
        <v/>
      </c>
      <c r="O916" s="15">
        <f>IF($C916="","",IF($M916="","",IF($M916&gt;=$J916,"Yes","No")))</f>
        <v/>
      </c>
      <c r="P916" s="15">
        <f>IF($C916="","",IF($K916="","",IF(COUNTIFS(nrES_PID,$D916,nrES_Code,$F916,nrES_Att,"&gt;"&amp;$K916)=0,"Yes","No")))</f>
        <v/>
      </c>
      <c r="Q916" s="15">
        <f>IF($C916="","",IF($L916="","",IF(AND($K916=1,$L916&lt;$J916,COUNTIFS(nrES_PID,$D916,nrES_Code,$F916,nrES_Att,2)=0),"Yes","No")))</f>
        <v/>
      </c>
      <c r="R916" s="15">
        <f>IF($C916="","",IF($L916="","",IF(AND($K916=2,$L916&lt;$J916,COUNTIFS(nrES_PID,$D916,nrES_Code,$F916,nrES_Att,1)&gt;0),"Yes","No")))</f>
        <v/>
      </c>
      <c r="S916" s="16" t="n"/>
      <c r="T916" s="17">
        <f>IF($Q916&lt;&gt;"Yes","",IF($S916="","(enter date)",_xlfn.LET(_xlpm.dn,IFERROR(_xlfn.XLOOKUP($S916,nrCDdate,nrCDnum),""),IF(_xlpm.dn="","(not a class day)",IFERROR(_xlfn.XLOOKUP(_xlpm.dn+cfgRetestClassDays,nrCDnum,nrCDdate),"")))))</f>
        <v/>
      </c>
      <c r="U916" s="15">
        <f>IF($Q916&lt;&gt;"Yes","",IF(COUNTIFS(nrES_PID,$D916,nrES_Code,$F916,nrES_Att,2)&gt;0,"Retested",IF(OR($T916="",NOT(ISNUMBER($T916))),"Pending",IF(TODAY()&gt;$T916,"OVERDUE","Due "&amp;TEXT($T916,"mm/dd")))))</f>
        <v/>
      </c>
      <c r="V916" s="14" t="n"/>
      <c r="W916" s="14" t="n"/>
    </row>
    <row r="917">
      <c r="B917" s="15">
        <f>IF($C917="","",$D917&amp;"-"&amp;$F917&amp;"-"&amp;$K917)</f>
        <v/>
      </c>
      <c r="C917" s="14" t="n"/>
      <c r="D917" s="15">
        <f>IF($C917="","",IFERROR(INDEX(rngCadetPIDs,MATCH($C917,rngCadetNames,0)),"?"))</f>
        <v/>
      </c>
      <c r="E917" s="15">
        <f>IF($D917="","",IFERROR(INDEX(nrCadetAgency,MATCH($D917,rngCadetPIDs,0)),""))</f>
        <v/>
      </c>
      <c r="F917" s="14" t="n"/>
      <c r="G917" s="15">
        <f>IF($F917="","",IFERROR(INDEX(rngEPname,MATCH($F917,rngEPcode,0)),"?"))</f>
        <v/>
      </c>
      <c r="H917" s="15">
        <f>IF($F917="","",IFERROR(INDEX(rngEPtype,MATCH($F917,rngEPcode,0)),"?"))</f>
        <v/>
      </c>
      <c r="I917" s="15">
        <f>IF($F917="","",IFERROR(INDEX(rngEPseq,MATCH($F917,rngEPcode,0)),""))</f>
        <v/>
      </c>
      <c r="J917" s="15">
        <f>IF($F917="","",IFERROR(INDEX(rngEPpass,MATCH($F917,rngEPcode,0)),cfgPassingScore))</f>
        <v/>
      </c>
      <c r="K917" s="14" t="n"/>
      <c r="L917" s="14" t="n"/>
      <c r="M917" s="15">
        <f>IF($C917="","",IF($L917="","",IF($K917=1,IF(COUNTIFS(nrES_PID,$D917,nrES_Code,$F917,nrES_Att,2)&gt;0,"",$L917),IF(COUNTIFS(nrES_PID,$D917,nrES_Code,$F917,nrES_Att,1)=0,$L917,IF($L917&gt;=$J917,cfgRetakeRecordedCap,SUMIFS(nrES_Raw,nrES_PID,$D917,nrES_Code,$F917,nrES_Att,1))))))</f>
        <v/>
      </c>
      <c r="N917" s="15">
        <f>IF($C917="","",IF($L917="","",IF($L917&gt;=$J917,"Yes","No")))</f>
        <v/>
      </c>
      <c r="O917" s="15">
        <f>IF($C917="","",IF($M917="","",IF($M917&gt;=$J917,"Yes","No")))</f>
        <v/>
      </c>
      <c r="P917" s="15">
        <f>IF($C917="","",IF($K917="","",IF(COUNTIFS(nrES_PID,$D917,nrES_Code,$F917,nrES_Att,"&gt;"&amp;$K917)=0,"Yes","No")))</f>
        <v/>
      </c>
      <c r="Q917" s="15">
        <f>IF($C917="","",IF($L917="","",IF(AND($K917=1,$L917&lt;$J917,COUNTIFS(nrES_PID,$D917,nrES_Code,$F917,nrES_Att,2)=0),"Yes","No")))</f>
        <v/>
      </c>
      <c r="R917" s="15">
        <f>IF($C917="","",IF($L917="","",IF(AND($K917=2,$L917&lt;$J917,COUNTIFS(nrES_PID,$D917,nrES_Code,$F917,nrES_Att,1)&gt;0),"Yes","No")))</f>
        <v/>
      </c>
      <c r="S917" s="16" t="n"/>
      <c r="T917" s="17">
        <f>IF($Q917&lt;&gt;"Yes","",IF($S917="","(enter date)",_xlfn.LET(_xlpm.dn,IFERROR(_xlfn.XLOOKUP($S917,nrCDdate,nrCDnum),""),IF(_xlpm.dn="","(not a class day)",IFERROR(_xlfn.XLOOKUP(_xlpm.dn+cfgRetestClassDays,nrCDnum,nrCDdate),"")))))</f>
        <v/>
      </c>
      <c r="U917" s="15">
        <f>IF($Q917&lt;&gt;"Yes","",IF(COUNTIFS(nrES_PID,$D917,nrES_Code,$F917,nrES_Att,2)&gt;0,"Retested",IF(OR($T917="",NOT(ISNUMBER($T917))),"Pending",IF(TODAY()&gt;$T917,"OVERDUE","Due "&amp;TEXT($T917,"mm/dd")))))</f>
        <v/>
      </c>
      <c r="V917" s="14" t="n"/>
      <c r="W917" s="14" t="n"/>
    </row>
    <row r="918">
      <c r="B918" s="15">
        <f>IF($C918="","",$D918&amp;"-"&amp;$F918&amp;"-"&amp;$K918)</f>
        <v/>
      </c>
      <c r="C918" s="14" t="n"/>
      <c r="D918" s="15">
        <f>IF($C918="","",IFERROR(INDEX(rngCadetPIDs,MATCH($C918,rngCadetNames,0)),"?"))</f>
        <v/>
      </c>
      <c r="E918" s="15">
        <f>IF($D918="","",IFERROR(INDEX(nrCadetAgency,MATCH($D918,rngCadetPIDs,0)),""))</f>
        <v/>
      </c>
      <c r="F918" s="14" t="n"/>
      <c r="G918" s="15">
        <f>IF($F918="","",IFERROR(INDEX(rngEPname,MATCH($F918,rngEPcode,0)),"?"))</f>
        <v/>
      </c>
      <c r="H918" s="15">
        <f>IF($F918="","",IFERROR(INDEX(rngEPtype,MATCH($F918,rngEPcode,0)),"?"))</f>
        <v/>
      </c>
      <c r="I918" s="15">
        <f>IF($F918="","",IFERROR(INDEX(rngEPseq,MATCH($F918,rngEPcode,0)),""))</f>
        <v/>
      </c>
      <c r="J918" s="15">
        <f>IF($F918="","",IFERROR(INDEX(rngEPpass,MATCH($F918,rngEPcode,0)),cfgPassingScore))</f>
        <v/>
      </c>
      <c r="K918" s="14" t="n"/>
      <c r="L918" s="14" t="n"/>
      <c r="M918" s="15">
        <f>IF($C918="","",IF($L918="","",IF($K918=1,IF(COUNTIFS(nrES_PID,$D918,nrES_Code,$F918,nrES_Att,2)&gt;0,"",$L918),IF(COUNTIFS(nrES_PID,$D918,nrES_Code,$F918,nrES_Att,1)=0,$L918,IF($L918&gt;=$J918,cfgRetakeRecordedCap,SUMIFS(nrES_Raw,nrES_PID,$D918,nrES_Code,$F918,nrES_Att,1))))))</f>
        <v/>
      </c>
      <c r="N918" s="15">
        <f>IF($C918="","",IF($L918="","",IF($L918&gt;=$J918,"Yes","No")))</f>
        <v/>
      </c>
      <c r="O918" s="15">
        <f>IF($C918="","",IF($M918="","",IF($M918&gt;=$J918,"Yes","No")))</f>
        <v/>
      </c>
      <c r="P918" s="15">
        <f>IF($C918="","",IF($K918="","",IF(COUNTIFS(nrES_PID,$D918,nrES_Code,$F918,nrES_Att,"&gt;"&amp;$K918)=0,"Yes","No")))</f>
        <v/>
      </c>
      <c r="Q918" s="15">
        <f>IF($C918="","",IF($L918="","",IF(AND($K918=1,$L918&lt;$J918,COUNTIFS(nrES_PID,$D918,nrES_Code,$F918,nrES_Att,2)=0),"Yes","No")))</f>
        <v/>
      </c>
      <c r="R918" s="15">
        <f>IF($C918="","",IF($L918="","",IF(AND($K918=2,$L918&lt;$J918,COUNTIFS(nrES_PID,$D918,nrES_Code,$F918,nrES_Att,1)&gt;0),"Yes","No")))</f>
        <v/>
      </c>
      <c r="S918" s="16" t="n"/>
      <c r="T918" s="17">
        <f>IF($Q918&lt;&gt;"Yes","",IF($S918="","(enter date)",_xlfn.LET(_xlpm.dn,IFERROR(_xlfn.XLOOKUP($S918,nrCDdate,nrCDnum),""),IF(_xlpm.dn="","(not a class day)",IFERROR(_xlfn.XLOOKUP(_xlpm.dn+cfgRetestClassDays,nrCDnum,nrCDdate),"")))))</f>
        <v/>
      </c>
      <c r="U918" s="15">
        <f>IF($Q918&lt;&gt;"Yes","",IF(COUNTIFS(nrES_PID,$D918,nrES_Code,$F918,nrES_Att,2)&gt;0,"Retested",IF(OR($T918="",NOT(ISNUMBER($T918))),"Pending",IF(TODAY()&gt;$T918,"OVERDUE","Due "&amp;TEXT($T918,"mm/dd")))))</f>
        <v/>
      </c>
      <c r="V918" s="14" t="n"/>
      <c r="W918" s="14" t="n"/>
    </row>
    <row r="919">
      <c r="B919" s="15">
        <f>IF($C919="","",$D919&amp;"-"&amp;$F919&amp;"-"&amp;$K919)</f>
        <v/>
      </c>
      <c r="C919" s="14" t="n"/>
      <c r="D919" s="15">
        <f>IF($C919="","",IFERROR(INDEX(rngCadetPIDs,MATCH($C919,rngCadetNames,0)),"?"))</f>
        <v/>
      </c>
      <c r="E919" s="15">
        <f>IF($D919="","",IFERROR(INDEX(nrCadetAgency,MATCH($D919,rngCadetPIDs,0)),""))</f>
        <v/>
      </c>
      <c r="F919" s="14" t="n"/>
      <c r="G919" s="15">
        <f>IF($F919="","",IFERROR(INDEX(rngEPname,MATCH($F919,rngEPcode,0)),"?"))</f>
        <v/>
      </c>
      <c r="H919" s="15">
        <f>IF($F919="","",IFERROR(INDEX(rngEPtype,MATCH($F919,rngEPcode,0)),"?"))</f>
        <v/>
      </c>
      <c r="I919" s="15">
        <f>IF($F919="","",IFERROR(INDEX(rngEPseq,MATCH($F919,rngEPcode,0)),""))</f>
        <v/>
      </c>
      <c r="J919" s="15">
        <f>IF($F919="","",IFERROR(INDEX(rngEPpass,MATCH($F919,rngEPcode,0)),cfgPassingScore))</f>
        <v/>
      </c>
      <c r="K919" s="14" t="n"/>
      <c r="L919" s="14" t="n"/>
      <c r="M919" s="15">
        <f>IF($C919="","",IF($L919="","",IF($K919=1,IF(COUNTIFS(nrES_PID,$D919,nrES_Code,$F919,nrES_Att,2)&gt;0,"",$L919),IF(COUNTIFS(nrES_PID,$D919,nrES_Code,$F919,nrES_Att,1)=0,$L919,IF($L919&gt;=$J919,cfgRetakeRecordedCap,SUMIFS(nrES_Raw,nrES_PID,$D919,nrES_Code,$F919,nrES_Att,1))))))</f>
        <v/>
      </c>
      <c r="N919" s="15">
        <f>IF($C919="","",IF($L919="","",IF($L919&gt;=$J919,"Yes","No")))</f>
        <v/>
      </c>
      <c r="O919" s="15">
        <f>IF($C919="","",IF($M919="","",IF($M919&gt;=$J919,"Yes","No")))</f>
        <v/>
      </c>
      <c r="P919" s="15">
        <f>IF($C919="","",IF($K919="","",IF(COUNTIFS(nrES_PID,$D919,nrES_Code,$F919,nrES_Att,"&gt;"&amp;$K919)=0,"Yes","No")))</f>
        <v/>
      </c>
      <c r="Q919" s="15">
        <f>IF($C919="","",IF($L919="","",IF(AND($K919=1,$L919&lt;$J919,COUNTIFS(nrES_PID,$D919,nrES_Code,$F919,nrES_Att,2)=0),"Yes","No")))</f>
        <v/>
      </c>
      <c r="R919" s="15">
        <f>IF($C919="","",IF($L919="","",IF(AND($K919=2,$L919&lt;$J919,COUNTIFS(nrES_PID,$D919,nrES_Code,$F919,nrES_Att,1)&gt;0),"Yes","No")))</f>
        <v/>
      </c>
      <c r="S919" s="16" t="n"/>
      <c r="T919" s="17">
        <f>IF($Q919&lt;&gt;"Yes","",IF($S919="","(enter date)",_xlfn.LET(_xlpm.dn,IFERROR(_xlfn.XLOOKUP($S919,nrCDdate,nrCDnum),""),IF(_xlpm.dn="","(not a class day)",IFERROR(_xlfn.XLOOKUP(_xlpm.dn+cfgRetestClassDays,nrCDnum,nrCDdate),"")))))</f>
        <v/>
      </c>
      <c r="U919" s="15">
        <f>IF($Q919&lt;&gt;"Yes","",IF(COUNTIFS(nrES_PID,$D919,nrES_Code,$F919,nrES_Att,2)&gt;0,"Retested",IF(OR($T919="",NOT(ISNUMBER($T919))),"Pending",IF(TODAY()&gt;$T919,"OVERDUE","Due "&amp;TEXT($T919,"mm/dd")))))</f>
        <v/>
      </c>
      <c r="V919" s="14" t="n"/>
      <c r="W919" s="14" t="n"/>
    </row>
    <row r="920">
      <c r="B920" s="15">
        <f>IF($C920="","",$D920&amp;"-"&amp;$F920&amp;"-"&amp;$K920)</f>
        <v/>
      </c>
      <c r="C920" s="14" t="n"/>
      <c r="D920" s="15">
        <f>IF($C920="","",IFERROR(INDEX(rngCadetPIDs,MATCH($C920,rngCadetNames,0)),"?"))</f>
        <v/>
      </c>
      <c r="E920" s="15">
        <f>IF($D920="","",IFERROR(INDEX(nrCadetAgency,MATCH($D920,rngCadetPIDs,0)),""))</f>
        <v/>
      </c>
      <c r="F920" s="14" t="n"/>
      <c r="G920" s="15">
        <f>IF($F920="","",IFERROR(INDEX(rngEPname,MATCH($F920,rngEPcode,0)),"?"))</f>
        <v/>
      </c>
      <c r="H920" s="15">
        <f>IF($F920="","",IFERROR(INDEX(rngEPtype,MATCH($F920,rngEPcode,0)),"?"))</f>
        <v/>
      </c>
      <c r="I920" s="15">
        <f>IF($F920="","",IFERROR(INDEX(rngEPseq,MATCH($F920,rngEPcode,0)),""))</f>
        <v/>
      </c>
      <c r="J920" s="15">
        <f>IF($F920="","",IFERROR(INDEX(rngEPpass,MATCH($F920,rngEPcode,0)),cfgPassingScore))</f>
        <v/>
      </c>
      <c r="K920" s="14" t="n"/>
      <c r="L920" s="14" t="n"/>
      <c r="M920" s="15">
        <f>IF($C920="","",IF($L920="","",IF($K920=1,IF(COUNTIFS(nrES_PID,$D920,nrES_Code,$F920,nrES_Att,2)&gt;0,"",$L920),IF(COUNTIFS(nrES_PID,$D920,nrES_Code,$F920,nrES_Att,1)=0,$L920,IF($L920&gt;=$J920,cfgRetakeRecordedCap,SUMIFS(nrES_Raw,nrES_PID,$D920,nrES_Code,$F920,nrES_Att,1))))))</f>
        <v/>
      </c>
      <c r="N920" s="15">
        <f>IF($C920="","",IF($L920="","",IF($L920&gt;=$J920,"Yes","No")))</f>
        <v/>
      </c>
      <c r="O920" s="15">
        <f>IF($C920="","",IF($M920="","",IF($M920&gt;=$J920,"Yes","No")))</f>
        <v/>
      </c>
      <c r="P920" s="15">
        <f>IF($C920="","",IF($K920="","",IF(COUNTIFS(nrES_PID,$D920,nrES_Code,$F920,nrES_Att,"&gt;"&amp;$K920)=0,"Yes","No")))</f>
        <v/>
      </c>
      <c r="Q920" s="15">
        <f>IF($C920="","",IF($L920="","",IF(AND($K920=1,$L920&lt;$J920,COUNTIFS(nrES_PID,$D920,nrES_Code,$F920,nrES_Att,2)=0),"Yes","No")))</f>
        <v/>
      </c>
      <c r="R920" s="15">
        <f>IF($C920="","",IF($L920="","",IF(AND($K920=2,$L920&lt;$J920,COUNTIFS(nrES_PID,$D920,nrES_Code,$F920,nrES_Att,1)&gt;0),"Yes","No")))</f>
        <v/>
      </c>
      <c r="S920" s="16" t="n"/>
      <c r="T920" s="17">
        <f>IF($Q920&lt;&gt;"Yes","",IF($S920="","(enter date)",_xlfn.LET(_xlpm.dn,IFERROR(_xlfn.XLOOKUP($S920,nrCDdate,nrCDnum),""),IF(_xlpm.dn="","(not a class day)",IFERROR(_xlfn.XLOOKUP(_xlpm.dn+cfgRetestClassDays,nrCDnum,nrCDdate),"")))))</f>
        <v/>
      </c>
      <c r="U920" s="15">
        <f>IF($Q920&lt;&gt;"Yes","",IF(COUNTIFS(nrES_PID,$D920,nrES_Code,$F920,nrES_Att,2)&gt;0,"Retested",IF(OR($T920="",NOT(ISNUMBER($T920))),"Pending",IF(TODAY()&gt;$T920,"OVERDUE","Due "&amp;TEXT($T920,"mm/dd")))))</f>
        <v/>
      </c>
      <c r="V920" s="14" t="n"/>
      <c r="W920" s="14" t="n"/>
    </row>
    <row r="921">
      <c r="B921" s="15">
        <f>IF($C921="","",$D921&amp;"-"&amp;$F921&amp;"-"&amp;$K921)</f>
        <v/>
      </c>
      <c r="C921" s="14" t="n"/>
      <c r="D921" s="15">
        <f>IF($C921="","",IFERROR(INDEX(rngCadetPIDs,MATCH($C921,rngCadetNames,0)),"?"))</f>
        <v/>
      </c>
      <c r="E921" s="15">
        <f>IF($D921="","",IFERROR(INDEX(nrCadetAgency,MATCH($D921,rngCadetPIDs,0)),""))</f>
        <v/>
      </c>
      <c r="F921" s="14" t="n"/>
      <c r="G921" s="15">
        <f>IF($F921="","",IFERROR(INDEX(rngEPname,MATCH($F921,rngEPcode,0)),"?"))</f>
        <v/>
      </c>
      <c r="H921" s="15">
        <f>IF($F921="","",IFERROR(INDEX(rngEPtype,MATCH($F921,rngEPcode,0)),"?"))</f>
        <v/>
      </c>
      <c r="I921" s="15">
        <f>IF($F921="","",IFERROR(INDEX(rngEPseq,MATCH($F921,rngEPcode,0)),""))</f>
        <v/>
      </c>
      <c r="J921" s="15">
        <f>IF($F921="","",IFERROR(INDEX(rngEPpass,MATCH($F921,rngEPcode,0)),cfgPassingScore))</f>
        <v/>
      </c>
      <c r="K921" s="14" t="n"/>
      <c r="L921" s="14" t="n"/>
      <c r="M921" s="15">
        <f>IF($C921="","",IF($L921="","",IF($K921=1,IF(COUNTIFS(nrES_PID,$D921,nrES_Code,$F921,nrES_Att,2)&gt;0,"",$L921),IF(COUNTIFS(nrES_PID,$D921,nrES_Code,$F921,nrES_Att,1)=0,$L921,IF($L921&gt;=$J921,cfgRetakeRecordedCap,SUMIFS(nrES_Raw,nrES_PID,$D921,nrES_Code,$F921,nrES_Att,1))))))</f>
        <v/>
      </c>
      <c r="N921" s="15">
        <f>IF($C921="","",IF($L921="","",IF($L921&gt;=$J921,"Yes","No")))</f>
        <v/>
      </c>
      <c r="O921" s="15">
        <f>IF($C921="","",IF($M921="","",IF($M921&gt;=$J921,"Yes","No")))</f>
        <v/>
      </c>
      <c r="P921" s="15">
        <f>IF($C921="","",IF($K921="","",IF(COUNTIFS(nrES_PID,$D921,nrES_Code,$F921,nrES_Att,"&gt;"&amp;$K921)=0,"Yes","No")))</f>
        <v/>
      </c>
      <c r="Q921" s="15">
        <f>IF($C921="","",IF($L921="","",IF(AND($K921=1,$L921&lt;$J921,COUNTIFS(nrES_PID,$D921,nrES_Code,$F921,nrES_Att,2)=0),"Yes","No")))</f>
        <v/>
      </c>
      <c r="R921" s="15">
        <f>IF($C921="","",IF($L921="","",IF(AND($K921=2,$L921&lt;$J921,COUNTIFS(nrES_PID,$D921,nrES_Code,$F921,nrES_Att,1)&gt;0),"Yes","No")))</f>
        <v/>
      </c>
      <c r="S921" s="16" t="n"/>
      <c r="T921" s="17">
        <f>IF($Q921&lt;&gt;"Yes","",IF($S921="","(enter date)",_xlfn.LET(_xlpm.dn,IFERROR(_xlfn.XLOOKUP($S921,nrCDdate,nrCDnum),""),IF(_xlpm.dn="","(not a class day)",IFERROR(_xlfn.XLOOKUP(_xlpm.dn+cfgRetestClassDays,nrCDnum,nrCDdate),"")))))</f>
        <v/>
      </c>
      <c r="U921" s="15">
        <f>IF($Q921&lt;&gt;"Yes","",IF(COUNTIFS(nrES_PID,$D921,nrES_Code,$F921,nrES_Att,2)&gt;0,"Retested",IF(OR($T921="",NOT(ISNUMBER($T921))),"Pending",IF(TODAY()&gt;$T921,"OVERDUE","Due "&amp;TEXT($T921,"mm/dd")))))</f>
        <v/>
      </c>
      <c r="V921" s="14" t="n"/>
      <c r="W921" s="14" t="n"/>
    </row>
    <row r="922">
      <c r="B922" s="15">
        <f>IF($C922="","",$D922&amp;"-"&amp;$F922&amp;"-"&amp;$K922)</f>
        <v/>
      </c>
      <c r="C922" s="14" t="n"/>
      <c r="D922" s="15">
        <f>IF($C922="","",IFERROR(INDEX(rngCadetPIDs,MATCH($C922,rngCadetNames,0)),"?"))</f>
        <v/>
      </c>
      <c r="E922" s="15">
        <f>IF($D922="","",IFERROR(INDEX(nrCadetAgency,MATCH($D922,rngCadetPIDs,0)),""))</f>
        <v/>
      </c>
      <c r="F922" s="14" t="n"/>
      <c r="G922" s="15">
        <f>IF($F922="","",IFERROR(INDEX(rngEPname,MATCH($F922,rngEPcode,0)),"?"))</f>
        <v/>
      </c>
      <c r="H922" s="15">
        <f>IF($F922="","",IFERROR(INDEX(rngEPtype,MATCH($F922,rngEPcode,0)),"?"))</f>
        <v/>
      </c>
      <c r="I922" s="15">
        <f>IF($F922="","",IFERROR(INDEX(rngEPseq,MATCH($F922,rngEPcode,0)),""))</f>
        <v/>
      </c>
      <c r="J922" s="15">
        <f>IF($F922="","",IFERROR(INDEX(rngEPpass,MATCH($F922,rngEPcode,0)),cfgPassingScore))</f>
        <v/>
      </c>
      <c r="K922" s="14" t="n"/>
      <c r="L922" s="14" t="n"/>
      <c r="M922" s="15">
        <f>IF($C922="","",IF($L922="","",IF($K922=1,IF(COUNTIFS(nrES_PID,$D922,nrES_Code,$F922,nrES_Att,2)&gt;0,"",$L922),IF(COUNTIFS(nrES_PID,$D922,nrES_Code,$F922,nrES_Att,1)=0,$L922,IF($L922&gt;=$J922,cfgRetakeRecordedCap,SUMIFS(nrES_Raw,nrES_PID,$D922,nrES_Code,$F922,nrES_Att,1))))))</f>
        <v/>
      </c>
      <c r="N922" s="15">
        <f>IF($C922="","",IF($L922="","",IF($L922&gt;=$J922,"Yes","No")))</f>
        <v/>
      </c>
      <c r="O922" s="15">
        <f>IF($C922="","",IF($M922="","",IF($M922&gt;=$J922,"Yes","No")))</f>
        <v/>
      </c>
      <c r="P922" s="15">
        <f>IF($C922="","",IF($K922="","",IF(COUNTIFS(nrES_PID,$D922,nrES_Code,$F922,nrES_Att,"&gt;"&amp;$K922)=0,"Yes","No")))</f>
        <v/>
      </c>
      <c r="Q922" s="15">
        <f>IF($C922="","",IF($L922="","",IF(AND($K922=1,$L922&lt;$J922,COUNTIFS(nrES_PID,$D922,nrES_Code,$F922,nrES_Att,2)=0),"Yes","No")))</f>
        <v/>
      </c>
      <c r="R922" s="15">
        <f>IF($C922="","",IF($L922="","",IF(AND($K922=2,$L922&lt;$J922,COUNTIFS(nrES_PID,$D922,nrES_Code,$F922,nrES_Att,1)&gt;0),"Yes","No")))</f>
        <v/>
      </c>
      <c r="S922" s="16" t="n"/>
      <c r="T922" s="17">
        <f>IF($Q922&lt;&gt;"Yes","",IF($S922="","(enter date)",_xlfn.LET(_xlpm.dn,IFERROR(_xlfn.XLOOKUP($S922,nrCDdate,nrCDnum),""),IF(_xlpm.dn="","(not a class day)",IFERROR(_xlfn.XLOOKUP(_xlpm.dn+cfgRetestClassDays,nrCDnum,nrCDdate),"")))))</f>
        <v/>
      </c>
      <c r="U922" s="15">
        <f>IF($Q922&lt;&gt;"Yes","",IF(COUNTIFS(nrES_PID,$D922,nrES_Code,$F922,nrES_Att,2)&gt;0,"Retested",IF(OR($T922="",NOT(ISNUMBER($T922))),"Pending",IF(TODAY()&gt;$T922,"OVERDUE","Due "&amp;TEXT($T922,"mm/dd")))))</f>
        <v/>
      </c>
      <c r="V922" s="14" t="n"/>
      <c r="W922" s="14" t="n"/>
    </row>
    <row r="923">
      <c r="B923" s="15">
        <f>IF($C923="","",$D923&amp;"-"&amp;$F923&amp;"-"&amp;$K923)</f>
        <v/>
      </c>
      <c r="C923" s="14" t="n"/>
      <c r="D923" s="15">
        <f>IF($C923="","",IFERROR(INDEX(rngCadetPIDs,MATCH($C923,rngCadetNames,0)),"?"))</f>
        <v/>
      </c>
      <c r="E923" s="15">
        <f>IF($D923="","",IFERROR(INDEX(nrCadetAgency,MATCH($D923,rngCadetPIDs,0)),""))</f>
        <v/>
      </c>
      <c r="F923" s="14" t="n"/>
      <c r="G923" s="15">
        <f>IF($F923="","",IFERROR(INDEX(rngEPname,MATCH($F923,rngEPcode,0)),"?"))</f>
        <v/>
      </c>
      <c r="H923" s="15">
        <f>IF($F923="","",IFERROR(INDEX(rngEPtype,MATCH($F923,rngEPcode,0)),"?"))</f>
        <v/>
      </c>
      <c r="I923" s="15">
        <f>IF($F923="","",IFERROR(INDEX(rngEPseq,MATCH($F923,rngEPcode,0)),""))</f>
        <v/>
      </c>
      <c r="J923" s="15">
        <f>IF($F923="","",IFERROR(INDEX(rngEPpass,MATCH($F923,rngEPcode,0)),cfgPassingScore))</f>
        <v/>
      </c>
      <c r="K923" s="14" t="n"/>
      <c r="L923" s="14" t="n"/>
      <c r="M923" s="15">
        <f>IF($C923="","",IF($L923="","",IF($K923=1,IF(COUNTIFS(nrES_PID,$D923,nrES_Code,$F923,nrES_Att,2)&gt;0,"",$L923),IF(COUNTIFS(nrES_PID,$D923,nrES_Code,$F923,nrES_Att,1)=0,$L923,IF($L923&gt;=$J923,cfgRetakeRecordedCap,SUMIFS(nrES_Raw,nrES_PID,$D923,nrES_Code,$F923,nrES_Att,1))))))</f>
        <v/>
      </c>
      <c r="N923" s="15">
        <f>IF($C923="","",IF($L923="","",IF($L923&gt;=$J923,"Yes","No")))</f>
        <v/>
      </c>
      <c r="O923" s="15">
        <f>IF($C923="","",IF($M923="","",IF($M923&gt;=$J923,"Yes","No")))</f>
        <v/>
      </c>
      <c r="P923" s="15">
        <f>IF($C923="","",IF($K923="","",IF(COUNTIFS(nrES_PID,$D923,nrES_Code,$F923,nrES_Att,"&gt;"&amp;$K923)=0,"Yes","No")))</f>
        <v/>
      </c>
      <c r="Q923" s="15">
        <f>IF($C923="","",IF($L923="","",IF(AND($K923=1,$L923&lt;$J923,COUNTIFS(nrES_PID,$D923,nrES_Code,$F923,nrES_Att,2)=0),"Yes","No")))</f>
        <v/>
      </c>
      <c r="R923" s="15">
        <f>IF($C923="","",IF($L923="","",IF(AND($K923=2,$L923&lt;$J923,COUNTIFS(nrES_PID,$D923,nrES_Code,$F923,nrES_Att,1)&gt;0),"Yes","No")))</f>
        <v/>
      </c>
      <c r="S923" s="16" t="n"/>
      <c r="T923" s="17">
        <f>IF($Q923&lt;&gt;"Yes","",IF($S923="","(enter date)",_xlfn.LET(_xlpm.dn,IFERROR(_xlfn.XLOOKUP($S923,nrCDdate,nrCDnum),""),IF(_xlpm.dn="","(not a class day)",IFERROR(_xlfn.XLOOKUP(_xlpm.dn+cfgRetestClassDays,nrCDnum,nrCDdate),"")))))</f>
        <v/>
      </c>
      <c r="U923" s="15">
        <f>IF($Q923&lt;&gt;"Yes","",IF(COUNTIFS(nrES_PID,$D923,nrES_Code,$F923,nrES_Att,2)&gt;0,"Retested",IF(OR($T923="",NOT(ISNUMBER($T923))),"Pending",IF(TODAY()&gt;$T923,"OVERDUE","Due "&amp;TEXT($T923,"mm/dd")))))</f>
        <v/>
      </c>
      <c r="V923" s="14" t="n"/>
      <c r="W923" s="14" t="n"/>
    </row>
    <row r="924">
      <c r="B924" s="15">
        <f>IF($C924="","",$D924&amp;"-"&amp;$F924&amp;"-"&amp;$K924)</f>
        <v/>
      </c>
      <c r="C924" s="14" t="n"/>
      <c r="D924" s="15">
        <f>IF($C924="","",IFERROR(INDEX(rngCadetPIDs,MATCH($C924,rngCadetNames,0)),"?"))</f>
        <v/>
      </c>
      <c r="E924" s="15">
        <f>IF($D924="","",IFERROR(INDEX(nrCadetAgency,MATCH($D924,rngCadetPIDs,0)),""))</f>
        <v/>
      </c>
      <c r="F924" s="14" t="n"/>
      <c r="G924" s="15">
        <f>IF($F924="","",IFERROR(INDEX(rngEPname,MATCH($F924,rngEPcode,0)),"?"))</f>
        <v/>
      </c>
      <c r="H924" s="15">
        <f>IF($F924="","",IFERROR(INDEX(rngEPtype,MATCH($F924,rngEPcode,0)),"?"))</f>
        <v/>
      </c>
      <c r="I924" s="15">
        <f>IF($F924="","",IFERROR(INDEX(rngEPseq,MATCH($F924,rngEPcode,0)),""))</f>
        <v/>
      </c>
      <c r="J924" s="15">
        <f>IF($F924="","",IFERROR(INDEX(rngEPpass,MATCH($F924,rngEPcode,0)),cfgPassingScore))</f>
        <v/>
      </c>
      <c r="K924" s="14" t="n"/>
      <c r="L924" s="14" t="n"/>
      <c r="M924" s="15">
        <f>IF($C924="","",IF($L924="","",IF($K924=1,IF(COUNTIFS(nrES_PID,$D924,nrES_Code,$F924,nrES_Att,2)&gt;0,"",$L924),IF(COUNTIFS(nrES_PID,$D924,nrES_Code,$F924,nrES_Att,1)=0,$L924,IF($L924&gt;=$J924,cfgRetakeRecordedCap,SUMIFS(nrES_Raw,nrES_PID,$D924,nrES_Code,$F924,nrES_Att,1))))))</f>
        <v/>
      </c>
      <c r="N924" s="15">
        <f>IF($C924="","",IF($L924="","",IF($L924&gt;=$J924,"Yes","No")))</f>
        <v/>
      </c>
      <c r="O924" s="15">
        <f>IF($C924="","",IF($M924="","",IF($M924&gt;=$J924,"Yes","No")))</f>
        <v/>
      </c>
      <c r="P924" s="15">
        <f>IF($C924="","",IF($K924="","",IF(COUNTIFS(nrES_PID,$D924,nrES_Code,$F924,nrES_Att,"&gt;"&amp;$K924)=0,"Yes","No")))</f>
        <v/>
      </c>
      <c r="Q924" s="15">
        <f>IF($C924="","",IF($L924="","",IF(AND($K924=1,$L924&lt;$J924,COUNTIFS(nrES_PID,$D924,nrES_Code,$F924,nrES_Att,2)=0),"Yes","No")))</f>
        <v/>
      </c>
      <c r="R924" s="15">
        <f>IF($C924="","",IF($L924="","",IF(AND($K924=2,$L924&lt;$J924,COUNTIFS(nrES_PID,$D924,nrES_Code,$F924,nrES_Att,1)&gt;0),"Yes","No")))</f>
        <v/>
      </c>
      <c r="S924" s="16" t="n"/>
      <c r="T924" s="17">
        <f>IF($Q924&lt;&gt;"Yes","",IF($S924="","(enter date)",_xlfn.LET(_xlpm.dn,IFERROR(_xlfn.XLOOKUP($S924,nrCDdate,nrCDnum),""),IF(_xlpm.dn="","(not a class day)",IFERROR(_xlfn.XLOOKUP(_xlpm.dn+cfgRetestClassDays,nrCDnum,nrCDdate),"")))))</f>
        <v/>
      </c>
      <c r="U924" s="15">
        <f>IF($Q924&lt;&gt;"Yes","",IF(COUNTIFS(nrES_PID,$D924,nrES_Code,$F924,nrES_Att,2)&gt;0,"Retested",IF(OR($T924="",NOT(ISNUMBER($T924))),"Pending",IF(TODAY()&gt;$T924,"OVERDUE","Due "&amp;TEXT($T924,"mm/dd")))))</f>
        <v/>
      </c>
      <c r="V924" s="14" t="n"/>
      <c r="W924" s="14" t="n"/>
    </row>
    <row r="925">
      <c r="B925" s="15">
        <f>IF($C925="","",$D925&amp;"-"&amp;$F925&amp;"-"&amp;$K925)</f>
        <v/>
      </c>
      <c r="C925" s="14" t="n"/>
      <c r="D925" s="15">
        <f>IF($C925="","",IFERROR(INDEX(rngCadetPIDs,MATCH($C925,rngCadetNames,0)),"?"))</f>
        <v/>
      </c>
      <c r="E925" s="15">
        <f>IF($D925="","",IFERROR(INDEX(nrCadetAgency,MATCH($D925,rngCadetPIDs,0)),""))</f>
        <v/>
      </c>
      <c r="F925" s="14" t="n"/>
      <c r="G925" s="15">
        <f>IF($F925="","",IFERROR(INDEX(rngEPname,MATCH($F925,rngEPcode,0)),"?"))</f>
        <v/>
      </c>
      <c r="H925" s="15">
        <f>IF($F925="","",IFERROR(INDEX(rngEPtype,MATCH($F925,rngEPcode,0)),"?"))</f>
        <v/>
      </c>
      <c r="I925" s="15">
        <f>IF($F925="","",IFERROR(INDEX(rngEPseq,MATCH($F925,rngEPcode,0)),""))</f>
        <v/>
      </c>
      <c r="J925" s="15">
        <f>IF($F925="","",IFERROR(INDEX(rngEPpass,MATCH($F925,rngEPcode,0)),cfgPassingScore))</f>
        <v/>
      </c>
      <c r="K925" s="14" t="n"/>
      <c r="L925" s="14" t="n"/>
      <c r="M925" s="15">
        <f>IF($C925="","",IF($L925="","",IF($K925=1,IF(COUNTIFS(nrES_PID,$D925,nrES_Code,$F925,nrES_Att,2)&gt;0,"",$L925),IF(COUNTIFS(nrES_PID,$D925,nrES_Code,$F925,nrES_Att,1)=0,$L925,IF($L925&gt;=$J925,cfgRetakeRecordedCap,SUMIFS(nrES_Raw,nrES_PID,$D925,nrES_Code,$F925,nrES_Att,1))))))</f>
        <v/>
      </c>
      <c r="N925" s="15">
        <f>IF($C925="","",IF($L925="","",IF($L925&gt;=$J925,"Yes","No")))</f>
        <v/>
      </c>
      <c r="O925" s="15">
        <f>IF($C925="","",IF($M925="","",IF($M925&gt;=$J925,"Yes","No")))</f>
        <v/>
      </c>
      <c r="P925" s="15">
        <f>IF($C925="","",IF($K925="","",IF(COUNTIFS(nrES_PID,$D925,nrES_Code,$F925,nrES_Att,"&gt;"&amp;$K925)=0,"Yes","No")))</f>
        <v/>
      </c>
      <c r="Q925" s="15">
        <f>IF($C925="","",IF($L925="","",IF(AND($K925=1,$L925&lt;$J925,COUNTIFS(nrES_PID,$D925,nrES_Code,$F925,nrES_Att,2)=0),"Yes","No")))</f>
        <v/>
      </c>
      <c r="R925" s="15">
        <f>IF($C925="","",IF($L925="","",IF(AND($K925=2,$L925&lt;$J925,COUNTIFS(nrES_PID,$D925,nrES_Code,$F925,nrES_Att,1)&gt;0),"Yes","No")))</f>
        <v/>
      </c>
      <c r="S925" s="16" t="n"/>
      <c r="T925" s="17">
        <f>IF($Q925&lt;&gt;"Yes","",IF($S925="","(enter date)",_xlfn.LET(_xlpm.dn,IFERROR(_xlfn.XLOOKUP($S925,nrCDdate,nrCDnum),""),IF(_xlpm.dn="","(not a class day)",IFERROR(_xlfn.XLOOKUP(_xlpm.dn+cfgRetestClassDays,nrCDnum,nrCDdate),"")))))</f>
        <v/>
      </c>
      <c r="U925" s="15">
        <f>IF($Q925&lt;&gt;"Yes","",IF(COUNTIFS(nrES_PID,$D925,nrES_Code,$F925,nrES_Att,2)&gt;0,"Retested",IF(OR($T925="",NOT(ISNUMBER($T925))),"Pending",IF(TODAY()&gt;$T925,"OVERDUE","Due "&amp;TEXT($T925,"mm/dd")))))</f>
        <v/>
      </c>
      <c r="V925" s="14" t="n"/>
      <c r="W925" s="14" t="n"/>
    </row>
    <row r="926">
      <c r="B926" s="15">
        <f>IF($C926="","",$D926&amp;"-"&amp;$F926&amp;"-"&amp;$K926)</f>
        <v/>
      </c>
      <c r="C926" s="14" t="n"/>
      <c r="D926" s="15">
        <f>IF($C926="","",IFERROR(INDEX(rngCadetPIDs,MATCH($C926,rngCadetNames,0)),"?"))</f>
        <v/>
      </c>
      <c r="E926" s="15">
        <f>IF($D926="","",IFERROR(INDEX(nrCadetAgency,MATCH($D926,rngCadetPIDs,0)),""))</f>
        <v/>
      </c>
      <c r="F926" s="14" t="n"/>
      <c r="G926" s="15">
        <f>IF($F926="","",IFERROR(INDEX(rngEPname,MATCH($F926,rngEPcode,0)),"?"))</f>
        <v/>
      </c>
      <c r="H926" s="15">
        <f>IF($F926="","",IFERROR(INDEX(rngEPtype,MATCH($F926,rngEPcode,0)),"?"))</f>
        <v/>
      </c>
      <c r="I926" s="15">
        <f>IF($F926="","",IFERROR(INDEX(rngEPseq,MATCH($F926,rngEPcode,0)),""))</f>
        <v/>
      </c>
      <c r="J926" s="15">
        <f>IF($F926="","",IFERROR(INDEX(rngEPpass,MATCH($F926,rngEPcode,0)),cfgPassingScore))</f>
        <v/>
      </c>
      <c r="K926" s="14" t="n"/>
      <c r="L926" s="14" t="n"/>
      <c r="M926" s="15">
        <f>IF($C926="","",IF($L926="","",IF($K926=1,IF(COUNTIFS(nrES_PID,$D926,nrES_Code,$F926,nrES_Att,2)&gt;0,"",$L926),IF(COUNTIFS(nrES_PID,$D926,nrES_Code,$F926,nrES_Att,1)=0,$L926,IF($L926&gt;=$J926,cfgRetakeRecordedCap,SUMIFS(nrES_Raw,nrES_PID,$D926,nrES_Code,$F926,nrES_Att,1))))))</f>
        <v/>
      </c>
      <c r="N926" s="15">
        <f>IF($C926="","",IF($L926="","",IF($L926&gt;=$J926,"Yes","No")))</f>
        <v/>
      </c>
      <c r="O926" s="15">
        <f>IF($C926="","",IF($M926="","",IF($M926&gt;=$J926,"Yes","No")))</f>
        <v/>
      </c>
      <c r="P926" s="15">
        <f>IF($C926="","",IF($K926="","",IF(COUNTIFS(nrES_PID,$D926,nrES_Code,$F926,nrES_Att,"&gt;"&amp;$K926)=0,"Yes","No")))</f>
        <v/>
      </c>
      <c r="Q926" s="15">
        <f>IF($C926="","",IF($L926="","",IF(AND($K926=1,$L926&lt;$J926,COUNTIFS(nrES_PID,$D926,nrES_Code,$F926,nrES_Att,2)=0),"Yes","No")))</f>
        <v/>
      </c>
      <c r="R926" s="15">
        <f>IF($C926="","",IF($L926="","",IF(AND($K926=2,$L926&lt;$J926,COUNTIFS(nrES_PID,$D926,nrES_Code,$F926,nrES_Att,1)&gt;0),"Yes","No")))</f>
        <v/>
      </c>
      <c r="S926" s="16" t="n"/>
      <c r="T926" s="17">
        <f>IF($Q926&lt;&gt;"Yes","",IF($S926="","(enter date)",_xlfn.LET(_xlpm.dn,IFERROR(_xlfn.XLOOKUP($S926,nrCDdate,nrCDnum),""),IF(_xlpm.dn="","(not a class day)",IFERROR(_xlfn.XLOOKUP(_xlpm.dn+cfgRetestClassDays,nrCDnum,nrCDdate),"")))))</f>
        <v/>
      </c>
      <c r="U926" s="15">
        <f>IF($Q926&lt;&gt;"Yes","",IF(COUNTIFS(nrES_PID,$D926,nrES_Code,$F926,nrES_Att,2)&gt;0,"Retested",IF(OR($T926="",NOT(ISNUMBER($T926))),"Pending",IF(TODAY()&gt;$T926,"OVERDUE","Due "&amp;TEXT($T926,"mm/dd")))))</f>
        <v/>
      </c>
      <c r="V926" s="14" t="n"/>
      <c r="W926" s="14" t="n"/>
    </row>
    <row r="927">
      <c r="B927" s="15">
        <f>IF($C927="","",$D927&amp;"-"&amp;$F927&amp;"-"&amp;$K927)</f>
        <v/>
      </c>
      <c r="C927" s="14" t="n"/>
      <c r="D927" s="15">
        <f>IF($C927="","",IFERROR(INDEX(rngCadetPIDs,MATCH($C927,rngCadetNames,0)),"?"))</f>
        <v/>
      </c>
      <c r="E927" s="15">
        <f>IF($D927="","",IFERROR(INDEX(nrCadetAgency,MATCH($D927,rngCadetPIDs,0)),""))</f>
        <v/>
      </c>
      <c r="F927" s="14" t="n"/>
      <c r="G927" s="15">
        <f>IF($F927="","",IFERROR(INDEX(rngEPname,MATCH($F927,rngEPcode,0)),"?"))</f>
        <v/>
      </c>
      <c r="H927" s="15">
        <f>IF($F927="","",IFERROR(INDEX(rngEPtype,MATCH($F927,rngEPcode,0)),"?"))</f>
        <v/>
      </c>
      <c r="I927" s="15">
        <f>IF($F927="","",IFERROR(INDEX(rngEPseq,MATCH($F927,rngEPcode,0)),""))</f>
        <v/>
      </c>
      <c r="J927" s="15">
        <f>IF($F927="","",IFERROR(INDEX(rngEPpass,MATCH($F927,rngEPcode,0)),cfgPassingScore))</f>
        <v/>
      </c>
      <c r="K927" s="14" t="n"/>
      <c r="L927" s="14" t="n"/>
      <c r="M927" s="15">
        <f>IF($C927="","",IF($L927="","",IF($K927=1,IF(COUNTIFS(nrES_PID,$D927,nrES_Code,$F927,nrES_Att,2)&gt;0,"",$L927),IF(COUNTIFS(nrES_PID,$D927,nrES_Code,$F927,nrES_Att,1)=0,$L927,IF($L927&gt;=$J927,cfgRetakeRecordedCap,SUMIFS(nrES_Raw,nrES_PID,$D927,nrES_Code,$F927,nrES_Att,1))))))</f>
        <v/>
      </c>
      <c r="N927" s="15">
        <f>IF($C927="","",IF($L927="","",IF($L927&gt;=$J927,"Yes","No")))</f>
        <v/>
      </c>
      <c r="O927" s="15">
        <f>IF($C927="","",IF($M927="","",IF($M927&gt;=$J927,"Yes","No")))</f>
        <v/>
      </c>
      <c r="P927" s="15">
        <f>IF($C927="","",IF($K927="","",IF(COUNTIFS(nrES_PID,$D927,nrES_Code,$F927,nrES_Att,"&gt;"&amp;$K927)=0,"Yes","No")))</f>
        <v/>
      </c>
      <c r="Q927" s="15">
        <f>IF($C927="","",IF($L927="","",IF(AND($K927=1,$L927&lt;$J927,COUNTIFS(nrES_PID,$D927,nrES_Code,$F927,nrES_Att,2)=0),"Yes","No")))</f>
        <v/>
      </c>
      <c r="R927" s="15">
        <f>IF($C927="","",IF($L927="","",IF(AND($K927=2,$L927&lt;$J927,COUNTIFS(nrES_PID,$D927,nrES_Code,$F927,nrES_Att,1)&gt;0),"Yes","No")))</f>
        <v/>
      </c>
      <c r="S927" s="16" t="n"/>
      <c r="T927" s="17">
        <f>IF($Q927&lt;&gt;"Yes","",IF($S927="","(enter date)",_xlfn.LET(_xlpm.dn,IFERROR(_xlfn.XLOOKUP($S927,nrCDdate,nrCDnum),""),IF(_xlpm.dn="","(not a class day)",IFERROR(_xlfn.XLOOKUP(_xlpm.dn+cfgRetestClassDays,nrCDnum,nrCDdate),"")))))</f>
        <v/>
      </c>
      <c r="U927" s="15">
        <f>IF($Q927&lt;&gt;"Yes","",IF(COUNTIFS(nrES_PID,$D927,nrES_Code,$F927,nrES_Att,2)&gt;0,"Retested",IF(OR($T927="",NOT(ISNUMBER($T927))),"Pending",IF(TODAY()&gt;$T927,"OVERDUE","Due "&amp;TEXT($T927,"mm/dd")))))</f>
        <v/>
      </c>
      <c r="V927" s="14" t="n"/>
      <c r="W927" s="14" t="n"/>
    </row>
    <row r="928">
      <c r="B928" s="15">
        <f>IF($C928="","",$D928&amp;"-"&amp;$F928&amp;"-"&amp;$K928)</f>
        <v/>
      </c>
      <c r="C928" s="14" t="n"/>
      <c r="D928" s="15">
        <f>IF($C928="","",IFERROR(INDEX(rngCadetPIDs,MATCH($C928,rngCadetNames,0)),"?"))</f>
        <v/>
      </c>
      <c r="E928" s="15">
        <f>IF($D928="","",IFERROR(INDEX(nrCadetAgency,MATCH($D928,rngCadetPIDs,0)),""))</f>
        <v/>
      </c>
      <c r="F928" s="14" t="n"/>
      <c r="G928" s="15">
        <f>IF($F928="","",IFERROR(INDEX(rngEPname,MATCH($F928,rngEPcode,0)),"?"))</f>
        <v/>
      </c>
      <c r="H928" s="15">
        <f>IF($F928="","",IFERROR(INDEX(rngEPtype,MATCH($F928,rngEPcode,0)),"?"))</f>
        <v/>
      </c>
      <c r="I928" s="15">
        <f>IF($F928="","",IFERROR(INDEX(rngEPseq,MATCH($F928,rngEPcode,0)),""))</f>
        <v/>
      </c>
      <c r="J928" s="15">
        <f>IF($F928="","",IFERROR(INDEX(rngEPpass,MATCH($F928,rngEPcode,0)),cfgPassingScore))</f>
        <v/>
      </c>
      <c r="K928" s="14" t="n"/>
      <c r="L928" s="14" t="n"/>
      <c r="M928" s="15">
        <f>IF($C928="","",IF($L928="","",IF($K928=1,IF(COUNTIFS(nrES_PID,$D928,nrES_Code,$F928,nrES_Att,2)&gt;0,"",$L928),IF(COUNTIFS(nrES_PID,$D928,nrES_Code,$F928,nrES_Att,1)=0,$L928,IF($L928&gt;=$J928,cfgRetakeRecordedCap,SUMIFS(nrES_Raw,nrES_PID,$D928,nrES_Code,$F928,nrES_Att,1))))))</f>
        <v/>
      </c>
      <c r="N928" s="15">
        <f>IF($C928="","",IF($L928="","",IF($L928&gt;=$J928,"Yes","No")))</f>
        <v/>
      </c>
      <c r="O928" s="15">
        <f>IF($C928="","",IF($M928="","",IF($M928&gt;=$J928,"Yes","No")))</f>
        <v/>
      </c>
      <c r="P928" s="15">
        <f>IF($C928="","",IF($K928="","",IF(COUNTIFS(nrES_PID,$D928,nrES_Code,$F928,nrES_Att,"&gt;"&amp;$K928)=0,"Yes","No")))</f>
        <v/>
      </c>
      <c r="Q928" s="15">
        <f>IF($C928="","",IF($L928="","",IF(AND($K928=1,$L928&lt;$J928,COUNTIFS(nrES_PID,$D928,nrES_Code,$F928,nrES_Att,2)=0),"Yes","No")))</f>
        <v/>
      </c>
      <c r="R928" s="15">
        <f>IF($C928="","",IF($L928="","",IF(AND($K928=2,$L928&lt;$J928,COUNTIFS(nrES_PID,$D928,nrES_Code,$F928,nrES_Att,1)&gt;0),"Yes","No")))</f>
        <v/>
      </c>
      <c r="S928" s="16" t="n"/>
      <c r="T928" s="17">
        <f>IF($Q928&lt;&gt;"Yes","",IF($S928="","(enter date)",_xlfn.LET(_xlpm.dn,IFERROR(_xlfn.XLOOKUP($S928,nrCDdate,nrCDnum),""),IF(_xlpm.dn="","(not a class day)",IFERROR(_xlfn.XLOOKUP(_xlpm.dn+cfgRetestClassDays,nrCDnum,nrCDdate),"")))))</f>
        <v/>
      </c>
      <c r="U928" s="15">
        <f>IF($Q928&lt;&gt;"Yes","",IF(COUNTIFS(nrES_PID,$D928,nrES_Code,$F928,nrES_Att,2)&gt;0,"Retested",IF(OR($T928="",NOT(ISNUMBER($T928))),"Pending",IF(TODAY()&gt;$T928,"OVERDUE","Due "&amp;TEXT($T928,"mm/dd")))))</f>
        <v/>
      </c>
      <c r="V928" s="14" t="n"/>
      <c r="W928" s="14" t="n"/>
    </row>
    <row r="929">
      <c r="B929" s="15">
        <f>IF($C929="","",$D929&amp;"-"&amp;$F929&amp;"-"&amp;$K929)</f>
        <v/>
      </c>
      <c r="C929" s="14" t="n"/>
      <c r="D929" s="15">
        <f>IF($C929="","",IFERROR(INDEX(rngCadetPIDs,MATCH($C929,rngCadetNames,0)),"?"))</f>
        <v/>
      </c>
      <c r="E929" s="15">
        <f>IF($D929="","",IFERROR(INDEX(nrCadetAgency,MATCH($D929,rngCadetPIDs,0)),""))</f>
        <v/>
      </c>
      <c r="F929" s="14" t="n"/>
      <c r="G929" s="15">
        <f>IF($F929="","",IFERROR(INDEX(rngEPname,MATCH($F929,rngEPcode,0)),"?"))</f>
        <v/>
      </c>
      <c r="H929" s="15">
        <f>IF($F929="","",IFERROR(INDEX(rngEPtype,MATCH($F929,rngEPcode,0)),"?"))</f>
        <v/>
      </c>
      <c r="I929" s="15">
        <f>IF($F929="","",IFERROR(INDEX(rngEPseq,MATCH($F929,rngEPcode,0)),""))</f>
        <v/>
      </c>
      <c r="J929" s="15">
        <f>IF($F929="","",IFERROR(INDEX(rngEPpass,MATCH($F929,rngEPcode,0)),cfgPassingScore))</f>
        <v/>
      </c>
      <c r="K929" s="14" t="n"/>
      <c r="L929" s="14" t="n"/>
      <c r="M929" s="15">
        <f>IF($C929="","",IF($L929="","",IF($K929=1,IF(COUNTIFS(nrES_PID,$D929,nrES_Code,$F929,nrES_Att,2)&gt;0,"",$L929),IF(COUNTIFS(nrES_PID,$D929,nrES_Code,$F929,nrES_Att,1)=0,$L929,IF($L929&gt;=$J929,cfgRetakeRecordedCap,SUMIFS(nrES_Raw,nrES_PID,$D929,nrES_Code,$F929,nrES_Att,1))))))</f>
        <v/>
      </c>
      <c r="N929" s="15">
        <f>IF($C929="","",IF($L929="","",IF($L929&gt;=$J929,"Yes","No")))</f>
        <v/>
      </c>
      <c r="O929" s="15">
        <f>IF($C929="","",IF($M929="","",IF($M929&gt;=$J929,"Yes","No")))</f>
        <v/>
      </c>
      <c r="P929" s="15">
        <f>IF($C929="","",IF($K929="","",IF(COUNTIFS(nrES_PID,$D929,nrES_Code,$F929,nrES_Att,"&gt;"&amp;$K929)=0,"Yes","No")))</f>
        <v/>
      </c>
      <c r="Q929" s="15">
        <f>IF($C929="","",IF($L929="","",IF(AND($K929=1,$L929&lt;$J929,COUNTIFS(nrES_PID,$D929,nrES_Code,$F929,nrES_Att,2)=0),"Yes","No")))</f>
        <v/>
      </c>
      <c r="R929" s="15">
        <f>IF($C929="","",IF($L929="","",IF(AND($K929=2,$L929&lt;$J929,COUNTIFS(nrES_PID,$D929,nrES_Code,$F929,nrES_Att,1)&gt;0),"Yes","No")))</f>
        <v/>
      </c>
      <c r="S929" s="16" t="n"/>
      <c r="T929" s="17">
        <f>IF($Q929&lt;&gt;"Yes","",IF($S929="","(enter date)",_xlfn.LET(_xlpm.dn,IFERROR(_xlfn.XLOOKUP($S929,nrCDdate,nrCDnum),""),IF(_xlpm.dn="","(not a class day)",IFERROR(_xlfn.XLOOKUP(_xlpm.dn+cfgRetestClassDays,nrCDnum,nrCDdate),"")))))</f>
        <v/>
      </c>
      <c r="U929" s="15">
        <f>IF($Q929&lt;&gt;"Yes","",IF(COUNTIFS(nrES_PID,$D929,nrES_Code,$F929,nrES_Att,2)&gt;0,"Retested",IF(OR($T929="",NOT(ISNUMBER($T929))),"Pending",IF(TODAY()&gt;$T929,"OVERDUE","Due "&amp;TEXT($T929,"mm/dd")))))</f>
        <v/>
      </c>
      <c r="V929" s="14" t="n"/>
      <c r="W929" s="14" t="n"/>
    </row>
    <row r="930">
      <c r="B930" s="15">
        <f>IF($C930="","",$D930&amp;"-"&amp;$F930&amp;"-"&amp;$K930)</f>
        <v/>
      </c>
      <c r="C930" s="14" t="n"/>
      <c r="D930" s="15">
        <f>IF($C930="","",IFERROR(INDEX(rngCadetPIDs,MATCH($C930,rngCadetNames,0)),"?"))</f>
        <v/>
      </c>
      <c r="E930" s="15">
        <f>IF($D930="","",IFERROR(INDEX(nrCadetAgency,MATCH($D930,rngCadetPIDs,0)),""))</f>
        <v/>
      </c>
      <c r="F930" s="14" t="n"/>
      <c r="G930" s="15">
        <f>IF($F930="","",IFERROR(INDEX(rngEPname,MATCH($F930,rngEPcode,0)),"?"))</f>
        <v/>
      </c>
      <c r="H930" s="15">
        <f>IF($F930="","",IFERROR(INDEX(rngEPtype,MATCH($F930,rngEPcode,0)),"?"))</f>
        <v/>
      </c>
      <c r="I930" s="15">
        <f>IF($F930="","",IFERROR(INDEX(rngEPseq,MATCH($F930,rngEPcode,0)),""))</f>
        <v/>
      </c>
      <c r="J930" s="15">
        <f>IF($F930="","",IFERROR(INDEX(rngEPpass,MATCH($F930,rngEPcode,0)),cfgPassingScore))</f>
        <v/>
      </c>
      <c r="K930" s="14" t="n"/>
      <c r="L930" s="14" t="n"/>
      <c r="M930" s="15">
        <f>IF($C930="","",IF($L930="","",IF($K930=1,IF(COUNTIFS(nrES_PID,$D930,nrES_Code,$F930,nrES_Att,2)&gt;0,"",$L930),IF(COUNTIFS(nrES_PID,$D930,nrES_Code,$F930,nrES_Att,1)=0,$L930,IF($L930&gt;=$J930,cfgRetakeRecordedCap,SUMIFS(nrES_Raw,nrES_PID,$D930,nrES_Code,$F930,nrES_Att,1))))))</f>
        <v/>
      </c>
      <c r="N930" s="15">
        <f>IF($C930="","",IF($L930="","",IF($L930&gt;=$J930,"Yes","No")))</f>
        <v/>
      </c>
      <c r="O930" s="15">
        <f>IF($C930="","",IF($M930="","",IF($M930&gt;=$J930,"Yes","No")))</f>
        <v/>
      </c>
      <c r="P930" s="15">
        <f>IF($C930="","",IF($K930="","",IF(COUNTIFS(nrES_PID,$D930,nrES_Code,$F930,nrES_Att,"&gt;"&amp;$K930)=0,"Yes","No")))</f>
        <v/>
      </c>
      <c r="Q930" s="15">
        <f>IF($C930="","",IF($L930="","",IF(AND($K930=1,$L930&lt;$J930,COUNTIFS(nrES_PID,$D930,nrES_Code,$F930,nrES_Att,2)=0),"Yes","No")))</f>
        <v/>
      </c>
      <c r="R930" s="15">
        <f>IF($C930="","",IF($L930="","",IF(AND($K930=2,$L930&lt;$J930,COUNTIFS(nrES_PID,$D930,nrES_Code,$F930,nrES_Att,1)&gt;0),"Yes","No")))</f>
        <v/>
      </c>
      <c r="S930" s="16" t="n"/>
      <c r="T930" s="17">
        <f>IF($Q930&lt;&gt;"Yes","",IF($S930="","(enter date)",_xlfn.LET(_xlpm.dn,IFERROR(_xlfn.XLOOKUP($S930,nrCDdate,nrCDnum),""),IF(_xlpm.dn="","(not a class day)",IFERROR(_xlfn.XLOOKUP(_xlpm.dn+cfgRetestClassDays,nrCDnum,nrCDdate),"")))))</f>
        <v/>
      </c>
      <c r="U930" s="15">
        <f>IF($Q930&lt;&gt;"Yes","",IF(COUNTIFS(nrES_PID,$D930,nrES_Code,$F930,nrES_Att,2)&gt;0,"Retested",IF(OR($T930="",NOT(ISNUMBER($T930))),"Pending",IF(TODAY()&gt;$T930,"OVERDUE","Due "&amp;TEXT($T930,"mm/dd")))))</f>
        <v/>
      </c>
      <c r="V930" s="14" t="n"/>
      <c r="W930" s="14" t="n"/>
    </row>
    <row r="931">
      <c r="B931" s="15">
        <f>IF($C931="","",$D931&amp;"-"&amp;$F931&amp;"-"&amp;$K931)</f>
        <v/>
      </c>
      <c r="C931" s="14" t="n"/>
      <c r="D931" s="15">
        <f>IF($C931="","",IFERROR(INDEX(rngCadetPIDs,MATCH($C931,rngCadetNames,0)),"?"))</f>
        <v/>
      </c>
      <c r="E931" s="15">
        <f>IF($D931="","",IFERROR(INDEX(nrCadetAgency,MATCH($D931,rngCadetPIDs,0)),""))</f>
        <v/>
      </c>
      <c r="F931" s="14" t="n"/>
      <c r="G931" s="15">
        <f>IF($F931="","",IFERROR(INDEX(rngEPname,MATCH($F931,rngEPcode,0)),"?"))</f>
        <v/>
      </c>
      <c r="H931" s="15">
        <f>IF($F931="","",IFERROR(INDEX(rngEPtype,MATCH($F931,rngEPcode,0)),"?"))</f>
        <v/>
      </c>
      <c r="I931" s="15">
        <f>IF($F931="","",IFERROR(INDEX(rngEPseq,MATCH($F931,rngEPcode,0)),""))</f>
        <v/>
      </c>
      <c r="J931" s="15">
        <f>IF($F931="","",IFERROR(INDEX(rngEPpass,MATCH($F931,rngEPcode,0)),cfgPassingScore))</f>
        <v/>
      </c>
      <c r="K931" s="14" t="n"/>
      <c r="L931" s="14" t="n"/>
      <c r="M931" s="15">
        <f>IF($C931="","",IF($L931="","",IF($K931=1,IF(COUNTIFS(nrES_PID,$D931,nrES_Code,$F931,nrES_Att,2)&gt;0,"",$L931),IF(COUNTIFS(nrES_PID,$D931,nrES_Code,$F931,nrES_Att,1)=0,$L931,IF($L931&gt;=$J931,cfgRetakeRecordedCap,SUMIFS(nrES_Raw,nrES_PID,$D931,nrES_Code,$F931,nrES_Att,1))))))</f>
        <v/>
      </c>
      <c r="N931" s="15">
        <f>IF($C931="","",IF($L931="","",IF($L931&gt;=$J931,"Yes","No")))</f>
        <v/>
      </c>
      <c r="O931" s="15">
        <f>IF($C931="","",IF($M931="","",IF($M931&gt;=$J931,"Yes","No")))</f>
        <v/>
      </c>
      <c r="P931" s="15">
        <f>IF($C931="","",IF($K931="","",IF(COUNTIFS(nrES_PID,$D931,nrES_Code,$F931,nrES_Att,"&gt;"&amp;$K931)=0,"Yes","No")))</f>
        <v/>
      </c>
      <c r="Q931" s="15">
        <f>IF($C931="","",IF($L931="","",IF(AND($K931=1,$L931&lt;$J931,COUNTIFS(nrES_PID,$D931,nrES_Code,$F931,nrES_Att,2)=0),"Yes","No")))</f>
        <v/>
      </c>
      <c r="R931" s="15">
        <f>IF($C931="","",IF($L931="","",IF(AND($K931=2,$L931&lt;$J931,COUNTIFS(nrES_PID,$D931,nrES_Code,$F931,nrES_Att,1)&gt;0),"Yes","No")))</f>
        <v/>
      </c>
      <c r="S931" s="16" t="n"/>
      <c r="T931" s="17">
        <f>IF($Q931&lt;&gt;"Yes","",IF($S931="","(enter date)",_xlfn.LET(_xlpm.dn,IFERROR(_xlfn.XLOOKUP($S931,nrCDdate,nrCDnum),""),IF(_xlpm.dn="","(not a class day)",IFERROR(_xlfn.XLOOKUP(_xlpm.dn+cfgRetestClassDays,nrCDnum,nrCDdate),"")))))</f>
        <v/>
      </c>
      <c r="U931" s="15">
        <f>IF($Q931&lt;&gt;"Yes","",IF(COUNTIFS(nrES_PID,$D931,nrES_Code,$F931,nrES_Att,2)&gt;0,"Retested",IF(OR($T931="",NOT(ISNUMBER($T931))),"Pending",IF(TODAY()&gt;$T931,"OVERDUE","Due "&amp;TEXT($T931,"mm/dd")))))</f>
        <v/>
      </c>
      <c r="V931" s="14" t="n"/>
      <c r="W931" s="14" t="n"/>
    </row>
    <row r="932">
      <c r="B932" s="15">
        <f>IF($C932="","",$D932&amp;"-"&amp;$F932&amp;"-"&amp;$K932)</f>
        <v/>
      </c>
      <c r="C932" s="14" t="n"/>
      <c r="D932" s="15">
        <f>IF($C932="","",IFERROR(INDEX(rngCadetPIDs,MATCH($C932,rngCadetNames,0)),"?"))</f>
        <v/>
      </c>
      <c r="E932" s="15">
        <f>IF($D932="","",IFERROR(INDEX(nrCadetAgency,MATCH($D932,rngCadetPIDs,0)),""))</f>
        <v/>
      </c>
      <c r="F932" s="14" t="n"/>
      <c r="G932" s="15">
        <f>IF($F932="","",IFERROR(INDEX(rngEPname,MATCH($F932,rngEPcode,0)),"?"))</f>
        <v/>
      </c>
      <c r="H932" s="15">
        <f>IF($F932="","",IFERROR(INDEX(rngEPtype,MATCH($F932,rngEPcode,0)),"?"))</f>
        <v/>
      </c>
      <c r="I932" s="15">
        <f>IF($F932="","",IFERROR(INDEX(rngEPseq,MATCH($F932,rngEPcode,0)),""))</f>
        <v/>
      </c>
      <c r="J932" s="15">
        <f>IF($F932="","",IFERROR(INDEX(rngEPpass,MATCH($F932,rngEPcode,0)),cfgPassingScore))</f>
        <v/>
      </c>
      <c r="K932" s="14" t="n"/>
      <c r="L932" s="14" t="n"/>
      <c r="M932" s="15">
        <f>IF($C932="","",IF($L932="","",IF($K932=1,IF(COUNTIFS(nrES_PID,$D932,nrES_Code,$F932,nrES_Att,2)&gt;0,"",$L932),IF(COUNTIFS(nrES_PID,$D932,nrES_Code,$F932,nrES_Att,1)=0,$L932,IF($L932&gt;=$J932,cfgRetakeRecordedCap,SUMIFS(nrES_Raw,nrES_PID,$D932,nrES_Code,$F932,nrES_Att,1))))))</f>
        <v/>
      </c>
      <c r="N932" s="15">
        <f>IF($C932="","",IF($L932="","",IF($L932&gt;=$J932,"Yes","No")))</f>
        <v/>
      </c>
      <c r="O932" s="15">
        <f>IF($C932="","",IF($M932="","",IF($M932&gt;=$J932,"Yes","No")))</f>
        <v/>
      </c>
      <c r="P932" s="15">
        <f>IF($C932="","",IF($K932="","",IF(COUNTIFS(nrES_PID,$D932,nrES_Code,$F932,nrES_Att,"&gt;"&amp;$K932)=0,"Yes","No")))</f>
        <v/>
      </c>
      <c r="Q932" s="15">
        <f>IF($C932="","",IF($L932="","",IF(AND($K932=1,$L932&lt;$J932,COUNTIFS(nrES_PID,$D932,nrES_Code,$F932,nrES_Att,2)=0),"Yes","No")))</f>
        <v/>
      </c>
      <c r="R932" s="15">
        <f>IF($C932="","",IF($L932="","",IF(AND($K932=2,$L932&lt;$J932,COUNTIFS(nrES_PID,$D932,nrES_Code,$F932,nrES_Att,1)&gt;0),"Yes","No")))</f>
        <v/>
      </c>
      <c r="S932" s="16" t="n"/>
      <c r="T932" s="17">
        <f>IF($Q932&lt;&gt;"Yes","",IF($S932="","(enter date)",_xlfn.LET(_xlpm.dn,IFERROR(_xlfn.XLOOKUP($S932,nrCDdate,nrCDnum),""),IF(_xlpm.dn="","(not a class day)",IFERROR(_xlfn.XLOOKUP(_xlpm.dn+cfgRetestClassDays,nrCDnum,nrCDdate),"")))))</f>
        <v/>
      </c>
      <c r="U932" s="15">
        <f>IF($Q932&lt;&gt;"Yes","",IF(COUNTIFS(nrES_PID,$D932,nrES_Code,$F932,nrES_Att,2)&gt;0,"Retested",IF(OR($T932="",NOT(ISNUMBER($T932))),"Pending",IF(TODAY()&gt;$T932,"OVERDUE","Due "&amp;TEXT($T932,"mm/dd")))))</f>
        <v/>
      </c>
      <c r="V932" s="14" t="n"/>
      <c r="W932" s="14" t="n"/>
    </row>
    <row r="933">
      <c r="B933" s="15">
        <f>IF($C933="","",$D933&amp;"-"&amp;$F933&amp;"-"&amp;$K933)</f>
        <v/>
      </c>
      <c r="C933" s="14" t="n"/>
      <c r="D933" s="15">
        <f>IF($C933="","",IFERROR(INDEX(rngCadetPIDs,MATCH($C933,rngCadetNames,0)),"?"))</f>
        <v/>
      </c>
      <c r="E933" s="15">
        <f>IF($D933="","",IFERROR(INDEX(nrCadetAgency,MATCH($D933,rngCadetPIDs,0)),""))</f>
        <v/>
      </c>
      <c r="F933" s="14" t="n"/>
      <c r="G933" s="15">
        <f>IF($F933="","",IFERROR(INDEX(rngEPname,MATCH($F933,rngEPcode,0)),"?"))</f>
        <v/>
      </c>
      <c r="H933" s="15">
        <f>IF($F933="","",IFERROR(INDEX(rngEPtype,MATCH($F933,rngEPcode,0)),"?"))</f>
        <v/>
      </c>
      <c r="I933" s="15">
        <f>IF($F933="","",IFERROR(INDEX(rngEPseq,MATCH($F933,rngEPcode,0)),""))</f>
        <v/>
      </c>
      <c r="J933" s="15">
        <f>IF($F933="","",IFERROR(INDEX(rngEPpass,MATCH($F933,rngEPcode,0)),cfgPassingScore))</f>
        <v/>
      </c>
      <c r="K933" s="14" t="n"/>
      <c r="L933" s="14" t="n"/>
      <c r="M933" s="15">
        <f>IF($C933="","",IF($L933="","",IF($K933=1,IF(COUNTIFS(nrES_PID,$D933,nrES_Code,$F933,nrES_Att,2)&gt;0,"",$L933),IF(COUNTIFS(nrES_PID,$D933,nrES_Code,$F933,nrES_Att,1)=0,$L933,IF($L933&gt;=$J933,cfgRetakeRecordedCap,SUMIFS(nrES_Raw,nrES_PID,$D933,nrES_Code,$F933,nrES_Att,1))))))</f>
        <v/>
      </c>
      <c r="N933" s="15">
        <f>IF($C933="","",IF($L933="","",IF($L933&gt;=$J933,"Yes","No")))</f>
        <v/>
      </c>
      <c r="O933" s="15">
        <f>IF($C933="","",IF($M933="","",IF($M933&gt;=$J933,"Yes","No")))</f>
        <v/>
      </c>
      <c r="P933" s="15">
        <f>IF($C933="","",IF($K933="","",IF(COUNTIFS(nrES_PID,$D933,nrES_Code,$F933,nrES_Att,"&gt;"&amp;$K933)=0,"Yes","No")))</f>
        <v/>
      </c>
      <c r="Q933" s="15">
        <f>IF($C933="","",IF($L933="","",IF(AND($K933=1,$L933&lt;$J933,COUNTIFS(nrES_PID,$D933,nrES_Code,$F933,nrES_Att,2)=0),"Yes","No")))</f>
        <v/>
      </c>
      <c r="R933" s="15">
        <f>IF($C933="","",IF($L933="","",IF(AND($K933=2,$L933&lt;$J933,COUNTIFS(nrES_PID,$D933,nrES_Code,$F933,nrES_Att,1)&gt;0),"Yes","No")))</f>
        <v/>
      </c>
      <c r="S933" s="16" t="n"/>
      <c r="T933" s="17">
        <f>IF($Q933&lt;&gt;"Yes","",IF($S933="","(enter date)",_xlfn.LET(_xlpm.dn,IFERROR(_xlfn.XLOOKUP($S933,nrCDdate,nrCDnum),""),IF(_xlpm.dn="","(not a class day)",IFERROR(_xlfn.XLOOKUP(_xlpm.dn+cfgRetestClassDays,nrCDnum,nrCDdate),"")))))</f>
        <v/>
      </c>
      <c r="U933" s="15">
        <f>IF($Q933&lt;&gt;"Yes","",IF(COUNTIFS(nrES_PID,$D933,nrES_Code,$F933,nrES_Att,2)&gt;0,"Retested",IF(OR($T933="",NOT(ISNUMBER($T933))),"Pending",IF(TODAY()&gt;$T933,"OVERDUE","Due "&amp;TEXT($T933,"mm/dd")))))</f>
        <v/>
      </c>
      <c r="V933" s="14" t="n"/>
      <c r="W933" s="14" t="n"/>
    </row>
    <row r="934">
      <c r="B934" s="15">
        <f>IF($C934="","",$D934&amp;"-"&amp;$F934&amp;"-"&amp;$K934)</f>
        <v/>
      </c>
      <c r="C934" s="14" t="n"/>
      <c r="D934" s="15">
        <f>IF($C934="","",IFERROR(INDEX(rngCadetPIDs,MATCH($C934,rngCadetNames,0)),"?"))</f>
        <v/>
      </c>
      <c r="E934" s="15">
        <f>IF($D934="","",IFERROR(INDEX(nrCadetAgency,MATCH($D934,rngCadetPIDs,0)),""))</f>
        <v/>
      </c>
      <c r="F934" s="14" t="n"/>
      <c r="G934" s="15">
        <f>IF($F934="","",IFERROR(INDEX(rngEPname,MATCH($F934,rngEPcode,0)),"?"))</f>
        <v/>
      </c>
      <c r="H934" s="15">
        <f>IF($F934="","",IFERROR(INDEX(rngEPtype,MATCH($F934,rngEPcode,0)),"?"))</f>
        <v/>
      </c>
      <c r="I934" s="15">
        <f>IF($F934="","",IFERROR(INDEX(rngEPseq,MATCH($F934,rngEPcode,0)),""))</f>
        <v/>
      </c>
      <c r="J934" s="15">
        <f>IF($F934="","",IFERROR(INDEX(rngEPpass,MATCH($F934,rngEPcode,0)),cfgPassingScore))</f>
        <v/>
      </c>
      <c r="K934" s="14" t="n"/>
      <c r="L934" s="14" t="n"/>
      <c r="M934" s="15">
        <f>IF($C934="","",IF($L934="","",IF($K934=1,IF(COUNTIFS(nrES_PID,$D934,nrES_Code,$F934,nrES_Att,2)&gt;0,"",$L934),IF(COUNTIFS(nrES_PID,$D934,nrES_Code,$F934,nrES_Att,1)=0,$L934,IF($L934&gt;=$J934,cfgRetakeRecordedCap,SUMIFS(nrES_Raw,nrES_PID,$D934,nrES_Code,$F934,nrES_Att,1))))))</f>
        <v/>
      </c>
      <c r="N934" s="15">
        <f>IF($C934="","",IF($L934="","",IF($L934&gt;=$J934,"Yes","No")))</f>
        <v/>
      </c>
      <c r="O934" s="15">
        <f>IF($C934="","",IF($M934="","",IF($M934&gt;=$J934,"Yes","No")))</f>
        <v/>
      </c>
      <c r="P934" s="15">
        <f>IF($C934="","",IF($K934="","",IF(COUNTIFS(nrES_PID,$D934,nrES_Code,$F934,nrES_Att,"&gt;"&amp;$K934)=0,"Yes","No")))</f>
        <v/>
      </c>
      <c r="Q934" s="15">
        <f>IF($C934="","",IF($L934="","",IF(AND($K934=1,$L934&lt;$J934,COUNTIFS(nrES_PID,$D934,nrES_Code,$F934,nrES_Att,2)=0),"Yes","No")))</f>
        <v/>
      </c>
      <c r="R934" s="15">
        <f>IF($C934="","",IF($L934="","",IF(AND($K934=2,$L934&lt;$J934,COUNTIFS(nrES_PID,$D934,nrES_Code,$F934,nrES_Att,1)&gt;0),"Yes","No")))</f>
        <v/>
      </c>
      <c r="S934" s="16" t="n"/>
      <c r="T934" s="17">
        <f>IF($Q934&lt;&gt;"Yes","",IF($S934="","(enter date)",_xlfn.LET(_xlpm.dn,IFERROR(_xlfn.XLOOKUP($S934,nrCDdate,nrCDnum),""),IF(_xlpm.dn="","(not a class day)",IFERROR(_xlfn.XLOOKUP(_xlpm.dn+cfgRetestClassDays,nrCDnum,nrCDdate),"")))))</f>
        <v/>
      </c>
      <c r="U934" s="15">
        <f>IF($Q934&lt;&gt;"Yes","",IF(COUNTIFS(nrES_PID,$D934,nrES_Code,$F934,nrES_Att,2)&gt;0,"Retested",IF(OR($T934="",NOT(ISNUMBER($T934))),"Pending",IF(TODAY()&gt;$T934,"OVERDUE","Due "&amp;TEXT($T934,"mm/dd")))))</f>
        <v/>
      </c>
      <c r="V934" s="14" t="n"/>
      <c r="W934" s="14" t="n"/>
    </row>
    <row r="935">
      <c r="B935" s="15">
        <f>IF($C935="","",$D935&amp;"-"&amp;$F935&amp;"-"&amp;$K935)</f>
        <v/>
      </c>
      <c r="C935" s="14" t="n"/>
      <c r="D935" s="15">
        <f>IF($C935="","",IFERROR(INDEX(rngCadetPIDs,MATCH($C935,rngCadetNames,0)),"?"))</f>
        <v/>
      </c>
      <c r="E935" s="15">
        <f>IF($D935="","",IFERROR(INDEX(nrCadetAgency,MATCH($D935,rngCadetPIDs,0)),""))</f>
        <v/>
      </c>
      <c r="F935" s="14" t="n"/>
      <c r="G935" s="15">
        <f>IF($F935="","",IFERROR(INDEX(rngEPname,MATCH($F935,rngEPcode,0)),"?"))</f>
        <v/>
      </c>
      <c r="H935" s="15">
        <f>IF($F935="","",IFERROR(INDEX(rngEPtype,MATCH($F935,rngEPcode,0)),"?"))</f>
        <v/>
      </c>
      <c r="I935" s="15">
        <f>IF($F935="","",IFERROR(INDEX(rngEPseq,MATCH($F935,rngEPcode,0)),""))</f>
        <v/>
      </c>
      <c r="J935" s="15">
        <f>IF($F935="","",IFERROR(INDEX(rngEPpass,MATCH($F935,rngEPcode,0)),cfgPassingScore))</f>
        <v/>
      </c>
      <c r="K935" s="14" t="n"/>
      <c r="L935" s="14" t="n"/>
      <c r="M935" s="15">
        <f>IF($C935="","",IF($L935="","",IF($K935=1,IF(COUNTIFS(nrES_PID,$D935,nrES_Code,$F935,nrES_Att,2)&gt;0,"",$L935),IF(COUNTIFS(nrES_PID,$D935,nrES_Code,$F935,nrES_Att,1)=0,$L935,IF($L935&gt;=$J935,cfgRetakeRecordedCap,SUMIFS(nrES_Raw,nrES_PID,$D935,nrES_Code,$F935,nrES_Att,1))))))</f>
        <v/>
      </c>
      <c r="N935" s="15">
        <f>IF($C935="","",IF($L935="","",IF($L935&gt;=$J935,"Yes","No")))</f>
        <v/>
      </c>
      <c r="O935" s="15">
        <f>IF($C935="","",IF($M935="","",IF($M935&gt;=$J935,"Yes","No")))</f>
        <v/>
      </c>
      <c r="P935" s="15">
        <f>IF($C935="","",IF($K935="","",IF(COUNTIFS(nrES_PID,$D935,nrES_Code,$F935,nrES_Att,"&gt;"&amp;$K935)=0,"Yes","No")))</f>
        <v/>
      </c>
      <c r="Q935" s="15">
        <f>IF($C935="","",IF($L935="","",IF(AND($K935=1,$L935&lt;$J935,COUNTIFS(nrES_PID,$D935,nrES_Code,$F935,nrES_Att,2)=0),"Yes","No")))</f>
        <v/>
      </c>
      <c r="R935" s="15">
        <f>IF($C935="","",IF($L935="","",IF(AND($K935=2,$L935&lt;$J935,COUNTIFS(nrES_PID,$D935,nrES_Code,$F935,nrES_Att,1)&gt;0),"Yes","No")))</f>
        <v/>
      </c>
      <c r="S935" s="16" t="n"/>
      <c r="T935" s="17">
        <f>IF($Q935&lt;&gt;"Yes","",IF($S935="","(enter date)",_xlfn.LET(_xlpm.dn,IFERROR(_xlfn.XLOOKUP($S935,nrCDdate,nrCDnum),""),IF(_xlpm.dn="","(not a class day)",IFERROR(_xlfn.XLOOKUP(_xlpm.dn+cfgRetestClassDays,nrCDnum,nrCDdate),"")))))</f>
        <v/>
      </c>
      <c r="U935" s="15">
        <f>IF($Q935&lt;&gt;"Yes","",IF(COUNTIFS(nrES_PID,$D935,nrES_Code,$F935,nrES_Att,2)&gt;0,"Retested",IF(OR($T935="",NOT(ISNUMBER($T935))),"Pending",IF(TODAY()&gt;$T935,"OVERDUE","Due "&amp;TEXT($T935,"mm/dd")))))</f>
        <v/>
      </c>
      <c r="V935" s="14" t="n"/>
      <c r="W935" s="14" t="n"/>
    </row>
    <row r="936">
      <c r="B936" s="15">
        <f>IF($C936="","",$D936&amp;"-"&amp;$F936&amp;"-"&amp;$K936)</f>
        <v/>
      </c>
      <c r="C936" s="14" t="n"/>
      <c r="D936" s="15">
        <f>IF($C936="","",IFERROR(INDEX(rngCadetPIDs,MATCH($C936,rngCadetNames,0)),"?"))</f>
        <v/>
      </c>
      <c r="E936" s="15">
        <f>IF($D936="","",IFERROR(INDEX(nrCadetAgency,MATCH($D936,rngCadetPIDs,0)),""))</f>
        <v/>
      </c>
      <c r="F936" s="14" t="n"/>
      <c r="G936" s="15">
        <f>IF($F936="","",IFERROR(INDEX(rngEPname,MATCH($F936,rngEPcode,0)),"?"))</f>
        <v/>
      </c>
      <c r="H936" s="15">
        <f>IF($F936="","",IFERROR(INDEX(rngEPtype,MATCH($F936,rngEPcode,0)),"?"))</f>
        <v/>
      </c>
      <c r="I936" s="15">
        <f>IF($F936="","",IFERROR(INDEX(rngEPseq,MATCH($F936,rngEPcode,0)),""))</f>
        <v/>
      </c>
      <c r="J936" s="15">
        <f>IF($F936="","",IFERROR(INDEX(rngEPpass,MATCH($F936,rngEPcode,0)),cfgPassingScore))</f>
        <v/>
      </c>
      <c r="K936" s="14" t="n"/>
      <c r="L936" s="14" t="n"/>
      <c r="M936" s="15">
        <f>IF($C936="","",IF($L936="","",IF($K936=1,IF(COUNTIFS(nrES_PID,$D936,nrES_Code,$F936,nrES_Att,2)&gt;0,"",$L936),IF(COUNTIFS(nrES_PID,$D936,nrES_Code,$F936,nrES_Att,1)=0,$L936,IF($L936&gt;=$J936,cfgRetakeRecordedCap,SUMIFS(nrES_Raw,nrES_PID,$D936,nrES_Code,$F936,nrES_Att,1))))))</f>
        <v/>
      </c>
      <c r="N936" s="15">
        <f>IF($C936="","",IF($L936="","",IF($L936&gt;=$J936,"Yes","No")))</f>
        <v/>
      </c>
      <c r="O936" s="15">
        <f>IF($C936="","",IF($M936="","",IF($M936&gt;=$J936,"Yes","No")))</f>
        <v/>
      </c>
      <c r="P936" s="15">
        <f>IF($C936="","",IF($K936="","",IF(COUNTIFS(nrES_PID,$D936,nrES_Code,$F936,nrES_Att,"&gt;"&amp;$K936)=0,"Yes","No")))</f>
        <v/>
      </c>
      <c r="Q936" s="15">
        <f>IF($C936="","",IF($L936="","",IF(AND($K936=1,$L936&lt;$J936,COUNTIFS(nrES_PID,$D936,nrES_Code,$F936,nrES_Att,2)=0),"Yes","No")))</f>
        <v/>
      </c>
      <c r="R936" s="15">
        <f>IF($C936="","",IF($L936="","",IF(AND($K936=2,$L936&lt;$J936,COUNTIFS(nrES_PID,$D936,nrES_Code,$F936,nrES_Att,1)&gt;0),"Yes","No")))</f>
        <v/>
      </c>
      <c r="S936" s="16" t="n"/>
      <c r="T936" s="17">
        <f>IF($Q936&lt;&gt;"Yes","",IF($S936="","(enter date)",_xlfn.LET(_xlpm.dn,IFERROR(_xlfn.XLOOKUP($S936,nrCDdate,nrCDnum),""),IF(_xlpm.dn="","(not a class day)",IFERROR(_xlfn.XLOOKUP(_xlpm.dn+cfgRetestClassDays,nrCDnum,nrCDdate),"")))))</f>
        <v/>
      </c>
      <c r="U936" s="15">
        <f>IF($Q936&lt;&gt;"Yes","",IF(COUNTIFS(nrES_PID,$D936,nrES_Code,$F936,nrES_Att,2)&gt;0,"Retested",IF(OR($T936="",NOT(ISNUMBER($T936))),"Pending",IF(TODAY()&gt;$T936,"OVERDUE","Due "&amp;TEXT($T936,"mm/dd")))))</f>
        <v/>
      </c>
      <c r="V936" s="14" t="n"/>
      <c r="W936" s="14" t="n"/>
    </row>
    <row r="937">
      <c r="B937" s="15">
        <f>IF($C937="","",$D937&amp;"-"&amp;$F937&amp;"-"&amp;$K937)</f>
        <v/>
      </c>
      <c r="C937" s="14" t="n"/>
      <c r="D937" s="15">
        <f>IF($C937="","",IFERROR(INDEX(rngCadetPIDs,MATCH($C937,rngCadetNames,0)),"?"))</f>
        <v/>
      </c>
      <c r="E937" s="15">
        <f>IF($D937="","",IFERROR(INDEX(nrCadetAgency,MATCH($D937,rngCadetPIDs,0)),""))</f>
        <v/>
      </c>
      <c r="F937" s="14" t="n"/>
      <c r="G937" s="15">
        <f>IF($F937="","",IFERROR(INDEX(rngEPname,MATCH($F937,rngEPcode,0)),"?"))</f>
        <v/>
      </c>
      <c r="H937" s="15">
        <f>IF($F937="","",IFERROR(INDEX(rngEPtype,MATCH($F937,rngEPcode,0)),"?"))</f>
        <v/>
      </c>
      <c r="I937" s="15">
        <f>IF($F937="","",IFERROR(INDEX(rngEPseq,MATCH($F937,rngEPcode,0)),""))</f>
        <v/>
      </c>
      <c r="J937" s="15">
        <f>IF($F937="","",IFERROR(INDEX(rngEPpass,MATCH($F937,rngEPcode,0)),cfgPassingScore))</f>
        <v/>
      </c>
      <c r="K937" s="14" t="n"/>
      <c r="L937" s="14" t="n"/>
      <c r="M937" s="15">
        <f>IF($C937="","",IF($L937="","",IF($K937=1,IF(COUNTIFS(nrES_PID,$D937,nrES_Code,$F937,nrES_Att,2)&gt;0,"",$L937),IF(COUNTIFS(nrES_PID,$D937,nrES_Code,$F937,nrES_Att,1)=0,$L937,IF($L937&gt;=$J937,cfgRetakeRecordedCap,SUMIFS(nrES_Raw,nrES_PID,$D937,nrES_Code,$F937,nrES_Att,1))))))</f>
        <v/>
      </c>
      <c r="N937" s="15">
        <f>IF($C937="","",IF($L937="","",IF($L937&gt;=$J937,"Yes","No")))</f>
        <v/>
      </c>
      <c r="O937" s="15">
        <f>IF($C937="","",IF($M937="","",IF($M937&gt;=$J937,"Yes","No")))</f>
        <v/>
      </c>
      <c r="P937" s="15">
        <f>IF($C937="","",IF($K937="","",IF(COUNTIFS(nrES_PID,$D937,nrES_Code,$F937,nrES_Att,"&gt;"&amp;$K937)=0,"Yes","No")))</f>
        <v/>
      </c>
      <c r="Q937" s="15">
        <f>IF($C937="","",IF($L937="","",IF(AND($K937=1,$L937&lt;$J937,COUNTIFS(nrES_PID,$D937,nrES_Code,$F937,nrES_Att,2)=0),"Yes","No")))</f>
        <v/>
      </c>
      <c r="R937" s="15">
        <f>IF($C937="","",IF($L937="","",IF(AND($K937=2,$L937&lt;$J937,COUNTIFS(nrES_PID,$D937,nrES_Code,$F937,nrES_Att,1)&gt;0),"Yes","No")))</f>
        <v/>
      </c>
      <c r="S937" s="16" t="n"/>
      <c r="T937" s="17">
        <f>IF($Q937&lt;&gt;"Yes","",IF($S937="","(enter date)",_xlfn.LET(_xlpm.dn,IFERROR(_xlfn.XLOOKUP($S937,nrCDdate,nrCDnum),""),IF(_xlpm.dn="","(not a class day)",IFERROR(_xlfn.XLOOKUP(_xlpm.dn+cfgRetestClassDays,nrCDnum,nrCDdate),"")))))</f>
        <v/>
      </c>
      <c r="U937" s="15">
        <f>IF($Q937&lt;&gt;"Yes","",IF(COUNTIFS(nrES_PID,$D937,nrES_Code,$F937,nrES_Att,2)&gt;0,"Retested",IF(OR($T937="",NOT(ISNUMBER($T937))),"Pending",IF(TODAY()&gt;$T937,"OVERDUE","Due "&amp;TEXT($T937,"mm/dd")))))</f>
        <v/>
      </c>
      <c r="V937" s="14" t="n"/>
      <c r="W937" s="14" t="n"/>
    </row>
    <row r="938">
      <c r="B938" s="15">
        <f>IF($C938="","",$D938&amp;"-"&amp;$F938&amp;"-"&amp;$K938)</f>
        <v/>
      </c>
      <c r="C938" s="14" t="n"/>
      <c r="D938" s="15">
        <f>IF($C938="","",IFERROR(INDEX(rngCadetPIDs,MATCH($C938,rngCadetNames,0)),"?"))</f>
        <v/>
      </c>
      <c r="E938" s="15">
        <f>IF($D938="","",IFERROR(INDEX(nrCadetAgency,MATCH($D938,rngCadetPIDs,0)),""))</f>
        <v/>
      </c>
      <c r="F938" s="14" t="n"/>
      <c r="G938" s="15">
        <f>IF($F938="","",IFERROR(INDEX(rngEPname,MATCH($F938,rngEPcode,0)),"?"))</f>
        <v/>
      </c>
      <c r="H938" s="15">
        <f>IF($F938="","",IFERROR(INDEX(rngEPtype,MATCH($F938,rngEPcode,0)),"?"))</f>
        <v/>
      </c>
      <c r="I938" s="15">
        <f>IF($F938="","",IFERROR(INDEX(rngEPseq,MATCH($F938,rngEPcode,0)),""))</f>
        <v/>
      </c>
      <c r="J938" s="15">
        <f>IF($F938="","",IFERROR(INDEX(rngEPpass,MATCH($F938,rngEPcode,0)),cfgPassingScore))</f>
        <v/>
      </c>
      <c r="K938" s="14" t="n"/>
      <c r="L938" s="14" t="n"/>
      <c r="M938" s="15">
        <f>IF($C938="","",IF($L938="","",IF($K938=1,IF(COUNTIFS(nrES_PID,$D938,nrES_Code,$F938,nrES_Att,2)&gt;0,"",$L938),IF(COUNTIFS(nrES_PID,$D938,nrES_Code,$F938,nrES_Att,1)=0,$L938,IF($L938&gt;=$J938,cfgRetakeRecordedCap,SUMIFS(nrES_Raw,nrES_PID,$D938,nrES_Code,$F938,nrES_Att,1))))))</f>
        <v/>
      </c>
      <c r="N938" s="15">
        <f>IF($C938="","",IF($L938="","",IF($L938&gt;=$J938,"Yes","No")))</f>
        <v/>
      </c>
      <c r="O938" s="15">
        <f>IF($C938="","",IF($M938="","",IF($M938&gt;=$J938,"Yes","No")))</f>
        <v/>
      </c>
      <c r="P938" s="15">
        <f>IF($C938="","",IF($K938="","",IF(COUNTIFS(nrES_PID,$D938,nrES_Code,$F938,nrES_Att,"&gt;"&amp;$K938)=0,"Yes","No")))</f>
        <v/>
      </c>
      <c r="Q938" s="15">
        <f>IF($C938="","",IF($L938="","",IF(AND($K938=1,$L938&lt;$J938,COUNTIFS(nrES_PID,$D938,nrES_Code,$F938,nrES_Att,2)=0),"Yes","No")))</f>
        <v/>
      </c>
      <c r="R938" s="15">
        <f>IF($C938="","",IF($L938="","",IF(AND($K938=2,$L938&lt;$J938,COUNTIFS(nrES_PID,$D938,nrES_Code,$F938,nrES_Att,1)&gt;0),"Yes","No")))</f>
        <v/>
      </c>
      <c r="S938" s="16" t="n"/>
      <c r="T938" s="17">
        <f>IF($Q938&lt;&gt;"Yes","",IF($S938="","(enter date)",_xlfn.LET(_xlpm.dn,IFERROR(_xlfn.XLOOKUP($S938,nrCDdate,nrCDnum),""),IF(_xlpm.dn="","(not a class day)",IFERROR(_xlfn.XLOOKUP(_xlpm.dn+cfgRetestClassDays,nrCDnum,nrCDdate),"")))))</f>
        <v/>
      </c>
      <c r="U938" s="15">
        <f>IF($Q938&lt;&gt;"Yes","",IF(COUNTIFS(nrES_PID,$D938,nrES_Code,$F938,nrES_Att,2)&gt;0,"Retested",IF(OR($T938="",NOT(ISNUMBER($T938))),"Pending",IF(TODAY()&gt;$T938,"OVERDUE","Due "&amp;TEXT($T938,"mm/dd")))))</f>
        <v/>
      </c>
      <c r="V938" s="14" t="n"/>
      <c r="W938" s="14" t="n"/>
    </row>
    <row r="939">
      <c r="B939" s="15">
        <f>IF($C939="","",$D939&amp;"-"&amp;$F939&amp;"-"&amp;$K939)</f>
        <v/>
      </c>
      <c r="C939" s="14" t="n"/>
      <c r="D939" s="15">
        <f>IF($C939="","",IFERROR(INDEX(rngCadetPIDs,MATCH($C939,rngCadetNames,0)),"?"))</f>
        <v/>
      </c>
      <c r="E939" s="15">
        <f>IF($D939="","",IFERROR(INDEX(nrCadetAgency,MATCH($D939,rngCadetPIDs,0)),""))</f>
        <v/>
      </c>
      <c r="F939" s="14" t="n"/>
      <c r="G939" s="15">
        <f>IF($F939="","",IFERROR(INDEX(rngEPname,MATCH($F939,rngEPcode,0)),"?"))</f>
        <v/>
      </c>
      <c r="H939" s="15">
        <f>IF($F939="","",IFERROR(INDEX(rngEPtype,MATCH($F939,rngEPcode,0)),"?"))</f>
        <v/>
      </c>
      <c r="I939" s="15">
        <f>IF($F939="","",IFERROR(INDEX(rngEPseq,MATCH($F939,rngEPcode,0)),""))</f>
        <v/>
      </c>
      <c r="J939" s="15">
        <f>IF($F939="","",IFERROR(INDEX(rngEPpass,MATCH($F939,rngEPcode,0)),cfgPassingScore))</f>
        <v/>
      </c>
      <c r="K939" s="14" t="n"/>
      <c r="L939" s="14" t="n"/>
      <c r="M939" s="15">
        <f>IF($C939="","",IF($L939="","",IF($K939=1,IF(COUNTIFS(nrES_PID,$D939,nrES_Code,$F939,nrES_Att,2)&gt;0,"",$L939),IF(COUNTIFS(nrES_PID,$D939,nrES_Code,$F939,nrES_Att,1)=0,$L939,IF($L939&gt;=$J939,cfgRetakeRecordedCap,SUMIFS(nrES_Raw,nrES_PID,$D939,nrES_Code,$F939,nrES_Att,1))))))</f>
        <v/>
      </c>
      <c r="N939" s="15">
        <f>IF($C939="","",IF($L939="","",IF($L939&gt;=$J939,"Yes","No")))</f>
        <v/>
      </c>
      <c r="O939" s="15">
        <f>IF($C939="","",IF($M939="","",IF($M939&gt;=$J939,"Yes","No")))</f>
        <v/>
      </c>
      <c r="P939" s="15">
        <f>IF($C939="","",IF($K939="","",IF(COUNTIFS(nrES_PID,$D939,nrES_Code,$F939,nrES_Att,"&gt;"&amp;$K939)=0,"Yes","No")))</f>
        <v/>
      </c>
      <c r="Q939" s="15">
        <f>IF($C939="","",IF($L939="","",IF(AND($K939=1,$L939&lt;$J939,COUNTIFS(nrES_PID,$D939,nrES_Code,$F939,nrES_Att,2)=0),"Yes","No")))</f>
        <v/>
      </c>
      <c r="R939" s="15">
        <f>IF($C939="","",IF($L939="","",IF(AND($K939=2,$L939&lt;$J939,COUNTIFS(nrES_PID,$D939,nrES_Code,$F939,nrES_Att,1)&gt;0),"Yes","No")))</f>
        <v/>
      </c>
      <c r="S939" s="16" t="n"/>
      <c r="T939" s="17">
        <f>IF($Q939&lt;&gt;"Yes","",IF($S939="","(enter date)",_xlfn.LET(_xlpm.dn,IFERROR(_xlfn.XLOOKUP($S939,nrCDdate,nrCDnum),""),IF(_xlpm.dn="","(not a class day)",IFERROR(_xlfn.XLOOKUP(_xlpm.dn+cfgRetestClassDays,nrCDnum,nrCDdate),"")))))</f>
        <v/>
      </c>
      <c r="U939" s="15">
        <f>IF($Q939&lt;&gt;"Yes","",IF(COUNTIFS(nrES_PID,$D939,nrES_Code,$F939,nrES_Att,2)&gt;0,"Retested",IF(OR($T939="",NOT(ISNUMBER($T939))),"Pending",IF(TODAY()&gt;$T939,"OVERDUE","Due "&amp;TEXT($T939,"mm/dd")))))</f>
        <v/>
      </c>
      <c r="V939" s="14" t="n"/>
      <c r="W939" s="14" t="n"/>
    </row>
    <row r="940">
      <c r="B940" s="15">
        <f>IF($C940="","",$D940&amp;"-"&amp;$F940&amp;"-"&amp;$K940)</f>
        <v/>
      </c>
      <c r="C940" s="14" t="n"/>
      <c r="D940" s="15">
        <f>IF($C940="","",IFERROR(INDEX(rngCadetPIDs,MATCH($C940,rngCadetNames,0)),"?"))</f>
        <v/>
      </c>
      <c r="E940" s="15">
        <f>IF($D940="","",IFERROR(INDEX(nrCadetAgency,MATCH($D940,rngCadetPIDs,0)),""))</f>
        <v/>
      </c>
      <c r="F940" s="14" t="n"/>
      <c r="G940" s="15">
        <f>IF($F940="","",IFERROR(INDEX(rngEPname,MATCH($F940,rngEPcode,0)),"?"))</f>
        <v/>
      </c>
      <c r="H940" s="15">
        <f>IF($F940="","",IFERROR(INDEX(rngEPtype,MATCH($F940,rngEPcode,0)),"?"))</f>
        <v/>
      </c>
      <c r="I940" s="15">
        <f>IF($F940="","",IFERROR(INDEX(rngEPseq,MATCH($F940,rngEPcode,0)),""))</f>
        <v/>
      </c>
      <c r="J940" s="15">
        <f>IF($F940="","",IFERROR(INDEX(rngEPpass,MATCH($F940,rngEPcode,0)),cfgPassingScore))</f>
        <v/>
      </c>
      <c r="K940" s="14" t="n"/>
      <c r="L940" s="14" t="n"/>
      <c r="M940" s="15">
        <f>IF($C940="","",IF($L940="","",IF($K940=1,IF(COUNTIFS(nrES_PID,$D940,nrES_Code,$F940,nrES_Att,2)&gt;0,"",$L940),IF(COUNTIFS(nrES_PID,$D940,nrES_Code,$F940,nrES_Att,1)=0,$L940,IF($L940&gt;=$J940,cfgRetakeRecordedCap,SUMIFS(nrES_Raw,nrES_PID,$D940,nrES_Code,$F940,nrES_Att,1))))))</f>
        <v/>
      </c>
      <c r="N940" s="15">
        <f>IF($C940="","",IF($L940="","",IF($L940&gt;=$J940,"Yes","No")))</f>
        <v/>
      </c>
      <c r="O940" s="15">
        <f>IF($C940="","",IF($M940="","",IF($M940&gt;=$J940,"Yes","No")))</f>
        <v/>
      </c>
      <c r="P940" s="15">
        <f>IF($C940="","",IF($K940="","",IF(COUNTIFS(nrES_PID,$D940,nrES_Code,$F940,nrES_Att,"&gt;"&amp;$K940)=0,"Yes","No")))</f>
        <v/>
      </c>
      <c r="Q940" s="15">
        <f>IF($C940="","",IF($L940="","",IF(AND($K940=1,$L940&lt;$J940,COUNTIFS(nrES_PID,$D940,nrES_Code,$F940,nrES_Att,2)=0),"Yes","No")))</f>
        <v/>
      </c>
      <c r="R940" s="15">
        <f>IF($C940="","",IF($L940="","",IF(AND($K940=2,$L940&lt;$J940,COUNTIFS(nrES_PID,$D940,nrES_Code,$F940,nrES_Att,1)&gt;0),"Yes","No")))</f>
        <v/>
      </c>
      <c r="S940" s="16" t="n"/>
      <c r="T940" s="17">
        <f>IF($Q940&lt;&gt;"Yes","",IF($S940="","(enter date)",_xlfn.LET(_xlpm.dn,IFERROR(_xlfn.XLOOKUP($S940,nrCDdate,nrCDnum),""),IF(_xlpm.dn="","(not a class day)",IFERROR(_xlfn.XLOOKUP(_xlpm.dn+cfgRetestClassDays,nrCDnum,nrCDdate),"")))))</f>
        <v/>
      </c>
      <c r="U940" s="15">
        <f>IF($Q940&lt;&gt;"Yes","",IF(COUNTIFS(nrES_PID,$D940,nrES_Code,$F940,nrES_Att,2)&gt;0,"Retested",IF(OR($T940="",NOT(ISNUMBER($T940))),"Pending",IF(TODAY()&gt;$T940,"OVERDUE","Due "&amp;TEXT($T940,"mm/dd")))))</f>
        <v/>
      </c>
      <c r="V940" s="14" t="n"/>
      <c r="W940" s="14" t="n"/>
    </row>
    <row r="941">
      <c r="B941" s="15">
        <f>IF($C941="","",$D941&amp;"-"&amp;$F941&amp;"-"&amp;$K941)</f>
        <v/>
      </c>
      <c r="C941" s="14" t="n"/>
      <c r="D941" s="15">
        <f>IF($C941="","",IFERROR(INDEX(rngCadetPIDs,MATCH($C941,rngCadetNames,0)),"?"))</f>
        <v/>
      </c>
      <c r="E941" s="15">
        <f>IF($D941="","",IFERROR(INDEX(nrCadetAgency,MATCH($D941,rngCadetPIDs,0)),""))</f>
        <v/>
      </c>
      <c r="F941" s="14" t="n"/>
      <c r="G941" s="15">
        <f>IF($F941="","",IFERROR(INDEX(rngEPname,MATCH($F941,rngEPcode,0)),"?"))</f>
        <v/>
      </c>
      <c r="H941" s="15">
        <f>IF($F941="","",IFERROR(INDEX(rngEPtype,MATCH($F941,rngEPcode,0)),"?"))</f>
        <v/>
      </c>
      <c r="I941" s="15">
        <f>IF($F941="","",IFERROR(INDEX(rngEPseq,MATCH($F941,rngEPcode,0)),""))</f>
        <v/>
      </c>
      <c r="J941" s="15">
        <f>IF($F941="","",IFERROR(INDEX(rngEPpass,MATCH($F941,rngEPcode,0)),cfgPassingScore))</f>
        <v/>
      </c>
      <c r="K941" s="14" t="n"/>
      <c r="L941" s="14" t="n"/>
      <c r="M941" s="15">
        <f>IF($C941="","",IF($L941="","",IF($K941=1,IF(COUNTIFS(nrES_PID,$D941,nrES_Code,$F941,nrES_Att,2)&gt;0,"",$L941),IF(COUNTIFS(nrES_PID,$D941,nrES_Code,$F941,nrES_Att,1)=0,$L941,IF($L941&gt;=$J941,cfgRetakeRecordedCap,SUMIFS(nrES_Raw,nrES_PID,$D941,nrES_Code,$F941,nrES_Att,1))))))</f>
        <v/>
      </c>
      <c r="N941" s="15">
        <f>IF($C941="","",IF($L941="","",IF($L941&gt;=$J941,"Yes","No")))</f>
        <v/>
      </c>
      <c r="O941" s="15">
        <f>IF($C941="","",IF($M941="","",IF($M941&gt;=$J941,"Yes","No")))</f>
        <v/>
      </c>
      <c r="P941" s="15">
        <f>IF($C941="","",IF($K941="","",IF(COUNTIFS(nrES_PID,$D941,nrES_Code,$F941,nrES_Att,"&gt;"&amp;$K941)=0,"Yes","No")))</f>
        <v/>
      </c>
      <c r="Q941" s="15">
        <f>IF($C941="","",IF($L941="","",IF(AND($K941=1,$L941&lt;$J941,COUNTIFS(nrES_PID,$D941,nrES_Code,$F941,nrES_Att,2)=0),"Yes","No")))</f>
        <v/>
      </c>
      <c r="R941" s="15">
        <f>IF($C941="","",IF($L941="","",IF(AND($K941=2,$L941&lt;$J941,COUNTIFS(nrES_PID,$D941,nrES_Code,$F941,nrES_Att,1)&gt;0),"Yes","No")))</f>
        <v/>
      </c>
      <c r="S941" s="16" t="n"/>
      <c r="T941" s="17">
        <f>IF($Q941&lt;&gt;"Yes","",IF($S941="","(enter date)",_xlfn.LET(_xlpm.dn,IFERROR(_xlfn.XLOOKUP($S941,nrCDdate,nrCDnum),""),IF(_xlpm.dn="","(not a class day)",IFERROR(_xlfn.XLOOKUP(_xlpm.dn+cfgRetestClassDays,nrCDnum,nrCDdate),"")))))</f>
        <v/>
      </c>
      <c r="U941" s="15">
        <f>IF($Q941&lt;&gt;"Yes","",IF(COUNTIFS(nrES_PID,$D941,nrES_Code,$F941,nrES_Att,2)&gt;0,"Retested",IF(OR($T941="",NOT(ISNUMBER($T941))),"Pending",IF(TODAY()&gt;$T941,"OVERDUE","Due "&amp;TEXT($T941,"mm/dd")))))</f>
        <v/>
      </c>
      <c r="V941" s="14" t="n"/>
      <c r="W941" s="14" t="n"/>
    </row>
    <row r="942">
      <c r="B942" s="15">
        <f>IF($C942="","",$D942&amp;"-"&amp;$F942&amp;"-"&amp;$K942)</f>
        <v/>
      </c>
      <c r="C942" s="14" t="n"/>
      <c r="D942" s="15">
        <f>IF($C942="","",IFERROR(INDEX(rngCadetPIDs,MATCH($C942,rngCadetNames,0)),"?"))</f>
        <v/>
      </c>
      <c r="E942" s="15">
        <f>IF($D942="","",IFERROR(INDEX(nrCadetAgency,MATCH($D942,rngCadetPIDs,0)),""))</f>
        <v/>
      </c>
      <c r="F942" s="14" t="n"/>
      <c r="G942" s="15">
        <f>IF($F942="","",IFERROR(INDEX(rngEPname,MATCH($F942,rngEPcode,0)),"?"))</f>
        <v/>
      </c>
      <c r="H942" s="15">
        <f>IF($F942="","",IFERROR(INDEX(rngEPtype,MATCH($F942,rngEPcode,0)),"?"))</f>
        <v/>
      </c>
      <c r="I942" s="15">
        <f>IF($F942="","",IFERROR(INDEX(rngEPseq,MATCH($F942,rngEPcode,0)),""))</f>
        <v/>
      </c>
      <c r="J942" s="15">
        <f>IF($F942="","",IFERROR(INDEX(rngEPpass,MATCH($F942,rngEPcode,0)),cfgPassingScore))</f>
        <v/>
      </c>
      <c r="K942" s="14" t="n"/>
      <c r="L942" s="14" t="n"/>
      <c r="M942" s="15">
        <f>IF($C942="","",IF($L942="","",IF($K942=1,IF(COUNTIFS(nrES_PID,$D942,nrES_Code,$F942,nrES_Att,2)&gt;0,"",$L942),IF(COUNTIFS(nrES_PID,$D942,nrES_Code,$F942,nrES_Att,1)=0,$L942,IF($L942&gt;=$J942,cfgRetakeRecordedCap,SUMIFS(nrES_Raw,nrES_PID,$D942,nrES_Code,$F942,nrES_Att,1))))))</f>
        <v/>
      </c>
      <c r="N942" s="15">
        <f>IF($C942="","",IF($L942="","",IF($L942&gt;=$J942,"Yes","No")))</f>
        <v/>
      </c>
      <c r="O942" s="15">
        <f>IF($C942="","",IF($M942="","",IF($M942&gt;=$J942,"Yes","No")))</f>
        <v/>
      </c>
      <c r="P942" s="15">
        <f>IF($C942="","",IF($K942="","",IF(COUNTIFS(nrES_PID,$D942,nrES_Code,$F942,nrES_Att,"&gt;"&amp;$K942)=0,"Yes","No")))</f>
        <v/>
      </c>
      <c r="Q942" s="15">
        <f>IF($C942="","",IF($L942="","",IF(AND($K942=1,$L942&lt;$J942,COUNTIFS(nrES_PID,$D942,nrES_Code,$F942,nrES_Att,2)=0),"Yes","No")))</f>
        <v/>
      </c>
      <c r="R942" s="15">
        <f>IF($C942="","",IF($L942="","",IF(AND($K942=2,$L942&lt;$J942,COUNTIFS(nrES_PID,$D942,nrES_Code,$F942,nrES_Att,1)&gt;0),"Yes","No")))</f>
        <v/>
      </c>
      <c r="S942" s="16" t="n"/>
      <c r="T942" s="17">
        <f>IF($Q942&lt;&gt;"Yes","",IF($S942="","(enter date)",_xlfn.LET(_xlpm.dn,IFERROR(_xlfn.XLOOKUP($S942,nrCDdate,nrCDnum),""),IF(_xlpm.dn="","(not a class day)",IFERROR(_xlfn.XLOOKUP(_xlpm.dn+cfgRetestClassDays,nrCDnum,nrCDdate),"")))))</f>
        <v/>
      </c>
      <c r="U942" s="15">
        <f>IF($Q942&lt;&gt;"Yes","",IF(COUNTIFS(nrES_PID,$D942,nrES_Code,$F942,nrES_Att,2)&gt;0,"Retested",IF(OR($T942="",NOT(ISNUMBER($T942))),"Pending",IF(TODAY()&gt;$T942,"OVERDUE","Due "&amp;TEXT($T942,"mm/dd")))))</f>
        <v/>
      </c>
      <c r="V942" s="14" t="n"/>
      <c r="W942" s="14" t="n"/>
    </row>
    <row r="943">
      <c r="B943" s="15">
        <f>IF($C943="","",$D943&amp;"-"&amp;$F943&amp;"-"&amp;$K943)</f>
        <v/>
      </c>
      <c r="C943" s="14" t="n"/>
      <c r="D943" s="15">
        <f>IF($C943="","",IFERROR(INDEX(rngCadetPIDs,MATCH($C943,rngCadetNames,0)),"?"))</f>
        <v/>
      </c>
      <c r="E943" s="15">
        <f>IF($D943="","",IFERROR(INDEX(nrCadetAgency,MATCH($D943,rngCadetPIDs,0)),""))</f>
        <v/>
      </c>
      <c r="F943" s="14" t="n"/>
      <c r="G943" s="15">
        <f>IF($F943="","",IFERROR(INDEX(rngEPname,MATCH($F943,rngEPcode,0)),"?"))</f>
        <v/>
      </c>
      <c r="H943" s="15">
        <f>IF($F943="","",IFERROR(INDEX(rngEPtype,MATCH($F943,rngEPcode,0)),"?"))</f>
        <v/>
      </c>
      <c r="I943" s="15">
        <f>IF($F943="","",IFERROR(INDEX(rngEPseq,MATCH($F943,rngEPcode,0)),""))</f>
        <v/>
      </c>
      <c r="J943" s="15">
        <f>IF($F943="","",IFERROR(INDEX(rngEPpass,MATCH($F943,rngEPcode,0)),cfgPassingScore))</f>
        <v/>
      </c>
      <c r="K943" s="14" t="n"/>
      <c r="L943" s="14" t="n"/>
      <c r="M943" s="15">
        <f>IF($C943="","",IF($L943="","",IF($K943=1,IF(COUNTIFS(nrES_PID,$D943,nrES_Code,$F943,nrES_Att,2)&gt;0,"",$L943),IF(COUNTIFS(nrES_PID,$D943,nrES_Code,$F943,nrES_Att,1)=0,$L943,IF($L943&gt;=$J943,cfgRetakeRecordedCap,SUMIFS(nrES_Raw,nrES_PID,$D943,nrES_Code,$F943,nrES_Att,1))))))</f>
        <v/>
      </c>
      <c r="N943" s="15">
        <f>IF($C943="","",IF($L943="","",IF($L943&gt;=$J943,"Yes","No")))</f>
        <v/>
      </c>
      <c r="O943" s="15">
        <f>IF($C943="","",IF($M943="","",IF($M943&gt;=$J943,"Yes","No")))</f>
        <v/>
      </c>
      <c r="P943" s="15">
        <f>IF($C943="","",IF($K943="","",IF(COUNTIFS(nrES_PID,$D943,nrES_Code,$F943,nrES_Att,"&gt;"&amp;$K943)=0,"Yes","No")))</f>
        <v/>
      </c>
      <c r="Q943" s="15">
        <f>IF($C943="","",IF($L943="","",IF(AND($K943=1,$L943&lt;$J943,COUNTIFS(nrES_PID,$D943,nrES_Code,$F943,nrES_Att,2)=0),"Yes","No")))</f>
        <v/>
      </c>
      <c r="R943" s="15">
        <f>IF($C943="","",IF($L943="","",IF(AND($K943=2,$L943&lt;$J943,COUNTIFS(nrES_PID,$D943,nrES_Code,$F943,nrES_Att,1)&gt;0),"Yes","No")))</f>
        <v/>
      </c>
      <c r="S943" s="16" t="n"/>
      <c r="T943" s="17">
        <f>IF($Q943&lt;&gt;"Yes","",IF($S943="","(enter date)",_xlfn.LET(_xlpm.dn,IFERROR(_xlfn.XLOOKUP($S943,nrCDdate,nrCDnum),""),IF(_xlpm.dn="","(not a class day)",IFERROR(_xlfn.XLOOKUP(_xlpm.dn+cfgRetestClassDays,nrCDnum,nrCDdate),"")))))</f>
        <v/>
      </c>
      <c r="U943" s="15">
        <f>IF($Q943&lt;&gt;"Yes","",IF(COUNTIFS(nrES_PID,$D943,nrES_Code,$F943,nrES_Att,2)&gt;0,"Retested",IF(OR($T943="",NOT(ISNUMBER($T943))),"Pending",IF(TODAY()&gt;$T943,"OVERDUE","Due "&amp;TEXT($T943,"mm/dd")))))</f>
        <v/>
      </c>
      <c r="V943" s="14" t="n"/>
      <c r="W943" s="14" t="n"/>
    </row>
    <row r="944">
      <c r="B944" s="15">
        <f>IF($C944="","",$D944&amp;"-"&amp;$F944&amp;"-"&amp;$K944)</f>
        <v/>
      </c>
      <c r="C944" s="14" t="n"/>
      <c r="D944" s="15">
        <f>IF($C944="","",IFERROR(INDEX(rngCadetPIDs,MATCH($C944,rngCadetNames,0)),"?"))</f>
        <v/>
      </c>
      <c r="E944" s="15">
        <f>IF($D944="","",IFERROR(INDEX(nrCadetAgency,MATCH($D944,rngCadetPIDs,0)),""))</f>
        <v/>
      </c>
      <c r="F944" s="14" t="n"/>
      <c r="G944" s="15">
        <f>IF($F944="","",IFERROR(INDEX(rngEPname,MATCH($F944,rngEPcode,0)),"?"))</f>
        <v/>
      </c>
      <c r="H944" s="15">
        <f>IF($F944="","",IFERROR(INDEX(rngEPtype,MATCH($F944,rngEPcode,0)),"?"))</f>
        <v/>
      </c>
      <c r="I944" s="15">
        <f>IF($F944="","",IFERROR(INDEX(rngEPseq,MATCH($F944,rngEPcode,0)),""))</f>
        <v/>
      </c>
      <c r="J944" s="15">
        <f>IF($F944="","",IFERROR(INDEX(rngEPpass,MATCH($F944,rngEPcode,0)),cfgPassingScore))</f>
        <v/>
      </c>
      <c r="K944" s="14" t="n"/>
      <c r="L944" s="14" t="n"/>
      <c r="M944" s="15">
        <f>IF($C944="","",IF($L944="","",IF($K944=1,IF(COUNTIFS(nrES_PID,$D944,nrES_Code,$F944,nrES_Att,2)&gt;0,"",$L944),IF(COUNTIFS(nrES_PID,$D944,nrES_Code,$F944,nrES_Att,1)=0,$L944,IF($L944&gt;=$J944,cfgRetakeRecordedCap,SUMIFS(nrES_Raw,nrES_PID,$D944,nrES_Code,$F944,nrES_Att,1))))))</f>
        <v/>
      </c>
      <c r="N944" s="15">
        <f>IF($C944="","",IF($L944="","",IF($L944&gt;=$J944,"Yes","No")))</f>
        <v/>
      </c>
      <c r="O944" s="15">
        <f>IF($C944="","",IF($M944="","",IF($M944&gt;=$J944,"Yes","No")))</f>
        <v/>
      </c>
      <c r="P944" s="15">
        <f>IF($C944="","",IF($K944="","",IF(COUNTIFS(nrES_PID,$D944,nrES_Code,$F944,nrES_Att,"&gt;"&amp;$K944)=0,"Yes","No")))</f>
        <v/>
      </c>
      <c r="Q944" s="15">
        <f>IF($C944="","",IF($L944="","",IF(AND($K944=1,$L944&lt;$J944,COUNTIFS(nrES_PID,$D944,nrES_Code,$F944,nrES_Att,2)=0),"Yes","No")))</f>
        <v/>
      </c>
      <c r="R944" s="15">
        <f>IF($C944="","",IF($L944="","",IF(AND($K944=2,$L944&lt;$J944,COUNTIFS(nrES_PID,$D944,nrES_Code,$F944,nrES_Att,1)&gt;0),"Yes","No")))</f>
        <v/>
      </c>
      <c r="S944" s="16" t="n"/>
      <c r="T944" s="17">
        <f>IF($Q944&lt;&gt;"Yes","",IF($S944="","(enter date)",_xlfn.LET(_xlpm.dn,IFERROR(_xlfn.XLOOKUP($S944,nrCDdate,nrCDnum),""),IF(_xlpm.dn="","(not a class day)",IFERROR(_xlfn.XLOOKUP(_xlpm.dn+cfgRetestClassDays,nrCDnum,nrCDdate),"")))))</f>
        <v/>
      </c>
      <c r="U944" s="15">
        <f>IF($Q944&lt;&gt;"Yes","",IF(COUNTIFS(nrES_PID,$D944,nrES_Code,$F944,nrES_Att,2)&gt;0,"Retested",IF(OR($T944="",NOT(ISNUMBER($T944))),"Pending",IF(TODAY()&gt;$T944,"OVERDUE","Due "&amp;TEXT($T944,"mm/dd")))))</f>
        <v/>
      </c>
      <c r="V944" s="14" t="n"/>
      <c r="W944" s="14" t="n"/>
    </row>
    <row r="945">
      <c r="B945" s="15">
        <f>IF($C945="","",$D945&amp;"-"&amp;$F945&amp;"-"&amp;$K945)</f>
        <v/>
      </c>
      <c r="C945" s="14" t="n"/>
      <c r="D945" s="15">
        <f>IF($C945="","",IFERROR(INDEX(rngCadetPIDs,MATCH($C945,rngCadetNames,0)),"?"))</f>
        <v/>
      </c>
      <c r="E945" s="15">
        <f>IF($D945="","",IFERROR(INDEX(nrCadetAgency,MATCH($D945,rngCadetPIDs,0)),""))</f>
        <v/>
      </c>
      <c r="F945" s="14" t="n"/>
      <c r="G945" s="15">
        <f>IF($F945="","",IFERROR(INDEX(rngEPname,MATCH($F945,rngEPcode,0)),"?"))</f>
        <v/>
      </c>
      <c r="H945" s="15">
        <f>IF($F945="","",IFERROR(INDEX(rngEPtype,MATCH($F945,rngEPcode,0)),"?"))</f>
        <v/>
      </c>
      <c r="I945" s="15">
        <f>IF($F945="","",IFERROR(INDEX(rngEPseq,MATCH($F945,rngEPcode,0)),""))</f>
        <v/>
      </c>
      <c r="J945" s="15">
        <f>IF($F945="","",IFERROR(INDEX(rngEPpass,MATCH($F945,rngEPcode,0)),cfgPassingScore))</f>
        <v/>
      </c>
      <c r="K945" s="14" t="n"/>
      <c r="L945" s="14" t="n"/>
      <c r="M945" s="15">
        <f>IF($C945="","",IF($L945="","",IF($K945=1,IF(COUNTIFS(nrES_PID,$D945,nrES_Code,$F945,nrES_Att,2)&gt;0,"",$L945),IF(COUNTIFS(nrES_PID,$D945,nrES_Code,$F945,nrES_Att,1)=0,$L945,IF($L945&gt;=$J945,cfgRetakeRecordedCap,SUMIFS(nrES_Raw,nrES_PID,$D945,nrES_Code,$F945,nrES_Att,1))))))</f>
        <v/>
      </c>
      <c r="N945" s="15">
        <f>IF($C945="","",IF($L945="","",IF($L945&gt;=$J945,"Yes","No")))</f>
        <v/>
      </c>
      <c r="O945" s="15">
        <f>IF($C945="","",IF($M945="","",IF($M945&gt;=$J945,"Yes","No")))</f>
        <v/>
      </c>
      <c r="P945" s="15">
        <f>IF($C945="","",IF($K945="","",IF(COUNTIFS(nrES_PID,$D945,nrES_Code,$F945,nrES_Att,"&gt;"&amp;$K945)=0,"Yes","No")))</f>
        <v/>
      </c>
      <c r="Q945" s="15">
        <f>IF($C945="","",IF($L945="","",IF(AND($K945=1,$L945&lt;$J945,COUNTIFS(nrES_PID,$D945,nrES_Code,$F945,nrES_Att,2)=0),"Yes","No")))</f>
        <v/>
      </c>
      <c r="R945" s="15">
        <f>IF($C945="","",IF($L945="","",IF(AND($K945=2,$L945&lt;$J945,COUNTIFS(nrES_PID,$D945,nrES_Code,$F945,nrES_Att,1)&gt;0),"Yes","No")))</f>
        <v/>
      </c>
      <c r="S945" s="16" t="n"/>
      <c r="T945" s="17">
        <f>IF($Q945&lt;&gt;"Yes","",IF($S945="","(enter date)",_xlfn.LET(_xlpm.dn,IFERROR(_xlfn.XLOOKUP($S945,nrCDdate,nrCDnum),""),IF(_xlpm.dn="","(not a class day)",IFERROR(_xlfn.XLOOKUP(_xlpm.dn+cfgRetestClassDays,nrCDnum,nrCDdate),"")))))</f>
        <v/>
      </c>
      <c r="U945" s="15">
        <f>IF($Q945&lt;&gt;"Yes","",IF(COUNTIFS(nrES_PID,$D945,nrES_Code,$F945,nrES_Att,2)&gt;0,"Retested",IF(OR($T945="",NOT(ISNUMBER($T945))),"Pending",IF(TODAY()&gt;$T945,"OVERDUE","Due "&amp;TEXT($T945,"mm/dd")))))</f>
        <v/>
      </c>
      <c r="V945" s="14" t="n"/>
      <c r="W945" s="14" t="n"/>
    </row>
    <row r="946">
      <c r="B946" s="15">
        <f>IF($C946="","",$D946&amp;"-"&amp;$F946&amp;"-"&amp;$K946)</f>
        <v/>
      </c>
      <c r="C946" s="14" t="n"/>
      <c r="D946" s="15">
        <f>IF($C946="","",IFERROR(INDEX(rngCadetPIDs,MATCH($C946,rngCadetNames,0)),"?"))</f>
        <v/>
      </c>
      <c r="E946" s="15">
        <f>IF($D946="","",IFERROR(INDEX(nrCadetAgency,MATCH($D946,rngCadetPIDs,0)),""))</f>
        <v/>
      </c>
      <c r="F946" s="14" t="n"/>
      <c r="G946" s="15">
        <f>IF($F946="","",IFERROR(INDEX(rngEPname,MATCH($F946,rngEPcode,0)),"?"))</f>
        <v/>
      </c>
      <c r="H946" s="15">
        <f>IF($F946="","",IFERROR(INDEX(rngEPtype,MATCH($F946,rngEPcode,0)),"?"))</f>
        <v/>
      </c>
      <c r="I946" s="15">
        <f>IF($F946="","",IFERROR(INDEX(rngEPseq,MATCH($F946,rngEPcode,0)),""))</f>
        <v/>
      </c>
      <c r="J946" s="15">
        <f>IF($F946="","",IFERROR(INDEX(rngEPpass,MATCH($F946,rngEPcode,0)),cfgPassingScore))</f>
        <v/>
      </c>
      <c r="K946" s="14" t="n"/>
      <c r="L946" s="14" t="n"/>
      <c r="M946" s="15">
        <f>IF($C946="","",IF($L946="","",IF($K946=1,IF(COUNTIFS(nrES_PID,$D946,nrES_Code,$F946,nrES_Att,2)&gt;0,"",$L946),IF(COUNTIFS(nrES_PID,$D946,nrES_Code,$F946,nrES_Att,1)=0,$L946,IF($L946&gt;=$J946,cfgRetakeRecordedCap,SUMIFS(nrES_Raw,nrES_PID,$D946,nrES_Code,$F946,nrES_Att,1))))))</f>
        <v/>
      </c>
      <c r="N946" s="15">
        <f>IF($C946="","",IF($L946="","",IF($L946&gt;=$J946,"Yes","No")))</f>
        <v/>
      </c>
      <c r="O946" s="15">
        <f>IF($C946="","",IF($M946="","",IF($M946&gt;=$J946,"Yes","No")))</f>
        <v/>
      </c>
      <c r="P946" s="15">
        <f>IF($C946="","",IF($K946="","",IF(COUNTIFS(nrES_PID,$D946,nrES_Code,$F946,nrES_Att,"&gt;"&amp;$K946)=0,"Yes","No")))</f>
        <v/>
      </c>
      <c r="Q946" s="15">
        <f>IF($C946="","",IF($L946="","",IF(AND($K946=1,$L946&lt;$J946,COUNTIFS(nrES_PID,$D946,nrES_Code,$F946,nrES_Att,2)=0),"Yes","No")))</f>
        <v/>
      </c>
      <c r="R946" s="15">
        <f>IF($C946="","",IF($L946="","",IF(AND($K946=2,$L946&lt;$J946,COUNTIFS(nrES_PID,$D946,nrES_Code,$F946,nrES_Att,1)&gt;0),"Yes","No")))</f>
        <v/>
      </c>
      <c r="S946" s="16" t="n"/>
      <c r="T946" s="17">
        <f>IF($Q946&lt;&gt;"Yes","",IF($S946="","(enter date)",_xlfn.LET(_xlpm.dn,IFERROR(_xlfn.XLOOKUP($S946,nrCDdate,nrCDnum),""),IF(_xlpm.dn="","(not a class day)",IFERROR(_xlfn.XLOOKUP(_xlpm.dn+cfgRetestClassDays,nrCDnum,nrCDdate),"")))))</f>
        <v/>
      </c>
      <c r="U946" s="15">
        <f>IF($Q946&lt;&gt;"Yes","",IF(COUNTIFS(nrES_PID,$D946,nrES_Code,$F946,nrES_Att,2)&gt;0,"Retested",IF(OR($T946="",NOT(ISNUMBER($T946))),"Pending",IF(TODAY()&gt;$T946,"OVERDUE","Due "&amp;TEXT($T946,"mm/dd")))))</f>
        <v/>
      </c>
      <c r="V946" s="14" t="n"/>
      <c r="W946" s="14" t="n"/>
    </row>
    <row r="947">
      <c r="B947" s="15">
        <f>IF($C947="","",$D947&amp;"-"&amp;$F947&amp;"-"&amp;$K947)</f>
        <v/>
      </c>
      <c r="C947" s="14" t="n"/>
      <c r="D947" s="15">
        <f>IF($C947="","",IFERROR(INDEX(rngCadetPIDs,MATCH($C947,rngCadetNames,0)),"?"))</f>
        <v/>
      </c>
      <c r="E947" s="15">
        <f>IF($D947="","",IFERROR(INDEX(nrCadetAgency,MATCH($D947,rngCadetPIDs,0)),""))</f>
        <v/>
      </c>
      <c r="F947" s="14" t="n"/>
      <c r="G947" s="15">
        <f>IF($F947="","",IFERROR(INDEX(rngEPname,MATCH($F947,rngEPcode,0)),"?"))</f>
        <v/>
      </c>
      <c r="H947" s="15">
        <f>IF($F947="","",IFERROR(INDEX(rngEPtype,MATCH($F947,rngEPcode,0)),"?"))</f>
        <v/>
      </c>
      <c r="I947" s="15">
        <f>IF($F947="","",IFERROR(INDEX(rngEPseq,MATCH($F947,rngEPcode,0)),""))</f>
        <v/>
      </c>
      <c r="J947" s="15">
        <f>IF($F947="","",IFERROR(INDEX(rngEPpass,MATCH($F947,rngEPcode,0)),cfgPassingScore))</f>
        <v/>
      </c>
      <c r="K947" s="14" t="n"/>
      <c r="L947" s="14" t="n"/>
      <c r="M947" s="15">
        <f>IF($C947="","",IF($L947="","",IF($K947=1,IF(COUNTIFS(nrES_PID,$D947,nrES_Code,$F947,nrES_Att,2)&gt;0,"",$L947),IF(COUNTIFS(nrES_PID,$D947,nrES_Code,$F947,nrES_Att,1)=0,$L947,IF($L947&gt;=$J947,cfgRetakeRecordedCap,SUMIFS(nrES_Raw,nrES_PID,$D947,nrES_Code,$F947,nrES_Att,1))))))</f>
        <v/>
      </c>
      <c r="N947" s="15">
        <f>IF($C947="","",IF($L947="","",IF($L947&gt;=$J947,"Yes","No")))</f>
        <v/>
      </c>
      <c r="O947" s="15">
        <f>IF($C947="","",IF($M947="","",IF($M947&gt;=$J947,"Yes","No")))</f>
        <v/>
      </c>
      <c r="P947" s="15">
        <f>IF($C947="","",IF($K947="","",IF(COUNTIFS(nrES_PID,$D947,nrES_Code,$F947,nrES_Att,"&gt;"&amp;$K947)=0,"Yes","No")))</f>
        <v/>
      </c>
      <c r="Q947" s="15">
        <f>IF($C947="","",IF($L947="","",IF(AND($K947=1,$L947&lt;$J947,COUNTIFS(nrES_PID,$D947,nrES_Code,$F947,nrES_Att,2)=0),"Yes","No")))</f>
        <v/>
      </c>
      <c r="R947" s="15">
        <f>IF($C947="","",IF($L947="","",IF(AND($K947=2,$L947&lt;$J947,COUNTIFS(nrES_PID,$D947,nrES_Code,$F947,nrES_Att,1)&gt;0),"Yes","No")))</f>
        <v/>
      </c>
      <c r="S947" s="16" t="n"/>
      <c r="T947" s="17">
        <f>IF($Q947&lt;&gt;"Yes","",IF($S947="","(enter date)",_xlfn.LET(_xlpm.dn,IFERROR(_xlfn.XLOOKUP($S947,nrCDdate,nrCDnum),""),IF(_xlpm.dn="","(not a class day)",IFERROR(_xlfn.XLOOKUP(_xlpm.dn+cfgRetestClassDays,nrCDnum,nrCDdate),"")))))</f>
        <v/>
      </c>
      <c r="U947" s="15">
        <f>IF($Q947&lt;&gt;"Yes","",IF(COUNTIFS(nrES_PID,$D947,nrES_Code,$F947,nrES_Att,2)&gt;0,"Retested",IF(OR($T947="",NOT(ISNUMBER($T947))),"Pending",IF(TODAY()&gt;$T947,"OVERDUE","Due "&amp;TEXT($T947,"mm/dd")))))</f>
        <v/>
      </c>
      <c r="V947" s="14" t="n"/>
      <c r="W947" s="14" t="n"/>
    </row>
    <row r="948">
      <c r="B948" s="15">
        <f>IF($C948="","",$D948&amp;"-"&amp;$F948&amp;"-"&amp;$K948)</f>
        <v/>
      </c>
      <c r="C948" s="14" t="n"/>
      <c r="D948" s="15">
        <f>IF($C948="","",IFERROR(INDEX(rngCadetPIDs,MATCH($C948,rngCadetNames,0)),"?"))</f>
        <v/>
      </c>
      <c r="E948" s="15">
        <f>IF($D948="","",IFERROR(INDEX(nrCadetAgency,MATCH($D948,rngCadetPIDs,0)),""))</f>
        <v/>
      </c>
      <c r="F948" s="14" t="n"/>
      <c r="G948" s="15">
        <f>IF($F948="","",IFERROR(INDEX(rngEPname,MATCH($F948,rngEPcode,0)),"?"))</f>
        <v/>
      </c>
      <c r="H948" s="15">
        <f>IF($F948="","",IFERROR(INDEX(rngEPtype,MATCH($F948,rngEPcode,0)),"?"))</f>
        <v/>
      </c>
      <c r="I948" s="15">
        <f>IF($F948="","",IFERROR(INDEX(rngEPseq,MATCH($F948,rngEPcode,0)),""))</f>
        <v/>
      </c>
      <c r="J948" s="15">
        <f>IF($F948="","",IFERROR(INDEX(rngEPpass,MATCH($F948,rngEPcode,0)),cfgPassingScore))</f>
        <v/>
      </c>
      <c r="K948" s="14" t="n"/>
      <c r="L948" s="14" t="n"/>
      <c r="M948" s="15">
        <f>IF($C948="","",IF($L948="","",IF($K948=1,IF(COUNTIFS(nrES_PID,$D948,nrES_Code,$F948,nrES_Att,2)&gt;0,"",$L948),IF(COUNTIFS(nrES_PID,$D948,nrES_Code,$F948,nrES_Att,1)=0,$L948,IF($L948&gt;=$J948,cfgRetakeRecordedCap,SUMIFS(nrES_Raw,nrES_PID,$D948,nrES_Code,$F948,nrES_Att,1))))))</f>
        <v/>
      </c>
      <c r="N948" s="15">
        <f>IF($C948="","",IF($L948="","",IF($L948&gt;=$J948,"Yes","No")))</f>
        <v/>
      </c>
      <c r="O948" s="15">
        <f>IF($C948="","",IF($M948="","",IF($M948&gt;=$J948,"Yes","No")))</f>
        <v/>
      </c>
      <c r="P948" s="15">
        <f>IF($C948="","",IF($K948="","",IF(COUNTIFS(nrES_PID,$D948,nrES_Code,$F948,nrES_Att,"&gt;"&amp;$K948)=0,"Yes","No")))</f>
        <v/>
      </c>
      <c r="Q948" s="15">
        <f>IF($C948="","",IF($L948="","",IF(AND($K948=1,$L948&lt;$J948,COUNTIFS(nrES_PID,$D948,nrES_Code,$F948,nrES_Att,2)=0),"Yes","No")))</f>
        <v/>
      </c>
      <c r="R948" s="15">
        <f>IF($C948="","",IF($L948="","",IF(AND($K948=2,$L948&lt;$J948,COUNTIFS(nrES_PID,$D948,nrES_Code,$F948,nrES_Att,1)&gt;0),"Yes","No")))</f>
        <v/>
      </c>
      <c r="S948" s="16" t="n"/>
      <c r="T948" s="17">
        <f>IF($Q948&lt;&gt;"Yes","",IF($S948="","(enter date)",_xlfn.LET(_xlpm.dn,IFERROR(_xlfn.XLOOKUP($S948,nrCDdate,nrCDnum),""),IF(_xlpm.dn="","(not a class day)",IFERROR(_xlfn.XLOOKUP(_xlpm.dn+cfgRetestClassDays,nrCDnum,nrCDdate),"")))))</f>
        <v/>
      </c>
      <c r="U948" s="15">
        <f>IF($Q948&lt;&gt;"Yes","",IF(COUNTIFS(nrES_PID,$D948,nrES_Code,$F948,nrES_Att,2)&gt;0,"Retested",IF(OR($T948="",NOT(ISNUMBER($T948))),"Pending",IF(TODAY()&gt;$T948,"OVERDUE","Due "&amp;TEXT($T948,"mm/dd")))))</f>
        <v/>
      </c>
      <c r="V948" s="14" t="n"/>
      <c r="W948" s="14" t="n"/>
    </row>
    <row r="949">
      <c r="B949" s="15">
        <f>IF($C949="","",$D949&amp;"-"&amp;$F949&amp;"-"&amp;$K949)</f>
        <v/>
      </c>
      <c r="C949" s="14" t="n"/>
      <c r="D949" s="15">
        <f>IF($C949="","",IFERROR(INDEX(rngCadetPIDs,MATCH($C949,rngCadetNames,0)),"?"))</f>
        <v/>
      </c>
      <c r="E949" s="15">
        <f>IF($D949="","",IFERROR(INDEX(nrCadetAgency,MATCH($D949,rngCadetPIDs,0)),""))</f>
        <v/>
      </c>
      <c r="F949" s="14" t="n"/>
      <c r="G949" s="15">
        <f>IF($F949="","",IFERROR(INDEX(rngEPname,MATCH($F949,rngEPcode,0)),"?"))</f>
        <v/>
      </c>
      <c r="H949" s="15">
        <f>IF($F949="","",IFERROR(INDEX(rngEPtype,MATCH($F949,rngEPcode,0)),"?"))</f>
        <v/>
      </c>
      <c r="I949" s="15">
        <f>IF($F949="","",IFERROR(INDEX(rngEPseq,MATCH($F949,rngEPcode,0)),""))</f>
        <v/>
      </c>
      <c r="J949" s="15">
        <f>IF($F949="","",IFERROR(INDEX(rngEPpass,MATCH($F949,rngEPcode,0)),cfgPassingScore))</f>
        <v/>
      </c>
      <c r="K949" s="14" t="n"/>
      <c r="L949" s="14" t="n"/>
      <c r="M949" s="15">
        <f>IF($C949="","",IF($L949="","",IF($K949=1,IF(COUNTIFS(nrES_PID,$D949,nrES_Code,$F949,nrES_Att,2)&gt;0,"",$L949),IF(COUNTIFS(nrES_PID,$D949,nrES_Code,$F949,nrES_Att,1)=0,$L949,IF($L949&gt;=$J949,cfgRetakeRecordedCap,SUMIFS(nrES_Raw,nrES_PID,$D949,nrES_Code,$F949,nrES_Att,1))))))</f>
        <v/>
      </c>
      <c r="N949" s="15">
        <f>IF($C949="","",IF($L949="","",IF($L949&gt;=$J949,"Yes","No")))</f>
        <v/>
      </c>
      <c r="O949" s="15">
        <f>IF($C949="","",IF($M949="","",IF($M949&gt;=$J949,"Yes","No")))</f>
        <v/>
      </c>
      <c r="P949" s="15">
        <f>IF($C949="","",IF($K949="","",IF(COUNTIFS(nrES_PID,$D949,nrES_Code,$F949,nrES_Att,"&gt;"&amp;$K949)=0,"Yes","No")))</f>
        <v/>
      </c>
      <c r="Q949" s="15">
        <f>IF($C949="","",IF($L949="","",IF(AND($K949=1,$L949&lt;$J949,COUNTIFS(nrES_PID,$D949,nrES_Code,$F949,nrES_Att,2)=0),"Yes","No")))</f>
        <v/>
      </c>
      <c r="R949" s="15">
        <f>IF($C949="","",IF($L949="","",IF(AND($K949=2,$L949&lt;$J949,COUNTIFS(nrES_PID,$D949,nrES_Code,$F949,nrES_Att,1)&gt;0),"Yes","No")))</f>
        <v/>
      </c>
      <c r="S949" s="16" t="n"/>
      <c r="T949" s="17">
        <f>IF($Q949&lt;&gt;"Yes","",IF($S949="","(enter date)",_xlfn.LET(_xlpm.dn,IFERROR(_xlfn.XLOOKUP($S949,nrCDdate,nrCDnum),""),IF(_xlpm.dn="","(not a class day)",IFERROR(_xlfn.XLOOKUP(_xlpm.dn+cfgRetestClassDays,nrCDnum,nrCDdate),"")))))</f>
        <v/>
      </c>
      <c r="U949" s="15">
        <f>IF($Q949&lt;&gt;"Yes","",IF(COUNTIFS(nrES_PID,$D949,nrES_Code,$F949,nrES_Att,2)&gt;0,"Retested",IF(OR($T949="",NOT(ISNUMBER($T949))),"Pending",IF(TODAY()&gt;$T949,"OVERDUE","Due "&amp;TEXT($T949,"mm/dd")))))</f>
        <v/>
      </c>
      <c r="V949" s="14" t="n"/>
      <c r="W949" s="14" t="n"/>
    </row>
    <row r="950">
      <c r="B950" s="15">
        <f>IF($C950="","",$D950&amp;"-"&amp;$F950&amp;"-"&amp;$K950)</f>
        <v/>
      </c>
      <c r="C950" s="14" t="n"/>
      <c r="D950" s="15">
        <f>IF($C950="","",IFERROR(INDEX(rngCadetPIDs,MATCH($C950,rngCadetNames,0)),"?"))</f>
        <v/>
      </c>
      <c r="E950" s="15">
        <f>IF($D950="","",IFERROR(INDEX(nrCadetAgency,MATCH($D950,rngCadetPIDs,0)),""))</f>
        <v/>
      </c>
      <c r="F950" s="14" t="n"/>
      <c r="G950" s="15">
        <f>IF($F950="","",IFERROR(INDEX(rngEPname,MATCH($F950,rngEPcode,0)),"?"))</f>
        <v/>
      </c>
      <c r="H950" s="15">
        <f>IF($F950="","",IFERROR(INDEX(rngEPtype,MATCH($F950,rngEPcode,0)),"?"))</f>
        <v/>
      </c>
      <c r="I950" s="15">
        <f>IF($F950="","",IFERROR(INDEX(rngEPseq,MATCH($F950,rngEPcode,0)),""))</f>
        <v/>
      </c>
      <c r="J950" s="15">
        <f>IF($F950="","",IFERROR(INDEX(rngEPpass,MATCH($F950,rngEPcode,0)),cfgPassingScore))</f>
        <v/>
      </c>
      <c r="K950" s="14" t="n"/>
      <c r="L950" s="14" t="n"/>
      <c r="M950" s="15">
        <f>IF($C950="","",IF($L950="","",IF($K950=1,IF(COUNTIFS(nrES_PID,$D950,nrES_Code,$F950,nrES_Att,2)&gt;0,"",$L950),IF(COUNTIFS(nrES_PID,$D950,nrES_Code,$F950,nrES_Att,1)=0,$L950,IF($L950&gt;=$J950,cfgRetakeRecordedCap,SUMIFS(nrES_Raw,nrES_PID,$D950,nrES_Code,$F950,nrES_Att,1))))))</f>
        <v/>
      </c>
      <c r="N950" s="15">
        <f>IF($C950="","",IF($L950="","",IF($L950&gt;=$J950,"Yes","No")))</f>
        <v/>
      </c>
      <c r="O950" s="15">
        <f>IF($C950="","",IF($M950="","",IF($M950&gt;=$J950,"Yes","No")))</f>
        <v/>
      </c>
      <c r="P950" s="15">
        <f>IF($C950="","",IF($K950="","",IF(COUNTIFS(nrES_PID,$D950,nrES_Code,$F950,nrES_Att,"&gt;"&amp;$K950)=0,"Yes","No")))</f>
        <v/>
      </c>
      <c r="Q950" s="15">
        <f>IF($C950="","",IF($L950="","",IF(AND($K950=1,$L950&lt;$J950,COUNTIFS(nrES_PID,$D950,nrES_Code,$F950,nrES_Att,2)=0),"Yes","No")))</f>
        <v/>
      </c>
      <c r="R950" s="15">
        <f>IF($C950="","",IF($L950="","",IF(AND($K950=2,$L950&lt;$J950,COUNTIFS(nrES_PID,$D950,nrES_Code,$F950,nrES_Att,1)&gt;0),"Yes","No")))</f>
        <v/>
      </c>
      <c r="S950" s="16" t="n"/>
      <c r="T950" s="17">
        <f>IF($Q950&lt;&gt;"Yes","",IF($S950="","(enter date)",_xlfn.LET(_xlpm.dn,IFERROR(_xlfn.XLOOKUP($S950,nrCDdate,nrCDnum),""),IF(_xlpm.dn="","(not a class day)",IFERROR(_xlfn.XLOOKUP(_xlpm.dn+cfgRetestClassDays,nrCDnum,nrCDdate),"")))))</f>
        <v/>
      </c>
      <c r="U950" s="15">
        <f>IF($Q950&lt;&gt;"Yes","",IF(COUNTIFS(nrES_PID,$D950,nrES_Code,$F950,nrES_Att,2)&gt;0,"Retested",IF(OR($T950="",NOT(ISNUMBER($T950))),"Pending",IF(TODAY()&gt;$T950,"OVERDUE","Due "&amp;TEXT($T950,"mm/dd")))))</f>
        <v/>
      </c>
      <c r="V950" s="14" t="n"/>
      <c r="W950" s="14" t="n"/>
    </row>
    <row r="951">
      <c r="B951" s="15">
        <f>IF($C951="","",$D951&amp;"-"&amp;$F951&amp;"-"&amp;$K951)</f>
        <v/>
      </c>
      <c r="C951" s="14" t="n"/>
      <c r="D951" s="15">
        <f>IF($C951="","",IFERROR(INDEX(rngCadetPIDs,MATCH($C951,rngCadetNames,0)),"?"))</f>
        <v/>
      </c>
      <c r="E951" s="15">
        <f>IF($D951="","",IFERROR(INDEX(nrCadetAgency,MATCH($D951,rngCadetPIDs,0)),""))</f>
        <v/>
      </c>
      <c r="F951" s="14" t="n"/>
      <c r="G951" s="15">
        <f>IF($F951="","",IFERROR(INDEX(rngEPname,MATCH($F951,rngEPcode,0)),"?"))</f>
        <v/>
      </c>
      <c r="H951" s="15">
        <f>IF($F951="","",IFERROR(INDEX(rngEPtype,MATCH($F951,rngEPcode,0)),"?"))</f>
        <v/>
      </c>
      <c r="I951" s="15">
        <f>IF($F951="","",IFERROR(INDEX(rngEPseq,MATCH($F951,rngEPcode,0)),""))</f>
        <v/>
      </c>
      <c r="J951" s="15">
        <f>IF($F951="","",IFERROR(INDEX(rngEPpass,MATCH($F951,rngEPcode,0)),cfgPassingScore))</f>
        <v/>
      </c>
      <c r="K951" s="14" t="n"/>
      <c r="L951" s="14" t="n"/>
      <c r="M951" s="15">
        <f>IF($C951="","",IF($L951="","",IF($K951=1,IF(COUNTIFS(nrES_PID,$D951,nrES_Code,$F951,nrES_Att,2)&gt;0,"",$L951),IF(COUNTIFS(nrES_PID,$D951,nrES_Code,$F951,nrES_Att,1)=0,$L951,IF($L951&gt;=$J951,cfgRetakeRecordedCap,SUMIFS(nrES_Raw,nrES_PID,$D951,nrES_Code,$F951,nrES_Att,1))))))</f>
        <v/>
      </c>
      <c r="N951" s="15">
        <f>IF($C951="","",IF($L951="","",IF($L951&gt;=$J951,"Yes","No")))</f>
        <v/>
      </c>
      <c r="O951" s="15">
        <f>IF($C951="","",IF($M951="","",IF($M951&gt;=$J951,"Yes","No")))</f>
        <v/>
      </c>
      <c r="P951" s="15">
        <f>IF($C951="","",IF($K951="","",IF(COUNTIFS(nrES_PID,$D951,nrES_Code,$F951,nrES_Att,"&gt;"&amp;$K951)=0,"Yes","No")))</f>
        <v/>
      </c>
      <c r="Q951" s="15">
        <f>IF($C951="","",IF($L951="","",IF(AND($K951=1,$L951&lt;$J951,COUNTIFS(nrES_PID,$D951,nrES_Code,$F951,nrES_Att,2)=0),"Yes","No")))</f>
        <v/>
      </c>
      <c r="R951" s="15">
        <f>IF($C951="","",IF($L951="","",IF(AND($K951=2,$L951&lt;$J951,COUNTIFS(nrES_PID,$D951,nrES_Code,$F951,nrES_Att,1)&gt;0),"Yes","No")))</f>
        <v/>
      </c>
      <c r="S951" s="16" t="n"/>
      <c r="T951" s="17">
        <f>IF($Q951&lt;&gt;"Yes","",IF($S951="","(enter date)",_xlfn.LET(_xlpm.dn,IFERROR(_xlfn.XLOOKUP($S951,nrCDdate,nrCDnum),""),IF(_xlpm.dn="","(not a class day)",IFERROR(_xlfn.XLOOKUP(_xlpm.dn+cfgRetestClassDays,nrCDnum,nrCDdate),"")))))</f>
        <v/>
      </c>
      <c r="U951" s="15">
        <f>IF($Q951&lt;&gt;"Yes","",IF(COUNTIFS(nrES_PID,$D951,nrES_Code,$F951,nrES_Att,2)&gt;0,"Retested",IF(OR($T951="",NOT(ISNUMBER($T951))),"Pending",IF(TODAY()&gt;$T951,"OVERDUE","Due "&amp;TEXT($T951,"mm/dd")))))</f>
        <v/>
      </c>
      <c r="V951" s="14" t="n"/>
      <c r="W951" s="14" t="n"/>
    </row>
    <row r="952">
      <c r="B952" s="15">
        <f>IF($C952="","",$D952&amp;"-"&amp;$F952&amp;"-"&amp;$K952)</f>
        <v/>
      </c>
      <c r="C952" s="14" t="n"/>
      <c r="D952" s="15">
        <f>IF($C952="","",IFERROR(INDEX(rngCadetPIDs,MATCH($C952,rngCadetNames,0)),"?"))</f>
        <v/>
      </c>
      <c r="E952" s="15">
        <f>IF($D952="","",IFERROR(INDEX(nrCadetAgency,MATCH($D952,rngCadetPIDs,0)),""))</f>
        <v/>
      </c>
      <c r="F952" s="14" t="n"/>
      <c r="G952" s="15">
        <f>IF($F952="","",IFERROR(INDEX(rngEPname,MATCH($F952,rngEPcode,0)),"?"))</f>
        <v/>
      </c>
      <c r="H952" s="15">
        <f>IF($F952="","",IFERROR(INDEX(rngEPtype,MATCH($F952,rngEPcode,0)),"?"))</f>
        <v/>
      </c>
      <c r="I952" s="15">
        <f>IF($F952="","",IFERROR(INDEX(rngEPseq,MATCH($F952,rngEPcode,0)),""))</f>
        <v/>
      </c>
      <c r="J952" s="15">
        <f>IF($F952="","",IFERROR(INDEX(rngEPpass,MATCH($F952,rngEPcode,0)),cfgPassingScore))</f>
        <v/>
      </c>
      <c r="K952" s="14" t="n"/>
      <c r="L952" s="14" t="n"/>
      <c r="M952" s="15">
        <f>IF($C952="","",IF($L952="","",IF($K952=1,IF(COUNTIFS(nrES_PID,$D952,nrES_Code,$F952,nrES_Att,2)&gt;0,"",$L952),IF(COUNTIFS(nrES_PID,$D952,nrES_Code,$F952,nrES_Att,1)=0,$L952,IF($L952&gt;=$J952,cfgRetakeRecordedCap,SUMIFS(nrES_Raw,nrES_PID,$D952,nrES_Code,$F952,nrES_Att,1))))))</f>
        <v/>
      </c>
      <c r="N952" s="15">
        <f>IF($C952="","",IF($L952="","",IF($L952&gt;=$J952,"Yes","No")))</f>
        <v/>
      </c>
      <c r="O952" s="15">
        <f>IF($C952="","",IF($M952="","",IF($M952&gt;=$J952,"Yes","No")))</f>
        <v/>
      </c>
      <c r="P952" s="15">
        <f>IF($C952="","",IF($K952="","",IF(COUNTIFS(nrES_PID,$D952,nrES_Code,$F952,nrES_Att,"&gt;"&amp;$K952)=0,"Yes","No")))</f>
        <v/>
      </c>
      <c r="Q952" s="15">
        <f>IF($C952="","",IF($L952="","",IF(AND($K952=1,$L952&lt;$J952,COUNTIFS(nrES_PID,$D952,nrES_Code,$F952,nrES_Att,2)=0),"Yes","No")))</f>
        <v/>
      </c>
      <c r="R952" s="15">
        <f>IF($C952="","",IF($L952="","",IF(AND($K952=2,$L952&lt;$J952,COUNTIFS(nrES_PID,$D952,nrES_Code,$F952,nrES_Att,1)&gt;0),"Yes","No")))</f>
        <v/>
      </c>
      <c r="S952" s="16" t="n"/>
      <c r="T952" s="17">
        <f>IF($Q952&lt;&gt;"Yes","",IF($S952="","(enter date)",_xlfn.LET(_xlpm.dn,IFERROR(_xlfn.XLOOKUP($S952,nrCDdate,nrCDnum),""),IF(_xlpm.dn="","(not a class day)",IFERROR(_xlfn.XLOOKUP(_xlpm.dn+cfgRetestClassDays,nrCDnum,nrCDdate),"")))))</f>
        <v/>
      </c>
      <c r="U952" s="15">
        <f>IF($Q952&lt;&gt;"Yes","",IF(COUNTIFS(nrES_PID,$D952,nrES_Code,$F952,nrES_Att,2)&gt;0,"Retested",IF(OR($T952="",NOT(ISNUMBER($T952))),"Pending",IF(TODAY()&gt;$T952,"OVERDUE","Due "&amp;TEXT($T952,"mm/dd")))))</f>
        <v/>
      </c>
      <c r="V952" s="14" t="n"/>
      <c r="W952" s="14" t="n"/>
    </row>
    <row r="953">
      <c r="B953" s="15">
        <f>IF($C953="","",$D953&amp;"-"&amp;$F953&amp;"-"&amp;$K953)</f>
        <v/>
      </c>
      <c r="C953" s="14" t="n"/>
      <c r="D953" s="15">
        <f>IF($C953="","",IFERROR(INDEX(rngCadetPIDs,MATCH($C953,rngCadetNames,0)),"?"))</f>
        <v/>
      </c>
      <c r="E953" s="15">
        <f>IF($D953="","",IFERROR(INDEX(nrCadetAgency,MATCH($D953,rngCadetPIDs,0)),""))</f>
        <v/>
      </c>
      <c r="F953" s="14" t="n"/>
      <c r="G953" s="15">
        <f>IF($F953="","",IFERROR(INDEX(rngEPname,MATCH($F953,rngEPcode,0)),"?"))</f>
        <v/>
      </c>
      <c r="H953" s="15">
        <f>IF($F953="","",IFERROR(INDEX(rngEPtype,MATCH($F953,rngEPcode,0)),"?"))</f>
        <v/>
      </c>
      <c r="I953" s="15">
        <f>IF($F953="","",IFERROR(INDEX(rngEPseq,MATCH($F953,rngEPcode,0)),""))</f>
        <v/>
      </c>
      <c r="J953" s="15">
        <f>IF($F953="","",IFERROR(INDEX(rngEPpass,MATCH($F953,rngEPcode,0)),cfgPassingScore))</f>
        <v/>
      </c>
      <c r="K953" s="14" t="n"/>
      <c r="L953" s="14" t="n"/>
      <c r="M953" s="15">
        <f>IF($C953="","",IF($L953="","",IF($K953=1,IF(COUNTIFS(nrES_PID,$D953,nrES_Code,$F953,nrES_Att,2)&gt;0,"",$L953),IF(COUNTIFS(nrES_PID,$D953,nrES_Code,$F953,nrES_Att,1)=0,$L953,IF($L953&gt;=$J953,cfgRetakeRecordedCap,SUMIFS(nrES_Raw,nrES_PID,$D953,nrES_Code,$F953,nrES_Att,1))))))</f>
        <v/>
      </c>
      <c r="N953" s="15">
        <f>IF($C953="","",IF($L953="","",IF($L953&gt;=$J953,"Yes","No")))</f>
        <v/>
      </c>
      <c r="O953" s="15">
        <f>IF($C953="","",IF($M953="","",IF($M953&gt;=$J953,"Yes","No")))</f>
        <v/>
      </c>
      <c r="P953" s="15">
        <f>IF($C953="","",IF($K953="","",IF(COUNTIFS(nrES_PID,$D953,nrES_Code,$F953,nrES_Att,"&gt;"&amp;$K953)=0,"Yes","No")))</f>
        <v/>
      </c>
      <c r="Q953" s="15">
        <f>IF($C953="","",IF($L953="","",IF(AND($K953=1,$L953&lt;$J953,COUNTIFS(nrES_PID,$D953,nrES_Code,$F953,nrES_Att,2)=0),"Yes","No")))</f>
        <v/>
      </c>
      <c r="R953" s="15">
        <f>IF($C953="","",IF($L953="","",IF(AND($K953=2,$L953&lt;$J953,COUNTIFS(nrES_PID,$D953,nrES_Code,$F953,nrES_Att,1)&gt;0),"Yes","No")))</f>
        <v/>
      </c>
      <c r="S953" s="16" t="n"/>
      <c r="T953" s="17">
        <f>IF($Q953&lt;&gt;"Yes","",IF($S953="","(enter date)",_xlfn.LET(_xlpm.dn,IFERROR(_xlfn.XLOOKUP($S953,nrCDdate,nrCDnum),""),IF(_xlpm.dn="","(not a class day)",IFERROR(_xlfn.XLOOKUP(_xlpm.dn+cfgRetestClassDays,nrCDnum,nrCDdate),"")))))</f>
        <v/>
      </c>
      <c r="U953" s="15">
        <f>IF($Q953&lt;&gt;"Yes","",IF(COUNTIFS(nrES_PID,$D953,nrES_Code,$F953,nrES_Att,2)&gt;0,"Retested",IF(OR($T953="",NOT(ISNUMBER($T953))),"Pending",IF(TODAY()&gt;$T953,"OVERDUE","Due "&amp;TEXT($T953,"mm/dd")))))</f>
        <v/>
      </c>
      <c r="V953" s="14" t="n"/>
      <c r="W953" s="14" t="n"/>
    </row>
    <row r="954">
      <c r="B954" s="15">
        <f>IF($C954="","",$D954&amp;"-"&amp;$F954&amp;"-"&amp;$K954)</f>
        <v/>
      </c>
      <c r="C954" s="14" t="n"/>
      <c r="D954" s="15">
        <f>IF($C954="","",IFERROR(INDEX(rngCadetPIDs,MATCH($C954,rngCadetNames,0)),"?"))</f>
        <v/>
      </c>
      <c r="E954" s="15">
        <f>IF($D954="","",IFERROR(INDEX(nrCadetAgency,MATCH($D954,rngCadetPIDs,0)),""))</f>
        <v/>
      </c>
      <c r="F954" s="14" t="n"/>
      <c r="G954" s="15">
        <f>IF($F954="","",IFERROR(INDEX(rngEPname,MATCH($F954,rngEPcode,0)),"?"))</f>
        <v/>
      </c>
      <c r="H954" s="15">
        <f>IF($F954="","",IFERROR(INDEX(rngEPtype,MATCH($F954,rngEPcode,0)),"?"))</f>
        <v/>
      </c>
      <c r="I954" s="15">
        <f>IF($F954="","",IFERROR(INDEX(rngEPseq,MATCH($F954,rngEPcode,0)),""))</f>
        <v/>
      </c>
      <c r="J954" s="15">
        <f>IF($F954="","",IFERROR(INDEX(rngEPpass,MATCH($F954,rngEPcode,0)),cfgPassingScore))</f>
        <v/>
      </c>
      <c r="K954" s="14" t="n"/>
      <c r="L954" s="14" t="n"/>
      <c r="M954" s="15">
        <f>IF($C954="","",IF($L954="","",IF($K954=1,IF(COUNTIFS(nrES_PID,$D954,nrES_Code,$F954,nrES_Att,2)&gt;0,"",$L954),IF(COUNTIFS(nrES_PID,$D954,nrES_Code,$F954,nrES_Att,1)=0,$L954,IF($L954&gt;=$J954,cfgRetakeRecordedCap,SUMIFS(nrES_Raw,nrES_PID,$D954,nrES_Code,$F954,nrES_Att,1))))))</f>
        <v/>
      </c>
      <c r="N954" s="15">
        <f>IF($C954="","",IF($L954="","",IF($L954&gt;=$J954,"Yes","No")))</f>
        <v/>
      </c>
      <c r="O954" s="15">
        <f>IF($C954="","",IF($M954="","",IF($M954&gt;=$J954,"Yes","No")))</f>
        <v/>
      </c>
      <c r="P954" s="15">
        <f>IF($C954="","",IF($K954="","",IF(COUNTIFS(nrES_PID,$D954,nrES_Code,$F954,nrES_Att,"&gt;"&amp;$K954)=0,"Yes","No")))</f>
        <v/>
      </c>
      <c r="Q954" s="15">
        <f>IF($C954="","",IF($L954="","",IF(AND($K954=1,$L954&lt;$J954,COUNTIFS(nrES_PID,$D954,nrES_Code,$F954,nrES_Att,2)=0),"Yes","No")))</f>
        <v/>
      </c>
      <c r="R954" s="15">
        <f>IF($C954="","",IF($L954="","",IF(AND($K954=2,$L954&lt;$J954,COUNTIFS(nrES_PID,$D954,nrES_Code,$F954,nrES_Att,1)&gt;0),"Yes","No")))</f>
        <v/>
      </c>
      <c r="S954" s="16" t="n"/>
      <c r="T954" s="17">
        <f>IF($Q954&lt;&gt;"Yes","",IF($S954="","(enter date)",_xlfn.LET(_xlpm.dn,IFERROR(_xlfn.XLOOKUP($S954,nrCDdate,nrCDnum),""),IF(_xlpm.dn="","(not a class day)",IFERROR(_xlfn.XLOOKUP(_xlpm.dn+cfgRetestClassDays,nrCDnum,nrCDdate),"")))))</f>
        <v/>
      </c>
      <c r="U954" s="15">
        <f>IF($Q954&lt;&gt;"Yes","",IF(COUNTIFS(nrES_PID,$D954,nrES_Code,$F954,nrES_Att,2)&gt;0,"Retested",IF(OR($T954="",NOT(ISNUMBER($T954))),"Pending",IF(TODAY()&gt;$T954,"OVERDUE","Due "&amp;TEXT($T954,"mm/dd")))))</f>
        <v/>
      </c>
      <c r="V954" s="14" t="n"/>
      <c r="W954" s="14" t="n"/>
    </row>
    <row r="955">
      <c r="B955" s="15">
        <f>IF($C955="","",$D955&amp;"-"&amp;$F955&amp;"-"&amp;$K955)</f>
        <v/>
      </c>
      <c r="C955" s="14" t="n"/>
      <c r="D955" s="15">
        <f>IF($C955="","",IFERROR(INDEX(rngCadetPIDs,MATCH($C955,rngCadetNames,0)),"?"))</f>
        <v/>
      </c>
      <c r="E955" s="15">
        <f>IF($D955="","",IFERROR(INDEX(nrCadetAgency,MATCH($D955,rngCadetPIDs,0)),""))</f>
        <v/>
      </c>
      <c r="F955" s="14" t="n"/>
      <c r="G955" s="15">
        <f>IF($F955="","",IFERROR(INDEX(rngEPname,MATCH($F955,rngEPcode,0)),"?"))</f>
        <v/>
      </c>
      <c r="H955" s="15">
        <f>IF($F955="","",IFERROR(INDEX(rngEPtype,MATCH($F955,rngEPcode,0)),"?"))</f>
        <v/>
      </c>
      <c r="I955" s="15">
        <f>IF($F955="","",IFERROR(INDEX(rngEPseq,MATCH($F955,rngEPcode,0)),""))</f>
        <v/>
      </c>
      <c r="J955" s="15">
        <f>IF($F955="","",IFERROR(INDEX(rngEPpass,MATCH($F955,rngEPcode,0)),cfgPassingScore))</f>
        <v/>
      </c>
      <c r="K955" s="14" t="n"/>
      <c r="L955" s="14" t="n"/>
      <c r="M955" s="15">
        <f>IF($C955="","",IF($L955="","",IF($K955=1,IF(COUNTIFS(nrES_PID,$D955,nrES_Code,$F955,nrES_Att,2)&gt;0,"",$L955),IF(COUNTIFS(nrES_PID,$D955,nrES_Code,$F955,nrES_Att,1)=0,$L955,IF($L955&gt;=$J955,cfgRetakeRecordedCap,SUMIFS(nrES_Raw,nrES_PID,$D955,nrES_Code,$F955,nrES_Att,1))))))</f>
        <v/>
      </c>
      <c r="N955" s="15">
        <f>IF($C955="","",IF($L955="","",IF($L955&gt;=$J955,"Yes","No")))</f>
        <v/>
      </c>
      <c r="O955" s="15">
        <f>IF($C955="","",IF($M955="","",IF($M955&gt;=$J955,"Yes","No")))</f>
        <v/>
      </c>
      <c r="P955" s="15">
        <f>IF($C955="","",IF($K955="","",IF(COUNTIFS(nrES_PID,$D955,nrES_Code,$F955,nrES_Att,"&gt;"&amp;$K955)=0,"Yes","No")))</f>
        <v/>
      </c>
      <c r="Q955" s="15">
        <f>IF($C955="","",IF($L955="","",IF(AND($K955=1,$L955&lt;$J955,COUNTIFS(nrES_PID,$D955,nrES_Code,$F955,nrES_Att,2)=0),"Yes","No")))</f>
        <v/>
      </c>
      <c r="R955" s="15">
        <f>IF($C955="","",IF($L955="","",IF(AND($K955=2,$L955&lt;$J955,COUNTIFS(nrES_PID,$D955,nrES_Code,$F955,nrES_Att,1)&gt;0),"Yes","No")))</f>
        <v/>
      </c>
      <c r="S955" s="16" t="n"/>
      <c r="T955" s="17">
        <f>IF($Q955&lt;&gt;"Yes","",IF($S955="","(enter date)",_xlfn.LET(_xlpm.dn,IFERROR(_xlfn.XLOOKUP($S955,nrCDdate,nrCDnum),""),IF(_xlpm.dn="","(not a class day)",IFERROR(_xlfn.XLOOKUP(_xlpm.dn+cfgRetestClassDays,nrCDnum,nrCDdate),"")))))</f>
        <v/>
      </c>
      <c r="U955" s="15">
        <f>IF($Q955&lt;&gt;"Yes","",IF(COUNTIFS(nrES_PID,$D955,nrES_Code,$F955,nrES_Att,2)&gt;0,"Retested",IF(OR($T955="",NOT(ISNUMBER($T955))),"Pending",IF(TODAY()&gt;$T955,"OVERDUE","Due "&amp;TEXT($T955,"mm/dd")))))</f>
        <v/>
      </c>
      <c r="V955" s="14" t="n"/>
      <c r="W955" s="14" t="n"/>
    </row>
    <row r="956">
      <c r="B956" s="15">
        <f>IF($C956="","",$D956&amp;"-"&amp;$F956&amp;"-"&amp;$K956)</f>
        <v/>
      </c>
      <c r="C956" s="14" t="n"/>
      <c r="D956" s="15">
        <f>IF($C956="","",IFERROR(INDEX(rngCadetPIDs,MATCH($C956,rngCadetNames,0)),"?"))</f>
        <v/>
      </c>
      <c r="E956" s="15">
        <f>IF($D956="","",IFERROR(INDEX(nrCadetAgency,MATCH($D956,rngCadetPIDs,0)),""))</f>
        <v/>
      </c>
      <c r="F956" s="14" t="n"/>
      <c r="G956" s="15">
        <f>IF($F956="","",IFERROR(INDEX(rngEPname,MATCH($F956,rngEPcode,0)),"?"))</f>
        <v/>
      </c>
      <c r="H956" s="15">
        <f>IF($F956="","",IFERROR(INDEX(rngEPtype,MATCH($F956,rngEPcode,0)),"?"))</f>
        <v/>
      </c>
      <c r="I956" s="15">
        <f>IF($F956="","",IFERROR(INDEX(rngEPseq,MATCH($F956,rngEPcode,0)),""))</f>
        <v/>
      </c>
      <c r="J956" s="15">
        <f>IF($F956="","",IFERROR(INDEX(rngEPpass,MATCH($F956,rngEPcode,0)),cfgPassingScore))</f>
        <v/>
      </c>
      <c r="K956" s="14" t="n"/>
      <c r="L956" s="14" t="n"/>
      <c r="M956" s="15">
        <f>IF($C956="","",IF($L956="","",IF($K956=1,IF(COUNTIFS(nrES_PID,$D956,nrES_Code,$F956,nrES_Att,2)&gt;0,"",$L956),IF(COUNTIFS(nrES_PID,$D956,nrES_Code,$F956,nrES_Att,1)=0,$L956,IF($L956&gt;=$J956,cfgRetakeRecordedCap,SUMIFS(nrES_Raw,nrES_PID,$D956,nrES_Code,$F956,nrES_Att,1))))))</f>
        <v/>
      </c>
      <c r="N956" s="15">
        <f>IF($C956="","",IF($L956="","",IF($L956&gt;=$J956,"Yes","No")))</f>
        <v/>
      </c>
      <c r="O956" s="15">
        <f>IF($C956="","",IF($M956="","",IF($M956&gt;=$J956,"Yes","No")))</f>
        <v/>
      </c>
      <c r="P956" s="15">
        <f>IF($C956="","",IF($K956="","",IF(COUNTIFS(nrES_PID,$D956,nrES_Code,$F956,nrES_Att,"&gt;"&amp;$K956)=0,"Yes","No")))</f>
        <v/>
      </c>
      <c r="Q956" s="15">
        <f>IF($C956="","",IF($L956="","",IF(AND($K956=1,$L956&lt;$J956,COUNTIFS(nrES_PID,$D956,nrES_Code,$F956,nrES_Att,2)=0),"Yes","No")))</f>
        <v/>
      </c>
      <c r="R956" s="15">
        <f>IF($C956="","",IF($L956="","",IF(AND($K956=2,$L956&lt;$J956,COUNTIFS(nrES_PID,$D956,nrES_Code,$F956,nrES_Att,1)&gt;0),"Yes","No")))</f>
        <v/>
      </c>
      <c r="S956" s="16" t="n"/>
      <c r="T956" s="17">
        <f>IF($Q956&lt;&gt;"Yes","",IF($S956="","(enter date)",_xlfn.LET(_xlpm.dn,IFERROR(_xlfn.XLOOKUP($S956,nrCDdate,nrCDnum),""),IF(_xlpm.dn="","(not a class day)",IFERROR(_xlfn.XLOOKUP(_xlpm.dn+cfgRetestClassDays,nrCDnum,nrCDdate),"")))))</f>
        <v/>
      </c>
      <c r="U956" s="15">
        <f>IF($Q956&lt;&gt;"Yes","",IF(COUNTIFS(nrES_PID,$D956,nrES_Code,$F956,nrES_Att,2)&gt;0,"Retested",IF(OR($T956="",NOT(ISNUMBER($T956))),"Pending",IF(TODAY()&gt;$T956,"OVERDUE","Due "&amp;TEXT($T956,"mm/dd")))))</f>
        <v/>
      </c>
      <c r="V956" s="14" t="n"/>
      <c r="W956" s="14" t="n"/>
    </row>
    <row r="957">
      <c r="B957" s="15">
        <f>IF($C957="","",$D957&amp;"-"&amp;$F957&amp;"-"&amp;$K957)</f>
        <v/>
      </c>
      <c r="C957" s="14" t="n"/>
      <c r="D957" s="15">
        <f>IF($C957="","",IFERROR(INDEX(rngCadetPIDs,MATCH($C957,rngCadetNames,0)),"?"))</f>
        <v/>
      </c>
      <c r="E957" s="15">
        <f>IF($D957="","",IFERROR(INDEX(nrCadetAgency,MATCH($D957,rngCadetPIDs,0)),""))</f>
        <v/>
      </c>
      <c r="F957" s="14" t="n"/>
      <c r="G957" s="15">
        <f>IF($F957="","",IFERROR(INDEX(rngEPname,MATCH($F957,rngEPcode,0)),"?"))</f>
        <v/>
      </c>
      <c r="H957" s="15">
        <f>IF($F957="","",IFERROR(INDEX(rngEPtype,MATCH($F957,rngEPcode,0)),"?"))</f>
        <v/>
      </c>
      <c r="I957" s="15">
        <f>IF($F957="","",IFERROR(INDEX(rngEPseq,MATCH($F957,rngEPcode,0)),""))</f>
        <v/>
      </c>
      <c r="J957" s="15">
        <f>IF($F957="","",IFERROR(INDEX(rngEPpass,MATCH($F957,rngEPcode,0)),cfgPassingScore))</f>
        <v/>
      </c>
      <c r="K957" s="14" t="n"/>
      <c r="L957" s="14" t="n"/>
      <c r="M957" s="15">
        <f>IF($C957="","",IF($L957="","",IF($K957=1,IF(COUNTIFS(nrES_PID,$D957,nrES_Code,$F957,nrES_Att,2)&gt;0,"",$L957),IF(COUNTIFS(nrES_PID,$D957,nrES_Code,$F957,nrES_Att,1)=0,$L957,IF($L957&gt;=$J957,cfgRetakeRecordedCap,SUMIFS(nrES_Raw,nrES_PID,$D957,nrES_Code,$F957,nrES_Att,1))))))</f>
        <v/>
      </c>
      <c r="N957" s="15">
        <f>IF($C957="","",IF($L957="","",IF($L957&gt;=$J957,"Yes","No")))</f>
        <v/>
      </c>
      <c r="O957" s="15">
        <f>IF($C957="","",IF($M957="","",IF($M957&gt;=$J957,"Yes","No")))</f>
        <v/>
      </c>
      <c r="P957" s="15">
        <f>IF($C957="","",IF($K957="","",IF(COUNTIFS(nrES_PID,$D957,nrES_Code,$F957,nrES_Att,"&gt;"&amp;$K957)=0,"Yes","No")))</f>
        <v/>
      </c>
      <c r="Q957" s="15">
        <f>IF($C957="","",IF($L957="","",IF(AND($K957=1,$L957&lt;$J957,COUNTIFS(nrES_PID,$D957,nrES_Code,$F957,nrES_Att,2)=0),"Yes","No")))</f>
        <v/>
      </c>
      <c r="R957" s="15">
        <f>IF($C957="","",IF($L957="","",IF(AND($K957=2,$L957&lt;$J957,COUNTIFS(nrES_PID,$D957,nrES_Code,$F957,nrES_Att,1)&gt;0),"Yes","No")))</f>
        <v/>
      </c>
      <c r="S957" s="16" t="n"/>
      <c r="T957" s="17">
        <f>IF($Q957&lt;&gt;"Yes","",IF($S957="","(enter date)",_xlfn.LET(_xlpm.dn,IFERROR(_xlfn.XLOOKUP($S957,nrCDdate,nrCDnum),""),IF(_xlpm.dn="","(not a class day)",IFERROR(_xlfn.XLOOKUP(_xlpm.dn+cfgRetestClassDays,nrCDnum,nrCDdate),"")))))</f>
        <v/>
      </c>
      <c r="U957" s="15">
        <f>IF($Q957&lt;&gt;"Yes","",IF(COUNTIFS(nrES_PID,$D957,nrES_Code,$F957,nrES_Att,2)&gt;0,"Retested",IF(OR($T957="",NOT(ISNUMBER($T957))),"Pending",IF(TODAY()&gt;$T957,"OVERDUE","Due "&amp;TEXT($T957,"mm/dd")))))</f>
        <v/>
      </c>
      <c r="V957" s="14" t="n"/>
      <c r="W957" s="14" t="n"/>
    </row>
    <row r="958">
      <c r="B958" s="15">
        <f>IF($C958="","",$D958&amp;"-"&amp;$F958&amp;"-"&amp;$K958)</f>
        <v/>
      </c>
      <c r="C958" s="14" t="n"/>
      <c r="D958" s="15">
        <f>IF($C958="","",IFERROR(INDEX(rngCadetPIDs,MATCH($C958,rngCadetNames,0)),"?"))</f>
        <v/>
      </c>
      <c r="E958" s="15">
        <f>IF($D958="","",IFERROR(INDEX(nrCadetAgency,MATCH($D958,rngCadetPIDs,0)),""))</f>
        <v/>
      </c>
      <c r="F958" s="14" t="n"/>
      <c r="G958" s="15">
        <f>IF($F958="","",IFERROR(INDEX(rngEPname,MATCH($F958,rngEPcode,0)),"?"))</f>
        <v/>
      </c>
      <c r="H958" s="15">
        <f>IF($F958="","",IFERROR(INDEX(rngEPtype,MATCH($F958,rngEPcode,0)),"?"))</f>
        <v/>
      </c>
      <c r="I958" s="15">
        <f>IF($F958="","",IFERROR(INDEX(rngEPseq,MATCH($F958,rngEPcode,0)),""))</f>
        <v/>
      </c>
      <c r="J958" s="15">
        <f>IF($F958="","",IFERROR(INDEX(rngEPpass,MATCH($F958,rngEPcode,0)),cfgPassingScore))</f>
        <v/>
      </c>
      <c r="K958" s="14" t="n"/>
      <c r="L958" s="14" t="n"/>
      <c r="M958" s="15">
        <f>IF($C958="","",IF($L958="","",IF($K958=1,IF(COUNTIFS(nrES_PID,$D958,nrES_Code,$F958,nrES_Att,2)&gt;0,"",$L958),IF(COUNTIFS(nrES_PID,$D958,nrES_Code,$F958,nrES_Att,1)=0,$L958,IF($L958&gt;=$J958,cfgRetakeRecordedCap,SUMIFS(nrES_Raw,nrES_PID,$D958,nrES_Code,$F958,nrES_Att,1))))))</f>
        <v/>
      </c>
      <c r="N958" s="15">
        <f>IF($C958="","",IF($L958="","",IF($L958&gt;=$J958,"Yes","No")))</f>
        <v/>
      </c>
      <c r="O958" s="15">
        <f>IF($C958="","",IF($M958="","",IF($M958&gt;=$J958,"Yes","No")))</f>
        <v/>
      </c>
      <c r="P958" s="15">
        <f>IF($C958="","",IF($K958="","",IF(COUNTIFS(nrES_PID,$D958,nrES_Code,$F958,nrES_Att,"&gt;"&amp;$K958)=0,"Yes","No")))</f>
        <v/>
      </c>
      <c r="Q958" s="15">
        <f>IF($C958="","",IF($L958="","",IF(AND($K958=1,$L958&lt;$J958,COUNTIFS(nrES_PID,$D958,nrES_Code,$F958,nrES_Att,2)=0),"Yes","No")))</f>
        <v/>
      </c>
      <c r="R958" s="15">
        <f>IF($C958="","",IF($L958="","",IF(AND($K958=2,$L958&lt;$J958,COUNTIFS(nrES_PID,$D958,nrES_Code,$F958,nrES_Att,1)&gt;0),"Yes","No")))</f>
        <v/>
      </c>
      <c r="S958" s="16" t="n"/>
      <c r="T958" s="17">
        <f>IF($Q958&lt;&gt;"Yes","",IF($S958="","(enter date)",_xlfn.LET(_xlpm.dn,IFERROR(_xlfn.XLOOKUP($S958,nrCDdate,nrCDnum),""),IF(_xlpm.dn="","(not a class day)",IFERROR(_xlfn.XLOOKUP(_xlpm.dn+cfgRetestClassDays,nrCDnum,nrCDdate),"")))))</f>
        <v/>
      </c>
      <c r="U958" s="15">
        <f>IF($Q958&lt;&gt;"Yes","",IF(COUNTIFS(nrES_PID,$D958,nrES_Code,$F958,nrES_Att,2)&gt;0,"Retested",IF(OR($T958="",NOT(ISNUMBER($T958))),"Pending",IF(TODAY()&gt;$T958,"OVERDUE","Due "&amp;TEXT($T958,"mm/dd")))))</f>
        <v/>
      </c>
      <c r="V958" s="14" t="n"/>
      <c r="W958" s="14" t="n"/>
    </row>
    <row r="959">
      <c r="B959" s="15">
        <f>IF($C959="","",$D959&amp;"-"&amp;$F959&amp;"-"&amp;$K959)</f>
        <v/>
      </c>
      <c r="C959" s="14" t="n"/>
      <c r="D959" s="15">
        <f>IF($C959="","",IFERROR(INDEX(rngCadetPIDs,MATCH($C959,rngCadetNames,0)),"?"))</f>
        <v/>
      </c>
      <c r="E959" s="15">
        <f>IF($D959="","",IFERROR(INDEX(nrCadetAgency,MATCH($D959,rngCadetPIDs,0)),""))</f>
        <v/>
      </c>
      <c r="F959" s="14" t="n"/>
      <c r="G959" s="15">
        <f>IF($F959="","",IFERROR(INDEX(rngEPname,MATCH($F959,rngEPcode,0)),"?"))</f>
        <v/>
      </c>
      <c r="H959" s="15">
        <f>IF($F959="","",IFERROR(INDEX(rngEPtype,MATCH($F959,rngEPcode,0)),"?"))</f>
        <v/>
      </c>
      <c r="I959" s="15">
        <f>IF($F959="","",IFERROR(INDEX(rngEPseq,MATCH($F959,rngEPcode,0)),""))</f>
        <v/>
      </c>
      <c r="J959" s="15">
        <f>IF($F959="","",IFERROR(INDEX(rngEPpass,MATCH($F959,rngEPcode,0)),cfgPassingScore))</f>
        <v/>
      </c>
      <c r="K959" s="14" t="n"/>
      <c r="L959" s="14" t="n"/>
      <c r="M959" s="15">
        <f>IF($C959="","",IF($L959="","",IF($K959=1,IF(COUNTIFS(nrES_PID,$D959,nrES_Code,$F959,nrES_Att,2)&gt;0,"",$L959),IF(COUNTIFS(nrES_PID,$D959,nrES_Code,$F959,nrES_Att,1)=0,$L959,IF($L959&gt;=$J959,cfgRetakeRecordedCap,SUMIFS(nrES_Raw,nrES_PID,$D959,nrES_Code,$F959,nrES_Att,1))))))</f>
        <v/>
      </c>
      <c r="N959" s="15">
        <f>IF($C959="","",IF($L959="","",IF($L959&gt;=$J959,"Yes","No")))</f>
        <v/>
      </c>
      <c r="O959" s="15">
        <f>IF($C959="","",IF($M959="","",IF($M959&gt;=$J959,"Yes","No")))</f>
        <v/>
      </c>
      <c r="P959" s="15">
        <f>IF($C959="","",IF($K959="","",IF(COUNTIFS(nrES_PID,$D959,nrES_Code,$F959,nrES_Att,"&gt;"&amp;$K959)=0,"Yes","No")))</f>
        <v/>
      </c>
      <c r="Q959" s="15">
        <f>IF($C959="","",IF($L959="","",IF(AND($K959=1,$L959&lt;$J959,COUNTIFS(nrES_PID,$D959,nrES_Code,$F959,nrES_Att,2)=0),"Yes","No")))</f>
        <v/>
      </c>
      <c r="R959" s="15">
        <f>IF($C959="","",IF($L959="","",IF(AND($K959=2,$L959&lt;$J959,COUNTIFS(nrES_PID,$D959,nrES_Code,$F959,nrES_Att,1)&gt;0),"Yes","No")))</f>
        <v/>
      </c>
      <c r="S959" s="16" t="n"/>
      <c r="T959" s="17">
        <f>IF($Q959&lt;&gt;"Yes","",IF($S959="","(enter date)",_xlfn.LET(_xlpm.dn,IFERROR(_xlfn.XLOOKUP($S959,nrCDdate,nrCDnum),""),IF(_xlpm.dn="","(not a class day)",IFERROR(_xlfn.XLOOKUP(_xlpm.dn+cfgRetestClassDays,nrCDnum,nrCDdate),"")))))</f>
        <v/>
      </c>
      <c r="U959" s="15">
        <f>IF($Q959&lt;&gt;"Yes","",IF(COUNTIFS(nrES_PID,$D959,nrES_Code,$F959,nrES_Att,2)&gt;0,"Retested",IF(OR($T959="",NOT(ISNUMBER($T959))),"Pending",IF(TODAY()&gt;$T959,"OVERDUE","Due "&amp;TEXT($T959,"mm/dd")))))</f>
        <v/>
      </c>
      <c r="V959" s="14" t="n"/>
      <c r="W959" s="14" t="n"/>
    </row>
    <row r="960">
      <c r="B960" s="15">
        <f>IF($C960="","",$D960&amp;"-"&amp;$F960&amp;"-"&amp;$K960)</f>
        <v/>
      </c>
      <c r="C960" s="14" t="n"/>
      <c r="D960" s="15">
        <f>IF($C960="","",IFERROR(INDEX(rngCadetPIDs,MATCH($C960,rngCadetNames,0)),"?"))</f>
        <v/>
      </c>
      <c r="E960" s="15">
        <f>IF($D960="","",IFERROR(INDEX(nrCadetAgency,MATCH($D960,rngCadetPIDs,0)),""))</f>
        <v/>
      </c>
      <c r="F960" s="14" t="n"/>
      <c r="G960" s="15">
        <f>IF($F960="","",IFERROR(INDEX(rngEPname,MATCH($F960,rngEPcode,0)),"?"))</f>
        <v/>
      </c>
      <c r="H960" s="15">
        <f>IF($F960="","",IFERROR(INDEX(rngEPtype,MATCH($F960,rngEPcode,0)),"?"))</f>
        <v/>
      </c>
      <c r="I960" s="15">
        <f>IF($F960="","",IFERROR(INDEX(rngEPseq,MATCH($F960,rngEPcode,0)),""))</f>
        <v/>
      </c>
      <c r="J960" s="15">
        <f>IF($F960="","",IFERROR(INDEX(rngEPpass,MATCH($F960,rngEPcode,0)),cfgPassingScore))</f>
        <v/>
      </c>
      <c r="K960" s="14" t="n"/>
      <c r="L960" s="14" t="n"/>
      <c r="M960" s="15">
        <f>IF($C960="","",IF($L960="","",IF($K960=1,IF(COUNTIFS(nrES_PID,$D960,nrES_Code,$F960,nrES_Att,2)&gt;0,"",$L960),IF(COUNTIFS(nrES_PID,$D960,nrES_Code,$F960,nrES_Att,1)=0,$L960,IF($L960&gt;=$J960,cfgRetakeRecordedCap,SUMIFS(nrES_Raw,nrES_PID,$D960,nrES_Code,$F960,nrES_Att,1))))))</f>
        <v/>
      </c>
      <c r="N960" s="15">
        <f>IF($C960="","",IF($L960="","",IF($L960&gt;=$J960,"Yes","No")))</f>
        <v/>
      </c>
      <c r="O960" s="15">
        <f>IF($C960="","",IF($M960="","",IF($M960&gt;=$J960,"Yes","No")))</f>
        <v/>
      </c>
      <c r="P960" s="15">
        <f>IF($C960="","",IF($K960="","",IF(COUNTIFS(nrES_PID,$D960,nrES_Code,$F960,nrES_Att,"&gt;"&amp;$K960)=0,"Yes","No")))</f>
        <v/>
      </c>
      <c r="Q960" s="15">
        <f>IF($C960="","",IF($L960="","",IF(AND($K960=1,$L960&lt;$J960,COUNTIFS(nrES_PID,$D960,nrES_Code,$F960,nrES_Att,2)=0),"Yes","No")))</f>
        <v/>
      </c>
      <c r="R960" s="15">
        <f>IF($C960="","",IF($L960="","",IF(AND($K960=2,$L960&lt;$J960,COUNTIFS(nrES_PID,$D960,nrES_Code,$F960,nrES_Att,1)&gt;0),"Yes","No")))</f>
        <v/>
      </c>
      <c r="S960" s="16" t="n"/>
      <c r="T960" s="17">
        <f>IF($Q960&lt;&gt;"Yes","",IF($S960="","(enter date)",_xlfn.LET(_xlpm.dn,IFERROR(_xlfn.XLOOKUP($S960,nrCDdate,nrCDnum),""),IF(_xlpm.dn="","(not a class day)",IFERROR(_xlfn.XLOOKUP(_xlpm.dn+cfgRetestClassDays,nrCDnum,nrCDdate),"")))))</f>
        <v/>
      </c>
      <c r="U960" s="15">
        <f>IF($Q960&lt;&gt;"Yes","",IF(COUNTIFS(nrES_PID,$D960,nrES_Code,$F960,nrES_Att,2)&gt;0,"Retested",IF(OR($T960="",NOT(ISNUMBER($T960))),"Pending",IF(TODAY()&gt;$T960,"OVERDUE","Due "&amp;TEXT($T960,"mm/dd")))))</f>
        <v/>
      </c>
      <c r="V960" s="14" t="n"/>
      <c r="W960" s="14" t="n"/>
    </row>
    <row r="961">
      <c r="B961" s="15">
        <f>IF($C961="","",$D961&amp;"-"&amp;$F961&amp;"-"&amp;$K961)</f>
        <v/>
      </c>
      <c r="C961" s="14" t="n"/>
      <c r="D961" s="15">
        <f>IF($C961="","",IFERROR(INDEX(rngCadetPIDs,MATCH($C961,rngCadetNames,0)),"?"))</f>
        <v/>
      </c>
      <c r="E961" s="15">
        <f>IF($D961="","",IFERROR(INDEX(nrCadetAgency,MATCH($D961,rngCadetPIDs,0)),""))</f>
        <v/>
      </c>
      <c r="F961" s="14" t="n"/>
      <c r="G961" s="15">
        <f>IF($F961="","",IFERROR(INDEX(rngEPname,MATCH($F961,rngEPcode,0)),"?"))</f>
        <v/>
      </c>
      <c r="H961" s="15">
        <f>IF($F961="","",IFERROR(INDEX(rngEPtype,MATCH($F961,rngEPcode,0)),"?"))</f>
        <v/>
      </c>
      <c r="I961" s="15">
        <f>IF($F961="","",IFERROR(INDEX(rngEPseq,MATCH($F961,rngEPcode,0)),""))</f>
        <v/>
      </c>
      <c r="J961" s="15">
        <f>IF($F961="","",IFERROR(INDEX(rngEPpass,MATCH($F961,rngEPcode,0)),cfgPassingScore))</f>
        <v/>
      </c>
      <c r="K961" s="14" t="n"/>
      <c r="L961" s="14" t="n"/>
      <c r="M961" s="15">
        <f>IF($C961="","",IF($L961="","",IF($K961=1,IF(COUNTIFS(nrES_PID,$D961,nrES_Code,$F961,nrES_Att,2)&gt;0,"",$L961),IF(COUNTIFS(nrES_PID,$D961,nrES_Code,$F961,nrES_Att,1)=0,$L961,IF($L961&gt;=$J961,cfgRetakeRecordedCap,SUMIFS(nrES_Raw,nrES_PID,$D961,nrES_Code,$F961,nrES_Att,1))))))</f>
        <v/>
      </c>
      <c r="N961" s="15">
        <f>IF($C961="","",IF($L961="","",IF($L961&gt;=$J961,"Yes","No")))</f>
        <v/>
      </c>
      <c r="O961" s="15">
        <f>IF($C961="","",IF($M961="","",IF($M961&gt;=$J961,"Yes","No")))</f>
        <v/>
      </c>
      <c r="P961" s="15">
        <f>IF($C961="","",IF($K961="","",IF(COUNTIFS(nrES_PID,$D961,nrES_Code,$F961,nrES_Att,"&gt;"&amp;$K961)=0,"Yes","No")))</f>
        <v/>
      </c>
      <c r="Q961" s="15">
        <f>IF($C961="","",IF($L961="","",IF(AND($K961=1,$L961&lt;$J961,COUNTIFS(nrES_PID,$D961,nrES_Code,$F961,nrES_Att,2)=0),"Yes","No")))</f>
        <v/>
      </c>
      <c r="R961" s="15">
        <f>IF($C961="","",IF($L961="","",IF(AND($K961=2,$L961&lt;$J961,COUNTIFS(nrES_PID,$D961,nrES_Code,$F961,nrES_Att,1)&gt;0),"Yes","No")))</f>
        <v/>
      </c>
      <c r="S961" s="16" t="n"/>
      <c r="T961" s="17">
        <f>IF($Q961&lt;&gt;"Yes","",IF($S961="","(enter date)",_xlfn.LET(_xlpm.dn,IFERROR(_xlfn.XLOOKUP($S961,nrCDdate,nrCDnum),""),IF(_xlpm.dn="","(not a class day)",IFERROR(_xlfn.XLOOKUP(_xlpm.dn+cfgRetestClassDays,nrCDnum,nrCDdate),"")))))</f>
        <v/>
      </c>
      <c r="U961" s="15">
        <f>IF($Q961&lt;&gt;"Yes","",IF(COUNTIFS(nrES_PID,$D961,nrES_Code,$F961,nrES_Att,2)&gt;0,"Retested",IF(OR($T961="",NOT(ISNUMBER($T961))),"Pending",IF(TODAY()&gt;$T961,"OVERDUE","Due "&amp;TEXT($T961,"mm/dd")))))</f>
        <v/>
      </c>
      <c r="V961" s="14" t="n"/>
      <c r="W961" s="14" t="n"/>
    </row>
    <row r="962">
      <c r="B962" s="15">
        <f>IF($C962="","",$D962&amp;"-"&amp;$F962&amp;"-"&amp;$K962)</f>
        <v/>
      </c>
      <c r="C962" s="14" t="n"/>
      <c r="D962" s="15">
        <f>IF($C962="","",IFERROR(INDEX(rngCadetPIDs,MATCH($C962,rngCadetNames,0)),"?"))</f>
        <v/>
      </c>
      <c r="E962" s="15">
        <f>IF($D962="","",IFERROR(INDEX(nrCadetAgency,MATCH($D962,rngCadetPIDs,0)),""))</f>
        <v/>
      </c>
      <c r="F962" s="14" t="n"/>
      <c r="G962" s="15">
        <f>IF($F962="","",IFERROR(INDEX(rngEPname,MATCH($F962,rngEPcode,0)),"?"))</f>
        <v/>
      </c>
      <c r="H962" s="15">
        <f>IF($F962="","",IFERROR(INDEX(rngEPtype,MATCH($F962,rngEPcode,0)),"?"))</f>
        <v/>
      </c>
      <c r="I962" s="15">
        <f>IF($F962="","",IFERROR(INDEX(rngEPseq,MATCH($F962,rngEPcode,0)),""))</f>
        <v/>
      </c>
      <c r="J962" s="15">
        <f>IF($F962="","",IFERROR(INDEX(rngEPpass,MATCH($F962,rngEPcode,0)),cfgPassingScore))</f>
        <v/>
      </c>
      <c r="K962" s="14" t="n"/>
      <c r="L962" s="14" t="n"/>
      <c r="M962" s="15">
        <f>IF($C962="","",IF($L962="","",IF($K962=1,IF(COUNTIFS(nrES_PID,$D962,nrES_Code,$F962,nrES_Att,2)&gt;0,"",$L962),IF(COUNTIFS(nrES_PID,$D962,nrES_Code,$F962,nrES_Att,1)=0,$L962,IF($L962&gt;=$J962,cfgRetakeRecordedCap,SUMIFS(nrES_Raw,nrES_PID,$D962,nrES_Code,$F962,nrES_Att,1))))))</f>
        <v/>
      </c>
      <c r="N962" s="15">
        <f>IF($C962="","",IF($L962="","",IF($L962&gt;=$J962,"Yes","No")))</f>
        <v/>
      </c>
      <c r="O962" s="15">
        <f>IF($C962="","",IF($M962="","",IF($M962&gt;=$J962,"Yes","No")))</f>
        <v/>
      </c>
      <c r="P962" s="15">
        <f>IF($C962="","",IF($K962="","",IF(COUNTIFS(nrES_PID,$D962,nrES_Code,$F962,nrES_Att,"&gt;"&amp;$K962)=0,"Yes","No")))</f>
        <v/>
      </c>
      <c r="Q962" s="15">
        <f>IF($C962="","",IF($L962="","",IF(AND($K962=1,$L962&lt;$J962,COUNTIFS(nrES_PID,$D962,nrES_Code,$F962,nrES_Att,2)=0),"Yes","No")))</f>
        <v/>
      </c>
      <c r="R962" s="15">
        <f>IF($C962="","",IF($L962="","",IF(AND($K962=2,$L962&lt;$J962,COUNTIFS(nrES_PID,$D962,nrES_Code,$F962,nrES_Att,1)&gt;0),"Yes","No")))</f>
        <v/>
      </c>
      <c r="S962" s="16" t="n"/>
      <c r="T962" s="17">
        <f>IF($Q962&lt;&gt;"Yes","",IF($S962="","(enter date)",_xlfn.LET(_xlpm.dn,IFERROR(_xlfn.XLOOKUP($S962,nrCDdate,nrCDnum),""),IF(_xlpm.dn="","(not a class day)",IFERROR(_xlfn.XLOOKUP(_xlpm.dn+cfgRetestClassDays,nrCDnum,nrCDdate),"")))))</f>
        <v/>
      </c>
      <c r="U962" s="15">
        <f>IF($Q962&lt;&gt;"Yes","",IF(COUNTIFS(nrES_PID,$D962,nrES_Code,$F962,nrES_Att,2)&gt;0,"Retested",IF(OR($T962="",NOT(ISNUMBER($T962))),"Pending",IF(TODAY()&gt;$T962,"OVERDUE","Due "&amp;TEXT($T962,"mm/dd")))))</f>
        <v/>
      </c>
      <c r="V962" s="14" t="n"/>
      <c r="W962" s="14" t="n"/>
    </row>
    <row r="963">
      <c r="B963" s="15">
        <f>IF($C963="","",$D963&amp;"-"&amp;$F963&amp;"-"&amp;$K963)</f>
        <v/>
      </c>
      <c r="C963" s="14" t="n"/>
      <c r="D963" s="15">
        <f>IF($C963="","",IFERROR(INDEX(rngCadetPIDs,MATCH($C963,rngCadetNames,0)),"?"))</f>
        <v/>
      </c>
      <c r="E963" s="15">
        <f>IF($D963="","",IFERROR(INDEX(nrCadetAgency,MATCH($D963,rngCadetPIDs,0)),""))</f>
        <v/>
      </c>
      <c r="F963" s="14" t="n"/>
      <c r="G963" s="15">
        <f>IF($F963="","",IFERROR(INDEX(rngEPname,MATCH($F963,rngEPcode,0)),"?"))</f>
        <v/>
      </c>
      <c r="H963" s="15">
        <f>IF($F963="","",IFERROR(INDEX(rngEPtype,MATCH($F963,rngEPcode,0)),"?"))</f>
        <v/>
      </c>
      <c r="I963" s="15">
        <f>IF($F963="","",IFERROR(INDEX(rngEPseq,MATCH($F963,rngEPcode,0)),""))</f>
        <v/>
      </c>
      <c r="J963" s="15">
        <f>IF($F963="","",IFERROR(INDEX(rngEPpass,MATCH($F963,rngEPcode,0)),cfgPassingScore))</f>
        <v/>
      </c>
      <c r="K963" s="14" t="n"/>
      <c r="L963" s="14" t="n"/>
      <c r="M963" s="15">
        <f>IF($C963="","",IF($L963="","",IF($K963=1,IF(COUNTIFS(nrES_PID,$D963,nrES_Code,$F963,nrES_Att,2)&gt;0,"",$L963),IF(COUNTIFS(nrES_PID,$D963,nrES_Code,$F963,nrES_Att,1)=0,$L963,IF($L963&gt;=$J963,cfgRetakeRecordedCap,SUMIFS(nrES_Raw,nrES_PID,$D963,nrES_Code,$F963,nrES_Att,1))))))</f>
        <v/>
      </c>
      <c r="N963" s="15">
        <f>IF($C963="","",IF($L963="","",IF($L963&gt;=$J963,"Yes","No")))</f>
        <v/>
      </c>
      <c r="O963" s="15">
        <f>IF($C963="","",IF($M963="","",IF($M963&gt;=$J963,"Yes","No")))</f>
        <v/>
      </c>
      <c r="P963" s="15">
        <f>IF($C963="","",IF($K963="","",IF(COUNTIFS(nrES_PID,$D963,nrES_Code,$F963,nrES_Att,"&gt;"&amp;$K963)=0,"Yes","No")))</f>
        <v/>
      </c>
      <c r="Q963" s="15">
        <f>IF($C963="","",IF($L963="","",IF(AND($K963=1,$L963&lt;$J963,COUNTIFS(nrES_PID,$D963,nrES_Code,$F963,nrES_Att,2)=0),"Yes","No")))</f>
        <v/>
      </c>
      <c r="R963" s="15">
        <f>IF($C963="","",IF($L963="","",IF(AND($K963=2,$L963&lt;$J963,COUNTIFS(nrES_PID,$D963,nrES_Code,$F963,nrES_Att,1)&gt;0),"Yes","No")))</f>
        <v/>
      </c>
      <c r="S963" s="16" t="n"/>
      <c r="T963" s="17">
        <f>IF($Q963&lt;&gt;"Yes","",IF($S963="","(enter date)",_xlfn.LET(_xlpm.dn,IFERROR(_xlfn.XLOOKUP($S963,nrCDdate,nrCDnum),""),IF(_xlpm.dn="","(not a class day)",IFERROR(_xlfn.XLOOKUP(_xlpm.dn+cfgRetestClassDays,nrCDnum,nrCDdate),"")))))</f>
        <v/>
      </c>
      <c r="U963" s="15">
        <f>IF($Q963&lt;&gt;"Yes","",IF(COUNTIFS(nrES_PID,$D963,nrES_Code,$F963,nrES_Att,2)&gt;0,"Retested",IF(OR($T963="",NOT(ISNUMBER($T963))),"Pending",IF(TODAY()&gt;$T963,"OVERDUE","Due "&amp;TEXT($T963,"mm/dd")))))</f>
        <v/>
      </c>
      <c r="V963" s="14" t="n"/>
      <c r="W963" s="14" t="n"/>
    </row>
    <row r="964">
      <c r="B964" s="15">
        <f>IF($C964="","",$D964&amp;"-"&amp;$F964&amp;"-"&amp;$K964)</f>
        <v/>
      </c>
      <c r="C964" s="14" t="n"/>
      <c r="D964" s="15">
        <f>IF($C964="","",IFERROR(INDEX(rngCadetPIDs,MATCH($C964,rngCadetNames,0)),"?"))</f>
        <v/>
      </c>
      <c r="E964" s="15">
        <f>IF($D964="","",IFERROR(INDEX(nrCadetAgency,MATCH($D964,rngCadetPIDs,0)),""))</f>
        <v/>
      </c>
      <c r="F964" s="14" t="n"/>
      <c r="G964" s="15">
        <f>IF($F964="","",IFERROR(INDEX(rngEPname,MATCH($F964,rngEPcode,0)),"?"))</f>
        <v/>
      </c>
      <c r="H964" s="15">
        <f>IF($F964="","",IFERROR(INDEX(rngEPtype,MATCH($F964,rngEPcode,0)),"?"))</f>
        <v/>
      </c>
      <c r="I964" s="15">
        <f>IF($F964="","",IFERROR(INDEX(rngEPseq,MATCH($F964,rngEPcode,0)),""))</f>
        <v/>
      </c>
      <c r="J964" s="15">
        <f>IF($F964="","",IFERROR(INDEX(rngEPpass,MATCH($F964,rngEPcode,0)),cfgPassingScore))</f>
        <v/>
      </c>
      <c r="K964" s="14" t="n"/>
      <c r="L964" s="14" t="n"/>
      <c r="M964" s="15">
        <f>IF($C964="","",IF($L964="","",IF($K964=1,IF(COUNTIFS(nrES_PID,$D964,nrES_Code,$F964,nrES_Att,2)&gt;0,"",$L964),IF(COUNTIFS(nrES_PID,$D964,nrES_Code,$F964,nrES_Att,1)=0,$L964,IF($L964&gt;=$J964,cfgRetakeRecordedCap,SUMIFS(nrES_Raw,nrES_PID,$D964,nrES_Code,$F964,nrES_Att,1))))))</f>
        <v/>
      </c>
      <c r="N964" s="15">
        <f>IF($C964="","",IF($L964="","",IF($L964&gt;=$J964,"Yes","No")))</f>
        <v/>
      </c>
      <c r="O964" s="15">
        <f>IF($C964="","",IF($M964="","",IF($M964&gt;=$J964,"Yes","No")))</f>
        <v/>
      </c>
      <c r="P964" s="15">
        <f>IF($C964="","",IF($K964="","",IF(COUNTIFS(nrES_PID,$D964,nrES_Code,$F964,nrES_Att,"&gt;"&amp;$K964)=0,"Yes","No")))</f>
        <v/>
      </c>
      <c r="Q964" s="15">
        <f>IF($C964="","",IF($L964="","",IF(AND($K964=1,$L964&lt;$J964,COUNTIFS(nrES_PID,$D964,nrES_Code,$F964,nrES_Att,2)=0),"Yes","No")))</f>
        <v/>
      </c>
      <c r="R964" s="15">
        <f>IF($C964="","",IF($L964="","",IF(AND($K964=2,$L964&lt;$J964,COUNTIFS(nrES_PID,$D964,nrES_Code,$F964,nrES_Att,1)&gt;0),"Yes","No")))</f>
        <v/>
      </c>
      <c r="S964" s="16" t="n"/>
      <c r="T964" s="17">
        <f>IF($Q964&lt;&gt;"Yes","",IF($S964="","(enter date)",_xlfn.LET(_xlpm.dn,IFERROR(_xlfn.XLOOKUP($S964,nrCDdate,nrCDnum),""),IF(_xlpm.dn="","(not a class day)",IFERROR(_xlfn.XLOOKUP(_xlpm.dn+cfgRetestClassDays,nrCDnum,nrCDdate),"")))))</f>
        <v/>
      </c>
      <c r="U964" s="15">
        <f>IF($Q964&lt;&gt;"Yes","",IF(COUNTIFS(nrES_PID,$D964,nrES_Code,$F964,nrES_Att,2)&gt;0,"Retested",IF(OR($T964="",NOT(ISNUMBER($T964))),"Pending",IF(TODAY()&gt;$T964,"OVERDUE","Due "&amp;TEXT($T964,"mm/dd")))))</f>
        <v/>
      </c>
      <c r="V964" s="14" t="n"/>
      <c r="W964" s="14" t="n"/>
    </row>
    <row r="965">
      <c r="B965" s="15">
        <f>IF($C965="","",$D965&amp;"-"&amp;$F965&amp;"-"&amp;$K965)</f>
        <v/>
      </c>
      <c r="C965" s="14" t="n"/>
      <c r="D965" s="15">
        <f>IF($C965="","",IFERROR(INDEX(rngCadetPIDs,MATCH($C965,rngCadetNames,0)),"?"))</f>
        <v/>
      </c>
      <c r="E965" s="15">
        <f>IF($D965="","",IFERROR(INDEX(nrCadetAgency,MATCH($D965,rngCadetPIDs,0)),""))</f>
        <v/>
      </c>
      <c r="F965" s="14" t="n"/>
      <c r="G965" s="15">
        <f>IF($F965="","",IFERROR(INDEX(rngEPname,MATCH($F965,rngEPcode,0)),"?"))</f>
        <v/>
      </c>
      <c r="H965" s="15">
        <f>IF($F965="","",IFERROR(INDEX(rngEPtype,MATCH($F965,rngEPcode,0)),"?"))</f>
        <v/>
      </c>
      <c r="I965" s="15">
        <f>IF($F965="","",IFERROR(INDEX(rngEPseq,MATCH($F965,rngEPcode,0)),""))</f>
        <v/>
      </c>
      <c r="J965" s="15">
        <f>IF($F965="","",IFERROR(INDEX(rngEPpass,MATCH($F965,rngEPcode,0)),cfgPassingScore))</f>
        <v/>
      </c>
      <c r="K965" s="14" t="n"/>
      <c r="L965" s="14" t="n"/>
      <c r="M965" s="15">
        <f>IF($C965="","",IF($L965="","",IF($K965=1,IF(COUNTIFS(nrES_PID,$D965,nrES_Code,$F965,nrES_Att,2)&gt;0,"",$L965),IF(COUNTIFS(nrES_PID,$D965,nrES_Code,$F965,nrES_Att,1)=0,$L965,IF($L965&gt;=$J965,cfgRetakeRecordedCap,SUMIFS(nrES_Raw,nrES_PID,$D965,nrES_Code,$F965,nrES_Att,1))))))</f>
        <v/>
      </c>
      <c r="N965" s="15">
        <f>IF($C965="","",IF($L965="","",IF($L965&gt;=$J965,"Yes","No")))</f>
        <v/>
      </c>
      <c r="O965" s="15">
        <f>IF($C965="","",IF($M965="","",IF($M965&gt;=$J965,"Yes","No")))</f>
        <v/>
      </c>
      <c r="P965" s="15">
        <f>IF($C965="","",IF($K965="","",IF(COUNTIFS(nrES_PID,$D965,nrES_Code,$F965,nrES_Att,"&gt;"&amp;$K965)=0,"Yes","No")))</f>
        <v/>
      </c>
      <c r="Q965" s="15">
        <f>IF($C965="","",IF($L965="","",IF(AND($K965=1,$L965&lt;$J965,COUNTIFS(nrES_PID,$D965,nrES_Code,$F965,nrES_Att,2)=0),"Yes","No")))</f>
        <v/>
      </c>
      <c r="R965" s="15">
        <f>IF($C965="","",IF($L965="","",IF(AND($K965=2,$L965&lt;$J965,COUNTIFS(nrES_PID,$D965,nrES_Code,$F965,nrES_Att,1)&gt;0),"Yes","No")))</f>
        <v/>
      </c>
      <c r="S965" s="16" t="n"/>
      <c r="T965" s="17">
        <f>IF($Q965&lt;&gt;"Yes","",IF($S965="","(enter date)",_xlfn.LET(_xlpm.dn,IFERROR(_xlfn.XLOOKUP($S965,nrCDdate,nrCDnum),""),IF(_xlpm.dn="","(not a class day)",IFERROR(_xlfn.XLOOKUP(_xlpm.dn+cfgRetestClassDays,nrCDnum,nrCDdate),"")))))</f>
        <v/>
      </c>
      <c r="U965" s="15">
        <f>IF($Q965&lt;&gt;"Yes","",IF(COUNTIFS(nrES_PID,$D965,nrES_Code,$F965,nrES_Att,2)&gt;0,"Retested",IF(OR($T965="",NOT(ISNUMBER($T965))),"Pending",IF(TODAY()&gt;$T965,"OVERDUE","Due "&amp;TEXT($T965,"mm/dd")))))</f>
        <v/>
      </c>
      <c r="V965" s="14" t="n"/>
      <c r="W965" s="14" t="n"/>
    </row>
    <row r="966">
      <c r="B966" s="15">
        <f>IF($C966="","",$D966&amp;"-"&amp;$F966&amp;"-"&amp;$K966)</f>
        <v/>
      </c>
      <c r="C966" s="14" t="n"/>
      <c r="D966" s="15">
        <f>IF($C966="","",IFERROR(INDEX(rngCadetPIDs,MATCH($C966,rngCadetNames,0)),"?"))</f>
        <v/>
      </c>
      <c r="E966" s="15">
        <f>IF($D966="","",IFERROR(INDEX(nrCadetAgency,MATCH($D966,rngCadetPIDs,0)),""))</f>
        <v/>
      </c>
      <c r="F966" s="14" t="n"/>
      <c r="G966" s="15">
        <f>IF($F966="","",IFERROR(INDEX(rngEPname,MATCH($F966,rngEPcode,0)),"?"))</f>
        <v/>
      </c>
      <c r="H966" s="15">
        <f>IF($F966="","",IFERROR(INDEX(rngEPtype,MATCH($F966,rngEPcode,0)),"?"))</f>
        <v/>
      </c>
      <c r="I966" s="15">
        <f>IF($F966="","",IFERROR(INDEX(rngEPseq,MATCH($F966,rngEPcode,0)),""))</f>
        <v/>
      </c>
      <c r="J966" s="15">
        <f>IF($F966="","",IFERROR(INDEX(rngEPpass,MATCH($F966,rngEPcode,0)),cfgPassingScore))</f>
        <v/>
      </c>
      <c r="K966" s="14" t="n"/>
      <c r="L966" s="14" t="n"/>
      <c r="M966" s="15">
        <f>IF($C966="","",IF($L966="","",IF($K966=1,IF(COUNTIFS(nrES_PID,$D966,nrES_Code,$F966,nrES_Att,2)&gt;0,"",$L966),IF(COUNTIFS(nrES_PID,$D966,nrES_Code,$F966,nrES_Att,1)=0,$L966,IF($L966&gt;=$J966,cfgRetakeRecordedCap,SUMIFS(nrES_Raw,nrES_PID,$D966,nrES_Code,$F966,nrES_Att,1))))))</f>
        <v/>
      </c>
      <c r="N966" s="15">
        <f>IF($C966="","",IF($L966="","",IF($L966&gt;=$J966,"Yes","No")))</f>
        <v/>
      </c>
      <c r="O966" s="15">
        <f>IF($C966="","",IF($M966="","",IF($M966&gt;=$J966,"Yes","No")))</f>
        <v/>
      </c>
      <c r="P966" s="15">
        <f>IF($C966="","",IF($K966="","",IF(COUNTIFS(nrES_PID,$D966,nrES_Code,$F966,nrES_Att,"&gt;"&amp;$K966)=0,"Yes","No")))</f>
        <v/>
      </c>
      <c r="Q966" s="15">
        <f>IF($C966="","",IF($L966="","",IF(AND($K966=1,$L966&lt;$J966,COUNTIFS(nrES_PID,$D966,nrES_Code,$F966,nrES_Att,2)=0),"Yes","No")))</f>
        <v/>
      </c>
      <c r="R966" s="15">
        <f>IF($C966="","",IF($L966="","",IF(AND($K966=2,$L966&lt;$J966,COUNTIFS(nrES_PID,$D966,nrES_Code,$F966,nrES_Att,1)&gt;0),"Yes","No")))</f>
        <v/>
      </c>
      <c r="S966" s="16" t="n"/>
      <c r="T966" s="17">
        <f>IF($Q966&lt;&gt;"Yes","",IF($S966="","(enter date)",_xlfn.LET(_xlpm.dn,IFERROR(_xlfn.XLOOKUP($S966,nrCDdate,nrCDnum),""),IF(_xlpm.dn="","(not a class day)",IFERROR(_xlfn.XLOOKUP(_xlpm.dn+cfgRetestClassDays,nrCDnum,nrCDdate),"")))))</f>
        <v/>
      </c>
      <c r="U966" s="15">
        <f>IF($Q966&lt;&gt;"Yes","",IF(COUNTIFS(nrES_PID,$D966,nrES_Code,$F966,nrES_Att,2)&gt;0,"Retested",IF(OR($T966="",NOT(ISNUMBER($T966))),"Pending",IF(TODAY()&gt;$T966,"OVERDUE","Due "&amp;TEXT($T966,"mm/dd")))))</f>
        <v/>
      </c>
      <c r="V966" s="14" t="n"/>
      <c r="W966" s="14" t="n"/>
    </row>
    <row r="967">
      <c r="B967" s="15">
        <f>IF($C967="","",$D967&amp;"-"&amp;$F967&amp;"-"&amp;$K967)</f>
        <v/>
      </c>
      <c r="C967" s="14" t="n"/>
      <c r="D967" s="15">
        <f>IF($C967="","",IFERROR(INDEX(rngCadetPIDs,MATCH($C967,rngCadetNames,0)),"?"))</f>
        <v/>
      </c>
      <c r="E967" s="15">
        <f>IF($D967="","",IFERROR(INDEX(nrCadetAgency,MATCH($D967,rngCadetPIDs,0)),""))</f>
        <v/>
      </c>
      <c r="F967" s="14" t="n"/>
      <c r="G967" s="15">
        <f>IF($F967="","",IFERROR(INDEX(rngEPname,MATCH($F967,rngEPcode,0)),"?"))</f>
        <v/>
      </c>
      <c r="H967" s="15">
        <f>IF($F967="","",IFERROR(INDEX(rngEPtype,MATCH($F967,rngEPcode,0)),"?"))</f>
        <v/>
      </c>
      <c r="I967" s="15">
        <f>IF($F967="","",IFERROR(INDEX(rngEPseq,MATCH($F967,rngEPcode,0)),""))</f>
        <v/>
      </c>
      <c r="J967" s="15">
        <f>IF($F967="","",IFERROR(INDEX(rngEPpass,MATCH($F967,rngEPcode,0)),cfgPassingScore))</f>
        <v/>
      </c>
      <c r="K967" s="14" t="n"/>
      <c r="L967" s="14" t="n"/>
      <c r="M967" s="15">
        <f>IF($C967="","",IF($L967="","",IF($K967=1,IF(COUNTIFS(nrES_PID,$D967,nrES_Code,$F967,nrES_Att,2)&gt;0,"",$L967),IF(COUNTIFS(nrES_PID,$D967,nrES_Code,$F967,nrES_Att,1)=0,$L967,IF($L967&gt;=$J967,cfgRetakeRecordedCap,SUMIFS(nrES_Raw,nrES_PID,$D967,nrES_Code,$F967,nrES_Att,1))))))</f>
        <v/>
      </c>
      <c r="N967" s="15">
        <f>IF($C967="","",IF($L967="","",IF($L967&gt;=$J967,"Yes","No")))</f>
        <v/>
      </c>
      <c r="O967" s="15">
        <f>IF($C967="","",IF($M967="","",IF($M967&gt;=$J967,"Yes","No")))</f>
        <v/>
      </c>
      <c r="P967" s="15">
        <f>IF($C967="","",IF($K967="","",IF(COUNTIFS(nrES_PID,$D967,nrES_Code,$F967,nrES_Att,"&gt;"&amp;$K967)=0,"Yes","No")))</f>
        <v/>
      </c>
      <c r="Q967" s="15">
        <f>IF($C967="","",IF($L967="","",IF(AND($K967=1,$L967&lt;$J967,COUNTIFS(nrES_PID,$D967,nrES_Code,$F967,nrES_Att,2)=0),"Yes","No")))</f>
        <v/>
      </c>
      <c r="R967" s="15">
        <f>IF($C967="","",IF($L967="","",IF(AND($K967=2,$L967&lt;$J967,COUNTIFS(nrES_PID,$D967,nrES_Code,$F967,nrES_Att,1)&gt;0),"Yes","No")))</f>
        <v/>
      </c>
      <c r="S967" s="16" t="n"/>
      <c r="T967" s="17">
        <f>IF($Q967&lt;&gt;"Yes","",IF($S967="","(enter date)",_xlfn.LET(_xlpm.dn,IFERROR(_xlfn.XLOOKUP($S967,nrCDdate,nrCDnum),""),IF(_xlpm.dn="","(not a class day)",IFERROR(_xlfn.XLOOKUP(_xlpm.dn+cfgRetestClassDays,nrCDnum,nrCDdate),"")))))</f>
        <v/>
      </c>
      <c r="U967" s="15">
        <f>IF($Q967&lt;&gt;"Yes","",IF(COUNTIFS(nrES_PID,$D967,nrES_Code,$F967,nrES_Att,2)&gt;0,"Retested",IF(OR($T967="",NOT(ISNUMBER($T967))),"Pending",IF(TODAY()&gt;$T967,"OVERDUE","Due "&amp;TEXT($T967,"mm/dd")))))</f>
        <v/>
      </c>
      <c r="V967" s="14" t="n"/>
      <c r="W967" s="14" t="n"/>
    </row>
    <row r="968">
      <c r="B968" s="15">
        <f>IF($C968="","",$D968&amp;"-"&amp;$F968&amp;"-"&amp;$K968)</f>
        <v/>
      </c>
      <c r="C968" s="14" t="n"/>
      <c r="D968" s="15">
        <f>IF($C968="","",IFERROR(INDEX(rngCadetPIDs,MATCH($C968,rngCadetNames,0)),"?"))</f>
        <v/>
      </c>
      <c r="E968" s="15">
        <f>IF($D968="","",IFERROR(INDEX(nrCadetAgency,MATCH($D968,rngCadetPIDs,0)),""))</f>
        <v/>
      </c>
      <c r="F968" s="14" t="n"/>
      <c r="G968" s="15">
        <f>IF($F968="","",IFERROR(INDEX(rngEPname,MATCH($F968,rngEPcode,0)),"?"))</f>
        <v/>
      </c>
      <c r="H968" s="15">
        <f>IF($F968="","",IFERROR(INDEX(rngEPtype,MATCH($F968,rngEPcode,0)),"?"))</f>
        <v/>
      </c>
      <c r="I968" s="15">
        <f>IF($F968="","",IFERROR(INDEX(rngEPseq,MATCH($F968,rngEPcode,0)),""))</f>
        <v/>
      </c>
      <c r="J968" s="15">
        <f>IF($F968="","",IFERROR(INDEX(rngEPpass,MATCH($F968,rngEPcode,0)),cfgPassingScore))</f>
        <v/>
      </c>
      <c r="K968" s="14" t="n"/>
      <c r="L968" s="14" t="n"/>
      <c r="M968" s="15">
        <f>IF($C968="","",IF($L968="","",IF($K968=1,IF(COUNTIFS(nrES_PID,$D968,nrES_Code,$F968,nrES_Att,2)&gt;0,"",$L968),IF(COUNTIFS(nrES_PID,$D968,nrES_Code,$F968,nrES_Att,1)=0,$L968,IF($L968&gt;=$J968,cfgRetakeRecordedCap,SUMIFS(nrES_Raw,nrES_PID,$D968,nrES_Code,$F968,nrES_Att,1))))))</f>
        <v/>
      </c>
      <c r="N968" s="15">
        <f>IF($C968="","",IF($L968="","",IF($L968&gt;=$J968,"Yes","No")))</f>
        <v/>
      </c>
      <c r="O968" s="15">
        <f>IF($C968="","",IF($M968="","",IF($M968&gt;=$J968,"Yes","No")))</f>
        <v/>
      </c>
      <c r="P968" s="15">
        <f>IF($C968="","",IF($K968="","",IF(COUNTIFS(nrES_PID,$D968,nrES_Code,$F968,nrES_Att,"&gt;"&amp;$K968)=0,"Yes","No")))</f>
        <v/>
      </c>
      <c r="Q968" s="15">
        <f>IF($C968="","",IF($L968="","",IF(AND($K968=1,$L968&lt;$J968,COUNTIFS(nrES_PID,$D968,nrES_Code,$F968,nrES_Att,2)=0),"Yes","No")))</f>
        <v/>
      </c>
      <c r="R968" s="15">
        <f>IF($C968="","",IF($L968="","",IF(AND($K968=2,$L968&lt;$J968,COUNTIFS(nrES_PID,$D968,nrES_Code,$F968,nrES_Att,1)&gt;0),"Yes","No")))</f>
        <v/>
      </c>
      <c r="S968" s="16" t="n"/>
      <c r="T968" s="17">
        <f>IF($Q968&lt;&gt;"Yes","",IF($S968="","(enter date)",_xlfn.LET(_xlpm.dn,IFERROR(_xlfn.XLOOKUP($S968,nrCDdate,nrCDnum),""),IF(_xlpm.dn="","(not a class day)",IFERROR(_xlfn.XLOOKUP(_xlpm.dn+cfgRetestClassDays,nrCDnum,nrCDdate),"")))))</f>
        <v/>
      </c>
      <c r="U968" s="15">
        <f>IF($Q968&lt;&gt;"Yes","",IF(COUNTIFS(nrES_PID,$D968,nrES_Code,$F968,nrES_Att,2)&gt;0,"Retested",IF(OR($T968="",NOT(ISNUMBER($T968))),"Pending",IF(TODAY()&gt;$T968,"OVERDUE","Due "&amp;TEXT($T968,"mm/dd")))))</f>
        <v/>
      </c>
      <c r="V968" s="14" t="n"/>
      <c r="W968" s="14" t="n"/>
    </row>
    <row r="969">
      <c r="B969" s="15">
        <f>IF($C969="","",$D969&amp;"-"&amp;$F969&amp;"-"&amp;$K969)</f>
        <v/>
      </c>
      <c r="C969" s="14" t="n"/>
      <c r="D969" s="15">
        <f>IF($C969="","",IFERROR(INDEX(rngCadetPIDs,MATCH($C969,rngCadetNames,0)),"?"))</f>
        <v/>
      </c>
      <c r="E969" s="15">
        <f>IF($D969="","",IFERROR(INDEX(nrCadetAgency,MATCH($D969,rngCadetPIDs,0)),""))</f>
        <v/>
      </c>
      <c r="F969" s="14" t="n"/>
      <c r="G969" s="15">
        <f>IF($F969="","",IFERROR(INDEX(rngEPname,MATCH($F969,rngEPcode,0)),"?"))</f>
        <v/>
      </c>
      <c r="H969" s="15">
        <f>IF($F969="","",IFERROR(INDEX(rngEPtype,MATCH($F969,rngEPcode,0)),"?"))</f>
        <v/>
      </c>
      <c r="I969" s="15">
        <f>IF($F969="","",IFERROR(INDEX(rngEPseq,MATCH($F969,rngEPcode,0)),""))</f>
        <v/>
      </c>
      <c r="J969" s="15">
        <f>IF($F969="","",IFERROR(INDEX(rngEPpass,MATCH($F969,rngEPcode,0)),cfgPassingScore))</f>
        <v/>
      </c>
      <c r="K969" s="14" t="n"/>
      <c r="L969" s="14" t="n"/>
      <c r="M969" s="15">
        <f>IF($C969="","",IF($L969="","",IF($K969=1,IF(COUNTIFS(nrES_PID,$D969,nrES_Code,$F969,nrES_Att,2)&gt;0,"",$L969),IF(COUNTIFS(nrES_PID,$D969,nrES_Code,$F969,nrES_Att,1)=0,$L969,IF($L969&gt;=$J969,cfgRetakeRecordedCap,SUMIFS(nrES_Raw,nrES_PID,$D969,nrES_Code,$F969,nrES_Att,1))))))</f>
        <v/>
      </c>
      <c r="N969" s="15">
        <f>IF($C969="","",IF($L969="","",IF($L969&gt;=$J969,"Yes","No")))</f>
        <v/>
      </c>
      <c r="O969" s="15">
        <f>IF($C969="","",IF($M969="","",IF($M969&gt;=$J969,"Yes","No")))</f>
        <v/>
      </c>
      <c r="P969" s="15">
        <f>IF($C969="","",IF($K969="","",IF(COUNTIFS(nrES_PID,$D969,nrES_Code,$F969,nrES_Att,"&gt;"&amp;$K969)=0,"Yes","No")))</f>
        <v/>
      </c>
      <c r="Q969" s="15">
        <f>IF($C969="","",IF($L969="","",IF(AND($K969=1,$L969&lt;$J969,COUNTIFS(nrES_PID,$D969,nrES_Code,$F969,nrES_Att,2)=0),"Yes","No")))</f>
        <v/>
      </c>
      <c r="R969" s="15">
        <f>IF($C969="","",IF($L969="","",IF(AND($K969=2,$L969&lt;$J969,COUNTIFS(nrES_PID,$D969,nrES_Code,$F969,nrES_Att,1)&gt;0),"Yes","No")))</f>
        <v/>
      </c>
      <c r="S969" s="16" t="n"/>
      <c r="T969" s="17">
        <f>IF($Q969&lt;&gt;"Yes","",IF($S969="","(enter date)",_xlfn.LET(_xlpm.dn,IFERROR(_xlfn.XLOOKUP($S969,nrCDdate,nrCDnum),""),IF(_xlpm.dn="","(not a class day)",IFERROR(_xlfn.XLOOKUP(_xlpm.dn+cfgRetestClassDays,nrCDnum,nrCDdate),"")))))</f>
        <v/>
      </c>
      <c r="U969" s="15">
        <f>IF($Q969&lt;&gt;"Yes","",IF(COUNTIFS(nrES_PID,$D969,nrES_Code,$F969,nrES_Att,2)&gt;0,"Retested",IF(OR($T969="",NOT(ISNUMBER($T969))),"Pending",IF(TODAY()&gt;$T969,"OVERDUE","Due "&amp;TEXT($T969,"mm/dd")))))</f>
        <v/>
      </c>
      <c r="V969" s="14" t="n"/>
      <c r="W969" s="14" t="n"/>
    </row>
    <row r="970">
      <c r="B970" s="15">
        <f>IF($C970="","",$D970&amp;"-"&amp;$F970&amp;"-"&amp;$K970)</f>
        <v/>
      </c>
      <c r="C970" s="14" t="n"/>
      <c r="D970" s="15">
        <f>IF($C970="","",IFERROR(INDEX(rngCadetPIDs,MATCH($C970,rngCadetNames,0)),"?"))</f>
        <v/>
      </c>
      <c r="E970" s="15">
        <f>IF($D970="","",IFERROR(INDEX(nrCadetAgency,MATCH($D970,rngCadetPIDs,0)),""))</f>
        <v/>
      </c>
      <c r="F970" s="14" t="n"/>
      <c r="G970" s="15">
        <f>IF($F970="","",IFERROR(INDEX(rngEPname,MATCH($F970,rngEPcode,0)),"?"))</f>
        <v/>
      </c>
      <c r="H970" s="15">
        <f>IF($F970="","",IFERROR(INDEX(rngEPtype,MATCH($F970,rngEPcode,0)),"?"))</f>
        <v/>
      </c>
      <c r="I970" s="15">
        <f>IF($F970="","",IFERROR(INDEX(rngEPseq,MATCH($F970,rngEPcode,0)),""))</f>
        <v/>
      </c>
      <c r="J970" s="15">
        <f>IF($F970="","",IFERROR(INDEX(rngEPpass,MATCH($F970,rngEPcode,0)),cfgPassingScore))</f>
        <v/>
      </c>
      <c r="K970" s="14" t="n"/>
      <c r="L970" s="14" t="n"/>
      <c r="M970" s="15">
        <f>IF($C970="","",IF($L970="","",IF($K970=1,IF(COUNTIFS(nrES_PID,$D970,nrES_Code,$F970,nrES_Att,2)&gt;0,"",$L970),IF(COUNTIFS(nrES_PID,$D970,nrES_Code,$F970,nrES_Att,1)=0,$L970,IF($L970&gt;=$J970,cfgRetakeRecordedCap,SUMIFS(nrES_Raw,nrES_PID,$D970,nrES_Code,$F970,nrES_Att,1))))))</f>
        <v/>
      </c>
      <c r="N970" s="15">
        <f>IF($C970="","",IF($L970="","",IF($L970&gt;=$J970,"Yes","No")))</f>
        <v/>
      </c>
      <c r="O970" s="15">
        <f>IF($C970="","",IF($M970="","",IF($M970&gt;=$J970,"Yes","No")))</f>
        <v/>
      </c>
      <c r="P970" s="15">
        <f>IF($C970="","",IF($K970="","",IF(COUNTIFS(nrES_PID,$D970,nrES_Code,$F970,nrES_Att,"&gt;"&amp;$K970)=0,"Yes","No")))</f>
        <v/>
      </c>
      <c r="Q970" s="15">
        <f>IF($C970="","",IF($L970="","",IF(AND($K970=1,$L970&lt;$J970,COUNTIFS(nrES_PID,$D970,nrES_Code,$F970,nrES_Att,2)=0),"Yes","No")))</f>
        <v/>
      </c>
      <c r="R970" s="15">
        <f>IF($C970="","",IF($L970="","",IF(AND($K970=2,$L970&lt;$J970,COUNTIFS(nrES_PID,$D970,nrES_Code,$F970,nrES_Att,1)&gt;0),"Yes","No")))</f>
        <v/>
      </c>
      <c r="S970" s="16" t="n"/>
      <c r="T970" s="17">
        <f>IF($Q970&lt;&gt;"Yes","",IF($S970="","(enter date)",_xlfn.LET(_xlpm.dn,IFERROR(_xlfn.XLOOKUP($S970,nrCDdate,nrCDnum),""),IF(_xlpm.dn="","(not a class day)",IFERROR(_xlfn.XLOOKUP(_xlpm.dn+cfgRetestClassDays,nrCDnum,nrCDdate),"")))))</f>
        <v/>
      </c>
      <c r="U970" s="15">
        <f>IF($Q970&lt;&gt;"Yes","",IF(COUNTIFS(nrES_PID,$D970,nrES_Code,$F970,nrES_Att,2)&gt;0,"Retested",IF(OR($T970="",NOT(ISNUMBER($T970))),"Pending",IF(TODAY()&gt;$T970,"OVERDUE","Due "&amp;TEXT($T970,"mm/dd")))))</f>
        <v/>
      </c>
      <c r="V970" s="14" t="n"/>
      <c r="W970" s="14" t="n"/>
    </row>
    <row r="971">
      <c r="B971" s="15">
        <f>IF($C971="","",$D971&amp;"-"&amp;$F971&amp;"-"&amp;$K971)</f>
        <v/>
      </c>
      <c r="C971" s="14" t="n"/>
      <c r="D971" s="15">
        <f>IF($C971="","",IFERROR(INDEX(rngCadetPIDs,MATCH($C971,rngCadetNames,0)),"?"))</f>
        <v/>
      </c>
      <c r="E971" s="15">
        <f>IF($D971="","",IFERROR(INDEX(nrCadetAgency,MATCH($D971,rngCadetPIDs,0)),""))</f>
        <v/>
      </c>
      <c r="F971" s="14" t="n"/>
      <c r="G971" s="15">
        <f>IF($F971="","",IFERROR(INDEX(rngEPname,MATCH($F971,rngEPcode,0)),"?"))</f>
        <v/>
      </c>
      <c r="H971" s="15">
        <f>IF($F971="","",IFERROR(INDEX(rngEPtype,MATCH($F971,rngEPcode,0)),"?"))</f>
        <v/>
      </c>
      <c r="I971" s="15">
        <f>IF($F971="","",IFERROR(INDEX(rngEPseq,MATCH($F971,rngEPcode,0)),""))</f>
        <v/>
      </c>
      <c r="J971" s="15">
        <f>IF($F971="","",IFERROR(INDEX(rngEPpass,MATCH($F971,rngEPcode,0)),cfgPassingScore))</f>
        <v/>
      </c>
      <c r="K971" s="14" t="n"/>
      <c r="L971" s="14" t="n"/>
      <c r="M971" s="15">
        <f>IF($C971="","",IF($L971="","",IF($K971=1,IF(COUNTIFS(nrES_PID,$D971,nrES_Code,$F971,nrES_Att,2)&gt;0,"",$L971),IF(COUNTIFS(nrES_PID,$D971,nrES_Code,$F971,nrES_Att,1)=0,$L971,IF($L971&gt;=$J971,cfgRetakeRecordedCap,SUMIFS(nrES_Raw,nrES_PID,$D971,nrES_Code,$F971,nrES_Att,1))))))</f>
        <v/>
      </c>
      <c r="N971" s="15">
        <f>IF($C971="","",IF($L971="","",IF($L971&gt;=$J971,"Yes","No")))</f>
        <v/>
      </c>
      <c r="O971" s="15">
        <f>IF($C971="","",IF($M971="","",IF($M971&gt;=$J971,"Yes","No")))</f>
        <v/>
      </c>
      <c r="P971" s="15">
        <f>IF($C971="","",IF($K971="","",IF(COUNTIFS(nrES_PID,$D971,nrES_Code,$F971,nrES_Att,"&gt;"&amp;$K971)=0,"Yes","No")))</f>
        <v/>
      </c>
      <c r="Q971" s="15">
        <f>IF($C971="","",IF($L971="","",IF(AND($K971=1,$L971&lt;$J971,COUNTIFS(nrES_PID,$D971,nrES_Code,$F971,nrES_Att,2)=0),"Yes","No")))</f>
        <v/>
      </c>
      <c r="R971" s="15">
        <f>IF($C971="","",IF($L971="","",IF(AND($K971=2,$L971&lt;$J971,COUNTIFS(nrES_PID,$D971,nrES_Code,$F971,nrES_Att,1)&gt;0),"Yes","No")))</f>
        <v/>
      </c>
      <c r="S971" s="16" t="n"/>
      <c r="T971" s="17">
        <f>IF($Q971&lt;&gt;"Yes","",IF($S971="","(enter date)",_xlfn.LET(_xlpm.dn,IFERROR(_xlfn.XLOOKUP($S971,nrCDdate,nrCDnum),""),IF(_xlpm.dn="","(not a class day)",IFERROR(_xlfn.XLOOKUP(_xlpm.dn+cfgRetestClassDays,nrCDnum,nrCDdate),"")))))</f>
        <v/>
      </c>
      <c r="U971" s="15">
        <f>IF($Q971&lt;&gt;"Yes","",IF(COUNTIFS(nrES_PID,$D971,nrES_Code,$F971,nrES_Att,2)&gt;0,"Retested",IF(OR($T971="",NOT(ISNUMBER($T971))),"Pending",IF(TODAY()&gt;$T971,"OVERDUE","Due "&amp;TEXT($T971,"mm/dd")))))</f>
        <v/>
      </c>
      <c r="V971" s="14" t="n"/>
      <c r="W971" s="14" t="n"/>
    </row>
    <row r="972">
      <c r="B972" s="15">
        <f>IF($C972="","",$D972&amp;"-"&amp;$F972&amp;"-"&amp;$K972)</f>
        <v/>
      </c>
      <c r="C972" s="14" t="n"/>
      <c r="D972" s="15">
        <f>IF($C972="","",IFERROR(INDEX(rngCadetPIDs,MATCH($C972,rngCadetNames,0)),"?"))</f>
        <v/>
      </c>
      <c r="E972" s="15">
        <f>IF($D972="","",IFERROR(INDEX(nrCadetAgency,MATCH($D972,rngCadetPIDs,0)),""))</f>
        <v/>
      </c>
      <c r="F972" s="14" t="n"/>
      <c r="G972" s="15">
        <f>IF($F972="","",IFERROR(INDEX(rngEPname,MATCH($F972,rngEPcode,0)),"?"))</f>
        <v/>
      </c>
      <c r="H972" s="15">
        <f>IF($F972="","",IFERROR(INDEX(rngEPtype,MATCH($F972,rngEPcode,0)),"?"))</f>
        <v/>
      </c>
      <c r="I972" s="15">
        <f>IF($F972="","",IFERROR(INDEX(rngEPseq,MATCH($F972,rngEPcode,0)),""))</f>
        <v/>
      </c>
      <c r="J972" s="15">
        <f>IF($F972="","",IFERROR(INDEX(rngEPpass,MATCH($F972,rngEPcode,0)),cfgPassingScore))</f>
        <v/>
      </c>
      <c r="K972" s="14" t="n"/>
      <c r="L972" s="14" t="n"/>
      <c r="M972" s="15">
        <f>IF($C972="","",IF($L972="","",IF($K972=1,IF(COUNTIFS(nrES_PID,$D972,nrES_Code,$F972,nrES_Att,2)&gt;0,"",$L972),IF(COUNTIFS(nrES_PID,$D972,nrES_Code,$F972,nrES_Att,1)=0,$L972,IF($L972&gt;=$J972,cfgRetakeRecordedCap,SUMIFS(nrES_Raw,nrES_PID,$D972,nrES_Code,$F972,nrES_Att,1))))))</f>
        <v/>
      </c>
      <c r="N972" s="15">
        <f>IF($C972="","",IF($L972="","",IF($L972&gt;=$J972,"Yes","No")))</f>
        <v/>
      </c>
      <c r="O972" s="15">
        <f>IF($C972="","",IF($M972="","",IF($M972&gt;=$J972,"Yes","No")))</f>
        <v/>
      </c>
      <c r="P972" s="15">
        <f>IF($C972="","",IF($K972="","",IF(COUNTIFS(nrES_PID,$D972,nrES_Code,$F972,nrES_Att,"&gt;"&amp;$K972)=0,"Yes","No")))</f>
        <v/>
      </c>
      <c r="Q972" s="15">
        <f>IF($C972="","",IF($L972="","",IF(AND($K972=1,$L972&lt;$J972,COUNTIFS(nrES_PID,$D972,nrES_Code,$F972,nrES_Att,2)=0),"Yes","No")))</f>
        <v/>
      </c>
      <c r="R972" s="15">
        <f>IF($C972="","",IF($L972="","",IF(AND($K972=2,$L972&lt;$J972,COUNTIFS(nrES_PID,$D972,nrES_Code,$F972,nrES_Att,1)&gt;0),"Yes","No")))</f>
        <v/>
      </c>
      <c r="S972" s="16" t="n"/>
      <c r="T972" s="17">
        <f>IF($Q972&lt;&gt;"Yes","",IF($S972="","(enter date)",_xlfn.LET(_xlpm.dn,IFERROR(_xlfn.XLOOKUP($S972,nrCDdate,nrCDnum),""),IF(_xlpm.dn="","(not a class day)",IFERROR(_xlfn.XLOOKUP(_xlpm.dn+cfgRetestClassDays,nrCDnum,nrCDdate),"")))))</f>
        <v/>
      </c>
      <c r="U972" s="15">
        <f>IF($Q972&lt;&gt;"Yes","",IF(COUNTIFS(nrES_PID,$D972,nrES_Code,$F972,nrES_Att,2)&gt;0,"Retested",IF(OR($T972="",NOT(ISNUMBER($T972))),"Pending",IF(TODAY()&gt;$T972,"OVERDUE","Due "&amp;TEXT($T972,"mm/dd")))))</f>
        <v/>
      </c>
      <c r="V972" s="14" t="n"/>
      <c r="W972" s="14" t="n"/>
    </row>
    <row r="973">
      <c r="B973" s="15">
        <f>IF($C973="","",$D973&amp;"-"&amp;$F973&amp;"-"&amp;$K973)</f>
        <v/>
      </c>
      <c r="C973" s="14" t="n"/>
      <c r="D973" s="15">
        <f>IF($C973="","",IFERROR(INDEX(rngCadetPIDs,MATCH($C973,rngCadetNames,0)),"?"))</f>
        <v/>
      </c>
      <c r="E973" s="15">
        <f>IF($D973="","",IFERROR(INDEX(nrCadetAgency,MATCH($D973,rngCadetPIDs,0)),""))</f>
        <v/>
      </c>
      <c r="F973" s="14" t="n"/>
      <c r="G973" s="15">
        <f>IF($F973="","",IFERROR(INDEX(rngEPname,MATCH($F973,rngEPcode,0)),"?"))</f>
        <v/>
      </c>
      <c r="H973" s="15">
        <f>IF($F973="","",IFERROR(INDEX(rngEPtype,MATCH($F973,rngEPcode,0)),"?"))</f>
        <v/>
      </c>
      <c r="I973" s="15">
        <f>IF($F973="","",IFERROR(INDEX(rngEPseq,MATCH($F973,rngEPcode,0)),""))</f>
        <v/>
      </c>
      <c r="J973" s="15">
        <f>IF($F973="","",IFERROR(INDEX(rngEPpass,MATCH($F973,rngEPcode,0)),cfgPassingScore))</f>
        <v/>
      </c>
      <c r="K973" s="14" t="n"/>
      <c r="L973" s="14" t="n"/>
      <c r="M973" s="15">
        <f>IF($C973="","",IF($L973="","",IF($K973=1,IF(COUNTIFS(nrES_PID,$D973,nrES_Code,$F973,nrES_Att,2)&gt;0,"",$L973),IF(COUNTIFS(nrES_PID,$D973,nrES_Code,$F973,nrES_Att,1)=0,$L973,IF($L973&gt;=$J973,cfgRetakeRecordedCap,SUMIFS(nrES_Raw,nrES_PID,$D973,nrES_Code,$F973,nrES_Att,1))))))</f>
        <v/>
      </c>
      <c r="N973" s="15">
        <f>IF($C973="","",IF($L973="","",IF($L973&gt;=$J973,"Yes","No")))</f>
        <v/>
      </c>
      <c r="O973" s="15">
        <f>IF($C973="","",IF($M973="","",IF($M973&gt;=$J973,"Yes","No")))</f>
        <v/>
      </c>
      <c r="P973" s="15">
        <f>IF($C973="","",IF($K973="","",IF(COUNTIFS(nrES_PID,$D973,nrES_Code,$F973,nrES_Att,"&gt;"&amp;$K973)=0,"Yes","No")))</f>
        <v/>
      </c>
      <c r="Q973" s="15">
        <f>IF($C973="","",IF($L973="","",IF(AND($K973=1,$L973&lt;$J973,COUNTIFS(nrES_PID,$D973,nrES_Code,$F973,nrES_Att,2)=0),"Yes","No")))</f>
        <v/>
      </c>
      <c r="R973" s="15">
        <f>IF($C973="","",IF($L973="","",IF(AND($K973=2,$L973&lt;$J973,COUNTIFS(nrES_PID,$D973,nrES_Code,$F973,nrES_Att,1)&gt;0),"Yes","No")))</f>
        <v/>
      </c>
      <c r="S973" s="16" t="n"/>
      <c r="T973" s="17">
        <f>IF($Q973&lt;&gt;"Yes","",IF($S973="","(enter date)",_xlfn.LET(_xlpm.dn,IFERROR(_xlfn.XLOOKUP($S973,nrCDdate,nrCDnum),""),IF(_xlpm.dn="","(not a class day)",IFERROR(_xlfn.XLOOKUP(_xlpm.dn+cfgRetestClassDays,nrCDnum,nrCDdate),"")))))</f>
        <v/>
      </c>
      <c r="U973" s="15">
        <f>IF($Q973&lt;&gt;"Yes","",IF(COUNTIFS(nrES_PID,$D973,nrES_Code,$F973,nrES_Att,2)&gt;0,"Retested",IF(OR($T973="",NOT(ISNUMBER($T973))),"Pending",IF(TODAY()&gt;$T973,"OVERDUE","Due "&amp;TEXT($T973,"mm/dd")))))</f>
        <v/>
      </c>
      <c r="V973" s="14" t="n"/>
      <c r="W973" s="14" t="n"/>
    </row>
    <row r="974">
      <c r="B974" s="15">
        <f>IF($C974="","",$D974&amp;"-"&amp;$F974&amp;"-"&amp;$K974)</f>
        <v/>
      </c>
      <c r="C974" s="14" t="n"/>
      <c r="D974" s="15">
        <f>IF($C974="","",IFERROR(INDEX(rngCadetPIDs,MATCH($C974,rngCadetNames,0)),"?"))</f>
        <v/>
      </c>
      <c r="E974" s="15">
        <f>IF($D974="","",IFERROR(INDEX(nrCadetAgency,MATCH($D974,rngCadetPIDs,0)),""))</f>
        <v/>
      </c>
      <c r="F974" s="14" t="n"/>
      <c r="G974" s="15">
        <f>IF($F974="","",IFERROR(INDEX(rngEPname,MATCH($F974,rngEPcode,0)),"?"))</f>
        <v/>
      </c>
      <c r="H974" s="15">
        <f>IF($F974="","",IFERROR(INDEX(rngEPtype,MATCH($F974,rngEPcode,0)),"?"))</f>
        <v/>
      </c>
      <c r="I974" s="15">
        <f>IF($F974="","",IFERROR(INDEX(rngEPseq,MATCH($F974,rngEPcode,0)),""))</f>
        <v/>
      </c>
      <c r="J974" s="15">
        <f>IF($F974="","",IFERROR(INDEX(rngEPpass,MATCH($F974,rngEPcode,0)),cfgPassingScore))</f>
        <v/>
      </c>
      <c r="K974" s="14" t="n"/>
      <c r="L974" s="14" t="n"/>
      <c r="M974" s="15">
        <f>IF($C974="","",IF($L974="","",IF($K974=1,IF(COUNTIFS(nrES_PID,$D974,nrES_Code,$F974,nrES_Att,2)&gt;0,"",$L974),IF(COUNTIFS(nrES_PID,$D974,nrES_Code,$F974,nrES_Att,1)=0,$L974,IF($L974&gt;=$J974,cfgRetakeRecordedCap,SUMIFS(nrES_Raw,nrES_PID,$D974,nrES_Code,$F974,nrES_Att,1))))))</f>
        <v/>
      </c>
      <c r="N974" s="15">
        <f>IF($C974="","",IF($L974="","",IF($L974&gt;=$J974,"Yes","No")))</f>
        <v/>
      </c>
      <c r="O974" s="15">
        <f>IF($C974="","",IF($M974="","",IF($M974&gt;=$J974,"Yes","No")))</f>
        <v/>
      </c>
      <c r="P974" s="15">
        <f>IF($C974="","",IF($K974="","",IF(COUNTIFS(nrES_PID,$D974,nrES_Code,$F974,nrES_Att,"&gt;"&amp;$K974)=0,"Yes","No")))</f>
        <v/>
      </c>
      <c r="Q974" s="15">
        <f>IF($C974="","",IF($L974="","",IF(AND($K974=1,$L974&lt;$J974,COUNTIFS(nrES_PID,$D974,nrES_Code,$F974,nrES_Att,2)=0),"Yes","No")))</f>
        <v/>
      </c>
      <c r="R974" s="15">
        <f>IF($C974="","",IF($L974="","",IF(AND($K974=2,$L974&lt;$J974,COUNTIFS(nrES_PID,$D974,nrES_Code,$F974,nrES_Att,1)&gt;0),"Yes","No")))</f>
        <v/>
      </c>
      <c r="S974" s="16" t="n"/>
      <c r="T974" s="17">
        <f>IF($Q974&lt;&gt;"Yes","",IF($S974="","(enter date)",_xlfn.LET(_xlpm.dn,IFERROR(_xlfn.XLOOKUP($S974,nrCDdate,nrCDnum),""),IF(_xlpm.dn="","(not a class day)",IFERROR(_xlfn.XLOOKUP(_xlpm.dn+cfgRetestClassDays,nrCDnum,nrCDdate),"")))))</f>
        <v/>
      </c>
      <c r="U974" s="15">
        <f>IF($Q974&lt;&gt;"Yes","",IF(COUNTIFS(nrES_PID,$D974,nrES_Code,$F974,nrES_Att,2)&gt;0,"Retested",IF(OR($T974="",NOT(ISNUMBER($T974))),"Pending",IF(TODAY()&gt;$T974,"OVERDUE","Due "&amp;TEXT($T974,"mm/dd")))))</f>
        <v/>
      </c>
      <c r="V974" s="14" t="n"/>
      <c r="W974" s="14" t="n"/>
    </row>
    <row r="975">
      <c r="B975" s="15">
        <f>IF($C975="","",$D975&amp;"-"&amp;$F975&amp;"-"&amp;$K975)</f>
        <v/>
      </c>
      <c r="C975" s="14" t="n"/>
      <c r="D975" s="15">
        <f>IF($C975="","",IFERROR(INDEX(rngCadetPIDs,MATCH($C975,rngCadetNames,0)),"?"))</f>
        <v/>
      </c>
      <c r="E975" s="15">
        <f>IF($D975="","",IFERROR(INDEX(nrCadetAgency,MATCH($D975,rngCadetPIDs,0)),""))</f>
        <v/>
      </c>
      <c r="F975" s="14" t="n"/>
      <c r="G975" s="15">
        <f>IF($F975="","",IFERROR(INDEX(rngEPname,MATCH($F975,rngEPcode,0)),"?"))</f>
        <v/>
      </c>
      <c r="H975" s="15">
        <f>IF($F975="","",IFERROR(INDEX(rngEPtype,MATCH($F975,rngEPcode,0)),"?"))</f>
        <v/>
      </c>
      <c r="I975" s="15">
        <f>IF($F975="","",IFERROR(INDEX(rngEPseq,MATCH($F975,rngEPcode,0)),""))</f>
        <v/>
      </c>
      <c r="J975" s="15">
        <f>IF($F975="","",IFERROR(INDEX(rngEPpass,MATCH($F975,rngEPcode,0)),cfgPassingScore))</f>
        <v/>
      </c>
      <c r="K975" s="14" t="n"/>
      <c r="L975" s="14" t="n"/>
      <c r="M975" s="15">
        <f>IF($C975="","",IF($L975="","",IF($K975=1,IF(COUNTIFS(nrES_PID,$D975,nrES_Code,$F975,nrES_Att,2)&gt;0,"",$L975),IF(COUNTIFS(nrES_PID,$D975,nrES_Code,$F975,nrES_Att,1)=0,$L975,IF($L975&gt;=$J975,cfgRetakeRecordedCap,SUMIFS(nrES_Raw,nrES_PID,$D975,nrES_Code,$F975,nrES_Att,1))))))</f>
        <v/>
      </c>
      <c r="N975" s="15">
        <f>IF($C975="","",IF($L975="","",IF($L975&gt;=$J975,"Yes","No")))</f>
        <v/>
      </c>
      <c r="O975" s="15">
        <f>IF($C975="","",IF($M975="","",IF($M975&gt;=$J975,"Yes","No")))</f>
        <v/>
      </c>
      <c r="P975" s="15">
        <f>IF($C975="","",IF($K975="","",IF(COUNTIFS(nrES_PID,$D975,nrES_Code,$F975,nrES_Att,"&gt;"&amp;$K975)=0,"Yes","No")))</f>
        <v/>
      </c>
      <c r="Q975" s="15">
        <f>IF($C975="","",IF($L975="","",IF(AND($K975=1,$L975&lt;$J975,COUNTIFS(nrES_PID,$D975,nrES_Code,$F975,nrES_Att,2)=0),"Yes","No")))</f>
        <v/>
      </c>
      <c r="R975" s="15">
        <f>IF($C975="","",IF($L975="","",IF(AND($K975=2,$L975&lt;$J975,COUNTIFS(nrES_PID,$D975,nrES_Code,$F975,nrES_Att,1)&gt;0),"Yes","No")))</f>
        <v/>
      </c>
      <c r="S975" s="16" t="n"/>
      <c r="T975" s="17">
        <f>IF($Q975&lt;&gt;"Yes","",IF($S975="","(enter date)",_xlfn.LET(_xlpm.dn,IFERROR(_xlfn.XLOOKUP($S975,nrCDdate,nrCDnum),""),IF(_xlpm.dn="","(not a class day)",IFERROR(_xlfn.XLOOKUP(_xlpm.dn+cfgRetestClassDays,nrCDnum,nrCDdate),"")))))</f>
        <v/>
      </c>
      <c r="U975" s="15">
        <f>IF($Q975&lt;&gt;"Yes","",IF(COUNTIFS(nrES_PID,$D975,nrES_Code,$F975,nrES_Att,2)&gt;0,"Retested",IF(OR($T975="",NOT(ISNUMBER($T975))),"Pending",IF(TODAY()&gt;$T975,"OVERDUE","Due "&amp;TEXT($T975,"mm/dd")))))</f>
        <v/>
      </c>
      <c r="V975" s="14" t="n"/>
      <c r="W975" s="14" t="n"/>
    </row>
    <row r="976">
      <c r="B976" s="15">
        <f>IF($C976="","",$D976&amp;"-"&amp;$F976&amp;"-"&amp;$K976)</f>
        <v/>
      </c>
      <c r="C976" s="14" t="n"/>
      <c r="D976" s="15">
        <f>IF($C976="","",IFERROR(INDEX(rngCadetPIDs,MATCH($C976,rngCadetNames,0)),"?"))</f>
        <v/>
      </c>
      <c r="E976" s="15">
        <f>IF($D976="","",IFERROR(INDEX(nrCadetAgency,MATCH($D976,rngCadetPIDs,0)),""))</f>
        <v/>
      </c>
      <c r="F976" s="14" t="n"/>
      <c r="G976" s="15">
        <f>IF($F976="","",IFERROR(INDEX(rngEPname,MATCH($F976,rngEPcode,0)),"?"))</f>
        <v/>
      </c>
      <c r="H976" s="15">
        <f>IF($F976="","",IFERROR(INDEX(rngEPtype,MATCH($F976,rngEPcode,0)),"?"))</f>
        <v/>
      </c>
      <c r="I976" s="15">
        <f>IF($F976="","",IFERROR(INDEX(rngEPseq,MATCH($F976,rngEPcode,0)),""))</f>
        <v/>
      </c>
      <c r="J976" s="15">
        <f>IF($F976="","",IFERROR(INDEX(rngEPpass,MATCH($F976,rngEPcode,0)),cfgPassingScore))</f>
        <v/>
      </c>
      <c r="K976" s="14" t="n"/>
      <c r="L976" s="14" t="n"/>
      <c r="M976" s="15">
        <f>IF($C976="","",IF($L976="","",IF($K976=1,IF(COUNTIFS(nrES_PID,$D976,nrES_Code,$F976,nrES_Att,2)&gt;0,"",$L976),IF(COUNTIFS(nrES_PID,$D976,nrES_Code,$F976,nrES_Att,1)=0,$L976,IF($L976&gt;=$J976,cfgRetakeRecordedCap,SUMIFS(nrES_Raw,nrES_PID,$D976,nrES_Code,$F976,nrES_Att,1))))))</f>
        <v/>
      </c>
      <c r="N976" s="15">
        <f>IF($C976="","",IF($L976="","",IF($L976&gt;=$J976,"Yes","No")))</f>
        <v/>
      </c>
      <c r="O976" s="15">
        <f>IF($C976="","",IF($M976="","",IF($M976&gt;=$J976,"Yes","No")))</f>
        <v/>
      </c>
      <c r="P976" s="15">
        <f>IF($C976="","",IF($K976="","",IF(COUNTIFS(nrES_PID,$D976,nrES_Code,$F976,nrES_Att,"&gt;"&amp;$K976)=0,"Yes","No")))</f>
        <v/>
      </c>
      <c r="Q976" s="15">
        <f>IF($C976="","",IF($L976="","",IF(AND($K976=1,$L976&lt;$J976,COUNTIFS(nrES_PID,$D976,nrES_Code,$F976,nrES_Att,2)=0),"Yes","No")))</f>
        <v/>
      </c>
      <c r="R976" s="15">
        <f>IF($C976="","",IF($L976="","",IF(AND($K976=2,$L976&lt;$J976,COUNTIFS(nrES_PID,$D976,nrES_Code,$F976,nrES_Att,1)&gt;0),"Yes","No")))</f>
        <v/>
      </c>
      <c r="S976" s="16" t="n"/>
      <c r="T976" s="17">
        <f>IF($Q976&lt;&gt;"Yes","",IF($S976="","(enter date)",_xlfn.LET(_xlpm.dn,IFERROR(_xlfn.XLOOKUP($S976,nrCDdate,nrCDnum),""),IF(_xlpm.dn="","(not a class day)",IFERROR(_xlfn.XLOOKUP(_xlpm.dn+cfgRetestClassDays,nrCDnum,nrCDdate),"")))))</f>
        <v/>
      </c>
      <c r="U976" s="15">
        <f>IF($Q976&lt;&gt;"Yes","",IF(COUNTIFS(nrES_PID,$D976,nrES_Code,$F976,nrES_Att,2)&gt;0,"Retested",IF(OR($T976="",NOT(ISNUMBER($T976))),"Pending",IF(TODAY()&gt;$T976,"OVERDUE","Due "&amp;TEXT($T976,"mm/dd")))))</f>
        <v/>
      </c>
      <c r="V976" s="14" t="n"/>
      <c r="W976" s="14" t="n"/>
    </row>
    <row r="977">
      <c r="B977" s="15">
        <f>IF($C977="","",$D977&amp;"-"&amp;$F977&amp;"-"&amp;$K977)</f>
        <v/>
      </c>
      <c r="C977" s="14" t="n"/>
      <c r="D977" s="15">
        <f>IF($C977="","",IFERROR(INDEX(rngCadetPIDs,MATCH($C977,rngCadetNames,0)),"?"))</f>
        <v/>
      </c>
      <c r="E977" s="15">
        <f>IF($D977="","",IFERROR(INDEX(nrCadetAgency,MATCH($D977,rngCadetPIDs,0)),""))</f>
        <v/>
      </c>
      <c r="F977" s="14" t="n"/>
      <c r="G977" s="15">
        <f>IF($F977="","",IFERROR(INDEX(rngEPname,MATCH($F977,rngEPcode,0)),"?"))</f>
        <v/>
      </c>
      <c r="H977" s="15">
        <f>IF($F977="","",IFERROR(INDEX(rngEPtype,MATCH($F977,rngEPcode,0)),"?"))</f>
        <v/>
      </c>
      <c r="I977" s="15">
        <f>IF($F977="","",IFERROR(INDEX(rngEPseq,MATCH($F977,rngEPcode,0)),""))</f>
        <v/>
      </c>
      <c r="J977" s="15">
        <f>IF($F977="","",IFERROR(INDEX(rngEPpass,MATCH($F977,rngEPcode,0)),cfgPassingScore))</f>
        <v/>
      </c>
      <c r="K977" s="14" t="n"/>
      <c r="L977" s="14" t="n"/>
      <c r="M977" s="15">
        <f>IF($C977="","",IF($L977="","",IF($K977=1,IF(COUNTIFS(nrES_PID,$D977,nrES_Code,$F977,nrES_Att,2)&gt;0,"",$L977),IF(COUNTIFS(nrES_PID,$D977,nrES_Code,$F977,nrES_Att,1)=0,$L977,IF($L977&gt;=$J977,cfgRetakeRecordedCap,SUMIFS(nrES_Raw,nrES_PID,$D977,nrES_Code,$F977,nrES_Att,1))))))</f>
        <v/>
      </c>
      <c r="N977" s="15">
        <f>IF($C977="","",IF($L977="","",IF($L977&gt;=$J977,"Yes","No")))</f>
        <v/>
      </c>
      <c r="O977" s="15">
        <f>IF($C977="","",IF($M977="","",IF($M977&gt;=$J977,"Yes","No")))</f>
        <v/>
      </c>
      <c r="P977" s="15">
        <f>IF($C977="","",IF($K977="","",IF(COUNTIFS(nrES_PID,$D977,nrES_Code,$F977,nrES_Att,"&gt;"&amp;$K977)=0,"Yes","No")))</f>
        <v/>
      </c>
      <c r="Q977" s="15">
        <f>IF($C977="","",IF($L977="","",IF(AND($K977=1,$L977&lt;$J977,COUNTIFS(nrES_PID,$D977,nrES_Code,$F977,nrES_Att,2)=0),"Yes","No")))</f>
        <v/>
      </c>
      <c r="R977" s="15">
        <f>IF($C977="","",IF($L977="","",IF(AND($K977=2,$L977&lt;$J977,COUNTIFS(nrES_PID,$D977,nrES_Code,$F977,nrES_Att,1)&gt;0),"Yes","No")))</f>
        <v/>
      </c>
      <c r="S977" s="16" t="n"/>
      <c r="T977" s="17">
        <f>IF($Q977&lt;&gt;"Yes","",IF($S977="","(enter date)",_xlfn.LET(_xlpm.dn,IFERROR(_xlfn.XLOOKUP($S977,nrCDdate,nrCDnum),""),IF(_xlpm.dn="","(not a class day)",IFERROR(_xlfn.XLOOKUP(_xlpm.dn+cfgRetestClassDays,nrCDnum,nrCDdate),"")))))</f>
        <v/>
      </c>
      <c r="U977" s="15">
        <f>IF($Q977&lt;&gt;"Yes","",IF(COUNTIFS(nrES_PID,$D977,nrES_Code,$F977,nrES_Att,2)&gt;0,"Retested",IF(OR($T977="",NOT(ISNUMBER($T977))),"Pending",IF(TODAY()&gt;$T977,"OVERDUE","Due "&amp;TEXT($T977,"mm/dd")))))</f>
        <v/>
      </c>
      <c r="V977" s="14" t="n"/>
      <c r="W977" s="14" t="n"/>
    </row>
    <row r="978">
      <c r="B978" s="15">
        <f>IF($C978="","",$D978&amp;"-"&amp;$F978&amp;"-"&amp;$K978)</f>
        <v/>
      </c>
      <c r="C978" s="14" t="n"/>
      <c r="D978" s="15">
        <f>IF($C978="","",IFERROR(INDEX(rngCadetPIDs,MATCH($C978,rngCadetNames,0)),"?"))</f>
        <v/>
      </c>
      <c r="E978" s="15">
        <f>IF($D978="","",IFERROR(INDEX(nrCadetAgency,MATCH($D978,rngCadetPIDs,0)),""))</f>
        <v/>
      </c>
      <c r="F978" s="14" t="n"/>
      <c r="G978" s="15">
        <f>IF($F978="","",IFERROR(INDEX(rngEPname,MATCH($F978,rngEPcode,0)),"?"))</f>
        <v/>
      </c>
      <c r="H978" s="15">
        <f>IF($F978="","",IFERROR(INDEX(rngEPtype,MATCH($F978,rngEPcode,0)),"?"))</f>
        <v/>
      </c>
      <c r="I978" s="15">
        <f>IF($F978="","",IFERROR(INDEX(rngEPseq,MATCH($F978,rngEPcode,0)),""))</f>
        <v/>
      </c>
      <c r="J978" s="15">
        <f>IF($F978="","",IFERROR(INDEX(rngEPpass,MATCH($F978,rngEPcode,0)),cfgPassingScore))</f>
        <v/>
      </c>
      <c r="K978" s="14" t="n"/>
      <c r="L978" s="14" t="n"/>
      <c r="M978" s="15">
        <f>IF($C978="","",IF($L978="","",IF($K978=1,IF(COUNTIFS(nrES_PID,$D978,nrES_Code,$F978,nrES_Att,2)&gt;0,"",$L978),IF(COUNTIFS(nrES_PID,$D978,nrES_Code,$F978,nrES_Att,1)=0,$L978,IF($L978&gt;=$J978,cfgRetakeRecordedCap,SUMIFS(nrES_Raw,nrES_PID,$D978,nrES_Code,$F978,nrES_Att,1))))))</f>
        <v/>
      </c>
      <c r="N978" s="15">
        <f>IF($C978="","",IF($L978="","",IF($L978&gt;=$J978,"Yes","No")))</f>
        <v/>
      </c>
      <c r="O978" s="15">
        <f>IF($C978="","",IF($M978="","",IF($M978&gt;=$J978,"Yes","No")))</f>
        <v/>
      </c>
      <c r="P978" s="15">
        <f>IF($C978="","",IF($K978="","",IF(COUNTIFS(nrES_PID,$D978,nrES_Code,$F978,nrES_Att,"&gt;"&amp;$K978)=0,"Yes","No")))</f>
        <v/>
      </c>
      <c r="Q978" s="15">
        <f>IF($C978="","",IF($L978="","",IF(AND($K978=1,$L978&lt;$J978,COUNTIFS(nrES_PID,$D978,nrES_Code,$F978,nrES_Att,2)=0),"Yes","No")))</f>
        <v/>
      </c>
      <c r="R978" s="15">
        <f>IF($C978="","",IF($L978="","",IF(AND($K978=2,$L978&lt;$J978,COUNTIFS(nrES_PID,$D978,nrES_Code,$F978,nrES_Att,1)&gt;0),"Yes","No")))</f>
        <v/>
      </c>
      <c r="S978" s="16" t="n"/>
      <c r="T978" s="17">
        <f>IF($Q978&lt;&gt;"Yes","",IF($S978="","(enter date)",_xlfn.LET(_xlpm.dn,IFERROR(_xlfn.XLOOKUP($S978,nrCDdate,nrCDnum),""),IF(_xlpm.dn="","(not a class day)",IFERROR(_xlfn.XLOOKUP(_xlpm.dn+cfgRetestClassDays,nrCDnum,nrCDdate),"")))))</f>
        <v/>
      </c>
      <c r="U978" s="15">
        <f>IF($Q978&lt;&gt;"Yes","",IF(COUNTIFS(nrES_PID,$D978,nrES_Code,$F978,nrES_Att,2)&gt;0,"Retested",IF(OR($T978="",NOT(ISNUMBER($T978))),"Pending",IF(TODAY()&gt;$T978,"OVERDUE","Due "&amp;TEXT($T978,"mm/dd")))))</f>
        <v/>
      </c>
      <c r="V978" s="14" t="n"/>
      <c r="W978" s="14" t="n"/>
    </row>
    <row r="979">
      <c r="B979" s="15">
        <f>IF($C979="","",$D979&amp;"-"&amp;$F979&amp;"-"&amp;$K979)</f>
        <v/>
      </c>
      <c r="C979" s="14" t="n"/>
      <c r="D979" s="15">
        <f>IF($C979="","",IFERROR(INDEX(rngCadetPIDs,MATCH($C979,rngCadetNames,0)),"?"))</f>
        <v/>
      </c>
      <c r="E979" s="15">
        <f>IF($D979="","",IFERROR(INDEX(nrCadetAgency,MATCH($D979,rngCadetPIDs,0)),""))</f>
        <v/>
      </c>
      <c r="F979" s="14" t="n"/>
      <c r="G979" s="15">
        <f>IF($F979="","",IFERROR(INDEX(rngEPname,MATCH($F979,rngEPcode,0)),"?"))</f>
        <v/>
      </c>
      <c r="H979" s="15">
        <f>IF($F979="","",IFERROR(INDEX(rngEPtype,MATCH($F979,rngEPcode,0)),"?"))</f>
        <v/>
      </c>
      <c r="I979" s="15">
        <f>IF($F979="","",IFERROR(INDEX(rngEPseq,MATCH($F979,rngEPcode,0)),""))</f>
        <v/>
      </c>
      <c r="J979" s="15">
        <f>IF($F979="","",IFERROR(INDEX(rngEPpass,MATCH($F979,rngEPcode,0)),cfgPassingScore))</f>
        <v/>
      </c>
      <c r="K979" s="14" t="n"/>
      <c r="L979" s="14" t="n"/>
      <c r="M979" s="15">
        <f>IF($C979="","",IF($L979="","",IF($K979=1,IF(COUNTIFS(nrES_PID,$D979,nrES_Code,$F979,nrES_Att,2)&gt;0,"",$L979),IF(COUNTIFS(nrES_PID,$D979,nrES_Code,$F979,nrES_Att,1)=0,$L979,IF($L979&gt;=$J979,cfgRetakeRecordedCap,SUMIFS(nrES_Raw,nrES_PID,$D979,nrES_Code,$F979,nrES_Att,1))))))</f>
        <v/>
      </c>
      <c r="N979" s="15">
        <f>IF($C979="","",IF($L979="","",IF($L979&gt;=$J979,"Yes","No")))</f>
        <v/>
      </c>
      <c r="O979" s="15">
        <f>IF($C979="","",IF($M979="","",IF($M979&gt;=$J979,"Yes","No")))</f>
        <v/>
      </c>
      <c r="P979" s="15">
        <f>IF($C979="","",IF($K979="","",IF(COUNTIFS(nrES_PID,$D979,nrES_Code,$F979,nrES_Att,"&gt;"&amp;$K979)=0,"Yes","No")))</f>
        <v/>
      </c>
      <c r="Q979" s="15">
        <f>IF($C979="","",IF($L979="","",IF(AND($K979=1,$L979&lt;$J979,COUNTIFS(nrES_PID,$D979,nrES_Code,$F979,nrES_Att,2)=0),"Yes","No")))</f>
        <v/>
      </c>
      <c r="R979" s="15">
        <f>IF($C979="","",IF($L979="","",IF(AND($K979=2,$L979&lt;$J979,COUNTIFS(nrES_PID,$D979,nrES_Code,$F979,nrES_Att,1)&gt;0),"Yes","No")))</f>
        <v/>
      </c>
      <c r="S979" s="16" t="n"/>
      <c r="T979" s="17">
        <f>IF($Q979&lt;&gt;"Yes","",IF($S979="","(enter date)",_xlfn.LET(_xlpm.dn,IFERROR(_xlfn.XLOOKUP($S979,nrCDdate,nrCDnum),""),IF(_xlpm.dn="","(not a class day)",IFERROR(_xlfn.XLOOKUP(_xlpm.dn+cfgRetestClassDays,nrCDnum,nrCDdate),"")))))</f>
        <v/>
      </c>
      <c r="U979" s="15">
        <f>IF($Q979&lt;&gt;"Yes","",IF(COUNTIFS(nrES_PID,$D979,nrES_Code,$F979,nrES_Att,2)&gt;0,"Retested",IF(OR($T979="",NOT(ISNUMBER($T979))),"Pending",IF(TODAY()&gt;$T979,"OVERDUE","Due "&amp;TEXT($T979,"mm/dd")))))</f>
        <v/>
      </c>
      <c r="V979" s="14" t="n"/>
      <c r="W979" s="14" t="n"/>
    </row>
    <row r="980">
      <c r="B980" s="15">
        <f>IF($C980="","",$D980&amp;"-"&amp;$F980&amp;"-"&amp;$K980)</f>
        <v/>
      </c>
      <c r="C980" s="14" t="n"/>
      <c r="D980" s="15">
        <f>IF($C980="","",IFERROR(INDEX(rngCadetPIDs,MATCH($C980,rngCadetNames,0)),"?"))</f>
        <v/>
      </c>
      <c r="E980" s="15">
        <f>IF($D980="","",IFERROR(INDEX(nrCadetAgency,MATCH($D980,rngCadetPIDs,0)),""))</f>
        <v/>
      </c>
      <c r="F980" s="14" t="n"/>
      <c r="G980" s="15">
        <f>IF($F980="","",IFERROR(INDEX(rngEPname,MATCH($F980,rngEPcode,0)),"?"))</f>
        <v/>
      </c>
      <c r="H980" s="15">
        <f>IF($F980="","",IFERROR(INDEX(rngEPtype,MATCH($F980,rngEPcode,0)),"?"))</f>
        <v/>
      </c>
      <c r="I980" s="15">
        <f>IF($F980="","",IFERROR(INDEX(rngEPseq,MATCH($F980,rngEPcode,0)),""))</f>
        <v/>
      </c>
      <c r="J980" s="15">
        <f>IF($F980="","",IFERROR(INDEX(rngEPpass,MATCH($F980,rngEPcode,0)),cfgPassingScore))</f>
        <v/>
      </c>
      <c r="K980" s="14" t="n"/>
      <c r="L980" s="14" t="n"/>
      <c r="M980" s="15">
        <f>IF($C980="","",IF($L980="","",IF($K980=1,IF(COUNTIFS(nrES_PID,$D980,nrES_Code,$F980,nrES_Att,2)&gt;0,"",$L980),IF(COUNTIFS(nrES_PID,$D980,nrES_Code,$F980,nrES_Att,1)=0,$L980,IF($L980&gt;=$J980,cfgRetakeRecordedCap,SUMIFS(nrES_Raw,nrES_PID,$D980,nrES_Code,$F980,nrES_Att,1))))))</f>
        <v/>
      </c>
      <c r="N980" s="15">
        <f>IF($C980="","",IF($L980="","",IF($L980&gt;=$J980,"Yes","No")))</f>
        <v/>
      </c>
      <c r="O980" s="15">
        <f>IF($C980="","",IF($M980="","",IF($M980&gt;=$J980,"Yes","No")))</f>
        <v/>
      </c>
      <c r="P980" s="15">
        <f>IF($C980="","",IF($K980="","",IF(COUNTIFS(nrES_PID,$D980,nrES_Code,$F980,nrES_Att,"&gt;"&amp;$K980)=0,"Yes","No")))</f>
        <v/>
      </c>
      <c r="Q980" s="15">
        <f>IF($C980="","",IF($L980="","",IF(AND($K980=1,$L980&lt;$J980,COUNTIFS(nrES_PID,$D980,nrES_Code,$F980,nrES_Att,2)=0),"Yes","No")))</f>
        <v/>
      </c>
      <c r="R980" s="15">
        <f>IF($C980="","",IF($L980="","",IF(AND($K980=2,$L980&lt;$J980,COUNTIFS(nrES_PID,$D980,nrES_Code,$F980,nrES_Att,1)&gt;0),"Yes","No")))</f>
        <v/>
      </c>
      <c r="S980" s="16" t="n"/>
      <c r="T980" s="17">
        <f>IF($Q980&lt;&gt;"Yes","",IF($S980="","(enter date)",_xlfn.LET(_xlpm.dn,IFERROR(_xlfn.XLOOKUP($S980,nrCDdate,nrCDnum),""),IF(_xlpm.dn="","(not a class day)",IFERROR(_xlfn.XLOOKUP(_xlpm.dn+cfgRetestClassDays,nrCDnum,nrCDdate),"")))))</f>
        <v/>
      </c>
      <c r="U980" s="15">
        <f>IF($Q980&lt;&gt;"Yes","",IF(COUNTIFS(nrES_PID,$D980,nrES_Code,$F980,nrES_Att,2)&gt;0,"Retested",IF(OR($T980="",NOT(ISNUMBER($T980))),"Pending",IF(TODAY()&gt;$T980,"OVERDUE","Due "&amp;TEXT($T980,"mm/dd")))))</f>
        <v/>
      </c>
      <c r="V980" s="14" t="n"/>
      <c r="W980" s="14" t="n"/>
    </row>
    <row r="981">
      <c r="B981" s="15">
        <f>IF($C981="","",$D981&amp;"-"&amp;$F981&amp;"-"&amp;$K981)</f>
        <v/>
      </c>
      <c r="C981" s="14" t="n"/>
      <c r="D981" s="15">
        <f>IF($C981="","",IFERROR(INDEX(rngCadetPIDs,MATCH($C981,rngCadetNames,0)),"?"))</f>
        <v/>
      </c>
      <c r="E981" s="15">
        <f>IF($D981="","",IFERROR(INDEX(nrCadetAgency,MATCH($D981,rngCadetPIDs,0)),""))</f>
        <v/>
      </c>
      <c r="F981" s="14" t="n"/>
      <c r="G981" s="15">
        <f>IF($F981="","",IFERROR(INDEX(rngEPname,MATCH($F981,rngEPcode,0)),"?"))</f>
        <v/>
      </c>
      <c r="H981" s="15">
        <f>IF($F981="","",IFERROR(INDEX(rngEPtype,MATCH($F981,rngEPcode,0)),"?"))</f>
        <v/>
      </c>
      <c r="I981" s="15">
        <f>IF($F981="","",IFERROR(INDEX(rngEPseq,MATCH($F981,rngEPcode,0)),""))</f>
        <v/>
      </c>
      <c r="J981" s="15">
        <f>IF($F981="","",IFERROR(INDEX(rngEPpass,MATCH($F981,rngEPcode,0)),cfgPassingScore))</f>
        <v/>
      </c>
      <c r="K981" s="14" t="n"/>
      <c r="L981" s="14" t="n"/>
      <c r="M981" s="15">
        <f>IF($C981="","",IF($L981="","",IF($K981=1,IF(COUNTIFS(nrES_PID,$D981,nrES_Code,$F981,nrES_Att,2)&gt;0,"",$L981),IF(COUNTIFS(nrES_PID,$D981,nrES_Code,$F981,nrES_Att,1)=0,$L981,IF($L981&gt;=$J981,cfgRetakeRecordedCap,SUMIFS(nrES_Raw,nrES_PID,$D981,nrES_Code,$F981,nrES_Att,1))))))</f>
        <v/>
      </c>
      <c r="N981" s="15">
        <f>IF($C981="","",IF($L981="","",IF($L981&gt;=$J981,"Yes","No")))</f>
        <v/>
      </c>
      <c r="O981" s="15">
        <f>IF($C981="","",IF($M981="","",IF($M981&gt;=$J981,"Yes","No")))</f>
        <v/>
      </c>
      <c r="P981" s="15">
        <f>IF($C981="","",IF($K981="","",IF(COUNTIFS(nrES_PID,$D981,nrES_Code,$F981,nrES_Att,"&gt;"&amp;$K981)=0,"Yes","No")))</f>
        <v/>
      </c>
      <c r="Q981" s="15">
        <f>IF($C981="","",IF($L981="","",IF(AND($K981=1,$L981&lt;$J981,COUNTIFS(nrES_PID,$D981,nrES_Code,$F981,nrES_Att,2)=0),"Yes","No")))</f>
        <v/>
      </c>
      <c r="R981" s="15">
        <f>IF($C981="","",IF($L981="","",IF(AND($K981=2,$L981&lt;$J981,COUNTIFS(nrES_PID,$D981,nrES_Code,$F981,nrES_Att,1)&gt;0),"Yes","No")))</f>
        <v/>
      </c>
      <c r="S981" s="16" t="n"/>
      <c r="T981" s="17">
        <f>IF($Q981&lt;&gt;"Yes","",IF($S981="","(enter date)",_xlfn.LET(_xlpm.dn,IFERROR(_xlfn.XLOOKUP($S981,nrCDdate,nrCDnum),""),IF(_xlpm.dn="","(not a class day)",IFERROR(_xlfn.XLOOKUP(_xlpm.dn+cfgRetestClassDays,nrCDnum,nrCDdate),"")))))</f>
        <v/>
      </c>
      <c r="U981" s="15">
        <f>IF($Q981&lt;&gt;"Yes","",IF(COUNTIFS(nrES_PID,$D981,nrES_Code,$F981,nrES_Att,2)&gt;0,"Retested",IF(OR($T981="",NOT(ISNUMBER($T981))),"Pending",IF(TODAY()&gt;$T981,"OVERDUE","Due "&amp;TEXT($T981,"mm/dd")))))</f>
        <v/>
      </c>
      <c r="V981" s="14" t="n"/>
      <c r="W981" s="14" t="n"/>
    </row>
    <row r="982">
      <c r="B982" s="15">
        <f>IF($C982="","",$D982&amp;"-"&amp;$F982&amp;"-"&amp;$K982)</f>
        <v/>
      </c>
      <c r="C982" s="14" t="n"/>
      <c r="D982" s="15">
        <f>IF($C982="","",IFERROR(INDEX(rngCadetPIDs,MATCH($C982,rngCadetNames,0)),"?"))</f>
        <v/>
      </c>
      <c r="E982" s="15">
        <f>IF($D982="","",IFERROR(INDEX(nrCadetAgency,MATCH($D982,rngCadetPIDs,0)),""))</f>
        <v/>
      </c>
      <c r="F982" s="14" t="n"/>
      <c r="G982" s="15">
        <f>IF($F982="","",IFERROR(INDEX(rngEPname,MATCH($F982,rngEPcode,0)),"?"))</f>
        <v/>
      </c>
      <c r="H982" s="15">
        <f>IF($F982="","",IFERROR(INDEX(rngEPtype,MATCH($F982,rngEPcode,0)),"?"))</f>
        <v/>
      </c>
      <c r="I982" s="15">
        <f>IF($F982="","",IFERROR(INDEX(rngEPseq,MATCH($F982,rngEPcode,0)),""))</f>
        <v/>
      </c>
      <c r="J982" s="15">
        <f>IF($F982="","",IFERROR(INDEX(rngEPpass,MATCH($F982,rngEPcode,0)),cfgPassingScore))</f>
        <v/>
      </c>
      <c r="K982" s="14" t="n"/>
      <c r="L982" s="14" t="n"/>
      <c r="M982" s="15">
        <f>IF($C982="","",IF($L982="","",IF($K982=1,IF(COUNTIFS(nrES_PID,$D982,nrES_Code,$F982,nrES_Att,2)&gt;0,"",$L982),IF(COUNTIFS(nrES_PID,$D982,nrES_Code,$F982,nrES_Att,1)=0,$L982,IF($L982&gt;=$J982,cfgRetakeRecordedCap,SUMIFS(nrES_Raw,nrES_PID,$D982,nrES_Code,$F982,nrES_Att,1))))))</f>
        <v/>
      </c>
      <c r="N982" s="15">
        <f>IF($C982="","",IF($L982="","",IF($L982&gt;=$J982,"Yes","No")))</f>
        <v/>
      </c>
      <c r="O982" s="15">
        <f>IF($C982="","",IF($M982="","",IF($M982&gt;=$J982,"Yes","No")))</f>
        <v/>
      </c>
      <c r="P982" s="15">
        <f>IF($C982="","",IF($K982="","",IF(COUNTIFS(nrES_PID,$D982,nrES_Code,$F982,nrES_Att,"&gt;"&amp;$K982)=0,"Yes","No")))</f>
        <v/>
      </c>
      <c r="Q982" s="15">
        <f>IF($C982="","",IF($L982="","",IF(AND($K982=1,$L982&lt;$J982,COUNTIFS(nrES_PID,$D982,nrES_Code,$F982,nrES_Att,2)=0),"Yes","No")))</f>
        <v/>
      </c>
      <c r="R982" s="15">
        <f>IF($C982="","",IF($L982="","",IF(AND($K982=2,$L982&lt;$J982,COUNTIFS(nrES_PID,$D982,nrES_Code,$F982,nrES_Att,1)&gt;0),"Yes","No")))</f>
        <v/>
      </c>
      <c r="S982" s="16" t="n"/>
      <c r="T982" s="17">
        <f>IF($Q982&lt;&gt;"Yes","",IF($S982="","(enter date)",_xlfn.LET(_xlpm.dn,IFERROR(_xlfn.XLOOKUP($S982,nrCDdate,nrCDnum),""),IF(_xlpm.dn="","(not a class day)",IFERROR(_xlfn.XLOOKUP(_xlpm.dn+cfgRetestClassDays,nrCDnum,nrCDdate),"")))))</f>
        <v/>
      </c>
      <c r="U982" s="15">
        <f>IF($Q982&lt;&gt;"Yes","",IF(COUNTIFS(nrES_PID,$D982,nrES_Code,$F982,nrES_Att,2)&gt;0,"Retested",IF(OR($T982="",NOT(ISNUMBER($T982))),"Pending",IF(TODAY()&gt;$T982,"OVERDUE","Due "&amp;TEXT($T982,"mm/dd")))))</f>
        <v/>
      </c>
      <c r="V982" s="14" t="n"/>
      <c r="W982" s="14" t="n"/>
    </row>
    <row r="983">
      <c r="B983" s="15">
        <f>IF($C983="","",$D983&amp;"-"&amp;$F983&amp;"-"&amp;$K983)</f>
        <v/>
      </c>
      <c r="C983" s="14" t="n"/>
      <c r="D983" s="15">
        <f>IF($C983="","",IFERROR(INDEX(rngCadetPIDs,MATCH($C983,rngCadetNames,0)),"?"))</f>
        <v/>
      </c>
      <c r="E983" s="15">
        <f>IF($D983="","",IFERROR(INDEX(nrCadetAgency,MATCH($D983,rngCadetPIDs,0)),""))</f>
        <v/>
      </c>
      <c r="F983" s="14" t="n"/>
      <c r="G983" s="15">
        <f>IF($F983="","",IFERROR(INDEX(rngEPname,MATCH($F983,rngEPcode,0)),"?"))</f>
        <v/>
      </c>
      <c r="H983" s="15">
        <f>IF($F983="","",IFERROR(INDEX(rngEPtype,MATCH($F983,rngEPcode,0)),"?"))</f>
        <v/>
      </c>
      <c r="I983" s="15">
        <f>IF($F983="","",IFERROR(INDEX(rngEPseq,MATCH($F983,rngEPcode,0)),""))</f>
        <v/>
      </c>
      <c r="J983" s="15">
        <f>IF($F983="","",IFERROR(INDEX(rngEPpass,MATCH($F983,rngEPcode,0)),cfgPassingScore))</f>
        <v/>
      </c>
      <c r="K983" s="14" t="n"/>
      <c r="L983" s="14" t="n"/>
      <c r="M983" s="15">
        <f>IF($C983="","",IF($L983="","",IF($K983=1,IF(COUNTIFS(nrES_PID,$D983,nrES_Code,$F983,nrES_Att,2)&gt;0,"",$L983),IF(COUNTIFS(nrES_PID,$D983,nrES_Code,$F983,nrES_Att,1)=0,$L983,IF($L983&gt;=$J983,cfgRetakeRecordedCap,SUMIFS(nrES_Raw,nrES_PID,$D983,nrES_Code,$F983,nrES_Att,1))))))</f>
        <v/>
      </c>
      <c r="N983" s="15">
        <f>IF($C983="","",IF($L983="","",IF($L983&gt;=$J983,"Yes","No")))</f>
        <v/>
      </c>
      <c r="O983" s="15">
        <f>IF($C983="","",IF($M983="","",IF($M983&gt;=$J983,"Yes","No")))</f>
        <v/>
      </c>
      <c r="P983" s="15">
        <f>IF($C983="","",IF($K983="","",IF(COUNTIFS(nrES_PID,$D983,nrES_Code,$F983,nrES_Att,"&gt;"&amp;$K983)=0,"Yes","No")))</f>
        <v/>
      </c>
      <c r="Q983" s="15">
        <f>IF($C983="","",IF($L983="","",IF(AND($K983=1,$L983&lt;$J983,COUNTIFS(nrES_PID,$D983,nrES_Code,$F983,nrES_Att,2)=0),"Yes","No")))</f>
        <v/>
      </c>
      <c r="R983" s="15">
        <f>IF($C983="","",IF($L983="","",IF(AND($K983=2,$L983&lt;$J983,COUNTIFS(nrES_PID,$D983,nrES_Code,$F983,nrES_Att,1)&gt;0),"Yes","No")))</f>
        <v/>
      </c>
      <c r="S983" s="16" t="n"/>
      <c r="T983" s="17">
        <f>IF($Q983&lt;&gt;"Yes","",IF($S983="","(enter date)",_xlfn.LET(_xlpm.dn,IFERROR(_xlfn.XLOOKUP($S983,nrCDdate,nrCDnum),""),IF(_xlpm.dn="","(not a class day)",IFERROR(_xlfn.XLOOKUP(_xlpm.dn+cfgRetestClassDays,nrCDnum,nrCDdate),"")))))</f>
        <v/>
      </c>
      <c r="U983" s="15">
        <f>IF($Q983&lt;&gt;"Yes","",IF(COUNTIFS(nrES_PID,$D983,nrES_Code,$F983,nrES_Att,2)&gt;0,"Retested",IF(OR($T983="",NOT(ISNUMBER($T983))),"Pending",IF(TODAY()&gt;$T983,"OVERDUE","Due "&amp;TEXT($T983,"mm/dd")))))</f>
        <v/>
      </c>
      <c r="V983" s="14" t="n"/>
      <c r="W983" s="14" t="n"/>
    </row>
    <row r="984">
      <c r="B984" s="15">
        <f>IF($C984="","",$D984&amp;"-"&amp;$F984&amp;"-"&amp;$K984)</f>
        <v/>
      </c>
      <c r="C984" s="14" t="n"/>
      <c r="D984" s="15">
        <f>IF($C984="","",IFERROR(INDEX(rngCadetPIDs,MATCH($C984,rngCadetNames,0)),"?"))</f>
        <v/>
      </c>
      <c r="E984" s="15">
        <f>IF($D984="","",IFERROR(INDEX(nrCadetAgency,MATCH($D984,rngCadetPIDs,0)),""))</f>
        <v/>
      </c>
      <c r="F984" s="14" t="n"/>
      <c r="G984" s="15">
        <f>IF($F984="","",IFERROR(INDEX(rngEPname,MATCH($F984,rngEPcode,0)),"?"))</f>
        <v/>
      </c>
      <c r="H984" s="15">
        <f>IF($F984="","",IFERROR(INDEX(rngEPtype,MATCH($F984,rngEPcode,0)),"?"))</f>
        <v/>
      </c>
      <c r="I984" s="15">
        <f>IF($F984="","",IFERROR(INDEX(rngEPseq,MATCH($F984,rngEPcode,0)),""))</f>
        <v/>
      </c>
      <c r="J984" s="15">
        <f>IF($F984="","",IFERROR(INDEX(rngEPpass,MATCH($F984,rngEPcode,0)),cfgPassingScore))</f>
        <v/>
      </c>
      <c r="K984" s="14" t="n"/>
      <c r="L984" s="14" t="n"/>
      <c r="M984" s="15">
        <f>IF($C984="","",IF($L984="","",IF($K984=1,IF(COUNTIFS(nrES_PID,$D984,nrES_Code,$F984,nrES_Att,2)&gt;0,"",$L984),IF(COUNTIFS(nrES_PID,$D984,nrES_Code,$F984,nrES_Att,1)=0,$L984,IF($L984&gt;=$J984,cfgRetakeRecordedCap,SUMIFS(nrES_Raw,nrES_PID,$D984,nrES_Code,$F984,nrES_Att,1))))))</f>
        <v/>
      </c>
      <c r="N984" s="15">
        <f>IF($C984="","",IF($L984="","",IF($L984&gt;=$J984,"Yes","No")))</f>
        <v/>
      </c>
      <c r="O984" s="15">
        <f>IF($C984="","",IF($M984="","",IF($M984&gt;=$J984,"Yes","No")))</f>
        <v/>
      </c>
      <c r="P984" s="15">
        <f>IF($C984="","",IF($K984="","",IF(COUNTIFS(nrES_PID,$D984,nrES_Code,$F984,nrES_Att,"&gt;"&amp;$K984)=0,"Yes","No")))</f>
        <v/>
      </c>
      <c r="Q984" s="15">
        <f>IF($C984="","",IF($L984="","",IF(AND($K984=1,$L984&lt;$J984,COUNTIFS(nrES_PID,$D984,nrES_Code,$F984,nrES_Att,2)=0),"Yes","No")))</f>
        <v/>
      </c>
      <c r="R984" s="15">
        <f>IF($C984="","",IF($L984="","",IF(AND($K984=2,$L984&lt;$J984,COUNTIFS(nrES_PID,$D984,nrES_Code,$F984,nrES_Att,1)&gt;0),"Yes","No")))</f>
        <v/>
      </c>
      <c r="S984" s="16" t="n"/>
      <c r="T984" s="17">
        <f>IF($Q984&lt;&gt;"Yes","",IF($S984="","(enter date)",_xlfn.LET(_xlpm.dn,IFERROR(_xlfn.XLOOKUP($S984,nrCDdate,nrCDnum),""),IF(_xlpm.dn="","(not a class day)",IFERROR(_xlfn.XLOOKUP(_xlpm.dn+cfgRetestClassDays,nrCDnum,nrCDdate),"")))))</f>
        <v/>
      </c>
      <c r="U984" s="15">
        <f>IF($Q984&lt;&gt;"Yes","",IF(COUNTIFS(nrES_PID,$D984,nrES_Code,$F984,nrES_Att,2)&gt;0,"Retested",IF(OR($T984="",NOT(ISNUMBER($T984))),"Pending",IF(TODAY()&gt;$T984,"OVERDUE","Due "&amp;TEXT($T984,"mm/dd")))))</f>
        <v/>
      </c>
      <c r="V984" s="14" t="n"/>
      <c r="W984" s="14" t="n"/>
    </row>
    <row r="985">
      <c r="B985" s="15">
        <f>IF($C985="","",$D985&amp;"-"&amp;$F985&amp;"-"&amp;$K985)</f>
        <v/>
      </c>
      <c r="C985" s="14" t="n"/>
      <c r="D985" s="15">
        <f>IF($C985="","",IFERROR(INDEX(rngCadetPIDs,MATCH($C985,rngCadetNames,0)),"?"))</f>
        <v/>
      </c>
      <c r="E985" s="15">
        <f>IF($D985="","",IFERROR(INDEX(nrCadetAgency,MATCH($D985,rngCadetPIDs,0)),""))</f>
        <v/>
      </c>
      <c r="F985" s="14" t="n"/>
      <c r="G985" s="15">
        <f>IF($F985="","",IFERROR(INDEX(rngEPname,MATCH($F985,rngEPcode,0)),"?"))</f>
        <v/>
      </c>
      <c r="H985" s="15">
        <f>IF($F985="","",IFERROR(INDEX(rngEPtype,MATCH($F985,rngEPcode,0)),"?"))</f>
        <v/>
      </c>
      <c r="I985" s="15">
        <f>IF($F985="","",IFERROR(INDEX(rngEPseq,MATCH($F985,rngEPcode,0)),""))</f>
        <v/>
      </c>
      <c r="J985" s="15">
        <f>IF($F985="","",IFERROR(INDEX(rngEPpass,MATCH($F985,rngEPcode,0)),cfgPassingScore))</f>
        <v/>
      </c>
      <c r="K985" s="14" t="n"/>
      <c r="L985" s="14" t="n"/>
      <c r="M985" s="15">
        <f>IF($C985="","",IF($L985="","",IF($K985=1,IF(COUNTIFS(nrES_PID,$D985,nrES_Code,$F985,nrES_Att,2)&gt;0,"",$L985),IF(COUNTIFS(nrES_PID,$D985,nrES_Code,$F985,nrES_Att,1)=0,$L985,IF($L985&gt;=$J985,cfgRetakeRecordedCap,SUMIFS(nrES_Raw,nrES_PID,$D985,nrES_Code,$F985,nrES_Att,1))))))</f>
        <v/>
      </c>
      <c r="N985" s="15">
        <f>IF($C985="","",IF($L985="","",IF($L985&gt;=$J985,"Yes","No")))</f>
        <v/>
      </c>
      <c r="O985" s="15">
        <f>IF($C985="","",IF($M985="","",IF($M985&gt;=$J985,"Yes","No")))</f>
        <v/>
      </c>
      <c r="P985" s="15">
        <f>IF($C985="","",IF($K985="","",IF(COUNTIFS(nrES_PID,$D985,nrES_Code,$F985,nrES_Att,"&gt;"&amp;$K985)=0,"Yes","No")))</f>
        <v/>
      </c>
      <c r="Q985" s="15">
        <f>IF($C985="","",IF($L985="","",IF(AND($K985=1,$L985&lt;$J985,COUNTIFS(nrES_PID,$D985,nrES_Code,$F985,nrES_Att,2)=0),"Yes","No")))</f>
        <v/>
      </c>
      <c r="R985" s="15">
        <f>IF($C985="","",IF($L985="","",IF(AND($K985=2,$L985&lt;$J985,COUNTIFS(nrES_PID,$D985,nrES_Code,$F985,nrES_Att,1)&gt;0),"Yes","No")))</f>
        <v/>
      </c>
      <c r="S985" s="16" t="n"/>
      <c r="T985" s="17">
        <f>IF($Q985&lt;&gt;"Yes","",IF($S985="","(enter date)",_xlfn.LET(_xlpm.dn,IFERROR(_xlfn.XLOOKUP($S985,nrCDdate,nrCDnum),""),IF(_xlpm.dn="","(not a class day)",IFERROR(_xlfn.XLOOKUP(_xlpm.dn+cfgRetestClassDays,nrCDnum,nrCDdate),"")))))</f>
        <v/>
      </c>
      <c r="U985" s="15">
        <f>IF($Q985&lt;&gt;"Yes","",IF(COUNTIFS(nrES_PID,$D985,nrES_Code,$F985,nrES_Att,2)&gt;0,"Retested",IF(OR($T985="",NOT(ISNUMBER($T985))),"Pending",IF(TODAY()&gt;$T985,"OVERDUE","Due "&amp;TEXT($T985,"mm/dd")))))</f>
        <v/>
      </c>
      <c r="V985" s="14" t="n"/>
      <c r="W985" s="14" t="n"/>
    </row>
    <row r="986">
      <c r="B986" s="15">
        <f>IF($C986="","",$D986&amp;"-"&amp;$F986&amp;"-"&amp;$K986)</f>
        <v/>
      </c>
      <c r="C986" s="14" t="n"/>
      <c r="D986" s="15">
        <f>IF($C986="","",IFERROR(INDEX(rngCadetPIDs,MATCH($C986,rngCadetNames,0)),"?"))</f>
        <v/>
      </c>
      <c r="E986" s="15">
        <f>IF($D986="","",IFERROR(INDEX(nrCadetAgency,MATCH($D986,rngCadetPIDs,0)),""))</f>
        <v/>
      </c>
      <c r="F986" s="14" t="n"/>
      <c r="G986" s="15">
        <f>IF($F986="","",IFERROR(INDEX(rngEPname,MATCH($F986,rngEPcode,0)),"?"))</f>
        <v/>
      </c>
      <c r="H986" s="15">
        <f>IF($F986="","",IFERROR(INDEX(rngEPtype,MATCH($F986,rngEPcode,0)),"?"))</f>
        <v/>
      </c>
      <c r="I986" s="15">
        <f>IF($F986="","",IFERROR(INDEX(rngEPseq,MATCH($F986,rngEPcode,0)),""))</f>
        <v/>
      </c>
      <c r="J986" s="15">
        <f>IF($F986="","",IFERROR(INDEX(rngEPpass,MATCH($F986,rngEPcode,0)),cfgPassingScore))</f>
        <v/>
      </c>
      <c r="K986" s="14" t="n"/>
      <c r="L986" s="14" t="n"/>
      <c r="M986" s="15">
        <f>IF($C986="","",IF($L986="","",IF($K986=1,IF(COUNTIFS(nrES_PID,$D986,nrES_Code,$F986,nrES_Att,2)&gt;0,"",$L986),IF(COUNTIFS(nrES_PID,$D986,nrES_Code,$F986,nrES_Att,1)=0,$L986,IF($L986&gt;=$J986,cfgRetakeRecordedCap,SUMIFS(nrES_Raw,nrES_PID,$D986,nrES_Code,$F986,nrES_Att,1))))))</f>
        <v/>
      </c>
      <c r="N986" s="15">
        <f>IF($C986="","",IF($L986="","",IF($L986&gt;=$J986,"Yes","No")))</f>
        <v/>
      </c>
      <c r="O986" s="15">
        <f>IF($C986="","",IF($M986="","",IF($M986&gt;=$J986,"Yes","No")))</f>
        <v/>
      </c>
      <c r="P986" s="15">
        <f>IF($C986="","",IF($K986="","",IF(COUNTIFS(nrES_PID,$D986,nrES_Code,$F986,nrES_Att,"&gt;"&amp;$K986)=0,"Yes","No")))</f>
        <v/>
      </c>
      <c r="Q986" s="15">
        <f>IF($C986="","",IF($L986="","",IF(AND($K986=1,$L986&lt;$J986,COUNTIFS(nrES_PID,$D986,nrES_Code,$F986,nrES_Att,2)=0),"Yes","No")))</f>
        <v/>
      </c>
      <c r="R986" s="15">
        <f>IF($C986="","",IF($L986="","",IF(AND($K986=2,$L986&lt;$J986,COUNTIFS(nrES_PID,$D986,nrES_Code,$F986,nrES_Att,1)&gt;0),"Yes","No")))</f>
        <v/>
      </c>
      <c r="S986" s="16" t="n"/>
      <c r="T986" s="17">
        <f>IF($Q986&lt;&gt;"Yes","",IF($S986="","(enter date)",_xlfn.LET(_xlpm.dn,IFERROR(_xlfn.XLOOKUP($S986,nrCDdate,nrCDnum),""),IF(_xlpm.dn="","(not a class day)",IFERROR(_xlfn.XLOOKUP(_xlpm.dn+cfgRetestClassDays,nrCDnum,nrCDdate),"")))))</f>
        <v/>
      </c>
      <c r="U986" s="15">
        <f>IF($Q986&lt;&gt;"Yes","",IF(COUNTIFS(nrES_PID,$D986,nrES_Code,$F986,nrES_Att,2)&gt;0,"Retested",IF(OR($T986="",NOT(ISNUMBER($T986))),"Pending",IF(TODAY()&gt;$T986,"OVERDUE","Due "&amp;TEXT($T986,"mm/dd")))))</f>
        <v/>
      </c>
      <c r="V986" s="14" t="n"/>
      <c r="W986" s="14" t="n"/>
    </row>
    <row r="987">
      <c r="B987" s="15">
        <f>IF($C987="","",$D987&amp;"-"&amp;$F987&amp;"-"&amp;$K987)</f>
        <v/>
      </c>
      <c r="C987" s="14" t="n"/>
      <c r="D987" s="15">
        <f>IF($C987="","",IFERROR(INDEX(rngCadetPIDs,MATCH($C987,rngCadetNames,0)),"?"))</f>
        <v/>
      </c>
      <c r="E987" s="15">
        <f>IF($D987="","",IFERROR(INDEX(nrCadetAgency,MATCH($D987,rngCadetPIDs,0)),""))</f>
        <v/>
      </c>
      <c r="F987" s="14" t="n"/>
      <c r="G987" s="15">
        <f>IF($F987="","",IFERROR(INDEX(rngEPname,MATCH($F987,rngEPcode,0)),"?"))</f>
        <v/>
      </c>
      <c r="H987" s="15">
        <f>IF($F987="","",IFERROR(INDEX(rngEPtype,MATCH($F987,rngEPcode,0)),"?"))</f>
        <v/>
      </c>
      <c r="I987" s="15">
        <f>IF($F987="","",IFERROR(INDEX(rngEPseq,MATCH($F987,rngEPcode,0)),""))</f>
        <v/>
      </c>
      <c r="J987" s="15">
        <f>IF($F987="","",IFERROR(INDEX(rngEPpass,MATCH($F987,rngEPcode,0)),cfgPassingScore))</f>
        <v/>
      </c>
      <c r="K987" s="14" t="n"/>
      <c r="L987" s="14" t="n"/>
      <c r="M987" s="15">
        <f>IF($C987="","",IF($L987="","",IF($K987=1,IF(COUNTIFS(nrES_PID,$D987,nrES_Code,$F987,nrES_Att,2)&gt;0,"",$L987),IF(COUNTIFS(nrES_PID,$D987,nrES_Code,$F987,nrES_Att,1)=0,$L987,IF($L987&gt;=$J987,cfgRetakeRecordedCap,SUMIFS(nrES_Raw,nrES_PID,$D987,nrES_Code,$F987,nrES_Att,1))))))</f>
        <v/>
      </c>
      <c r="N987" s="15">
        <f>IF($C987="","",IF($L987="","",IF($L987&gt;=$J987,"Yes","No")))</f>
        <v/>
      </c>
      <c r="O987" s="15">
        <f>IF($C987="","",IF($M987="","",IF($M987&gt;=$J987,"Yes","No")))</f>
        <v/>
      </c>
      <c r="P987" s="15">
        <f>IF($C987="","",IF($K987="","",IF(COUNTIFS(nrES_PID,$D987,nrES_Code,$F987,nrES_Att,"&gt;"&amp;$K987)=0,"Yes","No")))</f>
        <v/>
      </c>
      <c r="Q987" s="15">
        <f>IF($C987="","",IF($L987="","",IF(AND($K987=1,$L987&lt;$J987,COUNTIFS(nrES_PID,$D987,nrES_Code,$F987,nrES_Att,2)=0),"Yes","No")))</f>
        <v/>
      </c>
      <c r="R987" s="15">
        <f>IF($C987="","",IF($L987="","",IF(AND($K987=2,$L987&lt;$J987,COUNTIFS(nrES_PID,$D987,nrES_Code,$F987,nrES_Att,1)&gt;0),"Yes","No")))</f>
        <v/>
      </c>
      <c r="S987" s="16" t="n"/>
      <c r="T987" s="17">
        <f>IF($Q987&lt;&gt;"Yes","",IF($S987="","(enter date)",_xlfn.LET(_xlpm.dn,IFERROR(_xlfn.XLOOKUP($S987,nrCDdate,nrCDnum),""),IF(_xlpm.dn="","(not a class day)",IFERROR(_xlfn.XLOOKUP(_xlpm.dn+cfgRetestClassDays,nrCDnum,nrCDdate),"")))))</f>
        <v/>
      </c>
      <c r="U987" s="15">
        <f>IF($Q987&lt;&gt;"Yes","",IF(COUNTIFS(nrES_PID,$D987,nrES_Code,$F987,nrES_Att,2)&gt;0,"Retested",IF(OR($T987="",NOT(ISNUMBER($T987))),"Pending",IF(TODAY()&gt;$T987,"OVERDUE","Due "&amp;TEXT($T987,"mm/dd")))))</f>
        <v/>
      </c>
      <c r="V987" s="14" t="n"/>
      <c r="W987" s="14" t="n"/>
    </row>
    <row r="988">
      <c r="B988" s="15">
        <f>IF($C988="","",$D988&amp;"-"&amp;$F988&amp;"-"&amp;$K988)</f>
        <v/>
      </c>
      <c r="C988" s="14" t="n"/>
      <c r="D988" s="15">
        <f>IF($C988="","",IFERROR(INDEX(rngCadetPIDs,MATCH($C988,rngCadetNames,0)),"?"))</f>
        <v/>
      </c>
      <c r="E988" s="15">
        <f>IF($D988="","",IFERROR(INDEX(nrCadetAgency,MATCH($D988,rngCadetPIDs,0)),""))</f>
        <v/>
      </c>
      <c r="F988" s="14" t="n"/>
      <c r="G988" s="15">
        <f>IF($F988="","",IFERROR(INDEX(rngEPname,MATCH($F988,rngEPcode,0)),"?"))</f>
        <v/>
      </c>
      <c r="H988" s="15">
        <f>IF($F988="","",IFERROR(INDEX(rngEPtype,MATCH($F988,rngEPcode,0)),"?"))</f>
        <v/>
      </c>
      <c r="I988" s="15">
        <f>IF($F988="","",IFERROR(INDEX(rngEPseq,MATCH($F988,rngEPcode,0)),""))</f>
        <v/>
      </c>
      <c r="J988" s="15">
        <f>IF($F988="","",IFERROR(INDEX(rngEPpass,MATCH($F988,rngEPcode,0)),cfgPassingScore))</f>
        <v/>
      </c>
      <c r="K988" s="14" t="n"/>
      <c r="L988" s="14" t="n"/>
      <c r="M988" s="15">
        <f>IF($C988="","",IF($L988="","",IF($K988=1,IF(COUNTIFS(nrES_PID,$D988,nrES_Code,$F988,nrES_Att,2)&gt;0,"",$L988),IF(COUNTIFS(nrES_PID,$D988,nrES_Code,$F988,nrES_Att,1)=0,$L988,IF($L988&gt;=$J988,cfgRetakeRecordedCap,SUMIFS(nrES_Raw,nrES_PID,$D988,nrES_Code,$F988,nrES_Att,1))))))</f>
        <v/>
      </c>
      <c r="N988" s="15">
        <f>IF($C988="","",IF($L988="","",IF($L988&gt;=$J988,"Yes","No")))</f>
        <v/>
      </c>
      <c r="O988" s="15">
        <f>IF($C988="","",IF($M988="","",IF($M988&gt;=$J988,"Yes","No")))</f>
        <v/>
      </c>
      <c r="P988" s="15">
        <f>IF($C988="","",IF($K988="","",IF(COUNTIFS(nrES_PID,$D988,nrES_Code,$F988,nrES_Att,"&gt;"&amp;$K988)=0,"Yes","No")))</f>
        <v/>
      </c>
      <c r="Q988" s="15">
        <f>IF($C988="","",IF($L988="","",IF(AND($K988=1,$L988&lt;$J988,COUNTIFS(nrES_PID,$D988,nrES_Code,$F988,nrES_Att,2)=0),"Yes","No")))</f>
        <v/>
      </c>
      <c r="R988" s="15">
        <f>IF($C988="","",IF($L988="","",IF(AND($K988=2,$L988&lt;$J988,COUNTIFS(nrES_PID,$D988,nrES_Code,$F988,nrES_Att,1)&gt;0),"Yes","No")))</f>
        <v/>
      </c>
      <c r="S988" s="16" t="n"/>
      <c r="T988" s="17">
        <f>IF($Q988&lt;&gt;"Yes","",IF($S988="","(enter date)",_xlfn.LET(_xlpm.dn,IFERROR(_xlfn.XLOOKUP($S988,nrCDdate,nrCDnum),""),IF(_xlpm.dn="","(not a class day)",IFERROR(_xlfn.XLOOKUP(_xlpm.dn+cfgRetestClassDays,nrCDnum,nrCDdate),"")))))</f>
        <v/>
      </c>
      <c r="U988" s="15">
        <f>IF($Q988&lt;&gt;"Yes","",IF(COUNTIFS(nrES_PID,$D988,nrES_Code,$F988,nrES_Att,2)&gt;0,"Retested",IF(OR($T988="",NOT(ISNUMBER($T988))),"Pending",IF(TODAY()&gt;$T988,"OVERDUE","Due "&amp;TEXT($T988,"mm/dd")))))</f>
        <v/>
      </c>
      <c r="V988" s="14" t="n"/>
      <c r="W988" s="14" t="n"/>
    </row>
    <row r="989">
      <c r="B989" s="15">
        <f>IF($C989="","",$D989&amp;"-"&amp;$F989&amp;"-"&amp;$K989)</f>
        <v/>
      </c>
      <c r="C989" s="14" t="n"/>
      <c r="D989" s="15">
        <f>IF($C989="","",IFERROR(INDEX(rngCadetPIDs,MATCH($C989,rngCadetNames,0)),"?"))</f>
        <v/>
      </c>
      <c r="E989" s="15">
        <f>IF($D989="","",IFERROR(INDEX(nrCadetAgency,MATCH($D989,rngCadetPIDs,0)),""))</f>
        <v/>
      </c>
      <c r="F989" s="14" t="n"/>
      <c r="G989" s="15">
        <f>IF($F989="","",IFERROR(INDEX(rngEPname,MATCH($F989,rngEPcode,0)),"?"))</f>
        <v/>
      </c>
      <c r="H989" s="15">
        <f>IF($F989="","",IFERROR(INDEX(rngEPtype,MATCH($F989,rngEPcode,0)),"?"))</f>
        <v/>
      </c>
      <c r="I989" s="15">
        <f>IF($F989="","",IFERROR(INDEX(rngEPseq,MATCH($F989,rngEPcode,0)),""))</f>
        <v/>
      </c>
      <c r="J989" s="15">
        <f>IF($F989="","",IFERROR(INDEX(rngEPpass,MATCH($F989,rngEPcode,0)),cfgPassingScore))</f>
        <v/>
      </c>
      <c r="K989" s="14" t="n"/>
      <c r="L989" s="14" t="n"/>
      <c r="M989" s="15">
        <f>IF($C989="","",IF($L989="","",IF($K989=1,IF(COUNTIFS(nrES_PID,$D989,nrES_Code,$F989,nrES_Att,2)&gt;0,"",$L989),IF(COUNTIFS(nrES_PID,$D989,nrES_Code,$F989,nrES_Att,1)=0,$L989,IF($L989&gt;=$J989,cfgRetakeRecordedCap,SUMIFS(nrES_Raw,nrES_PID,$D989,nrES_Code,$F989,nrES_Att,1))))))</f>
        <v/>
      </c>
      <c r="N989" s="15">
        <f>IF($C989="","",IF($L989="","",IF($L989&gt;=$J989,"Yes","No")))</f>
        <v/>
      </c>
      <c r="O989" s="15">
        <f>IF($C989="","",IF($M989="","",IF($M989&gt;=$J989,"Yes","No")))</f>
        <v/>
      </c>
      <c r="P989" s="15">
        <f>IF($C989="","",IF($K989="","",IF(COUNTIFS(nrES_PID,$D989,nrES_Code,$F989,nrES_Att,"&gt;"&amp;$K989)=0,"Yes","No")))</f>
        <v/>
      </c>
      <c r="Q989" s="15">
        <f>IF($C989="","",IF($L989="","",IF(AND($K989=1,$L989&lt;$J989,COUNTIFS(nrES_PID,$D989,nrES_Code,$F989,nrES_Att,2)=0),"Yes","No")))</f>
        <v/>
      </c>
      <c r="R989" s="15">
        <f>IF($C989="","",IF($L989="","",IF(AND($K989=2,$L989&lt;$J989,COUNTIFS(nrES_PID,$D989,nrES_Code,$F989,nrES_Att,1)&gt;0),"Yes","No")))</f>
        <v/>
      </c>
      <c r="S989" s="16" t="n"/>
      <c r="T989" s="17">
        <f>IF($Q989&lt;&gt;"Yes","",IF($S989="","(enter date)",_xlfn.LET(_xlpm.dn,IFERROR(_xlfn.XLOOKUP($S989,nrCDdate,nrCDnum),""),IF(_xlpm.dn="","(not a class day)",IFERROR(_xlfn.XLOOKUP(_xlpm.dn+cfgRetestClassDays,nrCDnum,nrCDdate),"")))))</f>
        <v/>
      </c>
      <c r="U989" s="15">
        <f>IF($Q989&lt;&gt;"Yes","",IF(COUNTIFS(nrES_PID,$D989,nrES_Code,$F989,nrES_Att,2)&gt;0,"Retested",IF(OR($T989="",NOT(ISNUMBER($T989))),"Pending",IF(TODAY()&gt;$T989,"OVERDUE","Due "&amp;TEXT($T989,"mm/dd")))))</f>
        <v/>
      </c>
      <c r="V989" s="14" t="n"/>
      <c r="W989" s="14" t="n"/>
    </row>
    <row r="990">
      <c r="B990" s="15">
        <f>IF($C990="","",$D990&amp;"-"&amp;$F990&amp;"-"&amp;$K990)</f>
        <v/>
      </c>
      <c r="C990" s="14" t="n"/>
      <c r="D990" s="15">
        <f>IF($C990="","",IFERROR(INDEX(rngCadetPIDs,MATCH($C990,rngCadetNames,0)),"?"))</f>
        <v/>
      </c>
      <c r="E990" s="15">
        <f>IF($D990="","",IFERROR(INDEX(nrCadetAgency,MATCH($D990,rngCadetPIDs,0)),""))</f>
        <v/>
      </c>
      <c r="F990" s="14" t="n"/>
      <c r="G990" s="15">
        <f>IF($F990="","",IFERROR(INDEX(rngEPname,MATCH($F990,rngEPcode,0)),"?"))</f>
        <v/>
      </c>
      <c r="H990" s="15">
        <f>IF($F990="","",IFERROR(INDEX(rngEPtype,MATCH($F990,rngEPcode,0)),"?"))</f>
        <v/>
      </c>
      <c r="I990" s="15">
        <f>IF($F990="","",IFERROR(INDEX(rngEPseq,MATCH($F990,rngEPcode,0)),""))</f>
        <v/>
      </c>
      <c r="J990" s="15">
        <f>IF($F990="","",IFERROR(INDEX(rngEPpass,MATCH($F990,rngEPcode,0)),cfgPassingScore))</f>
        <v/>
      </c>
      <c r="K990" s="14" t="n"/>
      <c r="L990" s="14" t="n"/>
      <c r="M990" s="15">
        <f>IF($C990="","",IF($L990="","",IF($K990=1,IF(COUNTIFS(nrES_PID,$D990,nrES_Code,$F990,nrES_Att,2)&gt;0,"",$L990),IF(COUNTIFS(nrES_PID,$D990,nrES_Code,$F990,nrES_Att,1)=0,$L990,IF($L990&gt;=$J990,cfgRetakeRecordedCap,SUMIFS(nrES_Raw,nrES_PID,$D990,nrES_Code,$F990,nrES_Att,1))))))</f>
        <v/>
      </c>
      <c r="N990" s="15">
        <f>IF($C990="","",IF($L990="","",IF($L990&gt;=$J990,"Yes","No")))</f>
        <v/>
      </c>
      <c r="O990" s="15">
        <f>IF($C990="","",IF($M990="","",IF($M990&gt;=$J990,"Yes","No")))</f>
        <v/>
      </c>
      <c r="P990" s="15">
        <f>IF($C990="","",IF($K990="","",IF(COUNTIFS(nrES_PID,$D990,nrES_Code,$F990,nrES_Att,"&gt;"&amp;$K990)=0,"Yes","No")))</f>
        <v/>
      </c>
      <c r="Q990" s="15">
        <f>IF($C990="","",IF($L990="","",IF(AND($K990=1,$L990&lt;$J990,COUNTIFS(nrES_PID,$D990,nrES_Code,$F990,nrES_Att,2)=0),"Yes","No")))</f>
        <v/>
      </c>
      <c r="R990" s="15">
        <f>IF($C990="","",IF($L990="","",IF(AND($K990=2,$L990&lt;$J990,COUNTIFS(nrES_PID,$D990,nrES_Code,$F990,nrES_Att,1)&gt;0),"Yes","No")))</f>
        <v/>
      </c>
      <c r="S990" s="16" t="n"/>
      <c r="T990" s="17">
        <f>IF($Q990&lt;&gt;"Yes","",IF($S990="","(enter date)",_xlfn.LET(_xlpm.dn,IFERROR(_xlfn.XLOOKUP($S990,nrCDdate,nrCDnum),""),IF(_xlpm.dn="","(not a class day)",IFERROR(_xlfn.XLOOKUP(_xlpm.dn+cfgRetestClassDays,nrCDnum,nrCDdate),"")))))</f>
        <v/>
      </c>
      <c r="U990" s="15">
        <f>IF($Q990&lt;&gt;"Yes","",IF(COUNTIFS(nrES_PID,$D990,nrES_Code,$F990,nrES_Att,2)&gt;0,"Retested",IF(OR($T990="",NOT(ISNUMBER($T990))),"Pending",IF(TODAY()&gt;$T990,"OVERDUE","Due "&amp;TEXT($T990,"mm/dd")))))</f>
        <v/>
      </c>
      <c r="V990" s="14" t="n"/>
      <c r="W990" s="14" t="n"/>
    </row>
    <row r="991">
      <c r="B991" s="15">
        <f>IF($C991="","",$D991&amp;"-"&amp;$F991&amp;"-"&amp;$K991)</f>
        <v/>
      </c>
      <c r="C991" s="14" t="n"/>
      <c r="D991" s="15">
        <f>IF($C991="","",IFERROR(INDEX(rngCadetPIDs,MATCH($C991,rngCadetNames,0)),"?"))</f>
        <v/>
      </c>
      <c r="E991" s="15">
        <f>IF($D991="","",IFERROR(INDEX(nrCadetAgency,MATCH($D991,rngCadetPIDs,0)),""))</f>
        <v/>
      </c>
      <c r="F991" s="14" t="n"/>
      <c r="G991" s="15">
        <f>IF($F991="","",IFERROR(INDEX(rngEPname,MATCH($F991,rngEPcode,0)),"?"))</f>
        <v/>
      </c>
      <c r="H991" s="15">
        <f>IF($F991="","",IFERROR(INDEX(rngEPtype,MATCH($F991,rngEPcode,0)),"?"))</f>
        <v/>
      </c>
      <c r="I991" s="15">
        <f>IF($F991="","",IFERROR(INDEX(rngEPseq,MATCH($F991,rngEPcode,0)),""))</f>
        <v/>
      </c>
      <c r="J991" s="15">
        <f>IF($F991="","",IFERROR(INDEX(rngEPpass,MATCH($F991,rngEPcode,0)),cfgPassingScore))</f>
        <v/>
      </c>
      <c r="K991" s="14" t="n"/>
      <c r="L991" s="14" t="n"/>
      <c r="M991" s="15">
        <f>IF($C991="","",IF($L991="","",IF($K991=1,IF(COUNTIFS(nrES_PID,$D991,nrES_Code,$F991,nrES_Att,2)&gt;0,"",$L991),IF(COUNTIFS(nrES_PID,$D991,nrES_Code,$F991,nrES_Att,1)=0,$L991,IF($L991&gt;=$J991,cfgRetakeRecordedCap,SUMIFS(nrES_Raw,nrES_PID,$D991,nrES_Code,$F991,nrES_Att,1))))))</f>
        <v/>
      </c>
      <c r="N991" s="15">
        <f>IF($C991="","",IF($L991="","",IF($L991&gt;=$J991,"Yes","No")))</f>
        <v/>
      </c>
      <c r="O991" s="15">
        <f>IF($C991="","",IF($M991="","",IF($M991&gt;=$J991,"Yes","No")))</f>
        <v/>
      </c>
      <c r="P991" s="15">
        <f>IF($C991="","",IF($K991="","",IF(COUNTIFS(nrES_PID,$D991,nrES_Code,$F991,nrES_Att,"&gt;"&amp;$K991)=0,"Yes","No")))</f>
        <v/>
      </c>
      <c r="Q991" s="15">
        <f>IF($C991="","",IF($L991="","",IF(AND($K991=1,$L991&lt;$J991,COUNTIFS(nrES_PID,$D991,nrES_Code,$F991,nrES_Att,2)=0),"Yes","No")))</f>
        <v/>
      </c>
      <c r="R991" s="15">
        <f>IF($C991="","",IF($L991="","",IF(AND($K991=2,$L991&lt;$J991,COUNTIFS(nrES_PID,$D991,nrES_Code,$F991,nrES_Att,1)&gt;0),"Yes","No")))</f>
        <v/>
      </c>
      <c r="S991" s="16" t="n"/>
      <c r="T991" s="17">
        <f>IF($Q991&lt;&gt;"Yes","",IF($S991="","(enter date)",_xlfn.LET(_xlpm.dn,IFERROR(_xlfn.XLOOKUP($S991,nrCDdate,nrCDnum),""),IF(_xlpm.dn="","(not a class day)",IFERROR(_xlfn.XLOOKUP(_xlpm.dn+cfgRetestClassDays,nrCDnum,nrCDdate),"")))))</f>
        <v/>
      </c>
      <c r="U991" s="15">
        <f>IF($Q991&lt;&gt;"Yes","",IF(COUNTIFS(nrES_PID,$D991,nrES_Code,$F991,nrES_Att,2)&gt;0,"Retested",IF(OR($T991="",NOT(ISNUMBER($T991))),"Pending",IF(TODAY()&gt;$T991,"OVERDUE","Due "&amp;TEXT($T991,"mm/dd")))))</f>
        <v/>
      </c>
      <c r="V991" s="14" t="n"/>
      <c r="W991" s="14" t="n"/>
    </row>
    <row r="992">
      <c r="B992" s="15">
        <f>IF($C992="","",$D992&amp;"-"&amp;$F992&amp;"-"&amp;$K992)</f>
        <v/>
      </c>
      <c r="C992" s="14" t="n"/>
      <c r="D992" s="15">
        <f>IF($C992="","",IFERROR(INDEX(rngCadetPIDs,MATCH($C992,rngCadetNames,0)),"?"))</f>
        <v/>
      </c>
      <c r="E992" s="15">
        <f>IF($D992="","",IFERROR(INDEX(nrCadetAgency,MATCH($D992,rngCadetPIDs,0)),""))</f>
        <v/>
      </c>
      <c r="F992" s="14" t="n"/>
      <c r="G992" s="15">
        <f>IF($F992="","",IFERROR(INDEX(rngEPname,MATCH($F992,rngEPcode,0)),"?"))</f>
        <v/>
      </c>
      <c r="H992" s="15">
        <f>IF($F992="","",IFERROR(INDEX(rngEPtype,MATCH($F992,rngEPcode,0)),"?"))</f>
        <v/>
      </c>
      <c r="I992" s="15">
        <f>IF($F992="","",IFERROR(INDEX(rngEPseq,MATCH($F992,rngEPcode,0)),""))</f>
        <v/>
      </c>
      <c r="J992" s="15">
        <f>IF($F992="","",IFERROR(INDEX(rngEPpass,MATCH($F992,rngEPcode,0)),cfgPassingScore))</f>
        <v/>
      </c>
      <c r="K992" s="14" t="n"/>
      <c r="L992" s="14" t="n"/>
      <c r="M992" s="15">
        <f>IF($C992="","",IF($L992="","",IF($K992=1,IF(COUNTIFS(nrES_PID,$D992,nrES_Code,$F992,nrES_Att,2)&gt;0,"",$L992),IF(COUNTIFS(nrES_PID,$D992,nrES_Code,$F992,nrES_Att,1)=0,$L992,IF($L992&gt;=$J992,cfgRetakeRecordedCap,SUMIFS(nrES_Raw,nrES_PID,$D992,nrES_Code,$F992,nrES_Att,1))))))</f>
        <v/>
      </c>
      <c r="N992" s="15">
        <f>IF($C992="","",IF($L992="","",IF($L992&gt;=$J992,"Yes","No")))</f>
        <v/>
      </c>
      <c r="O992" s="15">
        <f>IF($C992="","",IF($M992="","",IF($M992&gt;=$J992,"Yes","No")))</f>
        <v/>
      </c>
      <c r="P992" s="15">
        <f>IF($C992="","",IF($K992="","",IF(COUNTIFS(nrES_PID,$D992,nrES_Code,$F992,nrES_Att,"&gt;"&amp;$K992)=0,"Yes","No")))</f>
        <v/>
      </c>
      <c r="Q992" s="15">
        <f>IF($C992="","",IF($L992="","",IF(AND($K992=1,$L992&lt;$J992,COUNTIFS(nrES_PID,$D992,nrES_Code,$F992,nrES_Att,2)=0),"Yes","No")))</f>
        <v/>
      </c>
      <c r="R992" s="15">
        <f>IF($C992="","",IF($L992="","",IF(AND($K992=2,$L992&lt;$J992,COUNTIFS(nrES_PID,$D992,nrES_Code,$F992,nrES_Att,1)&gt;0),"Yes","No")))</f>
        <v/>
      </c>
      <c r="S992" s="16" t="n"/>
      <c r="T992" s="17">
        <f>IF($Q992&lt;&gt;"Yes","",IF($S992="","(enter date)",_xlfn.LET(_xlpm.dn,IFERROR(_xlfn.XLOOKUP($S992,nrCDdate,nrCDnum),""),IF(_xlpm.dn="","(not a class day)",IFERROR(_xlfn.XLOOKUP(_xlpm.dn+cfgRetestClassDays,nrCDnum,nrCDdate),"")))))</f>
        <v/>
      </c>
      <c r="U992" s="15">
        <f>IF($Q992&lt;&gt;"Yes","",IF(COUNTIFS(nrES_PID,$D992,nrES_Code,$F992,nrES_Att,2)&gt;0,"Retested",IF(OR($T992="",NOT(ISNUMBER($T992))),"Pending",IF(TODAY()&gt;$T992,"OVERDUE","Due "&amp;TEXT($T992,"mm/dd")))))</f>
        <v/>
      </c>
      <c r="V992" s="14" t="n"/>
      <c r="W992" s="14" t="n"/>
    </row>
    <row r="993">
      <c r="B993" s="15">
        <f>IF($C993="","",$D993&amp;"-"&amp;$F993&amp;"-"&amp;$K993)</f>
        <v/>
      </c>
      <c r="C993" s="14" t="n"/>
      <c r="D993" s="15">
        <f>IF($C993="","",IFERROR(INDEX(rngCadetPIDs,MATCH($C993,rngCadetNames,0)),"?"))</f>
        <v/>
      </c>
      <c r="E993" s="15">
        <f>IF($D993="","",IFERROR(INDEX(nrCadetAgency,MATCH($D993,rngCadetPIDs,0)),""))</f>
        <v/>
      </c>
      <c r="F993" s="14" t="n"/>
      <c r="G993" s="15">
        <f>IF($F993="","",IFERROR(INDEX(rngEPname,MATCH($F993,rngEPcode,0)),"?"))</f>
        <v/>
      </c>
      <c r="H993" s="15">
        <f>IF($F993="","",IFERROR(INDEX(rngEPtype,MATCH($F993,rngEPcode,0)),"?"))</f>
        <v/>
      </c>
      <c r="I993" s="15">
        <f>IF($F993="","",IFERROR(INDEX(rngEPseq,MATCH($F993,rngEPcode,0)),""))</f>
        <v/>
      </c>
      <c r="J993" s="15">
        <f>IF($F993="","",IFERROR(INDEX(rngEPpass,MATCH($F993,rngEPcode,0)),cfgPassingScore))</f>
        <v/>
      </c>
      <c r="K993" s="14" t="n"/>
      <c r="L993" s="14" t="n"/>
      <c r="M993" s="15">
        <f>IF($C993="","",IF($L993="","",IF($K993=1,IF(COUNTIFS(nrES_PID,$D993,nrES_Code,$F993,nrES_Att,2)&gt;0,"",$L993),IF(COUNTIFS(nrES_PID,$D993,nrES_Code,$F993,nrES_Att,1)=0,$L993,IF($L993&gt;=$J993,cfgRetakeRecordedCap,SUMIFS(nrES_Raw,nrES_PID,$D993,nrES_Code,$F993,nrES_Att,1))))))</f>
        <v/>
      </c>
      <c r="N993" s="15">
        <f>IF($C993="","",IF($L993="","",IF($L993&gt;=$J993,"Yes","No")))</f>
        <v/>
      </c>
      <c r="O993" s="15">
        <f>IF($C993="","",IF($M993="","",IF($M993&gt;=$J993,"Yes","No")))</f>
        <v/>
      </c>
      <c r="P993" s="15">
        <f>IF($C993="","",IF($K993="","",IF(COUNTIFS(nrES_PID,$D993,nrES_Code,$F993,nrES_Att,"&gt;"&amp;$K993)=0,"Yes","No")))</f>
        <v/>
      </c>
      <c r="Q993" s="15">
        <f>IF($C993="","",IF($L993="","",IF(AND($K993=1,$L993&lt;$J993,COUNTIFS(nrES_PID,$D993,nrES_Code,$F993,nrES_Att,2)=0),"Yes","No")))</f>
        <v/>
      </c>
      <c r="R993" s="15">
        <f>IF($C993="","",IF($L993="","",IF(AND($K993=2,$L993&lt;$J993,COUNTIFS(nrES_PID,$D993,nrES_Code,$F993,nrES_Att,1)&gt;0),"Yes","No")))</f>
        <v/>
      </c>
      <c r="S993" s="16" t="n"/>
      <c r="T993" s="17">
        <f>IF($Q993&lt;&gt;"Yes","",IF($S993="","(enter date)",_xlfn.LET(_xlpm.dn,IFERROR(_xlfn.XLOOKUP($S993,nrCDdate,nrCDnum),""),IF(_xlpm.dn="","(not a class day)",IFERROR(_xlfn.XLOOKUP(_xlpm.dn+cfgRetestClassDays,nrCDnum,nrCDdate),"")))))</f>
        <v/>
      </c>
      <c r="U993" s="15">
        <f>IF($Q993&lt;&gt;"Yes","",IF(COUNTIFS(nrES_PID,$D993,nrES_Code,$F993,nrES_Att,2)&gt;0,"Retested",IF(OR($T993="",NOT(ISNUMBER($T993))),"Pending",IF(TODAY()&gt;$T993,"OVERDUE","Due "&amp;TEXT($T993,"mm/dd")))))</f>
        <v/>
      </c>
      <c r="V993" s="14" t="n"/>
      <c r="W993" s="14" t="n"/>
    </row>
    <row r="994">
      <c r="B994" s="15">
        <f>IF($C994="","",$D994&amp;"-"&amp;$F994&amp;"-"&amp;$K994)</f>
        <v/>
      </c>
      <c r="C994" s="14" t="n"/>
      <c r="D994" s="15">
        <f>IF($C994="","",IFERROR(INDEX(rngCadetPIDs,MATCH($C994,rngCadetNames,0)),"?"))</f>
        <v/>
      </c>
      <c r="E994" s="15">
        <f>IF($D994="","",IFERROR(INDEX(nrCadetAgency,MATCH($D994,rngCadetPIDs,0)),""))</f>
        <v/>
      </c>
      <c r="F994" s="14" t="n"/>
      <c r="G994" s="15">
        <f>IF($F994="","",IFERROR(INDEX(rngEPname,MATCH($F994,rngEPcode,0)),"?"))</f>
        <v/>
      </c>
      <c r="H994" s="15">
        <f>IF($F994="","",IFERROR(INDEX(rngEPtype,MATCH($F994,rngEPcode,0)),"?"))</f>
        <v/>
      </c>
      <c r="I994" s="15">
        <f>IF($F994="","",IFERROR(INDEX(rngEPseq,MATCH($F994,rngEPcode,0)),""))</f>
        <v/>
      </c>
      <c r="J994" s="15">
        <f>IF($F994="","",IFERROR(INDEX(rngEPpass,MATCH($F994,rngEPcode,0)),cfgPassingScore))</f>
        <v/>
      </c>
      <c r="K994" s="14" t="n"/>
      <c r="L994" s="14" t="n"/>
      <c r="M994" s="15">
        <f>IF($C994="","",IF($L994="","",IF($K994=1,IF(COUNTIFS(nrES_PID,$D994,nrES_Code,$F994,nrES_Att,2)&gt;0,"",$L994),IF(COUNTIFS(nrES_PID,$D994,nrES_Code,$F994,nrES_Att,1)=0,$L994,IF($L994&gt;=$J994,cfgRetakeRecordedCap,SUMIFS(nrES_Raw,nrES_PID,$D994,nrES_Code,$F994,nrES_Att,1))))))</f>
        <v/>
      </c>
      <c r="N994" s="15">
        <f>IF($C994="","",IF($L994="","",IF($L994&gt;=$J994,"Yes","No")))</f>
        <v/>
      </c>
      <c r="O994" s="15">
        <f>IF($C994="","",IF($M994="","",IF($M994&gt;=$J994,"Yes","No")))</f>
        <v/>
      </c>
      <c r="P994" s="15">
        <f>IF($C994="","",IF($K994="","",IF(COUNTIFS(nrES_PID,$D994,nrES_Code,$F994,nrES_Att,"&gt;"&amp;$K994)=0,"Yes","No")))</f>
        <v/>
      </c>
      <c r="Q994" s="15">
        <f>IF($C994="","",IF($L994="","",IF(AND($K994=1,$L994&lt;$J994,COUNTIFS(nrES_PID,$D994,nrES_Code,$F994,nrES_Att,2)=0),"Yes","No")))</f>
        <v/>
      </c>
      <c r="R994" s="15">
        <f>IF($C994="","",IF($L994="","",IF(AND($K994=2,$L994&lt;$J994,COUNTIFS(nrES_PID,$D994,nrES_Code,$F994,nrES_Att,1)&gt;0),"Yes","No")))</f>
        <v/>
      </c>
      <c r="S994" s="16" t="n"/>
      <c r="T994" s="17">
        <f>IF($Q994&lt;&gt;"Yes","",IF($S994="","(enter date)",_xlfn.LET(_xlpm.dn,IFERROR(_xlfn.XLOOKUP($S994,nrCDdate,nrCDnum),""),IF(_xlpm.dn="","(not a class day)",IFERROR(_xlfn.XLOOKUP(_xlpm.dn+cfgRetestClassDays,nrCDnum,nrCDdate),"")))))</f>
        <v/>
      </c>
      <c r="U994" s="15">
        <f>IF($Q994&lt;&gt;"Yes","",IF(COUNTIFS(nrES_PID,$D994,nrES_Code,$F994,nrES_Att,2)&gt;0,"Retested",IF(OR($T994="",NOT(ISNUMBER($T994))),"Pending",IF(TODAY()&gt;$T994,"OVERDUE","Due "&amp;TEXT($T994,"mm/dd")))))</f>
        <v/>
      </c>
      <c r="V994" s="14" t="n"/>
      <c r="W994" s="14" t="n"/>
    </row>
    <row r="995">
      <c r="B995" s="15">
        <f>IF($C995="","",$D995&amp;"-"&amp;$F995&amp;"-"&amp;$K995)</f>
        <v/>
      </c>
      <c r="C995" s="14" t="n"/>
      <c r="D995" s="15">
        <f>IF($C995="","",IFERROR(INDEX(rngCadetPIDs,MATCH($C995,rngCadetNames,0)),"?"))</f>
        <v/>
      </c>
      <c r="E995" s="15">
        <f>IF($D995="","",IFERROR(INDEX(nrCadetAgency,MATCH($D995,rngCadetPIDs,0)),""))</f>
        <v/>
      </c>
      <c r="F995" s="14" t="n"/>
      <c r="G995" s="15">
        <f>IF($F995="","",IFERROR(INDEX(rngEPname,MATCH($F995,rngEPcode,0)),"?"))</f>
        <v/>
      </c>
      <c r="H995" s="15">
        <f>IF($F995="","",IFERROR(INDEX(rngEPtype,MATCH($F995,rngEPcode,0)),"?"))</f>
        <v/>
      </c>
      <c r="I995" s="15">
        <f>IF($F995="","",IFERROR(INDEX(rngEPseq,MATCH($F995,rngEPcode,0)),""))</f>
        <v/>
      </c>
      <c r="J995" s="15">
        <f>IF($F995="","",IFERROR(INDEX(rngEPpass,MATCH($F995,rngEPcode,0)),cfgPassingScore))</f>
        <v/>
      </c>
      <c r="K995" s="14" t="n"/>
      <c r="L995" s="14" t="n"/>
      <c r="M995" s="15">
        <f>IF($C995="","",IF($L995="","",IF($K995=1,IF(COUNTIFS(nrES_PID,$D995,nrES_Code,$F995,nrES_Att,2)&gt;0,"",$L995),IF(COUNTIFS(nrES_PID,$D995,nrES_Code,$F995,nrES_Att,1)=0,$L995,IF($L995&gt;=$J995,cfgRetakeRecordedCap,SUMIFS(nrES_Raw,nrES_PID,$D995,nrES_Code,$F995,nrES_Att,1))))))</f>
        <v/>
      </c>
      <c r="N995" s="15">
        <f>IF($C995="","",IF($L995="","",IF($L995&gt;=$J995,"Yes","No")))</f>
        <v/>
      </c>
      <c r="O995" s="15">
        <f>IF($C995="","",IF($M995="","",IF($M995&gt;=$J995,"Yes","No")))</f>
        <v/>
      </c>
      <c r="P995" s="15">
        <f>IF($C995="","",IF($K995="","",IF(COUNTIFS(nrES_PID,$D995,nrES_Code,$F995,nrES_Att,"&gt;"&amp;$K995)=0,"Yes","No")))</f>
        <v/>
      </c>
      <c r="Q995" s="15">
        <f>IF($C995="","",IF($L995="","",IF(AND($K995=1,$L995&lt;$J995,COUNTIFS(nrES_PID,$D995,nrES_Code,$F995,nrES_Att,2)=0),"Yes","No")))</f>
        <v/>
      </c>
      <c r="R995" s="15">
        <f>IF($C995="","",IF($L995="","",IF(AND($K995=2,$L995&lt;$J995,COUNTIFS(nrES_PID,$D995,nrES_Code,$F995,nrES_Att,1)&gt;0),"Yes","No")))</f>
        <v/>
      </c>
      <c r="S995" s="16" t="n"/>
      <c r="T995" s="17">
        <f>IF($Q995&lt;&gt;"Yes","",IF($S995="","(enter date)",_xlfn.LET(_xlpm.dn,IFERROR(_xlfn.XLOOKUP($S995,nrCDdate,nrCDnum),""),IF(_xlpm.dn="","(not a class day)",IFERROR(_xlfn.XLOOKUP(_xlpm.dn+cfgRetestClassDays,nrCDnum,nrCDdate),"")))))</f>
        <v/>
      </c>
      <c r="U995" s="15">
        <f>IF($Q995&lt;&gt;"Yes","",IF(COUNTIFS(nrES_PID,$D995,nrES_Code,$F995,nrES_Att,2)&gt;0,"Retested",IF(OR($T995="",NOT(ISNUMBER($T995))),"Pending",IF(TODAY()&gt;$T995,"OVERDUE","Due "&amp;TEXT($T995,"mm/dd")))))</f>
        <v/>
      </c>
      <c r="V995" s="14" t="n"/>
      <c r="W995" s="14" t="n"/>
    </row>
    <row r="996">
      <c r="B996" s="15">
        <f>IF($C996="","",$D996&amp;"-"&amp;$F996&amp;"-"&amp;$K996)</f>
        <v/>
      </c>
      <c r="C996" s="14" t="n"/>
      <c r="D996" s="15">
        <f>IF($C996="","",IFERROR(INDEX(rngCadetPIDs,MATCH($C996,rngCadetNames,0)),"?"))</f>
        <v/>
      </c>
      <c r="E996" s="15">
        <f>IF($D996="","",IFERROR(INDEX(nrCadetAgency,MATCH($D996,rngCadetPIDs,0)),""))</f>
        <v/>
      </c>
      <c r="F996" s="14" t="n"/>
      <c r="G996" s="15">
        <f>IF($F996="","",IFERROR(INDEX(rngEPname,MATCH($F996,rngEPcode,0)),"?"))</f>
        <v/>
      </c>
      <c r="H996" s="15">
        <f>IF($F996="","",IFERROR(INDEX(rngEPtype,MATCH($F996,rngEPcode,0)),"?"))</f>
        <v/>
      </c>
      <c r="I996" s="15">
        <f>IF($F996="","",IFERROR(INDEX(rngEPseq,MATCH($F996,rngEPcode,0)),""))</f>
        <v/>
      </c>
      <c r="J996" s="15">
        <f>IF($F996="","",IFERROR(INDEX(rngEPpass,MATCH($F996,rngEPcode,0)),cfgPassingScore))</f>
        <v/>
      </c>
      <c r="K996" s="14" t="n"/>
      <c r="L996" s="14" t="n"/>
      <c r="M996" s="15">
        <f>IF($C996="","",IF($L996="","",IF($K996=1,IF(COUNTIFS(nrES_PID,$D996,nrES_Code,$F996,nrES_Att,2)&gt;0,"",$L996),IF(COUNTIFS(nrES_PID,$D996,nrES_Code,$F996,nrES_Att,1)=0,$L996,IF($L996&gt;=$J996,cfgRetakeRecordedCap,SUMIFS(nrES_Raw,nrES_PID,$D996,nrES_Code,$F996,nrES_Att,1))))))</f>
        <v/>
      </c>
      <c r="N996" s="15">
        <f>IF($C996="","",IF($L996="","",IF($L996&gt;=$J996,"Yes","No")))</f>
        <v/>
      </c>
      <c r="O996" s="15">
        <f>IF($C996="","",IF($M996="","",IF($M996&gt;=$J996,"Yes","No")))</f>
        <v/>
      </c>
      <c r="P996" s="15">
        <f>IF($C996="","",IF($K996="","",IF(COUNTIFS(nrES_PID,$D996,nrES_Code,$F996,nrES_Att,"&gt;"&amp;$K996)=0,"Yes","No")))</f>
        <v/>
      </c>
      <c r="Q996" s="15">
        <f>IF($C996="","",IF($L996="","",IF(AND($K996=1,$L996&lt;$J996,COUNTIFS(nrES_PID,$D996,nrES_Code,$F996,nrES_Att,2)=0),"Yes","No")))</f>
        <v/>
      </c>
      <c r="R996" s="15">
        <f>IF($C996="","",IF($L996="","",IF(AND($K996=2,$L996&lt;$J996,COUNTIFS(nrES_PID,$D996,nrES_Code,$F996,nrES_Att,1)&gt;0),"Yes","No")))</f>
        <v/>
      </c>
      <c r="S996" s="16" t="n"/>
      <c r="T996" s="17">
        <f>IF($Q996&lt;&gt;"Yes","",IF($S996="","(enter date)",_xlfn.LET(_xlpm.dn,IFERROR(_xlfn.XLOOKUP($S996,nrCDdate,nrCDnum),""),IF(_xlpm.dn="","(not a class day)",IFERROR(_xlfn.XLOOKUP(_xlpm.dn+cfgRetestClassDays,nrCDnum,nrCDdate),"")))))</f>
        <v/>
      </c>
      <c r="U996" s="15">
        <f>IF($Q996&lt;&gt;"Yes","",IF(COUNTIFS(nrES_PID,$D996,nrES_Code,$F996,nrES_Att,2)&gt;0,"Retested",IF(OR($T996="",NOT(ISNUMBER($T996))),"Pending",IF(TODAY()&gt;$T996,"OVERDUE","Due "&amp;TEXT($T996,"mm/dd")))))</f>
        <v/>
      </c>
      <c r="V996" s="14" t="n"/>
      <c r="W996" s="14" t="n"/>
    </row>
    <row r="997">
      <c r="B997" s="15">
        <f>IF($C997="","",$D997&amp;"-"&amp;$F997&amp;"-"&amp;$K997)</f>
        <v/>
      </c>
      <c r="C997" s="14" t="n"/>
      <c r="D997" s="15">
        <f>IF($C997="","",IFERROR(INDEX(rngCadetPIDs,MATCH($C997,rngCadetNames,0)),"?"))</f>
        <v/>
      </c>
      <c r="E997" s="15">
        <f>IF($D997="","",IFERROR(INDEX(nrCadetAgency,MATCH($D997,rngCadetPIDs,0)),""))</f>
        <v/>
      </c>
      <c r="F997" s="14" t="n"/>
      <c r="G997" s="15">
        <f>IF($F997="","",IFERROR(INDEX(rngEPname,MATCH($F997,rngEPcode,0)),"?"))</f>
        <v/>
      </c>
      <c r="H997" s="15">
        <f>IF($F997="","",IFERROR(INDEX(rngEPtype,MATCH($F997,rngEPcode,0)),"?"))</f>
        <v/>
      </c>
      <c r="I997" s="15">
        <f>IF($F997="","",IFERROR(INDEX(rngEPseq,MATCH($F997,rngEPcode,0)),""))</f>
        <v/>
      </c>
      <c r="J997" s="15">
        <f>IF($F997="","",IFERROR(INDEX(rngEPpass,MATCH($F997,rngEPcode,0)),cfgPassingScore))</f>
        <v/>
      </c>
      <c r="K997" s="14" t="n"/>
      <c r="L997" s="14" t="n"/>
      <c r="M997" s="15">
        <f>IF($C997="","",IF($L997="","",IF($K997=1,IF(COUNTIFS(nrES_PID,$D997,nrES_Code,$F997,nrES_Att,2)&gt;0,"",$L997),IF(COUNTIFS(nrES_PID,$D997,nrES_Code,$F997,nrES_Att,1)=0,$L997,IF($L997&gt;=$J997,cfgRetakeRecordedCap,SUMIFS(nrES_Raw,nrES_PID,$D997,nrES_Code,$F997,nrES_Att,1))))))</f>
        <v/>
      </c>
      <c r="N997" s="15">
        <f>IF($C997="","",IF($L997="","",IF($L997&gt;=$J997,"Yes","No")))</f>
        <v/>
      </c>
      <c r="O997" s="15">
        <f>IF($C997="","",IF($M997="","",IF($M997&gt;=$J997,"Yes","No")))</f>
        <v/>
      </c>
      <c r="P997" s="15">
        <f>IF($C997="","",IF($K997="","",IF(COUNTIFS(nrES_PID,$D997,nrES_Code,$F997,nrES_Att,"&gt;"&amp;$K997)=0,"Yes","No")))</f>
        <v/>
      </c>
      <c r="Q997" s="15">
        <f>IF($C997="","",IF($L997="","",IF(AND($K997=1,$L997&lt;$J997,COUNTIFS(nrES_PID,$D997,nrES_Code,$F997,nrES_Att,2)=0),"Yes","No")))</f>
        <v/>
      </c>
      <c r="R997" s="15">
        <f>IF($C997="","",IF($L997="","",IF(AND($K997=2,$L997&lt;$J997,COUNTIFS(nrES_PID,$D997,nrES_Code,$F997,nrES_Att,1)&gt;0),"Yes","No")))</f>
        <v/>
      </c>
      <c r="S997" s="16" t="n"/>
      <c r="T997" s="17">
        <f>IF($Q997&lt;&gt;"Yes","",IF($S997="","(enter date)",_xlfn.LET(_xlpm.dn,IFERROR(_xlfn.XLOOKUP($S997,nrCDdate,nrCDnum),""),IF(_xlpm.dn="","(not a class day)",IFERROR(_xlfn.XLOOKUP(_xlpm.dn+cfgRetestClassDays,nrCDnum,nrCDdate),"")))))</f>
        <v/>
      </c>
      <c r="U997" s="15">
        <f>IF($Q997&lt;&gt;"Yes","",IF(COUNTIFS(nrES_PID,$D997,nrES_Code,$F997,nrES_Att,2)&gt;0,"Retested",IF(OR($T997="",NOT(ISNUMBER($T997))),"Pending",IF(TODAY()&gt;$T997,"OVERDUE","Due "&amp;TEXT($T997,"mm/dd")))))</f>
        <v/>
      </c>
      <c r="V997" s="14" t="n"/>
      <c r="W997" s="14" t="n"/>
    </row>
    <row r="998">
      <c r="B998" s="15">
        <f>IF($C998="","",$D998&amp;"-"&amp;$F998&amp;"-"&amp;$K998)</f>
        <v/>
      </c>
      <c r="C998" s="14" t="n"/>
      <c r="D998" s="15">
        <f>IF($C998="","",IFERROR(INDEX(rngCadetPIDs,MATCH($C998,rngCadetNames,0)),"?"))</f>
        <v/>
      </c>
      <c r="E998" s="15">
        <f>IF($D998="","",IFERROR(INDEX(nrCadetAgency,MATCH($D998,rngCadetPIDs,0)),""))</f>
        <v/>
      </c>
      <c r="F998" s="14" t="n"/>
      <c r="G998" s="15">
        <f>IF($F998="","",IFERROR(INDEX(rngEPname,MATCH($F998,rngEPcode,0)),"?"))</f>
        <v/>
      </c>
      <c r="H998" s="15">
        <f>IF($F998="","",IFERROR(INDEX(rngEPtype,MATCH($F998,rngEPcode,0)),"?"))</f>
        <v/>
      </c>
      <c r="I998" s="15">
        <f>IF($F998="","",IFERROR(INDEX(rngEPseq,MATCH($F998,rngEPcode,0)),""))</f>
        <v/>
      </c>
      <c r="J998" s="15">
        <f>IF($F998="","",IFERROR(INDEX(rngEPpass,MATCH($F998,rngEPcode,0)),cfgPassingScore))</f>
        <v/>
      </c>
      <c r="K998" s="14" t="n"/>
      <c r="L998" s="14" t="n"/>
      <c r="M998" s="15">
        <f>IF($C998="","",IF($L998="","",IF($K998=1,IF(COUNTIFS(nrES_PID,$D998,nrES_Code,$F998,nrES_Att,2)&gt;0,"",$L998),IF(COUNTIFS(nrES_PID,$D998,nrES_Code,$F998,nrES_Att,1)=0,$L998,IF($L998&gt;=$J998,cfgRetakeRecordedCap,SUMIFS(nrES_Raw,nrES_PID,$D998,nrES_Code,$F998,nrES_Att,1))))))</f>
        <v/>
      </c>
      <c r="N998" s="15">
        <f>IF($C998="","",IF($L998="","",IF($L998&gt;=$J998,"Yes","No")))</f>
        <v/>
      </c>
      <c r="O998" s="15">
        <f>IF($C998="","",IF($M998="","",IF($M998&gt;=$J998,"Yes","No")))</f>
        <v/>
      </c>
      <c r="P998" s="15">
        <f>IF($C998="","",IF($K998="","",IF(COUNTIFS(nrES_PID,$D998,nrES_Code,$F998,nrES_Att,"&gt;"&amp;$K998)=0,"Yes","No")))</f>
        <v/>
      </c>
      <c r="Q998" s="15">
        <f>IF($C998="","",IF($L998="","",IF(AND($K998=1,$L998&lt;$J998,COUNTIFS(nrES_PID,$D998,nrES_Code,$F998,nrES_Att,2)=0),"Yes","No")))</f>
        <v/>
      </c>
      <c r="R998" s="15">
        <f>IF($C998="","",IF($L998="","",IF(AND($K998=2,$L998&lt;$J998,COUNTIFS(nrES_PID,$D998,nrES_Code,$F998,nrES_Att,1)&gt;0),"Yes","No")))</f>
        <v/>
      </c>
      <c r="S998" s="16" t="n"/>
      <c r="T998" s="17">
        <f>IF($Q998&lt;&gt;"Yes","",IF($S998="","(enter date)",_xlfn.LET(_xlpm.dn,IFERROR(_xlfn.XLOOKUP($S998,nrCDdate,nrCDnum),""),IF(_xlpm.dn="","(not a class day)",IFERROR(_xlfn.XLOOKUP(_xlpm.dn+cfgRetestClassDays,nrCDnum,nrCDdate),"")))))</f>
        <v/>
      </c>
      <c r="U998" s="15">
        <f>IF($Q998&lt;&gt;"Yes","",IF(COUNTIFS(nrES_PID,$D998,nrES_Code,$F998,nrES_Att,2)&gt;0,"Retested",IF(OR($T998="",NOT(ISNUMBER($T998))),"Pending",IF(TODAY()&gt;$T998,"OVERDUE","Due "&amp;TEXT($T998,"mm/dd")))))</f>
        <v/>
      </c>
      <c r="V998" s="14" t="n"/>
      <c r="W998" s="14" t="n"/>
    </row>
    <row r="999">
      <c r="B999" s="15">
        <f>IF($C999="","",$D999&amp;"-"&amp;$F999&amp;"-"&amp;$K999)</f>
        <v/>
      </c>
      <c r="C999" s="14" t="n"/>
      <c r="D999" s="15">
        <f>IF($C999="","",IFERROR(INDEX(rngCadetPIDs,MATCH($C999,rngCadetNames,0)),"?"))</f>
        <v/>
      </c>
      <c r="E999" s="15">
        <f>IF($D999="","",IFERROR(INDEX(nrCadetAgency,MATCH($D999,rngCadetPIDs,0)),""))</f>
        <v/>
      </c>
      <c r="F999" s="14" t="n"/>
      <c r="G999" s="15">
        <f>IF($F999="","",IFERROR(INDEX(rngEPname,MATCH($F999,rngEPcode,0)),"?"))</f>
        <v/>
      </c>
      <c r="H999" s="15">
        <f>IF($F999="","",IFERROR(INDEX(rngEPtype,MATCH($F999,rngEPcode,0)),"?"))</f>
        <v/>
      </c>
      <c r="I999" s="15">
        <f>IF($F999="","",IFERROR(INDEX(rngEPseq,MATCH($F999,rngEPcode,0)),""))</f>
        <v/>
      </c>
      <c r="J999" s="15">
        <f>IF($F999="","",IFERROR(INDEX(rngEPpass,MATCH($F999,rngEPcode,0)),cfgPassingScore))</f>
        <v/>
      </c>
      <c r="K999" s="14" t="n"/>
      <c r="L999" s="14" t="n"/>
      <c r="M999" s="15">
        <f>IF($C999="","",IF($L999="","",IF($K999=1,IF(COUNTIFS(nrES_PID,$D999,nrES_Code,$F999,nrES_Att,2)&gt;0,"",$L999),IF(COUNTIFS(nrES_PID,$D999,nrES_Code,$F999,nrES_Att,1)=0,$L999,IF($L999&gt;=$J999,cfgRetakeRecordedCap,SUMIFS(nrES_Raw,nrES_PID,$D999,nrES_Code,$F999,nrES_Att,1))))))</f>
        <v/>
      </c>
      <c r="N999" s="15">
        <f>IF($C999="","",IF($L999="","",IF($L999&gt;=$J999,"Yes","No")))</f>
        <v/>
      </c>
      <c r="O999" s="15">
        <f>IF($C999="","",IF($M999="","",IF($M999&gt;=$J999,"Yes","No")))</f>
        <v/>
      </c>
      <c r="P999" s="15">
        <f>IF($C999="","",IF($K999="","",IF(COUNTIFS(nrES_PID,$D999,nrES_Code,$F999,nrES_Att,"&gt;"&amp;$K999)=0,"Yes","No")))</f>
        <v/>
      </c>
      <c r="Q999" s="15">
        <f>IF($C999="","",IF($L999="","",IF(AND($K999=1,$L999&lt;$J999,COUNTIFS(nrES_PID,$D999,nrES_Code,$F999,nrES_Att,2)=0),"Yes","No")))</f>
        <v/>
      </c>
      <c r="R999" s="15">
        <f>IF($C999="","",IF($L999="","",IF(AND($K999=2,$L999&lt;$J999,COUNTIFS(nrES_PID,$D999,nrES_Code,$F999,nrES_Att,1)&gt;0),"Yes","No")))</f>
        <v/>
      </c>
      <c r="S999" s="16" t="n"/>
      <c r="T999" s="17">
        <f>IF($Q999&lt;&gt;"Yes","",IF($S999="","(enter date)",_xlfn.LET(_xlpm.dn,IFERROR(_xlfn.XLOOKUP($S999,nrCDdate,nrCDnum),""),IF(_xlpm.dn="","(not a class day)",IFERROR(_xlfn.XLOOKUP(_xlpm.dn+cfgRetestClassDays,nrCDnum,nrCDdate),"")))))</f>
        <v/>
      </c>
      <c r="U999" s="15">
        <f>IF($Q999&lt;&gt;"Yes","",IF(COUNTIFS(nrES_PID,$D999,nrES_Code,$F999,nrES_Att,2)&gt;0,"Retested",IF(OR($T999="",NOT(ISNUMBER($T999))),"Pending",IF(TODAY()&gt;$T999,"OVERDUE","Due "&amp;TEXT($T999,"mm/dd")))))</f>
        <v/>
      </c>
      <c r="V999" s="14" t="n"/>
      <c r="W999" s="14" t="n"/>
    </row>
    <row r="1000">
      <c r="B1000" s="15">
        <f>IF($C1000="","",$D1000&amp;"-"&amp;$F1000&amp;"-"&amp;$K1000)</f>
        <v/>
      </c>
      <c r="C1000" s="14" t="n"/>
      <c r="D1000" s="15">
        <f>IF($C1000="","",IFERROR(INDEX(rngCadetPIDs,MATCH($C1000,rngCadetNames,0)),"?"))</f>
        <v/>
      </c>
      <c r="E1000" s="15">
        <f>IF($D1000="","",IFERROR(INDEX(nrCadetAgency,MATCH($D1000,rngCadetPIDs,0)),""))</f>
        <v/>
      </c>
      <c r="F1000" s="14" t="n"/>
      <c r="G1000" s="15">
        <f>IF($F1000="","",IFERROR(INDEX(rngEPname,MATCH($F1000,rngEPcode,0)),"?"))</f>
        <v/>
      </c>
      <c r="H1000" s="15">
        <f>IF($F1000="","",IFERROR(INDEX(rngEPtype,MATCH($F1000,rngEPcode,0)),"?"))</f>
        <v/>
      </c>
      <c r="I1000" s="15">
        <f>IF($F1000="","",IFERROR(INDEX(rngEPseq,MATCH($F1000,rngEPcode,0)),""))</f>
        <v/>
      </c>
      <c r="J1000" s="15">
        <f>IF($F1000="","",IFERROR(INDEX(rngEPpass,MATCH($F1000,rngEPcode,0)),cfgPassingScore))</f>
        <v/>
      </c>
      <c r="K1000" s="14" t="n"/>
      <c r="L1000" s="14" t="n"/>
      <c r="M1000" s="15">
        <f>IF($C1000="","",IF($L1000="","",IF($K1000=1,IF(COUNTIFS(nrES_PID,$D1000,nrES_Code,$F1000,nrES_Att,2)&gt;0,"",$L1000),IF(COUNTIFS(nrES_PID,$D1000,nrES_Code,$F1000,nrES_Att,1)=0,$L1000,IF($L1000&gt;=$J1000,cfgRetakeRecordedCap,SUMIFS(nrES_Raw,nrES_PID,$D1000,nrES_Code,$F1000,nrES_Att,1))))))</f>
        <v/>
      </c>
      <c r="N1000" s="15">
        <f>IF($C1000="","",IF($L1000="","",IF($L1000&gt;=$J1000,"Yes","No")))</f>
        <v/>
      </c>
      <c r="O1000" s="15">
        <f>IF($C1000="","",IF($M1000="","",IF($M1000&gt;=$J1000,"Yes","No")))</f>
        <v/>
      </c>
      <c r="P1000" s="15">
        <f>IF($C1000="","",IF($K1000="","",IF(COUNTIFS(nrES_PID,$D1000,nrES_Code,$F1000,nrES_Att,"&gt;"&amp;$K1000)=0,"Yes","No")))</f>
        <v/>
      </c>
      <c r="Q1000" s="15">
        <f>IF($C1000="","",IF($L1000="","",IF(AND($K1000=1,$L1000&lt;$J1000,COUNTIFS(nrES_PID,$D1000,nrES_Code,$F1000,nrES_Att,2)=0),"Yes","No")))</f>
        <v/>
      </c>
      <c r="R1000" s="15">
        <f>IF($C1000="","",IF($L1000="","",IF(AND($K1000=2,$L1000&lt;$J1000,COUNTIFS(nrES_PID,$D1000,nrES_Code,$F1000,nrES_Att,1)&gt;0),"Yes","No")))</f>
        <v/>
      </c>
      <c r="S1000" s="16" t="n"/>
      <c r="T1000" s="17">
        <f>IF($Q1000&lt;&gt;"Yes","",IF($S1000="","(enter date)",_xlfn.LET(_xlpm.dn,IFERROR(_xlfn.XLOOKUP($S1000,nrCDdate,nrCDnum),""),IF(_xlpm.dn="","(not a class day)",IFERROR(_xlfn.XLOOKUP(_xlpm.dn+cfgRetestClassDays,nrCDnum,nrCDdate),"")))))</f>
        <v/>
      </c>
      <c r="U1000" s="15">
        <f>IF($Q1000&lt;&gt;"Yes","",IF(COUNTIFS(nrES_PID,$D1000,nrES_Code,$F1000,nrES_Att,2)&gt;0,"Retested",IF(OR($T1000="",NOT(ISNUMBER($T1000))),"Pending",IF(TODAY()&gt;$T1000,"OVERDUE","Due "&amp;TEXT($T1000,"mm/dd")))))</f>
        <v/>
      </c>
      <c r="V1000" s="14" t="n"/>
      <c r="W1000" s="14" t="n"/>
    </row>
    <row r="1001">
      <c r="B1001" s="15">
        <f>IF($C1001="","",$D1001&amp;"-"&amp;$F1001&amp;"-"&amp;$K1001)</f>
        <v/>
      </c>
      <c r="C1001" s="14" t="n"/>
      <c r="D1001" s="15">
        <f>IF($C1001="","",IFERROR(INDEX(rngCadetPIDs,MATCH($C1001,rngCadetNames,0)),"?"))</f>
        <v/>
      </c>
      <c r="E1001" s="15">
        <f>IF($D1001="","",IFERROR(INDEX(nrCadetAgency,MATCH($D1001,rngCadetPIDs,0)),""))</f>
        <v/>
      </c>
      <c r="F1001" s="14" t="n"/>
      <c r="G1001" s="15">
        <f>IF($F1001="","",IFERROR(INDEX(rngEPname,MATCH($F1001,rngEPcode,0)),"?"))</f>
        <v/>
      </c>
      <c r="H1001" s="15">
        <f>IF($F1001="","",IFERROR(INDEX(rngEPtype,MATCH($F1001,rngEPcode,0)),"?"))</f>
        <v/>
      </c>
      <c r="I1001" s="15">
        <f>IF($F1001="","",IFERROR(INDEX(rngEPseq,MATCH($F1001,rngEPcode,0)),""))</f>
        <v/>
      </c>
      <c r="J1001" s="15">
        <f>IF($F1001="","",IFERROR(INDEX(rngEPpass,MATCH($F1001,rngEPcode,0)),cfgPassingScore))</f>
        <v/>
      </c>
      <c r="K1001" s="14" t="n"/>
      <c r="L1001" s="14" t="n"/>
      <c r="M1001" s="15">
        <f>IF($C1001="","",IF($L1001="","",IF($K1001=1,IF(COUNTIFS(nrES_PID,$D1001,nrES_Code,$F1001,nrES_Att,2)&gt;0,"",$L1001),IF(COUNTIFS(nrES_PID,$D1001,nrES_Code,$F1001,nrES_Att,1)=0,$L1001,IF($L1001&gt;=$J1001,cfgRetakeRecordedCap,SUMIFS(nrES_Raw,nrES_PID,$D1001,nrES_Code,$F1001,nrES_Att,1))))))</f>
        <v/>
      </c>
      <c r="N1001" s="15">
        <f>IF($C1001="","",IF($L1001="","",IF($L1001&gt;=$J1001,"Yes","No")))</f>
        <v/>
      </c>
      <c r="O1001" s="15">
        <f>IF($C1001="","",IF($M1001="","",IF($M1001&gt;=$J1001,"Yes","No")))</f>
        <v/>
      </c>
      <c r="P1001" s="15">
        <f>IF($C1001="","",IF($K1001="","",IF(COUNTIFS(nrES_PID,$D1001,nrES_Code,$F1001,nrES_Att,"&gt;"&amp;$K1001)=0,"Yes","No")))</f>
        <v/>
      </c>
      <c r="Q1001" s="15">
        <f>IF($C1001="","",IF($L1001="","",IF(AND($K1001=1,$L1001&lt;$J1001,COUNTIFS(nrES_PID,$D1001,nrES_Code,$F1001,nrES_Att,2)=0),"Yes","No")))</f>
        <v/>
      </c>
      <c r="R1001" s="15">
        <f>IF($C1001="","",IF($L1001="","",IF(AND($K1001=2,$L1001&lt;$J1001,COUNTIFS(nrES_PID,$D1001,nrES_Code,$F1001,nrES_Att,1)&gt;0),"Yes","No")))</f>
        <v/>
      </c>
      <c r="S1001" s="16" t="n"/>
      <c r="T1001" s="17">
        <f>IF($Q1001&lt;&gt;"Yes","",IF($S1001="","(enter date)",_xlfn.LET(_xlpm.dn,IFERROR(_xlfn.XLOOKUP($S1001,nrCDdate,nrCDnum),""),IF(_xlpm.dn="","(not a class day)",IFERROR(_xlfn.XLOOKUP(_xlpm.dn+cfgRetestClassDays,nrCDnum,nrCDdate),"")))))</f>
        <v/>
      </c>
      <c r="U1001" s="15">
        <f>IF($Q1001&lt;&gt;"Yes","",IF(COUNTIFS(nrES_PID,$D1001,nrES_Code,$F1001,nrES_Att,2)&gt;0,"Retested",IF(OR($T1001="",NOT(ISNUMBER($T1001))),"Pending",IF(TODAY()&gt;$T1001,"OVERDUE","Due "&amp;TEXT($T1001,"mm/dd")))))</f>
        <v/>
      </c>
      <c r="V1001" s="14" t="n"/>
      <c r="W1001" s="14" t="n"/>
    </row>
    <row r="1002">
      <c r="B1002" s="15">
        <f>IF($C1002="","",$D1002&amp;"-"&amp;$F1002&amp;"-"&amp;$K1002)</f>
        <v/>
      </c>
      <c r="C1002" s="14" t="n"/>
      <c r="D1002" s="15">
        <f>IF($C1002="","",IFERROR(INDEX(rngCadetPIDs,MATCH($C1002,rngCadetNames,0)),"?"))</f>
        <v/>
      </c>
      <c r="E1002" s="15">
        <f>IF($D1002="","",IFERROR(INDEX(nrCadetAgency,MATCH($D1002,rngCadetPIDs,0)),""))</f>
        <v/>
      </c>
      <c r="F1002" s="14" t="n"/>
      <c r="G1002" s="15">
        <f>IF($F1002="","",IFERROR(INDEX(rngEPname,MATCH($F1002,rngEPcode,0)),"?"))</f>
        <v/>
      </c>
      <c r="H1002" s="15">
        <f>IF($F1002="","",IFERROR(INDEX(rngEPtype,MATCH($F1002,rngEPcode,0)),"?"))</f>
        <v/>
      </c>
      <c r="I1002" s="15">
        <f>IF($F1002="","",IFERROR(INDEX(rngEPseq,MATCH($F1002,rngEPcode,0)),""))</f>
        <v/>
      </c>
      <c r="J1002" s="15">
        <f>IF($F1002="","",IFERROR(INDEX(rngEPpass,MATCH($F1002,rngEPcode,0)),cfgPassingScore))</f>
        <v/>
      </c>
      <c r="K1002" s="14" t="n"/>
      <c r="L1002" s="14" t="n"/>
      <c r="M1002" s="15">
        <f>IF($C1002="","",IF($L1002="","",IF($K1002=1,IF(COUNTIFS(nrES_PID,$D1002,nrES_Code,$F1002,nrES_Att,2)&gt;0,"",$L1002),IF(COUNTIFS(nrES_PID,$D1002,nrES_Code,$F1002,nrES_Att,1)=0,$L1002,IF($L1002&gt;=$J1002,cfgRetakeRecordedCap,SUMIFS(nrES_Raw,nrES_PID,$D1002,nrES_Code,$F1002,nrES_Att,1))))))</f>
        <v/>
      </c>
      <c r="N1002" s="15">
        <f>IF($C1002="","",IF($L1002="","",IF($L1002&gt;=$J1002,"Yes","No")))</f>
        <v/>
      </c>
      <c r="O1002" s="15">
        <f>IF($C1002="","",IF($M1002="","",IF($M1002&gt;=$J1002,"Yes","No")))</f>
        <v/>
      </c>
      <c r="P1002" s="15">
        <f>IF($C1002="","",IF($K1002="","",IF(COUNTIFS(nrES_PID,$D1002,nrES_Code,$F1002,nrES_Att,"&gt;"&amp;$K1002)=0,"Yes","No")))</f>
        <v/>
      </c>
      <c r="Q1002" s="15">
        <f>IF($C1002="","",IF($L1002="","",IF(AND($K1002=1,$L1002&lt;$J1002,COUNTIFS(nrES_PID,$D1002,nrES_Code,$F1002,nrES_Att,2)=0),"Yes","No")))</f>
        <v/>
      </c>
      <c r="R1002" s="15">
        <f>IF($C1002="","",IF($L1002="","",IF(AND($K1002=2,$L1002&lt;$J1002,COUNTIFS(nrES_PID,$D1002,nrES_Code,$F1002,nrES_Att,1)&gt;0),"Yes","No")))</f>
        <v/>
      </c>
      <c r="S1002" s="16" t="n"/>
      <c r="T1002" s="17">
        <f>IF($Q1002&lt;&gt;"Yes","",IF($S1002="","(enter date)",_xlfn.LET(_xlpm.dn,IFERROR(_xlfn.XLOOKUP($S1002,nrCDdate,nrCDnum),""),IF(_xlpm.dn="","(not a class day)",IFERROR(_xlfn.XLOOKUP(_xlpm.dn+cfgRetestClassDays,nrCDnum,nrCDdate),"")))))</f>
        <v/>
      </c>
      <c r="U1002" s="15">
        <f>IF($Q1002&lt;&gt;"Yes","",IF(COUNTIFS(nrES_PID,$D1002,nrES_Code,$F1002,nrES_Att,2)&gt;0,"Retested",IF(OR($T1002="",NOT(ISNUMBER($T1002))),"Pending",IF(TODAY()&gt;$T1002,"OVERDUE","Due "&amp;TEXT($T1002,"mm/dd")))))</f>
        <v/>
      </c>
      <c r="V1002" s="14" t="n"/>
      <c r="W1002" s="14" t="n"/>
    </row>
    <row r="1003">
      <c r="B1003" s="15">
        <f>IF($C1003="","",$D1003&amp;"-"&amp;$F1003&amp;"-"&amp;$K1003)</f>
        <v/>
      </c>
      <c r="C1003" s="14" t="n"/>
      <c r="D1003" s="15">
        <f>IF($C1003="","",IFERROR(INDEX(rngCadetPIDs,MATCH($C1003,rngCadetNames,0)),"?"))</f>
        <v/>
      </c>
      <c r="E1003" s="15">
        <f>IF($D1003="","",IFERROR(INDEX(nrCadetAgency,MATCH($D1003,rngCadetPIDs,0)),""))</f>
        <v/>
      </c>
      <c r="F1003" s="14" t="n"/>
      <c r="G1003" s="15">
        <f>IF($F1003="","",IFERROR(INDEX(rngEPname,MATCH($F1003,rngEPcode,0)),"?"))</f>
        <v/>
      </c>
      <c r="H1003" s="15">
        <f>IF($F1003="","",IFERROR(INDEX(rngEPtype,MATCH($F1003,rngEPcode,0)),"?"))</f>
        <v/>
      </c>
      <c r="I1003" s="15">
        <f>IF($F1003="","",IFERROR(INDEX(rngEPseq,MATCH($F1003,rngEPcode,0)),""))</f>
        <v/>
      </c>
      <c r="J1003" s="15">
        <f>IF($F1003="","",IFERROR(INDEX(rngEPpass,MATCH($F1003,rngEPcode,0)),cfgPassingScore))</f>
        <v/>
      </c>
      <c r="K1003" s="14" t="n"/>
      <c r="L1003" s="14" t="n"/>
      <c r="M1003" s="15">
        <f>IF($C1003="","",IF($L1003="","",IF($K1003=1,IF(COUNTIFS(nrES_PID,$D1003,nrES_Code,$F1003,nrES_Att,2)&gt;0,"",$L1003),IF(COUNTIFS(nrES_PID,$D1003,nrES_Code,$F1003,nrES_Att,1)=0,$L1003,IF($L1003&gt;=$J1003,cfgRetakeRecordedCap,SUMIFS(nrES_Raw,nrES_PID,$D1003,nrES_Code,$F1003,nrES_Att,1))))))</f>
        <v/>
      </c>
      <c r="N1003" s="15">
        <f>IF($C1003="","",IF($L1003="","",IF($L1003&gt;=$J1003,"Yes","No")))</f>
        <v/>
      </c>
      <c r="O1003" s="15">
        <f>IF($C1003="","",IF($M1003="","",IF($M1003&gt;=$J1003,"Yes","No")))</f>
        <v/>
      </c>
      <c r="P1003" s="15">
        <f>IF($C1003="","",IF($K1003="","",IF(COUNTIFS(nrES_PID,$D1003,nrES_Code,$F1003,nrES_Att,"&gt;"&amp;$K1003)=0,"Yes","No")))</f>
        <v/>
      </c>
      <c r="Q1003" s="15">
        <f>IF($C1003="","",IF($L1003="","",IF(AND($K1003=1,$L1003&lt;$J1003,COUNTIFS(nrES_PID,$D1003,nrES_Code,$F1003,nrES_Att,2)=0),"Yes","No")))</f>
        <v/>
      </c>
      <c r="R1003" s="15">
        <f>IF($C1003="","",IF($L1003="","",IF(AND($K1003=2,$L1003&lt;$J1003,COUNTIFS(nrES_PID,$D1003,nrES_Code,$F1003,nrES_Att,1)&gt;0),"Yes","No")))</f>
        <v/>
      </c>
      <c r="S1003" s="16" t="n"/>
      <c r="T1003" s="17">
        <f>IF($Q1003&lt;&gt;"Yes","",IF($S1003="","(enter date)",_xlfn.LET(_xlpm.dn,IFERROR(_xlfn.XLOOKUP($S1003,nrCDdate,nrCDnum),""),IF(_xlpm.dn="","(not a class day)",IFERROR(_xlfn.XLOOKUP(_xlpm.dn+cfgRetestClassDays,nrCDnum,nrCDdate),"")))))</f>
        <v/>
      </c>
      <c r="U1003" s="15">
        <f>IF($Q1003&lt;&gt;"Yes","",IF(COUNTIFS(nrES_PID,$D1003,nrES_Code,$F1003,nrES_Att,2)&gt;0,"Retested",IF(OR($T1003="",NOT(ISNUMBER($T1003))),"Pending",IF(TODAY()&gt;$T1003,"OVERDUE","Due "&amp;TEXT($T1003,"mm/dd")))))</f>
        <v/>
      </c>
      <c r="V1003" s="14" t="n"/>
      <c r="W1003" s="14" t="n"/>
    </row>
    <row r="1004">
      <c r="B1004" s="15">
        <f>IF($C1004="","",$D1004&amp;"-"&amp;$F1004&amp;"-"&amp;$K1004)</f>
        <v/>
      </c>
      <c r="C1004" s="14" t="n"/>
      <c r="D1004" s="15">
        <f>IF($C1004="","",IFERROR(INDEX(rngCadetPIDs,MATCH($C1004,rngCadetNames,0)),"?"))</f>
        <v/>
      </c>
      <c r="E1004" s="15">
        <f>IF($D1004="","",IFERROR(INDEX(nrCadetAgency,MATCH($D1004,rngCadetPIDs,0)),""))</f>
        <v/>
      </c>
      <c r="F1004" s="14" t="n"/>
      <c r="G1004" s="15">
        <f>IF($F1004="","",IFERROR(INDEX(rngEPname,MATCH($F1004,rngEPcode,0)),"?"))</f>
        <v/>
      </c>
      <c r="H1004" s="15">
        <f>IF($F1004="","",IFERROR(INDEX(rngEPtype,MATCH($F1004,rngEPcode,0)),"?"))</f>
        <v/>
      </c>
      <c r="I1004" s="15">
        <f>IF($F1004="","",IFERROR(INDEX(rngEPseq,MATCH($F1004,rngEPcode,0)),""))</f>
        <v/>
      </c>
      <c r="J1004" s="15">
        <f>IF($F1004="","",IFERROR(INDEX(rngEPpass,MATCH($F1004,rngEPcode,0)),cfgPassingScore))</f>
        <v/>
      </c>
      <c r="K1004" s="14" t="n"/>
      <c r="L1004" s="14" t="n"/>
      <c r="M1004" s="15">
        <f>IF($C1004="","",IF($L1004="","",IF($K1004=1,IF(COUNTIFS(nrES_PID,$D1004,nrES_Code,$F1004,nrES_Att,2)&gt;0,"",$L1004),IF(COUNTIFS(nrES_PID,$D1004,nrES_Code,$F1004,nrES_Att,1)=0,$L1004,IF($L1004&gt;=$J1004,cfgRetakeRecordedCap,SUMIFS(nrES_Raw,nrES_PID,$D1004,nrES_Code,$F1004,nrES_Att,1))))))</f>
        <v/>
      </c>
      <c r="N1004" s="15">
        <f>IF($C1004="","",IF($L1004="","",IF($L1004&gt;=$J1004,"Yes","No")))</f>
        <v/>
      </c>
      <c r="O1004" s="15">
        <f>IF($C1004="","",IF($M1004="","",IF($M1004&gt;=$J1004,"Yes","No")))</f>
        <v/>
      </c>
      <c r="P1004" s="15">
        <f>IF($C1004="","",IF($K1004="","",IF(COUNTIFS(nrES_PID,$D1004,nrES_Code,$F1004,nrES_Att,"&gt;"&amp;$K1004)=0,"Yes","No")))</f>
        <v/>
      </c>
      <c r="Q1004" s="15">
        <f>IF($C1004="","",IF($L1004="","",IF(AND($K1004=1,$L1004&lt;$J1004,COUNTIFS(nrES_PID,$D1004,nrES_Code,$F1004,nrES_Att,2)=0),"Yes","No")))</f>
        <v/>
      </c>
      <c r="R1004" s="15">
        <f>IF($C1004="","",IF($L1004="","",IF(AND($K1004=2,$L1004&lt;$J1004,COUNTIFS(nrES_PID,$D1004,nrES_Code,$F1004,nrES_Att,1)&gt;0),"Yes","No")))</f>
        <v/>
      </c>
      <c r="S1004" s="16" t="n"/>
      <c r="T1004" s="17">
        <f>IF($Q1004&lt;&gt;"Yes","",IF($S1004="","(enter date)",_xlfn.LET(_xlpm.dn,IFERROR(_xlfn.XLOOKUP($S1004,nrCDdate,nrCDnum),""),IF(_xlpm.dn="","(not a class day)",IFERROR(_xlfn.XLOOKUP(_xlpm.dn+cfgRetestClassDays,nrCDnum,nrCDdate),"")))))</f>
        <v/>
      </c>
      <c r="U1004" s="15">
        <f>IF($Q1004&lt;&gt;"Yes","",IF(COUNTIFS(nrES_PID,$D1004,nrES_Code,$F1004,nrES_Att,2)&gt;0,"Retested",IF(OR($T1004="",NOT(ISNUMBER($T1004))),"Pending",IF(TODAY()&gt;$T1004,"OVERDUE","Due "&amp;TEXT($T1004,"mm/dd")))))</f>
        <v/>
      </c>
      <c r="V1004" s="14" t="n"/>
      <c r="W1004" s="14" t="n"/>
    </row>
    <row r="1005">
      <c r="B1005" s="15">
        <f>IF($C1005="","",$D1005&amp;"-"&amp;$F1005&amp;"-"&amp;$K1005)</f>
        <v/>
      </c>
      <c r="C1005" s="14" t="n"/>
      <c r="D1005" s="15">
        <f>IF($C1005="","",IFERROR(INDEX(rngCadetPIDs,MATCH($C1005,rngCadetNames,0)),"?"))</f>
        <v/>
      </c>
      <c r="E1005" s="15">
        <f>IF($D1005="","",IFERROR(INDEX(nrCadetAgency,MATCH($D1005,rngCadetPIDs,0)),""))</f>
        <v/>
      </c>
      <c r="F1005" s="14" t="n"/>
      <c r="G1005" s="15">
        <f>IF($F1005="","",IFERROR(INDEX(rngEPname,MATCH($F1005,rngEPcode,0)),"?"))</f>
        <v/>
      </c>
      <c r="H1005" s="15">
        <f>IF($F1005="","",IFERROR(INDEX(rngEPtype,MATCH($F1005,rngEPcode,0)),"?"))</f>
        <v/>
      </c>
      <c r="I1005" s="15">
        <f>IF($F1005="","",IFERROR(INDEX(rngEPseq,MATCH($F1005,rngEPcode,0)),""))</f>
        <v/>
      </c>
      <c r="J1005" s="15">
        <f>IF($F1005="","",IFERROR(INDEX(rngEPpass,MATCH($F1005,rngEPcode,0)),cfgPassingScore))</f>
        <v/>
      </c>
      <c r="K1005" s="14" t="n"/>
      <c r="L1005" s="14" t="n"/>
      <c r="M1005" s="15">
        <f>IF($C1005="","",IF($L1005="","",IF($K1005=1,IF(COUNTIFS(nrES_PID,$D1005,nrES_Code,$F1005,nrES_Att,2)&gt;0,"",$L1005),IF(COUNTIFS(nrES_PID,$D1005,nrES_Code,$F1005,nrES_Att,1)=0,$L1005,IF($L1005&gt;=$J1005,cfgRetakeRecordedCap,SUMIFS(nrES_Raw,nrES_PID,$D1005,nrES_Code,$F1005,nrES_Att,1))))))</f>
        <v/>
      </c>
      <c r="N1005" s="15">
        <f>IF($C1005="","",IF($L1005="","",IF($L1005&gt;=$J1005,"Yes","No")))</f>
        <v/>
      </c>
      <c r="O1005" s="15">
        <f>IF($C1005="","",IF($M1005="","",IF($M1005&gt;=$J1005,"Yes","No")))</f>
        <v/>
      </c>
      <c r="P1005" s="15">
        <f>IF($C1005="","",IF($K1005="","",IF(COUNTIFS(nrES_PID,$D1005,nrES_Code,$F1005,nrES_Att,"&gt;"&amp;$K1005)=0,"Yes","No")))</f>
        <v/>
      </c>
      <c r="Q1005" s="15">
        <f>IF($C1005="","",IF($L1005="","",IF(AND($K1005=1,$L1005&lt;$J1005,COUNTIFS(nrES_PID,$D1005,nrES_Code,$F1005,nrES_Att,2)=0),"Yes","No")))</f>
        <v/>
      </c>
      <c r="R1005" s="15">
        <f>IF($C1005="","",IF($L1005="","",IF(AND($K1005=2,$L1005&lt;$J1005,COUNTIFS(nrES_PID,$D1005,nrES_Code,$F1005,nrES_Att,1)&gt;0),"Yes","No")))</f>
        <v/>
      </c>
      <c r="S1005" s="16" t="n"/>
      <c r="T1005" s="17">
        <f>IF($Q1005&lt;&gt;"Yes","",IF($S1005="","(enter date)",_xlfn.LET(_xlpm.dn,IFERROR(_xlfn.XLOOKUP($S1005,nrCDdate,nrCDnum),""),IF(_xlpm.dn="","(not a class day)",IFERROR(_xlfn.XLOOKUP(_xlpm.dn+cfgRetestClassDays,nrCDnum,nrCDdate),"")))))</f>
        <v/>
      </c>
      <c r="U1005" s="15">
        <f>IF($Q1005&lt;&gt;"Yes","",IF(COUNTIFS(nrES_PID,$D1005,nrES_Code,$F1005,nrES_Att,2)&gt;0,"Retested",IF(OR($T1005="",NOT(ISNUMBER($T1005))),"Pending",IF(TODAY()&gt;$T1005,"OVERDUE","Due "&amp;TEXT($T1005,"mm/dd")))))</f>
        <v/>
      </c>
      <c r="V1005" s="14" t="n"/>
      <c r="W1005" s="14" t="n"/>
    </row>
    <row r="1006">
      <c r="B1006" s="15">
        <f>IF($C1006="","",$D1006&amp;"-"&amp;$F1006&amp;"-"&amp;$K1006)</f>
        <v/>
      </c>
      <c r="C1006" s="14" t="n"/>
      <c r="D1006" s="15">
        <f>IF($C1006="","",IFERROR(INDEX(rngCadetPIDs,MATCH($C1006,rngCadetNames,0)),"?"))</f>
        <v/>
      </c>
      <c r="E1006" s="15">
        <f>IF($D1006="","",IFERROR(INDEX(nrCadetAgency,MATCH($D1006,rngCadetPIDs,0)),""))</f>
        <v/>
      </c>
      <c r="F1006" s="14" t="n"/>
      <c r="G1006" s="15">
        <f>IF($F1006="","",IFERROR(INDEX(rngEPname,MATCH($F1006,rngEPcode,0)),"?"))</f>
        <v/>
      </c>
      <c r="H1006" s="15">
        <f>IF($F1006="","",IFERROR(INDEX(rngEPtype,MATCH($F1006,rngEPcode,0)),"?"))</f>
        <v/>
      </c>
      <c r="I1006" s="15">
        <f>IF($F1006="","",IFERROR(INDEX(rngEPseq,MATCH($F1006,rngEPcode,0)),""))</f>
        <v/>
      </c>
      <c r="J1006" s="15">
        <f>IF($F1006="","",IFERROR(INDEX(rngEPpass,MATCH($F1006,rngEPcode,0)),cfgPassingScore))</f>
        <v/>
      </c>
      <c r="K1006" s="14" t="n"/>
      <c r="L1006" s="14" t="n"/>
      <c r="M1006" s="15">
        <f>IF($C1006="","",IF($L1006="","",IF($K1006=1,IF(COUNTIFS(nrES_PID,$D1006,nrES_Code,$F1006,nrES_Att,2)&gt;0,"",$L1006),IF(COUNTIFS(nrES_PID,$D1006,nrES_Code,$F1006,nrES_Att,1)=0,$L1006,IF($L1006&gt;=$J1006,cfgRetakeRecordedCap,SUMIFS(nrES_Raw,nrES_PID,$D1006,nrES_Code,$F1006,nrES_Att,1))))))</f>
        <v/>
      </c>
      <c r="N1006" s="15">
        <f>IF($C1006="","",IF($L1006="","",IF($L1006&gt;=$J1006,"Yes","No")))</f>
        <v/>
      </c>
      <c r="O1006" s="15">
        <f>IF($C1006="","",IF($M1006="","",IF($M1006&gt;=$J1006,"Yes","No")))</f>
        <v/>
      </c>
      <c r="P1006" s="15">
        <f>IF($C1006="","",IF($K1006="","",IF(COUNTIFS(nrES_PID,$D1006,nrES_Code,$F1006,nrES_Att,"&gt;"&amp;$K1006)=0,"Yes","No")))</f>
        <v/>
      </c>
      <c r="Q1006" s="15">
        <f>IF($C1006="","",IF($L1006="","",IF(AND($K1006=1,$L1006&lt;$J1006,COUNTIFS(nrES_PID,$D1006,nrES_Code,$F1006,nrES_Att,2)=0),"Yes","No")))</f>
        <v/>
      </c>
      <c r="R1006" s="15">
        <f>IF($C1006="","",IF($L1006="","",IF(AND($K1006=2,$L1006&lt;$J1006,COUNTIFS(nrES_PID,$D1006,nrES_Code,$F1006,nrES_Att,1)&gt;0),"Yes","No")))</f>
        <v/>
      </c>
      <c r="S1006" s="16" t="n"/>
      <c r="T1006" s="17">
        <f>IF($Q1006&lt;&gt;"Yes","",IF($S1006="","(enter date)",_xlfn.LET(_xlpm.dn,IFERROR(_xlfn.XLOOKUP($S1006,nrCDdate,nrCDnum),""),IF(_xlpm.dn="","(not a class day)",IFERROR(_xlfn.XLOOKUP(_xlpm.dn+cfgRetestClassDays,nrCDnum,nrCDdate),"")))))</f>
        <v/>
      </c>
      <c r="U1006" s="15">
        <f>IF($Q1006&lt;&gt;"Yes","",IF(COUNTIFS(nrES_PID,$D1006,nrES_Code,$F1006,nrES_Att,2)&gt;0,"Retested",IF(OR($T1006="",NOT(ISNUMBER($T1006))),"Pending",IF(TODAY()&gt;$T1006,"OVERDUE","Due "&amp;TEXT($T1006,"mm/dd")))))</f>
        <v/>
      </c>
      <c r="V1006" s="14" t="n"/>
      <c r="W1006" s="14" t="n"/>
    </row>
    <row r="1007">
      <c r="B1007" s="15">
        <f>IF($C1007="","",$D1007&amp;"-"&amp;$F1007&amp;"-"&amp;$K1007)</f>
        <v/>
      </c>
      <c r="C1007" s="14" t="n"/>
      <c r="D1007" s="15">
        <f>IF($C1007="","",IFERROR(INDEX(rngCadetPIDs,MATCH($C1007,rngCadetNames,0)),"?"))</f>
        <v/>
      </c>
      <c r="E1007" s="15">
        <f>IF($D1007="","",IFERROR(INDEX(nrCadetAgency,MATCH($D1007,rngCadetPIDs,0)),""))</f>
        <v/>
      </c>
      <c r="F1007" s="14" t="n"/>
      <c r="G1007" s="15">
        <f>IF($F1007="","",IFERROR(INDEX(rngEPname,MATCH($F1007,rngEPcode,0)),"?"))</f>
        <v/>
      </c>
      <c r="H1007" s="15">
        <f>IF($F1007="","",IFERROR(INDEX(rngEPtype,MATCH($F1007,rngEPcode,0)),"?"))</f>
        <v/>
      </c>
      <c r="I1007" s="15">
        <f>IF($F1007="","",IFERROR(INDEX(rngEPseq,MATCH($F1007,rngEPcode,0)),""))</f>
        <v/>
      </c>
      <c r="J1007" s="15">
        <f>IF($F1007="","",IFERROR(INDEX(rngEPpass,MATCH($F1007,rngEPcode,0)),cfgPassingScore))</f>
        <v/>
      </c>
      <c r="K1007" s="14" t="n"/>
      <c r="L1007" s="14" t="n"/>
      <c r="M1007" s="15">
        <f>IF($C1007="","",IF($L1007="","",IF($K1007=1,IF(COUNTIFS(nrES_PID,$D1007,nrES_Code,$F1007,nrES_Att,2)&gt;0,"",$L1007),IF(COUNTIFS(nrES_PID,$D1007,nrES_Code,$F1007,nrES_Att,1)=0,$L1007,IF($L1007&gt;=$J1007,cfgRetakeRecordedCap,SUMIFS(nrES_Raw,nrES_PID,$D1007,nrES_Code,$F1007,nrES_Att,1))))))</f>
        <v/>
      </c>
      <c r="N1007" s="15">
        <f>IF($C1007="","",IF($L1007="","",IF($L1007&gt;=$J1007,"Yes","No")))</f>
        <v/>
      </c>
      <c r="O1007" s="15">
        <f>IF($C1007="","",IF($M1007="","",IF($M1007&gt;=$J1007,"Yes","No")))</f>
        <v/>
      </c>
      <c r="P1007" s="15">
        <f>IF($C1007="","",IF($K1007="","",IF(COUNTIFS(nrES_PID,$D1007,nrES_Code,$F1007,nrES_Att,"&gt;"&amp;$K1007)=0,"Yes","No")))</f>
        <v/>
      </c>
      <c r="Q1007" s="15">
        <f>IF($C1007="","",IF($L1007="","",IF(AND($K1007=1,$L1007&lt;$J1007,COUNTIFS(nrES_PID,$D1007,nrES_Code,$F1007,nrES_Att,2)=0),"Yes","No")))</f>
        <v/>
      </c>
      <c r="R1007" s="15">
        <f>IF($C1007="","",IF($L1007="","",IF(AND($K1007=2,$L1007&lt;$J1007,COUNTIFS(nrES_PID,$D1007,nrES_Code,$F1007,nrES_Att,1)&gt;0),"Yes","No")))</f>
        <v/>
      </c>
      <c r="S1007" s="16" t="n"/>
      <c r="T1007" s="17">
        <f>IF($Q1007&lt;&gt;"Yes","",IF($S1007="","(enter date)",_xlfn.LET(_xlpm.dn,IFERROR(_xlfn.XLOOKUP($S1007,nrCDdate,nrCDnum),""),IF(_xlpm.dn="","(not a class day)",IFERROR(_xlfn.XLOOKUP(_xlpm.dn+cfgRetestClassDays,nrCDnum,nrCDdate),"")))))</f>
        <v/>
      </c>
      <c r="U1007" s="15">
        <f>IF($Q1007&lt;&gt;"Yes","",IF(COUNTIFS(nrES_PID,$D1007,nrES_Code,$F1007,nrES_Att,2)&gt;0,"Retested",IF(OR($T1007="",NOT(ISNUMBER($T1007))),"Pending",IF(TODAY()&gt;$T1007,"OVERDUE","Due "&amp;TEXT($T1007,"mm/dd")))))</f>
        <v/>
      </c>
      <c r="V1007" s="14" t="n"/>
      <c r="W1007" s="14" t="n"/>
    </row>
    <row r="1008">
      <c r="B1008" s="15">
        <f>IF($C1008="","",$D1008&amp;"-"&amp;$F1008&amp;"-"&amp;$K1008)</f>
        <v/>
      </c>
      <c r="C1008" s="14" t="n"/>
      <c r="D1008" s="15">
        <f>IF($C1008="","",IFERROR(INDEX(rngCadetPIDs,MATCH($C1008,rngCadetNames,0)),"?"))</f>
        <v/>
      </c>
      <c r="E1008" s="15">
        <f>IF($D1008="","",IFERROR(INDEX(nrCadetAgency,MATCH($D1008,rngCadetPIDs,0)),""))</f>
        <v/>
      </c>
      <c r="F1008" s="14" t="n"/>
      <c r="G1008" s="15">
        <f>IF($F1008="","",IFERROR(INDEX(rngEPname,MATCH($F1008,rngEPcode,0)),"?"))</f>
        <v/>
      </c>
      <c r="H1008" s="15">
        <f>IF($F1008="","",IFERROR(INDEX(rngEPtype,MATCH($F1008,rngEPcode,0)),"?"))</f>
        <v/>
      </c>
      <c r="I1008" s="15">
        <f>IF($F1008="","",IFERROR(INDEX(rngEPseq,MATCH($F1008,rngEPcode,0)),""))</f>
        <v/>
      </c>
      <c r="J1008" s="15">
        <f>IF($F1008="","",IFERROR(INDEX(rngEPpass,MATCH($F1008,rngEPcode,0)),cfgPassingScore))</f>
        <v/>
      </c>
      <c r="K1008" s="14" t="n"/>
      <c r="L1008" s="14" t="n"/>
      <c r="M1008" s="15">
        <f>IF($C1008="","",IF($L1008="","",IF($K1008=1,IF(COUNTIFS(nrES_PID,$D1008,nrES_Code,$F1008,nrES_Att,2)&gt;0,"",$L1008),IF(COUNTIFS(nrES_PID,$D1008,nrES_Code,$F1008,nrES_Att,1)=0,$L1008,IF($L1008&gt;=$J1008,cfgRetakeRecordedCap,SUMIFS(nrES_Raw,nrES_PID,$D1008,nrES_Code,$F1008,nrES_Att,1))))))</f>
        <v/>
      </c>
      <c r="N1008" s="15">
        <f>IF($C1008="","",IF($L1008="","",IF($L1008&gt;=$J1008,"Yes","No")))</f>
        <v/>
      </c>
      <c r="O1008" s="15">
        <f>IF($C1008="","",IF($M1008="","",IF($M1008&gt;=$J1008,"Yes","No")))</f>
        <v/>
      </c>
      <c r="P1008" s="15">
        <f>IF($C1008="","",IF($K1008="","",IF(COUNTIFS(nrES_PID,$D1008,nrES_Code,$F1008,nrES_Att,"&gt;"&amp;$K1008)=0,"Yes","No")))</f>
        <v/>
      </c>
      <c r="Q1008" s="15">
        <f>IF($C1008="","",IF($L1008="","",IF(AND($K1008=1,$L1008&lt;$J1008,COUNTIFS(nrES_PID,$D1008,nrES_Code,$F1008,nrES_Att,2)=0),"Yes","No")))</f>
        <v/>
      </c>
      <c r="R1008" s="15">
        <f>IF($C1008="","",IF($L1008="","",IF(AND($K1008=2,$L1008&lt;$J1008,COUNTIFS(nrES_PID,$D1008,nrES_Code,$F1008,nrES_Att,1)&gt;0),"Yes","No")))</f>
        <v/>
      </c>
      <c r="S1008" s="16" t="n"/>
      <c r="T1008" s="17">
        <f>IF($Q1008&lt;&gt;"Yes","",IF($S1008="","(enter date)",_xlfn.LET(_xlpm.dn,IFERROR(_xlfn.XLOOKUP($S1008,nrCDdate,nrCDnum),""),IF(_xlpm.dn="","(not a class day)",IFERROR(_xlfn.XLOOKUP(_xlpm.dn+cfgRetestClassDays,nrCDnum,nrCDdate),"")))))</f>
        <v/>
      </c>
      <c r="U1008" s="15">
        <f>IF($Q1008&lt;&gt;"Yes","",IF(COUNTIFS(nrES_PID,$D1008,nrES_Code,$F1008,nrES_Att,2)&gt;0,"Retested",IF(OR($T1008="",NOT(ISNUMBER($T1008))),"Pending",IF(TODAY()&gt;$T1008,"OVERDUE","Due "&amp;TEXT($T1008,"mm/dd")))))</f>
        <v/>
      </c>
      <c r="V1008" s="14" t="n"/>
      <c r="W1008" s="14" t="n"/>
    </row>
    <row r="1009">
      <c r="B1009" s="15">
        <f>IF($C1009="","",$D1009&amp;"-"&amp;$F1009&amp;"-"&amp;$K1009)</f>
        <v/>
      </c>
      <c r="C1009" s="14" t="n"/>
      <c r="D1009" s="15">
        <f>IF($C1009="","",IFERROR(INDEX(rngCadetPIDs,MATCH($C1009,rngCadetNames,0)),"?"))</f>
        <v/>
      </c>
      <c r="E1009" s="15">
        <f>IF($D1009="","",IFERROR(INDEX(nrCadetAgency,MATCH($D1009,rngCadetPIDs,0)),""))</f>
        <v/>
      </c>
      <c r="F1009" s="14" t="n"/>
      <c r="G1009" s="15">
        <f>IF($F1009="","",IFERROR(INDEX(rngEPname,MATCH($F1009,rngEPcode,0)),"?"))</f>
        <v/>
      </c>
      <c r="H1009" s="15">
        <f>IF($F1009="","",IFERROR(INDEX(rngEPtype,MATCH($F1009,rngEPcode,0)),"?"))</f>
        <v/>
      </c>
      <c r="I1009" s="15">
        <f>IF($F1009="","",IFERROR(INDEX(rngEPseq,MATCH($F1009,rngEPcode,0)),""))</f>
        <v/>
      </c>
      <c r="J1009" s="15">
        <f>IF($F1009="","",IFERROR(INDEX(rngEPpass,MATCH($F1009,rngEPcode,0)),cfgPassingScore))</f>
        <v/>
      </c>
      <c r="K1009" s="14" t="n"/>
      <c r="L1009" s="14" t="n"/>
      <c r="M1009" s="15">
        <f>IF($C1009="","",IF($L1009="","",IF($K1009=1,IF(COUNTIFS(nrES_PID,$D1009,nrES_Code,$F1009,nrES_Att,2)&gt;0,"",$L1009),IF(COUNTIFS(nrES_PID,$D1009,nrES_Code,$F1009,nrES_Att,1)=0,$L1009,IF($L1009&gt;=$J1009,cfgRetakeRecordedCap,SUMIFS(nrES_Raw,nrES_PID,$D1009,nrES_Code,$F1009,nrES_Att,1))))))</f>
        <v/>
      </c>
      <c r="N1009" s="15">
        <f>IF($C1009="","",IF($L1009="","",IF($L1009&gt;=$J1009,"Yes","No")))</f>
        <v/>
      </c>
      <c r="O1009" s="15">
        <f>IF($C1009="","",IF($M1009="","",IF($M1009&gt;=$J1009,"Yes","No")))</f>
        <v/>
      </c>
      <c r="P1009" s="15">
        <f>IF($C1009="","",IF($K1009="","",IF(COUNTIFS(nrES_PID,$D1009,nrES_Code,$F1009,nrES_Att,"&gt;"&amp;$K1009)=0,"Yes","No")))</f>
        <v/>
      </c>
      <c r="Q1009" s="15">
        <f>IF($C1009="","",IF($L1009="","",IF(AND($K1009=1,$L1009&lt;$J1009,COUNTIFS(nrES_PID,$D1009,nrES_Code,$F1009,nrES_Att,2)=0),"Yes","No")))</f>
        <v/>
      </c>
      <c r="R1009" s="15">
        <f>IF($C1009="","",IF($L1009="","",IF(AND($K1009=2,$L1009&lt;$J1009,COUNTIFS(nrES_PID,$D1009,nrES_Code,$F1009,nrES_Att,1)&gt;0),"Yes","No")))</f>
        <v/>
      </c>
      <c r="S1009" s="16" t="n"/>
      <c r="T1009" s="17">
        <f>IF($Q1009&lt;&gt;"Yes","",IF($S1009="","(enter date)",_xlfn.LET(_xlpm.dn,IFERROR(_xlfn.XLOOKUP($S1009,nrCDdate,nrCDnum),""),IF(_xlpm.dn="","(not a class day)",IFERROR(_xlfn.XLOOKUP(_xlpm.dn+cfgRetestClassDays,nrCDnum,nrCDdate),"")))))</f>
        <v/>
      </c>
      <c r="U1009" s="15">
        <f>IF($Q1009&lt;&gt;"Yes","",IF(COUNTIFS(nrES_PID,$D1009,nrES_Code,$F1009,nrES_Att,2)&gt;0,"Retested",IF(OR($T1009="",NOT(ISNUMBER($T1009))),"Pending",IF(TODAY()&gt;$T1009,"OVERDUE","Due "&amp;TEXT($T1009,"mm/dd")))))</f>
        <v/>
      </c>
      <c r="V1009" s="14" t="n"/>
      <c r="W1009" s="14" t="n"/>
    </row>
    <row r="1010">
      <c r="B1010" s="15">
        <f>IF($C1010="","",$D1010&amp;"-"&amp;$F1010&amp;"-"&amp;$K1010)</f>
        <v/>
      </c>
      <c r="C1010" s="14" t="n"/>
      <c r="D1010" s="15">
        <f>IF($C1010="","",IFERROR(INDEX(rngCadetPIDs,MATCH($C1010,rngCadetNames,0)),"?"))</f>
        <v/>
      </c>
      <c r="E1010" s="15">
        <f>IF($D1010="","",IFERROR(INDEX(nrCadetAgency,MATCH($D1010,rngCadetPIDs,0)),""))</f>
        <v/>
      </c>
      <c r="F1010" s="14" t="n"/>
      <c r="G1010" s="15">
        <f>IF($F1010="","",IFERROR(INDEX(rngEPname,MATCH($F1010,rngEPcode,0)),"?"))</f>
        <v/>
      </c>
      <c r="H1010" s="15">
        <f>IF($F1010="","",IFERROR(INDEX(rngEPtype,MATCH($F1010,rngEPcode,0)),"?"))</f>
        <v/>
      </c>
      <c r="I1010" s="15">
        <f>IF($F1010="","",IFERROR(INDEX(rngEPseq,MATCH($F1010,rngEPcode,0)),""))</f>
        <v/>
      </c>
      <c r="J1010" s="15">
        <f>IF($F1010="","",IFERROR(INDEX(rngEPpass,MATCH($F1010,rngEPcode,0)),cfgPassingScore))</f>
        <v/>
      </c>
      <c r="K1010" s="14" t="n"/>
      <c r="L1010" s="14" t="n"/>
      <c r="M1010" s="15">
        <f>IF($C1010="","",IF($L1010="","",IF($K1010=1,IF(COUNTIFS(nrES_PID,$D1010,nrES_Code,$F1010,nrES_Att,2)&gt;0,"",$L1010),IF(COUNTIFS(nrES_PID,$D1010,nrES_Code,$F1010,nrES_Att,1)=0,$L1010,IF($L1010&gt;=$J1010,cfgRetakeRecordedCap,SUMIFS(nrES_Raw,nrES_PID,$D1010,nrES_Code,$F1010,nrES_Att,1))))))</f>
        <v/>
      </c>
      <c r="N1010" s="15">
        <f>IF($C1010="","",IF($L1010="","",IF($L1010&gt;=$J1010,"Yes","No")))</f>
        <v/>
      </c>
      <c r="O1010" s="15">
        <f>IF($C1010="","",IF($M1010="","",IF($M1010&gt;=$J1010,"Yes","No")))</f>
        <v/>
      </c>
      <c r="P1010" s="15">
        <f>IF($C1010="","",IF($K1010="","",IF(COUNTIFS(nrES_PID,$D1010,nrES_Code,$F1010,nrES_Att,"&gt;"&amp;$K1010)=0,"Yes","No")))</f>
        <v/>
      </c>
      <c r="Q1010" s="15">
        <f>IF($C1010="","",IF($L1010="","",IF(AND($K1010=1,$L1010&lt;$J1010,COUNTIFS(nrES_PID,$D1010,nrES_Code,$F1010,nrES_Att,2)=0),"Yes","No")))</f>
        <v/>
      </c>
      <c r="R1010" s="15">
        <f>IF($C1010="","",IF($L1010="","",IF(AND($K1010=2,$L1010&lt;$J1010,COUNTIFS(nrES_PID,$D1010,nrES_Code,$F1010,nrES_Att,1)&gt;0),"Yes","No")))</f>
        <v/>
      </c>
      <c r="S1010" s="16" t="n"/>
      <c r="T1010" s="17">
        <f>IF($Q1010&lt;&gt;"Yes","",IF($S1010="","(enter date)",_xlfn.LET(_xlpm.dn,IFERROR(_xlfn.XLOOKUP($S1010,nrCDdate,nrCDnum),""),IF(_xlpm.dn="","(not a class day)",IFERROR(_xlfn.XLOOKUP(_xlpm.dn+cfgRetestClassDays,nrCDnum,nrCDdate),"")))))</f>
        <v/>
      </c>
      <c r="U1010" s="15">
        <f>IF($Q1010&lt;&gt;"Yes","",IF(COUNTIFS(nrES_PID,$D1010,nrES_Code,$F1010,nrES_Att,2)&gt;0,"Retested",IF(OR($T1010="",NOT(ISNUMBER($T1010))),"Pending",IF(TODAY()&gt;$T1010,"OVERDUE","Due "&amp;TEXT($T1010,"mm/dd")))))</f>
        <v/>
      </c>
      <c r="V1010" s="14" t="n"/>
      <c r="W1010" s="14" t="n"/>
    </row>
    <row r="1011">
      <c r="B1011" s="15">
        <f>IF($C1011="","",$D1011&amp;"-"&amp;$F1011&amp;"-"&amp;$K1011)</f>
        <v/>
      </c>
      <c r="C1011" s="14" t="n"/>
      <c r="D1011" s="15">
        <f>IF($C1011="","",IFERROR(INDEX(rngCadetPIDs,MATCH($C1011,rngCadetNames,0)),"?"))</f>
        <v/>
      </c>
      <c r="E1011" s="15">
        <f>IF($D1011="","",IFERROR(INDEX(nrCadetAgency,MATCH($D1011,rngCadetPIDs,0)),""))</f>
        <v/>
      </c>
      <c r="F1011" s="14" t="n"/>
      <c r="G1011" s="15">
        <f>IF($F1011="","",IFERROR(INDEX(rngEPname,MATCH($F1011,rngEPcode,0)),"?"))</f>
        <v/>
      </c>
      <c r="H1011" s="15">
        <f>IF($F1011="","",IFERROR(INDEX(rngEPtype,MATCH($F1011,rngEPcode,0)),"?"))</f>
        <v/>
      </c>
      <c r="I1011" s="15">
        <f>IF($F1011="","",IFERROR(INDEX(rngEPseq,MATCH($F1011,rngEPcode,0)),""))</f>
        <v/>
      </c>
      <c r="J1011" s="15">
        <f>IF($F1011="","",IFERROR(INDEX(rngEPpass,MATCH($F1011,rngEPcode,0)),cfgPassingScore))</f>
        <v/>
      </c>
      <c r="K1011" s="14" t="n"/>
      <c r="L1011" s="14" t="n"/>
      <c r="M1011" s="15">
        <f>IF($C1011="","",IF($L1011="","",IF($K1011=1,IF(COUNTIFS(nrES_PID,$D1011,nrES_Code,$F1011,nrES_Att,2)&gt;0,"",$L1011),IF(COUNTIFS(nrES_PID,$D1011,nrES_Code,$F1011,nrES_Att,1)=0,$L1011,IF($L1011&gt;=$J1011,cfgRetakeRecordedCap,SUMIFS(nrES_Raw,nrES_PID,$D1011,nrES_Code,$F1011,nrES_Att,1))))))</f>
        <v/>
      </c>
      <c r="N1011" s="15">
        <f>IF($C1011="","",IF($L1011="","",IF($L1011&gt;=$J1011,"Yes","No")))</f>
        <v/>
      </c>
      <c r="O1011" s="15">
        <f>IF($C1011="","",IF($M1011="","",IF($M1011&gt;=$J1011,"Yes","No")))</f>
        <v/>
      </c>
      <c r="P1011" s="15">
        <f>IF($C1011="","",IF($K1011="","",IF(COUNTIFS(nrES_PID,$D1011,nrES_Code,$F1011,nrES_Att,"&gt;"&amp;$K1011)=0,"Yes","No")))</f>
        <v/>
      </c>
      <c r="Q1011" s="15">
        <f>IF($C1011="","",IF($L1011="","",IF(AND($K1011=1,$L1011&lt;$J1011,COUNTIFS(nrES_PID,$D1011,nrES_Code,$F1011,nrES_Att,2)=0),"Yes","No")))</f>
        <v/>
      </c>
      <c r="R1011" s="15">
        <f>IF($C1011="","",IF($L1011="","",IF(AND($K1011=2,$L1011&lt;$J1011,COUNTIFS(nrES_PID,$D1011,nrES_Code,$F1011,nrES_Att,1)&gt;0),"Yes","No")))</f>
        <v/>
      </c>
      <c r="S1011" s="16" t="n"/>
      <c r="T1011" s="17">
        <f>IF($Q1011&lt;&gt;"Yes","",IF($S1011="","(enter date)",_xlfn.LET(_xlpm.dn,IFERROR(_xlfn.XLOOKUP($S1011,nrCDdate,nrCDnum),""),IF(_xlpm.dn="","(not a class day)",IFERROR(_xlfn.XLOOKUP(_xlpm.dn+cfgRetestClassDays,nrCDnum,nrCDdate),"")))))</f>
        <v/>
      </c>
      <c r="U1011" s="15">
        <f>IF($Q1011&lt;&gt;"Yes","",IF(COUNTIFS(nrES_PID,$D1011,nrES_Code,$F1011,nrES_Att,2)&gt;0,"Retested",IF(OR($T1011="",NOT(ISNUMBER($T1011))),"Pending",IF(TODAY()&gt;$T1011,"OVERDUE","Due "&amp;TEXT($T1011,"mm/dd")))))</f>
        <v/>
      </c>
      <c r="V1011" s="14" t="n"/>
      <c r="W1011" s="14" t="n"/>
    </row>
    <row r="1012">
      <c r="B1012" s="15">
        <f>IF($C1012="","",$D1012&amp;"-"&amp;$F1012&amp;"-"&amp;$K1012)</f>
        <v/>
      </c>
      <c r="C1012" s="14" t="n"/>
      <c r="D1012" s="15">
        <f>IF($C1012="","",IFERROR(INDEX(rngCadetPIDs,MATCH($C1012,rngCadetNames,0)),"?"))</f>
        <v/>
      </c>
      <c r="E1012" s="15">
        <f>IF($D1012="","",IFERROR(INDEX(nrCadetAgency,MATCH($D1012,rngCadetPIDs,0)),""))</f>
        <v/>
      </c>
      <c r="F1012" s="14" t="n"/>
      <c r="G1012" s="15">
        <f>IF($F1012="","",IFERROR(INDEX(rngEPname,MATCH($F1012,rngEPcode,0)),"?"))</f>
        <v/>
      </c>
      <c r="H1012" s="15">
        <f>IF($F1012="","",IFERROR(INDEX(rngEPtype,MATCH($F1012,rngEPcode,0)),"?"))</f>
        <v/>
      </c>
      <c r="I1012" s="15">
        <f>IF($F1012="","",IFERROR(INDEX(rngEPseq,MATCH($F1012,rngEPcode,0)),""))</f>
        <v/>
      </c>
      <c r="J1012" s="15">
        <f>IF($F1012="","",IFERROR(INDEX(rngEPpass,MATCH($F1012,rngEPcode,0)),cfgPassingScore))</f>
        <v/>
      </c>
      <c r="K1012" s="14" t="n"/>
      <c r="L1012" s="14" t="n"/>
      <c r="M1012" s="15">
        <f>IF($C1012="","",IF($L1012="","",IF($K1012=1,IF(COUNTIFS(nrES_PID,$D1012,nrES_Code,$F1012,nrES_Att,2)&gt;0,"",$L1012),IF(COUNTIFS(nrES_PID,$D1012,nrES_Code,$F1012,nrES_Att,1)=0,$L1012,IF($L1012&gt;=$J1012,cfgRetakeRecordedCap,SUMIFS(nrES_Raw,nrES_PID,$D1012,nrES_Code,$F1012,nrES_Att,1))))))</f>
        <v/>
      </c>
      <c r="N1012" s="15">
        <f>IF($C1012="","",IF($L1012="","",IF($L1012&gt;=$J1012,"Yes","No")))</f>
        <v/>
      </c>
      <c r="O1012" s="15">
        <f>IF($C1012="","",IF($M1012="","",IF($M1012&gt;=$J1012,"Yes","No")))</f>
        <v/>
      </c>
      <c r="P1012" s="15">
        <f>IF($C1012="","",IF($K1012="","",IF(COUNTIFS(nrES_PID,$D1012,nrES_Code,$F1012,nrES_Att,"&gt;"&amp;$K1012)=0,"Yes","No")))</f>
        <v/>
      </c>
      <c r="Q1012" s="15">
        <f>IF($C1012="","",IF($L1012="","",IF(AND($K1012=1,$L1012&lt;$J1012,COUNTIFS(nrES_PID,$D1012,nrES_Code,$F1012,nrES_Att,2)=0),"Yes","No")))</f>
        <v/>
      </c>
      <c r="R1012" s="15">
        <f>IF($C1012="","",IF($L1012="","",IF(AND($K1012=2,$L1012&lt;$J1012,COUNTIFS(nrES_PID,$D1012,nrES_Code,$F1012,nrES_Att,1)&gt;0),"Yes","No")))</f>
        <v/>
      </c>
      <c r="S1012" s="16" t="n"/>
      <c r="T1012" s="17">
        <f>IF($Q1012&lt;&gt;"Yes","",IF($S1012="","(enter date)",_xlfn.LET(_xlpm.dn,IFERROR(_xlfn.XLOOKUP($S1012,nrCDdate,nrCDnum),""),IF(_xlpm.dn="","(not a class day)",IFERROR(_xlfn.XLOOKUP(_xlpm.dn+cfgRetestClassDays,nrCDnum,nrCDdate),"")))))</f>
        <v/>
      </c>
      <c r="U1012" s="15">
        <f>IF($Q1012&lt;&gt;"Yes","",IF(COUNTIFS(nrES_PID,$D1012,nrES_Code,$F1012,nrES_Att,2)&gt;0,"Retested",IF(OR($T1012="",NOT(ISNUMBER($T1012))),"Pending",IF(TODAY()&gt;$T1012,"OVERDUE","Due "&amp;TEXT($T1012,"mm/dd")))))</f>
        <v/>
      </c>
      <c r="V1012" s="14" t="n"/>
      <c r="W1012" s="14" t="n"/>
    </row>
    <row r="1013">
      <c r="B1013" s="15">
        <f>IF($C1013="","",$D1013&amp;"-"&amp;$F1013&amp;"-"&amp;$K1013)</f>
        <v/>
      </c>
      <c r="C1013" s="14" t="n"/>
      <c r="D1013" s="15">
        <f>IF($C1013="","",IFERROR(INDEX(rngCadetPIDs,MATCH($C1013,rngCadetNames,0)),"?"))</f>
        <v/>
      </c>
      <c r="E1013" s="15">
        <f>IF($D1013="","",IFERROR(INDEX(nrCadetAgency,MATCH($D1013,rngCadetPIDs,0)),""))</f>
        <v/>
      </c>
      <c r="F1013" s="14" t="n"/>
      <c r="G1013" s="15">
        <f>IF($F1013="","",IFERROR(INDEX(rngEPname,MATCH($F1013,rngEPcode,0)),"?"))</f>
        <v/>
      </c>
      <c r="H1013" s="15">
        <f>IF($F1013="","",IFERROR(INDEX(rngEPtype,MATCH($F1013,rngEPcode,0)),"?"))</f>
        <v/>
      </c>
      <c r="I1013" s="15">
        <f>IF($F1013="","",IFERROR(INDEX(rngEPseq,MATCH($F1013,rngEPcode,0)),""))</f>
        <v/>
      </c>
      <c r="J1013" s="15">
        <f>IF($F1013="","",IFERROR(INDEX(rngEPpass,MATCH($F1013,rngEPcode,0)),cfgPassingScore))</f>
        <v/>
      </c>
      <c r="K1013" s="14" t="n"/>
      <c r="L1013" s="14" t="n"/>
      <c r="M1013" s="15">
        <f>IF($C1013="","",IF($L1013="","",IF($K1013=1,IF(COUNTIFS(nrES_PID,$D1013,nrES_Code,$F1013,nrES_Att,2)&gt;0,"",$L1013),IF(COUNTIFS(nrES_PID,$D1013,nrES_Code,$F1013,nrES_Att,1)=0,$L1013,IF($L1013&gt;=$J1013,cfgRetakeRecordedCap,SUMIFS(nrES_Raw,nrES_PID,$D1013,nrES_Code,$F1013,nrES_Att,1))))))</f>
        <v/>
      </c>
      <c r="N1013" s="15">
        <f>IF($C1013="","",IF($L1013="","",IF($L1013&gt;=$J1013,"Yes","No")))</f>
        <v/>
      </c>
      <c r="O1013" s="15">
        <f>IF($C1013="","",IF($M1013="","",IF($M1013&gt;=$J1013,"Yes","No")))</f>
        <v/>
      </c>
      <c r="P1013" s="15">
        <f>IF($C1013="","",IF($K1013="","",IF(COUNTIFS(nrES_PID,$D1013,nrES_Code,$F1013,nrES_Att,"&gt;"&amp;$K1013)=0,"Yes","No")))</f>
        <v/>
      </c>
      <c r="Q1013" s="15">
        <f>IF($C1013="","",IF($L1013="","",IF(AND($K1013=1,$L1013&lt;$J1013,COUNTIFS(nrES_PID,$D1013,nrES_Code,$F1013,nrES_Att,2)=0),"Yes","No")))</f>
        <v/>
      </c>
      <c r="R1013" s="15">
        <f>IF($C1013="","",IF($L1013="","",IF(AND($K1013=2,$L1013&lt;$J1013,COUNTIFS(nrES_PID,$D1013,nrES_Code,$F1013,nrES_Att,1)&gt;0),"Yes","No")))</f>
        <v/>
      </c>
      <c r="S1013" s="16" t="n"/>
      <c r="T1013" s="17">
        <f>IF($Q1013&lt;&gt;"Yes","",IF($S1013="","(enter date)",_xlfn.LET(_xlpm.dn,IFERROR(_xlfn.XLOOKUP($S1013,nrCDdate,nrCDnum),""),IF(_xlpm.dn="","(not a class day)",IFERROR(_xlfn.XLOOKUP(_xlpm.dn+cfgRetestClassDays,nrCDnum,nrCDdate),"")))))</f>
        <v/>
      </c>
      <c r="U1013" s="15">
        <f>IF($Q1013&lt;&gt;"Yes","",IF(COUNTIFS(nrES_PID,$D1013,nrES_Code,$F1013,nrES_Att,2)&gt;0,"Retested",IF(OR($T1013="",NOT(ISNUMBER($T1013))),"Pending",IF(TODAY()&gt;$T1013,"OVERDUE","Due "&amp;TEXT($T1013,"mm/dd")))))</f>
        <v/>
      </c>
      <c r="V1013" s="14" t="n"/>
      <c r="W1013" s="14" t="n"/>
    </row>
    <row r="1014">
      <c r="B1014" s="15">
        <f>IF($C1014="","",$D1014&amp;"-"&amp;$F1014&amp;"-"&amp;$K1014)</f>
        <v/>
      </c>
      <c r="C1014" s="14" t="n"/>
      <c r="D1014" s="15">
        <f>IF($C1014="","",IFERROR(INDEX(rngCadetPIDs,MATCH($C1014,rngCadetNames,0)),"?"))</f>
        <v/>
      </c>
      <c r="E1014" s="15">
        <f>IF($D1014="","",IFERROR(INDEX(nrCadetAgency,MATCH($D1014,rngCadetPIDs,0)),""))</f>
        <v/>
      </c>
      <c r="F1014" s="14" t="n"/>
      <c r="G1014" s="15">
        <f>IF($F1014="","",IFERROR(INDEX(rngEPname,MATCH($F1014,rngEPcode,0)),"?"))</f>
        <v/>
      </c>
      <c r="H1014" s="15">
        <f>IF($F1014="","",IFERROR(INDEX(rngEPtype,MATCH($F1014,rngEPcode,0)),"?"))</f>
        <v/>
      </c>
      <c r="I1014" s="15">
        <f>IF($F1014="","",IFERROR(INDEX(rngEPseq,MATCH($F1014,rngEPcode,0)),""))</f>
        <v/>
      </c>
      <c r="J1014" s="15">
        <f>IF($F1014="","",IFERROR(INDEX(rngEPpass,MATCH($F1014,rngEPcode,0)),cfgPassingScore))</f>
        <v/>
      </c>
      <c r="K1014" s="14" t="n"/>
      <c r="L1014" s="14" t="n"/>
      <c r="M1014" s="15">
        <f>IF($C1014="","",IF($L1014="","",IF($K1014=1,IF(COUNTIFS(nrES_PID,$D1014,nrES_Code,$F1014,nrES_Att,2)&gt;0,"",$L1014),IF(COUNTIFS(nrES_PID,$D1014,nrES_Code,$F1014,nrES_Att,1)=0,$L1014,IF($L1014&gt;=$J1014,cfgRetakeRecordedCap,SUMIFS(nrES_Raw,nrES_PID,$D1014,nrES_Code,$F1014,nrES_Att,1))))))</f>
        <v/>
      </c>
      <c r="N1014" s="15">
        <f>IF($C1014="","",IF($L1014="","",IF($L1014&gt;=$J1014,"Yes","No")))</f>
        <v/>
      </c>
      <c r="O1014" s="15">
        <f>IF($C1014="","",IF($M1014="","",IF($M1014&gt;=$J1014,"Yes","No")))</f>
        <v/>
      </c>
      <c r="P1014" s="15">
        <f>IF($C1014="","",IF($K1014="","",IF(COUNTIFS(nrES_PID,$D1014,nrES_Code,$F1014,nrES_Att,"&gt;"&amp;$K1014)=0,"Yes","No")))</f>
        <v/>
      </c>
      <c r="Q1014" s="15">
        <f>IF($C1014="","",IF($L1014="","",IF(AND($K1014=1,$L1014&lt;$J1014,COUNTIFS(nrES_PID,$D1014,nrES_Code,$F1014,nrES_Att,2)=0),"Yes","No")))</f>
        <v/>
      </c>
      <c r="R1014" s="15">
        <f>IF($C1014="","",IF($L1014="","",IF(AND($K1014=2,$L1014&lt;$J1014,COUNTIFS(nrES_PID,$D1014,nrES_Code,$F1014,nrES_Att,1)&gt;0),"Yes","No")))</f>
        <v/>
      </c>
      <c r="S1014" s="16" t="n"/>
      <c r="T1014" s="17">
        <f>IF($Q1014&lt;&gt;"Yes","",IF($S1014="","(enter date)",_xlfn.LET(_xlpm.dn,IFERROR(_xlfn.XLOOKUP($S1014,nrCDdate,nrCDnum),""),IF(_xlpm.dn="","(not a class day)",IFERROR(_xlfn.XLOOKUP(_xlpm.dn+cfgRetestClassDays,nrCDnum,nrCDdate),"")))))</f>
        <v/>
      </c>
      <c r="U1014" s="15">
        <f>IF($Q1014&lt;&gt;"Yes","",IF(COUNTIFS(nrES_PID,$D1014,nrES_Code,$F1014,nrES_Att,2)&gt;0,"Retested",IF(OR($T1014="",NOT(ISNUMBER($T1014))),"Pending",IF(TODAY()&gt;$T1014,"OVERDUE","Due "&amp;TEXT($T1014,"mm/dd")))))</f>
        <v/>
      </c>
      <c r="V1014" s="14" t="n"/>
      <c r="W1014" s="14" t="n"/>
    </row>
    <row r="1015">
      <c r="B1015" s="15">
        <f>IF($C1015="","",$D1015&amp;"-"&amp;$F1015&amp;"-"&amp;$K1015)</f>
        <v/>
      </c>
      <c r="C1015" s="14" t="n"/>
      <c r="D1015" s="15">
        <f>IF($C1015="","",IFERROR(INDEX(rngCadetPIDs,MATCH($C1015,rngCadetNames,0)),"?"))</f>
        <v/>
      </c>
      <c r="E1015" s="15">
        <f>IF($D1015="","",IFERROR(INDEX(nrCadetAgency,MATCH($D1015,rngCadetPIDs,0)),""))</f>
        <v/>
      </c>
      <c r="F1015" s="14" t="n"/>
      <c r="G1015" s="15">
        <f>IF($F1015="","",IFERROR(INDEX(rngEPname,MATCH($F1015,rngEPcode,0)),"?"))</f>
        <v/>
      </c>
      <c r="H1015" s="15">
        <f>IF($F1015="","",IFERROR(INDEX(rngEPtype,MATCH($F1015,rngEPcode,0)),"?"))</f>
        <v/>
      </c>
      <c r="I1015" s="15">
        <f>IF($F1015="","",IFERROR(INDEX(rngEPseq,MATCH($F1015,rngEPcode,0)),""))</f>
        <v/>
      </c>
      <c r="J1015" s="15">
        <f>IF($F1015="","",IFERROR(INDEX(rngEPpass,MATCH($F1015,rngEPcode,0)),cfgPassingScore))</f>
        <v/>
      </c>
      <c r="K1015" s="14" t="n"/>
      <c r="L1015" s="14" t="n"/>
      <c r="M1015" s="15">
        <f>IF($C1015="","",IF($L1015="","",IF($K1015=1,IF(COUNTIFS(nrES_PID,$D1015,nrES_Code,$F1015,nrES_Att,2)&gt;0,"",$L1015),IF(COUNTIFS(nrES_PID,$D1015,nrES_Code,$F1015,nrES_Att,1)=0,$L1015,IF($L1015&gt;=$J1015,cfgRetakeRecordedCap,SUMIFS(nrES_Raw,nrES_PID,$D1015,nrES_Code,$F1015,nrES_Att,1))))))</f>
        <v/>
      </c>
      <c r="N1015" s="15">
        <f>IF($C1015="","",IF($L1015="","",IF($L1015&gt;=$J1015,"Yes","No")))</f>
        <v/>
      </c>
      <c r="O1015" s="15">
        <f>IF($C1015="","",IF($M1015="","",IF($M1015&gt;=$J1015,"Yes","No")))</f>
        <v/>
      </c>
      <c r="P1015" s="15">
        <f>IF($C1015="","",IF($K1015="","",IF(COUNTIFS(nrES_PID,$D1015,nrES_Code,$F1015,nrES_Att,"&gt;"&amp;$K1015)=0,"Yes","No")))</f>
        <v/>
      </c>
      <c r="Q1015" s="15">
        <f>IF($C1015="","",IF($L1015="","",IF(AND($K1015=1,$L1015&lt;$J1015,COUNTIFS(nrES_PID,$D1015,nrES_Code,$F1015,nrES_Att,2)=0),"Yes","No")))</f>
        <v/>
      </c>
      <c r="R1015" s="15">
        <f>IF($C1015="","",IF($L1015="","",IF(AND($K1015=2,$L1015&lt;$J1015,COUNTIFS(nrES_PID,$D1015,nrES_Code,$F1015,nrES_Att,1)&gt;0),"Yes","No")))</f>
        <v/>
      </c>
      <c r="S1015" s="16" t="n"/>
      <c r="T1015" s="17">
        <f>IF($Q1015&lt;&gt;"Yes","",IF($S1015="","(enter date)",_xlfn.LET(_xlpm.dn,IFERROR(_xlfn.XLOOKUP($S1015,nrCDdate,nrCDnum),""),IF(_xlpm.dn="","(not a class day)",IFERROR(_xlfn.XLOOKUP(_xlpm.dn+cfgRetestClassDays,nrCDnum,nrCDdate),"")))))</f>
        <v/>
      </c>
      <c r="U1015" s="15">
        <f>IF($Q1015&lt;&gt;"Yes","",IF(COUNTIFS(nrES_PID,$D1015,nrES_Code,$F1015,nrES_Att,2)&gt;0,"Retested",IF(OR($T1015="",NOT(ISNUMBER($T1015))),"Pending",IF(TODAY()&gt;$T1015,"OVERDUE","Due "&amp;TEXT($T1015,"mm/dd")))))</f>
        <v/>
      </c>
      <c r="V1015" s="14" t="n"/>
      <c r="W1015" s="14" t="n"/>
    </row>
    <row r="1016">
      <c r="B1016" s="15">
        <f>IF($C1016="","",$D1016&amp;"-"&amp;$F1016&amp;"-"&amp;$K1016)</f>
        <v/>
      </c>
      <c r="C1016" s="14" t="n"/>
      <c r="D1016" s="15">
        <f>IF($C1016="","",IFERROR(INDEX(rngCadetPIDs,MATCH($C1016,rngCadetNames,0)),"?"))</f>
        <v/>
      </c>
      <c r="E1016" s="15">
        <f>IF($D1016="","",IFERROR(INDEX(nrCadetAgency,MATCH($D1016,rngCadetPIDs,0)),""))</f>
        <v/>
      </c>
      <c r="F1016" s="14" t="n"/>
      <c r="G1016" s="15">
        <f>IF($F1016="","",IFERROR(INDEX(rngEPname,MATCH($F1016,rngEPcode,0)),"?"))</f>
        <v/>
      </c>
      <c r="H1016" s="15">
        <f>IF($F1016="","",IFERROR(INDEX(rngEPtype,MATCH($F1016,rngEPcode,0)),"?"))</f>
        <v/>
      </c>
      <c r="I1016" s="15">
        <f>IF($F1016="","",IFERROR(INDEX(rngEPseq,MATCH($F1016,rngEPcode,0)),""))</f>
        <v/>
      </c>
      <c r="J1016" s="15">
        <f>IF($F1016="","",IFERROR(INDEX(rngEPpass,MATCH($F1016,rngEPcode,0)),cfgPassingScore))</f>
        <v/>
      </c>
      <c r="K1016" s="14" t="n"/>
      <c r="L1016" s="14" t="n"/>
      <c r="M1016" s="15">
        <f>IF($C1016="","",IF($L1016="","",IF($K1016=1,IF(COUNTIFS(nrES_PID,$D1016,nrES_Code,$F1016,nrES_Att,2)&gt;0,"",$L1016),IF(COUNTIFS(nrES_PID,$D1016,nrES_Code,$F1016,nrES_Att,1)=0,$L1016,IF($L1016&gt;=$J1016,cfgRetakeRecordedCap,SUMIFS(nrES_Raw,nrES_PID,$D1016,nrES_Code,$F1016,nrES_Att,1))))))</f>
        <v/>
      </c>
      <c r="N1016" s="15">
        <f>IF($C1016="","",IF($L1016="","",IF($L1016&gt;=$J1016,"Yes","No")))</f>
        <v/>
      </c>
      <c r="O1016" s="15">
        <f>IF($C1016="","",IF($M1016="","",IF($M1016&gt;=$J1016,"Yes","No")))</f>
        <v/>
      </c>
      <c r="P1016" s="15">
        <f>IF($C1016="","",IF($K1016="","",IF(COUNTIFS(nrES_PID,$D1016,nrES_Code,$F1016,nrES_Att,"&gt;"&amp;$K1016)=0,"Yes","No")))</f>
        <v/>
      </c>
      <c r="Q1016" s="15">
        <f>IF($C1016="","",IF($L1016="","",IF(AND($K1016=1,$L1016&lt;$J1016,COUNTIFS(nrES_PID,$D1016,nrES_Code,$F1016,nrES_Att,2)=0),"Yes","No")))</f>
        <v/>
      </c>
      <c r="R1016" s="15">
        <f>IF($C1016="","",IF($L1016="","",IF(AND($K1016=2,$L1016&lt;$J1016,COUNTIFS(nrES_PID,$D1016,nrES_Code,$F1016,nrES_Att,1)&gt;0),"Yes","No")))</f>
        <v/>
      </c>
      <c r="S1016" s="16" t="n"/>
      <c r="T1016" s="17">
        <f>IF($Q1016&lt;&gt;"Yes","",IF($S1016="","(enter date)",_xlfn.LET(_xlpm.dn,IFERROR(_xlfn.XLOOKUP($S1016,nrCDdate,nrCDnum),""),IF(_xlpm.dn="","(not a class day)",IFERROR(_xlfn.XLOOKUP(_xlpm.dn+cfgRetestClassDays,nrCDnum,nrCDdate),"")))))</f>
        <v/>
      </c>
      <c r="U1016" s="15">
        <f>IF($Q1016&lt;&gt;"Yes","",IF(COUNTIFS(nrES_PID,$D1016,nrES_Code,$F1016,nrES_Att,2)&gt;0,"Retested",IF(OR($T1016="",NOT(ISNUMBER($T1016))),"Pending",IF(TODAY()&gt;$T1016,"OVERDUE","Due "&amp;TEXT($T1016,"mm/dd")))))</f>
        <v/>
      </c>
      <c r="V1016" s="14" t="n"/>
      <c r="W1016" s="14" t="n"/>
    </row>
    <row r="1017">
      <c r="B1017" s="15">
        <f>IF($C1017="","",$D1017&amp;"-"&amp;$F1017&amp;"-"&amp;$K1017)</f>
        <v/>
      </c>
      <c r="C1017" s="14" t="n"/>
      <c r="D1017" s="15">
        <f>IF($C1017="","",IFERROR(INDEX(rngCadetPIDs,MATCH($C1017,rngCadetNames,0)),"?"))</f>
        <v/>
      </c>
      <c r="E1017" s="15">
        <f>IF($D1017="","",IFERROR(INDEX(nrCadetAgency,MATCH($D1017,rngCadetPIDs,0)),""))</f>
        <v/>
      </c>
      <c r="F1017" s="14" t="n"/>
      <c r="G1017" s="15">
        <f>IF($F1017="","",IFERROR(INDEX(rngEPname,MATCH($F1017,rngEPcode,0)),"?"))</f>
        <v/>
      </c>
      <c r="H1017" s="15">
        <f>IF($F1017="","",IFERROR(INDEX(rngEPtype,MATCH($F1017,rngEPcode,0)),"?"))</f>
        <v/>
      </c>
      <c r="I1017" s="15">
        <f>IF($F1017="","",IFERROR(INDEX(rngEPseq,MATCH($F1017,rngEPcode,0)),""))</f>
        <v/>
      </c>
      <c r="J1017" s="15">
        <f>IF($F1017="","",IFERROR(INDEX(rngEPpass,MATCH($F1017,rngEPcode,0)),cfgPassingScore))</f>
        <v/>
      </c>
      <c r="K1017" s="14" t="n"/>
      <c r="L1017" s="14" t="n"/>
      <c r="M1017" s="15">
        <f>IF($C1017="","",IF($L1017="","",IF($K1017=1,IF(COUNTIFS(nrES_PID,$D1017,nrES_Code,$F1017,nrES_Att,2)&gt;0,"",$L1017),IF(COUNTIFS(nrES_PID,$D1017,nrES_Code,$F1017,nrES_Att,1)=0,$L1017,IF($L1017&gt;=$J1017,cfgRetakeRecordedCap,SUMIFS(nrES_Raw,nrES_PID,$D1017,nrES_Code,$F1017,nrES_Att,1))))))</f>
        <v/>
      </c>
      <c r="N1017" s="15">
        <f>IF($C1017="","",IF($L1017="","",IF($L1017&gt;=$J1017,"Yes","No")))</f>
        <v/>
      </c>
      <c r="O1017" s="15">
        <f>IF($C1017="","",IF($M1017="","",IF($M1017&gt;=$J1017,"Yes","No")))</f>
        <v/>
      </c>
      <c r="P1017" s="15">
        <f>IF($C1017="","",IF($K1017="","",IF(COUNTIFS(nrES_PID,$D1017,nrES_Code,$F1017,nrES_Att,"&gt;"&amp;$K1017)=0,"Yes","No")))</f>
        <v/>
      </c>
      <c r="Q1017" s="15">
        <f>IF($C1017="","",IF($L1017="","",IF(AND($K1017=1,$L1017&lt;$J1017,COUNTIFS(nrES_PID,$D1017,nrES_Code,$F1017,nrES_Att,2)=0),"Yes","No")))</f>
        <v/>
      </c>
      <c r="R1017" s="15">
        <f>IF($C1017="","",IF($L1017="","",IF(AND($K1017=2,$L1017&lt;$J1017,COUNTIFS(nrES_PID,$D1017,nrES_Code,$F1017,nrES_Att,1)&gt;0),"Yes","No")))</f>
        <v/>
      </c>
      <c r="S1017" s="16" t="n"/>
      <c r="T1017" s="17">
        <f>IF($Q1017&lt;&gt;"Yes","",IF($S1017="","(enter date)",_xlfn.LET(_xlpm.dn,IFERROR(_xlfn.XLOOKUP($S1017,nrCDdate,nrCDnum),""),IF(_xlpm.dn="","(not a class day)",IFERROR(_xlfn.XLOOKUP(_xlpm.dn+cfgRetestClassDays,nrCDnum,nrCDdate),"")))))</f>
        <v/>
      </c>
      <c r="U1017" s="15">
        <f>IF($Q1017&lt;&gt;"Yes","",IF(COUNTIFS(nrES_PID,$D1017,nrES_Code,$F1017,nrES_Att,2)&gt;0,"Retested",IF(OR($T1017="",NOT(ISNUMBER($T1017))),"Pending",IF(TODAY()&gt;$T1017,"OVERDUE","Due "&amp;TEXT($T1017,"mm/dd")))))</f>
        <v/>
      </c>
      <c r="V1017" s="14" t="n"/>
      <c r="W1017" s="14" t="n"/>
    </row>
    <row r="1018">
      <c r="B1018" s="15">
        <f>IF($C1018="","",$D1018&amp;"-"&amp;$F1018&amp;"-"&amp;$K1018)</f>
        <v/>
      </c>
      <c r="C1018" s="14" t="n"/>
      <c r="D1018" s="15">
        <f>IF($C1018="","",IFERROR(INDEX(rngCadetPIDs,MATCH($C1018,rngCadetNames,0)),"?"))</f>
        <v/>
      </c>
      <c r="E1018" s="15">
        <f>IF($D1018="","",IFERROR(INDEX(nrCadetAgency,MATCH($D1018,rngCadetPIDs,0)),""))</f>
        <v/>
      </c>
      <c r="F1018" s="14" t="n"/>
      <c r="G1018" s="15">
        <f>IF($F1018="","",IFERROR(INDEX(rngEPname,MATCH($F1018,rngEPcode,0)),"?"))</f>
        <v/>
      </c>
      <c r="H1018" s="15">
        <f>IF($F1018="","",IFERROR(INDEX(rngEPtype,MATCH($F1018,rngEPcode,0)),"?"))</f>
        <v/>
      </c>
      <c r="I1018" s="15">
        <f>IF($F1018="","",IFERROR(INDEX(rngEPseq,MATCH($F1018,rngEPcode,0)),""))</f>
        <v/>
      </c>
      <c r="J1018" s="15">
        <f>IF($F1018="","",IFERROR(INDEX(rngEPpass,MATCH($F1018,rngEPcode,0)),cfgPassingScore))</f>
        <v/>
      </c>
      <c r="K1018" s="14" t="n"/>
      <c r="L1018" s="14" t="n"/>
      <c r="M1018" s="15">
        <f>IF($C1018="","",IF($L1018="","",IF($K1018=1,IF(COUNTIFS(nrES_PID,$D1018,nrES_Code,$F1018,nrES_Att,2)&gt;0,"",$L1018),IF(COUNTIFS(nrES_PID,$D1018,nrES_Code,$F1018,nrES_Att,1)=0,$L1018,IF($L1018&gt;=$J1018,cfgRetakeRecordedCap,SUMIFS(nrES_Raw,nrES_PID,$D1018,nrES_Code,$F1018,nrES_Att,1))))))</f>
        <v/>
      </c>
      <c r="N1018" s="15">
        <f>IF($C1018="","",IF($L1018="","",IF($L1018&gt;=$J1018,"Yes","No")))</f>
        <v/>
      </c>
      <c r="O1018" s="15">
        <f>IF($C1018="","",IF($M1018="","",IF($M1018&gt;=$J1018,"Yes","No")))</f>
        <v/>
      </c>
      <c r="P1018" s="15">
        <f>IF($C1018="","",IF($K1018="","",IF(COUNTIFS(nrES_PID,$D1018,nrES_Code,$F1018,nrES_Att,"&gt;"&amp;$K1018)=0,"Yes","No")))</f>
        <v/>
      </c>
      <c r="Q1018" s="15">
        <f>IF($C1018="","",IF($L1018="","",IF(AND($K1018=1,$L1018&lt;$J1018,COUNTIFS(nrES_PID,$D1018,nrES_Code,$F1018,nrES_Att,2)=0),"Yes","No")))</f>
        <v/>
      </c>
      <c r="R1018" s="15">
        <f>IF($C1018="","",IF($L1018="","",IF(AND($K1018=2,$L1018&lt;$J1018,COUNTIFS(nrES_PID,$D1018,nrES_Code,$F1018,nrES_Att,1)&gt;0),"Yes","No")))</f>
        <v/>
      </c>
      <c r="S1018" s="16" t="n"/>
      <c r="T1018" s="17">
        <f>IF($Q1018&lt;&gt;"Yes","",IF($S1018="","(enter date)",_xlfn.LET(_xlpm.dn,IFERROR(_xlfn.XLOOKUP($S1018,nrCDdate,nrCDnum),""),IF(_xlpm.dn="","(not a class day)",IFERROR(_xlfn.XLOOKUP(_xlpm.dn+cfgRetestClassDays,nrCDnum,nrCDdate),"")))))</f>
        <v/>
      </c>
      <c r="U1018" s="15">
        <f>IF($Q1018&lt;&gt;"Yes","",IF(COUNTIFS(nrES_PID,$D1018,nrES_Code,$F1018,nrES_Att,2)&gt;0,"Retested",IF(OR($T1018="",NOT(ISNUMBER($T1018))),"Pending",IF(TODAY()&gt;$T1018,"OVERDUE","Due "&amp;TEXT($T1018,"mm/dd")))))</f>
        <v/>
      </c>
      <c r="V1018" s="14" t="n"/>
      <c r="W1018" s="14" t="n"/>
    </row>
    <row r="1019">
      <c r="B1019" s="15">
        <f>IF($C1019="","",$D1019&amp;"-"&amp;$F1019&amp;"-"&amp;$K1019)</f>
        <v/>
      </c>
      <c r="C1019" s="14" t="n"/>
      <c r="D1019" s="15">
        <f>IF($C1019="","",IFERROR(INDEX(rngCadetPIDs,MATCH($C1019,rngCadetNames,0)),"?"))</f>
        <v/>
      </c>
      <c r="E1019" s="15">
        <f>IF($D1019="","",IFERROR(INDEX(nrCadetAgency,MATCH($D1019,rngCadetPIDs,0)),""))</f>
        <v/>
      </c>
      <c r="F1019" s="14" t="n"/>
      <c r="G1019" s="15">
        <f>IF($F1019="","",IFERROR(INDEX(rngEPname,MATCH($F1019,rngEPcode,0)),"?"))</f>
        <v/>
      </c>
      <c r="H1019" s="15">
        <f>IF($F1019="","",IFERROR(INDEX(rngEPtype,MATCH($F1019,rngEPcode,0)),"?"))</f>
        <v/>
      </c>
      <c r="I1019" s="15">
        <f>IF($F1019="","",IFERROR(INDEX(rngEPseq,MATCH($F1019,rngEPcode,0)),""))</f>
        <v/>
      </c>
      <c r="J1019" s="15">
        <f>IF($F1019="","",IFERROR(INDEX(rngEPpass,MATCH($F1019,rngEPcode,0)),cfgPassingScore))</f>
        <v/>
      </c>
      <c r="K1019" s="14" t="n"/>
      <c r="L1019" s="14" t="n"/>
      <c r="M1019" s="15">
        <f>IF($C1019="","",IF($L1019="","",IF($K1019=1,IF(COUNTIFS(nrES_PID,$D1019,nrES_Code,$F1019,nrES_Att,2)&gt;0,"",$L1019),IF(COUNTIFS(nrES_PID,$D1019,nrES_Code,$F1019,nrES_Att,1)=0,$L1019,IF($L1019&gt;=$J1019,cfgRetakeRecordedCap,SUMIFS(nrES_Raw,nrES_PID,$D1019,nrES_Code,$F1019,nrES_Att,1))))))</f>
        <v/>
      </c>
      <c r="N1019" s="15">
        <f>IF($C1019="","",IF($L1019="","",IF($L1019&gt;=$J1019,"Yes","No")))</f>
        <v/>
      </c>
      <c r="O1019" s="15">
        <f>IF($C1019="","",IF($M1019="","",IF($M1019&gt;=$J1019,"Yes","No")))</f>
        <v/>
      </c>
      <c r="P1019" s="15">
        <f>IF($C1019="","",IF($K1019="","",IF(COUNTIFS(nrES_PID,$D1019,nrES_Code,$F1019,nrES_Att,"&gt;"&amp;$K1019)=0,"Yes","No")))</f>
        <v/>
      </c>
      <c r="Q1019" s="15">
        <f>IF($C1019="","",IF($L1019="","",IF(AND($K1019=1,$L1019&lt;$J1019,COUNTIFS(nrES_PID,$D1019,nrES_Code,$F1019,nrES_Att,2)=0),"Yes","No")))</f>
        <v/>
      </c>
      <c r="R1019" s="15">
        <f>IF($C1019="","",IF($L1019="","",IF(AND($K1019=2,$L1019&lt;$J1019,COUNTIFS(nrES_PID,$D1019,nrES_Code,$F1019,nrES_Att,1)&gt;0),"Yes","No")))</f>
        <v/>
      </c>
      <c r="S1019" s="16" t="n"/>
      <c r="T1019" s="17">
        <f>IF($Q1019&lt;&gt;"Yes","",IF($S1019="","(enter date)",_xlfn.LET(_xlpm.dn,IFERROR(_xlfn.XLOOKUP($S1019,nrCDdate,nrCDnum),""),IF(_xlpm.dn="","(not a class day)",IFERROR(_xlfn.XLOOKUP(_xlpm.dn+cfgRetestClassDays,nrCDnum,nrCDdate),"")))))</f>
        <v/>
      </c>
      <c r="U1019" s="15">
        <f>IF($Q1019&lt;&gt;"Yes","",IF(COUNTIFS(nrES_PID,$D1019,nrES_Code,$F1019,nrES_Att,2)&gt;0,"Retested",IF(OR($T1019="",NOT(ISNUMBER($T1019))),"Pending",IF(TODAY()&gt;$T1019,"OVERDUE","Due "&amp;TEXT($T1019,"mm/dd")))))</f>
        <v/>
      </c>
      <c r="V1019" s="14" t="n"/>
      <c r="W1019" s="14" t="n"/>
    </row>
    <row r="1020">
      <c r="B1020" s="15">
        <f>IF($C1020="","",$D1020&amp;"-"&amp;$F1020&amp;"-"&amp;$K1020)</f>
        <v/>
      </c>
      <c r="C1020" s="14" t="n"/>
      <c r="D1020" s="15">
        <f>IF($C1020="","",IFERROR(INDEX(rngCadetPIDs,MATCH($C1020,rngCadetNames,0)),"?"))</f>
        <v/>
      </c>
      <c r="E1020" s="15">
        <f>IF($D1020="","",IFERROR(INDEX(nrCadetAgency,MATCH($D1020,rngCadetPIDs,0)),""))</f>
        <v/>
      </c>
      <c r="F1020" s="14" t="n"/>
      <c r="G1020" s="15">
        <f>IF($F1020="","",IFERROR(INDEX(rngEPname,MATCH($F1020,rngEPcode,0)),"?"))</f>
        <v/>
      </c>
      <c r="H1020" s="15">
        <f>IF($F1020="","",IFERROR(INDEX(rngEPtype,MATCH($F1020,rngEPcode,0)),"?"))</f>
        <v/>
      </c>
      <c r="I1020" s="15">
        <f>IF($F1020="","",IFERROR(INDEX(rngEPseq,MATCH($F1020,rngEPcode,0)),""))</f>
        <v/>
      </c>
      <c r="J1020" s="15">
        <f>IF($F1020="","",IFERROR(INDEX(rngEPpass,MATCH($F1020,rngEPcode,0)),cfgPassingScore))</f>
        <v/>
      </c>
      <c r="K1020" s="14" t="n"/>
      <c r="L1020" s="14" t="n"/>
      <c r="M1020" s="15">
        <f>IF($C1020="","",IF($L1020="","",IF($K1020=1,IF(COUNTIFS(nrES_PID,$D1020,nrES_Code,$F1020,nrES_Att,2)&gt;0,"",$L1020),IF(COUNTIFS(nrES_PID,$D1020,nrES_Code,$F1020,nrES_Att,1)=0,$L1020,IF($L1020&gt;=$J1020,cfgRetakeRecordedCap,SUMIFS(nrES_Raw,nrES_PID,$D1020,nrES_Code,$F1020,nrES_Att,1))))))</f>
        <v/>
      </c>
      <c r="N1020" s="15">
        <f>IF($C1020="","",IF($L1020="","",IF($L1020&gt;=$J1020,"Yes","No")))</f>
        <v/>
      </c>
      <c r="O1020" s="15">
        <f>IF($C1020="","",IF($M1020="","",IF($M1020&gt;=$J1020,"Yes","No")))</f>
        <v/>
      </c>
      <c r="P1020" s="15">
        <f>IF($C1020="","",IF($K1020="","",IF(COUNTIFS(nrES_PID,$D1020,nrES_Code,$F1020,nrES_Att,"&gt;"&amp;$K1020)=0,"Yes","No")))</f>
        <v/>
      </c>
      <c r="Q1020" s="15">
        <f>IF($C1020="","",IF($L1020="","",IF(AND($K1020=1,$L1020&lt;$J1020,COUNTIFS(nrES_PID,$D1020,nrES_Code,$F1020,nrES_Att,2)=0),"Yes","No")))</f>
        <v/>
      </c>
      <c r="R1020" s="15">
        <f>IF($C1020="","",IF($L1020="","",IF(AND($K1020=2,$L1020&lt;$J1020,COUNTIFS(nrES_PID,$D1020,nrES_Code,$F1020,nrES_Att,1)&gt;0),"Yes","No")))</f>
        <v/>
      </c>
      <c r="S1020" s="16" t="n"/>
      <c r="T1020" s="17">
        <f>IF($Q1020&lt;&gt;"Yes","",IF($S1020="","(enter date)",_xlfn.LET(_xlpm.dn,IFERROR(_xlfn.XLOOKUP($S1020,nrCDdate,nrCDnum),""),IF(_xlpm.dn="","(not a class day)",IFERROR(_xlfn.XLOOKUP(_xlpm.dn+cfgRetestClassDays,nrCDnum,nrCDdate),"")))))</f>
        <v/>
      </c>
      <c r="U1020" s="15">
        <f>IF($Q1020&lt;&gt;"Yes","",IF(COUNTIFS(nrES_PID,$D1020,nrES_Code,$F1020,nrES_Att,2)&gt;0,"Retested",IF(OR($T1020="",NOT(ISNUMBER($T1020))),"Pending",IF(TODAY()&gt;$T1020,"OVERDUE","Due "&amp;TEXT($T1020,"mm/dd")))))</f>
        <v/>
      </c>
      <c r="V1020" s="14" t="n"/>
      <c r="W1020" s="14" t="n"/>
    </row>
    <row r="1021">
      <c r="B1021" s="15">
        <f>IF($C1021="","",$D1021&amp;"-"&amp;$F1021&amp;"-"&amp;$K1021)</f>
        <v/>
      </c>
      <c r="C1021" s="14" t="n"/>
      <c r="D1021" s="15">
        <f>IF($C1021="","",IFERROR(INDEX(rngCadetPIDs,MATCH($C1021,rngCadetNames,0)),"?"))</f>
        <v/>
      </c>
      <c r="E1021" s="15">
        <f>IF($D1021="","",IFERROR(INDEX(nrCadetAgency,MATCH($D1021,rngCadetPIDs,0)),""))</f>
        <v/>
      </c>
      <c r="F1021" s="14" t="n"/>
      <c r="G1021" s="15">
        <f>IF($F1021="","",IFERROR(INDEX(rngEPname,MATCH($F1021,rngEPcode,0)),"?"))</f>
        <v/>
      </c>
      <c r="H1021" s="15">
        <f>IF($F1021="","",IFERROR(INDEX(rngEPtype,MATCH($F1021,rngEPcode,0)),"?"))</f>
        <v/>
      </c>
      <c r="I1021" s="15">
        <f>IF($F1021="","",IFERROR(INDEX(rngEPseq,MATCH($F1021,rngEPcode,0)),""))</f>
        <v/>
      </c>
      <c r="J1021" s="15">
        <f>IF($F1021="","",IFERROR(INDEX(rngEPpass,MATCH($F1021,rngEPcode,0)),cfgPassingScore))</f>
        <v/>
      </c>
      <c r="K1021" s="14" t="n"/>
      <c r="L1021" s="14" t="n"/>
      <c r="M1021" s="15">
        <f>IF($C1021="","",IF($L1021="","",IF($K1021=1,IF(COUNTIFS(nrES_PID,$D1021,nrES_Code,$F1021,nrES_Att,2)&gt;0,"",$L1021),IF(COUNTIFS(nrES_PID,$D1021,nrES_Code,$F1021,nrES_Att,1)=0,$L1021,IF($L1021&gt;=$J1021,cfgRetakeRecordedCap,SUMIFS(nrES_Raw,nrES_PID,$D1021,nrES_Code,$F1021,nrES_Att,1))))))</f>
        <v/>
      </c>
      <c r="N1021" s="15">
        <f>IF($C1021="","",IF($L1021="","",IF($L1021&gt;=$J1021,"Yes","No")))</f>
        <v/>
      </c>
      <c r="O1021" s="15">
        <f>IF($C1021="","",IF($M1021="","",IF($M1021&gt;=$J1021,"Yes","No")))</f>
        <v/>
      </c>
      <c r="P1021" s="15">
        <f>IF($C1021="","",IF($K1021="","",IF(COUNTIFS(nrES_PID,$D1021,nrES_Code,$F1021,nrES_Att,"&gt;"&amp;$K1021)=0,"Yes","No")))</f>
        <v/>
      </c>
      <c r="Q1021" s="15">
        <f>IF($C1021="","",IF($L1021="","",IF(AND($K1021=1,$L1021&lt;$J1021,COUNTIFS(nrES_PID,$D1021,nrES_Code,$F1021,nrES_Att,2)=0),"Yes","No")))</f>
        <v/>
      </c>
      <c r="R1021" s="15">
        <f>IF($C1021="","",IF($L1021="","",IF(AND($K1021=2,$L1021&lt;$J1021,COUNTIFS(nrES_PID,$D1021,nrES_Code,$F1021,nrES_Att,1)&gt;0),"Yes","No")))</f>
        <v/>
      </c>
      <c r="S1021" s="16" t="n"/>
      <c r="T1021" s="17">
        <f>IF($Q1021&lt;&gt;"Yes","",IF($S1021="","(enter date)",_xlfn.LET(_xlpm.dn,IFERROR(_xlfn.XLOOKUP($S1021,nrCDdate,nrCDnum),""),IF(_xlpm.dn="","(not a class day)",IFERROR(_xlfn.XLOOKUP(_xlpm.dn+cfgRetestClassDays,nrCDnum,nrCDdate),"")))))</f>
        <v/>
      </c>
      <c r="U1021" s="15">
        <f>IF($Q1021&lt;&gt;"Yes","",IF(COUNTIFS(nrES_PID,$D1021,nrES_Code,$F1021,nrES_Att,2)&gt;0,"Retested",IF(OR($T1021="",NOT(ISNUMBER($T1021))),"Pending",IF(TODAY()&gt;$T1021,"OVERDUE","Due "&amp;TEXT($T1021,"mm/dd")))))</f>
        <v/>
      </c>
      <c r="V1021" s="14" t="n"/>
      <c r="W1021" s="14" t="n"/>
    </row>
    <row r="1022">
      <c r="B1022" s="15">
        <f>IF($C1022="","",$D1022&amp;"-"&amp;$F1022&amp;"-"&amp;$K1022)</f>
        <v/>
      </c>
      <c r="C1022" s="14" t="n"/>
      <c r="D1022" s="15">
        <f>IF($C1022="","",IFERROR(INDEX(rngCadetPIDs,MATCH($C1022,rngCadetNames,0)),"?"))</f>
        <v/>
      </c>
      <c r="E1022" s="15">
        <f>IF($D1022="","",IFERROR(INDEX(nrCadetAgency,MATCH($D1022,rngCadetPIDs,0)),""))</f>
        <v/>
      </c>
      <c r="F1022" s="14" t="n"/>
      <c r="G1022" s="15">
        <f>IF($F1022="","",IFERROR(INDEX(rngEPname,MATCH($F1022,rngEPcode,0)),"?"))</f>
        <v/>
      </c>
      <c r="H1022" s="15">
        <f>IF($F1022="","",IFERROR(INDEX(rngEPtype,MATCH($F1022,rngEPcode,0)),"?"))</f>
        <v/>
      </c>
      <c r="I1022" s="15">
        <f>IF($F1022="","",IFERROR(INDEX(rngEPseq,MATCH($F1022,rngEPcode,0)),""))</f>
        <v/>
      </c>
      <c r="J1022" s="15">
        <f>IF($F1022="","",IFERROR(INDEX(rngEPpass,MATCH($F1022,rngEPcode,0)),cfgPassingScore))</f>
        <v/>
      </c>
      <c r="K1022" s="14" t="n"/>
      <c r="L1022" s="14" t="n"/>
      <c r="M1022" s="15">
        <f>IF($C1022="","",IF($L1022="","",IF($K1022=1,IF(COUNTIFS(nrES_PID,$D1022,nrES_Code,$F1022,nrES_Att,2)&gt;0,"",$L1022),IF(COUNTIFS(nrES_PID,$D1022,nrES_Code,$F1022,nrES_Att,1)=0,$L1022,IF($L1022&gt;=$J1022,cfgRetakeRecordedCap,SUMIFS(nrES_Raw,nrES_PID,$D1022,nrES_Code,$F1022,nrES_Att,1))))))</f>
        <v/>
      </c>
      <c r="N1022" s="15">
        <f>IF($C1022="","",IF($L1022="","",IF($L1022&gt;=$J1022,"Yes","No")))</f>
        <v/>
      </c>
      <c r="O1022" s="15">
        <f>IF($C1022="","",IF($M1022="","",IF($M1022&gt;=$J1022,"Yes","No")))</f>
        <v/>
      </c>
      <c r="P1022" s="15">
        <f>IF($C1022="","",IF($K1022="","",IF(COUNTIFS(nrES_PID,$D1022,nrES_Code,$F1022,nrES_Att,"&gt;"&amp;$K1022)=0,"Yes","No")))</f>
        <v/>
      </c>
      <c r="Q1022" s="15">
        <f>IF($C1022="","",IF($L1022="","",IF(AND($K1022=1,$L1022&lt;$J1022,COUNTIFS(nrES_PID,$D1022,nrES_Code,$F1022,nrES_Att,2)=0),"Yes","No")))</f>
        <v/>
      </c>
      <c r="R1022" s="15">
        <f>IF($C1022="","",IF($L1022="","",IF(AND($K1022=2,$L1022&lt;$J1022,COUNTIFS(nrES_PID,$D1022,nrES_Code,$F1022,nrES_Att,1)&gt;0),"Yes","No")))</f>
        <v/>
      </c>
      <c r="S1022" s="16" t="n"/>
      <c r="T1022" s="17">
        <f>IF($Q1022&lt;&gt;"Yes","",IF($S1022="","(enter date)",_xlfn.LET(_xlpm.dn,IFERROR(_xlfn.XLOOKUP($S1022,nrCDdate,nrCDnum),""),IF(_xlpm.dn="","(not a class day)",IFERROR(_xlfn.XLOOKUP(_xlpm.dn+cfgRetestClassDays,nrCDnum,nrCDdate),"")))))</f>
        <v/>
      </c>
      <c r="U1022" s="15">
        <f>IF($Q1022&lt;&gt;"Yes","",IF(COUNTIFS(nrES_PID,$D1022,nrES_Code,$F1022,nrES_Att,2)&gt;0,"Retested",IF(OR($T1022="",NOT(ISNUMBER($T1022))),"Pending",IF(TODAY()&gt;$T1022,"OVERDUE","Due "&amp;TEXT($T1022,"mm/dd")))))</f>
        <v/>
      </c>
      <c r="V1022" s="14" t="n"/>
      <c r="W1022" s="14" t="n"/>
    </row>
    <row r="1023">
      <c r="B1023" s="15">
        <f>IF($C1023="","",$D1023&amp;"-"&amp;$F1023&amp;"-"&amp;$K1023)</f>
        <v/>
      </c>
      <c r="C1023" s="14" t="n"/>
      <c r="D1023" s="15">
        <f>IF($C1023="","",IFERROR(INDEX(rngCadetPIDs,MATCH($C1023,rngCadetNames,0)),"?"))</f>
        <v/>
      </c>
      <c r="E1023" s="15">
        <f>IF($D1023="","",IFERROR(INDEX(nrCadetAgency,MATCH($D1023,rngCadetPIDs,0)),""))</f>
        <v/>
      </c>
      <c r="F1023" s="14" t="n"/>
      <c r="G1023" s="15">
        <f>IF($F1023="","",IFERROR(INDEX(rngEPname,MATCH($F1023,rngEPcode,0)),"?"))</f>
        <v/>
      </c>
      <c r="H1023" s="15">
        <f>IF($F1023="","",IFERROR(INDEX(rngEPtype,MATCH($F1023,rngEPcode,0)),"?"))</f>
        <v/>
      </c>
      <c r="I1023" s="15">
        <f>IF($F1023="","",IFERROR(INDEX(rngEPseq,MATCH($F1023,rngEPcode,0)),""))</f>
        <v/>
      </c>
      <c r="J1023" s="15">
        <f>IF($F1023="","",IFERROR(INDEX(rngEPpass,MATCH($F1023,rngEPcode,0)),cfgPassingScore))</f>
        <v/>
      </c>
      <c r="K1023" s="14" t="n"/>
      <c r="L1023" s="14" t="n"/>
      <c r="M1023" s="15">
        <f>IF($C1023="","",IF($L1023="","",IF($K1023=1,IF(COUNTIFS(nrES_PID,$D1023,nrES_Code,$F1023,nrES_Att,2)&gt;0,"",$L1023),IF(COUNTIFS(nrES_PID,$D1023,nrES_Code,$F1023,nrES_Att,1)=0,$L1023,IF($L1023&gt;=$J1023,cfgRetakeRecordedCap,SUMIFS(nrES_Raw,nrES_PID,$D1023,nrES_Code,$F1023,nrES_Att,1))))))</f>
        <v/>
      </c>
      <c r="N1023" s="15">
        <f>IF($C1023="","",IF($L1023="","",IF($L1023&gt;=$J1023,"Yes","No")))</f>
        <v/>
      </c>
      <c r="O1023" s="15">
        <f>IF($C1023="","",IF($M1023="","",IF($M1023&gt;=$J1023,"Yes","No")))</f>
        <v/>
      </c>
      <c r="P1023" s="15">
        <f>IF($C1023="","",IF($K1023="","",IF(COUNTIFS(nrES_PID,$D1023,nrES_Code,$F1023,nrES_Att,"&gt;"&amp;$K1023)=0,"Yes","No")))</f>
        <v/>
      </c>
      <c r="Q1023" s="15">
        <f>IF($C1023="","",IF($L1023="","",IF(AND($K1023=1,$L1023&lt;$J1023,COUNTIFS(nrES_PID,$D1023,nrES_Code,$F1023,nrES_Att,2)=0),"Yes","No")))</f>
        <v/>
      </c>
      <c r="R1023" s="15">
        <f>IF($C1023="","",IF($L1023="","",IF(AND($K1023=2,$L1023&lt;$J1023,COUNTIFS(nrES_PID,$D1023,nrES_Code,$F1023,nrES_Att,1)&gt;0),"Yes","No")))</f>
        <v/>
      </c>
      <c r="S1023" s="16" t="n"/>
      <c r="T1023" s="17">
        <f>IF($Q1023&lt;&gt;"Yes","",IF($S1023="","(enter date)",_xlfn.LET(_xlpm.dn,IFERROR(_xlfn.XLOOKUP($S1023,nrCDdate,nrCDnum),""),IF(_xlpm.dn="","(not a class day)",IFERROR(_xlfn.XLOOKUP(_xlpm.dn+cfgRetestClassDays,nrCDnum,nrCDdate),"")))))</f>
        <v/>
      </c>
      <c r="U1023" s="15">
        <f>IF($Q1023&lt;&gt;"Yes","",IF(COUNTIFS(nrES_PID,$D1023,nrES_Code,$F1023,nrES_Att,2)&gt;0,"Retested",IF(OR($T1023="",NOT(ISNUMBER($T1023))),"Pending",IF(TODAY()&gt;$T1023,"OVERDUE","Due "&amp;TEXT($T1023,"mm/dd")))))</f>
        <v/>
      </c>
      <c r="V1023" s="14" t="n"/>
      <c r="W1023" s="14" t="n"/>
    </row>
    <row r="1024">
      <c r="B1024" s="15">
        <f>IF($C1024="","",$D1024&amp;"-"&amp;$F1024&amp;"-"&amp;$K1024)</f>
        <v/>
      </c>
      <c r="C1024" s="14" t="n"/>
      <c r="D1024" s="15">
        <f>IF($C1024="","",IFERROR(INDEX(rngCadetPIDs,MATCH($C1024,rngCadetNames,0)),"?"))</f>
        <v/>
      </c>
      <c r="E1024" s="15">
        <f>IF($D1024="","",IFERROR(INDEX(nrCadetAgency,MATCH($D1024,rngCadetPIDs,0)),""))</f>
        <v/>
      </c>
      <c r="F1024" s="14" t="n"/>
      <c r="G1024" s="15">
        <f>IF($F1024="","",IFERROR(INDEX(rngEPname,MATCH($F1024,rngEPcode,0)),"?"))</f>
        <v/>
      </c>
      <c r="H1024" s="15">
        <f>IF($F1024="","",IFERROR(INDEX(rngEPtype,MATCH($F1024,rngEPcode,0)),"?"))</f>
        <v/>
      </c>
      <c r="I1024" s="15">
        <f>IF($F1024="","",IFERROR(INDEX(rngEPseq,MATCH($F1024,rngEPcode,0)),""))</f>
        <v/>
      </c>
      <c r="J1024" s="15">
        <f>IF($F1024="","",IFERROR(INDEX(rngEPpass,MATCH($F1024,rngEPcode,0)),cfgPassingScore))</f>
        <v/>
      </c>
      <c r="K1024" s="14" t="n"/>
      <c r="L1024" s="14" t="n"/>
      <c r="M1024" s="15">
        <f>IF($C1024="","",IF($L1024="","",IF($K1024=1,IF(COUNTIFS(nrES_PID,$D1024,nrES_Code,$F1024,nrES_Att,2)&gt;0,"",$L1024),IF(COUNTIFS(nrES_PID,$D1024,nrES_Code,$F1024,nrES_Att,1)=0,$L1024,IF($L1024&gt;=$J1024,cfgRetakeRecordedCap,SUMIFS(nrES_Raw,nrES_PID,$D1024,nrES_Code,$F1024,nrES_Att,1))))))</f>
        <v/>
      </c>
      <c r="N1024" s="15">
        <f>IF($C1024="","",IF($L1024="","",IF($L1024&gt;=$J1024,"Yes","No")))</f>
        <v/>
      </c>
      <c r="O1024" s="15">
        <f>IF($C1024="","",IF($M1024="","",IF($M1024&gt;=$J1024,"Yes","No")))</f>
        <v/>
      </c>
      <c r="P1024" s="15">
        <f>IF($C1024="","",IF($K1024="","",IF(COUNTIFS(nrES_PID,$D1024,nrES_Code,$F1024,nrES_Att,"&gt;"&amp;$K1024)=0,"Yes","No")))</f>
        <v/>
      </c>
      <c r="Q1024" s="15">
        <f>IF($C1024="","",IF($L1024="","",IF(AND($K1024=1,$L1024&lt;$J1024,COUNTIFS(nrES_PID,$D1024,nrES_Code,$F1024,nrES_Att,2)=0),"Yes","No")))</f>
        <v/>
      </c>
      <c r="R1024" s="15">
        <f>IF($C1024="","",IF($L1024="","",IF(AND($K1024=2,$L1024&lt;$J1024,COUNTIFS(nrES_PID,$D1024,nrES_Code,$F1024,nrES_Att,1)&gt;0),"Yes","No")))</f>
        <v/>
      </c>
      <c r="S1024" s="16" t="n"/>
      <c r="T1024" s="17">
        <f>IF($Q1024&lt;&gt;"Yes","",IF($S1024="","(enter date)",_xlfn.LET(_xlpm.dn,IFERROR(_xlfn.XLOOKUP($S1024,nrCDdate,nrCDnum),""),IF(_xlpm.dn="","(not a class day)",IFERROR(_xlfn.XLOOKUP(_xlpm.dn+cfgRetestClassDays,nrCDnum,nrCDdate),"")))))</f>
        <v/>
      </c>
      <c r="U1024" s="15">
        <f>IF($Q1024&lt;&gt;"Yes","",IF(COUNTIFS(nrES_PID,$D1024,nrES_Code,$F1024,nrES_Att,2)&gt;0,"Retested",IF(OR($T1024="",NOT(ISNUMBER($T1024))),"Pending",IF(TODAY()&gt;$T1024,"OVERDUE","Due "&amp;TEXT($T1024,"mm/dd")))))</f>
        <v/>
      </c>
      <c r="V1024" s="14" t="n"/>
      <c r="W1024" s="14" t="n"/>
    </row>
    <row r="1025">
      <c r="B1025" s="15">
        <f>IF($C1025="","",$D1025&amp;"-"&amp;$F1025&amp;"-"&amp;$K1025)</f>
        <v/>
      </c>
      <c r="C1025" s="14" t="n"/>
      <c r="D1025" s="15">
        <f>IF($C1025="","",IFERROR(INDEX(rngCadetPIDs,MATCH($C1025,rngCadetNames,0)),"?"))</f>
        <v/>
      </c>
      <c r="E1025" s="15">
        <f>IF($D1025="","",IFERROR(INDEX(nrCadetAgency,MATCH($D1025,rngCadetPIDs,0)),""))</f>
        <v/>
      </c>
      <c r="F1025" s="14" t="n"/>
      <c r="G1025" s="15">
        <f>IF($F1025="","",IFERROR(INDEX(rngEPname,MATCH($F1025,rngEPcode,0)),"?"))</f>
        <v/>
      </c>
      <c r="H1025" s="15">
        <f>IF($F1025="","",IFERROR(INDEX(rngEPtype,MATCH($F1025,rngEPcode,0)),"?"))</f>
        <v/>
      </c>
      <c r="I1025" s="15">
        <f>IF($F1025="","",IFERROR(INDEX(rngEPseq,MATCH($F1025,rngEPcode,0)),""))</f>
        <v/>
      </c>
      <c r="J1025" s="15">
        <f>IF($F1025="","",IFERROR(INDEX(rngEPpass,MATCH($F1025,rngEPcode,0)),cfgPassingScore))</f>
        <v/>
      </c>
      <c r="K1025" s="14" t="n"/>
      <c r="L1025" s="14" t="n"/>
      <c r="M1025" s="15">
        <f>IF($C1025="","",IF($L1025="","",IF($K1025=1,IF(COUNTIFS(nrES_PID,$D1025,nrES_Code,$F1025,nrES_Att,2)&gt;0,"",$L1025),IF(COUNTIFS(nrES_PID,$D1025,nrES_Code,$F1025,nrES_Att,1)=0,$L1025,IF($L1025&gt;=$J1025,cfgRetakeRecordedCap,SUMIFS(nrES_Raw,nrES_PID,$D1025,nrES_Code,$F1025,nrES_Att,1))))))</f>
        <v/>
      </c>
      <c r="N1025" s="15">
        <f>IF($C1025="","",IF($L1025="","",IF($L1025&gt;=$J1025,"Yes","No")))</f>
        <v/>
      </c>
      <c r="O1025" s="15">
        <f>IF($C1025="","",IF($M1025="","",IF($M1025&gt;=$J1025,"Yes","No")))</f>
        <v/>
      </c>
      <c r="P1025" s="15">
        <f>IF($C1025="","",IF($K1025="","",IF(COUNTIFS(nrES_PID,$D1025,nrES_Code,$F1025,nrES_Att,"&gt;"&amp;$K1025)=0,"Yes","No")))</f>
        <v/>
      </c>
      <c r="Q1025" s="15">
        <f>IF($C1025="","",IF($L1025="","",IF(AND($K1025=1,$L1025&lt;$J1025,COUNTIFS(nrES_PID,$D1025,nrES_Code,$F1025,nrES_Att,2)=0),"Yes","No")))</f>
        <v/>
      </c>
      <c r="R1025" s="15">
        <f>IF($C1025="","",IF($L1025="","",IF(AND($K1025=2,$L1025&lt;$J1025,COUNTIFS(nrES_PID,$D1025,nrES_Code,$F1025,nrES_Att,1)&gt;0),"Yes","No")))</f>
        <v/>
      </c>
      <c r="S1025" s="16" t="n"/>
      <c r="T1025" s="17">
        <f>IF($Q1025&lt;&gt;"Yes","",IF($S1025="","(enter date)",_xlfn.LET(_xlpm.dn,IFERROR(_xlfn.XLOOKUP($S1025,nrCDdate,nrCDnum),""),IF(_xlpm.dn="","(not a class day)",IFERROR(_xlfn.XLOOKUP(_xlpm.dn+cfgRetestClassDays,nrCDnum,nrCDdate),"")))))</f>
        <v/>
      </c>
      <c r="U1025" s="15">
        <f>IF($Q1025&lt;&gt;"Yes","",IF(COUNTIFS(nrES_PID,$D1025,nrES_Code,$F1025,nrES_Att,2)&gt;0,"Retested",IF(OR($T1025="",NOT(ISNUMBER($T1025))),"Pending",IF(TODAY()&gt;$T1025,"OVERDUE","Due "&amp;TEXT($T1025,"mm/dd")))))</f>
        <v/>
      </c>
      <c r="V1025" s="14" t="n"/>
      <c r="W1025" s="14" t="n"/>
    </row>
    <row r="1026">
      <c r="B1026" s="15">
        <f>IF($C1026="","",$D1026&amp;"-"&amp;$F1026&amp;"-"&amp;$K1026)</f>
        <v/>
      </c>
      <c r="C1026" s="14" t="n"/>
      <c r="D1026" s="15">
        <f>IF($C1026="","",IFERROR(INDEX(rngCadetPIDs,MATCH($C1026,rngCadetNames,0)),"?"))</f>
        <v/>
      </c>
      <c r="E1026" s="15">
        <f>IF($D1026="","",IFERROR(INDEX(nrCadetAgency,MATCH($D1026,rngCadetPIDs,0)),""))</f>
        <v/>
      </c>
      <c r="F1026" s="14" t="n"/>
      <c r="G1026" s="15">
        <f>IF($F1026="","",IFERROR(INDEX(rngEPname,MATCH($F1026,rngEPcode,0)),"?"))</f>
        <v/>
      </c>
      <c r="H1026" s="15">
        <f>IF($F1026="","",IFERROR(INDEX(rngEPtype,MATCH($F1026,rngEPcode,0)),"?"))</f>
        <v/>
      </c>
      <c r="I1026" s="15">
        <f>IF($F1026="","",IFERROR(INDEX(rngEPseq,MATCH($F1026,rngEPcode,0)),""))</f>
        <v/>
      </c>
      <c r="J1026" s="15">
        <f>IF($F1026="","",IFERROR(INDEX(rngEPpass,MATCH($F1026,rngEPcode,0)),cfgPassingScore))</f>
        <v/>
      </c>
      <c r="K1026" s="14" t="n"/>
      <c r="L1026" s="14" t="n"/>
      <c r="M1026" s="15">
        <f>IF($C1026="","",IF($L1026="","",IF($K1026=1,IF(COUNTIFS(nrES_PID,$D1026,nrES_Code,$F1026,nrES_Att,2)&gt;0,"",$L1026),IF(COUNTIFS(nrES_PID,$D1026,nrES_Code,$F1026,nrES_Att,1)=0,$L1026,IF($L1026&gt;=$J1026,cfgRetakeRecordedCap,SUMIFS(nrES_Raw,nrES_PID,$D1026,nrES_Code,$F1026,nrES_Att,1))))))</f>
        <v/>
      </c>
      <c r="N1026" s="15">
        <f>IF($C1026="","",IF($L1026="","",IF($L1026&gt;=$J1026,"Yes","No")))</f>
        <v/>
      </c>
      <c r="O1026" s="15">
        <f>IF($C1026="","",IF($M1026="","",IF($M1026&gt;=$J1026,"Yes","No")))</f>
        <v/>
      </c>
      <c r="P1026" s="15">
        <f>IF($C1026="","",IF($K1026="","",IF(COUNTIFS(nrES_PID,$D1026,nrES_Code,$F1026,nrES_Att,"&gt;"&amp;$K1026)=0,"Yes","No")))</f>
        <v/>
      </c>
      <c r="Q1026" s="15">
        <f>IF($C1026="","",IF($L1026="","",IF(AND($K1026=1,$L1026&lt;$J1026,COUNTIFS(nrES_PID,$D1026,nrES_Code,$F1026,nrES_Att,2)=0),"Yes","No")))</f>
        <v/>
      </c>
      <c r="R1026" s="15">
        <f>IF($C1026="","",IF($L1026="","",IF(AND($K1026=2,$L1026&lt;$J1026,COUNTIFS(nrES_PID,$D1026,nrES_Code,$F1026,nrES_Att,1)&gt;0),"Yes","No")))</f>
        <v/>
      </c>
      <c r="S1026" s="16" t="n"/>
      <c r="T1026" s="17">
        <f>IF($Q1026&lt;&gt;"Yes","",IF($S1026="","(enter date)",_xlfn.LET(_xlpm.dn,IFERROR(_xlfn.XLOOKUP($S1026,nrCDdate,nrCDnum),""),IF(_xlpm.dn="","(not a class day)",IFERROR(_xlfn.XLOOKUP(_xlpm.dn+cfgRetestClassDays,nrCDnum,nrCDdate),"")))))</f>
        <v/>
      </c>
      <c r="U1026" s="15">
        <f>IF($Q1026&lt;&gt;"Yes","",IF(COUNTIFS(nrES_PID,$D1026,nrES_Code,$F1026,nrES_Att,2)&gt;0,"Retested",IF(OR($T1026="",NOT(ISNUMBER($T1026))),"Pending",IF(TODAY()&gt;$T1026,"OVERDUE","Due "&amp;TEXT($T1026,"mm/dd")))))</f>
        <v/>
      </c>
      <c r="V1026" s="14" t="n"/>
      <c r="W1026" s="14" t="n"/>
    </row>
    <row r="1027">
      <c r="B1027" s="15">
        <f>IF($C1027="","",$D1027&amp;"-"&amp;$F1027&amp;"-"&amp;$K1027)</f>
        <v/>
      </c>
      <c r="C1027" s="14" t="n"/>
      <c r="D1027" s="15">
        <f>IF($C1027="","",IFERROR(INDEX(rngCadetPIDs,MATCH($C1027,rngCadetNames,0)),"?"))</f>
        <v/>
      </c>
      <c r="E1027" s="15">
        <f>IF($D1027="","",IFERROR(INDEX(nrCadetAgency,MATCH($D1027,rngCadetPIDs,0)),""))</f>
        <v/>
      </c>
      <c r="F1027" s="14" t="n"/>
      <c r="G1027" s="15">
        <f>IF($F1027="","",IFERROR(INDEX(rngEPname,MATCH($F1027,rngEPcode,0)),"?"))</f>
        <v/>
      </c>
      <c r="H1027" s="15">
        <f>IF($F1027="","",IFERROR(INDEX(rngEPtype,MATCH($F1027,rngEPcode,0)),"?"))</f>
        <v/>
      </c>
      <c r="I1027" s="15">
        <f>IF($F1027="","",IFERROR(INDEX(rngEPseq,MATCH($F1027,rngEPcode,0)),""))</f>
        <v/>
      </c>
      <c r="J1027" s="15">
        <f>IF($F1027="","",IFERROR(INDEX(rngEPpass,MATCH($F1027,rngEPcode,0)),cfgPassingScore))</f>
        <v/>
      </c>
      <c r="K1027" s="14" t="n"/>
      <c r="L1027" s="14" t="n"/>
      <c r="M1027" s="15">
        <f>IF($C1027="","",IF($L1027="","",IF($K1027=1,IF(COUNTIFS(nrES_PID,$D1027,nrES_Code,$F1027,nrES_Att,2)&gt;0,"",$L1027),IF(COUNTIFS(nrES_PID,$D1027,nrES_Code,$F1027,nrES_Att,1)=0,$L1027,IF($L1027&gt;=$J1027,cfgRetakeRecordedCap,SUMIFS(nrES_Raw,nrES_PID,$D1027,nrES_Code,$F1027,nrES_Att,1))))))</f>
        <v/>
      </c>
      <c r="N1027" s="15">
        <f>IF($C1027="","",IF($L1027="","",IF($L1027&gt;=$J1027,"Yes","No")))</f>
        <v/>
      </c>
      <c r="O1027" s="15">
        <f>IF($C1027="","",IF($M1027="","",IF($M1027&gt;=$J1027,"Yes","No")))</f>
        <v/>
      </c>
      <c r="P1027" s="15">
        <f>IF($C1027="","",IF($K1027="","",IF(COUNTIFS(nrES_PID,$D1027,nrES_Code,$F1027,nrES_Att,"&gt;"&amp;$K1027)=0,"Yes","No")))</f>
        <v/>
      </c>
      <c r="Q1027" s="15">
        <f>IF($C1027="","",IF($L1027="","",IF(AND($K1027=1,$L1027&lt;$J1027,COUNTIFS(nrES_PID,$D1027,nrES_Code,$F1027,nrES_Att,2)=0),"Yes","No")))</f>
        <v/>
      </c>
      <c r="R1027" s="15">
        <f>IF($C1027="","",IF($L1027="","",IF(AND($K1027=2,$L1027&lt;$J1027,COUNTIFS(nrES_PID,$D1027,nrES_Code,$F1027,nrES_Att,1)&gt;0),"Yes","No")))</f>
        <v/>
      </c>
      <c r="S1027" s="16" t="n"/>
      <c r="T1027" s="17">
        <f>IF($Q1027&lt;&gt;"Yes","",IF($S1027="","(enter date)",_xlfn.LET(_xlpm.dn,IFERROR(_xlfn.XLOOKUP($S1027,nrCDdate,nrCDnum),""),IF(_xlpm.dn="","(not a class day)",IFERROR(_xlfn.XLOOKUP(_xlpm.dn+cfgRetestClassDays,nrCDnum,nrCDdate),"")))))</f>
        <v/>
      </c>
      <c r="U1027" s="15">
        <f>IF($Q1027&lt;&gt;"Yes","",IF(COUNTIFS(nrES_PID,$D1027,nrES_Code,$F1027,nrES_Att,2)&gt;0,"Retested",IF(OR($T1027="",NOT(ISNUMBER($T1027))),"Pending",IF(TODAY()&gt;$T1027,"OVERDUE","Due "&amp;TEXT($T1027,"mm/dd")))))</f>
        <v/>
      </c>
      <c r="V1027" s="14" t="n"/>
      <c r="W1027" s="14" t="n"/>
    </row>
    <row r="1028">
      <c r="B1028" s="15">
        <f>IF($C1028="","",$D1028&amp;"-"&amp;$F1028&amp;"-"&amp;$K1028)</f>
        <v/>
      </c>
      <c r="C1028" s="14" t="n"/>
      <c r="D1028" s="15">
        <f>IF($C1028="","",IFERROR(INDEX(rngCadetPIDs,MATCH($C1028,rngCadetNames,0)),"?"))</f>
        <v/>
      </c>
      <c r="E1028" s="15">
        <f>IF($D1028="","",IFERROR(INDEX(nrCadetAgency,MATCH($D1028,rngCadetPIDs,0)),""))</f>
        <v/>
      </c>
      <c r="F1028" s="14" t="n"/>
      <c r="G1028" s="15">
        <f>IF($F1028="","",IFERROR(INDEX(rngEPname,MATCH($F1028,rngEPcode,0)),"?"))</f>
        <v/>
      </c>
      <c r="H1028" s="15">
        <f>IF($F1028="","",IFERROR(INDEX(rngEPtype,MATCH($F1028,rngEPcode,0)),"?"))</f>
        <v/>
      </c>
      <c r="I1028" s="15">
        <f>IF($F1028="","",IFERROR(INDEX(rngEPseq,MATCH($F1028,rngEPcode,0)),""))</f>
        <v/>
      </c>
      <c r="J1028" s="15">
        <f>IF($F1028="","",IFERROR(INDEX(rngEPpass,MATCH($F1028,rngEPcode,0)),cfgPassingScore))</f>
        <v/>
      </c>
      <c r="K1028" s="14" t="n"/>
      <c r="L1028" s="14" t="n"/>
      <c r="M1028" s="15">
        <f>IF($C1028="","",IF($L1028="","",IF($K1028=1,IF(COUNTIFS(nrES_PID,$D1028,nrES_Code,$F1028,nrES_Att,2)&gt;0,"",$L1028),IF(COUNTIFS(nrES_PID,$D1028,nrES_Code,$F1028,nrES_Att,1)=0,$L1028,IF($L1028&gt;=$J1028,cfgRetakeRecordedCap,SUMIFS(nrES_Raw,nrES_PID,$D1028,nrES_Code,$F1028,nrES_Att,1))))))</f>
        <v/>
      </c>
      <c r="N1028" s="15">
        <f>IF($C1028="","",IF($L1028="","",IF($L1028&gt;=$J1028,"Yes","No")))</f>
        <v/>
      </c>
      <c r="O1028" s="15">
        <f>IF($C1028="","",IF($M1028="","",IF($M1028&gt;=$J1028,"Yes","No")))</f>
        <v/>
      </c>
      <c r="P1028" s="15">
        <f>IF($C1028="","",IF($K1028="","",IF(COUNTIFS(nrES_PID,$D1028,nrES_Code,$F1028,nrES_Att,"&gt;"&amp;$K1028)=0,"Yes","No")))</f>
        <v/>
      </c>
      <c r="Q1028" s="15">
        <f>IF($C1028="","",IF($L1028="","",IF(AND($K1028=1,$L1028&lt;$J1028,COUNTIFS(nrES_PID,$D1028,nrES_Code,$F1028,nrES_Att,2)=0),"Yes","No")))</f>
        <v/>
      </c>
      <c r="R1028" s="15">
        <f>IF($C1028="","",IF($L1028="","",IF(AND($K1028=2,$L1028&lt;$J1028,COUNTIFS(nrES_PID,$D1028,nrES_Code,$F1028,nrES_Att,1)&gt;0),"Yes","No")))</f>
        <v/>
      </c>
      <c r="S1028" s="16" t="n"/>
      <c r="T1028" s="17">
        <f>IF($Q1028&lt;&gt;"Yes","",IF($S1028="","(enter date)",_xlfn.LET(_xlpm.dn,IFERROR(_xlfn.XLOOKUP($S1028,nrCDdate,nrCDnum),""),IF(_xlpm.dn="","(not a class day)",IFERROR(_xlfn.XLOOKUP(_xlpm.dn+cfgRetestClassDays,nrCDnum,nrCDdate),"")))))</f>
        <v/>
      </c>
      <c r="U1028" s="15">
        <f>IF($Q1028&lt;&gt;"Yes","",IF(COUNTIFS(nrES_PID,$D1028,nrES_Code,$F1028,nrES_Att,2)&gt;0,"Retested",IF(OR($T1028="",NOT(ISNUMBER($T1028))),"Pending",IF(TODAY()&gt;$T1028,"OVERDUE","Due "&amp;TEXT($T1028,"mm/dd")))))</f>
        <v/>
      </c>
      <c r="V1028" s="14" t="n"/>
      <c r="W1028" s="14" t="n"/>
    </row>
    <row r="1029">
      <c r="B1029" s="15">
        <f>IF($C1029="","",$D1029&amp;"-"&amp;$F1029&amp;"-"&amp;$K1029)</f>
        <v/>
      </c>
      <c r="C1029" s="14" t="n"/>
      <c r="D1029" s="15">
        <f>IF($C1029="","",IFERROR(INDEX(rngCadetPIDs,MATCH($C1029,rngCadetNames,0)),"?"))</f>
        <v/>
      </c>
      <c r="E1029" s="15">
        <f>IF($D1029="","",IFERROR(INDEX(nrCadetAgency,MATCH($D1029,rngCadetPIDs,0)),""))</f>
        <v/>
      </c>
      <c r="F1029" s="14" t="n"/>
      <c r="G1029" s="15">
        <f>IF($F1029="","",IFERROR(INDEX(rngEPname,MATCH($F1029,rngEPcode,0)),"?"))</f>
        <v/>
      </c>
      <c r="H1029" s="15">
        <f>IF($F1029="","",IFERROR(INDEX(rngEPtype,MATCH($F1029,rngEPcode,0)),"?"))</f>
        <v/>
      </c>
      <c r="I1029" s="15">
        <f>IF($F1029="","",IFERROR(INDEX(rngEPseq,MATCH($F1029,rngEPcode,0)),""))</f>
        <v/>
      </c>
      <c r="J1029" s="15">
        <f>IF($F1029="","",IFERROR(INDEX(rngEPpass,MATCH($F1029,rngEPcode,0)),cfgPassingScore))</f>
        <v/>
      </c>
      <c r="K1029" s="14" t="n"/>
      <c r="L1029" s="14" t="n"/>
      <c r="M1029" s="15">
        <f>IF($C1029="","",IF($L1029="","",IF($K1029=1,IF(COUNTIFS(nrES_PID,$D1029,nrES_Code,$F1029,nrES_Att,2)&gt;0,"",$L1029),IF(COUNTIFS(nrES_PID,$D1029,nrES_Code,$F1029,nrES_Att,1)=0,$L1029,IF($L1029&gt;=$J1029,cfgRetakeRecordedCap,SUMIFS(nrES_Raw,nrES_PID,$D1029,nrES_Code,$F1029,nrES_Att,1))))))</f>
        <v/>
      </c>
      <c r="N1029" s="15">
        <f>IF($C1029="","",IF($L1029="","",IF($L1029&gt;=$J1029,"Yes","No")))</f>
        <v/>
      </c>
      <c r="O1029" s="15">
        <f>IF($C1029="","",IF($M1029="","",IF($M1029&gt;=$J1029,"Yes","No")))</f>
        <v/>
      </c>
      <c r="P1029" s="15">
        <f>IF($C1029="","",IF($K1029="","",IF(COUNTIFS(nrES_PID,$D1029,nrES_Code,$F1029,nrES_Att,"&gt;"&amp;$K1029)=0,"Yes","No")))</f>
        <v/>
      </c>
      <c r="Q1029" s="15">
        <f>IF($C1029="","",IF($L1029="","",IF(AND($K1029=1,$L1029&lt;$J1029,COUNTIFS(nrES_PID,$D1029,nrES_Code,$F1029,nrES_Att,2)=0),"Yes","No")))</f>
        <v/>
      </c>
      <c r="R1029" s="15">
        <f>IF($C1029="","",IF($L1029="","",IF(AND($K1029=2,$L1029&lt;$J1029,COUNTIFS(nrES_PID,$D1029,nrES_Code,$F1029,nrES_Att,1)&gt;0),"Yes","No")))</f>
        <v/>
      </c>
      <c r="S1029" s="16" t="n"/>
      <c r="T1029" s="17">
        <f>IF($Q1029&lt;&gt;"Yes","",IF($S1029="","(enter date)",_xlfn.LET(_xlpm.dn,IFERROR(_xlfn.XLOOKUP($S1029,nrCDdate,nrCDnum),""),IF(_xlpm.dn="","(not a class day)",IFERROR(_xlfn.XLOOKUP(_xlpm.dn+cfgRetestClassDays,nrCDnum,nrCDdate),"")))))</f>
        <v/>
      </c>
      <c r="U1029" s="15">
        <f>IF($Q1029&lt;&gt;"Yes","",IF(COUNTIFS(nrES_PID,$D1029,nrES_Code,$F1029,nrES_Att,2)&gt;0,"Retested",IF(OR($T1029="",NOT(ISNUMBER($T1029))),"Pending",IF(TODAY()&gt;$T1029,"OVERDUE","Due "&amp;TEXT($T1029,"mm/dd")))))</f>
        <v/>
      </c>
      <c r="V1029" s="14" t="n"/>
      <c r="W1029" s="14" t="n"/>
    </row>
    <row r="1030">
      <c r="B1030" s="15">
        <f>IF($C1030="","",$D1030&amp;"-"&amp;$F1030&amp;"-"&amp;$K1030)</f>
        <v/>
      </c>
      <c r="C1030" s="14" t="n"/>
      <c r="D1030" s="15">
        <f>IF($C1030="","",IFERROR(INDEX(rngCadetPIDs,MATCH($C1030,rngCadetNames,0)),"?"))</f>
        <v/>
      </c>
      <c r="E1030" s="15">
        <f>IF($D1030="","",IFERROR(INDEX(nrCadetAgency,MATCH($D1030,rngCadetPIDs,0)),""))</f>
        <v/>
      </c>
      <c r="F1030" s="14" t="n"/>
      <c r="G1030" s="15">
        <f>IF($F1030="","",IFERROR(INDEX(rngEPname,MATCH($F1030,rngEPcode,0)),"?"))</f>
        <v/>
      </c>
      <c r="H1030" s="15">
        <f>IF($F1030="","",IFERROR(INDEX(rngEPtype,MATCH($F1030,rngEPcode,0)),"?"))</f>
        <v/>
      </c>
      <c r="I1030" s="15">
        <f>IF($F1030="","",IFERROR(INDEX(rngEPseq,MATCH($F1030,rngEPcode,0)),""))</f>
        <v/>
      </c>
      <c r="J1030" s="15">
        <f>IF($F1030="","",IFERROR(INDEX(rngEPpass,MATCH($F1030,rngEPcode,0)),cfgPassingScore))</f>
        <v/>
      </c>
      <c r="K1030" s="14" t="n"/>
      <c r="L1030" s="14" t="n"/>
      <c r="M1030" s="15">
        <f>IF($C1030="","",IF($L1030="","",IF($K1030=1,IF(COUNTIFS(nrES_PID,$D1030,nrES_Code,$F1030,nrES_Att,2)&gt;0,"",$L1030),IF(COUNTIFS(nrES_PID,$D1030,nrES_Code,$F1030,nrES_Att,1)=0,$L1030,IF($L1030&gt;=$J1030,cfgRetakeRecordedCap,SUMIFS(nrES_Raw,nrES_PID,$D1030,nrES_Code,$F1030,nrES_Att,1))))))</f>
        <v/>
      </c>
      <c r="N1030" s="15">
        <f>IF($C1030="","",IF($L1030="","",IF($L1030&gt;=$J1030,"Yes","No")))</f>
        <v/>
      </c>
      <c r="O1030" s="15">
        <f>IF($C1030="","",IF($M1030="","",IF($M1030&gt;=$J1030,"Yes","No")))</f>
        <v/>
      </c>
      <c r="P1030" s="15">
        <f>IF($C1030="","",IF($K1030="","",IF(COUNTIFS(nrES_PID,$D1030,nrES_Code,$F1030,nrES_Att,"&gt;"&amp;$K1030)=0,"Yes","No")))</f>
        <v/>
      </c>
      <c r="Q1030" s="15">
        <f>IF($C1030="","",IF($L1030="","",IF(AND($K1030=1,$L1030&lt;$J1030,COUNTIFS(nrES_PID,$D1030,nrES_Code,$F1030,nrES_Att,2)=0),"Yes","No")))</f>
        <v/>
      </c>
      <c r="R1030" s="15">
        <f>IF($C1030="","",IF($L1030="","",IF(AND($K1030=2,$L1030&lt;$J1030,COUNTIFS(nrES_PID,$D1030,nrES_Code,$F1030,nrES_Att,1)&gt;0),"Yes","No")))</f>
        <v/>
      </c>
      <c r="S1030" s="16" t="n"/>
      <c r="T1030" s="17">
        <f>IF($Q1030&lt;&gt;"Yes","",IF($S1030="","(enter date)",_xlfn.LET(_xlpm.dn,IFERROR(_xlfn.XLOOKUP($S1030,nrCDdate,nrCDnum),""),IF(_xlpm.dn="","(not a class day)",IFERROR(_xlfn.XLOOKUP(_xlpm.dn+cfgRetestClassDays,nrCDnum,nrCDdate),"")))))</f>
        <v/>
      </c>
      <c r="U1030" s="15">
        <f>IF($Q1030&lt;&gt;"Yes","",IF(COUNTIFS(nrES_PID,$D1030,nrES_Code,$F1030,nrES_Att,2)&gt;0,"Retested",IF(OR($T1030="",NOT(ISNUMBER($T1030))),"Pending",IF(TODAY()&gt;$T1030,"OVERDUE","Due "&amp;TEXT($T1030,"mm/dd")))))</f>
        <v/>
      </c>
      <c r="V1030" s="14" t="n"/>
      <c r="W1030" s="14" t="n"/>
    </row>
    <row r="1031">
      <c r="B1031" s="15">
        <f>IF($C1031="","",$D1031&amp;"-"&amp;$F1031&amp;"-"&amp;$K1031)</f>
        <v/>
      </c>
      <c r="C1031" s="14" t="n"/>
      <c r="D1031" s="15">
        <f>IF($C1031="","",IFERROR(INDEX(rngCadetPIDs,MATCH($C1031,rngCadetNames,0)),"?"))</f>
        <v/>
      </c>
      <c r="E1031" s="15">
        <f>IF($D1031="","",IFERROR(INDEX(nrCadetAgency,MATCH($D1031,rngCadetPIDs,0)),""))</f>
        <v/>
      </c>
      <c r="F1031" s="14" t="n"/>
      <c r="G1031" s="15">
        <f>IF($F1031="","",IFERROR(INDEX(rngEPname,MATCH($F1031,rngEPcode,0)),"?"))</f>
        <v/>
      </c>
      <c r="H1031" s="15">
        <f>IF($F1031="","",IFERROR(INDEX(rngEPtype,MATCH($F1031,rngEPcode,0)),"?"))</f>
        <v/>
      </c>
      <c r="I1031" s="15">
        <f>IF($F1031="","",IFERROR(INDEX(rngEPseq,MATCH($F1031,rngEPcode,0)),""))</f>
        <v/>
      </c>
      <c r="J1031" s="15">
        <f>IF($F1031="","",IFERROR(INDEX(rngEPpass,MATCH($F1031,rngEPcode,0)),cfgPassingScore))</f>
        <v/>
      </c>
      <c r="K1031" s="14" t="n"/>
      <c r="L1031" s="14" t="n"/>
      <c r="M1031" s="15">
        <f>IF($C1031="","",IF($L1031="","",IF($K1031=1,IF(COUNTIFS(nrES_PID,$D1031,nrES_Code,$F1031,nrES_Att,2)&gt;0,"",$L1031),IF(COUNTIFS(nrES_PID,$D1031,nrES_Code,$F1031,nrES_Att,1)=0,$L1031,IF($L1031&gt;=$J1031,cfgRetakeRecordedCap,SUMIFS(nrES_Raw,nrES_PID,$D1031,nrES_Code,$F1031,nrES_Att,1))))))</f>
        <v/>
      </c>
      <c r="N1031" s="15">
        <f>IF($C1031="","",IF($L1031="","",IF($L1031&gt;=$J1031,"Yes","No")))</f>
        <v/>
      </c>
      <c r="O1031" s="15">
        <f>IF($C1031="","",IF($M1031="","",IF($M1031&gt;=$J1031,"Yes","No")))</f>
        <v/>
      </c>
      <c r="P1031" s="15">
        <f>IF($C1031="","",IF($K1031="","",IF(COUNTIFS(nrES_PID,$D1031,nrES_Code,$F1031,nrES_Att,"&gt;"&amp;$K1031)=0,"Yes","No")))</f>
        <v/>
      </c>
      <c r="Q1031" s="15">
        <f>IF($C1031="","",IF($L1031="","",IF(AND($K1031=1,$L1031&lt;$J1031,COUNTIFS(nrES_PID,$D1031,nrES_Code,$F1031,nrES_Att,2)=0),"Yes","No")))</f>
        <v/>
      </c>
      <c r="R1031" s="15">
        <f>IF($C1031="","",IF($L1031="","",IF(AND($K1031=2,$L1031&lt;$J1031,COUNTIFS(nrES_PID,$D1031,nrES_Code,$F1031,nrES_Att,1)&gt;0),"Yes","No")))</f>
        <v/>
      </c>
      <c r="S1031" s="16" t="n"/>
      <c r="T1031" s="17">
        <f>IF($Q1031&lt;&gt;"Yes","",IF($S1031="","(enter date)",_xlfn.LET(_xlpm.dn,IFERROR(_xlfn.XLOOKUP($S1031,nrCDdate,nrCDnum),""),IF(_xlpm.dn="","(not a class day)",IFERROR(_xlfn.XLOOKUP(_xlpm.dn+cfgRetestClassDays,nrCDnum,nrCDdate),"")))))</f>
        <v/>
      </c>
      <c r="U1031" s="15">
        <f>IF($Q1031&lt;&gt;"Yes","",IF(COUNTIFS(nrES_PID,$D1031,nrES_Code,$F1031,nrES_Att,2)&gt;0,"Retested",IF(OR($T1031="",NOT(ISNUMBER($T1031))),"Pending",IF(TODAY()&gt;$T1031,"OVERDUE","Due "&amp;TEXT($T1031,"mm/dd")))))</f>
        <v/>
      </c>
      <c r="V1031" s="14" t="n"/>
      <c r="W1031" s="14" t="n"/>
    </row>
    <row r="1032">
      <c r="B1032" s="15">
        <f>IF($C1032="","",$D1032&amp;"-"&amp;$F1032&amp;"-"&amp;$K1032)</f>
        <v/>
      </c>
      <c r="C1032" s="14" t="n"/>
      <c r="D1032" s="15">
        <f>IF($C1032="","",IFERROR(INDEX(rngCadetPIDs,MATCH($C1032,rngCadetNames,0)),"?"))</f>
        <v/>
      </c>
      <c r="E1032" s="15">
        <f>IF($D1032="","",IFERROR(INDEX(nrCadetAgency,MATCH($D1032,rngCadetPIDs,0)),""))</f>
        <v/>
      </c>
      <c r="F1032" s="14" t="n"/>
      <c r="G1032" s="15">
        <f>IF($F1032="","",IFERROR(INDEX(rngEPname,MATCH($F1032,rngEPcode,0)),"?"))</f>
        <v/>
      </c>
      <c r="H1032" s="15">
        <f>IF($F1032="","",IFERROR(INDEX(rngEPtype,MATCH($F1032,rngEPcode,0)),"?"))</f>
        <v/>
      </c>
      <c r="I1032" s="15">
        <f>IF($F1032="","",IFERROR(INDEX(rngEPseq,MATCH($F1032,rngEPcode,0)),""))</f>
        <v/>
      </c>
      <c r="J1032" s="15">
        <f>IF($F1032="","",IFERROR(INDEX(rngEPpass,MATCH($F1032,rngEPcode,0)),cfgPassingScore))</f>
        <v/>
      </c>
      <c r="K1032" s="14" t="n"/>
      <c r="L1032" s="14" t="n"/>
      <c r="M1032" s="15">
        <f>IF($C1032="","",IF($L1032="","",IF($K1032=1,IF(COUNTIFS(nrES_PID,$D1032,nrES_Code,$F1032,nrES_Att,2)&gt;0,"",$L1032),IF(COUNTIFS(nrES_PID,$D1032,nrES_Code,$F1032,nrES_Att,1)=0,$L1032,IF($L1032&gt;=$J1032,cfgRetakeRecordedCap,SUMIFS(nrES_Raw,nrES_PID,$D1032,nrES_Code,$F1032,nrES_Att,1))))))</f>
        <v/>
      </c>
      <c r="N1032" s="15">
        <f>IF($C1032="","",IF($L1032="","",IF($L1032&gt;=$J1032,"Yes","No")))</f>
        <v/>
      </c>
      <c r="O1032" s="15">
        <f>IF($C1032="","",IF($M1032="","",IF($M1032&gt;=$J1032,"Yes","No")))</f>
        <v/>
      </c>
      <c r="P1032" s="15">
        <f>IF($C1032="","",IF($K1032="","",IF(COUNTIFS(nrES_PID,$D1032,nrES_Code,$F1032,nrES_Att,"&gt;"&amp;$K1032)=0,"Yes","No")))</f>
        <v/>
      </c>
      <c r="Q1032" s="15">
        <f>IF($C1032="","",IF($L1032="","",IF(AND($K1032=1,$L1032&lt;$J1032,COUNTIFS(nrES_PID,$D1032,nrES_Code,$F1032,nrES_Att,2)=0),"Yes","No")))</f>
        <v/>
      </c>
      <c r="R1032" s="15">
        <f>IF($C1032="","",IF($L1032="","",IF(AND($K1032=2,$L1032&lt;$J1032,COUNTIFS(nrES_PID,$D1032,nrES_Code,$F1032,nrES_Att,1)&gt;0),"Yes","No")))</f>
        <v/>
      </c>
      <c r="S1032" s="16" t="n"/>
      <c r="T1032" s="17">
        <f>IF($Q1032&lt;&gt;"Yes","",IF($S1032="","(enter date)",_xlfn.LET(_xlpm.dn,IFERROR(_xlfn.XLOOKUP($S1032,nrCDdate,nrCDnum),""),IF(_xlpm.dn="","(not a class day)",IFERROR(_xlfn.XLOOKUP(_xlpm.dn+cfgRetestClassDays,nrCDnum,nrCDdate),"")))))</f>
        <v/>
      </c>
      <c r="U1032" s="15">
        <f>IF($Q1032&lt;&gt;"Yes","",IF(COUNTIFS(nrES_PID,$D1032,nrES_Code,$F1032,nrES_Att,2)&gt;0,"Retested",IF(OR($T1032="",NOT(ISNUMBER($T1032))),"Pending",IF(TODAY()&gt;$T1032,"OVERDUE","Due "&amp;TEXT($T1032,"mm/dd")))))</f>
        <v/>
      </c>
      <c r="V1032" s="14" t="n"/>
      <c r="W1032" s="14" t="n"/>
    </row>
    <row r="1033">
      <c r="B1033" s="15">
        <f>IF($C1033="","",$D1033&amp;"-"&amp;$F1033&amp;"-"&amp;$K1033)</f>
        <v/>
      </c>
      <c r="C1033" s="14" t="n"/>
      <c r="D1033" s="15">
        <f>IF($C1033="","",IFERROR(INDEX(rngCadetPIDs,MATCH($C1033,rngCadetNames,0)),"?"))</f>
        <v/>
      </c>
      <c r="E1033" s="15">
        <f>IF($D1033="","",IFERROR(INDEX(nrCadetAgency,MATCH($D1033,rngCadetPIDs,0)),""))</f>
        <v/>
      </c>
      <c r="F1033" s="14" t="n"/>
      <c r="G1033" s="15">
        <f>IF($F1033="","",IFERROR(INDEX(rngEPname,MATCH($F1033,rngEPcode,0)),"?"))</f>
        <v/>
      </c>
      <c r="H1033" s="15">
        <f>IF($F1033="","",IFERROR(INDEX(rngEPtype,MATCH($F1033,rngEPcode,0)),"?"))</f>
        <v/>
      </c>
      <c r="I1033" s="15">
        <f>IF($F1033="","",IFERROR(INDEX(rngEPseq,MATCH($F1033,rngEPcode,0)),""))</f>
        <v/>
      </c>
      <c r="J1033" s="15">
        <f>IF($F1033="","",IFERROR(INDEX(rngEPpass,MATCH($F1033,rngEPcode,0)),cfgPassingScore))</f>
        <v/>
      </c>
      <c r="K1033" s="14" t="n"/>
      <c r="L1033" s="14" t="n"/>
      <c r="M1033" s="15">
        <f>IF($C1033="","",IF($L1033="","",IF($K1033=1,IF(COUNTIFS(nrES_PID,$D1033,nrES_Code,$F1033,nrES_Att,2)&gt;0,"",$L1033),IF(COUNTIFS(nrES_PID,$D1033,nrES_Code,$F1033,nrES_Att,1)=0,$L1033,IF($L1033&gt;=$J1033,cfgRetakeRecordedCap,SUMIFS(nrES_Raw,nrES_PID,$D1033,nrES_Code,$F1033,nrES_Att,1))))))</f>
        <v/>
      </c>
      <c r="N1033" s="15">
        <f>IF($C1033="","",IF($L1033="","",IF($L1033&gt;=$J1033,"Yes","No")))</f>
        <v/>
      </c>
      <c r="O1033" s="15">
        <f>IF($C1033="","",IF($M1033="","",IF($M1033&gt;=$J1033,"Yes","No")))</f>
        <v/>
      </c>
      <c r="P1033" s="15">
        <f>IF($C1033="","",IF($K1033="","",IF(COUNTIFS(nrES_PID,$D1033,nrES_Code,$F1033,nrES_Att,"&gt;"&amp;$K1033)=0,"Yes","No")))</f>
        <v/>
      </c>
      <c r="Q1033" s="15">
        <f>IF($C1033="","",IF($L1033="","",IF(AND($K1033=1,$L1033&lt;$J1033,COUNTIFS(nrES_PID,$D1033,nrES_Code,$F1033,nrES_Att,2)=0),"Yes","No")))</f>
        <v/>
      </c>
      <c r="R1033" s="15">
        <f>IF($C1033="","",IF($L1033="","",IF(AND($K1033=2,$L1033&lt;$J1033,COUNTIFS(nrES_PID,$D1033,nrES_Code,$F1033,nrES_Att,1)&gt;0),"Yes","No")))</f>
        <v/>
      </c>
      <c r="S1033" s="16" t="n"/>
      <c r="T1033" s="17">
        <f>IF($Q1033&lt;&gt;"Yes","",IF($S1033="","(enter date)",_xlfn.LET(_xlpm.dn,IFERROR(_xlfn.XLOOKUP($S1033,nrCDdate,nrCDnum),""),IF(_xlpm.dn="","(not a class day)",IFERROR(_xlfn.XLOOKUP(_xlpm.dn+cfgRetestClassDays,nrCDnum,nrCDdate),"")))))</f>
        <v/>
      </c>
      <c r="U1033" s="15">
        <f>IF($Q1033&lt;&gt;"Yes","",IF(COUNTIFS(nrES_PID,$D1033,nrES_Code,$F1033,nrES_Att,2)&gt;0,"Retested",IF(OR($T1033="",NOT(ISNUMBER($T1033))),"Pending",IF(TODAY()&gt;$T1033,"OVERDUE","Due "&amp;TEXT($T1033,"mm/dd")))))</f>
        <v/>
      </c>
      <c r="V1033" s="14" t="n"/>
      <c r="W1033" s="14" t="n"/>
    </row>
    <row r="1034">
      <c r="B1034" s="15">
        <f>IF($C1034="","",$D1034&amp;"-"&amp;$F1034&amp;"-"&amp;$K1034)</f>
        <v/>
      </c>
      <c r="C1034" s="14" t="n"/>
      <c r="D1034" s="15">
        <f>IF($C1034="","",IFERROR(INDEX(rngCadetPIDs,MATCH($C1034,rngCadetNames,0)),"?"))</f>
        <v/>
      </c>
      <c r="E1034" s="15">
        <f>IF($D1034="","",IFERROR(INDEX(nrCadetAgency,MATCH($D1034,rngCadetPIDs,0)),""))</f>
        <v/>
      </c>
      <c r="F1034" s="14" t="n"/>
      <c r="G1034" s="15">
        <f>IF($F1034="","",IFERROR(INDEX(rngEPname,MATCH($F1034,rngEPcode,0)),"?"))</f>
        <v/>
      </c>
      <c r="H1034" s="15">
        <f>IF($F1034="","",IFERROR(INDEX(rngEPtype,MATCH($F1034,rngEPcode,0)),"?"))</f>
        <v/>
      </c>
      <c r="I1034" s="15">
        <f>IF($F1034="","",IFERROR(INDEX(rngEPseq,MATCH($F1034,rngEPcode,0)),""))</f>
        <v/>
      </c>
      <c r="J1034" s="15">
        <f>IF($F1034="","",IFERROR(INDEX(rngEPpass,MATCH($F1034,rngEPcode,0)),cfgPassingScore))</f>
        <v/>
      </c>
      <c r="K1034" s="14" t="n"/>
      <c r="L1034" s="14" t="n"/>
      <c r="M1034" s="15">
        <f>IF($C1034="","",IF($L1034="","",IF($K1034=1,IF(COUNTIFS(nrES_PID,$D1034,nrES_Code,$F1034,nrES_Att,2)&gt;0,"",$L1034),IF(COUNTIFS(nrES_PID,$D1034,nrES_Code,$F1034,nrES_Att,1)=0,$L1034,IF($L1034&gt;=$J1034,cfgRetakeRecordedCap,SUMIFS(nrES_Raw,nrES_PID,$D1034,nrES_Code,$F1034,nrES_Att,1))))))</f>
        <v/>
      </c>
      <c r="N1034" s="15">
        <f>IF($C1034="","",IF($L1034="","",IF($L1034&gt;=$J1034,"Yes","No")))</f>
        <v/>
      </c>
      <c r="O1034" s="15">
        <f>IF($C1034="","",IF($M1034="","",IF($M1034&gt;=$J1034,"Yes","No")))</f>
        <v/>
      </c>
      <c r="P1034" s="15">
        <f>IF($C1034="","",IF($K1034="","",IF(COUNTIFS(nrES_PID,$D1034,nrES_Code,$F1034,nrES_Att,"&gt;"&amp;$K1034)=0,"Yes","No")))</f>
        <v/>
      </c>
      <c r="Q1034" s="15">
        <f>IF($C1034="","",IF($L1034="","",IF(AND($K1034=1,$L1034&lt;$J1034,COUNTIFS(nrES_PID,$D1034,nrES_Code,$F1034,nrES_Att,2)=0),"Yes","No")))</f>
        <v/>
      </c>
      <c r="R1034" s="15">
        <f>IF($C1034="","",IF($L1034="","",IF(AND($K1034=2,$L1034&lt;$J1034,COUNTIFS(nrES_PID,$D1034,nrES_Code,$F1034,nrES_Att,1)&gt;0),"Yes","No")))</f>
        <v/>
      </c>
      <c r="S1034" s="16" t="n"/>
      <c r="T1034" s="17">
        <f>IF($Q1034&lt;&gt;"Yes","",IF($S1034="","(enter date)",_xlfn.LET(_xlpm.dn,IFERROR(_xlfn.XLOOKUP($S1034,nrCDdate,nrCDnum),""),IF(_xlpm.dn="","(not a class day)",IFERROR(_xlfn.XLOOKUP(_xlpm.dn+cfgRetestClassDays,nrCDnum,nrCDdate),"")))))</f>
        <v/>
      </c>
      <c r="U1034" s="15">
        <f>IF($Q1034&lt;&gt;"Yes","",IF(COUNTIFS(nrES_PID,$D1034,nrES_Code,$F1034,nrES_Att,2)&gt;0,"Retested",IF(OR($T1034="",NOT(ISNUMBER($T1034))),"Pending",IF(TODAY()&gt;$T1034,"OVERDUE","Due "&amp;TEXT($T1034,"mm/dd")))))</f>
        <v/>
      </c>
      <c r="V1034" s="14" t="n"/>
      <c r="W1034" s="14" t="n"/>
    </row>
    <row r="1035">
      <c r="B1035" s="15">
        <f>IF($C1035="","",$D1035&amp;"-"&amp;$F1035&amp;"-"&amp;$K1035)</f>
        <v/>
      </c>
      <c r="C1035" s="14" t="n"/>
      <c r="D1035" s="15">
        <f>IF($C1035="","",IFERROR(INDEX(rngCadetPIDs,MATCH($C1035,rngCadetNames,0)),"?"))</f>
        <v/>
      </c>
      <c r="E1035" s="15">
        <f>IF($D1035="","",IFERROR(INDEX(nrCadetAgency,MATCH($D1035,rngCadetPIDs,0)),""))</f>
        <v/>
      </c>
      <c r="F1035" s="14" t="n"/>
      <c r="G1035" s="15">
        <f>IF($F1035="","",IFERROR(INDEX(rngEPname,MATCH($F1035,rngEPcode,0)),"?"))</f>
        <v/>
      </c>
      <c r="H1035" s="15">
        <f>IF($F1035="","",IFERROR(INDEX(rngEPtype,MATCH($F1035,rngEPcode,0)),"?"))</f>
        <v/>
      </c>
      <c r="I1035" s="15">
        <f>IF($F1035="","",IFERROR(INDEX(rngEPseq,MATCH($F1035,rngEPcode,0)),""))</f>
        <v/>
      </c>
      <c r="J1035" s="15">
        <f>IF($F1035="","",IFERROR(INDEX(rngEPpass,MATCH($F1035,rngEPcode,0)),cfgPassingScore))</f>
        <v/>
      </c>
      <c r="K1035" s="14" t="n"/>
      <c r="L1035" s="14" t="n"/>
      <c r="M1035" s="15">
        <f>IF($C1035="","",IF($L1035="","",IF($K1035=1,IF(COUNTIFS(nrES_PID,$D1035,nrES_Code,$F1035,nrES_Att,2)&gt;0,"",$L1035),IF(COUNTIFS(nrES_PID,$D1035,nrES_Code,$F1035,nrES_Att,1)=0,$L1035,IF($L1035&gt;=$J1035,cfgRetakeRecordedCap,SUMIFS(nrES_Raw,nrES_PID,$D1035,nrES_Code,$F1035,nrES_Att,1))))))</f>
        <v/>
      </c>
      <c r="N1035" s="15">
        <f>IF($C1035="","",IF($L1035="","",IF($L1035&gt;=$J1035,"Yes","No")))</f>
        <v/>
      </c>
      <c r="O1035" s="15">
        <f>IF($C1035="","",IF($M1035="","",IF($M1035&gt;=$J1035,"Yes","No")))</f>
        <v/>
      </c>
      <c r="P1035" s="15">
        <f>IF($C1035="","",IF($K1035="","",IF(COUNTIFS(nrES_PID,$D1035,nrES_Code,$F1035,nrES_Att,"&gt;"&amp;$K1035)=0,"Yes","No")))</f>
        <v/>
      </c>
      <c r="Q1035" s="15">
        <f>IF($C1035="","",IF($L1035="","",IF(AND($K1035=1,$L1035&lt;$J1035,COUNTIFS(nrES_PID,$D1035,nrES_Code,$F1035,nrES_Att,2)=0),"Yes","No")))</f>
        <v/>
      </c>
      <c r="R1035" s="15">
        <f>IF($C1035="","",IF($L1035="","",IF(AND($K1035=2,$L1035&lt;$J1035,COUNTIFS(nrES_PID,$D1035,nrES_Code,$F1035,nrES_Att,1)&gt;0),"Yes","No")))</f>
        <v/>
      </c>
      <c r="S1035" s="16" t="n"/>
      <c r="T1035" s="17">
        <f>IF($Q1035&lt;&gt;"Yes","",IF($S1035="","(enter date)",_xlfn.LET(_xlpm.dn,IFERROR(_xlfn.XLOOKUP($S1035,nrCDdate,nrCDnum),""),IF(_xlpm.dn="","(not a class day)",IFERROR(_xlfn.XLOOKUP(_xlpm.dn+cfgRetestClassDays,nrCDnum,nrCDdate),"")))))</f>
        <v/>
      </c>
      <c r="U1035" s="15">
        <f>IF($Q1035&lt;&gt;"Yes","",IF(COUNTIFS(nrES_PID,$D1035,nrES_Code,$F1035,nrES_Att,2)&gt;0,"Retested",IF(OR($T1035="",NOT(ISNUMBER($T1035))),"Pending",IF(TODAY()&gt;$T1035,"OVERDUE","Due "&amp;TEXT($T1035,"mm/dd")))))</f>
        <v/>
      </c>
      <c r="V1035" s="14" t="n"/>
      <c r="W1035" s="14" t="n"/>
    </row>
    <row r="1036">
      <c r="B1036" s="15">
        <f>IF($C1036="","",$D1036&amp;"-"&amp;$F1036&amp;"-"&amp;$K1036)</f>
        <v/>
      </c>
      <c r="C1036" s="14" t="n"/>
      <c r="D1036" s="15">
        <f>IF($C1036="","",IFERROR(INDEX(rngCadetPIDs,MATCH($C1036,rngCadetNames,0)),"?"))</f>
        <v/>
      </c>
      <c r="E1036" s="15">
        <f>IF($D1036="","",IFERROR(INDEX(nrCadetAgency,MATCH($D1036,rngCadetPIDs,0)),""))</f>
        <v/>
      </c>
      <c r="F1036" s="14" t="n"/>
      <c r="G1036" s="15">
        <f>IF($F1036="","",IFERROR(INDEX(rngEPname,MATCH($F1036,rngEPcode,0)),"?"))</f>
        <v/>
      </c>
      <c r="H1036" s="15">
        <f>IF($F1036="","",IFERROR(INDEX(rngEPtype,MATCH($F1036,rngEPcode,0)),"?"))</f>
        <v/>
      </c>
      <c r="I1036" s="15">
        <f>IF($F1036="","",IFERROR(INDEX(rngEPseq,MATCH($F1036,rngEPcode,0)),""))</f>
        <v/>
      </c>
      <c r="J1036" s="15">
        <f>IF($F1036="","",IFERROR(INDEX(rngEPpass,MATCH($F1036,rngEPcode,0)),cfgPassingScore))</f>
        <v/>
      </c>
      <c r="K1036" s="14" t="n"/>
      <c r="L1036" s="14" t="n"/>
      <c r="M1036" s="15">
        <f>IF($C1036="","",IF($L1036="","",IF($K1036=1,IF(COUNTIFS(nrES_PID,$D1036,nrES_Code,$F1036,nrES_Att,2)&gt;0,"",$L1036),IF(COUNTIFS(nrES_PID,$D1036,nrES_Code,$F1036,nrES_Att,1)=0,$L1036,IF($L1036&gt;=$J1036,cfgRetakeRecordedCap,SUMIFS(nrES_Raw,nrES_PID,$D1036,nrES_Code,$F1036,nrES_Att,1))))))</f>
        <v/>
      </c>
      <c r="N1036" s="15">
        <f>IF($C1036="","",IF($L1036="","",IF($L1036&gt;=$J1036,"Yes","No")))</f>
        <v/>
      </c>
      <c r="O1036" s="15">
        <f>IF($C1036="","",IF($M1036="","",IF($M1036&gt;=$J1036,"Yes","No")))</f>
        <v/>
      </c>
      <c r="P1036" s="15">
        <f>IF($C1036="","",IF($K1036="","",IF(COUNTIFS(nrES_PID,$D1036,nrES_Code,$F1036,nrES_Att,"&gt;"&amp;$K1036)=0,"Yes","No")))</f>
        <v/>
      </c>
      <c r="Q1036" s="15">
        <f>IF($C1036="","",IF($L1036="","",IF(AND($K1036=1,$L1036&lt;$J1036,COUNTIFS(nrES_PID,$D1036,nrES_Code,$F1036,nrES_Att,2)=0),"Yes","No")))</f>
        <v/>
      </c>
      <c r="R1036" s="15">
        <f>IF($C1036="","",IF($L1036="","",IF(AND($K1036=2,$L1036&lt;$J1036,COUNTIFS(nrES_PID,$D1036,nrES_Code,$F1036,nrES_Att,1)&gt;0),"Yes","No")))</f>
        <v/>
      </c>
      <c r="S1036" s="16" t="n"/>
      <c r="T1036" s="17">
        <f>IF($Q1036&lt;&gt;"Yes","",IF($S1036="","(enter date)",_xlfn.LET(_xlpm.dn,IFERROR(_xlfn.XLOOKUP($S1036,nrCDdate,nrCDnum),""),IF(_xlpm.dn="","(not a class day)",IFERROR(_xlfn.XLOOKUP(_xlpm.dn+cfgRetestClassDays,nrCDnum,nrCDdate),"")))))</f>
        <v/>
      </c>
      <c r="U1036" s="15">
        <f>IF($Q1036&lt;&gt;"Yes","",IF(COUNTIFS(nrES_PID,$D1036,nrES_Code,$F1036,nrES_Att,2)&gt;0,"Retested",IF(OR($T1036="",NOT(ISNUMBER($T1036))),"Pending",IF(TODAY()&gt;$T1036,"OVERDUE","Due "&amp;TEXT($T1036,"mm/dd")))))</f>
        <v/>
      </c>
      <c r="V1036" s="14" t="n"/>
      <c r="W1036" s="14" t="n"/>
    </row>
    <row r="1037">
      <c r="B1037" s="15">
        <f>IF($C1037="","",$D1037&amp;"-"&amp;$F1037&amp;"-"&amp;$K1037)</f>
        <v/>
      </c>
      <c r="C1037" s="14" t="n"/>
      <c r="D1037" s="15">
        <f>IF($C1037="","",IFERROR(INDEX(rngCadetPIDs,MATCH($C1037,rngCadetNames,0)),"?"))</f>
        <v/>
      </c>
      <c r="E1037" s="15">
        <f>IF($D1037="","",IFERROR(INDEX(nrCadetAgency,MATCH($D1037,rngCadetPIDs,0)),""))</f>
        <v/>
      </c>
      <c r="F1037" s="14" t="n"/>
      <c r="G1037" s="15">
        <f>IF($F1037="","",IFERROR(INDEX(rngEPname,MATCH($F1037,rngEPcode,0)),"?"))</f>
        <v/>
      </c>
      <c r="H1037" s="15">
        <f>IF($F1037="","",IFERROR(INDEX(rngEPtype,MATCH($F1037,rngEPcode,0)),"?"))</f>
        <v/>
      </c>
      <c r="I1037" s="15">
        <f>IF($F1037="","",IFERROR(INDEX(rngEPseq,MATCH($F1037,rngEPcode,0)),""))</f>
        <v/>
      </c>
      <c r="J1037" s="15">
        <f>IF($F1037="","",IFERROR(INDEX(rngEPpass,MATCH($F1037,rngEPcode,0)),cfgPassingScore))</f>
        <v/>
      </c>
      <c r="K1037" s="14" t="n"/>
      <c r="L1037" s="14" t="n"/>
      <c r="M1037" s="15">
        <f>IF($C1037="","",IF($L1037="","",IF($K1037=1,IF(COUNTIFS(nrES_PID,$D1037,nrES_Code,$F1037,nrES_Att,2)&gt;0,"",$L1037),IF(COUNTIFS(nrES_PID,$D1037,nrES_Code,$F1037,nrES_Att,1)=0,$L1037,IF($L1037&gt;=$J1037,cfgRetakeRecordedCap,SUMIFS(nrES_Raw,nrES_PID,$D1037,nrES_Code,$F1037,nrES_Att,1))))))</f>
        <v/>
      </c>
      <c r="N1037" s="15">
        <f>IF($C1037="","",IF($L1037="","",IF($L1037&gt;=$J1037,"Yes","No")))</f>
        <v/>
      </c>
      <c r="O1037" s="15">
        <f>IF($C1037="","",IF($M1037="","",IF($M1037&gt;=$J1037,"Yes","No")))</f>
        <v/>
      </c>
      <c r="P1037" s="15">
        <f>IF($C1037="","",IF($K1037="","",IF(COUNTIFS(nrES_PID,$D1037,nrES_Code,$F1037,nrES_Att,"&gt;"&amp;$K1037)=0,"Yes","No")))</f>
        <v/>
      </c>
      <c r="Q1037" s="15">
        <f>IF($C1037="","",IF($L1037="","",IF(AND($K1037=1,$L1037&lt;$J1037,COUNTIFS(nrES_PID,$D1037,nrES_Code,$F1037,nrES_Att,2)=0),"Yes","No")))</f>
        <v/>
      </c>
      <c r="R1037" s="15">
        <f>IF($C1037="","",IF($L1037="","",IF(AND($K1037=2,$L1037&lt;$J1037,COUNTIFS(nrES_PID,$D1037,nrES_Code,$F1037,nrES_Att,1)&gt;0),"Yes","No")))</f>
        <v/>
      </c>
      <c r="S1037" s="16" t="n"/>
      <c r="T1037" s="17">
        <f>IF($Q1037&lt;&gt;"Yes","",IF($S1037="","(enter date)",_xlfn.LET(_xlpm.dn,IFERROR(_xlfn.XLOOKUP($S1037,nrCDdate,nrCDnum),""),IF(_xlpm.dn="","(not a class day)",IFERROR(_xlfn.XLOOKUP(_xlpm.dn+cfgRetestClassDays,nrCDnum,nrCDdate),"")))))</f>
        <v/>
      </c>
      <c r="U1037" s="15">
        <f>IF($Q1037&lt;&gt;"Yes","",IF(COUNTIFS(nrES_PID,$D1037,nrES_Code,$F1037,nrES_Att,2)&gt;0,"Retested",IF(OR($T1037="",NOT(ISNUMBER($T1037))),"Pending",IF(TODAY()&gt;$T1037,"OVERDUE","Due "&amp;TEXT($T1037,"mm/dd")))))</f>
        <v/>
      </c>
      <c r="V1037" s="14" t="n"/>
      <c r="W1037" s="14" t="n"/>
    </row>
    <row r="1038">
      <c r="B1038" s="15">
        <f>IF($C1038="","",$D1038&amp;"-"&amp;$F1038&amp;"-"&amp;$K1038)</f>
        <v/>
      </c>
      <c r="C1038" s="14" t="n"/>
      <c r="D1038" s="15">
        <f>IF($C1038="","",IFERROR(INDEX(rngCadetPIDs,MATCH($C1038,rngCadetNames,0)),"?"))</f>
        <v/>
      </c>
      <c r="E1038" s="15">
        <f>IF($D1038="","",IFERROR(INDEX(nrCadetAgency,MATCH($D1038,rngCadetPIDs,0)),""))</f>
        <v/>
      </c>
      <c r="F1038" s="14" t="n"/>
      <c r="G1038" s="15">
        <f>IF($F1038="","",IFERROR(INDEX(rngEPname,MATCH($F1038,rngEPcode,0)),"?"))</f>
        <v/>
      </c>
      <c r="H1038" s="15">
        <f>IF($F1038="","",IFERROR(INDEX(rngEPtype,MATCH($F1038,rngEPcode,0)),"?"))</f>
        <v/>
      </c>
      <c r="I1038" s="15">
        <f>IF($F1038="","",IFERROR(INDEX(rngEPseq,MATCH($F1038,rngEPcode,0)),""))</f>
        <v/>
      </c>
      <c r="J1038" s="15">
        <f>IF($F1038="","",IFERROR(INDEX(rngEPpass,MATCH($F1038,rngEPcode,0)),cfgPassingScore))</f>
        <v/>
      </c>
      <c r="K1038" s="14" t="n"/>
      <c r="L1038" s="14" t="n"/>
      <c r="M1038" s="15">
        <f>IF($C1038="","",IF($L1038="","",IF($K1038=1,IF(COUNTIFS(nrES_PID,$D1038,nrES_Code,$F1038,nrES_Att,2)&gt;0,"",$L1038),IF(COUNTIFS(nrES_PID,$D1038,nrES_Code,$F1038,nrES_Att,1)=0,$L1038,IF($L1038&gt;=$J1038,cfgRetakeRecordedCap,SUMIFS(nrES_Raw,nrES_PID,$D1038,nrES_Code,$F1038,nrES_Att,1))))))</f>
        <v/>
      </c>
      <c r="N1038" s="15">
        <f>IF($C1038="","",IF($L1038="","",IF($L1038&gt;=$J1038,"Yes","No")))</f>
        <v/>
      </c>
      <c r="O1038" s="15">
        <f>IF($C1038="","",IF($M1038="","",IF($M1038&gt;=$J1038,"Yes","No")))</f>
        <v/>
      </c>
      <c r="P1038" s="15">
        <f>IF($C1038="","",IF($K1038="","",IF(COUNTIFS(nrES_PID,$D1038,nrES_Code,$F1038,nrES_Att,"&gt;"&amp;$K1038)=0,"Yes","No")))</f>
        <v/>
      </c>
      <c r="Q1038" s="15">
        <f>IF($C1038="","",IF($L1038="","",IF(AND($K1038=1,$L1038&lt;$J1038,COUNTIFS(nrES_PID,$D1038,nrES_Code,$F1038,nrES_Att,2)=0),"Yes","No")))</f>
        <v/>
      </c>
      <c r="R1038" s="15">
        <f>IF($C1038="","",IF($L1038="","",IF(AND($K1038=2,$L1038&lt;$J1038,COUNTIFS(nrES_PID,$D1038,nrES_Code,$F1038,nrES_Att,1)&gt;0),"Yes","No")))</f>
        <v/>
      </c>
      <c r="S1038" s="16" t="n"/>
      <c r="T1038" s="17">
        <f>IF($Q1038&lt;&gt;"Yes","",IF($S1038="","(enter date)",_xlfn.LET(_xlpm.dn,IFERROR(_xlfn.XLOOKUP($S1038,nrCDdate,nrCDnum),""),IF(_xlpm.dn="","(not a class day)",IFERROR(_xlfn.XLOOKUP(_xlpm.dn+cfgRetestClassDays,nrCDnum,nrCDdate),"")))))</f>
        <v/>
      </c>
      <c r="U1038" s="15">
        <f>IF($Q1038&lt;&gt;"Yes","",IF(COUNTIFS(nrES_PID,$D1038,nrES_Code,$F1038,nrES_Att,2)&gt;0,"Retested",IF(OR($T1038="",NOT(ISNUMBER($T1038))),"Pending",IF(TODAY()&gt;$T1038,"OVERDUE","Due "&amp;TEXT($T1038,"mm/dd")))))</f>
        <v/>
      </c>
      <c r="V1038" s="14" t="n"/>
      <c r="W1038" s="14" t="n"/>
    </row>
    <row r="1039">
      <c r="B1039" s="15">
        <f>IF($C1039="","",$D1039&amp;"-"&amp;$F1039&amp;"-"&amp;$K1039)</f>
        <v/>
      </c>
      <c r="C1039" s="14" t="n"/>
      <c r="D1039" s="15">
        <f>IF($C1039="","",IFERROR(INDEX(rngCadetPIDs,MATCH($C1039,rngCadetNames,0)),"?"))</f>
        <v/>
      </c>
      <c r="E1039" s="15">
        <f>IF($D1039="","",IFERROR(INDEX(nrCadetAgency,MATCH($D1039,rngCadetPIDs,0)),""))</f>
        <v/>
      </c>
      <c r="F1039" s="14" t="n"/>
      <c r="G1039" s="15">
        <f>IF($F1039="","",IFERROR(INDEX(rngEPname,MATCH($F1039,rngEPcode,0)),"?"))</f>
        <v/>
      </c>
      <c r="H1039" s="15">
        <f>IF($F1039="","",IFERROR(INDEX(rngEPtype,MATCH($F1039,rngEPcode,0)),"?"))</f>
        <v/>
      </c>
      <c r="I1039" s="15">
        <f>IF($F1039="","",IFERROR(INDEX(rngEPseq,MATCH($F1039,rngEPcode,0)),""))</f>
        <v/>
      </c>
      <c r="J1039" s="15">
        <f>IF($F1039="","",IFERROR(INDEX(rngEPpass,MATCH($F1039,rngEPcode,0)),cfgPassingScore))</f>
        <v/>
      </c>
      <c r="K1039" s="14" t="n"/>
      <c r="L1039" s="14" t="n"/>
      <c r="M1039" s="15">
        <f>IF($C1039="","",IF($L1039="","",IF($K1039=1,IF(COUNTIFS(nrES_PID,$D1039,nrES_Code,$F1039,nrES_Att,2)&gt;0,"",$L1039),IF(COUNTIFS(nrES_PID,$D1039,nrES_Code,$F1039,nrES_Att,1)=0,$L1039,IF($L1039&gt;=$J1039,cfgRetakeRecordedCap,SUMIFS(nrES_Raw,nrES_PID,$D1039,nrES_Code,$F1039,nrES_Att,1))))))</f>
        <v/>
      </c>
      <c r="N1039" s="15">
        <f>IF($C1039="","",IF($L1039="","",IF($L1039&gt;=$J1039,"Yes","No")))</f>
        <v/>
      </c>
      <c r="O1039" s="15">
        <f>IF($C1039="","",IF($M1039="","",IF($M1039&gt;=$J1039,"Yes","No")))</f>
        <v/>
      </c>
      <c r="P1039" s="15">
        <f>IF($C1039="","",IF($K1039="","",IF(COUNTIFS(nrES_PID,$D1039,nrES_Code,$F1039,nrES_Att,"&gt;"&amp;$K1039)=0,"Yes","No")))</f>
        <v/>
      </c>
      <c r="Q1039" s="15">
        <f>IF($C1039="","",IF($L1039="","",IF(AND($K1039=1,$L1039&lt;$J1039,COUNTIFS(nrES_PID,$D1039,nrES_Code,$F1039,nrES_Att,2)=0),"Yes","No")))</f>
        <v/>
      </c>
      <c r="R1039" s="15">
        <f>IF($C1039="","",IF($L1039="","",IF(AND($K1039=2,$L1039&lt;$J1039,COUNTIFS(nrES_PID,$D1039,nrES_Code,$F1039,nrES_Att,1)&gt;0),"Yes","No")))</f>
        <v/>
      </c>
      <c r="S1039" s="16" t="n"/>
      <c r="T1039" s="17">
        <f>IF($Q1039&lt;&gt;"Yes","",IF($S1039="","(enter date)",_xlfn.LET(_xlpm.dn,IFERROR(_xlfn.XLOOKUP($S1039,nrCDdate,nrCDnum),""),IF(_xlpm.dn="","(not a class day)",IFERROR(_xlfn.XLOOKUP(_xlpm.dn+cfgRetestClassDays,nrCDnum,nrCDdate),"")))))</f>
        <v/>
      </c>
      <c r="U1039" s="15">
        <f>IF($Q1039&lt;&gt;"Yes","",IF(COUNTIFS(nrES_PID,$D1039,nrES_Code,$F1039,nrES_Att,2)&gt;0,"Retested",IF(OR($T1039="",NOT(ISNUMBER($T1039))),"Pending",IF(TODAY()&gt;$T1039,"OVERDUE","Due "&amp;TEXT($T1039,"mm/dd")))))</f>
        <v/>
      </c>
      <c r="V1039" s="14" t="n"/>
      <c r="W1039" s="14" t="n"/>
    </row>
    <row r="1040">
      <c r="B1040" s="15">
        <f>IF($C1040="","",$D1040&amp;"-"&amp;$F1040&amp;"-"&amp;$K1040)</f>
        <v/>
      </c>
      <c r="C1040" s="14" t="n"/>
      <c r="D1040" s="15">
        <f>IF($C1040="","",IFERROR(INDEX(rngCadetPIDs,MATCH($C1040,rngCadetNames,0)),"?"))</f>
        <v/>
      </c>
      <c r="E1040" s="15">
        <f>IF($D1040="","",IFERROR(INDEX(nrCadetAgency,MATCH($D1040,rngCadetPIDs,0)),""))</f>
        <v/>
      </c>
      <c r="F1040" s="14" t="n"/>
      <c r="G1040" s="15">
        <f>IF($F1040="","",IFERROR(INDEX(rngEPname,MATCH($F1040,rngEPcode,0)),"?"))</f>
        <v/>
      </c>
      <c r="H1040" s="15">
        <f>IF($F1040="","",IFERROR(INDEX(rngEPtype,MATCH($F1040,rngEPcode,0)),"?"))</f>
        <v/>
      </c>
      <c r="I1040" s="15">
        <f>IF($F1040="","",IFERROR(INDEX(rngEPseq,MATCH($F1040,rngEPcode,0)),""))</f>
        <v/>
      </c>
      <c r="J1040" s="15">
        <f>IF($F1040="","",IFERROR(INDEX(rngEPpass,MATCH($F1040,rngEPcode,0)),cfgPassingScore))</f>
        <v/>
      </c>
      <c r="K1040" s="14" t="n"/>
      <c r="L1040" s="14" t="n"/>
      <c r="M1040" s="15">
        <f>IF($C1040="","",IF($L1040="","",IF($K1040=1,IF(COUNTIFS(nrES_PID,$D1040,nrES_Code,$F1040,nrES_Att,2)&gt;0,"",$L1040),IF(COUNTIFS(nrES_PID,$D1040,nrES_Code,$F1040,nrES_Att,1)=0,$L1040,IF($L1040&gt;=$J1040,cfgRetakeRecordedCap,SUMIFS(nrES_Raw,nrES_PID,$D1040,nrES_Code,$F1040,nrES_Att,1))))))</f>
        <v/>
      </c>
      <c r="N1040" s="15">
        <f>IF($C1040="","",IF($L1040="","",IF($L1040&gt;=$J1040,"Yes","No")))</f>
        <v/>
      </c>
      <c r="O1040" s="15">
        <f>IF($C1040="","",IF($M1040="","",IF($M1040&gt;=$J1040,"Yes","No")))</f>
        <v/>
      </c>
      <c r="P1040" s="15">
        <f>IF($C1040="","",IF($K1040="","",IF(COUNTIFS(nrES_PID,$D1040,nrES_Code,$F1040,nrES_Att,"&gt;"&amp;$K1040)=0,"Yes","No")))</f>
        <v/>
      </c>
      <c r="Q1040" s="15">
        <f>IF($C1040="","",IF($L1040="","",IF(AND($K1040=1,$L1040&lt;$J1040,COUNTIFS(nrES_PID,$D1040,nrES_Code,$F1040,nrES_Att,2)=0),"Yes","No")))</f>
        <v/>
      </c>
      <c r="R1040" s="15">
        <f>IF($C1040="","",IF($L1040="","",IF(AND($K1040=2,$L1040&lt;$J1040,COUNTIFS(nrES_PID,$D1040,nrES_Code,$F1040,nrES_Att,1)&gt;0),"Yes","No")))</f>
        <v/>
      </c>
      <c r="S1040" s="16" t="n"/>
      <c r="T1040" s="17">
        <f>IF($Q1040&lt;&gt;"Yes","",IF($S1040="","(enter date)",_xlfn.LET(_xlpm.dn,IFERROR(_xlfn.XLOOKUP($S1040,nrCDdate,nrCDnum),""),IF(_xlpm.dn="","(not a class day)",IFERROR(_xlfn.XLOOKUP(_xlpm.dn+cfgRetestClassDays,nrCDnum,nrCDdate),"")))))</f>
        <v/>
      </c>
      <c r="U1040" s="15">
        <f>IF($Q1040&lt;&gt;"Yes","",IF(COUNTIFS(nrES_PID,$D1040,nrES_Code,$F1040,nrES_Att,2)&gt;0,"Retested",IF(OR($T1040="",NOT(ISNUMBER($T1040))),"Pending",IF(TODAY()&gt;$T1040,"OVERDUE","Due "&amp;TEXT($T1040,"mm/dd")))))</f>
        <v/>
      </c>
      <c r="V1040" s="14" t="n"/>
      <c r="W1040" s="14" t="n"/>
    </row>
    <row r="1041">
      <c r="B1041" s="15">
        <f>IF($C1041="","",$D1041&amp;"-"&amp;$F1041&amp;"-"&amp;$K1041)</f>
        <v/>
      </c>
      <c r="C1041" s="14" t="n"/>
      <c r="D1041" s="15">
        <f>IF($C1041="","",IFERROR(INDEX(rngCadetPIDs,MATCH($C1041,rngCadetNames,0)),"?"))</f>
        <v/>
      </c>
      <c r="E1041" s="15">
        <f>IF($D1041="","",IFERROR(INDEX(nrCadetAgency,MATCH($D1041,rngCadetPIDs,0)),""))</f>
        <v/>
      </c>
      <c r="F1041" s="14" t="n"/>
      <c r="G1041" s="15">
        <f>IF($F1041="","",IFERROR(INDEX(rngEPname,MATCH($F1041,rngEPcode,0)),"?"))</f>
        <v/>
      </c>
      <c r="H1041" s="15">
        <f>IF($F1041="","",IFERROR(INDEX(rngEPtype,MATCH($F1041,rngEPcode,0)),"?"))</f>
        <v/>
      </c>
      <c r="I1041" s="15">
        <f>IF($F1041="","",IFERROR(INDEX(rngEPseq,MATCH($F1041,rngEPcode,0)),""))</f>
        <v/>
      </c>
      <c r="J1041" s="15">
        <f>IF($F1041="","",IFERROR(INDEX(rngEPpass,MATCH($F1041,rngEPcode,0)),cfgPassingScore))</f>
        <v/>
      </c>
      <c r="K1041" s="14" t="n"/>
      <c r="L1041" s="14" t="n"/>
      <c r="M1041" s="15">
        <f>IF($C1041="","",IF($L1041="","",IF($K1041=1,IF(COUNTIFS(nrES_PID,$D1041,nrES_Code,$F1041,nrES_Att,2)&gt;0,"",$L1041),IF(COUNTIFS(nrES_PID,$D1041,nrES_Code,$F1041,nrES_Att,1)=0,$L1041,IF($L1041&gt;=$J1041,cfgRetakeRecordedCap,SUMIFS(nrES_Raw,nrES_PID,$D1041,nrES_Code,$F1041,nrES_Att,1))))))</f>
        <v/>
      </c>
      <c r="N1041" s="15">
        <f>IF($C1041="","",IF($L1041="","",IF($L1041&gt;=$J1041,"Yes","No")))</f>
        <v/>
      </c>
      <c r="O1041" s="15">
        <f>IF($C1041="","",IF($M1041="","",IF($M1041&gt;=$J1041,"Yes","No")))</f>
        <v/>
      </c>
      <c r="P1041" s="15">
        <f>IF($C1041="","",IF($K1041="","",IF(COUNTIFS(nrES_PID,$D1041,nrES_Code,$F1041,nrES_Att,"&gt;"&amp;$K1041)=0,"Yes","No")))</f>
        <v/>
      </c>
      <c r="Q1041" s="15">
        <f>IF($C1041="","",IF($L1041="","",IF(AND($K1041=1,$L1041&lt;$J1041,COUNTIFS(nrES_PID,$D1041,nrES_Code,$F1041,nrES_Att,2)=0),"Yes","No")))</f>
        <v/>
      </c>
      <c r="R1041" s="15">
        <f>IF($C1041="","",IF($L1041="","",IF(AND($K1041=2,$L1041&lt;$J1041,COUNTIFS(nrES_PID,$D1041,nrES_Code,$F1041,nrES_Att,1)&gt;0),"Yes","No")))</f>
        <v/>
      </c>
      <c r="S1041" s="16" t="n"/>
      <c r="T1041" s="17">
        <f>IF($Q1041&lt;&gt;"Yes","",IF($S1041="","(enter date)",_xlfn.LET(_xlpm.dn,IFERROR(_xlfn.XLOOKUP($S1041,nrCDdate,nrCDnum),""),IF(_xlpm.dn="","(not a class day)",IFERROR(_xlfn.XLOOKUP(_xlpm.dn+cfgRetestClassDays,nrCDnum,nrCDdate),"")))))</f>
        <v/>
      </c>
      <c r="U1041" s="15">
        <f>IF($Q1041&lt;&gt;"Yes","",IF(COUNTIFS(nrES_PID,$D1041,nrES_Code,$F1041,nrES_Att,2)&gt;0,"Retested",IF(OR($T1041="",NOT(ISNUMBER($T1041))),"Pending",IF(TODAY()&gt;$T1041,"OVERDUE","Due "&amp;TEXT($T1041,"mm/dd")))))</f>
        <v/>
      </c>
      <c r="V1041" s="14" t="n"/>
      <c r="W1041" s="14" t="n"/>
    </row>
    <row r="1042">
      <c r="B1042" s="15">
        <f>IF($C1042="","",$D1042&amp;"-"&amp;$F1042&amp;"-"&amp;$K1042)</f>
        <v/>
      </c>
      <c r="C1042" s="14" t="n"/>
      <c r="D1042" s="15">
        <f>IF($C1042="","",IFERROR(INDEX(rngCadetPIDs,MATCH($C1042,rngCadetNames,0)),"?"))</f>
        <v/>
      </c>
      <c r="E1042" s="15">
        <f>IF($D1042="","",IFERROR(INDEX(nrCadetAgency,MATCH($D1042,rngCadetPIDs,0)),""))</f>
        <v/>
      </c>
      <c r="F1042" s="14" t="n"/>
      <c r="G1042" s="15">
        <f>IF($F1042="","",IFERROR(INDEX(rngEPname,MATCH($F1042,rngEPcode,0)),"?"))</f>
        <v/>
      </c>
      <c r="H1042" s="15">
        <f>IF($F1042="","",IFERROR(INDEX(rngEPtype,MATCH($F1042,rngEPcode,0)),"?"))</f>
        <v/>
      </c>
      <c r="I1042" s="15">
        <f>IF($F1042="","",IFERROR(INDEX(rngEPseq,MATCH($F1042,rngEPcode,0)),""))</f>
        <v/>
      </c>
      <c r="J1042" s="15">
        <f>IF($F1042="","",IFERROR(INDEX(rngEPpass,MATCH($F1042,rngEPcode,0)),cfgPassingScore))</f>
        <v/>
      </c>
      <c r="K1042" s="14" t="n"/>
      <c r="L1042" s="14" t="n"/>
      <c r="M1042" s="15">
        <f>IF($C1042="","",IF($L1042="","",IF($K1042=1,IF(COUNTIFS(nrES_PID,$D1042,nrES_Code,$F1042,nrES_Att,2)&gt;0,"",$L1042),IF(COUNTIFS(nrES_PID,$D1042,nrES_Code,$F1042,nrES_Att,1)=0,$L1042,IF($L1042&gt;=$J1042,cfgRetakeRecordedCap,SUMIFS(nrES_Raw,nrES_PID,$D1042,nrES_Code,$F1042,nrES_Att,1))))))</f>
        <v/>
      </c>
      <c r="N1042" s="15">
        <f>IF($C1042="","",IF($L1042="","",IF($L1042&gt;=$J1042,"Yes","No")))</f>
        <v/>
      </c>
      <c r="O1042" s="15">
        <f>IF($C1042="","",IF($M1042="","",IF($M1042&gt;=$J1042,"Yes","No")))</f>
        <v/>
      </c>
      <c r="P1042" s="15">
        <f>IF($C1042="","",IF($K1042="","",IF(COUNTIFS(nrES_PID,$D1042,nrES_Code,$F1042,nrES_Att,"&gt;"&amp;$K1042)=0,"Yes","No")))</f>
        <v/>
      </c>
      <c r="Q1042" s="15">
        <f>IF($C1042="","",IF($L1042="","",IF(AND($K1042=1,$L1042&lt;$J1042,COUNTIFS(nrES_PID,$D1042,nrES_Code,$F1042,nrES_Att,2)=0),"Yes","No")))</f>
        <v/>
      </c>
      <c r="R1042" s="15">
        <f>IF($C1042="","",IF($L1042="","",IF(AND($K1042=2,$L1042&lt;$J1042,COUNTIFS(nrES_PID,$D1042,nrES_Code,$F1042,nrES_Att,1)&gt;0),"Yes","No")))</f>
        <v/>
      </c>
      <c r="S1042" s="16" t="n"/>
      <c r="T1042" s="17">
        <f>IF($Q1042&lt;&gt;"Yes","",IF($S1042="","(enter date)",_xlfn.LET(_xlpm.dn,IFERROR(_xlfn.XLOOKUP($S1042,nrCDdate,nrCDnum),""),IF(_xlpm.dn="","(not a class day)",IFERROR(_xlfn.XLOOKUP(_xlpm.dn+cfgRetestClassDays,nrCDnum,nrCDdate),"")))))</f>
        <v/>
      </c>
      <c r="U1042" s="15">
        <f>IF($Q1042&lt;&gt;"Yes","",IF(COUNTIFS(nrES_PID,$D1042,nrES_Code,$F1042,nrES_Att,2)&gt;0,"Retested",IF(OR($T1042="",NOT(ISNUMBER($T1042))),"Pending",IF(TODAY()&gt;$T1042,"OVERDUE","Due "&amp;TEXT($T1042,"mm/dd")))))</f>
        <v/>
      </c>
      <c r="V1042" s="14" t="n"/>
      <c r="W1042" s="14" t="n"/>
    </row>
    <row r="1043">
      <c r="B1043" s="15">
        <f>IF($C1043="","",$D1043&amp;"-"&amp;$F1043&amp;"-"&amp;$K1043)</f>
        <v/>
      </c>
      <c r="C1043" s="14" t="n"/>
      <c r="D1043" s="15">
        <f>IF($C1043="","",IFERROR(INDEX(rngCadetPIDs,MATCH($C1043,rngCadetNames,0)),"?"))</f>
        <v/>
      </c>
      <c r="E1043" s="15">
        <f>IF($D1043="","",IFERROR(INDEX(nrCadetAgency,MATCH($D1043,rngCadetPIDs,0)),""))</f>
        <v/>
      </c>
      <c r="F1043" s="14" t="n"/>
      <c r="G1043" s="15">
        <f>IF($F1043="","",IFERROR(INDEX(rngEPname,MATCH($F1043,rngEPcode,0)),"?"))</f>
        <v/>
      </c>
      <c r="H1043" s="15">
        <f>IF($F1043="","",IFERROR(INDEX(rngEPtype,MATCH($F1043,rngEPcode,0)),"?"))</f>
        <v/>
      </c>
      <c r="I1043" s="15">
        <f>IF($F1043="","",IFERROR(INDEX(rngEPseq,MATCH($F1043,rngEPcode,0)),""))</f>
        <v/>
      </c>
      <c r="J1043" s="15">
        <f>IF($F1043="","",IFERROR(INDEX(rngEPpass,MATCH($F1043,rngEPcode,0)),cfgPassingScore))</f>
        <v/>
      </c>
      <c r="K1043" s="14" t="n"/>
      <c r="L1043" s="14" t="n"/>
      <c r="M1043" s="15">
        <f>IF($C1043="","",IF($L1043="","",IF($K1043=1,IF(COUNTIFS(nrES_PID,$D1043,nrES_Code,$F1043,nrES_Att,2)&gt;0,"",$L1043),IF(COUNTIFS(nrES_PID,$D1043,nrES_Code,$F1043,nrES_Att,1)=0,$L1043,IF($L1043&gt;=$J1043,cfgRetakeRecordedCap,SUMIFS(nrES_Raw,nrES_PID,$D1043,nrES_Code,$F1043,nrES_Att,1))))))</f>
        <v/>
      </c>
      <c r="N1043" s="15">
        <f>IF($C1043="","",IF($L1043="","",IF($L1043&gt;=$J1043,"Yes","No")))</f>
        <v/>
      </c>
      <c r="O1043" s="15">
        <f>IF($C1043="","",IF($M1043="","",IF($M1043&gt;=$J1043,"Yes","No")))</f>
        <v/>
      </c>
      <c r="P1043" s="15">
        <f>IF($C1043="","",IF($K1043="","",IF(COUNTIFS(nrES_PID,$D1043,nrES_Code,$F1043,nrES_Att,"&gt;"&amp;$K1043)=0,"Yes","No")))</f>
        <v/>
      </c>
      <c r="Q1043" s="15">
        <f>IF($C1043="","",IF($L1043="","",IF(AND($K1043=1,$L1043&lt;$J1043,COUNTIFS(nrES_PID,$D1043,nrES_Code,$F1043,nrES_Att,2)=0),"Yes","No")))</f>
        <v/>
      </c>
      <c r="R1043" s="15">
        <f>IF($C1043="","",IF($L1043="","",IF(AND($K1043=2,$L1043&lt;$J1043,COUNTIFS(nrES_PID,$D1043,nrES_Code,$F1043,nrES_Att,1)&gt;0),"Yes","No")))</f>
        <v/>
      </c>
      <c r="S1043" s="16" t="n"/>
      <c r="T1043" s="17">
        <f>IF($Q1043&lt;&gt;"Yes","",IF($S1043="","(enter date)",_xlfn.LET(_xlpm.dn,IFERROR(_xlfn.XLOOKUP($S1043,nrCDdate,nrCDnum),""),IF(_xlpm.dn="","(not a class day)",IFERROR(_xlfn.XLOOKUP(_xlpm.dn+cfgRetestClassDays,nrCDnum,nrCDdate),"")))))</f>
        <v/>
      </c>
      <c r="U1043" s="15">
        <f>IF($Q1043&lt;&gt;"Yes","",IF(COUNTIFS(nrES_PID,$D1043,nrES_Code,$F1043,nrES_Att,2)&gt;0,"Retested",IF(OR($T1043="",NOT(ISNUMBER($T1043))),"Pending",IF(TODAY()&gt;$T1043,"OVERDUE","Due "&amp;TEXT($T1043,"mm/dd")))))</f>
        <v/>
      </c>
      <c r="V1043" s="14" t="n"/>
      <c r="W1043" s="14" t="n"/>
    </row>
    <row r="1044">
      <c r="B1044" s="15">
        <f>IF($C1044="","",$D1044&amp;"-"&amp;$F1044&amp;"-"&amp;$K1044)</f>
        <v/>
      </c>
      <c r="C1044" s="14" t="n"/>
      <c r="D1044" s="15">
        <f>IF($C1044="","",IFERROR(INDEX(rngCadetPIDs,MATCH($C1044,rngCadetNames,0)),"?"))</f>
        <v/>
      </c>
      <c r="E1044" s="15">
        <f>IF($D1044="","",IFERROR(INDEX(nrCadetAgency,MATCH($D1044,rngCadetPIDs,0)),""))</f>
        <v/>
      </c>
      <c r="F1044" s="14" t="n"/>
      <c r="G1044" s="15">
        <f>IF($F1044="","",IFERROR(INDEX(rngEPname,MATCH($F1044,rngEPcode,0)),"?"))</f>
        <v/>
      </c>
      <c r="H1044" s="15">
        <f>IF($F1044="","",IFERROR(INDEX(rngEPtype,MATCH($F1044,rngEPcode,0)),"?"))</f>
        <v/>
      </c>
      <c r="I1044" s="15">
        <f>IF($F1044="","",IFERROR(INDEX(rngEPseq,MATCH($F1044,rngEPcode,0)),""))</f>
        <v/>
      </c>
      <c r="J1044" s="15">
        <f>IF($F1044="","",IFERROR(INDEX(rngEPpass,MATCH($F1044,rngEPcode,0)),cfgPassingScore))</f>
        <v/>
      </c>
      <c r="K1044" s="14" t="n"/>
      <c r="L1044" s="14" t="n"/>
      <c r="M1044" s="15">
        <f>IF($C1044="","",IF($L1044="","",IF($K1044=1,IF(COUNTIFS(nrES_PID,$D1044,nrES_Code,$F1044,nrES_Att,2)&gt;0,"",$L1044),IF(COUNTIFS(nrES_PID,$D1044,nrES_Code,$F1044,nrES_Att,1)=0,$L1044,IF($L1044&gt;=$J1044,cfgRetakeRecordedCap,SUMIFS(nrES_Raw,nrES_PID,$D1044,nrES_Code,$F1044,nrES_Att,1))))))</f>
        <v/>
      </c>
      <c r="N1044" s="15">
        <f>IF($C1044="","",IF($L1044="","",IF($L1044&gt;=$J1044,"Yes","No")))</f>
        <v/>
      </c>
      <c r="O1044" s="15">
        <f>IF($C1044="","",IF($M1044="","",IF($M1044&gt;=$J1044,"Yes","No")))</f>
        <v/>
      </c>
      <c r="P1044" s="15">
        <f>IF($C1044="","",IF($K1044="","",IF(COUNTIFS(nrES_PID,$D1044,nrES_Code,$F1044,nrES_Att,"&gt;"&amp;$K1044)=0,"Yes","No")))</f>
        <v/>
      </c>
      <c r="Q1044" s="15">
        <f>IF($C1044="","",IF($L1044="","",IF(AND($K1044=1,$L1044&lt;$J1044,COUNTIFS(nrES_PID,$D1044,nrES_Code,$F1044,nrES_Att,2)=0),"Yes","No")))</f>
        <v/>
      </c>
      <c r="R1044" s="15">
        <f>IF($C1044="","",IF($L1044="","",IF(AND($K1044=2,$L1044&lt;$J1044,COUNTIFS(nrES_PID,$D1044,nrES_Code,$F1044,nrES_Att,1)&gt;0),"Yes","No")))</f>
        <v/>
      </c>
      <c r="S1044" s="16" t="n"/>
      <c r="T1044" s="17">
        <f>IF($Q1044&lt;&gt;"Yes","",IF($S1044="","(enter date)",_xlfn.LET(_xlpm.dn,IFERROR(_xlfn.XLOOKUP($S1044,nrCDdate,nrCDnum),""),IF(_xlpm.dn="","(not a class day)",IFERROR(_xlfn.XLOOKUP(_xlpm.dn+cfgRetestClassDays,nrCDnum,nrCDdate),"")))))</f>
        <v/>
      </c>
      <c r="U1044" s="15">
        <f>IF($Q1044&lt;&gt;"Yes","",IF(COUNTIFS(nrES_PID,$D1044,nrES_Code,$F1044,nrES_Att,2)&gt;0,"Retested",IF(OR($T1044="",NOT(ISNUMBER($T1044))),"Pending",IF(TODAY()&gt;$T1044,"OVERDUE","Due "&amp;TEXT($T1044,"mm/dd")))))</f>
        <v/>
      </c>
      <c r="V1044" s="14" t="n"/>
      <c r="W1044" s="14" t="n"/>
    </row>
    <row r="1045">
      <c r="B1045" s="15">
        <f>IF($C1045="","",$D1045&amp;"-"&amp;$F1045&amp;"-"&amp;$K1045)</f>
        <v/>
      </c>
      <c r="C1045" s="14" t="n"/>
      <c r="D1045" s="15">
        <f>IF($C1045="","",IFERROR(INDEX(rngCadetPIDs,MATCH($C1045,rngCadetNames,0)),"?"))</f>
        <v/>
      </c>
      <c r="E1045" s="15">
        <f>IF($D1045="","",IFERROR(INDEX(nrCadetAgency,MATCH($D1045,rngCadetPIDs,0)),""))</f>
        <v/>
      </c>
      <c r="F1045" s="14" t="n"/>
      <c r="G1045" s="15">
        <f>IF($F1045="","",IFERROR(INDEX(rngEPname,MATCH($F1045,rngEPcode,0)),"?"))</f>
        <v/>
      </c>
      <c r="H1045" s="15">
        <f>IF($F1045="","",IFERROR(INDEX(rngEPtype,MATCH($F1045,rngEPcode,0)),"?"))</f>
        <v/>
      </c>
      <c r="I1045" s="15">
        <f>IF($F1045="","",IFERROR(INDEX(rngEPseq,MATCH($F1045,rngEPcode,0)),""))</f>
        <v/>
      </c>
      <c r="J1045" s="15">
        <f>IF($F1045="","",IFERROR(INDEX(rngEPpass,MATCH($F1045,rngEPcode,0)),cfgPassingScore))</f>
        <v/>
      </c>
      <c r="K1045" s="14" t="n"/>
      <c r="L1045" s="14" t="n"/>
      <c r="M1045" s="15">
        <f>IF($C1045="","",IF($L1045="","",IF($K1045=1,IF(COUNTIFS(nrES_PID,$D1045,nrES_Code,$F1045,nrES_Att,2)&gt;0,"",$L1045),IF(COUNTIFS(nrES_PID,$D1045,nrES_Code,$F1045,nrES_Att,1)=0,$L1045,IF($L1045&gt;=$J1045,cfgRetakeRecordedCap,SUMIFS(nrES_Raw,nrES_PID,$D1045,nrES_Code,$F1045,nrES_Att,1))))))</f>
        <v/>
      </c>
      <c r="N1045" s="15">
        <f>IF($C1045="","",IF($L1045="","",IF($L1045&gt;=$J1045,"Yes","No")))</f>
        <v/>
      </c>
      <c r="O1045" s="15">
        <f>IF($C1045="","",IF($M1045="","",IF($M1045&gt;=$J1045,"Yes","No")))</f>
        <v/>
      </c>
      <c r="P1045" s="15">
        <f>IF($C1045="","",IF($K1045="","",IF(COUNTIFS(nrES_PID,$D1045,nrES_Code,$F1045,nrES_Att,"&gt;"&amp;$K1045)=0,"Yes","No")))</f>
        <v/>
      </c>
      <c r="Q1045" s="15">
        <f>IF($C1045="","",IF($L1045="","",IF(AND($K1045=1,$L1045&lt;$J1045,COUNTIFS(nrES_PID,$D1045,nrES_Code,$F1045,nrES_Att,2)=0),"Yes","No")))</f>
        <v/>
      </c>
      <c r="R1045" s="15">
        <f>IF($C1045="","",IF($L1045="","",IF(AND($K1045=2,$L1045&lt;$J1045,COUNTIFS(nrES_PID,$D1045,nrES_Code,$F1045,nrES_Att,1)&gt;0),"Yes","No")))</f>
        <v/>
      </c>
      <c r="S1045" s="16" t="n"/>
      <c r="T1045" s="17">
        <f>IF($Q1045&lt;&gt;"Yes","",IF($S1045="","(enter date)",_xlfn.LET(_xlpm.dn,IFERROR(_xlfn.XLOOKUP($S1045,nrCDdate,nrCDnum),""),IF(_xlpm.dn="","(not a class day)",IFERROR(_xlfn.XLOOKUP(_xlpm.dn+cfgRetestClassDays,nrCDnum,nrCDdate),"")))))</f>
        <v/>
      </c>
      <c r="U1045" s="15">
        <f>IF($Q1045&lt;&gt;"Yes","",IF(COUNTIFS(nrES_PID,$D1045,nrES_Code,$F1045,nrES_Att,2)&gt;0,"Retested",IF(OR($T1045="",NOT(ISNUMBER($T1045))),"Pending",IF(TODAY()&gt;$T1045,"OVERDUE","Due "&amp;TEXT($T1045,"mm/dd")))))</f>
        <v/>
      </c>
      <c r="V1045" s="14" t="n"/>
      <c r="W1045" s="14" t="n"/>
    </row>
    <row r="1046">
      <c r="B1046" s="15">
        <f>IF($C1046="","",$D1046&amp;"-"&amp;$F1046&amp;"-"&amp;$K1046)</f>
        <v/>
      </c>
      <c r="C1046" s="14" t="n"/>
      <c r="D1046" s="15">
        <f>IF($C1046="","",IFERROR(INDEX(rngCadetPIDs,MATCH($C1046,rngCadetNames,0)),"?"))</f>
        <v/>
      </c>
      <c r="E1046" s="15">
        <f>IF($D1046="","",IFERROR(INDEX(nrCadetAgency,MATCH($D1046,rngCadetPIDs,0)),""))</f>
        <v/>
      </c>
      <c r="F1046" s="14" t="n"/>
      <c r="G1046" s="15">
        <f>IF($F1046="","",IFERROR(INDEX(rngEPname,MATCH($F1046,rngEPcode,0)),"?"))</f>
        <v/>
      </c>
      <c r="H1046" s="15">
        <f>IF($F1046="","",IFERROR(INDEX(rngEPtype,MATCH($F1046,rngEPcode,0)),"?"))</f>
        <v/>
      </c>
      <c r="I1046" s="15">
        <f>IF($F1046="","",IFERROR(INDEX(rngEPseq,MATCH($F1046,rngEPcode,0)),""))</f>
        <v/>
      </c>
      <c r="J1046" s="15">
        <f>IF($F1046="","",IFERROR(INDEX(rngEPpass,MATCH($F1046,rngEPcode,0)),cfgPassingScore))</f>
        <v/>
      </c>
      <c r="K1046" s="14" t="n"/>
      <c r="L1046" s="14" t="n"/>
      <c r="M1046" s="15">
        <f>IF($C1046="","",IF($L1046="","",IF($K1046=1,IF(COUNTIFS(nrES_PID,$D1046,nrES_Code,$F1046,nrES_Att,2)&gt;0,"",$L1046),IF(COUNTIFS(nrES_PID,$D1046,nrES_Code,$F1046,nrES_Att,1)=0,$L1046,IF($L1046&gt;=$J1046,cfgRetakeRecordedCap,SUMIFS(nrES_Raw,nrES_PID,$D1046,nrES_Code,$F1046,nrES_Att,1))))))</f>
        <v/>
      </c>
      <c r="N1046" s="15">
        <f>IF($C1046="","",IF($L1046="","",IF($L1046&gt;=$J1046,"Yes","No")))</f>
        <v/>
      </c>
      <c r="O1046" s="15">
        <f>IF($C1046="","",IF($M1046="","",IF($M1046&gt;=$J1046,"Yes","No")))</f>
        <v/>
      </c>
      <c r="P1046" s="15">
        <f>IF($C1046="","",IF($K1046="","",IF(COUNTIFS(nrES_PID,$D1046,nrES_Code,$F1046,nrES_Att,"&gt;"&amp;$K1046)=0,"Yes","No")))</f>
        <v/>
      </c>
      <c r="Q1046" s="15">
        <f>IF($C1046="","",IF($L1046="","",IF(AND($K1046=1,$L1046&lt;$J1046,COUNTIFS(nrES_PID,$D1046,nrES_Code,$F1046,nrES_Att,2)=0),"Yes","No")))</f>
        <v/>
      </c>
      <c r="R1046" s="15">
        <f>IF($C1046="","",IF($L1046="","",IF(AND($K1046=2,$L1046&lt;$J1046,COUNTIFS(nrES_PID,$D1046,nrES_Code,$F1046,nrES_Att,1)&gt;0),"Yes","No")))</f>
        <v/>
      </c>
      <c r="S1046" s="16" t="n"/>
      <c r="T1046" s="17">
        <f>IF($Q1046&lt;&gt;"Yes","",IF($S1046="","(enter date)",_xlfn.LET(_xlpm.dn,IFERROR(_xlfn.XLOOKUP($S1046,nrCDdate,nrCDnum),""),IF(_xlpm.dn="","(not a class day)",IFERROR(_xlfn.XLOOKUP(_xlpm.dn+cfgRetestClassDays,nrCDnum,nrCDdate),"")))))</f>
        <v/>
      </c>
      <c r="U1046" s="15">
        <f>IF($Q1046&lt;&gt;"Yes","",IF(COUNTIFS(nrES_PID,$D1046,nrES_Code,$F1046,nrES_Att,2)&gt;0,"Retested",IF(OR($T1046="",NOT(ISNUMBER($T1046))),"Pending",IF(TODAY()&gt;$T1046,"OVERDUE","Due "&amp;TEXT($T1046,"mm/dd")))))</f>
        <v/>
      </c>
      <c r="V1046" s="14" t="n"/>
      <c r="W1046" s="14" t="n"/>
    </row>
    <row r="1047">
      <c r="B1047" s="15">
        <f>IF($C1047="","",$D1047&amp;"-"&amp;$F1047&amp;"-"&amp;$K1047)</f>
        <v/>
      </c>
      <c r="C1047" s="14" t="n"/>
      <c r="D1047" s="15">
        <f>IF($C1047="","",IFERROR(INDEX(rngCadetPIDs,MATCH($C1047,rngCadetNames,0)),"?"))</f>
        <v/>
      </c>
      <c r="E1047" s="15">
        <f>IF($D1047="","",IFERROR(INDEX(nrCadetAgency,MATCH($D1047,rngCadetPIDs,0)),""))</f>
        <v/>
      </c>
      <c r="F1047" s="14" t="n"/>
      <c r="G1047" s="15">
        <f>IF($F1047="","",IFERROR(INDEX(rngEPname,MATCH($F1047,rngEPcode,0)),"?"))</f>
        <v/>
      </c>
      <c r="H1047" s="15">
        <f>IF($F1047="","",IFERROR(INDEX(rngEPtype,MATCH($F1047,rngEPcode,0)),"?"))</f>
        <v/>
      </c>
      <c r="I1047" s="15">
        <f>IF($F1047="","",IFERROR(INDEX(rngEPseq,MATCH($F1047,rngEPcode,0)),""))</f>
        <v/>
      </c>
      <c r="J1047" s="15">
        <f>IF($F1047="","",IFERROR(INDEX(rngEPpass,MATCH($F1047,rngEPcode,0)),cfgPassingScore))</f>
        <v/>
      </c>
      <c r="K1047" s="14" t="n"/>
      <c r="L1047" s="14" t="n"/>
      <c r="M1047" s="15">
        <f>IF($C1047="","",IF($L1047="","",IF($K1047=1,IF(COUNTIFS(nrES_PID,$D1047,nrES_Code,$F1047,nrES_Att,2)&gt;0,"",$L1047),IF(COUNTIFS(nrES_PID,$D1047,nrES_Code,$F1047,nrES_Att,1)=0,$L1047,IF($L1047&gt;=$J1047,cfgRetakeRecordedCap,SUMIFS(nrES_Raw,nrES_PID,$D1047,nrES_Code,$F1047,nrES_Att,1))))))</f>
        <v/>
      </c>
      <c r="N1047" s="15">
        <f>IF($C1047="","",IF($L1047="","",IF($L1047&gt;=$J1047,"Yes","No")))</f>
        <v/>
      </c>
      <c r="O1047" s="15">
        <f>IF($C1047="","",IF($M1047="","",IF($M1047&gt;=$J1047,"Yes","No")))</f>
        <v/>
      </c>
      <c r="P1047" s="15">
        <f>IF($C1047="","",IF($K1047="","",IF(COUNTIFS(nrES_PID,$D1047,nrES_Code,$F1047,nrES_Att,"&gt;"&amp;$K1047)=0,"Yes","No")))</f>
        <v/>
      </c>
      <c r="Q1047" s="15">
        <f>IF($C1047="","",IF($L1047="","",IF(AND($K1047=1,$L1047&lt;$J1047,COUNTIFS(nrES_PID,$D1047,nrES_Code,$F1047,nrES_Att,2)=0),"Yes","No")))</f>
        <v/>
      </c>
      <c r="R1047" s="15">
        <f>IF($C1047="","",IF($L1047="","",IF(AND($K1047=2,$L1047&lt;$J1047,COUNTIFS(nrES_PID,$D1047,nrES_Code,$F1047,nrES_Att,1)&gt;0),"Yes","No")))</f>
        <v/>
      </c>
      <c r="S1047" s="16" t="n"/>
      <c r="T1047" s="17">
        <f>IF($Q1047&lt;&gt;"Yes","",IF($S1047="","(enter date)",_xlfn.LET(_xlpm.dn,IFERROR(_xlfn.XLOOKUP($S1047,nrCDdate,nrCDnum),""),IF(_xlpm.dn="","(not a class day)",IFERROR(_xlfn.XLOOKUP(_xlpm.dn+cfgRetestClassDays,nrCDnum,nrCDdate),"")))))</f>
        <v/>
      </c>
      <c r="U1047" s="15">
        <f>IF($Q1047&lt;&gt;"Yes","",IF(COUNTIFS(nrES_PID,$D1047,nrES_Code,$F1047,nrES_Att,2)&gt;0,"Retested",IF(OR($T1047="",NOT(ISNUMBER($T1047))),"Pending",IF(TODAY()&gt;$T1047,"OVERDUE","Due "&amp;TEXT($T1047,"mm/dd")))))</f>
        <v/>
      </c>
      <c r="V1047" s="14" t="n"/>
      <c r="W1047" s="14" t="n"/>
    </row>
    <row r="1048">
      <c r="B1048" s="15">
        <f>IF($C1048="","",$D1048&amp;"-"&amp;$F1048&amp;"-"&amp;$K1048)</f>
        <v/>
      </c>
      <c r="C1048" s="14" t="n"/>
      <c r="D1048" s="15">
        <f>IF($C1048="","",IFERROR(INDEX(rngCadetPIDs,MATCH($C1048,rngCadetNames,0)),"?"))</f>
        <v/>
      </c>
      <c r="E1048" s="15">
        <f>IF($D1048="","",IFERROR(INDEX(nrCadetAgency,MATCH($D1048,rngCadetPIDs,0)),""))</f>
        <v/>
      </c>
      <c r="F1048" s="14" t="n"/>
      <c r="G1048" s="15">
        <f>IF($F1048="","",IFERROR(INDEX(rngEPname,MATCH($F1048,rngEPcode,0)),"?"))</f>
        <v/>
      </c>
      <c r="H1048" s="15">
        <f>IF($F1048="","",IFERROR(INDEX(rngEPtype,MATCH($F1048,rngEPcode,0)),"?"))</f>
        <v/>
      </c>
      <c r="I1048" s="15">
        <f>IF($F1048="","",IFERROR(INDEX(rngEPseq,MATCH($F1048,rngEPcode,0)),""))</f>
        <v/>
      </c>
      <c r="J1048" s="15">
        <f>IF($F1048="","",IFERROR(INDEX(rngEPpass,MATCH($F1048,rngEPcode,0)),cfgPassingScore))</f>
        <v/>
      </c>
      <c r="K1048" s="14" t="n"/>
      <c r="L1048" s="14" t="n"/>
      <c r="M1048" s="15">
        <f>IF($C1048="","",IF($L1048="","",IF($K1048=1,IF(COUNTIFS(nrES_PID,$D1048,nrES_Code,$F1048,nrES_Att,2)&gt;0,"",$L1048),IF(COUNTIFS(nrES_PID,$D1048,nrES_Code,$F1048,nrES_Att,1)=0,$L1048,IF($L1048&gt;=$J1048,cfgRetakeRecordedCap,SUMIFS(nrES_Raw,nrES_PID,$D1048,nrES_Code,$F1048,nrES_Att,1))))))</f>
        <v/>
      </c>
      <c r="N1048" s="15">
        <f>IF($C1048="","",IF($L1048="","",IF($L1048&gt;=$J1048,"Yes","No")))</f>
        <v/>
      </c>
      <c r="O1048" s="15">
        <f>IF($C1048="","",IF($M1048="","",IF($M1048&gt;=$J1048,"Yes","No")))</f>
        <v/>
      </c>
      <c r="P1048" s="15">
        <f>IF($C1048="","",IF($K1048="","",IF(COUNTIFS(nrES_PID,$D1048,nrES_Code,$F1048,nrES_Att,"&gt;"&amp;$K1048)=0,"Yes","No")))</f>
        <v/>
      </c>
      <c r="Q1048" s="15">
        <f>IF($C1048="","",IF($L1048="","",IF(AND($K1048=1,$L1048&lt;$J1048,COUNTIFS(nrES_PID,$D1048,nrES_Code,$F1048,nrES_Att,2)=0),"Yes","No")))</f>
        <v/>
      </c>
      <c r="R1048" s="15">
        <f>IF($C1048="","",IF($L1048="","",IF(AND($K1048=2,$L1048&lt;$J1048,COUNTIFS(nrES_PID,$D1048,nrES_Code,$F1048,nrES_Att,1)&gt;0),"Yes","No")))</f>
        <v/>
      </c>
      <c r="S1048" s="16" t="n"/>
      <c r="T1048" s="17">
        <f>IF($Q1048&lt;&gt;"Yes","",IF($S1048="","(enter date)",_xlfn.LET(_xlpm.dn,IFERROR(_xlfn.XLOOKUP($S1048,nrCDdate,nrCDnum),""),IF(_xlpm.dn="","(not a class day)",IFERROR(_xlfn.XLOOKUP(_xlpm.dn+cfgRetestClassDays,nrCDnum,nrCDdate),"")))))</f>
        <v/>
      </c>
      <c r="U1048" s="15">
        <f>IF($Q1048&lt;&gt;"Yes","",IF(COUNTIFS(nrES_PID,$D1048,nrES_Code,$F1048,nrES_Att,2)&gt;0,"Retested",IF(OR($T1048="",NOT(ISNUMBER($T1048))),"Pending",IF(TODAY()&gt;$T1048,"OVERDUE","Due "&amp;TEXT($T1048,"mm/dd")))))</f>
        <v/>
      </c>
      <c r="V1048" s="14" t="n"/>
      <c r="W1048" s="14" t="n"/>
    </row>
    <row r="1049">
      <c r="B1049" s="15">
        <f>IF($C1049="","",$D1049&amp;"-"&amp;$F1049&amp;"-"&amp;$K1049)</f>
        <v/>
      </c>
      <c r="C1049" s="14" t="n"/>
      <c r="D1049" s="15">
        <f>IF($C1049="","",IFERROR(INDEX(rngCadetPIDs,MATCH($C1049,rngCadetNames,0)),"?"))</f>
        <v/>
      </c>
      <c r="E1049" s="15">
        <f>IF($D1049="","",IFERROR(INDEX(nrCadetAgency,MATCH($D1049,rngCadetPIDs,0)),""))</f>
        <v/>
      </c>
      <c r="F1049" s="14" t="n"/>
      <c r="G1049" s="15">
        <f>IF($F1049="","",IFERROR(INDEX(rngEPname,MATCH($F1049,rngEPcode,0)),"?"))</f>
        <v/>
      </c>
      <c r="H1049" s="15">
        <f>IF($F1049="","",IFERROR(INDEX(rngEPtype,MATCH($F1049,rngEPcode,0)),"?"))</f>
        <v/>
      </c>
      <c r="I1049" s="15">
        <f>IF($F1049="","",IFERROR(INDEX(rngEPseq,MATCH($F1049,rngEPcode,0)),""))</f>
        <v/>
      </c>
      <c r="J1049" s="15">
        <f>IF($F1049="","",IFERROR(INDEX(rngEPpass,MATCH($F1049,rngEPcode,0)),cfgPassingScore))</f>
        <v/>
      </c>
      <c r="K1049" s="14" t="n"/>
      <c r="L1049" s="14" t="n"/>
      <c r="M1049" s="15">
        <f>IF($C1049="","",IF($L1049="","",IF($K1049=1,IF(COUNTIFS(nrES_PID,$D1049,nrES_Code,$F1049,nrES_Att,2)&gt;0,"",$L1049),IF(COUNTIFS(nrES_PID,$D1049,nrES_Code,$F1049,nrES_Att,1)=0,$L1049,IF($L1049&gt;=$J1049,cfgRetakeRecordedCap,SUMIFS(nrES_Raw,nrES_PID,$D1049,nrES_Code,$F1049,nrES_Att,1))))))</f>
        <v/>
      </c>
      <c r="N1049" s="15">
        <f>IF($C1049="","",IF($L1049="","",IF($L1049&gt;=$J1049,"Yes","No")))</f>
        <v/>
      </c>
      <c r="O1049" s="15">
        <f>IF($C1049="","",IF($M1049="","",IF($M1049&gt;=$J1049,"Yes","No")))</f>
        <v/>
      </c>
      <c r="P1049" s="15">
        <f>IF($C1049="","",IF($K1049="","",IF(COUNTIFS(nrES_PID,$D1049,nrES_Code,$F1049,nrES_Att,"&gt;"&amp;$K1049)=0,"Yes","No")))</f>
        <v/>
      </c>
      <c r="Q1049" s="15">
        <f>IF($C1049="","",IF($L1049="","",IF(AND($K1049=1,$L1049&lt;$J1049,COUNTIFS(nrES_PID,$D1049,nrES_Code,$F1049,nrES_Att,2)=0),"Yes","No")))</f>
        <v/>
      </c>
      <c r="R1049" s="15">
        <f>IF($C1049="","",IF($L1049="","",IF(AND($K1049=2,$L1049&lt;$J1049,COUNTIFS(nrES_PID,$D1049,nrES_Code,$F1049,nrES_Att,1)&gt;0),"Yes","No")))</f>
        <v/>
      </c>
      <c r="S1049" s="16" t="n"/>
      <c r="T1049" s="17">
        <f>IF($Q1049&lt;&gt;"Yes","",IF($S1049="","(enter date)",_xlfn.LET(_xlpm.dn,IFERROR(_xlfn.XLOOKUP($S1049,nrCDdate,nrCDnum),""),IF(_xlpm.dn="","(not a class day)",IFERROR(_xlfn.XLOOKUP(_xlpm.dn+cfgRetestClassDays,nrCDnum,nrCDdate),"")))))</f>
        <v/>
      </c>
      <c r="U1049" s="15">
        <f>IF($Q1049&lt;&gt;"Yes","",IF(COUNTIFS(nrES_PID,$D1049,nrES_Code,$F1049,nrES_Att,2)&gt;0,"Retested",IF(OR($T1049="",NOT(ISNUMBER($T1049))),"Pending",IF(TODAY()&gt;$T1049,"OVERDUE","Due "&amp;TEXT($T1049,"mm/dd")))))</f>
        <v/>
      </c>
      <c r="V1049" s="14" t="n"/>
      <c r="W1049" s="14" t="n"/>
    </row>
    <row r="1050">
      <c r="B1050" s="15">
        <f>IF($C1050="","",$D1050&amp;"-"&amp;$F1050&amp;"-"&amp;$K1050)</f>
        <v/>
      </c>
      <c r="C1050" s="14" t="n"/>
      <c r="D1050" s="15">
        <f>IF($C1050="","",IFERROR(INDEX(rngCadetPIDs,MATCH($C1050,rngCadetNames,0)),"?"))</f>
        <v/>
      </c>
      <c r="E1050" s="15">
        <f>IF($D1050="","",IFERROR(INDEX(nrCadetAgency,MATCH($D1050,rngCadetPIDs,0)),""))</f>
        <v/>
      </c>
      <c r="F1050" s="14" t="n"/>
      <c r="G1050" s="15">
        <f>IF($F1050="","",IFERROR(INDEX(rngEPname,MATCH($F1050,rngEPcode,0)),"?"))</f>
        <v/>
      </c>
      <c r="H1050" s="15">
        <f>IF($F1050="","",IFERROR(INDEX(rngEPtype,MATCH($F1050,rngEPcode,0)),"?"))</f>
        <v/>
      </c>
      <c r="I1050" s="15">
        <f>IF($F1050="","",IFERROR(INDEX(rngEPseq,MATCH($F1050,rngEPcode,0)),""))</f>
        <v/>
      </c>
      <c r="J1050" s="15">
        <f>IF($F1050="","",IFERROR(INDEX(rngEPpass,MATCH($F1050,rngEPcode,0)),cfgPassingScore))</f>
        <v/>
      </c>
      <c r="K1050" s="14" t="n"/>
      <c r="L1050" s="14" t="n"/>
      <c r="M1050" s="15">
        <f>IF($C1050="","",IF($L1050="","",IF($K1050=1,IF(COUNTIFS(nrES_PID,$D1050,nrES_Code,$F1050,nrES_Att,2)&gt;0,"",$L1050),IF(COUNTIFS(nrES_PID,$D1050,nrES_Code,$F1050,nrES_Att,1)=0,$L1050,IF($L1050&gt;=$J1050,cfgRetakeRecordedCap,SUMIFS(nrES_Raw,nrES_PID,$D1050,nrES_Code,$F1050,nrES_Att,1))))))</f>
        <v/>
      </c>
      <c r="N1050" s="15">
        <f>IF($C1050="","",IF($L1050="","",IF($L1050&gt;=$J1050,"Yes","No")))</f>
        <v/>
      </c>
      <c r="O1050" s="15">
        <f>IF($C1050="","",IF($M1050="","",IF($M1050&gt;=$J1050,"Yes","No")))</f>
        <v/>
      </c>
      <c r="P1050" s="15">
        <f>IF($C1050="","",IF($K1050="","",IF(COUNTIFS(nrES_PID,$D1050,nrES_Code,$F1050,nrES_Att,"&gt;"&amp;$K1050)=0,"Yes","No")))</f>
        <v/>
      </c>
      <c r="Q1050" s="15">
        <f>IF($C1050="","",IF($L1050="","",IF(AND($K1050=1,$L1050&lt;$J1050,COUNTIFS(nrES_PID,$D1050,nrES_Code,$F1050,nrES_Att,2)=0),"Yes","No")))</f>
        <v/>
      </c>
      <c r="R1050" s="15">
        <f>IF($C1050="","",IF($L1050="","",IF(AND($K1050=2,$L1050&lt;$J1050,COUNTIFS(nrES_PID,$D1050,nrES_Code,$F1050,nrES_Att,1)&gt;0),"Yes","No")))</f>
        <v/>
      </c>
      <c r="S1050" s="16" t="n"/>
      <c r="T1050" s="17">
        <f>IF($Q1050&lt;&gt;"Yes","",IF($S1050="","(enter date)",_xlfn.LET(_xlpm.dn,IFERROR(_xlfn.XLOOKUP($S1050,nrCDdate,nrCDnum),""),IF(_xlpm.dn="","(not a class day)",IFERROR(_xlfn.XLOOKUP(_xlpm.dn+cfgRetestClassDays,nrCDnum,nrCDdate),"")))))</f>
        <v/>
      </c>
      <c r="U1050" s="15">
        <f>IF($Q1050&lt;&gt;"Yes","",IF(COUNTIFS(nrES_PID,$D1050,nrES_Code,$F1050,nrES_Att,2)&gt;0,"Retested",IF(OR($T1050="",NOT(ISNUMBER($T1050))),"Pending",IF(TODAY()&gt;$T1050,"OVERDUE","Due "&amp;TEXT($T1050,"mm/dd")))))</f>
        <v/>
      </c>
      <c r="V1050" s="14" t="n"/>
      <c r="W1050" s="14" t="n"/>
    </row>
    <row r="1051">
      <c r="B1051" s="15">
        <f>IF($C1051="","",$D1051&amp;"-"&amp;$F1051&amp;"-"&amp;$K1051)</f>
        <v/>
      </c>
      <c r="C1051" s="14" t="n"/>
      <c r="D1051" s="15">
        <f>IF($C1051="","",IFERROR(INDEX(rngCadetPIDs,MATCH($C1051,rngCadetNames,0)),"?"))</f>
        <v/>
      </c>
      <c r="E1051" s="15">
        <f>IF($D1051="","",IFERROR(INDEX(nrCadetAgency,MATCH($D1051,rngCadetPIDs,0)),""))</f>
        <v/>
      </c>
      <c r="F1051" s="14" t="n"/>
      <c r="G1051" s="15">
        <f>IF($F1051="","",IFERROR(INDEX(rngEPname,MATCH($F1051,rngEPcode,0)),"?"))</f>
        <v/>
      </c>
      <c r="H1051" s="15">
        <f>IF($F1051="","",IFERROR(INDEX(rngEPtype,MATCH($F1051,rngEPcode,0)),"?"))</f>
        <v/>
      </c>
      <c r="I1051" s="15">
        <f>IF($F1051="","",IFERROR(INDEX(rngEPseq,MATCH($F1051,rngEPcode,0)),""))</f>
        <v/>
      </c>
      <c r="J1051" s="15">
        <f>IF($F1051="","",IFERROR(INDEX(rngEPpass,MATCH($F1051,rngEPcode,0)),cfgPassingScore))</f>
        <v/>
      </c>
      <c r="K1051" s="14" t="n"/>
      <c r="L1051" s="14" t="n"/>
      <c r="M1051" s="15">
        <f>IF($C1051="","",IF($L1051="","",IF($K1051=1,IF(COUNTIFS(nrES_PID,$D1051,nrES_Code,$F1051,nrES_Att,2)&gt;0,"",$L1051),IF(COUNTIFS(nrES_PID,$D1051,nrES_Code,$F1051,nrES_Att,1)=0,$L1051,IF($L1051&gt;=$J1051,cfgRetakeRecordedCap,SUMIFS(nrES_Raw,nrES_PID,$D1051,nrES_Code,$F1051,nrES_Att,1))))))</f>
        <v/>
      </c>
      <c r="N1051" s="15">
        <f>IF($C1051="","",IF($L1051="","",IF($L1051&gt;=$J1051,"Yes","No")))</f>
        <v/>
      </c>
      <c r="O1051" s="15">
        <f>IF($C1051="","",IF($M1051="","",IF($M1051&gt;=$J1051,"Yes","No")))</f>
        <v/>
      </c>
      <c r="P1051" s="15">
        <f>IF($C1051="","",IF($K1051="","",IF(COUNTIFS(nrES_PID,$D1051,nrES_Code,$F1051,nrES_Att,"&gt;"&amp;$K1051)=0,"Yes","No")))</f>
        <v/>
      </c>
      <c r="Q1051" s="15">
        <f>IF($C1051="","",IF($L1051="","",IF(AND($K1051=1,$L1051&lt;$J1051,COUNTIFS(nrES_PID,$D1051,nrES_Code,$F1051,nrES_Att,2)=0),"Yes","No")))</f>
        <v/>
      </c>
      <c r="R1051" s="15">
        <f>IF($C1051="","",IF($L1051="","",IF(AND($K1051=2,$L1051&lt;$J1051,COUNTIFS(nrES_PID,$D1051,nrES_Code,$F1051,nrES_Att,1)&gt;0),"Yes","No")))</f>
        <v/>
      </c>
      <c r="S1051" s="16" t="n"/>
      <c r="T1051" s="17">
        <f>IF($Q1051&lt;&gt;"Yes","",IF($S1051="","(enter date)",_xlfn.LET(_xlpm.dn,IFERROR(_xlfn.XLOOKUP($S1051,nrCDdate,nrCDnum),""),IF(_xlpm.dn="","(not a class day)",IFERROR(_xlfn.XLOOKUP(_xlpm.dn+cfgRetestClassDays,nrCDnum,nrCDdate),"")))))</f>
        <v/>
      </c>
      <c r="U1051" s="15">
        <f>IF($Q1051&lt;&gt;"Yes","",IF(COUNTIFS(nrES_PID,$D1051,nrES_Code,$F1051,nrES_Att,2)&gt;0,"Retested",IF(OR($T1051="",NOT(ISNUMBER($T1051))),"Pending",IF(TODAY()&gt;$T1051,"OVERDUE","Due "&amp;TEXT($T1051,"mm/dd")))))</f>
        <v/>
      </c>
      <c r="V1051" s="14" t="n"/>
      <c r="W1051" s="14" t="n"/>
    </row>
    <row r="1052">
      <c r="B1052" s="15">
        <f>IF($C1052="","",$D1052&amp;"-"&amp;$F1052&amp;"-"&amp;$K1052)</f>
        <v/>
      </c>
      <c r="C1052" s="14" t="n"/>
      <c r="D1052" s="15">
        <f>IF($C1052="","",IFERROR(INDEX(rngCadetPIDs,MATCH($C1052,rngCadetNames,0)),"?"))</f>
        <v/>
      </c>
      <c r="E1052" s="15">
        <f>IF($D1052="","",IFERROR(INDEX(nrCadetAgency,MATCH($D1052,rngCadetPIDs,0)),""))</f>
        <v/>
      </c>
      <c r="F1052" s="14" t="n"/>
      <c r="G1052" s="15">
        <f>IF($F1052="","",IFERROR(INDEX(rngEPname,MATCH($F1052,rngEPcode,0)),"?"))</f>
        <v/>
      </c>
      <c r="H1052" s="15">
        <f>IF($F1052="","",IFERROR(INDEX(rngEPtype,MATCH($F1052,rngEPcode,0)),"?"))</f>
        <v/>
      </c>
      <c r="I1052" s="15">
        <f>IF($F1052="","",IFERROR(INDEX(rngEPseq,MATCH($F1052,rngEPcode,0)),""))</f>
        <v/>
      </c>
      <c r="J1052" s="15">
        <f>IF($F1052="","",IFERROR(INDEX(rngEPpass,MATCH($F1052,rngEPcode,0)),cfgPassingScore))</f>
        <v/>
      </c>
      <c r="K1052" s="14" t="n"/>
      <c r="L1052" s="14" t="n"/>
      <c r="M1052" s="15">
        <f>IF($C1052="","",IF($L1052="","",IF($K1052=1,IF(COUNTIFS(nrES_PID,$D1052,nrES_Code,$F1052,nrES_Att,2)&gt;0,"",$L1052),IF(COUNTIFS(nrES_PID,$D1052,nrES_Code,$F1052,nrES_Att,1)=0,$L1052,IF($L1052&gt;=$J1052,cfgRetakeRecordedCap,SUMIFS(nrES_Raw,nrES_PID,$D1052,nrES_Code,$F1052,nrES_Att,1))))))</f>
        <v/>
      </c>
      <c r="N1052" s="15">
        <f>IF($C1052="","",IF($L1052="","",IF($L1052&gt;=$J1052,"Yes","No")))</f>
        <v/>
      </c>
      <c r="O1052" s="15">
        <f>IF($C1052="","",IF($M1052="","",IF($M1052&gt;=$J1052,"Yes","No")))</f>
        <v/>
      </c>
      <c r="P1052" s="15">
        <f>IF($C1052="","",IF($K1052="","",IF(COUNTIFS(nrES_PID,$D1052,nrES_Code,$F1052,nrES_Att,"&gt;"&amp;$K1052)=0,"Yes","No")))</f>
        <v/>
      </c>
      <c r="Q1052" s="15">
        <f>IF($C1052="","",IF($L1052="","",IF(AND($K1052=1,$L1052&lt;$J1052,COUNTIFS(nrES_PID,$D1052,nrES_Code,$F1052,nrES_Att,2)=0),"Yes","No")))</f>
        <v/>
      </c>
      <c r="R1052" s="15">
        <f>IF($C1052="","",IF($L1052="","",IF(AND($K1052=2,$L1052&lt;$J1052,COUNTIFS(nrES_PID,$D1052,nrES_Code,$F1052,nrES_Att,1)&gt;0),"Yes","No")))</f>
        <v/>
      </c>
      <c r="S1052" s="16" t="n"/>
      <c r="T1052" s="17">
        <f>IF($Q1052&lt;&gt;"Yes","",IF($S1052="","(enter date)",_xlfn.LET(_xlpm.dn,IFERROR(_xlfn.XLOOKUP($S1052,nrCDdate,nrCDnum),""),IF(_xlpm.dn="","(not a class day)",IFERROR(_xlfn.XLOOKUP(_xlpm.dn+cfgRetestClassDays,nrCDnum,nrCDdate),"")))))</f>
        <v/>
      </c>
      <c r="U1052" s="15">
        <f>IF($Q1052&lt;&gt;"Yes","",IF(COUNTIFS(nrES_PID,$D1052,nrES_Code,$F1052,nrES_Att,2)&gt;0,"Retested",IF(OR($T1052="",NOT(ISNUMBER($T1052))),"Pending",IF(TODAY()&gt;$T1052,"OVERDUE","Due "&amp;TEXT($T1052,"mm/dd")))))</f>
        <v/>
      </c>
      <c r="V1052" s="14" t="n"/>
      <c r="W1052" s="14" t="n"/>
    </row>
    <row r="1053">
      <c r="B1053" s="15">
        <f>IF($C1053="","",$D1053&amp;"-"&amp;$F1053&amp;"-"&amp;$K1053)</f>
        <v/>
      </c>
      <c r="C1053" s="14" t="n"/>
      <c r="D1053" s="15">
        <f>IF($C1053="","",IFERROR(INDEX(rngCadetPIDs,MATCH($C1053,rngCadetNames,0)),"?"))</f>
        <v/>
      </c>
      <c r="E1053" s="15">
        <f>IF($D1053="","",IFERROR(INDEX(nrCadetAgency,MATCH($D1053,rngCadetPIDs,0)),""))</f>
        <v/>
      </c>
      <c r="F1053" s="14" t="n"/>
      <c r="G1053" s="15">
        <f>IF($F1053="","",IFERROR(INDEX(rngEPname,MATCH($F1053,rngEPcode,0)),"?"))</f>
        <v/>
      </c>
      <c r="H1053" s="15">
        <f>IF($F1053="","",IFERROR(INDEX(rngEPtype,MATCH($F1053,rngEPcode,0)),"?"))</f>
        <v/>
      </c>
      <c r="I1053" s="15">
        <f>IF($F1053="","",IFERROR(INDEX(rngEPseq,MATCH($F1053,rngEPcode,0)),""))</f>
        <v/>
      </c>
      <c r="J1053" s="15">
        <f>IF($F1053="","",IFERROR(INDEX(rngEPpass,MATCH($F1053,rngEPcode,0)),cfgPassingScore))</f>
        <v/>
      </c>
      <c r="K1053" s="14" t="n"/>
      <c r="L1053" s="14" t="n"/>
      <c r="M1053" s="15">
        <f>IF($C1053="","",IF($L1053="","",IF($K1053=1,IF(COUNTIFS(nrES_PID,$D1053,nrES_Code,$F1053,nrES_Att,2)&gt;0,"",$L1053),IF(COUNTIFS(nrES_PID,$D1053,nrES_Code,$F1053,nrES_Att,1)=0,$L1053,IF($L1053&gt;=$J1053,cfgRetakeRecordedCap,SUMIFS(nrES_Raw,nrES_PID,$D1053,nrES_Code,$F1053,nrES_Att,1))))))</f>
        <v/>
      </c>
      <c r="N1053" s="15">
        <f>IF($C1053="","",IF($L1053="","",IF($L1053&gt;=$J1053,"Yes","No")))</f>
        <v/>
      </c>
      <c r="O1053" s="15">
        <f>IF($C1053="","",IF($M1053="","",IF($M1053&gt;=$J1053,"Yes","No")))</f>
        <v/>
      </c>
      <c r="P1053" s="15">
        <f>IF($C1053="","",IF($K1053="","",IF(COUNTIFS(nrES_PID,$D1053,nrES_Code,$F1053,nrES_Att,"&gt;"&amp;$K1053)=0,"Yes","No")))</f>
        <v/>
      </c>
      <c r="Q1053" s="15">
        <f>IF($C1053="","",IF($L1053="","",IF(AND($K1053=1,$L1053&lt;$J1053,COUNTIFS(nrES_PID,$D1053,nrES_Code,$F1053,nrES_Att,2)=0),"Yes","No")))</f>
        <v/>
      </c>
      <c r="R1053" s="15">
        <f>IF($C1053="","",IF($L1053="","",IF(AND($K1053=2,$L1053&lt;$J1053,COUNTIFS(nrES_PID,$D1053,nrES_Code,$F1053,nrES_Att,1)&gt;0),"Yes","No")))</f>
        <v/>
      </c>
      <c r="S1053" s="16" t="n"/>
      <c r="T1053" s="17">
        <f>IF($Q1053&lt;&gt;"Yes","",IF($S1053="","(enter date)",_xlfn.LET(_xlpm.dn,IFERROR(_xlfn.XLOOKUP($S1053,nrCDdate,nrCDnum),""),IF(_xlpm.dn="","(not a class day)",IFERROR(_xlfn.XLOOKUP(_xlpm.dn+cfgRetestClassDays,nrCDnum,nrCDdate),"")))))</f>
        <v/>
      </c>
      <c r="U1053" s="15">
        <f>IF($Q1053&lt;&gt;"Yes","",IF(COUNTIFS(nrES_PID,$D1053,nrES_Code,$F1053,nrES_Att,2)&gt;0,"Retested",IF(OR($T1053="",NOT(ISNUMBER($T1053))),"Pending",IF(TODAY()&gt;$T1053,"OVERDUE","Due "&amp;TEXT($T1053,"mm/dd")))))</f>
        <v/>
      </c>
      <c r="V1053" s="14" t="n"/>
      <c r="W1053" s="14" t="n"/>
    </row>
    <row r="1054">
      <c r="B1054" s="15">
        <f>IF($C1054="","",$D1054&amp;"-"&amp;$F1054&amp;"-"&amp;$K1054)</f>
        <v/>
      </c>
      <c r="C1054" s="14" t="n"/>
      <c r="D1054" s="15">
        <f>IF($C1054="","",IFERROR(INDEX(rngCadetPIDs,MATCH($C1054,rngCadetNames,0)),"?"))</f>
        <v/>
      </c>
      <c r="E1054" s="15">
        <f>IF($D1054="","",IFERROR(INDEX(nrCadetAgency,MATCH($D1054,rngCadetPIDs,0)),""))</f>
        <v/>
      </c>
      <c r="F1054" s="14" t="n"/>
      <c r="G1054" s="15">
        <f>IF($F1054="","",IFERROR(INDEX(rngEPname,MATCH($F1054,rngEPcode,0)),"?"))</f>
        <v/>
      </c>
      <c r="H1054" s="15">
        <f>IF($F1054="","",IFERROR(INDEX(rngEPtype,MATCH($F1054,rngEPcode,0)),"?"))</f>
        <v/>
      </c>
      <c r="I1054" s="15">
        <f>IF($F1054="","",IFERROR(INDEX(rngEPseq,MATCH($F1054,rngEPcode,0)),""))</f>
        <v/>
      </c>
      <c r="J1054" s="15">
        <f>IF($F1054="","",IFERROR(INDEX(rngEPpass,MATCH($F1054,rngEPcode,0)),cfgPassingScore))</f>
        <v/>
      </c>
      <c r="K1054" s="14" t="n"/>
      <c r="L1054" s="14" t="n"/>
      <c r="M1054" s="15">
        <f>IF($C1054="","",IF($L1054="","",IF($K1054=1,IF(COUNTIFS(nrES_PID,$D1054,nrES_Code,$F1054,nrES_Att,2)&gt;0,"",$L1054),IF(COUNTIFS(nrES_PID,$D1054,nrES_Code,$F1054,nrES_Att,1)=0,$L1054,IF($L1054&gt;=$J1054,cfgRetakeRecordedCap,SUMIFS(nrES_Raw,nrES_PID,$D1054,nrES_Code,$F1054,nrES_Att,1))))))</f>
        <v/>
      </c>
      <c r="N1054" s="15">
        <f>IF($C1054="","",IF($L1054="","",IF($L1054&gt;=$J1054,"Yes","No")))</f>
        <v/>
      </c>
      <c r="O1054" s="15">
        <f>IF($C1054="","",IF($M1054="","",IF($M1054&gt;=$J1054,"Yes","No")))</f>
        <v/>
      </c>
      <c r="P1054" s="15">
        <f>IF($C1054="","",IF($K1054="","",IF(COUNTIFS(nrES_PID,$D1054,nrES_Code,$F1054,nrES_Att,"&gt;"&amp;$K1054)=0,"Yes","No")))</f>
        <v/>
      </c>
      <c r="Q1054" s="15">
        <f>IF($C1054="","",IF($L1054="","",IF(AND($K1054=1,$L1054&lt;$J1054,COUNTIFS(nrES_PID,$D1054,nrES_Code,$F1054,nrES_Att,2)=0),"Yes","No")))</f>
        <v/>
      </c>
      <c r="R1054" s="15">
        <f>IF($C1054="","",IF($L1054="","",IF(AND($K1054=2,$L1054&lt;$J1054,COUNTIFS(nrES_PID,$D1054,nrES_Code,$F1054,nrES_Att,1)&gt;0),"Yes","No")))</f>
        <v/>
      </c>
      <c r="S1054" s="16" t="n"/>
      <c r="T1054" s="17">
        <f>IF($Q1054&lt;&gt;"Yes","",IF($S1054="","(enter date)",_xlfn.LET(_xlpm.dn,IFERROR(_xlfn.XLOOKUP($S1054,nrCDdate,nrCDnum),""),IF(_xlpm.dn="","(not a class day)",IFERROR(_xlfn.XLOOKUP(_xlpm.dn+cfgRetestClassDays,nrCDnum,nrCDdate),"")))))</f>
        <v/>
      </c>
      <c r="U1054" s="15">
        <f>IF($Q1054&lt;&gt;"Yes","",IF(COUNTIFS(nrES_PID,$D1054,nrES_Code,$F1054,nrES_Att,2)&gt;0,"Retested",IF(OR($T1054="",NOT(ISNUMBER($T1054))),"Pending",IF(TODAY()&gt;$T1054,"OVERDUE","Due "&amp;TEXT($T1054,"mm/dd")))))</f>
        <v/>
      </c>
      <c r="V1054" s="14" t="n"/>
      <c r="W1054" s="14" t="n"/>
    </row>
    <row r="1055">
      <c r="B1055" s="15">
        <f>IF($C1055="","",$D1055&amp;"-"&amp;$F1055&amp;"-"&amp;$K1055)</f>
        <v/>
      </c>
      <c r="C1055" s="14" t="n"/>
      <c r="D1055" s="15">
        <f>IF($C1055="","",IFERROR(INDEX(rngCadetPIDs,MATCH($C1055,rngCadetNames,0)),"?"))</f>
        <v/>
      </c>
      <c r="E1055" s="15">
        <f>IF($D1055="","",IFERROR(INDEX(nrCadetAgency,MATCH($D1055,rngCadetPIDs,0)),""))</f>
        <v/>
      </c>
      <c r="F1055" s="14" t="n"/>
      <c r="G1055" s="15">
        <f>IF($F1055="","",IFERROR(INDEX(rngEPname,MATCH($F1055,rngEPcode,0)),"?"))</f>
        <v/>
      </c>
      <c r="H1055" s="15">
        <f>IF($F1055="","",IFERROR(INDEX(rngEPtype,MATCH($F1055,rngEPcode,0)),"?"))</f>
        <v/>
      </c>
      <c r="I1055" s="15">
        <f>IF($F1055="","",IFERROR(INDEX(rngEPseq,MATCH($F1055,rngEPcode,0)),""))</f>
        <v/>
      </c>
      <c r="J1055" s="15">
        <f>IF($F1055="","",IFERROR(INDEX(rngEPpass,MATCH($F1055,rngEPcode,0)),cfgPassingScore))</f>
        <v/>
      </c>
      <c r="K1055" s="14" t="n"/>
      <c r="L1055" s="14" t="n"/>
      <c r="M1055" s="15">
        <f>IF($C1055="","",IF($L1055="","",IF($K1055=1,IF(COUNTIFS(nrES_PID,$D1055,nrES_Code,$F1055,nrES_Att,2)&gt;0,"",$L1055),IF(COUNTIFS(nrES_PID,$D1055,nrES_Code,$F1055,nrES_Att,1)=0,$L1055,IF($L1055&gt;=$J1055,cfgRetakeRecordedCap,SUMIFS(nrES_Raw,nrES_PID,$D1055,nrES_Code,$F1055,nrES_Att,1))))))</f>
        <v/>
      </c>
      <c r="N1055" s="15">
        <f>IF($C1055="","",IF($L1055="","",IF($L1055&gt;=$J1055,"Yes","No")))</f>
        <v/>
      </c>
      <c r="O1055" s="15">
        <f>IF($C1055="","",IF($M1055="","",IF($M1055&gt;=$J1055,"Yes","No")))</f>
        <v/>
      </c>
      <c r="P1055" s="15">
        <f>IF($C1055="","",IF($K1055="","",IF(COUNTIFS(nrES_PID,$D1055,nrES_Code,$F1055,nrES_Att,"&gt;"&amp;$K1055)=0,"Yes","No")))</f>
        <v/>
      </c>
      <c r="Q1055" s="15">
        <f>IF($C1055="","",IF($L1055="","",IF(AND($K1055=1,$L1055&lt;$J1055,COUNTIFS(nrES_PID,$D1055,nrES_Code,$F1055,nrES_Att,2)=0),"Yes","No")))</f>
        <v/>
      </c>
      <c r="R1055" s="15">
        <f>IF($C1055="","",IF($L1055="","",IF(AND($K1055=2,$L1055&lt;$J1055,COUNTIFS(nrES_PID,$D1055,nrES_Code,$F1055,nrES_Att,1)&gt;0),"Yes","No")))</f>
        <v/>
      </c>
      <c r="S1055" s="16" t="n"/>
      <c r="T1055" s="17">
        <f>IF($Q1055&lt;&gt;"Yes","",IF($S1055="","(enter date)",_xlfn.LET(_xlpm.dn,IFERROR(_xlfn.XLOOKUP($S1055,nrCDdate,nrCDnum),""),IF(_xlpm.dn="","(not a class day)",IFERROR(_xlfn.XLOOKUP(_xlpm.dn+cfgRetestClassDays,nrCDnum,nrCDdate),"")))))</f>
        <v/>
      </c>
      <c r="U1055" s="15">
        <f>IF($Q1055&lt;&gt;"Yes","",IF(COUNTIFS(nrES_PID,$D1055,nrES_Code,$F1055,nrES_Att,2)&gt;0,"Retested",IF(OR($T1055="",NOT(ISNUMBER($T1055))),"Pending",IF(TODAY()&gt;$T1055,"OVERDUE","Due "&amp;TEXT($T1055,"mm/dd")))))</f>
        <v/>
      </c>
      <c r="V1055" s="14" t="n"/>
      <c r="W1055" s="14" t="n"/>
    </row>
    <row r="1056">
      <c r="B1056" s="15">
        <f>IF($C1056="","",$D1056&amp;"-"&amp;$F1056&amp;"-"&amp;$K1056)</f>
        <v/>
      </c>
      <c r="C1056" s="14" t="n"/>
      <c r="D1056" s="15">
        <f>IF($C1056="","",IFERROR(INDEX(rngCadetPIDs,MATCH($C1056,rngCadetNames,0)),"?"))</f>
        <v/>
      </c>
      <c r="E1056" s="15">
        <f>IF($D1056="","",IFERROR(INDEX(nrCadetAgency,MATCH($D1056,rngCadetPIDs,0)),""))</f>
        <v/>
      </c>
      <c r="F1056" s="14" t="n"/>
      <c r="G1056" s="15">
        <f>IF($F1056="","",IFERROR(INDEX(rngEPname,MATCH($F1056,rngEPcode,0)),"?"))</f>
        <v/>
      </c>
      <c r="H1056" s="15">
        <f>IF($F1056="","",IFERROR(INDEX(rngEPtype,MATCH($F1056,rngEPcode,0)),"?"))</f>
        <v/>
      </c>
      <c r="I1056" s="15">
        <f>IF($F1056="","",IFERROR(INDEX(rngEPseq,MATCH($F1056,rngEPcode,0)),""))</f>
        <v/>
      </c>
      <c r="J1056" s="15">
        <f>IF($F1056="","",IFERROR(INDEX(rngEPpass,MATCH($F1056,rngEPcode,0)),cfgPassingScore))</f>
        <v/>
      </c>
      <c r="K1056" s="14" t="n"/>
      <c r="L1056" s="14" t="n"/>
      <c r="M1056" s="15">
        <f>IF($C1056="","",IF($L1056="","",IF($K1056=1,IF(COUNTIFS(nrES_PID,$D1056,nrES_Code,$F1056,nrES_Att,2)&gt;0,"",$L1056),IF(COUNTIFS(nrES_PID,$D1056,nrES_Code,$F1056,nrES_Att,1)=0,$L1056,IF($L1056&gt;=$J1056,cfgRetakeRecordedCap,SUMIFS(nrES_Raw,nrES_PID,$D1056,nrES_Code,$F1056,nrES_Att,1))))))</f>
        <v/>
      </c>
      <c r="N1056" s="15">
        <f>IF($C1056="","",IF($L1056="","",IF($L1056&gt;=$J1056,"Yes","No")))</f>
        <v/>
      </c>
      <c r="O1056" s="15">
        <f>IF($C1056="","",IF($M1056="","",IF($M1056&gt;=$J1056,"Yes","No")))</f>
        <v/>
      </c>
      <c r="P1056" s="15">
        <f>IF($C1056="","",IF($K1056="","",IF(COUNTIFS(nrES_PID,$D1056,nrES_Code,$F1056,nrES_Att,"&gt;"&amp;$K1056)=0,"Yes","No")))</f>
        <v/>
      </c>
      <c r="Q1056" s="15">
        <f>IF($C1056="","",IF($L1056="","",IF(AND($K1056=1,$L1056&lt;$J1056,COUNTIFS(nrES_PID,$D1056,nrES_Code,$F1056,nrES_Att,2)=0),"Yes","No")))</f>
        <v/>
      </c>
      <c r="R1056" s="15">
        <f>IF($C1056="","",IF($L1056="","",IF(AND($K1056=2,$L1056&lt;$J1056,COUNTIFS(nrES_PID,$D1056,nrES_Code,$F1056,nrES_Att,1)&gt;0),"Yes","No")))</f>
        <v/>
      </c>
      <c r="S1056" s="16" t="n"/>
      <c r="T1056" s="17">
        <f>IF($Q1056&lt;&gt;"Yes","",IF($S1056="","(enter date)",_xlfn.LET(_xlpm.dn,IFERROR(_xlfn.XLOOKUP($S1056,nrCDdate,nrCDnum),""),IF(_xlpm.dn="","(not a class day)",IFERROR(_xlfn.XLOOKUP(_xlpm.dn+cfgRetestClassDays,nrCDnum,nrCDdate),"")))))</f>
        <v/>
      </c>
      <c r="U1056" s="15">
        <f>IF($Q1056&lt;&gt;"Yes","",IF(COUNTIFS(nrES_PID,$D1056,nrES_Code,$F1056,nrES_Att,2)&gt;0,"Retested",IF(OR($T1056="",NOT(ISNUMBER($T1056))),"Pending",IF(TODAY()&gt;$T1056,"OVERDUE","Due "&amp;TEXT($T1056,"mm/dd")))))</f>
        <v/>
      </c>
      <c r="V1056" s="14" t="n"/>
      <c r="W1056" s="14" t="n"/>
    </row>
    <row r="1057">
      <c r="B1057" s="15">
        <f>IF($C1057="","",$D1057&amp;"-"&amp;$F1057&amp;"-"&amp;$K1057)</f>
        <v/>
      </c>
      <c r="C1057" s="14" t="n"/>
      <c r="D1057" s="15">
        <f>IF($C1057="","",IFERROR(INDEX(rngCadetPIDs,MATCH($C1057,rngCadetNames,0)),"?"))</f>
        <v/>
      </c>
      <c r="E1057" s="15">
        <f>IF($D1057="","",IFERROR(INDEX(nrCadetAgency,MATCH($D1057,rngCadetPIDs,0)),""))</f>
        <v/>
      </c>
      <c r="F1057" s="14" t="n"/>
      <c r="G1057" s="15">
        <f>IF($F1057="","",IFERROR(INDEX(rngEPname,MATCH($F1057,rngEPcode,0)),"?"))</f>
        <v/>
      </c>
      <c r="H1057" s="15">
        <f>IF($F1057="","",IFERROR(INDEX(rngEPtype,MATCH($F1057,rngEPcode,0)),"?"))</f>
        <v/>
      </c>
      <c r="I1057" s="15">
        <f>IF($F1057="","",IFERROR(INDEX(rngEPseq,MATCH($F1057,rngEPcode,0)),""))</f>
        <v/>
      </c>
      <c r="J1057" s="15">
        <f>IF($F1057="","",IFERROR(INDEX(rngEPpass,MATCH($F1057,rngEPcode,0)),cfgPassingScore))</f>
        <v/>
      </c>
      <c r="K1057" s="14" t="n"/>
      <c r="L1057" s="14" t="n"/>
      <c r="M1057" s="15">
        <f>IF($C1057="","",IF($L1057="","",IF($K1057=1,IF(COUNTIFS(nrES_PID,$D1057,nrES_Code,$F1057,nrES_Att,2)&gt;0,"",$L1057),IF(COUNTIFS(nrES_PID,$D1057,nrES_Code,$F1057,nrES_Att,1)=0,$L1057,IF($L1057&gt;=$J1057,cfgRetakeRecordedCap,SUMIFS(nrES_Raw,nrES_PID,$D1057,nrES_Code,$F1057,nrES_Att,1))))))</f>
        <v/>
      </c>
      <c r="N1057" s="15">
        <f>IF($C1057="","",IF($L1057="","",IF($L1057&gt;=$J1057,"Yes","No")))</f>
        <v/>
      </c>
      <c r="O1057" s="15">
        <f>IF($C1057="","",IF($M1057="","",IF($M1057&gt;=$J1057,"Yes","No")))</f>
        <v/>
      </c>
      <c r="P1057" s="15">
        <f>IF($C1057="","",IF($K1057="","",IF(COUNTIFS(nrES_PID,$D1057,nrES_Code,$F1057,nrES_Att,"&gt;"&amp;$K1057)=0,"Yes","No")))</f>
        <v/>
      </c>
      <c r="Q1057" s="15">
        <f>IF($C1057="","",IF($L1057="","",IF(AND($K1057=1,$L1057&lt;$J1057,COUNTIFS(nrES_PID,$D1057,nrES_Code,$F1057,nrES_Att,2)=0),"Yes","No")))</f>
        <v/>
      </c>
      <c r="R1057" s="15">
        <f>IF($C1057="","",IF($L1057="","",IF(AND($K1057=2,$L1057&lt;$J1057,COUNTIFS(nrES_PID,$D1057,nrES_Code,$F1057,nrES_Att,1)&gt;0),"Yes","No")))</f>
        <v/>
      </c>
      <c r="S1057" s="16" t="n"/>
      <c r="T1057" s="17">
        <f>IF($Q1057&lt;&gt;"Yes","",IF($S1057="","(enter date)",_xlfn.LET(_xlpm.dn,IFERROR(_xlfn.XLOOKUP($S1057,nrCDdate,nrCDnum),""),IF(_xlpm.dn="","(not a class day)",IFERROR(_xlfn.XLOOKUP(_xlpm.dn+cfgRetestClassDays,nrCDnum,nrCDdate),"")))))</f>
        <v/>
      </c>
      <c r="U1057" s="15">
        <f>IF($Q1057&lt;&gt;"Yes","",IF(COUNTIFS(nrES_PID,$D1057,nrES_Code,$F1057,nrES_Att,2)&gt;0,"Retested",IF(OR($T1057="",NOT(ISNUMBER($T1057))),"Pending",IF(TODAY()&gt;$T1057,"OVERDUE","Due "&amp;TEXT($T1057,"mm/dd")))))</f>
        <v/>
      </c>
      <c r="V1057" s="14" t="n"/>
      <c r="W1057" s="14" t="n"/>
    </row>
    <row r="1058">
      <c r="B1058" s="15">
        <f>IF($C1058="","",$D1058&amp;"-"&amp;$F1058&amp;"-"&amp;$K1058)</f>
        <v/>
      </c>
      <c r="C1058" s="14" t="n"/>
      <c r="D1058" s="15">
        <f>IF($C1058="","",IFERROR(INDEX(rngCadetPIDs,MATCH($C1058,rngCadetNames,0)),"?"))</f>
        <v/>
      </c>
      <c r="E1058" s="15">
        <f>IF($D1058="","",IFERROR(INDEX(nrCadetAgency,MATCH($D1058,rngCadetPIDs,0)),""))</f>
        <v/>
      </c>
      <c r="F1058" s="14" t="n"/>
      <c r="G1058" s="15">
        <f>IF($F1058="","",IFERROR(INDEX(rngEPname,MATCH($F1058,rngEPcode,0)),"?"))</f>
        <v/>
      </c>
      <c r="H1058" s="15">
        <f>IF($F1058="","",IFERROR(INDEX(rngEPtype,MATCH($F1058,rngEPcode,0)),"?"))</f>
        <v/>
      </c>
      <c r="I1058" s="15">
        <f>IF($F1058="","",IFERROR(INDEX(rngEPseq,MATCH($F1058,rngEPcode,0)),""))</f>
        <v/>
      </c>
      <c r="J1058" s="15">
        <f>IF($F1058="","",IFERROR(INDEX(rngEPpass,MATCH($F1058,rngEPcode,0)),cfgPassingScore))</f>
        <v/>
      </c>
      <c r="K1058" s="14" t="n"/>
      <c r="L1058" s="14" t="n"/>
      <c r="M1058" s="15">
        <f>IF($C1058="","",IF($L1058="","",IF($K1058=1,IF(COUNTIFS(nrES_PID,$D1058,nrES_Code,$F1058,nrES_Att,2)&gt;0,"",$L1058),IF(COUNTIFS(nrES_PID,$D1058,nrES_Code,$F1058,nrES_Att,1)=0,$L1058,IF($L1058&gt;=$J1058,cfgRetakeRecordedCap,SUMIFS(nrES_Raw,nrES_PID,$D1058,nrES_Code,$F1058,nrES_Att,1))))))</f>
        <v/>
      </c>
      <c r="N1058" s="15">
        <f>IF($C1058="","",IF($L1058="","",IF($L1058&gt;=$J1058,"Yes","No")))</f>
        <v/>
      </c>
      <c r="O1058" s="15">
        <f>IF($C1058="","",IF($M1058="","",IF($M1058&gt;=$J1058,"Yes","No")))</f>
        <v/>
      </c>
      <c r="P1058" s="15">
        <f>IF($C1058="","",IF($K1058="","",IF(COUNTIFS(nrES_PID,$D1058,nrES_Code,$F1058,nrES_Att,"&gt;"&amp;$K1058)=0,"Yes","No")))</f>
        <v/>
      </c>
      <c r="Q1058" s="15">
        <f>IF($C1058="","",IF($L1058="","",IF(AND($K1058=1,$L1058&lt;$J1058,COUNTIFS(nrES_PID,$D1058,nrES_Code,$F1058,nrES_Att,2)=0),"Yes","No")))</f>
        <v/>
      </c>
      <c r="R1058" s="15">
        <f>IF($C1058="","",IF($L1058="","",IF(AND($K1058=2,$L1058&lt;$J1058,COUNTIFS(nrES_PID,$D1058,nrES_Code,$F1058,nrES_Att,1)&gt;0),"Yes","No")))</f>
        <v/>
      </c>
      <c r="S1058" s="16" t="n"/>
      <c r="T1058" s="17">
        <f>IF($Q1058&lt;&gt;"Yes","",IF($S1058="","(enter date)",_xlfn.LET(_xlpm.dn,IFERROR(_xlfn.XLOOKUP($S1058,nrCDdate,nrCDnum),""),IF(_xlpm.dn="","(not a class day)",IFERROR(_xlfn.XLOOKUP(_xlpm.dn+cfgRetestClassDays,nrCDnum,nrCDdate),"")))))</f>
        <v/>
      </c>
      <c r="U1058" s="15">
        <f>IF($Q1058&lt;&gt;"Yes","",IF(COUNTIFS(nrES_PID,$D1058,nrES_Code,$F1058,nrES_Att,2)&gt;0,"Retested",IF(OR($T1058="",NOT(ISNUMBER($T1058))),"Pending",IF(TODAY()&gt;$T1058,"OVERDUE","Due "&amp;TEXT($T1058,"mm/dd")))))</f>
        <v/>
      </c>
      <c r="V1058" s="14" t="n"/>
      <c r="W1058" s="14" t="n"/>
    </row>
    <row r="1059">
      <c r="B1059" s="15">
        <f>IF($C1059="","",$D1059&amp;"-"&amp;$F1059&amp;"-"&amp;$K1059)</f>
        <v/>
      </c>
      <c r="C1059" s="14" t="n"/>
      <c r="D1059" s="15">
        <f>IF($C1059="","",IFERROR(INDEX(rngCadetPIDs,MATCH($C1059,rngCadetNames,0)),"?"))</f>
        <v/>
      </c>
      <c r="E1059" s="15">
        <f>IF($D1059="","",IFERROR(INDEX(nrCadetAgency,MATCH($D1059,rngCadetPIDs,0)),""))</f>
        <v/>
      </c>
      <c r="F1059" s="14" t="n"/>
      <c r="G1059" s="15">
        <f>IF($F1059="","",IFERROR(INDEX(rngEPname,MATCH($F1059,rngEPcode,0)),"?"))</f>
        <v/>
      </c>
      <c r="H1059" s="15">
        <f>IF($F1059="","",IFERROR(INDEX(rngEPtype,MATCH($F1059,rngEPcode,0)),"?"))</f>
        <v/>
      </c>
      <c r="I1059" s="15">
        <f>IF($F1059="","",IFERROR(INDEX(rngEPseq,MATCH($F1059,rngEPcode,0)),""))</f>
        <v/>
      </c>
      <c r="J1059" s="15">
        <f>IF($F1059="","",IFERROR(INDEX(rngEPpass,MATCH($F1059,rngEPcode,0)),cfgPassingScore))</f>
        <v/>
      </c>
      <c r="K1059" s="14" t="n"/>
      <c r="L1059" s="14" t="n"/>
      <c r="M1059" s="15">
        <f>IF($C1059="","",IF($L1059="","",IF($K1059=1,IF(COUNTIFS(nrES_PID,$D1059,nrES_Code,$F1059,nrES_Att,2)&gt;0,"",$L1059),IF(COUNTIFS(nrES_PID,$D1059,nrES_Code,$F1059,nrES_Att,1)=0,$L1059,IF($L1059&gt;=$J1059,cfgRetakeRecordedCap,SUMIFS(nrES_Raw,nrES_PID,$D1059,nrES_Code,$F1059,nrES_Att,1))))))</f>
        <v/>
      </c>
      <c r="N1059" s="15">
        <f>IF($C1059="","",IF($L1059="","",IF($L1059&gt;=$J1059,"Yes","No")))</f>
        <v/>
      </c>
      <c r="O1059" s="15">
        <f>IF($C1059="","",IF($M1059="","",IF($M1059&gt;=$J1059,"Yes","No")))</f>
        <v/>
      </c>
      <c r="P1059" s="15">
        <f>IF($C1059="","",IF($K1059="","",IF(COUNTIFS(nrES_PID,$D1059,nrES_Code,$F1059,nrES_Att,"&gt;"&amp;$K1059)=0,"Yes","No")))</f>
        <v/>
      </c>
      <c r="Q1059" s="15">
        <f>IF($C1059="","",IF($L1059="","",IF(AND($K1059=1,$L1059&lt;$J1059,COUNTIFS(nrES_PID,$D1059,nrES_Code,$F1059,nrES_Att,2)=0),"Yes","No")))</f>
        <v/>
      </c>
      <c r="R1059" s="15">
        <f>IF($C1059="","",IF($L1059="","",IF(AND($K1059=2,$L1059&lt;$J1059,COUNTIFS(nrES_PID,$D1059,nrES_Code,$F1059,nrES_Att,1)&gt;0),"Yes","No")))</f>
        <v/>
      </c>
      <c r="S1059" s="16" t="n"/>
      <c r="T1059" s="17">
        <f>IF($Q1059&lt;&gt;"Yes","",IF($S1059="","(enter date)",_xlfn.LET(_xlpm.dn,IFERROR(_xlfn.XLOOKUP($S1059,nrCDdate,nrCDnum),""),IF(_xlpm.dn="","(not a class day)",IFERROR(_xlfn.XLOOKUP(_xlpm.dn+cfgRetestClassDays,nrCDnum,nrCDdate),"")))))</f>
        <v/>
      </c>
      <c r="U1059" s="15">
        <f>IF($Q1059&lt;&gt;"Yes","",IF(COUNTIFS(nrES_PID,$D1059,nrES_Code,$F1059,nrES_Att,2)&gt;0,"Retested",IF(OR($T1059="",NOT(ISNUMBER($T1059))),"Pending",IF(TODAY()&gt;$T1059,"OVERDUE","Due "&amp;TEXT($T1059,"mm/dd")))))</f>
        <v/>
      </c>
      <c r="V1059" s="14" t="n"/>
      <c r="W1059" s="14" t="n"/>
    </row>
    <row r="1060">
      <c r="B1060" s="15">
        <f>IF($C1060="","",$D1060&amp;"-"&amp;$F1060&amp;"-"&amp;$K1060)</f>
        <v/>
      </c>
      <c r="C1060" s="14" t="n"/>
      <c r="D1060" s="15">
        <f>IF($C1060="","",IFERROR(INDEX(rngCadetPIDs,MATCH($C1060,rngCadetNames,0)),"?"))</f>
        <v/>
      </c>
      <c r="E1060" s="15">
        <f>IF($D1060="","",IFERROR(INDEX(nrCadetAgency,MATCH($D1060,rngCadetPIDs,0)),""))</f>
        <v/>
      </c>
      <c r="F1060" s="14" t="n"/>
      <c r="G1060" s="15">
        <f>IF($F1060="","",IFERROR(INDEX(rngEPname,MATCH($F1060,rngEPcode,0)),"?"))</f>
        <v/>
      </c>
      <c r="H1060" s="15">
        <f>IF($F1060="","",IFERROR(INDEX(rngEPtype,MATCH($F1060,rngEPcode,0)),"?"))</f>
        <v/>
      </c>
      <c r="I1060" s="15">
        <f>IF($F1060="","",IFERROR(INDEX(rngEPseq,MATCH($F1060,rngEPcode,0)),""))</f>
        <v/>
      </c>
      <c r="J1060" s="15">
        <f>IF($F1060="","",IFERROR(INDEX(rngEPpass,MATCH($F1060,rngEPcode,0)),cfgPassingScore))</f>
        <v/>
      </c>
      <c r="K1060" s="14" t="n"/>
      <c r="L1060" s="14" t="n"/>
      <c r="M1060" s="15">
        <f>IF($C1060="","",IF($L1060="","",IF($K1060=1,IF(COUNTIFS(nrES_PID,$D1060,nrES_Code,$F1060,nrES_Att,2)&gt;0,"",$L1060),IF(COUNTIFS(nrES_PID,$D1060,nrES_Code,$F1060,nrES_Att,1)=0,$L1060,IF($L1060&gt;=$J1060,cfgRetakeRecordedCap,SUMIFS(nrES_Raw,nrES_PID,$D1060,nrES_Code,$F1060,nrES_Att,1))))))</f>
        <v/>
      </c>
      <c r="N1060" s="15">
        <f>IF($C1060="","",IF($L1060="","",IF($L1060&gt;=$J1060,"Yes","No")))</f>
        <v/>
      </c>
      <c r="O1060" s="15">
        <f>IF($C1060="","",IF($M1060="","",IF($M1060&gt;=$J1060,"Yes","No")))</f>
        <v/>
      </c>
      <c r="P1060" s="15">
        <f>IF($C1060="","",IF($K1060="","",IF(COUNTIFS(nrES_PID,$D1060,nrES_Code,$F1060,nrES_Att,"&gt;"&amp;$K1060)=0,"Yes","No")))</f>
        <v/>
      </c>
      <c r="Q1060" s="15">
        <f>IF($C1060="","",IF($L1060="","",IF(AND($K1060=1,$L1060&lt;$J1060,COUNTIFS(nrES_PID,$D1060,nrES_Code,$F1060,nrES_Att,2)=0),"Yes","No")))</f>
        <v/>
      </c>
      <c r="R1060" s="15">
        <f>IF($C1060="","",IF($L1060="","",IF(AND($K1060=2,$L1060&lt;$J1060,COUNTIFS(nrES_PID,$D1060,nrES_Code,$F1060,nrES_Att,1)&gt;0),"Yes","No")))</f>
        <v/>
      </c>
      <c r="S1060" s="16" t="n"/>
      <c r="T1060" s="17">
        <f>IF($Q1060&lt;&gt;"Yes","",IF($S1060="","(enter date)",_xlfn.LET(_xlpm.dn,IFERROR(_xlfn.XLOOKUP($S1060,nrCDdate,nrCDnum),""),IF(_xlpm.dn="","(not a class day)",IFERROR(_xlfn.XLOOKUP(_xlpm.dn+cfgRetestClassDays,nrCDnum,nrCDdate),"")))))</f>
        <v/>
      </c>
      <c r="U1060" s="15">
        <f>IF($Q1060&lt;&gt;"Yes","",IF(COUNTIFS(nrES_PID,$D1060,nrES_Code,$F1060,nrES_Att,2)&gt;0,"Retested",IF(OR($T1060="",NOT(ISNUMBER($T1060))),"Pending",IF(TODAY()&gt;$T1060,"OVERDUE","Due "&amp;TEXT($T1060,"mm/dd")))))</f>
        <v/>
      </c>
      <c r="V1060" s="14" t="n"/>
      <c r="W1060" s="14" t="n"/>
    </row>
    <row r="1061">
      <c r="B1061" s="15">
        <f>IF($C1061="","",$D1061&amp;"-"&amp;$F1061&amp;"-"&amp;$K1061)</f>
        <v/>
      </c>
      <c r="C1061" s="14" t="n"/>
      <c r="D1061" s="15">
        <f>IF($C1061="","",IFERROR(INDEX(rngCadetPIDs,MATCH($C1061,rngCadetNames,0)),"?"))</f>
        <v/>
      </c>
      <c r="E1061" s="15">
        <f>IF($D1061="","",IFERROR(INDEX(nrCadetAgency,MATCH($D1061,rngCadetPIDs,0)),""))</f>
        <v/>
      </c>
      <c r="F1061" s="14" t="n"/>
      <c r="G1061" s="15">
        <f>IF($F1061="","",IFERROR(INDEX(rngEPname,MATCH($F1061,rngEPcode,0)),"?"))</f>
        <v/>
      </c>
      <c r="H1061" s="15">
        <f>IF($F1061="","",IFERROR(INDEX(rngEPtype,MATCH($F1061,rngEPcode,0)),"?"))</f>
        <v/>
      </c>
      <c r="I1061" s="15">
        <f>IF($F1061="","",IFERROR(INDEX(rngEPseq,MATCH($F1061,rngEPcode,0)),""))</f>
        <v/>
      </c>
      <c r="J1061" s="15">
        <f>IF($F1061="","",IFERROR(INDEX(rngEPpass,MATCH($F1061,rngEPcode,0)),cfgPassingScore))</f>
        <v/>
      </c>
      <c r="K1061" s="14" t="n"/>
      <c r="L1061" s="14" t="n"/>
      <c r="M1061" s="15">
        <f>IF($C1061="","",IF($L1061="","",IF($K1061=1,IF(COUNTIFS(nrES_PID,$D1061,nrES_Code,$F1061,nrES_Att,2)&gt;0,"",$L1061),IF(COUNTIFS(nrES_PID,$D1061,nrES_Code,$F1061,nrES_Att,1)=0,$L1061,IF($L1061&gt;=$J1061,cfgRetakeRecordedCap,SUMIFS(nrES_Raw,nrES_PID,$D1061,nrES_Code,$F1061,nrES_Att,1))))))</f>
        <v/>
      </c>
      <c r="N1061" s="15">
        <f>IF($C1061="","",IF($L1061="","",IF($L1061&gt;=$J1061,"Yes","No")))</f>
        <v/>
      </c>
      <c r="O1061" s="15">
        <f>IF($C1061="","",IF($M1061="","",IF($M1061&gt;=$J1061,"Yes","No")))</f>
        <v/>
      </c>
      <c r="P1061" s="15">
        <f>IF($C1061="","",IF($K1061="","",IF(COUNTIFS(nrES_PID,$D1061,nrES_Code,$F1061,nrES_Att,"&gt;"&amp;$K1061)=0,"Yes","No")))</f>
        <v/>
      </c>
      <c r="Q1061" s="15">
        <f>IF($C1061="","",IF($L1061="","",IF(AND($K1061=1,$L1061&lt;$J1061,COUNTIFS(nrES_PID,$D1061,nrES_Code,$F1061,nrES_Att,2)=0),"Yes","No")))</f>
        <v/>
      </c>
      <c r="R1061" s="15">
        <f>IF($C1061="","",IF($L1061="","",IF(AND($K1061=2,$L1061&lt;$J1061,COUNTIFS(nrES_PID,$D1061,nrES_Code,$F1061,nrES_Att,1)&gt;0),"Yes","No")))</f>
        <v/>
      </c>
      <c r="S1061" s="16" t="n"/>
      <c r="T1061" s="17">
        <f>IF($Q1061&lt;&gt;"Yes","",IF($S1061="","(enter date)",_xlfn.LET(_xlpm.dn,IFERROR(_xlfn.XLOOKUP($S1061,nrCDdate,nrCDnum),""),IF(_xlpm.dn="","(not a class day)",IFERROR(_xlfn.XLOOKUP(_xlpm.dn+cfgRetestClassDays,nrCDnum,nrCDdate),"")))))</f>
        <v/>
      </c>
      <c r="U1061" s="15">
        <f>IF($Q1061&lt;&gt;"Yes","",IF(COUNTIFS(nrES_PID,$D1061,nrES_Code,$F1061,nrES_Att,2)&gt;0,"Retested",IF(OR($T1061="",NOT(ISNUMBER($T1061))),"Pending",IF(TODAY()&gt;$T1061,"OVERDUE","Due "&amp;TEXT($T1061,"mm/dd")))))</f>
        <v/>
      </c>
      <c r="V1061" s="14" t="n"/>
      <c r="W1061" s="14" t="n"/>
    </row>
    <row r="1062">
      <c r="B1062" s="15">
        <f>IF($C1062="","",$D1062&amp;"-"&amp;$F1062&amp;"-"&amp;$K1062)</f>
        <v/>
      </c>
      <c r="C1062" s="14" t="n"/>
      <c r="D1062" s="15">
        <f>IF($C1062="","",IFERROR(INDEX(rngCadetPIDs,MATCH($C1062,rngCadetNames,0)),"?"))</f>
        <v/>
      </c>
      <c r="E1062" s="15">
        <f>IF($D1062="","",IFERROR(INDEX(nrCadetAgency,MATCH($D1062,rngCadetPIDs,0)),""))</f>
        <v/>
      </c>
      <c r="F1062" s="14" t="n"/>
      <c r="G1062" s="15">
        <f>IF($F1062="","",IFERROR(INDEX(rngEPname,MATCH($F1062,rngEPcode,0)),"?"))</f>
        <v/>
      </c>
      <c r="H1062" s="15">
        <f>IF($F1062="","",IFERROR(INDEX(rngEPtype,MATCH($F1062,rngEPcode,0)),"?"))</f>
        <v/>
      </c>
      <c r="I1062" s="15">
        <f>IF($F1062="","",IFERROR(INDEX(rngEPseq,MATCH($F1062,rngEPcode,0)),""))</f>
        <v/>
      </c>
      <c r="J1062" s="15">
        <f>IF($F1062="","",IFERROR(INDEX(rngEPpass,MATCH($F1062,rngEPcode,0)),cfgPassingScore))</f>
        <v/>
      </c>
      <c r="K1062" s="14" t="n"/>
      <c r="L1062" s="14" t="n"/>
      <c r="M1062" s="15">
        <f>IF($C1062="","",IF($L1062="","",IF($K1062=1,IF(COUNTIFS(nrES_PID,$D1062,nrES_Code,$F1062,nrES_Att,2)&gt;0,"",$L1062),IF(COUNTIFS(nrES_PID,$D1062,nrES_Code,$F1062,nrES_Att,1)=0,$L1062,IF($L1062&gt;=$J1062,cfgRetakeRecordedCap,SUMIFS(nrES_Raw,nrES_PID,$D1062,nrES_Code,$F1062,nrES_Att,1))))))</f>
        <v/>
      </c>
      <c r="N1062" s="15">
        <f>IF($C1062="","",IF($L1062="","",IF($L1062&gt;=$J1062,"Yes","No")))</f>
        <v/>
      </c>
      <c r="O1062" s="15">
        <f>IF($C1062="","",IF($M1062="","",IF($M1062&gt;=$J1062,"Yes","No")))</f>
        <v/>
      </c>
      <c r="P1062" s="15">
        <f>IF($C1062="","",IF($K1062="","",IF(COUNTIFS(nrES_PID,$D1062,nrES_Code,$F1062,nrES_Att,"&gt;"&amp;$K1062)=0,"Yes","No")))</f>
        <v/>
      </c>
      <c r="Q1062" s="15">
        <f>IF($C1062="","",IF($L1062="","",IF(AND($K1062=1,$L1062&lt;$J1062,COUNTIFS(nrES_PID,$D1062,nrES_Code,$F1062,nrES_Att,2)=0),"Yes","No")))</f>
        <v/>
      </c>
      <c r="R1062" s="15">
        <f>IF($C1062="","",IF($L1062="","",IF(AND($K1062=2,$L1062&lt;$J1062,COUNTIFS(nrES_PID,$D1062,nrES_Code,$F1062,nrES_Att,1)&gt;0),"Yes","No")))</f>
        <v/>
      </c>
      <c r="S1062" s="16" t="n"/>
      <c r="T1062" s="17">
        <f>IF($Q1062&lt;&gt;"Yes","",IF($S1062="","(enter date)",_xlfn.LET(_xlpm.dn,IFERROR(_xlfn.XLOOKUP($S1062,nrCDdate,nrCDnum),""),IF(_xlpm.dn="","(not a class day)",IFERROR(_xlfn.XLOOKUP(_xlpm.dn+cfgRetestClassDays,nrCDnum,nrCDdate),"")))))</f>
        <v/>
      </c>
      <c r="U1062" s="15">
        <f>IF($Q1062&lt;&gt;"Yes","",IF(COUNTIFS(nrES_PID,$D1062,nrES_Code,$F1062,nrES_Att,2)&gt;0,"Retested",IF(OR($T1062="",NOT(ISNUMBER($T1062))),"Pending",IF(TODAY()&gt;$T1062,"OVERDUE","Due "&amp;TEXT($T1062,"mm/dd")))))</f>
        <v/>
      </c>
      <c r="V1062" s="14" t="n"/>
      <c r="W1062" s="14" t="n"/>
    </row>
    <row r="1063">
      <c r="B1063" s="15">
        <f>IF($C1063="","",$D1063&amp;"-"&amp;$F1063&amp;"-"&amp;$K1063)</f>
        <v/>
      </c>
      <c r="C1063" s="14" t="n"/>
      <c r="D1063" s="15">
        <f>IF($C1063="","",IFERROR(INDEX(rngCadetPIDs,MATCH($C1063,rngCadetNames,0)),"?"))</f>
        <v/>
      </c>
      <c r="E1063" s="15">
        <f>IF($D1063="","",IFERROR(INDEX(nrCadetAgency,MATCH($D1063,rngCadetPIDs,0)),""))</f>
        <v/>
      </c>
      <c r="F1063" s="14" t="n"/>
      <c r="G1063" s="15">
        <f>IF($F1063="","",IFERROR(INDEX(rngEPname,MATCH($F1063,rngEPcode,0)),"?"))</f>
        <v/>
      </c>
      <c r="H1063" s="15">
        <f>IF($F1063="","",IFERROR(INDEX(rngEPtype,MATCH($F1063,rngEPcode,0)),"?"))</f>
        <v/>
      </c>
      <c r="I1063" s="15">
        <f>IF($F1063="","",IFERROR(INDEX(rngEPseq,MATCH($F1063,rngEPcode,0)),""))</f>
        <v/>
      </c>
      <c r="J1063" s="15">
        <f>IF($F1063="","",IFERROR(INDEX(rngEPpass,MATCH($F1063,rngEPcode,0)),cfgPassingScore))</f>
        <v/>
      </c>
      <c r="K1063" s="14" t="n"/>
      <c r="L1063" s="14" t="n"/>
      <c r="M1063" s="15">
        <f>IF($C1063="","",IF($L1063="","",IF($K1063=1,IF(COUNTIFS(nrES_PID,$D1063,nrES_Code,$F1063,nrES_Att,2)&gt;0,"",$L1063),IF(COUNTIFS(nrES_PID,$D1063,nrES_Code,$F1063,nrES_Att,1)=0,$L1063,IF($L1063&gt;=$J1063,cfgRetakeRecordedCap,SUMIFS(nrES_Raw,nrES_PID,$D1063,nrES_Code,$F1063,nrES_Att,1))))))</f>
        <v/>
      </c>
      <c r="N1063" s="15">
        <f>IF($C1063="","",IF($L1063="","",IF($L1063&gt;=$J1063,"Yes","No")))</f>
        <v/>
      </c>
      <c r="O1063" s="15">
        <f>IF($C1063="","",IF($M1063="","",IF($M1063&gt;=$J1063,"Yes","No")))</f>
        <v/>
      </c>
      <c r="P1063" s="15">
        <f>IF($C1063="","",IF($K1063="","",IF(COUNTIFS(nrES_PID,$D1063,nrES_Code,$F1063,nrES_Att,"&gt;"&amp;$K1063)=0,"Yes","No")))</f>
        <v/>
      </c>
      <c r="Q1063" s="15">
        <f>IF($C1063="","",IF($L1063="","",IF(AND($K1063=1,$L1063&lt;$J1063,COUNTIFS(nrES_PID,$D1063,nrES_Code,$F1063,nrES_Att,2)=0),"Yes","No")))</f>
        <v/>
      </c>
      <c r="R1063" s="15">
        <f>IF($C1063="","",IF($L1063="","",IF(AND($K1063=2,$L1063&lt;$J1063,COUNTIFS(nrES_PID,$D1063,nrES_Code,$F1063,nrES_Att,1)&gt;0),"Yes","No")))</f>
        <v/>
      </c>
      <c r="S1063" s="16" t="n"/>
      <c r="T1063" s="17">
        <f>IF($Q1063&lt;&gt;"Yes","",IF($S1063="","(enter date)",_xlfn.LET(_xlpm.dn,IFERROR(_xlfn.XLOOKUP($S1063,nrCDdate,nrCDnum),""),IF(_xlpm.dn="","(not a class day)",IFERROR(_xlfn.XLOOKUP(_xlpm.dn+cfgRetestClassDays,nrCDnum,nrCDdate),"")))))</f>
        <v/>
      </c>
      <c r="U1063" s="15">
        <f>IF($Q1063&lt;&gt;"Yes","",IF(COUNTIFS(nrES_PID,$D1063,nrES_Code,$F1063,nrES_Att,2)&gt;0,"Retested",IF(OR($T1063="",NOT(ISNUMBER($T1063))),"Pending",IF(TODAY()&gt;$T1063,"OVERDUE","Due "&amp;TEXT($T1063,"mm/dd")))))</f>
        <v/>
      </c>
      <c r="V1063" s="14" t="n"/>
      <c r="W1063" s="14" t="n"/>
    </row>
    <row r="1064">
      <c r="B1064" s="15">
        <f>IF($C1064="","",$D1064&amp;"-"&amp;$F1064&amp;"-"&amp;$K1064)</f>
        <v/>
      </c>
      <c r="C1064" s="14" t="n"/>
      <c r="D1064" s="15">
        <f>IF($C1064="","",IFERROR(INDEX(rngCadetPIDs,MATCH($C1064,rngCadetNames,0)),"?"))</f>
        <v/>
      </c>
      <c r="E1064" s="15">
        <f>IF($D1064="","",IFERROR(INDEX(nrCadetAgency,MATCH($D1064,rngCadetPIDs,0)),""))</f>
        <v/>
      </c>
      <c r="F1064" s="14" t="n"/>
      <c r="G1064" s="15">
        <f>IF($F1064="","",IFERROR(INDEX(rngEPname,MATCH($F1064,rngEPcode,0)),"?"))</f>
        <v/>
      </c>
      <c r="H1064" s="15">
        <f>IF($F1064="","",IFERROR(INDEX(rngEPtype,MATCH($F1064,rngEPcode,0)),"?"))</f>
        <v/>
      </c>
      <c r="I1064" s="15">
        <f>IF($F1064="","",IFERROR(INDEX(rngEPseq,MATCH($F1064,rngEPcode,0)),""))</f>
        <v/>
      </c>
      <c r="J1064" s="15">
        <f>IF($F1064="","",IFERROR(INDEX(rngEPpass,MATCH($F1064,rngEPcode,0)),cfgPassingScore))</f>
        <v/>
      </c>
      <c r="K1064" s="14" t="n"/>
      <c r="L1064" s="14" t="n"/>
      <c r="M1064" s="15">
        <f>IF($C1064="","",IF($L1064="","",IF($K1064=1,IF(COUNTIFS(nrES_PID,$D1064,nrES_Code,$F1064,nrES_Att,2)&gt;0,"",$L1064),IF(COUNTIFS(nrES_PID,$D1064,nrES_Code,$F1064,nrES_Att,1)=0,$L1064,IF($L1064&gt;=$J1064,cfgRetakeRecordedCap,SUMIFS(nrES_Raw,nrES_PID,$D1064,nrES_Code,$F1064,nrES_Att,1))))))</f>
        <v/>
      </c>
      <c r="N1064" s="15">
        <f>IF($C1064="","",IF($L1064="","",IF($L1064&gt;=$J1064,"Yes","No")))</f>
        <v/>
      </c>
      <c r="O1064" s="15">
        <f>IF($C1064="","",IF($M1064="","",IF($M1064&gt;=$J1064,"Yes","No")))</f>
        <v/>
      </c>
      <c r="P1064" s="15">
        <f>IF($C1064="","",IF($K1064="","",IF(COUNTIFS(nrES_PID,$D1064,nrES_Code,$F1064,nrES_Att,"&gt;"&amp;$K1064)=0,"Yes","No")))</f>
        <v/>
      </c>
      <c r="Q1064" s="15">
        <f>IF($C1064="","",IF($L1064="","",IF(AND($K1064=1,$L1064&lt;$J1064,COUNTIFS(nrES_PID,$D1064,nrES_Code,$F1064,nrES_Att,2)=0),"Yes","No")))</f>
        <v/>
      </c>
      <c r="R1064" s="15">
        <f>IF($C1064="","",IF($L1064="","",IF(AND($K1064=2,$L1064&lt;$J1064,COUNTIFS(nrES_PID,$D1064,nrES_Code,$F1064,nrES_Att,1)&gt;0),"Yes","No")))</f>
        <v/>
      </c>
      <c r="S1064" s="16" t="n"/>
      <c r="T1064" s="17">
        <f>IF($Q1064&lt;&gt;"Yes","",IF($S1064="","(enter date)",_xlfn.LET(_xlpm.dn,IFERROR(_xlfn.XLOOKUP($S1064,nrCDdate,nrCDnum),""),IF(_xlpm.dn="","(not a class day)",IFERROR(_xlfn.XLOOKUP(_xlpm.dn+cfgRetestClassDays,nrCDnum,nrCDdate),"")))))</f>
        <v/>
      </c>
      <c r="U1064" s="15">
        <f>IF($Q1064&lt;&gt;"Yes","",IF(COUNTIFS(nrES_PID,$D1064,nrES_Code,$F1064,nrES_Att,2)&gt;0,"Retested",IF(OR($T1064="",NOT(ISNUMBER($T1064))),"Pending",IF(TODAY()&gt;$T1064,"OVERDUE","Due "&amp;TEXT($T1064,"mm/dd")))))</f>
        <v/>
      </c>
      <c r="V1064" s="14" t="n"/>
      <c r="W1064" s="14" t="n"/>
    </row>
    <row r="1065">
      <c r="B1065" s="15">
        <f>IF($C1065="","",$D1065&amp;"-"&amp;$F1065&amp;"-"&amp;$K1065)</f>
        <v/>
      </c>
      <c r="C1065" s="14" t="n"/>
      <c r="D1065" s="15">
        <f>IF($C1065="","",IFERROR(INDEX(rngCadetPIDs,MATCH($C1065,rngCadetNames,0)),"?"))</f>
        <v/>
      </c>
      <c r="E1065" s="15">
        <f>IF($D1065="","",IFERROR(INDEX(nrCadetAgency,MATCH($D1065,rngCadetPIDs,0)),""))</f>
        <v/>
      </c>
      <c r="F1065" s="14" t="n"/>
      <c r="G1065" s="15">
        <f>IF($F1065="","",IFERROR(INDEX(rngEPname,MATCH($F1065,rngEPcode,0)),"?"))</f>
        <v/>
      </c>
      <c r="H1065" s="15">
        <f>IF($F1065="","",IFERROR(INDEX(rngEPtype,MATCH($F1065,rngEPcode,0)),"?"))</f>
        <v/>
      </c>
      <c r="I1065" s="15">
        <f>IF($F1065="","",IFERROR(INDEX(rngEPseq,MATCH($F1065,rngEPcode,0)),""))</f>
        <v/>
      </c>
      <c r="J1065" s="15">
        <f>IF($F1065="","",IFERROR(INDEX(rngEPpass,MATCH($F1065,rngEPcode,0)),cfgPassingScore))</f>
        <v/>
      </c>
      <c r="K1065" s="14" t="n"/>
      <c r="L1065" s="14" t="n"/>
      <c r="M1065" s="15">
        <f>IF($C1065="","",IF($L1065="","",IF($K1065=1,IF(COUNTIFS(nrES_PID,$D1065,nrES_Code,$F1065,nrES_Att,2)&gt;0,"",$L1065),IF(COUNTIFS(nrES_PID,$D1065,nrES_Code,$F1065,nrES_Att,1)=0,$L1065,IF($L1065&gt;=$J1065,cfgRetakeRecordedCap,SUMIFS(nrES_Raw,nrES_PID,$D1065,nrES_Code,$F1065,nrES_Att,1))))))</f>
        <v/>
      </c>
      <c r="N1065" s="15">
        <f>IF($C1065="","",IF($L1065="","",IF($L1065&gt;=$J1065,"Yes","No")))</f>
        <v/>
      </c>
      <c r="O1065" s="15">
        <f>IF($C1065="","",IF($M1065="","",IF($M1065&gt;=$J1065,"Yes","No")))</f>
        <v/>
      </c>
      <c r="P1065" s="15">
        <f>IF($C1065="","",IF($K1065="","",IF(COUNTIFS(nrES_PID,$D1065,nrES_Code,$F1065,nrES_Att,"&gt;"&amp;$K1065)=0,"Yes","No")))</f>
        <v/>
      </c>
      <c r="Q1065" s="15">
        <f>IF($C1065="","",IF($L1065="","",IF(AND($K1065=1,$L1065&lt;$J1065,COUNTIFS(nrES_PID,$D1065,nrES_Code,$F1065,nrES_Att,2)=0),"Yes","No")))</f>
        <v/>
      </c>
      <c r="R1065" s="15">
        <f>IF($C1065="","",IF($L1065="","",IF(AND($K1065=2,$L1065&lt;$J1065,COUNTIFS(nrES_PID,$D1065,nrES_Code,$F1065,nrES_Att,1)&gt;0),"Yes","No")))</f>
        <v/>
      </c>
      <c r="S1065" s="16" t="n"/>
      <c r="T1065" s="17">
        <f>IF($Q1065&lt;&gt;"Yes","",IF($S1065="","(enter date)",_xlfn.LET(_xlpm.dn,IFERROR(_xlfn.XLOOKUP($S1065,nrCDdate,nrCDnum),""),IF(_xlpm.dn="","(not a class day)",IFERROR(_xlfn.XLOOKUP(_xlpm.dn+cfgRetestClassDays,nrCDnum,nrCDdate),"")))))</f>
        <v/>
      </c>
      <c r="U1065" s="15">
        <f>IF($Q1065&lt;&gt;"Yes","",IF(COUNTIFS(nrES_PID,$D1065,nrES_Code,$F1065,nrES_Att,2)&gt;0,"Retested",IF(OR($T1065="",NOT(ISNUMBER($T1065))),"Pending",IF(TODAY()&gt;$T1065,"OVERDUE","Due "&amp;TEXT($T1065,"mm/dd")))))</f>
        <v/>
      </c>
      <c r="V1065" s="14" t="n"/>
      <c r="W1065" s="14" t="n"/>
    </row>
    <row r="1066">
      <c r="B1066" s="15">
        <f>IF($C1066="","",$D1066&amp;"-"&amp;$F1066&amp;"-"&amp;$K1066)</f>
        <v/>
      </c>
      <c r="C1066" s="14" t="n"/>
      <c r="D1066" s="15">
        <f>IF($C1066="","",IFERROR(INDEX(rngCadetPIDs,MATCH($C1066,rngCadetNames,0)),"?"))</f>
        <v/>
      </c>
      <c r="E1066" s="15">
        <f>IF($D1066="","",IFERROR(INDEX(nrCadetAgency,MATCH($D1066,rngCadetPIDs,0)),""))</f>
        <v/>
      </c>
      <c r="F1066" s="14" t="n"/>
      <c r="G1066" s="15">
        <f>IF($F1066="","",IFERROR(INDEX(rngEPname,MATCH($F1066,rngEPcode,0)),"?"))</f>
        <v/>
      </c>
      <c r="H1066" s="15">
        <f>IF($F1066="","",IFERROR(INDEX(rngEPtype,MATCH($F1066,rngEPcode,0)),"?"))</f>
        <v/>
      </c>
      <c r="I1066" s="15">
        <f>IF($F1066="","",IFERROR(INDEX(rngEPseq,MATCH($F1066,rngEPcode,0)),""))</f>
        <v/>
      </c>
      <c r="J1066" s="15">
        <f>IF($F1066="","",IFERROR(INDEX(rngEPpass,MATCH($F1066,rngEPcode,0)),cfgPassingScore))</f>
        <v/>
      </c>
      <c r="K1066" s="14" t="n"/>
      <c r="L1066" s="14" t="n"/>
      <c r="M1066" s="15">
        <f>IF($C1066="","",IF($L1066="","",IF($K1066=1,IF(COUNTIFS(nrES_PID,$D1066,nrES_Code,$F1066,nrES_Att,2)&gt;0,"",$L1066),IF(COUNTIFS(nrES_PID,$D1066,nrES_Code,$F1066,nrES_Att,1)=0,$L1066,IF($L1066&gt;=$J1066,cfgRetakeRecordedCap,SUMIFS(nrES_Raw,nrES_PID,$D1066,nrES_Code,$F1066,nrES_Att,1))))))</f>
        <v/>
      </c>
      <c r="N1066" s="15">
        <f>IF($C1066="","",IF($L1066="","",IF($L1066&gt;=$J1066,"Yes","No")))</f>
        <v/>
      </c>
      <c r="O1066" s="15">
        <f>IF($C1066="","",IF($M1066="","",IF($M1066&gt;=$J1066,"Yes","No")))</f>
        <v/>
      </c>
      <c r="P1066" s="15">
        <f>IF($C1066="","",IF($K1066="","",IF(COUNTIFS(nrES_PID,$D1066,nrES_Code,$F1066,nrES_Att,"&gt;"&amp;$K1066)=0,"Yes","No")))</f>
        <v/>
      </c>
      <c r="Q1066" s="15">
        <f>IF($C1066="","",IF($L1066="","",IF(AND($K1066=1,$L1066&lt;$J1066,COUNTIFS(nrES_PID,$D1066,nrES_Code,$F1066,nrES_Att,2)=0),"Yes","No")))</f>
        <v/>
      </c>
      <c r="R1066" s="15">
        <f>IF($C1066="","",IF($L1066="","",IF(AND($K1066=2,$L1066&lt;$J1066,COUNTIFS(nrES_PID,$D1066,nrES_Code,$F1066,nrES_Att,1)&gt;0),"Yes","No")))</f>
        <v/>
      </c>
      <c r="S1066" s="16" t="n"/>
      <c r="T1066" s="17">
        <f>IF($Q1066&lt;&gt;"Yes","",IF($S1066="","(enter date)",_xlfn.LET(_xlpm.dn,IFERROR(_xlfn.XLOOKUP($S1066,nrCDdate,nrCDnum),""),IF(_xlpm.dn="","(not a class day)",IFERROR(_xlfn.XLOOKUP(_xlpm.dn+cfgRetestClassDays,nrCDnum,nrCDdate),"")))))</f>
        <v/>
      </c>
      <c r="U1066" s="15">
        <f>IF($Q1066&lt;&gt;"Yes","",IF(COUNTIFS(nrES_PID,$D1066,nrES_Code,$F1066,nrES_Att,2)&gt;0,"Retested",IF(OR($T1066="",NOT(ISNUMBER($T1066))),"Pending",IF(TODAY()&gt;$T1066,"OVERDUE","Due "&amp;TEXT($T1066,"mm/dd")))))</f>
        <v/>
      </c>
      <c r="V1066" s="14" t="n"/>
      <c r="W1066" s="14" t="n"/>
    </row>
    <row r="1067">
      <c r="B1067" s="15">
        <f>IF($C1067="","",$D1067&amp;"-"&amp;$F1067&amp;"-"&amp;$K1067)</f>
        <v/>
      </c>
      <c r="C1067" s="14" t="n"/>
      <c r="D1067" s="15">
        <f>IF($C1067="","",IFERROR(INDEX(rngCadetPIDs,MATCH($C1067,rngCadetNames,0)),"?"))</f>
        <v/>
      </c>
      <c r="E1067" s="15">
        <f>IF($D1067="","",IFERROR(INDEX(nrCadetAgency,MATCH($D1067,rngCadetPIDs,0)),""))</f>
        <v/>
      </c>
      <c r="F1067" s="14" t="n"/>
      <c r="G1067" s="15">
        <f>IF($F1067="","",IFERROR(INDEX(rngEPname,MATCH($F1067,rngEPcode,0)),"?"))</f>
        <v/>
      </c>
      <c r="H1067" s="15">
        <f>IF($F1067="","",IFERROR(INDEX(rngEPtype,MATCH($F1067,rngEPcode,0)),"?"))</f>
        <v/>
      </c>
      <c r="I1067" s="15">
        <f>IF($F1067="","",IFERROR(INDEX(rngEPseq,MATCH($F1067,rngEPcode,0)),""))</f>
        <v/>
      </c>
      <c r="J1067" s="15">
        <f>IF($F1067="","",IFERROR(INDEX(rngEPpass,MATCH($F1067,rngEPcode,0)),cfgPassingScore))</f>
        <v/>
      </c>
      <c r="K1067" s="14" t="n"/>
      <c r="L1067" s="14" t="n"/>
      <c r="M1067" s="15">
        <f>IF($C1067="","",IF($L1067="","",IF($K1067=1,IF(COUNTIFS(nrES_PID,$D1067,nrES_Code,$F1067,nrES_Att,2)&gt;0,"",$L1067),IF(COUNTIFS(nrES_PID,$D1067,nrES_Code,$F1067,nrES_Att,1)=0,$L1067,IF($L1067&gt;=$J1067,cfgRetakeRecordedCap,SUMIFS(nrES_Raw,nrES_PID,$D1067,nrES_Code,$F1067,nrES_Att,1))))))</f>
        <v/>
      </c>
      <c r="N1067" s="15">
        <f>IF($C1067="","",IF($L1067="","",IF($L1067&gt;=$J1067,"Yes","No")))</f>
        <v/>
      </c>
      <c r="O1067" s="15">
        <f>IF($C1067="","",IF($M1067="","",IF($M1067&gt;=$J1067,"Yes","No")))</f>
        <v/>
      </c>
      <c r="P1067" s="15">
        <f>IF($C1067="","",IF($K1067="","",IF(COUNTIFS(nrES_PID,$D1067,nrES_Code,$F1067,nrES_Att,"&gt;"&amp;$K1067)=0,"Yes","No")))</f>
        <v/>
      </c>
      <c r="Q1067" s="15">
        <f>IF($C1067="","",IF($L1067="","",IF(AND($K1067=1,$L1067&lt;$J1067,COUNTIFS(nrES_PID,$D1067,nrES_Code,$F1067,nrES_Att,2)=0),"Yes","No")))</f>
        <v/>
      </c>
      <c r="R1067" s="15">
        <f>IF($C1067="","",IF($L1067="","",IF(AND($K1067=2,$L1067&lt;$J1067,COUNTIFS(nrES_PID,$D1067,nrES_Code,$F1067,nrES_Att,1)&gt;0),"Yes","No")))</f>
        <v/>
      </c>
      <c r="S1067" s="16" t="n"/>
      <c r="T1067" s="17">
        <f>IF($Q1067&lt;&gt;"Yes","",IF($S1067="","(enter date)",_xlfn.LET(_xlpm.dn,IFERROR(_xlfn.XLOOKUP($S1067,nrCDdate,nrCDnum),""),IF(_xlpm.dn="","(not a class day)",IFERROR(_xlfn.XLOOKUP(_xlpm.dn+cfgRetestClassDays,nrCDnum,nrCDdate),"")))))</f>
        <v/>
      </c>
      <c r="U1067" s="15">
        <f>IF($Q1067&lt;&gt;"Yes","",IF(COUNTIFS(nrES_PID,$D1067,nrES_Code,$F1067,nrES_Att,2)&gt;0,"Retested",IF(OR($T1067="",NOT(ISNUMBER($T1067))),"Pending",IF(TODAY()&gt;$T1067,"OVERDUE","Due "&amp;TEXT($T1067,"mm/dd")))))</f>
        <v/>
      </c>
      <c r="V1067" s="14" t="n"/>
      <c r="W1067" s="14" t="n"/>
    </row>
    <row r="1068">
      <c r="B1068" s="15">
        <f>IF($C1068="","",$D1068&amp;"-"&amp;$F1068&amp;"-"&amp;$K1068)</f>
        <v/>
      </c>
      <c r="C1068" s="14" t="n"/>
      <c r="D1068" s="15">
        <f>IF($C1068="","",IFERROR(INDEX(rngCadetPIDs,MATCH($C1068,rngCadetNames,0)),"?"))</f>
        <v/>
      </c>
      <c r="E1068" s="15">
        <f>IF($D1068="","",IFERROR(INDEX(nrCadetAgency,MATCH($D1068,rngCadetPIDs,0)),""))</f>
        <v/>
      </c>
      <c r="F1068" s="14" t="n"/>
      <c r="G1068" s="15">
        <f>IF($F1068="","",IFERROR(INDEX(rngEPname,MATCH($F1068,rngEPcode,0)),"?"))</f>
        <v/>
      </c>
      <c r="H1068" s="15">
        <f>IF($F1068="","",IFERROR(INDEX(rngEPtype,MATCH($F1068,rngEPcode,0)),"?"))</f>
        <v/>
      </c>
      <c r="I1068" s="15">
        <f>IF($F1068="","",IFERROR(INDEX(rngEPseq,MATCH($F1068,rngEPcode,0)),""))</f>
        <v/>
      </c>
      <c r="J1068" s="15">
        <f>IF($F1068="","",IFERROR(INDEX(rngEPpass,MATCH($F1068,rngEPcode,0)),cfgPassingScore))</f>
        <v/>
      </c>
      <c r="K1068" s="14" t="n"/>
      <c r="L1068" s="14" t="n"/>
      <c r="M1068" s="15">
        <f>IF($C1068="","",IF($L1068="","",IF($K1068=1,IF(COUNTIFS(nrES_PID,$D1068,nrES_Code,$F1068,nrES_Att,2)&gt;0,"",$L1068),IF(COUNTIFS(nrES_PID,$D1068,nrES_Code,$F1068,nrES_Att,1)=0,$L1068,IF($L1068&gt;=$J1068,cfgRetakeRecordedCap,SUMIFS(nrES_Raw,nrES_PID,$D1068,nrES_Code,$F1068,nrES_Att,1))))))</f>
        <v/>
      </c>
      <c r="N1068" s="15">
        <f>IF($C1068="","",IF($L1068="","",IF($L1068&gt;=$J1068,"Yes","No")))</f>
        <v/>
      </c>
      <c r="O1068" s="15">
        <f>IF($C1068="","",IF($M1068="","",IF($M1068&gt;=$J1068,"Yes","No")))</f>
        <v/>
      </c>
      <c r="P1068" s="15">
        <f>IF($C1068="","",IF($K1068="","",IF(COUNTIFS(nrES_PID,$D1068,nrES_Code,$F1068,nrES_Att,"&gt;"&amp;$K1068)=0,"Yes","No")))</f>
        <v/>
      </c>
      <c r="Q1068" s="15">
        <f>IF($C1068="","",IF($L1068="","",IF(AND($K1068=1,$L1068&lt;$J1068,COUNTIFS(nrES_PID,$D1068,nrES_Code,$F1068,nrES_Att,2)=0),"Yes","No")))</f>
        <v/>
      </c>
      <c r="R1068" s="15">
        <f>IF($C1068="","",IF($L1068="","",IF(AND($K1068=2,$L1068&lt;$J1068,COUNTIFS(nrES_PID,$D1068,nrES_Code,$F1068,nrES_Att,1)&gt;0),"Yes","No")))</f>
        <v/>
      </c>
      <c r="S1068" s="16" t="n"/>
      <c r="T1068" s="17">
        <f>IF($Q1068&lt;&gt;"Yes","",IF($S1068="","(enter date)",_xlfn.LET(_xlpm.dn,IFERROR(_xlfn.XLOOKUP($S1068,nrCDdate,nrCDnum),""),IF(_xlpm.dn="","(not a class day)",IFERROR(_xlfn.XLOOKUP(_xlpm.dn+cfgRetestClassDays,nrCDnum,nrCDdate),"")))))</f>
        <v/>
      </c>
      <c r="U1068" s="15">
        <f>IF($Q1068&lt;&gt;"Yes","",IF(COUNTIFS(nrES_PID,$D1068,nrES_Code,$F1068,nrES_Att,2)&gt;0,"Retested",IF(OR($T1068="",NOT(ISNUMBER($T1068))),"Pending",IF(TODAY()&gt;$T1068,"OVERDUE","Due "&amp;TEXT($T1068,"mm/dd")))))</f>
        <v/>
      </c>
      <c r="V1068" s="14" t="n"/>
      <c r="W1068" s="14" t="n"/>
    </row>
    <row r="1069">
      <c r="B1069" s="15">
        <f>IF($C1069="","",$D1069&amp;"-"&amp;$F1069&amp;"-"&amp;$K1069)</f>
        <v/>
      </c>
      <c r="C1069" s="14" t="n"/>
      <c r="D1069" s="15">
        <f>IF($C1069="","",IFERROR(INDEX(rngCadetPIDs,MATCH($C1069,rngCadetNames,0)),"?"))</f>
        <v/>
      </c>
      <c r="E1069" s="15">
        <f>IF($D1069="","",IFERROR(INDEX(nrCadetAgency,MATCH($D1069,rngCadetPIDs,0)),""))</f>
        <v/>
      </c>
      <c r="F1069" s="14" t="n"/>
      <c r="G1069" s="15">
        <f>IF($F1069="","",IFERROR(INDEX(rngEPname,MATCH($F1069,rngEPcode,0)),"?"))</f>
        <v/>
      </c>
      <c r="H1069" s="15">
        <f>IF($F1069="","",IFERROR(INDEX(rngEPtype,MATCH($F1069,rngEPcode,0)),"?"))</f>
        <v/>
      </c>
      <c r="I1069" s="15">
        <f>IF($F1069="","",IFERROR(INDEX(rngEPseq,MATCH($F1069,rngEPcode,0)),""))</f>
        <v/>
      </c>
      <c r="J1069" s="15">
        <f>IF($F1069="","",IFERROR(INDEX(rngEPpass,MATCH($F1069,rngEPcode,0)),cfgPassingScore))</f>
        <v/>
      </c>
      <c r="K1069" s="14" t="n"/>
      <c r="L1069" s="14" t="n"/>
      <c r="M1069" s="15">
        <f>IF($C1069="","",IF($L1069="","",IF($K1069=1,IF(COUNTIFS(nrES_PID,$D1069,nrES_Code,$F1069,nrES_Att,2)&gt;0,"",$L1069),IF(COUNTIFS(nrES_PID,$D1069,nrES_Code,$F1069,nrES_Att,1)=0,$L1069,IF($L1069&gt;=$J1069,cfgRetakeRecordedCap,SUMIFS(nrES_Raw,nrES_PID,$D1069,nrES_Code,$F1069,nrES_Att,1))))))</f>
        <v/>
      </c>
      <c r="N1069" s="15">
        <f>IF($C1069="","",IF($L1069="","",IF($L1069&gt;=$J1069,"Yes","No")))</f>
        <v/>
      </c>
      <c r="O1069" s="15">
        <f>IF($C1069="","",IF($M1069="","",IF($M1069&gt;=$J1069,"Yes","No")))</f>
        <v/>
      </c>
      <c r="P1069" s="15">
        <f>IF($C1069="","",IF($K1069="","",IF(COUNTIFS(nrES_PID,$D1069,nrES_Code,$F1069,nrES_Att,"&gt;"&amp;$K1069)=0,"Yes","No")))</f>
        <v/>
      </c>
      <c r="Q1069" s="15">
        <f>IF($C1069="","",IF($L1069="","",IF(AND($K1069=1,$L1069&lt;$J1069,COUNTIFS(nrES_PID,$D1069,nrES_Code,$F1069,nrES_Att,2)=0),"Yes","No")))</f>
        <v/>
      </c>
      <c r="R1069" s="15">
        <f>IF($C1069="","",IF($L1069="","",IF(AND($K1069=2,$L1069&lt;$J1069,COUNTIFS(nrES_PID,$D1069,nrES_Code,$F1069,nrES_Att,1)&gt;0),"Yes","No")))</f>
        <v/>
      </c>
      <c r="S1069" s="16" t="n"/>
      <c r="T1069" s="17">
        <f>IF($Q1069&lt;&gt;"Yes","",IF($S1069="","(enter date)",_xlfn.LET(_xlpm.dn,IFERROR(_xlfn.XLOOKUP($S1069,nrCDdate,nrCDnum),""),IF(_xlpm.dn="","(not a class day)",IFERROR(_xlfn.XLOOKUP(_xlpm.dn+cfgRetestClassDays,nrCDnum,nrCDdate),"")))))</f>
        <v/>
      </c>
      <c r="U1069" s="15">
        <f>IF($Q1069&lt;&gt;"Yes","",IF(COUNTIFS(nrES_PID,$D1069,nrES_Code,$F1069,nrES_Att,2)&gt;0,"Retested",IF(OR($T1069="",NOT(ISNUMBER($T1069))),"Pending",IF(TODAY()&gt;$T1069,"OVERDUE","Due "&amp;TEXT($T1069,"mm/dd")))))</f>
        <v/>
      </c>
      <c r="V1069" s="14" t="n"/>
      <c r="W1069" s="14" t="n"/>
    </row>
    <row r="1070">
      <c r="B1070" s="15">
        <f>IF($C1070="","",$D1070&amp;"-"&amp;$F1070&amp;"-"&amp;$K1070)</f>
        <v/>
      </c>
      <c r="C1070" s="14" t="n"/>
      <c r="D1070" s="15">
        <f>IF($C1070="","",IFERROR(INDEX(rngCadetPIDs,MATCH($C1070,rngCadetNames,0)),"?"))</f>
        <v/>
      </c>
      <c r="E1070" s="15">
        <f>IF($D1070="","",IFERROR(INDEX(nrCadetAgency,MATCH($D1070,rngCadetPIDs,0)),""))</f>
        <v/>
      </c>
      <c r="F1070" s="14" t="n"/>
      <c r="G1070" s="15">
        <f>IF($F1070="","",IFERROR(INDEX(rngEPname,MATCH($F1070,rngEPcode,0)),"?"))</f>
        <v/>
      </c>
      <c r="H1070" s="15">
        <f>IF($F1070="","",IFERROR(INDEX(rngEPtype,MATCH($F1070,rngEPcode,0)),"?"))</f>
        <v/>
      </c>
      <c r="I1070" s="15">
        <f>IF($F1070="","",IFERROR(INDEX(rngEPseq,MATCH($F1070,rngEPcode,0)),""))</f>
        <v/>
      </c>
      <c r="J1070" s="15">
        <f>IF($F1070="","",IFERROR(INDEX(rngEPpass,MATCH($F1070,rngEPcode,0)),cfgPassingScore))</f>
        <v/>
      </c>
      <c r="K1070" s="14" t="n"/>
      <c r="L1070" s="14" t="n"/>
      <c r="M1070" s="15">
        <f>IF($C1070="","",IF($L1070="","",IF($K1070=1,IF(COUNTIFS(nrES_PID,$D1070,nrES_Code,$F1070,nrES_Att,2)&gt;0,"",$L1070),IF(COUNTIFS(nrES_PID,$D1070,nrES_Code,$F1070,nrES_Att,1)=0,$L1070,IF($L1070&gt;=$J1070,cfgRetakeRecordedCap,SUMIFS(nrES_Raw,nrES_PID,$D1070,nrES_Code,$F1070,nrES_Att,1))))))</f>
        <v/>
      </c>
      <c r="N1070" s="15">
        <f>IF($C1070="","",IF($L1070="","",IF($L1070&gt;=$J1070,"Yes","No")))</f>
        <v/>
      </c>
      <c r="O1070" s="15">
        <f>IF($C1070="","",IF($M1070="","",IF($M1070&gt;=$J1070,"Yes","No")))</f>
        <v/>
      </c>
      <c r="P1070" s="15">
        <f>IF($C1070="","",IF($K1070="","",IF(COUNTIFS(nrES_PID,$D1070,nrES_Code,$F1070,nrES_Att,"&gt;"&amp;$K1070)=0,"Yes","No")))</f>
        <v/>
      </c>
      <c r="Q1070" s="15">
        <f>IF($C1070="","",IF($L1070="","",IF(AND($K1070=1,$L1070&lt;$J1070,COUNTIFS(nrES_PID,$D1070,nrES_Code,$F1070,nrES_Att,2)=0),"Yes","No")))</f>
        <v/>
      </c>
      <c r="R1070" s="15">
        <f>IF($C1070="","",IF($L1070="","",IF(AND($K1070=2,$L1070&lt;$J1070,COUNTIFS(nrES_PID,$D1070,nrES_Code,$F1070,nrES_Att,1)&gt;0),"Yes","No")))</f>
        <v/>
      </c>
      <c r="S1070" s="16" t="n"/>
      <c r="T1070" s="17">
        <f>IF($Q1070&lt;&gt;"Yes","",IF($S1070="","(enter date)",_xlfn.LET(_xlpm.dn,IFERROR(_xlfn.XLOOKUP($S1070,nrCDdate,nrCDnum),""),IF(_xlpm.dn="","(not a class day)",IFERROR(_xlfn.XLOOKUP(_xlpm.dn+cfgRetestClassDays,nrCDnum,nrCDdate),"")))))</f>
        <v/>
      </c>
      <c r="U1070" s="15">
        <f>IF($Q1070&lt;&gt;"Yes","",IF(COUNTIFS(nrES_PID,$D1070,nrES_Code,$F1070,nrES_Att,2)&gt;0,"Retested",IF(OR($T1070="",NOT(ISNUMBER($T1070))),"Pending",IF(TODAY()&gt;$T1070,"OVERDUE","Due "&amp;TEXT($T1070,"mm/dd")))))</f>
        <v/>
      </c>
      <c r="V1070" s="14" t="n"/>
      <c r="W1070" s="14" t="n"/>
    </row>
    <row r="1071">
      <c r="B1071" s="15">
        <f>IF($C1071="","",$D1071&amp;"-"&amp;$F1071&amp;"-"&amp;$K1071)</f>
        <v/>
      </c>
      <c r="C1071" s="14" t="n"/>
      <c r="D1071" s="15">
        <f>IF($C1071="","",IFERROR(INDEX(rngCadetPIDs,MATCH($C1071,rngCadetNames,0)),"?"))</f>
        <v/>
      </c>
      <c r="E1071" s="15">
        <f>IF($D1071="","",IFERROR(INDEX(nrCadetAgency,MATCH($D1071,rngCadetPIDs,0)),""))</f>
        <v/>
      </c>
      <c r="F1071" s="14" t="n"/>
      <c r="G1071" s="15">
        <f>IF($F1071="","",IFERROR(INDEX(rngEPname,MATCH($F1071,rngEPcode,0)),"?"))</f>
        <v/>
      </c>
      <c r="H1071" s="15">
        <f>IF($F1071="","",IFERROR(INDEX(rngEPtype,MATCH($F1071,rngEPcode,0)),"?"))</f>
        <v/>
      </c>
      <c r="I1071" s="15">
        <f>IF($F1071="","",IFERROR(INDEX(rngEPseq,MATCH($F1071,rngEPcode,0)),""))</f>
        <v/>
      </c>
      <c r="J1071" s="15">
        <f>IF($F1071="","",IFERROR(INDEX(rngEPpass,MATCH($F1071,rngEPcode,0)),cfgPassingScore))</f>
        <v/>
      </c>
      <c r="K1071" s="14" t="n"/>
      <c r="L1071" s="14" t="n"/>
      <c r="M1071" s="15">
        <f>IF($C1071="","",IF($L1071="","",IF($K1071=1,IF(COUNTIFS(nrES_PID,$D1071,nrES_Code,$F1071,nrES_Att,2)&gt;0,"",$L1071),IF(COUNTIFS(nrES_PID,$D1071,nrES_Code,$F1071,nrES_Att,1)=0,$L1071,IF($L1071&gt;=$J1071,cfgRetakeRecordedCap,SUMIFS(nrES_Raw,nrES_PID,$D1071,nrES_Code,$F1071,nrES_Att,1))))))</f>
        <v/>
      </c>
      <c r="N1071" s="15">
        <f>IF($C1071="","",IF($L1071="","",IF($L1071&gt;=$J1071,"Yes","No")))</f>
        <v/>
      </c>
      <c r="O1071" s="15">
        <f>IF($C1071="","",IF($M1071="","",IF($M1071&gt;=$J1071,"Yes","No")))</f>
        <v/>
      </c>
      <c r="P1071" s="15">
        <f>IF($C1071="","",IF($K1071="","",IF(COUNTIFS(nrES_PID,$D1071,nrES_Code,$F1071,nrES_Att,"&gt;"&amp;$K1071)=0,"Yes","No")))</f>
        <v/>
      </c>
      <c r="Q1071" s="15">
        <f>IF($C1071="","",IF($L1071="","",IF(AND($K1071=1,$L1071&lt;$J1071,COUNTIFS(nrES_PID,$D1071,nrES_Code,$F1071,nrES_Att,2)=0),"Yes","No")))</f>
        <v/>
      </c>
      <c r="R1071" s="15">
        <f>IF($C1071="","",IF($L1071="","",IF(AND($K1071=2,$L1071&lt;$J1071,COUNTIFS(nrES_PID,$D1071,nrES_Code,$F1071,nrES_Att,1)&gt;0),"Yes","No")))</f>
        <v/>
      </c>
      <c r="S1071" s="16" t="n"/>
      <c r="T1071" s="17">
        <f>IF($Q1071&lt;&gt;"Yes","",IF($S1071="","(enter date)",_xlfn.LET(_xlpm.dn,IFERROR(_xlfn.XLOOKUP($S1071,nrCDdate,nrCDnum),""),IF(_xlpm.dn="","(not a class day)",IFERROR(_xlfn.XLOOKUP(_xlpm.dn+cfgRetestClassDays,nrCDnum,nrCDdate),"")))))</f>
        <v/>
      </c>
      <c r="U1071" s="15">
        <f>IF($Q1071&lt;&gt;"Yes","",IF(COUNTIFS(nrES_PID,$D1071,nrES_Code,$F1071,nrES_Att,2)&gt;0,"Retested",IF(OR($T1071="",NOT(ISNUMBER($T1071))),"Pending",IF(TODAY()&gt;$T1071,"OVERDUE","Due "&amp;TEXT($T1071,"mm/dd")))))</f>
        <v/>
      </c>
      <c r="V1071" s="14" t="n"/>
      <c r="W1071" s="14" t="n"/>
    </row>
    <row r="1072">
      <c r="B1072" s="15">
        <f>IF($C1072="","",$D1072&amp;"-"&amp;$F1072&amp;"-"&amp;$K1072)</f>
        <v/>
      </c>
      <c r="C1072" s="14" t="n"/>
      <c r="D1072" s="15">
        <f>IF($C1072="","",IFERROR(INDEX(rngCadetPIDs,MATCH($C1072,rngCadetNames,0)),"?"))</f>
        <v/>
      </c>
      <c r="E1072" s="15">
        <f>IF($D1072="","",IFERROR(INDEX(nrCadetAgency,MATCH($D1072,rngCadetPIDs,0)),""))</f>
        <v/>
      </c>
      <c r="F1072" s="14" t="n"/>
      <c r="G1072" s="15">
        <f>IF($F1072="","",IFERROR(INDEX(rngEPname,MATCH($F1072,rngEPcode,0)),"?"))</f>
        <v/>
      </c>
      <c r="H1072" s="15">
        <f>IF($F1072="","",IFERROR(INDEX(rngEPtype,MATCH($F1072,rngEPcode,0)),"?"))</f>
        <v/>
      </c>
      <c r="I1072" s="15">
        <f>IF($F1072="","",IFERROR(INDEX(rngEPseq,MATCH($F1072,rngEPcode,0)),""))</f>
        <v/>
      </c>
      <c r="J1072" s="15">
        <f>IF($F1072="","",IFERROR(INDEX(rngEPpass,MATCH($F1072,rngEPcode,0)),cfgPassingScore))</f>
        <v/>
      </c>
      <c r="K1072" s="14" t="n"/>
      <c r="L1072" s="14" t="n"/>
      <c r="M1072" s="15">
        <f>IF($C1072="","",IF($L1072="","",IF($K1072=1,IF(COUNTIFS(nrES_PID,$D1072,nrES_Code,$F1072,nrES_Att,2)&gt;0,"",$L1072),IF(COUNTIFS(nrES_PID,$D1072,nrES_Code,$F1072,nrES_Att,1)=0,$L1072,IF($L1072&gt;=$J1072,cfgRetakeRecordedCap,SUMIFS(nrES_Raw,nrES_PID,$D1072,nrES_Code,$F1072,nrES_Att,1))))))</f>
        <v/>
      </c>
      <c r="N1072" s="15">
        <f>IF($C1072="","",IF($L1072="","",IF($L1072&gt;=$J1072,"Yes","No")))</f>
        <v/>
      </c>
      <c r="O1072" s="15">
        <f>IF($C1072="","",IF($M1072="","",IF($M1072&gt;=$J1072,"Yes","No")))</f>
        <v/>
      </c>
      <c r="P1072" s="15">
        <f>IF($C1072="","",IF($K1072="","",IF(COUNTIFS(nrES_PID,$D1072,nrES_Code,$F1072,nrES_Att,"&gt;"&amp;$K1072)=0,"Yes","No")))</f>
        <v/>
      </c>
      <c r="Q1072" s="15">
        <f>IF($C1072="","",IF($L1072="","",IF(AND($K1072=1,$L1072&lt;$J1072,COUNTIFS(nrES_PID,$D1072,nrES_Code,$F1072,nrES_Att,2)=0),"Yes","No")))</f>
        <v/>
      </c>
      <c r="R1072" s="15">
        <f>IF($C1072="","",IF($L1072="","",IF(AND($K1072=2,$L1072&lt;$J1072,COUNTIFS(nrES_PID,$D1072,nrES_Code,$F1072,nrES_Att,1)&gt;0),"Yes","No")))</f>
        <v/>
      </c>
      <c r="S1072" s="16" t="n"/>
      <c r="T1072" s="17">
        <f>IF($Q1072&lt;&gt;"Yes","",IF($S1072="","(enter date)",_xlfn.LET(_xlpm.dn,IFERROR(_xlfn.XLOOKUP($S1072,nrCDdate,nrCDnum),""),IF(_xlpm.dn="","(not a class day)",IFERROR(_xlfn.XLOOKUP(_xlpm.dn+cfgRetestClassDays,nrCDnum,nrCDdate),"")))))</f>
        <v/>
      </c>
      <c r="U1072" s="15">
        <f>IF($Q1072&lt;&gt;"Yes","",IF(COUNTIFS(nrES_PID,$D1072,nrES_Code,$F1072,nrES_Att,2)&gt;0,"Retested",IF(OR($T1072="",NOT(ISNUMBER($T1072))),"Pending",IF(TODAY()&gt;$T1072,"OVERDUE","Due "&amp;TEXT($T1072,"mm/dd")))))</f>
        <v/>
      </c>
      <c r="V1072" s="14" t="n"/>
      <c r="W1072" s="14" t="n"/>
    </row>
    <row r="1073">
      <c r="B1073" s="15">
        <f>IF($C1073="","",$D1073&amp;"-"&amp;$F1073&amp;"-"&amp;$K1073)</f>
        <v/>
      </c>
      <c r="C1073" s="14" t="n"/>
      <c r="D1073" s="15">
        <f>IF($C1073="","",IFERROR(INDEX(rngCadetPIDs,MATCH($C1073,rngCadetNames,0)),"?"))</f>
        <v/>
      </c>
      <c r="E1073" s="15">
        <f>IF($D1073="","",IFERROR(INDEX(nrCadetAgency,MATCH($D1073,rngCadetPIDs,0)),""))</f>
        <v/>
      </c>
      <c r="F1073" s="14" t="n"/>
      <c r="G1073" s="15">
        <f>IF($F1073="","",IFERROR(INDEX(rngEPname,MATCH($F1073,rngEPcode,0)),"?"))</f>
        <v/>
      </c>
      <c r="H1073" s="15">
        <f>IF($F1073="","",IFERROR(INDEX(rngEPtype,MATCH($F1073,rngEPcode,0)),"?"))</f>
        <v/>
      </c>
      <c r="I1073" s="15">
        <f>IF($F1073="","",IFERROR(INDEX(rngEPseq,MATCH($F1073,rngEPcode,0)),""))</f>
        <v/>
      </c>
      <c r="J1073" s="15">
        <f>IF($F1073="","",IFERROR(INDEX(rngEPpass,MATCH($F1073,rngEPcode,0)),cfgPassingScore))</f>
        <v/>
      </c>
      <c r="K1073" s="14" t="n"/>
      <c r="L1073" s="14" t="n"/>
      <c r="M1073" s="15">
        <f>IF($C1073="","",IF($L1073="","",IF($K1073=1,IF(COUNTIFS(nrES_PID,$D1073,nrES_Code,$F1073,nrES_Att,2)&gt;0,"",$L1073),IF(COUNTIFS(nrES_PID,$D1073,nrES_Code,$F1073,nrES_Att,1)=0,$L1073,IF($L1073&gt;=$J1073,cfgRetakeRecordedCap,SUMIFS(nrES_Raw,nrES_PID,$D1073,nrES_Code,$F1073,nrES_Att,1))))))</f>
        <v/>
      </c>
      <c r="N1073" s="15">
        <f>IF($C1073="","",IF($L1073="","",IF($L1073&gt;=$J1073,"Yes","No")))</f>
        <v/>
      </c>
      <c r="O1073" s="15">
        <f>IF($C1073="","",IF($M1073="","",IF($M1073&gt;=$J1073,"Yes","No")))</f>
        <v/>
      </c>
      <c r="P1073" s="15">
        <f>IF($C1073="","",IF($K1073="","",IF(COUNTIFS(nrES_PID,$D1073,nrES_Code,$F1073,nrES_Att,"&gt;"&amp;$K1073)=0,"Yes","No")))</f>
        <v/>
      </c>
      <c r="Q1073" s="15">
        <f>IF($C1073="","",IF($L1073="","",IF(AND($K1073=1,$L1073&lt;$J1073,COUNTIFS(nrES_PID,$D1073,nrES_Code,$F1073,nrES_Att,2)=0),"Yes","No")))</f>
        <v/>
      </c>
      <c r="R1073" s="15">
        <f>IF($C1073="","",IF($L1073="","",IF(AND($K1073=2,$L1073&lt;$J1073,COUNTIFS(nrES_PID,$D1073,nrES_Code,$F1073,nrES_Att,1)&gt;0),"Yes","No")))</f>
        <v/>
      </c>
      <c r="S1073" s="16" t="n"/>
      <c r="T1073" s="17">
        <f>IF($Q1073&lt;&gt;"Yes","",IF($S1073="","(enter date)",_xlfn.LET(_xlpm.dn,IFERROR(_xlfn.XLOOKUP($S1073,nrCDdate,nrCDnum),""),IF(_xlpm.dn="","(not a class day)",IFERROR(_xlfn.XLOOKUP(_xlpm.dn+cfgRetestClassDays,nrCDnum,nrCDdate),"")))))</f>
        <v/>
      </c>
      <c r="U1073" s="15">
        <f>IF($Q1073&lt;&gt;"Yes","",IF(COUNTIFS(nrES_PID,$D1073,nrES_Code,$F1073,nrES_Att,2)&gt;0,"Retested",IF(OR($T1073="",NOT(ISNUMBER($T1073))),"Pending",IF(TODAY()&gt;$T1073,"OVERDUE","Due "&amp;TEXT($T1073,"mm/dd")))))</f>
        <v/>
      </c>
      <c r="V1073" s="14" t="n"/>
      <c r="W1073" s="14" t="n"/>
    </row>
    <row r="1074">
      <c r="B1074" s="15">
        <f>IF($C1074="","",$D1074&amp;"-"&amp;$F1074&amp;"-"&amp;$K1074)</f>
        <v/>
      </c>
      <c r="C1074" s="14" t="n"/>
      <c r="D1074" s="15">
        <f>IF($C1074="","",IFERROR(INDEX(rngCadetPIDs,MATCH($C1074,rngCadetNames,0)),"?"))</f>
        <v/>
      </c>
      <c r="E1074" s="15">
        <f>IF($D1074="","",IFERROR(INDEX(nrCadetAgency,MATCH($D1074,rngCadetPIDs,0)),""))</f>
        <v/>
      </c>
      <c r="F1074" s="14" t="n"/>
      <c r="G1074" s="15">
        <f>IF($F1074="","",IFERROR(INDEX(rngEPname,MATCH($F1074,rngEPcode,0)),"?"))</f>
        <v/>
      </c>
      <c r="H1074" s="15">
        <f>IF($F1074="","",IFERROR(INDEX(rngEPtype,MATCH($F1074,rngEPcode,0)),"?"))</f>
        <v/>
      </c>
      <c r="I1074" s="15">
        <f>IF($F1074="","",IFERROR(INDEX(rngEPseq,MATCH($F1074,rngEPcode,0)),""))</f>
        <v/>
      </c>
      <c r="J1074" s="15">
        <f>IF($F1074="","",IFERROR(INDEX(rngEPpass,MATCH($F1074,rngEPcode,0)),cfgPassingScore))</f>
        <v/>
      </c>
      <c r="K1074" s="14" t="n"/>
      <c r="L1074" s="14" t="n"/>
      <c r="M1074" s="15">
        <f>IF($C1074="","",IF($L1074="","",IF($K1074=1,IF(COUNTIFS(nrES_PID,$D1074,nrES_Code,$F1074,nrES_Att,2)&gt;0,"",$L1074),IF(COUNTIFS(nrES_PID,$D1074,nrES_Code,$F1074,nrES_Att,1)=0,$L1074,IF($L1074&gt;=$J1074,cfgRetakeRecordedCap,SUMIFS(nrES_Raw,nrES_PID,$D1074,nrES_Code,$F1074,nrES_Att,1))))))</f>
        <v/>
      </c>
      <c r="N1074" s="15">
        <f>IF($C1074="","",IF($L1074="","",IF($L1074&gt;=$J1074,"Yes","No")))</f>
        <v/>
      </c>
      <c r="O1074" s="15">
        <f>IF($C1074="","",IF($M1074="","",IF($M1074&gt;=$J1074,"Yes","No")))</f>
        <v/>
      </c>
      <c r="P1074" s="15">
        <f>IF($C1074="","",IF($K1074="","",IF(COUNTIFS(nrES_PID,$D1074,nrES_Code,$F1074,nrES_Att,"&gt;"&amp;$K1074)=0,"Yes","No")))</f>
        <v/>
      </c>
      <c r="Q1074" s="15">
        <f>IF($C1074="","",IF($L1074="","",IF(AND($K1074=1,$L1074&lt;$J1074,COUNTIFS(nrES_PID,$D1074,nrES_Code,$F1074,nrES_Att,2)=0),"Yes","No")))</f>
        <v/>
      </c>
      <c r="R1074" s="15">
        <f>IF($C1074="","",IF($L1074="","",IF(AND($K1074=2,$L1074&lt;$J1074,COUNTIFS(nrES_PID,$D1074,nrES_Code,$F1074,nrES_Att,1)&gt;0),"Yes","No")))</f>
        <v/>
      </c>
      <c r="S1074" s="16" t="n"/>
      <c r="T1074" s="17">
        <f>IF($Q1074&lt;&gt;"Yes","",IF($S1074="","(enter date)",_xlfn.LET(_xlpm.dn,IFERROR(_xlfn.XLOOKUP($S1074,nrCDdate,nrCDnum),""),IF(_xlpm.dn="","(not a class day)",IFERROR(_xlfn.XLOOKUP(_xlpm.dn+cfgRetestClassDays,nrCDnum,nrCDdate),"")))))</f>
        <v/>
      </c>
      <c r="U1074" s="15">
        <f>IF($Q1074&lt;&gt;"Yes","",IF(COUNTIFS(nrES_PID,$D1074,nrES_Code,$F1074,nrES_Att,2)&gt;0,"Retested",IF(OR($T1074="",NOT(ISNUMBER($T1074))),"Pending",IF(TODAY()&gt;$T1074,"OVERDUE","Due "&amp;TEXT($T1074,"mm/dd")))))</f>
        <v/>
      </c>
      <c r="V1074" s="14" t="n"/>
      <c r="W1074" s="14" t="n"/>
    </row>
    <row r="1075">
      <c r="B1075" s="15">
        <f>IF($C1075="","",$D1075&amp;"-"&amp;$F1075&amp;"-"&amp;$K1075)</f>
        <v/>
      </c>
      <c r="C1075" s="14" t="n"/>
      <c r="D1075" s="15">
        <f>IF($C1075="","",IFERROR(INDEX(rngCadetPIDs,MATCH($C1075,rngCadetNames,0)),"?"))</f>
        <v/>
      </c>
      <c r="E1075" s="15">
        <f>IF($D1075="","",IFERROR(INDEX(nrCadetAgency,MATCH($D1075,rngCadetPIDs,0)),""))</f>
        <v/>
      </c>
      <c r="F1075" s="14" t="n"/>
      <c r="G1075" s="15">
        <f>IF($F1075="","",IFERROR(INDEX(rngEPname,MATCH($F1075,rngEPcode,0)),"?"))</f>
        <v/>
      </c>
      <c r="H1075" s="15">
        <f>IF($F1075="","",IFERROR(INDEX(rngEPtype,MATCH($F1075,rngEPcode,0)),"?"))</f>
        <v/>
      </c>
      <c r="I1075" s="15">
        <f>IF($F1075="","",IFERROR(INDEX(rngEPseq,MATCH($F1075,rngEPcode,0)),""))</f>
        <v/>
      </c>
      <c r="J1075" s="15">
        <f>IF($F1075="","",IFERROR(INDEX(rngEPpass,MATCH($F1075,rngEPcode,0)),cfgPassingScore))</f>
        <v/>
      </c>
      <c r="K1075" s="14" t="n"/>
      <c r="L1075" s="14" t="n"/>
      <c r="M1075" s="15">
        <f>IF($C1075="","",IF($L1075="","",IF($K1075=1,IF(COUNTIFS(nrES_PID,$D1075,nrES_Code,$F1075,nrES_Att,2)&gt;0,"",$L1075),IF(COUNTIFS(nrES_PID,$D1075,nrES_Code,$F1075,nrES_Att,1)=0,$L1075,IF($L1075&gt;=$J1075,cfgRetakeRecordedCap,SUMIFS(nrES_Raw,nrES_PID,$D1075,nrES_Code,$F1075,nrES_Att,1))))))</f>
        <v/>
      </c>
      <c r="N1075" s="15">
        <f>IF($C1075="","",IF($L1075="","",IF($L1075&gt;=$J1075,"Yes","No")))</f>
        <v/>
      </c>
      <c r="O1075" s="15">
        <f>IF($C1075="","",IF($M1075="","",IF($M1075&gt;=$J1075,"Yes","No")))</f>
        <v/>
      </c>
      <c r="P1075" s="15">
        <f>IF($C1075="","",IF($K1075="","",IF(COUNTIFS(nrES_PID,$D1075,nrES_Code,$F1075,nrES_Att,"&gt;"&amp;$K1075)=0,"Yes","No")))</f>
        <v/>
      </c>
      <c r="Q1075" s="15">
        <f>IF($C1075="","",IF($L1075="","",IF(AND($K1075=1,$L1075&lt;$J1075,COUNTIFS(nrES_PID,$D1075,nrES_Code,$F1075,nrES_Att,2)=0),"Yes","No")))</f>
        <v/>
      </c>
      <c r="R1075" s="15">
        <f>IF($C1075="","",IF($L1075="","",IF(AND($K1075=2,$L1075&lt;$J1075,COUNTIFS(nrES_PID,$D1075,nrES_Code,$F1075,nrES_Att,1)&gt;0),"Yes","No")))</f>
        <v/>
      </c>
      <c r="S1075" s="16" t="n"/>
      <c r="T1075" s="17">
        <f>IF($Q1075&lt;&gt;"Yes","",IF($S1075="","(enter date)",_xlfn.LET(_xlpm.dn,IFERROR(_xlfn.XLOOKUP($S1075,nrCDdate,nrCDnum),""),IF(_xlpm.dn="","(not a class day)",IFERROR(_xlfn.XLOOKUP(_xlpm.dn+cfgRetestClassDays,nrCDnum,nrCDdate),"")))))</f>
        <v/>
      </c>
      <c r="U1075" s="15">
        <f>IF($Q1075&lt;&gt;"Yes","",IF(COUNTIFS(nrES_PID,$D1075,nrES_Code,$F1075,nrES_Att,2)&gt;0,"Retested",IF(OR($T1075="",NOT(ISNUMBER($T1075))),"Pending",IF(TODAY()&gt;$T1075,"OVERDUE","Due "&amp;TEXT($T1075,"mm/dd")))))</f>
        <v/>
      </c>
      <c r="V1075" s="14" t="n"/>
      <c r="W1075" s="14" t="n"/>
    </row>
    <row r="1076">
      <c r="B1076" s="15">
        <f>IF($C1076="","",$D1076&amp;"-"&amp;$F1076&amp;"-"&amp;$K1076)</f>
        <v/>
      </c>
      <c r="C1076" s="14" t="n"/>
      <c r="D1076" s="15">
        <f>IF($C1076="","",IFERROR(INDEX(rngCadetPIDs,MATCH($C1076,rngCadetNames,0)),"?"))</f>
        <v/>
      </c>
      <c r="E1076" s="15">
        <f>IF($D1076="","",IFERROR(INDEX(nrCadetAgency,MATCH($D1076,rngCadetPIDs,0)),""))</f>
        <v/>
      </c>
      <c r="F1076" s="14" t="n"/>
      <c r="G1076" s="15">
        <f>IF($F1076="","",IFERROR(INDEX(rngEPname,MATCH($F1076,rngEPcode,0)),"?"))</f>
        <v/>
      </c>
      <c r="H1076" s="15">
        <f>IF($F1076="","",IFERROR(INDEX(rngEPtype,MATCH($F1076,rngEPcode,0)),"?"))</f>
        <v/>
      </c>
      <c r="I1076" s="15">
        <f>IF($F1076="","",IFERROR(INDEX(rngEPseq,MATCH($F1076,rngEPcode,0)),""))</f>
        <v/>
      </c>
      <c r="J1076" s="15">
        <f>IF($F1076="","",IFERROR(INDEX(rngEPpass,MATCH($F1076,rngEPcode,0)),cfgPassingScore))</f>
        <v/>
      </c>
      <c r="K1076" s="14" t="n"/>
      <c r="L1076" s="14" t="n"/>
      <c r="M1076" s="15">
        <f>IF($C1076="","",IF($L1076="","",IF($K1076=1,IF(COUNTIFS(nrES_PID,$D1076,nrES_Code,$F1076,nrES_Att,2)&gt;0,"",$L1076),IF(COUNTIFS(nrES_PID,$D1076,nrES_Code,$F1076,nrES_Att,1)=0,$L1076,IF($L1076&gt;=$J1076,cfgRetakeRecordedCap,SUMIFS(nrES_Raw,nrES_PID,$D1076,nrES_Code,$F1076,nrES_Att,1))))))</f>
        <v/>
      </c>
      <c r="N1076" s="15">
        <f>IF($C1076="","",IF($L1076="","",IF($L1076&gt;=$J1076,"Yes","No")))</f>
        <v/>
      </c>
      <c r="O1076" s="15">
        <f>IF($C1076="","",IF($M1076="","",IF($M1076&gt;=$J1076,"Yes","No")))</f>
        <v/>
      </c>
      <c r="P1076" s="15">
        <f>IF($C1076="","",IF($K1076="","",IF(COUNTIFS(nrES_PID,$D1076,nrES_Code,$F1076,nrES_Att,"&gt;"&amp;$K1076)=0,"Yes","No")))</f>
        <v/>
      </c>
      <c r="Q1076" s="15">
        <f>IF($C1076="","",IF($L1076="","",IF(AND($K1076=1,$L1076&lt;$J1076,COUNTIFS(nrES_PID,$D1076,nrES_Code,$F1076,nrES_Att,2)=0),"Yes","No")))</f>
        <v/>
      </c>
      <c r="R1076" s="15">
        <f>IF($C1076="","",IF($L1076="","",IF(AND($K1076=2,$L1076&lt;$J1076,COUNTIFS(nrES_PID,$D1076,nrES_Code,$F1076,nrES_Att,1)&gt;0),"Yes","No")))</f>
        <v/>
      </c>
      <c r="S1076" s="16" t="n"/>
      <c r="T1076" s="17">
        <f>IF($Q1076&lt;&gt;"Yes","",IF($S1076="","(enter date)",_xlfn.LET(_xlpm.dn,IFERROR(_xlfn.XLOOKUP($S1076,nrCDdate,nrCDnum),""),IF(_xlpm.dn="","(not a class day)",IFERROR(_xlfn.XLOOKUP(_xlpm.dn+cfgRetestClassDays,nrCDnum,nrCDdate),"")))))</f>
        <v/>
      </c>
      <c r="U1076" s="15">
        <f>IF($Q1076&lt;&gt;"Yes","",IF(COUNTIFS(nrES_PID,$D1076,nrES_Code,$F1076,nrES_Att,2)&gt;0,"Retested",IF(OR($T1076="",NOT(ISNUMBER($T1076))),"Pending",IF(TODAY()&gt;$T1076,"OVERDUE","Due "&amp;TEXT($T1076,"mm/dd")))))</f>
        <v/>
      </c>
      <c r="V1076" s="14" t="n"/>
      <c r="W1076" s="14" t="n"/>
    </row>
    <row r="1077">
      <c r="B1077" s="15">
        <f>IF($C1077="","",$D1077&amp;"-"&amp;$F1077&amp;"-"&amp;$K1077)</f>
        <v/>
      </c>
      <c r="C1077" s="14" t="n"/>
      <c r="D1077" s="15">
        <f>IF($C1077="","",IFERROR(INDEX(rngCadetPIDs,MATCH($C1077,rngCadetNames,0)),"?"))</f>
        <v/>
      </c>
      <c r="E1077" s="15">
        <f>IF($D1077="","",IFERROR(INDEX(nrCadetAgency,MATCH($D1077,rngCadetPIDs,0)),""))</f>
        <v/>
      </c>
      <c r="F1077" s="14" t="n"/>
      <c r="G1077" s="15">
        <f>IF($F1077="","",IFERROR(INDEX(rngEPname,MATCH($F1077,rngEPcode,0)),"?"))</f>
        <v/>
      </c>
      <c r="H1077" s="15">
        <f>IF($F1077="","",IFERROR(INDEX(rngEPtype,MATCH($F1077,rngEPcode,0)),"?"))</f>
        <v/>
      </c>
      <c r="I1077" s="15">
        <f>IF($F1077="","",IFERROR(INDEX(rngEPseq,MATCH($F1077,rngEPcode,0)),""))</f>
        <v/>
      </c>
      <c r="J1077" s="15">
        <f>IF($F1077="","",IFERROR(INDEX(rngEPpass,MATCH($F1077,rngEPcode,0)),cfgPassingScore))</f>
        <v/>
      </c>
      <c r="K1077" s="14" t="n"/>
      <c r="L1077" s="14" t="n"/>
      <c r="M1077" s="15">
        <f>IF($C1077="","",IF($L1077="","",IF($K1077=1,IF(COUNTIFS(nrES_PID,$D1077,nrES_Code,$F1077,nrES_Att,2)&gt;0,"",$L1077),IF(COUNTIFS(nrES_PID,$D1077,nrES_Code,$F1077,nrES_Att,1)=0,$L1077,IF($L1077&gt;=$J1077,cfgRetakeRecordedCap,SUMIFS(nrES_Raw,nrES_PID,$D1077,nrES_Code,$F1077,nrES_Att,1))))))</f>
        <v/>
      </c>
      <c r="N1077" s="15">
        <f>IF($C1077="","",IF($L1077="","",IF($L1077&gt;=$J1077,"Yes","No")))</f>
        <v/>
      </c>
      <c r="O1077" s="15">
        <f>IF($C1077="","",IF($M1077="","",IF($M1077&gt;=$J1077,"Yes","No")))</f>
        <v/>
      </c>
      <c r="P1077" s="15">
        <f>IF($C1077="","",IF($K1077="","",IF(COUNTIFS(nrES_PID,$D1077,nrES_Code,$F1077,nrES_Att,"&gt;"&amp;$K1077)=0,"Yes","No")))</f>
        <v/>
      </c>
      <c r="Q1077" s="15">
        <f>IF($C1077="","",IF($L1077="","",IF(AND($K1077=1,$L1077&lt;$J1077,COUNTIFS(nrES_PID,$D1077,nrES_Code,$F1077,nrES_Att,2)=0),"Yes","No")))</f>
        <v/>
      </c>
      <c r="R1077" s="15">
        <f>IF($C1077="","",IF($L1077="","",IF(AND($K1077=2,$L1077&lt;$J1077,COUNTIFS(nrES_PID,$D1077,nrES_Code,$F1077,nrES_Att,1)&gt;0),"Yes","No")))</f>
        <v/>
      </c>
      <c r="S1077" s="16" t="n"/>
      <c r="T1077" s="17">
        <f>IF($Q1077&lt;&gt;"Yes","",IF($S1077="","(enter date)",_xlfn.LET(_xlpm.dn,IFERROR(_xlfn.XLOOKUP($S1077,nrCDdate,nrCDnum),""),IF(_xlpm.dn="","(not a class day)",IFERROR(_xlfn.XLOOKUP(_xlpm.dn+cfgRetestClassDays,nrCDnum,nrCDdate),"")))))</f>
        <v/>
      </c>
      <c r="U1077" s="15">
        <f>IF($Q1077&lt;&gt;"Yes","",IF(COUNTIFS(nrES_PID,$D1077,nrES_Code,$F1077,nrES_Att,2)&gt;0,"Retested",IF(OR($T1077="",NOT(ISNUMBER($T1077))),"Pending",IF(TODAY()&gt;$T1077,"OVERDUE","Due "&amp;TEXT($T1077,"mm/dd")))))</f>
        <v/>
      </c>
      <c r="V1077" s="14" t="n"/>
      <c r="W1077" s="14" t="n"/>
    </row>
    <row r="1078">
      <c r="B1078" s="15">
        <f>IF($C1078="","",$D1078&amp;"-"&amp;$F1078&amp;"-"&amp;$K1078)</f>
        <v/>
      </c>
      <c r="C1078" s="14" t="n"/>
      <c r="D1078" s="15">
        <f>IF($C1078="","",IFERROR(INDEX(rngCadetPIDs,MATCH($C1078,rngCadetNames,0)),"?"))</f>
        <v/>
      </c>
      <c r="E1078" s="15">
        <f>IF($D1078="","",IFERROR(INDEX(nrCadetAgency,MATCH($D1078,rngCadetPIDs,0)),""))</f>
        <v/>
      </c>
      <c r="F1078" s="14" t="n"/>
      <c r="G1078" s="15">
        <f>IF($F1078="","",IFERROR(INDEX(rngEPname,MATCH($F1078,rngEPcode,0)),"?"))</f>
        <v/>
      </c>
      <c r="H1078" s="15">
        <f>IF($F1078="","",IFERROR(INDEX(rngEPtype,MATCH($F1078,rngEPcode,0)),"?"))</f>
        <v/>
      </c>
      <c r="I1078" s="15">
        <f>IF($F1078="","",IFERROR(INDEX(rngEPseq,MATCH($F1078,rngEPcode,0)),""))</f>
        <v/>
      </c>
      <c r="J1078" s="15">
        <f>IF($F1078="","",IFERROR(INDEX(rngEPpass,MATCH($F1078,rngEPcode,0)),cfgPassingScore))</f>
        <v/>
      </c>
      <c r="K1078" s="14" t="n"/>
      <c r="L1078" s="14" t="n"/>
      <c r="M1078" s="15">
        <f>IF($C1078="","",IF($L1078="","",IF($K1078=1,IF(COUNTIFS(nrES_PID,$D1078,nrES_Code,$F1078,nrES_Att,2)&gt;0,"",$L1078),IF(COUNTIFS(nrES_PID,$D1078,nrES_Code,$F1078,nrES_Att,1)=0,$L1078,IF($L1078&gt;=$J1078,cfgRetakeRecordedCap,SUMIFS(nrES_Raw,nrES_PID,$D1078,nrES_Code,$F1078,nrES_Att,1))))))</f>
        <v/>
      </c>
      <c r="N1078" s="15">
        <f>IF($C1078="","",IF($L1078="","",IF($L1078&gt;=$J1078,"Yes","No")))</f>
        <v/>
      </c>
      <c r="O1078" s="15">
        <f>IF($C1078="","",IF($M1078="","",IF($M1078&gt;=$J1078,"Yes","No")))</f>
        <v/>
      </c>
      <c r="P1078" s="15">
        <f>IF($C1078="","",IF($K1078="","",IF(COUNTIFS(nrES_PID,$D1078,nrES_Code,$F1078,nrES_Att,"&gt;"&amp;$K1078)=0,"Yes","No")))</f>
        <v/>
      </c>
      <c r="Q1078" s="15">
        <f>IF($C1078="","",IF($L1078="","",IF(AND($K1078=1,$L1078&lt;$J1078,COUNTIFS(nrES_PID,$D1078,nrES_Code,$F1078,nrES_Att,2)=0),"Yes","No")))</f>
        <v/>
      </c>
      <c r="R1078" s="15">
        <f>IF($C1078="","",IF($L1078="","",IF(AND($K1078=2,$L1078&lt;$J1078,COUNTIFS(nrES_PID,$D1078,nrES_Code,$F1078,nrES_Att,1)&gt;0),"Yes","No")))</f>
        <v/>
      </c>
      <c r="S1078" s="16" t="n"/>
      <c r="T1078" s="17">
        <f>IF($Q1078&lt;&gt;"Yes","",IF($S1078="","(enter date)",_xlfn.LET(_xlpm.dn,IFERROR(_xlfn.XLOOKUP($S1078,nrCDdate,nrCDnum),""),IF(_xlpm.dn="","(not a class day)",IFERROR(_xlfn.XLOOKUP(_xlpm.dn+cfgRetestClassDays,nrCDnum,nrCDdate),"")))))</f>
        <v/>
      </c>
      <c r="U1078" s="15">
        <f>IF($Q1078&lt;&gt;"Yes","",IF(COUNTIFS(nrES_PID,$D1078,nrES_Code,$F1078,nrES_Att,2)&gt;0,"Retested",IF(OR($T1078="",NOT(ISNUMBER($T1078))),"Pending",IF(TODAY()&gt;$T1078,"OVERDUE","Due "&amp;TEXT($T1078,"mm/dd")))))</f>
        <v/>
      </c>
      <c r="V1078" s="14" t="n"/>
      <c r="W1078" s="14" t="n"/>
    </row>
    <row r="1079">
      <c r="B1079" s="15">
        <f>IF($C1079="","",$D1079&amp;"-"&amp;$F1079&amp;"-"&amp;$K1079)</f>
        <v/>
      </c>
      <c r="C1079" s="14" t="n"/>
      <c r="D1079" s="15">
        <f>IF($C1079="","",IFERROR(INDEX(rngCadetPIDs,MATCH($C1079,rngCadetNames,0)),"?"))</f>
        <v/>
      </c>
      <c r="E1079" s="15">
        <f>IF($D1079="","",IFERROR(INDEX(nrCadetAgency,MATCH($D1079,rngCadetPIDs,0)),""))</f>
        <v/>
      </c>
      <c r="F1079" s="14" t="n"/>
      <c r="G1079" s="15">
        <f>IF($F1079="","",IFERROR(INDEX(rngEPname,MATCH($F1079,rngEPcode,0)),"?"))</f>
        <v/>
      </c>
      <c r="H1079" s="15">
        <f>IF($F1079="","",IFERROR(INDEX(rngEPtype,MATCH($F1079,rngEPcode,0)),"?"))</f>
        <v/>
      </c>
      <c r="I1079" s="15">
        <f>IF($F1079="","",IFERROR(INDEX(rngEPseq,MATCH($F1079,rngEPcode,0)),""))</f>
        <v/>
      </c>
      <c r="J1079" s="15">
        <f>IF($F1079="","",IFERROR(INDEX(rngEPpass,MATCH($F1079,rngEPcode,0)),cfgPassingScore))</f>
        <v/>
      </c>
      <c r="K1079" s="14" t="n"/>
      <c r="L1079" s="14" t="n"/>
      <c r="M1079" s="15">
        <f>IF($C1079="","",IF($L1079="","",IF($K1079=1,IF(COUNTIFS(nrES_PID,$D1079,nrES_Code,$F1079,nrES_Att,2)&gt;0,"",$L1079),IF(COUNTIFS(nrES_PID,$D1079,nrES_Code,$F1079,nrES_Att,1)=0,$L1079,IF($L1079&gt;=$J1079,cfgRetakeRecordedCap,SUMIFS(nrES_Raw,nrES_PID,$D1079,nrES_Code,$F1079,nrES_Att,1))))))</f>
        <v/>
      </c>
      <c r="N1079" s="15">
        <f>IF($C1079="","",IF($L1079="","",IF($L1079&gt;=$J1079,"Yes","No")))</f>
        <v/>
      </c>
      <c r="O1079" s="15">
        <f>IF($C1079="","",IF($M1079="","",IF($M1079&gt;=$J1079,"Yes","No")))</f>
        <v/>
      </c>
      <c r="P1079" s="15">
        <f>IF($C1079="","",IF($K1079="","",IF(COUNTIFS(nrES_PID,$D1079,nrES_Code,$F1079,nrES_Att,"&gt;"&amp;$K1079)=0,"Yes","No")))</f>
        <v/>
      </c>
      <c r="Q1079" s="15">
        <f>IF($C1079="","",IF($L1079="","",IF(AND($K1079=1,$L1079&lt;$J1079,COUNTIFS(nrES_PID,$D1079,nrES_Code,$F1079,nrES_Att,2)=0),"Yes","No")))</f>
        <v/>
      </c>
      <c r="R1079" s="15">
        <f>IF($C1079="","",IF($L1079="","",IF(AND($K1079=2,$L1079&lt;$J1079,COUNTIFS(nrES_PID,$D1079,nrES_Code,$F1079,nrES_Att,1)&gt;0),"Yes","No")))</f>
        <v/>
      </c>
      <c r="S1079" s="16" t="n"/>
      <c r="T1079" s="17">
        <f>IF($Q1079&lt;&gt;"Yes","",IF($S1079="","(enter date)",_xlfn.LET(_xlpm.dn,IFERROR(_xlfn.XLOOKUP($S1079,nrCDdate,nrCDnum),""),IF(_xlpm.dn="","(not a class day)",IFERROR(_xlfn.XLOOKUP(_xlpm.dn+cfgRetestClassDays,nrCDnum,nrCDdate),"")))))</f>
        <v/>
      </c>
      <c r="U1079" s="15">
        <f>IF($Q1079&lt;&gt;"Yes","",IF(COUNTIFS(nrES_PID,$D1079,nrES_Code,$F1079,nrES_Att,2)&gt;0,"Retested",IF(OR($T1079="",NOT(ISNUMBER($T1079))),"Pending",IF(TODAY()&gt;$T1079,"OVERDUE","Due "&amp;TEXT($T1079,"mm/dd")))))</f>
        <v/>
      </c>
      <c r="V1079" s="14" t="n"/>
      <c r="W1079" s="14" t="n"/>
    </row>
    <row r="1080">
      <c r="B1080" s="15">
        <f>IF($C1080="","",$D1080&amp;"-"&amp;$F1080&amp;"-"&amp;$K1080)</f>
        <v/>
      </c>
      <c r="C1080" s="14" t="n"/>
      <c r="D1080" s="15">
        <f>IF($C1080="","",IFERROR(INDEX(rngCadetPIDs,MATCH($C1080,rngCadetNames,0)),"?"))</f>
        <v/>
      </c>
      <c r="E1080" s="15">
        <f>IF($D1080="","",IFERROR(INDEX(nrCadetAgency,MATCH($D1080,rngCadetPIDs,0)),""))</f>
        <v/>
      </c>
      <c r="F1080" s="14" t="n"/>
      <c r="G1080" s="15">
        <f>IF($F1080="","",IFERROR(INDEX(rngEPname,MATCH($F1080,rngEPcode,0)),"?"))</f>
        <v/>
      </c>
      <c r="H1080" s="15">
        <f>IF($F1080="","",IFERROR(INDEX(rngEPtype,MATCH($F1080,rngEPcode,0)),"?"))</f>
        <v/>
      </c>
      <c r="I1080" s="15">
        <f>IF($F1080="","",IFERROR(INDEX(rngEPseq,MATCH($F1080,rngEPcode,0)),""))</f>
        <v/>
      </c>
      <c r="J1080" s="15">
        <f>IF($F1080="","",IFERROR(INDEX(rngEPpass,MATCH($F1080,rngEPcode,0)),cfgPassingScore))</f>
        <v/>
      </c>
      <c r="K1080" s="14" t="n"/>
      <c r="L1080" s="14" t="n"/>
      <c r="M1080" s="15">
        <f>IF($C1080="","",IF($L1080="","",IF($K1080=1,IF(COUNTIFS(nrES_PID,$D1080,nrES_Code,$F1080,nrES_Att,2)&gt;0,"",$L1080),IF(COUNTIFS(nrES_PID,$D1080,nrES_Code,$F1080,nrES_Att,1)=0,$L1080,IF($L1080&gt;=$J1080,cfgRetakeRecordedCap,SUMIFS(nrES_Raw,nrES_PID,$D1080,nrES_Code,$F1080,nrES_Att,1))))))</f>
        <v/>
      </c>
      <c r="N1080" s="15">
        <f>IF($C1080="","",IF($L1080="","",IF($L1080&gt;=$J1080,"Yes","No")))</f>
        <v/>
      </c>
      <c r="O1080" s="15">
        <f>IF($C1080="","",IF($M1080="","",IF($M1080&gt;=$J1080,"Yes","No")))</f>
        <v/>
      </c>
      <c r="P1080" s="15">
        <f>IF($C1080="","",IF($K1080="","",IF(COUNTIFS(nrES_PID,$D1080,nrES_Code,$F1080,nrES_Att,"&gt;"&amp;$K1080)=0,"Yes","No")))</f>
        <v/>
      </c>
      <c r="Q1080" s="15">
        <f>IF($C1080="","",IF($L1080="","",IF(AND($K1080=1,$L1080&lt;$J1080,COUNTIFS(nrES_PID,$D1080,nrES_Code,$F1080,nrES_Att,2)=0),"Yes","No")))</f>
        <v/>
      </c>
      <c r="R1080" s="15">
        <f>IF($C1080="","",IF($L1080="","",IF(AND($K1080=2,$L1080&lt;$J1080,COUNTIFS(nrES_PID,$D1080,nrES_Code,$F1080,nrES_Att,1)&gt;0),"Yes","No")))</f>
        <v/>
      </c>
      <c r="S1080" s="16" t="n"/>
      <c r="T1080" s="17">
        <f>IF($Q1080&lt;&gt;"Yes","",IF($S1080="","(enter date)",_xlfn.LET(_xlpm.dn,IFERROR(_xlfn.XLOOKUP($S1080,nrCDdate,nrCDnum),""),IF(_xlpm.dn="","(not a class day)",IFERROR(_xlfn.XLOOKUP(_xlpm.dn+cfgRetestClassDays,nrCDnum,nrCDdate),"")))))</f>
        <v/>
      </c>
      <c r="U1080" s="15">
        <f>IF($Q1080&lt;&gt;"Yes","",IF(COUNTIFS(nrES_PID,$D1080,nrES_Code,$F1080,nrES_Att,2)&gt;0,"Retested",IF(OR($T1080="",NOT(ISNUMBER($T1080))),"Pending",IF(TODAY()&gt;$T1080,"OVERDUE","Due "&amp;TEXT($T1080,"mm/dd")))))</f>
        <v/>
      </c>
      <c r="V1080" s="14" t="n"/>
      <c r="W1080" s="14" t="n"/>
    </row>
    <row r="1081">
      <c r="B1081" s="15">
        <f>IF($C1081="","",$D1081&amp;"-"&amp;$F1081&amp;"-"&amp;$K1081)</f>
        <v/>
      </c>
      <c r="C1081" s="14" t="n"/>
      <c r="D1081" s="15">
        <f>IF($C1081="","",IFERROR(INDEX(rngCadetPIDs,MATCH($C1081,rngCadetNames,0)),"?"))</f>
        <v/>
      </c>
      <c r="E1081" s="15">
        <f>IF($D1081="","",IFERROR(INDEX(nrCadetAgency,MATCH($D1081,rngCadetPIDs,0)),""))</f>
        <v/>
      </c>
      <c r="F1081" s="14" t="n"/>
      <c r="G1081" s="15">
        <f>IF($F1081="","",IFERROR(INDEX(rngEPname,MATCH($F1081,rngEPcode,0)),"?"))</f>
        <v/>
      </c>
      <c r="H1081" s="15">
        <f>IF($F1081="","",IFERROR(INDEX(rngEPtype,MATCH($F1081,rngEPcode,0)),"?"))</f>
        <v/>
      </c>
      <c r="I1081" s="15">
        <f>IF($F1081="","",IFERROR(INDEX(rngEPseq,MATCH($F1081,rngEPcode,0)),""))</f>
        <v/>
      </c>
      <c r="J1081" s="15">
        <f>IF($F1081="","",IFERROR(INDEX(rngEPpass,MATCH($F1081,rngEPcode,0)),cfgPassingScore))</f>
        <v/>
      </c>
      <c r="K1081" s="14" t="n"/>
      <c r="L1081" s="14" t="n"/>
      <c r="M1081" s="15">
        <f>IF($C1081="","",IF($L1081="","",IF($K1081=1,IF(COUNTIFS(nrES_PID,$D1081,nrES_Code,$F1081,nrES_Att,2)&gt;0,"",$L1081),IF(COUNTIFS(nrES_PID,$D1081,nrES_Code,$F1081,nrES_Att,1)=0,$L1081,IF($L1081&gt;=$J1081,cfgRetakeRecordedCap,SUMIFS(nrES_Raw,nrES_PID,$D1081,nrES_Code,$F1081,nrES_Att,1))))))</f>
        <v/>
      </c>
      <c r="N1081" s="15">
        <f>IF($C1081="","",IF($L1081="","",IF($L1081&gt;=$J1081,"Yes","No")))</f>
        <v/>
      </c>
      <c r="O1081" s="15">
        <f>IF($C1081="","",IF($M1081="","",IF($M1081&gt;=$J1081,"Yes","No")))</f>
        <v/>
      </c>
      <c r="P1081" s="15">
        <f>IF($C1081="","",IF($K1081="","",IF(COUNTIFS(nrES_PID,$D1081,nrES_Code,$F1081,nrES_Att,"&gt;"&amp;$K1081)=0,"Yes","No")))</f>
        <v/>
      </c>
      <c r="Q1081" s="15">
        <f>IF($C1081="","",IF($L1081="","",IF(AND($K1081=1,$L1081&lt;$J1081,COUNTIFS(nrES_PID,$D1081,nrES_Code,$F1081,nrES_Att,2)=0),"Yes","No")))</f>
        <v/>
      </c>
      <c r="R1081" s="15">
        <f>IF($C1081="","",IF($L1081="","",IF(AND($K1081=2,$L1081&lt;$J1081,COUNTIFS(nrES_PID,$D1081,nrES_Code,$F1081,nrES_Att,1)&gt;0),"Yes","No")))</f>
        <v/>
      </c>
      <c r="S1081" s="16" t="n"/>
      <c r="T1081" s="17">
        <f>IF($Q1081&lt;&gt;"Yes","",IF($S1081="","(enter date)",_xlfn.LET(_xlpm.dn,IFERROR(_xlfn.XLOOKUP($S1081,nrCDdate,nrCDnum),""),IF(_xlpm.dn="","(not a class day)",IFERROR(_xlfn.XLOOKUP(_xlpm.dn+cfgRetestClassDays,nrCDnum,nrCDdate),"")))))</f>
        <v/>
      </c>
      <c r="U1081" s="15">
        <f>IF($Q1081&lt;&gt;"Yes","",IF(COUNTIFS(nrES_PID,$D1081,nrES_Code,$F1081,nrES_Att,2)&gt;0,"Retested",IF(OR($T1081="",NOT(ISNUMBER($T1081))),"Pending",IF(TODAY()&gt;$T1081,"OVERDUE","Due "&amp;TEXT($T1081,"mm/dd")))))</f>
        <v/>
      </c>
      <c r="V1081" s="14" t="n"/>
      <c r="W1081" s="14" t="n"/>
    </row>
    <row r="1082">
      <c r="B1082" s="15">
        <f>IF($C1082="","",$D1082&amp;"-"&amp;$F1082&amp;"-"&amp;$K1082)</f>
        <v/>
      </c>
      <c r="C1082" s="14" t="n"/>
      <c r="D1082" s="15">
        <f>IF($C1082="","",IFERROR(INDEX(rngCadetPIDs,MATCH($C1082,rngCadetNames,0)),"?"))</f>
        <v/>
      </c>
      <c r="E1082" s="15">
        <f>IF($D1082="","",IFERROR(INDEX(nrCadetAgency,MATCH($D1082,rngCadetPIDs,0)),""))</f>
        <v/>
      </c>
      <c r="F1082" s="14" t="n"/>
      <c r="G1082" s="15">
        <f>IF($F1082="","",IFERROR(INDEX(rngEPname,MATCH($F1082,rngEPcode,0)),"?"))</f>
        <v/>
      </c>
      <c r="H1082" s="15">
        <f>IF($F1082="","",IFERROR(INDEX(rngEPtype,MATCH($F1082,rngEPcode,0)),"?"))</f>
        <v/>
      </c>
      <c r="I1082" s="15">
        <f>IF($F1082="","",IFERROR(INDEX(rngEPseq,MATCH($F1082,rngEPcode,0)),""))</f>
        <v/>
      </c>
      <c r="J1082" s="15">
        <f>IF($F1082="","",IFERROR(INDEX(rngEPpass,MATCH($F1082,rngEPcode,0)),cfgPassingScore))</f>
        <v/>
      </c>
      <c r="K1082" s="14" t="n"/>
      <c r="L1082" s="14" t="n"/>
      <c r="M1082" s="15">
        <f>IF($C1082="","",IF($L1082="","",IF($K1082=1,IF(COUNTIFS(nrES_PID,$D1082,nrES_Code,$F1082,nrES_Att,2)&gt;0,"",$L1082),IF(COUNTIFS(nrES_PID,$D1082,nrES_Code,$F1082,nrES_Att,1)=0,$L1082,IF($L1082&gt;=$J1082,cfgRetakeRecordedCap,SUMIFS(nrES_Raw,nrES_PID,$D1082,nrES_Code,$F1082,nrES_Att,1))))))</f>
        <v/>
      </c>
      <c r="N1082" s="15">
        <f>IF($C1082="","",IF($L1082="","",IF($L1082&gt;=$J1082,"Yes","No")))</f>
        <v/>
      </c>
      <c r="O1082" s="15">
        <f>IF($C1082="","",IF($M1082="","",IF($M1082&gt;=$J1082,"Yes","No")))</f>
        <v/>
      </c>
      <c r="P1082" s="15">
        <f>IF($C1082="","",IF($K1082="","",IF(COUNTIFS(nrES_PID,$D1082,nrES_Code,$F1082,nrES_Att,"&gt;"&amp;$K1082)=0,"Yes","No")))</f>
        <v/>
      </c>
      <c r="Q1082" s="15">
        <f>IF($C1082="","",IF($L1082="","",IF(AND($K1082=1,$L1082&lt;$J1082,COUNTIFS(nrES_PID,$D1082,nrES_Code,$F1082,nrES_Att,2)=0),"Yes","No")))</f>
        <v/>
      </c>
      <c r="R1082" s="15">
        <f>IF($C1082="","",IF($L1082="","",IF(AND($K1082=2,$L1082&lt;$J1082,COUNTIFS(nrES_PID,$D1082,nrES_Code,$F1082,nrES_Att,1)&gt;0),"Yes","No")))</f>
        <v/>
      </c>
      <c r="S1082" s="16" t="n"/>
      <c r="T1082" s="17">
        <f>IF($Q1082&lt;&gt;"Yes","",IF($S1082="","(enter date)",_xlfn.LET(_xlpm.dn,IFERROR(_xlfn.XLOOKUP($S1082,nrCDdate,nrCDnum),""),IF(_xlpm.dn="","(not a class day)",IFERROR(_xlfn.XLOOKUP(_xlpm.dn+cfgRetestClassDays,nrCDnum,nrCDdate),"")))))</f>
        <v/>
      </c>
      <c r="U1082" s="15">
        <f>IF($Q1082&lt;&gt;"Yes","",IF(COUNTIFS(nrES_PID,$D1082,nrES_Code,$F1082,nrES_Att,2)&gt;0,"Retested",IF(OR($T1082="",NOT(ISNUMBER($T1082))),"Pending",IF(TODAY()&gt;$T1082,"OVERDUE","Due "&amp;TEXT($T1082,"mm/dd")))))</f>
        <v/>
      </c>
      <c r="V1082" s="14" t="n"/>
      <c r="W1082" s="14" t="n"/>
    </row>
    <row r="1083">
      <c r="B1083" s="15">
        <f>IF($C1083="","",$D1083&amp;"-"&amp;$F1083&amp;"-"&amp;$K1083)</f>
        <v/>
      </c>
      <c r="C1083" s="14" t="n"/>
      <c r="D1083" s="15">
        <f>IF($C1083="","",IFERROR(INDEX(rngCadetPIDs,MATCH($C1083,rngCadetNames,0)),"?"))</f>
        <v/>
      </c>
      <c r="E1083" s="15">
        <f>IF($D1083="","",IFERROR(INDEX(nrCadetAgency,MATCH($D1083,rngCadetPIDs,0)),""))</f>
        <v/>
      </c>
      <c r="F1083" s="14" t="n"/>
      <c r="G1083" s="15">
        <f>IF($F1083="","",IFERROR(INDEX(rngEPname,MATCH($F1083,rngEPcode,0)),"?"))</f>
        <v/>
      </c>
      <c r="H1083" s="15">
        <f>IF($F1083="","",IFERROR(INDEX(rngEPtype,MATCH($F1083,rngEPcode,0)),"?"))</f>
        <v/>
      </c>
      <c r="I1083" s="15">
        <f>IF($F1083="","",IFERROR(INDEX(rngEPseq,MATCH($F1083,rngEPcode,0)),""))</f>
        <v/>
      </c>
      <c r="J1083" s="15">
        <f>IF($F1083="","",IFERROR(INDEX(rngEPpass,MATCH($F1083,rngEPcode,0)),cfgPassingScore))</f>
        <v/>
      </c>
      <c r="K1083" s="14" t="n"/>
      <c r="L1083" s="14" t="n"/>
      <c r="M1083" s="15">
        <f>IF($C1083="","",IF($L1083="","",IF($K1083=1,IF(COUNTIFS(nrES_PID,$D1083,nrES_Code,$F1083,nrES_Att,2)&gt;0,"",$L1083),IF(COUNTIFS(nrES_PID,$D1083,nrES_Code,$F1083,nrES_Att,1)=0,$L1083,IF($L1083&gt;=$J1083,cfgRetakeRecordedCap,SUMIFS(nrES_Raw,nrES_PID,$D1083,nrES_Code,$F1083,nrES_Att,1))))))</f>
        <v/>
      </c>
      <c r="N1083" s="15">
        <f>IF($C1083="","",IF($L1083="","",IF($L1083&gt;=$J1083,"Yes","No")))</f>
        <v/>
      </c>
      <c r="O1083" s="15">
        <f>IF($C1083="","",IF($M1083="","",IF($M1083&gt;=$J1083,"Yes","No")))</f>
        <v/>
      </c>
      <c r="P1083" s="15">
        <f>IF($C1083="","",IF($K1083="","",IF(COUNTIFS(nrES_PID,$D1083,nrES_Code,$F1083,nrES_Att,"&gt;"&amp;$K1083)=0,"Yes","No")))</f>
        <v/>
      </c>
      <c r="Q1083" s="15">
        <f>IF($C1083="","",IF($L1083="","",IF(AND($K1083=1,$L1083&lt;$J1083,COUNTIFS(nrES_PID,$D1083,nrES_Code,$F1083,nrES_Att,2)=0),"Yes","No")))</f>
        <v/>
      </c>
      <c r="R1083" s="15">
        <f>IF($C1083="","",IF($L1083="","",IF(AND($K1083=2,$L1083&lt;$J1083,COUNTIFS(nrES_PID,$D1083,nrES_Code,$F1083,nrES_Att,1)&gt;0),"Yes","No")))</f>
        <v/>
      </c>
      <c r="S1083" s="16" t="n"/>
      <c r="T1083" s="17">
        <f>IF($Q1083&lt;&gt;"Yes","",IF($S1083="","(enter date)",_xlfn.LET(_xlpm.dn,IFERROR(_xlfn.XLOOKUP($S1083,nrCDdate,nrCDnum),""),IF(_xlpm.dn="","(not a class day)",IFERROR(_xlfn.XLOOKUP(_xlpm.dn+cfgRetestClassDays,nrCDnum,nrCDdate),"")))))</f>
        <v/>
      </c>
      <c r="U1083" s="15">
        <f>IF($Q1083&lt;&gt;"Yes","",IF(COUNTIFS(nrES_PID,$D1083,nrES_Code,$F1083,nrES_Att,2)&gt;0,"Retested",IF(OR($T1083="",NOT(ISNUMBER($T1083))),"Pending",IF(TODAY()&gt;$T1083,"OVERDUE","Due "&amp;TEXT($T1083,"mm/dd")))))</f>
        <v/>
      </c>
      <c r="V1083" s="14" t="n"/>
      <c r="W1083" s="14" t="n"/>
    </row>
    <row r="1084">
      <c r="B1084" s="15">
        <f>IF($C1084="","",$D1084&amp;"-"&amp;$F1084&amp;"-"&amp;$K1084)</f>
        <v/>
      </c>
      <c r="C1084" s="14" t="n"/>
      <c r="D1084" s="15">
        <f>IF($C1084="","",IFERROR(INDEX(rngCadetPIDs,MATCH($C1084,rngCadetNames,0)),"?"))</f>
        <v/>
      </c>
      <c r="E1084" s="15">
        <f>IF($D1084="","",IFERROR(INDEX(nrCadetAgency,MATCH($D1084,rngCadetPIDs,0)),""))</f>
        <v/>
      </c>
      <c r="F1084" s="14" t="n"/>
      <c r="G1084" s="15">
        <f>IF($F1084="","",IFERROR(INDEX(rngEPname,MATCH($F1084,rngEPcode,0)),"?"))</f>
        <v/>
      </c>
      <c r="H1084" s="15">
        <f>IF($F1084="","",IFERROR(INDEX(rngEPtype,MATCH($F1084,rngEPcode,0)),"?"))</f>
        <v/>
      </c>
      <c r="I1084" s="15">
        <f>IF($F1084="","",IFERROR(INDEX(rngEPseq,MATCH($F1084,rngEPcode,0)),""))</f>
        <v/>
      </c>
      <c r="J1084" s="15">
        <f>IF($F1084="","",IFERROR(INDEX(rngEPpass,MATCH($F1084,rngEPcode,0)),cfgPassingScore))</f>
        <v/>
      </c>
      <c r="K1084" s="14" t="n"/>
      <c r="L1084" s="14" t="n"/>
      <c r="M1084" s="15">
        <f>IF($C1084="","",IF($L1084="","",IF($K1084=1,IF(COUNTIFS(nrES_PID,$D1084,nrES_Code,$F1084,nrES_Att,2)&gt;0,"",$L1084),IF(COUNTIFS(nrES_PID,$D1084,nrES_Code,$F1084,nrES_Att,1)=0,$L1084,IF($L1084&gt;=$J1084,cfgRetakeRecordedCap,SUMIFS(nrES_Raw,nrES_PID,$D1084,nrES_Code,$F1084,nrES_Att,1))))))</f>
        <v/>
      </c>
      <c r="N1084" s="15">
        <f>IF($C1084="","",IF($L1084="","",IF($L1084&gt;=$J1084,"Yes","No")))</f>
        <v/>
      </c>
      <c r="O1084" s="15">
        <f>IF($C1084="","",IF($M1084="","",IF($M1084&gt;=$J1084,"Yes","No")))</f>
        <v/>
      </c>
      <c r="P1084" s="15">
        <f>IF($C1084="","",IF($K1084="","",IF(COUNTIFS(nrES_PID,$D1084,nrES_Code,$F1084,nrES_Att,"&gt;"&amp;$K1084)=0,"Yes","No")))</f>
        <v/>
      </c>
      <c r="Q1084" s="15">
        <f>IF($C1084="","",IF($L1084="","",IF(AND($K1084=1,$L1084&lt;$J1084,COUNTIFS(nrES_PID,$D1084,nrES_Code,$F1084,nrES_Att,2)=0),"Yes","No")))</f>
        <v/>
      </c>
      <c r="R1084" s="15">
        <f>IF($C1084="","",IF($L1084="","",IF(AND($K1084=2,$L1084&lt;$J1084,COUNTIFS(nrES_PID,$D1084,nrES_Code,$F1084,nrES_Att,1)&gt;0),"Yes","No")))</f>
        <v/>
      </c>
      <c r="S1084" s="16" t="n"/>
      <c r="T1084" s="17">
        <f>IF($Q1084&lt;&gt;"Yes","",IF($S1084="","(enter date)",_xlfn.LET(_xlpm.dn,IFERROR(_xlfn.XLOOKUP($S1084,nrCDdate,nrCDnum),""),IF(_xlpm.dn="","(not a class day)",IFERROR(_xlfn.XLOOKUP(_xlpm.dn+cfgRetestClassDays,nrCDnum,nrCDdate),"")))))</f>
        <v/>
      </c>
      <c r="U1084" s="15">
        <f>IF($Q1084&lt;&gt;"Yes","",IF(COUNTIFS(nrES_PID,$D1084,nrES_Code,$F1084,nrES_Att,2)&gt;0,"Retested",IF(OR($T1084="",NOT(ISNUMBER($T1084))),"Pending",IF(TODAY()&gt;$T1084,"OVERDUE","Due "&amp;TEXT($T1084,"mm/dd")))))</f>
        <v/>
      </c>
      <c r="V1084" s="14" t="n"/>
      <c r="W1084" s="14" t="n"/>
    </row>
    <row r="1085">
      <c r="B1085" s="15">
        <f>IF($C1085="","",$D1085&amp;"-"&amp;$F1085&amp;"-"&amp;$K1085)</f>
        <v/>
      </c>
      <c r="C1085" s="14" t="n"/>
      <c r="D1085" s="15">
        <f>IF($C1085="","",IFERROR(INDEX(rngCadetPIDs,MATCH($C1085,rngCadetNames,0)),"?"))</f>
        <v/>
      </c>
      <c r="E1085" s="15">
        <f>IF($D1085="","",IFERROR(INDEX(nrCadetAgency,MATCH($D1085,rngCadetPIDs,0)),""))</f>
        <v/>
      </c>
      <c r="F1085" s="14" t="n"/>
      <c r="G1085" s="15">
        <f>IF($F1085="","",IFERROR(INDEX(rngEPname,MATCH($F1085,rngEPcode,0)),"?"))</f>
        <v/>
      </c>
      <c r="H1085" s="15">
        <f>IF($F1085="","",IFERROR(INDEX(rngEPtype,MATCH($F1085,rngEPcode,0)),"?"))</f>
        <v/>
      </c>
      <c r="I1085" s="15">
        <f>IF($F1085="","",IFERROR(INDEX(rngEPseq,MATCH($F1085,rngEPcode,0)),""))</f>
        <v/>
      </c>
      <c r="J1085" s="15">
        <f>IF($F1085="","",IFERROR(INDEX(rngEPpass,MATCH($F1085,rngEPcode,0)),cfgPassingScore))</f>
        <v/>
      </c>
      <c r="K1085" s="14" t="n"/>
      <c r="L1085" s="14" t="n"/>
      <c r="M1085" s="15">
        <f>IF($C1085="","",IF($L1085="","",IF($K1085=1,IF(COUNTIFS(nrES_PID,$D1085,nrES_Code,$F1085,nrES_Att,2)&gt;0,"",$L1085),IF(COUNTIFS(nrES_PID,$D1085,nrES_Code,$F1085,nrES_Att,1)=0,$L1085,IF($L1085&gt;=$J1085,cfgRetakeRecordedCap,SUMIFS(nrES_Raw,nrES_PID,$D1085,nrES_Code,$F1085,nrES_Att,1))))))</f>
        <v/>
      </c>
      <c r="N1085" s="15">
        <f>IF($C1085="","",IF($L1085="","",IF($L1085&gt;=$J1085,"Yes","No")))</f>
        <v/>
      </c>
      <c r="O1085" s="15">
        <f>IF($C1085="","",IF($M1085="","",IF($M1085&gt;=$J1085,"Yes","No")))</f>
        <v/>
      </c>
      <c r="P1085" s="15">
        <f>IF($C1085="","",IF($K1085="","",IF(COUNTIFS(nrES_PID,$D1085,nrES_Code,$F1085,nrES_Att,"&gt;"&amp;$K1085)=0,"Yes","No")))</f>
        <v/>
      </c>
      <c r="Q1085" s="15">
        <f>IF($C1085="","",IF($L1085="","",IF(AND($K1085=1,$L1085&lt;$J1085,COUNTIFS(nrES_PID,$D1085,nrES_Code,$F1085,nrES_Att,2)=0),"Yes","No")))</f>
        <v/>
      </c>
      <c r="R1085" s="15">
        <f>IF($C1085="","",IF($L1085="","",IF(AND($K1085=2,$L1085&lt;$J1085,COUNTIFS(nrES_PID,$D1085,nrES_Code,$F1085,nrES_Att,1)&gt;0),"Yes","No")))</f>
        <v/>
      </c>
      <c r="S1085" s="16" t="n"/>
      <c r="T1085" s="17">
        <f>IF($Q1085&lt;&gt;"Yes","",IF($S1085="","(enter date)",_xlfn.LET(_xlpm.dn,IFERROR(_xlfn.XLOOKUP($S1085,nrCDdate,nrCDnum),""),IF(_xlpm.dn="","(not a class day)",IFERROR(_xlfn.XLOOKUP(_xlpm.dn+cfgRetestClassDays,nrCDnum,nrCDdate),"")))))</f>
        <v/>
      </c>
      <c r="U1085" s="15">
        <f>IF($Q1085&lt;&gt;"Yes","",IF(COUNTIFS(nrES_PID,$D1085,nrES_Code,$F1085,nrES_Att,2)&gt;0,"Retested",IF(OR($T1085="",NOT(ISNUMBER($T1085))),"Pending",IF(TODAY()&gt;$T1085,"OVERDUE","Due "&amp;TEXT($T1085,"mm/dd")))))</f>
        <v/>
      </c>
      <c r="V1085" s="14" t="n"/>
      <c r="W1085" s="14" t="n"/>
    </row>
    <row r="1086">
      <c r="B1086" s="15">
        <f>IF($C1086="","",$D1086&amp;"-"&amp;$F1086&amp;"-"&amp;$K1086)</f>
        <v/>
      </c>
      <c r="C1086" s="14" t="n"/>
      <c r="D1086" s="15">
        <f>IF($C1086="","",IFERROR(INDEX(rngCadetPIDs,MATCH($C1086,rngCadetNames,0)),"?"))</f>
        <v/>
      </c>
      <c r="E1086" s="15">
        <f>IF($D1086="","",IFERROR(INDEX(nrCadetAgency,MATCH($D1086,rngCadetPIDs,0)),""))</f>
        <v/>
      </c>
      <c r="F1086" s="14" t="n"/>
      <c r="G1086" s="15">
        <f>IF($F1086="","",IFERROR(INDEX(rngEPname,MATCH($F1086,rngEPcode,0)),"?"))</f>
        <v/>
      </c>
      <c r="H1086" s="15">
        <f>IF($F1086="","",IFERROR(INDEX(rngEPtype,MATCH($F1086,rngEPcode,0)),"?"))</f>
        <v/>
      </c>
      <c r="I1086" s="15">
        <f>IF($F1086="","",IFERROR(INDEX(rngEPseq,MATCH($F1086,rngEPcode,0)),""))</f>
        <v/>
      </c>
      <c r="J1086" s="15">
        <f>IF($F1086="","",IFERROR(INDEX(rngEPpass,MATCH($F1086,rngEPcode,0)),cfgPassingScore))</f>
        <v/>
      </c>
      <c r="K1086" s="14" t="n"/>
      <c r="L1086" s="14" t="n"/>
      <c r="M1086" s="15">
        <f>IF($C1086="","",IF($L1086="","",IF($K1086=1,IF(COUNTIFS(nrES_PID,$D1086,nrES_Code,$F1086,nrES_Att,2)&gt;0,"",$L1086),IF(COUNTIFS(nrES_PID,$D1086,nrES_Code,$F1086,nrES_Att,1)=0,$L1086,IF($L1086&gt;=$J1086,cfgRetakeRecordedCap,SUMIFS(nrES_Raw,nrES_PID,$D1086,nrES_Code,$F1086,nrES_Att,1))))))</f>
        <v/>
      </c>
      <c r="N1086" s="15">
        <f>IF($C1086="","",IF($L1086="","",IF($L1086&gt;=$J1086,"Yes","No")))</f>
        <v/>
      </c>
      <c r="O1086" s="15">
        <f>IF($C1086="","",IF($M1086="","",IF($M1086&gt;=$J1086,"Yes","No")))</f>
        <v/>
      </c>
      <c r="P1086" s="15">
        <f>IF($C1086="","",IF($K1086="","",IF(COUNTIFS(nrES_PID,$D1086,nrES_Code,$F1086,nrES_Att,"&gt;"&amp;$K1086)=0,"Yes","No")))</f>
        <v/>
      </c>
      <c r="Q1086" s="15">
        <f>IF($C1086="","",IF($L1086="","",IF(AND($K1086=1,$L1086&lt;$J1086,COUNTIFS(nrES_PID,$D1086,nrES_Code,$F1086,nrES_Att,2)=0),"Yes","No")))</f>
        <v/>
      </c>
      <c r="R1086" s="15">
        <f>IF($C1086="","",IF($L1086="","",IF(AND($K1086=2,$L1086&lt;$J1086,COUNTIFS(nrES_PID,$D1086,nrES_Code,$F1086,nrES_Att,1)&gt;0),"Yes","No")))</f>
        <v/>
      </c>
      <c r="S1086" s="16" t="n"/>
      <c r="T1086" s="17">
        <f>IF($Q1086&lt;&gt;"Yes","",IF($S1086="","(enter date)",_xlfn.LET(_xlpm.dn,IFERROR(_xlfn.XLOOKUP($S1086,nrCDdate,nrCDnum),""),IF(_xlpm.dn="","(not a class day)",IFERROR(_xlfn.XLOOKUP(_xlpm.dn+cfgRetestClassDays,nrCDnum,nrCDdate),"")))))</f>
        <v/>
      </c>
      <c r="U1086" s="15">
        <f>IF($Q1086&lt;&gt;"Yes","",IF(COUNTIFS(nrES_PID,$D1086,nrES_Code,$F1086,nrES_Att,2)&gt;0,"Retested",IF(OR($T1086="",NOT(ISNUMBER($T1086))),"Pending",IF(TODAY()&gt;$T1086,"OVERDUE","Due "&amp;TEXT($T1086,"mm/dd")))))</f>
        <v/>
      </c>
      <c r="V1086" s="14" t="n"/>
      <c r="W1086" s="14" t="n"/>
    </row>
    <row r="1087">
      <c r="B1087" s="15">
        <f>IF($C1087="","",$D1087&amp;"-"&amp;$F1087&amp;"-"&amp;$K1087)</f>
        <v/>
      </c>
      <c r="C1087" s="14" t="n"/>
      <c r="D1087" s="15">
        <f>IF($C1087="","",IFERROR(INDEX(rngCadetPIDs,MATCH($C1087,rngCadetNames,0)),"?"))</f>
        <v/>
      </c>
      <c r="E1087" s="15">
        <f>IF($D1087="","",IFERROR(INDEX(nrCadetAgency,MATCH($D1087,rngCadetPIDs,0)),""))</f>
        <v/>
      </c>
      <c r="F1087" s="14" t="n"/>
      <c r="G1087" s="15">
        <f>IF($F1087="","",IFERROR(INDEX(rngEPname,MATCH($F1087,rngEPcode,0)),"?"))</f>
        <v/>
      </c>
      <c r="H1087" s="15">
        <f>IF($F1087="","",IFERROR(INDEX(rngEPtype,MATCH($F1087,rngEPcode,0)),"?"))</f>
        <v/>
      </c>
      <c r="I1087" s="15">
        <f>IF($F1087="","",IFERROR(INDEX(rngEPseq,MATCH($F1087,rngEPcode,0)),""))</f>
        <v/>
      </c>
      <c r="J1087" s="15">
        <f>IF($F1087="","",IFERROR(INDEX(rngEPpass,MATCH($F1087,rngEPcode,0)),cfgPassingScore))</f>
        <v/>
      </c>
      <c r="K1087" s="14" t="n"/>
      <c r="L1087" s="14" t="n"/>
      <c r="M1087" s="15">
        <f>IF($C1087="","",IF($L1087="","",IF($K1087=1,IF(COUNTIFS(nrES_PID,$D1087,nrES_Code,$F1087,nrES_Att,2)&gt;0,"",$L1087),IF(COUNTIFS(nrES_PID,$D1087,nrES_Code,$F1087,nrES_Att,1)=0,$L1087,IF($L1087&gt;=$J1087,cfgRetakeRecordedCap,SUMIFS(nrES_Raw,nrES_PID,$D1087,nrES_Code,$F1087,nrES_Att,1))))))</f>
        <v/>
      </c>
      <c r="N1087" s="15">
        <f>IF($C1087="","",IF($L1087="","",IF($L1087&gt;=$J1087,"Yes","No")))</f>
        <v/>
      </c>
      <c r="O1087" s="15">
        <f>IF($C1087="","",IF($M1087="","",IF($M1087&gt;=$J1087,"Yes","No")))</f>
        <v/>
      </c>
      <c r="P1087" s="15">
        <f>IF($C1087="","",IF($K1087="","",IF(COUNTIFS(nrES_PID,$D1087,nrES_Code,$F1087,nrES_Att,"&gt;"&amp;$K1087)=0,"Yes","No")))</f>
        <v/>
      </c>
      <c r="Q1087" s="15">
        <f>IF($C1087="","",IF($L1087="","",IF(AND($K1087=1,$L1087&lt;$J1087,COUNTIFS(nrES_PID,$D1087,nrES_Code,$F1087,nrES_Att,2)=0),"Yes","No")))</f>
        <v/>
      </c>
      <c r="R1087" s="15">
        <f>IF($C1087="","",IF($L1087="","",IF(AND($K1087=2,$L1087&lt;$J1087,COUNTIFS(nrES_PID,$D1087,nrES_Code,$F1087,nrES_Att,1)&gt;0),"Yes","No")))</f>
        <v/>
      </c>
      <c r="S1087" s="16" t="n"/>
      <c r="T1087" s="17">
        <f>IF($Q1087&lt;&gt;"Yes","",IF($S1087="","(enter date)",_xlfn.LET(_xlpm.dn,IFERROR(_xlfn.XLOOKUP($S1087,nrCDdate,nrCDnum),""),IF(_xlpm.dn="","(not a class day)",IFERROR(_xlfn.XLOOKUP(_xlpm.dn+cfgRetestClassDays,nrCDnum,nrCDdate),"")))))</f>
        <v/>
      </c>
      <c r="U1087" s="15">
        <f>IF($Q1087&lt;&gt;"Yes","",IF(COUNTIFS(nrES_PID,$D1087,nrES_Code,$F1087,nrES_Att,2)&gt;0,"Retested",IF(OR($T1087="",NOT(ISNUMBER($T1087))),"Pending",IF(TODAY()&gt;$T1087,"OVERDUE","Due "&amp;TEXT($T1087,"mm/dd")))))</f>
        <v/>
      </c>
      <c r="V1087" s="14" t="n"/>
      <c r="W1087" s="14" t="n"/>
    </row>
    <row r="1088">
      <c r="B1088" s="15">
        <f>IF($C1088="","",$D1088&amp;"-"&amp;$F1088&amp;"-"&amp;$K1088)</f>
        <v/>
      </c>
      <c r="C1088" s="14" t="n"/>
      <c r="D1088" s="15">
        <f>IF($C1088="","",IFERROR(INDEX(rngCadetPIDs,MATCH($C1088,rngCadetNames,0)),"?"))</f>
        <v/>
      </c>
      <c r="E1088" s="15">
        <f>IF($D1088="","",IFERROR(INDEX(nrCadetAgency,MATCH($D1088,rngCadetPIDs,0)),""))</f>
        <v/>
      </c>
      <c r="F1088" s="14" t="n"/>
      <c r="G1088" s="15">
        <f>IF($F1088="","",IFERROR(INDEX(rngEPname,MATCH($F1088,rngEPcode,0)),"?"))</f>
        <v/>
      </c>
      <c r="H1088" s="15">
        <f>IF($F1088="","",IFERROR(INDEX(rngEPtype,MATCH($F1088,rngEPcode,0)),"?"))</f>
        <v/>
      </c>
      <c r="I1088" s="15">
        <f>IF($F1088="","",IFERROR(INDEX(rngEPseq,MATCH($F1088,rngEPcode,0)),""))</f>
        <v/>
      </c>
      <c r="J1088" s="15">
        <f>IF($F1088="","",IFERROR(INDEX(rngEPpass,MATCH($F1088,rngEPcode,0)),cfgPassingScore))</f>
        <v/>
      </c>
      <c r="K1088" s="14" t="n"/>
      <c r="L1088" s="14" t="n"/>
      <c r="M1088" s="15">
        <f>IF($C1088="","",IF($L1088="","",IF($K1088=1,IF(COUNTIFS(nrES_PID,$D1088,nrES_Code,$F1088,nrES_Att,2)&gt;0,"",$L1088),IF(COUNTIFS(nrES_PID,$D1088,nrES_Code,$F1088,nrES_Att,1)=0,$L1088,IF($L1088&gt;=$J1088,cfgRetakeRecordedCap,SUMIFS(nrES_Raw,nrES_PID,$D1088,nrES_Code,$F1088,nrES_Att,1))))))</f>
        <v/>
      </c>
      <c r="N1088" s="15">
        <f>IF($C1088="","",IF($L1088="","",IF($L1088&gt;=$J1088,"Yes","No")))</f>
        <v/>
      </c>
      <c r="O1088" s="15">
        <f>IF($C1088="","",IF($M1088="","",IF($M1088&gt;=$J1088,"Yes","No")))</f>
        <v/>
      </c>
      <c r="P1088" s="15">
        <f>IF($C1088="","",IF($K1088="","",IF(COUNTIFS(nrES_PID,$D1088,nrES_Code,$F1088,nrES_Att,"&gt;"&amp;$K1088)=0,"Yes","No")))</f>
        <v/>
      </c>
      <c r="Q1088" s="15">
        <f>IF($C1088="","",IF($L1088="","",IF(AND($K1088=1,$L1088&lt;$J1088,COUNTIFS(nrES_PID,$D1088,nrES_Code,$F1088,nrES_Att,2)=0),"Yes","No")))</f>
        <v/>
      </c>
      <c r="R1088" s="15">
        <f>IF($C1088="","",IF($L1088="","",IF(AND($K1088=2,$L1088&lt;$J1088,COUNTIFS(nrES_PID,$D1088,nrES_Code,$F1088,nrES_Att,1)&gt;0),"Yes","No")))</f>
        <v/>
      </c>
      <c r="S1088" s="16" t="n"/>
      <c r="T1088" s="17">
        <f>IF($Q1088&lt;&gt;"Yes","",IF($S1088="","(enter date)",_xlfn.LET(_xlpm.dn,IFERROR(_xlfn.XLOOKUP($S1088,nrCDdate,nrCDnum),""),IF(_xlpm.dn="","(not a class day)",IFERROR(_xlfn.XLOOKUP(_xlpm.dn+cfgRetestClassDays,nrCDnum,nrCDdate),"")))))</f>
        <v/>
      </c>
      <c r="U1088" s="15">
        <f>IF($Q1088&lt;&gt;"Yes","",IF(COUNTIFS(nrES_PID,$D1088,nrES_Code,$F1088,nrES_Att,2)&gt;0,"Retested",IF(OR($T1088="",NOT(ISNUMBER($T1088))),"Pending",IF(TODAY()&gt;$T1088,"OVERDUE","Due "&amp;TEXT($T1088,"mm/dd")))))</f>
        <v/>
      </c>
      <c r="V1088" s="14" t="n"/>
      <c r="W1088" s="14" t="n"/>
    </row>
    <row r="1089">
      <c r="B1089" s="15">
        <f>IF($C1089="","",$D1089&amp;"-"&amp;$F1089&amp;"-"&amp;$K1089)</f>
        <v/>
      </c>
      <c r="C1089" s="14" t="n"/>
      <c r="D1089" s="15">
        <f>IF($C1089="","",IFERROR(INDEX(rngCadetPIDs,MATCH($C1089,rngCadetNames,0)),"?"))</f>
        <v/>
      </c>
      <c r="E1089" s="15">
        <f>IF($D1089="","",IFERROR(INDEX(nrCadetAgency,MATCH($D1089,rngCadetPIDs,0)),""))</f>
        <v/>
      </c>
      <c r="F1089" s="14" t="n"/>
      <c r="G1089" s="15">
        <f>IF($F1089="","",IFERROR(INDEX(rngEPname,MATCH($F1089,rngEPcode,0)),"?"))</f>
        <v/>
      </c>
      <c r="H1089" s="15">
        <f>IF($F1089="","",IFERROR(INDEX(rngEPtype,MATCH($F1089,rngEPcode,0)),"?"))</f>
        <v/>
      </c>
      <c r="I1089" s="15">
        <f>IF($F1089="","",IFERROR(INDEX(rngEPseq,MATCH($F1089,rngEPcode,0)),""))</f>
        <v/>
      </c>
      <c r="J1089" s="15">
        <f>IF($F1089="","",IFERROR(INDEX(rngEPpass,MATCH($F1089,rngEPcode,0)),cfgPassingScore))</f>
        <v/>
      </c>
      <c r="K1089" s="14" t="n"/>
      <c r="L1089" s="14" t="n"/>
      <c r="M1089" s="15">
        <f>IF($C1089="","",IF($L1089="","",IF($K1089=1,IF(COUNTIFS(nrES_PID,$D1089,nrES_Code,$F1089,nrES_Att,2)&gt;0,"",$L1089),IF(COUNTIFS(nrES_PID,$D1089,nrES_Code,$F1089,nrES_Att,1)=0,$L1089,IF($L1089&gt;=$J1089,cfgRetakeRecordedCap,SUMIFS(nrES_Raw,nrES_PID,$D1089,nrES_Code,$F1089,nrES_Att,1))))))</f>
        <v/>
      </c>
      <c r="N1089" s="15">
        <f>IF($C1089="","",IF($L1089="","",IF($L1089&gt;=$J1089,"Yes","No")))</f>
        <v/>
      </c>
      <c r="O1089" s="15">
        <f>IF($C1089="","",IF($M1089="","",IF($M1089&gt;=$J1089,"Yes","No")))</f>
        <v/>
      </c>
      <c r="P1089" s="15">
        <f>IF($C1089="","",IF($K1089="","",IF(COUNTIFS(nrES_PID,$D1089,nrES_Code,$F1089,nrES_Att,"&gt;"&amp;$K1089)=0,"Yes","No")))</f>
        <v/>
      </c>
      <c r="Q1089" s="15">
        <f>IF($C1089="","",IF($L1089="","",IF(AND($K1089=1,$L1089&lt;$J1089,COUNTIFS(nrES_PID,$D1089,nrES_Code,$F1089,nrES_Att,2)=0),"Yes","No")))</f>
        <v/>
      </c>
      <c r="R1089" s="15">
        <f>IF($C1089="","",IF($L1089="","",IF(AND($K1089=2,$L1089&lt;$J1089,COUNTIFS(nrES_PID,$D1089,nrES_Code,$F1089,nrES_Att,1)&gt;0),"Yes","No")))</f>
        <v/>
      </c>
      <c r="S1089" s="16" t="n"/>
      <c r="T1089" s="17">
        <f>IF($Q1089&lt;&gt;"Yes","",IF($S1089="","(enter date)",_xlfn.LET(_xlpm.dn,IFERROR(_xlfn.XLOOKUP($S1089,nrCDdate,nrCDnum),""),IF(_xlpm.dn="","(not a class day)",IFERROR(_xlfn.XLOOKUP(_xlpm.dn+cfgRetestClassDays,nrCDnum,nrCDdate),"")))))</f>
        <v/>
      </c>
      <c r="U1089" s="15">
        <f>IF($Q1089&lt;&gt;"Yes","",IF(COUNTIFS(nrES_PID,$D1089,nrES_Code,$F1089,nrES_Att,2)&gt;0,"Retested",IF(OR($T1089="",NOT(ISNUMBER($T1089))),"Pending",IF(TODAY()&gt;$T1089,"OVERDUE","Due "&amp;TEXT($T1089,"mm/dd")))))</f>
        <v/>
      </c>
      <c r="V1089" s="14" t="n"/>
      <c r="W1089" s="14" t="n"/>
    </row>
    <row r="1090">
      <c r="B1090" s="15">
        <f>IF($C1090="","",$D1090&amp;"-"&amp;$F1090&amp;"-"&amp;$K1090)</f>
        <v/>
      </c>
      <c r="C1090" s="14" t="n"/>
      <c r="D1090" s="15">
        <f>IF($C1090="","",IFERROR(INDEX(rngCadetPIDs,MATCH($C1090,rngCadetNames,0)),"?"))</f>
        <v/>
      </c>
      <c r="E1090" s="15">
        <f>IF($D1090="","",IFERROR(INDEX(nrCadetAgency,MATCH($D1090,rngCadetPIDs,0)),""))</f>
        <v/>
      </c>
      <c r="F1090" s="14" t="n"/>
      <c r="G1090" s="15">
        <f>IF($F1090="","",IFERROR(INDEX(rngEPname,MATCH($F1090,rngEPcode,0)),"?"))</f>
        <v/>
      </c>
      <c r="H1090" s="15">
        <f>IF($F1090="","",IFERROR(INDEX(rngEPtype,MATCH($F1090,rngEPcode,0)),"?"))</f>
        <v/>
      </c>
      <c r="I1090" s="15">
        <f>IF($F1090="","",IFERROR(INDEX(rngEPseq,MATCH($F1090,rngEPcode,0)),""))</f>
        <v/>
      </c>
      <c r="J1090" s="15">
        <f>IF($F1090="","",IFERROR(INDEX(rngEPpass,MATCH($F1090,rngEPcode,0)),cfgPassingScore))</f>
        <v/>
      </c>
      <c r="K1090" s="14" t="n"/>
      <c r="L1090" s="14" t="n"/>
      <c r="M1090" s="15">
        <f>IF($C1090="","",IF($L1090="","",IF($K1090=1,IF(COUNTIFS(nrES_PID,$D1090,nrES_Code,$F1090,nrES_Att,2)&gt;0,"",$L1090),IF(COUNTIFS(nrES_PID,$D1090,nrES_Code,$F1090,nrES_Att,1)=0,$L1090,IF($L1090&gt;=$J1090,cfgRetakeRecordedCap,SUMIFS(nrES_Raw,nrES_PID,$D1090,nrES_Code,$F1090,nrES_Att,1))))))</f>
        <v/>
      </c>
      <c r="N1090" s="15">
        <f>IF($C1090="","",IF($L1090="","",IF($L1090&gt;=$J1090,"Yes","No")))</f>
        <v/>
      </c>
      <c r="O1090" s="15">
        <f>IF($C1090="","",IF($M1090="","",IF($M1090&gt;=$J1090,"Yes","No")))</f>
        <v/>
      </c>
      <c r="P1090" s="15">
        <f>IF($C1090="","",IF($K1090="","",IF(COUNTIFS(nrES_PID,$D1090,nrES_Code,$F1090,nrES_Att,"&gt;"&amp;$K1090)=0,"Yes","No")))</f>
        <v/>
      </c>
      <c r="Q1090" s="15">
        <f>IF($C1090="","",IF($L1090="","",IF(AND($K1090=1,$L1090&lt;$J1090,COUNTIFS(nrES_PID,$D1090,nrES_Code,$F1090,nrES_Att,2)=0),"Yes","No")))</f>
        <v/>
      </c>
      <c r="R1090" s="15">
        <f>IF($C1090="","",IF($L1090="","",IF(AND($K1090=2,$L1090&lt;$J1090,COUNTIFS(nrES_PID,$D1090,nrES_Code,$F1090,nrES_Att,1)&gt;0),"Yes","No")))</f>
        <v/>
      </c>
      <c r="S1090" s="16" t="n"/>
      <c r="T1090" s="17">
        <f>IF($Q1090&lt;&gt;"Yes","",IF($S1090="","(enter date)",_xlfn.LET(_xlpm.dn,IFERROR(_xlfn.XLOOKUP($S1090,nrCDdate,nrCDnum),""),IF(_xlpm.dn="","(not a class day)",IFERROR(_xlfn.XLOOKUP(_xlpm.dn+cfgRetestClassDays,nrCDnum,nrCDdate),"")))))</f>
        <v/>
      </c>
      <c r="U1090" s="15">
        <f>IF($Q1090&lt;&gt;"Yes","",IF(COUNTIFS(nrES_PID,$D1090,nrES_Code,$F1090,nrES_Att,2)&gt;0,"Retested",IF(OR($T1090="",NOT(ISNUMBER($T1090))),"Pending",IF(TODAY()&gt;$T1090,"OVERDUE","Due "&amp;TEXT($T1090,"mm/dd")))))</f>
        <v/>
      </c>
      <c r="V1090" s="14" t="n"/>
      <c r="W1090" s="14" t="n"/>
    </row>
    <row r="1091">
      <c r="B1091" s="15">
        <f>IF($C1091="","",$D1091&amp;"-"&amp;$F1091&amp;"-"&amp;$K1091)</f>
        <v/>
      </c>
      <c r="C1091" s="14" t="n"/>
      <c r="D1091" s="15">
        <f>IF($C1091="","",IFERROR(INDEX(rngCadetPIDs,MATCH($C1091,rngCadetNames,0)),"?"))</f>
        <v/>
      </c>
      <c r="E1091" s="15">
        <f>IF($D1091="","",IFERROR(INDEX(nrCadetAgency,MATCH($D1091,rngCadetPIDs,0)),""))</f>
        <v/>
      </c>
      <c r="F1091" s="14" t="n"/>
      <c r="G1091" s="15">
        <f>IF($F1091="","",IFERROR(INDEX(rngEPname,MATCH($F1091,rngEPcode,0)),"?"))</f>
        <v/>
      </c>
      <c r="H1091" s="15">
        <f>IF($F1091="","",IFERROR(INDEX(rngEPtype,MATCH($F1091,rngEPcode,0)),"?"))</f>
        <v/>
      </c>
      <c r="I1091" s="15">
        <f>IF($F1091="","",IFERROR(INDEX(rngEPseq,MATCH($F1091,rngEPcode,0)),""))</f>
        <v/>
      </c>
      <c r="J1091" s="15">
        <f>IF($F1091="","",IFERROR(INDEX(rngEPpass,MATCH($F1091,rngEPcode,0)),cfgPassingScore))</f>
        <v/>
      </c>
      <c r="K1091" s="14" t="n"/>
      <c r="L1091" s="14" t="n"/>
      <c r="M1091" s="15">
        <f>IF($C1091="","",IF($L1091="","",IF($K1091=1,IF(COUNTIFS(nrES_PID,$D1091,nrES_Code,$F1091,nrES_Att,2)&gt;0,"",$L1091),IF(COUNTIFS(nrES_PID,$D1091,nrES_Code,$F1091,nrES_Att,1)=0,$L1091,IF($L1091&gt;=$J1091,cfgRetakeRecordedCap,SUMIFS(nrES_Raw,nrES_PID,$D1091,nrES_Code,$F1091,nrES_Att,1))))))</f>
        <v/>
      </c>
      <c r="N1091" s="15">
        <f>IF($C1091="","",IF($L1091="","",IF($L1091&gt;=$J1091,"Yes","No")))</f>
        <v/>
      </c>
      <c r="O1091" s="15">
        <f>IF($C1091="","",IF($M1091="","",IF($M1091&gt;=$J1091,"Yes","No")))</f>
        <v/>
      </c>
      <c r="P1091" s="15">
        <f>IF($C1091="","",IF($K1091="","",IF(COUNTIFS(nrES_PID,$D1091,nrES_Code,$F1091,nrES_Att,"&gt;"&amp;$K1091)=0,"Yes","No")))</f>
        <v/>
      </c>
      <c r="Q1091" s="15">
        <f>IF($C1091="","",IF($L1091="","",IF(AND($K1091=1,$L1091&lt;$J1091,COUNTIFS(nrES_PID,$D1091,nrES_Code,$F1091,nrES_Att,2)=0),"Yes","No")))</f>
        <v/>
      </c>
      <c r="R1091" s="15">
        <f>IF($C1091="","",IF($L1091="","",IF(AND($K1091=2,$L1091&lt;$J1091,COUNTIFS(nrES_PID,$D1091,nrES_Code,$F1091,nrES_Att,1)&gt;0),"Yes","No")))</f>
        <v/>
      </c>
      <c r="S1091" s="16" t="n"/>
      <c r="T1091" s="17">
        <f>IF($Q1091&lt;&gt;"Yes","",IF($S1091="","(enter date)",_xlfn.LET(_xlpm.dn,IFERROR(_xlfn.XLOOKUP($S1091,nrCDdate,nrCDnum),""),IF(_xlpm.dn="","(not a class day)",IFERROR(_xlfn.XLOOKUP(_xlpm.dn+cfgRetestClassDays,nrCDnum,nrCDdate),"")))))</f>
        <v/>
      </c>
      <c r="U1091" s="15">
        <f>IF($Q1091&lt;&gt;"Yes","",IF(COUNTIFS(nrES_PID,$D1091,nrES_Code,$F1091,nrES_Att,2)&gt;0,"Retested",IF(OR($T1091="",NOT(ISNUMBER($T1091))),"Pending",IF(TODAY()&gt;$T1091,"OVERDUE","Due "&amp;TEXT($T1091,"mm/dd")))))</f>
        <v/>
      </c>
      <c r="V1091" s="14" t="n"/>
      <c r="W1091" s="14" t="n"/>
    </row>
    <row r="1092">
      <c r="B1092" s="15">
        <f>IF($C1092="","",$D1092&amp;"-"&amp;$F1092&amp;"-"&amp;$K1092)</f>
        <v/>
      </c>
      <c r="C1092" s="14" t="n"/>
      <c r="D1092" s="15">
        <f>IF($C1092="","",IFERROR(INDEX(rngCadetPIDs,MATCH($C1092,rngCadetNames,0)),"?"))</f>
        <v/>
      </c>
      <c r="E1092" s="15">
        <f>IF($D1092="","",IFERROR(INDEX(nrCadetAgency,MATCH($D1092,rngCadetPIDs,0)),""))</f>
        <v/>
      </c>
      <c r="F1092" s="14" t="n"/>
      <c r="G1092" s="15">
        <f>IF($F1092="","",IFERROR(INDEX(rngEPname,MATCH($F1092,rngEPcode,0)),"?"))</f>
        <v/>
      </c>
      <c r="H1092" s="15">
        <f>IF($F1092="","",IFERROR(INDEX(rngEPtype,MATCH($F1092,rngEPcode,0)),"?"))</f>
        <v/>
      </c>
      <c r="I1092" s="15">
        <f>IF($F1092="","",IFERROR(INDEX(rngEPseq,MATCH($F1092,rngEPcode,0)),""))</f>
        <v/>
      </c>
      <c r="J1092" s="15">
        <f>IF($F1092="","",IFERROR(INDEX(rngEPpass,MATCH($F1092,rngEPcode,0)),cfgPassingScore))</f>
        <v/>
      </c>
      <c r="K1092" s="14" t="n"/>
      <c r="L1092" s="14" t="n"/>
      <c r="M1092" s="15">
        <f>IF($C1092="","",IF($L1092="","",IF($K1092=1,IF(COUNTIFS(nrES_PID,$D1092,nrES_Code,$F1092,nrES_Att,2)&gt;0,"",$L1092),IF(COUNTIFS(nrES_PID,$D1092,nrES_Code,$F1092,nrES_Att,1)=0,$L1092,IF($L1092&gt;=$J1092,cfgRetakeRecordedCap,SUMIFS(nrES_Raw,nrES_PID,$D1092,nrES_Code,$F1092,nrES_Att,1))))))</f>
        <v/>
      </c>
      <c r="N1092" s="15">
        <f>IF($C1092="","",IF($L1092="","",IF($L1092&gt;=$J1092,"Yes","No")))</f>
        <v/>
      </c>
      <c r="O1092" s="15">
        <f>IF($C1092="","",IF($M1092="","",IF($M1092&gt;=$J1092,"Yes","No")))</f>
        <v/>
      </c>
      <c r="P1092" s="15">
        <f>IF($C1092="","",IF($K1092="","",IF(COUNTIFS(nrES_PID,$D1092,nrES_Code,$F1092,nrES_Att,"&gt;"&amp;$K1092)=0,"Yes","No")))</f>
        <v/>
      </c>
      <c r="Q1092" s="15">
        <f>IF($C1092="","",IF($L1092="","",IF(AND($K1092=1,$L1092&lt;$J1092,COUNTIFS(nrES_PID,$D1092,nrES_Code,$F1092,nrES_Att,2)=0),"Yes","No")))</f>
        <v/>
      </c>
      <c r="R1092" s="15">
        <f>IF($C1092="","",IF($L1092="","",IF(AND($K1092=2,$L1092&lt;$J1092,COUNTIFS(nrES_PID,$D1092,nrES_Code,$F1092,nrES_Att,1)&gt;0),"Yes","No")))</f>
        <v/>
      </c>
      <c r="S1092" s="16" t="n"/>
      <c r="T1092" s="17">
        <f>IF($Q1092&lt;&gt;"Yes","",IF($S1092="","(enter date)",_xlfn.LET(_xlpm.dn,IFERROR(_xlfn.XLOOKUP($S1092,nrCDdate,nrCDnum),""),IF(_xlpm.dn="","(not a class day)",IFERROR(_xlfn.XLOOKUP(_xlpm.dn+cfgRetestClassDays,nrCDnum,nrCDdate),"")))))</f>
        <v/>
      </c>
      <c r="U1092" s="15">
        <f>IF($Q1092&lt;&gt;"Yes","",IF(COUNTIFS(nrES_PID,$D1092,nrES_Code,$F1092,nrES_Att,2)&gt;0,"Retested",IF(OR($T1092="",NOT(ISNUMBER($T1092))),"Pending",IF(TODAY()&gt;$T1092,"OVERDUE","Due "&amp;TEXT($T1092,"mm/dd")))))</f>
        <v/>
      </c>
      <c r="V1092" s="14" t="n"/>
      <c r="W1092" s="14" t="n"/>
    </row>
    <row r="1093">
      <c r="B1093" s="15">
        <f>IF($C1093="","",$D1093&amp;"-"&amp;$F1093&amp;"-"&amp;$K1093)</f>
        <v/>
      </c>
      <c r="C1093" s="14" t="n"/>
      <c r="D1093" s="15">
        <f>IF($C1093="","",IFERROR(INDEX(rngCadetPIDs,MATCH($C1093,rngCadetNames,0)),"?"))</f>
        <v/>
      </c>
      <c r="E1093" s="15">
        <f>IF($D1093="","",IFERROR(INDEX(nrCadetAgency,MATCH($D1093,rngCadetPIDs,0)),""))</f>
        <v/>
      </c>
      <c r="F1093" s="14" t="n"/>
      <c r="G1093" s="15">
        <f>IF($F1093="","",IFERROR(INDEX(rngEPname,MATCH($F1093,rngEPcode,0)),"?"))</f>
        <v/>
      </c>
      <c r="H1093" s="15">
        <f>IF($F1093="","",IFERROR(INDEX(rngEPtype,MATCH($F1093,rngEPcode,0)),"?"))</f>
        <v/>
      </c>
      <c r="I1093" s="15">
        <f>IF($F1093="","",IFERROR(INDEX(rngEPseq,MATCH($F1093,rngEPcode,0)),""))</f>
        <v/>
      </c>
      <c r="J1093" s="15">
        <f>IF($F1093="","",IFERROR(INDEX(rngEPpass,MATCH($F1093,rngEPcode,0)),cfgPassingScore))</f>
        <v/>
      </c>
      <c r="K1093" s="14" t="n"/>
      <c r="L1093" s="14" t="n"/>
      <c r="M1093" s="15">
        <f>IF($C1093="","",IF($L1093="","",IF($K1093=1,IF(COUNTIFS(nrES_PID,$D1093,nrES_Code,$F1093,nrES_Att,2)&gt;0,"",$L1093),IF(COUNTIFS(nrES_PID,$D1093,nrES_Code,$F1093,nrES_Att,1)=0,$L1093,IF($L1093&gt;=$J1093,cfgRetakeRecordedCap,SUMIFS(nrES_Raw,nrES_PID,$D1093,nrES_Code,$F1093,nrES_Att,1))))))</f>
        <v/>
      </c>
      <c r="N1093" s="15">
        <f>IF($C1093="","",IF($L1093="","",IF($L1093&gt;=$J1093,"Yes","No")))</f>
        <v/>
      </c>
      <c r="O1093" s="15">
        <f>IF($C1093="","",IF($M1093="","",IF($M1093&gt;=$J1093,"Yes","No")))</f>
        <v/>
      </c>
      <c r="P1093" s="15">
        <f>IF($C1093="","",IF($K1093="","",IF(COUNTIFS(nrES_PID,$D1093,nrES_Code,$F1093,nrES_Att,"&gt;"&amp;$K1093)=0,"Yes","No")))</f>
        <v/>
      </c>
      <c r="Q1093" s="15">
        <f>IF($C1093="","",IF($L1093="","",IF(AND($K1093=1,$L1093&lt;$J1093,COUNTIFS(nrES_PID,$D1093,nrES_Code,$F1093,nrES_Att,2)=0),"Yes","No")))</f>
        <v/>
      </c>
      <c r="R1093" s="15">
        <f>IF($C1093="","",IF($L1093="","",IF(AND($K1093=2,$L1093&lt;$J1093,COUNTIFS(nrES_PID,$D1093,nrES_Code,$F1093,nrES_Att,1)&gt;0),"Yes","No")))</f>
        <v/>
      </c>
      <c r="S1093" s="16" t="n"/>
      <c r="T1093" s="17">
        <f>IF($Q1093&lt;&gt;"Yes","",IF($S1093="","(enter date)",_xlfn.LET(_xlpm.dn,IFERROR(_xlfn.XLOOKUP($S1093,nrCDdate,nrCDnum),""),IF(_xlpm.dn="","(not a class day)",IFERROR(_xlfn.XLOOKUP(_xlpm.dn+cfgRetestClassDays,nrCDnum,nrCDdate),"")))))</f>
        <v/>
      </c>
      <c r="U1093" s="15">
        <f>IF($Q1093&lt;&gt;"Yes","",IF(COUNTIFS(nrES_PID,$D1093,nrES_Code,$F1093,nrES_Att,2)&gt;0,"Retested",IF(OR($T1093="",NOT(ISNUMBER($T1093))),"Pending",IF(TODAY()&gt;$T1093,"OVERDUE","Due "&amp;TEXT($T1093,"mm/dd")))))</f>
        <v/>
      </c>
      <c r="V1093" s="14" t="n"/>
      <c r="W1093" s="14" t="n"/>
    </row>
    <row r="1094">
      <c r="B1094" s="15">
        <f>IF($C1094="","",$D1094&amp;"-"&amp;$F1094&amp;"-"&amp;$K1094)</f>
        <v/>
      </c>
      <c r="C1094" s="14" t="n"/>
      <c r="D1094" s="15">
        <f>IF($C1094="","",IFERROR(INDEX(rngCadetPIDs,MATCH($C1094,rngCadetNames,0)),"?"))</f>
        <v/>
      </c>
      <c r="E1094" s="15">
        <f>IF($D1094="","",IFERROR(INDEX(nrCadetAgency,MATCH($D1094,rngCadetPIDs,0)),""))</f>
        <v/>
      </c>
      <c r="F1094" s="14" t="n"/>
      <c r="G1094" s="15">
        <f>IF($F1094="","",IFERROR(INDEX(rngEPname,MATCH($F1094,rngEPcode,0)),"?"))</f>
        <v/>
      </c>
      <c r="H1094" s="15">
        <f>IF($F1094="","",IFERROR(INDEX(rngEPtype,MATCH($F1094,rngEPcode,0)),"?"))</f>
        <v/>
      </c>
      <c r="I1094" s="15">
        <f>IF($F1094="","",IFERROR(INDEX(rngEPseq,MATCH($F1094,rngEPcode,0)),""))</f>
        <v/>
      </c>
      <c r="J1094" s="15">
        <f>IF($F1094="","",IFERROR(INDEX(rngEPpass,MATCH($F1094,rngEPcode,0)),cfgPassingScore))</f>
        <v/>
      </c>
      <c r="K1094" s="14" t="n"/>
      <c r="L1094" s="14" t="n"/>
      <c r="M1094" s="15">
        <f>IF($C1094="","",IF($L1094="","",IF($K1094=1,IF(COUNTIFS(nrES_PID,$D1094,nrES_Code,$F1094,nrES_Att,2)&gt;0,"",$L1094),IF(COUNTIFS(nrES_PID,$D1094,nrES_Code,$F1094,nrES_Att,1)=0,$L1094,IF($L1094&gt;=$J1094,cfgRetakeRecordedCap,SUMIFS(nrES_Raw,nrES_PID,$D1094,nrES_Code,$F1094,nrES_Att,1))))))</f>
        <v/>
      </c>
      <c r="N1094" s="15">
        <f>IF($C1094="","",IF($L1094="","",IF($L1094&gt;=$J1094,"Yes","No")))</f>
        <v/>
      </c>
      <c r="O1094" s="15">
        <f>IF($C1094="","",IF($M1094="","",IF($M1094&gt;=$J1094,"Yes","No")))</f>
        <v/>
      </c>
      <c r="P1094" s="15">
        <f>IF($C1094="","",IF($K1094="","",IF(COUNTIFS(nrES_PID,$D1094,nrES_Code,$F1094,nrES_Att,"&gt;"&amp;$K1094)=0,"Yes","No")))</f>
        <v/>
      </c>
      <c r="Q1094" s="15">
        <f>IF($C1094="","",IF($L1094="","",IF(AND($K1094=1,$L1094&lt;$J1094,COUNTIFS(nrES_PID,$D1094,nrES_Code,$F1094,nrES_Att,2)=0),"Yes","No")))</f>
        <v/>
      </c>
      <c r="R1094" s="15">
        <f>IF($C1094="","",IF($L1094="","",IF(AND($K1094=2,$L1094&lt;$J1094,COUNTIFS(nrES_PID,$D1094,nrES_Code,$F1094,nrES_Att,1)&gt;0),"Yes","No")))</f>
        <v/>
      </c>
      <c r="S1094" s="16" t="n"/>
      <c r="T1094" s="17">
        <f>IF($Q1094&lt;&gt;"Yes","",IF($S1094="","(enter date)",_xlfn.LET(_xlpm.dn,IFERROR(_xlfn.XLOOKUP($S1094,nrCDdate,nrCDnum),""),IF(_xlpm.dn="","(not a class day)",IFERROR(_xlfn.XLOOKUP(_xlpm.dn+cfgRetestClassDays,nrCDnum,nrCDdate),"")))))</f>
        <v/>
      </c>
      <c r="U1094" s="15">
        <f>IF($Q1094&lt;&gt;"Yes","",IF(COUNTIFS(nrES_PID,$D1094,nrES_Code,$F1094,nrES_Att,2)&gt;0,"Retested",IF(OR($T1094="",NOT(ISNUMBER($T1094))),"Pending",IF(TODAY()&gt;$T1094,"OVERDUE","Due "&amp;TEXT($T1094,"mm/dd")))))</f>
        <v/>
      </c>
      <c r="V1094" s="14" t="n"/>
      <c r="W1094" s="14" t="n"/>
    </row>
    <row r="1095">
      <c r="B1095" s="15">
        <f>IF($C1095="","",$D1095&amp;"-"&amp;$F1095&amp;"-"&amp;$K1095)</f>
        <v/>
      </c>
      <c r="C1095" s="14" t="n"/>
      <c r="D1095" s="15">
        <f>IF($C1095="","",IFERROR(INDEX(rngCadetPIDs,MATCH($C1095,rngCadetNames,0)),"?"))</f>
        <v/>
      </c>
      <c r="E1095" s="15">
        <f>IF($D1095="","",IFERROR(INDEX(nrCadetAgency,MATCH($D1095,rngCadetPIDs,0)),""))</f>
        <v/>
      </c>
      <c r="F1095" s="14" t="n"/>
      <c r="G1095" s="15">
        <f>IF($F1095="","",IFERROR(INDEX(rngEPname,MATCH($F1095,rngEPcode,0)),"?"))</f>
        <v/>
      </c>
      <c r="H1095" s="15">
        <f>IF($F1095="","",IFERROR(INDEX(rngEPtype,MATCH($F1095,rngEPcode,0)),"?"))</f>
        <v/>
      </c>
      <c r="I1095" s="15">
        <f>IF($F1095="","",IFERROR(INDEX(rngEPseq,MATCH($F1095,rngEPcode,0)),""))</f>
        <v/>
      </c>
      <c r="J1095" s="15">
        <f>IF($F1095="","",IFERROR(INDEX(rngEPpass,MATCH($F1095,rngEPcode,0)),cfgPassingScore))</f>
        <v/>
      </c>
      <c r="K1095" s="14" t="n"/>
      <c r="L1095" s="14" t="n"/>
      <c r="M1095" s="15">
        <f>IF($C1095="","",IF($L1095="","",IF($K1095=1,IF(COUNTIFS(nrES_PID,$D1095,nrES_Code,$F1095,nrES_Att,2)&gt;0,"",$L1095),IF(COUNTIFS(nrES_PID,$D1095,nrES_Code,$F1095,nrES_Att,1)=0,$L1095,IF($L1095&gt;=$J1095,cfgRetakeRecordedCap,SUMIFS(nrES_Raw,nrES_PID,$D1095,nrES_Code,$F1095,nrES_Att,1))))))</f>
        <v/>
      </c>
      <c r="N1095" s="15">
        <f>IF($C1095="","",IF($L1095="","",IF($L1095&gt;=$J1095,"Yes","No")))</f>
        <v/>
      </c>
      <c r="O1095" s="15">
        <f>IF($C1095="","",IF($M1095="","",IF($M1095&gt;=$J1095,"Yes","No")))</f>
        <v/>
      </c>
      <c r="P1095" s="15">
        <f>IF($C1095="","",IF($K1095="","",IF(COUNTIFS(nrES_PID,$D1095,nrES_Code,$F1095,nrES_Att,"&gt;"&amp;$K1095)=0,"Yes","No")))</f>
        <v/>
      </c>
      <c r="Q1095" s="15">
        <f>IF($C1095="","",IF($L1095="","",IF(AND($K1095=1,$L1095&lt;$J1095,COUNTIFS(nrES_PID,$D1095,nrES_Code,$F1095,nrES_Att,2)=0),"Yes","No")))</f>
        <v/>
      </c>
      <c r="R1095" s="15">
        <f>IF($C1095="","",IF($L1095="","",IF(AND($K1095=2,$L1095&lt;$J1095,COUNTIFS(nrES_PID,$D1095,nrES_Code,$F1095,nrES_Att,1)&gt;0),"Yes","No")))</f>
        <v/>
      </c>
      <c r="S1095" s="16" t="n"/>
      <c r="T1095" s="17">
        <f>IF($Q1095&lt;&gt;"Yes","",IF($S1095="","(enter date)",_xlfn.LET(_xlpm.dn,IFERROR(_xlfn.XLOOKUP($S1095,nrCDdate,nrCDnum),""),IF(_xlpm.dn="","(not a class day)",IFERROR(_xlfn.XLOOKUP(_xlpm.dn+cfgRetestClassDays,nrCDnum,nrCDdate),"")))))</f>
        <v/>
      </c>
      <c r="U1095" s="15">
        <f>IF($Q1095&lt;&gt;"Yes","",IF(COUNTIFS(nrES_PID,$D1095,nrES_Code,$F1095,nrES_Att,2)&gt;0,"Retested",IF(OR($T1095="",NOT(ISNUMBER($T1095))),"Pending",IF(TODAY()&gt;$T1095,"OVERDUE","Due "&amp;TEXT($T1095,"mm/dd")))))</f>
        <v/>
      </c>
      <c r="V1095" s="14" t="n"/>
      <c r="W1095" s="14" t="n"/>
    </row>
    <row r="1096">
      <c r="B1096" s="15">
        <f>IF($C1096="","",$D1096&amp;"-"&amp;$F1096&amp;"-"&amp;$K1096)</f>
        <v/>
      </c>
      <c r="C1096" s="14" t="n"/>
      <c r="D1096" s="15">
        <f>IF($C1096="","",IFERROR(INDEX(rngCadetPIDs,MATCH($C1096,rngCadetNames,0)),"?"))</f>
        <v/>
      </c>
      <c r="E1096" s="15">
        <f>IF($D1096="","",IFERROR(INDEX(nrCadetAgency,MATCH($D1096,rngCadetPIDs,0)),""))</f>
        <v/>
      </c>
      <c r="F1096" s="14" t="n"/>
      <c r="G1096" s="15">
        <f>IF($F1096="","",IFERROR(INDEX(rngEPname,MATCH($F1096,rngEPcode,0)),"?"))</f>
        <v/>
      </c>
      <c r="H1096" s="15">
        <f>IF($F1096="","",IFERROR(INDEX(rngEPtype,MATCH($F1096,rngEPcode,0)),"?"))</f>
        <v/>
      </c>
      <c r="I1096" s="15">
        <f>IF($F1096="","",IFERROR(INDEX(rngEPseq,MATCH($F1096,rngEPcode,0)),""))</f>
        <v/>
      </c>
      <c r="J1096" s="15">
        <f>IF($F1096="","",IFERROR(INDEX(rngEPpass,MATCH($F1096,rngEPcode,0)),cfgPassingScore))</f>
        <v/>
      </c>
      <c r="K1096" s="14" t="n"/>
      <c r="L1096" s="14" t="n"/>
      <c r="M1096" s="15">
        <f>IF($C1096="","",IF($L1096="","",IF($K1096=1,IF(COUNTIFS(nrES_PID,$D1096,nrES_Code,$F1096,nrES_Att,2)&gt;0,"",$L1096),IF(COUNTIFS(nrES_PID,$D1096,nrES_Code,$F1096,nrES_Att,1)=0,$L1096,IF($L1096&gt;=$J1096,cfgRetakeRecordedCap,SUMIFS(nrES_Raw,nrES_PID,$D1096,nrES_Code,$F1096,nrES_Att,1))))))</f>
        <v/>
      </c>
      <c r="N1096" s="15">
        <f>IF($C1096="","",IF($L1096="","",IF($L1096&gt;=$J1096,"Yes","No")))</f>
        <v/>
      </c>
      <c r="O1096" s="15">
        <f>IF($C1096="","",IF($M1096="","",IF($M1096&gt;=$J1096,"Yes","No")))</f>
        <v/>
      </c>
      <c r="P1096" s="15">
        <f>IF($C1096="","",IF($K1096="","",IF(COUNTIFS(nrES_PID,$D1096,nrES_Code,$F1096,nrES_Att,"&gt;"&amp;$K1096)=0,"Yes","No")))</f>
        <v/>
      </c>
      <c r="Q1096" s="15">
        <f>IF($C1096="","",IF($L1096="","",IF(AND($K1096=1,$L1096&lt;$J1096,COUNTIFS(nrES_PID,$D1096,nrES_Code,$F1096,nrES_Att,2)=0),"Yes","No")))</f>
        <v/>
      </c>
      <c r="R1096" s="15">
        <f>IF($C1096="","",IF($L1096="","",IF(AND($K1096=2,$L1096&lt;$J1096,COUNTIFS(nrES_PID,$D1096,nrES_Code,$F1096,nrES_Att,1)&gt;0),"Yes","No")))</f>
        <v/>
      </c>
      <c r="S1096" s="16" t="n"/>
      <c r="T1096" s="17">
        <f>IF($Q1096&lt;&gt;"Yes","",IF($S1096="","(enter date)",_xlfn.LET(_xlpm.dn,IFERROR(_xlfn.XLOOKUP($S1096,nrCDdate,nrCDnum),""),IF(_xlpm.dn="","(not a class day)",IFERROR(_xlfn.XLOOKUP(_xlpm.dn+cfgRetestClassDays,nrCDnum,nrCDdate),"")))))</f>
        <v/>
      </c>
      <c r="U1096" s="15">
        <f>IF($Q1096&lt;&gt;"Yes","",IF(COUNTIFS(nrES_PID,$D1096,nrES_Code,$F1096,nrES_Att,2)&gt;0,"Retested",IF(OR($T1096="",NOT(ISNUMBER($T1096))),"Pending",IF(TODAY()&gt;$T1096,"OVERDUE","Due "&amp;TEXT($T1096,"mm/dd")))))</f>
        <v/>
      </c>
      <c r="V1096" s="14" t="n"/>
      <c r="W1096" s="14" t="n"/>
    </row>
    <row r="1097">
      <c r="B1097" s="15">
        <f>IF($C1097="","",$D1097&amp;"-"&amp;$F1097&amp;"-"&amp;$K1097)</f>
        <v/>
      </c>
      <c r="C1097" s="14" t="n"/>
      <c r="D1097" s="15">
        <f>IF($C1097="","",IFERROR(INDEX(rngCadetPIDs,MATCH($C1097,rngCadetNames,0)),"?"))</f>
        <v/>
      </c>
      <c r="E1097" s="15">
        <f>IF($D1097="","",IFERROR(INDEX(nrCadetAgency,MATCH($D1097,rngCadetPIDs,0)),""))</f>
        <v/>
      </c>
      <c r="F1097" s="14" t="n"/>
      <c r="G1097" s="15">
        <f>IF($F1097="","",IFERROR(INDEX(rngEPname,MATCH($F1097,rngEPcode,0)),"?"))</f>
        <v/>
      </c>
      <c r="H1097" s="15">
        <f>IF($F1097="","",IFERROR(INDEX(rngEPtype,MATCH($F1097,rngEPcode,0)),"?"))</f>
        <v/>
      </c>
      <c r="I1097" s="15">
        <f>IF($F1097="","",IFERROR(INDEX(rngEPseq,MATCH($F1097,rngEPcode,0)),""))</f>
        <v/>
      </c>
      <c r="J1097" s="15">
        <f>IF($F1097="","",IFERROR(INDEX(rngEPpass,MATCH($F1097,rngEPcode,0)),cfgPassingScore))</f>
        <v/>
      </c>
      <c r="K1097" s="14" t="n"/>
      <c r="L1097" s="14" t="n"/>
      <c r="M1097" s="15">
        <f>IF($C1097="","",IF($L1097="","",IF($K1097=1,IF(COUNTIFS(nrES_PID,$D1097,nrES_Code,$F1097,nrES_Att,2)&gt;0,"",$L1097),IF(COUNTIFS(nrES_PID,$D1097,nrES_Code,$F1097,nrES_Att,1)=0,$L1097,IF($L1097&gt;=$J1097,cfgRetakeRecordedCap,SUMIFS(nrES_Raw,nrES_PID,$D1097,nrES_Code,$F1097,nrES_Att,1))))))</f>
        <v/>
      </c>
      <c r="N1097" s="15">
        <f>IF($C1097="","",IF($L1097="","",IF($L1097&gt;=$J1097,"Yes","No")))</f>
        <v/>
      </c>
      <c r="O1097" s="15">
        <f>IF($C1097="","",IF($M1097="","",IF($M1097&gt;=$J1097,"Yes","No")))</f>
        <v/>
      </c>
      <c r="P1097" s="15">
        <f>IF($C1097="","",IF($K1097="","",IF(COUNTIFS(nrES_PID,$D1097,nrES_Code,$F1097,nrES_Att,"&gt;"&amp;$K1097)=0,"Yes","No")))</f>
        <v/>
      </c>
      <c r="Q1097" s="15">
        <f>IF($C1097="","",IF($L1097="","",IF(AND($K1097=1,$L1097&lt;$J1097,COUNTIFS(nrES_PID,$D1097,nrES_Code,$F1097,nrES_Att,2)=0),"Yes","No")))</f>
        <v/>
      </c>
      <c r="R1097" s="15">
        <f>IF($C1097="","",IF($L1097="","",IF(AND($K1097=2,$L1097&lt;$J1097,COUNTIFS(nrES_PID,$D1097,nrES_Code,$F1097,nrES_Att,1)&gt;0),"Yes","No")))</f>
        <v/>
      </c>
      <c r="S1097" s="16" t="n"/>
      <c r="T1097" s="17">
        <f>IF($Q1097&lt;&gt;"Yes","",IF($S1097="","(enter date)",_xlfn.LET(_xlpm.dn,IFERROR(_xlfn.XLOOKUP($S1097,nrCDdate,nrCDnum),""),IF(_xlpm.dn="","(not a class day)",IFERROR(_xlfn.XLOOKUP(_xlpm.dn+cfgRetestClassDays,nrCDnum,nrCDdate),"")))))</f>
        <v/>
      </c>
      <c r="U1097" s="15">
        <f>IF($Q1097&lt;&gt;"Yes","",IF(COUNTIFS(nrES_PID,$D1097,nrES_Code,$F1097,nrES_Att,2)&gt;0,"Retested",IF(OR($T1097="",NOT(ISNUMBER($T1097))),"Pending",IF(TODAY()&gt;$T1097,"OVERDUE","Due "&amp;TEXT($T1097,"mm/dd")))))</f>
        <v/>
      </c>
      <c r="V1097" s="14" t="n"/>
      <c r="W1097" s="14" t="n"/>
    </row>
    <row r="1098">
      <c r="B1098" s="15">
        <f>IF($C1098="","",$D1098&amp;"-"&amp;$F1098&amp;"-"&amp;$K1098)</f>
        <v/>
      </c>
      <c r="C1098" s="14" t="n"/>
      <c r="D1098" s="15">
        <f>IF($C1098="","",IFERROR(INDEX(rngCadetPIDs,MATCH($C1098,rngCadetNames,0)),"?"))</f>
        <v/>
      </c>
      <c r="E1098" s="15">
        <f>IF($D1098="","",IFERROR(INDEX(nrCadetAgency,MATCH($D1098,rngCadetPIDs,0)),""))</f>
        <v/>
      </c>
      <c r="F1098" s="14" t="n"/>
      <c r="G1098" s="15">
        <f>IF($F1098="","",IFERROR(INDEX(rngEPname,MATCH($F1098,rngEPcode,0)),"?"))</f>
        <v/>
      </c>
      <c r="H1098" s="15">
        <f>IF($F1098="","",IFERROR(INDEX(rngEPtype,MATCH($F1098,rngEPcode,0)),"?"))</f>
        <v/>
      </c>
      <c r="I1098" s="15">
        <f>IF($F1098="","",IFERROR(INDEX(rngEPseq,MATCH($F1098,rngEPcode,0)),""))</f>
        <v/>
      </c>
      <c r="J1098" s="15">
        <f>IF($F1098="","",IFERROR(INDEX(rngEPpass,MATCH($F1098,rngEPcode,0)),cfgPassingScore))</f>
        <v/>
      </c>
      <c r="K1098" s="14" t="n"/>
      <c r="L1098" s="14" t="n"/>
      <c r="M1098" s="15">
        <f>IF($C1098="","",IF($L1098="","",IF($K1098=1,IF(COUNTIFS(nrES_PID,$D1098,nrES_Code,$F1098,nrES_Att,2)&gt;0,"",$L1098),IF(COUNTIFS(nrES_PID,$D1098,nrES_Code,$F1098,nrES_Att,1)=0,$L1098,IF($L1098&gt;=$J1098,cfgRetakeRecordedCap,SUMIFS(nrES_Raw,nrES_PID,$D1098,nrES_Code,$F1098,nrES_Att,1))))))</f>
        <v/>
      </c>
      <c r="N1098" s="15">
        <f>IF($C1098="","",IF($L1098="","",IF($L1098&gt;=$J1098,"Yes","No")))</f>
        <v/>
      </c>
      <c r="O1098" s="15">
        <f>IF($C1098="","",IF($M1098="","",IF($M1098&gt;=$J1098,"Yes","No")))</f>
        <v/>
      </c>
      <c r="P1098" s="15">
        <f>IF($C1098="","",IF($K1098="","",IF(COUNTIFS(nrES_PID,$D1098,nrES_Code,$F1098,nrES_Att,"&gt;"&amp;$K1098)=0,"Yes","No")))</f>
        <v/>
      </c>
      <c r="Q1098" s="15">
        <f>IF($C1098="","",IF($L1098="","",IF(AND($K1098=1,$L1098&lt;$J1098,COUNTIFS(nrES_PID,$D1098,nrES_Code,$F1098,nrES_Att,2)=0),"Yes","No")))</f>
        <v/>
      </c>
      <c r="R1098" s="15">
        <f>IF($C1098="","",IF($L1098="","",IF(AND($K1098=2,$L1098&lt;$J1098,COUNTIFS(nrES_PID,$D1098,nrES_Code,$F1098,nrES_Att,1)&gt;0),"Yes","No")))</f>
        <v/>
      </c>
      <c r="S1098" s="16" t="n"/>
      <c r="T1098" s="17">
        <f>IF($Q1098&lt;&gt;"Yes","",IF($S1098="","(enter date)",_xlfn.LET(_xlpm.dn,IFERROR(_xlfn.XLOOKUP($S1098,nrCDdate,nrCDnum),""),IF(_xlpm.dn="","(not a class day)",IFERROR(_xlfn.XLOOKUP(_xlpm.dn+cfgRetestClassDays,nrCDnum,nrCDdate),"")))))</f>
        <v/>
      </c>
      <c r="U1098" s="15">
        <f>IF($Q1098&lt;&gt;"Yes","",IF(COUNTIFS(nrES_PID,$D1098,nrES_Code,$F1098,nrES_Att,2)&gt;0,"Retested",IF(OR($T1098="",NOT(ISNUMBER($T1098))),"Pending",IF(TODAY()&gt;$T1098,"OVERDUE","Due "&amp;TEXT($T1098,"mm/dd")))))</f>
        <v/>
      </c>
      <c r="V1098" s="14" t="n"/>
      <c r="W1098" s="14" t="n"/>
    </row>
    <row r="1099">
      <c r="B1099" s="15">
        <f>IF($C1099="","",$D1099&amp;"-"&amp;$F1099&amp;"-"&amp;$K1099)</f>
        <v/>
      </c>
      <c r="C1099" s="14" t="n"/>
      <c r="D1099" s="15">
        <f>IF($C1099="","",IFERROR(INDEX(rngCadetPIDs,MATCH($C1099,rngCadetNames,0)),"?"))</f>
        <v/>
      </c>
      <c r="E1099" s="15">
        <f>IF($D1099="","",IFERROR(INDEX(nrCadetAgency,MATCH($D1099,rngCadetPIDs,0)),""))</f>
        <v/>
      </c>
      <c r="F1099" s="14" t="n"/>
      <c r="G1099" s="15">
        <f>IF($F1099="","",IFERROR(INDEX(rngEPname,MATCH($F1099,rngEPcode,0)),"?"))</f>
        <v/>
      </c>
      <c r="H1099" s="15">
        <f>IF($F1099="","",IFERROR(INDEX(rngEPtype,MATCH($F1099,rngEPcode,0)),"?"))</f>
        <v/>
      </c>
      <c r="I1099" s="15">
        <f>IF($F1099="","",IFERROR(INDEX(rngEPseq,MATCH($F1099,rngEPcode,0)),""))</f>
        <v/>
      </c>
      <c r="J1099" s="15">
        <f>IF($F1099="","",IFERROR(INDEX(rngEPpass,MATCH($F1099,rngEPcode,0)),cfgPassingScore))</f>
        <v/>
      </c>
      <c r="K1099" s="14" t="n"/>
      <c r="L1099" s="14" t="n"/>
      <c r="M1099" s="15">
        <f>IF($C1099="","",IF($L1099="","",IF($K1099=1,IF(COUNTIFS(nrES_PID,$D1099,nrES_Code,$F1099,nrES_Att,2)&gt;0,"",$L1099),IF(COUNTIFS(nrES_PID,$D1099,nrES_Code,$F1099,nrES_Att,1)=0,$L1099,IF($L1099&gt;=$J1099,cfgRetakeRecordedCap,SUMIFS(nrES_Raw,nrES_PID,$D1099,nrES_Code,$F1099,nrES_Att,1))))))</f>
        <v/>
      </c>
      <c r="N1099" s="15">
        <f>IF($C1099="","",IF($L1099="","",IF($L1099&gt;=$J1099,"Yes","No")))</f>
        <v/>
      </c>
      <c r="O1099" s="15">
        <f>IF($C1099="","",IF($M1099="","",IF($M1099&gt;=$J1099,"Yes","No")))</f>
        <v/>
      </c>
      <c r="P1099" s="15">
        <f>IF($C1099="","",IF($K1099="","",IF(COUNTIFS(nrES_PID,$D1099,nrES_Code,$F1099,nrES_Att,"&gt;"&amp;$K1099)=0,"Yes","No")))</f>
        <v/>
      </c>
      <c r="Q1099" s="15">
        <f>IF($C1099="","",IF($L1099="","",IF(AND($K1099=1,$L1099&lt;$J1099,COUNTIFS(nrES_PID,$D1099,nrES_Code,$F1099,nrES_Att,2)=0),"Yes","No")))</f>
        <v/>
      </c>
      <c r="R1099" s="15">
        <f>IF($C1099="","",IF($L1099="","",IF(AND($K1099=2,$L1099&lt;$J1099,COUNTIFS(nrES_PID,$D1099,nrES_Code,$F1099,nrES_Att,1)&gt;0),"Yes","No")))</f>
        <v/>
      </c>
      <c r="S1099" s="16" t="n"/>
      <c r="T1099" s="17">
        <f>IF($Q1099&lt;&gt;"Yes","",IF($S1099="","(enter date)",_xlfn.LET(_xlpm.dn,IFERROR(_xlfn.XLOOKUP($S1099,nrCDdate,nrCDnum),""),IF(_xlpm.dn="","(not a class day)",IFERROR(_xlfn.XLOOKUP(_xlpm.dn+cfgRetestClassDays,nrCDnum,nrCDdate),"")))))</f>
        <v/>
      </c>
      <c r="U1099" s="15">
        <f>IF($Q1099&lt;&gt;"Yes","",IF(COUNTIFS(nrES_PID,$D1099,nrES_Code,$F1099,nrES_Att,2)&gt;0,"Retested",IF(OR($T1099="",NOT(ISNUMBER($T1099))),"Pending",IF(TODAY()&gt;$T1099,"OVERDUE","Due "&amp;TEXT($T1099,"mm/dd")))))</f>
        <v/>
      </c>
      <c r="V1099" s="14" t="n"/>
      <c r="W1099" s="14" t="n"/>
    </row>
    <row r="1100">
      <c r="B1100" s="15">
        <f>IF($C1100="","",$D1100&amp;"-"&amp;$F1100&amp;"-"&amp;$K1100)</f>
        <v/>
      </c>
      <c r="C1100" s="14" t="n"/>
      <c r="D1100" s="15">
        <f>IF($C1100="","",IFERROR(INDEX(rngCadetPIDs,MATCH($C1100,rngCadetNames,0)),"?"))</f>
        <v/>
      </c>
      <c r="E1100" s="15">
        <f>IF($D1100="","",IFERROR(INDEX(nrCadetAgency,MATCH($D1100,rngCadetPIDs,0)),""))</f>
        <v/>
      </c>
      <c r="F1100" s="14" t="n"/>
      <c r="G1100" s="15">
        <f>IF($F1100="","",IFERROR(INDEX(rngEPname,MATCH($F1100,rngEPcode,0)),"?"))</f>
        <v/>
      </c>
      <c r="H1100" s="15">
        <f>IF($F1100="","",IFERROR(INDEX(rngEPtype,MATCH($F1100,rngEPcode,0)),"?"))</f>
        <v/>
      </c>
      <c r="I1100" s="15">
        <f>IF($F1100="","",IFERROR(INDEX(rngEPseq,MATCH($F1100,rngEPcode,0)),""))</f>
        <v/>
      </c>
      <c r="J1100" s="15">
        <f>IF($F1100="","",IFERROR(INDEX(rngEPpass,MATCH($F1100,rngEPcode,0)),cfgPassingScore))</f>
        <v/>
      </c>
      <c r="K1100" s="14" t="n"/>
      <c r="L1100" s="14" t="n"/>
      <c r="M1100" s="15">
        <f>IF($C1100="","",IF($L1100="","",IF($K1100=1,IF(COUNTIFS(nrES_PID,$D1100,nrES_Code,$F1100,nrES_Att,2)&gt;0,"",$L1100),IF(COUNTIFS(nrES_PID,$D1100,nrES_Code,$F1100,nrES_Att,1)=0,$L1100,IF($L1100&gt;=$J1100,cfgRetakeRecordedCap,SUMIFS(nrES_Raw,nrES_PID,$D1100,nrES_Code,$F1100,nrES_Att,1))))))</f>
        <v/>
      </c>
      <c r="N1100" s="15">
        <f>IF($C1100="","",IF($L1100="","",IF($L1100&gt;=$J1100,"Yes","No")))</f>
        <v/>
      </c>
      <c r="O1100" s="15">
        <f>IF($C1100="","",IF($M1100="","",IF($M1100&gt;=$J1100,"Yes","No")))</f>
        <v/>
      </c>
      <c r="P1100" s="15">
        <f>IF($C1100="","",IF($K1100="","",IF(COUNTIFS(nrES_PID,$D1100,nrES_Code,$F1100,nrES_Att,"&gt;"&amp;$K1100)=0,"Yes","No")))</f>
        <v/>
      </c>
      <c r="Q1100" s="15">
        <f>IF($C1100="","",IF($L1100="","",IF(AND($K1100=1,$L1100&lt;$J1100,COUNTIFS(nrES_PID,$D1100,nrES_Code,$F1100,nrES_Att,2)=0),"Yes","No")))</f>
        <v/>
      </c>
      <c r="R1100" s="15">
        <f>IF($C1100="","",IF($L1100="","",IF(AND($K1100=2,$L1100&lt;$J1100,COUNTIFS(nrES_PID,$D1100,nrES_Code,$F1100,nrES_Att,1)&gt;0),"Yes","No")))</f>
        <v/>
      </c>
      <c r="S1100" s="16" t="n"/>
      <c r="T1100" s="17">
        <f>IF($Q1100&lt;&gt;"Yes","",IF($S1100="","(enter date)",_xlfn.LET(_xlpm.dn,IFERROR(_xlfn.XLOOKUP($S1100,nrCDdate,nrCDnum),""),IF(_xlpm.dn="","(not a class day)",IFERROR(_xlfn.XLOOKUP(_xlpm.dn+cfgRetestClassDays,nrCDnum,nrCDdate),"")))))</f>
        <v/>
      </c>
      <c r="U1100" s="15">
        <f>IF($Q1100&lt;&gt;"Yes","",IF(COUNTIFS(nrES_PID,$D1100,nrES_Code,$F1100,nrES_Att,2)&gt;0,"Retested",IF(OR($T1100="",NOT(ISNUMBER($T1100))),"Pending",IF(TODAY()&gt;$T1100,"OVERDUE","Due "&amp;TEXT($T1100,"mm/dd")))))</f>
        <v/>
      </c>
      <c r="V1100" s="14" t="n"/>
      <c r="W1100" s="14" t="n"/>
    </row>
    <row r="1101">
      <c r="B1101" s="15">
        <f>IF($C1101="","",$D1101&amp;"-"&amp;$F1101&amp;"-"&amp;$K1101)</f>
        <v/>
      </c>
      <c r="C1101" s="14" t="n"/>
      <c r="D1101" s="15">
        <f>IF($C1101="","",IFERROR(INDEX(rngCadetPIDs,MATCH($C1101,rngCadetNames,0)),"?"))</f>
        <v/>
      </c>
      <c r="E1101" s="15">
        <f>IF($D1101="","",IFERROR(INDEX(nrCadetAgency,MATCH($D1101,rngCadetPIDs,0)),""))</f>
        <v/>
      </c>
      <c r="F1101" s="14" t="n"/>
      <c r="G1101" s="15">
        <f>IF($F1101="","",IFERROR(INDEX(rngEPname,MATCH($F1101,rngEPcode,0)),"?"))</f>
        <v/>
      </c>
      <c r="H1101" s="15">
        <f>IF($F1101="","",IFERROR(INDEX(rngEPtype,MATCH($F1101,rngEPcode,0)),"?"))</f>
        <v/>
      </c>
      <c r="I1101" s="15">
        <f>IF($F1101="","",IFERROR(INDEX(rngEPseq,MATCH($F1101,rngEPcode,0)),""))</f>
        <v/>
      </c>
      <c r="J1101" s="15">
        <f>IF($F1101="","",IFERROR(INDEX(rngEPpass,MATCH($F1101,rngEPcode,0)),cfgPassingScore))</f>
        <v/>
      </c>
      <c r="K1101" s="14" t="n"/>
      <c r="L1101" s="14" t="n"/>
      <c r="M1101" s="15">
        <f>IF($C1101="","",IF($L1101="","",IF($K1101=1,IF(COUNTIFS(nrES_PID,$D1101,nrES_Code,$F1101,nrES_Att,2)&gt;0,"",$L1101),IF(COUNTIFS(nrES_PID,$D1101,nrES_Code,$F1101,nrES_Att,1)=0,$L1101,IF($L1101&gt;=$J1101,cfgRetakeRecordedCap,SUMIFS(nrES_Raw,nrES_PID,$D1101,nrES_Code,$F1101,nrES_Att,1))))))</f>
        <v/>
      </c>
      <c r="N1101" s="15">
        <f>IF($C1101="","",IF($L1101="","",IF($L1101&gt;=$J1101,"Yes","No")))</f>
        <v/>
      </c>
      <c r="O1101" s="15">
        <f>IF($C1101="","",IF($M1101="","",IF($M1101&gt;=$J1101,"Yes","No")))</f>
        <v/>
      </c>
      <c r="P1101" s="15">
        <f>IF($C1101="","",IF($K1101="","",IF(COUNTIFS(nrES_PID,$D1101,nrES_Code,$F1101,nrES_Att,"&gt;"&amp;$K1101)=0,"Yes","No")))</f>
        <v/>
      </c>
      <c r="Q1101" s="15">
        <f>IF($C1101="","",IF($L1101="","",IF(AND($K1101=1,$L1101&lt;$J1101,COUNTIFS(nrES_PID,$D1101,nrES_Code,$F1101,nrES_Att,2)=0),"Yes","No")))</f>
        <v/>
      </c>
      <c r="R1101" s="15">
        <f>IF($C1101="","",IF($L1101="","",IF(AND($K1101=2,$L1101&lt;$J1101,COUNTIFS(nrES_PID,$D1101,nrES_Code,$F1101,nrES_Att,1)&gt;0),"Yes","No")))</f>
        <v/>
      </c>
      <c r="S1101" s="16" t="n"/>
      <c r="T1101" s="17">
        <f>IF($Q1101&lt;&gt;"Yes","",IF($S1101="","(enter date)",_xlfn.LET(_xlpm.dn,IFERROR(_xlfn.XLOOKUP($S1101,nrCDdate,nrCDnum),""),IF(_xlpm.dn="","(not a class day)",IFERROR(_xlfn.XLOOKUP(_xlpm.dn+cfgRetestClassDays,nrCDnum,nrCDdate),"")))))</f>
        <v/>
      </c>
      <c r="U1101" s="15">
        <f>IF($Q1101&lt;&gt;"Yes","",IF(COUNTIFS(nrES_PID,$D1101,nrES_Code,$F1101,nrES_Att,2)&gt;0,"Retested",IF(OR($T1101="",NOT(ISNUMBER($T1101))),"Pending",IF(TODAY()&gt;$T1101,"OVERDUE","Due "&amp;TEXT($T1101,"mm/dd")))))</f>
        <v/>
      </c>
      <c r="V1101" s="14" t="n"/>
      <c r="W1101" s="14" t="n"/>
    </row>
    <row r="1102">
      <c r="B1102" s="15">
        <f>IF($C1102="","",$D1102&amp;"-"&amp;$F1102&amp;"-"&amp;$K1102)</f>
        <v/>
      </c>
      <c r="C1102" s="14" t="n"/>
      <c r="D1102" s="15">
        <f>IF($C1102="","",IFERROR(INDEX(rngCadetPIDs,MATCH($C1102,rngCadetNames,0)),"?"))</f>
        <v/>
      </c>
      <c r="E1102" s="15">
        <f>IF($D1102="","",IFERROR(INDEX(nrCadetAgency,MATCH($D1102,rngCadetPIDs,0)),""))</f>
        <v/>
      </c>
      <c r="F1102" s="14" t="n"/>
      <c r="G1102" s="15">
        <f>IF($F1102="","",IFERROR(INDEX(rngEPname,MATCH($F1102,rngEPcode,0)),"?"))</f>
        <v/>
      </c>
      <c r="H1102" s="15">
        <f>IF($F1102="","",IFERROR(INDEX(rngEPtype,MATCH($F1102,rngEPcode,0)),"?"))</f>
        <v/>
      </c>
      <c r="I1102" s="15">
        <f>IF($F1102="","",IFERROR(INDEX(rngEPseq,MATCH($F1102,rngEPcode,0)),""))</f>
        <v/>
      </c>
      <c r="J1102" s="15">
        <f>IF($F1102="","",IFERROR(INDEX(rngEPpass,MATCH($F1102,rngEPcode,0)),cfgPassingScore))</f>
        <v/>
      </c>
      <c r="K1102" s="14" t="n"/>
      <c r="L1102" s="14" t="n"/>
      <c r="M1102" s="15">
        <f>IF($C1102="","",IF($L1102="","",IF($K1102=1,IF(COUNTIFS(nrES_PID,$D1102,nrES_Code,$F1102,nrES_Att,2)&gt;0,"",$L1102),IF(COUNTIFS(nrES_PID,$D1102,nrES_Code,$F1102,nrES_Att,1)=0,$L1102,IF($L1102&gt;=$J1102,cfgRetakeRecordedCap,SUMIFS(nrES_Raw,nrES_PID,$D1102,nrES_Code,$F1102,nrES_Att,1))))))</f>
        <v/>
      </c>
      <c r="N1102" s="15">
        <f>IF($C1102="","",IF($L1102="","",IF($L1102&gt;=$J1102,"Yes","No")))</f>
        <v/>
      </c>
      <c r="O1102" s="15">
        <f>IF($C1102="","",IF($M1102="","",IF($M1102&gt;=$J1102,"Yes","No")))</f>
        <v/>
      </c>
      <c r="P1102" s="15">
        <f>IF($C1102="","",IF($K1102="","",IF(COUNTIFS(nrES_PID,$D1102,nrES_Code,$F1102,nrES_Att,"&gt;"&amp;$K1102)=0,"Yes","No")))</f>
        <v/>
      </c>
      <c r="Q1102" s="15">
        <f>IF($C1102="","",IF($L1102="","",IF(AND($K1102=1,$L1102&lt;$J1102,COUNTIFS(nrES_PID,$D1102,nrES_Code,$F1102,nrES_Att,2)=0),"Yes","No")))</f>
        <v/>
      </c>
      <c r="R1102" s="15">
        <f>IF($C1102="","",IF($L1102="","",IF(AND($K1102=2,$L1102&lt;$J1102,COUNTIFS(nrES_PID,$D1102,nrES_Code,$F1102,nrES_Att,1)&gt;0),"Yes","No")))</f>
        <v/>
      </c>
      <c r="S1102" s="16" t="n"/>
      <c r="T1102" s="17">
        <f>IF($Q1102&lt;&gt;"Yes","",IF($S1102="","(enter date)",_xlfn.LET(_xlpm.dn,IFERROR(_xlfn.XLOOKUP($S1102,nrCDdate,nrCDnum),""),IF(_xlpm.dn="","(not a class day)",IFERROR(_xlfn.XLOOKUP(_xlpm.dn+cfgRetestClassDays,nrCDnum,nrCDdate),"")))))</f>
        <v/>
      </c>
      <c r="U1102" s="15">
        <f>IF($Q1102&lt;&gt;"Yes","",IF(COUNTIFS(nrES_PID,$D1102,nrES_Code,$F1102,nrES_Att,2)&gt;0,"Retested",IF(OR($T1102="",NOT(ISNUMBER($T1102))),"Pending",IF(TODAY()&gt;$T1102,"OVERDUE","Due "&amp;TEXT($T1102,"mm/dd")))))</f>
        <v/>
      </c>
      <c r="V1102" s="14" t="n"/>
      <c r="W1102" s="14" t="n"/>
    </row>
    <row r="1103">
      <c r="B1103" s="15">
        <f>IF($C1103="","",$D1103&amp;"-"&amp;$F1103&amp;"-"&amp;$K1103)</f>
        <v/>
      </c>
      <c r="C1103" s="14" t="n"/>
      <c r="D1103" s="15">
        <f>IF($C1103="","",IFERROR(INDEX(rngCadetPIDs,MATCH($C1103,rngCadetNames,0)),"?"))</f>
        <v/>
      </c>
      <c r="E1103" s="15">
        <f>IF($D1103="","",IFERROR(INDEX(nrCadetAgency,MATCH($D1103,rngCadetPIDs,0)),""))</f>
        <v/>
      </c>
      <c r="F1103" s="14" t="n"/>
      <c r="G1103" s="15">
        <f>IF($F1103="","",IFERROR(INDEX(rngEPname,MATCH($F1103,rngEPcode,0)),"?"))</f>
        <v/>
      </c>
      <c r="H1103" s="15">
        <f>IF($F1103="","",IFERROR(INDEX(rngEPtype,MATCH($F1103,rngEPcode,0)),"?"))</f>
        <v/>
      </c>
      <c r="I1103" s="15">
        <f>IF($F1103="","",IFERROR(INDEX(rngEPseq,MATCH($F1103,rngEPcode,0)),""))</f>
        <v/>
      </c>
      <c r="J1103" s="15">
        <f>IF($F1103="","",IFERROR(INDEX(rngEPpass,MATCH($F1103,rngEPcode,0)),cfgPassingScore))</f>
        <v/>
      </c>
      <c r="K1103" s="14" t="n"/>
      <c r="L1103" s="14" t="n"/>
      <c r="M1103" s="15">
        <f>IF($C1103="","",IF($L1103="","",IF($K1103=1,IF(COUNTIFS(nrES_PID,$D1103,nrES_Code,$F1103,nrES_Att,2)&gt;0,"",$L1103),IF(COUNTIFS(nrES_PID,$D1103,nrES_Code,$F1103,nrES_Att,1)=0,$L1103,IF($L1103&gt;=$J1103,cfgRetakeRecordedCap,SUMIFS(nrES_Raw,nrES_PID,$D1103,nrES_Code,$F1103,nrES_Att,1))))))</f>
        <v/>
      </c>
      <c r="N1103" s="15">
        <f>IF($C1103="","",IF($L1103="","",IF($L1103&gt;=$J1103,"Yes","No")))</f>
        <v/>
      </c>
      <c r="O1103" s="15">
        <f>IF($C1103="","",IF($M1103="","",IF($M1103&gt;=$J1103,"Yes","No")))</f>
        <v/>
      </c>
      <c r="P1103" s="15">
        <f>IF($C1103="","",IF($K1103="","",IF(COUNTIFS(nrES_PID,$D1103,nrES_Code,$F1103,nrES_Att,"&gt;"&amp;$K1103)=0,"Yes","No")))</f>
        <v/>
      </c>
      <c r="Q1103" s="15">
        <f>IF($C1103="","",IF($L1103="","",IF(AND($K1103=1,$L1103&lt;$J1103,COUNTIFS(nrES_PID,$D1103,nrES_Code,$F1103,nrES_Att,2)=0),"Yes","No")))</f>
        <v/>
      </c>
      <c r="R1103" s="15">
        <f>IF($C1103="","",IF($L1103="","",IF(AND($K1103=2,$L1103&lt;$J1103,COUNTIFS(nrES_PID,$D1103,nrES_Code,$F1103,nrES_Att,1)&gt;0),"Yes","No")))</f>
        <v/>
      </c>
      <c r="S1103" s="16" t="n"/>
      <c r="T1103" s="17">
        <f>IF($Q1103&lt;&gt;"Yes","",IF($S1103="","(enter date)",_xlfn.LET(_xlpm.dn,IFERROR(_xlfn.XLOOKUP($S1103,nrCDdate,nrCDnum),""),IF(_xlpm.dn="","(not a class day)",IFERROR(_xlfn.XLOOKUP(_xlpm.dn+cfgRetestClassDays,nrCDnum,nrCDdate),"")))))</f>
        <v/>
      </c>
      <c r="U1103" s="15">
        <f>IF($Q1103&lt;&gt;"Yes","",IF(COUNTIFS(nrES_PID,$D1103,nrES_Code,$F1103,nrES_Att,2)&gt;0,"Retested",IF(OR($T1103="",NOT(ISNUMBER($T1103))),"Pending",IF(TODAY()&gt;$T1103,"OVERDUE","Due "&amp;TEXT($T1103,"mm/dd")))))</f>
        <v/>
      </c>
      <c r="V1103" s="14" t="n"/>
      <c r="W1103" s="14" t="n"/>
    </row>
    <row r="1104">
      <c r="B1104" s="15">
        <f>IF($C1104="","",$D1104&amp;"-"&amp;$F1104&amp;"-"&amp;$K1104)</f>
        <v/>
      </c>
      <c r="C1104" s="14" t="n"/>
      <c r="D1104" s="15">
        <f>IF($C1104="","",IFERROR(INDEX(rngCadetPIDs,MATCH($C1104,rngCadetNames,0)),"?"))</f>
        <v/>
      </c>
      <c r="E1104" s="15">
        <f>IF($D1104="","",IFERROR(INDEX(nrCadetAgency,MATCH($D1104,rngCadetPIDs,0)),""))</f>
        <v/>
      </c>
      <c r="F1104" s="14" t="n"/>
      <c r="G1104" s="15">
        <f>IF($F1104="","",IFERROR(INDEX(rngEPname,MATCH($F1104,rngEPcode,0)),"?"))</f>
        <v/>
      </c>
      <c r="H1104" s="15">
        <f>IF($F1104="","",IFERROR(INDEX(rngEPtype,MATCH($F1104,rngEPcode,0)),"?"))</f>
        <v/>
      </c>
      <c r="I1104" s="15">
        <f>IF($F1104="","",IFERROR(INDEX(rngEPseq,MATCH($F1104,rngEPcode,0)),""))</f>
        <v/>
      </c>
      <c r="J1104" s="15">
        <f>IF($F1104="","",IFERROR(INDEX(rngEPpass,MATCH($F1104,rngEPcode,0)),cfgPassingScore))</f>
        <v/>
      </c>
      <c r="K1104" s="14" t="n"/>
      <c r="L1104" s="14" t="n"/>
      <c r="M1104" s="15">
        <f>IF($C1104="","",IF($L1104="","",IF($K1104=1,IF(COUNTIFS(nrES_PID,$D1104,nrES_Code,$F1104,nrES_Att,2)&gt;0,"",$L1104),IF(COUNTIFS(nrES_PID,$D1104,nrES_Code,$F1104,nrES_Att,1)=0,$L1104,IF($L1104&gt;=$J1104,cfgRetakeRecordedCap,SUMIFS(nrES_Raw,nrES_PID,$D1104,nrES_Code,$F1104,nrES_Att,1))))))</f>
        <v/>
      </c>
      <c r="N1104" s="15">
        <f>IF($C1104="","",IF($L1104="","",IF($L1104&gt;=$J1104,"Yes","No")))</f>
        <v/>
      </c>
      <c r="O1104" s="15">
        <f>IF($C1104="","",IF($M1104="","",IF($M1104&gt;=$J1104,"Yes","No")))</f>
        <v/>
      </c>
      <c r="P1104" s="15">
        <f>IF($C1104="","",IF($K1104="","",IF(COUNTIFS(nrES_PID,$D1104,nrES_Code,$F1104,nrES_Att,"&gt;"&amp;$K1104)=0,"Yes","No")))</f>
        <v/>
      </c>
      <c r="Q1104" s="15">
        <f>IF($C1104="","",IF($L1104="","",IF(AND($K1104=1,$L1104&lt;$J1104,COUNTIFS(nrES_PID,$D1104,nrES_Code,$F1104,nrES_Att,2)=0),"Yes","No")))</f>
        <v/>
      </c>
      <c r="R1104" s="15">
        <f>IF($C1104="","",IF($L1104="","",IF(AND($K1104=2,$L1104&lt;$J1104,COUNTIFS(nrES_PID,$D1104,nrES_Code,$F1104,nrES_Att,1)&gt;0),"Yes","No")))</f>
        <v/>
      </c>
      <c r="S1104" s="16" t="n"/>
      <c r="T1104" s="17">
        <f>IF($Q1104&lt;&gt;"Yes","",IF($S1104="","(enter date)",_xlfn.LET(_xlpm.dn,IFERROR(_xlfn.XLOOKUP($S1104,nrCDdate,nrCDnum),""),IF(_xlpm.dn="","(not a class day)",IFERROR(_xlfn.XLOOKUP(_xlpm.dn+cfgRetestClassDays,nrCDnum,nrCDdate),"")))))</f>
        <v/>
      </c>
      <c r="U1104" s="15">
        <f>IF($Q1104&lt;&gt;"Yes","",IF(COUNTIFS(nrES_PID,$D1104,nrES_Code,$F1104,nrES_Att,2)&gt;0,"Retested",IF(OR($T1104="",NOT(ISNUMBER($T1104))),"Pending",IF(TODAY()&gt;$T1104,"OVERDUE","Due "&amp;TEXT($T1104,"mm/dd")))))</f>
        <v/>
      </c>
      <c r="V1104" s="14" t="n"/>
      <c r="W1104" s="14" t="n"/>
    </row>
    <row r="1105">
      <c r="B1105" s="15">
        <f>IF($C1105="","",$D1105&amp;"-"&amp;$F1105&amp;"-"&amp;$K1105)</f>
        <v/>
      </c>
      <c r="C1105" s="14" t="n"/>
      <c r="D1105" s="15">
        <f>IF($C1105="","",IFERROR(INDEX(rngCadetPIDs,MATCH($C1105,rngCadetNames,0)),"?"))</f>
        <v/>
      </c>
      <c r="E1105" s="15">
        <f>IF($D1105="","",IFERROR(INDEX(nrCadetAgency,MATCH($D1105,rngCadetPIDs,0)),""))</f>
        <v/>
      </c>
      <c r="F1105" s="14" t="n"/>
      <c r="G1105" s="15">
        <f>IF($F1105="","",IFERROR(INDEX(rngEPname,MATCH($F1105,rngEPcode,0)),"?"))</f>
        <v/>
      </c>
      <c r="H1105" s="15">
        <f>IF($F1105="","",IFERROR(INDEX(rngEPtype,MATCH($F1105,rngEPcode,0)),"?"))</f>
        <v/>
      </c>
      <c r="I1105" s="15">
        <f>IF($F1105="","",IFERROR(INDEX(rngEPseq,MATCH($F1105,rngEPcode,0)),""))</f>
        <v/>
      </c>
      <c r="J1105" s="15">
        <f>IF($F1105="","",IFERROR(INDEX(rngEPpass,MATCH($F1105,rngEPcode,0)),cfgPassingScore))</f>
        <v/>
      </c>
      <c r="K1105" s="14" t="n"/>
      <c r="L1105" s="14" t="n"/>
      <c r="M1105" s="15">
        <f>IF($C1105="","",IF($L1105="","",IF($K1105=1,IF(COUNTIFS(nrES_PID,$D1105,nrES_Code,$F1105,nrES_Att,2)&gt;0,"",$L1105),IF(COUNTIFS(nrES_PID,$D1105,nrES_Code,$F1105,nrES_Att,1)=0,$L1105,IF($L1105&gt;=$J1105,cfgRetakeRecordedCap,SUMIFS(nrES_Raw,nrES_PID,$D1105,nrES_Code,$F1105,nrES_Att,1))))))</f>
        <v/>
      </c>
      <c r="N1105" s="15">
        <f>IF($C1105="","",IF($L1105="","",IF($L1105&gt;=$J1105,"Yes","No")))</f>
        <v/>
      </c>
      <c r="O1105" s="15">
        <f>IF($C1105="","",IF($M1105="","",IF($M1105&gt;=$J1105,"Yes","No")))</f>
        <v/>
      </c>
      <c r="P1105" s="15">
        <f>IF($C1105="","",IF($K1105="","",IF(COUNTIFS(nrES_PID,$D1105,nrES_Code,$F1105,nrES_Att,"&gt;"&amp;$K1105)=0,"Yes","No")))</f>
        <v/>
      </c>
      <c r="Q1105" s="15">
        <f>IF($C1105="","",IF($L1105="","",IF(AND($K1105=1,$L1105&lt;$J1105,COUNTIFS(nrES_PID,$D1105,nrES_Code,$F1105,nrES_Att,2)=0),"Yes","No")))</f>
        <v/>
      </c>
      <c r="R1105" s="15">
        <f>IF($C1105="","",IF($L1105="","",IF(AND($K1105=2,$L1105&lt;$J1105,COUNTIFS(nrES_PID,$D1105,nrES_Code,$F1105,nrES_Att,1)&gt;0),"Yes","No")))</f>
        <v/>
      </c>
      <c r="S1105" s="16" t="n"/>
      <c r="T1105" s="17">
        <f>IF($Q1105&lt;&gt;"Yes","",IF($S1105="","(enter date)",_xlfn.LET(_xlpm.dn,IFERROR(_xlfn.XLOOKUP($S1105,nrCDdate,nrCDnum),""),IF(_xlpm.dn="","(not a class day)",IFERROR(_xlfn.XLOOKUP(_xlpm.dn+cfgRetestClassDays,nrCDnum,nrCDdate),"")))))</f>
        <v/>
      </c>
      <c r="U1105" s="15">
        <f>IF($Q1105&lt;&gt;"Yes","",IF(COUNTIFS(nrES_PID,$D1105,nrES_Code,$F1105,nrES_Att,2)&gt;0,"Retested",IF(OR($T1105="",NOT(ISNUMBER($T1105))),"Pending",IF(TODAY()&gt;$T1105,"OVERDUE","Due "&amp;TEXT($T1105,"mm/dd")))))</f>
        <v/>
      </c>
      <c r="V1105" s="14" t="n"/>
      <c r="W1105" s="14" t="n"/>
    </row>
    <row r="1106">
      <c r="B1106" s="15">
        <f>IF($C1106="","",$D1106&amp;"-"&amp;$F1106&amp;"-"&amp;$K1106)</f>
        <v/>
      </c>
      <c r="C1106" s="14" t="n"/>
      <c r="D1106" s="15">
        <f>IF($C1106="","",IFERROR(INDEX(rngCadetPIDs,MATCH($C1106,rngCadetNames,0)),"?"))</f>
        <v/>
      </c>
      <c r="E1106" s="15">
        <f>IF($D1106="","",IFERROR(INDEX(nrCadetAgency,MATCH($D1106,rngCadetPIDs,0)),""))</f>
        <v/>
      </c>
      <c r="F1106" s="14" t="n"/>
      <c r="G1106" s="15">
        <f>IF($F1106="","",IFERROR(INDEX(rngEPname,MATCH($F1106,rngEPcode,0)),"?"))</f>
        <v/>
      </c>
      <c r="H1106" s="15">
        <f>IF($F1106="","",IFERROR(INDEX(rngEPtype,MATCH($F1106,rngEPcode,0)),"?"))</f>
        <v/>
      </c>
      <c r="I1106" s="15">
        <f>IF($F1106="","",IFERROR(INDEX(rngEPseq,MATCH($F1106,rngEPcode,0)),""))</f>
        <v/>
      </c>
      <c r="J1106" s="15">
        <f>IF($F1106="","",IFERROR(INDEX(rngEPpass,MATCH($F1106,rngEPcode,0)),cfgPassingScore))</f>
        <v/>
      </c>
      <c r="K1106" s="14" t="n"/>
      <c r="L1106" s="14" t="n"/>
      <c r="M1106" s="15">
        <f>IF($C1106="","",IF($L1106="","",IF($K1106=1,IF(COUNTIFS(nrES_PID,$D1106,nrES_Code,$F1106,nrES_Att,2)&gt;0,"",$L1106),IF(COUNTIFS(nrES_PID,$D1106,nrES_Code,$F1106,nrES_Att,1)=0,$L1106,IF($L1106&gt;=$J1106,cfgRetakeRecordedCap,SUMIFS(nrES_Raw,nrES_PID,$D1106,nrES_Code,$F1106,nrES_Att,1))))))</f>
        <v/>
      </c>
      <c r="N1106" s="15">
        <f>IF($C1106="","",IF($L1106="","",IF($L1106&gt;=$J1106,"Yes","No")))</f>
        <v/>
      </c>
      <c r="O1106" s="15">
        <f>IF($C1106="","",IF($M1106="","",IF($M1106&gt;=$J1106,"Yes","No")))</f>
        <v/>
      </c>
      <c r="P1106" s="15">
        <f>IF($C1106="","",IF($K1106="","",IF(COUNTIFS(nrES_PID,$D1106,nrES_Code,$F1106,nrES_Att,"&gt;"&amp;$K1106)=0,"Yes","No")))</f>
        <v/>
      </c>
      <c r="Q1106" s="15">
        <f>IF($C1106="","",IF($L1106="","",IF(AND($K1106=1,$L1106&lt;$J1106,COUNTIFS(nrES_PID,$D1106,nrES_Code,$F1106,nrES_Att,2)=0),"Yes","No")))</f>
        <v/>
      </c>
      <c r="R1106" s="15">
        <f>IF($C1106="","",IF($L1106="","",IF(AND($K1106=2,$L1106&lt;$J1106,COUNTIFS(nrES_PID,$D1106,nrES_Code,$F1106,nrES_Att,1)&gt;0),"Yes","No")))</f>
        <v/>
      </c>
      <c r="S1106" s="16" t="n"/>
      <c r="T1106" s="17">
        <f>IF($Q1106&lt;&gt;"Yes","",IF($S1106="","(enter date)",_xlfn.LET(_xlpm.dn,IFERROR(_xlfn.XLOOKUP($S1106,nrCDdate,nrCDnum),""),IF(_xlpm.dn="","(not a class day)",IFERROR(_xlfn.XLOOKUP(_xlpm.dn+cfgRetestClassDays,nrCDnum,nrCDdate),"")))))</f>
        <v/>
      </c>
      <c r="U1106" s="15">
        <f>IF($Q1106&lt;&gt;"Yes","",IF(COUNTIFS(nrES_PID,$D1106,nrES_Code,$F1106,nrES_Att,2)&gt;0,"Retested",IF(OR($T1106="",NOT(ISNUMBER($T1106))),"Pending",IF(TODAY()&gt;$T1106,"OVERDUE","Due "&amp;TEXT($T1106,"mm/dd")))))</f>
        <v/>
      </c>
      <c r="V1106" s="14" t="n"/>
      <c r="W1106" s="14" t="n"/>
    </row>
    <row r="1107">
      <c r="B1107" s="15">
        <f>IF($C1107="","",$D1107&amp;"-"&amp;$F1107&amp;"-"&amp;$K1107)</f>
        <v/>
      </c>
      <c r="C1107" s="14" t="n"/>
      <c r="D1107" s="15">
        <f>IF($C1107="","",IFERROR(INDEX(rngCadetPIDs,MATCH($C1107,rngCadetNames,0)),"?"))</f>
        <v/>
      </c>
      <c r="E1107" s="15">
        <f>IF($D1107="","",IFERROR(INDEX(nrCadetAgency,MATCH($D1107,rngCadetPIDs,0)),""))</f>
        <v/>
      </c>
      <c r="F1107" s="14" t="n"/>
      <c r="G1107" s="15">
        <f>IF($F1107="","",IFERROR(INDEX(rngEPname,MATCH($F1107,rngEPcode,0)),"?"))</f>
        <v/>
      </c>
      <c r="H1107" s="15">
        <f>IF($F1107="","",IFERROR(INDEX(rngEPtype,MATCH($F1107,rngEPcode,0)),"?"))</f>
        <v/>
      </c>
      <c r="I1107" s="15">
        <f>IF($F1107="","",IFERROR(INDEX(rngEPseq,MATCH($F1107,rngEPcode,0)),""))</f>
        <v/>
      </c>
      <c r="J1107" s="15">
        <f>IF($F1107="","",IFERROR(INDEX(rngEPpass,MATCH($F1107,rngEPcode,0)),cfgPassingScore))</f>
        <v/>
      </c>
      <c r="K1107" s="14" t="n"/>
      <c r="L1107" s="14" t="n"/>
      <c r="M1107" s="15">
        <f>IF($C1107="","",IF($L1107="","",IF($K1107=1,IF(COUNTIFS(nrES_PID,$D1107,nrES_Code,$F1107,nrES_Att,2)&gt;0,"",$L1107),IF(COUNTIFS(nrES_PID,$D1107,nrES_Code,$F1107,nrES_Att,1)=0,$L1107,IF($L1107&gt;=$J1107,cfgRetakeRecordedCap,SUMIFS(nrES_Raw,nrES_PID,$D1107,nrES_Code,$F1107,nrES_Att,1))))))</f>
        <v/>
      </c>
      <c r="N1107" s="15">
        <f>IF($C1107="","",IF($L1107="","",IF($L1107&gt;=$J1107,"Yes","No")))</f>
        <v/>
      </c>
      <c r="O1107" s="15">
        <f>IF($C1107="","",IF($M1107="","",IF($M1107&gt;=$J1107,"Yes","No")))</f>
        <v/>
      </c>
      <c r="P1107" s="15">
        <f>IF($C1107="","",IF($K1107="","",IF(COUNTIFS(nrES_PID,$D1107,nrES_Code,$F1107,nrES_Att,"&gt;"&amp;$K1107)=0,"Yes","No")))</f>
        <v/>
      </c>
      <c r="Q1107" s="15">
        <f>IF($C1107="","",IF($L1107="","",IF(AND($K1107=1,$L1107&lt;$J1107,COUNTIFS(nrES_PID,$D1107,nrES_Code,$F1107,nrES_Att,2)=0),"Yes","No")))</f>
        <v/>
      </c>
      <c r="R1107" s="15">
        <f>IF($C1107="","",IF($L1107="","",IF(AND($K1107=2,$L1107&lt;$J1107,COUNTIFS(nrES_PID,$D1107,nrES_Code,$F1107,nrES_Att,1)&gt;0),"Yes","No")))</f>
        <v/>
      </c>
      <c r="S1107" s="16" t="n"/>
      <c r="T1107" s="17">
        <f>IF($Q1107&lt;&gt;"Yes","",IF($S1107="","(enter date)",_xlfn.LET(_xlpm.dn,IFERROR(_xlfn.XLOOKUP($S1107,nrCDdate,nrCDnum),""),IF(_xlpm.dn="","(not a class day)",IFERROR(_xlfn.XLOOKUP(_xlpm.dn+cfgRetestClassDays,nrCDnum,nrCDdate),"")))))</f>
        <v/>
      </c>
      <c r="U1107" s="15">
        <f>IF($Q1107&lt;&gt;"Yes","",IF(COUNTIFS(nrES_PID,$D1107,nrES_Code,$F1107,nrES_Att,2)&gt;0,"Retested",IF(OR($T1107="",NOT(ISNUMBER($T1107))),"Pending",IF(TODAY()&gt;$T1107,"OVERDUE","Due "&amp;TEXT($T1107,"mm/dd")))))</f>
        <v/>
      </c>
      <c r="V1107" s="14" t="n"/>
      <c r="W1107" s="14" t="n"/>
    </row>
    <row r="1108">
      <c r="B1108" s="15">
        <f>IF($C1108="","",$D1108&amp;"-"&amp;$F1108&amp;"-"&amp;$K1108)</f>
        <v/>
      </c>
      <c r="C1108" s="14" t="n"/>
      <c r="D1108" s="15">
        <f>IF($C1108="","",IFERROR(INDEX(rngCadetPIDs,MATCH($C1108,rngCadetNames,0)),"?"))</f>
        <v/>
      </c>
      <c r="E1108" s="15">
        <f>IF($D1108="","",IFERROR(INDEX(nrCadetAgency,MATCH($D1108,rngCadetPIDs,0)),""))</f>
        <v/>
      </c>
      <c r="F1108" s="14" t="n"/>
      <c r="G1108" s="15">
        <f>IF($F1108="","",IFERROR(INDEX(rngEPname,MATCH($F1108,rngEPcode,0)),"?"))</f>
        <v/>
      </c>
      <c r="H1108" s="15">
        <f>IF($F1108="","",IFERROR(INDEX(rngEPtype,MATCH($F1108,rngEPcode,0)),"?"))</f>
        <v/>
      </c>
      <c r="I1108" s="15">
        <f>IF($F1108="","",IFERROR(INDEX(rngEPseq,MATCH($F1108,rngEPcode,0)),""))</f>
        <v/>
      </c>
      <c r="J1108" s="15">
        <f>IF($F1108="","",IFERROR(INDEX(rngEPpass,MATCH($F1108,rngEPcode,0)),cfgPassingScore))</f>
        <v/>
      </c>
      <c r="K1108" s="14" t="n"/>
      <c r="L1108" s="14" t="n"/>
      <c r="M1108" s="15">
        <f>IF($C1108="","",IF($L1108="","",IF($K1108=1,IF(COUNTIFS(nrES_PID,$D1108,nrES_Code,$F1108,nrES_Att,2)&gt;0,"",$L1108),IF(COUNTIFS(nrES_PID,$D1108,nrES_Code,$F1108,nrES_Att,1)=0,$L1108,IF($L1108&gt;=$J1108,cfgRetakeRecordedCap,SUMIFS(nrES_Raw,nrES_PID,$D1108,nrES_Code,$F1108,nrES_Att,1))))))</f>
        <v/>
      </c>
      <c r="N1108" s="15">
        <f>IF($C1108="","",IF($L1108="","",IF($L1108&gt;=$J1108,"Yes","No")))</f>
        <v/>
      </c>
      <c r="O1108" s="15">
        <f>IF($C1108="","",IF($M1108="","",IF($M1108&gt;=$J1108,"Yes","No")))</f>
        <v/>
      </c>
      <c r="P1108" s="15">
        <f>IF($C1108="","",IF($K1108="","",IF(COUNTIFS(nrES_PID,$D1108,nrES_Code,$F1108,nrES_Att,"&gt;"&amp;$K1108)=0,"Yes","No")))</f>
        <v/>
      </c>
      <c r="Q1108" s="15">
        <f>IF($C1108="","",IF($L1108="","",IF(AND($K1108=1,$L1108&lt;$J1108,COUNTIFS(nrES_PID,$D1108,nrES_Code,$F1108,nrES_Att,2)=0),"Yes","No")))</f>
        <v/>
      </c>
      <c r="R1108" s="15">
        <f>IF($C1108="","",IF($L1108="","",IF(AND($K1108=2,$L1108&lt;$J1108,COUNTIFS(nrES_PID,$D1108,nrES_Code,$F1108,nrES_Att,1)&gt;0),"Yes","No")))</f>
        <v/>
      </c>
      <c r="S1108" s="16" t="n"/>
      <c r="T1108" s="17">
        <f>IF($Q1108&lt;&gt;"Yes","",IF($S1108="","(enter date)",_xlfn.LET(_xlpm.dn,IFERROR(_xlfn.XLOOKUP($S1108,nrCDdate,nrCDnum),""),IF(_xlpm.dn="","(not a class day)",IFERROR(_xlfn.XLOOKUP(_xlpm.dn+cfgRetestClassDays,nrCDnum,nrCDdate),"")))))</f>
        <v/>
      </c>
      <c r="U1108" s="15">
        <f>IF($Q1108&lt;&gt;"Yes","",IF(COUNTIFS(nrES_PID,$D1108,nrES_Code,$F1108,nrES_Att,2)&gt;0,"Retested",IF(OR($T1108="",NOT(ISNUMBER($T1108))),"Pending",IF(TODAY()&gt;$T1108,"OVERDUE","Due "&amp;TEXT($T1108,"mm/dd")))))</f>
        <v/>
      </c>
      <c r="V1108" s="14" t="n"/>
      <c r="W1108" s="14" t="n"/>
    </row>
    <row r="1109">
      <c r="B1109" s="15">
        <f>IF($C1109="","",$D1109&amp;"-"&amp;$F1109&amp;"-"&amp;$K1109)</f>
        <v/>
      </c>
      <c r="C1109" s="14" t="n"/>
      <c r="D1109" s="15">
        <f>IF($C1109="","",IFERROR(INDEX(rngCadetPIDs,MATCH($C1109,rngCadetNames,0)),"?"))</f>
        <v/>
      </c>
      <c r="E1109" s="15">
        <f>IF($D1109="","",IFERROR(INDEX(nrCadetAgency,MATCH($D1109,rngCadetPIDs,0)),""))</f>
        <v/>
      </c>
      <c r="F1109" s="14" t="n"/>
      <c r="G1109" s="15">
        <f>IF($F1109="","",IFERROR(INDEX(rngEPname,MATCH($F1109,rngEPcode,0)),"?"))</f>
        <v/>
      </c>
      <c r="H1109" s="15">
        <f>IF($F1109="","",IFERROR(INDEX(rngEPtype,MATCH($F1109,rngEPcode,0)),"?"))</f>
        <v/>
      </c>
      <c r="I1109" s="15">
        <f>IF($F1109="","",IFERROR(INDEX(rngEPseq,MATCH($F1109,rngEPcode,0)),""))</f>
        <v/>
      </c>
      <c r="J1109" s="15">
        <f>IF($F1109="","",IFERROR(INDEX(rngEPpass,MATCH($F1109,rngEPcode,0)),cfgPassingScore))</f>
        <v/>
      </c>
      <c r="K1109" s="14" t="n"/>
      <c r="L1109" s="14" t="n"/>
      <c r="M1109" s="15">
        <f>IF($C1109="","",IF($L1109="","",IF($K1109=1,IF(COUNTIFS(nrES_PID,$D1109,nrES_Code,$F1109,nrES_Att,2)&gt;0,"",$L1109),IF(COUNTIFS(nrES_PID,$D1109,nrES_Code,$F1109,nrES_Att,1)=0,$L1109,IF($L1109&gt;=$J1109,cfgRetakeRecordedCap,SUMIFS(nrES_Raw,nrES_PID,$D1109,nrES_Code,$F1109,nrES_Att,1))))))</f>
        <v/>
      </c>
      <c r="N1109" s="15">
        <f>IF($C1109="","",IF($L1109="","",IF($L1109&gt;=$J1109,"Yes","No")))</f>
        <v/>
      </c>
      <c r="O1109" s="15">
        <f>IF($C1109="","",IF($M1109="","",IF($M1109&gt;=$J1109,"Yes","No")))</f>
        <v/>
      </c>
      <c r="P1109" s="15">
        <f>IF($C1109="","",IF($K1109="","",IF(COUNTIFS(nrES_PID,$D1109,nrES_Code,$F1109,nrES_Att,"&gt;"&amp;$K1109)=0,"Yes","No")))</f>
        <v/>
      </c>
      <c r="Q1109" s="15">
        <f>IF($C1109="","",IF($L1109="","",IF(AND($K1109=1,$L1109&lt;$J1109,COUNTIFS(nrES_PID,$D1109,nrES_Code,$F1109,nrES_Att,2)=0),"Yes","No")))</f>
        <v/>
      </c>
      <c r="R1109" s="15">
        <f>IF($C1109="","",IF($L1109="","",IF(AND($K1109=2,$L1109&lt;$J1109,COUNTIFS(nrES_PID,$D1109,nrES_Code,$F1109,nrES_Att,1)&gt;0),"Yes","No")))</f>
        <v/>
      </c>
      <c r="S1109" s="16" t="n"/>
      <c r="T1109" s="17">
        <f>IF($Q1109&lt;&gt;"Yes","",IF($S1109="","(enter date)",_xlfn.LET(_xlpm.dn,IFERROR(_xlfn.XLOOKUP($S1109,nrCDdate,nrCDnum),""),IF(_xlpm.dn="","(not a class day)",IFERROR(_xlfn.XLOOKUP(_xlpm.dn+cfgRetestClassDays,nrCDnum,nrCDdate),"")))))</f>
        <v/>
      </c>
      <c r="U1109" s="15">
        <f>IF($Q1109&lt;&gt;"Yes","",IF(COUNTIFS(nrES_PID,$D1109,nrES_Code,$F1109,nrES_Att,2)&gt;0,"Retested",IF(OR($T1109="",NOT(ISNUMBER($T1109))),"Pending",IF(TODAY()&gt;$T1109,"OVERDUE","Due "&amp;TEXT($T1109,"mm/dd")))))</f>
        <v/>
      </c>
      <c r="V1109" s="14" t="n"/>
      <c r="W1109" s="14" t="n"/>
    </row>
    <row r="1110">
      <c r="B1110" s="15">
        <f>IF($C1110="","",$D1110&amp;"-"&amp;$F1110&amp;"-"&amp;$K1110)</f>
        <v/>
      </c>
      <c r="C1110" s="14" t="n"/>
      <c r="D1110" s="15">
        <f>IF($C1110="","",IFERROR(INDEX(rngCadetPIDs,MATCH($C1110,rngCadetNames,0)),"?"))</f>
        <v/>
      </c>
      <c r="E1110" s="15">
        <f>IF($D1110="","",IFERROR(INDEX(nrCadetAgency,MATCH($D1110,rngCadetPIDs,0)),""))</f>
        <v/>
      </c>
      <c r="F1110" s="14" t="n"/>
      <c r="G1110" s="15">
        <f>IF($F1110="","",IFERROR(INDEX(rngEPname,MATCH($F1110,rngEPcode,0)),"?"))</f>
        <v/>
      </c>
      <c r="H1110" s="15">
        <f>IF($F1110="","",IFERROR(INDEX(rngEPtype,MATCH($F1110,rngEPcode,0)),"?"))</f>
        <v/>
      </c>
      <c r="I1110" s="15">
        <f>IF($F1110="","",IFERROR(INDEX(rngEPseq,MATCH($F1110,rngEPcode,0)),""))</f>
        <v/>
      </c>
      <c r="J1110" s="15">
        <f>IF($F1110="","",IFERROR(INDEX(rngEPpass,MATCH($F1110,rngEPcode,0)),cfgPassingScore))</f>
        <v/>
      </c>
      <c r="K1110" s="14" t="n"/>
      <c r="L1110" s="14" t="n"/>
      <c r="M1110" s="15">
        <f>IF($C1110="","",IF($L1110="","",IF($K1110=1,IF(COUNTIFS(nrES_PID,$D1110,nrES_Code,$F1110,nrES_Att,2)&gt;0,"",$L1110),IF(COUNTIFS(nrES_PID,$D1110,nrES_Code,$F1110,nrES_Att,1)=0,$L1110,IF($L1110&gt;=$J1110,cfgRetakeRecordedCap,SUMIFS(nrES_Raw,nrES_PID,$D1110,nrES_Code,$F1110,nrES_Att,1))))))</f>
        <v/>
      </c>
      <c r="N1110" s="15">
        <f>IF($C1110="","",IF($L1110="","",IF($L1110&gt;=$J1110,"Yes","No")))</f>
        <v/>
      </c>
      <c r="O1110" s="15">
        <f>IF($C1110="","",IF($M1110="","",IF($M1110&gt;=$J1110,"Yes","No")))</f>
        <v/>
      </c>
      <c r="P1110" s="15">
        <f>IF($C1110="","",IF($K1110="","",IF(COUNTIFS(nrES_PID,$D1110,nrES_Code,$F1110,nrES_Att,"&gt;"&amp;$K1110)=0,"Yes","No")))</f>
        <v/>
      </c>
      <c r="Q1110" s="15">
        <f>IF($C1110="","",IF($L1110="","",IF(AND($K1110=1,$L1110&lt;$J1110,COUNTIFS(nrES_PID,$D1110,nrES_Code,$F1110,nrES_Att,2)=0),"Yes","No")))</f>
        <v/>
      </c>
      <c r="R1110" s="15">
        <f>IF($C1110="","",IF($L1110="","",IF(AND($K1110=2,$L1110&lt;$J1110,COUNTIFS(nrES_PID,$D1110,nrES_Code,$F1110,nrES_Att,1)&gt;0),"Yes","No")))</f>
        <v/>
      </c>
      <c r="S1110" s="16" t="n"/>
      <c r="T1110" s="17">
        <f>IF($Q1110&lt;&gt;"Yes","",IF($S1110="","(enter date)",_xlfn.LET(_xlpm.dn,IFERROR(_xlfn.XLOOKUP($S1110,nrCDdate,nrCDnum),""),IF(_xlpm.dn="","(not a class day)",IFERROR(_xlfn.XLOOKUP(_xlpm.dn+cfgRetestClassDays,nrCDnum,nrCDdate),"")))))</f>
        <v/>
      </c>
      <c r="U1110" s="15">
        <f>IF($Q1110&lt;&gt;"Yes","",IF(COUNTIFS(nrES_PID,$D1110,nrES_Code,$F1110,nrES_Att,2)&gt;0,"Retested",IF(OR($T1110="",NOT(ISNUMBER($T1110))),"Pending",IF(TODAY()&gt;$T1110,"OVERDUE","Due "&amp;TEXT($T1110,"mm/dd")))))</f>
        <v/>
      </c>
      <c r="V1110" s="14" t="n"/>
      <c r="W1110" s="14" t="n"/>
    </row>
    <row r="1111">
      <c r="B1111" s="15">
        <f>IF($C1111="","",$D1111&amp;"-"&amp;$F1111&amp;"-"&amp;$K1111)</f>
        <v/>
      </c>
      <c r="C1111" s="14" t="n"/>
      <c r="D1111" s="15">
        <f>IF($C1111="","",IFERROR(INDEX(rngCadetPIDs,MATCH($C1111,rngCadetNames,0)),"?"))</f>
        <v/>
      </c>
      <c r="E1111" s="15">
        <f>IF($D1111="","",IFERROR(INDEX(nrCadetAgency,MATCH($D1111,rngCadetPIDs,0)),""))</f>
        <v/>
      </c>
      <c r="F1111" s="14" t="n"/>
      <c r="G1111" s="15">
        <f>IF($F1111="","",IFERROR(INDEX(rngEPname,MATCH($F1111,rngEPcode,0)),"?"))</f>
        <v/>
      </c>
      <c r="H1111" s="15">
        <f>IF($F1111="","",IFERROR(INDEX(rngEPtype,MATCH($F1111,rngEPcode,0)),"?"))</f>
        <v/>
      </c>
      <c r="I1111" s="15">
        <f>IF($F1111="","",IFERROR(INDEX(rngEPseq,MATCH($F1111,rngEPcode,0)),""))</f>
        <v/>
      </c>
      <c r="J1111" s="15">
        <f>IF($F1111="","",IFERROR(INDEX(rngEPpass,MATCH($F1111,rngEPcode,0)),cfgPassingScore))</f>
        <v/>
      </c>
      <c r="K1111" s="14" t="n"/>
      <c r="L1111" s="14" t="n"/>
      <c r="M1111" s="15">
        <f>IF($C1111="","",IF($L1111="","",IF($K1111=1,IF(COUNTIFS(nrES_PID,$D1111,nrES_Code,$F1111,nrES_Att,2)&gt;0,"",$L1111),IF(COUNTIFS(nrES_PID,$D1111,nrES_Code,$F1111,nrES_Att,1)=0,$L1111,IF($L1111&gt;=$J1111,cfgRetakeRecordedCap,SUMIFS(nrES_Raw,nrES_PID,$D1111,nrES_Code,$F1111,nrES_Att,1))))))</f>
        <v/>
      </c>
      <c r="N1111" s="15">
        <f>IF($C1111="","",IF($L1111="","",IF($L1111&gt;=$J1111,"Yes","No")))</f>
        <v/>
      </c>
      <c r="O1111" s="15">
        <f>IF($C1111="","",IF($M1111="","",IF($M1111&gt;=$J1111,"Yes","No")))</f>
        <v/>
      </c>
      <c r="P1111" s="15">
        <f>IF($C1111="","",IF($K1111="","",IF(COUNTIFS(nrES_PID,$D1111,nrES_Code,$F1111,nrES_Att,"&gt;"&amp;$K1111)=0,"Yes","No")))</f>
        <v/>
      </c>
      <c r="Q1111" s="15">
        <f>IF($C1111="","",IF($L1111="","",IF(AND($K1111=1,$L1111&lt;$J1111,COUNTIFS(nrES_PID,$D1111,nrES_Code,$F1111,nrES_Att,2)=0),"Yes","No")))</f>
        <v/>
      </c>
      <c r="R1111" s="15">
        <f>IF($C1111="","",IF($L1111="","",IF(AND($K1111=2,$L1111&lt;$J1111,COUNTIFS(nrES_PID,$D1111,nrES_Code,$F1111,nrES_Att,1)&gt;0),"Yes","No")))</f>
        <v/>
      </c>
      <c r="S1111" s="16" t="n"/>
      <c r="T1111" s="17">
        <f>IF($Q1111&lt;&gt;"Yes","",IF($S1111="","(enter date)",_xlfn.LET(_xlpm.dn,IFERROR(_xlfn.XLOOKUP($S1111,nrCDdate,nrCDnum),""),IF(_xlpm.dn="","(not a class day)",IFERROR(_xlfn.XLOOKUP(_xlpm.dn+cfgRetestClassDays,nrCDnum,nrCDdate),"")))))</f>
        <v/>
      </c>
      <c r="U1111" s="15">
        <f>IF($Q1111&lt;&gt;"Yes","",IF(COUNTIFS(nrES_PID,$D1111,nrES_Code,$F1111,nrES_Att,2)&gt;0,"Retested",IF(OR($T1111="",NOT(ISNUMBER($T1111))),"Pending",IF(TODAY()&gt;$T1111,"OVERDUE","Due "&amp;TEXT($T1111,"mm/dd")))))</f>
        <v/>
      </c>
      <c r="V1111" s="14" t="n"/>
      <c r="W1111" s="14" t="n"/>
    </row>
    <row r="1112">
      <c r="B1112" s="15">
        <f>IF($C1112="","",$D1112&amp;"-"&amp;$F1112&amp;"-"&amp;$K1112)</f>
        <v/>
      </c>
      <c r="C1112" s="14" t="n"/>
      <c r="D1112" s="15">
        <f>IF($C1112="","",IFERROR(INDEX(rngCadetPIDs,MATCH($C1112,rngCadetNames,0)),"?"))</f>
        <v/>
      </c>
      <c r="E1112" s="15">
        <f>IF($D1112="","",IFERROR(INDEX(nrCadetAgency,MATCH($D1112,rngCadetPIDs,0)),""))</f>
        <v/>
      </c>
      <c r="F1112" s="14" t="n"/>
      <c r="G1112" s="15">
        <f>IF($F1112="","",IFERROR(INDEX(rngEPname,MATCH($F1112,rngEPcode,0)),"?"))</f>
        <v/>
      </c>
      <c r="H1112" s="15">
        <f>IF($F1112="","",IFERROR(INDEX(rngEPtype,MATCH($F1112,rngEPcode,0)),"?"))</f>
        <v/>
      </c>
      <c r="I1112" s="15">
        <f>IF($F1112="","",IFERROR(INDEX(rngEPseq,MATCH($F1112,rngEPcode,0)),""))</f>
        <v/>
      </c>
      <c r="J1112" s="15">
        <f>IF($F1112="","",IFERROR(INDEX(rngEPpass,MATCH($F1112,rngEPcode,0)),cfgPassingScore))</f>
        <v/>
      </c>
      <c r="K1112" s="14" t="n"/>
      <c r="L1112" s="14" t="n"/>
      <c r="M1112" s="15">
        <f>IF($C1112="","",IF($L1112="","",IF($K1112=1,IF(COUNTIFS(nrES_PID,$D1112,nrES_Code,$F1112,nrES_Att,2)&gt;0,"",$L1112),IF(COUNTIFS(nrES_PID,$D1112,nrES_Code,$F1112,nrES_Att,1)=0,$L1112,IF($L1112&gt;=$J1112,cfgRetakeRecordedCap,SUMIFS(nrES_Raw,nrES_PID,$D1112,nrES_Code,$F1112,nrES_Att,1))))))</f>
        <v/>
      </c>
      <c r="N1112" s="15">
        <f>IF($C1112="","",IF($L1112="","",IF($L1112&gt;=$J1112,"Yes","No")))</f>
        <v/>
      </c>
      <c r="O1112" s="15">
        <f>IF($C1112="","",IF($M1112="","",IF($M1112&gt;=$J1112,"Yes","No")))</f>
        <v/>
      </c>
      <c r="P1112" s="15">
        <f>IF($C1112="","",IF($K1112="","",IF(COUNTIFS(nrES_PID,$D1112,nrES_Code,$F1112,nrES_Att,"&gt;"&amp;$K1112)=0,"Yes","No")))</f>
        <v/>
      </c>
      <c r="Q1112" s="15">
        <f>IF($C1112="","",IF($L1112="","",IF(AND($K1112=1,$L1112&lt;$J1112,COUNTIFS(nrES_PID,$D1112,nrES_Code,$F1112,nrES_Att,2)=0),"Yes","No")))</f>
        <v/>
      </c>
      <c r="R1112" s="15">
        <f>IF($C1112="","",IF($L1112="","",IF(AND($K1112=2,$L1112&lt;$J1112,COUNTIFS(nrES_PID,$D1112,nrES_Code,$F1112,nrES_Att,1)&gt;0),"Yes","No")))</f>
        <v/>
      </c>
      <c r="S1112" s="16" t="n"/>
      <c r="T1112" s="17">
        <f>IF($Q1112&lt;&gt;"Yes","",IF($S1112="","(enter date)",_xlfn.LET(_xlpm.dn,IFERROR(_xlfn.XLOOKUP($S1112,nrCDdate,nrCDnum),""),IF(_xlpm.dn="","(not a class day)",IFERROR(_xlfn.XLOOKUP(_xlpm.dn+cfgRetestClassDays,nrCDnum,nrCDdate),"")))))</f>
        <v/>
      </c>
      <c r="U1112" s="15">
        <f>IF($Q1112&lt;&gt;"Yes","",IF(COUNTIFS(nrES_PID,$D1112,nrES_Code,$F1112,nrES_Att,2)&gt;0,"Retested",IF(OR($T1112="",NOT(ISNUMBER($T1112))),"Pending",IF(TODAY()&gt;$T1112,"OVERDUE","Due "&amp;TEXT($T1112,"mm/dd")))))</f>
        <v/>
      </c>
      <c r="V1112" s="14" t="n"/>
      <c r="W1112" s="14" t="n"/>
    </row>
    <row r="1113">
      <c r="B1113" s="15">
        <f>IF($C1113="","",$D1113&amp;"-"&amp;$F1113&amp;"-"&amp;$K1113)</f>
        <v/>
      </c>
      <c r="C1113" s="14" t="n"/>
      <c r="D1113" s="15">
        <f>IF($C1113="","",IFERROR(INDEX(rngCadetPIDs,MATCH($C1113,rngCadetNames,0)),"?"))</f>
        <v/>
      </c>
      <c r="E1113" s="15">
        <f>IF($D1113="","",IFERROR(INDEX(nrCadetAgency,MATCH($D1113,rngCadetPIDs,0)),""))</f>
        <v/>
      </c>
      <c r="F1113" s="14" t="n"/>
      <c r="G1113" s="15">
        <f>IF($F1113="","",IFERROR(INDEX(rngEPname,MATCH($F1113,rngEPcode,0)),"?"))</f>
        <v/>
      </c>
      <c r="H1113" s="15">
        <f>IF($F1113="","",IFERROR(INDEX(rngEPtype,MATCH($F1113,rngEPcode,0)),"?"))</f>
        <v/>
      </c>
      <c r="I1113" s="15">
        <f>IF($F1113="","",IFERROR(INDEX(rngEPseq,MATCH($F1113,rngEPcode,0)),""))</f>
        <v/>
      </c>
      <c r="J1113" s="15">
        <f>IF($F1113="","",IFERROR(INDEX(rngEPpass,MATCH($F1113,rngEPcode,0)),cfgPassingScore))</f>
        <v/>
      </c>
      <c r="K1113" s="14" t="n"/>
      <c r="L1113" s="14" t="n"/>
      <c r="M1113" s="15">
        <f>IF($C1113="","",IF($L1113="","",IF($K1113=1,IF(COUNTIFS(nrES_PID,$D1113,nrES_Code,$F1113,nrES_Att,2)&gt;0,"",$L1113),IF(COUNTIFS(nrES_PID,$D1113,nrES_Code,$F1113,nrES_Att,1)=0,$L1113,IF($L1113&gt;=$J1113,cfgRetakeRecordedCap,SUMIFS(nrES_Raw,nrES_PID,$D1113,nrES_Code,$F1113,nrES_Att,1))))))</f>
        <v/>
      </c>
      <c r="N1113" s="15">
        <f>IF($C1113="","",IF($L1113="","",IF($L1113&gt;=$J1113,"Yes","No")))</f>
        <v/>
      </c>
      <c r="O1113" s="15">
        <f>IF($C1113="","",IF($M1113="","",IF($M1113&gt;=$J1113,"Yes","No")))</f>
        <v/>
      </c>
      <c r="P1113" s="15">
        <f>IF($C1113="","",IF($K1113="","",IF(COUNTIFS(nrES_PID,$D1113,nrES_Code,$F1113,nrES_Att,"&gt;"&amp;$K1113)=0,"Yes","No")))</f>
        <v/>
      </c>
      <c r="Q1113" s="15">
        <f>IF($C1113="","",IF($L1113="","",IF(AND($K1113=1,$L1113&lt;$J1113,COUNTIFS(nrES_PID,$D1113,nrES_Code,$F1113,nrES_Att,2)=0),"Yes","No")))</f>
        <v/>
      </c>
      <c r="R1113" s="15">
        <f>IF($C1113="","",IF($L1113="","",IF(AND($K1113=2,$L1113&lt;$J1113,COUNTIFS(nrES_PID,$D1113,nrES_Code,$F1113,nrES_Att,1)&gt;0),"Yes","No")))</f>
        <v/>
      </c>
      <c r="S1113" s="16" t="n"/>
      <c r="T1113" s="17">
        <f>IF($Q1113&lt;&gt;"Yes","",IF($S1113="","(enter date)",_xlfn.LET(_xlpm.dn,IFERROR(_xlfn.XLOOKUP($S1113,nrCDdate,nrCDnum),""),IF(_xlpm.dn="","(not a class day)",IFERROR(_xlfn.XLOOKUP(_xlpm.dn+cfgRetestClassDays,nrCDnum,nrCDdate),"")))))</f>
        <v/>
      </c>
      <c r="U1113" s="15">
        <f>IF($Q1113&lt;&gt;"Yes","",IF(COUNTIFS(nrES_PID,$D1113,nrES_Code,$F1113,nrES_Att,2)&gt;0,"Retested",IF(OR($T1113="",NOT(ISNUMBER($T1113))),"Pending",IF(TODAY()&gt;$T1113,"OVERDUE","Due "&amp;TEXT($T1113,"mm/dd")))))</f>
        <v/>
      </c>
      <c r="V1113" s="14" t="n"/>
      <c r="W1113" s="14" t="n"/>
    </row>
    <row r="1114">
      <c r="B1114" s="15">
        <f>IF($C1114="","",$D1114&amp;"-"&amp;$F1114&amp;"-"&amp;$K1114)</f>
        <v/>
      </c>
      <c r="C1114" s="14" t="n"/>
      <c r="D1114" s="15">
        <f>IF($C1114="","",IFERROR(INDEX(rngCadetPIDs,MATCH($C1114,rngCadetNames,0)),"?"))</f>
        <v/>
      </c>
      <c r="E1114" s="15">
        <f>IF($D1114="","",IFERROR(INDEX(nrCadetAgency,MATCH($D1114,rngCadetPIDs,0)),""))</f>
        <v/>
      </c>
      <c r="F1114" s="14" t="n"/>
      <c r="G1114" s="15">
        <f>IF($F1114="","",IFERROR(INDEX(rngEPname,MATCH($F1114,rngEPcode,0)),"?"))</f>
        <v/>
      </c>
      <c r="H1114" s="15">
        <f>IF($F1114="","",IFERROR(INDEX(rngEPtype,MATCH($F1114,rngEPcode,0)),"?"))</f>
        <v/>
      </c>
      <c r="I1114" s="15">
        <f>IF($F1114="","",IFERROR(INDEX(rngEPseq,MATCH($F1114,rngEPcode,0)),""))</f>
        <v/>
      </c>
      <c r="J1114" s="15">
        <f>IF($F1114="","",IFERROR(INDEX(rngEPpass,MATCH($F1114,rngEPcode,0)),cfgPassingScore))</f>
        <v/>
      </c>
      <c r="K1114" s="14" t="n"/>
      <c r="L1114" s="14" t="n"/>
      <c r="M1114" s="15">
        <f>IF($C1114="","",IF($L1114="","",IF($K1114=1,IF(COUNTIFS(nrES_PID,$D1114,nrES_Code,$F1114,nrES_Att,2)&gt;0,"",$L1114),IF(COUNTIFS(nrES_PID,$D1114,nrES_Code,$F1114,nrES_Att,1)=0,$L1114,IF($L1114&gt;=$J1114,cfgRetakeRecordedCap,SUMIFS(nrES_Raw,nrES_PID,$D1114,nrES_Code,$F1114,nrES_Att,1))))))</f>
        <v/>
      </c>
      <c r="N1114" s="15">
        <f>IF($C1114="","",IF($L1114="","",IF($L1114&gt;=$J1114,"Yes","No")))</f>
        <v/>
      </c>
      <c r="O1114" s="15">
        <f>IF($C1114="","",IF($M1114="","",IF($M1114&gt;=$J1114,"Yes","No")))</f>
        <v/>
      </c>
      <c r="P1114" s="15">
        <f>IF($C1114="","",IF($K1114="","",IF(COUNTIFS(nrES_PID,$D1114,nrES_Code,$F1114,nrES_Att,"&gt;"&amp;$K1114)=0,"Yes","No")))</f>
        <v/>
      </c>
      <c r="Q1114" s="15">
        <f>IF($C1114="","",IF($L1114="","",IF(AND($K1114=1,$L1114&lt;$J1114,COUNTIFS(nrES_PID,$D1114,nrES_Code,$F1114,nrES_Att,2)=0),"Yes","No")))</f>
        <v/>
      </c>
      <c r="R1114" s="15">
        <f>IF($C1114="","",IF($L1114="","",IF(AND($K1114=2,$L1114&lt;$J1114,COUNTIFS(nrES_PID,$D1114,nrES_Code,$F1114,nrES_Att,1)&gt;0),"Yes","No")))</f>
        <v/>
      </c>
      <c r="S1114" s="16" t="n"/>
      <c r="T1114" s="17">
        <f>IF($Q1114&lt;&gt;"Yes","",IF($S1114="","(enter date)",_xlfn.LET(_xlpm.dn,IFERROR(_xlfn.XLOOKUP($S1114,nrCDdate,nrCDnum),""),IF(_xlpm.dn="","(not a class day)",IFERROR(_xlfn.XLOOKUP(_xlpm.dn+cfgRetestClassDays,nrCDnum,nrCDdate),"")))))</f>
        <v/>
      </c>
      <c r="U1114" s="15">
        <f>IF($Q1114&lt;&gt;"Yes","",IF(COUNTIFS(nrES_PID,$D1114,nrES_Code,$F1114,nrES_Att,2)&gt;0,"Retested",IF(OR($T1114="",NOT(ISNUMBER($T1114))),"Pending",IF(TODAY()&gt;$T1114,"OVERDUE","Due "&amp;TEXT($T1114,"mm/dd")))))</f>
        <v/>
      </c>
      <c r="V1114" s="14" t="n"/>
      <c r="W1114" s="14" t="n"/>
    </row>
    <row r="1115">
      <c r="B1115" s="15">
        <f>IF($C1115="","",$D1115&amp;"-"&amp;$F1115&amp;"-"&amp;$K1115)</f>
        <v/>
      </c>
      <c r="C1115" s="14" t="n"/>
      <c r="D1115" s="15">
        <f>IF($C1115="","",IFERROR(INDEX(rngCadetPIDs,MATCH($C1115,rngCadetNames,0)),"?"))</f>
        <v/>
      </c>
      <c r="E1115" s="15">
        <f>IF($D1115="","",IFERROR(INDEX(nrCadetAgency,MATCH($D1115,rngCadetPIDs,0)),""))</f>
        <v/>
      </c>
      <c r="F1115" s="14" t="n"/>
      <c r="G1115" s="15">
        <f>IF($F1115="","",IFERROR(INDEX(rngEPname,MATCH($F1115,rngEPcode,0)),"?"))</f>
        <v/>
      </c>
      <c r="H1115" s="15">
        <f>IF($F1115="","",IFERROR(INDEX(rngEPtype,MATCH($F1115,rngEPcode,0)),"?"))</f>
        <v/>
      </c>
      <c r="I1115" s="15">
        <f>IF($F1115="","",IFERROR(INDEX(rngEPseq,MATCH($F1115,rngEPcode,0)),""))</f>
        <v/>
      </c>
      <c r="J1115" s="15">
        <f>IF($F1115="","",IFERROR(INDEX(rngEPpass,MATCH($F1115,rngEPcode,0)),cfgPassingScore))</f>
        <v/>
      </c>
      <c r="K1115" s="14" t="n"/>
      <c r="L1115" s="14" t="n"/>
      <c r="M1115" s="15">
        <f>IF($C1115="","",IF($L1115="","",IF($K1115=1,IF(COUNTIFS(nrES_PID,$D1115,nrES_Code,$F1115,nrES_Att,2)&gt;0,"",$L1115),IF(COUNTIFS(nrES_PID,$D1115,nrES_Code,$F1115,nrES_Att,1)=0,$L1115,IF($L1115&gt;=$J1115,cfgRetakeRecordedCap,SUMIFS(nrES_Raw,nrES_PID,$D1115,nrES_Code,$F1115,nrES_Att,1))))))</f>
        <v/>
      </c>
      <c r="N1115" s="15">
        <f>IF($C1115="","",IF($L1115="","",IF($L1115&gt;=$J1115,"Yes","No")))</f>
        <v/>
      </c>
      <c r="O1115" s="15">
        <f>IF($C1115="","",IF($M1115="","",IF($M1115&gt;=$J1115,"Yes","No")))</f>
        <v/>
      </c>
      <c r="P1115" s="15">
        <f>IF($C1115="","",IF($K1115="","",IF(COUNTIFS(nrES_PID,$D1115,nrES_Code,$F1115,nrES_Att,"&gt;"&amp;$K1115)=0,"Yes","No")))</f>
        <v/>
      </c>
      <c r="Q1115" s="15">
        <f>IF($C1115="","",IF($L1115="","",IF(AND($K1115=1,$L1115&lt;$J1115,COUNTIFS(nrES_PID,$D1115,nrES_Code,$F1115,nrES_Att,2)=0),"Yes","No")))</f>
        <v/>
      </c>
      <c r="R1115" s="15">
        <f>IF($C1115="","",IF($L1115="","",IF(AND($K1115=2,$L1115&lt;$J1115,COUNTIFS(nrES_PID,$D1115,nrES_Code,$F1115,nrES_Att,1)&gt;0),"Yes","No")))</f>
        <v/>
      </c>
      <c r="S1115" s="16" t="n"/>
      <c r="T1115" s="17">
        <f>IF($Q1115&lt;&gt;"Yes","",IF($S1115="","(enter date)",_xlfn.LET(_xlpm.dn,IFERROR(_xlfn.XLOOKUP($S1115,nrCDdate,nrCDnum),""),IF(_xlpm.dn="","(not a class day)",IFERROR(_xlfn.XLOOKUP(_xlpm.dn+cfgRetestClassDays,nrCDnum,nrCDdate),"")))))</f>
        <v/>
      </c>
      <c r="U1115" s="15">
        <f>IF($Q1115&lt;&gt;"Yes","",IF(COUNTIFS(nrES_PID,$D1115,nrES_Code,$F1115,nrES_Att,2)&gt;0,"Retested",IF(OR($T1115="",NOT(ISNUMBER($T1115))),"Pending",IF(TODAY()&gt;$T1115,"OVERDUE","Due "&amp;TEXT($T1115,"mm/dd")))))</f>
        <v/>
      </c>
      <c r="V1115" s="14" t="n"/>
      <c r="W1115" s="14" t="n"/>
    </row>
    <row r="1116">
      <c r="B1116" s="15">
        <f>IF($C1116="","",$D1116&amp;"-"&amp;$F1116&amp;"-"&amp;$K1116)</f>
        <v/>
      </c>
      <c r="C1116" s="14" t="n"/>
      <c r="D1116" s="15">
        <f>IF($C1116="","",IFERROR(INDEX(rngCadetPIDs,MATCH($C1116,rngCadetNames,0)),"?"))</f>
        <v/>
      </c>
      <c r="E1116" s="15">
        <f>IF($D1116="","",IFERROR(INDEX(nrCadetAgency,MATCH($D1116,rngCadetPIDs,0)),""))</f>
        <v/>
      </c>
      <c r="F1116" s="14" t="n"/>
      <c r="G1116" s="15">
        <f>IF($F1116="","",IFERROR(INDEX(rngEPname,MATCH($F1116,rngEPcode,0)),"?"))</f>
        <v/>
      </c>
      <c r="H1116" s="15">
        <f>IF($F1116="","",IFERROR(INDEX(rngEPtype,MATCH($F1116,rngEPcode,0)),"?"))</f>
        <v/>
      </c>
      <c r="I1116" s="15">
        <f>IF($F1116="","",IFERROR(INDEX(rngEPseq,MATCH($F1116,rngEPcode,0)),""))</f>
        <v/>
      </c>
      <c r="J1116" s="15">
        <f>IF($F1116="","",IFERROR(INDEX(rngEPpass,MATCH($F1116,rngEPcode,0)),cfgPassingScore))</f>
        <v/>
      </c>
      <c r="K1116" s="14" t="n"/>
      <c r="L1116" s="14" t="n"/>
      <c r="M1116" s="15">
        <f>IF($C1116="","",IF($L1116="","",IF($K1116=1,IF(COUNTIFS(nrES_PID,$D1116,nrES_Code,$F1116,nrES_Att,2)&gt;0,"",$L1116),IF(COUNTIFS(nrES_PID,$D1116,nrES_Code,$F1116,nrES_Att,1)=0,$L1116,IF($L1116&gt;=$J1116,cfgRetakeRecordedCap,SUMIFS(nrES_Raw,nrES_PID,$D1116,nrES_Code,$F1116,nrES_Att,1))))))</f>
        <v/>
      </c>
      <c r="N1116" s="15">
        <f>IF($C1116="","",IF($L1116="","",IF($L1116&gt;=$J1116,"Yes","No")))</f>
        <v/>
      </c>
      <c r="O1116" s="15">
        <f>IF($C1116="","",IF($M1116="","",IF($M1116&gt;=$J1116,"Yes","No")))</f>
        <v/>
      </c>
      <c r="P1116" s="15">
        <f>IF($C1116="","",IF($K1116="","",IF(COUNTIFS(nrES_PID,$D1116,nrES_Code,$F1116,nrES_Att,"&gt;"&amp;$K1116)=0,"Yes","No")))</f>
        <v/>
      </c>
      <c r="Q1116" s="15">
        <f>IF($C1116="","",IF($L1116="","",IF(AND($K1116=1,$L1116&lt;$J1116,COUNTIFS(nrES_PID,$D1116,nrES_Code,$F1116,nrES_Att,2)=0),"Yes","No")))</f>
        <v/>
      </c>
      <c r="R1116" s="15">
        <f>IF($C1116="","",IF($L1116="","",IF(AND($K1116=2,$L1116&lt;$J1116,COUNTIFS(nrES_PID,$D1116,nrES_Code,$F1116,nrES_Att,1)&gt;0),"Yes","No")))</f>
        <v/>
      </c>
      <c r="S1116" s="16" t="n"/>
      <c r="T1116" s="17">
        <f>IF($Q1116&lt;&gt;"Yes","",IF($S1116="","(enter date)",_xlfn.LET(_xlpm.dn,IFERROR(_xlfn.XLOOKUP($S1116,nrCDdate,nrCDnum),""),IF(_xlpm.dn="","(not a class day)",IFERROR(_xlfn.XLOOKUP(_xlpm.dn+cfgRetestClassDays,nrCDnum,nrCDdate),"")))))</f>
        <v/>
      </c>
      <c r="U1116" s="15">
        <f>IF($Q1116&lt;&gt;"Yes","",IF(COUNTIFS(nrES_PID,$D1116,nrES_Code,$F1116,nrES_Att,2)&gt;0,"Retested",IF(OR($T1116="",NOT(ISNUMBER($T1116))),"Pending",IF(TODAY()&gt;$T1116,"OVERDUE","Due "&amp;TEXT($T1116,"mm/dd")))))</f>
        <v/>
      </c>
      <c r="V1116" s="14" t="n"/>
      <c r="W1116" s="14" t="n"/>
    </row>
    <row r="1117">
      <c r="B1117" s="15">
        <f>IF($C1117="","",$D1117&amp;"-"&amp;$F1117&amp;"-"&amp;$K1117)</f>
        <v/>
      </c>
      <c r="C1117" s="14" t="n"/>
      <c r="D1117" s="15">
        <f>IF($C1117="","",IFERROR(INDEX(rngCadetPIDs,MATCH($C1117,rngCadetNames,0)),"?"))</f>
        <v/>
      </c>
      <c r="E1117" s="15">
        <f>IF($D1117="","",IFERROR(INDEX(nrCadetAgency,MATCH($D1117,rngCadetPIDs,0)),""))</f>
        <v/>
      </c>
      <c r="F1117" s="14" t="n"/>
      <c r="G1117" s="15">
        <f>IF($F1117="","",IFERROR(INDEX(rngEPname,MATCH($F1117,rngEPcode,0)),"?"))</f>
        <v/>
      </c>
      <c r="H1117" s="15">
        <f>IF($F1117="","",IFERROR(INDEX(rngEPtype,MATCH($F1117,rngEPcode,0)),"?"))</f>
        <v/>
      </c>
      <c r="I1117" s="15">
        <f>IF($F1117="","",IFERROR(INDEX(rngEPseq,MATCH($F1117,rngEPcode,0)),""))</f>
        <v/>
      </c>
      <c r="J1117" s="15">
        <f>IF($F1117="","",IFERROR(INDEX(rngEPpass,MATCH($F1117,rngEPcode,0)),cfgPassingScore))</f>
        <v/>
      </c>
      <c r="K1117" s="14" t="n"/>
      <c r="L1117" s="14" t="n"/>
      <c r="M1117" s="15">
        <f>IF($C1117="","",IF($L1117="","",IF($K1117=1,IF(COUNTIFS(nrES_PID,$D1117,nrES_Code,$F1117,nrES_Att,2)&gt;0,"",$L1117),IF(COUNTIFS(nrES_PID,$D1117,nrES_Code,$F1117,nrES_Att,1)=0,$L1117,IF($L1117&gt;=$J1117,cfgRetakeRecordedCap,SUMIFS(nrES_Raw,nrES_PID,$D1117,nrES_Code,$F1117,nrES_Att,1))))))</f>
        <v/>
      </c>
      <c r="N1117" s="15">
        <f>IF($C1117="","",IF($L1117="","",IF($L1117&gt;=$J1117,"Yes","No")))</f>
        <v/>
      </c>
      <c r="O1117" s="15">
        <f>IF($C1117="","",IF($M1117="","",IF($M1117&gt;=$J1117,"Yes","No")))</f>
        <v/>
      </c>
      <c r="P1117" s="15">
        <f>IF($C1117="","",IF($K1117="","",IF(COUNTIFS(nrES_PID,$D1117,nrES_Code,$F1117,nrES_Att,"&gt;"&amp;$K1117)=0,"Yes","No")))</f>
        <v/>
      </c>
      <c r="Q1117" s="15">
        <f>IF($C1117="","",IF($L1117="","",IF(AND($K1117=1,$L1117&lt;$J1117,COUNTIFS(nrES_PID,$D1117,nrES_Code,$F1117,nrES_Att,2)=0),"Yes","No")))</f>
        <v/>
      </c>
      <c r="R1117" s="15">
        <f>IF($C1117="","",IF($L1117="","",IF(AND($K1117=2,$L1117&lt;$J1117,COUNTIFS(nrES_PID,$D1117,nrES_Code,$F1117,nrES_Att,1)&gt;0),"Yes","No")))</f>
        <v/>
      </c>
      <c r="S1117" s="16" t="n"/>
      <c r="T1117" s="17">
        <f>IF($Q1117&lt;&gt;"Yes","",IF($S1117="","(enter date)",_xlfn.LET(_xlpm.dn,IFERROR(_xlfn.XLOOKUP($S1117,nrCDdate,nrCDnum),""),IF(_xlpm.dn="","(not a class day)",IFERROR(_xlfn.XLOOKUP(_xlpm.dn+cfgRetestClassDays,nrCDnum,nrCDdate),"")))))</f>
        <v/>
      </c>
      <c r="U1117" s="15">
        <f>IF($Q1117&lt;&gt;"Yes","",IF(COUNTIFS(nrES_PID,$D1117,nrES_Code,$F1117,nrES_Att,2)&gt;0,"Retested",IF(OR($T1117="",NOT(ISNUMBER($T1117))),"Pending",IF(TODAY()&gt;$T1117,"OVERDUE","Due "&amp;TEXT($T1117,"mm/dd")))))</f>
        <v/>
      </c>
      <c r="V1117" s="14" t="n"/>
      <c r="W1117" s="14" t="n"/>
    </row>
    <row r="1118">
      <c r="B1118" s="15">
        <f>IF($C1118="","",$D1118&amp;"-"&amp;$F1118&amp;"-"&amp;$K1118)</f>
        <v/>
      </c>
      <c r="C1118" s="14" t="n"/>
      <c r="D1118" s="15">
        <f>IF($C1118="","",IFERROR(INDEX(rngCadetPIDs,MATCH($C1118,rngCadetNames,0)),"?"))</f>
        <v/>
      </c>
      <c r="E1118" s="15">
        <f>IF($D1118="","",IFERROR(INDEX(nrCadetAgency,MATCH($D1118,rngCadetPIDs,0)),""))</f>
        <v/>
      </c>
      <c r="F1118" s="14" t="n"/>
      <c r="G1118" s="15">
        <f>IF($F1118="","",IFERROR(INDEX(rngEPname,MATCH($F1118,rngEPcode,0)),"?"))</f>
        <v/>
      </c>
      <c r="H1118" s="15">
        <f>IF($F1118="","",IFERROR(INDEX(rngEPtype,MATCH($F1118,rngEPcode,0)),"?"))</f>
        <v/>
      </c>
      <c r="I1118" s="15">
        <f>IF($F1118="","",IFERROR(INDEX(rngEPseq,MATCH($F1118,rngEPcode,0)),""))</f>
        <v/>
      </c>
      <c r="J1118" s="15">
        <f>IF($F1118="","",IFERROR(INDEX(rngEPpass,MATCH($F1118,rngEPcode,0)),cfgPassingScore))</f>
        <v/>
      </c>
      <c r="K1118" s="14" t="n"/>
      <c r="L1118" s="14" t="n"/>
      <c r="M1118" s="15">
        <f>IF($C1118="","",IF($L1118="","",IF($K1118=1,IF(COUNTIFS(nrES_PID,$D1118,nrES_Code,$F1118,nrES_Att,2)&gt;0,"",$L1118),IF(COUNTIFS(nrES_PID,$D1118,nrES_Code,$F1118,nrES_Att,1)=0,$L1118,IF($L1118&gt;=$J1118,cfgRetakeRecordedCap,SUMIFS(nrES_Raw,nrES_PID,$D1118,nrES_Code,$F1118,nrES_Att,1))))))</f>
        <v/>
      </c>
      <c r="N1118" s="15">
        <f>IF($C1118="","",IF($L1118="","",IF($L1118&gt;=$J1118,"Yes","No")))</f>
        <v/>
      </c>
      <c r="O1118" s="15">
        <f>IF($C1118="","",IF($M1118="","",IF($M1118&gt;=$J1118,"Yes","No")))</f>
        <v/>
      </c>
      <c r="P1118" s="15">
        <f>IF($C1118="","",IF($K1118="","",IF(COUNTIFS(nrES_PID,$D1118,nrES_Code,$F1118,nrES_Att,"&gt;"&amp;$K1118)=0,"Yes","No")))</f>
        <v/>
      </c>
      <c r="Q1118" s="15">
        <f>IF($C1118="","",IF($L1118="","",IF(AND($K1118=1,$L1118&lt;$J1118,COUNTIFS(nrES_PID,$D1118,nrES_Code,$F1118,nrES_Att,2)=0),"Yes","No")))</f>
        <v/>
      </c>
      <c r="R1118" s="15">
        <f>IF($C1118="","",IF($L1118="","",IF(AND($K1118=2,$L1118&lt;$J1118,COUNTIFS(nrES_PID,$D1118,nrES_Code,$F1118,nrES_Att,1)&gt;0),"Yes","No")))</f>
        <v/>
      </c>
      <c r="S1118" s="16" t="n"/>
      <c r="T1118" s="17">
        <f>IF($Q1118&lt;&gt;"Yes","",IF($S1118="","(enter date)",_xlfn.LET(_xlpm.dn,IFERROR(_xlfn.XLOOKUP($S1118,nrCDdate,nrCDnum),""),IF(_xlpm.dn="","(not a class day)",IFERROR(_xlfn.XLOOKUP(_xlpm.dn+cfgRetestClassDays,nrCDnum,nrCDdate),"")))))</f>
        <v/>
      </c>
      <c r="U1118" s="15">
        <f>IF($Q1118&lt;&gt;"Yes","",IF(COUNTIFS(nrES_PID,$D1118,nrES_Code,$F1118,nrES_Att,2)&gt;0,"Retested",IF(OR($T1118="",NOT(ISNUMBER($T1118))),"Pending",IF(TODAY()&gt;$T1118,"OVERDUE","Due "&amp;TEXT($T1118,"mm/dd")))))</f>
        <v/>
      </c>
      <c r="V1118" s="14" t="n"/>
      <c r="W1118" s="14" t="n"/>
    </row>
    <row r="1119">
      <c r="B1119" s="15">
        <f>IF($C1119="","",$D1119&amp;"-"&amp;$F1119&amp;"-"&amp;$K1119)</f>
        <v/>
      </c>
      <c r="C1119" s="14" t="n"/>
      <c r="D1119" s="15">
        <f>IF($C1119="","",IFERROR(INDEX(rngCadetPIDs,MATCH($C1119,rngCadetNames,0)),"?"))</f>
        <v/>
      </c>
      <c r="E1119" s="15">
        <f>IF($D1119="","",IFERROR(INDEX(nrCadetAgency,MATCH($D1119,rngCadetPIDs,0)),""))</f>
        <v/>
      </c>
      <c r="F1119" s="14" t="n"/>
      <c r="G1119" s="15">
        <f>IF($F1119="","",IFERROR(INDEX(rngEPname,MATCH($F1119,rngEPcode,0)),"?"))</f>
        <v/>
      </c>
      <c r="H1119" s="15">
        <f>IF($F1119="","",IFERROR(INDEX(rngEPtype,MATCH($F1119,rngEPcode,0)),"?"))</f>
        <v/>
      </c>
      <c r="I1119" s="15">
        <f>IF($F1119="","",IFERROR(INDEX(rngEPseq,MATCH($F1119,rngEPcode,0)),""))</f>
        <v/>
      </c>
      <c r="J1119" s="15">
        <f>IF($F1119="","",IFERROR(INDEX(rngEPpass,MATCH($F1119,rngEPcode,0)),cfgPassingScore))</f>
        <v/>
      </c>
      <c r="K1119" s="14" t="n"/>
      <c r="L1119" s="14" t="n"/>
      <c r="M1119" s="15">
        <f>IF($C1119="","",IF($L1119="","",IF($K1119=1,IF(COUNTIFS(nrES_PID,$D1119,nrES_Code,$F1119,nrES_Att,2)&gt;0,"",$L1119),IF(COUNTIFS(nrES_PID,$D1119,nrES_Code,$F1119,nrES_Att,1)=0,$L1119,IF($L1119&gt;=$J1119,cfgRetakeRecordedCap,SUMIFS(nrES_Raw,nrES_PID,$D1119,nrES_Code,$F1119,nrES_Att,1))))))</f>
        <v/>
      </c>
      <c r="N1119" s="15">
        <f>IF($C1119="","",IF($L1119="","",IF($L1119&gt;=$J1119,"Yes","No")))</f>
        <v/>
      </c>
      <c r="O1119" s="15">
        <f>IF($C1119="","",IF($M1119="","",IF($M1119&gt;=$J1119,"Yes","No")))</f>
        <v/>
      </c>
      <c r="P1119" s="15">
        <f>IF($C1119="","",IF($K1119="","",IF(COUNTIFS(nrES_PID,$D1119,nrES_Code,$F1119,nrES_Att,"&gt;"&amp;$K1119)=0,"Yes","No")))</f>
        <v/>
      </c>
      <c r="Q1119" s="15">
        <f>IF($C1119="","",IF($L1119="","",IF(AND($K1119=1,$L1119&lt;$J1119,COUNTIFS(nrES_PID,$D1119,nrES_Code,$F1119,nrES_Att,2)=0),"Yes","No")))</f>
        <v/>
      </c>
      <c r="R1119" s="15">
        <f>IF($C1119="","",IF($L1119="","",IF(AND($K1119=2,$L1119&lt;$J1119,COUNTIFS(nrES_PID,$D1119,nrES_Code,$F1119,nrES_Att,1)&gt;0),"Yes","No")))</f>
        <v/>
      </c>
      <c r="S1119" s="16" t="n"/>
      <c r="T1119" s="17">
        <f>IF($Q1119&lt;&gt;"Yes","",IF($S1119="","(enter date)",_xlfn.LET(_xlpm.dn,IFERROR(_xlfn.XLOOKUP($S1119,nrCDdate,nrCDnum),""),IF(_xlpm.dn="","(not a class day)",IFERROR(_xlfn.XLOOKUP(_xlpm.dn+cfgRetestClassDays,nrCDnum,nrCDdate),"")))))</f>
        <v/>
      </c>
      <c r="U1119" s="15">
        <f>IF($Q1119&lt;&gt;"Yes","",IF(COUNTIFS(nrES_PID,$D1119,nrES_Code,$F1119,nrES_Att,2)&gt;0,"Retested",IF(OR($T1119="",NOT(ISNUMBER($T1119))),"Pending",IF(TODAY()&gt;$T1119,"OVERDUE","Due "&amp;TEXT($T1119,"mm/dd")))))</f>
        <v/>
      </c>
      <c r="V1119" s="14" t="n"/>
      <c r="W1119" s="14" t="n"/>
    </row>
    <row r="1120">
      <c r="B1120" s="15">
        <f>IF($C1120="","",$D1120&amp;"-"&amp;$F1120&amp;"-"&amp;$K1120)</f>
        <v/>
      </c>
      <c r="C1120" s="14" t="n"/>
      <c r="D1120" s="15">
        <f>IF($C1120="","",IFERROR(INDEX(rngCadetPIDs,MATCH($C1120,rngCadetNames,0)),"?"))</f>
        <v/>
      </c>
      <c r="E1120" s="15">
        <f>IF($D1120="","",IFERROR(INDEX(nrCadetAgency,MATCH($D1120,rngCadetPIDs,0)),""))</f>
        <v/>
      </c>
      <c r="F1120" s="14" t="n"/>
      <c r="G1120" s="15">
        <f>IF($F1120="","",IFERROR(INDEX(rngEPname,MATCH($F1120,rngEPcode,0)),"?"))</f>
        <v/>
      </c>
      <c r="H1120" s="15">
        <f>IF($F1120="","",IFERROR(INDEX(rngEPtype,MATCH($F1120,rngEPcode,0)),"?"))</f>
        <v/>
      </c>
      <c r="I1120" s="15">
        <f>IF($F1120="","",IFERROR(INDEX(rngEPseq,MATCH($F1120,rngEPcode,0)),""))</f>
        <v/>
      </c>
      <c r="J1120" s="15">
        <f>IF($F1120="","",IFERROR(INDEX(rngEPpass,MATCH($F1120,rngEPcode,0)),cfgPassingScore))</f>
        <v/>
      </c>
      <c r="K1120" s="14" t="n"/>
      <c r="L1120" s="14" t="n"/>
      <c r="M1120" s="15">
        <f>IF($C1120="","",IF($L1120="","",IF($K1120=1,IF(COUNTIFS(nrES_PID,$D1120,nrES_Code,$F1120,nrES_Att,2)&gt;0,"",$L1120),IF(COUNTIFS(nrES_PID,$D1120,nrES_Code,$F1120,nrES_Att,1)=0,$L1120,IF($L1120&gt;=$J1120,cfgRetakeRecordedCap,SUMIFS(nrES_Raw,nrES_PID,$D1120,nrES_Code,$F1120,nrES_Att,1))))))</f>
        <v/>
      </c>
      <c r="N1120" s="15">
        <f>IF($C1120="","",IF($L1120="","",IF($L1120&gt;=$J1120,"Yes","No")))</f>
        <v/>
      </c>
      <c r="O1120" s="15">
        <f>IF($C1120="","",IF($M1120="","",IF($M1120&gt;=$J1120,"Yes","No")))</f>
        <v/>
      </c>
      <c r="P1120" s="15">
        <f>IF($C1120="","",IF($K1120="","",IF(COUNTIFS(nrES_PID,$D1120,nrES_Code,$F1120,nrES_Att,"&gt;"&amp;$K1120)=0,"Yes","No")))</f>
        <v/>
      </c>
      <c r="Q1120" s="15">
        <f>IF($C1120="","",IF($L1120="","",IF(AND($K1120=1,$L1120&lt;$J1120,COUNTIFS(nrES_PID,$D1120,nrES_Code,$F1120,nrES_Att,2)=0),"Yes","No")))</f>
        <v/>
      </c>
      <c r="R1120" s="15">
        <f>IF($C1120="","",IF($L1120="","",IF(AND($K1120=2,$L1120&lt;$J1120,COUNTIFS(nrES_PID,$D1120,nrES_Code,$F1120,nrES_Att,1)&gt;0),"Yes","No")))</f>
        <v/>
      </c>
      <c r="S1120" s="16" t="n"/>
      <c r="T1120" s="17">
        <f>IF($Q1120&lt;&gt;"Yes","",IF($S1120="","(enter date)",_xlfn.LET(_xlpm.dn,IFERROR(_xlfn.XLOOKUP($S1120,nrCDdate,nrCDnum),""),IF(_xlpm.dn="","(not a class day)",IFERROR(_xlfn.XLOOKUP(_xlpm.dn+cfgRetestClassDays,nrCDnum,nrCDdate),"")))))</f>
        <v/>
      </c>
      <c r="U1120" s="15">
        <f>IF($Q1120&lt;&gt;"Yes","",IF(COUNTIFS(nrES_PID,$D1120,nrES_Code,$F1120,nrES_Att,2)&gt;0,"Retested",IF(OR($T1120="",NOT(ISNUMBER($T1120))),"Pending",IF(TODAY()&gt;$T1120,"OVERDUE","Due "&amp;TEXT($T1120,"mm/dd")))))</f>
        <v/>
      </c>
      <c r="V1120" s="14" t="n"/>
      <c r="W1120" s="14" t="n"/>
    </row>
    <row r="1121">
      <c r="B1121" s="15">
        <f>IF($C1121="","",$D1121&amp;"-"&amp;$F1121&amp;"-"&amp;$K1121)</f>
        <v/>
      </c>
      <c r="C1121" s="14" t="n"/>
      <c r="D1121" s="15">
        <f>IF($C1121="","",IFERROR(INDEX(rngCadetPIDs,MATCH($C1121,rngCadetNames,0)),"?"))</f>
        <v/>
      </c>
      <c r="E1121" s="15">
        <f>IF($D1121="","",IFERROR(INDEX(nrCadetAgency,MATCH($D1121,rngCadetPIDs,0)),""))</f>
        <v/>
      </c>
      <c r="F1121" s="14" t="n"/>
      <c r="G1121" s="15">
        <f>IF($F1121="","",IFERROR(INDEX(rngEPname,MATCH($F1121,rngEPcode,0)),"?"))</f>
        <v/>
      </c>
      <c r="H1121" s="15">
        <f>IF($F1121="","",IFERROR(INDEX(rngEPtype,MATCH($F1121,rngEPcode,0)),"?"))</f>
        <v/>
      </c>
      <c r="I1121" s="15">
        <f>IF($F1121="","",IFERROR(INDEX(rngEPseq,MATCH($F1121,rngEPcode,0)),""))</f>
        <v/>
      </c>
      <c r="J1121" s="15">
        <f>IF($F1121="","",IFERROR(INDEX(rngEPpass,MATCH($F1121,rngEPcode,0)),cfgPassingScore))</f>
        <v/>
      </c>
      <c r="K1121" s="14" t="n"/>
      <c r="L1121" s="14" t="n"/>
      <c r="M1121" s="15">
        <f>IF($C1121="","",IF($L1121="","",IF($K1121=1,IF(COUNTIFS(nrES_PID,$D1121,nrES_Code,$F1121,nrES_Att,2)&gt;0,"",$L1121),IF(COUNTIFS(nrES_PID,$D1121,nrES_Code,$F1121,nrES_Att,1)=0,$L1121,IF($L1121&gt;=$J1121,cfgRetakeRecordedCap,SUMIFS(nrES_Raw,nrES_PID,$D1121,nrES_Code,$F1121,nrES_Att,1))))))</f>
        <v/>
      </c>
      <c r="N1121" s="15">
        <f>IF($C1121="","",IF($L1121="","",IF($L1121&gt;=$J1121,"Yes","No")))</f>
        <v/>
      </c>
      <c r="O1121" s="15">
        <f>IF($C1121="","",IF($M1121="","",IF($M1121&gt;=$J1121,"Yes","No")))</f>
        <v/>
      </c>
      <c r="P1121" s="15">
        <f>IF($C1121="","",IF($K1121="","",IF(COUNTIFS(nrES_PID,$D1121,nrES_Code,$F1121,nrES_Att,"&gt;"&amp;$K1121)=0,"Yes","No")))</f>
        <v/>
      </c>
      <c r="Q1121" s="15">
        <f>IF($C1121="","",IF($L1121="","",IF(AND($K1121=1,$L1121&lt;$J1121,COUNTIFS(nrES_PID,$D1121,nrES_Code,$F1121,nrES_Att,2)=0),"Yes","No")))</f>
        <v/>
      </c>
      <c r="R1121" s="15">
        <f>IF($C1121="","",IF($L1121="","",IF(AND($K1121=2,$L1121&lt;$J1121,COUNTIFS(nrES_PID,$D1121,nrES_Code,$F1121,nrES_Att,1)&gt;0),"Yes","No")))</f>
        <v/>
      </c>
      <c r="S1121" s="16" t="n"/>
      <c r="T1121" s="17">
        <f>IF($Q1121&lt;&gt;"Yes","",IF($S1121="","(enter date)",_xlfn.LET(_xlpm.dn,IFERROR(_xlfn.XLOOKUP($S1121,nrCDdate,nrCDnum),""),IF(_xlpm.dn="","(not a class day)",IFERROR(_xlfn.XLOOKUP(_xlpm.dn+cfgRetestClassDays,nrCDnum,nrCDdate),"")))))</f>
        <v/>
      </c>
      <c r="U1121" s="15">
        <f>IF($Q1121&lt;&gt;"Yes","",IF(COUNTIFS(nrES_PID,$D1121,nrES_Code,$F1121,nrES_Att,2)&gt;0,"Retested",IF(OR($T1121="",NOT(ISNUMBER($T1121))),"Pending",IF(TODAY()&gt;$T1121,"OVERDUE","Due "&amp;TEXT($T1121,"mm/dd")))))</f>
        <v/>
      </c>
      <c r="V1121" s="14" t="n"/>
      <c r="W1121" s="14" t="n"/>
    </row>
    <row r="1122">
      <c r="B1122" s="15">
        <f>IF($C1122="","",$D1122&amp;"-"&amp;$F1122&amp;"-"&amp;$K1122)</f>
        <v/>
      </c>
      <c r="C1122" s="14" t="n"/>
      <c r="D1122" s="15">
        <f>IF($C1122="","",IFERROR(INDEX(rngCadetPIDs,MATCH($C1122,rngCadetNames,0)),"?"))</f>
        <v/>
      </c>
      <c r="E1122" s="15">
        <f>IF($D1122="","",IFERROR(INDEX(nrCadetAgency,MATCH($D1122,rngCadetPIDs,0)),""))</f>
        <v/>
      </c>
      <c r="F1122" s="14" t="n"/>
      <c r="G1122" s="15">
        <f>IF($F1122="","",IFERROR(INDEX(rngEPname,MATCH($F1122,rngEPcode,0)),"?"))</f>
        <v/>
      </c>
      <c r="H1122" s="15">
        <f>IF($F1122="","",IFERROR(INDEX(rngEPtype,MATCH($F1122,rngEPcode,0)),"?"))</f>
        <v/>
      </c>
      <c r="I1122" s="15">
        <f>IF($F1122="","",IFERROR(INDEX(rngEPseq,MATCH($F1122,rngEPcode,0)),""))</f>
        <v/>
      </c>
      <c r="J1122" s="15">
        <f>IF($F1122="","",IFERROR(INDEX(rngEPpass,MATCH($F1122,rngEPcode,0)),cfgPassingScore))</f>
        <v/>
      </c>
      <c r="K1122" s="14" t="n"/>
      <c r="L1122" s="14" t="n"/>
      <c r="M1122" s="15">
        <f>IF($C1122="","",IF($L1122="","",IF($K1122=1,IF(COUNTIFS(nrES_PID,$D1122,nrES_Code,$F1122,nrES_Att,2)&gt;0,"",$L1122),IF(COUNTIFS(nrES_PID,$D1122,nrES_Code,$F1122,nrES_Att,1)=0,$L1122,IF($L1122&gt;=$J1122,cfgRetakeRecordedCap,SUMIFS(nrES_Raw,nrES_PID,$D1122,nrES_Code,$F1122,nrES_Att,1))))))</f>
        <v/>
      </c>
      <c r="N1122" s="15">
        <f>IF($C1122="","",IF($L1122="","",IF($L1122&gt;=$J1122,"Yes","No")))</f>
        <v/>
      </c>
      <c r="O1122" s="15">
        <f>IF($C1122="","",IF($M1122="","",IF($M1122&gt;=$J1122,"Yes","No")))</f>
        <v/>
      </c>
      <c r="P1122" s="15">
        <f>IF($C1122="","",IF($K1122="","",IF(COUNTIFS(nrES_PID,$D1122,nrES_Code,$F1122,nrES_Att,"&gt;"&amp;$K1122)=0,"Yes","No")))</f>
        <v/>
      </c>
      <c r="Q1122" s="15">
        <f>IF($C1122="","",IF($L1122="","",IF(AND($K1122=1,$L1122&lt;$J1122,COUNTIFS(nrES_PID,$D1122,nrES_Code,$F1122,nrES_Att,2)=0),"Yes","No")))</f>
        <v/>
      </c>
      <c r="R1122" s="15">
        <f>IF($C1122="","",IF($L1122="","",IF(AND($K1122=2,$L1122&lt;$J1122,COUNTIFS(nrES_PID,$D1122,nrES_Code,$F1122,nrES_Att,1)&gt;0),"Yes","No")))</f>
        <v/>
      </c>
      <c r="S1122" s="16" t="n"/>
      <c r="T1122" s="17">
        <f>IF($Q1122&lt;&gt;"Yes","",IF($S1122="","(enter date)",_xlfn.LET(_xlpm.dn,IFERROR(_xlfn.XLOOKUP($S1122,nrCDdate,nrCDnum),""),IF(_xlpm.dn="","(not a class day)",IFERROR(_xlfn.XLOOKUP(_xlpm.dn+cfgRetestClassDays,nrCDnum,nrCDdate),"")))))</f>
        <v/>
      </c>
      <c r="U1122" s="15">
        <f>IF($Q1122&lt;&gt;"Yes","",IF(COUNTIFS(nrES_PID,$D1122,nrES_Code,$F1122,nrES_Att,2)&gt;0,"Retested",IF(OR($T1122="",NOT(ISNUMBER($T1122))),"Pending",IF(TODAY()&gt;$T1122,"OVERDUE","Due "&amp;TEXT($T1122,"mm/dd")))))</f>
        <v/>
      </c>
      <c r="V1122" s="14" t="n"/>
      <c r="W1122" s="14" t="n"/>
    </row>
    <row r="1123">
      <c r="B1123" s="15">
        <f>IF($C1123="","",$D1123&amp;"-"&amp;$F1123&amp;"-"&amp;$K1123)</f>
        <v/>
      </c>
      <c r="C1123" s="14" t="n"/>
      <c r="D1123" s="15">
        <f>IF($C1123="","",IFERROR(INDEX(rngCadetPIDs,MATCH($C1123,rngCadetNames,0)),"?"))</f>
        <v/>
      </c>
      <c r="E1123" s="15">
        <f>IF($D1123="","",IFERROR(INDEX(nrCadetAgency,MATCH($D1123,rngCadetPIDs,0)),""))</f>
        <v/>
      </c>
      <c r="F1123" s="14" t="n"/>
      <c r="G1123" s="15">
        <f>IF($F1123="","",IFERROR(INDEX(rngEPname,MATCH($F1123,rngEPcode,0)),"?"))</f>
        <v/>
      </c>
      <c r="H1123" s="15">
        <f>IF($F1123="","",IFERROR(INDEX(rngEPtype,MATCH($F1123,rngEPcode,0)),"?"))</f>
        <v/>
      </c>
      <c r="I1123" s="15">
        <f>IF($F1123="","",IFERROR(INDEX(rngEPseq,MATCH($F1123,rngEPcode,0)),""))</f>
        <v/>
      </c>
      <c r="J1123" s="15">
        <f>IF($F1123="","",IFERROR(INDEX(rngEPpass,MATCH($F1123,rngEPcode,0)),cfgPassingScore))</f>
        <v/>
      </c>
      <c r="K1123" s="14" t="n"/>
      <c r="L1123" s="14" t="n"/>
      <c r="M1123" s="15">
        <f>IF($C1123="","",IF($L1123="","",IF($K1123=1,IF(COUNTIFS(nrES_PID,$D1123,nrES_Code,$F1123,nrES_Att,2)&gt;0,"",$L1123),IF(COUNTIFS(nrES_PID,$D1123,nrES_Code,$F1123,nrES_Att,1)=0,$L1123,IF($L1123&gt;=$J1123,cfgRetakeRecordedCap,SUMIFS(nrES_Raw,nrES_PID,$D1123,nrES_Code,$F1123,nrES_Att,1))))))</f>
        <v/>
      </c>
      <c r="N1123" s="15">
        <f>IF($C1123="","",IF($L1123="","",IF($L1123&gt;=$J1123,"Yes","No")))</f>
        <v/>
      </c>
      <c r="O1123" s="15">
        <f>IF($C1123="","",IF($M1123="","",IF($M1123&gt;=$J1123,"Yes","No")))</f>
        <v/>
      </c>
      <c r="P1123" s="15">
        <f>IF($C1123="","",IF($K1123="","",IF(COUNTIFS(nrES_PID,$D1123,nrES_Code,$F1123,nrES_Att,"&gt;"&amp;$K1123)=0,"Yes","No")))</f>
        <v/>
      </c>
      <c r="Q1123" s="15">
        <f>IF($C1123="","",IF($L1123="","",IF(AND($K1123=1,$L1123&lt;$J1123,COUNTIFS(nrES_PID,$D1123,nrES_Code,$F1123,nrES_Att,2)=0),"Yes","No")))</f>
        <v/>
      </c>
      <c r="R1123" s="15">
        <f>IF($C1123="","",IF($L1123="","",IF(AND($K1123=2,$L1123&lt;$J1123,COUNTIFS(nrES_PID,$D1123,nrES_Code,$F1123,nrES_Att,1)&gt;0),"Yes","No")))</f>
        <v/>
      </c>
      <c r="S1123" s="16" t="n"/>
      <c r="T1123" s="17">
        <f>IF($Q1123&lt;&gt;"Yes","",IF($S1123="","(enter date)",_xlfn.LET(_xlpm.dn,IFERROR(_xlfn.XLOOKUP($S1123,nrCDdate,nrCDnum),""),IF(_xlpm.dn="","(not a class day)",IFERROR(_xlfn.XLOOKUP(_xlpm.dn+cfgRetestClassDays,nrCDnum,nrCDdate),"")))))</f>
        <v/>
      </c>
      <c r="U1123" s="15">
        <f>IF($Q1123&lt;&gt;"Yes","",IF(COUNTIFS(nrES_PID,$D1123,nrES_Code,$F1123,nrES_Att,2)&gt;0,"Retested",IF(OR($T1123="",NOT(ISNUMBER($T1123))),"Pending",IF(TODAY()&gt;$T1123,"OVERDUE","Due "&amp;TEXT($T1123,"mm/dd")))))</f>
        <v/>
      </c>
      <c r="V1123" s="14" t="n"/>
      <c r="W1123" s="14" t="n"/>
    </row>
    <row r="1124">
      <c r="B1124" s="15">
        <f>IF($C1124="","",$D1124&amp;"-"&amp;$F1124&amp;"-"&amp;$K1124)</f>
        <v/>
      </c>
      <c r="C1124" s="14" t="n"/>
      <c r="D1124" s="15">
        <f>IF($C1124="","",IFERROR(INDEX(rngCadetPIDs,MATCH($C1124,rngCadetNames,0)),"?"))</f>
        <v/>
      </c>
      <c r="E1124" s="15">
        <f>IF($D1124="","",IFERROR(INDEX(nrCadetAgency,MATCH($D1124,rngCadetPIDs,0)),""))</f>
        <v/>
      </c>
      <c r="F1124" s="14" t="n"/>
      <c r="G1124" s="15">
        <f>IF($F1124="","",IFERROR(INDEX(rngEPname,MATCH($F1124,rngEPcode,0)),"?"))</f>
        <v/>
      </c>
      <c r="H1124" s="15">
        <f>IF($F1124="","",IFERROR(INDEX(rngEPtype,MATCH($F1124,rngEPcode,0)),"?"))</f>
        <v/>
      </c>
      <c r="I1124" s="15">
        <f>IF($F1124="","",IFERROR(INDEX(rngEPseq,MATCH($F1124,rngEPcode,0)),""))</f>
        <v/>
      </c>
      <c r="J1124" s="15">
        <f>IF($F1124="","",IFERROR(INDEX(rngEPpass,MATCH($F1124,rngEPcode,0)),cfgPassingScore))</f>
        <v/>
      </c>
      <c r="K1124" s="14" t="n"/>
      <c r="L1124" s="14" t="n"/>
      <c r="M1124" s="15">
        <f>IF($C1124="","",IF($L1124="","",IF($K1124=1,IF(COUNTIFS(nrES_PID,$D1124,nrES_Code,$F1124,nrES_Att,2)&gt;0,"",$L1124),IF(COUNTIFS(nrES_PID,$D1124,nrES_Code,$F1124,nrES_Att,1)=0,$L1124,IF($L1124&gt;=$J1124,cfgRetakeRecordedCap,SUMIFS(nrES_Raw,nrES_PID,$D1124,nrES_Code,$F1124,nrES_Att,1))))))</f>
        <v/>
      </c>
      <c r="N1124" s="15">
        <f>IF($C1124="","",IF($L1124="","",IF($L1124&gt;=$J1124,"Yes","No")))</f>
        <v/>
      </c>
      <c r="O1124" s="15">
        <f>IF($C1124="","",IF($M1124="","",IF($M1124&gt;=$J1124,"Yes","No")))</f>
        <v/>
      </c>
      <c r="P1124" s="15">
        <f>IF($C1124="","",IF($K1124="","",IF(COUNTIFS(nrES_PID,$D1124,nrES_Code,$F1124,nrES_Att,"&gt;"&amp;$K1124)=0,"Yes","No")))</f>
        <v/>
      </c>
      <c r="Q1124" s="15">
        <f>IF($C1124="","",IF($L1124="","",IF(AND($K1124=1,$L1124&lt;$J1124,COUNTIFS(nrES_PID,$D1124,nrES_Code,$F1124,nrES_Att,2)=0),"Yes","No")))</f>
        <v/>
      </c>
      <c r="R1124" s="15">
        <f>IF($C1124="","",IF($L1124="","",IF(AND($K1124=2,$L1124&lt;$J1124,COUNTIFS(nrES_PID,$D1124,nrES_Code,$F1124,nrES_Att,1)&gt;0),"Yes","No")))</f>
        <v/>
      </c>
      <c r="S1124" s="16" t="n"/>
      <c r="T1124" s="17">
        <f>IF($Q1124&lt;&gt;"Yes","",IF($S1124="","(enter date)",_xlfn.LET(_xlpm.dn,IFERROR(_xlfn.XLOOKUP($S1124,nrCDdate,nrCDnum),""),IF(_xlpm.dn="","(not a class day)",IFERROR(_xlfn.XLOOKUP(_xlpm.dn+cfgRetestClassDays,nrCDnum,nrCDdate),"")))))</f>
        <v/>
      </c>
      <c r="U1124" s="15">
        <f>IF($Q1124&lt;&gt;"Yes","",IF(COUNTIFS(nrES_PID,$D1124,nrES_Code,$F1124,nrES_Att,2)&gt;0,"Retested",IF(OR($T1124="",NOT(ISNUMBER($T1124))),"Pending",IF(TODAY()&gt;$T1124,"OVERDUE","Due "&amp;TEXT($T1124,"mm/dd")))))</f>
        <v/>
      </c>
      <c r="V1124" s="14" t="n"/>
      <c r="W1124" s="14" t="n"/>
    </row>
    <row r="1125">
      <c r="B1125" s="15">
        <f>IF($C1125="","",$D1125&amp;"-"&amp;$F1125&amp;"-"&amp;$K1125)</f>
        <v/>
      </c>
      <c r="C1125" s="14" t="n"/>
      <c r="D1125" s="15">
        <f>IF($C1125="","",IFERROR(INDEX(rngCadetPIDs,MATCH($C1125,rngCadetNames,0)),"?"))</f>
        <v/>
      </c>
      <c r="E1125" s="15">
        <f>IF($D1125="","",IFERROR(INDEX(nrCadetAgency,MATCH($D1125,rngCadetPIDs,0)),""))</f>
        <v/>
      </c>
      <c r="F1125" s="14" t="n"/>
      <c r="G1125" s="15">
        <f>IF($F1125="","",IFERROR(INDEX(rngEPname,MATCH($F1125,rngEPcode,0)),"?"))</f>
        <v/>
      </c>
      <c r="H1125" s="15">
        <f>IF($F1125="","",IFERROR(INDEX(rngEPtype,MATCH($F1125,rngEPcode,0)),"?"))</f>
        <v/>
      </c>
      <c r="I1125" s="15">
        <f>IF($F1125="","",IFERROR(INDEX(rngEPseq,MATCH($F1125,rngEPcode,0)),""))</f>
        <v/>
      </c>
      <c r="J1125" s="15">
        <f>IF($F1125="","",IFERROR(INDEX(rngEPpass,MATCH($F1125,rngEPcode,0)),cfgPassingScore))</f>
        <v/>
      </c>
      <c r="K1125" s="14" t="n"/>
      <c r="L1125" s="14" t="n"/>
      <c r="M1125" s="15">
        <f>IF($C1125="","",IF($L1125="","",IF($K1125=1,IF(COUNTIFS(nrES_PID,$D1125,nrES_Code,$F1125,nrES_Att,2)&gt;0,"",$L1125),IF(COUNTIFS(nrES_PID,$D1125,nrES_Code,$F1125,nrES_Att,1)=0,$L1125,IF($L1125&gt;=$J1125,cfgRetakeRecordedCap,SUMIFS(nrES_Raw,nrES_PID,$D1125,nrES_Code,$F1125,nrES_Att,1))))))</f>
        <v/>
      </c>
      <c r="N1125" s="15">
        <f>IF($C1125="","",IF($L1125="","",IF($L1125&gt;=$J1125,"Yes","No")))</f>
        <v/>
      </c>
      <c r="O1125" s="15">
        <f>IF($C1125="","",IF($M1125="","",IF($M1125&gt;=$J1125,"Yes","No")))</f>
        <v/>
      </c>
      <c r="P1125" s="15">
        <f>IF($C1125="","",IF($K1125="","",IF(COUNTIFS(nrES_PID,$D1125,nrES_Code,$F1125,nrES_Att,"&gt;"&amp;$K1125)=0,"Yes","No")))</f>
        <v/>
      </c>
      <c r="Q1125" s="15">
        <f>IF($C1125="","",IF($L1125="","",IF(AND($K1125=1,$L1125&lt;$J1125,COUNTIFS(nrES_PID,$D1125,nrES_Code,$F1125,nrES_Att,2)=0),"Yes","No")))</f>
        <v/>
      </c>
      <c r="R1125" s="15">
        <f>IF($C1125="","",IF($L1125="","",IF(AND($K1125=2,$L1125&lt;$J1125,COUNTIFS(nrES_PID,$D1125,nrES_Code,$F1125,nrES_Att,1)&gt;0),"Yes","No")))</f>
        <v/>
      </c>
      <c r="S1125" s="16" t="n"/>
      <c r="T1125" s="17">
        <f>IF($Q1125&lt;&gt;"Yes","",IF($S1125="","(enter date)",_xlfn.LET(_xlpm.dn,IFERROR(_xlfn.XLOOKUP($S1125,nrCDdate,nrCDnum),""),IF(_xlpm.dn="","(not a class day)",IFERROR(_xlfn.XLOOKUP(_xlpm.dn+cfgRetestClassDays,nrCDnum,nrCDdate),"")))))</f>
        <v/>
      </c>
      <c r="U1125" s="15">
        <f>IF($Q1125&lt;&gt;"Yes","",IF(COUNTIFS(nrES_PID,$D1125,nrES_Code,$F1125,nrES_Att,2)&gt;0,"Retested",IF(OR($T1125="",NOT(ISNUMBER($T1125))),"Pending",IF(TODAY()&gt;$T1125,"OVERDUE","Due "&amp;TEXT($T1125,"mm/dd")))))</f>
        <v/>
      </c>
      <c r="V1125" s="14" t="n"/>
      <c r="W1125" s="14" t="n"/>
    </row>
    <row r="1126">
      <c r="B1126" s="15">
        <f>IF($C1126="","",$D1126&amp;"-"&amp;$F1126&amp;"-"&amp;$K1126)</f>
        <v/>
      </c>
      <c r="C1126" s="14" t="n"/>
      <c r="D1126" s="15">
        <f>IF($C1126="","",IFERROR(INDEX(rngCadetPIDs,MATCH($C1126,rngCadetNames,0)),"?"))</f>
        <v/>
      </c>
      <c r="E1126" s="15">
        <f>IF($D1126="","",IFERROR(INDEX(nrCadetAgency,MATCH($D1126,rngCadetPIDs,0)),""))</f>
        <v/>
      </c>
      <c r="F1126" s="14" t="n"/>
      <c r="G1126" s="15">
        <f>IF($F1126="","",IFERROR(INDEX(rngEPname,MATCH($F1126,rngEPcode,0)),"?"))</f>
        <v/>
      </c>
      <c r="H1126" s="15">
        <f>IF($F1126="","",IFERROR(INDEX(rngEPtype,MATCH($F1126,rngEPcode,0)),"?"))</f>
        <v/>
      </c>
      <c r="I1126" s="15">
        <f>IF($F1126="","",IFERROR(INDEX(rngEPseq,MATCH($F1126,rngEPcode,0)),""))</f>
        <v/>
      </c>
      <c r="J1126" s="15">
        <f>IF($F1126="","",IFERROR(INDEX(rngEPpass,MATCH($F1126,rngEPcode,0)),cfgPassingScore))</f>
        <v/>
      </c>
      <c r="K1126" s="14" t="n"/>
      <c r="L1126" s="14" t="n"/>
      <c r="M1126" s="15">
        <f>IF($C1126="","",IF($L1126="","",IF($K1126=1,IF(COUNTIFS(nrES_PID,$D1126,nrES_Code,$F1126,nrES_Att,2)&gt;0,"",$L1126),IF(COUNTIFS(nrES_PID,$D1126,nrES_Code,$F1126,nrES_Att,1)=0,$L1126,IF($L1126&gt;=$J1126,cfgRetakeRecordedCap,SUMIFS(nrES_Raw,nrES_PID,$D1126,nrES_Code,$F1126,nrES_Att,1))))))</f>
        <v/>
      </c>
      <c r="N1126" s="15">
        <f>IF($C1126="","",IF($L1126="","",IF($L1126&gt;=$J1126,"Yes","No")))</f>
        <v/>
      </c>
      <c r="O1126" s="15">
        <f>IF($C1126="","",IF($M1126="","",IF($M1126&gt;=$J1126,"Yes","No")))</f>
        <v/>
      </c>
      <c r="P1126" s="15">
        <f>IF($C1126="","",IF($K1126="","",IF(COUNTIFS(nrES_PID,$D1126,nrES_Code,$F1126,nrES_Att,"&gt;"&amp;$K1126)=0,"Yes","No")))</f>
        <v/>
      </c>
      <c r="Q1126" s="15">
        <f>IF($C1126="","",IF($L1126="","",IF(AND($K1126=1,$L1126&lt;$J1126,COUNTIFS(nrES_PID,$D1126,nrES_Code,$F1126,nrES_Att,2)=0),"Yes","No")))</f>
        <v/>
      </c>
      <c r="R1126" s="15">
        <f>IF($C1126="","",IF($L1126="","",IF(AND($K1126=2,$L1126&lt;$J1126,COUNTIFS(nrES_PID,$D1126,nrES_Code,$F1126,nrES_Att,1)&gt;0),"Yes","No")))</f>
        <v/>
      </c>
      <c r="S1126" s="16" t="n"/>
      <c r="T1126" s="17">
        <f>IF($Q1126&lt;&gt;"Yes","",IF($S1126="","(enter date)",_xlfn.LET(_xlpm.dn,IFERROR(_xlfn.XLOOKUP($S1126,nrCDdate,nrCDnum),""),IF(_xlpm.dn="","(not a class day)",IFERROR(_xlfn.XLOOKUP(_xlpm.dn+cfgRetestClassDays,nrCDnum,nrCDdate),"")))))</f>
        <v/>
      </c>
      <c r="U1126" s="15">
        <f>IF($Q1126&lt;&gt;"Yes","",IF(COUNTIFS(nrES_PID,$D1126,nrES_Code,$F1126,nrES_Att,2)&gt;0,"Retested",IF(OR($T1126="",NOT(ISNUMBER($T1126))),"Pending",IF(TODAY()&gt;$T1126,"OVERDUE","Due "&amp;TEXT($T1126,"mm/dd")))))</f>
        <v/>
      </c>
      <c r="V1126" s="14" t="n"/>
      <c r="W1126" s="14" t="n"/>
    </row>
    <row r="1127">
      <c r="B1127" s="15">
        <f>IF($C1127="","",$D1127&amp;"-"&amp;$F1127&amp;"-"&amp;$K1127)</f>
        <v/>
      </c>
      <c r="C1127" s="14" t="n"/>
      <c r="D1127" s="15">
        <f>IF($C1127="","",IFERROR(INDEX(rngCadetPIDs,MATCH($C1127,rngCadetNames,0)),"?"))</f>
        <v/>
      </c>
      <c r="E1127" s="15">
        <f>IF($D1127="","",IFERROR(INDEX(nrCadetAgency,MATCH($D1127,rngCadetPIDs,0)),""))</f>
        <v/>
      </c>
      <c r="F1127" s="14" t="n"/>
      <c r="G1127" s="15">
        <f>IF($F1127="","",IFERROR(INDEX(rngEPname,MATCH($F1127,rngEPcode,0)),"?"))</f>
        <v/>
      </c>
      <c r="H1127" s="15">
        <f>IF($F1127="","",IFERROR(INDEX(rngEPtype,MATCH($F1127,rngEPcode,0)),"?"))</f>
        <v/>
      </c>
      <c r="I1127" s="15">
        <f>IF($F1127="","",IFERROR(INDEX(rngEPseq,MATCH($F1127,rngEPcode,0)),""))</f>
        <v/>
      </c>
      <c r="J1127" s="15">
        <f>IF($F1127="","",IFERROR(INDEX(rngEPpass,MATCH($F1127,rngEPcode,0)),cfgPassingScore))</f>
        <v/>
      </c>
      <c r="K1127" s="14" t="n"/>
      <c r="L1127" s="14" t="n"/>
      <c r="M1127" s="15">
        <f>IF($C1127="","",IF($L1127="","",IF($K1127=1,IF(COUNTIFS(nrES_PID,$D1127,nrES_Code,$F1127,nrES_Att,2)&gt;0,"",$L1127),IF(COUNTIFS(nrES_PID,$D1127,nrES_Code,$F1127,nrES_Att,1)=0,$L1127,IF($L1127&gt;=$J1127,cfgRetakeRecordedCap,SUMIFS(nrES_Raw,nrES_PID,$D1127,nrES_Code,$F1127,nrES_Att,1))))))</f>
        <v/>
      </c>
      <c r="N1127" s="15">
        <f>IF($C1127="","",IF($L1127="","",IF($L1127&gt;=$J1127,"Yes","No")))</f>
        <v/>
      </c>
      <c r="O1127" s="15">
        <f>IF($C1127="","",IF($M1127="","",IF($M1127&gt;=$J1127,"Yes","No")))</f>
        <v/>
      </c>
      <c r="P1127" s="15">
        <f>IF($C1127="","",IF($K1127="","",IF(COUNTIFS(nrES_PID,$D1127,nrES_Code,$F1127,nrES_Att,"&gt;"&amp;$K1127)=0,"Yes","No")))</f>
        <v/>
      </c>
      <c r="Q1127" s="15">
        <f>IF($C1127="","",IF($L1127="","",IF(AND($K1127=1,$L1127&lt;$J1127,COUNTIFS(nrES_PID,$D1127,nrES_Code,$F1127,nrES_Att,2)=0),"Yes","No")))</f>
        <v/>
      </c>
      <c r="R1127" s="15">
        <f>IF($C1127="","",IF($L1127="","",IF(AND($K1127=2,$L1127&lt;$J1127,COUNTIFS(nrES_PID,$D1127,nrES_Code,$F1127,nrES_Att,1)&gt;0),"Yes","No")))</f>
        <v/>
      </c>
      <c r="S1127" s="16" t="n"/>
      <c r="T1127" s="17">
        <f>IF($Q1127&lt;&gt;"Yes","",IF($S1127="","(enter date)",_xlfn.LET(_xlpm.dn,IFERROR(_xlfn.XLOOKUP($S1127,nrCDdate,nrCDnum),""),IF(_xlpm.dn="","(not a class day)",IFERROR(_xlfn.XLOOKUP(_xlpm.dn+cfgRetestClassDays,nrCDnum,nrCDdate),"")))))</f>
        <v/>
      </c>
      <c r="U1127" s="15">
        <f>IF($Q1127&lt;&gt;"Yes","",IF(COUNTIFS(nrES_PID,$D1127,nrES_Code,$F1127,nrES_Att,2)&gt;0,"Retested",IF(OR($T1127="",NOT(ISNUMBER($T1127))),"Pending",IF(TODAY()&gt;$T1127,"OVERDUE","Due "&amp;TEXT($T1127,"mm/dd")))))</f>
        <v/>
      </c>
      <c r="V1127" s="14" t="n"/>
      <c r="W1127" s="14" t="n"/>
    </row>
    <row r="1128">
      <c r="B1128" s="15">
        <f>IF($C1128="","",$D1128&amp;"-"&amp;$F1128&amp;"-"&amp;$K1128)</f>
        <v/>
      </c>
      <c r="C1128" s="14" t="n"/>
      <c r="D1128" s="15">
        <f>IF($C1128="","",IFERROR(INDEX(rngCadetPIDs,MATCH($C1128,rngCadetNames,0)),"?"))</f>
        <v/>
      </c>
      <c r="E1128" s="15">
        <f>IF($D1128="","",IFERROR(INDEX(nrCadetAgency,MATCH($D1128,rngCadetPIDs,0)),""))</f>
        <v/>
      </c>
      <c r="F1128" s="14" t="n"/>
      <c r="G1128" s="15">
        <f>IF($F1128="","",IFERROR(INDEX(rngEPname,MATCH($F1128,rngEPcode,0)),"?"))</f>
        <v/>
      </c>
      <c r="H1128" s="15">
        <f>IF($F1128="","",IFERROR(INDEX(rngEPtype,MATCH($F1128,rngEPcode,0)),"?"))</f>
        <v/>
      </c>
      <c r="I1128" s="15">
        <f>IF($F1128="","",IFERROR(INDEX(rngEPseq,MATCH($F1128,rngEPcode,0)),""))</f>
        <v/>
      </c>
      <c r="J1128" s="15">
        <f>IF($F1128="","",IFERROR(INDEX(rngEPpass,MATCH($F1128,rngEPcode,0)),cfgPassingScore))</f>
        <v/>
      </c>
      <c r="K1128" s="14" t="n"/>
      <c r="L1128" s="14" t="n"/>
      <c r="M1128" s="15">
        <f>IF($C1128="","",IF($L1128="","",IF($K1128=1,IF(COUNTIFS(nrES_PID,$D1128,nrES_Code,$F1128,nrES_Att,2)&gt;0,"",$L1128),IF(COUNTIFS(nrES_PID,$D1128,nrES_Code,$F1128,nrES_Att,1)=0,$L1128,IF($L1128&gt;=$J1128,cfgRetakeRecordedCap,SUMIFS(nrES_Raw,nrES_PID,$D1128,nrES_Code,$F1128,nrES_Att,1))))))</f>
        <v/>
      </c>
      <c r="N1128" s="15">
        <f>IF($C1128="","",IF($L1128="","",IF($L1128&gt;=$J1128,"Yes","No")))</f>
        <v/>
      </c>
      <c r="O1128" s="15">
        <f>IF($C1128="","",IF($M1128="","",IF($M1128&gt;=$J1128,"Yes","No")))</f>
        <v/>
      </c>
      <c r="P1128" s="15">
        <f>IF($C1128="","",IF($K1128="","",IF(COUNTIFS(nrES_PID,$D1128,nrES_Code,$F1128,nrES_Att,"&gt;"&amp;$K1128)=0,"Yes","No")))</f>
        <v/>
      </c>
      <c r="Q1128" s="15">
        <f>IF($C1128="","",IF($L1128="","",IF(AND($K1128=1,$L1128&lt;$J1128,COUNTIFS(nrES_PID,$D1128,nrES_Code,$F1128,nrES_Att,2)=0),"Yes","No")))</f>
        <v/>
      </c>
      <c r="R1128" s="15">
        <f>IF($C1128="","",IF($L1128="","",IF(AND($K1128=2,$L1128&lt;$J1128,COUNTIFS(nrES_PID,$D1128,nrES_Code,$F1128,nrES_Att,1)&gt;0),"Yes","No")))</f>
        <v/>
      </c>
      <c r="S1128" s="16" t="n"/>
      <c r="T1128" s="17">
        <f>IF($Q1128&lt;&gt;"Yes","",IF($S1128="","(enter date)",_xlfn.LET(_xlpm.dn,IFERROR(_xlfn.XLOOKUP($S1128,nrCDdate,nrCDnum),""),IF(_xlpm.dn="","(not a class day)",IFERROR(_xlfn.XLOOKUP(_xlpm.dn+cfgRetestClassDays,nrCDnum,nrCDdate),"")))))</f>
        <v/>
      </c>
      <c r="U1128" s="15">
        <f>IF($Q1128&lt;&gt;"Yes","",IF(COUNTIFS(nrES_PID,$D1128,nrES_Code,$F1128,nrES_Att,2)&gt;0,"Retested",IF(OR($T1128="",NOT(ISNUMBER($T1128))),"Pending",IF(TODAY()&gt;$T1128,"OVERDUE","Due "&amp;TEXT($T1128,"mm/dd")))))</f>
        <v/>
      </c>
      <c r="V1128" s="14" t="n"/>
      <c r="W1128" s="14" t="n"/>
    </row>
    <row r="1129">
      <c r="B1129" s="15">
        <f>IF($C1129="","",$D1129&amp;"-"&amp;$F1129&amp;"-"&amp;$K1129)</f>
        <v/>
      </c>
      <c r="C1129" s="14" t="n"/>
      <c r="D1129" s="15">
        <f>IF($C1129="","",IFERROR(INDEX(rngCadetPIDs,MATCH($C1129,rngCadetNames,0)),"?"))</f>
        <v/>
      </c>
      <c r="E1129" s="15">
        <f>IF($D1129="","",IFERROR(INDEX(nrCadetAgency,MATCH($D1129,rngCadetPIDs,0)),""))</f>
        <v/>
      </c>
      <c r="F1129" s="14" t="n"/>
      <c r="G1129" s="15">
        <f>IF($F1129="","",IFERROR(INDEX(rngEPname,MATCH($F1129,rngEPcode,0)),"?"))</f>
        <v/>
      </c>
      <c r="H1129" s="15">
        <f>IF($F1129="","",IFERROR(INDEX(rngEPtype,MATCH($F1129,rngEPcode,0)),"?"))</f>
        <v/>
      </c>
      <c r="I1129" s="15">
        <f>IF($F1129="","",IFERROR(INDEX(rngEPseq,MATCH($F1129,rngEPcode,0)),""))</f>
        <v/>
      </c>
      <c r="J1129" s="15">
        <f>IF($F1129="","",IFERROR(INDEX(rngEPpass,MATCH($F1129,rngEPcode,0)),cfgPassingScore))</f>
        <v/>
      </c>
      <c r="K1129" s="14" t="n"/>
      <c r="L1129" s="14" t="n"/>
      <c r="M1129" s="15">
        <f>IF($C1129="","",IF($L1129="","",IF($K1129=1,IF(COUNTIFS(nrES_PID,$D1129,nrES_Code,$F1129,nrES_Att,2)&gt;0,"",$L1129),IF(COUNTIFS(nrES_PID,$D1129,nrES_Code,$F1129,nrES_Att,1)=0,$L1129,IF($L1129&gt;=$J1129,cfgRetakeRecordedCap,SUMIFS(nrES_Raw,nrES_PID,$D1129,nrES_Code,$F1129,nrES_Att,1))))))</f>
        <v/>
      </c>
      <c r="N1129" s="15">
        <f>IF($C1129="","",IF($L1129="","",IF($L1129&gt;=$J1129,"Yes","No")))</f>
        <v/>
      </c>
      <c r="O1129" s="15">
        <f>IF($C1129="","",IF($M1129="","",IF($M1129&gt;=$J1129,"Yes","No")))</f>
        <v/>
      </c>
      <c r="P1129" s="15">
        <f>IF($C1129="","",IF($K1129="","",IF(COUNTIFS(nrES_PID,$D1129,nrES_Code,$F1129,nrES_Att,"&gt;"&amp;$K1129)=0,"Yes","No")))</f>
        <v/>
      </c>
      <c r="Q1129" s="15">
        <f>IF($C1129="","",IF($L1129="","",IF(AND($K1129=1,$L1129&lt;$J1129,COUNTIFS(nrES_PID,$D1129,nrES_Code,$F1129,nrES_Att,2)=0),"Yes","No")))</f>
        <v/>
      </c>
      <c r="R1129" s="15">
        <f>IF($C1129="","",IF($L1129="","",IF(AND($K1129=2,$L1129&lt;$J1129,COUNTIFS(nrES_PID,$D1129,nrES_Code,$F1129,nrES_Att,1)&gt;0),"Yes","No")))</f>
        <v/>
      </c>
      <c r="S1129" s="16" t="n"/>
      <c r="T1129" s="17">
        <f>IF($Q1129&lt;&gt;"Yes","",IF($S1129="","(enter date)",_xlfn.LET(_xlpm.dn,IFERROR(_xlfn.XLOOKUP($S1129,nrCDdate,nrCDnum),""),IF(_xlpm.dn="","(not a class day)",IFERROR(_xlfn.XLOOKUP(_xlpm.dn+cfgRetestClassDays,nrCDnum,nrCDdate),"")))))</f>
        <v/>
      </c>
      <c r="U1129" s="15">
        <f>IF($Q1129&lt;&gt;"Yes","",IF(COUNTIFS(nrES_PID,$D1129,nrES_Code,$F1129,nrES_Att,2)&gt;0,"Retested",IF(OR($T1129="",NOT(ISNUMBER($T1129))),"Pending",IF(TODAY()&gt;$T1129,"OVERDUE","Due "&amp;TEXT($T1129,"mm/dd")))))</f>
        <v/>
      </c>
      <c r="V1129" s="14" t="n"/>
      <c r="W1129" s="14" t="n"/>
    </row>
    <row r="1130">
      <c r="B1130" s="15">
        <f>IF($C1130="","",$D1130&amp;"-"&amp;$F1130&amp;"-"&amp;$K1130)</f>
        <v/>
      </c>
      <c r="C1130" s="14" t="n"/>
      <c r="D1130" s="15">
        <f>IF($C1130="","",IFERROR(INDEX(rngCadetPIDs,MATCH($C1130,rngCadetNames,0)),"?"))</f>
        <v/>
      </c>
      <c r="E1130" s="15">
        <f>IF($D1130="","",IFERROR(INDEX(nrCadetAgency,MATCH($D1130,rngCadetPIDs,0)),""))</f>
        <v/>
      </c>
      <c r="F1130" s="14" t="n"/>
      <c r="G1130" s="15">
        <f>IF($F1130="","",IFERROR(INDEX(rngEPname,MATCH($F1130,rngEPcode,0)),"?"))</f>
        <v/>
      </c>
      <c r="H1130" s="15">
        <f>IF($F1130="","",IFERROR(INDEX(rngEPtype,MATCH($F1130,rngEPcode,0)),"?"))</f>
        <v/>
      </c>
      <c r="I1130" s="15">
        <f>IF($F1130="","",IFERROR(INDEX(rngEPseq,MATCH($F1130,rngEPcode,0)),""))</f>
        <v/>
      </c>
      <c r="J1130" s="15">
        <f>IF($F1130="","",IFERROR(INDEX(rngEPpass,MATCH($F1130,rngEPcode,0)),cfgPassingScore))</f>
        <v/>
      </c>
      <c r="K1130" s="14" t="n"/>
      <c r="L1130" s="14" t="n"/>
      <c r="M1130" s="15">
        <f>IF($C1130="","",IF($L1130="","",IF($K1130=1,IF(COUNTIFS(nrES_PID,$D1130,nrES_Code,$F1130,nrES_Att,2)&gt;0,"",$L1130),IF(COUNTIFS(nrES_PID,$D1130,nrES_Code,$F1130,nrES_Att,1)=0,$L1130,IF($L1130&gt;=$J1130,cfgRetakeRecordedCap,SUMIFS(nrES_Raw,nrES_PID,$D1130,nrES_Code,$F1130,nrES_Att,1))))))</f>
        <v/>
      </c>
      <c r="N1130" s="15">
        <f>IF($C1130="","",IF($L1130="","",IF($L1130&gt;=$J1130,"Yes","No")))</f>
        <v/>
      </c>
      <c r="O1130" s="15">
        <f>IF($C1130="","",IF($M1130="","",IF($M1130&gt;=$J1130,"Yes","No")))</f>
        <v/>
      </c>
      <c r="P1130" s="15">
        <f>IF($C1130="","",IF($K1130="","",IF(COUNTIFS(nrES_PID,$D1130,nrES_Code,$F1130,nrES_Att,"&gt;"&amp;$K1130)=0,"Yes","No")))</f>
        <v/>
      </c>
      <c r="Q1130" s="15">
        <f>IF($C1130="","",IF($L1130="","",IF(AND($K1130=1,$L1130&lt;$J1130,COUNTIFS(nrES_PID,$D1130,nrES_Code,$F1130,nrES_Att,2)=0),"Yes","No")))</f>
        <v/>
      </c>
      <c r="R1130" s="15">
        <f>IF($C1130="","",IF($L1130="","",IF(AND($K1130=2,$L1130&lt;$J1130,COUNTIFS(nrES_PID,$D1130,nrES_Code,$F1130,nrES_Att,1)&gt;0),"Yes","No")))</f>
        <v/>
      </c>
      <c r="S1130" s="16" t="n"/>
      <c r="T1130" s="17">
        <f>IF($Q1130&lt;&gt;"Yes","",IF($S1130="","(enter date)",_xlfn.LET(_xlpm.dn,IFERROR(_xlfn.XLOOKUP($S1130,nrCDdate,nrCDnum),""),IF(_xlpm.dn="","(not a class day)",IFERROR(_xlfn.XLOOKUP(_xlpm.dn+cfgRetestClassDays,nrCDnum,nrCDdate),"")))))</f>
        <v/>
      </c>
      <c r="U1130" s="15">
        <f>IF($Q1130&lt;&gt;"Yes","",IF(COUNTIFS(nrES_PID,$D1130,nrES_Code,$F1130,nrES_Att,2)&gt;0,"Retested",IF(OR($T1130="",NOT(ISNUMBER($T1130))),"Pending",IF(TODAY()&gt;$T1130,"OVERDUE","Due "&amp;TEXT($T1130,"mm/dd")))))</f>
        <v/>
      </c>
      <c r="V1130" s="14" t="n"/>
      <c r="W1130" s="14" t="n"/>
    </row>
    <row r="1131">
      <c r="B1131" s="15">
        <f>IF($C1131="","",$D1131&amp;"-"&amp;$F1131&amp;"-"&amp;$K1131)</f>
        <v/>
      </c>
      <c r="C1131" s="14" t="n"/>
      <c r="D1131" s="15">
        <f>IF($C1131="","",IFERROR(INDEX(rngCadetPIDs,MATCH($C1131,rngCadetNames,0)),"?"))</f>
        <v/>
      </c>
      <c r="E1131" s="15">
        <f>IF($D1131="","",IFERROR(INDEX(nrCadetAgency,MATCH($D1131,rngCadetPIDs,0)),""))</f>
        <v/>
      </c>
      <c r="F1131" s="14" t="n"/>
      <c r="G1131" s="15">
        <f>IF($F1131="","",IFERROR(INDEX(rngEPname,MATCH($F1131,rngEPcode,0)),"?"))</f>
        <v/>
      </c>
      <c r="H1131" s="15">
        <f>IF($F1131="","",IFERROR(INDEX(rngEPtype,MATCH($F1131,rngEPcode,0)),"?"))</f>
        <v/>
      </c>
      <c r="I1131" s="15">
        <f>IF($F1131="","",IFERROR(INDEX(rngEPseq,MATCH($F1131,rngEPcode,0)),""))</f>
        <v/>
      </c>
      <c r="J1131" s="15">
        <f>IF($F1131="","",IFERROR(INDEX(rngEPpass,MATCH($F1131,rngEPcode,0)),cfgPassingScore))</f>
        <v/>
      </c>
      <c r="K1131" s="14" t="n"/>
      <c r="L1131" s="14" t="n"/>
      <c r="M1131" s="15">
        <f>IF($C1131="","",IF($L1131="","",IF($K1131=1,IF(COUNTIFS(nrES_PID,$D1131,nrES_Code,$F1131,nrES_Att,2)&gt;0,"",$L1131),IF(COUNTIFS(nrES_PID,$D1131,nrES_Code,$F1131,nrES_Att,1)=0,$L1131,IF($L1131&gt;=$J1131,cfgRetakeRecordedCap,SUMIFS(nrES_Raw,nrES_PID,$D1131,nrES_Code,$F1131,nrES_Att,1))))))</f>
        <v/>
      </c>
      <c r="N1131" s="15">
        <f>IF($C1131="","",IF($L1131="","",IF($L1131&gt;=$J1131,"Yes","No")))</f>
        <v/>
      </c>
      <c r="O1131" s="15">
        <f>IF($C1131="","",IF($M1131="","",IF($M1131&gt;=$J1131,"Yes","No")))</f>
        <v/>
      </c>
      <c r="P1131" s="15">
        <f>IF($C1131="","",IF($K1131="","",IF(COUNTIFS(nrES_PID,$D1131,nrES_Code,$F1131,nrES_Att,"&gt;"&amp;$K1131)=0,"Yes","No")))</f>
        <v/>
      </c>
      <c r="Q1131" s="15">
        <f>IF($C1131="","",IF($L1131="","",IF(AND($K1131=1,$L1131&lt;$J1131,COUNTIFS(nrES_PID,$D1131,nrES_Code,$F1131,nrES_Att,2)=0),"Yes","No")))</f>
        <v/>
      </c>
      <c r="R1131" s="15">
        <f>IF($C1131="","",IF($L1131="","",IF(AND($K1131=2,$L1131&lt;$J1131,COUNTIFS(nrES_PID,$D1131,nrES_Code,$F1131,nrES_Att,1)&gt;0),"Yes","No")))</f>
        <v/>
      </c>
      <c r="S1131" s="16" t="n"/>
      <c r="T1131" s="17">
        <f>IF($Q1131&lt;&gt;"Yes","",IF($S1131="","(enter date)",_xlfn.LET(_xlpm.dn,IFERROR(_xlfn.XLOOKUP($S1131,nrCDdate,nrCDnum),""),IF(_xlpm.dn="","(not a class day)",IFERROR(_xlfn.XLOOKUP(_xlpm.dn+cfgRetestClassDays,nrCDnum,nrCDdate),"")))))</f>
        <v/>
      </c>
      <c r="U1131" s="15">
        <f>IF($Q1131&lt;&gt;"Yes","",IF(COUNTIFS(nrES_PID,$D1131,nrES_Code,$F1131,nrES_Att,2)&gt;0,"Retested",IF(OR($T1131="",NOT(ISNUMBER($T1131))),"Pending",IF(TODAY()&gt;$T1131,"OVERDUE","Due "&amp;TEXT($T1131,"mm/dd")))))</f>
        <v/>
      </c>
      <c r="V1131" s="14" t="n"/>
      <c r="W1131" s="14" t="n"/>
    </row>
    <row r="1132">
      <c r="B1132" s="15">
        <f>IF($C1132="","",$D1132&amp;"-"&amp;$F1132&amp;"-"&amp;$K1132)</f>
        <v/>
      </c>
      <c r="C1132" s="14" t="n"/>
      <c r="D1132" s="15">
        <f>IF($C1132="","",IFERROR(INDEX(rngCadetPIDs,MATCH($C1132,rngCadetNames,0)),"?"))</f>
        <v/>
      </c>
      <c r="E1132" s="15">
        <f>IF($D1132="","",IFERROR(INDEX(nrCadetAgency,MATCH($D1132,rngCadetPIDs,0)),""))</f>
        <v/>
      </c>
      <c r="F1132" s="14" t="n"/>
      <c r="G1132" s="15">
        <f>IF($F1132="","",IFERROR(INDEX(rngEPname,MATCH($F1132,rngEPcode,0)),"?"))</f>
        <v/>
      </c>
      <c r="H1132" s="15">
        <f>IF($F1132="","",IFERROR(INDEX(rngEPtype,MATCH($F1132,rngEPcode,0)),"?"))</f>
        <v/>
      </c>
      <c r="I1132" s="15">
        <f>IF($F1132="","",IFERROR(INDEX(rngEPseq,MATCH($F1132,rngEPcode,0)),""))</f>
        <v/>
      </c>
      <c r="J1132" s="15">
        <f>IF($F1132="","",IFERROR(INDEX(rngEPpass,MATCH($F1132,rngEPcode,0)),cfgPassingScore))</f>
        <v/>
      </c>
      <c r="K1132" s="14" t="n"/>
      <c r="L1132" s="14" t="n"/>
      <c r="M1132" s="15">
        <f>IF($C1132="","",IF($L1132="","",IF($K1132=1,IF(COUNTIFS(nrES_PID,$D1132,nrES_Code,$F1132,nrES_Att,2)&gt;0,"",$L1132),IF(COUNTIFS(nrES_PID,$D1132,nrES_Code,$F1132,nrES_Att,1)=0,$L1132,IF($L1132&gt;=$J1132,cfgRetakeRecordedCap,SUMIFS(nrES_Raw,nrES_PID,$D1132,nrES_Code,$F1132,nrES_Att,1))))))</f>
        <v/>
      </c>
      <c r="N1132" s="15">
        <f>IF($C1132="","",IF($L1132="","",IF($L1132&gt;=$J1132,"Yes","No")))</f>
        <v/>
      </c>
      <c r="O1132" s="15">
        <f>IF($C1132="","",IF($M1132="","",IF($M1132&gt;=$J1132,"Yes","No")))</f>
        <v/>
      </c>
      <c r="P1132" s="15">
        <f>IF($C1132="","",IF($K1132="","",IF(COUNTIFS(nrES_PID,$D1132,nrES_Code,$F1132,nrES_Att,"&gt;"&amp;$K1132)=0,"Yes","No")))</f>
        <v/>
      </c>
      <c r="Q1132" s="15">
        <f>IF($C1132="","",IF($L1132="","",IF(AND($K1132=1,$L1132&lt;$J1132,COUNTIFS(nrES_PID,$D1132,nrES_Code,$F1132,nrES_Att,2)=0),"Yes","No")))</f>
        <v/>
      </c>
      <c r="R1132" s="15">
        <f>IF($C1132="","",IF($L1132="","",IF(AND($K1132=2,$L1132&lt;$J1132,COUNTIFS(nrES_PID,$D1132,nrES_Code,$F1132,nrES_Att,1)&gt;0),"Yes","No")))</f>
        <v/>
      </c>
      <c r="S1132" s="16" t="n"/>
      <c r="T1132" s="17">
        <f>IF($Q1132&lt;&gt;"Yes","",IF($S1132="","(enter date)",_xlfn.LET(_xlpm.dn,IFERROR(_xlfn.XLOOKUP($S1132,nrCDdate,nrCDnum),""),IF(_xlpm.dn="","(not a class day)",IFERROR(_xlfn.XLOOKUP(_xlpm.dn+cfgRetestClassDays,nrCDnum,nrCDdate),"")))))</f>
        <v/>
      </c>
      <c r="U1132" s="15">
        <f>IF($Q1132&lt;&gt;"Yes","",IF(COUNTIFS(nrES_PID,$D1132,nrES_Code,$F1132,nrES_Att,2)&gt;0,"Retested",IF(OR($T1132="",NOT(ISNUMBER($T1132))),"Pending",IF(TODAY()&gt;$T1132,"OVERDUE","Due "&amp;TEXT($T1132,"mm/dd")))))</f>
        <v/>
      </c>
      <c r="V1132" s="14" t="n"/>
      <c r="W1132" s="14" t="n"/>
    </row>
    <row r="1133">
      <c r="B1133" s="15">
        <f>IF($C1133="","",$D1133&amp;"-"&amp;$F1133&amp;"-"&amp;$K1133)</f>
        <v/>
      </c>
      <c r="C1133" s="14" t="n"/>
      <c r="D1133" s="15">
        <f>IF($C1133="","",IFERROR(INDEX(rngCadetPIDs,MATCH($C1133,rngCadetNames,0)),"?"))</f>
        <v/>
      </c>
      <c r="E1133" s="15">
        <f>IF($D1133="","",IFERROR(INDEX(nrCadetAgency,MATCH($D1133,rngCadetPIDs,0)),""))</f>
        <v/>
      </c>
      <c r="F1133" s="14" t="n"/>
      <c r="G1133" s="15">
        <f>IF($F1133="","",IFERROR(INDEX(rngEPname,MATCH($F1133,rngEPcode,0)),"?"))</f>
        <v/>
      </c>
      <c r="H1133" s="15">
        <f>IF($F1133="","",IFERROR(INDEX(rngEPtype,MATCH($F1133,rngEPcode,0)),"?"))</f>
        <v/>
      </c>
      <c r="I1133" s="15">
        <f>IF($F1133="","",IFERROR(INDEX(rngEPseq,MATCH($F1133,rngEPcode,0)),""))</f>
        <v/>
      </c>
      <c r="J1133" s="15">
        <f>IF($F1133="","",IFERROR(INDEX(rngEPpass,MATCH($F1133,rngEPcode,0)),cfgPassingScore))</f>
        <v/>
      </c>
      <c r="K1133" s="14" t="n"/>
      <c r="L1133" s="14" t="n"/>
      <c r="M1133" s="15">
        <f>IF($C1133="","",IF($L1133="","",IF($K1133=1,IF(COUNTIFS(nrES_PID,$D1133,nrES_Code,$F1133,nrES_Att,2)&gt;0,"",$L1133),IF(COUNTIFS(nrES_PID,$D1133,nrES_Code,$F1133,nrES_Att,1)=0,$L1133,IF($L1133&gt;=$J1133,cfgRetakeRecordedCap,SUMIFS(nrES_Raw,nrES_PID,$D1133,nrES_Code,$F1133,nrES_Att,1))))))</f>
        <v/>
      </c>
      <c r="N1133" s="15">
        <f>IF($C1133="","",IF($L1133="","",IF($L1133&gt;=$J1133,"Yes","No")))</f>
        <v/>
      </c>
      <c r="O1133" s="15">
        <f>IF($C1133="","",IF($M1133="","",IF($M1133&gt;=$J1133,"Yes","No")))</f>
        <v/>
      </c>
      <c r="P1133" s="15">
        <f>IF($C1133="","",IF($K1133="","",IF(COUNTIFS(nrES_PID,$D1133,nrES_Code,$F1133,nrES_Att,"&gt;"&amp;$K1133)=0,"Yes","No")))</f>
        <v/>
      </c>
      <c r="Q1133" s="15">
        <f>IF($C1133="","",IF($L1133="","",IF(AND($K1133=1,$L1133&lt;$J1133,COUNTIFS(nrES_PID,$D1133,nrES_Code,$F1133,nrES_Att,2)=0),"Yes","No")))</f>
        <v/>
      </c>
      <c r="R1133" s="15">
        <f>IF($C1133="","",IF($L1133="","",IF(AND($K1133=2,$L1133&lt;$J1133,COUNTIFS(nrES_PID,$D1133,nrES_Code,$F1133,nrES_Att,1)&gt;0),"Yes","No")))</f>
        <v/>
      </c>
      <c r="S1133" s="16" t="n"/>
      <c r="T1133" s="17">
        <f>IF($Q1133&lt;&gt;"Yes","",IF($S1133="","(enter date)",_xlfn.LET(_xlpm.dn,IFERROR(_xlfn.XLOOKUP($S1133,nrCDdate,nrCDnum),""),IF(_xlpm.dn="","(not a class day)",IFERROR(_xlfn.XLOOKUP(_xlpm.dn+cfgRetestClassDays,nrCDnum,nrCDdate),"")))))</f>
        <v/>
      </c>
      <c r="U1133" s="15">
        <f>IF($Q1133&lt;&gt;"Yes","",IF(COUNTIFS(nrES_PID,$D1133,nrES_Code,$F1133,nrES_Att,2)&gt;0,"Retested",IF(OR($T1133="",NOT(ISNUMBER($T1133))),"Pending",IF(TODAY()&gt;$T1133,"OVERDUE","Due "&amp;TEXT($T1133,"mm/dd")))))</f>
        <v/>
      </c>
      <c r="V1133" s="14" t="n"/>
      <c r="W1133" s="14" t="n"/>
    </row>
    <row r="1134">
      <c r="B1134" s="15">
        <f>IF($C1134="","",$D1134&amp;"-"&amp;$F1134&amp;"-"&amp;$K1134)</f>
        <v/>
      </c>
      <c r="C1134" s="14" t="n"/>
      <c r="D1134" s="15">
        <f>IF($C1134="","",IFERROR(INDEX(rngCadetPIDs,MATCH($C1134,rngCadetNames,0)),"?"))</f>
        <v/>
      </c>
      <c r="E1134" s="15">
        <f>IF($D1134="","",IFERROR(INDEX(nrCadetAgency,MATCH($D1134,rngCadetPIDs,0)),""))</f>
        <v/>
      </c>
      <c r="F1134" s="14" t="n"/>
      <c r="G1134" s="15">
        <f>IF($F1134="","",IFERROR(INDEX(rngEPname,MATCH($F1134,rngEPcode,0)),"?"))</f>
        <v/>
      </c>
      <c r="H1134" s="15">
        <f>IF($F1134="","",IFERROR(INDEX(rngEPtype,MATCH($F1134,rngEPcode,0)),"?"))</f>
        <v/>
      </c>
      <c r="I1134" s="15">
        <f>IF($F1134="","",IFERROR(INDEX(rngEPseq,MATCH($F1134,rngEPcode,0)),""))</f>
        <v/>
      </c>
      <c r="J1134" s="15">
        <f>IF($F1134="","",IFERROR(INDEX(rngEPpass,MATCH($F1134,rngEPcode,0)),cfgPassingScore))</f>
        <v/>
      </c>
      <c r="K1134" s="14" t="n"/>
      <c r="L1134" s="14" t="n"/>
      <c r="M1134" s="15">
        <f>IF($C1134="","",IF($L1134="","",IF($K1134=1,IF(COUNTIFS(nrES_PID,$D1134,nrES_Code,$F1134,nrES_Att,2)&gt;0,"",$L1134),IF(COUNTIFS(nrES_PID,$D1134,nrES_Code,$F1134,nrES_Att,1)=0,$L1134,IF($L1134&gt;=$J1134,cfgRetakeRecordedCap,SUMIFS(nrES_Raw,nrES_PID,$D1134,nrES_Code,$F1134,nrES_Att,1))))))</f>
        <v/>
      </c>
      <c r="N1134" s="15">
        <f>IF($C1134="","",IF($L1134="","",IF($L1134&gt;=$J1134,"Yes","No")))</f>
        <v/>
      </c>
      <c r="O1134" s="15">
        <f>IF($C1134="","",IF($M1134="","",IF($M1134&gt;=$J1134,"Yes","No")))</f>
        <v/>
      </c>
      <c r="P1134" s="15">
        <f>IF($C1134="","",IF($K1134="","",IF(COUNTIFS(nrES_PID,$D1134,nrES_Code,$F1134,nrES_Att,"&gt;"&amp;$K1134)=0,"Yes","No")))</f>
        <v/>
      </c>
      <c r="Q1134" s="15">
        <f>IF($C1134="","",IF($L1134="","",IF(AND($K1134=1,$L1134&lt;$J1134,COUNTIFS(nrES_PID,$D1134,nrES_Code,$F1134,nrES_Att,2)=0),"Yes","No")))</f>
        <v/>
      </c>
      <c r="R1134" s="15">
        <f>IF($C1134="","",IF($L1134="","",IF(AND($K1134=2,$L1134&lt;$J1134,COUNTIFS(nrES_PID,$D1134,nrES_Code,$F1134,nrES_Att,1)&gt;0),"Yes","No")))</f>
        <v/>
      </c>
      <c r="S1134" s="16" t="n"/>
      <c r="T1134" s="17">
        <f>IF($Q1134&lt;&gt;"Yes","",IF($S1134="","(enter date)",_xlfn.LET(_xlpm.dn,IFERROR(_xlfn.XLOOKUP($S1134,nrCDdate,nrCDnum),""),IF(_xlpm.dn="","(not a class day)",IFERROR(_xlfn.XLOOKUP(_xlpm.dn+cfgRetestClassDays,nrCDnum,nrCDdate),"")))))</f>
        <v/>
      </c>
      <c r="U1134" s="15">
        <f>IF($Q1134&lt;&gt;"Yes","",IF(COUNTIFS(nrES_PID,$D1134,nrES_Code,$F1134,nrES_Att,2)&gt;0,"Retested",IF(OR($T1134="",NOT(ISNUMBER($T1134))),"Pending",IF(TODAY()&gt;$T1134,"OVERDUE","Due "&amp;TEXT($T1134,"mm/dd")))))</f>
        <v/>
      </c>
      <c r="V1134" s="14" t="n"/>
      <c r="W1134" s="14" t="n"/>
    </row>
    <row r="1135">
      <c r="B1135" s="15">
        <f>IF($C1135="","",$D1135&amp;"-"&amp;$F1135&amp;"-"&amp;$K1135)</f>
        <v/>
      </c>
      <c r="C1135" s="14" t="n"/>
      <c r="D1135" s="15">
        <f>IF($C1135="","",IFERROR(INDEX(rngCadetPIDs,MATCH($C1135,rngCadetNames,0)),"?"))</f>
        <v/>
      </c>
      <c r="E1135" s="15">
        <f>IF($D1135="","",IFERROR(INDEX(nrCadetAgency,MATCH($D1135,rngCadetPIDs,0)),""))</f>
        <v/>
      </c>
      <c r="F1135" s="14" t="n"/>
      <c r="G1135" s="15">
        <f>IF($F1135="","",IFERROR(INDEX(rngEPname,MATCH($F1135,rngEPcode,0)),"?"))</f>
        <v/>
      </c>
      <c r="H1135" s="15">
        <f>IF($F1135="","",IFERROR(INDEX(rngEPtype,MATCH($F1135,rngEPcode,0)),"?"))</f>
        <v/>
      </c>
      <c r="I1135" s="15">
        <f>IF($F1135="","",IFERROR(INDEX(rngEPseq,MATCH($F1135,rngEPcode,0)),""))</f>
        <v/>
      </c>
      <c r="J1135" s="15">
        <f>IF($F1135="","",IFERROR(INDEX(rngEPpass,MATCH($F1135,rngEPcode,0)),cfgPassingScore))</f>
        <v/>
      </c>
      <c r="K1135" s="14" t="n"/>
      <c r="L1135" s="14" t="n"/>
      <c r="M1135" s="15">
        <f>IF($C1135="","",IF($L1135="","",IF($K1135=1,IF(COUNTIFS(nrES_PID,$D1135,nrES_Code,$F1135,nrES_Att,2)&gt;0,"",$L1135),IF(COUNTIFS(nrES_PID,$D1135,nrES_Code,$F1135,nrES_Att,1)=0,$L1135,IF($L1135&gt;=$J1135,cfgRetakeRecordedCap,SUMIFS(nrES_Raw,nrES_PID,$D1135,nrES_Code,$F1135,nrES_Att,1))))))</f>
        <v/>
      </c>
      <c r="N1135" s="15">
        <f>IF($C1135="","",IF($L1135="","",IF($L1135&gt;=$J1135,"Yes","No")))</f>
        <v/>
      </c>
      <c r="O1135" s="15">
        <f>IF($C1135="","",IF($M1135="","",IF($M1135&gt;=$J1135,"Yes","No")))</f>
        <v/>
      </c>
      <c r="P1135" s="15">
        <f>IF($C1135="","",IF($K1135="","",IF(COUNTIFS(nrES_PID,$D1135,nrES_Code,$F1135,nrES_Att,"&gt;"&amp;$K1135)=0,"Yes","No")))</f>
        <v/>
      </c>
      <c r="Q1135" s="15">
        <f>IF($C1135="","",IF($L1135="","",IF(AND($K1135=1,$L1135&lt;$J1135,COUNTIFS(nrES_PID,$D1135,nrES_Code,$F1135,nrES_Att,2)=0),"Yes","No")))</f>
        <v/>
      </c>
      <c r="R1135" s="15">
        <f>IF($C1135="","",IF($L1135="","",IF(AND($K1135=2,$L1135&lt;$J1135,COUNTIFS(nrES_PID,$D1135,nrES_Code,$F1135,nrES_Att,1)&gt;0),"Yes","No")))</f>
        <v/>
      </c>
      <c r="S1135" s="16" t="n"/>
      <c r="T1135" s="17">
        <f>IF($Q1135&lt;&gt;"Yes","",IF($S1135="","(enter date)",_xlfn.LET(_xlpm.dn,IFERROR(_xlfn.XLOOKUP($S1135,nrCDdate,nrCDnum),""),IF(_xlpm.dn="","(not a class day)",IFERROR(_xlfn.XLOOKUP(_xlpm.dn+cfgRetestClassDays,nrCDnum,nrCDdate),"")))))</f>
        <v/>
      </c>
      <c r="U1135" s="15">
        <f>IF($Q1135&lt;&gt;"Yes","",IF(COUNTIFS(nrES_PID,$D1135,nrES_Code,$F1135,nrES_Att,2)&gt;0,"Retested",IF(OR($T1135="",NOT(ISNUMBER($T1135))),"Pending",IF(TODAY()&gt;$T1135,"OVERDUE","Due "&amp;TEXT($T1135,"mm/dd")))))</f>
        <v/>
      </c>
      <c r="V1135" s="14" t="n"/>
      <c r="W1135" s="14" t="n"/>
    </row>
    <row r="1136">
      <c r="B1136" s="15">
        <f>IF($C1136="","",$D1136&amp;"-"&amp;$F1136&amp;"-"&amp;$K1136)</f>
        <v/>
      </c>
      <c r="C1136" s="14" t="n"/>
      <c r="D1136" s="15">
        <f>IF($C1136="","",IFERROR(INDEX(rngCadetPIDs,MATCH($C1136,rngCadetNames,0)),"?"))</f>
        <v/>
      </c>
      <c r="E1136" s="15">
        <f>IF($D1136="","",IFERROR(INDEX(nrCadetAgency,MATCH($D1136,rngCadetPIDs,0)),""))</f>
        <v/>
      </c>
      <c r="F1136" s="14" t="n"/>
      <c r="G1136" s="15">
        <f>IF($F1136="","",IFERROR(INDEX(rngEPname,MATCH($F1136,rngEPcode,0)),"?"))</f>
        <v/>
      </c>
      <c r="H1136" s="15">
        <f>IF($F1136="","",IFERROR(INDEX(rngEPtype,MATCH($F1136,rngEPcode,0)),"?"))</f>
        <v/>
      </c>
      <c r="I1136" s="15">
        <f>IF($F1136="","",IFERROR(INDEX(rngEPseq,MATCH($F1136,rngEPcode,0)),""))</f>
        <v/>
      </c>
      <c r="J1136" s="15">
        <f>IF($F1136="","",IFERROR(INDEX(rngEPpass,MATCH($F1136,rngEPcode,0)),cfgPassingScore))</f>
        <v/>
      </c>
      <c r="K1136" s="14" t="n"/>
      <c r="L1136" s="14" t="n"/>
      <c r="M1136" s="15">
        <f>IF($C1136="","",IF($L1136="","",IF($K1136=1,IF(COUNTIFS(nrES_PID,$D1136,nrES_Code,$F1136,nrES_Att,2)&gt;0,"",$L1136),IF(COUNTIFS(nrES_PID,$D1136,nrES_Code,$F1136,nrES_Att,1)=0,$L1136,IF($L1136&gt;=$J1136,cfgRetakeRecordedCap,SUMIFS(nrES_Raw,nrES_PID,$D1136,nrES_Code,$F1136,nrES_Att,1))))))</f>
        <v/>
      </c>
      <c r="N1136" s="15">
        <f>IF($C1136="","",IF($L1136="","",IF($L1136&gt;=$J1136,"Yes","No")))</f>
        <v/>
      </c>
      <c r="O1136" s="15">
        <f>IF($C1136="","",IF($M1136="","",IF($M1136&gt;=$J1136,"Yes","No")))</f>
        <v/>
      </c>
      <c r="P1136" s="15">
        <f>IF($C1136="","",IF($K1136="","",IF(COUNTIFS(nrES_PID,$D1136,nrES_Code,$F1136,nrES_Att,"&gt;"&amp;$K1136)=0,"Yes","No")))</f>
        <v/>
      </c>
      <c r="Q1136" s="15">
        <f>IF($C1136="","",IF($L1136="","",IF(AND($K1136=1,$L1136&lt;$J1136,COUNTIFS(nrES_PID,$D1136,nrES_Code,$F1136,nrES_Att,2)=0),"Yes","No")))</f>
        <v/>
      </c>
      <c r="R1136" s="15">
        <f>IF($C1136="","",IF($L1136="","",IF(AND($K1136=2,$L1136&lt;$J1136,COUNTIFS(nrES_PID,$D1136,nrES_Code,$F1136,nrES_Att,1)&gt;0),"Yes","No")))</f>
        <v/>
      </c>
      <c r="S1136" s="16" t="n"/>
      <c r="T1136" s="17">
        <f>IF($Q1136&lt;&gt;"Yes","",IF($S1136="","(enter date)",_xlfn.LET(_xlpm.dn,IFERROR(_xlfn.XLOOKUP($S1136,nrCDdate,nrCDnum),""),IF(_xlpm.dn="","(not a class day)",IFERROR(_xlfn.XLOOKUP(_xlpm.dn+cfgRetestClassDays,nrCDnum,nrCDdate),"")))))</f>
        <v/>
      </c>
      <c r="U1136" s="15">
        <f>IF($Q1136&lt;&gt;"Yes","",IF(COUNTIFS(nrES_PID,$D1136,nrES_Code,$F1136,nrES_Att,2)&gt;0,"Retested",IF(OR($T1136="",NOT(ISNUMBER($T1136))),"Pending",IF(TODAY()&gt;$T1136,"OVERDUE","Due "&amp;TEXT($T1136,"mm/dd")))))</f>
        <v/>
      </c>
      <c r="V1136" s="14" t="n"/>
      <c r="W1136" s="14" t="n"/>
    </row>
    <row r="1137">
      <c r="B1137" s="15">
        <f>IF($C1137="","",$D1137&amp;"-"&amp;$F1137&amp;"-"&amp;$K1137)</f>
        <v/>
      </c>
      <c r="C1137" s="14" t="n"/>
      <c r="D1137" s="15">
        <f>IF($C1137="","",IFERROR(INDEX(rngCadetPIDs,MATCH($C1137,rngCadetNames,0)),"?"))</f>
        <v/>
      </c>
      <c r="E1137" s="15">
        <f>IF($D1137="","",IFERROR(INDEX(nrCadetAgency,MATCH($D1137,rngCadetPIDs,0)),""))</f>
        <v/>
      </c>
      <c r="F1137" s="14" t="n"/>
      <c r="G1137" s="15">
        <f>IF($F1137="","",IFERROR(INDEX(rngEPname,MATCH($F1137,rngEPcode,0)),"?"))</f>
        <v/>
      </c>
      <c r="H1137" s="15">
        <f>IF($F1137="","",IFERROR(INDEX(rngEPtype,MATCH($F1137,rngEPcode,0)),"?"))</f>
        <v/>
      </c>
      <c r="I1137" s="15">
        <f>IF($F1137="","",IFERROR(INDEX(rngEPseq,MATCH($F1137,rngEPcode,0)),""))</f>
        <v/>
      </c>
      <c r="J1137" s="15">
        <f>IF($F1137="","",IFERROR(INDEX(rngEPpass,MATCH($F1137,rngEPcode,0)),cfgPassingScore))</f>
        <v/>
      </c>
      <c r="K1137" s="14" t="n"/>
      <c r="L1137" s="14" t="n"/>
      <c r="M1137" s="15">
        <f>IF($C1137="","",IF($L1137="","",IF($K1137=1,IF(COUNTIFS(nrES_PID,$D1137,nrES_Code,$F1137,nrES_Att,2)&gt;0,"",$L1137),IF(COUNTIFS(nrES_PID,$D1137,nrES_Code,$F1137,nrES_Att,1)=0,$L1137,IF($L1137&gt;=$J1137,cfgRetakeRecordedCap,SUMIFS(nrES_Raw,nrES_PID,$D1137,nrES_Code,$F1137,nrES_Att,1))))))</f>
        <v/>
      </c>
      <c r="N1137" s="15">
        <f>IF($C1137="","",IF($L1137="","",IF($L1137&gt;=$J1137,"Yes","No")))</f>
        <v/>
      </c>
      <c r="O1137" s="15">
        <f>IF($C1137="","",IF($M1137="","",IF($M1137&gt;=$J1137,"Yes","No")))</f>
        <v/>
      </c>
      <c r="P1137" s="15">
        <f>IF($C1137="","",IF($K1137="","",IF(COUNTIFS(nrES_PID,$D1137,nrES_Code,$F1137,nrES_Att,"&gt;"&amp;$K1137)=0,"Yes","No")))</f>
        <v/>
      </c>
      <c r="Q1137" s="15">
        <f>IF($C1137="","",IF($L1137="","",IF(AND($K1137=1,$L1137&lt;$J1137,COUNTIFS(nrES_PID,$D1137,nrES_Code,$F1137,nrES_Att,2)=0),"Yes","No")))</f>
        <v/>
      </c>
      <c r="R1137" s="15">
        <f>IF($C1137="","",IF($L1137="","",IF(AND($K1137=2,$L1137&lt;$J1137,COUNTIFS(nrES_PID,$D1137,nrES_Code,$F1137,nrES_Att,1)&gt;0),"Yes","No")))</f>
        <v/>
      </c>
      <c r="S1137" s="16" t="n"/>
      <c r="T1137" s="17">
        <f>IF($Q1137&lt;&gt;"Yes","",IF($S1137="","(enter date)",_xlfn.LET(_xlpm.dn,IFERROR(_xlfn.XLOOKUP($S1137,nrCDdate,nrCDnum),""),IF(_xlpm.dn="","(not a class day)",IFERROR(_xlfn.XLOOKUP(_xlpm.dn+cfgRetestClassDays,nrCDnum,nrCDdate),"")))))</f>
        <v/>
      </c>
      <c r="U1137" s="15">
        <f>IF($Q1137&lt;&gt;"Yes","",IF(COUNTIFS(nrES_PID,$D1137,nrES_Code,$F1137,nrES_Att,2)&gt;0,"Retested",IF(OR($T1137="",NOT(ISNUMBER($T1137))),"Pending",IF(TODAY()&gt;$T1137,"OVERDUE","Due "&amp;TEXT($T1137,"mm/dd")))))</f>
        <v/>
      </c>
      <c r="V1137" s="14" t="n"/>
      <c r="W1137" s="14" t="n"/>
    </row>
    <row r="1138">
      <c r="B1138" s="15">
        <f>IF($C1138="","",$D1138&amp;"-"&amp;$F1138&amp;"-"&amp;$K1138)</f>
        <v/>
      </c>
      <c r="C1138" s="14" t="n"/>
      <c r="D1138" s="15">
        <f>IF($C1138="","",IFERROR(INDEX(rngCadetPIDs,MATCH($C1138,rngCadetNames,0)),"?"))</f>
        <v/>
      </c>
      <c r="E1138" s="15">
        <f>IF($D1138="","",IFERROR(INDEX(nrCadetAgency,MATCH($D1138,rngCadetPIDs,0)),""))</f>
        <v/>
      </c>
      <c r="F1138" s="14" t="n"/>
      <c r="G1138" s="15">
        <f>IF($F1138="","",IFERROR(INDEX(rngEPname,MATCH($F1138,rngEPcode,0)),"?"))</f>
        <v/>
      </c>
      <c r="H1138" s="15">
        <f>IF($F1138="","",IFERROR(INDEX(rngEPtype,MATCH($F1138,rngEPcode,0)),"?"))</f>
        <v/>
      </c>
      <c r="I1138" s="15">
        <f>IF($F1138="","",IFERROR(INDEX(rngEPseq,MATCH($F1138,rngEPcode,0)),""))</f>
        <v/>
      </c>
      <c r="J1138" s="15">
        <f>IF($F1138="","",IFERROR(INDEX(rngEPpass,MATCH($F1138,rngEPcode,0)),cfgPassingScore))</f>
        <v/>
      </c>
      <c r="K1138" s="14" t="n"/>
      <c r="L1138" s="14" t="n"/>
      <c r="M1138" s="15">
        <f>IF($C1138="","",IF($L1138="","",IF($K1138=1,IF(COUNTIFS(nrES_PID,$D1138,nrES_Code,$F1138,nrES_Att,2)&gt;0,"",$L1138),IF(COUNTIFS(nrES_PID,$D1138,nrES_Code,$F1138,nrES_Att,1)=0,$L1138,IF($L1138&gt;=$J1138,cfgRetakeRecordedCap,SUMIFS(nrES_Raw,nrES_PID,$D1138,nrES_Code,$F1138,nrES_Att,1))))))</f>
        <v/>
      </c>
      <c r="N1138" s="15">
        <f>IF($C1138="","",IF($L1138="","",IF($L1138&gt;=$J1138,"Yes","No")))</f>
        <v/>
      </c>
      <c r="O1138" s="15">
        <f>IF($C1138="","",IF($M1138="","",IF($M1138&gt;=$J1138,"Yes","No")))</f>
        <v/>
      </c>
      <c r="P1138" s="15">
        <f>IF($C1138="","",IF($K1138="","",IF(COUNTIFS(nrES_PID,$D1138,nrES_Code,$F1138,nrES_Att,"&gt;"&amp;$K1138)=0,"Yes","No")))</f>
        <v/>
      </c>
      <c r="Q1138" s="15">
        <f>IF($C1138="","",IF($L1138="","",IF(AND($K1138=1,$L1138&lt;$J1138,COUNTIFS(nrES_PID,$D1138,nrES_Code,$F1138,nrES_Att,2)=0),"Yes","No")))</f>
        <v/>
      </c>
      <c r="R1138" s="15">
        <f>IF($C1138="","",IF($L1138="","",IF(AND($K1138=2,$L1138&lt;$J1138,COUNTIFS(nrES_PID,$D1138,nrES_Code,$F1138,nrES_Att,1)&gt;0),"Yes","No")))</f>
        <v/>
      </c>
      <c r="S1138" s="16" t="n"/>
      <c r="T1138" s="17">
        <f>IF($Q1138&lt;&gt;"Yes","",IF($S1138="","(enter date)",_xlfn.LET(_xlpm.dn,IFERROR(_xlfn.XLOOKUP($S1138,nrCDdate,nrCDnum),""),IF(_xlpm.dn="","(not a class day)",IFERROR(_xlfn.XLOOKUP(_xlpm.dn+cfgRetestClassDays,nrCDnum,nrCDdate),"")))))</f>
        <v/>
      </c>
      <c r="U1138" s="15">
        <f>IF($Q1138&lt;&gt;"Yes","",IF(COUNTIFS(nrES_PID,$D1138,nrES_Code,$F1138,nrES_Att,2)&gt;0,"Retested",IF(OR($T1138="",NOT(ISNUMBER($T1138))),"Pending",IF(TODAY()&gt;$T1138,"OVERDUE","Due "&amp;TEXT($T1138,"mm/dd")))))</f>
        <v/>
      </c>
      <c r="V1138" s="14" t="n"/>
      <c r="W1138" s="14" t="n"/>
    </row>
    <row r="1139">
      <c r="B1139" s="15">
        <f>IF($C1139="","",$D1139&amp;"-"&amp;$F1139&amp;"-"&amp;$K1139)</f>
        <v/>
      </c>
      <c r="C1139" s="14" t="n"/>
      <c r="D1139" s="15">
        <f>IF($C1139="","",IFERROR(INDEX(rngCadetPIDs,MATCH($C1139,rngCadetNames,0)),"?"))</f>
        <v/>
      </c>
      <c r="E1139" s="15">
        <f>IF($D1139="","",IFERROR(INDEX(nrCadetAgency,MATCH($D1139,rngCadetPIDs,0)),""))</f>
        <v/>
      </c>
      <c r="F1139" s="14" t="n"/>
      <c r="G1139" s="15">
        <f>IF($F1139="","",IFERROR(INDEX(rngEPname,MATCH($F1139,rngEPcode,0)),"?"))</f>
        <v/>
      </c>
      <c r="H1139" s="15">
        <f>IF($F1139="","",IFERROR(INDEX(rngEPtype,MATCH($F1139,rngEPcode,0)),"?"))</f>
        <v/>
      </c>
      <c r="I1139" s="15">
        <f>IF($F1139="","",IFERROR(INDEX(rngEPseq,MATCH($F1139,rngEPcode,0)),""))</f>
        <v/>
      </c>
      <c r="J1139" s="15">
        <f>IF($F1139="","",IFERROR(INDEX(rngEPpass,MATCH($F1139,rngEPcode,0)),cfgPassingScore))</f>
        <v/>
      </c>
      <c r="K1139" s="14" t="n"/>
      <c r="L1139" s="14" t="n"/>
      <c r="M1139" s="15">
        <f>IF($C1139="","",IF($L1139="","",IF($K1139=1,IF(COUNTIFS(nrES_PID,$D1139,nrES_Code,$F1139,nrES_Att,2)&gt;0,"",$L1139),IF(COUNTIFS(nrES_PID,$D1139,nrES_Code,$F1139,nrES_Att,1)=0,$L1139,IF($L1139&gt;=$J1139,cfgRetakeRecordedCap,SUMIFS(nrES_Raw,nrES_PID,$D1139,nrES_Code,$F1139,nrES_Att,1))))))</f>
        <v/>
      </c>
      <c r="N1139" s="15">
        <f>IF($C1139="","",IF($L1139="","",IF($L1139&gt;=$J1139,"Yes","No")))</f>
        <v/>
      </c>
      <c r="O1139" s="15">
        <f>IF($C1139="","",IF($M1139="","",IF($M1139&gt;=$J1139,"Yes","No")))</f>
        <v/>
      </c>
      <c r="P1139" s="15">
        <f>IF($C1139="","",IF($K1139="","",IF(COUNTIFS(nrES_PID,$D1139,nrES_Code,$F1139,nrES_Att,"&gt;"&amp;$K1139)=0,"Yes","No")))</f>
        <v/>
      </c>
      <c r="Q1139" s="15">
        <f>IF($C1139="","",IF($L1139="","",IF(AND($K1139=1,$L1139&lt;$J1139,COUNTIFS(nrES_PID,$D1139,nrES_Code,$F1139,nrES_Att,2)=0),"Yes","No")))</f>
        <v/>
      </c>
      <c r="R1139" s="15">
        <f>IF($C1139="","",IF($L1139="","",IF(AND($K1139=2,$L1139&lt;$J1139,COUNTIFS(nrES_PID,$D1139,nrES_Code,$F1139,nrES_Att,1)&gt;0),"Yes","No")))</f>
        <v/>
      </c>
      <c r="S1139" s="16" t="n"/>
      <c r="T1139" s="17">
        <f>IF($Q1139&lt;&gt;"Yes","",IF($S1139="","(enter date)",_xlfn.LET(_xlpm.dn,IFERROR(_xlfn.XLOOKUP($S1139,nrCDdate,nrCDnum),""),IF(_xlpm.dn="","(not a class day)",IFERROR(_xlfn.XLOOKUP(_xlpm.dn+cfgRetestClassDays,nrCDnum,nrCDdate),"")))))</f>
        <v/>
      </c>
      <c r="U1139" s="15">
        <f>IF($Q1139&lt;&gt;"Yes","",IF(COUNTIFS(nrES_PID,$D1139,nrES_Code,$F1139,nrES_Att,2)&gt;0,"Retested",IF(OR($T1139="",NOT(ISNUMBER($T1139))),"Pending",IF(TODAY()&gt;$T1139,"OVERDUE","Due "&amp;TEXT($T1139,"mm/dd")))))</f>
        <v/>
      </c>
      <c r="V1139" s="14" t="n"/>
      <c r="W1139" s="14" t="n"/>
    </row>
    <row r="1140">
      <c r="B1140" s="15">
        <f>IF($C1140="","",$D1140&amp;"-"&amp;$F1140&amp;"-"&amp;$K1140)</f>
        <v/>
      </c>
      <c r="C1140" s="14" t="n"/>
      <c r="D1140" s="15">
        <f>IF($C1140="","",IFERROR(INDEX(rngCadetPIDs,MATCH($C1140,rngCadetNames,0)),"?"))</f>
        <v/>
      </c>
      <c r="E1140" s="15">
        <f>IF($D1140="","",IFERROR(INDEX(nrCadetAgency,MATCH($D1140,rngCadetPIDs,0)),""))</f>
        <v/>
      </c>
      <c r="F1140" s="14" t="n"/>
      <c r="G1140" s="15">
        <f>IF($F1140="","",IFERROR(INDEX(rngEPname,MATCH($F1140,rngEPcode,0)),"?"))</f>
        <v/>
      </c>
      <c r="H1140" s="15">
        <f>IF($F1140="","",IFERROR(INDEX(rngEPtype,MATCH($F1140,rngEPcode,0)),"?"))</f>
        <v/>
      </c>
      <c r="I1140" s="15">
        <f>IF($F1140="","",IFERROR(INDEX(rngEPseq,MATCH($F1140,rngEPcode,0)),""))</f>
        <v/>
      </c>
      <c r="J1140" s="15">
        <f>IF($F1140="","",IFERROR(INDEX(rngEPpass,MATCH($F1140,rngEPcode,0)),cfgPassingScore))</f>
        <v/>
      </c>
      <c r="K1140" s="14" t="n"/>
      <c r="L1140" s="14" t="n"/>
      <c r="M1140" s="15">
        <f>IF($C1140="","",IF($L1140="","",IF($K1140=1,IF(COUNTIFS(nrES_PID,$D1140,nrES_Code,$F1140,nrES_Att,2)&gt;0,"",$L1140),IF(COUNTIFS(nrES_PID,$D1140,nrES_Code,$F1140,nrES_Att,1)=0,$L1140,IF($L1140&gt;=$J1140,cfgRetakeRecordedCap,SUMIFS(nrES_Raw,nrES_PID,$D1140,nrES_Code,$F1140,nrES_Att,1))))))</f>
        <v/>
      </c>
      <c r="N1140" s="15">
        <f>IF($C1140="","",IF($L1140="","",IF($L1140&gt;=$J1140,"Yes","No")))</f>
        <v/>
      </c>
      <c r="O1140" s="15">
        <f>IF($C1140="","",IF($M1140="","",IF($M1140&gt;=$J1140,"Yes","No")))</f>
        <v/>
      </c>
      <c r="P1140" s="15">
        <f>IF($C1140="","",IF($K1140="","",IF(COUNTIFS(nrES_PID,$D1140,nrES_Code,$F1140,nrES_Att,"&gt;"&amp;$K1140)=0,"Yes","No")))</f>
        <v/>
      </c>
      <c r="Q1140" s="15">
        <f>IF($C1140="","",IF($L1140="","",IF(AND($K1140=1,$L1140&lt;$J1140,COUNTIFS(nrES_PID,$D1140,nrES_Code,$F1140,nrES_Att,2)=0),"Yes","No")))</f>
        <v/>
      </c>
      <c r="R1140" s="15">
        <f>IF($C1140="","",IF($L1140="","",IF(AND($K1140=2,$L1140&lt;$J1140,COUNTIFS(nrES_PID,$D1140,nrES_Code,$F1140,nrES_Att,1)&gt;0),"Yes","No")))</f>
        <v/>
      </c>
      <c r="S1140" s="16" t="n"/>
      <c r="T1140" s="17">
        <f>IF($Q1140&lt;&gt;"Yes","",IF($S1140="","(enter date)",_xlfn.LET(_xlpm.dn,IFERROR(_xlfn.XLOOKUP($S1140,nrCDdate,nrCDnum),""),IF(_xlpm.dn="","(not a class day)",IFERROR(_xlfn.XLOOKUP(_xlpm.dn+cfgRetestClassDays,nrCDnum,nrCDdate),"")))))</f>
        <v/>
      </c>
      <c r="U1140" s="15">
        <f>IF($Q1140&lt;&gt;"Yes","",IF(COUNTIFS(nrES_PID,$D1140,nrES_Code,$F1140,nrES_Att,2)&gt;0,"Retested",IF(OR($T1140="",NOT(ISNUMBER($T1140))),"Pending",IF(TODAY()&gt;$T1140,"OVERDUE","Due "&amp;TEXT($T1140,"mm/dd")))))</f>
        <v/>
      </c>
      <c r="V1140" s="14" t="n"/>
      <c r="W1140" s="14" t="n"/>
    </row>
    <row r="1141">
      <c r="B1141" s="15">
        <f>IF($C1141="","",$D1141&amp;"-"&amp;$F1141&amp;"-"&amp;$K1141)</f>
        <v/>
      </c>
      <c r="C1141" s="14" t="n"/>
      <c r="D1141" s="15">
        <f>IF($C1141="","",IFERROR(INDEX(rngCadetPIDs,MATCH($C1141,rngCadetNames,0)),"?"))</f>
        <v/>
      </c>
      <c r="E1141" s="15">
        <f>IF($D1141="","",IFERROR(INDEX(nrCadetAgency,MATCH($D1141,rngCadetPIDs,0)),""))</f>
        <v/>
      </c>
      <c r="F1141" s="14" t="n"/>
      <c r="G1141" s="15">
        <f>IF($F1141="","",IFERROR(INDEX(rngEPname,MATCH($F1141,rngEPcode,0)),"?"))</f>
        <v/>
      </c>
      <c r="H1141" s="15">
        <f>IF($F1141="","",IFERROR(INDEX(rngEPtype,MATCH($F1141,rngEPcode,0)),"?"))</f>
        <v/>
      </c>
      <c r="I1141" s="15">
        <f>IF($F1141="","",IFERROR(INDEX(rngEPseq,MATCH($F1141,rngEPcode,0)),""))</f>
        <v/>
      </c>
      <c r="J1141" s="15">
        <f>IF($F1141="","",IFERROR(INDEX(rngEPpass,MATCH($F1141,rngEPcode,0)),cfgPassingScore))</f>
        <v/>
      </c>
      <c r="K1141" s="14" t="n"/>
      <c r="L1141" s="14" t="n"/>
      <c r="M1141" s="15">
        <f>IF($C1141="","",IF($L1141="","",IF($K1141=1,IF(COUNTIFS(nrES_PID,$D1141,nrES_Code,$F1141,nrES_Att,2)&gt;0,"",$L1141),IF(COUNTIFS(nrES_PID,$D1141,nrES_Code,$F1141,nrES_Att,1)=0,$L1141,IF($L1141&gt;=$J1141,cfgRetakeRecordedCap,SUMIFS(nrES_Raw,nrES_PID,$D1141,nrES_Code,$F1141,nrES_Att,1))))))</f>
        <v/>
      </c>
      <c r="N1141" s="15">
        <f>IF($C1141="","",IF($L1141="","",IF($L1141&gt;=$J1141,"Yes","No")))</f>
        <v/>
      </c>
      <c r="O1141" s="15">
        <f>IF($C1141="","",IF($M1141="","",IF($M1141&gt;=$J1141,"Yes","No")))</f>
        <v/>
      </c>
      <c r="P1141" s="15">
        <f>IF($C1141="","",IF($K1141="","",IF(COUNTIFS(nrES_PID,$D1141,nrES_Code,$F1141,nrES_Att,"&gt;"&amp;$K1141)=0,"Yes","No")))</f>
        <v/>
      </c>
      <c r="Q1141" s="15">
        <f>IF($C1141="","",IF($L1141="","",IF(AND($K1141=1,$L1141&lt;$J1141,COUNTIFS(nrES_PID,$D1141,nrES_Code,$F1141,nrES_Att,2)=0),"Yes","No")))</f>
        <v/>
      </c>
      <c r="R1141" s="15">
        <f>IF($C1141="","",IF($L1141="","",IF(AND($K1141=2,$L1141&lt;$J1141,COUNTIFS(nrES_PID,$D1141,nrES_Code,$F1141,nrES_Att,1)&gt;0),"Yes","No")))</f>
        <v/>
      </c>
      <c r="S1141" s="16" t="n"/>
      <c r="T1141" s="17">
        <f>IF($Q1141&lt;&gt;"Yes","",IF($S1141="","(enter date)",_xlfn.LET(_xlpm.dn,IFERROR(_xlfn.XLOOKUP($S1141,nrCDdate,nrCDnum),""),IF(_xlpm.dn="","(not a class day)",IFERROR(_xlfn.XLOOKUP(_xlpm.dn+cfgRetestClassDays,nrCDnum,nrCDdate),"")))))</f>
        <v/>
      </c>
      <c r="U1141" s="15">
        <f>IF($Q1141&lt;&gt;"Yes","",IF(COUNTIFS(nrES_PID,$D1141,nrES_Code,$F1141,nrES_Att,2)&gt;0,"Retested",IF(OR($T1141="",NOT(ISNUMBER($T1141))),"Pending",IF(TODAY()&gt;$T1141,"OVERDUE","Due "&amp;TEXT($T1141,"mm/dd")))))</f>
        <v/>
      </c>
      <c r="V1141" s="14" t="n"/>
      <c r="W1141" s="14" t="n"/>
    </row>
    <row r="1142">
      <c r="B1142" s="15">
        <f>IF($C1142="","",$D1142&amp;"-"&amp;$F1142&amp;"-"&amp;$K1142)</f>
        <v/>
      </c>
      <c r="C1142" s="14" t="n"/>
      <c r="D1142" s="15">
        <f>IF($C1142="","",IFERROR(INDEX(rngCadetPIDs,MATCH($C1142,rngCadetNames,0)),"?"))</f>
        <v/>
      </c>
      <c r="E1142" s="15">
        <f>IF($D1142="","",IFERROR(INDEX(nrCadetAgency,MATCH($D1142,rngCadetPIDs,0)),""))</f>
        <v/>
      </c>
      <c r="F1142" s="14" t="n"/>
      <c r="G1142" s="15">
        <f>IF($F1142="","",IFERROR(INDEX(rngEPname,MATCH($F1142,rngEPcode,0)),"?"))</f>
        <v/>
      </c>
      <c r="H1142" s="15">
        <f>IF($F1142="","",IFERROR(INDEX(rngEPtype,MATCH($F1142,rngEPcode,0)),"?"))</f>
        <v/>
      </c>
      <c r="I1142" s="15">
        <f>IF($F1142="","",IFERROR(INDEX(rngEPseq,MATCH($F1142,rngEPcode,0)),""))</f>
        <v/>
      </c>
      <c r="J1142" s="15">
        <f>IF($F1142="","",IFERROR(INDEX(rngEPpass,MATCH($F1142,rngEPcode,0)),cfgPassingScore))</f>
        <v/>
      </c>
      <c r="K1142" s="14" t="n"/>
      <c r="L1142" s="14" t="n"/>
      <c r="M1142" s="15">
        <f>IF($C1142="","",IF($L1142="","",IF($K1142=1,IF(COUNTIFS(nrES_PID,$D1142,nrES_Code,$F1142,nrES_Att,2)&gt;0,"",$L1142),IF(COUNTIFS(nrES_PID,$D1142,nrES_Code,$F1142,nrES_Att,1)=0,$L1142,IF($L1142&gt;=$J1142,cfgRetakeRecordedCap,SUMIFS(nrES_Raw,nrES_PID,$D1142,nrES_Code,$F1142,nrES_Att,1))))))</f>
        <v/>
      </c>
      <c r="N1142" s="15">
        <f>IF($C1142="","",IF($L1142="","",IF($L1142&gt;=$J1142,"Yes","No")))</f>
        <v/>
      </c>
      <c r="O1142" s="15">
        <f>IF($C1142="","",IF($M1142="","",IF($M1142&gt;=$J1142,"Yes","No")))</f>
        <v/>
      </c>
      <c r="P1142" s="15">
        <f>IF($C1142="","",IF($K1142="","",IF(COUNTIFS(nrES_PID,$D1142,nrES_Code,$F1142,nrES_Att,"&gt;"&amp;$K1142)=0,"Yes","No")))</f>
        <v/>
      </c>
      <c r="Q1142" s="15">
        <f>IF($C1142="","",IF($L1142="","",IF(AND($K1142=1,$L1142&lt;$J1142,COUNTIFS(nrES_PID,$D1142,nrES_Code,$F1142,nrES_Att,2)=0),"Yes","No")))</f>
        <v/>
      </c>
      <c r="R1142" s="15">
        <f>IF($C1142="","",IF($L1142="","",IF(AND($K1142=2,$L1142&lt;$J1142,COUNTIFS(nrES_PID,$D1142,nrES_Code,$F1142,nrES_Att,1)&gt;0),"Yes","No")))</f>
        <v/>
      </c>
      <c r="S1142" s="16" t="n"/>
      <c r="T1142" s="17">
        <f>IF($Q1142&lt;&gt;"Yes","",IF($S1142="","(enter date)",_xlfn.LET(_xlpm.dn,IFERROR(_xlfn.XLOOKUP($S1142,nrCDdate,nrCDnum),""),IF(_xlpm.dn="","(not a class day)",IFERROR(_xlfn.XLOOKUP(_xlpm.dn+cfgRetestClassDays,nrCDnum,nrCDdate),"")))))</f>
        <v/>
      </c>
      <c r="U1142" s="15">
        <f>IF($Q1142&lt;&gt;"Yes","",IF(COUNTIFS(nrES_PID,$D1142,nrES_Code,$F1142,nrES_Att,2)&gt;0,"Retested",IF(OR($T1142="",NOT(ISNUMBER($T1142))),"Pending",IF(TODAY()&gt;$T1142,"OVERDUE","Due "&amp;TEXT($T1142,"mm/dd")))))</f>
        <v/>
      </c>
      <c r="V1142" s="14" t="n"/>
      <c r="W1142" s="14" t="n"/>
    </row>
    <row r="1143">
      <c r="B1143" s="15">
        <f>IF($C1143="","",$D1143&amp;"-"&amp;$F1143&amp;"-"&amp;$K1143)</f>
        <v/>
      </c>
      <c r="C1143" s="14" t="n"/>
      <c r="D1143" s="15">
        <f>IF($C1143="","",IFERROR(INDEX(rngCadetPIDs,MATCH($C1143,rngCadetNames,0)),"?"))</f>
        <v/>
      </c>
      <c r="E1143" s="15">
        <f>IF($D1143="","",IFERROR(INDEX(nrCadetAgency,MATCH($D1143,rngCadetPIDs,0)),""))</f>
        <v/>
      </c>
      <c r="F1143" s="14" t="n"/>
      <c r="G1143" s="15">
        <f>IF($F1143="","",IFERROR(INDEX(rngEPname,MATCH($F1143,rngEPcode,0)),"?"))</f>
        <v/>
      </c>
      <c r="H1143" s="15">
        <f>IF($F1143="","",IFERROR(INDEX(rngEPtype,MATCH($F1143,rngEPcode,0)),"?"))</f>
        <v/>
      </c>
      <c r="I1143" s="15">
        <f>IF($F1143="","",IFERROR(INDEX(rngEPseq,MATCH($F1143,rngEPcode,0)),""))</f>
        <v/>
      </c>
      <c r="J1143" s="15">
        <f>IF($F1143="","",IFERROR(INDEX(rngEPpass,MATCH($F1143,rngEPcode,0)),cfgPassingScore))</f>
        <v/>
      </c>
      <c r="K1143" s="14" t="n"/>
      <c r="L1143" s="14" t="n"/>
      <c r="M1143" s="15">
        <f>IF($C1143="","",IF($L1143="","",IF($K1143=1,IF(COUNTIFS(nrES_PID,$D1143,nrES_Code,$F1143,nrES_Att,2)&gt;0,"",$L1143),IF(COUNTIFS(nrES_PID,$D1143,nrES_Code,$F1143,nrES_Att,1)=0,$L1143,IF($L1143&gt;=$J1143,cfgRetakeRecordedCap,SUMIFS(nrES_Raw,nrES_PID,$D1143,nrES_Code,$F1143,nrES_Att,1))))))</f>
        <v/>
      </c>
      <c r="N1143" s="15">
        <f>IF($C1143="","",IF($L1143="","",IF($L1143&gt;=$J1143,"Yes","No")))</f>
        <v/>
      </c>
      <c r="O1143" s="15">
        <f>IF($C1143="","",IF($M1143="","",IF($M1143&gt;=$J1143,"Yes","No")))</f>
        <v/>
      </c>
      <c r="P1143" s="15">
        <f>IF($C1143="","",IF($K1143="","",IF(COUNTIFS(nrES_PID,$D1143,nrES_Code,$F1143,nrES_Att,"&gt;"&amp;$K1143)=0,"Yes","No")))</f>
        <v/>
      </c>
      <c r="Q1143" s="15">
        <f>IF($C1143="","",IF($L1143="","",IF(AND($K1143=1,$L1143&lt;$J1143,COUNTIFS(nrES_PID,$D1143,nrES_Code,$F1143,nrES_Att,2)=0),"Yes","No")))</f>
        <v/>
      </c>
      <c r="R1143" s="15">
        <f>IF($C1143="","",IF($L1143="","",IF(AND($K1143=2,$L1143&lt;$J1143,COUNTIFS(nrES_PID,$D1143,nrES_Code,$F1143,nrES_Att,1)&gt;0),"Yes","No")))</f>
        <v/>
      </c>
      <c r="S1143" s="16" t="n"/>
      <c r="T1143" s="17">
        <f>IF($Q1143&lt;&gt;"Yes","",IF($S1143="","(enter date)",_xlfn.LET(_xlpm.dn,IFERROR(_xlfn.XLOOKUP($S1143,nrCDdate,nrCDnum),""),IF(_xlpm.dn="","(not a class day)",IFERROR(_xlfn.XLOOKUP(_xlpm.dn+cfgRetestClassDays,nrCDnum,nrCDdate),"")))))</f>
        <v/>
      </c>
      <c r="U1143" s="15">
        <f>IF($Q1143&lt;&gt;"Yes","",IF(COUNTIFS(nrES_PID,$D1143,nrES_Code,$F1143,nrES_Att,2)&gt;0,"Retested",IF(OR($T1143="",NOT(ISNUMBER($T1143))),"Pending",IF(TODAY()&gt;$T1143,"OVERDUE","Due "&amp;TEXT($T1143,"mm/dd")))))</f>
        <v/>
      </c>
      <c r="V1143" s="14" t="n"/>
      <c r="W1143" s="14" t="n"/>
    </row>
    <row r="1144">
      <c r="B1144" s="15">
        <f>IF($C1144="","",$D1144&amp;"-"&amp;$F1144&amp;"-"&amp;$K1144)</f>
        <v/>
      </c>
      <c r="C1144" s="14" t="n"/>
      <c r="D1144" s="15">
        <f>IF($C1144="","",IFERROR(INDEX(rngCadetPIDs,MATCH($C1144,rngCadetNames,0)),"?"))</f>
        <v/>
      </c>
      <c r="E1144" s="15">
        <f>IF($D1144="","",IFERROR(INDEX(nrCadetAgency,MATCH($D1144,rngCadetPIDs,0)),""))</f>
        <v/>
      </c>
      <c r="F1144" s="14" t="n"/>
      <c r="G1144" s="15">
        <f>IF($F1144="","",IFERROR(INDEX(rngEPname,MATCH($F1144,rngEPcode,0)),"?"))</f>
        <v/>
      </c>
      <c r="H1144" s="15">
        <f>IF($F1144="","",IFERROR(INDEX(rngEPtype,MATCH($F1144,rngEPcode,0)),"?"))</f>
        <v/>
      </c>
      <c r="I1144" s="15">
        <f>IF($F1144="","",IFERROR(INDEX(rngEPseq,MATCH($F1144,rngEPcode,0)),""))</f>
        <v/>
      </c>
      <c r="J1144" s="15">
        <f>IF($F1144="","",IFERROR(INDEX(rngEPpass,MATCH($F1144,rngEPcode,0)),cfgPassingScore))</f>
        <v/>
      </c>
      <c r="K1144" s="14" t="n"/>
      <c r="L1144" s="14" t="n"/>
      <c r="M1144" s="15">
        <f>IF($C1144="","",IF($L1144="","",IF($K1144=1,IF(COUNTIFS(nrES_PID,$D1144,nrES_Code,$F1144,nrES_Att,2)&gt;0,"",$L1144),IF(COUNTIFS(nrES_PID,$D1144,nrES_Code,$F1144,nrES_Att,1)=0,$L1144,IF($L1144&gt;=$J1144,cfgRetakeRecordedCap,SUMIFS(nrES_Raw,nrES_PID,$D1144,nrES_Code,$F1144,nrES_Att,1))))))</f>
        <v/>
      </c>
      <c r="N1144" s="15">
        <f>IF($C1144="","",IF($L1144="","",IF($L1144&gt;=$J1144,"Yes","No")))</f>
        <v/>
      </c>
      <c r="O1144" s="15">
        <f>IF($C1144="","",IF($M1144="","",IF($M1144&gt;=$J1144,"Yes","No")))</f>
        <v/>
      </c>
      <c r="P1144" s="15">
        <f>IF($C1144="","",IF($K1144="","",IF(COUNTIFS(nrES_PID,$D1144,nrES_Code,$F1144,nrES_Att,"&gt;"&amp;$K1144)=0,"Yes","No")))</f>
        <v/>
      </c>
      <c r="Q1144" s="15">
        <f>IF($C1144="","",IF($L1144="","",IF(AND($K1144=1,$L1144&lt;$J1144,COUNTIFS(nrES_PID,$D1144,nrES_Code,$F1144,nrES_Att,2)=0),"Yes","No")))</f>
        <v/>
      </c>
      <c r="R1144" s="15">
        <f>IF($C1144="","",IF($L1144="","",IF(AND($K1144=2,$L1144&lt;$J1144,COUNTIFS(nrES_PID,$D1144,nrES_Code,$F1144,nrES_Att,1)&gt;0),"Yes","No")))</f>
        <v/>
      </c>
      <c r="S1144" s="16" t="n"/>
      <c r="T1144" s="17">
        <f>IF($Q1144&lt;&gt;"Yes","",IF($S1144="","(enter date)",_xlfn.LET(_xlpm.dn,IFERROR(_xlfn.XLOOKUP($S1144,nrCDdate,nrCDnum),""),IF(_xlpm.dn="","(not a class day)",IFERROR(_xlfn.XLOOKUP(_xlpm.dn+cfgRetestClassDays,nrCDnum,nrCDdate),"")))))</f>
        <v/>
      </c>
      <c r="U1144" s="15">
        <f>IF($Q1144&lt;&gt;"Yes","",IF(COUNTIFS(nrES_PID,$D1144,nrES_Code,$F1144,nrES_Att,2)&gt;0,"Retested",IF(OR($T1144="",NOT(ISNUMBER($T1144))),"Pending",IF(TODAY()&gt;$T1144,"OVERDUE","Due "&amp;TEXT($T1144,"mm/dd")))))</f>
        <v/>
      </c>
      <c r="V1144" s="14" t="n"/>
      <c r="W1144" s="14" t="n"/>
    </row>
    <row r="1145">
      <c r="B1145" s="15">
        <f>IF($C1145="","",$D1145&amp;"-"&amp;$F1145&amp;"-"&amp;$K1145)</f>
        <v/>
      </c>
      <c r="C1145" s="14" t="n"/>
      <c r="D1145" s="15">
        <f>IF($C1145="","",IFERROR(INDEX(rngCadetPIDs,MATCH($C1145,rngCadetNames,0)),"?"))</f>
        <v/>
      </c>
      <c r="E1145" s="15">
        <f>IF($D1145="","",IFERROR(INDEX(nrCadetAgency,MATCH($D1145,rngCadetPIDs,0)),""))</f>
        <v/>
      </c>
      <c r="F1145" s="14" t="n"/>
      <c r="G1145" s="15">
        <f>IF($F1145="","",IFERROR(INDEX(rngEPname,MATCH($F1145,rngEPcode,0)),"?"))</f>
        <v/>
      </c>
      <c r="H1145" s="15">
        <f>IF($F1145="","",IFERROR(INDEX(rngEPtype,MATCH($F1145,rngEPcode,0)),"?"))</f>
        <v/>
      </c>
      <c r="I1145" s="15">
        <f>IF($F1145="","",IFERROR(INDEX(rngEPseq,MATCH($F1145,rngEPcode,0)),""))</f>
        <v/>
      </c>
      <c r="J1145" s="15">
        <f>IF($F1145="","",IFERROR(INDEX(rngEPpass,MATCH($F1145,rngEPcode,0)),cfgPassingScore))</f>
        <v/>
      </c>
      <c r="K1145" s="14" t="n"/>
      <c r="L1145" s="14" t="n"/>
      <c r="M1145" s="15">
        <f>IF($C1145="","",IF($L1145="","",IF($K1145=1,IF(COUNTIFS(nrES_PID,$D1145,nrES_Code,$F1145,nrES_Att,2)&gt;0,"",$L1145),IF(COUNTIFS(nrES_PID,$D1145,nrES_Code,$F1145,nrES_Att,1)=0,$L1145,IF($L1145&gt;=$J1145,cfgRetakeRecordedCap,SUMIFS(nrES_Raw,nrES_PID,$D1145,nrES_Code,$F1145,nrES_Att,1))))))</f>
        <v/>
      </c>
      <c r="N1145" s="15">
        <f>IF($C1145="","",IF($L1145="","",IF($L1145&gt;=$J1145,"Yes","No")))</f>
        <v/>
      </c>
      <c r="O1145" s="15">
        <f>IF($C1145="","",IF($M1145="","",IF($M1145&gt;=$J1145,"Yes","No")))</f>
        <v/>
      </c>
      <c r="P1145" s="15">
        <f>IF($C1145="","",IF($K1145="","",IF(COUNTIFS(nrES_PID,$D1145,nrES_Code,$F1145,nrES_Att,"&gt;"&amp;$K1145)=0,"Yes","No")))</f>
        <v/>
      </c>
      <c r="Q1145" s="15">
        <f>IF($C1145="","",IF($L1145="","",IF(AND($K1145=1,$L1145&lt;$J1145,COUNTIFS(nrES_PID,$D1145,nrES_Code,$F1145,nrES_Att,2)=0),"Yes","No")))</f>
        <v/>
      </c>
      <c r="R1145" s="15">
        <f>IF($C1145="","",IF($L1145="","",IF(AND($K1145=2,$L1145&lt;$J1145,COUNTIFS(nrES_PID,$D1145,nrES_Code,$F1145,nrES_Att,1)&gt;0),"Yes","No")))</f>
        <v/>
      </c>
      <c r="S1145" s="16" t="n"/>
      <c r="T1145" s="17">
        <f>IF($Q1145&lt;&gt;"Yes","",IF($S1145="","(enter date)",_xlfn.LET(_xlpm.dn,IFERROR(_xlfn.XLOOKUP($S1145,nrCDdate,nrCDnum),""),IF(_xlpm.dn="","(not a class day)",IFERROR(_xlfn.XLOOKUP(_xlpm.dn+cfgRetestClassDays,nrCDnum,nrCDdate),"")))))</f>
        <v/>
      </c>
      <c r="U1145" s="15">
        <f>IF($Q1145&lt;&gt;"Yes","",IF(COUNTIFS(nrES_PID,$D1145,nrES_Code,$F1145,nrES_Att,2)&gt;0,"Retested",IF(OR($T1145="",NOT(ISNUMBER($T1145))),"Pending",IF(TODAY()&gt;$T1145,"OVERDUE","Due "&amp;TEXT($T1145,"mm/dd")))))</f>
        <v/>
      </c>
      <c r="V1145" s="14" t="n"/>
      <c r="W1145" s="14" t="n"/>
    </row>
    <row r="1146">
      <c r="B1146" s="15">
        <f>IF($C1146="","",$D1146&amp;"-"&amp;$F1146&amp;"-"&amp;$K1146)</f>
        <v/>
      </c>
      <c r="C1146" s="14" t="n"/>
      <c r="D1146" s="15">
        <f>IF($C1146="","",IFERROR(INDEX(rngCadetPIDs,MATCH($C1146,rngCadetNames,0)),"?"))</f>
        <v/>
      </c>
      <c r="E1146" s="15">
        <f>IF($D1146="","",IFERROR(INDEX(nrCadetAgency,MATCH($D1146,rngCadetPIDs,0)),""))</f>
        <v/>
      </c>
      <c r="F1146" s="14" t="n"/>
      <c r="G1146" s="15">
        <f>IF($F1146="","",IFERROR(INDEX(rngEPname,MATCH($F1146,rngEPcode,0)),"?"))</f>
        <v/>
      </c>
      <c r="H1146" s="15">
        <f>IF($F1146="","",IFERROR(INDEX(rngEPtype,MATCH($F1146,rngEPcode,0)),"?"))</f>
        <v/>
      </c>
      <c r="I1146" s="15">
        <f>IF($F1146="","",IFERROR(INDEX(rngEPseq,MATCH($F1146,rngEPcode,0)),""))</f>
        <v/>
      </c>
      <c r="J1146" s="15">
        <f>IF($F1146="","",IFERROR(INDEX(rngEPpass,MATCH($F1146,rngEPcode,0)),cfgPassingScore))</f>
        <v/>
      </c>
      <c r="K1146" s="14" t="n"/>
      <c r="L1146" s="14" t="n"/>
      <c r="M1146" s="15">
        <f>IF($C1146="","",IF($L1146="","",IF($K1146=1,IF(COUNTIFS(nrES_PID,$D1146,nrES_Code,$F1146,nrES_Att,2)&gt;0,"",$L1146),IF(COUNTIFS(nrES_PID,$D1146,nrES_Code,$F1146,nrES_Att,1)=0,$L1146,IF($L1146&gt;=$J1146,cfgRetakeRecordedCap,SUMIFS(nrES_Raw,nrES_PID,$D1146,nrES_Code,$F1146,nrES_Att,1))))))</f>
        <v/>
      </c>
      <c r="N1146" s="15">
        <f>IF($C1146="","",IF($L1146="","",IF($L1146&gt;=$J1146,"Yes","No")))</f>
        <v/>
      </c>
      <c r="O1146" s="15">
        <f>IF($C1146="","",IF($M1146="","",IF($M1146&gt;=$J1146,"Yes","No")))</f>
        <v/>
      </c>
      <c r="P1146" s="15">
        <f>IF($C1146="","",IF($K1146="","",IF(COUNTIFS(nrES_PID,$D1146,nrES_Code,$F1146,nrES_Att,"&gt;"&amp;$K1146)=0,"Yes","No")))</f>
        <v/>
      </c>
      <c r="Q1146" s="15">
        <f>IF($C1146="","",IF($L1146="","",IF(AND($K1146=1,$L1146&lt;$J1146,COUNTIFS(nrES_PID,$D1146,nrES_Code,$F1146,nrES_Att,2)=0),"Yes","No")))</f>
        <v/>
      </c>
      <c r="R1146" s="15">
        <f>IF($C1146="","",IF($L1146="","",IF(AND($K1146=2,$L1146&lt;$J1146,COUNTIFS(nrES_PID,$D1146,nrES_Code,$F1146,nrES_Att,1)&gt;0),"Yes","No")))</f>
        <v/>
      </c>
      <c r="S1146" s="16" t="n"/>
      <c r="T1146" s="17">
        <f>IF($Q1146&lt;&gt;"Yes","",IF($S1146="","(enter date)",_xlfn.LET(_xlpm.dn,IFERROR(_xlfn.XLOOKUP($S1146,nrCDdate,nrCDnum),""),IF(_xlpm.dn="","(not a class day)",IFERROR(_xlfn.XLOOKUP(_xlpm.dn+cfgRetestClassDays,nrCDnum,nrCDdate),"")))))</f>
        <v/>
      </c>
      <c r="U1146" s="15">
        <f>IF($Q1146&lt;&gt;"Yes","",IF(COUNTIFS(nrES_PID,$D1146,nrES_Code,$F1146,nrES_Att,2)&gt;0,"Retested",IF(OR($T1146="",NOT(ISNUMBER($T1146))),"Pending",IF(TODAY()&gt;$T1146,"OVERDUE","Due "&amp;TEXT($T1146,"mm/dd")))))</f>
        <v/>
      </c>
      <c r="V1146" s="14" t="n"/>
      <c r="W1146" s="14" t="n"/>
    </row>
    <row r="1147">
      <c r="B1147" s="15">
        <f>IF($C1147="","",$D1147&amp;"-"&amp;$F1147&amp;"-"&amp;$K1147)</f>
        <v/>
      </c>
      <c r="C1147" s="14" t="n"/>
      <c r="D1147" s="15">
        <f>IF($C1147="","",IFERROR(INDEX(rngCadetPIDs,MATCH($C1147,rngCadetNames,0)),"?"))</f>
        <v/>
      </c>
      <c r="E1147" s="15">
        <f>IF($D1147="","",IFERROR(INDEX(nrCadetAgency,MATCH($D1147,rngCadetPIDs,0)),""))</f>
        <v/>
      </c>
      <c r="F1147" s="14" t="n"/>
      <c r="G1147" s="15">
        <f>IF($F1147="","",IFERROR(INDEX(rngEPname,MATCH($F1147,rngEPcode,0)),"?"))</f>
        <v/>
      </c>
      <c r="H1147" s="15">
        <f>IF($F1147="","",IFERROR(INDEX(rngEPtype,MATCH($F1147,rngEPcode,0)),"?"))</f>
        <v/>
      </c>
      <c r="I1147" s="15">
        <f>IF($F1147="","",IFERROR(INDEX(rngEPseq,MATCH($F1147,rngEPcode,0)),""))</f>
        <v/>
      </c>
      <c r="J1147" s="15">
        <f>IF($F1147="","",IFERROR(INDEX(rngEPpass,MATCH($F1147,rngEPcode,0)),cfgPassingScore))</f>
        <v/>
      </c>
      <c r="K1147" s="14" t="n"/>
      <c r="L1147" s="14" t="n"/>
      <c r="M1147" s="15">
        <f>IF($C1147="","",IF($L1147="","",IF($K1147=1,IF(COUNTIFS(nrES_PID,$D1147,nrES_Code,$F1147,nrES_Att,2)&gt;0,"",$L1147),IF(COUNTIFS(nrES_PID,$D1147,nrES_Code,$F1147,nrES_Att,1)=0,$L1147,IF($L1147&gt;=$J1147,cfgRetakeRecordedCap,SUMIFS(nrES_Raw,nrES_PID,$D1147,nrES_Code,$F1147,nrES_Att,1))))))</f>
        <v/>
      </c>
      <c r="N1147" s="15">
        <f>IF($C1147="","",IF($L1147="","",IF($L1147&gt;=$J1147,"Yes","No")))</f>
        <v/>
      </c>
      <c r="O1147" s="15">
        <f>IF($C1147="","",IF($M1147="","",IF($M1147&gt;=$J1147,"Yes","No")))</f>
        <v/>
      </c>
      <c r="P1147" s="15">
        <f>IF($C1147="","",IF($K1147="","",IF(COUNTIFS(nrES_PID,$D1147,nrES_Code,$F1147,nrES_Att,"&gt;"&amp;$K1147)=0,"Yes","No")))</f>
        <v/>
      </c>
      <c r="Q1147" s="15">
        <f>IF($C1147="","",IF($L1147="","",IF(AND($K1147=1,$L1147&lt;$J1147,COUNTIFS(nrES_PID,$D1147,nrES_Code,$F1147,nrES_Att,2)=0),"Yes","No")))</f>
        <v/>
      </c>
      <c r="R1147" s="15">
        <f>IF($C1147="","",IF($L1147="","",IF(AND($K1147=2,$L1147&lt;$J1147,COUNTIFS(nrES_PID,$D1147,nrES_Code,$F1147,nrES_Att,1)&gt;0),"Yes","No")))</f>
        <v/>
      </c>
      <c r="S1147" s="16" t="n"/>
      <c r="T1147" s="17">
        <f>IF($Q1147&lt;&gt;"Yes","",IF($S1147="","(enter date)",_xlfn.LET(_xlpm.dn,IFERROR(_xlfn.XLOOKUP($S1147,nrCDdate,nrCDnum),""),IF(_xlpm.dn="","(not a class day)",IFERROR(_xlfn.XLOOKUP(_xlpm.dn+cfgRetestClassDays,nrCDnum,nrCDdate),"")))))</f>
        <v/>
      </c>
      <c r="U1147" s="15">
        <f>IF($Q1147&lt;&gt;"Yes","",IF(COUNTIFS(nrES_PID,$D1147,nrES_Code,$F1147,nrES_Att,2)&gt;0,"Retested",IF(OR($T1147="",NOT(ISNUMBER($T1147))),"Pending",IF(TODAY()&gt;$T1147,"OVERDUE","Due "&amp;TEXT($T1147,"mm/dd")))))</f>
        <v/>
      </c>
      <c r="V1147" s="14" t="n"/>
      <c r="W1147" s="14" t="n"/>
    </row>
    <row r="1148">
      <c r="B1148" s="15">
        <f>IF($C1148="","",$D1148&amp;"-"&amp;$F1148&amp;"-"&amp;$K1148)</f>
        <v/>
      </c>
      <c r="C1148" s="14" t="n"/>
      <c r="D1148" s="15">
        <f>IF($C1148="","",IFERROR(INDEX(rngCadetPIDs,MATCH($C1148,rngCadetNames,0)),"?"))</f>
        <v/>
      </c>
      <c r="E1148" s="15">
        <f>IF($D1148="","",IFERROR(INDEX(nrCadetAgency,MATCH($D1148,rngCadetPIDs,0)),""))</f>
        <v/>
      </c>
      <c r="F1148" s="14" t="n"/>
      <c r="G1148" s="15">
        <f>IF($F1148="","",IFERROR(INDEX(rngEPname,MATCH($F1148,rngEPcode,0)),"?"))</f>
        <v/>
      </c>
      <c r="H1148" s="15">
        <f>IF($F1148="","",IFERROR(INDEX(rngEPtype,MATCH($F1148,rngEPcode,0)),"?"))</f>
        <v/>
      </c>
      <c r="I1148" s="15">
        <f>IF($F1148="","",IFERROR(INDEX(rngEPseq,MATCH($F1148,rngEPcode,0)),""))</f>
        <v/>
      </c>
      <c r="J1148" s="15">
        <f>IF($F1148="","",IFERROR(INDEX(rngEPpass,MATCH($F1148,rngEPcode,0)),cfgPassingScore))</f>
        <v/>
      </c>
      <c r="K1148" s="14" t="n"/>
      <c r="L1148" s="14" t="n"/>
      <c r="M1148" s="15">
        <f>IF($C1148="","",IF($L1148="","",IF($K1148=1,IF(COUNTIFS(nrES_PID,$D1148,nrES_Code,$F1148,nrES_Att,2)&gt;0,"",$L1148),IF(COUNTIFS(nrES_PID,$D1148,nrES_Code,$F1148,nrES_Att,1)=0,$L1148,IF($L1148&gt;=$J1148,cfgRetakeRecordedCap,SUMIFS(nrES_Raw,nrES_PID,$D1148,nrES_Code,$F1148,nrES_Att,1))))))</f>
        <v/>
      </c>
      <c r="N1148" s="15">
        <f>IF($C1148="","",IF($L1148="","",IF($L1148&gt;=$J1148,"Yes","No")))</f>
        <v/>
      </c>
      <c r="O1148" s="15">
        <f>IF($C1148="","",IF($M1148="","",IF($M1148&gt;=$J1148,"Yes","No")))</f>
        <v/>
      </c>
      <c r="P1148" s="15">
        <f>IF($C1148="","",IF($K1148="","",IF(COUNTIFS(nrES_PID,$D1148,nrES_Code,$F1148,nrES_Att,"&gt;"&amp;$K1148)=0,"Yes","No")))</f>
        <v/>
      </c>
      <c r="Q1148" s="15">
        <f>IF($C1148="","",IF($L1148="","",IF(AND($K1148=1,$L1148&lt;$J1148,COUNTIFS(nrES_PID,$D1148,nrES_Code,$F1148,nrES_Att,2)=0),"Yes","No")))</f>
        <v/>
      </c>
      <c r="R1148" s="15">
        <f>IF($C1148="","",IF($L1148="","",IF(AND($K1148=2,$L1148&lt;$J1148,COUNTIFS(nrES_PID,$D1148,nrES_Code,$F1148,nrES_Att,1)&gt;0),"Yes","No")))</f>
        <v/>
      </c>
      <c r="S1148" s="16" t="n"/>
      <c r="T1148" s="17">
        <f>IF($Q1148&lt;&gt;"Yes","",IF($S1148="","(enter date)",_xlfn.LET(_xlpm.dn,IFERROR(_xlfn.XLOOKUP($S1148,nrCDdate,nrCDnum),""),IF(_xlpm.dn="","(not a class day)",IFERROR(_xlfn.XLOOKUP(_xlpm.dn+cfgRetestClassDays,nrCDnum,nrCDdate),"")))))</f>
        <v/>
      </c>
      <c r="U1148" s="15">
        <f>IF($Q1148&lt;&gt;"Yes","",IF(COUNTIFS(nrES_PID,$D1148,nrES_Code,$F1148,nrES_Att,2)&gt;0,"Retested",IF(OR($T1148="",NOT(ISNUMBER($T1148))),"Pending",IF(TODAY()&gt;$T1148,"OVERDUE","Due "&amp;TEXT($T1148,"mm/dd")))))</f>
        <v/>
      </c>
      <c r="V1148" s="14" t="n"/>
      <c r="W1148" s="14" t="n"/>
    </row>
    <row r="1149">
      <c r="B1149" s="15">
        <f>IF($C1149="","",$D1149&amp;"-"&amp;$F1149&amp;"-"&amp;$K1149)</f>
        <v/>
      </c>
      <c r="C1149" s="14" t="n"/>
      <c r="D1149" s="15">
        <f>IF($C1149="","",IFERROR(INDEX(rngCadetPIDs,MATCH($C1149,rngCadetNames,0)),"?"))</f>
        <v/>
      </c>
      <c r="E1149" s="15">
        <f>IF($D1149="","",IFERROR(INDEX(nrCadetAgency,MATCH($D1149,rngCadetPIDs,0)),""))</f>
        <v/>
      </c>
      <c r="F1149" s="14" t="n"/>
      <c r="G1149" s="15">
        <f>IF($F1149="","",IFERROR(INDEX(rngEPname,MATCH($F1149,rngEPcode,0)),"?"))</f>
        <v/>
      </c>
      <c r="H1149" s="15">
        <f>IF($F1149="","",IFERROR(INDEX(rngEPtype,MATCH($F1149,rngEPcode,0)),"?"))</f>
        <v/>
      </c>
      <c r="I1149" s="15">
        <f>IF($F1149="","",IFERROR(INDEX(rngEPseq,MATCH($F1149,rngEPcode,0)),""))</f>
        <v/>
      </c>
      <c r="J1149" s="15">
        <f>IF($F1149="","",IFERROR(INDEX(rngEPpass,MATCH($F1149,rngEPcode,0)),cfgPassingScore))</f>
        <v/>
      </c>
      <c r="K1149" s="14" t="n"/>
      <c r="L1149" s="14" t="n"/>
      <c r="M1149" s="15">
        <f>IF($C1149="","",IF($L1149="","",IF($K1149=1,IF(COUNTIFS(nrES_PID,$D1149,nrES_Code,$F1149,nrES_Att,2)&gt;0,"",$L1149),IF(COUNTIFS(nrES_PID,$D1149,nrES_Code,$F1149,nrES_Att,1)=0,$L1149,IF($L1149&gt;=$J1149,cfgRetakeRecordedCap,SUMIFS(nrES_Raw,nrES_PID,$D1149,nrES_Code,$F1149,nrES_Att,1))))))</f>
        <v/>
      </c>
      <c r="N1149" s="15">
        <f>IF($C1149="","",IF($L1149="","",IF($L1149&gt;=$J1149,"Yes","No")))</f>
        <v/>
      </c>
      <c r="O1149" s="15">
        <f>IF($C1149="","",IF($M1149="","",IF($M1149&gt;=$J1149,"Yes","No")))</f>
        <v/>
      </c>
      <c r="P1149" s="15">
        <f>IF($C1149="","",IF($K1149="","",IF(COUNTIFS(nrES_PID,$D1149,nrES_Code,$F1149,nrES_Att,"&gt;"&amp;$K1149)=0,"Yes","No")))</f>
        <v/>
      </c>
      <c r="Q1149" s="15">
        <f>IF($C1149="","",IF($L1149="","",IF(AND($K1149=1,$L1149&lt;$J1149,COUNTIFS(nrES_PID,$D1149,nrES_Code,$F1149,nrES_Att,2)=0),"Yes","No")))</f>
        <v/>
      </c>
      <c r="R1149" s="15">
        <f>IF($C1149="","",IF($L1149="","",IF(AND($K1149=2,$L1149&lt;$J1149,COUNTIFS(nrES_PID,$D1149,nrES_Code,$F1149,nrES_Att,1)&gt;0),"Yes","No")))</f>
        <v/>
      </c>
      <c r="S1149" s="16" t="n"/>
      <c r="T1149" s="17">
        <f>IF($Q1149&lt;&gt;"Yes","",IF($S1149="","(enter date)",_xlfn.LET(_xlpm.dn,IFERROR(_xlfn.XLOOKUP($S1149,nrCDdate,nrCDnum),""),IF(_xlpm.dn="","(not a class day)",IFERROR(_xlfn.XLOOKUP(_xlpm.dn+cfgRetestClassDays,nrCDnum,nrCDdate),"")))))</f>
        <v/>
      </c>
      <c r="U1149" s="15">
        <f>IF($Q1149&lt;&gt;"Yes","",IF(COUNTIFS(nrES_PID,$D1149,nrES_Code,$F1149,nrES_Att,2)&gt;0,"Retested",IF(OR($T1149="",NOT(ISNUMBER($T1149))),"Pending",IF(TODAY()&gt;$T1149,"OVERDUE","Due "&amp;TEXT($T1149,"mm/dd")))))</f>
        <v/>
      </c>
      <c r="V1149" s="14" t="n"/>
      <c r="W1149" s="14" t="n"/>
    </row>
    <row r="1150">
      <c r="B1150" s="15">
        <f>IF($C1150="","",$D1150&amp;"-"&amp;$F1150&amp;"-"&amp;$K1150)</f>
        <v/>
      </c>
      <c r="C1150" s="14" t="n"/>
      <c r="D1150" s="15">
        <f>IF($C1150="","",IFERROR(INDEX(rngCadetPIDs,MATCH($C1150,rngCadetNames,0)),"?"))</f>
        <v/>
      </c>
      <c r="E1150" s="15">
        <f>IF($D1150="","",IFERROR(INDEX(nrCadetAgency,MATCH($D1150,rngCadetPIDs,0)),""))</f>
        <v/>
      </c>
      <c r="F1150" s="14" t="n"/>
      <c r="G1150" s="15">
        <f>IF($F1150="","",IFERROR(INDEX(rngEPname,MATCH($F1150,rngEPcode,0)),"?"))</f>
        <v/>
      </c>
      <c r="H1150" s="15">
        <f>IF($F1150="","",IFERROR(INDEX(rngEPtype,MATCH($F1150,rngEPcode,0)),"?"))</f>
        <v/>
      </c>
      <c r="I1150" s="15">
        <f>IF($F1150="","",IFERROR(INDEX(rngEPseq,MATCH($F1150,rngEPcode,0)),""))</f>
        <v/>
      </c>
      <c r="J1150" s="15">
        <f>IF($F1150="","",IFERROR(INDEX(rngEPpass,MATCH($F1150,rngEPcode,0)),cfgPassingScore))</f>
        <v/>
      </c>
      <c r="K1150" s="14" t="n"/>
      <c r="L1150" s="14" t="n"/>
      <c r="M1150" s="15">
        <f>IF($C1150="","",IF($L1150="","",IF($K1150=1,IF(COUNTIFS(nrES_PID,$D1150,nrES_Code,$F1150,nrES_Att,2)&gt;0,"",$L1150),IF(COUNTIFS(nrES_PID,$D1150,nrES_Code,$F1150,nrES_Att,1)=0,$L1150,IF($L1150&gt;=$J1150,cfgRetakeRecordedCap,SUMIFS(nrES_Raw,nrES_PID,$D1150,nrES_Code,$F1150,nrES_Att,1))))))</f>
        <v/>
      </c>
      <c r="N1150" s="15">
        <f>IF($C1150="","",IF($L1150="","",IF($L1150&gt;=$J1150,"Yes","No")))</f>
        <v/>
      </c>
      <c r="O1150" s="15">
        <f>IF($C1150="","",IF($M1150="","",IF($M1150&gt;=$J1150,"Yes","No")))</f>
        <v/>
      </c>
      <c r="P1150" s="15">
        <f>IF($C1150="","",IF($K1150="","",IF(COUNTIFS(nrES_PID,$D1150,nrES_Code,$F1150,nrES_Att,"&gt;"&amp;$K1150)=0,"Yes","No")))</f>
        <v/>
      </c>
      <c r="Q1150" s="15">
        <f>IF($C1150="","",IF($L1150="","",IF(AND($K1150=1,$L1150&lt;$J1150,COUNTIFS(nrES_PID,$D1150,nrES_Code,$F1150,nrES_Att,2)=0),"Yes","No")))</f>
        <v/>
      </c>
      <c r="R1150" s="15">
        <f>IF($C1150="","",IF($L1150="","",IF(AND($K1150=2,$L1150&lt;$J1150,COUNTIFS(nrES_PID,$D1150,nrES_Code,$F1150,nrES_Att,1)&gt;0),"Yes","No")))</f>
        <v/>
      </c>
      <c r="S1150" s="16" t="n"/>
      <c r="T1150" s="17">
        <f>IF($Q1150&lt;&gt;"Yes","",IF($S1150="","(enter date)",_xlfn.LET(_xlpm.dn,IFERROR(_xlfn.XLOOKUP($S1150,nrCDdate,nrCDnum),""),IF(_xlpm.dn="","(not a class day)",IFERROR(_xlfn.XLOOKUP(_xlpm.dn+cfgRetestClassDays,nrCDnum,nrCDdate),"")))))</f>
        <v/>
      </c>
      <c r="U1150" s="15">
        <f>IF($Q1150&lt;&gt;"Yes","",IF(COUNTIFS(nrES_PID,$D1150,nrES_Code,$F1150,nrES_Att,2)&gt;0,"Retested",IF(OR($T1150="",NOT(ISNUMBER($T1150))),"Pending",IF(TODAY()&gt;$T1150,"OVERDUE","Due "&amp;TEXT($T1150,"mm/dd")))))</f>
        <v/>
      </c>
      <c r="V1150" s="14" t="n"/>
      <c r="W1150" s="14" t="n"/>
    </row>
    <row r="1151">
      <c r="B1151" s="15">
        <f>IF($C1151="","",$D1151&amp;"-"&amp;$F1151&amp;"-"&amp;$K1151)</f>
        <v/>
      </c>
      <c r="C1151" s="14" t="n"/>
      <c r="D1151" s="15">
        <f>IF($C1151="","",IFERROR(INDEX(rngCadetPIDs,MATCH($C1151,rngCadetNames,0)),"?"))</f>
        <v/>
      </c>
      <c r="E1151" s="15">
        <f>IF($D1151="","",IFERROR(INDEX(nrCadetAgency,MATCH($D1151,rngCadetPIDs,0)),""))</f>
        <v/>
      </c>
      <c r="F1151" s="14" t="n"/>
      <c r="G1151" s="15">
        <f>IF($F1151="","",IFERROR(INDEX(rngEPname,MATCH($F1151,rngEPcode,0)),"?"))</f>
        <v/>
      </c>
      <c r="H1151" s="15">
        <f>IF($F1151="","",IFERROR(INDEX(rngEPtype,MATCH($F1151,rngEPcode,0)),"?"))</f>
        <v/>
      </c>
      <c r="I1151" s="15">
        <f>IF($F1151="","",IFERROR(INDEX(rngEPseq,MATCH($F1151,rngEPcode,0)),""))</f>
        <v/>
      </c>
      <c r="J1151" s="15">
        <f>IF($F1151="","",IFERROR(INDEX(rngEPpass,MATCH($F1151,rngEPcode,0)),cfgPassingScore))</f>
        <v/>
      </c>
      <c r="K1151" s="14" t="n"/>
      <c r="L1151" s="14" t="n"/>
      <c r="M1151" s="15">
        <f>IF($C1151="","",IF($L1151="","",IF($K1151=1,IF(COUNTIFS(nrES_PID,$D1151,nrES_Code,$F1151,nrES_Att,2)&gt;0,"",$L1151),IF(COUNTIFS(nrES_PID,$D1151,nrES_Code,$F1151,nrES_Att,1)=0,$L1151,IF($L1151&gt;=$J1151,cfgRetakeRecordedCap,SUMIFS(nrES_Raw,nrES_PID,$D1151,nrES_Code,$F1151,nrES_Att,1))))))</f>
        <v/>
      </c>
      <c r="N1151" s="15">
        <f>IF($C1151="","",IF($L1151="","",IF($L1151&gt;=$J1151,"Yes","No")))</f>
        <v/>
      </c>
      <c r="O1151" s="15">
        <f>IF($C1151="","",IF($M1151="","",IF($M1151&gt;=$J1151,"Yes","No")))</f>
        <v/>
      </c>
      <c r="P1151" s="15">
        <f>IF($C1151="","",IF($K1151="","",IF(COUNTIFS(nrES_PID,$D1151,nrES_Code,$F1151,nrES_Att,"&gt;"&amp;$K1151)=0,"Yes","No")))</f>
        <v/>
      </c>
      <c r="Q1151" s="15">
        <f>IF($C1151="","",IF($L1151="","",IF(AND($K1151=1,$L1151&lt;$J1151,COUNTIFS(nrES_PID,$D1151,nrES_Code,$F1151,nrES_Att,2)=0),"Yes","No")))</f>
        <v/>
      </c>
      <c r="R1151" s="15">
        <f>IF($C1151="","",IF($L1151="","",IF(AND($K1151=2,$L1151&lt;$J1151,COUNTIFS(nrES_PID,$D1151,nrES_Code,$F1151,nrES_Att,1)&gt;0),"Yes","No")))</f>
        <v/>
      </c>
      <c r="S1151" s="16" t="n"/>
      <c r="T1151" s="17">
        <f>IF($Q1151&lt;&gt;"Yes","",IF($S1151="","(enter date)",_xlfn.LET(_xlpm.dn,IFERROR(_xlfn.XLOOKUP($S1151,nrCDdate,nrCDnum),""),IF(_xlpm.dn="","(not a class day)",IFERROR(_xlfn.XLOOKUP(_xlpm.dn+cfgRetestClassDays,nrCDnum,nrCDdate),"")))))</f>
        <v/>
      </c>
      <c r="U1151" s="15">
        <f>IF($Q1151&lt;&gt;"Yes","",IF(COUNTIFS(nrES_PID,$D1151,nrES_Code,$F1151,nrES_Att,2)&gt;0,"Retested",IF(OR($T1151="",NOT(ISNUMBER($T1151))),"Pending",IF(TODAY()&gt;$T1151,"OVERDUE","Due "&amp;TEXT($T1151,"mm/dd")))))</f>
        <v/>
      </c>
      <c r="V1151" s="14" t="n"/>
      <c r="W1151" s="14" t="n"/>
    </row>
    <row r="1152">
      <c r="B1152" s="15">
        <f>IF($C1152="","",$D1152&amp;"-"&amp;$F1152&amp;"-"&amp;$K1152)</f>
        <v/>
      </c>
      <c r="C1152" s="14" t="n"/>
      <c r="D1152" s="15">
        <f>IF($C1152="","",IFERROR(INDEX(rngCadetPIDs,MATCH($C1152,rngCadetNames,0)),"?"))</f>
        <v/>
      </c>
      <c r="E1152" s="15">
        <f>IF($D1152="","",IFERROR(INDEX(nrCadetAgency,MATCH($D1152,rngCadetPIDs,0)),""))</f>
        <v/>
      </c>
      <c r="F1152" s="14" t="n"/>
      <c r="G1152" s="15">
        <f>IF($F1152="","",IFERROR(INDEX(rngEPname,MATCH($F1152,rngEPcode,0)),"?"))</f>
        <v/>
      </c>
      <c r="H1152" s="15">
        <f>IF($F1152="","",IFERROR(INDEX(rngEPtype,MATCH($F1152,rngEPcode,0)),"?"))</f>
        <v/>
      </c>
      <c r="I1152" s="15">
        <f>IF($F1152="","",IFERROR(INDEX(rngEPseq,MATCH($F1152,rngEPcode,0)),""))</f>
        <v/>
      </c>
      <c r="J1152" s="15">
        <f>IF($F1152="","",IFERROR(INDEX(rngEPpass,MATCH($F1152,rngEPcode,0)),cfgPassingScore))</f>
        <v/>
      </c>
      <c r="K1152" s="14" t="n"/>
      <c r="L1152" s="14" t="n"/>
      <c r="M1152" s="15">
        <f>IF($C1152="","",IF($L1152="","",IF($K1152=1,IF(COUNTIFS(nrES_PID,$D1152,nrES_Code,$F1152,nrES_Att,2)&gt;0,"",$L1152),IF(COUNTIFS(nrES_PID,$D1152,nrES_Code,$F1152,nrES_Att,1)=0,$L1152,IF($L1152&gt;=$J1152,cfgRetakeRecordedCap,SUMIFS(nrES_Raw,nrES_PID,$D1152,nrES_Code,$F1152,nrES_Att,1))))))</f>
        <v/>
      </c>
      <c r="N1152" s="15">
        <f>IF($C1152="","",IF($L1152="","",IF($L1152&gt;=$J1152,"Yes","No")))</f>
        <v/>
      </c>
      <c r="O1152" s="15">
        <f>IF($C1152="","",IF($M1152="","",IF($M1152&gt;=$J1152,"Yes","No")))</f>
        <v/>
      </c>
      <c r="P1152" s="15">
        <f>IF($C1152="","",IF($K1152="","",IF(COUNTIFS(nrES_PID,$D1152,nrES_Code,$F1152,nrES_Att,"&gt;"&amp;$K1152)=0,"Yes","No")))</f>
        <v/>
      </c>
      <c r="Q1152" s="15">
        <f>IF($C1152="","",IF($L1152="","",IF(AND($K1152=1,$L1152&lt;$J1152,COUNTIFS(nrES_PID,$D1152,nrES_Code,$F1152,nrES_Att,2)=0),"Yes","No")))</f>
        <v/>
      </c>
      <c r="R1152" s="15">
        <f>IF($C1152="","",IF($L1152="","",IF(AND($K1152=2,$L1152&lt;$J1152,COUNTIFS(nrES_PID,$D1152,nrES_Code,$F1152,nrES_Att,1)&gt;0),"Yes","No")))</f>
        <v/>
      </c>
      <c r="S1152" s="16" t="n"/>
      <c r="T1152" s="17">
        <f>IF($Q1152&lt;&gt;"Yes","",IF($S1152="","(enter date)",_xlfn.LET(_xlpm.dn,IFERROR(_xlfn.XLOOKUP($S1152,nrCDdate,nrCDnum),""),IF(_xlpm.dn="","(not a class day)",IFERROR(_xlfn.XLOOKUP(_xlpm.dn+cfgRetestClassDays,nrCDnum,nrCDdate),"")))))</f>
        <v/>
      </c>
      <c r="U1152" s="15">
        <f>IF($Q1152&lt;&gt;"Yes","",IF(COUNTIFS(nrES_PID,$D1152,nrES_Code,$F1152,nrES_Att,2)&gt;0,"Retested",IF(OR($T1152="",NOT(ISNUMBER($T1152))),"Pending",IF(TODAY()&gt;$T1152,"OVERDUE","Due "&amp;TEXT($T1152,"mm/dd")))))</f>
        <v/>
      </c>
      <c r="V1152" s="14" t="n"/>
      <c r="W1152" s="14" t="n"/>
    </row>
    <row r="1153">
      <c r="B1153" s="15">
        <f>IF($C1153="","",$D1153&amp;"-"&amp;$F1153&amp;"-"&amp;$K1153)</f>
        <v/>
      </c>
      <c r="C1153" s="14" t="n"/>
      <c r="D1153" s="15">
        <f>IF($C1153="","",IFERROR(INDEX(rngCadetPIDs,MATCH($C1153,rngCadetNames,0)),"?"))</f>
        <v/>
      </c>
      <c r="E1153" s="15">
        <f>IF($D1153="","",IFERROR(INDEX(nrCadetAgency,MATCH($D1153,rngCadetPIDs,0)),""))</f>
        <v/>
      </c>
      <c r="F1153" s="14" t="n"/>
      <c r="G1153" s="15">
        <f>IF($F1153="","",IFERROR(INDEX(rngEPname,MATCH($F1153,rngEPcode,0)),"?"))</f>
        <v/>
      </c>
      <c r="H1153" s="15">
        <f>IF($F1153="","",IFERROR(INDEX(rngEPtype,MATCH($F1153,rngEPcode,0)),"?"))</f>
        <v/>
      </c>
      <c r="I1153" s="15">
        <f>IF($F1153="","",IFERROR(INDEX(rngEPseq,MATCH($F1153,rngEPcode,0)),""))</f>
        <v/>
      </c>
      <c r="J1153" s="15">
        <f>IF($F1153="","",IFERROR(INDEX(rngEPpass,MATCH($F1153,rngEPcode,0)),cfgPassingScore))</f>
        <v/>
      </c>
      <c r="K1153" s="14" t="n"/>
      <c r="L1153" s="14" t="n"/>
      <c r="M1153" s="15">
        <f>IF($C1153="","",IF($L1153="","",IF($K1153=1,IF(COUNTIFS(nrES_PID,$D1153,nrES_Code,$F1153,nrES_Att,2)&gt;0,"",$L1153),IF(COUNTIFS(nrES_PID,$D1153,nrES_Code,$F1153,nrES_Att,1)=0,$L1153,IF($L1153&gt;=$J1153,cfgRetakeRecordedCap,SUMIFS(nrES_Raw,nrES_PID,$D1153,nrES_Code,$F1153,nrES_Att,1))))))</f>
        <v/>
      </c>
      <c r="N1153" s="15">
        <f>IF($C1153="","",IF($L1153="","",IF($L1153&gt;=$J1153,"Yes","No")))</f>
        <v/>
      </c>
      <c r="O1153" s="15">
        <f>IF($C1153="","",IF($M1153="","",IF($M1153&gt;=$J1153,"Yes","No")))</f>
        <v/>
      </c>
      <c r="P1153" s="15">
        <f>IF($C1153="","",IF($K1153="","",IF(COUNTIFS(nrES_PID,$D1153,nrES_Code,$F1153,nrES_Att,"&gt;"&amp;$K1153)=0,"Yes","No")))</f>
        <v/>
      </c>
      <c r="Q1153" s="15">
        <f>IF($C1153="","",IF($L1153="","",IF(AND($K1153=1,$L1153&lt;$J1153,COUNTIFS(nrES_PID,$D1153,nrES_Code,$F1153,nrES_Att,2)=0),"Yes","No")))</f>
        <v/>
      </c>
      <c r="R1153" s="15">
        <f>IF($C1153="","",IF($L1153="","",IF(AND($K1153=2,$L1153&lt;$J1153,COUNTIFS(nrES_PID,$D1153,nrES_Code,$F1153,nrES_Att,1)&gt;0),"Yes","No")))</f>
        <v/>
      </c>
      <c r="S1153" s="16" t="n"/>
      <c r="T1153" s="17">
        <f>IF($Q1153&lt;&gt;"Yes","",IF($S1153="","(enter date)",_xlfn.LET(_xlpm.dn,IFERROR(_xlfn.XLOOKUP($S1153,nrCDdate,nrCDnum),""),IF(_xlpm.dn="","(not a class day)",IFERROR(_xlfn.XLOOKUP(_xlpm.dn+cfgRetestClassDays,nrCDnum,nrCDdate),"")))))</f>
        <v/>
      </c>
      <c r="U1153" s="15">
        <f>IF($Q1153&lt;&gt;"Yes","",IF(COUNTIFS(nrES_PID,$D1153,nrES_Code,$F1153,nrES_Att,2)&gt;0,"Retested",IF(OR($T1153="",NOT(ISNUMBER($T1153))),"Pending",IF(TODAY()&gt;$T1153,"OVERDUE","Due "&amp;TEXT($T1153,"mm/dd")))))</f>
        <v/>
      </c>
      <c r="V1153" s="14" t="n"/>
      <c r="W1153" s="14" t="n"/>
    </row>
    <row r="1154">
      <c r="B1154" s="15">
        <f>IF($C1154="","",$D1154&amp;"-"&amp;$F1154&amp;"-"&amp;$K1154)</f>
        <v/>
      </c>
      <c r="C1154" s="14" t="n"/>
      <c r="D1154" s="15">
        <f>IF($C1154="","",IFERROR(INDEX(rngCadetPIDs,MATCH($C1154,rngCadetNames,0)),"?"))</f>
        <v/>
      </c>
      <c r="E1154" s="15">
        <f>IF($D1154="","",IFERROR(INDEX(nrCadetAgency,MATCH($D1154,rngCadetPIDs,0)),""))</f>
        <v/>
      </c>
      <c r="F1154" s="14" t="n"/>
      <c r="G1154" s="15">
        <f>IF($F1154="","",IFERROR(INDEX(rngEPname,MATCH($F1154,rngEPcode,0)),"?"))</f>
        <v/>
      </c>
      <c r="H1154" s="15">
        <f>IF($F1154="","",IFERROR(INDEX(rngEPtype,MATCH($F1154,rngEPcode,0)),"?"))</f>
        <v/>
      </c>
      <c r="I1154" s="15">
        <f>IF($F1154="","",IFERROR(INDEX(rngEPseq,MATCH($F1154,rngEPcode,0)),""))</f>
        <v/>
      </c>
      <c r="J1154" s="15">
        <f>IF($F1154="","",IFERROR(INDEX(rngEPpass,MATCH($F1154,rngEPcode,0)),cfgPassingScore))</f>
        <v/>
      </c>
      <c r="K1154" s="14" t="n"/>
      <c r="L1154" s="14" t="n"/>
      <c r="M1154" s="15">
        <f>IF($C1154="","",IF($L1154="","",IF($K1154=1,IF(COUNTIFS(nrES_PID,$D1154,nrES_Code,$F1154,nrES_Att,2)&gt;0,"",$L1154),IF(COUNTIFS(nrES_PID,$D1154,nrES_Code,$F1154,nrES_Att,1)=0,$L1154,IF($L1154&gt;=$J1154,cfgRetakeRecordedCap,SUMIFS(nrES_Raw,nrES_PID,$D1154,nrES_Code,$F1154,nrES_Att,1))))))</f>
        <v/>
      </c>
      <c r="N1154" s="15">
        <f>IF($C1154="","",IF($L1154="","",IF($L1154&gt;=$J1154,"Yes","No")))</f>
        <v/>
      </c>
      <c r="O1154" s="15">
        <f>IF($C1154="","",IF($M1154="","",IF($M1154&gt;=$J1154,"Yes","No")))</f>
        <v/>
      </c>
      <c r="P1154" s="15">
        <f>IF($C1154="","",IF($K1154="","",IF(COUNTIFS(nrES_PID,$D1154,nrES_Code,$F1154,nrES_Att,"&gt;"&amp;$K1154)=0,"Yes","No")))</f>
        <v/>
      </c>
      <c r="Q1154" s="15">
        <f>IF($C1154="","",IF($L1154="","",IF(AND($K1154=1,$L1154&lt;$J1154,COUNTIFS(nrES_PID,$D1154,nrES_Code,$F1154,nrES_Att,2)=0),"Yes","No")))</f>
        <v/>
      </c>
      <c r="R1154" s="15">
        <f>IF($C1154="","",IF($L1154="","",IF(AND($K1154=2,$L1154&lt;$J1154,COUNTIFS(nrES_PID,$D1154,nrES_Code,$F1154,nrES_Att,1)&gt;0),"Yes","No")))</f>
        <v/>
      </c>
      <c r="S1154" s="16" t="n"/>
      <c r="T1154" s="17">
        <f>IF($Q1154&lt;&gt;"Yes","",IF($S1154="","(enter date)",_xlfn.LET(_xlpm.dn,IFERROR(_xlfn.XLOOKUP($S1154,nrCDdate,nrCDnum),""),IF(_xlpm.dn="","(not a class day)",IFERROR(_xlfn.XLOOKUP(_xlpm.dn+cfgRetestClassDays,nrCDnum,nrCDdate),"")))))</f>
        <v/>
      </c>
      <c r="U1154" s="15">
        <f>IF($Q1154&lt;&gt;"Yes","",IF(COUNTIFS(nrES_PID,$D1154,nrES_Code,$F1154,nrES_Att,2)&gt;0,"Retested",IF(OR($T1154="",NOT(ISNUMBER($T1154))),"Pending",IF(TODAY()&gt;$T1154,"OVERDUE","Due "&amp;TEXT($T1154,"mm/dd")))))</f>
        <v/>
      </c>
      <c r="V1154" s="14" t="n"/>
      <c r="W1154" s="14" t="n"/>
    </row>
    <row r="1155">
      <c r="B1155" s="15">
        <f>IF($C1155="","",$D1155&amp;"-"&amp;$F1155&amp;"-"&amp;$K1155)</f>
        <v/>
      </c>
      <c r="C1155" s="14" t="n"/>
      <c r="D1155" s="15">
        <f>IF($C1155="","",IFERROR(INDEX(rngCadetPIDs,MATCH($C1155,rngCadetNames,0)),"?"))</f>
        <v/>
      </c>
      <c r="E1155" s="15">
        <f>IF($D1155="","",IFERROR(INDEX(nrCadetAgency,MATCH($D1155,rngCadetPIDs,0)),""))</f>
        <v/>
      </c>
      <c r="F1155" s="14" t="n"/>
      <c r="G1155" s="15">
        <f>IF($F1155="","",IFERROR(INDEX(rngEPname,MATCH($F1155,rngEPcode,0)),"?"))</f>
        <v/>
      </c>
      <c r="H1155" s="15">
        <f>IF($F1155="","",IFERROR(INDEX(rngEPtype,MATCH($F1155,rngEPcode,0)),"?"))</f>
        <v/>
      </c>
      <c r="I1155" s="15">
        <f>IF($F1155="","",IFERROR(INDEX(rngEPseq,MATCH($F1155,rngEPcode,0)),""))</f>
        <v/>
      </c>
      <c r="J1155" s="15">
        <f>IF($F1155="","",IFERROR(INDEX(rngEPpass,MATCH($F1155,rngEPcode,0)),cfgPassingScore))</f>
        <v/>
      </c>
      <c r="K1155" s="14" t="n"/>
      <c r="L1155" s="14" t="n"/>
      <c r="M1155" s="15">
        <f>IF($C1155="","",IF($L1155="","",IF($K1155=1,IF(COUNTIFS(nrES_PID,$D1155,nrES_Code,$F1155,nrES_Att,2)&gt;0,"",$L1155),IF(COUNTIFS(nrES_PID,$D1155,nrES_Code,$F1155,nrES_Att,1)=0,$L1155,IF($L1155&gt;=$J1155,cfgRetakeRecordedCap,SUMIFS(nrES_Raw,nrES_PID,$D1155,nrES_Code,$F1155,nrES_Att,1))))))</f>
        <v/>
      </c>
      <c r="N1155" s="15">
        <f>IF($C1155="","",IF($L1155="","",IF($L1155&gt;=$J1155,"Yes","No")))</f>
        <v/>
      </c>
      <c r="O1155" s="15">
        <f>IF($C1155="","",IF($M1155="","",IF($M1155&gt;=$J1155,"Yes","No")))</f>
        <v/>
      </c>
      <c r="P1155" s="15">
        <f>IF($C1155="","",IF($K1155="","",IF(COUNTIFS(nrES_PID,$D1155,nrES_Code,$F1155,nrES_Att,"&gt;"&amp;$K1155)=0,"Yes","No")))</f>
        <v/>
      </c>
      <c r="Q1155" s="15">
        <f>IF($C1155="","",IF($L1155="","",IF(AND($K1155=1,$L1155&lt;$J1155,COUNTIFS(nrES_PID,$D1155,nrES_Code,$F1155,nrES_Att,2)=0),"Yes","No")))</f>
        <v/>
      </c>
      <c r="R1155" s="15">
        <f>IF($C1155="","",IF($L1155="","",IF(AND($K1155=2,$L1155&lt;$J1155,COUNTIFS(nrES_PID,$D1155,nrES_Code,$F1155,nrES_Att,1)&gt;0),"Yes","No")))</f>
        <v/>
      </c>
      <c r="S1155" s="16" t="n"/>
      <c r="T1155" s="17">
        <f>IF($Q1155&lt;&gt;"Yes","",IF($S1155="","(enter date)",_xlfn.LET(_xlpm.dn,IFERROR(_xlfn.XLOOKUP($S1155,nrCDdate,nrCDnum),""),IF(_xlpm.dn="","(not a class day)",IFERROR(_xlfn.XLOOKUP(_xlpm.dn+cfgRetestClassDays,nrCDnum,nrCDdate),"")))))</f>
        <v/>
      </c>
      <c r="U1155" s="15">
        <f>IF($Q1155&lt;&gt;"Yes","",IF(COUNTIFS(nrES_PID,$D1155,nrES_Code,$F1155,nrES_Att,2)&gt;0,"Retested",IF(OR($T1155="",NOT(ISNUMBER($T1155))),"Pending",IF(TODAY()&gt;$T1155,"OVERDUE","Due "&amp;TEXT($T1155,"mm/dd")))))</f>
        <v/>
      </c>
      <c r="V1155" s="14" t="n"/>
      <c r="W1155" s="14" t="n"/>
    </row>
    <row r="1156">
      <c r="B1156" s="15">
        <f>IF($C1156="","",$D1156&amp;"-"&amp;$F1156&amp;"-"&amp;$K1156)</f>
        <v/>
      </c>
      <c r="C1156" s="14" t="n"/>
      <c r="D1156" s="15">
        <f>IF($C1156="","",IFERROR(INDEX(rngCadetPIDs,MATCH($C1156,rngCadetNames,0)),"?"))</f>
        <v/>
      </c>
      <c r="E1156" s="15">
        <f>IF($D1156="","",IFERROR(INDEX(nrCadetAgency,MATCH($D1156,rngCadetPIDs,0)),""))</f>
        <v/>
      </c>
      <c r="F1156" s="14" t="n"/>
      <c r="G1156" s="15">
        <f>IF($F1156="","",IFERROR(INDEX(rngEPname,MATCH($F1156,rngEPcode,0)),"?"))</f>
        <v/>
      </c>
      <c r="H1156" s="15">
        <f>IF($F1156="","",IFERROR(INDEX(rngEPtype,MATCH($F1156,rngEPcode,0)),"?"))</f>
        <v/>
      </c>
      <c r="I1156" s="15">
        <f>IF($F1156="","",IFERROR(INDEX(rngEPseq,MATCH($F1156,rngEPcode,0)),""))</f>
        <v/>
      </c>
      <c r="J1156" s="15">
        <f>IF($F1156="","",IFERROR(INDEX(rngEPpass,MATCH($F1156,rngEPcode,0)),cfgPassingScore))</f>
        <v/>
      </c>
      <c r="K1156" s="14" t="n"/>
      <c r="L1156" s="14" t="n"/>
      <c r="M1156" s="15">
        <f>IF($C1156="","",IF($L1156="","",IF($K1156=1,IF(COUNTIFS(nrES_PID,$D1156,nrES_Code,$F1156,nrES_Att,2)&gt;0,"",$L1156),IF(COUNTIFS(nrES_PID,$D1156,nrES_Code,$F1156,nrES_Att,1)=0,$L1156,IF($L1156&gt;=$J1156,cfgRetakeRecordedCap,SUMIFS(nrES_Raw,nrES_PID,$D1156,nrES_Code,$F1156,nrES_Att,1))))))</f>
        <v/>
      </c>
      <c r="N1156" s="15">
        <f>IF($C1156="","",IF($L1156="","",IF($L1156&gt;=$J1156,"Yes","No")))</f>
        <v/>
      </c>
      <c r="O1156" s="15">
        <f>IF($C1156="","",IF($M1156="","",IF($M1156&gt;=$J1156,"Yes","No")))</f>
        <v/>
      </c>
      <c r="P1156" s="15">
        <f>IF($C1156="","",IF($K1156="","",IF(COUNTIFS(nrES_PID,$D1156,nrES_Code,$F1156,nrES_Att,"&gt;"&amp;$K1156)=0,"Yes","No")))</f>
        <v/>
      </c>
      <c r="Q1156" s="15">
        <f>IF($C1156="","",IF($L1156="","",IF(AND($K1156=1,$L1156&lt;$J1156,COUNTIFS(nrES_PID,$D1156,nrES_Code,$F1156,nrES_Att,2)=0),"Yes","No")))</f>
        <v/>
      </c>
      <c r="R1156" s="15">
        <f>IF($C1156="","",IF($L1156="","",IF(AND($K1156=2,$L1156&lt;$J1156,COUNTIFS(nrES_PID,$D1156,nrES_Code,$F1156,nrES_Att,1)&gt;0),"Yes","No")))</f>
        <v/>
      </c>
      <c r="S1156" s="16" t="n"/>
      <c r="T1156" s="17">
        <f>IF($Q1156&lt;&gt;"Yes","",IF($S1156="","(enter date)",_xlfn.LET(_xlpm.dn,IFERROR(_xlfn.XLOOKUP($S1156,nrCDdate,nrCDnum),""),IF(_xlpm.dn="","(not a class day)",IFERROR(_xlfn.XLOOKUP(_xlpm.dn+cfgRetestClassDays,nrCDnum,nrCDdate),"")))))</f>
        <v/>
      </c>
      <c r="U1156" s="15">
        <f>IF($Q1156&lt;&gt;"Yes","",IF(COUNTIFS(nrES_PID,$D1156,nrES_Code,$F1156,nrES_Att,2)&gt;0,"Retested",IF(OR($T1156="",NOT(ISNUMBER($T1156))),"Pending",IF(TODAY()&gt;$T1156,"OVERDUE","Due "&amp;TEXT($T1156,"mm/dd")))))</f>
        <v/>
      </c>
      <c r="V1156" s="14" t="n"/>
      <c r="W1156" s="14" t="n"/>
    </row>
    <row r="1157">
      <c r="B1157" s="15">
        <f>IF($C1157="","",$D1157&amp;"-"&amp;$F1157&amp;"-"&amp;$K1157)</f>
        <v/>
      </c>
      <c r="C1157" s="14" t="n"/>
      <c r="D1157" s="15">
        <f>IF($C1157="","",IFERROR(INDEX(rngCadetPIDs,MATCH($C1157,rngCadetNames,0)),"?"))</f>
        <v/>
      </c>
      <c r="E1157" s="15">
        <f>IF($D1157="","",IFERROR(INDEX(nrCadetAgency,MATCH($D1157,rngCadetPIDs,0)),""))</f>
        <v/>
      </c>
      <c r="F1157" s="14" t="n"/>
      <c r="G1157" s="15">
        <f>IF($F1157="","",IFERROR(INDEX(rngEPname,MATCH($F1157,rngEPcode,0)),"?"))</f>
        <v/>
      </c>
      <c r="H1157" s="15">
        <f>IF($F1157="","",IFERROR(INDEX(rngEPtype,MATCH($F1157,rngEPcode,0)),"?"))</f>
        <v/>
      </c>
      <c r="I1157" s="15">
        <f>IF($F1157="","",IFERROR(INDEX(rngEPseq,MATCH($F1157,rngEPcode,0)),""))</f>
        <v/>
      </c>
      <c r="J1157" s="15">
        <f>IF($F1157="","",IFERROR(INDEX(rngEPpass,MATCH($F1157,rngEPcode,0)),cfgPassingScore))</f>
        <v/>
      </c>
      <c r="K1157" s="14" t="n"/>
      <c r="L1157" s="14" t="n"/>
      <c r="M1157" s="15">
        <f>IF($C1157="","",IF($L1157="","",IF($K1157=1,IF(COUNTIFS(nrES_PID,$D1157,nrES_Code,$F1157,nrES_Att,2)&gt;0,"",$L1157),IF(COUNTIFS(nrES_PID,$D1157,nrES_Code,$F1157,nrES_Att,1)=0,$L1157,IF($L1157&gt;=$J1157,cfgRetakeRecordedCap,SUMIFS(nrES_Raw,nrES_PID,$D1157,nrES_Code,$F1157,nrES_Att,1))))))</f>
        <v/>
      </c>
      <c r="N1157" s="15">
        <f>IF($C1157="","",IF($L1157="","",IF($L1157&gt;=$J1157,"Yes","No")))</f>
        <v/>
      </c>
      <c r="O1157" s="15">
        <f>IF($C1157="","",IF($M1157="","",IF($M1157&gt;=$J1157,"Yes","No")))</f>
        <v/>
      </c>
      <c r="P1157" s="15">
        <f>IF($C1157="","",IF($K1157="","",IF(COUNTIFS(nrES_PID,$D1157,nrES_Code,$F1157,nrES_Att,"&gt;"&amp;$K1157)=0,"Yes","No")))</f>
        <v/>
      </c>
      <c r="Q1157" s="15">
        <f>IF($C1157="","",IF($L1157="","",IF(AND($K1157=1,$L1157&lt;$J1157,COUNTIFS(nrES_PID,$D1157,nrES_Code,$F1157,nrES_Att,2)=0),"Yes","No")))</f>
        <v/>
      </c>
      <c r="R1157" s="15">
        <f>IF($C1157="","",IF($L1157="","",IF(AND($K1157=2,$L1157&lt;$J1157,COUNTIFS(nrES_PID,$D1157,nrES_Code,$F1157,nrES_Att,1)&gt;0),"Yes","No")))</f>
        <v/>
      </c>
      <c r="S1157" s="16" t="n"/>
      <c r="T1157" s="17">
        <f>IF($Q1157&lt;&gt;"Yes","",IF($S1157="","(enter date)",_xlfn.LET(_xlpm.dn,IFERROR(_xlfn.XLOOKUP($S1157,nrCDdate,nrCDnum),""),IF(_xlpm.dn="","(not a class day)",IFERROR(_xlfn.XLOOKUP(_xlpm.dn+cfgRetestClassDays,nrCDnum,nrCDdate),"")))))</f>
        <v/>
      </c>
      <c r="U1157" s="15">
        <f>IF($Q1157&lt;&gt;"Yes","",IF(COUNTIFS(nrES_PID,$D1157,nrES_Code,$F1157,nrES_Att,2)&gt;0,"Retested",IF(OR($T1157="",NOT(ISNUMBER($T1157))),"Pending",IF(TODAY()&gt;$T1157,"OVERDUE","Due "&amp;TEXT($T1157,"mm/dd")))))</f>
        <v/>
      </c>
      <c r="V1157" s="14" t="n"/>
      <c r="W1157" s="14" t="n"/>
    </row>
    <row r="1158">
      <c r="B1158" s="15">
        <f>IF($C1158="","",$D1158&amp;"-"&amp;$F1158&amp;"-"&amp;$K1158)</f>
        <v/>
      </c>
      <c r="C1158" s="14" t="n"/>
      <c r="D1158" s="15">
        <f>IF($C1158="","",IFERROR(INDEX(rngCadetPIDs,MATCH($C1158,rngCadetNames,0)),"?"))</f>
        <v/>
      </c>
      <c r="E1158" s="15">
        <f>IF($D1158="","",IFERROR(INDEX(nrCadetAgency,MATCH($D1158,rngCadetPIDs,0)),""))</f>
        <v/>
      </c>
      <c r="F1158" s="14" t="n"/>
      <c r="G1158" s="15">
        <f>IF($F1158="","",IFERROR(INDEX(rngEPname,MATCH($F1158,rngEPcode,0)),"?"))</f>
        <v/>
      </c>
      <c r="H1158" s="15">
        <f>IF($F1158="","",IFERROR(INDEX(rngEPtype,MATCH($F1158,rngEPcode,0)),"?"))</f>
        <v/>
      </c>
      <c r="I1158" s="15">
        <f>IF($F1158="","",IFERROR(INDEX(rngEPseq,MATCH($F1158,rngEPcode,0)),""))</f>
        <v/>
      </c>
      <c r="J1158" s="15">
        <f>IF($F1158="","",IFERROR(INDEX(rngEPpass,MATCH($F1158,rngEPcode,0)),cfgPassingScore))</f>
        <v/>
      </c>
      <c r="K1158" s="14" t="n"/>
      <c r="L1158" s="14" t="n"/>
      <c r="M1158" s="15">
        <f>IF($C1158="","",IF($L1158="","",IF($K1158=1,IF(COUNTIFS(nrES_PID,$D1158,nrES_Code,$F1158,nrES_Att,2)&gt;0,"",$L1158),IF(COUNTIFS(nrES_PID,$D1158,nrES_Code,$F1158,nrES_Att,1)=0,$L1158,IF($L1158&gt;=$J1158,cfgRetakeRecordedCap,SUMIFS(nrES_Raw,nrES_PID,$D1158,nrES_Code,$F1158,nrES_Att,1))))))</f>
        <v/>
      </c>
      <c r="N1158" s="15">
        <f>IF($C1158="","",IF($L1158="","",IF($L1158&gt;=$J1158,"Yes","No")))</f>
        <v/>
      </c>
      <c r="O1158" s="15">
        <f>IF($C1158="","",IF($M1158="","",IF($M1158&gt;=$J1158,"Yes","No")))</f>
        <v/>
      </c>
      <c r="P1158" s="15">
        <f>IF($C1158="","",IF($K1158="","",IF(COUNTIFS(nrES_PID,$D1158,nrES_Code,$F1158,nrES_Att,"&gt;"&amp;$K1158)=0,"Yes","No")))</f>
        <v/>
      </c>
      <c r="Q1158" s="15">
        <f>IF($C1158="","",IF($L1158="","",IF(AND($K1158=1,$L1158&lt;$J1158,COUNTIFS(nrES_PID,$D1158,nrES_Code,$F1158,nrES_Att,2)=0),"Yes","No")))</f>
        <v/>
      </c>
      <c r="R1158" s="15">
        <f>IF($C1158="","",IF($L1158="","",IF(AND($K1158=2,$L1158&lt;$J1158,COUNTIFS(nrES_PID,$D1158,nrES_Code,$F1158,nrES_Att,1)&gt;0),"Yes","No")))</f>
        <v/>
      </c>
      <c r="S1158" s="16" t="n"/>
      <c r="T1158" s="17">
        <f>IF($Q1158&lt;&gt;"Yes","",IF($S1158="","(enter date)",_xlfn.LET(_xlpm.dn,IFERROR(_xlfn.XLOOKUP($S1158,nrCDdate,nrCDnum),""),IF(_xlpm.dn="","(not a class day)",IFERROR(_xlfn.XLOOKUP(_xlpm.dn+cfgRetestClassDays,nrCDnum,nrCDdate),"")))))</f>
        <v/>
      </c>
      <c r="U1158" s="15">
        <f>IF($Q1158&lt;&gt;"Yes","",IF(COUNTIFS(nrES_PID,$D1158,nrES_Code,$F1158,nrES_Att,2)&gt;0,"Retested",IF(OR($T1158="",NOT(ISNUMBER($T1158))),"Pending",IF(TODAY()&gt;$T1158,"OVERDUE","Due "&amp;TEXT($T1158,"mm/dd")))))</f>
        <v/>
      </c>
      <c r="V1158" s="14" t="n"/>
      <c r="W1158" s="14" t="n"/>
    </row>
    <row r="1159">
      <c r="B1159" s="15">
        <f>IF($C1159="","",$D1159&amp;"-"&amp;$F1159&amp;"-"&amp;$K1159)</f>
        <v/>
      </c>
      <c r="C1159" s="14" t="n"/>
      <c r="D1159" s="15">
        <f>IF($C1159="","",IFERROR(INDEX(rngCadetPIDs,MATCH($C1159,rngCadetNames,0)),"?"))</f>
        <v/>
      </c>
      <c r="E1159" s="15">
        <f>IF($D1159="","",IFERROR(INDEX(nrCadetAgency,MATCH($D1159,rngCadetPIDs,0)),""))</f>
        <v/>
      </c>
      <c r="F1159" s="14" t="n"/>
      <c r="G1159" s="15">
        <f>IF($F1159="","",IFERROR(INDEX(rngEPname,MATCH($F1159,rngEPcode,0)),"?"))</f>
        <v/>
      </c>
      <c r="H1159" s="15">
        <f>IF($F1159="","",IFERROR(INDEX(rngEPtype,MATCH($F1159,rngEPcode,0)),"?"))</f>
        <v/>
      </c>
      <c r="I1159" s="15">
        <f>IF($F1159="","",IFERROR(INDEX(rngEPseq,MATCH($F1159,rngEPcode,0)),""))</f>
        <v/>
      </c>
      <c r="J1159" s="15">
        <f>IF($F1159="","",IFERROR(INDEX(rngEPpass,MATCH($F1159,rngEPcode,0)),cfgPassingScore))</f>
        <v/>
      </c>
      <c r="K1159" s="14" t="n"/>
      <c r="L1159" s="14" t="n"/>
      <c r="M1159" s="15">
        <f>IF($C1159="","",IF($L1159="","",IF($K1159=1,IF(COUNTIFS(nrES_PID,$D1159,nrES_Code,$F1159,nrES_Att,2)&gt;0,"",$L1159),IF(COUNTIFS(nrES_PID,$D1159,nrES_Code,$F1159,nrES_Att,1)=0,$L1159,IF($L1159&gt;=$J1159,cfgRetakeRecordedCap,SUMIFS(nrES_Raw,nrES_PID,$D1159,nrES_Code,$F1159,nrES_Att,1))))))</f>
        <v/>
      </c>
      <c r="N1159" s="15">
        <f>IF($C1159="","",IF($L1159="","",IF($L1159&gt;=$J1159,"Yes","No")))</f>
        <v/>
      </c>
      <c r="O1159" s="15">
        <f>IF($C1159="","",IF($M1159="","",IF($M1159&gt;=$J1159,"Yes","No")))</f>
        <v/>
      </c>
      <c r="P1159" s="15">
        <f>IF($C1159="","",IF($K1159="","",IF(COUNTIFS(nrES_PID,$D1159,nrES_Code,$F1159,nrES_Att,"&gt;"&amp;$K1159)=0,"Yes","No")))</f>
        <v/>
      </c>
      <c r="Q1159" s="15">
        <f>IF($C1159="","",IF($L1159="","",IF(AND($K1159=1,$L1159&lt;$J1159,COUNTIFS(nrES_PID,$D1159,nrES_Code,$F1159,nrES_Att,2)=0),"Yes","No")))</f>
        <v/>
      </c>
      <c r="R1159" s="15">
        <f>IF($C1159="","",IF($L1159="","",IF(AND($K1159=2,$L1159&lt;$J1159,COUNTIFS(nrES_PID,$D1159,nrES_Code,$F1159,nrES_Att,1)&gt;0),"Yes","No")))</f>
        <v/>
      </c>
      <c r="S1159" s="16" t="n"/>
      <c r="T1159" s="17">
        <f>IF($Q1159&lt;&gt;"Yes","",IF($S1159="","(enter date)",_xlfn.LET(_xlpm.dn,IFERROR(_xlfn.XLOOKUP($S1159,nrCDdate,nrCDnum),""),IF(_xlpm.dn="","(not a class day)",IFERROR(_xlfn.XLOOKUP(_xlpm.dn+cfgRetestClassDays,nrCDnum,nrCDdate),"")))))</f>
        <v/>
      </c>
      <c r="U1159" s="15">
        <f>IF($Q1159&lt;&gt;"Yes","",IF(COUNTIFS(nrES_PID,$D1159,nrES_Code,$F1159,nrES_Att,2)&gt;0,"Retested",IF(OR($T1159="",NOT(ISNUMBER($T1159))),"Pending",IF(TODAY()&gt;$T1159,"OVERDUE","Due "&amp;TEXT($T1159,"mm/dd")))))</f>
        <v/>
      </c>
      <c r="V1159" s="14" t="n"/>
      <c r="W1159" s="14" t="n"/>
    </row>
    <row r="1160">
      <c r="B1160" s="15">
        <f>IF($C1160="","",$D1160&amp;"-"&amp;$F1160&amp;"-"&amp;$K1160)</f>
        <v/>
      </c>
      <c r="C1160" s="14" t="n"/>
      <c r="D1160" s="15">
        <f>IF($C1160="","",IFERROR(INDEX(rngCadetPIDs,MATCH($C1160,rngCadetNames,0)),"?"))</f>
        <v/>
      </c>
      <c r="E1160" s="15">
        <f>IF($D1160="","",IFERROR(INDEX(nrCadetAgency,MATCH($D1160,rngCadetPIDs,0)),""))</f>
        <v/>
      </c>
      <c r="F1160" s="14" t="n"/>
      <c r="G1160" s="15">
        <f>IF($F1160="","",IFERROR(INDEX(rngEPname,MATCH($F1160,rngEPcode,0)),"?"))</f>
        <v/>
      </c>
      <c r="H1160" s="15">
        <f>IF($F1160="","",IFERROR(INDEX(rngEPtype,MATCH($F1160,rngEPcode,0)),"?"))</f>
        <v/>
      </c>
      <c r="I1160" s="15">
        <f>IF($F1160="","",IFERROR(INDEX(rngEPseq,MATCH($F1160,rngEPcode,0)),""))</f>
        <v/>
      </c>
      <c r="J1160" s="15">
        <f>IF($F1160="","",IFERROR(INDEX(rngEPpass,MATCH($F1160,rngEPcode,0)),cfgPassingScore))</f>
        <v/>
      </c>
      <c r="K1160" s="14" t="n"/>
      <c r="L1160" s="14" t="n"/>
      <c r="M1160" s="15">
        <f>IF($C1160="","",IF($L1160="","",IF($K1160=1,IF(COUNTIFS(nrES_PID,$D1160,nrES_Code,$F1160,nrES_Att,2)&gt;0,"",$L1160),IF(COUNTIFS(nrES_PID,$D1160,nrES_Code,$F1160,nrES_Att,1)=0,$L1160,IF($L1160&gt;=$J1160,cfgRetakeRecordedCap,SUMIFS(nrES_Raw,nrES_PID,$D1160,nrES_Code,$F1160,nrES_Att,1))))))</f>
        <v/>
      </c>
      <c r="N1160" s="15">
        <f>IF($C1160="","",IF($L1160="","",IF($L1160&gt;=$J1160,"Yes","No")))</f>
        <v/>
      </c>
      <c r="O1160" s="15">
        <f>IF($C1160="","",IF($M1160="","",IF($M1160&gt;=$J1160,"Yes","No")))</f>
        <v/>
      </c>
      <c r="P1160" s="15">
        <f>IF($C1160="","",IF($K1160="","",IF(COUNTIFS(nrES_PID,$D1160,nrES_Code,$F1160,nrES_Att,"&gt;"&amp;$K1160)=0,"Yes","No")))</f>
        <v/>
      </c>
      <c r="Q1160" s="15">
        <f>IF($C1160="","",IF($L1160="","",IF(AND($K1160=1,$L1160&lt;$J1160,COUNTIFS(nrES_PID,$D1160,nrES_Code,$F1160,nrES_Att,2)=0),"Yes","No")))</f>
        <v/>
      </c>
      <c r="R1160" s="15">
        <f>IF($C1160="","",IF($L1160="","",IF(AND($K1160=2,$L1160&lt;$J1160,COUNTIFS(nrES_PID,$D1160,nrES_Code,$F1160,nrES_Att,1)&gt;0),"Yes","No")))</f>
        <v/>
      </c>
      <c r="S1160" s="16" t="n"/>
      <c r="T1160" s="17">
        <f>IF($Q1160&lt;&gt;"Yes","",IF($S1160="","(enter date)",_xlfn.LET(_xlpm.dn,IFERROR(_xlfn.XLOOKUP($S1160,nrCDdate,nrCDnum),""),IF(_xlpm.dn="","(not a class day)",IFERROR(_xlfn.XLOOKUP(_xlpm.dn+cfgRetestClassDays,nrCDnum,nrCDdate),"")))))</f>
        <v/>
      </c>
      <c r="U1160" s="15">
        <f>IF($Q1160&lt;&gt;"Yes","",IF(COUNTIFS(nrES_PID,$D1160,nrES_Code,$F1160,nrES_Att,2)&gt;0,"Retested",IF(OR($T1160="",NOT(ISNUMBER($T1160))),"Pending",IF(TODAY()&gt;$T1160,"OVERDUE","Due "&amp;TEXT($T1160,"mm/dd")))))</f>
        <v/>
      </c>
      <c r="V1160" s="14" t="n"/>
      <c r="W1160" s="14" t="n"/>
    </row>
    <row r="1161">
      <c r="B1161" s="15">
        <f>IF($C1161="","",$D1161&amp;"-"&amp;$F1161&amp;"-"&amp;$K1161)</f>
        <v/>
      </c>
      <c r="C1161" s="14" t="n"/>
      <c r="D1161" s="15">
        <f>IF($C1161="","",IFERROR(INDEX(rngCadetPIDs,MATCH($C1161,rngCadetNames,0)),"?"))</f>
        <v/>
      </c>
      <c r="E1161" s="15">
        <f>IF($D1161="","",IFERROR(INDEX(nrCadetAgency,MATCH($D1161,rngCadetPIDs,0)),""))</f>
        <v/>
      </c>
      <c r="F1161" s="14" t="n"/>
      <c r="G1161" s="15">
        <f>IF($F1161="","",IFERROR(INDEX(rngEPname,MATCH($F1161,rngEPcode,0)),"?"))</f>
        <v/>
      </c>
      <c r="H1161" s="15">
        <f>IF($F1161="","",IFERROR(INDEX(rngEPtype,MATCH($F1161,rngEPcode,0)),"?"))</f>
        <v/>
      </c>
      <c r="I1161" s="15">
        <f>IF($F1161="","",IFERROR(INDEX(rngEPseq,MATCH($F1161,rngEPcode,0)),""))</f>
        <v/>
      </c>
      <c r="J1161" s="15">
        <f>IF($F1161="","",IFERROR(INDEX(rngEPpass,MATCH($F1161,rngEPcode,0)),cfgPassingScore))</f>
        <v/>
      </c>
      <c r="K1161" s="14" t="n"/>
      <c r="L1161" s="14" t="n"/>
      <c r="M1161" s="15">
        <f>IF($C1161="","",IF($L1161="","",IF($K1161=1,IF(COUNTIFS(nrES_PID,$D1161,nrES_Code,$F1161,nrES_Att,2)&gt;0,"",$L1161),IF(COUNTIFS(nrES_PID,$D1161,nrES_Code,$F1161,nrES_Att,1)=0,$L1161,IF($L1161&gt;=$J1161,cfgRetakeRecordedCap,SUMIFS(nrES_Raw,nrES_PID,$D1161,nrES_Code,$F1161,nrES_Att,1))))))</f>
        <v/>
      </c>
      <c r="N1161" s="15">
        <f>IF($C1161="","",IF($L1161="","",IF($L1161&gt;=$J1161,"Yes","No")))</f>
        <v/>
      </c>
      <c r="O1161" s="15">
        <f>IF($C1161="","",IF($M1161="","",IF($M1161&gt;=$J1161,"Yes","No")))</f>
        <v/>
      </c>
      <c r="P1161" s="15">
        <f>IF($C1161="","",IF($K1161="","",IF(COUNTIFS(nrES_PID,$D1161,nrES_Code,$F1161,nrES_Att,"&gt;"&amp;$K1161)=0,"Yes","No")))</f>
        <v/>
      </c>
      <c r="Q1161" s="15">
        <f>IF($C1161="","",IF($L1161="","",IF(AND($K1161=1,$L1161&lt;$J1161,COUNTIFS(nrES_PID,$D1161,nrES_Code,$F1161,nrES_Att,2)=0),"Yes","No")))</f>
        <v/>
      </c>
      <c r="R1161" s="15">
        <f>IF($C1161="","",IF($L1161="","",IF(AND($K1161=2,$L1161&lt;$J1161,COUNTIFS(nrES_PID,$D1161,nrES_Code,$F1161,nrES_Att,1)&gt;0),"Yes","No")))</f>
        <v/>
      </c>
      <c r="S1161" s="16" t="n"/>
      <c r="T1161" s="17">
        <f>IF($Q1161&lt;&gt;"Yes","",IF($S1161="","(enter date)",_xlfn.LET(_xlpm.dn,IFERROR(_xlfn.XLOOKUP($S1161,nrCDdate,nrCDnum),""),IF(_xlpm.dn="","(not a class day)",IFERROR(_xlfn.XLOOKUP(_xlpm.dn+cfgRetestClassDays,nrCDnum,nrCDdate),"")))))</f>
        <v/>
      </c>
      <c r="U1161" s="15">
        <f>IF($Q1161&lt;&gt;"Yes","",IF(COUNTIFS(nrES_PID,$D1161,nrES_Code,$F1161,nrES_Att,2)&gt;0,"Retested",IF(OR($T1161="",NOT(ISNUMBER($T1161))),"Pending",IF(TODAY()&gt;$T1161,"OVERDUE","Due "&amp;TEXT($T1161,"mm/dd")))))</f>
        <v/>
      </c>
      <c r="V1161" s="14" t="n"/>
      <c r="W1161" s="14" t="n"/>
    </row>
    <row r="1162">
      <c r="B1162" s="15">
        <f>IF($C1162="","",$D1162&amp;"-"&amp;$F1162&amp;"-"&amp;$K1162)</f>
        <v/>
      </c>
      <c r="C1162" s="14" t="n"/>
      <c r="D1162" s="15">
        <f>IF($C1162="","",IFERROR(INDEX(rngCadetPIDs,MATCH($C1162,rngCadetNames,0)),"?"))</f>
        <v/>
      </c>
      <c r="E1162" s="15">
        <f>IF($D1162="","",IFERROR(INDEX(nrCadetAgency,MATCH($D1162,rngCadetPIDs,0)),""))</f>
        <v/>
      </c>
      <c r="F1162" s="14" t="n"/>
      <c r="G1162" s="15">
        <f>IF($F1162="","",IFERROR(INDEX(rngEPname,MATCH($F1162,rngEPcode,0)),"?"))</f>
        <v/>
      </c>
      <c r="H1162" s="15">
        <f>IF($F1162="","",IFERROR(INDEX(rngEPtype,MATCH($F1162,rngEPcode,0)),"?"))</f>
        <v/>
      </c>
      <c r="I1162" s="15">
        <f>IF($F1162="","",IFERROR(INDEX(rngEPseq,MATCH($F1162,rngEPcode,0)),""))</f>
        <v/>
      </c>
      <c r="J1162" s="15">
        <f>IF($F1162="","",IFERROR(INDEX(rngEPpass,MATCH($F1162,rngEPcode,0)),cfgPassingScore))</f>
        <v/>
      </c>
      <c r="K1162" s="14" t="n"/>
      <c r="L1162" s="14" t="n"/>
      <c r="M1162" s="15">
        <f>IF($C1162="","",IF($L1162="","",IF($K1162=1,IF(COUNTIFS(nrES_PID,$D1162,nrES_Code,$F1162,nrES_Att,2)&gt;0,"",$L1162),IF(COUNTIFS(nrES_PID,$D1162,nrES_Code,$F1162,nrES_Att,1)=0,$L1162,IF($L1162&gt;=$J1162,cfgRetakeRecordedCap,SUMIFS(nrES_Raw,nrES_PID,$D1162,nrES_Code,$F1162,nrES_Att,1))))))</f>
        <v/>
      </c>
      <c r="N1162" s="15">
        <f>IF($C1162="","",IF($L1162="","",IF($L1162&gt;=$J1162,"Yes","No")))</f>
        <v/>
      </c>
      <c r="O1162" s="15">
        <f>IF($C1162="","",IF($M1162="","",IF($M1162&gt;=$J1162,"Yes","No")))</f>
        <v/>
      </c>
      <c r="P1162" s="15">
        <f>IF($C1162="","",IF($K1162="","",IF(COUNTIFS(nrES_PID,$D1162,nrES_Code,$F1162,nrES_Att,"&gt;"&amp;$K1162)=0,"Yes","No")))</f>
        <v/>
      </c>
      <c r="Q1162" s="15">
        <f>IF($C1162="","",IF($L1162="","",IF(AND($K1162=1,$L1162&lt;$J1162,COUNTIFS(nrES_PID,$D1162,nrES_Code,$F1162,nrES_Att,2)=0),"Yes","No")))</f>
        <v/>
      </c>
      <c r="R1162" s="15">
        <f>IF($C1162="","",IF($L1162="","",IF(AND($K1162=2,$L1162&lt;$J1162,COUNTIFS(nrES_PID,$D1162,nrES_Code,$F1162,nrES_Att,1)&gt;0),"Yes","No")))</f>
        <v/>
      </c>
      <c r="S1162" s="16" t="n"/>
      <c r="T1162" s="17">
        <f>IF($Q1162&lt;&gt;"Yes","",IF($S1162="","(enter date)",_xlfn.LET(_xlpm.dn,IFERROR(_xlfn.XLOOKUP($S1162,nrCDdate,nrCDnum),""),IF(_xlpm.dn="","(not a class day)",IFERROR(_xlfn.XLOOKUP(_xlpm.dn+cfgRetestClassDays,nrCDnum,nrCDdate),"")))))</f>
        <v/>
      </c>
      <c r="U1162" s="15">
        <f>IF($Q1162&lt;&gt;"Yes","",IF(COUNTIFS(nrES_PID,$D1162,nrES_Code,$F1162,nrES_Att,2)&gt;0,"Retested",IF(OR($T1162="",NOT(ISNUMBER($T1162))),"Pending",IF(TODAY()&gt;$T1162,"OVERDUE","Due "&amp;TEXT($T1162,"mm/dd")))))</f>
        <v/>
      </c>
      <c r="V1162" s="14" t="n"/>
      <c r="W1162" s="14" t="n"/>
    </row>
    <row r="1163">
      <c r="B1163" s="15">
        <f>IF($C1163="","",$D1163&amp;"-"&amp;$F1163&amp;"-"&amp;$K1163)</f>
        <v/>
      </c>
      <c r="C1163" s="14" t="n"/>
      <c r="D1163" s="15">
        <f>IF($C1163="","",IFERROR(INDEX(rngCadetPIDs,MATCH($C1163,rngCadetNames,0)),"?"))</f>
        <v/>
      </c>
      <c r="E1163" s="15">
        <f>IF($D1163="","",IFERROR(INDEX(nrCadetAgency,MATCH($D1163,rngCadetPIDs,0)),""))</f>
        <v/>
      </c>
      <c r="F1163" s="14" t="n"/>
      <c r="G1163" s="15">
        <f>IF($F1163="","",IFERROR(INDEX(rngEPname,MATCH($F1163,rngEPcode,0)),"?"))</f>
        <v/>
      </c>
      <c r="H1163" s="15">
        <f>IF($F1163="","",IFERROR(INDEX(rngEPtype,MATCH($F1163,rngEPcode,0)),"?"))</f>
        <v/>
      </c>
      <c r="I1163" s="15">
        <f>IF($F1163="","",IFERROR(INDEX(rngEPseq,MATCH($F1163,rngEPcode,0)),""))</f>
        <v/>
      </c>
      <c r="J1163" s="15">
        <f>IF($F1163="","",IFERROR(INDEX(rngEPpass,MATCH($F1163,rngEPcode,0)),cfgPassingScore))</f>
        <v/>
      </c>
      <c r="K1163" s="14" t="n"/>
      <c r="L1163" s="14" t="n"/>
      <c r="M1163" s="15">
        <f>IF($C1163="","",IF($L1163="","",IF($K1163=1,IF(COUNTIFS(nrES_PID,$D1163,nrES_Code,$F1163,nrES_Att,2)&gt;0,"",$L1163),IF(COUNTIFS(nrES_PID,$D1163,nrES_Code,$F1163,nrES_Att,1)=0,$L1163,IF($L1163&gt;=$J1163,cfgRetakeRecordedCap,SUMIFS(nrES_Raw,nrES_PID,$D1163,nrES_Code,$F1163,nrES_Att,1))))))</f>
        <v/>
      </c>
      <c r="N1163" s="15">
        <f>IF($C1163="","",IF($L1163="","",IF($L1163&gt;=$J1163,"Yes","No")))</f>
        <v/>
      </c>
      <c r="O1163" s="15">
        <f>IF($C1163="","",IF($M1163="","",IF($M1163&gt;=$J1163,"Yes","No")))</f>
        <v/>
      </c>
      <c r="P1163" s="15">
        <f>IF($C1163="","",IF($K1163="","",IF(COUNTIFS(nrES_PID,$D1163,nrES_Code,$F1163,nrES_Att,"&gt;"&amp;$K1163)=0,"Yes","No")))</f>
        <v/>
      </c>
      <c r="Q1163" s="15">
        <f>IF($C1163="","",IF($L1163="","",IF(AND($K1163=1,$L1163&lt;$J1163,COUNTIFS(nrES_PID,$D1163,nrES_Code,$F1163,nrES_Att,2)=0),"Yes","No")))</f>
        <v/>
      </c>
      <c r="R1163" s="15">
        <f>IF($C1163="","",IF($L1163="","",IF(AND($K1163=2,$L1163&lt;$J1163,COUNTIFS(nrES_PID,$D1163,nrES_Code,$F1163,nrES_Att,1)&gt;0),"Yes","No")))</f>
        <v/>
      </c>
      <c r="S1163" s="16" t="n"/>
      <c r="T1163" s="17">
        <f>IF($Q1163&lt;&gt;"Yes","",IF($S1163="","(enter date)",_xlfn.LET(_xlpm.dn,IFERROR(_xlfn.XLOOKUP($S1163,nrCDdate,nrCDnum),""),IF(_xlpm.dn="","(not a class day)",IFERROR(_xlfn.XLOOKUP(_xlpm.dn+cfgRetestClassDays,nrCDnum,nrCDdate),"")))))</f>
        <v/>
      </c>
      <c r="U1163" s="15">
        <f>IF($Q1163&lt;&gt;"Yes","",IF(COUNTIFS(nrES_PID,$D1163,nrES_Code,$F1163,nrES_Att,2)&gt;0,"Retested",IF(OR($T1163="",NOT(ISNUMBER($T1163))),"Pending",IF(TODAY()&gt;$T1163,"OVERDUE","Due "&amp;TEXT($T1163,"mm/dd")))))</f>
        <v/>
      </c>
      <c r="V1163" s="14" t="n"/>
      <c r="W1163" s="14" t="n"/>
    </row>
    <row r="1164">
      <c r="B1164" s="15">
        <f>IF($C1164="","",$D1164&amp;"-"&amp;$F1164&amp;"-"&amp;$K1164)</f>
        <v/>
      </c>
      <c r="C1164" s="14" t="n"/>
      <c r="D1164" s="15">
        <f>IF($C1164="","",IFERROR(INDEX(rngCadetPIDs,MATCH($C1164,rngCadetNames,0)),"?"))</f>
        <v/>
      </c>
      <c r="E1164" s="15">
        <f>IF($D1164="","",IFERROR(INDEX(nrCadetAgency,MATCH($D1164,rngCadetPIDs,0)),""))</f>
        <v/>
      </c>
      <c r="F1164" s="14" t="n"/>
      <c r="G1164" s="15">
        <f>IF($F1164="","",IFERROR(INDEX(rngEPname,MATCH($F1164,rngEPcode,0)),"?"))</f>
        <v/>
      </c>
      <c r="H1164" s="15">
        <f>IF($F1164="","",IFERROR(INDEX(rngEPtype,MATCH($F1164,rngEPcode,0)),"?"))</f>
        <v/>
      </c>
      <c r="I1164" s="15">
        <f>IF($F1164="","",IFERROR(INDEX(rngEPseq,MATCH($F1164,rngEPcode,0)),""))</f>
        <v/>
      </c>
      <c r="J1164" s="15">
        <f>IF($F1164="","",IFERROR(INDEX(rngEPpass,MATCH($F1164,rngEPcode,0)),cfgPassingScore))</f>
        <v/>
      </c>
      <c r="K1164" s="14" t="n"/>
      <c r="L1164" s="14" t="n"/>
      <c r="M1164" s="15">
        <f>IF($C1164="","",IF($L1164="","",IF($K1164=1,IF(COUNTIFS(nrES_PID,$D1164,nrES_Code,$F1164,nrES_Att,2)&gt;0,"",$L1164),IF(COUNTIFS(nrES_PID,$D1164,nrES_Code,$F1164,nrES_Att,1)=0,$L1164,IF($L1164&gt;=$J1164,cfgRetakeRecordedCap,SUMIFS(nrES_Raw,nrES_PID,$D1164,nrES_Code,$F1164,nrES_Att,1))))))</f>
        <v/>
      </c>
      <c r="N1164" s="15">
        <f>IF($C1164="","",IF($L1164="","",IF($L1164&gt;=$J1164,"Yes","No")))</f>
        <v/>
      </c>
      <c r="O1164" s="15">
        <f>IF($C1164="","",IF($M1164="","",IF($M1164&gt;=$J1164,"Yes","No")))</f>
        <v/>
      </c>
      <c r="P1164" s="15">
        <f>IF($C1164="","",IF($K1164="","",IF(COUNTIFS(nrES_PID,$D1164,nrES_Code,$F1164,nrES_Att,"&gt;"&amp;$K1164)=0,"Yes","No")))</f>
        <v/>
      </c>
      <c r="Q1164" s="15">
        <f>IF($C1164="","",IF($L1164="","",IF(AND($K1164=1,$L1164&lt;$J1164,COUNTIFS(nrES_PID,$D1164,nrES_Code,$F1164,nrES_Att,2)=0),"Yes","No")))</f>
        <v/>
      </c>
      <c r="R1164" s="15">
        <f>IF($C1164="","",IF($L1164="","",IF(AND($K1164=2,$L1164&lt;$J1164,COUNTIFS(nrES_PID,$D1164,nrES_Code,$F1164,nrES_Att,1)&gt;0),"Yes","No")))</f>
        <v/>
      </c>
      <c r="S1164" s="16" t="n"/>
      <c r="T1164" s="17">
        <f>IF($Q1164&lt;&gt;"Yes","",IF($S1164="","(enter date)",_xlfn.LET(_xlpm.dn,IFERROR(_xlfn.XLOOKUP($S1164,nrCDdate,nrCDnum),""),IF(_xlpm.dn="","(not a class day)",IFERROR(_xlfn.XLOOKUP(_xlpm.dn+cfgRetestClassDays,nrCDnum,nrCDdate),"")))))</f>
        <v/>
      </c>
      <c r="U1164" s="15">
        <f>IF($Q1164&lt;&gt;"Yes","",IF(COUNTIFS(nrES_PID,$D1164,nrES_Code,$F1164,nrES_Att,2)&gt;0,"Retested",IF(OR($T1164="",NOT(ISNUMBER($T1164))),"Pending",IF(TODAY()&gt;$T1164,"OVERDUE","Due "&amp;TEXT($T1164,"mm/dd")))))</f>
        <v/>
      </c>
      <c r="V1164" s="14" t="n"/>
      <c r="W1164" s="14" t="n"/>
    </row>
    <row r="1165">
      <c r="B1165" s="15">
        <f>IF($C1165="","",$D1165&amp;"-"&amp;$F1165&amp;"-"&amp;$K1165)</f>
        <v/>
      </c>
      <c r="C1165" s="14" t="n"/>
      <c r="D1165" s="15">
        <f>IF($C1165="","",IFERROR(INDEX(rngCadetPIDs,MATCH($C1165,rngCadetNames,0)),"?"))</f>
        <v/>
      </c>
      <c r="E1165" s="15">
        <f>IF($D1165="","",IFERROR(INDEX(nrCadetAgency,MATCH($D1165,rngCadetPIDs,0)),""))</f>
        <v/>
      </c>
      <c r="F1165" s="14" t="n"/>
      <c r="G1165" s="15">
        <f>IF($F1165="","",IFERROR(INDEX(rngEPname,MATCH($F1165,rngEPcode,0)),"?"))</f>
        <v/>
      </c>
      <c r="H1165" s="15">
        <f>IF($F1165="","",IFERROR(INDEX(rngEPtype,MATCH($F1165,rngEPcode,0)),"?"))</f>
        <v/>
      </c>
      <c r="I1165" s="15">
        <f>IF($F1165="","",IFERROR(INDEX(rngEPseq,MATCH($F1165,rngEPcode,0)),""))</f>
        <v/>
      </c>
      <c r="J1165" s="15">
        <f>IF($F1165="","",IFERROR(INDEX(rngEPpass,MATCH($F1165,rngEPcode,0)),cfgPassingScore))</f>
        <v/>
      </c>
      <c r="K1165" s="14" t="n"/>
      <c r="L1165" s="14" t="n"/>
      <c r="M1165" s="15">
        <f>IF($C1165="","",IF($L1165="","",IF($K1165=1,IF(COUNTIFS(nrES_PID,$D1165,nrES_Code,$F1165,nrES_Att,2)&gt;0,"",$L1165),IF(COUNTIFS(nrES_PID,$D1165,nrES_Code,$F1165,nrES_Att,1)=0,$L1165,IF($L1165&gt;=$J1165,cfgRetakeRecordedCap,SUMIFS(nrES_Raw,nrES_PID,$D1165,nrES_Code,$F1165,nrES_Att,1))))))</f>
        <v/>
      </c>
      <c r="N1165" s="15">
        <f>IF($C1165="","",IF($L1165="","",IF($L1165&gt;=$J1165,"Yes","No")))</f>
        <v/>
      </c>
      <c r="O1165" s="15">
        <f>IF($C1165="","",IF($M1165="","",IF($M1165&gt;=$J1165,"Yes","No")))</f>
        <v/>
      </c>
      <c r="P1165" s="15">
        <f>IF($C1165="","",IF($K1165="","",IF(COUNTIFS(nrES_PID,$D1165,nrES_Code,$F1165,nrES_Att,"&gt;"&amp;$K1165)=0,"Yes","No")))</f>
        <v/>
      </c>
      <c r="Q1165" s="15">
        <f>IF($C1165="","",IF($L1165="","",IF(AND($K1165=1,$L1165&lt;$J1165,COUNTIFS(nrES_PID,$D1165,nrES_Code,$F1165,nrES_Att,2)=0),"Yes","No")))</f>
        <v/>
      </c>
      <c r="R1165" s="15">
        <f>IF($C1165="","",IF($L1165="","",IF(AND($K1165=2,$L1165&lt;$J1165,COUNTIFS(nrES_PID,$D1165,nrES_Code,$F1165,nrES_Att,1)&gt;0),"Yes","No")))</f>
        <v/>
      </c>
      <c r="S1165" s="16" t="n"/>
      <c r="T1165" s="17">
        <f>IF($Q1165&lt;&gt;"Yes","",IF($S1165="","(enter date)",_xlfn.LET(_xlpm.dn,IFERROR(_xlfn.XLOOKUP($S1165,nrCDdate,nrCDnum),""),IF(_xlpm.dn="","(not a class day)",IFERROR(_xlfn.XLOOKUP(_xlpm.dn+cfgRetestClassDays,nrCDnum,nrCDdate),"")))))</f>
        <v/>
      </c>
      <c r="U1165" s="15">
        <f>IF($Q1165&lt;&gt;"Yes","",IF(COUNTIFS(nrES_PID,$D1165,nrES_Code,$F1165,nrES_Att,2)&gt;0,"Retested",IF(OR($T1165="",NOT(ISNUMBER($T1165))),"Pending",IF(TODAY()&gt;$T1165,"OVERDUE","Due "&amp;TEXT($T1165,"mm/dd")))))</f>
        <v/>
      </c>
      <c r="V1165" s="14" t="n"/>
      <c r="W1165" s="14" t="n"/>
    </row>
    <row r="1166">
      <c r="B1166" s="15">
        <f>IF($C1166="","",$D1166&amp;"-"&amp;$F1166&amp;"-"&amp;$K1166)</f>
        <v/>
      </c>
      <c r="C1166" s="14" t="n"/>
      <c r="D1166" s="15">
        <f>IF($C1166="","",IFERROR(INDEX(rngCadetPIDs,MATCH($C1166,rngCadetNames,0)),"?"))</f>
        <v/>
      </c>
      <c r="E1166" s="15">
        <f>IF($D1166="","",IFERROR(INDEX(nrCadetAgency,MATCH($D1166,rngCadetPIDs,0)),""))</f>
        <v/>
      </c>
      <c r="F1166" s="14" t="n"/>
      <c r="G1166" s="15">
        <f>IF($F1166="","",IFERROR(INDEX(rngEPname,MATCH($F1166,rngEPcode,0)),"?"))</f>
        <v/>
      </c>
      <c r="H1166" s="15">
        <f>IF($F1166="","",IFERROR(INDEX(rngEPtype,MATCH($F1166,rngEPcode,0)),"?"))</f>
        <v/>
      </c>
      <c r="I1166" s="15">
        <f>IF($F1166="","",IFERROR(INDEX(rngEPseq,MATCH($F1166,rngEPcode,0)),""))</f>
        <v/>
      </c>
      <c r="J1166" s="15">
        <f>IF($F1166="","",IFERROR(INDEX(rngEPpass,MATCH($F1166,rngEPcode,0)),cfgPassingScore))</f>
        <v/>
      </c>
      <c r="K1166" s="14" t="n"/>
      <c r="L1166" s="14" t="n"/>
      <c r="M1166" s="15">
        <f>IF($C1166="","",IF($L1166="","",IF($K1166=1,IF(COUNTIFS(nrES_PID,$D1166,nrES_Code,$F1166,nrES_Att,2)&gt;0,"",$L1166),IF(COUNTIFS(nrES_PID,$D1166,nrES_Code,$F1166,nrES_Att,1)=0,$L1166,IF($L1166&gt;=$J1166,cfgRetakeRecordedCap,SUMIFS(nrES_Raw,nrES_PID,$D1166,nrES_Code,$F1166,nrES_Att,1))))))</f>
        <v/>
      </c>
      <c r="N1166" s="15">
        <f>IF($C1166="","",IF($L1166="","",IF($L1166&gt;=$J1166,"Yes","No")))</f>
        <v/>
      </c>
      <c r="O1166" s="15">
        <f>IF($C1166="","",IF($M1166="","",IF($M1166&gt;=$J1166,"Yes","No")))</f>
        <v/>
      </c>
      <c r="P1166" s="15">
        <f>IF($C1166="","",IF($K1166="","",IF(COUNTIFS(nrES_PID,$D1166,nrES_Code,$F1166,nrES_Att,"&gt;"&amp;$K1166)=0,"Yes","No")))</f>
        <v/>
      </c>
      <c r="Q1166" s="15">
        <f>IF($C1166="","",IF($L1166="","",IF(AND($K1166=1,$L1166&lt;$J1166,COUNTIFS(nrES_PID,$D1166,nrES_Code,$F1166,nrES_Att,2)=0),"Yes","No")))</f>
        <v/>
      </c>
      <c r="R1166" s="15">
        <f>IF($C1166="","",IF($L1166="","",IF(AND($K1166=2,$L1166&lt;$J1166,COUNTIFS(nrES_PID,$D1166,nrES_Code,$F1166,nrES_Att,1)&gt;0),"Yes","No")))</f>
        <v/>
      </c>
      <c r="S1166" s="16" t="n"/>
      <c r="T1166" s="17">
        <f>IF($Q1166&lt;&gt;"Yes","",IF($S1166="","(enter date)",_xlfn.LET(_xlpm.dn,IFERROR(_xlfn.XLOOKUP($S1166,nrCDdate,nrCDnum),""),IF(_xlpm.dn="","(not a class day)",IFERROR(_xlfn.XLOOKUP(_xlpm.dn+cfgRetestClassDays,nrCDnum,nrCDdate),"")))))</f>
        <v/>
      </c>
      <c r="U1166" s="15">
        <f>IF($Q1166&lt;&gt;"Yes","",IF(COUNTIFS(nrES_PID,$D1166,nrES_Code,$F1166,nrES_Att,2)&gt;0,"Retested",IF(OR($T1166="",NOT(ISNUMBER($T1166))),"Pending",IF(TODAY()&gt;$T1166,"OVERDUE","Due "&amp;TEXT($T1166,"mm/dd")))))</f>
        <v/>
      </c>
      <c r="V1166" s="14" t="n"/>
      <c r="W1166" s="14" t="n"/>
    </row>
    <row r="1167">
      <c r="B1167" s="15">
        <f>IF($C1167="","",$D1167&amp;"-"&amp;$F1167&amp;"-"&amp;$K1167)</f>
        <v/>
      </c>
      <c r="C1167" s="14" t="n"/>
      <c r="D1167" s="15">
        <f>IF($C1167="","",IFERROR(INDEX(rngCadetPIDs,MATCH($C1167,rngCadetNames,0)),"?"))</f>
        <v/>
      </c>
      <c r="E1167" s="15">
        <f>IF($D1167="","",IFERROR(INDEX(nrCadetAgency,MATCH($D1167,rngCadetPIDs,0)),""))</f>
        <v/>
      </c>
      <c r="F1167" s="14" t="n"/>
      <c r="G1167" s="15">
        <f>IF($F1167="","",IFERROR(INDEX(rngEPname,MATCH($F1167,rngEPcode,0)),"?"))</f>
        <v/>
      </c>
      <c r="H1167" s="15">
        <f>IF($F1167="","",IFERROR(INDEX(rngEPtype,MATCH($F1167,rngEPcode,0)),"?"))</f>
        <v/>
      </c>
      <c r="I1167" s="15">
        <f>IF($F1167="","",IFERROR(INDEX(rngEPseq,MATCH($F1167,rngEPcode,0)),""))</f>
        <v/>
      </c>
      <c r="J1167" s="15">
        <f>IF($F1167="","",IFERROR(INDEX(rngEPpass,MATCH($F1167,rngEPcode,0)),cfgPassingScore))</f>
        <v/>
      </c>
      <c r="K1167" s="14" t="n"/>
      <c r="L1167" s="14" t="n"/>
      <c r="M1167" s="15">
        <f>IF($C1167="","",IF($L1167="","",IF($K1167=1,IF(COUNTIFS(nrES_PID,$D1167,nrES_Code,$F1167,nrES_Att,2)&gt;0,"",$L1167),IF(COUNTIFS(nrES_PID,$D1167,nrES_Code,$F1167,nrES_Att,1)=0,$L1167,IF($L1167&gt;=$J1167,cfgRetakeRecordedCap,SUMIFS(nrES_Raw,nrES_PID,$D1167,nrES_Code,$F1167,nrES_Att,1))))))</f>
        <v/>
      </c>
      <c r="N1167" s="15">
        <f>IF($C1167="","",IF($L1167="","",IF($L1167&gt;=$J1167,"Yes","No")))</f>
        <v/>
      </c>
      <c r="O1167" s="15">
        <f>IF($C1167="","",IF($M1167="","",IF($M1167&gt;=$J1167,"Yes","No")))</f>
        <v/>
      </c>
      <c r="P1167" s="15">
        <f>IF($C1167="","",IF($K1167="","",IF(COUNTIFS(nrES_PID,$D1167,nrES_Code,$F1167,nrES_Att,"&gt;"&amp;$K1167)=0,"Yes","No")))</f>
        <v/>
      </c>
      <c r="Q1167" s="15">
        <f>IF($C1167="","",IF($L1167="","",IF(AND($K1167=1,$L1167&lt;$J1167,COUNTIFS(nrES_PID,$D1167,nrES_Code,$F1167,nrES_Att,2)=0),"Yes","No")))</f>
        <v/>
      </c>
      <c r="R1167" s="15">
        <f>IF($C1167="","",IF($L1167="","",IF(AND($K1167=2,$L1167&lt;$J1167,COUNTIFS(nrES_PID,$D1167,nrES_Code,$F1167,nrES_Att,1)&gt;0),"Yes","No")))</f>
        <v/>
      </c>
      <c r="S1167" s="16" t="n"/>
      <c r="T1167" s="17">
        <f>IF($Q1167&lt;&gt;"Yes","",IF($S1167="","(enter date)",_xlfn.LET(_xlpm.dn,IFERROR(_xlfn.XLOOKUP($S1167,nrCDdate,nrCDnum),""),IF(_xlpm.dn="","(not a class day)",IFERROR(_xlfn.XLOOKUP(_xlpm.dn+cfgRetestClassDays,nrCDnum,nrCDdate),"")))))</f>
        <v/>
      </c>
      <c r="U1167" s="15">
        <f>IF($Q1167&lt;&gt;"Yes","",IF(COUNTIFS(nrES_PID,$D1167,nrES_Code,$F1167,nrES_Att,2)&gt;0,"Retested",IF(OR($T1167="",NOT(ISNUMBER($T1167))),"Pending",IF(TODAY()&gt;$T1167,"OVERDUE","Due "&amp;TEXT($T1167,"mm/dd")))))</f>
        <v/>
      </c>
      <c r="V1167" s="14" t="n"/>
      <c r="W1167" s="14" t="n"/>
    </row>
    <row r="1168">
      <c r="B1168" s="15">
        <f>IF($C1168="","",$D1168&amp;"-"&amp;$F1168&amp;"-"&amp;$K1168)</f>
        <v/>
      </c>
      <c r="C1168" s="14" t="n"/>
      <c r="D1168" s="15">
        <f>IF($C1168="","",IFERROR(INDEX(rngCadetPIDs,MATCH($C1168,rngCadetNames,0)),"?"))</f>
        <v/>
      </c>
      <c r="E1168" s="15">
        <f>IF($D1168="","",IFERROR(INDEX(nrCadetAgency,MATCH($D1168,rngCadetPIDs,0)),""))</f>
        <v/>
      </c>
      <c r="F1168" s="14" t="n"/>
      <c r="G1168" s="15">
        <f>IF($F1168="","",IFERROR(INDEX(rngEPname,MATCH($F1168,rngEPcode,0)),"?"))</f>
        <v/>
      </c>
      <c r="H1168" s="15">
        <f>IF($F1168="","",IFERROR(INDEX(rngEPtype,MATCH($F1168,rngEPcode,0)),"?"))</f>
        <v/>
      </c>
      <c r="I1168" s="15">
        <f>IF($F1168="","",IFERROR(INDEX(rngEPseq,MATCH($F1168,rngEPcode,0)),""))</f>
        <v/>
      </c>
      <c r="J1168" s="15">
        <f>IF($F1168="","",IFERROR(INDEX(rngEPpass,MATCH($F1168,rngEPcode,0)),cfgPassingScore))</f>
        <v/>
      </c>
      <c r="K1168" s="14" t="n"/>
      <c r="L1168" s="14" t="n"/>
      <c r="M1168" s="15">
        <f>IF($C1168="","",IF($L1168="","",IF($K1168=1,IF(COUNTIFS(nrES_PID,$D1168,nrES_Code,$F1168,nrES_Att,2)&gt;0,"",$L1168),IF(COUNTIFS(nrES_PID,$D1168,nrES_Code,$F1168,nrES_Att,1)=0,$L1168,IF($L1168&gt;=$J1168,cfgRetakeRecordedCap,SUMIFS(nrES_Raw,nrES_PID,$D1168,nrES_Code,$F1168,nrES_Att,1))))))</f>
        <v/>
      </c>
      <c r="N1168" s="15">
        <f>IF($C1168="","",IF($L1168="","",IF($L1168&gt;=$J1168,"Yes","No")))</f>
        <v/>
      </c>
      <c r="O1168" s="15">
        <f>IF($C1168="","",IF($M1168="","",IF($M1168&gt;=$J1168,"Yes","No")))</f>
        <v/>
      </c>
      <c r="P1168" s="15">
        <f>IF($C1168="","",IF($K1168="","",IF(COUNTIFS(nrES_PID,$D1168,nrES_Code,$F1168,nrES_Att,"&gt;"&amp;$K1168)=0,"Yes","No")))</f>
        <v/>
      </c>
      <c r="Q1168" s="15">
        <f>IF($C1168="","",IF($L1168="","",IF(AND($K1168=1,$L1168&lt;$J1168,COUNTIFS(nrES_PID,$D1168,nrES_Code,$F1168,nrES_Att,2)=0),"Yes","No")))</f>
        <v/>
      </c>
      <c r="R1168" s="15">
        <f>IF($C1168="","",IF($L1168="","",IF(AND($K1168=2,$L1168&lt;$J1168,COUNTIFS(nrES_PID,$D1168,nrES_Code,$F1168,nrES_Att,1)&gt;0),"Yes","No")))</f>
        <v/>
      </c>
      <c r="S1168" s="16" t="n"/>
      <c r="T1168" s="17">
        <f>IF($Q1168&lt;&gt;"Yes","",IF($S1168="","(enter date)",_xlfn.LET(_xlpm.dn,IFERROR(_xlfn.XLOOKUP($S1168,nrCDdate,nrCDnum),""),IF(_xlpm.dn="","(not a class day)",IFERROR(_xlfn.XLOOKUP(_xlpm.dn+cfgRetestClassDays,nrCDnum,nrCDdate),"")))))</f>
        <v/>
      </c>
      <c r="U1168" s="15">
        <f>IF($Q1168&lt;&gt;"Yes","",IF(COUNTIFS(nrES_PID,$D1168,nrES_Code,$F1168,nrES_Att,2)&gt;0,"Retested",IF(OR($T1168="",NOT(ISNUMBER($T1168))),"Pending",IF(TODAY()&gt;$T1168,"OVERDUE","Due "&amp;TEXT($T1168,"mm/dd")))))</f>
        <v/>
      </c>
      <c r="V1168" s="14" t="n"/>
      <c r="W1168" s="14" t="n"/>
    </row>
    <row r="1169">
      <c r="B1169" s="15">
        <f>IF($C1169="","",$D1169&amp;"-"&amp;$F1169&amp;"-"&amp;$K1169)</f>
        <v/>
      </c>
      <c r="C1169" s="14" t="n"/>
      <c r="D1169" s="15">
        <f>IF($C1169="","",IFERROR(INDEX(rngCadetPIDs,MATCH($C1169,rngCadetNames,0)),"?"))</f>
        <v/>
      </c>
      <c r="E1169" s="15">
        <f>IF($D1169="","",IFERROR(INDEX(nrCadetAgency,MATCH($D1169,rngCadetPIDs,0)),""))</f>
        <v/>
      </c>
      <c r="F1169" s="14" t="n"/>
      <c r="G1169" s="15">
        <f>IF($F1169="","",IFERROR(INDEX(rngEPname,MATCH($F1169,rngEPcode,0)),"?"))</f>
        <v/>
      </c>
      <c r="H1169" s="15">
        <f>IF($F1169="","",IFERROR(INDEX(rngEPtype,MATCH($F1169,rngEPcode,0)),"?"))</f>
        <v/>
      </c>
      <c r="I1169" s="15">
        <f>IF($F1169="","",IFERROR(INDEX(rngEPseq,MATCH($F1169,rngEPcode,0)),""))</f>
        <v/>
      </c>
      <c r="J1169" s="15">
        <f>IF($F1169="","",IFERROR(INDEX(rngEPpass,MATCH($F1169,rngEPcode,0)),cfgPassingScore))</f>
        <v/>
      </c>
      <c r="K1169" s="14" t="n"/>
      <c r="L1169" s="14" t="n"/>
      <c r="M1169" s="15">
        <f>IF($C1169="","",IF($L1169="","",IF($K1169=1,IF(COUNTIFS(nrES_PID,$D1169,nrES_Code,$F1169,nrES_Att,2)&gt;0,"",$L1169),IF(COUNTIFS(nrES_PID,$D1169,nrES_Code,$F1169,nrES_Att,1)=0,$L1169,IF($L1169&gt;=$J1169,cfgRetakeRecordedCap,SUMIFS(nrES_Raw,nrES_PID,$D1169,nrES_Code,$F1169,nrES_Att,1))))))</f>
        <v/>
      </c>
      <c r="N1169" s="15">
        <f>IF($C1169="","",IF($L1169="","",IF($L1169&gt;=$J1169,"Yes","No")))</f>
        <v/>
      </c>
      <c r="O1169" s="15">
        <f>IF($C1169="","",IF($M1169="","",IF($M1169&gt;=$J1169,"Yes","No")))</f>
        <v/>
      </c>
      <c r="P1169" s="15">
        <f>IF($C1169="","",IF($K1169="","",IF(COUNTIFS(nrES_PID,$D1169,nrES_Code,$F1169,nrES_Att,"&gt;"&amp;$K1169)=0,"Yes","No")))</f>
        <v/>
      </c>
      <c r="Q1169" s="15">
        <f>IF($C1169="","",IF($L1169="","",IF(AND($K1169=1,$L1169&lt;$J1169,COUNTIFS(nrES_PID,$D1169,nrES_Code,$F1169,nrES_Att,2)=0),"Yes","No")))</f>
        <v/>
      </c>
      <c r="R1169" s="15">
        <f>IF($C1169="","",IF($L1169="","",IF(AND($K1169=2,$L1169&lt;$J1169,COUNTIFS(nrES_PID,$D1169,nrES_Code,$F1169,nrES_Att,1)&gt;0),"Yes","No")))</f>
        <v/>
      </c>
      <c r="S1169" s="16" t="n"/>
      <c r="T1169" s="17">
        <f>IF($Q1169&lt;&gt;"Yes","",IF($S1169="","(enter date)",_xlfn.LET(_xlpm.dn,IFERROR(_xlfn.XLOOKUP($S1169,nrCDdate,nrCDnum),""),IF(_xlpm.dn="","(not a class day)",IFERROR(_xlfn.XLOOKUP(_xlpm.dn+cfgRetestClassDays,nrCDnum,nrCDdate),"")))))</f>
        <v/>
      </c>
      <c r="U1169" s="15">
        <f>IF($Q1169&lt;&gt;"Yes","",IF(COUNTIFS(nrES_PID,$D1169,nrES_Code,$F1169,nrES_Att,2)&gt;0,"Retested",IF(OR($T1169="",NOT(ISNUMBER($T1169))),"Pending",IF(TODAY()&gt;$T1169,"OVERDUE","Due "&amp;TEXT($T1169,"mm/dd")))))</f>
        <v/>
      </c>
      <c r="V1169" s="14" t="n"/>
      <c r="W1169" s="14" t="n"/>
    </row>
    <row r="1170">
      <c r="B1170" s="15">
        <f>IF($C1170="","",$D1170&amp;"-"&amp;$F1170&amp;"-"&amp;$K1170)</f>
        <v/>
      </c>
      <c r="C1170" s="14" t="n"/>
      <c r="D1170" s="15">
        <f>IF($C1170="","",IFERROR(INDEX(rngCadetPIDs,MATCH($C1170,rngCadetNames,0)),"?"))</f>
        <v/>
      </c>
      <c r="E1170" s="15">
        <f>IF($D1170="","",IFERROR(INDEX(nrCadetAgency,MATCH($D1170,rngCadetPIDs,0)),""))</f>
        <v/>
      </c>
      <c r="F1170" s="14" t="n"/>
      <c r="G1170" s="15">
        <f>IF($F1170="","",IFERROR(INDEX(rngEPname,MATCH($F1170,rngEPcode,0)),"?"))</f>
        <v/>
      </c>
      <c r="H1170" s="15">
        <f>IF($F1170="","",IFERROR(INDEX(rngEPtype,MATCH($F1170,rngEPcode,0)),"?"))</f>
        <v/>
      </c>
      <c r="I1170" s="15">
        <f>IF($F1170="","",IFERROR(INDEX(rngEPseq,MATCH($F1170,rngEPcode,0)),""))</f>
        <v/>
      </c>
      <c r="J1170" s="15">
        <f>IF($F1170="","",IFERROR(INDEX(rngEPpass,MATCH($F1170,rngEPcode,0)),cfgPassingScore))</f>
        <v/>
      </c>
      <c r="K1170" s="14" t="n"/>
      <c r="L1170" s="14" t="n"/>
      <c r="M1170" s="15">
        <f>IF($C1170="","",IF($L1170="","",IF($K1170=1,IF(COUNTIFS(nrES_PID,$D1170,nrES_Code,$F1170,nrES_Att,2)&gt;0,"",$L1170),IF(COUNTIFS(nrES_PID,$D1170,nrES_Code,$F1170,nrES_Att,1)=0,$L1170,IF($L1170&gt;=$J1170,cfgRetakeRecordedCap,SUMIFS(nrES_Raw,nrES_PID,$D1170,nrES_Code,$F1170,nrES_Att,1))))))</f>
        <v/>
      </c>
      <c r="N1170" s="15">
        <f>IF($C1170="","",IF($L1170="","",IF($L1170&gt;=$J1170,"Yes","No")))</f>
        <v/>
      </c>
      <c r="O1170" s="15">
        <f>IF($C1170="","",IF($M1170="","",IF($M1170&gt;=$J1170,"Yes","No")))</f>
        <v/>
      </c>
      <c r="P1170" s="15">
        <f>IF($C1170="","",IF($K1170="","",IF(COUNTIFS(nrES_PID,$D1170,nrES_Code,$F1170,nrES_Att,"&gt;"&amp;$K1170)=0,"Yes","No")))</f>
        <v/>
      </c>
      <c r="Q1170" s="15">
        <f>IF($C1170="","",IF($L1170="","",IF(AND($K1170=1,$L1170&lt;$J1170,COUNTIFS(nrES_PID,$D1170,nrES_Code,$F1170,nrES_Att,2)=0),"Yes","No")))</f>
        <v/>
      </c>
      <c r="R1170" s="15">
        <f>IF($C1170="","",IF($L1170="","",IF(AND($K1170=2,$L1170&lt;$J1170,COUNTIFS(nrES_PID,$D1170,nrES_Code,$F1170,nrES_Att,1)&gt;0),"Yes","No")))</f>
        <v/>
      </c>
      <c r="S1170" s="16" t="n"/>
      <c r="T1170" s="17">
        <f>IF($Q1170&lt;&gt;"Yes","",IF($S1170="","(enter date)",_xlfn.LET(_xlpm.dn,IFERROR(_xlfn.XLOOKUP($S1170,nrCDdate,nrCDnum),""),IF(_xlpm.dn="","(not a class day)",IFERROR(_xlfn.XLOOKUP(_xlpm.dn+cfgRetestClassDays,nrCDnum,nrCDdate),"")))))</f>
        <v/>
      </c>
      <c r="U1170" s="15">
        <f>IF($Q1170&lt;&gt;"Yes","",IF(COUNTIFS(nrES_PID,$D1170,nrES_Code,$F1170,nrES_Att,2)&gt;0,"Retested",IF(OR($T1170="",NOT(ISNUMBER($T1170))),"Pending",IF(TODAY()&gt;$T1170,"OVERDUE","Due "&amp;TEXT($T1170,"mm/dd")))))</f>
        <v/>
      </c>
      <c r="V1170" s="14" t="n"/>
      <c r="W1170" s="14" t="n"/>
    </row>
    <row r="1171">
      <c r="B1171" s="15">
        <f>IF($C1171="","",$D1171&amp;"-"&amp;$F1171&amp;"-"&amp;$K1171)</f>
        <v/>
      </c>
      <c r="C1171" s="14" t="n"/>
      <c r="D1171" s="15">
        <f>IF($C1171="","",IFERROR(INDEX(rngCadetPIDs,MATCH($C1171,rngCadetNames,0)),"?"))</f>
        <v/>
      </c>
      <c r="E1171" s="15">
        <f>IF($D1171="","",IFERROR(INDEX(nrCadetAgency,MATCH($D1171,rngCadetPIDs,0)),""))</f>
        <v/>
      </c>
      <c r="F1171" s="14" t="n"/>
      <c r="G1171" s="15">
        <f>IF($F1171="","",IFERROR(INDEX(rngEPname,MATCH($F1171,rngEPcode,0)),"?"))</f>
        <v/>
      </c>
      <c r="H1171" s="15">
        <f>IF($F1171="","",IFERROR(INDEX(rngEPtype,MATCH($F1171,rngEPcode,0)),"?"))</f>
        <v/>
      </c>
      <c r="I1171" s="15">
        <f>IF($F1171="","",IFERROR(INDEX(rngEPseq,MATCH($F1171,rngEPcode,0)),""))</f>
        <v/>
      </c>
      <c r="J1171" s="15">
        <f>IF($F1171="","",IFERROR(INDEX(rngEPpass,MATCH($F1171,rngEPcode,0)),cfgPassingScore))</f>
        <v/>
      </c>
      <c r="K1171" s="14" t="n"/>
      <c r="L1171" s="14" t="n"/>
      <c r="M1171" s="15">
        <f>IF($C1171="","",IF($L1171="","",IF($K1171=1,IF(COUNTIFS(nrES_PID,$D1171,nrES_Code,$F1171,nrES_Att,2)&gt;0,"",$L1171),IF(COUNTIFS(nrES_PID,$D1171,nrES_Code,$F1171,nrES_Att,1)=0,$L1171,IF($L1171&gt;=$J1171,cfgRetakeRecordedCap,SUMIFS(nrES_Raw,nrES_PID,$D1171,nrES_Code,$F1171,nrES_Att,1))))))</f>
        <v/>
      </c>
      <c r="N1171" s="15">
        <f>IF($C1171="","",IF($L1171="","",IF($L1171&gt;=$J1171,"Yes","No")))</f>
        <v/>
      </c>
      <c r="O1171" s="15">
        <f>IF($C1171="","",IF($M1171="","",IF($M1171&gt;=$J1171,"Yes","No")))</f>
        <v/>
      </c>
      <c r="P1171" s="15">
        <f>IF($C1171="","",IF($K1171="","",IF(COUNTIFS(nrES_PID,$D1171,nrES_Code,$F1171,nrES_Att,"&gt;"&amp;$K1171)=0,"Yes","No")))</f>
        <v/>
      </c>
      <c r="Q1171" s="15">
        <f>IF($C1171="","",IF($L1171="","",IF(AND($K1171=1,$L1171&lt;$J1171,COUNTIFS(nrES_PID,$D1171,nrES_Code,$F1171,nrES_Att,2)=0),"Yes","No")))</f>
        <v/>
      </c>
      <c r="R1171" s="15">
        <f>IF($C1171="","",IF($L1171="","",IF(AND($K1171=2,$L1171&lt;$J1171,COUNTIFS(nrES_PID,$D1171,nrES_Code,$F1171,nrES_Att,1)&gt;0),"Yes","No")))</f>
        <v/>
      </c>
      <c r="S1171" s="16" t="n"/>
      <c r="T1171" s="17">
        <f>IF($Q1171&lt;&gt;"Yes","",IF($S1171="","(enter date)",_xlfn.LET(_xlpm.dn,IFERROR(_xlfn.XLOOKUP($S1171,nrCDdate,nrCDnum),""),IF(_xlpm.dn="","(not a class day)",IFERROR(_xlfn.XLOOKUP(_xlpm.dn+cfgRetestClassDays,nrCDnum,nrCDdate),"")))))</f>
        <v/>
      </c>
      <c r="U1171" s="15">
        <f>IF($Q1171&lt;&gt;"Yes","",IF(COUNTIFS(nrES_PID,$D1171,nrES_Code,$F1171,nrES_Att,2)&gt;0,"Retested",IF(OR($T1171="",NOT(ISNUMBER($T1171))),"Pending",IF(TODAY()&gt;$T1171,"OVERDUE","Due "&amp;TEXT($T1171,"mm/dd")))))</f>
        <v/>
      </c>
      <c r="V1171" s="14" t="n"/>
      <c r="W1171" s="14" t="n"/>
    </row>
    <row r="1172">
      <c r="B1172" s="15">
        <f>IF($C1172="","",$D1172&amp;"-"&amp;$F1172&amp;"-"&amp;$K1172)</f>
        <v/>
      </c>
      <c r="C1172" s="14" t="n"/>
      <c r="D1172" s="15">
        <f>IF($C1172="","",IFERROR(INDEX(rngCadetPIDs,MATCH($C1172,rngCadetNames,0)),"?"))</f>
        <v/>
      </c>
      <c r="E1172" s="15">
        <f>IF($D1172="","",IFERROR(INDEX(nrCadetAgency,MATCH($D1172,rngCadetPIDs,0)),""))</f>
        <v/>
      </c>
      <c r="F1172" s="14" t="n"/>
      <c r="G1172" s="15">
        <f>IF($F1172="","",IFERROR(INDEX(rngEPname,MATCH($F1172,rngEPcode,0)),"?"))</f>
        <v/>
      </c>
      <c r="H1172" s="15">
        <f>IF($F1172="","",IFERROR(INDEX(rngEPtype,MATCH($F1172,rngEPcode,0)),"?"))</f>
        <v/>
      </c>
      <c r="I1172" s="15">
        <f>IF($F1172="","",IFERROR(INDEX(rngEPseq,MATCH($F1172,rngEPcode,0)),""))</f>
        <v/>
      </c>
      <c r="J1172" s="15">
        <f>IF($F1172="","",IFERROR(INDEX(rngEPpass,MATCH($F1172,rngEPcode,0)),cfgPassingScore))</f>
        <v/>
      </c>
      <c r="K1172" s="14" t="n"/>
      <c r="L1172" s="14" t="n"/>
      <c r="M1172" s="15">
        <f>IF($C1172="","",IF($L1172="","",IF($K1172=1,IF(COUNTIFS(nrES_PID,$D1172,nrES_Code,$F1172,nrES_Att,2)&gt;0,"",$L1172),IF(COUNTIFS(nrES_PID,$D1172,nrES_Code,$F1172,nrES_Att,1)=0,$L1172,IF($L1172&gt;=$J1172,cfgRetakeRecordedCap,SUMIFS(nrES_Raw,nrES_PID,$D1172,nrES_Code,$F1172,nrES_Att,1))))))</f>
        <v/>
      </c>
      <c r="N1172" s="15">
        <f>IF($C1172="","",IF($L1172="","",IF($L1172&gt;=$J1172,"Yes","No")))</f>
        <v/>
      </c>
      <c r="O1172" s="15">
        <f>IF($C1172="","",IF($M1172="","",IF($M1172&gt;=$J1172,"Yes","No")))</f>
        <v/>
      </c>
      <c r="P1172" s="15">
        <f>IF($C1172="","",IF($K1172="","",IF(COUNTIFS(nrES_PID,$D1172,nrES_Code,$F1172,nrES_Att,"&gt;"&amp;$K1172)=0,"Yes","No")))</f>
        <v/>
      </c>
      <c r="Q1172" s="15">
        <f>IF($C1172="","",IF($L1172="","",IF(AND($K1172=1,$L1172&lt;$J1172,COUNTIFS(nrES_PID,$D1172,nrES_Code,$F1172,nrES_Att,2)=0),"Yes","No")))</f>
        <v/>
      </c>
      <c r="R1172" s="15">
        <f>IF($C1172="","",IF($L1172="","",IF(AND($K1172=2,$L1172&lt;$J1172,COUNTIFS(nrES_PID,$D1172,nrES_Code,$F1172,nrES_Att,1)&gt;0),"Yes","No")))</f>
        <v/>
      </c>
      <c r="S1172" s="16" t="n"/>
      <c r="T1172" s="17">
        <f>IF($Q1172&lt;&gt;"Yes","",IF($S1172="","(enter date)",_xlfn.LET(_xlpm.dn,IFERROR(_xlfn.XLOOKUP($S1172,nrCDdate,nrCDnum),""),IF(_xlpm.dn="","(not a class day)",IFERROR(_xlfn.XLOOKUP(_xlpm.dn+cfgRetestClassDays,nrCDnum,nrCDdate),"")))))</f>
        <v/>
      </c>
      <c r="U1172" s="15">
        <f>IF($Q1172&lt;&gt;"Yes","",IF(COUNTIFS(nrES_PID,$D1172,nrES_Code,$F1172,nrES_Att,2)&gt;0,"Retested",IF(OR($T1172="",NOT(ISNUMBER($T1172))),"Pending",IF(TODAY()&gt;$T1172,"OVERDUE","Due "&amp;TEXT($T1172,"mm/dd")))))</f>
        <v/>
      </c>
      <c r="V1172" s="14" t="n"/>
      <c r="W1172" s="14" t="n"/>
    </row>
    <row r="1173">
      <c r="B1173" s="15">
        <f>IF($C1173="","",$D1173&amp;"-"&amp;$F1173&amp;"-"&amp;$K1173)</f>
        <v/>
      </c>
      <c r="C1173" s="14" t="n"/>
      <c r="D1173" s="15">
        <f>IF($C1173="","",IFERROR(INDEX(rngCadetPIDs,MATCH($C1173,rngCadetNames,0)),"?"))</f>
        <v/>
      </c>
      <c r="E1173" s="15">
        <f>IF($D1173="","",IFERROR(INDEX(nrCadetAgency,MATCH($D1173,rngCadetPIDs,0)),""))</f>
        <v/>
      </c>
      <c r="F1173" s="14" t="n"/>
      <c r="G1173" s="15">
        <f>IF($F1173="","",IFERROR(INDEX(rngEPname,MATCH($F1173,rngEPcode,0)),"?"))</f>
        <v/>
      </c>
      <c r="H1173" s="15">
        <f>IF($F1173="","",IFERROR(INDEX(rngEPtype,MATCH($F1173,rngEPcode,0)),"?"))</f>
        <v/>
      </c>
      <c r="I1173" s="15">
        <f>IF($F1173="","",IFERROR(INDEX(rngEPseq,MATCH($F1173,rngEPcode,0)),""))</f>
        <v/>
      </c>
      <c r="J1173" s="15">
        <f>IF($F1173="","",IFERROR(INDEX(rngEPpass,MATCH($F1173,rngEPcode,0)),cfgPassingScore))</f>
        <v/>
      </c>
      <c r="K1173" s="14" t="n"/>
      <c r="L1173" s="14" t="n"/>
      <c r="M1173" s="15">
        <f>IF($C1173="","",IF($L1173="","",IF($K1173=1,IF(COUNTIFS(nrES_PID,$D1173,nrES_Code,$F1173,nrES_Att,2)&gt;0,"",$L1173),IF(COUNTIFS(nrES_PID,$D1173,nrES_Code,$F1173,nrES_Att,1)=0,$L1173,IF($L1173&gt;=$J1173,cfgRetakeRecordedCap,SUMIFS(nrES_Raw,nrES_PID,$D1173,nrES_Code,$F1173,nrES_Att,1))))))</f>
        <v/>
      </c>
      <c r="N1173" s="15">
        <f>IF($C1173="","",IF($L1173="","",IF($L1173&gt;=$J1173,"Yes","No")))</f>
        <v/>
      </c>
      <c r="O1173" s="15">
        <f>IF($C1173="","",IF($M1173="","",IF($M1173&gt;=$J1173,"Yes","No")))</f>
        <v/>
      </c>
      <c r="P1173" s="15">
        <f>IF($C1173="","",IF($K1173="","",IF(COUNTIFS(nrES_PID,$D1173,nrES_Code,$F1173,nrES_Att,"&gt;"&amp;$K1173)=0,"Yes","No")))</f>
        <v/>
      </c>
      <c r="Q1173" s="15">
        <f>IF($C1173="","",IF($L1173="","",IF(AND($K1173=1,$L1173&lt;$J1173,COUNTIFS(nrES_PID,$D1173,nrES_Code,$F1173,nrES_Att,2)=0),"Yes","No")))</f>
        <v/>
      </c>
      <c r="R1173" s="15">
        <f>IF($C1173="","",IF($L1173="","",IF(AND($K1173=2,$L1173&lt;$J1173,COUNTIFS(nrES_PID,$D1173,nrES_Code,$F1173,nrES_Att,1)&gt;0),"Yes","No")))</f>
        <v/>
      </c>
      <c r="S1173" s="16" t="n"/>
      <c r="T1173" s="17">
        <f>IF($Q1173&lt;&gt;"Yes","",IF($S1173="","(enter date)",_xlfn.LET(_xlpm.dn,IFERROR(_xlfn.XLOOKUP($S1173,nrCDdate,nrCDnum),""),IF(_xlpm.dn="","(not a class day)",IFERROR(_xlfn.XLOOKUP(_xlpm.dn+cfgRetestClassDays,nrCDnum,nrCDdate),"")))))</f>
        <v/>
      </c>
      <c r="U1173" s="15">
        <f>IF($Q1173&lt;&gt;"Yes","",IF(COUNTIFS(nrES_PID,$D1173,nrES_Code,$F1173,nrES_Att,2)&gt;0,"Retested",IF(OR($T1173="",NOT(ISNUMBER($T1173))),"Pending",IF(TODAY()&gt;$T1173,"OVERDUE","Due "&amp;TEXT($T1173,"mm/dd")))))</f>
        <v/>
      </c>
      <c r="V1173" s="14" t="n"/>
      <c r="W1173" s="14" t="n"/>
    </row>
    <row r="1174">
      <c r="B1174" s="15">
        <f>IF($C1174="","",$D1174&amp;"-"&amp;$F1174&amp;"-"&amp;$K1174)</f>
        <v/>
      </c>
      <c r="C1174" s="14" t="n"/>
      <c r="D1174" s="15">
        <f>IF($C1174="","",IFERROR(INDEX(rngCadetPIDs,MATCH($C1174,rngCadetNames,0)),"?"))</f>
        <v/>
      </c>
      <c r="E1174" s="15">
        <f>IF($D1174="","",IFERROR(INDEX(nrCadetAgency,MATCH($D1174,rngCadetPIDs,0)),""))</f>
        <v/>
      </c>
      <c r="F1174" s="14" t="n"/>
      <c r="G1174" s="15">
        <f>IF($F1174="","",IFERROR(INDEX(rngEPname,MATCH($F1174,rngEPcode,0)),"?"))</f>
        <v/>
      </c>
      <c r="H1174" s="15">
        <f>IF($F1174="","",IFERROR(INDEX(rngEPtype,MATCH($F1174,rngEPcode,0)),"?"))</f>
        <v/>
      </c>
      <c r="I1174" s="15">
        <f>IF($F1174="","",IFERROR(INDEX(rngEPseq,MATCH($F1174,rngEPcode,0)),""))</f>
        <v/>
      </c>
      <c r="J1174" s="15">
        <f>IF($F1174="","",IFERROR(INDEX(rngEPpass,MATCH($F1174,rngEPcode,0)),cfgPassingScore))</f>
        <v/>
      </c>
      <c r="K1174" s="14" t="n"/>
      <c r="L1174" s="14" t="n"/>
      <c r="M1174" s="15">
        <f>IF($C1174="","",IF($L1174="","",IF($K1174=1,IF(COUNTIFS(nrES_PID,$D1174,nrES_Code,$F1174,nrES_Att,2)&gt;0,"",$L1174),IF(COUNTIFS(nrES_PID,$D1174,nrES_Code,$F1174,nrES_Att,1)=0,$L1174,IF($L1174&gt;=$J1174,cfgRetakeRecordedCap,SUMIFS(nrES_Raw,nrES_PID,$D1174,nrES_Code,$F1174,nrES_Att,1))))))</f>
        <v/>
      </c>
      <c r="N1174" s="15">
        <f>IF($C1174="","",IF($L1174="","",IF($L1174&gt;=$J1174,"Yes","No")))</f>
        <v/>
      </c>
      <c r="O1174" s="15">
        <f>IF($C1174="","",IF($M1174="","",IF($M1174&gt;=$J1174,"Yes","No")))</f>
        <v/>
      </c>
      <c r="P1174" s="15">
        <f>IF($C1174="","",IF($K1174="","",IF(COUNTIFS(nrES_PID,$D1174,nrES_Code,$F1174,nrES_Att,"&gt;"&amp;$K1174)=0,"Yes","No")))</f>
        <v/>
      </c>
      <c r="Q1174" s="15">
        <f>IF($C1174="","",IF($L1174="","",IF(AND($K1174=1,$L1174&lt;$J1174,COUNTIFS(nrES_PID,$D1174,nrES_Code,$F1174,nrES_Att,2)=0),"Yes","No")))</f>
        <v/>
      </c>
      <c r="R1174" s="15">
        <f>IF($C1174="","",IF($L1174="","",IF(AND($K1174=2,$L1174&lt;$J1174,COUNTIFS(nrES_PID,$D1174,nrES_Code,$F1174,nrES_Att,1)&gt;0),"Yes","No")))</f>
        <v/>
      </c>
      <c r="S1174" s="16" t="n"/>
      <c r="T1174" s="17">
        <f>IF($Q1174&lt;&gt;"Yes","",IF($S1174="","(enter date)",_xlfn.LET(_xlpm.dn,IFERROR(_xlfn.XLOOKUP($S1174,nrCDdate,nrCDnum),""),IF(_xlpm.dn="","(not a class day)",IFERROR(_xlfn.XLOOKUP(_xlpm.dn+cfgRetestClassDays,nrCDnum,nrCDdate),"")))))</f>
        <v/>
      </c>
      <c r="U1174" s="15">
        <f>IF($Q1174&lt;&gt;"Yes","",IF(COUNTIFS(nrES_PID,$D1174,nrES_Code,$F1174,nrES_Att,2)&gt;0,"Retested",IF(OR($T1174="",NOT(ISNUMBER($T1174))),"Pending",IF(TODAY()&gt;$T1174,"OVERDUE","Due "&amp;TEXT($T1174,"mm/dd")))))</f>
        <v/>
      </c>
      <c r="V1174" s="14" t="n"/>
      <c r="W1174" s="14" t="n"/>
    </row>
    <row r="1175">
      <c r="B1175" s="15">
        <f>IF($C1175="","",$D1175&amp;"-"&amp;$F1175&amp;"-"&amp;$K1175)</f>
        <v/>
      </c>
      <c r="C1175" s="14" t="n"/>
      <c r="D1175" s="15">
        <f>IF($C1175="","",IFERROR(INDEX(rngCadetPIDs,MATCH($C1175,rngCadetNames,0)),"?"))</f>
        <v/>
      </c>
      <c r="E1175" s="15">
        <f>IF($D1175="","",IFERROR(INDEX(nrCadetAgency,MATCH($D1175,rngCadetPIDs,0)),""))</f>
        <v/>
      </c>
      <c r="F1175" s="14" t="n"/>
      <c r="G1175" s="15">
        <f>IF($F1175="","",IFERROR(INDEX(rngEPname,MATCH($F1175,rngEPcode,0)),"?"))</f>
        <v/>
      </c>
      <c r="H1175" s="15">
        <f>IF($F1175="","",IFERROR(INDEX(rngEPtype,MATCH($F1175,rngEPcode,0)),"?"))</f>
        <v/>
      </c>
      <c r="I1175" s="15">
        <f>IF($F1175="","",IFERROR(INDEX(rngEPseq,MATCH($F1175,rngEPcode,0)),""))</f>
        <v/>
      </c>
      <c r="J1175" s="15">
        <f>IF($F1175="","",IFERROR(INDEX(rngEPpass,MATCH($F1175,rngEPcode,0)),cfgPassingScore))</f>
        <v/>
      </c>
      <c r="K1175" s="14" t="n"/>
      <c r="L1175" s="14" t="n"/>
      <c r="M1175" s="15">
        <f>IF($C1175="","",IF($L1175="","",IF($K1175=1,IF(COUNTIFS(nrES_PID,$D1175,nrES_Code,$F1175,nrES_Att,2)&gt;0,"",$L1175),IF(COUNTIFS(nrES_PID,$D1175,nrES_Code,$F1175,nrES_Att,1)=0,$L1175,IF($L1175&gt;=$J1175,cfgRetakeRecordedCap,SUMIFS(nrES_Raw,nrES_PID,$D1175,nrES_Code,$F1175,nrES_Att,1))))))</f>
        <v/>
      </c>
      <c r="N1175" s="15">
        <f>IF($C1175="","",IF($L1175="","",IF($L1175&gt;=$J1175,"Yes","No")))</f>
        <v/>
      </c>
      <c r="O1175" s="15">
        <f>IF($C1175="","",IF($M1175="","",IF($M1175&gt;=$J1175,"Yes","No")))</f>
        <v/>
      </c>
      <c r="P1175" s="15">
        <f>IF($C1175="","",IF($K1175="","",IF(COUNTIFS(nrES_PID,$D1175,nrES_Code,$F1175,nrES_Att,"&gt;"&amp;$K1175)=0,"Yes","No")))</f>
        <v/>
      </c>
      <c r="Q1175" s="15">
        <f>IF($C1175="","",IF($L1175="","",IF(AND($K1175=1,$L1175&lt;$J1175,COUNTIFS(nrES_PID,$D1175,nrES_Code,$F1175,nrES_Att,2)=0),"Yes","No")))</f>
        <v/>
      </c>
      <c r="R1175" s="15">
        <f>IF($C1175="","",IF($L1175="","",IF(AND($K1175=2,$L1175&lt;$J1175,COUNTIFS(nrES_PID,$D1175,nrES_Code,$F1175,nrES_Att,1)&gt;0),"Yes","No")))</f>
        <v/>
      </c>
      <c r="S1175" s="16" t="n"/>
      <c r="T1175" s="17">
        <f>IF($Q1175&lt;&gt;"Yes","",IF($S1175="","(enter date)",_xlfn.LET(_xlpm.dn,IFERROR(_xlfn.XLOOKUP($S1175,nrCDdate,nrCDnum),""),IF(_xlpm.dn="","(not a class day)",IFERROR(_xlfn.XLOOKUP(_xlpm.dn+cfgRetestClassDays,nrCDnum,nrCDdate),"")))))</f>
        <v/>
      </c>
      <c r="U1175" s="15">
        <f>IF($Q1175&lt;&gt;"Yes","",IF(COUNTIFS(nrES_PID,$D1175,nrES_Code,$F1175,nrES_Att,2)&gt;0,"Retested",IF(OR($T1175="",NOT(ISNUMBER($T1175))),"Pending",IF(TODAY()&gt;$T1175,"OVERDUE","Due "&amp;TEXT($T1175,"mm/dd")))))</f>
        <v/>
      </c>
      <c r="V1175" s="14" t="n"/>
      <c r="W1175" s="14" t="n"/>
    </row>
    <row r="1176">
      <c r="B1176" s="15">
        <f>IF($C1176="","",$D1176&amp;"-"&amp;$F1176&amp;"-"&amp;$K1176)</f>
        <v/>
      </c>
      <c r="C1176" s="14" t="n"/>
      <c r="D1176" s="15">
        <f>IF($C1176="","",IFERROR(INDEX(rngCadetPIDs,MATCH($C1176,rngCadetNames,0)),"?"))</f>
        <v/>
      </c>
      <c r="E1176" s="15">
        <f>IF($D1176="","",IFERROR(INDEX(nrCadetAgency,MATCH($D1176,rngCadetPIDs,0)),""))</f>
        <v/>
      </c>
      <c r="F1176" s="14" t="n"/>
      <c r="G1176" s="15">
        <f>IF($F1176="","",IFERROR(INDEX(rngEPname,MATCH($F1176,rngEPcode,0)),"?"))</f>
        <v/>
      </c>
      <c r="H1176" s="15">
        <f>IF($F1176="","",IFERROR(INDEX(rngEPtype,MATCH($F1176,rngEPcode,0)),"?"))</f>
        <v/>
      </c>
      <c r="I1176" s="15">
        <f>IF($F1176="","",IFERROR(INDEX(rngEPseq,MATCH($F1176,rngEPcode,0)),""))</f>
        <v/>
      </c>
      <c r="J1176" s="15">
        <f>IF($F1176="","",IFERROR(INDEX(rngEPpass,MATCH($F1176,rngEPcode,0)),cfgPassingScore))</f>
        <v/>
      </c>
      <c r="K1176" s="14" t="n"/>
      <c r="L1176" s="14" t="n"/>
      <c r="M1176" s="15">
        <f>IF($C1176="","",IF($L1176="","",IF($K1176=1,IF(COUNTIFS(nrES_PID,$D1176,nrES_Code,$F1176,nrES_Att,2)&gt;0,"",$L1176),IF(COUNTIFS(nrES_PID,$D1176,nrES_Code,$F1176,nrES_Att,1)=0,$L1176,IF($L1176&gt;=$J1176,cfgRetakeRecordedCap,SUMIFS(nrES_Raw,nrES_PID,$D1176,nrES_Code,$F1176,nrES_Att,1))))))</f>
        <v/>
      </c>
      <c r="N1176" s="15">
        <f>IF($C1176="","",IF($L1176="","",IF($L1176&gt;=$J1176,"Yes","No")))</f>
        <v/>
      </c>
      <c r="O1176" s="15">
        <f>IF($C1176="","",IF($M1176="","",IF($M1176&gt;=$J1176,"Yes","No")))</f>
        <v/>
      </c>
      <c r="P1176" s="15">
        <f>IF($C1176="","",IF($K1176="","",IF(COUNTIFS(nrES_PID,$D1176,nrES_Code,$F1176,nrES_Att,"&gt;"&amp;$K1176)=0,"Yes","No")))</f>
        <v/>
      </c>
      <c r="Q1176" s="15">
        <f>IF($C1176="","",IF($L1176="","",IF(AND($K1176=1,$L1176&lt;$J1176,COUNTIFS(nrES_PID,$D1176,nrES_Code,$F1176,nrES_Att,2)=0),"Yes","No")))</f>
        <v/>
      </c>
      <c r="R1176" s="15">
        <f>IF($C1176="","",IF($L1176="","",IF(AND($K1176=2,$L1176&lt;$J1176,COUNTIFS(nrES_PID,$D1176,nrES_Code,$F1176,nrES_Att,1)&gt;0),"Yes","No")))</f>
        <v/>
      </c>
      <c r="S1176" s="16" t="n"/>
      <c r="T1176" s="17">
        <f>IF($Q1176&lt;&gt;"Yes","",IF($S1176="","(enter date)",_xlfn.LET(_xlpm.dn,IFERROR(_xlfn.XLOOKUP($S1176,nrCDdate,nrCDnum),""),IF(_xlpm.dn="","(not a class day)",IFERROR(_xlfn.XLOOKUP(_xlpm.dn+cfgRetestClassDays,nrCDnum,nrCDdate),"")))))</f>
        <v/>
      </c>
      <c r="U1176" s="15">
        <f>IF($Q1176&lt;&gt;"Yes","",IF(COUNTIFS(nrES_PID,$D1176,nrES_Code,$F1176,nrES_Att,2)&gt;0,"Retested",IF(OR($T1176="",NOT(ISNUMBER($T1176))),"Pending",IF(TODAY()&gt;$T1176,"OVERDUE","Due "&amp;TEXT($T1176,"mm/dd")))))</f>
        <v/>
      </c>
      <c r="V1176" s="14" t="n"/>
      <c r="W1176" s="14" t="n"/>
    </row>
    <row r="1177">
      <c r="B1177" s="15">
        <f>IF($C1177="","",$D1177&amp;"-"&amp;$F1177&amp;"-"&amp;$K1177)</f>
        <v/>
      </c>
      <c r="C1177" s="14" t="n"/>
      <c r="D1177" s="15">
        <f>IF($C1177="","",IFERROR(INDEX(rngCadetPIDs,MATCH($C1177,rngCadetNames,0)),"?"))</f>
        <v/>
      </c>
      <c r="E1177" s="15">
        <f>IF($D1177="","",IFERROR(INDEX(nrCadetAgency,MATCH($D1177,rngCadetPIDs,0)),""))</f>
        <v/>
      </c>
      <c r="F1177" s="14" t="n"/>
      <c r="G1177" s="15">
        <f>IF($F1177="","",IFERROR(INDEX(rngEPname,MATCH($F1177,rngEPcode,0)),"?"))</f>
        <v/>
      </c>
      <c r="H1177" s="15">
        <f>IF($F1177="","",IFERROR(INDEX(rngEPtype,MATCH($F1177,rngEPcode,0)),"?"))</f>
        <v/>
      </c>
      <c r="I1177" s="15">
        <f>IF($F1177="","",IFERROR(INDEX(rngEPseq,MATCH($F1177,rngEPcode,0)),""))</f>
        <v/>
      </c>
      <c r="J1177" s="15">
        <f>IF($F1177="","",IFERROR(INDEX(rngEPpass,MATCH($F1177,rngEPcode,0)),cfgPassingScore))</f>
        <v/>
      </c>
      <c r="K1177" s="14" t="n"/>
      <c r="L1177" s="14" t="n"/>
      <c r="M1177" s="15">
        <f>IF($C1177="","",IF($L1177="","",IF($K1177=1,IF(COUNTIFS(nrES_PID,$D1177,nrES_Code,$F1177,nrES_Att,2)&gt;0,"",$L1177),IF(COUNTIFS(nrES_PID,$D1177,nrES_Code,$F1177,nrES_Att,1)=0,$L1177,IF($L1177&gt;=$J1177,cfgRetakeRecordedCap,SUMIFS(nrES_Raw,nrES_PID,$D1177,nrES_Code,$F1177,nrES_Att,1))))))</f>
        <v/>
      </c>
      <c r="N1177" s="15">
        <f>IF($C1177="","",IF($L1177="","",IF($L1177&gt;=$J1177,"Yes","No")))</f>
        <v/>
      </c>
      <c r="O1177" s="15">
        <f>IF($C1177="","",IF($M1177="","",IF($M1177&gt;=$J1177,"Yes","No")))</f>
        <v/>
      </c>
      <c r="P1177" s="15">
        <f>IF($C1177="","",IF($K1177="","",IF(COUNTIFS(nrES_PID,$D1177,nrES_Code,$F1177,nrES_Att,"&gt;"&amp;$K1177)=0,"Yes","No")))</f>
        <v/>
      </c>
      <c r="Q1177" s="15">
        <f>IF($C1177="","",IF($L1177="","",IF(AND($K1177=1,$L1177&lt;$J1177,COUNTIFS(nrES_PID,$D1177,nrES_Code,$F1177,nrES_Att,2)=0),"Yes","No")))</f>
        <v/>
      </c>
      <c r="R1177" s="15">
        <f>IF($C1177="","",IF($L1177="","",IF(AND($K1177=2,$L1177&lt;$J1177,COUNTIFS(nrES_PID,$D1177,nrES_Code,$F1177,nrES_Att,1)&gt;0),"Yes","No")))</f>
        <v/>
      </c>
      <c r="S1177" s="16" t="n"/>
      <c r="T1177" s="17">
        <f>IF($Q1177&lt;&gt;"Yes","",IF($S1177="","(enter date)",_xlfn.LET(_xlpm.dn,IFERROR(_xlfn.XLOOKUP($S1177,nrCDdate,nrCDnum),""),IF(_xlpm.dn="","(not a class day)",IFERROR(_xlfn.XLOOKUP(_xlpm.dn+cfgRetestClassDays,nrCDnum,nrCDdate),"")))))</f>
        <v/>
      </c>
      <c r="U1177" s="15">
        <f>IF($Q1177&lt;&gt;"Yes","",IF(COUNTIFS(nrES_PID,$D1177,nrES_Code,$F1177,nrES_Att,2)&gt;0,"Retested",IF(OR($T1177="",NOT(ISNUMBER($T1177))),"Pending",IF(TODAY()&gt;$T1177,"OVERDUE","Due "&amp;TEXT($T1177,"mm/dd")))))</f>
        <v/>
      </c>
      <c r="V1177" s="14" t="n"/>
      <c r="W1177" s="14" t="n"/>
    </row>
    <row r="1178">
      <c r="B1178" s="15">
        <f>IF($C1178="","",$D1178&amp;"-"&amp;$F1178&amp;"-"&amp;$K1178)</f>
        <v/>
      </c>
      <c r="C1178" s="14" t="n"/>
      <c r="D1178" s="15">
        <f>IF($C1178="","",IFERROR(INDEX(rngCadetPIDs,MATCH($C1178,rngCadetNames,0)),"?"))</f>
        <v/>
      </c>
      <c r="E1178" s="15">
        <f>IF($D1178="","",IFERROR(INDEX(nrCadetAgency,MATCH($D1178,rngCadetPIDs,0)),""))</f>
        <v/>
      </c>
      <c r="F1178" s="14" t="n"/>
      <c r="G1178" s="15">
        <f>IF($F1178="","",IFERROR(INDEX(rngEPname,MATCH($F1178,rngEPcode,0)),"?"))</f>
        <v/>
      </c>
      <c r="H1178" s="15">
        <f>IF($F1178="","",IFERROR(INDEX(rngEPtype,MATCH($F1178,rngEPcode,0)),"?"))</f>
        <v/>
      </c>
      <c r="I1178" s="15">
        <f>IF($F1178="","",IFERROR(INDEX(rngEPseq,MATCH($F1178,rngEPcode,0)),""))</f>
        <v/>
      </c>
      <c r="J1178" s="15">
        <f>IF($F1178="","",IFERROR(INDEX(rngEPpass,MATCH($F1178,rngEPcode,0)),cfgPassingScore))</f>
        <v/>
      </c>
      <c r="K1178" s="14" t="n"/>
      <c r="L1178" s="14" t="n"/>
      <c r="M1178" s="15">
        <f>IF($C1178="","",IF($L1178="","",IF($K1178=1,IF(COUNTIFS(nrES_PID,$D1178,nrES_Code,$F1178,nrES_Att,2)&gt;0,"",$L1178),IF(COUNTIFS(nrES_PID,$D1178,nrES_Code,$F1178,nrES_Att,1)=0,$L1178,IF($L1178&gt;=$J1178,cfgRetakeRecordedCap,SUMIFS(nrES_Raw,nrES_PID,$D1178,nrES_Code,$F1178,nrES_Att,1))))))</f>
        <v/>
      </c>
      <c r="N1178" s="15">
        <f>IF($C1178="","",IF($L1178="","",IF($L1178&gt;=$J1178,"Yes","No")))</f>
        <v/>
      </c>
      <c r="O1178" s="15">
        <f>IF($C1178="","",IF($M1178="","",IF($M1178&gt;=$J1178,"Yes","No")))</f>
        <v/>
      </c>
      <c r="P1178" s="15">
        <f>IF($C1178="","",IF($K1178="","",IF(COUNTIFS(nrES_PID,$D1178,nrES_Code,$F1178,nrES_Att,"&gt;"&amp;$K1178)=0,"Yes","No")))</f>
        <v/>
      </c>
      <c r="Q1178" s="15">
        <f>IF($C1178="","",IF($L1178="","",IF(AND($K1178=1,$L1178&lt;$J1178,COUNTIFS(nrES_PID,$D1178,nrES_Code,$F1178,nrES_Att,2)=0),"Yes","No")))</f>
        <v/>
      </c>
      <c r="R1178" s="15">
        <f>IF($C1178="","",IF($L1178="","",IF(AND($K1178=2,$L1178&lt;$J1178,COUNTIFS(nrES_PID,$D1178,nrES_Code,$F1178,nrES_Att,1)&gt;0),"Yes","No")))</f>
        <v/>
      </c>
      <c r="S1178" s="16" t="n"/>
      <c r="T1178" s="17">
        <f>IF($Q1178&lt;&gt;"Yes","",IF($S1178="","(enter date)",_xlfn.LET(_xlpm.dn,IFERROR(_xlfn.XLOOKUP($S1178,nrCDdate,nrCDnum),""),IF(_xlpm.dn="","(not a class day)",IFERROR(_xlfn.XLOOKUP(_xlpm.dn+cfgRetestClassDays,nrCDnum,nrCDdate),"")))))</f>
        <v/>
      </c>
      <c r="U1178" s="15">
        <f>IF($Q1178&lt;&gt;"Yes","",IF(COUNTIFS(nrES_PID,$D1178,nrES_Code,$F1178,nrES_Att,2)&gt;0,"Retested",IF(OR($T1178="",NOT(ISNUMBER($T1178))),"Pending",IF(TODAY()&gt;$T1178,"OVERDUE","Due "&amp;TEXT($T1178,"mm/dd")))))</f>
        <v/>
      </c>
      <c r="V1178" s="14" t="n"/>
      <c r="W1178" s="14" t="n"/>
    </row>
    <row r="1179">
      <c r="B1179" s="15">
        <f>IF($C1179="","",$D1179&amp;"-"&amp;$F1179&amp;"-"&amp;$K1179)</f>
        <v/>
      </c>
      <c r="C1179" s="14" t="n"/>
      <c r="D1179" s="15">
        <f>IF($C1179="","",IFERROR(INDEX(rngCadetPIDs,MATCH($C1179,rngCadetNames,0)),"?"))</f>
        <v/>
      </c>
      <c r="E1179" s="15">
        <f>IF($D1179="","",IFERROR(INDEX(nrCadetAgency,MATCH($D1179,rngCadetPIDs,0)),""))</f>
        <v/>
      </c>
      <c r="F1179" s="14" t="n"/>
      <c r="G1179" s="15">
        <f>IF($F1179="","",IFERROR(INDEX(rngEPname,MATCH($F1179,rngEPcode,0)),"?"))</f>
        <v/>
      </c>
      <c r="H1179" s="15">
        <f>IF($F1179="","",IFERROR(INDEX(rngEPtype,MATCH($F1179,rngEPcode,0)),"?"))</f>
        <v/>
      </c>
      <c r="I1179" s="15">
        <f>IF($F1179="","",IFERROR(INDEX(rngEPseq,MATCH($F1179,rngEPcode,0)),""))</f>
        <v/>
      </c>
      <c r="J1179" s="15">
        <f>IF($F1179="","",IFERROR(INDEX(rngEPpass,MATCH($F1179,rngEPcode,0)),cfgPassingScore))</f>
        <v/>
      </c>
      <c r="K1179" s="14" t="n"/>
      <c r="L1179" s="14" t="n"/>
      <c r="M1179" s="15">
        <f>IF($C1179="","",IF($L1179="","",IF($K1179=1,IF(COUNTIFS(nrES_PID,$D1179,nrES_Code,$F1179,nrES_Att,2)&gt;0,"",$L1179),IF(COUNTIFS(nrES_PID,$D1179,nrES_Code,$F1179,nrES_Att,1)=0,$L1179,IF($L1179&gt;=$J1179,cfgRetakeRecordedCap,SUMIFS(nrES_Raw,nrES_PID,$D1179,nrES_Code,$F1179,nrES_Att,1))))))</f>
        <v/>
      </c>
      <c r="N1179" s="15">
        <f>IF($C1179="","",IF($L1179="","",IF($L1179&gt;=$J1179,"Yes","No")))</f>
        <v/>
      </c>
      <c r="O1179" s="15">
        <f>IF($C1179="","",IF($M1179="","",IF($M1179&gt;=$J1179,"Yes","No")))</f>
        <v/>
      </c>
      <c r="P1179" s="15">
        <f>IF($C1179="","",IF($K1179="","",IF(COUNTIFS(nrES_PID,$D1179,nrES_Code,$F1179,nrES_Att,"&gt;"&amp;$K1179)=0,"Yes","No")))</f>
        <v/>
      </c>
      <c r="Q1179" s="15">
        <f>IF($C1179="","",IF($L1179="","",IF(AND($K1179=1,$L1179&lt;$J1179,COUNTIFS(nrES_PID,$D1179,nrES_Code,$F1179,nrES_Att,2)=0),"Yes","No")))</f>
        <v/>
      </c>
      <c r="R1179" s="15">
        <f>IF($C1179="","",IF($L1179="","",IF(AND($K1179=2,$L1179&lt;$J1179,COUNTIFS(nrES_PID,$D1179,nrES_Code,$F1179,nrES_Att,1)&gt;0),"Yes","No")))</f>
        <v/>
      </c>
      <c r="S1179" s="16" t="n"/>
      <c r="T1179" s="17">
        <f>IF($Q1179&lt;&gt;"Yes","",IF($S1179="","(enter date)",_xlfn.LET(_xlpm.dn,IFERROR(_xlfn.XLOOKUP($S1179,nrCDdate,nrCDnum),""),IF(_xlpm.dn="","(not a class day)",IFERROR(_xlfn.XLOOKUP(_xlpm.dn+cfgRetestClassDays,nrCDnum,nrCDdate),"")))))</f>
        <v/>
      </c>
      <c r="U1179" s="15">
        <f>IF($Q1179&lt;&gt;"Yes","",IF(COUNTIFS(nrES_PID,$D1179,nrES_Code,$F1179,nrES_Att,2)&gt;0,"Retested",IF(OR($T1179="",NOT(ISNUMBER($T1179))),"Pending",IF(TODAY()&gt;$T1179,"OVERDUE","Due "&amp;TEXT($T1179,"mm/dd")))))</f>
        <v/>
      </c>
      <c r="V1179" s="14" t="n"/>
      <c r="W1179" s="14" t="n"/>
    </row>
    <row r="1180">
      <c r="B1180" s="15">
        <f>IF($C1180="","",$D1180&amp;"-"&amp;$F1180&amp;"-"&amp;$K1180)</f>
        <v/>
      </c>
      <c r="C1180" s="14" t="n"/>
      <c r="D1180" s="15">
        <f>IF($C1180="","",IFERROR(INDEX(rngCadetPIDs,MATCH($C1180,rngCadetNames,0)),"?"))</f>
        <v/>
      </c>
      <c r="E1180" s="15">
        <f>IF($D1180="","",IFERROR(INDEX(nrCadetAgency,MATCH($D1180,rngCadetPIDs,0)),""))</f>
        <v/>
      </c>
      <c r="F1180" s="14" t="n"/>
      <c r="G1180" s="15">
        <f>IF($F1180="","",IFERROR(INDEX(rngEPname,MATCH($F1180,rngEPcode,0)),"?"))</f>
        <v/>
      </c>
      <c r="H1180" s="15">
        <f>IF($F1180="","",IFERROR(INDEX(rngEPtype,MATCH($F1180,rngEPcode,0)),"?"))</f>
        <v/>
      </c>
      <c r="I1180" s="15">
        <f>IF($F1180="","",IFERROR(INDEX(rngEPseq,MATCH($F1180,rngEPcode,0)),""))</f>
        <v/>
      </c>
      <c r="J1180" s="15">
        <f>IF($F1180="","",IFERROR(INDEX(rngEPpass,MATCH($F1180,rngEPcode,0)),cfgPassingScore))</f>
        <v/>
      </c>
      <c r="K1180" s="14" t="n"/>
      <c r="L1180" s="14" t="n"/>
      <c r="M1180" s="15">
        <f>IF($C1180="","",IF($L1180="","",IF($K1180=1,IF(COUNTIFS(nrES_PID,$D1180,nrES_Code,$F1180,nrES_Att,2)&gt;0,"",$L1180),IF(COUNTIFS(nrES_PID,$D1180,nrES_Code,$F1180,nrES_Att,1)=0,$L1180,IF($L1180&gt;=$J1180,cfgRetakeRecordedCap,SUMIFS(nrES_Raw,nrES_PID,$D1180,nrES_Code,$F1180,nrES_Att,1))))))</f>
        <v/>
      </c>
      <c r="N1180" s="15">
        <f>IF($C1180="","",IF($L1180="","",IF($L1180&gt;=$J1180,"Yes","No")))</f>
        <v/>
      </c>
      <c r="O1180" s="15">
        <f>IF($C1180="","",IF($M1180="","",IF($M1180&gt;=$J1180,"Yes","No")))</f>
        <v/>
      </c>
      <c r="P1180" s="15">
        <f>IF($C1180="","",IF($K1180="","",IF(COUNTIFS(nrES_PID,$D1180,nrES_Code,$F1180,nrES_Att,"&gt;"&amp;$K1180)=0,"Yes","No")))</f>
        <v/>
      </c>
      <c r="Q1180" s="15">
        <f>IF($C1180="","",IF($L1180="","",IF(AND($K1180=1,$L1180&lt;$J1180,COUNTIFS(nrES_PID,$D1180,nrES_Code,$F1180,nrES_Att,2)=0),"Yes","No")))</f>
        <v/>
      </c>
      <c r="R1180" s="15">
        <f>IF($C1180="","",IF($L1180="","",IF(AND($K1180=2,$L1180&lt;$J1180,COUNTIFS(nrES_PID,$D1180,nrES_Code,$F1180,nrES_Att,1)&gt;0),"Yes","No")))</f>
        <v/>
      </c>
      <c r="S1180" s="16" t="n"/>
      <c r="T1180" s="17">
        <f>IF($Q1180&lt;&gt;"Yes","",IF($S1180="","(enter date)",_xlfn.LET(_xlpm.dn,IFERROR(_xlfn.XLOOKUP($S1180,nrCDdate,nrCDnum),""),IF(_xlpm.dn="","(not a class day)",IFERROR(_xlfn.XLOOKUP(_xlpm.dn+cfgRetestClassDays,nrCDnum,nrCDdate),"")))))</f>
        <v/>
      </c>
      <c r="U1180" s="15">
        <f>IF($Q1180&lt;&gt;"Yes","",IF(COUNTIFS(nrES_PID,$D1180,nrES_Code,$F1180,nrES_Att,2)&gt;0,"Retested",IF(OR($T1180="",NOT(ISNUMBER($T1180))),"Pending",IF(TODAY()&gt;$T1180,"OVERDUE","Due "&amp;TEXT($T1180,"mm/dd")))))</f>
        <v/>
      </c>
      <c r="V1180" s="14" t="n"/>
      <c r="W1180" s="14" t="n"/>
    </row>
    <row r="1181">
      <c r="B1181" s="15">
        <f>IF($C1181="","",$D1181&amp;"-"&amp;$F1181&amp;"-"&amp;$K1181)</f>
        <v/>
      </c>
      <c r="C1181" s="14" t="n"/>
      <c r="D1181" s="15">
        <f>IF($C1181="","",IFERROR(INDEX(rngCadetPIDs,MATCH($C1181,rngCadetNames,0)),"?"))</f>
        <v/>
      </c>
      <c r="E1181" s="15">
        <f>IF($D1181="","",IFERROR(INDEX(nrCadetAgency,MATCH($D1181,rngCadetPIDs,0)),""))</f>
        <v/>
      </c>
      <c r="F1181" s="14" t="n"/>
      <c r="G1181" s="15">
        <f>IF($F1181="","",IFERROR(INDEX(rngEPname,MATCH($F1181,rngEPcode,0)),"?"))</f>
        <v/>
      </c>
      <c r="H1181" s="15">
        <f>IF($F1181="","",IFERROR(INDEX(rngEPtype,MATCH($F1181,rngEPcode,0)),"?"))</f>
        <v/>
      </c>
      <c r="I1181" s="15">
        <f>IF($F1181="","",IFERROR(INDEX(rngEPseq,MATCH($F1181,rngEPcode,0)),""))</f>
        <v/>
      </c>
      <c r="J1181" s="15">
        <f>IF($F1181="","",IFERROR(INDEX(rngEPpass,MATCH($F1181,rngEPcode,0)),cfgPassingScore))</f>
        <v/>
      </c>
      <c r="K1181" s="14" t="n"/>
      <c r="L1181" s="14" t="n"/>
      <c r="M1181" s="15">
        <f>IF($C1181="","",IF($L1181="","",IF($K1181=1,IF(COUNTIFS(nrES_PID,$D1181,nrES_Code,$F1181,nrES_Att,2)&gt;0,"",$L1181),IF(COUNTIFS(nrES_PID,$D1181,nrES_Code,$F1181,nrES_Att,1)=0,$L1181,IF($L1181&gt;=$J1181,cfgRetakeRecordedCap,SUMIFS(nrES_Raw,nrES_PID,$D1181,nrES_Code,$F1181,nrES_Att,1))))))</f>
        <v/>
      </c>
      <c r="N1181" s="15">
        <f>IF($C1181="","",IF($L1181="","",IF($L1181&gt;=$J1181,"Yes","No")))</f>
        <v/>
      </c>
      <c r="O1181" s="15">
        <f>IF($C1181="","",IF($M1181="","",IF($M1181&gt;=$J1181,"Yes","No")))</f>
        <v/>
      </c>
      <c r="P1181" s="15">
        <f>IF($C1181="","",IF($K1181="","",IF(COUNTIFS(nrES_PID,$D1181,nrES_Code,$F1181,nrES_Att,"&gt;"&amp;$K1181)=0,"Yes","No")))</f>
        <v/>
      </c>
      <c r="Q1181" s="15">
        <f>IF($C1181="","",IF($L1181="","",IF(AND($K1181=1,$L1181&lt;$J1181,COUNTIFS(nrES_PID,$D1181,nrES_Code,$F1181,nrES_Att,2)=0),"Yes","No")))</f>
        <v/>
      </c>
      <c r="R1181" s="15">
        <f>IF($C1181="","",IF($L1181="","",IF(AND($K1181=2,$L1181&lt;$J1181,COUNTIFS(nrES_PID,$D1181,nrES_Code,$F1181,nrES_Att,1)&gt;0),"Yes","No")))</f>
        <v/>
      </c>
      <c r="S1181" s="16" t="n"/>
      <c r="T1181" s="17">
        <f>IF($Q1181&lt;&gt;"Yes","",IF($S1181="","(enter date)",_xlfn.LET(_xlpm.dn,IFERROR(_xlfn.XLOOKUP($S1181,nrCDdate,nrCDnum),""),IF(_xlpm.dn="","(not a class day)",IFERROR(_xlfn.XLOOKUP(_xlpm.dn+cfgRetestClassDays,nrCDnum,nrCDdate),"")))))</f>
        <v/>
      </c>
      <c r="U1181" s="15">
        <f>IF($Q1181&lt;&gt;"Yes","",IF(COUNTIFS(nrES_PID,$D1181,nrES_Code,$F1181,nrES_Att,2)&gt;0,"Retested",IF(OR($T1181="",NOT(ISNUMBER($T1181))),"Pending",IF(TODAY()&gt;$T1181,"OVERDUE","Due "&amp;TEXT($T1181,"mm/dd")))))</f>
        <v/>
      </c>
      <c r="V1181" s="14" t="n"/>
      <c r="W1181" s="14" t="n"/>
    </row>
    <row r="1182">
      <c r="B1182" s="15">
        <f>IF($C1182="","",$D1182&amp;"-"&amp;$F1182&amp;"-"&amp;$K1182)</f>
        <v/>
      </c>
      <c r="C1182" s="14" t="n"/>
      <c r="D1182" s="15">
        <f>IF($C1182="","",IFERROR(INDEX(rngCadetPIDs,MATCH($C1182,rngCadetNames,0)),"?"))</f>
        <v/>
      </c>
      <c r="E1182" s="15">
        <f>IF($D1182="","",IFERROR(INDEX(nrCadetAgency,MATCH($D1182,rngCadetPIDs,0)),""))</f>
        <v/>
      </c>
      <c r="F1182" s="14" t="n"/>
      <c r="G1182" s="15">
        <f>IF($F1182="","",IFERROR(INDEX(rngEPname,MATCH($F1182,rngEPcode,0)),"?"))</f>
        <v/>
      </c>
      <c r="H1182" s="15">
        <f>IF($F1182="","",IFERROR(INDEX(rngEPtype,MATCH($F1182,rngEPcode,0)),"?"))</f>
        <v/>
      </c>
      <c r="I1182" s="15">
        <f>IF($F1182="","",IFERROR(INDEX(rngEPseq,MATCH($F1182,rngEPcode,0)),""))</f>
        <v/>
      </c>
      <c r="J1182" s="15">
        <f>IF($F1182="","",IFERROR(INDEX(rngEPpass,MATCH($F1182,rngEPcode,0)),cfgPassingScore))</f>
        <v/>
      </c>
      <c r="K1182" s="14" t="n"/>
      <c r="L1182" s="14" t="n"/>
      <c r="M1182" s="15">
        <f>IF($C1182="","",IF($L1182="","",IF($K1182=1,IF(COUNTIFS(nrES_PID,$D1182,nrES_Code,$F1182,nrES_Att,2)&gt;0,"",$L1182),IF(COUNTIFS(nrES_PID,$D1182,nrES_Code,$F1182,nrES_Att,1)=0,$L1182,IF($L1182&gt;=$J1182,cfgRetakeRecordedCap,SUMIFS(nrES_Raw,nrES_PID,$D1182,nrES_Code,$F1182,nrES_Att,1))))))</f>
        <v/>
      </c>
      <c r="N1182" s="15">
        <f>IF($C1182="","",IF($L1182="","",IF($L1182&gt;=$J1182,"Yes","No")))</f>
        <v/>
      </c>
      <c r="O1182" s="15">
        <f>IF($C1182="","",IF($M1182="","",IF($M1182&gt;=$J1182,"Yes","No")))</f>
        <v/>
      </c>
      <c r="P1182" s="15">
        <f>IF($C1182="","",IF($K1182="","",IF(COUNTIFS(nrES_PID,$D1182,nrES_Code,$F1182,nrES_Att,"&gt;"&amp;$K1182)=0,"Yes","No")))</f>
        <v/>
      </c>
      <c r="Q1182" s="15">
        <f>IF($C1182="","",IF($L1182="","",IF(AND($K1182=1,$L1182&lt;$J1182,COUNTIFS(nrES_PID,$D1182,nrES_Code,$F1182,nrES_Att,2)=0),"Yes","No")))</f>
        <v/>
      </c>
      <c r="R1182" s="15">
        <f>IF($C1182="","",IF($L1182="","",IF(AND($K1182=2,$L1182&lt;$J1182,COUNTIFS(nrES_PID,$D1182,nrES_Code,$F1182,nrES_Att,1)&gt;0),"Yes","No")))</f>
        <v/>
      </c>
      <c r="S1182" s="16" t="n"/>
      <c r="T1182" s="17">
        <f>IF($Q1182&lt;&gt;"Yes","",IF($S1182="","(enter date)",_xlfn.LET(_xlpm.dn,IFERROR(_xlfn.XLOOKUP($S1182,nrCDdate,nrCDnum),""),IF(_xlpm.dn="","(not a class day)",IFERROR(_xlfn.XLOOKUP(_xlpm.dn+cfgRetestClassDays,nrCDnum,nrCDdate),"")))))</f>
        <v/>
      </c>
      <c r="U1182" s="15">
        <f>IF($Q1182&lt;&gt;"Yes","",IF(COUNTIFS(nrES_PID,$D1182,nrES_Code,$F1182,nrES_Att,2)&gt;0,"Retested",IF(OR($T1182="",NOT(ISNUMBER($T1182))),"Pending",IF(TODAY()&gt;$T1182,"OVERDUE","Due "&amp;TEXT($T1182,"mm/dd")))))</f>
        <v/>
      </c>
      <c r="V1182" s="14" t="n"/>
      <c r="W1182" s="14" t="n"/>
    </row>
    <row r="1183">
      <c r="B1183" s="15">
        <f>IF($C1183="","",$D1183&amp;"-"&amp;$F1183&amp;"-"&amp;$K1183)</f>
        <v/>
      </c>
      <c r="C1183" s="14" t="n"/>
      <c r="D1183" s="15">
        <f>IF($C1183="","",IFERROR(INDEX(rngCadetPIDs,MATCH($C1183,rngCadetNames,0)),"?"))</f>
        <v/>
      </c>
      <c r="E1183" s="15">
        <f>IF($D1183="","",IFERROR(INDEX(nrCadetAgency,MATCH($D1183,rngCadetPIDs,0)),""))</f>
        <v/>
      </c>
      <c r="F1183" s="14" t="n"/>
      <c r="G1183" s="15">
        <f>IF($F1183="","",IFERROR(INDEX(rngEPname,MATCH($F1183,rngEPcode,0)),"?"))</f>
        <v/>
      </c>
      <c r="H1183" s="15">
        <f>IF($F1183="","",IFERROR(INDEX(rngEPtype,MATCH($F1183,rngEPcode,0)),"?"))</f>
        <v/>
      </c>
      <c r="I1183" s="15">
        <f>IF($F1183="","",IFERROR(INDEX(rngEPseq,MATCH($F1183,rngEPcode,0)),""))</f>
        <v/>
      </c>
      <c r="J1183" s="15">
        <f>IF($F1183="","",IFERROR(INDEX(rngEPpass,MATCH($F1183,rngEPcode,0)),cfgPassingScore))</f>
        <v/>
      </c>
      <c r="K1183" s="14" t="n"/>
      <c r="L1183" s="14" t="n"/>
      <c r="M1183" s="15">
        <f>IF($C1183="","",IF($L1183="","",IF($K1183=1,IF(COUNTIFS(nrES_PID,$D1183,nrES_Code,$F1183,nrES_Att,2)&gt;0,"",$L1183),IF(COUNTIFS(nrES_PID,$D1183,nrES_Code,$F1183,nrES_Att,1)=0,$L1183,IF($L1183&gt;=$J1183,cfgRetakeRecordedCap,SUMIFS(nrES_Raw,nrES_PID,$D1183,nrES_Code,$F1183,nrES_Att,1))))))</f>
        <v/>
      </c>
      <c r="N1183" s="15">
        <f>IF($C1183="","",IF($L1183="","",IF($L1183&gt;=$J1183,"Yes","No")))</f>
        <v/>
      </c>
      <c r="O1183" s="15">
        <f>IF($C1183="","",IF($M1183="","",IF($M1183&gt;=$J1183,"Yes","No")))</f>
        <v/>
      </c>
      <c r="P1183" s="15">
        <f>IF($C1183="","",IF($K1183="","",IF(COUNTIFS(nrES_PID,$D1183,nrES_Code,$F1183,nrES_Att,"&gt;"&amp;$K1183)=0,"Yes","No")))</f>
        <v/>
      </c>
      <c r="Q1183" s="15">
        <f>IF($C1183="","",IF($L1183="","",IF(AND($K1183=1,$L1183&lt;$J1183,COUNTIFS(nrES_PID,$D1183,nrES_Code,$F1183,nrES_Att,2)=0),"Yes","No")))</f>
        <v/>
      </c>
      <c r="R1183" s="15">
        <f>IF($C1183="","",IF($L1183="","",IF(AND($K1183=2,$L1183&lt;$J1183,COUNTIFS(nrES_PID,$D1183,nrES_Code,$F1183,nrES_Att,1)&gt;0),"Yes","No")))</f>
        <v/>
      </c>
      <c r="S1183" s="16" t="n"/>
      <c r="T1183" s="17">
        <f>IF($Q1183&lt;&gt;"Yes","",IF($S1183="","(enter date)",_xlfn.LET(_xlpm.dn,IFERROR(_xlfn.XLOOKUP($S1183,nrCDdate,nrCDnum),""),IF(_xlpm.dn="","(not a class day)",IFERROR(_xlfn.XLOOKUP(_xlpm.dn+cfgRetestClassDays,nrCDnum,nrCDdate),"")))))</f>
        <v/>
      </c>
      <c r="U1183" s="15">
        <f>IF($Q1183&lt;&gt;"Yes","",IF(COUNTIFS(nrES_PID,$D1183,nrES_Code,$F1183,nrES_Att,2)&gt;0,"Retested",IF(OR($T1183="",NOT(ISNUMBER($T1183))),"Pending",IF(TODAY()&gt;$T1183,"OVERDUE","Due "&amp;TEXT($T1183,"mm/dd")))))</f>
        <v/>
      </c>
      <c r="V1183" s="14" t="n"/>
      <c r="W1183" s="14" t="n"/>
    </row>
    <row r="1184">
      <c r="B1184" s="15">
        <f>IF($C1184="","",$D1184&amp;"-"&amp;$F1184&amp;"-"&amp;$K1184)</f>
        <v/>
      </c>
      <c r="C1184" s="14" t="n"/>
      <c r="D1184" s="15">
        <f>IF($C1184="","",IFERROR(INDEX(rngCadetPIDs,MATCH($C1184,rngCadetNames,0)),"?"))</f>
        <v/>
      </c>
      <c r="E1184" s="15">
        <f>IF($D1184="","",IFERROR(INDEX(nrCadetAgency,MATCH($D1184,rngCadetPIDs,0)),""))</f>
        <v/>
      </c>
      <c r="F1184" s="14" t="n"/>
      <c r="G1184" s="15">
        <f>IF($F1184="","",IFERROR(INDEX(rngEPname,MATCH($F1184,rngEPcode,0)),"?"))</f>
        <v/>
      </c>
      <c r="H1184" s="15">
        <f>IF($F1184="","",IFERROR(INDEX(rngEPtype,MATCH($F1184,rngEPcode,0)),"?"))</f>
        <v/>
      </c>
      <c r="I1184" s="15">
        <f>IF($F1184="","",IFERROR(INDEX(rngEPseq,MATCH($F1184,rngEPcode,0)),""))</f>
        <v/>
      </c>
      <c r="J1184" s="15">
        <f>IF($F1184="","",IFERROR(INDEX(rngEPpass,MATCH($F1184,rngEPcode,0)),cfgPassingScore))</f>
        <v/>
      </c>
      <c r="K1184" s="14" t="n"/>
      <c r="L1184" s="14" t="n"/>
      <c r="M1184" s="15">
        <f>IF($C1184="","",IF($L1184="","",IF($K1184=1,IF(COUNTIFS(nrES_PID,$D1184,nrES_Code,$F1184,nrES_Att,2)&gt;0,"",$L1184),IF(COUNTIFS(nrES_PID,$D1184,nrES_Code,$F1184,nrES_Att,1)=0,$L1184,IF($L1184&gt;=$J1184,cfgRetakeRecordedCap,SUMIFS(nrES_Raw,nrES_PID,$D1184,nrES_Code,$F1184,nrES_Att,1))))))</f>
        <v/>
      </c>
      <c r="N1184" s="15">
        <f>IF($C1184="","",IF($L1184="","",IF($L1184&gt;=$J1184,"Yes","No")))</f>
        <v/>
      </c>
      <c r="O1184" s="15">
        <f>IF($C1184="","",IF($M1184="","",IF($M1184&gt;=$J1184,"Yes","No")))</f>
        <v/>
      </c>
      <c r="P1184" s="15">
        <f>IF($C1184="","",IF($K1184="","",IF(COUNTIFS(nrES_PID,$D1184,nrES_Code,$F1184,nrES_Att,"&gt;"&amp;$K1184)=0,"Yes","No")))</f>
        <v/>
      </c>
      <c r="Q1184" s="15">
        <f>IF($C1184="","",IF($L1184="","",IF(AND($K1184=1,$L1184&lt;$J1184,COUNTIFS(nrES_PID,$D1184,nrES_Code,$F1184,nrES_Att,2)=0),"Yes","No")))</f>
        <v/>
      </c>
      <c r="R1184" s="15">
        <f>IF($C1184="","",IF($L1184="","",IF(AND($K1184=2,$L1184&lt;$J1184,COUNTIFS(nrES_PID,$D1184,nrES_Code,$F1184,nrES_Att,1)&gt;0),"Yes","No")))</f>
        <v/>
      </c>
      <c r="S1184" s="16" t="n"/>
      <c r="T1184" s="17">
        <f>IF($Q1184&lt;&gt;"Yes","",IF($S1184="","(enter date)",_xlfn.LET(_xlpm.dn,IFERROR(_xlfn.XLOOKUP($S1184,nrCDdate,nrCDnum),""),IF(_xlpm.dn="","(not a class day)",IFERROR(_xlfn.XLOOKUP(_xlpm.dn+cfgRetestClassDays,nrCDnum,nrCDdate),"")))))</f>
        <v/>
      </c>
      <c r="U1184" s="15">
        <f>IF($Q1184&lt;&gt;"Yes","",IF(COUNTIFS(nrES_PID,$D1184,nrES_Code,$F1184,nrES_Att,2)&gt;0,"Retested",IF(OR($T1184="",NOT(ISNUMBER($T1184))),"Pending",IF(TODAY()&gt;$T1184,"OVERDUE","Due "&amp;TEXT($T1184,"mm/dd")))))</f>
        <v/>
      </c>
      <c r="V1184" s="14" t="n"/>
      <c r="W1184" s="14" t="n"/>
    </row>
    <row r="1185">
      <c r="B1185" s="15">
        <f>IF($C1185="","",$D1185&amp;"-"&amp;$F1185&amp;"-"&amp;$K1185)</f>
        <v/>
      </c>
      <c r="C1185" s="14" t="n"/>
      <c r="D1185" s="15">
        <f>IF($C1185="","",IFERROR(INDEX(rngCadetPIDs,MATCH($C1185,rngCadetNames,0)),"?"))</f>
        <v/>
      </c>
      <c r="E1185" s="15">
        <f>IF($D1185="","",IFERROR(INDEX(nrCadetAgency,MATCH($D1185,rngCadetPIDs,0)),""))</f>
        <v/>
      </c>
      <c r="F1185" s="14" t="n"/>
      <c r="G1185" s="15">
        <f>IF($F1185="","",IFERROR(INDEX(rngEPname,MATCH($F1185,rngEPcode,0)),"?"))</f>
        <v/>
      </c>
      <c r="H1185" s="15">
        <f>IF($F1185="","",IFERROR(INDEX(rngEPtype,MATCH($F1185,rngEPcode,0)),"?"))</f>
        <v/>
      </c>
      <c r="I1185" s="15">
        <f>IF($F1185="","",IFERROR(INDEX(rngEPseq,MATCH($F1185,rngEPcode,0)),""))</f>
        <v/>
      </c>
      <c r="J1185" s="15">
        <f>IF($F1185="","",IFERROR(INDEX(rngEPpass,MATCH($F1185,rngEPcode,0)),cfgPassingScore))</f>
        <v/>
      </c>
      <c r="K1185" s="14" t="n"/>
      <c r="L1185" s="14" t="n"/>
      <c r="M1185" s="15">
        <f>IF($C1185="","",IF($L1185="","",IF($K1185=1,IF(COUNTIFS(nrES_PID,$D1185,nrES_Code,$F1185,nrES_Att,2)&gt;0,"",$L1185),IF(COUNTIFS(nrES_PID,$D1185,nrES_Code,$F1185,nrES_Att,1)=0,$L1185,IF($L1185&gt;=$J1185,cfgRetakeRecordedCap,SUMIFS(nrES_Raw,nrES_PID,$D1185,nrES_Code,$F1185,nrES_Att,1))))))</f>
        <v/>
      </c>
      <c r="N1185" s="15">
        <f>IF($C1185="","",IF($L1185="","",IF($L1185&gt;=$J1185,"Yes","No")))</f>
        <v/>
      </c>
      <c r="O1185" s="15">
        <f>IF($C1185="","",IF($M1185="","",IF($M1185&gt;=$J1185,"Yes","No")))</f>
        <v/>
      </c>
      <c r="P1185" s="15">
        <f>IF($C1185="","",IF($K1185="","",IF(COUNTIFS(nrES_PID,$D1185,nrES_Code,$F1185,nrES_Att,"&gt;"&amp;$K1185)=0,"Yes","No")))</f>
        <v/>
      </c>
      <c r="Q1185" s="15">
        <f>IF($C1185="","",IF($L1185="","",IF(AND($K1185=1,$L1185&lt;$J1185,COUNTIFS(nrES_PID,$D1185,nrES_Code,$F1185,nrES_Att,2)=0),"Yes","No")))</f>
        <v/>
      </c>
      <c r="R1185" s="15">
        <f>IF($C1185="","",IF($L1185="","",IF(AND($K1185=2,$L1185&lt;$J1185,COUNTIFS(nrES_PID,$D1185,nrES_Code,$F1185,nrES_Att,1)&gt;0),"Yes","No")))</f>
        <v/>
      </c>
      <c r="S1185" s="16" t="n"/>
      <c r="T1185" s="17">
        <f>IF($Q1185&lt;&gt;"Yes","",IF($S1185="","(enter date)",_xlfn.LET(_xlpm.dn,IFERROR(_xlfn.XLOOKUP($S1185,nrCDdate,nrCDnum),""),IF(_xlpm.dn="","(not a class day)",IFERROR(_xlfn.XLOOKUP(_xlpm.dn+cfgRetestClassDays,nrCDnum,nrCDdate),"")))))</f>
        <v/>
      </c>
      <c r="U1185" s="15">
        <f>IF($Q1185&lt;&gt;"Yes","",IF(COUNTIFS(nrES_PID,$D1185,nrES_Code,$F1185,nrES_Att,2)&gt;0,"Retested",IF(OR($T1185="",NOT(ISNUMBER($T1185))),"Pending",IF(TODAY()&gt;$T1185,"OVERDUE","Due "&amp;TEXT($T1185,"mm/dd")))))</f>
        <v/>
      </c>
      <c r="V1185" s="14" t="n"/>
      <c r="W1185" s="14" t="n"/>
    </row>
    <row r="1186">
      <c r="B1186" s="15">
        <f>IF($C1186="","",$D1186&amp;"-"&amp;$F1186&amp;"-"&amp;$K1186)</f>
        <v/>
      </c>
      <c r="C1186" s="14" t="n"/>
      <c r="D1186" s="15">
        <f>IF($C1186="","",IFERROR(INDEX(rngCadetPIDs,MATCH($C1186,rngCadetNames,0)),"?"))</f>
        <v/>
      </c>
      <c r="E1186" s="15">
        <f>IF($D1186="","",IFERROR(INDEX(nrCadetAgency,MATCH($D1186,rngCadetPIDs,0)),""))</f>
        <v/>
      </c>
      <c r="F1186" s="14" t="n"/>
      <c r="G1186" s="15">
        <f>IF($F1186="","",IFERROR(INDEX(rngEPname,MATCH($F1186,rngEPcode,0)),"?"))</f>
        <v/>
      </c>
      <c r="H1186" s="15">
        <f>IF($F1186="","",IFERROR(INDEX(rngEPtype,MATCH($F1186,rngEPcode,0)),"?"))</f>
        <v/>
      </c>
      <c r="I1186" s="15">
        <f>IF($F1186="","",IFERROR(INDEX(rngEPseq,MATCH($F1186,rngEPcode,0)),""))</f>
        <v/>
      </c>
      <c r="J1186" s="15">
        <f>IF($F1186="","",IFERROR(INDEX(rngEPpass,MATCH($F1186,rngEPcode,0)),cfgPassingScore))</f>
        <v/>
      </c>
      <c r="K1186" s="14" t="n"/>
      <c r="L1186" s="14" t="n"/>
      <c r="M1186" s="15">
        <f>IF($C1186="","",IF($L1186="","",IF($K1186=1,IF(COUNTIFS(nrES_PID,$D1186,nrES_Code,$F1186,nrES_Att,2)&gt;0,"",$L1186),IF(COUNTIFS(nrES_PID,$D1186,nrES_Code,$F1186,nrES_Att,1)=0,$L1186,IF($L1186&gt;=$J1186,cfgRetakeRecordedCap,SUMIFS(nrES_Raw,nrES_PID,$D1186,nrES_Code,$F1186,nrES_Att,1))))))</f>
        <v/>
      </c>
      <c r="N1186" s="15">
        <f>IF($C1186="","",IF($L1186="","",IF($L1186&gt;=$J1186,"Yes","No")))</f>
        <v/>
      </c>
      <c r="O1186" s="15">
        <f>IF($C1186="","",IF($M1186="","",IF($M1186&gt;=$J1186,"Yes","No")))</f>
        <v/>
      </c>
      <c r="P1186" s="15">
        <f>IF($C1186="","",IF($K1186="","",IF(COUNTIFS(nrES_PID,$D1186,nrES_Code,$F1186,nrES_Att,"&gt;"&amp;$K1186)=0,"Yes","No")))</f>
        <v/>
      </c>
      <c r="Q1186" s="15">
        <f>IF($C1186="","",IF($L1186="","",IF(AND($K1186=1,$L1186&lt;$J1186,COUNTIFS(nrES_PID,$D1186,nrES_Code,$F1186,nrES_Att,2)=0),"Yes","No")))</f>
        <v/>
      </c>
      <c r="R1186" s="15">
        <f>IF($C1186="","",IF($L1186="","",IF(AND($K1186=2,$L1186&lt;$J1186,COUNTIFS(nrES_PID,$D1186,nrES_Code,$F1186,nrES_Att,1)&gt;0),"Yes","No")))</f>
        <v/>
      </c>
      <c r="S1186" s="16" t="n"/>
      <c r="T1186" s="17">
        <f>IF($Q1186&lt;&gt;"Yes","",IF($S1186="","(enter date)",_xlfn.LET(_xlpm.dn,IFERROR(_xlfn.XLOOKUP($S1186,nrCDdate,nrCDnum),""),IF(_xlpm.dn="","(not a class day)",IFERROR(_xlfn.XLOOKUP(_xlpm.dn+cfgRetestClassDays,nrCDnum,nrCDdate),"")))))</f>
        <v/>
      </c>
      <c r="U1186" s="15">
        <f>IF($Q1186&lt;&gt;"Yes","",IF(COUNTIFS(nrES_PID,$D1186,nrES_Code,$F1186,nrES_Att,2)&gt;0,"Retested",IF(OR($T1186="",NOT(ISNUMBER($T1186))),"Pending",IF(TODAY()&gt;$T1186,"OVERDUE","Due "&amp;TEXT($T1186,"mm/dd")))))</f>
        <v/>
      </c>
      <c r="V1186" s="14" t="n"/>
      <c r="W1186" s="14" t="n"/>
    </row>
    <row r="1187">
      <c r="B1187" s="15">
        <f>IF($C1187="","",$D1187&amp;"-"&amp;$F1187&amp;"-"&amp;$K1187)</f>
        <v/>
      </c>
      <c r="C1187" s="14" t="n"/>
      <c r="D1187" s="15">
        <f>IF($C1187="","",IFERROR(INDEX(rngCadetPIDs,MATCH($C1187,rngCadetNames,0)),"?"))</f>
        <v/>
      </c>
      <c r="E1187" s="15">
        <f>IF($D1187="","",IFERROR(INDEX(nrCadetAgency,MATCH($D1187,rngCadetPIDs,0)),""))</f>
        <v/>
      </c>
      <c r="F1187" s="14" t="n"/>
      <c r="G1187" s="15">
        <f>IF($F1187="","",IFERROR(INDEX(rngEPname,MATCH($F1187,rngEPcode,0)),"?"))</f>
        <v/>
      </c>
      <c r="H1187" s="15">
        <f>IF($F1187="","",IFERROR(INDEX(rngEPtype,MATCH($F1187,rngEPcode,0)),"?"))</f>
        <v/>
      </c>
      <c r="I1187" s="15">
        <f>IF($F1187="","",IFERROR(INDEX(rngEPseq,MATCH($F1187,rngEPcode,0)),""))</f>
        <v/>
      </c>
      <c r="J1187" s="15">
        <f>IF($F1187="","",IFERROR(INDEX(rngEPpass,MATCH($F1187,rngEPcode,0)),cfgPassingScore))</f>
        <v/>
      </c>
      <c r="K1187" s="14" t="n"/>
      <c r="L1187" s="14" t="n"/>
      <c r="M1187" s="15">
        <f>IF($C1187="","",IF($L1187="","",IF($K1187=1,IF(COUNTIFS(nrES_PID,$D1187,nrES_Code,$F1187,nrES_Att,2)&gt;0,"",$L1187),IF(COUNTIFS(nrES_PID,$D1187,nrES_Code,$F1187,nrES_Att,1)=0,$L1187,IF($L1187&gt;=$J1187,cfgRetakeRecordedCap,SUMIFS(nrES_Raw,nrES_PID,$D1187,nrES_Code,$F1187,nrES_Att,1))))))</f>
        <v/>
      </c>
      <c r="N1187" s="15">
        <f>IF($C1187="","",IF($L1187="","",IF($L1187&gt;=$J1187,"Yes","No")))</f>
        <v/>
      </c>
      <c r="O1187" s="15">
        <f>IF($C1187="","",IF($M1187="","",IF($M1187&gt;=$J1187,"Yes","No")))</f>
        <v/>
      </c>
      <c r="P1187" s="15">
        <f>IF($C1187="","",IF($K1187="","",IF(COUNTIFS(nrES_PID,$D1187,nrES_Code,$F1187,nrES_Att,"&gt;"&amp;$K1187)=0,"Yes","No")))</f>
        <v/>
      </c>
      <c r="Q1187" s="15">
        <f>IF($C1187="","",IF($L1187="","",IF(AND($K1187=1,$L1187&lt;$J1187,COUNTIFS(nrES_PID,$D1187,nrES_Code,$F1187,nrES_Att,2)=0),"Yes","No")))</f>
        <v/>
      </c>
      <c r="R1187" s="15">
        <f>IF($C1187="","",IF($L1187="","",IF(AND($K1187=2,$L1187&lt;$J1187,COUNTIFS(nrES_PID,$D1187,nrES_Code,$F1187,nrES_Att,1)&gt;0),"Yes","No")))</f>
        <v/>
      </c>
      <c r="S1187" s="16" t="n"/>
      <c r="T1187" s="17">
        <f>IF($Q1187&lt;&gt;"Yes","",IF($S1187="","(enter date)",_xlfn.LET(_xlpm.dn,IFERROR(_xlfn.XLOOKUP($S1187,nrCDdate,nrCDnum),""),IF(_xlpm.dn="","(not a class day)",IFERROR(_xlfn.XLOOKUP(_xlpm.dn+cfgRetestClassDays,nrCDnum,nrCDdate),"")))))</f>
        <v/>
      </c>
      <c r="U1187" s="15">
        <f>IF($Q1187&lt;&gt;"Yes","",IF(COUNTIFS(nrES_PID,$D1187,nrES_Code,$F1187,nrES_Att,2)&gt;0,"Retested",IF(OR($T1187="",NOT(ISNUMBER($T1187))),"Pending",IF(TODAY()&gt;$T1187,"OVERDUE","Due "&amp;TEXT($T1187,"mm/dd")))))</f>
        <v/>
      </c>
      <c r="V1187" s="14" t="n"/>
      <c r="W1187" s="14" t="n"/>
    </row>
    <row r="1188">
      <c r="B1188" s="15">
        <f>IF($C1188="","",$D1188&amp;"-"&amp;$F1188&amp;"-"&amp;$K1188)</f>
        <v/>
      </c>
      <c r="C1188" s="14" t="n"/>
      <c r="D1188" s="15">
        <f>IF($C1188="","",IFERROR(INDEX(rngCadetPIDs,MATCH($C1188,rngCadetNames,0)),"?"))</f>
        <v/>
      </c>
      <c r="E1188" s="15">
        <f>IF($D1188="","",IFERROR(INDEX(nrCadetAgency,MATCH($D1188,rngCadetPIDs,0)),""))</f>
        <v/>
      </c>
      <c r="F1188" s="14" t="n"/>
      <c r="G1188" s="15">
        <f>IF($F1188="","",IFERROR(INDEX(rngEPname,MATCH($F1188,rngEPcode,0)),"?"))</f>
        <v/>
      </c>
      <c r="H1188" s="15">
        <f>IF($F1188="","",IFERROR(INDEX(rngEPtype,MATCH($F1188,rngEPcode,0)),"?"))</f>
        <v/>
      </c>
      <c r="I1188" s="15">
        <f>IF($F1188="","",IFERROR(INDEX(rngEPseq,MATCH($F1188,rngEPcode,0)),""))</f>
        <v/>
      </c>
      <c r="J1188" s="15">
        <f>IF($F1188="","",IFERROR(INDEX(rngEPpass,MATCH($F1188,rngEPcode,0)),cfgPassingScore))</f>
        <v/>
      </c>
      <c r="K1188" s="14" t="n"/>
      <c r="L1188" s="14" t="n"/>
      <c r="M1188" s="15">
        <f>IF($C1188="","",IF($L1188="","",IF($K1188=1,IF(COUNTIFS(nrES_PID,$D1188,nrES_Code,$F1188,nrES_Att,2)&gt;0,"",$L1188),IF(COUNTIFS(nrES_PID,$D1188,nrES_Code,$F1188,nrES_Att,1)=0,$L1188,IF($L1188&gt;=$J1188,cfgRetakeRecordedCap,SUMIFS(nrES_Raw,nrES_PID,$D1188,nrES_Code,$F1188,nrES_Att,1))))))</f>
        <v/>
      </c>
      <c r="N1188" s="15">
        <f>IF($C1188="","",IF($L1188="","",IF($L1188&gt;=$J1188,"Yes","No")))</f>
        <v/>
      </c>
      <c r="O1188" s="15">
        <f>IF($C1188="","",IF($M1188="","",IF($M1188&gt;=$J1188,"Yes","No")))</f>
        <v/>
      </c>
      <c r="P1188" s="15">
        <f>IF($C1188="","",IF($K1188="","",IF(COUNTIFS(nrES_PID,$D1188,nrES_Code,$F1188,nrES_Att,"&gt;"&amp;$K1188)=0,"Yes","No")))</f>
        <v/>
      </c>
      <c r="Q1188" s="15">
        <f>IF($C1188="","",IF($L1188="","",IF(AND($K1188=1,$L1188&lt;$J1188,COUNTIFS(nrES_PID,$D1188,nrES_Code,$F1188,nrES_Att,2)=0),"Yes","No")))</f>
        <v/>
      </c>
      <c r="R1188" s="15">
        <f>IF($C1188="","",IF($L1188="","",IF(AND($K1188=2,$L1188&lt;$J1188,COUNTIFS(nrES_PID,$D1188,nrES_Code,$F1188,nrES_Att,1)&gt;0),"Yes","No")))</f>
        <v/>
      </c>
      <c r="S1188" s="16" t="n"/>
      <c r="T1188" s="17">
        <f>IF($Q1188&lt;&gt;"Yes","",IF($S1188="","(enter date)",_xlfn.LET(_xlpm.dn,IFERROR(_xlfn.XLOOKUP($S1188,nrCDdate,nrCDnum),""),IF(_xlpm.dn="","(not a class day)",IFERROR(_xlfn.XLOOKUP(_xlpm.dn+cfgRetestClassDays,nrCDnum,nrCDdate),"")))))</f>
        <v/>
      </c>
      <c r="U1188" s="15">
        <f>IF($Q1188&lt;&gt;"Yes","",IF(COUNTIFS(nrES_PID,$D1188,nrES_Code,$F1188,nrES_Att,2)&gt;0,"Retested",IF(OR($T1188="",NOT(ISNUMBER($T1188))),"Pending",IF(TODAY()&gt;$T1188,"OVERDUE","Due "&amp;TEXT($T1188,"mm/dd")))))</f>
        <v/>
      </c>
      <c r="V1188" s="14" t="n"/>
      <c r="W1188" s="14" t="n"/>
    </row>
    <row r="1189">
      <c r="B1189" s="15">
        <f>IF($C1189="","",$D1189&amp;"-"&amp;$F1189&amp;"-"&amp;$K1189)</f>
        <v/>
      </c>
      <c r="C1189" s="14" t="n"/>
      <c r="D1189" s="15">
        <f>IF($C1189="","",IFERROR(INDEX(rngCadetPIDs,MATCH($C1189,rngCadetNames,0)),"?"))</f>
        <v/>
      </c>
      <c r="E1189" s="15">
        <f>IF($D1189="","",IFERROR(INDEX(nrCadetAgency,MATCH($D1189,rngCadetPIDs,0)),""))</f>
        <v/>
      </c>
      <c r="F1189" s="14" t="n"/>
      <c r="G1189" s="15">
        <f>IF($F1189="","",IFERROR(INDEX(rngEPname,MATCH($F1189,rngEPcode,0)),"?"))</f>
        <v/>
      </c>
      <c r="H1189" s="15">
        <f>IF($F1189="","",IFERROR(INDEX(rngEPtype,MATCH($F1189,rngEPcode,0)),"?"))</f>
        <v/>
      </c>
      <c r="I1189" s="15">
        <f>IF($F1189="","",IFERROR(INDEX(rngEPseq,MATCH($F1189,rngEPcode,0)),""))</f>
        <v/>
      </c>
      <c r="J1189" s="15">
        <f>IF($F1189="","",IFERROR(INDEX(rngEPpass,MATCH($F1189,rngEPcode,0)),cfgPassingScore))</f>
        <v/>
      </c>
      <c r="K1189" s="14" t="n"/>
      <c r="L1189" s="14" t="n"/>
      <c r="M1189" s="15">
        <f>IF($C1189="","",IF($L1189="","",IF($K1189=1,IF(COUNTIFS(nrES_PID,$D1189,nrES_Code,$F1189,nrES_Att,2)&gt;0,"",$L1189),IF(COUNTIFS(nrES_PID,$D1189,nrES_Code,$F1189,nrES_Att,1)=0,$L1189,IF($L1189&gt;=$J1189,cfgRetakeRecordedCap,SUMIFS(nrES_Raw,nrES_PID,$D1189,nrES_Code,$F1189,nrES_Att,1))))))</f>
        <v/>
      </c>
      <c r="N1189" s="15">
        <f>IF($C1189="","",IF($L1189="","",IF($L1189&gt;=$J1189,"Yes","No")))</f>
        <v/>
      </c>
      <c r="O1189" s="15">
        <f>IF($C1189="","",IF($M1189="","",IF($M1189&gt;=$J1189,"Yes","No")))</f>
        <v/>
      </c>
      <c r="P1189" s="15">
        <f>IF($C1189="","",IF($K1189="","",IF(COUNTIFS(nrES_PID,$D1189,nrES_Code,$F1189,nrES_Att,"&gt;"&amp;$K1189)=0,"Yes","No")))</f>
        <v/>
      </c>
      <c r="Q1189" s="15">
        <f>IF($C1189="","",IF($L1189="","",IF(AND($K1189=1,$L1189&lt;$J1189,COUNTIFS(nrES_PID,$D1189,nrES_Code,$F1189,nrES_Att,2)=0),"Yes","No")))</f>
        <v/>
      </c>
      <c r="R1189" s="15">
        <f>IF($C1189="","",IF($L1189="","",IF(AND($K1189=2,$L1189&lt;$J1189,COUNTIFS(nrES_PID,$D1189,nrES_Code,$F1189,nrES_Att,1)&gt;0),"Yes","No")))</f>
        <v/>
      </c>
      <c r="S1189" s="16" t="n"/>
      <c r="T1189" s="17">
        <f>IF($Q1189&lt;&gt;"Yes","",IF($S1189="","(enter date)",_xlfn.LET(_xlpm.dn,IFERROR(_xlfn.XLOOKUP($S1189,nrCDdate,nrCDnum),""),IF(_xlpm.dn="","(not a class day)",IFERROR(_xlfn.XLOOKUP(_xlpm.dn+cfgRetestClassDays,nrCDnum,nrCDdate),"")))))</f>
        <v/>
      </c>
      <c r="U1189" s="15">
        <f>IF($Q1189&lt;&gt;"Yes","",IF(COUNTIFS(nrES_PID,$D1189,nrES_Code,$F1189,nrES_Att,2)&gt;0,"Retested",IF(OR($T1189="",NOT(ISNUMBER($T1189))),"Pending",IF(TODAY()&gt;$T1189,"OVERDUE","Due "&amp;TEXT($T1189,"mm/dd")))))</f>
        <v/>
      </c>
      <c r="V1189" s="14" t="n"/>
      <c r="W1189" s="14" t="n"/>
    </row>
    <row r="1190">
      <c r="B1190" s="15">
        <f>IF($C1190="","",$D1190&amp;"-"&amp;$F1190&amp;"-"&amp;$K1190)</f>
        <v/>
      </c>
      <c r="C1190" s="14" t="n"/>
      <c r="D1190" s="15">
        <f>IF($C1190="","",IFERROR(INDEX(rngCadetPIDs,MATCH($C1190,rngCadetNames,0)),"?"))</f>
        <v/>
      </c>
      <c r="E1190" s="15">
        <f>IF($D1190="","",IFERROR(INDEX(nrCadetAgency,MATCH($D1190,rngCadetPIDs,0)),""))</f>
        <v/>
      </c>
      <c r="F1190" s="14" t="n"/>
      <c r="G1190" s="15">
        <f>IF($F1190="","",IFERROR(INDEX(rngEPname,MATCH($F1190,rngEPcode,0)),"?"))</f>
        <v/>
      </c>
      <c r="H1190" s="15">
        <f>IF($F1190="","",IFERROR(INDEX(rngEPtype,MATCH($F1190,rngEPcode,0)),"?"))</f>
        <v/>
      </c>
      <c r="I1190" s="15">
        <f>IF($F1190="","",IFERROR(INDEX(rngEPseq,MATCH($F1190,rngEPcode,0)),""))</f>
        <v/>
      </c>
      <c r="J1190" s="15">
        <f>IF($F1190="","",IFERROR(INDEX(rngEPpass,MATCH($F1190,rngEPcode,0)),cfgPassingScore))</f>
        <v/>
      </c>
      <c r="K1190" s="14" t="n"/>
      <c r="L1190" s="14" t="n"/>
      <c r="M1190" s="15">
        <f>IF($C1190="","",IF($L1190="","",IF($K1190=1,IF(COUNTIFS(nrES_PID,$D1190,nrES_Code,$F1190,nrES_Att,2)&gt;0,"",$L1190),IF(COUNTIFS(nrES_PID,$D1190,nrES_Code,$F1190,nrES_Att,1)=0,$L1190,IF($L1190&gt;=$J1190,cfgRetakeRecordedCap,SUMIFS(nrES_Raw,nrES_PID,$D1190,nrES_Code,$F1190,nrES_Att,1))))))</f>
        <v/>
      </c>
      <c r="N1190" s="15">
        <f>IF($C1190="","",IF($L1190="","",IF($L1190&gt;=$J1190,"Yes","No")))</f>
        <v/>
      </c>
      <c r="O1190" s="15">
        <f>IF($C1190="","",IF($M1190="","",IF($M1190&gt;=$J1190,"Yes","No")))</f>
        <v/>
      </c>
      <c r="P1190" s="15">
        <f>IF($C1190="","",IF($K1190="","",IF(COUNTIFS(nrES_PID,$D1190,nrES_Code,$F1190,nrES_Att,"&gt;"&amp;$K1190)=0,"Yes","No")))</f>
        <v/>
      </c>
      <c r="Q1190" s="15">
        <f>IF($C1190="","",IF($L1190="","",IF(AND($K1190=1,$L1190&lt;$J1190,COUNTIFS(nrES_PID,$D1190,nrES_Code,$F1190,nrES_Att,2)=0),"Yes","No")))</f>
        <v/>
      </c>
      <c r="R1190" s="15">
        <f>IF($C1190="","",IF($L1190="","",IF(AND($K1190=2,$L1190&lt;$J1190,COUNTIFS(nrES_PID,$D1190,nrES_Code,$F1190,nrES_Att,1)&gt;0),"Yes","No")))</f>
        <v/>
      </c>
      <c r="S1190" s="16" t="n"/>
      <c r="T1190" s="17">
        <f>IF($Q1190&lt;&gt;"Yes","",IF($S1190="","(enter date)",_xlfn.LET(_xlpm.dn,IFERROR(_xlfn.XLOOKUP($S1190,nrCDdate,nrCDnum),""),IF(_xlpm.dn="","(not a class day)",IFERROR(_xlfn.XLOOKUP(_xlpm.dn+cfgRetestClassDays,nrCDnum,nrCDdate),"")))))</f>
        <v/>
      </c>
      <c r="U1190" s="15">
        <f>IF($Q1190&lt;&gt;"Yes","",IF(COUNTIFS(nrES_PID,$D1190,nrES_Code,$F1190,nrES_Att,2)&gt;0,"Retested",IF(OR($T1190="",NOT(ISNUMBER($T1190))),"Pending",IF(TODAY()&gt;$T1190,"OVERDUE","Due "&amp;TEXT($T1190,"mm/dd")))))</f>
        <v/>
      </c>
      <c r="V1190" s="14" t="n"/>
      <c r="W1190" s="14" t="n"/>
    </row>
    <row r="1191">
      <c r="B1191" s="15">
        <f>IF($C1191="","",$D1191&amp;"-"&amp;$F1191&amp;"-"&amp;$K1191)</f>
        <v/>
      </c>
      <c r="C1191" s="14" t="n"/>
      <c r="D1191" s="15">
        <f>IF($C1191="","",IFERROR(INDEX(rngCadetPIDs,MATCH($C1191,rngCadetNames,0)),"?"))</f>
        <v/>
      </c>
      <c r="E1191" s="15">
        <f>IF($D1191="","",IFERROR(INDEX(nrCadetAgency,MATCH($D1191,rngCadetPIDs,0)),""))</f>
        <v/>
      </c>
      <c r="F1191" s="14" t="n"/>
      <c r="G1191" s="15">
        <f>IF($F1191="","",IFERROR(INDEX(rngEPname,MATCH($F1191,rngEPcode,0)),"?"))</f>
        <v/>
      </c>
      <c r="H1191" s="15">
        <f>IF($F1191="","",IFERROR(INDEX(rngEPtype,MATCH($F1191,rngEPcode,0)),"?"))</f>
        <v/>
      </c>
      <c r="I1191" s="15">
        <f>IF($F1191="","",IFERROR(INDEX(rngEPseq,MATCH($F1191,rngEPcode,0)),""))</f>
        <v/>
      </c>
      <c r="J1191" s="15">
        <f>IF($F1191="","",IFERROR(INDEX(rngEPpass,MATCH($F1191,rngEPcode,0)),cfgPassingScore))</f>
        <v/>
      </c>
      <c r="K1191" s="14" t="n"/>
      <c r="L1191" s="14" t="n"/>
      <c r="M1191" s="15">
        <f>IF($C1191="","",IF($L1191="","",IF($K1191=1,IF(COUNTIFS(nrES_PID,$D1191,nrES_Code,$F1191,nrES_Att,2)&gt;0,"",$L1191),IF(COUNTIFS(nrES_PID,$D1191,nrES_Code,$F1191,nrES_Att,1)=0,$L1191,IF($L1191&gt;=$J1191,cfgRetakeRecordedCap,SUMIFS(nrES_Raw,nrES_PID,$D1191,nrES_Code,$F1191,nrES_Att,1))))))</f>
        <v/>
      </c>
      <c r="N1191" s="15">
        <f>IF($C1191="","",IF($L1191="","",IF($L1191&gt;=$J1191,"Yes","No")))</f>
        <v/>
      </c>
      <c r="O1191" s="15">
        <f>IF($C1191="","",IF($M1191="","",IF($M1191&gt;=$J1191,"Yes","No")))</f>
        <v/>
      </c>
      <c r="P1191" s="15">
        <f>IF($C1191="","",IF($K1191="","",IF(COUNTIFS(nrES_PID,$D1191,nrES_Code,$F1191,nrES_Att,"&gt;"&amp;$K1191)=0,"Yes","No")))</f>
        <v/>
      </c>
      <c r="Q1191" s="15">
        <f>IF($C1191="","",IF($L1191="","",IF(AND($K1191=1,$L1191&lt;$J1191,COUNTIFS(nrES_PID,$D1191,nrES_Code,$F1191,nrES_Att,2)=0),"Yes","No")))</f>
        <v/>
      </c>
      <c r="R1191" s="15">
        <f>IF($C1191="","",IF($L1191="","",IF(AND($K1191=2,$L1191&lt;$J1191,COUNTIFS(nrES_PID,$D1191,nrES_Code,$F1191,nrES_Att,1)&gt;0),"Yes","No")))</f>
        <v/>
      </c>
      <c r="S1191" s="16" t="n"/>
      <c r="T1191" s="17">
        <f>IF($Q1191&lt;&gt;"Yes","",IF($S1191="","(enter date)",_xlfn.LET(_xlpm.dn,IFERROR(_xlfn.XLOOKUP($S1191,nrCDdate,nrCDnum),""),IF(_xlpm.dn="","(not a class day)",IFERROR(_xlfn.XLOOKUP(_xlpm.dn+cfgRetestClassDays,nrCDnum,nrCDdate),"")))))</f>
        <v/>
      </c>
      <c r="U1191" s="15">
        <f>IF($Q1191&lt;&gt;"Yes","",IF(COUNTIFS(nrES_PID,$D1191,nrES_Code,$F1191,nrES_Att,2)&gt;0,"Retested",IF(OR($T1191="",NOT(ISNUMBER($T1191))),"Pending",IF(TODAY()&gt;$T1191,"OVERDUE","Due "&amp;TEXT($T1191,"mm/dd")))))</f>
        <v/>
      </c>
      <c r="V1191" s="14" t="n"/>
      <c r="W1191" s="14" t="n"/>
    </row>
    <row r="1192">
      <c r="B1192" s="15">
        <f>IF($C1192="","",$D1192&amp;"-"&amp;$F1192&amp;"-"&amp;$K1192)</f>
        <v/>
      </c>
      <c r="C1192" s="14" t="n"/>
      <c r="D1192" s="15">
        <f>IF($C1192="","",IFERROR(INDEX(rngCadetPIDs,MATCH($C1192,rngCadetNames,0)),"?"))</f>
        <v/>
      </c>
      <c r="E1192" s="15">
        <f>IF($D1192="","",IFERROR(INDEX(nrCadetAgency,MATCH($D1192,rngCadetPIDs,0)),""))</f>
        <v/>
      </c>
      <c r="F1192" s="14" t="n"/>
      <c r="G1192" s="15">
        <f>IF($F1192="","",IFERROR(INDEX(rngEPname,MATCH($F1192,rngEPcode,0)),"?"))</f>
        <v/>
      </c>
      <c r="H1192" s="15">
        <f>IF($F1192="","",IFERROR(INDEX(rngEPtype,MATCH($F1192,rngEPcode,0)),"?"))</f>
        <v/>
      </c>
      <c r="I1192" s="15">
        <f>IF($F1192="","",IFERROR(INDEX(rngEPseq,MATCH($F1192,rngEPcode,0)),""))</f>
        <v/>
      </c>
      <c r="J1192" s="15">
        <f>IF($F1192="","",IFERROR(INDEX(rngEPpass,MATCH($F1192,rngEPcode,0)),cfgPassingScore))</f>
        <v/>
      </c>
      <c r="K1192" s="14" t="n"/>
      <c r="L1192" s="14" t="n"/>
      <c r="M1192" s="15">
        <f>IF($C1192="","",IF($L1192="","",IF($K1192=1,IF(COUNTIFS(nrES_PID,$D1192,nrES_Code,$F1192,nrES_Att,2)&gt;0,"",$L1192),IF(COUNTIFS(nrES_PID,$D1192,nrES_Code,$F1192,nrES_Att,1)=0,$L1192,IF($L1192&gt;=$J1192,cfgRetakeRecordedCap,SUMIFS(nrES_Raw,nrES_PID,$D1192,nrES_Code,$F1192,nrES_Att,1))))))</f>
        <v/>
      </c>
      <c r="N1192" s="15">
        <f>IF($C1192="","",IF($L1192="","",IF($L1192&gt;=$J1192,"Yes","No")))</f>
        <v/>
      </c>
      <c r="O1192" s="15">
        <f>IF($C1192="","",IF($M1192="","",IF($M1192&gt;=$J1192,"Yes","No")))</f>
        <v/>
      </c>
      <c r="P1192" s="15">
        <f>IF($C1192="","",IF($K1192="","",IF(COUNTIFS(nrES_PID,$D1192,nrES_Code,$F1192,nrES_Att,"&gt;"&amp;$K1192)=0,"Yes","No")))</f>
        <v/>
      </c>
      <c r="Q1192" s="15">
        <f>IF($C1192="","",IF($L1192="","",IF(AND($K1192=1,$L1192&lt;$J1192,COUNTIFS(nrES_PID,$D1192,nrES_Code,$F1192,nrES_Att,2)=0),"Yes","No")))</f>
        <v/>
      </c>
      <c r="R1192" s="15">
        <f>IF($C1192="","",IF($L1192="","",IF(AND($K1192=2,$L1192&lt;$J1192,COUNTIFS(nrES_PID,$D1192,nrES_Code,$F1192,nrES_Att,1)&gt;0),"Yes","No")))</f>
        <v/>
      </c>
      <c r="S1192" s="16" t="n"/>
      <c r="T1192" s="17">
        <f>IF($Q1192&lt;&gt;"Yes","",IF($S1192="","(enter date)",_xlfn.LET(_xlpm.dn,IFERROR(_xlfn.XLOOKUP($S1192,nrCDdate,nrCDnum),""),IF(_xlpm.dn="","(not a class day)",IFERROR(_xlfn.XLOOKUP(_xlpm.dn+cfgRetestClassDays,nrCDnum,nrCDdate),"")))))</f>
        <v/>
      </c>
      <c r="U1192" s="15">
        <f>IF($Q1192&lt;&gt;"Yes","",IF(COUNTIFS(nrES_PID,$D1192,nrES_Code,$F1192,nrES_Att,2)&gt;0,"Retested",IF(OR($T1192="",NOT(ISNUMBER($T1192))),"Pending",IF(TODAY()&gt;$T1192,"OVERDUE","Due "&amp;TEXT($T1192,"mm/dd")))))</f>
        <v/>
      </c>
      <c r="V1192" s="14" t="n"/>
      <c r="W1192" s="14" t="n"/>
    </row>
    <row r="1193">
      <c r="B1193" s="15">
        <f>IF($C1193="","",$D1193&amp;"-"&amp;$F1193&amp;"-"&amp;$K1193)</f>
        <v/>
      </c>
      <c r="C1193" s="14" t="n"/>
      <c r="D1193" s="15">
        <f>IF($C1193="","",IFERROR(INDEX(rngCadetPIDs,MATCH($C1193,rngCadetNames,0)),"?"))</f>
        <v/>
      </c>
      <c r="E1193" s="15">
        <f>IF($D1193="","",IFERROR(INDEX(nrCadetAgency,MATCH($D1193,rngCadetPIDs,0)),""))</f>
        <v/>
      </c>
      <c r="F1193" s="14" t="n"/>
      <c r="G1193" s="15">
        <f>IF($F1193="","",IFERROR(INDEX(rngEPname,MATCH($F1193,rngEPcode,0)),"?"))</f>
        <v/>
      </c>
      <c r="H1193" s="15">
        <f>IF($F1193="","",IFERROR(INDEX(rngEPtype,MATCH($F1193,rngEPcode,0)),"?"))</f>
        <v/>
      </c>
      <c r="I1193" s="15">
        <f>IF($F1193="","",IFERROR(INDEX(rngEPseq,MATCH($F1193,rngEPcode,0)),""))</f>
        <v/>
      </c>
      <c r="J1193" s="15">
        <f>IF($F1193="","",IFERROR(INDEX(rngEPpass,MATCH($F1193,rngEPcode,0)),cfgPassingScore))</f>
        <v/>
      </c>
      <c r="K1193" s="14" t="n"/>
      <c r="L1193" s="14" t="n"/>
      <c r="M1193" s="15">
        <f>IF($C1193="","",IF($L1193="","",IF($K1193=1,IF(COUNTIFS(nrES_PID,$D1193,nrES_Code,$F1193,nrES_Att,2)&gt;0,"",$L1193),IF(COUNTIFS(nrES_PID,$D1193,nrES_Code,$F1193,nrES_Att,1)=0,$L1193,IF($L1193&gt;=$J1193,cfgRetakeRecordedCap,SUMIFS(nrES_Raw,nrES_PID,$D1193,nrES_Code,$F1193,nrES_Att,1))))))</f>
        <v/>
      </c>
      <c r="N1193" s="15">
        <f>IF($C1193="","",IF($L1193="","",IF($L1193&gt;=$J1193,"Yes","No")))</f>
        <v/>
      </c>
      <c r="O1193" s="15">
        <f>IF($C1193="","",IF($M1193="","",IF($M1193&gt;=$J1193,"Yes","No")))</f>
        <v/>
      </c>
      <c r="P1193" s="15">
        <f>IF($C1193="","",IF($K1193="","",IF(COUNTIFS(nrES_PID,$D1193,nrES_Code,$F1193,nrES_Att,"&gt;"&amp;$K1193)=0,"Yes","No")))</f>
        <v/>
      </c>
      <c r="Q1193" s="15">
        <f>IF($C1193="","",IF($L1193="","",IF(AND($K1193=1,$L1193&lt;$J1193,COUNTIFS(nrES_PID,$D1193,nrES_Code,$F1193,nrES_Att,2)=0),"Yes","No")))</f>
        <v/>
      </c>
      <c r="R1193" s="15">
        <f>IF($C1193="","",IF($L1193="","",IF(AND($K1193=2,$L1193&lt;$J1193,COUNTIFS(nrES_PID,$D1193,nrES_Code,$F1193,nrES_Att,1)&gt;0),"Yes","No")))</f>
        <v/>
      </c>
      <c r="S1193" s="16" t="n"/>
      <c r="T1193" s="17">
        <f>IF($Q1193&lt;&gt;"Yes","",IF($S1193="","(enter date)",_xlfn.LET(_xlpm.dn,IFERROR(_xlfn.XLOOKUP($S1193,nrCDdate,nrCDnum),""),IF(_xlpm.dn="","(not a class day)",IFERROR(_xlfn.XLOOKUP(_xlpm.dn+cfgRetestClassDays,nrCDnum,nrCDdate),"")))))</f>
        <v/>
      </c>
      <c r="U1193" s="15">
        <f>IF($Q1193&lt;&gt;"Yes","",IF(COUNTIFS(nrES_PID,$D1193,nrES_Code,$F1193,nrES_Att,2)&gt;0,"Retested",IF(OR($T1193="",NOT(ISNUMBER($T1193))),"Pending",IF(TODAY()&gt;$T1193,"OVERDUE","Due "&amp;TEXT($T1193,"mm/dd")))))</f>
        <v/>
      </c>
      <c r="V1193" s="14" t="n"/>
      <c r="W1193" s="14" t="n"/>
    </row>
    <row r="1194">
      <c r="B1194" s="15">
        <f>IF($C1194="","",$D1194&amp;"-"&amp;$F1194&amp;"-"&amp;$K1194)</f>
        <v/>
      </c>
      <c r="C1194" s="14" t="n"/>
      <c r="D1194" s="15">
        <f>IF($C1194="","",IFERROR(INDEX(rngCadetPIDs,MATCH($C1194,rngCadetNames,0)),"?"))</f>
        <v/>
      </c>
      <c r="E1194" s="15">
        <f>IF($D1194="","",IFERROR(INDEX(nrCadetAgency,MATCH($D1194,rngCadetPIDs,0)),""))</f>
        <v/>
      </c>
      <c r="F1194" s="14" t="n"/>
      <c r="G1194" s="15">
        <f>IF($F1194="","",IFERROR(INDEX(rngEPname,MATCH($F1194,rngEPcode,0)),"?"))</f>
        <v/>
      </c>
      <c r="H1194" s="15">
        <f>IF($F1194="","",IFERROR(INDEX(rngEPtype,MATCH($F1194,rngEPcode,0)),"?"))</f>
        <v/>
      </c>
      <c r="I1194" s="15">
        <f>IF($F1194="","",IFERROR(INDEX(rngEPseq,MATCH($F1194,rngEPcode,0)),""))</f>
        <v/>
      </c>
      <c r="J1194" s="15">
        <f>IF($F1194="","",IFERROR(INDEX(rngEPpass,MATCH($F1194,rngEPcode,0)),cfgPassingScore))</f>
        <v/>
      </c>
      <c r="K1194" s="14" t="n"/>
      <c r="L1194" s="14" t="n"/>
      <c r="M1194" s="15">
        <f>IF($C1194="","",IF($L1194="","",IF($K1194=1,IF(COUNTIFS(nrES_PID,$D1194,nrES_Code,$F1194,nrES_Att,2)&gt;0,"",$L1194),IF(COUNTIFS(nrES_PID,$D1194,nrES_Code,$F1194,nrES_Att,1)=0,$L1194,IF($L1194&gt;=$J1194,cfgRetakeRecordedCap,SUMIFS(nrES_Raw,nrES_PID,$D1194,nrES_Code,$F1194,nrES_Att,1))))))</f>
        <v/>
      </c>
      <c r="N1194" s="15">
        <f>IF($C1194="","",IF($L1194="","",IF($L1194&gt;=$J1194,"Yes","No")))</f>
        <v/>
      </c>
      <c r="O1194" s="15">
        <f>IF($C1194="","",IF($M1194="","",IF($M1194&gt;=$J1194,"Yes","No")))</f>
        <v/>
      </c>
      <c r="P1194" s="15">
        <f>IF($C1194="","",IF($K1194="","",IF(COUNTIFS(nrES_PID,$D1194,nrES_Code,$F1194,nrES_Att,"&gt;"&amp;$K1194)=0,"Yes","No")))</f>
        <v/>
      </c>
      <c r="Q1194" s="15">
        <f>IF($C1194="","",IF($L1194="","",IF(AND($K1194=1,$L1194&lt;$J1194,COUNTIFS(nrES_PID,$D1194,nrES_Code,$F1194,nrES_Att,2)=0),"Yes","No")))</f>
        <v/>
      </c>
      <c r="R1194" s="15">
        <f>IF($C1194="","",IF($L1194="","",IF(AND($K1194=2,$L1194&lt;$J1194,COUNTIFS(nrES_PID,$D1194,nrES_Code,$F1194,nrES_Att,1)&gt;0),"Yes","No")))</f>
        <v/>
      </c>
      <c r="S1194" s="16" t="n"/>
      <c r="T1194" s="17">
        <f>IF($Q1194&lt;&gt;"Yes","",IF($S1194="","(enter date)",_xlfn.LET(_xlpm.dn,IFERROR(_xlfn.XLOOKUP($S1194,nrCDdate,nrCDnum),""),IF(_xlpm.dn="","(not a class day)",IFERROR(_xlfn.XLOOKUP(_xlpm.dn+cfgRetestClassDays,nrCDnum,nrCDdate),"")))))</f>
        <v/>
      </c>
      <c r="U1194" s="15">
        <f>IF($Q1194&lt;&gt;"Yes","",IF(COUNTIFS(nrES_PID,$D1194,nrES_Code,$F1194,nrES_Att,2)&gt;0,"Retested",IF(OR($T1194="",NOT(ISNUMBER($T1194))),"Pending",IF(TODAY()&gt;$T1194,"OVERDUE","Due "&amp;TEXT($T1194,"mm/dd")))))</f>
        <v/>
      </c>
      <c r="V1194" s="14" t="n"/>
      <c r="W1194" s="14" t="n"/>
    </row>
    <row r="1195">
      <c r="B1195" s="15">
        <f>IF($C1195="","",$D1195&amp;"-"&amp;$F1195&amp;"-"&amp;$K1195)</f>
        <v/>
      </c>
      <c r="C1195" s="14" t="n"/>
      <c r="D1195" s="15">
        <f>IF($C1195="","",IFERROR(INDEX(rngCadetPIDs,MATCH($C1195,rngCadetNames,0)),"?"))</f>
        <v/>
      </c>
      <c r="E1195" s="15">
        <f>IF($D1195="","",IFERROR(INDEX(nrCadetAgency,MATCH($D1195,rngCadetPIDs,0)),""))</f>
        <v/>
      </c>
      <c r="F1195" s="14" t="n"/>
      <c r="G1195" s="15">
        <f>IF($F1195="","",IFERROR(INDEX(rngEPname,MATCH($F1195,rngEPcode,0)),"?"))</f>
        <v/>
      </c>
      <c r="H1195" s="15">
        <f>IF($F1195="","",IFERROR(INDEX(rngEPtype,MATCH($F1195,rngEPcode,0)),"?"))</f>
        <v/>
      </c>
      <c r="I1195" s="15">
        <f>IF($F1195="","",IFERROR(INDEX(rngEPseq,MATCH($F1195,rngEPcode,0)),""))</f>
        <v/>
      </c>
      <c r="J1195" s="15">
        <f>IF($F1195="","",IFERROR(INDEX(rngEPpass,MATCH($F1195,rngEPcode,0)),cfgPassingScore))</f>
        <v/>
      </c>
      <c r="K1195" s="14" t="n"/>
      <c r="L1195" s="14" t="n"/>
      <c r="M1195" s="15">
        <f>IF($C1195="","",IF($L1195="","",IF($K1195=1,IF(COUNTIFS(nrES_PID,$D1195,nrES_Code,$F1195,nrES_Att,2)&gt;0,"",$L1195),IF(COUNTIFS(nrES_PID,$D1195,nrES_Code,$F1195,nrES_Att,1)=0,$L1195,IF($L1195&gt;=$J1195,cfgRetakeRecordedCap,SUMIFS(nrES_Raw,nrES_PID,$D1195,nrES_Code,$F1195,nrES_Att,1))))))</f>
        <v/>
      </c>
      <c r="N1195" s="15">
        <f>IF($C1195="","",IF($L1195="","",IF($L1195&gt;=$J1195,"Yes","No")))</f>
        <v/>
      </c>
      <c r="O1195" s="15">
        <f>IF($C1195="","",IF($M1195="","",IF($M1195&gt;=$J1195,"Yes","No")))</f>
        <v/>
      </c>
      <c r="P1195" s="15">
        <f>IF($C1195="","",IF($K1195="","",IF(COUNTIFS(nrES_PID,$D1195,nrES_Code,$F1195,nrES_Att,"&gt;"&amp;$K1195)=0,"Yes","No")))</f>
        <v/>
      </c>
      <c r="Q1195" s="15">
        <f>IF($C1195="","",IF($L1195="","",IF(AND($K1195=1,$L1195&lt;$J1195,COUNTIFS(nrES_PID,$D1195,nrES_Code,$F1195,nrES_Att,2)=0),"Yes","No")))</f>
        <v/>
      </c>
      <c r="R1195" s="15">
        <f>IF($C1195="","",IF($L1195="","",IF(AND($K1195=2,$L1195&lt;$J1195,COUNTIFS(nrES_PID,$D1195,nrES_Code,$F1195,nrES_Att,1)&gt;0),"Yes","No")))</f>
        <v/>
      </c>
      <c r="S1195" s="16" t="n"/>
      <c r="T1195" s="17">
        <f>IF($Q1195&lt;&gt;"Yes","",IF($S1195="","(enter date)",_xlfn.LET(_xlpm.dn,IFERROR(_xlfn.XLOOKUP($S1195,nrCDdate,nrCDnum),""),IF(_xlpm.dn="","(not a class day)",IFERROR(_xlfn.XLOOKUP(_xlpm.dn+cfgRetestClassDays,nrCDnum,nrCDdate),"")))))</f>
        <v/>
      </c>
      <c r="U1195" s="15">
        <f>IF($Q1195&lt;&gt;"Yes","",IF(COUNTIFS(nrES_PID,$D1195,nrES_Code,$F1195,nrES_Att,2)&gt;0,"Retested",IF(OR($T1195="",NOT(ISNUMBER($T1195))),"Pending",IF(TODAY()&gt;$T1195,"OVERDUE","Due "&amp;TEXT($T1195,"mm/dd")))))</f>
        <v/>
      </c>
      <c r="V1195" s="14" t="n"/>
      <c r="W1195" s="14" t="n"/>
    </row>
    <row r="1196">
      <c r="B1196" s="15">
        <f>IF($C1196="","",$D1196&amp;"-"&amp;$F1196&amp;"-"&amp;$K1196)</f>
        <v/>
      </c>
      <c r="C1196" s="14" t="n"/>
      <c r="D1196" s="15">
        <f>IF($C1196="","",IFERROR(INDEX(rngCadetPIDs,MATCH($C1196,rngCadetNames,0)),"?"))</f>
        <v/>
      </c>
      <c r="E1196" s="15">
        <f>IF($D1196="","",IFERROR(INDEX(nrCadetAgency,MATCH($D1196,rngCadetPIDs,0)),""))</f>
        <v/>
      </c>
      <c r="F1196" s="14" t="n"/>
      <c r="G1196" s="15">
        <f>IF($F1196="","",IFERROR(INDEX(rngEPname,MATCH($F1196,rngEPcode,0)),"?"))</f>
        <v/>
      </c>
      <c r="H1196" s="15">
        <f>IF($F1196="","",IFERROR(INDEX(rngEPtype,MATCH($F1196,rngEPcode,0)),"?"))</f>
        <v/>
      </c>
      <c r="I1196" s="15">
        <f>IF($F1196="","",IFERROR(INDEX(rngEPseq,MATCH($F1196,rngEPcode,0)),""))</f>
        <v/>
      </c>
      <c r="J1196" s="15">
        <f>IF($F1196="","",IFERROR(INDEX(rngEPpass,MATCH($F1196,rngEPcode,0)),cfgPassingScore))</f>
        <v/>
      </c>
      <c r="K1196" s="14" t="n"/>
      <c r="L1196" s="14" t="n"/>
      <c r="M1196" s="15">
        <f>IF($C1196="","",IF($L1196="","",IF($K1196=1,IF(COUNTIFS(nrES_PID,$D1196,nrES_Code,$F1196,nrES_Att,2)&gt;0,"",$L1196),IF(COUNTIFS(nrES_PID,$D1196,nrES_Code,$F1196,nrES_Att,1)=0,$L1196,IF($L1196&gt;=$J1196,cfgRetakeRecordedCap,SUMIFS(nrES_Raw,nrES_PID,$D1196,nrES_Code,$F1196,nrES_Att,1))))))</f>
        <v/>
      </c>
      <c r="N1196" s="15">
        <f>IF($C1196="","",IF($L1196="","",IF($L1196&gt;=$J1196,"Yes","No")))</f>
        <v/>
      </c>
      <c r="O1196" s="15">
        <f>IF($C1196="","",IF($M1196="","",IF($M1196&gt;=$J1196,"Yes","No")))</f>
        <v/>
      </c>
      <c r="P1196" s="15">
        <f>IF($C1196="","",IF($K1196="","",IF(COUNTIFS(nrES_PID,$D1196,nrES_Code,$F1196,nrES_Att,"&gt;"&amp;$K1196)=0,"Yes","No")))</f>
        <v/>
      </c>
      <c r="Q1196" s="15">
        <f>IF($C1196="","",IF($L1196="","",IF(AND($K1196=1,$L1196&lt;$J1196,COUNTIFS(nrES_PID,$D1196,nrES_Code,$F1196,nrES_Att,2)=0),"Yes","No")))</f>
        <v/>
      </c>
      <c r="R1196" s="15">
        <f>IF($C1196="","",IF($L1196="","",IF(AND($K1196=2,$L1196&lt;$J1196,COUNTIFS(nrES_PID,$D1196,nrES_Code,$F1196,nrES_Att,1)&gt;0),"Yes","No")))</f>
        <v/>
      </c>
      <c r="S1196" s="16" t="n"/>
      <c r="T1196" s="17">
        <f>IF($Q1196&lt;&gt;"Yes","",IF($S1196="","(enter date)",_xlfn.LET(_xlpm.dn,IFERROR(_xlfn.XLOOKUP($S1196,nrCDdate,nrCDnum),""),IF(_xlpm.dn="","(not a class day)",IFERROR(_xlfn.XLOOKUP(_xlpm.dn+cfgRetestClassDays,nrCDnum,nrCDdate),"")))))</f>
        <v/>
      </c>
      <c r="U1196" s="15">
        <f>IF($Q1196&lt;&gt;"Yes","",IF(COUNTIFS(nrES_PID,$D1196,nrES_Code,$F1196,nrES_Att,2)&gt;0,"Retested",IF(OR($T1196="",NOT(ISNUMBER($T1196))),"Pending",IF(TODAY()&gt;$T1196,"OVERDUE","Due "&amp;TEXT($T1196,"mm/dd")))))</f>
        <v/>
      </c>
      <c r="V1196" s="14" t="n"/>
      <c r="W1196" s="14" t="n"/>
    </row>
    <row r="1197">
      <c r="B1197" s="15">
        <f>IF($C1197="","",$D1197&amp;"-"&amp;$F1197&amp;"-"&amp;$K1197)</f>
        <v/>
      </c>
      <c r="C1197" s="14" t="n"/>
      <c r="D1197" s="15">
        <f>IF($C1197="","",IFERROR(INDEX(rngCadetPIDs,MATCH($C1197,rngCadetNames,0)),"?"))</f>
        <v/>
      </c>
      <c r="E1197" s="15">
        <f>IF($D1197="","",IFERROR(INDEX(nrCadetAgency,MATCH($D1197,rngCadetPIDs,0)),""))</f>
        <v/>
      </c>
      <c r="F1197" s="14" t="n"/>
      <c r="G1197" s="15">
        <f>IF($F1197="","",IFERROR(INDEX(rngEPname,MATCH($F1197,rngEPcode,0)),"?"))</f>
        <v/>
      </c>
      <c r="H1197" s="15">
        <f>IF($F1197="","",IFERROR(INDEX(rngEPtype,MATCH($F1197,rngEPcode,0)),"?"))</f>
        <v/>
      </c>
      <c r="I1197" s="15">
        <f>IF($F1197="","",IFERROR(INDEX(rngEPseq,MATCH($F1197,rngEPcode,0)),""))</f>
        <v/>
      </c>
      <c r="J1197" s="15">
        <f>IF($F1197="","",IFERROR(INDEX(rngEPpass,MATCH($F1197,rngEPcode,0)),cfgPassingScore))</f>
        <v/>
      </c>
      <c r="K1197" s="14" t="n"/>
      <c r="L1197" s="14" t="n"/>
      <c r="M1197" s="15">
        <f>IF($C1197="","",IF($L1197="","",IF($K1197=1,IF(COUNTIFS(nrES_PID,$D1197,nrES_Code,$F1197,nrES_Att,2)&gt;0,"",$L1197),IF(COUNTIFS(nrES_PID,$D1197,nrES_Code,$F1197,nrES_Att,1)=0,$L1197,IF($L1197&gt;=$J1197,cfgRetakeRecordedCap,SUMIFS(nrES_Raw,nrES_PID,$D1197,nrES_Code,$F1197,nrES_Att,1))))))</f>
        <v/>
      </c>
      <c r="N1197" s="15">
        <f>IF($C1197="","",IF($L1197="","",IF($L1197&gt;=$J1197,"Yes","No")))</f>
        <v/>
      </c>
      <c r="O1197" s="15">
        <f>IF($C1197="","",IF($M1197="","",IF($M1197&gt;=$J1197,"Yes","No")))</f>
        <v/>
      </c>
      <c r="P1197" s="15">
        <f>IF($C1197="","",IF($K1197="","",IF(COUNTIFS(nrES_PID,$D1197,nrES_Code,$F1197,nrES_Att,"&gt;"&amp;$K1197)=0,"Yes","No")))</f>
        <v/>
      </c>
      <c r="Q1197" s="15">
        <f>IF($C1197="","",IF($L1197="","",IF(AND($K1197=1,$L1197&lt;$J1197,COUNTIFS(nrES_PID,$D1197,nrES_Code,$F1197,nrES_Att,2)=0),"Yes","No")))</f>
        <v/>
      </c>
      <c r="R1197" s="15">
        <f>IF($C1197="","",IF($L1197="","",IF(AND($K1197=2,$L1197&lt;$J1197,COUNTIFS(nrES_PID,$D1197,nrES_Code,$F1197,nrES_Att,1)&gt;0),"Yes","No")))</f>
        <v/>
      </c>
      <c r="S1197" s="16" t="n"/>
      <c r="T1197" s="17">
        <f>IF($Q1197&lt;&gt;"Yes","",IF($S1197="","(enter date)",_xlfn.LET(_xlpm.dn,IFERROR(_xlfn.XLOOKUP($S1197,nrCDdate,nrCDnum),""),IF(_xlpm.dn="","(not a class day)",IFERROR(_xlfn.XLOOKUP(_xlpm.dn+cfgRetestClassDays,nrCDnum,nrCDdate),"")))))</f>
        <v/>
      </c>
      <c r="U1197" s="15">
        <f>IF($Q1197&lt;&gt;"Yes","",IF(COUNTIFS(nrES_PID,$D1197,nrES_Code,$F1197,nrES_Att,2)&gt;0,"Retested",IF(OR($T1197="",NOT(ISNUMBER($T1197))),"Pending",IF(TODAY()&gt;$T1197,"OVERDUE","Due "&amp;TEXT($T1197,"mm/dd")))))</f>
        <v/>
      </c>
      <c r="V1197" s="14" t="n"/>
      <c r="W1197" s="14" t="n"/>
    </row>
    <row r="1198">
      <c r="B1198" s="15">
        <f>IF($C1198="","",$D1198&amp;"-"&amp;$F1198&amp;"-"&amp;$K1198)</f>
        <v/>
      </c>
      <c r="C1198" s="14" t="n"/>
      <c r="D1198" s="15">
        <f>IF($C1198="","",IFERROR(INDEX(rngCadetPIDs,MATCH($C1198,rngCadetNames,0)),"?"))</f>
        <v/>
      </c>
      <c r="E1198" s="15">
        <f>IF($D1198="","",IFERROR(INDEX(nrCadetAgency,MATCH($D1198,rngCadetPIDs,0)),""))</f>
        <v/>
      </c>
      <c r="F1198" s="14" t="n"/>
      <c r="G1198" s="15">
        <f>IF($F1198="","",IFERROR(INDEX(rngEPname,MATCH($F1198,rngEPcode,0)),"?"))</f>
        <v/>
      </c>
      <c r="H1198" s="15">
        <f>IF($F1198="","",IFERROR(INDEX(rngEPtype,MATCH($F1198,rngEPcode,0)),"?"))</f>
        <v/>
      </c>
      <c r="I1198" s="15">
        <f>IF($F1198="","",IFERROR(INDEX(rngEPseq,MATCH($F1198,rngEPcode,0)),""))</f>
        <v/>
      </c>
      <c r="J1198" s="15">
        <f>IF($F1198="","",IFERROR(INDEX(rngEPpass,MATCH($F1198,rngEPcode,0)),cfgPassingScore))</f>
        <v/>
      </c>
      <c r="K1198" s="14" t="n"/>
      <c r="L1198" s="14" t="n"/>
      <c r="M1198" s="15">
        <f>IF($C1198="","",IF($L1198="","",IF($K1198=1,IF(COUNTIFS(nrES_PID,$D1198,nrES_Code,$F1198,nrES_Att,2)&gt;0,"",$L1198),IF(COUNTIFS(nrES_PID,$D1198,nrES_Code,$F1198,nrES_Att,1)=0,$L1198,IF($L1198&gt;=$J1198,cfgRetakeRecordedCap,SUMIFS(nrES_Raw,nrES_PID,$D1198,nrES_Code,$F1198,nrES_Att,1))))))</f>
        <v/>
      </c>
      <c r="N1198" s="15">
        <f>IF($C1198="","",IF($L1198="","",IF($L1198&gt;=$J1198,"Yes","No")))</f>
        <v/>
      </c>
      <c r="O1198" s="15">
        <f>IF($C1198="","",IF($M1198="","",IF($M1198&gt;=$J1198,"Yes","No")))</f>
        <v/>
      </c>
      <c r="P1198" s="15">
        <f>IF($C1198="","",IF($K1198="","",IF(COUNTIFS(nrES_PID,$D1198,nrES_Code,$F1198,nrES_Att,"&gt;"&amp;$K1198)=0,"Yes","No")))</f>
        <v/>
      </c>
      <c r="Q1198" s="15">
        <f>IF($C1198="","",IF($L1198="","",IF(AND($K1198=1,$L1198&lt;$J1198,COUNTIFS(nrES_PID,$D1198,nrES_Code,$F1198,nrES_Att,2)=0),"Yes","No")))</f>
        <v/>
      </c>
      <c r="R1198" s="15">
        <f>IF($C1198="","",IF($L1198="","",IF(AND($K1198=2,$L1198&lt;$J1198,COUNTIFS(nrES_PID,$D1198,nrES_Code,$F1198,nrES_Att,1)&gt;0),"Yes","No")))</f>
        <v/>
      </c>
      <c r="S1198" s="16" t="n"/>
      <c r="T1198" s="17">
        <f>IF($Q1198&lt;&gt;"Yes","",IF($S1198="","(enter date)",_xlfn.LET(_xlpm.dn,IFERROR(_xlfn.XLOOKUP($S1198,nrCDdate,nrCDnum),""),IF(_xlpm.dn="","(not a class day)",IFERROR(_xlfn.XLOOKUP(_xlpm.dn+cfgRetestClassDays,nrCDnum,nrCDdate),"")))))</f>
        <v/>
      </c>
      <c r="U1198" s="15">
        <f>IF($Q1198&lt;&gt;"Yes","",IF(COUNTIFS(nrES_PID,$D1198,nrES_Code,$F1198,nrES_Att,2)&gt;0,"Retested",IF(OR($T1198="",NOT(ISNUMBER($T1198))),"Pending",IF(TODAY()&gt;$T1198,"OVERDUE","Due "&amp;TEXT($T1198,"mm/dd")))))</f>
        <v/>
      </c>
      <c r="V1198" s="14" t="n"/>
      <c r="W1198" s="14" t="n"/>
    </row>
    <row r="1199">
      <c r="B1199" s="15">
        <f>IF($C1199="","",$D1199&amp;"-"&amp;$F1199&amp;"-"&amp;$K1199)</f>
        <v/>
      </c>
      <c r="C1199" s="14" t="n"/>
      <c r="D1199" s="15">
        <f>IF($C1199="","",IFERROR(INDEX(rngCadetPIDs,MATCH($C1199,rngCadetNames,0)),"?"))</f>
        <v/>
      </c>
      <c r="E1199" s="15">
        <f>IF($D1199="","",IFERROR(INDEX(nrCadetAgency,MATCH($D1199,rngCadetPIDs,0)),""))</f>
        <v/>
      </c>
      <c r="F1199" s="14" t="n"/>
      <c r="G1199" s="15">
        <f>IF($F1199="","",IFERROR(INDEX(rngEPname,MATCH($F1199,rngEPcode,0)),"?"))</f>
        <v/>
      </c>
      <c r="H1199" s="15">
        <f>IF($F1199="","",IFERROR(INDEX(rngEPtype,MATCH($F1199,rngEPcode,0)),"?"))</f>
        <v/>
      </c>
      <c r="I1199" s="15">
        <f>IF($F1199="","",IFERROR(INDEX(rngEPseq,MATCH($F1199,rngEPcode,0)),""))</f>
        <v/>
      </c>
      <c r="J1199" s="15">
        <f>IF($F1199="","",IFERROR(INDEX(rngEPpass,MATCH($F1199,rngEPcode,0)),cfgPassingScore))</f>
        <v/>
      </c>
      <c r="K1199" s="14" t="n"/>
      <c r="L1199" s="14" t="n"/>
      <c r="M1199" s="15">
        <f>IF($C1199="","",IF($L1199="","",IF($K1199=1,IF(COUNTIFS(nrES_PID,$D1199,nrES_Code,$F1199,nrES_Att,2)&gt;0,"",$L1199),IF(COUNTIFS(nrES_PID,$D1199,nrES_Code,$F1199,nrES_Att,1)=0,$L1199,IF($L1199&gt;=$J1199,cfgRetakeRecordedCap,SUMIFS(nrES_Raw,nrES_PID,$D1199,nrES_Code,$F1199,nrES_Att,1))))))</f>
        <v/>
      </c>
      <c r="N1199" s="15">
        <f>IF($C1199="","",IF($L1199="","",IF($L1199&gt;=$J1199,"Yes","No")))</f>
        <v/>
      </c>
      <c r="O1199" s="15">
        <f>IF($C1199="","",IF($M1199="","",IF($M1199&gt;=$J1199,"Yes","No")))</f>
        <v/>
      </c>
      <c r="P1199" s="15">
        <f>IF($C1199="","",IF($K1199="","",IF(COUNTIFS(nrES_PID,$D1199,nrES_Code,$F1199,nrES_Att,"&gt;"&amp;$K1199)=0,"Yes","No")))</f>
        <v/>
      </c>
      <c r="Q1199" s="15">
        <f>IF($C1199="","",IF($L1199="","",IF(AND($K1199=1,$L1199&lt;$J1199,COUNTIFS(nrES_PID,$D1199,nrES_Code,$F1199,nrES_Att,2)=0),"Yes","No")))</f>
        <v/>
      </c>
      <c r="R1199" s="15">
        <f>IF($C1199="","",IF($L1199="","",IF(AND($K1199=2,$L1199&lt;$J1199,COUNTIFS(nrES_PID,$D1199,nrES_Code,$F1199,nrES_Att,1)&gt;0),"Yes","No")))</f>
        <v/>
      </c>
      <c r="S1199" s="16" t="n"/>
      <c r="T1199" s="17">
        <f>IF($Q1199&lt;&gt;"Yes","",IF($S1199="","(enter date)",_xlfn.LET(_xlpm.dn,IFERROR(_xlfn.XLOOKUP($S1199,nrCDdate,nrCDnum),""),IF(_xlpm.dn="","(not a class day)",IFERROR(_xlfn.XLOOKUP(_xlpm.dn+cfgRetestClassDays,nrCDnum,nrCDdate),"")))))</f>
        <v/>
      </c>
      <c r="U1199" s="15">
        <f>IF($Q1199&lt;&gt;"Yes","",IF(COUNTIFS(nrES_PID,$D1199,nrES_Code,$F1199,nrES_Att,2)&gt;0,"Retested",IF(OR($T1199="",NOT(ISNUMBER($T1199))),"Pending",IF(TODAY()&gt;$T1199,"OVERDUE","Due "&amp;TEXT($T1199,"mm/dd")))))</f>
        <v/>
      </c>
      <c r="V1199" s="14" t="n"/>
      <c r="W1199" s="14" t="n"/>
    </row>
    <row r="1200">
      <c r="B1200" s="15">
        <f>IF($C1200="","",$D1200&amp;"-"&amp;$F1200&amp;"-"&amp;$K1200)</f>
        <v/>
      </c>
      <c r="C1200" s="14" t="n"/>
      <c r="D1200" s="15">
        <f>IF($C1200="","",IFERROR(INDEX(rngCadetPIDs,MATCH($C1200,rngCadetNames,0)),"?"))</f>
        <v/>
      </c>
      <c r="E1200" s="15">
        <f>IF($D1200="","",IFERROR(INDEX(nrCadetAgency,MATCH($D1200,rngCadetPIDs,0)),""))</f>
        <v/>
      </c>
      <c r="F1200" s="14" t="n"/>
      <c r="G1200" s="15">
        <f>IF($F1200="","",IFERROR(INDEX(rngEPname,MATCH($F1200,rngEPcode,0)),"?"))</f>
        <v/>
      </c>
      <c r="H1200" s="15">
        <f>IF($F1200="","",IFERROR(INDEX(rngEPtype,MATCH($F1200,rngEPcode,0)),"?"))</f>
        <v/>
      </c>
      <c r="I1200" s="15">
        <f>IF($F1200="","",IFERROR(INDEX(rngEPseq,MATCH($F1200,rngEPcode,0)),""))</f>
        <v/>
      </c>
      <c r="J1200" s="15">
        <f>IF($F1200="","",IFERROR(INDEX(rngEPpass,MATCH($F1200,rngEPcode,0)),cfgPassingScore))</f>
        <v/>
      </c>
      <c r="K1200" s="14" t="n"/>
      <c r="L1200" s="14" t="n"/>
      <c r="M1200" s="15">
        <f>IF($C1200="","",IF($L1200="","",IF($K1200=1,IF(COUNTIFS(nrES_PID,$D1200,nrES_Code,$F1200,nrES_Att,2)&gt;0,"",$L1200),IF(COUNTIFS(nrES_PID,$D1200,nrES_Code,$F1200,nrES_Att,1)=0,$L1200,IF($L1200&gt;=$J1200,cfgRetakeRecordedCap,SUMIFS(nrES_Raw,nrES_PID,$D1200,nrES_Code,$F1200,nrES_Att,1))))))</f>
        <v/>
      </c>
      <c r="N1200" s="15">
        <f>IF($C1200="","",IF($L1200="","",IF($L1200&gt;=$J1200,"Yes","No")))</f>
        <v/>
      </c>
      <c r="O1200" s="15">
        <f>IF($C1200="","",IF($M1200="","",IF($M1200&gt;=$J1200,"Yes","No")))</f>
        <v/>
      </c>
      <c r="P1200" s="15">
        <f>IF($C1200="","",IF($K1200="","",IF(COUNTIFS(nrES_PID,$D1200,nrES_Code,$F1200,nrES_Att,"&gt;"&amp;$K1200)=0,"Yes","No")))</f>
        <v/>
      </c>
      <c r="Q1200" s="15">
        <f>IF($C1200="","",IF($L1200="","",IF(AND($K1200=1,$L1200&lt;$J1200,COUNTIFS(nrES_PID,$D1200,nrES_Code,$F1200,nrES_Att,2)=0),"Yes","No")))</f>
        <v/>
      </c>
      <c r="R1200" s="15">
        <f>IF($C1200="","",IF($L1200="","",IF(AND($K1200=2,$L1200&lt;$J1200,COUNTIFS(nrES_PID,$D1200,nrES_Code,$F1200,nrES_Att,1)&gt;0),"Yes","No")))</f>
        <v/>
      </c>
      <c r="S1200" s="16" t="n"/>
      <c r="T1200" s="17">
        <f>IF($Q1200&lt;&gt;"Yes","",IF($S1200="","(enter date)",_xlfn.LET(_xlpm.dn,IFERROR(_xlfn.XLOOKUP($S1200,nrCDdate,nrCDnum),""),IF(_xlpm.dn="","(not a class day)",IFERROR(_xlfn.XLOOKUP(_xlpm.dn+cfgRetestClassDays,nrCDnum,nrCDdate),"")))))</f>
        <v/>
      </c>
      <c r="U1200" s="15">
        <f>IF($Q1200&lt;&gt;"Yes","",IF(COUNTIFS(nrES_PID,$D1200,nrES_Code,$F1200,nrES_Att,2)&gt;0,"Retested",IF(OR($T1200="",NOT(ISNUMBER($T1200))),"Pending",IF(TODAY()&gt;$T1200,"OVERDUE","Due "&amp;TEXT($T1200,"mm/dd")))))</f>
        <v/>
      </c>
      <c r="V1200" s="14" t="n"/>
      <c r="W1200" s="14" t="n"/>
    </row>
    <row r="1201">
      <c r="B1201" s="15">
        <f>IF($C1201="","",$D1201&amp;"-"&amp;$F1201&amp;"-"&amp;$K1201)</f>
        <v/>
      </c>
      <c r="C1201" s="14" t="n"/>
      <c r="D1201" s="15">
        <f>IF($C1201="","",IFERROR(INDEX(rngCadetPIDs,MATCH($C1201,rngCadetNames,0)),"?"))</f>
        <v/>
      </c>
      <c r="E1201" s="15">
        <f>IF($D1201="","",IFERROR(INDEX(nrCadetAgency,MATCH($D1201,rngCadetPIDs,0)),""))</f>
        <v/>
      </c>
      <c r="F1201" s="14" t="n"/>
      <c r="G1201" s="15">
        <f>IF($F1201="","",IFERROR(INDEX(rngEPname,MATCH($F1201,rngEPcode,0)),"?"))</f>
        <v/>
      </c>
      <c r="H1201" s="15">
        <f>IF($F1201="","",IFERROR(INDEX(rngEPtype,MATCH($F1201,rngEPcode,0)),"?"))</f>
        <v/>
      </c>
      <c r="I1201" s="15">
        <f>IF($F1201="","",IFERROR(INDEX(rngEPseq,MATCH($F1201,rngEPcode,0)),""))</f>
        <v/>
      </c>
      <c r="J1201" s="15">
        <f>IF($F1201="","",IFERROR(INDEX(rngEPpass,MATCH($F1201,rngEPcode,0)),cfgPassingScore))</f>
        <v/>
      </c>
      <c r="K1201" s="14" t="n"/>
      <c r="L1201" s="14" t="n"/>
      <c r="M1201" s="15">
        <f>IF($C1201="","",IF($L1201="","",IF($K1201=1,IF(COUNTIFS(nrES_PID,$D1201,nrES_Code,$F1201,nrES_Att,2)&gt;0,"",$L1201),IF(COUNTIFS(nrES_PID,$D1201,nrES_Code,$F1201,nrES_Att,1)=0,$L1201,IF($L1201&gt;=$J1201,cfgRetakeRecordedCap,SUMIFS(nrES_Raw,nrES_PID,$D1201,nrES_Code,$F1201,nrES_Att,1))))))</f>
        <v/>
      </c>
      <c r="N1201" s="15">
        <f>IF($C1201="","",IF($L1201="","",IF($L1201&gt;=$J1201,"Yes","No")))</f>
        <v/>
      </c>
      <c r="O1201" s="15">
        <f>IF($C1201="","",IF($M1201="","",IF($M1201&gt;=$J1201,"Yes","No")))</f>
        <v/>
      </c>
      <c r="P1201" s="15">
        <f>IF($C1201="","",IF($K1201="","",IF(COUNTIFS(nrES_PID,$D1201,nrES_Code,$F1201,nrES_Att,"&gt;"&amp;$K1201)=0,"Yes","No")))</f>
        <v/>
      </c>
      <c r="Q1201" s="15">
        <f>IF($C1201="","",IF($L1201="","",IF(AND($K1201=1,$L1201&lt;$J1201,COUNTIFS(nrES_PID,$D1201,nrES_Code,$F1201,nrES_Att,2)=0),"Yes","No")))</f>
        <v/>
      </c>
      <c r="R1201" s="15">
        <f>IF($C1201="","",IF($L1201="","",IF(AND($K1201=2,$L1201&lt;$J1201,COUNTIFS(nrES_PID,$D1201,nrES_Code,$F1201,nrES_Att,1)&gt;0),"Yes","No")))</f>
        <v/>
      </c>
      <c r="S1201" s="16" t="n"/>
      <c r="T1201" s="17">
        <f>IF($Q1201&lt;&gt;"Yes","",IF($S1201="","(enter date)",_xlfn.LET(_xlpm.dn,IFERROR(_xlfn.XLOOKUP($S1201,nrCDdate,nrCDnum),""),IF(_xlpm.dn="","(not a class day)",IFERROR(_xlfn.XLOOKUP(_xlpm.dn+cfgRetestClassDays,nrCDnum,nrCDdate),"")))))</f>
        <v/>
      </c>
      <c r="U1201" s="15">
        <f>IF($Q1201&lt;&gt;"Yes","",IF(COUNTIFS(nrES_PID,$D1201,nrES_Code,$F1201,nrES_Att,2)&gt;0,"Retested",IF(OR($T1201="",NOT(ISNUMBER($T1201))),"Pending",IF(TODAY()&gt;$T1201,"OVERDUE","Due "&amp;TEXT($T1201,"mm/dd")))))</f>
        <v/>
      </c>
      <c r="V1201" s="14" t="n"/>
      <c r="W1201" s="14" t="n"/>
    </row>
    <row r="1202">
      <c r="B1202" s="15">
        <f>IF($C1202="","",$D1202&amp;"-"&amp;$F1202&amp;"-"&amp;$K1202)</f>
        <v/>
      </c>
      <c r="C1202" s="14" t="n"/>
      <c r="D1202" s="15">
        <f>IF($C1202="","",IFERROR(INDEX(rngCadetPIDs,MATCH($C1202,rngCadetNames,0)),"?"))</f>
        <v/>
      </c>
      <c r="E1202" s="15">
        <f>IF($D1202="","",IFERROR(INDEX(nrCadetAgency,MATCH($D1202,rngCadetPIDs,0)),""))</f>
        <v/>
      </c>
      <c r="F1202" s="14" t="n"/>
      <c r="G1202" s="15">
        <f>IF($F1202="","",IFERROR(INDEX(rngEPname,MATCH($F1202,rngEPcode,0)),"?"))</f>
        <v/>
      </c>
      <c r="H1202" s="15">
        <f>IF($F1202="","",IFERROR(INDEX(rngEPtype,MATCH($F1202,rngEPcode,0)),"?"))</f>
        <v/>
      </c>
      <c r="I1202" s="15">
        <f>IF($F1202="","",IFERROR(INDEX(rngEPseq,MATCH($F1202,rngEPcode,0)),""))</f>
        <v/>
      </c>
      <c r="J1202" s="15">
        <f>IF($F1202="","",IFERROR(INDEX(rngEPpass,MATCH($F1202,rngEPcode,0)),cfgPassingScore))</f>
        <v/>
      </c>
      <c r="K1202" s="14" t="n"/>
      <c r="L1202" s="14" t="n"/>
      <c r="M1202" s="15">
        <f>IF($C1202="","",IF($L1202="","",IF($K1202=1,IF(COUNTIFS(nrES_PID,$D1202,nrES_Code,$F1202,nrES_Att,2)&gt;0,"",$L1202),IF(COUNTIFS(nrES_PID,$D1202,nrES_Code,$F1202,nrES_Att,1)=0,$L1202,IF($L1202&gt;=$J1202,cfgRetakeRecordedCap,SUMIFS(nrES_Raw,nrES_PID,$D1202,nrES_Code,$F1202,nrES_Att,1))))))</f>
        <v/>
      </c>
      <c r="N1202" s="15">
        <f>IF($C1202="","",IF($L1202="","",IF($L1202&gt;=$J1202,"Yes","No")))</f>
        <v/>
      </c>
      <c r="O1202" s="15">
        <f>IF($C1202="","",IF($M1202="","",IF($M1202&gt;=$J1202,"Yes","No")))</f>
        <v/>
      </c>
      <c r="P1202" s="15">
        <f>IF($C1202="","",IF($K1202="","",IF(COUNTIFS(nrES_PID,$D1202,nrES_Code,$F1202,nrES_Att,"&gt;"&amp;$K1202)=0,"Yes","No")))</f>
        <v/>
      </c>
      <c r="Q1202" s="15">
        <f>IF($C1202="","",IF($L1202="","",IF(AND($K1202=1,$L1202&lt;$J1202,COUNTIFS(nrES_PID,$D1202,nrES_Code,$F1202,nrES_Att,2)=0),"Yes","No")))</f>
        <v/>
      </c>
      <c r="R1202" s="15">
        <f>IF($C1202="","",IF($L1202="","",IF(AND($K1202=2,$L1202&lt;$J1202,COUNTIFS(nrES_PID,$D1202,nrES_Code,$F1202,nrES_Att,1)&gt;0),"Yes","No")))</f>
        <v/>
      </c>
      <c r="S1202" s="16" t="n"/>
      <c r="T1202" s="17">
        <f>IF($Q1202&lt;&gt;"Yes","",IF($S1202="","(enter date)",_xlfn.LET(_xlpm.dn,IFERROR(_xlfn.XLOOKUP($S1202,nrCDdate,nrCDnum),""),IF(_xlpm.dn="","(not a class day)",IFERROR(_xlfn.XLOOKUP(_xlpm.dn+cfgRetestClassDays,nrCDnum,nrCDdate),"")))))</f>
        <v/>
      </c>
      <c r="U1202" s="15">
        <f>IF($Q1202&lt;&gt;"Yes","",IF(COUNTIFS(nrES_PID,$D1202,nrES_Code,$F1202,nrES_Att,2)&gt;0,"Retested",IF(OR($T1202="",NOT(ISNUMBER($T1202))),"Pending",IF(TODAY()&gt;$T1202,"OVERDUE","Due "&amp;TEXT($T1202,"mm/dd")))))</f>
        <v/>
      </c>
      <c r="V1202" s="14" t="n"/>
      <c r="W1202" s="14" t="n"/>
    </row>
    <row r="1203">
      <c r="B1203" s="15">
        <f>IF($C1203="","",$D1203&amp;"-"&amp;$F1203&amp;"-"&amp;$K1203)</f>
        <v/>
      </c>
      <c r="C1203" s="14" t="n"/>
      <c r="D1203" s="15">
        <f>IF($C1203="","",IFERROR(INDEX(rngCadetPIDs,MATCH($C1203,rngCadetNames,0)),"?"))</f>
        <v/>
      </c>
      <c r="E1203" s="15">
        <f>IF($D1203="","",IFERROR(INDEX(nrCadetAgency,MATCH($D1203,rngCadetPIDs,0)),""))</f>
        <v/>
      </c>
      <c r="F1203" s="14" t="n"/>
      <c r="G1203" s="15">
        <f>IF($F1203="","",IFERROR(INDEX(rngEPname,MATCH($F1203,rngEPcode,0)),"?"))</f>
        <v/>
      </c>
      <c r="H1203" s="15">
        <f>IF($F1203="","",IFERROR(INDEX(rngEPtype,MATCH($F1203,rngEPcode,0)),"?"))</f>
        <v/>
      </c>
      <c r="I1203" s="15">
        <f>IF($F1203="","",IFERROR(INDEX(rngEPseq,MATCH($F1203,rngEPcode,0)),""))</f>
        <v/>
      </c>
      <c r="J1203" s="15">
        <f>IF($F1203="","",IFERROR(INDEX(rngEPpass,MATCH($F1203,rngEPcode,0)),cfgPassingScore))</f>
        <v/>
      </c>
      <c r="K1203" s="14" t="n"/>
      <c r="L1203" s="14" t="n"/>
      <c r="M1203" s="15">
        <f>IF($C1203="","",IF($L1203="","",IF($K1203=1,IF(COUNTIFS(nrES_PID,$D1203,nrES_Code,$F1203,nrES_Att,2)&gt;0,"",$L1203),IF(COUNTIFS(nrES_PID,$D1203,nrES_Code,$F1203,nrES_Att,1)=0,$L1203,IF($L1203&gt;=$J1203,cfgRetakeRecordedCap,SUMIFS(nrES_Raw,nrES_PID,$D1203,nrES_Code,$F1203,nrES_Att,1))))))</f>
        <v/>
      </c>
      <c r="N1203" s="15">
        <f>IF($C1203="","",IF($L1203="","",IF($L1203&gt;=$J1203,"Yes","No")))</f>
        <v/>
      </c>
      <c r="O1203" s="15">
        <f>IF($C1203="","",IF($M1203="","",IF($M1203&gt;=$J1203,"Yes","No")))</f>
        <v/>
      </c>
      <c r="P1203" s="15">
        <f>IF($C1203="","",IF($K1203="","",IF(COUNTIFS(nrES_PID,$D1203,nrES_Code,$F1203,nrES_Att,"&gt;"&amp;$K1203)=0,"Yes","No")))</f>
        <v/>
      </c>
      <c r="Q1203" s="15">
        <f>IF($C1203="","",IF($L1203="","",IF(AND($K1203=1,$L1203&lt;$J1203,COUNTIFS(nrES_PID,$D1203,nrES_Code,$F1203,nrES_Att,2)=0),"Yes","No")))</f>
        <v/>
      </c>
      <c r="R1203" s="15">
        <f>IF($C1203="","",IF($L1203="","",IF(AND($K1203=2,$L1203&lt;$J1203,COUNTIFS(nrES_PID,$D1203,nrES_Code,$F1203,nrES_Att,1)&gt;0),"Yes","No")))</f>
        <v/>
      </c>
      <c r="S1203" s="16" t="n"/>
      <c r="T1203" s="17">
        <f>IF($Q1203&lt;&gt;"Yes","",IF($S1203="","(enter date)",_xlfn.LET(_xlpm.dn,IFERROR(_xlfn.XLOOKUP($S1203,nrCDdate,nrCDnum),""),IF(_xlpm.dn="","(not a class day)",IFERROR(_xlfn.XLOOKUP(_xlpm.dn+cfgRetestClassDays,nrCDnum,nrCDdate),"")))))</f>
        <v/>
      </c>
      <c r="U1203" s="15">
        <f>IF($Q1203&lt;&gt;"Yes","",IF(COUNTIFS(nrES_PID,$D1203,nrES_Code,$F1203,nrES_Att,2)&gt;0,"Retested",IF(OR($T1203="",NOT(ISNUMBER($T1203))),"Pending",IF(TODAY()&gt;$T1203,"OVERDUE","Due "&amp;TEXT($T1203,"mm/dd")))))</f>
        <v/>
      </c>
      <c r="V1203" s="14" t="n"/>
      <c r="W1203" s="14" t="n"/>
    </row>
    <row r="1204">
      <c r="B1204" s="15">
        <f>IF($C1204="","",$D1204&amp;"-"&amp;$F1204&amp;"-"&amp;$K1204)</f>
        <v/>
      </c>
      <c r="C1204" s="14" t="n"/>
      <c r="D1204" s="15">
        <f>IF($C1204="","",IFERROR(INDEX(rngCadetPIDs,MATCH($C1204,rngCadetNames,0)),"?"))</f>
        <v/>
      </c>
      <c r="E1204" s="15">
        <f>IF($D1204="","",IFERROR(INDEX(nrCadetAgency,MATCH($D1204,rngCadetPIDs,0)),""))</f>
        <v/>
      </c>
      <c r="F1204" s="14" t="n"/>
      <c r="G1204" s="15">
        <f>IF($F1204="","",IFERROR(INDEX(rngEPname,MATCH($F1204,rngEPcode,0)),"?"))</f>
        <v/>
      </c>
      <c r="H1204" s="15">
        <f>IF($F1204="","",IFERROR(INDEX(rngEPtype,MATCH($F1204,rngEPcode,0)),"?"))</f>
        <v/>
      </c>
      <c r="I1204" s="15">
        <f>IF($F1204="","",IFERROR(INDEX(rngEPseq,MATCH($F1204,rngEPcode,0)),""))</f>
        <v/>
      </c>
      <c r="J1204" s="15">
        <f>IF($F1204="","",IFERROR(INDEX(rngEPpass,MATCH($F1204,rngEPcode,0)),cfgPassingScore))</f>
        <v/>
      </c>
      <c r="K1204" s="14" t="n"/>
      <c r="L1204" s="14" t="n"/>
      <c r="M1204" s="15">
        <f>IF($C1204="","",IF($L1204="","",IF($K1204=1,IF(COUNTIFS(nrES_PID,$D1204,nrES_Code,$F1204,nrES_Att,2)&gt;0,"",$L1204),IF(COUNTIFS(nrES_PID,$D1204,nrES_Code,$F1204,nrES_Att,1)=0,$L1204,IF($L1204&gt;=$J1204,cfgRetakeRecordedCap,SUMIFS(nrES_Raw,nrES_PID,$D1204,nrES_Code,$F1204,nrES_Att,1))))))</f>
        <v/>
      </c>
      <c r="N1204" s="15">
        <f>IF($C1204="","",IF($L1204="","",IF($L1204&gt;=$J1204,"Yes","No")))</f>
        <v/>
      </c>
      <c r="O1204" s="15">
        <f>IF($C1204="","",IF($M1204="","",IF($M1204&gt;=$J1204,"Yes","No")))</f>
        <v/>
      </c>
      <c r="P1204" s="15">
        <f>IF($C1204="","",IF($K1204="","",IF(COUNTIFS(nrES_PID,$D1204,nrES_Code,$F1204,nrES_Att,"&gt;"&amp;$K1204)=0,"Yes","No")))</f>
        <v/>
      </c>
      <c r="Q1204" s="15">
        <f>IF($C1204="","",IF($L1204="","",IF(AND($K1204=1,$L1204&lt;$J1204,COUNTIFS(nrES_PID,$D1204,nrES_Code,$F1204,nrES_Att,2)=0),"Yes","No")))</f>
        <v/>
      </c>
      <c r="R1204" s="15">
        <f>IF($C1204="","",IF($L1204="","",IF(AND($K1204=2,$L1204&lt;$J1204,COUNTIFS(nrES_PID,$D1204,nrES_Code,$F1204,nrES_Att,1)&gt;0),"Yes","No")))</f>
        <v/>
      </c>
      <c r="S1204" s="16" t="n"/>
      <c r="T1204" s="17">
        <f>IF($Q1204&lt;&gt;"Yes","",IF($S1204="","(enter date)",_xlfn.LET(_xlpm.dn,IFERROR(_xlfn.XLOOKUP($S1204,nrCDdate,nrCDnum),""),IF(_xlpm.dn="","(not a class day)",IFERROR(_xlfn.XLOOKUP(_xlpm.dn+cfgRetestClassDays,nrCDnum,nrCDdate),"")))))</f>
        <v/>
      </c>
      <c r="U1204" s="15">
        <f>IF($Q1204&lt;&gt;"Yes","",IF(COUNTIFS(nrES_PID,$D1204,nrES_Code,$F1204,nrES_Att,2)&gt;0,"Retested",IF(OR($T1204="",NOT(ISNUMBER($T1204))),"Pending",IF(TODAY()&gt;$T1204,"OVERDUE","Due "&amp;TEXT($T1204,"mm/dd")))))</f>
        <v/>
      </c>
      <c r="V1204" s="14" t="n"/>
      <c r="W1204" s="14" t="n"/>
    </row>
    <row r="1205">
      <c r="B1205" s="15">
        <f>IF($C1205="","",$D1205&amp;"-"&amp;$F1205&amp;"-"&amp;$K1205)</f>
        <v/>
      </c>
      <c r="C1205" s="14" t="n"/>
      <c r="D1205" s="15">
        <f>IF($C1205="","",IFERROR(INDEX(rngCadetPIDs,MATCH($C1205,rngCadetNames,0)),"?"))</f>
        <v/>
      </c>
      <c r="E1205" s="15">
        <f>IF($D1205="","",IFERROR(INDEX(nrCadetAgency,MATCH($D1205,rngCadetPIDs,0)),""))</f>
        <v/>
      </c>
      <c r="F1205" s="14" t="n"/>
      <c r="G1205" s="15">
        <f>IF($F1205="","",IFERROR(INDEX(rngEPname,MATCH($F1205,rngEPcode,0)),"?"))</f>
        <v/>
      </c>
      <c r="H1205" s="15">
        <f>IF($F1205="","",IFERROR(INDEX(rngEPtype,MATCH($F1205,rngEPcode,0)),"?"))</f>
        <v/>
      </c>
      <c r="I1205" s="15">
        <f>IF($F1205="","",IFERROR(INDEX(rngEPseq,MATCH($F1205,rngEPcode,0)),""))</f>
        <v/>
      </c>
      <c r="J1205" s="15">
        <f>IF($F1205="","",IFERROR(INDEX(rngEPpass,MATCH($F1205,rngEPcode,0)),cfgPassingScore))</f>
        <v/>
      </c>
      <c r="K1205" s="14" t="n"/>
      <c r="L1205" s="14" t="n"/>
      <c r="M1205" s="15">
        <f>IF($C1205="","",IF($L1205="","",IF($K1205=1,IF(COUNTIFS(nrES_PID,$D1205,nrES_Code,$F1205,nrES_Att,2)&gt;0,"",$L1205),IF(COUNTIFS(nrES_PID,$D1205,nrES_Code,$F1205,nrES_Att,1)=0,$L1205,IF($L1205&gt;=$J1205,cfgRetakeRecordedCap,SUMIFS(nrES_Raw,nrES_PID,$D1205,nrES_Code,$F1205,nrES_Att,1))))))</f>
        <v/>
      </c>
      <c r="N1205" s="15">
        <f>IF($C1205="","",IF($L1205="","",IF($L1205&gt;=$J1205,"Yes","No")))</f>
        <v/>
      </c>
      <c r="O1205" s="15">
        <f>IF($C1205="","",IF($M1205="","",IF($M1205&gt;=$J1205,"Yes","No")))</f>
        <v/>
      </c>
      <c r="P1205" s="15">
        <f>IF($C1205="","",IF($K1205="","",IF(COUNTIFS(nrES_PID,$D1205,nrES_Code,$F1205,nrES_Att,"&gt;"&amp;$K1205)=0,"Yes","No")))</f>
        <v/>
      </c>
      <c r="Q1205" s="15">
        <f>IF($C1205="","",IF($L1205="","",IF(AND($K1205=1,$L1205&lt;$J1205,COUNTIFS(nrES_PID,$D1205,nrES_Code,$F1205,nrES_Att,2)=0),"Yes","No")))</f>
        <v/>
      </c>
      <c r="R1205" s="15">
        <f>IF($C1205="","",IF($L1205="","",IF(AND($K1205=2,$L1205&lt;$J1205,COUNTIFS(nrES_PID,$D1205,nrES_Code,$F1205,nrES_Att,1)&gt;0),"Yes","No")))</f>
        <v/>
      </c>
      <c r="S1205" s="16" t="n"/>
      <c r="T1205" s="17">
        <f>IF($Q1205&lt;&gt;"Yes","",IF($S1205="","(enter date)",_xlfn.LET(_xlpm.dn,IFERROR(_xlfn.XLOOKUP($S1205,nrCDdate,nrCDnum),""),IF(_xlpm.dn="","(not a class day)",IFERROR(_xlfn.XLOOKUP(_xlpm.dn+cfgRetestClassDays,nrCDnum,nrCDdate),"")))))</f>
        <v/>
      </c>
      <c r="U1205" s="15">
        <f>IF($Q1205&lt;&gt;"Yes","",IF(COUNTIFS(nrES_PID,$D1205,nrES_Code,$F1205,nrES_Att,2)&gt;0,"Retested",IF(OR($T1205="",NOT(ISNUMBER($T1205))),"Pending",IF(TODAY()&gt;$T1205,"OVERDUE","Due "&amp;TEXT($T1205,"mm/dd")))))</f>
        <v/>
      </c>
      <c r="V1205" s="14" t="n"/>
      <c r="W1205" s="14" t="n"/>
    </row>
    <row r="1206">
      <c r="B1206" s="15">
        <f>IF($C1206="","",$D1206&amp;"-"&amp;$F1206&amp;"-"&amp;$K1206)</f>
        <v/>
      </c>
      <c r="C1206" s="14" t="n"/>
      <c r="D1206" s="15">
        <f>IF($C1206="","",IFERROR(INDEX(rngCadetPIDs,MATCH($C1206,rngCadetNames,0)),"?"))</f>
        <v/>
      </c>
      <c r="E1206" s="15">
        <f>IF($D1206="","",IFERROR(INDEX(nrCadetAgency,MATCH($D1206,rngCadetPIDs,0)),""))</f>
        <v/>
      </c>
      <c r="F1206" s="14" t="n"/>
      <c r="G1206" s="15">
        <f>IF($F1206="","",IFERROR(INDEX(rngEPname,MATCH($F1206,rngEPcode,0)),"?"))</f>
        <v/>
      </c>
      <c r="H1206" s="15">
        <f>IF($F1206="","",IFERROR(INDEX(rngEPtype,MATCH($F1206,rngEPcode,0)),"?"))</f>
        <v/>
      </c>
      <c r="I1206" s="15">
        <f>IF($F1206="","",IFERROR(INDEX(rngEPseq,MATCH($F1206,rngEPcode,0)),""))</f>
        <v/>
      </c>
      <c r="J1206" s="15">
        <f>IF($F1206="","",IFERROR(INDEX(rngEPpass,MATCH($F1206,rngEPcode,0)),cfgPassingScore))</f>
        <v/>
      </c>
      <c r="K1206" s="14" t="n"/>
      <c r="L1206" s="14" t="n"/>
      <c r="M1206" s="15">
        <f>IF($C1206="","",IF($L1206="","",IF($K1206=1,IF(COUNTIFS(nrES_PID,$D1206,nrES_Code,$F1206,nrES_Att,2)&gt;0,"",$L1206),IF(COUNTIFS(nrES_PID,$D1206,nrES_Code,$F1206,nrES_Att,1)=0,$L1206,IF($L1206&gt;=$J1206,cfgRetakeRecordedCap,SUMIFS(nrES_Raw,nrES_PID,$D1206,nrES_Code,$F1206,nrES_Att,1))))))</f>
        <v/>
      </c>
      <c r="N1206" s="15">
        <f>IF($C1206="","",IF($L1206="","",IF($L1206&gt;=$J1206,"Yes","No")))</f>
        <v/>
      </c>
      <c r="O1206" s="15">
        <f>IF($C1206="","",IF($M1206="","",IF($M1206&gt;=$J1206,"Yes","No")))</f>
        <v/>
      </c>
      <c r="P1206" s="15">
        <f>IF($C1206="","",IF($K1206="","",IF(COUNTIFS(nrES_PID,$D1206,nrES_Code,$F1206,nrES_Att,"&gt;"&amp;$K1206)=0,"Yes","No")))</f>
        <v/>
      </c>
      <c r="Q1206" s="15">
        <f>IF($C1206="","",IF($L1206="","",IF(AND($K1206=1,$L1206&lt;$J1206,COUNTIFS(nrES_PID,$D1206,nrES_Code,$F1206,nrES_Att,2)=0),"Yes","No")))</f>
        <v/>
      </c>
      <c r="R1206" s="15">
        <f>IF($C1206="","",IF($L1206="","",IF(AND($K1206=2,$L1206&lt;$J1206,COUNTIFS(nrES_PID,$D1206,nrES_Code,$F1206,nrES_Att,1)&gt;0),"Yes","No")))</f>
        <v/>
      </c>
      <c r="S1206" s="16" t="n"/>
      <c r="T1206" s="17">
        <f>IF($Q1206&lt;&gt;"Yes","",IF($S1206="","(enter date)",_xlfn.LET(_xlpm.dn,IFERROR(_xlfn.XLOOKUP($S1206,nrCDdate,nrCDnum),""),IF(_xlpm.dn="","(not a class day)",IFERROR(_xlfn.XLOOKUP(_xlpm.dn+cfgRetestClassDays,nrCDnum,nrCDdate),"")))))</f>
        <v/>
      </c>
      <c r="U1206" s="15">
        <f>IF($Q1206&lt;&gt;"Yes","",IF(COUNTIFS(nrES_PID,$D1206,nrES_Code,$F1206,nrES_Att,2)&gt;0,"Retested",IF(OR($T1206="",NOT(ISNUMBER($T1206))),"Pending",IF(TODAY()&gt;$T1206,"OVERDUE","Due "&amp;TEXT($T1206,"mm/dd")))))</f>
        <v/>
      </c>
      <c r="V1206" s="14" t="n"/>
      <c r="W1206" s="14" t="n"/>
    </row>
    <row r="1207">
      <c r="B1207" s="15">
        <f>IF($C1207="","",$D1207&amp;"-"&amp;$F1207&amp;"-"&amp;$K1207)</f>
        <v/>
      </c>
      <c r="C1207" s="14" t="n"/>
      <c r="D1207" s="15">
        <f>IF($C1207="","",IFERROR(INDEX(rngCadetPIDs,MATCH($C1207,rngCadetNames,0)),"?"))</f>
        <v/>
      </c>
      <c r="E1207" s="15">
        <f>IF($D1207="","",IFERROR(INDEX(nrCadetAgency,MATCH($D1207,rngCadetPIDs,0)),""))</f>
        <v/>
      </c>
      <c r="F1207" s="14" t="n"/>
      <c r="G1207" s="15">
        <f>IF($F1207="","",IFERROR(INDEX(rngEPname,MATCH($F1207,rngEPcode,0)),"?"))</f>
        <v/>
      </c>
      <c r="H1207" s="15">
        <f>IF($F1207="","",IFERROR(INDEX(rngEPtype,MATCH($F1207,rngEPcode,0)),"?"))</f>
        <v/>
      </c>
      <c r="I1207" s="15">
        <f>IF($F1207="","",IFERROR(INDEX(rngEPseq,MATCH($F1207,rngEPcode,0)),""))</f>
        <v/>
      </c>
      <c r="J1207" s="15">
        <f>IF($F1207="","",IFERROR(INDEX(rngEPpass,MATCH($F1207,rngEPcode,0)),cfgPassingScore))</f>
        <v/>
      </c>
      <c r="K1207" s="14" t="n"/>
      <c r="L1207" s="14" t="n"/>
      <c r="M1207" s="15">
        <f>IF($C1207="","",IF($L1207="","",IF($K1207=1,IF(COUNTIFS(nrES_PID,$D1207,nrES_Code,$F1207,nrES_Att,2)&gt;0,"",$L1207),IF(COUNTIFS(nrES_PID,$D1207,nrES_Code,$F1207,nrES_Att,1)=0,$L1207,IF($L1207&gt;=$J1207,cfgRetakeRecordedCap,SUMIFS(nrES_Raw,nrES_PID,$D1207,nrES_Code,$F1207,nrES_Att,1))))))</f>
        <v/>
      </c>
      <c r="N1207" s="15">
        <f>IF($C1207="","",IF($L1207="","",IF($L1207&gt;=$J1207,"Yes","No")))</f>
        <v/>
      </c>
      <c r="O1207" s="15">
        <f>IF($C1207="","",IF($M1207="","",IF($M1207&gt;=$J1207,"Yes","No")))</f>
        <v/>
      </c>
      <c r="P1207" s="15">
        <f>IF($C1207="","",IF($K1207="","",IF(COUNTIFS(nrES_PID,$D1207,nrES_Code,$F1207,nrES_Att,"&gt;"&amp;$K1207)=0,"Yes","No")))</f>
        <v/>
      </c>
      <c r="Q1207" s="15">
        <f>IF($C1207="","",IF($L1207="","",IF(AND($K1207=1,$L1207&lt;$J1207,COUNTIFS(nrES_PID,$D1207,nrES_Code,$F1207,nrES_Att,2)=0),"Yes","No")))</f>
        <v/>
      </c>
      <c r="R1207" s="15">
        <f>IF($C1207="","",IF($L1207="","",IF(AND($K1207=2,$L1207&lt;$J1207,COUNTIFS(nrES_PID,$D1207,nrES_Code,$F1207,nrES_Att,1)&gt;0),"Yes","No")))</f>
        <v/>
      </c>
      <c r="S1207" s="16" t="n"/>
      <c r="T1207" s="17">
        <f>IF($Q1207&lt;&gt;"Yes","",IF($S1207="","(enter date)",_xlfn.LET(_xlpm.dn,IFERROR(_xlfn.XLOOKUP($S1207,nrCDdate,nrCDnum),""),IF(_xlpm.dn="","(not a class day)",IFERROR(_xlfn.XLOOKUP(_xlpm.dn+cfgRetestClassDays,nrCDnum,nrCDdate),"")))))</f>
        <v/>
      </c>
      <c r="U1207" s="15">
        <f>IF($Q1207&lt;&gt;"Yes","",IF(COUNTIFS(nrES_PID,$D1207,nrES_Code,$F1207,nrES_Att,2)&gt;0,"Retested",IF(OR($T1207="",NOT(ISNUMBER($T1207))),"Pending",IF(TODAY()&gt;$T1207,"OVERDUE","Due "&amp;TEXT($T1207,"mm/dd")))))</f>
        <v/>
      </c>
      <c r="V1207" s="14" t="n"/>
      <c r="W1207" s="14" t="n"/>
    </row>
    <row r="1208">
      <c r="B1208" s="15">
        <f>IF($C1208="","",$D1208&amp;"-"&amp;$F1208&amp;"-"&amp;$K1208)</f>
        <v/>
      </c>
      <c r="C1208" s="14" t="n"/>
      <c r="D1208" s="15">
        <f>IF($C1208="","",IFERROR(INDEX(rngCadetPIDs,MATCH($C1208,rngCadetNames,0)),"?"))</f>
        <v/>
      </c>
      <c r="E1208" s="15">
        <f>IF($D1208="","",IFERROR(INDEX(nrCadetAgency,MATCH($D1208,rngCadetPIDs,0)),""))</f>
        <v/>
      </c>
      <c r="F1208" s="14" t="n"/>
      <c r="G1208" s="15">
        <f>IF($F1208="","",IFERROR(INDEX(rngEPname,MATCH($F1208,rngEPcode,0)),"?"))</f>
        <v/>
      </c>
      <c r="H1208" s="15">
        <f>IF($F1208="","",IFERROR(INDEX(rngEPtype,MATCH($F1208,rngEPcode,0)),"?"))</f>
        <v/>
      </c>
      <c r="I1208" s="15">
        <f>IF($F1208="","",IFERROR(INDEX(rngEPseq,MATCH($F1208,rngEPcode,0)),""))</f>
        <v/>
      </c>
      <c r="J1208" s="15">
        <f>IF($F1208="","",IFERROR(INDEX(rngEPpass,MATCH($F1208,rngEPcode,0)),cfgPassingScore))</f>
        <v/>
      </c>
      <c r="K1208" s="14" t="n"/>
      <c r="L1208" s="14" t="n"/>
      <c r="M1208" s="15">
        <f>IF($C1208="","",IF($L1208="","",IF($K1208=1,IF(COUNTIFS(nrES_PID,$D1208,nrES_Code,$F1208,nrES_Att,2)&gt;0,"",$L1208),IF(COUNTIFS(nrES_PID,$D1208,nrES_Code,$F1208,nrES_Att,1)=0,$L1208,IF($L1208&gt;=$J1208,cfgRetakeRecordedCap,SUMIFS(nrES_Raw,nrES_PID,$D1208,nrES_Code,$F1208,nrES_Att,1))))))</f>
        <v/>
      </c>
      <c r="N1208" s="15">
        <f>IF($C1208="","",IF($L1208="","",IF($L1208&gt;=$J1208,"Yes","No")))</f>
        <v/>
      </c>
      <c r="O1208" s="15">
        <f>IF($C1208="","",IF($M1208="","",IF($M1208&gt;=$J1208,"Yes","No")))</f>
        <v/>
      </c>
      <c r="P1208" s="15">
        <f>IF($C1208="","",IF($K1208="","",IF(COUNTIFS(nrES_PID,$D1208,nrES_Code,$F1208,nrES_Att,"&gt;"&amp;$K1208)=0,"Yes","No")))</f>
        <v/>
      </c>
      <c r="Q1208" s="15">
        <f>IF($C1208="","",IF($L1208="","",IF(AND($K1208=1,$L1208&lt;$J1208,COUNTIFS(nrES_PID,$D1208,nrES_Code,$F1208,nrES_Att,2)=0),"Yes","No")))</f>
        <v/>
      </c>
      <c r="R1208" s="15">
        <f>IF($C1208="","",IF($L1208="","",IF(AND($K1208=2,$L1208&lt;$J1208,COUNTIFS(nrES_PID,$D1208,nrES_Code,$F1208,nrES_Att,1)&gt;0),"Yes","No")))</f>
        <v/>
      </c>
      <c r="S1208" s="16" t="n"/>
      <c r="T1208" s="17">
        <f>IF($Q1208&lt;&gt;"Yes","",IF($S1208="","(enter date)",_xlfn.LET(_xlpm.dn,IFERROR(_xlfn.XLOOKUP($S1208,nrCDdate,nrCDnum),""),IF(_xlpm.dn="","(not a class day)",IFERROR(_xlfn.XLOOKUP(_xlpm.dn+cfgRetestClassDays,nrCDnum,nrCDdate),"")))))</f>
        <v/>
      </c>
      <c r="U1208" s="15">
        <f>IF($Q1208&lt;&gt;"Yes","",IF(COUNTIFS(nrES_PID,$D1208,nrES_Code,$F1208,nrES_Att,2)&gt;0,"Retested",IF(OR($T1208="",NOT(ISNUMBER($T1208))),"Pending",IF(TODAY()&gt;$T1208,"OVERDUE","Due "&amp;TEXT($T1208,"mm/dd")))))</f>
        <v/>
      </c>
      <c r="V1208" s="14" t="n"/>
      <c r="W1208" s="14" t="n"/>
    </row>
    <row r="1209">
      <c r="B1209" s="15">
        <f>IF($C1209="","",$D1209&amp;"-"&amp;$F1209&amp;"-"&amp;$K1209)</f>
        <v/>
      </c>
      <c r="C1209" s="14" t="n"/>
      <c r="D1209" s="15">
        <f>IF($C1209="","",IFERROR(INDEX(rngCadetPIDs,MATCH($C1209,rngCadetNames,0)),"?"))</f>
        <v/>
      </c>
      <c r="E1209" s="15">
        <f>IF($D1209="","",IFERROR(INDEX(nrCadetAgency,MATCH($D1209,rngCadetPIDs,0)),""))</f>
        <v/>
      </c>
      <c r="F1209" s="14" t="n"/>
      <c r="G1209" s="15">
        <f>IF($F1209="","",IFERROR(INDEX(rngEPname,MATCH($F1209,rngEPcode,0)),"?"))</f>
        <v/>
      </c>
      <c r="H1209" s="15">
        <f>IF($F1209="","",IFERROR(INDEX(rngEPtype,MATCH($F1209,rngEPcode,0)),"?"))</f>
        <v/>
      </c>
      <c r="I1209" s="15">
        <f>IF($F1209="","",IFERROR(INDEX(rngEPseq,MATCH($F1209,rngEPcode,0)),""))</f>
        <v/>
      </c>
      <c r="J1209" s="15">
        <f>IF($F1209="","",IFERROR(INDEX(rngEPpass,MATCH($F1209,rngEPcode,0)),cfgPassingScore))</f>
        <v/>
      </c>
      <c r="K1209" s="14" t="n"/>
      <c r="L1209" s="14" t="n"/>
      <c r="M1209" s="15">
        <f>IF($C1209="","",IF($L1209="","",IF($K1209=1,IF(COUNTIFS(nrES_PID,$D1209,nrES_Code,$F1209,nrES_Att,2)&gt;0,"",$L1209),IF(COUNTIFS(nrES_PID,$D1209,nrES_Code,$F1209,nrES_Att,1)=0,$L1209,IF($L1209&gt;=$J1209,cfgRetakeRecordedCap,SUMIFS(nrES_Raw,nrES_PID,$D1209,nrES_Code,$F1209,nrES_Att,1))))))</f>
        <v/>
      </c>
      <c r="N1209" s="15">
        <f>IF($C1209="","",IF($L1209="","",IF($L1209&gt;=$J1209,"Yes","No")))</f>
        <v/>
      </c>
      <c r="O1209" s="15">
        <f>IF($C1209="","",IF($M1209="","",IF($M1209&gt;=$J1209,"Yes","No")))</f>
        <v/>
      </c>
      <c r="P1209" s="15">
        <f>IF($C1209="","",IF($K1209="","",IF(COUNTIFS(nrES_PID,$D1209,nrES_Code,$F1209,nrES_Att,"&gt;"&amp;$K1209)=0,"Yes","No")))</f>
        <v/>
      </c>
      <c r="Q1209" s="15">
        <f>IF($C1209="","",IF($L1209="","",IF(AND($K1209=1,$L1209&lt;$J1209,COUNTIFS(nrES_PID,$D1209,nrES_Code,$F1209,nrES_Att,2)=0),"Yes","No")))</f>
        <v/>
      </c>
      <c r="R1209" s="15">
        <f>IF($C1209="","",IF($L1209="","",IF(AND($K1209=2,$L1209&lt;$J1209,COUNTIFS(nrES_PID,$D1209,nrES_Code,$F1209,nrES_Att,1)&gt;0),"Yes","No")))</f>
        <v/>
      </c>
      <c r="S1209" s="16" t="n"/>
      <c r="T1209" s="17">
        <f>IF($Q1209&lt;&gt;"Yes","",IF($S1209="","(enter date)",_xlfn.LET(_xlpm.dn,IFERROR(_xlfn.XLOOKUP($S1209,nrCDdate,nrCDnum),""),IF(_xlpm.dn="","(not a class day)",IFERROR(_xlfn.XLOOKUP(_xlpm.dn+cfgRetestClassDays,nrCDnum,nrCDdate),"")))))</f>
        <v/>
      </c>
      <c r="U1209" s="15">
        <f>IF($Q1209&lt;&gt;"Yes","",IF(COUNTIFS(nrES_PID,$D1209,nrES_Code,$F1209,nrES_Att,2)&gt;0,"Retested",IF(OR($T1209="",NOT(ISNUMBER($T1209))),"Pending",IF(TODAY()&gt;$T1209,"OVERDUE","Due "&amp;TEXT($T1209,"mm/dd")))))</f>
        <v/>
      </c>
      <c r="V1209" s="14" t="n"/>
      <c r="W1209" s="14" t="n"/>
    </row>
    <row r="1210">
      <c r="B1210" s="15">
        <f>IF($C1210="","",$D1210&amp;"-"&amp;$F1210&amp;"-"&amp;$K1210)</f>
        <v/>
      </c>
      <c r="C1210" s="14" t="n"/>
      <c r="D1210" s="15">
        <f>IF($C1210="","",IFERROR(INDEX(rngCadetPIDs,MATCH($C1210,rngCadetNames,0)),"?"))</f>
        <v/>
      </c>
      <c r="E1210" s="15">
        <f>IF($D1210="","",IFERROR(INDEX(nrCadetAgency,MATCH($D1210,rngCadetPIDs,0)),""))</f>
        <v/>
      </c>
      <c r="F1210" s="14" t="n"/>
      <c r="G1210" s="15">
        <f>IF($F1210="","",IFERROR(INDEX(rngEPname,MATCH($F1210,rngEPcode,0)),"?"))</f>
        <v/>
      </c>
      <c r="H1210" s="15">
        <f>IF($F1210="","",IFERROR(INDEX(rngEPtype,MATCH($F1210,rngEPcode,0)),"?"))</f>
        <v/>
      </c>
      <c r="I1210" s="15">
        <f>IF($F1210="","",IFERROR(INDEX(rngEPseq,MATCH($F1210,rngEPcode,0)),""))</f>
        <v/>
      </c>
      <c r="J1210" s="15">
        <f>IF($F1210="","",IFERROR(INDEX(rngEPpass,MATCH($F1210,rngEPcode,0)),cfgPassingScore))</f>
        <v/>
      </c>
      <c r="K1210" s="14" t="n"/>
      <c r="L1210" s="14" t="n"/>
      <c r="M1210" s="15">
        <f>IF($C1210="","",IF($L1210="","",IF($K1210=1,IF(COUNTIFS(nrES_PID,$D1210,nrES_Code,$F1210,nrES_Att,2)&gt;0,"",$L1210),IF(COUNTIFS(nrES_PID,$D1210,nrES_Code,$F1210,nrES_Att,1)=0,$L1210,IF($L1210&gt;=$J1210,cfgRetakeRecordedCap,SUMIFS(nrES_Raw,nrES_PID,$D1210,nrES_Code,$F1210,nrES_Att,1))))))</f>
        <v/>
      </c>
      <c r="N1210" s="15">
        <f>IF($C1210="","",IF($L1210="","",IF($L1210&gt;=$J1210,"Yes","No")))</f>
        <v/>
      </c>
      <c r="O1210" s="15">
        <f>IF($C1210="","",IF($M1210="","",IF($M1210&gt;=$J1210,"Yes","No")))</f>
        <v/>
      </c>
      <c r="P1210" s="15">
        <f>IF($C1210="","",IF($K1210="","",IF(COUNTIFS(nrES_PID,$D1210,nrES_Code,$F1210,nrES_Att,"&gt;"&amp;$K1210)=0,"Yes","No")))</f>
        <v/>
      </c>
      <c r="Q1210" s="15">
        <f>IF($C1210="","",IF($L1210="","",IF(AND($K1210=1,$L1210&lt;$J1210,COUNTIFS(nrES_PID,$D1210,nrES_Code,$F1210,nrES_Att,2)=0),"Yes","No")))</f>
        <v/>
      </c>
      <c r="R1210" s="15">
        <f>IF($C1210="","",IF($L1210="","",IF(AND($K1210=2,$L1210&lt;$J1210,COUNTIFS(nrES_PID,$D1210,nrES_Code,$F1210,nrES_Att,1)&gt;0),"Yes","No")))</f>
        <v/>
      </c>
      <c r="S1210" s="16" t="n"/>
      <c r="T1210" s="17">
        <f>IF($Q1210&lt;&gt;"Yes","",IF($S1210="","(enter date)",_xlfn.LET(_xlpm.dn,IFERROR(_xlfn.XLOOKUP($S1210,nrCDdate,nrCDnum),""),IF(_xlpm.dn="","(not a class day)",IFERROR(_xlfn.XLOOKUP(_xlpm.dn+cfgRetestClassDays,nrCDnum,nrCDdate),"")))))</f>
        <v/>
      </c>
      <c r="U1210" s="15">
        <f>IF($Q1210&lt;&gt;"Yes","",IF(COUNTIFS(nrES_PID,$D1210,nrES_Code,$F1210,nrES_Att,2)&gt;0,"Retested",IF(OR($T1210="",NOT(ISNUMBER($T1210))),"Pending",IF(TODAY()&gt;$T1210,"OVERDUE","Due "&amp;TEXT($T1210,"mm/dd")))))</f>
        <v/>
      </c>
      <c r="V1210" s="14" t="n"/>
      <c r="W1210" s="14" t="n"/>
    </row>
    <row r="1211">
      <c r="B1211" s="15">
        <f>IF($C1211="","",$D1211&amp;"-"&amp;$F1211&amp;"-"&amp;$K1211)</f>
        <v/>
      </c>
      <c r="C1211" s="14" t="n"/>
      <c r="D1211" s="15">
        <f>IF($C1211="","",IFERROR(INDEX(rngCadetPIDs,MATCH($C1211,rngCadetNames,0)),"?"))</f>
        <v/>
      </c>
      <c r="E1211" s="15">
        <f>IF($D1211="","",IFERROR(INDEX(nrCadetAgency,MATCH($D1211,rngCadetPIDs,0)),""))</f>
        <v/>
      </c>
      <c r="F1211" s="14" t="n"/>
      <c r="G1211" s="15">
        <f>IF($F1211="","",IFERROR(INDEX(rngEPname,MATCH($F1211,rngEPcode,0)),"?"))</f>
        <v/>
      </c>
      <c r="H1211" s="15">
        <f>IF($F1211="","",IFERROR(INDEX(rngEPtype,MATCH($F1211,rngEPcode,0)),"?"))</f>
        <v/>
      </c>
      <c r="I1211" s="15">
        <f>IF($F1211="","",IFERROR(INDEX(rngEPseq,MATCH($F1211,rngEPcode,0)),""))</f>
        <v/>
      </c>
      <c r="J1211" s="15">
        <f>IF($F1211="","",IFERROR(INDEX(rngEPpass,MATCH($F1211,rngEPcode,0)),cfgPassingScore))</f>
        <v/>
      </c>
      <c r="K1211" s="14" t="n"/>
      <c r="L1211" s="14" t="n"/>
      <c r="M1211" s="15">
        <f>IF($C1211="","",IF($L1211="","",IF($K1211=1,IF(COUNTIFS(nrES_PID,$D1211,nrES_Code,$F1211,nrES_Att,2)&gt;0,"",$L1211),IF(COUNTIFS(nrES_PID,$D1211,nrES_Code,$F1211,nrES_Att,1)=0,$L1211,IF($L1211&gt;=$J1211,cfgRetakeRecordedCap,SUMIFS(nrES_Raw,nrES_PID,$D1211,nrES_Code,$F1211,nrES_Att,1))))))</f>
        <v/>
      </c>
      <c r="N1211" s="15">
        <f>IF($C1211="","",IF($L1211="","",IF($L1211&gt;=$J1211,"Yes","No")))</f>
        <v/>
      </c>
      <c r="O1211" s="15">
        <f>IF($C1211="","",IF($M1211="","",IF($M1211&gt;=$J1211,"Yes","No")))</f>
        <v/>
      </c>
      <c r="P1211" s="15">
        <f>IF($C1211="","",IF($K1211="","",IF(COUNTIFS(nrES_PID,$D1211,nrES_Code,$F1211,nrES_Att,"&gt;"&amp;$K1211)=0,"Yes","No")))</f>
        <v/>
      </c>
      <c r="Q1211" s="15">
        <f>IF($C1211="","",IF($L1211="","",IF(AND($K1211=1,$L1211&lt;$J1211,COUNTIFS(nrES_PID,$D1211,nrES_Code,$F1211,nrES_Att,2)=0),"Yes","No")))</f>
        <v/>
      </c>
      <c r="R1211" s="15">
        <f>IF($C1211="","",IF($L1211="","",IF(AND($K1211=2,$L1211&lt;$J1211,COUNTIFS(nrES_PID,$D1211,nrES_Code,$F1211,nrES_Att,1)&gt;0),"Yes","No")))</f>
        <v/>
      </c>
      <c r="S1211" s="16" t="n"/>
      <c r="T1211" s="17">
        <f>IF($Q1211&lt;&gt;"Yes","",IF($S1211="","(enter date)",_xlfn.LET(_xlpm.dn,IFERROR(_xlfn.XLOOKUP($S1211,nrCDdate,nrCDnum),""),IF(_xlpm.dn="","(not a class day)",IFERROR(_xlfn.XLOOKUP(_xlpm.dn+cfgRetestClassDays,nrCDnum,nrCDdate),"")))))</f>
        <v/>
      </c>
      <c r="U1211" s="15">
        <f>IF($Q1211&lt;&gt;"Yes","",IF(COUNTIFS(nrES_PID,$D1211,nrES_Code,$F1211,nrES_Att,2)&gt;0,"Retested",IF(OR($T1211="",NOT(ISNUMBER($T1211))),"Pending",IF(TODAY()&gt;$T1211,"OVERDUE","Due "&amp;TEXT($T1211,"mm/dd")))))</f>
        <v/>
      </c>
      <c r="V1211" s="14" t="n"/>
      <c r="W1211" s="14" t="n"/>
    </row>
    <row r="1212">
      <c r="B1212" s="15">
        <f>IF($C1212="","",$D1212&amp;"-"&amp;$F1212&amp;"-"&amp;$K1212)</f>
        <v/>
      </c>
      <c r="C1212" s="14" t="n"/>
      <c r="D1212" s="15">
        <f>IF($C1212="","",IFERROR(INDEX(rngCadetPIDs,MATCH($C1212,rngCadetNames,0)),"?"))</f>
        <v/>
      </c>
      <c r="E1212" s="15">
        <f>IF($D1212="","",IFERROR(INDEX(nrCadetAgency,MATCH($D1212,rngCadetPIDs,0)),""))</f>
        <v/>
      </c>
      <c r="F1212" s="14" t="n"/>
      <c r="G1212" s="15">
        <f>IF($F1212="","",IFERROR(INDEX(rngEPname,MATCH($F1212,rngEPcode,0)),"?"))</f>
        <v/>
      </c>
      <c r="H1212" s="15">
        <f>IF($F1212="","",IFERROR(INDEX(rngEPtype,MATCH($F1212,rngEPcode,0)),"?"))</f>
        <v/>
      </c>
      <c r="I1212" s="15">
        <f>IF($F1212="","",IFERROR(INDEX(rngEPseq,MATCH($F1212,rngEPcode,0)),""))</f>
        <v/>
      </c>
      <c r="J1212" s="15">
        <f>IF($F1212="","",IFERROR(INDEX(rngEPpass,MATCH($F1212,rngEPcode,0)),cfgPassingScore))</f>
        <v/>
      </c>
      <c r="K1212" s="14" t="n"/>
      <c r="L1212" s="14" t="n"/>
      <c r="M1212" s="15">
        <f>IF($C1212="","",IF($L1212="","",IF($K1212=1,IF(COUNTIFS(nrES_PID,$D1212,nrES_Code,$F1212,nrES_Att,2)&gt;0,"",$L1212),IF(COUNTIFS(nrES_PID,$D1212,nrES_Code,$F1212,nrES_Att,1)=0,$L1212,IF($L1212&gt;=$J1212,cfgRetakeRecordedCap,SUMIFS(nrES_Raw,nrES_PID,$D1212,nrES_Code,$F1212,nrES_Att,1))))))</f>
        <v/>
      </c>
      <c r="N1212" s="15">
        <f>IF($C1212="","",IF($L1212="","",IF($L1212&gt;=$J1212,"Yes","No")))</f>
        <v/>
      </c>
      <c r="O1212" s="15">
        <f>IF($C1212="","",IF($M1212="","",IF($M1212&gt;=$J1212,"Yes","No")))</f>
        <v/>
      </c>
      <c r="P1212" s="15">
        <f>IF($C1212="","",IF($K1212="","",IF(COUNTIFS(nrES_PID,$D1212,nrES_Code,$F1212,nrES_Att,"&gt;"&amp;$K1212)=0,"Yes","No")))</f>
        <v/>
      </c>
      <c r="Q1212" s="15">
        <f>IF($C1212="","",IF($L1212="","",IF(AND($K1212=1,$L1212&lt;$J1212,COUNTIFS(nrES_PID,$D1212,nrES_Code,$F1212,nrES_Att,2)=0),"Yes","No")))</f>
        <v/>
      </c>
      <c r="R1212" s="15">
        <f>IF($C1212="","",IF($L1212="","",IF(AND($K1212=2,$L1212&lt;$J1212,COUNTIFS(nrES_PID,$D1212,nrES_Code,$F1212,nrES_Att,1)&gt;0),"Yes","No")))</f>
        <v/>
      </c>
      <c r="S1212" s="16" t="n"/>
      <c r="T1212" s="17">
        <f>IF($Q1212&lt;&gt;"Yes","",IF($S1212="","(enter date)",_xlfn.LET(_xlpm.dn,IFERROR(_xlfn.XLOOKUP($S1212,nrCDdate,nrCDnum),""),IF(_xlpm.dn="","(not a class day)",IFERROR(_xlfn.XLOOKUP(_xlpm.dn+cfgRetestClassDays,nrCDnum,nrCDdate),"")))))</f>
        <v/>
      </c>
      <c r="U1212" s="15">
        <f>IF($Q1212&lt;&gt;"Yes","",IF(COUNTIFS(nrES_PID,$D1212,nrES_Code,$F1212,nrES_Att,2)&gt;0,"Retested",IF(OR($T1212="",NOT(ISNUMBER($T1212))),"Pending",IF(TODAY()&gt;$T1212,"OVERDUE","Due "&amp;TEXT($T1212,"mm/dd")))))</f>
        <v/>
      </c>
      <c r="V1212" s="14" t="n"/>
      <c r="W1212" s="14" t="n"/>
    </row>
    <row r="1213">
      <c r="B1213" s="15">
        <f>IF($C1213="","",$D1213&amp;"-"&amp;$F1213&amp;"-"&amp;$K1213)</f>
        <v/>
      </c>
      <c r="C1213" s="14" t="n"/>
      <c r="D1213" s="15">
        <f>IF($C1213="","",IFERROR(INDEX(rngCadetPIDs,MATCH($C1213,rngCadetNames,0)),"?"))</f>
        <v/>
      </c>
      <c r="E1213" s="15">
        <f>IF($D1213="","",IFERROR(INDEX(nrCadetAgency,MATCH($D1213,rngCadetPIDs,0)),""))</f>
        <v/>
      </c>
      <c r="F1213" s="14" t="n"/>
      <c r="G1213" s="15">
        <f>IF($F1213="","",IFERROR(INDEX(rngEPname,MATCH($F1213,rngEPcode,0)),"?"))</f>
        <v/>
      </c>
      <c r="H1213" s="15">
        <f>IF($F1213="","",IFERROR(INDEX(rngEPtype,MATCH($F1213,rngEPcode,0)),"?"))</f>
        <v/>
      </c>
      <c r="I1213" s="15">
        <f>IF($F1213="","",IFERROR(INDEX(rngEPseq,MATCH($F1213,rngEPcode,0)),""))</f>
        <v/>
      </c>
      <c r="J1213" s="15">
        <f>IF($F1213="","",IFERROR(INDEX(rngEPpass,MATCH($F1213,rngEPcode,0)),cfgPassingScore))</f>
        <v/>
      </c>
      <c r="K1213" s="14" t="n"/>
      <c r="L1213" s="14" t="n"/>
      <c r="M1213" s="15">
        <f>IF($C1213="","",IF($L1213="","",IF($K1213=1,IF(COUNTIFS(nrES_PID,$D1213,nrES_Code,$F1213,nrES_Att,2)&gt;0,"",$L1213),IF(COUNTIFS(nrES_PID,$D1213,nrES_Code,$F1213,nrES_Att,1)=0,$L1213,IF($L1213&gt;=$J1213,cfgRetakeRecordedCap,SUMIFS(nrES_Raw,nrES_PID,$D1213,nrES_Code,$F1213,nrES_Att,1))))))</f>
        <v/>
      </c>
      <c r="N1213" s="15">
        <f>IF($C1213="","",IF($L1213="","",IF($L1213&gt;=$J1213,"Yes","No")))</f>
        <v/>
      </c>
      <c r="O1213" s="15">
        <f>IF($C1213="","",IF($M1213="","",IF($M1213&gt;=$J1213,"Yes","No")))</f>
        <v/>
      </c>
      <c r="P1213" s="15">
        <f>IF($C1213="","",IF($K1213="","",IF(COUNTIFS(nrES_PID,$D1213,nrES_Code,$F1213,nrES_Att,"&gt;"&amp;$K1213)=0,"Yes","No")))</f>
        <v/>
      </c>
      <c r="Q1213" s="15">
        <f>IF($C1213="","",IF($L1213="","",IF(AND($K1213=1,$L1213&lt;$J1213,COUNTIFS(nrES_PID,$D1213,nrES_Code,$F1213,nrES_Att,2)=0),"Yes","No")))</f>
        <v/>
      </c>
      <c r="R1213" s="15">
        <f>IF($C1213="","",IF($L1213="","",IF(AND($K1213=2,$L1213&lt;$J1213,COUNTIFS(nrES_PID,$D1213,nrES_Code,$F1213,nrES_Att,1)&gt;0),"Yes","No")))</f>
        <v/>
      </c>
      <c r="S1213" s="16" t="n"/>
      <c r="T1213" s="17">
        <f>IF($Q1213&lt;&gt;"Yes","",IF($S1213="","(enter date)",_xlfn.LET(_xlpm.dn,IFERROR(_xlfn.XLOOKUP($S1213,nrCDdate,nrCDnum),""),IF(_xlpm.dn="","(not a class day)",IFERROR(_xlfn.XLOOKUP(_xlpm.dn+cfgRetestClassDays,nrCDnum,nrCDdate),"")))))</f>
        <v/>
      </c>
      <c r="U1213" s="15">
        <f>IF($Q1213&lt;&gt;"Yes","",IF(COUNTIFS(nrES_PID,$D1213,nrES_Code,$F1213,nrES_Att,2)&gt;0,"Retested",IF(OR($T1213="",NOT(ISNUMBER($T1213))),"Pending",IF(TODAY()&gt;$T1213,"OVERDUE","Due "&amp;TEXT($T1213,"mm/dd")))))</f>
        <v/>
      </c>
      <c r="V1213" s="14" t="n"/>
      <c r="W1213" s="14" t="n"/>
    </row>
    <row r="1214">
      <c r="B1214" s="15">
        <f>IF($C1214="","",$D1214&amp;"-"&amp;$F1214&amp;"-"&amp;$K1214)</f>
        <v/>
      </c>
      <c r="C1214" s="14" t="n"/>
      <c r="D1214" s="15">
        <f>IF($C1214="","",IFERROR(INDEX(rngCadetPIDs,MATCH($C1214,rngCadetNames,0)),"?"))</f>
        <v/>
      </c>
      <c r="E1214" s="15">
        <f>IF($D1214="","",IFERROR(INDEX(nrCadetAgency,MATCH($D1214,rngCadetPIDs,0)),""))</f>
        <v/>
      </c>
      <c r="F1214" s="14" t="n"/>
      <c r="G1214" s="15">
        <f>IF($F1214="","",IFERROR(INDEX(rngEPname,MATCH($F1214,rngEPcode,0)),"?"))</f>
        <v/>
      </c>
      <c r="H1214" s="15">
        <f>IF($F1214="","",IFERROR(INDEX(rngEPtype,MATCH($F1214,rngEPcode,0)),"?"))</f>
        <v/>
      </c>
      <c r="I1214" s="15">
        <f>IF($F1214="","",IFERROR(INDEX(rngEPseq,MATCH($F1214,rngEPcode,0)),""))</f>
        <v/>
      </c>
      <c r="J1214" s="15">
        <f>IF($F1214="","",IFERROR(INDEX(rngEPpass,MATCH($F1214,rngEPcode,0)),cfgPassingScore))</f>
        <v/>
      </c>
      <c r="K1214" s="14" t="n"/>
      <c r="L1214" s="14" t="n"/>
      <c r="M1214" s="15">
        <f>IF($C1214="","",IF($L1214="","",IF($K1214=1,IF(COUNTIFS(nrES_PID,$D1214,nrES_Code,$F1214,nrES_Att,2)&gt;0,"",$L1214),IF(COUNTIFS(nrES_PID,$D1214,nrES_Code,$F1214,nrES_Att,1)=0,$L1214,IF($L1214&gt;=$J1214,cfgRetakeRecordedCap,SUMIFS(nrES_Raw,nrES_PID,$D1214,nrES_Code,$F1214,nrES_Att,1))))))</f>
        <v/>
      </c>
      <c r="N1214" s="15">
        <f>IF($C1214="","",IF($L1214="","",IF($L1214&gt;=$J1214,"Yes","No")))</f>
        <v/>
      </c>
      <c r="O1214" s="15">
        <f>IF($C1214="","",IF($M1214="","",IF($M1214&gt;=$J1214,"Yes","No")))</f>
        <v/>
      </c>
      <c r="P1214" s="15">
        <f>IF($C1214="","",IF($K1214="","",IF(COUNTIFS(nrES_PID,$D1214,nrES_Code,$F1214,nrES_Att,"&gt;"&amp;$K1214)=0,"Yes","No")))</f>
        <v/>
      </c>
      <c r="Q1214" s="15">
        <f>IF($C1214="","",IF($L1214="","",IF(AND($K1214=1,$L1214&lt;$J1214,COUNTIFS(nrES_PID,$D1214,nrES_Code,$F1214,nrES_Att,2)=0),"Yes","No")))</f>
        <v/>
      </c>
      <c r="R1214" s="15">
        <f>IF($C1214="","",IF($L1214="","",IF(AND($K1214=2,$L1214&lt;$J1214,COUNTIFS(nrES_PID,$D1214,nrES_Code,$F1214,nrES_Att,1)&gt;0),"Yes","No")))</f>
        <v/>
      </c>
      <c r="S1214" s="16" t="n"/>
      <c r="T1214" s="17">
        <f>IF($Q1214&lt;&gt;"Yes","",IF($S1214="","(enter date)",_xlfn.LET(_xlpm.dn,IFERROR(_xlfn.XLOOKUP($S1214,nrCDdate,nrCDnum),""),IF(_xlpm.dn="","(not a class day)",IFERROR(_xlfn.XLOOKUP(_xlpm.dn+cfgRetestClassDays,nrCDnum,nrCDdate),"")))))</f>
        <v/>
      </c>
      <c r="U1214" s="15">
        <f>IF($Q1214&lt;&gt;"Yes","",IF(COUNTIFS(nrES_PID,$D1214,nrES_Code,$F1214,nrES_Att,2)&gt;0,"Retested",IF(OR($T1214="",NOT(ISNUMBER($T1214))),"Pending",IF(TODAY()&gt;$T1214,"OVERDUE","Due "&amp;TEXT($T1214,"mm/dd")))))</f>
        <v/>
      </c>
      <c r="V1214" s="14" t="n"/>
      <c r="W1214" s="14" t="n"/>
    </row>
    <row r="1215">
      <c r="B1215" s="15">
        <f>IF($C1215="","",$D1215&amp;"-"&amp;$F1215&amp;"-"&amp;$K1215)</f>
        <v/>
      </c>
      <c r="C1215" s="14" t="n"/>
      <c r="D1215" s="15">
        <f>IF($C1215="","",IFERROR(INDEX(rngCadetPIDs,MATCH($C1215,rngCadetNames,0)),"?"))</f>
        <v/>
      </c>
      <c r="E1215" s="15">
        <f>IF($D1215="","",IFERROR(INDEX(nrCadetAgency,MATCH($D1215,rngCadetPIDs,0)),""))</f>
        <v/>
      </c>
      <c r="F1215" s="14" t="n"/>
      <c r="G1215" s="15">
        <f>IF($F1215="","",IFERROR(INDEX(rngEPname,MATCH($F1215,rngEPcode,0)),"?"))</f>
        <v/>
      </c>
      <c r="H1215" s="15">
        <f>IF($F1215="","",IFERROR(INDEX(rngEPtype,MATCH($F1215,rngEPcode,0)),"?"))</f>
        <v/>
      </c>
      <c r="I1215" s="15">
        <f>IF($F1215="","",IFERROR(INDEX(rngEPseq,MATCH($F1215,rngEPcode,0)),""))</f>
        <v/>
      </c>
      <c r="J1215" s="15">
        <f>IF($F1215="","",IFERROR(INDEX(rngEPpass,MATCH($F1215,rngEPcode,0)),cfgPassingScore))</f>
        <v/>
      </c>
      <c r="K1215" s="14" t="n"/>
      <c r="L1215" s="14" t="n"/>
      <c r="M1215" s="15">
        <f>IF($C1215="","",IF($L1215="","",IF($K1215=1,IF(COUNTIFS(nrES_PID,$D1215,nrES_Code,$F1215,nrES_Att,2)&gt;0,"",$L1215),IF(COUNTIFS(nrES_PID,$D1215,nrES_Code,$F1215,nrES_Att,1)=0,$L1215,IF($L1215&gt;=$J1215,cfgRetakeRecordedCap,SUMIFS(nrES_Raw,nrES_PID,$D1215,nrES_Code,$F1215,nrES_Att,1))))))</f>
        <v/>
      </c>
      <c r="N1215" s="15">
        <f>IF($C1215="","",IF($L1215="","",IF($L1215&gt;=$J1215,"Yes","No")))</f>
        <v/>
      </c>
      <c r="O1215" s="15">
        <f>IF($C1215="","",IF($M1215="","",IF($M1215&gt;=$J1215,"Yes","No")))</f>
        <v/>
      </c>
      <c r="P1215" s="15">
        <f>IF($C1215="","",IF($K1215="","",IF(COUNTIFS(nrES_PID,$D1215,nrES_Code,$F1215,nrES_Att,"&gt;"&amp;$K1215)=0,"Yes","No")))</f>
        <v/>
      </c>
      <c r="Q1215" s="15">
        <f>IF($C1215="","",IF($L1215="","",IF(AND($K1215=1,$L1215&lt;$J1215,COUNTIFS(nrES_PID,$D1215,nrES_Code,$F1215,nrES_Att,2)=0),"Yes","No")))</f>
        <v/>
      </c>
      <c r="R1215" s="15">
        <f>IF($C1215="","",IF($L1215="","",IF(AND($K1215=2,$L1215&lt;$J1215,COUNTIFS(nrES_PID,$D1215,nrES_Code,$F1215,nrES_Att,1)&gt;0),"Yes","No")))</f>
        <v/>
      </c>
      <c r="S1215" s="16" t="n"/>
      <c r="T1215" s="17">
        <f>IF($Q1215&lt;&gt;"Yes","",IF($S1215="","(enter date)",_xlfn.LET(_xlpm.dn,IFERROR(_xlfn.XLOOKUP($S1215,nrCDdate,nrCDnum),""),IF(_xlpm.dn="","(not a class day)",IFERROR(_xlfn.XLOOKUP(_xlpm.dn+cfgRetestClassDays,nrCDnum,nrCDdate),"")))))</f>
        <v/>
      </c>
      <c r="U1215" s="15">
        <f>IF($Q1215&lt;&gt;"Yes","",IF(COUNTIFS(nrES_PID,$D1215,nrES_Code,$F1215,nrES_Att,2)&gt;0,"Retested",IF(OR($T1215="",NOT(ISNUMBER($T1215))),"Pending",IF(TODAY()&gt;$T1215,"OVERDUE","Due "&amp;TEXT($T1215,"mm/dd")))))</f>
        <v/>
      </c>
      <c r="V1215" s="14" t="n"/>
      <c r="W1215" s="14" t="n"/>
    </row>
    <row r="1216">
      <c r="B1216" s="15">
        <f>IF($C1216="","",$D1216&amp;"-"&amp;$F1216&amp;"-"&amp;$K1216)</f>
        <v/>
      </c>
      <c r="C1216" s="14" t="n"/>
      <c r="D1216" s="15">
        <f>IF($C1216="","",IFERROR(INDEX(rngCadetPIDs,MATCH($C1216,rngCadetNames,0)),"?"))</f>
        <v/>
      </c>
      <c r="E1216" s="15">
        <f>IF($D1216="","",IFERROR(INDEX(nrCadetAgency,MATCH($D1216,rngCadetPIDs,0)),""))</f>
        <v/>
      </c>
      <c r="F1216" s="14" t="n"/>
      <c r="G1216" s="15">
        <f>IF($F1216="","",IFERROR(INDEX(rngEPname,MATCH($F1216,rngEPcode,0)),"?"))</f>
        <v/>
      </c>
      <c r="H1216" s="15">
        <f>IF($F1216="","",IFERROR(INDEX(rngEPtype,MATCH($F1216,rngEPcode,0)),"?"))</f>
        <v/>
      </c>
      <c r="I1216" s="15">
        <f>IF($F1216="","",IFERROR(INDEX(rngEPseq,MATCH($F1216,rngEPcode,0)),""))</f>
        <v/>
      </c>
      <c r="J1216" s="15">
        <f>IF($F1216="","",IFERROR(INDEX(rngEPpass,MATCH($F1216,rngEPcode,0)),cfgPassingScore))</f>
        <v/>
      </c>
      <c r="K1216" s="14" t="n"/>
      <c r="L1216" s="14" t="n"/>
      <c r="M1216" s="15">
        <f>IF($C1216="","",IF($L1216="","",IF($K1216=1,IF(COUNTIFS(nrES_PID,$D1216,nrES_Code,$F1216,nrES_Att,2)&gt;0,"",$L1216),IF(COUNTIFS(nrES_PID,$D1216,nrES_Code,$F1216,nrES_Att,1)=0,$L1216,IF($L1216&gt;=$J1216,cfgRetakeRecordedCap,SUMIFS(nrES_Raw,nrES_PID,$D1216,nrES_Code,$F1216,nrES_Att,1))))))</f>
        <v/>
      </c>
      <c r="N1216" s="15">
        <f>IF($C1216="","",IF($L1216="","",IF($L1216&gt;=$J1216,"Yes","No")))</f>
        <v/>
      </c>
      <c r="O1216" s="15">
        <f>IF($C1216="","",IF($M1216="","",IF($M1216&gt;=$J1216,"Yes","No")))</f>
        <v/>
      </c>
      <c r="P1216" s="15">
        <f>IF($C1216="","",IF($K1216="","",IF(COUNTIFS(nrES_PID,$D1216,nrES_Code,$F1216,nrES_Att,"&gt;"&amp;$K1216)=0,"Yes","No")))</f>
        <v/>
      </c>
      <c r="Q1216" s="15">
        <f>IF($C1216="","",IF($L1216="","",IF(AND($K1216=1,$L1216&lt;$J1216,COUNTIFS(nrES_PID,$D1216,nrES_Code,$F1216,nrES_Att,2)=0),"Yes","No")))</f>
        <v/>
      </c>
      <c r="R1216" s="15">
        <f>IF($C1216="","",IF($L1216="","",IF(AND($K1216=2,$L1216&lt;$J1216,COUNTIFS(nrES_PID,$D1216,nrES_Code,$F1216,nrES_Att,1)&gt;0),"Yes","No")))</f>
        <v/>
      </c>
      <c r="S1216" s="16" t="n"/>
      <c r="T1216" s="17">
        <f>IF($Q1216&lt;&gt;"Yes","",IF($S1216="","(enter date)",_xlfn.LET(_xlpm.dn,IFERROR(_xlfn.XLOOKUP($S1216,nrCDdate,nrCDnum),""),IF(_xlpm.dn="","(not a class day)",IFERROR(_xlfn.XLOOKUP(_xlpm.dn+cfgRetestClassDays,nrCDnum,nrCDdate),"")))))</f>
        <v/>
      </c>
      <c r="U1216" s="15">
        <f>IF($Q1216&lt;&gt;"Yes","",IF(COUNTIFS(nrES_PID,$D1216,nrES_Code,$F1216,nrES_Att,2)&gt;0,"Retested",IF(OR($T1216="",NOT(ISNUMBER($T1216))),"Pending",IF(TODAY()&gt;$T1216,"OVERDUE","Due "&amp;TEXT($T1216,"mm/dd")))))</f>
        <v/>
      </c>
      <c r="V1216" s="14" t="n"/>
      <c r="W1216" s="14" t="n"/>
    </row>
    <row r="1217">
      <c r="B1217" s="15">
        <f>IF($C1217="","",$D1217&amp;"-"&amp;$F1217&amp;"-"&amp;$K1217)</f>
        <v/>
      </c>
      <c r="C1217" s="14" t="n"/>
      <c r="D1217" s="15">
        <f>IF($C1217="","",IFERROR(INDEX(rngCadetPIDs,MATCH($C1217,rngCadetNames,0)),"?"))</f>
        <v/>
      </c>
      <c r="E1217" s="15">
        <f>IF($D1217="","",IFERROR(INDEX(nrCadetAgency,MATCH($D1217,rngCadetPIDs,0)),""))</f>
        <v/>
      </c>
      <c r="F1217" s="14" t="n"/>
      <c r="G1217" s="15">
        <f>IF($F1217="","",IFERROR(INDEX(rngEPname,MATCH($F1217,rngEPcode,0)),"?"))</f>
        <v/>
      </c>
      <c r="H1217" s="15">
        <f>IF($F1217="","",IFERROR(INDEX(rngEPtype,MATCH($F1217,rngEPcode,0)),"?"))</f>
        <v/>
      </c>
      <c r="I1217" s="15">
        <f>IF($F1217="","",IFERROR(INDEX(rngEPseq,MATCH($F1217,rngEPcode,0)),""))</f>
        <v/>
      </c>
      <c r="J1217" s="15">
        <f>IF($F1217="","",IFERROR(INDEX(rngEPpass,MATCH($F1217,rngEPcode,0)),cfgPassingScore))</f>
        <v/>
      </c>
      <c r="K1217" s="14" t="n"/>
      <c r="L1217" s="14" t="n"/>
      <c r="M1217" s="15">
        <f>IF($C1217="","",IF($L1217="","",IF($K1217=1,IF(COUNTIFS(nrES_PID,$D1217,nrES_Code,$F1217,nrES_Att,2)&gt;0,"",$L1217),IF(COUNTIFS(nrES_PID,$D1217,nrES_Code,$F1217,nrES_Att,1)=0,$L1217,IF($L1217&gt;=$J1217,cfgRetakeRecordedCap,SUMIFS(nrES_Raw,nrES_PID,$D1217,nrES_Code,$F1217,nrES_Att,1))))))</f>
        <v/>
      </c>
      <c r="N1217" s="15">
        <f>IF($C1217="","",IF($L1217="","",IF($L1217&gt;=$J1217,"Yes","No")))</f>
        <v/>
      </c>
      <c r="O1217" s="15">
        <f>IF($C1217="","",IF($M1217="","",IF($M1217&gt;=$J1217,"Yes","No")))</f>
        <v/>
      </c>
      <c r="P1217" s="15">
        <f>IF($C1217="","",IF($K1217="","",IF(COUNTIFS(nrES_PID,$D1217,nrES_Code,$F1217,nrES_Att,"&gt;"&amp;$K1217)=0,"Yes","No")))</f>
        <v/>
      </c>
      <c r="Q1217" s="15">
        <f>IF($C1217="","",IF($L1217="","",IF(AND($K1217=1,$L1217&lt;$J1217,COUNTIFS(nrES_PID,$D1217,nrES_Code,$F1217,nrES_Att,2)=0),"Yes","No")))</f>
        <v/>
      </c>
      <c r="R1217" s="15">
        <f>IF($C1217="","",IF($L1217="","",IF(AND($K1217=2,$L1217&lt;$J1217,COUNTIFS(nrES_PID,$D1217,nrES_Code,$F1217,nrES_Att,1)&gt;0),"Yes","No")))</f>
        <v/>
      </c>
      <c r="S1217" s="16" t="n"/>
      <c r="T1217" s="17">
        <f>IF($Q1217&lt;&gt;"Yes","",IF($S1217="","(enter date)",_xlfn.LET(_xlpm.dn,IFERROR(_xlfn.XLOOKUP($S1217,nrCDdate,nrCDnum),""),IF(_xlpm.dn="","(not a class day)",IFERROR(_xlfn.XLOOKUP(_xlpm.dn+cfgRetestClassDays,nrCDnum,nrCDdate),"")))))</f>
        <v/>
      </c>
      <c r="U1217" s="15">
        <f>IF($Q1217&lt;&gt;"Yes","",IF(COUNTIFS(nrES_PID,$D1217,nrES_Code,$F1217,nrES_Att,2)&gt;0,"Retested",IF(OR($T1217="",NOT(ISNUMBER($T1217))),"Pending",IF(TODAY()&gt;$T1217,"OVERDUE","Due "&amp;TEXT($T1217,"mm/dd")))))</f>
        <v/>
      </c>
      <c r="V1217" s="14" t="n"/>
      <c r="W1217" s="14" t="n"/>
    </row>
    <row r="1218">
      <c r="B1218" s="15">
        <f>IF($C1218="","",$D1218&amp;"-"&amp;$F1218&amp;"-"&amp;$K1218)</f>
        <v/>
      </c>
      <c r="C1218" s="14" t="n"/>
      <c r="D1218" s="15">
        <f>IF($C1218="","",IFERROR(INDEX(rngCadetPIDs,MATCH($C1218,rngCadetNames,0)),"?"))</f>
        <v/>
      </c>
      <c r="E1218" s="15">
        <f>IF($D1218="","",IFERROR(INDEX(nrCadetAgency,MATCH($D1218,rngCadetPIDs,0)),""))</f>
        <v/>
      </c>
      <c r="F1218" s="14" t="n"/>
      <c r="G1218" s="15">
        <f>IF($F1218="","",IFERROR(INDEX(rngEPname,MATCH($F1218,rngEPcode,0)),"?"))</f>
        <v/>
      </c>
      <c r="H1218" s="15">
        <f>IF($F1218="","",IFERROR(INDEX(rngEPtype,MATCH($F1218,rngEPcode,0)),"?"))</f>
        <v/>
      </c>
      <c r="I1218" s="15">
        <f>IF($F1218="","",IFERROR(INDEX(rngEPseq,MATCH($F1218,rngEPcode,0)),""))</f>
        <v/>
      </c>
      <c r="J1218" s="15">
        <f>IF($F1218="","",IFERROR(INDEX(rngEPpass,MATCH($F1218,rngEPcode,0)),cfgPassingScore))</f>
        <v/>
      </c>
      <c r="K1218" s="14" t="n"/>
      <c r="L1218" s="14" t="n"/>
      <c r="M1218" s="15">
        <f>IF($C1218="","",IF($L1218="","",IF($K1218=1,IF(COUNTIFS(nrES_PID,$D1218,nrES_Code,$F1218,nrES_Att,2)&gt;0,"",$L1218),IF(COUNTIFS(nrES_PID,$D1218,nrES_Code,$F1218,nrES_Att,1)=0,$L1218,IF($L1218&gt;=$J1218,cfgRetakeRecordedCap,SUMIFS(nrES_Raw,nrES_PID,$D1218,nrES_Code,$F1218,nrES_Att,1))))))</f>
        <v/>
      </c>
      <c r="N1218" s="15">
        <f>IF($C1218="","",IF($L1218="","",IF($L1218&gt;=$J1218,"Yes","No")))</f>
        <v/>
      </c>
      <c r="O1218" s="15">
        <f>IF($C1218="","",IF($M1218="","",IF($M1218&gt;=$J1218,"Yes","No")))</f>
        <v/>
      </c>
      <c r="P1218" s="15">
        <f>IF($C1218="","",IF($K1218="","",IF(COUNTIFS(nrES_PID,$D1218,nrES_Code,$F1218,nrES_Att,"&gt;"&amp;$K1218)=0,"Yes","No")))</f>
        <v/>
      </c>
      <c r="Q1218" s="15">
        <f>IF($C1218="","",IF($L1218="","",IF(AND($K1218=1,$L1218&lt;$J1218,COUNTIFS(nrES_PID,$D1218,nrES_Code,$F1218,nrES_Att,2)=0),"Yes","No")))</f>
        <v/>
      </c>
      <c r="R1218" s="15">
        <f>IF($C1218="","",IF($L1218="","",IF(AND($K1218=2,$L1218&lt;$J1218,COUNTIFS(nrES_PID,$D1218,nrES_Code,$F1218,nrES_Att,1)&gt;0),"Yes","No")))</f>
        <v/>
      </c>
      <c r="S1218" s="16" t="n"/>
      <c r="T1218" s="17">
        <f>IF($Q1218&lt;&gt;"Yes","",IF($S1218="","(enter date)",_xlfn.LET(_xlpm.dn,IFERROR(_xlfn.XLOOKUP($S1218,nrCDdate,nrCDnum),""),IF(_xlpm.dn="","(not a class day)",IFERROR(_xlfn.XLOOKUP(_xlpm.dn+cfgRetestClassDays,nrCDnum,nrCDdate),"")))))</f>
        <v/>
      </c>
      <c r="U1218" s="15">
        <f>IF($Q1218&lt;&gt;"Yes","",IF(COUNTIFS(nrES_PID,$D1218,nrES_Code,$F1218,nrES_Att,2)&gt;0,"Retested",IF(OR($T1218="",NOT(ISNUMBER($T1218))),"Pending",IF(TODAY()&gt;$T1218,"OVERDUE","Due "&amp;TEXT($T1218,"mm/dd")))))</f>
        <v/>
      </c>
      <c r="V1218" s="14" t="n"/>
      <c r="W1218" s="14" t="n"/>
    </row>
    <row r="1219">
      <c r="B1219" s="15">
        <f>IF($C1219="","",$D1219&amp;"-"&amp;$F1219&amp;"-"&amp;$K1219)</f>
        <v/>
      </c>
      <c r="C1219" s="14" t="n"/>
      <c r="D1219" s="15">
        <f>IF($C1219="","",IFERROR(INDEX(rngCadetPIDs,MATCH($C1219,rngCadetNames,0)),"?"))</f>
        <v/>
      </c>
      <c r="E1219" s="15">
        <f>IF($D1219="","",IFERROR(INDEX(nrCadetAgency,MATCH($D1219,rngCadetPIDs,0)),""))</f>
        <v/>
      </c>
      <c r="F1219" s="14" t="n"/>
      <c r="G1219" s="15">
        <f>IF($F1219="","",IFERROR(INDEX(rngEPname,MATCH($F1219,rngEPcode,0)),"?"))</f>
        <v/>
      </c>
      <c r="H1219" s="15">
        <f>IF($F1219="","",IFERROR(INDEX(rngEPtype,MATCH($F1219,rngEPcode,0)),"?"))</f>
        <v/>
      </c>
      <c r="I1219" s="15">
        <f>IF($F1219="","",IFERROR(INDEX(rngEPseq,MATCH($F1219,rngEPcode,0)),""))</f>
        <v/>
      </c>
      <c r="J1219" s="15">
        <f>IF($F1219="","",IFERROR(INDEX(rngEPpass,MATCH($F1219,rngEPcode,0)),cfgPassingScore))</f>
        <v/>
      </c>
      <c r="K1219" s="14" t="n"/>
      <c r="L1219" s="14" t="n"/>
      <c r="M1219" s="15">
        <f>IF($C1219="","",IF($L1219="","",IF($K1219=1,IF(COUNTIFS(nrES_PID,$D1219,nrES_Code,$F1219,nrES_Att,2)&gt;0,"",$L1219),IF(COUNTIFS(nrES_PID,$D1219,nrES_Code,$F1219,nrES_Att,1)=0,$L1219,IF($L1219&gt;=$J1219,cfgRetakeRecordedCap,SUMIFS(nrES_Raw,nrES_PID,$D1219,nrES_Code,$F1219,nrES_Att,1))))))</f>
        <v/>
      </c>
      <c r="N1219" s="15">
        <f>IF($C1219="","",IF($L1219="","",IF($L1219&gt;=$J1219,"Yes","No")))</f>
        <v/>
      </c>
      <c r="O1219" s="15">
        <f>IF($C1219="","",IF($M1219="","",IF($M1219&gt;=$J1219,"Yes","No")))</f>
        <v/>
      </c>
      <c r="P1219" s="15">
        <f>IF($C1219="","",IF($K1219="","",IF(COUNTIFS(nrES_PID,$D1219,nrES_Code,$F1219,nrES_Att,"&gt;"&amp;$K1219)=0,"Yes","No")))</f>
        <v/>
      </c>
      <c r="Q1219" s="15">
        <f>IF($C1219="","",IF($L1219="","",IF(AND($K1219=1,$L1219&lt;$J1219,COUNTIFS(nrES_PID,$D1219,nrES_Code,$F1219,nrES_Att,2)=0),"Yes","No")))</f>
        <v/>
      </c>
      <c r="R1219" s="15">
        <f>IF($C1219="","",IF($L1219="","",IF(AND($K1219=2,$L1219&lt;$J1219,COUNTIFS(nrES_PID,$D1219,nrES_Code,$F1219,nrES_Att,1)&gt;0),"Yes","No")))</f>
        <v/>
      </c>
      <c r="S1219" s="16" t="n"/>
      <c r="T1219" s="17">
        <f>IF($Q1219&lt;&gt;"Yes","",IF($S1219="","(enter date)",_xlfn.LET(_xlpm.dn,IFERROR(_xlfn.XLOOKUP($S1219,nrCDdate,nrCDnum),""),IF(_xlpm.dn="","(not a class day)",IFERROR(_xlfn.XLOOKUP(_xlpm.dn+cfgRetestClassDays,nrCDnum,nrCDdate),"")))))</f>
        <v/>
      </c>
      <c r="U1219" s="15">
        <f>IF($Q1219&lt;&gt;"Yes","",IF(COUNTIFS(nrES_PID,$D1219,nrES_Code,$F1219,nrES_Att,2)&gt;0,"Retested",IF(OR($T1219="",NOT(ISNUMBER($T1219))),"Pending",IF(TODAY()&gt;$T1219,"OVERDUE","Due "&amp;TEXT($T1219,"mm/dd")))))</f>
        <v/>
      </c>
      <c r="V1219" s="14" t="n"/>
      <c r="W1219" s="14" t="n"/>
    </row>
    <row r="1220">
      <c r="B1220" s="15">
        <f>IF($C1220="","",$D1220&amp;"-"&amp;$F1220&amp;"-"&amp;$K1220)</f>
        <v/>
      </c>
      <c r="C1220" s="14" t="n"/>
      <c r="D1220" s="15">
        <f>IF($C1220="","",IFERROR(INDEX(rngCadetPIDs,MATCH($C1220,rngCadetNames,0)),"?"))</f>
        <v/>
      </c>
      <c r="E1220" s="15">
        <f>IF($D1220="","",IFERROR(INDEX(nrCadetAgency,MATCH($D1220,rngCadetPIDs,0)),""))</f>
        <v/>
      </c>
      <c r="F1220" s="14" t="n"/>
      <c r="G1220" s="15">
        <f>IF($F1220="","",IFERROR(INDEX(rngEPname,MATCH($F1220,rngEPcode,0)),"?"))</f>
        <v/>
      </c>
      <c r="H1220" s="15">
        <f>IF($F1220="","",IFERROR(INDEX(rngEPtype,MATCH($F1220,rngEPcode,0)),"?"))</f>
        <v/>
      </c>
      <c r="I1220" s="15">
        <f>IF($F1220="","",IFERROR(INDEX(rngEPseq,MATCH($F1220,rngEPcode,0)),""))</f>
        <v/>
      </c>
      <c r="J1220" s="15">
        <f>IF($F1220="","",IFERROR(INDEX(rngEPpass,MATCH($F1220,rngEPcode,0)),cfgPassingScore))</f>
        <v/>
      </c>
      <c r="K1220" s="14" t="n"/>
      <c r="L1220" s="14" t="n"/>
      <c r="M1220" s="15">
        <f>IF($C1220="","",IF($L1220="","",IF($K1220=1,IF(COUNTIFS(nrES_PID,$D1220,nrES_Code,$F1220,nrES_Att,2)&gt;0,"",$L1220),IF(COUNTIFS(nrES_PID,$D1220,nrES_Code,$F1220,nrES_Att,1)=0,$L1220,IF($L1220&gt;=$J1220,cfgRetakeRecordedCap,SUMIFS(nrES_Raw,nrES_PID,$D1220,nrES_Code,$F1220,nrES_Att,1))))))</f>
        <v/>
      </c>
      <c r="N1220" s="15">
        <f>IF($C1220="","",IF($L1220="","",IF($L1220&gt;=$J1220,"Yes","No")))</f>
        <v/>
      </c>
      <c r="O1220" s="15">
        <f>IF($C1220="","",IF($M1220="","",IF($M1220&gt;=$J1220,"Yes","No")))</f>
        <v/>
      </c>
      <c r="P1220" s="15">
        <f>IF($C1220="","",IF($K1220="","",IF(COUNTIFS(nrES_PID,$D1220,nrES_Code,$F1220,nrES_Att,"&gt;"&amp;$K1220)=0,"Yes","No")))</f>
        <v/>
      </c>
      <c r="Q1220" s="15">
        <f>IF($C1220="","",IF($L1220="","",IF(AND($K1220=1,$L1220&lt;$J1220,COUNTIFS(nrES_PID,$D1220,nrES_Code,$F1220,nrES_Att,2)=0),"Yes","No")))</f>
        <v/>
      </c>
      <c r="R1220" s="15">
        <f>IF($C1220="","",IF($L1220="","",IF(AND($K1220=2,$L1220&lt;$J1220,COUNTIFS(nrES_PID,$D1220,nrES_Code,$F1220,nrES_Att,1)&gt;0),"Yes","No")))</f>
        <v/>
      </c>
      <c r="S1220" s="16" t="n"/>
      <c r="T1220" s="17">
        <f>IF($Q1220&lt;&gt;"Yes","",IF($S1220="","(enter date)",_xlfn.LET(_xlpm.dn,IFERROR(_xlfn.XLOOKUP($S1220,nrCDdate,nrCDnum),""),IF(_xlpm.dn="","(not a class day)",IFERROR(_xlfn.XLOOKUP(_xlpm.dn+cfgRetestClassDays,nrCDnum,nrCDdate),"")))))</f>
        <v/>
      </c>
      <c r="U1220" s="15">
        <f>IF($Q1220&lt;&gt;"Yes","",IF(COUNTIFS(nrES_PID,$D1220,nrES_Code,$F1220,nrES_Att,2)&gt;0,"Retested",IF(OR($T1220="",NOT(ISNUMBER($T1220))),"Pending",IF(TODAY()&gt;$T1220,"OVERDUE","Due "&amp;TEXT($T1220,"mm/dd")))))</f>
        <v/>
      </c>
      <c r="V1220" s="14" t="n"/>
      <c r="W1220" s="14" t="n"/>
    </row>
    <row r="1221">
      <c r="B1221" s="15">
        <f>IF($C1221="","",$D1221&amp;"-"&amp;$F1221&amp;"-"&amp;$K1221)</f>
        <v/>
      </c>
      <c r="C1221" s="14" t="n"/>
      <c r="D1221" s="15">
        <f>IF($C1221="","",IFERROR(INDEX(rngCadetPIDs,MATCH($C1221,rngCadetNames,0)),"?"))</f>
        <v/>
      </c>
      <c r="E1221" s="15">
        <f>IF($D1221="","",IFERROR(INDEX(nrCadetAgency,MATCH($D1221,rngCadetPIDs,0)),""))</f>
        <v/>
      </c>
      <c r="F1221" s="14" t="n"/>
      <c r="G1221" s="15">
        <f>IF($F1221="","",IFERROR(INDEX(rngEPname,MATCH($F1221,rngEPcode,0)),"?"))</f>
        <v/>
      </c>
      <c r="H1221" s="15">
        <f>IF($F1221="","",IFERROR(INDEX(rngEPtype,MATCH($F1221,rngEPcode,0)),"?"))</f>
        <v/>
      </c>
      <c r="I1221" s="15">
        <f>IF($F1221="","",IFERROR(INDEX(rngEPseq,MATCH($F1221,rngEPcode,0)),""))</f>
        <v/>
      </c>
      <c r="J1221" s="15">
        <f>IF($F1221="","",IFERROR(INDEX(rngEPpass,MATCH($F1221,rngEPcode,0)),cfgPassingScore))</f>
        <v/>
      </c>
      <c r="K1221" s="14" t="n"/>
      <c r="L1221" s="14" t="n"/>
      <c r="M1221" s="15">
        <f>IF($C1221="","",IF($L1221="","",IF($K1221=1,IF(COUNTIFS(nrES_PID,$D1221,nrES_Code,$F1221,nrES_Att,2)&gt;0,"",$L1221),IF(COUNTIFS(nrES_PID,$D1221,nrES_Code,$F1221,nrES_Att,1)=0,$L1221,IF($L1221&gt;=$J1221,cfgRetakeRecordedCap,SUMIFS(nrES_Raw,nrES_PID,$D1221,nrES_Code,$F1221,nrES_Att,1))))))</f>
        <v/>
      </c>
      <c r="N1221" s="15">
        <f>IF($C1221="","",IF($L1221="","",IF($L1221&gt;=$J1221,"Yes","No")))</f>
        <v/>
      </c>
      <c r="O1221" s="15">
        <f>IF($C1221="","",IF($M1221="","",IF($M1221&gt;=$J1221,"Yes","No")))</f>
        <v/>
      </c>
      <c r="P1221" s="15">
        <f>IF($C1221="","",IF($K1221="","",IF(COUNTIFS(nrES_PID,$D1221,nrES_Code,$F1221,nrES_Att,"&gt;"&amp;$K1221)=0,"Yes","No")))</f>
        <v/>
      </c>
      <c r="Q1221" s="15">
        <f>IF($C1221="","",IF($L1221="","",IF(AND($K1221=1,$L1221&lt;$J1221,COUNTIFS(nrES_PID,$D1221,nrES_Code,$F1221,nrES_Att,2)=0),"Yes","No")))</f>
        <v/>
      </c>
      <c r="R1221" s="15">
        <f>IF($C1221="","",IF($L1221="","",IF(AND($K1221=2,$L1221&lt;$J1221,COUNTIFS(nrES_PID,$D1221,nrES_Code,$F1221,nrES_Att,1)&gt;0),"Yes","No")))</f>
        <v/>
      </c>
      <c r="S1221" s="16" t="n"/>
      <c r="T1221" s="17">
        <f>IF($Q1221&lt;&gt;"Yes","",IF($S1221="","(enter date)",_xlfn.LET(_xlpm.dn,IFERROR(_xlfn.XLOOKUP($S1221,nrCDdate,nrCDnum),""),IF(_xlpm.dn="","(not a class day)",IFERROR(_xlfn.XLOOKUP(_xlpm.dn+cfgRetestClassDays,nrCDnum,nrCDdate),"")))))</f>
        <v/>
      </c>
      <c r="U1221" s="15">
        <f>IF($Q1221&lt;&gt;"Yes","",IF(COUNTIFS(nrES_PID,$D1221,nrES_Code,$F1221,nrES_Att,2)&gt;0,"Retested",IF(OR($T1221="",NOT(ISNUMBER($T1221))),"Pending",IF(TODAY()&gt;$T1221,"OVERDUE","Due "&amp;TEXT($T1221,"mm/dd")))))</f>
        <v/>
      </c>
      <c r="V1221" s="14" t="n"/>
      <c r="W1221" s="14" t="n"/>
    </row>
    <row r="1222">
      <c r="B1222" s="15">
        <f>IF($C1222="","",$D1222&amp;"-"&amp;$F1222&amp;"-"&amp;$K1222)</f>
        <v/>
      </c>
      <c r="C1222" s="14" t="n"/>
      <c r="D1222" s="15">
        <f>IF($C1222="","",IFERROR(INDEX(rngCadetPIDs,MATCH($C1222,rngCadetNames,0)),"?"))</f>
        <v/>
      </c>
      <c r="E1222" s="15">
        <f>IF($D1222="","",IFERROR(INDEX(nrCadetAgency,MATCH($D1222,rngCadetPIDs,0)),""))</f>
        <v/>
      </c>
      <c r="F1222" s="14" t="n"/>
      <c r="G1222" s="15">
        <f>IF($F1222="","",IFERROR(INDEX(rngEPname,MATCH($F1222,rngEPcode,0)),"?"))</f>
        <v/>
      </c>
      <c r="H1222" s="15">
        <f>IF($F1222="","",IFERROR(INDEX(rngEPtype,MATCH($F1222,rngEPcode,0)),"?"))</f>
        <v/>
      </c>
      <c r="I1222" s="15">
        <f>IF($F1222="","",IFERROR(INDEX(rngEPseq,MATCH($F1222,rngEPcode,0)),""))</f>
        <v/>
      </c>
      <c r="J1222" s="15">
        <f>IF($F1222="","",IFERROR(INDEX(rngEPpass,MATCH($F1222,rngEPcode,0)),cfgPassingScore))</f>
        <v/>
      </c>
      <c r="K1222" s="14" t="n"/>
      <c r="L1222" s="14" t="n"/>
      <c r="M1222" s="15">
        <f>IF($C1222="","",IF($L1222="","",IF($K1222=1,IF(COUNTIFS(nrES_PID,$D1222,nrES_Code,$F1222,nrES_Att,2)&gt;0,"",$L1222),IF(COUNTIFS(nrES_PID,$D1222,nrES_Code,$F1222,nrES_Att,1)=0,$L1222,IF($L1222&gt;=$J1222,cfgRetakeRecordedCap,SUMIFS(nrES_Raw,nrES_PID,$D1222,nrES_Code,$F1222,nrES_Att,1))))))</f>
        <v/>
      </c>
      <c r="N1222" s="15">
        <f>IF($C1222="","",IF($L1222="","",IF($L1222&gt;=$J1222,"Yes","No")))</f>
        <v/>
      </c>
      <c r="O1222" s="15">
        <f>IF($C1222="","",IF($M1222="","",IF($M1222&gt;=$J1222,"Yes","No")))</f>
        <v/>
      </c>
      <c r="P1222" s="15">
        <f>IF($C1222="","",IF($K1222="","",IF(COUNTIFS(nrES_PID,$D1222,nrES_Code,$F1222,nrES_Att,"&gt;"&amp;$K1222)=0,"Yes","No")))</f>
        <v/>
      </c>
      <c r="Q1222" s="15">
        <f>IF($C1222="","",IF($L1222="","",IF(AND($K1222=1,$L1222&lt;$J1222,COUNTIFS(nrES_PID,$D1222,nrES_Code,$F1222,nrES_Att,2)=0),"Yes","No")))</f>
        <v/>
      </c>
      <c r="R1222" s="15">
        <f>IF($C1222="","",IF($L1222="","",IF(AND($K1222=2,$L1222&lt;$J1222,COUNTIFS(nrES_PID,$D1222,nrES_Code,$F1222,nrES_Att,1)&gt;0),"Yes","No")))</f>
        <v/>
      </c>
      <c r="S1222" s="16" t="n"/>
      <c r="T1222" s="17">
        <f>IF($Q1222&lt;&gt;"Yes","",IF($S1222="","(enter date)",_xlfn.LET(_xlpm.dn,IFERROR(_xlfn.XLOOKUP($S1222,nrCDdate,nrCDnum),""),IF(_xlpm.dn="","(not a class day)",IFERROR(_xlfn.XLOOKUP(_xlpm.dn+cfgRetestClassDays,nrCDnum,nrCDdate),"")))))</f>
        <v/>
      </c>
      <c r="U1222" s="15">
        <f>IF($Q1222&lt;&gt;"Yes","",IF(COUNTIFS(nrES_PID,$D1222,nrES_Code,$F1222,nrES_Att,2)&gt;0,"Retested",IF(OR($T1222="",NOT(ISNUMBER($T1222))),"Pending",IF(TODAY()&gt;$T1222,"OVERDUE","Due "&amp;TEXT($T1222,"mm/dd")))))</f>
        <v/>
      </c>
      <c r="V1222" s="14" t="n"/>
      <c r="W1222" s="14" t="n"/>
    </row>
    <row r="1223">
      <c r="B1223" s="15">
        <f>IF($C1223="","",$D1223&amp;"-"&amp;$F1223&amp;"-"&amp;$K1223)</f>
        <v/>
      </c>
      <c r="C1223" s="14" t="n"/>
      <c r="D1223" s="15">
        <f>IF($C1223="","",IFERROR(INDEX(rngCadetPIDs,MATCH($C1223,rngCadetNames,0)),"?"))</f>
        <v/>
      </c>
      <c r="E1223" s="15">
        <f>IF($D1223="","",IFERROR(INDEX(nrCadetAgency,MATCH($D1223,rngCadetPIDs,0)),""))</f>
        <v/>
      </c>
      <c r="F1223" s="14" t="n"/>
      <c r="G1223" s="15">
        <f>IF($F1223="","",IFERROR(INDEX(rngEPname,MATCH($F1223,rngEPcode,0)),"?"))</f>
        <v/>
      </c>
      <c r="H1223" s="15">
        <f>IF($F1223="","",IFERROR(INDEX(rngEPtype,MATCH($F1223,rngEPcode,0)),"?"))</f>
        <v/>
      </c>
      <c r="I1223" s="15">
        <f>IF($F1223="","",IFERROR(INDEX(rngEPseq,MATCH($F1223,rngEPcode,0)),""))</f>
        <v/>
      </c>
      <c r="J1223" s="15">
        <f>IF($F1223="","",IFERROR(INDEX(rngEPpass,MATCH($F1223,rngEPcode,0)),cfgPassingScore))</f>
        <v/>
      </c>
      <c r="K1223" s="14" t="n"/>
      <c r="L1223" s="14" t="n"/>
      <c r="M1223" s="15">
        <f>IF($C1223="","",IF($L1223="","",IF($K1223=1,IF(COUNTIFS(nrES_PID,$D1223,nrES_Code,$F1223,nrES_Att,2)&gt;0,"",$L1223),IF(COUNTIFS(nrES_PID,$D1223,nrES_Code,$F1223,nrES_Att,1)=0,$L1223,IF($L1223&gt;=$J1223,cfgRetakeRecordedCap,SUMIFS(nrES_Raw,nrES_PID,$D1223,nrES_Code,$F1223,nrES_Att,1))))))</f>
        <v/>
      </c>
      <c r="N1223" s="15">
        <f>IF($C1223="","",IF($L1223="","",IF($L1223&gt;=$J1223,"Yes","No")))</f>
        <v/>
      </c>
      <c r="O1223" s="15">
        <f>IF($C1223="","",IF($M1223="","",IF($M1223&gt;=$J1223,"Yes","No")))</f>
        <v/>
      </c>
      <c r="P1223" s="15">
        <f>IF($C1223="","",IF($K1223="","",IF(COUNTIFS(nrES_PID,$D1223,nrES_Code,$F1223,nrES_Att,"&gt;"&amp;$K1223)=0,"Yes","No")))</f>
        <v/>
      </c>
      <c r="Q1223" s="15">
        <f>IF($C1223="","",IF($L1223="","",IF(AND($K1223=1,$L1223&lt;$J1223,COUNTIFS(nrES_PID,$D1223,nrES_Code,$F1223,nrES_Att,2)=0),"Yes","No")))</f>
        <v/>
      </c>
      <c r="R1223" s="15">
        <f>IF($C1223="","",IF($L1223="","",IF(AND($K1223=2,$L1223&lt;$J1223,COUNTIFS(nrES_PID,$D1223,nrES_Code,$F1223,nrES_Att,1)&gt;0),"Yes","No")))</f>
        <v/>
      </c>
      <c r="S1223" s="16" t="n"/>
      <c r="T1223" s="17">
        <f>IF($Q1223&lt;&gt;"Yes","",IF($S1223="","(enter date)",_xlfn.LET(_xlpm.dn,IFERROR(_xlfn.XLOOKUP($S1223,nrCDdate,nrCDnum),""),IF(_xlpm.dn="","(not a class day)",IFERROR(_xlfn.XLOOKUP(_xlpm.dn+cfgRetestClassDays,nrCDnum,nrCDdate),"")))))</f>
        <v/>
      </c>
      <c r="U1223" s="15">
        <f>IF($Q1223&lt;&gt;"Yes","",IF(COUNTIFS(nrES_PID,$D1223,nrES_Code,$F1223,nrES_Att,2)&gt;0,"Retested",IF(OR($T1223="",NOT(ISNUMBER($T1223))),"Pending",IF(TODAY()&gt;$T1223,"OVERDUE","Due "&amp;TEXT($T1223,"mm/dd")))))</f>
        <v/>
      </c>
      <c r="V1223" s="14" t="n"/>
      <c r="W1223" s="14" t="n"/>
    </row>
    <row r="1224">
      <c r="B1224" s="15">
        <f>IF($C1224="","",$D1224&amp;"-"&amp;$F1224&amp;"-"&amp;$K1224)</f>
        <v/>
      </c>
      <c r="C1224" s="14" t="n"/>
      <c r="D1224" s="15">
        <f>IF($C1224="","",IFERROR(INDEX(rngCadetPIDs,MATCH($C1224,rngCadetNames,0)),"?"))</f>
        <v/>
      </c>
      <c r="E1224" s="15">
        <f>IF($D1224="","",IFERROR(INDEX(nrCadetAgency,MATCH($D1224,rngCadetPIDs,0)),""))</f>
        <v/>
      </c>
      <c r="F1224" s="14" t="n"/>
      <c r="G1224" s="15">
        <f>IF($F1224="","",IFERROR(INDEX(rngEPname,MATCH($F1224,rngEPcode,0)),"?"))</f>
        <v/>
      </c>
      <c r="H1224" s="15">
        <f>IF($F1224="","",IFERROR(INDEX(rngEPtype,MATCH($F1224,rngEPcode,0)),"?"))</f>
        <v/>
      </c>
      <c r="I1224" s="15">
        <f>IF($F1224="","",IFERROR(INDEX(rngEPseq,MATCH($F1224,rngEPcode,0)),""))</f>
        <v/>
      </c>
      <c r="J1224" s="15">
        <f>IF($F1224="","",IFERROR(INDEX(rngEPpass,MATCH($F1224,rngEPcode,0)),cfgPassingScore))</f>
        <v/>
      </c>
      <c r="K1224" s="14" t="n"/>
      <c r="L1224" s="14" t="n"/>
      <c r="M1224" s="15">
        <f>IF($C1224="","",IF($L1224="","",IF($K1224=1,IF(COUNTIFS(nrES_PID,$D1224,nrES_Code,$F1224,nrES_Att,2)&gt;0,"",$L1224),IF(COUNTIFS(nrES_PID,$D1224,nrES_Code,$F1224,nrES_Att,1)=0,$L1224,IF($L1224&gt;=$J1224,cfgRetakeRecordedCap,SUMIFS(nrES_Raw,nrES_PID,$D1224,nrES_Code,$F1224,nrES_Att,1))))))</f>
        <v/>
      </c>
      <c r="N1224" s="15">
        <f>IF($C1224="","",IF($L1224="","",IF($L1224&gt;=$J1224,"Yes","No")))</f>
        <v/>
      </c>
      <c r="O1224" s="15">
        <f>IF($C1224="","",IF($M1224="","",IF($M1224&gt;=$J1224,"Yes","No")))</f>
        <v/>
      </c>
      <c r="P1224" s="15">
        <f>IF($C1224="","",IF($K1224="","",IF(COUNTIFS(nrES_PID,$D1224,nrES_Code,$F1224,nrES_Att,"&gt;"&amp;$K1224)=0,"Yes","No")))</f>
        <v/>
      </c>
      <c r="Q1224" s="15">
        <f>IF($C1224="","",IF($L1224="","",IF(AND($K1224=1,$L1224&lt;$J1224,COUNTIFS(nrES_PID,$D1224,nrES_Code,$F1224,nrES_Att,2)=0),"Yes","No")))</f>
        <v/>
      </c>
      <c r="R1224" s="15">
        <f>IF($C1224="","",IF($L1224="","",IF(AND($K1224=2,$L1224&lt;$J1224,COUNTIFS(nrES_PID,$D1224,nrES_Code,$F1224,nrES_Att,1)&gt;0),"Yes","No")))</f>
        <v/>
      </c>
      <c r="S1224" s="16" t="n"/>
      <c r="T1224" s="17">
        <f>IF($Q1224&lt;&gt;"Yes","",IF($S1224="","(enter date)",_xlfn.LET(_xlpm.dn,IFERROR(_xlfn.XLOOKUP($S1224,nrCDdate,nrCDnum),""),IF(_xlpm.dn="","(not a class day)",IFERROR(_xlfn.XLOOKUP(_xlpm.dn+cfgRetestClassDays,nrCDnum,nrCDdate),"")))))</f>
        <v/>
      </c>
      <c r="U1224" s="15">
        <f>IF($Q1224&lt;&gt;"Yes","",IF(COUNTIFS(nrES_PID,$D1224,nrES_Code,$F1224,nrES_Att,2)&gt;0,"Retested",IF(OR($T1224="",NOT(ISNUMBER($T1224))),"Pending",IF(TODAY()&gt;$T1224,"OVERDUE","Due "&amp;TEXT($T1224,"mm/dd")))))</f>
        <v/>
      </c>
      <c r="V1224" s="14" t="n"/>
      <c r="W1224" s="14" t="n"/>
    </row>
    <row r="1225">
      <c r="B1225" s="15">
        <f>IF($C1225="","",$D1225&amp;"-"&amp;$F1225&amp;"-"&amp;$K1225)</f>
        <v/>
      </c>
      <c r="C1225" s="14" t="n"/>
      <c r="D1225" s="15">
        <f>IF($C1225="","",IFERROR(INDEX(rngCadetPIDs,MATCH($C1225,rngCadetNames,0)),"?"))</f>
        <v/>
      </c>
      <c r="E1225" s="15">
        <f>IF($D1225="","",IFERROR(INDEX(nrCadetAgency,MATCH($D1225,rngCadetPIDs,0)),""))</f>
        <v/>
      </c>
      <c r="F1225" s="14" t="n"/>
      <c r="G1225" s="15">
        <f>IF($F1225="","",IFERROR(INDEX(rngEPname,MATCH($F1225,rngEPcode,0)),"?"))</f>
        <v/>
      </c>
      <c r="H1225" s="15">
        <f>IF($F1225="","",IFERROR(INDEX(rngEPtype,MATCH($F1225,rngEPcode,0)),"?"))</f>
        <v/>
      </c>
      <c r="I1225" s="15">
        <f>IF($F1225="","",IFERROR(INDEX(rngEPseq,MATCH($F1225,rngEPcode,0)),""))</f>
        <v/>
      </c>
      <c r="J1225" s="15">
        <f>IF($F1225="","",IFERROR(INDEX(rngEPpass,MATCH($F1225,rngEPcode,0)),cfgPassingScore))</f>
        <v/>
      </c>
      <c r="K1225" s="14" t="n"/>
      <c r="L1225" s="14" t="n"/>
      <c r="M1225" s="15">
        <f>IF($C1225="","",IF($L1225="","",IF($K1225=1,IF(COUNTIFS(nrES_PID,$D1225,nrES_Code,$F1225,nrES_Att,2)&gt;0,"",$L1225),IF(COUNTIFS(nrES_PID,$D1225,nrES_Code,$F1225,nrES_Att,1)=0,$L1225,IF($L1225&gt;=$J1225,cfgRetakeRecordedCap,SUMIFS(nrES_Raw,nrES_PID,$D1225,nrES_Code,$F1225,nrES_Att,1))))))</f>
        <v/>
      </c>
      <c r="N1225" s="15">
        <f>IF($C1225="","",IF($L1225="","",IF($L1225&gt;=$J1225,"Yes","No")))</f>
        <v/>
      </c>
      <c r="O1225" s="15">
        <f>IF($C1225="","",IF($M1225="","",IF($M1225&gt;=$J1225,"Yes","No")))</f>
        <v/>
      </c>
      <c r="P1225" s="15">
        <f>IF($C1225="","",IF($K1225="","",IF(COUNTIFS(nrES_PID,$D1225,nrES_Code,$F1225,nrES_Att,"&gt;"&amp;$K1225)=0,"Yes","No")))</f>
        <v/>
      </c>
      <c r="Q1225" s="15">
        <f>IF($C1225="","",IF($L1225="","",IF(AND($K1225=1,$L1225&lt;$J1225,COUNTIFS(nrES_PID,$D1225,nrES_Code,$F1225,nrES_Att,2)=0),"Yes","No")))</f>
        <v/>
      </c>
      <c r="R1225" s="15">
        <f>IF($C1225="","",IF($L1225="","",IF(AND($K1225=2,$L1225&lt;$J1225,COUNTIFS(nrES_PID,$D1225,nrES_Code,$F1225,nrES_Att,1)&gt;0),"Yes","No")))</f>
        <v/>
      </c>
      <c r="S1225" s="16" t="n"/>
      <c r="T1225" s="17">
        <f>IF($Q1225&lt;&gt;"Yes","",IF($S1225="","(enter date)",_xlfn.LET(_xlpm.dn,IFERROR(_xlfn.XLOOKUP($S1225,nrCDdate,nrCDnum),""),IF(_xlpm.dn="","(not a class day)",IFERROR(_xlfn.XLOOKUP(_xlpm.dn+cfgRetestClassDays,nrCDnum,nrCDdate),"")))))</f>
        <v/>
      </c>
      <c r="U1225" s="15">
        <f>IF($Q1225&lt;&gt;"Yes","",IF(COUNTIFS(nrES_PID,$D1225,nrES_Code,$F1225,nrES_Att,2)&gt;0,"Retested",IF(OR($T1225="",NOT(ISNUMBER($T1225))),"Pending",IF(TODAY()&gt;$T1225,"OVERDUE","Due "&amp;TEXT($T1225,"mm/dd")))))</f>
        <v/>
      </c>
      <c r="V1225" s="14" t="n"/>
      <c r="W1225" s="14" t="n"/>
    </row>
    <row r="1226">
      <c r="B1226" s="15">
        <f>IF($C1226="","",$D1226&amp;"-"&amp;$F1226&amp;"-"&amp;$K1226)</f>
        <v/>
      </c>
      <c r="C1226" s="14" t="n"/>
      <c r="D1226" s="15">
        <f>IF($C1226="","",IFERROR(INDEX(rngCadetPIDs,MATCH($C1226,rngCadetNames,0)),"?"))</f>
        <v/>
      </c>
      <c r="E1226" s="15">
        <f>IF($D1226="","",IFERROR(INDEX(nrCadetAgency,MATCH($D1226,rngCadetPIDs,0)),""))</f>
        <v/>
      </c>
      <c r="F1226" s="14" t="n"/>
      <c r="G1226" s="15">
        <f>IF($F1226="","",IFERROR(INDEX(rngEPname,MATCH($F1226,rngEPcode,0)),"?"))</f>
        <v/>
      </c>
      <c r="H1226" s="15">
        <f>IF($F1226="","",IFERROR(INDEX(rngEPtype,MATCH($F1226,rngEPcode,0)),"?"))</f>
        <v/>
      </c>
      <c r="I1226" s="15">
        <f>IF($F1226="","",IFERROR(INDEX(rngEPseq,MATCH($F1226,rngEPcode,0)),""))</f>
        <v/>
      </c>
      <c r="J1226" s="15">
        <f>IF($F1226="","",IFERROR(INDEX(rngEPpass,MATCH($F1226,rngEPcode,0)),cfgPassingScore))</f>
        <v/>
      </c>
      <c r="K1226" s="14" t="n"/>
      <c r="L1226" s="14" t="n"/>
      <c r="M1226" s="15">
        <f>IF($C1226="","",IF($L1226="","",IF($K1226=1,IF(COUNTIFS(nrES_PID,$D1226,nrES_Code,$F1226,nrES_Att,2)&gt;0,"",$L1226),IF(COUNTIFS(nrES_PID,$D1226,nrES_Code,$F1226,nrES_Att,1)=0,$L1226,IF($L1226&gt;=$J1226,cfgRetakeRecordedCap,SUMIFS(nrES_Raw,nrES_PID,$D1226,nrES_Code,$F1226,nrES_Att,1))))))</f>
        <v/>
      </c>
      <c r="N1226" s="15">
        <f>IF($C1226="","",IF($L1226="","",IF($L1226&gt;=$J1226,"Yes","No")))</f>
        <v/>
      </c>
      <c r="O1226" s="15">
        <f>IF($C1226="","",IF($M1226="","",IF($M1226&gt;=$J1226,"Yes","No")))</f>
        <v/>
      </c>
      <c r="P1226" s="15">
        <f>IF($C1226="","",IF($K1226="","",IF(COUNTIFS(nrES_PID,$D1226,nrES_Code,$F1226,nrES_Att,"&gt;"&amp;$K1226)=0,"Yes","No")))</f>
        <v/>
      </c>
      <c r="Q1226" s="15">
        <f>IF($C1226="","",IF($L1226="","",IF(AND($K1226=1,$L1226&lt;$J1226,COUNTIFS(nrES_PID,$D1226,nrES_Code,$F1226,nrES_Att,2)=0),"Yes","No")))</f>
        <v/>
      </c>
      <c r="R1226" s="15">
        <f>IF($C1226="","",IF($L1226="","",IF(AND($K1226=2,$L1226&lt;$J1226,COUNTIFS(nrES_PID,$D1226,nrES_Code,$F1226,nrES_Att,1)&gt;0),"Yes","No")))</f>
        <v/>
      </c>
      <c r="S1226" s="16" t="n"/>
      <c r="T1226" s="17">
        <f>IF($Q1226&lt;&gt;"Yes","",IF($S1226="","(enter date)",_xlfn.LET(_xlpm.dn,IFERROR(_xlfn.XLOOKUP($S1226,nrCDdate,nrCDnum),""),IF(_xlpm.dn="","(not a class day)",IFERROR(_xlfn.XLOOKUP(_xlpm.dn+cfgRetestClassDays,nrCDnum,nrCDdate),"")))))</f>
        <v/>
      </c>
      <c r="U1226" s="15">
        <f>IF($Q1226&lt;&gt;"Yes","",IF(COUNTIFS(nrES_PID,$D1226,nrES_Code,$F1226,nrES_Att,2)&gt;0,"Retested",IF(OR($T1226="",NOT(ISNUMBER($T1226))),"Pending",IF(TODAY()&gt;$T1226,"OVERDUE","Due "&amp;TEXT($T1226,"mm/dd")))))</f>
        <v/>
      </c>
      <c r="V1226" s="14" t="n"/>
      <c r="W1226" s="14" t="n"/>
    </row>
    <row r="1227">
      <c r="B1227" s="15">
        <f>IF($C1227="","",$D1227&amp;"-"&amp;$F1227&amp;"-"&amp;$K1227)</f>
        <v/>
      </c>
      <c r="C1227" s="14" t="n"/>
      <c r="D1227" s="15">
        <f>IF($C1227="","",IFERROR(INDEX(rngCadetPIDs,MATCH($C1227,rngCadetNames,0)),"?"))</f>
        <v/>
      </c>
      <c r="E1227" s="15">
        <f>IF($D1227="","",IFERROR(INDEX(nrCadetAgency,MATCH($D1227,rngCadetPIDs,0)),""))</f>
        <v/>
      </c>
      <c r="F1227" s="14" t="n"/>
      <c r="G1227" s="15">
        <f>IF($F1227="","",IFERROR(INDEX(rngEPname,MATCH($F1227,rngEPcode,0)),"?"))</f>
        <v/>
      </c>
      <c r="H1227" s="15">
        <f>IF($F1227="","",IFERROR(INDEX(rngEPtype,MATCH($F1227,rngEPcode,0)),"?"))</f>
        <v/>
      </c>
      <c r="I1227" s="15">
        <f>IF($F1227="","",IFERROR(INDEX(rngEPseq,MATCH($F1227,rngEPcode,0)),""))</f>
        <v/>
      </c>
      <c r="J1227" s="15">
        <f>IF($F1227="","",IFERROR(INDEX(rngEPpass,MATCH($F1227,rngEPcode,0)),cfgPassingScore))</f>
        <v/>
      </c>
      <c r="K1227" s="14" t="n"/>
      <c r="L1227" s="14" t="n"/>
      <c r="M1227" s="15">
        <f>IF($C1227="","",IF($L1227="","",IF($K1227=1,IF(COUNTIFS(nrES_PID,$D1227,nrES_Code,$F1227,nrES_Att,2)&gt;0,"",$L1227),IF(COUNTIFS(nrES_PID,$D1227,nrES_Code,$F1227,nrES_Att,1)=0,$L1227,IF($L1227&gt;=$J1227,cfgRetakeRecordedCap,SUMIFS(nrES_Raw,nrES_PID,$D1227,nrES_Code,$F1227,nrES_Att,1))))))</f>
        <v/>
      </c>
      <c r="N1227" s="15">
        <f>IF($C1227="","",IF($L1227="","",IF($L1227&gt;=$J1227,"Yes","No")))</f>
        <v/>
      </c>
      <c r="O1227" s="15">
        <f>IF($C1227="","",IF($M1227="","",IF($M1227&gt;=$J1227,"Yes","No")))</f>
        <v/>
      </c>
      <c r="P1227" s="15">
        <f>IF($C1227="","",IF($K1227="","",IF(COUNTIFS(nrES_PID,$D1227,nrES_Code,$F1227,nrES_Att,"&gt;"&amp;$K1227)=0,"Yes","No")))</f>
        <v/>
      </c>
      <c r="Q1227" s="15">
        <f>IF($C1227="","",IF($L1227="","",IF(AND($K1227=1,$L1227&lt;$J1227,COUNTIFS(nrES_PID,$D1227,nrES_Code,$F1227,nrES_Att,2)=0),"Yes","No")))</f>
        <v/>
      </c>
      <c r="R1227" s="15">
        <f>IF($C1227="","",IF($L1227="","",IF(AND($K1227=2,$L1227&lt;$J1227,COUNTIFS(nrES_PID,$D1227,nrES_Code,$F1227,nrES_Att,1)&gt;0),"Yes","No")))</f>
        <v/>
      </c>
      <c r="S1227" s="16" t="n"/>
      <c r="T1227" s="17">
        <f>IF($Q1227&lt;&gt;"Yes","",IF($S1227="","(enter date)",_xlfn.LET(_xlpm.dn,IFERROR(_xlfn.XLOOKUP($S1227,nrCDdate,nrCDnum),""),IF(_xlpm.dn="","(not a class day)",IFERROR(_xlfn.XLOOKUP(_xlpm.dn+cfgRetestClassDays,nrCDnum,nrCDdate),"")))))</f>
        <v/>
      </c>
      <c r="U1227" s="15">
        <f>IF($Q1227&lt;&gt;"Yes","",IF(COUNTIFS(nrES_PID,$D1227,nrES_Code,$F1227,nrES_Att,2)&gt;0,"Retested",IF(OR($T1227="",NOT(ISNUMBER($T1227))),"Pending",IF(TODAY()&gt;$T1227,"OVERDUE","Due "&amp;TEXT($T1227,"mm/dd")))))</f>
        <v/>
      </c>
      <c r="V1227" s="14" t="n"/>
      <c r="W1227" s="14" t="n"/>
    </row>
    <row r="1228">
      <c r="B1228" s="15">
        <f>IF($C1228="","",$D1228&amp;"-"&amp;$F1228&amp;"-"&amp;$K1228)</f>
        <v/>
      </c>
      <c r="C1228" s="14" t="n"/>
      <c r="D1228" s="15">
        <f>IF($C1228="","",IFERROR(INDEX(rngCadetPIDs,MATCH($C1228,rngCadetNames,0)),"?"))</f>
        <v/>
      </c>
      <c r="E1228" s="15">
        <f>IF($D1228="","",IFERROR(INDEX(nrCadetAgency,MATCH($D1228,rngCadetPIDs,0)),""))</f>
        <v/>
      </c>
      <c r="F1228" s="14" t="n"/>
      <c r="G1228" s="15">
        <f>IF($F1228="","",IFERROR(INDEX(rngEPname,MATCH($F1228,rngEPcode,0)),"?"))</f>
        <v/>
      </c>
      <c r="H1228" s="15">
        <f>IF($F1228="","",IFERROR(INDEX(rngEPtype,MATCH($F1228,rngEPcode,0)),"?"))</f>
        <v/>
      </c>
      <c r="I1228" s="15">
        <f>IF($F1228="","",IFERROR(INDEX(rngEPseq,MATCH($F1228,rngEPcode,0)),""))</f>
        <v/>
      </c>
      <c r="J1228" s="15">
        <f>IF($F1228="","",IFERROR(INDEX(rngEPpass,MATCH($F1228,rngEPcode,0)),cfgPassingScore))</f>
        <v/>
      </c>
      <c r="K1228" s="14" t="n"/>
      <c r="L1228" s="14" t="n"/>
      <c r="M1228" s="15">
        <f>IF($C1228="","",IF($L1228="","",IF($K1228=1,IF(COUNTIFS(nrES_PID,$D1228,nrES_Code,$F1228,nrES_Att,2)&gt;0,"",$L1228),IF(COUNTIFS(nrES_PID,$D1228,nrES_Code,$F1228,nrES_Att,1)=0,$L1228,IF($L1228&gt;=$J1228,cfgRetakeRecordedCap,SUMIFS(nrES_Raw,nrES_PID,$D1228,nrES_Code,$F1228,nrES_Att,1))))))</f>
        <v/>
      </c>
      <c r="N1228" s="15">
        <f>IF($C1228="","",IF($L1228="","",IF($L1228&gt;=$J1228,"Yes","No")))</f>
        <v/>
      </c>
      <c r="O1228" s="15">
        <f>IF($C1228="","",IF($M1228="","",IF($M1228&gt;=$J1228,"Yes","No")))</f>
        <v/>
      </c>
      <c r="P1228" s="15">
        <f>IF($C1228="","",IF($K1228="","",IF(COUNTIFS(nrES_PID,$D1228,nrES_Code,$F1228,nrES_Att,"&gt;"&amp;$K1228)=0,"Yes","No")))</f>
        <v/>
      </c>
      <c r="Q1228" s="15">
        <f>IF($C1228="","",IF($L1228="","",IF(AND($K1228=1,$L1228&lt;$J1228,COUNTIFS(nrES_PID,$D1228,nrES_Code,$F1228,nrES_Att,2)=0),"Yes","No")))</f>
        <v/>
      </c>
      <c r="R1228" s="15">
        <f>IF($C1228="","",IF($L1228="","",IF(AND($K1228=2,$L1228&lt;$J1228,COUNTIFS(nrES_PID,$D1228,nrES_Code,$F1228,nrES_Att,1)&gt;0),"Yes","No")))</f>
        <v/>
      </c>
      <c r="S1228" s="16" t="n"/>
      <c r="T1228" s="17">
        <f>IF($Q1228&lt;&gt;"Yes","",IF($S1228="","(enter date)",_xlfn.LET(_xlpm.dn,IFERROR(_xlfn.XLOOKUP($S1228,nrCDdate,nrCDnum),""),IF(_xlpm.dn="","(not a class day)",IFERROR(_xlfn.XLOOKUP(_xlpm.dn+cfgRetestClassDays,nrCDnum,nrCDdate),"")))))</f>
        <v/>
      </c>
      <c r="U1228" s="15">
        <f>IF($Q1228&lt;&gt;"Yes","",IF(COUNTIFS(nrES_PID,$D1228,nrES_Code,$F1228,nrES_Att,2)&gt;0,"Retested",IF(OR($T1228="",NOT(ISNUMBER($T1228))),"Pending",IF(TODAY()&gt;$T1228,"OVERDUE","Due "&amp;TEXT($T1228,"mm/dd")))))</f>
        <v/>
      </c>
      <c r="V1228" s="14" t="n"/>
      <c r="W1228" s="14" t="n"/>
    </row>
    <row r="1229">
      <c r="B1229" s="15">
        <f>IF($C1229="","",$D1229&amp;"-"&amp;$F1229&amp;"-"&amp;$K1229)</f>
        <v/>
      </c>
      <c r="C1229" s="14" t="n"/>
      <c r="D1229" s="15">
        <f>IF($C1229="","",IFERROR(INDEX(rngCadetPIDs,MATCH($C1229,rngCadetNames,0)),"?"))</f>
        <v/>
      </c>
      <c r="E1229" s="15">
        <f>IF($D1229="","",IFERROR(INDEX(nrCadetAgency,MATCH($D1229,rngCadetPIDs,0)),""))</f>
        <v/>
      </c>
      <c r="F1229" s="14" t="n"/>
      <c r="G1229" s="15">
        <f>IF($F1229="","",IFERROR(INDEX(rngEPname,MATCH($F1229,rngEPcode,0)),"?"))</f>
        <v/>
      </c>
      <c r="H1229" s="15">
        <f>IF($F1229="","",IFERROR(INDEX(rngEPtype,MATCH($F1229,rngEPcode,0)),"?"))</f>
        <v/>
      </c>
      <c r="I1229" s="15">
        <f>IF($F1229="","",IFERROR(INDEX(rngEPseq,MATCH($F1229,rngEPcode,0)),""))</f>
        <v/>
      </c>
      <c r="J1229" s="15">
        <f>IF($F1229="","",IFERROR(INDEX(rngEPpass,MATCH($F1229,rngEPcode,0)),cfgPassingScore))</f>
        <v/>
      </c>
      <c r="K1229" s="14" t="n"/>
      <c r="L1229" s="14" t="n"/>
      <c r="M1229" s="15">
        <f>IF($C1229="","",IF($L1229="","",IF($K1229=1,IF(COUNTIFS(nrES_PID,$D1229,nrES_Code,$F1229,nrES_Att,2)&gt;0,"",$L1229),IF(COUNTIFS(nrES_PID,$D1229,nrES_Code,$F1229,nrES_Att,1)=0,$L1229,IF($L1229&gt;=$J1229,cfgRetakeRecordedCap,SUMIFS(nrES_Raw,nrES_PID,$D1229,nrES_Code,$F1229,nrES_Att,1))))))</f>
        <v/>
      </c>
      <c r="N1229" s="15">
        <f>IF($C1229="","",IF($L1229="","",IF($L1229&gt;=$J1229,"Yes","No")))</f>
        <v/>
      </c>
      <c r="O1229" s="15">
        <f>IF($C1229="","",IF($M1229="","",IF($M1229&gt;=$J1229,"Yes","No")))</f>
        <v/>
      </c>
      <c r="P1229" s="15">
        <f>IF($C1229="","",IF($K1229="","",IF(COUNTIFS(nrES_PID,$D1229,nrES_Code,$F1229,nrES_Att,"&gt;"&amp;$K1229)=0,"Yes","No")))</f>
        <v/>
      </c>
      <c r="Q1229" s="15">
        <f>IF($C1229="","",IF($L1229="","",IF(AND($K1229=1,$L1229&lt;$J1229,COUNTIFS(nrES_PID,$D1229,nrES_Code,$F1229,nrES_Att,2)=0),"Yes","No")))</f>
        <v/>
      </c>
      <c r="R1229" s="15">
        <f>IF($C1229="","",IF($L1229="","",IF(AND($K1229=2,$L1229&lt;$J1229,COUNTIFS(nrES_PID,$D1229,nrES_Code,$F1229,nrES_Att,1)&gt;0),"Yes","No")))</f>
        <v/>
      </c>
      <c r="S1229" s="16" t="n"/>
      <c r="T1229" s="17">
        <f>IF($Q1229&lt;&gt;"Yes","",IF($S1229="","(enter date)",_xlfn.LET(_xlpm.dn,IFERROR(_xlfn.XLOOKUP($S1229,nrCDdate,nrCDnum),""),IF(_xlpm.dn="","(not a class day)",IFERROR(_xlfn.XLOOKUP(_xlpm.dn+cfgRetestClassDays,nrCDnum,nrCDdate),"")))))</f>
        <v/>
      </c>
      <c r="U1229" s="15">
        <f>IF($Q1229&lt;&gt;"Yes","",IF(COUNTIFS(nrES_PID,$D1229,nrES_Code,$F1229,nrES_Att,2)&gt;0,"Retested",IF(OR($T1229="",NOT(ISNUMBER($T1229))),"Pending",IF(TODAY()&gt;$T1229,"OVERDUE","Due "&amp;TEXT($T1229,"mm/dd")))))</f>
        <v/>
      </c>
      <c r="V1229" s="14" t="n"/>
      <c r="W1229" s="14" t="n"/>
    </row>
    <row r="1230">
      <c r="B1230" s="15">
        <f>IF($C1230="","",$D1230&amp;"-"&amp;$F1230&amp;"-"&amp;$K1230)</f>
        <v/>
      </c>
      <c r="C1230" s="14" t="n"/>
      <c r="D1230" s="15">
        <f>IF($C1230="","",IFERROR(INDEX(rngCadetPIDs,MATCH($C1230,rngCadetNames,0)),"?"))</f>
        <v/>
      </c>
      <c r="E1230" s="15">
        <f>IF($D1230="","",IFERROR(INDEX(nrCadetAgency,MATCH($D1230,rngCadetPIDs,0)),""))</f>
        <v/>
      </c>
      <c r="F1230" s="14" t="n"/>
      <c r="G1230" s="15">
        <f>IF($F1230="","",IFERROR(INDEX(rngEPname,MATCH($F1230,rngEPcode,0)),"?"))</f>
        <v/>
      </c>
      <c r="H1230" s="15">
        <f>IF($F1230="","",IFERROR(INDEX(rngEPtype,MATCH($F1230,rngEPcode,0)),"?"))</f>
        <v/>
      </c>
      <c r="I1230" s="15">
        <f>IF($F1230="","",IFERROR(INDEX(rngEPseq,MATCH($F1230,rngEPcode,0)),""))</f>
        <v/>
      </c>
      <c r="J1230" s="15">
        <f>IF($F1230="","",IFERROR(INDEX(rngEPpass,MATCH($F1230,rngEPcode,0)),cfgPassingScore))</f>
        <v/>
      </c>
      <c r="K1230" s="14" t="n"/>
      <c r="L1230" s="14" t="n"/>
      <c r="M1230" s="15">
        <f>IF($C1230="","",IF($L1230="","",IF($K1230=1,IF(COUNTIFS(nrES_PID,$D1230,nrES_Code,$F1230,nrES_Att,2)&gt;0,"",$L1230),IF(COUNTIFS(nrES_PID,$D1230,nrES_Code,$F1230,nrES_Att,1)=0,$L1230,IF($L1230&gt;=$J1230,cfgRetakeRecordedCap,SUMIFS(nrES_Raw,nrES_PID,$D1230,nrES_Code,$F1230,nrES_Att,1))))))</f>
        <v/>
      </c>
      <c r="N1230" s="15">
        <f>IF($C1230="","",IF($L1230="","",IF($L1230&gt;=$J1230,"Yes","No")))</f>
        <v/>
      </c>
      <c r="O1230" s="15">
        <f>IF($C1230="","",IF($M1230="","",IF($M1230&gt;=$J1230,"Yes","No")))</f>
        <v/>
      </c>
      <c r="P1230" s="15">
        <f>IF($C1230="","",IF($K1230="","",IF(COUNTIFS(nrES_PID,$D1230,nrES_Code,$F1230,nrES_Att,"&gt;"&amp;$K1230)=0,"Yes","No")))</f>
        <v/>
      </c>
      <c r="Q1230" s="15">
        <f>IF($C1230="","",IF($L1230="","",IF(AND($K1230=1,$L1230&lt;$J1230,COUNTIFS(nrES_PID,$D1230,nrES_Code,$F1230,nrES_Att,2)=0),"Yes","No")))</f>
        <v/>
      </c>
      <c r="R1230" s="15">
        <f>IF($C1230="","",IF($L1230="","",IF(AND($K1230=2,$L1230&lt;$J1230,COUNTIFS(nrES_PID,$D1230,nrES_Code,$F1230,nrES_Att,1)&gt;0),"Yes","No")))</f>
        <v/>
      </c>
      <c r="S1230" s="16" t="n"/>
      <c r="T1230" s="17">
        <f>IF($Q1230&lt;&gt;"Yes","",IF($S1230="","(enter date)",_xlfn.LET(_xlpm.dn,IFERROR(_xlfn.XLOOKUP($S1230,nrCDdate,nrCDnum),""),IF(_xlpm.dn="","(not a class day)",IFERROR(_xlfn.XLOOKUP(_xlpm.dn+cfgRetestClassDays,nrCDnum,nrCDdate),"")))))</f>
        <v/>
      </c>
      <c r="U1230" s="15">
        <f>IF($Q1230&lt;&gt;"Yes","",IF(COUNTIFS(nrES_PID,$D1230,nrES_Code,$F1230,nrES_Att,2)&gt;0,"Retested",IF(OR($T1230="",NOT(ISNUMBER($T1230))),"Pending",IF(TODAY()&gt;$T1230,"OVERDUE","Due "&amp;TEXT($T1230,"mm/dd")))))</f>
        <v/>
      </c>
      <c r="V1230" s="14" t="n"/>
      <c r="W1230" s="14" t="n"/>
    </row>
    <row r="1231">
      <c r="B1231" s="15">
        <f>IF($C1231="","",$D1231&amp;"-"&amp;$F1231&amp;"-"&amp;$K1231)</f>
        <v/>
      </c>
      <c r="C1231" s="14" t="n"/>
      <c r="D1231" s="15">
        <f>IF($C1231="","",IFERROR(INDEX(rngCadetPIDs,MATCH($C1231,rngCadetNames,0)),"?"))</f>
        <v/>
      </c>
      <c r="E1231" s="15">
        <f>IF($D1231="","",IFERROR(INDEX(nrCadetAgency,MATCH($D1231,rngCadetPIDs,0)),""))</f>
        <v/>
      </c>
      <c r="F1231" s="14" t="n"/>
      <c r="G1231" s="15">
        <f>IF($F1231="","",IFERROR(INDEX(rngEPname,MATCH($F1231,rngEPcode,0)),"?"))</f>
        <v/>
      </c>
      <c r="H1231" s="15">
        <f>IF($F1231="","",IFERROR(INDEX(rngEPtype,MATCH($F1231,rngEPcode,0)),"?"))</f>
        <v/>
      </c>
      <c r="I1231" s="15">
        <f>IF($F1231="","",IFERROR(INDEX(rngEPseq,MATCH($F1231,rngEPcode,0)),""))</f>
        <v/>
      </c>
      <c r="J1231" s="15">
        <f>IF($F1231="","",IFERROR(INDEX(rngEPpass,MATCH($F1231,rngEPcode,0)),cfgPassingScore))</f>
        <v/>
      </c>
      <c r="K1231" s="14" t="n"/>
      <c r="L1231" s="14" t="n"/>
      <c r="M1231" s="15">
        <f>IF($C1231="","",IF($L1231="","",IF($K1231=1,IF(COUNTIFS(nrES_PID,$D1231,nrES_Code,$F1231,nrES_Att,2)&gt;0,"",$L1231),IF(COUNTIFS(nrES_PID,$D1231,nrES_Code,$F1231,nrES_Att,1)=0,$L1231,IF($L1231&gt;=$J1231,cfgRetakeRecordedCap,SUMIFS(nrES_Raw,nrES_PID,$D1231,nrES_Code,$F1231,nrES_Att,1))))))</f>
        <v/>
      </c>
      <c r="N1231" s="15">
        <f>IF($C1231="","",IF($L1231="","",IF($L1231&gt;=$J1231,"Yes","No")))</f>
        <v/>
      </c>
      <c r="O1231" s="15">
        <f>IF($C1231="","",IF($M1231="","",IF($M1231&gt;=$J1231,"Yes","No")))</f>
        <v/>
      </c>
      <c r="P1231" s="15">
        <f>IF($C1231="","",IF($K1231="","",IF(COUNTIFS(nrES_PID,$D1231,nrES_Code,$F1231,nrES_Att,"&gt;"&amp;$K1231)=0,"Yes","No")))</f>
        <v/>
      </c>
      <c r="Q1231" s="15">
        <f>IF($C1231="","",IF($L1231="","",IF(AND($K1231=1,$L1231&lt;$J1231,COUNTIFS(nrES_PID,$D1231,nrES_Code,$F1231,nrES_Att,2)=0),"Yes","No")))</f>
        <v/>
      </c>
      <c r="R1231" s="15">
        <f>IF($C1231="","",IF($L1231="","",IF(AND($K1231=2,$L1231&lt;$J1231,COUNTIFS(nrES_PID,$D1231,nrES_Code,$F1231,nrES_Att,1)&gt;0),"Yes","No")))</f>
        <v/>
      </c>
      <c r="S1231" s="16" t="n"/>
      <c r="T1231" s="17">
        <f>IF($Q1231&lt;&gt;"Yes","",IF($S1231="","(enter date)",_xlfn.LET(_xlpm.dn,IFERROR(_xlfn.XLOOKUP($S1231,nrCDdate,nrCDnum),""),IF(_xlpm.dn="","(not a class day)",IFERROR(_xlfn.XLOOKUP(_xlpm.dn+cfgRetestClassDays,nrCDnum,nrCDdate),"")))))</f>
        <v/>
      </c>
      <c r="U1231" s="15">
        <f>IF($Q1231&lt;&gt;"Yes","",IF(COUNTIFS(nrES_PID,$D1231,nrES_Code,$F1231,nrES_Att,2)&gt;0,"Retested",IF(OR($T1231="",NOT(ISNUMBER($T1231))),"Pending",IF(TODAY()&gt;$T1231,"OVERDUE","Due "&amp;TEXT($T1231,"mm/dd")))))</f>
        <v/>
      </c>
      <c r="V1231" s="14" t="n"/>
      <c r="W1231" s="14" t="n"/>
    </row>
    <row r="1232">
      <c r="B1232" s="15">
        <f>IF($C1232="","",$D1232&amp;"-"&amp;$F1232&amp;"-"&amp;$K1232)</f>
        <v/>
      </c>
      <c r="C1232" s="14" t="n"/>
      <c r="D1232" s="15">
        <f>IF($C1232="","",IFERROR(INDEX(rngCadetPIDs,MATCH($C1232,rngCadetNames,0)),"?"))</f>
        <v/>
      </c>
      <c r="E1232" s="15">
        <f>IF($D1232="","",IFERROR(INDEX(nrCadetAgency,MATCH($D1232,rngCadetPIDs,0)),""))</f>
        <v/>
      </c>
      <c r="F1232" s="14" t="n"/>
      <c r="G1232" s="15">
        <f>IF($F1232="","",IFERROR(INDEX(rngEPname,MATCH($F1232,rngEPcode,0)),"?"))</f>
        <v/>
      </c>
      <c r="H1232" s="15">
        <f>IF($F1232="","",IFERROR(INDEX(rngEPtype,MATCH($F1232,rngEPcode,0)),"?"))</f>
        <v/>
      </c>
      <c r="I1232" s="15">
        <f>IF($F1232="","",IFERROR(INDEX(rngEPseq,MATCH($F1232,rngEPcode,0)),""))</f>
        <v/>
      </c>
      <c r="J1232" s="15">
        <f>IF($F1232="","",IFERROR(INDEX(rngEPpass,MATCH($F1232,rngEPcode,0)),cfgPassingScore))</f>
        <v/>
      </c>
      <c r="K1232" s="14" t="n"/>
      <c r="L1232" s="14" t="n"/>
      <c r="M1232" s="15">
        <f>IF($C1232="","",IF($L1232="","",IF($K1232=1,IF(COUNTIFS(nrES_PID,$D1232,nrES_Code,$F1232,nrES_Att,2)&gt;0,"",$L1232),IF(COUNTIFS(nrES_PID,$D1232,nrES_Code,$F1232,nrES_Att,1)=0,$L1232,IF($L1232&gt;=$J1232,cfgRetakeRecordedCap,SUMIFS(nrES_Raw,nrES_PID,$D1232,nrES_Code,$F1232,nrES_Att,1))))))</f>
        <v/>
      </c>
      <c r="N1232" s="15">
        <f>IF($C1232="","",IF($L1232="","",IF($L1232&gt;=$J1232,"Yes","No")))</f>
        <v/>
      </c>
      <c r="O1232" s="15">
        <f>IF($C1232="","",IF($M1232="","",IF($M1232&gt;=$J1232,"Yes","No")))</f>
        <v/>
      </c>
      <c r="P1232" s="15">
        <f>IF($C1232="","",IF($K1232="","",IF(COUNTIFS(nrES_PID,$D1232,nrES_Code,$F1232,nrES_Att,"&gt;"&amp;$K1232)=0,"Yes","No")))</f>
        <v/>
      </c>
      <c r="Q1232" s="15">
        <f>IF($C1232="","",IF($L1232="","",IF(AND($K1232=1,$L1232&lt;$J1232,COUNTIFS(nrES_PID,$D1232,nrES_Code,$F1232,nrES_Att,2)=0),"Yes","No")))</f>
        <v/>
      </c>
      <c r="R1232" s="15">
        <f>IF($C1232="","",IF($L1232="","",IF(AND($K1232=2,$L1232&lt;$J1232,COUNTIFS(nrES_PID,$D1232,nrES_Code,$F1232,nrES_Att,1)&gt;0),"Yes","No")))</f>
        <v/>
      </c>
      <c r="S1232" s="16" t="n"/>
      <c r="T1232" s="17">
        <f>IF($Q1232&lt;&gt;"Yes","",IF($S1232="","(enter date)",_xlfn.LET(_xlpm.dn,IFERROR(_xlfn.XLOOKUP($S1232,nrCDdate,nrCDnum),""),IF(_xlpm.dn="","(not a class day)",IFERROR(_xlfn.XLOOKUP(_xlpm.dn+cfgRetestClassDays,nrCDnum,nrCDdate),"")))))</f>
        <v/>
      </c>
      <c r="U1232" s="15">
        <f>IF($Q1232&lt;&gt;"Yes","",IF(COUNTIFS(nrES_PID,$D1232,nrES_Code,$F1232,nrES_Att,2)&gt;0,"Retested",IF(OR($T1232="",NOT(ISNUMBER($T1232))),"Pending",IF(TODAY()&gt;$T1232,"OVERDUE","Due "&amp;TEXT($T1232,"mm/dd")))))</f>
        <v/>
      </c>
      <c r="V1232" s="14" t="n"/>
      <c r="W1232" s="14" t="n"/>
    </row>
    <row r="1233">
      <c r="B1233" s="15">
        <f>IF($C1233="","",$D1233&amp;"-"&amp;$F1233&amp;"-"&amp;$K1233)</f>
        <v/>
      </c>
      <c r="C1233" s="14" t="n"/>
      <c r="D1233" s="15">
        <f>IF($C1233="","",IFERROR(INDEX(rngCadetPIDs,MATCH($C1233,rngCadetNames,0)),"?"))</f>
        <v/>
      </c>
      <c r="E1233" s="15">
        <f>IF($D1233="","",IFERROR(INDEX(nrCadetAgency,MATCH($D1233,rngCadetPIDs,0)),""))</f>
        <v/>
      </c>
      <c r="F1233" s="14" t="n"/>
      <c r="G1233" s="15">
        <f>IF($F1233="","",IFERROR(INDEX(rngEPname,MATCH($F1233,rngEPcode,0)),"?"))</f>
        <v/>
      </c>
      <c r="H1233" s="15">
        <f>IF($F1233="","",IFERROR(INDEX(rngEPtype,MATCH($F1233,rngEPcode,0)),"?"))</f>
        <v/>
      </c>
      <c r="I1233" s="15">
        <f>IF($F1233="","",IFERROR(INDEX(rngEPseq,MATCH($F1233,rngEPcode,0)),""))</f>
        <v/>
      </c>
      <c r="J1233" s="15">
        <f>IF($F1233="","",IFERROR(INDEX(rngEPpass,MATCH($F1233,rngEPcode,0)),cfgPassingScore))</f>
        <v/>
      </c>
      <c r="K1233" s="14" t="n"/>
      <c r="L1233" s="14" t="n"/>
      <c r="M1233" s="15">
        <f>IF($C1233="","",IF($L1233="","",IF($K1233=1,IF(COUNTIFS(nrES_PID,$D1233,nrES_Code,$F1233,nrES_Att,2)&gt;0,"",$L1233),IF(COUNTIFS(nrES_PID,$D1233,nrES_Code,$F1233,nrES_Att,1)=0,$L1233,IF($L1233&gt;=$J1233,cfgRetakeRecordedCap,SUMIFS(nrES_Raw,nrES_PID,$D1233,nrES_Code,$F1233,nrES_Att,1))))))</f>
        <v/>
      </c>
      <c r="N1233" s="15">
        <f>IF($C1233="","",IF($L1233="","",IF($L1233&gt;=$J1233,"Yes","No")))</f>
        <v/>
      </c>
      <c r="O1233" s="15">
        <f>IF($C1233="","",IF($M1233="","",IF($M1233&gt;=$J1233,"Yes","No")))</f>
        <v/>
      </c>
      <c r="P1233" s="15">
        <f>IF($C1233="","",IF($K1233="","",IF(COUNTIFS(nrES_PID,$D1233,nrES_Code,$F1233,nrES_Att,"&gt;"&amp;$K1233)=0,"Yes","No")))</f>
        <v/>
      </c>
      <c r="Q1233" s="15">
        <f>IF($C1233="","",IF($L1233="","",IF(AND($K1233=1,$L1233&lt;$J1233,COUNTIFS(nrES_PID,$D1233,nrES_Code,$F1233,nrES_Att,2)=0),"Yes","No")))</f>
        <v/>
      </c>
      <c r="R1233" s="15">
        <f>IF($C1233="","",IF($L1233="","",IF(AND($K1233=2,$L1233&lt;$J1233,COUNTIFS(nrES_PID,$D1233,nrES_Code,$F1233,nrES_Att,1)&gt;0),"Yes","No")))</f>
        <v/>
      </c>
      <c r="S1233" s="16" t="n"/>
      <c r="T1233" s="17">
        <f>IF($Q1233&lt;&gt;"Yes","",IF($S1233="","(enter date)",_xlfn.LET(_xlpm.dn,IFERROR(_xlfn.XLOOKUP($S1233,nrCDdate,nrCDnum),""),IF(_xlpm.dn="","(not a class day)",IFERROR(_xlfn.XLOOKUP(_xlpm.dn+cfgRetestClassDays,nrCDnum,nrCDdate),"")))))</f>
        <v/>
      </c>
      <c r="U1233" s="15">
        <f>IF($Q1233&lt;&gt;"Yes","",IF(COUNTIFS(nrES_PID,$D1233,nrES_Code,$F1233,nrES_Att,2)&gt;0,"Retested",IF(OR($T1233="",NOT(ISNUMBER($T1233))),"Pending",IF(TODAY()&gt;$T1233,"OVERDUE","Due "&amp;TEXT($T1233,"mm/dd")))))</f>
        <v/>
      </c>
      <c r="V1233" s="14" t="n"/>
      <c r="W1233" s="14" t="n"/>
    </row>
    <row r="1234">
      <c r="B1234" s="15">
        <f>IF($C1234="","",$D1234&amp;"-"&amp;$F1234&amp;"-"&amp;$K1234)</f>
        <v/>
      </c>
      <c r="C1234" s="14" t="n"/>
      <c r="D1234" s="15">
        <f>IF($C1234="","",IFERROR(INDEX(rngCadetPIDs,MATCH($C1234,rngCadetNames,0)),"?"))</f>
        <v/>
      </c>
      <c r="E1234" s="15">
        <f>IF($D1234="","",IFERROR(INDEX(nrCadetAgency,MATCH($D1234,rngCadetPIDs,0)),""))</f>
        <v/>
      </c>
      <c r="F1234" s="14" t="n"/>
      <c r="G1234" s="15">
        <f>IF($F1234="","",IFERROR(INDEX(rngEPname,MATCH($F1234,rngEPcode,0)),"?"))</f>
        <v/>
      </c>
      <c r="H1234" s="15">
        <f>IF($F1234="","",IFERROR(INDEX(rngEPtype,MATCH($F1234,rngEPcode,0)),"?"))</f>
        <v/>
      </c>
      <c r="I1234" s="15">
        <f>IF($F1234="","",IFERROR(INDEX(rngEPseq,MATCH($F1234,rngEPcode,0)),""))</f>
        <v/>
      </c>
      <c r="J1234" s="15">
        <f>IF($F1234="","",IFERROR(INDEX(rngEPpass,MATCH($F1234,rngEPcode,0)),cfgPassingScore))</f>
        <v/>
      </c>
      <c r="K1234" s="14" t="n"/>
      <c r="L1234" s="14" t="n"/>
      <c r="M1234" s="15">
        <f>IF($C1234="","",IF($L1234="","",IF($K1234=1,IF(COUNTIFS(nrES_PID,$D1234,nrES_Code,$F1234,nrES_Att,2)&gt;0,"",$L1234),IF(COUNTIFS(nrES_PID,$D1234,nrES_Code,$F1234,nrES_Att,1)=0,$L1234,IF($L1234&gt;=$J1234,cfgRetakeRecordedCap,SUMIFS(nrES_Raw,nrES_PID,$D1234,nrES_Code,$F1234,nrES_Att,1))))))</f>
        <v/>
      </c>
      <c r="N1234" s="15">
        <f>IF($C1234="","",IF($L1234="","",IF($L1234&gt;=$J1234,"Yes","No")))</f>
        <v/>
      </c>
      <c r="O1234" s="15">
        <f>IF($C1234="","",IF($M1234="","",IF($M1234&gt;=$J1234,"Yes","No")))</f>
        <v/>
      </c>
      <c r="P1234" s="15">
        <f>IF($C1234="","",IF($K1234="","",IF(COUNTIFS(nrES_PID,$D1234,nrES_Code,$F1234,nrES_Att,"&gt;"&amp;$K1234)=0,"Yes","No")))</f>
        <v/>
      </c>
      <c r="Q1234" s="15">
        <f>IF($C1234="","",IF($L1234="","",IF(AND($K1234=1,$L1234&lt;$J1234,COUNTIFS(nrES_PID,$D1234,nrES_Code,$F1234,nrES_Att,2)=0),"Yes","No")))</f>
        <v/>
      </c>
      <c r="R1234" s="15">
        <f>IF($C1234="","",IF($L1234="","",IF(AND($K1234=2,$L1234&lt;$J1234,COUNTIFS(nrES_PID,$D1234,nrES_Code,$F1234,nrES_Att,1)&gt;0),"Yes","No")))</f>
        <v/>
      </c>
      <c r="S1234" s="16" t="n"/>
      <c r="T1234" s="17">
        <f>IF($Q1234&lt;&gt;"Yes","",IF($S1234="","(enter date)",_xlfn.LET(_xlpm.dn,IFERROR(_xlfn.XLOOKUP($S1234,nrCDdate,nrCDnum),""),IF(_xlpm.dn="","(not a class day)",IFERROR(_xlfn.XLOOKUP(_xlpm.dn+cfgRetestClassDays,nrCDnum,nrCDdate),"")))))</f>
        <v/>
      </c>
      <c r="U1234" s="15">
        <f>IF($Q1234&lt;&gt;"Yes","",IF(COUNTIFS(nrES_PID,$D1234,nrES_Code,$F1234,nrES_Att,2)&gt;0,"Retested",IF(OR($T1234="",NOT(ISNUMBER($T1234))),"Pending",IF(TODAY()&gt;$T1234,"OVERDUE","Due "&amp;TEXT($T1234,"mm/dd")))))</f>
        <v/>
      </c>
      <c r="V1234" s="14" t="n"/>
      <c r="W1234" s="14" t="n"/>
    </row>
    <row r="1235">
      <c r="B1235" s="15">
        <f>IF($C1235="","",$D1235&amp;"-"&amp;$F1235&amp;"-"&amp;$K1235)</f>
        <v/>
      </c>
      <c r="C1235" s="14" t="n"/>
      <c r="D1235" s="15">
        <f>IF($C1235="","",IFERROR(INDEX(rngCadetPIDs,MATCH($C1235,rngCadetNames,0)),"?"))</f>
        <v/>
      </c>
      <c r="E1235" s="15">
        <f>IF($D1235="","",IFERROR(INDEX(nrCadetAgency,MATCH($D1235,rngCadetPIDs,0)),""))</f>
        <v/>
      </c>
      <c r="F1235" s="14" t="n"/>
      <c r="G1235" s="15">
        <f>IF($F1235="","",IFERROR(INDEX(rngEPname,MATCH($F1235,rngEPcode,0)),"?"))</f>
        <v/>
      </c>
      <c r="H1235" s="15">
        <f>IF($F1235="","",IFERROR(INDEX(rngEPtype,MATCH($F1235,rngEPcode,0)),"?"))</f>
        <v/>
      </c>
      <c r="I1235" s="15">
        <f>IF($F1235="","",IFERROR(INDEX(rngEPseq,MATCH($F1235,rngEPcode,0)),""))</f>
        <v/>
      </c>
      <c r="J1235" s="15">
        <f>IF($F1235="","",IFERROR(INDEX(rngEPpass,MATCH($F1235,rngEPcode,0)),cfgPassingScore))</f>
        <v/>
      </c>
      <c r="K1235" s="14" t="n"/>
      <c r="L1235" s="14" t="n"/>
      <c r="M1235" s="15">
        <f>IF($C1235="","",IF($L1235="","",IF($K1235=1,IF(COUNTIFS(nrES_PID,$D1235,nrES_Code,$F1235,nrES_Att,2)&gt;0,"",$L1235),IF(COUNTIFS(nrES_PID,$D1235,nrES_Code,$F1235,nrES_Att,1)=0,$L1235,IF($L1235&gt;=$J1235,cfgRetakeRecordedCap,SUMIFS(nrES_Raw,nrES_PID,$D1235,nrES_Code,$F1235,nrES_Att,1))))))</f>
        <v/>
      </c>
      <c r="N1235" s="15">
        <f>IF($C1235="","",IF($L1235="","",IF($L1235&gt;=$J1235,"Yes","No")))</f>
        <v/>
      </c>
      <c r="O1235" s="15">
        <f>IF($C1235="","",IF($M1235="","",IF($M1235&gt;=$J1235,"Yes","No")))</f>
        <v/>
      </c>
      <c r="P1235" s="15">
        <f>IF($C1235="","",IF($K1235="","",IF(COUNTIFS(nrES_PID,$D1235,nrES_Code,$F1235,nrES_Att,"&gt;"&amp;$K1235)=0,"Yes","No")))</f>
        <v/>
      </c>
      <c r="Q1235" s="15">
        <f>IF($C1235="","",IF($L1235="","",IF(AND($K1235=1,$L1235&lt;$J1235,COUNTIFS(nrES_PID,$D1235,nrES_Code,$F1235,nrES_Att,2)=0),"Yes","No")))</f>
        <v/>
      </c>
      <c r="R1235" s="15">
        <f>IF($C1235="","",IF($L1235="","",IF(AND($K1235=2,$L1235&lt;$J1235,COUNTIFS(nrES_PID,$D1235,nrES_Code,$F1235,nrES_Att,1)&gt;0),"Yes","No")))</f>
        <v/>
      </c>
      <c r="S1235" s="16" t="n"/>
      <c r="T1235" s="17">
        <f>IF($Q1235&lt;&gt;"Yes","",IF($S1235="","(enter date)",_xlfn.LET(_xlpm.dn,IFERROR(_xlfn.XLOOKUP($S1235,nrCDdate,nrCDnum),""),IF(_xlpm.dn="","(not a class day)",IFERROR(_xlfn.XLOOKUP(_xlpm.dn+cfgRetestClassDays,nrCDnum,nrCDdate),"")))))</f>
        <v/>
      </c>
      <c r="U1235" s="15">
        <f>IF($Q1235&lt;&gt;"Yes","",IF(COUNTIFS(nrES_PID,$D1235,nrES_Code,$F1235,nrES_Att,2)&gt;0,"Retested",IF(OR($T1235="",NOT(ISNUMBER($T1235))),"Pending",IF(TODAY()&gt;$T1235,"OVERDUE","Due "&amp;TEXT($T1235,"mm/dd")))))</f>
        <v/>
      </c>
      <c r="V1235" s="14" t="n"/>
      <c r="W1235" s="14" t="n"/>
    </row>
    <row r="1236">
      <c r="B1236" s="15">
        <f>IF($C1236="","",$D1236&amp;"-"&amp;$F1236&amp;"-"&amp;$K1236)</f>
        <v/>
      </c>
      <c r="C1236" s="14" t="n"/>
      <c r="D1236" s="15">
        <f>IF($C1236="","",IFERROR(INDEX(rngCadetPIDs,MATCH($C1236,rngCadetNames,0)),"?"))</f>
        <v/>
      </c>
      <c r="E1236" s="15">
        <f>IF($D1236="","",IFERROR(INDEX(nrCadetAgency,MATCH($D1236,rngCadetPIDs,0)),""))</f>
        <v/>
      </c>
      <c r="F1236" s="14" t="n"/>
      <c r="G1236" s="15">
        <f>IF($F1236="","",IFERROR(INDEX(rngEPname,MATCH($F1236,rngEPcode,0)),"?"))</f>
        <v/>
      </c>
      <c r="H1236" s="15">
        <f>IF($F1236="","",IFERROR(INDEX(rngEPtype,MATCH($F1236,rngEPcode,0)),"?"))</f>
        <v/>
      </c>
      <c r="I1236" s="15">
        <f>IF($F1236="","",IFERROR(INDEX(rngEPseq,MATCH($F1236,rngEPcode,0)),""))</f>
        <v/>
      </c>
      <c r="J1236" s="15">
        <f>IF($F1236="","",IFERROR(INDEX(rngEPpass,MATCH($F1236,rngEPcode,0)),cfgPassingScore))</f>
        <v/>
      </c>
      <c r="K1236" s="14" t="n"/>
      <c r="L1236" s="14" t="n"/>
      <c r="M1236" s="15">
        <f>IF($C1236="","",IF($L1236="","",IF($K1236=1,IF(COUNTIFS(nrES_PID,$D1236,nrES_Code,$F1236,nrES_Att,2)&gt;0,"",$L1236),IF(COUNTIFS(nrES_PID,$D1236,nrES_Code,$F1236,nrES_Att,1)=0,$L1236,IF($L1236&gt;=$J1236,cfgRetakeRecordedCap,SUMIFS(nrES_Raw,nrES_PID,$D1236,nrES_Code,$F1236,nrES_Att,1))))))</f>
        <v/>
      </c>
      <c r="N1236" s="15">
        <f>IF($C1236="","",IF($L1236="","",IF($L1236&gt;=$J1236,"Yes","No")))</f>
        <v/>
      </c>
      <c r="O1236" s="15">
        <f>IF($C1236="","",IF($M1236="","",IF($M1236&gt;=$J1236,"Yes","No")))</f>
        <v/>
      </c>
      <c r="P1236" s="15">
        <f>IF($C1236="","",IF($K1236="","",IF(COUNTIFS(nrES_PID,$D1236,nrES_Code,$F1236,nrES_Att,"&gt;"&amp;$K1236)=0,"Yes","No")))</f>
        <v/>
      </c>
      <c r="Q1236" s="15">
        <f>IF($C1236="","",IF($L1236="","",IF(AND($K1236=1,$L1236&lt;$J1236,COUNTIFS(nrES_PID,$D1236,nrES_Code,$F1236,nrES_Att,2)=0),"Yes","No")))</f>
        <v/>
      </c>
      <c r="R1236" s="15">
        <f>IF($C1236="","",IF($L1236="","",IF(AND($K1236=2,$L1236&lt;$J1236,COUNTIFS(nrES_PID,$D1236,nrES_Code,$F1236,nrES_Att,1)&gt;0),"Yes","No")))</f>
        <v/>
      </c>
      <c r="S1236" s="16" t="n"/>
      <c r="T1236" s="17">
        <f>IF($Q1236&lt;&gt;"Yes","",IF($S1236="","(enter date)",_xlfn.LET(_xlpm.dn,IFERROR(_xlfn.XLOOKUP($S1236,nrCDdate,nrCDnum),""),IF(_xlpm.dn="","(not a class day)",IFERROR(_xlfn.XLOOKUP(_xlpm.dn+cfgRetestClassDays,nrCDnum,nrCDdate),"")))))</f>
        <v/>
      </c>
      <c r="U1236" s="15">
        <f>IF($Q1236&lt;&gt;"Yes","",IF(COUNTIFS(nrES_PID,$D1236,nrES_Code,$F1236,nrES_Att,2)&gt;0,"Retested",IF(OR($T1236="",NOT(ISNUMBER($T1236))),"Pending",IF(TODAY()&gt;$T1236,"OVERDUE","Due "&amp;TEXT($T1236,"mm/dd")))))</f>
        <v/>
      </c>
      <c r="V1236" s="14" t="n"/>
      <c r="W1236" s="14" t="n"/>
    </row>
    <row r="1237">
      <c r="B1237" s="15">
        <f>IF($C1237="","",$D1237&amp;"-"&amp;$F1237&amp;"-"&amp;$K1237)</f>
        <v/>
      </c>
      <c r="C1237" s="14" t="n"/>
      <c r="D1237" s="15">
        <f>IF($C1237="","",IFERROR(INDEX(rngCadetPIDs,MATCH($C1237,rngCadetNames,0)),"?"))</f>
        <v/>
      </c>
      <c r="E1237" s="15">
        <f>IF($D1237="","",IFERROR(INDEX(nrCadetAgency,MATCH($D1237,rngCadetPIDs,0)),""))</f>
        <v/>
      </c>
      <c r="F1237" s="14" t="n"/>
      <c r="G1237" s="15">
        <f>IF($F1237="","",IFERROR(INDEX(rngEPname,MATCH($F1237,rngEPcode,0)),"?"))</f>
        <v/>
      </c>
      <c r="H1237" s="15">
        <f>IF($F1237="","",IFERROR(INDEX(rngEPtype,MATCH($F1237,rngEPcode,0)),"?"))</f>
        <v/>
      </c>
      <c r="I1237" s="15">
        <f>IF($F1237="","",IFERROR(INDEX(rngEPseq,MATCH($F1237,rngEPcode,0)),""))</f>
        <v/>
      </c>
      <c r="J1237" s="15">
        <f>IF($F1237="","",IFERROR(INDEX(rngEPpass,MATCH($F1237,rngEPcode,0)),cfgPassingScore))</f>
        <v/>
      </c>
      <c r="K1237" s="14" t="n"/>
      <c r="L1237" s="14" t="n"/>
      <c r="M1237" s="15">
        <f>IF($C1237="","",IF($L1237="","",IF($K1237=1,IF(COUNTIFS(nrES_PID,$D1237,nrES_Code,$F1237,nrES_Att,2)&gt;0,"",$L1237),IF(COUNTIFS(nrES_PID,$D1237,nrES_Code,$F1237,nrES_Att,1)=0,$L1237,IF($L1237&gt;=$J1237,cfgRetakeRecordedCap,SUMIFS(nrES_Raw,nrES_PID,$D1237,nrES_Code,$F1237,nrES_Att,1))))))</f>
        <v/>
      </c>
      <c r="N1237" s="15">
        <f>IF($C1237="","",IF($L1237="","",IF($L1237&gt;=$J1237,"Yes","No")))</f>
        <v/>
      </c>
      <c r="O1237" s="15">
        <f>IF($C1237="","",IF($M1237="","",IF($M1237&gt;=$J1237,"Yes","No")))</f>
        <v/>
      </c>
      <c r="P1237" s="15">
        <f>IF($C1237="","",IF($K1237="","",IF(COUNTIFS(nrES_PID,$D1237,nrES_Code,$F1237,nrES_Att,"&gt;"&amp;$K1237)=0,"Yes","No")))</f>
        <v/>
      </c>
      <c r="Q1237" s="15">
        <f>IF($C1237="","",IF($L1237="","",IF(AND($K1237=1,$L1237&lt;$J1237,COUNTIFS(nrES_PID,$D1237,nrES_Code,$F1237,nrES_Att,2)=0),"Yes","No")))</f>
        <v/>
      </c>
      <c r="R1237" s="15">
        <f>IF($C1237="","",IF($L1237="","",IF(AND($K1237=2,$L1237&lt;$J1237,COUNTIFS(nrES_PID,$D1237,nrES_Code,$F1237,nrES_Att,1)&gt;0),"Yes","No")))</f>
        <v/>
      </c>
      <c r="S1237" s="16" t="n"/>
      <c r="T1237" s="17">
        <f>IF($Q1237&lt;&gt;"Yes","",IF($S1237="","(enter date)",_xlfn.LET(_xlpm.dn,IFERROR(_xlfn.XLOOKUP($S1237,nrCDdate,nrCDnum),""),IF(_xlpm.dn="","(not a class day)",IFERROR(_xlfn.XLOOKUP(_xlpm.dn+cfgRetestClassDays,nrCDnum,nrCDdate),"")))))</f>
        <v/>
      </c>
      <c r="U1237" s="15">
        <f>IF($Q1237&lt;&gt;"Yes","",IF(COUNTIFS(nrES_PID,$D1237,nrES_Code,$F1237,nrES_Att,2)&gt;0,"Retested",IF(OR($T1237="",NOT(ISNUMBER($T1237))),"Pending",IF(TODAY()&gt;$T1237,"OVERDUE","Due "&amp;TEXT($T1237,"mm/dd")))))</f>
        <v/>
      </c>
      <c r="V1237" s="14" t="n"/>
      <c r="W1237" s="14" t="n"/>
    </row>
    <row r="1238">
      <c r="B1238" s="15">
        <f>IF($C1238="","",$D1238&amp;"-"&amp;$F1238&amp;"-"&amp;$K1238)</f>
        <v/>
      </c>
      <c r="C1238" s="14" t="n"/>
      <c r="D1238" s="15">
        <f>IF($C1238="","",IFERROR(INDEX(rngCadetPIDs,MATCH($C1238,rngCadetNames,0)),"?"))</f>
        <v/>
      </c>
      <c r="E1238" s="15">
        <f>IF($D1238="","",IFERROR(INDEX(nrCadetAgency,MATCH($D1238,rngCadetPIDs,0)),""))</f>
        <v/>
      </c>
      <c r="F1238" s="14" t="n"/>
      <c r="G1238" s="15">
        <f>IF($F1238="","",IFERROR(INDEX(rngEPname,MATCH($F1238,rngEPcode,0)),"?"))</f>
        <v/>
      </c>
      <c r="H1238" s="15">
        <f>IF($F1238="","",IFERROR(INDEX(rngEPtype,MATCH($F1238,rngEPcode,0)),"?"))</f>
        <v/>
      </c>
      <c r="I1238" s="15">
        <f>IF($F1238="","",IFERROR(INDEX(rngEPseq,MATCH($F1238,rngEPcode,0)),""))</f>
        <v/>
      </c>
      <c r="J1238" s="15">
        <f>IF($F1238="","",IFERROR(INDEX(rngEPpass,MATCH($F1238,rngEPcode,0)),cfgPassingScore))</f>
        <v/>
      </c>
      <c r="K1238" s="14" t="n"/>
      <c r="L1238" s="14" t="n"/>
      <c r="M1238" s="15">
        <f>IF($C1238="","",IF($L1238="","",IF($K1238=1,IF(COUNTIFS(nrES_PID,$D1238,nrES_Code,$F1238,nrES_Att,2)&gt;0,"",$L1238),IF(COUNTIFS(nrES_PID,$D1238,nrES_Code,$F1238,nrES_Att,1)=0,$L1238,IF($L1238&gt;=$J1238,cfgRetakeRecordedCap,SUMIFS(nrES_Raw,nrES_PID,$D1238,nrES_Code,$F1238,nrES_Att,1))))))</f>
        <v/>
      </c>
      <c r="N1238" s="15">
        <f>IF($C1238="","",IF($L1238="","",IF($L1238&gt;=$J1238,"Yes","No")))</f>
        <v/>
      </c>
      <c r="O1238" s="15">
        <f>IF($C1238="","",IF($M1238="","",IF($M1238&gt;=$J1238,"Yes","No")))</f>
        <v/>
      </c>
      <c r="P1238" s="15">
        <f>IF($C1238="","",IF($K1238="","",IF(COUNTIFS(nrES_PID,$D1238,nrES_Code,$F1238,nrES_Att,"&gt;"&amp;$K1238)=0,"Yes","No")))</f>
        <v/>
      </c>
      <c r="Q1238" s="15">
        <f>IF($C1238="","",IF($L1238="","",IF(AND($K1238=1,$L1238&lt;$J1238,COUNTIFS(nrES_PID,$D1238,nrES_Code,$F1238,nrES_Att,2)=0),"Yes","No")))</f>
        <v/>
      </c>
      <c r="R1238" s="15">
        <f>IF($C1238="","",IF($L1238="","",IF(AND($K1238=2,$L1238&lt;$J1238,COUNTIFS(nrES_PID,$D1238,nrES_Code,$F1238,nrES_Att,1)&gt;0),"Yes","No")))</f>
        <v/>
      </c>
      <c r="S1238" s="16" t="n"/>
      <c r="T1238" s="17">
        <f>IF($Q1238&lt;&gt;"Yes","",IF($S1238="","(enter date)",_xlfn.LET(_xlpm.dn,IFERROR(_xlfn.XLOOKUP($S1238,nrCDdate,nrCDnum),""),IF(_xlpm.dn="","(not a class day)",IFERROR(_xlfn.XLOOKUP(_xlpm.dn+cfgRetestClassDays,nrCDnum,nrCDdate),"")))))</f>
        <v/>
      </c>
      <c r="U1238" s="15">
        <f>IF($Q1238&lt;&gt;"Yes","",IF(COUNTIFS(nrES_PID,$D1238,nrES_Code,$F1238,nrES_Att,2)&gt;0,"Retested",IF(OR($T1238="",NOT(ISNUMBER($T1238))),"Pending",IF(TODAY()&gt;$T1238,"OVERDUE","Due "&amp;TEXT($T1238,"mm/dd")))))</f>
        <v/>
      </c>
      <c r="V1238" s="14" t="n"/>
      <c r="W1238" s="14" t="n"/>
    </row>
    <row r="1239">
      <c r="B1239" s="15">
        <f>IF($C1239="","",$D1239&amp;"-"&amp;$F1239&amp;"-"&amp;$K1239)</f>
        <v/>
      </c>
      <c r="C1239" s="14" t="n"/>
      <c r="D1239" s="15">
        <f>IF($C1239="","",IFERROR(INDEX(rngCadetPIDs,MATCH($C1239,rngCadetNames,0)),"?"))</f>
        <v/>
      </c>
      <c r="E1239" s="15">
        <f>IF($D1239="","",IFERROR(INDEX(nrCadetAgency,MATCH($D1239,rngCadetPIDs,0)),""))</f>
        <v/>
      </c>
      <c r="F1239" s="14" t="n"/>
      <c r="G1239" s="15">
        <f>IF($F1239="","",IFERROR(INDEX(rngEPname,MATCH($F1239,rngEPcode,0)),"?"))</f>
        <v/>
      </c>
      <c r="H1239" s="15">
        <f>IF($F1239="","",IFERROR(INDEX(rngEPtype,MATCH($F1239,rngEPcode,0)),"?"))</f>
        <v/>
      </c>
      <c r="I1239" s="15">
        <f>IF($F1239="","",IFERROR(INDEX(rngEPseq,MATCH($F1239,rngEPcode,0)),""))</f>
        <v/>
      </c>
      <c r="J1239" s="15">
        <f>IF($F1239="","",IFERROR(INDEX(rngEPpass,MATCH($F1239,rngEPcode,0)),cfgPassingScore))</f>
        <v/>
      </c>
      <c r="K1239" s="14" t="n"/>
      <c r="L1239" s="14" t="n"/>
      <c r="M1239" s="15">
        <f>IF($C1239="","",IF($L1239="","",IF($K1239=1,IF(COUNTIFS(nrES_PID,$D1239,nrES_Code,$F1239,nrES_Att,2)&gt;0,"",$L1239),IF(COUNTIFS(nrES_PID,$D1239,nrES_Code,$F1239,nrES_Att,1)=0,$L1239,IF($L1239&gt;=$J1239,cfgRetakeRecordedCap,SUMIFS(nrES_Raw,nrES_PID,$D1239,nrES_Code,$F1239,nrES_Att,1))))))</f>
        <v/>
      </c>
      <c r="N1239" s="15">
        <f>IF($C1239="","",IF($L1239="","",IF($L1239&gt;=$J1239,"Yes","No")))</f>
        <v/>
      </c>
      <c r="O1239" s="15">
        <f>IF($C1239="","",IF($M1239="","",IF($M1239&gt;=$J1239,"Yes","No")))</f>
        <v/>
      </c>
      <c r="P1239" s="15">
        <f>IF($C1239="","",IF($K1239="","",IF(COUNTIFS(nrES_PID,$D1239,nrES_Code,$F1239,nrES_Att,"&gt;"&amp;$K1239)=0,"Yes","No")))</f>
        <v/>
      </c>
      <c r="Q1239" s="15">
        <f>IF($C1239="","",IF($L1239="","",IF(AND($K1239=1,$L1239&lt;$J1239,COUNTIFS(nrES_PID,$D1239,nrES_Code,$F1239,nrES_Att,2)=0),"Yes","No")))</f>
        <v/>
      </c>
      <c r="R1239" s="15">
        <f>IF($C1239="","",IF($L1239="","",IF(AND($K1239=2,$L1239&lt;$J1239,COUNTIFS(nrES_PID,$D1239,nrES_Code,$F1239,nrES_Att,1)&gt;0),"Yes","No")))</f>
        <v/>
      </c>
      <c r="S1239" s="16" t="n"/>
      <c r="T1239" s="17">
        <f>IF($Q1239&lt;&gt;"Yes","",IF($S1239="","(enter date)",_xlfn.LET(_xlpm.dn,IFERROR(_xlfn.XLOOKUP($S1239,nrCDdate,nrCDnum),""),IF(_xlpm.dn="","(not a class day)",IFERROR(_xlfn.XLOOKUP(_xlpm.dn+cfgRetestClassDays,nrCDnum,nrCDdate),"")))))</f>
        <v/>
      </c>
      <c r="U1239" s="15">
        <f>IF($Q1239&lt;&gt;"Yes","",IF(COUNTIFS(nrES_PID,$D1239,nrES_Code,$F1239,nrES_Att,2)&gt;0,"Retested",IF(OR($T1239="",NOT(ISNUMBER($T1239))),"Pending",IF(TODAY()&gt;$T1239,"OVERDUE","Due "&amp;TEXT($T1239,"mm/dd")))))</f>
        <v/>
      </c>
      <c r="V1239" s="14" t="n"/>
      <c r="W1239" s="14" t="n"/>
    </row>
    <row r="1240">
      <c r="B1240" s="15">
        <f>IF($C1240="","",$D1240&amp;"-"&amp;$F1240&amp;"-"&amp;$K1240)</f>
        <v/>
      </c>
      <c r="C1240" s="14" t="n"/>
      <c r="D1240" s="15">
        <f>IF($C1240="","",IFERROR(INDEX(rngCadetPIDs,MATCH($C1240,rngCadetNames,0)),"?"))</f>
        <v/>
      </c>
      <c r="E1240" s="15">
        <f>IF($D1240="","",IFERROR(INDEX(nrCadetAgency,MATCH($D1240,rngCadetPIDs,0)),""))</f>
        <v/>
      </c>
      <c r="F1240" s="14" t="n"/>
      <c r="G1240" s="15">
        <f>IF($F1240="","",IFERROR(INDEX(rngEPname,MATCH($F1240,rngEPcode,0)),"?"))</f>
        <v/>
      </c>
      <c r="H1240" s="15">
        <f>IF($F1240="","",IFERROR(INDEX(rngEPtype,MATCH($F1240,rngEPcode,0)),"?"))</f>
        <v/>
      </c>
      <c r="I1240" s="15">
        <f>IF($F1240="","",IFERROR(INDEX(rngEPseq,MATCH($F1240,rngEPcode,0)),""))</f>
        <v/>
      </c>
      <c r="J1240" s="15">
        <f>IF($F1240="","",IFERROR(INDEX(rngEPpass,MATCH($F1240,rngEPcode,0)),cfgPassingScore))</f>
        <v/>
      </c>
      <c r="K1240" s="14" t="n"/>
      <c r="L1240" s="14" t="n"/>
      <c r="M1240" s="15">
        <f>IF($C1240="","",IF($L1240="","",IF($K1240=1,IF(COUNTIFS(nrES_PID,$D1240,nrES_Code,$F1240,nrES_Att,2)&gt;0,"",$L1240),IF(COUNTIFS(nrES_PID,$D1240,nrES_Code,$F1240,nrES_Att,1)=0,$L1240,IF($L1240&gt;=$J1240,cfgRetakeRecordedCap,SUMIFS(nrES_Raw,nrES_PID,$D1240,nrES_Code,$F1240,nrES_Att,1))))))</f>
        <v/>
      </c>
      <c r="N1240" s="15">
        <f>IF($C1240="","",IF($L1240="","",IF($L1240&gt;=$J1240,"Yes","No")))</f>
        <v/>
      </c>
      <c r="O1240" s="15">
        <f>IF($C1240="","",IF($M1240="","",IF($M1240&gt;=$J1240,"Yes","No")))</f>
        <v/>
      </c>
      <c r="P1240" s="15">
        <f>IF($C1240="","",IF($K1240="","",IF(COUNTIFS(nrES_PID,$D1240,nrES_Code,$F1240,nrES_Att,"&gt;"&amp;$K1240)=0,"Yes","No")))</f>
        <v/>
      </c>
      <c r="Q1240" s="15">
        <f>IF($C1240="","",IF($L1240="","",IF(AND($K1240=1,$L1240&lt;$J1240,COUNTIFS(nrES_PID,$D1240,nrES_Code,$F1240,nrES_Att,2)=0),"Yes","No")))</f>
        <v/>
      </c>
      <c r="R1240" s="15">
        <f>IF($C1240="","",IF($L1240="","",IF(AND($K1240=2,$L1240&lt;$J1240,COUNTIFS(nrES_PID,$D1240,nrES_Code,$F1240,nrES_Att,1)&gt;0),"Yes","No")))</f>
        <v/>
      </c>
      <c r="S1240" s="16" t="n"/>
      <c r="T1240" s="17">
        <f>IF($Q1240&lt;&gt;"Yes","",IF($S1240="","(enter date)",_xlfn.LET(_xlpm.dn,IFERROR(_xlfn.XLOOKUP($S1240,nrCDdate,nrCDnum),""),IF(_xlpm.dn="","(not a class day)",IFERROR(_xlfn.XLOOKUP(_xlpm.dn+cfgRetestClassDays,nrCDnum,nrCDdate),"")))))</f>
        <v/>
      </c>
      <c r="U1240" s="15">
        <f>IF($Q1240&lt;&gt;"Yes","",IF(COUNTIFS(nrES_PID,$D1240,nrES_Code,$F1240,nrES_Att,2)&gt;0,"Retested",IF(OR($T1240="",NOT(ISNUMBER($T1240))),"Pending",IF(TODAY()&gt;$T1240,"OVERDUE","Due "&amp;TEXT($T1240,"mm/dd")))))</f>
        <v/>
      </c>
      <c r="V1240" s="14" t="n"/>
      <c r="W1240" s="14" t="n"/>
    </row>
    <row r="1241">
      <c r="B1241" s="15">
        <f>IF($C1241="","",$D1241&amp;"-"&amp;$F1241&amp;"-"&amp;$K1241)</f>
        <v/>
      </c>
      <c r="C1241" s="14" t="n"/>
      <c r="D1241" s="15">
        <f>IF($C1241="","",IFERROR(INDEX(rngCadetPIDs,MATCH($C1241,rngCadetNames,0)),"?"))</f>
        <v/>
      </c>
      <c r="E1241" s="15">
        <f>IF($D1241="","",IFERROR(INDEX(nrCadetAgency,MATCH($D1241,rngCadetPIDs,0)),""))</f>
        <v/>
      </c>
      <c r="F1241" s="14" t="n"/>
      <c r="G1241" s="15">
        <f>IF($F1241="","",IFERROR(INDEX(rngEPname,MATCH($F1241,rngEPcode,0)),"?"))</f>
        <v/>
      </c>
      <c r="H1241" s="15">
        <f>IF($F1241="","",IFERROR(INDEX(rngEPtype,MATCH($F1241,rngEPcode,0)),"?"))</f>
        <v/>
      </c>
      <c r="I1241" s="15">
        <f>IF($F1241="","",IFERROR(INDEX(rngEPseq,MATCH($F1241,rngEPcode,0)),""))</f>
        <v/>
      </c>
      <c r="J1241" s="15">
        <f>IF($F1241="","",IFERROR(INDEX(rngEPpass,MATCH($F1241,rngEPcode,0)),cfgPassingScore))</f>
        <v/>
      </c>
      <c r="K1241" s="14" t="n"/>
      <c r="L1241" s="14" t="n"/>
      <c r="M1241" s="15">
        <f>IF($C1241="","",IF($L1241="","",IF($K1241=1,IF(COUNTIFS(nrES_PID,$D1241,nrES_Code,$F1241,nrES_Att,2)&gt;0,"",$L1241),IF(COUNTIFS(nrES_PID,$D1241,nrES_Code,$F1241,nrES_Att,1)=0,$L1241,IF($L1241&gt;=$J1241,cfgRetakeRecordedCap,SUMIFS(nrES_Raw,nrES_PID,$D1241,nrES_Code,$F1241,nrES_Att,1))))))</f>
        <v/>
      </c>
      <c r="N1241" s="15">
        <f>IF($C1241="","",IF($L1241="","",IF($L1241&gt;=$J1241,"Yes","No")))</f>
        <v/>
      </c>
      <c r="O1241" s="15">
        <f>IF($C1241="","",IF($M1241="","",IF($M1241&gt;=$J1241,"Yes","No")))</f>
        <v/>
      </c>
      <c r="P1241" s="15">
        <f>IF($C1241="","",IF($K1241="","",IF(COUNTIFS(nrES_PID,$D1241,nrES_Code,$F1241,nrES_Att,"&gt;"&amp;$K1241)=0,"Yes","No")))</f>
        <v/>
      </c>
      <c r="Q1241" s="15">
        <f>IF($C1241="","",IF($L1241="","",IF(AND($K1241=1,$L1241&lt;$J1241,COUNTIFS(nrES_PID,$D1241,nrES_Code,$F1241,nrES_Att,2)=0),"Yes","No")))</f>
        <v/>
      </c>
      <c r="R1241" s="15">
        <f>IF($C1241="","",IF($L1241="","",IF(AND($K1241=2,$L1241&lt;$J1241,COUNTIFS(nrES_PID,$D1241,nrES_Code,$F1241,nrES_Att,1)&gt;0),"Yes","No")))</f>
        <v/>
      </c>
      <c r="S1241" s="16" t="n"/>
      <c r="T1241" s="17">
        <f>IF($Q1241&lt;&gt;"Yes","",IF($S1241="","(enter date)",_xlfn.LET(_xlpm.dn,IFERROR(_xlfn.XLOOKUP($S1241,nrCDdate,nrCDnum),""),IF(_xlpm.dn="","(not a class day)",IFERROR(_xlfn.XLOOKUP(_xlpm.dn+cfgRetestClassDays,nrCDnum,nrCDdate),"")))))</f>
        <v/>
      </c>
      <c r="U1241" s="15">
        <f>IF($Q1241&lt;&gt;"Yes","",IF(COUNTIFS(nrES_PID,$D1241,nrES_Code,$F1241,nrES_Att,2)&gt;0,"Retested",IF(OR($T1241="",NOT(ISNUMBER($T1241))),"Pending",IF(TODAY()&gt;$T1241,"OVERDUE","Due "&amp;TEXT($T1241,"mm/dd")))))</f>
        <v/>
      </c>
      <c r="V1241" s="14" t="n"/>
      <c r="W1241" s="14" t="n"/>
    </row>
    <row r="1242">
      <c r="B1242" s="15">
        <f>IF($C1242="","",$D1242&amp;"-"&amp;$F1242&amp;"-"&amp;$K1242)</f>
        <v/>
      </c>
      <c r="C1242" s="14" t="n"/>
      <c r="D1242" s="15">
        <f>IF($C1242="","",IFERROR(INDEX(rngCadetPIDs,MATCH($C1242,rngCadetNames,0)),"?"))</f>
        <v/>
      </c>
      <c r="E1242" s="15">
        <f>IF($D1242="","",IFERROR(INDEX(nrCadetAgency,MATCH($D1242,rngCadetPIDs,0)),""))</f>
        <v/>
      </c>
      <c r="F1242" s="14" t="n"/>
      <c r="G1242" s="15">
        <f>IF($F1242="","",IFERROR(INDEX(rngEPname,MATCH($F1242,rngEPcode,0)),"?"))</f>
        <v/>
      </c>
      <c r="H1242" s="15">
        <f>IF($F1242="","",IFERROR(INDEX(rngEPtype,MATCH($F1242,rngEPcode,0)),"?"))</f>
        <v/>
      </c>
      <c r="I1242" s="15">
        <f>IF($F1242="","",IFERROR(INDEX(rngEPseq,MATCH($F1242,rngEPcode,0)),""))</f>
        <v/>
      </c>
      <c r="J1242" s="15">
        <f>IF($F1242="","",IFERROR(INDEX(rngEPpass,MATCH($F1242,rngEPcode,0)),cfgPassingScore))</f>
        <v/>
      </c>
      <c r="K1242" s="14" t="n"/>
      <c r="L1242" s="14" t="n"/>
      <c r="M1242" s="15">
        <f>IF($C1242="","",IF($L1242="","",IF($K1242=1,IF(COUNTIFS(nrES_PID,$D1242,nrES_Code,$F1242,nrES_Att,2)&gt;0,"",$L1242),IF(COUNTIFS(nrES_PID,$D1242,nrES_Code,$F1242,nrES_Att,1)=0,$L1242,IF($L1242&gt;=$J1242,cfgRetakeRecordedCap,SUMIFS(nrES_Raw,nrES_PID,$D1242,nrES_Code,$F1242,nrES_Att,1))))))</f>
        <v/>
      </c>
      <c r="N1242" s="15">
        <f>IF($C1242="","",IF($L1242="","",IF($L1242&gt;=$J1242,"Yes","No")))</f>
        <v/>
      </c>
      <c r="O1242" s="15">
        <f>IF($C1242="","",IF($M1242="","",IF($M1242&gt;=$J1242,"Yes","No")))</f>
        <v/>
      </c>
      <c r="P1242" s="15">
        <f>IF($C1242="","",IF($K1242="","",IF(COUNTIFS(nrES_PID,$D1242,nrES_Code,$F1242,nrES_Att,"&gt;"&amp;$K1242)=0,"Yes","No")))</f>
        <v/>
      </c>
      <c r="Q1242" s="15">
        <f>IF($C1242="","",IF($L1242="","",IF(AND($K1242=1,$L1242&lt;$J1242,COUNTIFS(nrES_PID,$D1242,nrES_Code,$F1242,nrES_Att,2)=0),"Yes","No")))</f>
        <v/>
      </c>
      <c r="R1242" s="15">
        <f>IF($C1242="","",IF($L1242="","",IF(AND($K1242=2,$L1242&lt;$J1242,COUNTIFS(nrES_PID,$D1242,nrES_Code,$F1242,nrES_Att,1)&gt;0),"Yes","No")))</f>
        <v/>
      </c>
      <c r="S1242" s="16" t="n"/>
      <c r="T1242" s="17">
        <f>IF($Q1242&lt;&gt;"Yes","",IF($S1242="","(enter date)",_xlfn.LET(_xlpm.dn,IFERROR(_xlfn.XLOOKUP($S1242,nrCDdate,nrCDnum),""),IF(_xlpm.dn="","(not a class day)",IFERROR(_xlfn.XLOOKUP(_xlpm.dn+cfgRetestClassDays,nrCDnum,nrCDdate),"")))))</f>
        <v/>
      </c>
      <c r="U1242" s="15">
        <f>IF($Q1242&lt;&gt;"Yes","",IF(COUNTIFS(nrES_PID,$D1242,nrES_Code,$F1242,nrES_Att,2)&gt;0,"Retested",IF(OR($T1242="",NOT(ISNUMBER($T1242))),"Pending",IF(TODAY()&gt;$T1242,"OVERDUE","Due "&amp;TEXT($T1242,"mm/dd")))))</f>
        <v/>
      </c>
      <c r="V1242" s="14" t="n"/>
      <c r="W1242" s="14" t="n"/>
    </row>
    <row r="1243">
      <c r="B1243" s="15">
        <f>IF($C1243="","",$D1243&amp;"-"&amp;$F1243&amp;"-"&amp;$K1243)</f>
        <v/>
      </c>
      <c r="C1243" s="14" t="n"/>
      <c r="D1243" s="15">
        <f>IF($C1243="","",IFERROR(INDEX(rngCadetPIDs,MATCH($C1243,rngCadetNames,0)),"?"))</f>
        <v/>
      </c>
      <c r="E1243" s="15">
        <f>IF($D1243="","",IFERROR(INDEX(nrCadetAgency,MATCH($D1243,rngCadetPIDs,0)),""))</f>
        <v/>
      </c>
      <c r="F1243" s="14" t="n"/>
      <c r="G1243" s="15">
        <f>IF($F1243="","",IFERROR(INDEX(rngEPname,MATCH($F1243,rngEPcode,0)),"?"))</f>
        <v/>
      </c>
      <c r="H1243" s="15">
        <f>IF($F1243="","",IFERROR(INDEX(rngEPtype,MATCH($F1243,rngEPcode,0)),"?"))</f>
        <v/>
      </c>
      <c r="I1243" s="15">
        <f>IF($F1243="","",IFERROR(INDEX(rngEPseq,MATCH($F1243,rngEPcode,0)),""))</f>
        <v/>
      </c>
      <c r="J1243" s="15">
        <f>IF($F1243="","",IFERROR(INDEX(rngEPpass,MATCH($F1243,rngEPcode,0)),cfgPassingScore))</f>
        <v/>
      </c>
      <c r="K1243" s="14" t="n"/>
      <c r="L1243" s="14" t="n"/>
      <c r="M1243" s="15">
        <f>IF($C1243="","",IF($L1243="","",IF($K1243=1,IF(COUNTIFS(nrES_PID,$D1243,nrES_Code,$F1243,nrES_Att,2)&gt;0,"",$L1243),IF(COUNTIFS(nrES_PID,$D1243,nrES_Code,$F1243,nrES_Att,1)=0,$L1243,IF($L1243&gt;=$J1243,cfgRetakeRecordedCap,SUMIFS(nrES_Raw,nrES_PID,$D1243,nrES_Code,$F1243,nrES_Att,1))))))</f>
        <v/>
      </c>
      <c r="N1243" s="15">
        <f>IF($C1243="","",IF($L1243="","",IF($L1243&gt;=$J1243,"Yes","No")))</f>
        <v/>
      </c>
      <c r="O1243" s="15">
        <f>IF($C1243="","",IF($M1243="","",IF($M1243&gt;=$J1243,"Yes","No")))</f>
        <v/>
      </c>
      <c r="P1243" s="15">
        <f>IF($C1243="","",IF($K1243="","",IF(COUNTIFS(nrES_PID,$D1243,nrES_Code,$F1243,nrES_Att,"&gt;"&amp;$K1243)=0,"Yes","No")))</f>
        <v/>
      </c>
      <c r="Q1243" s="15">
        <f>IF($C1243="","",IF($L1243="","",IF(AND($K1243=1,$L1243&lt;$J1243,COUNTIFS(nrES_PID,$D1243,nrES_Code,$F1243,nrES_Att,2)=0),"Yes","No")))</f>
        <v/>
      </c>
      <c r="R1243" s="15">
        <f>IF($C1243="","",IF($L1243="","",IF(AND($K1243=2,$L1243&lt;$J1243,COUNTIFS(nrES_PID,$D1243,nrES_Code,$F1243,nrES_Att,1)&gt;0),"Yes","No")))</f>
        <v/>
      </c>
      <c r="S1243" s="16" t="n"/>
      <c r="T1243" s="17">
        <f>IF($Q1243&lt;&gt;"Yes","",IF($S1243="","(enter date)",_xlfn.LET(_xlpm.dn,IFERROR(_xlfn.XLOOKUP($S1243,nrCDdate,nrCDnum),""),IF(_xlpm.dn="","(not a class day)",IFERROR(_xlfn.XLOOKUP(_xlpm.dn+cfgRetestClassDays,nrCDnum,nrCDdate),"")))))</f>
        <v/>
      </c>
      <c r="U1243" s="15">
        <f>IF($Q1243&lt;&gt;"Yes","",IF(COUNTIFS(nrES_PID,$D1243,nrES_Code,$F1243,nrES_Att,2)&gt;0,"Retested",IF(OR($T1243="",NOT(ISNUMBER($T1243))),"Pending",IF(TODAY()&gt;$T1243,"OVERDUE","Due "&amp;TEXT($T1243,"mm/dd")))))</f>
        <v/>
      </c>
      <c r="V1243" s="14" t="n"/>
      <c r="W1243" s="14" t="n"/>
    </row>
    <row r="1244">
      <c r="B1244" s="15">
        <f>IF($C1244="","",$D1244&amp;"-"&amp;$F1244&amp;"-"&amp;$K1244)</f>
        <v/>
      </c>
      <c r="C1244" s="14" t="n"/>
      <c r="D1244" s="15">
        <f>IF($C1244="","",IFERROR(INDEX(rngCadetPIDs,MATCH($C1244,rngCadetNames,0)),"?"))</f>
        <v/>
      </c>
      <c r="E1244" s="15">
        <f>IF($D1244="","",IFERROR(INDEX(nrCadetAgency,MATCH($D1244,rngCadetPIDs,0)),""))</f>
        <v/>
      </c>
      <c r="F1244" s="14" t="n"/>
      <c r="G1244" s="15">
        <f>IF($F1244="","",IFERROR(INDEX(rngEPname,MATCH($F1244,rngEPcode,0)),"?"))</f>
        <v/>
      </c>
      <c r="H1244" s="15">
        <f>IF($F1244="","",IFERROR(INDEX(rngEPtype,MATCH($F1244,rngEPcode,0)),"?"))</f>
        <v/>
      </c>
      <c r="I1244" s="15">
        <f>IF($F1244="","",IFERROR(INDEX(rngEPseq,MATCH($F1244,rngEPcode,0)),""))</f>
        <v/>
      </c>
      <c r="J1244" s="15">
        <f>IF($F1244="","",IFERROR(INDEX(rngEPpass,MATCH($F1244,rngEPcode,0)),cfgPassingScore))</f>
        <v/>
      </c>
      <c r="K1244" s="14" t="n"/>
      <c r="L1244" s="14" t="n"/>
      <c r="M1244" s="15">
        <f>IF($C1244="","",IF($L1244="","",IF($K1244=1,IF(COUNTIFS(nrES_PID,$D1244,nrES_Code,$F1244,nrES_Att,2)&gt;0,"",$L1244),IF(COUNTIFS(nrES_PID,$D1244,nrES_Code,$F1244,nrES_Att,1)=0,$L1244,IF($L1244&gt;=$J1244,cfgRetakeRecordedCap,SUMIFS(nrES_Raw,nrES_PID,$D1244,nrES_Code,$F1244,nrES_Att,1))))))</f>
        <v/>
      </c>
      <c r="N1244" s="15">
        <f>IF($C1244="","",IF($L1244="","",IF($L1244&gt;=$J1244,"Yes","No")))</f>
        <v/>
      </c>
      <c r="O1244" s="15">
        <f>IF($C1244="","",IF($M1244="","",IF($M1244&gt;=$J1244,"Yes","No")))</f>
        <v/>
      </c>
      <c r="P1244" s="15">
        <f>IF($C1244="","",IF($K1244="","",IF(COUNTIFS(nrES_PID,$D1244,nrES_Code,$F1244,nrES_Att,"&gt;"&amp;$K1244)=0,"Yes","No")))</f>
        <v/>
      </c>
      <c r="Q1244" s="15">
        <f>IF($C1244="","",IF($L1244="","",IF(AND($K1244=1,$L1244&lt;$J1244,COUNTIFS(nrES_PID,$D1244,nrES_Code,$F1244,nrES_Att,2)=0),"Yes","No")))</f>
        <v/>
      </c>
      <c r="R1244" s="15">
        <f>IF($C1244="","",IF($L1244="","",IF(AND($K1244=2,$L1244&lt;$J1244,COUNTIFS(nrES_PID,$D1244,nrES_Code,$F1244,nrES_Att,1)&gt;0),"Yes","No")))</f>
        <v/>
      </c>
      <c r="S1244" s="16" t="n"/>
      <c r="T1244" s="17">
        <f>IF($Q1244&lt;&gt;"Yes","",IF($S1244="","(enter date)",_xlfn.LET(_xlpm.dn,IFERROR(_xlfn.XLOOKUP($S1244,nrCDdate,nrCDnum),""),IF(_xlpm.dn="","(not a class day)",IFERROR(_xlfn.XLOOKUP(_xlpm.dn+cfgRetestClassDays,nrCDnum,nrCDdate),"")))))</f>
        <v/>
      </c>
      <c r="U1244" s="15">
        <f>IF($Q1244&lt;&gt;"Yes","",IF(COUNTIFS(nrES_PID,$D1244,nrES_Code,$F1244,nrES_Att,2)&gt;0,"Retested",IF(OR($T1244="",NOT(ISNUMBER($T1244))),"Pending",IF(TODAY()&gt;$T1244,"OVERDUE","Due "&amp;TEXT($T1244,"mm/dd")))))</f>
        <v/>
      </c>
      <c r="V1244" s="14" t="n"/>
      <c r="W1244" s="14" t="n"/>
    </row>
    <row r="1245">
      <c r="B1245" s="15">
        <f>IF($C1245="","",$D1245&amp;"-"&amp;$F1245&amp;"-"&amp;$K1245)</f>
        <v/>
      </c>
      <c r="C1245" s="14" t="n"/>
      <c r="D1245" s="15">
        <f>IF($C1245="","",IFERROR(INDEX(rngCadetPIDs,MATCH($C1245,rngCadetNames,0)),"?"))</f>
        <v/>
      </c>
      <c r="E1245" s="15">
        <f>IF($D1245="","",IFERROR(INDEX(nrCadetAgency,MATCH($D1245,rngCadetPIDs,0)),""))</f>
        <v/>
      </c>
      <c r="F1245" s="14" t="n"/>
      <c r="G1245" s="15">
        <f>IF($F1245="","",IFERROR(INDEX(rngEPname,MATCH($F1245,rngEPcode,0)),"?"))</f>
        <v/>
      </c>
      <c r="H1245" s="15">
        <f>IF($F1245="","",IFERROR(INDEX(rngEPtype,MATCH($F1245,rngEPcode,0)),"?"))</f>
        <v/>
      </c>
      <c r="I1245" s="15">
        <f>IF($F1245="","",IFERROR(INDEX(rngEPseq,MATCH($F1245,rngEPcode,0)),""))</f>
        <v/>
      </c>
      <c r="J1245" s="15">
        <f>IF($F1245="","",IFERROR(INDEX(rngEPpass,MATCH($F1245,rngEPcode,0)),cfgPassingScore))</f>
        <v/>
      </c>
      <c r="K1245" s="14" t="n"/>
      <c r="L1245" s="14" t="n"/>
      <c r="M1245" s="15">
        <f>IF($C1245="","",IF($L1245="","",IF($K1245=1,IF(COUNTIFS(nrES_PID,$D1245,nrES_Code,$F1245,nrES_Att,2)&gt;0,"",$L1245),IF(COUNTIFS(nrES_PID,$D1245,nrES_Code,$F1245,nrES_Att,1)=0,$L1245,IF($L1245&gt;=$J1245,cfgRetakeRecordedCap,SUMIFS(nrES_Raw,nrES_PID,$D1245,nrES_Code,$F1245,nrES_Att,1))))))</f>
        <v/>
      </c>
      <c r="N1245" s="15">
        <f>IF($C1245="","",IF($L1245="","",IF($L1245&gt;=$J1245,"Yes","No")))</f>
        <v/>
      </c>
      <c r="O1245" s="15">
        <f>IF($C1245="","",IF($M1245="","",IF($M1245&gt;=$J1245,"Yes","No")))</f>
        <v/>
      </c>
      <c r="P1245" s="15">
        <f>IF($C1245="","",IF($K1245="","",IF(COUNTIFS(nrES_PID,$D1245,nrES_Code,$F1245,nrES_Att,"&gt;"&amp;$K1245)=0,"Yes","No")))</f>
        <v/>
      </c>
      <c r="Q1245" s="15">
        <f>IF($C1245="","",IF($L1245="","",IF(AND($K1245=1,$L1245&lt;$J1245,COUNTIFS(nrES_PID,$D1245,nrES_Code,$F1245,nrES_Att,2)=0),"Yes","No")))</f>
        <v/>
      </c>
      <c r="R1245" s="15">
        <f>IF($C1245="","",IF($L1245="","",IF(AND($K1245=2,$L1245&lt;$J1245,COUNTIFS(nrES_PID,$D1245,nrES_Code,$F1245,nrES_Att,1)&gt;0),"Yes","No")))</f>
        <v/>
      </c>
      <c r="S1245" s="16" t="n"/>
      <c r="T1245" s="17">
        <f>IF($Q1245&lt;&gt;"Yes","",IF($S1245="","(enter date)",_xlfn.LET(_xlpm.dn,IFERROR(_xlfn.XLOOKUP($S1245,nrCDdate,nrCDnum),""),IF(_xlpm.dn="","(not a class day)",IFERROR(_xlfn.XLOOKUP(_xlpm.dn+cfgRetestClassDays,nrCDnum,nrCDdate),"")))))</f>
        <v/>
      </c>
      <c r="U1245" s="15">
        <f>IF($Q1245&lt;&gt;"Yes","",IF(COUNTIFS(nrES_PID,$D1245,nrES_Code,$F1245,nrES_Att,2)&gt;0,"Retested",IF(OR($T1245="",NOT(ISNUMBER($T1245))),"Pending",IF(TODAY()&gt;$T1245,"OVERDUE","Due "&amp;TEXT($T1245,"mm/dd")))))</f>
        <v/>
      </c>
      <c r="V1245" s="14" t="n"/>
      <c r="W1245" s="14" t="n"/>
    </row>
    <row r="1246">
      <c r="B1246" s="15">
        <f>IF($C1246="","",$D1246&amp;"-"&amp;$F1246&amp;"-"&amp;$K1246)</f>
        <v/>
      </c>
      <c r="C1246" s="14" t="n"/>
      <c r="D1246" s="15">
        <f>IF($C1246="","",IFERROR(INDEX(rngCadetPIDs,MATCH($C1246,rngCadetNames,0)),"?"))</f>
        <v/>
      </c>
      <c r="E1246" s="15">
        <f>IF($D1246="","",IFERROR(INDEX(nrCadetAgency,MATCH($D1246,rngCadetPIDs,0)),""))</f>
        <v/>
      </c>
      <c r="F1246" s="14" t="n"/>
      <c r="G1246" s="15">
        <f>IF($F1246="","",IFERROR(INDEX(rngEPname,MATCH($F1246,rngEPcode,0)),"?"))</f>
        <v/>
      </c>
      <c r="H1246" s="15">
        <f>IF($F1246="","",IFERROR(INDEX(rngEPtype,MATCH($F1246,rngEPcode,0)),"?"))</f>
        <v/>
      </c>
      <c r="I1246" s="15">
        <f>IF($F1246="","",IFERROR(INDEX(rngEPseq,MATCH($F1246,rngEPcode,0)),""))</f>
        <v/>
      </c>
      <c r="J1246" s="15">
        <f>IF($F1246="","",IFERROR(INDEX(rngEPpass,MATCH($F1246,rngEPcode,0)),cfgPassingScore))</f>
        <v/>
      </c>
      <c r="K1246" s="14" t="n"/>
      <c r="L1246" s="14" t="n"/>
      <c r="M1246" s="15">
        <f>IF($C1246="","",IF($L1246="","",IF($K1246=1,IF(COUNTIFS(nrES_PID,$D1246,nrES_Code,$F1246,nrES_Att,2)&gt;0,"",$L1246),IF(COUNTIFS(nrES_PID,$D1246,nrES_Code,$F1246,nrES_Att,1)=0,$L1246,IF($L1246&gt;=$J1246,cfgRetakeRecordedCap,SUMIFS(nrES_Raw,nrES_PID,$D1246,nrES_Code,$F1246,nrES_Att,1))))))</f>
        <v/>
      </c>
      <c r="N1246" s="15">
        <f>IF($C1246="","",IF($L1246="","",IF($L1246&gt;=$J1246,"Yes","No")))</f>
        <v/>
      </c>
      <c r="O1246" s="15">
        <f>IF($C1246="","",IF($M1246="","",IF($M1246&gt;=$J1246,"Yes","No")))</f>
        <v/>
      </c>
      <c r="P1246" s="15">
        <f>IF($C1246="","",IF($K1246="","",IF(COUNTIFS(nrES_PID,$D1246,nrES_Code,$F1246,nrES_Att,"&gt;"&amp;$K1246)=0,"Yes","No")))</f>
        <v/>
      </c>
      <c r="Q1246" s="15">
        <f>IF($C1246="","",IF($L1246="","",IF(AND($K1246=1,$L1246&lt;$J1246,COUNTIFS(nrES_PID,$D1246,nrES_Code,$F1246,nrES_Att,2)=0),"Yes","No")))</f>
        <v/>
      </c>
      <c r="R1246" s="15">
        <f>IF($C1246="","",IF($L1246="","",IF(AND($K1246=2,$L1246&lt;$J1246,COUNTIFS(nrES_PID,$D1246,nrES_Code,$F1246,nrES_Att,1)&gt;0),"Yes","No")))</f>
        <v/>
      </c>
      <c r="S1246" s="16" t="n"/>
      <c r="T1246" s="17">
        <f>IF($Q1246&lt;&gt;"Yes","",IF($S1246="","(enter date)",_xlfn.LET(_xlpm.dn,IFERROR(_xlfn.XLOOKUP($S1246,nrCDdate,nrCDnum),""),IF(_xlpm.dn="","(not a class day)",IFERROR(_xlfn.XLOOKUP(_xlpm.dn+cfgRetestClassDays,nrCDnum,nrCDdate),"")))))</f>
        <v/>
      </c>
      <c r="U1246" s="15">
        <f>IF($Q1246&lt;&gt;"Yes","",IF(COUNTIFS(nrES_PID,$D1246,nrES_Code,$F1246,nrES_Att,2)&gt;0,"Retested",IF(OR($T1246="",NOT(ISNUMBER($T1246))),"Pending",IF(TODAY()&gt;$T1246,"OVERDUE","Due "&amp;TEXT($T1246,"mm/dd")))))</f>
        <v/>
      </c>
      <c r="V1246" s="14" t="n"/>
      <c r="W1246" s="14" t="n"/>
    </row>
    <row r="1247">
      <c r="B1247" s="15">
        <f>IF($C1247="","",$D1247&amp;"-"&amp;$F1247&amp;"-"&amp;$K1247)</f>
        <v/>
      </c>
      <c r="C1247" s="14" t="n"/>
      <c r="D1247" s="15">
        <f>IF($C1247="","",IFERROR(INDEX(rngCadetPIDs,MATCH($C1247,rngCadetNames,0)),"?"))</f>
        <v/>
      </c>
      <c r="E1247" s="15">
        <f>IF($D1247="","",IFERROR(INDEX(nrCadetAgency,MATCH($D1247,rngCadetPIDs,0)),""))</f>
        <v/>
      </c>
      <c r="F1247" s="14" t="n"/>
      <c r="G1247" s="15">
        <f>IF($F1247="","",IFERROR(INDEX(rngEPname,MATCH($F1247,rngEPcode,0)),"?"))</f>
        <v/>
      </c>
      <c r="H1247" s="15">
        <f>IF($F1247="","",IFERROR(INDEX(rngEPtype,MATCH($F1247,rngEPcode,0)),"?"))</f>
        <v/>
      </c>
      <c r="I1247" s="15">
        <f>IF($F1247="","",IFERROR(INDEX(rngEPseq,MATCH($F1247,rngEPcode,0)),""))</f>
        <v/>
      </c>
      <c r="J1247" s="15">
        <f>IF($F1247="","",IFERROR(INDEX(rngEPpass,MATCH($F1247,rngEPcode,0)),cfgPassingScore))</f>
        <v/>
      </c>
      <c r="K1247" s="14" t="n"/>
      <c r="L1247" s="14" t="n"/>
      <c r="M1247" s="15">
        <f>IF($C1247="","",IF($L1247="","",IF($K1247=1,IF(COUNTIFS(nrES_PID,$D1247,nrES_Code,$F1247,nrES_Att,2)&gt;0,"",$L1247),IF(COUNTIFS(nrES_PID,$D1247,nrES_Code,$F1247,nrES_Att,1)=0,$L1247,IF($L1247&gt;=$J1247,cfgRetakeRecordedCap,SUMIFS(nrES_Raw,nrES_PID,$D1247,nrES_Code,$F1247,nrES_Att,1))))))</f>
        <v/>
      </c>
      <c r="N1247" s="15">
        <f>IF($C1247="","",IF($L1247="","",IF($L1247&gt;=$J1247,"Yes","No")))</f>
        <v/>
      </c>
      <c r="O1247" s="15">
        <f>IF($C1247="","",IF($M1247="","",IF($M1247&gt;=$J1247,"Yes","No")))</f>
        <v/>
      </c>
      <c r="P1247" s="15">
        <f>IF($C1247="","",IF($K1247="","",IF(COUNTIFS(nrES_PID,$D1247,nrES_Code,$F1247,nrES_Att,"&gt;"&amp;$K1247)=0,"Yes","No")))</f>
        <v/>
      </c>
      <c r="Q1247" s="15">
        <f>IF($C1247="","",IF($L1247="","",IF(AND($K1247=1,$L1247&lt;$J1247,COUNTIFS(nrES_PID,$D1247,nrES_Code,$F1247,nrES_Att,2)=0),"Yes","No")))</f>
        <v/>
      </c>
      <c r="R1247" s="15">
        <f>IF($C1247="","",IF($L1247="","",IF(AND($K1247=2,$L1247&lt;$J1247,COUNTIFS(nrES_PID,$D1247,nrES_Code,$F1247,nrES_Att,1)&gt;0),"Yes","No")))</f>
        <v/>
      </c>
      <c r="S1247" s="16" t="n"/>
      <c r="T1247" s="17">
        <f>IF($Q1247&lt;&gt;"Yes","",IF($S1247="","(enter date)",_xlfn.LET(_xlpm.dn,IFERROR(_xlfn.XLOOKUP($S1247,nrCDdate,nrCDnum),""),IF(_xlpm.dn="","(not a class day)",IFERROR(_xlfn.XLOOKUP(_xlpm.dn+cfgRetestClassDays,nrCDnum,nrCDdate),"")))))</f>
        <v/>
      </c>
      <c r="U1247" s="15">
        <f>IF($Q1247&lt;&gt;"Yes","",IF(COUNTIFS(nrES_PID,$D1247,nrES_Code,$F1247,nrES_Att,2)&gt;0,"Retested",IF(OR($T1247="",NOT(ISNUMBER($T1247))),"Pending",IF(TODAY()&gt;$T1247,"OVERDUE","Due "&amp;TEXT($T1247,"mm/dd")))))</f>
        <v/>
      </c>
      <c r="V1247" s="14" t="n"/>
      <c r="W1247" s="14" t="n"/>
    </row>
    <row r="1248">
      <c r="B1248" s="15">
        <f>IF($C1248="","",$D1248&amp;"-"&amp;$F1248&amp;"-"&amp;$K1248)</f>
        <v/>
      </c>
      <c r="C1248" s="14" t="n"/>
      <c r="D1248" s="15">
        <f>IF($C1248="","",IFERROR(INDEX(rngCadetPIDs,MATCH($C1248,rngCadetNames,0)),"?"))</f>
        <v/>
      </c>
      <c r="E1248" s="15">
        <f>IF($D1248="","",IFERROR(INDEX(nrCadetAgency,MATCH($D1248,rngCadetPIDs,0)),""))</f>
        <v/>
      </c>
      <c r="F1248" s="14" t="n"/>
      <c r="G1248" s="15">
        <f>IF($F1248="","",IFERROR(INDEX(rngEPname,MATCH($F1248,rngEPcode,0)),"?"))</f>
        <v/>
      </c>
      <c r="H1248" s="15">
        <f>IF($F1248="","",IFERROR(INDEX(rngEPtype,MATCH($F1248,rngEPcode,0)),"?"))</f>
        <v/>
      </c>
      <c r="I1248" s="15">
        <f>IF($F1248="","",IFERROR(INDEX(rngEPseq,MATCH($F1248,rngEPcode,0)),""))</f>
        <v/>
      </c>
      <c r="J1248" s="15">
        <f>IF($F1248="","",IFERROR(INDEX(rngEPpass,MATCH($F1248,rngEPcode,0)),cfgPassingScore))</f>
        <v/>
      </c>
      <c r="K1248" s="14" t="n"/>
      <c r="L1248" s="14" t="n"/>
      <c r="M1248" s="15">
        <f>IF($C1248="","",IF($L1248="","",IF($K1248=1,IF(COUNTIFS(nrES_PID,$D1248,nrES_Code,$F1248,nrES_Att,2)&gt;0,"",$L1248),IF(COUNTIFS(nrES_PID,$D1248,nrES_Code,$F1248,nrES_Att,1)=0,$L1248,IF($L1248&gt;=$J1248,cfgRetakeRecordedCap,SUMIFS(nrES_Raw,nrES_PID,$D1248,nrES_Code,$F1248,nrES_Att,1))))))</f>
        <v/>
      </c>
      <c r="N1248" s="15">
        <f>IF($C1248="","",IF($L1248="","",IF($L1248&gt;=$J1248,"Yes","No")))</f>
        <v/>
      </c>
      <c r="O1248" s="15">
        <f>IF($C1248="","",IF($M1248="","",IF($M1248&gt;=$J1248,"Yes","No")))</f>
        <v/>
      </c>
      <c r="P1248" s="15">
        <f>IF($C1248="","",IF($K1248="","",IF(COUNTIFS(nrES_PID,$D1248,nrES_Code,$F1248,nrES_Att,"&gt;"&amp;$K1248)=0,"Yes","No")))</f>
        <v/>
      </c>
      <c r="Q1248" s="15">
        <f>IF($C1248="","",IF($L1248="","",IF(AND($K1248=1,$L1248&lt;$J1248,COUNTIFS(nrES_PID,$D1248,nrES_Code,$F1248,nrES_Att,2)=0),"Yes","No")))</f>
        <v/>
      </c>
      <c r="R1248" s="15">
        <f>IF($C1248="","",IF($L1248="","",IF(AND($K1248=2,$L1248&lt;$J1248,COUNTIFS(nrES_PID,$D1248,nrES_Code,$F1248,nrES_Att,1)&gt;0),"Yes","No")))</f>
        <v/>
      </c>
      <c r="S1248" s="16" t="n"/>
      <c r="T1248" s="17">
        <f>IF($Q1248&lt;&gt;"Yes","",IF($S1248="","(enter date)",_xlfn.LET(_xlpm.dn,IFERROR(_xlfn.XLOOKUP($S1248,nrCDdate,nrCDnum),""),IF(_xlpm.dn="","(not a class day)",IFERROR(_xlfn.XLOOKUP(_xlpm.dn+cfgRetestClassDays,nrCDnum,nrCDdate),"")))))</f>
        <v/>
      </c>
      <c r="U1248" s="15">
        <f>IF($Q1248&lt;&gt;"Yes","",IF(COUNTIFS(nrES_PID,$D1248,nrES_Code,$F1248,nrES_Att,2)&gt;0,"Retested",IF(OR($T1248="",NOT(ISNUMBER($T1248))),"Pending",IF(TODAY()&gt;$T1248,"OVERDUE","Due "&amp;TEXT($T1248,"mm/dd")))))</f>
        <v/>
      </c>
      <c r="V1248" s="14" t="n"/>
      <c r="W1248" s="14" t="n"/>
    </row>
    <row r="1249">
      <c r="B1249" s="15">
        <f>IF($C1249="","",$D1249&amp;"-"&amp;$F1249&amp;"-"&amp;$K1249)</f>
        <v/>
      </c>
      <c r="C1249" s="14" t="n"/>
      <c r="D1249" s="15">
        <f>IF($C1249="","",IFERROR(INDEX(rngCadetPIDs,MATCH($C1249,rngCadetNames,0)),"?"))</f>
        <v/>
      </c>
      <c r="E1249" s="15">
        <f>IF($D1249="","",IFERROR(INDEX(nrCadetAgency,MATCH($D1249,rngCadetPIDs,0)),""))</f>
        <v/>
      </c>
      <c r="F1249" s="14" t="n"/>
      <c r="G1249" s="15">
        <f>IF($F1249="","",IFERROR(INDEX(rngEPname,MATCH($F1249,rngEPcode,0)),"?"))</f>
        <v/>
      </c>
      <c r="H1249" s="15">
        <f>IF($F1249="","",IFERROR(INDEX(rngEPtype,MATCH($F1249,rngEPcode,0)),"?"))</f>
        <v/>
      </c>
      <c r="I1249" s="15">
        <f>IF($F1249="","",IFERROR(INDEX(rngEPseq,MATCH($F1249,rngEPcode,0)),""))</f>
        <v/>
      </c>
      <c r="J1249" s="15">
        <f>IF($F1249="","",IFERROR(INDEX(rngEPpass,MATCH($F1249,rngEPcode,0)),cfgPassingScore))</f>
        <v/>
      </c>
      <c r="K1249" s="14" t="n"/>
      <c r="L1249" s="14" t="n"/>
      <c r="M1249" s="15">
        <f>IF($C1249="","",IF($L1249="","",IF($K1249=1,IF(COUNTIFS(nrES_PID,$D1249,nrES_Code,$F1249,nrES_Att,2)&gt;0,"",$L1249),IF(COUNTIFS(nrES_PID,$D1249,nrES_Code,$F1249,nrES_Att,1)=0,$L1249,IF($L1249&gt;=$J1249,cfgRetakeRecordedCap,SUMIFS(nrES_Raw,nrES_PID,$D1249,nrES_Code,$F1249,nrES_Att,1))))))</f>
        <v/>
      </c>
      <c r="N1249" s="15">
        <f>IF($C1249="","",IF($L1249="","",IF($L1249&gt;=$J1249,"Yes","No")))</f>
        <v/>
      </c>
      <c r="O1249" s="15">
        <f>IF($C1249="","",IF($M1249="","",IF($M1249&gt;=$J1249,"Yes","No")))</f>
        <v/>
      </c>
      <c r="P1249" s="15">
        <f>IF($C1249="","",IF($K1249="","",IF(COUNTIFS(nrES_PID,$D1249,nrES_Code,$F1249,nrES_Att,"&gt;"&amp;$K1249)=0,"Yes","No")))</f>
        <v/>
      </c>
      <c r="Q1249" s="15">
        <f>IF($C1249="","",IF($L1249="","",IF(AND($K1249=1,$L1249&lt;$J1249,COUNTIFS(nrES_PID,$D1249,nrES_Code,$F1249,nrES_Att,2)=0),"Yes","No")))</f>
        <v/>
      </c>
      <c r="R1249" s="15">
        <f>IF($C1249="","",IF($L1249="","",IF(AND($K1249=2,$L1249&lt;$J1249,COUNTIFS(nrES_PID,$D1249,nrES_Code,$F1249,nrES_Att,1)&gt;0),"Yes","No")))</f>
        <v/>
      </c>
      <c r="S1249" s="16" t="n"/>
      <c r="T1249" s="17">
        <f>IF($Q1249&lt;&gt;"Yes","",IF($S1249="","(enter date)",_xlfn.LET(_xlpm.dn,IFERROR(_xlfn.XLOOKUP($S1249,nrCDdate,nrCDnum),""),IF(_xlpm.dn="","(not a class day)",IFERROR(_xlfn.XLOOKUP(_xlpm.dn+cfgRetestClassDays,nrCDnum,nrCDdate),"")))))</f>
        <v/>
      </c>
      <c r="U1249" s="15">
        <f>IF($Q1249&lt;&gt;"Yes","",IF(COUNTIFS(nrES_PID,$D1249,nrES_Code,$F1249,nrES_Att,2)&gt;0,"Retested",IF(OR($T1249="",NOT(ISNUMBER($T1249))),"Pending",IF(TODAY()&gt;$T1249,"OVERDUE","Due "&amp;TEXT($T1249,"mm/dd")))))</f>
        <v/>
      </c>
      <c r="V1249" s="14" t="n"/>
      <c r="W1249" s="14" t="n"/>
    </row>
    <row r="1250">
      <c r="B1250" s="15">
        <f>IF($C1250="","",$D1250&amp;"-"&amp;$F1250&amp;"-"&amp;$K1250)</f>
        <v/>
      </c>
      <c r="C1250" s="14" t="n"/>
      <c r="D1250" s="15">
        <f>IF($C1250="","",IFERROR(INDEX(rngCadetPIDs,MATCH($C1250,rngCadetNames,0)),"?"))</f>
        <v/>
      </c>
      <c r="E1250" s="15">
        <f>IF($D1250="","",IFERROR(INDEX(nrCadetAgency,MATCH($D1250,rngCadetPIDs,0)),""))</f>
        <v/>
      </c>
      <c r="F1250" s="14" t="n"/>
      <c r="G1250" s="15">
        <f>IF($F1250="","",IFERROR(INDEX(rngEPname,MATCH($F1250,rngEPcode,0)),"?"))</f>
        <v/>
      </c>
      <c r="H1250" s="15">
        <f>IF($F1250="","",IFERROR(INDEX(rngEPtype,MATCH($F1250,rngEPcode,0)),"?"))</f>
        <v/>
      </c>
      <c r="I1250" s="15">
        <f>IF($F1250="","",IFERROR(INDEX(rngEPseq,MATCH($F1250,rngEPcode,0)),""))</f>
        <v/>
      </c>
      <c r="J1250" s="15">
        <f>IF($F1250="","",IFERROR(INDEX(rngEPpass,MATCH($F1250,rngEPcode,0)),cfgPassingScore))</f>
        <v/>
      </c>
      <c r="K1250" s="14" t="n"/>
      <c r="L1250" s="14" t="n"/>
      <c r="M1250" s="15">
        <f>IF($C1250="","",IF($L1250="","",IF($K1250=1,IF(COUNTIFS(nrES_PID,$D1250,nrES_Code,$F1250,nrES_Att,2)&gt;0,"",$L1250),IF(COUNTIFS(nrES_PID,$D1250,nrES_Code,$F1250,nrES_Att,1)=0,$L1250,IF($L1250&gt;=$J1250,cfgRetakeRecordedCap,SUMIFS(nrES_Raw,nrES_PID,$D1250,nrES_Code,$F1250,nrES_Att,1))))))</f>
        <v/>
      </c>
      <c r="N1250" s="15">
        <f>IF($C1250="","",IF($L1250="","",IF($L1250&gt;=$J1250,"Yes","No")))</f>
        <v/>
      </c>
      <c r="O1250" s="15">
        <f>IF($C1250="","",IF($M1250="","",IF($M1250&gt;=$J1250,"Yes","No")))</f>
        <v/>
      </c>
      <c r="P1250" s="15">
        <f>IF($C1250="","",IF($K1250="","",IF(COUNTIFS(nrES_PID,$D1250,nrES_Code,$F1250,nrES_Att,"&gt;"&amp;$K1250)=0,"Yes","No")))</f>
        <v/>
      </c>
      <c r="Q1250" s="15">
        <f>IF($C1250="","",IF($L1250="","",IF(AND($K1250=1,$L1250&lt;$J1250,COUNTIFS(nrES_PID,$D1250,nrES_Code,$F1250,nrES_Att,2)=0),"Yes","No")))</f>
        <v/>
      </c>
      <c r="R1250" s="15">
        <f>IF($C1250="","",IF($L1250="","",IF(AND($K1250=2,$L1250&lt;$J1250,COUNTIFS(nrES_PID,$D1250,nrES_Code,$F1250,nrES_Att,1)&gt;0),"Yes","No")))</f>
        <v/>
      </c>
      <c r="S1250" s="16" t="n"/>
      <c r="T1250" s="17">
        <f>IF($Q1250&lt;&gt;"Yes","",IF($S1250="","(enter date)",_xlfn.LET(_xlpm.dn,IFERROR(_xlfn.XLOOKUP($S1250,nrCDdate,nrCDnum),""),IF(_xlpm.dn="","(not a class day)",IFERROR(_xlfn.XLOOKUP(_xlpm.dn+cfgRetestClassDays,nrCDnum,nrCDdate),"")))))</f>
        <v/>
      </c>
      <c r="U1250" s="15">
        <f>IF($Q1250&lt;&gt;"Yes","",IF(COUNTIFS(nrES_PID,$D1250,nrES_Code,$F1250,nrES_Att,2)&gt;0,"Retested",IF(OR($T1250="",NOT(ISNUMBER($T1250))),"Pending",IF(TODAY()&gt;$T1250,"OVERDUE","Due "&amp;TEXT($T1250,"mm/dd")))))</f>
        <v/>
      </c>
      <c r="V1250" s="14" t="n"/>
      <c r="W1250" s="14" t="n"/>
    </row>
    <row r="1251">
      <c r="B1251" s="15">
        <f>IF($C1251="","",$D1251&amp;"-"&amp;$F1251&amp;"-"&amp;$K1251)</f>
        <v/>
      </c>
      <c r="C1251" s="14" t="n"/>
      <c r="D1251" s="15">
        <f>IF($C1251="","",IFERROR(INDEX(rngCadetPIDs,MATCH($C1251,rngCadetNames,0)),"?"))</f>
        <v/>
      </c>
      <c r="E1251" s="15">
        <f>IF($D1251="","",IFERROR(INDEX(nrCadetAgency,MATCH($D1251,rngCadetPIDs,0)),""))</f>
        <v/>
      </c>
      <c r="F1251" s="14" t="n"/>
      <c r="G1251" s="15">
        <f>IF($F1251="","",IFERROR(INDEX(rngEPname,MATCH($F1251,rngEPcode,0)),"?"))</f>
        <v/>
      </c>
      <c r="H1251" s="15">
        <f>IF($F1251="","",IFERROR(INDEX(rngEPtype,MATCH($F1251,rngEPcode,0)),"?"))</f>
        <v/>
      </c>
      <c r="I1251" s="15">
        <f>IF($F1251="","",IFERROR(INDEX(rngEPseq,MATCH($F1251,rngEPcode,0)),""))</f>
        <v/>
      </c>
      <c r="J1251" s="15">
        <f>IF($F1251="","",IFERROR(INDEX(rngEPpass,MATCH($F1251,rngEPcode,0)),cfgPassingScore))</f>
        <v/>
      </c>
      <c r="K1251" s="14" t="n"/>
      <c r="L1251" s="14" t="n"/>
      <c r="M1251" s="15">
        <f>IF($C1251="","",IF($L1251="","",IF($K1251=1,IF(COUNTIFS(nrES_PID,$D1251,nrES_Code,$F1251,nrES_Att,2)&gt;0,"",$L1251),IF(COUNTIFS(nrES_PID,$D1251,nrES_Code,$F1251,nrES_Att,1)=0,$L1251,IF($L1251&gt;=$J1251,cfgRetakeRecordedCap,SUMIFS(nrES_Raw,nrES_PID,$D1251,nrES_Code,$F1251,nrES_Att,1))))))</f>
        <v/>
      </c>
      <c r="N1251" s="15">
        <f>IF($C1251="","",IF($L1251="","",IF($L1251&gt;=$J1251,"Yes","No")))</f>
        <v/>
      </c>
      <c r="O1251" s="15">
        <f>IF($C1251="","",IF($M1251="","",IF($M1251&gt;=$J1251,"Yes","No")))</f>
        <v/>
      </c>
      <c r="P1251" s="15">
        <f>IF($C1251="","",IF($K1251="","",IF(COUNTIFS(nrES_PID,$D1251,nrES_Code,$F1251,nrES_Att,"&gt;"&amp;$K1251)=0,"Yes","No")))</f>
        <v/>
      </c>
      <c r="Q1251" s="15">
        <f>IF($C1251="","",IF($L1251="","",IF(AND($K1251=1,$L1251&lt;$J1251,COUNTIFS(nrES_PID,$D1251,nrES_Code,$F1251,nrES_Att,2)=0),"Yes","No")))</f>
        <v/>
      </c>
      <c r="R1251" s="15">
        <f>IF($C1251="","",IF($L1251="","",IF(AND($K1251=2,$L1251&lt;$J1251,COUNTIFS(nrES_PID,$D1251,nrES_Code,$F1251,nrES_Att,1)&gt;0),"Yes","No")))</f>
        <v/>
      </c>
      <c r="S1251" s="16" t="n"/>
      <c r="T1251" s="17">
        <f>IF($Q1251&lt;&gt;"Yes","",IF($S1251="","(enter date)",_xlfn.LET(_xlpm.dn,IFERROR(_xlfn.XLOOKUP($S1251,nrCDdate,nrCDnum),""),IF(_xlpm.dn="","(not a class day)",IFERROR(_xlfn.XLOOKUP(_xlpm.dn+cfgRetestClassDays,nrCDnum,nrCDdate),"")))))</f>
        <v/>
      </c>
      <c r="U1251" s="15">
        <f>IF($Q1251&lt;&gt;"Yes","",IF(COUNTIFS(nrES_PID,$D1251,nrES_Code,$F1251,nrES_Att,2)&gt;0,"Retested",IF(OR($T1251="",NOT(ISNUMBER($T1251))),"Pending",IF(TODAY()&gt;$T1251,"OVERDUE","Due "&amp;TEXT($T1251,"mm/dd")))))</f>
        <v/>
      </c>
      <c r="V1251" s="14" t="n"/>
      <c r="W1251" s="14" t="n"/>
    </row>
    <row r="1252">
      <c r="B1252" s="15">
        <f>IF($C1252="","",$D1252&amp;"-"&amp;$F1252&amp;"-"&amp;$K1252)</f>
        <v/>
      </c>
      <c r="C1252" s="14" t="n"/>
      <c r="D1252" s="15">
        <f>IF($C1252="","",IFERROR(INDEX(rngCadetPIDs,MATCH($C1252,rngCadetNames,0)),"?"))</f>
        <v/>
      </c>
      <c r="E1252" s="15">
        <f>IF($D1252="","",IFERROR(INDEX(nrCadetAgency,MATCH($D1252,rngCadetPIDs,0)),""))</f>
        <v/>
      </c>
      <c r="F1252" s="14" t="n"/>
      <c r="G1252" s="15">
        <f>IF($F1252="","",IFERROR(INDEX(rngEPname,MATCH($F1252,rngEPcode,0)),"?"))</f>
        <v/>
      </c>
      <c r="H1252" s="15">
        <f>IF($F1252="","",IFERROR(INDEX(rngEPtype,MATCH($F1252,rngEPcode,0)),"?"))</f>
        <v/>
      </c>
      <c r="I1252" s="15">
        <f>IF($F1252="","",IFERROR(INDEX(rngEPseq,MATCH($F1252,rngEPcode,0)),""))</f>
        <v/>
      </c>
      <c r="J1252" s="15">
        <f>IF($F1252="","",IFERROR(INDEX(rngEPpass,MATCH($F1252,rngEPcode,0)),cfgPassingScore))</f>
        <v/>
      </c>
      <c r="K1252" s="14" t="n"/>
      <c r="L1252" s="14" t="n"/>
      <c r="M1252" s="15">
        <f>IF($C1252="","",IF($L1252="","",IF($K1252=1,IF(COUNTIFS(nrES_PID,$D1252,nrES_Code,$F1252,nrES_Att,2)&gt;0,"",$L1252),IF(COUNTIFS(nrES_PID,$D1252,nrES_Code,$F1252,nrES_Att,1)=0,$L1252,IF($L1252&gt;=$J1252,cfgRetakeRecordedCap,SUMIFS(nrES_Raw,nrES_PID,$D1252,nrES_Code,$F1252,nrES_Att,1))))))</f>
        <v/>
      </c>
      <c r="N1252" s="15">
        <f>IF($C1252="","",IF($L1252="","",IF($L1252&gt;=$J1252,"Yes","No")))</f>
        <v/>
      </c>
      <c r="O1252" s="15">
        <f>IF($C1252="","",IF($M1252="","",IF($M1252&gt;=$J1252,"Yes","No")))</f>
        <v/>
      </c>
      <c r="P1252" s="15">
        <f>IF($C1252="","",IF($K1252="","",IF(COUNTIFS(nrES_PID,$D1252,nrES_Code,$F1252,nrES_Att,"&gt;"&amp;$K1252)=0,"Yes","No")))</f>
        <v/>
      </c>
      <c r="Q1252" s="15">
        <f>IF($C1252="","",IF($L1252="","",IF(AND($K1252=1,$L1252&lt;$J1252,COUNTIFS(nrES_PID,$D1252,nrES_Code,$F1252,nrES_Att,2)=0),"Yes","No")))</f>
        <v/>
      </c>
      <c r="R1252" s="15">
        <f>IF($C1252="","",IF($L1252="","",IF(AND($K1252=2,$L1252&lt;$J1252,COUNTIFS(nrES_PID,$D1252,nrES_Code,$F1252,nrES_Att,1)&gt;0),"Yes","No")))</f>
        <v/>
      </c>
      <c r="S1252" s="16" t="n"/>
      <c r="T1252" s="17">
        <f>IF($Q1252&lt;&gt;"Yes","",IF($S1252="","(enter date)",_xlfn.LET(_xlpm.dn,IFERROR(_xlfn.XLOOKUP($S1252,nrCDdate,nrCDnum),""),IF(_xlpm.dn="","(not a class day)",IFERROR(_xlfn.XLOOKUP(_xlpm.dn+cfgRetestClassDays,nrCDnum,nrCDdate),"")))))</f>
        <v/>
      </c>
      <c r="U1252" s="15">
        <f>IF($Q1252&lt;&gt;"Yes","",IF(COUNTIFS(nrES_PID,$D1252,nrES_Code,$F1252,nrES_Att,2)&gt;0,"Retested",IF(OR($T1252="",NOT(ISNUMBER($T1252))),"Pending",IF(TODAY()&gt;$T1252,"OVERDUE","Due "&amp;TEXT($T1252,"mm/dd")))))</f>
        <v/>
      </c>
      <c r="V1252" s="14" t="n"/>
      <c r="W1252" s="14" t="n"/>
    </row>
    <row r="1253">
      <c r="B1253" s="15">
        <f>IF($C1253="","",$D1253&amp;"-"&amp;$F1253&amp;"-"&amp;$K1253)</f>
        <v/>
      </c>
      <c r="C1253" s="14" t="n"/>
      <c r="D1253" s="15">
        <f>IF($C1253="","",IFERROR(INDEX(rngCadetPIDs,MATCH($C1253,rngCadetNames,0)),"?"))</f>
        <v/>
      </c>
      <c r="E1253" s="15">
        <f>IF($D1253="","",IFERROR(INDEX(nrCadetAgency,MATCH($D1253,rngCadetPIDs,0)),""))</f>
        <v/>
      </c>
      <c r="F1253" s="14" t="n"/>
      <c r="G1253" s="15">
        <f>IF($F1253="","",IFERROR(INDEX(rngEPname,MATCH($F1253,rngEPcode,0)),"?"))</f>
        <v/>
      </c>
      <c r="H1253" s="15">
        <f>IF($F1253="","",IFERROR(INDEX(rngEPtype,MATCH($F1253,rngEPcode,0)),"?"))</f>
        <v/>
      </c>
      <c r="I1253" s="15">
        <f>IF($F1253="","",IFERROR(INDEX(rngEPseq,MATCH($F1253,rngEPcode,0)),""))</f>
        <v/>
      </c>
      <c r="J1253" s="15">
        <f>IF($F1253="","",IFERROR(INDEX(rngEPpass,MATCH($F1253,rngEPcode,0)),cfgPassingScore))</f>
        <v/>
      </c>
      <c r="K1253" s="14" t="n"/>
      <c r="L1253" s="14" t="n"/>
      <c r="M1253" s="15">
        <f>IF($C1253="","",IF($L1253="","",IF($K1253=1,IF(COUNTIFS(nrES_PID,$D1253,nrES_Code,$F1253,nrES_Att,2)&gt;0,"",$L1253),IF(COUNTIFS(nrES_PID,$D1253,nrES_Code,$F1253,nrES_Att,1)=0,$L1253,IF($L1253&gt;=$J1253,cfgRetakeRecordedCap,SUMIFS(nrES_Raw,nrES_PID,$D1253,nrES_Code,$F1253,nrES_Att,1))))))</f>
        <v/>
      </c>
      <c r="N1253" s="15">
        <f>IF($C1253="","",IF($L1253="","",IF($L1253&gt;=$J1253,"Yes","No")))</f>
        <v/>
      </c>
      <c r="O1253" s="15">
        <f>IF($C1253="","",IF($M1253="","",IF($M1253&gt;=$J1253,"Yes","No")))</f>
        <v/>
      </c>
      <c r="P1253" s="15">
        <f>IF($C1253="","",IF($K1253="","",IF(COUNTIFS(nrES_PID,$D1253,nrES_Code,$F1253,nrES_Att,"&gt;"&amp;$K1253)=0,"Yes","No")))</f>
        <v/>
      </c>
      <c r="Q1253" s="15">
        <f>IF($C1253="","",IF($L1253="","",IF(AND($K1253=1,$L1253&lt;$J1253,COUNTIFS(nrES_PID,$D1253,nrES_Code,$F1253,nrES_Att,2)=0),"Yes","No")))</f>
        <v/>
      </c>
      <c r="R1253" s="15">
        <f>IF($C1253="","",IF($L1253="","",IF(AND($K1253=2,$L1253&lt;$J1253,COUNTIFS(nrES_PID,$D1253,nrES_Code,$F1253,nrES_Att,1)&gt;0),"Yes","No")))</f>
        <v/>
      </c>
      <c r="S1253" s="16" t="n"/>
      <c r="T1253" s="17">
        <f>IF($Q1253&lt;&gt;"Yes","",IF($S1253="","(enter date)",_xlfn.LET(_xlpm.dn,IFERROR(_xlfn.XLOOKUP($S1253,nrCDdate,nrCDnum),""),IF(_xlpm.dn="","(not a class day)",IFERROR(_xlfn.XLOOKUP(_xlpm.dn+cfgRetestClassDays,nrCDnum,nrCDdate),"")))))</f>
        <v/>
      </c>
      <c r="U1253" s="15">
        <f>IF($Q1253&lt;&gt;"Yes","",IF(COUNTIFS(nrES_PID,$D1253,nrES_Code,$F1253,nrES_Att,2)&gt;0,"Retested",IF(OR($T1253="",NOT(ISNUMBER($T1253))),"Pending",IF(TODAY()&gt;$T1253,"OVERDUE","Due "&amp;TEXT($T1253,"mm/dd")))))</f>
        <v/>
      </c>
      <c r="V1253" s="14" t="n"/>
      <c r="W1253" s="14" t="n"/>
    </row>
    <row r="1254">
      <c r="B1254" s="15">
        <f>IF($C1254="","",$D1254&amp;"-"&amp;$F1254&amp;"-"&amp;$K1254)</f>
        <v/>
      </c>
      <c r="C1254" s="14" t="n"/>
      <c r="D1254" s="15">
        <f>IF($C1254="","",IFERROR(INDEX(rngCadetPIDs,MATCH($C1254,rngCadetNames,0)),"?"))</f>
        <v/>
      </c>
      <c r="E1254" s="15">
        <f>IF($D1254="","",IFERROR(INDEX(nrCadetAgency,MATCH($D1254,rngCadetPIDs,0)),""))</f>
        <v/>
      </c>
      <c r="F1254" s="14" t="n"/>
      <c r="G1254" s="15">
        <f>IF($F1254="","",IFERROR(INDEX(rngEPname,MATCH($F1254,rngEPcode,0)),"?"))</f>
        <v/>
      </c>
      <c r="H1254" s="15">
        <f>IF($F1254="","",IFERROR(INDEX(rngEPtype,MATCH($F1254,rngEPcode,0)),"?"))</f>
        <v/>
      </c>
      <c r="I1254" s="15">
        <f>IF($F1254="","",IFERROR(INDEX(rngEPseq,MATCH($F1254,rngEPcode,0)),""))</f>
        <v/>
      </c>
      <c r="J1254" s="15">
        <f>IF($F1254="","",IFERROR(INDEX(rngEPpass,MATCH($F1254,rngEPcode,0)),cfgPassingScore))</f>
        <v/>
      </c>
      <c r="K1254" s="14" t="n"/>
      <c r="L1254" s="14" t="n"/>
      <c r="M1254" s="15">
        <f>IF($C1254="","",IF($L1254="","",IF($K1254=1,IF(COUNTIFS(nrES_PID,$D1254,nrES_Code,$F1254,nrES_Att,2)&gt;0,"",$L1254),IF(COUNTIFS(nrES_PID,$D1254,nrES_Code,$F1254,nrES_Att,1)=0,$L1254,IF($L1254&gt;=$J1254,cfgRetakeRecordedCap,SUMIFS(nrES_Raw,nrES_PID,$D1254,nrES_Code,$F1254,nrES_Att,1))))))</f>
        <v/>
      </c>
      <c r="N1254" s="15">
        <f>IF($C1254="","",IF($L1254="","",IF($L1254&gt;=$J1254,"Yes","No")))</f>
        <v/>
      </c>
      <c r="O1254" s="15">
        <f>IF($C1254="","",IF($M1254="","",IF($M1254&gt;=$J1254,"Yes","No")))</f>
        <v/>
      </c>
      <c r="P1254" s="15">
        <f>IF($C1254="","",IF($K1254="","",IF(COUNTIFS(nrES_PID,$D1254,nrES_Code,$F1254,nrES_Att,"&gt;"&amp;$K1254)=0,"Yes","No")))</f>
        <v/>
      </c>
      <c r="Q1254" s="15">
        <f>IF($C1254="","",IF($L1254="","",IF(AND($K1254=1,$L1254&lt;$J1254,COUNTIFS(nrES_PID,$D1254,nrES_Code,$F1254,nrES_Att,2)=0),"Yes","No")))</f>
        <v/>
      </c>
      <c r="R1254" s="15">
        <f>IF($C1254="","",IF($L1254="","",IF(AND($K1254=2,$L1254&lt;$J1254,COUNTIFS(nrES_PID,$D1254,nrES_Code,$F1254,nrES_Att,1)&gt;0),"Yes","No")))</f>
        <v/>
      </c>
      <c r="S1254" s="16" t="n"/>
      <c r="T1254" s="17">
        <f>IF($Q1254&lt;&gt;"Yes","",IF($S1254="","(enter date)",_xlfn.LET(_xlpm.dn,IFERROR(_xlfn.XLOOKUP($S1254,nrCDdate,nrCDnum),""),IF(_xlpm.dn="","(not a class day)",IFERROR(_xlfn.XLOOKUP(_xlpm.dn+cfgRetestClassDays,nrCDnum,nrCDdate),"")))))</f>
        <v/>
      </c>
      <c r="U1254" s="15">
        <f>IF($Q1254&lt;&gt;"Yes","",IF(COUNTIFS(nrES_PID,$D1254,nrES_Code,$F1254,nrES_Att,2)&gt;0,"Retested",IF(OR($T1254="",NOT(ISNUMBER($T1254))),"Pending",IF(TODAY()&gt;$T1254,"OVERDUE","Due "&amp;TEXT($T1254,"mm/dd")))))</f>
        <v/>
      </c>
      <c r="V1254" s="14" t="n"/>
      <c r="W1254" s="14" t="n"/>
    </row>
    <row r="1255">
      <c r="B1255" s="15">
        <f>IF($C1255="","",$D1255&amp;"-"&amp;$F1255&amp;"-"&amp;$K1255)</f>
        <v/>
      </c>
      <c r="C1255" s="14" t="n"/>
      <c r="D1255" s="15">
        <f>IF($C1255="","",IFERROR(INDEX(rngCadetPIDs,MATCH($C1255,rngCadetNames,0)),"?"))</f>
        <v/>
      </c>
      <c r="E1255" s="15">
        <f>IF($D1255="","",IFERROR(INDEX(nrCadetAgency,MATCH($D1255,rngCadetPIDs,0)),""))</f>
        <v/>
      </c>
      <c r="F1255" s="14" t="n"/>
      <c r="G1255" s="15">
        <f>IF($F1255="","",IFERROR(INDEX(rngEPname,MATCH($F1255,rngEPcode,0)),"?"))</f>
        <v/>
      </c>
      <c r="H1255" s="15">
        <f>IF($F1255="","",IFERROR(INDEX(rngEPtype,MATCH($F1255,rngEPcode,0)),"?"))</f>
        <v/>
      </c>
      <c r="I1255" s="15">
        <f>IF($F1255="","",IFERROR(INDEX(rngEPseq,MATCH($F1255,rngEPcode,0)),""))</f>
        <v/>
      </c>
      <c r="J1255" s="15">
        <f>IF($F1255="","",IFERROR(INDEX(rngEPpass,MATCH($F1255,rngEPcode,0)),cfgPassingScore))</f>
        <v/>
      </c>
      <c r="K1255" s="14" t="n"/>
      <c r="L1255" s="14" t="n"/>
      <c r="M1255" s="15">
        <f>IF($C1255="","",IF($L1255="","",IF($K1255=1,IF(COUNTIFS(nrES_PID,$D1255,nrES_Code,$F1255,nrES_Att,2)&gt;0,"",$L1255),IF(COUNTIFS(nrES_PID,$D1255,nrES_Code,$F1255,nrES_Att,1)=0,$L1255,IF($L1255&gt;=$J1255,cfgRetakeRecordedCap,SUMIFS(nrES_Raw,nrES_PID,$D1255,nrES_Code,$F1255,nrES_Att,1))))))</f>
        <v/>
      </c>
      <c r="N1255" s="15">
        <f>IF($C1255="","",IF($L1255="","",IF($L1255&gt;=$J1255,"Yes","No")))</f>
        <v/>
      </c>
      <c r="O1255" s="15">
        <f>IF($C1255="","",IF($M1255="","",IF($M1255&gt;=$J1255,"Yes","No")))</f>
        <v/>
      </c>
      <c r="P1255" s="15">
        <f>IF($C1255="","",IF($K1255="","",IF(COUNTIFS(nrES_PID,$D1255,nrES_Code,$F1255,nrES_Att,"&gt;"&amp;$K1255)=0,"Yes","No")))</f>
        <v/>
      </c>
      <c r="Q1255" s="15">
        <f>IF($C1255="","",IF($L1255="","",IF(AND($K1255=1,$L1255&lt;$J1255,COUNTIFS(nrES_PID,$D1255,nrES_Code,$F1255,nrES_Att,2)=0),"Yes","No")))</f>
        <v/>
      </c>
      <c r="R1255" s="15">
        <f>IF($C1255="","",IF($L1255="","",IF(AND($K1255=2,$L1255&lt;$J1255,COUNTIFS(nrES_PID,$D1255,nrES_Code,$F1255,nrES_Att,1)&gt;0),"Yes","No")))</f>
        <v/>
      </c>
      <c r="S1255" s="16" t="n"/>
      <c r="T1255" s="17">
        <f>IF($Q1255&lt;&gt;"Yes","",IF($S1255="","(enter date)",_xlfn.LET(_xlpm.dn,IFERROR(_xlfn.XLOOKUP($S1255,nrCDdate,nrCDnum),""),IF(_xlpm.dn="","(not a class day)",IFERROR(_xlfn.XLOOKUP(_xlpm.dn+cfgRetestClassDays,nrCDnum,nrCDdate),"")))))</f>
        <v/>
      </c>
      <c r="U1255" s="15">
        <f>IF($Q1255&lt;&gt;"Yes","",IF(COUNTIFS(nrES_PID,$D1255,nrES_Code,$F1255,nrES_Att,2)&gt;0,"Retested",IF(OR($T1255="",NOT(ISNUMBER($T1255))),"Pending",IF(TODAY()&gt;$T1255,"OVERDUE","Due "&amp;TEXT($T1255,"mm/dd")))))</f>
        <v/>
      </c>
      <c r="V1255" s="14" t="n"/>
      <c r="W1255" s="14" t="n"/>
    </row>
    <row r="1256">
      <c r="B1256" s="15">
        <f>IF($C1256="","",$D1256&amp;"-"&amp;$F1256&amp;"-"&amp;$K1256)</f>
        <v/>
      </c>
      <c r="C1256" s="14" t="n"/>
      <c r="D1256" s="15">
        <f>IF($C1256="","",IFERROR(INDEX(rngCadetPIDs,MATCH($C1256,rngCadetNames,0)),"?"))</f>
        <v/>
      </c>
      <c r="E1256" s="15">
        <f>IF($D1256="","",IFERROR(INDEX(nrCadetAgency,MATCH($D1256,rngCadetPIDs,0)),""))</f>
        <v/>
      </c>
      <c r="F1256" s="14" t="n"/>
      <c r="G1256" s="15">
        <f>IF($F1256="","",IFERROR(INDEX(rngEPname,MATCH($F1256,rngEPcode,0)),"?"))</f>
        <v/>
      </c>
      <c r="H1256" s="15">
        <f>IF($F1256="","",IFERROR(INDEX(rngEPtype,MATCH($F1256,rngEPcode,0)),"?"))</f>
        <v/>
      </c>
      <c r="I1256" s="15">
        <f>IF($F1256="","",IFERROR(INDEX(rngEPseq,MATCH($F1256,rngEPcode,0)),""))</f>
        <v/>
      </c>
      <c r="J1256" s="15">
        <f>IF($F1256="","",IFERROR(INDEX(rngEPpass,MATCH($F1256,rngEPcode,0)),cfgPassingScore))</f>
        <v/>
      </c>
      <c r="K1256" s="14" t="n"/>
      <c r="L1256" s="14" t="n"/>
      <c r="M1256" s="15">
        <f>IF($C1256="","",IF($L1256="","",IF($K1256=1,IF(COUNTIFS(nrES_PID,$D1256,nrES_Code,$F1256,nrES_Att,2)&gt;0,"",$L1256),IF(COUNTIFS(nrES_PID,$D1256,nrES_Code,$F1256,nrES_Att,1)=0,$L1256,IF($L1256&gt;=$J1256,cfgRetakeRecordedCap,SUMIFS(nrES_Raw,nrES_PID,$D1256,nrES_Code,$F1256,nrES_Att,1))))))</f>
        <v/>
      </c>
      <c r="N1256" s="15">
        <f>IF($C1256="","",IF($L1256="","",IF($L1256&gt;=$J1256,"Yes","No")))</f>
        <v/>
      </c>
      <c r="O1256" s="15">
        <f>IF($C1256="","",IF($M1256="","",IF($M1256&gt;=$J1256,"Yes","No")))</f>
        <v/>
      </c>
      <c r="P1256" s="15">
        <f>IF($C1256="","",IF($K1256="","",IF(COUNTIFS(nrES_PID,$D1256,nrES_Code,$F1256,nrES_Att,"&gt;"&amp;$K1256)=0,"Yes","No")))</f>
        <v/>
      </c>
      <c r="Q1256" s="15">
        <f>IF($C1256="","",IF($L1256="","",IF(AND($K1256=1,$L1256&lt;$J1256,COUNTIFS(nrES_PID,$D1256,nrES_Code,$F1256,nrES_Att,2)=0),"Yes","No")))</f>
        <v/>
      </c>
      <c r="R1256" s="15">
        <f>IF($C1256="","",IF($L1256="","",IF(AND($K1256=2,$L1256&lt;$J1256,COUNTIFS(nrES_PID,$D1256,nrES_Code,$F1256,nrES_Att,1)&gt;0),"Yes","No")))</f>
        <v/>
      </c>
      <c r="S1256" s="16" t="n"/>
      <c r="T1256" s="17">
        <f>IF($Q1256&lt;&gt;"Yes","",IF($S1256="","(enter date)",_xlfn.LET(_xlpm.dn,IFERROR(_xlfn.XLOOKUP($S1256,nrCDdate,nrCDnum),""),IF(_xlpm.dn="","(not a class day)",IFERROR(_xlfn.XLOOKUP(_xlpm.dn+cfgRetestClassDays,nrCDnum,nrCDdate),"")))))</f>
        <v/>
      </c>
      <c r="U1256" s="15">
        <f>IF($Q1256&lt;&gt;"Yes","",IF(COUNTIFS(nrES_PID,$D1256,nrES_Code,$F1256,nrES_Att,2)&gt;0,"Retested",IF(OR($T1256="",NOT(ISNUMBER($T1256))),"Pending",IF(TODAY()&gt;$T1256,"OVERDUE","Due "&amp;TEXT($T1256,"mm/dd")))))</f>
        <v/>
      </c>
      <c r="V1256" s="14" t="n"/>
      <c r="W1256" s="14" t="n"/>
    </row>
    <row r="1257">
      <c r="B1257" s="15">
        <f>IF($C1257="","",$D1257&amp;"-"&amp;$F1257&amp;"-"&amp;$K1257)</f>
        <v/>
      </c>
      <c r="C1257" s="14" t="n"/>
      <c r="D1257" s="15">
        <f>IF($C1257="","",IFERROR(INDEX(rngCadetPIDs,MATCH($C1257,rngCadetNames,0)),"?"))</f>
        <v/>
      </c>
      <c r="E1257" s="15">
        <f>IF($D1257="","",IFERROR(INDEX(nrCadetAgency,MATCH($D1257,rngCadetPIDs,0)),""))</f>
        <v/>
      </c>
      <c r="F1257" s="14" t="n"/>
      <c r="G1257" s="15">
        <f>IF($F1257="","",IFERROR(INDEX(rngEPname,MATCH($F1257,rngEPcode,0)),"?"))</f>
        <v/>
      </c>
      <c r="H1257" s="15">
        <f>IF($F1257="","",IFERROR(INDEX(rngEPtype,MATCH($F1257,rngEPcode,0)),"?"))</f>
        <v/>
      </c>
      <c r="I1257" s="15">
        <f>IF($F1257="","",IFERROR(INDEX(rngEPseq,MATCH($F1257,rngEPcode,0)),""))</f>
        <v/>
      </c>
      <c r="J1257" s="15">
        <f>IF($F1257="","",IFERROR(INDEX(rngEPpass,MATCH($F1257,rngEPcode,0)),cfgPassingScore))</f>
        <v/>
      </c>
      <c r="K1257" s="14" t="n"/>
      <c r="L1257" s="14" t="n"/>
      <c r="M1257" s="15">
        <f>IF($C1257="","",IF($L1257="","",IF($K1257=1,IF(COUNTIFS(nrES_PID,$D1257,nrES_Code,$F1257,nrES_Att,2)&gt;0,"",$L1257),IF(COUNTIFS(nrES_PID,$D1257,nrES_Code,$F1257,nrES_Att,1)=0,$L1257,IF($L1257&gt;=$J1257,cfgRetakeRecordedCap,SUMIFS(nrES_Raw,nrES_PID,$D1257,nrES_Code,$F1257,nrES_Att,1))))))</f>
        <v/>
      </c>
      <c r="N1257" s="15">
        <f>IF($C1257="","",IF($L1257="","",IF($L1257&gt;=$J1257,"Yes","No")))</f>
        <v/>
      </c>
      <c r="O1257" s="15">
        <f>IF($C1257="","",IF($M1257="","",IF($M1257&gt;=$J1257,"Yes","No")))</f>
        <v/>
      </c>
      <c r="P1257" s="15">
        <f>IF($C1257="","",IF($K1257="","",IF(COUNTIFS(nrES_PID,$D1257,nrES_Code,$F1257,nrES_Att,"&gt;"&amp;$K1257)=0,"Yes","No")))</f>
        <v/>
      </c>
      <c r="Q1257" s="15">
        <f>IF($C1257="","",IF($L1257="","",IF(AND($K1257=1,$L1257&lt;$J1257,COUNTIFS(nrES_PID,$D1257,nrES_Code,$F1257,nrES_Att,2)=0),"Yes","No")))</f>
        <v/>
      </c>
      <c r="R1257" s="15">
        <f>IF($C1257="","",IF($L1257="","",IF(AND($K1257=2,$L1257&lt;$J1257,COUNTIFS(nrES_PID,$D1257,nrES_Code,$F1257,nrES_Att,1)&gt;0),"Yes","No")))</f>
        <v/>
      </c>
      <c r="S1257" s="16" t="n"/>
      <c r="T1257" s="17">
        <f>IF($Q1257&lt;&gt;"Yes","",IF($S1257="","(enter date)",_xlfn.LET(_xlpm.dn,IFERROR(_xlfn.XLOOKUP($S1257,nrCDdate,nrCDnum),""),IF(_xlpm.dn="","(not a class day)",IFERROR(_xlfn.XLOOKUP(_xlpm.dn+cfgRetestClassDays,nrCDnum,nrCDdate),"")))))</f>
        <v/>
      </c>
      <c r="U1257" s="15">
        <f>IF($Q1257&lt;&gt;"Yes","",IF(COUNTIFS(nrES_PID,$D1257,nrES_Code,$F1257,nrES_Att,2)&gt;0,"Retested",IF(OR($T1257="",NOT(ISNUMBER($T1257))),"Pending",IF(TODAY()&gt;$T1257,"OVERDUE","Due "&amp;TEXT($T1257,"mm/dd")))))</f>
        <v/>
      </c>
      <c r="V1257" s="14" t="n"/>
      <c r="W1257" s="14" t="n"/>
    </row>
    <row r="1258">
      <c r="B1258" s="15">
        <f>IF($C1258="","",$D1258&amp;"-"&amp;$F1258&amp;"-"&amp;$K1258)</f>
        <v/>
      </c>
      <c r="C1258" s="14" t="n"/>
      <c r="D1258" s="15">
        <f>IF($C1258="","",IFERROR(INDEX(rngCadetPIDs,MATCH($C1258,rngCadetNames,0)),"?"))</f>
        <v/>
      </c>
      <c r="E1258" s="15">
        <f>IF($D1258="","",IFERROR(INDEX(nrCadetAgency,MATCH($D1258,rngCadetPIDs,0)),""))</f>
        <v/>
      </c>
      <c r="F1258" s="14" t="n"/>
      <c r="G1258" s="15">
        <f>IF($F1258="","",IFERROR(INDEX(rngEPname,MATCH($F1258,rngEPcode,0)),"?"))</f>
        <v/>
      </c>
      <c r="H1258" s="15">
        <f>IF($F1258="","",IFERROR(INDEX(rngEPtype,MATCH($F1258,rngEPcode,0)),"?"))</f>
        <v/>
      </c>
      <c r="I1258" s="15">
        <f>IF($F1258="","",IFERROR(INDEX(rngEPseq,MATCH($F1258,rngEPcode,0)),""))</f>
        <v/>
      </c>
      <c r="J1258" s="15">
        <f>IF($F1258="","",IFERROR(INDEX(rngEPpass,MATCH($F1258,rngEPcode,0)),cfgPassingScore))</f>
        <v/>
      </c>
      <c r="K1258" s="14" t="n"/>
      <c r="L1258" s="14" t="n"/>
      <c r="M1258" s="15">
        <f>IF($C1258="","",IF($L1258="","",IF($K1258=1,IF(COUNTIFS(nrES_PID,$D1258,nrES_Code,$F1258,nrES_Att,2)&gt;0,"",$L1258),IF(COUNTIFS(nrES_PID,$D1258,nrES_Code,$F1258,nrES_Att,1)=0,$L1258,IF($L1258&gt;=$J1258,cfgRetakeRecordedCap,SUMIFS(nrES_Raw,nrES_PID,$D1258,nrES_Code,$F1258,nrES_Att,1))))))</f>
        <v/>
      </c>
      <c r="N1258" s="15">
        <f>IF($C1258="","",IF($L1258="","",IF($L1258&gt;=$J1258,"Yes","No")))</f>
        <v/>
      </c>
      <c r="O1258" s="15">
        <f>IF($C1258="","",IF($M1258="","",IF($M1258&gt;=$J1258,"Yes","No")))</f>
        <v/>
      </c>
      <c r="P1258" s="15">
        <f>IF($C1258="","",IF($K1258="","",IF(COUNTIFS(nrES_PID,$D1258,nrES_Code,$F1258,nrES_Att,"&gt;"&amp;$K1258)=0,"Yes","No")))</f>
        <v/>
      </c>
      <c r="Q1258" s="15">
        <f>IF($C1258="","",IF($L1258="","",IF(AND($K1258=1,$L1258&lt;$J1258,COUNTIFS(nrES_PID,$D1258,nrES_Code,$F1258,nrES_Att,2)=0),"Yes","No")))</f>
        <v/>
      </c>
      <c r="R1258" s="15">
        <f>IF($C1258="","",IF($L1258="","",IF(AND($K1258=2,$L1258&lt;$J1258,COUNTIFS(nrES_PID,$D1258,nrES_Code,$F1258,nrES_Att,1)&gt;0),"Yes","No")))</f>
        <v/>
      </c>
      <c r="S1258" s="16" t="n"/>
      <c r="T1258" s="17">
        <f>IF($Q1258&lt;&gt;"Yes","",IF($S1258="","(enter date)",_xlfn.LET(_xlpm.dn,IFERROR(_xlfn.XLOOKUP($S1258,nrCDdate,nrCDnum),""),IF(_xlpm.dn="","(not a class day)",IFERROR(_xlfn.XLOOKUP(_xlpm.dn+cfgRetestClassDays,nrCDnum,nrCDdate),"")))))</f>
        <v/>
      </c>
      <c r="U1258" s="15">
        <f>IF($Q1258&lt;&gt;"Yes","",IF(COUNTIFS(nrES_PID,$D1258,nrES_Code,$F1258,nrES_Att,2)&gt;0,"Retested",IF(OR($T1258="",NOT(ISNUMBER($T1258))),"Pending",IF(TODAY()&gt;$T1258,"OVERDUE","Due "&amp;TEXT($T1258,"mm/dd")))))</f>
        <v/>
      </c>
      <c r="V1258" s="14" t="n"/>
      <c r="W1258" s="14" t="n"/>
    </row>
    <row r="1259">
      <c r="B1259" s="15">
        <f>IF($C1259="","",$D1259&amp;"-"&amp;$F1259&amp;"-"&amp;$K1259)</f>
        <v/>
      </c>
      <c r="C1259" s="14" t="n"/>
      <c r="D1259" s="15">
        <f>IF($C1259="","",IFERROR(INDEX(rngCadetPIDs,MATCH($C1259,rngCadetNames,0)),"?"))</f>
        <v/>
      </c>
      <c r="E1259" s="15">
        <f>IF($D1259="","",IFERROR(INDEX(nrCadetAgency,MATCH($D1259,rngCadetPIDs,0)),""))</f>
        <v/>
      </c>
      <c r="F1259" s="14" t="n"/>
      <c r="G1259" s="15">
        <f>IF($F1259="","",IFERROR(INDEX(rngEPname,MATCH($F1259,rngEPcode,0)),"?"))</f>
        <v/>
      </c>
      <c r="H1259" s="15">
        <f>IF($F1259="","",IFERROR(INDEX(rngEPtype,MATCH($F1259,rngEPcode,0)),"?"))</f>
        <v/>
      </c>
      <c r="I1259" s="15">
        <f>IF($F1259="","",IFERROR(INDEX(rngEPseq,MATCH($F1259,rngEPcode,0)),""))</f>
        <v/>
      </c>
      <c r="J1259" s="15">
        <f>IF($F1259="","",IFERROR(INDEX(rngEPpass,MATCH($F1259,rngEPcode,0)),cfgPassingScore))</f>
        <v/>
      </c>
      <c r="K1259" s="14" t="n"/>
      <c r="L1259" s="14" t="n"/>
      <c r="M1259" s="15">
        <f>IF($C1259="","",IF($L1259="","",IF($K1259=1,IF(COUNTIFS(nrES_PID,$D1259,nrES_Code,$F1259,nrES_Att,2)&gt;0,"",$L1259),IF(COUNTIFS(nrES_PID,$D1259,nrES_Code,$F1259,nrES_Att,1)=0,$L1259,IF($L1259&gt;=$J1259,cfgRetakeRecordedCap,SUMIFS(nrES_Raw,nrES_PID,$D1259,nrES_Code,$F1259,nrES_Att,1))))))</f>
        <v/>
      </c>
      <c r="N1259" s="15">
        <f>IF($C1259="","",IF($L1259="","",IF($L1259&gt;=$J1259,"Yes","No")))</f>
        <v/>
      </c>
      <c r="O1259" s="15">
        <f>IF($C1259="","",IF($M1259="","",IF($M1259&gt;=$J1259,"Yes","No")))</f>
        <v/>
      </c>
      <c r="P1259" s="15">
        <f>IF($C1259="","",IF($K1259="","",IF(COUNTIFS(nrES_PID,$D1259,nrES_Code,$F1259,nrES_Att,"&gt;"&amp;$K1259)=0,"Yes","No")))</f>
        <v/>
      </c>
      <c r="Q1259" s="15">
        <f>IF($C1259="","",IF($L1259="","",IF(AND($K1259=1,$L1259&lt;$J1259,COUNTIFS(nrES_PID,$D1259,nrES_Code,$F1259,nrES_Att,2)=0),"Yes","No")))</f>
        <v/>
      </c>
      <c r="R1259" s="15">
        <f>IF($C1259="","",IF($L1259="","",IF(AND($K1259=2,$L1259&lt;$J1259,COUNTIFS(nrES_PID,$D1259,nrES_Code,$F1259,nrES_Att,1)&gt;0),"Yes","No")))</f>
        <v/>
      </c>
      <c r="S1259" s="16" t="n"/>
      <c r="T1259" s="17">
        <f>IF($Q1259&lt;&gt;"Yes","",IF($S1259="","(enter date)",_xlfn.LET(_xlpm.dn,IFERROR(_xlfn.XLOOKUP($S1259,nrCDdate,nrCDnum),""),IF(_xlpm.dn="","(not a class day)",IFERROR(_xlfn.XLOOKUP(_xlpm.dn+cfgRetestClassDays,nrCDnum,nrCDdate),"")))))</f>
        <v/>
      </c>
      <c r="U1259" s="15">
        <f>IF($Q1259&lt;&gt;"Yes","",IF(COUNTIFS(nrES_PID,$D1259,nrES_Code,$F1259,nrES_Att,2)&gt;0,"Retested",IF(OR($T1259="",NOT(ISNUMBER($T1259))),"Pending",IF(TODAY()&gt;$T1259,"OVERDUE","Due "&amp;TEXT($T1259,"mm/dd")))))</f>
        <v/>
      </c>
      <c r="V1259" s="14" t="n"/>
      <c r="W1259" s="14" t="n"/>
    </row>
    <row r="1260">
      <c r="B1260" s="15">
        <f>IF($C1260="","",$D1260&amp;"-"&amp;$F1260&amp;"-"&amp;$K1260)</f>
        <v/>
      </c>
      <c r="C1260" s="14" t="n"/>
      <c r="D1260" s="15">
        <f>IF($C1260="","",IFERROR(INDEX(rngCadetPIDs,MATCH($C1260,rngCadetNames,0)),"?"))</f>
        <v/>
      </c>
      <c r="E1260" s="15">
        <f>IF($D1260="","",IFERROR(INDEX(nrCadetAgency,MATCH($D1260,rngCadetPIDs,0)),""))</f>
        <v/>
      </c>
      <c r="F1260" s="14" t="n"/>
      <c r="G1260" s="15">
        <f>IF($F1260="","",IFERROR(INDEX(rngEPname,MATCH($F1260,rngEPcode,0)),"?"))</f>
        <v/>
      </c>
      <c r="H1260" s="15">
        <f>IF($F1260="","",IFERROR(INDEX(rngEPtype,MATCH($F1260,rngEPcode,0)),"?"))</f>
        <v/>
      </c>
      <c r="I1260" s="15">
        <f>IF($F1260="","",IFERROR(INDEX(rngEPseq,MATCH($F1260,rngEPcode,0)),""))</f>
        <v/>
      </c>
      <c r="J1260" s="15">
        <f>IF($F1260="","",IFERROR(INDEX(rngEPpass,MATCH($F1260,rngEPcode,0)),cfgPassingScore))</f>
        <v/>
      </c>
      <c r="K1260" s="14" t="n"/>
      <c r="L1260" s="14" t="n"/>
      <c r="M1260" s="15">
        <f>IF($C1260="","",IF($L1260="","",IF($K1260=1,IF(COUNTIFS(nrES_PID,$D1260,nrES_Code,$F1260,nrES_Att,2)&gt;0,"",$L1260),IF(COUNTIFS(nrES_PID,$D1260,nrES_Code,$F1260,nrES_Att,1)=0,$L1260,IF($L1260&gt;=$J1260,cfgRetakeRecordedCap,SUMIFS(nrES_Raw,nrES_PID,$D1260,nrES_Code,$F1260,nrES_Att,1))))))</f>
        <v/>
      </c>
      <c r="N1260" s="15">
        <f>IF($C1260="","",IF($L1260="","",IF($L1260&gt;=$J1260,"Yes","No")))</f>
        <v/>
      </c>
      <c r="O1260" s="15">
        <f>IF($C1260="","",IF($M1260="","",IF($M1260&gt;=$J1260,"Yes","No")))</f>
        <v/>
      </c>
      <c r="P1260" s="15">
        <f>IF($C1260="","",IF($K1260="","",IF(COUNTIFS(nrES_PID,$D1260,nrES_Code,$F1260,nrES_Att,"&gt;"&amp;$K1260)=0,"Yes","No")))</f>
        <v/>
      </c>
      <c r="Q1260" s="15">
        <f>IF($C1260="","",IF($L1260="","",IF(AND($K1260=1,$L1260&lt;$J1260,COUNTIFS(nrES_PID,$D1260,nrES_Code,$F1260,nrES_Att,2)=0),"Yes","No")))</f>
        <v/>
      </c>
      <c r="R1260" s="15">
        <f>IF($C1260="","",IF($L1260="","",IF(AND($K1260=2,$L1260&lt;$J1260,COUNTIFS(nrES_PID,$D1260,nrES_Code,$F1260,nrES_Att,1)&gt;0),"Yes","No")))</f>
        <v/>
      </c>
      <c r="S1260" s="16" t="n"/>
      <c r="T1260" s="17">
        <f>IF($Q1260&lt;&gt;"Yes","",IF($S1260="","(enter date)",_xlfn.LET(_xlpm.dn,IFERROR(_xlfn.XLOOKUP($S1260,nrCDdate,nrCDnum),""),IF(_xlpm.dn="","(not a class day)",IFERROR(_xlfn.XLOOKUP(_xlpm.dn+cfgRetestClassDays,nrCDnum,nrCDdate),"")))))</f>
        <v/>
      </c>
      <c r="U1260" s="15">
        <f>IF($Q1260&lt;&gt;"Yes","",IF(COUNTIFS(nrES_PID,$D1260,nrES_Code,$F1260,nrES_Att,2)&gt;0,"Retested",IF(OR($T1260="",NOT(ISNUMBER($T1260))),"Pending",IF(TODAY()&gt;$T1260,"OVERDUE","Due "&amp;TEXT($T1260,"mm/dd")))))</f>
        <v/>
      </c>
      <c r="V1260" s="14" t="n"/>
      <c r="W1260" s="14" t="n"/>
    </row>
    <row r="1261">
      <c r="B1261" s="15">
        <f>IF($C1261="","",$D1261&amp;"-"&amp;$F1261&amp;"-"&amp;$K1261)</f>
        <v/>
      </c>
      <c r="C1261" s="14" t="n"/>
      <c r="D1261" s="15">
        <f>IF($C1261="","",IFERROR(INDEX(rngCadetPIDs,MATCH($C1261,rngCadetNames,0)),"?"))</f>
        <v/>
      </c>
      <c r="E1261" s="15">
        <f>IF($D1261="","",IFERROR(INDEX(nrCadetAgency,MATCH($D1261,rngCadetPIDs,0)),""))</f>
        <v/>
      </c>
      <c r="F1261" s="14" t="n"/>
      <c r="G1261" s="15">
        <f>IF($F1261="","",IFERROR(INDEX(rngEPname,MATCH($F1261,rngEPcode,0)),"?"))</f>
        <v/>
      </c>
      <c r="H1261" s="15">
        <f>IF($F1261="","",IFERROR(INDEX(rngEPtype,MATCH($F1261,rngEPcode,0)),"?"))</f>
        <v/>
      </c>
      <c r="I1261" s="15">
        <f>IF($F1261="","",IFERROR(INDEX(rngEPseq,MATCH($F1261,rngEPcode,0)),""))</f>
        <v/>
      </c>
      <c r="J1261" s="15">
        <f>IF($F1261="","",IFERROR(INDEX(rngEPpass,MATCH($F1261,rngEPcode,0)),cfgPassingScore))</f>
        <v/>
      </c>
      <c r="K1261" s="14" t="n"/>
      <c r="L1261" s="14" t="n"/>
      <c r="M1261" s="15">
        <f>IF($C1261="","",IF($L1261="","",IF($K1261=1,IF(COUNTIFS(nrES_PID,$D1261,nrES_Code,$F1261,nrES_Att,2)&gt;0,"",$L1261),IF(COUNTIFS(nrES_PID,$D1261,nrES_Code,$F1261,nrES_Att,1)=0,$L1261,IF($L1261&gt;=$J1261,cfgRetakeRecordedCap,SUMIFS(nrES_Raw,nrES_PID,$D1261,nrES_Code,$F1261,nrES_Att,1))))))</f>
        <v/>
      </c>
      <c r="N1261" s="15">
        <f>IF($C1261="","",IF($L1261="","",IF($L1261&gt;=$J1261,"Yes","No")))</f>
        <v/>
      </c>
      <c r="O1261" s="15">
        <f>IF($C1261="","",IF($M1261="","",IF($M1261&gt;=$J1261,"Yes","No")))</f>
        <v/>
      </c>
      <c r="P1261" s="15">
        <f>IF($C1261="","",IF($K1261="","",IF(COUNTIFS(nrES_PID,$D1261,nrES_Code,$F1261,nrES_Att,"&gt;"&amp;$K1261)=0,"Yes","No")))</f>
        <v/>
      </c>
      <c r="Q1261" s="15">
        <f>IF($C1261="","",IF($L1261="","",IF(AND($K1261=1,$L1261&lt;$J1261,COUNTIFS(nrES_PID,$D1261,nrES_Code,$F1261,nrES_Att,2)=0),"Yes","No")))</f>
        <v/>
      </c>
      <c r="R1261" s="15">
        <f>IF($C1261="","",IF($L1261="","",IF(AND($K1261=2,$L1261&lt;$J1261,COUNTIFS(nrES_PID,$D1261,nrES_Code,$F1261,nrES_Att,1)&gt;0),"Yes","No")))</f>
        <v/>
      </c>
      <c r="S1261" s="16" t="n"/>
      <c r="T1261" s="17">
        <f>IF($Q1261&lt;&gt;"Yes","",IF($S1261="","(enter date)",_xlfn.LET(_xlpm.dn,IFERROR(_xlfn.XLOOKUP($S1261,nrCDdate,nrCDnum),""),IF(_xlpm.dn="","(not a class day)",IFERROR(_xlfn.XLOOKUP(_xlpm.dn+cfgRetestClassDays,nrCDnum,nrCDdate),"")))))</f>
        <v/>
      </c>
      <c r="U1261" s="15">
        <f>IF($Q1261&lt;&gt;"Yes","",IF(COUNTIFS(nrES_PID,$D1261,nrES_Code,$F1261,nrES_Att,2)&gt;0,"Retested",IF(OR($T1261="",NOT(ISNUMBER($T1261))),"Pending",IF(TODAY()&gt;$T1261,"OVERDUE","Due "&amp;TEXT($T1261,"mm/dd")))))</f>
        <v/>
      </c>
      <c r="V1261" s="14" t="n"/>
      <c r="W1261" s="14" t="n"/>
    </row>
    <row r="1262">
      <c r="B1262" s="15">
        <f>IF($C1262="","",$D1262&amp;"-"&amp;$F1262&amp;"-"&amp;$K1262)</f>
        <v/>
      </c>
      <c r="C1262" s="14" t="n"/>
      <c r="D1262" s="15">
        <f>IF($C1262="","",IFERROR(INDEX(rngCadetPIDs,MATCH($C1262,rngCadetNames,0)),"?"))</f>
        <v/>
      </c>
      <c r="E1262" s="15">
        <f>IF($D1262="","",IFERROR(INDEX(nrCadetAgency,MATCH($D1262,rngCadetPIDs,0)),""))</f>
        <v/>
      </c>
      <c r="F1262" s="14" t="n"/>
      <c r="G1262" s="15">
        <f>IF($F1262="","",IFERROR(INDEX(rngEPname,MATCH($F1262,rngEPcode,0)),"?"))</f>
        <v/>
      </c>
      <c r="H1262" s="15">
        <f>IF($F1262="","",IFERROR(INDEX(rngEPtype,MATCH($F1262,rngEPcode,0)),"?"))</f>
        <v/>
      </c>
      <c r="I1262" s="15">
        <f>IF($F1262="","",IFERROR(INDEX(rngEPseq,MATCH($F1262,rngEPcode,0)),""))</f>
        <v/>
      </c>
      <c r="J1262" s="15">
        <f>IF($F1262="","",IFERROR(INDEX(rngEPpass,MATCH($F1262,rngEPcode,0)),cfgPassingScore))</f>
        <v/>
      </c>
      <c r="K1262" s="14" t="n"/>
      <c r="L1262" s="14" t="n"/>
      <c r="M1262" s="15">
        <f>IF($C1262="","",IF($L1262="","",IF($K1262=1,IF(COUNTIFS(nrES_PID,$D1262,nrES_Code,$F1262,nrES_Att,2)&gt;0,"",$L1262),IF(COUNTIFS(nrES_PID,$D1262,nrES_Code,$F1262,nrES_Att,1)=0,$L1262,IF($L1262&gt;=$J1262,cfgRetakeRecordedCap,SUMIFS(nrES_Raw,nrES_PID,$D1262,nrES_Code,$F1262,nrES_Att,1))))))</f>
        <v/>
      </c>
      <c r="N1262" s="15">
        <f>IF($C1262="","",IF($L1262="","",IF($L1262&gt;=$J1262,"Yes","No")))</f>
        <v/>
      </c>
      <c r="O1262" s="15">
        <f>IF($C1262="","",IF($M1262="","",IF($M1262&gt;=$J1262,"Yes","No")))</f>
        <v/>
      </c>
      <c r="P1262" s="15">
        <f>IF($C1262="","",IF($K1262="","",IF(COUNTIFS(nrES_PID,$D1262,nrES_Code,$F1262,nrES_Att,"&gt;"&amp;$K1262)=0,"Yes","No")))</f>
        <v/>
      </c>
      <c r="Q1262" s="15">
        <f>IF($C1262="","",IF($L1262="","",IF(AND($K1262=1,$L1262&lt;$J1262,COUNTIFS(nrES_PID,$D1262,nrES_Code,$F1262,nrES_Att,2)=0),"Yes","No")))</f>
        <v/>
      </c>
      <c r="R1262" s="15">
        <f>IF($C1262="","",IF($L1262="","",IF(AND($K1262=2,$L1262&lt;$J1262,COUNTIFS(nrES_PID,$D1262,nrES_Code,$F1262,nrES_Att,1)&gt;0),"Yes","No")))</f>
        <v/>
      </c>
      <c r="S1262" s="16" t="n"/>
      <c r="T1262" s="17">
        <f>IF($Q1262&lt;&gt;"Yes","",IF($S1262="","(enter date)",_xlfn.LET(_xlpm.dn,IFERROR(_xlfn.XLOOKUP($S1262,nrCDdate,nrCDnum),""),IF(_xlpm.dn="","(not a class day)",IFERROR(_xlfn.XLOOKUP(_xlpm.dn+cfgRetestClassDays,nrCDnum,nrCDdate),"")))))</f>
        <v/>
      </c>
      <c r="U1262" s="15">
        <f>IF($Q1262&lt;&gt;"Yes","",IF(COUNTIFS(nrES_PID,$D1262,nrES_Code,$F1262,nrES_Att,2)&gt;0,"Retested",IF(OR($T1262="",NOT(ISNUMBER($T1262))),"Pending",IF(TODAY()&gt;$T1262,"OVERDUE","Due "&amp;TEXT($T1262,"mm/dd")))))</f>
        <v/>
      </c>
      <c r="V1262" s="14" t="n"/>
      <c r="W1262" s="14" t="n"/>
    </row>
    <row r="1263">
      <c r="B1263" s="15">
        <f>IF($C1263="","",$D1263&amp;"-"&amp;$F1263&amp;"-"&amp;$K1263)</f>
        <v/>
      </c>
      <c r="C1263" s="14" t="n"/>
      <c r="D1263" s="15">
        <f>IF($C1263="","",IFERROR(INDEX(rngCadetPIDs,MATCH($C1263,rngCadetNames,0)),"?"))</f>
        <v/>
      </c>
      <c r="E1263" s="15">
        <f>IF($D1263="","",IFERROR(INDEX(nrCadetAgency,MATCH($D1263,rngCadetPIDs,0)),""))</f>
        <v/>
      </c>
      <c r="F1263" s="14" t="n"/>
      <c r="G1263" s="15">
        <f>IF($F1263="","",IFERROR(INDEX(rngEPname,MATCH($F1263,rngEPcode,0)),"?"))</f>
        <v/>
      </c>
      <c r="H1263" s="15">
        <f>IF($F1263="","",IFERROR(INDEX(rngEPtype,MATCH($F1263,rngEPcode,0)),"?"))</f>
        <v/>
      </c>
      <c r="I1263" s="15">
        <f>IF($F1263="","",IFERROR(INDEX(rngEPseq,MATCH($F1263,rngEPcode,0)),""))</f>
        <v/>
      </c>
      <c r="J1263" s="15">
        <f>IF($F1263="","",IFERROR(INDEX(rngEPpass,MATCH($F1263,rngEPcode,0)),cfgPassingScore))</f>
        <v/>
      </c>
      <c r="K1263" s="14" t="n"/>
      <c r="L1263" s="14" t="n"/>
      <c r="M1263" s="15">
        <f>IF($C1263="","",IF($L1263="","",IF($K1263=1,IF(COUNTIFS(nrES_PID,$D1263,nrES_Code,$F1263,nrES_Att,2)&gt;0,"",$L1263),IF(COUNTIFS(nrES_PID,$D1263,nrES_Code,$F1263,nrES_Att,1)=0,$L1263,IF($L1263&gt;=$J1263,cfgRetakeRecordedCap,SUMIFS(nrES_Raw,nrES_PID,$D1263,nrES_Code,$F1263,nrES_Att,1))))))</f>
        <v/>
      </c>
      <c r="N1263" s="15">
        <f>IF($C1263="","",IF($L1263="","",IF($L1263&gt;=$J1263,"Yes","No")))</f>
        <v/>
      </c>
      <c r="O1263" s="15">
        <f>IF($C1263="","",IF($M1263="","",IF($M1263&gt;=$J1263,"Yes","No")))</f>
        <v/>
      </c>
      <c r="P1263" s="15">
        <f>IF($C1263="","",IF($K1263="","",IF(COUNTIFS(nrES_PID,$D1263,nrES_Code,$F1263,nrES_Att,"&gt;"&amp;$K1263)=0,"Yes","No")))</f>
        <v/>
      </c>
      <c r="Q1263" s="15">
        <f>IF($C1263="","",IF($L1263="","",IF(AND($K1263=1,$L1263&lt;$J1263,COUNTIFS(nrES_PID,$D1263,nrES_Code,$F1263,nrES_Att,2)=0),"Yes","No")))</f>
        <v/>
      </c>
      <c r="R1263" s="15">
        <f>IF($C1263="","",IF($L1263="","",IF(AND($K1263=2,$L1263&lt;$J1263,COUNTIFS(nrES_PID,$D1263,nrES_Code,$F1263,nrES_Att,1)&gt;0),"Yes","No")))</f>
        <v/>
      </c>
      <c r="S1263" s="16" t="n"/>
      <c r="T1263" s="17">
        <f>IF($Q1263&lt;&gt;"Yes","",IF($S1263="","(enter date)",_xlfn.LET(_xlpm.dn,IFERROR(_xlfn.XLOOKUP($S1263,nrCDdate,nrCDnum),""),IF(_xlpm.dn="","(not a class day)",IFERROR(_xlfn.XLOOKUP(_xlpm.dn+cfgRetestClassDays,nrCDnum,nrCDdate),"")))))</f>
        <v/>
      </c>
      <c r="U1263" s="15">
        <f>IF($Q1263&lt;&gt;"Yes","",IF(COUNTIFS(nrES_PID,$D1263,nrES_Code,$F1263,nrES_Att,2)&gt;0,"Retested",IF(OR($T1263="",NOT(ISNUMBER($T1263))),"Pending",IF(TODAY()&gt;$T1263,"OVERDUE","Due "&amp;TEXT($T1263,"mm/dd")))))</f>
        <v/>
      </c>
      <c r="V1263" s="14" t="n"/>
      <c r="W1263" s="14" t="n"/>
    </row>
    <row r="1264">
      <c r="B1264" s="15">
        <f>IF($C1264="","",$D1264&amp;"-"&amp;$F1264&amp;"-"&amp;$K1264)</f>
        <v/>
      </c>
      <c r="C1264" s="14" t="n"/>
      <c r="D1264" s="15">
        <f>IF($C1264="","",IFERROR(INDEX(rngCadetPIDs,MATCH($C1264,rngCadetNames,0)),"?"))</f>
        <v/>
      </c>
      <c r="E1264" s="15">
        <f>IF($D1264="","",IFERROR(INDEX(nrCadetAgency,MATCH($D1264,rngCadetPIDs,0)),""))</f>
        <v/>
      </c>
      <c r="F1264" s="14" t="n"/>
      <c r="G1264" s="15">
        <f>IF($F1264="","",IFERROR(INDEX(rngEPname,MATCH($F1264,rngEPcode,0)),"?"))</f>
        <v/>
      </c>
      <c r="H1264" s="15">
        <f>IF($F1264="","",IFERROR(INDEX(rngEPtype,MATCH($F1264,rngEPcode,0)),"?"))</f>
        <v/>
      </c>
      <c r="I1264" s="15">
        <f>IF($F1264="","",IFERROR(INDEX(rngEPseq,MATCH($F1264,rngEPcode,0)),""))</f>
        <v/>
      </c>
      <c r="J1264" s="15">
        <f>IF($F1264="","",IFERROR(INDEX(rngEPpass,MATCH($F1264,rngEPcode,0)),cfgPassingScore))</f>
        <v/>
      </c>
      <c r="K1264" s="14" t="n"/>
      <c r="L1264" s="14" t="n"/>
      <c r="M1264" s="15">
        <f>IF($C1264="","",IF($L1264="","",IF($K1264=1,IF(COUNTIFS(nrES_PID,$D1264,nrES_Code,$F1264,nrES_Att,2)&gt;0,"",$L1264),IF(COUNTIFS(nrES_PID,$D1264,nrES_Code,$F1264,nrES_Att,1)=0,$L1264,IF($L1264&gt;=$J1264,cfgRetakeRecordedCap,SUMIFS(nrES_Raw,nrES_PID,$D1264,nrES_Code,$F1264,nrES_Att,1))))))</f>
        <v/>
      </c>
      <c r="N1264" s="15">
        <f>IF($C1264="","",IF($L1264="","",IF($L1264&gt;=$J1264,"Yes","No")))</f>
        <v/>
      </c>
      <c r="O1264" s="15">
        <f>IF($C1264="","",IF($M1264="","",IF($M1264&gt;=$J1264,"Yes","No")))</f>
        <v/>
      </c>
      <c r="P1264" s="15">
        <f>IF($C1264="","",IF($K1264="","",IF(COUNTIFS(nrES_PID,$D1264,nrES_Code,$F1264,nrES_Att,"&gt;"&amp;$K1264)=0,"Yes","No")))</f>
        <v/>
      </c>
      <c r="Q1264" s="15">
        <f>IF($C1264="","",IF($L1264="","",IF(AND($K1264=1,$L1264&lt;$J1264,COUNTIFS(nrES_PID,$D1264,nrES_Code,$F1264,nrES_Att,2)=0),"Yes","No")))</f>
        <v/>
      </c>
      <c r="R1264" s="15">
        <f>IF($C1264="","",IF($L1264="","",IF(AND($K1264=2,$L1264&lt;$J1264,COUNTIFS(nrES_PID,$D1264,nrES_Code,$F1264,nrES_Att,1)&gt;0),"Yes","No")))</f>
        <v/>
      </c>
      <c r="S1264" s="16" t="n"/>
      <c r="T1264" s="17">
        <f>IF($Q1264&lt;&gt;"Yes","",IF($S1264="","(enter date)",_xlfn.LET(_xlpm.dn,IFERROR(_xlfn.XLOOKUP($S1264,nrCDdate,nrCDnum),""),IF(_xlpm.dn="","(not a class day)",IFERROR(_xlfn.XLOOKUP(_xlpm.dn+cfgRetestClassDays,nrCDnum,nrCDdate),"")))))</f>
        <v/>
      </c>
      <c r="U1264" s="15">
        <f>IF($Q1264&lt;&gt;"Yes","",IF(COUNTIFS(nrES_PID,$D1264,nrES_Code,$F1264,nrES_Att,2)&gt;0,"Retested",IF(OR($T1264="",NOT(ISNUMBER($T1264))),"Pending",IF(TODAY()&gt;$T1264,"OVERDUE","Due "&amp;TEXT($T1264,"mm/dd")))))</f>
        <v/>
      </c>
      <c r="V1264" s="14" t="n"/>
      <c r="W1264" s="14" t="n"/>
    </row>
    <row r="1265">
      <c r="B1265" s="15">
        <f>IF($C1265="","",$D1265&amp;"-"&amp;$F1265&amp;"-"&amp;$K1265)</f>
        <v/>
      </c>
      <c r="C1265" s="14" t="n"/>
      <c r="D1265" s="15">
        <f>IF($C1265="","",IFERROR(INDEX(rngCadetPIDs,MATCH($C1265,rngCadetNames,0)),"?"))</f>
        <v/>
      </c>
      <c r="E1265" s="15">
        <f>IF($D1265="","",IFERROR(INDEX(nrCadetAgency,MATCH($D1265,rngCadetPIDs,0)),""))</f>
        <v/>
      </c>
      <c r="F1265" s="14" t="n"/>
      <c r="G1265" s="15">
        <f>IF($F1265="","",IFERROR(INDEX(rngEPname,MATCH($F1265,rngEPcode,0)),"?"))</f>
        <v/>
      </c>
      <c r="H1265" s="15">
        <f>IF($F1265="","",IFERROR(INDEX(rngEPtype,MATCH($F1265,rngEPcode,0)),"?"))</f>
        <v/>
      </c>
      <c r="I1265" s="15">
        <f>IF($F1265="","",IFERROR(INDEX(rngEPseq,MATCH($F1265,rngEPcode,0)),""))</f>
        <v/>
      </c>
      <c r="J1265" s="15">
        <f>IF($F1265="","",IFERROR(INDEX(rngEPpass,MATCH($F1265,rngEPcode,0)),cfgPassingScore))</f>
        <v/>
      </c>
      <c r="K1265" s="14" t="n"/>
      <c r="L1265" s="14" t="n"/>
      <c r="M1265" s="15">
        <f>IF($C1265="","",IF($L1265="","",IF($K1265=1,IF(COUNTIFS(nrES_PID,$D1265,nrES_Code,$F1265,nrES_Att,2)&gt;0,"",$L1265),IF(COUNTIFS(nrES_PID,$D1265,nrES_Code,$F1265,nrES_Att,1)=0,$L1265,IF($L1265&gt;=$J1265,cfgRetakeRecordedCap,SUMIFS(nrES_Raw,nrES_PID,$D1265,nrES_Code,$F1265,nrES_Att,1))))))</f>
        <v/>
      </c>
      <c r="N1265" s="15">
        <f>IF($C1265="","",IF($L1265="","",IF($L1265&gt;=$J1265,"Yes","No")))</f>
        <v/>
      </c>
      <c r="O1265" s="15">
        <f>IF($C1265="","",IF($M1265="","",IF($M1265&gt;=$J1265,"Yes","No")))</f>
        <v/>
      </c>
      <c r="P1265" s="15">
        <f>IF($C1265="","",IF($K1265="","",IF(COUNTIFS(nrES_PID,$D1265,nrES_Code,$F1265,nrES_Att,"&gt;"&amp;$K1265)=0,"Yes","No")))</f>
        <v/>
      </c>
      <c r="Q1265" s="15">
        <f>IF($C1265="","",IF($L1265="","",IF(AND($K1265=1,$L1265&lt;$J1265,COUNTIFS(nrES_PID,$D1265,nrES_Code,$F1265,nrES_Att,2)=0),"Yes","No")))</f>
        <v/>
      </c>
      <c r="R1265" s="15">
        <f>IF($C1265="","",IF($L1265="","",IF(AND($K1265=2,$L1265&lt;$J1265,COUNTIFS(nrES_PID,$D1265,nrES_Code,$F1265,nrES_Att,1)&gt;0),"Yes","No")))</f>
        <v/>
      </c>
      <c r="S1265" s="16" t="n"/>
      <c r="T1265" s="17">
        <f>IF($Q1265&lt;&gt;"Yes","",IF($S1265="","(enter date)",_xlfn.LET(_xlpm.dn,IFERROR(_xlfn.XLOOKUP($S1265,nrCDdate,nrCDnum),""),IF(_xlpm.dn="","(not a class day)",IFERROR(_xlfn.XLOOKUP(_xlpm.dn+cfgRetestClassDays,nrCDnum,nrCDdate),"")))))</f>
        <v/>
      </c>
      <c r="U1265" s="15">
        <f>IF($Q1265&lt;&gt;"Yes","",IF(COUNTIFS(nrES_PID,$D1265,nrES_Code,$F1265,nrES_Att,2)&gt;0,"Retested",IF(OR($T1265="",NOT(ISNUMBER($T1265))),"Pending",IF(TODAY()&gt;$T1265,"OVERDUE","Due "&amp;TEXT($T1265,"mm/dd")))))</f>
        <v/>
      </c>
      <c r="V1265" s="14" t="n"/>
      <c r="W1265" s="14" t="n"/>
    </row>
    <row r="1266">
      <c r="B1266" s="15">
        <f>IF($C1266="","",$D1266&amp;"-"&amp;$F1266&amp;"-"&amp;$K1266)</f>
        <v/>
      </c>
      <c r="C1266" s="14" t="n"/>
      <c r="D1266" s="15">
        <f>IF($C1266="","",IFERROR(INDEX(rngCadetPIDs,MATCH($C1266,rngCadetNames,0)),"?"))</f>
        <v/>
      </c>
      <c r="E1266" s="15">
        <f>IF($D1266="","",IFERROR(INDEX(nrCadetAgency,MATCH($D1266,rngCadetPIDs,0)),""))</f>
        <v/>
      </c>
      <c r="F1266" s="14" t="n"/>
      <c r="G1266" s="15">
        <f>IF($F1266="","",IFERROR(INDEX(rngEPname,MATCH($F1266,rngEPcode,0)),"?"))</f>
        <v/>
      </c>
      <c r="H1266" s="15">
        <f>IF($F1266="","",IFERROR(INDEX(rngEPtype,MATCH($F1266,rngEPcode,0)),"?"))</f>
        <v/>
      </c>
      <c r="I1266" s="15">
        <f>IF($F1266="","",IFERROR(INDEX(rngEPseq,MATCH($F1266,rngEPcode,0)),""))</f>
        <v/>
      </c>
      <c r="J1266" s="15">
        <f>IF($F1266="","",IFERROR(INDEX(rngEPpass,MATCH($F1266,rngEPcode,0)),cfgPassingScore))</f>
        <v/>
      </c>
      <c r="K1266" s="14" t="n"/>
      <c r="L1266" s="14" t="n"/>
      <c r="M1266" s="15">
        <f>IF($C1266="","",IF($L1266="","",IF($K1266=1,IF(COUNTIFS(nrES_PID,$D1266,nrES_Code,$F1266,nrES_Att,2)&gt;0,"",$L1266),IF(COUNTIFS(nrES_PID,$D1266,nrES_Code,$F1266,nrES_Att,1)=0,$L1266,IF($L1266&gt;=$J1266,cfgRetakeRecordedCap,SUMIFS(nrES_Raw,nrES_PID,$D1266,nrES_Code,$F1266,nrES_Att,1))))))</f>
        <v/>
      </c>
      <c r="N1266" s="15">
        <f>IF($C1266="","",IF($L1266="","",IF($L1266&gt;=$J1266,"Yes","No")))</f>
        <v/>
      </c>
      <c r="O1266" s="15">
        <f>IF($C1266="","",IF($M1266="","",IF($M1266&gt;=$J1266,"Yes","No")))</f>
        <v/>
      </c>
      <c r="P1266" s="15">
        <f>IF($C1266="","",IF($K1266="","",IF(COUNTIFS(nrES_PID,$D1266,nrES_Code,$F1266,nrES_Att,"&gt;"&amp;$K1266)=0,"Yes","No")))</f>
        <v/>
      </c>
      <c r="Q1266" s="15">
        <f>IF($C1266="","",IF($L1266="","",IF(AND($K1266=1,$L1266&lt;$J1266,COUNTIFS(nrES_PID,$D1266,nrES_Code,$F1266,nrES_Att,2)=0),"Yes","No")))</f>
        <v/>
      </c>
      <c r="R1266" s="15">
        <f>IF($C1266="","",IF($L1266="","",IF(AND($K1266=2,$L1266&lt;$J1266,COUNTIFS(nrES_PID,$D1266,nrES_Code,$F1266,nrES_Att,1)&gt;0),"Yes","No")))</f>
        <v/>
      </c>
      <c r="S1266" s="16" t="n"/>
      <c r="T1266" s="17">
        <f>IF($Q1266&lt;&gt;"Yes","",IF($S1266="","(enter date)",_xlfn.LET(_xlpm.dn,IFERROR(_xlfn.XLOOKUP($S1266,nrCDdate,nrCDnum),""),IF(_xlpm.dn="","(not a class day)",IFERROR(_xlfn.XLOOKUP(_xlpm.dn+cfgRetestClassDays,nrCDnum,nrCDdate),"")))))</f>
        <v/>
      </c>
      <c r="U1266" s="15">
        <f>IF($Q1266&lt;&gt;"Yes","",IF(COUNTIFS(nrES_PID,$D1266,nrES_Code,$F1266,nrES_Att,2)&gt;0,"Retested",IF(OR($T1266="",NOT(ISNUMBER($T1266))),"Pending",IF(TODAY()&gt;$T1266,"OVERDUE","Due "&amp;TEXT($T1266,"mm/dd")))))</f>
        <v/>
      </c>
      <c r="V1266" s="14" t="n"/>
      <c r="W1266" s="14" t="n"/>
    </row>
    <row r="1267">
      <c r="B1267" s="15">
        <f>IF($C1267="","",$D1267&amp;"-"&amp;$F1267&amp;"-"&amp;$K1267)</f>
        <v/>
      </c>
      <c r="C1267" s="14" t="n"/>
      <c r="D1267" s="15">
        <f>IF($C1267="","",IFERROR(INDEX(rngCadetPIDs,MATCH($C1267,rngCadetNames,0)),"?"))</f>
        <v/>
      </c>
      <c r="E1267" s="15">
        <f>IF($D1267="","",IFERROR(INDEX(nrCadetAgency,MATCH($D1267,rngCadetPIDs,0)),""))</f>
        <v/>
      </c>
      <c r="F1267" s="14" t="n"/>
      <c r="G1267" s="15">
        <f>IF($F1267="","",IFERROR(INDEX(rngEPname,MATCH($F1267,rngEPcode,0)),"?"))</f>
        <v/>
      </c>
      <c r="H1267" s="15">
        <f>IF($F1267="","",IFERROR(INDEX(rngEPtype,MATCH($F1267,rngEPcode,0)),"?"))</f>
        <v/>
      </c>
      <c r="I1267" s="15">
        <f>IF($F1267="","",IFERROR(INDEX(rngEPseq,MATCH($F1267,rngEPcode,0)),""))</f>
        <v/>
      </c>
      <c r="J1267" s="15">
        <f>IF($F1267="","",IFERROR(INDEX(rngEPpass,MATCH($F1267,rngEPcode,0)),cfgPassingScore))</f>
        <v/>
      </c>
      <c r="K1267" s="14" t="n"/>
      <c r="L1267" s="14" t="n"/>
      <c r="M1267" s="15">
        <f>IF($C1267="","",IF($L1267="","",IF($K1267=1,IF(COUNTIFS(nrES_PID,$D1267,nrES_Code,$F1267,nrES_Att,2)&gt;0,"",$L1267),IF(COUNTIFS(nrES_PID,$D1267,nrES_Code,$F1267,nrES_Att,1)=0,$L1267,IF($L1267&gt;=$J1267,cfgRetakeRecordedCap,SUMIFS(nrES_Raw,nrES_PID,$D1267,nrES_Code,$F1267,nrES_Att,1))))))</f>
        <v/>
      </c>
      <c r="N1267" s="15">
        <f>IF($C1267="","",IF($L1267="","",IF($L1267&gt;=$J1267,"Yes","No")))</f>
        <v/>
      </c>
      <c r="O1267" s="15">
        <f>IF($C1267="","",IF($M1267="","",IF($M1267&gt;=$J1267,"Yes","No")))</f>
        <v/>
      </c>
      <c r="P1267" s="15">
        <f>IF($C1267="","",IF($K1267="","",IF(COUNTIFS(nrES_PID,$D1267,nrES_Code,$F1267,nrES_Att,"&gt;"&amp;$K1267)=0,"Yes","No")))</f>
        <v/>
      </c>
      <c r="Q1267" s="15">
        <f>IF($C1267="","",IF($L1267="","",IF(AND($K1267=1,$L1267&lt;$J1267,COUNTIFS(nrES_PID,$D1267,nrES_Code,$F1267,nrES_Att,2)=0),"Yes","No")))</f>
        <v/>
      </c>
      <c r="R1267" s="15">
        <f>IF($C1267="","",IF($L1267="","",IF(AND($K1267=2,$L1267&lt;$J1267,COUNTIFS(nrES_PID,$D1267,nrES_Code,$F1267,nrES_Att,1)&gt;0),"Yes","No")))</f>
        <v/>
      </c>
      <c r="S1267" s="16" t="n"/>
      <c r="T1267" s="17">
        <f>IF($Q1267&lt;&gt;"Yes","",IF($S1267="","(enter date)",_xlfn.LET(_xlpm.dn,IFERROR(_xlfn.XLOOKUP($S1267,nrCDdate,nrCDnum),""),IF(_xlpm.dn="","(not a class day)",IFERROR(_xlfn.XLOOKUP(_xlpm.dn+cfgRetestClassDays,nrCDnum,nrCDdate),"")))))</f>
        <v/>
      </c>
      <c r="U1267" s="15">
        <f>IF($Q1267&lt;&gt;"Yes","",IF(COUNTIFS(nrES_PID,$D1267,nrES_Code,$F1267,nrES_Att,2)&gt;0,"Retested",IF(OR($T1267="",NOT(ISNUMBER($T1267))),"Pending",IF(TODAY()&gt;$T1267,"OVERDUE","Due "&amp;TEXT($T1267,"mm/dd")))))</f>
        <v/>
      </c>
      <c r="V1267" s="14" t="n"/>
      <c r="W1267" s="14" t="n"/>
    </row>
    <row r="1268">
      <c r="B1268" s="15">
        <f>IF($C1268="","",$D1268&amp;"-"&amp;$F1268&amp;"-"&amp;$K1268)</f>
        <v/>
      </c>
      <c r="C1268" s="14" t="n"/>
      <c r="D1268" s="15">
        <f>IF($C1268="","",IFERROR(INDEX(rngCadetPIDs,MATCH($C1268,rngCadetNames,0)),"?"))</f>
        <v/>
      </c>
      <c r="E1268" s="15">
        <f>IF($D1268="","",IFERROR(INDEX(nrCadetAgency,MATCH($D1268,rngCadetPIDs,0)),""))</f>
        <v/>
      </c>
      <c r="F1268" s="14" t="n"/>
      <c r="G1268" s="15">
        <f>IF($F1268="","",IFERROR(INDEX(rngEPname,MATCH($F1268,rngEPcode,0)),"?"))</f>
        <v/>
      </c>
      <c r="H1268" s="15">
        <f>IF($F1268="","",IFERROR(INDEX(rngEPtype,MATCH($F1268,rngEPcode,0)),"?"))</f>
        <v/>
      </c>
      <c r="I1268" s="15">
        <f>IF($F1268="","",IFERROR(INDEX(rngEPseq,MATCH($F1268,rngEPcode,0)),""))</f>
        <v/>
      </c>
      <c r="J1268" s="15">
        <f>IF($F1268="","",IFERROR(INDEX(rngEPpass,MATCH($F1268,rngEPcode,0)),cfgPassingScore))</f>
        <v/>
      </c>
      <c r="K1268" s="14" t="n"/>
      <c r="L1268" s="14" t="n"/>
      <c r="M1268" s="15">
        <f>IF($C1268="","",IF($L1268="","",IF($K1268=1,IF(COUNTIFS(nrES_PID,$D1268,nrES_Code,$F1268,nrES_Att,2)&gt;0,"",$L1268),IF(COUNTIFS(nrES_PID,$D1268,nrES_Code,$F1268,nrES_Att,1)=0,$L1268,IF($L1268&gt;=$J1268,cfgRetakeRecordedCap,SUMIFS(nrES_Raw,nrES_PID,$D1268,nrES_Code,$F1268,nrES_Att,1))))))</f>
        <v/>
      </c>
      <c r="N1268" s="15">
        <f>IF($C1268="","",IF($L1268="","",IF($L1268&gt;=$J1268,"Yes","No")))</f>
        <v/>
      </c>
      <c r="O1268" s="15">
        <f>IF($C1268="","",IF($M1268="","",IF($M1268&gt;=$J1268,"Yes","No")))</f>
        <v/>
      </c>
      <c r="P1268" s="15">
        <f>IF($C1268="","",IF($K1268="","",IF(COUNTIFS(nrES_PID,$D1268,nrES_Code,$F1268,nrES_Att,"&gt;"&amp;$K1268)=0,"Yes","No")))</f>
        <v/>
      </c>
      <c r="Q1268" s="15">
        <f>IF($C1268="","",IF($L1268="","",IF(AND($K1268=1,$L1268&lt;$J1268,COUNTIFS(nrES_PID,$D1268,nrES_Code,$F1268,nrES_Att,2)=0),"Yes","No")))</f>
        <v/>
      </c>
      <c r="R1268" s="15">
        <f>IF($C1268="","",IF($L1268="","",IF(AND($K1268=2,$L1268&lt;$J1268,COUNTIFS(nrES_PID,$D1268,nrES_Code,$F1268,nrES_Att,1)&gt;0),"Yes","No")))</f>
        <v/>
      </c>
      <c r="S1268" s="16" t="n"/>
      <c r="T1268" s="17">
        <f>IF($Q1268&lt;&gt;"Yes","",IF($S1268="","(enter date)",_xlfn.LET(_xlpm.dn,IFERROR(_xlfn.XLOOKUP($S1268,nrCDdate,nrCDnum),""),IF(_xlpm.dn="","(not a class day)",IFERROR(_xlfn.XLOOKUP(_xlpm.dn+cfgRetestClassDays,nrCDnum,nrCDdate),"")))))</f>
        <v/>
      </c>
      <c r="U1268" s="15">
        <f>IF($Q1268&lt;&gt;"Yes","",IF(COUNTIFS(nrES_PID,$D1268,nrES_Code,$F1268,nrES_Att,2)&gt;0,"Retested",IF(OR($T1268="",NOT(ISNUMBER($T1268))),"Pending",IF(TODAY()&gt;$T1268,"OVERDUE","Due "&amp;TEXT($T1268,"mm/dd")))))</f>
        <v/>
      </c>
      <c r="V1268" s="14" t="n"/>
      <c r="W1268" s="14" t="n"/>
    </row>
    <row r="1269">
      <c r="B1269" s="15">
        <f>IF($C1269="","",$D1269&amp;"-"&amp;$F1269&amp;"-"&amp;$K1269)</f>
        <v/>
      </c>
      <c r="C1269" s="14" t="n"/>
      <c r="D1269" s="15">
        <f>IF($C1269="","",IFERROR(INDEX(rngCadetPIDs,MATCH($C1269,rngCadetNames,0)),"?"))</f>
        <v/>
      </c>
      <c r="E1269" s="15">
        <f>IF($D1269="","",IFERROR(INDEX(nrCadetAgency,MATCH($D1269,rngCadetPIDs,0)),""))</f>
        <v/>
      </c>
      <c r="F1269" s="14" t="n"/>
      <c r="G1269" s="15">
        <f>IF($F1269="","",IFERROR(INDEX(rngEPname,MATCH($F1269,rngEPcode,0)),"?"))</f>
        <v/>
      </c>
      <c r="H1269" s="15">
        <f>IF($F1269="","",IFERROR(INDEX(rngEPtype,MATCH($F1269,rngEPcode,0)),"?"))</f>
        <v/>
      </c>
      <c r="I1269" s="15">
        <f>IF($F1269="","",IFERROR(INDEX(rngEPseq,MATCH($F1269,rngEPcode,0)),""))</f>
        <v/>
      </c>
      <c r="J1269" s="15">
        <f>IF($F1269="","",IFERROR(INDEX(rngEPpass,MATCH($F1269,rngEPcode,0)),cfgPassingScore))</f>
        <v/>
      </c>
      <c r="K1269" s="14" t="n"/>
      <c r="L1269" s="14" t="n"/>
      <c r="M1269" s="15">
        <f>IF($C1269="","",IF($L1269="","",IF($K1269=1,IF(COUNTIFS(nrES_PID,$D1269,nrES_Code,$F1269,nrES_Att,2)&gt;0,"",$L1269),IF(COUNTIFS(nrES_PID,$D1269,nrES_Code,$F1269,nrES_Att,1)=0,$L1269,IF($L1269&gt;=$J1269,cfgRetakeRecordedCap,SUMIFS(nrES_Raw,nrES_PID,$D1269,nrES_Code,$F1269,nrES_Att,1))))))</f>
        <v/>
      </c>
      <c r="N1269" s="15">
        <f>IF($C1269="","",IF($L1269="","",IF($L1269&gt;=$J1269,"Yes","No")))</f>
        <v/>
      </c>
      <c r="O1269" s="15">
        <f>IF($C1269="","",IF($M1269="","",IF($M1269&gt;=$J1269,"Yes","No")))</f>
        <v/>
      </c>
      <c r="P1269" s="15">
        <f>IF($C1269="","",IF($K1269="","",IF(COUNTIFS(nrES_PID,$D1269,nrES_Code,$F1269,nrES_Att,"&gt;"&amp;$K1269)=0,"Yes","No")))</f>
        <v/>
      </c>
      <c r="Q1269" s="15">
        <f>IF($C1269="","",IF($L1269="","",IF(AND($K1269=1,$L1269&lt;$J1269,COUNTIFS(nrES_PID,$D1269,nrES_Code,$F1269,nrES_Att,2)=0),"Yes","No")))</f>
        <v/>
      </c>
      <c r="R1269" s="15">
        <f>IF($C1269="","",IF($L1269="","",IF(AND($K1269=2,$L1269&lt;$J1269,COUNTIFS(nrES_PID,$D1269,nrES_Code,$F1269,nrES_Att,1)&gt;0),"Yes","No")))</f>
        <v/>
      </c>
      <c r="S1269" s="16" t="n"/>
      <c r="T1269" s="17">
        <f>IF($Q1269&lt;&gt;"Yes","",IF($S1269="","(enter date)",_xlfn.LET(_xlpm.dn,IFERROR(_xlfn.XLOOKUP($S1269,nrCDdate,nrCDnum),""),IF(_xlpm.dn="","(not a class day)",IFERROR(_xlfn.XLOOKUP(_xlpm.dn+cfgRetestClassDays,nrCDnum,nrCDdate),"")))))</f>
        <v/>
      </c>
      <c r="U1269" s="15">
        <f>IF($Q1269&lt;&gt;"Yes","",IF(COUNTIFS(nrES_PID,$D1269,nrES_Code,$F1269,nrES_Att,2)&gt;0,"Retested",IF(OR($T1269="",NOT(ISNUMBER($T1269))),"Pending",IF(TODAY()&gt;$T1269,"OVERDUE","Due "&amp;TEXT($T1269,"mm/dd")))))</f>
        <v/>
      </c>
      <c r="V1269" s="14" t="n"/>
      <c r="W1269" s="14" t="n"/>
    </row>
    <row r="1270">
      <c r="B1270" s="15">
        <f>IF($C1270="","",$D1270&amp;"-"&amp;$F1270&amp;"-"&amp;$K1270)</f>
        <v/>
      </c>
      <c r="C1270" s="14" t="n"/>
      <c r="D1270" s="15">
        <f>IF($C1270="","",IFERROR(INDEX(rngCadetPIDs,MATCH($C1270,rngCadetNames,0)),"?"))</f>
        <v/>
      </c>
      <c r="E1270" s="15">
        <f>IF($D1270="","",IFERROR(INDEX(nrCadetAgency,MATCH($D1270,rngCadetPIDs,0)),""))</f>
        <v/>
      </c>
      <c r="F1270" s="14" t="n"/>
      <c r="G1270" s="15">
        <f>IF($F1270="","",IFERROR(INDEX(rngEPname,MATCH($F1270,rngEPcode,0)),"?"))</f>
        <v/>
      </c>
      <c r="H1270" s="15">
        <f>IF($F1270="","",IFERROR(INDEX(rngEPtype,MATCH($F1270,rngEPcode,0)),"?"))</f>
        <v/>
      </c>
      <c r="I1270" s="15">
        <f>IF($F1270="","",IFERROR(INDEX(rngEPseq,MATCH($F1270,rngEPcode,0)),""))</f>
        <v/>
      </c>
      <c r="J1270" s="15">
        <f>IF($F1270="","",IFERROR(INDEX(rngEPpass,MATCH($F1270,rngEPcode,0)),cfgPassingScore))</f>
        <v/>
      </c>
      <c r="K1270" s="14" t="n"/>
      <c r="L1270" s="14" t="n"/>
      <c r="M1270" s="15">
        <f>IF($C1270="","",IF($L1270="","",IF($K1270=1,IF(COUNTIFS(nrES_PID,$D1270,nrES_Code,$F1270,nrES_Att,2)&gt;0,"",$L1270),IF(COUNTIFS(nrES_PID,$D1270,nrES_Code,$F1270,nrES_Att,1)=0,$L1270,IF($L1270&gt;=$J1270,cfgRetakeRecordedCap,SUMIFS(nrES_Raw,nrES_PID,$D1270,nrES_Code,$F1270,nrES_Att,1))))))</f>
        <v/>
      </c>
      <c r="N1270" s="15">
        <f>IF($C1270="","",IF($L1270="","",IF($L1270&gt;=$J1270,"Yes","No")))</f>
        <v/>
      </c>
      <c r="O1270" s="15">
        <f>IF($C1270="","",IF($M1270="","",IF($M1270&gt;=$J1270,"Yes","No")))</f>
        <v/>
      </c>
      <c r="P1270" s="15">
        <f>IF($C1270="","",IF($K1270="","",IF(COUNTIFS(nrES_PID,$D1270,nrES_Code,$F1270,nrES_Att,"&gt;"&amp;$K1270)=0,"Yes","No")))</f>
        <v/>
      </c>
      <c r="Q1270" s="15">
        <f>IF($C1270="","",IF($L1270="","",IF(AND($K1270=1,$L1270&lt;$J1270,COUNTIFS(nrES_PID,$D1270,nrES_Code,$F1270,nrES_Att,2)=0),"Yes","No")))</f>
        <v/>
      </c>
      <c r="R1270" s="15">
        <f>IF($C1270="","",IF($L1270="","",IF(AND($K1270=2,$L1270&lt;$J1270,COUNTIFS(nrES_PID,$D1270,nrES_Code,$F1270,nrES_Att,1)&gt;0),"Yes","No")))</f>
        <v/>
      </c>
      <c r="S1270" s="16" t="n"/>
      <c r="T1270" s="17">
        <f>IF($Q1270&lt;&gt;"Yes","",IF($S1270="","(enter date)",_xlfn.LET(_xlpm.dn,IFERROR(_xlfn.XLOOKUP($S1270,nrCDdate,nrCDnum),""),IF(_xlpm.dn="","(not a class day)",IFERROR(_xlfn.XLOOKUP(_xlpm.dn+cfgRetestClassDays,nrCDnum,nrCDdate),"")))))</f>
        <v/>
      </c>
      <c r="U1270" s="15">
        <f>IF($Q1270&lt;&gt;"Yes","",IF(COUNTIFS(nrES_PID,$D1270,nrES_Code,$F1270,nrES_Att,2)&gt;0,"Retested",IF(OR($T1270="",NOT(ISNUMBER($T1270))),"Pending",IF(TODAY()&gt;$T1270,"OVERDUE","Due "&amp;TEXT($T1270,"mm/dd")))))</f>
        <v/>
      </c>
      <c r="V1270" s="14" t="n"/>
      <c r="W1270" s="14" t="n"/>
    </row>
    <row r="1271">
      <c r="B1271" s="15">
        <f>IF($C1271="","",$D1271&amp;"-"&amp;$F1271&amp;"-"&amp;$K1271)</f>
        <v/>
      </c>
      <c r="C1271" s="14" t="n"/>
      <c r="D1271" s="15">
        <f>IF($C1271="","",IFERROR(INDEX(rngCadetPIDs,MATCH($C1271,rngCadetNames,0)),"?"))</f>
        <v/>
      </c>
      <c r="E1271" s="15">
        <f>IF($D1271="","",IFERROR(INDEX(nrCadetAgency,MATCH($D1271,rngCadetPIDs,0)),""))</f>
        <v/>
      </c>
      <c r="F1271" s="14" t="n"/>
      <c r="G1271" s="15">
        <f>IF($F1271="","",IFERROR(INDEX(rngEPname,MATCH($F1271,rngEPcode,0)),"?"))</f>
        <v/>
      </c>
      <c r="H1271" s="15">
        <f>IF($F1271="","",IFERROR(INDEX(rngEPtype,MATCH($F1271,rngEPcode,0)),"?"))</f>
        <v/>
      </c>
      <c r="I1271" s="15">
        <f>IF($F1271="","",IFERROR(INDEX(rngEPseq,MATCH($F1271,rngEPcode,0)),""))</f>
        <v/>
      </c>
      <c r="J1271" s="15">
        <f>IF($F1271="","",IFERROR(INDEX(rngEPpass,MATCH($F1271,rngEPcode,0)),cfgPassingScore))</f>
        <v/>
      </c>
      <c r="K1271" s="14" t="n"/>
      <c r="L1271" s="14" t="n"/>
      <c r="M1271" s="15">
        <f>IF($C1271="","",IF($L1271="","",IF($K1271=1,IF(COUNTIFS(nrES_PID,$D1271,nrES_Code,$F1271,nrES_Att,2)&gt;0,"",$L1271),IF(COUNTIFS(nrES_PID,$D1271,nrES_Code,$F1271,nrES_Att,1)=0,$L1271,IF($L1271&gt;=$J1271,cfgRetakeRecordedCap,SUMIFS(nrES_Raw,nrES_PID,$D1271,nrES_Code,$F1271,nrES_Att,1))))))</f>
        <v/>
      </c>
      <c r="N1271" s="15">
        <f>IF($C1271="","",IF($L1271="","",IF($L1271&gt;=$J1271,"Yes","No")))</f>
        <v/>
      </c>
      <c r="O1271" s="15">
        <f>IF($C1271="","",IF($M1271="","",IF($M1271&gt;=$J1271,"Yes","No")))</f>
        <v/>
      </c>
      <c r="P1271" s="15">
        <f>IF($C1271="","",IF($K1271="","",IF(COUNTIFS(nrES_PID,$D1271,nrES_Code,$F1271,nrES_Att,"&gt;"&amp;$K1271)=0,"Yes","No")))</f>
        <v/>
      </c>
      <c r="Q1271" s="15">
        <f>IF($C1271="","",IF($L1271="","",IF(AND($K1271=1,$L1271&lt;$J1271,COUNTIFS(nrES_PID,$D1271,nrES_Code,$F1271,nrES_Att,2)=0),"Yes","No")))</f>
        <v/>
      </c>
      <c r="R1271" s="15">
        <f>IF($C1271="","",IF($L1271="","",IF(AND($K1271=2,$L1271&lt;$J1271,COUNTIFS(nrES_PID,$D1271,nrES_Code,$F1271,nrES_Att,1)&gt;0),"Yes","No")))</f>
        <v/>
      </c>
      <c r="S1271" s="16" t="n"/>
      <c r="T1271" s="17">
        <f>IF($Q1271&lt;&gt;"Yes","",IF($S1271="","(enter date)",_xlfn.LET(_xlpm.dn,IFERROR(_xlfn.XLOOKUP($S1271,nrCDdate,nrCDnum),""),IF(_xlpm.dn="","(not a class day)",IFERROR(_xlfn.XLOOKUP(_xlpm.dn+cfgRetestClassDays,nrCDnum,nrCDdate),"")))))</f>
        <v/>
      </c>
      <c r="U1271" s="15">
        <f>IF($Q1271&lt;&gt;"Yes","",IF(COUNTIFS(nrES_PID,$D1271,nrES_Code,$F1271,nrES_Att,2)&gt;0,"Retested",IF(OR($T1271="",NOT(ISNUMBER($T1271))),"Pending",IF(TODAY()&gt;$T1271,"OVERDUE","Due "&amp;TEXT($T1271,"mm/dd")))))</f>
        <v/>
      </c>
      <c r="V1271" s="14" t="n"/>
      <c r="W1271" s="14" t="n"/>
    </row>
    <row r="1272">
      <c r="B1272" s="15">
        <f>IF($C1272="","",$D1272&amp;"-"&amp;$F1272&amp;"-"&amp;$K1272)</f>
        <v/>
      </c>
      <c r="C1272" s="14" t="n"/>
      <c r="D1272" s="15">
        <f>IF($C1272="","",IFERROR(INDEX(rngCadetPIDs,MATCH($C1272,rngCadetNames,0)),"?"))</f>
        <v/>
      </c>
      <c r="E1272" s="15">
        <f>IF($D1272="","",IFERROR(INDEX(nrCadetAgency,MATCH($D1272,rngCadetPIDs,0)),""))</f>
        <v/>
      </c>
      <c r="F1272" s="14" t="n"/>
      <c r="G1272" s="15">
        <f>IF($F1272="","",IFERROR(INDEX(rngEPname,MATCH($F1272,rngEPcode,0)),"?"))</f>
        <v/>
      </c>
      <c r="H1272" s="15">
        <f>IF($F1272="","",IFERROR(INDEX(rngEPtype,MATCH($F1272,rngEPcode,0)),"?"))</f>
        <v/>
      </c>
      <c r="I1272" s="15">
        <f>IF($F1272="","",IFERROR(INDEX(rngEPseq,MATCH($F1272,rngEPcode,0)),""))</f>
        <v/>
      </c>
      <c r="J1272" s="15">
        <f>IF($F1272="","",IFERROR(INDEX(rngEPpass,MATCH($F1272,rngEPcode,0)),cfgPassingScore))</f>
        <v/>
      </c>
      <c r="K1272" s="14" t="n"/>
      <c r="L1272" s="14" t="n"/>
      <c r="M1272" s="15">
        <f>IF($C1272="","",IF($L1272="","",IF($K1272=1,IF(COUNTIFS(nrES_PID,$D1272,nrES_Code,$F1272,nrES_Att,2)&gt;0,"",$L1272),IF(COUNTIFS(nrES_PID,$D1272,nrES_Code,$F1272,nrES_Att,1)=0,$L1272,IF($L1272&gt;=$J1272,cfgRetakeRecordedCap,SUMIFS(nrES_Raw,nrES_PID,$D1272,nrES_Code,$F1272,nrES_Att,1))))))</f>
        <v/>
      </c>
      <c r="N1272" s="15">
        <f>IF($C1272="","",IF($L1272="","",IF($L1272&gt;=$J1272,"Yes","No")))</f>
        <v/>
      </c>
      <c r="O1272" s="15">
        <f>IF($C1272="","",IF($M1272="","",IF($M1272&gt;=$J1272,"Yes","No")))</f>
        <v/>
      </c>
      <c r="P1272" s="15">
        <f>IF($C1272="","",IF($K1272="","",IF(COUNTIFS(nrES_PID,$D1272,nrES_Code,$F1272,nrES_Att,"&gt;"&amp;$K1272)=0,"Yes","No")))</f>
        <v/>
      </c>
      <c r="Q1272" s="15">
        <f>IF($C1272="","",IF($L1272="","",IF(AND($K1272=1,$L1272&lt;$J1272,COUNTIFS(nrES_PID,$D1272,nrES_Code,$F1272,nrES_Att,2)=0),"Yes","No")))</f>
        <v/>
      </c>
      <c r="R1272" s="15">
        <f>IF($C1272="","",IF($L1272="","",IF(AND($K1272=2,$L1272&lt;$J1272,COUNTIFS(nrES_PID,$D1272,nrES_Code,$F1272,nrES_Att,1)&gt;0),"Yes","No")))</f>
        <v/>
      </c>
      <c r="S1272" s="16" t="n"/>
      <c r="T1272" s="17">
        <f>IF($Q1272&lt;&gt;"Yes","",IF($S1272="","(enter date)",_xlfn.LET(_xlpm.dn,IFERROR(_xlfn.XLOOKUP($S1272,nrCDdate,nrCDnum),""),IF(_xlpm.dn="","(not a class day)",IFERROR(_xlfn.XLOOKUP(_xlpm.dn+cfgRetestClassDays,nrCDnum,nrCDdate),"")))))</f>
        <v/>
      </c>
      <c r="U1272" s="15">
        <f>IF($Q1272&lt;&gt;"Yes","",IF(COUNTIFS(nrES_PID,$D1272,nrES_Code,$F1272,nrES_Att,2)&gt;0,"Retested",IF(OR($T1272="",NOT(ISNUMBER($T1272))),"Pending",IF(TODAY()&gt;$T1272,"OVERDUE","Due "&amp;TEXT($T1272,"mm/dd")))))</f>
        <v/>
      </c>
      <c r="V1272" s="14" t="n"/>
      <c r="W1272" s="14" t="n"/>
    </row>
    <row r="1273">
      <c r="B1273" s="15">
        <f>IF($C1273="","",$D1273&amp;"-"&amp;$F1273&amp;"-"&amp;$K1273)</f>
        <v/>
      </c>
      <c r="C1273" s="14" t="n"/>
      <c r="D1273" s="15">
        <f>IF($C1273="","",IFERROR(INDEX(rngCadetPIDs,MATCH($C1273,rngCadetNames,0)),"?"))</f>
        <v/>
      </c>
      <c r="E1273" s="15">
        <f>IF($D1273="","",IFERROR(INDEX(nrCadetAgency,MATCH($D1273,rngCadetPIDs,0)),""))</f>
        <v/>
      </c>
      <c r="F1273" s="14" t="n"/>
      <c r="G1273" s="15">
        <f>IF($F1273="","",IFERROR(INDEX(rngEPname,MATCH($F1273,rngEPcode,0)),"?"))</f>
        <v/>
      </c>
      <c r="H1273" s="15">
        <f>IF($F1273="","",IFERROR(INDEX(rngEPtype,MATCH($F1273,rngEPcode,0)),"?"))</f>
        <v/>
      </c>
      <c r="I1273" s="15">
        <f>IF($F1273="","",IFERROR(INDEX(rngEPseq,MATCH($F1273,rngEPcode,0)),""))</f>
        <v/>
      </c>
      <c r="J1273" s="15">
        <f>IF($F1273="","",IFERROR(INDEX(rngEPpass,MATCH($F1273,rngEPcode,0)),cfgPassingScore))</f>
        <v/>
      </c>
      <c r="K1273" s="14" t="n"/>
      <c r="L1273" s="14" t="n"/>
      <c r="M1273" s="15">
        <f>IF($C1273="","",IF($L1273="","",IF($K1273=1,IF(COUNTIFS(nrES_PID,$D1273,nrES_Code,$F1273,nrES_Att,2)&gt;0,"",$L1273),IF(COUNTIFS(nrES_PID,$D1273,nrES_Code,$F1273,nrES_Att,1)=0,$L1273,IF($L1273&gt;=$J1273,cfgRetakeRecordedCap,SUMIFS(nrES_Raw,nrES_PID,$D1273,nrES_Code,$F1273,nrES_Att,1))))))</f>
        <v/>
      </c>
      <c r="N1273" s="15">
        <f>IF($C1273="","",IF($L1273="","",IF($L1273&gt;=$J1273,"Yes","No")))</f>
        <v/>
      </c>
      <c r="O1273" s="15">
        <f>IF($C1273="","",IF($M1273="","",IF($M1273&gt;=$J1273,"Yes","No")))</f>
        <v/>
      </c>
      <c r="P1273" s="15">
        <f>IF($C1273="","",IF($K1273="","",IF(COUNTIFS(nrES_PID,$D1273,nrES_Code,$F1273,nrES_Att,"&gt;"&amp;$K1273)=0,"Yes","No")))</f>
        <v/>
      </c>
      <c r="Q1273" s="15">
        <f>IF($C1273="","",IF($L1273="","",IF(AND($K1273=1,$L1273&lt;$J1273,COUNTIFS(nrES_PID,$D1273,nrES_Code,$F1273,nrES_Att,2)=0),"Yes","No")))</f>
        <v/>
      </c>
      <c r="R1273" s="15">
        <f>IF($C1273="","",IF($L1273="","",IF(AND($K1273=2,$L1273&lt;$J1273,COUNTIFS(nrES_PID,$D1273,nrES_Code,$F1273,nrES_Att,1)&gt;0),"Yes","No")))</f>
        <v/>
      </c>
      <c r="S1273" s="16" t="n"/>
      <c r="T1273" s="17">
        <f>IF($Q1273&lt;&gt;"Yes","",IF($S1273="","(enter date)",_xlfn.LET(_xlpm.dn,IFERROR(_xlfn.XLOOKUP($S1273,nrCDdate,nrCDnum),""),IF(_xlpm.dn="","(not a class day)",IFERROR(_xlfn.XLOOKUP(_xlpm.dn+cfgRetestClassDays,nrCDnum,nrCDdate),"")))))</f>
        <v/>
      </c>
      <c r="U1273" s="15">
        <f>IF($Q1273&lt;&gt;"Yes","",IF(COUNTIFS(nrES_PID,$D1273,nrES_Code,$F1273,nrES_Att,2)&gt;0,"Retested",IF(OR($T1273="",NOT(ISNUMBER($T1273))),"Pending",IF(TODAY()&gt;$T1273,"OVERDUE","Due "&amp;TEXT($T1273,"mm/dd")))))</f>
        <v/>
      </c>
      <c r="V1273" s="14" t="n"/>
      <c r="W1273" s="14" t="n"/>
    </row>
    <row r="1274">
      <c r="B1274" s="15">
        <f>IF($C1274="","",$D1274&amp;"-"&amp;$F1274&amp;"-"&amp;$K1274)</f>
        <v/>
      </c>
      <c r="C1274" s="14" t="n"/>
      <c r="D1274" s="15">
        <f>IF($C1274="","",IFERROR(INDEX(rngCadetPIDs,MATCH($C1274,rngCadetNames,0)),"?"))</f>
        <v/>
      </c>
      <c r="E1274" s="15">
        <f>IF($D1274="","",IFERROR(INDEX(nrCadetAgency,MATCH($D1274,rngCadetPIDs,0)),""))</f>
        <v/>
      </c>
      <c r="F1274" s="14" t="n"/>
      <c r="G1274" s="15">
        <f>IF($F1274="","",IFERROR(INDEX(rngEPname,MATCH($F1274,rngEPcode,0)),"?"))</f>
        <v/>
      </c>
      <c r="H1274" s="15">
        <f>IF($F1274="","",IFERROR(INDEX(rngEPtype,MATCH($F1274,rngEPcode,0)),"?"))</f>
        <v/>
      </c>
      <c r="I1274" s="15">
        <f>IF($F1274="","",IFERROR(INDEX(rngEPseq,MATCH($F1274,rngEPcode,0)),""))</f>
        <v/>
      </c>
      <c r="J1274" s="15">
        <f>IF($F1274="","",IFERROR(INDEX(rngEPpass,MATCH($F1274,rngEPcode,0)),cfgPassingScore))</f>
        <v/>
      </c>
      <c r="K1274" s="14" t="n"/>
      <c r="L1274" s="14" t="n"/>
      <c r="M1274" s="15">
        <f>IF($C1274="","",IF($L1274="","",IF($K1274=1,IF(COUNTIFS(nrES_PID,$D1274,nrES_Code,$F1274,nrES_Att,2)&gt;0,"",$L1274),IF(COUNTIFS(nrES_PID,$D1274,nrES_Code,$F1274,nrES_Att,1)=0,$L1274,IF($L1274&gt;=$J1274,cfgRetakeRecordedCap,SUMIFS(nrES_Raw,nrES_PID,$D1274,nrES_Code,$F1274,nrES_Att,1))))))</f>
        <v/>
      </c>
      <c r="N1274" s="15">
        <f>IF($C1274="","",IF($L1274="","",IF($L1274&gt;=$J1274,"Yes","No")))</f>
        <v/>
      </c>
      <c r="O1274" s="15">
        <f>IF($C1274="","",IF($M1274="","",IF($M1274&gt;=$J1274,"Yes","No")))</f>
        <v/>
      </c>
      <c r="P1274" s="15">
        <f>IF($C1274="","",IF($K1274="","",IF(COUNTIFS(nrES_PID,$D1274,nrES_Code,$F1274,nrES_Att,"&gt;"&amp;$K1274)=0,"Yes","No")))</f>
        <v/>
      </c>
      <c r="Q1274" s="15">
        <f>IF($C1274="","",IF($L1274="","",IF(AND($K1274=1,$L1274&lt;$J1274,COUNTIFS(nrES_PID,$D1274,nrES_Code,$F1274,nrES_Att,2)=0),"Yes","No")))</f>
        <v/>
      </c>
      <c r="R1274" s="15">
        <f>IF($C1274="","",IF($L1274="","",IF(AND($K1274=2,$L1274&lt;$J1274,COUNTIFS(nrES_PID,$D1274,nrES_Code,$F1274,nrES_Att,1)&gt;0),"Yes","No")))</f>
        <v/>
      </c>
      <c r="S1274" s="16" t="n"/>
      <c r="T1274" s="17">
        <f>IF($Q1274&lt;&gt;"Yes","",IF($S1274="","(enter date)",_xlfn.LET(_xlpm.dn,IFERROR(_xlfn.XLOOKUP($S1274,nrCDdate,nrCDnum),""),IF(_xlpm.dn="","(not a class day)",IFERROR(_xlfn.XLOOKUP(_xlpm.dn+cfgRetestClassDays,nrCDnum,nrCDdate),"")))))</f>
        <v/>
      </c>
      <c r="U1274" s="15">
        <f>IF($Q1274&lt;&gt;"Yes","",IF(COUNTIFS(nrES_PID,$D1274,nrES_Code,$F1274,nrES_Att,2)&gt;0,"Retested",IF(OR($T1274="",NOT(ISNUMBER($T1274))),"Pending",IF(TODAY()&gt;$T1274,"OVERDUE","Due "&amp;TEXT($T1274,"mm/dd")))))</f>
        <v/>
      </c>
      <c r="V1274" s="14" t="n"/>
      <c r="W1274" s="14" t="n"/>
    </row>
    <row r="1275">
      <c r="B1275" s="15">
        <f>IF($C1275="","",$D1275&amp;"-"&amp;$F1275&amp;"-"&amp;$K1275)</f>
        <v/>
      </c>
      <c r="C1275" s="14" t="n"/>
      <c r="D1275" s="15">
        <f>IF($C1275="","",IFERROR(INDEX(rngCadetPIDs,MATCH($C1275,rngCadetNames,0)),"?"))</f>
        <v/>
      </c>
      <c r="E1275" s="15">
        <f>IF($D1275="","",IFERROR(INDEX(nrCadetAgency,MATCH($D1275,rngCadetPIDs,0)),""))</f>
        <v/>
      </c>
      <c r="F1275" s="14" t="n"/>
      <c r="G1275" s="15">
        <f>IF($F1275="","",IFERROR(INDEX(rngEPname,MATCH($F1275,rngEPcode,0)),"?"))</f>
        <v/>
      </c>
      <c r="H1275" s="15">
        <f>IF($F1275="","",IFERROR(INDEX(rngEPtype,MATCH($F1275,rngEPcode,0)),"?"))</f>
        <v/>
      </c>
      <c r="I1275" s="15">
        <f>IF($F1275="","",IFERROR(INDEX(rngEPseq,MATCH($F1275,rngEPcode,0)),""))</f>
        <v/>
      </c>
      <c r="J1275" s="15">
        <f>IF($F1275="","",IFERROR(INDEX(rngEPpass,MATCH($F1275,rngEPcode,0)),cfgPassingScore))</f>
        <v/>
      </c>
      <c r="K1275" s="14" t="n"/>
      <c r="L1275" s="14" t="n"/>
      <c r="M1275" s="15">
        <f>IF($C1275="","",IF($L1275="","",IF($K1275=1,IF(COUNTIFS(nrES_PID,$D1275,nrES_Code,$F1275,nrES_Att,2)&gt;0,"",$L1275),IF(COUNTIFS(nrES_PID,$D1275,nrES_Code,$F1275,nrES_Att,1)=0,$L1275,IF($L1275&gt;=$J1275,cfgRetakeRecordedCap,SUMIFS(nrES_Raw,nrES_PID,$D1275,nrES_Code,$F1275,nrES_Att,1))))))</f>
        <v/>
      </c>
      <c r="N1275" s="15">
        <f>IF($C1275="","",IF($L1275="","",IF($L1275&gt;=$J1275,"Yes","No")))</f>
        <v/>
      </c>
      <c r="O1275" s="15">
        <f>IF($C1275="","",IF($M1275="","",IF($M1275&gt;=$J1275,"Yes","No")))</f>
        <v/>
      </c>
      <c r="P1275" s="15">
        <f>IF($C1275="","",IF($K1275="","",IF(COUNTIFS(nrES_PID,$D1275,nrES_Code,$F1275,nrES_Att,"&gt;"&amp;$K1275)=0,"Yes","No")))</f>
        <v/>
      </c>
      <c r="Q1275" s="15">
        <f>IF($C1275="","",IF($L1275="","",IF(AND($K1275=1,$L1275&lt;$J1275,COUNTIFS(nrES_PID,$D1275,nrES_Code,$F1275,nrES_Att,2)=0),"Yes","No")))</f>
        <v/>
      </c>
      <c r="R1275" s="15">
        <f>IF($C1275="","",IF($L1275="","",IF(AND($K1275=2,$L1275&lt;$J1275,COUNTIFS(nrES_PID,$D1275,nrES_Code,$F1275,nrES_Att,1)&gt;0),"Yes","No")))</f>
        <v/>
      </c>
      <c r="S1275" s="16" t="n"/>
      <c r="T1275" s="17">
        <f>IF($Q1275&lt;&gt;"Yes","",IF($S1275="","(enter date)",_xlfn.LET(_xlpm.dn,IFERROR(_xlfn.XLOOKUP($S1275,nrCDdate,nrCDnum),""),IF(_xlpm.dn="","(not a class day)",IFERROR(_xlfn.XLOOKUP(_xlpm.dn+cfgRetestClassDays,nrCDnum,nrCDdate),"")))))</f>
        <v/>
      </c>
      <c r="U1275" s="15">
        <f>IF($Q1275&lt;&gt;"Yes","",IF(COUNTIFS(nrES_PID,$D1275,nrES_Code,$F1275,nrES_Att,2)&gt;0,"Retested",IF(OR($T1275="",NOT(ISNUMBER($T1275))),"Pending",IF(TODAY()&gt;$T1275,"OVERDUE","Due "&amp;TEXT($T1275,"mm/dd")))))</f>
        <v/>
      </c>
      <c r="V1275" s="14" t="n"/>
      <c r="W1275" s="14" t="n"/>
    </row>
    <row r="1276">
      <c r="B1276" s="15">
        <f>IF($C1276="","",$D1276&amp;"-"&amp;$F1276&amp;"-"&amp;$K1276)</f>
        <v/>
      </c>
      <c r="C1276" s="14" t="n"/>
      <c r="D1276" s="15">
        <f>IF($C1276="","",IFERROR(INDEX(rngCadetPIDs,MATCH($C1276,rngCadetNames,0)),"?"))</f>
        <v/>
      </c>
      <c r="E1276" s="15">
        <f>IF($D1276="","",IFERROR(INDEX(nrCadetAgency,MATCH($D1276,rngCadetPIDs,0)),""))</f>
        <v/>
      </c>
      <c r="F1276" s="14" t="n"/>
      <c r="G1276" s="15">
        <f>IF($F1276="","",IFERROR(INDEX(rngEPname,MATCH($F1276,rngEPcode,0)),"?"))</f>
        <v/>
      </c>
      <c r="H1276" s="15">
        <f>IF($F1276="","",IFERROR(INDEX(rngEPtype,MATCH($F1276,rngEPcode,0)),"?"))</f>
        <v/>
      </c>
      <c r="I1276" s="15">
        <f>IF($F1276="","",IFERROR(INDEX(rngEPseq,MATCH($F1276,rngEPcode,0)),""))</f>
        <v/>
      </c>
      <c r="J1276" s="15">
        <f>IF($F1276="","",IFERROR(INDEX(rngEPpass,MATCH($F1276,rngEPcode,0)),cfgPassingScore))</f>
        <v/>
      </c>
      <c r="K1276" s="14" t="n"/>
      <c r="L1276" s="14" t="n"/>
      <c r="M1276" s="15">
        <f>IF($C1276="","",IF($L1276="","",IF($K1276=1,IF(COUNTIFS(nrES_PID,$D1276,nrES_Code,$F1276,nrES_Att,2)&gt;0,"",$L1276),IF(COUNTIFS(nrES_PID,$D1276,nrES_Code,$F1276,nrES_Att,1)=0,$L1276,IF($L1276&gt;=$J1276,cfgRetakeRecordedCap,SUMIFS(nrES_Raw,nrES_PID,$D1276,nrES_Code,$F1276,nrES_Att,1))))))</f>
        <v/>
      </c>
      <c r="N1276" s="15">
        <f>IF($C1276="","",IF($L1276="","",IF($L1276&gt;=$J1276,"Yes","No")))</f>
        <v/>
      </c>
      <c r="O1276" s="15">
        <f>IF($C1276="","",IF($M1276="","",IF($M1276&gt;=$J1276,"Yes","No")))</f>
        <v/>
      </c>
      <c r="P1276" s="15">
        <f>IF($C1276="","",IF($K1276="","",IF(COUNTIFS(nrES_PID,$D1276,nrES_Code,$F1276,nrES_Att,"&gt;"&amp;$K1276)=0,"Yes","No")))</f>
        <v/>
      </c>
      <c r="Q1276" s="15">
        <f>IF($C1276="","",IF($L1276="","",IF(AND($K1276=1,$L1276&lt;$J1276,COUNTIFS(nrES_PID,$D1276,nrES_Code,$F1276,nrES_Att,2)=0),"Yes","No")))</f>
        <v/>
      </c>
      <c r="R1276" s="15">
        <f>IF($C1276="","",IF($L1276="","",IF(AND($K1276=2,$L1276&lt;$J1276,COUNTIFS(nrES_PID,$D1276,nrES_Code,$F1276,nrES_Att,1)&gt;0),"Yes","No")))</f>
        <v/>
      </c>
      <c r="S1276" s="16" t="n"/>
      <c r="T1276" s="17">
        <f>IF($Q1276&lt;&gt;"Yes","",IF($S1276="","(enter date)",_xlfn.LET(_xlpm.dn,IFERROR(_xlfn.XLOOKUP($S1276,nrCDdate,nrCDnum),""),IF(_xlpm.dn="","(not a class day)",IFERROR(_xlfn.XLOOKUP(_xlpm.dn+cfgRetestClassDays,nrCDnum,nrCDdate),"")))))</f>
        <v/>
      </c>
      <c r="U1276" s="15">
        <f>IF($Q1276&lt;&gt;"Yes","",IF(COUNTIFS(nrES_PID,$D1276,nrES_Code,$F1276,nrES_Att,2)&gt;0,"Retested",IF(OR($T1276="",NOT(ISNUMBER($T1276))),"Pending",IF(TODAY()&gt;$T1276,"OVERDUE","Due "&amp;TEXT($T1276,"mm/dd")))))</f>
        <v/>
      </c>
      <c r="V1276" s="14" t="n"/>
      <c r="W1276" s="14" t="n"/>
    </row>
    <row r="1277">
      <c r="B1277" s="15">
        <f>IF($C1277="","",$D1277&amp;"-"&amp;$F1277&amp;"-"&amp;$K1277)</f>
        <v/>
      </c>
      <c r="C1277" s="14" t="n"/>
      <c r="D1277" s="15">
        <f>IF($C1277="","",IFERROR(INDEX(rngCadetPIDs,MATCH($C1277,rngCadetNames,0)),"?"))</f>
        <v/>
      </c>
      <c r="E1277" s="15">
        <f>IF($D1277="","",IFERROR(INDEX(nrCadetAgency,MATCH($D1277,rngCadetPIDs,0)),""))</f>
        <v/>
      </c>
      <c r="F1277" s="14" t="n"/>
      <c r="G1277" s="15">
        <f>IF($F1277="","",IFERROR(INDEX(rngEPname,MATCH($F1277,rngEPcode,0)),"?"))</f>
        <v/>
      </c>
      <c r="H1277" s="15">
        <f>IF($F1277="","",IFERROR(INDEX(rngEPtype,MATCH($F1277,rngEPcode,0)),"?"))</f>
        <v/>
      </c>
      <c r="I1277" s="15">
        <f>IF($F1277="","",IFERROR(INDEX(rngEPseq,MATCH($F1277,rngEPcode,0)),""))</f>
        <v/>
      </c>
      <c r="J1277" s="15">
        <f>IF($F1277="","",IFERROR(INDEX(rngEPpass,MATCH($F1277,rngEPcode,0)),cfgPassingScore))</f>
        <v/>
      </c>
      <c r="K1277" s="14" t="n"/>
      <c r="L1277" s="14" t="n"/>
      <c r="M1277" s="15">
        <f>IF($C1277="","",IF($L1277="","",IF($K1277=1,IF(COUNTIFS(nrES_PID,$D1277,nrES_Code,$F1277,nrES_Att,2)&gt;0,"",$L1277),IF(COUNTIFS(nrES_PID,$D1277,nrES_Code,$F1277,nrES_Att,1)=0,$L1277,IF($L1277&gt;=$J1277,cfgRetakeRecordedCap,SUMIFS(nrES_Raw,nrES_PID,$D1277,nrES_Code,$F1277,nrES_Att,1))))))</f>
        <v/>
      </c>
      <c r="N1277" s="15">
        <f>IF($C1277="","",IF($L1277="","",IF($L1277&gt;=$J1277,"Yes","No")))</f>
        <v/>
      </c>
      <c r="O1277" s="15">
        <f>IF($C1277="","",IF($M1277="","",IF($M1277&gt;=$J1277,"Yes","No")))</f>
        <v/>
      </c>
      <c r="P1277" s="15">
        <f>IF($C1277="","",IF($K1277="","",IF(COUNTIFS(nrES_PID,$D1277,nrES_Code,$F1277,nrES_Att,"&gt;"&amp;$K1277)=0,"Yes","No")))</f>
        <v/>
      </c>
      <c r="Q1277" s="15">
        <f>IF($C1277="","",IF($L1277="","",IF(AND($K1277=1,$L1277&lt;$J1277,COUNTIFS(nrES_PID,$D1277,nrES_Code,$F1277,nrES_Att,2)=0),"Yes","No")))</f>
        <v/>
      </c>
      <c r="R1277" s="15">
        <f>IF($C1277="","",IF($L1277="","",IF(AND($K1277=2,$L1277&lt;$J1277,COUNTIFS(nrES_PID,$D1277,nrES_Code,$F1277,nrES_Att,1)&gt;0),"Yes","No")))</f>
        <v/>
      </c>
      <c r="S1277" s="16" t="n"/>
      <c r="T1277" s="17">
        <f>IF($Q1277&lt;&gt;"Yes","",IF($S1277="","(enter date)",_xlfn.LET(_xlpm.dn,IFERROR(_xlfn.XLOOKUP($S1277,nrCDdate,nrCDnum),""),IF(_xlpm.dn="","(not a class day)",IFERROR(_xlfn.XLOOKUP(_xlpm.dn+cfgRetestClassDays,nrCDnum,nrCDdate),"")))))</f>
        <v/>
      </c>
      <c r="U1277" s="15">
        <f>IF($Q1277&lt;&gt;"Yes","",IF(COUNTIFS(nrES_PID,$D1277,nrES_Code,$F1277,nrES_Att,2)&gt;0,"Retested",IF(OR($T1277="",NOT(ISNUMBER($T1277))),"Pending",IF(TODAY()&gt;$T1277,"OVERDUE","Due "&amp;TEXT($T1277,"mm/dd")))))</f>
        <v/>
      </c>
      <c r="V1277" s="14" t="n"/>
      <c r="W1277" s="14" t="n"/>
    </row>
    <row r="1278">
      <c r="B1278" s="15">
        <f>IF($C1278="","",$D1278&amp;"-"&amp;$F1278&amp;"-"&amp;$K1278)</f>
        <v/>
      </c>
      <c r="C1278" s="14" t="n"/>
      <c r="D1278" s="15">
        <f>IF($C1278="","",IFERROR(INDEX(rngCadetPIDs,MATCH($C1278,rngCadetNames,0)),"?"))</f>
        <v/>
      </c>
      <c r="E1278" s="15">
        <f>IF($D1278="","",IFERROR(INDEX(nrCadetAgency,MATCH($D1278,rngCadetPIDs,0)),""))</f>
        <v/>
      </c>
      <c r="F1278" s="14" t="n"/>
      <c r="G1278" s="15">
        <f>IF($F1278="","",IFERROR(INDEX(rngEPname,MATCH($F1278,rngEPcode,0)),"?"))</f>
        <v/>
      </c>
      <c r="H1278" s="15">
        <f>IF($F1278="","",IFERROR(INDEX(rngEPtype,MATCH($F1278,rngEPcode,0)),"?"))</f>
        <v/>
      </c>
      <c r="I1278" s="15">
        <f>IF($F1278="","",IFERROR(INDEX(rngEPseq,MATCH($F1278,rngEPcode,0)),""))</f>
        <v/>
      </c>
      <c r="J1278" s="15">
        <f>IF($F1278="","",IFERROR(INDEX(rngEPpass,MATCH($F1278,rngEPcode,0)),cfgPassingScore))</f>
        <v/>
      </c>
      <c r="K1278" s="14" t="n"/>
      <c r="L1278" s="14" t="n"/>
      <c r="M1278" s="15">
        <f>IF($C1278="","",IF($L1278="","",IF($K1278=1,IF(COUNTIFS(nrES_PID,$D1278,nrES_Code,$F1278,nrES_Att,2)&gt;0,"",$L1278),IF(COUNTIFS(nrES_PID,$D1278,nrES_Code,$F1278,nrES_Att,1)=0,$L1278,IF($L1278&gt;=$J1278,cfgRetakeRecordedCap,SUMIFS(nrES_Raw,nrES_PID,$D1278,nrES_Code,$F1278,nrES_Att,1))))))</f>
        <v/>
      </c>
      <c r="N1278" s="15">
        <f>IF($C1278="","",IF($L1278="","",IF($L1278&gt;=$J1278,"Yes","No")))</f>
        <v/>
      </c>
      <c r="O1278" s="15">
        <f>IF($C1278="","",IF($M1278="","",IF($M1278&gt;=$J1278,"Yes","No")))</f>
        <v/>
      </c>
      <c r="P1278" s="15">
        <f>IF($C1278="","",IF($K1278="","",IF(COUNTIFS(nrES_PID,$D1278,nrES_Code,$F1278,nrES_Att,"&gt;"&amp;$K1278)=0,"Yes","No")))</f>
        <v/>
      </c>
      <c r="Q1278" s="15">
        <f>IF($C1278="","",IF($L1278="","",IF(AND($K1278=1,$L1278&lt;$J1278,COUNTIFS(nrES_PID,$D1278,nrES_Code,$F1278,nrES_Att,2)=0),"Yes","No")))</f>
        <v/>
      </c>
      <c r="R1278" s="15">
        <f>IF($C1278="","",IF($L1278="","",IF(AND($K1278=2,$L1278&lt;$J1278,COUNTIFS(nrES_PID,$D1278,nrES_Code,$F1278,nrES_Att,1)&gt;0),"Yes","No")))</f>
        <v/>
      </c>
      <c r="S1278" s="16" t="n"/>
      <c r="T1278" s="17">
        <f>IF($Q1278&lt;&gt;"Yes","",IF($S1278="","(enter date)",_xlfn.LET(_xlpm.dn,IFERROR(_xlfn.XLOOKUP($S1278,nrCDdate,nrCDnum),""),IF(_xlpm.dn="","(not a class day)",IFERROR(_xlfn.XLOOKUP(_xlpm.dn+cfgRetestClassDays,nrCDnum,nrCDdate),"")))))</f>
        <v/>
      </c>
      <c r="U1278" s="15">
        <f>IF($Q1278&lt;&gt;"Yes","",IF(COUNTIFS(nrES_PID,$D1278,nrES_Code,$F1278,nrES_Att,2)&gt;0,"Retested",IF(OR($T1278="",NOT(ISNUMBER($T1278))),"Pending",IF(TODAY()&gt;$T1278,"OVERDUE","Due "&amp;TEXT($T1278,"mm/dd")))))</f>
        <v/>
      </c>
      <c r="V1278" s="14" t="n"/>
      <c r="W1278" s="14" t="n"/>
    </row>
    <row r="1279">
      <c r="B1279" s="15">
        <f>IF($C1279="","",$D1279&amp;"-"&amp;$F1279&amp;"-"&amp;$K1279)</f>
        <v/>
      </c>
      <c r="C1279" s="14" t="n"/>
      <c r="D1279" s="15">
        <f>IF($C1279="","",IFERROR(INDEX(rngCadetPIDs,MATCH($C1279,rngCadetNames,0)),"?"))</f>
        <v/>
      </c>
      <c r="E1279" s="15">
        <f>IF($D1279="","",IFERROR(INDEX(nrCadetAgency,MATCH($D1279,rngCadetPIDs,0)),""))</f>
        <v/>
      </c>
      <c r="F1279" s="14" t="n"/>
      <c r="G1279" s="15">
        <f>IF($F1279="","",IFERROR(INDEX(rngEPname,MATCH($F1279,rngEPcode,0)),"?"))</f>
        <v/>
      </c>
      <c r="H1279" s="15">
        <f>IF($F1279="","",IFERROR(INDEX(rngEPtype,MATCH($F1279,rngEPcode,0)),"?"))</f>
        <v/>
      </c>
      <c r="I1279" s="15">
        <f>IF($F1279="","",IFERROR(INDEX(rngEPseq,MATCH($F1279,rngEPcode,0)),""))</f>
        <v/>
      </c>
      <c r="J1279" s="15">
        <f>IF($F1279="","",IFERROR(INDEX(rngEPpass,MATCH($F1279,rngEPcode,0)),cfgPassingScore))</f>
        <v/>
      </c>
      <c r="K1279" s="14" t="n"/>
      <c r="L1279" s="14" t="n"/>
      <c r="M1279" s="15">
        <f>IF($C1279="","",IF($L1279="","",IF($K1279=1,IF(COUNTIFS(nrES_PID,$D1279,nrES_Code,$F1279,nrES_Att,2)&gt;0,"",$L1279),IF(COUNTIFS(nrES_PID,$D1279,nrES_Code,$F1279,nrES_Att,1)=0,$L1279,IF($L1279&gt;=$J1279,cfgRetakeRecordedCap,SUMIFS(nrES_Raw,nrES_PID,$D1279,nrES_Code,$F1279,nrES_Att,1))))))</f>
        <v/>
      </c>
      <c r="N1279" s="15">
        <f>IF($C1279="","",IF($L1279="","",IF($L1279&gt;=$J1279,"Yes","No")))</f>
        <v/>
      </c>
      <c r="O1279" s="15">
        <f>IF($C1279="","",IF($M1279="","",IF($M1279&gt;=$J1279,"Yes","No")))</f>
        <v/>
      </c>
      <c r="P1279" s="15">
        <f>IF($C1279="","",IF($K1279="","",IF(COUNTIFS(nrES_PID,$D1279,nrES_Code,$F1279,nrES_Att,"&gt;"&amp;$K1279)=0,"Yes","No")))</f>
        <v/>
      </c>
      <c r="Q1279" s="15">
        <f>IF($C1279="","",IF($L1279="","",IF(AND($K1279=1,$L1279&lt;$J1279,COUNTIFS(nrES_PID,$D1279,nrES_Code,$F1279,nrES_Att,2)=0),"Yes","No")))</f>
        <v/>
      </c>
      <c r="R1279" s="15">
        <f>IF($C1279="","",IF($L1279="","",IF(AND($K1279=2,$L1279&lt;$J1279,COUNTIFS(nrES_PID,$D1279,nrES_Code,$F1279,nrES_Att,1)&gt;0),"Yes","No")))</f>
        <v/>
      </c>
      <c r="S1279" s="16" t="n"/>
      <c r="T1279" s="17">
        <f>IF($Q1279&lt;&gt;"Yes","",IF($S1279="","(enter date)",_xlfn.LET(_xlpm.dn,IFERROR(_xlfn.XLOOKUP($S1279,nrCDdate,nrCDnum),""),IF(_xlpm.dn="","(not a class day)",IFERROR(_xlfn.XLOOKUP(_xlpm.dn+cfgRetestClassDays,nrCDnum,nrCDdate),"")))))</f>
        <v/>
      </c>
      <c r="U1279" s="15">
        <f>IF($Q1279&lt;&gt;"Yes","",IF(COUNTIFS(nrES_PID,$D1279,nrES_Code,$F1279,nrES_Att,2)&gt;0,"Retested",IF(OR($T1279="",NOT(ISNUMBER($T1279))),"Pending",IF(TODAY()&gt;$T1279,"OVERDUE","Due "&amp;TEXT($T1279,"mm/dd")))))</f>
        <v/>
      </c>
      <c r="V1279" s="14" t="n"/>
      <c r="W1279" s="14" t="n"/>
    </row>
    <row r="1280">
      <c r="B1280" s="15">
        <f>IF($C1280="","",$D1280&amp;"-"&amp;$F1280&amp;"-"&amp;$K1280)</f>
        <v/>
      </c>
      <c r="C1280" s="14" t="n"/>
      <c r="D1280" s="15">
        <f>IF($C1280="","",IFERROR(INDEX(rngCadetPIDs,MATCH($C1280,rngCadetNames,0)),"?"))</f>
        <v/>
      </c>
      <c r="E1280" s="15">
        <f>IF($D1280="","",IFERROR(INDEX(nrCadetAgency,MATCH($D1280,rngCadetPIDs,0)),""))</f>
        <v/>
      </c>
      <c r="F1280" s="14" t="n"/>
      <c r="G1280" s="15">
        <f>IF($F1280="","",IFERROR(INDEX(rngEPname,MATCH($F1280,rngEPcode,0)),"?"))</f>
        <v/>
      </c>
      <c r="H1280" s="15">
        <f>IF($F1280="","",IFERROR(INDEX(rngEPtype,MATCH($F1280,rngEPcode,0)),"?"))</f>
        <v/>
      </c>
      <c r="I1280" s="15">
        <f>IF($F1280="","",IFERROR(INDEX(rngEPseq,MATCH($F1280,rngEPcode,0)),""))</f>
        <v/>
      </c>
      <c r="J1280" s="15">
        <f>IF($F1280="","",IFERROR(INDEX(rngEPpass,MATCH($F1280,rngEPcode,0)),cfgPassingScore))</f>
        <v/>
      </c>
      <c r="K1280" s="14" t="n"/>
      <c r="L1280" s="14" t="n"/>
      <c r="M1280" s="15">
        <f>IF($C1280="","",IF($L1280="","",IF($K1280=1,IF(COUNTIFS(nrES_PID,$D1280,nrES_Code,$F1280,nrES_Att,2)&gt;0,"",$L1280),IF(COUNTIFS(nrES_PID,$D1280,nrES_Code,$F1280,nrES_Att,1)=0,$L1280,IF($L1280&gt;=$J1280,cfgRetakeRecordedCap,SUMIFS(nrES_Raw,nrES_PID,$D1280,nrES_Code,$F1280,nrES_Att,1))))))</f>
        <v/>
      </c>
      <c r="N1280" s="15">
        <f>IF($C1280="","",IF($L1280="","",IF($L1280&gt;=$J1280,"Yes","No")))</f>
        <v/>
      </c>
      <c r="O1280" s="15">
        <f>IF($C1280="","",IF($M1280="","",IF($M1280&gt;=$J1280,"Yes","No")))</f>
        <v/>
      </c>
      <c r="P1280" s="15">
        <f>IF($C1280="","",IF($K1280="","",IF(COUNTIFS(nrES_PID,$D1280,nrES_Code,$F1280,nrES_Att,"&gt;"&amp;$K1280)=0,"Yes","No")))</f>
        <v/>
      </c>
      <c r="Q1280" s="15">
        <f>IF($C1280="","",IF($L1280="","",IF(AND($K1280=1,$L1280&lt;$J1280,COUNTIFS(nrES_PID,$D1280,nrES_Code,$F1280,nrES_Att,2)=0),"Yes","No")))</f>
        <v/>
      </c>
      <c r="R1280" s="15">
        <f>IF($C1280="","",IF($L1280="","",IF(AND($K1280=2,$L1280&lt;$J1280,COUNTIFS(nrES_PID,$D1280,nrES_Code,$F1280,nrES_Att,1)&gt;0),"Yes","No")))</f>
        <v/>
      </c>
      <c r="S1280" s="16" t="n"/>
      <c r="T1280" s="17">
        <f>IF($Q1280&lt;&gt;"Yes","",IF($S1280="","(enter date)",_xlfn.LET(_xlpm.dn,IFERROR(_xlfn.XLOOKUP($S1280,nrCDdate,nrCDnum),""),IF(_xlpm.dn="","(not a class day)",IFERROR(_xlfn.XLOOKUP(_xlpm.dn+cfgRetestClassDays,nrCDnum,nrCDdate),"")))))</f>
        <v/>
      </c>
      <c r="U1280" s="15">
        <f>IF($Q1280&lt;&gt;"Yes","",IF(COUNTIFS(nrES_PID,$D1280,nrES_Code,$F1280,nrES_Att,2)&gt;0,"Retested",IF(OR($T1280="",NOT(ISNUMBER($T1280))),"Pending",IF(TODAY()&gt;$T1280,"OVERDUE","Due "&amp;TEXT($T1280,"mm/dd")))))</f>
        <v/>
      </c>
      <c r="V1280" s="14" t="n"/>
      <c r="W1280" s="14" t="n"/>
    </row>
    <row r="1281">
      <c r="B1281" s="15">
        <f>IF($C1281="","",$D1281&amp;"-"&amp;$F1281&amp;"-"&amp;$K1281)</f>
        <v/>
      </c>
      <c r="C1281" s="14" t="n"/>
      <c r="D1281" s="15">
        <f>IF($C1281="","",IFERROR(INDEX(rngCadetPIDs,MATCH($C1281,rngCadetNames,0)),"?"))</f>
        <v/>
      </c>
      <c r="E1281" s="15">
        <f>IF($D1281="","",IFERROR(INDEX(nrCadetAgency,MATCH($D1281,rngCadetPIDs,0)),""))</f>
        <v/>
      </c>
      <c r="F1281" s="14" t="n"/>
      <c r="G1281" s="15">
        <f>IF($F1281="","",IFERROR(INDEX(rngEPname,MATCH($F1281,rngEPcode,0)),"?"))</f>
        <v/>
      </c>
      <c r="H1281" s="15">
        <f>IF($F1281="","",IFERROR(INDEX(rngEPtype,MATCH($F1281,rngEPcode,0)),"?"))</f>
        <v/>
      </c>
      <c r="I1281" s="15">
        <f>IF($F1281="","",IFERROR(INDEX(rngEPseq,MATCH($F1281,rngEPcode,0)),""))</f>
        <v/>
      </c>
      <c r="J1281" s="15">
        <f>IF($F1281="","",IFERROR(INDEX(rngEPpass,MATCH($F1281,rngEPcode,0)),cfgPassingScore))</f>
        <v/>
      </c>
      <c r="K1281" s="14" t="n"/>
      <c r="L1281" s="14" t="n"/>
      <c r="M1281" s="15">
        <f>IF($C1281="","",IF($L1281="","",IF($K1281=1,IF(COUNTIFS(nrES_PID,$D1281,nrES_Code,$F1281,nrES_Att,2)&gt;0,"",$L1281),IF(COUNTIFS(nrES_PID,$D1281,nrES_Code,$F1281,nrES_Att,1)=0,$L1281,IF($L1281&gt;=$J1281,cfgRetakeRecordedCap,SUMIFS(nrES_Raw,nrES_PID,$D1281,nrES_Code,$F1281,nrES_Att,1))))))</f>
        <v/>
      </c>
      <c r="N1281" s="15">
        <f>IF($C1281="","",IF($L1281="","",IF($L1281&gt;=$J1281,"Yes","No")))</f>
        <v/>
      </c>
      <c r="O1281" s="15">
        <f>IF($C1281="","",IF($M1281="","",IF($M1281&gt;=$J1281,"Yes","No")))</f>
        <v/>
      </c>
      <c r="P1281" s="15">
        <f>IF($C1281="","",IF($K1281="","",IF(COUNTIFS(nrES_PID,$D1281,nrES_Code,$F1281,nrES_Att,"&gt;"&amp;$K1281)=0,"Yes","No")))</f>
        <v/>
      </c>
      <c r="Q1281" s="15">
        <f>IF($C1281="","",IF($L1281="","",IF(AND($K1281=1,$L1281&lt;$J1281,COUNTIFS(nrES_PID,$D1281,nrES_Code,$F1281,nrES_Att,2)=0),"Yes","No")))</f>
        <v/>
      </c>
      <c r="R1281" s="15">
        <f>IF($C1281="","",IF($L1281="","",IF(AND($K1281=2,$L1281&lt;$J1281,COUNTIFS(nrES_PID,$D1281,nrES_Code,$F1281,nrES_Att,1)&gt;0),"Yes","No")))</f>
        <v/>
      </c>
      <c r="S1281" s="16" t="n"/>
      <c r="T1281" s="17">
        <f>IF($Q1281&lt;&gt;"Yes","",IF($S1281="","(enter date)",_xlfn.LET(_xlpm.dn,IFERROR(_xlfn.XLOOKUP($S1281,nrCDdate,nrCDnum),""),IF(_xlpm.dn="","(not a class day)",IFERROR(_xlfn.XLOOKUP(_xlpm.dn+cfgRetestClassDays,nrCDnum,nrCDdate),"")))))</f>
        <v/>
      </c>
      <c r="U1281" s="15">
        <f>IF($Q1281&lt;&gt;"Yes","",IF(COUNTIFS(nrES_PID,$D1281,nrES_Code,$F1281,nrES_Att,2)&gt;0,"Retested",IF(OR($T1281="",NOT(ISNUMBER($T1281))),"Pending",IF(TODAY()&gt;$T1281,"OVERDUE","Due "&amp;TEXT($T1281,"mm/dd")))))</f>
        <v/>
      </c>
      <c r="V1281" s="14" t="n"/>
      <c r="W1281" s="14" t="n"/>
    </row>
    <row r="1282">
      <c r="B1282" s="15">
        <f>IF($C1282="","",$D1282&amp;"-"&amp;$F1282&amp;"-"&amp;$K1282)</f>
        <v/>
      </c>
      <c r="C1282" s="14" t="n"/>
      <c r="D1282" s="15">
        <f>IF($C1282="","",IFERROR(INDEX(rngCadetPIDs,MATCH($C1282,rngCadetNames,0)),"?"))</f>
        <v/>
      </c>
      <c r="E1282" s="15">
        <f>IF($D1282="","",IFERROR(INDEX(nrCadetAgency,MATCH($D1282,rngCadetPIDs,0)),""))</f>
        <v/>
      </c>
      <c r="F1282" s="14" t="n"/>
      <c r="G1282" s="15">
        <f>IF($F1282="","",IFERROR(INDEX(rngEPname,MATCH($F1282,rngEPcode,0)),"?"))</f>
        <v/>
      </c>
      <c r="H1282" s="15">
        <f>IF($F1282="","",IFERROR(INDEX(rngEPtype,MATCH($F1282,rngEPcode,0)),"?"))</f>
        <v/>
      </c>
      <c r="I1282" s="15">
        <f>IF($F1282="","",IFERROR(INDEX(rngEPseq,MATCH($F1282,rngEPcode,0)),""))</f>
        <v/>
      </c>
      <c r="J1282" s="15">
        <f>IF($F1282="","",IFERROR(INDEX(rngEPpass,MATCH($F1282,rngEPcode,0)),cfgPassingScore))</f>
        <v/>
      </c>
      <c r="K1282" s="14" t="n"/>
      <c r="L1282" s="14" t="n"/>
      <c r="M1282" s="15">
        <f>IF($C1282="","",IF($L1282="","",IF($K1282=1,IF(COUNTIFS(nrES_PID,$D1282,nrES_Code,$F1282,nrES_Att,2)&gt;0,"",$L1282),IF(COUNTIFS(nrES_PID,$D1282,nrES_Code,$F1282,nrES_Att,1)=0,$L1282,IF($L1282&gt;=$J1282,cfgRetakeRecordedCap,SUMIFS(nrES_Raw,nrES_PID,$D1282,nrES_Code,$F1282,nrES_Att,1))))))</f>
        <v/>
      </c>
      <c r="N1282" s="15">
        <f>IF($C1282="","",IF($L1282="","",IF($L1282&gt;=$J1282,"Yes","No")))</f>
        <v/>
      </c>
      <c r="O1282" s="15">
        <f>IF($C1282="","",IF($M1282="","",IF($M1282&gt;=$J1282,"Yes","No")))</f>
        <v/>
      </c>
      <c r="P1282" s="15">
        <f>IF($C1282="","",IF($K1282="","",IF(COUNTIFS(nrES_PID,$D1282,nrES_Code,$F1282,nrES_Att,"&gt;"&amp;$K1282)=0,"Yes","No")))</f>
        <v/>
      </c>
      <c r="Q1282" s="15">
        <f>IF($C1282="","",IF($L1282="","",IF(AND($K1282=1,$L1282&lt;$J1282,COUNTIFS(nrES_PID,$D1282,nrES_Code,$F1282,nrES_Att,2)=0),"Yes","No")))</f>
        <v/>
      </c>
      <c r="R1282" s="15">
        <f>IF($C1282="","",IF($L1282="","",IF(AND($K1282=2,$L1282&lt;$J1282,COUNTIFS(nrES_PID,$D1282,nrES_Code,$F1282,nrES_Att,1)&gt;0),"Yes","No")))</f>
        <v/>
      </c>
      <c r="S1282" s="16" t="n"/>
      <c r="T1282" s="17">
        <f>IF($Q1282&lt;&gt;"Yes","",IF($S1282="","(enter date)",_xlfn.LET(_xlpm.dn,IFERROR(_xlfn.XLOOKUP($S1282,nrCDdate,nrCDnum),""),IF(_xlpm.dn="","(not a class day)",IFERROR(_xlfn.XLOOKUP(_xlpm.dn+cfgRetestClassDays,nrCDnum,nrCDdate),"")))))</f>
        <v/>
      </c>
      <c r="U1282" s="15">
        <f>IF($Q1282&lt;&gt;"Yes","",IF(COUNTIFS(nrES_PID,$D1282,nrES_Code,$F1282,nrES_Att,2)&gt;0,"Retested",IF(OR($T1282="",NOT(ISNUMBER($T1282))),"Pending",IF(TODAY()&gt;$T1282,"OVERDUE","Due "&amp;TEXT($T1282,"mm/dd")))))</f>
        <v/>
      </c>
      <c r="V1282" s="14" t="n"/>
      <c r="W1282" s="14" t="n"/>
    </row>
    <row r="1283">
      <c r="B1283" s="15">
        <f>IF($C1283="","",$D1283&amp;"-"&amp;$F1283&amp;"-"&amp;$K1283)</f>
        <v/>
      </c>
      <c r="C1283" s="14" t="n"/>
      <c r="D1283" s="15">
        <f>IF($C1283="","",IFERROR(INDEX(rngCadetPIDs,MATCH($C1283,rngCadetNames,0)),"?"))</f>
        <v/>
      </c>
      <c r="E1283" s="15">
        <f>IF($D1283="","",IFERROR(INDEX(nrCadetAgency,MATCH($D1283,rngCadetPIDs,0)),""))</f>
        <v/>
      </c>
      <c r="F1283" s="14" t="n"/>
      <c r="G1283" s="15">
        <f>IF($F1283="","",IFERROR(INDEX(rngEPname,MATCH($F1283,rngEPcode,0)),"?"))</f>
        <v/>
      </c>
      <c r="H1283" s="15">
        <f>IF($F1283="","",IFERROR(INDEX(rngEPtype,MATCH($F1283,rngEPcode,0)),"?"))</f>
        <v/>
      </c>
      <c r="I1283" s="15">
        <f>IF($F1283="","",IFERROR(INDEX(rngEPseq,MATCH($F1283,rngEPcode,0)),""))</f>
        <v/>
      </c>
      <c r="J1283" s="15">
        <f>IF($F1283="","",IFERROR(INDEX(rngEPpass,MATCH($F1283,rngEPcode,0)),cfgPassingScore))</f>
        <v/>
      </c>
      <c r="K1283" s="14" t="n"/>
      <c r="L1283" s="14" t="n"/>
      <c r="M1283" s="15">
        <f>IF($C1283="","",IF($L1283="","",IF($K1283=1,IF(COUNTIFS(nrES_PID,$D1283,nrES_Code,$F1283,nrES_Att,2)&gt;0,"",$L1283),IF(COUNTIFS(nrES_PID,$D1283,nrES_Code,$F1283,nrES_Att,1)=0,$L1283,IF($L1283&gt;=$J1283,cfgRetakeRecordedCap,SUMIFS(nrES_Raw,nrES_PID,$D1283,nrES_Code,$F1283,nrES_Att,1))))))</f>
        <v/>
      </c>
      <c r="N1283" s="15">
        <f>IF($C1283="","",IF($L1283="","",IF($L1283&gt;=$J1283,"Yes","No")))</f>
        <v/>
      </c>
      <c r="O1283" s="15">
        <f>IF($C1283="","",IF($M1283="","",IF($M1283&gt;=$J1283,"Yes","No")))</f>
        <v/>
      </c>
      <c r="P1283" s="15">
        <f>IF($C1283="","",IF($K1283="","",IF(COUNTIFS(nrES_PID,$D1283,nrES_Code,$F1283,nrES_Att,"&gt;"&amp;$K1283)=0,"Yes","No")))</f>
        <v/>
      </c>
      <c r="Q1283" s="15">
        <f>IF($C1283="","",IF($L1283="","",IF(AND($K1283=1,$L1283&lt;$J1283,COUNTIFS(nrES_PID,$D1283,nrES_Code,$F1283,nrES_Att,2)=0),"Yes","No")))</f>
        <v/>
      </c>
      <c r="R1283" s="15">
        <f>IF($C1283="","",IF($L1283="","",IF(AND($K1283=2,$L1283&lt;$J1283,COUNTIFS(nrES_PID,$D1283,nrES_Code,$F1283,nrES_Att,1)&gt;0),"Yes","No")))</f>
        <v/>
      </c>
      <c r="S1283" s="16" t="n"/>
      <c r="T1283" s="17">
        <f>IF($Q1283&lt;&gt;"Yes","",IF($S1283="","(enter date)",_xlfn.LET(_xlpm.dn,IFERROR(_xlfn.XLOOKUP($S1283,nrCDdate,nrCDnum),""),IF(_xlpm.dn="","(not a class day)",IFERROR(_xlfn.XLOOKUP(_xlpm.dn+cfgRetestClassDays,nrCDnum,nrCDdate),"")))))</f>
        <v/>
      </c>
      <c r="U1283" s="15">
        <f>IF($Q1283&lt;&gt;"Yes","",IF(COUNTIFS(nrES_PID,$D1283,nrES_Code,$F1283,nrES_Att,2)&gt;0,"Retested",IF(OR($T1283="",NOT(ISNUMBER($T1283))),"Pending",IF(TODAY()&gt;$T1283,"OVERDUE","Due "&amp;TEXT($T1283,"mm/dd")))))</f>
        <v/>
      </c>
      <c r="V1283" s="14" t="n"/>
      <c r="W1283" s="14" t="n"/>
    </row>
    <row r="1284">
      <c r="B1284" s="15">
        <f>IF($C1284="","",$D1284&amp;"-"&amp;$F1284&amp;"-"&amp;$K1284)</f>
        <v/>
      </c>
      <c r="C1284" s="14" t="n"/>
      <c r="D1284" s="15">
        <f>IF($C1284="","",IFERROR(INDEX(rngCadetPIDs,MATCH($C1284,rngCadetNames,0)),"?"))</f>
        <v/>
      </c>
      <c r="E1284" s="15">
        <f>IF($D1284="","",IFERROR(INDEX(nrCadetAgency,MATCH($D1284,rngCadetPIDs,0)),""))</f>
        <v/>
      </c>
      <c r="F1284" s="14" t="n"/>
      <c r="G1284" s="15">
        <f>IF($F1284="","",IFERROR(INDEX(rngEPname,MATCH($F1284,rngEPcode,0)),"?"))</f>
        <v/>
      </c>
      <c r="H1284" s="15">
        <f>IF($F1284="","",IFERROR(INDEX(rngEPtype,MATCH($F1284,rngEPcode,0)),"?"))</f>
        <v/>
      </c>
      <c r="I1284" s="15">
        <f>IF($F1284="","",IFERROR(INDEX(rngEPseq,MATCH($F1284,rngEPcode,0)),""))</f>
        <v/>
      </c>
      <c r="J1284" s="15">
        <f>IF($F1284="","",IFERROR(INDEX(rngEPpass,MATCH($F1284,rngEPcode,0)),cfgPassingScore))</f>
        <v/>
      </c>
      <c r="K1284" s="14" t="n"/>
      <c r="L1284" s="14" t="n"/>
      <c r="M1284" s="15">
        <f>IF($C1284="","",IF($L1284="","",IF($K1284=1,IF(COUNTIFS(nrES_PID,$D1284,nrES_Code,$F1284,nrES_Att,2)&gt;0,"",$L1284),IF(COUNTIFS(nrES_PID,$D1284,nrES_Code,$F1284,nrES_Att,1)=0,$L1284,IF($L1284&gt;=$J1284,cfgRetakeRecordedCap,SUMIFS(nrES_Raw,nrES_PID,$D1284,nrES_Code,$F1284,nrES_Att,1))))))</f>
        <v/>
      </c>
      <c r="N1284" s="15">
        <f>IF($C1284="","",IF($L1284="","",IF($L1284&gt;=$J1284,"Yes","No")))</f>
        <v/>
      </c>
      <c r="O1284" s="15">
        <f>IF($C1284="","",IF($M1284="","",IF($M1284&gt;=$J1284,"Yes","No")))</f>
        <v/>
      </c>
      <c r="P1284" s="15">
        <f>IF($C1284="","",IF($K1284="","",IF(COUNTIFS(nrES_PID,$D1284,nrES_Code,$F1284,nrES_Att,"&gt;"&amp;$K1284)=0,"Yes","No")))</f>
        <v/>
      </c>
      <c r="Q1284" s="15">
        <f>IF($C1284="","",IF($L1284="","",IF(AND($K1284=1,$L1284&lt;$J1284,COUNTIFS(nrES_PID,$D1284,nrES_Code,$F1284,nrES_Att,2)=0),"Yes","No")))</f>
        <v/>
      </c>
      <c r="R1284" s="15">
        <f>IF($C1284="","",IF($L1284="","",IF(AND($K1284=2,$L1284&lt;$J1284,COUNTIFS(nrES_PID,$D1284,nrES_Code,$F1284,nrES_Att,1)&gt;0),"Yes","No")))</f>
        <v/>
      </c>
      <c r="S1284" s="16" t="n"/>
      <c r="T1284" s="17">
        <f>IF($Q1284&lt;&gt;"Yes","",IF($S1284="","(enter date)",_xlfn.LET(_xlpm.dn,IFERROR(_xlfn.XLOOKUP($S1284,nrCDdate,nrCDnum),""),IF(_xlpm.dn="","(not a class day)",IFERROR(_xlfn.XLOOKUP(_xlpm.dn+cfgRetestClassDays,nrCDnum,nrCDdate),"")))))</f>
        <v/>
      </c>
      <c r="U1284" s="15">
        <f>IF($Q1284&lt;&gt;"Yes","",IF(COUNTIFS(nrES_PID,$D1284,nrES_Code,$F1284,nrES_Att,2)&gt;0,"Retested",IF(OR($T1284="",NOT(ISNUMBER($T1284))),"Pending",IF(TODAY()&gt;$T1284,"OVERDUE","Due "&amp;TEXT($T1284,"mm/dd")))))</f>
        <v/>
      </c>
      <c r="V1284" s="14" t="n"/>
      <c r="W1284" s="14" t="n"/>
    </row>
    <row r="1285">
      <c r="B1285" s="15">
        <f>IF($C1285="","",$D1285&amp;"-"&amp;$F1285&amp;"-"&amp;$K1285)</f>
        <v/>
      </c>
      <c r="C1285" s="14" t="n"/>
      <c r="D1285" s="15">
        <f>IF($C1285="","",IFERROR(INDEX(rngCadetPIDs,MATCH($C1285,rngCadetNames,0)),"?"))</f>
        <v/>
      </c>
      <c r="E1285" s="15">
        <f>IF($D1285="","",IFERROR(INDEX(nrCadetAgency,MATCH($D1285,rngCadetPIDs,0)),""))</f>
        <v/>
      </c>
      <c r="F1285" s="14" t="n"/>
      <c r="G1285" s="15">
        <f>IF($F1285="","",IFERROR(INDEX(rngEPname,MATCH($F1285,rngEPcode,0)),"?"))</f>
        <v/>
      </c>
      <c r="H1285" s="15">
        <f>IF($F1285="","",IFERROR(INDEX(rngEPtype,MATCH($F1285,rngEPcode,0)),"?"))</f>
        <v/>
      </c>
      <c r="I1285" s="15">
        <f>IF($F1285="","",IFERROR(INDEX(rngEPseq,MATCH($F1285,rngEPcode,0)),""))</f>
        <v/>
      </c>
      <c r="J1285" s="15">
        <f>IF($F1285="","",IFERROR(INDEX(rngEPpass,MATCH($F1285,rngEPcode,0)),cfgPassingScore))</f>
        <v/>
      </c>
      <c r="K1285" s="14" t="n"/>
      <c r="L1285" s="14" t="n"/>
      <c r="M1285" s="15">
        <f>IF($C1285="","",IF($L1285="","",IF($K1285=1,IF(COUNTIFS(nrES_PID,$D1285,nrES_Code,$F1285,nrES_Att,2)&gt;0,"",$L1285),IF(COUNTIFS(nrES_PID,$D1285,nrES_Code,$F1285,nrES_Att,1)=0,$L1285,IF($L1285&gt;=$J1285,cfgRetakeRecordedCap,SUMIFS(nrES_Raw,nrES_PID,$D1285,nrES_Code,$F1285,nrES_Att,1))))))</f>
        <v/>
      </c>
      <c r="N1285" s="15">
        <f>IF($C1285="","",IF($L1285="","",IF($L1285&gt;=$J1285,"Yes","No")))</f>
        <v/>
      </c>
      <c r="O1285" s="15">
        <f>IF($C1285="","",IF($M1285="","",IF($M1285&gt;=$J1285,"Yes","No")))</f>
        <v/>
      </c>
      <c r="P1285" s="15">
        <f>IF($C1285="","",IF($K1285="","",IF(COUNTIFS(nrES_PID,$D1285,nrES_Code,$F1285,nrES_Att,"&gt;"&amp;$K1285)=0,"Yes","No")))</f>
        <v/>
      </c>
      <c r="Q1285" s="15">
        <f>IF($C1285="","",IF($L1285="","",IF(AND($K1285=1,$L1285&lt;$J1285,COUNTIFS(nrES_PID,$D1285,nrES_Code,$F1285,nrES_Att,2)=0),"Yes","No")))</f>
        <v/>
      </c>
      <c r="R1285" s="15">
        <f>IF($C1285="","",IF($L1285="","",IF(AND($K1285=2,$L1285&lt;$J1285,COUNTIFS(nrES_PID,$D1285,nrES_Code,$F1285,nrES_Att,1)&gt;0),"Yes","No")))</f>
        <v/>
      </c>
      <c r="S1285" s="16" t="n"/>
      <c r="T1285" s="17">
        <f>IF($Q1285&lt;&gt;"Yes","",IF($S1285="","(enter date)",_xlfn.LET(_xlpm.dn,IFERROR(_xlfn.XLOOKUP($S1285,nrCDdate,nrCDnum),""),IF(_xlpm.dn="","(not a class day)",IFERROR(_xlfn.XLOOKUP(_xlpm.dn+cfgRetestClassDays,nrCDnum,nrCDdate),"")))))</f>
        <v/>
      </c>
      <c r="U1285" s="15">
        <f>IF($Q1285&lt;&gt;"Yes","",IF(COUNTIFS(nrES_PID,$D1285,nrES_Code,$F1285,nrES_Att,2)&gt;0,"Retested",IF(OR($T1285="",NOT(ISNUMBER($T1285))),"Pending",IF(TODAY()&gt;$T1285,"OVERDUE","Due "&amp;TEXT($T1285,"mm/dd")))))</f>
        <v/>
      </c>
      <c r="V1285" s="14" t="n"/>
      <c r="W1285" s="14" t="n"/>
    </row>
    <row r="1286">
      <c r="B1286" s="15">
        <f>IF($C1286="","",$D1286&amp;"-"&amp;$F1286&amp;"-"&amp;$K1286)</f>
        <v/>
      </c>
      <c r="C1286" s="14" t="n"/>
      <c r="D1286" s="15">
        <f>IF($C1286="","",IFERROR(INDEX(rngCadetPIDs,MATCH($C1286,rngCadetNames,0)),"?"))</f>
        <v/>
      </c>
      <c r="E1286" s="15">
        <f>IF($D1286="","",IFERROR(INDEX(nrCadetAgency,MATCH($D1286,rngCadetPIDs,0)),""))</f>
        <v/>
      </c>
      <c r="F1286" s="14" t="n"/>
      <c r="G1286" s="15">
        <f>IF($F1286="","",IFERROR(INDEX(rngEPname,MATCH($F1286,rngEPcode,0)),"?"))</f>
        <v/>
      </c>
      <c r="H1286" s="15">
        <f>IF($F1286="","",IFERROR(INDEX(rngEPtype,MATCH($F1286,rngEPcode,0)),"?"))</f>
        <v/>
      </c>
      <c r="I1286" s="15">
        <f>IF($F1286="","",IFERROR(INDEX(rngEPseq,MATCH($F1286,rngEPcode,0)),""))</f>
        <v/>
      </c>
      <c r="J1286" s="15">
        <f>IF($F1286="","",IFERROR(INDEX(rngEPpass,MATCH($F1286,rngEPcode,0)),cfgPassingScore))</f>
        <v/>
      </c>
      <c r="K1286" s="14" t="n"/>
      <c r="L1286" s="14" t="n"/>
      <c r="M1286" s="15">
        <f>IF($C1286="","",IF($L1286="","",IF($K1286=1,IF(COUNTIFS(nrES_PID,$D1286,nrES_Code,$F1286,nrES_Att,2)&gt;0,"",$L1286),IF(COUNTIFS(nrES_PID,$D1286,nrES_Code,$F1286,nrES_Att,1)=0,$L1286,IF($L1286&gt;=$J1286,cfgRetakeRecordedCap,SUMIFS(nrES_Raw,nrES_PID,$D1286,nrES_Code,$F1286,nrES_Att,1))))))</f>
        <v/>
      </c>
      <c r="N1286" s="15">
        <f>IF($C1286="","",IF($L1286="","",IF($L1286&gt;=$J1286,"Yes","No")))</f>
        <v/>
      </c>
      <c r="O1286" s="15">
        <f>IF($C1286="","",IF($M1286="","",IF($M1286&gt;=$J1286,"Yes","No")))</f>
        <v/>
      </c>
      <c r="P1286" s="15">
        <f>IF($C1286="","",IF($K1286="","",IF(COUNTIFS(nrES_PID,$D1286,nrES_Code,$F1286,nrES_Att,"&gt;"&amp;$K1286)=0,"Yes","No")))</f>
        <v/>
      </c>
      <c r="Q1286" s="15">
        <f>IF($C1286="","",IF($L1286="","",IF(AND($K1286=1,$L1286&lt;$J1286,COUNTIFS(nrES_PID,$D1286,nrES_Code,$F1286,nrES_Att,2)=0),"Yes","No")))</f>
        <v/>
      </c>
      <c r="R1286" s="15">
        <f>IF($C1286="","",IF($L1286="","",IF(AND($K1286=2,$L1286&lt;$J1286,COUNTIFS(nrES_PID,$D1286,nrES_Code,$F1286,nrES_Att,1)&gt;0),"Yes","No")))</f>
        <v/>
      </c>
      <c r="S1286" s="16" t="n"/>
      <c r="T1286" s="17">
        <f>IF($Q1286&lt;&gt;"Yes","",IF($S1286="","(enter date)",_xlfn.LET(_xlpm.dn,IFERROR(_xlfn.XLOOKUP($S1286,nrCDdate,nrCDnum),""),IF(_xlpm.dn="","(not a class day)",IFERROR(_xlfn.XLOOKUP(_xlpm.dn+cfgRetestClassDays,nrCDnum,nrCDdate),"")))))</f>
        <v/>
      </c>
      <c r="U1286" s="15">
        <f>IF($Q1286&lt;&gt;"Yes","",IF(COUNTIFS(nrES_PID,$D1286,nrES_Code,$F1286,nrES_Att,2)&gt;0,"Retested",IF(OR($T1286="",NOT(ISNUMBER($T1286))),"Pending",IF(TODAY()&gt;$T1286,"OVERDUE","Due "&amp;TEXT($T1286,"mm/dd")))))</f>
        <v/>
      </c>
      <c r="V1286" s="14" t="n"/>
      <c r="W1286" s="14" t="n"/>
    </row>
    <row r="1287">
      <c r="B1287" s="15">
        <f>IF($C1287="","",$D1287&amp;"-"&amp;$F1287&amp;"-"&amp;$K1287)</f>
        <v/>
      </c>
      <c r="C1287" s="14" t="n"/>
      <c r="D1287" s="15">
        <f>IF($C1287="","",IFERROR(INDEX(rngCadetPIDs,MATCH($C1287,rngCadetNames,0)),"?"))</f>
        <v/>
      </c>
      <c r="E1287" s="15">
        <f>IF($D1287="","",IFERROR(INDEX(nrCadetAgency,MATCH($D1287,rngCadetPIDs,0)),""))</f>
        <v/>
      </c>
      <c r="F1287" s="14" t="n"/>
      <c r="G1287" s="15">
        <f>IF($F1287="","",IFERROR(INDEX(rngEPname,MATCH($F1287,rngEPcode,0)),"?"))</f>
        <v/>
      </c>
      <c r="H1287" s="15">
        <f>IF($F1287="","",IFERROR(INDEX(rngEPtype,MATCH($F1287,rngEPcode,0)),"?"))</f>
        <v/>
      </c>
      <c r="I1287" s="15">
        <f>IF($F1287="","",IFERROR(INDEX(rngEPseq,MATCH($F1287,rngEPcode,0)),""))</f>
        <v/>
      </c>
      <c r="J1287" s="15">
        <f>IF($F1287="","",IFERROR(INDEX(rngEPpass,MATCH($F1287,rngEPcode,0)),cfgPassingScore))</f>
        <v/>
      </c>
      <c r="K1287" s="14" t="n"/>
      <c r="L1287" s="14" t="n"/>
      <c r="M1287" s="15">
        <f>IF($C1287="","",IF($L1287="","",IF($K1287=1,IF(COUNTIFS(nrES_PID,$D1287,nrES_Code,$F1287,nrES_Att,2)&gt;0,"",$L1287),IF(COUNTIFS(nrES_PID,$D1287,nrES_Code,$F1287,nrES_Att,1)=0,$L1287,IF($L1287&gt;=$J1287,cfgRetakeRecordedCap,SUMIFS(nrES_Raw,nrES_PID,$D1287,nrES_Code,$F1287,nrES_Att,1))))))</f>
        <v/>
      </c>
      <c r="N1287" s="15">
        <f>IF($C1287="","",IF($L1287="","",IF($L1287&gt;=$J1287,"Yes","No")))</f>
        <v/>
      </c>
      <c r="O1287" s="15">
        <f>IF($C1287="","",IF($M1287="","",IF($M1287&gt;=$J1287,"Yes","No")))</f>
        <v/>
      </c>
      <c r="P1287" s="15">
        <f>IF($C1287="","",IF($K1287="","",IF(COUNTIFS(nrES_PID,$D1287,nrES_Code,$F1287,nrES_Att,"&gt;"&amp;$K1287)=0,"Yes","No")))</f>
        <v/>
      </c>
      <c r="Q1287" s="15">
        <f>IF($C1287="","",IF($L1287="","",IF(AND($K1287=1,$L1287&lt;$J1287,COUNTIFS(nrES_PID,$D1287,nrES_Code,$F1287,nrES_Att,2)=0),"Yes","No")))</f>
        <v/>
      </c>
      <c r="R1287" s="15">
        <f>IF($C1287="","",IF($L1287="","",IF(AND($K1287=2,$L1287&lt;$J1287,COUNTIFS(nrES_PID,$D1287,nrES_Code,$F1287,nrES_Att,1)&gt;0),"Yes","No")))</f>
        <v/>
      </c>
      <c r="S1287" s="16" t="n"/>
      <c r="T1287" s="17">
        <f>IF($Q1287&lt;&gt;"Yes","",IF($S1287="","(enter date)",_xlfn.LET(_xlpm.dn,IFERROR(_xlfn.XLOOKUP($S1287,nrCDdate,nrCDnum),""),IF(_xlpm.dn="","(not a class day)",IFERROR(_xlfn.XLOOKUP(_xlpm.dn+cfgRetestClassDays,nrCDnum,nrCDdate),"")))))</f>
        <v/>
      </c>
      <c r="U1287" s="15">
        <f>IF($Q1287&lt;&gt;"Yes","",IF(COUNTIFS(nrES_PID,$D1287,nrES_Code,$F1287,nrES_Att,2)&gt;0,"Retested",IF(OR($T1287="",NOT(ISNUMBER($T1287))),"Pending",IF(TODAY()&gt;$T1287,"OVERDUE","Due "&amp;TEXT($T1287,"mm/dd")))))</f>
        <v/>
      </c>
      <c r="V1287" s="14" t="n"/>
      <c r="W1287" s="14" t="n"/>
    </row>
    <row r="1288">
      <c r="B1288" s="15">
        <f>IF($C1288="","",$D1288&amp;"-"&amp;$F1288&amp;"-"&amp;$K1288)</f>
        <v/>
      </c>
      <c r="C1288" s="14" t="n"/>
      <c r="D1288" s="15">
        <f>IF($C1288="","",IFERROR(INDEX(rngCadetPIDs,MATCH($C1288,rngCadetNames,0)),"?"))</f>
        <v/>
      </c>
      <c r="E1288" s="15">
        <f>IF($D1288="","",IFERROR(INDEX(nrCadetAgency,MATCH($D1288,rngCadetPIDs,0)),""))</f>
        <v/>
      </c>
      <c r="F1288" s="14" t="n"/>
      <c r="G1288" s="15">
        <f>IF($F1288="","",IFERROR(INDEX(rngEPname,MATCH($F1288,rngEPcode,0)),"?"))</f>
        <v/>
      </c>
      <c r="H1288" s="15">
        <f>IF($F1288="","",IFERROR(INDEX(rngEPtype,MATCH($F1288,rngEPcode,0)),"?"))</f>
        <v/>
      </c>
      <c r="I1288" s="15">
        <f>IF($F1288="","",IFERROR(INDEX(rngEPseq,MATCH($F1288,rngEPcode,0)),""))</f>
        <v/>
      </c>
      <c r="J1288" s="15">
        <f>IF($F1288="","",IFERROR(INDEX(rngEPpass,MATCH($F1288,rngEPcode,0)),cfgPassingScore))</f>
        <v/>
      </c>
      <c r="K1288" s="14" t="n"/>
      <c r="L1288" s="14" t="n"/>
      <c r="M1288" s="15">
        <f>IF($C1288="","",IF($L1288="","",IF($K1288=1,IF(COUNTIFS(nrES_PID,$D1288,nrES_Code,$F1288,nrES_Att,2)&gt;0,"",$L1288),IF(COUNTIFS(nrES_PID,$D1288,nrES_Code,$F1288,nrES_Att,1)=0,$L1288,IF($L1288&gt;=$J1288,cfgRetakeRecordedCap,SUMIFS(nrES_Raw,nrES_PID,$D1288,nrES_Code,$F1288,nrES_Att,1))))))</f>
        <v/>
      </c>
      <c r="N1288" s="15">
        <f>IF($C1288="","",IF($L1288="","",IF($L1288&gt;=$J1288,"Yes","No")))</f>
        <v/>
      </c>
      <c r="O1288" s="15">
        <f>IF($C1288="","",IF($M1288="","",IF($M1288&gt;=$J1288,"Yes","No")))</f>
        <v/>
      </c>
      <c r="P1288" s="15">
        <f>IF($C1288="","",IF($K1288="","",IF(COUNTIFS(nrES_PID,$D1288,nrES_Code,$F1288,nrES_Att,"&gt;"&amp;$K1288)=0,"Yes","No")))</f>
        <v/>
      </c>
      <c r="Q1288" s="15">
        <f>IF($C1288="","",IF($L1288="","",IF(AND($K1288=1,$L1288&lt;$J1288,COUNTIFS(nrES_PID,$D1288,nrES_Code,$F1288,nrES_Att,2)=0),"Yes","No")))</f>
        <v/>
      </c>
      <c r="R1288" s="15">
        <f>IF($C1288="","",IF($L1288="","",IF(AND($K1288=2,$L1288&lt;$J1288,COUNTIFS(nrES_PID,$D1288,nrES_Code,$F1288,nrES_Att,1)&gt;0),"Yes","No")))</f>
        <v/>
      </c>
      <c r="S1288" s="16" t="n"/>
      <c r="T1288" s="17">
        <f>IF($Q1288&lt;&gt;"Yes","",IF($S1288="","(enter date)",_xlfn.LET(_xlpm.dn,IFERROR(_xlfn.XLOOKUP($S1288,nrCDdate,nrCDnum),""),IF(_xlpm.dn="","(not a class day)",IFERROR(_xlfn.XLOOKUP(_xlpm.dn+cfgRetestClassDays,nrCDnum,nrCDdate),"")))))</f>
        <v/>
      </c>
      <c r="U1288" s="15">
        <f>IF($Q1288&lt;&gt;"Yes","",IF(COUNTIFS(nrES_PID,$D1288,nrES_Code,$F1288,nrES_Att,2)&gt;0,"Retested",IF(OR($T1288="",NOT(ISNUMBER($T1288))),"Pending",IF(TODAY()&gt;$T1288,"OVERDUE","Due "&amp;TEXT($T1288,"mm/dd")))))</f>
        <v/>
      </c>
      <c r="V1288" s="14" t="n"/>
      <c r="W1288" s="14" t="n"/>
    </row>
    <row r="1289">
      <c r="B1289" s="15">
        <f>IF($C1289="","",$D1289&amp;"-"&amp;$F1289&amp;"-"&amp;$K1289)</f>
        <v/>
      </c>
      <c r="C1289" s="14" t="n"/>
      <c r="D1289" s="15">
        <f>IF($C1289="","",IFERROR(INDEX(rngCadetPIDs,MATCH($C1289,rngCadetNames,0)),"?"))</f>
        <v/>
      </c>
      <c r="E1289" s="15">
        <f>IF($D1289="","",IFERROR(INDEX(nrCadetAgency,MATCH($D1289,rngCadetPIDs,0)),""))</f>
        <v/>
      </c>
      <c r="F1289" s="14" t="n"/>
      <c r="G1289" s="15">
        <f>IF($F1289="","",IFERROR(INDEX(rngEPname,MATCH($F1289,rngEPcode,0)),"?"))</f>
        <v/>
      </c>
      <c r="H1289" s="15">
        <f>IF($F1289="","",IFERROR(INDEX(rngEPtype,MATCH($F1289,rngEPcode,0)),"?"))</f>
        <v/>
      </c>
      <c r="I1289" s="15">
        <f>IF($F1289="","",IFERROR(INDEX(rngEPseq,MATCH($F1289,rngEPcode,0)),""))</f>
        <v/>
      </c>
      <c r="J1289" s="15">
        <f>IF($F1289="","",IFERROR(INDEX(rngEPpass,MATCH($F1289,rngEPcode,0)),cfgPassingScore))</f>
        <v/>
      </c>
      <c r="K1289" s="14" t="n"/>
      <c r="L1289" s="14" t="n"/>
      <c r="M1289" s="15">
        <f>IF($C1289="","",IF($L1289="","",IF($K1289=1,IF(COUNTIFS(nrES_PID,$D1289,nrES_Code,$F1289,nrES_Att,2)&gt;0,"",$L1289),IF(COUNTIFS(nrES_PID,$D1289,nrES_Code,$F1289,nrES_Att,1)=0,$L1289,IF($L1289&gt;=$J1289,cfgRetakeRecordedCap,SUMIFS(nrES_Raw,nrES_PID,$D1289,nrES_Code,$F1289,nrES_Att,1))))))</f>
        <v/>
      </c>
      <c r="N1289" s="15">
        <f>IF($C1289="","",IF($L1289="","",IF($L1289&gt;=$J1289,"Yes","No")))</f>
        <v/>
      </c>
      <c r="O1289" s="15">
        <f>IF($C1289="","",IF($M1289="","",IF($M1289&gt;=$J1289,"Yes","No")))</f>
        <v/>
      </c>
      <c r="P1289" s="15">
        <f>IF($C1289="","",IF($K1289="","",IF(COUNTIFS(nrES_PID,$D1289,nrES_Code,$F1289,nrES_Att,"&gt;"&amp;$K1289)=0,"Yes","No")))</f>
        <v/>
      </c>
      <c r="Q1289" s="15">
        <f>IF($C1289="","",IF($L1289="","",IF(AND($K1289=1,$L1289&lt;$J1289,COUNTIFS(nrES_PID,$D1289,nrES_Code,$F1289,nrES_Att,2)=0),"Yes","No")))</f>
        <v/>
      </c>
      <c r="R1289" s="15">
        <f>IF($C1289="","",IF($L1289="","",IF(AND($K1289=2,$L1289&lt;$J1289,COUNTIFS(nrES_PID,$D1289,nrES_Code,$F1289,nrES_Att,1)&gt;0),"Yes","No")))</f>
        <v/>
      </c>
      <c r="S1289" s="16" t="n"/>
      <c r="T1289" s="17">
        <f>IF($Q1289&lt;&gt;"Yes","",IF($S1289="","(enter date)",_xlfn.LET(_xlpm.dn,IFERROR(_xlfn.XLOOKUP($S1289,nrCDdate,nrCDnum),""),IF(_xlpm.dn="","(not a class day)",IFERROR(_xlfn.XLOOKUP(_xlpm.dn+cfgRetestClassDays,nrCDnum,nrCDdate),"")))))</f>
        <v/>
      </c>
      <c r="U1289" s="15">
        <f>IF($Q1289&lt;&gt;"Yes","",IF(COUNTIFS(nrES_PID,$D1289,nrES_Code,$F1289,nrES_Att,2)&gt;0,"Retested",IF(OR($T1289="",NOT(ISNUMBER($T1289))),"Pending",IF(TODAY()&gt;$T1289,"OVERDUE","Due "&amp;TEXT($T1289,"mm/dd")))))</f>
        <v/>
      </c>
      <c r="V1289" s="14" t="n"/>
      <c r="W1289" s="14" t="n"/>
    </row>
    <row r="1290">
      <c r="B1290" s="15">
        <f>IF($C1290="","",$D1290&amp;"-"&amp;$F1290&amp;"-"&amp;$K1290)</f>
        <v/>
      </c>
      <c r="C1290" s="14" t="n"/>
      <c r="D1290" s="15">
        <f>IF($C1290="","",IFERROR(INDEX(rngCadetPIDs,MATCH($C1290,rngCadetNames,0)),"?"))</f>
        <v/>
      </c>
      <c r="E1290" s="15">
        <f>IF($D1290="","",IFERROR(INDEX(nrCadetAgency,MATCH($D1290,rngCadetPIDs,0)),""))</f>
        <v/>
      </c>
      <c r="F1290" s="14" t="n"/>
      <c r="G1290" s="15">
        <f>IF($F1290="","",IFERROR(INDEX(rngEPname,MATCH($F1290,rngEPcode,0)),"?"))</f>
        <v/>
      </c>
      <c r="H1290" s="15">
        <f>IF($F1290="","",IFERROR(INDEX(rngEPtype,MATCH($F1290,rngEPcode,0)),"?"))</f>
        <v/>
      </c>
      <c r="I1290" s="15">
        <f>IF($F1290="","",IFERROR(INDEX(rngEPseq,MATCH($F1290,rngEPcode,0)),""))</f>
        <v/>
      </c>
      <c r="J1290" s="15">
        <f>IF($F1290="","",IFERROR(INDEX(rngEPpass,MATCH($F1290,rngEPcode,0)),cfgPassingScore))</f>
        <v/>
      </c>
      <c r="K1290" s="14" t="n"/>
      <c r="L1290" s="14" t="n"/>
      <c r="M1290" s="15">
        <f>IF($C1290="","",IF($L1290="","",IF($K1290=1,IF(COUNTIFS(nrES_PID,$D1290,nrES_Code,$F1290,nrES_Att,2)&gt;0,"",$L1290),IF(COUNTIFS(nrES_PID,$D1290,nrES_Code,$F1290,nrES_Att,1)=0,$L1290,IF($L1290&gt;=$J1290,cfgRetakeRecordedCap,SUMIFS(nrES_Raw,nrES_PID,$D1290,nrES_Code,$F1290,nrES_Att,1))))))</f>
        <v/>
      </c>
      <c r="N1290" s="15">
        <f>IF($C1290="","",IF($L1290="","",IF($L1290&gt;=$J1290,"Yes","No")))</f>
        <v/>
      </c>
      <c r="O1290" s="15">
        <f>IF($C1290="","",IF($M1290="","",IF($M1290&gt;=$J1290,"Yes","No")))</f>
        <v/>
      </c>
      <c r="P1290" s="15">
        <f>IF($C1290="","",IF($K1290="","",IF(COUNTIFS(nrES_PID,$D1290,nrES_Code,$F1290,nrES_Att,"&gt;"&amp;$K1290)=0,"Yes","No")))</f>
        <v/>
      </c>
      <c r="Q1290" s="15">
        <f>IF($C1290="","",IF($L1290="","",IF(AND($K1290=1,$L1290&lt;$J1290,COUNTIFS(nrES_PID,$D1290,nrES_Code,$F1290,nrES_Att,2)=0),"Yes","No")))</f>
        <v/>
      </c>
      <c r="R1290" s="15">
        <f>IF($C1290="","",IF($L1290="","",IF(AND($K1290=2,$L1290&lt;$J1290,COUNTIFS(nrES_PID,$D1290,nrES_Code,$F1290,nrES_Att,1)&gt;0),"Yes","No")))</f>
        <v/>
      </c>
      <c r="S1290" s="16" t="n"/>
      <c r="T1290" s="17">
        <f>IF($Q1290&lt;&gt;"Yes","",IF($S1290="","(enter date)",_xlfn.LET(_xlpm.dn,IFERROR(_xlfn.XLOOKUP($S1290,nrCDdate,nrCDnum),""),IF(_xlpm.dn="","(not a class day)",IFERROR(_xlfn.XLOOKUP(_xlpm.dn+cfgRetestClassDays,nrCDnum,nrCDdate),"")))))</f>
        <v/>
      </c>
      <c r="U1290" s="15">
        <f>IF($Q1290&lt;&gt;"Yes","",IF(COUNTIFS(nrES_PID,$D1290,nrES_Code,$F1290,nrES_Att,2)&gt;0,"Retested",IF(OR($T1290="",NOT(ISNUMBER($T1290))),"Pending",IF(TODAY()&gt;$T1290,"OVERDUE","Due "&amp;TEXT($T1290,"mm/dd")))))</f>
        <v/>
      </c>
      <c r="V1290" s="14" t="n"/>
      <c r="W1290" s="14" t="n"/>
    </row>
    <row r="1291">
      <c r="B1291" s="15">
        <f>IF($C1291="","",$D1291&amp;"-"&amp;$F1291&amp;"-"&amp;$K1291)</f>
        <v/>
      </c>
      <c r="C1291" s="14" t="n"/>
      <c r="D1291" s="15">
        <f>IF($C1291="","",IFERROR(INDEX(rngCadetPIDs,MATCH($C1291,rngCadetNames,0)),"?"))</f>
        <v/>
      </c>
      <c r="E1291" s="15">
        <f>IF($D1291="","",IFERROR(INDEX(nrCadetAgency,MATCH($D1291,rngCadetPIDs,0)),""))</f>
        <v/>
      </c>
      <c r="F1291" s="14" t="n"/>
      <c r="G1291" s="15">
        <f>IF($F1291="","",IFERROR(INDEX(rngEPname,MATCH($F1291,rngEPcode,0)),"?"))</f>
        <v/>
      </c>
      <c r="H1291" s="15">
        <f>IF($F1291="","",IFERROR(INDEX(rngEPtype,MATCH($F1291,rngEPcode,0)),"?"))</f>
        <v/>
      </c>
      <c r="I1291" s="15">
        <f>IF($F1291="","",IFERROR(INDEX(rngEPseq,MATCH($F1291,rngEPcode,0)),""))</f>
        <v/>
      </c>
      <c r="J1291" s="15">
        <f>IF($F1291="","",IFERROR(INDEX(rngEPpass,MATCH($F1291,rngEPcode,0)),cfgPassingScore))</f>
        <v/>
      </c>
      <c r="K1291" s="14" t="n"/>
      <c r="L1291" s="14" t="n"/>
      <c r="M1291" s="15">
        <f>IF($C1291="","",IF($L1291="","",IF($K1291=1,IF(COUNTIFS(nrES_PID,$D1291,nrES_Code,$F1291,nrES_Att,2)&gt;0,"",$L1291),IF(COUNTIFS(nrES_PID,$D1291,nrES_Code,$F1291,nrES_Att,1)=0,$L1291,IF($L1291&gt;=$J1291,cfgRetakeRecordedCap,SUMIFS(nrES_Raw,nrES_PID,$D1291,nrES_Code,$F1291,nrES_Att,1))))))</f>
        <v/>
      </c>
      <c r="N1291" s="15">
        <f>IF($C1291="","",IF($L1291="","",IF($L1291&gt;=$J1291,"Yes","No")))</f>
        <v/>
      </c>
      <c r="O1291" s="15">
        <f>IF($C1291="","",IF($M1291="","",IF($M1291&gt;=$J1291,"Yes","No")))</f>
        <v/>
      </c>
      <c r="P1291" s="15">
        <f>IF($C1291="","",IF($K1291="","",IF(COUNTIFS(nrES_PID,$D1291,nrES_Code,$F1291,nrES_Att,"&gt;"&amp;$K1291)=0,"Yes","No")))</f>
        <v/>
      </c>
      <c r="Q1291" s="15">
        <f>IF($C1291="","",IF($L1291="","",IF(AND($K1291=1,$L1291&lt;$J1291,COUNTIFS(nrES_PID,$D1291,nrES_Code,$F1291,nrES_Att,2)=0),"Yes","No")))</f>
        <v/>
      </c>
      <c r="R1291" s="15">
        <f>IF($C1291="","",IF($L1291="","",IF(AND($K1291=2,$L1291&lt;$J1291,COUNTIFS(nrES_PID,$D1291,nrES_Code,$F1291,nrES_Att,1)&gt;0),"Yes","No")))</f>
        <v/>
      </c>
      <c r="S1291" s="16" t="n"/>
      <c r="T1291" s="17">
        <f>IF($Q1291&lt;&gt;"Yes","",IF($S1291="","(enter date)",_xlfn.LET(_xlpm.dn,IFERROR(_xlfn.XLOOKUP($S1291,nrCDdate,nrCDnum),""),IF(_xlpm.dn="","(not a class day)",IFERROR(_xlfn.XLOOKUP(_xlpm.dn+cfgRetestClassDays,nrCDnum,nrCDdate),"")))))</f>
        <v/>
      </c>
      <c r="U1291" s="15">
        <f>IF($Q1291&lt;&gt;"Yes","",IF(COUNTIFS(nrES_PID,$D1291,nrES_Code,$F1291,nrES_Att,2)&gt;0,"Retested",IF(OR($T1291="",NOT(ISNUMBER($T1291))),"Pending",IF(TODAY()&gt;$T1291,"OVERDUE","Due "&amp;TEXT($T1291,"mm/dd")))))</f>
        <v/>
      </c>
      <c r="V1291" s="14" t="n"/>
      <c r="W1291" s="14" t="n"/>
    </row>
    <row r="1292">
      <c r="B1292" s="15">
        <f>IF($C1292="","",$D1292&amp;"-"&amp;$F1292&amp;"-"&amp;$K1292)</f>
        <v/>
      </c>
      <c r="C1292" s="14" t="n"/>
      <c r="D1292" s="15">
        <f>IF($C1292="","",IFERROR(INDEX(rngCadetPIDs,MATCH($C1292,rngCadetNames,0)),"?"))</f>
        <v/>
      </c>
      <c r="E1292" s="15">
        <f>IF($D1292="","",IFERROR(INDEX(nrCadetAgency,MATCH($D1292,rngCadetPIDs,0)),""))</f>
        <v/>
      </c>
      <c r="F1292" s="14" t="n"/>
      <c r="G1292" s="15">
        <f>IF($F1292="","",IFERROR(INDEX(rngEPname,MATCH($F1292,rngEPcode,0)),"?"))</f>
        <v/>
      </c>
      <c r="H1292" s="15">
        <f>IF($F1292="","",IFERROR(INDEX(rngEPtype,MATCH($F1292,rngEPcode,0)),"?"))</f>
        <v/>
      </c>
      <c r="I1292" s="15">
        <f>IF($F1292="","",IFERROR(INDEX(rngEPseq,MATCH($F1292,rngEPcode,0)),""))</f>
        <v/>
      </c>
      <c r="J1292" s="15">
        <f>IF($F1292="","",IFERROR(INDEX(rngEPpass,MATCH($F1292,rngEPcode,0)),cfgPassingScore))</f>
        <v/>
      </c>
      <c r="K1292" s="14" t="n"/>
      <c r="L1292" s="14" t="n"/>
      <c r="M1292" s="15">
        <f>IF($C1292="","",IF($L1292="","",IF($K1292=1,IF(COUNTIFS(nrES_PID,$D1292,nrES_Code,$F1292,nrES_Att,2)&gt;0,"",$L1292),IF(COUNTIFS(nrES_PID,$D1292,nrES_Code,$F1292,nrES_Att,1)=0,$L1292,IF($L1292&gt;=$J1292,cfgRetakeRecordedCap,SUMIFS(nrES_Raw,nrES_PID,$D1292,nrES_Code,$F1292,nrES_Att,1))))))</f>
        <v/>
      </c>
      <c r="N1292" s="15">
        <f>IF($C1292="","",IF($L1292="","",IF($L1292&gt;=$J1292,"Yes","No")))</f>
        <v/>
      </c>
      <c r="O1292" s="15">
        <f>IF($C1292="","",IF($M1292="","",IF($M1292&gt;=$J1292,"Yes","No")))</f>
        <v/>
      </c>
      <c r="P1292" s="15">
        <f>IF($C1292="","",IF($K1292="","",IF(COUNTIFS(nrES_PID,$D1292,nrES_Code,$F1292,nrES_Att,"&gt;"&amp;$K1292)=0,"Yes","No")))</f>
        <v/>
      </c>
      <c r="Q1292" s="15">
        <f>IF($C1292="","",IF($L1292="","",IF(AND($K1292=1,$L1292&lt;$J1292,COUNTIFS(nrES_PID,$D1292,nrES_Code,$F1292,nrES_Att,2)=0),"Yes","No")))</f>
        <v/>
      </c>
      <c r="R1292" s="15">
        <f>IF($C1292="","",IF($L1292="","",IF(AND($K1292=2,$L1292&lt;$J1292,COUNTIFS(nrES_PID,$D1292,nrES_Code,$F1292,nrES_Att,1)&gt;0),"Yes","No")))</f>
        <v/>
      </c>
      <c r="S1292" s="16" t="n"/>
      <c r="T1292" s="17">
        <f>IF($Q1292&lt;&gt;"Yes","",IF($S1292="","(enter date)",_xlfn.LET(_xlpm.dn,IFERROR(_xlfn.XLOOKUP($S1292,nrCDdate,nrCDnum),""),IF(_xlpm.dn="","(not a class day)",IFERROR(_xlfn.XLOOKUP(_xlpm.dn+cfgRetestClassDays,nrCDnum,nrCDdate),"")))))</f>
        <v/>
      </c>
      <c r="U1292" s="15">
        <f>IF($Q1292&lt;&gt;"Yes","",IF(COUNTIFS(nrES_PID,$D1292,nrES_Code,$F1292,nrES_Att,2)&gt;0,"Retested",IF(OR($T1292="",NOT(ISNUMBER($T1292))),"Pending",IF(TODAY()&gt;$T1292,"OVERDUE","Due "&amp;TEXT($T1292,"mm/dd")))))</f>
        <v/>
      </c>
      <c r="V1292" s="14" t="n"/>
      <c r="W1292" s="14" t="n"/>
    </row>
    <row r="1293">
      <c r="B1293" s="15">
        <f>IF($C1293="","",$D1293&amp;"-"&amp;$F1293&amp;"-"&amp;$K1293)</f>
        <v/>
      </c>
      <c r="C1293" s="14" t="n"/>
      <c r="D1293" s="15">
        <f>IF($C1293="","",IFERROR(INDEX(rngCadetPIDs,MATCH($C1293,rngCadetNames,0)),"?"))</f>
        <v/>
      </c>
      <c r="E1293" s="15">
        <f>IF($D1293="","",IFERROR(INDEX(nrCadetAgency,MATCH($D1293,rngCadetPIDs,0)),""))</f>
        <v/>
      </c>
      <c r="F1293" s="14" t="n"/>
      <c r="G1293" s="15">
        <f>IF($F1293="","",IFERROR(INDEX(rngEPname,MATCH($F1293,rngEPcode,0)),"?"))</f>
        <v/>
      </c>
      <c r="H1293" s="15">
        <f>IF($F1293="","",IFERROR(INDEX(rngEPtype,MATCH($F1293,rngEPcode,0)),"?"))</f>
        <v/>
      </c>
      <c r="I1293" s="15">
        <f>IF($F1293="","",IFERROR(INDEX(rngEPseq,MATCH($F1293,rngEPcode,0)),""))</f>
        <v/>
      </c>
      <c r="J1293" s="15">
        <f>IF($F1293="","",IFERROR(INDEX(rngEPpass,MATCH($F1293,rngEPcode,0)),cfgPassingScore))</f>
        <v/>
      </c>
      <c r="K1293" s="14" t="n"/>
      <c r="L1293" s="14" t="n"/>
      <c r="M1293" s="15">
        <f>IF($C1293="","",IF($L1293="","",IF($K1293=1,IF(COUNTIFS(nrES_PID,$D1293,nrES_Code,$F1293,nrES_Att,2)&gt;0,"",$L1293),IF(COUNTIFS(nrES_PID,$D1293,nrES_Code,$F1293,nrES_Att,1)=0,$L1293,IF($L1293&gt;=$J1293,cfgRetakeRecordedCap,SUMIFS(nrES_Raw,nrES_PID,$D1293,nrES_Code,$F1293,nrES_Att,1))))))</f>
        <v/>
      </c>
      <c r="N1293" s="15">
        <f>IF($C1293="","",IF($L1293="","",IF($L1293&gt;=$J1293,"Yes","No")))</f>
        <v/>
      </c>
      <c r="O1293" s="15">
        <f>IF($C1293="","",IF($M1293="","",IF($M1293&gt;=$J1293,"Yes","No")))</f>
        <v/>
      </c>
      <c r="P1293" s="15">
        <f>IF($C1293="","",IF($K1293="","",IF(COUNTIFS(nrES_PID,$D1293,nrES_Code,$F1293,nrES_Att,"&gt;"&amp;$K1293)=0,"Yes","No")))</f>
        <v/>
      </c>
      <c r="Q1293" s="15">
        <f>IF($C1293="","",IF($L1293="","",IF(AND($K1293=1,$L1293&lt;$J1293,COUNTIFS(nrES_PID,$D1293,nrES_Code,$F1293,nrES_Att,2)=0),"Yes","No")))</f>
        <v/>
      </c>
      <c r="R1293" s="15">
        <f>IF($C1293="","",IF($L1293="","",IF(AND($K1293=2,$L1293&lt;$J1293,COUNTIFS(nrES_PID,$D1293,nrES_Code,$F1293,nrES_Att,1)&gt;0),"Yes","No")))</f>
        <v/>
      </c>
      <c r="S1293" s="16" t="n"/>
      <c r="T1293" s="17">
        <f>IF($Q1293&lt;&gt;"Yes","",IF($S1293="","(enter date)",_xlfn.LET(_xlpm.dn,IFERROR(_xlfn.XLOOKUP($S1293,nrCDdate,nrCDnum),""),IF(_xlpm.dn="","(not a class day)",IFERROR(_xlfn.XLOOKUP(_xlpm.dn+cfgRetestClassDays,nrCDnum,nrCDdate),"")))))</f>
        <v/>
      </c>
      <c r="U1293" s="15">
        <f>IF($Q1293&lt;&gt;"Yes","",IF(COUNTIFS(nrES_PID,$D1293,nrES_Code,$F1293,nrES_Att,2)&gt;0,"Retested",IF(OR($T1293="",NOT(ISNUMBER($T1293))),"Pending",IF(TODAY()&gt;$T1293,"OVERDUE","Due "&amp;TEXT($T1293,"mm/dd")))))</f>
        <v/>
      </c>
      <c r="V1293" s="14" t="n"/>
      <c r="W1293" s="14" t="n"/>
    </row>
    <row r="1294">
      <c r="B1294" s="15">
        <f>IF($C1294="","",$D1294&amp;"-"&amp;$F1294&amp;"-"&amp;$K1294)</f>
        <v/>
      </c>
      <c r="C1294" s="14" t="n"/>
      <c r="D1294" s="15">
        <f>IF($C1294="","",IFERROR(INDEX(rngCadetPIDs,MATCH($C1294,rngCadetNames,0)),"?"))</f>
        <v/>
      </c>
      <c r="E1294" s="15">
        <f>IF($D1294="","",IFERROR(INDEX(nrCadetAgency,MATCH($D1294,rngCadetPIDs,0)),""))</f>
        <v/>
      </c>
      <c r="F1294" s="14" t="n"/>
      <c r="G1294" s="15">
        <f>IF($F1294="","",IFERROR(INDEX(rngEPname,MATCH($F1294,rngEPcode,0)),"?"))</f>
        <v/>
      </c>
      <c r="H1294" s="15">
        <f>IF($F1294="","",IFERROR(INDEX(rngEPtype,MATCH($F1294,rngEPcode,0)),"?"))</f>
        <v/>
      </c>
      <c r="I1294" s="15">
        <f>IF($F1294="","",IFERROR(INDEX(rngEPseq,MATCH($F1294,rngEPcode,0)),""))</f>
        <v/>
      </c>
      <c r="J1294" s="15">
        <f>IF($F1294="","",IFERROR(INDEX(rngEPpass,MATCH($F1294,rngEPcode,0)),cfgPassingScore))</f>
        <v/>
      </c>
      <c r="K1294" s="14" t="n"/>
      <c r="L1294" s="14" t="n"/>
      <c r="M1294" s="15">
        <f>IF($C1294="","",IF($L1294="","",IF($K1294=1,IF(COUNTIFS(nrES_PID,$D1294,nrES_Code,$F1294,nrES_Att,2)&gt;0,"",$L1294),IF(COUNTIFS(nrES_PID,$D1294,nrES_Code,$F1294,nrES_Att,1)=0,$L1294,IF($L1294&gt;=$J1294,cfgRetakeRecordedCap,SUMIFS(nrES_Raw,nrES_PID,$D1294,nrES_Code,$F1294,nrES_Att,1))))))</f>
        <v/>
      </c>
      <c r="N1294" s="15">
        <f>IF($C1294="","",IF($L1294="","",IF($L1294&gt;=$J1294,"Yes","No")))</f>
        <v/>
      </c>
      <c r="O1294" s="15">
        <f>IF($C1294="","",IF($M1294="","",IF($M1294&gt;=$J1294,"Yes","No")))</f>
        <v/>
      </c>
      <c r="P1294" s="15">
        <f>IF($C1294="","",IF($K1294="","",IF(COUNTIFS(nrES_PID,$D1294,nrES_Code,$F1294,nrES_Att,"&gt;"&amp;$K1294)=0,"Yes","No")))</f>
        <v/>
      </c>
      <c r="Q1294" s="15">
        <f>IF($C1294="","",IF($L1294="","",IF(AND($K1294=1,$L1294&lt;$J1294,COUNTIFS(nrES_PID,$D1294,nrES_Code,$F1294,nrES_Att,2)=0),"Yes","No")))</f>
        <v/>
      </c>
      <c r="R1294" s="15">
        <f>IF($C1294="","",IF($L1294="","",IF(AND($K1294=2,$L1294&lt;$J1294,COUNTIFS(nrES_PID,$D1294,nrES_Code,$F1294,nrES_Att,1)&gt;0),"Yes","No")))</f>
        <v/>
      </c>
      <c r="S1294" s="16" t="n"/>
      <c r="T1294" s="17">
        <f>IF($Q1294&lt;&gt;"Yes","",IF($S1294="","(enter date)",_xlfn.LET(_xlpm.dn,IFERROR(_xlfn.XLOOKUP($S1294,nrCDdate,nrCDnum),""),IF(_xlpm.dn="","(not a class day)",IFERROR(_xlfn.XLOOKUP(_xlpm.dn+cfgRetestClassDays,nrCDnum,nrCDdate),"")))))</f>
        <v/>
      </c>
      <c r="U1294" s="15">
        <f>IF($Q1294&lt;&gt;"Yes","",IF(COUNTIFS(nrES_PID,$D1294,nrES_Code,$F1294,nrES_Att,2)&gt;0,"Retested",IF(OR($T1294="",NOT(ISNUMBER($T1294))),"Pending",IF(TODAY()&gt;$T1294,"OVERDUE","Due "&amp;TEXT($T1294,"mm/dd")))))</f>
        <v/>
      </c>
      <c r="V1294" s="14" t="n"/>
      <c r="W1294" s="14" t="n"/>
    </row>
    <row r="1295">
      <c r="B1295" s="15">
        <f>IF($C1295="","",$D1295&amp;"-"&amp;$F1295&amp;"-"&amp;$K1295)</f>
        <v/>
      </c>
      <c r="C1295" s="14" t="n"/>
      <c r="D1295" s="15">
        <f>IF($C1295="","",IFERROR(INDEX(rngCadetPIDs,MATCH($C1295,rngCadetNames,0)),"?"))</f>
        <v/>
      </c>
      <c r="E1295" s="15">
        <f>IF($D1295="","",IFERROR(INDEX(nrCadetAgency,MATCH($D1295,rngCadetPIDs,0)),""))</f>
        <v/>
      </c>
      <c r="F1295" s="14" t="n"/>
      <c r="G1295" s="15">
        <f>IF($F1295="","",IFERROR(INDEX(rngEPname,MATCH($F1295,rngEPcode,0)),"?"))</f>
        <v/>
      </c>
      <c r="H1295" s="15">
        <f>IF($F1295="","",IFERROR(INDEX(rngEPtype,MATCH($F1295,rngEPcode,0)),"?"))</f>
        <v/>
      </c>
      <c r="I1295" s="15">
        <f>IF($F1295="","",IFERROR(INDEX(rngEPseq,MATCH($F1295,rngEPcode,0)),""))</f>
        <v/>
      </c>
      <c r="J1295" s="15">
        <f>IF($F1295="","",IFERROR(INDEX(rngEPpass,MATCH($F1295,rngEPcode,0)),cfgPassingScore))</f>
        <v/>
      </c>
      <c r="K1295" s="14" t="n"/>
      <c r="L1295" s="14" t="n"/>
      <c r="M1295" s="15">
        <f>IF($C1295="","",IF($L1295="","",IF($K1295=1,IF(COUNTIFS(nrES_PID,$D1295,nrES_Code,$F1295,nrES_Att,2)&gt;0,"",$L1295),IF(COUNTIFS(nrES_PID,$D1295,nrES_Code,$F1295,nrES_Att,1)=0,$L1295,IF($L1295&gt;=$J1295,cfgRetakeRecordedCap,SUMIFS(nrES_Raw,nrES_PID,$D1295,nrES_Code,$F1295,nrES_Att,1))))))</f>
        <v/>
      </c>
      <c r="N1295" s="15">
        <f>IF($C1295="","",IF($L1295="","",IF($L1295&gt;=$J1295,"Yes","No")))</f>
        <v/>
      </c>
      <c r="O1295" s="15">
        <f>IF($C1295="","",IF($M1295="","",IF($M1295&gt;=$J1295,"Yes","No")))</f>
        <v/>
      </c>
      <c r="P1295" s="15">
        <f>IF($C1295="","",IF($K1295="","",IF(COUNTIFS(nrES_PID,$D1295,nrES_Code,$F1295,nrES_Att,"&gt;"&amp;$K1295)=0,"Yes","No")))</f>
        <v/>
      </c>
      <c r="Q1295" s="15">
        <f>IF($C1295="","",IF($L1295="","",IF(AND($K1295=1,$L1295&lt;$J1295,COUNTIFS(nrES_PID,$D1295,nrES_Code,$F1295,nrES_Att,2)=0),"Yes","No")))</f>
        <v/>
      </c>
      <c r="R1295" s="15">
        <f>IF($C1295="","",IF($L1295="","",IF(AND($K1295=2,$L1295&lt;$J1295,COUNTIFS(nrES_PID,$D1295,nrES_Code,$F1295,nrES_Att,1)&gt;0),"Yes","No")))</f>
        <v/>
      </c>
      <c r="S1295" s="16" t="n"/>
      <c r="T1295" s="17">
        <f>IF($Q1295&lt;&gt;"Yes","",IF($S1295="","(enter date)",_xlfn.LET(_xlpm.dn,IFERROR(_xlfn.XLOOKUP($S1295,nrCDdate,nrCDnum),""),IF(_xlpm.dn="","(not a class day)",IFERROR(_xlfn.XLOOKUP(_xlpm.dn+cfgRetestClassDays,nrCDnum,nrCDdate),"")))))</f>
        <v/>
      </c>
      <c r="U1295" s="15">
        <f>IF($Q1295&lt;&gt;"Yes","",IF(COUNTIFS(nrES_PID,$D1295,nrES_Code,$F1295,nrES_Att,2)&gt;0,"Retested",IF(OR($T1295="",NOT(ISNUMBER($T1295))),"Pending",IF(TODAY()&gt;$T1295,"OVERDUE","Due "&amp;TEXT($T1295,"mm/dd")))))</f>
        <v/>
      </c>
      <c r="V1295" s="14" t="n"/>
      <c r="W1295" s="14" t="n"/>
    </row>
    <row r="1296">
      <c r="B1296" s="15">
        <f>IF($C1296="","",$D1296&amp;"-"&amp;$F1296&amp;"-"&amp;$K1296)</f>
        <v/>
      </c>
      <c r="C1296" s="14" t="n"/>
      <c r="D1296" s="15">
        <f>IF($C1296="","",IFERROR(INDEX(rngCadetPIDs,MATCH($C1296,rngCadetNames,0)),"?"))</f>
        <v/>
      </c>
      <c r="E1296" s="15">
        <f>IF($D1296="","",IFERROR(INDEX(nrCadetAgency,MATCH($D1296,rngCadetPIDs,0)),""))</f>
        <v/>
      </c>
      <c r="F1296" s="14" t="n"/>
      <c r="G1296" s="15">
        <f>IF($F1296="","",IFERROR(INDEX(rngEPname,MATCH($F1296,rngEPcode,0)),"?"))</f>
        <v/>
      </c>
      <c r="H1296" s="15">
        <f>IF($F1296="","",IFERROR(INDEX(rngEPtype,MATCH($F1296,rngEPcode,0)),"?"))</f>
        <v/>
      </c>
      <c r="I1296" s="15">
        <f>IF($F1296="","",IFERROR(INDEX(rngEPseq,MATCH($F1296,rngEPcode,0)),""))</f>
        <v/>
      </c>
      <c r="J1296" s="15">
        <f>IF($F1296="","",IFERROR(INDEX(rngEPpass,MATCH($F1296,rngEPcode,0)),cfgPassingScore))</f>
        <v/>
      </c>
      <c r="K1296" s="14" t="n"/>
      <c r="L1296" s="14" t="n"/>
      <c r="M1296" s="15">
        <f>IF($C1296="","",IF($L1296="","",IF($K1296=1,IF(COUNTIFS(nrES_PID,$D1296,nrES_Code,$F1296,nrES_Att,2)&gt;0,"",$L1296),IF(COUNTIFS(nrES_PID,$D1296,nrES_Code,$F1296,nrES_Att,1)=0,$L1296,IF($L1296&gt;=$J1296,cfgRetakeRecordedCap,SUMIFS(nrES_Raw,nrES_PID,$D1296,nrES_Code,$F1296,nrES_Att,1))))))</f>
        <v/>
      </c>
      <c r="N1296" s="15">
        <f>IF($C1296="","",IF($L1296="","",IF($L1296&gt;=$J1296,"Yes","No")))</f>
        <v/>
      </c>
      <c r="O1296" s="15">
        <f>IF($C1296="","",IF($M1296="","",IF($M1296&gt;=$J1296,"Yes","No")))</f>
        <v/>
      </c>
      <c r="P1296" s="15">
        <f>IF($C1296="","",IF($K1296="","",IF(COUNTIFS(nrES_PID,$D1296,nrES_Code,$F1296,nrES_Att,"&gt;"&amp;$K1296)=0,"Yes","No")))</f>
        <v/>
      </c>
      <c r="Q1296" s="15">
        <f>IF($C1296="","",IF($L1296="","",IF(AND($K1296=1,$L1296&lt;$J1296,COUNTIFS(nrES_PID,$D1296,nrES_Code,$F1296,nrES_Att,2)=0),"Yes","No")))</f>
        <v/>
      </c>
      <c r="R1296" s="15">
        <f>IF($C1296="","",IF($L1296="","",IF(AND($K1296=2,$L1296&lt;$J1296,COUNTIFS(nrES_PID,$D1296,nrES_Code,$F1296,nrES_Att,1)&gt;0),"Yes","No")))</f>
        <v/>
      </c>
      <c r="S1296" s="16" t="n"/>
      <c r="T1296" s="17">
        <f>IF($Q1296&lt;&gt;"Yes","",IF($S1296="","(enter date)",_xlfn.LET(_xlpm.dn,IFERROR(_xlfn.XLOOKUP($S1296,nrCDdate,nrCDnum),""),IF(_xlpm.dn="","(not a class day)",IFERROR(_xlfn.XLOOKUP(_xlpm.dn+cfgRetestClassDays,nrCDnum,nrCDdate),"")))))</f>
        <v/>
      </c>
      <c r="U1296" s="15">
        <f>IF($Q1296&lt;&gt;"Yes","",IF(COUNTIFS(nrES_PID,$D1296,nrES_Code,$F1296,nrES_Att,2)&gt;0,"Retested",IF(OR($T1296="",NOT(ISNUMBER($T1296))),"Pending",IF(TODAY()&gt;$T1296,"OVERDUE","Due "&amp;TEXT($T1296,"mm/dd")))))</f>
        <v/>
      </c>
      <c r="V1296" s="14" t="n"/>
      <c r="W1296" s="14" t="n"/>
    </row>
    <row r="1297">
      <c r="B1297" s="15">
        <f>IF($C1297="","",$D1297&amp;"-"&amp;$F1297&amp;"-"&amp;$K1297)</f>
        <v/>
      </c>
      <c r="C1297" s="14" t="n"/>
      <c r="D1297" s="15">
        <f>IF($C1297="","",IFERROR(INDEX(rngCadetPIDs,MATCH($C1297,rngCadetNames,0)),"?"))</f>
        <v/>
      </c>
      <c r="E1297" s="15">
        <f>IF($D1297="","",IFERROR(INDEX(nrCadetAgency,MATCH($D1297,rngCadetPIDs,0)),""))</f>
        <v/>
      </c>
      <c r="F1297" s="14" t="n"/>
      <c r="G1297" s="15">
        <f>IF($F1297="","",IFERROR(INDEX(rngEPname,MATCH($F1297,rngEPcode,0)),"?"))</f>
        <v/>
      </c>
      <c r="H1297" s="15">
        <f>IF($F1297="","",IFERROR(INDEX(rngEPtype,MATCH($F1297,rngEPcode,0)),"?"))</f>
        <v/>
      </c>
      <c r="I1297" s="15">
        <f>IF($F1297="","",IFERROR(INDEX(rngEPseq,MATCH($F1297,rngEPcode,0)),""))</f>
        <v/>
      </c>
      <c r="J1297" s="15">
        <f>IF($F1297="","",IFERROR(INDEX(rngEPpass,MATCH($F1297,rngEPcode,0)),cfgPassingScore))</f>
        <v/>
      </c>
      <c r="K1297" s="14" t="n"/>
      <c r="L1297" s="14" t="n"/>
      <c r="M1297" s="15">
        <f>IF($C1297="","",IF($L1297="","",IF($K1297=1,IF(COUNTIFS(nrES_PID,$D1297,nrES_Code,$F1297,nrES_Att,2)&gt;0,"",$L1297),IF(COUNTIFS(nrES_PID,$D1297,nrES_Code,$F1297,nrES_Att,1)=0,$L1297,IF($L1297&gt;=$J1297,cfgRetakeRecordedCap,SUMIFS(nrES_Raw,nrES_PID,$D1297,nrES_Code,$F1297,nrES_Att,1))))))</f>
        <v/>
      </c>
      <c r="N1297" s="15">
        <f>IF($C1297="","",IF($L1297="","",IF($L1297&gt;=$J1297,"Yes","No")))</f>
        <v/>
      </c>
      <c r="O1297" s="15">
        <f>IF($C1297="","",IF($M1297="","",IF($M1297&gt;=$J1297,"Yes","No")))</f>
        <v/>
      </c>
      <c r="P1297" s="15">
        <f>IF($C1297="","",IF($K1297="","",IF(COUNTIFS(nrES_PID,$D1297,nrES_Code,$F1297,nrES_Att,"&gt;"&amp;$K1297)=0,"Yes","No")))</f>
        <v/>
      </c>
      <c r="Q1297" s="15">
        <f>IF($C1297="","",IF($L1297="","",IF(AND($K1297=1,$L1297&lt;$J1297,COUNTIFS(nrES_PID,$D1297,nrES_Code,$F1297,nrES_Att,2)=0),"Yes","No")))</f>
        <v/>
      </c>
      <c r="R1297" s="15">
        <f>IF($C1297="","",IF($L1297="","",IF(AND($K1297=2,$L1297&lt;$J1297,COUNTIFS(nrES_PID,$D1297,nrES_Code,$F1297,nrES_Att,1)&gt;0),"Yes","No")))</f>
        <v/>
      </c>
      <c r="S1297" s="16" t="n"/>
      <c r="T1297" s="17">
        <f>IF($Q1297&lt;&gt;"Yes","",IF($S1297="","(enter date)",_xlfn.LET(_xlpm.dn,IFERROR(_xlfn.XLOOKUP($S1297,nrCDdate,nrCDnum),""),IF(_xlpm.dn="","(not a class day)",IFERROR(_xlfn.XLOOKUP(_xlpm.dn+cfgRetestClassDays,nrCDnum,nrCDdate),"")))))</f>
        <v/>
      </c>
      <c r="U1297" s="15">
        <f>IF($Q1297&lt;&gt;"Yes","",IF(COUNTIFS(nrES_PID,$D1297,nrES_Code,$F1297,nrES_Att,2)&gt;0,"Retested",IF(OR($T1297="",NOT(ISNUMBER($T1297))),"Pending",IF(TODAY()&gt;$T1297,"OVERDUE","Due "&amp;TEXT($T1297,"mm/dd")))))</f>
        <v/>
      </c>
      <c r="V1297" s="14" t="n"/>
      <c r="W1297" s="14" t="n"/>
    </row>
    <row r="1298">
      <c r="B1298" s="15">
        <f>IF($C1298="","",$D1298&amp;"-"&amp;$F1298&amp;"-"&amp;$K1298)</f>
        <v/>
      </c>
      <c r="C1298" s="14" t="n"/>
      <c r="D1298" s="15">
        <f>IF($C1298="","",IFERROR(INDEX(rngCadetPIDs,MATCH($C1298,rngCadetNames,0)),"?"))</f>
        <v/>
      </c>
      <c r="E1298" s="15">
        <f>IF($D1298="","",IFERROR(INDEX(nrCadetAgency,MATCH($D1298,rngCadetPIDs,0)),""))</f>
        <v/>
      </c>
      <c r="F1298" s="14" t="n"/>
      <c r="G1298" s="15">
        <f>IF($F1298="","",IFERROR(INDEX(rngEPname,MATCH($F1298,rngEPcode,0)),"?"))</f>
        <v/>
      </c>
      <c r="H1298" s="15">
        <f>IF($F1298="","",IFERROR(INDEX(rngEPtype,MATCH($F1298,rngEPcode,0)),"?"))</f>
        <v/>
      </c>
      <c r="I1298" s="15">
        <f>IF($F1298="","",IFERROR(INDEX(rngEPseq,MATCH($F1298,rngEPcode,0)),""))</f>
        <v/>
      </c>
      <c r="J1298" s="15">
        <f>IF($F1298="","",IFERROR(INDEX(rngEPpass,MATCH($F1298,rngEPcode,0)),cfgPassingScore))</f>
        <v/>
      </c>
      <c r="K1298" s="14" t="n"/>
      <c r="L1298" s="14" t="n"/>
      <c r="M1298" s="15">
        <f>IF($C1298="","",IF($L1298="","",IF($K1298=1,IF(COUNTIFS(nrES_PID,$D1298,nrES_Code,$F1298,nrES_Att,2)&gt;0,"",$L1298),IF(COUNTIFS(nrES_PID,$D1298,nrES_Code,$F1298,nrES_Att,1)=0,$L1298,IF($L1298&gt;=$J1298,cfgRetakeRecordedCap,SUMIFS(nrES_Raw,nrES_PID,$D1298,nrES_Code,$F1298,nrES_Att,1))))))</f>
        <v/>
      </c>
      <c r="N1298" s="15">
        <f>IF($C1298="","",IF($L1298="","",IF($L1298&gt;=$J1298,"Yes","No")))</f>
        <v/>
      </c>
      <c r="O1298" s="15">
        <f>IF($C1298="","",IF($M1298="","",IF($M1298&gt;=$J1298,"Yes","No")))</f>
        <v/>
      </c>
      <c r="P1298" s="15">
        <f>IF($C1298="","",IF($K1298="","",IF(COUNTIFS(nrES_PID,$D1298,nrES_Code,$F1298,nrES_Att,"&gt;"&amp;$K1298)=0,"Yes","No")))</f>
        <v/>
      </c>
      <c r="Q1298" s="15">
        <f>IF($C1298="","",IF($L1298="","",IF(AND($K1298=1,$L1298&lt;$J1298,COUNTIFS(nrES_PID,$D1298,nrES_Code,$F1298,nrES_Att,2)=0),"Yes","No")))</f>
        <v/>
      </c>
      <c r="R1298" s="15">
        <f>IF($C1298="","",IF($L1298="","",IF(AND($K1298=2,$L1298&lt;$J1298,COUNTIFS(nrES_PID,$D1298,nrES_Code,$F1298,nrES_Att,1)&gt;0),"Yes","No")))</f>
        <v/>
      </c>
      <c r="S1298" s="16" t="n"/>
      <c r="T1298" s="17">
        <f>IF($Q1298&lt;&gt;"Yes","",IF($S1298="","(enter date)",_xlfn.LET(_xlpm.dn,IFERROR(_xlfn.XLOOKUP($S1298,nrCDdate,nrCDnum),""),IF(_xlpm.dn="","(not a class day)",IFERROR(_xlfn.XLOOKUP(_xlpm.dn+cfgRetestClassDays,nrCDnum,nrCDdate),"")))))</f>
        <v/>
      </c>
      <c r="U1298" s="15">
        <f>IF($Q1298&lt;&gt;"Yes","",IF(COUNTIFS(nrES_PID,$D1298,nrES_Code,$F1298,nrES_Att,2)&gt;0,"Retested",IF(OR($T1298="",NOT(ISNUMBER($T1298))),"Pending",IF(TODAY()&gt;$T1298,"OVERDUE","Due "&amp;TEXT($T1298,"mm/dd")))))</f>
        <v/>
      </c>
      <c r="V1298" s="14" t="n"/>
      <c r="W1298" s="14" t="n"/>
    </row>
    <row r="1299">
      <c r="B1299" s="15">
        <f>IF($C1299="","",$D1299&amp;"-"&amp;$F1299&amp;"-"&amp;$K1299)</f>
        <v/>
      </c>
      <c r="C1299" s="14" t="n"/>
      <c r="D1299" s="15">
        <f>IF($C1299="","",IFERROR(INDEX(rngCadetPIDs,MATCH($C1299,rngCadetNames,0)),"?"))</f>
        <v/>
      </c>
      <c r="E1299" s="15">
        <f>IF($D1299="","",IFERROR(INDEX(nrCadetAgency,MATCH($D1299,rngCadetPIDs,0)),""))</f>
        <v/>
      </c>
      <c r="F1299" s="14" t="n"/>
      <c r="G1299" s="15">
        <f>IF($F1299="","",IFERROR(INDEX(rngEPname,MATCH($F1299,rngEPcode,0)),"?"))</f>
        <v/>
      </c>
      <c r="H1299" s="15">
        <f>IF($F1299="","",IFERROR(INDEX(rngEPtype,MATCH($F1299,rngEPcode,0)),"?"))</f>
        <v/>
      </c>
      <c r="I1299" s="15">
        <f>IF($F1299="","",IFERROR(INDEX(rngEPseq,MATCH($F1299,rngEPcode,0)),""))</f>
        <v/>
      </c>
      <c r="J1299" s="15">
        <f>IF($F1299="","",IFERROR(INDEX(rngEPpass,MATCH($F1299,rngEPcode,0)),cfgPassingScore))</f>
        <v/>
      </c>
      <c r="K1299" s="14" t="n"/>
      <c r="L1299" s="14" t="n"/>
      <c r="M1299" s="15">
        <f>IF($C1299="","",IF($L1299="","",IF($K1299=1,IF(COUNTIFS(nrES_PID,$D1299,nrES_Code,$F1299,nrES_Att,2)&gt;0,"",$L1299),IF(COUNTIFS(nrES_PID,$D1299,nrES_Code,$F1299,nrES_Att,1)=0,$L1299,IF($L1299&gt;=$J1299,cfgRetakeRecordedCap,SUMIFS(nrES_Raw,nrES_PID,$D1299,nrES_Code,$F1299,nrES_Att,1))))))</f>
        <v/>
      </c>
      <c r="N1299" s="15">
        <f>IF($C1299="","",IF($L1299="","",IF($L1299&gt;=$J1299,"Yes","No")))</f>
        <v/>
      </c>
      <c r="O1299" s="15">
        <f>IF($C1299="","",IF($M1299="","",IF($M1299&gt;=$J1299,"Yes","No")))</f>
        <v/>
      </c>
      <c r="P1299" s="15">
        <f>IF($C1299="","",IF($K1299="","",IF(COUNTIFS(nrES_PID,$D1299,nrES_Code,$F1299,nrES_Att,"&gt;"&amp;$K1299)=0,"Yes","No")))</f>
        <v/>
      </c>
      <c r="Q1299" s="15">
        <f>IF($C1299="","",IF($L1299="","",IF(AND($K1299=1,$L1299&lt;$J1299,COUNTIFS(nrES_PID,$D1299,nrES_Code,$F1299,nrES_Att,2)=0),"Yes","No")))</f>
        <v/>
      </c>
      <c r="R1299" s="15">
        <f>IF($C1299="","",IF($L1299="","",IF(AND($K1299=2,$L1299&lt;$J1299,COUNTIFS(nrES_PID,$D1299,nrES_Code,$F1299,nrES_Att,1)&gt;0),"Yes","No")))</f>
        <v/>
      </c>
      <c r="S1299" s="16" t="n"/>
      <c r="T1299" s="17">
        <f>IF($Q1299&lt;&gt;"Yes","",IF($S1299="","(enter date)",_xlfn.LET(_xlpm.dn,IFERROR(_xlfn.XLOOKUP($S1299,nrCDdate,nrCDnum),""),IF(_xlpm.dn="","(not a class day)",IFERROR(_xlfn.XLOOKUP(_xlpm.dn+cfgRetestClassDays,nrCDnum,nrCDdate),"")))))</f>
        <v/>
      </c>
      <c r="U1299" s="15">
        <f>IF($Q1299&lt;&gt;"Yes","",IF(COUNTIFS(nrES_PID,$D1299,nrES_Code,$F1299,nrES_Att,2)&gt;0,"Retested",IF(OR($T1299="",NOT(ISNUMBER($T1299))),"Pending",IF(TODAY()&gt;$T1299,"OVERDUE","Due "&amp;TEXT($T1299,"mm/dd")))))</f>
        <v/>
      </c>
      <c r="V1299" s="14" t="n"/>
      <c r="W1299" s="14" t="n"/>
    </row>
    <row r="1300">
      <c r="B1300" s="15">
        <f>IF($C1300="","",$D1300&amp;"-"&amp;$F1300&amp;"-"&amp;$K1300)</f>
        <v/>
      </c>
      <c r="C1300" s="14" t="n"/>
      <c r="D1300" s="15">
        <f>IF($C1300="","",IFERROR(INDEX(rngCadetPIDs,MATCH($C1300,rngCadetNames,0)),"?"))</f>
        <v/>
      </c>
      <c r="E1300" s="15">
        <f>IF($D1300="","",IFERROR(INDEX(nrCadetAgency,MATCH($D1300,rngCadetPIDs,0)),""))</f>
        <v/>
      </c>
      <c r="F1300" s="14" t="n"/>
      <c r="G1300" s="15">
        <f>IF($F1300="","",IFERROR(INDEX(rngEPname,MATCH($F1300,rngEPcode,0)),"?"))</f>
        <v/>
      </c>
      <c r="H1300" s="15">
        <f>IF($F1300="","",IFERROR(INDEX(rngEPtype,MATCH($F1300,rngEPcode,0)),"?"))</f>
        <v/>
      </c>
      <c r="I1300" s="15">
        <f>IF($F1300="","",IFERROR(INDEX(rngEPseq,MATCH($F1300,rngEPcode,0)),""))</f>
        <v/>
      </c>
      <c r="J1300" s="15">
        <f>IF($F1300="","",IFERROR(INDEX(rngEPpass,MATCH($F1300,rngEPcode,0)),cfgPassingScore))</f>
        <v/>
      </c>
      <c r="K1300" s="14" t="n"/>
      <c r="L1300" s="14" t="n"/>
      <c r="M1300" s="15">
        <f>IF($C1300="","",IF($L1300="","",IF($K1300=1,IF(COUNTIFS(nrES_PID,$D1300,nrES_Code,$F1300,nrES_Att,2)&gt;0,"",$L1300),IF(COUNTIFS(nrES_PID,$D1300,nrES_Code,$F1300,nrES_Att,1)=0,$L1300,IF($L1300&gt;=$J1300,cfgRetakeRecordedCap,SUMIFS(nrES_Raw,nrES_PID,$D1300,nrES_Code,$F1300,nrES_Att,1))))))</f>
        <v/>
      </c>
      <c r="N1300" s="15">
        <f>IF($C1300="","",IF($L1300="","",IF($L1300&gt;=$J1300,"Yes","No")))</f>
        <v/>
      </c>
      <c r="O1300" s="15">
        <f>IF($C1300="","",IF($M1300="","",IF($M1300&gt;=$J1300,"Yes","No")))</f>
        <v/>
      </c>
      <c r="P1300" s="15">
        <f>IF($C1300="","",IF($K1300="","",IF(COUNTIFS(nrES_PID,$D1300,nrES_Code,$F1300,nrES_Att,"&gt;"&amp;$K1300)=0,"Yes","No")))</f>
        <v/>
      </c>
      <c r="Q1300" s="15">
        <f>IF($C1300="","",IF($L1300="","",IF(AND($K1300=1,$L1300&lt;$J1300,COUNTIFS(nrES_PID,$D1300,nrES_Code,$F1300,nrES_Att,2)=0),"Yes","No")))</f>
        <v/>
      </c>
      <c r="R1300" s="15">
        <f>IF($C1300="","",IF($L1300="","",IF(AND($K1300=2,$L1300&lt;$J1300,COUNTIFS(nrES_PID,$D1300,nrES_Code,$F1300,nrES_Att,1)&gt;0),"Yes","No")))</f>
        <v/>
      </c>
      <c r="S1300" s="16" t="n"/>
      <c r="T1300" s="17">
        <f>IF($Q1300&lt;&gt;"Yes","",IF($S1300="","(enter date)",_xlfn.LET(_xlpm.dn,IFERROR(_xlfn.XLOOKUP($S1300,nrCDdate,nrCDnum),""),IF(_xlpm.dn="","(not a class day)",IFERROR(_xlfn.XLOOKUP(_xlpm.dn+cfgRetestClassDays,nrCDnum,nrCDdate),"")))))</f>
        <v/>
      </c>
      <c r="U1300" s="15">
        <f>IF($Q1300&lt;&gt;"Yes","",IF(COUNTIFS(nrES_PID,$D1300,nrES_Code,$F1300,nrES_Att,2)&gt;0,"Retested",IF(OR($T1300="",NOT(ISNUMBER($T1300))),"Pending",IF(TODAY()&gt;$T1300,"OVERDUE","Due "&amp;TEXT($T1300,"mm/dd")))))</f>
        <v/>
      </c>
      <c r="V1300" s="14" t="n"/>
      <c r="W1300" s="14" t="n"/>
    </row>
    <row r="1301">
      <c r="B1301" s="15">
        <f>IF($C1301="","",$D1301&amp;"-"&amp;$F1301&amp;"-"&amp;$K1301)</f>
        <v/>
      </c>
      <c r="C1301" s="14" t="n"/>
      <c r="D1301" s="15">
        <f>IF($C1301="","",IFERROR(INDEX(rngCadetPIDs,MATCH($C1301,rngCadetNames,0)),"?"))</f>
        <v/>
      </c>
      <c r="E1301" s="15">
        <f>IF($D1301="","",IFERROR(INDEX(nrCadetAgency,MATCH($D1301,rngCadetPIDs,0)),""))</f>
        <v/>
      </c>
      <c r="F1301" s="14" t="n"/>
      <c r="G1301" s="15">
        <f>IF($F1301="","",IFERROR(INDEX(rngEPname,MATCH($F1301,rngEPcode,0)),"?"))</f>
        <v/>
      </c>
      <c r="H1301" s="15">
        <f>IF($F1301="","",IFERROR(INDEX(rngEPtype,MATCH($F1301,rngEPcode,0)),"?"))</f>
        <v/>
      </c>
      <c r="I1301" s="15">
        <f>IF($F1301="","",IFERROR(INDEX(rngEPseq,MATCH($F1301,rngEPcode,0)),""))</f>
        <v/>
      </c>
      <c r="J1301" s="15">
        <f>IF($F1301="","",IFERROR(INDEX(rngEPpass,MATCH($F1301,rngEPcode,0)),cfgPassingScore))</f>
        <v/>
      </c>
      <c r="K1301" s="14" t="n"/>
      <c r="L1301" s="14" t="n"/>
      <c r="M1301" s="15">
        <f>IF($C1301="","",IF($L1301="","",IF($K1301=1,IF(COUNTIFS(nrES_PID,$D1301,nrES_Code,$F1301,nrES_Att,2)&gt;0,"",$L1301),IF(COUNTIFS(nrES_PID,$D1301,nrES_Code,$F1301,nrES_Att,1)=0,$L1301,IF($L1301&gt;=$J1301,cfgRetakeRecordedCap,SUMIFS(nrES_Raw,nrES_PID,$D1301,nrES_Code,$F1301,nrES_Att,1))))))</f>
        <v/>
      </c>
      <c r="N1301" s="15">
        <f>IF($C1301="","",IF($L1301="","",IF($L1301&gt;=$J1301,"Yes","No")))</f>
        <v/>
      </c>
      <c r="O1301" s="15">
        <f>IF($C1301="","",IF($M1301="","",IF($M1301&gt;=$J1301,"Yes","No")))</f>
        <v/>
      </c>
      <c r="P1301" s="15">
        <f>IF($C1301="","",IF($K1301="","",IF(COUNTIFS(nrES_PID,$D1301,nrES_Code,$F1301,nrES_Att,"&gt;"&amp;$K1301)=0,"Yes","No")))</f>
        <v/>
      </c>
      <c r="Q1301" s="15">
        <f>IF($C1301="","",IF($L1301="","",IF(AND($K1301=1,$L1301&lt;$J1301,COUNTIFS(nrES_PID,$D1301,nrES_Code,$F1301,nrES_Att,2)=0),"Yes","No")))</f>
        <v/>
      </c>
      <c r="R1301" s="15">
        <f>IF($C1301="","",IF($L1301="","",IF(AND($K1301=2,$L1301&lt;$J1301,COUNTIFS(nrES_PID,$D1301,nrES_Code,$F1301,nrES_Att,1)&gt;0),"Yes","No")))</f>
        <v/>
      </c>
      <c r="S1301" s="16" t="n"/>
      <c r="T1301" s="17">
        <f>IF($Q1301&lt;&gt;"Yes","",IF($S1301="","(enter date)",_xlfn.LET(_xlpm.dn,IFERROR(_xlfn.XLOOKUP($S1301,nrCDdate,nrCDnum),""),IF(_xlpm.dn="","(not a class day)",IFERROR(_xlfn.XLOOKUP(_xlpm.dn+cfgRetestClassDays,nrCDnum,nrCDdate),"")))))</f>
        <v/>
      </c>
      <c r="U1301" s="15">
        <f>IF($Q1301&lt;&gt;"Yes","",IF(COUNTIFS(nrES_PID,$D1301,nrES_Code,$F1301,nrES_Att,2)&gt;0,"Retested",IF(OR($T1301="",NOT(ISNUMBER($T1301))),"Pending",IF(TODAY()&gt;$T1301,"OVERDUE","Due "&amp;TEXT($T1301,"mm/dd")))))</f>
        <v/>
      </c>
      <c r="V1301" s="14" t="n"/>
      <c r="W1301" s="14" t="n"/>
    </row>
    <row r="1302">
      <c r="B1302" s="15">
        <f>IF($C1302="","",$D1302&amp;"-"&amp;$F1302&amp;"-"&amp;$K1302)</f>
        <v/>
      </c>
      <c r="C1302" s="14" t="n"/>
      <c r="D1302" s="15">
        <f>IF($C1302="","",IFERROR(INDEX(rngCadetPIDs,MATCH($C1302,rngCadetNames,0)),"?"))</f>
        <v/>
      </c>
      <c r="E1302" s="15">
        <f>IF($D1302="","",IFERROR(INDEX(nrCadetAgency,MATCH($D1302,rngCadetPIDs,0)),""))</f>
        <v/>
      </c>
      <c r="F1302" s="14" t="n"/>
      <c r="G1302" s="15">
        <f>IF($F1302="","",IFERROR(INDEX(rngEPname,MATCH($F1302,rngEPcode,0)),"?"))</f>
        <v/>
      </c>
      <c r="H1302" s="15">
        <f>IF($F1302="","",IFERROR(INDEX(rngEPtype,MATCH($F1302,rngEPcode,0)),"?"))</f>
        <v/>
      </c>
      <c r="I1302" s="15">
        <f>IF($F1302="","",IFERROR(INDEX(rngEPseq,MATCH($F1302,rngEPcode,0)),""))</f>
        <v/>
      </c>
      <c r="J1302" s="15">
        <f>IF($F1302="","",IFERROR(INDEX(rngEPpass,MATCH($F1302,rngEPcode,0)),cfgPassingScore))</f>
        <v/>
      </c>
      <c r="K1302" s="14" t="n"/>
      <c r="L1302" s="14" t="n"/>
      <c r="M1302" s="15">
        <f>IF($C1302="","",IF($L1302="","",IF($K1302=1,IF(COUNTIFS(nrES_PID,$D1302,nrES_Code,$F1302,nrES_Att,2)&gt;0,"",$L1302),IF(COUNTIFS(nrES_PID,$D1302,nrES_Code,$F1302,nrES_Att,1)=0,$L1302,IF($L1302&gt;=$J1302,cfgRetakeRecordedCap,SUMIFS(nrES_Raw,nrES_PID,$D1302,nrES_Code,$F1302,nrES_Att,1))))))</f>
        <v/>
      </c>
      <c r="N1302" s="15">
        <f>IF($C1302="","",IF($L1302="","",IF($L1302&gt;=$J1302,"Yes","No")))</f>
        <v/>
      </c>
      <c r="O1302" s="15">
        <f>IF($C1302="","",IF($M1302="","",IF($M1302&gt;=$J1302,"Yes","No")))</f>
        <v/>
      </c>
      <c r="P1302" s="15">
        <f>IF($C1302="","",IF($K1302="","",IF(COUNTIFS(nrES_PID,$D1302,nrES_Code,$F1302,nrES_Att,"&gt;"&amp;$K1302)=0,"Yes","No")))</f>
        <v/>
      </c>
      <c r="Q1302" s="15">
        <f>IF($C1302="","",IF($L1302="","",IF(AND($K1302=1,$L1302&lt;$J1302,COUNTIFS(nrES_PID,$D1302,nrES_Code,$F1302,nrES_Att,2)=0),"Yes","No")))</f>
        <v/>
      </c>
      <c r="R1302" s="15">
        <f>IF($C1302="","",IF($L1302="","",IF(AND($K1302=2,$L1302&lt;$J1302,COUNTIFS(nrES_PID,$D1302,nrES_Code,$F1302,nrES_Att,1)&gt;0),"Yes","No")))</f>
        <v/>
      </c>
      <c r="S1302" s="16" t="n"/>
      <c r="T1302" s="17">
        <f>IF($Q1302&lt;&gt;"Yes","",IF($S1302="","(enter date)",_xlfn.LET(_xlpm.dn,IFERROR(_xlfn.XLOOKUP($S1302,nrCDdate,nrCDnum),""),IF(_xlpm.dn="","(not a class day)",IFERROR(_xlfn.XLOOKUP(_xlpm.dn+cfgRetestClassDays,nrCDnum,nrCDdate),"")))))</f>
        <v/>
      </c>
      <c r="U1302" s="15">
        <f>IF($Q1302&lt;&gt;"Yes","",IF(COUNTIFS(nrES_PID,$D1302,nrES_Code,$F1302,nrES_Att,2)&gt;0,"Retested",IF(OR($T1302="",NOT(ISNUMBER($T1302))),"Pending",IF(TODAY()&gt;$T1302,"OVERDUE","Due "&amp;TEXT($T1302,"mm/dd")))))</f>
        <v/>
      </c>
      <c r="V1302" s="14" t="n"/>
      <c r="W1302" s="14" t="n"/>
    </row>
    <row r="1303">
      <c r="B1303" s="15">
        <f>IF($C1303="","",$D1303&amp;"-"&amp;$F1303&amp;"-"&amp;$K1303)</f>
        <v/>
      </c>
      <c r="C1303" s="14" t="n"/>
      <c r="D1303" s="15">
        <f>IF($C1303="","",IFERROR(INDEX(rngCadetPIDs,MATCH($C1303,rngCadetNames,0)),"?"))</f>
        <v/>
      </c>
      <c r="E1303" s="15">
        <f>IF($D1303="","",IFERROR(INDEX(nrCadetAgency,MATCH($D1303,rngCadetPIDs,0)),""))</f>
        <v/>
      </c>
      <c r="F1303" s="14" t="n"/>
      <c r="G1303" s="15">
        <f>IF($F1303="","",IFERROR(INDEX(rngEPname,MATCH($F1303,rngEPcode,0)),"?"))</f>
        <v/>
      </c>
      <c r="H1303" s="15">
        <f>IF($F1303="","",IFERROR(INDEX(rngEPtype,MATCH($F1303,rngEPcode,0)),"?"))</f>
        <v/>
      </c>
      <c r="I1303" s="15">
        <f>IF($F1303="","",IFERROR(INDEX(rngEPseq,MATCH($F1303,rngEPcode,0)),""))</f>
        <v/>
      </c>
      <c r="J1303" s="15">
        <f>IF($F1303="","",IFERROR(INDEX(rngEPpass,MATCH($F1303,rngEPcode,0)),cfgPassingScore))</f>
        <v/>
      </c>
      <c r="K1303" s="14" t="n"/>
      <c r="L1303" s="14" t="n"/>
      <c r="M1303" s="15">
        <f>IF($C1303="","",IF($L1303="","",IF($K1303=1,IF(COUNTIFS(nrES_PID,$D1303,nrES_Code,$F1303,nrES_Att,2)&gt;0,"",$L1303),IF(COUNTIFS(nrES_PID,$D1303,nrES_Code,$F1303,nrES_Att,1)=0,$L1303,IF($L1303&gt;=$J1303,cfgRetakeRecordedCap,SUMIFS(nrES_Raw,nrES_PID,$D1303,nrES_Code,$F1303,nrES_Att,1))))))</f>
        <v/>
      </c>
      <c r="N1303" s="15">
        <f>IF($C1303="","",IF($L1303="","",IF($L1303&gt;=$J1303,"Yes","No")))</f>
        <v/>
      </c>
      <c r="O1303" s="15">
        <f>IF($C1303="","",IF($M1303="","",IF($M1303&gt;=$J1303,"Yes","No")))</f>
        <v/>
      </c>
      <c r="P1303" s="15">
        <f>IF($C1303="","",IF($K1303="","",IF(COUNTIFS(nrES_PID,$D1303,nrES_Code,$F1303,nrES_Att,"&gt;"&amp;$K1303)=0,"Yes","No")))</f>
        <v/>
      </c>
      <c r="Q1303" s="15">
        <f>IF($C1303="","",IF($L1303="","",IF(AND($K1303=1,$L1303&lt;$J1303,COUNTIFS(nrES_PID,$D1303,nrES_Code,$F1303,nrES_Att,2)=0),"Yes","No")))</f>
        <v/>
      </c>
      <c r="R1303" s="15">
        <f>IF($C1303="","",IF($L1303="","",IF(AND($K1303=2,$L1303&lt;$J1303,COUNTIFS(nrES_PID,$D1303,nrES_Code,$F1303,nrES_Att,1)&gt;0),"Yes","No")))</f>
        <v/>
      </c>
      <c r="S1303" s="16" t="n"/>
      <c r="T1303" s="17">
        <f>IF($Q1303&lt;&gt;"Yes","",IF($S1303="","(enter date)",_xlfn.LET(_xlpm.dn,IFERROR(_xlfn.XLOOKUP($S1303,nrCDdate,nrCDnum),""),IF(_xlpm.dn="","(not a class day)",IFERROR(_xlfn.XLOOKUP(_xlpm.dn+cfgRetestClassDays,nrCDnum,nrCDdate),"")))))</f>
        <v/>
      </c>
      <c r="U1303" s="15">
        <f>IF($Q1303&lt;&gt;"Yes","",IF(COUNTIFS(nrES_PID,$D1303,nrES_Code,$F1303,nrES_Att,2)&gt;0,"Retested",IF(OR($T1303="",NOT(ISNUMBER($T1303))),"Pending",IF(TODAY()&gt;$T1303,"OVERDUE","Due "&amp;TEXT($T1303,"mm/dd")))))</f>
        <v/>
      </c>
      <c r="V1303" s="14" t="n"/>
      <c r="W1303" s="14" t="n"/>
    </row>
    <row r="1304">
      <c r="B1304" s="15">
        <f>IF($C1304="","",$D1304&amp;"-"&amp;$F1304&amp;"-"&amp;$K1304)</f>
        <v/>
      </c>
      <c r="C1304" s="14" t="n"/>
      <c r="D1304" s="15">
        <f>IF($C1304="","",IFERROR(INDEX(rngCadetPIDs,MATCH($C1304,rngCadetNames,0)),"?"))</f>
        <v/>
      </c>
      <c r="E1304" s="15">
        <f>IF($D1304="","",IFERROR(INDEX(nrCadetAgency,MATCH($D1304,rngCadetPIDs,0)),""))</f>
        <v/>
      </c>
      <c r="F1304" s="14" t="n"/>
      <c r="G1304" s="15">
        <f>IF($F1304="","",IFERROR(INDEX(rngEPname,MATCH($F1304,rngEPcode,0)),"?"))</f>
        <v/>
      </c>
      <c r="H1304" s="15">
        <f>IF($F1304="","",IFERROR(INDEX(rngEPtype,MATCH($F1304,rngEPcode,0)),"?"))</f>
        <v/>
      </c>
      <c r="I1304" s="15">
        <f>IF($F1304="","",IFERROR(INDEX(rngEPseq,MATCH($F1304,rngEPcode,0)),""))</f>
        <v/>
      </c>
      <c r="J1304" s="15">
        <f>IF($F1304="","",IFERROR(INDEX(rngEPpass,MATCH($F1304,rngEPcode,0)),cfgPassingScore))</f>
        <v/>
      </c>
      <c r="K1304" s="14" t="n"/>
      <c r="L1304" s="14" t="n"/>
      <c r="M1304" s="15">
        <f>IF($C1304="","",IF($L1304="","",IF($K1304=1,IF(COUNTIFS(nrES_PID,$D1304,nrES_Code,$F1304,nrES_Att,2)&gt;0,"",$L1304),IF(COUNTIFS(nrES_PID,$D1304,nrES_Code,$F1304,nrES_Att,1)=0,$L1304,IF($L1304&gt;=$J1304,cfgRetakeRecordedCap,SUMIFS(nrES_Raw,nrES_PID,$D1304,nrES_Code,$F1304,nrES_Att,1))))))</f>
        <v/>
      </c>
      <c r="N1304" s="15">
        <f>IF($C1304="","",IF($L1304="","",IF($L1304&gt;=$J1304,"Yes","No")))</f>
        <v/>
      </c>
      <c r="O1304" s="15">
        <f>IF($C1304="","",IF($M1304="","",IF($M1304&gt;=$J1304,"Yes","No")))</f>
        <v/>
      </c>
      <c r="P1304" s="15">
        <f>IF($C1304="","",IF($K1304="","",IF(COUNTIFS(nrES_PID,$D1304,nrES_Code,$F1304,nrES_Att,"&gt;"&amp;$K1304)=0,"Yes","No")))</f>
        <v/>
      </c>
      <c r="Q1304" s="15">
        <f>IF($C1304="","",IF($L1304="","",IF(AND($K1304=1,$L1304&lt;$J1304,COUNTIFS(nrES_PID,$D1304,nrES_Code,$F1304,nrES_Att,2)=0),"Yes","No")))</f>
        <v/>
      </c>
      <c r="R1304" s="15">
        <f>IF($C1304="","",IF($L1304="","",IF(AND($K1304=2,$L1304&lt;$J1304,COUNTIFS(nrES_PID,$D1304,nrES_Code,$F1304,nrES_Att,1)&gt;0),"Yes","No")))</f>
        <v/>
      </c>
      <c r="S1304" s="16" t="n"/>
      <c r="T1304" s="17">
        <f>IF($Q1304&lt;&gt;"Yes","",IF($S1304="","(enter date)",_xlfn.LET(_xlpm.dn,IFERROR(_xlfn.XLOOKUP($S1304,nrCDdate,nrCDnum),""),IF(_xlpm.dn="","(not a class day)",IFERROR(_xlfn.XLOOKUP(_xlpm.dn+cfgRetestClassDays,nrCDnum,nrCDdate),"")))))</f>
        <v/>
      </c>
      <c r="U1304" s="15">
        <f>IF($Q1304&lt;&gt;"Yes","",IF(COUNTIFS(nrES_PID,$D1304,nrES_Code,$F1304,nrES_Att,2)&gt;0,"Retested",IF(OR($T1304="",NOT(ISNUMBER($T1304))),"Pending",IF(TODAY()&gt;$T1304,"OVERDUE","Due "&amp;TEXT($T1304,"mm/dd")))))</f>
        <v/>
      </c>
      <c r="V1304" s="14" t="n"/>
      <c r="W1304" s="14" t="n"/>
    </row>
    <row r="1305">
      <c r="B1305" s="15">
        <f>IF($C1305="","",$D1305&amp;"-"&amp;$F1305&amp;"-"&amp;$K1305)</f>
        <v/>
      </c>
      <c r="C1305" s="14" t="n"/>
      <c r="D1305" s="15">
        <f>IF($C1305="","",IFERROR(INDEX(rngCadetPIDs,MATCH($C1305,rngCadetNames,0)),"?"))</f>
        <v/>
      </c>
      <c r="E1305" s="15">
        <f>IF($D1305="","",IFERROR(INDEX(nrCadetAgency,MATCH($D1305,rngCadetPIDs,0)),""))</f>
        <v/>
      </c>
      <c r="F1305" s="14" t="n"/>
      <c r="G1305" s="15">
        <f>IF($F1305="","",IFERROR(INDEX(rngEPname,MATCH($F1305,rngEPcode,0)),"?"))</f>
        <v/>
      </c>
      <c r="H1305" s="15">
        <f>IF($F1305="","",IFERROR(INDEX(rngEPtype,MATCH($F1305,rngEPcode,0)),"?"))</f>
        <v/>
      </c>
      <c r="I1305" s="15">
        <f>IF($F1305="","",IFERROR(INDEX(rngEPseq,MATCH($F1305,rngEPcode,0)),""))</f>
        <v/>
      </c>
      <c r="J1305" s="15">
        <f>IF($F1305="","",IFERROR(INDEX(rngEPpass,MATCH($F1305,rngEPcode,0)),cfgPassingScore))</f>
        <v/>
      </c>
      <c r="K1305" s="14" t="n"/>
      <c r="L1305" s="14" t="n"/>
      <c r="M1305" s="15">
        <f>IF($C1305="","",IF($L1305="","",IF($K1305=1,IF(COUNTIFS(nrES_PID,$D1305,nrES_Code,$F1305,nrES_Att,2)&gt;0,"",$L1305),IF(COUNTIFS(nrES_PID,$D1305,nrES_Code,$F1305,nrES_Att,1)=0,$L1305,IF($L1305&gt;=$J1305,cfgRetakeRecordedCap,SUMIFS(nrES_Raw,nrES_PID,$D1305,nrES_Code,$F1305,nrES_Att,1))))))</f>
        <v/>
      </c>
      <c r="N1305" s="15">
        <f>IF($C1305="","",IF($L1305="","",IF($L1305&gt;=$J1305,"Yes","No")))</f>
        <v/>
      </c>
      <c r="O1305" s="15">
        <f>IF($C1305="","",IF($M1305="","",IF($M1305&gt;=$J1305,"Yes","No")))</f>
        <v/>
      </c>
      <c r="P1305" s="15">
        <f>IF($C1305="","",IF($K1305="","",IF(COUNTIFS(nrES_PID,$D1305,nrES_Code,$F1305,nrES_Att,"&gt;"&amp;$K1305)=0,"Yes","No")))</f>
        <v/>
      </c>
      <c r="Q1305" s="15">
        <f>IF($C1305="","",IF($L1305="","",IF(AND($K1305=1,$L1305&lt;$J1305,COUNTIFS(nrES_PID,$D1305,nrES_Code,$F1305,nrES_Att,2)=0),"Yes","No")))</f>
        <v/>
      </c>
      <c r="R1305" s="15">
        <f>IF($C1305="","",IF($L1305="","",IF(AND($K1305=2,$L1305&lt;$J1305,COUNTIFS(nrES_PID,$D1305,nrES_Code,$F1305,nrES_Att,1)&gt;0),"Yes","No")))</f>
        <v/>
      </c>
      <c r="S1305" s="16" t="n"/>
      <c r="T1305" s="17">
        <f>IF($Q1305&lt;&gt;"Yes","",IF($S1305="","(enter date)",_xlfn.LET(_xlpm.dn,IFERROR(_xlfn.XLOOKUP($S1305,nrCDdate,nrCDnum),""),IF(_xlpm.dn="","(not a class day)",IFERROR(_xlfn.XLOOKUP(_xlpm.dn+cfgRetestClassDays,nrCDnum,nrCDdate),"")))))</f>
        <v/>
      </c>
      <c r="U1305" s="15">
        <f>IF($Q1305&lt;&gt;"Yes","",IF(COUNTIFS(nrES_PID,$D1305,nrES_Code,$F1305,nrES_Att,2)&gt;0,"Retested",IF(OR($T1305="",NOT(ISNUMBER($T1305))),"Pending",IF(TODAY()&gt;$T1305,"OVERDUE","Due "&amp;TEXT($T1305,"mm/dd")))))</f>
        <v/>
      </c>
      <c r="V1305" s="14" t="n"/>
      <c r="W1305" s="14" t="n"/>
    </row>
    <row r="1306">
      <c r="B1306" s="15">
        <f>IF($C1306="","",$D1306&amp;"-"&amp;$F1306&amp;"-"&amp;$K1306)</f>
        <v/>
      </c>
      <c r="C1306" s="14" t="n"/>
      <c r="D1306" s="15">
        <f>IF($C1306="","",IFERROR(INDEX(rngCadetPIDs,MATCH($C1306,rngCadetNames,0)),"?"))</f>
        <v/>
      </c>
      <c r="E1306" s="15">
        <f>IF($D1306="","",IFERROR(INDEX(nrCadetAgency,MATCH($D1306,rngCadetPIDs,0)),""))</f>
        <v/>
      </c>
      <c r="F1306" s="14" t="n"/>
      <c r="G1306" s="15">
        <f>IF($F1306="","",IFERROR(INDEX(rngEPname,MATCH($F1306,rngEPcode,0)),"?"))</f>
        <v/>
      </c>
      <c r="H1306" s="15">
        <f>IF($F1306="","",IFERROR(INDEX(rngEPtype,MATCH($F1306,rngEPcode,0)),"?"))</f>
        <v/>
      </c>
      <c r="I1306" s="15">
        <f>IF($F1306="","",IFERROR(INDEX(rngEPseq,MATCH($F1306,rngEPcode,0)),""))</f>
        <v/>
      </c>
      <c r="J1306" s="15">
        <f>IF($F1306="","",IFERROR(INDEX(rngEPpass,MATCH($F1306,rngEPcode,0)),cfgPassingScore))</f>
        <v/>
      </c>
      <c r="K1306" s="14" t="n"/>
      <c r="L1306" s="14" t="n"/>
      <c r="M1306" s="15">
        <f>IF($C1306="","",IF($L1306="","",IF($K1306=1,IF(COUNTIFS(nrES_PID,$D1306,nrES_Code,$F1306,nrES_Att,2)&gt;0,"",$L1306),IF(COUNTIFS(nrES_PID,$D1306,nrES_Code,$F1306,nrES_Att,1)=0,$L1306,IF($L1306&gt;=$J1306,cfgRetakeRecordedCap,SUMIFS(nrES_Raw,nrES_PID,$D1306,nrES_Code,$F1306,nrES_Att,1))))))</f>
        <v/>
      </c>
      <c r="N1306" s="15">
        <f>IF($C1306="","",IF($L1306="","",IF($L1306&gt;=$J1306,"Yes","No")))</f>
        <v/>
      </c>
      <c r="O1306" s="15">
        <f>IF($C1306="","",IF($M1306="","",IF($M1306&gt;=$J1306,"Yes","No")))</f>
        <v/>
      </c>
      <c r="P1306" s="15">
        <f>IF($C1306="","",IF($K1306="","",IF(COUNTIFS(nrES_PID,$D1306,nrES_Code,$F1306,nrES_Att,"&gt;"&amp;$K1306)=0,"Yes","No")))</f>
        <v/>
      </c>
      <c r="Q1306" s="15">
        <f>IF($C1306="","",IF($L1306="","",IF(AND($K1306=1,$L1306&lt;$J1306,COUNTIFS(nrES_PID,$D1306,nrES_Code,$F1306,nrES_Att,2)=0),"Yes","No")))</f>
        <v/>
      </c>
      <c r="R1306" s="15">
        <f>IF($C1306="","",IF($L1306="","",IF(AND($K1306=2,$L1306&lt;$J1306,COUNTIFS(nrES_PID,$D1306,nrES_Code,$F1306,nrES_Att,1)&gt;0),"Yes","No")))</f>
        <v/>
      </c>
      <c r="S1306" s="16" t="n"/>
      <c r="T1306" s="17">
        <f>IF($Q1306&lt;&gt;"Yes","",IF($S1306="","(enter date)",_xlfn.LET(_xlpm.dn,IFERROR(_xlfn.XLOOKUP($S1306,nrCDdate,nrCDnum),""),IF(_xlpm.dn="","(not a class day)",IFERROR(_xlfn.XLOOKUP(_xlpm.dn+cfgRetestClassDays,nrCDnum,nrCDdate),"")))))</f>
        <v/>
      </c>
      <c r="U1306" s="15">
        <f>IF($Q1306&lt;&gt;"Yes","",IF(COUNTIFS(nrES_PID,$D1306,nrES_Code,$F1306,nrES_Att,2)&gt;0,"Retested",IF(OR($T1306="",NOT(ISNUMBER($T1306))),"Pending",IF(TODAY()&gt;$T1306,"OVERDUE","Due "&amp;TEXT($T1306,"mm/dd")))))</f>
        <v/>
      </c>
      <c r="V1306" s="14" t="n"/>
      <c r="W1306" s="14" t="n"/>
    </row>
    <row r="1307">
      <c r="B1307" s="15">
        <f>IF($C1307="","",$D1307&amp;"-"&amp;$F1307&amp;"-"&amp;$K1307)</f>
        <v/>
      </c>
      <c r="C1307" s="14" t="n"/>
      <c r="D1307" s="15">
        <f>IF($C1307="","",IFERROR(INDEX(rngCadetPIDs,MATCH($C1307,rngCadetNames,0)),"?"))</f>
        <v/>
      </c>
      <c r="E1307" s="15">
        <f>IF($D1307="","",IFERROR(INDEX(nrCadetAgency,MATCH($D1307,rngCadetPIDs,0)),""))</f>
        <v/>
      </c>
      <c r="F1307" s="14" t="n"/>
      <c r="G1307" s="15">
        <f>IF($F1307="","",IFERROR(INDEX(rngEPname,MATCH($F1307,rngEPcode,0)),"?"))</f>
        <v/>
      </c>
      <c r="H1307" s="15">
        <f>IF($F1307="","",IFERROR(INDEX(rngEPtype,MATCH($F1307,rngEPcode,0)),"?"))</f>
        <v/>
      </c>
      <c r="I1307" s="15">
        <f>IF($F1307="","",IFERROR(INDEX(rngEPseq,MATCH($F1307,rngEPcode,0)),""))</f>
        <v/>
      </c>
      <c r="J1307" s="15">
        <f>IF($F1307="","",IFERROR(INDEX(rngEPpass,MATCH($F1307,rngEPcode,0)),cfgPassingScore))</f>
        <v/>
      </c>
      <c r="K1307" s="14" t="n"/>
      <c r="L1307" s="14" t="n"/>
      <c r="M1307" s="15">
        <f>IF($C1307="","",IF($L1307="","",IF($K1307=1,IF(COUNTIFS(nrES_PID,$D1307,nrES_Code,$F1307,nrES_Att,2)&gt;0,"",$L1307),IF(COUNTIFS(nrES_PID,$D1307,nrES_Code,$F1307,nrES_Att,1)=0,$L1307,IF($L1307&gt;=$J1307,cfgRetakeRecordedCap,SUMIFS(nrES_Raw,nrES_PID,$D1307,nrES_Code,$F1307,nrES_Att,1))))))</f>
        <v/>
      </c>
      <c r="N1307" s="15">
        <f>IF($C1307="","",IF($L1307="","",IF($L1307&gt;=$J1307,"Yes","No")))</f>
        <v/>
      </c>
      <c r="O1307" s="15">
        <f>IF($C1307="","",IF($M1307="","",IF($M1307&gt;=$J1307,"Yes","No")))</f>
        <v/>
      </c>
      <c r="P1307" s="15">
        <f>IF($C1307="","",IF($K1307="","",IF(COUNTIFS(nrES_PID,$D1307,nrES_Code,$F1307,nrES_Att,"&gt;"&amp;$K1307)=0,"Yes","No")))</f>
        <v/>
      </c>
      <c r="Q1307" s="15">
        <f>IF($C1307="","",IF($L1307="","",IF(AND($K1307=1,$L1307&lt;$J1307,COUNTIFS(nrES_PID,$D1307,nrES_Code,$F1307,nrES_Att,2)=0),"Yes","No")))</f>
        <v/>
      </c>
      <c r="R1307" s="15">
        <f>IF($C1307="","",IF($L1307="","",IF(AND($K1307=2,$L1307&lt;$J1307,COUNTIFS(nrES_PID,$D1307,nrES_Code,$F1307,nrES_Att,1)&gt;0),"Yes","No")))</f>
        <v/>
      </c>
      <c r="S1307" s="16" t="n"/>
      <c r="T1307" s="17">
        <f>IF($Q1307&lt;&gt;"Yes","",IF($S1307="","(enter date)",_xlfn.LET(_xlpm.dn,IFERROR(_xlfn.XLOOKUP($S1307,nrCDdate,nrCDnum),""),IF(_xlpm.dn="","(not a class day)",IFERROR(_xlfn.XLOOKUP(_xlpm.dn+cfgRetestClassDays,nrCDnum,nrCDdate),"")))))</f>
        <v/>
      </c>
      <c r="U1307" s="15">
        <f>IF($Q1307&lt;&gt;"Yes","",IF(COUNTIFS(nrES_PID,$D1307,nrES_Code,$F1307,nrES_Att,2)&gt;0,"Retested",IF(OR($T1307="",NOT(ISNUMBER($T1307))),"Pending",IF(TODAY()&gt;$T1307,"OVERDUE","Due "&amp;TEXT($T1307,"mm/dd")))))</f>
        <v/>
      </c>
      <c r="V1307" s="14" t="n"/>
      <c r="W1307" s="14" t="n"/>
    </row>
    <row r="1308">
      <c r="B1308" s="15">
        <f>IF($C1308="","",$D1308&amp;"-"&amp;$F1308&amp;"-"&amp;$K1308)</f>
        <v/>
      </c>
      <c r="C1308" s="14" t="n"/>
      <c r="D1308" s="15">
        <f>IF($C1308="","",IFERROR(INDEX(rngCadetPIDs,MATCH($C1308,rngCadetNames,0)),"?"))</f>
        <v/>
      </c>
      <c r="E1308" s="15">
        <f>IF($D1308="","",IFERROR(INDEX(nrCadetAgency,MATCH($D1308,rngCadetPIDs,0)),""))</f>
        <v/>
      </c>
      <c r="F1308" s="14" t="n"/>
      <c r="G1308" s="15">
        <f>IF($F1308="","",IFERROR(INDEX(rngEPname,MATCH($F1308,rngEPcode,0)),"?"))</f>
        <v/>
      </c>
      <c r="H1308" s="15">
        <f>IF($F1308="","",IFERROR(INDEX(rngEPtype,MATCH($F1308,rngEPcode,0)),"?"))</f>
        <v/>
      </c>
      <c r="I1308" s="15">
        <f>IF($F1308="","",IFERROR(INDEX(rngEPseq,MATCH($F1308,rngEPcode,0)),""))</f>
        <v/>
      </c>
      <c r="J1308" s="15">
        <f>IF($F1308="","",IFERROR(INDEX(rngEPpass,MATCH($F1308,rngEPcode,0)),cfgPassingScore))</f>
        <v/>
      </c>
      <c r="K1308" s="14" t="n"/>
      <c r="L1308" s="14" t="n"/>
      <c r="M1308" s="15">
        <f>IF($C1308="","",IF($L1308="","",IF($K1308=1,IF(COUNTIFS(nrES_PID,$D1308,nrES_Code,$F1308,nrES_Att,2)&gt;0,"",$L1308),IF(COUNTIFS(nrES_PID,$D1308,nrES_Code,$F1308,nrES_Att,1)=0,$L1308,IF($L1308&gt;=$J1308,cfgRetakeRecordedCap,SUMIFS(nrES_Raw,nrES_PID,$D1308,nrES_Code,$F1308,nrES_Att,1))))))</f>
        <v/>
      </c>
      <c r="N1308" s="15">
        <f>IF($C1308="","",IF($L1308="","",IF($L1308&gt;=$J1308,"Yes","No")))</f>
        <v/>
      </c>
      <c r="O1308" s="15">
        <f>IF($C1308="","",IF($M1308="","",IF($M1308&gt;=$J1308,"Yes","No")))</f>
        <v/>
      </c>
      <c r="P1308" s="15">
        <f>IF($C1308="","",IF($K1308="","",IF(COUNTIFS(nrES_PID,$D1308,nrES_Code,$F1308,nrES_Att,"&gt;"&amp;$K1308)=0,"Yes","No")))</f>
        <v/>
      </c>
      <c r="Q1308" s="15">
        <f>IF($C1308="","",IF($L1308="","",IF(AND($K1308=1,$L1308&lt;$J1308,COUNTIFS(nrES_PID,$D1308,nrES_Code,$F1308,nrES_Att,2)=0),"Yes","No")))</f>
        <v/>
      </c>
      <c r="R1308" s="15">
        <f>IF($C1308="","",IF($L1308="","",IF(AND($K1308=2,$L1308&lt;$J1308,COUNTIFS(nrES_PID,$D1308,nrES_Code,$F1308,nrES_Att,1)&gt;0),"Yes","No")))</f>
        <v/>
      </c>
      <c r="S1308" s="16" t="n"/>
      <c r="T1308" s="17">
        <f>IF($Q1308&lt;&gt;"Yes","",IF($S1308="","(enter date)",_xlfn.LET(_xlpm.dn,IFERROR(_xlfn.XLOOKUP($S1308,nrCDdate,nrCDnum),""),IF(_xlpm.dn="","(not a class day)",IFERROR(_xlfn.XLOOKUP(_xlpm.dn+cfgRetestClassDays,nrCDnum,nrCDdate),"")))))</f>
        <v/>
      </c>
      <c r="U1308" s="15">
        <f>IF($Q1308&lt;&gt;"Yes","",IF(COUNTIFS(nrES_PID,$D1308,nrES_Code,$F1308,nrES_Att,2)&gt;0,"Retested",IF(OR($T1308="",NOT(ISNUMBER($T1308))),"Pending",IF(TODAY()&gt;$T1308,"OVERDUE","Due "&amp;TEXT($T1308,"mm/dd")))))</f>
        <v/>
      </c>
      <c r="V1308" s="14" t="n"/>
      <c r="W1308" s="14" t="n"/>
    </row>
    <row r="1309">
      <c r="B1309" s="15">
        <f>IF($C1309="","",$D1309&amp;"-"&amp;$F1309&amp;"-"&amp;$K1309)</f>
        <v/>
      </c>
      <c r="C1309" s="14" t="n"/>
      <c r="D1309" s="15">
        <f>IF($C1309="","",IFERROR(INDEX(rngCadetPIDs,MATCH($C1309,rngCadetNames,0)),"?"))</f>
        <v/>
      </c>
      <c r="E1309" s="15">
        <f>IF($D1309="","",IFERROR(INDEX(nrCadetAgency,MATCH($D1309,rngCadetPIDs,0)),""))</f>
        <v/>
      </c>
      <c r="F1309" s="14" t="n"/>
      <c r="G1309" s="15">
        <f>IF($F1309="","",IFERROR(INDEX(rngEPname,MATCH($F1309,rngEPcode,0)),"?"))</f>
        <v/>
      </c>
      <c r="H1309" s="15">
        <f>IF($F1309="","",IFERROR(INDEX(rngEPtype,MATCH($F1309,rngEPcode,0)),"?"))</f>
        <v/>
      </c>
      <c r="I1309" s="15">
        <f>IF($F1309="","",IFERROR(INDEX(rngEPseq,MATCH($F1309,rngEPcode,0)),""))</f>
        <v/>
      </c>
      <c r="J1309" s="15">
        <f>IF($F1309="","",IFERROR(INDEX(rngEPpass,MATCH($F1309,rngEPcode,0)),cfgPassingScore))</f>
        <v/>
      </c>
      <c r="K1309" s="14" t="n"/>
      <c r="L1309" s="14" t="n"/>
      <c r="M1309" s="15">
        <f>IF($C1309="","",IF($L1309="","",IF($K1309=1,IF(COUNTIFS(nrES_PID,$D1309,nrES_Code,$F1309,nrES_Att,2)&gt;0,"",$L1309),IF(COUNTIFS(nrES_PID,$D1309,nrES_Code,$F1309,nrES_Att,1)=0,$L1309,IF($L1309&gt;=$J1309,cfgRetakeRecordedCap,SUMIFS(nrES_Raw,nrES_PID,$D1309,nrES_Code,$F1309,nrES_Att,1))))))</f>
        <v/>
      </c>
      <c r="N1309" s="15">
        <f>IF($C1309="","",IF($L1309="","",IF($L1309&gt;=$J1309,"Yes","No")))</f>
        <v/>
      </c>
      <c r="O1309" s="15">
        <f>IF($C1309="","",IF($M1309="","",IF($M1309&gt;=$J1309,"Yes","No")))</f>
        <v/>
      </c>
      <c r="P1309" s="15">
        <f>IF($C1309="","",IF($K1309="","",IF(COUNTIFS(nrES_PID,$D1309,nrES_Code,$F1309,nrES_Att,"&gt;"&amp;$K1309)=0,"Yes","No")))</f>
        <v/>
      </c>
      <c r="Q1309" s="15">
        <f>IF($C1309="","",IF($L1309="","",IF(AND($K1309=1,$L1309&lt;$J1309,COUNTIFS(nrES_PID,$D1309,nrES_Code,$F1309,nrES_Att,2)=0),"Yes","No")))</f>
        <v/>
      </c>
      <c r="R1309" s="15">
        <f>IF($C1309="","",IF($L1309="","",IF(AND($K1309=2,$L1309&lt;$J1309,COUNTIFS(nrES_PID,$D1309,nrES_Code,$F1309,nrES_Att,1)&gt;0),"Yes","No")))</f>
        <v/>
      </c>
      <c r="S1309" s="16" t="n"/>
      <c r="T1309" s="17">
        <f>IF($Q1309&lt;&gt;"Yes","",IF($S1309="","(enter date)",_xlfn.LET(_xlpm.dn,IFERROR(_xlfn.XLOOKUP($S1309,nrCDdate,nrCDnum),""),IF(_xlpm.dn="","(not a class day)",IFERROR(_xlfn.XLOOKUP(_xlpm.dn+cfgRetestClassDays,nrCDnum,nrCDdate),"")))))</f>
        <v/>
      </c>
      <c r="U1309" s="15">
        <f>IF($Q1309&lt;&gt;"Yes","",IF(COUNTIFS(nrES_PID,$D1309,nrES_Code,$F1309,nrES_Att,2)&gt;0,"Retested",IF(OR($T1309="",NOT(ISNUMBER($T1309))),"Pending",IF(TODAY()&gt;$T1309,"OVERDUE","Due "&amp;TEXT($T1309,"mm/dd")))))</f>
        <v/>
      </c>
      <c r="V1309" s="14" t="n"/>
      <c r="W1309" s="14" t="n"/>
    </row>
    <row r="1310">
      <c r="B1310" s="15">
        <f>IF($C1310="","",$D1310&amp;"-"&amp;$F1310&amp;"-"&amp;$K1310)</f>
        <v/>
      </c>
      <c r="C1310" s="14" t="n"/>
      <c r="D1310" s="15">
        <f>IF($C1310="","",IFERROR(INDEX(rngCadetPIDs,MATCH($C1310,rngCadetNames,0)),"?"))</f>
        <v/>
      </c>
      <c r="E1310" s="15">
        <f>IF($D1310="","",IFERROR(INDEX(nrCadetAgency,MATCH($D1310,rngCadetPIDs,0)),""))</f>
        <v/>
      </c>
      <c r="F1310" s="14" t="n"/>
      <c r="G1310" s="15">
        <f>IF($F1310="","",IFERROR(INDEX(rngEPname,MATCH($F1310,rngEPcode,0)),"?"))</f>
        <v/>
      </c>
      <c r="H1310" s="15">
        <f>IF($F1310="","",IFERROR(INDEX(rngEPtype,MATCH($F1310,rngEPcode,0)),"?"))</f>
        <v/>
      </c>
      <c r="I1310" s="15">
        <f>IF($F1310="","",IFERROR(INDEX(rngEPseq,MATCH($F1310,rngEPcode,0)),""))</f>
        <v/>
      </c>
      <c r="J1310" s="15">
        <f>IF($F1310="","",IFERROR(INDEX(rngEPpass,MATCH($F1310,rngEPcode,0)),cfgPassingScore))</f>
        <v/>
      </c>
      <c r="K1310" s="14" t="n"/>
      <c r="L1310" s="14" t="n"/>
      <c r="M1310" s="15">
        <f>IF($C1310="","",IF($L1310="","",IF($K1310=1,IF(COUNTIFS(nrES_PID,$D1310,nrES_Code,$F1310,nrES_Att,2)&gt;0,"",$L1310),IF(COUNTIFS(nrES_PID,$D1310,nrES_Code,$F1310,nrES_Att,1)=0,$L1310,IF($L1310&gt;=$J1310,cfgRetakeRecordedCap,SUMIFS(nrES_Raw,nrES_PID,$D1310,nrES_Code,$F1310,nrES_Att,1))))))</f>
        <v/>
      </c>
      <c r="N1310" s="15">
        <f>IF($C1310="","",IF($L1310="","",IF($L1310&gt;=$J1310,"Yes","No")))</f>
        <v/>
      </c>
      <c r="O1310" s="15">
        <f>IF($C1310="","",IF($M1310="","",IF($M1310&gt;=$J1310,"Yes","No")))</f>
        <v/>
      </c>
      <c r="P1310" s="15">
        <f>IF($C1310="","",IF($K1310="","",IF(COUNTIFS(nrES_PID,$D1310,nrES_Code,$F1310,nrES_Att,"&gt;"&amp;$K1310)=0,"Yes","No")))</f>
        <v/>
      </c>
      <c r="Q1310" s="15">
        <f>IF($C1310="","",IF($L1310="","",IF(AND($K1310=1,$L1310&lt;$J1310,COUNTIFS(nrES_PID,$D1310,nrES_Code,$F1310,nrES_Att,2)=0),"Yes","No")))</f>
        <v/>
      </c>
      <c r="R1310" s="15">
        <f>IF($C1310="","",IF($L1310="","",IF(AND($K1310=2,$L1310&lt;$J1310,COUNTIFS(nrES_PID,$D1310,nrES_Code,$F1310,nrES_Att,1)&gt;0),"Yes","No")))</f>
        <v/>
      </c>
      <c r="S1310" s="16" t="n"/>
      <c r="T1310" s="17">
        <f>IF($Q1310&lt;&gt;"Yes","",IF($S1310="","(enter date)",_xlfn.LET(_xlpm.dn,IFERROR(_xlfn.XLOOKUP($S1310,nrCDdate,nrCDnum),""),IF(_xlpm.dn="","(not a class day)",IFERROR(_xlfn.XLOOKUP(_xlpm.dn+cfgRetestClassDays,nrCDnum,nrCDdate),"")))))</f>
        <v/>
      </c>
      <c r="U1310" s="15">
        <f>IF($Q1310&lt;&gt;"Yes","",IF(COUNTIFS(nrES_PID,$D1310,nrES_Code,$F1310,nrES_Att,2)&gt;0,"Retested",IF(OR($T1310="",NOT(ISNUMBER($T1310))),"Pending",IF(TODAY()&gt;$T1310,"OVERDUE","Due "&amp;TEXT($T1310,"mm/dd")))))</f>
        <v/>
      </c>
      <c r="V1310" s="14" t="n"/>
      <c r="W1310" s="14" t="n"/>
    </row>
    <row r="1311">
      <c r="B1311" s="15">
        <f>IF($C1311="","",$D1311&amp;"-"&amp;$F1311&amp;"-"&amp;$K1311)</f>
        <v/>
      </c>
      <c r="C1311" s="14" t="n"/>
      <c r="D1311" s="15">
        <f>IF($C1311="","",IFERROR(INDEX(rngCadetPIDs,MATCH($C1311,rngCadetNames,0)),"?"))</f>
        <v/>
      </c>
      <c r="E1311" s="15">
        <f>IF($D1311="","",IFERROR(INDEX(nrCadetAgency,MATCH($D1311,rngCadetPIDs,0)),""))</f>
        <v/>
      </c>
      <c r="F1311" s="14" t="n"/>
      <c r="G1311" s="15">
        <f>IF($F1311="","",IFERROR(INDEX(rngEPname,MATCH($F1311,rngEPcode,0)),"?"))</f>
        <v/>
      </c>
      <c r="H1311" s="15">
        <f>IF($F1311="","",IFERROR(INDEX(rngEPtype,MATCH($F1311,rngEPcode,0)),"?"))</f>
        <v/>
      </c>
      <c r="I1311" s="15">
        <f>IF($F1311="","",IFERROR(INDEX(rngEPseq,MATCH($F1311,rngEPcode,0)),""))</f>
        <v/>
      </c>
      <c r="J1311" s="15">
        <f>IF($F1311="","",IFERROR(INDEX(rngEPpass,MATCH($F1311,rngEPcode,0)),cfgPassingScore))</f>
        <v/>
      </c>
      <c r="K1311" s="14" t="n"/>
      <c r="L1311" s="14" t="n"/>
      <c r="M1311" s="15">
        <f>IF($C1311="","",IF($L1311="","",IF($K1311=1,IF(COUNTIFS(nrES_PID,$D1311,nrES_Code,$F1311,nrES_Att,2)&gt;0,"",$L1311),IF(COUNTIFS(nrES_PID,$D1311,nrES_Code,$F1311,nrES_Att,1)=0,$L1311,IF($L1311&gt;=$J1311,cfgRetakeRecordedCap,SUMIFS(nrES_Raw,nrES_PID,$D1311,nrES_Code,$F1311,nrES_Att,1))))))</f>
        <v/>
      </c>
      <c r="N1311" s="15">
        <f>IF($C1311="","",IF($L1311="","",IF($L1311&gt;=$J1311,"Yes","No")))</f>
        <v/>
      </c>
      <c r="O1311" s="15">
        <f>IF($C1311="","",IF($M1311="","",IF($M1311&gt;=$J1311,"Yes","No")))</f>
        <v/>
      </c>
      <c r="P1311" s="15">
        <f>IF($C1311="","",IF($K1311="","",IF(COUNTIFS(nrES_PID,$D1311,nrES_Code,$F1311,nrES_Att,"&gt;"&amp;$K1311)=0,"Yes","No")))</f>
        <v/>
      </c>
      <c r="Q1311" s="15">
        <f>IF($C1311="","",IF($L1311="","",IF(AND($K1311=1,$L1311&lt;$J1311,COUNTIFS(nrES_PID,$D1311,nrES_Code,$F1311,nrES_Att,2)=0),"Yes","No")))</f>
        <v/>
      </c>
      <c r="R1311" s="15">
        <f>IF($C1311="","",IF($L1311="","",IF(AND($K1311=2,$L1311&lt;$J1311,COUNTIFS(nrES_PID,$D1311,nrES_Code,$F1311,nrES_Att,1)&gt;0),"Yes","No")))</f>
        <v/>
      </c>
      <c r="S1311" s="16" t="n"/>
      <c r="T1311" s="17">
        <f>IF($Q1311&lt;&gt;"Yes","",IF($S1311="","(enter date)",_xlfn.LET(_xlpm.dn,IFERROR(_xlfn.XLOOKUP($S1311,nrCDdate,nrCDnum),""),IF(_xlpm.dn="","(not a class day)",IFERROR(_xlfn.XLOOKUP(_xlpm.dn+cfgRetestClassDays,nrCDnum,nrCDdate),"")))))</f>
        <v/>
      </c>
      <c r="U1311" s="15">
        <f>IF($Q1311&lt;&gt;"Yes","",IF(COUNTIFS(nrES_PID,$D1311,nrES_Code,$F1311,nrES_Att,2)&gt;0,"Retested",IF(OR($T1311="",NOT(ISNUMBER($T1311))),"Pending",IF(TODAY()&gt;$T1311,"OVERDUE","Due "&amp;TEXT($T1311,"mm/dd")))))</f>
        <v/>
      </c>
      <c r="V1311" s="14" t="n"/>
      <c r="W1311" s="14" t="n"/>
    </row>
    <row r="1312">
      <c r="B1312" s="15">
        <f>IF($C1312="","",$D1312&amp;"-"&amp;$F1312&amp;"-"&amp;$K1312)</f>
        <v/>
      </c>
      <c r="C1312" s="14" t="n"/>
      <c r="D1312" s="15">
        <f>IF($C1312="","",IFERROR(INDEX(rngCadetPIDs,MATCH($C1312,rngCadetNames,0)),"?"))</f>
        <v/>
      </c>
      <c r="E1312" s="15">
        <f>IF($D1312="","",IFERROR(INDEX(nrCadetAgency,MATCH($D1312,rngCadetPIDs,0)),""))</f>
        <v/>
      </c>
      <c r="F1312" s="14" t="n"/>
      <c r="G1312" s="15">
        <f>IF($F1312="","",IFERROR(INDEX(rngEPname,MATCH($F1312,rngEPcode,0)),"?"))</f>
        <v/>
      </c>
      <c r="H1312" s="15">
        <f>IF($F1312="","",IFERROR(INDEX(rngEPtype,MATCH($F1312,rngEPcode,0)),"?"))</f>
        <v/>
      </c>
      <c r="I1312" s="15">
        <f>IF($F1312="","",IFERROR(INDEX(rngEPseq,MATCH($F1312,rngEPcode,0)),""))</f>
        <v/>
      </c>
      <c r="J1312" s="15">
        <f>IF($F1312="","",IFERROR(INDEX(rngEPpass,MATCH($F1312,rngEPcode,0)),cfgPassingScore))</f>
        <v/>
      </c>
      <c r="K1312" s="14" t="n"/>
      <c r="L1312" s="14" t="n"/>
      <c r="M1312" s="15">
        <f>IF($C1312="","",IF($L1312="","",IF($K1312=1,IF(COUNTIFS(nrES_PID,$D1312,nrES_Code,$F1312,nrES_Att,2)&gt;0,"",$L1312),IF(COUNTIFS(nrES_PID,$D1312,nrES_Code,$F1312,nrES_Att,1)=0,$L1312,IF($L1312&gt;=$J1312,cfgRetakeRecordedCap,SUMIFS(nrES_Raw,nrES_PID,$D1312,nrES_Code,$F1312,nrES_Att,1))))))</f>
        <v/>
      </c>
      <c r="N1312" s="15">
        <f>IF($C1312="","",IF($L1312="","",IF($L1312&gt;=$J1312,"Yes","No")))</f>
        <v/>
      </c>
      <c r="O1312" s="15">
        <f>IF($C1312="","",IF($M1312="","",IF($M1312&gt;=$J1312,"Yes","No")))</f>
        <v/>
      </c>
      <c r="P1312" s="15">
        <f>IF($C1312="","",IF($K1312="","",IF(COUNTIFS(nrES_PID,$D1312,nrES_Code,$F1312,nrES_Att,"&gt;"&amp;$K1312)=0,"Yes","No")))</f>
        <v/>
      </c>
      <c r="Q1312" s="15">
        <f>IF($C1312="","",IF($L1312="","",IF(AND($K1312=1,$L1312&lt;$J1312,COUNTIFS(nrES_PID,$D1312,nrES_Code,$F1312,nrES_Att,2)=0),"Yes","No")))</f>
        <v/>
      </c>
      <c r="R1312" s="15">
        <f>IF($C1312="","",IF($L1312="","",IF(AND($K1312=2,$L1312&lt;$J1312,COUNTIFS(nrES_PID,$D1312,nrES_Code,$F1312,nrES_Att,1)&gt;0),"Yes","No")))</f>
        <v/>
      </c>
      <c r="S1312" s="16" t="n"/>
      <c r="T1312" s="17">
        <f>IF($Q1312&lt;&gt;"Yes","",IF($S1312="","(enter date)",_xlfn.LET(_xlpm.dn,IFERROR(_xlfn.XLOOKUP($S1312,nrCDdate,nrCDnum),""),IF(_xlpm.dn="","(not a class day)",IFERROR(_xlfn.XLOOKUP(_xlpm.dn+cfgRetestClassDays,nrCDnum,nrCDdate),"")))))</f>
        <v/>
      </c>
      <c r="U1312" s="15">
        <f>IF($Q1312&lt;&gt;"Yes","",IF(COUNTIFS(nrES_PID,$D1312,nrES_Code,$F1312,nrES_Att,2)&gt;0,"Retested",IF(OR($T1312="",NOT(ISNUMBER($T1312))),"Pending",IF(TODAY()&gt;$T1312,"OVERDUE","Due "&amp;TEXT($T1312,"mm/dd")))))</f>
        <v/>
      </c>
      <c r="V1312" s="14" t="n"/>
      <c r="W1312" s="14" t="n"/>
    </row>
    <row r="1313">
      <c r="B1313" s="15">
        <f>IF($C1313="","",$D1313&amp;"-"&amp;$F1313&amp;"-"&amp;$K1313)</f>
        <v/>
      </c>
      <c r="C1313" s="14" t="n"/>
      <c r="D1313" s="15">
        <f>IF($C1313="","",IFERROR(INDEX(rngCadetPIDs,MATCH($C1313,rngCadetNames,0)),"?"))</f>
        <v/>
      </c>
      <c r="E1313" s="15">
        <f>IF($D1313="","",IFERROR(INDEX(nrCadetAgency,MATCH($D1313,rngCadetPIDs,0)),""))</f>
        <v/>
      </c>
      <c r="F1313" s="14" t="n"/>
      <c r="G1313" s="15">
        <f>IF($F1313="","",IFERROR(INDEX(rngEPname,MATCH($F1313,rngEPcode,0)),"?"))</f>
        <v/>
      </c>
      <c r="H1313" s="15">
        <f>IF($F1313="","",IFERROR(INDEX(rngEPtype,MATCH($F1313,rngEPcode,0)),"?"))</f>
        <v/>
      </c>
      <c r="I1313" s="15">
        <f>IF($F1313="","",IFERROR(INDEX(rngEPseq,MATCH($F1313,rngEPcode,0)),""))</f>
        <v/>
      </c>
      <c r="J1313" s="15">
        <f>IF($F1313="","",IFERROR(INDEX(rngEPpass,MATCH($F1313,rngEPcode,0)),cfgPassingScore))</f>
        <v/>
      </c>
      <c r="K1313" s="14" t="n"/>
      <c r="L1313" s="14" t="n"/>
      <c r="M1313" s="15">
        <f>IF($C1313="","",IF($L1313="","",IF($K1313=1,IF(COUNTIFS(nrES_PID,$D1313,nrES_Code,$F1313,nrES_Att,2)&gt;0,"",$L1313),IF(COUNTIFS(nrES_PID,$D1313,nrES_Code,$F1313,nrES_Att,1)=0,$L1313,IF($L1313&gt;=$J1313,cfgRetakeRecordedCap,SUMIFS(nrES_Raw,nrES_PID,$D1313,nrES_Code,$F1313,nrES_Att,1))))))</f>
        <v/>
      </c>
      <c r="N1313" s="15">
        <f>IF($C1313="","",IF($L1313="","",IF($L1313&gt;=$J1313,"Yes","No")))</f>
        <v/>
      </c>
      <c r="O1313" s="15">
        <f>IF($C1313="","",IF($M1313="","",IF($M1313&gt;=$J1313,"Yes","No")))</f>
        <v/>
      </c>
      <c r="P1313" s="15">
        <f>IF($C1313="","",IF($K1313="","",IF(COUNTIFS(nrES_PID,$D1313,nrES_Code,$F1313,nrES_Att,"&gt;"&amp;$K1313)=0,"Yes","No")))</f>
        <v/>
      </c>
      <c r="Q1313" s="15">
        <f>IF($C1313="","",IF($L1313="","",IF(AND($K1313=1,$L1313&lt;$J1313,COUNTIFS(nrES_PID,$D1313,nrES_Code,$F1313,nrES_Att,2)=0),"Yes","No")))</f>
        <v/>
      </c>
      <c r="R1313" s="15">
        <f>IF($C1313="","",IF($L1313="","",IF(AND($K1313=2,$L1313&lt;$J1313,COUNTIFS(nrES_PID,$D1313,nrES_Code,$F1313,nrES_Att,1)&gt;0),"Yes","No")))</f>
        <v/>
      </c>
      <c r="S1313" s="16" t="n"/>
      <c r="T1313" s="17">
        <f>IF($Q1313&lt;&gt;"Yes","",IF($S1313="","(enter date)",_xlfn.LET(_xlpm.dn,IFERROR(_xlfn.XLOOKUP($S1313,nrCDdate,nrCDnum),""),IF(_xlpm.dn="","(not a class day)",IFERROR(_xlfn.XLOOKUP(_xlpm.dn+cfgRetestClassDays,nrCDnum,nrCDdate),"")))))</f>
        <v/>
      </c>
      <c r="U1313" s="15">
        <f>IF($Q1313&lt;&gt;"Yes","",IF(COUNTIFS(nrES_PID,$D1313,nrES_Code,$F1313,nrES_Att,2)&gt;0,"Retested",IF(OR($T1313="",NOT(ISNUMBER($T1313))),"Pending",IF(TODAY()&gt;$T1313,"OVERDUE","Due "&amp;TEXT($T1313,"mm/dd")))))</f>
        <v/>
      </c>
      <c r="V1313" s="14" t="n"/>
      <c r="W1313" s="14" t="n"/>
    </row>
    <row r="1314">
      <c r="B1314" s="15">
        <f>IF($C1314="","",$D1314&amp;"-"&amp;$F1314&amp;"-"&amp;$K1314)</f>
        <v/>
      </c>
      <c r="C1314" s="14" t="n"/>
      <c r="D1314" s="15">
        <f>IF($C1314="","",IFERROR(INDEX(rngCadetPIDs,MATCH($C1314,rngCadetNames,0)),"?"))</f>
        <v/>
      </c>
      <c r="E1314" s="15">
        <f>IF($D1314="","",IFERROR(INDEX(nrCadetAgency,MATCH($D1314,rngCadetPIDs,0)),""))</f>
        <v/>
      </c>
      <c r="F1314" s="14" t="n"/>
      <c r="G1314" s="15">
        <f>IF($F1314="","",IFERROR(INDEX(rngEPname,MATCH($F1314,rngEPcode,0)),"?"))</f>
        <v/>
      </c>
      <c r="H1314" s="15">
        <f>IF($F1314="","",IFERROR(INDEX(rngEPtype,MATCH($F1314,rngEPcode,0)),"?"))</f>
        <v/>
      </c>
      <c r="I1314" s="15">
        <f>IF($F1314="","",IFERROR(INDEX(rngEPseq,MATCH($F1314,rngEPcode,0)),""))</f>
        <v/>
      </c>
      <c r="J1314" s="15">
        <f>IF($F1314="","",IFERROR(INDEX(rngEPpass,MATCH($F1314,rngEPcode,0)),cfgPassingScore))</f>
        <v/>
      </c>
      <c r="K1314" s="14" t="n"/>
      <c r="L1314" s="14" t="n"/>
      <c r="M1314" s="15">
        <f>IF($C1314="","",IF($L1314="","",IF($K1314=1,IF(COUNTIFS(nrES_PID,$D1314,nrES_Code,$F1314,nrES_Att,2)&gt;0,"",$L1314),IF(COUNTIFS(nrES_PID,$D1314,nrES_Code,$F1314,nrES_Att,1)=0,$L1314,IF($L1314&gt;=$J1314,cfgRetakeRecordedCap,SUMIFS(nrES_Raw,nrES_PID,$D1314,nrES_Code,$F1314,nrES_Att,1))))))</f>
        <v/>
      </c>
      <c r="N1314" s="15">
        <f>IF($C1314="","",IF($L1314="","",IF($L1314&gt;=$J1314,"Yes","No")))</f>
        <v/>
      </c>
      <c r="O1314" s="15">
        <f>IF($C1314="","",IF($M1314="","",IF($M1314&gt;=$J1314,"Yes","No")))</f>
        <v/>
      </c>
      <c r="P1314" s="15">
        <f>IF($C1314="","",IF($K1314="","",IF(COUNTIFS(nrES_PID,$D1314,nrES_Code,$F1314,nrES_Att,"&gt;"&amp;$K1314)=0,"Yes","No")))</f>
        <v/>
      </c>
      <c r="Q1314" s="15">
        <f>IF($C1314="","",IF($L1314="","",IF(AND($K1314=1,$L1314&lt;$J1314,COUNTIFS(nrES_PID,$D1314,nrES_Code,$F1314,nrES_Att,2)=0),"Yes","No")))</f>
        <v/>
      </c>
      <c r="R1314" s="15">
        <f>IF($C1314="","",IF($L1314="","",IF(AND($K1314=2,$L1314&lt;$J1314,COUNTIFS(nrES_PID,$D1314,nrES_Code,$F1314,nrES_Att,1)&gt;0),"Yes","No")))</f>
        <v/>
      </c>
      <c r="S1314" s="16" t="n"/>
      <c r="T1314" s="17">
        <f>IF($Q1314&lt;&gt;"Yes","",IF($S1314="","(enter date)",_xlfn.LET(_xlpm.dn,IFERROR(_xlfn.XLOOKUP($S1314,nrCDdate,nrCDnum),""),IF(_xlpm.dn="","(not a class day)",IFERROR(_xlfn.XLOOKUP(_xlpm.dn+cfgRetestClassDays,nrCDnum,nrCDdate),"")))))</f>
        <v/>
      </c>
      <c r="U1314" s="15">
        <f>IF($Q1314&lt;&gt;"Yes","",IF(COUNTIFS(nrES_PID,$D1314,nrES_Code,$F1314,nrES_Att,2)&gt;0,"Retested",IF(OR($T1314="",NOT(ISNUMBER($T1314))),"Pending",IF(TODAY()&gt;$T1314,"OVERDUE","Due "&amp;TEXT($T1314,"mm/dd")))))</f>
        <v/>
      </c>
      <c r="V1314" s="14" t="n"/>
      <c r="W1314" s="14" t="n"/>
    </row>
    <row r="1315">
      <c r="B1315" s="15">
        <f>IF($C1315="","",$D1315&amp;"-"&amp;$F1315&amp;"-"&amp;$K1315)</f>
        <v/>
      </c>
      <c r="C1315" s="14" t="n"/>
      <c r="D1315" s="15">
        <f>IF($C1315="","",IFERROR(INDEX(rngCadetPIDs,MATCH($C1315,rngCadetNames,0)),"?"))</f>
        <v/>
      </c>
      <c r="E1315" s="15">
        <f>IF($D1315="","",IFERROR(INDEX(nrCadetAgency,MATCH($D1315,rngCadetPIDs,0)),""))</f>
        <v/>
      </c>
      <c r="F1315" s="14" t="n"/>
      <c r="G1315" s="15">
        <f>IF($F1315="","",IFERROR(INDEX(rngEPname,MATCH($F1315,rngEPcode,0)),"?"))</f>
        <v/>
      </c>
      <c r="H1315" s="15">
        <f>IF($F1315="","",IFERROR(INDEX(rngEPtype,MATCH($F1315,rngEPcode,0)),"?"))</f>
        <v/>
      </c>
      <c r="I1315" s="15">
        <f>IF($F1315="","",IFERROR(INDEX(rngEPseq,MATCH($F1315,rngEPcode,0)),""))</f>
        <v/>
      </c>
      <c r="J1315" s="15">
        <f>IF($F1315="","",IFERROR(INDEX(rngEPpass,MATCH($F1315,rngEPcode,0)),cfgPassingScore))</f>
        <v/>
      </c>
      <c r="K1315" s="14" t="n"/>
      <c r="L1315" s="14" t="n"/>
      <c r="M1315" s="15">
        <f>IF($C1315="","",IF($L1315="","",IF($K1315=1,IF(COUNTIFS(nrES_PID,$D1315,nrES_Code,$F1315,nrES_Att,2)&gt;0,"",$L1315),IF(COUNTIFS(nrES_PID,$D1315,nrES_Code,$F1315,nrES_Att,1)=0,$L1315,IF($L1315&gt;=$J1315,cfgRetakeRecordedCap,SUMIFS(nrES_Raw,nrES_PID,$D1315,nrES_Code,$F1315,nrES_Att,1))))))</f>
        <v/>
      </c>
      <c r="N1315" s="15">
        <f>IF($C1315="","",IF($L1315="","",IF($L1315&gt;=$J1315,"Yes","No")))</f>
        <v/>
      </c>
      <c r="O1315" s="15">
        <f>IF($C1315="","",IF($M1315="","",IF($M1315&gt;=$J1315,"Yes","No")))</f>
        <v/>
      </c>
      <c r="P1315" s="15">
        <f>IF($C1315="","",IF($K1315="","",IF(COUNTIFS(nrES_PID,$D1315,nrES_Code,$F1315,nrES_Att,"&gt;"&amp;$K1315)=0,"Yes","No")))</f>
        <v/>
      </c>
      <c r="Q1315" s="15">
        <f>IF($C1315="","",IF($L1315="","",IF(AND($K1315=1,$L1315&lt;$J1315,COUNTIFS(nrES_PID,$D1315,nrES_Code,$F1315,nrES_Att,2)=0),"Yes","No")))</f>
        <v/>
      </c>
      <c r="R1315" s="15">
        <f>IF($C1315="","",IF($L1315="","",IF(AND($K1315=2,$L1315&lt;$J1315,COUNTIFS(nrES_PID,$D1315,nrES_Code,$F1315,nrES_Att,1)&gt;0),"Yes","No")))</f>
        <v/>
      </c>
      <c r="S1315" s="16" t="n"/>
      <c r="T1315" s="17">
        <f>IF($Q1315&lt;&gt;"Yes","",IF($S1315="","(enter date)",_xlfn.LET(_xlpm.dn,IFERROR(_xlfn.XLOOKUP($S1315,nrCDdate,nrCDnum),""),IF(_xlpm.dn="","(not a class day)",IFERROR(_xlfn.XLOOKUP(_xlpm.dn+cfgRetestClassDays,nrCDnum,nrCDdate),"")))))</f>
        <v/>
      </c>
      <c r="U1315" s="15">
        <f>IF($Q1315&lt;&gt;"Yes","",IF(COUNTIFS(nrES_PID,$D1315,nrES_Code,$F1315,nrES_Att,2)&gt;0,"Retested",IF(OR($T1315="",NOT(ISNUMBER($T1315))),"Pending",IF(TODAY()&gt;$T1315,"OVERDUE","Due "&amp;TEXT($T1315,"mm/dd")))))</f>
        <v/>
      </c>
      <c r="V1315" s="14" t="n"/>
      <c r="W1315" s="14" t="n"/>
    </row>
    <row r="1316">
      <c r="B1316" s="15">
        <f>IF($C1316="","",$D1316&amp;"-"&amp;$F1316&amp;"-"&amp;$K1316)</f>
        <v/>
      </c>
      <c r="C1316" s="14" t="n"/>
      <c r="D1316" s="15">
        <f>IF($C1316="","",IFERROR(INDEX(rngCadetPIDs,MATCH($C1316,rngCadetNames,0)),"?"))</f>
        <v/>
      </c>
      <c r="E1316" s="15">
        <f>IF($D1316="","",IFERROR(INDEX(nrCadetAgency,MATCH($D1316,rngCadetPIDs,0)),""))</f>
        <v/>
      </c>
      <c r="F1316" s="14" t="n"/>
      <c r="G1316" s="15">
        <f>IF($F1316="","",IFERROR(INDEX(rngEPname,MATCH($F1316,rngEPcode,0)),"?"))</f>
        <v/>
      </c>
      <c r="H1316" s="15">
        <f>IF($F1316="","",IFERROR(INDEX(rngEPtype,MATCH($F1316,rngEPcode,0)),"?"))</f>
        <v/>
      </c>
      <c r="I1316" s="15">
        <f>IF($F1316="","",IFERROR(INDEX(rngEPseq,MATCH($F1316,rngEPcode,0)),""))</f>
        <v/>
      </c>
      <c r="J1316" s="15">
        <f>IF($F1316="","",IFERROR(INDEX(rngEPpass,MATCH($F1316,rngEPcode,0)),cfgPassingScore))</f>
        <v/>
      </c>
      <c r="K1316" s="14" t="n"/>
      <c r="L1316" s="14" t="n"/>
      <c r="M1316" s="15">
        <f>IF($C1316="","",IF($L1316="","",IF($K1316=1,IF(COUNTIFS(nrES_PID,$D1316,nrES_Code,$F1316,nrES_Att,2)&gt;0,"",$L1316),IF(COUNTIFS(nrES_PID,$D1316,nrES_Code,$F1316,nrES_Att,1)=0,$L1316,IF($L1316&gt;=$J1316,cfgRetakeRecordedCap,SUMIFS(nrES_Raw,nrES_PID,$D1316,nrES_Code,$F1316,nrES_Att,1))))))</f>
        <v/>
      </c>
      <c r="N1316" s="15">
        <f>IF($C1316="","",IF($L1316="","",IF($L1316&gt;=$J1316,"Yes","No")))</f>
        <v/>
      </c>
      <c r="O1316" s="15">
        <f>IF($C1316="","",IF($M1316="","",IF($M1316&gt;=$J1316,"Yes","No")))</f>
        <v/>
      </c>
      <c r="P1316" s="15">
        <f>IF($C1316="","",IF($K1316="","",IF(COUNTIFS(nrES_PID,$D1316,nrES_Code,$F1316,nrES_Att,"&gt;"&amp;$K1316)=0,"Yes","No")))</f>
        <v/>
      </c>
      <c r="Q1316" s="15">
        <f>IF($C1316="","",IF($L1316="","",IF(AND($K1316=1,$L1316&lt;$J1316,COUNTIFS(nrES_PID,$D1316,nrES_Code,$F1316,nrES_Att,2)=0),"Yes","No")))</f>
        <v/>
      </c>
      <c r="R1316" s="15">
        <f>IF($C1316="","",IF($L1316="","",IF(AND($K1316=2,$L1316&lt;$J1316,COUNTIFS(nrES_PID,$D1316,nrES_Code,$F1316,nrES_Att,1)&gt;0),"Yes","No")))</f>
        <v/>
      </c>
      <c r="S1316" s="16" t="n"/>
      <c r="T1316" s="17">
        <f>IF($Q1316&lt;&gt;"Yes","",IF($S1316="","(enter date)",_xlfn.LET(_xlpm.dn,IFERROR(_xlfn.XLOOKUP($S1316,nrCDdate,nrCDnum),""),IF(_xlpm.dn="","(not a class day)",IFERROR(_xlfn.XLOOKUP(_xlpm.dn+cfgRetestClassDays,nrCDnum,nrCDdate),"")))))</f>
        <v/>
      </c>
      <c r="U1316" s="15">
        <f>IF($Q1316&lt;&gt;"Yes","",IF(COUNTIFS(nrES_PID,$D1316,nrES_Code,$F1316,nrES_Att,2)&gt;0,"Retested",IF(OR($T1316="",NOT(ISNUMBER($T1316))),"Pending",IF(TODAY()&gt;$T1316,"OVERDUE","Due "&amp;TEXT($T1316,"mm/dd")))))</f>
        <v/>
      </c>
      <c r="V1316" s="14" t="n"/>
      <c r="W1316" s="14" t="n"/>
    </row>
    <row r="1317">
      <c r="B1317" s="15">
        <f>IF($C1317="","",$D1317&amp;"-"&amp;$F1317&amp;"-"&amp;$K1317)</f>
        <v/>
      </c>
      <c r="C1317" s="14" t="n"/>
      <c r="D1317" s="15">
        <f>IF($C1317="","",IFERROR(INDEX(rngCadetPIDs,MATCH($C1317,rngCadetNames,0)),"?"))</f>
        <v/>
      </c>
      <c r="E1317" s="15">
        <f>IF($D1317="","",IFERROR(INDEX(nrCadetAgency,MATCH($D1317,rngCadetPIDs,0)),""))</f>
        <v/>
      </c>
      <c r="F1317" s="14" t="n"/>
      <c r="G1317" s="15">
        <f>IF($F1317="","",IFERROR(INDEX(rngEPname,MATCH($F1317,rngEPcode,0)),"?"))</f>
        <v/>
      </c>
      <c r="H1317" s="15">
        <f>IF($F1317="","",IFERROR(INDEX(rngEPtype,MATCH($F1317,rngEPcode,0)),"?"))</f>
        <v/>
      </c>
      <c r="I1317" s="15">
        <f>IF($F1317="","",IFERROR(INDEX(rngEPseq,MATCH($F1317,rngEPcode,0)),""))</f>
        <v/>
      </c>
      <c r="J1317" s="15">
        <f>IF($F1317="","",IFERROR(INDEX(rngEPpass,MATCH($F1317,rngEPcode,0)),cfgPassingScore))</f>
        <v/>
      </c>
      <c r="K1317" s="14" t="n"/>
      <c r="L1317" s="14" t="n"/>
      <c r="M1317" s="15">
        <f>IF($C1317="","",IF($L1317="","",IF($K1317=1,IF(COUNTIFS(nrES_PID,$D1317,nrES_Code,$F1317,nrES_Att,2)&gt;0,"",$L1317),IF(COUNTIFS(nrES_PID,$D1317,nrES_Code,$F1317,nrES_Att,1)=0,$L1317,IF($L1317&gt;=$J1317,cfgRetakeRecordedCap,SUMIFS(nrES_Raw,nrES_PID,$D1317,nrES_Code,$F1317,nrES_Att,1))))))</f>
        <v/>
      </c>
      <c r="N1317" s="15">
        <f>IF($C1317="","",IF($L1317="","",IF($L1317&gt;=$J1317,"Yes","No")))</f>
        <v/>
      </c>
      <c r="O1317" s="15">
        <f>IF($C1317="","",IF($M1317="","",IF($M1317&gt;=$J1317,"Yes","No")))</f>
        <v/>
      </c>
      <c r="P1317" s="15">
        <f>IF($C1317="","",IF($K1317="","",IF(COUNTIFS(nrES_PID,$D1317,nrES_Code,$F1317,nrES_Att,"&gt;"&amp;$K1317)=0,"Yes","No")))</f>
        <v/>
      </c>
      <c r="Q1317" s="15">
        <f>IF($C1317="","",IF($L1317="","",IF(AND($K1317=1,$L1317&lt;$J1317,COUNTIFS(nrES_PID,$D1317,nrES_Code,$F1317,nrES_Att,2)=0),"Yes","No")))</f>
        <v/>
      </c>
      <c r="R1317" s="15">
        <f>IF($C1317="","",IF($L1317="","",IF(AND($K1317=2,$L1317&lt;$J1317,COUNTIFS(nrES_PID,$D1317,nrES_Code,$F1317,nrES_Att,1)&gt;0),"Yes","No")))</f>
        <v/>
      </c>
      <c r="S1317" s="16" t="n"/>
      <c r="T1317" s="17">
        <f>IF($Q1317&lt;&gt;"Yes","",IF($S1317="","(enter date)",_xlfn.LET(_xlpm.dn,IFERROR(_xlfn.XLOOKUP($S1317,nrCDdate,nrCDnum),""),IF(_xlpm.dn="","(not a class day)",IFERROR(_xlfn.XLOOKUP(_xlpm.dn+cfgRetestClassDays,nrCDnum,nrCDdate),"")))))</f>
        <v/>
      </c>
      <c r="U1317" s="15">
        <f>IF($Q1317&lt;&gt;"Yes","",IF(COUNTIFS(nrES_PID,$D1317,nrES_Code,$F1317,nrES_Att,2)&gt;0,"Retested",IF(OR($T1317="",NOT(ISNUMBER($T1317))),"Pending",IF(TODAY()&gt;$T1317,"OVERDUE","Due "&amp;TEXT($T1317,"mm/dd")))))</f>
        <v/>
      </c>
      <c r="V1317" s="14" t="n"/>
      <c r="W1317" s="14" t="n"/>
    </row>
    <row r="1318">
      <c r="B1318" s="15">
        <f>IF($C1318="","",$D1318&amp;"-"&amp;$F1318&amp;"-"&amp;$K1318)</f>
        <v/>
      </c>
      <c r="C1318" s="14" t="n"/>
      <c r="D1318" s="15">
        <f>IF($C1318="","",IFERROR(INDEX(rngCadetPIDs,MATCH($C1318,rngCadetNames,0)),"?"))</f>
        <v/>
      </c>
      <c r="E1318" s="15">
        <f>IF($D1318="","",IFERROR(INDEX(nrCadetAgency,MATCH($D1318,rngCadetPIDs,0)),""))</f>
        <v/>
      </c>
      <c r="F1318" s="14" t="n"/>
      <c r="G1318" s="15">
        <f>IF($F1318="","",IFERROR(INDEX(rngEPname,MATCH($F1318,rngEPcode,0)),"?"))</f>
        <v/>
      </c>
      <c r="H1318" s="15">
        <f>IF($F1318="","",IFERROR(INDEX(rngEPtype,MATCH($F1318,rngEPcode,0)),"?"))</f>
        <v/>
      </c>
      <c r="I1318" s="15">
        <f>IF($F1318="","",IFERROR(INDEX(rngEPseq,MATCH($F1318,rngEPcode,0)),""))</f>
        <v/>
      </c>
      <c r="J1318" s="15">
        <f>IF($F1318="","",IFERROR(INDEX(rngEPpass,MATCH($F1318,rngEPcode,0)),cfgPassingScore))</f>
        <v/>
      </c>
      <c r="K1318" s="14" t="n"/>
      <c r="L1318" s="14" t="n"/>
      <c r="M1318" s="15">
        <f>IF($C1318="","",IF($L1318="","",IF($K1318=1,IF(COUNTIFS(nrES_PID,$D1318,nrES_Code,$F1318,nrES_Att,2)&gt;0,"",$L1318),IF(COUNTIFS(nrES_PID,$D1318,nrES_Code,$F1318,nrES_Att,1)=0,$L1318,IF($L1318&gt;=$J1318,cfgRetakeRecordedCap,SUMIFS(nrES_Raw,nrES_PID,$D1318,nrES_Code,$F1318,nrES_Att,1))))))</f>
        <v/>
      </c>
      <c r="N1318" s="15">
        <f>IF($C1318="","",IF($L1318="","",IF($L1318&gt;=$J1318,"Yes","No")))</f>
        <v/>
      </c>
      <c r="O1318" s="15">
        <f>IF($C1318="","",IF($M1318="","",IF($M1318&gt;=$J1318,"Yes","No")))</f>
        <v/>
      </c>
      <c r="P1318" s="15">
        <f>IF($C1318="","",IF($K1318="","",IF(COUNTIFS(nrES_PID,$D1318,nrES_Code,$F1318,nrES_Att,"&gt;"&amp;$K1318)=0,"Yes","No")))</f>
        <v/>
      </c>
      <c r="Q1318" s="15">
        <f>IF($C1318="","",IF($L1318="","",IF(AND($K1318=1,$L1318&lt;$J1318,COUNTIFS(nrES_PID,$D1318,nrES_Code,$F1318,nrES_Att,2)=0),"Yes","No")))</f>
        <v/>
      </c>
      <c r="R1318" s="15">
        <f>IF($C1318="","",IF($L1318="","",IF(AND($K1318=2,$L1318&lt;$J1318,COUNTIFS(nrES_PID,$D1318,nrES_Code,$F1318,nrES_Att,1)&gt;0),"Yes","No")))</f>
        <v/>
      </c>
      <c r="S1318" s="16" t="n"/>
      <c r="T1318" s="17">
        <f>IF($Q1318&lt;&gt;"Yes","",IF($S1318="","(enter date)",_xlfn.LET(_xlpm.dn,IFERROR(_xlfn.XLOOKUP($S1318,nrCDdate,nrCDnum),""),IF(_xlpm.dn="","(not a class day)",IFERROR(_xlfn.XLOOKUP(_xlpm.dn+cfgRetestClassDays,nrCDnum,nrCDdate),"")))))</f>
        <v/>
      </c>
      <c r="U1318" s="15">
        <f>IF($Q1318&lt;&gt;"Yes","",IF(COUNTIFS(nrES_PID,$D1318,nrES_Code,$F1318,nrES_Att,2)&gt;0,"Retested",IF(OR($T1318="",NOT(ISNUMBER($T1318))),"Pending",IF(TODAY()&gt;$T1318,"OVERDUE","Due "&amp;TEXT($T1318,"mm/dd")))))</f>
        <v/>
      </c>
      <c r="V1318" s="14" t="n"/>
      <c r="W1318" s="14" t="n"/>
    </row>
    <row r="1319">
      <c r="B1319" s="15">
        <f>IF($C1319="","",$D1319&amp;"-"&amp;$F1319&amp;"-"&amp;$K1319)</f>
        <v/>
      </c>
      <c r="C1319" s="14" t="n"/>
      <c r="D1319" s="15">
        <f>IF($C1319="","",IFERROR(INDEX(rngCadetPIDs,MATCH($C1319,rngCadetNames,0)),"?"))</f>
        <v/>
      </c>
      <c r="E1319" s="15">
        <f>IF($D1319="","",IFERROR(INDEX(nrCadetAgency,MATCH($D1319,rngCadetPIDs,0)),""))</f>
        <v/>
      </c>
      <c r="F1319" s="14" t="n"/>
      <c r="G1319" s="15">
        <f>IF($F1319="","",IFERROR(INDEX(rngEPname,MATCH($F1319,rngEPcode,0)),"?"))</f>
        <v/>
      </c>
      <c r="H1319" s="15">
        <f>IF($F1319="","",IFERROR(INDEX(rngEPtype,MATCH($F1319,rngEPcode,0)),"?"))</f>
        <v/>
      </c>
      <c r="I1319" s="15">
        <f>IF($F1319="","",IFERROR(INDEX(rngEPseq,MATCH($F1319,rngEPcode,0)),""))</f>
        <v/>
      </c>
      <c r="J1319" s="15">
        <f>IF($F1319="","",IFERROR(INDEX(rngEPpass,MATCH($F1319,rngEPcode,0)),cfgPassingScore))</f>
        <v/>
      </c>
      <c r="K1319" s="14" t="n"/>
      <c r="L1319" s="14" t="n"/>
      <c r="M1319" s="15">
        <f>IF($C1319="","",IF($L1319="","",IF($K1319=1,IF(COUNTIFS(nrES_PID,$D1319,nrES_Code,$F1319,nrES_Att,2)&gt;0,"",$L1319),IF(COUNTIFS(nrES_PID,$D1319,nrES_Code,$F1319,nrES_Att,1)=0,$L1319,IF($L1319&gt;=$J1319,cfgRetakeRecordedCap,SUMIFS(nrES_Raw,nrES_PID,$D1319,nrES_Code,$F1319,nrES_Att,1))))))</f>
        <v/>
      </c>
      <c r="N1319" s="15">
        <f>IF($C1319="","",IF($L1319="","",IF($L1319&gt;=$J1319,"Yes","No")))</f>
        <v/>
      </c>
      <c r="O1319" s="15">
        <f>IF($C1319="","",IF($M1319="","",IF($M1319&gt;=$J1319,"Yes","No")))</f>
        <v/>
      </c>
      <c r="P1319" s="15">
        <f>IF($C1319="","",IF($K1319="","",IF(COUNTIFS(nrES_PID,$D1319,nrES_Code,$F1319,nrES_Att,"&gt;"&amp;$K1319)=0,"Yes","No")))</f>
        <v/>
      </c>
      <c r="Q1319" s="15">
        <f>IF($C1319="","",IF($L1319="","",IF(AND($K1319=1,$L1319&lt;$J1319,COUNTIFS(nrES_PID,$D1319,nrES_Code,$F1319,nrES_Att,2)=0),"Yes","No")))</f>
        <v/>
      </c>
      <c r="R1319" s="15">
        <f>IF($C1319="","",IF($L1319="","",IF(AND($K1319=2,$L1319&lt;$J1319,COUNTIFS(nrES_PID,$D1319,nrES_Code,$F1319,nrES_Att,1)&gt;0),"Yes","No")))</f>
        <v/>
      </c>
      <c r="S1319" s="16" t="n"/>
      <c r="T1319" s="17">
        <f>IF($Q1319&lt;&gt;"Yes","",IF($S1319="","(enter date)",_xlfn.LET(_xlpm.dn,IFERROR(_xlfn.XLOOKUP($S1319,nrCDdate,nrCDnum),""),IF(_xlpm.dn="","(not a class day)",IFERROR(_xlfn.XLOOKUP(_xlpm.dn+cfgRetestClassDays,nrCDnum,nrCDdate),"")))))</f>
        <v/>
      </c>
      <c r="U1319" s="15">
        <f>IF($Q1319&lt;&gt;"Yes","",IF(COUNTIFS(nrES_PID,$D1319,nrES_Code,$F1319,nrES_Att,2)&gt;0,"Retested",IF(OR($T1319="",NOT(ISNUMBER($T1319))),"Pending",IF(TODAY()&gt;$T1319,"OVERDUE","Due "&amp;TEXT($T1319,"mm/dd")))))</f>
        <v/>
      </c>
      <c r="V1319" s="14" t="n"/>
      <c r="W1319" s="14" t="n"/>
    </row>
    <row r="1320">
      <c r="B1320" s="15">
        <f>IF($C1320="","",$D1320&amp;"-"&amp;$F1320&amp;"-"&amp;$K1320)</f>
        <v/>
      </c>
      <c r="C1320" s="14" t="n"/>
      <c r="D1320" s="15">
        <f>IF($C1320="","",IFERROR(INDEX(rngCadetPIDs,MATCH($C1320,rngCadetNames,0)),"?"))</f>
        <v/>
      </c>
      <c r="E1320" s="15">
        <f>IF($D1320="","",IFERROR(INDEX(nrCadetAgency,MATCH($D1320,rngCadetPIDs,0)),""))</f>
        <v/>
      </c>
      <c r="F1320" s="14" t="n"/>
      <c r="G1320" s="15">
        <f>IF($F1320="","",IFERROR(INDEX(rngEPname,MATCH($F1320,rngEPcode,0)),"?"))</f>
        <v/>
      </c>
      <c r="H1320" s="15">
        <f>IF($F1320="","",IFERROR(INDEX(rngEPtype,MATCH($F1320,rngEPcode,0)),"?"))</f>
        <v/>
      </c>
      <c r="I1320" s="15">
        <f>IF($F1320="","",IFERROR(INDEX(rngEPseq,MATCH($F1320,rngEPcode,0)),""))</f>
        <v/>
      </c>
      <c r="J1320" s="15">
        <f>IF($F1320="","",IFERROR(INDEX(rngEPpass,MATCH($F1320,rngEPcode,0)),cfgPassingScore))</f>
        <v/>
      </c>
      <c r="K1320" s="14" t="n"/>
      <c r="L1320" s="14" t="n"/>
      <c r="M1320" s="15">
        <f>IF($C1320="","",IF($L1320="","",IF($K1320=1,IF(COUNTIFS(nrES_PID,$D1320,nrES_Code,$F1320,nrES_Att,2)&gt;0,"",$L1320),IF(COUNTIFS(nrES_PID,$D1320,nrES_Code,$F1320,nrES_Att,1)=0,$L1320,IF($L1320&gt;=$J1320,cfgRetakeRecordedCap,SUMIFS(nrES_Raw,nrES_PID,$D1320,nrES_Code,$F1320,nrES_Att,1))))))</f>
        <v/>
      </c>
      <c r="N1320" s="15">
        <f>IF($C1320="","",IF($L1320="","",IF($L1320&gt;=$J1320,"Yes","No")))</f>
        <v/>
      </c>
      <c r="O1320" s="15">
        <f>IF($C1320="","",IF($M1320="","",IF($M1320&gt;=$J1320,"Yes","No")))</f>
        <v/>
      </c>
      <c r="P1320" s="15">
        <f>IF($C1320="","",IF($K1320="","",IF(COUNTIFS(nrES_PID,$D1320,nrES_Code,$F1320,nrES_Att,"&gt;"&amp;$K1320)=0,"Yes","No")))</f>
        <v/>
      </c>
      <c r="Q1320" s="15">
        <f>IF($C1320="","",IF($L1320="","",IF(AND($K1320=1,$L1320&lt;$J1320,COUNTIFS(nrES_PID,$D1320,nrES_Code,$F1320,nrES_Att,2)=0),"Yes","No")))</f>
        <v/>
      </c>
      <c r="R1320" s="15">
        <f>IF($C1320="","",IF($L1320="","",IF(AND($K1320=2,$L1320&lt;$J1320,COUNTIFS(nrES_PID,$D1320,nrES_Code,$F1320,nrES_Att,1)&gt;0),"Yes","No")))</f>
        <v/>
      </c>
      <c r="S1320" s="16" t="n"/>
      <c r="T1320" s="17">
        <f>IF($Q1320&lt;&gt;"Yes","",IF($S1320="","(enter date)",_xlfn.LET(_xlpm.dn,IFERROR(_xlfn.XLOOKUP($S1320,nrCDdate,nrCDnum),""),IF(_xlpm.dn="","(not a class day)",IFERROR(_xlfn.XLOOKUP(_xlpm.dn+cfgRetestClassDays,nrCDnum,nrCDdate),"")))))</f>
        <v/>
      </c>
      <c r="U1320" s="15">
        <f>IF($Q1320&lt;&gt;"Yes","",IF(COUNTIFS(nrES_PID,$D1320,nrES_Code,$F1320,nrES_Att,2)&gt;0,"Retested",IF(OR($T1320="",NOT(ISNUMBER($T1320))),"Pending",IF(TODAY()&gt;$T1320,"OVERDUE","Due "&amp;TEXT($T1320,"mm/dd")))))</f>
        <v/>
      </c>
      <c r="V1320" s="14" t="n"/>
      <c r="W1320" s="14" t="n"/>
    </row>
    <row r="1321">
      <c r="B1321" s="15">
        <f>IF($C1321="","",$D1321&amp;"-"&amp;$F1321&amp;"-"&amp;$K1321)</f>
        <v/>
      </c>
      <c r="C1321" s="14" t="n"/>
      <c r="D1321" s="15">
        <f>IF($C1321="","",IFERROR(INDEX(rngCadetPIDs,MATCH($C1321,rngCadetNames,0)),"?"))</f>
        <v/>
      </c>
      <c r="E1321" s="15">
        <f>IF($D1321="","",IFERROR(INDEX(nrCadetAgency,MATCH($D1321,rngCadetPIDs,0)),""))</f>
        <v/>
      </c>
      <c r="F1321" s="14" t="n"/>
      <c r="G1321" s="15">
        <f>IF($F1321="","",IFERROR(INDEX(rngEPname,MATCH($F1321,rngEPcode,0)),"?"))</f>
        <v/>
      </c>
      <c r="H1321" s="15">
        <f>IF($F1321="","",IFERROR(INDEX(rngEPtype,MATCH($F1321,rngEPcode,0)),"?"))</f>
        <v/>
      </c>
      <c r="I1321" s="15">
        <f>IF($F1321="","",IFERROR(INDEX(rngEPseq,MATCH($F1321,rngEPcode,0)),""))</f>
        <v/>
      </c>
      <c r="J1321" s="15">
        <f>IF($F1321="","",IFERROR(INDEX(rngEPpass,MATCH($F1321,rngEPcode,0)),cfgPassingScore))</f>
        <v/>
      </c>
      <c r="K1321" s="14" t="n"/>
      <c r="L1321" s="14" t="n"/>
      <c r="M1321" s="15">
        <f>IF($C1321="","",IF($L1321="","",IF($K1321=1,IF(COUNTIFS(nrES_PID,$D1321,nrES_Code,$F1321,nrES_Att,2)&gt;0,"",$L1321),IF(COUNTIFS(nrES_PID,$D1321,nrES_Code,$F1321,nrES_Att,1)=0,$L1321,IF($L1321&gt;=$J1321,cfgRetakeRecordedCap,SUMIFS(nrES_Raw,nrES_PID,$D1321,nrES_Code,$F1321,nrES_Att,1))))))</f>
        <v/>
      </c>
      <c r="N1321" s="15">
        <f>IF($C1321="","",IF($L1321="","",IF($L1321&gt;=$J1321,"Yes","No")))</f>
        <v/>
      </c>
      <c r="O1321" s="15">
        <f>IF($C1321="","",IF($M1321="","",IF($M1321&gt;=$J1321,"Yes","No")))</f>
        <v/>
      </c>
      <c r="P1321" s="15">
        <f>IF($C1321="","",IF($K1321="","",IF(COUNTIFS(nrES_PID,$D1321,nrES_Code,$F1321,nrES_Att,"&gt;"&amp;$K1321)=0,"Yes","No")))</f>
        <v/>
      </c>
      <c r="Q1321" s="15">
        <f>IF($C1321="","",IF($L1321="","",IF(AND($K1321=1,$L1321&lt;$J1321,COUNTIFS(nrES_PID,$D1321,nrES_Code,$F1321,nrES_Att,2)=0),"Yes","No")))</f>
        <v/>
      </c>
      <c r="R1321" s="15">
        <f>IF($C1321="","",IF($L1321="","",IF(AND($K1321=2,$L1321&lt;$J1321,COUNTIFS(nrES_PID,$D1321,nrES_Code,$F1321,nrES_Att,1)&gt;0),"Yes","No")))</f>
        <v/>
      </c>
      <c r="S1321" s="16" t="n"/>
      <c r="T1321" s="17">
        <f>IF($Q1321&lt;&gt;"Yes","",IF($S1321="","(enter date)",_xlfn.LET(_xlpm.dn,IFERROR(_xlfn.XLOOKUP($S1321,nrCDdate,nrCDnum),""),IF(_xlpm.dn="","(not a class day)",IFERROR(_xlfn.XLOOKUP(_xlpm.dn+cfgRetestClassDays,nrCDnum,nrCDdate),"")))))</f>
        <v/>
      </c>
      <c r="U1321" s="15">
        <f>IF($Q1321&lt;&gt;"Yes","",IF(COUNTIFS(nrES_PID,$D1321,nrES_Code,$F1321,nrES_Att,2)&gt;0,"Retested",IF(OR($T1321="",NOT(ISNUMBER($T1321))),"Pending",IF(TODAY()&gt;$T1321,"OVERDUE","Due "&amp;TEXT($T1321,"mm/dd")))))</f>
        <v/>
      </c>
      <c r="V1321" s="14" t="n"/>
      <c r="W1321" s="14" t="n"/>
    </row>
    <row r="1322">
      <c r="B1322" s="15">
        <f>IF($C1322="","",$D1322&amp;"-"&amp;$F1322&amp;"-"&amp;$K1322)</f>
        <v/>
      </c>
      <c r="C1322" s="14" t="n"/>
      <c r="D1322" s="15">
        <f>IF($C1322="","",IFERROR(INDEX(rngCadetPIDs,MATCH($C1322,rngCadetNames,0)),"?"))</f>
        <v/>
      </c>
      <c r="E1322" s="15">
        <f>IF($D1322="","",IFERROR(INDEX(nrCadetAgency,MATCH($D1322,rngCadetPIDs,0)),""))</f>
        <v/>
      </c>
      <c r="F1322" s="14" t="n"/>
      <c r="G1322" s="15">
        <f>IF($F1322="","",IFERROR(INDEX(rngEPname,MATCH($F1322,rngEPcode,0)),"?"))</f>
        <v/>
      </c>
      <c r="H1322" s="15">
        <f>IF($F1322="","",IFERROR(INDEX(rngEPtype,MATCH($F1322,rngEPcode,0)),"?"))</f>
        <v/>
      </c>
      <c r="I1322" s="15">
        <f>IF($F1322="","",IFERROR(INDEX(rngEPseq,MATCH($F1322,rngEPcode,0)),""))</f>
        <v/>
      </c>
      <c r="J1322" s="15">
        <f>IF($F1322="","",IFERROR(INDEX(rngEPpass,MATCH($F1322,rngEPcode,0)),cfgPassingScore))</f>
        <v/>
      </c>
      <c r="K1322" s="14" t="n"/>
      <c r="L1322" s="14" t="n"/>
      <c r="M1322" s="15">
        <f>IF($C1322="","",IF($L1322="","",IF($K1322=1,IF(COUNTIFS(nrES_PID,$D1322,nrES_Code,$F1322,nrES_Att,2)&gt;0,"",$L1322),IF(COUNTIFS(nrES_PID,$D1322,nrES_Code,$F1322,nrES_Att,1)=0,$L1322,IF($L1322&gt;=$J1322,cfgRetakeRecordedCap,SUMIFS(nrES_Raw,nrES_PID,$D1322,nrES_Code,$F1322,nrES_Att,1))))))</f>
        <v/>
      </c>
      <c r="N1322" s="15">
        <f>IF($C1322="","",IF($L1322="","",IF($L1322&gt;=$J1322,"Yes","No")))</f>
        <v/>
      </c>
      <c r="O1322" s="15">
        <f>IF($C1322="","",IF($M1322="","",IF($M1322&gt;=$J1322,"Yes","No")))</f>
        <v/>
      </c>
      <c r="P1322" s="15">
        <f>IF($C1322="","",IF($K1322="","",IF(COUNTIFS(nrES_PID,$D1322,nrES_Code,$F1322,nrES_Att,"&gt;"&amp;$K1322)=0,"Yes","No")))</f>
        <v/>
      </c>
      <c r="Q1322" s="15">
        <f>IF($C1322="","",IF($L1322="","",IF(AND($K1322=1,$L1322&lt;$J1322,COUNTIFS(nrES_PID,$D1322,nrES_Code,$F1322,nrES_Att,2)=0),"Yes","No")))</f>
        <v/>
      </c>
      <c r="R1322" s="15">
        <f>IF($C1322="","",IF($L1322="","",IF(AND($K1322=2,$L1322&lt;$J1322,COUNTIFS(nrES_PID,$D1322,nrES_Code,$F1322,nrES_Att,1)&gt;0),"Yes","No")))</f>
        <v/>
      </c>
      <c r="S1322" s="16" t="n"/>
      <c r="T1322" s="17">
        <f>IF($Q1322&lt;&gt;"Yes","",IF($S1322="","(enter date)",_xlfn.LET(_xlpm.dn,IFERROR(_xlfn.XLOOKUP($S1322,nrCDdate,nrCDnum),""),IF(_xlpm.dn="","(not a class day)",IFERROR(_xlfn.XLOOKUP(_xlpm.dn+cfgRetestClassDays,nrCDnum,nrCDdate),"")))))</f>
        <v/>
      </c>
      <c r="U1322" s="15">
        <f>IF($Q1322&lt;&gt;"Yes","",IF(COUNTIFS(nrES_PID,$D1322,nrES_Code,$F1322,nrES_Att,2)&gt;0,"Retested",IF(OR($T1322="",NOT(ISNUMBER($T1322))),"Pending",IF(TODAY()&gt;$T1322,"OVERDUE","Due "&amp;TEXT($T1322,"mm/dd")))))</f>
        <v/>
      </c>
      <c r="V1322" s="14" t="n"/>
      <c r="W1322" s="14" t="n"/>
    </row>
    <row r="1323">
      <c r="B1323" s="15">
        <f>IF($C1323="","",$D1323&amp;"-"&amp;$F1323&amp;"-"&amp;$K1323)</f>
        <v/>
      </c>
      <c r="C1323" s="14" t="n"/>
      <c r="D1323" s="15">
        <f>IF($C1323="","",IFERROR(INDEX(rngCadetPIDs,MATCH($C1323,rngCadetNames,0)),"?"))</f>
        <v/>
      </c>
      <c r="E1323" s="15">
        <f>IF($D1323="","",IFERROR(INDEX(nrCadetAgency,MATCH($D1323,rngCadetPIDs,0)),""))</f>
        <v/>
      </c>
      <c r="F1323" s="14" t="n"/>
      <c r="G1323" s="15">
        <f>IF($F1323="","",IFERROR(INDEX(rngEPname,MATCH($F1323,rngEPcode,0)),"?"))</f>
        <v/>
      </c>
      <c r="H1323" s="15">
        <f>IF($F1323="","",IFERROR(INDEX(rngEPtype,MATCH($F1323,rngEPcode,0)),"?"))</f>
        <v/>
      </c>
      <c r="I1323" s="15">
        <f>IF($F1323="","",IFERROR(INDEX(rngEPseq,MATCH($F1323,rngEPcode,0)),""))</f>
        <v/>
      </c>
      <c r="J1323" s="15">
        <f>IF($F1323="","",IFERROR(INDEX(rngEPpass,MATCH($F1323,rngEPcode,0)),cfgPassingScore))</f>
        <v/>
      </c>
      <c r="K1323" s="14" t="n"/>
      <c r="L1323" s="14" t="n"/>
      <c r="M1323" s="15">
        <f>IF($C1323="","",IF($L1323="","",IF($K1323=1,IF(COUNTIFS(nrES_PID,$D1323,nrES_Code,$F1323,nrES_Att,2)&gt;0,"",$L1323),IF(COUNTIFS(nrES_PID,$D1323,nrES_Code,$F1323,nrES_Att,1)=0,$L1323,IF($L1323&gt;=$J1323,cfgRetakeRecordedCap,SUMIFS(nrES_Raw,nrES_PID,$D1323,nrES_Code,$F1323,nrES_Att,1))))))</f>
        <v/>
      </c>
      <c r="N1323" s="15">
        <f>IF($C1323="","",IF($L1323="","",IF($L1323&gt;=$J1323,"Yes","No")))</f>
        <v/>
      </c>
      <c r="O1323" s="15">
        <f>IF($C1323="","",IF($M1323="","",IF($M1323&gt;=$J1323,"Yes","No")))</f>
        <v/>
      </c>
      <c r="P1323" s="15">
        <f>IF($C1323="","",IF($K1323="","",IF(COUNTIFS(nrES_PID,$D1323,nrES_Code,$F1323,nrES_Att,"&gt;"&amp;$K1323)=0,"Yes","No")))</f>
        <v/>
      </c>
      <c r="Q1323" s="15">
        <f>IF($C1323="","",IF($L1323="","",IF(AND($K1323=1,$L1323&lt;$J1323,COUNTIFS(nrES_PID,$D1323,nrES_Code,$F1323,nrES_Att,2)=0),"Yes","No")))</f>
        <v/>
      </c>
      <c r="R1323" s="15">
        <f>IF($C1323="","",IF($L1323="","",IF(AND($K1323=2,$L1323&lt;$J1323,COUNTIFS(nrES_PID,$D1323,nrES_Code,$F1323,nrES_Att,1)&gt;0),"Yes","No")))</f>
        <v/>
      </c>
      <c r="S1323" s="16" t="n"/>
      <c r="T1323" s="17">
        <f>IF($Q1323&lt;&gt;"Yes","",IF($S1323="","(enter date)",_xlfn.LET(_xlpm.dn,IFERROR(_xlfn.XLOOKUP($S1323,nrCDdate,nrCDnum),""),IF(_xlpm.dn="","(not a class day)",IFERROR(_xlfn.XLOOKUP(_xlpm.dn+cfgRetestClassDays,nrCDnum,nrCDdate),"")))))</f>
        <v/>
      </c>
      <c r="U1323" s="15">
        <f>IF($Q1323&lt;&gt;"Yes","",IF(COUNTIFS(nrES_PID,$D1323,nrES_Code,$F1323,nrES_Att,2)&gt;0,"Retested",IF(OR($T1323="",NOT(ISNUMBER($T1323))),"Pending",IF(TODAY()&gt;$T1323,"OVERDUE","Due "&amp;TEXT($T1323,"mm/dd")))))</f>
        <v/>
      </c>
      <c r="V1323" s="14" t="n"/>
      <c r="W1323" s="14" t="n"/>
    </row>
    <row r="1324">
      <c r="B1324" s="15">
        <f>IF($C1324="","",$D1324&amp;"-"&amp;$F1324&amp;"-"&amp;$K1324)</f>
        <v/>
      </c>
      <c r="C1324" s="14" t="n"/>
      <c r="D1324" s="15">
        <f>IF($C1324="","",IFERROR(INDEX(rngCadetPIDs,MATCH($C1324,rngCadetNames,0)),"?"))</f>
        <v/>
      </c>
      <c r="E1324" s="15">
        <f>IF($D1324="","",IFERROR(INDEX(nrCadetAgency,MATCH($D1324,rngCadetPIDs,0)),""))</f>
        <v/>
      </c>
      <c r="F1324" s="14" t="n"/>
      <c r="G1324" s="15">
        <f>IF($F1324="","",IFERROR(INDEX(rngEPname,MATCH($F1324,rngEPcode,0)),"?"))</f>
        <v/>
      </c>
      <c r="H1324" s="15">
        <f>IF($F1324="","",IFERROR(INDEX(rngEPtype,MATCH($F1324,rngEPcode,0)),"?"))</f>
        <v/>
      </c>
      <c r="I1324" s="15">
        <f>IF($F1324="","",IFERROR(INDEX(rngEPseq,MATCH($F1324,rngEPcode,0)),""))</f>
        <v/>
      </c>
      <c r="J1324" s="15">
        <f>IF($F1324="","",IFERROR(INDEX(rngEPpass,MATCH($F1324,rngEPcode,0)),cfgPassingScore))</f>
        <v/>
      </c>
      <c r="K1324" s="14" t="n"/>
      <c r="L1324" s="14" t="n"/>
      <c r="M1324" s="15">
        <f>IF($C1324="","",IF($L1324="","",IF($K1324=1,IF(COUNTIFS(nrES_PID,$D1324,nrES_Code,$F1324,nrES_Att,2)&gt;0,"",$L1324),IF(COUNTIFS(nrES_PID,$D1324,nrES_Code,$F1324,nrES_Att,1)=0,$L1324,IF($L1324&gt;=$J1324,cfgRetakeRecordedCap,SUMIFS(nrES_Raw,nrES_PID,$D1324,nrES_Code,$F1324,nrES_Att,1))))))</f>
        <v/>
      </c>
      <c r="N1324" s="15">
        <f>IF($C1324="","",IF($L1324="","",IF($L1324&gt;=$J1324,"Yes","No")))</f>
        <v/>
      </c>
      <c r="O1324" s="15">
        <f>IF($C1324="","",IF($M1324="","",IF($M1324&gt;=$J1324,"Yes","No")))</f>
        <v/>
      </c>
      <c r="P1324" s="15">
        <f>IF($C1324="","",IF($K1324="","",IF(COUNTIFS(nrES_PID,$D1324,nrES_Code,$F1324,nrES_Att,"&gt;"&amp;$K1324)=0,"Yes","No")))</f>
        <v/>
      </c>
      <c r="Q1324" s="15">
        <f>IF($C1324="","",IF($L1324="","",IF(AND($K1324=1,$L1324&lt;$J1324,COUNTIFS(nrES_PID,$D1324,nrES_Code,$F1324,nrES_Att,2)=0),"Yes","No")))</f>
        <v/>
      </c>
      <c r="R1324" s="15">
        <f>IF($C1324="","",IF($L1324="","",IF(AND($K1324=2,$L1324&lt;$J1324,COUNTIFS(nrES_PID,$D1324,nrES_Code,$F1324,nrES_Att,1)&gt;0),"Yes","No")))</f>
        <v/>
      </c>
      <c r="S1324" s="16" t="n"/>
      <c r="T1324" s="17">
        <f>IF($Q1324&lt;&gt;"Yes","",IF($S1324="","(enter date)",_xlfn.LET(_xlpm.dn,IFERROR(_xlfn.XLOOKUP($S1324,nrCDdate,nrCDnum),""),IF(_xlpm.dn="","(not a class day)",IFERROR(_xlfn.XLOOKUP(_xlpm.dn+cfgRetestClassDays,nrCDnum,nrCDdate),"")))))</f>
        <v/>
      </c>
      <c r="U1324" s="15">
        <f>IF($Q1324&lt;&gt;"Yes","",IF(COUNTIFS(nrES_PID,$D1324,nrES_Code,$F1324,nrES_Att,2)&gt;0,"Retested",IF(OR($T1324="",NOT(ISNUMBER($T1324))),"Pending",IF(TODAY()&gt;$T1324,"OVERDUE","Due "&amp;TEXT($T1324,"mm/dd")))))</f>
        <v/>
      </c>
      <c r="V1324" s="14" t="n"/>
      <c r="W1324" s="14" t="n"/>
    </row>
    <row r="1325">
      <c r="B1325" s="15">
        <f>IF($C1325="","",$D1325&amp;"-"&amp;$F1325&amp;"-"&amp;$K1325)</f>
        <v/>
      </c>
      <c r="C1325" s="14" t="n"/>
      <c r="D1325" s="15">
        <f>IF($C1325="","",IFERROR(INDEX(rngCadetPIDs,MATCH($C1325,rngCadetNames,0)),"?"))</f>
        <v/>
      </c>
      <c r="E1325" s="15">
        <f>IF($D1325="","",IFERROR(INDEX(nrCadetAgency,MATCH($D1325,rngCadetPIDs,0)),""))</f>
        <v/>
      </c>
      <c r="F1325" s="14" t="n"/>
      <c r="G1325" s="15">
        <f>IF($F1325="","",IFERROR(INDEX(rngEPname,MATCH($F1325,rngEPcode,0)),"?"))</f>
        <v/>
      </c>
      <c r="H1325" s="15">
        <f>IF($F1325="","",IFERROR(INDEX(rngEPtype,MATCH($F1325,rngEPcode,0)),"?"))</f>
        <v/>
      </c>
      <c r="I1325" s="15">
        <f>IF($F1325="","",IFERROR(INDEX(rngEPseq,MATCH($F1325,rngEPcode,0)),""))</f>
        <v/>
      </c>
      <c r="J1325" s="15">
        <f>IF($F1325="","",IFERROR(INDEX(rngEPpass,MATCH($F1325,rngEPcode,0)),cfgPassingScore))</f>
        <v/>
      </c>
      <c r="K1325" s="14" t="n"/>
      <c r="L1325" s="14" t="n"/>
      <c r="M1325" s="15">
        <f>IF($C1325="","",IF($L1325="","",IF($K1325=1,IF(COUNTIFS(nrES_PID,$D1325,nrES_Code,$F1325,nrES_Att,2)&gt;0,"",$L1325),IF(COUNTIFS(nrES_PID,$D1325,nrES_Code,$F1325,nrES_Att,1)=0,$L1325,IF($L1325&gt;=$J1325,cfgRetakeRecordedCap,SUMIFS(nrES_Raw,nrES_PID,$D1325,nrES_Code,$F1325,nrES_Att,1))))))</f>
        <v/>
      </c>
      <c r="N1325" s="15">
        <f>IF($C1325="","",IF($L1325="","",IF($L1325&gt;=$J1325,"Yes","No")))</f>
        <v/>
      </c>
      <c r="O1325" s="15">
        <f>IF($C1325="","",IF($M1325="","",IF($M1325&gt;=$J1325,"Yes","No")))</f>
        <v/>
      </c>
      <c r="P1325" s="15">
        <f>IF($C1325="","",IF($K1325="","",IF(COUNTIFS(nrES_PID,$D1325,nrES_Code,$F1325,nrES_Att,"&gt;"&amp;$K1325)=0,"Yes","No")))</f>
        <v/>
      </c>
      <c r="Q1325" s="15">
        <f>IF($C1325="","",IF($L1325="","",IF(AND($K1325=1,$L1325&lt;$J1325,COUNTIFS(nrES_PID,$D1325,nrES_Code,$F1325,nrES_Att,2)=0),"Yes","No")))</f>
        <v/>
      </c>
      <c r="R1325" s="15">
        <f>IF($C1325="","",IF($L1325="","",IF(AND($K1325=2,$L1325&lt;$J1325,COUNTIFS(nrES_PID,$D1325,nrES_Code,$F1325,nrES_Att,1)&gt;0),"Yes","No")))</f>
        <v/>
      </c>
      <c r="S1325" s="16" t="n"/>
      <c r="T1325" s="17">
        <f>IF($Q1325&lt;&gt;"Yes","",IF($S1325="","(enter date)",_xlfn.LET(_xlpm.dn,IFERROR(_xlfn.XLOOKUP($S1325,nrCDdate,nrCDnum),""),IF(_xlpm.dn="","(not a class day)",IFERROR(_xlfn.XLOOKUP(_xlpm.dn+cfgRetestClassDays,nrCDnum,nrCDdate),"")))))</f>
        <v/>
      </c>
      <c r="U1325" s="15">
        <f>IF($Q1325&lt;&gt;"Yes","",IF(COUNTIFS(nrES_PID,$D1325,nrES_Code,$F1325,nrES_Att,2)&gt;0,"Retested",IF(OR($T1325="",NOT(ISNUMBER($T1325))),"Pending",IF(TODAY()&gt;$T1325,"OVERDUE","Due "&amp;TEXT($T1325,"mm/dd")))))</f>
        <v/>
      </c>
      <c r="V1325" s="14" t="n"/>
      <c r="W1325" s="14" t="n"/>
    </row>
    <row r="1326">
      <c r="B1326" s="15">
        <f>IF($C1326="","",$D1326&amp;"-"&amp;$F1326&amp;"-"&amp;$K1326)</f>
        <v/>
      </c>
      <c r="C1326" s="14" t="n"/>
      <c r="D1326" s="15">
        <f>IF($C1326="","",IFERROR(INDEX(rngCadetPIDs,MATCH($C1326,rngCadetNames,0)),"?"))</f>
        <v/>
      </c>
      <c r="E1326" s="15">
        <f>IF($D1326="","",IFERROR(INDEX(nrCadetAgency,MATCH($D1326,rngCadetPIDs,0)),""))</f>
        <v/>
      </c>
      <c r="F1326" s="14" t="n"/>
      <c r="G1326" s="15">
        <f>IF($F1326="","",IFERROR(INDEX(rngEPname,MATCH($F1326,rngEPcode,0)),"?"))</f>
        <v/>
      </c>
      <c r="H1326" s="15">
        <f>IF($F1326="","",IFERROR(INDEX(rngEPtype,MATCH($F1326,rngEPcode,0)),"?"))</f>
        <v/>
      </c>
      <c r="I1326" s="15">
        <f>IF($F1326="","",IFERROR(INDEX(rngEPseq,MATCH($F1326,rngEPcode,0)),""))</f>
        <v/>
      </c>
      <c r="J1326" s="15">
        <f>IF($F1326="","",IFERROR(INDEX(rngEPpass,MATCH($F1326,rngEPcode,0)),cfgPassingScore))</f>
        <v/>
      </c>
      <c r="K1326" s="14" t="n"/>
      <c r="L1326" s="14" t="n"/>
      <c r="M1326" s="15">
        <f>IF($C1326="","",IF($L1326="","",IF($K1326=1,IF(COUNTIFS(nrES_PID,$D1326,nrES_Code,$F1326,nrES_Att,2)&gt;0,"",$L1326),IF(COUNTIFS(nrES_PID,$D1326,nrES_Code,$F1326,nrES_Att,1)=0,$L1326,IF($L1326&gt;=$J1326,cfgRetakeRecordedCap,SUMIFS(nrES_Raw,nrES_PID,$D1326,nrES_Code,$F1326,nrES_Att,1))))))</f>
        <v/>
      </c>
      <c r="N1326" s="15">
        <f>IF($C1326="","",IF($L1326="","",IF($L1326&gt;=$J1326,"Yes","No")))</f>
        <v/>
      </c>
      <c r="O1326" s="15">
        <f>IF($C1326="","",IF($M1326="","",IF($M1326&gt;=$J1326,"Yes","No")))</f>
        <v/>
      </c>
      <c r="P1326" s="15">
        <f>IF($C1326="","",IF($K1326="","",IF(COUNTIFS(nrES_PID,$D1326,nrES_Code,$F1326,nrES_Att,"&gt;"&amp;$K1326)=0,"Yes","No")))</f>
        <v/>
      </c>
      <c r="Q1326" s="15">
        <f>IF($C1326="","",IF($L1326="","",IF(AND($K1326=1,$L1326&lt;$J1326,COUNTIFS(nrES_PID,$D1326,nrES_Code,$F1326,nrES_Att,2)=0),"Yes","No")))</f>
        <v/>
      </c>
      <c r="R1326" s="15">
        <f>IF($C1326="","",IF($L1326="","",IF(AND($K1326=2,$L1326&lt;$J1326,COUNTIFS(nrES_PID,$D1326,nrES_Code,$F1326,nrES_Att,1)&gt;0),"Yes","No")))</f>
        <v/>
      </c>
      <c r="S1326" s="16" t="n"/>
      <c r="T1326" s="17">
        <f>IF($Q1326&lt;&gt;"Yes","",IF($S1326="","(enter date)",_xlfn.LET(_xlpm.dn,IFERROR(_xlfn.XLOOKUP($S1326,nrCDdate,nrCDnum),""),IF(_xlpm.dn="","(not a class day)",IFERROR(_xlfn.XLOOKUP(_xlpm.dn+cfgRetestClassDays,nrCDnum,nrCDdate),"")))))</f>
        <v/>
      </c>
      <c r="U1326" s="15">
        <f>IF($Q1326&lt;&gt;"Yes","",IF(COUNTIFS(nrES_PID,$D1326,nrES_Code,$F1326,nrES_Att,2)&gt;0,"Retested",IF(OR($T1326="",NOT(ISNUMBER($T1326))),"Pending",IF(TODAY()&gt;$T1326,"OVERDUE","Due "&amp;TEXT($T1326,"mm/dd")))))</f>
        <v/>
      </c>
      <c r="V1326" s="14" t="n"/>
      <c r="W1326" s="14" t="n"/>
    </row>
    <row r="1327">
      <c r="B1327" s="15">
        <f>IF($C1327="","",$D1327&amp;"-"&amp;$F1327&amp;"-"&amp;$K1327)</f>
        <v/>
      </c>
      <c r="C1327" s="14" t="n"/>
      <c r="D1327" s="15">
        <f>IF($C1327="","",IFERROR(INDEX(rngCadetPIDs,MATCH($C1327,rngCadetNames,0)),"?"))</f>
        <v/>
      </c>
      <c r="E1327" s="15">
        <f>IF($D1327="","",IFERROR(INDEX(nrCadetAgency,MATCH($D1327,rngCadetPIDs,0)),""))</f>
        <v/>
      </c>
      <c r="F1327" s="14" t="n"/>
      <c r="G1327" s="15">
        <f>IF($F1327="","",IFERROR(INDEX(rngEPname,MATCH($F1327,rngEPcode,0)),"?"))</f>
        <v/>
      </c>
      <c r="H1327" s="15">
        <f>IF($F1327="","",IFERROR(INDEX(rngEPtype,MATCH($F1327,rngEPcode,0)),"?"))</f>
        <v/>
      </c>
      <c r="I1327" s="15">
        <f>IF($F1327="","",IFERROR(INDEX(rngEPseq,MATCH($F1327,rngEPcode,0)),""))</f>
        <v/>
      </c>
      <c r="J1327" s="15">
        <f>IF($F1327="","",IFERROR(INDEX(rngEPpass,MATCH($F1327,rngEPcode,0)),cfgPassingScore))</f>
        <v/>
      </c>
      <c r="K1327" s="14" t="n"/>
      <c r="L1327" s="14" t="n"/>
      <c r="M1327" s="15">
        <f>IF($C1327="","",IF($L1327="","",IF($K1327=1,IF(COUNTIFS(nrES_PID,$D1327,nrES_Code,$F1327,nrES_Att,2)&gt;0,"",$L1327),IF(COUNTIFS(nrES_PID,$D1327,nrES_Code,$F1327,nrES_Att,1)=0,$L1327,IF($L1327&gt;=$J1327,cfgRetakeRecordedCap,SUMIFS(nrES_Raw,nrES_PID,$D1327,nrES_Code,$F1327,nrES_Att,1))))))</f>
        <v/>
      </c>
      <c r="N1327" s="15">
        <f>IF($C1327="","",IF($L1327="","",IF($L1327&gt;=$J1327,"Yes","No")))</f>
        <v/>
      </c>
      <c r="O1327" s="15">
        <f>IF($C1327="","",IF($M1327="","",IF($M1327&gt;=$J1327,"Yes","No")))</f>
        <v/>
      </c>
      <c r="P1327" s="15">
        <f>IF($C1327="","",IF($K1327="","",IF(COUNTIFS(nrES_PID,$D1327,nrES_Code,$F1327,nrES_Att,"&gt;"&amp;$K1327)=0,"Yes","No")))</f>
        <v/>
      </c>
      <c r="Q1327" s="15">
        <f>IF($C1327="","",IF($L1327="","",IF(AND($K1327=1,$L1327&lt;$J1327,COUNTIFS(nrES_PID,$D1327,nrES_Code,$F1327,nrES_Att,2)=0),"Yes","No")))</f>
        <v/>
      </c>
      <c r="R1327" s="15">
        <f>IF($C1327="","",IF($L1327="","",IF(AND($K1327=2,$L1327&lt;$J1327,COUNTIFS(nrES_PID,$D1327,nrES_Code,$F1327,nrES_Att,1)&gt;0),"Yes","No")))</f>
        <v/>
      </c>
      <c r="S1327" s="16" t="n"/>
      <c r="T1327" s="17">
        <f>IF($Q1327&lt;&gt;"Yes","",IF($S1327="","(enter date)",_xlfn.LET(_xlpm.dn,IFERROR(_xlfn.XLOOKUP($S1327,nrCDdate,nrCDnum),""),IF(_xlpm.dn="","(not a class day)",IFERROR(_xlfn.XLOOKUP(_xlpm.dn+cfgRetestClassDays,nrCDnum,nrCDdate),"")))))</f>
        <v/>
      </c>
      <c r="U1327" s="15">
        <f>IF($Q1327&lt;&gt;"Yes","",IF(COUNTIFS(nrES_PID,$D1327,nrES_Code,$F1327,nrES_Att,2)&gt;0,"Retested",IF(OR($T1327="",NOT(ISNUMBER($T1327))),"Pending",IF(TODAY()&gt;$T1327,"OVERDUE","Due "&amp;TEXT($T1327,"mm/dd")))))</f>
        <v/>
      </c>
      <c r="V1327" s="14" t="n"/>
      <c r="W1327" s="14" t="n"/>
    </row>
    <row r="1328">
      <c r="B1328" s="15">
        <f>IF($C1328="","",$D1328&amp;"-"&amp;$F1328&amp;"-"&amp;$K1328)</f>
        <v/>
      </c>
      <c r="C1328" s="14" t="n"/>
      <c r="D1328" s="15">
        <f>IF($C1328="","",IFERROR(INDEX(rngCadetPIDs,MATCH($C1328,rngCadetNames,0)),"?"))</f>
        <v/>
      </c>
      <c r="E1328" s="15">
        <f>IF($D1328="","",IFERROR(INDEX(nrCadetAgency,MATCH($D1328,rngCadetPIDs,0)),""))</f>
        <v/>
      </c>
      <c r="F1328" s="14" t="n"/>
      <c r="G1328" s="15">
        <f>IF($F1328="","",IFERROR(INDEX(rngEPname,MATCH($F1328,rngEPcode,0)),"?"))</f>
        <v/>
      </c>
      <c r="H1328" s="15">
        <f>IF($F1328="","",IFERROR(INDEX(rngEPtype,MATCH($F1328,rngEPcode,0)),"?"))</f>
        <v/>
      </c>
      <c r="I1328" s="15">
        <f>IF($F1328="","",IFERROR(INDEX(rngEPseq,MATCH($F1328,rngEPcode,0)),""))</f>
        <v/>
      </c>
      <c r="J1328" s="15">
        <f>IF($F1328="","",IFERROR(INDEX(rngEPpass,MATCH($F1328,rngEPcode,0)),cfgPassingScore))</f>
        <v/>
      </c>
      <c r="K1328" s="14" t="n"/>
      <c r="L1328" s="14" t="n"/>
      <c r="M1328" s="15">
        <f>IF($C1328="","",IF($L1328="","",IF($K1328=1,IF(COUNTIFS(nrES_PID,$D1328,nrES_Code,$F1328,nrES_Att,2)&gt;0,"",$L1328),IF(COUNTIFS(nrES_PID,$D1328,nrES_Code,$F1328,nrES_Att,1)=0,$L1328,IF($L1328&gt;=$J1328,cfgRetakeRecordedCap,SUMIFS(nrES_Raw,nrES_PID,$D1328,nrES_Code,$F1328,nrES_Att,1))))))</f>
        <v/>
      </c>
      <c r="N1328" s="15">
        <f>IF($C1328="","",IF($L1328="","",IF($L1328&gt;=$J1328,"Yes","No")))</f>
        <v/>
      </c>
      <c r="O1328" s="15">
        <f>IF($C1328="","",IF($M1328="","",IF($M1328&gt;=$J1328,"Yes","No")))</f>
        <v/>
      </c>
      <c r="P1328" s="15">
        <f>IF($C1328="","",IF($K1328="","",IF(COUNTIFS(nrES_PID,$D1328,nrES_Code,$F1328,nrES_Att,"&gt;"&amp;$K1328)=0,"Yes","No")))</f>
        <v/>
      </c>
      <c r="Q1328" s="15">
        <f>IF($C1328="","",IF($L1328="","",IF(AND($K1328=1,$L1328&lt;$J1328,COUNTIFS(nrES_PID,$D1328,nrES_Code,$F1328,nrES_Att,2)=0),"Yes","No")))</f>
        <v/>
      </c>
      <c r="R1328" s="15">
        <f>IF($C1328="","",IF($L1328="","",IF(AND($K1328=2,$L1328&lt;$J1328,COUNTIFS(nrES_PID,$D1328,nrES_Code,$F1328,nrES_Att,1)&gt;0),"Yes","No")))</f>
        <v/>
      </c>
      <c r="S1328" s="16" t="n"/>
      <c r="T1328" s="17">
        <f>IF($Q1328&lt;&gt;"Yes","",IF($S1328="","(enter date)",_xlfn.LET(_xlpm.dn,IFERROR(_xlfn.XLOOKUP($S1328,nrCDdate,nrCDnum),""),IF(_xlpm.dn="","(not a class day)",IFERROR(_xlfn.XLOOKUP(_xlpm.dn+cfgRetestClassDays,nrCDnum,nrCDdate),"")))))</f>
        <v/>
      </c>
      <c r="U1328" s="15">
        <f>IF($Q1328&lt;&gt;"Yes","",IF(COUNTIFS(nrES_PID,$D1328,nrES_Code,$F1328,nrES_Att,2)&gt;0,"Retested",IF(OR($T1328="",NOT(ISNUMBER($T1328))),"Pending",IF(TODAY()&gt;$T1328,"OVERDUE","Due "&amp;TEXT($T1328,"mm/dd")))))</f>
        <v/>
      </c>
      <c r="V1328" s="14" t="n"/>
      <c r="W1328" s="14" t="n"/>
    </row>
    <row r="1329">
      <c r="B1329" s="15">
        <f>IF($C1329="","",$D1329&amp;"-"&amp;$F1329&amp;"-"&amp;$K1329)</f>
        <v/>
      </c>
      <c r="C1329" s="14" t="n"/>
      <c r="D1329" s="15">
        <f>IF($C1329="","",IFERROR(INDEX(rngCadetPIDs,MATCH($C1329,rngCadetNames,0)),"?"))</f>
        <v/>
      </c>
      <c r="E1329" s="15">
        <f>IF($D1329="","",IFERROR(INDEX(nrCadetAgency,MATCH($D1329,rngCadetPIDs,0)),""))</f>
        <v/>
      </c>
      <c r="F1329" s="14" t="n"/>
      <c r="G1329" s="15">
        <f>IF($F1329="","",IFERROR(INDEX(rngEPname,MATCH($F1329,rngEPcode,0)),"?"))</f>
        <v/>
      </c>
      <c r="H1329" s="15">
        <f>IF($F1329="","",IFERROR(INDEX(rngEPtype,MATCH($F1329,rngEPcode,0)),"?"))</f>
        <v/>
      </c>
      <c r="I1329" s="15">
        <f>IF($F1329="","",IFERROR(INDEX(rngEPseq,MATCH($F1329,rngEPcode,0)),""))</f>
        <v/>
      </c>
      <c r="J1329" s="15">
        <f>IF($F1329="","",IFERROR(INDEX(rngEPpass,MATCH($F1329,rngEPcode,0)),cfgPassingScore))</f>
        <v/>
      </c>
      <c r="K1329" s="14" t="n"/>
      <c r="L1329" s="14" t="n"/>
      <c r="M1329" s="15">
        <f>IF($C1329="","",IF($L1329="","",IF($K1329=1,IF(COUNTIFS(nrES_PID,$D1329,nrES_Code,$F1329,nrES_Att,2)&gt;0,"",$L1329),IF(COUNTIFS(nrES_PID,$D1329,nrES_Code,$F1329,nrES_Att,1)=0,$L1329,IF($L1329&gt;=$J1329,cfgRetakeRecordedCap,SUMIFS(nrES_Raw,nrES_PID,$D1329,nrES_Code,$F1329,nrES_Att,1))))))</f>
        <v/>
      </c>
      <c r="N1329" s="15">
        <f>IF($C1329="","",IF($L1329="","",IF($L1329&gt;=$J1329,"Yes","No")))</f>
        <v/>
      </c>
      <c r="O1329" s="15">
        <f>IF($C1329="","",IF($M1329="","",IF($M1329&gt;=$J1329,"Yes","No")))</f>
        <v/>
      </c>
      <c r="P1329" s="15">
        <f>IF($C1329="","",IF($K1329="","",IF(COUNTIFS(nrES_PID,$D1329,nrES_Code,$F1329,nrES_Att,"&gt;"&amp;$K1329)=0,"Yes","No")))</f>
        <v/>
      </c>
      <c r="Q1329" s="15">
        <f>IF($C1329="","",IF($L1329="","",IF(AND($K1329=1,$L1329&lt;$J1329,COUNTIFS(nrES_PID,$D1329,nrES_Code,$F1329,nrES_Att,2)=0),"Yes","No")))</f>
        <v/>
      </c>
      <c r="R1329" s="15">
        <f>IF($C1329="","",IF($L1329="","",IF(AND($K1329=2,$L1329&lt;$J1329,COUNTIFS(nrES_PID,$D1329,nrES_Code,$F1329,nrES_Att,1)&gt;0),"Yes","No")))</f>
        <v/>
      </c>
      <c r="S1329" s="16" t="n"/>
      <c r="T1329" s="17">
        <f>IF($Q1329&lt;&gt;"Yes","",IF($S1329="","(enter date)",_xlfn.LET(_xlpm.dn,IFERROR(_xlfn.XLOOKUP($S1329,nrCDdate,nrCDnum),""),IF(_xlpm.dn="","(not a class day)",IFERROR(_xlfn.XLOOKUP(_xlpm.dn+cfgRetestClassDays,nrCDnum,nrCDdate),"")))))</f>
        <v/>
      </c>
      <c r="U1329" s="15">
        <f>IF($Q1329&lt;&gt;"Yes","",IF(COUNTIFS(nrES_PID,$D1329,nrES_Code,$F1329,nrES_Att,2)&gt;0,"Retested",IF(OR($T1329="",NOT(ISNUMBER($T1329))),"Pending",IF(TODAY()&gt;$T1329,"OVERDUE","Due "&amp;TEXT($T1329,"mm/dd")))))</f>
        <v/>
      </c>
      <c r="V1329" s="14" t="n"/>
      <c r="W1329" s="14" t="n"/>
    </row>
    <row r="1330">
      <c r="B1330" s="15">
        <f>IF($C1330="","",$D1330&amp;"-"&amp;$F1330&amp;"-"&amp;$K1330)</f>
        <v/>
      </c>
      <c r="C1330" s="14" t="n"/>
      <c r="D1330" s="15">
        <f>IF($C1330="","",IFERROR(INDEX(rngCadetPIDs,MATCH($C1330,rngCadetNames,0)),"?"))</f>
        <v/>
      </c>
      <c r="E1330" s="15">
        <f>IF($D1330="","",IFERROR(INDEX(nrCadetAgency,MATCH($D1330,rngCadetPIDs,0)),""))</f>
        <v/>
      </c>
      <c r="F1330" s="14" t="n"/>
      <c r="G1330" s="15">
        <f>IF($F1330="","",IFERROR(INDEX(rngEPname,MATCH($F1330,rngEPcode,0)),"?"))</f>
        <v/>
      </c>
      <c r="H1330" s="15">
        <f>IF($F1330="","",IFERROR(INDEX(rngEPtype,MATCH($F1330,rngEPcode,0)),"?"))</f>
        <v/>
      </c>
      <c r="I1330" s="15">
        <f>IF($F1330="","",IFERROR(INDEX(rngEPseq,MATCH($F1330,rngEPcode,0)),""))</f>
        <v/>
      </c>
      <c r="J1330" s="15">
        <f>IF($F1330="","",IFERROR(INDEX(rngEPpass,MATCH($F1330,rngEPcode,0)),cfgPassingScore))</f>
        <v/>
      </c>
      <c r="K1330" s="14" t="n"/>
      <c r="L1330" s="14" t="n"/>
      <c r="M1330" s="15">
        <f>IF($C1330="","",IF($L1330="","",IF($K1330=1,IF(COUNTIFS(nrES_PID,$D1330,nrES_Code,$F1330,nrES_Att,2)&gt;0,"",$L1330),IF(COUNTIFS(nrES_PID,$D1330,nrES_Code,$F1330,nrES_Att,1)=0,$L1330,IF($L1330&gt;=$J1330,cfgRetakeRecordedCap,SUMIFS(nrES_Raw,nrES_PID,$D1330,nrES_Code,$F1330,nrES_Att,1))))))</f>
        <v/>
      </c>
      <c r="N1330" s="15">
        <f>IF($C1330="","",IF($L1330="","",IF($L1330&gt;=$J1330,"Yes","No")))</f>
        <v/>
      </c>
      <c r="O1330" s="15">
        <f>IF($C1330="","",IF($M1330="","",IF($M1330&gt;=$J1330,"Yes","No")))</f>
        <v/>
      </c>
      <c r="P1330" s="15">
        <f>IF($C1330="","",IF($K1330="","",IF(COUNTIFS(nrES_PID,$D1330,nrES_Code,$F1330,nrES_Att,"&gt;"&amp;$K1330)=0,"Yes","No")))</f>
        <v/>
      </c>
      <c r="Q1330" s="15">
        <f>IF($C1330="","",IF($L1330="","",IF(AND($K1330=1,$L1330&lt;$J1330,COUNTIFS(nrES_PID,$D1330,nrES_Code,$F1330,nrES_Att,2)=0),"Yes","No")))</f>
        <v/>
      </c>
      <c r="R1330" s="15">
        <f>IF($C1330="","",IF($L1330="","",IF(AND($K1330=2,$L1330&lt;$J1330,COUNTIFS(nrES_PID,$D1330,nrES_Code,$F1330,nrES_Att,1)&gt;0),"Yes","No")))</f>
        <v/>
      </c>
      <c r="S1330" s="16" t="n"/>
      <c r="T1330" s="17">
        <f>IF($Q1330&lt;&gt;"Yes","",IF($S1330="","(enter date)",_xlfn.LET(_xlpm.dn,IFERROR(_xlfn.XLOOKUP($S1330,nrCDdate,nrCDnum),""),IF(_xlpm.dn="","(not a class day)",IFERROR(_xlfn.XLOOKUP(_xlpm.dn+cfgRetestClassDays,nrCDnum,nrCDdate),"")))))</f>
        <v/>
      </c>
      <c r="U1330" s="15">
        <f>IF($Q1330&lt;&gt;"Yes","",IF(COUNTIFS(nrES_PID,$D1330,nrES_Code,$F1330,nrES_Att,2)&gt;0,"Retested",IF(OR($T1330="",NOT(ISNUMBER($T1330))),"Pending",IF(TODAY()&gt;$T1330,"OVERDUE","Due "&amp;TEXT($T1330,"mm/dd")))))</f>
        <v/>
      </c>
      <c r="V1330" s="14" t="n"/>
      <c r="W1330" s="14" t="n"/>
    </row>
    <row r="1331">
      <c r="B1331" s="15">
        <f>IF($C1331="","",$D1331&amp;"-"&amp;$F1331&amp;"-"&amp;$K1331)</f>
        <v/>
      </c>
      <c r="C1331" s="14" t="n"/>
      <c r="D1331" s="15">
        <f>IF($C1331="","",IFERROR(INDEX(rngCadetPIDs,MATCH($C1331,rngCadetNames,0)),"?"))</f>
        <v/>
      </c>
      <c r="E1331" s="15">
        <f>IF($D1331="","",IFERROR(INDEX(nrCadetAgency,MATCH($D1331,rngCadetPIDs,0)),""))</f>
        <v/>
      </c>
      <c r="F1331" s="14" t="n"/>
      <c r="G1331" s="15">
        <f>IF($F1331="","",IFERROR(INDEX(rngEPname,MATCH($F1331,rngEPcode,0)),"?"))</f>
        <v/>
      </c>
      <c r="H1331" s="15">
        <f>IF($F1331="","",IFERROR(INDEX(rngEPtype,MATCH($F1331,rngEPcode,0)),"?"))</f>
        <v/>
      </c>
      <c r="I1331" s="15">
        <f>IF($F1331="","",IFERROR(INDEX(rngEPseq,MATCH($F1331,rngEPcode,0)),""))</f>
        <v/>
      </c>
      <c r="J1331" s="15">
        <f>IF($F1331="","",IFERROR(INDEX(rngEPpass,MATCH($F1331,rngEPcode,0)),cfgPassingScore))</f>
        <v/>
      </c>
      <c r="K1331" s="14" t="n"/>
      <c r="L1331" s="14" t="n"/>
      <c r="M1331" s="15">
        <f>IF($C1331="","",IF($L1331="","",IF($K1331=1,IF(COUNTIFS(nrES_PID,$D1331,nrES_Code,$F1331,nrES_Att,2)&gt;0,"",$L1331),IF(COUNTIFS(nrES_PID,$D1331,nrES_Code,$F1331,nrES_Att,1)=0,$L1331,IF($L1331&gt;=$J1331,cfgRetakeRecordedCap,SUMIFS(nrES_Raw,nrES_PID,$D1331,nrES_Code,$F1331,nrES_Att,1))))))</f>
        <v/>
      </c>
      <c r="N1331" s="15">
        <f>IF($C1331="","",IF($L1331="","",IF($L1331&gt;=$J1331,"Yes","No")))</f>
        <v/>
      </c>
      <c r="O1331" s="15">
        <f>IF($C1331="","",IF($M1331="","",IF($M1331&gt;=$J1331,"Yes","No")))</f>
        <v/>
      </c>
      <c r="P1331" s="15">
        <f>IF($C1331="","",IF($K1331="","",IF(COUNTIFS(nrES_PID,$D1331,nrES_Code,$F1331,nrES_Att,"&gt;"&amp;$K1331)=0,"Yes","No")))</f>
        <v/>
      </c>
      <c r="Q1331" s="15">
        <f>IF($C1331="","",IF($L1331="","",IF(AND($K1331=1,$L1331&lt;$J1331,COUNTIFS(nrES_PID,$D1331,nrES_Code,$F1331,nrES_Att,2)=0),"Yes","No")))</f>
        <v/>
      </c>
      <c r="R1331" s="15">
        <f>IF($C1331="","",IF($L1331="","",IF(AND($K1331=2,$L1331&lt;$J1331,COUNTIFS(nrES_PID,$D1331,nrES_Code,$F1331,nrES_Att,1)&gt;0),"Yes","No")))</f>
        <v/>
      </c>
      <c r="S1331" s="16" t="n"/>
      <c r="T1331" s="17">
        <f>IF($Q1331&lt;&gt;"Yes","",IF($S1331="","(enter date)",_xlfn.LET(_xlpm.dn,IFERROR(_xlfn.XLOOKUP($S1331,nrCDdate,nrCDnum),""),IF(_xlpm.dn="","(not a class day)",IFERROR(_xlfn.XLOOKUP(_xlpm.dn+cfgRetestClassDays,nrCDnum,nrCDdate),"")))))</f>
        <v/>
      </c>
      <c r="U1331" s="15">
        <f>IF($Q1331&lt;&gt;"Yes","",IF(COUNTIFS(nrES_PID,$D1331,nrES_Code,$F1331,nrES_Att,2)&gt;0,"Retested",IF(OR($T1331="",NOT(ISNUMBER($T1331))),"Pending",IF(TODAY()&gt;$T1331,"OVERDUE","Due "&amp;TEXT($T1331,"mm/dd")))))</f>
        <v/>
      </c>
      <c r="V1331" s="14" t="n"/>
      <c r="W1331" s="14" t="n"/>
    </row>
    <row r="1332">
      <c r="B1332" s="15">
        <f>IF($C1332="","",$D1332&amp;"-"&amp;$F1332&amp;"-"&amp;$K1332)</f>
        <v/>
      </c>
      <c r="C1332" s="14" t="n"/>
      <c r="D1332" s="15">
        <f>IF($C1332="","",IFERROR(INDEX(rngCadetPIDs,MATCH($C1332,rngCadetNames,0)),"?"))</f>
        <v/>
      </c>
      <c r="E1332" s="15">
        <f>IF($D1332="","",IFERROR(INDEX(nrCadetAgency,MATCH($D1332,rngCadetPIDs,0)),""))</f>
        <v/>
      </c>
      <c r="F1332" s="14" t="n"/>
      <c r="G1332" s="15">
        <f>IF($F1332="","",IFERROR(INDEX(rngEPname,MATCH($F1332,rngEPcode,0)),"?"))</f>
        <v/>
      </c>
      <c r="H1332" s="15">
        <f>IF($F1332="","",IFERROR(INDEX(rngEPtype,MATCH($F1332,rngEPcode,0)),"?"))</f>
        <v/>
      </c>
      <c r="I1332" s="15">
        <f>IF($F1332="","",IFERROR(INDEX(rngEPseq,MATCH($F1332,rngEPcode,0)),""))</f>
        <v/>
      </c>
      <c r="J1332" s="15">
        <f>IF($F1332="","",IFERROR(INDEX(rngEPpass,MATCH($F1332,rngEPcode,0)),cfgPassingScore))</f>
        <v/>
      </c>
      <c r="K1332" s="14" t="n"/>
      <c r="L1332" s="14" t="n"/>
      <c r="M1332" s="15">
        <f>IF($C1332="","",IF($L1332="","",IF($K1332=1,IF(COUNTIFS(nrES_PID,$D1332,nrES_Code,$F1332,nrES_Att,2)&gt;0,"",$L1332),IF(COUNTIFS(nrES_PID,$D1332,nrES_Code,$F1332,nrES_Att,1)=0,$L1332,IF($L1332&gt;=$J1332,cfgRetakeRecordedCap,SUMIFS(nrES_Raw,nrES_PID,$D1332,nrES_Code,$F1332,nrES_Att,1))))))</f>
        <v/>
      </c>
      <c r="N1332" s="15">
        <f>IF($C1332="","",IF($L1332="","",IF($L1332&gt;=$J1332,"Yes","No")))</f>
        <v/>
      </c>
      <c r="O1332" s="15">
        <f>IF($C1332="","",IF($M1332="","",IF($M1332&gt;=$J1332,"Yes","No")))</f>
        <v/>
      </c>
      <c r="P1332" s="15">
        <f>IF($C1332="","",IF($K1332="","",IF(COUNTIFS(nrES_PID,$D1332,nrES_Code,$F1332,nrES_Att,"&gt;"&amp;$K1332)=0,"Yes","No")))</f>
        <v/>
      </c>
      <c r="Q1332" s="15">
        <f>IF($C1332="","",IF($L1332="","",IF(AND($K1332=1,$L1332&lt;$J1332,COUNTIFS(nrES_PID,$D1332,nrES_Code,$F1332,nrES_Att,2)=0),"Yes","No")))</f>
        <v/>
      </c>
      <c r="R1332" s="15">
        <f>IF($C1332="","",IF($L1332="","",IF(AND($K1332=2,$L1332&lt;$J1332,COUNTIFS(nrES_PID,$D1332,nrES_Code,$F1332,nrES_Att,1)&gt;0),"Yes","No")))</f>
        <v/>
      </c>
      <c r="S1332" s="16" t="n"/>
      <c r="T1332" s="17">
        <f>IF($Q1332&lt;&gt;"Yes","",IF($S1332="","(enter date)",_xlfn.LET(_xlpm.dn,IFERROR(_xlfn.XLOOKUP($S1332,nrCDdate,nrCDnum),""),IF(_xlpm.dn="","(not a class day)",IFERROR(_xlfn.XLOOKUP(_xlpm.dn+cfgRetestClassDays,nrCDnum,nrCDdate),"")))))</f>
        <v/>
      </c>
      <c r="U1332" s="15">
        <f>IF($Q1332&lt;&gt;"Yes","",IF(COUNTIFS(nrES_PID,$D1332,nrES_Code,$F1332,nrES_Att,2)&gt;0,"Retested",IF(OR($T1332="",NOT(ISNUMBER($T1332))),"Pending",IF(TODAY()&gt;$T1332,"OVERDUE","Due "&amp;TEXT($T1332,"mm/dd")))))</f>
        <v/>
      </c>
      <c r="V1332" s="14" t="n"/>
      <c r="W1332" s="14" t="n"/>
    </row>
    <row r="1333">
      <c r="B1333" s="15">
        <f>IF($C1333="","",$D1333&amp;"-"&amp;$F1333&amp;"-"&amp;$K1333)</f>
        <v/>
      </c>
      <c r="C1333" s="14" t="n"/>
      <c r="D1333" s="15">
        <f>IF($C1333="","",IFERROR(INDEX(rngCadetPIDs,MATCH($C1333,rngCadetNames,0)),"?"))</f>
        <v/>
      </c>
      <c r="E1333" s="15">
        <f>IF($D1333="","",IFERROR(INDEX(nrCadetAgency,MATCH($D1333,rngCadetPIDs,0)),""))</f>
        <v/>
      </c>
      <c r="F1333" s="14" t="n"/>
      <c r="G1333" s="15">
        <f>IF($F1333="","",IFERROR(INDEX(rngEPname,MATCH($F1333,rngEPcode,0)),"?"))</f>
        <v/>
      </c>
      <c r="H1333" s="15">
        <f>IF($F1333="","",IFERROR(INDEX(rngEPtype,MATCH($F1333,rngEPcode,0)),"?"))</f>
        <v/>
      </c>
      <c r="I1333" s="15">
        <f>IF($F1333="","",IFERROR(INDEX(rngEPseq,MATCH($F1333,rngEPcode,0)),""))</f>
        <v/>
      </c>
      <c r="J1333" s="15">
        <f>IF($F1333="","",IFERROR(INDEX(rngEPpass,MATCH($F1333,rngEPcode,0)),cfgPassingScore))</f>
        <v/>
      </c>
      <c r="K1333" s="14" t="n"/>
      <c r="L1333" s="14" t="n"/>
      <c r="M1333" s="15">
        <f>IF($C1333="","",IF($L1333="","",IF($K1333=1,IF(COUNTIFS(nrES_PID,$D1333,nrES_Code,$F1333,nrES_Att,2)&gt;0,"",$L1333),IF(COUNTIFS(nrES_PID,$D1333,nrES_Code,$F1333,nrES_Att,1)=0,$L1333,IF($L1333&gt;=$J1333,cfgRetakeRecordedCap,SUMIFS(nrES_Raw,nrES_PID,$D1333,nrES_Code,$F1333,nrES_Att,1))))))</f>
        <v/>
      </c>
      <c r="N1333" s="15">
        <f>IF($C1333="","",IF($L1333="","",IF($L1333&gt;=$J1333,"Yes","No")))</f>
        <v/>
      </c>
      <c r="O1333" s="15">
        <f>IF($C1333="","",IF($M1333="","",IF($M1333&gt;=$J1333,"Yes","No")))</f>
        <v/>
      </c>
      <c r="P1333" s="15">
        <f>IF($C1333="","",IF($K1333="","",IF(COUNTIFS(nrES_PID,$D1333,nrES_Code,$F1333,nrES_Att,"&gt;"&amp;$K1333)=0,"Yes","No")))</f>
        <v/>
      </c>
      <c r="Q1333" s="15">
        <f>IF($C1333="","",IF($L1333="","",IF(AND($K1333=1,$L1333&lt;$J1333,COUNTIFS(nrES_PID,$D1333,nrES_Code,$F1333,nrES_Att,2)=0),"Yes","No")))</f>
        <v/>
      </c>
      <c r="R1333" s="15">
        <f>IF($C1333="","",IF($L1333="","",IF(AND($K1333=2,$L1333&lt;$J1333,COUNTIFS(nrES_PID,$D1333,nrES_Code,$F1333,nrES_Att,1)&gt;0),"Yes","No")))</f>
        <v/>
      </c>
      <c r="S1333" s="16" t="n"/>
      <c r="T1333" s="17">
        <f>IF($Q1333&lt;&gt;"Yes","",IF($S1333="","(enter date)",_xlfn.LET(_xlpm.dn,IFERROR(_xlfn.XLOOKUP($S1333,nrCDdate,nrCDnum),""),IF(_xlpm.dn="","(not a class day)",IFERROR(_xlfn.XLOOKUP(_xlpm.dn+cfgRetestClassDays,nrCDnum,nrCDdate),"")))))</f>
        <v/>
      </c>
      <c r="U1333" s="15">
        <f>IF($Q1333&lt;&gt;"Yes","",IF(COUNTIFS(nrES_PID,$D1333,nrES_Code,$F1333,nrES_Att,2)&gt;0,"Retested",IF(OR($T1333="",NOT(ISNUMBER($T1333))),"Pending",IF(TODAY()&gt;$T1333,"OVERDUE","Due "&amp;TEXT($T1333,"mm/dd")))))</f>
        <v/>
      </c>
      <c r="V1333" s="14" t="n"/>
      <c r="W1333" s="14" t="n"/>
    </row>
    <row r="1334">
      <c r="B1334" s="15">
        <f>IF($C1334="","",$D1334&amp;"-"&amp;$F1334&amp;"-"&amp;$K1334)</f>
        <v/>
      </c>
      <c r="C1334" s="14" t="n"/>
      <c r="D1334" s="15">
        <f>IF($C1334="","",IFERROR(INDEX(rngCadetPIDs,MATCH($C1334,rngCadetNames,0)),"?"))</f>
        <v/>
      </c>
      <c r="E1334" s="15">
        <f>IF($D1334="","",IFERROR(INDEX(nrCadetAgency,MATCH($D1334,rngCadetPIDs,0)),""))</f>
        <v/>
      </c>
      <c r="F1334" s="14" t="n"/>
      <c r="G1334" s="15">
        <f>IF($F1334="","",IFERROR(INDEX(rngEPname,MATCH($F1334,rngEPcode,0)),"?"))</f>
        <v/>
      </c>
      <c r="H1334" s="15">
        <f>IF($F1334="","",IFERROR(INDEX(rngEPtype,MATCH($F1334,rngEPcode,0)),"?"))</f>
        <v/>
      </c>
      <c r="I1334" s="15">
        <f>IF($F1334="","",IFERROR(INDEX(rngEPseq,MATCH($F1334,rngEPcode,0)),""))</f>
        <v/>
      </c>
      <c r="J1334" s="15">
        <f>IF($F1334="","",IFERROR(INDEX(rngEPpass,MATCH($F1334,rngEPcode,0)),cfgPassingScore))</f>
        <v/>
      </c>
      <c r="K1334" s="14" t="n"/>
      <c r="L1334" s="14" t="n"/>
      <c r="M1334" s="15">
        <f>IF($C1334="","",IF($L1334="","",IF($K1334=1,IF(COUNTIFS(nrES_PID,$D1334,nrES_Code,$F1334,nrES_Att,2)&gt;0,"",$L1334),IF(COUNTIFS(nrES_PID,$D1334,nrES_Code,$F1334,nrES_Att,1)=0,$L1334,IF($L1334&gt;=$J1334,cfgRetakeRecordedCap,SUMIFS(nrES_Raw,nrES_PID,$D1334,nrES_Code,$F1334,nrES_Att,1))))))</f>
        <v/>
      </c>
      <c r="N1334" s="15">
        <f>IF($C1334="","",IF($L1334="","",IF($L1334&gt;=$J1334,"Yes","No")))</f>
        <v/>
      </c>
      <c r="O1334" s="15">
        <f>IF($C1334="","",IF($M1334="","",IF($M1334&gt;=$J1334,"Yes","No")))</f>
        <v/>
      </c>
      <c r="P1334" s="15">
        <f>IF($C1334="","",IF($K1334="","",IF(COUNTIFS(nrES_PID,$D1334,nrES_Code,$F1334,nrES_Att,"&gt;"&amp;$K1334)=0,"Yes","No")))</f>
        <v/>
      </c>
      <c r="Q1334" s="15">
        <f>IF($C1334="","",IF($L1334="","",IF(AND($K1334=1,$L1334&lt;$J1334,COUNTIFS(nrES_PID,$D1334,nrES_Code,$F1334,nrES_Att,2)=0),"Yes","No")))</f>
        <v/>
      </c>
      <c r="R1334" s="15">
        <f>IF($C1334="","",IF($L1334="","",IF(AND($K1334=2,$L1334&lt;$J1334,COUNTIFS(nrES_PID,$D1334,nrES_Code,$F1334,nrES_Att,1)&gt;0),"Yes","No")))</f>
        <v/>
      </c>
      <c r="S1334" s="16" t="n"/>
      <c r="T1334" s="17">
        <f>IF($Q1334&lt;&gt;"Yes","",IF($S1334="","(enter date)",_xlfn.LET(_xlpm.dn,IFERROR(_xlfn.XLOOKUP($S1334,nrCDdate,nrCDnum),""),IF(_xlpm.dn="","(not a class day)",IFERROR(_xlfn.XLOOKUP(_xlpm.dn+cfgRetestClassDays,nrCDnum,nrCDdate),"")))))</f>
        <v/>
      </c>
      <c r="U1334" s="15">
        <f>IF($Q1334&lt;&gt;"Yes","",IF(COUNTIFS(nrES_PID,$D1334,nrES_Code,$F1334,nrES_Att,2)&gt;0,"Retested",IF(OR($T1334="",NOT(ISNUMBER($T1334))),"Pending",IF(TODAY()&gt;$T1334,"OVERDUE","Due "&amp;TEXT($T1334,"mm/dd")))))</f>
        <v/>
      </c>
      <c r="V1334" s="14" t="n"/>
      <c r="W1334" s="14" t="n"/>
    </row>
    <row r="1335">
      <c r="B1335" s="15">
        <f>IF($C1335="","",$D1335&amp;"-"&amp;$F1335&amp;"-"&amp;$K1335)</f>
        <v/>
      </c>
      <c r="C1335" s="14" t="n"/>
      <c r="D1335" s="15">
        <f>IF($C1335="","",IFERROR(INDEX(rngCadetPIDs,MATCH($C1335,rngCadetNames,0)),"?"))</f>
        <v/>
      </c>
      <c r="E1335" s="15">
        <f>IF($D1335="","",IFERROR(INDEX(nrCadetAgency,MATCH($D1335,rngCadetPIDs,0)),""))</f>
        <v/>
      </c>
      <c r="F1335" s="14" t="n"/>
      <c r="G1335" s="15">
        <f>IF($F1335="","",IFERROR(INDEX(rngEPname,MATCH($F1335,rngEPcode,0)),"?"))</f>
        <v/>
      </c>
      <c r="H1335" s="15">
        <f>IF($F1335="","",IFERROR(INDEX(rngEPtype,MATCH($F1335,rngEPcode,0)),"?"))</f>
        <v/>
      </c>
      <c r="I1335" s="15">
        <f>IF($F1335="","",IFERROR(INDEX(rngEPseq,MATCH($F1335,rngEPcode,0)),""))</f>
        <v/>
      </c>
      <c r="J1335" s="15">
        <f>IF($F1335="","",IFERROR(INDEX(rngEPpass,MATCH($F1335,rngEPcode,0)),cfgPassingScore))</f>
        <v/>
      </c>
      <c r="K1335" s="14" t="n"/>
      <c r="L1335" s="14" t="n"/>
      <c r="M1335" s="15">
        <f>IF($C1335="","",IF($L1335="","",IF($K1335=1,IF(COUNTIFS(nrES_PID,$D1335,nrES_Code,$F1335,nrES_Att,2)&gt;0,"",$L1335),IF(COUNTIFS(nrES_PID,$D1335,nrES_Code,$F1335,nrES_Att,1)=0,$L1335,IF($L1335&gt;=$J1335,cfgRetakeRecordedCap,SUMIFS(nrES_Raw,nrES_PID,$D1335,nrES_Code,$F1335,nrES_Att,1))))))</f>
        <v/>
      </c>
      <c r="N1335" s="15">
        <f>IF($C1335="","",IF($L1335="","",IF($L1335&gt;=$J1335,"Yes","No")))</f>
        <v/>
      </c>
      <c r="O1335" s="15">
        <f>IF($C1335="","",IF($M1335="","",IF($M1335&gt;=$J1335,"Yes","No")))</f>
        <v/>
      </c>
      <c r="P1335" s="15">
        <f>IF($C1335="","",IF($K1335="","",IF(COUNTIFS(nrES_PID,$D1335,nrES_Code,$F1335,nrES_Att,"&gt;"&amp;$K1335)=0,"Yes","No")))</f>
        <v/>
      </c>
      <c r="Q1335" s="15">
        <f>IF($C1335="","",IF($L1335="","",IF(AND($K1335=1,$L1335&lt;$J1335,COUNTIFS(nrES_PID,$D1335,nrES_Code,$F1335,nrES_Att,2)=0),"Yes","No")))</f>
        <v/>
      </c>
      <c r="R1335" s="15">
        <f>IF($C1335="","",IF($L1335="","",IF(AND($K1335=2,$L1335&lt;$J1335,COUNTIFS(nrES_PID,$D1335,nrES_Code,$F1335,nrES_Att,1)&gt;0),"Yes","No")))</f>
        <v/>
      </c>
      <c r="S1335" s="16" t="n"/>
      <c r="T1335" s="17">
        <f>IF($Q1335&lt;&gt;"Yes","",IF($S1335="","(enter date)",_xlfn.LET(_xlpm.dn,IFERROR(_xlfn.XLOOKUP($S1335,nrCDdate,nrCDnum),""),IF(_xlpm.dn="","(not a class day)",IFERROR(_xlfn.XLOOKUP(_xlpm.dn+cfgRetestClassDays,nrCDnum,nrCDdate),"")))))</f>
        <v/>
      </c>
      <c r="U1335" s="15">
        <f>IF($Q1335&lt;&gt;"Yes","",IF(COUNTIFS(nrES_PID,$D1335,nrES_Code,$F1335,nrES_Att,2)&gt;0,"Retested",IF(OR($T1335="",NOT(ISNUMBER($T1335))),"Pending",IF(TODAY()&gt;$T1335,"OVERDUE","Due "&amp;TEXT($T1335,"mm/dd")))))</f>
        <v/>
      </c>
      <c r="V1335" s="14" t="n"/>
      <c r="W1335" s="14" t="n"/>
    </row>
    <row r="1336">
      <c r="B1336" s="15">
        <f>IF($C1336="","",$D1336&amp;"-"&amp;$F1336&amp;"-"&amp;$K1336)</f>
        <v/>
      </c>
      <c r="C1336" s="14" t="n"/>
      <c r="D1336" s="15">
        <f>IF($C1336="","",IFERROR(INDEX(rngCadetPIDs,MATCH($C1336,rngCadetNames,0)),"?"))</f>
        <v/>
      </c>
      <c r="E1336" s="15">
        <f>IF($D1336="","",IFERROR(INDEX(nrCadetAgency,MATCH($D1336,rngCadetPIDs,0)),""))</f>
        <v/>
      </c>
      <c r="F1336" s="14" t="n"/>
      <c r="G1336" s="15">
        <f>IF($F1336="","",IFERROR(INDEX(rngEPname,MATCH($F1336,rngEPcode,0)),"?"))</f>
        <v/>
      </c>
      <c r="H1336" s="15">
        <f>IF($F1336="","",IFERROR(INDEX(rngEPtype,MATCH($F1336,rngEPcode,0)),"?"))</f>
        <v/>
      </c>
      <c r="I1336" s="15">
        <f>IF($F1336="","",IFERROR(INDEX(rngEPseq,MATCH($F1336,rngEPcode,0)),""))</f>
        <v/>
      </c>
      <c r="J1336" s="15">
        <f>IF($F1336="","",IFERROR(INDEX(rngEPpass,MATCH($F1336,rngEPcode,0)),cfgPassingScore))</f>
        <v/>
      </c>
      <c r="K1336" s="14" t="n"/>
      <c r="L1336" s="14" t="n"/>
      <c r="M1336" s="15">
        <f>IF($C1336="","",IF($L1336="","",IF($K1336=1,IF(COUNTIFS(nrES_PID,$D1336,nrES_Code,$F1336,nrES_Att,2)&gt;0,"",$L1336),IF(COUNTIFS(nrES_PID,$D1336,nrES_Code,$F1336,nrES_Att,1)=0,$L1336,IF($L1336&gt;=$J1336,cfgRetakeRecordedCap,SUMIFS(nrES_Raw,nrES_PID,$D1336,nrES_Code,$F1336,nrES_Att,1))))))</f>
        <v/>
      </c>
      <c r="N1336" s="15">
        <f>IF($C1336="","",IF($L1336="","",IF($L1336&gt;=$J1336,"Yes","No")))</f>
        <v/>
      </c>
      <c r="O1336" s="15">
        <f>IF($C1336="","",IF($M1336="","",IF($M1336&gt;=$J1336,"Yes","No")))</f>
        <v/>
      </c>
      <c r="P1336" s="15">
        <f>IF($C1336="","",IF($K1336="","",IF(COUNTIFS(nrES_PID,$D1336,nrES_Code,$F1336,nrES_Att,"&gt;"&amp;$K1336)=0,"Yes","No")))</f>
        <v/>
      </c>
      <c r="Q1336" s="15">
        <f>IF($C1336="","",IF($L1336="","",IF(AND($K1336=1,$L1336&lt;$J1336,COUNTIFS(nrES_PID,$D1336,nrES_Code,$F1336,nrES_Att,2)=0),"Yes","No")))</f>
        <v/>
      </c>
      <c r="R1336" s="15">
        <f>IF($C1336="","",IF($L1336="","",IF(AND($K1336=2,$L1336&lt;$J1336,COUNTIFS(nrES_PID,$D1336,nrES_Code,$F1336,nrES_Att,1)&gt;0),"Yes","No")))</f>
        <v/>
      </c>
      <c r="S1336" s="16" t="n"/>
      <c r="T1336" s="17">
        <f>IF($Q1336&lt;&gt;"Yes","",IF($S1336="","(enter date)",_xlfn.LET(_xlpm.dn,IFERROR(_xlfn.XLOOKUP($S1336,nrCDdate,nrCDnum),""),IF(_xlpm.dn="","(not a class day)",IFERROR(_xlfn.XLOOKUP(_xlpm.dn+cfgRetestClassDays,nrCDnum,nrCDdate),"")))))</f>
        <v/>
      </c>
      <c r="U1336" s="15">
        <f>IF($Q1336&lt;&gt;"Yes","",IF(COUNTIFS(nrES_PID,$D1336,nrES_Code,$F1336,nrES_Att,2)&gt;0,"Retested",IF(OR($T1336="",NOT(ISNUMBER($T1336))),"Pending",IF(TODAY()&gt;$T1336,"OVERDUE","Due "&amp;TEXT($T1336,"mm/dd")))))</f>
        <v/>
      </c>
      <c r="V1336" s="14" t="n"/>
      <c r="W1336" s="14" t="n"/>
    </row>
    <row r="1337">
      <c r="B1337" s="15">
        <f>IF($C1337="","",$D1337&amp;"-"&amp;$F1337&amp;"-"&amp;$K1337)</f>
        <v/>
      </c>
      <c r="C1337" s="14" t="n"/>
      <c r="D1337" s="15">
        <f>IF($C1337="","",IFERROR(INDEX(rngCadetPIDs,MATCH($C1337,rngCadetNames,0)),"?"))</f>
        <v/>
      </c>
      <c r="E1337" s="15">
        <f>IF($D1337="","",IFERROR(INDEX(nrCadetAgency,MATCH($D1337,rngCadetPIDs,0)),""))</f>
        <v/>
      </c>
      <c r="F1337" s="14" t="n"/>
      <c r="G1337" s="15">
        <f>IF($F1337="","",IFERROR(INDEX(rngEPname,MATCH($F1337,rngEPcode,0)),"?"))</f>
        <v/>
      </c>
      <c r="H1337" s="15">
        <f>IF($F1337="","",IFERROR(INDEX(rngEPtype,MATCH($F1337,rngEPcode,0)),"?"))</f>
        <v/>
      </c>
      <c r="I1337" s="15">
        <f>IF($F1337="","",IFERROR(INDEX(rngEPseq,MATCH($F1337,rngEPcode,0)),""))</f>
        <v/>
      </c>
      <c r="J1337" s="15">
        <f>IF($F1337="","",IFERROR(INDEX(rngEPpass,MATCH($F1337,rngEPcode,0)),cfgPassingScore))</f>
        <v/>
      </c>
      <c r="K1337" s="14" t="n"/>
      <c r="L1337" s="14" t="n"/>
      <c r="M1337" s="15">
        <f>IF($C1337="","",IF($L1337="","",IF($K1337=1,IF(COUNTIFS(nrES_PID,$D1337,nrES_Code,$F1337,nrES_Att,2)&gt;0,"",$L1337),IF(COUNTIFS(nrES_PID,$D1337,nrES_Code,$F1337,nrES_Att,1)=0,$L1337,IF($L1337&gt;=$J1337,cfgRetakeRecordedCap,SUMIFS(nrES_Raw,nrES_PID,$D1337,nrES_Code,$F1337,nrES_Att,1))))))</f>
        <v/>
      </c>
      <c r="N1337" s="15">
        <f>IF($C1337="","",IF($L1337="","",IF($L1337&gt;=$J1337,"Yes","No")))</f>
        <v/>
      </c>
      <c r="O1337" s="15">
        <f>IF($C1337="","",IF($M1337="","",IF($M1337&gt;=$J1337,"Yes","No")))</f>
        <v/>
      </c>
      <c r="P1337" s="15">
        <f>IF($C1337="","",IF($K1337="","",IF(COUNTIFS(nrES_PID,$D1337,nrES_Code,$F1337,nrES_Att,"&gt;"&amp;$K1337)=0,"Yes","No")))</f>
        <v/>
      </c>
      <c r="Q1337" s="15">
        <f>IF($C1337="","",IF($L1337="","",IF(AND($K1337=1,$L1337&lt;$J1337,COUNTIFS(nrES_PID,$D1337,nrES_Code,$F1337,nrES_Att,2)=0),"Yes","No")))</f>
        <v/>
      </c>
      <c r="R1337" s="15">
        <f>IF($C1337="","",IF($L1337="","",IF(AND($K1337=2,$L1337&lt;$J1337,COUNTIFS(nrES_PID,$D1337,nrES_Code,$F1337,nrES_Att,1)&gt;0),"Yes","No")))</f>
        <v/>
      </c>
      <c r="S1337" s="16" t="n"/>
      <c r="T1337" s="17">
        <f>IF($Q1337&lt;&gt;"Yes","",IF($S1337="","(enter date)",_xlfn.LET(_xlpm.dn,IFERROR(_xlfn.XLOOKUP($S1337,nrCDdate,nrCDnum),""),IF(_xlpm.dn="","(not a class day)",IFERROR(_xlfn.XLOOKUP(_xlpm.dn+cfgRetestClassDays,nrCDnum,nrCDdate),"")))))</f>
        <v/>
      </c>
      <c r="U1337" s="15">
        <f>IF($Q1337&lt;&gt;"Yes","",IF(COUNTIFS(nrES_PID,$D1337,nrES_Code,$F1337,nrES_Att,2)&gt;0,"Retested",IF(OR($T1337="",NOT(ISNUMBER($T1337))),"Pending",IF(TODAY()&gt;$T1337,"OVERDUE","Due "&amp;TEXT($T1337,"mm/dd")))))</f>
        <v/>
      </c>
      <c r="V1337" s="14" t="n"/>
      <c r="W1337" s="14" t="n"/>
    </row>
    <row r="1338">
      <c r="B1338" s="15">
        <f>IF($C1338="","",$D1338&amp;"-"&amp;$F1338&amp;"-"&amp;$K1338)</f>
        <v/>
      </c>
      <c r="C1338" s="14" t="n"/>
      <c r="D1338" s="15">
        <f>IF($C1338="","",IFERROR(INDEX(rngCadetPIDs,MATCH($C1338,rngCadetNames,0)),"?"))</f>
        <v/>
      </c>
      <c r="E1338" s="15">
        <f>IF($D1338="","",IFERROR(INDEX(nrCadetAgency,MATCH($D1338,rngCadetPIDs,0)),""))</f>
        <v/>
      </c>
      <c r="F1338" s="14" t="n"/>
      <c r="G1338" s="15">
        <f>IF($F1338="","",IFERROR(INDEX(rngEPname,MATCH($F1338,rngEPcode,0)),"?"))</f>
        <v/>
      </c>
      <c r="H1338" s="15">
        <f>IF($F1338="","",IFERROR(INDEX(rngEPtype,MATCH($F1338,rngEPcode,0)),"?"))</f>
        <v/>
      </c>
      <c r="I1338" s="15">
        <f>IF($F1338="","",IFERROR(INDEX(rngEPseq,MATCH($F1338,rngEPcode,0)),""))</f>
        <v/>
      </c>
      <c r="J1338" s="15">
        <f>IF($F1338="","",IFERROR(INDEX(rngEPpass,MATCH($F1338,rngEPcode,0)),cfgPassingScore))</f>
        <v/>
      </c>
      <c r="K1338" s="14" t="n"/>
      <c r="L1338" s="14" t="n"/>
      <c r="M1338" s="15">
        <f>IF($C1338="","",IF($L1338="","",IF($K1338=1,IF(COUNTIFS(nrES_PID,$D1338,nrES_Code,$F1338,nrES_Att,2)&gt;0,"",$L1338),IF(COUNTIFS(nrES_PID,$D1338,nrES_Code,$F1338,nrES_Att,1)=0,$L1338,IF($L1338&gt;=$J1338,cfgRetakeRecordedCap,SUMIFS(nrES_Raw,nrES_PID,$D1338,nrES_Code,$F1338,nrES_Att,1))))))</f>
        <v/>
      </c>
      <c r="N1338" s="15">
        <f>IF($C1338="","",IF($L1338="","",IF($L1338&gt;=$J1338,"Yes","No")))</f>
        <v/>
      </c>
      <c r="O1338" s="15">
        <f>IF($C1338="","",IF($M1338="","",IF($M1338&gt;=$J1338,"Yes","No")))</f>
        <v/>
      </c>
      <c r="P1338" s="15">
        <f>IF($C1338="","",IF($K1338="","",IF(COUNTIFS(nrES_PID,$D1338,nrES_Code,$F1338,nrES_Att,"&gt;"&amp;$K1338)=0,"Yes","No")))</f>
        <v/>
      </c>
      <c r="Q1338" s="15">
        <f>IF($C1338="","",IF($L1338="","",IF(AND($K1338=1,$L1338&lt;$J1338,COUNTIFS(nrES_PID,$D1338,nrES_Code,$F1338,nrES_Att,2)=0),"Yes","No")))</f>
        <v/>
      </c>
      <c r="R1338" s="15">
        <f>IF($C1338="","",IF($L1338="","",IF(AND($K1338=2,$L1338&lt;$J1338,COUNTIFS(nrES_PID,$D1338,nrES_Code,$F1338,nrES_Att,1)&gt;0),"Yes","No")))</f>
        <v/>
      </c>
      <c r="S1338" s="16" t="n"/>
      <c r="T1338" s="17">
        <f>IF($Q1338&lt;&gt;"Yes","",IF($S1338="","(enter date)",_xlfn.LET(_xlpm.dn,IFERROR(_xlfn.XLOOKUP($S1338,nrCDdate,nrCDnum),""),IF(_xlpm.dn="","(not a class day)",IFERROR(_xlfn.XLOOKUP(_xlpm.dn+cfgRetestClassDays,nrCDnum,nrCDdate),"")))))</f>
        <v/>
      </c>
      <c r="U1338" s="15">
        <f>IF($Q1338&lt;&gt;"Yes","",IF(COUNTIFS(nrES_PID,$D1338,nrES_Code,$F1338,nrES_Att,2)&gt;0,"Retested",IF(OR($T1338="",NOT(ISNUMBER($T1338))),"Pending",IF(TODAY()&gt;$T1338,"OVERDUE","Due "&amp;TEXT($T1338,"mm/dd")))))</f>
        <v/>
      </c>
      <c r="V1338" s="14" t="n"/>
      <c r="W1338" s="14" t="n"/>
    </row>
    <row r="1339">
      <c r="B1339" s="15">
        <f>IF($C1339="","",$D1339&amp;"-"&amp;$F1339&amp;"-"&amp;$K1339)</f>
        <v/>
      </c>
      <c r="C1339" s="14" t="n"/>
      <c r="D1339" s="15">
        <f>IF($C1339="","",IFERROR(INDEX(rngCadetPIDs,MATCH($C1339,rngCadetNames,0)),"?"))</f>
        <v/>
      </c>
      <c r="E1339" s="15">
        <f>IF($D1339="","",IFERROR(INDEX(nrCadetAgency,MATCH($D1339,rngCadetPIDs,0)),""))</f>
        <v/>
      </c>
      <c r="F1339" s="14" t="n"/>
      <c r="G1339" s="15">
        <f>IF($F1339="","",IFERROR(INDEX(rngEPname,MATCH($F1339,rngEPcode,0)),"?"))</f>
        <v/>
      </c>
      <c r="H1339" s="15">
        <f>IF($F1339="","",IFERROR(INDEX(rngEPtype,MATCH($F1339,rngEPcode,0)),"?"))</f>
        <v/>
      </c>
      <c r="I1339" s="15">
        <f>IF($F1339="","",IFERROR(INDEX(rngEPseq,MATCH($F1339,rngEPcode,0)),""))</f>
        <v/>
      </c>
      <c r="J1339" s="15">
        <f>IF($F1339="","",IFERROR(INDEX(rngEPpass,MATCH($F1339,rngEPcode,0)),cfgPassingScore))</f>
        <v/>
      </c>
      <c r="K1339" s="14" t="n"/>
      <c r="L1339" s="14" t="n"/>
      <c r="M1339" s="15">
        <f>IF($C1339="","",IF($L1339="","",IF($K1339=1,IF(COUNTIFS(nrES_PID,$D1339,nrES_Code,$F1339,nrES_Att,2)&gt;0,"",$L1339),IF(COUNTIFS(nrES_PID,$D1339,nrES_Code,$F1339,nrES_Att,1)=0,$L1339,IF($L1339&gt;=$J1339,cfgRetakeRecordedCap,SUMIFS(nrES_Raw,nrES_PID,$D1339,nrES_Code,$F1339,nrES_Att,1))))))</f>
        <v/>
      </c>
      <c r="N1339" s="15">
        <f>IF($C1339="","",IF($L1339="","",IF($L1339&gt;=$J1339,"Yes","No")))</f>
        <v/>
      </c>
      <c r="O1339" s="15">
        <f>IF($C1339="","",IF($M1339="","",IF($M1339&gt;=$J1339,"Yes","No")))</f>
        <v/>
      </c>
      <c r="P1339" s="15">
        <f>IF($C1339="","",IF($K1339="","",IF(COUNTIFS(nrES_PID,$D1339,nrES_Code,$F1339,nrES_Att,"&gt;"&amp;$K1339)=0,"Yes","No")))</f>
        <v/>
      </c>
      <c r="Q1339" s="15">
        <f>IF($C1339="","",IF($L1339="","",IF(AND($K1339=1,$L1339&lt;$J1339,COUNTIFS(nrES_PID,$D1339,nrES_Code,$F1339,nrES_Att,2)=0),"Yes","No")))</f>
        <v/>
      </c>
      <c r="R1339" s="15">
        <f>IF($C1339="","",IF($L1339="","",IF(AND($K1339=2,$L1339&lt;$J1339,COUNTIFS(nrES_PID,$D1339,nrES_Code,$F1339,nrES_Att,1)&gt;0),"Yes","No")))</f>
        <v/>
      </c>
      <c r="S1339" s="16" t="n"/>
      <c r="T1339" s="17">
        <f>IF($Q1339&lt;&gt;"Yes","",IF($S1339="","(enter date)",_xlfn.LET(_xlpm.dn,IFERROR(_xlfn.XLOOKUP($S1339,nrCDdate,nrCDnum),""),IF(_xlpm.dn="","(not a class day)",IFERROR(_xlfn.XLOOKUP(_xlpm.dn+cfgRetestClassDays,nrCDnum,nrCDdate),"")))))</f>
        <v/>
      </c>
      <c r="U1339" s="15">
        <f>IF($Q1339&lt;&gt;"Yes","",IF(COUNTIFS(nrES_PID,$D1339,nrES_Code,$F1339,nrES_Att,2)&gt;0,"Retested",IF(OR($T1339="",NOT(ISNUMBER($T1339))),"Pending",IF(TODAY()&gt;$T1339,"OVERDUE","Due "&amp;TEXT($T1339,"mm/dd")))))</f>
        <v/>
      </c>
      <c r="V1339" s="14" t="n"/>
      <c r="W1339" s="14" t="n"/>
    </row>
    <row r="1340">
      <c r="B1340" s="15">
        <f>IF($C1340="","",$D1340&amp;"-"&amp;$F1340&amp;"-"&amp;$K1340)</f>
        <v/>
      </c>
      <c r="C1340" s="14" t="n"/>
      <c r="D1340" s="15">
        <f>IF($C1340="","",IFERROR(INDEX(rngCadetPIDs,MATCH($C1340,rngCadetNames,0)),"?"))</f>
        <v/>
      </c>
      <c r="E1340" s="15">
        <f>IF($D1340="","",IFERROR(INDEX(nrCadetAgency,MATCH($D1340,rngCadetPIDs,0)),""))</f>
        <v/>
      </c>
      <c r="F1340" s="14" t="n"/>
      <c r="G1340" s="15">
        <f>IF($F1340="","",IFERROR(INDEX(rngEPname,MATCH($F1340,rngEPcode,0)),"?"))</f>
        <v/>
      </c>
      <c r="H1340" s="15">
        <f>IF($F1340="","",IFERROR(INDEX(rngEPtype,MATCH($F1340,rngEPcode,0)),"?"))</f>
        <v/>
      </c>
      <c r="I1340" s="15">
        <f>IF($F1340="","",IFERROR(INDEX(rngEPseq,MATCH($F1340,rngEPcode,0)),""))</f>
        <v/>
      </c>
      <c r="J1340" s="15">
        <f>IF($F1340="","",IFERROR(INDEX(rngEPpass,MATCH($F1340,rngEPcode,0)),cfgPassingScore))</f>
        <v/>
      </c>
      <c r="K1340" s="14" t="n"/>
      <c r="L1340" s="14" t="n"/>
      <c r="M1340" s="15">
        <f>IF($C1340="","",IF($L1340="","",IF($K1340=1,IF(COUNTIFS(nrES_PID,$D1340,nrES_Code,$F1340,nrES_Att,2)&gt;0,"",$L1340),IF(COUNTIFS(nrES_PID,$D1340,nrES_Code,$F1340,nrES_Att,1)=0,$L1340,IF($L1340&gt;=$J1340,cfgRetakeRecordedCap,SUMIFS(nrES_Raw,nrES_PID,$D1340,nrES_Code,$F1340,nrES_Att,1))))))</f>
        <v/>
      </c>
      <c r="N1340" s="15">
        <f>IF($C1340="","",IF($L1340="","",IF($L1340&gt;=$J1340,"Yes","No")))</f>
        <v/>
      </c>
      <c r="O1340" s="15">
        <f>IF($C1340="","",IF($M1340="","",IF($M1340&gt;=$J1340,"Yes","No")))</f>
        <v/>
      </c>
      <c r="P1340" s="15">
        <f>IF($C1340="","",IF($K1340="","",IF(COUNTIFS(nrES_PID,$D1340,nrES_Code,$F1340,nrES_Att,"&gt;"&amp;$K1340)=0,"Yes","No")))</f>
        <v/>
      </c>
      <c r="Q1340" s="15">
        <f>IF($C1340="","",IF($L1340="","",IF(AND($K1340=1,$L1340&lt;$J1340,COUNTIFS(nrES_PID,$D1340,nrES_Code,$F1340,nrES_Att,2)=0),"Yes","No")))</f>
        <v/>
      </c>
      <c r="R1340" s="15">
        <f>IF($C1340="","",IF($L1340="","",IF(AND($K1340=2,$L1340&lt;$J1340,COUNTIFS(nrES_PID,$D1340,nrES_Code,$F1340,nrES_Att,1)&gt;0),"Yes","No")))</f>
        <v/>
      </c>
      <c r="S1340" s="16" t="n"/>
      <c r="T1340" s="17">
        <f>IF($Q1340&lt;&gt;"Yes","",IF($S1340="","(enter date)",_xlfn.LET(_xlpm.dn,IFERROR(_xlfn.XLOOKUP($S1340,nrCDdate,nrCDnum),""),IF(_xlpm.dn="","(not a class day)",IFERROR(_xlfn.XLOOKUP(_xlpm.dn+cfgRetestClassDays,nrCDnum,nrCDdate),"")))))</f>
        <v/>
      </c>
      <c r="U1340" s="15">
        <f>IF($Q1340&lt;&gt;"Yes","",IF(COUNTIFS(nrES_PID,$D1340,nrES_Code,$F1340,nrES_Att,2)&gt;0,"Retested",IF(OR($T1340="",NOT(ISNUMBER($T1340))),"Pending",IF(TODAY()&gt;$T1340,"OVERDUE","Due "&amp;TEXT($T1340,"mm/dd")))))</f>
        <v/>
      </c>
      <c r="V1340" s="14" t="n"/>
      <c r="W1340" s="14" t="n"/>
    </row>
    <row r="1341">
      <c r="B1341" s="15">
        <f>IF($C1341="","",$D1341&amp;"-"&amp;$F1341&amp;"-"&amp;$K1341)</f>
        <v/>
      </c>
      <c r="C1341" s="14" t="n"/>
      <c r="D1341" s="15">
        <f>IF($C1341="","",IFERROR(INDEX(rngCadetPIDs,MATCH($C1341,rngCadetNames,0)),"?"))</f>
        <v/>
      </c>
      <c r="E1341" s="15">
        <f>IF($D1341="","",IFERROR(INDEX(nrCadetAgency,MATCH($D1341,rngCadetPIDs,0)),""))</f>
        <v/>
      </c>
      <c r="F1341" s="14" t="n"/>
      <c r="G1341" s="15">
        <f>IF($F1341="","",IFERROR(INDEX(rngEPname,MATCH($F1341,rngEPcode,0)),"?"))</f>
        <v/>
      </c>
      <c r="H1341" s="15">
        <f>IF($F1341="","",IFERROR(INDEX(rngEPtype,MATCH($F1341,rngEPcode,0)),"?"))</f>
        <v/>
      </c>
      <c r="I1341" s="15">
        <f>IF($F1341="","",IFERROR(INDEX(rngEPseq,MATCH($F1341,rngEPcode,0)),""))</f>
        <v/>
      </c>
      <c r="J1341" s="15">
        <f>IF($F1341="","",IFERROR(INDEX(rngEPpass,MATCH($F1341,rngEPcode,0)),cfgPassingScore))</f>
        <v/>
      </c>
      <c r="K1341" s="14" t="n"/>
      <c r="L1341" s="14" t="n"/>
      <c r="M1341" s="15">
        <f>IF($C1341="","",IF($L1341="","",IF($K1341=1,IF(COUNTIFS(nrES_PID,$D1341,nrES_Code,$F1341,nrES_Att,2)&gt;0,"",$L1341),IF(COUNTIFS(nrES_PID,$D1341,nrES_Code,$F1341,nrES_Att,1)=0,$L1341,IF($L1341&gt;=$J1341,cfgRetakeRecordedCap,SUMIFS(nrES_Raw,nrES_PID,$D1341,nrES_Code,$F1341,nrES_Att,1))))))</f>
        <v/>
      </c>
      <c r="N1341" s="15">
        <f>IF($C1341="","",IF($L1341="","",IF($L1341&gt;=$J1341,"Yes","No")))</f>
        <v/>
      </c>
      <c r="O1341" s="15">
        <f>IF($C1341="","",IF($M1341="","",IF($M1341&gt;=$J1341,"Yes","No")))</f>
        <v/>
      </c>
      <c r="P1341" s="15">
        <f>IF($C1341="","",IF($K1341="","",IF(COUNTIFS(nrES_PID,$D1341,nrES_Code,$F1341,nrES_Att,"&gt;"&amp;$K1341)=0,"Yes","No")))</f>
        <v/>
      </c>
      <c r="Q1341" s="15">
        <f>IF($C1341="","",IF($L1341="","",IF(AND($K1341=1,$L1341&lt;$J1341,COUNTIFS(nrES_PID,$D1341,nrES_Code,$F1341,nrES_Att,2)=0),"Yes","No")))</f>
        <v/>
      </c>
      <c r="R1341" s="15">
        <f>IF($C1341="","",IF($L1341="","",IF(AND($K1341=2,$L1341&lt;$J1341,COUNTIFS(nrES_PID,$D1341,nrES_Code,$F1341,nrES_Att,1)&gt;0),"Yes","No")))</f>
        <v/>
      </c>
      <c r="S1341" s="16" t="n"/>
      <c r="T1341" s="17">
        <f>IF($Q1341&lt;&gt;"Yes","",IF($S1341="","(enter date)",_xlfn.LET(_xlpm.dn,IFERROR(_xlfn.XLOOKUP($S1341,nrCDdate,nrCDnum),""),IF(_xlpm.dn="","(not a class day)",IFERROR(_xlfn.XLOOKUP(_xlpm.dn+cfgRetestClassDays,nrCDnum,nrCDdate),"")))))</f>
        <v/>
      </c>
      <c r="U1341" s="15">
        <f>IF($Q1341&lt;&gt;"Yes","",IF(COUNTIFS(nrES_PID,$D1341,nrES_Code,$F1341,nrES_Att,2)&gt;0,"Retested",IF(OR($T1341="",NOT(ISNUMBER($T1341))),"Pending",IF(TODAY()&gt;$T1341,"OVERDUE","Due "&amp;TEXT($T1341,"mm/dd")))))</f>
        <v/>
      </c>
      <c r="V1341" s="14" t="n"/>
      <c r="W1341" s="14" t="n"/>
    </row>
    <row r="1342">
      <c r="B1342" s="15">
        <f>IF($C1342="","",$D1342&amp;"-"&amp;$F1342&amp;"-"&amp;$K1342)</f>
        <v/>
      </c>
      <c r="C1342" s="14" t="n"/>
      <c r="D1342" s="15">
        <f>IF($C1342="","",IFERROR(INDEX(rngCadetPIDs,MATCH($C1342,rngCadetNames,0)),"?"))</f>
        <v/>
      </c>
      <c r="E1342" s="15">
        <f>IF($D1342="","",IFERROR(INDEX(nrCadetAgency,MATCH($D1342,rngCadetPIDs,0)),""))</f>
        <v/>
      </c>
      <c r="F1342" s="14" t="n"/>
      <c r="G1342" s="15">
        <f>IF($F1342="","",IFERROR(INDEX(rngEPname,MATCH($F1342,rngEPcode,0)),"?"))</f>
        <v/>
      </c>
      <c r="H1342" s="15">
        <f>IF($F1342="","",IFERROR(INDEX(rngEPtype,MATCH($F1342,rngEPcode,0)),"?"))</f>
        <v/>
      </c>
      <c r="I1342" s="15">
        <f>IF($F1342="","",IFERROR(INDEX(rngEPseq,MATCH($F1342,rngEPcode,0)),""))</f>
        <v/>
      </c>
      <c r="J1342" s="15">
        <f>IF($F1342="","",IFERROR(INDEX(rngEPpass,MATCH($F1342,rngEPcode,0)),cfgPassingScore))</f>
        <v/>
      </c>
      <c r="K1342" s="14" t="n"/>
      <c r="L1342" s="14" t="n"/>
      <c r="M1342" s="15">
        <f>IF($C1342="","",IF($L1342="","",IF($K1342=1,IF(COUNTIFS(nrES_PID,$D1342,nrES_Code,$F1342,nrES_Att,2)&gt;0,"",$L1342),IF(COUNTIFS(nrES_PID,$D1342,nrES_Code,$F1342,nrES_Att,1)=0,$L1342,IF($L1342&gt;=$J1342,cfgRetakeRecordedCap,SUMIFS(nrES_Raw,nrES_PID,$D1342,nrES_Code,$F1342,nrES_Att,1))))))</f>
        <v/>
      </c>
      <c r="N1342" s="15">
        <f>IF($C1342="","",IF($L1342="","",IF($L1342&gt;=$J1342,"Yes","No")))</f>
        <v/>
      </c>
      <c r="O1342" s="15">
        <f>IF($C1342="","",IF($M1342="","",IF($M1342&gt;=$J1342,"Yes","No")))</f>
        <v/>
      </c>
      <c r="P1342" s="15">
        <f>IF($C1342="","",IF($K1342="","",IF(COUNTIFS(nrES_PID,$D1342,nrES_Code,$F1342,nrES_Att,"&gt;"&amp;$K1342)=0,"Yes","No")))</f>
        <v/>
      </c>
      <c r="Q1342" s="15">
        <f>IF($C1342="","",IF($L1342="","",IF(AND($K1342=1,$L1342&lt;$J1342,COUNTIFS(nrES_PID,$D1342,nrES_Code,$F1342,nrES_Att,2)=0),"Yes","No")))</f>
        <v/>
      </c>
      <c r="R1342" s="15">
        <f>IF($C1342="","",IF($L1342="","",IF(AND($K1342=2,$L1342&lt;$J1342,COUNTIFS(nrES_PID,$D1342,nrES_Code,$F1342,nrES_Att,1)&gt;0),"Yes","No")))</f>
        <v/>
      </c>
      <c r="S1342" s="16" t="n"/>
      <c r="T1342" s="17">
        <f>IF($Q1342&lt;&gt;"Yes","",IF($S1342="","(enter date)",_xlfn.LET(_xlpm.dn,IFERROR(_xlfn.XLOOKUP($S1342,nrCDdate,nrCDnum),""),IF(_xlpm.dn="","(not a class day)",IFERROR(_xlfn.XLOOKUP(_xlpm.dn+cfgRetestClassDays,nrCDnum,nrCDdate),"")))))</f>
        <v/>
      </c>
      <c r="U1342" s="15">
        <f>IF($Q1342&lt;&gt;"Yes","",IF(COUNTIFS(nrES_PID,$D1342,nrES_Code,$F1342,nrES_Att,2)&gt;0,"Retested",IF(OR($T1342="",NOT(ISNUMBER($T1342))),"Pending",IF(TODAY()&gt;$T1342,"OVERDUE","Due "&amp;TEXT($T1342,"mm/dd")))))</f>
        <v/>
      </c>
      <c r="V1342" s="14" t="n"/>
      <c r="W1342" s="14" t="n"/>
    </row>
    <row r="1343">
      <c r="B1343" s="15">
        <f>IF($C1343="","",$D1343&amp;"-"&amp;$F1343&amp;"-"&amp;$K1343)</f>
        <v/>
      </c>
      <c r="C1343" s="14" t="n"/>
      <c r="D1343" s="15">
        <f>IF($C1343="","",IFERROR(INDEX(rngCadetPIDs,MATCH($C1343,rngCadetNames,0)),"?"))</f>
        <v/>
      </c>
      <c r="E1343" s="15">
        <f>IF($D1343="","",IFERROR(INDEX(nrCadetAgency,MATCH($D1343,rngCadetPIDs,0)),""))</f>
        <v/>
      </c>
      <c r="F1343" s="14" t="n"/>
      <c r="G1343" s="15">
        <f>IF($F1343="","",IFERROR(INDEX(rngEPname,MATCH($F1343,rngEPcode,0)),"?"))</f>
        <v/>
      </c>
      <c r="H1343" s="15">
        <f>IF($F1343="","",IFERROR(INDEX(rngEPtype,MATCH($F1343,rngEPcode,0)),"?"))</f>
        <v/>
      </c>
      <c r="I1343" s="15">
        <f>IF($F1343="","",IFERROR(INDEX(rngEPseq,MATCH($F1343,rngEPcode,0)),""))</f>
        <v/>
      </c>
      <c r="J1343" s="15">
        <f>IF($F1343="","",IFERROR(INDEX(rngEPpass,MATCH($F1343,rngEPcode,0)),cfgPassingScore))</f>
        <v/>
      </c>
      <c r="K1343" s="14" t="n"/>
      <c r="L1343" s="14" t="n"/>
      <c r="M1343" s="15">
        <f>IF($C1343="","",IF($L1343="","",IF($K1343=1,IF(COUNTIFS(nrES_PID,$D1343,nrES_Code,$F1343,nrES_Att,2)&gt;0,"",$L1343),IF(COUNTIFS(nrES_PID,$D1343,nrES_Code,$F1343,nrES_Att,1)=0,$L1343,IF($L1343&gt;=$J1343,cfgRetakeRecordedCap,SUMIFS(nrES_Raw,nrES_PID,$D1343,nrES_Code,$F1343,nrES_Att,1))))))</f>
        <v/>
      </c>
      <c r="N1343" s="15">
        <f>IF($C1343="","",IF($L1343="","",IF($L1343&gt;=$J1343,"Yes","No")))</f>
        <v/>
      </c>
      <c r="O1343" s="15">
        <f>IF($C1343="","",IF($M1343="","",IF($M1343&gt;=$J1343,"Yes","No")))</f>
        <v/>
      </c>
      <c r="P1343" s="15">
        <f>IF($C1343="","",IF($K1343="","",IF(COUNTIFS(nrES_PID,$D1343,nrES_Code,$F1343,nrES_Att,"&gt;"&amp;$K1343)=0,"Yes","No")))</f>
        <v/>
      </c>
      <c r="Q1343" s="15">
        <f>IF($C1343="","",IF($L1343="","",IF(AND($K1343=1,$L1343&lt;$J1343,COUNTIFS(nrES_PID,$D1343,nrES_Code,$F1343,nrES_Att,2)=0),"Yes","No")))</f>
        <v/>
      </c>
      <c r="R1343" s="15">
        <f>IF($C1343="","",IF($L1343="","",IF(AND($K1343=2,$L1343&lt;$J1343,COUNTIFS(nrES_PID,$D1343,nrES_Code,$F1343,nrES_Att,1)&gt;0),"Yes","No")))</f>
        <v/>
      </c>
      <c r="S1343" s="16" t="n"/>
      <c r="T1343" s="17">
        <f>IF($Q1343&lt;&gt;"Yes","",IF($S1343="","(enter date)",_xlfn.LET(_xlpm.dn,IFERROR(_xlfn.XLOOKUP($S1343,nrCDdate,nrCDnum),""),IF(_xlpm.dn="","(not a class day)",IFERROR(_xlfn.XLOOKUP(_xlpm.dn+cfgRetestClassDays,nrCDnum,nrCDdate),"")))))</f>
        <v/>
      </c>
      <c r="U1343" s="15">
        <f>IF($Q1343&lt;&gt;"Yes","",IF(COUNTIFS(nrES_PID,$D1343,nrES_Code,$F1343,nrES_Att,2)&gt;0,"Retested",IF(OR($T1343="",NOT(ISNUMBER($T1343))),"Pending",IF(TODAY()&gt;$T1343,"OVERDUE","Due "&amp;TEXT($T1343,"mm/dd")))))</f>
        <v/>
      </c>
      <c r="V1343" s="14" t="n"/>
      <c r="W1343" s="14" t="n"/>
    </row>
    <row r="1344">
      <c r="B1344" s="15">
        <f>IF($C1344="","",$D1344&amp;"-"&amp;$F1344&amp;"-"&amp;$K1344)</f>
        <v/>
      </c>
      <c r="C1344" s="14" t="n"/>
      <c r="D1344" s="15">
        <f>IF($C1344="","",IFERROR(INDEX(rngCadetPIDs,MATCH($C1344,rngCadetNames,0)),"?"))</f>
        <v/>
      </c>
      <c r="E1344" s="15">
        <f>IF($D1344="","",IFERROR(INDEX(nrCadetAgency,MATCH($D1344,rngCadetPIDs,0)),""))</f>
        <v/>
      </c>
      <c r="F1344" s="14" t="n"/>
      <c r="G1344" s="15">
        <f>IF($F1344="","",IFERROR(INDEX(rngEPname,MATCH($F1344,rngEPcode,0)),"?"))</f>
        <v/>
      </c>
      <c r="H1344" s="15">
        <f>IF($F1344="","",IFERROR(INDEX(rngEPtype,MATCH($F1344,rngEPcode,0)),"?"))</f>
        <v/>
      </c>
      <c r="I1344" s="15">
        <f>IF($F1344="","",IFERROR(INDEX(rngEPseq,MATCH($F1344,rngEPcode,0)),""))</f>
        <v/>
      </c>
      <c r="J1344" s="15">
        <f>IF($F1344="","",IFERROR(INDEX(rngEPpass,MATCH($F1344,rngEPcode,0)),cfgPassingScore))</f>
        <v/>
      </c>
      <c r="K1344" s="14" t="n"/>
      <c r="L1344" s="14" t="n"/>
      <c r="M1344" s="15">
        <f>IF($C1344="","",IF($L1344="","",IF($K1344=1,IF(COUNTIFS(nrES_PID,$D1344,nrES_Code,$F1344,nrES_Att,2)&gt;0,"",$L1344),IF(COUNTIFS(nrES_PID,$D1344,nrES_Code,$F1344,nrES_Att,1)=0,$L1344,IF($L1344&gt;=$J1344,cfgRetakeRecordedCap,SUMIFS(nrES_Raw,nrES_PID,$D1344,nrES_Code,$F1344,nrES_Att,1))))))</f>
        <v/>
      </c>
      <c r="N1344" s="15">
        <f>IF($C1344="","",IF($L1344="","",IF($L1344&gt;=$J1344,"Yes","No")))</f>
        <v/>
      </c>
      <c r="O1344" s="15">
        <f>IF($C1344="","",IF($M1344="","",IF($M1344&gt;=$J1344,"Yes","No")))</f>
        <v/>
      </c>
      <c r="P1344" s="15">
        <f>IF($C1344="","",IF($K1344="","",IF(COUNTIFS(nrES_PID,$D1344,nrES_Code,$F1344,nrES_Att,"&gt;"&amp;$K1344)=0,"Yes","No")))</f>
        <v/>
      </c>
      <c r="Q1344" s="15">
        <f>IF($C1344="","",IF($L1344="","",IF(AND($K1344=1,$L1344&lt;$J1344,COUNTIFS(nrES_PID,$D1344,nrES_Code,$F1344,nrES_Att,2)=0),"Yes","No")))</f>
        <v/>
      </c>
      <c r="R1344" s="15">
        <f>IF($C1344="","",IF($L1344="","",IF(AND($K1344=2,$L1344&lt;$J1344,COUNTIFS(nrES_PID,$D1344,nrES_Code,$F1344,nrES_Att,1)&gt;0),"Yes","No")))</f>
        <v/>
      </c>
      <c r="S1344" s="16" t="n"/>
      <c r="T1344" s="17">
        <f>IF($Q1344&lt;&gt;"Yes","",IF($S1344="","(enter date)",_xlfn.LET(_xlpm.dn,IFERROR(_xlfn.XLOOKUP($S1344,nrCDdate,nrCDnum),""),IF(_xlpm.dn="","(not a class day)",IFERROR(_xlfn.XLOOKUP(_xlpm.dn+cfgRetestClassDays,nrCDnum,nrCDdate),"")))))</f>
        <v/>
      </c>
      <c r="U1344" s="15">
        <f>IF($Q1344&lt;&gt;"Yes","",IF(COUNTIFS(nrES_PID,$D1344,nrES_Code,$F1344,nrES_Att,2)&gt;0,"Retested",IF(OR($T1344="",NOT(ISNUMBER($T1344))),"Pending",IF(TODAY()&gt;$T1344,"OVERDUE","Due "&amp;TEXT($T1344,"mm/dd")))))</f>
        <v/>
      </c>
      <c r="V1344" s="14" t="n"/>
      <c r="W1344" s="14" t="n"/>
    </row>
    <row r="1345">
      <c r="B1345" s="15">
        <f>IF($C1345="","",$D1345&amp;"-"&amp;$F1345&amp;"-"&amp;$K1345)</f>
        <v/>
      </c>
      <c r="C1345" s="14" t="n"/>
      <c r="D1345" s="15">
        <f>IF($C1345="","",IFERROR(INDEX(rngCadetPIDs,MATCH($C1345,rngCadetNames,0)),"?"))</f>
        <v/>
      </c>
      <c r="E1345" s="15">
        <f>IF($D1345="","",IFERROR(INDEX(nrCadetAgency,MATCH($D1345,rngCadetPIDs,0)),""))</f>
        <v/>
      </c>
      <c r="F1345" s="14" t="n"/>
      <c r="G1345" s="15">
        <f>IF($F1345="","",IFERROR(INDEX(rngEPname,MATCH($F1345,rngEPcode,0)),"?"))</f>
        <v/>
      </c>
      <c r="H1345" s="15">
        <f>IF($F1345="","",IFERROR(INDEX(rngEPtype,MATCH($F1345,rngEPcode,0)),"?"))</f>
        <v/>
      </c>
      <c r="I1345" s="15">
        <f>IF($F1345="","",IFERROR(INDEX(rngEPseq,MATCH($F1345,rngEPcode,0)),""))</f>
        <v/>
      </c>
      <c r="J1345" s="15">
        <f>IF($F1345="","",IFERROR(INDEX(rngEPpass,MATCH($F1345,rngEPcode,0)),cfgPassingScore))</f>
        <v/>
      </c>
      <c r="K1345" s="14" t="n"/>
      <c r="L1345" s="14" t="n"/>
      <c r="M1345" s="15">
        <f>IF($C1345="","",IF($L1345="","",IF($K1345=1,IF(COUNTIFS(nrES_PID,$D1345,nrES_Code,$F1345,nrES_Att,2)&gt;0,"",$L1345),IF(COUNTIFS(nrES_PID,$D1345,nrES_Code,$F1345,nrES_Att,1)=0,$L1345,IF($L1345&gt;=$J1345,cfgRetakeRecordedCap,SUMIFS(nrES_Raw,nrES_PID,$D1345,nrES_Code,$F1345,nrES_Att,1))))))</f>
        <v/>
      </c>
      <c r="N1345" s="15">
        <f>IF($C1345="","",IF($L1345="","",IF($L1345&gt;=$J1345,"Yes","No")))</f>
        <v/>
      </c>
      <c r="O1345" s="15">
        <f>IF($C1345="","",IF($M1345="","",IF($M1345&gt;=$J1345,"Yes","No")))</f>
        <v/>
      </c>
      <c r="P1345" s="15">
        <f>IF($C1345="","",IF($K1345="","",IF(COUNTIFS(nrES_PID,$D1345,nrES_Code,$F1345,nrES_Att,"&gt;"&amp;$K1345)=0,"Yes","No")))</f>
        <v/>
      </c>
      <c r="Q1345" s="15">
        <f>IF($C1345="","",IF($L1345="","",IF(AND($K1345=1,$L1345&lt;$J1345,COUNTIFS(nrES_PID,$D1345,nrES_Code,$F1345,nrES_Att,2)=0),"Yes","No")))</f>
        <v/>
      </c>
      <c r="R1345" s="15">
        <f>IF($C1345="","",IF($L1345="","",IF(AND($K1345=2,$L1345&lt;$J1345,COUNTIFS(nrES_PID,$D1345,nrES_Code,$F1345,nrES_Att,1)&gt;0),"Yes","No")))</f>
        <v/>
      </c>
      <c r="S1345" s="16" t="n"/>
      <c r="T1345" s="17">
        <f>IF($Q1345&lt;&gt;"Yes","",IF($S1345="","(enter date)",_xlfn.LET(_xlpm.dn,IFERROR(_xlfn.XLOOKUP($S1345,nrCDdate,nrCDnum),""),IF(_xlpm.dn="","(not a class day)",IFERROR(_xlfn.XLOOKUP(_xlpm.dn+cfgRetestClassDays,nrCDnum,nrCDdate),"")))))</f>
        <v/>
      </c>
      <c r="U1345" s="15">
        <f>IF($Q1345&lt;&gt;"Yes","",IF(COUNTIFS(nrES_PID,$D1345,nrES_Code,$F1345,nrES_Att,2)&gt;0,"Retested",IF(OR($T1345="",NOT(ISNUMBER($T1345))),"Pending",IF(TODAY()&gt;$T1345,"OVERDUE","Due "&amp;TEXT($T1345,"mm/dd")))))</f>
        <v/>
      </c>
      <c r="V1345" s="14" t="n"/>
      <c r="W1345" s="14" t="n"/>
    </row>
    <row r="1346">
      <c r="B1346" s="15">
        <f>IF($C1346="","",$D1346&amp;"-"&amp;$F1346&amp;"-"&amp;$K1346)</f>
        <v/>
      </c>
      <c r="C1346" s="14" t="n"/>
      <c r="D1346" s="15">
        <f>IF($C1346="","",IFERROR(INDEX(rngCadetPIDs,MATCH($C1346,rngCadetNames,0)),"?"))</f>
        <v/>
      </c>
      <c r="E1346" s="15">
        <f>IF($D1346="","",IFERROR(INDEX(nrCadetAgency,MATCH($D1346,rngCadetPIDs,0)),""))</f>
        <v/>
      </c>
      <c r="F1346" s="14" t="n"/>
      <c r="G1346" s="15">
        <f>IF($F1346="","",IFERROR(INDEX(rngEPname,MATCH($F1346,rngEPcode,0)),"?"))</f>
        <v/>
      </c>
      <c r="H1346" s="15">
        <f>IF($F1346="","",IFERROR(INDEX(rngEPtype,MATCH($F1346,rngEPcode,0)),"?"))</f>
        <v/>
      </c>
      <c r="I1346" s="15">
        <f>IF($F1346="","",IFERROR(INDEX(rngEPseq,MATCH($F1346,rngEPcode,0)),""))</f>
        <v/>
      </c>
      <c r="J1346" s="15">
        <f>IF($F1346="","",IFERROR(INDEX(rngEPpass,MATCH($F1346,rngEPcode,0)),cfgPassingScore))</f>
        <v/>
      </c>
      <c r="K1346" s="14" t="n"/>
      <c r="L1346" s="14" t="n"/>
      <c r="M1346" s="15">
        <f>IF($C1346="","",IF($L1346="","",IF($K1346=1,IF(COUNTIFS(nrES_PID,$D1346,nrES_Code,$F1346,nrES_Att,2)&gt;0,"",$L1346),IF(COUNTIFS(nrES_PID,$D1346,nrES_Code,$F1346,nrES_Att,1)=0,$L1346,IF($L1346&gt;=$J1346,cfgRetakeRecordedCap,SUMIFS(nrES_Raw,nrES_PID,$D1346,nrES_Code,$F1346,nrES_Att,1))))))</f>
        <v/>
      </c>
      <c r="N1346" s="15">
        <f>IF($C1346="","",IF($L1346="","",IF($L1346&gt;=$J1346,"Yes","No")))</f>
        <v/>
      </c>
      <c r="O1346" s="15">
        <f>IF($C1346="","",IF($M1346="","",IF($M1346&gt;=$J1346,"Yes","No")))</f>
        <v/>
      </c>
      <c r="P1346" s="15">
        <f>IF($C1346="","",IF($K1346="","",IF(COUNTIFS(nrES_PID,$D1346,nrES_Code,$F1346,nrES_Att,"&gt;"&amp;$K1346)=0,"Yes","No")))</f>
        <v/>
      </c>
      <c r="Q1346" s="15">
        <f>IF($C1346="","",IF($L1346="","",IF(AND($K1346=1,$L1346&lt;$J1346,COUNTIFS(nrES_PID,$D1346,nrES_Code,$F1346,nrES_Att,2)=0),"Yes","No")))</f>
        <v/>
      </c>
      <c r="R1346" s="15">
        <f>IF($C1346="","",IF($L1346="","",IF(AND($K1346=2,$L1346&lt;$J1346,COUNTIFS(nrES_PID,$D1346,nrES_Code,$F1346,nrES_Att,1)&gt;0),"Yes","No")))</f>
        <v/>
      </c>
      <c r="S1346" s="16" t="n"/>
      <c r="T1346" s="17">
        <f>IF($Q1346&lt;&gt;"Yes","",IF($S1346="","(enter date)",_xlfn.LET(_xlpm.dn,IFERROR(_xlfn.XLOOKUP($S1346,nrCDdate,nrCDnum),""),IF(_xlpm.dn="","(not a class day)",IFERROR(_xlfn.XLOOKUP(_xlpm.dn+cfgRetestClassDays,nrCDnum,nrCDdate),"")))))</f>
        <v/>
      </c>
      <c r="U1346" s="15">
        <f>IF($Q1346&lt;&gt;"Yes","",IF(COUNTIFS(nrES_PID,$D1346,nrES_Code,$F1346,nrES_Att,2)&gt;0,"Retested",IF(OR($T1346="",NOT(ISNUMBER($T1346))),"Pending",IF(TODAY()&gt;$T1346,"OVERDUE","Due "&amp;TEXT($T1346,"mm/dd")))))</f>
        <v/>
      </c>
      <c r="V1346" s="14" t="n"/>
      <c r="W1346" s="14" t="n"/>
    </row>
    <row r="1347">
      <c r="B1347" s="15">
        <f>IF($C1347="","",$D1347&amp;"-"&amp;$F1347&amp;"-"&amp;$K1347)</f>
        <v/>
      </c>
      <c r="C1347" s="14" t="n"/>
      <c r="D1347" s="15">
        <f>IF($C1347="","",IFERROR(INDEX(rngCadetPIDs,MATCH($C1347,rngCadetNames,0)),"?"))</f>
        <v/>
      </c>
      <c r="E1347" s="15">
        <f>IF($D1347="","",IFERROR(INDEX(nrCadetAgency,MATCH($D1347,rngCadetPIDs,0)),""))</f>
        <v/>
      </c>
      <c r="F1347" s="14" t="n"/>
      <c r="G1347" s="15">
        <f>IF($F1347="","",IFERROR(INDEX(rngEPname,MATCH($F1347,rngEPcode,0)),"?"))</f>
        <v/>
      </c>
      <c r="H1347" s="15">
        <f>IF($F1347="","",IFERROR(INDEX(rngEPtype,MATCH($F1347,rngEPcode,0)),"?"))</f>
        <v/>
      </c>
      <c r="I1347" s="15">
        <f>IF($F1347="","",IFERROR(INDEX(rngEPseq,MATCH($F1347,rngEPcode,0)),""))</f>
        <v/>
      </c>
      <c r="J1347" s="15">
        <f>IF($F1347="","",IFERROR(INDEX(rngEPpass,MATCH($F1347,rngEPcode,0)),cfgPassingScore))</f>
        <v/>
      </c>
      <c r="K1347" s="14" t="n"/>
      <c r="L1347" s="14" t="n"/>
      <c r="M1347" s="15">
        <f>IF($C1347="","",IF($L1347="","",IF($K1347=1,IF(COUNTIFS(nrES_PID,$D1347,nrES_Code,$F1347,nrES_Att,2)&gt;0,"",$L1347),IF(COUNTIFS(nrES_PID,$D1347,nrES_Code,$F1347,nrES_Att,1)=0,$L1347,IF($L1347&gt;=$J1347,cfgRetakeRecordedCap,SUMIFS(nrES_Raw,nrES_PID,$D1347,nrES_Code,$F1347,nrES_Att,1))))))</f>
        <v/>
      </c>
      <c r="N1347" s="15">
        <f>IF($C1347="","",IF($L1347="","",IF($L1347&gt;=$J1347,"Yes","No")))</f>
        <v/>
      </c>
      <c r="O1347" s="15">
        <f>IF($C1347="","",IF($M1347="","",IF($M1347&gt;=$J1347,"Yes","No")))</f>
        <v/>
      </c>
      <c r="P1347" s="15">
        <f>IF($C1347="","",IF($K1347="","",IF(COUNTIFS(nrES_PID,$D1347,nrES_Code,$F1347,nrES_Att,"&gt;"&amp;$K1347)=0,"Yes","No")))</f>
        <v/>
      </c>
      <c r="Q1347" s="15">
        <f>IF($C1347="","",IF($L1347="","",IF(AND($K1347=1,$L1347&lt;$J1347,COUNTIFS(nrES_PID,$D1347,nrES_Code,$F1347,nrES_Att,2)=0),"Yes","No")))</f>
        <v/>
      </c>
      <c r="R1347" s="15">
        <f>IF($C1347="","",IF($L1347="","",IF(AND($K1347=2,$L1347&lt;$J1347,COUNTIFS(nrES_PID,$D1347,nrES_Code,$F1347,nrES_Att,1)&gt;0),"Yes","No")))</f>
        <v/>
      </c>
      <c r="S1347" s="16" t="n"/>
      <c r="T1347" s="17">
        <f>IF($Q1347&lt;&gt;"Yes","",IF($S1347="","(enter date)",_xlfn.LET(_xlpm.dn,IFERROR(_xlfn.XLOOKUP($S1347,nrCDdate,nrCDnum),""),IF(_xlpm.dn="","(not a class day)",IFERROR(_xlfn.XLOOKUP(_xlpm.dn+cfgRetestClassDays,nrCDnum,nrCDdate),"")))))</f>
        <v/>
      </c>
      <c r="U1347" s="15">
        <f>IF($Q1347&lt;&gt;"Yes","",IF(COUNTIFS(nrES_PID,$D1347,nrES_Code,$F1347,nrES_Att,2)&gt;0,"Retested",IF(OR($T1347="",NOT(ISNUMBER($T1347))),"Pending",IF(TODAY()&gt;$T1347,"OVERDUE","Due "&amp;TEXT($T1347,"mm/dd")))))</f>
        <v/>
      </c>
      <c r="V1347" s="14" t="n"/>
      <c r="W1347" s="14" t="n"/>
    </row>
    <row r="1348">
      <c r="B1348" s="15">
        <f>IF($C1348="","",$D1348&amp;"-"&amp;$F1348&amp;"-"&amp;$K1348)</f>
        <v/>
      </c>
      <c r="C1348" s="14" t="n"/>
      <c r="D1348" s="15">
        <f>IF($C1348="","",IFERROR(INDEX(rngCadetPIDs,MATCH($C1348,rngCadetNames,0)),"?"))</f>
        <v/>
      </c>
      <c r="E1348" s="15">
        <f>IF($D1348="","",IFERROR(INDEX(nrCadetAgency,MATCH($D1348,rngCadetPIDs,0)),""))</f>
        <v/>
      </c>
      <c r="F1348" s="14" t="n"/>
      <c r="G1348" s="15">
        <f>IF($F1348="","",IFERROR(INDEX(rngEPname,MATCH($F1348,rngEPcode,0)),"?"))</f>
        <v/>
      </c>
      <c r="H1348" s="15">
        <f>IF($F1348="","",IFERROR(INDEX(rngEPtype,MATCH($F1348,rngEPcode,0)),"?"))</f>
        <v/>
      </c>
      <c r="I1348" s="15">
        <f>IF($F1348="","",IFERROR(INDEX(rngEPseq,MATCH($F1348,rngEPcode,0)),""))</f>
        <v/>
      </c>
      <c r="J1348" s="15">
        <f>IF($F1348="","",IFERROR(INDEX(rngEPpass,MATCH($F1348,rngEPcode,0)),cfgPassingScore))</f>
        <v/>
      </c>
      <c r="K1348" s="14" t="n"/>
      <c r="L1348" s="14" t="n"/>
      <c r="M1348" s="15">
        <f>IF($C1348="","",IF($L1348="","",IF($K1348=1,IF(COUNTIFS(nrES_PID,$D1348,nrES_Code,$F1348,nrES_Att,2)&gt;0,"",$L1348),IF(COUNTIFS(nrES_PID,$D1348,nrES_Code,$F1348,nrES_Att,1)=0,$L1348,IF($L1348&gt;=$J1348,cfgRetakeRecordedCap,SUMIFS(nrES_Raw,nrES_PID,$D1348,nrES_Code,$F1348,nrES_Att,1))))))</f>
        <v/>
      </c>
      <c r="N1348" s="15">
        <f>IF($C1348="","",IF($L1348="","",IF($L1348&gt;=$J1348,"Yes","No")))</f>
        <v/>
      </c>
      <c r="O1348" s="15">
        <f>IF($C1348="","",IF($M1348="","",IF($M1348&gt;=$J1348,"Yes","No")))</f>
        <v/>
      </c>
      <c r="P1348" s="15">
        <f>IF($C1348="","",IF($K1348="","",IF(COUNTIFS(nrES_PID,$D1348,nrES_Code,$F1348,nrES_Att,"&gt;"&amp;$K1348)=0,"Yes","No")))</f>
        <v/>
      </c>
      <c r="Q1348" s="15">
        <f>IF($C1348="","",IF($L1348="","",IF(AND($K1348=1,$L1348&lt;$J1348,COUNTIFS(nrES_PID,$D1348,nrES_Code,$F1348,nrES_Att,2)=0),"Yes","No")))</f>
        <v/>
      </c>
      <c r="R1348" s="15">
        <f>IF($C1348="","",IF($L1348="","",IF(AND($K1348=2,$L1348&lt;$J1348,COUNTIFS(nrES_PID,$D1348,nrES_Code,$F1348,nrES_Att,1)&gt;0),"Yes","No")))</f>
        <v/>
      </c>
      <c r="S1348" s="16" t="n"/>
      <c r="T1348" s="17">
        <f>IF($Q1348&lt;&gt;"Yes","",IF($S1348="","(enter date)",_xlfn.LET(_xlpm.dn,IFERROR(_xlfn.XLOOKUP($S1348,nrCDdate,nrCDnum),""),IF(_xlpm.dn="","(not a class day)",IFERROR(_xlfn.XLOOKUP(_xlpm.dn+cfgRetestClassDays,nrCDnum,nrCDdate),"")))))</f>
        <v/>
      </c>
      <c r="U1348" s="15">
        <f>IF($Q1348&lt;&gt;"Yes","",IF(COUNTIFS(nrES_PID,$D1348,nrES_Code,$F1348,nrES_Att,2)&gt;0,"Retested",IF(OR($T1348="",NOT(ISNUMBER($T1348))),"Pending",IF(TODAY()&gt;$T1348,"OVERDUE","Due "&amp;TEXT($T1348,"mm/dd")))))</f>
        <v/>
      </c>
      <c r="V1348" s="14" t="n"/>
      <c r="W1348" s="14" t="n"/>
    </row>
    <row r="1349">
      <c r="B1349" s="15">
        <f>IF($C1349="","",$D1349&amp;"-"&amp;$F1349&amp;"-"&amp;$K1349)</f>
        <v/>
      </c>
      <c r="C1349" s="14" t="n"/>
      <c r="D1349" s="15">
        <f>IF($C1349="","",IFERROR(INDEX(rngCadetPIDs,MATCH($C1349,rngCadetNames,0)),"?"))</f>
        <v/>
      </c>
      <c r="E1349" s="15">
        <f>IF($D1349="","",IFERROR(INDEX(nrCadetAgency,MATCH($D1349,rngCadetPIDs,0)),""))</f>
        <v/>
      </c>
      <c r="F1349" s="14" t="n"/>
      <c r="G1349" s="15">
        <f>IF($F1349="","",IFERROR(INDEX(rngEPname,MATCH($F1349,rngEPcode,0)),"?"))</f>
        <v/>
      </c>
      <c r="H1349" s="15">
        <f>IF($F1349="","",IFERROR(INDEX(rngEPtype,MATCH($F1349,rngEPcode,0)),"?"))</f>
        <v/>
      </c>
      <c r="I1349" s="15">
        <f>IF($F1349="","",IFERROR(INDEX(rngEPseq,MATCH($F1349,rngEPcode,0)),""))</f>
        <v/>
      </c>
      <c r="J1349" s="15">
        <f>IF($F1349="","",IFERROR(INDEX(rngEPpass,MATCH($F1349,rngEPcode,0)),cfgPassingScore))</f>
        <v/>
      </c>
      <c r="K1349" s="14" t="n"/>
      <c r="L1349" s="14" t="n"/>
      <c r="M1349" s="15">
        <f>IF($C1349="","",IF($L1349="","",IF($K1349=1,IF(COUNTIFS(nrES_PID,$D1349,nrES_Code,$F1349,nrES_Att,2)&gt;0,"",$L1349),IF(COUNTIFS(nrES_PID,$D1349,nrES_Code,$F1349,nrES_Att,1)=0,$L1349,IF($L1349&gt;=$J1349,cfgRetakeRecordedCap,SUMIFS(nrES_Raw,nrES_PID,$D1349,nrES_Code,$F1349,nrES_Att,1))))))</f>
        <v/>
      </c>
      <c r="N1349" s="15">
        <f>IF($C1349="","",IF($L1349="","",IF($L1349&gt;=$J1349,"Yes","No")))</f>
        <v/>
      </c>
      <c r="O1349" s="15">
        <f>IF($C1349="","",IF($M1349="","",IF($M1349&gt;=$J1349,"Yes","No")))</f>
        <v/>
      </c>
      <c r="P1349" s="15">
        <f>IF($C1349="","",IF($K1349="","",IF(COUNTIFS(nrES_PID,$D1349,nrES_Code,$F1349,nrES_Att,"&gt;"&amp;$K1349)=0,"Yes","No")))</f>
        <v/>
      </c>
      <c r="Q1349" s="15">
        <f>IF($C1349="","",IF($L1349="","",IF(AND($K1349=1,$L1349&lt;$J1349,COUNTIFS(nrES_PID,$D1349,nrES_Code,$F1349,nrES_Att,2)=0),"Yes","No")))</f>
        <v/>
      </c>
      <c r="R1349" s="15">
        <f>IF($C1349="","",IF($L1349="","",IF(AND($K1349=2,$L1349&lt;$J1349,COUNTIFS(nrES_PID,$D1349,nrES_Code,$F1349,nrES_Att,1)&gt;0),"Yes","No")))</f>
        <v/>
      </c>
      <c r="S1349" s="16" t="n"/>
      <c r="T1349" s="17">
        <f>IF($Q1349&lt;&gt;"Yes","",IF($S1349="","(enter date)",_xlfn.LET(_xlpm.dn,IFERROR(_xlfn.XLOOKUP($S1349,nrCDdate,nrCDnum),""),IF(_xlpm.dn="","(not a class day)",IFERROR(_xlfn.XLOOKUP(_xlpm.dn+cfgRetestClassDays,nrCDnum,nrCDdate),"")))))</f>
        <v/>
      </c>
      <c r="U1349" s="15">
        <f>IF($Q1349&lt;&gt;"Yes","",IF(COUNTIFS(nrES_PID,$D1349,nrES_Code,$F1349,nrES_Att,2)&gt;0,"Retested",IF(OR($T1349="",NOT(ISNUMBER($T1349))),"Pending",IF(TODAY()&gt;$T1349,"OVERDUE","Due "&amp;TEXT($T1349,"mm/dd")))))</f>
        <v/>
      </c>
      <c r="V1349" s="14" t="n"/>
      <c r="W1349" s="14" t="n"/>
    </row>
    <row r="1350">
      <c r="B1350" s="15">
        <f>IF($C1350="","",$D1350&amp;"-"&amp;$F1350&amp;"-"&amp;$K1350)</f>
        <v/>
      </c>
      <c r="C1350" s="14" t="n"/>
      <c r="D1350" s="15">
        <f>IF($C1350="","",IFERROR(INDEX(rngCadetPIDs,MATCH($C1350,rngCadetNames,0)),"?"))</f>
        <v/>
      </c>
      <c r="E1350" s="15">
        <f>IF($D1350="","",IFERROR(INDEX(nrCadetAgency,MATCH($D1350,rngCadetPIDs,0)),""))</f>
        <v/>
      </c>
      <c r="F1350" s="14" t="n"/>
      <c r="G1350" s="15">
        <f>IF($F1350="","",IFERROR(INDEX(rngEPname,MATCH($F1350,rngEPcode,0)),"?"))</f>
        <v/>
      </c>
      <c r="H1350" s="15">
        <f>IF($F1350="","",IFERROR(INDEX(rngEPtype,MATCH($F1350,rngEPcode,0)),"?"))</f>
        <v/>
      </c>
      <c r="I1350" s="15">
        <f>IF($F1350="","",IFERROR(INDEX(rngEPseq,MATCH($F1350,rngEPcode,0)),""))</f>
        <v/>
      </c>
      <c r="J1350" s="15">
        <f>IF($F1350="","",IFERROR(INDEX(rngEPpass,MATCH($F1350,rngEPcode,0)),cfgPassingScore))</f>
        <v/>
      </c>
      <c r="K1350" s="14" t="n"/>
      <c r="L1350" s="14" t="n"/>
      <c r="M1350" s="15">
        <f>IF($C1350="","",IF($L1350="","",IF($K1350=1,IF(COUNTIFS(nrES_PID,$D1350,nrES_Code,$F1350,nrES_Att,2)&gt;0,"",$L1350),IF(COUNTIFS(nrES_PID,$D1350,nrES_Code,$F1350,nrES_Att,1)=0,$L1350,IF($L1350&gt;=$J1350,cfgRetakeRecordedCap,SUMIFS(nrES_Raw,nrES_PID,$D1350,nrES_Code,$F1350,nrES_Att,1))))))</f>
        <v/>
      </c>
      <c r="N1350" s="15">
        <f>IF($C1350="","",IF($L1350="","",IF($L1350&gt;=$J1350,"Yes","No")))</f>
        <v/>
      </c>
      <c r="O1350" s="15">
        <f>IF($C1350="","",IF($M1350="","",IF($M1350&gt;=$J1350,"Yes","No")))</f>
        <v/>
      </c>
      <c r="P1350" s="15">
        <f>IF($C1350="","",IF($K1350="","",IF(COUNTIFS(nrES_PID,$D1350,nrES_Code,$F1350,nrES_Att,"&gt;"&amp;$K1350)=0,"Yes","No")))</f>
        <v/>
      </c>
      <c r="Q1350" s="15">
        <f>IF($C1350="","",IF($L1350="","",IF(AND($K1350=1,$L1350&lt;$J1350,COUNTIFS(nrES_PID,$D1350,nrES_Code,$F1350,nrES_Att,2)=0),"Yes","No")))</f>
        <v/>
      </c>
      <c r="R1350" s="15">
        <f>IF($C1350="","",IF($L1350="","",IF(AND($K1350=2,$L1350&lt;$J1350,COUNTIFS(nrES_PID,$D1350,nrES_Code,$F1350,nrES_Att,1)&gt;0),"Yes","No")))</f>
        <v/>
      </c>
      <c r="S1350" s="16" t="n"/>
      <c r="T1350" s="17">
        <f>IF($Q1350&lt;&gt;"Yes","",IF($S1350="","(enter date)",_xlfn.LET(_xlpm.dn,IFERROR(_xlfn.XLOOKUP($S1350,nrCDdate,nrCDnum),""),IF(_xlpm.dn="","(not a class day)",IFERROR(_xlfn.XLOOKUP(_xlpm.dn+cfgRetestClassDays,nrCDnum,nrCDdate),"")))))</f>
        <v/>
      </c>
      <c r="U1350" s="15">
        <f>IF($Q1350&lt;&gt;"Yes","",IF(COUNTIFS(nrES_PID,$D1350,nrES_Code,$F1350,nrES_Att,2)&gt;0,"Retested",IF(OR($T1350="",NOT(ISNUMBER($T1350))),"Pending",IF(TODAY()&gt;$T1350,"OVERDUE","Due "&amp;TEXT($T1350,"mm/dd")))))</f>
        <v/>
      </c>
      <c r="V1350" s="14" t="n"/>
      <c r="W1350" s="14" t="n"/>
    </row>
    <row r="1351">
      <c r="B1351" s="15">
        <f>IF($C1351="","",$D1351&amp;"-"&amp;$F1351&amp;"-"&amp;$K1351)</f>
        <v/>
      </c>
      <c r="C1351" s="14" t="n"/>
      <c r="D1351" s="15">
        <f>IF($C1351="","",IFERROR(INDEX(rngCadetPIDs,MATCH($C1351,rngCadetNames,0)),"?"))</f>
        <v/>
      </c>
      <c r="E1351" s="15">
        <f>IF($D1351="","",IFERROR(INDEX(nrCadetAgency,MATCH($D1351,rngCadetPIDs,0)),""))</f>
        <v/>
      </c>
      <c r="F1351" s="14" t="n"/>
      <c r="G1351" s="15">
        <f>IF($F1351="","",IFERROR(INDEX(rngEPname,MATCH($F1351,rngEPcode,0)),"?"))</f>
        <v/>
      </c>
      <c r="H1351" s="15">
        <f>IF($F1351="","",IFERROR(INDEX(rngEPtype,MATCH($F1351,rngEPcode,0)),"?"))</f>
        <v/>
      </c>
      <c r="I1351" s="15">
        <f>IF($F1351="","",IFERROR(INDEX(rngEPseq,MATCH($F1351,rngEPcode,0)),""))</f>
        <v/>
      </c>
      <c r="J1351" s="15">
        <f>IF($F1351="","",IFERROR(INDEX(rngEPpass,MATCH($F1351,rngEPcode,0)),cfgPassingScore))</f>
        <v/>
      </c>
      <c r="K1351" s="14" t="n"/>
      <c r="L1351" s="14" t="n"/>
      <c r="M1351" s="15">
        <f>IF($C1351="","",IF($L1351="","",IF($K1351=1,IF(COUNTIFS(nrES_PID,$D1351,nrES_Code,$F1351,nrES_Att,2)&gt;0,"",$L1351),IF(COUNTIFS(nrES_PID,$D1351,nrES_Code,$F1351,nrES_Att,1)=0,$L1351,IF($L1351&gt;=$J1351,cfgRetakeRecordedCap,SUMIFS(nrES_Raw,nrES_PID,$D1351,nrES_Code,$F1351,nrES_Att,1))))))</f>
        <v/>
      </c>
      <c r="N1351" s="15">
        <f>IF($C1351="","",IF($L1351="","",IF($L1351&gt;=$J1351,"Yes","No")))</f>
        <v/>
      </c>
      <c r="O1351" s="15">
        <f>IF($C1351="","",IF($M1351="","",IF($M1351&gt;=$J1351,"Yes","No")))</f>
        <v/>
      </c>
      <c r="P1351" s="15">
        <f>IF($C1351="","",IF($K1351="","",IF(COUNTIFS(nrES_PID,$D1351,nrES_Code,$F1351,nrES_Att,"&gt;"&amp;$K1351)=0,"Yes","No")))</f>
        <v/>
      </c>
      <c r="Q1351" s="15">
        <f>IF($C1351="","",IF($L1351="","",IF(AND($K1351=1,$L1351&lt;$J1351,COUNTIFS(nrES_PID,$D1351,nrES_Code,$F1351,nrES_Att,2)=0),"Yes","No")))</f>
        <v/>
      </c>
      <c r="R1351" s="15">
        <f>IF($C1351="","",IF($L1351="","",IF(AND($K1351=2,$L1351&lt;$J1351,COUNTIFS(nrES_PID,$D1351,nrES_Code,$F1351,nrES_Att,1)&gt;0),"Yes","No")))</f>
        <v/>
      </c>
      <c r="S1351" s="16" t="n"/>
      <c r="T1351" s="17">
        <f>IF($Q1351&lt;&gt;"Yes","",IF($S1351="","(enter date)",_xlfn.LET(_xlpm.dn,IFERROR(_xlfn.XLOOKUP($S1351,nrCDdate,nrCDnum),""),IF(_xlpm.dn="","(not a class day)",IFERROR(_xlfn.XLOOKUP(_xlpm.dn+cfgRetestClassDays,nrCDnum,nrCDdate),"")))))</f>
        <v/>
      </c>
      <c r="U1351" s="15">
        <f>IF($Q1351&lt;&gt;"Yes","",IF(COUNTIFS(nrES_PID,$D1351,nrES_Code,$F1351,nrES_Att,2)&gt;0,"Retested",IF(OR($T1351="",NOT(ISNUMBER($T1351))),"Pending",IF(TODAY()&gt;$T1351,"OVERDUE","Due "&amp;TEXT($T1351,"mm/dd")))))</f>
        <v/>
      </c>
      <c r="V1351" s="14" t="n"/>
      <c r="W1351" s="14" t="n"/>
    </row>
    <row r="1352">
      <c r="B1352" s="15">
        <f>IF($C1352="","",$D1352&amp;"-"&amp;$F1352&amp;"-"&amp;$K1352)</f>
        <v/>
      </c>
      <c r="C1352" s="14" t="n"/>
      <c r="D1352" s="15">
        <f>IF($C1352="","",IFERROR(INDEX(rngCadetPIDs,MATCH($C1352,rngCadetNames,0)),"?"))</f>
        <v/>
      </c>
      <c r="E1352" s="15">
        <f>IF($D1352="","",IFERROR(INDEX(nrCadetAgency,MATCH($D1352,rngCadetPIDs,0)),""))</f>
        <v/>
      </c>
      <c r="F1352" s="14" t="n"/>
      <c r="G1352" s="15">
        <f>IF($F1352="","",IFERROR(INDEX(rngEPname,MATCH($F1352,rngEPcode,0)),"?"))</f>
        <v/>
      </c>
      <c r="H1352" s="15">
        <f>IF($F1352="","",IFERROR(INDEX(rngEPtype,MATCH($F1352,rngEPcode,0)),"?"))</f>
        <v/>
      </c>
      <c r="I1352" s="15">
        <f>IF($F1352="","",IFERROR(INDEX(rngEPseq,MATCH($F1352,rngEPcode,0)),""))</f>
        <v/>
      </c>
      <c r="J1352" s="15">
        <f>IF($F1352="","",IFERROR(INDEX(rngEPpass,MATCH($F1352,rngEPcode,0)),cfgPassingScore))</f>
        <v/>
      </c>
      <c r="K1352" s="14" t="n"/>
      <c r="L1352" s="14" t="n"/>
      <c r="M1352" s="15">
        <f>IF($C1352="","",IF($L1352="","",IF($K1352=1,IF(COUNTIFS(nrES_PID,$D1352,nrES_Code,$F1352,nrES_Att,2)&gt;0,"",$L1352),IF(COUNTIFS(nrES_PID,$D1352,nrES_Code,$F1352,nrES_Att,1)=0,$L1352,IF($L1352&gt;=$J1352,cfgRetakeRecordedCap,SUMIFS(nrES_Raw,nrES_PID,$D1352,nrES_Code,$F1352,nrES_Att,1))))))</f>
        <v/>
      </c>
      <c r="N1352" s="15">
        <f>IF($C1352="","",IF($L1352="","",IF($L1352&gt;=$J1352,"Yes","No")))</f>
        <v/>
      </c>
      <c r="O1352" s="15">
        <f>IF($C1352="","",IF($M1352="","",IF($M1352&gt;=$J1352,"Yes","No")))</f>
        <v/>
      </c>
      <c r="P1352" s="15">
        <f>IF($C1352="","",IF($K1352="","",IF(COUNTIFS(nrES_PID,$D1352,nrES_Code,$F1352,nrES_Att,"&gt;"&amp;$K1352)=0,"Yes","No")))</f>
        <v/>
      </c>
      <c r="Q1352" s="15">
        <f>IF($C1352="","",IF($L1352="","",IF(AND($K1352=1,$L1352&lt;$J1352,COUNTIFS(nrES_PID,$D1352,nrES_Code,$F1352,nrES_Att,2)=0),"Yes","No")))</f>
        <v/>
      </c>
      <c r="R1352" s="15">
        <f>IF($C1352="","",IF($L1352="","",IF(AND($K1352=2,$L1352&lt;$J1352,COUNTIFS(nrES_PID,$D1352,nrES_Code,$F1352,nrES_Att,1)&gt;0),"Yes","No")))</f>
        <v/>
      </c>
      <c r="S1352" s="16" t="n"/>
      <c r="T1352" s="17">
        <f>IF($Q1352&lt;&gt;"Yes","",IF($S1352="","(enter date)",_xlfn.LET(_xlpm.dn,IFERROR(_xlfn.XLOOKUP($S1352,nrCDdate,nrCDnum),""),IF(_xlpm.dn="","(not a class day)",IFERROR(_xlfn.XLOOKUP(_xlpm.dn+cfgRetestClassDays,nrCDnum,nrCDdate),"")))))</f>
        <v/>
      </c>
      <c r="U1352" s="15">
        <f>IF($Q1352&lt;&gt;"Yes","",IF(COUNTIFS(nrES_PID,$D1352,nrES_Code,$F1352,nrES_Att,2)&gt;0,"Retested",IF(OR($T1352="",NOT(ISNUMBER($T1352))),"Pending",IF(TODAY()&gt;$T1352,"OVERDUE","Due "&amp;TEXT($T1352,"mm/dd")))))</f>
        <v/>
      </c>
      <c r="V1352" s="14" t="n"/>
      <c r="W1352" s="14" t="n"/>
    </row>
    <row r="1353">
      <c r="B1353" s="15">
        <f>IF($C1353="","",$D1353&amp;"-"&amp;$F1353&amp;"-"&amp;$K1353)</f>
        <v/>
      </c>
      <c r="C1353" s="14" t="n"/>
      <c r="D1353" s="15">
        <f>IF($C1353="","",IFERROR(INDEX(rngCadetPIDs,MATCH($C1353,rngCadetNames,0)),"?"))</f>
        <v/>
      </c>
      <c r="E1353" s="15">
        <f>IF($D1353="","",IFERROR(INDEX(nrCadetAgency,MATCH($D1353,rngCadetPIDs,0)),""))</f>
        <v/>
      </c>
      <c r="F1353" s="14" t="n"/>
      <c r="G1353" s="15">
        <f>IF($F1353="","",IFERROR(INDEX(rngEPname,MATCH($F1353,rngEPcode,0)),"?"))</f>
        <v/>
      </c>
      <c r="H1353" s="15">
        <f>IF($F1353="","",IFERROR(INDEX(rngEPtype,MATCH($F1353,rngEPcode,0)),"?"))</f>
        <v/>
      </c>
      <c r="I1353" s="15">
        <f>IF($F1353="","",IFERROR(INDEX(rngEPseq,MATCH($F1353,rngEPcode,0)),""))</f>
        <v/>
      </c>
      <c r="J1353" s="15">
        <f>IF($F1353="","",IFERROR(INDEX(rngEPpass,MATCH($F1353,rngEPcode,0)),cfgPassingScore))</f>
        <v/>
      </c>
      <c r="K1353" s="14" t="n"/>
      <c r="L1353" s="14" t="n"/>
      <c r="M1353" s="15">
        <f>IF($C1353="","",IF($L1353="","",IF($K1353=1,IF(COUNTIFS(nrES_PID,$D1353,nrES_Code,$F1353,nrES_Att,2)&gt;0,"",$L1353),IF(COUNTIFS(nrES_PID,$D1353,nrES_Code,$F1353,nrES_Att,1)=0,$L1353,IF($L1353&gt;=$J1353,cfgRetakeRecordedCap,SUMIFS(nrES_Raw,nrES_PID,$D1353,nrES_Code,$F1353,nrES_Att,1))))))</f>
        <v/>
      </c>
      <c r="N1353" s="15">
        <f>IF($C1353="","",IF($L1353="","",IF($L1353&gt;=$J1353,"Yes","No")))</f>
        <v/>
      </c>
      <c r="O1353" s="15">
        <f>IF($C1353="","",IF($M1353="","",IF($M1353&gt;=$J1353,"Yes","No")))</f>
        <v/>
      </c>
      <c r="P1353" s="15">
        <f>IF($C1353="","",IF($K1353="","",IF(COUNTIFS(nrES_PID,$D1353,nrES_Code,$F1353,nrES_Att,"&gt;"&amp;$K1353)=0,"Yes","No")))</f>
        <v/>
      </c>
      <c r="Q1353" s="15">
        <f>IF($C1353="","",IF($L1353="","",IF(AND($K1353=1,$L1353&lt;$J1353,COUNTIFS(nrES_PID,$D1353,nrES_Code,$F1353,nrES_Att,2)=0),"Yes","No")))</f>
        <v/>
      </c>
      <c r="R1353" s="15">
        <f>IF($C1353="","",IF($L1353="","",IF(AND($K1353=2,$L1353&lt;$J1353,COUNTIFS(nrES_PID,$D1353,nrES_Code,$F1353,nrES_Att,1)&gt;0),"Yes","No")))</f>
        <v/>
      </c>
      <c r="S1353" s="16" t="n"/>
      <c r="T1353" s="17">
        <f>IF($Q1353&lt;&gt;"Yes","",IF($S1353="","(enter date)",_xlfn.LET(_xlpm.dn,IFERROR(_xlfn.XLOOKUP($S1353,nrCDdate,nrCDnum),""),IF(_xlpm.dn="","(not a class day)",IFERROR(_xlfn.XLOOKUP(_xlpm.dn+cfgRetestClassDays,nrCDnum,nrCDdate),"")))))</f>
        <v/>
      </c>
      <c r="U1353" s="15">
        <f>IF($Q1353&lt;&gt;"Yes","",IF(COUNTIFS(nrES_PID,$D1353,nrES_Code,$F1353,nrES_Att,2)&gt;0,"Retested",IF(OR($T1353="",NOT(ISNUMBER($T1353))),"Pending",IF(TODAY()&gt;$T1353,"OVERDUE","Due "&amp;TEXT($T1353,"mm/dd")))))</f>
        <v/>
      </c>
      <c r="V1353" s="14" t="n"/>
      <c r="W1353" s="14" t="n"/>
    </row>
    <row r="1354">
      <c r="B1354" s="15">
        <f>IF($C1354="","",$D1354&amp;"-"&amp;$F1354&amp;"-"&amp;$K1354)</f>
        <v/>
      </c>
      <c r="C1354" s="14" t="n"/>
      <c r="D1354" s="15">
        <f>IF($C1354="","",IFERROR(INDEX(rngCadetPIDs,MATCH($C1354,rngCadetNames,0)),"?"))</f>
        <v/>
      </c>
      <c r="E1354" s="15">
        <f>IF($D1354="","",IFERROR(INDEX(nrCadetAgency,MATCH($D1354,rngCadetPIDs,0)),""))</f>
        <v/>
      </c>
      <c r="F1354" s="14" t="n"/>
      <c r="G1354" s="15">
        <f>IF($F1354="","",IFERROR(INDEX(rngEPname,MATCH($F1354,rngEPcode,0)),"?"))</f>
        <v/>
      </c>
      <c r="H1354" s="15">
        <f>IF($F1354="","",IFERROR(INDEX(rngEPtype,MATCH($F1354,rngEPcode,0)),"?"))</f>
        <v/>
      </c>
      <c r="I1354" s="15">
        <f>IF($F1354="","",IFERROR(INDEX(rngEPseq,MATCH($F1354,rngEPcode,0)),""))</f>
        <v/>
      </c>
      <c r="J1354" s="15">
        <f>IF($F1354="","",IFERROR(INDEX(rngEPpass,MATCH($F1354,rngEPcode,0)),cfgPassingScore))</f>
        <v/>
      </c>
      <c r="K1354" s="14" t="n"/>
      <c r="L1354" s="14" t="n"/>
      <c r="M1354" s="15">
        <f>IF($C1354="","",IF($L1354="","",IF($K1354=1,IF(COUNTIFS(nrES_PID,$D1354,nrES_Code,$F1354,nrES_Att,2)&gt;0,"",$L1354),IF(COUNTIFS(nrES_PID,$D1354,nrES_Code,$F1354,nrES_Att,1)=0,$L1354,IF($L1354&gt;=$J1354,cfgRetakeRecordedCap,SUMIFS(nrES_Raw,nrES_PID,$D1354,nrES_Code,$F1354,nrES_Att,1))))))</f>
        <v/>
      </c>
      <c r="N1354" s="15">
        <f>IF($C1354="","",IF($L1354="","",IF($L1354&gt;=$J1354,"Yes","No")))</f>
        <v/>
      </c>
      <c r="O1354" s="15">
        <f>IF($C1354="","",IF($M1354="","",IF($M1354&gt;=$J1354,"Yes","No")))</f>
        <v/>
      </c>
      <c r="P1354" s="15">
        <f>IF($C1354="","",IF($K1354="","",IF(COUNTIFS(nrES_PID,$D1354,nrES_Code,$F1354,nrES_Att,"&gt;"&amp;$K1354)=0,"Yes","No")))</f>
        <v/>
      </c>
      <c r="Q1354" s="15">
        <f>IF($C1354="","",IF($L1354="","",IF(AND($K1354=1,$L1354&lt;$J1354,COUNTIFS(nrES_PID,$D1354,nrES_Code,$F1354,nrES_Att,2)=0),"Yes","No")))</f>
        <v/>
      </c>
      <c r="R1354" s="15">
        <f>IF($C1354="","",IF($L1354="","",IF(AND($K1354=2,$L1354&lt;$J1354,COUNTIFS(nrES_PID,$D1354,nrES_Code,$F1354,nrES_Att,1)&gt;0),"Yes","No")))</f>
        <v/>
      </c>
      <c r="S1354" s="16" t="n"/>
      <c r="T1354" s="17">
        <f>IF($Q1354&lt;&gt;"Yes","",IF($S1354="","(enter date)",_xlfn.LET(_xlpm.dn,IFERROR(_xlfn.XLOOKUP($S1354,nrCDdate,nrCDnum),""),IF(_xlpm.dn="","(not a class day)",IFERROR(_xlfn.XLOOKUP(_xlpm.dn+cfgRetestClassDays,nrCDnum,nrCDdate),"")))))</f>
        <v/>
      </c>
      <c r="U1354" s="15">
        <f>IF($Q1354&lt;&gt;"Yes","",IF(COUNTIFS(nrES_PID,$D1354,nrES_Code,$F1354,nrES_Att,2)&gt;0,"Retested",IF(OR($T1354="",NOT(ISNUMBER($T1354))),"Pending",IF(TODAY()&gt;$T1354,"OVERDUE","Due "&amp;TEXT($T1354,"mm/dd")))))</f>
        <v/>
      </c>
      <c r="V1354" s="14" t="n"/>
      <c r="W1354" s="14" t="n"/>
    </row>
    <row r="1355">
      <c r="B1355" s="15">
        <f>IF($C1355="","",$D1355&amp;"-"&amp;$F1355&amp;"-"&amp;$K1355)</f>
        <v/>
      </c>
      <c r="C1355" s="14" t="n"/>
      <c r="D1355" s="15">
        <f>IF($C1355="","",IFERROR(INDEX(rngCadetPIDs,MATCH($C1355,rngCadetNames,0)),"?"))</f>
        <v/>
      </c>
      <c r="E1355" s="15">
        <f>IF($D1355="","",IFERROR(INDEX(nrCadetAgency,MATCH($D1355,rngCadetPIDs,0)),""))</f>
        <v/>
      </c>
      <c r="F1355" s="14" t="n"/>
      <c r="G1355" s="15">
        <f>IF($F1355="","",IFERROR(INDEX(rngEPname,MATCH($F1355,rngEPcode,0)),"?"))</f>
        <v/>
      </c>
      <c r="H1355" s="15">
        <f>IF($F1355="","",IFERROR(INDEX(rngEPtype,MATCH($F1355,rngEPcode,0)),"?"))</f>
        <v/>
      </c>
      <c r="I1355" s="15">
        <f>IF($F1355="","",IFERROR(INDEX(rngEPseq,MATCH($F1355,rngEPcode,0)),""))</f>
        <v/>
      </c>
      <c r="J1355" s="15">
        <f>IF($F1355="","",IFERROR(INDEX(rngEPpass,MATCH($F1355,rngEPcode,0)),cfgPassingScore))</f>
        <v/>
      </c>
      <c r="K1355" s="14" t="n"/>
      <c r="L1355" s="14" t="n"/>
      <c r="M1355" s="15">
        <f>IF($C1355="","",IF($L1355="","",IF($K1355=1,IF(COUNTIFS(nrES_PID,$D1355,nrES_Code,$F1355,nrES_Att,2)&gt;0,"",$L1355),IF(COUNTIFS(nrES_PID,$D1355,nrES_Code,$F1355,nrES_Att,1)=0,$L1355,IF($L1355&gt;=$J1355,cfgRetakeRecordedCap,SUMIFS(nrES_Raw,nrES_PID,$D1355,nrES_Code,$F1355,nrES_Att,1))))))</f>
        <v/>
      </c>
      <c r="N1355" s="15">
        <f>IF($C1355="","",IF($L1355="","",IF($L1355&gt;=$J1355,"Yes","No")))</f>
        <v/>
      </c>
      <c r="O1355" s="15">
        <f>IF($C1355="","",IF($M1355="","",IF($M1355&gt;=$J1355,"Yes","No")))</f>
        <v/>
      </c>
      <c r="P1355" s="15">
        <f>IF($C1355="","",IF($K1355="","",IF(COUNTIFS(nrES_PID,$D1355,nrES_Code,$F1355,nrES_Att,"&gt;"&amp;$K1355)=0,"Yes","No")))</f>
        <v/>
      </c>
      <c r="Q1355" s="15">
        <f>IF($C1355="","",IF($L1355="","",IF(AND($K1355=1,$L1355&lt;$J1355,COUNTIFS(nrES_PID,$D1355,nrES_Code,$F1355,nrES_Att,2)=0),"Yes","No")))</f>
        <v/>
      </c>
      <c r="R1355" s="15">
        <f>IF($C1355="","",IF($L1355="","",IF(AND($K1355=2,$L1355&lt;$J1355,COUNTIFS(nrES_PID,$D1355,nrES_Code,$F1355,nrES_Att,1)&gt;0),"Yes","No")))</f>
        <v/>
      </c>
      <c r="S1355" s="16" t="n"/>
      <c r="T1355" s="17">
        <f>IF($Q1355&lt;&gt;"Yes","",IF($S1355="","(enter date)",_xlfn.LET(_xlpm.dn,IFERROR(_xlfn.XLOOKUP($S1355,nrCDdate,nrCDnum),""),IF(_xlpm.dn="","(not a class day)",IFERROR(_xlfn.XLOOKUP(_xlpm.dn+cfgRetestClassDays,nrCDnum,nrCDdate),"")))))</f>
        <v/>
      </c>
      <c r="U1355" s="15">
        <f>IF($Q1355&lt;&gt;"Yes","",IF(COUNTIFS(nrES_PID,$D1355,nrES_Code,$F1355,nrES_Att,2)&gt;0,"Retested",IF(OR($T1355="",NOT(ISNUMBER($T1355))),"Pending",IF(TODAY()&gt;$T1355,"OVERDUE","Due "&amp;TEXT($T1355,"mm/dd")))))</f>
        <v/>
      </c>
      <c r="V1355" s="14" t="n"/>
      <c r="W1355" s="14" t="n"/>
    </row>
    <row r="1356">
      <c r="B1356" s="15">
        <f>IF($C1356="","",$D1356&amp;"-"&amp;$F1356&amp;"-"&amp;$K1356)</f>
        <v/>
      </c>
      <c r="C1356" s="14" t="n"/>
      <c r="D1356" s="15">
        <f>IF($C1356="","",IFERROR(INDEX(rngCadetPIDs,MATCH($C1356,rngCadetNames,0)),"?"))</f>
        <v/>
      </c>
      <c r="E1356" s="15">
        <f>IF($D1356="","",IFERROR(INDEX(nrCadetAgency,MATCH($D1356,rngCadetPIDs,0)),""))</f>
        <v/>
      </c>
      <c r="F1356" s="14" t="n"/>
      <c r="G1356" s="15">
        <f>IF($F1356="","",IFERROR(INDEX(rngEPname,MATCH($F1356,rngEPcode,0)),"?"))</f>
        <v/>
      </c>
      <c r="H1356" s="15">
        <f>IF($F1356="","",IFERROR(INDEX(rngEPtype,MATCH($F1356,rngEPcode,0)),"?"))</f>
        <v/>
      </c>
      <c r="I1356" s="15">
        <f>IF($F1356="","",IFERROR(INDEX(rngEPseq,MATCH($F1356,rngEPcode,0)),""))</f>
        <v/>
      </c>
      <c r="J1356" s="15">
        <f>IF($F1356="","",IFERROR(INDEX(rngEPpass,MATCH($F1356,rngEPcode,0)),cfgPassingScore))</f>
        <v/>
      </c>
      <c r="K1356" s="14" t="n"/>
      <c r="L1356" s="14" t="n"/>
      <c r="M1356" s="15">
        <f>IF($C1356="","",IF($L1356="","",IF($K1356=1,IF(COUNTIFS(nrES_PID,$D1356,nrES_Code,$F1356,nrES_Att,2)&gt;0,"",$L1356),IF(COUNTIFS(nrES_PID,$D1356,nrES_Code,$F1356,nrES_Att,1)=0,$L1356,IF($L1356&gt;=$J1356,cfgRetakeRecordedCap,SUMIFS(nrES_Raw,nrES_PID,$D1356,nrES_Code,$F1356,nrES_Att,1))))))</f>
        <v/>
      </c>
      <c r="N1356" s="15">
        <f>IF($C1356="","",IF($L1356="","",IF($L1356&gt;=$J1356,"Yes","No")))</f>
        <v/>
      </c>
      <c r="O1356" s="15">
        <f>IF($C1356="","",IF($M1356="","",IF($M1356&gt;=$J1356,"Yes","No")))</f>
        <v/>
      </c>
      <c r="P1356" s="15">
        <f>IF($C1356="","",IF($K1356="","",IF(COUNTIFS(nrES_PID,$D1356,nrES_Code,$F1356,nrES_Att,"&gt;"&amp;$K1356)=0,"Yes","No")))</f>
        <v/>
      </c>
      <c r="Q1356" s="15">
        <f>IF($C1356="","",IF($L1356="","",IF(AND($K1356=1,$L1356&lt;$J1356,COUNTIFS(nrES_PID,$D1356,nrES_Code,$F1356,nrES_Att,2)=0),"Yes","No")))</f>
        <v/>
      </c>
      <c r="R1356" s="15">
        <f>IF($C1356="","",IF($L1356="","",IF(AND($K1356=2,$L1356&lt;$J1356,COUNTIFS(nrES_PID,$D1356,nrES_Code,$F1356,nrES_Att,1)&gt;0),"Yes","No")))</f>
        <v/>
      </c>
      <c r="S1356" s="16" t="n"/>
      <c r="T1356" s="17">
        <f>IF($Q1356&lt;&gt;"Yes","",IF($S1356="","(enter date)",_xlfn.LET(_xlpm.dn,IFERROR(_xlfn.XLOOKUP($S1356,nrCDdate,nrCDnum),""),IF(_xlpm.dn="","(not a class day)",IFERROR(_xlfn.XLOOKUP(_xlpm.dn+cfgRetestClassDays,nrCDnum,nrCDdate),"")))))</f>
        <v/>
      </c>
      <c r="U1356" s="15">
        <f>IF($Q1356&lt;&gt;"Yes","",IF(COUNTIFS(nrES_PID,$D1356,nrES_Code,$F1356,nrES_Att,2)&gt;0,"Retested",IF(OR($T1356="",NOT(ISNUMBER($T1356))),"Pending",IF(TODAY()&gt;$T1356,"OVERDUE","Due "&amp;TEXT($T1356,"mm/dd")))))</f>
        <v/>
      </c>
      <c r="V1356" s="14" t="n"/>
      <c r="W1356" s="14" t="n"/>
    </row>
    <row r="1357">
      <c r="B1357" s="15">
        <f>IF($C1357="","",$D1357&amp;"-"&amp;$F1357&amp;"-"&amp;$K1357)</f>
        <v/>
      </c>
      <c r="C1357" s="14" t="n"/>
      <c r="D1357" s="15">
        <f>IF($C1357="","",IFERROR(INDEX(rngCadetPIDs,MATCH($C1357,rngCadetNames,0)),"?"))</f>
        <v/>
      </c>
      <c r="E1357" s="15">
        <f>IF($D1357="","",IFERROR(INDEX(nrCadetAgency,MATCH($D1357,rngCadetPIDs,0)),""))</f>
        <v/>
      </c>
      <c r="F1357" s="14" t="n"/>
      <c r="G1357" s="15">
        <f>IF($F1357="","",IFERROR(INDEX(rngEPname,MATCH($F1357,rngEPcode,0)),"?"))</f>
        <v/>
      </c>
      <c r="H1357" s="15">
        <f>IF($F1357="","",IFERROR(INDEX(rngEPtype,MATCH($F1357,rngEPcode,0)),"?"))</f>
        <v/>
      </c>
      <c r="I1357" s="15">
        <f>IF($F1357="","",IFERROR(INDEX(rngEPseq,MATCH($F1357,rngEPcode,0)),""))</f>
        <v/>
      </c>
      <c r="J1357" s="15">
        <f>IF($F1357="","",IFERROR(INDEX(rngEPpass,MATCH($F1357,rngEPcode,0)),cfgPassingScore))</f>
        <v/>
      </c>
      <c r="K1357" s="14" t="n"/>
      <c r="L1357" s="14" t="n"/>
      <c r="M1357" s="15">
        <f>IF($C1357="","",IF($L1357="","",IF($K1357=1,IF(COUNTIFS(nrES_PID,$D1357,nrES_Code,$F1357,nrES_Att,2)&gt;0,"",$L1357),IF(COUNTIFS(nrES_PID,$D1357,nrES_Code,$F1357,nrES_Att,1)=0,$L1357,IF($L1357&gt;=$J1357,cfgRetakeRecordedCap,SUMIFS(nrES_Raw,nrES_PID,$D1357,nrES_Code,$F1357,nrES_Att,1))))))</f>
        <v/>
      </c>
      <c r="N1357" s="15">
        <f>IF($C1357="","",IF($L1357="","",IF($L1357&gt;=$J1357,"Yes","No")))</f>
        <v/>
      </c>
      <c r="O1357" s="15">
        <f>IF($C1357="","",IF($M1357="","",IF($M1357&gt;=$J1357,"Yes","No")))</f>
        <v/>
      </c>
      <c r="P1357" s="15">
        <f>IF($C1357="","",IF($K1357="","",IF(COUNTIFS(nrES_PID,$D1357,nrES_Code,$F1357,nrES_Att,"&gt;"&amp;$K1357)=0,"Yes","No")))</f>
        <v/>
      </c>
      <c r="Q1357" s="15">
        <f>IF($C1357="","",IF($L1357="","",IF(AND($K1357=1,$L1357&lt;$J1357,COUNTIFS(nrES_PID,$D1357,nrES_Code,$F1357,nrES_Att,2)=0),"Yes","No")))</f>
        <v/>
      </c>
      <c r="R1357" s="15">
        <f>IF($C1357="","",IF($L1357="","",IF(AND($K1357=2,$L1357&lt;$J1357,COUNTIFS(nrES_PID,$D1357,nrES_Code,$F1357,nrES_Att,1)&gt;0),"Yes","No")))</f>
        <v/>
      </c>
      <c r="S1357" s="16" t="n"/>
      <c r="T1357" s="17">
        <f>IF($Q1357&lt;&gt;"Yes","",IF($S1357="","(enter date)",_xlfn.LET(_xlpm.dn,IFERROR(_xlfn.XLOOKUP($S1357,nrCDdate,nrCDnum),""),IF(_xlpm.dn="","(not a class day)",IFERROR(_xlfn.XLOOKUP(_xlpm.dn+cfgRetestClassDays,nrCDnum,nrCDdate),"")))))</f>
        <v/>
      </c>
      <c r="U1357" s="15">
        <f>IF($Q1357&lt;&gt;"Yes","",IF(COUNTIFS(nrES_PID,$D1357,nrES_Code,$F1357,nrES_Att,2)&gt;0,"Retested",IF(OR($T1357="",NOT(ISNUMBER($T1357))),"Pending",IF(TODAY()&gt;$T1357,"OVERDUE","Due "&amp;TEXT($T1357,"mm/dd")))))</f>
        <v/>
      </c>
      <c r="V1357" s="14" t="n"/>
      <c r="W1357" s="14" t="n"/>
    </row>
    <row r="1358">
      <c r="B1358" s="15">
        <f>IF($C1358="","",$D1358&amp;"-"&amp;$F1358&amp;"-"&amp;$K1358)</f>
        <v/>
      </c>
      <c r="C1358" s="14" t="n"/>
      <c r="D1358" s="15">
        <f>IF($C1358="","",IFERROR(INDEX(rngCadetPIDs,MATCH($C1358,rngCadetNames,0)),"?"))</f>
        <v/>
      </c>
      <c r="E1358" s="15">
        <f>IF($D1358="","",IFERROR(INDEX(nrCadetAgency,MATCH($D1358,rngCadetPIDs,0)),""))</f>
        <v/>
      </c>
      <c r="F1358" s="14" t="n"/>
      <c r="G1358" s="15">
        <f>IF($F1358="","",IFERROR(INDEX(rngEPname,MATCH($F1358,rngEPcode,0)),"?"))</f>
        <v/>
      </c>
      <c r="H1358" s="15">
        <f>IF($F1358="","",IFERROR(INDEX(rngEPtype,MATCH($F1358,rngEPcode,0)),"?"))</f>
        <v/>
      </c>
      <c r="I1358" s="15">
        <f>IF($F1358="","",IFERROR(INDEX(rngEPseq,MATCH($F1358,rngEPcode,0)),""))</f>
        <v/>
      </c>
      <c r="J1358" s="15">
        <f>IF($F1358="","",IFERROR(INDEX(rngEPpass,MATCH($F1358,rngEPcode,0)),cfgPassingScore))</f>
        <v/>
      </c>
      <c r="K1358" s="14" t="n"/>
      <c r="L1358" s="14" t="n"/>
      <c r="M1358" s="15">
        <f>IF($C1358="","",IF($L1358="","",IF($K1358=1,IF(COUNTIFS(nrES_PID,$D1358,nrES_Code,$F1358,nrES_Att,2)&gt;0,"",$L1358),IF(COUNTIFS(nrES_PID,$D1358,nrES_Code,$F1358,nrES_Att,1)=0,$L1358,IF($L1358&gt;=$J1358,cfgRetakeRecordedCap,SUMIFS(nrES_Raw,nrES_PID,$D1358,nrES_Code,$F1358,nrES_Att,1))))))</f>
        <v/>
      </c>
      <c r="N1358" s="15">
        <f>IF($C1358="","",IF($L1358="","",IF($L1358&gt;=$J1358,"Yes","No")))</f>
        <v/>
      </c>
      <c r="O1358" s="15">
        <f>IF($C1358="","",IF($M1358="","",IF($M1358&gt;=$J1358,"Yes","No")))</f>
        <v/>
      </c>
      <c r="P1358" s="15">
        <f>IF($C1358="","",IF($K1358="","",IF(COUNTIFS(nrES_PID,$D1358,nrES_Code,$F1358,nrES_Att,"&gt;"&amp;$K1358)=0,"Yes","No")))</f>
        <v/>
      </c>
      <c r="Q1358" s="15">
        <f>IF($C1358="","",IF($L1358="","",IF(AND($K1358=1,$L1358&lt;$J1358,COUNTIFS(nrES_PID,$D1358,nrES_Code,$F1358,nrES_Att,2)=0),"Yes","No")))</f>
        <v/>
      </c>
      <c r="R1358" s="15">
        <f>IF($C1358="","",IF($L1358="","",IF(AND($K1358=2,$L1358&lt;$J1358,COUNTIFS(nrES_PID,$D1358,nrES_Code,$F1358,nrES_Att,1)&gt;0),"Yes","No")))</f>
        <v/>
      </c>
      <c r="S1358" s="16" t="n"/>
      <c r="T1358" s="17">
        <f>IF($Q1358&lt;&gt;"Yes","",IF($S1358="","(enter date)",_xlfn.LET(_xlpm.dn,IFERROR(_xlfn.XLOOKUP($S1358,nrCDdate,nrCDnum),""),IF(_xlpm.dn="","(not a class day)",IFERROR(_xlfn.XLOOKUP(_xlpm.dn+cfgRetestClassDays,nrCDnum,nrCDdate),"")))))</f>
        <v/>
      </c>
      <c r="U1358" s="15">
        <f>IF($Q1358&lt;&gt;"Yes","",IF(COUNTIFS(nrES_PID,$D1358,nrES_Code,$F1358,nrES_Att,2)&gt;0,"Retested",IF(OR($T1358="",NOT(ISNUMBER($T1358))),"Pending",IF(TODAY()&gt;$T1358,"OVERDUE","Due "&amp;TEXT($T1358,"mm/dd")))))</f>
        <v/>
      </c>
      <c r="V1358" s="14" t="n"/>
      <c r="W1358" s="14" t="n"/>
    </row>
    <row r="1359">
      <c r="B1359" s="15">
        <f>IF($C1359="","",$D1359&amp;"-"&amp;$F1359&amp;"-"&amp;$K1359)</f>
        <v/>
      </c>
      <c r="C1359" s="14" t="n"/>
      <c r="D1359" s="15">
        <f>IF($C1359="","",IFERROR(INDEX(rngCadetPIDs,MATCH($C1359,rngCadetNames,0)),"?"))</f>
        <v/>
      </c>
      <c r="E1359" s="15">
        <f>IF($D1359="","",IFERROR(INDEX(nrCadetAgency,MATCH($D1359,rngCadetPIDs,0)),""))</f>
        <v/>
      </c>
      <c r="F1359" s="14" t="n"/>
      <c r="G1359" s="15">
        <f>IF($F1359="","",IFERROR(INDEX(rngEPname,MATCH($F1359,rngEPcode,0)),"?"))</f>
        <v/>
      </c>
      <c r="H1359" s="15">
        <f>IF($F1359="","",IFERROR(INDEX(rngEPtype,MATCH($F1359,rngEPcode,0)),"?"))</f>
        <v/>
      </c>
      <c r="I1359" s="15">
        <f>IF($F1359="","",IFERROR(INDEX(rngEPseq,MATCH($F1359,rngEPcode,0)),""))</f>
        <v/>
      </c>
      <c r="J1359" s="15">
        <f>IF($F1359="","",IFERROR(INDEX(rngEPpass,MATCH($F1359,rngEPcode,0)),cfgPassingScore))</f>
        <v/>
      </c>
      <c r="K1359" s="14" t="n"/>
      <c r="L1359" s="14" t="n"/>
      <c r="M1359" s="15">
        <f>IF($C1359="","",IF($L1359="","",IF($K1359=1,IF(COUNTIFS(nrES_PID,$D1359,nrES_Code,$F1359,nrES_Att,2)&gt;0,"",$L1359),IF(COUNTIFS(nrES_PID,$D1359,nrES_Code,$F1359,nrES_Att,1)=0,$L1359,IF($L1359&gt;=$J1359,cfgRetakeRecordedCap,SUMIFS(nrES_Raw,nrES_PID,$D1359,nrES_Code,$F1359,nrES_Att,1))))))</f>
        <v/>
      </c>
      <c r="N1359" s="15">
        <f>IF($C1359="","",IF($L1359="","",IF($L1359&gt;=$J1359,"Yes","No")))</f>
        <v/>
      </c>
      <c r="O1359" s="15">
        <f>IF($C1359="","",IF($M1359="","",IF($M1359&gt;=$J1359,"Yes","No")))</f>
        <v/>
      </c>
      <c r="P1359" s="15">
        <f>IF($C1359="","",IF($K1359="","",IF(COUNTIFS(nrES_PID,$D1359,nrES_Code,$F1359,nrES_Att,"&gt;"&amp;$K1359)=0,"Yes","No")))</f>
        <v/>
      </c>
      <c r="Q1359" s="15">
        <f>IF($C1359="","",IF($L1359="","",IF(AND($K1359=1,$L1359&lt;$J1359,COUNTIFS(nrES_PID,$D1359,nrES_Code,$F1359,nrES_Att,2)=0),"Yes","No")))</f>
        <v/>
      </c>
      <c r="R1359" s="15">
        <f>IF($C1359="","",IF($L1359="","",IF(AND($K1359=2,$L1359&lt;$J1359,COUNTIFS(nrES_PID,$D1359,nrES_Code,$F1359,nrES_Att,1)&gt;0),"Yes","No")))</f>
        <v/>
      </c>
      <c r="S1359" s="16" t="n"/>
      <c r="T1359" s="17">
        <f>IF($Q1359&lt;&gt;"Yes","",IF($S1359="","(enter date)",_xlfn.LET(_xlpm.dn,IFERROR(_xlfn.XLOOKUP($S1359,nrCDdate,nrCDnum),""),IF(_xlpm.dn="","(not a class day)",IFERROR(_xlfn.XLOOKUP(_xlpm.dn+cfgRetestClassDays,nrCDnum,nrCDdate),"")))))</f>
        <v/>
      </c>
      <c r="U1359" s="15">
        <f>IF($Q1359&lt;&gt;"Yes","",IF(COUNTIFS(nrES_PID,$D1359,nrES_Code,$F1359,nrES_Att,2)&gt;0,"Retested",IF(OR($T1359="",NOT(ISNUMBER($T1359))),"Pending",IF(TODAY()&gt;$T1359,"OVERDUE","Due "&amp;TEXT($T1359,"mm/dd")))))</f>
        <v/>
      </c>
      <c r="V1359" s="14" t="n"/>
      <c r="W1359" s="14" t="n"/>
    </row>
    <row r="1360">
      <c r="B1360" s="15">
        <f>IF($C1360="","",$D1360&amp;"-"&amp;$F1360&amp;"-"&amp;$K1360)</f>
        <v/>
      </c>
      <c r="C1360" s="14" t="n"/>
      <c r="D1360" s="15">
        <f>IF($C1360="","",IFERROR(INDEX(rngCadetPIDs,MATCH($C1360,rngCadetNames,0)),"?"))</f>
        <v/>
      </c>
      <c r="E1360" s="15">
        <f>IF($D1360="","",IFERROR(INDEX(nrCadetAgency,MATCH($D1360,rngCadetPIDs,0)),""))</f>
        <v/>
      </c>
      <c r="F1360" s="14" t="n"/>
      <c r="G1360" s="15">
        <f>IF($F1360="","",IFERROR(INDEX(rngEPname,MATCH($F1360,rngEPcode,0)),"?"))</f>
        <v/>
      </c>
      <c r="H1360" s="15">
        <f>IF($F1360="","",IFERROR(INDEX(rngEPtype,MATCH($F1360,rngEPcode,0)),"?"))</f>
        <v/>
      </c>
      <c r="I1360" s="15">
        <f>IF($F1360="","",IFERROR(INDEX(rngEPseq,MATCH($F1360,rngEPcode,0)),""))</f>
        <v/>
      </c>
      <c r="J1360" s="15">
        <f>IF($F1360="","",IFERROR(INDEX(rngEPpass,MATCH($F1360,rngEPcode,0)),cfgPassingScore))</f>
        <v/>
      </c>
      <c r="K1360" s="14" t="n"/>
      <c r="L1360" s="14" t="n"/>
      <c r="M1360" s="15">
        <f>IF($C1360="","",IF($L1360="","",IF($K1360=1,IF(COUNTIFS(nrES_PID,$D1360,nrES_Code,$F1360,nrES_Att,2)&gt;0,"",$L1360),IF(COUNTIFS(nrES_PID,$D1360,nrES_Code,$F1360,nrES_Att,1)=0,$L1360,IF($L1360&gt;=$J1360,cfgRetakeRecordedCap,SUMIFS(nrES_Raw,nrES_PID,$D1360,nrES_Code,$F1360,nrES_Att,1))))))</f>
        <v/>
      </c>
      <c r="N1360" s="15">
        <f>IF($C1360="","",IF($L1360="","",IF($L1360&gt;=$J1360,"Yes","No")))</f>
        <v/>
      </c>
      <c r="O1360" s="15">
        <f>IF($C1360="","",IF($M1360="","",IF($M1360&gt;=$J1360,"Yes","No")))</f>
        <v/>
      </c>
      <c r="P1360" s="15">
        <f>IF($C1360="","",IF($K1360="","",IF(COUNTIFS(nrES_PID,$D1360,nrES_Code,$F1360,nrES_Att,"&gt;"&amp;$K1360)=0,"Yes","No")))</f>
        <v/>
      </c>
      <c r="Q1360" s="15">
        <f>IF($C1360="","",IF($L1360="","",IF(AND($K1360=1,$L1360&lt;$J1360,COUNTIFS(nrES_PID,$D1360,nrES_Code,$F1360,nrES_Att,2)=0),"Yes","No")))</f>
        <v/>
      </c>
      <c r="R1360" s="15">
        <f>IF($C1360="","",IF($L1360="","",IF(AND($K1360=2,$L1360&lt;$J1360,COUNTIFS(nrES_PID,$D1360,nrES_Code,$F1360,nrES_Att,1)&gt;0),"Yes","No")))</f>
        <v/>
      </c>
      <c r="S1360" s="16" t="n"/>
      <c r="T1360" s="17">
        <f>IF($Q1360&lt;&gt;"Yes","",IF($S1360="","(enter date)",_xlfn.LET(_xlpm.dn,IFERROR(_xlfn.XLOOKUP($S1360,nrCDdate,nrCDnum),""),IF(_xlpm.dn="","(not a class day)",IFERROR(_xlfn.XLOOKUP(_xlpm.dn+cfgRetestClassDays,nrCDnum,nrCDdate),"")))))</f>
        <v/>
      </c>
      <c r="U1360" s="15">
        <f>IF($Q1360&lt;&gt;"Yes","",IF(COUNTIFS(nrES_PID,$D1360,nrES_Code,$F1360,nrES_Att,2)&gt;0,"Retested",IF(OR($T1360="",NOT(ISNUMBER($T1360))),"Pending",IF(TODAY()&gt;$T1360,"OVERDUE","Due "&amp;TEXT($T1360,"mm/dd")))))</f>
        <v/>
      </c>
      <c r="V1360" s="14" t="n"/>
      <c r="W1360" s="14" t="n"/>
    </row>
    <row r="1361">
      <c r="B1361" s="15">
        <f>IF($C1361="","",$D1361&amp;"-"&amp;$F1361&amp;"-"&amp;$K1361)</f>
        <v/>
      </c>
      <c r="C1361" s="14" t="n"/>
      <c r="D1361" s="15">
        <f>IF($C1361="","",IFERROR(INDEX(rngCadetPIDs,MATCH($C1361,rngCadetNames,0)),"?"))</f>
        <v/>
      </c>
      <c r="E1361" s="15">
        <f>IF($D1361="","",IFERROR(INDEX(nrCadetAgency,MATCH($D1361,rngCadetPIDs,0)),""))</f>
        <v/>
      </c>
      <c r="F1361" s="14" t="n"/>
      <c r="G1361" s="15">
        <f>IF($F1361="","",IFERROR(INDEX(rngEPname,MATCH($F1361,rngEPcode,0)),"?"))</f>
        <v/>
      </c>
      <c r="H1361" s="15">
        <f>IF($F1361="","",IFERROR(INDEX(rngEPtype,MATCH($F1361,rngEPcode,0)),"?"))</f>
        <v/>
      </c>
      <c r="I1361" s="15">
        <f>IF($F1361="","",IFERROR(INDEX(rngEPseq,MATCH($F1361,rngEPcode,0)),""))</f>
        <v/>
      </c>
      <c r="J1361" s="15">
        <f>IF($F1361="","",IFERROR(INDEX(rngEPpass,MATCH($F1361,rngEPcode,0)),cfgPassingScore))</f>
        <v/>
      </c>
      <c r="K1361" s="14" t="n"/>
      <c r="L1361" s="14" t="n"/>
      <c r="M1361" s="15">
        <f>IF($C1361="","",IF($L1361="","",IF($K1361=1,IF(COUNTIFS(nrES_PID,$D1361,nrES_Code,$F1361,nrES_Att,2)&gt;0,"",$L1361),IF(COUNTIFS(nrES_PID,$D1361,nrES_Code,$F1361,nrES_Att,1)=0,$L1361,IF($L1361&gt;=$J1361,cfgRetakeRecordedCap,SUMIFS(nrES_Raw,nrES_PID,$D1361,nrES_Code,$F1361,nrES_Att,1))))))</f>
        <v/>
      </c>
      <c r="N1361" s="15">
        <f>IF($C1361="","",IF($L1361="","",IF($L1361&gt;=$J1361,"Yes","No")))</f>
        <v/>
      </c>
      <c r="O1361" s="15">
        <f>IF($C1361="","",IF($M1361="","",IF($M1361&gt;=$J1361,"Yes","No")))</f>
        <v/>
      </c>
      <c r="P1361" s="15">
        <f>IF($C1361="","",IF($K1361="","",IF(COUNTIFS(nrES_PID,$D1361,nrES_Code,$F1361,nrES_Att,"&gt;"&amp;$K1361)=0,"Yes","No")))</f>
        <v/>
      </c>
      <c r="Q1361" s="15">
        <f>IF($C1361="","",IF($L1361="","",IF(AND($K1361=1,$L1361&lt;$J1361,COUNTIFS(nrES_PID,$D1361,nrES_Code,$F1361,nrES_Att,2)=0),"Yes","No")))</f>
        <v/>
      </c>
      <c r="R1361" s="15">
        <f>IF($C1361="","",IF($L1361="","",IF(AND($K1361=2,$L1361&lt;$J1361,COUNTIFS(nrES_PID,$D1361,nrES_Code,$F1361,nrES_Att,1)&gt;0),"Yes","No")))</f>
        <v/>
      </c>
      <c r="S1361" s="16" t="n"/>
      <c r="T1361" s="17">
        <f>IF($Q1361&lt;&gt;"Yes","",IF($S1361="","(enter date)",_xlfn.LET(_xlpm.dn,IFERROR(_xlfn.XLOOKUP($S1361,nrCDdate,nrCDnum),""),IF(_xlpm.dn="","(not a class day)",IFERROR(_xlfn.XLOOKUP(_xlpm.dn+cfgRetestClassDays,nrCDnum,nrCDdate),"")))))</f>
        <v/>
      </c>
      <c r="U1361" s="15">
        <f>IF($Q1361&lt;&gt;"Yes","",IF(COUNTIFS(nrES_PID,$D1361,nrES_Code,$F1361,nrES_Att,2)&gt;0,"Retested",IF(OR($T1361="",NOT(ISNUMBER($T1361))),"Pending",IF(TODAY()&gt;$T1361,"OVERDUE","Due "&amp;TEXT($T1361,"mm/dd")))))</f>
        <v/>
      </c>
      <c r="V1361" s="14" t="n"/>
      <c r="W1361" s="14" t="n"/>
    </row>
    <row r="1362">
      <c r="B1362" s="15">
        <f>IF($C1362="","",$D1362&amp;"-"&amp;$F1362&amp;"-"&amp;$K1362)</f>
        <v/>
      </c>
      <c r="C1362" s="14" t="n"/>
      <c r="D1362" s="15">
        <f>IF($C1362="","",IFERROR(INDEX(rngCadetPIDs,MATCH($C1362,rngCadetNames,0)),"?"))</f>
        <v/>
      </c>
      <c r="E1362" s="15">
        <f>IF($D1362="","",IFERROR(INDEX(nrCadetAgency,MATCH($D1362,rngCadetPIDs,0)),""))</f>
        <v/>
      </c>
      <c r="F1362" s="14" t="n"/>
      <c r="G1362" s="15">
        <f>IF($F1362="","",IFERROR(INDEX(rngEPname,MATCH($F1362,rngEPcode,0)),"?"))</f>
        <v/>
      </c>
      <c r="H1362" s="15">
        <f>IF($F1362="","",IFERROR(INDEX(rngEPtype,MATCH($F1362,rngEPcode,0)),"?"))</f>
        <v/>
      </c>
      <c r="I1362" s="15">
        <f>IF($F1362="","",IFERROR(INDEX(rngEPseq,MATCH($F1362,rngEPcode,0)),""))</f>
        <v/>
      </c>
      <c r="J1362" s="15">
        <f>IF($F1362="","",IFERROR(INDEX(rngEPpass,MATCH($F1362,rngEPcode,0)),cfgPassingScore))</f>
        <v/>
      </c>
      <c r="K1362" s="14" t="n"/>
      <c r="L1362" s="14" t="n"/>
      <c r="M1362" s="15">
        <f>IF($C1362="","",IF($L1362="","",IF($K1362=1,IF(COUNTIFS(nrES_PID,$D1362,nrES_Code,$F1362,nrES_Att,2)&gt;0,"",$L1362),IF(COUNTIFS(nrES_PID,$D1362,nrES_Code,$F1362,nrES_Att,1)=0,$L1362,IF($L1362&gt;=$J1362,cfgRetakeRecordedCap,SUMIFS(nrES_Raw,nrES_PID,$D1362,nrES_Code,$F1362,nrES_Att,1))))))</f>
        <v/>
      </c>
      <c r="N1362" s="15">
        <f>IF($C1362="","",IF($L1362="","",IF($L1362&gt;=$J1362,"Yes","No")))</f>
        <v/>
      </c>
      <c r="O1362" s="15">
        <f>IF($C1362="","",IF($M1362="","",IF($M1362&gt;=$J1362,"Yes","No")))</f>
        <v/>
      </c>
      <c r="P1362" s="15">
        <f>IF($C1362="","",IF($K1362="","",IF(COUNTIFS(nrES_PID,$D1362,nrES_Code,$F1362,nrES_Att,"&gt;"&amp;$K1362)=0,"Yes","No")))</f>
        <v/>
      </c>
      <c r="Q1362" s="15">
        <f>IF($C1362="","",IF($L1362="","",IF(AND($K1362=1,$L1362&lt;$J1362,COUNTIFS(nrES_PID,$D1362,nrES_Code,$F1362,nrES_Att,2)=0),"Yes","No")))</f>
        <v/>
      </c>
      <c r="R1362" s="15">
        <f>IF($C1362="","",IF($L1362="","",IF(AND($K1362=2,$L1362&lt;$J1362,COUNTIFS(nrES_PID,$D1362,nrES_Code,$F1362,nrES_Att,1)&gt;0),"Yes","No")))</f>
        <v/>
      </c>
      <c r="S1362" s="16" t="n"/>
      <c r="T1362" s="17">
        <f>IF($Q1362&lt;&gt;"Yes","",IF($S1362="","(enter date)",_xlfn.LET(_xlpm.dn,IFERROR(_xlfn.XLOOKUP($S1362,nrCDdate,nrCDnum),""),IF(_xlpm.dn="","(not a class day)",IFERROR(_xlfn.XLOOKUP(_xlpm.dn+cfgRetestClassDays,nrCDnum,nrCDdate),"")))))</f>
        <v/>
      </c>
      <c r="U1362" s="15">
        <f>IF($Q1362&lt;&gt;"Yes","",IF(COUNTIFS(nrES_PID,$D1362,nrES_Code,$F1362,nrES_Att,2)&gt;0,"Retested",IF(OR($T1362="",NOT(ISNUMBER($T1362))),"Pending",IF(TODAY()&gt;$T1362,"OVERDUE","Due "&amp;TEXT($T1362,"mm/dd")))))</f>
        <v/>
      </c>
      <c r="V1362" s="14" t="n"/>
      <c r="W1362" s="14" t="n"/>
    </row>
    <row r="1363">
      <c r="B1363" s="15">
        <f>IF($C1363="","",$D1363&amp;"-"&amp;$F1363&amp;"-"&amp;$K1363)</f>
        <v/>
      </c>
      <c r="C1363" s="14" t="n"/>
      <c r="D1363" s="15">
        <f>IF($C1363="","",IFERROR(INDEX(rngCadetPIDs,MATCH($C1363,rngCadetNames,0)),"?"))</f>
        <v/>
      </c>
      <c r="E1363" s="15">
        <f>IF($D1363="","",IFERROR(INDEX(nrCadetAgency,MATCH($D1363,rngCadetPIDs,0)),""))</f>
        <v/>
      </c>
      <c r="F1363" s="14" t="n"/>
      <c r="G1363" s="15">
        <f>IF($F1363="","",IFERROR(INDEX(rngEPname,MATCH($F1363,rngEPcode,0)),"?"))</f>
        <v/>
      </c>
      <c r="H1363" s="15">
        <f>IF($F1363="","",IFERROR(INDEX(rngEPtype,MATCH($F1363,rngEPcode,0)),"?"))</f>
        <v/>
      </c>
      <c r="I1363" s="15">
        <f>IF($F1363="","",IFERROR(INDEX(rngEPseq,MATCH($F1363,rngEPcode,0)),""))</f>
        <v/>
      </c>
      <c r="J1363" s="15">
        <f>IF($F1363="","",IFERROR(INDEX(rngEPpass,MATCH($F1363,rngEPcode,0)),cfgPassingScore))</f>
        <v/>
      </c>
      <c r="K1363" s="14" t="n"/>
      <c r="L1363" s="14" t="n"/>
      <c r="M1363" s="15">
        <f>IF($C1363="","",IF($L1363="","",IF($K1363=1,IF(COUNTIFS(nrES_PID,$D1363,nrES_Code,$F1363,nrES_Att,2)&gt;0,"",$L1363),IF(COUNTIFS(nrES_PID,$D1363,nrES_Code,$F1363,nrES_Att,1)=0,$L1363,IF($L1363&gt;=$J1363,cfgRetakeRecordedCap,SUMIFS(nrES_Raw,nrES_PID,$D1363,nrES_Code,$F1363,nrES_Att,1))))))</f>
        <v/>
      </c>
      <c r="N1363" s="15">
        <f>IF($C1363="","",IF($L1363="","",IF($L1363&gt;=$J1363,"Yes","No")))</f>
        <v/>
      </c>
      <c r="O1363" s="15">
        <f>IF($C1363="","",IF($M1363="","",IF($M1363&gt;=$J1363,"Yes","No")))</f>
        <v/>
      </c>
      <c r="P1363" s="15">
        <f>IF($C1363="","",IF($K1363="","",IF(COUNTIFS(nrES_PID,$D1363,nrES_Code,$F1363,nrES_Att,"&gt;"&amp;$K1363)=0,"Yes","No")))</f>
        <v/>
      </c>
      <c r="Q1363" s="15">
        <f>IF($C1363="","",IF($L1363="","",IF(AND($K1363=1,$L1363&lt;$J1363,COUNTIFS(nrES_PID,$D1363,nrES_Code,$F1363,nrES_Att,2)=0),"Yes","No")))</f>
        <v/>
      </c>
      <c r="R1363" s="15">
        <f>IF($C1363="","",IF($L1363="","",IF(AND($K1363=2,$L1363&lt;$J1363,COUNTIFS(nrES_PID,$D1363,nrES_Code,$F1363,nrES_Att,1)&gt;0),"Yes","No")))</f>
        <v/>
      </c>
      <c r="S1363" s="16" t="n"/>
      <c r="T1363" s="17">
        <f>IF($Q1363&lt;&gt;"Yes","",IF($S1363="","(enter date)",_xlfn.LET(_xlpm.dn,IFERROR(_xlfn.XLOOKUP($S1363,nrCDdate,nrCDnum),""),IF(_xlpm.dn="","(not a class day)",IFERROR(_xlfn.XLOOKUP(_xlpm.dn+cfgRetestClassDays,nrCDnum,nrCDdate),"")))))</f>
        <v/>
      </c>
      <c r="U1363" s="15">
        <f>IF($Q1363&lt;&gt;"Yes","",IF(COUNTIFS(nrES_PID,$D1363,nrES_Code,$F1363,nrES_Att,2)&gt;0,"Retested",IF(OR($T1363="",NOT(ISNUMBER($T1363))),"Pending",IF(TODAY()&gt;$T1363,"OVERDUE","Due "&amp;TEXT($T1363,"mm/dd")))))</f>
        <v/>
      </c>
      <c r="V1363" s="14" t="n"/>
      <c r="W1363" s="14" t="n"/>
    </row>
    <row r="1364">
      <c r="B1364" s="15">
        <f>IF($C1364="","",$D1364&amp;"-"&amp;$F1364&amp;"-"&amp;$K1364)</f>
        <v/>
      </c>
      <c r="C1364" s="14" t="n"/>
      <c r="D1364" s="15">
        <f>IF($C1364="","",IFERROR(INDEX(rngCadetPIDs,MATCH($C1364,rngCadetNames,0)),"?"))</f>
        <v/>
      </c>
      <c r="E1364" s="15">
        <f>IF($D1364="","",IFERROR(INDEX(nrCadetAgency,MATCH($D1364,rngCadetPIDs,0)),""))</f>
        <v/>
      </c>
      <c r="F1364" s="14" t="n"/>
      <c r="G1364" s="15">
        <f>IF($F1364="","",IFERROR(INDEX(rngEPname,MATCH($F1364,rngEPcode,0)),"?"))</f>
        <v/>
      </c>
      <c r="H1364" s="15">
        <f>IF($F1364="","",IFERROR(INDEX(rngEPtype,MATCH($F1364,rngEPcode,0)),"?"))</f>
        <v/>
      </c>
      <c r="I1364" s="15">
        <f>IF($F1364="","",IFERROR(INDEX(rngEPseq,MATCH($F1364,rngEPcode,0)),""))</f>
        <v/>
      </c>
      <c r="J1364" s="15">
        <f>IF($F1364="","",IFERROR(INDEX(rngEPpass,MATCH($F1364,rngEPcode,0)),cfgPassingScore))</f>
        <v/>
      </c>
      <c r="K1364" s="14" t="n"/>
      <c r="L1364" s="14" t="n"/>
      <c r="M1364" s="15">
        <f>IF($C1364="","",IF($L1364="","",IF($K1364=1,IF(COUNTIFS(nrES_PID,$D1364,nrES_Code,$F1364,nrES_Att,2)&gt;0,"",$L1364),IF(COUNTIFS(nrES_PID,$D1364,nrES_Code,$F1364,nrES_Att,1)=0,$L1364,IF($L1364&gt;=$J1364,cfgRetakeRecordedCap,SUMIFS(nrES_Raw,nrES_PID,$D1364,nrES_Code,$F1364,nrES_Att,1))))))</f>
        <v/>
      </c>
      <c r="N1364" s="15">
        <f>IF($C1364="","",IF($L1364="","",IF($L1364&gt;=$J1364,"Yes","No")))</f>
        <v/>
      </c>
      <c r="O1364" s="15">
        <f>IF($C1364="","",IF($M1364="","",IF($M1364&gt;=$J1364,"Yes","No")))</f>
        <v/>
      </c>
      <c r="P1364" s="15">
        <f>IF($C1364="","",IF($K1364="","",IF(COUNTIFS(nrES_PID,$D1364,nrES_Code,$F1364,nrES_Att,"&gt;"&amp;$K1364)=0,"Yes","No")))</f>
        <v/>
      </c>
      <c r="Q1364" s="15">
        <f>IF($C1364="","",IF($L1364="","",IF(AND($K1364=1,$L1364&lt;$J1364,COUNTIFS(nrES_PID,$D1364,nrES_Code,$F1364,nrES_Att,2)=0),"Yes","No")))</f>
        <v/>
      </c>
      <c r="R1364" s="15">
        <f>IF($C1364="","",IF($L1364="","",IF(AND($K1364=2,$L1364&lt;$J1364,COUNTIFS(nrES_PID,$D1364,nrES_Code,$F1364,nrES_Att,1)&gt;0),"Yes","No")))</f>
        <v/>
      </c>
      <c r="S1364" s="16" t="n"/>
      <c r="T1364" s="17">
        <f>IF($Q1364&lt;&gt;"Yes","",IF($S1364="","(enter date)",_xlfn.LET(_xlpm.dn,IFERROR(_xlfn.XLOOKUP($S1364,nrCDdate,nrCDnum),""),IF(_xlpm.dn="","(not a class day)",IFERROR(_xlfn.XLOOKUP(_xlpm.dn+cfgRetestClassDays,nrCDnum,nrCDdate),"")))))</f>
        <v/>
      </c>
      <c r="U1364" s="15">
        <f>IF($Q1364&lt;&gt;"Yes","",IF(COUNTIFS(nrES_PID,$D1364,nrES_Code,$F1364,nrES_Att,2)&gt;0,"Retested",IF(OR($T1364="",NOT(ISNUMBER($T1364))),"Pending",IF(TODAY()&gt;$T1364,"OVERDUE","Due "&amp;TEXT($T1364,"mm/dd")))))</f>
        <v/>
      </c>
      <c r="V1364" s="14" t="n"/>
      <c r="W1364" s="14" t="n"/>
    </row>
    <row r="1365">
      <c r="B1365" s="15">
        <f>IF($C1365="","",$D1365&amp;"-"&amp;$F1365&amp;"-"&amp;$K1365)</f>
        <v/>
      </c>
      <c r="C1365" s="14" t="n"/>
      <c r="D1365" s="15">
        <f>IF($C1365="","",IFERROR(INDEX(rngCadetPIDs,MATCH($C1365,rngCadetNames,0)),"?"))</f>
        <v/>
      </c>
      <c r="E1365" s="15">
        <f>IF($D1365="","",IFERROR(INDEX(nrCadetAgency,MATCH($D1365,rngCadetPIDs,0)),""))</f>
        <v/>
      </c>
      <c r="F1365" s="14" t="n"/>
      <c r="G1365" s="15">
        <f>IF($F1365="","",IFERROR(INDEX(rngEPname,MATCH($F1365,rngEPcode,0)),"?"))</f>
        <v/>
      </c>
      <c r="H1365" s="15">
        <f>IF($F1365="","",IFERROR(INDEX(rngEPtype,MATCH($F1365,rngEPcode,0)),"?"))</f>
        <v/>
      </c>
      <c r="I1365" s="15">
        <f>IF($F1365="","",IFERROR(INDEX(rngEPseq,MATCH($F1365,rngEPcode,0)),""))</f>
        <v/>
      </c>
      <c r="J1365" s="15">
        <f>IF($F1365="","",IFERROR(INDEX(rngEPpass,MATCH($F1365,rngEPcode,0)),cfgPassingScore))</f>
        <v/>
      </c>
      <c r="K1365" s="14" t="n"/>
      <c r="L1365" s="14" t="n"/>
      <c r="M1365" s="15">
        <f>IF($C1365="","",IF($L1365="","",IF($K1365=1,IF(COUNTIFS(nrES_PID,$D1365,nrES_Code,$F1365,nrES_Att,2)&gt;0,"",$L1365),IF(COUNTIFS(nrES_PID,$D1365,nrES_Code,$F1365,nrES_Att,1)=0,$L1365,IF($L1365&gt;=$J1365,cfgRetakeRecordedCap,SUMIFS(nrES_Raw,nrES_PID,$D1365,nrES_Code,$F1365,nrES_Att,1))))))</f>
        <v/>
      </c>
      <c r="N1365" s="15">
        <f>IF($C1365="","",IF($L1365="","",IF($L1365&gt;=$J1365,"Yes","No")))</f>
        <v/>
      </c>
      <c r="O1365" s="15">
        <f>IF($C1365="","",IF($M1365="","",IF($M1365&gt;=$J1365,"Yes","No")))</f>
        <v/>
      </c>
      <c r="P1365" s="15">
        <f>IF($C1365="","",IF($K1365="","",IF(COUNTIFS(nrES_PID,$D1365,nrES_Code,$F1365,nrES_Att,"&gt;"&amp;$K1365)=0,"Yes","No")))</f>
        <v/>
      </c>
      <c r="Q1365" s="15">
        <f>IF($C1365="","",IF($L1365="","",IF(AND($K1365=1,$L1365&lt;$J1365,COUNTIFS(nrES_PID,$D1365,nrES_Code,$F1365,nrES_Att,2)=0),"Yes","No")))</f>
        <v/>
      </c>
      <c r="R1365" s="15">
        <f>IF($C1365="","",IF($L1365="","",IF(AND($K1365=2,$L1365&lt;$J1365,COUNTIFS(nrES_PID,$D1365,nrES_Code,$F1365,nrES_Att,1)&gt;0),"Yes","No")))</f>
        <v/>
      </c>
      <c r="S1365" s="16" t="n"/>
      <c r="T1365" s="17">
        <f>IF($Q1365&lt;&gt;"Yes","",IF($S1365="","(enter date)",_xlfn.LET(_xlpm.dn,IFERROR(_xlfn.XLOOKUP($S1365,nrCDdate,nrCDnum),""),IF(_xlpm.dn="","(not a class day)",IFERROR(_xlfn.XLOOKUP(_xlpm.dn+cfgRetestClassDays,nrCDnum,nrCDdate),"")))))</f>
        <v/>
      </c>
      <c r="U1365" s="15">
        <f>IF($Q1365&lt;&gt;"Yes","",IF(COUNTIFS(nrES_PID,$D1365,nrES_Code,$F1365,nrES_Att,2)&gt;0,"Retested",IF(OR($T1365="",NOT(ISNUMBER($T1365))),"Pending",IF(TODAY()&gt;$T1365,"OVERDUE","Due "&amp;TEXT($T1365,"mm/dd")))))</f>
        <v/>
      </c>
      <c r="V1365" s="14" t="n"/>
      <c r="W1365" s="14" t="n"/>
    </row>
    <row r="1366">
      <c r="B1366" s="15">
        <f>IF($C1366="","",$D1366&amp;"-"&amp;$F1366&amp;"-"&amp;$K1366)</f>
        <v/>
      </c>
      <c r="C1366" s="14" t="n"/>
      <c r="D1366" s="15">
        <f>IF($C1366="","",IFERROR(INDEX(rngCadetPIDs,MATCH($C1366,rngCadetNames,0)),"?"))</f>
        <v/>
      </c>
      <c r="E1366" s="15">
        <f>IF($D1366="","",IFERROR(INDEX(nrCadetAgency,MATCH($D1366,rngCadetPIDs,0)),""))</f>
        <v/>
      </c>
      <c r="F1366" s="14" t="n"/>
      <c r="G1366" s="15">
        <f>IF($F1366="","",IFERROR(INDEX(rngEPname,MATCH($F1366,rngEPcode,0)),"?"))</f>
        <v/>
      </c>
      <c r="H1366" s="15">
        <f>IF($F1366="","",IFERROR(INDEX(rngEPtype,MATCH($F1366,rngEPcode,0)),"?"))</f>
        <v/>
      </c>
      <c r="I1366" s="15">
        <f>IF($F1366="","",IFERROR(INDEX(rngEPseq,MATCH($F1366,rngEPcode,0)),""))</f>
        <v/>
      </c>
      <c r="J1366" s="15">
        <f>IF($F1366="","",IFERROR(INDEX(rngEPpass,MATCH($F1366,rngEPcode,0)),cfgPassingScore))</f>
        <v/>
      </c>
      <c r="K1366" s="14" t="n"/>
      <c r="L1366" s="14" t="n"/>
      <c r="M1366" s="15">
        <f>IF($C1366="","",IF($L1366="","",IF($K1366=1,IF(COUNTIFS(nrES_PID,$D1366,nrES_Code,$F1366,nrES_Att,2)&gt;0,"",$L1366),IF(COUNTIFS(nrES_PID,$D1366,nrES_Code,$F1366,nrES_Att,1)=0,$L1366,IF($L1366&gt;=$J1366,cfgRetakeRecordedCap,SUMIFS(nrES_Raw,nrES_PID,$D1366,nrES_Code,$F1366,nrES_Att,1))))))</f>
        <v/>
      </c>
      <c r="N1366" s="15">
        <f>IF($C1366="","",IF($L1366="","",IF($L1366&gt;=$J1366,"Yes","No")))</f>
        <v/>
      </c>
      <c r="O1366" s="15">
        <f>IF($C1366="","",IF($M1366="","",IF($M1366&gt;=$J1366,"Yes","No")))</f>
        <v/>
      </c>
      <c r="P1366" s="15">
        <f>IF($C1366="","",IF($K1366="","",IF(COUNTIFS(nrES_PID,$D1366,nrES_Code,$F1366,nrES_Att,"&gt;"&amp;$K1366)=0,"Yes","No")))</f>
        <v/>
      </c>
      <c r="Q1366" s="15">
        <f>IF($C1366="","",IF($L1366="","",IF(AND($K1366=1,$L1366&lt;$J1366,COUNTIFS(nrES_PID,$D1366,nrES_Code,$F1366,nrES_Att,2)=0),"Yes","No")))</f>
        <v/>
      </c>
      <c r="R1366" s="15">
        <f>IF($C1366="","",IF($L1366="","",IF(AND($K1366=2,$L1366&lt;$J1366,COUNTIFS(nrES_PID,$D1366,nrES_Code,$F1366,nrES_Att,1)&gt;0),"Yes","No")))</f>
        <v/>
      </c>
      <c r="S1366" s="16" t="n"/>
      <c r="T1366" s="17">
        <f>IF($Q1366&lt;&gt;"Yes","",IF($S1366="","(enter date)",_xlfn.LET(_xlpm.dn,IFERROR(_xlfn.XLOOKUP($S1366,nrCDdate,nrCDnum),""),IF(_xlpm.dn="","(not a class day)",IFERROR(_xlfn.XLOOKUP(_xlpm.dn+cfgRetestClassDays,nrCDnum,nrCDdate),"")))))</f>
        <v/>
      </c>
      <c r="U1366" s="15">
        <f>IF($Q1366&lt;&gt;"Yes","",IF(COUNTIFS(nrES_PID,$D1366,nrES_Code,$F1366,nrES_Att,2)&gt;0,"Retested",IF(OR($T1366="",NOT(ISNUMBER($T1366))),"Pending",IF(TODAY()&gt;$T1366,"OVERDUE","Due "&amp;TEXT($T1366,"mm/dd")))))</f>
        <v/>
      </c>
      <c r="V1366" s="14" t="n"/>
      <c r="W1366" s="14" t="n"/>
    </row>
    <row r="1367">
      <c r="B1367" s="15">
        <f>IF($C1367="","",$D1367&amp;"-"&amp;$F1367&amp;"-"&amp;$K1367)</f>
        <v/>
      </c>
      <c r="C1367" s="14" t="n"/>
      <c r="D1367" s="15">
        <f>IF($C1367="","",IFERROR(INDEX(rngCadetPIDs,MATCH($C1367,rngCadetNames,0)),"?"))</f>
        <v/>
      </c>
      <c r="E1367" s="15">
        <f>IF($D1367="","",IFERROR(INDEX(nrCadetAgency,MATCH($D1367,rngCadetPIDs,0)),""))</f>
        <v/>
      </c>
      <c r="F1367" s="14" t="n"/>
      <c r="G1367" s="15">
        <f>IF($F1367="","",IFERROR(INDEX(rngEPname,MATCH($F1367,rngEPcode,0)),"?"))</f>
        <v/>
      </c>
      <c r="H1367" s="15">
        <f>IF($F1367="","",IFERROR(INDEX(rngEPtype,MATCH($F1367,rngEPcode,0)),"?"))</f>
        <v/>
      </c>
      <c r="I1367" s="15">
        <f>IF($F1367="","",IFERROR(INDEX(rngEPseq,MATCH($F1367,rngEPcode,0)),""))</f>
        <v/>
      </c>
      <c r="J1367" s="15">
        <f>IF($F1367="","",IFERROR(INDEX(rngEPpass,MATCH($F1367,rngEPcode,0)),cfgPassingScore))</f>
        <v/>
      </c>
      <c r="K1367" s="14" t="n"/>
      <c r="L1367" s="14" t="n"/>
      <c r="M1367" s="15">
        <f>IF($C1367="","",IF($L1367="","",IF($K1367=1,IF(COUNTIFS(nrES_PID,$D1367,nrES_Code,$F1367,nrES_Att,2)&gt;0,"",$L1367),IF(COUNTIFS(nrES_PID,$D1367,nrES_Code,$F1367,nrES_Att,1)=0,$L1367,IF($L1367&gt;=$J1367,cfgRetakeRecordedCap,SUMIFS(nrES_Raw,nrES_PID,$D1367,nrES_Code,$F1367,nrES_Att,1))))))</f>
        <v/>
      </c>
      <c r="N1367" s="15">
        <f>IF($C1367="","",IF($L1367="","",IF($L1367&gt;=$J1367,"Yes","No")))</f>
        <v/>
      </c>
      <c r="O1367" s="15">
        <f>IF($C1367="","",IF($M1367="","",IF($M1367&gt;=$J1367,"Yes","No")))</f>
        <v/>
      </c>
      <c r="P1367" s="15">
        <f>IF($C1367="","",IF($K1367="","",IF(COUNTIFS(nrES_PID,$D1367,nrES_Code,$F1367,nrES_Att,"&gt;"&amp;$K1367)=0,"Yes","No")))</f>
        <v/>
      </c>
      <c r="Q1367" s="15">
        <f>IF($C1367="","",IF($L1367="","",IF(AND($K1367=1,$L1367&lt;$J1367,COUNTIFS(nrES_PID,$D1367,nrES_Code,$F1367,nrES_Att,2)=0),"Yes","No")))</f>
        <v/>
      </c>
      <c r="R1367" s="15">
        <f>IF($C1367="","",IF($L1367="","",IF(AND($K1367=2,$L1367&lt;$J1367,COUNTIFS(nrES_PID,$D1367,nrES_Code,$F1367,nrES_Att,1)&gt;0),"Yes","No")))</f>
        <v/>
      </c>
      <c r="S1367" s="16" t="n"/>
      <c r="T1367" s="17">
        <f>IF($Q1367&lt;&gt;"Yes","",IF($S1367="","(enter date)",_xlfn.LET(_xlpm.dn,IFERROR(_xlfn.XLOOKUP($S1367,nrCDdate,nrCDnum),""),IF(_xlpm.dn="","(not a class day)",IFERROR(_xlfn.XLOOKUP(_xlpm.dn+cfgRetestClassDays,nrCDnum,nrCDdate),"")))))</f>
        <v/>
      </c>
      <c r="U1367" s="15">
        <f>IF($Q1367&lt;&gt;"Yes","",IF(COUNTIFS(nrES_PID,$D1367,nrES_Code,$F1367,nrES_Att,2)&gt;0,"Retested",IF(OR($T1367="",NOT(ISNUMBER($T1367))),"Pending",IF(TODAY()&gt;$T1367,"OVERDUE","Due "&amp;TEXT($T1367,"mm/dd")))))</f>
        <v/>
      </c>
      <c r="V1367" s="14" t="n"/>
      <c r="W1367" s="14" t="n"/>
    </row>
    <row r="1368">
      <c r="B1368" s="15">
        <f>IF($C1368="","",$D1368&amp;"-"&amp;$F1368&amp;"-"&amp;$K1368)</f>
        <v/>
      </c>
      <c r="C1368" s="14" t="n"/>
      <c r="D1368" s="15">
        <f>IF($C1368="","",IFERROR(INDEX(rngCadetPIDs,MATCH($C1368,rngCadetNames,0)),"?"))</f>
        <v/>
      </c>
      <c r="E1368" s="15">
        <f>IF($D1368="","",IFERROR(INDEX(nrCadetAgency,MATCH($D1368,rngCadetPIDs,0)),""))</f>
        <v/>
      </c>
      <c r="F1368" s="14" t="n"/>
      <c r="G1368" s="15">
        <f>IF($F1368="","",IFERROR(INDEX(rngEPname,MATCH($F1368,rngEPcode,0)),"?"))</f>
        <v/>
      </c>
      <c r="H1368" s="15">
        <f>IF($F1368="","",IFERROR(INDEX(rngEPtype,MATCH($F1368,rngEPcode,0)),"?"))</f>
        <v/>
      </c>
      <c r="I1368" s="15">
        <f>IF($F1368="","",IFERROR(INDEX(rngEPseq,MATCH($F1368,rngEPcode,0)),""))</f>
        <v/>
      </c>
      <c r="J1368" s="15">
        <f>IF($F1368="","",IFERROR(INDEX(rngEPpass,MATCH($F1368,rngEPcode,0)),cfgPassingScore))</f>
        <v/>
      </c>
      <c r="K1368" s="14" t="n"/>
      <c r="L1368" s="14" t="n"/>
      <c r="M1368" s="15">
        <f>IF($C1368="","",IF($L1368="","",IF($K1368=1,IF(COUNTIFS(nrES_PID,$D1368,nrES_Code,$F1368,nrES_Att,2)&gt;0,"",$L1368),IF(COUNTIFS(nrES_PID,$D1368,nrES_Code,$F1368,nrES_Att,1)=0,$L1368,IF($L1368&gt;=$J1368,cfgRetakeRecordedCap,SUMIFS(nrES_Raw,nrES_PID,$D1368,nrES_Code,$F1368,nrES_Att,1))))))</f>
        <v/>
      </c>
      <c r="N1368" s="15">
        <f>IF($C1368="","",IF($L1368="","",IF($L1368&gt;=$J1368,"Yes","No")))</f>
        <v/>
      </c>
      <c r="O1368" s="15">
        <f>IF($C1368="","",IF($M1368="","",IF($M1368&gt;=$J1368,"Yes","No")))</f>
        <v/>
      </c>
      <c r="P1368" s="15">
        <f>IF($C1368="","",IF($K1368="","",IF(COUNTIFS(nrES_PID,$D1368,nrES_Code,$F1368,nrES_Att,"&gt;"&amp;$K1368)=0,"Yes","No")))</f>
        <v/>
      </c>
      <c r="Q1368" s="15">
        <f>IF($C1368="","",IF($L1368="","",IF(AND($K1368=1,$L1368&lt;$J1368,COUNTIFS(nrES_PID,$D1368,nrES_Code,$F1368,nrES_Att,2)=0),"Yes","No")))</f>
        <v/>
      </c>
      <c r="R1368" s="15">
        <f>IF($C1368="","",IF($L1368="","",IF(AND($K1368=2,$L1368&lt;$J1368,COUNTIFS(nrES_PID,$D1368,nrES_Code,$F1368,nrES_Att,1)&gt;0),"Yes","No")))</f>
        <v/>
      </c>
      <c r="S1368" s="16" t="n"/>
      <c r="T1368" s="17">
        <f>IF($Q1368&lt;&gt;"Yes","",IF($S1368="","(enter date)",_xlfn.LET(_xlpm.dn,IFERROR(_xlfn.XLOOKUP($S1368,nrCDdate,nrCDnum),""),IF(_xlpm.dn="","(not a class day)",IFERROR(_xlfn.XLOOKUP(_xlpm.dn+cfgRetestClassDays,nrCDnum,nrCDdate),"")))))</f>
        <v/>
      </c>
      <c r="U1368" s="15">
        <f>IF($Q1368&lt;&gt;"Yes","",IF(COUNTIFS(nrES_PID,$D1368,nrES_Code,$F1368,nrES_Att,2)&gt;0,"Retested",IF(OR($T1368="",NOT(ISNUMBER($T1368))),"Pending",IF(TODAY()&gt;$T1368,"OVERDUE","Due "&amp;TEXT($T1368,"mm/dd")))))</f>
        <v/>
      </c>
      <c r="V1368" s="14" t="n"/>
      <c r="W1368" s="14" t="n"/>
    </row>
    <row r="1369">
      <c r="B1369" s="15">
        <f>IF($C1369="","",$D1369&amp;"-"&amp;$F1369&amp;"-"&amp;$K1369)</f>
        <v/>
      </c>
      <c r="C1369" s="14" t="n"/>
      <c r="D1369" s="15">
        <f>IF($C1369="","",IFERROR(INDEX(rngCadetPIDs,MATCH($C1369,rngCadetNames,0)),"?"))</f>
        <v/>
      </c>
      <c r="E1369" s="15">
        <f>IF($D1369="","",IFERROR(INDEX(nrCadetAgency,MATCH($D1369,rngCadetPIDs,0)),""))</f>
        <v/>
      </c>
      <c r="F1369" s="14" t="n"/>
      <c r="G1369" s="15">
        <f>IF($F1369="","",IFERROR(INDEX(rngEPname,MATCH($F1369,rngEPcode,0)),"?"))</f>
        <v/>
      </c>
      <c r="H1369" s="15">
        <f>IF($F1369="","",IFERROR(INDEX(rngEPtype,MATCH($F1369,rngEPcode,0)),"?"))</f>
        <v/>
      </c>
      <c r="I1369" s="15">
        <f>IF($F1369="","",IFERROR(INDEX(rngEPseq,MATCH($F1369,rngEPcode,0)),""))</f>
        <v/>
      </c>
      <c r="J1369" s="15">
        <f>IF($F1369="","",IFERROR(INDEX(rngEPpass,MATCH($F1369,rngEPcode,0)),cfgPassingScore))</f>
        <v/>
      </c>
      <c r="K1369" s="14" t="n"/>
      <c r="L1369" s="14" t="n"/>
      <c r="M1369" s="15">
        <f>IF($C1369="","",IF($L1369="","",IF($K1369=1,IF(COUNTIFS(nrES_PID,$D1369,nrES_Code,$F1369,nrES_Att,2)&gt;0,"",$L1369),IF(COUNTIFS(nrES_PID,$D1369,nrES_Code,$F1369,nrES_Att,1)=0,$L1369,IF($L1369&gt;=$J1369,cfgRetakeRecordedCap,SUMIFS(nrES_Raw,nrES_PID,$D1369,nrES_Code,$F1369,nrES_Att,1))))))</f>
        <v/>
      </c>
      <c r="N1369" s="15">
        <f>IF($C1369="","",IF($L1369="","",IF($L1369&gt;=$J1369,"Yes","No")))</f>
        <v/>
      </c>
      <c r="O1369" s="15">
        <f>IF($C1369="","",IF($M1369="","",IF($M1369&gt;=$J1369,"Yes","No")))</f>
        <v/>
      </c>
      <c r="P1369" s="15">
        <f>IF($C1369="","",IF($K1369="","",IF(COUNTIFS(nrES_PID,$D1369,nrES_Code,$F1369,nrES_Att,"&gt;"&amp;$K1369)=0,"Yes","No")))</f>
        <v/>
      </c>
      <c r="Q1369" s="15">
        <f>IF($C1369="","",IF($L1369="","",IF(AND($K1369=1,$L1369&lt;$J1369,COUNTIFS(nrES_PID,$D1369,nrES_Code,$F1369,nrES_Att,2)=0),"Yes","No")))</f>
        <v/>
      </c>
      <c r="R1369" s="15">
        <f>IF($C1369="","",IF($L1369="","",IF(AND($K1369=2,$L1369&lt;$J1369,COUNTIFS(nrES_PID,$D1369,nrES_Code,$F1369,nrES_Att,1)&gt;0),"Yes","No")))</f>
        <v/>
      </c>
      <c r="S1369" s="16" t="n"/>
      <c r="T1369" s="17">
        <f>IF($Q1369&lt;&gt;"Yes","",IF($S1369="","(enter date)",_xlfn.LET(_xlpm.dn,IFERROR(_xlfn.XLOOKUP($S1369,nrCDdate,nrCDnum),""),IF(_xlpm.dn="","(not a class day)",IFERROR(_xlfn.XLOOKUP(_xlpm.dn+cfgRetestClassDays,nrCDnum,nrCDdate),"")))))</f>
        <v/>
      </c>
      <c r="U1369" s="15">
        <f>IF($Q1369&lt;&gt;"Yes","",IF(COUNTIFS(nrES_PID,$D1369,nrES_Code,$F1369,nrES_Att,2)&gt;0,"Retested",IF(OR($T1369="",NOT(ISNUMBER($T1369))),"Pending",IF(TODAY()&gt;$T1369,"OVERDUE","Due "&amp;TEXT($T1369,"mm/dd")))))</f>
        <v/>
      </c>
      <c r="V1369" s="14" t="n"/>
      <c r="W1369" s="14" t="n"/>
    </row>
    <row r="1370">
      <c r="B1370" s="15">
        <f>IF($C1370="","",$D1370&amp;"-"&amp;$F1370&amp;"-"&amp;$K1370)</f>
        <v/>
      </c>
      <c r="C1370" s="14" t="n"/>
      <c r="D1370" s="15">
        <f>IF($C1370="","",IFERROR(INDEX(rngCadetPIDs,MATCH($C1370,rngCadetNames,0)),"?"))</f>
        <v/>
      </c>
      <c r="E1370" s="15">
        <f>IF($D1370="","",IFERROR(INDEX(nrCadetAgency,MATCH($D1370,rngCadetPIDs,0)),""))</f>
        <v/>
      </c>
      <c r="F1370" s="14" t="n"/>
      <c r="G1370" s="15">
        <f>IF($F1370="","",IFERROR(INDEX(rngEPname,MATCH($F1370,rngEPcode,0)),"?"))</f>
        <v/>
      </c>
      <c r="H1370" s="15">
        <f>IF($F1370="","",IFERROR(INDEX(rngEPtype,MATCH($F1370,rngEPcode,0)),"?"))</f>
        <v/>
      </c>
      <c r="I1370" s="15">
        <f>IF($F1370="","",IFERROR(INDEX(rngEPseq,MATCH($F1370,rngEPcode,0)),""))</f>
        <v/>
      </c>
      <c r="J1370" s="15">
        <f>IF($F1370="","",IFERROR(INDEX(rngEPpass,MATCH($F1370,rngEPcode,0)),cfgPassingScore))</f>
        <v/>
      </c>
      <c r="K1370" s="14" t="n"/>
      <c r="L1370" s="14" t="n"/>
      <c r="M1370" s="15">
        <f>IF($C1370="","",IF($L1370="","",IF($K1370=1,IF(COUNTIFS(nrES_PID,$D1370,nrES_Code,$F1370,nrES_Att,2)&gt;0,"",$L1370),IF(COUNTIFS(nrES_PID,$D1370,nrES_Code,$F1370,nrES_Att,1)=0,$L1370,IF($L1370&gt;=$J1370,cfgRetakeRecordedCap,SUMIFS(nrES_Raw,nrES_PID,$D1370,nrES_Code,$F1370,nrES_Att,1))))))</f>
        <v/>
      </c>
      <c r="N1370" s="15">
        <f>IF($C1370="","",IF($L1370="","",IF($L1370&gt;=$J1370,"Yes","No")))</f>
        <v/>
      </c>
      <c r="O1370" s="15">
        <f>IF($C1370="","",IF($M1370="","",IF($M1370&gt;=$J1370,"Yes","No")))</f>
        <v/>
      </c>
      <c r="P1370" s="15">
        <f>IF($C1370="","",IF($K1370="","",IF(COUNTIFS(nrES_PID,$D1370,nrES_Code,$F1370,nrES_Att,"&gt;"&amp;$K1370)=0,"Yes","No")))</f>
        <v/>
      </c>
      <c r="Q1370" s="15">
        <f>IF($C1370="","",IF($L1370="","",IF(AND($K1370=1,$L1370&lt;$J1370,COUNTIFS(nrES_PID,$D1370,nrES_Code,$F1370,nrES_Att,2)=0),"Yes","No")))</f>
        <v/>
      </c>
      <c r="R1370" s="15">
        <f>IF($C1370="","",IF($L1370="","",IF(AND($K1370=2,$L1370&lt;$J1370,COUNTIFS(nrES_PID,$D1370,nrES_Code,$F1370,nrES_Att,1)&gt;0),"Yes","No")))</f>
        <v/>
      </c>
      <c r="S1370" s="16" t="n"/>
      <c r="T1370" s="17">
        <f>IF($Q1370&lt;&gt;"Yes","",IF($S1370="","(enter date)",_xlfn.LET(_xlpm.dn,IFERROR(_xlfn.XLOOKUP($S1370,nrCDdate,nrCDnum),""),IF(_xlpm.dn="","(not a class day)",IFERROR(_xlfn.XLOOKUP(_xlpm.dn+cfgRetestClassDays,nrCDnum,nrCDdate),"")))))</f>
        <v/>
      </c>
      <c r="U1370" s="15">
        <f>IF($Q1370&lt;&gt;"Yes","",IF(COUNTIFS(nrES_PID,$D1370,nrES_Code,$F1370,nrES_Att,2)&gt;0,"Retested",IF(OR($T1370="",NOT(ISNUMBER($T1370))),"Pending",IF(TODAY()&gt;$T1370,"OVERDUE","Due "&amp;TEXT($T1370,"mm/dd")))))</f>
        <v/>
      </c>
      <c r="V1370" s="14" t="n"/>
      <c r="W1370" s="14" t="n"/>
    </row>
    <row r="1371">
      <c r="B1371" s="15">
        <f>IF($C1371="","",$D1371&amp;"-"&amp;$F1371&amp;"-"&amp;$K1371)</f>
        <v/>
      </c>
      <c r="C1371" s="14" t="n"/>
      <c r="D1371" s="15">
        <f>IF($C1371="","",IFERROR(INDEX(rngCadetPIDs,MATCH($C1371,rngCadetNames,0)),"?"))</f>
        <v/>
      </c>
      <c r="E1371" s="15">
        <f>IF($D1371="","",IFERROR(INDEX(nrCadetAgency,MATCH($D1371,rngCadetPIDs,0)),""))</f>
        <v/>
      </c>
      <c r="F1371" s="14" t="n"/>
      <c r="G1371" s="15">
        <f>IF($F1371="","",IFERROR(INDEX(rngEPname,MATCH($F1371,rngEPcode,0)),"?"))</f>
        <v/>
      </c>
      <c r="H1371" s="15">
        <f>IF($F1371="","",IFERROR(INDEX(rngEPtype,MATCH($F1371,rngEPcode,0)),"?"))</f>
        <v/>
      </c>
      <c r="I1371" s="15">
        <f>IF($F1371="","",IFERROR(INDEX(rngEPseq,MATCH($F1371,rngEPcode,0)),""))</f>
        <v/>
      </c>
      <c r="J1371" s="15">
        <f>IF($F1371="","",IFERROR(INDEX(rngEPpass,MATCH($F1371,rngEPcode,0)),cfgPassingScore))</f>
        <v/>
      </c>
      <c r="K1371" s="14" t="n"/>
      <c r="L1371" s="14" t="n"/>
      <c r="M1371" s="15">
        <f>IF($C1371="","",IF($L1371="","",IF($K1371=1,IF(COUNTIFS(nrES_PID,$D1371,nrES_Code,$F1371,nrES_Att,2)&gt;0,"",$L1371),IF(COUNTIFS(nrES_PID,$D1371,nrES_Code,$F1371,nrES_Att,1)=0,$L1371,IF($L1371&gt;=$J1371,cfgRetakeRecordedCap,SUMIFS(nrES_Raw,nrES_PID,$D1371,nrES_Code,$F1371,nrES_Att,1))))))</f>
        <v/>
      </c>
      <c r="N1371" s="15">
        <f>IF($C1371="","",IF($L1371="","",IF($L1371&gt;=$J1371,"Yes","No")))</f>
        <v/>
      </c>
      <c r="O1371" s="15">
        <f>IF($C1371="","",IF($M1371="","",IF($M1371&gt;=$J1371,"Yes","No")))</f>
        <v/>
      </c>
      <c r="P1371" s="15">
        <f>IF($C1371="","",IF($K1371="","",IF(COUNTIFS(nrES_PID,$D1371,nrES_Code,$F1371,nrES_Att,"&gt;"&amp;$K1371)=0,"Yes","No")))</f>
        <v/>
      </c>
      <c r="Q1371" s="15">
        <f>IF($C1371="","",IF($L1371="","",IF(AND($K1371=1,$L1371&lt;$J1371,COUNTIFS(nrES_PID,$D1371,nrES_Code,$F1371,nrES_Att,2)=0),"Yes","No")))</f>
        <v/>
      </c>
      <c r="R1371" s="15">
        <f>IF($C1371="","",IF($L1371="","",IF(AND($K1371=2,$L1371&lt;$J1371,COUNTIFS(nrES_PID,$D1371,nrES_Code,$F1371,nrES_Att,1)&gt;0),"Yes","No")))</f>
        <v/>
      </c>
      <c r="S1371" s="16" t="n"/>
      <c r="T1371" s="17">
        <f>IF($Q1371&lt;&gt;"Yes","",IF($S1371="","(enter date)",_xlfn.LET(_xlpm.dn,IFERROR(_xlfn.XLOOKUP($S1371,nrCDdate,nrCDnum),""),IF(_xlpm.dn="","(not a class day)",IFERROR(_xlfn.XLOOKUP(_xlpm.dn+cfgRetestClassDays,nrCDnum,nrCDdate),"")))))</f>
        <v/>
      </c>
      <c r="U1371" s="15">
        <f>IF($Q1371&lt;&gt;"Yes","",IF(COUNTIFS(nrES_PID,$D1371,nrES_Code,$F1371,nrES_Att,2)&gt;0,"Retested",IF(OR($T1371="",NOT(ISNUMBER($T1371))),"Pending",IF(TODAY()&gt;$T1371,"OVERDUE","Due "&amp;TEXT($T1371,"mm/dd")))))</f>
        <v/>
      </c>
      <c r="V1371" s="14" t="n"/>
      <c r="W1371" s="14" t="n"/>
    </row>
    <row r="1372">
      <c r="B1372" s="15">
        <f>IF($C1372="","",$D1372&amp;"-"&amp;$F1372&amp;"-"&amp;$K1372)</f>
        <v/>
      </c>
      <c r="C1372" s="14" t="n"/>
      <c r="D1372" s="15">
        <f>IF($C1372="","",IFERROR(INDEX(rngCadetPIDs,MATCH($C1372,rngCadetNames,0)),"?"))</f>
        <v/>
      </c>
      <c r="E1372" s="15">
        <f>IF($D1372="","",IFERROR(INDEX(nrCadetAgency,MATCH($D1372,rngCadetPIDs,0)),""))</f>
        <v/>
      </c>
      <c r="F1372" s="14" t="n"/>
      <c r="G1372" s="15">
        <f>IF($F1372="","",IFERROR(INDEX(rngEPname,MATCH($F1372,rngEPcode,0)),"?"))</f>
        <v/>
      </c>
      <c r="H1372" s="15">
        <f>IF($F1372="","",IFERROR(INDEX(rngEPtype,MATCH($F1372,rngEPcode,0)),"?"))</f>
        <v/>
      </c>
      <c r="I1372" s="15">
        <f>IF($F1372="","",IFERROR(INDEX(rngEPseq,MATCH($F1372,rngEPcode,0)),""))</f>
        <v/>
      </c>
      <c r="J1372" s="15">
        <f>IF($F1372="","",IFERROR(INDEX(rngEPpass,MATCH($F1372,rngEPcode,0)),cfgPassingScore))</f>
        <v/>
      </c>
      <c r="K1372" s="14" t="n"/>
      <c r="L1372" s="14" t="n"/>
      <c r="M1372" s="15">
        <f>IF($C1372="","",IF($L1372="","",IF($K1372=1,IF(COUNTIFS(nrES_PID,$D1372,nrES_Code,$F1372,nrES_Att,2)&gt;0,"",$L1372),IF(COUNTIFS(nrES_PID,$D1372,nrES_Code,$F1372,nrES_Att,1)=0,$L1372,IF($L1372&gt;=$J1372,cfgRetakeRecordedCap,SUMIFS(nrES_Raw,nrES_PID,$D1372,nrES_Code,$F1372,nrES_Att,1))))))</f>
        <v/>
      </c>
      <c r="N1372" s="15">
        <f>IF($C1372="","",IF($L1372="","",IF($L1372&gt;=$J1372,"Yes","No")))</f>
        <v/>
      </c>
      <c r="O1372" s="15">
        <f>IF($C1372="","",IF($M1372="","",IF($M1372&gt;=$J1372,"Yes","No")))</f>
        <v/>
      </c>
      <c r="P1372" s="15">
        <f>IF($C1372="","",IF($K1372="","",IF(COUNTIFS(nrES_PID,$D1372,nrES_Code,$F1372,nrES_Att,"&gt;"&amp;$K1372)=0,"Yes","No")))</f>
        <v/>
      </c>
      <c r="Q1372" s="15">
        <f>IF($C1372="","",IF($L1372="","",IF(AND($K1372=1,$L1372&lt;$J1372,COUNTIFS(nrES_PID,$D1372,nrES_Code,$F1372,nrES_Att,2)=0),"Yes","No")))</f>
        <v/>
      </c>
      <c r="R1372" s="15">
        <f>IF($C1372="","",IF($L1372="","",IF(AND($K1372=2,$L1372&lt;$J1372,COUNTIFS(nrES_PID,$D1372,nrES_Code,$F1372,nrES_Att,1)&gt;0),"Yes","No")))</f>
        <v/>
      </c>
      <c r="S1372" s="16" t="n"/>
      <c r="T1372" s="17">
        <f>IF($Q1372&lt;&gt;"Yes","",IF($S1372="","(enter date)",_xlfn.LET(_xlpm.dn,IFERROR(_xlfn.XLOOKUP($S1372,nrCDdate,nrCDnum),""),IF(_xlpm.dn="","(not a class day)",IFERROR(_xlfn.XLOOKUP(_xlpm.dn+cfgRetestClassDays,nrCDnum,nrCDdate),"")))))</f>
        <v/>
      </c>
      <c r="U1372" s="15">
        <f>IF($Q1372&lt;&gt;"Yes","",IF(COUNTIFS(nrES_PID,$D1372,nrES_Code,$F1372,nrES_Att,2)&gt;0,"Retested",IF(OR($T1372="",NOT(ISNUMBER($T1372))),"Pending",IF(TODAY()&gt;$T1372,"OVERDUE","Due "&amp;TEXT($T1372,"mm/dd")))))</f>
        <v/>
      </c>
      <c r="V1372" s="14" t="n"/>
      <c r="W1372" s="14" t="n"/>
    </row>
    <row r="1373">
      <c r="B1373" s="15">
        <f>IF($C1373="","",$D1373&amp;"-"&amp;$F1373&amp;"-"&amp;$K1373)</f>
        <v/>
      </c>
      <c r="C1373" s="14" t="n"/>
      <c r="D1373" s="15">
        <f>IF($C1373="","",IFERROR(INDEX(rngCadetPIDs,MATCH($C1373,rngCadetNames,0)),"?"))</f>
        <v/>
      </c>
      <c r="E1373" s="15">
        <f>IF($D1373="","",IFERROR(INDEX(nrCadetAgency,MATCH($D1373,rngCadetPIDs,0)),""))</f>
        <v/>
      </c>
      <c r="F1373" s="14" t="n"/>
      <c r="G1373" s="15">
        <f>IF($F1373="","",IFERROR(INDEX(rngEPname,MATCH($F1373,rngEPcode,0)),"?"))</f>
        <v/>
      </c>
      <c r="H1373" s="15">
        <f>IF($F1373="","",IFERROR(INDEX(rngEPtype,MATCH($F1373,rngEPcode,0)),"?"))</f>
        <v/>
      </c>
      <c r="I1373" s="15">
        <f>IF($F1373="","",IFERROR(INDEX(rngEPseq,MATCH($F1373,rngEPcode,0)),""))</f>
        <v/>
      </c>
      <c r="J1373" s="15">
        <f>IF($F1373="","",IFERROR(INDEX(rngEPpass,MATCH($F1373,rngEPcode,0)),cfgPassingScore))</f>
        <v/>
      </c>
      <c r="K1373" s="14" t="n"/>
      <c r="L1373" s="14" t="n"/>
      <c r="M1373" s="15">
        <f>IF($C1373="","",IF($L1373="","",IF($K1373=1,IF(COUNTIFS(nrES_PID,$D1373,nrES_Code,$F1373,nrES_Att,2)&gt;0,"",$L1373),IF(COUNTIFS(nrES_PID,$D1373,nrES_Code,$F1373,nrES_Att,1)=0,$L1373,IF($L1373&gt;=$J1373,cfgRetakeRecordedCap,SUMIFS(nrES_Raw,nrES_PID,$D1373,nrES_Code,$F1373,nrES_Att,1))))))</f>
        <v/>
      </c>
      <c r="N1373" s="15">
        <f>IF($C1373="","",IF($L1373="","",IF($L1373&gt;=$J1373,"Yes","No")))</f>
        <v/>
      </c>
      <c r="O1373" s="15">
        <f>IF($C1373="","",IF($M1373="","",IF($M1373&gt;=$J1373,"Yes","No")))</f>
        <v/>
      </c>
      <c r="P1373" s="15">
        <f>IF($C1373="","",IF($K1373="","",IF(COUNTIFS(nrES_PID,$D1373,nrES_Code,$F1373,nrES_Att,"&gt;"&amp;$K1373)=0,"Yes","No")))</f>
        <v/>
      </c>
      <c r="Q1373" s="15">
        <f>IF($C1373="","",IF($L1373="","",IF(AND($K1373=1,$L1373&lt;$J1373,COUNTIFS(nrES_PID,$D1373,nrES_Code,$F1373,nrES_Att,2)=0),"Yes","No")))</f>
        <v/>
      </c>
      <c r="R1373" s="15">
        <f>IF($C1373="","",IF($L1373="","",IF(AND($K1373=2,$L1373&lt;$J1373,COUNTIFS(nrES_PID,$D1373,nrES_Code,$F1373,nrES_Att,1)&gt;0),"Yes","No")))</f>
        <v/>
      </c>
      <c r="S1373" s="16" t="n"/>
      <c r="T1373" s="17">
        <f>IF($Q1373&lt;&gt;"Yes","",IF($S1373="","(enter date)",_xlfn.LET(_xlpm.dn,IFERROR(_xlfn.XLOOKUP($S1373,nrCDdate,nrCDnum),""),IF(_xlpm.dn="","(not a class day)",IFERROR(_xlfn.XLOOKUP(_xlpm.dn+cfgRetestClassDays,nrCDnum,nrCDdate),"")))))</f>
        <v/>
      </c>
      <c r="U1373" s="15">
        <f>IF($Q1373&lt;&gt;"Yes","",IF(COUNTIFS(nrES_PID,$D1373,nrES_Code,$F1373,nrES_Att,2)&gt;0,"Retested",IF(OR($T1373="",NOT(ISNUMBER($T1373))),"Pending",IF(TODAY()&gt;$T1373,"OVERDUE","Due "&amp;TEXT($T1373,"mm/dd")))))</f>
        <v/>
      </c>
      <c r="V1373" s="14" t="n"/>
      <c r="W1373" s="14" t="n"/>
    </row>
    <row r="1374">
      <c r="B1374" s="15">
        <f>IF($C1374="","",$D1374&amp;"-"&amp;$F1374&amp;"-"&amp;$K1374)</f>
        <v/>
      </c>
      <c r="C1374" s="14" t="n"/>
      <c r="D1374" s="15">
        <f>IF($C1374="","",IFERROR(INDEX(rngCadetPIDs,MATCH($C1374,rngCadetNames,0)),"?"))</f>
        <v/>
      </c>
      <c r="E1374" s="15">
        <f>IF($D1374="","",IFERROR(INDEX(nrCadetAgency,MATCH($D1374,rngCadetPIDs,0)),""))</f>
        <v/>
      </c>
      <c r="F1374" s="14" t="n"/>
      <c r="G1374" s="15">
        <f>IF($F1374="","",IFERROR(INDEX(rngEPname,MATCH($F1374,rngEPcode,0)),"?"))</f>
        <v/>
      </c>
      <c r="H1374" s="15">
        <f>IF($F1374="","",IFERROR(INDEX(rngEPtype,MATCH($F1374,rngEPcode,0)),"?"))</f>
        <v/>
      </c>
      <c r="I1374" s="15">
        <f>IF($F1374="","",IFERROR(INDEX(rngEPseq,MATCH($F1374,rngEPcode,0)),""))</f>
        <v/>
      </c>
      <c r="J1374" s="15">
        <f>IF($F1374="","",IFERROR(INDEX(rngEPpass,MATCH($F1374,rngEPcode,0)),cfgPassingScore))</f>
        <v/>
      </c>
      <c r="K1374" s="14" t="n"/>
      <c r="L1374" s="14" t="n"/>
      <c r="M1374" s="15">
        <f>IF($C1374="","",IF($L1374="","",IF($K1374=1,IF(COUNTIFS(nrES_PID,$D1374,nrES_Code,$F1374,nrES_Att,2)&gt;0,"",$L1374),IF(COUNTIFS(nrES_PID,$D1374,nrES_Code,$F1374,nrES_Att,1)=0,$L1374,IF($L1374&gt;=$J1374,cfgRetakeRecordedCap,SUMIFS(nrES_Raw,nrES_PID,$D1374,nrES_Code,$F1374,nrES_Att,1))))))</f>
        <v/>
      </c>
      <c r="N1374" s="15">
        <f>IF($C1374="","",IF($L1374="","",IF($L1374&gt;=$J1374,"Yes","No")))</f>
        <v/>
      </c>
      <c r="O1374" s="15">
        <f>IF($C1374="","",IF($M1374="","",IF($M1374&gt;=$J1374,"Yes","No")))</f>
        <v/>
      </c>
      <c r="P1374" s="15">
        <f>IF($C1374="","",IF($K1374="","",IF(COUNTIFS(nrES_PID,$D1374,nrES_Code,$F1374,nrES_Att,"&gt;"&amp;$K1374)=0,"Yes","No")))</f>
        <v/>
      </c>
      <c r="Q1374" s="15">
        <f>IF($C1374="","",IF($L1374="","",IF(AND($K1374=1,$L1374&lt;$J1374,COUNTIFS(nrES_PID,$D1374,nrES_Code,$F1374,nrES_Att,2)=0),"Yes","No")))</f>
        <v/>
      </c>
      <c r="R1374" s="15">
        <f>IF($C1374="","",IF($L1374="","",IF(AND($K1374=2,$L1374&lt;$J1374,COUNTIFS(nrES_PID,$D1374,nrES_Code,$F1374,nrES_Att,1)&gt;0),"Yes","No")))</f>
        <v/>
      </c>
      <c r="S1374" s="16" t="n"/>
      <c r="T1374" s="17">
        <f>IF($Q1374&lt;&gt;"Yes","",IF($S1374="","(enter date)",_xlfn.LET(_xlpm.dn,IFERROR(_xlfn.XLOOKUP($S1374,nrCDdate,nrCDnum),""),IF(_xlpm.dn="","(not a class day)",IFERROR(_xlfn.XLOOKUP(_xlpm.dn+cfgRetestClassDays,nrCDnum,nrCDdate),"")))))</f>
        <v/>
      </c>
      <c r="U1374" s="15">
        <f>IF($Q1374&lt;&gt;"Yes","",IF(COUNTIFS(nrES_PID,$D1374,nrES_Code,$F1374,nrES_Att,2)&gt;0,"Retested",IF(OR($T1374="",NOT(ISNUMBER($T1374))),"Pending",IF(TODAY()&gt;$T1374,"OVERDUE","Due "&amp;TEXT($T1374,"mm/dd")))))</f>
        <v/>
      </c>
      <c r="V1374" s="14" t="n"/>
      <c r="W1374" s="14" t="n"/>
    </row>
    <row r="1375">
      <c r="B1375" s="15">
        <f>IF($C1375="","",$D1375&amp;"-"&amp;$F1375&amp;"-"&amp;$K1375)</f>
        <v/>
      </c>
      <c r="C1375" s="14" t="n"/>
      <c r="D1375" s="15">
        <f>IF($C1375="","",IFERROR(INDEX(rngCadetPIDs,MATCH($C1375,rngCadetNames,0)),"?"))</f>
        <v/>
      </c>
      <c r="E1375" s="15">
        <f>IF($D1375="","",IFERROR(INDEX(nrCadetAgency,MATCH($D1375,rngCadetPIDs,0)),""))</f>
        <v/>
      </c>
      <c r="F1375" s="14" t="n"/>
      <c r="G1375" s="15">
        <f>IF($F1375="","",IFERROR(INDEX(rngEPname,MATCH($F1375,rngEPcode,0)),"?"))</f>
        <v/>
      </c>
      <c r="H1375" s="15">
        <f>IF($F1375="","",IFERROR(INDEX(rngEPtype,MATCH($F1375,rngEPcode,0)),"?"))</f>
        <v/>
      </c>
      <c r="I1375" s="15">
        <f>IF($F1375="","",IFERROR(INDEX(rngEPseq,MATCH($F1375,rngEPcode,0)),""))</f>
        <v/>
      </c>
      <c r="J1375" s="15">
        <f>IF($F1375="","",IFERROR(INDEX(rngEPpass,MATCH($F1375,rngEPcode,0)),cfgPassingScore))</f>
        <v/>
      </c>
      <c r="K1375" s="14" t="n"/>
      <c r="L1375" s="14" t="n"/>
      <c r="M1375" s="15">
        <f>IF($C1375="","",IF($L1375="","",IF($K1375=1,IF(COUNTIFS(nrES_PID,$D1375,nrES_Code,$F1375,nrES_Att,2)&gt;0,"",$L1375),IF(COUNTIFS(nrES_PID,$D1375,nrES_Code,$F1375,nrES_Att,1)=0,$L1375,IF($L1375&gt;=$J1375,cfgRetakeRecordedCap,SUMIFS(nrES_Raw,nrES_PID,$D1375,nrES_Code,$F1375,nrES_Att,1))))))</f>
        <v/>
      </c>
      <c r="N1375" s="15">
        <f>IF($C1375="","",IF($L1375="","",IF($L1375&gt;=$J1375,"Yes","No")))</f>
        <v/>
      </c>
      <c r="O1375" s="15">
        <f>IF($C1375="","",IF($M1375="","",IF($M1375&gt;=$J1375,"Yes","No")))</f>
        <v/>
      </c>
      <c r="P1375" s="15">
        <f>IF($C1375="","",IF($K1375="","",IF(COUNTIFS(nrES_PID,$D1375,nrES_Code,$F1375,nrES_Att,"&gt;"&amp;$K1375)=0,"Yes","No")))</f>
        <v/>
      </c>
      <c r="Q1375" s="15">
        <f>IF($C1375="","",IF($L1375="","",IF(AND($K1375=1,$L1375&lt;$J1375,COUNTIFS(nrES_PID,$D1375,nrES_Code,$F1375,nrES_Att,2)=0),"Yes","No")))</f>
        <v/>
      </c>
      <c r="R1375" s="15">
        <f>IF($C1375="","",IF($L1375="","",IF(AND($K1375=2,$L1375&lt;$J1375,COUNTIFS(nrES_PID,$D1375,nrES_Code,$F1375,nrES_Att,1)&gt;0),"Yes","No")))</f>
        <v/>
      </c>
      <c r="S1375" s="16" t="n"/>
      <c r="T1375" s="17">
        <f>IF($Q1375&lt;&gt;"Yes","",IF($S1375="","(enter date)",_xlfn.LET(_xlpm.dn,IFERROR(_xlfn.XLOOKUP($S1375,nrCDdate,nrCDnum),""),IF(_xlpm.dn="","(not a class day)",IFERROR(_xlfn.XLOOKUP(_xlpm.dn+cfgRetestClassDays,nrCDnum,nrCDdate),"")))))</f>
        <v/>
      </c>
      <c r="U1375" s="15">
        <f>IF($Q1375&lt;&gt;"Yes","",IF(COUNTIFS(nrES_PID,$D1375,nrES_Code,$F1375,nrES_Att,2)&gt;0,"Retested",IF(OR($T1375="",NOT(ISNUMBER($T1375))),"Pending",IF(TODAY()&gt;$T1375,"OVERDUE","Due "&amp;TEXT($T1375,"mm/dd")))))</f>
        <v/>
      </c>
      <c r="V1375" s="14" t="n"/>
      <c r="W1375" s="14" t="n"/>
    </row>
    <row r="1376">
      <c r="B1376" s="15">
        <f>IF($C1376="","",$D1376&amp;"-"&amp;$F1376&amp;"-"&amp;$K1376)</f>
        <v/>
      </c>
      <c r="C1376" s="14" t="n"/>
      <c r="D1376" s="15">
        <f>IF($C1376="","",IFERROR(INDEX(rngCadetPIDs,MATCH($C1376,rngCadetNames,0)),"?"))</f>
        <v/>
      </c>
      <c r="E1376" s="15">
        <f>IF($D1376="","",IFERROR(INDEX(nrCadetAgency,MATCH($D1376,rngCadetPIDs,0)),""))</f>
        <v/>
      </c>
      <c r="F1376" s="14" t="n"/>
      <c r="G1376" s="15">
        <f>IF($F1376="","",IFERROR(INDEX(rngEPname,MATCH($F1376,rngEPcode,0)),"?"))</f>
        <v/>
      </c>
      <c r="H1376" s="15">
        <f>IF($F1376="","",IFERROR(INDEX(rngEPtype,MATCH($F1376,rngEPcode,0)),"?"))</f>
        <v/>
      </c>
      <c r="I1376" s="15">
        <f>IF($F1376="","",IFERROR(INDEX(rngEPseq,MATCH($F1376,rngEPcode,0)),""))</f>
        <v/>
      </c>
      <c r="J1376" s="15">
        <f>IF($F1376="","",IFERROR(INDEX(rngEPpass,MATCH($F1376,rngEPcode,0)),cfgPassingScore))</f>
        <v/>
      </c>
      <c r="K1376" s="14" t="n"/>
      <c r="L1376" s="14" t="n"/>
      <c r="M1376" s="15">
        <f>IF($C1376="","",IF($L1376="","",IF($K1376=1,IF(COUNTIFS(nrES_PID,$D1376,nrES_Code,$F1376,nrES_Att,2)&gt;0,"",$L1376),IF(COUNTIFS(nrES_PID,$D1376,nrES_Code,$F1376,nrES_Att,1)=0,$L1376,IF($L1376&gt;=$J1376,cfgRetakeRecordedCap,SUMIFS(nrES_Raw,nrES_PID,$D1376,nrES_Code,$F1376,nrES_Att,1))))))</f>
        <v/>
      </c>
      <c r="N1376" s="15">
        <f>IF($C1376="","",IF($L1376="","",IF($L1376&gt;=$J1376,"Yes","No")))</f>
        <v/>
      </c>
      <c r="O1376" s="15">
        <f>IF($C1376="","",IF($M1376="","",IF($M1376&gt;=$J1376,"Yes","No")))</f>
        <v/>
      </c>
      <c r="P1376" s="15">
        <f>IF($C1376="","",IF($K1376="","",IF(COUNTIFS(nrES_PID,$D1376,nrES_Code,$F1376,nrES_Att,"&gt;"&amp;$K1376)=0,"Yes","No")))</f>
        <v/>
      </c>
      <c r="Q1376" s="15">
        <f>IF($C1376="","",IF($L1376="","",IF(AND($K1376=1,$L1376&lt;$J1376,COUNTIFS(nrES_PID,$D1376,nrES_Code,$F1376,nrES_Att,2)=0),"Yes","No")))</f>
        <v/>
      </c>
      <c r="R1376" s="15">
        <f>IF($C1376="","",IF($L1376="","",IF(AND($K1376=2,$L1376&lt;$J1376,COUNTIFS(nrES_PID,$D1376,nrES_Code,$F1376,nrES_Att,1)&gt;0),"Yes","No")))</f>
        <v/>
      </c>
      <c r="S1376" s="16" t="n"/>
      <c r="T1376" s="17">
        <f>IF($Q1376&lt;&gt;"Yes","",IF($S1376="","(enter date)",_xlfn.LET(_xlpm.dn,IFERROR(_xlfn.XLOOKUP($S1376,nrCDdate,nrCDnum),""),IF(_xlpm.dn="","(not a class day)",IFERROR(_xlfn.XLOOKUP(_xlpm.dn+cfgRetestClassDays,nrCDnum,nrCDdate),"")))))</f>
        <v/>
      </c>
      <c r="U1376" s="15">
        <f>IF($Q1376&lt;&gt;"Yes","",IF(COUNTIFS(nrES_PID,$D1376,nrES_Code,$F1376,nrES_Att,2)&gt;0,"Retested",IF(OR($T1376="",NOT(ISNUMBER($T1376))),"Pending",IF(TODAY()&gt;$T1376,"OVERDUE","Due "&amp;TEXT($T1376,"mm/dd")))))</f>
        <v/>
      </c>
      <c r="V1376" s="14" t="n"/>
      <c r="W1376" s="14" t="n"/>
    </row>
    <row r="1377">
      <c r="B1377" s="15">
        <f>IF($C1377="","",$D1377&amp;"-"&amp;$F1377&amp;"-"&amp;$K1377)</f>
        <v/>
      </c>
      <c r="C1377" s="14" t="n"/>
      <c r="D1377" s="15">
        <f>IF($C1377="","",IFERROR(INDEX(rngCadetPIDs,MATCH($C1377,rngCadetNames,0)),"?"))</f>
        <v/>
      </c>
      <c r="E1377" s="15">
        <f>IF($D1377="","",IFERROR(INDEX(nrCadetAgency,MATCH($D1377,rngCadetPIDs,0)),""))</f>
        <v/>
      </c>
      <c r="F1377" s="14" t="n"/>
      <c r="G1377" s="15">
        <f>IF($F1377="","",IFERROR(INDEX(rngEPname,MATCH($F1377,rngEPcode,0)),"?"))</f>
        <v/>
      </c>
      <c r="H1377" s="15">
        <f>IF($F1377="","",IFERROR(INDEX(rngEPtype,MATCH($F1377,rngEPcode,0)),"?"))</f>
        <v/>
      </c>
      <c r="I1377" s="15">
        <f>IF($F1377="","",IFERROR(INDEX(rngEPseq,MATCH($F1377,rngEPcode,0)),""))</f>
        <v/>
      </c>
      <c r="J1377" s="15">
        <f>IF($F1377="","",IFERROR(INDEX(rngEPpass,MATCH($F1377,rngEPcode,0)),cfgPassingScore))</f>
        <v/>
      </c>
      <c r="K1377" s="14" t="n"/>
      <c r="L1377" s="14" t="n"/>
      <c r="M1377" s="15">
        <f>IF($C1377="","",IF($L1377="","",IF($K1377=1,IF(COUNTIFS(nrES_PID,$D1377,nrES_Code,$F1377,nrES_Att,2)&gt;0,"",$L1377),IF(COUNTIFS(nrES_PID,$D1377,nrES_Code,$F1377,nrES_Att,1)=0,$L1377,IF($L1377&gt;=$J1377,cfgRetakeRecordedCap,SUMIFS(nrES_Raw,nrES_PID,$D1377,nrES_Code,$F1377,nrES_Att,1))))))</f>
        <v/>
      </c>
      <c r="N1377" s="15">
        <f>IF($C1377="","",IF($L1377="","",IF($L1377&gt;=$J1377,"Yes","No")))</f>
        <v/>
      </c>
      <c r="O1377" s="15">
        <f>IF($C1377="","",IF($M1377="","",IF($M1377&gt;=$J1377,"Yes","No")))</f>
        <v/>
      </c>
      <c r="P1377" s="15">
        <f>IF($C1377="","",IF($K1377="","",IF(COUNTIFS(nrES_PID,$D1377,nrES_Code,$F1377,nrES_Att,"&gt;"&amp;$K1377)=0,"Yes","No")))</f>
        <v/>
      </c>
      <c r="Q1377" s="15">
        <f>IF($C1377="","",IF($L1377="","",IF(AND($K1377=1,$L1377&lt;$J1377,COUNTIFS(nrES_PID,$D1377,nrES_Code,$F1377,nrES_Att,2)=0),"Yes","No")))</f>
        <v/>
      </c>
      <c r="R1377" s="15">
        <f>IF($C1377="","",IF($L1377="","",IF(AND($K1377=2,$L1377&lt;$J1377,COUNTIFS(nrES_PID,$D1377,nrES_Code,$F1377,nrES_Att,1)&gt;0),"Yes","No")))</f>
        <v/>
      </c>
      <c r="S1377" s="16" t="n"/>
      <c r="T1377" s="17">
        <f>IF($Q1377&lt;&gt;"Yes","",IF($S1377="","(enter date)",_xlfn.LET(_xlpm.dn,IFERROR(_xlfn.XLOOKUP($S1377,nrCDdate,nrCDnum),""),IF(_xlpm.dn="","(not a class day)",IFERROR(_xlfn.XLOOKUP(_xlpm.dn+cfgRetestClassDays,nrCDnum,nrCDdate),"")))))</f>
        <v/>
      </c>
      <c r="U1377" s="15">
        <f>IF($Q1377&lt;&gt;"Yes","",IF(COUNTIFS(nrES_PID,$D1377,nrES_Code,$F1377,nrES_Att,2)&gt;0,"Retested",IF(OR($T1377="",NOT(ISNUMBER($T1377))),"Pending",IF(TODAY()&gt;$T1377,"OVERDUE","Due "&amp;TEXT($T1377,"mm/dd")))))</f>
        <v/>
      </c>
      <c r="V1377" s="14" t="n"/>
      <c r="W1377" s="14" t="n"/>
    </row>
    <row r="1378">
      <c r="B1378" s="15">
        <f>IF($C1378="","",$D1378&amp;"-"&amp;$F1378&amp;"-"&amp;$K1378)</f>
        <v/>
      </c>
      <c r="C1378" s="14" t="n"/>
      <c r="D1378" s="15">
        <f>IF($C1378="","",IFERROR(INDEX(rngCadetPIDs,MATCH($C1378,rngCadetNames,0)),"?"))</f>
        <v/>
      </c>
      <c r="E1378" s="15">
        <f>IF($D1378="","",IFERROR(INDEX(nrCadetAgency,MATCH($D1378,rngCadetPIDs,0)),""))</f>
        <v/>
      </c>
      <c r="F1378" s="14" t="n"/>
      <c r="G1378" s="15">
        <f>IF($F1378="","",IFERROR(INDEX(rngEPname,MATCH($F1378,rngEPcode,0)),"?"))</f>
        <v/>
      </c>
      <c r="H1378" s="15">
        <f>IF($F1378="","",IFERROR(INDEX(rngEPtype,MATCH($F1378,rngEPcode,0)),"?"))</f>
        <v/>
      </c>
      <c r="I1378" s="15">
        <f>IF($F1378="","",IFERROR(INDEX(rngEPseq,MATCH($F1378,rngEPcode,0)),""))</f>
        <v/>
      </c>
      <c r="J1378" s="15">
        <f>IF($F1378="","",IFERROR(INDEX(rngEPpass,MATCH($F1378,rngEPcode,0)),cfgPassingScore))</f>
        <v/>
      </c>
      <c r="K1378" s="14" t="n"/>
      <c r="L1378" s="14" t="n"/>
      <c r="M1378" s="15">
        <f>IF($C1378="","",IF($L1378="","",IF($K1378=1,IF(COUNTIFS(nrES_PID,$D1378,nrES_Code,$F1378,nrES_Att,2)&gt;0,"",$L1378),IF(COUNTIFS(nrES_PID,$D1378,nrES_Code,$F1378,nrES_Att,1)=0,$L1378,IF($L1378&gt;=$J1378,cfgRetakeRecordedCap,SUMIFS(nrES_Raw,nrES_PID,$D1378,nrES_Code,$F1378,nrES_Att,1))))))</f>
        <v/>
      </c>
      <c r="N1378" s="15">
        <f>IF($C1378="","",IF($L1378="","",IF($L1378&gt;=$J1378,"Yes","No")))</f>
        <v/>
      </c>
      <c r="O1378" s="15">
        <f>IF($C1378="","",IF($M1378="","",IF($M1378&gt;=$J1378,"Yes","No")))</f>
        <v/>
      </c>
      <c r="P1378" s="15">
        <f>IF($C1378="","",IF($K1378="","",IF(COUNTIFS(nrES_PID,$D1378,nrES_Code,$F1378,nrES_Att,"&gt;"&amp;$K1378)=0,"Yes","No")))</f>
        <v/>
      </c>
      <c r="Q1378" s="15">
        <f>IF($C1378="","",IF($L1378="","",IF(AND($K1378=1,$L1378&lt;$J1378,COUNTIFS(nrES_PID,$D1378,nrES_Code,$F1378,nrES_Att,2)=0),"Yes","No")))</f>
        <v/>
      </c>
      <c r="R1378" s="15">
        <f>IF($C1378="","",IF($L1378="","",IF(AND($K1378=2,$L1378&lt;$J1378,COUNTIFS(nrES_PID,$D1378,nrES_Code,$F1378,nrES_Att,1)&gt;0),"Yes","No")))</f>
        <v/>
      </c>
      <c r="S1378" s="16" t="n"/>
      <c r="T1378" s="17">
        <f>IF($Q1378&lt;&gt;"Yes","",IF($S1378="","(enter date)",_xlfn.LET(_xlpm.dn,IFERROR(_xlfn.XLOOKUP($S1378,nrCDdate,nrCDnum),""),IF(_xlpm.dn="","(not a class day)",IFERROR(_xlfn.XLOOKUP(_xlpm.dn+cfgRetestClassDays,nrCDnum,nrCDdate),"")))))</f>
        <v/>
      </c>
      <c r="U1378" s="15">
        <f>IF($Q1378&lt;&gt;"Yes","",IF(COUNTIFS(nrES_PID,$D1378,nrES_Code,$F1378,nrES_Att,2)&gt;0,"Retested",IF(OR($T1378="",NOT(ISNUMBER($T1378))),"Pending",IF(TODAY()&gt;$T1378,"OVERDUE","Due "&amp;TEXT($T1378,"mm/dd")))))</f>
        <v/>
      </c>
      <c r="V1378" s="14" t="n"/>
      <c r="W1378" s="14" t="n"/>
    </row>
    <row r="1379">
      <c r="B1379" s="15">
        <f>IF($C1379="","",$D1379&amp;"-"&amp;$F1379&amp;"-"&amp;$K1379)</f>
        <v/>
      </c>
      <c r="C1379" s="14" t="n"/>
      <c r="D1379" s="15">
        <f>IF($C1379="","",IFERROR(INDEX(rngCadetPIDs,MATCH($C1379,rngCadetNames,0)),"?"))</f>
        <v/>
      </c>
      <c r="E1379" s="15">
        <f>IF($D1379="","",IFERROR(INDEX(nrCadetAgency,MATCH($D1379,rngCadetPIDs,0)),""))</f>
        <v/>
      </c>
      <c r="F1379" s="14" t="n"/>
      <c r="G1379" s="15">
        <f>IF($F1379="","",IFERROR(INDEX(rngEPname,MATCH($F1379,rngEPcode,0)),"?"))</f>
        <v/>
      </c>
      <c r="H1379" s="15">
        <f>IF($F1379="","",IFERROR(INDEX(rngEPtype,MATCH($F1379,rngEPcode,0)),"?"))</f>
        <v/>
      </c>
      <c r="I1379" s="15">
        <f>IF($F1379="","",IFERROR(INDEX(rngEPseq,MATCH($F1379,rngEPcode,0)),""))</f>
        <v/>
      </c>
      <c r="J1379" s="15">
        <f>IF($F1379="","",IFERROR(INDEX(rngEPpass,MATCH($F1379,rngEPcode,0)),cfgPassingScore))</f>
        <v/>
      </c>
      <c r="K1379" s="14" t="n"/>
      <c r="L1379" s="14" t="n"/>
      <c r="M1379" s="15">
        <f>IF($C1379="","",IF($L1379="","",IF($K1379=1,IF(COUNTIFS(nrES_PID,$D1379,nrES_Code,$F1379,nrES_Att,2)&gt;0,"",$L1379),IF(COUNTIFS(nrES_PID,$D1379,nrES_Code,$F1379,nrES_Att,1)=0,$L1379,IF($L1379&gt;=$J1379,cfgRetakeRecordedCap,SUMIFS(nrES_Raw,nrES_PID,$D1379,nrES_Code,$F1379,nrES_Att,1))))))</f>
        <v/>
      </c>
      <c r="N1379" s="15">
        <f>IF($C1379="","",IF($L1379="","",IF($L1379&gt;=$J1379,"Yes","No")))</f>
        <v/>
      </c>
      <c r="O1379" s="15">
        <f>IF($C1379="","",IF($M1379="","",IF($M1379&gt;=$J1379,"Yes","No")))</f>
        <v/>
      </c>
      <c r="P1379" s="15">
        <f>IF($C1379="","",IF($K1379="","",IF(COUNTIFS(nrES_PID,$D1379,nrES_Code,$F1379,nrES_Att,"&gt;"&amp;$K1379)=0,"Yes","No")))</f>
        <v/>
      </c>
      <c r="Q1379" s="15">
        <f>IF($C1379="","",IF($L1379="","",IF(AND($K1379=1,$L1379&lt;$J1379,COUNTIFS(nrES_PID,$D1379,nrES_Code,$F1379,nrES_Att,2)=0),"Yes","No")))</f>
        <v/>
      </c>
      <c r="R1379" s="15">
        <f>IF($C1379="","",IF($L1379="","",IF(AND($K1379=2,$L1379&lt;$J1379,COUNTIFS(nrES_PID,$D1379,nrES_Code,$F1379,nrES_Att,1)&gt;0),"Yes","No")))</f>
        <v/>
      </c>
      <c r="S1379" s="16" t="n"/>
      <c r="T1379" s="17">
        <f>IF($Q1379&lt;&gt;"Yes","",IF($S1379="","(enter date)",_xlfn.LET(_xlpm.dn,IFERROR(_xlfn.XLOOKUP($S1379,nrCDdate,nrCDnum),""),IF(_xlpm.dn="","(not a class day)",IFERROR(_xlfn.XLOOKUP(_xlpm.dn+cfgRetestClassDays,nrCDnum,nrCDdate),"")))))</f>
        <v/>
      </c>
      <c r="U1379" s="15">
        <f>IF($Q1379&lt;&gt;"Yes","",IF(COUNTIFS(nrES_PID,$D1379,nrES_Code,$F1379,nrES_Att,2)&gt;0,"Retested",IF(OR($T1379="",NOT(ISNUMBER($T1379))),"Pending",IF(TODAY()&gt;$T1379,"OVERDUE","Due "&amp;TEXT($T1379,"mm/dd")))))</f>
        <v/>
      </c>
      <c r="V1379" s="14" t="n"/>
      <c r="W1379" s="14" t="n"/>
    </row>
    <row r="1380">
      <c r="B1380" s="15">
        <f>IF($C1380="","",$D1380&amp;"-"&amp;$F1380&amp;"-"&amp;$K1380)</f>
        <v/>
      </c>
      <c r="C1380" s="14" t="n"/>
      <c r="D1380" s="15">
        <f>IF($C1380="","",IFERROR(INDEX(rngCadetPIDs,MATCH($C1380,rngCadetNames,0)),"?"))</f>
        <v/>
      </c>
      <c r="E1380" s="15">
        <f>IF($D1380="","",IFERROR(INDEX(nrCadetAgency,MATCH($D1380,rngCadetPIDs,0)),""))</f>
        <v/>
      </c>
      <c r="F1380" s="14" t="n"/>
      <c r="G1380" s="15">
        <f>IF($F1380="","",IFERROR(INDEX(rngEPname,MATCH($F1380,rngEPcode,0)),"?"))</f>
        <v/>
      </c>
      <c r="H1380" s="15">
        <f>IF($F1380="","",IFERROR(INDEX(rngEPtype,MATCH($F1380,rngEPcode,0)),"?"))</f>
        <v/>
      </c>
      <c r="I1380" s="15">
        <f>IF($F1380="","",IFERROR(INDEX(rngEPseq,MATCH($F1380,rngEPcode,0)),""))</f>
        <v/>
      </c>
      <c r="J1380" s="15">
        <f>IF($F1380="","",IFERROR(INDEX(rngEPpass,MATCH($F1380,rngEPcode,0)),cfgPassingScore))</f>
        <v/>
      </c>
      <c r="K1380" s="14" t="n"/>
      <c r="L1380" s="14" t="n"/>
      <c r="M1380" s="15">
        <f>IF($C1380="","",IF($L1380="","",IF($K1380=1,IF(COUNTIFS(nrES_PID,$D1380,nrES_Code,$F1380,nrES_Att,2)&gt;0,"",$L1380),IF(COUNTIFS(nrES_PID,$D1380,nrES_Code,$F1380,nrES_Att,1)=0,$L1380,IF($L1380&gt;=$J1380,cfgRetakeRecordedCap,SUMIFS(nrES_Raw,nrES_PID,$D1380,nrES_Code,$F1380,nrES_Att,1))))))</f>
        <v/>
      </c>
      <c r="N1380" s="15">
        <f>IF($C1380="","",IF($L1380="","",IF($L1380&gt;=$J1380,"Yes","No")))</f>
        <v/>
      </c>
      <c r="O1380" s="15">
        <f>IF($C1380="","",IF($M1380="","",IF($M1380&gt;=$J1380,"Yes","No")))</f>
        <v/>
      </c>
      <c r="P1380" s="15">
        <f>IF($C1380="","",IF($K1380="","",IF(COUNTIFS(nrES_PID,$D1380,nrES_Code,$F1380,nrES_Att,"&gt;"&amp;$K1380)=0,"Yes","No")))</f>
        <v/>
      </c>
      <c r="Q1380" s="15">
        <f>IF($C1380="","",IF($L1380="","",IF(AND($K1380=1,$L1380&lt;$J1380,COUNTIFS(nrES_PID,$D1380,nrES_Code,$F1380,nrES_Att,2)=0),"Yes","No")))</f>
        <v/>
      </c>
      <c r="R1380" s="15">
        <f>IF($C1380="","",IF($L1380="","",IF(AND($K1380=2,$L1380&lt;$J1380,COUNTIFS(nrES_PID,$D1380,nrES_Code,$F1380,nrES_Att,1)&gt;0),"Yes","No")))</f>
        <v/>
      </c>
      <c r="S1380" s="16" t="n"/>
      <c r="T1380" s="17">
        <f>IF($Q1380&lt;&gt;"Yes","",IF($S1380="","(enter date)",_xlfn.LET(_xlpm.dn,IFERROR(_xlfn.XLOOKUP($S1380,nrCDdate,nrCDnum),""),IF(_xlpm.dn="","(not a class day)",IFERROR(_xlfn.XLOOKUP(_xlpm.dn+cfgRetestClassDays,nrCDnum,nrCDdate),"")))))</f>
        <v/>
      </c>
      <c r="U1380" s="15">
        <f>IF($Q1380&lt;&gt;"Yes","",IF(COUNTIFS(nrES_PID,$D1380,nrES_Code,$F1380,nrES_Att,2)&gt;0,"Retested",IF(OR($T1380="",NOT(ISNUMBER($T1380))),"Pending",IF(TODAY()&gt;$T1380,"OVERDUE","Due "&amp;TEXT($T1380,"mm/dd")))))</f>
        <v/>
      </c>
      <c r="V1380" s="14" t="n"/>
      <c r="W1380" s="14" t="n"/>
    </row>
    <row r="1381">
      <c r="B1381" s="15">
        <f>IF($C1381="","",$D1381&amp;"-"&amp;$F1381&amp;"-"&amp;$K1381)</f>
        <v/>
      </c>
      <c r="C1381" s="14" t="n"/>
      <c r="D1381" s="15">
        <f>IF($C1381="","",IFERROR(INDEX(rngCadetPIDs,MATCH($C1381,rngCadetNames,0)),"?"))</f>
        <v/>
      </c>
      <c r="E1381" s="15">
        <f>IF($D1381="","",IFERROR(INDEX(nrCadetAgency,MATCH($D1381,rngCadetPIDs,0)),""))</f>
        <v/>
      </c>
      <c r="F1381" s="14" t="n"/>
      <c r="G1381" s="15">
        <f>IF($F1381="","",IFERROR(INDEX(rngEPname,MATCH($F1381,rngEPcode,0)),"?"))</f>
        <v/>
      </c>
      <c r="H1381" s="15">
        <f>IF($F1381="","",IFERROR(INDEX(rngEPtype,MATCH($F1381,rngEPcode,0)),"?"))</f>
        <v/>
      </c>
      <c r="I1381" s="15">
        <f>IF($F1381="","",IFERROR(INDEX(rngEPseq,MATCH($F1381,rngEPcode,0)),""))</f>
        <v/>
      </c>
      <c r="J1381" s="15">
        <f>IF($F1381="","",IFERROR(INDEX(rngEPpass,MATCH($F1381,rngEPcode,0)),cfgPassingScore))</f>
        <v/>
      </c>
      <c r="K1381" s="14" t="n"/>
      <c r="L1381" s="14" t="n"/>
      <c r="M1381" s="15">
        <f>IF($C1381="","",IF($L1381="","",IF($K1381=1,IF(COUNTIFS(nrES_PID,$D1381,nrES_Code,$F1381,nrES_Att,2)&gt;0,"",$L1381),IF(COUNTIFS(nrES_PID,$D1381,nrES_Code,$F1381,nrES_Att,1)=0,$L1381,IF($L1381&gt;=$J1381,cfgRetakeRecordedCap,SUMIFS(nrES_Raw,nrES_PID,$D1381,nrES_Code,$F1381,nrES_Att,1))))))</f>
        <v/>
      </c>
      <c r="N1381" s="15">
        <f>IF($C1381="","",IF($L1381="","",IF($L1381&gt;=$J1381,"Yes","No")))</f>
        <v/>
      </c>
      <c r="O1381" s="15">
        <f>IF($C1381="","",IF($M1381="","",IF($M1381&gt;=$J1381,"Yes","No")))</f>
        <v/>
      </c>
      <c r="P1381" s="15">
        <f>IF($C1381="","",IF($K1381="","",IF(COUNTIFS(nrES_PID,$D1381,nrES_Code,$F1381,nrES_Att,"&gt;"&amp;$K1381)=0,"Yes","No")))</f>
        <v/>
      </c>
      <c r="Q1381" s="15">
        <f>IF($C1381="","",IF($L1381="","",IF(AND($K1381=1,$L1381&lt;$J1381,COUNTIFS(nrES_PID,$D1381,nrES_Code,$F1381,nrES_Att,2)=0),"Yes","No")))</f>
        <v/>
      </c>
      <c r="R1381" s="15">
        <f>IF($C1381="","",IF($L1381="","",IF(AND($K1381=2,$L1381&lt;$J1381,COUNTIFS(nrES_PID,$D1381,nrES_Code,$F1381,nrES_Att,1)&gt;0),"Yes","No")))</f>
        <v/>
      </c>
      <c r="S1381" s="16" t="n"/>
      <c r="T1381" s="17">
        <f>IF($Q1381&lt;&gt;"Yes","",IF($S1381="","(enter date)",_xlfn.LET(_xlpm.dn,IFERROR(_xlfn.XLOOKUP($S1381,nrCDdate,nrCDnum),""),IF(_xlpm.dn="","(not a class day)",IFERROR(_xlfn.XLOOKUP(_xlpm.dn+cfgRetestClassDays,nrCDnum,nrCDdate),"")))))</f>
        <v/>
      </c>
      <c r="U1381" s="15">
        <f>IF($Q1381&lt;&gt;"Yes","",IF(COUNTIFS(nrES_PID,$D1381,nrES_Code,$F1381,nrES_Att,2)&gt;0,"Retested",IF(OR($T1381="",NOT(ISNUMBER($T1381))),"Pending",IF(TODAY()&gt;$T1381,"OVERDUE","Due "&amp;TEXT($T1381,"mm/dd")))))</f>
        <v/>
      </c>
      <c r="V1381" s="14" t="n"/>
      <c r="W1381" s="14" t="n"/>
    </row>
    <row r="1382">
      <c r="B1382" s="15">
        <f>IF($C1382="","",$D1382&amp;"-"&amp;$F1382&amp;"-"&amp;$K1382)</f>
        <v/>
      </c>
      <c r="C1382" s="14" t="n"/>
      <c r="D1382" s="15">
        <f>IF($C1382="","",IFERROR(INDEX(rngCadetPIDs,MATCH($C1382,rngCadetNames,0)),"?"))</f>
        <v/>
      </c>
      <c r="E1382" s="15">
        <f>IF($D1382="","",IFERROR(INDEX(nrCadetAgency,MATCH($D1382,rngCadetPIDs,0)),""))</f>
        <v/>
      </c>
      <c r="F1382" s="14" t="n"/>
      <c r="G1382" s="15">
        <f>IF($F1382="","",IFERROR(INDEX(rngEPname,MATCH($F1382,rngEPcode,0)),"?"))</f>
        <v/>
      </c>
      <c r="H1382" s="15">
        <f>IF($F1382="","",IFERROR(INDEX(rngEPtype,MATCH($F1382,rngEPcode,0)),"?"))</f>
        <v/>
      </c>
      <c r="I1382" s="15">
        <f>IF($F1382="","",IFERROR(INDEX(rngEPseq,MATCH($F1382,rngEPcode,0)),""))</f>
        <v/>
      </c>
      <c r="J1382" s="15">
        <f>IF($F1382="","",IFERROR(INDEX(rngEPpass,MATCH($F1382,rngEPcode,0)),cfgPassingScore))</f>
        <v/>
      </c>
      <c r="K1382" s="14" t="n"/>
      <c r="L1382" s="14" t="n"/>
      <c r="M1382" s="15">
        <f>IF($C1382="","",IF($L1382="","",IF($K1382=1,IF(COUNTIFS(nrES_PID,$D1382,nrES_Code,$F1382,nrES_Att,2)&gt;0,"",$L1382),IF(COUNTIFS(nrES_PID,$D1382,nrES_Code,$F1382,nrES_Att,1)=0,$L1382,IF($L1382&gt;=$J1382,cfgRetakeRecordedCap,SUMIFS(nrES_Raw,nrES_PID,$D1382,nrES_Code,$F1382,nrES_Att,1))))))</f>
        <v/>
      </c>
      <c r="N1382" s="15">
        <f>IF($C1382="","",IF($L1382="","",IF($L1382&gt;=$J1382,"Yes","No")))</f>
        <v/>
      </c>
      <c r="O1382" s="15">
        <f>IF($C1382="","",IF($M1382="","",IF($M1382&gt;=$J1382,"Yes","No")))</f>
        <v/>
      </c>
      <c r="P1382" s="15">
        <f>IF($C1382="","",IF($K1382="","",IF(COUNTIFS(nrES_PID,$D1382,nrES_Code,$F1382,nrES_Att,"&gt;"&amp;$K1382)=0,"Yes","No")))</f>
        <v/>
      </c>
      <c r="Q1382" s="15">
        <f>IF($C1382="","",IF($L1382="","",IF(AND($K1382=1,$L1382&lt;$J1382,COUNTIFS(nrES_PID,$D1382,nrES_Code,$F1382,nrES_Att,2)=0),"Yes","No")))</f>
        <v/>
      </c>
      <c r="R1382" s="15">
        <f>IF($C1382="","",IF($L1382="","",IF(AND($K1382=2,$L1382&lt;$J1382,COUNTIFS(nrES_PID,$D1382,nrES_Code,$F1382,nrES_Att,1)&gt;0),"Yes","No")))</f>
        <v/>
      </c>
      <c r="S1382" s="16" t="n"/>
      <c r="T1382" s="17">
        <f>IF($Q1382&lt;&gt;"Yes","",IF($S1382="","(enter date)",_xlfn.LET(_xlpm.dn,IFERROR(_xlfn.XLOOKUP($S1382,nrCDdate,nrCDnum),""),IF(_xlpm.dn="","(not a class day)",IFERROR(_xlfn.XLOOKUP(_xlpm.dn+cfgRetestClassDays,nrCDnum,nrCDdate),"")))))</f>
        <v/>
      </c>
      <c r="U1382" s="15">
        <f>IF($Q1382&lt;&gt;"Yes","",IF(COUNTIFS(nrES_PID,$D1382,nrES_Code,$F1382,nrES_Att,2)&gt;0,"Retested",IF(OR($T1382="",NOT(ISNUMBER($T1382))),"Pending",IF(TODAY()&gt;$T1382,"OVERDUE","Due "&amp;TEXT($T1382,"mm/dd")))))</f>
        <v/>
      </c>
      <c r="V1382" s="14" t="n"/>
      <c r="W1382" s="14" t="n"/>
    </row>
    <row r="1383">
      <c r="B1383" s="15">
        <f>IF($C1383="","",$D1383&amp;"-"&amp;$F1383&amp;"-"&amp;$K1383)</f>
        <v/>
      </c>
      <c r="C1383" s="14" t="n"/>
      <c r="D1383" s="15">
        <f>IF($C1383="","",IFERROR(INDEX(rngCadetPIDs,MATCH($C1383,rngCadetNames,0)),"?"))</f>
        <v/>
      </c>
      <c r="E1383" s="15">
        <f>IF($D1383="","",IFERROR(INDEX(nrCadetAgency,MATCH($D1383,rngCadetPIDs,0)),""))</f>
        <v/>
      </c>
      <c r="F1383" s="14" t="n"/>
      <c r="G1383" s="15">
        <f>IF($F1383="","",IFERROR(INDEX(rngEPname,MATCH($F1383,rngEPcode,0)),"?"))</f>
        <v/>
      </c>
      <c r="H1383" s="15">
        <f>IF($F1383="","",IFERROR(INDEX(rngEPtype,MATCH($F1383,rngEPcode,0)),"?"))</f>
        <v/>
      </c>
      <c r="I1383" s="15">
        <f>IF($F1383="","",IFERROR(INDEX(rngEPseq,MATCH($F1383,rngEPcode,0)),""))</f>
        <v/>
      </c>
      <c r="J1383" s="15">
        <f>IF($F1383="","",IFERROR(INDEX(rngEPpass,MATCH($F1383,rngEPcode,0)),cfgPassingScore))</f>
        <v/>
      </c>
      <c r="K1383" s="14" t="n"/>
      <c r="L1383" s="14" t="n"/>
      <c r="M1383" s="15">
        <f>IF($C1383="","",IF($L1383="","",IF($K1383=1,IF(COUNTIFS(nrES_PID,$D1383,nrES_Code,$F1383,nrES_Att,2)&gt;0,"",$L1383),IF(COUNTIFS(nrES_PID,$D1383,nrES_Code,$F1383,nrES_Att,1)=0,$L1383,IF($L1383&gt;=$J1383,cfgRetakeRecordedCap,SUMIFS(nrES_Raw,nrES_PID,$D1383,nrES_Code,$F1383,nrES_Att,1))))))</f>
        <v/>
      </c>
      <c r="N1383" s="15">
        <f>IF($C1383="","",IF($L1383="","",IF($L1383&gt;=$J1383,"Yes","No")))</f>
        <v/>
      </c>
      <c r="O1383" s="15">
        <f>IF($C1383="","",IF($M1383="","",IF($M1383&gt;=$J1383,"Yes","No")))</f>
        <v/>
      </c>
      <c r="P1383" s="15">
        <f>IF($C1383="","",IF($K1383="","",IF(COUNTIFS(nrES_PID,$D1383,nrES_Code,$F1383,nrES_Att,"&gt;"&amp;$K1383)=0,"Yes","No")))</f>
        <v/>
      </c>
      <c r="Q1383" s="15">
        <f>IF($C1383="","",IF($L1383="","",IF(AND($K1383=1,$L1383&lt;$J1383,COUNTIFS(nrES_PID,$D1383,nrES_Code,$F1383,nrES_Att,2)=0),"Yes","No")))</f>
        <v/>
      </c>
      <c r="R1383" s="15">
        <f>IF($C1383="","",IF($L1383="","",IF(AND($K1383=2,$L1383&lt;$J1383,COUNTIFS(nrES_PID,$D1383,nrES_Code,$F1383,nrES_Att,1)&gt;0),"Yes","No")))</f>
        <v/>
      </c>
      <c r="S1383" s="16" t="n"/>
      <c r="T1383" s="17">
        <f>IF($Q1383&lt;&gt;"Yes","",IF($S1383="","(enter date)",_xlfn.LET(_xlpm.dn,IFERROR(_xlfn.XLOOKUP($S1383,nrCDdate,nrCDnum),""),IF(_xlpm.dn="","(not a class day)",IFERROR(_xlfn.XLOOKUP(_xlpm.dn+cfgRetestClassDays,nrCDnum,nrCDdate),"")))))</f>
        <v/>
      </c>
      <c r="U1383" s="15">
        <f>IF($Q1383&lt;&gt;"Yes","",IF(COUNTIFS(nrES_PID,$D1383,nrES_Code,$F1383,nrES_Att,2)&gt;0,"Retested",IF(OR($T1383="",NOT(ISNUMBER($T1383))),"Pending",IF(TODAY()&gt;$T1383,"OVERDUE","Due "&amp;TEXT($T1383,"mm/dd")))))</f>
        <v/>
      </c>
      <c r="V1383" s="14" t="n"/>
      <c r="W1383" s="14" t="n"/>
    </row>
    <row r="1384">
      <c r="B1384" s="15">
        <f>IF($C1384="","",$D1384&amp;"-"&amp;$F1384&amp;"-"&amp;$K1384)</f>
        <v/>
      </c>
      <c r="C1384" s="14" t="n"/>
      <c r="D1384" s="15">
        <f>IF($C1384="","",IFERROR(INDEX(rngCadetPIDs,MATCH($C1384,rngCadetNames,0)),"?"))</f>
        <v/>
      </c>
      <c r="E1384" s="15">
        <f>IF($D1384="","",IFERROR(INDEX(nrCadetAgency,MATCH($D1384,rngCadetPIDs,0)),""))</f>
        <v/>
      </c>
      <c r="F1384" s="14" t="n"/>
      <c r="G1384" s="15">
        <f>IF($F1384="","",IFERROR(INDEX(rngEPname,MATCH($F1384,rngEPcode,0)),"?"))</f>
        <v/>
      </c>
      <c r="H1384" s="15">
        <f>IF($F1384="","",IFERROR(INDEX(rngEPtype,MATCH($F1384,rngEPcode,0)),"?"))</f>
        <v/>
      </c>
      <c r="I1384" s="15">
        <f>IF($F1384="","",IFERROR(INDEX(rngEPseq,MATCH($F1384,rngEPcode,0)),""))</f>
        <v/>
      </c>
      <c r="J1384" s="15">
        <f>IF($F1384="","",IFERROR(INDEX(rngEPpass,MATCH($F1384,rngEPcode,0)),cfgPassingScore))</f>
        <v/>
      </c>
      <c r="K1384" s="14" t="n"/>
      <c r="L1384" s="14" t="n"/>
      <c r="M1384" s="15">
        <f>IF($C1384="","",IF($L1384="","",IF($K1384=1,IF(COUNTIFS(nrES_PID,$D1384,nrES_Code,$F1384,nrES_Att,2)&gt;0,"",$L1384),IF(COUNTIFS(nrES_PID,$D1384,nrES_Code,$F1384,nrES_Att,1)=0,$L1384,IF($L1384&gt;=$J1384,cfgRetakeRecordedCap,SUMIFS(nrES_Raw,nrES_PID,$D1384,nrES_Code,$F1384,nrES_Att,1))))))</f>
        <v/>
      </c>
      <c r="N1384" s="15">
        <f>IF($C1384="","",IF($L1384="","",IF($L1384&gt;=$J1384,"Yes","No")))</f>
        <v/>
      </c>
      <c r="O1384" s="15">
        <f>IF($C1384="","",IF($M1384="","",IF($M1384&gt;=$J1384,"Yes","No")))</f>
        <v/>
      </c>
      <c r="P1384" s="15">
        <f>IF($C1384="","",IF($K1384="","",IF(COUNTIFS(nrES_PID,$D1384,nrES_Code,$F1384,nrES_Att,"&gt;"&amp;$K1384)=0,"Yes","No")))</f>
        <v/>
      </c>
      <c r="Q1384" s="15">
        <f>IF($C1384="","",IF($L1384="","",IF(AND($K1384=1,$L1384&lt;$J1384,COUNTIFS(nrES_PID,$D1384,nrES_Code,$F1384,nrES_Att,2)=0),"Yes","No")))</f>
        <v/>
      </c>
      <c r="R1384" s="15">
        <f>IF($C1384="","",IF($L1384="","",IF(AND($K1384=2,$L1384&lt;$J1384,COUNTIFS(nrES_PID,$D1384,nrES_Code,$F1384,nrES_Att,1)&gt;0),"Yes","No")))</f>
        <v/>
      </c>
      <c r="S1384" s="16" t="n"/>
      <c r="T1384" s="17">
        <f>IF($Q1384&lt;&gt;"Yes","",IF($S1384="","(enter date)",_xlfn.LET(_xlpm.dn,IFERROR(_xlfn.XLOOKUP($S1384,nrCDdate,nrCDnum),""),IF(_xlpm.dn="","(not a class day)",IFERROR(_xlfn.XLOOKUP(_xlpm.dn+cfgRetestClassDays,nrCDnum,nrCDdate),"")))))</f>
        <v/>
      </c>
      <c r="U1384" s="15">
        <f>IF($Q1384&lt;&gt;"Yes","",IF(COUNTIFS(nrES_PID,$D1384,nrES_Code,$F1384,nrES_Att,2)&gt;0,"Retested",IF(OR($T1384="",NOT(ISNUMBER($T1384))),"Pending",IF(TODAY()&gt;$T1384,"OVERDUE","Due "&amp;TEXT($T1384,"mm/dd")))))</f>
        <v/>
      </c>
      <c r="V1384" s="14" t="n"/>
      <c r="W1384" s="14" t="n"/>
    </row>
    <row r="1385">
      <c r="B1385" s="15">
        <f>IF($C1385="","",$D1385&amp;"-"&amp;$F1385&amp;"-"&amp;$K1385)</f>
        <v/>
      </c>
      <c r="C1385" s="14" t="n"/>
      <c r="D1385" s="15">
        <f>IF($C1385="","",IFERROR(INDEX(rngCadetPIDs,MATCH($C1385,rngCadetNames,0)),"?"))</f>
        <v/>
      </c>
      <c r="E1385" s="15">
        <f>IF($D1385="","",IFERROR(INDEX(nrCadetAgency,MATCH($D1385,rngCadetPIDs,0)),""))</f>
        <v/>
      </c>
      <c r="F1385" s="14" t="n"/>
      <c r="G1385" s="15">
        <f>IF($F1385="","",IFERROR(INDEX(rngEPname,MATCH($F1385,rngEPcode,0)),"?"))</f>
        <v/>
      </c>
      <c r="H1385" s="15">
        <f>IF($F1385="","",IFERROR(INDEX(rngEPtype,MATCH($F1385,rngEPcode,0)),"?"))</f>
        <v/>
      </c>
      <c r="I1385" s="15">
        <f>IF($F1385="","",IFERROR(INDEX(rngEPseq,MATCH($F1385,rngEPcode,0)),""))</f>
        <v/>
      </c>
      <c r="J1385" s="15">
        <f>IF($F1385="","",IFERROR(INDEX(rngEPpass,MATCH($F1385,rngEPcode,0)),cfgPassingScore))</f>
        <v/>
      </c>
      <c r="K1385" s="14" t="n"/>
      <c r="L1385" s="14" t="n"/>
      <c r="M1385" s="15">
        <f>IF($C1385="","",IF($L1385="","",IF($K1385=1,IF(COUNTIFS(nrES_PID,$D1385,nrES_Code,$F1385,nrES_Att,2)&gt;0,"",$L1385),IF(COUNTIFS(nrES_PID,$D1385,nrES_Code,$F1385,nrES_Att,1)=0,$L1385,IF($L1385&gt;=$J1385,cfgRetakeRecordedCap,SUMIFS(nrES_Raw,nrES_PID,$D1385,nrES_Code,$F1385,nrES_Att,1))))))</f>
        <v/>
      </c>
      <c r="N1385" s="15">
        <f>IF($C1385="","",IF($L1385="","",IF($L1385&gt;=$J1385,"Yes","No")))</f>
        <v/>
      </c>
      <c r="O1385" s="15">
        <f>IF($C1385="","",IF($M1385="","",IF($M1385&gt;=$J1385,"Yes","No")))</f>
        <v/>
      </c>
      <c r="P1385" s="15">
        <f>IF($C1385="","",IF($K1385="","",IF(COUNTIFS(nrES_PID,$D1385,nrES_Code,$F1385,nrES_Att,"&gt;"&amp;$K1385)=0,"Yes","No")))</f>
        <v/>
      </c>
      <c r="Q1385" s="15">
        <f>IF($C1385="","",IF($L1385="","",IF(AND($K1385=1,$L1385&lt;$J1385,COUNTIFS(nrES_PID,$D1385,nrES_Code,$F1385,nrES_Att,2)=0),"Yes","No")))</f>
        <v/>
      </c>
      <c r="R1385" s="15">
        <f>IF($C1385="","",IF($L1385="","",IF(AND($K1385=2,$L1385&lt;$J1385,COUNTIFS(nrES_PID,$D1385,nrES_Code,$F1385,nrES_Att,1)&gt;0),"Yes","No")))</f>
        <v/>
      </c>
      <c r="S1385" s="16" t="n"/>
      <c r="T1385" s="17">
        <f>IF($Q1385&lt;&gt;"Yes","",IF($S1385="","(enter date)",_xlfn.LET(_xlpm.dn,IFERROR(_xlfn.XLOOKUP($S1385,nrCDdate,nrCDnum),""),IF(_xlpm.dn="","(not a class day)",IFERROR(_xlfn.XLOOKUP(_xlpm.dn+cfgRetestClassDays,nrCDnum,nrCDdate),"")))))</f>
        <v/>
      </c>
      <c r="U1385" s="15">
        <f>IF($Q1385&lt;&gt;"Yes","",IF(COUNTIFS(nrES_PID,$D1385,nrES_Code,$F1385,nrES_Att,2)&gt;0,"Retested",IF(OR($T1385="",NOT(ISNUMBER($T1385))),"Pending",IF(TODAY()&gt;$T1385,"OVERDUE","Due "&amp;TEXT($T1385,"mm/dd")))))</f>
        <v/>
      </c>
      <c r="V1385" s="14" t="n"/>
      <c r="W1385" s="14" t="n"/>
    </row>
    <row r="1386">
      <c r="B1386" s="15">
        <f>IF($C1386="","",$D1386&amp;"-"&amp;$F1386&amp;"-"&amp;$K1386)</f>
        <v/>
      </c>
      <c r="C1386" s="14" t="n"/>
      <c r="D1386" s="15">
        <f>IF($C1386="","",IFERROR(INDEX(rngCadetPIDs,MATCH($C1386,rngCadetNames,0)),"?"))</f>
        <v/>
      </c>
      <c r="E1386" s="15">
        <f>IF($D1386="","",IFERROR(INDEX(nrCadetAgency,MATCH($D1386,rngCadetPIDs,0)),""))</f>
        <v/>
      </c>
      <c r="F1386" s="14" t="n"/>
      <c r="G1386" s="15">
        <f>IF($F1386="","",IFERROR(INDEX(rngEPname,MATCH($F1386,rngEPcode,0)),"?"))</f>
        <v/>
      </c>
      <c r="H1386" s="15">
        <f>IF($F1386="","",IFERROR(INDEX(rngEPtype,MATCH($F1386,rngEPcode,0)),"?"))</f>
        <v/>
      </c>
      <c r="I1386" s="15">
        <f>IF($F1386="","",IFERROR(INDEX(rngEPseq,MATCH($F1386,rngEPcode,0)),""))</f>
        <v/>
      </c>
      <c r="J1386" s="15">
        <f>IF($F1386="","",IFERROR(INDEX(rngEPpass,MATCH($F1386,rngEPcode,0)),cfgPassingScore))</f>
        <v/>
      </c>
      <c r="K1386" s="14" t="n"/>
      <c r="L1386" s="14" t="n"/>
      <c r="M1386" s="15">
        <f>IF($C1386="","",IF($L1386="","",IF($K1386=1,IF(COUNTIFS(nrES_PID,$D1386,nrES_Code,$F1386,nrES_Att,2)&gt;0,"",$L1386),IF(COUNTIFS(nrES_PID,$D1386,nrES_Code,$F1386,nrES_Att,1)=0,$L1386,IF($L1386&gt;=$J1386,cfgRetakeRecordedCap,SUMIFS(nrES_Raw,nrES_PID,$D1386,nrES_Code,$F1386,nrES_Att,1))))))</f>
        <v/>
      </c>
      <c r="N1386" s="15">
        <f>IF($C1386="","",IF($L1386="","",IF($L1386&gt;=$J1386,"Yes","No")))</f>
        <v/>
      </c>
      <c r="O1386" s="15">
        <f>IF($C1386="","",IF($M1386="","",IF($M1386&gt;=$J1386,"Yes","No")))</f>
        <v/>
      </c>
      <c r="P1386" s="15">
        <f>IF($C1386="","",IF($K1386="","",IF(COUNTIFS(nrES_PID,$D1386,nrES_Code,$F1386,nrES_Att,"&gt;"&amp;$K1386)=0,"Yes","No")))</f>
        <v/>
      </c>
      <c r="Q1386" s="15">
        <f>IF($C1386="","",IF($L1386="","",IF(AND($K1386=1,$L1386&lt;$J1386,COUNTIFS(nrES_PID,$D1386,nrES_Code,$F1386,nrES_Att,2)=0),"Yes","No")))</f>
        <v/>
      </c>
      <c r="R1386" s="15">
        <f>IF($C1386="","",IF($L1386="","",IF(AND($K1386=2,$L1386&lt;$J1386,COUNTIFS(nrES_PID,$D1386,nrES_Code,$F1386,nrES_Att,1)&gt;0),"Yes","No")))</f>
        <v/>
      </c>
      <c r="S1386" s="16" t="n"/>
      <c r="T1386" s="17">
        <f>IF($Q1386&lt;&gt;"Yes","",IF($S1386="","(enter date)",_xlfn.LET(_xlpm.dn,IFERROR(_xlfn.XLOOKUP($S1386,nrCDdate,nrCDnum),""),IF(_xlpm.dn="","(not a class day)",IFERROR(_xlfn.XLOOKUP(_xlpm.dn+cfgRetestClassDays,nrCDnum,nrCDdate),"")))))</f>
        <v/>
      </c>
      <c r="U1386" s="15">
        <f>IF($Q1386&lt;&gt;"Yes","",IF(COUNTIFS(nrES_PID,$D1386,nrES_Code,$F1386,nrES_Att,2)&gt;0,"Retested",IF(OR($T1386="",NOT(ISNUMBER($T1386))),"Pending",IF(TODAY()&gt;$T1386,"OVERDUE","Due "&amp;TEXT($T1386,"mm/dd")))))</f>
        <v/>
      </c>
      <c r="V1386" s="14" t="n"/>
      <c r="W1386" s="14" t="n"/>
    </row>
    <row r="1387">
      <c r="B1387" s="15">
        <f>IF($C1387="","",$D1387&amp;"-"&amp;$F1387&amp;"-"&amp;$K1387)</f>
        <v/>
      </c>
      <c r="C1387" s="14" t="n"/>
      <c r="D1387" s="15">
        <f>IF($C1387="","",IFERROR(INDEX(rngCadetPIDs,MATCH($C1387,rngCadetNames,0)),"?"))</f>
        <v/>
      </c>
      <c r="E1387" s="15">
        <f>IF($D1387="","",IFERROR(INDEX(nrCadetAgency,MATCH($D1387,rngCadetPIDs,0)),""))</f>
        <v/>
      </c>
      <c r="F1387" s="14" t="n"/>
      <c r="G1387" s="15">
        <f>IF($F1387="","",IFERROR(INDEX(rngEPname,MATCH($F1387,rngEPcode,0)),"?"))</f>
        <v/>
      </c>
      <c r="H1387" s="15">
        <f>IF($F1387="","",IFERROR(INDEX(rngEPtype,MATCH($F1387,rngEPcode,0)),"?"))</f>
        <v/>
      </c>
      <c r="I1387" s="15">
        <f>IF($F1387="","",IFERROR(INDEX(rngEPseq,MATCH($F1387,rngEPcode,0)),""))</f>
        <v/>
      </c>
      <c r="J1387" s="15">
        <f>IF($F1387="","",IFERROR(INDEX(rngEPpass,MATCH($F1387,rngEPcode,0)),cfgPassingScore))</f>
        <v/>
      </c>
      <c r="K1387" s="14" t="n"/>
      <c r="L1387" s="14" t="n"/>
      <c r="M1387" s="15">
        <f>IF($C1387="","",IF($L1387="","",IF($K1387=1,IF(COUNTIFS(nrES_PID,$D1387,nrES_Code,$F1387,nrES_Att,2)&gt;0,"",$L1387),IF(COUNTIFS(nrES_PID,$D1387,nrES_Code,$F1387,nrES_Att,1)=0,$L1387,IF($L1387&gt;=$J1387,cfgRetakeRecordedCap,SUMIFS(nrES_Raw,nrES_PID,$D1387,nrES_Code,$F1387,nrES_Att,1))))))</f>
        <v/>
      </c>
      <c r="N1387" s="15">
        <f>IF($C1387="","",IF($L1387="","",IF($L1387&gt;=$J1387,"Yes","No")))</f>
        <v/>
      </c>
      <c r="O1387" s="15">
        <f>IF($C1387="","",IF($M1387="","",IF($M1387&gt;=$J1387,"Yes","No")))</f>
        <v/>
      </c>
      <c r="P1387" s="15">
        <f>IF($C1387="","",IF($K1387="","",IF(COUNTIFS(nrES_PID,$D1387,nrES_Code,$F1387,nrES_Att,"&gt;"&amp;$K1387)=0,"Yes","No")))</f>
        <v/>
      </c>
      <c r="Q1387" s="15">
        <f>IF($C1387="","",IF($L1387="","",IF(AND($K1387=1,$L1387&lt;$J1387,COUNTIFS(nrES_PID,$D1387,nrES_Code,$F1387,nrES_Att,2)=0),"Yes","No")))</f>
        <v/>
      </c>
      <c r="R1387" s="15">
        <f>IF($C1387="","",IF($L1387="","",IF(AND($K1387=2,$L1387&lt;$J1387,COUNTIFS(nrES_PID,$D1387,nrES_Code,$F1387,nrES_Att,1)&gt;0),"Yes","No")))</f>
        <v/>
      </c>
      <c r="S1387" s="16" t="n"/>
      <c r="T1387" s="17">
        <f>IF($Q1387&lt;&gt;"Yes","",IF($S1387="","(enter date)",_xlfn.LET(_xlpm.dn,IFERROR(_xlfn.XLOOKUP($S1387,nrCDdate,nrCDnum),""),IF(_xlpm.dn="","(not a class day)",IFERROR(_xlfn.XLOOKUP(_xlpm.dn+cfgRetestClassDays,nrCDnum,nrCDdate),"")))))</f>
        <v/>
      </c>
      <c r="U1387" s="15">
        <f>IF($Q1387&lt;&gt;"Yes","",IF(COUNTIFS(nrES_PID,$D1387,nrES_Code,$F1387,nrES_Att,2)&gt;0,"Retested",IF(OR($T1387="",NOT(ISNUMBER($T1387))),"Pending",IF(TODAY()&gt;$T1387,"OVERDUE","Due "&amp;TEXT($T1387,"mm/dd")))))</f>
        <v/>
      </c>
      <c r="V1387" s="14" t="n"/>
      <c r="W1387" s="14" t="n"/>
    </row>
    <row r="1388">
      <c r="B1388" s="15">
        <f>IF($C1388="","",$D1388&amp;"-"&amp;$F1388&amp;"-"&amp;$K1388)</f>
        <v/>
      </c>
      <c r="C1388" s="14" t="n"/>
      <c r="D1388" s="15">
        <f>IF($C1388="","",IFERROR(INDEX(rngCadetPIDs,MATCH($C1388,rngCadetNames,0)),"?"))</f>
        <v/>
      </c>
      <c r="E1388" s="15">
        <f>IF($D1388="","",IFERROR(INDEX(nrCadetAgency,MATCH($D1388,rngCadetPIDs,0)),""))</f>
        <v/>
      </c>
      <c r="F1388" s="14" t="n"/>
      <c r="G1388" s="15">
        <f>IF($F1388="","",IFERROR(INDEX(rngEPname,MATCH($F1388,rngEPcode,0)),"?"))</f>
        <v/>
      </c>
      <c r="H1388" s="15">
        <f>IF($F1388="","",IFERROR(INDEX(rngEPtype,MATCH($F1388,rngEPcode,0)),"?"))</f>
        <v/>
      </c>
      <c r="I1388" s="15">
        <f>IF($F1388="","",IFERROR(INDEX(rngEPseq,MATCH($F1388,rngEPcode,0)),""))</f>
        <v/>
      </c>
      <c r="J1388" s="15">
        <f>IF($F1388="","",IFERROR(INDEX(rngEPpass,MATCH($F1388,rngEPcode,0)),cfgPassingScore))</f>
        <v/>
      </c>
      <c r="K1388" s="14" t="n"/>
      <c r="L1388" s="14" t="n"/>
      <c r="M1388" s="15">
        <f>IF($C1388="","",IF($L1388="","",IF($K1388=1,IF(COUNTIFS(nrES_PID,$D1388,nrES_Code,$F1388,nrES_Att,2)&gt;0,"",$L1388),IF(COUNTIFS(nrES_PID,$D1388,nrES_Code,$F1388,nrES_Att,1)=0,$L1388,IF($L1388&gt;=$J1388,cfgRetakeRecordedCap,SUMIFS(nrES_Raw,nrES_PID,$D1388,nrES_Code,$F1388,nrES_Att,1))))))</f>
        <v/>
      </c>
      <c r="N1388" s="15">
        <f>IF($C1388="","",IF($L1388="","",IF($L1388&gt;=$J1388,"Yes","No")))</f>
        <v/>
      </c>
      <c r="O1388" s="15">
        <f>IF($C1388="","",IF($M1388="","",IF($M1388&gt;=$J1388,"Yes","No")))</f>
        <v/>
      </c>
      <c r="P1388" s="15">
        <f>IF($C1388="","",IF($K1388="","",IF(COUNTIFS(nrES_PID,$D1388,nrES_Code,$F1388,nrES_Att,"&gt;"&amp;$K1388)=0,"Yes","No")))</f>
        <v/>
      </c>
      <c r="Q1388" s="15">
        <f>IF($C1388="","",IF($L1388="","",IF(AND($K1388=1,$L1388&lt;$J1388,COUNTIFS(nrES_PID,$D1388,nrES_Code,$F1388,nrES_Att,2)=0),"Yes","No")))</f>
        <v/>
      </c>
      <c r="R1388" s="15">
        <f>IF($C1388="","",IF($L1388="","",IF(AND($K1388=2,$L1388&lt;$J1388,COUNTIFS(nrES_PID,$D1388,nrES_Code,$F1388,nrES_Att,1)&gt;0),"Yes","No")))</f>
        <v/>
      </c>
      <c r="S1388" s="16" t="n"/>
      <c r="T1388" s="17">
        <f>IF($Q1388&lt;&gt;"Yes","",IF($S1388="","(enter date)",_xlfn.LET(_xlpm.dn,IFERROR(_xlfn.XLOOKUP($S1388,nrCDdate,nrCDnum),""),IF(_xlpm.dn="","(not a class day)",IFERROR(_xlfn.XLOOKUP(_xlpm.dn+cfgRetestClassDays,nrCDnum,nrCDdate),"")))))</f>
        <v/>
      </c>
      <c r="U1388" s="15">
        <f>IF($Q1388&lt;&gt;"Yes","",IF(COUNTIFS(nrES_PID,$D1388,nrES_Code,$F1388,nrES_Att,2)&gt;0,"Retested",IF(OR($T1388="",NOT(ISNUMBER($T1388))),"Pending",IF(TODAY()&gt;$T1388,"OVERDUE","Due "&amp;TEXT($T1388,"mm/dd")))))</f>
        <v/>
      </c>
      <c r="V1388" s="14" t="n"/>
      <c r="W1388" s="14" t="n"/>
    </row>
    <row r="1389">
      <c r="B1389" s="15">
        <f>IF($C1389="","",$D1389&amp;"-"&amp;$F1389&amp;"-"&amp;$K1389)</f>
        <v/>
      </c>
      <c r="C1389" s="14" t="n"/>
      <c r="D1389" s="15">
        <f>IF($C1389="","",IFERROR(INDEX(rngCadetPIDs,MATCH($C1389,rngCadetNames,0)),"?"))</f>
        <v/>
      </c>
      <c r="E1389" s="15">
        <f>IF($D1389="","",IFERROR(INDEX(nrCadetAgency,MATCH($D1389,rngCadetPIDs,0)),""))</f>
        <v/>
      </c>
      <c r="F1389" s="14" t="n"/>
      <c r="G1389" s="15">
        <f>IF($F1389="","",IFERROR(INDEX(rngEPname,MATCH($F1389,rngEPcode,0)),"?"))</f>
        <v/>
      </c>
      <c r="H1389" s="15">
        <f>IF($F1389="","",IFERROR(INDEX(rngEPtype,MATCH($F1389,rngEPcode,0)),"?"))</f>
        <v/>
      </c>
      <c r="I1389" s="15">
        <f>IF($F1389="","",IFERROR(INDEX(rngEPseq,MATCH($F1389,rngEPcode,0)),""))</f>
        <v/>
      </c>
      <c r="J1389" s="15">
        <f>IF($F1389="","",IFERROR(INDEX(rngEPpass,MATCH($F1389,rngEPcode,0)),cfgPassingScore))</f>
        <v/>
      </c>
      <c r="K1389" s="14" t="n"/>
      <c r="L1389" s="14" t="n"/>
      <c r="M1389" s="15">
        <f>IF($C1389="","",IF($L1389="","",IF($K1389=1,IF(COUNTIFS(nrES_PID,$D1389,nrES_Code,$F1389,nrES_Att,2)&gt;0,"",$L1389),IF(COUNTIFS(nrES_PID,$D1389,nrES_Code,$F1389,nrES_Att,1)=0,$L1389,IF($L1389&gt;=$J1389,cfgRetakeRecordedCap,SUMIFS(nrES_Raw,nrES_PID,$D1389,nrES_Code,$F1389,nrES_Att,1))))))</f>
        <v/>
      </c>
      <c r="N1389" s="15">
        <f>IF($C1389="","",IF($L1389="","",IF($L1389&gt;=$J1389,"Yes","No")))</f>
        <v/>
      </c>
      <c r="O1389" s="15">
        <f>IF($C1389="","",IF($M1389="","",IF($M1389&gt;=$J1389,"Yes","No")))</f>
        <v/>
      </c>
      <c r="P1389" s="15">
        <f>IF($C1389="","",IF($K1389="","",IF(COUNTIFS(nrES_PID,$D1389,nrES_Code,$F1389,nrES_Att,"&gt;"&amp;$K1389)=0,"Yes","No")))</f>
        <v/>
      </c>
      <c r="Q1389" s="15">
        <f>IF($C1389="","",IF($L1389="","",IF(AND($K1389=1,$L1389&lt;$J1389,COUNTIFS(nrES_PID,$D1389,nrES_Code,$F1389,nrES_Att,2)=0),"Yes","No")))</f>
        <v/>
      </c>
      <c r="R1389" s="15">
        <f>IF($C1389="","",IF($L1389="","",IF(AND($K1389=2,$L1389&lt;$J1389,COUNTIFS(nrES_PID,$D1389,nrES_Code,$F1389,nrES_Att,1)&gt;0),"Yes","No")))</f>
        <v/>
      </c>
      <c r="S1389" s="16" t="n"/>
      <c r="T1389" s="17">
        <f>IF($Q1389&lt;&gt;"Yes","",IF($S1389="","(enter date)",_xlfn.LET(_xlpm.dn,IFERROR(_xlfn.XLOOKUP($S1389,nrCDdate,nrCDnum),""),IF(_xlpm.dn="","(not a class day)",IFERROR(_xlfn.XLOOKUP(_xlpm.dn+cfgRetestClassDays,nrCDnum,nrCDdate),"")))))</f>
        <v/>
      </c>
      <c r="U1389" s="15">
        <f>IF($Q1389&lt;&gt;"Yes","",IF(COUNTIFS(nrES_PID,$D1389,nrES_Code,$F1389,nrES_Att,2)&gt;0,"Retested",IF(OR($T1389="",NOT(ISNUMBER($T1389))),"Pending",IF(TODAY()&gt;$T1389,"OVERDUE","Due "&amp;TEXT($T1389,"mm/dd")))))</f>
        <v/>
      </c>
      <c r="V1389" s="14" t="n"/>
      <c r="W1389" s="14" t="n"/>
    </row>
    <row r="1390">
      <c r="B1390" s="15">
        <f>IF($C1390="","",$D1390&amp;"-"&amp;$F1390&amp;"-"&amp;$K1390)</f>
        <v/>
      </c>
      <c r="C1390" s="14" t="n"/>
      <c r="D1390" s="15">
        <f>IF($C1390="","",IFERROR(INDEX(rngCadetPIDs,MATCH($C1390,rngCadetNames,0)),"?"))</f>
        <v/>
      </c>
      <c r="E1390" s="15">
        <f>IF($D1390="","",IFERROR(INDEX(nrCadetAgency,MATCH($D1390,rngCadetPIDs,0)),""))</f>
        <v/>
      </c>
      <c r="F1390" s="14" t="n"/>
      <c r="G1390" s="15">
        <f>IF($F1390="","",IFERROR(INDEX(rngEPname,MATCH($F1390,rngEPcode,0)),"?"))</f>
        <v/>
      </c>
      <c r="H1390" s="15">
        <f>IF($F1390="","",IFERROR(INDEX(rngEPtype,MATCH($F1390,rngEPcode,0)),"?"))</f>
        <v/>
      </c>
      <c r="I1390" s="15">
        <f>IF($F1390="","",IFERROR(INDEX(rngEPseq,MATCH($F1390,rngEPcode,0)),""))</f>
        <v/>
      </c>
      <c r="J1390" s="15">
        <f>IF($F1390="","",IFERROR(INDEX(rngEPpass,MATCH($F1390,rngEPcode,0)),cfgPassingScore))</f>
        <v/>
      </c>
      <c r="K1390" s="14" t="n"/>
      <c r="L1390" s="14" t="n"/>
      <c r="M1390" s="15">
        <f>IF($C1390="","",IF($L1390="","",IF($K1390=1,IF(COUNTIFS(nrES_PID,$D1390,nrES_Code,$F1390,nrES_Att,2)&gt;0,"",$L1390),IF(COUNTIFS(nrES_PID,$D1390,nrES_Code,$F1390,nrES_Att,1)=0,$L1390,IF($L1390&gt;=$J1390,cfgRetakeRecordedCap,SUMIFS(nrES_Raw,nrES_PID,$D1390,nrES_Code,$F1390,nrES_Att,1))))))</f>
        <v/>
      </c>
      <c r="N1390" s="15">
        <f>IF($C1390="","",IF($L1390="","",IF($L1390&gt;=$J1390,"Yes","No")))</f>
        <v/>
      </c>
      <c r="O1390" s="15">
        <f>IF($C1390="","",IF($M1390="","",IF($M1390&gt;=$J1390,"Yes","No")))</f>
        <v/>
      </c>
      <c r="P1390" s="15">
        <f>IF($C1390="","",IF($K1390="","",IF(COUNTIFS(nrES_PID,$D1390,nrES_Code,$F1390,nrES_Att,"&gt;"&amp;$K1390)=0,"Yes","No")))</f>
        <v/>
      </c>
      <c r="Q1390" s="15">
        <f>IF($C1390="","",IF($L1390="","",IF(AND($K1390=1,$L1390&lt;$J1390,COUNTIFS(nrES_PID,$D1390,nrES_Code,$F1390,nrES_Att,2)=0),"Yes","No")))</f>
        <v/>
      </c>
      <c r="R1390" s="15">
        <f>IF($C1390="","",IF($L1390="","",IF(AND($K1390=2,$L1390&lt;$J1390,COUNTIFS(nrES_PID,$D1390,nrES_Code,$F1390,nrES_Att,1)&gt;0),"Yes","No")))</f>
        <v/>
      </c>
      <c r="S1390" s="16" t="n"/>
      <c r="T1390" s="17">
        <f>IF($Q1390&lt;&gt;"Yes","",IF($S1390="","(enter date)",_xlfn.LET(_xlpm.dn,IFERROR(_xlfn.XLOOKUP($S1390,nrCDdate,nrCDnum),""),IF(_xlpm.dn="","(not a class day)",IFERROR(_xlfn.XLOOKUP(_xlpm.dn+cfgRetestClassDays,nrCDnum,nrCDdate),"")))))</f>
        <v/>
      </c>
      <c r="U1390" s="15">
        <f>IF($Q1390&lt;&gt;"Yes","",IF(COUNTIFS(nrES_PID,$D1390,nrES_Code,$F1390,nrES_Att,2)&gt;0,"Retested",IF(OR($T1390="",NOT(ISNUMBER($T1390))),"Pending",IF(TODAY()&gt;$T1390,"OVERDUE","Due "&amp;TEXT($T1390,"mm/dd")))))</f>
        <v/>
      </c>
      <c r="V1390" s="14" t="n"/>
      <c r="W1390" s="14" t="n"/>
    </row>
    <row r="1391">
      <c r="B1391" s="15">
        <f>IF($C1391="","",$D1391&amp;"-"&amp;$F1391&amp;"-"&amp;$K1391)</f>
        <v/>
      </c>
      <c r="C1391" s="14" t="n"/>
      <c r="D1391" s="15">
        <f>IF($C1391="","",IFERROR(INDEX(rngCadetPIDs,MATCH($C1391,rngCadetNames,0)),"?"))</f>
        <v/>
      </c>
      <c r="E1391" s="15">
        <f>IF($D1391="","",IFERROR(INDEX(nrCadetAgency,MATCH($D1391,rngCadetPIDs,0)),""))</f>
        <v/>
      </c>
      <c r="F1391" s="14" t="n"/>
      <c r="G1391" s="15">
        <f>IF($F1391="","",IFERROR(INDEX(rngEPname,MATCH($F1391,rngEPcode,0)),"?"))</f>
        <v/>
      </c>
      <c r="H1391" s="15">
        <f>IF($F1391="","",IFERROR(INDEX(rngEPtype,MATCH($F1391,rngEPcode,0)),"?"))</f>
        <v/>
      </c>
      <c r="I1391" s="15">
        <f>IF($F1391="","",IFERROR(INDEX(rngEPseq,MATCH($F1391,rngEPcode,0)),""))</f>
        <v/>
      </c>
      <c r="J1391" s="15">
        <f>IF($F1391="","",IFERROR(INDEX(rngEPpass,MATCH($F1391,rngEPcode,0)),cfgPassingScore))</f>
        <v/>
      </c>
      <c r="K1391" s="14" t="n"/>
      <c r="L1391" s="14" t="n"/>
      <c r="M1391" s="15">
        <f>IF($C1391="","",IF($L1391="","",IF($K1391=1,IF(COUNTIFS(nrES_PID,$D1391,nrES_Code,$F1391,nrES_Att,2)&gt;0,"",$L1391),IF(COUNTIFS(nrES_PID,$D1391,nrES_Code,$F1391,nrES_Att,1)=0,$L1391,IF($L1391&gt;=$J1391,cfgRetakeRecordedCap,SUMIFS(nrES_Raw,nrES_PID,$D1391,nrES_Code,$F1391,nrES_Att,1))))))</f>
        <v/>
      </c>
      <c r="N1391" s="15">
        <f>IF($C1391="","",IF($L1391="","",IF($L1391&gt;=$J1391,"Yes","No")))</f>
        <v/>
      </c>
      <c r="O1391" s="15">
        <f>IF($C1391="","",IF($M1391="","",IF($M1391&gt;=$J1391,"Yes","No")))</f>
        <v/>
      </c>
      <c r="P1391" s="15">
        <f>IF($C1391="","",IF($K1391="","",IF(COUNTIFS(nrES_PID,$D1391,nrES_Code,$F1391,nrES_Att,"&gt;"&amp;$K1391)=0,"Yes","No")))</f>
        <v/>
      </c>
      <c r="Q1391" s="15">
        <f>IF($C1391="","",IF($L1391="","",IF(AND($K1391=1,$L1391&lt;$J1391,COUNTIFS(nrES_PID,$D1391,nrES_Code,$F1391,nrES_Att,2)=0),"Yes","No")))</f>
        <v/>
      </c>
      <c r="R1391" s="15">
        <f>IF($C1391="","",IF($L1391="","",IF(AND($K1391=2,$L1391&lt;$J1391,COUNTIFS(nrES_PID,$D1391,nrES_Code,$F1391,nrES_Att,1)&gt;0),"Yes","No")))</f>
        <v/>
      </c>
      <c r="S1391" s="16" t="n"/>
      <c r="T1391" s="17">
        <f>IF($Q1391&lt;&gt;"Yes","",IF($S1391="","(enter date)",_xlfn.LET(_xlpm.dn,IFERROR(_xlfn.XLOOKUP($S1391,nrCDdate,nrCDnum),""),IF(_xlpm.dn="","(not a class day)",IFERROR(_xlfn.XLOOKUP(_xlpm.dn+cfgRetestClassDays,nrCDnum,nrCDdate),"")))))</f>
        <v/>
      </c>
      <c r="U1391" s="15">
        <f>IF($Q1391&lt;&gt;"Yes","",IF(COUNTIFS(nrES_PID,$D1391,nrES_Code,$F1391,nrES_Att,2)&gt;0,"Retested",IF(OR($T1391="",NOT(ISNUMBER($T1391))),"Pending",IF(TODAY()&gt;$T1391,"OVERDUE","Due "&amp;TEXT($T1391,"mm/dd")))))</f>
        <v/>
      </c>
      <c r="V1391" s="14" t="n"/>
      <c r="W1391" s="14" t="n"/>
    </row>
    <row r="1392">
      <c r="B1392" s="15">
        <f>IF($C1392="","",$D1392&amp;"-"&amp;$F1392&amp;"-"&amp;$K1392)</f>
        <v/>
      </c>
      <c r="C1392" s="14" t="n"/>
      <c r="D1392" s="15">
        <f>IF($C1392="","",IFERROR(INDEX(rngCadetPIDs,MATCH($C1392,rngCadetNames,0)),"?"))</f>
        <v/>
      </c>
      <c r="E1392" s="15">
        <f>IF($D1392="","",IFERROR(INDEX(nrCadetAgency,MATCH($D1392,rngCadetPIDs,0)),""))</f>
        <v/>
      </c>
      <c r="F1392" s="14" t="n"/>
      <c r="G1392" s="15">
        <f>IF($F1392="","",IFERROR(INDEX(rngEPname,MATCH($F1392,rngEPcode,0)),"?"))</f>
        <v/>
      </c>
      <c r="H1392" s="15">
        <f>IF($F1392="","",IFERROR(INDEX(rngEPtype,MATCH($F1392,rngEPcode,0)),"?"))</f>
        <v/>
      </c>
      <c r="I1392" s="15">
        <f>IF($F1392="","",IFERROR(INDEX(rngEPseq,MATCH($F1392,rngEPcode,0)),""))</f>
        <v/>
      </c>
      <c r="J1392" s="15">
        <f>IF($F1392="","",IFERROR(INDEX(rngEPpass,MATCH($F1392,rngEPcode,0)),cfgPassingScore))</f>
        <v/>
      </c>
      <c r="K1392" s="14" t="n"/>
      <c r="L1392" s="14" t="n"/>
      <c r="M1392" s="15">
        <f>IF($C1392="","",IF($L1392="","",IF($K1392=1,IF(COUNTIFS(nrES_PID,$D1392,nrES_Code,$F1392,nrES_Att,2)&gt;0,"",$L1392),IF(COUNTIFS(nrES_PID,$D1392,nrES_Code,$F1392,nrES_Att,1)=0,$L1392,IF($L1392&gt;=$J1392,cfgRetakeRecordedCap,SUMIFS(nrES_Raw,nrES_PID,$D1392,nrES_Code,$F1392,nrES_Att,1))))))</f>
        <v/>
      </c>
      <c r="N1392" s="15">
        <f>IF($C1392="","",IF($L1392="","",IF($L1392&gt;=$J1392,"Yes","No")))</f>
        <v/>
      </c>
      <c r="O1392" s="15">
        <f>IF($C1392="","",IF($M1392="","",IF($M1392&gt;=$J1392,"Yes","No")))</f>
        <v/>
      </c>
      <c r="P1392" s="15">
        <f>IF($C1392="","",IF($K1392="","",IF(COUNTIFS(nrES_PID,$D1392,nrES_Code,$F1392,nrES_Att,"&gt;"&amp;$K1392)=0,"Yes","No")))</f>
        <v/>
      </c>
      <c r="Q1392" s="15">
        <f>IF($C1392="","",IF($L1392="","",IF(AND($K1392=1,$L1392&lt;$J1392,COUNTIFS(nrES_PID,$D1392,nrES_Code,$F1392,nrES_Att,2)=0),"Yes","No")))</f>
        <v/>
      </c>
      <c r="R1392" s="15">
        <f>IF($C1392="","",IF($L1392="","",IF(AND($K1392=2,$L1392&lt;$J1392,COUNTIFS(nrES_PID,$D1392,nrES_Code,$F1392,nrES_Att,1)&gt;0),"Yes","No")))</f>
        <v/>
      </c>
      <c r="S1392" s="16" t="n"/>
      <c r="T1392" s="17">
        <f>IF($Q1392&lt;&gt;"Yes","",IF($S1392="","(enter date)",_xlfn.LET(_xlpm.dn,IFERROR(_xlfn.XLOOKUP($S1392,nrCDdate,nrCDnum),""),IF(_xlpm.dn="","(not a class day)",IFERROR(_xlfn.XLOOKUP(_xlpm.dn+cfgRetestClassDays,nrCDnum,nrCDdate),"")))))</f>
        <v/>
      </c>
      <c r="U1392" s="15">
        <f>IF($Q1392&lt;&gt;"Yes","",IF(COUNTIFS(nrES_PID,$D1392,nrES_Code,$F1392,nrES_Att,2)&gt;0,"Retested",IF(OR($T1392="",NOT(ISNUMBER($T1392))),"Pending",IF(TODAY()&gt;$T1392,"OVERDUE","Due "&amp;TEXT($T1392,"mm/dd")))))</f>
        <v/>
      </c>
      <c r="V1392" s="14" t="n"/>
      <c r="W1392" s="14" t="n"/>
    </row>
    <row r="1393">
      <c r="B1393" s="15">
        <f>IF($C1393="","",$D1393&amp;"-"&amp;$F1393&amp;"-"&amp;$K1393)</f>
        <v/>
      </c>
      <c r="C1393" s="14" t="n"/>
      <c r="D1393" s="15">
        <f>IF($C1393="","",IFERROR(INDEX(rngCadetPIDs,MATCH($C1393,rngCadetNames,0)),"?"))</f>
        <v/>
      </c>
      <c r="E1393" s="15">
        <f>IF($D1393="","",IFERROR(INDEX(nrCadetAgency,MATCH($D1393,rngCadetPIDs,0)),""))</f>
        <v/>
      </c>
      <c r="F1393" s="14" t="n"/>
      <c r="G1393" s="15">
        <f>IF($F1393="","",IFERROR(INDEX(rngEPname,MATCH($F1393,rngEPcode,0)),"?"))</f>
        <v/>
      </c>
      <c r="H1393" s="15">
        <f>IF($F1393="","",IFERROR(INDEX(rngEPtype,MATCH($F1393,rngEPcode,0)),"?"))</f>
        <v/>
      </c>
      <c r="I1393" s="15">
        <f>IF($F1393="","",IFERROR(INDEX(rngEPseq,MATCH($F1393,rngEPcode,0)),""))</f>
        <v/>
      </c>
      <c r="J1393" s="15">
        <f>IF($F1393="","",IFERROR(INDEX(rngEPpass,MATCH($F1393,rngEPcode,0)),cfgPassingScore))</f>
        <v/>
      </c>
      <c r="K1393" s="14" t="n"/>
      <c r="L1393" s="14" t="n"/>
      <c r="M1393" s="15">
        <f>IF($C1393="","",IF($L1393="","",IF($K1393=1,IF(COUNTIFS(nrES_PID,$D1393,nrES_Code,$F1393,nrES_Att,2)&gt;0,"",$L1393),IF(COUNTIFS(nrES_PID,$D1393,nrES_Code,$F1393,nrES_Att,1)=0,$L1393,IF($L1393&gt;=$J1393,cfgRetakeRecordedCap,SUMIFS(nrES_Raw,nrES_PID,$D1393,nrES_Code,$F1393,nrES_Att,1))))))</f>
        <v/>
      </c>
      <c r="N1393" s="15">
        <f>IF($C1393="","",IF($L1393="","",IF($L1393&gt;=$J1393,"Yes","No")))</f>
        <v/>
      </c>
      <c r="O1393" s="15">
        <f>IF($C1393="","",IF($M1393="","",IF($M1393&gt;=$J1393,"Yes","No")))</f>
        <v/>
      </c>
      <c r="P1393" s="15">
        <f>IF($C1393="","",IF($K1393="","",IF(COUNTIFS(nrES_PID,$D1393,nrES_Code,$F1393,nrES_Att,"&gt;"&amp;$K1393)=0,"Yes","No")))</f>
        <v/>
      </c>
      <c r="Q1393" s="15">
        <f>IF($C1393="","",IF($L1393="","",IF(AND($K1393=1,$L1393&lt;$J1393,COUNTIFS(nrES_PID,$D1393,nrES_Code,$F1393,nrES_Att,2)=0),"Yes","No")))</f>
        <v/>
      </c>
      <c r="R1393" s="15">
        <f>IF($C1393="","",IF($L1393="","",IF(AND($K1393=2,$L1393&lt;$J1393,COUNTIFS(nrES_PID,$D1393,nrES_Code,$F1393,nrES_Att,1)&gt;0),"Yes","No")))</f>
        <v/>
      </c>
      <c r="S1393" s="16" t="n"/>
      <c r="T1393" s="17">
        <f>IF($Q1393&lt;&gt;"Yes","",IF($S1393="","(enter date)",_xlfn.LET(_xlpm.dn,IFERROR(_xlfn.XLOOKUP($S1393,nrCDdate,nrCDnum),""),IF(_xlpm.dn="","(not a class day)",IFERROR(_xlfn.XLOOKUP(_xlpm.dn+cfgRetestClassDays,nrCDnum,nrCDdate),"")))))</f>
        <v/>
      </c>
      <c r="U1393" s="15">
        <f>IF($Q1393&lt;&gt;"Yes","",IF(COUNTIFS(nrES_PID,$D1393,nrES_Code,$F1393,nrES_Att,2)&gt;0,"Retested",IF(OR($T1393="",NOT(ISNUMBER($T1393))),"Pending",IF(TODAY()&gt;$T1393,"OVERDUE","Due "&amp;TEXT($T1393,"mm/dd")))))</f>
        <v/>
      </c>
      <c r="V1393" s="14" t="n"/>
      <c r="W1393" s="14" t="n"/>
    </row>
    <row r="1394">
      <c r="B1394" s="15">
        <f>IF($C1394="","",$D1394&amp;"-"&amp;$F1394&amp;"-"&amp;$K1394)</f>
        <v/>
      </c>
      <c r="C1394" s="14" t="n"/>
      <c r="D1394" s="15">
        <f>IF($C1394="","",IFERROR(INDEX(rngCadetPIDs,MATCH($C1394,rngCadetNames,0)),"?"))</f>
        <v/>
      </c>
      <c r="E1394" s="15">
        <f>IF($D1394="","",IFERROR(INDEX(nrCadetAgency,MATCH($D1394,rngCadetPIDs,0)),""))</f>
        <v/>
      </c>
      <c r="F1394" s="14" t="n"/>
      <c r="G1394" s="15">
        <f>IF($F1394="","",IFERROR(INDEX(rngEPname,MATCH($F1394,rngEPcode,0)),"?"))</f>
        <v/>
      </c>
      <c r="H1394" s="15">
        <f>IF($F1394="","",IFERROR(INDEX(rngEPtype,MATCH($F1394,rngEPcode,0)),"?"))</f>
        <v/>
      </c>
      <c r="I1394" s="15">
        <f>IF($F1394="","",IFERROR(INDEX(rngEPseq,MATCH($F1394,rngEPcode,0)),""))</f>
        <v/>
      </c>
      <c r="J1394" s="15">
        <f>IF($F1394="","",IFERROR(INDEX(rngEPpass,MATCH($F1394,rngEPcode,0)),cfgPassingScore))</f>
        <v/>
      </c>
      <c r="K1394" s="14" t="n"/>
      <c r="L1394" s="14" t="n"/>
      <c r="M1394" s="15">
        <f>IF($C1394="","",IF($L1394="","",IF($K1394=1,IF(COUNTIFS(nrES_PID,$D1394,nrES_Code,$F1394,nrES_Att,2)&gt;0,"",$L1394),IF(COUNTIFS(nrES_PID,$D1394,nrES_Code,$F1394,nrES_Att,1)=0,$L1394,IF($L1394&gt;=$J1394,cfgRetakeRecordedCap,SUMIFS(nrES_Raw,nrES_PID,$D1394,nrES_Code,$F1394,nrES_Att,1))))))</f>
        <v/>
      </c>
      <c r="N1394" s="15">
        <f>IF($C1394="","",IF($L1394="","",IF($L1394&gt;=$J1394,"Yes","No")))</f>
        <v/>
      </c>
      <c r="O1394" s="15">
        <f>IF($C1394="","",IF($M1394="","",IF($M1394&gt;=$J1394,"Yes","No")))</f>
        <v/>
      </c>
      <c r="P1394" s="15">
        <f>IF($C1394="","",IF($K1394="","",IF(COUNTIFS(nrES_PID,$D1394,nrES_Code,$F1394,nrES_Att,"&gt;"&amp;$K1394)=0,"Yes","No")))</f>
        <v/>
      </c>
      <c r="Q1394" s="15">
        <f>IF($C1394="","",IF($L1394="","",IF(AND($K1394=1,$L1394&lt;$J1394,COUNTIFS(nrES_PID,$D1394,nrES_Code,$F1394,nrES_Att,2)=0),"Yes","No")))</f>
        <v/>
      </c>
      <c r="R1394" s="15">
        <f>IF($C1394="","",IF($L1394="","",IF(AND($K1394=2,$L1394&lt;$J1394,COUNTIFS(nrES_PID,$D1394,nrES_Code,$F1394,nrES_Att,1)&gt;0),"Yes","No")))</f>
        <v/>
      </c>
      <c r="S1394" s="16" t="n"/>
      <c r="T1394" s="17">
        <f>IF($Q1394&lt;&gt;"Yes","",IF($S1394="","(enter date)",_xlfn.LET(_xlpm.dn,IFERROR(_xlfn.XLOOKUP($S1394,nrCDdate,nrCDnum),""),IF(_xlpm.dn="","(not a class day)",IFERROR(_xlfn.XLOOKUP(_xlpm.dn+cfgRetestClassDays,nrCDnum,nrCDdate),"")))))</f>
        <v/>
      </c>
      <c r="U1394" s="15">
        <f>IF($Q1394&lt;&gt;"Yes","",IF(COUNTIFS(nrES_PID,$D1394,nrES_Code,$F1394,nrES_Att,2)&gt;0,"Retested",IF(OR($T1394="",NOT(ISNUMBER($T1394))),"Pending",IF(TODAY()&gt;$T1394,"OVERDUE","Due "&amp;TEXT($T1394,"mm/dd")))))</f>
        <v/>
      </c>
      <c r="V1394" s="14" t="n"/>
      <c r="W1394" s="14" t="n"/>
    </row>
    <row r="1395">
      <c r="B1395" s="15">
        <f>IF($C1395="","",$D1395&amp;"-"&amp;$F1395&amp;"-"&amp;$K1395)</f>
        <v/>
      </c>
      <c r="C1395" s="14" t="n"/>
      <c r="D1395" s="15">
        <f>IF($C1395="","",IFERROR(INDEX(rngCadetPIDs,MATCH($C1395,rngCadetNames,0)),"?"))</f>
        <v/>
      </c>
      <c r="E1395" s="15">
        <f>IF($D1395="","",IFERROR(INDEX(nrCadetAgency,MATCH($D1395,rngCadetPIDs,0)),""))</f>
        <v/>
      </c>
      <c r="F1395" s="14" t="n"/>
      <c r="G1395" s="15">
        <f>IF($F1395="","",IFERROR(INDEX(rngEPname,MATCH($F1395,rngEPcode,0)),"?"))</f>
        <v/>
      </c>
      <c r="H1395" s="15">
        <f>IF($F1395="","",IFERROR(INDEX(rngEPtype,MATCH($F1395,rngEPcode,0)),"?"))</f>
        <v/>
      </c>
      <c r="I1395" s="15">
        <f>IF($F1395="","",IFERROR(INDEX(rngEPseq,MATCH($F1395,rngEPcode,0)),""))</f>
        <v/>
      </c>
      <c r="J1395" s="15">
        <f>IF($F1395="","",IFERROR(INDEX(rngEPpass,MATCH($F1395,rngEPcode,0)),cfgPassingScore))</f>
        <v/>
      </c>
      <c r="K1395" s="14" t="n"/>
      <c r="L1395" s="14" t="n"/>
      <c r="M1395" s="15">
        <f>IF($C1395="","",IF($L1395="","",IF($K1395=1,IF(COUNTIFS(nrES_PID,$D1395,nrES_Code,$F1395,nrES_Att,2)&gt;0,"",$L1395),IF(COUNTIFS(nrES_PID,$D1395,nrES_Code,$F1395,nrES_Att,1)=0,$L1395,IF($L1395&gt;=$J1395,cfgRetakeRecordedCap,SUMIFS(nrES_Raw,nrES_PID,$D1395,nrES_Code,$F1395,nrES_Att,1))))))</f>
        <v/>
      </c>
      <c r="N1395" s="15">
        <f>IF($C1395="","",IF($L1395="","",IF($L1395&gt;=$J1395,"Yes","No")))</f>
        <v/>
      </c>
      <c r="O1395" s="15">
        <f>IF($C1395="","",IF($M1395="","",IF($M1395&gt;=$J1395,"Yes","No")))</f>
        <v/>
      </c>
      <c r="P1395" s="15">
        <f>IF($C1395="","",IF($K1395="","",IF(COUNTIFS(nrES_PID,$D1395,nrES_Code,$F1395,nrES_Att,"&gt;"&amp;$K1395)=0,"Yes","No")))</f>
        <v/>
      </c>
      <c r="Q1395" s="15">
        <f>IF($C1395="","",IF($L1395="","",IF(AND($K1395=1,$L1395&lt;$J1395,COUNTIFS(nrES_PID,$D1395,nrES_Code,$F1395,nrES_Att,2)=0),"Yes","No")))</f>
        <v/>
      </c>
      <c r="R1395" s="15">
        <f>IF($C1395="","",IF($L1395="","",IF(AND($K1395=2,$L1395&lt;$J1395,COUNTIFS(nrES_PID,$D1395,nrES_Code,$F1395,nrES_Att,1)&gt;0),"Yes","No")))</f>
        <v/>
      </c>
      <c r="S1395" s="16" t="n"/>
      <c r="T1395" s="17">
        <f>IF($Q1395&lt;&gt;"Yes","",IF($S1395="","(enter date)",_xlfn.LET(_xlpm.dn,IFERROR(_xlfn.XLOOKUP($S1395,nrCDdate,nrCDnum),""),IF(_xlpm.dn="","(not a class day)",IFERROR(_xlfn.XLOOKUP(_xlpm.dn+cfgRetestClassDays,nrCDnum,nrCDdate),"")))))</f>
        <v/>
      </c>
      <c r="U1395" s="15">
        <f>IF($Q1395&lt;&gt;"Yes","",IF(COUNTIFS(nrES_PID,$D1395,nrES_Code,$F1395,nrES_Att,2)&gt;0,"Retested",IF(OR($T1395="",NOT(ISNUMBER($T1395))),"Pending",IF(TODAY()&gt;$T1395,"OVERDUE","Due "&amp;TEXT($T1395,"mm/dd")))))</f>
        <v/>
      </c>
      <c r="V1395" s="14" t="n"/>
      <c r="W1395" s="14" t="n"/>
    </row>
    <row r="1396">
      <c r="B1396" s="15">
        <f>IF($C1396="","",$D1396&amp;"-"&amp;$F1396&amp;"-"&amp;$K1396)</f>
        <v/>
      </c>
      <c r="C1396" s="14" t="n"/>
      <c r="D1396" s="15">
        <f>IF($C1396="","",IFERROR(INDEX(rngCadetPIDs,MATCH($C1396,rngCadetNames,0)),"?"))</f>
        <v/>
      </c>
      <c r="E1396" s="15">
        <f>IF($D1396="","",IFERROR(INDEX(nrCadetAgency,MATCH($D1396,rngCadetPIDs,0)),""))</f>
        <v/>
      </c>
      <c r="F1396" s="14" t="n"/>
      <c r="G1396" s="15">
        <f>IF($F1396="","",IFERROR(INDEX(rngEPname,MATCH($F1396,rngEPcode,0)),"?"))</f>
        <v/>
      </c>
      <c r="H1396" s="15">
        <f>IF($F1396="","",IFERROR(INDEX(rngEPtype,MATCH($F1396,rngEPcode,0)),"?"))</f>
        <v/>
      </c>
      <c r="I1396" s="15">
        <f>IF($F1396="","",IFERROR(INDEX(rngEPseq,MATCH($F1396,rngEPcode,0)),""))</f>
        <v/>
      </c>
      <c r="J1396" s="15">
        <f>IF($F1396="","",IFERROR(INDEX(rngEPpass,MATCH($F1396,rngEPcode,0)),cfgPassingScore))</f>
        <v/>
      </c>
      <c r="K1396" s="14" t="n"/>
      <c r="L1396" s="14" t="n"/>
      <c r="M1396" s="15">
        <f>IF($C1396="","",IF($L1396="","",IF($K1396=1,IF(COUNTIFS(nrES_PID,$D1396,nrES_Code,$F1396,nrES_Att,2)&gt;0,"",$L1396),IF(COUNTIFS(nrES_PID,$D1396,nrES_Code,$F1396,nrES_Att,1)=0,$L1396,IF($L1396&gt;=$J1396,cfgRetakeRecordedCap,SUMIFS(nrES_Raw,nrES_PID,$D1396,nrES_Code,$F1396,nrES_Att,1))))))</f>
        <v/>
      </c>
      <c r="N1396" s="15">
        <f>IF($C1396="","",IF($L1396="","",IF($L1396&gt;=$J1396,"Yes","No")))</f>
        <v/>
      </c>
      <c r="O1396" s="15">
        <f>IF($C1396="","",IF($M1396="","",IF($M1396&gt;=$J1396,"Yes","No")))</f>
        <v/>
      </c>
      <c r="P1396" s="15">
        <f>IF($C1396="","",IF($K1396="","",IF(COUNTIFS(nrES_PID,$D1396,nrES_Code,$F1396,nrES_Att,"&gt;"&amp;$K1396)=0,"Yes","No")))</f>
        <v/>
      </c>
      <c r="Q1396" s="15">
        <f>IF($C1396="","",IF($L1396="","",IF(AND($K1396=1,$L1396&lt;$J1396,COUNTIFS(nrES_PID,$D1396,nrES_Code,$F1396,nrES_Att,2)=0),"Yes","No")))</f>
        <v/>
      </c>
      <c r="R1396" s="15">
        <f>IF($C1396="","",IF($L1396="","",IF(AND($K1396=2,$L1396&lt;$J1396,COUNTIFS(nrES_PID,$D1396,nrES_Code,$F1396,nrES_Att,1)&gt;0),"Yes","No")))</f>
        <v/>
      </c>
      <c r="S1396" s="16" t="n"/>
      <c r="T1396" s="17">
        <f>IF($Q1396&lt;&gt;"Yes","",IF($S1396="","(enter date)",_xlfn.LET(_xlpm.dn,IFERROR(_xlfn.XLOOKUP($S1396,nrCDdate,nrCDnum),""),IF(_xlpm.dn="","(not a class day)",IFERROR(_xlfn.XLOOKUP(_xlpm.dn+cfgRetestClassDays,nrCDnum,nrCDdate),"")))))</f>
        <v/>
      </c>
      <c r="U1396" s="15">
        <f>IF($Q1396&lt;&gt;"Yes","",IF(COUNTIFS(nrES_PID,$D1396,nrES_Code,$F1396,nrES_Att,2)&gt;0,"Retested",IF(OR($T1396="",NOT(ISNUMBER($T1396))),"Pending",IF(TODAY()&gt;$T1396,"OVERDUE","Due "&amp;TEXT($T1396,"mm/dd")))))</f>
        <v/>
      </c>
      <c r="V1396" s="14" t="n"/>
      <c r="W1396" s="14" t="n"/>
    </row>
    <row r="1397">
      <c r="B1397" s="15">
        <f>IF($C1397="","",$D1397&amp;"-"&amp;$F1397&amp;"-"&amp;$K1397)</f>
        <v/>
      </c>
      <c r="C1397" s="14" t="n"/>
      <c r="D1397" s="15">
        <f>IF($C1397="","",IFERROR(INDEX(rngCadetPIDs,MATCH($C1397,rngCadetNames,0)),"?"))</f>
        <v/>
      </c>
      <c r="E1397" s="15">
        <f>IF($D1397="","",IFERROR(INDEX(nrCadetAgency,MATCH($D1397,rngCadetPIDs,0)),""))</f>
        <v/>
      </c>
      <c r="F1397" s="14" t="n"/>
      <c r="G1397" s="15">
        <f>IF($F1397="","",IFERROR(INDEX(rngEPname,MATCH($F1397,rngEPcode,0)),"?"))</f>
        <v/>
      </c>
      <c r="H1397" s="15">
        <f>IF($F1397="","",IFERROR(INDEX(rngEPtype,MATCH($F1397,rngEPcode,0)),"?"))</f>
        <v/>
      </c>
      <c r="I1397" s="15">
        <f>IF($F1397="","",IFERROR(INDEX(rngEPseq,MATCH($F1397,rngEPcode,0)),""))</f>
        <v/>
      </c>
      <c r="J1397" s="15">
        <f>IF($F1397="","",IFERROR(INDEX(rngEPpass,MATCH($F1397,rngEPcode,0)),cfgPassingScore))</f>
        <v/>
      </c>
      <c r="K1397" s="14" t="n"/>
      <c r="L1397" s="14" t="n"/>
      <c r="M1397" s="15">
        <f>IF($C1397="","",IF($L1397="","",IF($K1397=1,IF(COUNTIFS(nrES_PID,$D1397,nrES_Code,$F1397,nrES_Att,2)&gt;0,"",$L1397),IF(COUNTIFS(nrES_PID,$D1397,nrES_Code,$F1397,nrES_Att,1)=0,$L1397,IF($L1397&gt;=$J1397,cfgRetakeRecordedCap,SUMIFS(nrES_Raw,nrES_PID,$D1397,nrES_Code,$F1397,nrES_Att,1))))))</f>
        <v/>
      </c>
      <c r="N1397" s="15">
        <f>IF($C1397="","",IF($L1397="","",IF($L1397&gt;=$J1397,"Yes","No")))</f>
        <v/>
      </c>
      <c r="O1397" s="15">
        <f>IF($C1397="","",IF($M1397="","",IF($M1397&gt;=$J1397,"Yes","No")))</f>
        <v/>
      </c>
      <c r="P1397" s="15">
        <f>IF($C1397="","",IF($K1397="","",IF(COUNTIFS(nrES_PID,$D1397,nrES_Code,$F1397,nrES_Att,"&gt;"&amp;$K1397)=0,"Yes","No")))</f>
        <v/>
      </c>
      <c r="Q1397" s="15">
        <f>IF($C1397="","",IF($L1397="","",IF(AND($K1397=1,$L1397&lt;$J1397,COUNTIFS(nrES_PID,$D1397,nrES_Code,$F1397,nrES_Att,2)=0),"Yes","No")))</f>
        <v/>
      </c>
      <c r="R1397" s="15">
        <f>IF($C1397="","",IF($L1397="","",IF(AND($K1397=2,$L1397&lt;$J1397,COUNTIFS(nrES_PID,$D1397,nrES_Code,$F1397,nrES_Att,1)&gt;0),"Yes","No")))</f>
        <v/>
      </c>
      <c r="S1397" s="16" t="n"/>
      <c r="T1397" s="17">
        <f>IF($Q1397&lt;&gt;"Yes","",IF($S1397="","(enter date)",_xlfn.LET(_xlpm.dn,IFERROR(_xlfn.XLOOKUP($S1397,nrCDdate,nrCDnum),""),IF(_xlpm.dn="","(not a class day)",IFERROR(_xlfn.XLOOKUP(_xlpm.dn+cfgRetestClassDays,nrCDnum,nrCDdate),"")))))</f>
        <v/>
      </c>
      <c r="U1397" s="15">
        <f>IF($Q1397&lt;&gt;"Yes","",IF(COUNTIFS(nrES_PID,$D1397,nrES_Code,$F1397,nrES_Att,2)&gt;0,"Retested",IF(OR($T1397="",NOT(ISNUMBER($T1397))),"Pending",IF(TODAY()&gt;$T1397,"OVERDUE","Due "&amp;TEXT($T1397,"mm/dd")))))</f>
        <v/>
      </c>
      <c r="V1397" s="14" t="n"/>
      <c r="W1397" s="14" t="n"/>
    </row>
    <row r="1398">
      <c r="B1398" s="15">
        <f>IF($C1398="","",$D1398&amp;"-"&amp;$F1398&amp;"-"&amp;$K1398)</f>
        <v/>
      </c>
      <c r="C1398" s="14" t="n"/>
      <c r="D1398" s="15">
        <f>IF($C1398="","",IFERROR(INDEX(rngCadetPIDs,MATCH($C1398,rngCadetNames,0)),"?"))</f>
        <v/>
      </c>
      <c r="E1398" s="15">
        <f>IF($D1398="","",IFERROR(INDEX(nrCadetAgency,MATCH($D1398,rngCadetPIDs,0)),""))</f>
        <v/>
      </c>
      <c r="F1398" s="14" t="n"/>
      <c r="G1398" s="15">
        <f>IF($F1398="","",IFERROR(INDEX(rngEPname,MATCH($F1398,rngEPcode,0)),"?"))</f>
        <v/>
      </c>
      <c r="H1398" s="15">
        <f>IF($F1398="","",IFERROR(INDEX(rngEPtype,MATCH($F1398,rngEPcode,0)),"?"))</f>
        <v/>
      </c>
      <c r="I1398" s="15">
        <f>IF($F1398="","",IFERROR(INDEX(rngEPseq,MATCH($F1398,rngEPcode,0)),""))</f>
        <v/>
      </c>
      <c r="J1398" s="15">
        <f>IF($F1398="","",IFERROR(INDEX(rngEPpass,MATCH($F1398,rngEPcode,0)),cfgPassingScore))</f>
        <v/>
      </c>
      <c r="K1398" s="14" t="n"/>
      <c r="L1398" s="14" t="n"/>
      <c r="M1398" s="15">
        <f>IF($C1398="","",IF($L1398="","",IF($K1398=1,IF(COUNTIFS(nrES_PID,$D1398,nrES_Code,$F1398,nrES_Att,2)&gt;0,"",$L1398),IF(COUNTIFS(nrES_PID,$D1398,nrES_Code,$F1398,nrES_Att,1)=0,$L1398,IF($L1398&gt;=$J1398,cfgRetakeRecordedCap,SUMIFS(nrES_Raw,nrES_PID,$D1398,nrES_Code,$F1398,nrES_Att,1))))))</f>
        <v/>
      </c>
      <c r="N1398" s="15">
        <f>IF($C1398="","",IF($L1398="","",IF($L1398&gt;=$J1398,"Yes","No")))</f>
        <v/>
      </c>
      <c r="O1398" s="15">
        <f>IF($C1398="","",IF($M1398="","",IF($M1398&gt;=$J1398,"Yes","No")))</f>
        <v/>
      </c>
      <c r="P1398" s="15">
        <f>IF($C1398="","",IF($K1398="","",IF(COUNTIFS(nrES_PID,$D1398,nrES_Code,$F1398,nrES_Att,"&gt;"&amp;$K1398)=0,"Yes","No")))</f>
        <v/>
      </c>
      <c r="Q1398" s="15">
        <f>IF($C1398="","",IF($L1398="","",IF(AND($K1398=1,$L1398&lt;$J1398,COUNTIFS(nrES_PID,$D1398,nrES_Code,$F1398,nrES_Att,2)=0),"Yes","No")))</f>
        <v/>
      </c>
      <c r="R1398" s="15">
        <f>IF($C1398="","",IF($L1398="","",IF(AND($K1398=2,$L1398&lt;$J1398,COUNTIFS(nrES_PID,$D1398,nrES_Code,$F1398,nrES_Att,1)&gt;0),"Yes","No")))</f>
        <v/>
      </c>
      <c r="S1398" s="16" t="n"/>
      <c r="T1398" s="17">
        <f>IF($Q1398&lt;&gt;"Yes","",IF($S1398="","(enter date)",_xlfn.LET(_xlpm.dn,IFERROR(_xlfn.XLOOKUP($S1398,nrCDdate,nrCDnum),""),IF(_xlpm.dn="","(not a class day)",IFERROR(_xlfn.XLOOKUP(_xlpm.dn+cfgRetestClassDays,nrCDnum,nrCDdate),"")))))</f>
        <v/>
      </c>
      <c r="U1398" s="15">
        <f>IF($Q1398&lt;&gt;"Yes","",IF(COUNTIFS(nrES_PID,$D1398,nrES_Code,$F1398,nrES_Att,2)&gt;0,"Retested",IF(OR($T1398="",NOT(ISNUMBER($T1398))),"Pending",IF(TODAY()&gt;$T1398,"OVERDUE","Due "&amp;TEXT($T1398,"mm/dd")))))</f>
        <v/>
      </c>
      <c r="V1398" s="14" t="n"/>
      <c r="W1398" s="14" t="n"/>
    </row>
    <row r="1399">
      <c r="B1399" s="15">
        <f>IF($C1399="","",$D1399&amp;"-"&amp;$F1399&amp;"-"&amp;$K1399)</f>
        <v/>
      </c>
      <c r="C1399" s="14" t="n"/>
      <c r="D1399" s="15">
        <f>IF($C1399="","",IFERROR(INDEX(rngCadetPIDs,MATCH($C1399,rngCadetNames,0)),"?"))</f>
        <v/>
      </c>
      <c r="E1399" s="15">
        <f>IF($D1399="","",IFERROR(INDEX(nrCadetAgency,MATCH($D1399,rngCadetPIDs,0)),""))</f>
        <v/>
      </c>
      <c r="F1399" s="14" t="n"/>
      <c r="G1399" s="15">
        <f>IF($F1399="","",IFERROR(INDEX(rngEPname,MATCH($F1399,rngEPcode,0)),"?"))</f>
        <v/>
      </c>
      <c r="H1399" s="15">
        <f>IF($F1399="","",IFERROR(INDEX(rngEPtype,MATCH($F1399,rngEPcode,0)),"?"))</f>
        <v/>
      </c>
      <c r="I1399" s="15">
        <f>IF($F1399="","",IFERROR(INDEX(rngEPseq,MATCH($F1399,rngEPcode,0)),""))</f>
        <v/>
      </c>
      <c r="J1399" s="15">
        <f>IF($F1399="","",IFERROR(INDEX(rngEPpass,MATCH($F1399,rngEPcode,0)),cfgPassingScore))</f>
        <v/>
      </c>
      <c r="K1399" s="14" t="n"/>
      <c r="L1399" s="14" t="n"/>
      <c r="M1399" s="15">
        <f>IF($C1399="","",IF($L1399="","",IF($K1399=1,IF(COUNTIFS(nrES_PID,$D1399,nrES_Code,$F1399,nrES_Att,2)&gt;0,"",$L1399),IF(COUNTIFS(nrES_PID,$D1399,nrES_Code,$F1399,nrES_Att,1)=0,$L1399,IF($L1399&gt;=$J1399,cfgRetakeRecordedCap,SUMIFS(nrES_Raw,nrES_PID,$D1399,nrES_Code,$F1399,nrES_Att,1))))))</f>
        <v/>
      </c>
      <c r="N1399" s="15">
        <f>IF($C1399="","",IF($L1399="","",IF($L1399&gt;=$J1399,"Yes","No")))</f>
        <v/>
      </c>
      <c r="O1399" s="15">
        <f>IF($C1399="","",IF($M1399="","",IF($M1399&gt;=$J1399,"Yes","No")))</f>
        <v/>
      </c>
      <c r="P1399" s="15">
        <f>IF($C1399="","",IF($K1399="","",IF(COUNTIFS(nrES_PID,$D1399,nrES_Code,$F1399,nrES_Att,"&gt;"&amp;$K1399)=0,"Yes","No")))</f>
        <v/>
      </c>
      <c r="Q1399" s="15">
        <f>IF($C1399="","",IF($L1399="","",IF(AND($K1399=1,$L1399&lt;$J1399,COUNTIFS(nrES_PID,$D1399,nrES_Code,$F1399,nrES_Att,2)=0),"Yes","No")))</f>
        <v/>
      </c>
      <c r="R1399" s="15">
        <f>IF($C1399="","",IF($L1399="","",IF(AND($K1399=2,$L1399&lt;$J1399,COUNTIFS(nrES_PID,$D1399,nrES_Code,$F1399,nrES_Att,1)&gt;0),"Yes","No")))</f>
        <v/>
      </c>
      <c r="S1399" s="16" t="n"/>
      <c r="T1399" s="17">
        <f>IF($Q1399&lt;&gt;"Yes","",IF($S1399="","(enter date)",_xlfn.LET(_xlpm.dn,IFERROR(_xlfn.XLOOKUP($S1399,nrCDdate,nrCDnum),""),IF(_xlpm.dn="","(not a class day)",IFERROR(_xlfn.XLOOKUP(_xlpm.dn+cfgRetestClassDays,nrCDnum,nrCDdate),"")))))</f>
        <v/>
      </c>
      <c r="U1399" s="15">
        <f>IF($Q1399&lt;&gt;"Yes","",IF(COUNTIFS(nrES_PID,$D1399,nrES_Code,$F1399,nrES_Att,2)&gt;0,"Retested",IF(OR($T1399="",NOT(ISNUMBER($T1399))),"Pending",IF(TODAY()&gt;$T1399,"OVERDUE","Due "&amp;TEXT($T1399,"mm/dd")))))</f>
        <v/>
      </c>
      <c r="V1399" s="14" t="n"/>
      <c r="W1399" s="14" t="n"/>
    </row>
    <row r="1400">
      <c r="B1400" s="15">
        <f>IF($C1400="","",$D1400&amp;"-"&amp;$F1400&amp;"-"&amp;$K1400)</f>
        <v/>
      </c>
      <c r="C1400" s="14" t="n"/>
      <c r="D1400" s="15">
        <f>IF($C1400="","",IFERROR(INDEX(rngCadetPIDs,MATCH($C1400,rngCadetNames,0)),"?"))</f>
        <v/>
      </c>
      <c r="E1400" s="15">
        <f>IF($D1400="","",IFERROR(INDEX(nrCadetAgency,MATCH($D1400,rngCadetPIDs,0)),""))</f>
        <v/>
      </c>
      <c r="F1400" s="14" t="n"/>
      <c r="G1400" s="15">
        <f>IF($F1400="","",IFERROR(INDEX(rngEPname,MATCH($F1400,rngEPcode,0)),"?"))</f>
        <v/>
      </c>
      <c r="H1400" s="15">
        <f>IF($F1400="","",IFERROR(INDEX(rngEPtype,MATCH($F1400,rngEPcode,0)),"?"))</f>
        <v/>
      </c>
      <c r="I1400" s="15">
        <f>IF($F1400="","",IFERROR(INDEX(rngEPseq,MATCH($F1400,rngEPcode,0)),""))</f>
        <v/>
      </c>
      <c r="J1400" s="15">
        <f>IF($F1400="","",IFERROR(INDEX(rngEPpass,MATCH($F1400,rngEPcode,0)),cfgPassingScore))</f>
        <v/>
      </c>
      <c r="K1400" s="14" t="n"/>
      <c r="L1400" s="14" t="n"/>
      <c r="M1400" s="15">
        <f>IF($C1400="","",IF($L1400="","",IF($K1400=1,IF(COUNTIFS(nrES_PID,$D1400,nrES_Code,$F1400,nrES_Att,2)&gt;0,"",$L1400),IF(COUNTIFS(nrES_PID,$D1400,nrES_Code,$F1400,nrES_Att,1)=0,$L1400,IF($L1400&gt;=$J1400,cfgRetakeRecordedCap,SUMIFS(nrES_Raw,nrES_PID,$D1400,nrES_Code,$F1400,nrES_Att,1))))))</f>
        <v/>
      </c>
      <c r="N1400" s="15">
        <f>IF($C1400="","",IF($L1400="","",IF($L1400&gt;=$J1400,"Yes","No")))</f>
        <v/>
      </c>
      <c r="O1400" s="15">
        <f>IF($C1400="","",IF($M1400="","",IF($M1400&gt;=$J1400,"Yes","No")))</f>
        <v/>
      </c>
      <c r="P1400" s="15">
        <f>IF($C1400="","",IF($K1400="","",IF(COUNTIFS(nrES_PID,$D1400,nrES_Code,$F1400,nrES_Att,"&gt;"&amp;$K1400)=0,"Yes","No")))</f>
        <v/>
      </c>
      <c r="Q1400" s="15">
        <f>IF($C1400="","",IF($L1400="","",IF(AND($K1400=1,$L1400&lt;$J1400,COUNTIFS(nrES_PID,$D1400,nrES_Code,$F1400,nrES_Att,2)=0),"Yes","No")))</f>
        <v/>
      </c>
      <c r="R1400" s="15">
        <f>IF($C1400="","",IF($L1400="","",IF(AND($K1400=2,$L1400&lt;$J1400,COUNTIFS(nrES_PID,$D1400,nrES_Code,$F1400,nrES_Att,1)&gt;0),"Yes","No")))</f>
        <v/>
      </c>
      <c r="S1400" s="16" t="n"/>
      <c r="T1400" s="17">
        <f>IF($Q1400&lt;&gt;"Yes","",IF($S1400="","(enter date)",_xlfn.LET(_xlpm.dn,IFERROR(_xlfn.XLOOKUP($S1400,nrCDdate,nrCDnum),""),IF(_xlpm.dn="","(not a class day)",IFERROR(_xlfn.XLOOKUP(_xlpm.dn+cfgRetestClassDays,nrCDnum,nrCDdate),"")))))</f>
        <v/>
      </c>
      <c r="U1400" s="15">
        <f>IF($Q1400&lt;&gt;"Yes","",IF(COUNTIFS(nrES_PID,$D1400,nrES_Code,$F1400,nrES_Att,2)&gt;0,"Retested",IF(OR($T1400="",NOT(ISNUMBER($T1400))),"Pending",IF(TODAY()&gt;$T1400,"OVERDUE","Due "&amp;TEXT($T1400,"mm/dd")))))</f>
        <v/>
      </c>
      <c r="V1400" s="14" t="n"/>
      <c r="W1400" s="14" t="n"/>
    </row>
    <row r="1401">
      <c r="B1401" s="15">
        <f>IF($C1401="","",$D1401&amp;"-"&amp;$F1401&amp;"-"&amp;$K1401)</f>
        <v/>
      </c>
      <c r="C1401" s="14" t="n"/>
      <c r="D1401" s="15">
        <f>IF($C1401="","",IFERROR(INDEX(rngCadetPIDs,MATCH($C1401,rngCadetNames,0)),"?"))</f>
        <v/>
      </c>
      <c r="E1401" s="15">
        <f>IF($D1401="","",IFERROR(INDEX(nrCadetAgency,MATCH($D1401,rngCadetPIDs,0)),""))</f>
        <v/>
      </c>
      <c r="F1401" s="14" t="n"/>
      <c r="G1401" s="15">
        <f>IF($F1401="","",IFERROR(INDEX(rngEPname,MATCH($F1401,rngEPcode,0)),"?"))</f>
        <v/>
      </c>
      <c r="H1401" s="15">
        <f>IF($F1401="","",IFERROR(INDEX(rngEPtype,MATCH($F1401,rngEPcode,0)),"?"))</f>
        <v/>
      </c>
      <c r="I1401" s="15">
        <f>IF($F1401="","",IFERROR(INDEX(rngEPseq,MATCH($F1401,rngEPcode,0)),""))</f>
        <v/>
      </c>
      <c r="J1401" s="15">
        <f>IF($F1401="","",IFERROR(INDEX(rngEPpass,MATCH($F1401,rngEPcode,0)),cfgPassingScore))</f>
        <v/>
      </c>
      <c r="K1401" s="14" t="n"/>
      <c r="L1401" s="14" t="n"/>
      <c r="M1401" s="15">
        <f>IF($C1401="","",IF($L1401="","",IF($K1401=1,IF(COUNTIFS(nrES_PID,$D1401,nrES_Code,$F1401,nrES_Att,2)&gt;0,"",$L1401),IF(COUNTIFS(nrES_PID,$D1401,nrES_Code,$F1401,nrES_Att,1)=0,$L1401,IF($L1401&gt;=$J1401,cfgRetakeRecordedCap,SUMIFS(nrES_Raw,nrES_PID,$D1401,nrES_Code,$F1401,nrES_Att,1))))))</f>
        <v/>
      </c>
      <c r="N1401" s="15">
        <f>IF($C1401="","",IF($L1401="","",IF($L1401&gt;=$J1401,"Yes","No")))</f>
        <v/>
      </c>
      <c r="O1401" s="15">
        <f>IF($C1401="","",IF($M1401="","",IF($M1401&gt;=$J1401,"Yes","No")))</f>
        <v/>
      </c>
      <c r="P1401" s="15">
        <f>IF($C1401="","",IF($K1401="","",IF(COUNTIFS(nrES_PID,$D1401,nrES_Code,$F1401,nrES_Att,"&gt;"&amp;$K1401)=0,"Yes","No")))</f>
        <v/>
      </c>
      <c r="Q1401" s="15">
        <f>IF($C1401="","",IF($L1401="","",IF(AND($K1401=1,$L1401&lt;$J1401,COUNTIFS(nrES_PID,$D1401,nrES_Code,$F1401,nrES_Att,2)=0),"Yes","No")))</f>
        <v/>
      </c>
      <c r="R1401" s="15">
        <f>IF($C1401="","",IF($L1401="","",IF(AND($K1401=2,$L1401&lt;$J1401,COUNTIFS(nrES_PID,$D1401,nrES_Code,$F1401,nrES_Att,1)&gt;0),"Yes","No")))</f>
        <v/>
      </c>
      <c r="S1401" s="16" t="n"/>
      <c r="T1401" s="17">
        <f>IF($Q1401&lt;&gt;"Yes","",IF($S1401="","(enter date)",_xlfn.LET(_xlpm.dn,IFERROR(_xlfn.XLOOKUP($S1401,nrCDdate,nrCDnum),""),IF(_xlpm.dn="","(not a class day)",IFERROR(_xlfn.XLOOKUP(_xlpm.dn+cfgRetestClassDays,nrCDnum,nrCDdate),"")))))</f>
        <v/>
      </c>
      <c r="U1401" s="15">
        <f>IF($Q1401&lt;&gt;"Yes","",IF(COUNTIFS(nrES_PID,$D1401,nrES_Code,$F1401,nrES_Att,2)&gt;0,"Retested",IF(OR($T1401="",NOT(ISNUMBER($T1401))),"Pending",IF(TODAY()&gt;$T1401,"OVERDUE","Due "&amp;TEXT($T1401,"mm/dd")))))</f>
        <v/>
      </c>
      <c r="V1401" s="14" t="n"/>
      <c r="W1401" s="14" t="n"/>
    </row>
    <row r="1402">
      <c r="B1402" s="15">
        <f>IF($C1402="","",$D1402&amp;"-"&amp;$F1402&amp;"-"&amp;$K1402)</f>
        <v/>
      </c>
      <c r="C1402" s="14" t="n"/>
      <c r="D1402" s="15">
        <f>IF($C1402="","",IFERROR(INDEX(rngCadetPIDs,MATCH($C1402,rngCadetNames,0)),"?"))</f>
        <v/>
      </c>
      <c r="E1402" s="15">
        <f>IF($D1402="","",IFERROR(INDEX(nrCadetAgency,MATCH($D1402,rngCadetPIDs,0)),""))</f>
        <v/>
      </c>
      <c r="F1402" s="14" t="n"/>
      <c r="G1402" s="15">
        <f>IF($F1402="","",IFERROR(INDEX(rngEPname,MATCH($F1402,rngEPcode,0)),"?"))</f>
        <v/>
      </c>
      <c r="H1402" s="15">
        <f>IF($F1402="","",IFERROR(INDEX(rngEPtype,MATCH($F1402,rngEPcode,0)),"?"))</f>
        <v/>
      </c>
      <c r="I1402" s="15">
        <f>IF($F1402="","",IFERROR(INDEX(rngEPseq,MATCH($F1402,rngEPcode,0)),""))</f>
        <v/>
      </c>
      <c r="J1402" s="15">
        <f>IF($F1402="","",IFERROR(INDEX(rngEPpass,MATCH($F1402,rngEPcode,0)),cfgPassingScore))</f>
        <v/>
      </c>
      <c r="K1402" s="14" t="n"/>
      <c r="L1402" s="14" t="n"/>
      <c r="M1402" s="15">
        <f>IF($C1402="","",IF($L1402="","",IF($K1402=1,IF(COUNTIFS(nrES_PID,$D1402,nrES_Code,$F1402,nrES_Att,2)&gt;0,"",$L1402),IF(COUNTIFS(nrES_PID,$D1402,nrES_Code,$F1402,nrES_Att,1)=0,$L1402,IF($L1402&gt;=$J1402,cfgRetakeRecordedCap,SUMIFS(nrES_Raw,nrES_PID,$D1402,nrES_Code,$F1402,nrES_Att,1))))))</f>
        <v/>
      </c>
      <c r="N1402" s="15">
        <f>IF($C1402="","",IF($L1402="","",IF($L1402&gt;=$J1402,"Yes","No")))</f>
        <v/>
      </c>
      <c r="O1402" s="15">
        <f>IF($C1402="","",IF($M1402="","",IF($M1402&gt;=$J1402,"Yes","No")))</f>
        <v/>
      </c>
      <c r="P1402" s="15">
        <f>IF($C1402="","",IF($K1402="","",IF(COUNTIFS(nrES_PID,$D1402,nrES_Code,$F1402,nrES_Att,"&gt;"&amp;$K1402)=0,"Yes","No")))</f>
        <v/>
      </c>
      <c r="Q1402" s="15">
        <f>IF($C1402="","",IF($L1402="","",IF(AND($K1402=1,$L1402&lt;$J1402,COUNTIFS(nrES_PID,$D1402,nrES_Code,$F1402,nrES_Att,2)=0),"Yes","No")))</f>
        <v/>
      </c>
      <c r="R1402" s="15">
        <f>IF($C1402="","",IF($L1402="","",IF(AND($K1402=2,$L1402&lt;$J1402,COUNTIFS(nrES_PID,$D1402,nrES_Code,$F1402,nrES_Att,1)&gt;0),"Yes","No")))</f>
        <v/>
      </c>
      <c r="S1402" s="16" t="n"/>
      <c r="T1402" s="17">
        <f>IF($Q1402&lt;&gt;"Yes","",IF($S1402="","(enter date)",_xlfn.LET(_xlpm.dn,IFERROR(_xlfn.XLOOKUP($S1402,nrCDdate,nrCDnum),""),IF(_xlpm.dn="","(not a class day)",IFERROR(_xlfn.XLOOKUP(_xlpm.dn+cfgRetestClassDays,nrCDnum,nrCDdate),"")))))</f>
        <v/>
      </c>
      <c r="U1402" s="15">
        <f>IF($Q1402&lt;&gt;"Yes","",IF(COUNTIFS(nrES_PID,$D1402,nrES_Code,$F1402,nrES_Att,2)&gt;0,"Retested",IF(OR($T1402="",NOT(ISNUMBER($T1402))),"Pending",IF(TODAY()&gt;$T1402,"OVERDUE","Due "&amp;TEXT($T1402,"mm/dd")))))</f>
        <v/>
      </c>
      <c r="V1402" s="14" t="n"/>
      <c r="W1402" s="14" t="n"/>
    </row>
    <row r="1403">
      <c r="B1403" s="15">
        <f>IF($C1403="","",$D1403&amp;"-"&amp;$F1403&amp;"-"&amp;$K1403)</f>
        <v/>
      </c>
      <c r="C1403" s="14" t="n"/>
      <c r="D1403" s="15">
        <f>IF($C1403="","",IFERROR(INDEX(rngCadetPIDs,MATCH($C1403,rngCadetNames,0)),"?"))</f>
        <v/>
      </c>
      <c r="E1403" s="15">
        <f>IF($D1403="","",IFERROR(INDEX(nrCadetAgency,MATCH($D1403,rngCadetPIDs,0)),""))</f>
        <v/>
      </c>
      <c r="F1403" s="14" t="n"/>
      <c r="G1403" s="15">
        <f>IF($F1403="","",IFERROR(INDEX(rngEPname,MATCH($F1403,rngEPcode,0)),"?"))</f>
        <v/>
      </c>
      <c r="H1403" s="15">
        <f>IF($F1403="","",IFERROR(INDEX(rngEPtype,MATCH($F1403,rngEPcode,0)),"?"))</f>
        <v/>
      </c>
      <c r="I1403" s="15">
        <f>IF($F1403="","",IFERROR(INDEX(rngEPseq,MATCH($F1403,rngEPcode,0)),""))</f>
        <v/>
      </c>
      <c r="J1403" s="15">
        <f>IF($F1403="","",IFERROR(INDEX(rngEPpass,MATCH($F1403,rngEPcode,0)),cfgPassingScore))</f>
        <v/>
      </c>
      <c r="K1403" s="14" t="n"/>
      <c r="L1403" s="14" t="n"/>
      <c r="M1403" s="15">
        <f>IF($C1403="","",IF($L1403="","",IF($K1403=1,IF(COUNTIFS(nrES_PID,$D1403,nrES_Code,$F1403,nrES_Att,2)&gt;0,"",$L1403),IF(COUNTIFS(nrES_PID,$D1403,nrES_Code,$F1403,nrES_Att,1)=0,$L1403,IF($L1403&gt;=$J1403,cfgRetakeRecordedCap,SUMIFS(nrES_Raw,nrES_PID,$D1403,nrES_Code,$F1403,nrES_Att,1))))))</f>
        <v/>
      </c>
      <c r="N1403" s="15">
        <f>IF($C1403="","",IF($L1403="","",IF($L1403&gt;=$J1403,"Yes","No")))</f>
        <v/>
      </c>
      <c r="O1403" s="15">
        <f>IF($C1403="","",IF($M1403="","",IF($M1403&gt;=$J1403,"Yes","No")))</f>
        <v/>
      </c>
      <c r="P1403" s="15">
        <f>IF($C1403="","",IF($K1403="","",IF(COUNTIFS(nrES_PID,$D1403,nrES_Code,$F1403,nrES_Att,"&gt;"&amp;$K1403)=0,"Yes","No")))</f>
        <v/>
      </c>
      <c r="Q1403" s="15">
        <f>IF($C1403="","",IF($L1403="","",IF(AND($K1403=1,$L1403&lt;$J1403,COUNTIFS(nrES_PID,$D1403,nrES_Code,$F1403,nrES_Att,2)=0),"Yes","No")))</f>
        <v/>
      </c>
      <c r="R1403" s="15">
        <f>IF($C1403="","",IF($L1403="","",IF(AND($K1403=2,$L1403&lt;$J1403,COUNTIFS(nrES_PID,$D1403,nrES_Code,$F1403,nrES_Att,1)&gt;0),"Yes","No")))</f>
        <v/>
      </c>
      <c r="S1403" s="16" t="n"/>
      <c r="T1403" s="17">
        <f>IF($Q1403&lt;&gt;"Yes","",IF($S1403="","(enter date)",_xlfn.LET(_xlpm.dn,IFERROR(_xlfn.XLOOKUP($S1403,nrCDdate,nrCDnum),""),IF(_xlpm.dn="","(not a class day)",IFERROR(_xlfn.XLOOKUP(_xlpm.dn+cfgRetestClassDays,nrCDnum,nrCDdate),"")))))</f>
        <v/>
      </c>
      <c r="U1403" s="15">
        <f>IF($Q1403&lt;&gt;"Yes","",IF(COUNTIFS(nrES_PID,$D1403,nrES_Code,$F1403,nrES_Att,2)&gt;0,"Retested",IF(OR($T1403="",NOT(ISNUMBER($T1403))),"Pending",IF(TODAY()&gt;$T1403,"OVERDUE","Due "&amp;TEXT($T1403,"mm/dd")))))</f>
        <v/>
      </c>
      <c r="V1403" s="14" t="n"/>
      <c r="W1403" s="14" t="n"/>
    </row>
    <row r="1404">
      <c r="B1404" s="15">
        <f>IF($C1404="","",$D1404&amp;"-"&amp;$F1404&amp;"-"&amp;$K1404)</f>
        <v/>
      </c>
      <c r="C1404" s="14" t="n"/>
      <c r="D1404" s="15">
        <f>IF($C1404="","",IFERROR(INDEX(rngCadetPIDs,MATCH($C1404,rngCadetNames,0)),"?"))</f>
        <v/>
      </c>
      <c r="E1404" s="15">
        <f>IF($D1404="","",IFERROR(INDEX(nrCadetAgency,MATCH($D1404,rngCadetPIDs,0)),""))</f>
        <v/>
      </c>
      <c r="F1404" s="14" t="n"/>
      <c r="G1404" s="15">
        <f>IF($F1404="","",IFERROR(INDEX(rngEPname,MATCH($F1404,rngEPcode,0)),"?"))</f>
        <v/>
      </c>
      <c r="H1404" s="15">
        <f>IF($F1404="","",IFERROR(INDEX(rngEPtype,MATCH($F1404,rngEPcode,0)),"?"))</f>
        <v/>
      </c>
      <c r="I1404" s="15">
        <f>IF($F1404="","",IFERROR(INDEX(rngEPseq,MATCH($F1404,rngEPcode,0)),""))</f>
        <v/>
      </c>
      <c r="J1404" s="15">
        <f>IF($F1404="","",IFERROR(INDEX(rngEPpass,MATCH($F1404,rngEPcode,0)),cfgPassingScore))</f>
        <v/>
      </c>
      <c r="K1404" s="14" t="n"/>
      <c r="L1404" s="14" t="n"/>
      <c r="M1404" s="15">
        <f>IF($C1404="","",IF($L1404="","",IF($K1404=1,IF(COUNTIFS(nrES_PID,$D1404,nrES_Code,$F1404,nrES_Att,2)&gt;0,"",$L1404),IF(COUNTIFS(nrES_PID,$D1404,nrES_Code,$F1404,nrES_Att,1)=0,$L1404,IF($L1404&gt;=$J1404,cfgRetakeRecordedCap,SUMIFS(nrES_Raw,nrES_PID,$D1404,nrES_Code,$F1404,nrES_Att,1))))))</f>
        <v/>
      </c>
      <c r="N1404" s="15">
        <f>IF($C1404="","",IF($L1404="","",IF($L1404&gt;=$J1404,"Yes","No")))</f>
        <v/>
      </c>
      <c r="O1404" s="15">
        <f>IF($C1404="","",IF($M1404="","",IF($M1404&gt;=$J1404,"Yes","No")))</f>
        <v/>
      </c>
      <c r="P1404" s="15">
        <f>IF($C1404="","",IF($K1404="","",IF(COUNTIFS(nrES_PID,$D1404,nrES_Code,$F1404,nrES_Att,"&gt;"&amp;$K1404)=0,"Yes","No")))</f>
        <v/>
      </c>
      <c r="Q1404" s="15">
        <f>IF($C1404="","",IF($L1404="","",IF(AND($K1404=1,$L1404&lt;$J1404,COUNTIFS(nrES_PID,$D1404,nrES_Code,$F1404,nrES_Att,2)=0),"Yes","No")))</f>
        <v/>
      </c>
      <c r="R1404" s="15">
        <f>IF($C1404="","",IF($L1404="","",IF(AND($K1404=2,$L1404&lt;$J1404,COUNTIFS(nrES_PID,$D1404,nrES_Code,$F1404,nrES_Att,1)&gt;0),"Yes","No")))</f>
        <v/>
      </c>
      <c r="S1404" s="16" t="n"/>
      <c r="T1404" s="17">
        <f>IF($Q1404&lt;&gt;"Yes","",IF($S1404="","(enter date)",_xlfn.LET(_xlpm.dn,IFERROR(_xlfn.XLOOKUP($S1404,nrCDdate,nrCDnum),""),IF(_xlpm.dn="","(not a class day)",IFERROR(_xlfn.XLOOKUP(_xlpm.dn+cfgRetestClassDays,nrCDnum,nrCDdate),"")))))</f>
        <v/>
      </c>
      <c r="U1404" s="15">
        <f>IF($Q1404&lt;&gt;"Yes","",IF(COUNTIFS(nrES_PID,$D1404,nrES_Code,$F1404,nrES_Att,2)&gt;0,"Retested",IF(OR($T1404="",NOT(ISNUMBER($T1404))),"Pending",IF(TODAY()&gt;$T1404,"OVERDUE","Due "&amp;TEXT($T1404,"mm/dd")))))</f>
        <v/>
      </c>
      <c r="V1404" s="14" t="n"/>
      <c r="W1404" s="14" t="n"/>
    </row>
    <row r="1405">
      <c r="B1405" s="15">
        <f>IF($C1405="","",$D1405&amp;"-"&amp;$F1405&amp;"-"&amp;$K1405)</f>
        <v/>
      </c>
      <c r="C1405" s="14" t="n"/>
      <c r="D1405" s="15">
        <f>IF($C1405="","",IFERROR(INDEX(rngCadetPIDs,MATCH($C1405,rngCadetNames,0)),"?"))</f>
        <v/>
      </c>
      <c r="E1405" s="15">
        <f>IF($D1405="","",IFERROR(INDEX(nrCadetAgency,MATCH($D1405,rngCadetPIDs,0)),""))</f>
        <v/>
      </c>
      <c r="F1405" s="14" t="n"/>
      <c r="G1405" s="15">
        <f>IF($F1405="","",IFERROR(INDEX(rngEPname,MATCH($F1405,rngEPcode,0)),"?"))</f>
        <v/>
      </c>
      <c r="H1405" s="15">
        <f>IF($F1405="","",IFERROR(INDEX(rngEPtype,MATCH($F1405,rngEPcode,0)),"?"))</f>
        <v/>
      </c>
      <c r="I1405" s="15">
        <f>IF($F1405="","",IFERROR(INDEX(rngEPseq,MATCH($F1405,rngEPcode,0)),""))</f>
        <v/>
      </c>
      <c r="J1405" s="15">
        <f>IF($F1405="","",IFERROR(INDEX(rngEPpass,MATCH($F1405,rngEPcode,0)),cfgPassingScore))</f>
        <v/>
      </c>
      <c r="K1405" s="14" t="n"/>
      <c r="L1405" s="14" t="n"/>
      <c r="M1405" s="15">
        <f>IF($C1405="","",IF($L1405="","",IF($K1405=1,IF(COUNTIFS(nrES_PID,$D1405,nrES_Code,$F1405,nrES_Att,2)&gt;0,"",$L1405),IF(COUNTIFS(nrES_PID,$D1405,nrES_Code,$F1405,nrES_Att,1)=0,$L1405,IF($L1405&gt;=$J1405,cfgRetakeRecordedCap,SUMIFS(nrES_Raw,nrES_PID,$D1405,nrES_Code,$F1405,nrES_Att,1))))))</f>
        <v/>
      </c>
      <c r="N1405" s="15">
        <f>IF($C1405="","",IF($L1405="","",IF($L1405&gt;=$J1405,"Yes","No")))</f>
        <v/>
      </c>
      <c r="O1405" s="15">
        <f>IF($C1405="","",IF($M1405="","",IF($M1405&gt;=$J1405,"Yes","No")))</f>
        <v/>
      </c>
      <c r="P1405" s="15">
        <f>IF($C1405="","",IF($K1405="","",IF(COUNTIFS(nrES_PID,$D1405,nrES_Code,$F1405,nrES_Att,"&gt;"&amp;$K1405)=0,"Yes","No")))</f>
        <v/>
      </c>
      <c r="Q1405" s="15">
        <f>IF($C1405="","",IF($L1405="","",IF(AND($K1405=1,$L1405&lt;$J1405,COUNTIFS(nrES_PID,$D1405,nrES_Code,$F1405,nrES_Att,2)=0),"Yes","No")))</f>
        <v/>
      </c>
      <c r="R1405" s="15">
        <f>IF($C1405="","",IF($L1405="","",IF(AND($K1405=2,$L1405&lt;$J1405,COUNTIFS(nrES_PID,$D1405,nrES_Code,$F1405,nrES_Att,1)&gt;0),"Yes","No")))</f>
        <v/>
      </c>
      <c r="S1405" s="16" t="n"/>
      <c r="T1405" s="17">
        <f>IF($Q1405&lt;&gt;"Yes","",IF($S1405="","(enter date)",_xlfn.LET(_xlpm.dn,IFERROR(_xlfn.XLOOKUP($S1405,nrCDdate,nrCDnum),""),IF(_xlpm.dn="","(not a class day)",IFERROR(_xlfn.XLOOKUP(_xlpm.dn+cfgRetestClassDays,nrCDnum,nrCDdate),"")))))</f>
        <v/>
      </c>
      <c r="U1405" s="15">
        <f>IF($Q1405&lt;&gt;"Yes","",IF(COUNTIFS(nrES_PID,$D1405,nrES_Code,$F1405,nrES_Att,2)&gt;0,"Retested",IF(OR($T1405="",NOT(ISNUMBER($T1405))),"Pending",IF(TODAY()&gt;$T1405,"OVERDUE","Due "&amp;TEXT($T1405,"mm/dd")))))</f>
        <v/>
      </c>
      <c r="V1405" s="14" t="n"/>
      <c r="W1405" s="14" t="n"/>
    </row>
    <row r="1406">
      <c r="B1406" s="15">
        <f>IF($C1406="","",$D1406&amp;"-"&amp;$F1406&amp;"-"&amp;$K1406)</f>
        <v/>
      </c>
      <c r="C1406" s="14" t="n"/>
      <c r="D1406" s="15">
        <f>IF($C1406="","",IFERROR(INDEX(rngCadetPIDs,MATCH($C1406,rngCadetNames,0)),"?"))</f>
        <v/>
      </c>
      <c r="E1406" s="15">
        <f>IF($D1406="","",IFERROR(INDEX(nrCadetAgency,MATCH($D1406,rngCadetPIDs,0)),""))</f>
        <v/>
      </c>
      <c r="F1406" s="14" t="n"/>
      <c r="G1406" s="15">
        <f>IF($F1406="","",IFERROR(INDEX(rngEPname,MATCH($F1406,rngEPcode,0)),"?"))</f>
        <v/>
      </c>
      <c r="H1406" s="15">
        <f>IF($F1406="","",IFERROR(INDEX(rngEPtype,MATCH($F1406,rngEPcode,0)),"?"))</f>
        <v/>
      </c>
      <c r="I1406" s="15">
        <f>IF($F1406="","",IFERROR(INDEX(rngEPseq,MATCH($F1406,rngEPcode,0)),""))</f>
        <v/>
      </c>
      <c r="J1406" s="15">
        <f>IF($F1406="","",IFERROR(INDEX(rngEPpass,MATCH($F1406,rngEPcode,0)),cfgPassingScore))</f>
        <v/>
      </c>
      <c r="K1406" s="14" t="n"/>
      <c r="L1406" s="14" t="n"/>
      <c r="M1406" s="15">
        <f>IF($C1406="","",IF($L1406="","",IF($K1406=1,IF(COUNTIFS(nrES_PID,$D1406,nrES_Code,$F1406,nrES_Att,2)&gt;0,"",$L1406),IF(COUNTIFS(nrES_PID,$D1406,nrES_Code,$F1406,nrES_Att,1)=0,$L1406,IF($L1406&gt;=$J1406,cfgRetakeRecordedCap,SUMIFS(nrES_Raw,nrES_PID,$D1406,nrES_Code,$F1406,nrES_Att,1))))))</f>
        <v/>
      </c>
      <c r="N1406" s="15">
        <f>IF($C1406="","",IF($L1406="","",IF($L1406&gt;=$J1406,"Yes","No")))</f>
        <v/>
      </c>
      <c r="O1406" s="15">
        <f>IF($C1406="","",IF($M1406="","",IF($M1406&gt;=$J1406,"Yes","No")))</f>
        <v/>
      </c>
      <c r="P1406" s="15">
        <f>IF($C1406="","",IF($K1406="","",IF(COUNTIFS(nrES_PID,$D1406,nrES_Code,$F1406,nrES_Att,"&gt;"&amp;$K1406)=0,"Yes","No")))</f>
        <v/>
      </c>
      <c r="Q1406" s="15">
        <f>IF($C1406="","",IF($L1406="","",IF(AND($K1406=1,$L1406&lt;$J1406,COUNTIFS(nrES_PID,$D1406,nrES_Code,$F1406,nrES_Att,2)=0),"Yes","No")))</f>
        <v/>
      </c>
      <c r="R1406" s="15">
        <f>IF($C1406="","",IF($L1406="","",IF(AND($K1406=2,$L1406&lt;$J1406,COUNTIFS(nrES_PID,$D1406,nrES_Code,$F1406,nrES_Att,1)&gt;0),"Yes","No")))</f>
        <v/>
      </c>
      <c r="S1406" s="16" t="n"/>
      <c r="T1406" s="17">
        <f>IF($Q1406&lt;&gt;"Yes","",IF($S1406="","(enter date)",_xlfn.LET(_xlpm.dn,IFERROR(_xlfn.XLOOKUP($S1406,nrCDdate,nrCDnum),""),IF(_xlpm.dn="","(not a class day)",IFERROR(_xlfn.XLOOKUP(_xlpm.dn+cfgRetestClassDays,nrCDnum,nrCDdate),"")))))</f>
        <v/>
      </c>
      <c r="U1406" s="15">
        <f>IF($Q1406&lt;&gt;"Yes","",IF(COUNTIFS(nrES_PID,$D1406,nrES_Code,$F1406,nrES_Att,2)&gt;0,"Retested",IF(OR($T1406="",NOT(ISNUMBER($T1406))),"Pending",IF(TODAY()&gt;$T1406,"OVERDUE","Due "&amp;TEXT($T1406,"mm/dd")))))</f>
        <v/>
      </c>
      <c r="V1406" s="14" t="n"/>
      <c r="W1406" s="14" t="n"/>
    </row>
    <row r="1407">
      <c r="B1407" s="15">
        <f>IF($C1407="","",$D1407&amp;"-"&amp;$F1407&amp;"-"&amp;$K1407)</f>
        <v/>
      </c>
      <c r="C1407" s="14" t="n"/>
      <c r="D1407" s="15">
        <f>IF($C1407="","",IFERROR(INDEX(rngCadetPIDs,MATCH($C1407,rngCadetNames,0)),"?"))</f>
        <v/>
      </c>
      <c r="E1407" s="15">
        <f>IF($D1407="","",IFERROR(INDEX(nrCadetAgency,MATCH($D1407,rngCadetPIDs,0)),""))</f>
        <v/>
      </c>
      <c r="F1407" s="14" t="n"/>
      <c r="G1407" s="15">
        <f>IF($F1407="","",IFERROR(INDEX(rngEPname,MATCH($F1407,rngEPcode,0)),"?"))</f>
        <v/>
      </c>
      <c r="H1407" s="15">
        <f>IF($F1407="","",IFERROR(INDEX(rngEPtype,MATCH($F1407,rngEPcode,0)),"?"))</f>
        <v/>
      </c>
      <c r="I1407" s="15">
        <f>IF($F1407="","",IFERROR(INDEX(rngEPseq,MATCH($F1407,rngEPcode,0)),""))</f>
        <v/>
      </c>
      <c r="J1407" s="15">
        <f>IF($F1407="","",IFERROR(INDEX(rngEPpass,MATCH($F1407,rngEPcode,0)),cfgPassingScore))</f>
        <v/>
      </c>
      <c r="K1407" s="14" t="n"/>
      <c r="L1407" s="14" t="n"/>
      <c r="M1407" s="15">
        <f>IF($C1407="","",IF($L1407="","",IF($K1407=1,IF(COUNTIFS(nrES_PID,$D1407,nrES_Code,$F1407,nrES_Att,2)&gt;0,"",$L1407),IF(COUNTIFS(nrES_PID,$D1407,nrES_Code,$F1407,nrES_Att,1)=0,$L1407,IF($L1407&gt;=$J1407,cfgRetakeRecordedCap,SUMIFS(nrES_Raw,nrES_PID,$D1407,nrES_Code,$F1407,nrES_Att,1))))))</f>
        <v/>
      </c>
      <c r="N1407" s="15">
        <f>IF($C1407="","",IF($L1407="","",IF($L1407&gt;=$J1407,"Yes","No")))</f>
        <v/>
      </c>
      <c r="O1407" s="15">
        <f>IF($C1407="","",IF($M1407="","",IF($M1407&gt;=$J1407,"Yes","No")))</f>
        <v/>
      </c>
      <c r="P1407" s="15">
        <f>IF($C1407="","",IF($K1407="","",IF(COUNTIFS(nrES_PID,$D1407,nrES_Code,$F1407,nrES_Att,"&gt;"&amp;$K1407)=0,"Yes","No")))</f>
        <v/>
      </c>
      <c r="Q1407" s="15">
        <f>IF($C1407="","",IF($L1407="","",IF(AND($K1407=1,$L1407&lt;$J1407,COUNTIFS(nrES_PID,$D1407,nrES_Code,$F1407,nrES_Att,2)=0),"Yes","No")))</f>
        <v/>
      </c>
      <c r="R1407" s="15">
        <f>IF($C1407="","",IF($L1407="","",IF(AND($K1407=2,$L1407&lt;$J1407,COUNTIFS(nrES_PID,$D1407,nrES_Code,$F1407,nrES_Att,1)&gt;0),"Yes","No")))</f>
        <v/>
      </c>
      <c r="S1407" s="16" t="n"/>
      <c r="T1407" s="17">
        <f>IF($Q1407&lt;&gt;"Yes","",IF($S1407="","(enter date)",_xlfn.LET(_xlpm.dn,IFERROR(_xlfn.XLOOKUP($S1407,nrCDdate,nrCDnum),""),IF(_xlpm.dn="","(not a class day)",IFERROR(_xlfn.XLOOKUP(_xlpm.dn+cfgRetestClassDays,nrCDnum,nrCDdate),"")))))</f>
        <v/>
      </c>
      <c r="U1407" s="15">
        <f>IF($Q1407&lt;&gt;"Yes","",IF(COUNTIFS(nrES_PID,$D1407,nrES_Code,$F1407,nrES_Att,2)&gt;0,"Retested",IF(OR($T1407="",NOT(ISNUMBER($T1407))),"Pending",IF(TODAY()&gt;$T1407,"OVERDUE","Due "&amp;TEXT($T1407,"mm/dd")))))</f>
        <v/>
      </c>
      <c r="V1407" s="14" t="n"/>
      <c r="W1407" s="14" t="n"/>
    </row>
    <row r="1408">
      <c r="B1408" s="15">
        <f>IF($C1408="","",$D1408&amp;"-"&amp;$F1408&amp;"-"&amp;$K1408)</f>
        <v/>
      </c>
      <c r="C1408" s="14" t="n"/>
      <c r="D1408" s="15">
        <f>IF($C1408="","",IFERROR(INDEX(rngCadetPIDs,MATCH($C1408,rngCadetNames,0)),"?"))</f>
        <v/>
      </c>
      <c r="E1408" s="15">
        <f>IF($D1408="","",IFERROR(INDEX(nrCadetAgency,MATCH($D1408,rngCadetPIDs,0)),""))</f>
        <v/>
      </c>
      <c r="F1408" s="14" t="n"/>
      <c r="G1408" s="15">
        <f>IF($F1408="","",IFERROR(INDEX(rngEPname,MATCH($F1408,rngEPcode,0)),"?"))</f>
        <v/>
      </c>
      <c r="H1408" s="15">
        <f>IF($F1408="","",IFERROR(INDEX(rngEPtype,MATCH($F1408,rngEPcode,0)),"?"))</f>
        <v/>
      </c>
      <c r="I1408" s="15">
        <f>IF($F1408="","",IFERROR(INDEX(rngEPseq,MATCH($F1408,rngEPcode,0)),""))</f>
        <v/>
      </c>
      <c r="J1408" s="15">
        <f>IF($F1408="","",IFERROR(INDEX(rngEPpass,MATCH($F1408,rngEPcode,0)),cfgPassingScore))</f>
        <v/>
      </c>
      <c r="K1408" s="14" t="n"/>
      <c r="L1408" s="14" t="n"/>
      <c r="M1408" s="15">
        <f>IF($C1408="","",IF($L1408="","",IF($K1408=1,IF(COUNTIFS(nrES_PID,$D1408,nrES_Code,$F1408,nrES_Att,2)&gt;0,"",$L1408),IF(COUNTIFS(nrES_PID,$D1408,nrES_Code,$F1408,nrES_Att,1)=0,$L1408,IF($L1408&gt;=$J1408,cfgRetakeRecordedCap,SUMIFS(nrES_Raw,nrES_PID,$D1408,nrES_Code,$F1408,nrES_Att,1))))))</f>
        <v/>
      </c>
      <c r="N1408" s="15">
        <f>IF($C1408="","",IF($L1408="","",IF($L1408&gt;=$J1408,"Yes","No")))</f>
        <v/>
      </c>
      <c r="O1408" s="15">
        <f>IF($C1408="","",IF($M1408="","",IF($M1408&gt;=$J1408,"Yes","No")))</f>
        <v/>
      </c>
      <c r="P1408" s="15">
        <f>IF($C1408="","",IF($K1408="","",IF(COUNTIFS(nrES_PID,$D1408,nrES_Code,$F1408,nrES_Att,"&gt;"&amp;$K1408)=0,"Yes","No")))</f>
        <v/>
      </c>
      <c r="Q1408" s="15">
        <f>IF($C1408="","",IF($L1408="","",IF(AND($K1408=1,$L1408&lt;$J1408,COUNTIFS(nrES_PID,$D1408,nrES_Code,$F1408,nrES_Att,2)=0),"Yes","No")))</f>
        <v/>
      </c>
      <c r="R1408" s="15">
        <f>IF($C1408="","",IF($L1408="","",IF(AND($K1408=2,$L1408&lt;$J1408,COUNTIFS(nrES_PID,$D1408,nrES_Code,$F1408,nrES_Att,1)&gt;0),"Yes","No")))</f>
        <v/>
      </c>
      <c r="S1408" s="16" t="n"/>
      <c r="T1408" s="17">
        <f>IF($Q1408&lt;&gt;"Yes","",IF($S1408="","(enter date)",_xlfn.LET(_xlpm.dn,IFERROR(_xlfn.XLOOKUP($S1408,nrCDdate,nrCDnum),""),IF(_xlpm.dn="","(not a class day)",IFERROR(_xlfn.XLOOKUP(_xlpm.dn+cfgRetestClassDays,nrCDnum,nrCDdate),"")))))</f>
        <v/>
      </c>
      <c r="U1408" s="15">
        <f>IF($Q1408&lt;&gt;"Yes","",IF(COUNTIFS(nrES_PID,$D1408,nrES_Code,$F1408,nrES_Att,2)&gt;0,"Retested",IF(OR($T1408="",NOT(ISNUMBER($T1408))),"Pending",IF(TODAY()&gt;$T1408,"OVERDUE","Due "&amp;TEXT($T1408,"mm/dd")))))</f>
        <v/>
      </c>
      <c r="V1408" s="14" t="n"/>
      <c r="W1408" s="14" t="n"/>
    </row>
    <row r="1409">
      <c r="B1409" s="15">
        <f>IF($C1409="","",$D1409&amp;"-"&amp;$F1409&amp;"-"&amp;$K1409)</f>
        <v/>
      </c>
      <c r="C1409" s="14" t="n"/>
      <c r="D1409" s="15">
        <f>IF($C1409="","",IFERROR(INDEX(rngCadetPIDs,MATCH($C1409,rngCadetNames,0)),"?"))</f>
        <v/>
      </c>
      <c r="E1409" s="15">
        <f>IF($D1409="","",IFERROR(INDEX(nrCadetAgency,MATCH($D1409,rngCadetPIDs,0)),""))</f>
        <v/>
      </c>
      <c r="F1409" s="14" t="n"/>
      <c r="G1409" s="15">
        <f>IF($F1409="","",IFERROR(INDEX(rngEPname,MATCH($F1409,rngEPcode,0)),"?"))</f>
        <v/>
      </c>
      <c r="H1409" s="15">
        <f>IF($F1409="","",IFERROR(INDEX(rngEPtype,MATCH($F1409,rngEPcode,0)),"?"))</f>
        <v/>
      </c>
      <c r="I1409" s="15">
        <f>IF($F1409="","",IFERROR(INDEX(rngEPseq,MATCH($F1409,rngEPcode,0)),""))</f>
        <v/>
      </c>
      <c r="J1409" s="15">
        <f>IF($F1409="","",IFERROR(INDEX(rngEPpass,MATCH($F1409,rngEPcode,0)),cfgPassingScore))</f>
        <v/>
      </c>
      <c r="K1409" s="14" t="n"/>
      <c r="L1409" s="14" t="n"/>
      <c r="M1409" s="15">
        <f>IF($C1409="","",IF($L1409="","",IF($K1409=1,IF(COUNTIFS(nrES_PID,$D1409,nrES_Code,$F1409,nrES_Att,2)&gt;0,"",$L1409),IF(COUNTIFS(nrES_PID,$D1409,nrES_Code,$F1409,nrES_Att,1)=0,$L1409,IF($L1409&gt;=$J1409,cfgRetakeRecordedCap,SUMIFS(nrES_Raw,nrES_PID,$D1409,nrES_Code,$F1409,nrES_Att,1))))))</f>
        <v/>
      </c>
      <c r="N1409" s="15">
        <f>IF($C1409="","",IF($L1409="","",IF($L1409&gt;=$J1409,"Yes","No")))</f>
        <v/>
      </c>
      <c r="O1409" s="15">
        <f>IF($C1409="","",IF($M1409="","",IF($M1409&gt;=$J1409,"Yes","No")))</f>
        <v/>
      </c>
      <c r="P1409" s="15">
        <f>IF($C1409="","",IF($K1409="","",IF(COUNTIFS(nrES_PID,$D1409,nrES_Code,$F1409,nrES_Att,"&gt;"&amp;$K1409)=0,"Yes","No")))</f>
        <v/>
      </c>
      <c r="Q1409" s="15">
        <f>IF($C1409="","",IF($L1409="","",IF(AND($K1409=1,$L1409&lt;$J1409,COUNTIFS(nrES_PID,$D1409,nrES_Code,$F1409,nrES_Att,2)=0),"Yes","No")))</f>
        <v/>
      </c>
      <c r="R1409" s="15">
        <f>IF($C1409="","",IF($L1409="","",IF(AND($K1409=2,$L1409&lt;$J1409,COUNTIFS(nrES_PID,$D1409,nrES_Code,$F1409,nrES_Att,1)&gt;0),"Yes","No")))</f>
        <v/>
      </c>
      <c r="S1409" s="16" t="n"/>
      <c r="T1409" s="17">
        <f>IF($Q1409&lt;&gt;"Yes","",IF($S1409="","(enter date)",_xlfn.LET(_xlpm.dn,IFERROR(_xlfn.XLOOKUP($S1409,nrCDdate,nrCDnum),""),IF(_xlpm.dn="","(not a class day)",IFERROR(_xlfn.XLOOKUP(_xlpm.dn+cfgRetestClassDays,nrCDnum,nrCDdate),"")))))</f>
        <v/>
      </c>
      <c r="U1409" s="15">
        <f>IF($Q1409&lt;&gt;"Yes","",IF(COUNTIFS(nrES_PID,$D1409,nrES_Code,$F1409,nrES_Att,2)&gt;0,"Retested",IF(OR($T1409="",NOT(ISNUMBER($T1409))),"Pending",IF(TODAY()&gt;$T1409,"OVERDUE","Due "&amp;TEXT($T1409,"mm/dd")))))</f>
        <v/>
      </c>
      <c r="V1409" s="14" t="n"/>
      <c r="W1409" s="14" t="n"/>
    </row>
    <row r="1410">
      <c r="B1410" s="15">
        <f>IF($C1410="","",$D1410&amp;"-"&amp;$F1410&amp;"-"&amp;$K1410)</f>
        <v/>
      </c>
      <c r="C1410" s="14" t="n"/>
      <c r="D1410" s="15">
        <f>IF($C1410="","",IFERROR(INDEX(rngCadetPIDs,MATCH($C1410,rngCadetNames,0)),"?"))</f>
        <v/>
      </c>
      <c r="E1410" s="15">
        <f>IF($D1410="","",IFERROR(INDEX(nrCadetAgency,MATCH($D1410,rngCadetPIDs,0)),""))</f>
        <v/>
      </c>
      <c r="F1410" s="14" t="n"/>
      <c r="G1410" s="15">
        <f>IF($F1410="","",IFERROR(INDEX(rngEPname,MATCH($F1410,rngEPcode,0)),"?"))</f>
        <v/>
      </c>
      <c r="H1410" s="15">
        <f>IF($F1410="","",IFERROR(INDEX(rngEPtype,MATCH($F1410,rngEPcode,0)),"?"))</f>
        <v/>
      </c>
      <c r="I1410" s="15">
        <f>IF($F1410="","",IFERROR(INDEX(rngEPseq,MATCH($F1410,rngEPcode,0)),""))</f>
        <v/>
      </c>
      <c r="J1410" s="15">
        <f>IF($F1410="","",IFERROR(INDEX(rngEPpass,MATCH($F1410,rngEPcode,0)),cfgPassingScore))</f>
        <v/>
      </c>
      <c r="K1410" s="14" t="n"/>
      <c r="L1410" s="14" t="n"/>
      <c r="M1410" s="15">
        <f>IF($C1410="","",IF($L1410="","",IF($K1410=1,IF(COUNTIFS(nrES_PID,$D1410,nrES_Code,$F1410,nrES_Att,2)&gt;0,"",$L1410),IF(COUNTIFS(nrES_PID,$D1410,nrES_Code,$F1410,nrES_Att,1)=0,$L1410,IF($L1410&gt;=$J1410,cfgRetakeRecordedCap,SUMIFS(nrES_Raw,nrES_PID,$D1410,nrES_Code,$F1410,nrES_Att,1))))))</f>
        <v/>
      </c>
      <c r="N1410" s="15">
        <f>IF($C1410="","",IF($L1410="","",IF($L1410&gt;=$J1410,"Yes","No")))</f>
        <v/>
      </c>
      <c r="O1410" s="15">
        <f>IF($C1410="","",IF($M1410="","",IF($M1410&gt;=$J1410,"Yes","No")))</f>
        <v/>
      </c>
      <c r="P1410" s="15">
        <f>IF($C1410="","",IF($K1410="","",IF(COUNTIFS(nrES_PID,$D1410,nrES_Code,$F1410,nrES_Att,"&gt;"&amp;$K1410)=0,"Yes","No")))</f>
        <v/>
      </c>
      <c r="Q1410" s="15">
        <f>IF($C1410="","",IF($L1410="","",IF(AND($K1410=1,$L1410&lt;$J1410,COUNTIFS(nrES_PID,$D1410,nrES_Code,$F1410,nrES_Att,2)=0),"Yes","No")))</f>
        <v/>
      </c>
      <c r="R1410" s="15">
        <f>IF($C1410="","",IF($L1410="","",IF(AND($K1410=2,$L1410&lt;$J1410,COUNTIFS(nrES_PID,$D1410,nrES_Code,$F1410,nrES_Att,1)&gt;0),"Yes","No")))</f>
        <v/>
      </c>
      <c r="S1410" s="16" t="n"/>
      <c r="T1410" s="17">
        <f>IF($Q1410&lt;&gt;"Yes","",IF($S1410="","(enter date)",_xlfn.LET(_xlpm.dn,IFERROR(_xlfn.XLOOKUP($S1410,nrCDdate,nrCDnum),""),IF(_xlpm.dn="","(not a class day)",IFERROR(_xlfn.XLOOKUP(_xlpm.dn+cfgRetestClassDays,nrCDnum,nrCDdate),"")))))</f>
        <v/>
      </c>
      <c r="U1410" s="15">
        <f>IF($Q1410&lt;&gt;"Yes","",IF(COUNTIFS(nrES_PID,$D1410,nrES_Code,$F1410,nrES_Att,2)&gt;0,"Retested",IF(OR($T1410="",NOT(ISNUMBER($T1410))),"Pending",IF(TODAY()&gt;$T1410,"OVERDUE","Due "&amp;TEXT($T1410,"mm/dd")))))</f>
        <v/>
      </c>
      <c r="V1410" s="14" t="n"/>
      <c r="W1410" s="14" t="n"/>
    </row>
    <row r="1411">
      <c r="B1411" s="15">
        <f>IF($C1411="","",$D1411&amp;"-"&amp;$F1411&amp;"-"&amp;$K1411)</f>
        <v/>
      </c>
      <c r="C1411" s="14" t="n"/>
      <c r="D1411" s="15">
        <f>IF($C1411="","",IFERROR(INDEX(rngCadetPIDs,MATCH($C1411,rngCadetNames,0)),"?"))</f>
        <v/>
      </c>
      <c r="E1411" s="15">
        <f>IF($D1411="","",IFERROR(INDEX(nrCadetAgency,MATCH($D1411,rngCadetPIDs,0)),""))</f>
        <v/>
      </c>
      <c r="F1411" s="14" t="n"/>
      <c r="G1411" s="15">
        <f>IF($F1411="","",IFERROR(INDEX(rngEPname,MATCH($F1411,rngEPcode,0)),"?"))</f>
        <v/>
      </c>
      <c r="H1411" s="15">
        <f>IF($F1411="","",IFERROR(INDEX(rngEPtype,MATCH($F1411,rngEPcode,0)),"?"))</f>
        <v/>
      </c>
      <c r="I1411" s="15">
        <f>IF($F1411="","",IFERROR(INDEX(rngEPseq,MATCH($F1411,rngEPcode,0)),""))</f>
        <v/>
      </c>
      <c r="J1411" s="15">
        <f>IF($F1411="","",IFERROR(INDEX(rngEPpass,MATCH($F1411,rngEPcode,0)),cfgPassingScore))</f>
        <v/>
      </c>
      <c r="K1411" s="14" t="n"/>
      <c r="L1411" s="14" t="n"/>
      <c r="M1411" s="15">
        <f>IF($C1411="","",IF($L1411="","",IF($K1411=1,IF(COUNTIFS(nrES_PID,$D1411,nrES_Code,$F1411,nrES_Att,2)&gt;0,"",$L1411),IF(COUNTIFS(nrES_PID,$D1411,nrES_Code,$F1411,nrES_Att,1)=0,$L1411,IF($L1411&gt;=$J1411,cfgRetakeRecordedCap,SUMIFS(nrES_Raw,nrES_PID,$D1411,nrES_Code,$F1411,nrES_Att,1))))))</f>
        <v/>
      </c>
      <c r="N1411" s="15">
        <f>IF($C1411="","",IF($L1411="","",IF($L1411&gt;=$J1411,"Yes","No")))</f>
        <v/>
      </c>
      <c r="O1411" s="15">
        <f>IF($C1411="","",IF($M1411="","",IF($M1411&gt;=$J1411,"Yes","No")))</f>
        <v/>
      </c>
      <c r="P1411" s="15">
        <f>IF($C1411="","",IF($K1411="","",IF(COUNTIFS(nrES_PID,$D1411,nrES_Code,$F1411,nrES_Att,"&gt;"&amp;$K1411)=0,"Yes","No")))</f>
        <v/>
      </c>
      <c r="Q1411" s="15">
        <f>IF($C1411="","",IF($L1411="","",IF(AND($K1411=1,$L1411&lt;$J1411,COUNTIFS(nrES_PID,$D1411,nrES_Code,$F1411,nrES_Att,2)=0),"Yes","No")))</f>
        <v/>
      </c>
      <c r="R1411" s="15">
        <f>IF($C1411="","",IF($L1411="","",IF(AND($K1411=2,$L1411&lt;$J1411,COUNTIFS(nrES_PID,$D1411,nrES_Code,$F1411,nrES_Att,1)&gt;0),"Yes","No")))</f>
        <v/>
      </c>
      <c r="S1411" s="16" t="n"/>
      <c r="T1411" s="17">
        <f>IF($Q1411&lt;&gt;"Yes","",IF($S1411="","(enter date)",_xlfn.LET(_xlpm.dn,IFERROR(_xlfn.XLOOKUP($S1411,nrCDdate,nrCDnum),""),IF(_xlpm.dn="","(not a class day)",IFERROR(_xlfn.XLOOKUP(_xlpm.dn+cfgRetestClassDays,nrCDnum,nrCDdate),"")))))</f>
        <v/>
      </c>
      <c r="U1411" s="15">
        <f>IF($Q1411&lt;&gt;"Yes","",IF(COUNTIFS(nrES_PID,$D1411,nrES_Code,$F1411,nrES_Att,2)&gt;0,"Retested",IF(OR($T1411="",NOT(ISNUMBER($T1411))),"Pending",IF(TODAY()&gt;$T1411,"OVERDUE","Due "&amp;TEXT($T1411,"mm/dd")))))</f>
        <v/>
      </c>
      <c r="V1411" s="14" t="n"/>
      <c r="W1411" s="14" t="n"/>
    </row>
    <row r="1412">
      <c r="B1412" s="15">
        <f>IF($C1412="","",$D1412&amp;"-"&amp;$F1412&amp;"-"&amp;$K1412)</f>
        <v/>
      </c>
      <c r="C1412" s="14" t="n"/>
      <c r="D1412" s="15">
        <f>IF($C1412="","",IFERROR(INDEX(rngCadetPIDs,MATCH($C1412,rngCadetNames,0)),"?"))</f>
        <v/>
      </c>
      <c r="E1412" s="15">
        <f>IF($D1412="","",IFERROR(INDEX(nrCadetAgency,MATCH($D1412,rngCadetPIDs,0)),""))</f>
        <v/>
      </c>
      <c r="F1412" s="14" t="n"/>
      <c r="G1412" s="15">
        <f>IF($F1412="","",IFERROR(INDEX(rngEPname,MATCH($F1412,rngEPcode,0)),"?"))</f>
        <v/>
      </c>
      <c r="H1412" s="15">
        <f>IF($F1412="","",IFERROR(INDEX(rngEPtype,MATCH($F1412,rngEPcode,0)),"?"))</f>
        <v/>
      </c>
      <c r="I1412" s="15">
        <f>IF($F1412="","",IFERROR(INDEX(rngEPseq,MATCH($F1412,rngEPcode,0)),""))</f>
        <v/>
      </c>
      <c r="J1412" s="15">
        <f>IF($F1412="","",IFERROR(INDEX(rngEPpass,MATCH($F1412,rngEPcode,0)),cfgPassingScore))</f>
        <v/>
      </c>
      <c r="K1412" s="14" t="n"/>
      <c r="L1412" s="14" t="n"/>
      <c r="M1412" s="15">
        <f>IF($C1412="","",IF($L1412="","",IF($K1412=1,IF(COUNTIFS(nrES_PID,$D1412,nrES_Code,$F1412,nrES_Att,2)&gt;0,"",$L1412),IF(COUNTIFS(nrES_PID,$D1412,nrES_Code,$F1412,nrES_Att,1)=0,$L1412,IF($L1412&gt;=$J1412,cfgRetakeRecordedCap,SUMIFS(nrES_Raw,nrES_PID,$D1412,nrES_Code,$F1412,nrES_Att,1))))))</f>
        <v/>
      </c>
      <c r="N1412" s="15">
        <f>IF($C1412="","",IF($L1412="","",IF($L1412&gt;=$J1412,"Yes","No")))</f>
        <v/>
      </c>
      <c r="O1412" s="15">
        <f>IF($C1412="","",IF($M1412="","",IF($M1412&gt;=$J1412,"Yes","No")))</f>
        <v/>
      </c>
      <c r="P1412" s="15">
        <f>IF($C1412="","",IF($K1412="","",IF(COUNTIFS(nrES_PID,$D1412,nrES_Code,$F1412,nrES_Att,"&gt;"&amp;$K1412)=0,"Yes","No")))</f>
        <v/>
      </c>
      <c r="Q1412" s="15">
        <f>IF($C1412="","",IF($L1412="","",IF(AND($K1412=1,$L1412&lt;$J1412,COUNTIFS(nrES_PID,$D1412,nrES_Code,$F1412,nrES_Att,2)=0),"Yes","No")))</f>
        <v/>
      </c>
      <c r="R1412" s="15">
        <f>IF($C1412="","",IF($L1412="","",IF(AND($K1412=2,$L1412&lt;$J1412,COUNTIFS(nrES_PID,$D1412,nrES_Code,$F1412,nrES_Att,1)&gt;0),"Yes","No")))</f>
        <v/>
      </c>
      <c r="S1412" s="16" t="n"/>
      <c r="T1412" s="17">
        <f>IF($Q1412&lt;&gt;"Yes","",IF($S1412="","(enter date)",_xlfn.LET(_xlpm.dn,IFERROR(_xlfn.XLOOKUP($S1412,nrCDdate,nrCDnum),""),IF(_xlpm.dn="","(not a class day)",IFERROR(_xlfn.XLOOKUP(_xlpm.dn+cfgRetestClassDays,nrCDnum,nrCDdate),"")))))</f>
        <v/>
      </c>
      <c r="U1412" s="15">
        <f>IF($Q1412&lt;&gt;"Yes","",IF(COUNTIFS(nrES_PID,$D1412,nrES_Code,$F1412,nrES_Att,2)&gt;0,"Retested",IF(OR($T1412="",NOT(ISNUMBER($T1412))),"Pending",IF(TODAY()&gt;$T1412,"OVERDUE","Due "&amp;TEXT($T1412,"mm/dd")))))</f>
        <v/>
      </c>
      <c r="V1412" s="14" t="n"/>
      <c r="W1412" s="14" t="n"/>
    </row>
    <row r="1413">
      <c r="B1413" s="15">
        <f>IF($C1413="","",$D1413&amp;"-"&amp;$F1413&amp;"-"&amp;$K1413)</f>
        <v/>
      </c>
      <c r="C1413" s="14" t="n"/>
      <c r="D1413" s="15">
        <f>IF($C1413="","",IFERROR(INDEX(rngCadetPIDs,MATCH($C1413,rngCadetNames,0)),"?"))</f>
        <v/>
      </c>
      <c r="E1413" s="15">
        <f>IF($D1413="","",IFERROR(INDEX(nrCadetAgency,MATCH($D1413,rngCadetPIDs,0)),""))</f>
        <v/>
      </c>
      <c r="F1413" s="14" t="n"/>
      <c r="G1413" s="15">
        <f>IF($F1413="","",IFERROR(INDEX(rngEPname,MATCH($F1413,rngEPcode,0)),"?"))</f>
        <v/>
      </c>
      <c r="H1413" s="15">
        <f>IF($F1413="","",IFERROR(INDEX(rngEPtype,MATCH($F1413,rngEPcode,0)),"?"))</f>
        <v/>
      </c>
      <c r="I1413" s="15">
        <f>IF($F1413="","",IFERROR(INDEX(rngEPseq,MATCH($F1413,rngEPcode,0)),""))</f>
        <v/>
      </c>
      <c r="J1413" s="15">
        <f>IF($F1413="","",IFERROR(INDEX(rngEPpass,MATCH($F1413,rngEPcode,0)),cfgPassingScore))</f>
        <v/>
      </c>
      <c r="K1413" s="14" t="n"/>
      <c r="L1413" s="14" t="n"/>
      <c r="M1413" s="15">
        <f>IF($C1413="","",IF($L1413="","",IF($K1413=1,IF(COUNTIFS(nrES_PID,$D1413,nrES_Code,$F1413,nrES_Att,2)&gt;0,"",$L1413),IF(COUNTIFS(nrES_PID,$D1413,nrES_Code,$F1413,nrES_Att,1)=0,$L1413,IF($L1413&gt;=$J1413,cfgRetakeRecordedCap,SUMIFS(nrES_Raw,nrES_PID,$D1413,nrES_Code,$F1413,nrES_Att,1))))))</f>
        <v/>
      </c>
      <c r="N1413" s="15">
        <f>IF($C1413="","",IF($L1413="","",IF($L1413&gt;=$J1413,"Yes","No")))</f>
        <v/>
      </c>
      <c r="O1413" s="15">
        <f>IF($C1413="","",IF($M1413="","",IF($M1413&gt;=$J1413,"Yes","No")))</f>
        <v/>
      </c>
      <c r="P1413" s="15">
        <f>IF($C1413="","",IF($K1413="","",IF(COUNTIFS(nrES_PID,$D1413,nrES_Code,$F1413,nrES_Att,"&gt;"&amp;$K1413)=0,"Yes","No")))</f>
        <v/>
      </c>
      <c r="Q1413" s="15">
        <f>IF($C1413="","",IF($L1413="","",IF(AND($K1413=1,$L1413&lt;$J1413,COUNTIFS(nrES_PID,$D1413,nrES_Code,$F1413,nrES_Att,2)=0),"Yes","No")))</f>
        <v/>
      </c>
      <c r="R1413" s="15">
        <f>IF($C1413="","",IF($L1413="","",IF(AND($K1413=2,$L1413&lt;$J1413,COUNTIFS(nrES_PID,$D1413,nrES_Code,$F1413,nrES_Att,1)&gt;0),"Yes","No")))</f>
        <v/>
      </c>
      <c r="S1413" s="16" t="n"/>
      <c r="T1413" s="17">
        <f>IF($Q1413&lt;&gt;"Yes","",IF($S1413="","(enter date)",_xlfn.LET(_xlpm.dn,IFERROR(_xlfn.XLOOKUP($S1413,nrCDdate,nrCDnum),""),IF(_xlpm.dn="","(not a class day)",IFERROR(_xlfn.XLOOKUP(_xlpm.dn+cfgRetestClassDays,nrCDnum,nrCDdate),"")))))</f>
        <v/>
      </c>
      <c r="U1413" s="15">
        <f>IF($Q1413&lt;&gt;"Yes","",IF(COUNTIFS(nrES_PID,$D1413,nrES_Code,$F1413,nrES_Att,2)&gt;0,"Retested",IF(OR($T1413="",NOT(ISNUMBER($T1413))),"Pending",IF(TODAY()&gt;$T1413,"OVERDUE","Due "&amp;TEXT($T1413,"mm/dd")))))</f>
        <v/>
      </c>
      <c r="V1413" s="14" t="n"/>
      <c r="W1413" s="14" t="n"/>
    </row>
    <row r="1414">
      <c r="B1414" s="15">
        <f>IF($C1414="","",$D1414&amp;"-"&amp;$F1414&amp;"-"&amp;$K1414)</f>
        <v/>
      </c>
      <c r="C1414" s="14" t="n"/>
      <c r="D1414" s="15">
        <f>IF($C1414="","",IFERROR(INDEX(rngCadetPIDs,MATCH($C1414,rngCadetNames,0)),"?"))</f>
        <v/>
      </c>
      <c r="E1414" s="15">
        <f>IF($D1414="","",IFERROR(INDEX(nrCadetAgency,MATCH($D1414,rngCadetPIDs,0)),""))</f>
        <v/>
      </c>
      <c r="F1414" s="14" t="n"/>
      <c r="G1414" s="15">
        <f>IF($F1414="","",IFERROR(INDEX(rngEPname,MATCH($F1414,rngEPcode,0)),"?"))</f>
        <v/>
      </c>
      <c r="H1414" s="15">
        <f>IF($F1414="","",IFERROR(INDEX(rngEPtype,MATCH($F1414,rngEPcode,0)),"?"))</f>
        <v/>
      </c>
      <c r="I1414" s="15">
        <f>IF($F1414="","",IFERROR(INDEX(rngEPseq,MATCH($F1414,rngEPcode,0)),""))</f>
        <v/>
      </c>
      <c r="J1414" s="15">
        <f>IF($F1414="","",IFERROR(INDEX(rngEPpass,MATCH($F1414,rngEPcode,0)),cfgPassingScore))</f>
        <v/>
      </c>
      <c r="K1414" s="14" t="n"/>
      <c r="L1414" s="14" t="n"/>
      <c r="M1414" s="15">
        <f>IF($C1414="","",IF($L1414="","",IF($K1414=1,IF(COUNTIFS(nrES_PID,$D1414,nrES_Code,$F1414,nrES_Att,2)&gt;0,"",$L1414),IF(COUNTIFS(nrES_PID,$D1414,nrES_Code,$F1414,nrES_Att,1)=0,$L1414,IF($L1414&gt;=$J1414,cfgRetakeRecordedCap,SUMIFS(nrES_Raw,nrES_PID,$D1414,nrES_Code,$F1414,nrES_Att,1))))))</f>
        <v/>
      </c>
      <c r="N1414" s="15">
        <f>IF($C1414="","",IF($L1414="","",IF($L1414&gt;=$J1414,"Yes","No")))</f>
        <v/>
      </c>
      <c r="O1414" s="15">
        <f>IF($C1414="","",IF($M1414="","",IF($M1414&gt;=$J1414,"Yes","No")))</f>
        <v/>
      </c>
      <c r="P1414" s="15">
        <f>IF($C1414="","",IF($K1414="","",IF(COUNTIFS(nrES_PID,$D1414,nrES_Code,$F1414,nrES_Att,"&gt;"&amp;$K1414)=0,"Yes","No")))</f>
        <v/>
      </c>
      <c r="Q1414" s="15">
        <f>IF($C1414="","",IF($L1414="","",IF(AND($K1414=1,$L1414&lt;$J1414,COUNTIFS(nrES_PID,$D1414,nrES_Code,$F1414,nrES_Att,2)=0),"Yes","No")))</f>
        <v/>
      </c>
      <c r="R1414" s="15">
        <f>IF($C1414="","",IF($L1414="","",IF(AND($K1414=2,$L1414&lt;$J1414,COUNTIFS(nrES_PID,$D1414,nrES_Code,$F1414,nrES_Att,1)&gt;0),"Yes","No")))</f>
        <v/>
      </c>
      <c r="S1414" s="16" t="n"/>
      <c r="T1414" s="17">
        <f>IF($Q1414&lt;&gt;"Yes","",IF($S1414="","(enter date)",_xlfn.LET(_xlpm.dn,IFERROR(_xlfn.XLOOKUP($S1414,nrCDdate,nrCDnum),""),IF(_xlpm.dn="","(not a class day)",IFERROR(_xlfn.XLOOKUP(_xlpm.dn+cfgRetestClassDays,nrCDnum,nrCDdate),"")))))</f>
        <v/>
      </c>
      <c r="U1414" s="15">
        <f>IF($Q1414&lt;&gt;"Yes","",IF(COUNTIFS(nrES_PID,$D1414,nrES_Code,$F1414,nrES_Att,2)&gt;0,"Retested",IF(OR($T1414="",NOT(ISNUMBER($T1414))),"Pending",IF(TODAY()&gt;$T1414,"OVERDUE","Due "&amp;TEXT($T1414,"mm/dd")))))</f>
        <v/>
      </c>
      <c r="V1414" s="14" t="n"/>
      <c r="W1414" s="14" t="n"/>
    </row>
    <row r="1415">
      <c r="B1415" s="15">
        <f>IF($C1415="","",$D1415&amp;"-"&amp;$F1415&amp;"-"&amp;$K1415)</f>
        <v/>
      </c>
      <c r="C1415" s="14" t="n"/>
      <c r="D1415" s="15">
        <f>IF($C1415="","",IFERROR(INDEX(rngCadetPIDs,MATCH($C1415,rngCadetNames,0)),"?"))</f>
        <v/>
      </c>
      <c r="E1415" s="15">
        <f>IF($D1415="","",IFERROR(INDEX(nrCadetAgency,MATCH($D1415,rngCadetPIDs,0)),""))</f>
        <v/>
      </c>
      <c r="F1415" s="14" t="n"/>
      <c r="G1415" s="15">
        <f>IF($F1415="","",IFERROR(INDEX(rngEPname,MATCH($F1415,rngEPcode,0)),"?"))</f>
        <v/>
      </c>
      <c r="H1415" s="15">
        <f>IF($F1415="","",IFERROR(INDEX(rngEPtype,MATCH($F1415,rngEPcode,0)),"?"))</f>
        <v/>
      </c>
      <c r="I1415" s="15">
        <f>IF($F1415="","",IFERROR(INDEX(rngEPseq,MATCH($F1415,rngEPcode,0)),""))</f>
        <v/>
      </c>
      <c r="J1415" s="15">
        <f>IF($F1415="","",IFERROR(INDEX(rngEPpass,MATCH($F1415,rngEPcode,0)),cfgPassingScore))</f>
        <v/>
      </c>
      <c r="K1415" s="14" t="n"/>
      <c r="L1415" s="14" t="n"/>
      <c r="M1415" s="15">
        <f>IF($C1415="","",IF($L1415="","",IF($K1415=1,IF(COUNTIFS(nrES_PID,$D1415,nrES_Code,$F1415,nrES_Att,2)&gt;0,"",$L1415),IF(COUNTIFS(nrES_PID,$D1415,nrES_Code,$F1415,nrES_Att,1)=0,$L1415,IF($L1415&gt;=$J1415,cfgRetakeRecordedCap,SUMIFS(nrES_Raw,nrES_PID,$D1415,nrES_Code,$F1415,nrES_Att,1))))))</f>
        <v/>
      </c>
      <c r="N1415" s="15">
        <f>IF($C1415="","",IF($L1415="","",IF($L1415&gt;=$J1415,"Yes","No")))</f>
        <v/>
      </c>
      <c r="O1415" s="15">
        <f>IF($C1415="","",IF($M1415="","",IF($M1415&gt;=$J1415,"Yes","No")))</f>
        <v/>
      </c>
      <c r="P1415" s="15">
        <f>IF($C1415="","",IF($K1415="","",IF(COUNTIFS(nrES_PID,$D1415,nrES_Code,$F1415,nrES_Att,"&gt;"&amp;$K1415)=0,"Yes","No")))</f>
        <v/>
      </c>
      <c r="Q1415" s="15">
        <f>IF($C1415="","",IF($L1415="","",IF(AND($K1415=1,$L1415&lt;$J1415,COUNTIFS(nrES_PID,$D1415,nrES_Code,$F1415,nrES_Att,2)=0),"Yes","No")))</f>
        <v/>
      </c>
      <c r="R1415" s="15">
        <f>IF($C1415="","",IF($L1415="","",IF(AND($K1415=2,$L1415&lt;$J1415,COUNTIFS(nrES_PID,$D1415,nrES_Code,$F1415,nrES_Att,1)&gt;0),"Yes","No")))</f>
        <v/>
      </c>
      <c r="S1415" s="16" t="n"/>
      <c r="T1415" s="17">
        <f>IF($Q1415&lt;&gt;"Yes","",IF($S1415="","(enter date)",_xlfn.LET(_xlpm.dn,IFERROR(_xlfn.XLOOKUP($S1415,nrCDdate,nrCDnum),""),IF(_xlpm.dn="","(not a class day)",IFERROR(_xlfn.XLOOKUP(_xlpm.dn+cfgRetestClassDays,nrCDnum,nrCDdate),"")))))</f>
        <v/>
      </c>
      <c r="U1415" s="15">
        <f>IF($Q1415&lt;&gt;"Yes","",IF(COUNTIFS(nrES_PID,$D1415,nrES_Code,$F1415,nrES_Att,2)&gt;0,"Retested",IF(OR($T1415="",NOT(ISNUMBER($T1415))),"Pending",IF(TODAY()&gt;$T1415,"OVERDUE","Due "&amp;TEXT($T1415,"mm/dd")))))</f>
        <v/>
      </c>
      <c r="V1415" s="14" t="n"/>
      <c r="W1415" s="14" t="n"/>
    </row>
    <row r="1416">
      <c r="B1416" s="15">
        <f>IF($C1416="","",$D1416&amp;"-"&amp;$F1416&amp;"-"&amp;$K1416)</f>
        <v/>
      </c>
      <c r="C1416" s="14" t="n"/>
      <c r="D1416" s="15">
        <f>IF($C1416="","",IFERROR(INDEX(rngCadetPIDs,MATCH($C1416,rngCadetNames,0)),"?"))</f>
        <v/>
      </c>
      <c r="E1416" s="15">
        <f>IF($D1416="","",IFERROR(INDEX(nrCadetAgency,MATCH($D1416,rngCadetPIDs,0)),""))</f>
        <v/>
      </c>
      <c r="F1416" s="14" t="n"/>
      <c r="G1416" s="15">
        <f>IF($F1416="","",IFERROR(INDEX(rngEPname,MATCH($F1416,rngEPcode,0)),"?"))</f>
        <v/>
      </c>
      <c r="H1416" s="15">
        <f>IF($F1416="","",IFERROR(INDEX(rngEPtype,MATCH($F1416,rngEPcode,0)),"?"))</f>
        <v/>
      </c>
      <c r="I1416" s="15">
        <f>IF($F1416="","",IFERROR(INDEX(rngEPseq,MATCH($F1416,rngEPcode,0)),""))</f>
        <v/>
      </c>
      <c r="J1416" s="15">
        <f>IF($F1416="","",IFERROR(INDEX(rngEPpass,MATCH($F1416,rngEPcode,0)),cfgPassingScore))</f>
        <v/>
      </c>
      <c r="K1416" s="14" t="n"/>
      <c r="L1416" s="14" t="n"/>
      <c r="M1416" s="15">
        <f>IF($C1416="","",IF($L1416="","",IF($K1416=1,IF(COUNTIFS(nrES_PID,$D1416,nrES_Code,$F1416,nrES_Att,2)&gt;0,"",$L1416),IF(COUNTIFS(nrES_PID,$D1416,nrES_Code,$F1416,nrES_Att,1)=0,$L1416,IF($L1416&gt;=$J1416,cfgRetakeRecordedCap,SUMIFS(nrES_Raw,nrES_PID,$D1416,nrES_Code,$F1416,nrES_Att,1))))))</f>
        <v/>
      </c>
      <c r="N1416" s="15">
        <f>IF($C1416="","",IF($L1416="","",IF($L1416&gt;=$J1416,"Yes","No")))</f>
        <v/>
      </c>
      <c r="O1416" s="15">
        <f>IF($C1416="","",IF($M1416="","",IF($M1416&gt;=$J1416,"Yes","No")))</f>
        <v/>
      </c>
      <c r="P1416" s="15">
        <f>IF($C1416="","",IF($K1416="","",IF(COUNTIFS(nrES_PID,$D1416,nrES_Code,$F1416,nrES_Att,"&gt;"&amp;$K1416)=0,"Yes","No")))</f>
        <v/>
      </c>
      <c r="Q1416" s="15">
        <f>IF($C1416="","",IF($L1416="","",IF(AND($K1416=1,$L1416&lt;$J1416,COUNTIFS(nrES_PID,$D1416,nrES_Code,$F1416,nrES_Att,2)=0),"Yes","No")))</f>
        <v/>
      </c>
      <c r="R1416" s="15">
        <f>IF($C1416="","",IF($L1416="","",IF(AND($K1416=2,$L1416&lt;$J1416,COUNTIFS(nrES_PID,$D1416,nrES_Code,$F1416,nrES_Att,1)&gt;0),"Yes","No")))</f>
        <v/>
      </c>
      <c r="S1416" s="16" t="n"/>
      <c r="T1416" s="17">
        <f>IF($Q1416&lt;&gt;"Yes","",IF($S1416="","(enter date)",_xlfn.LET(_xlpm.dn,IFERROR(_xlfn.XLOOKUP($S1416,nrCDdate,nrCDnum),""),IF(_xlpm.dn="","(not a class day)",IFERROR(_xlfn.XLOOKUP(_xlpm.dn+cfgRetestClassDays,nrCDnum,nrCDdate),"")))))</f>
        <v/>
      </c>
      <c r="U1416" s="15">
        <f>IF($Q1416&lt;&gt;"Yes","",IF(COUNTIFS(nrES_PID,$D1416,nrES_Code,$F1416,nrES_Att,2)&gt;0,"Retested",IF(OR($T1416="",NOT(ISNUMBER($T1416))),"Pending",IF(TODAY()&gt;$T1416,"OVERDUE","Due "&amp;TEXT($T1416,"mm/dd")))))</f>
        <v/>
      </c>
      <c r="V1416" s="14" t="n"/>
      <c r="W1416" s="14" t="n"/>
    </row>
    <row r="1417">
      <c r="B1417" s="15">
        <f>IF($C1417="","",$D1417&amp;"-"&amp;$F1417&amp;"-"&amp;$K1417)</f>
        <v/>
      </c>
      <c r="C1417" s="14" t="n"/>
      <c r="D1417" s="15">
        <f>IF($C1417="","",IFERROR(INDEX(rngCadetPIDs,MATCH($C1417,rngCadetNames,0)),"?"))</f>
        <v/>
      </c>
      <c r="E1417" s="15">
        <f>IF($D1417="","",IFERROR(INDEX(nrCadetAgency,MATCH($D1417,rngCadetPIDs,0)),""))</f>
        <v/>
      </c>
      <c r="F1417" s="14" t="n"/>
      <c r="G1417" s="15">
        <f>IF($F1417="","",IFERROR(INDEX(rngEPname,MATCH($F1417,rngEPcode,0)),"?"))</f>
        <v/>
      </c>
      <c r="H1417" s="15">
        <f>IF($F1417="","",IFERROR(INDEX(rngEPtype,MATCH($F1417,rngEPcode,0)),"?"))</f>
        <v/>
      </c>
      <c r="I1417" s="15">
        <f>IF($F1417="","",IFERROR(INDEX(rngEPseq,MATCH($F1417,rngEPcode,0)),""))</f>
        <v/>
      </c>
      <c r="J1417" s="15">
        <f>IF($F1417="","",IFERROR(INDEX(rngEPpass,MATCH($F1417,rngEPcode,0)),cfgPassingScore))</f>
        <v/>
      </c>
      <c r="K1417" s="14" t="n"/>
      <c r="L1417" s="14" t="n"/>
      <c r="M1417" s="15">
        <f>IF($C1417="","",IF($L1417="","",IF($K1417=1,IF(COUNTIFS(nrES_PID,$D1417,nrES_Code,$F1417,nrES_Att,2)&gt;0,"",$L1417),IF(COUNTIFS(nrES_PID,$D1417,nrES_Code,$F1417,nrES_Att,1)=0,$L1417,IF($L1417&gt;=$J1417,cfgRetakeRecordedCap,SUMIFS(nrES_Raw,nrES_PID,$D1417,nrES_Code,$F1417,nrES_Att,1))))))</f>
        <v/>
      </c>
      <c r="N1417" s="15">
        <f>IF($C1417="","",IF($L1417="","",IF($L1417&gt;=$J1417,"Yes","No")))</f>
        <v/>
      </c>
      <c r="O1417" s="15">
        <f>IF($C1417="","",IF($M1417="","",IF($M1417&gt;=$J1417,"Yes","No")))</f>
        <v/>
      </c>
      <c r="P1417" s="15">
        <f>IF($C1417="","",IF($K1417="","",IF(COUNTIFS(nrES_PID,$D1417,nrES_Code,$F1417,nrES_Att,"&gt;"&amp;$K1417)=0,"Yes","No")))</f>
        <v/>
      </c>
      <c r="Q1417" s="15">
        <f>IF($C1417="","",IF($L1417="","",IF(AND($K1417=1,$L1417&lt;$J1417,COUNTIFS(nrES_PID,$D1417,nrES_Code,$F1417,nrES_Att,2)=0),"Yes","No")))</f>
        <v/>
      </c>
      <c r="R1417" s="15">
        <f>IF($C1417="","",IF($L1417="","",IF(AND($K1417=2,$L1417&lt;$J1417,COUNTIFS(nrES_PID,$D1417,nrES_Code,$F1417,nrES_Att,1)&gt;0),"Yes","No")))</f>
        <v/>
      </c>
      <c r="S1417" s="16" t="n"/>
      <c r="T1417" s="17">
        <f>IF($Q1417&lt;&gt;"Yes","",IF($S1417="","(enter date)",_xlfn.LET(_xlpm.dn,IFERROR(_xlfn.XLOOKUP($S1417,nrCDdate,nrCDnum),""),IF(_xlpm.dn="","(not a class day)",IFERROR(_xlfn.XLOOKUP(_xlpm.dn+cfgRetestClassDays,nrCDnum,nrCDdate),"")))))</f>
        <v/>
      </c>
      <c r="U1417" s="15">
        <f>IF($Q1417&lt;&gt;"Yes","",IF(COUNTIFS(nrES_PID,$D1417,nrES_Code,$F1417,nrES_Att,2)&gt;0,"Retested",IF(OR($T1417="",NOT(ISNUMBER($T1417))),"Pending",IF(TODAY()&gt;$T1417,"OVERDUE","Due "&amp;TEXT($T1417,"mm/dd")))))</f>
        <v/>
      </c>
      <c r="V1417" s="14" t="n"/>
      <c r="W1417" s="14" t="n"/>
    </row>
    <row r="1418">
      <c r="B1418" s="15">
        <f>IF($C1418="","",$D1418&amp;"-"&amp;$F1418&amp;"-"&amp;$K1418)</f>
        <v/>
      </c>
      <c r="C1418" s="14" t="n"/>
      <c r="D1418" s="15">
        <f>IF($C1418="","",IFERROR(INDEX(rngCadetPIDs,MATCH($C1418,rngCadetNames,0)),"?"))</f>
        <v/>
      </c>
      <c r="E1418" s="15">
        <f>IF($D1418="","",IFERROR(INDEX(nrCadetAgency,MATCH($D1418,rngCadetPIDs,0)),""))</f>
        <v/>
      </c>
      <c r="F1418" s="14" t="n"/>
      <c r="G1418" s="15">
        <f>IF($F1418="","",IFERROR(INDEX(rngEPname,MATCH($F1418,rngEPcode,0)),"?"))</f>
        <v/>
      </c>
      <c r="H1418" s="15">
        <f>IF($F1418="","",IFERROR(INDEX(rngEPtype,MATCH($F1418,rngEPcode,0)),"?"))</f>
        <v/>
      </c>
      <c r="I1418" s="15">
        <f>IF($F1418="","",IFERROR(INDEX(rngEPseq,MATCH($F1418,rngEPcode,0)),""))</f>
        <v/>
      </c>
      <c r="J1418" s="15">
        <f>IF($F1418="","",IFERROR(INDEX(rngEPpass,MATCH($F1418,rngEPcode,0)),cfgPassingScore))</f>
        <v/>
      </c>
      <c r="K1418" s="14" t="n"/>
      <c r="L1418" s="14" t="n"/>
      <c r="M1418" s="15">
        <f>IF($C1418="","",IF($L1418="","",IF($K1418=1,IF(COUNTIFS(nrES_PID,$D1418,nrES_Code,$F1418,nrES_Att,2)&gt;0,"",$L1418),IF(COUNTIFS(nrES_PID,$D1418,nrES_Code,$F1418,nrES_Att,1)=0,$L1418,IF($L1418&gt;=$J1418,cfgRetakeRecordedCap,SUMIFS(nrES_Raw,nrES_PID,$D1418,nrES_Code,$F1418,nrES_Att,1))))))</f>
        <v/>
      </c>
      <c r="N1418" s="15">
        <f>IF($C1418="","",IF($L1418="","",IF($L1418&gt;=$J1418,"Yes","No")))</f>
        <v/>
      </c>
      <c r="O1418" s="15">
        <f>IF($C1418="","",IF($M1418="","",IF($M1418&gt;=$J1418,"Yes","No")))</f>
        <v/>
      </c>
      <c r="P1418" s="15">
        <f>IF($C1418="","",IF($K1418="","",IF(COUNTIFS(nrES_PID,$D1418,nrES_Code,$F1418,nrES_Att,"&gt;"&amp;$K1418)=0,"Yes","No")))</f>
        <v/>
      </c>
      <c r="Q1418" s="15">
        <f>IF($C1418="","",IF($L1418="","",IF(AND($K1418=1,$L1418&lt;$J1418,COUNTIFS(nrES_PID,$D1418,nrES_Code,$F1418,nrES_Att,2)=0),"Yes","No")))</f>
        <v/>
      </c>
      <c r="R1418" s="15">
        <f>IF($C1418="","",IF($L1418="","",IF(AND($K1418=2,$L1418&lt;$J1418,COUNTIFS(nrES_PID,$D1418,nrES_Code,$F1418,nrES_Att,1)&gt;0),"Yes","No")))</f>
        <v/>
      </c>
      <c r="S1418" s="16" t="n"/>
      <c r="T1418" s="17">
        <f>IF($Q1418&lt;&gt;"Yes","",IF($S1418="","(enter date)",_xlfn.LET(_xlpm.dn,IFERROR(_xlfn.XLOOKUP($S1418,nrCDdate,nrCDnum),""),IF(_xlpm.dn="","(not a class day)",IFERROR(_xlfn.XLOOKUP(_xlpm.dn+cfgRetestClassDays,nrCDnum,nrCDdate),"")))))</f>
        <v/>
      </c>
      <c r="U1418" s="15">
        <f>IF($Q1418&lt;&gt;"Yes","",IF(COUNTIFS(nrES_PID,$D1418,nrES_Code,$F1418,nrES_Att,2)&gt;0,"Retested",IF(OR($T1418="",NOT(ISNUMBER($T1418))),"Pending",IF(TODAY()&gt;$T1418,"OVERDUE","Due "&amp;TEXT($T1418,"mm/dd")))))</f>
        <v/>
      </c>
      <c r="V1418" s="14" t="n"/>
      <c r="W1418" s="14" t="n"/>
    </row>
    <row r="1419">
      <c r="B1419" s="15">
        <f>IF($C1419="","",$D1419&amp;"-"&amp;$F1419&amp;"-"&amp;$K1419)</f>
        <v/>
      </c>
      <c r="C1419" s="14" t="n"/>
      <c r="D1419" s="15">
        <f>IF($C1419="","",IFERROR(INDEX(rngCadetPIDs,MATCH($C1419,rngCadetNames,0)),"?"))</f>
        <v/>
      </c>
      <c r="E1419" s="15">
        <f>IF($D1419="","",IFERROR(INDEX(nrCadetAgency,MATCH($D1419,rngCadetPIDs,0)),""))</f>
        <v/>
      </c>
      <c r="F1419" s="14" t="n"/>
      <c r="G1419" s="15">
        <f>IF($F1419="","",IFERROR(INDEX(rngEPname,MATCH($F1419,rngEPcode,0)),"?"))</f>
        <v/>
      </c>
      <c r="H1419" s="15">
        <f>IF($F1419="","",IFERROR(INDEX(rngEPtype,MATCH($F1419,rngEPcode,0)),"?"))</f>
        <v/>
      </c>
      <c r="I1419" s="15">
        <f>IF($F1419="","",IFERROR(INDEX(rngEPseq,MATCH($F1419,rngEPcode,0)),""))</f>
        <v/>
      </c>
      <c r="J1419" s="15">
        <f>IF($F1419="","",IFERROR(INDEX(rngEPpass,MATCH($F1419,rngEPcode,0)),cfgPassingScore))</f>
        <v/>
      </c>
      <c r="K1419" s="14" t="n"/>
      <c r="L1419" s="14" t="n"/>
      <c r="M1419" s="15">
        <f>IF($C1419="","",IF($L1419="","",IF($K1419=1,IF(COUNTIFS(nrES_PID,$D1419,nrES_Code,$F1419,nrES_Att,2)&gt;0,"",$L1419),IF(COUNTIFS(nrES_PID,$D1419,nrES_Code,$F1419,nrES_Att,1)=0,$L1419,IF($L1419&gt;=$J1419,cfgRetakeRecordedCap,SUMIFS(nrES_Raw,nrES_PID,$D1419,nrES_Code,$F1419,nrES_Att,1))))))</f>
        <v/>
      </c>
      <c r="N1419" s="15">
        <f>IF($C1419="","",IF($L1419="","",IF($L1419&gt;=$J1419,"Yes","No")))</f>
        <v/>
      </c>
      <c r="O1419" s="15">
        <f>IF($C1419="","",IF($M1419="","",IF($M1419&gt;=$J1419,"Yes","No")))</f>
        <v/>
      </c>
      <c r="P1419" s="15">
        <f>IF($C1419="","",IF($K1419="","",IF(COUNTIFS(nrES_PID,$D1419,nrES_Code,$F1419,nrES_Att,"&gt;"&amp;$K1419)=0,"Yes","No")))</f>
        <v/>
      </c>
      <c r="Q1419" s="15">
        <f>IF($C1419="","",IF($L1419="","",IF(AND($K1419=1,$L1419&lt;$J1419,COUNTIFS(nrES_PID,$D1419,nrES_Code,$F1419,nrES_Att,2)=0),"Yes","No")))</f>
        <v/>
      </c>
      <c r="R1419" s="15">
        <f>IF($C1419="","",IF($L1419="","",IF(AND($K1419=2,$L1419&lt;$J1419,COUNTIFS(nrES_PID,$D1419,nrES_Code,$F1419,nrES_Att,1)&gt;0),"Yes","No")))</f>
        <v/>
      </c>
      <c r="S1419" s="16" t="n"/>
      <c r="T1419" s="17">
        <f>IF($Q1419&lt;&gt;"Yes","",IF($S1419="","(enter date)",_xlfn.LET(_xlpm.dn,IFERROR(_xlfn.XLOOKUP($S1419,nrCDdate,nrCDnum),""),IF(_xlpm.dn="","(not a class day)",IFERROR(_xlfn.XLOOKUP(_xlpm.dn+cfgRetestClassDays,nrCDnum,nrCDdate),"")))))</f>
        <v/>
      </c>
      <c r="U1419" s="15">
        <f>IF($Q1419&lt;&gt;"Yes","",IF(COUNTIFS(nrES_PID,$D1419,nrES_Code,$F1419,nrES_Att,2)&gt;0,"Retested",IF(OR($T1419="",NOT(ISNUMBER($T1419))),"Pending",IF(TODAY()&gt;$T1419,"OVERDUE","Due "&amp;TEXT($T1419,"mm/dd")))))</f>
        <v/>
      </c>
      <c r="V1419" s="14" t="n"/>
      <c r="W1419" s="14" t="n"/>
    </row>
    <row r="1420">
      <c r="B1420" s="15">
        <f>IF($C1420="","",$D1420&amp;"-"&amp;$F1420&amp;"-"&amp;$K1420)</f>
        <v/>
      </c>
      <c r="C1420" s="14" t="n"/>
      <c r="D1420" s="15">
        <f>IF($C1420="","",IFERROR(INDEX(rngCadetPIDs,MATCH($C1420,rngCadetNames,0)),"?"))</f>
        <v/>
      </c>
      <c r="E1420" s="15">
        <f>IF($D1420="","",IFERROR(INDEX(nrCadetAgency,MATCH($D1420,rngCadetPIDs,0)),""))</f>
        <v/>
      </c>
      <c r="F1420" s="14" t="n"/>
      <c r="G1420" s="15">
        <f>IF($F1420="","",IFERROR(INDEX(rngEPname,MATCH($F1420,rngEPcode,0)),"?"))</f>
        <v/>
      </c>
      <c r="H1420" s="15">
        <f>IF($F1420="","",IFERROR(INDEX(rngEPtype,MATCH($F1420,rngEPcode,0)),"?"))</f>
        <v/>
      </c>
      <c r="I1420" s="15">
        <f>IF($F1420="","",IFERROR(INDEX(rngEPseq,MATCH($F1420,rngEPcode,0)),""))</f>
        <v/>
      </c>
      <c r="J1420" s="15">
        <f>IF($F1420="","",IFERROR(INDEX(rngEPpass,MATCH($F1420,rngEPcode,0)),cfgPassingScore))</f>
        <v/>
      </c>
      <c r="K1420" s="14" t="n"/>
      <c r="L1420" s="14" t="n"/>
      <c r="M1420" s="15">
        <f>IF($C1420="","",IF($L1420="","",IF($K1420=1,IF(COUNTIFS(nrES_PID,$D1420,nrES_Code,$F1420,nrES_Att,2)&gt;0,"",$L1420),IF(COUNTIFS(nrES_PID,$D1420,nrES_Code,$F1420,nrES_Att,1)=0,$L1420,IF($L1420&gt;=$J1420,cfgRetakeRecordedCap,SUMIFS(nrES_Raw,nrES_PID,$D1420,nrES_Code,$F1420,nrES_Att,1))))))</f>
        <v/>
      </c>
      <c r="N1420" s="15">
        <f>IF($C1420="","",IF($L1420="","",IF($L1420&gt;=$J1420,"Yes","No")))</f>
        <v/>
      </c>
      <c r="O1420" s="15">
        <f>IF($C1420="","",IF($M1420="","",IF($M1420&gt;=$J1420,"Yes","No")))</f>
        <v/>
      </c>
      <c r="P1420" s="15">
        <f>IF($C1420="","",IF($K1420="","",IF(COUNTIFS(nrES_PID,$D1420,nrES_Code,$F1420,nrES_Att,"&gt;"&amp;$K1420)=0,"Yes","No")))</f>
        <v/>
      </c>
      <c r="Q1420" s="15">
        <f>IF($C1420="","",IF($L1420="","",IF(AND($K1420=1,$L1420&lt;$J1420,COUNTIFS(nrES_PID,$D1420,nrES_Code,$F1420,nrES_Att,2)=0),"Yes","No")))</f>
        <v/>
      </c>
      <c r="R1420" s="15">
        <f>IF($C1420="","",IF($L1420="","",IF(AND($K1420=2,$L1420&lt;$J1420,COUNTIFS(nrES_PID,$D1420,nrES_Code,$F1420,nrES_Att,1)&gt;0),"Yes","No")))</f>
        <v/>
      </c>
      <c r="S1420" s="16" t="n"/>
      <c r="T1420" s="17">
        <f>IF($Q1420&lt;&gt;"Yes","",IF($S1420="","(enter date)",_xlfn.LET(_xlpm.dn,IFERROR(_xlfn.XLOOKUP($S1420,nrCDdate,nrCDnum),""),IF(_xlpm.dn="","(not a class day)",IFERROR(_xlfn.XLOOKUP(_xlpm.dn+cfgRetestClassDays,nrCDnum,nrCDdate),"")))))</f>
        <v/>
      </c>
      <c r="U1420" s="15">
        <f>IF($Q1420&lt;&gt;"Yes","",IF(COUNTIFS(nrES_PID,$D1420,nrES_Code,$F1420,nrES_Att,2)&gt;0,"Retested",IF(OR($T1420="",NOT(ISNUMBER($T1420))),"Pending",IF(TODAY()&gt;$T1420,"OVERDUE","Due "&amp;TEXT($T1420,"mm/dd")))))</f>
        <v/>
      </c>
      <c r="V1420" s="14" t="n"/>
      <c r="W1420" s="14" t="n"/>
    </row>
    <row r="1421">
      <c r="B1421" s="15">
        <f>IF($C1421="","",$D1421&amp;"-"&amp;$F1421&amp;"-"&amp;$K1421)</f>
        <v/>
      </c>
      <c r="C1421" s="14" t="n"/>
      <c r="D1421" s="15">
        <f>IF($C1421="","",IFERROR(INDEX(rngCadetPIDs,MATCH($C1421,rngCadetNames,0)),"?"))</f>
        <v/>
      </c>
      <c r="E1421" s="15">
        <f>IF($D1421="","",IFERROR(INDEX(nrCadetAgency,MATCH($D1421,rngCadetPIDs,0)),""))</f>
        <v/>
      </c>
      <c r="F1421" s="14" t="n"/>
      <c r="G1421" s="15">
        <f>IF($F1421="","",IFERROR(INDEX(rngEPname,MATCH($F1421,rngEPcode,0)),"?"))</f>
        <v/>
      </c>
      <c r="H1421" s="15">
        <f>IF($F1421="","",IFERROR(INDEX(rngEPtype,MATCH($F1421,rngEPcode,0)),"?"))</f>
        <v/>
      </c>
      <c r="I1421" s="15">
        <f>IF($F1421="","",IFERROR(INDEX(rngEPseq,MATCH($F1421,rngEPcode,0)),""))</f>
        <v/>
      </c>
      <c r="J1421" s="15">
        <f>IF($F1421="","",IFERROR(INDEX(rngEPpass,MATCH($F1421,rngEPcode,0)),cfgPassingScore))</f>
        <v/>
      </c>
      <c r="K1421" s="14" t="n"/>
      <c r="L1421" s="14" t="n"/>
      <c r="M1421" s="15">
        <f>IF($C1421="","",IF($L1421="","",IF($K1421=1,IF(COUNTIFS(nrES_PID,$D1421,nrES_Code,$F1421,nrES_Att,2)&gt;0,"",$L1421),IF(COUNTIFS(nrES_PID,$D1421,nrES_Code,$F1421,nrES_Att,1)=0,$L1421,IF($L1421&gt;=$J1421,cfgRetakeRecordedCap,SUMIFS(nrES_Raw,nrES_PID,$D1421,nrES_Code,$F1421,nrES_Att,1))))))</f>
        <v/>
      </c>
      <c r="N1421" s="15">
        <f>IF($C1421="","",IF($L1421="","",IF($L1421&gt;=$J1421,"Yes","No")))</f>
        <v/>
      </c>
      <c r="O1421" s="15">
        <f>IF($C1421="","",IF($M1421="","",IF($M1421&gt;=$J1421,"Yes","No")))</f>
        <v/>
      </c>
      <c r="P1421" s="15">
        <f>IF($C1421="","",IF($K1421="","",IF(COUNTIFS(nrES_PID,$D1421,nrES_Code,$F1421,nrES_Att,"&gt;"&amp;$K1421)=0,"Yes","No")))</f>
        <v/>
      </c>
      <c r="Q1421" s="15">
        <f>IF($C1421="","",IF($L1421="","",IF(AND($K1421=1,$L1421&lt;$J1421,COUNTIFS(nrES_PID,$D1421,nrES_Code,$F1421,nrES_Att,2)=0),"Yes","No")))</f>
        <v/>
      </c>
      <c r="R1421" s="15">
        <f>IF($C1421="","",IF($L1421="","",IF(AND($K1421=2,$L1421&lt;$J1421,COUNTIFS(nrES_PID,$D1421,nrES_Code,$F1421,nrES_Att,1)&gt;0),"Yes","No")))</f>
        <v/>
      </c>
      <c r="S1421" s="16" t="n"/>
      <c r="T1421" s="17">
        <f>IF($Q1421&lt;&gt;"Yes","",IF($S1421="","(enter date)",_xlfn.LET(_xlpm.dn,IFERROR(_xlfn.XLOOKUP($S1421,nrCDdate,nrCDnum),""),IF(_xlpm.dn="","(not a class day)",IFERROR(_xlfn.XLOOKUP(_xlpm.dn+cfgRetestClassDays,nrCDnum,nrCDdate),"")))))</f>
        <v/>
      </c>
      <c r="U1421" s="15">
        <f>IF($Q1421&lt;&gt;"Yes","",IF(COUNTIFS(nrES_PID,$D1421,nrES_Code,$F1421,nrES_Att,2)&gt;0,"Retested",IF(OR($T1421="",NOT(ISNUMBER($T1421))),"Pending",IF(TODAY()&gt;$T1421,"OVERDUE","Due "&amp;TEXT($T1421,"mm/dd")))))</f>
        <v/>
      </c>
      <c r="V1421" s="14" t="n"/>
      <c r="W1421" s="14" t="n"/>
    </row>
    <row r="1422">
      <c r="B1422" s="15">
        <f>IF($C1422="","",$D1422&amp;"-"&amp;$F1422&amp;"-"&amp;$K1422)</f>
        <v/>
      </c>
      <c r="C1422" s="14" t="n"/>
      <c r="D1422" s="15">
        <f>IF($C1422="","",IFERROR(INDEX(rngCadetPIDs,MATCH($C1422,rngCadetNames,0)),"?"))</f>
        <v/>
      </c>
      <c r="E1422" s="15">
        <f>IF($D1422="","",IFERROR(INDEX(nrCadetAgency,MATCH($D1422,rngCadetPIDs,0)),""))</f>
        <v/>
      </c>
      <c r="F1422" s="14" t="n"/>
      <c r="G1422" s="15">
        <f>IF($F1422="","",IFERROR(INDEX(rngEPname,MATCH($F1422,rngEPcode,0)),"?"))</f>
        <v/>
      </c>
      <c r="H1422" s="15">
        <f>IF($F1422="","",IFERROR(INDEX(rngEPtype,MATCH($F1422,rngEPcode,0)),"?"))</f>
        <v/>
      </c>
      <c r="I1422" s="15">
        <f>IF($F1422="","",IFERROR(INDEX(rngEPseq,MATCH($F1422,rngEPcode,0)),""))</f>
        <v/>
      </c>
      <c r="J1422" s="15">
        <f>IF($F1422="","",IFERROR(INDEX(rngEPpass,MATCH($F1422,rngEPcode,0)),cfgPassingScore))</f>
        <v/>
      </c>
      <c r="K1422" s="14" t="n"/>
      <c r="L1422" s="14" t="n"/>
      <c r="M1422" s="15">
        <f>IF($C1422="","",IF($L1422="","",IF($K1422=1,IF(COUNTIFS(nrES_PID,$D1422,nrES_Code,$F1422,nrES_Att,2)&gt;0,"",$L1422),IF(COUNTIFS(nrES_PID,$D1422,nrES_Code,$F1422,nrES_Att,1)=0,$L1422,IF($L1422&gt;=$J1422,cfgRetakeRecordedCap,SUMIFS(nrES_Raw,nrES_PID,$D1422,nrES_Code,$F1422,nrES_Att,1))))))</f>
        <v/>
      </c>
      <c r="N1422" s="15">
        <f>IF($C1422="","",IF($L1422="","",IF($L1422&gt;=$J1422,"Yes","No")))</f>
        <v/>
      </c>
      <c r="O1422" s="15">
        <f>IF($C1422="","",IF($M1422="","",IF($M1422&gt;=$J1422,"Yes","No")))</f>
        <v/>
      </c>
      <c r="P1422" s="15">
        <f>IF($C1422="","",IF($K1422="","",IF(COUNTIFS(nrES_PID,$D1422,nrES_Code,$F1422,nrES_Att,"&gt;"&amp;$K1422)=0,"Yes","No")))</f>
        <v/>
      </c>
      <c r="Q1422" s="15">
        <f>IF($C1422="","",IF($L1422="","",IF(AND($K1422=1,$L1422&lt;$J1422,COUNTIFS(nrES_PID,$D1422,nrES_Code,$F1422,nrES_Att,2)=0),"Yes","No")))</f>
        <v/>
      </c>
      <c r="R1422" s="15">
        <f>IF($C1422="","",IF($L1422="","",IF(AND($K1422=2,$L1422&lt;$J1422,COUNTIFS(nrES_PID,$D1422,nrES_Code,$F1422,nrES_Att,1)&gt;0),"Yes","No")))</f>
        <v/>
      </c>
      <c r="S1422" s="16" t="n"/>
      <c r="T1422" s="17">
        <f>IF($Q1422&lt;&gt;"Yes","",IF($S1422="","(enter date)",_xlfn.LET(_xlpm.dn,IFERROR(_xlfn.XLOOKUP($S1422,nrCDdate,nrCDnum),""),IF(_xlpm.dn="","(not a class day)",IFERROR(_xlfn.XLOOKUP(_xlpm.dn+cfgRetestClassDays,nrCDnum,nrCDdate),"")))))</f>
        <v/>
      </c>
      <c r="U1422" s="15">
        <f>IF($Q1422&lt;&gt;"Yes","",IF(COUNTIFS(nrES_PID,$D1422,nrES_Code,$F1422,nrES_Att,2)&gt;0,"Retested",IF(OR($T1422="",NOT(ISNUMBER($T1422))),"Pending",IF(TODAY()&gt;$T1422,"OVERDUE","Due "&amp;TEXT($T1422,"mm/dd")))))</f>
        <v/>
      </c>
      <c r="V1422" s="14" t="n"/>
      <c r="W1422" s="14" t="n"/>
    </row>
    <row r="1423">
      <c r="B1423" s="15">
        <f>IF($C1423="","",$D1423&amp;"-"&amp;$F1423&amp;"-"&amp;$K1423)</f>
        <v/>
      </c>
      <c r="C1423" s="14" t="n"/>
      <c r="D1423" s="15">
        <f>IF($C1423="","",IFERROR(INDEX(rngCadetPIDs,MATCH($C1423,rngCadetNames,0)),"?"))</f>
        <v/>
      </c>
      <c r="E1423" s="15">
        <f>IF($D1423="","",IFERROR(INDEX(nrCadetAgency,MATCH($D1423,rngCadetPIDs,0)),""))</f>
        <v/>
      </c>
      <c r="F1423" s="14" t="n"/>
      <c r="G1423" s="15">
        <f>IF($F1423="","",IFERROR(INDEX(rngEPname,MATCH($F1423,rngEPcode,0)),"?"))</f>
        <v/>
      </c>
      <c r="H1423" s="15">
        <f>IF($F1423="","",IFERROR(INDEX(rngEPtype,MATCH($F1423,rngEPcode,0)),"?"))</f>
        <v/>
      </c>
      <c r="I1423" s="15">
        <f>IF($F1423="","",IFERROR(INDEX(rngEPseq,MATCH($F1423,rngEPcode,0)),""))</f>
        <v/>
      </c>
      <c r="J1423" s="15">
        <f>IF($F1423="","",IFERROR(INDEX(rngEPpass,MATCH($F1423,rngEPcode,0)),cfgPassingScore))</f>
        <v/>
      </c>
      <c r="K1423" s="14" t="n"/>
      <c r="L1423" s="14" t="n"/>
      <c r="M1423" s="15">
        <f>IF($C1423="","",IF($L1423="","",IF($K1423=1,IF(COUNTIFS(nrES_PID,$D1423,nrES_Code,$F1423,nrES_Att,2)&gt;0,"",$L1423),IF(COUNTIFS(nrES_PID,$D1423,nrES_Code,$F1423,nrES_Att,1)=0,$L1423,IF($L1423&gt;=$J1423,cfgRetakeRecordedCap,SUMIFS(nrES_Raw,nrES_PID,$D1423,nrES_Code,$F1423,nrES_Att,1))))))</f>
        <v/>
      </c>
      <c r="N1423" s="15">
        <f>IF($C1423="","",IF($L1423="","",IF($L1423&gt;=$J1423,"Yes","No")))</f>
        <v/>
      </c>
      <c r="O1423" s="15">
        <f>IF($C1423="","",IF($M1423="","",IF($M1423&gt;=$J1423,"Yes","No")))</f>
        <v/>
      </c>
      <c r="P1423" s="15">
        <f>IF($C1423="","",IF($K1423="","",IF(COUNTIFS(nrES_PID,$D1423,nrES_Code,$F1423,nrES_Att,"&gt;"&amp;$K1423)=0,"Yes","No")))</f>
        <v/>
      </c>
      <c r="Q1423" s="15">
        <f>IF($C1423="","",IF($L1423="","",IF(AND($K1423=1,$L1423&lt;$J1423,COUNTIFS(nrES_PID,$D1423,nrES_Code,$F1423,nrES_Att,2)=0),"Yes","No")))</f>
        <v/>
      </c>
      <c r="R1423" s="15">
        <f>IF($C1423="","",IF($L1423="","",IF(AND($K1423=2,$L1423&lt;$J1423,COUNTIFS(nrES_PID,$D1423,nrES_Code,$F1423,nrES_Att,1)&gt;0),"Yes","No")))</f>
        <v/>
      </c>
      <c r="S1423" s="16" t="n"/>
      <c r="T1423" s="17">
        <f>IF($Q1423&lt;&gt;"Yes","",IF($S1423="","(enter date)",_xlfn.LET(_xlpm.dn,IFERROR(_xlfn.XLOOKUP($S1423,nrCDdate,nrCDnum),""),IF(_xlpm.dn="","(not a class day)",IFERROR(_xlfn.XLOOKUP(_xlpm.dn+cfgRetestClassDays,nrCDnum,nrCDdate),"")))))</f>
        <v/>
      </c>
      <c r="U1423" s="15">
        <f>IF($Q1423&lt;&gt;"Yes","",IF(COUNTIFS(nrES_PID,$D1423,nrES_Code,$F1423,nrES_Att,2)&gt;0,"Retested",IF(OR($T1423="",NOT(ISNUMBER($T1423))),"Pending",IF(TODAY()&gt;$T1423,"OVERDUE","Due "&amp;TEXT($T1423,"mm/dd")))))</f>
        <v/>
      </c>
      <c r="V1423" s="14" t="n"/>
      <c r="W1423" s="14" t="n"/>
    </row>
    <row r="1424">
      <c r="B1424" s="15">
        <f>IF($C1424="","",$D1424&amp;"-"&amp;$F1424&amp;"-"&amp;$K1424)</f>
        <v/>
      </c>
      <c r="C1424" s="14" t="n"/>
      <c r="D1424" s="15">
        <f>IF($C1424="","",IFERROR(INDEX(rngCadetPIDs,MATCH($C1424,rngCadetNames,0)),"?"))</f>
        <v/>
      </c>
      <c r="E1424" s="15">
        <f>IF($D1424="","",IFERROR(INDEX(nrCadetAgency,MATCH($D1424,rngCadetPIDs,0)),""))</f>
        <v/>
      </c>
      <c r="F1424" s="14" t="n"/>
      <c r="G1424" s="15">
        <f>IF($F1424="","",IFERROR(INDEX(rngEPname,MATCH($F1424,rngEPcode,0)),"?"))</f>
        <v/>
      </c>
      <c r="H1424" s="15">
        <f>IF($F1424="","",IFERROR(INDEX(rngEPtype,MATCH($F1424,rngEPcode,0)),"?"))</f>
        <v/>
      </c>
      <c r="I1424" s="15">
        <f>IF($F1424="","",IFERROR(INDEX(rngEPseq,MATCH($F1424,rngEPcode,0)),""))</f>
        <v/>
      </c>
      <c r="J1424" s="15">
        <f>IF($F1424="","",IFERROR(INDEX(rngEPpass,MATCH($F1424,rngEPcode,0)),cfgPassingScore))</f>
        <v/>
      </c>
      <c r="K1424" s="14" t="n"/>
      <c r="L1424" s="14" t="n"/>
      <c r="M1424" s="15">
        <f>IF($C1424="","",IF($L1424="","",IF($K1424=1,IF(COUNTIFS(nrES_PID,$D1424,nrES_Code,$F1424,nrES_Att,2)&gt;0,"",$L1424),IF(COUNTIFS(nrES_PID,$D1424,nrES_Code,$F1424,nrES_Att,1)=0,$L1424,IF($L1424&gt;=$J1424,cfgRetakeRecordedCap,SUMIFS(nrES_Raw,nrES_PID,$D1424,nrES_Code,$F1424,nrES_Att,1))))))</f>
        <v/>
      </c>
      <c r="N1424" s="15">
        <f>IF($C1424="","",IF($L1424="","",IF($L1424&gt;=$J1424,"Yes","No")))</f>
        <v/>
      </c>
      <c r="O1424" s="15">
        <f>IF($C1424="","",IF($M1424="","",IF($M1424&gt;=$J1424,"Yes","No")))</f>
        <v/>
      </c>
      <c r="P1424" s="15">
        <f>IF($C1424="","",IF($K1424="","",IF(COUNTIFS(nrES_PID,$D1424,nrES_Code,$F1424,nrES_Att,"&gt;"&amp;$K1424)=0,"Yes","No")))</f>
        <v/>
      </c>
      <c r="Q1424" s="15">
        <f>IF($C1424="","",IF($L1424="","",IF(AND($K1424=1,$L1424&lt;$J1424,COUNTIFS(nrES_PID,$D1424,nrES_Code,$F1424,nrES_Att,2)=0),"Yes","No")))</f>
        <v/>
      </c>
      <c r="R1424" s="15">
        <f>IF($C1424="","",IF($L1424="","",IF(AND($K1424=2,$L1424&lt;$J1424,COUNTIFS(nrES_PID,$D1424,nrES_Code,$F1424,nrES_Att,1)&gt;0),"Yes","No")))</f>
        <v/>
      </c>
      <c r="S1424" s="16" t="n"/>
      <c r="T1424" s="17">
        <f>IF($Q1424&lt;&gt;"Yes","",IF($S1424="","(enter date)",_xlfn.LET(_xlpm.dn,IFERROR(_xlfn.XLOOKUP($S1424,nrCDdate,nrCDnum),""),IF(_xlpm.dn="","(not a class day)",IFERROR(_xlfn.XLOOKUP(_xlpm.dn+cfgRetestClassDays,nrCDnum,nrCDdate),"")))))</f>
        <v/>
      </c>
      <c r="U1424" s="15">
        <f>IF($Q1424&lt;&gt;"Yes","",IF(COUNTIFS(nrES_PID,$D1424,nrES_Code,$F1424,nrES_Att,2)&gt;0,"Retested",IF(OR($T1424="",NOT(ISNUMBER($T1424))),"Pending",IF(TODAY()&gt;$T1424,"OVERDUE","Due "&amp;TEXT($T1424,"mm/dd")))))</f>
        <v/>
      </c>
      <c r="V1424" s="14" t="n"/>
      <c r="W1424" s="14" t="n"/>
    </row>
    <row r="1425">
      <c r="B1425" s="15">
        <f>IF($C1425="","",$D1425&amp;"-"&amp;$F1425&amp;"-"&amp;$K1425)</f>
        <v/>
      </c>
      <c r="C1425" s="14" t="n"/>
      <c r="D1425" s="15">
        <f>IF($C1425="","",IFERROR(INDEX(rngCadetPIDs,MATCH($C1425,rngCadetNames,0)),"?"))</f>
        <v/>
      </c>
      <c r="E1425" s="15">
        <f>IF($D1425="","",IFERROR(INDEX(nrCadetAgency,MATCH($D1425,rngCadetPIDs,0)),""))</f>
        <v/>
      </c>
      <c r="F1425" s="14" t="n"/>
      <c r="G1425" s="15">
        <f>IF($F1425="","",IFERROR(INDEX(rngEPname,MATCH($F1425,rngEPcode,0)),"?"))</f>
        <v/>
      </c>
      <c r="H1425" s="15">
        <f>IF($F1425="","",IFERROR(INDEX(rngEPtype,MATCH($F1425,rngEPcode,0)),"?"))</f>
        <v/>
      </c>
      <c r="I1425" s="15">
        <f>IF($F1425="","",IFERROR(INDEX(rngEPseq,MATCH($F1425,rngEPcode,0)),""))</f>
        <v/>
      </c>
      <c r="J1425" s="15">
        <f>IF($F1425="","",IFERROR(INDEX(rngEPpass,MATCH($F1425,rngEPcode,0)),cfgPassingScore))</f>
        <v/>
      </c>
      <c r="K1425" s="14" t="n"/>
      <c r="L1425" s="14" t="n"/>
      <c r="M1425" s="15">
        <f>IF($C1425="","",IF($L1425="","",IF($K1425=1,IF(COUNTIFS(nrES_PID,$D1425,nrES_Code,$F1425,nrES_Att,2)&gt;0,"",$L1425),IF(COUNTIFS(nrES_PID,$D1425,nrES_Code,$F1425,nrES_Att,1)=0,$L1425,IF($L1425&gt;=$J1425,cfgRetakeRecordedCap,SUMIFS(nrES_Raw,nrES_PID,$D1425,nrES_Code,$F1425,nrES_Att,1))))))</f>
        <v/>
      </c>
      <c r="N1425" s="15">
        <f>IF($C1425="","",IF($L1425="","",IF($L1425&gt;=$J1425,"Yes","No")))</f>
        <v/>
      </c>
      <c r="O1425" s="15">
        <f>IF($C1425="","",IF($M1425="","",IF($M1425&gt;=$J1425,"Yes","No")))</f>
        <v/>
      </c>
      <c r="P1425" s="15">
        <f>IF($C1425="","",IF($K1425="","",IF(COUNTIFS(nrES_PID,$D1425,nrES_Code,$F1425,nrES_Att,"&gt;"&amp;$K1425)=0,"Yes","No")))</f>
        <v/>
      </c>
      <c r="Q1425" s="15">
        <f>IF($C1425="","",IF($L1425="","",IF(AND($K1425=1,$L1425&lt;$J1425,COUNTIFS(nrES_PID,$D1425,nrES_Code,$F1425,nrES_Att,2)=0),"Yes","No")))</f>
        <v/>
      </c>
      <c r="R1425" s="15">
        <f>IF($C1425="","",IF($L1425="","",IF(AND($K1425=2,$L1425&lt;$J1425,COUNTIFS(nrES_PID,$D1425,nrES_Code,$F1425,nrES_Att,1)&gt;0),"Yes","No")))</f>
        <v/>
      </c>
      <c r="S1425" s="16" t="n"/>
      <c r="T1425" s="17">
        <f>IF($Q1425&lt;&gt;"Yes","",IF($S1425="","(enter date)",_xlfn.LET(_xlpm.dn,IFERROR(_xlfn.XLOOKUP($S1425,nrCDdate,nrCDnum),""),IF(_xlpm.dn="","(not a class day)",IFERROR(_xlfn.XLOOKUP(_xlpm.dn+cfgRetestClassDays,nrCDnum,nrCDdate),"")))))</f>
        <v/>
      </c>
      <c r="U1425" s="15">
        <f>IF($Q1425&lt;&gt;"Yes","",IF(COUNTIFS(nrES_PID,$D1425,nrES_Code,$F1425,nrES_Att,2)&gt;0,"Retested",IF(OR($T1425="",NOT(ISNUMBER($T1425))),"Pending",IF(TODAY()&gt;$T1425,"OVERDUE","Due "&amp;TEXT($T1425,"mm/dd")))))</f>
        <v/>
      </c>
      <c r="V1425" s="14" t="n"/>
      <c r="W1425" s="14" t="n"/>
    </row>
    <row r="1426">
      <c r="B1426" s="15">
        <f>IF($C1426="","",$D1426&amp;"-"&amp;$F1426&amp;"-"&amp;$K1426)</f>
        <v/>
      </c>
      <c r="C1426" s="14" t="n"/>
      <c r="D1426" s="15">
        <f>IF($C1426="","",IFERROR(INDEX(rngCadetPIDs,MATCH($C1426,rngCadetNames,0)),"?"))</f>
        <v/>
      </c>
      <c r="E1426" s="15">
        <f>IF($D1426="","",IFERROR(INDEX(nrCadetAgency,MATCH($D1426,rngCadetPIDs,0)),""))</f>
        <v/>
      </c>
      <c r="F1426" s="14" t="n"/>
      <c r="G1426" s="15">
        <f>IF($F1426="","",IFERROR(INDEX(rngEPname,MATCH($F1426,rngEPcode,0)),"?"))</f>
        <v/>
      </c>
      <c r="H1426" s="15">
        <f>IF($F1426="","",IFERROR(INDEX(rngEPtype,MATCH($F1426,rngEPcode,0)),"?"))</f>
        <v/>
      </c>
      <c r="I1426" s="15">
        <f>IF($F1426="","",IFERROR(INDEX(rngEPseq,MATCH($F1426,rngEPcode,0)),""))</f>
        <v/>
      </c>
      <c r="J1426" s="15">
        <f>IF($F1426="","",IFERROR(INDEX(rngEPpass,MATCH($F1426,rngEPcode,0)),cfgPassingScore))</f>
        <v/>
      </c>
      <c r="K1426" s="14" t="n"/>
      <c r="L1426" s="14" t="n"/>
      <c r="M1426" s="15">
        <f>IF($C1426="","",IF($L1426="","",IF($K1426=1,IF(COUNTIFS(nrES_PID,$D1426,nrES_Code,$F1426,nrES_Att,2)&gt;0,"",$L1426),IF(COUNTIFS(nrES_PID,$D1426,nrES_Code,$F1426,nrES_Att,1)=0,$L1426,IF($L1426&gt;=$J1426,cfgRetakeRecordedCap,SUMIFS(nrES_Raw,nrES_PID,$D1426,nrES_Code,$F1426,nrES_Att,1))))))</f>
        <v/>
      </c>
      <c r="N1426" s="15">
        <f>IF($C1426="","",IF($L1426="","",IF($L1426&gt;=$J1426,"Yes","No")))</f>
        <v/>
      </c>
      <c r="O1426" s="15">
        <f>IF($C1426="","",IF($M1426="","",IF($M1426&gt;=$J1426,"Yes","No")))</f>
        <v/>
      </c>
      <c r="P1426" s="15">
        <f>IF($C1426="","",IF($K1426="","",IF(COUNTIFS(nrES_PID,$D1426,nrES_Code,$F1426,nrES_Att,"&gt;"&amp;$K1426)=0,"Yes","No")))</f>
        <v/>
      </c>
      <c r="Q1426" s="15">
        <f>IF($C1426="","",IF($L1426="","",IF(AND($K1426=1,$L1426&lt;$J1426,COUNTIFS(nrES_PID,$D1426,nrES_Code,$F1426,nrES_Att,2)=0),"Yes","No")))</f>
        <v/>
      </c>
      <c r="R1426" s="15">
        <f>IF($C1426="","",IF($L1426="","",IF(AND($K1426=2,$L1426&lt;$J1426,COUNTIFS(nrES_PID,$D1426,nrES_Code,$F1426,nrES_Att,1)&gt;0),"Yes","No")))</f>
        <v/>
      </c>
      <c r="S1426" s="16" t="n"/>
      <c r="T1426" s="17">
        <f>IF($Q1426&lt;&gt;"Yes","",IF($S1426="","(enter date)",_xlfn.LET(_xlpm.dn,IFERROR(_xlfn.XLOOKUP($S1426,nrCDdate,nrCDnum),""),IF(_xlpm.dn="","(not a class day)",IFERROR(_xlfn.XLOOKUP(_xlpm.dn+cfgRetestClassDays,nrCDnum,nrCDdate),"")))))</f>
        <v/>
      </c>
      <c r="U1426" s="15">
        <f>IF($Q1426&lt;&gt;"Yes","",IF(COUNTIFS(nrES_PID,$D1426,nrES_Code,$F1426,nrES_Att,2)&gt;0,"Retested",IF(OR($T1426="",NOT(ISNUMBER($T1426))),"Pending",IF(TODAY()&gt;$T1426,"OVERDUE","Due "&amp;TEXT($T1426,"mm/dd")))))</f>
        <v/>
      </c>
      <c r="V1426" s="14" t="n"/>
      <c r="W1426" s="14" t="n"/>
    </row>
    <row r="1427">
      <c r="B1427" s="15">
        <f>IF($C1427="","",$D1427&amp;"-"&amp;$F1427&amp;"-"&amp;$K1427)</f>
        <v/>
      </c>
      <c r="C1427" s="14" t="n"/>
      <c r="D1427" s="15">
        <f>IF($C1427="","",IFERROR(INDEX(rngCadetPIDs,MATCH($C1427,rngCadetNames,0)),"?"))</f>
        <v/>
      </c>
      <c r="E1427" s="15">
        <f>IF($D1427="","",IFERROR(INDEX(nrCadetAgency,MATCH($D1427,rngCadetPIDs,0)),""))</f>
        <v/>
      </c>
      <c r="F1427" s="14" t="n"/>
      <c r="G1427" s="15">
        <f>IF($F1427="","",IFERROR(INDEX(rngEPname,MATCH($F1427,rngEPcode,0)),"?"))</f>
        <v/>
      </c>
      <c r="H1427" s="15">
        <f>IF($F1427="","",IFERROR(INDEX(rngEPtype,MATCH($F1427,rngEPcode,0)),"?"))</f>
        <v/>
      </c>
      <c r="I1427" s="15">
        <f>IF($F1427="","",IFERROR(INDEX(rngEPseq,MATCH($F1427,rngEPcode,0)),""))</f>
        <v/>
      </c>
      <c r="J1427" s="15">
        <f>IF($F1427="","",IFERROR(INDEX(rngEPpass,MATCH($F1427,rngEPcode,0)),cfgPassingScore))</f>
        <v/>
      </c>
      <c r="K1427" s="14" t="n"/>
      <c r="L1427" s="14" t="n"/>
      <c r="M1427" s="15">
        <f>IF($C1427="","",IF($L1427="","",IF($K1427=1,IF(COUNTIFS(nrES_PID,$D1427,nrES_Code,$F1427,nrES_Att,2)&gt;0,"",$L1427),IF(COUNTIFS(nrES_PID,$D1427,nrES_Code,$F1427,nrES_Att,1)=0,$L1427,IF($L1427&gt;=$J1427,cfgRetakeRecordedCap,SUMIFS(nrES_Raw,nrES_PID,$D1427,nrES_Code,$F1427,nrES_Att,1))))))</f>
        <v/>
      </c>
      <c r="N1427" s="15">
        <f>IF($C1427="","",IF($L1427="","",IF($L1427&gt;=$J1427,"Yes","No")))</f>
        <v/>
      </c>
      <c r="O1427" s="15">
        <f>IF($C1427="","",IF($M1427="","",IF($M1427&gt;=$J1427,"Yes","No")))</f>
        <v/>
      </c>
      <c r="P1427" s="15">
        <f>IF($C1427="","",IF($K1427="","",IF(COUNTIFS(nrES_PID,$D1427,nrES_Code,$F1427,nrES_Att,"&gt;"&amp;$K1427)=0,"Yes","No")))</f>
        <v/>
      </c>
      <c r="Q1427" s="15">
        <f>IF($C1427="","",IF($L1427="","",IF(AND($K1427=1,$L1427&lt;$J1427,COUNTIFS(nrES_PID,$D1427,nrES_Code,$F1427,nrES_Att,2)=0),"Yes","No")))</f>
        <v/>
      </c>
      <c r="R1427" s="15">
        <f>IF($C1427="","",IF($L1427="","",IF(AND($K1427=2,$L1427&lt;$J1427,COUNTIFS(nrES_PID,$D1427,nrES_Code,$F1427,nrES_Att,1)&gt;0),"Yes","No")))</f>
        <v/>
      </c>
      <c r="S1427" s="16" t="n"/>
      <c r="T1427" s="17">
        <f>IF($Q1427&lt;&gt;"Yes","",IF($S1427="","(enter date)",_xlfn.LET(_xlpm.dn,IFERROR(_xlfn.XLOOKUP($S1427,nrCDdate,nrCDnum),""),IF(_xlpm.dn="","(not a class day)",IFERROR(_xlfn.XLOOKUP(_xlpm.dn+cfgRetestClassDays,nrCDnum,nrCDdate),"")))))</f>
        <v/>
      </c>
      <c r="U1427" s="15">
        <f>IF($Q1427&lt;&gt;"Yes","",IF(COUNTIFS(nrES_PID,$D1427,nrES_Code,$F1427,nrES_Att,2)&gt;0,"Retested",IF(OR($T1427="",NOT(ISNUMBER($T1427))),"Pending",IF(TODAY()&gt;$T1427,"OVERDUE","Due "&amp;TEXT($T1427,"mm/dd")))))</f>
        <v/>
      </c>
      <c r="V1427" s="14" t="n"/>
      <c r="W1427" s="14" t="n"/>
    </row>
    <row r="1428">
      <c r="B1428" s="15">
        <f>IF($C1428="","",$D1428&amp;"-"&amp;$F1428&amp;"-"&amp;$K1428)</f>
        <v/>
      </c>
      <c r="C1428" s="14" t="n"/>
      <c r="D1428" s="15">
        <f>IF($C1428="","",IFERROR(INDEX(rngCadetPIDs,MATCH($C1428,rngCadetNames,0)),"?"))</f>
        <v/>
      </c>
      <c r="E1428" s="15">
        <f>IF($D1428="","",IFERROR(INDEX(nrCadetAgency,MATCH($D1428,rngCadetPIDs,0)),""))</f>
        <v/>
      </c>
      <c r="F1428" s="14" t="n"/>
      <c r="G1428" s="15">
        <f>IF($F1428="","",IFERROR(INDEX(rngEPname,MATCH($F1428,rngEPcode,0)),"?"))</f>
        <v/>
      </c>
      <c r="H1428" s="15">
        <f>IF($F1428="","",IFERROR(INDEX(rngEPtype,MATCH($F1428,rngEPcode,0)),"?"))</f>
        <v/>
      </c>
      <c r="I1428" s="15">
        <f>IF($F1428="","",IFERROR(INDEX(rngEPseq,MATCH($F1428,rngEPcode,0)),""))</f>
        <v/>
      </c>
      <c r="J1428" s="15">
        <f>IF($F1428="","",IFERROR(INDEX(rngEPpass,MATCH($F1428,rngEPcode,0)),cfgPassingScore))</f>
        <v/>
      </c>
      <c r="K1428" s="14" t="n"/>
      <c r="L1428" s="14" t="n"/>
      <c r="M1428" s="15">
        <f>IF($C1428="","",IF($L1428="","",IF($K1428=1,IF(COUNTIFS(nrES_PID,$D1428,nrES_Code,$F1428,nrES_Att,2)&gt;0,"",$L1428),IF(COUNTIFS(nrES_PID,$D1428,nrES_Code,$F1428,nrES_Att,1)=0,$L1428,IF($L1428&gt;=$J1428,cfgRetakeRecordedCap,SUMIFS(nrES_Raw,nrES_PID,$D1428,nrES_Code,$F1428,nrES_Att,1))))))</f>
        <v/>
      </c>
      <c r="N1428" s="15">
        <f>IF($C1428="","",IF($L1428="","",IF($L1428&gt;=$J1428,"Yes","No")))</f>
        <v/>
      </c>
      <c r="O1428" s="15">
        <f>IF($C1428="","",IF($M1428="","",IF($M1428&gt;=$J1428,"Yes","No")))</f>
        <v/>
      </c>
      <c r="P1428" s="15">
        <f>IF($C1428="","",IF($K1428="","",IF(COUNTIFS(nrES_PID,$D1428,nrES_Code,$F1428,nrES_Att,"&gt;"&amp;$K1428)=0,"Yes","No")))</f>
        <v/>
      </c>
      <c r="Q1428" s="15">
        <f>IF($C1428="","",IF($L1428="","",IF(AND($K1428=1,$L1428&lt;$J1428,COUNTIFS(nrES_PID,$D1428,nrES_Code,$F1428,nrES_Att,2)=0),"Yes","No")))</f>
        <v/>
      </c>
      <c r="R1428" s="15">
        <f>IF($C1428="","",IF($L1428="","",IF(AND($K1428=2,$L1428&lt;$J1428,COUNTIFS(nrES_PID,$D1428,nrES_Code,$F1428,nrES_Att,1)&gt;0),"Yes","No")))</f>
        <v/>
      </c>
      <c r="S1428" s="16" t="n"/>
      <c r="T1428" s="17">
        <f>IF($Q1428&lt;&gt;"Yes","",IF($S1428="","(enter date)",_xlfn.LET(_xlpm.dn,IFERROR(_xlfn.XLOOKUP($S1428,nrCDdate,nrCDnum),""),IF(_xlpm.dn="","(not a class day)",IFERROR(_xlfn.XLOOKUP(_xlpm.dn+cfgRetestClassDays,nrCDnum,nrCDdate),"")))))</f>
        <v/>
      </c>
      <c r="U1428" s="15">
        <f>IF($Q1428&lt;&gt;"Yes","",IF(COUNTIFS(nrES_PID,$D1428,nrES_Code,$F1428,nrES_Att,2)&gt;0,"Retested",IF(OR($T1428="",NOT(ISNUMBER($T1428))),"Pending",IF(TODAY()&gt;$T1428,"OVERDUE","Due "&amp;TEXT($T1428,"mm/dd")))))</f>
        <v/>
      </c>
      <c r="V1428" s="14" t="n"/>
      <c r="W1428" s="14" t="n"/>
    </row>
    <row r="1429">
      <c r="B1429" s="15">
        <f>IF($C1429="","",$D1429&amp;"-"&amp;$F1429&amp;"-"&amp;$K1429)</f>
        <v/>
      </c>
      <c r="C1429" s="14" t="n"/>
      <c r="D1429" s="15">
        <f>IF($C1429="","",IFERROR(INDEX(rngCadetPIDs,MATCH($C1429,rngCadetNames,0)),"?"))</f>
        <v/>
      </c>
      <c r="E1429" s="15">
        <f>IF($D1429="","",IFERROR(INDEX(nrCadetAgency,MATCH($D1429,rngCadetPIDs,0)),""))</f>
        <v/>
      </c>
      <c r="F1429" s="14" t="n"/>
      <c r="G1429" s="15">
        <f>IF($F1429="","",IFERROR(INDEX(rngEPname,MATCH($F1429,rngEPcode,0)),"?"))</f>
        <v/>
      </c>
      <c r="H1429" s="15">
        <f>IF($F1429="","",IFERROR(INDEX(rngEPtype,MATCH($F1429,rngEPcode,0)),"?"))</f>
        <v/>
      </c>
      <c r="I1429" s="15">
        <f>IF($F1429="","",IFERROR(INDEX(rngEPseq,MATCH($F1429,rngEPcode,0)),""))</f>
        <v/>
      </c>
      <c r="J1429" s="15">
        <f>IF($F1429="","",IFERROR(INDEX(rngEPpass,MATCH($F1429,rngEPcode,0)),cfgPassingScore))</f>
        <v/>
      </c>
      <c r="K1429" s="14" t="n"/>
      <c r="L1429" s="14" t="n"/>
      <c r="M1429" s="15">
        <f>IF($C1429="","",IF($L1429="","",IF($K1429=1,IF(COUNTIFS(nrES_PID,$D1429,nrES_Code,$F1429,nrES_Att,2)&gt;0,"",$L1429),IF(COUNTIFS(nrES_PID,$D1429,nrES_Code,$F1429,nrES_Att,1)=0,$L1429,IF($L1429&gt;=$J1429,cfgRetakeRecordedCap,SUMIFS(nrES_Raw,nrES_PID,$D1429,nrES_Code,$F1429,nrES_Att,1))))))</f>
        <v/>
      </c>
      <c r="N1429" s="15">
        <f>IF($C1429="","",IF($L1429="","",IF($L1429&gt;=$J1429,"Yes","No")))</f>
        <v/>
      </c>
      <c r="O1429" s="15">
        <f>IF($C1429="","",IF($M1429="","",IF($M1429&gt;=$J1429,"Yes","No")))</f>
        <v/>
      </c>
      <c r="P1429" s="15">
        <f>IF($C1429="","",IF($K1429="","",IF(COUNTIFS(nrES_PID,$D1429,nrES_Code,$F1429,nrES_Att,"&gt;"&amp;$K1429)=0,"Yes","No")))</f>
        <v/>
      </c>
      <c r="Q1429" s="15">
        <f>IF($C1429="","",IF($L1429="","",IF(AND($K1429=1,$L1429&lt;$J1429,COUNTIFS(nrES_PID,$D1429,nrES_Code,$F1429,nrES_Att,2)=0),"Yes","No")))</f>
        <v/>
      </c>
      <c r="R1429" s="15">
        <f>IF($C1429="","",IF($L1429="","",IF(AND($K1429=2,$L1429&lt;$J1429,COUNTIFS(nrES_PID,$D1429,nrES_Code,$F1429,nrES_Att,1)&gt;0),"Yes","No")))</f>
        <v/>
      </c>
      <c r="S1429" s="16" t="n"/>
      <c r="T1429" s="17">
        <f>IF($Q1429&lt;&gt;"Yes","",IF($S1429="","(enter date)",_xlfn.LET(_xlpm.dn,IFERROR(_xlfn.XLOOKUP($S1429,nrCDdate,nrCDnum),""),IF(_xlpm.dn="","(not a class day)",IFERROR(_xlfn.XLOOKUP(_xlpm.dn+cfgRetestClassDays,nrCDnum,nrCDdate),"")))))</f>
        <v/>
      </c>
      <c r="U1429" s="15">
        <f>IF($Q1429&lt;&gt;"Yes","",IF(COUNTIFS(nrES_PID,$D1429,nrES_Code,$F1429,nrES_Att,2)&gt;0,"Retested",IF(OR($T1429="",NOT(ISNUMBER($T1429))),"Pending",IF(TODAY()&gt;$T1429,"OVERDUE","Due "&amp;TEXT($T1429,"mm/dd")))))</f>
        <v/>
      </c>
      <c r="V1429" s="14" t="n"/>
      <c r="W1429" s="14" t="n"/>
    </row>
    <row r="1430">
      <c r="B1430" s="15">
        <f>IF($C1430="","",$D1430&amp;"-"&amp;$F1430&amp;"-"&amp;$K1430)</f>
        <v/>
      </c>
      <c r="C1430" s="14" t="n"/>
      <c r="D1430" s="15">
        <f>IF($C1430="","",IFERROR(INDEX(rngCadetPIDs,MATCH($C1430,rngCadetNames,0)),"?"))</f>
        <v/>
      </c>
      <c r="E1430" s="15">
        <f>IF($D1430="","",IFERROR(INDEX(nrCadetAgency,MATCH($D1430,rngCadetPIDs,0)),""))</f>
        <v/>
      </c>
      <c r="F1430" s="14" t="n"/>
      <c r="G1430" s="15">
        <f>IF($F1430="","",IFERROR(INDEX(rngEPname,MATCH($F1430,rngEPcode,0)),"?"))</f>
        <v/>
      </c>
      <c r="H1430" s="15">
        <f>IF($F1430="","",IFERROR(INDEX(rngEPtype,MATCH($F1430,rngEPcode,0)),"?"))</f>
        <v/>
      </c>
      <c r="I1430" s="15">
        <f>IF($F1430="","",IFERROR(INDEX(rngEPseq,MATCH($F1430,rngEPcode,0)),""))</f>
        <v/>
      </c>
      <c r="J1430" s="15">
        <f>IF($F1430="","",IFERROR(INDEX(rngEPpass,MATCH($F1430,rngEPcode,0)),cfgPassingScore))</f>
        <v/>
      </c>
      <c r="K1430" s="14" t="n"/>
      <c r="L1430" s="14" t="n"/>
      <c r="M1430" s="15">
        <f>IF($C1430="","",IF($L1430="","",IF($K1430=1,IF(COUNTIFS(nrES_PID,$D1430,nrES_Code,$F1430,nrES_Att,2)&gt;0,"",$L1430),IF(COUNTIFS(nrES_PID,$D1430,nrES_Code,$F1430,nrES_Att,1)=0,$L1430,IF($L1430&gt;=$J1430,cfgRetakeRecordedCap,SUMIFS(nrES_Raw,nrES_PID,$D1430,nrES_Code,$F1430,nrES_Att,1))))))</f>
        <v/>
      </c>
      <c r="N1430" s="15">
        <f>IF($C1430="","",IF($L1430="","",IF($L1430&gt;=$J1430,"Yes","No")))</f>
        <v/>
      </c>
      <c r="O1430" s="15">
        <f>IF($C1430="","",IF($M1430="","",IF($M1430&gt;=$J1430,"Yes","No")))</f>
        <v/>
      </c>
      <c r="P1430" s="15">
        <f>IF($C1430="","",IF($K1430="","",IF(COUNTIFS(nrES_PID,$D1430,nrES_Code,$F1430,nrES_Att,"&gt;"&amp;$K1430)=0,"Yes","No")))</f>
        <v/>
      </c>
      <c r="Q1430" s="15">
        <f>IF($C1430="","",IF($L1430="","",IF(AND($K1430=1,$L1430&lt;$J1430,COUNTIFS(nrES_PID,$D1430,nrES_Code,$F1430,nrES_Att,2)=0),"Yes","No")))</f>
        <v/>
      </c>
      <c r="R1430" s="15">
        <f>IF($C1430="","",IF($L1430="","",IF(AND($K1430=2,$L1430&lt;$J1430,COUNTIFS(nrES_PID,$D1430,nrES_Code,$F1430,nrES_Att,1)&gt;0),"Yes","No")))</f>
        <v/>
      </c>
      <c r="S1430" s="16" t="n"/>
      <c r="T1430" s="17">
        <f>IF($Q1430&lt;&gt;"Yes","",IF($S1430="","(enter date)",_xlfn.LET(_xlpm.dn,IFERROR(_xlfn.XLOOKUP($S1430,nrCDdate,nrCDnum),""),IF(_xlpm.dn="","(not a class day)",IFERROR(_xlfn.XLOOKUP(_xlpm.dn+cfgRetestClassDays,nrCDnum,nrCDdate),"")))))</f>
        <v/>
      </c>
      <c r="U1430" s="15">
        <f>IF($Q1430&lt;&gt;"Yes","",IF(COUNTIFS(nrES_PID,$D1430,nrES_Code,$F1430,nrES_Att,2)&gt;0,"Retested",IF(OR($T1430="",NOT(ISNUMBER($T1430))),"Pending",IF(TODAY()&gt;$T1430,"OVERDUE","Due "&amp;TEXT($T1430,"mm/dd")))))</f>
        <v/>
      </c>
      <c r="V1430" s="14" t="n"/>
      <c r="W1430" s="14" t="n"/>
    </row>
    <row r="1431">
      <c r="B1431" s="15">
        <f>IF($C1431="","",$D1431&amp;"-"&amp;$F1431&amp;"-"&amp;$K1431)</f>
        <v/>
      </c>
      <c r="C1431" s="14" t="n"/>
      <c r="D1431" s="15">
        <f>IF($C1431="","",IFERROR(INDEX(rngCadetPIDs,MATCH($C1431,rngCadetNames,0)),"?"))</f>
        <v/>
      </c>
      <c r="E1431" s="15">
        <f>IF($D1431="","",IFERROR(INDEX(nrCadetAgency,MATCH($D1431,rngCadetPIDs,0)),""))</f>
        <v/>
      </c>
      <c r="F1431" s="14" t="n"/>
      <c r="G1431" s="15">
        <f>IF($F1431="","",IFERROR(INDEX(rngEPname,MATCH($F1431,rngEPcode,0)),"?"))</f>
        <v/>
      </c>
      <c r="H1431" s="15">
        <f>IF($F1431="","",IFERROR(INDEX(rngEPtype,MATCH($F1431,rngEPcode,0)),"?"))</f>
        <v/>
      </c>
      <c r="I1431" s="15">
        <f>IF($F1431="","",IFERROR(INDEX(rngEPseq,MATCH($F1431,rngEPcode,0)),""))</f>
        <v/>
      </c>
      <c r="J1431" s="15">
        <f>IF($F1431="","",IFERROR(INDEX(rngEPpass,MATCH($F1431,rngEPcode,0)),cfgPassingScore))</f>
        <v/>
      </c>
      <c r="K1431" s="14" t="n"/>
      <c r="L1431" s="14" t="n"/>
      <c r="M1431" s="15">
        <f>IF($C1431="","",IF($L1431="","",IF($K1431=1,IF(COUNTIFS(nrES_PID,$D1431,nrES_Code,$F1431,nrES_Att,2)&gt;0,"",$L1431),IF(COUNTIFS(nrES_PID,$D1431,nrES_Code,$F1431,nrES_Att,1)=0,$L1431,IF($L1431&gt;=$J1431,cfgRetakeRecordedCap,SUMIFS(nrES_Raw,nrES_PID,$D1431,nrES_Code,$F1431,nrES_Att,1))))))</f>
        <v/>
      </c>
      <c r="N1431" s="15">
        <f>IF($C1431="","",IF($L1431="","",IF($L1431&gt;=$J1431,"Yes","No")))</f>
        <v/>
      </c>
      <c r="O1431" s="15">
        <f>IF($C1431="","",IF($M1431="","",IF($M1431&gt;=$J1431,"Yes","No")))</f>
        <v/>
      </c>
      <c r="P1431" s="15">
        <f>IF($C1431="","",IF($K1431="","",IF(COUNTIFS(nrES_PID,$D1431,nrES_Code,$F1431,nrES_Att,"&gt;"&amp;$K1431)=0,"Yes","No")))</f>
        <v/>
      </c>
      <c r="Q1431" s="15">
        <f>IF($C1431="","",IF($L1431="","",IF(AND($K1431=1,$L1431&lt;$J1431,COUNTIFS(nrES_PID,$D1431,nrES_Code,$F1431,nrES_Att,2)=0),"Yes","No")))</f>
        <v/>
      </c>
      <c r="R1431" s="15">
        <f>IF($C1431="","",IF($L1431="","",IF(AND($K1431=2,$L1431&lt;$J1431,COUNTIFS(nrES_PID,$D1431,nrES_Code,$F1431,nrES_Att,1)&gt;0),"Yes","No")))</f>
        <v/>
      </c>
      <c r="S1431" s="16" t="n"/>
      <c r="T1431" s="17">
        <f>IF($Q1431&lt;&gt;"Yes","",IF($S1431="","(enter date)",_xlfn.LET(_xlpm.dn,IFERROR(_xlfn.XLOOKUP($S1431,nrCDdate,nrCDnum),""),IF(_xlpm.dn="","(not a class day)",IFERROR(_xlfn.XLOOKUP(_xlpm.dn+cfgRetestClassDays,nrCDnum,nrCDdate),"")))))</f>
        <v/>
      </c>
      <c r="U1431" s="15">
        <f>IF($Q1431&lt;&gt;"Yes","",IF(COUNTIFS(nrES_PID,$D1431,nrES_Code,$F1431,nrES_Att,2)&gt;0,"Retested",IF(OR($T1431="",NOT(ISNUMBER($T1431))),"Pending",IF(TODAY()&gt;$T1431,"OVERDUE","Due "&amp;TEXT($T1431,"mm/dd")))))</f>
        <v/>
      </c>
      <c r="V1431" s="14" t="n"/>
      <c r="W1431" s="14" t="n"/>
    </row>
    <row r="1432">
      <c r="B1432" s="15">
        <f>IF($C1432="","",$D1432&amp;"-"&amp;$F1432&amp;"-"&amp;$K1432)</f>
        <v/>
      </c>
      <c r="C1432" s="14" t="n"/>
      <c r="D1432" s="15">
        <f>IF($C1432="","",IFERROR(INDEX(rngCadetPIDs,MATCH($C1432,rngCadetNames,0)),"?"))</f>
        <v/>
      </c>
      <c r="E1432" s="15">
        <f>IF($D1432="","",IFERROR(INDEX(nrCadetAgency,MATCH($D1432,rngCadetPIDs,0)),""))</f>
        <v/>
      </c>
      <c r="F1432" s="14" t="n"/>
      <c r="G1432" s="15">
        <f>IF($F1432="","",IFERROR(INDEX(rngEPname,MATCH($F1432,rngEPcode,0)),"?"))</f>
        <v/>
      </c>
      <c r="H1432" s="15">
        <f>IF($F1432="","",IFERROR(INDEX(rngEPtype,MATCH($F1432,rngEPcode,0)),"?"))</f>
        <v/>
      </c>
      <c r="I1432" s="15">
        <f>IF($F1432="","",IFERROR(INDEX(rngEPseq,MATCH($F1432,rngEPcode,0)),""))</f>
        <v/>
      </c>
      <c r="J1432" s="15">
        <f>IF($F1432="","",IFERROR(INDEX(rngEPpass,MATCH($F1432,rngEPcode,0)),cfgPassingScore))</f>
        <v/>
      </c>
      <c r="K1432" s="14" t="n"/>
      <c r="L1432" s="14" t="n"/>
      <c r="M1432" s="15">
        <f>IF($C1432="","",IF($L1432="","",IF($K1432=1,IF(COUNTIFS(nrES_PID,$D1432,nrES_Code,$F1432,nrES_Att,2)&gt;0,"",$L1432),IF(COUNTIFS(nrES_PID,$D1432,nrES_Code,$F1432,nrES_Att,1)=0,$L1432,IF($L1432&gt;=$J1432,cfgRetakeRecordedCap,SUMIFS(nrES_Raw,nrES_PID,$D1432,nrES_Code,$F1432,nrES_Att,1))))))</f>
        <v/>
      </c>
      <c r="N1432" s="15">
        <f>IF($C1432="","",IF($L1432="","",IF($L1432&gt;=$J1432,"Yes","No")))</f>
        <v/>
      </c>
      <c r="O1432" s="15">
        <f>IF($C1432="","",IF($M1432="","",IF($M1432&gt;=$J1432,"Yes","No")))</f>
        <v/>
      </c>
      <c r="P1432" s="15">
        <f>IF($C1432="","",IF($K1432="","",IF(COUNTIFS(nrES_PID,$D1432,nrES_Code,$F1432,nrES_Att,"&gt;"&amp;$K1432)=0,"Yes","No")))</f>
        <v/>
      </c>
      <c r="Q1432" s="15">
        <f>IF($C1432="","",IF($L1432="","",IF(AND($K1432=1,$L1432&lt;$J1432,COUNTIFS(nrES_PID,$D1432,nrES_Code,$F1432,nrES_Att,2)=0),"Yes","No")))</f>
        <v/>
      </c>
      <c r="R1432" s="15">
        <f>IF($C1432="","",IF($L1432="","",IF(AND($K1432=2,$L1432&lt;$J1432,COUNTIFS(nrES_PID,$D1432,nrES_Code,$F1432,nrES_Att,1)&gt;0),"Yes","No")))</f>
        <v/>
      </c>
      <c r="S1432" s="16" t="n"/>
      <c r="T1432" s="17">
        <f>IF($Q1432&lt;&gt;"Yes","",IF($S1432="","(enter date)",_xlfn.LET(_xlpm.dn,IFERROR(_xlfn.XLOOKUP($S1432,nrCDdate,nrCDnum),""),IF(_xlpm.dn="","(not a class day)",IFERROR(_xlfn.XLOOKUP(_xlpm.dn+cfgRetestClassDays,nrCDnum,nrCDdate),"")))))</f>
        <v/>
      </c>
      <c r="U1432" s="15">
        <f>IF($Q1432&lt;&gt;"Yes","",IF(COUNTIFS(nrES_PID,$D1432,nrES_Code,$F1432,nrES_Att,2)&gt;0,"Retested",IF(OR($T1432="",NOT(ISNUMBER($T1432))),"Pending",IF(TODAY()&gt;$T1432,"OVERDUE","Due "&amp;TEXT($T1432,"mm/dd")))))</f>
        <v/>
      </c>
      <c r="V1432" s="14" t="n"/>
      <c r="W1432" s="14" t="n"/>
    </row>
    <row r="1433">
      <c r="B1433" s="15">
        <f>IF($C1433="","",$D1433&amp;"-"&amp;$F1433&amp;"-"&amp;$K1433)</f>
        <v/>
      </c>
      <c r="C1433" s="14" t="n"/>
      <c r="D1433" s="15">
        <f>IF($C1433="","",IFERROR(INDEX(rngCadetPIDs,MATCH($C1433,rngCadetNames,0)),"?"))</f>
        <v/>
      </c>
      <c r="E1433" s="15">
        <f>IF($D1433="","",IFERROR(INDEX(nrCadetAgency,MATCH($D1433,rngCadetPIDs,0)),""))</f>
        <v/>
      </c>
      <c r="F1433" s="14" t="n"/>
      <c r="G1433" s="15">
        <f>IF($F1433="","",IFERROR(INDEX(rngEPname,MATCH($F1433,rngEPcode,0)),"?"))</f>
        <v/>
      </c>
      <c r="H1433" s="15">
        <f>IF($F1433="","",IFERROR(INDEX(rngEPtype,MATCH($F1433,rngEPcode,0)),"?"))</f>
        <v/>
      </c>
      <c r="I1433" s="15">
        <f>IF($F1433="","",IFERROR(INDEX(rngEPseq,MATCH($F1433,rngEPcode,0)),""))</f>
        <v/>
      </c>
      <c r="J1433" s="15">
        <f>IF($F1433="","",IFERROR(INDEX(rngEPpass,MATCH($F1433,rngEPcode,0)),cfgPassingScore))</f>
        <v/>
      </c>
      <c r="K1433" s="14" t="n"/>
      <c r="L1433" s="14" t="n"/>
      <c r="M1433" s="15">
        <f>IF($C1433="","",IF($L1433="","",IF($K1433=1,IF(COUNTIFS(nrES_PID,$D1433,nrES_Code,$F1433,nrES_Att,2)&gt;0,"",$L1433),IF(COUNTIFS(nrES_PID,$D1433,nrES_Code,$F1433,nrES_Att,1)=0,$L1433,IF($L1433&gt;=$J1433,cfgRetakeRecordedCap,SUMIFS(nrES_Raw,nrES_PID,$D1433,nrES_Code,$F1433,nrES_Att,1))))))</f>
        <v/>
      </c>
      <c r="N1433" s="15">
        <f>IF($C1433="","",IF($L1433="","",IF($L1433&gt;=$J1433,"Yes","No")))</f>
        <v/>
      </c>
      <c r="O1433" s="15">
        <f>IF($C1433="","",IF($M1433="","",IF($M1433&gt;=$J1433,"Yes","No")))</f>
        <v/>
      </c>
      <c r="P1433" s="15">
        <f>IF($C1433="","",IF($K1433="","",IF(COUNTIFS(nrES_PID,$D1433,nrES_Code,$F1433,nrES_Att,"&gt;"&amp;$K1433)=0,"Yes","No")))</f>
        <v/>
      </c>
      <c r="Q1433" s="15">
        <f>IF($C1433="","",IF($L1433="","",IF(AND($K1433=1,$L1433&lt;$J1433,COUNTIFS(nrES_PID,$D1433,nrES_Code,$F1433,nrES_Att,2)=0),"Yes","No")))</f>
        <v/>
      </c>
      <c r="R1433" s="15">
        <f>IF($C1433="","",IF($L1433="","",IF(AND($K1433=2,$L1433&lt;$J1433,COUNTIFS(nrES_PID,$D1433,nrES_Code,$F1433,nrES_Att,1)&gt;0),"Yes","No")))</f>
        <v/>
      </c>
      <c r="S1433" s="16" t="n"/>
      <c r="T1433" s="17">
        <f>IF($Q1433&lt;&gt;"Yes","",IF($S1433="","(enter date)",_xlfn.LET(_xlpm.dn,IFERROR(_xlfn.XLOOKUP($S1433,nrCDdate,nrCDnum),""),IF(_xlpm.dn="","(not a class day)",IFERROR(_xlfn.XLOOKUP(_xlpm.dn+cfgRetestClassDays,nrCDnum,nrCDdate),"")))))</f>
        <v/>
      </c>
      <c r="U1433" s="15">
        <f>IF($Q1433&lt;&gt;"Yes","",IF(COUNTIFS(nrES_PID,$D1433,nrES_Code,$F1433,nrES_Att,2)&gt;0,"Retested",IF(OR($T1433="",NOT(ISNUMBER($T1433))),"Pending",IF(TODAY()&gt;$T1433,"OVERDUE","Due "&amp;TEXT($T1433,"mm/dd")))))</f>
        <v/>
      </c>
      <c r="V1433" s="14" t="n"/>
      <c r="W1433" s="14" t="n"/>
    </row>
    <row r="1434">
      <c r="B1434" s="15">
        <f>IF($C1434="","",$D1434&amp;"-"&amp;$F1434&amp;"-"&amp;$K1434)</f>
        <v/>
      </c>
      <c r="C1434" s="14" t="n"/>
      <c r="D1434" s="15">
        <f>IF($C1434="","",IFERROR(INDEX(rngCadetPIDs,MATCH($C1434,rngCadetNames,0)),"?"))</f>
        <v/>
      </c>
      <c r="E1434" s="15">
        <f>IF($D1434="","",IFERROR(INDEX(nrCadetAgency,MATCH($D1434,rngCadetPIDs,0)),""))</f>
        <v/>
      </c>
      <c r="F1434" s="14" t="n"/>
      <c r="G1434" s="15">
        <f>IF($F1434="","",IFERROR(INDEX(rngEPname,MATCH($F1434,rngEPcode,0)),"?"))</f>
        <v/>
      </c>
      <c r="H1434" s="15">
        <f>IF($F1434="","",IFERROR(INDEX(rngEPtype,MATCH($F1434,rngEPcode,0)),"?"))</f>
        <v/>
      </c>
      <c r="I1434" s="15">
        <f>IF($F1434="","",IFERROR(INDEX(rngEPseq,MATCH($F1434,rngEPcode,0)),""))</f>
        <v/>
      </c>
      <c r="J1434" s="15">
        <f>IF($F1434="","",IFERROR(INDEX(rngEPpass,MATCH($F1434,rngEPcode,0)),cfgPassingScore))</f>
        <v/>
      </c>
      <c r="K1434" s="14" t="n"/>
      <c r="L1434" s="14" t="n"/>
      <c r="M1434" s="15">
        <f>IF($C1434="","",IF($L1434="","",IF($K1434=1,IF(COUNTIFS(nrES_PID,$D1434,nrES_Code,$F1434,nrES_Att,2)&gt;0,"",$L1434),IF(COUNTIFS(nrES_PID,$D1434,nrES_Code,$F1434,nrES_Att,1)=0,$L1434,IF($L1434&gt;=$J1434,cfgRetakeRecordedCap,SUMIFS(nrES_Raw,nrES_PID,$D1434,nrES_Code,$F1434,nrES_Att,1))))))</f>
        <v/>
      </c>
      <c r="N1434" s="15">
        <f>IF($C1434="","",IF($L1434="","",IF($L1434&gt;=$J1434,"Yes","No")))</f>
        <v/>
      </c>
      <c r="O1434" s="15">
        <f>IF($C1434="","",IF($M1434="","",IF($M1434&gt;=$J1434,"Yes","No")))</f>
        <v/>
      </c>
      <c r="P1434" s="15">
        <f>IF($C1434="","",IF($K1434="","",IF(COUNTIFS(nrES_PID,$D1434,nrES_Code,$F1434,nrES_Att,"&gt;"&amp;$K1434)=0,"Yes","No")))</f>
        <v/>
      </c>
      <c r="Q1434" s="15">
        <f>IF($C1434="","",IF($L1434="","",IF(AND($K1434=1,$L1434&lt;$J1434,COUNTIFS(nrES_PID,$D1434,nrES_Code,$F1434,nrES_Att,2)=0),"Yes","No")))</f>
        <v/>
      </c>
      <c r="R1434" s="15">
        <f>IF($C1434="","",IF($L1434="","",IF(AND($K1434=2,$L1434&lt;$J1434,COUNTIFS(nrES_PID,$D1434,nrES_Code,$F1434,nrES_Att,1)&gt;0),"Yes","No")))</f>
        <v/>
      </c>
      <c r="S1434" s="16" t="n"/>
      <c r="T1434" s="17">
        <f>IF($Q1434&lt;&gt;"Yes","",IF($S1434="","(enter date)",_xlfn.LET(_xlpm.dn,IFERROR(_xlfn.XLOOKUP($S1434,nrCDdate,nrCDnum),""),IF(_xlpm.dn="","(not a class day)",IFERROR(_xlfn.XLOOKUP(_xlpm.dn+cfgRetestClassDays,nrCDnum,nrCDdate),"")))))</f>
        <v/>
      </c>
      <c r="U1434" s="15">
        <f>IF($Q1434&lt;&gt;"Yes","",IF(COUNTIFS(nrES_PID,$D1434,nrES_Code,$F1434,nrES_Att,2)&gt;0,"Retested",IF(OR($T1434="",NOT(ISNUMBER($T1434))),"Pending",IF(TODAY()&gt;$T1434,"OVERDUE","Due "&amp;TEXT($T1434,"mm/dd")))))</f>
        <v/>
      </c>
      <c r="V1434" s="14" t="n"/>
      <c r="W1434" s="14" t="n"/>
    </row>
    <row r="1435">
      <c r="B1435" s="15">
        <f>IF($C1435="","",$D1435&amp;"-"&amp;$F1435&amp;"-"&amp;$K1435)</f>
        <v/>
      </c>
      <c r="C1435" s="14" t="n"/>
      <c r="D1435" s="15">
        <f>IF($C1435="","",IFERROR(INDEX(rngCadetPIDs,MATCH($C1435,rngCadetNames,0)),"?"))</f>
        <v/>
      </c>
      <c r="E1435" s="15">
        <f>IF($D1435="","",IFERROR(INDEX(nrCadetAgency,MATCH($D1435,rngCadetPIDs,0)),""))</f>
        <v/>
      </c>
      <c r="F1435" s="14" t="n"/>
      <c r="G1435" s="15">
        <f>IF($F1435="","",IFERROR(INDEX(rngEPname,MATCH($F1435,rngEPcode,0)),"?"))</f>
        <v/>
      </c>
      <c r="H1435" s="15">
        <f>IF($F1435="","",IFERROR(INDEX(rngEPtype,MATCH($F1435,rngEPcode,0)),"?"))</f>
        <v/>
      </c>
      <c r="I1435" s="15">
        <f>IF($F1435="","",IFERROR(INDEX(rngEPseq,MATCH($F1435,rngEPcode,0)),""))</f>
        <v/>
      </c>
      <c r="J1435" s="15">
        <f>IF($F1435="","",IFERROR(INDEX(rngEPpass,MATCH($F1435,rngEPcode,0)),cfgPassingScore))</f>
        <v/>
      </c>
      <c r="K1435" s="14" t="n"/>
      <c r="L1435" s="14" t="n"/>
      <c r="M1435" s="15">
        <f>IF($C1435="","",IF($L1435="","",IF($K1435=1,IF(COUNTIFS(nrES_PID,$D1435,nrES_Code,$F1435,nrES_Att,2)&gt;0,"",$L1435),IF(COUNTIFS(nrES_PID,$D1435,nrES_Code,$F1435,nrES_Att,1)=0,$L1435,IF($L1435&gt;=$J1435,cfgRetakeRecordedCap,SUMIFS(nrES_Raw,nrES_PID,$D1435,nrES_Code,$F1435,nrES_Att,1))))))</f>
        <v/>
      </c>
      <c r="N1435" s="15">
        <f>IF($C1435="","",IF($L1435="","",IF($L1435&gt;=$J1435,"Yes","No")))</f>
        <v/>
      </c>
      <c r="O1435" s="15">
        <f>IF($C1435="","",IF($M1435="","",IF($M1435&gt;=$J1435,"Yes","No")))</f>
        <v/>
      </c>
      <c r="P1435" s="15">
        <f>IF($C1435="","",IF($K1435="","",IF(COUNTIFS(nrES_PID,$D1435,nrES_Code,$F1435,nrES_Att,"&gt;"&amp;$K1435)=0,"Yes","No")))</f>
        <v/>
      </c>
      <c r="Q1435" s="15">
        <f>IF($C1435="","",IF($L1435="","",IF(AND($K1435=1,$L1435&lt;$J1435,COUNTIFS(nrES_PID,$D1435,nrES_Code,$F1435,nrES_Att,2)=0),"Yes","No")))</f>
        <v/>
      </c>
      <c r="R1435" s="15">
        <f>IF($C1435="","",IF($L1435="","",IF(AND($K1435=2,$L1435&lt;$J1435,COUNTIFS(nrES_PID,$D1435,nrES_Code,$F1435,nrES_Att,1)&gt;0),"Yes","No")))</f>
        <v/>
      </c>
      <c r="S1435" s="16" t="n"/>
      <c r="T1435" s="17">
        <f>IF($Q1435&lt;&gt;"Yes","",IF($S1435="","(enter date)",_xlfn.LET(_xlpm.dn,IFERROR(_xlfn.XLOOKUP($S1435,nrCDdate,nrCDnum),""),IF(_xlpm.dn="","(not a class day)",IFERROR(_xlfn.XLOOKUP(_xlpm.dn+cfgRetestClassDays,nrCDnum,nrCDdate),"")))))</f>
        <v/>
      </c>
      <c r="U1435" s="15">
        <f>IF($Q1435&lt;&gt;"Yes","",IF(COUNTIFS(nrES_PID,$D1435,nrES_Code,$F1435,nrES_Att,2)&gt;0,"Retested",IF(OR($T1435="",NOT(ISNUMBER($T1435))),"Pending",IF(TODAY()&gt;$T1435,"OVERDUE","Due "&amp;TEXT($T1435,"mm/dd")))))</f>
        <v/>
      </c>
      <c r="V1435" s="14" t="n"/>
      <c r="W1435" s="14" t="n"/>
    </row>
    <row r="1436">
      <c r="B1436" s="15">
        <f>IF($C1436="","",$D1436&amp;"-"&amp;$F1436&amp;"-"&amp;$K1436)</f>
        <v/>
      </c>
      <c r="C1436" s="14" t="n"/>
      <c r="D1436" s="15">
        <f>IF($C1436="","",IFERROR(INDEX(rngCadetPIDs,MATCH($C1436,rngCadetNames,0)),"?"))</f>
        <v/>
      </c>
      <c r="E1436" s="15">
        <f>IF($D1436="","",IFERROR(INDEX(nrCadetAgency,MATCH($D1436,rngCadetPIDs,0)),""))</f>
        <v/>
      </c>
      <c r="F1436" s="14" t="n"/>
      <c r="G1436" s="15">
        <f>IF($F1436="","",IFERROR(INDEX(rngEPname,MATCH($F1436,rngEPcode,0)),"?"))</f>
        <v/>
      </c>
      <c r="H1436" s="15">
        <f>IF($F1436="","",IFERROR(INDEX(rngEPtype,MATCH($F1436,rngEPcode,0)),"?"))</f>
        <v/>
      </c>
      <c r="I1436" s="15">
        <f>IF($F1436="","",IFERROR(INDEX(rngEPseq,MATCH($F1436,rngEPcode,0)),""))</f>
        <v/>
      </c>
      <c r="J1436" s="15">
        <f>IF($F1436="","",IFERROR(INDEX(rngEPpass,MATCH($F1436,rngEPcode,0)),cfgPassingScore))</f>
        <v/>
      </c>
      <c r="K1436" s="14" t="n"/>
      <c r="L1436" s="14" t="n"/>
      <c r="M1436" s="15">
        <f>IF($C1436="","",IF($L1436="","",IF($K1436=1,IF(COUNTIFS(nrES_PID,$D1436,nrES_Code,$F1436,nrES_Att,2)&gt;0,"",$L1436),IF(COUNTIFS(nrES_PID,$D1436,nrES_Code,$F1436,nrES_Att,1)=0,$L1436,IF($L1436&gt;=$J1436,cfgRetakeRecordedCap,SUMIFS(nrES_Raw,nrES_PID,$D1436,nrES_Code,$F1436,nrES_Att,1))))))</f>
        <v/>
      </c>
      <c r="N1436" s="15">
        <f>IF($C1436="","",IF($L1436="","",IF($L1436&gt;=$J1436,"Yes","No")))</f>
        <v/>
      </c>
      <c r="O1436" s="15">
        <f>IF($C1436="","",IF($M1436="","",IF($M1436&gt;=$J1436,"Yes","No")))</f>
        <v/>
      </c>
      <c r="P1436" s="15">
        <f>IF($C1436="","",IF($K1436="","",IF(COUNTIFS(nrES_PID,$D1436,nrES_Code,$F1436,nrES_Att,"&gt;"&amp;$K1436)=0,"Yes","No")))</f>
        <v/>
      </c>
      <c r="Q1436" s="15">
        <f>IF($C1436="","",IF($L1436="","",IF(AND($K1436=1,$L1436&lt;$J1436,COUNTIFS(nrES_PID,$D1436,nrES_Code,$F1436,nrES_Att,2)=0),"Yes","No")))</f>
        <v/>
      </c>
      <c r="R1436" s="15">
        <f>IF($C1436="","",IF($L1436="","",IF(AND($K1436=2,$L1436&lt;$J1436,COUNTIFS(nrES_PID,$D1436,nrES_Code,$F1436,nrES_Att,1)&gt;0),"Yes","No")))</f>
        <v/>
      </c>
      <c r="S1436" s="16" t="n"/>
      <c r="T1436" s="17">
        <f>IF($Q1436&lt;&gt;"Yes","",IF($S1436="","(enter date)",_xlfn.LET(_xlpm.dn,IFERROR(_xlfn.XLOOKUP($S1436,nrCDdate,nrCDnum),""),IF(_xlpm.dn="","(not a class day)",IFERROR(_xlfn.XLOOKUP(_xlpm.dn+cfgRetestClassDays,nrCDnum,nrCDdate),"")))))</f>
        <v/>
      </c>
      <c r="U1436" s="15">
        <f>IF($Q1436&lt;&gt;"Yes","",IF(COUNTIFS(nrES_PID,$D1436,nrES_Code,$F1436,nrES_Att,2)&gt;0,"Retested",IF(OR($T1436="",NOT(ISNUMBER($T1436))),"Pending",IF(TODAY()&gt;$T1436,"OVERDUE","Due "&amp;TEXT($T1436,"mm/dd")))))</f>
        <v/>
      </c>
      <c r="V1436" s="14" t="n"/>
      <c r="W1436" s="14" t="n"/>
    </row>
    <row r="1437">
      <c r="B1437" s="15">
        <f>IF($C1437="","",$D1437&amp;"-"&amp;$F1437&amp;"-"&amp;$K1437)</f>
        <v/>
      </c>
      <c r="C1437" s="14" t="n"/>
      <c r="D1437" s="15">
        <f>IF($C1437="","",IFERROR(INDEX(rngCadetPIDs,MATCH($C1437,rngCadetNames,0)),"?"))</f>
        <v/>
      </c>
      <c r="E1437" s="15">
        <f>IF($D1437="","",IFERROR(INDEX(nrCadetAgency,MATCH($D1437,rngCadetPIDs,0)),""))</f>
        <v/>
      </c>
      <c r="F1437" s="14" t="n"/>
      <c r="G1437" s="15">
        <f>IF($F1437="","",IFERROR(INDEX(rngEPname,MATCH($F1437,rngEPcode,0)),"?"))</f>
        <v/>
      </c>
      <c r="H1437" s="15">
        <f>IF($F1437="","",IFERROR(INDEX(rngEPtype,MATCH($F1437,rngEPcode,0)),"?"))</f>
        <v/>
      </c>
      <c r="I1437" s="15">
        <f>IF($F1437="","",IFERROR(INDEX(rngEPseq,MATCH($F1437,rngEPcode,0)),""))</f>
        <v/>
      </c>
      <c r="J1437" s="15">
        <f>IF($F1437="","",IFERROR(INDEX(rngEPpass,MATCH($F1437,rngEPcode,0)),cfgPassingScore))</f>
        <v/>
      </c>
      <c r="K1437" s="14" t="n"/>
      <c r="L1437" s="14" t="n"/>
      <c r="M1437" s="15">
        <f>IF($C1437="","",IF($L1437="","",IF($K1437=1,IF(COUNTIFS(nrES_PID,$D1437,nrES_Code,$F1437,nrES_Att,2)&gt;0,"",$L1437),IF(COUNTIFS(nrES_PID,$D1437,nrES_Code,$F1437,nrES_Att,1)=0,$L1437,IF($L1437&gt;=$J1437,cfgRetakeRecordedCap,SUMIFS(nrES_Raw,nrES_PID,$D1437,nrES_Code,$F1437,nrES_Att,1))))))</f>
        <v/>
      </c>
      <c r="N1437" s="15">
        <f>IF($C1437="","",IF($L1437="","",IF($L1437&gt;=$J1437,"Yes","No")))</f>
        <v/>
      </c>
      <c r="O1437" s="15">
        <f>IF($C1437="","",IF($M1437="","",IF($M1437&gt;=$J1437,"Yes","No")))</f>
        <v/>
      </c>
      <c r="P1437" s="15">
        <f>IF($C1437="","",IF($K1437="","",IF(COUNTIFS(nrES_PID,$D1437,nrES_Code,$F1437,nrES_Att,"&gt;"&amp;$K1437)=0,"Yes","No")))</f>
        <v/>
      </c>
      <c r="Q1437" s="15">
        <f>IF($C1437="","",IF($L1437="","",IF(AND($K1437=1,$L1437&lt;$J1437,COUNTIFS(nrES_PID,$D1437,nrES_Code,$F1437,nrES_Att,2)=0),"Yes","No")))</f>
        <v/>
      </c>
      <c r="R1437" s="15">
        <f>IF($C1437="","",IF($L1437="","",IF(AND($K1437=2,$L1437&lt;$J1437,COUNTIFS(nrES_PID,$D1437,nrES_Code,$F1437,nrES_Att,1)&gt;0),"Yes","No")))</f>
        <v/>
      </c>
      <c r="S1437" s="16" t="n"/>
      <c r="T1437" s="17">
        <f>IF($Q1437&lt;&gt;"Yes","",IF($S1437="","(enter date)",_xlfn.LET(_xlpm.dn,IFERROR(_xlfn.XLOOKUP($S1437,nrCDdate,nrCDnum),""),IF(_xlpm.dn="","(not a class day)",IFERROR(_xlfn.XLOOKUP(_xlpm.dn+cfgRetestClassDays,nrCDnum,nrCDdate),"")))))</f>
        <v/>
      </c>
      <c r="U1437" s="15">
        <f>IF($Q1437&lt;&gt;"Yes","",IF(COUNTIFS(nrES_PID,$D1437,nrES_Code,$F1437,nrES_Att,2)&gt;0,"Retested",IF(OR($T1437="",NOT(ISNUMBER($T1437))),"Pending",IF(TODAY()&gt;$T1437,"OVERDUE","Due "&amp;TEXT($T1437,"mm/dd")))))</f>
        <v/>
      </c>
      <c r="V1437" s="14" t="n"/>
      <c r="W1437" s="14" t="n"/>
    </row>
    <row r="1438">
      <c r="B1438" s="15">
        <f>IF($C1438="","",$D1438&amp;"-"&amp;$F1438&amp;"-"&amp;$K1438)</f>
        <v/>
      </c>
      <c r="C1438" s="14" t="n"/>
      <c r="D1438" s="15">
        <f>IF($C1438="","",IFERROR(INDEX(rngCadetPIDs,MATCH($C1438,rngCadetNames,0)),"?"))</f>
        <v/>
      </c>
      <c r="E1438" s="15">
        <f>IF($D1438="","",IFERROR(INDEX(nrCadetAgency,MATCH($D1438,rngCadetPIDs,0)),""))</f>
        <v/>
      </c>
      <c r="F1438" s="14" t="n"/>
      <c r="G1438" s="15">
        <f>IF($F1438="","",IFERROR(INDEX(rngEPname,MATCH($F1438,rngEPcode,0)),"?"))</f>
        <v/>
      </c>
      <c r="H1438" s="15">
        <f>IF($F1438="","",IFERROR(INDEX(rngEPtype,MATCH($F1438,rngEPcode,0)),"?"))</f>
        <v/>
      </c>
      <c r="I1438" s="15">
        <f>IF($F1438="","",IFERROR(INDEX(rngEPseq,MATCH($F1438,rngEPcode,0)),""))</f>
        <v/>
      </c>
      <c r="J1438" s="15">
        <f>IF($F1438="","",IFERROR(INDEX(rngEPpass,MATCH($F1438,rngEPcode,0)),cfgPassingScore))</f>
        <v/>
      </c>
      <c r="K1438" s="14" t="n"/>
      <c r="L1438" s="14" t="n"/>
      <c r="M1438" s="15">
        <f>IF($C1438="","",IF($L1438="","",IF($K1438=1,IF(COUNTIFS(nrES_PID,$D1438,nrES_Code,$F1438,nrES_Att,2)&gt;0,"",$L1438),IF(COUNTIFS(nrES_PID,$D1438,nrES_Code,$F1438,nrES_Att,1)=0,$L1438,IF($L1438&gt;=$J1438,cfgRetakeRecordedCap,SUMIFS(nrES_Raw,nrES_PID,$D1438,nrES_Code,$F1438,nrES_Att,1))))))</f>
        <v/>
      </c>
      <c r="N1438" s="15">
        <f>IF($C1438="","",IF($L1438="","",IF($L1438&gt;=$J1438,"Yes","No")))</f>
        <v/>
      </c>
      <c r="O1438" s="15">
        <f>IF($C1438="","",IF($M1438="","",IF($M1438&gt;=$J1438,"Yes","No")))</f>
        <v/>
      </c>
      <c r="P1438" s="15">
        <f>IF($C1438="","",IF($K1438="","",IF(COUNTIFS(nrES_PID,$D1438,nrES_Code,$F1438,nrES_Att,"&gt;"&amp;$K1438)=0,"Yes","No")))</f>
        <v/>
      </c>
      <c r="Q1438" s="15">
        <f>IF($C1438="","",IF($L1438="","",IF(AND($K1438=1,$L1438&lt;$J1438,COUNTIFS(nrES_PID,$D1438,nrES_Code,$F1438,nrES_Att,2)=0),"Yes","No")))</f>
        <v/>
      </c>
      <c r="R1438" s="15">
        <f>IF($C1438="","",IF($L1438="","",IF(AND($K1438=2,$L1438&lt;$J1438,COUNTIFS(nrES_PID,$D1438,nrES_Code,$F1438,nrES_Att,1)&gt;0),"Yes","No")))</f>
        <v/>
      </c>
      <c r="S1438" s="16" t="n"/>
      <c r="T1438" s="17">
        <f>IF($Q1438&lt;&gt;"Yes","",IF($S1438="","(enter date)",_xlfn.LET(_xlpm.dn,IFERROR(_xlfn.XLOOKUP($S1438,nrCDdate,nrCDnum),""),IF(_xlpm.dn="","(not a class day)",IFERROR(_xlfn.XLOOKUP(_xlpm.dn+cfgRetestClassDays,nrCDnum,nrCDdate),"")))))</f>
        <v/>
      </c>
      <c r="U1438" s="15">
        <f>IF($Q1438&lt;&gt;"Yes","",IF(COUNTIFS(nrES_PID,$D1438,nrES_Code,$F1438,nrES_Att,2)&gt;0,"Retested",IF(OR($T1438="",NOT(ISNUMBER($T1438))),"Pending",IF(TODAY()&gt;$T1438,"OVERDUE","Due "&amp;TEXT($T1438,"mm/dd")))))</f>
        <v/>
      </c>
      <c r="V1438" s="14" t="n"/>
      <c r="W1438" s="14" t="n"/>
    </row>
    <row r="1439">
      <c r="B1439" s="15">
        <f>IF($C1439="","",$D1439&amp;"-"&amp;$F1439&amp;"-"&amp;$K1439)</f>
        <v/>
      </c>
      <c r="C1439" s="14" t="n"/>
      <c r="D1439" s="15">
        <f>IF($C1439="","",IFERROR(INDEX(rngCadetPIDs,MATCH($C1439,rngCadetNames,0)),"?"))</f>
        <v/>
      </c>
      <c r="E1439" s="15">
        <f>IF($D1439="","",IFERROR(INDEX(nrCadetAgency,MATCH($D1439,rngCadetPIDs,0)),""))</f>
        <v/>
      </c>
      <c r="F1439" s="14" t="n"/>
      <c r="G1439" s="15">
        <f>IF($F1439="","",IFERROR(INDEX(rngEPname,MATCH($F1439,rngEPcode,0)),"?"))</f>
        <v/>
      </c>
      <c r="H1439" s="15">
        <f>IF($F1439="","",IFERROR(INDEX(rngEPtype,MATCH($F1439,rngEPcode,0)),"?"))</f>
        <v/>
      </c>
      <c r="I1439" s="15">
        <f>IF($F1439="","",IFERROR(INDEX(rngEPseq,MATCH($F1439,rngEPcode,0)),""))</f>
        <v/>
      </c>
      <c r="J1439" s="15">
        <f>IF($F1439="","",IFERROR(INDEX(rngEPpass,MATCH($F1439,rngEPcode,0)),cfgPassingScore))</f>
        <v/>
      </c>
      <c r="K1439" s="14" t="n"/>
      <c r="L1439" s="14" t="n"/>
      <c r="M1439" s="15">
        <f>IF($C1439="","",IF($L1439="","",IF($K1439=1,IF(COUNTIFS(nrES_PID,$D1439,nrES_Code,$F1439,nrES_Att,2)&gt;0,"",$L1439),IF(COUNTIFS(nrES_PID,$D1439,nrES_Code,$F1439,nrES_Att,1)=0,$L1439,IF($L1439&gt;=$J1439,cfgRetakeRecordedCap,SUMIFS(nrES_Raw,nrES_PID,$D1439,nrES_Code,$F1439,nrES_Att,1))))))</f>
        <v/>
      </c>
      <c r="N1439" s="15">
        <f>IF($C1439="","",IF($L1439="","",IF($L1439&gt;=$J1439,"Yes","No")))</f>
        <v/>
      </c>
      <c r="O1439" s="15">
        <f>IF($C1439="","",IF($M1439="","",IF($M1439&gt;=$J1439,"Yes","No")))</f>
        <v/>
      </c>
      <c r="P1439" s="15">
        <f>IF($C1439="","",IF($K1439="","",IF(COUNTIFS(nrES_PID,$D1439,nrES_Code,$F1439,nrES_Att,"&gt;"&amp;$K1439)=0,"Yes","No")))</f>
        <v/>
      </c>
      <c r="Q1439" s="15">
        <f>IF($C1439="","",IF($L1439="","",IF(AND($K1439=1,$L1439&lt;$J1439,COUNTIFS(nrES_PID,$D1439,nrES_Code,$F1439,nrES_Att,2)=0),"Yes","No")))</f>
        <v/>
      </c>
      <c r="R1439" s="15">
        <f>IF($C1439="","",IF($L1439="","",IF(AND($K1439=2,$L1439&lt;$J1439,COUNTIFS(nrES_PID,$D1439,nrES_Code,$F1439,nrES_Att,1)&gt;0),"Yes","No")))</f>
        <v/>
      </c>
      <c r="S1439" s="16" t="n"/>
      <c r="T1439" s="17">
        <f>IF($Q1439&lt;&gt;"Yes","",IF($S1439="","(enter date)",_xlfn.LET(_xlpm.dn,IFERROR(_xlfn.XLOOKUP($S1439,nrCDdate,nrCDnum),""),IF(_xlpm.dn="","(not a class day)",IFERROR(_xlfn.XLOOKUP(_xlpm.dn+cfgRetestClassDays,nrCDnum,nrCDdate),"")))))</f>
        <v/>
      </c>
      <c r="U1439" s="15">
        <f>IF($Q1439&lt;&gt;"Yes","",IF(COUNTIFS(nrES_PID,$D1439,nrES_Code,$F1439,nrES_Att,2)&gt;0,"Retested",IF(OR($T1439="",NOT(ISNUMBER($T1439))),"Pending",IF(TODAY()&gt;$T1439,"OVERDUE","Due "&amp;TEXT($T1439,"mm/dd")))))</f>
        <v/>
      </c>
      <c r="V1439" s="14" t="n"/>
      <c r="W1439" s="14" t="n"/>
    </row>
    <row r="1440">
      <c r="B1440" s="15">
        <f>IF($C1440="","",$D1440&amp;"-"&amp;$F1440&amp;"-"&amp;$K1440)</f>
        <v/>
      </c>
      <c r="C1440" s="14" t="n"/>
      <c r="D1440" s="15">
        <f>IF($C1440="","",IFERROR(INDEX(rngCadetPIDs,MATCH($C1440,rngCadetNames,0)),"?"))</f>
        <v/>
      </c>
      <c r="E1440" s="15">
        <f>IF($D1440="","",IFERROR(INDEX(nrCadetAgency,MATCH($D1440,rngCadetPIDs,0)),""))</f>
        <v/>
      </c>
      <c r="F1440" s="14" t="n"/>
      <c r="G1440" s="15">
        <f>IF($F1440="","",IFERROR(INDEX(rngEPname,MATCH($F1440,rngEPcode,0)),"?"))</f>
        <v/>
      </c>
      <c r="H1440" s="15">
        <f>IF($F1440="","",IFERROR(INDEX(rngEPtype,MATCH($F1440,rngEPcode,0)),"?"))</f>
        <v/>
      </c>
      <c r="I1440" s="15">
        <f>IF($F1440="","",IFERROR(INDEX(rngEPseq,MATCH($F1440,rngEPcode,0)),""))</f>
        <v/>
      </c>
      <c r="J1440" s="15">
        <f>IF($F1440="","",IFERROR(INDEX(rngEPpass,MATCH($F1440,rngEPcode,0)),cfgPassingScore))</f>
        <v/>
      </c>
      <c r="K1440" s="14" t="n"/>
      <c r="L1440" s="14" t="n"/>
      <c r="M1440" s="15">
        <f>IF($C1440="","",IF($L1440="","",IF($K1440=1,IF(COUNTIFS(nrES_PID,$D1440,nrES_Code,$F1440,nrES_Att,2)&gt;0,"",$L1440),IF(COUNTIFS(nrES_PID,$D1440,nrES_Code,$F1440,nrES_Att,1)=0,$L1440,IF($L1440&gt;=$J1440,cfgRetakeRecordedCap,SUMIFS(nrES_Raw,nrES_PID,$D1440,nrES_Code,$F1440,nrES_Att,1))))))</f>
        <v/>
      </c>
      <c r="N1440" s="15">
        <f>IF($C1440="","",IF($L1440="","",IF($L1440&gt;=$J1440,"Yes","No")))</f>
        <v/>
      </c>
      <c r="O1440" s="15">
        <f>IF($C1440="","",IF($M1440="","",IF($M1440&gt;=$J1440,"Yes","No")))</f>
        <v/>
      </c>
      <c r="P1440" s="15">
        <f>IF($C1440="","",IF($K1440="","",IF(COUNTIFS(nrES_PID,$D1440,nrES_Code,$F1440,nrES_Att,"&gt;"&amp;$K1440)=0,"Yes","No")))</f>
        <v/>
      </c>
      <c r="Q1440" s="15">
        <f>IF($C1440="","",IF($L1440="","",IF(AND($K1440=1,$L1440&lt;$J1440,COUNTIFS(nrES_PID,$D1440,nrES_Code,$F1440,nrES_Att,2)=0),"Yes","No")))</f>
        <v/>
      </c>
      <c r="R1440" s="15">
        <f>IF($C1440="","",IF($L1440="","",IF(AND($K1440=2,$L1440&lt;$J1440,COUNTIFS(nrES_PID,$D1440,nrES_Code,$F1440,nrES_Att,1)&gt;0),"Yes","No")))</f>
        <v/>
      </c>
      <c r="S1440" s="16" t="n"/>
      <c r="T1440" s="17">
        <f>IF($Q1440&lt;&gt;"Yes","",IF($S1440="","(enter date)",_xlfn.LET(_xlpm.dn,IFERROR(_xlfn.XLOOKUP($S1440,nrCDdate,nrCDnum),""),IF(_xlpm.dn="","(not a class day)",IFERROR(_xlfn.XLOOKUP(_xlpm.dn+cfgRetestClassDays,nrCDnum,nrCDdate),"")))))</f>
        <v/>
      </c>
      <c r="U1440" s="15">
        <f>IF($Q1440&lt;&gt;"Yes","",IF(COUNTIFS(nrES_PID,$D1440,nrES_Code,$F1440,nrES_Att,2)&gt;0,"Retested",IF(OR($T1440="",NOT(ISNUMBER($T1440))),"Pending",IF(TODAY()&gt;$T1440,"OVERDUE","Due "&amp;TEXT($T1440,"mm/dd")))))</f>
        <v/>
      </c>
      <c r="V1440" s="14" t="n"/>
      <c r="W1440" s="14" t="n"/>
    </row>
    <row r="1441">
      <c r="B1441" s="15">
        <f>IF($C1441="","",$D1441&amp;"-"&amp;$F1441&amp;"-"&amp;$K1441)</f>
        <v/>
      </c>
      <c r="C1441" s="14" t="n"/>
      <c r="D1441" s="15">
        <f>IF($C1441="","",IFERROR(INDEX(rngCadetPIDs,MATCH($C1441,rngCadetNames,0)),"?"))</f>
        <v/>
      </c>
      <c r="E1441" s="15">
        <f>IF($D1441="","",IFERROR(INDEX(nrCadetAgency,MATCH($D1441,rngCadetPIDs,0)),""))</f>
        <v/>
      </c>
      <c r="F1441" s="14" t="n"/>
      <c r="G1441" s="15">
        <f>IF($F1441="","",IFERROR(INDEX(rngEPname,MATCH($F1441,rngEPcode,0)),"?"))</f>
        <v/>
      </c>
      <c r="H1441" s="15">
        <f>IF($F1441="","",IFERROR(INDEX(rngEPtype,MATCH($F1441,rngEPcode,0)),"?"))</f>
        <v/>
      </c>
      <c r="I1441" s="15">
        <f>IF($F1441="","",IFERROR(INDEX(rngEPseq,MATCH($F1441,rngEPcode,0)),""))</f>
        <v/>
      </c>
      <c r="J1441" s="15">
        <f>IF($F1441="","",IFERROR(INDEX(rngEPpass,MATCH($F1441,rngEPcode,0)),cfgPassingScore))</f>
        <v/>
      </c>
      <c r="K1441" s="14" t="n"/>
      <c r="L1441" s="14" t="n"/>
      <c r="M1441" s="15">
        <f>IF($C1441="","",IF($L1441="","",IF($K1441=1,IF(COUNTIFS(nrES_PID,$D1441,nrES_Code,$F1441,nrES_Att,2)&gt;0,"",$L1441),IF(COUNTIFS(nrES_PID,$D1441,nrES_Code,$F1441,nrES_Att,1)=0,$L1441,IF($L1441&gt;=$J1441,cfgRetakeRecordedCap,SUMIFS(nrES_Raw,nrES_PID,$D1441,nrES_Code,$F1441,nrES_Att,1))))))</f>
        <v/>
      </c>
      <c r="N1441" s="15">
        <f>IF($C1441="","",IF($L1441="","",IF($L1441&gt;=$J1441,"Yes","No")))</f>
        <v/>
      </c>
      <c r="O1441" s="15">
        <f>IF($C1441="","",IF($M1441="","",IF($M1441&gt;=$J1441,"Yes","No")))</f>
        <v/>
      </c>
      <c r="P1441" s="15">
        <f>IF($C1441="","",IF($K1441="","",IF(COUNTIFS(nrES_PID,$D1441,nrES_Code,$F1441,nrES_Att,"&gt;"&amp;$K1441)=0,"Yes","No")))</f>
        <v/>
      </c>
      <c r="Q1441" s="15">
        <f>IF($C1441="","",IF($L1441="","",IF(AND($K1441=1,$L1441&lt;$J1441,COUNTIFS(nrES_PID,$D1441,nrES_Code,$F1441,nrES_Att,2)=0),"Yes","No")))</f>
        <v/>
      </c>
      <c r="R1441" s="15">
        <f>IF($C1441="","",IF($L1441="","",IF(AND($K1441=2,$L1441&lt;$J1441,COUNTIFS(nrES_PID,$D1441,nrES_Code,$F1441,nrES_Att,1)&gt;0),"Yes","No")))</f>
        <v/>
      </c>
      <c r="S1441" s="16" t="n"/>
      <c r="T1441" s="17">
        <f>IF($Q1441&lt;&gt;"Yes","",IF($S1441="","(enter date)",_xlfn.LET(_xlpm.dn,IFERROR(_xlfn.XLOOKUP($S1441,nrCDdate,nrCDnum),""),IF(_xlpm.dn="","(not a class day)",IFERROR(_xlfn.XLOOKUP(_xlpm.dn+cfgRetestClassDays,nrCDnum,nrCDdate),"")))))</f>
        <v/>
      </c>
      <c r="U1441" s="15">
        <f>IF($Q1441&lt;&gt;"Yes","",IF(COUNTIFS(nrES_PID,$D1441,nrES_Code,$F1441,nrES_Att,2)&gt;0,"Retested",IF(OR($T1441="",NOT(ISNUMBER($T1441))),"Pending",IF(TODAY()&gt;$T1441,"OVERDUE","Due "&amp;TEXT($T1441,"mm/dd")))))</f>
        <v/>
      </c>
      <c r="V1441" s="14" t="n"/>
      <c r="W1441" s="14" t="n"/>
    </row>
    <row r="1442">
      <c r="B1442" s="15">
        <f>IF($C1442="","",$D1442&amp;"-"&amp;$F1442&amp;"-"&amp;$K1442)</f>
        <v/>
      </c>
      <c r="C1442" s="14" t="n"/>
      <c r="D1442" s="15">
        <f>IF($C1442="","",IFERROR(INDEX(rngCadetPIDs,MATCH($C1442,rngCadetNames,0)),"?"))</f>
        <v/>
      </c>
      <c r="E1442" s="15">
        <f>IF($D1442="","",IFERROR(INDEX(nrCadetAgency,MATCH($D1442,rngCadetPIDs,0)),""))</f>
        <v/>
      </c>
      <c r="F1442" s="14" t="n"/>
      <c r="G1442" s="15">
        <f>IF($F1442="","",IFERROR(INDEX(rngEPname,MATCH($F1442,rngEPcode,0)),"?"))</f>
        <v/>
      </c>
      <c r="H1442" s="15">
        <f>IF($F1442="","",IFERROR(INDEX(rngEPtype,MATCH($F1442,rngEPcode,0)),"?"))</f>
        <v/>
      </c>
      <c r="I1442" s="15">
        <f>IF($F1442="","",IFERROR(INDEX(rngEPseq,MATCH($F1442,rngEPcode,0)),""))</f>
        <v/>
      </c>
      <c r="J1442" s="15">
        <f>IF($F1442="","",IFERROR(INDEX(rngEPpass,MATCH($F1442,rngEPcode,0)),cfgPassingScore))</f>
        <v/>
      </c>
      <c r="K1442" s="14" t="n"/>
      <c r="L1442" s="14" t="n"/>
      <c r="M1442" s="15">
        <f>IF($C1442="","",IF($L1442="","",IF($K1442=1,IF(COUNTIFS(nrES_PID,$D1442,nrES_Code,$F1442,nrES_Att,2)&gt;0,"",$L1442),IF(COUNTIFS(nrES_PID,$D1442,nrES_Code,$F1442,nrES_Att,1)=0,$L1442,IF($L1442&gt;=$J1442,cfgRetakeRecordedCap,SUMIFS(nrES_Raw,nrES_PID,$D1442,nrES_Code,$F1442,nrES_Att,1))))))</f>
        <v/>
      </c>
      <c r="N1442" s="15">
        <f>IF($C1442="","",IF($L1442="","",IF($L1442&gt;=$J1442,"Yes","No")))</f>
        <v/>
      </c>
      <c r="O1442" s="15">
        <f>IF($C1442="","",IF($M1442="","",IF($M1442&gt;=$J1442,"Yes","No")))</f>
        <v/>
      </c>
      <c r="P1442" s="15">
        <f>IF($C1442="","",IF($K1442="","",IF(COUNTIFS(nrES_PID,$D1442,nrES_Code,$F1442,nrES_Att,"&gt;"&amp;$K1442)=0,"Yes","No")))</f>
        <v/>
      </c>
      <c r="Q1442" s="15">
        <f>IF($C1442="","",IF($L1442="","",IF(AND($K1442=1,$L1442&lt;$J1442,COUNTIFS(nrES_PID,$D1442,nrES_Code,$F1442,nrES_Att,2)=0),"Yes","No")))</f>
        <v/>
      </c>
      <c r="R1442" s="15">
        <f>IF($C1442="","",IF($L1442="","",IF(AND($K1442=2,$L1442&lt;$J1442,COUNTIFS(nrES_PID,$D1442,nrES_Code,$F1442,nrES_Att,1)&gt;0),"Yes","No")))</f>
        <v/>
      </c>
      <c r="S1442" s="16" t="n"/>
      <c r="T1442" s="17">
        <f>IF($Q1442&lt;&gt;"Yes","",IF($S1442="","(enter date)",_xlfn.LET(_xlpm.dn,IFERROR(_xlfn.XLOOKUP($S1442,nrCDdate,nrCDnum),""),IF(_xlpm.dn="","(not a class day)",IFERROR(_xlfn.XLOOKUP(_xlpm.dn+cfgRetestClassDays,nrCDnum,nrCDdate),"")))))</f>
        <v/>
      </c>
      <c r="U1442" s="15">
        <f>IF($Q1442&lt;&gt;"Yes","",IF(COUNTIFS(nrES_PID,$D1442,nrES_Code,$F1442,nrES_Att,2)&gt;0,"Retested",IF(OR($T1442="",NOT(ISNUMBER($T1442))),"Pending",IF(TODAY()&gt;$T1442,"OVERDUE","Due "&amp;TEXT($T1442,"mm/dd")))))</f>
        <v/>
      </c>
      <c r="V1442" s="14" t="n"/>
      <c r="W1442" s="14" t="n"/>
    </row>
    <row r="1443">
      <c r="B1443" s="15">
        <f>IF($C1443="","",$D1443&amp;"-"&amp;$F1443&amp;"-"&amp;$K1443)</f>
        <v/>
      </c>
      <c r="C1443" s="14" t="n"/>
      <c r="D1443" s="15">
        <f>IF($C1443="","",IFERROR(INDEX(rngCadetPIDs,MATCH($C1443,rngCadetNames,0)),"?"))</f>
        <v/>
      </c>
      <c r="E1443" s="15">
        <f>IF($D1443="","",IFERROR(INDEX(nrCadetAgency,MATCH($D1443,rngCadetPIDs,0)),""))</f>
        <v/>
      </c>
      <c r="F1443" s="14" t="n"/>
      <c r="G1443" s="15">
        <f>IF($F1443="","",IFERROR(INDEX(rngEPname,MATCH($F1443,rngEPcode,0)),"?"))</f>
        <v/>
      </c>
      <c r="H1443" s="15">
        <f>IF($F1443="","",IFERROR(INDEX(rngEPtype,MATCH($F1443,rngEPcode,0)),"?"))</f>
        <v/>
      </c>
      <c r="I1443" s="15">
        <f>IF($F1443="","",IFERROR(INDEX(rngEPseq,MATCH($F1443,rngEPcode,0)),""))</f>
        <v/>
      </c>
      <c r="J1443" s="15">
        <f>IF($F1443="","",IFERROR(INDEX(rngEPpass,MATCH($F1443,rngEPcode,0)),cfgPassingScore))</f>
        <v/>
      </c>
      <c r="K1443" s="14" t="n"/>
      <c r="L1443" s="14" t="n"/>
      <c r="M1443" s="15">
        <f>IF($C1443="","",IF($L1443="","",IF($K1443=1,IF(COUNTIFS(nrES_PID,$D1443,nrES_Code,$F1443,nrES_Att,2)&gt;0,"",$L1443),IF(COUNTIFS(nrES_PID,$D1443,nrES_Code,$F1443,nrES_Att,1)=0,$L1443,IF($L1443&gt;=$J1443,cfgRetakeRecordedCap,SUMIFS(nrES_Raw,nrES_PID,$D1443,nrES_Code,$F1443,nrES_Att,1))))))</f>
        <v/>
      </c>
      <c r="N1443" s="15">
        <f>IF($C1443="","",IF($L1443="","",IF($L1443&gt;=$J1443,"Yes","No")))</f>
        <v/>
      </c>
      <c r="O1443" s="15">
        <f>IF($C1443="","",IF($M1443="","",IF($M1443&gt;=$J1443,"Yes","No")))</f>
        <v/>
      </c>
      <c r="P1443" s="15">
        <f>IF($C1443="","",IF($K1443="","",IF(COUNTIFS(nrES_PID,$D1443,nrES_Code,$F1443,nrES_Att,"&gt;"&amp;$K1443)=0,"Yes","No")))</f>
        <v/>
      </c>
      <c r="Q1443" s="15">
        <f>IF($C1443="","",IF($L1443="","",IF(AND($K1443=1,$L1443&lt;$J1443,COUNTIFS(nrES_PID,$D1443,nrES_Code,$F1443,nrES_Att,2)=0),"Yes","No")))</f>
        <v/>
      </c>
      <c r="R1443" s="15">
        <f>IF($C1443="","",IF($L1443="","",IF(AND($K1443=2,$L1443&lt;$J1443,COUNTIFS(nrES_PID,$D1443,nrES_Code,$F1443,nrES_Att,1)&gt;0),"Yes","No")))</f>
        <v/>
      </c>
      <c r="S1443" s="16" t="n"/>
      <c r="T1443" s="17">
        <f>IF($Q1443&lt;&gt;"Yes","",IF($S1443="","(enter date)",_xlfn.LET(_xlpm.dn,IFERROR(_xlfn.XLOOKUP($S1443,nrCDdate,nrCDnum),""),IF(_xlpm.dn="","(not a class day)",IFERROR(_xlfn.XLOOKUP(_xlpm.dn+cfgRetestClassDays,nrCDnum,nrCDdate),"")))))</f>
        <v/>
      </c>
      <c r="U1443" s="15">
        <f>IF($Q1443&lt;&gt;"Yes","",IF(COUNTIFS(nrES_PID,$D1443,nrES_Code,$F1443,nrES_Att,2)&gt;0,"Retested",IF(OR($T1443="",NOT(ISNUMBER($T1443))),"Pending",IF(TODAY()&gt;$T1443,"OVERDUE","Due "&amp;TEXT($T1443,"mm/dd")))))</f>
        <v/>
      </c>
      <c r="V1443" s="14" t="n"/>
      <c r="W1443" s="14" t="n"/>
    </row>
    <row r="1444">
      <c r="B1444" s="15">
        <f>IF($C1444="","",$D1444&amp;"-"&amp;$F1444&amp;"-"&amp;$K1444)</f>
        <v/>
      </c>
      <c r="C1444" s="14" t="n"/>
      <c r="D1444" s="15">
        <f>IF($C1444="","",IFERROR(INDEX(rngCadetPIDs,MATCH($C1444,rngCadetNames,0)),"?"))</f>
        <v/>
      </c>
      <c r="E1444" s="15">
        <f>IF($D1444="","",IFERROR(INDEX(nrCadetAgency,MATCH($D1444,rngCadetPIDs,0)),""))</f>
        <v/>
      </c>
      <c r="F1444" s="14" t="n"/>
      <c r="G1444" s="15">
        <f>IF($F1444="","",IFERROR(INDEX(rngEPname,MATCH($F1444,rngEPcode,0)),"?"))</f>
        <v/>
      </c>
      <c r="H1444" s="15">
        <f>IF($F1444="","",IFERROR(INDEX(rngEPtype,MATCH($F1444,rngEPcode,0)),"?"))</f>
        <v/>
      </c>
      <c r="I1444" s="15">
        <f>IF($F1444="","",IFERROR(INDEX(rngEPseq,MATCH($F1444,rngEPcode,0)),""))</f>
        <v/>
      </c>
      <c r="J1444" s="15">
        <f>IF($F1444="","",IFERROR(INDEX(rngEPpass,MATCH($F1444,rngEPcode,0)),cfgPassingScore))</f>
        <v/>
      </c>
      <c r="K1444" s="14" t="n"/>
      <c r="L1444" s="14" t="n"/>
      <c r="M1444" s="15">
        <f>IF($C1444="","",IF($L1444="","",IF($K1444=1,IF(COUNTIFS(nrES_PID,$D1444,nrES_Code,$F1444,nrES_Att,2)&gt;0,"",$L1444),IF(COUNTIFS(nrES_PID,$D1444,nrES_Code,$F1444,nrES_Att,1)=0,$L1444,IF($L1444&gt;=$J1444,cfgRetakeRecordedCap,SUMIFS(nrES_Raw,nrES_PID,$D1444,nrES_Code,$F1444,nrES_Att,1))))))</f>
        <v/>
      </c>
      <c r="N1444" s="15">
        <f>IF($C1444="","",IF($L1444="","",IF($L1444&gt;=$J1444,"Yes","No")))</f>
        <v/>
      </c>
      <c r="O1444" s="15">
        <f>IF($C1444="","",IF($M1444="","",IF($M1444&gt;=$J1444,"Yes","No")))</f>
        <v/>
      </c>
      <c r="P1444" s="15">
        <f>IF($C1444="","",IF($K1444="","",IF(COUNTIFS(nrES_PID,$D1444,nrES_Code,$F1444,nrES_Att,"&gt;"&amp;$K1444)=0,"Yes","No")))</f>
        <v/>
      </c>
      <c r="Q1444" s="15">
        <f>IF($C1444="","",IF($L1444="","",IF(AND($K1444=1,$L1444&lt;$J1444,COUNTIFS(nrES_PID,$D1444,nrES_Code,$F1444,nrES_Att,2)=0),"Yes","No")))</f>
        <v/>
      </c>
      <c r="R1444" s="15">
        <f>IF($C1444="","",IF($L1444="","",IF(AND($K1444=2,$L1444&lt;$J1444,COUNTIFS(nrES_PID,$D1444,nrES_Code,$F1444,nrES_Att,1)&gt;0),"Yes","No")))</f>
        <v/>
      </c>
      <c r="S1444" s="16" t="n"/>
      <c r="T1444" s="17">
        <f>IF($Q1444&lt;&gt;"Yes","",IF($S1444="","(enter date)",_xlfn.LET(_xlpm.dn,IFERROR(_xlfn.XLOOKUP($S1444,nrCDdate,nrCDnum),""),IF(_xlpm.dn="","(not a class day)",IFERROR(_xlfn.XLOOKUP(_xlpm.dn+cfgRetestClassDays,nrCDnum,nrCDdate),"")))))</f>
        <v/>
      </c>
      <c r="U1444" s="15">
        <f>IF($Q1444&lt;&gt;"Yes","",IF(COUNTIFS(nrES_PID,$D1444,nrES_Code,$F1444,nrES_Att,2)&gt;0,"Retested",IF(OR($T1444="",NOT(ISNUMBER($T1444))),"Pending",IF(TODAY()&gt;$T1444,"OVERDUE","Due "&amp;TEXT($T1444,"mm/dd")))))</f>
        <v/>
      </c>
      <c r="V1444" s="14" t="n"/>
      <c r="W1444" s="14" t="n"/>
    </row>
    <row r="1445">
      <c r="B1445" s="15">
        <f>IF($C1445="","",$D1445&amp;"-"&amp;$F1445&amp;"-"&amp;$K1445)</f>
        <v/>
      </c>
      <c r="C1445" s="14" t="n"/>
      <c r="D1445" s="15">
        <f>IF($C1445="","",IFERROR(INDEX(rngCadetPIDs,MATCH($C1445,rngCadetNames,0)),"?"))</f>
        <v/>
      </c>
      <c r="E1445" s="15">
        <f>IF($D1445="","",IFERROR(INDEX(nrCadetAgency,MATCH($D1445,rngCadetPIDs,0)),""))</f>
        <v/>
      </c>
      <c r="F1445" s="14" t="n"/>
      <c r="G1445" s="15">
        <f>IF($F1445="","",IFERROR(INDEX(rngEPname,MATCH($F1445,rngEPcode,0)),"?"))</f>
        <v/>
      </c>
      <c r="H1445" s="15">
        <f>IF($F1445="","",IFERROR(INDEX(rngEPtype,MATCH($F1445,rngEPcode,0)),"?"))</f>
        <v/>
      </c>
      <c r="I1445" s="15">
        <f>IF($F1445="","",IFERROR(INDEX(rngEPseq,MATCH($F1445,rngEPcode,0)),""))</f>
        <v/>
      </c>
      <c r="J1445" s="15">
        <f>IF($F1445="","",IFERROR(INDEX(rngEPpass,MATCH($F1445,rngEPcode,0)),cfgPassingScore))</f>
        <v/>
      </c>
      <c r="K1445" s="14" t="n"/>
      <c r="L1445" s="14" t="n"/>
      <c r="M1445" s="15">
        <f>IF($C1445="","",IF($L1445="","",IF($K1445=1,IF(COUNTIFS(nrES_PID,$D1445,nrES_Code,$F1445,nrES_Att,2)&gt;0,"",$L1445),IF(COUNTIFS(nrES_PID,$D1445,nrES_Code,$F1445,nrES_Att,1)=0,$L1445,IF($L1445&gt;=$J1445,cfgRetakeRecordedCap,SUMIFS(nrES_Raw,nrES_PID,$D1445,nrES_Code,$F1445,nrES_Att,1))))))</f>
        <v/>
      </c>
      <c r="N1445" s="15">
        <f>IF($C1445="","",IF($L1445="","",IF($L1445&gt;=$J1445,"Yes","No")))</f>
        <v/>
      </c>
      <c r="O1445" s="15">
        <f>IF($C1445="","",IF($M1445="","",IF($M1445&gt;=$J1445,"Yes","No")))</f>
        <v/>
      </c>
      <c r="P1445" s="15">
        <f>IF($C1445="","",IF($K1445="","",IF(COUNTIFS(nrES_PID,$D1445,nrES_Code,$F1445,nrES_Att,"&gt;"&amp;$K1445)=0,"Yes","No")))</f>
        <v/>
      </c>
      <c r="Q1445" s="15">
        <f>IF($C1445="","",IF($L1445="","",IF(AND($K1445=1,$L1445&lt;$J1445,COUNTIFS(nrES_PID,$D1445,nrES_Code,$F1445,nrES_Att,2)=0),"Yes","No")))</f>
        <v/>
      </c>
      <c r="R1445" s="15">
        <f>IF($C1445="","",IF($L1445="","",IF(AND($K1445=2,$L1445&lt;$J1445,COUNTIFS(nrES_PID,$D1445,nrES_Code,$F1445,nrES_Att,1)&gt;0),"Yes","No")))</f>
        <v/>
      </c>
      <c r="S1445" s="16" t="n"/>
      <c r="T1445" s="17">
        <f>IF($Q1445&lt;&gt;"Yes","",IF($S1445="","(enter date)",_xlfn.LET(_xlpm.dn,IFERROR(_xlfn.XLOOKUP($S1445,nrCDdate,nrCDnum),""),IF(_xlpm.dn="","(not a class day)",IFERROR(_xlfn.XLOOKUP(_xlpm.dn+cfgRetestClassDays,nrCDnum,nrCDdate),"")))))</f>
        <v/>
      </c>
      <c r="U1445" s="15">
        <f>IF($Q1445&lt;&gt;"Yes","",IF(COUNTIFS(nrES_PID,$D1445,nrES_Code,$F1445,nrES_Att,2)&gt;0,"Retested",IF(OR($T1445="",NOT(ISNUMBER($T1445))),"Pending",IF(TODAY()&gt;$T1445,"OVERDUE","Due "&amp;TEXT($T1445,"mm/dd")))))</f>
        <v/>
      </c>
      <c r="V1445" s="14" t="n"/>
      <c r="W1445" s="14" t="n"/>
    </row>
    <row r="1446">
      <c r="B1446" s="15">
        <f>IF($C1446="","",$D1446&amp;"-"&amp;$F1446&amp;"-"&amp;$K1446)</f>
        <v/>
      </c>
      <c r="C1446" s="14" t="n"/>
      <c r="D1446" s="15">
        <f>IF($C1446="","",IFERROR(INDEX(rngCadetPIDs,MATCH($C1446,rngCadetNames,0)),"?"))</f>
        <v/>
      </c>
      <c r="E1446" s="15">
        <f>IF($D1446="","",IFERROR(INDEX(nrCadetAgency,MATCH($D1446,rngCadetPIDs,0)),""))</f>
        <v/>
      </c>
      <c r="F1446" s="14" t="n"/>
      <c r="G1446" s="15">
        <f>IF($F1446="","",IFERROR(INDEX(rngEPname,MATCH($F1446,rngEPcode,0)),"?"))</f>
        <v/>
      </c>
      <c r="H1446" s="15">
        <f>IF($F1446="","",IFERROR(INDEX(rngEPtype,MATCH($F1446,rngEPcode,0)),"?"))</f>
        <v/>
      </c>
      <c r="I1446" s="15">
        <f>IF($F1446="","",IFERROR(INDEX(rngEPseq,MATCH($F1446,rngEPcode,0)),""))</f>
        <v/>
      </c>
      <c r="J1446" s="15">
        <f>IF($F1446="","",IFERROR(INDEX(rngEPpass,MATCH($F1446,rngEPcode,0)),cfgPassingScore))</f>
        <v/>
      </c>
      <c r="K1446" s="14" t="n"/>
      <c r="L1446" s="14" t="n"/>
      <c r="M1446" s="15">
        <f>IF($C1446="","",IF($L1446="","",IF($K1446=1,IF(COUNTIFS(nrES_PID,$D1446,nrES_Code,$F1446,nrES_Att,2)&gt;0,"",$L1446),IF(COUNTIFS(nrES_PID,$D1446,nrES_Code,$F1446,nrES_Att,1)=0,$L1446,IF($L1446&gt;=$J1446,cfgRetakeRecordedCap,SUMIFS(nrES_Raw,nrES_PID,$D1446,nrES_Code,$F1446,nrES_Att,1))))))</f>
        <v/>
      </c>
      <c r="N1446" s="15">
        <f>IF($C1446="","",IF($L1446="","",IF($L1446&gt;=$J1446,"Yes","No")))</f>
        <v/>
      </c>
      <c r="O1446" s="15">
        <f>IF($C1446="","",IF($M1446="","",IF($M1446&gt;=$J1446,"Yes","No")))</f>
        <v/>
      </c>
      <c r="P1446" s="15">
        <f>IF($C1446="","",IF($K1446="","",IF(COUNTIFS(nrES_PID,$D1446,nrES_Code,$F1446,nrES_Att,"&gt;"&amp;$K1446)=0,"Yes","No")))</f>
        <v/>
      </c>
      <c r="Q1446" s="15">
        <f>IF($C1446="","",IF($L1446="","",IF(AND($K1446=1,$L1446&lt;$J1446,COUNTIFS(nrES_PID,$D1446,nrES_Code,$F1446,nrES_Att,2)=0),"Yes","No")))</f>
        <v/>
      </c>
      <c r="R1446" s="15">
        <f>IF($C1446="","",IF($L1446="","",IF(AND($K1446=2,$L1446&lt;$J1446,COUNTIFS(nrES_PID,$D1446,nrES_Code,$F1446,nrES_Att,1)&gt;0),"Yes","No")))</f>
        <v/>
      </c>
      <c r="S1446" s="16" t="n"/>
      <c r="T1446" s="17">
        <f>IF($Q1446&lt;&gt;"Yes","",IF($S1446="","(enter date)",_xlfn.LET(_xlpm.dn,IFERROR(_xlfn.XLOOKUP($S1446,nrCDdate,nrCDnum),""),IF(_xlpm.dn="","(not a class day)",IFERROR(_xlfn.XLOOKUP(_xlpm.dn+cfgRetestClassDays,nrCDnum,nrCDdate),"")))))</f>
        <v/>
      </c>
      <c r="U1446" s="15">
        <f>IF($Q1446&lt;&gt;"Yes","",IF(COUNTIFS(nrES_PID,$D1446,nrES_Code,$F1446,nrES_Att,2)&gt;0,"Retested",IF(OR($T1446="",NOT(ISNUMBER($T1446))),"Pending",IF(TODAY()&gt;$T1446,"OVERDUE","Due "&amp;TEXT($T1446,"mm/dd")))))</f>
        <v/>
      </c>
      <c r="V1446" s="14" t="n"/>
      <c r="W1446" s="14" t="n"/>
    </row>
    <row r="1447">
      <c r="B1447" s="15">
        <f>IF($C1447="","",$D1447&amp;"-"&amp;$F1447&amp;"-"&amp;$K1447)</f>
        <v/>
      </c>
      <c r="C1447" s="14" t="n"/>
      <c r="D1447" s="15">
        <f>IF($C1447="","",IFERROR(INDEX(rngCadetPIDs,MATCH($C1447,rngCadetNames,0)),"?"))</f>
        <v/>
      </c>
      <c r="E1447" s="15">
        <f>IF($D1447="","",IFERROR(INDEX(nrCadetAgency,MATCH($D1447,rngCadetPIDs,0)),""))</f>
        <v/>
      </c>
      <c r="F1447" s="14" t="n"/>
      <c r="G1447" s="15">
        <f>IF($F1447="","",IFERROR(INDEX(rngEPname,MATCH($F1447,rngEPcode,0)),"?"))</f>
        <v/>
      </c>
      <c r="H1447" s="15">
        <f>IF($F1447="","",IFERROR(INDEX(rngEPtype,MATCH($F1447,rngEPcode,0)),"?"))</f>
        <v/>
      </c>
      <c r="I1447" s="15">
        <f>IF($F1447="","",IFERROR(INDEX(rngEPseq,MATCH($F1447,rngEPcode,0)),""))</f>
        <v/>
      </c>
      <c r="J1447" s="15">
        <f>IF($F1447="","",IFERROR(INDEX(rngEPpass,MATCH($F1447,rngEPcode,0)),cfgPassingScore))</f>
        <v/>
      </c>
      <c r="K1447" s="14" t="n"/>
      <c r="L1447" s="14" t="n"/>
      <c r="M1447" s="15">
        <f>IF($C1447="","",IF($L1447="","",IF($K1447=1,IF(COUNTIFS(nrES_PID,$D1447,nrES_Code,$F1447,nrES_Att,2)&gt;0,"",$L1447),IF(COUNTIFS(nrES_PID,$D1447,nrES_Code,$F1447,nrES_Att,1)=0,$L1447,IF($L1447&gt;=$J1447,cfgRetakeRecordedCap,SUMIFS(nrES_Raw,nrES_PID,$D1447,nrES_Code,$F1447,nrES_Att,1))))))</f>
        <v/>
      </c>
      <c r="N1447" s="15">
        <f>IF($C1447="","",IF($L1447="","",IF($L1447&gt;=$J1447,"Yes","No")))</f>
        <v/>
      </c>
      <c r="O1447" s="15">
        <f>IF($C1447="","",IF($M1447="","",IF($M1447&gt;=$J1447,"Yes","No")))</f>
        <v/>
      </c>
      <c r="P1447" s="15">
        <f>IF($C1447="","",IF($K1447="","",IF(COUNTIFS(nrES_PID,$D1447,nrES_Code,$F1447,nrES_Att,"&gt;"&amp;$K1447)=0,"Yes","No")))</f>
        <v/>
      </c>
      <c r="Q1447" s="15">
        <f>IF($C1447="","",IF($L1447="","",IF(AND($K1447=1,$L1447&lt;$J1447,COUNTIFS(nrES_PID,$D1447,nrES_Code,$F1447,nrES_Att,2)=0),"Yes","No")))</f>
        <v/>
      </c>
      <c r="R1447" s="15">
        <f>IF($C1447="","",IF($L1447="","",IF(AND($K1447=2,$L1447&lt;$J1447,COUNTIFS(nrES_PID,$D1447,nrES_Code,$F1447,nrES_Att,1)&gt;0),"Yes","No")))</f>
        <v/>
      </c>
      <c r="S1447" s="16" t="n"/>
      <c r="T1447" s="17">
        <f>IF($Q1447&lt;&gt;"Yes","",IF($S1447="","(enter date)",_xlfn.LET(_xlpm.dn,IFERROR(_xlfn.XLOOKUP($S1447,nrCDdate,nrCDnum),""),IF(_xlpm.dn="","(not a class day)",IFERROR(_xlfn.XLOOKUP(_xlpm.dn+cfgRetestClassDays,nrCDnum,nrCDdate),"")))))</f>
        <v/>
      </c>
      <c r="U1447" s="15">
        <f>IF($Q1447&lt;&gt;"Yes","",IF(COUNTIFS(nrES_PID,$D1447,nrES_Code,$F1447,nrES_Att,2)&gt;0,"Retested",IF(OR($T1447="",NOT(ISNUMBER($T1447))),"Pending",IF(TODAY()&gt;$T1447,"OVERDUE","Due "&amp;TEXT($T1447,"mm/dd")))))</f>
        <v/>
      </c>
      <c r="V1447" s="14" t="n"/>
      <c r="W1447" s="14" t="n"/>
    </row>
    <row r="1448">
      <c r="B1448" s="15">
        <f>IF($C1448="","",$D1448&amp;"-"&amp;$F1448&amp;"-"&amp;$K1448)</f>
        <v/>
      </c>
      <c r="C1448" s="14" t="n"/>
      <c r="D1448" s="15">
        <f>IF($C1448="","",IFERROR(INDEX(rngCadetPIDs,MATCH($C1448,rngCadetNames,0)),"?"))</f>
        <v/>
      </c>
      <c r="E1448" s="15">
        <f>IF($D1448="","",IFERROR(INDEX(nrCadetAgency,MATCH($D1448,rngCadetPIDs,0)),""))</f>
        <v/>
      </c>
      <c r="F1448" s="14" t="n"/>
      <c r="G1448" s="15">
        <f>IF($F1448="","",IFERROR(INDEX(rngEPname,MATCH($F1448,rngEPcode,0)),"?"))</f>
        <v/>
      </c>
      <c r="H1448" s="15">
        <f>IF($F1448="","",IFERROR(INDEX(rngEPtype,MATCH($F1448,rngEPcode,0)),"?"))</f>
        <v/>
      </c>
      <c r="I1448" s="15">
        <f>IF($F1448="","",IFERROR(INDEX(rngEPseq,MATCH($F1448,rngEPcode,0)),""))</f>
        <v/>
      </c>
      <c r="J1448" s="15">
        <f>IF($F1448="","",IFERROR(INDEX(rngEPpass,MATCH($F1448,rngEPcode,0)),cfgPassingScore))</f>
        <v/>
      </c>
      <c r="K1448" s="14" t="n"/>
      <c r="L1448" s="14" t="n"/>
      <c r="M1448" s="15">
        <f>IF($C1448="","",IF($L1448="","",IF($K1448=1,IF(COUNTIFS(nrES_PID,$D1448,nrES_Code,$F1448,nrES_Att,2)&gt;0,"",$L1448),IF(COUNTIFS(nrES_PID,$D1448,nrES_Code,$F1448,nrES_Att,1)=0,$L1448,IF($L1448&gt;=$J1448,cfgRetakeRecordedCap,SUMIFS(nrES_Raw,nrES_PID,$D1448,nrES_Code,$F1448,nrES_Att,1))))))</f>
        <v/>
      </c>
      <c r="N1448" s="15">
        <f>IF($C1448="","",IF($L1448="","",IF($L1448&gt;=$J1448,"Yes","No")))</f>
        <v/>
      </c>
      <c r="O1448" s="15">
        <f>IF($C1448="","",IF($M1448="","",IF($M1448&gt;=$J1448,"Yes","No")))</f>
        <v/>
      </c>
      <c r="P1448" s="15">
        <f>IF($C1448="","",IF($K1448="","",IF(COUNTIFS(nrES_PID,$D1448,nrES_Code,$F1448,nrES_Att,"&gt;"&amp;$K1448)=0,"Yes","No")))</f>
        <v/>
      </c>
      <c r="Q1448" s="15">
        <f>IF($C1448="","",IF($L1448="","",IF(AND($K1448=1,$L1448&lt;$J1448,COUNTIFS(nrES_PID,$D1448,nrES_Code,$F1448,nrES_Att,2)=0),"Yes","No")))</f>
        <v/>
      </c>
      <c r="R1448" s="15">
        <f>IF($C1448="","",IF($L1448="","",IF(AND($K1448=2,$L1448&lt;$J1448,COUNTIFS(nrES_PID,$D1448,nrES_Code,$F1448,nrES_Att,1)&gt;0),"Yes","No")))</f>
        <v/>
      </c>
      <c r="S1448" s="16" t="n"/>
      <c r="T1448" s="17">
        <f>IF($Q1448&lt;&gt;"Yes","",IF($S1448="","(enter date)",_xlfn.LET(_xlpm.dn,IFERROR(_xlfn.XLOOKUP($S1448,nrCDdate,nrCDnum),""),IF(_xlpm.dn="","(not a class day)",IFERROR(_xlfn.XLOOKUP(_xlpm.dn+cfgRetestClassDays,nrCDnum,nrCDdate),"")))))</f>
        <v/>
      </c>
      <c r="U1448" s="15">
        <f>IF($Q1448&lt;&gt;"Yes","",IF(COUNTIFS(nrES_PID,$D1448,nrES_Code,$F1448,nrES_Att,2)&gt;0,"Retested",IF(OR($T1448="",NOT(ISNUMBER($T1448))),"Pending",IF(TODAY()&gt;$T1448,"OVERDUE","Due "&amp;TEXT($T1448,"mm/dd")))))</f>
        <v/>
      </c>
      <c r="V1448" s="14" t="n"/>
      <c r="W1448" s="14" t="n"/>
    </row>
    <row r="1449">
      <c r="B1449" s="15">
        <f>IF($C1449="","",$D1449&amp;"-"&amp;$F1449&amp;"-"&amp;$K1449)</f>
        <v/>
      </c>
      <c r="C1449" s="14" t="n"/>
      <c r="D1449" s="15">
        <f>IF($C1449="","",IFERROR(INDEX(rngCadetPIDs,MATCH($C1449,rngCadetNames,0)),"?"))</f>
        <v/>
      </c>
      <c r="E1449" s="15">
        <f>IF($D1449="","",IFERROR(INDEX(nrCadetAgency,MATCH($D1449,rngCadetPIDs,0)),""))</f>
        <v/>
      </c>
      <c r="F1449" s="14" t="n"/>
      <c r="G1449" s="15">
        <f>IF($F1449="","",IFERROR(INDEX(rngEPname,MATCH($F1449,rngEPcode,0)),"?"))</f>
        <v/>
      </c>
      <c r="H1449" s="15">
        <f>IF($F1449="","",IFERROR(INDEX(rngEPtype,MATCH($F1449,rngEPcode,0)),"?"))</f>
        <v/>
      </c>
      <c r="I1449" s="15">
        <f>IF($F1449="","",IFERROR(INDEX(rngEPseq,MATCH($F1449,rngEPcode,0)),""))</f>
        <v/>
      </c>
      <c r="J1449" s="15">
        <f>IF($F1449="","",IFERROR(INDEX(rngEPpass,MATCH($F1449,rngEPcode,0)),cfgPassingScore))</f>
        <v/>
      </c>
      <c r="K1449" s="14" t="n"/>
      <c r="L1449" s="14" t="n"/>
      <c r="M1449" s="15">
        <f>IF($C1449="","",IF($L1449="","",IF($K1449=1,IF(COUNTIFS(nrES_PID,$D1449,nrES_Code,$F1449,nrES_Att,2)&gt;0,"",$L1449),IF(COUNTIFS(nrES_PID,$D1449,nrES_Code,$F1449,nrES_Att,1)=0,$L1449,IF($L1449&gt;=$J1449,cfgRetakeRecordedCap,SUMIFS(nrES_Raw,nrES_PID,$D1449,nrES_Code,$F1449,nrES_Att,1))))))</f>
        <v/>
      </c>
      <c r="N1449" s="15">
        <f>IF($C1449="","",IF($L1449="","",IF($L1449&gt;=$J1449,"Yes","No")))</f>
        <v/>
      </c>
      <c r="O1449" s="15">
        <f>IF($C1449="","",IF($M1449="","",IF($M1449&gt;=$J1449,"Yes","No")))</f>
        <v/>
      </c>
      <c r="P1449" s="15">
        <f>IF($C1449="","",IF($K1449="","",IF(COUNTIFS(nrES_PID,$D1449,nrES_Code,$F1449,nrES_Att,"&gt;"&amp;$K1449)=0,"Yes","No")))</f>
        <v/>
      </c>
      <c r="Q1449" s="15">
        <f>IF($C1449="","",IF($L1449="","",IF(AND($K1449=1,$L1449&lt;$J1449,COUNTIFS(nrES_PID,$D1449,nrES_Code,$F1449,nrES_Att,2)=0),"Yes","No")))</f>
        <v/>
      </c>
      <c r="R1449" s="15">
        <f>IF($C1449="","",IF($L1449="","",IF(AND($K1449=2,$L1449&lt;$J1449,COUNTIFS(nrES_PID,$D1449,nrES_Code,$F1449,nrES_Att,1)&gt;0),"Yes","No")))</f>
        <v/>
      </c>
      <c r="S1449" s="16" t="n"/>
      <c r="T1449" s="17">
        <f>IF($Q1449&lt;&gt;"Yes","",IF($S1449="","(enter date)",_xlfn.LET(_xlpm.dn,IFERROR(_xlfn.XLOOKUP($S1449,nrCDdate,nrCDnum),""),IF(_xlpm.dn="","(not a class day)",IFERROR(_xlfn.XLOOKUP(_xlpm.dn+cfgRetestClassDays,nrCDnum,nrCDdate),"")))))</f>
        <v/>
      </c>
      <c r="U1449" s="15">
        <f>IF($Q1449&lt;&gt;"Yes","",IF(COUNTIFS(nrES_PID,$D1449,nrES_Code,$F1449,nrES_Att,2)&gt;0,"Retested",IF(OR($T1449="",NOT(ISNUMBER($T1449))),"Pending",IF(TODAY()&gt;$T1449,"OVERDUE","Due "&amp;TEXT($T1449,"mm/dd")))))</f>
        <v/>
      </c>
      <c r="V1449" s="14" t="n"/>
      <c r="W1449" s="14" t="n"/>
    </row>
    <row r="1450">
      <c r="B1450" s="15">
        <f>IF($C1450="","",$D1450&amp;"-"&amp;$F1450&amp;"-"&amp;$K1450)</f>
        <v/>
      </c>
      <c r="C1450" s="14" t="n"/>
      <c r="D1450" s="15">
        <f>IF($C1450="","",IFERROR(INDEX(rngCadetPIDs,MATCH($C1450,rngCadetNames,0)),"?"))</f>
        <v/>
      </c>
      <c r="E1450" s="15">
        <f>IF($D1450="","",IFERROR(INDEX(nrCadetAgency,MATCH($D1450,rngCadetPIDs,0)),""))</f>
        <v/>
      </c>
      <c r="F1450" s="14" t="n"/>
      <c r="G1450" s="15">
        <f>IF($F1450="","",IFERROR(INDEX(rngEPname,MATCH($F1450,rngEPcode,0)),"?"))</f>
        <v/>
      </c>
      <c r="H1450" s="15">
        <f>IF($F1450="","",IFERROR(INDEX(rngEPtype,MATCH($F1450,rngEPcode,0)),"?"))</f>
        <v/>
      </c>
      <c r="I1450" s="15">
        <f>IF($F1450="","",IFERROR(INDEX(rngEPseq,MATCH($F1450,rngEPcode,0)),""))</f>
        <v/>
      </c>
      <c r="J1450" s="15">
        <f>IF($F1450="","",IFERROR(INDEX(rngEPpass,MATCH($F1450,rngEPcode,0)),cfgPassingScore))</f>
        <v/>
      </c>
      <c r="K1450" s="14" t="n"/>
      <c r="L1450" s="14" t="n"/>
      <c r="M1450" s="15">
        <f>IF($C1450="","",IF($L1450="","",IF($K1450=1,IF(COUNTIFS(nrES_PID,$D1450,nrES_Code,$F1450,nrES_Att,2)&gt;0,"",$L1450),IF(COUNTIFS(nrES_PID,$D1450,nrES_Code,$F1450,nrES_Att,1)=0,$L1450,IF($L1450&gt;=$J1450,cfgRetakeRecordedCap,SUMIFS(nrES_Raw,nrES_PID,$D1450,nrES_Code,$F1450,nrES_Att,1))))))</f>
        <v/>
      </c>
      <c r="N1450" s="15">
        <f>IF($C1450="","",IF($L1450="","",IF($L1450&gt;=$J1450,"Yes","No")))</f>
        <v/>
      </c>
      <c r="O1450" s="15">
        <f>IF($C1450="","",IF($M1450="","",IF($M1450&gt;=$J1450,"Yes","No")))</f>
        <v/>
      </c>
      <c r="P1450" s="15">
        <f>IF($C1450="","",IF($K1450="","",IF(COUNTIFS(nrES_PID,$D1450,nrES_Code,$F1450,nrES_Att,"&gt;"&amp;$K1450)=0,"Yes","No")))</f>
        <v/>
      </c>
      <c r="Q1450" s="15">
        <f>IF($C1450="","",IF($L1450="","",IF(AND($K1450=1,$L1450&lt;$J1450,COUNTIFS(nrES_PID,$D1450,nrES_Code,$F1450,nrES_Att,2)=0),"Yes","No")))</f>
        <v/>
      </c>
      <c r="R1450" s="15">
        <f>IF($C1450="","",IF($L1450="","",IF(AND($K1450=2,$L1450&lt;$J1450,COUNTIFS(nrES_PID,$D1450,nrES_Code,$F1450,nrES_Att,1)&gt;0),"Yes","No")))</f>
        <v/>
      </c>
      <c r="S1450" s="16" t="n"/>
      <c r="T1450" s="17">
        <f>IF($Q1450&lt;&gt;"Yes","",IF($S1450="","(enter date)",_xlfn.LET(_xlpm.dn,IFERROR(_xlfn.XLOOKUP($S1450,nrCDdate,nrCDnum),""),IF(_xlpm.dn="","(not a class day)",IFERROR(_xlfn.XLOOKUP(_xlpm.dn+cfgRetestClassDays,nrCDnum,nrCDdate),"")))))</f>
        <v/>
      </c>
      <c r="U1450" s="15">
        <f>IF($Q1450&lt;&gt;"Yes","",IF(COUNTIFS(nrES_PID,$D1450,nrES_Code,$F1450,nrES_Att,2)&gt;0,"Retested",IF(OR($T1450="",NOT(ISNUMBER($T1450))),"Pending",IF(TODAY()&gt;$T1450,"OVERDUE","Due "&amp;TEXT($T1450,"mm/dd")))))</f>
        <v/>
      </c>
      <c r="V1450" s="14" t="n"/>
      <c r="W1450" s="14" t="n"/>
    </row>
    <row r="1451">
      <c r="B1451" s="15">
        <f>IF($C1451="","",$D1451&amp;"-"&amp;$F1451&amp;"-"&amp;$K1451)</f>
        <v/>
      </c>
      <c r="C1451" s="14" t="n"/>
      <c r="D1451" s="15">
        <f>IF($C1451="","",IFERROR(INDEX(rngCadetPIDs,MATCH($C1451,rngCadetNames,0)),"?"))</f>
        <v/>
      </c>
      <c r="E1451" s="15">
        <f>IF($D1451="","",IFERROR(INDEX(nrCadetAgency,MATCH($D1451,rngCadetPIDs,0)),""))</f>
        <v/>
      </c>
      <c r="F1451" s="14" t="n"/>
      <c r="G1451" s="15">
        <f>IF($F1451="","",IFERROR(INDEX(rngEPname,MATCH($F1451,rngEPcode,0)),"?"))</f>
        <v/>
      </c>
      <c r="H1451" s="15">
        <f>IF($F1451="","",IFERROR(INDEX(rngEPtype,MATCH($F1451,rngEPcode,0)),"?"))</f>
        <v/>
      </c>
      <c r="I1451" s="15">
        <f>IF($F1451="","",IFERROR(INDEX(rngEPseq,MATCH($F1451,rngEPcode,0)),""))</f>
        <v/>
      </c>
      <c r="J1451" s="15">
        <f>IF($F1451="","",IFERROR(INDEX(rngEPpass,MATCH($F1451,rngEPcode,0)),cfgPassingScore))</f>
        <v/>
      </c>
      <c r="K1451" s="14" t="n"/>
      <c r="L1451" s="14" t="n"/>
      <c r="M1451" s="15">
        <f>IF($C1451="","",IF($L1451="","",IF($K1451=1,IF(COUNTIFS(nrES_PID,$D1451,nrES_Code,$F1451,nrES_Att,2)&gt;0,"",$L1451),IF(COUNTIFS(nrES_PID,$D1451,nrES_Code,$F1451,nrES_Att,1)=0,$L1451,IF($L1451&gt;=$J1451,cfgRetakeRecordedCap,SUMIFS(nrES_Raw,nrES_PID,$D1451,nrES_Code,$F1451,nrES_Att,1))))))</f>
        <v/>
      </c>
      <c r="N1451" s="15">
        <f>IF($C1451="","",IF($L1451="","",IF($L1451&gt;=$J1451,"Yes","No")))</f>
        <v/>
      </c>
      <c r="O1451" s="15">
        <f>IF($C1451="","",IF($M1451="","",IF($M1451&gt;=$J1451,"Yes","No")))</f>
        <v/>
      </c>
      <c r="P1451" s="15">
        <f>IF($C1451="","",IF($K1451="","",IF(COUNTIFS(nrES_PID,$D1451,nrES_Code,$F1451,nrES_Att,"&gt;"&amp;$K1451)=0,"Yes","No")))</f>
        <v/>
      </c>
      <c r="Q1451" s="15">
        <f>IF($C1451="","",IF($L1451="","",IF(AND($K1451=1,$L1451&lt;$J1451,COUNTIFS(nrES_PID,$D1451,nrES_Code,$F1451,nrES_Att,2)=0),"Yes","No")))</f>
        <v/>
      </c>
      <c r="R1451" s="15">
        <f>IF($C1451="","",IF($L1451="","",IF(AND($K1451=2,$L1451&lt;$J1451,COUNTIFS(nrES_PID,$D1451,nrES_Code,$F1451,nrES_Att,1)&gt;0),"Yes","No")))</f>
        <v/>
      </c>
      <c r="S1451" s="16" t="n"/>
      <c r="T1451" s="17">
        <f>IF($Q1451&lt;&gt;"Yes","",IF($S1451="","(enter date)",_xlfn.LET(_xlpm.dn,IFERROR(_xlfn.XLOOKUP($S1451,nrCDdate,nrCDnum),""),IF(_xlpm.dn="","(not a class day)",IFERROR(_xlfn.XLOOKUP(_xlpm.dn+cfgRetestClassDays,nrCDnum,nrCDdate),"")))))</f>
        <v/>
      </c>
      <c r="U1451" s="15">
        <f>IF($Q1451&lt;&gt;"Yes","",IF(COUNTIFS(nrES_PID,$D1451,nrES_Code,$F1451,nrES_Att,2)&gt;0,"Retested",IF(OR($T1451="",NOT(ISNUMBER($T1451))),"Pending",IF(TODAY()&gt;$T1451,"OVERDUE","Due "&amp;TEXT($T1451,"mm/dd")))))</f>
        <v/>
      </c>
      <c r="V1451" s="14" t="n"/>
      <c r="W1451" s="14" t="n"/>
    </row>
    <row r="1452">
      <c r="B1452" s="15">
        <f>IF($C1452="","",$D1452&amp;"-"&amp;$F1452&amp;"-"&amp;$K1452)</f>
        <v/>
      </c>
      <c r="C1452" s="14" t="n"/>
      <c r="D1452" s="15">
        <f>IF($C1452="","",IFERROR(INDEX(rngCadetPIDs,MATCH($C1452,rngCadetNames,0)),"?"))</f>
        <v/>
      </c>
      <c r="E1452" s="15">
        <f>IF($D1452="","",IFERROR(INDEX(nrCadetAgency,MATCH($D1452,rngCadetPIDs,0)),""))</f>
        <v/>
      </c>
      <c r="F1452" s="14" t="n"/>
      <c r="G1452" s="15">
        <f>IF($F1452="","",IFERROR(INDEX(rngEPname,MATCH($F1452,rngEPcode,0)),"?"))</f>
        <v/>
      </c>
      <c r="H1452" s="15">
        <f>IF($F1452="","",IFERROR(INDEX(rngEPtype,MATCH($F1452,rngEPcode,0)),"?"))</f>
        <v/>
      </c>
      <c r="I1452" s="15">
        <f>IF($F1452="","",IFERROR(INDEX(rngEPseq,MATCH($F1452,rngEPcode,0)),""))</f>
        <v/>
      </c>
      <c r="J1452" s="15">
        <f>IF($F1452="","",IFERROR(INDEX(rngEPpass,MATCH($F1452,rngEPcode,0)),cfgPassingScore))</f>
        <v/>
      </c>
      <c r="K1452" s="14" t="n"/>
      <c r="L1452" s="14" t="n"/>
      <c r="M1452" s="15">
        <f>IF($C1452="","",IF($L1452="","",IF($K1452=1,IF(COUNTIFS(nrES_PID,$D1452,nrES_Code,$F1452,nrES_Att,2)&gt;0,"",$L1452),IF(COUNTIFS(nrES_PID,$D1452,nrES_Code,$F1452,nrES_Att,1)=0,$L1452,IF($L1452&gt;=$J1452,cfgRetakeRecordedCap,SUMIFS(nrES_Raw,nrES_PID,$D1452,nrES_Code,$F1452,nrES_Att,1))))))</f>
        <v/>
      </c>
      <c r="N1452" s="15">
        <f>IF($C1452="","",IF($L1452="","",IF($L1452&gt;=$J1452,"Yes","No")))</f>
        <v/>
      </c>
      <c r="O1452" s="15">
        <f>IF($C1452="","",IF($M1452="","",IF($M1452&gt;=$J1452,"Yes","No")))</f>
        <v/>
      </c>
      <c r="P1452" s="15">
        <f>IF($C1452="","",IF($K1452="","",IF(COUNTIFS(nrES_PID,$D1452,nrES_Code,$F1452,nrES_Att,"&gt;"&amp;$K1452)=0,"Yes","No")))</f>
        <v/>
      </c>
      <c r="Q1452" s="15">
        <f>IF($C1452="","",IF($L1452="","",IF(AND($K1452=1,$L1452&lt;$J1452,COUNTIFS(nrES_PID,$D1452,nrES_Code,$F1452,nrES_Att,2)=0),"Yes","No")))</f>
        <v/>
      </c>
      <c r="R1452" s="15">
        <f>IF($C1452="","",IF($L1452="","",IF(AND($K1452=2,$L1452&lt;$J1452,COUNTIFS(nrES_PID,$D1452,nrES_Code,$F1452,nrES_Att,1)&gt;0),"Yes","No")))</f>
        <v/>
      </c>
      <c r="S1452" s="16" t="n"/>
      <c r="T1452" s="17">
        <f>IF($Q1452&lt;&gt;"Yes","",IF($S1452="","(enter date)",_xlfn.LET(_xlpm.dn,IFERROR(_xlfn.XLOOKUP($S1452,nrCDdate,nrCDnum),""),IF(_xlpm.dn="","(not a class day)",IFERROR(_xlfn.XLOOKUP(_xlpm.dn+cfgRetestClassDays,nrCDnum,nrCDdate),"")))))</f>
        <v/>
      </c>
      <c r="U1452" s="15">
        <f>IF($Q1452&lt;&gt;"Yes","",IF(COUNTIFS(nrES_PID,$D1452,nrES_Code,$F1452,nrES_Att,2)&gt;0,"Retested",IF(OR($T1452="",NOT(ISNUMBER($T1452))),"Pending",IF(TODAY()&gt;$T1452,"OVERDUE","Due "&amp;TEXT($T1452,"mm/dd")))))</f>
        <v/>
      </c>
      <c r="V1452" s="14" t="n"/>
      <c r="W1452" s="14" t="n"/>
    </row>
    <row r="1453">
      <c r="B1453" s="15">
        <f>IF($C1453="","",$D1453&amp;"-"&amp;$F1453&amp;"-"&amp;$K1453)</f>
        <v/>
      </c>
      <c r="C1453" s="14" t="n"/>
      <c r="D1453" s="15">
        <f>IF($C1453="","",IFERROR(INDEX(rngCadetPIDs,MATCH($C1453,rngCadetNames,0)),"?"))</f>
        <v/>
      </c>
      <c r="E1453" s="15">
        <f>IF($D1453="","",IFERROR(INDEX(nrCadetAgency,MATCH($D1453,rngCadetPIDs,0)),""))</f>
        <v/>
      </c>
      <c r="F1453" s="14" t="n"/>
      <c r="G1453" s="15">
        <f>IF($F1453="","",IFERROR(INDEX(rngEPname,MATCH($F1453,rngEPcode,0)),"?"))</f>
        <v/>
      </c>
      <c r="H1453" s="15">
        <f>IF($F1453="","",IFERROR(INDEX(rngEPtype,MATCH($F1453,rngEPcode,0)),"?"))</f>
        <v/>
      </c>
      <c r="I1453" s="15">
        <f>IF($F1453="","",IFERROR(INDEX(rngEPseq,MATCH($F1453,rngEPcode,0)),""))</f>
        <v/>
      </c>
      <c r="J1453" s="15">
        <f>IF($F1453="","",IFERROR(INDEX(rngEPpass,MATCH($F1453,rngEPcode,0)),cfgPassingScore))</f>
        <v/>
      </c>
      <c r="K1453" s="14" t="n"/>
      <c r="L1453" s="14" t="n"/>
      <c r="M1453" s="15">
        <f>IF($C1453="","",IF($L1453="","",IF($K1453=1,IF(COUNTIFS(nrES_PID,$D1453,nrES_Code,$F1453,nrES_Att,2)&gt;0,"",$L1453),IF(COUNTIFS(nrES_PID,$D1453,nrES_Code,$F1453,nrES_Att,1)=0,$L1453,IF($L1453&gt;=$J1453,cfgRetakeRecordedCap,SUMIFS(nrES_Raw,nrES_PID,$D1453,nrES_Code,$F1453,nrES_Att,1))))))</f>
        <v/>
      </c>
      <c r="N1453" s="15">
        <f>IF($C1453="","",IF($L1453="","",IF($L1453&gt;=$J1453,"Yes","No")))</f>
        <v/>
      </c>
      <c r="O1453" s="15">
        <f>IF($C1453="","",IF($M1453="","",IF($M1453&gt;=$J1453,"Yes","No")))</f>
        <v/>
      </c>
      <c r="P1453" s="15">
        <f>IF($C1453="","",IF($K1453="","",IF(COUNTIFS(nrES_PID,$D1453,nrES_Code,$F1453,nrES_Att,"&gt;"&amp;$K1453)=0,"Yes","No")))</f>
        <v/>
      </c>
      <c r="Q1453" s="15">
        <f>IF($C1453="","",IF($L1453="","",IF(AND($K1453=1,$L1453&lt;$J1453,COUNTIFS(nrES_PID,$D1453,nrES_Code,$F1453,nrES_Att,2)=0),"Yes","No")))</f>
        <v/>
      </c>
      <c r="R1453" s="15">
        <f>IF($C1453="","",IF($L1453="","",IF(AND($K1453=2,$L1453&lt;$J1453,COUNTIFS(nrES_PID,$D1453,nrES_Code,$F1453,nrES_Att,1)&gt;0),"Yes","No")))</f>
        <v/>
      </c>
      <c r="S1453" s="16" t="n"/>
      <c r="T1453" s="17">
        <f>IF($Q1453&lt;&gt;"Yes","",IF($S1453="","(enter date)",_xlfn.LET(_xlpm.dn,IFERROR(_xlfn.XLOOKUP($S1453,nrCDdate,nrCDnum),""),IF(_xlpm.dn="","(not a class day)",IFERROR(_xlfn.XLOOKUP(_xlpm.dn+cfgRetestClassDays,nrCDnum,nrCDdate),"")))))</f>
        <v/>
      </c>
      <c r="U1453" s="15">
        <f>IF($Q1453&lt;&gt;"Yes","",IF(COUNTIFS(nrES_PID,$D1453,nrES_Code,$F1453,nrES_Att,2)&gt;0,"Retested",IF(OR($T1453="",NOT(ISNUMBER($T1453))),"Pending",IF(TODAY()&gt;$T1453,"OVERDUE","Due "&amp;TEXT($T1453,"mm/dd")))))</f>
        <v/>
      </c>
      <c r="V1453" s="14" t="n"/>
      <c r="W1453" s="14" t="n"/>
    </row>
    <row r="1454">
      <c r="B1454" s="15">
        <f>IF($C1454="","",$D1454&amp;"-"&amp;$F1454&amp;"-"&amp;$K1454)</f>
        <v/>
      </c>
      <c r="C1454" s="14" t="n"/>
      <c r="D1454" s="15">
        <f>IF($C1454="","",IFERROR(INDEX(rngCadetPIDs,MATCH($C1454,rngCadetNames,0)),"?"))</f>
        <v/>
      </c>
      <c r="E1454" s="15">
        <f>IF($D1454="","",IFERROR(INDEX(nrCadetAgency,MATCH($D1454,rngCadetPIDs,0)),""))</f>
        <v/>
      </c>
      <c r="F1454" s="14" t="n"/>
      <c r="G1454" s="15">
        <f>IF($F1454="","",IFERROR(INDEX(rngEPname,MATCH($F1454,rngEPcode,0)),"?"))</f>
        <v/>
      </c>
      <c r="H1454" s="15">
        <f>IF($F1454="","",IFERROR(INDEX(rngEPtype,MATCH($F1454,rngEPcode,0)),"?"))</f>
        <v/>
      </c>
      <c r="I1454" s="15">
        <f>IF($F1454="","",IFERROR(INDEX(rngEPseq,MATCH($F1454,rngEPcode,0)),""))</f>
        <v/>
      </c>
      <c r="J1454" s="15">
        <f>IF($F1454="","",IFERROR(INDEX(rngEPpass,MATCH($F1454,rngEPcode,0)),cfgPassingScore))</f>
        <v/>
      </c>
      <c r="K1454" s="14" t="n"/>
      <c r="L1454" s="14" t="n"/>
      <c r="M1454" s="15">
        <f>IF($C1454="","",IF($L1454="","",IF($K1454=1,IF(COUNTIFS(nrES_PID,$D1454,nrES_Code,$F1454,nrES_Att,2)&gt;0,"",$L1454),IF(COUNTIFS(nrES_PID,$D1454,nrES_Code,$F1454,nrES_Att,1)=0,$L1454,IF($L1454&gt;=$J1454,cfgRetakeRecordedCap,SUMIFS(nrES_Raw,nrES_PID,$D1454,nrES_Code,$F1454,nrES_Att,1))))))</f>
        <v/>
      </c>
      <c r="N1454" s="15">
        <f>IF($C1454="","",IF($L1454="","",IF($L1454&gt;=$J1454,"Yes","No")))</f>
        <v/>
      </c>
      <c r="O1454" s="15">
        <f>IF($C1454="","",IF($M1454="","",IF($M1454&gt;=$J1454,"Yes","No")))</f>
        <v/>
      </c>
      <c r="P1454" s="15">
        <f>IF($C1454="","",IF($K1454="","",IF(COUNTIFS(nrES_PID,$D1454,nrES_Code,$F1454,nrES_Att,"&gt;"&amp;$K1454)=0,"Yes","No")))</f>
        <v/>
      </c>
      <c r="Q1454" s="15">
        <f>IF($C1454="","",IF($L1454="","",IF(AND($K1454=1,$L1454&lt;$J1454,COUNTIFS(nrES_PID,$D1454,nrES_Code,$F1454,nrES_Att,2)=0),"Yes","No")))</f>
        <v/>
      </c>
      <c r="R1454" s="15">
        <f>IF($C1454="","",IF($L1454="","",IF(AND($K1454=2,$L1454&lt;$J1454,COUNTIFS(nrES_PID,$D1454,nrES_Code,$F1454,nrES_Att,1)&gt;0),"Yes","No")))</f>
        <v/>
      </c>
      <c r="S1454" s="16" t="n"/>
      <c r="T1454" s="17">
        <f>IF($Q1454&lt;&gt;"Yes","",IF($S1454="","(enter date)",_xlfn.LET(_xlpm.dn,IFERROR(_xlfn.XLOOKUP($S1454,nrCDdate,nrCDnum),""),IF(_xlpm.dn="","(not a class day)",IFERROR(_xlfn.XLOOKUP(_xlpm.dn+cfgRetestClassDays,nrCDnum,nrCDdate),"")))))</f>
        <v/>
      </c>
      <c r="U1454" s="15">
        <f>IF($Q1454&lt;&gt;"Yes","",IF(COUNTIFS(nrES_PID,$D1454,nrES_Code,$F1454,nrES_Att,2)&gt;0,"Retested",IF(OR($T1454="",NOT(ISNUMBER($T1454))),"Pending",IF(TODAY()&gt;$T1454,"OVERDUE","Due "&amp;TEXT($T1454,"mm/dd")))))</f>
        <v/>
      </c>
      <c r="V1454" s="14" t="n"/>
      <c r="W1454" s="14" t="n"/>
    </row>
    <row r="1455">
      <c r="B1455" s="15">
        <f>IF($C1455="","",$D1455&amp;"-"&amp;$F1455&amp;"-"&amp;$K1455)</f>
        <v/>
      </c>
      <c r="C1455" s="14" t="n"/>
      <c r="D1455" s="15">
        <f>IF($C1455="","",IFERROR(INDEX(rngCadetPIDs,MATCH($C1455,rngCadetNames,0)),"?"))</f>
        <v/>
      </c>
      <c r="E1455" s="15">
        <f>IF($D1455="","",IFERROR(INDEX(nrCadetAgency,MATCH($D1455,rngCadetPIDs,0)),""))</f>
        <v/>
      </c>
      <c r="F1455" s="14" t="n"/>
      <c r="G1455" s="15">
        <f>IF($F1455="","",IFERROR(INDEX(rngEPname,MATCH($F1455,rngEPcode,0)),"?"))</f>
        <v/>
      </c>
      <c r="H1455" s="15">
        <f>IF($F1455="","",IFERROR(INDEX(rngEPtype,MATCH($F1455,rngEPcode,0)),"?"))</f>
        <v/>
      </c>
      <c r="I1455" s="15">
        <f>IF($F1455="","",IFERROR(INDEX(rngEPseq,MATCH($F1455,rngEPcode,0)),""))</f>
        <v/>
      </c>
      <c r="J1455" s="15">
        <f>IF($F1455="","",IFERROR(INDEX(rngEPpass,MATCH($F1455,rngEPcode,0)),cfgPassingScore))</f>
        <v/>
      </c>
      <c r="K1455" s="14" t="n"/>
      <c r="L1455" s="14" t="n"/>
      <c r="M1455" s="15">
        <f>IF($C1455="","",IF($L1455="","",IF($K1455=1,IF(COUNTIFS(nrES_PID,$D1455,nrES_Code,$F1455,nrES_Att,2)&gt;0,"",$L1455),IF(COUNTIFS(nrES_PID,$D1455,nrES_Code,$F1455,nrES_Att,1)=0,$L1455,IF($L1455&gt;=$J1455,cfgRetakeRecordedCap,SUMIFS(nrES_Raw,nrES_PID,$D1455,nrES_Code,$F1455,nrES_Att,1))))))</f>
        <v/>
      </c>
      <c r="N1455" s="15">
        <f>IF($C1455="","",IF($L1455="","",IF($L1455&gt;=$J1455,"Yes","No")))</f>
        <v/>
      </c>
      <c r="O1455" s="15">
        <f>IF($C1455="","",IF($M1455="","",IF($M1455&gt;=$J1455,"Yes","No")))</f>
        <v/>
      </c>
      <c r="P1455" s="15">
        <f>IF($C1455="","",IF($K1455="","",IF(COUNTIFS(nrES_PID,$D1455,nrES_Code,$F1455,nrES_Att,"&gt;"&amp;$K1455)=0,"Yes","No")))</f>
        <v/>
      </c>
      <c r="Q1455" s="15">
        <f>IF($C1455="","",IF($L1455="","",IF(AND($K1455=1,$L1455&lt;$J1455,COUNTIFS(nrES_PID,$D1455,nrES_Code,$F1455,nrES_Att,2)=0),"Yes","No")))</f>
        <v/>
      </c>
      <c r="R1455" s="15">
        <f>IF($C1455="","",IF($L1455="","",IF(AND($K1455=2,$L1455&lt;$J1455,COUNTIFS(nrES_PID,$D1455,nrES_Code,$F1455,nrES_Att,1)&gt;0),"Yes","No")))</f>
        <v/>
      </c>
      <c r="S1455" s="16" t="n"/>
      <c r="T1455" s="17">
        <f>IF($Q1455&lt;&gt;"Yes","",IF($S1455="","(enter date)",_xlfn.LET(_xlpm.dn,IFERROR(_xlfn.XLOOKUP($S1455,nrCDdate,nrCDnum),""),IF(_xlpm.dn="","(not a class day)",IFERROR(_xlfn.XLOOKUP(_xlpm.dn+cfgRetestClassDays,nrCDnum,nrCDdate),"")))))</f>
        <v/>
      </c>
      <c r="U1455" s="15">
        <f>IF($Q1455&lt;&gt;"Yes","",IF(COUNTIFS(nrES_PID,$D1455,nrES_Code,$F1455,nrES_Att,2)&gt;0,"Retested",IF(OR($T1455="",NOT(ISNUMBER($T1455))),"Pending",IF(TODAY()&gt;$T1455,"OVERDUE","Due "&amp;TEXT($T1455,"mm/dd")))))</f>
        <v/>
      </c>
      <c r="V1455" s="14" t="n"/>
      <c r="W1455" s="14" t="n"/>
    </row>
    <row r="1456">
      <c r="B1456" s="15">
        <f>IF($C1456="","",$D1456&amp;"-"&amp;$F1456&amp;"-"&amp;$K1456)</f>
        <v/>
      </c>
      <c r="C1456" s="14" t="n"/>
      <c r="D1456" s="15">
        <f>IF($C1456="","",IFERROR(INDEX(rngCadetPIDs,MATCH($C1456,rngCadetNames,0)),"?"))</f>
        <v/>
      </c>
      <c r="E1456" s="15">
        <f>IF($D1456="","",IFERROR(INDEX(nrCadetAgency,MATCH($D1456,rngCadetPIDs,0)),""))</f>
        <v/>
      </c>
      <c r="F1456" s="14" t="n"/>
      <c r="G1456" s="15">
        <f>IF($F1456="","",IFERROR(INDEX(rngEPname,MATCH($F1456,rngEPcode,0)),"?"))</f>
        <v/>
      </c>
      <c r="H1456" s="15">
        <f>IF($F1456="","",IFERROR(INDEX(rngEPtype,MATCH($F1456,rngEPcode,0)),"?"))</f>
        <v/>
      </c>
      <c r="I1456" s="15">
        <f>IF($F1456="","",IFERROR(INDEX(rngEPseq,MATCH($F1456,rngEPcode,0)),""))</f>
        <v/>
      </c>
      <c r="J1456" s="15">
        <f>IF($F1456="","",IFERROR(INDEX(rngEPpass,MATCH($F1456,rngEPcode,0)),cfgPassingScore))</f>
        <v/>
      </c>
      <c r="K1456" s="14" t="n"/>
      <c r="L1456" s="14" t="n"/>
      <c r="M1456" s="15">
        <f>IF($C1456="","",IF($L1456="","",IF($K1456=1,IF(COUNTIFS(nrES_PID,$D1456,nrES_Code,$F1456,nrES_Att,2)&gt;0,"",$L1456),IF(COUNTIFS(nrES_PID,$D1456,nrES_Code,$F1456,nrES_Att,1)=0,$L1456,IF($L1456&gt;=$J1456,cfgRetakeRecordedCap,SUMIFS(nrES_Raw,nrES_PID,$D1456,nrES_Code,$F1456,nrES_Att,1))))))</f>
        <v/>
      </c>
      <c r="N1456" s="15">
        <f>IF($C1456="","",IF($L1456="","",IF($L1456&gt;=$J1456,"Yes","No")))</f>
        <v/>
      </c>
      <c r="O1456" s="15">
        <f>IF($C1456="","",IF($M1456="","",IF($M1456&gt;=$J1456,"Yes","No")))</f>
        <v/>
      </c>
      <c r="P1456" s="15">
        <f>IF($C1456="","",IF($K1456="","",IF(COUNTIFS(nrES_PID,$D1456,nrES_Code,$F1456,nrES_Att,"&gt;"&amp;$K1456)=0,"Yes","No")))</f>
        <v/>
      </c>
      <c r="Q1456" s="15">
        <f>IF($C1456="","",IF($L1456="","",IF(AND($K1456=1,$L1456&lt;$J1456,COUNTIFS(nrES_PID,$D1456,nrES_Code,$F1456,nrES_Att,2)=0),"Yes","No")))</f>
        <v/>
      </c>
      <c r="R1456" s="15">
        <f>IF($C1456="","",IF($L1456="","",IF(AND($K1456=2,$L1456&lt;$J1456,COUNTIFS(nrES_PID,$D1456,nrES_Code,$F1456,nrES_Att,1)&gt;0),"Yes","No")))</f>
        <v/>
      </c>
      <c r="S1456" s="16" t="n"/>
      <c r="T1456" s="17">
        <f>IF($Q1456&lt;&gt;"Yes","",IF($S1456="","(enter date)",_xlfn.LET(_xlpm.dn,IFERROR(_xlfn.XLOOKUP($S1456,nrCDdate,nrCDnum),""),IF(_xlpm.dn="","(not a class day)",IFERROR(_xlfn.XLOOKUP(_xlpm.dn+cfgRetestClassDays,nrCDnum,nrCDdate),"")))))</f>
        <v/>
      </c>
      <c r="U1456" s="15">
        <f>IF($Q1456&lt;&gt;"Yes","",IF(COUNTIFS(nrES_PID,$D1456,nrES_Code,$F1456,nrES_Att,2)&gt;0,"Retested",IF(OR($T1456="",NOT(ISNUMBER($T1456))),"Pending",IF(TODAY()&gt;$T1456,"OVERDUE","Due "&amp;TEXT($T1456,"mm/dd")))))</f>
        <v/>
      </c>
      <c r="V1456" s="14" t="n"/>
      <c r="W1456" s="14" t="n"/>
    </row>
    <row r="1457">
      <c r="B1457" s="15">
        <f>IF($C1457="","",$D1457&amp;"-"&amp;$F1457&amp;"-"&amp;$K1457)</f>
        <v/>
      </c>
      <c r="C1457" s="14" t="n"/>
      <c r="D1457" s="15">
        <f>IF($C1457="","",IFERROR(INDEX(rngCadetPIDs,MATCH($C1457,rngCadetNames,0)),"?"))</f>
        <v/>
      </c>
      <c r="E1457" s="15">
        <f>IF($D1457="","",IFERROR(INDEX(nrCadetAgency,MATCH($D1457,rngCadetPIDs,0)),""))</f>
        <v/>
      </c>
      <c r="F1457" s="14" t="n"/>
      <c r="G1457" s="15">
        <f>IF($F1457="","",IFERROR(INDEX(rngEPname,MATCH($F1457,rngEPcode,0)),"?"))</f>
        <v/>
      </c>
      <c r="H1457" s="15">
        <f>IF($F1457="","",IFERROR(INDEX(rngEPtype,MATCH($F1457,rngEPcode,0)),"?"))</f>
        <v/>
      </c>
      <c r="I1457" s="15">
        <f>IF($F1457="","",IFERROR(INDEX(rngEPseq,MATCH($F1457,rngEPcode,0)),""))</f>
        <v/>
      </c>
      <c r="J1457" s="15">
        <f>IF($F1457="","",IFERROR(INDEX(rngEPpass,MATCH($F1457,rngEPcode,0)),cfgPassingScore))</f>
        <v/>
      </c>
      <c r="K1457" s="14" t="n"/>
      <c r="L1457" s="14" t="n"/>
      <c r="M1457" s="15">
        <f>IF($C1457="","",IF($L1457="","",IF($K1457=1,IF(COUNTIFS(nrES_PID,$D1457,nrES_Code,$F1457,nrES_Att,2)&gt;0,"",$L1457),IF(COUNTIFS(nrES_PID,$D1457,nrES_Code,$F1457,nrES_Att,1)=0,$L1457,IF($L1457&gt;=$J1457,cfgRetakeRecordedCap,SUMIFS(nrES_Raw,nrES_PID,$D1457,nrES_Code,$F1457,nrES_Att,1))))))</f>
        <v/>
      </c>
      <c r="N1457" s="15">
        <f>IF($C1457="","",IF($L1457="","",IF($L1457&gt;=$J1457,"Yes","No")))</f>
        <v/>
      </c>
      <c r="O1457" s="15">
        <f>IF($C1457="","",IF($M1457="","",IF($M1457&gt;=$J1457,"Yes","No")))</f>
        <v/>
      </c>
      <c r="P1457" s="15">
        <f>IF($C1457="","",IF($K1457="","",IF(COUNTIFS(nrES_PID,$D1457,nrES_Code,$F1457,nrES_Att,"&gt;"&amp;$K1457)=0,"Yes","No")))</f>
        <v/>
      </c>
      <c r="Q1457" s="15">
        <f>IF($C1457="","",IF($L1457="","",IF(AND($K1457=1,$L1457&lt;$J1457,COUNTIFS(nrES_PID,$D1457,nrES_Code,$F1457,nrES_Att,2)=0),"Yes","No")))</f>
        <v/>
      </c>
      <c r="R1457" s="15">
        <f>IF($C1457="","",IF($L1457="","",IF(AND($K1457=2,$L1457&lt;$J1457,COUNTIFS(nrES_PID,$D1457,nrES_Code,$F1457,nrES_Att,1)&gt;0),"Yes","No")))</f>
        <v/>
      </c>
      <c r="S1457" s="16" t="n"/>
      <c r="T1457" s="17">
        <f>IF($Q1457&lt;&gt;"Yes","",IF($S1457="","(enter date)",_xlfn.LET(_xlpm.dn,IFERROR(_xlfn.XLOOKUP($S1457,nrCDdate,nrCDnum),""),IF(_xlpm.dn="","(not a class day)",IFERROR(_xlfn.XLOOKUP(_xlpm.dn+cfgRetestClassDays,nrCDnum,nrCDdate),"")))))</f>
        <v/>
      </c>
      <c r="U1457" s="15">
        <f>IF($Q1457&lt;&gt;"Yes","",IF(COUNTIFS(nrES_PID,$D1457,nrES_Code,$F1457,nrES_Att,2)&gt;0,"Retested",IF(OR($T1457="",NOT(ISNUMBER($T1457))),"Pending",IF(TODAY()&gt;$T1457,"OVERDUE","Due "&amp;TEXT($T1457,"mm/dd")))))</f>
        <v/>
      </c>
      <c r="V1457" s="14" t="n"/>
      <c r="W1457" s="14" t="n"/>
    </row>
    <row r="1458">
      <c r="B1458" s="15">
        <f>IF($C1458="","",$D1458&amp;"-"&amp;$F1458&amp;"-"&amp;$K1458)</f>
        <v/>
      </c>
      <c r="C1458" s="14" t="n"/>
      <c r="D1458" s="15">
        <f>IF($C1458="","",IFERROR(INDEX(rngCadetPIDs,MATCH($C1458,rngCadetNames,0)),"?"))</f>
        <v/>
      </c>
      <c r="E1458" s="15">
        <f>IF($D1458="","",IFERROR(INDEX(nrCadetAgency,MATCH($D1458,rngCadetPIDs,0)),""))</f>
        <v/>
      </c>
      <c r="F1458" s="14" t="n"/>
      <c r="G1458" s="15">
        <f>IF($F1458="","",IFERROR(INDEX(rngEPname,MATCH($F1458,rngEPcode,0)),"?"))</f>
        <v/>
      </c>
      <c r="H1458" s="15">
        <f>IF($F1458="","",IFERROR(INDEX(rngEPtype,MATCH($F1458,rngEPcode,0)),"?"))</f>
        <v/>
      </c>
      <c r="I1458" s="15">
        <f>IF($F1458="","",IFERROR(INDEX(rngEPseq,MATCH($F1458,rngEPcode,0)),""))</f>
        <v/>
      </c>
      <c r="J1458" s="15">
        <f>IF($F1458="","",IFERROR(INDEX(rngEPpass,MATCH($F1458,rngEPcode,0)),cfgPassingScore))</f>
        <v/>
      </c>
      <c r="K1458" s="14" t="n"/>
      <c r="L1458" s="14" t="n"/>
      <c r="M1458" s="15">
        <f>IF($C1458="","",IF($L1458="","",IF($K1458=1,IF(COUNTIFS(nrES_PID,$D1458,nrES_Code,$F1458,nrES_Att,2)&gt;0,"",$L1458),IF(COUNTIFS(nrES_PID,$D1458,nrES_Code,$F1458,nrES_Att,1)=0,$L1458,IF($L1458&gt;=$J1458,cfgRetakeRecordedCap,SUMIFS(nrES_Raw,nrES_PID,$D1458,nrES_Code,$F1458,nrES_Att,1))))))</f>
        <v/>
      </c>
      <c r="N1458" s="15">
        <f>IF($C1458="","",IF($L1458="","",IF($L1458&gt;=$J1458,"Yes","No")))</f>
        <v/>
      </c>
      <c r="O1458" s="15">
        <f>IF($C1458="","",IF($M1458="","",IF($M1458&gt;=$J1458,"Yes","No")))</f>
        <v/>
      </c>
      <c r="P1458" s="15">
        <f>IF($C1458="","",IF($K1458="","",IF(COUNTIFS(nrES_PID,$D1458,nrES_Code,$F1458,nrES_Att,"&gt;"&amp;$K1458)=0,"Yes","No")))</f>
        <v/>
      </c>
      <c r="Q1458" s="15">
        <f>IF($C1458="","",IF($L1458="","",IF(AND($K1458=1,$L1458&lt;$J1458,COUNTIFS(nrES_PID,$D1458,nrES_Code,$F1458,nrES_Att,2)=0),"Yes","No")))</f>
        <v/>
      </c>
      <c r="R1458" s="15">
        <f>IF($C1458="","",IF($L1458="","",IF(AND($K1458=2,$L1458&lt;$J1458,COUNTIFS(nrES_PID,$D1458,nrES_Code,$F1458,nrES_Att,1)&gt;0),"Yes","No")))</f>
        <v/>
      </c>
      <c r="S1458" s="16" t="n"/>
      <c r="T1458" s="17">
        <f>IF($Q1458&lt;&gt;"Yes","",IF($S1458="","(enter date)",_xlfn.LET(_xlpm.dn,IFERROR(_xlfn.XLOOKUP($S1458,nrCDdate,nrCDnum),""),IF(_xlpm.dn="","(not a class day)",IFERROR(_xlfn.XLOOKUP(_xlpm.dn+cfgRetestClassDays,nrCDnum,nrCDdate),"")))))</f>
        <v/>
      </c>
      <c r="U1458" s="15">
        <f>IF($Q1458&lt;&gt;"Yes","",IF(COUNTIFS(nrES_PID,$D1458,nrES_Code,$F1458,nrES_Att,2)&gt;0,"Retested",IF(OR($T1458="",NOT(ISNUMBER($T1458))),"Pending",IF(TODAY()&gt;$T1458,"OVERDUE","Due "&amp;TEXT($T1458,"mm/dd")))))</f>
        <v/>
      </c>
      <c r="V1458" s="14" t="n"/>
      <c r="W1458" s="14" t="n"/>
    </row>
    <row r="1459">
      <c r="B1459" s="15">
        <f>IF($C1459="","",$D1459&amp;"-"&amp;$F1459&amp;"-"&amp;$K1459)</f>
        <v/>
      </c>
      <c r="C1459" s="14" t="n"/>
      <c r="D1459" s="15">
        <f>IF($C1459="","",IFERROR(INDEX(rngCadetPIDs,MATCH($C1459,rngCadetNames,0)),"?"))</f>
        <v/>
      </c>
      <c r="E1459" s="15">
        <f>IF($D1459="","",IFERROR(INDEX(nrCadetAgency,MATCH($D1459,rngCadetPIDs,0)),""))</f>
        <v/>
      </c>
      <c r="F1459" s="14" t="n"/>
      <c r="G1459" s="15">
        <f>IF($F1459="","",IFERROR(INDEX(rngEPname,MATCH($F1459,rngEPcode,0)),"?"))</f>
        <v/>
      </c>
      <c r="H1459" s="15">
        <f>IF($F1459="","",IFERROR(INDEX(rngEPtype,MATCH($F1459,rngEPcode,0)),"?"))</f>
        <v/>
      </c>
      <c r="I1459" s="15">
        <f>IF($F1459="","",IFERROR(INDEX(rngEPseq,MATCH($F1459,rngEPcode,0)),""))</f>
        <v/>
      </c>
      <c r="J1459" s="15">
        <f>IF($F1459="","",IFERROR(INDEX(rngEPpass,MATCH($F1459,rngEPcode,0)),cfgPassingScore))</f>
        <v/>
      </c>
      <c r="K1459" s="14" t="n"/>
      <c r="L1459" s="14" t="n"/>
      <c r="M1459" s="15">
        <f>IF($C1459="","",IF($L1459="","",IF($K1459=1,IF(COUNTIFS(nrES_PID,$D1459,nrES_Code,$F1459,nrES_Att,2)&gt;0,"",$L1459),IF(COUNTIFS(nrES_PID,$D1459,nrES_Code,$F1459,nrES_Att,1)=0,$L1459,IF($L1459&gt;=$J1459,cfgRetakeRecordedCap,SUMIFS(nrES_Raw,nrES_PID,$D1459,nrES_Code,$F1459,nrES_Att,1))))))</f>
        <v/>
      </c>
      <c r="N1459" s="15">
        <f>IF($C1459="","",IF($L1459="","",IF($L1459&gt;=$J1459,"Yes","No")))</f>
        <v/>
      </c>
      <c r="O1459" s="15">
        <f>IF($C1459="","",IF($M1459="","",IF($M1459&gt;=$J1459,"Yes","No")))</f>
        <v/>
      </c>
      <c r="P1459" s="15">
        <f>IF($C1459="","",IF($K1459="","",IF(COUNTIFS(nrES_PID,$D1459,nrES_Code,$F1459,nrES_Att,"&gt;"&amp;$K1459)=0,"Yes","No")))</f>
        <v/>
      </c>
      <c r="Q1459" s="15">
        <f>IF($C1459="","",IF($L1459="","",IF(AND($K1459=1,$L1459&lt;$J1459,COUNTIFS(nrES_PID,$D1459,nrES_Code,$F1459,nrES_Att,2)=0),"Yes","No")))</f>
        <v/>
      </c>
      <c r="R1459" s="15">
        <f>IF($C1459="","",IF($L1459="","",IF(AND($K1459=2,$L1459&lt;$J1459,COUNTIFS(nrES_PID,$D1459,nrES_Code,$F1459,nrES_Att,1)&gt;0),"Yes","No")))</f>
        <v/>
      </c>
      <c r="S1459" s="16" t="n"/>
      <c r="T1459" s="17">
        <f>IF($Q1459&lt;&gt;"Yes","",IF($S1459="","(enter date)",_xlfn.LET(_xlpm.dn,IFERROR(_xlfn.XLOOKUP($S1459,nrCDdate,nrCDnum),""),IF(_xlpm.dn="","(not a class day)",IFERROR(_xlfn.XLOOKUP(_xlpm.dn+cfgRetestClassDays,nrCDnum,nrCDdate),"")))))</f>
        <v/>
      </c>
      <c r="U1459" s="15">
        <f>IF($Q1459&lt;&gt;"Yes","",IF(COUNTIFS(nrES_PID,$D1459,nrES_Code,$F1459,nrES_Att,2)&gt;0,"Retested",IF(OR($T1459="",NOT(ISNUMBER($T1459))),"Pending",IF(TODAY()&gt;$T1459,"OVERDUE","Due "&amp;TEXT($T1459,"mm/dd")))))</f>
        <v/>
      </c>
      <c r="V1459" s="14" t="n"/>
      <c r="W1459" s="14" t="n"/>
    </row>
    <row r="1460">
      <c r="B1460" s="15">
        <f>IF($C1460="","",$D1460&amp;"-"&amp;$F1460&amp;"-"&amp;$K1460)</f>
        <v/>
      </c>
      <c r="C1460" s="14" t="n"/>
      <c r="D1460" s="15">
        <f>IF($C1460="","",IFERROR(INDEX(rngCadetPIDs,MATCH($C1460,rngCadetNames,0)),"?"))</f>
        <v/>
      </c>
      <c r="E1460" s="15">
        <f>IF($D1460="","",IFERROR(INDEX(nrCadetAgency,MATCH($D1460,rngCadetPIDs,0)),""))</f>
        <v/>
      </c>
      <c r="F1460" s="14" t="n"/>
      <c r="G1460" s="15">
        <f>IF($F1460="","",IFERROR(INDEX(rngEPname,MATCH($F1460,rngEPcode,0)),"?"))</f>
        <v/>
      </c>
      <c r="H1460" s="15">
        <f>IF($F1460="","",IFERROR(INDEX(rngEPtype,MATCH($F1460,rngEPcode,0)),"?"))</f>
        <v/>
      </c>
      <c r="I1460" s="15">
        <f>IF($F1460="","",IFERROR(INDEX(rngEPseq,MATCH($F1460,rngEPcode,0)),""))</f>
        <v/>
      </c>
      <c r="J1460" s="15">
        <f>IF($F1460="","",IFERROR(INDEX(rngEPpass,MATCH($F1460,rngEPcode,0)),cfgPassingScore))</f>
        <v/>
      </c>
      <c r="K1460" s="14" t="n"/>
      <c r="L1460" s="14" t="n"/>
      <c r="M1460" s="15">
        <f>IF($C1460="","",IF($L1460="","",IF($K1460=1,IF(COUNTIFS(nrES_PID,$D1460,nrES_Code,$F1460,nrES_Att,2)&gt;0,"",$L1460),IF(COUNTIFS(nrES_PID,$D1460,nrES_Code,$F1460,nrES_Att,1)=0,$L1460,IF($L1460&gt;=$J1460,cfgRetakeRecordedCap,SUMIFS(nrES_Raw,nrES_PID,$D1460,nrES_Code,$F1460,nrES_Att,1))))))</f>
        <v/>
      </c>
      <c r="N1460" s="15">
        <f>IF($C1460="","",IF($L1460="","",IF($L1460&gt;=$J1460,"Yes","No")))</f>
        <v/>
      </c>
      <c r="O1460" s="15">
        <f>IF($C1460="","",IF($M1460="","",IF($M1460&gt;=$J1460,"Yes","No")))</f>
        <v/>
      </c>
      <c r="P1460" s="15">
        <f>IF($C1460="","",IF($K1460="","",IF(COUNTIFS(nrES_PID,$D1460,nrES_Code,$F1460,nrES_Att,"&gt;"&amp;$K1460)=0,"Yes","No")))</f>
        <v/>
      </c>
      <c r="Q1460" s="15">
        <f>IF($C1460="","",IF($L1460="","",IF(AND($K1460=1,$L1460&lt;$J1460,COUNTIFS(nrES_PID,$D1460,nrES_Code,$F1460,nrES_Att,2)=0),"Yes","No")))</f>
        <v/>
      </c>
      <c r="R1460" s="15">
        <f>IF($C1460="","",IF($L1460="","",IF(AND($K1460=2,$L1460&lt;$J1460,COUNTIFS(nrES_PID,$D1460,nrES_Code,$F1460,nrES_Att,1)&gt;0),"Yes","No")))</f>
        <v/>
      </c>
      <c r="S1460" s="16" t="n"/>
      <c r="T1460" s="17">
        <f>IF($Q1460&lt;&gt;"Yes","",IF($S1460="","(enter date)",_xlfn.LET(_xlpm.dn,IFERROR(_xlfn.XLOOKUP($S1460,nrCDdate,nrCDnum),""),IF(_xlpm.dn="","(not a class day)",IFERROR(_xlfn.XLOOKUP(_xlpm.dn+cfgRetestClassDays,nrCDnum,nrCDdate),"")))))</f>
        <v/>
      </c>
      <c r="U1460" s="15">
        <f>IF($Q1460&lt;&gt;"Yes","",IF(COUNTIFS(nrES_PID,$D1460,nrES_Code,$F1460,nrES_Att,2)&gt;0,"Retested",IF(OR($T1460="",NOT(ISNUMBER($T1460))),"Pending",IF(TODAY()&gt;$T1460,"OVERDUE","Due "&amp;TEXT($T1460,"mm/dd")))))</f>
        <v/>
      </c>
      <c r="V1460" s="14" t="n"/>
      <c r="W1460" s="14" t="n"/>
    </row>
    <row r="1461">
      <c r="B1461" s="15">
        <f>IF($C1461="","",$D1461&amp;"-"&amp;$F1461&amp;"-"&amp;$K1461)</f>
        <v/>
      </c>
      <c r="C1461" s="14" t="n"/>
      <c r="D1461" s="15">
        <f>IF($C1461="","",IFERROR(INDEX(rngCadetPIDs,MATCH($C1461,rngCadetNames,0)),"?"))</f>
        <v/>
      </c>
      <c r="E1461" s="15">
        <f>IF($D1461="","",IFERROR(INDEX(nrCadetAgency,MATCH($D1461,rngCadetPIDs,0)),""))</f>
        <v/>
      </c>
      <c r="F1461" s="14" t="n"/>
      <c r="G1461" s="15">
        <f>IF($F1461="","",IFERROR(INDEX(rngEPname,MATCH($F1461,rngEPcode,0)),"?"))</f>
        <v/>
      </c>
      <c r="H1461" s="15">
        <f>IF($F1461="","",IFERROR(INDEX(rngEPtype,MATCH($F1461,rngEPcode,0)),"?"))</f>
        <v/>
      </c>
      <c r="I1461" s="15">
        <f>IF($F1461="","",IFERROR(INDEX(rngEPseq,MATCH($F1461,rngEPcode,0)),""))</f>
        <v/>
      </c>
      <c r="J1461" s="15">
        <f>IF($F1461="","",IFERROR(INDEX(rngEPpass,MATCH($F1461,rngEPcode,0)),cfgPassingScore))</f>
        <v/>
      </c>
      <c r="K1461" s="14" t="n"/>
      <c r="L1461" s="14" t="n"/>
      <c r="M1461" s="15">
        <f>IF($C1461="","",IF($L1461="","",IF($K1461=1,IF(COUNTIFS(nrES_PID,$D1461,nrES_Code,$F1461,nrES_Att,2)&gt;0,"",$L1461),IF(COUNTIFS(nrES_PID,$D1461,nrES_Code,$F1461,nrES_Att,1)=0,$L1461,IF($L1461&gt;=$J1461,cfgRetakeRecordedCap,SUMIFS(nrES_Raw,nrES_PID,$D1461,nrES_Code,$F1461,nrES_Att,1))))))</f>
        <v/>
      </c>
      <c r="N1461" s="15">
        <f>IF($C1461="","",IF($L1461="","",IF($L1461&gt;=$J1461,"Yes","No")))</f>
        <v/>
      </c>
      <c r="O1461" s="15">
        <f>IF($C1461="","",IF($M1461="","",IF($M1461&gt;=$J1461,"Yes","No")))</f>
        <v/>
      </c>
      <c r="P1461" s="15">
        <f>IF($C1461="","",IF($K1461="","",IF(COUNTIFS(nrES_PID,$D1461,nrES_Code,$F1461,nrES_Att,"&gt;"&amp;$K1461)=0,"Yes","No")))</f>
        <v/>
      </c>
      <c r="Q1461" s="15">
        <f>IF($C1461="","",IF($L1461="","",IF(AND($K1461=1,$L1461&lt;$J1461,COUNTIFS(nrES_PID,$D1461,nrES_Code,$F1461,nrES_Att,2)=0),"Yes","No")))</f>
        <v/>
      </c>
      <c r="R1461" s="15">
        <f>IF($C1461="","",IF($L1461="","",IF(AND($K1461=2,$L1461&lt;$J1461,COUNTIFS(nrES_PID,$D1461,nrES_Code,$F1461,nrES_Att,1)&gt;0),"Yes","No")))</f>
        <v/>
      </c>
      <c r="S1461" s="16" t="n"/>
      <c r="T1461" s="17">
        <f>IF($Q1461&lt;&gt;"Yes","",IF($S1461="","(enter date)",_xlfn.LET(_xlpm.dn,IFERROR(_xlfn.XLOOKUP($S1461,nrCDdate,nrCDnum),""),IF(_xlpm.dn="","(not a class day)",IFERROR(_xlfn.XLOOKUP(_xlpm.dn+cfgRetestClassDays,nrCDnum,nrCDdate),"")))))</f>
        <v/>
      </c>
      <c r="U1461" s="15">
        <f>IF($Q1461&lt;&gt;"Yes","",IF(COUNTIFS(nrES_PID,$D1461,nrES_Code,$F1461,nrES_Att,2)&gt;0,"Retested",IF(OR($T1461="",NOT(ISNUMBER($T1461))),"Pending",IF(TODAY()&gt;$T1461,"OVERDUE","Due "&amp;TEXT($T1461,"mm/dd")))))</f>
        <v/>
      </c>
      <c r="V1461" s="14" t="n"/>
      <c r="W1461" s="14" t="n"/>
    </row>
    <row r="1462">
      <c r="B1462" s="15">
        <f>IF($C1462="","",$D1462&amp;"-"&amp;$F1462&amp;"-"&amp;$K1462)</f>
        <v/>
      </c>
      <c r="C1462" s="14" t="n"/>
      <c r="D1462" s="15">
        <f>IF($C1462="","",IFERROR(INDEX(rngCadetPIDs,MATCH($C1462,rngCadetNames,0)),"?"))</f>
        <v/>
      </c>
      <c r="E1462" s="15">
        <f>IF($D1462="","",IFERROR(INDEX(nrCadetAgency,MATCH($D1462,rngCadetPIDs,0)),""))</f>
        <v/>
      </c>
      <c r="F1462" s="14" t="n"/>
      <c r="G1462" s="15">
        <f>IF($F1462="","",IFERROR(INDEX(rngEPname,MATCH($F1462,rngEPcode,0)),"?"))</f>
        <v/>
      </c>
      <c r="H1462" s="15">
        <f>IF($F1462="","",IFERROR(INDEX(rngEPtype,MATCH($F1462,rngEPcode,0)),"?"))</f>
        <v/>
      </c>
      <c r="I1462" s="15">
        <f>IF($F1462="","",IFERROR(INDEX(rngEPseq,MATCH($F1462,rngEPcode,0)),""))</f>
        <v/>
      </c>
      <c r="J1462" s="15">
        <f>IF($F1462="","",IFERROR(INDEX(rngEPpass,MATCH($F1462,rngEPcode,0)),cfgPassingScore))</f>
        <v/>
      </c>
      <c r="K1462" s="14" t="n"/>
      <c r="L1462" s="14" t="n"/>
      <c r="M1462" s="15">
        <f>IF($C1462="","",IF($L1462="","",IF($K1462=1,IF(COUNTIFS(nrES_PID,$D1462,nrES_Code,$F1462,nrES_Att,2)&gt;0,"",$L1462),IF(COUNTIFS(nrES_PID,$D1462,nrES_Code,$F1462,nrES_Att,1)=0,$L1462,IF($L1462&gt;=$J1462,cfgRetakeRecordedCap,SUMIFS(nrES_Raw,nrES_PID,$D1462,nrES_Code,$F1462,nrES_Att,1))))))</f>
        <v/>
      </c>
      <c r="N1462" s="15">
        <f>IF($C1462="","",IF($L1462="","",IF($L1462&gt;=$J1462,"Yes","No")))</f>
        <v/>
      </c>
      <c r="O1462" s="15">
        <f>IF($C1462="","",IF($M1462="","",IF($M1462&gt;=$J1462,"Yes","No")))</f>
        <v/>
      </c>
      <c r="P1462" s="15">
        <f>IF($C1462="","",IF($K1462="","",IF(COUNTIFS(nrES_PID,$D1462,nrES_Code,$F1462,nrES_Att,"&gt;"&amp;$K1462)=0,"Yes","No")))</f>
        <v/>
      </c>
      <c r="Q1462" s="15">
        <f>IF($C1462="","",IF($L1462="","",IF(AND($K1462=1,$L1462&lt;$J1462,COUNTIFS(nrES_PID,$D1462,nrES_Code,$F1462,nrES_Att,2)=0),"Yes","No")))</f>
        <v/>
      </c>
      <c r="R1462" s="15">
        <f>IF($C1462="","",IF($L1462="","",IF(AND($K1462=2,$L1462&lt;$J1462,COUNTIFS(nrES_PID,$D1462,nrES_Code,$F1462,nrES_Att,1)&gt;0),"Yes","No")))</f>
        <v/>
      </c>
      <c r="S1462" s="16" t="n"/>
      <c r="T1462" s="17">
        <f>IF($Q1462&lt;&gt;"Yes","",IF($S1462="","(enter date)",_xlfn.LET(_xlpm.dn,IFERROR(_xlfn.XLOOKUP($S1462,nrCDdate,nrCDnum),""),IF(_xlpm.dn="","(not a class day)",IFERROR(_xlfn.XLOOKUP(_xlpm.dn+cfgRetestClassDays,nrCDnum,nrCDdate),"")))))</f>
        <v/>
      </c>
      <c r="U1462" s="15">
        <f>IF($Q1462&lt;&gt;"Yes","",IF(COUNTIFS(nrES_PID,$D1462,nrES_Code,$F1462,nrES_Att,2)&gt;0,"Retested",IF(OR($T1462="",NOT(ISNUMBER($T1462))),"Pending",IF(TODAY()&gt;$T1462,"OVERDUE","Due "&amp;TEXT($T1462,"mm/dd")))))</f>
        <v/>
      </c>
      <c r="V1462" s="14" t="n"/>
      <c r="W1462" s="14" t="n"/>
    </row>
    <row r="1463">
      <c r="B1463" s="15">
        <f>IF($C1463="","",$D1463&amp;"-"&amp;$F1463&amp;"-"&amp;$K1463)</f>
        <v/>
      </c>
      <c r="C1463" s="14" t="n"/>
      <c r="D1463" s="15">
        <f>IF($C1463="","",IFERROR(INDEX(rngCadetPIDs,MATCH($C1463,rngCadetNames,0)),"?"))</f>
        <v/>
      </c>
      <c r="E1463" s="15">
        <f>IF($D1463="","",IFERROR(INDEX(nrCadetAgency,MATCH($D1463,rngCadetPIDs,0)),""))</f>
        <v/>
      </c>
      <c r="F1463" s="14" t="n"/>
      <c r="G1463" s="15">
        <f>IF($F1463="","",IFERROR(INDEX(rngEPname,MATCH($F1463,rngEPcode,0)),"?"))</f>
        <v/>
      </c>
      <c r="H1463" s="15">
        <f>IF($F1463="","",IFERROR(INDEX(rngEPtype,MATCH($F1463,rngEPcode,0)),"?"))</f>
        <v/>
      </c>
      <c r="I1463" s="15">
        <f>IF($F1463="","",IFERROR(INDEX(rngEPseq,MATCH($F1463,rngEPcode,0)),""))</f>
        <v/>
      </c>
      <c r="J1463" s="15">
        <f>IF($F1463="","",IFERROR(INDEX(rngEPpass,MATCH($F1463,rngEPcode,0)),cfgPassingScore))</f>
        <v/>
      </c>
      <c r="K1463" s="14" t="n"/>
      <c r="L1463" s="14" t="n"/>
      <c r="M1463" s="15">
        <f>IF($C1463="","",IF($L1463="","",IF($K1463=1,IF(COUNTIFS(nrES_PID,$D1463,nrES_Code,$F1463,nrES_Att,2)&gt;0,"",$L1463),IF(COUNTIFS(nrES_PID,$D1463,nrES_Code,$F1463,nrES_Att,1)=0,$L1463,IF($L1463&gt;=$J1463,cfgRetakeRecordedCap,SUMIFS(nrES_Raw,nrES_PID,$D1463,nrES_Code,$F1463,nrES_Att,1))))))</f>
        <v/>
      </c>
      <c r="N1463" s="15">
        <f>IF($C1463="","",IF($L1463="","",IF($L1463&gt;=$J1463,"Yes","No")))</f>
        <v/>
      </c>
      <c r="O1463" s="15">
        <f>IF($C1463="","",IF($M1463="","",IF($M1463&gt;=$J1463,"Yes","No")))</f>
        <v/>
      </c>
      <c r="P1463" s="15">
        <f>IF($C1463="","",IF($K1463="","",IF(COUNTIFS(nrES_PID,$D1463,nrES_Code,$F1463,nrES_Att,"&gt;"&amp;$K1463)=0,"Yes","No")))</f>
        <v/>
      </c>
      <c r="Q1463" s="15">
        <f>IF($C1463="","",IF($L1463="","",IF(AND($K1463=1,$L1463&lt;$J1463,COUNTIFS(nrES_PID,$D1463,nrES_Code,$F1463,nrES_Att,2)=0),"Yes","No")))</f>
        <v/>
      </c>
      <c r="R1463" s="15">
        <f>IF($C1463="","",IF($L1463="","",IF(AND($K1463=2,$L1463&lt;$J1463,COUNTIFS(nrES_PID,$D1463,nrES_Code,$F1463,nrES_Att,1)&gt;0),"Yes","No")))</f>
        <v/>
      </c>
      <c r="S1463" s="16" t="n"/>
      <c r="T1463" s="17">
        <f>IF($Q1463&lt;&gt;"Yes","",IF($S1463="","(enter date)",_xlfn.LET(_xlpm.dn,IFERROR(_xlfn.XLOOKUP($S1463,nrCDdate,nrCDnum),""),IF(_xlpm.dn="","(not a class day)",IFERROR(_xlfn.XLOOKUP(_xlpm.dn+cfgRetestClassDays,nrCDnum,nrCDdate),"")))))</f>
        <v/>
      </c>
      <c r="U1463" s="15">
        <f>IF($Q1463&lt;&gt;"Yes","",IF(COUNTIFS(nrES_PID,$D1463,nrES_Code,$F1463,nrES_Att,2)&gt;0,"Retested",IF(OR($T1463="",NOT(ISNUMBER($T1463))),"Pending",IF(TODAY()&gt;$T1463,"OVERDUE","Due "&amp;TEXT($T1463,"mm/dd")))))</f>
        <v/>
      </c>
      <c r="V1463" s="14" t="n"/>
      <c r="W1463" s="14" t="n"/>
    </row>
    <row r="1464">
      <c r="B1464" s="15">
        <f>IF($C1464="","",$D1464&amp;"-"&amp;$F1464&amp;"-"&amp;$K1464)</f>
        <v/>
      </c>
      <c r="C1464" s="14" t="n"/>
      <c r="D1464" s="15">
        <f>IF($C1464="","",IFERROR(INDEX(rngCadetPIDs,MATCH($C1464,rngCadetNames,0)),"?"))</f>
        <v/>
      </c>
      <c r="E1464" s="15">
        <f>IF($D1464="","",IFERROR(INDEX(nrCadetAgency,MATCH($D1464,rngCadetPIDs,0)),""))</f>
        <v/>
      </c>
      <c r="F1464" s="14" t="n"/>
      <c r="G1464" s="15">
        <f>IF($F1464="","",IFERROR(INDEX(rngEPname,MATCH($F1464,rngEPcode,0)),"?"))</f>
        <v/>
      </c>
      <c r="H1464" s="15">
        <f>IF($F1464="","",IFERROR(INDEX(rngEPtype,MATCH($F1464,rngEPcode,0)),"?"))</f>
        <v/>
      </c>
      <c r="I1464" s="15">
        <f>IF($F1464="","",IFERROR(INDEX(rngEPseq,MATCH($F1464,rngEPcode,0)),""))</f>
        <v/>
      </c>
      <c r="J1464" s="15">
        <f>IF($F1464="","",IFERROR(INDEX(rngEPpass,MATCH($F1464,rngEPcode,0)),cfgPassingScore))</f>
        <v/>
      </c>
      <c r="K1464" s="14" t="n"/>
      <c r="L1464" s="14" t="n"/>
      <c r="M1464" s="15">
        <f>IF($C1464="","",IF($L1464="","",IF($K1464=1,IF(COUNTIFS(nrES_PID,$D1464,nrES_Code,$F1464,nrES_Att,2)&gt;0,"",$L1464),IF(COUNTIFS(nrES_PID,$D1464,nrES_Code,$F1464,nrES_Att,1)=0,$L1464,IF($L1464&gt;=$J1464,cfgRetakeRecordedCap,SUMIFS(nrES_Raw,nrES_PID,$D1464,nrES_Code,$F1464,nrES_Att,1))))))</f>
        <v/>
      </c>
      <c r="N1464" s="15">
        <f>IF($C1464="","",IF($L1464="","",IF($L1464&gt;=$J1464,"Yes","No")))</f>
        <v/>
      </c>
      <c r="O1464" s="15">
        <f>IF($C1464="","",IF($M1464="","",IF($M1464&gt;=$J1464,"Yes","No")))</f>
        <v/>
      </c>
      <c r="P1464" s="15">
        <f>IF($C1464="","",IF($K1464="","",IF(COUNTIFS(nrES_PID,$D1464,nrES_Code,$F1464,nrES_Att,"&gt;"&amp;$K1464)=0,"Yes","No")))</f>
        <v/>
      </c>
      <c r="Q1464" s="15">
        <f>IF($C1464="","",IF($L1464="","",IF(AND($K1464=1,$L1464&lt;$J1464,COUNTIFS(nrES_PID,$D1464,nrES_Code,$F1464,nrES_Att,2)=0),"Yes","No")))</f>
        <v/>
      </c>
      <c r="R1464" s="15">
        <f>IF($C1464="","",IF($L1464="","",IF(AND($K1464=2,$L1464&lt;$J1464,COUNTIFS(nrES_PID,$D1464,nrES_Code,$F1464,nrES_Att,1)&gt;0),"Yes","No")))</f>
        <v/>
      </c>
      <c r="S1464" s="16" t="n"/>
      <c r="T1464" s="17">
        <f>IF($Q1464&lt;&gt;"Yes","",IF($S1464="","(enter date)",_xlfn.LET(_xlpm.dn,IFERROR(_xlfn.XLOOKUP($S1464,nrCDdate,nrCDnum),""),IF(_xlpm.dn="","(not a class day)",IFERROR(_xlfn.XLOOKUP(_xlpm.dn+cfgRetestClassDays,nrCDnum,nrCDdate),"")))))</f>
        <v/>
      </c>
      <c r="U1464" s="15">
        <f>IF($Q1464&lt;&gt;"Yes","",IF(COUNTIFS(nrES_PID,$D1464,nrES_Code,$F1464,nrES_Att,2)&gt;0,"Retested",IF(OR($T1464="",NOT(ISNUMBER($T1464))),"Pending",IF(TODAY()&gt;$T1464,"OVERDUE","Due "&amp;TEXT($T1464,"mm/dd")))))</f>
        <v/>
      </c>
      <c r="V1464" s="14" t="n"/>
      <c r="W1464" s="14" t="n"/>
    </row>
    <row r="1465">
      <c r="B1465" s="15">
        <f>IF($C1465="","",$D1465&amp;"-"&amp;$F1465&amp;"-"&amp;$K1465)</f>
        <v/>
      </c>
      <c r="C1465" s="14" t="n"/>
      <c r="D1465" s="15">
        <f>IF($C1465="","",IFERROR(INDEX(rngCadetPIDs,MATCH($C1465,rngCadetNames,0)),"?"))</f>
        <v/>
      </c>
      <c r="E1465" s="15">
        <f>IF($D1465="","",IFERROR(INDEX(nrCadetAgency,MATCH($D1465,rngCadetPIDs,0)),""))</f>
        <v/>
      </c>
      <c r="F1465" s="14" t="n"/>
      <c r="G1465" s="15">
        <f>IF($F1465="","",IFERROR(INDEX(rngEPname,MATCH($F1465,rngEPcode,0)),"?"))</f>
        <v/>
      </c>
      <c r="H1465" s="15">
        <f>IF($F1465="","",IFERROR(INDEX(rngEPtype,MATCH($F1465,rngEPcode,0)),"?"))</f>
        <v/>
      </c>
      <c r="I1465" s="15">
        <f>IF($F1465="","",IFERROR(INDEX(rngEPseq,MATCH($F1465,rngEPcode,0)),""))</f>
        <v/>
      </c>
      <c r="J1465" s="15">
        <f>IF($F1465="","",IFERROR(INDEX(rngEPpass,MATCH($F1465,rngEPcode,0)),cfgPassingScore))</f>
        <v/>
      </c>
      <c r="K1465" s="14" t="n"/>
      <c r="L1465" s="14" t="n"/>
      <c r="M1465" s="15">
        <f>IF($C1465="","",IF($L1465="","",IF($K1465=1,IF(COUNTIFS(nrES_PID,$D1465,nrES_Code,$F1465,nrES_Att,2)&gt;0,"",$L1465),IF(COUNTIFS(nrES_PID,$D1465,nrES_Code,$F1465,nrES_Att,1)=0,$L1465,IF($L1465&gt;=$J1465,cfgRetakeRecordedCap,SUMIFS(nrES_Raw,nrES_PID,$D1465,nrES_Code,$F1465,nrES_Att,1))))))</f>
        <v/>
      </c>
      <c r="N1465" s="15">
        <f>IF($C1465="","",IF($L1465="","",IF($L1465&gt;=$J1465,"Yes","No")))</f>
        <v/>
      </c>
      <c r="O1465" s="15">
        <f>IF($C1465="","",IF($M1465="","",IF($M1465&gt;=$J1465,"Yes","No")))</f>
        <v/>
      </c>
      <c r="P1465" s="15">
        <f>IF($C1465="","",IF($K1465="","",IF(COUNTIFS(nrES_PID,$D1465,nrES_Code,$F1465,nrES_Att,"&gt;"&amp;$K1465)=0,"Yes","No")))</f>
        <v/>
      </c>
      <c r="Q1465" s="15">
        <f>IF($C1465="","",IF($L1465="","",IF(AND($K1465=1,$L1465&lt;$J1465,COUNTIFS(nrES_PID,$D1465,nrES_Code,$F1465,nrES_Att,2)=0),"Yes","No")))</f>
        <v/>
      </c>
      <c r="R1465" s="15">
        <f>IF($C1465="","",IF($L1465="","",IF(AND($K1465=2,$L1465&lt;$J1465,COUNTIFS(nrES_PID,$D1465,nrES_Code,$F1465,nrES_Att,1)&gt;0),"Yes","No")))</f>
        <v/>
      </c>
      <c r="S1465" s="16" t="n"/>
      <c r="T1465" s="17">
        <f>IF($Q1465&lt;&gt;"Yes","",IF($S1465="","(enter date)",_xlfn.LET(_xlpm.dn,IFERROR(_xlfn.XLOOKUP($S1465,nrCDdate,nrCDnum),""),IF(_xlpm.dn="","(not a class day)",IFERROR(_xlfn.XLOOKUP(_xlpm.dn+cfgRetestClassDays,nrCDnum,nrCDdate),"")))))</f>
        <v/>
      </c>
      <c r="U1465" s="15">
        <f>IF($Q1465&lt;&gt;"Yes","",IF(COUNTIFS(nrES_PID,$D1465,nrES_Code,$F1465,nrES_Att,2)&gt;0,"Retested",IF(OR($T1465="",NOT(ISNUMBER($T1465))),"Pending",IF(TODAY()&gt;$T1465,"OVERDUE","Due "&amp;TEXT($T1465,"mm/dd")))))</f>
        <v/>
      </c>
      <c r="V1465" s="14" t="n"/>
      <c r="W1465" s="14" t="n"/>
    </row>
    <row r="1466">
      <c r="B1466" s="15">
        <f>IF($C1466="","",$D1466&amp;"-"&amp;$F1466&amp;"-"&amp;$K1466)</f>
        <v/>
      </c>
      <c r="C1466" s="14" t="n"/>
      <c r="D1466" s="15">
        <f>IF($C1466="","",IFERROR(INDEX(rngCadetPIDs,MATCH($C1466,rngCadetNames,0)),"?"))</f>
        <v/>
      </c>
      <c r="E1466" s="15">
        <f>IF($D1466="","",IFERROR(INDEX(nrCadetAgency,MATCH($D1466,rngCadetPIDs,0)),""))</f>
        <v/>
      </c>
      <c r="F1466" s="14" t="n"/>
      <c r="G1466" s="15">
        <f>IF($F1466="","",IFERROR(INDEX(rngEPname,MATCH($F1466,rngEPcode,0)),"?"))</f>
        <v/>
      </c>
      <c r="H1466" s="15">
        <f>IF($F1466="","",IFERROR(INDEX(rngEPtype,MATCH($F1466,rngEPcode,0)),"?"))</f>
        <v/>
      </c>
      <c r="I1466" s="15">
        <f>IF($F1466="","",IFERROR(INDEX(rngEPseq,MATCH($F1466,rngEPcode,0)),""))</f>
        <v/>
      </c>
      <c r="J1466" s="15">
        <f>IF($F1466="","",IFERROR(INDEX(rngEPpass,MATCH($F1466,rngEPcode,0)),cfgPassingScore))</f>
        <v/>
      </c>
      <c r="K1466" s="14" t="n"/>
      <c r="L1466" s="14" t="n"/>
      <c r="M1466" s="15">
        <f>IF($C1466="","",IF($L1466="","",IF($K1466=1,IF(COUNTIFS(nrES_PID,$D1466,nrES_Code,$F1466,nrES_Att,2)&gt;0,"",$L1466),IF(COUNTIFS(nrES_PID,$D1466,nrES_Code,$F1466,nrES_Att,1)=0,$L1466,IF($L1466&gt;=$J1466,cfgRetakeRecordedCap,SUMIFS(nrES_Raw,nrES_PID,$D1466,nrES_Code,$F1466,nrES_Att,1))))))</f>
        <v/>
      </c>
      <c r="N1466" s="15">
        <f>IF($C1466="","",IF($L1466="","",IF($L1466&gt;=$J1466,"Yes","No")))</f>
        <v/>
      </c>
      <c r="O1466" s="15">
        <f>IF($C1466="","",IF($M1466="","",IF($M1466&gt;=$J1466,"Yes","No")))</f>
        <v/>
      </c>
      <c r="P1466" s="15">
        <f>IF($C1466="","",IF($K1466="","",IF(COUNTIFS(nrES_PID,$D1466,nrES_Code,$F1466,nrES_Att,"&gt;"&amp;$K1466)=0,"Yes","No")))</f>
        <v/>
      </c>
      <c r="Q1466" s="15">
        <f>IF($C1466="","",IF($L1466="","",IF(AND($K1466=1,$L1466&lt;$J1466,COUNTIFS(nrES_PID,$D1466,nrES_Code,$F1466,nrES_Att,2)=0),"Yes","No")))</f>
        <v/>
      </c>
      <c r="R1466" s="15">
        <f>IF($C1466="","",IF($L1466="","",IF(AND($K1466=2,$L1466&lt;$J1466,COUNTIFS(nrES_PID,$D1466,nrES_Code,$F1466,nrES_Att,1)&gt;0),"Yes","No")))</f>
        <v/>
      </c>
      <c r="S1466" s="16" t="n"/>
      <c r="T1466" s="17">
        <f>IF($Q1466&lt;&gt;"Yes","",IF($S1466="","(enter date)",_xlfn.LET(_xlpm.dn,IFERROR(_xlfn.XLOOKUP($S1466,nrCDdate,nrCDnum),""),IF(_xlpm.dn="","(not a class day)",IFERROR(_xlfn.XLOOKUP(_xlpm.dn+cfgRetestClassDays,nrCDnum,nrCDdate),"")))))</f>
        <v/>
      </c>
      <c r="U1466" s="15">
        <f>IF($Q1466&lt;&gt;"Yes","",IF(COUNTIFS(nrES_PID,$D1466,nrES_Code,$F1466,nrES_Att,2)&gt;0,"Retested",IF(OR($T1466="",NOT(ISNUMBER($T1466))),"Pending",IF(TODAY()&gt;$T1466,"OVERDUE","Due "&amp;TEXT($T1466,"mm/dd")))))</f>
        <v/>
      </c>
      <c r="V1466" s="14" t="n"/>
      <c r="W1466" s="14" t="n"/>
    </row>
    <row r="1467">
      <c r="B1467" s="15">
        <f>IF($C1467="","",$D1467&amp;"-"&amp;$F1467&amp;"-"&amp;$K1467)</f>
        <v/>
      </c>
      <c r="C1467" s="14" t="n"/>
      <c r="D1467" s="15">
        <f>IF($C1467="","",IFERROR(INDEX(rngCadetPIDs,MATCH($C1467,rngCadetNames,0)),"?"))</f>
        <v/>
      </c>
      <c r="E1467" s="15">
        <f>IF($D1467="","",IFERROR(INDEX(nrCadetAgency,MATCH($D1467,rngCadetPIDs,0)),""))</f>
        <v/>
      </c>
      <c r="F1467" s="14" t="n"/>
      <c r="G1467" s="15">
        <f>IF($F1467="","",IFERROR(INDEX(rngEPname,MATCH($F1467,rngEPcode,0)),"?"))</f>
        <v/>
      </c>
      <c r="H1467" s="15">
        <f>IF($F1467="","",IFERROR(INDEX(rngEPtype,MATCH($F1467,rngEPcode,0)),"?"))</f>
        <v/>
      </c>
      <c r="I1467" s="15">
        <f>IF($F1467="","",IFERROR(INDEX(rngEPseq,MATCH($F1467,rngEPcode,0)),""))</f>
        <v/>
      </c>
      <c r="J1467" s="15">
        <f>IF($F1467="","",IFERROR(INDEX(rngEPpass,MATCH($F1467,rngEPcode,0)),cfgPassingScore))</f>
        <v/>
      </c>
      <c r="K1467" s="14" t="n"/>
      <c r="L1467" s="14" t="n"/>
      <c r="M1467" s="15">
        <f>IF($C1467="","",IF($L1467="","",IF($K1467=1,IF(COUNTIFS(nrES_PID,$D1467,nrES_Code,$F1467,nrES_Att,2)&gt;0,"",$L1467),IF(COUNTIFS(nrES_PID,$D1467,nrES_Code,$F1467,nrES_Att,1)=0,$L1467,IF($L1467&gt;=$J1467,cfgRetakeRecordedCap,SUMIFS(nrES_Raw,nrES_PID,$D1467,nrES_Code,$F1467,nrES_Att,1))))))</f>
        <v/>
      </c>
      <c r="N1467" s="15">
        <f>IF($C1467="","",IF($L1467="","",IF($L1467&gt;=$J1467,"Yes","No")))</f>
        <v/>
      </c>
      <c r="O1467" s="15">
        <f>IF($C1467="","",IF($M1467="","",IF($M1467&gt;=$J1467,"Yes","No")))</f>
        <v/>
      </c>
      <c r="P1467" s="15">
        <f>IF($C1467="","",IF($K1467="","",IF(COUNTIFS(nrES_PID,$D1467,nrES_Code,$F1467,nrES_Att,"&gt;"&amp;$K1467)=0,"Yes","No")))</f>
        <v/>
      </c>
      <c r="Q1467" s="15">
        <f>IF($C1467="","",IF($L1467="","",IF(AND($K1467=1,$L1467&lt;$J1467,COUNTIFS(nrES_PID,$D1467,nrES_Code,$F1467,nrES_Att,2)=0),"Yes","No")))</f>
        <v/>
      </c>
      <c r="R1467" s="15">
        <f>IF($C1467="","",IF($L1467="","",IF(AND($K1467=2,$L1467&lt;$J1467,COUNTIFS(nrES_PID,$D1467,nrES_Code,$F1467,nrES_Att,1)&gt;0),"Yes","No")))</f>
        <v/>
      </c>
      <c r="S1467" s="16" t="n"/>
      <c r="T1467" s="17">
        <f>IF($Q1467&lt;&gt;"Yes","",IF($S1467="","(enter date)",_xlfn.LET(_xlpm.dn,IFERROR(_xlfn.XLOOKUP($S1467,nrCDdate,nrCDnum),""),IF(_xlpm.dn="","(not a class day)",IFERROR(_xlfn.XLOOKUP(_xlpm.dn+cfgRetestClassDays,nrCDnum,nrCDdate),"")))))</f>
        <v/>
      </c>
      <c r="U1467" s="15">
        <f>IF($Q1467&lt;&gt;"Yes","",IF(COUNTIFS(nrES_PID,$D1467,nrES_Code,$F1467,nrES_Att,2)&gt;0,"Retested",IF(OR($T1467="",NOT(ISNUMBER($T1467))),"Pending",IF(TODAY()&gt;$T1467,"OVERDUE","Due "&amp;TEXT($T1467,"mm/dd")))))</f>
        <v/>
      </c>
      <c r="V1467" s="14" t="n"/>
      <c r="W1467" s="14" t="n"/>
    </row>
    <row r="1468">
      <c r="B1468" s="15">
        <f>IF($C1468="","",$D1468&amp;"-"&amp;$F1468&amp;"-"&amp;$K1468)</f>
        <v/>
      </c>
      <c r="C1468" s="14" t="n"/>
      <c r="D1468" s="15">
        <f>IF($C1468="","",IFERROR(INDEX(rngCadetPIDs,MATCH($C1468,rngCadetNames,0)),"?"))</f>
        <v/>
      </c>
      <c r="E1468" s="15">
        <f>IF($D1468="","",IFERROR(INDEX(nrCadetAgency,MATCH($D1468,rngCadetPIDs,0)),""))</f>
        <v/>
      </c>
      <c r="F1468" s="14" t="n"/>
      <c r="G1468" s="15">
        <f>IF($F1468="","",IFERROR(INDEX(rngEPname,MATCH($F1468,rngEPcode,0)),"?"))</f>
        <v/>
      </c>
      <c r="H1468" s="15">
        <f>IF($F1468="","",IFERROR(INDEX(rngEPtype,MATCH($F1468,rngEPcode,0)),"?"))</f>
        <v/>
      </c>
      <c r="I1468" s="15">
        <f>IF($F1468="","",IFERROR(INDEX(rngEPseq,MATCH($F1468,rngEPcode,0)),""))</f>
        <v/>
      </c>
      <c r="J1468" s="15">
        <f>IF($F1468="","",IFERROR(INDEX(rngEPpass,MATCH($F1468,rngEPcode,0)),cfgPassingScore))</f>
        <v/>
      </c>
      <c r="K1468" s="14" t="n"/>
      <c r="L1468" s="14" t="n"/>
      <c r="M1468" s="15">
        <f>IF($C1468="","",IF($L1468="","",IF($K1468=1,IF(COUNTIFS(nrES_PID,$D1468,nrES_Code,$F1468,nrES_Att,2)&gt;0,"",$L1468),IF(COUNTIFS(nrES_PID,$D1468,nrES_Code,$F1468,nrES_Att,1)=0,$L1468,IF($L1468&gt;=$J1468,cfgRetakeRecordedCap,SUMIFS(nrES_Raw,nrES_PID,$D1468,nrES_Code,$F1468,nrES_Att,1))))))</f>
        <v/>
      </c>
      <c r="N1468" s="15">
        <f>IF($C1468="","",IF($L1468="","",IF($L1468&gt;=$J1468,"Yes","No")))</f>
        <v/>
      </c>
      <c r="O1468" s="15">
        <f>IF($C1468="","",IF($M1468="","",IF($M1468&gt;=$J1468,"Yes","No")))</f>
        <v/>
      </c>
      <c r="P1468" s="15">
        <f>IF($C1468="","",IF($K1468="","",IF(COUNTIFS(nrES_PID,$D1468,nrES_Code,$F1468,nrES_Att,"&gt;"&amp;$K1468)=0,"Yes","No")))</f>
        <v/>
      </c>
      <c r="Q1468" s="15">
        <f>IF($C1468="","",IF($L1468="","",IF(AND($K1468=1,$L1468&lt;$J1468,COUNTIFS(nrES_PID,$D1468,nrES_Code,$F1468,nrES_Att,2)=0),"Yes","No")))</f>
        <v/>
      </c>
      <c r="R1468" s="15">
        <f>IF($C1468="","",IF($L1468="","",IF(AND($K1468=2,$L1468&lt;$J1468,COUNTIFS(nrES_PID,$D1468,nrES_Code,$F1468,nrES_Att,1)&gt;0),"Yes","No")))</f>
        <v/>
      </c>
      <c r="S1468" s="16" t="n"/>
      <c r="T1468" s="17">
        <f>IF($Q1468&lt;&gt;"Yes","",IF($S1468="","(enter date)",_xlfn.LET(_xlpm.dn,IFERROR(_xlfn.XLOOKUP($S1468,nrCDdate,nrCDnum),""),IF(_xlpm.dn="","(not a class day)",IFERROR(_xlfn.XLOOKUP(_xlpm.dn+cfgRetestClassDays,nrCDnum,nrCDdate),"")))))</f>
        <v/>
      </c>
      <c r="U1468" s="15">
        <f>IF($Q1468&lt;&gt;"Yes","",IF(COUNTIFS(nrES_PID,$D1468,nrES_Code,$F1468,nrES_Att,2)&gt;0,"Retested",IF(OR($T1468="",NOT(ISNUMBER($T1468))),"Pending",IF(TODAY()&gt;$T1468,"OVERDUE","Due "&amp;TEXT($T1468,"mm/dd")))))</f>
        <v/>
      </c>
      <c r="V1468" s="14" t="n"/>
      <c r="W1468" s="14" t="n"/>
    </row>
    <row r="1469">
      <c r="B1469" s="15">
        <f>IF($C1469="","",$D1469&amp;"-"&amp;$F1469&amp;"-"&amp;$K1469)</f>
        <v/>
      </c>
      <c r="C1469" s="14" t="n"/>
      <c r="D1469" s="15">
        <f>IF($C1469="","",IFERROR(INDEX(rngCadetPIDs,MATCH($C1469,rngCadetNames,0)),"?"))</f>
        <v/>
      </c>
      <c r="E1469" s="15">
        <f>IF($D1469="","",IFERROR(INDEX(nrCadetAgency,MATCH($D1469,rngCadetPIDs,0)),""))</f>
        <v/>
      </c>
      <c r="F1469" s="14" t="n"/>
      <c r="G1469" s="15">
        <f>IF($F1469="","",IFERROR(INDEX(rngEPname,MATCH($F1469,rngEPcode,0)),"?"))</f>
        <v/>
      </c>
      <c r="H1469" s="15">
        <f>IF($F1469="","",IFERROR(INDEX(rngEPtype,MATCH($F1469,rngEPcode,0)),"?"))</f>
        <v/>
      </c>
      <c r="I1469" s="15">
        <f>IF($F1469="","",IFERROR(INDEX(rngEPseq,MATCH($F1469,rngEPcode,0)),""))</f>
        <v/>
      </c>
      <c r="J1469" s="15">
        <f>IF($F1469="","",IFERROR(INDEX(rngEPpass,MATCH($F1469,rngEPcode,0)),cfgPassingScore))</f>
        <v/>
      </c>
      <c r="K1469" s="14" t="n"/>
      <c r="L1469" s="14" t="n"/>
      <c r="M1469" s="15">
        <f>IF($C1469="","",IF($L1469="","",IF($K1469=1,IF(COUNTIFS(nrES_PID,$D1469,nrES_Code,$F1469,nrES_Att,2)&gt;0,"",$L1469),IF(COUNTIFS(nrES_PID,$D1469,nrES_Code,$F1469,nrES_Att,1)=0,$L1469,IF($L1469&gt;=$J1469,cfgRetakeRecordedCap,SUMIFS(nrES_Raw,nrES_PID,$D1469,nrES_Code,$F1469,nrES_Att,1))))))</f>
        <v/>
      </c>
      <c r="N1469" s="15">
        <f>IF($C1469="","",IF($L1469="","",IF($L1469&gt;=$J1469,"Yes","No")))</f>
        <v/>
      </c>
      <c r="O1469" s="15">
        <f>IF($C1469="","",IF($M1469="","",IF($M1469&gt;=$J1469,"Yes","No")))</f>
        <v/>
      </c>
      <c r="P1469" s="15">
        <f>IF($C1469="","",IF($K1469="","",IF(COUNTIFS(nrES_PID,$D1469,nrES_Code,$F1469,nrES_Att,"&gt;"&amp;$K1469)=0,"Yes","No")))</f>
        <v/>
      </c>
      <c r="Q1469" s="15">
        <f>IF($C1469="","",IF($L1469="","",IF(AND($K1469=1,$L1469&lt;$J1469,COUNTIFS(nrES_PID,$D1469,nrES_Code,$F1469,nrES_Att,2)=0),"Yes","No")))</f>
        <v/>
      </c>
      <c r="R1469" s="15">
        <f>IF($C1469="","",IF($L1469="","",IF(AND($K1469=2,$L1469&lt;$J1469,COUNTIFS(nrES_PID,$D1469,nrES_Code,$F1469,nrES_Att,1)&gt;0),"Yes","No")))</f>
        <v/>
      </c>
      <c r="S1469" s="16" t="n"/>
      <c r="T1469" s="17">
        <f>IF($Q1469&lt;&gt;"Yes","",IF($S1469="","(enter date)",_xlfn.LET(_xlpm.dn,IFERROR(_xlfn.XLOOKUP($S1469,nrCDdate,nrCDnum),""),IF(_xlpm.dn="","(not a class day)",IFERROR(_xlfn.XLOOKUP(_xlpm.dn+cfgRetestClassDays,nrCDnum,nrCDdate),"")))))</f>
        <v/>
      </c>
      <c r="U1469" s="15">
        <f>IF($Q1469&lt;&gt;"Yes","",IF(COUNTIFS(nrES_PID,$D1469,nrES_Code,$F1469,nrES_Att,2)&gt;0,"Retested",IF(OR($T1469="",NOT(ISNUMBER($T1469))),"Pending",IF(TODAY()&gt;$T1469,"OVERDUE","Due "&amp;TEXT($T1469,"mm/dd")))))</f>
        <v/>
      </c>
      <c r="V1469" s="14" t="n"/>
      <c r="W1469" s="14" t="n"/>
    </row>
    <row r="1470">
      <c r="B1470" s="15">
        <f>IF($C1470="","",$D1470&amp;"-"&amp;$F1470&amp;"-"&amp;$K1470)</f>
        <v/>
      </c>
      <c r="C1470" s="14" t="n"/>
      <c r="D1470" s="15">
        <f>IF($C1470="","",IFERROR(INDEX(rngCadetPIDs,MATCH($C1470,rngCadetNames,0)),"?"))</f>
        <v/>
      </c>
      <c r="E1470" s="15">
        <f>IF($D1470="","",IFERROR(INDEX(nrCadetAgency,MATCH($D1470,rngCadetPIDs,0)),""))</f>
        <v/>
      </c>
      <c r="F1470" s="14" t="n"/>
      <c r="G1470" s="15">
        <f>IF($F1470="","",IFERROR(INDEX(rngEPname,MATCH($F1470,rngEPcode,0)),"?"))</f>
        <v/>
      </c>
      <c r="H1470" s="15">
        <f>IF($F1470="","",IFERROR(INDEX(rngEPtype,MATCH($F1470,rngEPcode,0)),"?"))</f>
        <v/>
      </c>
      <c r="I1470" s="15">
        <f>IF($F1470="","",IFERROR(INDEX(rngEPseq,MATCH($F1470,rngEPcode,0)),""))</f>
        <v/>
      </c>
      <c r="J1470" s="15">
        <f>IF($F1470="","",IFERROR(INDEX(rngEPpass,MATCH($F1470,rngEPcode,0)),cfgPassingScore))</f>
        <v/>
      </c>
      <c r="K1470" s="14" t="n"/>
      <c r="L1470" s="14" t="n"/>
      <c r="M1470" s="15">
        <f>IF($C1470="","",IF($L1470="","",IF($K1470=1,IF(COUNTIFS(nrES_PID,$D1470,nrES_Code,$F1470,nrES_Att,2)&gt;0,"",$L1470),IF(COUNTIFS(nrES_PID,$D1470,nrES_Code,$F1470,nrES_Att,1)=0,$L1470,IF($L1470&gt;=$J1470,cfgRetakeRecordedCap,SUMIFS(nrES_Raw,nrES_PID,$D1470,nrES_Code,$F1470,nrES_Att,1))))))</f>
        <v/>
      </c>
      <c r="N1470" s="15">
        <f>IF($C1470="","",IF($L1470="","",IF($L1470&gt;=$J1470,"Yes","No")))</f>
        <v/>
      </c>
      <c r="O1470" s="15">
        <f>IF($C1470="","",IF($M1470="","",IF($M1470&gt;=$J1470,"Yes","No")))</f>
        <v/>
      </c>
      <c r="P1470" s="15">
        <f>IF($C1470="","",IF($K1470="","",IF(COUNTIFS(nrES_PID,$D1470,nrES_Code,$F1470,nrES_Att,"&gt;"&amp;$K1470)=0,"Yes","No")))</f>
        <v/>
      </c>
      <c r="Q1470" s="15">
        <f>IF($C1470="","",IF($L1470="","",IF(AND($K1470=1,$L1470&lt;$J1470,COUNTIFS(nrES_PID,$D1470,nrES_Code,$F1470,nrES_Att,2)=0),"Yes","No")))</f>
        <v/>
      </c>
      <c r="R1470" s="15">
        <f>IF($C1470="","",IF($L1470="","",IF(AND($K1470=2,$L1470&lt;$J1470,COUNTIFS(nrES_PID,$D1470,nrES_Code,$F1470,nrES_Att,1)&gt;0),"Yes","No")))</f>
        <v/>
      </c>
      <c r="S1470" s="16" t="n"/>
      <c r="T1470" s="17">
        <f>IF($Q1470&lt;&gt;"Yes","",IF($S1470="","(enter date)",_xlfn.LET(_xlpm.dn,IFERROR(_xlfn.XLOOKUP($S1470,nrCDdate,nrCDnum),""),IF(_xlpm.dn="","(not a class day)",IFERROR(_xlfn.XLOOKUP(_xlpm.dn+cfgRetestClassDays,nrCDnum,nrCDdate),"")))))</f>
        <v/>
      </c>
      <c r="U1470" s="15">
        <f>IF($Q1470&lt;&gt;"Yes","",IF(COUNTIFS(nrES_PID,$D1470,nrES_Code,$F1470,nrES_Att,2)&gt;0,"Retested",IF(OR($T1470="",NOT(ISNUMBER($T1470))),"Pending",IF(TODAY()&gt;$T1470,"OVERDUE","Due "&amp;TEXT($T1470,"mm/dd")))))</f>
        <v/>
      </c>
      <c r="V1470" s="14" t="n"/>
      <c r="W1470" s="14" t="n"/>
    </row>
    <row r="1471">
      <c r="B1471" s="15">
        <f>IF($C1471="","",$D1471&amp;"-"&amp;$F1471&amp;"-"&amp;$K1471)</f>
        <v/>
      </c>
      <c r="C1471" s="14" t="n"/>
      <c r="D1471" s="15">
        <f>IF($C1471="","",IFERROR(INDEX(rngCadetPIDs,MATCH($C1471,rngCadetNames,0)),"?"))</f>
        <v/>
      </c>
      <c r="E1471" s="15">
        <f>IF($D1471="","",IFERROR(INDEX(nrCadetAgency,MATCH($D1471,rngCadetPIDs,0)),""))</f>
        <v/>
      </c>
      <c r="F1471" s="14" t="n"/>
      <c r="G1471" s="15">
        <f>IF($F1471="","",IFERROR(INDEX(rngEPname,MATCH($F1471,rngEPcode,0)),"?"))</f>
        <v/>
      </c>
      <c r="H1471" s="15">
        <f>IF($F1471="","",IFERROR(INDEX(rngEPtype,MATCH($F1471,rngEPcode,0)),"?"))</f>
        <v/>
      </c>
      <c r="I1471" s="15">
        <f>IF($F1471="","",IFERROR(INDEX(rngEPseq,MATCH($F1471,rngEPcode,0)),""))</f>
        <v/>
      </c>
      <c r="J1471" s="15">
        <f>IF($F1471="","",IFERROR(INDEX(rngEPpass,MATCH($F1471,rngEPcode,0)),cfgPassingScore))</f>
        <v/>
      </c>
      <c r="K1471" s="14" t="n"/>
      <c r="L1471" s="14" t="n"/>
      <c r="M1471" s="15">
        <f>IF($C1471="","",IF($L1471="","",IF($K1471=1,IF(COUNTIFS(nrES_PID,$D1471,nrES_Code,$F1471,nrES_Att,2)&gt;0,"",$L1471),IF(COUNTIFS(nrES_PID,$D1471,nrES_Code,$F1471,nrES_Att,1)=0,$L1471,IF($L1471&gt;=$J1471,cfgRetakeRecordedCap,SUMIFS(nrES_Raw,nrES_PID,$D1471,nrES_Code,$F1471,nrES_Att,1))))))</f>
        <v/>
      </c>
      <c r="N1471" s="15">
        <f>IF($C1471="","",IF($L1471="","",IF($L1471&gt;=$J1471,"Yes","No")))</f>
        <v/>
      </c>
      <c r="O1471" s="15">
        <f>IF($C1471="","",IF($M1471="","",IF($M1471&gt;=$J1471,"Yes","No")))</f>
        <v/>
      </c>
      <c r="P1471" s="15">
        <f>IF($C1471="","",IF($K1471="","",IF(COUNTIFS(nrES_PID,$D1471,nrES_Code,$F1471,nrES_Att,"&gt;"&amp;$K1471)=0,"Yes","No")))</f>
        <v/>
      </c>
      <c r="Q1471" s="15">
        <f>IF($C1471="","",IF($L1471="","",IF(AND($K1471=1,$L1471&lt;$J1471,COUNTIFS(nrES_PID,$D1471,nrES_Code,$F1471,nrES_Att,2)=0),"Yes","No")))</f>
        <v/>
      </c>
      <c r="R1471" s="15">
        <f>IF($C1471="","",IF($L1471="","",IF(AND($K1471=2,$L1471&lt;$J1471,COUNTIFS(nrES_PID,$D1471,nrES_Code,$F1471,nrES_Att,1)&gt;0),"Yes","No")))</f>
        <v/>
      </c>
      <c r="S1471" s="16" t="n"/>
      <c r="T1471" s="17">
        <f>IF($Q1471&lt;&gt;"Yes","",IF($S1471="","(enter date)",_xlfn.LET(_xlpm.dn,IFERROR(_xlfn.XLOOKUP($S1471,nrCDdate,nrCDnum),""),IF(_xlpm.dn="","(not a class day)",IFERROR(_xlfn.XLOOKUP(_xlpm.dn+cfgRetestClassDays,nrCDnum,nrCDdate),"")))))</f>
        <v/>
      </c>
      <c r="U1471" s="15">
        <f>IF($Q1471&lt;&gt;"Yes","",IF(COUNTIFS(nrES_PID,$D1471,nrES_Code,$F1471,nrES_Att,2)&gt;0,"Retested",IF(OR($T1471="",NOT(ISNUMBER($T1471))),"Pending",IF(TODAY()&gt;$T1471,"OVERDUE","Due "&amp;TEXT($T1471,"mm/dd")))))</f>
        <v/>
      </c>
      <c r="V1471" s="14" t="n"/>
      <c r="W1471" s="14" t="n"/>
    </row>
    <row r="1472">
      <c r="B1472" s="15">
        <f>IF($C1472="","",$D1472&amp;"-"&amp;$F1472&amp;"-"&amp;$K1472)</f>
        <v/>
      </c>
      <c r="C1472" s="14" t="n"/>
      <c r="D1472" s="15">
        <f>IF($C1472="","",IFERROR(INDEX(rngCadetPIDs,MATCH($C1472,rngCadetNames,0)),"?"))</f>
        <v/>
      </c>
      <c r="E1472" s="15">
        <f>IF($D1472="","",IFERROR(INDEX(nrCadetAgency,MATCH($D1472,rngCadetPIDs,0)),""))</f>
        <v/>
      </c>
      <c r="F1472" s="14" t="n"/>
      <c r="G1472" s="15">
        <f>IF($F1472="","",IFERROR(INDEX(rngEPname,MATCH($F1472,rngEPcode,0)),"?"))</f>
        <v/>
      </c>
      <c r="H1472" s="15">
        <f>IF($F1472="","",IFERROR(INDEX(rngEPtype,MATCH($F1472,rngEPcode,0)),"?"))</f>
        <v/>
      </c>
      <c r="I1472" s="15">
        <f>IF($F1472="","",IFERROR(INDEX(rngEPseq,MATCH($F1472,rngEPcode,0)),""))</f>
        <v/>
      </c>
      <c r="J1472" s="15">
        <f>IF($F1472="","",IFERROR(INDEX(rngEPpass,MATCH($F1472,rngEPcode,0)),cfgPassingScore))</f>
        <v/>
      </c>
      <c r="K1472" s="14" t="n"/>
      <c r="L1472" s="14" t="n"/>
      <c r="M1472" s="15">
        <f>IF($C1472="","",IF($L1472="","",IF($K1472=1,IF(COUNTIFS(nrES_PID,$D1472,nrES_Code,$F1472,nrES_Att,2)&gt;0,"",$L1472),IF(COUNTIFS(nrES_PID,$D1472,nrES_Code,$F1472,nrES_Att,1)=0,$L1472,IF($L1472&gt;=$J1472,cfgRetakeRecordedCap,SUMIFS(nrES_Raw,nrES_PID,$D1472,nrES_Code,$F1472,nrES_Att,1))))))</f>
        <v/>
      </c>
      <c r="N1472" s="15">
        <f>IF($C1472="","",IF($L1472="","",IF($L1472&gt;=$J1472,"Yes","No")))</f>
        <v/>
      </c>
      <c r="O1472" s="15">
        <f>IF($C1472="","",IF($M1472="","",IF($M1472&gt;=$J1472,"Yes","No")))</f>
        <v/>
      </c>
      <c r="P1472" s="15">
        <f>IF($C1472="","",IF($K1472="","",IF(COUNTIFS(nrES_PID,$D1472,nrES_Code,$F1472,nrES_Att,"&gt;"&amp;$K1472)=0,"Yes","No")))</f>
        <v/>
      </c>
      <c r="Q1472" s="15">
        <f>IF($C1472="","",IF($L1472="","",IF(AND($K1472=1,$L1472&lt;$J1472,COUNTIFS(nrES_PID,$D1472,nrES_Code,$F1472,nrES_Att,2)=0),"Yes","No")))</f>
        <v/>
      </c>
      <c r="R1472" s="15">
        <f>IF($C1472="","",IF($L1472="","",IF(AND($K1472=2,$L1472&lt;$J1472,COUNTIFS(nrES_PID,$D1472,nrES_Code,$F1472,nrES_Att,1)&gt;0),"Yes","No")))</f>
        <v/>
      </c>
      <c r="S1472" s="16" t="n"/>
      <c r="T1472" s="17">
        <f>IF($Q1472&lt;&gt;"Yes","",IF($S1472="","(enter date)",_xlfn.LET(_xlpm.dn,IFERROR(_xlfn.XLOOKUP($S1472,nrCDdate,nrCDnum),""),IF(_xlpm.dn="","(not a class day)",IFERROR(_xlfn.XLOOKUP(_xlpm.dn+cfgRetestClassDays,nrCDnum,nrCDdate),"")))))</f>
        <v/>
      </c>
      <c r="U1472" s="15">
        <f>IF($Q1472&lt;&gt;"Yes","",IF(COUNTIFS(nrES_PID,$D1472,nrES_Code,$F1472,nrES_Att,2)&gt;0,"Retested",IF(OR($T1472="",NOT(ISNUMBER($T1472))),"Pending",IF(TODAY()&gt;$T1472,"OVERDUE","Due "&amp;TEXT($T1472,"mm/dd")))))</f>
        <v/>
      </c>
      <c r="V1472" s="14" t="n"/>
      <c r="W1472" s="14" t="n"/>
    </row>
    <row r="1473">
      <c r="B1473" s="15">
        <f>IF($C1473="","",$D1473&amp;"-"&amp;$F1473&amp;"-"&amp;$K1473)</f>
        <v/>
      </c>
      <c r="C1473" s="14" t="n"/>
      <c r="D1473" s="15">
        <f>IF($C1473="","",IFERROR(INDEX(rngCadetPIDs,MATCH($C1473,rngCadetNames,0)),"?"))</f>
        <v/>
      </c>
      <c r="E1473" s="15">
        <f>IF($D1473="","",IFERROR(INDEX(nrCadetAgency,MATCH($D1473,rngCadetPIDs,0)),""))</f>
        <v/>
      </c>
      <c r="F1473" s="14" t="n"/>
      <c r="G1473" s="15">
        <f>IF($F1473="","",IFERROR(INDEX(rngEPname,MATCH($F1473,rngEPcode,0)),"?"))</f>
        <v/>
      </c>
      <c r="H1473" s="15">
        <f>IF($F1473="","",IFERROR(INDEX(rngEPtype,MATCH($F1473,rngEPcode,0)),"?"))</f>
        <v/>
      </c>
      <c r="I1473" s="15">
        <f>IF($F1473="","",IFERROR(INDEX(rngEPseq,MATCH($F1473,rngEPcode,0)),""))</f>
        <v/>
      </c>
      <c r="J1473" s="15">
        <f>IF($F1473="","",IFERROR(INDEX(rngEPpass,MATCH($F1473,rngEPcode,0)),cfgPassingScore))</f>
        <v/>
      </c>
      <c r="K1473" s="14" t="n"/>
      <c r="L1473" s="14" t="n"/>
      <c r="M1473" s="15">
        <f>IF($C1473="","",IF($L1473="","",IF($K1473=1,IF(COUNTIFS(nrES_PID,$D1473,nrES_Code,$F1473,nrES_Att,2)&gt;0,"",$L1473),IF(COUNTIFS(nrES_PID,$D1473,nrES_Code,$F1473,nrES_Att,1)=0,$L1473,IF($L1473&gt;=$J1473,cfgRetakeRecordedCap,SUMIFS(nrES_Raw,nrES_PID,$D1473,nrES_Code,$F1473,nrES_Att,1))))))</f>
        <v/>
      </c>
      <c r="N1473" s="15">
        <f>IF($C1473="","",IF($L1473="","",IF($L1473&gt;=$J1473,"Yes","No")))</f>
        <v/>
      </c>
      <c r="O1473" s="15">
        <f>IF($C1473="","",IF($M1473="","",IF($M1473&gt;=$J1473,"Yes","No")))</f>
        <v/>
      </c>
      <c r="P1473" s="15">
        <f>IF($C1473="","",IF($K1473="","",IF(COUNTIFS(nrES_PID,$D1473,nrES_Code,$F1473,nrES_Att,"&gt;"&amp;$K1473)=0,"Yes","No")))</f>
        <v/>
      </c>
      <c r="Q1473" s="15">
        <f>IF($C1473="","",IF($L1473="","",IF(AND($K1473=1,$L1473&lt;$J1473,COUNTIFS(nrES_PID,$D1473,nrES_Code,$F1473,nrES_Att,2)=0),"Yes","No")))</f>
        <v/>
      </c>
      <c r="R1473" s="15">
        <f>IF($C1473="","",IF($L1473="","",IF(AND($K1473=2,$L1473&lt;$J1473,COUNTIFS(nrES_PID,$D1473,nrES_Code,$F1473,nrES_Att,1)&gt;0),"Yes","No")))</f>
        <v/>
      </c>
      <c r="S1473" s="16" t="n"/>
      <c r="T1473" s="17">
        <f>IF($Q1473&lt;&gt;"Yes","",IF($S1473="","(enter date)",_xlfn.LET(_xlpm.dn,IFERROR(_xlfn.XLOOKUP($S1473,nrCDdate,nrCDnum),""),IF(_xlpm.dn="","(not a class day)",IFERROR(_xlfn.XLOOKUP(_xlpm.dn+cfgRetestClassDays,nrCDnum,nrCDdate),"")))))</f>
        <v/>
      </c>
      <c r="U1473" s="15">
        <f>IF($Q1473&lt;&gt;"Yes","",IF(COUNTIFS(nrES_PID,$D1473,nrES_Code,$F1473,nrES_Att,2)&gt;0,"Retested",IF(OR($T1473="",NOT(ISNUMBER($T1473))),"Pending",IF(TODAY()&gt;$T1473,"OVERDUE","Due "&amp;TEXT($T1473,"mm/dd")))))</f>
        <v/>
      </c>
      <c r="V1473" s="14" t="n"/>
      <c r="W1473" s="14" t="n"/>
    </row>
    <row r="1474">
      <c r="B1474" s="15">
        <f>IF($C1474="","",$D1474&amp;"-"&amp;$F1474&amp;"-"&amp;$K1474)</f>
        <v/>
      </c>
      <c r="C1474" s="14" t="n"/>
      <c r="D1474" s="15">
        <f>IF($C1474="","",IFERROR(INDEX(rngCadetPIDs,MATCH($C1474,rngCadetNames,0)),"?"))</f>
        <v/>
      </c>
      <c r="E1474" s="15">
        <f>IF($D1474="","",IFERROR(INDEX(nrCadetAgency,MATCH($D1474,rngCadetPIDs,0)),""))</f>
        <v/>
      </c>
      <c r="F1474" s="14" t="n"/>
      <c r="G1474" s="15">
        <f>IF($F1474="","",IFERROR(INDEX(rngEPname,MATCH($F1474,rngEPcode,0)),"?"))</f>
        <v/>
      </c>
      <c r="H1474" s="15">
        <f>IF($F1474="","",IFERROR(INDEX(rngEPtype,MATCH($F1474,rngEPcode,0)),"?"))</f>
        <v/>
      </c>
      <c r="I1474" s="15">
        <f>IF($F1474="","",IFERROR(INDEX(rngEPseq,MATCH($F1474,rngEPcode,0)),""))</f>
        <v/>
      </c>
      <c r="J1474" s="15">
        <f>IF($F1474="","",IFERROR(INDEX(rngEPpass,MATCH($F1474,rngEPcode,0)),cfgPassingScore))</f>
        <v/>
      </c>
      <c r="K1474" s="14" t="n"/>
      <c r="L1474" s="14" t="n"/>
      <c r="M1474" s="15">
        <f>IF($C1474="","",IF($L1474="","",IF($K1474=1,IF(COUNTIFS(nrES_PID,$D1474,nrES_Code,$F1474,nrES_Att,2)&gt;0,"",$L1474),IF(COUNTIFS(nrES_PID,$D1474,nrES_Code,$F1474,nrES_Att,1)=0,$L1474,IF($L1474&gt;=$J1474,cfgRetakeRecordedCap,SUMIFS(nrES_Raw,nrES_PID,$D1474,nrES_Code,$F1474,nrES_Att,1))))))</f>
        <v/>
      </c>
      <c r="N1474" s="15">
        <f>IF($C1474="","",IF($L1474="","",IF($L1474&gt;=$J1474,"Yes","No")))</f>
        <v/>
      </c>
      <c r="O1474" s="15">
        <f>IF($C1474="","",IF($M1474="","",IF($M1474&gt;=$J1474,"Yes","No")))</f>
        <v/>
      </c>
      <c r="P1474" s="15">
        <f>IF($C1474="","",IF($K1474="","",IF(COUNTIFS(nrES_PID,$D1474,nrES_Code,$F1474,nrES_Att,"&gt;"&amp;$K1474)=0,"Yes","No")))</f>
        <v/>
      </c>
      <c r="Q1474" s="15">
        <f>IF($C1474="","",IF($L1474="","",IF(AND($K1474=1,$L1474&lt;$J1474,COUNTIFS(nrES_PID,$D1474,nrES_Code,$F1474,nrES_Att,2)=0),"Yes","No")))</f>
        <v/>
      </c>
      <c r="R1474" s="15">
        <f>IF($C1474="","",IF($L1474="","",IF(AND($K1474=2,$L1474&lt;$J1474,COUNTIFS(nrES_PID,$D1474,nrES_Code,$F1474,nrES_Att,1)&gt;0),"Yes","No")))</f>
        <v/>
      </c>
      <c r="S1474" s="16" t="n"/>
      <c r="T1474" s="17">
        <f>IF($Q1474&lt;&gt;"Yes","",IF($S1474="","(enter date)",_xlfn.LET(_xlpm.dn,IFERROR(_xlfn.XLOOKUP($S1474,nrCDdate,nrCDnum),""),IF(_xlpm.dn="","(not a class day)",IFERROR(_xlfn.XLOOKUP(_xlpm.dn+cfgRetestClassDays,nrCDnum,nrCDdate),"")))))</f>
        <v/>
      </c>
      <c r="U1474" s="15">
        <f>IF($Q1474&lt;&gt;"Yes","",IF(COUNTIFS(nrES_PID,$D1474,nrES_Code,$F1474,nrES_Att,2)&gt;0,"Retested",IF(OR($T1474="",NOT(ISNUMBER($T1474))),"Pending",IF(TODAY()&gt;$T1474,"OVERDUE","Due "&amp;TEXT($T1474,"mm/dd")))))</f>
        <v/>
      </c>
      <c r="V1474" s="14" t="n"/>
      <c r="W1474" s="14" t="n"/>
    </row>
    <row r="1475">
      <c r="B1475" s="15">
        <f>IF($C1475="","",$D1475&amp;"-"&amp;$F1475&amp;"-"&amp;$K1475)</f>
        <v/>
      </c>
      <c r="C1475" s="14" t="n"/>
      <c r="D1475" s="15">
        <f>IF($C1475="","",IFERROR(INDEX(rngCadetPIDs,MATCH($C1475,rngCadetNames,0)),"?"))</f>
        <v/>
      </c>
      <c r="E1475" s="15">
        <f>IF($D1475="","",IFERROR(INDEX(nrCadetAgency,MATCH($D1475,rngCadetPIDs,0)),""))</f>
        <v/>
      </c>
      <c r="F1475" s="14" t="n"/>
      <c r="G1475" s="15">
        <f>IF($F1475="","",IFERROR(INDEX(rngEPname,MATCH($F1475,rngEPcode,0)),"?"))</f>
        <v/>
      </c>
      <c r="H1475" s="15">
        <f>IF($F1475="","",IFERROR(INDEX(rngEPtype,MATCH($F1475,rngEPcode,0)),"?"))</f>
        <v/>
      </c>
      <c r="I1475" s="15">
        <f>IF($F1475="","",IFERROR(INDEX(rngEPseq,MATCH($F1475,rngEPcode,0)),""))</f>
        <v/>
      </c>
      <c r="J1475" s="15">
        <f>IF($F1475="","",IFERROR(INDEX(rngEPpass,MATCH($F1475,rngEPcode,0)),cfgPassingScore))</f>
        <v/>
      </c>
      <c r="K1475" s="14" t="n"/>
      <c r="L1475" s="14" t="n"/>
      <c r="M1475" s="15">
        <f>IF($C1475="","",IF($L1475="","",IF($K1475=1,IF(COUNTIFS(nrES_PID,$D1475,nrES_Code,$F1475,nrES_Att,2)&gt;0,"",$L1475),IF(COUNTIFS(nrES_PID,$D1475,nrES_Code,$F1475,nrES_Att,1)=0,$L1475,IF($L1475&gt;=$J1475,cfgRetakeRecordedCap,SUMIFS(nrES_Raw,nrES_PID,$D1475,nrES_Code,$F1475,nrES_Att,1))))))</f>
        <v/>
      </c>
      <c r="N1475" s="15">
        <f>IF($C1475="","",IF($L1475="","",IF($L1475&gt;=$J1475,"Yes","No")))</f>
        <v/>
      </c>
      <c r="O1475" s="15">
        <f>IF($C1475="","",IF($M1475="","",IF($M1475&gt;=$J1475,"Yes","No")))</f>
        <v/>
      </c>
      <c r="P1475" s="15">
        <f>IF($C1475="","",IF($K1475="","",IF(COUNTIFS(nrES_PID,$D1475,nrES_Code,$F1475,nrES_Att,"&gt;"&amp;$K1475)=0,"Yes","No")))</f>
        <v/>
      </c>
      <c r="Q1475" s="15">
        <f>IF($C1475="","",IF($L1475="","",IF(AND($K1475=1,$L1475&lt;$J1475,COUNTIFS(nrES_PID,$D1475,nrES_Code,$F1475,nrES_Att,2)=0),"Yes","No")))</f>
        <v/>
      </c>
      <c r="R1475" s="15">
        <f>IF($C1475="","",IF($L1475="","",IF(AND($K1475=2,$L1475&lt;$J1475,COUNTIFS(nrES_PID,$D1475,nrES_Code,$F1475,nrES_Att,1)&gt;0),"Yes","No")))</f>
        <v/>
      </c>
      <c r="S1475" s="16" t="n"/>
      <c r="T1475" s="17">
        <f>IF($Q1475&lt;&gt;"Yes","",IF($S1475="","(enter date)",_xlfn.LET(_xlpm.dn,IFERROR(_xlfn.XLOOKUP($S1475,nrCDdate,nrCDnum),""),IF(_xlpm.dn="","(not a class day)",IFERROR(_xlfn.XLOOKUP(_xlpm.dn+cfgRetestClassDays,nrCDnum,nrCDdate),"")))))</f>
        <v/>
      </c>
      <c r="U1475" s="15">
        <f>IF($Q1475&lt;&gt;"Yes","",IF(COUNTIFS(nrES_PID,$D1475,nrES_Code,$F1475,nrES_Att,2)&gt;0,"Retested",IF(OR($T1475="",NOT(ISNUMBER($T1475))),"Pending",IF(TODAY()&gt;$T1475,"OVERDUE","Due "&amp;TEXT($T1475,"mm/dd")))))</f>
        <v/>
      </c>
      <c r="V1475" s="14" t="n"/>
      <c r="W1475" s="14" t="n"/>
    </row>
    <row r="1476">
      <c r="B1476" s="15">
        <f>IF($C1476="","",$D1476&amp;"-"&amp;$F1476&amp;"-"&amp;$K1476)</f>
        <v/>
      </c>
      <c r="C1476" s="14" t="n"/>
      <c r="D1476" s="15">
        <f>IF($C1476="","",IFERROR(INDEX(rngCadetPIDs,MATCH($C1476,rngCadetNames,0)),"?"))</f>
        <v/>
      </c>
      <c r="E1476" s="15">
        <f>IF($D1476="","",IFERROR(INDEX(nrCadetAgency,MATCH($D1476,rngCadetPIDs,0)),""))</f>
        <v/>
      </c>
      <c r="F1476" s="14" t="n"/>
      <c r="G1476" s="15">
        <f>IF($F1476="","",IFERROR(INDEX(rngEPname,MATCH($F1476,rngEPcode,0)),"?"))</f>
        <v/>
      </c>
      <c r="H1476" s="15">
        <f>IF($F1476="","",IFERROR(INDEX(rngEPtype,MATCH($F1476,rngEPcode,0)),"?"))</f>
        <v/>
      </c>
      <c r="I1476" s="15">
        <f>IF($F1476="","",IFERROR(INDEX(rngEPseq,MATCH($F1476,rngEPcode,0)),""))</f>
        <v/>
      </c>
      <c r="J1476" s="15">
        <f>IF($F1476="","",IFERROR(INDEX(rngEPpass,MATCH($F1476,rngEPcode,0)),cfgPassingScore))</f>
        <v/>
      </c>
      <c r="K1476" s="14" t="n"/>
      <c r="L1476" s="14" t="n"/>
      <c r="M1476" s="15">
        <f>IF($C1476="","",IF($L1476="","",IF($K1476=1,IF(COUNTIFS(nrES_PID,$D1476,nrES_Code,$F1476,nrES_Att,2)&gt;0,"",$L1476),IF(COUNTIFS(nrES_PID,$D1476,nrES_Code,$F1476,nrES_Att,1)=0,$L1476,IF($L1476&gt;=$J1476,cfgRetakeRecordedCap,SUMIFS(nrES_Raw,nrES_PID,$D1476,nrES_Code,$F1476,nrES_Att,1))))))</f>
        <v/>
      </c>
      <c r="N1476" s="15">
        <f>IF($C1476="","",IF($L1476="","",IF($L1476&gt;=$J1476,"Yes","No")))</f>
        <v/>
      </c>
      <c r="O1476" s="15">
        <f>IF($C1476="","",IF($M1476="","",IF($M1476&gt;=$J1476,"Yes","No")))</f>
        <v/>
      </c>
      <c r="P1476" s="15">
        <f>IF($C1476="","",IF($K1476="","",IF(COUNTIFS(nrES_PID,$D1476,nrES_Code,$F1476,nrES_Att,"&gt;"&amp;$K1476)=0,"Yes","No")))</f>
        <v/>
      </c>
      <c r="Q1476" s="15">
        <f>IF($C1476="","",IF($L1476="","",IF(AND($K1476=1,$L1476&lt;$J1476,COUNTIFS(nrES_PID,$D1476,nrES_Code,$F1476,nrES_Att,2)=0),"Yes","No")))</f>
        <v/>
      </c>
      <c r="R1476" s="15">
        <f>IF($C1476="","",IF($L1476="","",IF(AND($K1476=2,$L1476&lt;$J1476,COUNTIFS(nrES_PID,$D1476,nrES_Code,$F1476,nrES_Att,1)&gt;0),"Yes","No")))</f>
        <v/>
      </c>
      <c r="S1476" s="16" t="n"/>
      <c r="T1476" s="17">
        <f>IF($Q1476&lt;&gt;"Yes","",IF($S1476="","(enter date)",_xlfn.LET(_xlpm.dn,IFERROR(_xlfn.XLOOKUP($S1476,nrCDdate,nrCDnum),""),IF(_xlpm.dn="","(not a class day)",IFERROR(_xlfn.XLOOKUP(_xlpm.dn+cfgRetestClassDays,nrCDnum,nrCDdate),"")))))</f>
        <v/>
      </c>
      <c r="U1476" s="15">
        <f>IF($Q1476&lt;&gt;"Yes","",IF(COUNTIFS(nrES_PID,$D1476,nrES_Code,$F1476,nrES_Att,2)&gt;0,"Retested",IF(OR($T1476="",NOT(ISNUMBER($T1476))),"Pending",IF(TODAY()&gt;$T1476,"OVERDUE","Due "&amp;TEXT($T1476,"mm/dd")))))</f>
        <v/>
      </c>
      <c r="V1476" s="14" t="n"/>
      <c r="W1476" s="14" t="n"/>
    </row>
    <row r="1477">
      <c r="B1477" s="15">
        <f>IF($C1477="","",$D1477&amp;"-"&amp;$F1477&amp;"-"&amp;$K1477)</f>
        <v/>
      </c>
      <c r="C1477" s="14" t="n"/>
      <c r="D1477" s="15">
        <f>IF($C1477="","",IFERROR(INDEX(rngCadetPIDs,MATCH($C1477,rngCadetNames,0)),"?"))</f>
        <v/>
      </c>
      <c r="E1477" s="15">
        <f>IF($D1477="","",IFERROR(INDEX(nrCadetAgency,MATCH($D1477,rngCadetPIDs,0)),""))</f>
        <v/>
      </c>
      <c r="F1477" s="14" t="n"/>
      <c r="G1477" s="15">
        <f>IF($F1477="","",IFERROR(INDEX(rngEPname,MATCH($F1477,rngEPcode,0)),"?"))</f>
        <v/>
      </c>
      <c r="H1477" s="15">
        <f>IF($F1477="","",IFERROR(INDEX(rngEPtype,MATCH($F1477,rngEPcode,0)),"?"))</f>
        <v/>
      </c>
      <c r="I1477" s="15">
        <f>IF($F1477="","",IFERROR(INDEX(rngEPseq,MATCH($F1477,rngEPcode,0)),""))</f>
        <v/>
      </c>
      <c r="J1477" s="15">
        <f>IF($F1477="","",IFERROR(INDEX(rngEPpass,MATCH($F1477,rngEPcode,0)),cfgPassingScore))</f>
        <v/>
      </c>
      <c r="K1477" s="14" t="n"/>
      <c r="L1477" s="14" t="n"/>
      <c r="M1477" s="15">
        <f>IF($C1477="","",IF($L1477="","",IF($K1477=1,IF(COUNTIFS(nrES_PID,$D1477,nrES_Code,$F1477,nrES_Att,2)&gt;0,"",$L1477),IF(COUNTIFS(nrES_PID,$D1477,nrES_Code,$F1477,nrES_Att,1)=0,$L1477,IF($L1477&gt;=$J1477,cfgRetakeRecordedCap,SUMIFS(nrES_Raw,nrES_PID,$D1477,nrES_Code,$F1477,nrES_Att,1))))))</f>
        <v/>
      </c>
      <c r="N1477" s="15">
        <f>IF($C1477="","",IF($L1477="","",IF($L1477&gt;=$J1477,"Yes","No")))</f>
        <v/>
      </c>
      <c r="O1477" s="15">
        <f>IF($C1477="","",IF($M1477="","",IF($M1477&gt;=$J1477,"Yes","No")))</f>
        <v/>
      </c>
      <c r="P1477" s="15">
        <f>IF($C1477="","",IF($K1477="","",IF(COUNTIFS(nrES_PID,$D1477,nrES_Code,$F1477,nrES_Att,"&gt;"&amp;$K1477)=0,"Yes","No")))</f>
        <v/>
      </c>
      <c r="Q1477" s="15">
        <f>IF($C1477="","",IF($L1477="","",IF(AND($K1477=1,$L1477&lt;$J1477,COUNTIFS(nrES_PID,$D1477,nrES_Code,$F1477,nrES_Att,2)=0),"Yes","No")))</f>
        <v/>
      </c>
      <c r="R1477" s="15">
        <f>IF($C1477="","",IF($L1477="","",IF(AND($K1477=2,$L1477&lt;$J1477,COUNTIFS(nrES_PID,$D1477,nrES_Code,$F1477,nrES_Att,1)&gt;0),"Yes","No")))</f>
        <v/>
      </c>
      <c r="S1477" s="16" t="n"/>
      <c r="T1477" s="17">
        <f>IF($Q1477&lt;&gt;"Yes","",IF($S1477="","(enter date)",_xlfn.LET(_xlpm.dn,IFERROR(_xlfn.XLOOKUP($S1477,nrCDdate,nrCDnum),""),IF(_xlpm.dn="","(not a class day)",IFERROR(_xlfn.XLOOKUP(_xlpm.dn+cfgRetestClassDays,nrCDnum,nrCDdate),"")))))</f>
        <v/>
      </c>
      <c r="U1477" s="15">
        <f>IF($Q1477&lt;&gt;"Yes","",IF(COUNTIFS(nrES_PID,$D1477,nrES_Code,$F1477,nrES_Att,2)&gt;0,"Retested",IF(OR($T1477="",NOT(ISNUMBER($T1477))),"Pending",IF(TODAY()&gt;$T1477,"OVERDUE","Due "&amp;TEXT($T1477,"mm/dd")))))</f>
        <v/>
      </c>
      <c r="V1477" s="14" t="n"/>
      <c r="W1477" s="14" t="n"/>
    </row>
    <row r="1478">
      <c r="B1478" s="15">
        <f>IF($C1478="","",$D1478&amp;"-"&amp;$F1478&amp;"-"&amp;$K1478)</f>
        <v/>
      </c>
      <c r="C1478" s="14" t="n"/>
      <c r="D1478" s="15">
        <f>IF($C1478="","",IFERROR(INDEX(rngCadetPIDs,MATCH($C1478,rngCadetNames,0)),"?"))</f>
        <v/>
      </c>
      <c r="E1478" s="15">
        <f>IF($D1478="","",IFERROR(INDEX(nrCadetAgency,MATCH($D1478,rngCadetPIDs,0)),""))</f>
        <v/>
      </c>
      <c r="F1478" s="14" t="n"/>
      <c r="G1478" s="15">
        <f>IF($F1478="","",IFERROR(INDEX(rngEPname,MATCH($F1478,rngEPcode,0)),"?"))</f>
        <v/>
      </c>
      <c r="H1478" s="15">
        <f>IF($F1478="","",IFERROR(INDEX(rngEPtype,MATCH($F1478,rngEPcode,0)),"?"))</f>
        <v/>
      </c>
      <c r="I1478" s="15">
        <f>IF($F1478="","",IFERROR(INDEX(rngEPseq,MATCH($F1478,rngEPcode,0)),""))</f>
        <v/>
      </c>
      <c r="J1478" s="15">
        <f>IF($F1478="","",IFERROR(INDEX(rngEPpass,MATCH($F1478,rngEPcode,0)),cfgPassingScore))</f>
        <v/>
      </c>
      <c r="K1478" s="14" t="n"/>
      <c r="L1478" s="14" t="n"/>
      <c r="M1478" s="15">
        <f>IF($C1478="","",IF($L1478="","",IF($K1478=1,IF(COUNTIFS(nrES_PID,$D1478,nrES_Code,$F1478,nrES_Att,2)&gt;0,"",$L1478),IF(COUNTIFS(nrES_PID,$D1478,nrES_Code,$F1478,nrES_Att,1)=0,$L1478,IF($L1478&gt;=$J1478,cfgRetakeRecordedCap,SUMIFS(nrES_Raw,nrES_PID,$D1478,nrES_Code,$F1478,nrES_Att,1))))))</f>
        <v/>
      </c>
      <c r="N1478" s="15">
        <f>IF($C1478="","",IF($L1478="","",IF($L1478&gt;=$J1478,"Yes","No")))</f>
        <v/>
      </c>
      <c r="O1478" s="15">
        <f>IF($C1478="","",IF($M1478="","",IF($M1478&gt;=$J1478,"Yes","No")))</f>
        <v/>
      </c>
      <c r="P1478" s="15">
        <f>IF($C1478="","",IF($K1478="","",IF(COUNTIFS(nrES_PID,$D1478,nrES_Code,$F1478,nrES_Att,"&gt;"&amp;$K1478)=0,"Yes","No")))</f>
        <v/>
      </c>
      <c r="Q1478" s="15">
        <f>IF($C1478="","",IF($L1478="","",IF(AND($K1478=1,$L1478&lt;$J1478,COUNTIFS(nrES_PID,$D1478,nrES_Code,$F1478,nrES_Att,2)=0),"Yes","No")))</f>
        <v/>
      </c>
      <c r="R1478" s="15">
        <f>IF($C1478="","",IF($L1478="","",IF(AND($K1478=2,$L1478&lt;$J1478,COUNTIFS(nrES_PID,$D1478,nrES_Code,$F1478,nrES_Att,1)&gt;0),"Yes","No")))</f>
        <v/>
      </c>
      <c r="S1478" s="16" t="n"/>
      <c r="T1478" s="17">
        <f>IF($Q1478&lt;&gt;"Yes","",IF($S1478="","(enter date)",_xlfn.LET(_xlpm.dn,IFERROR(_xlfn.XLOOKUP($S1478,nrCDdate,nrCDnum),""),IF(_xlpm.dn="","(not a class day)",IFERROR(_xlfn.XLOOKUP(_xlpm.dn+cfgRetestClassDays,nrCDnum,nrCDdate),"")))))</f>
        <v/>
      </c>
      <c r="U1478" s="15">
        <f>IF($Q1478&lt;&gt;"Yes","",IF(COUNTIFS(nrES_PID,$D1478,nrES_Code,$F1478,nrES_Att,2)&gt;0,"Retested",IF(OR($T1478="",NOT(ISNUMBER($T1478))),"Pending",IF(TODAY()&gt;$T1478,"OVERDUE","Due "&amp;TEXT($T1478,"mm/dd")))))</f>
        <v/>
      </c>
      <c r="V1478" s="14" t="n"/>
      <c r="W1478" s="14" t="n"/>
    </row>
    <row r="1479">
      <c r="B1479" s="15">
        <f>IF($C1479="","",$D1479&amp;"-"&amp;$F1479&amp;"-"&amp;$K1479)</f>
        <v/>
      </c>
      <c r="C1479" s="14" t="n"/>
      <c r="D1479" s="15">
        <f>IF($C1479="","",IFERROR(INDEX(rngCadetPIDs,MATCH($C1479,rngCadetNames,0)),"?"))</f>
        <v/>
      </c>
      <c r="E1479" s="15">
        <f>IF($D1479="","",IFERROR(INDEX(nrCadetAgency,MATCH($D1479,rngCadetPIDs,0)),""))</f>
        <v/>
      </c>
      <c r="F1479" s="14" t="n"/>
      <c r="G1479" s="15">
        <f>IF($F1479="","",IFERROR(INDEX(rngEPname,MATCH($F1479,rngEPcode,0)),"?"))</f>
        <v/>
      </c>
      <c r="H1479" s="15">
        <f>IF($F1479="","",IFERROR(INDEX(rngEPtype,MATCH($F1479,rngEPcode,0)),"?"))</f>
        <v/>
      </c>
      <c r="I1479" s="15">
        <f>IF($F1479="","",IFERROR(INDEX(rngEPseq,MATCH($F1479,rngEPcode,0)),""))</f>
        <v/>
      </c>
      <c r="J1479" s="15">
        <f>IF($F1479="","",IFERROR(INDEX(rngEPpass,MATCH($F1479,rngEPcode,0)),cfgPassingScore))</f>
        <v/>
      </c>
      <c r="K1479" s="14" t="n"/>
      <c r="L1479" s="14" t="n"/>
      <c r="M1479" s="15">
        <f>IF($C1479="","",IF($L1479="","",IF($K1479=1,IF(COUNTIFS(nrES_PID,$D1479,nrES_Code,$F1479,nrES_Att,2)&gt;0,"",$L1479),IF(COUNTIFS(nrES_PID,$D1479,nrES_Code,$F1479,nrES_Att,1)=0,$L1479,IF($L1479&gt;=$J1479,cfgRetakeRecordedCap,SUMIFS(nrES_Raw,nrES_PID,$D1479,nrES_Code,$F1479,nrES_Att,1))))))</f>
        <v/>
      </c>
      <c r="N1479" s="15">
        <f>IF($C1479="","",IF($L1479="","",IF($L1479&gt;=$J1479,"Yes","No")))</f>
        <v/>
      </c>
      <c r="O1479" s="15">
        <f>IF($C1479="","",IF($M1479="","",IF($M1479&gt;=$J1479,"Yes","No")))</f>
        <v/>
      </c>
      <c r="P1479" s="15">
        <f>IF($C1479="","",IF($K1479="","",IF(COUNTIFS(nrES_PID,$D1479,nrES_Code,$F1479,nrES_Att,"&gt;"&amp;$K1479)=0,"Yes","No")))</f>
        <v/>
      </c>
      <c r="Q1479" s="15">
        <f>IF($C1479="","",IF($L1479="","",IF(AND($K1479=1,$L1479&lt;$J1479,COUNTIFS(nrES_PID,$D1479,nrES_Code,$F1479,nrES_Att,2)=0),"Yes","No")))</f>
        <v/>
      </c>
      <c r="R1479" s="15">
        <f>IF($C1479="","",IF($L1479="","",IF(AND($K1479=2,$L1479&lt;$J1479,COUNTIFS(nrES_PID,$D1479,nrES_Code,$F1479,nrES_Att,1)&gt;0),"Yes","No")))</f>
        <v/>
      </c>
      <c r="S1479" s="16" t="n"/>
      <c r="T1479" s="17">
        <f>IF($Q1479&lt;&gt;"Yes","",IF($S1479="","(enter date)",_xlfn.LET(_xlpm.dn,IFERROR(_xlfn.XLOOKUP($S1479,nrCDdate,nrCDnum),""),IF(_xlpm.dn="","(not a class day)",IFERROR(_xlfn.XLOOKUP(_xlpm.dn+cfgRetestClassDays,nrCDnum,nrCDdate),"")))))</f>
        <v/>
      </c>
      <c r="U1479" s="15">
        <f>IF($Q1479&lt;&gt;"Yes","",IF(COUNTIFS(nrES_PID,$D1479,nrES_Code,$F1479,nrES_Att,2)&gt;0,"Retested",IF(OR($T1479="",NOT(ISNUMBER($T1479))),"Pending",IF(TODAY()&gt;$T1479,"OVERDUE","Due "&amp;TEXT($T1479,"mm/dd")))))</f>
        <v/>
      </c>
      <c r="V1479" s="14" t="n"/>
      <c r="W1479" s="14" t="n"/>
    </row>
    <row r="1480">
      <c r="B1480" s="15">
        <f>IF($C1480="","",$D1480&amp;"-"&amp;$F1480&amp;"-"&amp;$K1480)</f>
        <v/>
      </c>
      <c r="C1480" s="14" t="n"/>
      <c r="D1480" s="15">
        <f>IF($C1480="","",IFERROR(INDEX(rngCadetPIDs,MATCH($C1480,rngCadetNames,0)),"?"))</f>
        <v/>
      </c>
      <c r="E1480" s="15">
        <f>IF($D1480="","",IFERROR(INDEX(nrCadetAgency,MATCH($D1480,rngCadetPIDs,0)),""))</f>
        <v/>
      </c>
      <c r="F1480" s="14" t="n"/>
      <c r="G1480" s="15">
        <f>IF($F1480="","",IFERROR(INDEX(rngEPname,MATCH($F1480,rngEPcode,0)),"?"))</f>
        <v/>
      </c>
      <c r="H1480" s="15">
        <f>IF($F1480="","",IFERROR(INDEX(rngEPtype,MATCH($F1480,rngEPcode,0)),"?"))</f>
        <v/>
      </c>
      <c r="I1480" s="15">
        <f>IF($F1480="","",IFERROR(INDEX(rngEPseq,MATCH($F1480,rngEPcode,0)),""))</f>
        <v/>
      </c>
      <c r="J1480" s="15">
        <f>IF($F1480="","",IFERROR(INDEX(rngEPpass,MATCH($F1480,rngEPcode,0)),cfgPassingScore))</f>
        <v/>
      </c>
      <c r="K1480" s="14" t="n"/>
      <c r="L1480" s="14" t="n"/>
      <c r="M1480" s="15">
        <f>IF($C1480="","",IF($L1480="","",IF($K1480=1,IF(COUNTIFS(nrES_PID,$D1480,nrES_Code,$F1480,nrES_Att,2)&gt;0,"",$L1480),IF(COUNTIFS(nrES_PID,$D1480,nrES_Code,$F1480,nrES_Att,1)=0,$L1480,IF($L1480&gt;=$J1480,cfgRetakeRecordedCap,SUMIFS(nrES_Raw,nrES_PID,$D1480,nrES_Code,$F1480,nrES_Att,1))))))</f>
        <v/>
      </c>
      <c r="N1480" s="15">
        <f>IF($C1480="","",IF($L1480="","",IF($L1480&gt;=$J1480,"Yes","No")))</f>
        <v/>
      </c>
      <c r="O1480" s="15">
        <f>IF($C1480="","",IF($M1480="","",IF($M1480&gt;=$J1480,"Yes","No")))</f>
        <v/>
      </c>
      <c r="P1480" s="15">
        <f>IF($C1480="","",IF($K1480="","",IF(COUNTIFS(nrES_PID,$D1480,nrES_Code,$F1480,nrES_Att,"&gt;"&amp;$K1480)=0,"Yes","No")))</f>
        <v/>
      </c>
      <c r="Q1480" s="15">
        <f>IF($C1480="","",IF($L1480="","",IF(AND($K1480=1,$L1480&lt;$J1480,COUNTIFS(nrES_PID,$D1480,nrES_Code,$F1480,nrES_Att,2)=0),"Yes","No")))</f>
        <v/>
      </c>
      <c r="R1480" s="15">
        <f>IF($C1480="","",IF($L1480="","",IF(AND($K1480=2,$L1480&lt;$J1480,COUNTIFS(nrES_PID,$D1480,nrES_Code,$F1480,nrES_Att,1)&gt;0),"Yes","No")))</f>
        <v/>
      </c>
      <c r="S1480" s="16" t="n"/>
      <c r="T1480" s="17">
        <f>IF($Q1480&lt;&gt;"Yes","",IF($S1480="","(enter date)",_xlfn.LET(_xlpm.dn,IFERROR(_xlfn.XLOOKUP($S1480,nrCDdate,nrCDnum),""),IF(_xlpm.dn="","(not a class day)",IFERROR(_xlfn.XLOOKUP(_xlpm.dn+cfgRetestClassDays,nrCDnum,nrCDdate),"")))))</f>
        <v/>
      </c>
      <c r="U1480" s="15">
        <f>IF($Q1480&lt;&gt;"Yes","",IF(COUNTIFS(nrES_PID,$D1480,nrES_Code,$F1480,nrES_Att,2)&gt;0,"Retested",IF(OR($T1480="",NOT(ISNUMBER($T1480))),"Pending",IF(TODAY()&gt;$T1480,"OVERDUE","Due "&amp;TEXT($T1480,"mm/dd")))))</f>
        <v/>
      </c>
      <c r="V1480" s="14" t="n"/>
      <c r="W1480" s="14" t="n"/>
    </row>
    <row r="1481">
      <c r="B1481" s="15">
        <f>IF($C1481="","",$D1481&amp;"-"&amp;$F1481&amp;"-"&amp;$K1481)</f>
        <v/>
      </c>
      <c r="C1481" s="14" t="n"/>
      <c r="D1481" s="15">
        <f>IF($C1481="","",IFERROR(INDEX(rngCadetPIDs,MATCH($C1481,rngCadetNames,0)),"?"))</f>
        <v/>
      </c>
      <c r="E1481" s="15">
        <f>IF($D1481="","",IFERROR(INDEX(nrCadetAgency,MATCH($D1481,rngCadetPIDs,0)),""))</f>
        <v/>
      </c>
      <c r="F1481" s="14" t="n"/>
      <c r="G1481" s="15">
        <f>IF($F1481="","",IFERROR(INDEX(rngEPname,MATCH($F1481,rngEPcode,0)),"?"))</f>
        <v/>
      </c>
      <c r="H1481" s="15">
        <f>IF($F1481="","",IFERROR(INDEX(rngEPtype,MATCH($F1481,rngEPcode,0)),"?"))</f>
        <v/>
      </c>
      <c r="I1481" s="15">
        <f>IF($F1481="","",IFERROR(INDEX(rngEPseq,MATCH($F1481,rngEPcode,0)),""))</f>
        <v/>
      </c>
      <c r="J1481" s="15">
        <f>IF($F1481="","",IFERROR(INDEX(rngEPpass,MATCH($F1481,rngEPcode,0)),cfgPassingScore))</f>
        <v/>
      </c>
      <c r="K1481" s="14" t="n"/>
      <c r="L1481" s="14" t="n"/>
      <c r="M1481" s="15">
        <f>IF($C1481="","",IF($L1481="","",IF($K1481=1,IF(COUNTIFS(nrES_PID,$D1481,nrES_Code,$F1481,nrES_Att,2)&gt;0,"",$L1481),IF(COUNTIFS(nrES_PID,$D1481,nrES_Code,$F1481,nrES_Att,1)=0,$L1481,IF($L1481&gt;=$J1481,cfgRetakeRecordedCap,SUMIFS(nrES_Raw,nrES_PID,$D1481,nrES_Code,$F1481,nrES_Att,1))))))</f>
        <v/>
      </c>
      <c r="N1481" s="15">
        <f>IF($C1481="","",IF($L1481="","",IF($L1481&gt;=$J1481,"Yes","No")))</f>
        <v/>
      </c>
      <c r="O1481" s="15">
        <f>IF($C1481="","",IF($M1481="","",IF($M1481&gt;=$J1481,"Yes","No")))</f>
        <v/>
      </c>
      <c r="P1481" s="15">
        <f>IF($C1481="","",IF($K1481="","",IF(COUNTIFS(nrES_PID,$D1481,nrES_Code,$F1481,nrES_Att,"&gt;"&amp;$K1481)=0,"Yes","No")))</f>
        <v/>
      </c>
      <c r="Q1481" s="15">
        <f>IF($C1481="","",IF($L1481="","",IF(AND($K1481=1,$L1481&lt;$J1481,COUNTIFS(nrES_PID,$D1481,nrES_Code,$F1481,nrES_Att,2)=0),"Yes","No")))</f>
        <v/>
      </c>
      <c r="R1481" s="15">
        <f>IF($C1481="","",IF($L1481="","",IF(AND($K1481=2,$L1481&lt;$J1481,COUNTIFS(nrES_PID,$D1481,nrES_Code,$F1481,nrES_Att,1)&gt;0),"Yes","No")))</f>
        <v/>
      </c>
      <c r="S1481" s="16" t="n"/>
      <c r="T1481" s="17">
        <f>IF($Q1481&lt;&gt;"Yes","",IF($S1481="","(enter date)",_xlfn.LET(_xlpm.dn,IFERROR(_xlfn.XLOOKUP($S1481,nrCDdate,nrCDnum),""),IF(_xlpm.dn="","(not a class day)",IFERROR(_xlfn.XLOOKUP(_xlpm.dn+cfgRetestClassDays,nrCDnum,nrCDdate),"")))))</f>
        <v/>
      </c>
      <c r="U1481" s="15">
        <f>IF($Q1481&lt;&gt;"Yes","",IF(COUNTIFS(nrES_PID,$D1481,nrES_Code,$F1481,nrES_Att,2)&gt;0,"Retested",IF(OR($T1481="",NOT(ISNUMBER($T1481))),"Pending",IF(TODAY()&gt;$T1481,"OVERDUE","Due "&amp;TEXT($T1481,"mm/dd")))))</f>
        <v/>
      </c>
      <c r="V1481" s="14" t="n"/>
      <c r="W1481" s="14" t="n"/>
    </row>
    <row r="1482">
      <c r="B1482" s="15">
        <f>IF($C1482="","",$D1482&amp;"-"&amp;$F1482&amp;"-"&amp;$K1482)</f>
        <v/>
      </c>
      <c r="C1482" s="14" t="n"/>
      <c r="D1482" s="15">
        <f>IF($C1482="","",IFERROR(INDEX(rngCadetPIDs,MATCH($C1482,rngCadetNames,0)),"?"))</f>
        <v/>
      </c>
      <c r="E1482" s="15">
        <f>IF($D1482="","",IFERROR(INDEX(nrCadetAgency,MATCH($D1482,rngCadetPIDs,0)),""))</f>
        <v/>
      </c>
      <c r="F1482" s="14" t="n"/>
      <c r="G1482" s="15">
        <f>IF($F1482="","",IFERROR(INDEX(rngEPname,MATCH($F1482,rngEPcode,0)),"?"))</f>
        <v/>
      </c>
      <c r="H1482" s="15">
        <f>IF($F1482="","",IFERROR(INDEX(rngEPtype,MATCH($F1482,rngEPcode,0)),"?"))</f>
        <v/>
      </c>
      <c r="I1482" s="15">
        <f>IF($F1482="","",IFERROR(INDEX(rngEPseq,MATCH($F1482,rngEPcode,0)),""))</f>
        <v/>
      </c>
      <c r="J1482" s="15">
        <f>IF($F1482="","",IFERROR(INDEX(rngEPpass,MATCH($F1482,rngEPcode,0)),cfgPassingScore))</f>
        <v/>
      </c>
      <c r="K1482" s="14" t="n"/>
      <c r="L1482" s="14" t="n"/>
      <c r="M1482" s="15">
        <f>IF($C1482="","",IF($L1482="","",IF($K1482=1,IF(COUNTIFS(nrES_PID,$D1482,nrES_Code,$F1482,nrES_Att,2)&gt;0,"",$L1482),IF(COUNTIFS(nrES_PID,$D1482,nrES_Code,$F1482,nrES_Att,1)=0,$L1482,IF($L1482&gt;=$J1482,cfgRetakeRecordedCap,SUMIFS(nrES_Raw,nrES_PID,$D1482,nrES_Code,$F1482,nrES_Att,1))))))</f>
        <v/>
      </c>
      <c r="N1482" s="15">
        <f>IF($C1482="","",IF($L1482="","",IF($L1482&gt;=$J1482,"Yes","No")))</f>
        <v/>
      </c>
      <c r="O1482" s="15">
        <f>IF($C1482="","",IF($M1482="","",IF($M1482&gt;=$J1482,"Yes","No")))</f>
        <v/>
      </c>
      <c r="P1482" s="15">
        <f>IF($C1482="","",IF($K1482="","",IF(COUNTIFS(nrES_PID,$D1482,nrES_Code,$F1482,nrES_Att,"&gt;"&amp;$K1482)=0,"Yes","No")))</f>
        <v/>
      </c>
      <c r="Q1482" s="15">
        <f>IF($C1482="","",IF($L1482="","",IF(AND($K1482=1,$L1482&lt;$J1482,COUNTIFS(nrES_PID,$D1482,nrES_Code,$F1482,nrES_Att,2)=0),"Yes","No")))</f>
        <v/>
      </c>
      <c r="R1482" s="15">
        <f>IF($C1482="","",IF($L1482="","",IF(AND($K1482=2,$L1482&lt;$J1482,COUNTIFS(nrES_PID,$D1482,nrES_Code,$F1482,nrES_Att,1)&gt;0),"Yes","No")))</f>
        <v/>
      </c>
      <c r="S1482" s="16" t="n"/>
      <c r="T1482" s="17">
        <f>IF($Q1482&lt;&gt;"Yes","",IF($S1482="","(enter date)",_xlfn.LET(_xlpm.dn,IFERROR(_xlfn.XLOOKUP($S1482,nrCDdate,nrCDnum),""),IF(_xlpm.dn="","(not a class day)",IFERROR(_xlfn.XLOOKUP(_xlpm.dn+cfgRetestClassDays,nrCDnum,nrCDdate),"")))))</f>
        <v/>
      </c>
      <c r="U1482" s="15">
        <f>IF($Q1482&lt;&gt;"Yes","",IF(COUNTIFS(nrES_PID,$D1482,nrES_Code,$F1482,nrES_Att,2)&gt;0,"Retested",IF(OR($T1482="",NOT(ISNUMBER($T1482))),"Pending",IF(TODAY()&gt;$T1482,"OVERDUE","Due "&amp;TEXT($T1482,"mm/dd")))))</f>
        <v/>
      </c>
      <c r="V1482" s="14" t="n"/>
      <c r="W1482" s="14" t="n"/>
    </row>
    <row r="1483">
      <c r="B1483" s="15">
        <f>IF($C1483="","",$D1483&amp;"-"&amp;$F1483&amp;"-"&amp;$K1483)</f>
        <v/>
      </c>
      <c r="C1483" s="14" t="n"/>
      <c r="D1483" s="15">
        <f>IF($C1483="","",IFERROR(INDEX(rngCadetPIDs,MATCH($C1483,rngCadetNames,0)),"?"))</f>
        <v/>
      </c>
      <c r="E1483" s="15">
        <f>IF($D1483="","",IFERROR(INDEX(nrCadetAgency,MATCH($D1483,rngCadetPIDs,0)),""))</f>
        <v/>
      </c>
      <c r="F1483" s="14" t="n"/>
      <c r="G1483" s="15">
        <f>IF($F1483="","",IFERROR(INDEX(rngEPname,MATCH($F1483,rngEPcode,0)),"?"))</f>
        <v/>
      </c>
      <c r="H1483" s="15">
        <f>IF($F1483="","",IFERROR(INDEX(rngEPtype,MATCH($F1483,rngEPcode,0)),"?"))</f>
        <v/>
      </c>
      <c r="I1483" s="15">
        <f>IF($F1483="","",IFERROR(INDEX(rngEPseq,MATCH($F1483,rngEPcode,0)),""))</f>
        <v/>
      </c>
      <c r="J1483" s="15">
        <f>IF($F1483="","",IFERROR(INDEX(rngEPpass,MATCH($F1483,rngEPcode,0)),cfgPassingScore))</f>
        <v/>
      </c>
      <c r="K1483" s="14" t="n"/>
      <c r="L1483" s="14" t="n"/>
      <c r="M1483" s="15">
        <f>IF($C1483="","",IF($L1483="","",IF($K1483=1,IF(COUNTIFS(nrES_PID,$D1483,nrES_Code,$F1483,nrES_Att,2)&gt;0,"",$L1483),IF(COUNTIFS(nrES_PID,$D1483,nrES_Code,$F1483,nrES_Att,1)=0,$L1483,IF($L1483&gt;=$J1483,cfgRetakeRecordedCap,SUMIFS(nrES_Raw,nrES_PID,$D1483,nrES_Code,$F1483,nrES_Att,1))))))</f>
        <v/>
      </c>
      <c r="N1483" s="15">
        <f>IF($C1483="","",IF($L1483="","",IF($L1483&gt;=$J1483,"Yes","No")))</f>
        <v/>
      </c>
      <c r="O1483" s="15">
        <f>IF($C1483="","",IF($M1483="","",IF($M1483&gt;=$J1483,"Yes","No")))</f>
        <v/>
      </c>
      <c r="P1483" s="15">
        <f>IF($C1483="","",IF($K1483="","",IF(COUNTIFS(nrES_PID,$D1483,nrES_Code,$F1483,nrES_Att,"&gt;"&amp;$K1483)=0,"Yes","No")))</f>
        <v/>
      </c>
      <c r="Q1483" s="15">
        <f>IF($C1483="","",IF($L1483="","",IF(AND($K1483=1,$L1483&lt;$J1483,COUNTIFS(nrES_PID,$D1483,nrES_Code,$F1483,nrES_Att,2)=0),"Yes","No")))</f>
        <v/>
      </c>
      <c r="R1483" s="15">
        <f>IF($C1483="","",IF($L1483="","",IF(AND($K1483=2,$L1483&lt;$J1483,COUNTIFS(nrES_PID,$D1483,nrES_Code,$F1483,nrES_Att,1)&gt;0),"Yes","No")))</f>
        <v/>
      </c>
      <c r="S1483" s="16" t="n"/>
      <c r="T1483" s="17">
        <f>IF($Q1483&lt;&gt;"Yes","",IF($S1483="","(enter date)",_xlfn.LET(_xlpm.dn,IFERROR(_xlfn.XLOOKUP($S1483,nrCDdate,nrCDnum),""),IF(_xlpm.dn="","(not a class day)",IFERROR(_xlfn.XLOOKUP(_xlpm.dn+cfgRetestClassDays,nrCDnum,nrCDdate),"")))))</f>
        <v/>
      </c>
      <c r="U1483" s="15">
        <f>IF($Q1483&lt;&gt;"Yes","",IF(COUNTIFS(nrES_PID,$D1483,nrES_Code,$F1483,nrES_Att,2)&gt;0,"Retested",IF(OR($T1483="",NOT(ISNUMBER($T1483))),"Pending",IF(TODAY()&gt;$T1483,"OVERDUE","Due "&amp;TEXT($T1483,"mm/dd")))))</f>
        <v/>
      </c>
      <c r="V1483" s="14" t="n"/>
      <c r="W1483" s="14" t="n"/>
    </row>
    <row r="1484">
      <c r="B1484" s="15">
        <f>IF($C1484="","",$D1484&amp;"-"&amp;$F1484&amp;"-"&amp;$K1484)</f>
        <v/>
      </c>
      <c r="C1484" s="14" t="n"/>
      <c r="D1484" s="15">
        <f>IF($C1484="","",IFERROR(INDEX(rngCadetPIDs,MATCH($C1484,rngCadetNames,0)),"?"))</f>
        <v/>
      </c>
      <c r="E1484" s="15">
        <f>IF($D1484="","",IFERROR(INDEX(nrCadetAgency,MATCH($D1484,rngCadetPIDs,0)),""))</f>
        <v/>
      </c>
      <c r="F1484" s="14" t="n"/>
      <c r="G1484" s="15">
        <f>IF($F1484="","",IFERROR(INDEX(rngEPname,MATCH($F1484,rngEPcode,0)),"?"))</f>
        <v/>
      </c>
      <c r="H1484" s="15">
        <f>IF($F1484="","",IFERROR(INDEX(rngEPtype,MATCH($F1484,rngEPcode,0)),"?"))</f>
        <v/>
      </c>
      <c r="I1484" s="15">
        <f>IF($F1484="","",IFERROR(INDEX(rngEPseq,MATCH($F1484,rngEPcode,0)),""))</f>
        <v/>
      </c>
      <c r="J1484" s="15">
        <f>IF($F1484="","",IFERROR(INDEX(rngEPpass,MATCH($F1484,rngEPcode,0)),cfgPassingScore))</f>
        <v/>
      </c>
      <c r="K1484" s="14" t="n"/>
      <c r="L1484" s="14" t="n"/>
      <c r="M1484" s="15">
        <f>IF($C1484="","",IF($L1484="","",IF($K1484=1,IF(COUNTIFS(nrES_PID,$D1484,nrES_Code,$F1484,nrES_Att,2)&gt;0,"",$L1484),IF(COUNTIFS(nrES_PID,$D1484,nrES_Code,$F1484,nrES_Att,1)=0,$L1484,IF($L1484&gt;=$J1484,cfgRetakeRecordedCap,SUMIFS(nrES_Raw,nrES_PID,$D1484,nrES_Code,$F1484,nrES_Att,1))))))</f>
        <v/>
      </c>
      <c r="N1484" s="15">
        <f>IF($C1484="","",IF($L1484="","",IF($L1484&gt;=$J1484,"Yes","No")))</f>
        <v/>
      </c>
      <c r="O1484" s="15">
        <f>IF($C1484="","",IF($M1484="","",IF($M1484&gt;=$J1484,"Yes","No")))</f>
        <v/>
      </c>
      <c r="P1484" s="15">
        <f>IF($C1484="","",IF($K1484="","",IF(COUNTIFS(nrES_PID,$D1484,nrES_Code,$F1484,nrES_Att,"&gt;"&amp;$K1484)=0,"Yes","No")))</f>
        <v/>
      </c>
      <c r="Q1484" s="15">
        <f>IF($C1484="","",IF($L1484="","",IF(AND($K1484=1,$L1484&lt;$J1484,COUNTIFS(nrES_PID,$D1484,nrES_Code,$F1484,nrES_Att,2)=0),"Yes","No")))</f>
        <v/>
      </c>
      <c r="R1484" s="15">
        <f>IF($C1484="","",IF($L1484="","",IF(AND($K1484=2,$L1484&lt;$J1484,COUNTIFS(nrES_PID,$D1484,nrES_Code,$F1484,nrES_Att,1)&gt;0),"Yes","No")))</f>
        <v/>
      </c>
      <c r="S1484" s="16" t="n"/>
      <c r="T1484" s="17">
        <f>IF($Q1484&lt;&gt;"Yes","",IF($S1484="","(enter date)",_xlfn.LET(_xlpm.dn,IFERROR(_xlfn.XLOOKUP($S1484,nrCDdate,nrCDnum),""),IF(_xlpm.dn="","(not a class day)",IFERROR(_xlfn.XLOOKUP(_xlpm.dn+cfgRetestClassDays,nrCDnum,nrCDdate),"")))))</f>
        <v/>
      </c>
      <c r="U1484" s="15">
        <f>IF($Q1484&lt;&gt;"Yes","",IF(COUNTIFS(nrES_PID,$D1484,nrES_Code,$F1484,nrES_Att,2)&gt;0,"Retested",IF(OR($T1484="",NOT(ISNUMBER($T1484))),"Pending",IF(TODAY()&gt;$T1484,"OVERDUE","Due "&amp;TEXT($T1484,"mm/dd")))))</f>
        <v/>
      </c>
      <c r="V1484" s="14" t="n"/>
      <c r="W1484" s="14" t="n"/>
    </row>
    <row r="1485">
      <c r="B1485" s="15">
        <f>IF($C1485="","",$D1485&amp;"-"&amp;$F1485&amp;"-"&amp;$K1485)</f>
        <v/>
      </c>
      <c r="C1485" s="14" t="n"/>
      <c r="D1485" s="15">
        <f>IF($C1485="","",IFERROR(INDEX(rngCadetPIDs,MATCH($C1485,rngCadetNames,0)),"?"))</f>
        <v/>
      </c>
      <c r="E1485" s="15">
        <f>IF($D1485="","",IFERROR(INDEX(nrCadetAgency,MATCH($D1485,rngCadetPIDs,0)),""))</f>
        <v/>
      </c>
      <c r="F1485" s="14" t="n"/>
      <c r="G1485" s="15">
        <f>IF($F1485="","",IFERROR(INDEX(rngEPname,MATCH($F1485,rngEPcode,0)),"?"))</f>
        <v/>
      </c>
      <c r="H1485" s="15">
        <f>IF($F1485="","",IFERROR(INDEX(rngEPtype,MATCH($F1485,rngEPcode,0)),"?"))</f>
        <v/>
      </c>
      <c r="I1485" s="15">
        <f>IF($F1485="","",IFERROR(INDEX(rngEPseq,MATCH($F1485,rngEPcode,0)),""))</f>
        <v/>
      </c>
      <c r="J1485" s="15">
        <f>IF($F1485="","",IFERROR(INDEX(rngEPpass,MATCH($F1485,rngEPcode,0)),cfgPassingScore))</f>
        <v/>
      </c>
      <c r="K1485" s="14" t="n"/>
      <c r="L1485" s="14" t="n"/>
      <c r="M1485" s="15">
        <f>IF($C1485="","",IF($L1485="","",IF($K1485=1,IF(COUNTIFS(nrES_PID,$D1485,nrES_Code,$F1485,nrES_Att,2)&gt;0,"",$L1485),IF(COUNTIFS(nrES_PID,$D1485,nrES_Code,$F1485,nrES_Att,1)=0,$L1485,IF($L1485&gt;=$J1485,cfgRetakeRecordedCap,SUMIFS(nrES_Raw,nrES_PID,$D1485,nrES_Code,$F1485,nrES_Att,1))))))</f>
        <v/>
      </c>
      <c r="N1485" s="15">
        <f>IF($C1485="","",IF($L1485="","",IF($L1485&gt;=$J1485,"Yes","No")))</f>
        <v/>
      </c>
      <c r="O1485" s="15">
        <f>IF($C1485="","",IF($M1485="","",IF($M1485&gt;=$J1485,"Yes","No")))</f>
        <v/>
      </c>
      <c r="P1485" s="15">
        <f>IF($C1485="","",IF($K1485="","",IF(COUNTIFS(nrES_PID,$D1485,nrES_Code,$F1485,nrES_Att,"&gt;"&amp;$K1485)=0,"Yes","No")))</f>
        <v/>
      </c>
      <c r="Q1485" s="15">
        <f>IF($C1485="","",IF($L1485="","",IF(AND($K1485=1,$L1485&lt;$J1485,COUNTIFS(nrES_PID,$D1485,nrES_Code,$F1485,nrES_Att,2)=0),"Yes","No")))</f>
        <v/>
      </c>
      <c r="R1485" s="15">
        <f>IF($C1485="","",IF($L1485="","",IF(AND($K1485=2,$L1485&lt;$J1485,COUNTIFS(nrES_PID,$D1485,nrES_Code,$F1485,nrES_Att,1)&gt;0),"Yes","No")))</f>
        <v/>
      </c>
      <c r="S1485" s="16" t="n"/>
      <c r="T1485" s="17">
        <f>IF($Q1485&lt;&gt;"Yes","",IF($S1485="","(enter date)",_xlfn.LET(_xlpm.dn,IFERROR(_xlfn.XLOOKUP($S1485,nrCDdate,nrCDnum),""),IF(_xlpm.dn="","(not a class day)",IFERROR(_xlfn.XLOOKUP(_xlpm.dn+cfgRetestClassDays,nrCDnum,nrCDdate),"")))))</f>
        <v/>
      </c>
      <c r="U1485" s="15">
        <f>IF($Q1485&lt;&gt;"Yes","",IF(COUNTIFS(nrES_PID,$D1485,nrES_Code,$F1485,nrES_Att,2)&gt;0,"Retested",IF(OR($T1485="",NOT(ISNUMBER($T1485))),"Pending",IF(TODAY()&gt;$T1485,"OVERDUE","Due "&amp;TEXT($T1485,"mm/dd")))))</f>
        <v/>
      </c>
      <c r="V1485" s="14" t="n"/>
      <c r="W1485" s="14" t="n"/>
    </row>
    <row r="1486">
      <c r="B1486" s="15">
        <f>IF($C1486="","",$D1486&amp;"-"&amp;$F1486&amp;"-"&amp;$K1486)</f>
        <v/>
      </c>
      <c r="C1486" s="14" t="n"/>
      <c r="D1486" s="15">
        <f>IF($C1486="","",IFERROR(INDEX(rngCadetPIDs,MATCH($C1486,rngCadetNames,0)),"?"))</f>
        <v/>
      </c>
      <c r="E1486" s="15">
        <f>IF($D1486="","",IFERROR(INDEX(nrCadetAgency,MATCH($D1486,rngCadetPIDs,0)),""))</f>
        <v/>
      </c>
      <c r="F1486" s="14" t="n"/>
      <c r="G1486" s="15">
        <f>IF($F1486="","",IFERROR(INDEX(rngEPname,MATCH($F1486,rngEPcode,0)),"?"))</f>
        <v/>
      </c>
      <c r="H1486" s="15">
        <f>IF($F1486="","",IFERROR(INDEX(rngEPtype,MATCH($F1486,rngEPcode,0)),"?"))</f>
        <v/>
      </c>
      <c r="I1486" s="15">
        <f>IF($F1486="","",IFERROR(INDEX(rngEPseq,MATCH($F1486,rngEPcode,0)),""))</f>
        <v/>
      </c>
      <c r="J1486" s="15">
        <f>IF($F1486="","",IFERROR(INDEX(rngEPpass,MATCH($F1486,rngEPcode,0)),cfgPassingScore))</f>
        <v/>
      </c>
      <c r="K1486" s="14" t="n"/>
      <c r="L1486" s="14" t="n"/>
      <c r="M1486" s="15">
        <f>IF($C1486="","",IF($L1486="","",IF($K1486=1,IF(COUNTIFS(nrES_PID,$D1486,nrES_Code,$F1486,nrES_Att,2)&gt;0,"",$L1486),IF(COUNTIFS(nrES_PID,$D1486,nrES_Code,$F1486,nrES_Att,1)=0,$L1486,IF($L1486&gt;=$J1486,cfgRetakeRecordedCap,SUMIFS(nrES_Raw,nrES_PID,$D1486,nrES_Code,$F1486,nrES_Att,1))))))</f>
        <v/>
      </c>
      <c r="N1486" s="15">
        <f>IF($C1486="","",IF($L1486="","",IF($L1486&gt;=$J1486,"Yes","No")))</f>
        <v/>
      </c>
      <c r="O1486" s="15">
        <f>IF($C1486="","",IF($M1486="","",IF($M1486&gt;=$J1486,"Yes","No")))</f>
        <v/>
      </c>
      <c r="P1486" s="15">
        <f>IF($C1486="","",IF($K1486="","",IF(COUNTIFS(nrES_PID,$D1486,nrES_Code,$F1486,nrES_Att,"&gt;"&amp;$K1486)=0,"Yes","No")))</f>
        <v/>
      </c>
      <c r="Q1486" s="15">
        <f>IF($C1486="","",IF($L1486="","",IF(AND($K1486=1,$L1486&lt;$J1486,COUNTIFS(nrES_PID,$D1486,nrES_Code,$F1486,nrES_Att,2)=0),"Yes","No")))</f>
        <v/>
      </c>
      <c r="R1486" s="15">
        <f>IF($C1486="","",IF($L1486="","",IF(AND($K1486=2,$L1486&lt;$J1486,COUNTIFS(nrES_PID,$D1486,nrES_Code,$F1486,nrES_Att,1)&gt;0),"Yes","No")))</f>
        <v/>
      </c>
      <c r="S1486" s="16" t="n"/>
      <c r="T1486" s="17">
        <f>IF($Q1486&lt;&gt;"Yes","",IF($S1486="","(enter date)",_xlfn.LET(_xlpm.dn,IFERROR(_xlfn.XLOOKUP($S1486,nrCDdate,nrCDnum),""),IF(_xlpm.dn="","(not a class day)",IFERROR(_xlfn.XLOOKUP(_xlpm.dn+cfgRetestClassDays,nrCDnum,nrCDdate),"")))))</f>
        <v/>
      </c>
      <c r="U1486" s="15">
        <f>IF($Q1486&lt;&gt;"Yes","",IF(COUNTIFS(nrES_PID,$D1486,nrES_Code,$F1486,nrES_Att,2)&gt;0,"Retested",IF(OR($T1486="",NOT(ISNUMBER($T1486))),"Pending",IF(TODAY()&gt;$T1486,"OVERDUE","Due "&amp;TEXT($T1486,"mm/dd")))))</f>
        <v/>
      </c>
      <c r="V1486" s="14" t="n"/>
      <c r="W1486" s="14" t="n"/>
    </row>
    <row r="1487">
      <c r="B1487" s="15">
        <f>IF($C1487="","",$D1487&amp;"-"&amp;$F1487&amp;"-"&amp;$K1487)</f>
        <v/>
      </c>
      <c r="C1487" s="14" t="n"/>
      <c r="D1487" s="15">
        <f>IF($C1487="","",IFERROR(INDEX(rngCadetPIDs,MATCH($C1487,rngCadetNames,0)),"?"))</f>
        <v/>
      </c>
      <c r="E1487" s="15">
        <f>IF($D1487="","",IFERROR(INDEX(nrCadetAgency,MATCH($D1487,rngCadetPIDs,0)),""))</f>
        <v/>
      </c>
      <c r="F1487" s="14" t="n"/>
      <c r="G1487" s="15">
        <f>IF($F1487="","",IFERROR(INDEX(rngEPname,MATCH($F1487,rngEPcode,0)),"?"))</f>
        <v/>
      </c>
      <c r="H1487" s="15">
        <f>IF($F1487="","",IFERROR(INDEX(rngEPtype,MATCH($F1487,rngEPcode,0)),"?"))</f>
        <v/>
      </c>
      <c r="I1487" s="15">
        <f>IF($F1487="","",IFERROR(INDEX(rngEPseq,MATCH($F1487,rngEPcode,0)),""))</f>
        <v/>
      </c>
      <c r="J1487" s="15">
        <f>IF($F1487="","",IFERROR(INDEX(rngEPpass,MATCH($F1487,rngEPcode,0)),cfgPassingScore))</f>
        <v/>
      </c>
      <c r="K1487" s="14" t="n"/>
      <c r="L1487" s="14" t="n"/>
      <c r="M1487" s="15">
        <f>IF($C1487="","",IF($L1487="","",IF($K1487=1,IF(COUNTIFS(nrES_PID,$D1487,nrES_Code,$F1487,nrES_Att,2)&gt;0,"",$L1487),IF(COUNTIFS(nrES_PID,$D1487,nrES_Code,$F1487,nrES_Att,1)=0,$L1487,IF($L1487&gt;=$J1487,cfgRetakeRecordedCap,SUMIFS(nrES_Raw,nrES_PID,$D1487,nrES_Code,$F1487,nrES_Att,1))))))</f>
        <v/>
      </c>
      <c r="N1487" s="15">
        <f>IF($C1487="","",IF($L1487="","",IF($L1487&gt;=$J1487,"Yes","No")))</f>
        <v/>
      </c>
      <c r="O1487" s="15">
        <f>IF($C1487="","",IF($M1487="","",IF($M1487&gt;=$J1487,"Yes","No")))</f>
        <v/>
      </c>
      <c r="P1487" s="15">
        <f>IF($C1487="","",IF($K1487="","",IF(COUNTIFS(nrES_PID,$D1487,nrES_Code,$F1487,nrES_Att,"&gt;"&amp;$K1487)=0,"Yes","No")))</f>
        <v/>
      </c>
      <c r="Q1487" s="15">
        <f>IF($C1487="","",IF($L1487="","",IF(AND($K1487=1,$L1487&lt;$J1487,COUNTIFS(nrES_PID,$D1487,nrES_Code,$F1487,nrES_Att,2)=0),"Yes","No")))</f>
        <v/>
      </c>
      <c r="R1487" s="15">
        <f>IF($C1487="","",IF($L1487="","",IF(AND($K1487=2,$L1487&lt;$J1487,COUNTIFS(nrES_PID,$D1487,nrES_Code,$F1487,nrES_Att,1)&gt;0),"Yes","No")))</f>
        <v/>
      </c>
      <c r="S1487" s="16" t="n"/>
      <c r="T1487" s="17">
        <f>IF($Q1487&lt;&gt;"Yes","",IF($S1487="","(enter date)",_xlfn.LET(_xlpm.dn,IFERROR(_xlfn.XLOOKUP($S1487,nrCDdate,nrCDnum),""),IF(_xlpm.dn="","(not a class day)",IFERROR(_xlfn.XLOOKUP(_xlpm.dn+cfgRetestClassDays,nrCDnum,nrCDdate),"")))))</f>
        <v/>
      </c>
      <c r="U1487" s="15">
        <f>IF($Q1487&lt;&gt;"Yes","",IF(COUNTIFS(nrES_PID,$D1487,nrES_Code,$F1487,nrES_Att,2)&gt;0,"Retested",IF(OR($T1487="",NOT(ISNUMBER($T1487))),"Pending",IF(TODAY()&gt;$T1487,"OVERDUE","Due "&amp;TEXT($T1487,"mm/dd")))))</f>
        <v/>
      </c>
      <c r="V1487" s="14" t="n"/>
      <c r="W1487" s="14" t="n"/>
    </row>
    <row r="1488">
      <c r="B1488" s="15">
        <f>IF($C1488="","",$D1488&amp;"-"&amp;$F1488&amp;"-"&amp;$K1488)</f>
        <v/>
      </c>
      <c r="C1488" s="14" t="n"/>
      <c r="D1488" s="15">
        <f>IF($C1488="","",IFERROR(INDEX(rngCadetPIDs,MATCH($C1488,rngCadetNames,0)),"?"))</f>
        <v/>
      </c>
      <c r="E1488" s="15">
        <f>IF($D1488="","",IFERROR(INDEX(nrCadetAgency,MATCH($D1488,rngCadetPIDs,0)),""))</f>
        <v/>
      </c>
      <c r="F1488" s="14" t="n"/>
      <c r="G1488" s="15">
        <f>IF($F1488="","",IFERROR(INDEX(rngEPname,MATCH($F1488,rngEPcode,0)),"?"))</f>
        <v/>
      </c>
      <c r="H1488" s="15">
        <f>IF($F1488="","",IFERROR(INDEX(rngEPtype,MATCH($F1488,rngEPcode,0)),"?"))</f>
        <v/>
      </c>
      <c r="I1488" s="15">
        <f>IF($F1488="","",IFERROR(INDEX(rngEPseq,MATCH($F1488,rngEPcode,0)),""))</f>
        <v/>
      </c>
      <c r="J1488" s="15">
        <f>IF($F1488="","",IFERROR(INDEX(rngEPpass,MATCH($F1488,rngEPcode,0)),cfgPassingScore))</f>
        <v/>
      </c>
      <c r="K1488" s="14" t="n"/>
      <c r="L1488" s="14" t="n"/>
      <c r="M1488" s="15">
        <f>IF($C1488="","",IF($L1488="","",IF($K1488=1,IF(COUNTIFS(nrES_PID,$D1488,nrES_Code,$F1488,nrES_Att,2)&gt;0,"",$L1488),IF(COUNTIFS(nrES_PID,$D1488,nrES_Code,$F1488,nrES_Att,1)=0,$L1488,IF($L1488&gt;=$J1488,cfgRetakeRecordedCap,SUMIFS(nrES_Raw,nrES_PID,$D1488,nrES_Code,$F1488,nrES_Att,1))))))</f>
        <v/>
      </c>
      <c r="N1488" s="15">
        <f>IF($C1488="","",IF($L1488="","",IF($L1488&gt;=$J1488,"Yes","No")))</f>
        <v/>
      </c>
      <c r="O1488" s="15">
        <f>IF($C1488="","",IF($M1488="","",IF($M1488&gt;=$J1488,"Yes","No")))</f>
        <v/>
      </c>
      <c r="P1488" s="15">
        <f>IF($C1488="","",IF($K1488="","",IF(COUNTIFS(nrES_PID,$D1488,nrES_Code,$F1488,nrES_Att,"&gt;"&amp;$K1488)=0,"Yes","No")))</f>
        <v/>
      </c>
      <c r="Q1488" s="15">
        <f>IF($C1488="","",IF($L1488="","",IF(AND($K1488=1,$L1488&lt;$J1488,COUNTIFS(nrES_PID,$D1488,nrES_Code,$F1488,nrES_Att,2)=0),"Yes","No")))</f>
        <v/>
      </c>
      <c r="R1488" s="15">
        <f>IF($C1488="","",IF($L1488="","",IF(AND($K1488=2,$L1488&lt;$J1488,COUNTIFS(nrES_PID,$D1488,nrES_Code,$F1488,nrES_Att,1)&gt;0),"Yes","No")))</f>
        <v/>
      </c>
      <c r="S1488" s="16" t="n"/>
      <c r="T1488" s="17">
        <f>IF($Q1488&lt;&gt;"Yes","",IF($S1488="","(enter date)",_xlfn.LET(_xlpm.dn,IFERROR(_xlfn.XLOOKUP($S1488,nrCDdate,nrCDnum),""),IF(_xlpm.dn="","(not a class day)",IFERROR(_xlfn.XLOOKUP(_xlpm.dn+cfgRetestClassDays,nrCDnum,nrCDdate),"")))))</f>
        <v/>
      </c>
      <c r="U1488" s="15">
        <f>IF($Q1488&lt;&gt;"Yes","",IF(COUNTIFS(nrES_PID,$D1488,nrES_Code,$F1488,nrES_Att,2)&gt;0,"Retested",IF(OR($T1488="",NOT(ISNUMBER($T1488))),"Pending",IF(TODAY()&gt;$T1488,"OVERDUE","Due "&amp;TEXT($T1488,"mm/dd")))))</f>
        <v/>
      </c>
      <c r="V1488" s="14" t="n"/>
      <c r="W1488" s="14" t="n"/>
    </row>
    <row r="1489">
      <c r="B1489" s="15">
        <f>IF($C1489="","",$D1489&amp;"-"&amp;$F1489&amp;"-"&amp;$K1489)</f>
        <v/>
      </c>
      <c r="C1489" s="14" t="n"/>
      <c r="D1489" s="15">
        <f>IF($C1489="","",IFERROR(INDEX(rngCadetPIDs,MATCH($C1489,rngCadetNames,0)),"?"))</f>
        <v/>
      </c>
      <c r="E1489" s="15">
        <f>IF($D1489="","",IFERROR(INDEX(nrCadetAgency,MATCH($D1489,rngCadetPIDs,0)),""))</f>
        <v/>
      </c>
      <c r="F1489" s="14" t="n"/>
      <c r="G1489" s="15">
        <f>IF($F1489="","",IFERROR(INDEX(rngEPname,MATCH($F1489,rngEPcode,0)),"?"))</f>
        <v/>
      </c>
      <c r="H1489" s="15">
        <f>IF($F1489="","",IFERROR(INDEX(rngEPtype,MATCH($F1489,rngEPcode,0)),"?"))</f>
        <v/>
      </c>
      <c r="I1489" s="15">
        <f>IF($F1489="","",IFERROR(INDEX(rngEPseq,MATCH($F1489,rngEPcode,0)),""))</f>
        <v/>
      </c>
      <c r="J1489" s="15">
        <f>IF($F1489="","",IFERROR(INDEX(rngEPpass,MATCH($F1489,rngEPcode,0)),cfgPassingScore))</f>
        <v/>
      </c>
      <c r="K1489" s="14" t="n"/>
      <c r="L1489" s="14" t="n"/>
      <c r="M1489" s="15">
        <f>IF($C1489="","",IF($L1489="","",IF($K1489=1,IF(COUNTIFS(nrES_PID,$D1489,nrES_Code,$F1489,nrES_Att,2)&gt;0,"",$L1489),IF(COUNTIFS(nrES_PID,$D1489,nrES_Code,$F1489,nrES_Att,1)=0,$L1489,IF($L1489&gt;=$J1489,cfgRetakeRecordedCap,SUMIFS(nrES_Raw,nrES_PID,$D1489,nrES_Code,$F1489,nrES_Att,1))))))</f>
        <v/>
      </c>
      <c r="N1489" s="15">
        <f>IF($C1489="","",IF($L1489="","",IF($L1489&gt;=$J1489,"Yes","No")))</f>
        <v/>
      </c>
      <c r="O1489" s="15">
        <f>IF($C1489="","",IF($M1489="","",IF($M1489&gt;=$J1489,"Yes","No")))</f>
        <v/>
      </c>
      <c r="P1489" s="15">
        <f>IF($C1489="","",IF($K1489="","",IF(COUNTIFS(nrES_PID,$D1489,nrES_Code,$F1489,nrES_Att,"&gt;"&amp;$K1489)=0,"Yes","No")))</f>
        <v/>
      </c>
      <c r="Q1489" s="15">
        <f>IF($C1489="","",IF($L1489="","",IF(AND($K1489=1,$L1489&lt;$J1489,COUNTIFS(nrES_PID,$D1489,nrES_Code,$F1489,nrES_Att,2)=0),"Yes","No")))</f>
        <v/>
      </c>
      <c r="R1489" s="15">
        <f>IF($C1489="","",IF($L1489="","",IF(AND($K1489=2,$L1489&lt;$J1489,COUNTIFS(nrES_PID,$D1489,nrES_Code,$F1489,nrES_Att,1)&gt;0),"Yes","No")))</f>
        <v/>
      </c>
      <c r="S1489" s="16" t="n"/>
      <c r="T1489" s="17">
        <f>IF($Q1489&lt;&gt;"Yes","",IF($S1489="","(enter date)",_xlfn.LET(_xlpm.dn,IFERROR(_xlfn.XLOOKUP($S1489,nrCDdate,nrCDnum),""),IF(_xlpm.dn="","(not a class day)",IFERROR(_xlfn.XLOOKUP(_xlpm.dn+cfgRetestClassDays,nrCDnum,nrCDdate),"")))))</f>
        <v/>
      </c>
      <c r="U1489" s="15">
        <f>IF($Q1489&lt;&gt;"Yes","",IF(COUNTIFS(nrES_PID,$D1489,nrES_Code,$F1489,nrES_Att,2)&gt;0,"Retested",IF(OR($T1489="",NOT(ISNUMBER($T1489))),"Pending",IF(TODAY()&gt;$T1489,"OVERDUE","Due "&amp;TEXT($T1489,"mm/dd")))))</f>
        <v/>
      </c>
      <c r="V1489" s="14" t="n"/>
      <c r="W1489" s="14" t="n"/>
    </row>
    <row r="1490">
      <c r="B1490" s="15">
        <f>IF($C1490="","",$D1490&amp;"-"&amp;$F1490&amp;"-"&amp;$K1490)</f>
        <v/>
      </c>
      <c r="C1490" s="14" t="n"/>
      <c r="D1490" s="15">
        <f>IF($C1490="","",IFERROR(INDEX(rngCadetPIDs,MATCH($C1490,rngCadetNames,0)),"?"))</f>
        <v/>
      </c>
      <c r="E1490" s="15">
        <f>IF($D1490="","",IFERROR(INDEX(nrCadetAgency,MATCH($D1490,rngCadetPIDs,0)),""))</f>
        <v/>
      </c>
      <c r="F1490" s="14" t="n"/>
      <c r="G1490" s="15">
        <f>IF($F1490="","",IFERROR(INDEX(rngEPname,MATCH($F1490,rngEPcode,0)),"?"))</f>
        <v/>
      </c>
      <c r="H1490" s="15">
        <f>IF($F1490="","",IFERROR(INDEX(rngEPtype,MATCH($F1490,rngEPcode,0)),"?"))</f>
        <v/>
      </c>
      <c r="I1490" s="15">
        <f>IF($F1490="","",IFERROR(INDEX(rngEPseq,MATCH($F1490,rngEPcode,0)),""))</f>
        <v/>
      </c>
      <c r="J1490" s="15">
        <f>IF($F1490="","",IFERROR(INDEX(rngEPpass,MATCH($F1490,rngEPcode,0)),cfgPassingScore))</f>
        <v/>
      </c>
      <c r="K1490" s="14" t="n"/>
      <c r="L1490" s="14" t="n"/>
      <c r="M1490" s="15">
        <f>IF($C1490="","",IF($L1490="","",IF($K1490=1,IF(COUNTIFS(nrES_PID,$D1490,nrES_Code,$F1490,nrES_Att,2)&gt;0,"",$L1490),IF(COUNTIFS(nrES_PID,$D1490,nrES_Code,$F1490,nrES_Att,1)=0,$L1490,IF($L1490&gt;=$J1490,cfgRetakeRecordedCap,SUMIFS(nrES_Raw,nrES_PID,$D1490,nrES_Code,$F1490,nrES_Att,1))))))</f>
        <v/>
      </c>
      <c r="N1490" s="15">
        <f>IF($C1490="","",IF($L1490="","",IF($L1490&gt;=$J1490,"Yes","No")))</f>
        <v/>
      </c>
      <c r="O1490" s="15">
        <f>IF($C1490="","",IF($M1490="","",IF($M1490&gt;=$J1490,"Yes","No")))</f>
        <v/>
      </c>
      <c r="P1490" s="15">
        <f>IF($C1490="","",IF($K1490="","",IF(COUNTIFS(nrES_PID,$D1490,nrES_Code,$F1490,nrES_Att,"&gt;"&amp;$K1490)=0,"Yes","No")))</f>
        <v/>
      </c>
      <c r="Q1490" s="15">
        <f>IF($C1490="","",IF($L1490="","",IF(AND($K1490=1,$L1490&lt;$J1490,COUNTIFS(nrES_PID,$D1490,nrES_Code,$F1490,nrES_Att,2)=0),"Yes","No")))</f>
        <v/>
      </c>
      <c r="R1490" s="15">
        <f>IF($C1490="","",IF($L1490="","",IF(AND($K1490=2,$L1490&lt;$J1490,COUNTIFS(nrES_PID,$D1490,nrES_Code,$F1490,nrES_Att,1)&gt;0),"Yes","No")))</f>
        <v/>
      </c>
      <c r="S1490" s="16" t="n"/>
      <c r="T1490" s="17">
        <f>IF($Q1490&lt;&gt;"Yes","",IF($S1490="","(enter date)",_xlfn.LET(_xlpm.dn,IFERROR(_xlfn.XLOOKUP($S1490,nrCDdate,nrCDnum),""),IF(_xlpm.dn="","(not a class day)",IFERROR(_xlfn.XLOOKUP(_xlpm.dn+cfgRetestClassDays,nrCDnum,nrCDdate),"")))))</f>
        <v/>
      </c>
      <c r="U1490" s="15">
        <f>IF($Q1490&lt;&gt;"Yes","",IF(COUNTIFS(nrES_PID,$D1490,nrES_Code,$F1490,nrES_Att,2)&gt;0,"Retested",IF(OR($T1490="",NOT(ISNUMBER($T1490))),"Pending",IF(TODAY()&gt;$T1490,"OVERDUE","Due "&amp;TEXT($T1490,"mm/dd")))))</f>
        <v/>
      </c>
      <c r="V1490" s="14" t="n"/>
      <c r="W1490" s="14" t="n"/>
    </row>
    <row r="1491">
      <c r="B1491" s="15">
        <f>IF($C1491="","",$D1491&amp;"-"&amp;$F1491&amp;"-"&amp;$K1491)</f>
        <v/>
      </c>
      <c r="C1491" s="14" t="n"/>
      <c r="D1491" s="15">
        <f>IF($C1491="","",IFERROR(INDEX(rngCadetPIDs,MATCH($C1491,rngCadetNames,0)),"?"))</f>
        <v/>
      </c>
      <c r="E1491" s="15">
        <f>IF($D1491="","",IFERROR(INDEX(nrCadetAgency,MATCH($D1491,rngCadetPIDs,0)),""))</f>
        <v/>
      </c>
      <c r="F1491" s="14" t="n"/>
      <c r="G1491" s="15">
        <f>IF($F1491="","",IFERROR(INDEX(rngEPname,MATCH($F1491,rngEPcode,0)),"?"))</f>
        <v/>
      </c>
      <c r="H1491" s="15">
        <f>IF($F1491="","",IFERROR(INDEX(rngEPtype,MATCH($F1491,rngEPcode,0)),"?"))</f>
        <v/>
      </c>
      <c r="I1491" s="15">
        <f>IF($F1491="","",IFERROR(INDEX(rngEPseq,MATCH($F1491,rngEPcode,0)),""))</f>
        <v/>
      </c>
      <c r="J1491" s="15">
        <f>IF($F1491="","",IFERROR(INDEX(rngEPpass,MATCH($F1491,rngEPcode,0)),cfgPassingScore))</f>
        <v/>
      </c>
      <c r="K1491" s="14" t="n"/>
      <c r="L1491" s="14" t="n"/>
      <c r="M1491" s="15">
        <f>IF($C1491="","",IF($L1491="","",IF($K1491=1,IF(COUNTIFS(nrES_PID,$D1491,nrES_Code,$F1491,nrES_Att,2)&gt;0,"",$L1491),IF(COUNTIFS(nrES_PID,$D1491,nrES_Code,$F1491,nrES_Att,1)=0,$L1491,IF($L1491&gt;=$J1491,cfgRetakeRecordedCap,SUMIFS(nrES_Raw,nrES_PID,$D1491,nrES_Code,$F1491,nrES_Att,1))))))</f>
        <v/>
      </c>
      <c r="N1491" s="15">
        <f>IF($C1491="","",IF($L1491="","",IF($L1491&gt;=$J1491,"Yes","No")))</f>
        <v/>
      </c>
      <c r="O1491" s="15">
        <f>IF($C1491="","",IF($M1491="","",IF($M1491&gt;=$J1491,"Yes","No")))</f>
        <v/>
      </c>
      <c r="P1491" s="15">
        <f>IF($C1491="","",IF($K1491="","",IF(COUNTIFS(nrES_PID,$D1491,nrES_Code,$F1491,nrES_Att,"&gt;"&amp;$K1491)=0,"Yes","No")))</f>
        <v/>
      </c>
      <c r="Q1491" s="15">
        <f>IF($C1491="","",IF($L1491="","",IF(AND($K1491=1,$L1491&lt;$J1491,COUNTIFS(nrES_PID,$D1491,nrES_Code,$F1491,nrES_Att,2)=0),"Yes","No")))</f>
        <v/>
      </c>
      <c r="R1491" s="15">
        <f>IF($C1491="","",IF($L1491="","",IF(AND($K1491=2,$L1491&lt;$J1491,COUNTIFS(nrES_PID,$D1491,nrES_Code,$F1491,nrES_Att,1)&gt;0),"Yes","No")))</f>
        <v/>
      </c>
      <c r="S1491" s="16" t="n"/>
      <c r="T1491" s="17">
        <f>IF($Q1491&lt;&gt;"Yes","",IF($S1491="","(enter date)",_xlfn.LET(_xlpm.dn,IFERROR(_xlfn.XLOOKUP($S1491,nrCDdate,nrCDnum),""),IF(_xlpm.dn="","(not a class day)",IFERROR(_xlfn.XLOOKUP(_xlpm.dn+cfgRetestClassDays,nrCDnum,nrCDdate),"")))))</f>
        <v/>
      </c>
      <c r="U1491" s="15">
        <f>IF($Q1491&lt;&gt;"Yes","",IF(COUNTIFS(nrES_PID,$D1491,nrES_Code,$F1491,nrES_Att,2)&gt;0,"Retested",IF(OR($T1491="",NOT(ISNUMBER($T1491))),"Pending",IF(TODAY()&gt;$T1491,"OVERDUE","Due "&amp;TEXT($T1491,"mm/dd")))))</f>
        <v/>
      </c>
      <c r="V1491" s="14" t="n"/>
      <c r="W1491" s="14" t="n"/>
    </row>
    <row r="1492">
      <c r="B1492" s="15">
        <f>IF($C1492="","",$D1492&amp;"-"&amp;$F1492&amp;"-"&amp;$K1492)</f>
        <v/>
      </c>
      <c r="C1492" s="14" t="n"/>
      <c r="D1492" s="15">
        <f>IF($C1492="","",IFERROR(INDEX(rngCadetPIDs,MATCH($C1492,rngCadetNames,0)),"?"))</f>
        <v/>
      </c>
      <c r="E1492" s="15">
        <f>IF($D1492="","",IFERROR(INDEX(nrCadetAgency,MATCH($D1492,rngCadetPIDs,0)),""))</f>
        <v/>
      </c>
      <c r="F1492" s="14" t="n"/>
      <c r="G1492" s="15">
        <f>IF($F1492="","",IFERROR(INDEX(rngEPname,MATCH($F1492,rngEPcode,0)),"?"))</f>
        <v/>
      </c>
      <c r="H1492" s="15">
        <f>IF($F1492="","",IFERROR(INDEX(rngEPtype,MATCH($F1492,rngEPcode,0)),"?"))</f>
        <v/>
      </c>
      <c r="I1492" s="15">
        <f>IF($F1492="","",IFERROR(INDEX(rngEPseq,MATCH($F1492,rngEPcode,0)),""))</f>
        <v/>
      </c>
      <c r="J1492" s="15">
        <f>IF($F1492="","",IFERROR(INDEX(rngEPpass,MATCH($F1492,rngEPcode,0)),cfgPassingScore))</f>
        <v/>
      </c>
      <c r="K1492" s="14" t="n"/>
      <c r="L1492" s="14" t="n"/>
      <c r="M1492" s="15">
        <f>IF($C1492="","",IF($L1492="","",IF($K1492=1,IF(COUNTIFS(nrES_PID,$D1492,nrES_Code,$F1492,nrES_Att,2)&gt;0,"",$L1492),IF(COUNTIFS(nrES_PID,$D1492,nrES_Code,$F1492,nrES_Att,1)=0,$L1492,IF($L1492&gt;=$J1492,cfgRetakeRecordedCap,SUMIFS(nrES_Raw,nrES_PID,$D1492,nrES_Code,$F1492,nrES_Att,1))))))</f>
        <v/>
      </c>
      <c r="N1492" s="15">
        <f>IF($C1492="","",IF($L1492="","",IF($L1492&gt;=$J1492,"Yes","No")))</f>
        <v/>
      </c>
      <c r="O1492" s="15">
        <f>IF($C1492="","",IF($M1492="","",IF($M1492&gt;=$J1492,"Yes","No")))</f>
        <v/>
      </c>
      <c r="P1492" s="15">
        <f>IF($C1492="","",IF($K1492="","",IF(COUNTIFS(nrES_PID,$D1492,nrES_Code,$F1492,nrES_Att,"&gt;"&amp;$K1492)=0,"Yes","No")))</f>
        <v/>
      </c>
      <c r="Q1492" s="15">
        <f>IF($C1492="","",IF($L1492="","",IF(AND($K1492=1,$L1492&lt;$J1492,COUNTIFS(nrES_PID,$D1492,nrES_Code,$F1492,nrES_Att,2)=0),"Yes","No")))</f>
        <v/>
      </c>
      <c r="R1492" s="15">
        <f>IF($C1492="","",IF($L1492="","",IF(AND($K1492=2,$L1492&lt;$J1492,COUNTIFS(nrES_PID,$D1492,nrES_Code,$F1492,nrES_Att,1)&gt;0),"Yes","No")))</f>
        <v/>
      </c>
      <c r="S1492" s="16" t="n"/>
      <c r="T1492" s="17">
        <f>IF($Q1492&lt;&gt;"Yes","",IF($S1492="","(enter date)",_xlfn.LET(_xlpm.dn,IFERROR(_xlfn.XLOOKUP($S1492,nrCDdate,nrCDnum),""),IF(_xlpm.dn="","(not a class day)",IFERROR(_xlfn.XLOOKUP(_xlpm.dn+cfgRetestClassDays,nrCDnum,nrCDdate),"")))))</f>
        <v/>
      </c>
      <c r="U1492" s="15">
        <f>IF($Q1492&lt;&gt;"Yes","",IF(COUNTIFS(nrES_PID,$D1492,nrES_Code,$F1492,nrES_Att,2)&gt;0,"Retested",IF(OR($T1492="",NOT(ISNUMBER($T1492))),"Pending",IF(TODAY()&gt;$T1492,"OVERDUE","Due "&amp;TEXT($T1492,"mm/dd")))))</f>
        <v/>
      </c>
      <c r="V1492" s="14" t="n"/>
      <c r="W1492" s="14" t="n"/>
    </row>
    <row r="1493">
      <c r="B1493" s="15">
        <f>IF($C1493="","",$D1493&amp;"-"&amp;$F1493&amp;"-"&amp;$K1493)</f>
        <v/>
      </c>
      <c r="C1493" s="14" t="n"/>
      <c r="D1493" s="15">
        <f>IF($C1493="","",IFERROR(INDEX(rngCadetPIDs,MATCH($C1493,rngCadetNames,0)),"?"))</f>
        <v/>
      </c>
      <c r="E1493" s="15">
        <f>IF($D1493="","",IFERROR(INDEX(nrCadetAgency,MATCH($D1493,rngCadetPIDs,0)),""))</f>
        <v/>
      </c>
      <c r="F1493" s="14" t="n"/>
      <c r="G1493" s="15">
        <f>IF($F1493="","",IFERROR(INDEX(rngEPname,MATCH($F1493,rngEPcode,0)),"?"))</f>
        <v/>
      </c>
      <c r="H1493" s="15">
        <f>IF($F1493="","",IFERROR(INDEX(rngEPtype,MATCH($F1493,rngEPcode,0)),"?"))</f>
        <v/>
      </c>
      <c r="I1493" s="15">
        <f>IF($F1493="","",IFERROR(INDEX(rngEPseq,MATCH($F1493,rngEPcode,0)),""))</f>
        <v/>
      </c>
      <c r="J1493" s="15">
        <f>IF($F1493="","",IFERROR(INDEX(rngEPpass,MATCH($F1493,rngEPcode,0)),cfgPassingScore))</f>
        <v/>
      </c>
      <c r="K1493" s="14" t="n"/>
      <c r="L1493" s="14" t="n"/>
      <c r="M1493" s="15">
        <f>IF($C1493="","",IF($L1493="","",IF($K1493=1,IF(COUNTIFS(nrES_PID,$D1493,nrES_Code,$F1493,nrES_Att,2)&gt;0,"",$L1493),IF(COUNTIFS(nrES_PID,$D1493,nrES_Code,$F1493,nrES_Att,1)=0,$L1493,IF($L1493&gt;=$J1493,cfgRetakeRecordedCap,SUMIFS(nrES_Raw,nrES_PID,$D1493,nrES_Code,$F1493,nrES_Att,1))))))</f>
        <v/>
      </c>
      <c r="N1493" s="15">
        <f>IF($C1493="","",IF($L1493="","",IF($L1493&gt;=$J1493,"Yes","No")))</f>
        <v/>
      </c>
      <c r="O1493" s="15">
        <f>IF($C1493="","",IF($M1493="","",IF($M1493&gt;=$J1493,"Yes","No")))</f>
        <v/>
      </c>
      <c r="P1493" s="15">
        <f>IF($C1493="","",IF($K1493="","",IF(COUNTIFS(nrES_PID,$D1493,nrES_Code,$F1493,nrES_Att,"&gt;"&amp;$K1493)=0,"Yes","No")))</f>
        <v/>
      </c>
      <c r="Q1493" s="15">
        <f>IF($C1493="","",IF($L1493="","",IF(AND($K1493=1,$L1493&lt;$J1493,COUNTIFS(nrES_PID,$D1493,nrES_Code,$F1493,nrES_Att,2)=0),"Yes","No")))</f>
        <v/>
      </c>
      <c r="R1493" s="15">
        <f>IF($C1493="","",IF($L1493="","",IF(AND($K1493=2,$L1493&lt;$J1493,COUNTIFS(nrES_PID,$D1493,nrES_Code,$F1493,nrES_Att,1)&gt;0),"Yes","No")))</f>
        <v/>
      </c>
      <c r="S1493" s="16" t="n"/>
      <c r="T1493" s="17">
        <f>IF($Q1493&lt;&gt;"Yes","",IF($S1493="","(enter date)",_xlfn.LET(_xlpm.dn,IFERROR(_xlfn.XLOOKUP($S1493,nrCDdate,nrCDnum),""),IF(_xlpm.dn="","(not a class day)",IFERROR(_xlfn.XLOOKUP(_xlpm.dn+cfgRetestClassDays,nrCDnum,nrCDdate),"")))))</f>
        <v/>
      </c>
      <c r="U1493" s="15">
        <f>IF($Q1493&lt;&gt;"Yes","",IF(COUNTIFS(nrES_PID,$D1493,nrES_Code,$F1493,nrES_Att,2)&gt;0,"Retested",IF(OR($T1493="",NOT(ISNUMBER($T1493))),"Pending",IF(TODAY()&gt;$T1493,"OVERDUE","Due "&amp;TEXT($T1493,"mm/dd")))))</f>
        <v/>
      </c>
      <c r="V1493" s="14" t="n"/>
      <c r="W1493" s="14" t="n"/>
    </row>
    <row r="1494">
      <c r="B1494" s="15">
        <f>IF($C1494="","",$D1494&amp;"-"&amp;$F1494&amp;"-"&amp;$K1494)</f>
        <v/>
      </c>
      <c r="C1494" s="14" t="n"/>
      <c r="D1494" s="15">
        <f>IF($C1494="","",IFERROR(INDEX(rngCadetPIDs,MATCH($C1494,rngCadetNames,0)),"?"))</f>
        <v/>
      </c>
      <c r="E1494" s="15">
        <f>IF($D1494="","",IFERROR(INDEX(nrCadetAgency,MATCH($D1494,rngCadetPIDs,0)),""))</f>
        <v/>
      </c>
      <c r="F1494" s="14" t="n"/>
      <c r="G1494" s="15">
        <f>IF($F1494="","",IFERROR(INDEX(rngEPname,MATCH($F1494,rngEPcode,0)),"?"))</f>
        <v/>
      </c>
      <c r="H1494" s="15">
        <f>IF($F1494="","",IFERROR(INDEX(rngEPtype,MATCH($F1494,rngEPcode,0)),"?"))</f>
        <v/>
      </c>
      <c r="I1494" s="15">
        <f>IF($F1494="","",IFERROR(INDEX(rngEPseq,MATCH($F1494,rngEPcode,0)),""))</f>
        <v/>
      </c>
      <c r="J1494" s="15">
        <f>IF($F1494="","",IFERROR(INDEX(rngEPpass,MATCH($F1494,rngEPcode,0)),cfgPassingScore))</f>
        <v/>
      </c>
      <c r="K1494" s="14" t="n"/>
      <c r="L1494" s="14" t="n"/>
      <c r="M1494" s="15">
        <f>IF($C1494="","",IF($L1494="","",IF($K1494=1,IF(COUNTIFS(nrES_PID,$D1494,nrES_Code,$F1494,nrES_Att,2)&gt;0,"",$L1494),IF(COUNTIFS(nrES_PID,$D1494,nrES_Code,$F1494,nrES_Att,1)=0,$L1494,IF($L1494&gt;=$J1494,cfgRetakeRecordedCap,SUMIFS(nrES_Raw,nrES_PID,$D1494,nrES_Code,$F1494,nrES_Att,1))))))</f>
        <v/>
      </c>
      <c r="N1494" s="15">
        <f>IF($C1494="","",IF($L1494="","",IF($L1494&gt;=$J1494,"Yes","No")))</f>
        <v/>
      </c>
      <c r="O1494" s="15">
        <f>IF($C1494="","",IF($M1494="","",IF($M1494&gt;=$J1494,"Yes","No")))</f>
        <v/>
      </c>
      <c r="P1494" s="15">
        <f>IF($C1494="","",IF($K1494="","",IF(COUNTIFS(nrES_PID,$D1494,nrES_Code,$F1494,nrES_Att,"&gt;"&amp;$K1494)=0,"Yes","No")))</f>
        <v/>
      </c>
      <c r="Q1494" s="15">
        <f>IF($C1494="","",IF($L1494="","",IF(AND($K1494=1,$L1494&lt;$J1494,COUNTIFS(nrES_PID,$D1494,nrES_Code,$F1494,nrES_Att,2)=0),"Yes","No")))</f>
        <v/>
      </c>
      <c r="R1494" s="15">
        <f>IF($C1494="","",IF($L1494="","",IF(AND($K1494=2,$L1494&lt;$J1494,COUNTIFS(nrES_PID,$D1494,nrES_Code,$F1494,nrES_Att,1)&gt;0),"Yes","No")))</f>
        <v/>
      </c>
      <c r="S1494" s="16" t="n"/>
      <c r="T1494" s="17">
        <f>IF($Q1494&lt;&gt;"Yes","",IF($S1494="","(enter date)",_xlfn.LET(_xlpm.dn,IFERROR(_xlfn.XLOOKUP($S1494,nrCDdate,nrCDnum),""),IF(_xlpm.dn="","(not a class day)",IFERROR(_xlfn.XLOOKUP(_xlpm.dn+cfgRetestClassDays,nrCDnum,nrCDdate),"")))))</f>
        <v/>
      </c>
      <c r="U1494" s="15">
        <f>IF($Q1494&lt;&gt;"Yes","",IF(COUNTIFS(nrES_PID,$D1494,nrES_Code,$F1494,nrES_Att,2)&gt;0,"Retested",IF(OR($T1494="",NOT(ISNUMBER($T1494))),"Pending",IF(TODAY()&gt;$T1494,"OVERDUE","Due "&amp;TEXT($T1494,"mm/dd")))))</f>
        <v/>
      </c>
      <c r="V1494" s="14" t="n"/>
      <c r="W1494" s="14" t="n"/>
    </row>
    <row r="1495">
      <c r="B1495" s="15">
        <f>IF($C1495="","",$D1495&amp;"-"&amp;$F1495&amp;"-"&amp;$K1495)</f>
        <v/>
      </c>
      <c r="C1495" s="14" t="n"/>
      <c r="D1495" s="15">
        <f>IF($C1495="","",IFERROR(INDEX(rngCadetPIDs,MATCH($C1495,rngCadetNames,0)),"?"))</f>
        <v/>
      </c>
      <c r="E1495" s="15">
        <f>IF($D1495="","",IFERROR(INDEX(nrCadetAgency,MATCH($D1495,rngCadetPIDs,0)),""))</f>
        <v/>
      </c>
      <c r="F1495" s="14" t="n"/>
      <c r="G1495" s="15">
        <f>IF($F1495="","",IFERROR(INDEX(rngEPname,MATCH($F1495,rngEPcode,0)),"?"))</f>
        <v/>
      </c>
      <c r="H1495" s="15">
        <f>IF($F1495="","",IFERROR(INDEX(rngEPtype,MATCH($F1495,rngEPcode,0)),"?"))</f>
        <v/>
      </c>
      <c r="I1495" s="15">
        <f>IF($F1495="","",IFERROR(INDEX(rngEPseq,MATCH($F1495,rngEPcode,0)),""))</f>
        <v/>
      </c>
      <c r="J1495" s="15">
        <f>IF($F1495="","",IFERROR(INDEX(rngEPpass,MATCH($F1495,rngEPcode,0)),cfgPassingScore))</f>
        <v/>
      </c>
      <c r="K1495" s="14" t="n"/>
      <c r="L1495" s="14" t="n"/>
      <c r="M1495" s="15">
        <f>IF($C1495="","",IF($L1495="","",IF($K1495=1,IF(COUNTIFS(nrES_PID,$D1495,nrES_Code,$F1495,nrES_Att,2)&gt;0,"",$L1495),IF(COUNTIFS(nrES_PID,$D1495,nrES_Code,$F1495,nrES_Att,1)=0,$L1495,IF($L1495&gt;=$J1495,cfgRetakeRecordedCap,SUMIFS(nrES_Raw,nrES_PID,$D1495,nrES_Code,$F1495,nrES_Att,1))))))</f>
        <v/>
      </c>
      <c r="N1495" s="15">
        <f>IF($C1495="","",IF($L1495="","",IF($L1495&gt;=$J1495,"Yes","No")))</f>
        <v/>
      </c>
      <c r="O1495" s="15">
        <f>IF($C1495="","",IF($M1495="","",IF($M1495&gt;=$J1495,"Yes","No")))</f>
        <v/>
      </c>
      <c r="P1495" s="15">
        <f>IF($C1495="","",IF($K1495="","",IF(COUNTIFS(nrES_PID,$D1495,nrES_Code,$F1495,nrES_Att,"&gt;"&amp;$K1495)=0,"Yes","No")))</f>
        <v/>
      </c>
      <c r="Q1495" s="15">
        <f>IF($C1495="","",IF($L1495="","",IF(AND($K1495=1,$L1495&lt;$J1495,COUNTIFS(nrES_PID,$D1495,nrES_Code,$F1495,nrES_Att,2)=0),"Yes","No")))</f>
        <v/>
      </c>
      <c r="R1495" s="15">
        <f>IF($C1495="","",IF($L1495="","",IF(AND($K1495=2,$L1495&lt;$J1495,COUNTIFS(nrES_PID,$D1495,nrES_Code,$F1495,nrES_Att,1)&gt;0),"Yes","No")))</f>
        <v/>
      </c>
      <c r="S1495" s="16" t="n"/>
      <c r="T1495" s="17">
        <f>IF($Q1495&lt;&gt;"Yes","",IF($S1495="","(enter date)",_xlfn.LET(_xlpm.dn,IFERROR(_xlfn.XLOOKUP($S1495,nrCDdate,nrCDnum),""),IF(_xlpm.dn="","(not a class day)",IFERROR(_xlfn.XLOOKUP(_xlpm.dn+cfgRetestClassDays,nrCDnum,nrCDdate),"")))))</f>
        <v/>
      </c>
      <c r="U1495" s="15">
        <f>IF($Q1495&lt;&gt;"Yes","",IF(COUNTIFS(nrES_PID,$D1495,nrES_Code,$F1495,nrES_Att,2)&gt;0,"Retested",IF(OR($T1495="",NOT(ISNUMBER($T1495))),"Pending",IF(TODAY()&gt;$T1495,"OVERDUE","Due "&amp;TEXT($T1495,"mm/dd")))))</f>
        <v/>
      </c>
      <c r="V1495" s="14" t="n"/>
      <c r="W1495" s="14" t="n"/>
    </row>
    <row r="1496">
      <c r="B1496" s="15">
        <f>IF($C1496="","",$D1496&amp;"-"&amp;$F1496&amp;"-"&amp;$K1496)</f>
        <v/>
      </c>
      <c r="C1496" s="14" t="n"/>
      <c r="D1496" s="15">
        <f>IF($C1496="","",IFERROR(INDEX(rngCadetPIDs,MATCH($C1496,rngCadetNames,0)),"?"))</f>
        <v/>
      </c>
      <c r="E1496" s="15">
        <f>IF($D1496="","",IFERROR(INDEX(nrCadetAgency,MATCH($D1496,rngCadetPIDs,0)),""))</f>
        <v/>
      </c>
      <c r="F1496" s="14" t="n"/>
      <c r="G1496" s="15">
        <f>IF($F1496="","",IFERROR(INDEX(rngEPname,MATCH($F1496,rngEPcode,0)),"?"))</f>
        <v/>
      </c>
      <c r="H1496" s="15">
        <f>IF($F1496="","",IFERROR(INDEX(rngEPtype,MATCH($F1496,rngEPcode,0)),"?"))</f>
        <v/>
      </c>
      <c r="I1496" s="15">
        <f>IF($F1496="","",IFERROR(INDEX(rngEPseq,MATCH($F1496,rngEPcode,0)),""))</f>
        <v/>
      </c>
      <c r="J1496" s="15">
        <f>IF($F1496="","",IFERROR(INDEX(rngEPpass,MATCH($F1496,rngEPcode,0)),cfgPassingScore))</f>
        <v/>
      </c>
      <c r="K1496" s="14" t="n"/>
      <c r="L1496" s="14" t="n"/>
      <c r="M1496" s="15">
        <f>IF($C1496="","",IF($L1496="","",IF($K1496=1,IF(COUNTIFS(nrES_PID,$D1496,nrES_Code,$F1496,nrES_Att,2)&gt;0,"",$L1496),IF(COUNTIFS(nrES_PID,$D1496,nrES_Code,$F1496,nrES_Att,1)=0,$L1496,IF($L1496&gt;=$J1496,cfgRetakeRecordedCap,SUMIFS(nrES_Raw,nrES_PID,$D1496,nrES_Code,$F1496,nrES_Att,1))))))</f>
        <v/>
      </c>
      <c r="N1496" s="15">
        <f>IF($C1496="","",IF($L1496="","",IF($L1496&gt;=$J1496,"Yes","No")))</f>
        <v/>
      </c>
      <c r="O1496" s="15">
        <f>IF($C1496="","",IF($M1496="","",IF($M1496&gt;=$J1496,"Yes","No")))</f>
        <v/>
      </c>
      <c r="P1496" s="15">
        <f>IF($C1496="","",IF($K1496="","",IF(COUNTIFS(nrES_PID,$D1496,nrES_Code,$F1496,nrES_Att,"&gt;"&amp;$K1496)=0,"Yes","No")))</f>
        <v/>
      </c>
      <c r="Q1496" s="15">
        <f>IF($C1496="","",IF($L1496="","",IF(AND($K1496=1,$L1496&lt;$J1496,COUNTIFS(nrES_PID,$D1496,nrES_Code,$F1496,nrES_Att,2)=0),"Yes","No")))</f>
        <v/>
      </c>
      <c r="R1496" s="15">
        <f>IF($C1496="","",IF($L1496="","",IF(AND($K1496=2,$L1496&lt;$J1496,COUNTIFS(nrES_PID,$D1496,nrES_Code,$F1496,nrES_Att,1)&gt;0),"Yes","No")))</f>
        <v/>
      </c>
      <c r="S1496" s="16" t="n"/>
      <c r="T1496" s="17">
        <f>IF($Q1496&lt;&gt;"Yes","",IF($S1496="","(enter date)",_xlfn.LET(_xlpm.dn,IFERROR(_xlfn.XLOOKUP($S1496,nrCDdate,nrCDnum),""),IF(_xlpm.dn="","(not a class day)",IFERROR(_xlfn.XLOOKUP(_xlpm.dn+cfgRetestClassDays,nrCDnum,nrCDdate),"")))))</f>
        <v/>
      </c>
      <c r="U1496" s="15">
        <f>IF($Q1496&lt;&gt;"Yes","",IF(COUNTIFS(nrES_PID,$D1496,nrES_Code,$F1496,nrES_Att,2)&gt;0,"Retested",IF(OR($T1496="",NOT(ISNUMBER($T1496))),"Pending",IF(TODAY()&gt;$T1496,"OVERDUE","Due "&amp;TEXT($T1496,"mm/dd")))))</f>
        <v/>
      </c>
      <c r="V1496" s="14" t="n"/>
      <c r="W1496" s="14" t="n"/>
    </row>
    <row r="1497">
      <c r="B1497" s="15">
        <f>IF($C1497="","",$D1497&amp;"-"&amp;$F1497&amp;"-"&amp;$K1497)</f>
        <v/>
      </c>
      <c r="C1497" s="14" t="n"/>
      <c r="D1497" s="15">
        <f>IF($C1497="","",IFERROR(INDEX(rngCadetPIDs,MATCH($C1497,rngCadetNames,0)),"?"))</f>
        <v/>
      </c>
      <c r="E1497" s="15">
        <f>IF($D1497="","",IFERROR(INDEX(nrCadetAgency,MATCH($D1497,rngCadetPIDs,0)),""))</f>
        <v/>
      </c>
      <c r="F1497" s="14" t="n"/>
      <c r="G1497" s="15">
        <f>IF($F1497="","",IFERROR(INDEX(rngEPname,MATCH($F1497,rngEPcode,0)),"?"))</f>
        <v/>
      </c>
      <c r="H1497" s="15">
        <f>IF($F1497="","",IFERROR(INDEX(rngEPtype,MATCH($F1497,rngEPcode,0)),"?"))</f>
        <v/>
      </c>
      <c r="I1497" s="15">
        <f>IF($F1497="","",IFERROR(INDEX(rngEPseq,MATCH($F1497,rngEPcode,0)),""))</f>
        <v/>
      </c>
      <c r="J1497" s="15">
        <f>IF($F1497="","",IFERROR(INDEX(rngEPpass,MATCH($F1497,rngEPcode,0)),cfgPassingScore))</f>
        <v/>
      </c>
      <c r="K1497" s="14" t="n"/>
      <c r="L1497" s="14" t="n"/>
      <c r="M1497" s="15">
        <f>IF($C1497="","",IF($L1497="","",IF($K1497=1,IF(COUNTIFS(nrES_PID,$D1497,nrES_Code,$F1497,nrES_Att,2)&gt;0,"",$L1497),IF(COUNTIFS(nrES_PID,$D1497,nrES_Code,$F1497,nrES_Att,1)=0,$L1497,IF($L1497&gt;=$J1497,cfgRetakeRecordedCap,SUMIFS(nrES_Raw,nrES_PID,$D1497,nrES_Code,$F1497,nrES_Att,1))))))</f>
        <v/>
      </c>
      <c r="N1497" s="15">
        <f>IF($C1497="","",IF($L1497="","",IF($L1497&gt;=$J1497,"Yes","No")))</f>
        <v/>
      </c>
      <c r="O1497" s="15">
        <f>IF($C1497="","",IF($M1497="","",IF($M1497&gt;=$J1497,"Yes","No")))</f>
        <v/>
      </c>
      <c r="P1497" s="15">
        <f>IF($C1497="","",IF($K1497="","",IF(COUNTIFS(nrES_PID,$D1497,nrES_Code,$F1497,nrES_Att,"&gt;"&amp;$K1497)=0,"Yes","No")))</f>
        <v/>
      </c>
      <c r="Q1497" s="15">
        <f>IF($C1497="","",IF($L1497="","",IF(AND($K1497=1,$L1497&lt;$J1497,COUNTIFS(nrES_PID,$D1497,nrES_Code,$F1497,nrES_Att,2)=0),"Yes","No")))</f>
        <v/>
      </c>
      <c r="R1497" s="15">
        <f>IF($C1497="","",IF($L1497="","",IF(AND($K1497=2,$L1497&lt;$J1497,COUNTIFS(nrES_PID,$D1497,nrES_Code,$F1497,nrES_Att,1)&gt;0),"Yes","No")))</f>
        <v/>
      </c>
      <c r="S1497" s="16" t="n"/>
      <c r="T1497" s="17">
        <f>IF($Q1497&lt;&gt;"Yes","",IF($S1497="","(enter date)",_xlfn.LET(_xlpm.dn,IFERROR(_xlfn.XLOOKUP($S1497,nrCDdate,nrCDnum),""),IF(_xlpm.dn="","(not a class day)",IFERROR(_xlfn.XLOOKUP(_xlpm.dn+cfgRetestClassDays,nrCDnum,nrCDdate),"")))))</f>
        <v/>
      </c>
      <c r="U1497" s="15">
        <f>IF($Q1497&lt;&gt;"Yes","",IF(COUNTIFS(nrES_PID,$D1497,nrES_Code,$F1497,nrES_Att,2)&gt;0,"Retested",IF(OR($T1497="",NOT(ISNUMBER($T1497))),"Pending",IF(TODAY()&gt;$T1497,"OVERDUE","Due "&amp;TEXT($T1497,"mm/dd")))))</f>
        <v/>
      </c>
      <c r="V1497" s="14" t="n"/>
      <c r="W1497" s="14" t="n"/>
    </row>
    <row r="1498">
      <c r="B1498" s="15">
        <f>IF($C1498="","",$D1498&amp;"-"&amp;$F1498&amp;"-"&amp;$K1498)</f>
        <v/>
      </c>
      <c r="C1498" s="14" t="n"/>
      <c r="D1498" s="15">
        <f>IF($C1498="","",IFERROR(INDEX(rngCadetPIDs,MATCH($C1498,rngCadetNames,0)),"?"))</f>
        <v/>
      </c>
      <c r="E1498" s="15">
        <f>IF($D1498="","",IFERROR(INDEX(nrCadetAgency,MATCH($D1498,rngCadetPIDs,0)),""))</f>
        <v/>
      </c>
      <c r="F1498" s="14" t="n"/>
      <c r="G1498" s="15">
        <f>IF($F1498="","",IFERROR(INDEX(rngEPname,MATCH($F1498,rngEPcode,0)),"?"))</f>
        <v/>
      </c>
      <c r="H1498" s="15">
        <f>IF($F1498="","",IFERROR(INDEX(rngEPtype,MATCH($F1498,rngEPcode,0)),"?"))</f>
        <v/>
      </c>
      <c r="I1498" s="15">
        <f>IF($F1498="","",IFERROR(INDEX(rngEPseq,MATCH($F1498,rngEPcode,0)),""))</f>
        <v/>
      </c>
      <c r="J1498" s="15">
        <f>IF($F1498="","",IFERROR(INDEX(rngEPpass,MATCH($F1498,rngEPcode,0)),cfgPassingScore))</f>
        <v/>
      </c>
      <c r="K1498" s="14" t="n"/>
      <c r="L1498" s="14" t="n"/>
      <c r="M1498" s="15">
        <f>IF($C1498="","",IF($L1498="","",IF($K1498=1,IF(COUNTIFS(nrES_PID,$D1498,nrES_Code,$F1498,nrES_Att,2)&gt;0,"",$L1498),IF(COUNTIFS(nrES_PID,$D1498,nrES_Code,$F1498,nrES_Att,1)=0,$L1498,IF($L1498&gt;=$J1498,cfgRetakeRecordedCap,SUMIFS(nrES_Raw,nrES_PID,$D1498,nrES_Code,$F1498,nrES_Att,1))))))</f>
        <v/>
      </c>
      <c r="N1498" s="15">
        <f>IF($C1498="","",IF($L1498="","",IF($L1498&gt;=$J1498,"Yes","No")))</f>
        <v/>
      </c>
      <c r="O1498" s="15">
        <f>IF($C1498="","",IF($M1498="","",IF($M1498&gt;=$J1498,"Yes","No")))</f>
        <v/>
      </c>
      <c r="P1498" s="15">
        <f>IF($C1498="","",IF($K1498="","",IF(COUNTIFS(nrES_PID,$D1498,nrES_Code,$F1498,nrES_Att,"&gt;"&amp;$K1498)=0,"Yes","No")))</f>
        <v/>
      </c>
      <c r="Q1498" s="15">
        <f>IF($C1498="","",IF($L1498="","",IF(AND($K1498=1,$L1498&lt;$J1498,COUNTIFS(nrES_PID,$D1498,nrES_Code,$F1498,nrES_Att,2)=0),"Yes","No")))</f>
        <v/>
      </c>
      <c r="R1498" s="15">
        <f>IF($C1498="","",IF($L1498="","",IF(AND($K1498=2,$L1498&lt;$J1498,COUNTIFS(nrES_PID,$D1498,nrES_Code,$F1498,nrES_Att,1)&gt;0),"Yes","No")))</f>
        <v/>
      </c>
      <c r="S1498" s="16" t="n"/>
      <c r="T1498" s="17">
        <f>IF($Q1498&lt;&gt;"Yes","",IF($S1498="","(enter date)",_xlfn.LET(_xlpm.dn,IFERROR(_xlfn.XLOOKUP($S1498,nrCDdate,nrCDnum),""),IF(_xlpm.dn="","(not a class day)",IFERROR(_xlfn.XLOOKUP(_xlpm.dn+cfgRetestClassDays,nrCDnum,nrCDdate),"")))))</f>
        <v/>
      </c>
      <c r="U1498" s="15">
        <f>IF($Q1498&lt;&gt;"Yes","",IF(COUNTIFS(nrES_PID,$D1498,nrES_Code,$F1498,nrES_Att,2)&gt;0,"Retested",IF(OR($T1498="",NOT(ISNUMBER($T1498))),"Pending",IF(TODAY()&gt;$T1498,"OVERDUE","Due "&amp;TEXT($T1498,"mm/dd")))))</f>
        <v/>
      </c>
      <c r="V1498" s="14" t="n"/>
      <c r="W1498" s="14" t="n"/>
    </row>
    <row r="1499">
      <c r="B1499" s="15">
        <f>IF($C1499="","",$D1499&amp;"-"&amp;$F1499&amp;"-"&amp;$K1499)</f>
        <v/>
      </c>
      <c r="C1499" s="14" t="n"/>
      <c r="D1499" s="15">
        <f>IF($C1499="","",IFERROR(INDEX(rngCadetPIDs,MATCH($C1499,rngCadetNames,0)),"?"))</f>
        <v/>
      </c>
      <c r="E1499" s="15">
        <f>IF($D1499="","",IFERROR(INDEX(nrCadetAgency,MATCH($D1499,rngCadetPIDs,0)),""))</f>
        <v/>
      </c>
      <c r="F1499" s="14" t="n"/>
      <c r="G1499" s="15">
        <f>IF($F1499="","",IFERROR(INDEX(rngEPname,MATCH($F1499,rngEPcode,0)),"?"))</f>
        <v/>
      </c>
      <c r="H1499" s="15">
        <f>IF($F1499="","",IFERROR(INDEX(rngEPtype,MATCH($F1499,rngEPcode,0)),"?"))</f>
        <v/>
      </c>
      <c r="I1499" s="15">
        <f>IF($F1499="","",IFERROR(INDEX(rngEPseq,MATCH($F1499,rngEPcode,0)),""))</f>
        <v/>
      </c>
      <c r="J1499" s="15">
        <f>IF($F1499="","",IFERROR(INDEX(rngEPpass,MATCH($F1499,rngEPcode,0)),cfgPassingScore))</f>
        <v/>
      </c>
      <c r="K1499" s="14" t="n"/>
      <c r="L1499" s="14" t="n"/>
      <c r="M1499" s="15">
        <f>IF($C1499="","",IF($L1499="","",IF($K1499=1,IF(COUNTIFS(nrES_PID,$D1499,nrES_Code,$F1499,nrES_Att,2)&gt;0,"",$L1499),IF(COUNTIFS(nrES_PID,$D1499,nrES_Code,$F1499,nrES_Att,1)=0,$L1499,IF($L1499&gt;=$J1499,cfgRetakeRecordedCap,SUMIFS(nrES_Raw,nrES_PID,$D1499,nrES_Code,$F1499,nrES_Att,1))))))</f>
        <v/>
      </c>
      <c r="N1499" s="15">
        <f>IF($C1499="","",IF($L1499="","",IF($L1499&gt;=$J1499,"Yes","No")))</f>
        <v/>
      </c>
      <c r="O1499" s="15">
        <f>IF($C1499="","",IF($M1499="","",IF($M1499&gt;=$J1499,"Yes","No")))</f>
        <v/>
      </c>
      <c r="P1499" s="15">
        <f>IF($C1499="","",IF($K1499="","",IF(COUNTIFS(nrES_PID,$D1499,nrES_Code,$F1499,nrES_Att,"&gt;"&amp;$K1499)=0,"Yes","No")))</f>
        <v/>
      </c>
      <c r="Q1499" s="15">
        <f>IF($C1499="","",IF($L1499="","",IF(AND($K1499=1,$L1499&lt;$J1499,COUNTIFS(nrES_PID,$D1499,nrES_Code,$F1499,nrES_Att,2)=0),"Yes","No")))</f>
        <v/>
      </c>
      <c r="R1499" s="15">
        <f>IF($C1499="","",IF($L1499="","",IF(AND($K1499=2,$L1499&lt;$J1499,COUNTIFS(nrES_PID,$D1499,nrES_Code,$F1499,nrES_Att,1)&gt;0),"Yes","No")))</f>
        <v/>
      </c>
      <c r="S1499" s="16" t="n"/>
      <c r="T1499" s="17">
        <f>IF($Q1499&lt;&gt;"Yes","",IF($S1499="","(enter date)",_xlfn.LET(_xlpm.dn,IFERROR(_xlfn.XLOOKUP($S1499,nrCDdate,nrCDnum),""),IF(_xlpm.dn="","(not a class day)",IFERROR(_xlfn.XLOOKUP(_xlpm.dn+cfgRetestClassDays,nrCDnum,nrCDdate),"")))))</f>
        <v/>
      </c>
      <c r="U1499" s="15">
        <f>IF($Q1499&lt;&gt;"Yes","",IF(COUNTIFS(nrES_PID,$D1499,nrES_Code,$F1499,nrES_Att,2)&gt;0,"Retested",IF(OR($T1499="",NOT(ISNUMBER($T1499))),"Pending",IF(TODAY()&gt;$T1499,"OVERDUE","Due "&amp;TEXT($T1499,"mm/dd")))))</f>
        <v/>
      </c>
      <c r="V1499" s="14" t="n"/>
      <c r="W1499" s="14" t="n"/>
    </row>
    <row r="1500">
      <c r="B1500" s="15">
        <f>IF($C1500="","",$D1500&amp;"-"&amp;$F1500&amp;"-"&amp;$K1500)</f>
        <v/>
      </c>
      <c r="C1500" s="14" t="n"/>
      <c r="D1500" s="15">
        <f>IF($C1500="","",IFERROR(INDEX(rngCadetPIDs,MATCH($C1500,rngCadetNames,0)),"?"))</f>
        <v/>
      </c>
      <c r="E1500" s="15">
        <f>IF($D1500="","",IFERROR(INDEX(nrCadetAgency,MATCH($D1500,rngCadetPIDs,0)),""))</f>
        <v/>
      </c>
      <c r="F1500" s="14" t="n"/>
      <c r="G1500" s="15">
        <f>IF($F1500="","",IFERROR(INDEX(rngEPname,MATCH($F1500,rngEPcode,0)),"?"))</f>
        <v/>
      </c>
      <c r="H1500" s="15">
        <f>IF($F1500="","",IFERROR(INDEX(rngEPtype,MATCH($F1500,rngEPcode,0)),"?"))</f>
        <v/>
      </c>
      <c r="I1500" s="15">
        <f>IF($F1500="","",IFERROR(INDEX(rngEPseq,MATCH($F1500,rngEPcode,0)),""))</f>
        <v/>
      </c>
      <c r="J1500" s="15">
        <f>IF($F1500="","",IFERROR(INDEX(rngEPpass,MATCH($F1500,rngEPcode,0)),cfgPassingScore))</f>
        <v/>
      </c>
      <c r="K1500" s="14" t="n"/>
      <c r="L1500" s="14" t="n"/>
      <c r="M1500" s="15">
        <f>IF($C1500="","",IF($L1500="","",IF($K1500=1,IF(COUNTIFS(nrES_PID,$D1500,nrES_Code,$F1500,nrES_Att,2)&gt;0,"",$L1500),IF(COUNTIFS(nrES_PID,$D1500,nrES_Code,$F1500,nrES_Att,1)=0,$L1500,IF($L1500&gt;=$J1500,cfgRetakeRecordedCap,SUMIFS(nrES_Raw,nrES_PID,$D1500,nrES_Code,$F1500,nrES_Att,1))))))</f>
        <v/>
      </c>
      <c r="N1500" s="15">
        <f>IF($C1500="","",IF($L1500="","",IF($L1500&gt;=$J1500,"Yes","No")))</f>
        <v/>
      </c>
      <c r="O1500" s="15">
        <f>IF($C1500="","",IF($M1500="","",IF($M1500&gt;=$J1500,"Yes","No")))</f>
        <v/>
      </c>
      <c r="P1500" s="15">
        <f>IF($C1500="","",IF($K1500="","",IF(COUNTIFS(nrES_PID,$D1500,nrES_Code,$F1500,nrES_Att,"&gt;"&amp;$K1500)=0,"Yes","No")))</f>
        <v/>
      </c>
      <c r="Q1500" s="15">
        <f>IF($C1500="","",IF($L1500="","",IF(AND($K1500=1,$L1500&lt;$J1500,COUNTIFS(nrES_PID,$D1500,nrES_Code,$F1500,nrES_Att,2)=0),"Yes","No")))</f>
        <v/>
      </c>
      <c r="R1500" s="15">
        <f>IF($C1500="","",IF($L1500="","",IF(AND($K1500=2,$L1500&lt;$J1500,COUNTIFS(nrES_PID,$D1500,nrES_Code,$F1500,nrES_Att,1)&gt;0),"Yes","No")))</f>
        <v/>
      </c>
      <c r="S1500" s="16" t="n"/>
      <c r="T1500" s="17">
        <f>IF($Q1500&lt;&gt;"Yes","",IF($S1500="","(enter date)",_xlfn.LET(_xlpm.dn,IFERROR(_xlfn.XLOOKUP($S1500,nrCDdate,nrCDnum),""),IF(_xlpm.dn="","(not a class day)",IFERROR(_xlfn.XLOOKUP(_xlpm.dn+cfgRetestClassDays,nrCDnum,nrCDdate),"")))))</f>
        <v/>
      </c>
      <c r="U1500" s="15">
        <f>IF($Q1500&lt;&gt;"Yes","",IF(COUNTIFS(nrES_PID,$D1500,nrES_Code,$F1500,nrES_Att,2)&gt;0,"Retested",IF(OR($T1500="",NOT(ISNUMBER($T1500))),"Pending",IF(TODAY()&gt;$T1500,"OVERDUE","Due "&amp;TEXT($T1500,"mm/dd")))))</f>
        <v/>
      </c>
      <c r="V1500" s="14" t="n"/>
      <c r="W1500" s="14" t="n"/>
    </row>
    <row r="1501">
      <c r="B1501" s="15">
        <f>IF($C1501="","",$D1501&amp;"-"&amp;$F1501&amp;"-"&amp;$K1501)</f>
        <v/>
      </c>
      <c r="C1501" s="14" t="n"/>
      <c r="D1501" s="15">
        <f>IF($C1501="","",IFERROR(INDEX(rngCadetPIDs,MATCH($C1501,rngCadetNames,0)),"?"))</f>
        <v/>
      </c>
      <c r="E1501" s="15">
        <f>IF($D1501="","",IFERROR(INDEX(nrCadetAgency,MATCH($D1501,rngCadetPIDs,0)),""))</f>
        <v/>
      </c>
      <c r="F1501" s="14" t="n"/>
      <c r="G1501" s="15">
        <f>IF($F1501="","",IFERROR(INDEX(rngEPname,MATCH($F1501,rngEPcode,0)),"?"))</f>
        <v/>
      </c>
      <c r="H1501" s="15">
        <f>IF($F1501="","",IFERROR(INDEX(rngEPtype,MATCH($F1501,rngEPcode,0)),"?"))</f>
        <v/>
      </c>
      <c r="I1501" s="15">
        <f>IF($F1501="","",IFERROR(INDEX(rngEPseq,MATCH($F1501,rngEPcode,0)),""))</f>
        <v/>
      </c>
      <c r="J1501" s="15">
        <f>IF($F1501="","",IFERROR(INDEX(rngEPpass,MATCH($F1501,rngEPcode,0)),cfgPassingScore))</f>
        <v/>
      </c>
      <c r="K1501" s="14" t="n"/>
      <c r="L1501" s="14" t="n"/>
      <c r="M1501" s="15">
        <f>IF($C1501="","",IF($L1501="","",IF($K1501=1,IF(COUNTIFS(nrES_PID,$D1501,nrES_Code,$F1501,nrES_Att,2)&gt;0,"",$L1501),IF(COUNTIFS(nrES_PID,$D1501,nrES_Code,$F1501,nrES_Att,1)=0,$L1501,IF($L1501&gt;=$J1501,cfgRetakeRecordedCap,SUMIFS(nrES_Raw,nrES_PID,$D1501,nrES_Code,$F1501,nrES_Att,1))))))</f>
        <v/>
      </c>
      <c r="N1501" s="15">
        <f>IF($C1501="","",IF($L1501="","",IF($L1501&gt;=$J1501,"Yes","No")))</f>
        <v/>
      </c>
      <c r="O1501" s="15">
        <f>IF($C1501="","",IF($M1501="","",IF($M1501&gt;=$J1501,"Yes","No")))</f>
        <v/>
      </c>
      <c r="P1501" s="15">
        <f>IF($C1501="","",IF($K1501="","",IF(COUNTIFS(nrES_PID,$D1501,nrES_Code,$F1501,nrES_Att,"&gt;"&amp;$K1501)=0,"Yes","No")))</f>
        <v/>
      </c>
      <c r="Q1501" s="15">
        <f>IF($C1501="","",IF($L1501="","",IF(AND($K1501=1,$L1501&lt;$J1501,COUNTIFS(nrES_PID,$D1501,nrES_Code,$F1501,nrES_Att,2)=0),"Yes","No")))</f>
        <v/>
      </c>
      <c r="R1501" s="15">
        <f>IF($C1501="","",IF($L1501="","",IF(AND($K1501=2,$L1501&lt;$J1501,COUNTIFS(nrES_PID,$D1501,nrES_Code,$F1501,nrES_Att,1)&gt;0),"Yes","No")))</f>
        <v/>
      </c>
      <c r="S1501" s="16" t="n"/>
      <c r="T1501" s="17">
        <f>IF($Q1501&lt;&gt;"Yes","",IF($S1501="","(enter date)",_xlfn.LET(_xlpm.dn,IFERROR(_xlfn.XLOOKUP($S1501,nrCDdate,nrCDnum),""),IF(_xlpm.dn="","(not a class day)",IFERROR(_xlfn.XLOOKUP(_xlpm.dn+cfgRetestClassDays,nrCDnum,nrCDdate),"")))))</f>
        <v/>
      </c>
      <c r="U1501" s="15">
        <f>IF($Q1501&lt;&gt;"Yes","",IF(COUNTIFS(nrES_PID,$D1501,nrES_Code,$F1501,nrES_Att,2)&gt;0,"Retested",IF(OR($T1501="",NOT(ISNUMBER($T1501))),"Pending",IF(TODAY()&gt;$T1501,"OVERDUE","Due "&amp;TEXT($T1501,"mm/dd")))))</f>
        <v/>
      </c>
      <c r="V1501" s="14" t="n"/>
      <c r="W1501" s="14" t="n"/>
    </row>
    <row r="1502">
      <c r="B1502" s="15">
        <f>IF($C1502="","",$D1502&amp;"-"&amp;$F1502&amp;"-"&amp;$K1502)</f>
        <v/>
      </c>
      <c r="C1502" s="14" t="n"/>
      <c r="D1502" s="15">
        <f>IF($C1502="","",IFERROR(INDEX(rngCadetPIDs,MATCH($C1502,rngCadetNames,0)),"?"))</f>
        <v/>
      </c>
      <c r="E1502" s="15">
        <f>IF($D1502="","",IFERROR(INDEX(nrCadetAgency,MATCH($D1502,rngCadetPIDs,0)),""))</f>
        <v/>
      </c>
      <c r="F1502" s="14" t="n"/>
      <c r="G1502" s="15">
        <f>IF($F1502="","",IFERROR(INDEX(rngEPname,MATCH($F1502,rngEPcode,0)),"?"))</f>
        <v/>
      </c>
      <c r="H1502" s="15">
        <f>IF($F1502="","",IFERROR(INDEX(rngEPtype,MATCH($F1502,rngEPcode,0)),"?"))</f>
        <v/>
      </c>
      <c r="I1502" s="15">
        <f>IF($F1502="","",IFERROR(INDEX(rngEPseq,MATCH($F1502,rngEPcode,0)),""))</f>
        <v/>
      </c>
      <c r="J1502" s="15">
        <f>IF($F1502="","",IFERROR(INDEX(rngEPpass,MATCH($F1502,rngEPcode,0)),cfgPassingScore))</f>
        <v/>
      </c>
      <c r="K1502" s="14" t="n"/>
      <c r="L1502" s="14" t="n"/>
      <c r="M1502" s="15">
        <f>IF($C1502="","",IF($L1502="","",IF($K1502=1,IF(COUNTIFS(nrES_PID,$D1502,nrES_Code,$F1502,nrES_Att,2)&gt;0,"",$L1502),IF(COUNTIFS(nrES_PID,$D1502,nrES_Code,$F1502,nrES_Att,1)=0,$L1502,IF($L1502&gt;=$J1502,cfgRetakeRecordedCap,SUMIFS(nrES_Raw,nrES_PID,$D1502,nrES_Code,$F1502,nrES_Att,1))))))</f>
        <v/>
      </c>
      <c r="N1502" s="15">
        <f>IF($C1502="","",IF($L1502="","",IF($L1502&gt;=$J1502,"Yes","No")))</f>
        <v/>
      </c>
      <c r="O1502" s="15">
        <f>IF($C1502="","",IF($M1502="","",IF($M1502&gt;=$J1502,"Yes","No")))</f>
        <v/>
      </c>
      <c r="P1502" s="15">
        <f>IF($C1502="","",IF($K1502="","",IF(COUNTIFS(nrES_PID,$D1502,nrES_Code,$F1502,nrES_Att,"&gt;"&amp;$K1502)=0,"Yes","No")))</f>
        <v/>
      </c>
      <c r="Q1502" s="15">
        <f>IF($C1502="","",IF($L1502="","",IF(AND($K1502=1,$L1502&lt;$J1502,COUNTIFS(nrES_PID,$D1502,nrES_Code,$F1502,nrES_Att,2)=0),"Yes","No")))</f>
        <v/>
      </c>
      <c r="R1502" s="15">
        <f>IF($C1502="","",IF($L1502="","",IF(AND($K1502=2,$L1502&lt;$J1502,COUNTIFS(nrES_PID,$D1502,nrES_Code,$F1502,nrES_Att,1)&gt;0),"Yes","No")))</f>
        <v/>
      </c>
      <c r="S1502" s="16" t="n"/>
      <c r="T1502" s="17">
        <f>IF($Q1502&lt;&gt;"Yes","",IF($S1502="","(enter date)",_xlfn.LET(_xlpm.dn,IFERROR(_xlfn.XLOOKUP($S1502,nrCDdate,nrCDnum),""),IF(_xlpm.dn="","(not a class day)",IFERROR(_xlfn.XLOOKUP(_xlpm.dn+cfgRetestClassDays,nrCDnum,nrCDdate),"")))))</f>
        <v/>
      </c>
      <c r="U1502" s="15">
        <f>IF($Q1502&lt;&gt;"Yes","",IF(COUNTIFS(nrES_PID,$D1502,nrES_Code,$F1502,nrES_Att,2)&gt;0,"Retested",IF(OR($T1502="",NOT(ISNUMBER($T1502))),"Pending",IF(TODAY()&gt;$T1502,"OVERDUE","Due "&amp;TEXT($T1502,"mm/dd")))))</f>
        <v/>
      </c>
      <c r="V1502" s="14" t="n"/>
      <c r="W1502" s="14" t="n"/>
    </row>
    <row r="1503">
      <c r="B1503" s="15">
        <f>IF($C1503="","",$D1503&amp;"-"&amp;$F1503&amp;"-"&amp;$K1503)</f>
        <v/>
      </c>
      <c r="C1503" s="14" t="n"/>
      <c r="D1503" s="15">
        <f>IF($C1503="","",IFERROR(INDEX(rngCadetPIDs,MATCH($C1503,rngCadetNames,0)),"?"))</f>
        <v/>
      </c>
      <c r="E1503" s="15">
        <f>IF($D1503="","",IFERROR(INDEX(nrCadetAgency,MATCH($D1503,rngCadetPIDs,0)),""))</f>
        <v/>
      </c>
      <c r="F1503" s="14" t="n"/>
      <c r="G1503" s="15">
        <f>IF($F1503="","",IFERROR(INDEX(rngEPname,MATCH($F1503,rngEPcode,0)),"?"))</f>
        <v/>
      </c>
      <c r="H1503" s="15">
        <f>IF($F1503="","",IFERROR(INDEX(rngEPtype,MATCH($F1503,rngEPcode,0)),"?"))</f>
        <v/>
      </c>
      <c r="I1503" s="15">
        <f>IF($F1503="","",IFERROR(INDEX(rngEPseq,MATCH($F1503,rngEPcode,0)),""))</f>
        <v/>
      </c>
      <c r="J1503" s="15">
        <f>IF($F1503="","",IFERROR(INDEX(rngEPpass,MATCH($F1503,rngEPcode,0)),cfgPassingScore))</f>
        <v/>
      </c>
      <c r="K1503" s="14" t="n"/>
      <c r="L1503" s="14" t="n"/>
      <c r="M1503" s="15">
        <f>IF($C1503="","",IF($L1503="","",IF($K1503=1,IF(COUNTIFS(nrES_PID,$D1503,nrES_Code,$F1503,nrES_Att,2)&gt;0,"",$L1503),IF(COUNTIFS(nrES_PID,$D1503,nrES_Code,$F1503,nrES_Att,1)=0,$L1503,IF($L1503&gt;=$J1503,cfgRetakeRecordedCap,SUMIFS(nrES_Raw,nrES_PID,$D1503,nrES_Code,$F1503,nrES_Att,1))))))</f>
        <v/>
      </c>
      <c r="N1503" s="15">
        <f>IF($C1503="","",IF($L1503="","",IF($L1503&gt;=$J1503,"Yes","No")))</f>
        <v/>
      </c>
      <c r="O1503" s="15">
        <f>IF($C1503="","",IF($M1503="","",IF($M1503&gt;=$J1503,"Yes","No")))</f>
        <v/>
      </c>
      <c r="P1503" s="15">
        <f>IF($C1503="","",IF($K1503="","",IF(COUNTIFS(nrES_PID,$D1503,nrES_Code,$F1503,nrES_Att,"&gt;"&amp;$K1503)=0,"Yes","No")))</f>
        <v/>
      </c>
      <c r="Q1503" s="15">
        <f>IF($C1503="","",IF($L1503="","",IF(AND($K1503=1,$L1503&lt;$J1503,COUNTIFS(nrES_PID,$D1503,nrES_Code,$F1503,nrES_Att,2)=0),"Yes","No")))</f>
        <v/>
      </c>
      <c r="R1503" s="15">
        <f>IF($C1503="","",IF($L1503="","",IF(AND($K1503=2,$L1503&lt;$J1503,COUNTIFS(nrES_PID,$D1503,nrES_Code,$F1503,nrES_Att,1)&gt;0),"Yes","No")))</f>
        <v/>
      </c>
      <c r="S1503" s="16" t="n"/>
      <c r="T1503" s="17">
        <f>IF($Q1503&lt;&gt;"Yes","",IF($S1503="","(enter date)",_xlfn.LET(_xlpm.dn,IFERROR(_xlfn.XLOOKUP($S1503,nrCDdate,nrCDnum),""),IF(_xlpm.dn="","(not a class day)",IFERROR(_xlfn.XLOOKUP(_xlpm.dn+cfgRetestClassDays,nrCDnum,nrCDdate),"")))))</f>
        <v/>
      </c>
      <c r="U1503" s="15">
        <f>IF($Q1503&lt;&gt;"Yes","",IF(COUNTIFS(nrES_PID,$D1503,nrES_Code,$F1503,nrES_Att,2)&gt;0,"Retested",IF(OR($T1503="",NOT(ISNUMBER($T1503))),"Pending",IF(TODAY()&gt;$T1503,"OVERDUE","Due "&amp;TEXT($T1503,"mm/dd")))))</f>
        <v/>
      </c>
      <c r="V1503" s="14" t="n"/>
      <c r="W1503" s="14" t="n"/>
    </row>
    <row r="1504">
      <c r="B1504" s="15">
        <f>IF($C1504="","",$D1504&amp;"-"&amp;$F1504&amp;"-"&amp;$K1504)</f>
        <v/>
      </c>
      <c r="C1504" s="14" t="n"/>
      <c r="D1504" s="15">
        <f>IF($C1504="","",IFERROR(INDEX(rngCadetPIDs,MATCH($C1504,rngCadetNames,0)),"?"))</f>
        <v/>
      </c>
      <c r="E1504" s="15">
        <f>IF($D1504="","",IFERROR(INDEX(nrCadetAgency,MATCH($D1504,rngCadetPIDs,0)),""))</f>
        <v/>
      </c>
      <c r="F1504" s="14" t="n"/>
      <c r="G1504" s="15">
        <f>IF($F1504="","",IFERROR(INDEX(rngEPname,MATCH($F1504,rngEPcode,0)),"?"))</f>
        <v/>
      </c>
      <c r="H1504" s="15">
        <f>IF($F1504="","",IFERROR(INDEX(rngEPtype,MATCH($F1504,rngEPcode,0)),"?"))</f>
        <v/>
      </c>
      <c r="I1504" s="15">
        <f>IF($F1504="","",IFERROR(INDEX(rngEPseq,MATCH($F1504,rngEPcode,0)),""))</f>
        <v/>
      </c>
      <c r="J1504" s="15">
        <f>IF($F1504="","",IFERROR(INDEX(rngEPpass,MATCH($F1504,rngEPcode,0)),cfgPassingScore))</f>
        <v/>
      </c>
      <c r="K1504" s="14" t="n"/>
      <c r="L1504" s="14" t="n"/>
      <c r="M1504" s="15">
        <f>IF($C1504="","",IF($L1504="","",IF($K1504=1,IF(COUNTIFS(nrES_PID,$D1504,nrES_Code,$F1504,nrES_Att,2)&gt;0,"",$L1504),IF(COUNTIFS(nrES_PID,$D1504,nrES_Code,$F1504,nrES_Att,1)=0,$L1504,IF($L1504&gt;=$J1504,cfgRetakeRecordedCap,SUMIFS(nrES_Raw,nrES_PID,$D1504,nrES_Code,$F1504,nrES_Att,1))))))</f>
        <v/>
      </c>
      <c r="N1504" s="15">
        <f>IF($C1504="","",IF($L1504="","",IF($L1504&gt;=$J1504,"Yes","No")))</f>
        <v/>
      </c>
      <c r="O1504" s="15">
        <f>IF($C1504="","",IF($M1504="","",IF($M1504&gt;=$J1504,"Yes","No")))</f>
        <v/>
      </c>
      <c r="P1504" s="15">
        <f>IF($C1504="","",IF($K1504="","",IF(COUNTIFS(nrES_PID,$D1504,nrES_Code,$F1504,nrES_Att,"&gt;"&amp;$K1504)=0,"Yes","No")))</f>
        <v/>
      </c>
      <c r="Q1504" s="15">
        <f>IF($C1504="","",IF($L1504="","",IF(AND($K1504=1,$L1504&lt;$J1504,COUNTIFS(nrES_PID,$D1504,nrES_Code,$F1504,nrES_Att,2)=0),"Yes","No")))</f>
        <v/>
      </c>
      <c r="R1504" s="15">
        <f>IF($C1504="","",IF($L1504="","",IF(AND($K1504=2,$L1504&lt;$J1504,COUNTIFS(nrES_PID,$D1504,nrES_Code,$F1504,nrES_Att,1)&gt;0),"Yes","No")))</f>
        <v/>
      </c>
      <c r="S1504" s="16" t="n"/>
      <c r="T1504" s="17">
        <f>IF($Q1504&lt;&gt;"Yes","",IF($S1504="","(enter date)",_xlfn.LET(_xlpm.dn,IFERROR(_xlfn.XLOOKUP($S1504,nrCDdate,nrCDnum),""),IF(_xlpm.dn="","(not a class day)",IFERROR(_xlfn.XLOOKUP(_xlpm.dn+cfgRetestClassDays,nrCDnum,nrCDdate),"")))))</f>
        <v/>
      </c>
      <c r="U1504" s="15">
        <f>IF($Q1504&lt;&gt;"Yes","",IF(COUNTIFS(nrES_PID,$D1504,nrES_Code,$F1504,nrES_Att,2)&gt;0,"Retested",IF(OR($T1504="",NOT(ISNUMBER($T1504))),"Pending",IF(TODAY()&gt;$T1504,"OVERDUE","Due "&amp;TEXT($T1504,"mm/dd")))))</f>
        <v/>
      </c>
      <c r="V1504" s="14" t="n"/>
      <c r="W1504" s="14" t="n"/>
    </row>
    <row r="1505">
      <c r="B1505" s="15">
        <f>IF($C1505="","",$D1505&amp;"-"&amp;$F1505&amp;"-"&amp;$K1505)</f>
        <v/>
      </c>
      <c r="C1505" s="14" t="n"/>
      <c r="D1505" s="15">
        <f>IF($C1505="","",IFERROR(INDEX(rngCadetPIDs,MATCH($C1505,rngCadetNames,0)),"?"))</f>
        <v/>
      </c>
      <c r="E1505" s="15">
        <f>IF($D1505="","",IFERROR(INDEX(nrCadetAgency,MATCH($D1505,rngCadetPIDs,0)),""))</f>
        <v/>
      </c>
      <c r="F1505" s="14" t="n"/>
      <c r="G1505" s="15">
        <f>IF($F1505="","",IFERROR(INDEX(rngEPname,MATCH($F1505,rngEPcode,0)),"?"))</f>
        <v/>
      </c>
      <c r="H1505" s="15">
        <f>IF($F1505="","",IFERROR(INDEX(rngEPtype,MATCH($F1505,rngEPcode,0)),"?"))</f>
        <v/>
      </c>
      <c r="I1505" s="15">
        <f>IF($F1505="","",IFERROR(INDEX(rngEPseq,MATCH($F1505,rngEPcode,0)),""))</f>
        <v/>
      </c>
      <c r="J1505" s="15">
        <f>IF($F1505="","",IFERROR(INDEX(rngEPpass,MATCH($F1505,rngEPcode,0)),cfgPassingScore))</f>
        <v/>
      </c>
      <c r="K1505" s="14" t="n"/>
      <c r="L1505" s="14" t="n"/>
      <c r="M1505" s="15">
        <f>IF($C1505="","",IF($L1505="","",IF($K1505=1,IF(COUNTIFS(nrES_PID,$D1505,nrES_Code,$F1505,nrES_Att,2)&gt;0,"",$L1505),IF(COUNTIFS(nrES_PID,$D1505,nrES_Code,$F1505,nrES_Att,1)=0,$L1505,IF($L1505&gt;=$J1505,cfgRetakeRecordedCap,SUMIFS(nrES_Raw,nrES_PID,$D1505,nrES_Code,$F1505,nrES_Att,1))))))</f>
        <v/>
      </c>
      <c r="N1505" s="15">
        <f>IF($C1505="","",IF($L1505="","",IF($L1505&gt;=$J1505,"Yes","No")))</f>
        <v/>
      </c>
      <c r="O1505" s="15">
        <f>IF($C1505="","",IF($M1505="","",IF($M1505&gt;=$J1505,"Yes","No")))</f>
        <v/>
      </c>
      <c r="P1505" s="15">
        <f>IF($C1505="","",IF($K1505="","",IF(COUNTIFS(nrES_PID,$D1505,nrES_Code,$F1505,nrES_Att,"&gt;"&amp;$K1505)=0,"Yes","No")))</f>
        <v/>
      </c>
      <c r="Q1505" s="15">
        <f>IF($C1505="","",IF($L1505="","",IF(AND($K1505=1,$L1505&lt;$J1505,COUNTIFS(nrES_PID,$D1505,nrES_Code,$F1505,nrES_Att,2)=0),"Yes","No")))</f>
        <v/>
      </c>
      <c r="R1505" s="15">
        <f>IF($C1505="","",IF($L1505="","",IF(AND($K1505=2,$L1505&lt;$J1505,COUNTIFS(nrES_PID,$D1505,nrES_Code,$F1505,nrES_Att,1)&gt;0),"Yes","No")))</f>
        <v/>
      </c>
      <c r="S1505" s="16" t="n"/>
      <c r="T1505" s="17">
        <f>IF($Q1505&lt;&gt;"Yes","",IF($S1505="","(enter date)",_xlfn.LET(_xlpm.dn,IFERROR(_xlfn.XLOOKUP($S1505,nrCDdate,nrCDnum),""),IF(_xlpm.dn="","(not a class day)",IFERROR(_xlfn.XLOOKUP(_xlpm.dn+cfgRetestClassDays,nrCDnum,nrCDdate),"")))))</f>
        <v/>
      </c>
      <c r="U1505" s="15">
        <f>IF($Q1505&lt;&gt;"Yes","",IF(COUNTIFS(nrES_PID,$D1505,nrES_Code,$F1505,nrES_Att,2)&gt;0,"Retested",IF(OR($T1505="",NOT(ISNUMBER($T1505))),"Pending",IF(TODAY()&gt;$T1505,"OVERDUE","Due "&amp;TEXT($T1505,"mm/dd")))))</f>
        <v/>
      </c>
      <c r="V1505" s="14" t="n"/>
      <c r="W1505" s="14" t="n"/>
    </row>
  </sheetData>
  <conditionalFormatting sqref="U6:U1505">
    <cfRule type="expression" priority="1" dxfId="0">
      <formula>$U6="OVERDUE"</formula>
    </cfRule>
  </conditionalFormatting>
  <conditionalFormatting sqref="O6:O1505">
    <cfRule type="cellIs" priority="2" operator="equal" dxfId="1">
      <formula>"Yes"</formula>
    </cfRule>
    <cfRule type="cellIs" priority="3"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row r="2"/>
    <row r="3"/>
    <row r="4">
      <c r="B4" s="8" t="inlineStr">
        <is>
          <t>Scores 0-100 (25 words x 4 pts). Average below the Settings intervention threshold (default 75) flags INTERVENTION per policy 300.4.B — see Counseling log.</t>
        </is>
      </c>
    </row>
    <row r="5" ht="26" customHeight="1">
      <c r="B5" s="9" t="inlineStr">
        <is>
          <t>PID</t>
        </is>
      </c>
      <c r="C5" s="9" t="inlineStr">
        <is>
          <t>Cadet Name</t>
        </is>
      </c>
      <c r="D5" s="9" t="inlineStr">
        <is>
          <t>S01</t>
        </is>
      </c>
      <c r="E5" s="9" t="inlineStr">
        <is>
          <t>S02</t>
        </is>
      </c>
      <c r="F5" s="9" t="inlineStr">
        <is>
          <t>S03</t>
        </is>
      </c>
      <c r="G5" s="9" t="inlineStr">
        <is>
          <t>S04</t>
        </is>
      </c>
      <c r="H5" s="9" t="inlineStr">
        <is>
          <t>S05</t>
        </is>
      </c>
      <c r="I5" s="9" t="inlineStr">
        <is>
          <t>S06</t>
        </is>
      </c>
      <c r="J5" s="9" t="inlineStr">
        <is>
          <t>S07</t>
        </is>
      </c>
      <c r="K5" s="9" t="inlineStr">
        <is>
          <t>S08</t>
        </is>
      </c>
      <c r="L5" s="9" t="inlineStr">
        <is>
          <t>S09</t>
        </is>
      </c>
      <c r="M5" s="9" t="inlineStr">
        <is>
          <t>S10</t>
        </is>
      </c>
      <c r="N5" s="9" t="inlineStr">
        <is>
          <t>S11</t>
        </is>
      </c>
      <c r="O5" s="9" t="inlineStr">
        <is>
          <t>S12</t>
        </is>
      </c>
      <c r="P5" s="9" t="inlineStr">
        <is>
          <t>Spelling Avg</t>
        </is>
      </c>
      <c r="Q5" s="9" t="inlineStr">
        <is>
          <t># Taken</t>
        </is>
      </c>
      <c r="R5" s="9" t="inlineStr">
        <is>
          <t>Intervention?</t>
        </is>
      </c>
    </row>
    <row r="6">
      <c r="B6" s="15">
        <f>IF(Cadets!$B6="","",Cadets!$B6)</f>
        <v/>
      </c>
      <c r="C6" s="15">
        <f>IF(Cadets!$B6="","",Cadets!$F6)</f>
        <v/>
      </c>
      <c r="D6" s="14" t="n"/>
      <c r="E6" s="14" t="n"/>
      <c r="F6" s="14" t="n"/>
      <c r="G6" s="14" t="n"/>
      <c r="H6" s="14" t="n"/>
      <c r="I6" s="14" t="n"/>
      <c r="J6" s="14" t="n"/>
      <c r="K6" s="14" t="n"/>
      <c r="L6" s="14" t="n"/>
      <c r="M6" s="14" t="n"/>
      <c r="N6" s="14" t="n"/>
      <c r="O6" s="14" t="n"/>
      <c r="P6" s="15">
        <f>IF($C6="","",IF($Q6=0,"",ROUND(SUM($D6:$O6)/$Q6,1)))</f>
        <v/>
      </c>
      <c r="Q6" s="15">
        <f>IF($C6="","",COUNT($D6:$O6))</f>
        <v/>
      </c>
      <c r="R6" s="15">
        <f>IF($C6="","",IF($P6="","",IF($P6&lt;cfgSpellInterventionAvg,"INTERVENTION","OK")))</f>
        <v/>
      </c>
    </row>
    <row r="7">
      <c r="B7" s="15">
        <f>IF(Cadets!$B7="","",Cadets!$B7)</f>
        <v/>
      </c>
      <c r="C7" s="15">
        <f>IF(Cadets!$B7="","",Cadets!$F7)</f>
        <v/>
      </c>
      <c r="D7" s="14" t="n"/>
      <c r="E7" s="14" t="n"/>
      <c r="F7" s="14" t="n"/>
      <c r="G7" s="14" t="n"/>
      <c r="H7" s="14" t="n"/>
      <c r="I7" s="14" t="n"/>
      <c r="J7" s="14" t="n"/>
      <c r="K7" s="14" t="n"/>
      <c r="L7" s="14" t="n"/>
      <c r="M7" s="14" t="n"/>
      <c r="N7" s="14" t="n"/>
      <c r="O7" s="14" t="n"/>
      <c r="P7" s="15">
        <f>IF($C7="","",IF($Q7=0,"",ROUND(SUM($D7:$O7)/$Q7,1)))</f>
        <v/>
      </c>
      <c r="Q7" s="15">
        <f>IF($C7="","",COUNT($D7:$O7))</f>
        <v/>
      </c>
      <c r="R7" s="15">
        <f>IF($C7="","",IF($P7="","",IF($P7&lt;cfgSpellInterventionAvg,"INTERVENTION","OK")))</f>
        <v/>
      </c>
    </row>
    <row r="8">
      <c r="B8" s="15">
        <f>IF(Cadets!$B8="","",Cadets!$B8)</f>
        <v/>
      </c>
      <c r="C8" s="15">
        <f>IF(Cadets!$B8="","",Cadets!$F8)</f>
        <v/>
      </c>
      <c r="D8" s="14" t="n"/>
      <c r="E8" s="14" t="n"/>
      <c r="F8" s="14" t="n"/>
      <c r="G8" s="14" t="n"/>
      <c r="H8" s="14" t="n"/>
      <c r="I8" s="14" t="n"/>
      <c r="J8" s="14" t="n"/>
      <c r="K8" s="14" t="n"/>
      <c r="L8" s="14" t="n"/>
      <c r="M8" s="14" t="n"/>
      <c r="N8" s="14" t="n"/>
      <c r="O8" s="14" t="n"/>
      <c r="P8" s="15">
        <f>IF($C8="","",IF($Q8=0,"",ROUND(SUM($D8:$O8)/$Q8,1)))</f>
        <v/>
      </c>
      <c r="Q8" s="15">
        <f>IF($C8="","",COUNT($D8:$O8))</f>
        <v/>
      </c>
      <c r="R8" s="15">
        <f>IF($C8="","",IF($P8="","",IF($P8&lt;cfgSpellInterventionAvg,"INTERVENTION","OK")))</f>
        <v/>
      </c>
    </row>
    <row r="9">
      <c r="B9" s="15">
        <f>IF(Cadets!$B9="","",Cadets!$B9)</f>
        <v/>
      </c>
      <c r="C9" s="15">
        <f>IF(Cadets!$B9="","",Cadets!$F9)</f>
        <v/>
      </c>
      <c r="D9" s="14" t="n"/>
      <c r="E9" s="14" t="n"/>
      <c r="F9" s="14" t="n"/>
      <c r="G9" s="14" t="n"/>
      <c r="H9" s="14" t="n"/>
      <c r="I9" s="14" t="n"/>
      <c r="J9" s="14" t="n"/>
      <c r="K9" s="14" t="n"/>
      <c r="L9" s="14" t="n"/>
      <c r="M9" s="14" t="n"/>
      <c r="N9" s="14" t="n"/>
      <c r="O9" s="14" t="n"/>
      <c r="P9" s="15">
        <f>IF($C9="","",IF($Q9=0,"",ROUND(SUM($D9:$O9)/$Q9,1)))</f>
        <v/>
      </c>
      <c r="Q9" s="15">
        <f>IF($C9="","",COUNT($D9:$O9))</f>
        <v/>
      </c>
      <c r="R9" s="15">
        <f>IF($C9="","",IF($P9="","",IF($P9&lt;cfgSpellInterventionAvg,"INTERVENTION","OK")))</f>
        <v/>
      </c>
    </row>
    <row r="10">
      <c r="B10" s="15">
        <f>IF(Cadets!$B10="","",Cadets!$B10)</f>
        <v/>
      </c>
      <c r="C10" s="15">
        <f>IF(Cadets!$B10="","",Cadets!$F10)</f>
        <v/>
      </c>
      <c r="D10" s="14" t="n"/>
      <c r="E10" s="14" t="n"/>
      <c r="F10" s="14" t="n"/>
      <c r="G10" s="14" t="n"/>
      <c r="H10" s="14" t="n"/>
      <c r="I10" s="14" t="n"/>
      <c r="J10" s="14" t="n"/>
      <c r="K10" s="14" t="n"/>
      <c r="L10" s="14" t="n"/>
      <c r="M10" s="14" t="n"/>
      <c r="N10" s="14" t="n"/>
      <c r="O10" s="14" t="n"/>
      <c r="P10" s="15">
        <f>IF($C10="","",IF($Q10=0,"",ROUND(SUM($D10:$O10)/$Q10,1)))</f>
        <v/>
      </c>
      <c r="Q10" s="15">
        <f>IF($C10="","",COUNT($D10:$O10))</f>
        <v/>
      </c>
      <c r="R10" s="15">
        <f>IF($C10="","",IF($P10="","",IF($P10&lt;cfgSpellInterventionAvg,"INTERVENTION","OK")))</f>
        <v/>
      </c>
    </row>
    <row r="11">
      <c r="B11" s="15">
        <f>IF(Cadets!$B11="","",Cadets!$B11)</f>
        <v/>
      </c>
      <c r="C11" s="15">
        <f>IF(Cadets!$B11="","",Cadets!$F11)</f>
        <v/>
      </c>
      <c r="D11" s="14" t="n"/>
      <c r="E11" s="14" t="n"/>
      <c r="F11" s="14" t="n"/>
      <c r="G11" s="14" t="n"/>
      <c r="H11" s="14" t="n"/>
      <c r="I11" s="14" t="n"/>
      <c r="J11" s="14" t="n"/>
      <c r="K11" s="14" t="n"/>
      <c r="L11" s="14" t="n"/>
      <c r="M11" s="14" t="n"/>
      <c r="N11" s="14" t="n"/>
      <c r="O11" s="14" t="n"/>
      <c r="P11" s="15">
        <f>IF($C11="","",IF($Q11=0,"",ROUND(SUM($D11:$O11)/$Q11,1)))</f>
        <v/>
      </c>
      <c r="Q11" s="15">
        <f>IF($C11="","",COUNT($D11:$O11))</f>
        <v/>
      </c>
      <c r="R11" s="15">
        <f>IF($C11="","",IF($P11="","",IF($P11&lt;cfgSpellInterventionAvg,"INTERVENTION","OK")))</f>
        <v/>
      </c>
    </row>
    <row r="12">
      <c r="B12" s="15">
        <f>IF(Cadets!$B12="","",Cadets!$B12)</f>
        <v/>
      </c>
      <c r="C12" s="15">
        <f>IF(Cadets!$B12="","",Cadets!$F12)</f>
        <v/>
      </c>
      <c r="D12" s="14" t="n"/>
      <c r="E12" s="14" t="n"/>
      <c r="F12" s="14" t="n"/>
      <c r="G12" s="14" t="n"/>
      <c r="H12" s="14" t="n"/>
      <c r="I12" s="14" t="n"/>
      <c r="J12" s="14" t="n"/>
      <c r="K12" s="14" t="n"/>
      <c r="L12" s="14" t="n"/>
      <c r="M12" s="14" t="n"/>
      <c r="N12" s="14" t="n"/>
      <c r="O12" s="14" t="n"/>
      <c r="P12" s="15">
        <f>IF($C12="","",IF($Q12=0,"",ROUND(SUM($D12:$O12)/$Q12,1)))</f>
        <v/>
      </c>
      <c r="Q12" s="15">
        <f>IF($C12="","",COUNT($D12:$O12))</f>
        <v/>
      </c>
      <c r="R12" s="15">
        <f>IF($C12="","",IF($P12="","",IF($P12&lt;cfgSpellInterventionAvg,"INTERVENTION","OK")))</f>
        <v/>
      </c>
    </row>
    <row r="13">
      <c r="B13" s="15">
        <f>IF(Cadets!$B13="","",Cadets!$B13)</f>
        <v/>
      </c>
      <c r="C13" s="15">
        <f>IF(Cadets!$B13="","",Cadets!$F13)</f>
        <v/>
      </c>
      <c r="D13" s="14" t="n"/>
      <c r="E13" s="14" t="n"/>
      <c r="F13" s="14" t="n"/>
      <c r="G13" s="14" t="n"/>
      <c r="H13" s="14" t="n"/>
      <c r="I13" s="14" t="n"/>
      <c r="J13" s="14" t="n"/>
      <c r="K13" s="14" t="n"/>
      <c r="L13" s="14" t="n"/>
      <c r="M13" s="14" t="n"/>
      <c r="N13" s="14" t="n"/>
      <c r="O13" s="14" t="n"/>
      <c r="P13" s="15">
        <f>IF($C13="","",IF($Q13=0,"",ROUND(SUM($D13:$O13)/$Q13,1)))</f>
        <v/>
      </c>
      <c r="Q13" s="15">
        <f>IF($C13="","",COUNT($D13:$O13))</f>
        <v/>
      </c>
      <c r="R13" s="15">
        <f>IF($C13="","",IF($P13="","",IF($P13&lt;cfgSpellInterventionAvg,"INTERVENTION","OK")))</f>
        <v/>
      </c>
    </row>
    <row r="14">
      <c r="B14" s="15">
        <f>IF(Cadets!$B14="","",Cadets!$B14)</f>
        <v/>
      </c>
      <c r="C14" s="15">
        <f>IF(Cadets!$B14="","",Cadets!$F14)</f>
        <v/>
      </c>
      <c r="D14" s="14" t="n"/>
      <c r="E14" s="14" t="n"/>
      <c r="F14" s="14" t="n"/>
      <c r="G14" s="14" t="n"/>
      <c r="H14" s="14" t="n"/>
      <c r="I14" s="14" t="n"/>
      <c r="J14" s="14" t="n"/>
      <c r="K14" s="14" t="n"/>
      <c r="L14" s="14" t="n"/>
      <c r="M14" s="14" t="n"/>
      <c r="N14" s="14" t="n"/>
      <c r="O14" s="14" t="n"/>
      <c r="P14" s="15">
        <f>IF($C14="","",IF($Q14=0,"",ROUND(SUM($D14:$O14)/$Q14,1)))</f>
        <v/>
      </c>
      <c r="Q14" s="15">
        <f>IF($C14="","",COUNT($D14:$O14))</f>
        <v/>
      </c>
      <c r="R14" s="15">
        <f>IF($C14="","",IF($P14="","",IF($P14&lt;cfgSpellInterventionAvg,"INTERVENTION","OK")))</f>
        <v/>
      </c>
    </row>
    <row r="15">
      <c r="B15" s="15">
        <f>IF(Cadets!$B15="","",Cadets!$B15)</f>
        <v/>
      </c>
      <c r="C15" s="15">
        <f>IF(Cadets!$B15="","",Cadets!$F15)</f>
        <v/>
      </c>
      <c r="D15" s="14" t="n"/>
      <c r="E15" s="14" t="n"/>
      <c r="F15" s="14" t="n"/>
      <c r="G15" s="14" t="n"/>
      <c r="H15" s="14" t="n"/>
      <c r="I15" s="14" t="n"/>
      <c r="J15" s="14" t="n"/>
      <c r="K15" s="14" t="n"/>
      <c r="L15" s="14" t="n"/>
      <c r="M15" s="14" t="n"/>
      <c r="N15" s="14" t="n"/>
      <c r="O15" s="14" t="n"/>
      <c r="P15" s="15">
        <f>IF($C15="","",IF($Q15=0,"",ROUND(SUM($D15:$O15)/$Q15,1)))</f>
        <v/>
      </c>
      <c r="Q15" s="15">
        <f>IF($C15="","",COUNT($D15:$O15))</f>
        <v/>
      </c>
      <c r="R15" s="15">
        <f>IF($C15="","",IF($P15="","",IF($P15&lt;cfgSpellInterventionAvg,"INTERVENTION","OK")))</f>
        <v/>
      </c>
    </row>
    <row r="16">
      <c r="B16" s="15">
        <f>IF(Cadets!$B16="","",Cadets!$B16)</f>
        <v/>
      </c>
      <c r="C16" s="15">
        <f>IF(Cadets!$B16="","",Cadets!$F16)</f>
        <v/>
      </c>
      <c r="D16" s="14" t="n"/>
      <c r="E16" s="14" t="n"/>
      <c r="F16" s="14" t="n"/>
      <c r="G16" s="14" t="n"/>
      <c r="H16" s="14" t="n"/>
      <c r="I16" s="14" t="n"/>
      <c r="J16" s="14" t="n"/>
      <c r="K16" s="14" t="n"/>
      <c r="L16" s="14" t="n"/>
      <c r="M16" s="14" t="n"/>
      <c r="N16" s="14" t="n"/>
      <c r="O16" s="14" t="n"/>
      <c r="P16" s="15">
        <f>IF($C16="","",IF($Q16=0,"",ROUND(SUM($D16:$O16)/$Q16,1)))</f>
        <v/>
      </c>
      <c r="Q16" s="15">
        <f>IF($C16="","",COUNT($D16:$O16))</f>
        <v/>
      </c>
      <c r="R16" s="15">
        <f>IF($C16="","",IF($P16="","",IF($P16&lt;cfgSpellInterventionAvg,"INTERVENTION","OK")))</f>
        <v/>
      </c>
    </row>
    <row r="17">
      <c r="B17" s="15">
        <f>IF(Cadets!$B17="","",Cadets!$B17)</f>
        <v/>
      </c>
      <c r="C17" s="15">
        <f>IF(Cadets!$B17="","",Cadets!$F17)</f>
        <v/>
      </c>
      <c r="D17" s="14" t="n"/>
      <c r="E17" s="14" t="n"/>
      <c r="F17" s="14" t="n"/>
      <c r="G17" s="14" t="n"/>
      <c r="H17" s="14" t="n"/>
      <c r="I17" s="14" t="n"/>
      <c r="J17" s="14" t="n"/>
      <c r="K17" s="14" t="n"/>
      <c r="L17" s="14" t="n"/>
      <c r="M17" s="14" t="n"/>
      <c r="N17" s="14" t="n"/>
      <c r="O17" s="14" t="n"/>
      <c r="P17" s="15">
        <f>IF($C17="","",IF($Q17=0,"",ROUND(SUM($D17:$O17)/$Q17,1)))</f>
        <v/>
      </c>
      <c r="Q17" s="15">
        <f>IF($C17="","",COUNT($D17:$O17))</f>
        <v/>
      </c>
      <c r="R17" s="15">
        <f>IF($C17="","",IF($P17="","",IF($P17&lt;cfgSpellInterventionAvg,"INTERVENTION","OK")))</f>
        <v/>
      </c>
    </row>
    <row r="18">
      <c r="B18" s="15">
        <f>IF(Cadets!$B18="","",Cadets!$B18)</f>
        <v/>
      </c>
      <c r="C18" s="15">
        <f>IF(Cadets!$B18="","",Cadets!$F18)</f>
        <v/>
      </c>
      <c r="D18" s="14" t="n"/>
      <c r="E18" s="14" t="n"/>
      <c r="F18" s="14" t="n"/>
      <c r="G18" s="14" t="n"/>
      <c r="H18" s="14" t="n"/>
      <c r="I18" s="14" t="n"/>
      <c r="J18" s="14" t="n"/>
      <c r="K18" s="14" t="n"/>
      <c r="L18" s="14" t="n"/>
      <c r="M18" s="14" t="n"/>
      <c r="N18" s="14" t="n"/>
      <c r="O18" s="14" t="n"/>
      <c r="P18" s="15">
        <f>IF($C18="","",IF($Q18=0,"",ROUND(SUM($D18:$O18)/$Q18,1)))</f>
        <v/>
      </c>
      <c r="Q18" s="15">
        <f>IF($C18="","",COUNT($D18:$O18))</f>
        <v/>
      </c>
      <c r="R18" s="15">
        <f>IF($C18="","",IF($P18="","",IF($P18&lt;cfgSpellInterventionAvg,"INTERVENTION","OK")))</f>
        <v/>
      </c>
    </row>
    <row r="19">
      <c r="B19" s="15">
        <f>IF(Cadets!$B19="","",Cadets!$B19)</f>
        <v/>
      </c>
      <c r="C19" s="15">
        <f>IF(Cadets!$B19="","",Cadets!$F19)</f>
        <v/>
      </c>
      <c r="D19" s="14" t="n"/>
      <c r="E19" s="14" t="n"/>
      <c r="F19" s="14" t="n"/>
      <c r="G19" s="14" t="n"/>
      <c r="H19" s="14" t="n"/>
      <c r="I19" s="14" t="n"/>
      <c r="J19" s="14" t="n"/>
      <c r="K19" s="14" t="n"/>
      <c r="L19" s="14" t="n"/>
      <c r="M19" s="14" t="n"/>
      <c r="N19" s="14" t="n"/>
      <c r="O19" s="14" t="n"/>
      <c r="P19" s="15">
        <f>IF($C19="","",IF($Q19=0,"",ROUND(SUM($D19:$O19)/$Q19,1)))</f>
        <v/>
      </c>
      <c r="Q19" s="15">
        <f>IF($C19="","",COUNT($D19:$O19))</f>
        <v/>
      </c>
      <c r="R19" s="15">
        <f>IF($C19="","",IF($P19="","",IF($P19&lt;cfgSpellInterventionAvg,"INTERVENTION","OK")))</f>
        <v/>
      </c>
    </row>
    <row r="20">
      <c r="B20" s="15">
        <f>IF(Cadets!$B20="","",Cadets!$B20)</f>
        <v/>
      </c>
      <c r="C20" s="15">
        <f>IF(Cadets!$B20="","",Cadets!$F20)</f>
        <v/>
      </c>
      <c r="D20" s="14" t="n"/>
      <c r="E20" s="14" t="n"/>
      <c r="F20" s="14" t="n"/>
      <c r="G20" s="14" t="n"/>
      <c r="H20" s="14" t="n"/>
      <c r="I20" s="14" t="n"/>
      <c r="J20" s="14" t="n"/>
      <c r="K20" s="14" t="n"/>
      <c r="L20" s="14" t="n"/>
      <c r="M20" s="14" t="n"/>
      <c r="N20" s="14" t="n"/>
      <c r="O20" s="14" t="n"/>
      <c r="P20" s="15">
        <f>IF($C20="","",IF($Q20=0,"",ROUND(SUM($D20:$O20)/$Q20,1)))</f>
        <v/>
      </c>
      <c r="Q20" s="15">
        <f>IF($C20="","",COUNT($D20:$O20))</f>
        <v/>
      </c>
      <c r="R20" s="15">
        <f>IF($C20="","",IF($P20="","",IF($P20&lt;cfgSpellInterventionAvg,"INTERVENTION","OK")))</f>
        <v/>
      </c>
    </row>
    <row r="21">
      <c r="B21" s="15">
        <f>IF(Cadets!$B21="","",Cadets!$B21)</f>
        <v/>
      </c>
      <c r="C21" s="15">
        <f>IF(Cadets!$B21="","",Cadets!$F21)</f>
        <v/>
      </c>
      <c r="D21" s="14" t="n"/>
      <c r="E21" s="14" t="n"/>
      <c r="F21" s="14" t="n"/>
      <c r="G21" s="14" t="n"/>
      <c r="H21" s="14" t="n"/>
      <c r="I21" s="14" t="n"/>
      <c r="J21" s="14" t="n"/>
      <c r="K21" s="14" t="n"/>
      <c r="L21" s="14" t="n"/>
      <c r="M21" s="14" t="n"/>
      <c r="N21" s="14" t="n"/>
      <c r="O21" s="14" t="n"/>
      <c r="P21" s="15">
        <f>IF($C21="","",IF($Q21=0,"",ROUND(SUM($D21:$O21)/$Q21,1)))</f>
        <v/>
      </c>
      <c r="Q21" s="15">
        <f>IF($C21="","",COUNT($D21:$O21))</f>
        <v/>
      </c>
      <c r="R21" s="15">
        <f>IF($C21="","",IF($P21="","",IF($P21&lt;cfgSpellInterventionAvg,"INTERVENTION","OK")))</f>
        <v/>
      </c>
    </row>
    <row r="22">
      <c r="B22" s="15">
        <f>IF(Cadets!$B22="","",Cadets!$B22)</f>
        <v/>
      </c>
      <c r="C22" s="15">
        <f>IF(Cadets!$B22="","",Cadets!$F22)</f>
        <v/>
      </c>
      <c r="D22" s="14" t="n"/>
      <c r="E22" s="14" t="n"/>
      <c r="F22" s="14" t="n"/>
      <c r="G22" s="14" t="n"/>
      <c r="H22" s="14" t="n"/>
      <c r="I22" s="14" t="n"/>
      <c r="J22" s="14" t="n"/>
      <c r="K22" s="14" t="n"/>
      <c r="L22" s="14" t="n"/>
      <c r="M22" s="14" t="n"/>
      <c r="N22" s="14" t="n"/>
      <c r="O22" s="14" t="n"/>
      <c r="P22" s="15">
        <f>IF($C22="","",IF($Q22=0,"",ROUND(SUM($D22:$O22)/$Q22,1)))</f>
        <v/>
      </c>
      <c r="Q22" s="15">
        <f>IF($C22="","",COUNT($D22:$O22))</f>
        <v/>
      </c>
      <c r="R22" s="15">
        <f>IF($C22="","",IF($P22="","",IF($P22&lt;cfgSpellInterventionAvg,"INTERVENTION","OK")))</f>
        <v/>
      </c>
    </row>
    <row r="23">
      <c r="B23" s="15">
        <f>IF(Cadets!$B23="","",Cadets!$B23)</f>
        <v/>
      </c>
      <c r="C23" s="15">
        <f>IF(Cadets!$B23="","",Cadets!$F23)</f>
        <v/>
      </c>
      <c r="D23" s="14" t="n"/>
      <c r="E23" s="14" t="n"/>
      <c r="F23" s="14" t="n"/>
      <c r="G23" s="14" t="n"/>
      <c r="H23" s="14" t="n"/>
      <c r="I23" s="14" t="n"/>
      <c r="J23" s="14" t="n"/>
      <c r="K23" s="14" t="n"/>
      <c r="L23" s="14" t="n"/>
      <c r="M23" s="14" t="n"/>
      <c r="N23" s="14" t="n"/>
      <c r="O23" s="14" t="n"/>
      <c r="P23" s="15">
        <f>IF($C23="","",IF($Q23=0,"",ROUND(SUM($D23:$O23)/$Q23,1)))</f>
        <v/>
      </c>
      <c r="Q23" s="15">
        <f>IF($C23="","",COUNT($D23:$O23))</f>
        <v/>
      </c>
      <c r="R23" s="15">
        <f>IF($C23="","",IF($P23="","",IF($P23&lt;cfgSpellInterventionAvg,"INTERVENTION","OK")))</f>
        <v/>
      </c>
    </row>
    <row r="24">
      <c r="B24" s="15">
        <f>IF(Cadets!$B24="","",Cadets!$B24)</f>
        <v/>
      </c>
      <c r="C24" s="15">
        <f>IF(Cadets!$B24="","",Cadets!$F24)</f>
        <v/>
      </c>
      <c r="D24" s="14" t="n"/>
      <c r="E24" s="14" t="n"/>
      <c r="F24" s="14" t="n"/>
      <c r="G24" s="14" t="n"/>
      <c r="H24" s="14" t="n"/>
      <c r="I24" s="14" t="n"/>
      <c r="J24" s="14" t="n"/>
      <c r="K24" s="14" t="n"/>
      <c r="L24" s="14" t="n"/>
      <c r="M24" s="14" t="n"/>
      <c r="N24" s="14" t="n"/>
      <c r="O24" s="14" t="n"/>
      <c r="P24" s="15">
        <f>IF($C24="","",IF($Q24=0,"",ROUND(SUM($D24:$O24)/$Q24,1)))</f>
        <v/>
      </c>
      <c r="Q24" s="15">
        <f>IF($C24="","",COUNT($D24:$O24))</f>
        <v/>
      </c>
      <c r="R24" s="15">
        <f>IF($C24="","",IF($P24="","",IF($P24&lt;cfgSpellInterventionAvg,"INTERVENTION","OK")))</f>
        <v/>
      </c>
    </row>
    <row r="25">
      <c r="B25" s="15">
        <f>IF(Cadets!$B25="","",Cadets!$B25)</f>
        <v/>
      </c>
      <c r="C25" s="15">
        <f>IF(Cadets!$B25="","",Cadets!$F25)</f>
        <v/>
      </c>
      <c r="D25" s="14" t="n"/>
      <c r="E25" s="14" t="n"/>
      <c r="F25" s="14" t="n"/>
      <c r="G25" s="14" t="n"/>
      <c r="H25" s="14" t="n"/>
      <c r="I25" s="14" t="n"/>
      <c r="J25" s="14" t="n"/>
      <c r="K25" s="14" t="n"/>
      <c r="L25" s="14" t="n"/>
      <c r="M25" s="14" t="n"/>
      <c r="N25" s="14" t="n"/>
      <c r="O25" s="14" t="n"/>
      <c r="P25" s="15">
        <f>IF($C25="","",IF($Q25=0,"",ROUND(SUM($D25:$O25)/$Q25,1)))</f>
        <v/>
      </c>
      <c r="Q25" s="15">
        <f>IF($C25="","",COUNT($D25:$O25))</f>
        <v/>
      </c>
      <c r="R25" s="15">
        <f>IF($C25="","",IF($P25="","",IF($P25&lt;cfgSpellInterventionAvg,"INTERVENTION","OK")))</f>
        <v/>
      </c>
    </row>
    <row r="26">
      <c r="B26" s="15">
        <f>IF(Cadets!$B26="","",Cadets!$B26)</f>
        <v/>
      </c>
      <c r="C26" s="15">
        <f>IF(Cadets!$B26="","",Cadets!$F26)</f>
        <v/>
      </c>
      <c r="D26" s="14" t="n"/>
      <c r="E26" s="14" t="n"/>
      <c r="F26" s="14" t="n"/>
      <c r="G26" s="14" t="n"/>
      <c r="H26" s="14" t="n"/>
      <c r="I26" s="14" t="n"/>
      <c r="J26" s="14" t="n"/>
      <c r="K26" s="14" t="n"/>
      <c r="L26" s="14" t="n"/>
      <c r="M26" s="14" t="n"/>
      <c r="N26" s="14" t="n"/>
      <c r="O26" s="14" t="n"/>
      <c r="P26" s="15">
        <f>IF($C26="","",IF($Q26=0,"",ROUND(SUM($D26:$O26)/$Q26,1)))</f>
        <v/>
      </c>
      <c r="Q26" s="15">
        <f>IF($C26="","",COUNT($D26:$O26))</f>
        <v/>
      </c>
      <c r="R26" s="15">
        <f>IF($C26="","",IF($P26="","",IF($P26&lt;cfgSpellInterventionAvg,"INTERVENTION","OK")))</f>
        <v/>
      </c>
    </row>
    <row r="27">
      <c r="B27" s="15">
        <f>IF(Cadets!$B27="","",Cadets!$B27)</f>
        <v/>
      </c>
      <c r="C27" s="15">
        <f>IF(Cadets!$B27="","",Cadets!$F27)</f>
        <v/>
      </c>
      <c r="D27" s="14" t="n"/>
      <c r="E27" s="14" t="n"/>
      <c r="F27" s="14" t="n"/>
      <c r="G27" s="14" t="n"/>
      <c r="H27" s="14" t="n"/>
      <c r="I27" s="14" t="n"/>
      <c r="J27" s="14" t="n"/>
      <c r="K27" s="14" t="n"/>
      <c r="L27" s="14" t="n"/>
      <c r="M27" s="14" t="n"/>
      <c r="N27" s="14" t="n"/>
      <c r="O27" s="14" t="n"/>
      <c r="P27" s="15">
        <f>IF($C27="","",IF($Q27=0,"",ROUND(SUM($D27:$O27)/$Q27,1)))</f>
        <v/>
      </c>
      <c r="Q27" s="15">
        <f>IF($C27="","",COUNT($D27:$O27))</f>
        <v/>
      </c>
      <c r="R27" s="15">
        <f>IF($C27="","",IF($P27="","",IF($P27&lt;cfgSpellInterventionAvg,"INTERVENTION","OK")))</f>
        <v/>
      </c>
    </row>
    <row r="28">
      <c r="B28" s="15">
        <f>IF(Cadets!$B28="","",Cadets!$B28)</f>
        <v/>
      </c>
      <c r="C28" s="15">
        <f>IF(Cadets!$B28="","",Cadets!$F28)</f>
        <v/>
      </c>
      <c r="D28" s="14" t="n"/>
      <c r="E28" s="14" t="n"/>
      <c r="F28" s="14" t="n"/>
      <c r="G28" s="14" t="n"/>
      <c r="H28" s="14" t="n"/>
      <c r="I28" s="14" t="n"/>
      <c r="J28" s="14" t="n"/>
      <c r="K28" s="14" t="n"/>
      <c r="L28" s="14" t="n"/>
      <c r="M28" s="14" t="n"/>
      <c r="N28" s="14" t="n"/>
      <c r="O28" s="14" t="n"/>
      <c r="P28" s="15">
        <f>IF($C28="","",IF($Q28=0,"",ROUND(SUM($D28:$O28)/$Q28,1)))</f>
        <v/>
      </c>
      <c r="Q28" s="15">
        <f>IF($C28="","",COUNT($D28:$O28))</f>
        <v/>
      </c>
      <c r="R28" s="15">
        <f>IF($C28="","",IF($P28="","",IF($P28&lt;cfgSpellInterventionAvg,"INTERVENTION","OK")))</f>
        <v/>
      </c>
    </row>
    <row r="29">
      <c r="B29" s="15">
        <f>IF(Cadets!$B29="","",Cadets!$B29)</f>
        <v/>
      </c>
      <c r="C29" s="15">
        <f>IF(Cadets!$B29="","",Cadets!$F29)</f>
        <v/>
      </c>
      <c r="D29" s="14" t="n"/>
      <c r="E29" s="14" t="n"/>
      <c r="F29" s="14" t="n"/>
      <c r="G29" s="14" t="n"/>
      <c r="H29" s="14" t="n"/>
      <c r="I29" s="14" t="n"/>
      <c r="J29" s="14" t="n"/>
      <c r="K29" s="14" t="n"/>
      <c r="L29" s="14" t="n"/>
      <c r="M29" s="14" t="n"/>
      <c r="N29" s="14" t="n"/>
      <c r="O29" s="14" t="n"/>
      <c r="P29" s="15">
        <f>IF($C29="","",IF($Q29=0,"",ROUND(SUM($D29:$O29)/$Q29,1)))</f>
        <v/>
      </c>
      <c r="Q29" s="15">
        <f>IF($C29="","",COUNT($D29:$O29))</f>
        <v/>
      </c>
      <c r="R29" s="15">
        <f>IF($C29="","",IF($P29="","",IF($P29&lt;cfgSpellInterventionAvg,"INTERVENTION","OK")))</f>
        <v/>
      </c>
    </row>
    <row r="30">
      <c r="B30" s="15">
        <f>IF(Cadets!$B30="","",Cadets!$B30)</f>
        <v/>
      </c>
      <c r="C30" s="15">
        <f>IF(Cadets!$B30="","",Cadets!$F30)</f>
        <v/>
      </c>
      <c r="D30" s="14" t="n"/>
      <c r="E30" s="14" t="n"/>
      <c r="F30" s="14" t="n"/>
      <c r="G30" s="14" t="n"/>
      <c r="H30" s="14" t="n"/>
      <c r="I30" s="14" t="n"/>
      <c r="J30" s="14" t="n"/>
      <c r="K30" s="14" t="n"/>
      <c r="L30" s="14" t="n"/>
      <c r="M30" s="14" t="n"/>
      <c r="N30" s="14" t="n"/>
      <c r="O30" s="14" t="n"/>
      <c r="P30" s="15">
        <f>IF($C30="","",IF($Q30=0,"",ROUND(SUM($D30:$O30)/$Q30,1)))</f>
        <v/>
      </c>
      <c r="Q30" s="15">
        <f>IF($C30="","",COUNT($D30:$O30))</f>
        <v/>
      </c>
      <c r="R30" s="15">
        <f>IF($C30="","",IF($P30="","",IF($P30&lt;cfgSpellInterventionAvg,"INTERVENTION","OK")))</f>
        <v/>
      </c>
    </row>
    <row r="31">
      <c r="B31" s="15">
        <f>IF(Cadets!$B31="","",Cadets!$B31)</f>
        <v/>
      </c>
      <c r="C31" s="15">
        <f>IF(Cadets!$B31="","",Cadets!$F31)</f>
        <v/>
      </c>
      <c r="D31" s="14" t="n"/>
      <c r="E31" s="14" t="n"/>
      <c r="F31" s="14" t="n"/>
      <c r="G31" s="14" t="n"/>
      <c r="H31" s="14" t="n"/>
      <c r="I31" s="14" t="n"/>
      <c r="J31" s="14" t="n"/>
      <c r="K31" s="14" t="n"/>
      <c r="L31" s="14" t="n"/>
      <c r="M31" s="14" t="n"/>
      <c r="N31" s="14" t="n"/>
      <c r="O31" s="14" t="n"/>
      <c r="P31" s="15">
        <f>IF($C31="","",IF($Q31=0,"",ROUND(SUM($D31:$O31)/$Q31,1)))</f>
        <v/>
      </c>
      <c r="Q31" s="15">
        <f>IF($C31="","",COUNT($D31:$O31))</f>
        <v/>
      </c>
      <c r="R31" s="15">
        <f>IF($C31="","",IF($P31="","",IF($P31&lt;cfgSpellInterventionAvg,"INTERVENTION","OK")))</f>
        <v/>
      </c>
    </row>
    <row r="32">
      <c r="B32" s="15">
        <f>IF(Cadets!$B32="","",Cadets!$B32)</f>
        <v/>
      </c>
      <c r="C32" s="15">
        <f>IF(Cadets!$B32="","",Cadets!$F32)</f>
        <v/>
      </c>
      <c r="D32" s="14" t="n"/>
      <c r="E32" s="14" t="n"/>
      <c r="F32" s="14" t="n"/>
      <c r="G32" s="14" t="n"/>
      <c r="H32" s="14" t="n"/>
      <c r="I32" s="14" t="n"/>
      <c r="J32" s="14" t="n"/>
      <c r="K32" s="14" t="n"/>
      <c r="L32" s="14" t="n"/>
      <c r="M32" s="14" t="n"/>
      <c r="N32" s="14" t="n"/>
      <c r="O32" s="14" t="n"/>
      <c r="P32" s="15">
        <f>IF($C32="","",IF($Q32=0,"",ROUND(SUM($D32:$O32)/$Q32,1)))</f>
        <v/>
      </c>
      <c r="Q32" s="15">
        <f>IF($C32="","",COUNT($D32:$O32))</f>
        <v/>
      </c>
      <c r="R32" s="15">
        <f>IF($C32="","",IF($P32="","",IF($P32&lt;cfgSpellInterventionAvg,"INTERVENTION","OK")))</f>
        <v/>
      </c>
    </row>
    <row r="33">
      <c r="B33" s="15">
        <f>IF(Cadets!$B33="","",Cadets!$B33)</f>
        <v/>
      </c>
      <c r="C33" s="15">
        <f>IF(Cadets!$B33="","",Cadets!$F33)</f>
        <v/>
      </c>
      <c r="D33" s="14" t="n"/>
      <c r="E33" s="14" t="n"/>
      <c r="F33" s="14" t="n"/>
      <c r="G33" s="14" t="n"/>
      <c r="H33" s="14" t="n"/>
      <c r="I33" s="14" t="n"/>
      <c r="J33" s="14" t="n"/>
      <c r="K33" s="14" t="n"/>
      <c r="L33" s="14" t="n"/>
      <c r="M33" s="14" t="n"/>
      <c r="N33" s="14" t="n"/>
      <c r="O33" s="14" t="n"/>
      <c r="P33" s="15">
        <f>IF($C33="","",IF($Q33=0,"",ROUND(SUM($D33:$O33)/$Q33,1)))</f>
        <v/>
      </c>
      <c r="Q33" s="15">
        <f>IF($C33="","",COUNT($D33:$O33))</f>
        <v/>
      </c>
      <c r="R33" s="15">
        <f>IF($C33="","",IF($P33="","",IF($P33&lt;cfgSpellInterventionAvg,"INTERVENTION","OK")))</f>
        <v/>
      </c>
    </row>
    <row r="34">
      <c r="B34" s="15">
        <f>IF(Cadets!$B34="","",Cadets!$B34)</f>
        <v/>
      </c>
      <c r="C34" s="15">
        <f>IF(Cadets!$B34="","",Cadets!$F34)</f>
        <v/>
      </c>
      <c r="D34" s="14" t="n"/>
      <c r="E34" s="14" t="n"/>
      <c r="F34" s="14" t="n"/>
      <c r="G34" s="14" t="n"/>
      <c r="H34" s="14" t="n"/>
      <c r="I34" s="14" t="n"/>
      <c r="J34" s="14" t="n"/>
      <c r="K34" s="14" t="n"/>
      <c r="L34" s="14" t="n"/>
      <c r="M34" s="14" t="n"/>
      <c r="N34" s="14" t="n"/>
      <c r="O34" s="14" t="n"/>
      <c r="P34" s="15">
        <f>IF($C34="","",IF($Q34=0,"",ROUND(SUM($D34:$O34)/$Q34,1)))</f>
        <v/>
      </c>
      <c r="Q34" s="15">
        <f>IF($C34="","",COUNT($D34:$O34))</f>
        <v/>
      </c>
      <c r="R34" s="15">
        <f>IF($C34="","",IF($P34="","",IF($P34&lt;cfgSpellInterventionAvg,"INTERVENTION","OK")))</f>
        <v/>
      </c>
    </row>
    <row r="35">
      <c r="B35" s="15">
        <f>IF(Cadets!$B35="","",Cadets!$B35)</f>
        <v/>
      </c>
      <c r="C35" s="15">
        <f>IF(Cadets!$B35="","",Cadets!$F35)</f>
        <v/>
      </c>
      <c r="D35" s="14" t="n"/>
      <c r="E35" s="14" t="n"/>
      <c r="F35" s="14" t="n"/>
      <c r="G35" s="14" t="n"/>
      <c r="H35" s="14" t="n"/>
      <c r="I35" s="14" t="n"/>
      <c r="J35" s="14" t="n"/>
      <c r="K35" s="14" t="n"/>
      <c r="L35" s="14" t="n"/>
      <c r="M35" s="14" t="n"/>
      <c r="N35" s="14" t="n"/>
      <c r="O35" s="14" t="n"/>
      <c r="P35" s="15">
        <f>IF($C35="","",IF($Q35=0,"",ROUND(SUM($D35:$O35)/$Q35,1)))</f>
        <v/>
      </c>
      <c r="Q35" s="15">
        <f>IF($C35="","",COUNT($D35:$O35))</f>
        <v/>
      </c>
      <c r="R35" s="15">
        <f>IF($C35="","",IF($P35="","",IF($P35&lt;cfgSpellInterventionAvg,"INTERVENTION","OK")))</f>
        <v/>
      </c>
    </row>
    <row r="36">
      <c r="B36" s="15">
        <f>IF(Cadets!$B36="","",Cadets!$B36)</f>
        <v/>
      </c>
      <c r="C36" s="15">
        <f>IF(Cadets!$B36="","",Cadets!$F36)</f>
        <v/>
      </c>
      <c r="D36" s="14" t="n"/>
      <c r="E36" s="14" t="n"/>
      <c r="F36" s="14" t="n"/>
      <c r="G36" s="14" t="n"/>
      <c r="H36" s="14" t="n"/>
      <c r="I36" s="14" t="n"/>
      <c r="J36" s="14" t="n"/>
      <c r="K36" s="14" t="n"/>
      <c r="L36" s="14" t="n"/>
      <c r="M36" s="14" t="n"/>
      <c r="N36" s="14" t="n"/>
      <c r="O36" s="14" t="n"/>
      <c r="P36" s="15">
        <f>IF($C36="","",IF($Q36=0,"",ROUND(SUM($D36:$O36)/$Q36,1)))</f>
        <v/>
      </c>
      <c r="Q36" s="15">
        <f>IF($C36="","",COUNT($D36:$O36))</f>
        <v/>
      </c>
      <c r="R36" s="15">
        <f>IF($C36="","",IF($P36="","",IF($P36&lt;cfgSpellInterventionAvg,"INTERVENTION","OK")))</f>
        <v/>
      </c>
    </row>
    <row r="37">
      <c r="B37" s="15">
        <f>IF(Cadets!$B37="","",Cadets!$B37)</f>
        <v/>
      </c>
      <c r="C37" s="15">
        <f>IF(Cadets!$B37="","",Cadets!$F37)</f>
        <v/>
      </c>
      <c r="D37" s="14" t="n"/>
      <c r="E37" s="14" t="n"/>
      <c r="F37" s="14" t="n"/>
      <c r="G37" s="14" t="n"/>
      <c r="H37" s="14" t="n"/>
      <c r="I37" s="14" t="n"/>
      <c r="J37" s="14" t="n"/>
      <c r="K37" s="14" t="n"/>
      <c r="L37" s="14" t="n"/>
      <c r="M37" s="14" t="n"/>
      <c r="N37" s="14" t="n"/>
      <c r="O37" s="14" t="n"/>
      <c r="P37" s="15">
        <f>IF($C37="","",IF($Q37=0,"",ROUND(SUM($D37:$O37)/$Q37,1)))</f>
        <v/>
      </c>
      <c r="Q37" s="15">
        <f>IF($C37="","",COUNT($D37:$O37))</f>
        <v/>
      </c>
      <c r="R37" s="15">
        <f>IF($C37="","",IF($P37="","",IF($P37&lt;cfgSpellInterventionAvg,"INTERVENTION","OK")))</f>
        <v/>
      </c>
    </row>
    <row r="38">
      <c r="B38" s="15">
        <f>IF(Cadets!$B38="","",Cadets!$B38)</f>
        <v/>
      </c>
      <c r="C38" s="15">
        <f>IF(Cadets!$B38="","",Cadets!$F38)</f>
        <v/>
      </c>
      <c r="D38" s="14" t="n"/>
      <c r="E38" s="14" t="n"/>
      <c r="F38" s="14" t="n"/>
      <c r="G38" s="14" t="n"/>
      <c r="H38" s="14" t="n"/>
      <c r="I38" s="14" t="n"/>
      <c r="J38" s="14" t="n"/>
      <c r="K38" s="14" t="n"/>
      <c r="L38" s="14" t="n"/>
      <c r="M38" s="14" t="n"/>
      <c r="N38" s="14" t="n"/>
      <c r="O38" s="14" t="n"/>
      <c r="P38" s="15">
        <f>IF($C38="","",IF($Q38=0,"",ROUND(SUM($D38:$O38)/$Q38,1)))</f>
        <v/>
      </c>
      <c r="Q38" s="15">
        <f>IF($C38="","",COUNT($D38:$O38))</f>
        <v/>
      </c>
      <c r="R38" s="15">
        <f>IF($C38="","",IF($P38="","",IF($P38&lt;cfgSpellInterventionAvg,"INTERVENTION","OK")))</f>
        <v/>
      </c>
    </row>
    <row r="39">
      <c r="B39" s="15">
        <f>IF(Cadets!$B39="","",Cadets!$B39)</f>
        <v/>
      </c>
      <c r="C39" s="15">
        <f>IF(Cadets!$B39="","",Cadets!$F39)</f>
        <v/>
      </c>
      <c r="D39" s="14" t="n"/>
      <c r="E39" s="14" t="n"/>
      <c r="F39" s="14" t="n"/>
      <c r="G39" s="14" t="n"/>
      <c r="H39" s="14" t="n"/>
      <c r="I39" s="14" t="n"/>
      <c r="J39" s="14" t="n"/>
      <c r="K39" s="14" t="n"/>
      <c r="L39" s="14" t="n"/>
      <c r="M39" s="14" t="n"/>
      <c r="N39" s="14" t="n"/>
      <c r="O39" s="14" t="n"/>
      <c r="P39" s="15">
        <f>IF($C39="","",IF($Q39=0,"",ROUND(SUM($D39:$O39)/$Q39,1)))</f>
        <v/>
      </c>
      <c r="Q39" s="15">
        <f>IF($C39="","",COUNT($D39:$O39))</f>
        <v/>
      </c>
      <c r="R39" s="15">
        <f>IF($C39="","",IF($P39="","",IF($P39&lt;cfgSpellInterventionAvg,"INTERVENTION","OK")))</f>
        <v/>
      </c>
    </row>
    <row r="40">
      <c r="B40" s="15">
        <f>IF(Cadets!$B40="","",Cadets!$B40)</f>
        <v/>
      </c>
      <c r="C40" s="15">
        <f>IF(Cadets!$B40="","",Cadets!$F40)</f>
        <v/>
      </c>
      <c r="D40" s="14" t="n"/>
      <c r="E40" s="14" t="n"/>
      <c r="F40" s="14" t="n"/>
      <c r="G40" s="14" t="n"/>
      <c r="H40" s="14" t="n"/>
      <c r="I40" s="14" t="n"/>
      <c r="J40" s="14" t="n"/>
      <c r="K40" s="14" t="n"/>
      <c r="L40" s="14" t="n"/>
      <c r="M40" s="14" t="n"/>
      <c r="N40" s="14" t="n"/>
      <c r="O40" s="14" t="n"/>
      <c r="P40" s="15">
        <f>IF($C40="","",IF($Q40=0,"",ROUND(SUM($D40:$O40)/$Q40,1)))</f>
        <v/>
      </c>
      <c r="Q40" s="15">
        <f>IF($C40="","",COUNT($D40:$O40))</f>
        <v/>
      </c>
      <c r="R40" s="15">
        <f>IF($C40="","",IF($P40="","",IF($P40&lt;cfgSpellInterventionAvg,"INTERVENTION","OK")))</f>
        <v/>
      </c>
    </row>
    <row r="41">
      <c r="B41" s="15">
        <f>IF(Cadets!$B41="","",Cadets!$B41)</f>
        <v/>
      </c>
      <c r="C41" s="15">
        <f>IF(Cadets!$B41="","",Cadets!$F41)</f>
        <v/>
      </c>
      <c r="D41" s="14" t="n"/>
      <c r="E41" s="14" t="n"/>
      <c r="F41" s="14" t="n"/>
      <c r="G41" s="14" t="n"/>
      <c r="H41" s="14" t="n"/>
      <c r="I41" s="14" t="n"/>
      <c r="J41" s="14" t="n"/>
      <c r="K41" s="14" t="n"/>
      <c r="L41" s="14" t="n"/>
      <c r="M41" s="14" t="n"/>
      <c r="N41" s="14" t="n"/>
      <c r="O41" s="14" t="n"/>
      <c r="P41" s="15">
        <f>IF($C41="","",IF($Q41=0,"",ROUND(SUM($D41:$O41)/$Q41,1)))</f>
        <v/>
      </c>
      <c r="Q41" s="15">
        <f>IF($C41="","",COUNT($D41:$O41))</f>
        <v/>
      </c>
      <c r="R41" s="15">
        <f>IF($C41="","",IF($P41="","",IF($P41&lt;cfgSpellInterventionAvg,"INTERVENTION","OK")))</f>
        <v/>
      </c>
    </row>
    <row r="42">
      <c r="B42" s="15">
        <f>IF(Cadets!$B42="","",Cadets!$B42)</f>
        <v/>
      </c>
      <c r="C42" s="15">
        <f>IF(Cadets!$B42="","",Cadets!$F42)</f>
        <v/>
      </c>
      <c r="D42" s="14" t="n"/>
      <c r="E42" s="14" t="n"/>
      <c r="F42" s="14" t="n"/>
      <c r="G42" s="14" t="n"/>
      <c r="H42" s="14" t="n"/>
      <c r="I42" s="14" t="n"/>
      <c r="J42" s="14" t="n"/>
      <c r="K42" s="14" t="n"/>
      <c r="L42" s="14" t="n"/>
      <c r="M42" s="14" t="n"/>
      <c r="N42" s="14" t="n"/>
      <c r="O42" s="14" t="n"/>
      <c r="P42" s="15">
        <f>IF($C42="","",IF($Q42=0,"",ROUND(SUM($D42:$O42)/$Q42,1)))</f>
        <v/>
      </c>
      <c r="Q42" s="15">
        <f>IF($C42="","",COUNT($D42:$O42))</f>
        <v/>
      </c>
      <c r="R42" s="15">
        <f>IF($C42="","",IF($P42="","",IF($P42&lt;cfgSpellInterventionAvg,"INTERVENTION","OK")))</f>
        <v/>
      </c>
    </row>
    <row r="43">
      <c r="B43" s="15">
        <f>IF(Cadets!$B43="","",Cadets!$B43)</f>
        <v/>
      </c>
      <c r="C43" s="15">
        <f>IF(Cadets!$B43="","",Cadets!$F43)</f>
        <v/>
      </c>
      <c r="D43" s="14" t="n"/>
      <c r="E43" s="14" t="n"/>
      <c r="F43" s="14" t="n"/>
      <c r="G43" s="14" t="n"/>
      <c r="H43" s="14" t="n"/>
      <c r="I43" s="14" t="n"/>
      <c r="J43" s="14" t="n"/>
      <c r="K43" s="14" t="n"/>
      <c r="L43" s="14" t="n"/>
      <c r="M43" s="14" t="n"/>
      <c r="N43" s="14" t="n"/>
      <c r="O43" s="14" t="n"/>
      <c r="P43" s="15">
        <f>IF($C43="","",IF($Q43=0,"",ROUND(SUM($D43:$O43)/$Q43,1)))</f>
        <v/>
      </c>
      <c r="Q43" s="15">
        <f>IF($C43="","",COUNT($D43:$O43))</f>
        <v/>
      </c>
      <c r="R43" s="15">
        <f>IF($C43="","",IF($P43="","",IF($P43&lt;cfgSpellInterventionAvg,"INTERVENTION","OK")))</f>
        <v/>
      </c>
    </row>
    <row r="44">
      <c r="B44" s="15">
        <f>IF(Cadets!$B44="","",Cadets!$B44)</f>
        <v/>
      </c>
      <c r="C44" s="15">
        <f>IF(Cadets!$B44="","",Cadets!$F44)</f>
        <v/>
      </c>
      <c r="D44" s="14" t="n"/>
      <c r="E44" s="14" t="n"/>
      <c r="F44" s="14" t="n"/>
      <c r="G44" s="14" t="n"/>
      <c r="H44" s="14" t="n"/>
      <c r="I44" s="14" t="n"/>
      <c r="J44" s="14" t="n"/>
      <c r="K44" s="14" t="n"/>
      <c r="L44" s="14" t="n"/>
      <c r="M44" s="14" t="n"/>
      <c r="N44" s="14" t="n"/>
      <c r="O44" s="14" t="n"/>
      <c r="P44" s="15">
        <f>IF($C44="","",IF($Q44=0,"",ROUND(SUM($D44:$O44)/$Q44,1)))</f>
        <v/>
      </c>
      <c r="Q44" s="15">
        <f>IF($C44="","",COUNT($D44:$O44))</f>
        <v/>
      </c>
      <c r="R44" s="15">
        <f>IF($C44="","",IF($P44="","",IF($P44&lt;cfgSpellInterventionAvg,"INTERVENTION","OK")))</f>
        <v/>
      </c>
    </row>
    <row r="45">
      <c r="B45" s="15">
        <f>IF(Cadets!$B45="","",Cadets!$B45)</f>
        <v/>
      </c>
      <c r="C45" s="15">
        <f>IF(Cadets!$B45="","",Cadets!$F45)</f>
        <v/>
      </c>
      <c r="D45" s="14" t="n"/>
      <c r="E45" s="14" t="n"/>
      <c r="F45" s="14" t="n"/>
      <c r="G45" s="14" t="n"/>
      <c r="H45" s="14" t="n"/>
      <c r="I45" s="14" t="n"/>
      <c r="J45" s="14" t="n"/>
      <c r="K45" s="14" t="n"/>
      <c r="L45" s="14" t="n"/>
      <c r="M45" s="14" t="n"/>
      <c r="N45" s="14" t="n"/>
      <c r="O45" s="14" t="n"/>
      <c r="P45" s="15">
        <f>IF($C45="","",IF($Q45=0,"",ROUND(SUM($D45:$O45)/$Q45,1)))</f>
        <v/>
      </c>
      <c r="Q45" s="15">
        <f>IF($C45="","",COUNT($D45:$O45))</f>
        <v/>
      </c>
      <c r="R45" s="15">
        <f>IF($C45="","",IF($P45="","",IF($P45&lt;cfgSpellInterventionAvg,"INTERVENTION","OK")))</f>
        <v/>
      </c>
    </row>
    <row r="46">
      <c r="B46" s="15">
        <f>IF(Cadets!$B46="","",Cadets!$B46)</f>
        <v/>
      </c>
      <c r="C46" s="15">
        <f>IF(Cadets!$B46="","",Cadets!$F46)</f>
        <v/>
      </c>
      <c r="D46" s="14" t="n"/>
      <c r="E46" s="14" t="n"/>
      <c r="F46" s="14" t="n"/>
      <c r="G46" s="14" t="n"/>
      <c r="H46" s="14" t="n"/>
      <c r="I46" s="14" t="n"/>
      <c r="J46" s="14" t="n"/>
      <c r="K46" s="14" t="n"/>
      <c r="L46" s="14" t="n"/>
      <c r="M46" s="14" t="n"/>
      <c r="N46" s="14" t="n"/>
      <c r="O46" s="14" t="n"/>
      <c r="P46" s="15">
        <f>IF($C46="","",IF($Q46=0,"",ROUND(SUM($D46:$O46)/$Q46,1)))</f>
        <v/>
      </c>
      <c r="Q46" s="15">
        <f>IF($C46="","",COUNT($D46:$O46))</f>
        <v/>
      </c>
      <c r="R46" s="15">
        <f>IF($C46="","",IF($P46="","",IF($P46&lt;cfgSpellInterventionAvg,"INTERVENTION","OK")))</f>
        <v/>
      </c>
    </row>
    <row r="47">
      <c r="B47" s="15">
        <f>IF(Cadets!$B47="","",Cadets!$B47)</f>
        <v/>
      </c>
      <c r="C47" s="15">
        <f>IF(Cadets!$B47="","",Cadets!$F47)</f>
        <v/>
      </c>
      <c r="D47" s="14" t="n"/>
      <c r="E47" s="14" t="n"/>
      <c r="F47" s="14" t="n"/>
      <c r="G47" s="14" t="n"/>
      <c r="H47" s="14" t="n"/>
      <c r="I47" s="14" t="n"/>
      <c r="J47" s="14" t="n"/>
      <c r="K47" s="14" t="n"/>
      <c r="L47" s="14" t="n"/>
      <c r="M47" s="14" t="n"/>
      <c r="N47" s="14" t="n"/>
      <c r="O47" s="14" t="n"/>
      <c r="P47" s="15">
        <f>IF($C47="","",IF($Q47=0,"",ROUND(SUM($D47:$O47)/$Q47,1)))</f>
        <v/>
      </c>
      <c r="Q47" s="15">
        <f>IF($C47="","",COUNT($D47:$O47))</f>
        <v/>
      </c>
      <c r="R47" s="15">
        <f>IF($C47="","",IF($P47="","",IF($P47&lt;cfgSpellInterventionAvg,"INTERVENTION","OK")))</f>
        <v/>
      </c>
    </row>
    <row r="48">
      <c r="B48" s="15">
        <f>IF(Cadets!$B48="","",Cadets!$B48)</f>
        <v/>
      </c>
      <c r="C48" s="15">
        <f>IF(Cadets!$B48="","",Cadets!$F48)</f>
        <v/>
      </c>
      <c r="D48" s="14" t="n"/>
      <c r="E48" s="14" t="n"/>
      <c r="F48" s="14" t="n"/>
      <c r="G48" s="14" t="n"/>
      <c r="H48" s="14" t="n"/>
      <c r="I48" s="14" t="n"/>
      <c r="J48" s="14" t="n"/>
      <c r="K48" s="14" t="n"/>
      <c r="L48" s="14" t="n"/>
      <c r="M48" s="14" t="n"/>
      <c r="N48" s="14" t="n"/>
      <c r="O48" s="14" t="n"/>
      <c r="P48" s="15">
        <f>IF($C48="","",IF($Q48=0,"",ROUND(SUM($D48:$O48)/$Q48,1)))</f>
        <v/>
      </c>
      <c r="Q48" s="15">
        <f>IF($C48="","",COUNT($D48:$O48))</f>
        <v/>
      </c>
      <c r="R48" s="15">
        <f>IF($C48="","",IF($P48="","",IF($P48&lt;cfgSpellInterventionAvg,"INTERVENTION","OK")))</f>
        <v/>
      </c>
    </row>
    <row r="49">
      <c r="B49" s="15">
        <f>IF(Cadets!$B49="","",Cadets!$B49)</f>
        <v/>
      </c>
      <c r="C49" s="15">
        <f>IF(Cadets!$B49="","",Cadets!$F49)</f>
        <v/>
      </c>
      <c r="D49" s="14" t="n"/>
      <c r="E49" s="14" t="n"/>
      <c r="F49" s="14" t="n"/>
      <c r="G49" s="14" t="n"/>
      <c r="H49" s="14" t="n"/>
      <c r="I49" s="14" t="n"/>
      <c r="J49" s="14" t="n"/>
      <c r="K49" s="14" t="n"/>
      <c r="L49" s="14" t="n"/>
      <c r="M49" s="14" t="n"/>
      <c r="N49" s="14" t="n"/>
      <c r="O49" s="14" t="n"/>
      <c r="P49" s="15">
        <f>IF($C49="","",IF($Q49=0,"",ROUND(SUM($D49:$O49)/$Q49,1)))</f>
        <v/>
      </c>
      <c r="Q49" s="15">
        <f>IF($C49="","",COUNT($D49:$O49))</f>
        <v/>
      </c>
      <c r="R49" s="15">
        <f>IF($C49="","",IF($P49="","",IF($P49&lt;cfgSpellInterventionAvg,"INTERVENTION","OK")))</f>
        <v/>
      </c>
    </row>
    <row r="50">
      <c r="B50" s="15">
        <f>IF(Cadets!$B50="","",Cadets!$B50)</f>
        <v/>
      </c>
      <c r="C50" s="15">
        <f>IF(Cadets!$B50="","",Cadets!$F50)</f>
        <v/>
      </c>
      <c r="D50" s="14" t="n"/>
      <c r="E50" s="14" t="n"/>
      <c r="F50" s="14" t="n"/>
      <c r="G50" s="14" t="n"/>
      <c r="H50" s="14" t="n"/>
      <c r="I50" s="14" t="n"/>
      <c r="J50" s="14" t="n"/>
      <c r="K50" s="14" t="n"/>
      <c r="L50" s="14" t="n"/>
      <c r="M50" s="14" t="n"/>
      <c r="N50" s="14" t="n"/>
      <c r="O50" s="14" t="n"/>
      <c r="P50" s="15">
        <f>IF($C50="","",IF($Q50=0,"",ROUND(SUM($D50:$O50)/$Q50,1)))</f>
        <v/>
      </c>
      <c r="Q50" s="15">
        <f>IF($C50="","",COUNT($D50:$O50))</f>
        <v/>
      </c>
      <c r="R50" s="15">
        <f>IF($C50="","",IF($P50="","",IF($P50&lt;cfgSpellInterventionAvg,"INTERVENTION","OK")))</f>
        <v/>
      </c>
    </row>
    <row r="51">
      <c r="B51" s="15">
        <f>IF(Cadets!$B51="","",Cadets!$B51)</f>
        <v/>
      </c>
      <c r="C51" s="15">
        <f>IF(Cadets!$B51="","",Cadets!$F51)</f>
        <v/>
      </c>
      <c r="D51" s="14" t="n"/>
      <c r="E51" s="14" t="n"/>
      <c r="F51" s="14" t="n"/>
      <c r="G51" s="14" t="n"/>
      <c r="H51" s="14" t="n"/>
      <c r="I51" s="14" t="n"/>
      <c r="J51" s="14" t="n"/>
      <c r="K51" s="14" t="n"/>
      <c r="L51" s="14" t="n"/>
      <c r="M51" s="14" t="n"/>
      <c r="N51" s="14" t="n"/>
      <c r="O51" s="14" t="n"/>
      <c r="P51" s="15">
        <f>IF($C51="","",IF($Q51=0,"",ROUND(SUM($D51:$O51)/$Q51,1)))</f>
        <v/>
      </c>
      <c r="Q51" s="15">
        <f>IF($C51="","",COUNT($D51:$O51))</f>
        <v/>
      </c>
      <c r="R51" s="15">
        <f>IF($C51="","",IF($P51="","",IF($P51&lt;cfgSpellInterventionAvg,"INTERVENTION","OK")))</f>
        <v/>
      </c>
    </row>
    <row r="52">
      <c r="B52" s="15">
        <f>IF(Cadets!$B52="","",Cadets!$B52)</f>
        <v/>
      </c>
      <c r="C52" s="15">
        <f>IF(Cadets!$B52="","",Cadets!$F52)</f>
        <v/>
      </c>
      <c r="D52" s="14" t="n"/>
      <c r="E52" s="14" t="n"/>
      <c r="F52" s="14" t="n"/>
      <c r="G52" s="14" t="n"/>
      <c r="H52" s="14" t="n"/>
      <c r="I52" s="14" t="n"/>
      <c r="J52" s="14" t="n"/>
      <c r="K52" s="14" t="n"/>
      <c r="L52" s="14" t="n"/>
      <c r="M52" s="14" t="n"/>
      <c r="N52" s="14" t="n"/>
      <c r="O52" s="14" t="n"/>
      <c r="P52" s="15">
        <f>IF($C52="","",IF($Q52=0,"",ROUND(SUM($D52:$O52)/$Q52,1)))</f>
        <v/>
      </c>
      <c r="Q52" s="15">
        <f>IF($C52="","",COUNT($D52:$O52))</f>
        <v/>
      </c>
      <c r="R52" s="15">
        <f>IF($C52="","",IF($P52="","",IF($P52&lt;cfgSpellInterventionAvg,"INTERVENTION","OK")))</f>
        <v/>
      </c>
    </row>
    <row r="53">
      <c r="B53" s="15">
        <f>IF(Cadets!$B53="","",Cadets!$B53)</f>
        <v/>
      </c>
      <c r="C53" s="15">
        <f>IF(Cadets!$B53="","",Cadets!$F53)</f>
        <v/>
      </c>
      <c r="D53" s="14" t="n"/>
      <c r="E53" s="14" t="n"/>
      <c r="F53" s="14" t="n"/>
      <c r="G53" s="14" t="n"/>
      <c r="H53" s="14" t="n"/>
      <c r="I53" s="14" t="n"/>
      <c r="J53" s="14" t="n"/>
      <c r="K53" s="14" t="n"/>
      <c r="L53" s="14" t="n"/>
      <c r="M53" s="14" t="n"/>
      <c r="N53" s="14" t="n"/>
      <c r="O53" s="14" t="n"/>
      <c r="P53" s="15">
        <f>IF($C53="","",IF($Q53=0,"",ROUND(SUM($D53:$O53)/$Q53,1)))</f>
        <v/>
      </c>
      <c r="Q53" s="15">
        <f>IF($C53="","",COUNT($D53:$O53))</f>
        <v/>
      </c>
      <c r="R53" s="15">
        <f>IF($C53="","",IF($P53="","",IF($P53&lt;cfgSpellInterventionAvg,"INTERVENTION","OK")))</f>
        <v/>
      </c>
    </row>
    <row r="54">
      <c r="B54" s="15">
        <f>IF(Cadets!$B54="","",Cadets!$B54)</f>
        <v/>
      </c>
      <c r="C54" s="15">
        <f>IF(Cadets!$B54="","",Cadets!$F54)</f>
        <v/>
      </c>
      <c r="D54" s="14" t="n"/>
      <c r="E54" s="14" t="n"/>
      <c r="F54" s="14" t="n"/>
      <c r="G54" s="14" t="n"/>
      <c r="H54" s="14" t="n"/>
      <c r="I54" s="14" t="n"/>
      <c r="J54" s="14" t="n"/>
      <c r="K54" s="14" t="n"/>
      <c r="L54" s="14" t="n"/>
      <c r="M54" s="14" t="n"/>
      <c r="N54" s="14" t="n"/>
      <c r="O54" s="14" t="n"/>
      <c r="P54" s="15">
        <f>IF($C54="","",IF($Q54=0,"",ROUND(SUM($D54:$O54)/$Q54,1)))</f>
        <v/>
      </c>
      <c r="Q54" s="15">
        <f>IF($C54="","",COUNT($D54:$O54))</f>
        <v/>
      </c>
      <c r="R54" s="15">
        <f>IF($C54="","",IF($P54="","",IF($P54&lt;cfgSpellInterventionAvg,"INTERVENTION","OK")))</f>
        <v/>
      </c>
    </row>
    <row r="55">
      <c r="B55" s="15">
        <f>IF(Cadets!$B55="","",Cadets!$B55)</f>
        <v/>
      </c>
      <c r="C55" s="15">
        <f>IF(Cadets!$B55="","",Cadets!$F55)</f>
        <v/>
      </c>
      <c r="D55" s="14" t="n"/>
      <c r="E55" s="14" t="n"/>
      <c r="F55" s="14" t="n"/>
      <c r="G55" s="14" t="n"/>
      <c r="H55" s="14" t="n"/>
      <c r="I55" s="14" t="n"/>
      <c r="J55" s="14" t="n"/>
      <c r="K55" s="14" t="n"/>
      <c r="L55" s="14" t="n"/>
      <c r="M55" s="14" t="n"/>
      <c r="N55" s="14" t="n"/>
      <c r="O55" s="14" t="n"/>
      <c r="P55" s="15">
        <f>IF($C55="","",IF($Q55=0,"",ROUND(SUM($D55:$O55)/$Q55,1)))</f>
        <v/>
      </c>
      <c r="Q55" s="15">
        <f>IF($C55="","",COUNT($D55:$O55))</f>
        <v/>
      </c>
      <c r="R55" s="15">
        <f>IF($C55="","",IF($P55="","",IF($P55&lt;cfgSpellInterventionAvg,"INTERVENTION","OK")))</f>
        <v/>
      </c>
    </row>
    <row r="56"/>
    <row r="57">
      <c r="C57" s="10" t="inlineStr">
        <is>
          <t>Scores entered:</t>
        </is>
      </c>
      <c r="D57" s="18">
        <f>COUNT(D6:D55)</f>
        <v/>
      </c>
      <c r="E57" s="18">
        <f>COUNT(E6:E55)</f>
        <v/>
      </c>
      <c r="F57" s="18">
        <f>COUNT(F6:F55)</f>
        <v/>
      </c>
      <c r="G57" s="18">
        <f>COUNT(G6:G55)</f>
        <v/>
      </c>
      <c r="H57" s="18">
        <f>COUNT(H6:H55)</f>
        <v/>
      </c>
      <c r="I57" s="18">
        <f>COUNT(I6:I55)</f>
        <v/>
      </c>
      <c r="J57" s="18">
        <f>COUNT(J6:J55)</f>
        <v/>
      </c>
      <c r="K57" s="18">
        <f>COUNT(K6:K55)</f>
        <v/>
      </c>
      <c r="L57" s="18">
        <f>COUNT(L6:L55)</f>
        <v/>
      </c>
      <c r="M57" s="18">
        <f>COUNT(M6:M55)</f>
        <v/>
      </c>
      <c r="N57" s="18">
        <f>COUNT(N6:N55)</f>
        <v/>
      </c>
      <c r="O57" s="18">
        <f>COUNT(O6:O55)</f>
        <v/>
      </c>
    </row>
    <row r="58">
      <c r="C58" s="10" t="inlineStr">
        <is>
          <t>Class average:</t>
        </is>
      </c>
      <c r="D58" s="18">
        <f>IF(D57=0,"",ROUND(AVERAGE(D6:D55),1))</f>
        <v/>
      </c>
      <c r="E58" s="18">
        <f>IF(E57=0,"",ROUND(AVERAGE(E6:E55),1))</f>
        <v/>
      </c>
      <c r="F58" s="18">
        <f>IF(F57=0,"",ROUND(AVERAGE(F6:F55),1))</f>
        <v/>
      </c>
      <c r="G58" s="18">
        <f>IF(G57=0,"",ROUND(AVERAGE(G6:G55),1))</f>
        <v/>
      </c>
      <c r="H58" s="18">
        <f>IF(H57=0,"",ROUND(AVERAGE(H6:H55),1))</f>
        <v/>
      </c>
      <c r="I58" s="18">
        <f>IF(I57=0,"",ROUND(AVERAGE(I6:I55),1))</f>
        <v/>
      </c>
      <c r="J58" s="18">
        <f>IF(J57=0,"",ROUND(AVERAGE(J6:J55),1))</f>
        <v/>
      </c>
      <c r="K58" s="18">
        <f>IF(K57=0,"",ROUND(AVERAGE(K6:K55),1))</f>
        <v/>
      </c>
      <c r="L58" s="18">
        <f>IF(L57=0,"",ROUND(AVERAGE(L6:L55),1))</f>
        <v/>
      </c>
      <c r="M58" s="18">
        <f>IF(M57=0,"",ROUND(AVERAGE(M6:M55),1))</f>
        <v/>
      </c>
      <c r="N58" s="18">
        <f>IF(N57=0,"",ROUND(AVERAGE(N6:N55),1))</f>
        <v/>
      </c>
      <c r="O58" s="18">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row r="2"/>
    <row r="3"/>
    <row r="4">
      <c r="B4" s="8" t="inlineStr">
        <is>
          <t>Exception log: only missed/modified time gets a row. Minutes count toward the classroom cap; Sessions toward the PT cap. Excused or documented-modified-PT rows don't count (policy 400).</t>
        </is>
      </c>
    </row>
    <row r="5" ht="26" customHeight="1">
      <c r="B5" s="9" t="inlineStr">
        <is>
          <t>EventID</t>
        </is>
      </c>
      <c r="C5" s="9" t="inlineStr">
        <is>
          <t>Date</t>
        </is>
      </c>
      <c r="D5" s="9" t="inlineStr">
        <is>
          <t>Cadet Name</t>
        </is>
      </c>
      <c r="E5" s="9" t="inlineStr">
        <is>
          <t>PID</t>
        </is>
      </c>
      <c r="F5" s="9" t="inlineStr">
        <is>
          <t>Agency</t>
        </is>
      </c>
      <c r="G5" s="9" t="inlineStr">
        <is>
          <t>Event Type</t>
        </is>
      </c>
      <c r="H5" s="9" t="inlineStr">
        <is>
          <t>Reason</t>
        </is>
      </c>
      <c r="I5" s="9" t="inlineStr">
        <is>
          <t>Minutes</t>
        </is>
      </c>
      <c r="J5" s="9" t="inlineStr">
        <is>
          <t>Sessions</t>
        </is>
      </c>
      <c r="K5" s="9" t="inlineStr">
        <is>
          <t>Is PT?</t>
        </is>
      </c>
      <c r="L5" s="9" t="inlineStr">
        <is>
          <t>Doc Status</t>
        </is>
      </c>
      <c r="M5" s="9" t="inlineStr">
        <is>
          <t>Excused?</t>
        </is>
      </c>
      <c r="N5" s="9" t="inlineStr">
        <is>
          <t>Counts?</t>
        </is>
      </c>
      <c r="O5" s="9" t="inlineStr">
        <is>
          <t>Notes</t>
        </is>
      </c>
    </row>
    <row r="6">
      <c r="B6" s="15">
        <f>IF($D6="","","A"&amp;TEXT(ROW()-5,"000"))</f>
        <v/>
      </c>
      <c r="C6" s="16" t="n"/>
      <c r="D6" s="14" t="n"/>
      <c r="E6" s="15">
        <f>IF($D6="","",IFERROR(INDEX(rngCadetPIDs,MATCH($D6,rngCadetNames,0)),"?"))</f>
        <v/>
      </c>
      <c r="F6" s="15">
        <f>IF($E6="","",IFERROR(INDEX(nrCadetAgency,MATCH($E6,rngCadetPIDs,0)),""))</f>
        <v/>
      </c>
      <c r="G6" s="14" t="n"/>
      <c r="H6" s="14" t="n"/>
      <c r="I6" s="14" t="n"/>
      <c r="J6" s="14" t="n"/>
      <c r="K6" s="15">
        <f>IF($G6="","",IF(OR($G6="PT Missed",$G6="PT Modified",$G6="PT Refused"),"Yes","No"))</f>
        <v/>
      </c>
      <c r="L6" s="14" t="n"/>
      <c r="M6" s="14" t="n"/>
      <c r="N6" s="15">
        <f>IF($D6="","",IF($M6="Excused","No",IF(AND($G6="PT Modified",$L6="Received"),"No","Yes")))</f>
        <v/>
      </c>
      <c r="O6" s="14" t="n"/>
    </row>
    <row r="7">
      <c r="B7" s="15">
        <f>IF($D7="","","A"&amp;TEXT(ROW()-5,"000"))</f>
        <v/>
      </c>
      <c r="C7" s="16" t="n"/>
      <c r="D7" s="14" t="n"/>
      <c r="E7" s="15">
        <f>IF($D7="","",IFERROR(INDEX(rngCadetPIDs,MATCH($D7,rngCadetNames,0)),"?"))</f>
        <v/>
      </c>
      <c r="F7" s="15">
        <f>IF($E7="","",IFERROR(INDEX(nrCadetAgency,MATCH($E7,rngCadetPIDs,0)),""))</f>
        <v/>
      </c>
      <c r="G7" s="14" t="n"/>
      <c r="H7" s="14" t="n"/>
      <c r="I7" s="14" t="n"/>
      <c r="J7" s="14" t="n"/>
      <c r="K7" s="15">
        <f>IF($G7="","",IF(OR($G7="PT Missed",$G7="PT Modified",$G7="PT Refused"),"Yes","No"))</f>
        <v/>
      </c>
      <c r="L7" s="14" t="n"/>
      <c r="M7" s="14" t="n"/>
      <c r="N7" s="15">
        <f>IF($D7="","",IF($M7="Excused","No",IF(AND($G7="PT Modified",$L7="Received"),"No","Yes")))</f>
        <v/>
      </c>
      <c r="O7" s="14" t="n"/>
    </row>
    <row r="8">
      <c r="B8" s="15">
        <f>IF($D8="","","A"&amp;TEXT(ROW()-5,"000"))</f>
        <v/>
      </c>
      <c r="C8" s="16" t="n"/>
      <c r="D8" s="14" t="n"/>
      <c r="E8" s="15">
        <f>IF($D8="","",IFERROR(INDEX(rngCadetPIDs,MATCH($D8,rngCadetNames,0)),"?"))</f>
        <v/>
      </c>
      <c r="F8" s="15">
        <f>IF($E8="","",IFERROR(INDEX(nrCadetAgency,MATCH($E8,rngCadetPIDs,0)),""))</f>
        <v/>
      </c>
      <c r="G8" s="14" t="n"/>
      <c r="H8" s="14" t="n"/>
      <c r="I8" s="14" t="n"/>
      <c r="J8" s="14" t="n"/>
      <c r="K8" s="15">
        <f>IF($G8="","",IF(OR($G8="PT Missed",$G8="PT Modified",$G8="PT Refused"),"Yes","No"))</f>
        <v/>
      </c>
      <c r="L8" s="14" t="n"/>
      <c r="M8" s="14" t="n"/>
      <c r="N8" s="15">
        <f>IF($D8="","",IF($M8="Excused","No",IF(AND($G8="PT Modified",$L8="Received"),"No","Yes")))</f>
        <v/>
      </c>
      <c r="O8" s="14" t="n"/>
    </row>
    <row r="9">
      <c r="B9" s="15">
        <f>IF($D9="","","A"&amp;TEXT(ROW()-5,"000"))</f>
        <v/>
      </c>
      <c r="C9" s="16" t="n"/>
      <c r="D9" s="14" t="n"/>
      <c r="E9" s="15">
        <f>IF($D9="","",IFERROR(INDEX(rngCadetPIDs,MATCH($D9,rngCadetNames,0)),"?"))</f>
        <v/>
      </c>
      <c r="F9" s="15">
        <f>IF($E9="","",IFERROR(INDEX(nrCadetAgency,MATCH($E9,rngCadetPIDs,0)),""))</f>
        <v/>
      </c>
      <c r="G9" s="14" t="n"/>
      <c r="H9" s="14" t="n"/>
      <c r="I9" s="14" t="n"/>
      <c r="J9" s="14" t="n"/>
      <c r="K9" s="15">
        <f>IF($G9="","",IF(OR($G9="PT Missed",$G9="PT Modified",$G9="PT Refused"),"Yes","No"))</f>
        <v/>
      </c>
      <c r="L9" s="14" t="n"/>
      <c r="M9" s="14" t="n"/>
      <c r="N9" s="15">
        <f>IF($D9="","",IF($M9="Excused","No",IF(AND($G9="PT Modified",$L9="Received"),"No","Yes")))</f>
        <v/>
      </c>
      <c r="O9" s="14" t="n"/>
    </row>
    <row r="10">
      <c r="B10" s="15">
        <f>IF($D10="","","A"&amp;TEXT(ROW()-5,"000"))</f>
        <v/>
      </c>
      <c r="C10" s="16" t="n"/>
      <c r="D10" s="14" t="n"/>
      <c r="E10" s="15">
        <f>IF($D10="","",IFERROR(INDEX(rngCadetPIDs,MATCH($D10,rngCadetNames,0)),"?"))</f>
        <v/>
      </c>
      <c r="F10" s="15">
        <f>IF($E10="","",IFERROR(INDEX(nrCadetAgency,MATCH($E10,rngCadetPIDs,0)),""))</f>
        <v/>
      </c>
      <c r="G10" s="14" t="n"/>
      <c r="H10" s="14" t="n"/>
      <c r="I10" s="14" t="n"/>
      <c r="J10" s="14" t="n"/>
      <c r="K10" s="15">
        <f>IF($G10="","",IF(OR($G10="PT Missed",$G10="PT Modified",$G10="PT Refused"),"Yes","No"))</f>
        <v/>
      </c>
      <c r="L10" s="14" t="n"/>
      <c r="M10" s="14" t="n"/>
      <c r="N10" s="15">
        <f>IF($D10="","",IF($M10="Excused","No",IF(AND($G10="PT Modified",$L10="Received"),"No","Yes")))</f>
        <v/>
      </c>
      <c r="O10" s="14" t="n"/>
    </row>
    <row r="11">
      <c r="B11" s="15">
        <f>IF($D11="","","A"&amp;TEXT(ROW()-5,"000"))</f>
        <v/>
      </c>
      <c r="C11" s="16" t="n"/>
      <c r="D11" s="14" t="n"/>
      <c r="E11" s="15">
        <f>IF($D11="","",IFERROR(INDEX(rngCadetPIDs,MATCH($D11,rngCadetNames,0)),"?"))</f>
        <v/>
      </c>
      <c r="F11" s="15">
        <f>IF($E11="","",IFERROR(INDEX(nrCadetAgency,MATCH($E11,rngCadetPIDs,0)),""))</f>
        <v/>
      </c>
      <c r="G11" s="14" t="n"/>
      <c r="H11" s="14" t="n"/>
      <c r="I11" s="14" t="n"/>
      <c r="J11" s="14" t="n"/>
      <c r="K11" s="15">
        <f>IF($G11="","",IF(OR($G11="PT Missed",$G11="PT Modified",$G11="PT Refused"),"Yes","No"))</f>
        <v/>
      </c>
      <c r="L11" s="14" t="n"/>
      <c r="M11" s="14" t="n"/>
      <c r="N11" s="15">
        <f>IF($D11="","",IF($M11="Excused","No",IF(AND($G11="PT Modified",$L11="Received"),"No","Yes")))</f>
        <v/>
      </c>
      <c r="O11" s="14" t="n"/>
    </row>
    <row r="12">
      <c r="B12" s="15">
        <f>IF($D12="","","A"&amp;TEXT(ROW()-5,"000"))</f>
        <v/>
      </c>
      <c r="C12" s="16" t="n"/>
      <c r="D12" s="14" t="n"/>
      <c r="E12" s="15">
        <f>IF($D12="","",IFERROR(INDEX(rngCadetPIDs,MATCH($D12,rngCadetNames,0)),"?"))</f>
        <v/>
      </c>
      <c r="F12" s="15">
        <f>IF($E12="","",IFERROR(INDEX(nrCadetAgency,MATCH($E12,rngCadetPIDs,0)),""))</f>
        <v/>
      </c>
      <c r="G12" s="14" t="n"/>
      <c r="H12" s="14" t="n"/>
      <c r="I12" s="14" t="n"/>
      <c r="J12" s="14" t="n"/>
      <c r="K12" s="15">
        <f>IF($G12="","",IF(OR($G12="PT Missed",$G12="PT Modified",$G12="PT Refused"),"Yes","No"))</f>
        <v/>
      </c>
      <c r="L12" s="14" t="n"/>
      <c r="M12" s="14" t="n"/>
      <c r="N12" s="15">
        <f>IF($D12="","",IF($M12="Excused","No",IF(AND($G12="PT Modified",$L12="Received"),"No","Yes")))</f>
        <v/>
      </c>
      <c r="O12" s="14" t="n"/>
    </row>
    <row r="13">
      <c r="B13" s="15">
        <f>IF($D13="","","A"&amp;TEXT(ROW()-5,"000"))</f>
        <v/>
      </c>
      <c r="C13" s="16" t="n"/>
      <c r="D13" s="14" t="n"/>
      <c r="E13" s="15">
        <f>IF($D13="","",IFERROR(INDEX(rngCadetPIDs,MATCH($D13,rngCadetNames,0)),"?"))</f>
        <v/>
      </c>
      <c r="F13" s="15">
        <f>IF($E13="","",IFERROR(INDEX(nrCadetAgency,MATCH($E13,rngCadetPIDs,0)),""))</f>
        <v/>
      </c>
      <c r="G13" s="14" t="n"/>
      <c r="H13" s="14" t="n"/>
      <c r="I13" s="14" t="n"/>
      <c r="J13" s="14" t="n"/>
      <c r="K13" s="15">
        <f>IF($G13="","",IF(OR($G13="PT Missed",$G13="PT Modified",$G13="PT Refused"),"Yes","No"))</f>
        <v/>
      </c>
      <c r="L13" s="14" t="n"/>
      <c r="M13" s="14" t="n"/>
      <c r="N13" s="15">
        <f>IF($D13="","",IF($M13="Excused","No",IF(AND($G13="PT Modified",$L13="Received"),"No","Yes")))</f>
        <v/>
      </c>
      <c r="O13" s="14" t="n"/>
    </row>
    <row r="14">
      <c r="B14" s="15">
        <f>IF($D14="","","A"&amp;TEXT(ROW()-5,"000"))</f>
        <v/>
      </c>
      <c r="C14" s="16" t="n"/>
      <c r="D14" s="14" t="n"/>
      <c r="E14" s="15">
        <f>IF($D14="","",IFERROR(INDEX(rngCadetPIDs,MATCH($D14,rngCadetNames,0)),"?"))</f>
        <v/>
      </c>
      <c r="F14" s="15">
        <f>IF($E14="","",IFERROR(INDEX(nrCadetAgency,MATCH($E14,rngCadetPIDs,0)),""))</f>
        <v/>
      </c>
      <c r="G14" s="14" t="n"/>
      <c r="H14" s="14" t="n"/>
      <c r="I14" s="14" t="n"/>
      <c r="J14" s="14" t="n"/>
      <c r="K14" s="15">
        <f>IF($G14="","",IF(OR($G14="PT Missed",$G14="PT Modified",$G14="PT Refused"),"Yes","No"))</f>
        <v/>
      </c>
      <c r="L14" s="14" t="n"/>
      <c r="M14" s="14" t="n"/>
      <c r="N14" s="15">
        <f>IF($D14="","",IF($M14="Excused","No",IF(AND($G14="PT Modified",$L14="Received"),"No","Yes")))</f>
        <v/>
      </c>
      <c r="O14" s="14" t="n"/>
    </row>
    <row r="15">
      <c r="B15" s="15">
        <f>IF($D15="","","A"&amp;TEXT(ROW()-5,"000"))</f>
        <v/>
      </c>
      <c r="C15" s="16" t="n"/>
      <c r="D15" s="14" t="n"/>
      <c r="E15" s="15">
        <f>IF($D15="","",IFERROR(INDEX(rngCadetPIDs,MATCH($D15,rngCadetNames,0)),"?"))</f>
        <v/>
      </c>
      <c r="F15" s="15">
        <f>IF($E15="","",IFERROR(INDEX(nrCadetAgency,MATCH($E15,rngCadetPIDs,0)),""))</f>
        <v/>
      </c>
      <c r="G15" s="14" t="n"/>
      <c r="H15" s="14" t="n"/>
      <c r="I15" s="14" t="n"/>
      <c r="J15" s="14" t="n"/>
      <c r="K15" s="15">
        <f>IF($G15="","",IF(OR($G15="PT Missed",$G15="PT Modified",$G15="PT Refused"),"Yes","No"))</f>
        <v/>
      </c>
      <c r="L15" s="14" t="n"/>
      <c r="M15" s="14" t="n"/>
      <c r="N15" s="15">
        <f>IF($D15="","",IF($M15="Excused","No",IF(AND($G15="PT Modified",$L15="Received"),"No","Yes")))</f>
        <v/>
      </c>
      <c r="O15" s="14" t="n"/>
    </row>
    <row r="16">
      <c r="B16" s="15">
        <f>IF($D16="","","A"&amp;TEXT(ROW()-5,"000"))</f>
        <v/>
      </c>
      <c r="C16" s="16" t="n"/>
      <c r="D16" s="14" t="n"/>
      <c r="E16" s="15">
        <f>IF($D16="","",IFERROR(INDEX(rngCadetPIDs,MATCH($D16,rngCadetNames,0)),"?"))</f>
        <v/>
      </c>
      <c r="F16" s="15">
        <f>IF($E16="","",IFERROR(INDEX(nrCadetAgency,MATCH($E16,rngCadetPIDs,0)),""))</f>
        <v/>
      </c>
      <c r="G16" s="14" t="n"/>
      <c r="H16" s="14" t="n"/>
      <c r="I16" s="14" t="n"/>
      <c r="J16" s="14" t="n"/>
      <c r="K16" s="15">
        <f>IF($G16="","",IF(OR($G16="PT Missed",$G16="PT Modified",$G16="PT Refused"),"Yes","No"))</f>
        <v/>
      </c>
      <c r="L16" s="14" t="n"/>
      <c r="M16" s="14" t="n"/>
      <c r="N16" s="15">
        <f>IF($D16="","",IF($M16="Excused","No",IF(AND($G16="PT Modified",$L16="Received"),"No","Yes")))</f>
        <v/>
      </c>
      <c r="O16" s="14" t="n"/>
    </row>
    <row r="17">
      <c r="B17" s="15">
        <f>IF($D17="","","A"&amp;TEXT(ROW()-5,"000"))</f>
        <v/>
      </c>
      <c r="C17" s="16" t="n"/>
      <c r="D17" s="14" t="n"/>
      <c r="E17" s="15">
        <f>IF($D17="","",IFERROR(INDEX(rngCadetPIDs,MATCH($D17,rngCadetNames,0)),"?"))</f>
        <v/>
      </c>
      <c r="F17" s="15">
        <f>IF($E17="","",IFERROR(INDEX(nrCadetAgency,MATCH($E17,rngCadetPIDs,0)),""))</f>
        <v/>
      </c>
      <c r="G17" s="14" t="n"/>
      <c r="H17" s="14" t="n"/>
      <c r="I17" s="14" t="n"/>
      <c r="J17" s="14" t="n"/>
      <c r="K17" s="15">
        <f>IF($G17="","",IF(OR($G17="PT Missed",$G17="PT Modified",$G17="PT Refused"),"Yes","No"))</f>
        <v/>
      </c>
      <c r="L17" s="14" t="n"/>
      <c r="M17" s="14" t="n"/>
      <c r="N17" s="15">
        <f>IF($D17="","",IF($M17="Excused","No",IF(AND($G17="PT Modified",$L17="Received"),"No","Yes")))</f>
        <v/>
      </c>
      <c r="O17" s="14" t="n"/>
    </row>
    <row r="18">
      <c r="B18" s="15">
        <f>IF($D18="","","A"&amp;TEXT(ROW()-5,"000"))</f>
        <v/>
      </c>
      <c r="C18" s="16" t="n"/>
      <c r="D18" s="14" t="n"/>
      <c r="E18" s="15">
        <f>IF($D18="","",IFERROR(INDEX(rngCadetPIDs,MATCH($D18,rngCadetNames,0)),"?"))</f>
        <v/>
      </c>
      <c r="F18" s="15">
        <f>IF($E18="","",IFERROR(INDEX(nrCadetAgency,MATCH($E18,rngCadetPIDs,0)),""))</f>
        <v/>
      </c>
      <c r="G18" s="14" t="n"/>
      <c r="H18" s="14" t="n"/>
      <c r="I18" s="14" t="n"/>
      <c r="J18" s="14" t="n"/>
      <c r="K18" s="15">
        <f>IF($G18="","",IF(OR($G18="PT Missed",$G18="PT Modified",$G18="PT Refused"),"Yes","No"))</f>
        <v/>
      </c>
      <c r="L18" s="14" t="n"/>
      <c r="M18" s="14" t="n"/>
      <c r="N18" s="15">
        <f>IF($D18="","",IF($M18="Excused","No",IF(AND($G18="PT Modified",$L18="Received"),"No","Yes")))</f>
        <v/>
      </c>
      <c r="O18" s="14" t="n"/>
    </row>
    <row r="19">
      <c r="B19" s="15">
        <f>IF($D19="","","A"&amp;TEXT(ROW()-5,"000"))</f>
        <v/>
      </c>
      <c r="C19" s="16" t="n"/>
      <c r="D19" s="14" t="n"/>
      <c r="E19" s="15">
        <f>IF($D19="","",IFERROR(INDEX(rngCadetPIDs,MATCH($D19,rngCadetNames,0)),"?"))</f>
        <v/>
      </c>
      <c r="F19" s="15">
        <f>IF($E19="","",IFERROR(INDEX(nrCadetAgency,MATCH($E19,rngCadetPIDs,0)),""))</f>
        <v/>
      </c>
      <c r="G19" s="14" t="n"/>
      <c r="H19" s="14" t="n"/>
      <c r="I19" s="14" t="n"/>
      <c r="J19" s="14" t="n"/>
      <c r="K19" s="15">
        <f>IF($G19="","",IF(OR($G19="PT Missed",$G19="PT Modified",$G19="PT Refused"),"Yes","No"))</f>
        <v/>
      </c>
      <c r="L19" s="14" t="n"/>
      <c r="M19" s="14" t="n"/>
      <c r="N19" s="15">
        <f>IF($D19="","",IF($M19="Excused","No",IF(AND($G19="PT Modified",$L19="Received"),"No","Yes")))</f>
        <v/>
      </c>
      <c r="O19" s="14" t="n"/>
    </row>
    <row r="20">
      <c r="B20" s="15">
        <f>IF($D20="","","A"&amp;TEXT(ROW()-5,"000"))</f>
        <v/>
      </c>
      <c r="C20" s="16" t="n"/>
      <c r="D20" s="14" t="n"/>
      <c r="E20" s="15">
        <f>IF($D20="","",IFERROR(INDEX(rngCadetPIDs,MATCH($D20,rngCadetNames,0)),"?"))</f>
        <v/>
      </c>
      <c r="F20" s="15">
        <f>IF($E20="","",IFERROR(INDEX(nrCadetAgency,MATCH($E20,rngCadetPIDs,0)),""))</f>
        <v/>
      </c>
      <c r="G20" s="14" t="n"/>
      <c r="H20" s="14" t="n"/>
      <c r="I20" s="14" t="n"/>
      <c r="J20" s="14" t="n"/>
      <c r="K20" s="15">
        <f>IF($G20="","",IF(OR($G20="PT Missed",$G20="PT Modified",$G20="PT Refused"),"Yes","No"))</f>
        <v/>
      </c>
      <c r="L20" s="14" t="n"/>
      <c r="M20" s="14" t="n"/>
      <c r="N20" s="15">
        <f>IF($D20="","",IF($M20="Excused","No",IF(AND($G20="PT Modified",$L20="Received"),"No","Yes")))</f>
        <v/>
      </c>
      <c r="O20" s="14" t="n"/>
    </row>
    <row r="21">
      <c r="B21" s="15">
        <f>IF($D21="","","A"&amp;TEXT(ROW()-5,"000"))</f>
        <v/>
      </c>
      <c r="C21" s="16" t="n"/>
      <c r="D21" s="14" t="n"/>
      <c r="E21" s="15">
        <f>IF($D21="","",IFERROR(INDEX(rngCadetPIDs,MATCH($D21,rngCadetNames,0)),"?"))</f>
        <v/>
      </c>
      <c r="F21" s="15">
        <f>IF($E21="","",IFERROR(INDEX(nrCadetAgency,MATCH($E21,rngCadetPIDs,0)),""))</f>
        <v/>
      </c>
      <c r="G21" s="14" t="n"/>
      <c r="H21" s="14" t="n"/>
      <c r="I21" s="14" t="n"/>
      <c r="J21" s="14" t="n"/>
      <c r="K21" s="15">
        <f>IF($G21="","",IF(OR($G21="PT Missed",$G21="PT Modified",$G21="PT Refused"),"Yes","No"))</f>
        <v/>
      </c>
      <c r="L21" s="14" t="n"/>
      <c r="M21" s="14" t="n"/>
      <c r="N21" s="15">
        <f>IF($D21="","",IF($M21="Excused","No",IF(AND($G21="PT Modified",$L21="Received"),"No","Yes")))</f>
        <v/>
      </c>
      <c r="O21" s="14" t="n"/>
    </row>
    <row r="22">
      <c r="B22" s="15">
        <f>IF($D22="","","A"&amp;TEXT(ROW()-5,"000"))</f>
        <v/>
      </c>
      <c r="C22" s="16" t="n"/>
      <c r="D22" s="14" t="n"/>
      <c r="E22" s="15">
        <f>IF($D22="","",IFERROR(INDEX(rngCadetPIDs,MATCH($D22,rngCadetNames,0)),"?"))</f>
        <v/>
      </c>
      <c r="F22" s="15">
        <f>IF($E22="","",IFERROR(INDEX(nrCadetAgency,MATCH($E22,rngCadetPIDs,0)),""))</f>
        <v/>
      </c>
      <c r="G22" s="14" t="n"/>
      <c r="H22" s="14" t="n"/>
      <c r="I22" s="14" t="n"/>
      <c r="J22" s="14" t="n"/>
      <c r="K22" s="15">
        <f>IF($G22="","",IF(OR($G22="PT Missed",$G22="PT Modified",$G22="PT Refused"),"Yes","No"))</f>
        <v/>
      </c>
      <c r="L22" s="14" t="n"/>
      <c r="M22" s="14" t="n"/>
      <c r="N22" s="15">
        <f>IF($D22="","",IF($M22="Excused","No",IF(AND($G22="PT Modified",$L22="Received"),"No","Yes")))</f>
        <v/>
      </c>
      <c r="O22" s="14" t="n"/>
    </row>
    <row r="23">
      <c r="B23" s="15">
        <f>IF($D23="","","A"&amp;TEXT(ROW()-5,"000"))</f>
        <v/>
      </c>
      <c r="C23" s="16" t="n"/>
      <c r="D23" s="14" t="n"/>
      <c r="E23" s="15">
        <f>IF($D23="","",IFERROR(INDEX(rngCadetPIDs,MATCH($D23,rngCadetNames,0)),"?"))</f>
        <v/>
      </c>
      <c r="F23" s="15">
        <f>IF($E23="","",IFERROR(INDEX(nrCadetAgency,MATCH($E23,rngCadetPIDs,0)),""))</f>
        <v/>
      </c>
      <c r="G23" s="14" t="n"/>
      <c r="H23" s="14" t="n"/>
      <c r="I23" s="14" t="n"/>
      <c r="J23" s="14" t="n"/>
      <c r="K23" s="15">
        <f>IF($G23="","",IF(OR($G23="PT Missed",$G23="PT Modified",$G23="PT Refused"),"Yes","No"))</f>
        <v/>
      </c>
      <c r="L23" s="14" t="n"/>
      <c r="M23" s="14" t="n"/>
      <c r="N23" s="15">
        <f>IF($D23="","",IF($M23="Excused","No",IF(AND($G23="PT Modified",$L23="Received"),"No","Yes")))</f>
        <v/>
      </c>
      <c r="O23" s="14" t="n"/>
    </row>
    <row r="24">
      <c r="B24" s="15">
        <f>IF($D24="","","A"&amp;TEXT(ROW()-5,"000"))</f>
        <v/>
      </c>
      <c r="C24" s="16" t="n"/>
      <c r="D24" s="14" t="n"/>
      <c r="E24" s="15">
        <f>IF($D24="","",IFERROR(INDEX(rngCadetPIDs,MATCH($D24,rngCadetNames,0)),"?"))</f>
        <v/>
      </c>
      <c r="F24" s="15">
        <f>IF($E24="","",IFERROR(INDEX(nrCadetAgency,MATCH($E24,rngCadetPIDs,0)),""))</f>
        <v/>
      </c>
      <c r="G24" s="14" t="n"/>
      <c r="H24" s="14" t="n"/>
      <c r="I24" s="14" t="n"/>
      <c r="J24" s="14" t="n"/>
      <c r="K24" s="15">
        <f>IF($G24="","",IF(OR($G24="PT Missed",$G24="PT Modified",$G24="PT Refused"),"Yes","No"))</f>
        <v/>
      </c>
      <c r="L24" s="14" t="n"/>
      <c r="M24" s="14" t="n"/>
      <c r="N24" s="15">
        <f>IF($D24="","",IF($M24="Excused","No",IF(AND($G24="PT Modified",$L24="Received"),"No","Yes")))</f>
        <v/>
      </c>
      <c r="O24" s="14" t="n"/>
    </row>
    <row r="25">
      <c r="B25" s="15">
        <f>IF($D25="","","A"&amp;TEXT(ROW()-5,"000"))</f>
        <v/>
      </c>
      <c r="C25" s="16" t="n"/>
      <c r="D25" s="14" t="n"/>
      <c r="E25" s="15">
        <f>IF($D25="","",IFERROR(INDEX(rngCadetPIDs,MATCH($D25,rngCadetNames,0)),"?"))</f>
        <v/>
      </c>
      <c r="F25" s="15">
        <f>IF($E25="","",IFERROR(INDEX(nrCadetAgency,MATCH($E25,rngCadetPIDs,0)),""))</f>
        <v/>
      </c>
      <c r="G25" s="14" t="n"/>
      <c r="H25" s="14" t="n"/>
      <c r="I25" s="14" t="n"/>
      <c r="J25" s="14" t="n"/>
      <c r="K25" s="15">
        <f>IF($G25="","",IF(OR($G25="PT Missed",$G25="PT Modified",$G25="PT Refused"),"Yes","No"))</f>
        <v/>
      </c>
      <c r="L25" s="14" t="n"/>
      <c r="M25" s="14" t="n"/>
      <c r="N25" s="15">
        <f>IF($D25="","",IF($M25="Excused","No",IF(AND($G25="PT Modified",$L25="Received"),"No","Yes")))</f>
        <v/>
      </c>
      <c r="O25" s="14" t="n"/>
    </row>
    <row r="26">
      <c r="B26" s="15">
        <f>IF($D26="","","A"&amp;TEXT(ROW()-5,"000"))</f>
        <v/>
      </c>
      <c r="C26" s="16" t="n"/>
      <c r="D26" s="14" t="n"/>
      <c r="E26" s="15">
        <f>IF($D26="","",IFERROR(INDEX(rngCadetPIDs,MATCH($D26,rngCadetNames,0)),"?"))</f>
        <v/>
      </c>
      <c r="F26" s="15">
        <f>IF($E26="","",IFERROR(INDEX(nrCadetAgency,MATCH($E26,rngCadetPIDs,0)),""))</f>
        <v/>
      </c>
      <c r="G26" s="14" t="n"/>
      <c r="H26" s="14" t="n"/>
      <c r="I26" s="14" t="n"/>
      <c r="J26" s="14" t="n"/>
      <c r="K26" s="15">
        <f>IF($G26="","",IF(OR($G26="PT Missed",$G26="PT Modified",$G26="PT Refused"),"Yes","No"))</f>
        <v/>
      </c>
      <c r="L26" s="14" t="n"/>
      <c r="M26" s="14" t="n"/>
      <c r="N26" s="15">
        <f>IF($D26="","",IF($M26="Excused","No",IF(AND($G26="PT Modified",$L26="Received"),"No","Yes")))</f>
        <v/>
      </c>
      <c r="O26" s="14" t="n"/>
    </row>
    <row r="27">
      <c r="B27" s="15">
        <f>IF($D27="","","A"&amp;TEXT(ROW()-5,"000"))</f>
        <v/>
      </c>
      <c r="C27" s="16" t="n"/>
      <c r="D27" s="14" t="n"/>
      <c r="E27" s="15">
        <f>IF($D27="","",IFERROR(INDEX(rngCadetPIDs,MATCH($D27,rngCadetNames,0)),"?"))</f>
        <v/>
      </c>
      <c r="F27" s="15">
        <f>IF($E27="","",IFERROR(INDEX(nrCadetAgency,MATCH($E27,rngCadetPIDs,0)),""))</f>
        <v/>
      </c>
      <c r="G27" s="14" t="n"/>
      <c r="H27" s="14" t="n"/>
      <c r="I27" s="14" t="n"/>
      <c r="J27" s="14" t="n"/>
      <c r="K27" s="15">
        <f>IF($G27="","",IF(OR($G27="PT Missed",$G27="PT Modified",$G27="PT Refused"),"Yes","No"))</f>
        <v/>
      </c>
      <c r="L27" s="14" t="n"/>
      <c r="M27" s="14" t="n"/>
      <c r="N27" s="15">
        <f>IF($D27="","",IF($M27="Excused","No",IF(AND($G27="PT Modified",$L27="Received"),"No","Yes")))</f>
        <v/>
      </c>
      <c r="O27" s="14" t="n"/>
    </row>
    <row r="28">
      <c r="B28" s="15">
        <f>IF($D28="","","A"&amp;TEXT(ROW()-5,"000"))</f>
        <v/>
      </c>
      <c r="C28" s="16" t="n"/>
      <c r="D28" s="14" t="n"/>
      <c r="E28" s="15">
        <f>IF($D28="","",IFERROR(INDEX(rngCadetPIDs,MATCH($D28,rngCadetNames,0)),"?"))</f>
        <v/>
      </c>
      <c r="F28" s="15">
        <f>IF($E28="","",IFERROR(INDEX(nrCadetAgency,MATCH($E28,rngCadetPIDs,0)),""))</f>
        <v/>
      </c>
      <c r="G28" s="14" t="n"/>
      <c r="H28" s="14" t="n"/>
      <c r="I28" s="14" t="n"/>
      <c r="J28" s="14" t="n"/>
      <c r="K28" s="15">
        <f>IF($G28="","",IF(OR($G28="PT Missed",$G28="PT Modified",$G28="PT Refused"),"Yes","No"))</f>
        <v/>
      </c>
      <c r="L28" s="14" t="n"/>
      <c r="M28" s="14" t="n"/>
      <c r="N28" s="15">
        <f>IF($D28="","",IF($M28="Excused","No",IF(AND($G28="PT Modified",$L28="Received"),"No","Yes")))</f>
        <v/>
      </c>
      <c r="O28" s="14" t="n"/>
    </row>
    <row r="29">
      <c r="B29" s="15">
        <f>IF($D29="","","A"&amp;TEXT(ROW()-5,"000"))</f>
        <v/>
      </c>
      <c r="C29" s="16" t="n"/>
      <c r="D29" s="14" t="n"/>
      <c r="E29" s="15">
        <f>IF($D29="","",IFERROR(INDEX(rngCadetPIDs,MATCH($D29,rngCadetNames,0)),"?"))</f>
        <v/>
      </c>
      <c r="F29" s="15">
        <f>IF($E29="","",IFERROR(INDEX(nrCadetAgency,MATCH($E29,rngCadetPIDs,0)),""))</f>
        <v/>
      </c>
      <c r="G29" s="14" t="n"/>
      <c r="H29" s="14" t="n"/>
      <c r="I29" s="14" t="n"/>
      <c r="J29" s="14" t="n"/>
      <c r="K29" s="15">
        <f>IF($G29="","",IF(OR($G29="PT Missed",$G29="PT Modified",$G29="PT Refused"),"Yes","No"))</f>
        <v/>
      </c>
      <c r="L29" s="14" t="n"/>
      <c r="M29" s="14" t="n"/>
      <c r="N29" s="15">
        <f>IF($D29="","",IF($M29="Excused","No",IF(AND($G29="PT Modified",$L29="Received"),"No","Yes")))</f>
        <v/>
      </c>
      <c r="O29" s="14" t="n"/>
    </row>
    <row r="30">
      <c r="B30" s="15">
        <f>IF($D30="","","A"&amp;TEXT(ROW()-5,"000"))</f>
        <v/>
      </c>
      <c r="C30" s="16" t="n"/>
      <c r="D30" s="14" t="n"/>
      <c r="E30" s="15">
        <f>IF($D30="","",IFERROR(INDEX(rngCadetPIDs,MATCH($D30,rngCadetNames,0)),"?"))</f>
        <v/>
      </c>
      <c r="F30" s="15">
        <f>IF($E30="","",IFERROR(INDEX(nrCadetAgency,MATCH($E30,rngCadetPIDs,0)),""))</f>
        <v/>
      </c>
      <c r="G30" s="14" t="n"/>
      <c r="H30" s="14" t="n"/>
      <c r="I30" s="14" t="n"/>
      <c r="J30" s="14" t="n"/>
      <c r="K30" s="15">
        <f>IF($G30="","",IF(OR($G30="PT Missed",$G30="PT Modified",$G30="PT Refused"),"Yes","No"))</f>
        <v/>
      </c>
      <c r="L30" s="14" t="n"/>
      <c r="M30" s="14" t="n"/>
      <c r="N30" s="15">
        <f>IF($D30="","",IF($M30="Excused","No",IF(AND($G30="PT Modified",$L30="Received"),"No","Yes")))</f>
        <v/>
      </c>
      <c r="O30" s="14" t="n"/>
    </row>
    <row r="31">
      <c r="B31" s="15">
        <f>IF($D31="","","A"&amp;TEXT(ROW()-5,"000"))</f>
        <v/>
      </c>
      <c r="C31" s="16" t="n"/>
      <c r="D31" s="14" t="n"/>
      <c r="E31" s="15">
        <f>IF($D31="","",IFERROR(INDEX(rngCadetPIDs,MATCH($D31,rngCadetNames,0)),"?"))</f>
        <v/>
      </c>
      <c r="F31" s="15">
        <f>IF($E31="","",IFERROR(INDEX(nrCadetAgency,MATCH($E31,rngCadetPIDs,0)),""))</f>
        <v/>
      </c>
      <c r="G31" s="14" t="n"/>
      <c r="H31" s="14" t="n"/>
      <c r="I31" s="14" t="n"/>
      <c r="J31" s="14" t="n"/>
      <c r="K31" s="15">
        <f>IF($G31="","",IF(OR($G31="PT Missed",$G31="PT Modified",$G31="PT Refused"),"Yes","No"))</f>
        <v/>
      </c>
      <c r="L31" s="14" t="n"/>
      <c r="M31" s="14" t="n"/>
      <c r="N31" s="15">
        <f>IF($D31="","",IF($M31="Excused","No",IF(AND($G31="PT Modified",$L31="Received"),"No","Yes")))</f>
        <v/>
      </c>
      <c r="O31" s="14" t="n"/>
    </row>
    <row r="32">
      <c r="B32" s="15">
        <f>IF($D32="","","A"&amp;TEXT(ROW()-5,"000"))</f>
        <v/>
      </c>
      <c r="C32" s="16" t="n"/>
      <c r="D32" s="14" t="n"/>
      <c r="E32" s="15">
        <f>IF($D32="","",IFERROR(INDEX(rngCadetPIDs,MATCH($D32,rngCadetNames,0)),"?"))</f>
        <v/>
      </c>
      <c r="F32" s="15">
        <f>IF($E32="","",IFERROR(INDEX(nrCadetAgency,MATCH($E32,rngCadetPIDs,0)),""))</f>
        <v/>
      </c>
      <c r="G32" s="14" t="n"/>
      <c r="H32" s="14" t="n"/>
      <c r="I32" s="14" t="n"/>
      <c r="J32" s="14" t="n"/>
      <c r="K32" s="15">
        <f>IF($G32="","",IF(OR($G32="PT Missed",$G32="PT Modified",$G32="PT Refused"),"Yes","No"))</f>
        <v/>
      </c>
      <c r="L32" s="14" t="n"/>
      <c r="M32" s="14" t="n"/>
      <c r="N32" s="15">
        <f>IF($D32="","",IF($M32="Excused","No",IF(AND($G32="PT Modified",$L32="Received"),"No","Yes")))</f>
        <v/>
      </c>
      <c r="O32" s="14" t="n"/>
    </row>
    <row r="33">
      <c r="B33" s="15">
        <f>IF($D33="","","A"&amp;TEXT(ROW()-5,"000"))</f>
        <v/>
      </c>
      <c r="C33" s="16" t="n"/>
      <c r="D33" s="14" t="n"/>
      <c r="E33" s="15">
        <f>IF($D33="","",IFERROR(INDEX(rngCadetPIDs,MATCH($D33,rngCadetNames,0)),"?"))</f>
        <v/>
      </c>
      <c r="F33" s="15">
        <f>IF($E33="","",IFERROR(INDEX(nrCadetAgency,MATCH($E33,rngCadetPIDs,0)),""))</f>
        <v/>
      </c>
      <c r="G33" s="14" t="n"/>
      <c r="H33" s="14" t="n"/>
      <c r="I33" s="14" t="n"/>
      <c r="J33" s="14" t="n"/>
      <c r="K33" s="15">
        <f>IF($G33="","",IF(OR($G33="PT Missed",$G33="PT Modified",$G33="PT Refused"),"Yes","No"))</f>
        <v/>
      </c>
      <c r="L33" s="14" t="n"/>
      <c r="M33" s="14" t="n"/>
      <c r="N33" s="15">
        <f>IF($D33="","",IF($M33="Excused","No",IF(AND($G33="PT Modified",$L33="Received"),"No","Yes")))</f>
        <v/>
      </c>
      <c r="O33" s="14" t="n"/>
    </row>
    <row r="34">
      <c r="B34" s="15">
        <f>IF($D34="","","A"&amp;TEXT(ROW()-5,"000"))</f>
        <v/>
      </c>
      <c r="C34" s="16" t="n"/>
      <c r="D34" s="14" t="n"/>
      <c r="E34" s="15">
        <f>IF($D34="","",IFERROR(INDEX(rngCadetPIDs,MATCH($D34,rngCadetNames,0)),"?"))</f>
        <v/>
      </c>
      <c r="F34" s="15">
        <f>IF($E34="","",IFERROR(INDEX(nrCadetAgency,MATCH($E34,rngCadetPIDs,0)),""))</f>
        <v/>
      </c>
      <c r="G34" s="14" t="n"/>
      <c r="H34" s="14" t="n"/>
      <c r="I34" s="14" t="n"/>
      <c r="J34" s="14" t="n"/>
      <c r="K34" s="15">
        <f>IF($G34="","",IF(OR($G34="PT Missed",$G34="PT Modified",$G34="PT Refused"),"Yes","No"))</f>
        <v/>
      </c>
      <c r="L34" s="14" t="n"/>
      <c r="M34" s="14" t="n"/>
      <c r="N34" s="15">
        <f>IF($D34="","",IF($M34="Excused","No",IF(AND($G34="PT Modified",$L34="Received"),"No","Yes")))</f>
        <v/>
      </c>
      <c r="O34" s="14" t="n"/>
    </row>
    <row r="35">
      <c r="B35" s="15">
        <f>IF($D35="","","A"&amp;TEXT(ROW()-5,"000"))</f>
        <v/>
      </c>
      <c r="C35" s="16" t="n"/>
      <c r="D35" s="14" t="n"/>
      <c r="E35" s="15">
        <f>IF($D35="","",IFERROR(INDEX(rngCadetPIDs,MATCH($D35,rngCadetNames,0)),"?"))</f>
        <v/>
      </c>
      <c r="F35" s="15">
        <f>IF($E35="","",IFERROR(INDEX(nrCadetAgency,MATCH($E35,rngCadetPIDs,0)),""))</f>
        <v/>
      </c>
      <c r="G35" s="14" t="n"/>
      <c r="H35" s="14" t="n"/>
      <c r="I35" s="14" t="n"/>
      <c r="J35" s="14" t="n"/>
      <c r="K35" s="15">
        <f>IF($G35="","",IF(OR($G35="PT Missed",$G35="PT Modified",$G35="PT Refused"),"Yes","No"))</f>
        <v/>
      </c>
      <c r="L35" s="14" t="n"/>
      <c r="M35" s="14" t="n"/>
      <c r="N35" s="15">
        <f>IF($D35="","",IF($M35="Excused","No",IF(AND($G35="PT Modified",$L35="Received"),"No","Yes")))</f>
        <v/>
      </c>
      <c r="O35" s="14" t="n"/>
    </row>
    <row r="36">
      <c r="B36" s="15">
        <f>IF($D36="","","A"&amp;TEXT(ROW()-5,"000"))</f>
        <v/>
      </c>
      <c r="C36" s="16" t="n"/>
      <c r="D36" s="14" t="n"/>
      <c r="E36" s="15">
        <f>IF($D36="","",IFERROR(INDEX(rngCadetPIDs,MATCH($D36,rngCadetNames,0)),"?"))</f>
        <v/>
      </c>
      <c r="F36" s="15">
        <f>IF($E36="","",IFERROR(INDEX(nrCadetAgency,MATCH($E36,rngCadetPIDs,0)),""))</f>
        <v/>
      </c>
      <c r="G36" s="14" t="n"/>
      <c r="H36" s="14" t="n"/>
      <c r="I36" s="14" t="n"/>
      <c r="J36" s="14" t="n"/>
      <c r="K36" s="15">
        <f>IF($G36="","",IF(OR($G36="PT Missed",$G36="PT Modified",$G36="PT Refused"),"Yes","No"))</f>
        <v/>
      </c>
      <c r="L36" s="14" t="n"/>
      <c r="M36" s="14" t="n"/>
      <c r="N36" s="15">
        <f>IF($D36="","",IF($M36="Excused","No",IF(AND($G36="PT Modified",$L36="Received"),"No","Yes")))</f>
        <v/>
      </c>
      <c r="O36" s="14" t="n"/>
    </row>
    <row r="37">
      <c r="B37" s="15">
        <f>IF($D37="","","A"&amp;TEXT(ROW()-5,"000"))</f>
        <v/>
      </c>
      <c r="C37" s="16" t="n"/>
      <c r="D37" s="14" t="n"/>
      <c r="E37" s="15">
        <f>IF($D37="","",IFERROR(INDEX(rngCadetPIDs,MATCH($D37,rngCadetNames,0)),"?"))</f>
        <v/>
      </c>
      <c r="F37" s="15">
        <f>IF($E37="","",IFERROR(INDEX(nrCadetAgency,MATCH($E37,rngCadetPIDs,0)),""))</f>
        <v/>
      </c>
      <c r="G37" s="14" t="n"/>
      <c r="H37" s="14" t="n"/>
      <c r="I37" s="14" t="n"/>
      <c r="J37" s="14" t="n"/>
      <c r="K37" s="15">
        <f>IF($G37="","",IF(OR($G37="PT Missed",$G37="PT Modified",$G37="PT Refused"),"Yes","No"))</f>
        <v/>
      </c>
      <c r="L37" s="14" t="n"/>
      <c r="M37" s="14" t="n"/>
      <c r="N37" s="15">
        <f>IF($D37="","",IF($M37="Excused","No",IF(AND($G37="PT Modified",$L37="Received"),"No","Yes")))</f>
        <v/>
      </c>
      <c r="O37" s="14" t="n"/>
    </row>
    <row r="38">
      <c r="B38" s="15">
        <f>IF($D38="","","A"&amp;TEXT(ROW()-5,"000"))</f>
        <v/>
      </c>
      <c r="C38" s="16" t="n"/>
      <c r="D38" s="14" t="n"/>
      <c r="E38" s="15">
        <f>IF($D38="","",IFERROR(INDEX(rngCadetPIDs,MATCH($D38,rngCadetNames,0)),"?"))</f>
        <v/>
      </c>
      <c r="F38" s="15">
        <f>IF($E38="","",IFERROR(INDEX(nrCadetAgency,MATCH($E38,rngCadetPIDs,0)),""))</f>
        <v/>
      </c>
      <c r="G38" s="14" t="n"/>
      <c r="H38" s="14" t="n"/>
      <c r="I38" s="14" t="n"/>
      <c r="J38" s="14" t="n"/>
      <c r="K38" s="15">
        <f>IF($G38="","",IF(OR($G38="PT Missed",$G38="PT Modified",$G38="PT Refused"),"Yes","No"))</f>
        <v/>
      </c>
      <c r="L38" s="14" t="n"/>
      <c r="M38" s="14" t="n"/>
      <c r="N38" s="15">
        <f>IF($D38="","",IF($M38="Excused","No",IF(AND($G38="PT Modified",$L38="Received"),"No","Yes")))</f>
        <v/>
      </c>
      <c r="O38" s="14" t="n"/>
    </row>
    <row r="39">
      <c r="B39" s="15">
        <f>IF($D39="","","A"&amp;TEXT(ROW()-5,"000"))</f>
        <v/>
      </c>
      <c r="C39" s="16" t="n"/>
      <c r="D39" s="14" t="n"/>
      <c r="E39" s="15">
        <f>IF($D39="","",IFERROR(INDEX(rngCadetPIDs,MATCH($D39,rngCadetNames,0)),"?"))</f>
        <v/>
      </c>
      <c r="F39" s="15">
        <f>IF($E39="","",IFERROR(INDEX(nrCadetAgency,MATCH($E39,rngCadetPIDs,0)),""))</f>
        <v/>
      </c>
      <c r="G39" s="14" t="n"/>
      <c r="H39" s="14" t="n"/>
      <c r="I39" s="14" t="n"/>
      <c r="J39" s="14" t="n"/>
      <c r="K39" s="15">
        <f>IF($G39="","",IF(OR($G39="PT Missed",$G39="PT Modified",$G39="PT Refused"),"Yes","No"))</f>
        <v/>
      </c>
      <c r="L39" s="14" t="n"/>
      <c r="M39" s="14" t="n"/>
      <c r="N39" s="15">
        <f>IF($D39="","",IF($M39="Excused","No",IF(AND($G39="PT Modified",$L39="Received"),"No","Yes")))</f>
        <v/>
      </c>
      <c r="O39" s="14" t="n"/>
    </row>
    <row r="40">
      <c r="B40" s="15">
        <f>IF($D40="","","A"&amp;TEXT(ROW()-5,"000"))</f>
        <v/>
      </c>
      <c r="C40" s="16" t="n"/>
      <c r="D40" s="14" t="n"/>
      <c r="E40" s="15">
        <f>IF($D40="","",IFERROR(INDEX(rngCadetPIDs,MATCH($D40,rngCadetNames,0)),"?"))</f>
        <v/>
      </c>
      <c r="F40" s="15">
        <f>IF($E40="","",IFERROR(INDEX(nrCadetAgency,MATCH($E40,rngCadetPIDs,0)),""))</f>
        <v/>
      </c>
      <c r="G40" s="14" t="n"/>
      <c r="H40" s="14" t="n"/>
      <c r="I40" s="14" t="n"/>
      <c r="J40" s="14" t="n"/>
      <c r="K40" s="15">
        <f>IF($G40="","",IF(OR($G40="PT Missed",$G40="PT Modified",$G40="PT Refused"),"Yes","No"))</f>
        <v/>
      </c>
      <c r="L40" s="14" t="n"/>
      <c r="M40" s="14" t="n"/>
      <c r="N40" s="15">
        <f>IF($D40="","",IF($M40="Excused","No",IF(AND($G40="PT Modified",$L40="Received"),"No","Yes")))</f>
        <v/>
      </c>
      <c r="O40" s="14" t="n"/>
    </row>
    <row r="41">
      <c r="B41" s="15">
        <f>IF($D41="","","A"&amp;TEXT(ROW()-5,"000"))</f>
        <v/>
      </c>
      <c r="C41" s="16" t="n"/>
      <c r="D41" s="14" t="n"/>
      <c r="E41" s="15">
        <f>IF($D41="","",IFERROR(INDEX(rngCadetPIDs,MATCH($D41,rngCadetNames,0)),"?"))</f>
        <v/>
      </c>
      <c r="F41" s="15">
        <f>IF($E41="","",IFERROR(INDEX(nrCadetAgency,MATCH($E41,rngCadetPIDs,0)),""))</f>
        <v/>
      </c>
      <c r="G41" s="14" t="n"/>
      <c r="H41" s="14" t="n"/>
      <c r="I41" s="14" t="n"/>
      <c r="J41" s="14" t="n"/>
      <c r="K41" s="15">
        <f>IF($G41="","",IF(OR($G41="PT Missed",$G41="PT Modified",$G41="PT Refused"),"Yes","No"))</f>
        <v/>
      </c>
      <c r="L41" s="14" t="n"/>
      <c r="M41" s="14" t="n"/>
      <c r="N41" s="15">
        <f>IF($D41="","",IF($M41="Excused","No",IF(AND($G41="PT Modified",$L41="Received"),"No","Yes")))</f>
        <v/>
      </c>
      <c r="O41" s="14" t="n"/>
    </row>
    <row r="42">
      <c r="B42" s="15">
        <f>IF($D42="","","A"&amp;TEXT(ROW()-5,"000"))</f>
        <v/>
      </c>
      <c r="C42" s="16" t="n"/>
      <c r="D42" s="14" t="n"/>
      <c r="E42" s="15">
        <f>IF($D42="","",IFERROR(INDEX(rngCadetPIDs,MATCH($D42,rngCadetNames,0)),"?"))</f>
        <v/>
      </c>
      <c r="F42" s="15">
        <f>IF($E42="","",IFERROR(INDEX(nrCadetAgency,MATCH($E42,rngCadetPIDs,0)),""))</f>
        <v/>
      </c>
      <c r="G42" s="14" t="n"/>
      <c r="H42" s="14" t="n"/>
      <c r="I42" s="14" t="n"/>
      <c r="J42" s="14" t="n"/>
      <c r="K42" s="15">
        <f>IF($G42="","",IF(OR($G42="PT Missed",$G42="PT Modified",$G42="PT Refused"),"Yes","No"))</f>
        <v/>
      </c>
      <c r="L42" s="14" t="n"/>
      <c r="M42" s="14" t="n"/>
      <c r="N42" s="15">
        <f>IF($D42="","",IF($M42="Excused","No",IF(AND($G42="PT Modified",$L42="Received"),"No","Yes")))</f>
        <v/>
      </c>
      <c r="O42" s="14" t="n"/>
    </row>
    <row r="43">
      <c r="B43" s="15">
        <f>IF($D43="","","A"&amp;TEXT(ROW()-5,"000"))</f>
        <v/>
      </c>
      <c r="C43" s="16" t="n"/>
      <c r="D43" s="14" t="n"/>
      <c r="E43" s="15">
        <f>IF($D43="","",IFERROR(INDEX(rngCadetPIDs,MATCH($D43,rngCadetNames,0)),"?"))</f>
        <v/>
      </c>
      <c r="F43" s="15">
        <f>IF($E43="","",IFERROR(INDEX(nrCadetAgency,MATCH($E43,rngCadetPIDs,0)),""))</f>
        <v/>
      </c>
      <c r="G43" s="14" t="n"/>
      <c r="H43" s="14" t="n"/>
      <c r="I43" s="14" t="n"/>
      <c r="J43" s="14" t="n"/>
      <c r="K43" s="15">
        <f>IF($G43="","",IF(OR($G43="PT Missed",$G43="PT Modified",$G43="PT Refused"),"Yes","No"))</f>
        <v/>
      </c>
      <c r="L43" s="14" t="n"/>
      <c r="M43" s="14" t="n"/>
      <c r="N43" s="15">
        <f>IF($D43="","",IF($M43="Excused","No",IF(AND($G43="PT Modified",$L43="Received"),"No","Yes")))</f>
        <v/>
      </c>
      <c r="O43" s="14" t="n"/>
    </row>
    <row r="44">
      <c r="B44" s="15">
        <f>IF($D44="","","A"&amp;TEXT(ROW()-5,"000"))</f>
        <v/>
      </c>
      <c r="C44" s="16" t="n"/>
      <c r="D44" s="14" t="n"/>
      <c r="E44" s="15">
        <f>IF($D44="","",IFERROR(INDEX(rngCadetPIDs,MATCH($D44,rngCadetNames,0)),"?"))</f>
        <v/>
      </c>
      <c r="F44" s="15">
        <f>IF($E44="","",IFERROR(INDEX(nrCadetAgency,MATCH($E44,rngCadetPIDs,0)),""))</f>
        <v/>
      </c>
      <c r="G44" s="14" t="n"/>
      <c r="H44" s="14" t="n"/>
      <c r="I44" s="14" t="n"/>
      <c r="J44" s="14" t="n"/>
      <c r="K44" s="15">
        <f>IF($G44="","",IF(OR($G44="PT Missed",$G44="PT Modified",$G44="PT Refused"),"Yes","No"))</f>
        <v/>
      </c>
      <c r="L44" s="14" t="n"/>
      <c r="M44" s="14" t="n"/>
      <c r="N44" s="15">
        <f>IF($D44="","",IF($M44="Excused","No",IF(AND($G44="PT Modified",$L44="Received"),"No","Yes")))</f>
        <v/>
      </c>
      <c r="O44" s="14" t="n"/>
    </row>
    <row r="45">
      <c r="B45" s="15">
        <f>IF($D45="","","A"&amp;TEXT(ROW()-5,"000"))</f>
        <v/>
      </c>
      <c r="C45" s="16" t="n"/>
      <c r="D45" s="14" t="n"/>
      <c r="E45" s="15">
        <f>IF($D45="","",IFERROR(INDEX(rngCadetPIDs,MATCH($D45,rngCadetNames,0)),"?"))</f>
        <v/>
      </c>
      <c r="F45" s="15">
        <f>IF($E45="","",IFERROR(INDEX(nrCadetAgency,MATCH($E45,rngCadetPIDs,0)),""))</f>
        <v/>
      </c>
      <c r="G45" s="14" t="n"/>
      <c r="H45" s="14" t="n"/>
      <c r="I45" s="14" t="n"/>
      <c r="J45" s="14" t="n"/>
      <c r="K45" s="15">
        <f>IF($G45="","",IF(OR($G45="PT Missed",$G45="PT Modified",$G45="PT Refused"),"Yes","No"))</f>
        <v/>
      </c>
      <c r="L45" s="14" t="n"/>
      <c r="M45" s="14" t="n"/>
      <c r="N45" s="15">
        <f>IF($D45="","",IF($M45="Excused","No",IF(AND($G45="PT Modified",$L45="Received"),"No","Yes")))</f>
        <v/>
      </c>
      <c r="O45" s="14" t="n"/>
    </row>
    <row r="46">
      <c r="B46" s="15">
        <f>IF($D46="","","A"&amp;TEXT(ROW()-5,"000"))</f>
        <v/>
      </c>
      <c r="C46" s="16" t="n"/>
      <c r="D46" s="14" t="n"/>
      <c r="E46" s="15">
        <f>IF($D46="","",IFERROR(INDEX(rngCadetPIDs,MATCH($D46,rngCadetNames,0)),"?"))</f>
        <v/>
      </c>
      <c r="F46" s="15">
        <f>IF($E46="","",IFERROR(INDEX(nrCadetAgency,MATCH($E46,rngCadetPIDs,0)),""))</f>
        <v/>
      </c>
      <c r="G46" s="14" t="n"/>
      <c r="H46" s="14" t="n"/>
      <c r="I46" s="14" t="n"/>
      <c r="J46" s="14" t="n"/>
      <c r="K46" s="15">
        <f>IF($G46="","",IF(OR($G46="PT Missed",$G46="PT Modified",$G46="PT Refused"),"Yes","No"))</f>
        <v/>
      </c>
      <c r="L46" s="14" t="n"/>
      <c r="M46" s="14" t="n"/>
      <c r="N46" s="15">
        <f>IF($D46="","",IF($M46="Excused","No",IF(AND($G46="PT Modified",$L46="Received"),"No","Yes")))</f>
        <v/>
      </c>
      <c r="O46" s="14" t="n"/>
    </row>
    <row r="47">
      <c r="B47" s="15">
        <f>IF($D47="","","A"&amp;TEXT(ROW()-5,"000"))</f>
        <v/>
      </c>
      <c r="C47" s="16" t="n"/>
      <c r="D47" s="14" t="n"/>
      <c r="E47" s="15">
        <f>IF($D47="","",IFERROR(INDEX(rngCadetPIDs,MATCH($D47,rngCadetNames,0)),"?"))</f>
        <v/>
      </c>
      <c r="F47" s="15">
        <f>IF($E47="","",IFERROR(INDEX(nrCadetAgency,MATCH($E47,rngCadetPIDs,0)),""))</f>
        <v/>
      </c>
      <c r="G47" s="14" t="n"/>
      <c r="H47" s="14" t="n"/>
      <c r="I47" s="14" t="n"/>
      <c r="J47" s="14" t="n"/>
      <c r="K47" s="15">
        <f>IF($G47="","",IF(OR($G47="PT Missed",$G47="PT Modified",$G47="PT Refused"),"Yes","No"))</f>
        <v/>
      </c>
      <c r="L47" s="14" t="n"/>
      <c r="M47" s="14" t="n"/>
      <c r="N47" s="15">
        <f>IF($D47="","",IF($M47="Excused","No",IF(AND($G47="PT Modified",$L47="Received"),"No","Yes")))</f>
        <v/>
      </c>
      <c r="O47" s="14" t="n"/>
    </row>
    <row r="48">
      <c r="B48" s="15">
        <f>IF($D48="","","A"&amp;TEXT(ROW()-5,"000"))</f>
        <v/>
      </c>
      <c r="C48" s="16" t="n"/>
      <c r="D48" s="14" t="n"/>
      <c r="E48" s="15">
        <f>IF($D48="","",IFERROR(INDEX(rngCadetPIDs,MATCH($D48,rngCadetNames,0)),"?"))</f>
        <v/>
      </c>
      <c r="F48" s="15">
        <f>IF($E48="","",IFERROR(INDEX(nrCadetAgency,MATCH($E48,rngCadetPIDs,0)),""))</f>
        <v/>
      </c>
      <c r="G48" s="14" t="n"/>
      <c r="H48" s="14" t="n"/>
      <c r="I48" s="14" t="n"/>
      <c r="J48" s="14" t="n"/>
      <c r="K48" s="15">
        <f>IF($G48="","",IF(OR($G48="PT Missed",$G48="PT Modified",$G48="PT Refused"),"Yes","No"))</f>
        <v/>
      </c>
      <c r="L48" s="14" t="n"/>
      <c r="M48" s="14" t="n"/>
      <c r="N48" s="15">
        <f>IF($D48="","",IF($M48="Excused","No",IF(AND($G48="PT Modified",$L48="Received"),"No","Yes")))</f>
        <v/>
      </c>
      <c r="O48" s="14" t="n"/>
    </row>
    <row r="49">
      <c r="B49" s="15">
        <f>IF($D49="","","A"&amp;TEXT(ROW()-5,"000"))</f>
        <v/>
      </c>
      <c r="C49" s="16" t="n"/>
      <c r="D49" s="14" t="n"/>
      <c r="E49" s="15">
        <f>IF($D49="","",IFERROR(INDEX(rngCadetPIDs,MATCH($D49,rngCadetNames,0)),"?"))</f>
        <v/>
      </c>
      <c r="F49" s="15">
        <f>IF($E49="","",IFERROR(INDEX(nrCadetAgency,MATCH($E49,rngCadetPIDs,0)),""))</f>
        <v/>
      </c>
      <c r="G49" s="14" t="n"/>
      <c r="H49" s="14" t="n"/>
      <c r="I49" s="14" t="n"/>
      <c r="J49" s="14" t="n"/>
      <c r="K49" s="15">
        <f>IF($G49="","",IF(OR($G49="PT Missed",$G49="PT Modified",$G49="PT Refused"),"Yes","No"))</f>
        <v/>
      </c>
      <c r="L49" s="14" t="n"/>
      <c r="M49" s="14" t="n"/>
      <c r="N49" s="15">
        <f>IF($D49="","",IF($M49="Excused","No",IF(AND($G49="PT Modified",$L49="Received"),"No","Yes")))</f>
        <v/>
      </c>
      <c r="O49" s="14" t="n"/>
    </row>
    <row r="50">
      <c r="B50" s="15">
        <f>IF($D50="","","A"&amp;TEXT(ROW()-5,"000"))</f>
        <v/>
      </c>
      <c r="C50" s="16" t="n"/>
      <c r="D50" s="14" t="n"/>
      <c r="E50" s="15">
        <f>IF($D50="","",IFERROR(INDEX(rngCadetPIDs,MATCH($D50,rngCadetNames,0)),"?"))</f>
        <v/>
      </c>
      <c r="F50" s="15">
        <f>IF($E50="","",IFERROR(INDEX(nrCadetAgency,MATCH($E50,rngCadetPIDs,0)),""))</f>
        <v/>
      </c>
      <c r="G50" s="14" t="n"/>
      <c r="H50" s="14" t="n"/>
      <c r="I50" s="14" t="n"/>
      <c r="J50" s="14" t="n"/>
      <c r="K50" s="15">
        <f>IF($G50="","",IF(OR($G50="PT Missed",$G50="PT Modified",$G50="PT Refused"),"Yes","No"))</f>
        <v/>
      </c>
      <c r="L50" s="14" t="n"/>
      <c r="M50" s="14" t="n"/>
      <c r="N50" s="15">
        <f>IF($D50="","",IF($M50="Excused","No",IF(AND($G50="PT Modified",$L50="Received"),"No","Yes")))</f>
        <v/>
      </c>
      <c r="O50" s="14" t="n"/>
    </row>
    <row r="51">
      <c r="B51" s="15">
        <f>IF($D51="","","A"&amp;TEXT(ROW()-5,"000"))</f>
        <v/>
      </c>
      <c r="C51" s="16" t="n"/>
      <c r="D51" s="14" t="n"/>
      <c r="E51" s="15">
        <f>IF($D51="","",IFERROR(INDEX(rngCadetPIDs,MATCH($D51,rngCadetNames,0)),"?"))</f>
        <v/>
      </c>
      <c r="F51" s="15">
        <f>IF($E51="","",IFERROR(INDEX(nrCadetAgency,MATCH($E51,rngCadetPIDs,0)),""))</f>
        <v/>
      </c>
      <c r="G51" s="14" t="n"/>
      <c r="H51" s="14" t="n"/>
      <c r="I51" s="14" t="n"/>
      <c r="J51" s="14" t="n"/>
      <c r="K51" s="15">
        <f>IF($G51="","",IF(OR($G51="PT Missed",$G51="PT Modified",$G51="PT Refused"),"Yes","No"))</f>
        <v/>
      </c>
      <c r="L51" s="14" t="n"/>
      <c r="M51" s="14" t="n"/>
      <c r="N51" s="15">
        <f>IF($D51="","",IF($M51="Excused","No",IF(AND($G51="PT Modified",$L51="Received"),"No","Yes")))</f>
        <v/>
      </c>
      <c r="O51" s="14" t="n"/>
    </row>
    <row r="52">
      <c r="B52" s="15">
        <f>IF($D52="","","A"&amp;TEXT(ROW()-5,"000"))</f>
        <v/>
      </c>
      <c r="C52" s="16" t="n"/>
      <c r="D52" s="14" t="n"/>
      <c r="E52" s="15">
        <f>IF($D52="","",IFERROR(INDEX(rngCadetPIDs,MATCH($D52,rngCadetNames,0)),"?"))</f>
        <v/>
      </c>
      <c r="F52" s="15">
        <f>IF($E52="","",IFERROR(INDEX(nrCadetAgency,MATCH($E52,rngCadetPIDs,0)),""))</f>
        <v/>
      </c>
      <c r="G52" s="14" t="n"/>
      <c r="H52" s="14" t="n"/>
      <c r="I52" s="14" t="n"/>
      <c r="J52" s="14" t="n"/>
      <c r="K52" s="15">
        <f>IF($G52="","",IF(OR($G52="PT Missed",$G52="PT Modified",$G52="PT Refused"),"Yes","No"))</f>
        <v/>
      </c>
      <c r="L52" s="14" t="n"/>
      <c r="M52" s="14" t="n"/>
      <c r="N52" s="15">
        <f>IF($D52="","",IF($M52="Excused","No",IF(AND($G52="PT Modified",$L52="Received"),"No","Yes")))</f>
        <v/>
      </c>
      <c r="O52" s="14" t="n"/>
    </row>
    <row r="53">
      <c r="B53" s="15">
        <f>IF($D53="","","A"&amp;TEXT(ROW()-5,"000"))</f>
        <v/>
      </c>
      <c r="C53" s="16" t="n"/>
      <c r="D53" s="14" t="n"/>
      <c r="E53" s="15">
        <f>IF($D53="","",IFERROR(INDEX(rngCadetPIDs,MATCH($D53,rngCadetNames,0)),"?"))</f>
        <v/>
      </c>
      <c r="F53" s="15">
        <f>IF($E53="","",IFERROR(INDEX(nrCadetAgency,MATCH($E53,rngCadetPIDs,0)),""))</f>
        <v/>
      </c>
      <c r="G53" s="14" t="n"/>
      <c r="H53" s="14" t="n"/>
      <c r="I53" s="14" t="n"/>
      <c r="J53" s="14" t="n"/>
      <c r="K53" s="15">
        <f>IF($G53="","",IF(OR($G53="PT Missed",$G53="PT Modified",$G53="PT Refused"),"Yes","No"))</f>
        <v/>
      </c>
      <c r="L53" s="14" t="n"/>
      <c r="M53" s="14" t="n"/>
      <c r="N53" s="15">
        <f>IF($D53="","",IF($M53="Excused","No",IF(AND($G53="PT Modified",$L53="Received"),"No","Yes")))</f>
        <v/>
      </c>
      <c r="O53" s="14" t="n"/>
    </row>
    <row r="54">
      <c r="B54" s="15">
        <f>IF($D54="","","A"&amp;TEXT(ROW()-5,"000"))</f>
        <v/>
      </c>
      <c r="C54" s="16" t="n"/>
      <c r="D54" s="14" t="n"/>
      <c r="E54" s="15">
        <f>IF($D54="","",IFERROR(INDEX(rngCadetPIDs,MATCH($D54,rngCadetNames,0)),"?"))</f>
        <v/>
      </c>
      <c r="F54" s="15">
        <f>IF($E54="","",IFERROR(INDEX(nrCadetAgency,MATCH($E54,rngCadetPIDs,0)),""))</f>
        <v/>
      </c>
      <c r="G54" s="14" t="n"/>
      <c r="H54" s="14" t="n"/>
      <c r="I54" s="14" t="n"/>
      <c r="J54" s="14" t="n"/>
      <c r="K54" s="15">
        <f>IF($G54="","",IF(OR($G54="PT Missed",$G54="PT Modified",$G54="PT Refused"),"Yes","No"))</f>
        <v/>
      </c>
      <c r="L54" s="14" t="n"/>
      <c r="M54" s="14" t="n"/>
      <c r="N54" s="15">
        <f>IF($D54="","",IF($M54="Excused","No",IF(AND($G54="PT Modified",$L54="Received"),"No","Yes")))</f>
        <v/>
      </c>
      <c r="O54" s="14" t="n"/>
    </row>
    <row r="55">
      <c r="B55" s="15">
        <f>IF($D55="","","A"&amp;TEXT(ROW()-5,"000"))</f>
        <v/>
      </c>
      <c r="C55" s="16" t="n"/>
      <c r="D55" s="14" t="n"/>
      <c r="E55" s="15">
        <f>IF($D55="","",IFERROR(INDEX(rngCadetPIDs,MATCH($D55,rngCadetNames,0)),"?"))</f>
        <v/>
      </c>
      <c r="F55" s="15">
        <f>IF($E55="","",IFERROR(INDEX(nrCadetAgency,MATCH($E55,rngCadetPIDs,0)),""))</f>
        <v/>
      </c>
      <c r="G55" s="14" t="n"/>
      <c r="H55" s="14" t="n"/>
      <c r="I55" s="14" t="n"/>
      <c r="J55" s="14" t="n"/>
      <c r="K55" s="15">
        <f>IF($G55="","",IF(OR($G55="PT Missed",$G55="PT Modified",$G55="PT Refused"),"Yes","No"))</f>
        <v/>
      </c>
      <c r="L55" s="14" t="n"/>
      <c r="M55" s="14" t="n"/>
      <c r="N55" s="15">
        <f>IF($D55="","",IF($M55="Excused","No",IF(AND($G55="PT Modified",$L55="Received"),"No","Yes")))</f>
        <v/>
      </c>
      <c r="O55" s="14" t="n"/>
    </row>
    <row r="56">
      <c r="B56" s="15">
        <f>IF($D56="","","A"&amp;TEXT(ROW()-5,"000"))</f>
        <v/>
      </c>
      <c r="C56" s="16" t="n"/>
      <c r="D56" s="14" t="n"/>
      <c r="E56" s="15">
        <f>IF($D56="","",IFERROR(INDEX(rngCadetPIDs,MATCH($D56,rngCadetNames,0)),"?"))</f>
        <v/>
      </c>
      <c r="F56" s="15">
        <f>IF($E56="","",IFERROR(INDEX(nrCadetAgency,MATCH($E56,rngCadetPIDs,0)),""))</f>
        <v/>
      </c>
      <c r="G56" s="14" t="n"/>
      <c r="H56" s="14" t="n"/>
      <c r="I56" s="14" t="n"/>
      <c r="J56" s="14" t="n"/>
      <c r="K56" s="15">
        <f>IF($G56="","",IF(OR($G56="PT Missed",$G56="PT Modified",$G56="PT Refused"),"Yes","No"))</f>
        <v/>
      </c>
      <c r="L56" s="14" t="n"/>
      <c r="M56" s="14" t="n"/>
      <c r="N56" s="15">
        <f>IF($D56="","",IF($M56="Excused","No",IF(AND($G56="PT Modified",$L56="Received"),"No","Yes")))</f>
        <v/>
      </c>
      <c r="O56" s="14" t="n"/>
    </row>
    <row r="57">
      <c r="B57" s="15">
        <f>IF($D57="","","A"&amp;TEXT(ROW()-5,"000"))</f>
        <v/>
      </c>
      <c r="C57" s="16" t="n"/>
      <c r="D57" s="14" t="n"/>
      <c r="E57" s="15">
        <f>IF($D57="","",IFERROR(INDEX(rngCadetPIDs,MATCH($D57,rngCadetNames,0)),"?"))</f>
        <v/>
      </c>
      <c r="F57" s="15">
        <f>IF($E57="","",IFERROR(INDEX(nrCadetAgency,MATCH($E57,rngCadetPIDs,0)),""))</f>
        <v/>
      </c>
      <c r="G57" s="14" t="n"/>
      <c r="H57" s="14" t="n"/>
      <c r="I57" s="14" t="n"/>
      <c r="J57" s="14" t="n"/>
      <c r="K57" s="15">
        <f>IF($G57="","",IF(OR($G57="PT Missed",$G57="PT Modified",$G57="PT Refused"),"Yes","No"))</f>
        <v/>
      </c>
      <c r="L57" s="14" t="n"/>
      <c r="M57" s="14" t="n"/>
      <c r="N57" s="15">
        <f>IF($D57="","",IF($M57="Excused","No",IF(AND($G57="PT Modified",$L57="Received"),"No","Yes")))</f>
        <v/>
      </c>
      <c r="O57" s="14" t="n"/>
    </row>
    <row r="58">
      <c r="B58" s="15">
        <f>IF($D58="","","A"&amp;TEXT(ROW()-5,"000"))</f>
        <v/>
      </c>
      <c r="C58" s="16" t="n"/>
      <c r="D58" s="14" t="n"/>
      <c r="E58" s="15">
        <f>IF($D58="","",IFERROR(INDEX(rngCadetPIDs,MATCH($D58,rngCadetNames,0)),"?"))</f>
        <v/>
      </c>
      <c r="F58" s="15">
        <f>IF($E58="","",IFERROR(INDEX(nrCadetAgency,MATCH($E58,rngCadetPIDs,0)),""))</f>
        <v/>
      </c>
      <c r="G58" s="14" t="n"/>
      <c r="H58" s="14" t="n"/>
      <c r="I58" s="14" t="n"/>
      <c r="J58" s="14" t="n"/>
      <c r="K58" s="15">
        <f>IF($G58="","",IF(OR($G58="PT Missed",$G58="PT Modified",$G58="PT Refused"),"Yes","No"))</f>
        <v/>
      </c>
      <c r="L58" s="14" t="n"/>
      <c r="M58" s="14" t="n"/>
      <c r="N58" s="15">
        <f>IF($D58="","",IF($M58="Excused","No",IF(AND($G58="PT Modified",$L58="Received"),"No","Yes")))</f>
        <v/>
      </c>
      <c r="O58" s="14" t="n"/>
    </row>
    <row r="59">
      <c r="B59" s="15">
        <f>IF($D59="","","A"&amp;TEXT(ROW()-5,"000"))</f>
        <v/>
      </c>
      <c r="C59" s="16" t="n"/>
      <c r="D59" s="14" t="n"/>
      <c r="E59" s="15">
        <f>IF($D59="","",IFERROR(INDEX(rngCadetPIDs,MATCH($D59,rngCadetNames,0)),"?"))</f>
        <v/>
      </c>
      <c r="F59" s="15">
        <f>IF($E59="","",IFERROR(INDEX(nrCadetAgency,MATCH($E59,rngCadetPIDs,0)),""))</f>
        <v/>
      </c>
      <c r="G59" s="14" t="n"/>
      <c r="H59" s="14" t="n"/>
      <c r="I59" s="14" t="n"/>
      <c r="J59" s="14" t="n"/>
      <c r="K59" s="15">
        <f>IF($G59="","",IF(OR($G59="PT Missed",$G59="PT Modified",$G59="PT Refused"),"Yes","No"))</f>
        <v/>
      </c>
      <c r="L59" s="14" t="n"/>
      <c r="M59" s="14" t="n"/>
      <c r="N59" s="15">
        <f>IF($D59="","",IF($M59="Excused","No",IF(AND($G59="PT Modified",$L59="Received"),"No","Yes")))</f>
        <v/>
      </c>
      <c r="O59" s="14" t="n"/>
    </row>
    <row r="60">
      <c r="B60" s="15">
        <f>IF($D60="","","A"&amp;TEXT(ROW()-5,"000"))</f>
        <v/>
      </c>
      <c r="C60" s="16" t="n"/>
      <c r="D60" s="14" t="n"/>
      <c r="E60" s="15">
        <f>IF($D60="","",IFERROR(INDEX(rngCadetPIDs,MATCH($D60,rngCadetNames,0)),"?"))</f>
        <v/>
      </c>
      <c r="F60" s="15">
        <f>IF($E60="","",IFERROR(INDEX(nrCadetAgency,MATCH($E60,rngCadetPIDs,0)),""))</f>
        <v/>
      </c>
      <c r="G60" s="14" t="n"/>
      <c r="H60" s="14" t="n"/>
      <c r="I60" s="14" t="n"/>
      <c r="J60" s="14" t="n"/>
      <c r="K60" s="15">
        <f>IF($G60="","",IF(OR($G60="PT Missed",$G60="PT Modified",$G60="PT Refused"),"Yes","No"))</f>
        <v/>
      </c>
      <c r="L60" s="14" t="n"/>
      <c r="M60" s="14" t="n"/>
      <c r="N60" s="15">
        <f>IF($D60="","",IF($M60="Excused","No",IF(AND($G60="PT Modified",$L60="Received"),"No","Yes")))</f>
        <v/>
      </c>
      <c r="O60" s="14" t="n"/>
    </row>
    <row r="61">
      <c r="B61" s="15">
        <f>IF($D61="","","A"&amp;TEXT(ROW()-5,"000"))</f>
        <v/>
      </c>
      <c r="C61" s="16" t="n"/>
      <c r="D61" s="14" t="n"/>
      <c r="E61" s="15">
        <f>IF($D61="","",IFERROR(INDEX(rngCadetPIDs,MATCH($D61,rngCadetNames,0)),"?"))</f>
        <v/>
      </c>
      <c r="F61" s="15">
        <f>IF($E61="","",IFERROR(INDEX(nrCadetAgency,MATCH($E61,rngCadetPIDs,0)),""))</f>
        <v/>
      </c>
      <c r="G61" s="14" t="n"/>
      <c r="H61" s="14" t="n"/>
      <c r="I61" s="14" t="n"/>
      <c r="J61" s="14" t="n"/>
      <c r="K61" s="15">
        <f>IF($G61="","",IF(OR($G61="PT Missed",$G61="PT Modified",$G61="PT Refused"),"Yes","No"))</f>
        <v/>
      </c>
      <c r="L61" s="14" t="n"/>
      <c r="M61" s="14" t="n"/>
      <c r="N61" s="15">
        <f>IF($D61="","",IF($M61="Excused","No",IF(AND($G61="PT Modified",$L61="Received"),"No","Yes")))</f>
        <v/>
      </c>
      <c r="O61" s="14" t="n"/>
    </row>
    <row r="62">
      <c r="B62" s="15">
        <f>IF($D62="","","A"&amp;TEXT(ROW()-5,"000"))</f>
        <v/>
      </c>
      <c r="C62" s="16" t="n"/>
      <c r="D62" s="14" t="n"/>
      <c r="E62" s="15">
        <f>IF($D62="","",IFERROR(INDEX(rngCadetPIDs,MATCH($D62,rngCadetNames,0)),"?"))</f>
        <v/>
      </c>
      <c r="F62" s="15">
        <f>IF($E62="","",IFERROR(INDEX(nrCadetAgency,MATCH($E62,rngCadetPIDs,0)),""))</f>
        <v/>
      </c>
      <c r="G62" s="14" t="n"/>
      <c r="H62" s="14" t="n"/>
      <c r="I62" s="14" t="n"/>
      <c r="J62" s="14" t="n"/>
      <c r="K62" s="15">
        <f>IF($G62="","",IF(OR($G62="PT Missed",$G62="PT Modified",$G62="PT Refused"),"Yes","No"))</f>
        <v/>
      </c>
      <c r="L62" s="14" t="n"/>
      <c r="M62" s="14" t="n"/>
      <c r="N62" s="15">
        <f>IF($D62="","",IF($M62="Excused","No",IF(AND($G62="PT Modified",$L62="Received"),"No","Yes")))</f>
        <v/>
      </c>
      <c r="O62" s="14" t="n"/>
    </row>
    <row r="63">
      <c r="B63" s="15">
        <f>IF($D63="","","A"&amp;TEXT(ROW()-5,"000"))</f>
        <v/>
      </c>
      <c r="C63" s="16" t="n"/>
      <c r="D63" s="14" t="n"/>
      <c r="E63" s="15">
        <f>IF($D63="","",IFERROR(INDEX(rngCadetPIDs,MATCH($D63,rngCadetNames,0)),"?"))</f>
        <v/>
      </c>
      <c r="F63" s="15">
        <f>IF($E63="","",IFERROR(INDEX(nrCadetAgency,MATCH($E63,rngCadetPIDs,0)),""))</f>
        <v/>
      </c>
      <c r="G63" s="14" t="n"/>
      <c r="H63" s="14" t="n"/>
      <c r="I63" s="14" t="n"/>
      <c r="J63" s="14" t="n"/>
      <c r="K63" s="15">
        <f>IF($G63="","",IF(OR($G63="PT Missed",$G63="PT Modified",$G63="PT Refused"),"Yes","No"))</f>
        <v/>
      </c>
      <c r="L63" s="14" t="n"/>
      <c r="M63" s="14" t="n"/>
      <c r="N63" s="15">
        <f>IF($D63="","",IF($M63="Excused","No",IF(AND($G63="PT Modified",$L63="Received"),"No","Yes")))</f>
        <v/>
      </c>
      <c r="O63" s="14" t="n"/>
    </row>
    <row r="64">
      <c r="B64" s="15">
        <f>IF($D64="","","A"&amp;TEXT(ROW()-5,"000"))</f>
        <v/>
      </c>
      <c r="C64" s="16" t="n"/>
      <c r="D64" s="14" t="n"/>
      <c r="E64" s="15">
        <f>IF($D64="","",IFERROR(INDEX(rngCadetPIDs,MATCH($D64,rngCadetNames,0)),"?"))</f>
        <v/>
      </c>
      <c r="F64" s="15">
        <f>IF($E64="","",IFERROR(INDEX(nrCadetAgency,MATCH($E64,rngCadetPIDs,0)),""))</f>
        <v/>
      </c>
      <c r="G64" s="14" t="n"/>
      <c r="H64" s="14" t="n"/>
      <c r="I64" s="14" t="n"/>
      <c r="J64" s="14" t="n"/>
      <c r="K64" s="15">
        <f>IF($G64="","",IF(OR($G64="PT Missed",$G64="PT Modified",$G64="PT Refused"),"Yes","No"))</f>
        <v/>
      </c>
      <c r="L64" s="14" t="n"/>
      <c r="M64" s="14" t="n"/>
      <c r="N64" s="15">
        <f>IF($D64="","",IF($M64="Excused","No",IF(AND($G64="PT Modified",$L64="Received"),"No","Yes")))</f>
        <v/>
      </c>
      <c r="O64" s="14" t="n"/>
    </row>
    <row r="65">
      <c r="B65" s="15">
        <f>IF($D65="","","A"&amp;TEXT(ROW()-5,"000"))</f>
        <v/>
      </c>
      <c r="C65" s="16" t="n"/>
      <c r="D65" s="14" t="n"/>
      <c r="E65" s="15">
        <f>IF($D65="","",IFERROR(INDEX(rngCadetPIDs,MATCH($D65,rngCadetNames,0)),"?"))</f>
        <v/>
      </c>
      <c r="F65" s="15">
        <f>IF($E65="","",IFERROR(INDEX(nrCadetAgency,MATCH($E65,rngCadetPIDs,0)),""))</f>
        <v/>
      </c>
      <c r="G65" s="14" t="n"/>
      <c r="H65" s="14" t="n"/>
      <c r="I65" s="14" t="n"/>
      <c r="J65" s="14" t="n"/>
      <c r="K65" s="15">
        <f>IF($G65="","",IF(OR($G65="PT Missed",$G65="PT Modified",$G65="PT Refused"),"Yes","No"))</f>
        <v/>
      </c>
      <c r="L65" s="14" t="n"/>
      <c r="M65" s="14" t="n"/>
      <c r="N65" s="15">
        <f>IF($D65="","",IF($M65="Excused","No",IF(AND($G65="PT Modified",$L65="Received"),"No","Yes")))</f>
        <v/>
      </c>
      <c r="O65" s="14" t="n"/>
    </row>
    <row r="66">
      <c r="B66" s="15">
        <f>IF($D66="","","A"&amp;TEXT(ROW()-5,"000"))</f>
        <v/>
      </c>
      <c r="C66" s="16" t="n"/>
      <c r="D66" s="14" t="n"/>
      <c r="E66" s="15">
        <f>IF($D66="","",IFERROR(INDEX(rngCadetPIDs,MATCH($D66,rngCadetNames,0)),"?"))</f>
        <v/>
      </c>
      <c r="F66" s="15">
        <f>IF($E66="","",IFERROR(INDEX(nrCadetAgency,MATCH($E66,rngCadetPIDs,0)),""))</f>
        <v/>
      </c>
      <c r="G66" s="14" t="n"/>
      <c r="H66" s="14" t="n"/>
      <c r="I66" s="14" t="n"/>
      <c r="J66" s="14" t="n"/>
      <c r="K66" s="15">
        <f>IF($G66="","",IF(OR($G66="PT Missed",$G66="PT Modified",$G66="PT Refused"),"Yes","No"))</f>
        <v/>
      </c>
      <c r="L66" s="14" t="n"/>
      <c r="M66" s="14" t="n"/>
      <c r="N66" s="15">
        <f>IF($D66="","",IF($M66="Excused","No",IF(AND($G66="PT Modified",$L66="Received"),"No","Yes")))</f>
        <v/>
      </c>
      <c r="O66" s="14" t="n"/>
    </row>
    <row r="67">
      <c r="B67" s="15">
        <f>IF($D67="","","A"&amp;TEXT(ROW()-5,"000"))</f>
        <v/>
      </c>
      <c r="C67" s="16" t="n"/>
      <c r="D67" s="14" t="n"/>
      <c r="E67" s="15">
        <f>IF($D67="","",IFERROR(INDEX(rngCadetPIDs,MATCH($D67,rngCadetNames,0)),"?"))</f>
        <v/>
      </c>
      <c r="F67" s="15">
        <f>IF($E67="","",IFERROR(INDEX(nrCadetAgency,MATCH($E67,rngCadetPIDs,0)),""))</f>
        <v/>
      </c>
      <c r="G67" s="14" t="n"/>
      <c r="H67" s="14" t="n"/>
      <c r="I67" s="14" t="n"/>
      <c r="J67" s="14" t="n"/>
      <c r="K67" s="15">
        <f>IF($G67="","",IF(OR($G67="PT Missed",$G67="PT Modified",$G67="PT Refused"),"Yes","No"))</f>
        <v/>
      </c>
      <c r="L67" s="14" t="n"/>
      <c r="M67" s="14" t="n"/>
      <c r="N67" s="15">
        <f>IF($D67="","",IF($M67="Excused","No",IF(AND($G67="PT Modified",$L67="Received"),"No","Yes")))</f>
        <v/>
      </c>
      <c r="O67" s="14" t="n"/>
    </row>
    <row r="68">
      <c r="B68" s="15">
        <f>IF($D68="","","A"&amp;TEXT(ROW()-5,"000"))</f>
        <v/>
      </c>
      <c r="C68" s="16" t="n"/>
      <c r="D68" s="14" t="n"/>
      <c r="E68" s="15">
        <f>IF($D68="","",IFERROR(INDEX(rngCadetPIDs,MATCH($D68,rngCadetNames,0)),"?"))</f>
        <v/>
      </c>
      <c r="F68" s="15">
        <f>IF($E68="","",IFERROR(INDEX(nrCadetAgency,MATCH($E68,rngCadetPIDs,0)),""))</f>
        <v/>
      </c>
      <c r="G68" s="14" t="n"/>
      <c r="H68" s="14" t="n"/>
      <c r="I68" s="14" t="n"/>
      <c r="J68" s="14" t="n"/>
      <c r="K68" s="15">
        <f>IF($G68="","",IF(OR($G68="PT Missed",$G68="PT Modified",$G68="PT Refused"),"Yes","No"))</f>
        <v/>
      </c>
      <c r="L68" s="14" t="n"/>
      <c r="M68" s="14" t="n"/>
      <c r="N68" s="15">
        <f>IF($D68="","",IF($M68="Excused","No",IF(AND($G68="PT Modified",$L68="Received"),"No","Yes")))</f>
        <v/>
      </c>
      <c r="O68" s="14" t="n"/>
    </row>
    <row r="69">
      <c r="B69" s="15">
        <f>IF($D69="","","A"&amp;TEXT(ROW()-5,"000"))</f>
        <v/>
      </c>
      <c r="C69" s="16" t="n"/>
      <c r="D69" s="14" t="n"/>
      <c r="E69" s="15">
        <f>IF($D69="","",IFERROR(INDEX(rngCadetPIDs,MATCH($D69,rngCadetNames,0)),"?"))</f>
        <v/>
      </c>
      <c r="F69" s="15">
        <f>IF($E69="","",IFERROR(INDEX(nrCadetAgency,MATCH($E69,rngCadetPIDs,0)),""))</f>
        <v/>
      </c>
      <c r="G69" s="14" t="n"/>
      <c r="H69" s="14" t="n"/>
      <c r="I69" s="14" t="n"/>
      <c r="J69" s="14" t="n"/>
      <c r="K69" s="15">
        <f>IF($G69="","",IF(OR($G69="PT Missed",$G69="PT Modified",$G69="PT Refused"),"Yes","No"))</f>
        <v/>
      </c>
      <c r="L69" s="14" t="n"/>
      <c r="M69" s="14" t="n"/>
      <c r="N69" s="15">
        <f>IF($D69="","",IF($M69="Excused","No",IF(AND($G69="PT Modified",$L69="Received"),"No","Yes")))</f>
        <v/>
      </c>
      <c r="O69" s="14" t="n"/>
    </row>
    <row r="70">
      <c r="B70" s="15">
        <f>IF($D70="","","A"&amp;TEXT(ROW()-5,"000"))</f>
        <v/>
      </c>
      <c r="C70" s="16" t="n"/>
      <c r="D70" s="14" t="n"/>
      <c r="E70" s="15">
        <f>IF($D70="","",IFERROR(INDEX(rngCadetPIDs,MATCH($D70,rngCadetNames,0)),"?"))</f>
        <v/>
      </c>
      <c r="F70" s="15">
        <f>IF($E70="","",IFERROR(INDEX(nrCadetAgency,MATCH($E70,rngCadetPIDs,0)),""))</f>
        <v/>
      </c>
      <c r="G70" s="14" t="n"/>
      <c r="H70" s="14" t="n"/>
      <c r="I70" s="14" t="n"/>
      <c r="J70" s="14" t="n"/>
      <c r="K70" s="15">
        <f>IF($G70="","",IF(OR($G70="PT Missed",$G70="PT Modified",$G70="PT Refused"),"Yes","No"))</f>
        <v/>
      </c>
      <c r="L70" s="14" t="n"/>
      <c r="M70" s="14" t="n"/>
      <c r="N70" s="15">
        <f>IF($D70="","",IF($M70="Excused","No",IF(AND($G70="PT Modified",$L70="Received"),"No","Yes")))</f>
        <v/>
      </c>
      <c r="O70" s="14" t="n"/>
    </row>
    <row r="71">
      <c r="B71" s="15">
        <f>IF($D71="","","A"&amp;TEXT(ROW()-5,"000"))</f>
        <v/>
      </c>
      <c r="C71" s="16" t="n"/>
      <c r="D71" s="14" t="n"/>
      <c r="E71" s="15">
        <f>IF($D71="","",IFERROR(INDEX(rngCadetPIDs,MATCH($D71,rngCadetNames,0)),"?"))</f>
        <v/>
      </c>
      <c r="F71" s="15">
        <f>IF($E71="","",IFERROR(INDEX(nrCadetAgency,MATCH($E71,rngCadetPIDs,0)),""))</f>
        <v/>
      </c>
      <c r="G71" s="14" t="n"/>
      <c r="H71" s="14" t="n"/>
      <c r="I71" s="14" t="n"/>
      <c r="J71" s="14" t="n"/>
      <c r="K71" s="15">
        <f>IF($G71="","",IF(OR($G71="PT Missed",$G71="PT Modified",$G71="PT Refused"),"Yes","No"))</f>
        <v/>
      </c>
      <c r="L71" s="14" t="n"/>
      <c r="M71" s="14" t="n"/>
      <c r="N71" s="15">
        <f>IF($D71="","",IF($M71="Excused","No",IF(AND($G71="PT Modified",$L71="Received"),"No","Yes")))</f>
        <v/>
      </c>
      <c r="O71" s="14" t="n"/>
    </row>
    <row r="72">
      <c r="B72" s="15">
        <f>IF($D72="","","A"&amp;TEXT(ROW()-5,"000"))</f>
        <v/>
      </c>
      <c r="C72" s="16" t="n"/>
      <c r="D72" s="14" t="n"/>
      <c r="E72" s="15">
        <f>IF($D72="","",IFERROR(INDEX(rngCadetPIDs,MATCH($D72,rngCadetNames,0)),"?"))</f>
        <v/>
      </c>
      <c r="F72" s="15">
        <f>IF($E72="","",IFERROR(INDEX(nrCadetAgency,MATCH($E72,rngCadetPIDs,0)),""))</f>
        <v/>
      </c>
      <c r="G72" s="14" t="n"/>
      <c r="H72" s="14" t="n"/>
      <c r="I72" s="14" t="n"/>
      <c r="J72" s="14" t="n"/>
      <c r="K72" s="15">
        <f>IF($G72="","",IF(OR($G72="PT Missed",$G72="PT Modified",$G72="PT Refused"),"Yes","No"))</f>
        <v/>
      </c>
      <c r="L72" s="14" t="n"/>
      <c r="M72" s="14" t="n"/>
      <c r="N72" s="15">
        <f>IF($D72="","",IF($M72="Excused","No",IF(AND($G72="PT Modified",$L72="Received"),"No","Yes")))</f>
        <v/>
      </c>
      <c r="O72" s="14" t="n"/>
    </row>
    <row r="73">
      <c r="B73" s="15">
        <f>IF($D73="","","A"&amp;TEXT(ROW()-5,"000"))</f>
        <v/>
      </c>
      <c r="C73" s="16" t="n"/>
      <c r="D73" s="14" t="n"/>
      <c r="E73" s="15">
        <f>IF($D73="","",IFERROR(INDEX(rngCadetPIDs,MATCH($D73,rngCadetNames,0)),"?"))</f>
        <v/>
      </c>
      <c r="F73" s="15">
        <f>IF($E73="","",IFERROR(INDEX(nrCadetAgency,MATCH($E73,rngCadetPIDs,0)),""))</f>
        <v/>
      </c>
      <c r="G73" s="14" t="n"/>
      <c r="H73" s="14" t="n"/>
      <c r="I73" s="14" t="n"/>
      <c r="J73" s="14" t="n"/>
      <c r="K73" s="15">
        <f>IF($G73="","",IF(OR($G73="PT Missed",$G73="PT Modified",$G73="PT Refused"),"Yes","No"))</f>
        <v/>
      </c>
      <c r="L73" s="14" t="n"/>
      <c r="M73" s="14" t="n"/>
      <c r="N73" s="15">
        <f>IF($D73="","",IF($M73="Excused","No",IF(AND($G73="PT Modified",$L73="Received"),"No","Yes")))</f>
        <v/>
      </c>
      <c r="O73" s="14" t="n"/>
    </row>
    <row r="74">
      <c r="B74" s="15">
        <f>IF($D74="","","A"&amp;TEXT(ROW()-5,"000"))</f>
        <v/>
      </c>
      <c r="C74" s="16" t="n"/>
      <c r="D74" s="14" t="n"/>
      <c r="E74" s="15">
        <f>IF($D74="","",IFERROR(INDEX(rngCadetPIDs,MATCH($D74,rngCadetNames,0)),"?"))</f>
        <v/>
      </c>
      <c r="F74" s="15">
        <f>IF($E74="","",IFERROR(INDEX(nrCadetAgency,MATCH($E74,rngCadetPIDs,0)),""))</f>
        <v/>
      </c>
      <c r="G74" s="14" t="n"/>
      <c r="H74" s="14" t="n"/>
      <c r="I74" s="14" t="n"/>
      <c r="J74" s="14" t="n"/>
      <c r="K74" s="15">
        <f>IF($G74="","",IF(OR($G74="PT Missed",$G74="PT Modified",$G74="PT Refused"),"Yes","No"))</f>
        <v/>
      </c>
      <c r="L74" s="14" t="n"/>
      <c r="M74" s="14" t="n"/>
      <c r="N74" s="15">
        <f>IF($D74="","",IF($M74="Excused","No",IF(AND($G74="PT Modified",$L74="Received"),"No","Yes")))</f>
        <v/>
      </c>
      <c r="O74" s="14" t="n"/>
    </row>
    <row r="75">
      <c r="B75" s="15">
        <f>IF($D75="","","A"&amp;TEXT(ROW()-5,"000"))</f>
        <v/>
      </c>
      <c r="C75" s="16" t="n"/>
      <c r="D75" s="14" t="n"/>
      <c r="E75" s="15">
        <f>IF($D75="","",IFERROR(INDEX(rngCadetPIDs,MATCH($D75,rngCadetNames,0)),"?"))</f>
        <v/>
      </c>
      <c r="F75" s="15">
        <f>IF($E75="","",IFERROR(INDEX(nrCadetAgency,MATCH($E75,rngCadetPIDs,0)),""))</f>
        <v/>
      </c>
      <c r="G75" s="14" t="n"/>
      <c r="H75" s="14" t="n"/>
      <c r="I75" s="14" t="n"/>
      <c r="J75" s="14" t="n"/>
      <c r="K75" s="15">
        <f>IF($G75="","",IF(OR($G75="PT Missed",$G75="PT Modified",$G75="PT Refused"),"Yes","No"))</f>
        <v/>
      </c>
      <c r="L75" s="14" t="n"/>
      <c r="M75" s="14" t="n"/>
      <c r="N75" s="15">
        <f>IF($D75="","",IF($M75="Excused","No",IF(AND($G75="PT Modified",$L75="Received"),"No","Yes")))</f>
        <v/>
      </c>
      <c r="O75" s="14" t="n"/>
    </row>
    <row r="76">
      <c r="B76" s="15">
        <f>IF($D76="","","A"&amp;TEXT(ROW()-5,"000"))</f>
        <v/>
      </c>
      <c r="C76" s="16" t="n"/>
      <c r="D76" s="14" t="n"/>
      <c r="E76" s="15">
        <f>IF($D76="","",IFERROR(INDEX(rngCadetPIDs,MATCH($D76,rngCadetNames,0)),"?"))</f>
        <v/>
      </c>
      <c r="F76" s="15">
        <f>IF($E76="","",IFERROR(INDEX(nrCadetAgency,MATCH($E76,rngCadetPIDs,0)),""))</f>
        <v/>
      </c>
      <c r="G76" s="14" t="n"/>
      <c r="H76" s="14" t="n"/>
      <c r="I76" s="14" t="n"/>
      <c r="J76" s="14" t="n"/>
      <c r="K76" s="15">
        <f>IF($G76="","",IF(OR($G76="PT Missed",$G76="PT Modified",$G76="PT Refused"),"Yes","No"))</f>
        <v/>
      </c>
      <c r="L76" s="14" t="n"/>
      <c r="M76" s="14" t="n"/>
      <c r="N76" s="15">
        <f>IF($D76="","",IF($M76="Excused","No",IF(AND($G76="PT Modified",$L76="Received"),"No","Yes")))</f>
        <v/>
      </c>
      <c r="O76" s="14" t="n"/>
    </row>
    <row r="77">
      <c r="B77" s="15">
        <f>IF($D77="","","A"&amp;TEXT(ROW()-5,"000"))</f>
        <v/>
      </c>
      <c r="C77" s="16" t="n"/>
      <c r="D77" s="14" t="n"/>
      <c r="E77" s="15">
        <f>IF($D77="","",IFERROR(INDEX(rngCadetPIDs,MATCH($D77,rngCadetNames,0)),"?"))</f>
        <v/>
      </c>
      <c r="F77" s="15">
        <f>IF($E77="","",IFERROR(INDEX(nrCadetAgency,MATCH($E77,rngCadetPIDs,0)),""))</f>
        <v/>
      </c>
      <c r="G77" s="14" t="n"/>
      <c r="H77" s="14" t="n"/>
      <c r="I77" s="14" t="n"/>
      <c r="J77" s="14" t="n"/>
      <c r="K77" s="15">
        <f>IF($G77="","",IF(OR($G77="PT Missed",$G77="PT Modified",$G77="PT Refused"),"Yes","No"))</f>
        <v/>
      </c>
      <c r="L77" s="14" t="n"/>
      <c r="M77" s="14" t="n"/>
      <c r="N77" s="15">
        <f>IF($D77="","",IF($M77="Excused","No",IF(AND($G77="PT Modified",$L77="Received"),"No","Yes")))</f>
        <v/>
      </c>
      <c r="O77" s="14" t="n"/>
    </row>
    <row r="78">
      <c r="B78" s="15">
        <f>IF($D78="","","A"&amp;TEXT(ROW()-5,"000"))</f>
        <v/>
      </c>
      <c r="C78" s="16" t="n"/>
      <c r="D78" s="14" t="n"/>
      <c r="E78" s="15">
        <f>IF($D78="","",IFERROR(INDEX(rngCadetPIDs,MATCH($D78,rngCadetNames,0)),"?"))</f>
        <v/>
      </c>
      <c r="F78" s="15">
        <f>IF($E78="","",IFERROR(INDEX(nrCadetAgency,MATCH($E78,rngCadetPIDs,0)),""))</f>
        <v/>
      </c>
      <c r="G78" s="14" t="n"/>
      <c r="H78" s="14" t="n"/>
      <c r="I78" s="14" t="n"/>
      <c r="J78" s="14" t="n"/>
      <c r="K78" s="15">
        <f>IF($G78="","",IF(OR($G78="PT Missed",$G78="PT Modified",$G78="PT Refused"),"Yes","No"))</f>
        <v/>
      </c>
      <c r="L78" s="14" t="n"/>
      <c r="M78" s="14" t="n"/>
      <c r="N78" s="15">
        <f>IF($D78="","",IF($M78="Excused","No",IF(AND($G78="PT Modified",$L78="Received"),"No","Yes")))</f>
        <v/>
      </c>
      <c r="O78" s="14" t="n"/>
    </row>
    <row r="79">
      <c r="B79" s="15">
        <f>IF($D79="","","A"&amp;TEXT(ROW()-5,"000"))</f>
        <v/>
      </c>
      <c r="C79" s="16" t="n"/>
      <c r="D79" s="14" t="n"/>
      <c r="E79" s="15">
        <f>IF($D79="","",IFERROR(INDEX(rngCadetPIDs,MATCH($D79,rngCadetNames,0)),"?"))</f>
        <v/>
      </c>
      <c r="F79" s="15">
        <f>IF($E79="","",IFERROR(INDEX(nrCadetAgency,MATCH($E79,rngCadetPIDs,0)),""))</f>
        <v/>
      </c>
      <c r="G79" s="14" t="n"/>
      <c r="H79" s="14" t="n"/>
      <c r="I79" s="14" t="n"/>
      <c r="J79" s="14" t="n"/>
      <c r="K79" s="15">
        <f>IF($G79="","",IF(OR($G79="PT Missed",$G79="PT Modified",$G79="PT Refused"),"Yes","No"))</f>
        <v/>
      </c>
      <c r="L79" s="14" t="n"/>
      <c r="M79" s="14" t="n"/>
      <c r="N79" s="15">
        <f>IF($D79="","",IF($M79="Excused","No",IF(AND($G79="PT Modified",$L79="Received"),"No","Yes")))</f>
        <v/>
      </c>
      <c r="O79" s="14" t="n"/>
    </row>
    <row r="80">
      <c r="B80" s="15">
        <f>IF($D80="","","A"&amp;TEXT(ROW()-5,"000"))</f>
        <v/>
      </c>
      <c r="C80" s="16" t="n"/>
      <c r="D80" s="14" t="n"/>
      <c r="E80" s="15">
        <f>IF($D80="","",IFERROR(INDEX(rngCadetPIDs,MATCH($D80,rngCadetNames,0)),"?"))</f>
        <v/>
      </c>
      <c r="F80" s="15">
        <f>IF($E80="","",IFERROR(INDEX(nrCadetAgency,MATCH($E80,rngCadetPIDs,0)),""))</f>
        <v/>
      </c>
      <c r="G80" s="14" t="n"/>
      <c r="H80" s="14" t="n"/>
      <c r="I80" s="14" t="n"/>
      <c r="J80" s="14" t="n"/>
      <c r="K80" s="15">
        <f>IF($G80="","",IF(OR($G80="PT Missed",$G80="PT Modified",$G80="PT Refused"),"Yes","No"))</f>
        <v/>
      </c>
      <c r="L80" s="14" t="n"/>
      <c r="M80" s="14" t="n"/>
      <c r="N80" s="15">
        <f>IF($D80="","",IF($M80="Excused","No",IF(AND($G80="PT Modified",$L80="Received"),"No","Yes")))</f>
        <v/>
      </c>
      <c r="O80" s="14" t="n"/>
    </row>
    <row r="81">
      <c r="B81" s="15">
        <f>IF($D81="","","A"&amp;TEXT(ROW()-5,"000"))</f>
        <v/>
      </c>
      <c r="C81" s="16" t="n"/>
      <c r="D81" s="14" t="n"/>
      <c r="E81" s="15">
        <f>IF($D81="","",IFERROR(INDEX(rngCadetPIDs,MATCH($D81,rngCadetNames,0)),"?"))</f>
        <v/>
      </c>
      <c r="F81" s="15">
        <f>IF($E81="","",IFERROR(INDEX(nrCadetAgency,MATCH($E81,rngCadetPIDs,0)),""))</f>
        <v/>
      </c>
      <c r="G81" s="14" t="n"/>
      <c r="H81" s="14" t="n"/>
      <c r="I81" s="14" t="n"/>
      <c r="J81" s="14" t="n"/>
      <c r="K81" s="15">
        <f>IF($G81="","",IF(OR($G81="PT Missed",$G81="PT Modified",$G81="PT Refused"),"Yes","No"))</f>
        <v/>
      </c>
      <c r="L81" s="14" t="n"/>
      <c r="M81" s="14" t="n"/>
      <c r="N81" s="15">
        <f>IF($D81="","",IF($M81="Excused","No",IF(AND($G81="PT Modified",$L81="Received"),"No","Yes")))</f>
        <v/>
      </c>
      <c r="O81" s="14" t="n"/>
    </row>
    <row r="82">
      <c r="B82" s="15">
        <f>IF($D82="","","A"&amp;TEXT(ROW()-5,"000"))</f>
        <v/>
      </c>
      <c r="C82" s="16" t="n"/>
      <c r="D82" s="14" t="n"/>
      <c r="E82" s="15">
        <f>IF($D82="","",IFERROR(INDEX(rngCadetPIDs,MATCH($D82,rngCadetNames,0)),"?"))</f>
        <v/>
      </c>
      <c r="F82" s="15">
        <f>IF($E82="","",IFERROR(INDEX(nrCadetAgency,MATCH($E82,rngCadetPIDs,0)),""))</f>
        <v/>
      </c>
      <c r="G82" s="14" t="n"/>
      <c r="H82" s="14" t="n"/>
      <c r="I82" s="14" t="n"/>
      <c r="J82" s="14" t="n"/>
      <c r="K82" s="15">
        <f>IF($G82="","",IF(OR($G82="PT Missed",$G82="PT Modified",$G82="PT Refused"),"Yes","No"))</f>
        <v/>
      </c>
      <c r="L82" s="14" t="n"/>
      <c r="M82" s="14" t="n"/>
      <c r="N82" s="15">
        <f>IF($D82="","",IF($M82="Excused","No",IF(AND($G82="PT Modified",$L82="Received"),"No","Yes")))</f>
        <v/>
      </c>
      <c r="O82" s="14" t="n"/>
    </row>
    <row r="83">
      <c r="B83" s="15">
        <f>IF($D83="","","A"&amp;TEXT(ROW()-5,"000"))</f>
        <v/>
      </c>
      <c r="C83" s="16" t="n"/>
      <c r="D83" s="14" t="n"/>
      <c r="E83" s="15">
        <f>IF($D83="","",IFERROR(INDEX(rngCadetPIDs,MATCH($D83,rngCadetNames,0)),"?"))</f>
        <v/>
      </c>
      <c r="F83" s="15">
        <f>IF($E83="","",IFERROR(INDEX(nrCadetAgency,MATCH($E83,rngCadetPIDs,0)),""))</f>
        <v/>
      </c>
      <c r="G83" s="14" t="n"/>
      <c r="H83" s="14" t="n"/>
      <c r="I83" s="14" t="n"/>
      <c r="J83" s="14" t="n"/>
      <c r="K83" s="15">
        <f>IF($G83="","",IF(OR($G83="PT Missed",$G83="PT Modified",$G83="PT Refused"),"Yes","No"))</f>
        <v/>
      </c>
      <c r="L83" s="14" t="n"/>
      <c r="M83" s="14" t="n"/>
      <c r="N83" s="15">
        <f>IF($D83="","",IF($M83="Excused","No",IF(AND($G83="PT Modified",$L83="Received"),"No","Yes")))</f>
        <v/>
      </c>
      <c r="O83" s="14" t="n"/>
    </row>
    <row r="84">
      <c r="B84" s="15">
        <f>IF($D84="","","A"&amp;TEXT(ROW()-5,"000"))</f>
        <v/>
      </c>
      <c r="C84" s="16" t="n"/>
      <c r="D84" s="14" t="n"/>
      <c r="E84" s="15">
        <f>IF($D84="","",IFERROR(INDEX(rngCadetPIDs,MATCH($D84,rngCadetNames,0)),"?"))</f>
        <v/>
      </c>
      <c r="F84" s="15">
        <f>IF($E84="","",IFERROR(INDEX(nrCadetAgency,MATCH($E84,rngCadetPIDs,0)),""))</f>
        <v/>
      </c>
      <c r="G84" s="14" t="n"/>
      <c r="H84" s="14" t="n"/>
      <c r="I84" s="14" t="n"/>
      <c r="J84" s="14" t="n"/>
      <c r="K84" s="15">
        <f>IF($G84="","",IF(OR($G84="PT Missed",$G84="PT Modified",$G84="PT Refused"),"Yes","No"))</f>
        <v/>
      </c>
      <c r="L84" s="14" t="n"/>
      <c r="M84" s="14" t="n"/>
      <c r="N84" s="15">
        <f>IF($D84="","",IF($M84="Excused","No",IF(AND($G84="PT Modified",$L84="Received"),"No","Yes")))</f>
        <v/>
      </c>
      <c r="O84" s="14" t="n"/>
    </row>
    <row r="85">
      <c r="B85" s="15">
        <f>IF($D85="","","A"&amp;TEXT(ROW()-5,"000"))</f>
        <v/>
      </c>
      <c r="C85" s="16" t="n"/>
      <c r="D85" s="14" t="n"/>
      <c r="E85" s="15">
        <f>IF($D85="","",IFERROR(INDEX(rngCadetPIDs,MATCH($D85,rngCadetNames,0)),"?"))</f>
        <v/>
      </c>
      <c r="F85" s="15">
        <f>IF($E85="","",IFERROR(INDEX(nrCadetAgency,MATCH($E85,rngCadetPIDs,0)),""))</f>
        <v/>
      </c>
      <c r="G85" s="14" t="n"/>
      <c r="H85" s="14" t="n"/>
      <c r="I85" s="14" t="n"/>
      <c r="J85" s="14" t="n"/>
      <c r="K85" s="15">
        <f>IF($G85="","",IF(OR($G85="PT Missed",$G85="PT Modified",$G85="PT Refused"),"Yes","No"))</f>
        <v/>
      </c>
      <c r="L85" s="14" t="n"/>
      <c r="M85" s="14" t="n"/>
      <c r="N85" s="15">
        <f>IF($D85="","",IF($M85="Excused","No",IF(AND($G85="PT Modified",$L85="Received"),"No","Yes")))</f>
        <v/>
      </c>
      <c r="O85" s="14" t="n"/>
    </row>
    <row r="86">
      <c r="B86" s="15">
        <f>IF($D86="","","A"&amp;TEXT(ROW()-5,"000"))</f>
        <v/>
      </c>
      <c r="C86" s="16" t="n"/>
      <c r="D86" s="14" t="n"/>
      <c r="E86" s="15">
        <f>IF($D86="","",IFERROR(INDEX(rngCadetPIDs,MATCH($D86,rngCadetNames,0)),"?"))</f>
        <v/>
      </c>
      <c r="F86" s="15">
        <f>IF($E86="","",IFERROR(INDEX(nrCadetAgency,MATCH($E86,rngCadetPIDs,0)),""))</f>
        <v/>
      </c>
      <c r="G86" s="14" t="n"/>
      <c r="H86" s="14" t="n"/>
      <c r="I86" s="14" t="n"/>
      <c r="J86" s="14" t="n"/>
      <c r="K86" s="15">
        <f>IF($G86="","",IF(OR($G86="PT Missed",$G86="PT Modified",$G86="PT Refused"),"Yes","No"))</f>
        <v/>
      </c>
      <c r="L86" s="14" t="n"/>
      <c r="M86" s="14" t="n"/>
      <c r="N86" s="15">
        <f>IF($D86="","",IF($M86="Excused","No",IF(AND($G86="PT Modified",$L86="Received"),"No","Yes")))</f>
        <v/>
      </c>
      <c r="O86" s="14" t="n"/>
    </row>
    <row r="87">
      <c r="B87" s="15">
        <f>IF($D87="","","A"&amp;TEXT(ROW()-5,"000"))</f>
        <v/>
      </c>
      <c r="C87" s="16" t="n"/>
      <c r="D87" s="14" t="n"/>
      <c r="E87" s="15">
        <f>IF($D87="","",IFERROR(INDEX(rngCadetPIDs,MATCH($D87,rngCadetNames,0)),"?"))</f>
        <v/>
      </c>
      <c r="F87" s="15">
        <f>IF($E87="","",IFERROR(INDEX(nrCadetAgency,MATCH($E87,rngCadetPIDs,0)),""))</f>
        <v/>
      </c>
      <c r="G87" s="14" t="n"/>
      <c r="H87" s="14" t="n"/>
      <c r="I87" s="14" t="n"/>
      <c r="J87" s="14" t="n"/>
      <c r="K87" s="15">
        <f>IF($G87="","",IF(OR($G87="PT Missed",$G87="PT Modified",$G87="PT Refused"),"Yes","No"))</f>
        <v/>
      </c>
      <c r="L87" s="14" t="n"/>
      <c r="M87" s="14" t="n"/>
      <c r="N87" s="15">
        <f>IF($D87="","",IF($M87="Excused","No",IF(AND($G87="PT Modified",$L87="Received"),"No","Yes")))</f>
        <v/>
      </c>
      <c r="O87" s="14" t="n"/>
    </row>
    <row r="88">
      <c r="B88" s="15">
        <f>IF($D88="","","A"&amp;TEXT(ROW()-5,"000"))</f>
        <v/>
      </c>
      <c r="C88" s="16" t="n"/>
      <c r="D88" s="14" t="n"/>
      <c r="E88" s="15">
        <f>IF($D88="","",IFERROR(INDEX(rngCadetPIDs,MATCH($D88,rngCadetNames,0)),"?"))</f>
        <v/>
      </c>
      <c r="F88" s="15">
        <f>IF($E88="","",IFERROR(INDEX(nrCadetAgency,MATCH($E88,rngCadetPIDs,0)),""))</f>
        <v/>
      </c>
      <c r="G88" s="14" t="n"/>
      <c r="H88" s="14" t="n"/>
      <c r="I88" s="14" t="n"/>
      <c r="J88" s="14" t="n"/>
      <c r="K88" s="15">
        <f>IF($G88="","",IF(OR($G88="PT Missed",$G88="PT Modified",$G88="PT Refused"),"Yes","No"))</f>
        <v/>
      </c>
      <c r="L88" s="14" t="n"/>
      <c r="M88" s="14" t="n"/>
      <c r="N88" s="15">
        <f>IF($D88="","",IF($M88="Excused","No",IF(AND($G88="PT Modified",$L88="Received"),"No","Yes")))</f>
        <v/>
      </c>
      <c r="O88" s="14" t="n"/>
    </row>
    <row r="89">
      <c r="B89" s="15">
        <f>IF($D89="","","A"&amp;TEXT(ROW()-5,"000"))</f>
        <v/>
      </c>
      <c r="C89" s="16" t="n"/>
      <c r="D89" s="14" t="n"/>
      <c r="E89" s="15">
        <f>IF($D89="","",IFERROR(INDEX(rngCadetPIDs,MATCH($D89,rngCadetNames,0)),"?"))</f>
        <v/>
      </c>
      <c r="F89" s="15">
        <f>IF($E89="","",IFERROR(INDEX(nrCadetAgency,MATCH($E89,rngCadetPIDs,0)),""))</f>
        <v/>
      </c>
      <c r="G89" s="14" t="n"/>
      <c r="H89" s="14" t="n"/>
      <c r="I89" s="14" t="n"/>
      <c r="J89" s="14" t="n"/>
      <c r="K89" s="15">
        <f>IF($G89="","",IF(OR($G89="PT Missed",$G89="PT Modified",$G89="PT Refused"),"Yes","No"))</f>
        <v/>
      </c>
      <c r="L89" s="14" t="n"/>
      <c r="M89" s="14" t="n"/>
      <c r="N89" s="15">
        <f>IF($D89="","",IF($M89="Excused","No",IF(AND($G89="PT Modified",$L89="Received"),"No","Yes")))</f>
        <v/>
      </c>
      <c r="O89" s="14" t="n"/>
    </row>
    <row r="90">
      <c r="B90" s="15">
        <f>IF($D90="","","A"&amp;TEXT(ROW()-5,"000"))</f>
        <v/>
      </c>
      <c r="C90" s="16" t="n"/>
      <c r="D90" s="14" t="n"/>
      <c r="E90" s="15">
        <f>IF($D90="","",IFERROR(INDEX(rngCadetPIDs,MATCH($D90,rngCadetNames,0)),"?"))</f>
        <v/>
      </c>
      <c r="F90" s="15">
        <f>IF($E90="","",IFERROR(INDEX(nrCadetAgency,MATCH($E90,rngCadetPIDs,0)),""))</f>
        <v/>
      </c>
      <c r="G90" s="14" t="n"/>
      <c r="H90" s="14" t="n"/>
      <c r="I90" s="14" t="n"/>
      <c r="J90" s="14" t="n"/>
      <c r="K90" s="15">
        <f>IF($G90="","",IF(OR($G90="PT Missed",$G90="PT Modified",$G90="PT Refused"),"Yes","No"))</f>
        <v/>
      </c>
      <c r="L90" s="14" t="n"/>
      <c r="M90" s="14" t="n"/>
      <c r="N90" s="15">
        <f>IF($D90="","",IF($M90="Excused","No",IF(AND($G90="PT Modified",$L90="Received"),"No","Yes")))</f>
        <v/>
      </c>
      <c r="O90" s="14" t="n"/>
    </row>
    <row r="91">
      <c r="B91" s="15">
        <f>IF($D91="","","A"&amp;TEXT(ROW()-5,"000"))</f>
        <v/>
      </c>
      <c r="C91" s="16" t="n"/>
      <c r="D91" s="14" t="n"/>
      <c r="E91" s="15">
        <f>IF($D91="","",IFERROR(INDEX(rngCadetPIDs,MATCH($D91,rngCadetNames,0)),"?"))</f>
        <v/>
      </c>
      <c r="F91" s="15">
        <f>IF($E91="","",IFERROR(INDEX(nrCadetAgency,MATCH($E91,rngCadetPIDs,0)),""))</f>
        <v/>
      </c>
      <c r="G91" s="14" t="n"/>
      <c r="H91" s="14" t="n"/>
      <c r="I91" s="14" t="n"/>
      <c r="J91" s="14" t="n"/>
      <c r="K91" s="15">
        <f>IF($G91="","",IF(OR($G91="PT Missed",$G91="PT Modified",$G91="PT Refused"),"Yes","No"))</f>
        <v/>
      </c>
      <c r="L91" s="14" t="n"/>
      <c r="M91" s="14" t="n"/>
      <c r="N91" s="15">
        <f>IF($D91="","",IF($M91="Excused","No",IF(AND($G91="PT Modified",$L91="Received"),"No","Yes")))</f>
        <v/>
      </c>
      <c r="O91" s="14" t="n"/>
    </row>
    <row r="92">
      <c r="B92" s="15">
        <f>IF($D92="","","A"&amp;TEXT(ROW()-5,"000"))</f>
        <v/>
      </c>
      <c r="C92" s="16" t="n"/>
      <c r="D92" s="14" t="n"/>
      <c r="E92" s="15">
        <f>IF($D92="","",IFERROR(INDEX(rngCadetPIDs,MATCH($D92,rngCadetNames,0)),"?"))</f>
        <v/>
      </c>
      <c r="F92" s="15">
        <f>IF($E92="","",IFERROR(INDEX(nrCadetAgency,MATCH($E92,rngCadetPIDs,0)),""))</f>
        <v/>
      </c>
      <c r="G92" s="14" t="n"/>
      <c r="H92" s="14" t="n"/>
      <c r="I92" s="14" t="n"/>
      <c r="J92" s="14" t="n"/>
      <c r="K92" s="15">
        <f>IF($G92="","",IF(OR($G92="PT Missed",$G92="PT Modified",$G92="PT Refused"),"Yes","No"))</f>
        <v/>
      </c>
      <c r="L92" s="14" t="n"/>
      <c r="M92" s="14" t="n"/>
      <c r="N92" s="15">
        <f>IF($D92="","",IF($M92="Excused","No",IF(AND($G92="PT Modified",$L92="Received"),"No","Yes")))</f>
        <v/>
      </c>
      <c r="O92" s="14" t="n"/>
    </row>
    <row r="93">
      <c r="B93" s="15">
        <f>IF($D93="","","A"&amp;TEXT(ROW()-5,"000"))</f>
        <v/>
      </c>
      <c r="C93" s="16" t="n"/>
      <c r="D93" s="14" t="n"/>
      <c r="E93" s="15">
        <f>IF($D93="","",IFERROR(INDEX(rngCadetPIDs,MATCH($D93,rngCadetNames,0)),"?"))</f>
        <v/>
      </c>
      <c r="F93" s="15">
        <f>IF($E93="","",IFERROR(INDEX(nrCadetAgency,MATCH($E93,rngCadetPIDs,0)),""))</f>
        <v/>
      </c>
      <c r="G93" s="14" t="n"/>
      <c r="H93" s="14" t="n"/>
      <c r="I93" s="14" t="n"/>
      <c r="J93" s="14" t="n"/>
      <c r="K93" s="15">
        <f>IF($G93="","",IF(OR($G93="PT Missed",$G93="PT Modified",$G93="PT Refused"),"Yes","No"))</f>
        <v/>
      </c>
      <c r="L93" s="14" t="n"/>
      <c r="M93" s="14" t="n"/>
      <c r="N93" s="15">
        <f>IF($D93="","",IF($M93="Excused","No",IF(AND($G93="PT Modified",$L93="Received"),"No","Yes")))</f>
        <v/>
      </c>
      <c r="O93" s="14" t="n"/>
    </row>
    <row r="94">
      <c r="B94" s="15">
        <f>IF($D94="","","A"&amp;TEXT(ROW()-5,"000"))</f>
        <v/>
      </c>
      <c r="C94" s="16" t="n"/>
      <c r="D94" s="14" t="n"/>
      <c r="E94" s="15">
        <f>IF($D94="","",IFERROR(INDEX(rngCadetPIDs,MATCH($D94,rngCadetNames,0)),"?"))</f>
        <v/>
      </c>
      <c r="F94" s="15">
        <f>IF($E94="","",IFERROR(INDEX(nrCadetAgency,MATCH($E94,rngCadetPIDs,0)),""))</f>
        <v/>
      </c>
      <c r="G94" s="14" t="n"/>
      <c r="H94" s="14" t="n"/>
      <c r="I94" s="14" t="n"/>
      <c r="J94" s="14" t="n"/>
      <c r="K94" s="15">
        <f>IF($G94="","",IF(OR($G94="PT Missed",$G94="PT Modified",$G94="PT Refused"),"Yes","No"))</f>
        <v/>
      </c>
      <c r="L94" s="14" t="n"/>
      <c r="M94" s="14" t="n"/>
      <c r="N94" s="15">
        <f>IF($D94="","",IF($M94="Excused","No",IF(AND($G94="PT Modified",$L94="Received"),"No","Yes")))</f>
        <v/>
      </c>
      <c r="O94" s="14" t="n"/>
    </row>
    <row r="95">
      <c r="B95" s="15">
        <f>IF($D95="","","A"&amp;TEXT(ROW()-5,"000"))</f>
        <v/>
      </c>
      <c r="C95" s="16" t="n"/>
      <c r="D95" s="14" t="n"/>
      <c r="E95" s="15">
        <f>IF($D95="","",IFERROR(INDEX(rngCadetPIDs,MATCH($D95,rngCadetNames,0)),"?"))</f>
        <v/>
      </c>
      <c r="F95" s="15">
        <f>IF($E95="","",IFERROR(INDEX(nrCadetAgency,MATCH($E95,rngCadetPIDs,0)),""))</f>
        <v/>
      </c>
      <c r="G95" s="14" t="n"/>
      <c r="H95" s="14" t="n"/>
      <c r="I95" s="14" t="n"/>
      <c r="J95" s="14" t="n"/>
      <c r="K95" s="15">
        <f>IF($G95="","",IF(OR($G95="PT Missed",$G95="PT Modified",$G95="PT Refused"),"Yes","No"))</f>
        <v/>
      </c>
      <c r="L95" s="14" t="n"/>
      <c r="M95" s="14" t="n"/>
      <c r="N95" s="15">
        <f>IF($D95="","",IF($M95="Excused","No",IF(AND($G95="PT Modified",$L95="Received"),"No","Yes")))</f>
        <v/>
      </c>
      <c r="O95" s="14" t="n"/>
    </row>
    <row r="96">
      <c r="B96" s="15">
        <f>IF($D96="","","A"&amp;TEXT(ROW()-5,"000"))</f>
        <v/>
      </c>
      <c r="C96" s="16" t="n"/>
      <c r="D96" s="14" t="n"/>
      <c r="E96" s="15">
        <f>IF($D96="","",IFERROR(INDEX(rngCadetPIDs,MATCH($D96,rngCadetNames,0)),"?"))</f>
        <v/>
      </c>
      <c r="F96" s="15">
        <f>IF($E96="","",IFERROR(INDEX(nrCadetAgency,MATCH($E96,rngCadetPIDs,0)),""))</f>
        <v/>
      </c>
      <c r="G96" s="14" t="n"/>
      <c r="H96" s="14" t="n"/>
      <c r="I96" s="14" t="n"/>
      <c r="J96" s="14" t="n"/>
      <c r="K96" s="15">
        <f>IF($G96="","",IF(OR($G96="PT Missed",$G96="PT Modified",$G96="PT Refused"),"Yes","No"))</f>
        <v/>
      </c>
      <c r="L96" s="14" t="n"/>
      <c r="M96" s="14" t="n"/>
      <c r="N96" s="15">
        <f>IF($D96="","",IF($M96="Excused","No",IF(AND($G96="PT Modified",$L96="Received"),"No","Yes")))</f>
        <v/>
      </c>
      <c r="O96" s="14" t="n"/>
    </row>
    <row r="97">
      <c r="B97" s="15">
        <f>IF($D97="","","A"&amp;TEXT(ROW()-5,"000"))</f>
        <v/>
      </c>
      <c r="C97" s="16" t="n"/>
      <c r="D97" s="14" t="n"/>
      <c r="E97" s="15">
        <f>IF($D97="","",IFERROR(INDEX(rngCadetPIDs,MATCH($D97,rngCadetNames,0)),"?"))</f>
        <v/>
      </c>
      <c r="F97" s="15">
        <f>IF($E97="","",IFERROR(INDEX(nrCadetAgency,MATCH($E97,rngCadetPIDs,0)),""))</f>
        <v/>
      </c>
      <c r="G97" s="14" t="n"/>
      <c r="H97" s="14" t="n"/>
      <c r="I97" s="14" t="n"/>
      <c r="J97" s="14" t="n"/>
      <c r="K97" s="15">
        <f>IF($G97="","",IF(OR($G97="PT Missed",$G97="PT Modified",$G97="PT Refused"),"Yes","No"))</f>
        <v/>
      </c>
      <c r="L97" s="14" t="n"/>
      <c r="M97" s="14" t="n"/>
      <c r="N97" s="15">
        <f>IF($D97="","",IF($M97="Excused","No",IF(AND($G97="PT Modified",$L97="Received"),"No","Yes")))</f>
        <v/>
      </c>
      <c r="O97" s="14" t="n"/>
    </row>
    <row r="98">
      <c r="B98" s="15">
        <f>IF($D98="","","A"&amp;TEXT(ROW()-5,"000"))</f>
        <v/>
      </c>
      <c r="C98" s="16" t="n"/>
      <c r="D98" s="14" t="n"/>
      <c r="E98" s="15">
        <f>IF($D98="","",IFERROR(INDEX(rngCadetPIDs,MATCH($D98,rngCadetNames,0)),"?"))</f>
        <v/>
      </c>
      <c r="F98" s="15">
        <f>IF($E98="","",IFERROR(INDEX(nrCadetAgency,MATCH($E98,rngCadetPIDs,0)),""))</f>
        <v/>
      </c>
      <c r="G98" s="14" t="n"/>
      <c r="H98" s="14" t="n"/>
      <c r="I98" s="14" t="n"/>
      <c r="J98" s="14" t="n"/>
      <c r="K98" s="15">
        <f>IF($G98="","",IF(OR($G98="PT Missed",$G98="PT Modified",$G98="PT Refused"),"Yes","No"))</f>
        <v/>
      </c>
      <c r="L98" s="14" t="n"/>
      <c r="M98" s="14" t="n"/>
      <c r="N98" s="15">
        <f>IF($D98="","",IF($M98="Excused","No",IF(AND($G98="PT Modified",$L98="Received"),"No","Yes")))</f>
        <v/>
      </c>
      <c r="O98" s="14" t="n"/>
    </row>
    <row r="99">
      <c r="B99" s="15">
        <f>IF($D99="","","A"&amp;TEXT(ROW()-5,"000"))</f>
        <v/>
      </c>
      <c r="C99" s="16" t="n"/>
      <c r="D99" s="14" t="n"/>
      <c r="E99" s="15">
        <f>IF($D99="","",IFERROR(INDEX(rngCadetPIDs,MATCH($D99,rngCadetNames,0)),"?"))</f>
        <v/>
      </c>
      <c r="F99" s="15">
        <f>IF($E99="","",IFERROR(INDEX(nrCadetAgency,MATCH($E99,rngCadetPIDs,0)),""))</f>
        <v/>
      </c>
      <c r="G99" s="14" t="n"/>
      <c r="H99" s="14" t="n"/>
      <c r="I99" s="14" t="n"/>
      <c r="J99" s="14" t="n"/>
      <c r="K99" s="15">
        <f>IF($G99="","",IF(OR($G99="PT Missed",$G99="PT Modified",$G99="PT Refused"),"Yes","No"))</f>
        <v/>
      </c>
      <c r="L99" s="14" t="n"/>
      <c r="M99" s="14" t="n"/>
      <c r="N99" s="15">
        <f>IF($D99="","",IF($M99="Excused","No",IF(AND($G99="PT Modified",$L99="Received"),"No","Yes")))</f>
        <v/>
      </c>
      <c r="O99" s="14" t="n"/>
    </row>
    <row r="100">
      <c r="B100" s="15">
        <f>IF($D100="","","A"&amp;TEXT(ROW()-5,"000"))</f>
        <v/>
      </c>
      <c r="C100" s="16" t="n"/>
      <c r="D100" s="14" t="n"/>
      <c r="E100" s="15">
        <f>IF($D100="","",IFERROR(INDEX(rngCadetPIDs,MATCH($D100,rngCadetNames,0)),"?"))</f>
        <v/>
      </c>
      <c r="F100" s="15">
        <f>IF($E100="","",IFERROR(INDEX(nrCadetAgency,MATCH($E100,rngCadetPIDs,0)),""))</f>
        <v/>
      </c>
      <c r="G100" s="14" t="n"/>
      <c r="H100" s="14" t="n"/>
      <c r="I100" s="14" t="n"/>
      <c r="J100" s="14" t="n"/>
      <c r="K100" s="15">
        <f>IF($G100="","",IF(OR($G100="PT Missed",$G100="PT Modified",$G100="PT Refused"),"Yes","No"))</f>
        <v/>
      </c>
      <c r="L100" s="14" t="n"/>
      <c r="M100" s="14" t="n"/>
      <c r="N100" s="15">
        <f>IF($D100="","",IF($M100="Excused","No",IF(AND($G100="PT Modified",$L100="Received"),"No","Yes")))</f>
        <v/>
      </c>
      <c r="O100" s="14" t="n"/>
    </row>
    <row r="101">
      <c r="B101" s="15">
        <f>IF($D101="","","A"&amp;TEXT(ROW()-5,"000"))</f>
        <v/>
      </c>
      <c r="C101" s="16" t="n"/>
      <c r="D101" s="14" t="n"/>
      <c r="E101" s="15">
        <f>IF($D101="","",IFERROR(INDEX(rngCadetPIDs,MATCH($D101,rngCadetNames,0)),"?"))</f>
        <v/>
      </c>
      <c r="F101" s="15">
        <f>IF($E101="","",IFERROR(INDEX(nrCadetAgency,MATCH($E101,rngCadetPIDs,0)),""))</f>
        <v/>
      </c>
      <c r="G101" s="14" t="n"/>
      <c r="H101" s="14" t="n"/>
      <c r="I101" s="14" t="n"/>
      <c r="J101" s="14" t="n"/>
      <c r="K101" s="15">
        <f>IF($G101="","",IF(OR($G101="PT Missed",$G101="PT Modified",$G101="PT Refused"),"Yes","No"))</f>
        <v/>
      </c>
      <c r="L101" s="14" t="n"/>
      <c r="M101" s="14" t="n"/>
      <c r="N101" s="15">
        <f>IF($D101="","",IF($M101="Excused","No",IF(AND($G101="PT Modified",$L101="Received"),"No","Yes")))</f>
        <v/>
      </c>
      <c r="O101" s="14" t="n"/>
    </row>
    <row r="102">
      <c r="B102" s="15">
        <f>IF($D102="","","A"&amp;TEXT(ROW()-5,"000"))</f>
        <v/>
      </c>
      <c r="C102" s="16" t="n"/>
      <c r="D102" s="14" t="n"/>
      <c r="E102" s="15">
        <f>IF($D102="","",IFERROR(INDEX(rngCadetPIDs,MATCH($D102,rngCadetNames,0)),"?"))</f>
        <v/>
      </c>
      <c r="F102" s="15">
        <f>IF($E102="","",IFERROR(INDEX(nrCadetAgency,MATCH($E102,rngCadetPIDs,0)),""))</f>
        <v/>
      </c>
      <c r="G102" s="14" t="n"/>
      <c r="H102" s="14" t="n"/>
      <c r="I102" s="14" t="n"/>
      <c r="J102" s="14" t="n"/>
      <c r="K102" s="15">
        <f>IF($G102="","",IF(OR($G102="PT Missed",$G102="PT Modified",$G102="PT Refused"),"Yes","No"))</f>
        <v/>
      </c>
      <c r="L102" s="14" t="n"/>
      <c r="M102" s="14" t="n"/>
      <c r="N102" s="15">
        <f>IF($D102="","",IF($M102="Excused","No",IF(AND($G102="PT Modified",$L102="Received"),"No","Yes")))</f>
        <v/>
      </c>
      <c r="O102" s="14" t="n"/>
    </row>
    <row r="103">
      <c r="B103" s="15">
        <f>IF($D103="","","A"&amp;TEXT(ROW()-5,"000"))</f>
        <v/>
      </c>
      <c r="C103" s="16" t="n"/>
      <c r="D103" s="14" t="n"/>
      <c r="E103" s="15">
        <f>IF($D103="","",IFERROR(INDEX(rngCadetPIDs,MATCH($D103,rngCadetNames,0)),"?"))</f>
        <v/>
      </c>
      <c r="F103" s="15">
        <f>IF($E103="","",IFERROR(INDEX(nrCadetAgency,MATCH($E103,rngCadetPIDs,0)),""))</f>
        <v/>
      </c>
      <c r="G103" s="14" t="n"/>
      <c r="H103" s="14" t="n"/>
      <c r="I103" s="14" t="n"/>
      <c r="J103" s="14" t="n"/>
      <c r="K103" s="15">
        <f>IF($G103="","",IF(OR($G103="PT Missed",$G103="PT Modified",$G103="PT Refused"),"Yes","No"))</f>
        <v/>
      </c>
      <c r="L103" s="14" t="n"/>
      <c r="M103" s="14" t="n"/>
      <c r="N103" s="15">
        <f>IF($D103="","",IF($M103="Excused","No",IF(AND($G103="PT Modified",$L103="Received"),"No","Yes")))</f>
        <v/>
      </c>
      <c r="O103" s="14" t="n"/>
    </row>
    <row r="104">
      <c r="B104" s="15">
        <f>IF($D104="","","A"&amp;TEXT(ROW()-5,"000"))</f>
        <v/>
      </c>
      <c r="C104" s="16" t="n"/>
      <c r="D104" s="14" t="n"/>
      <c r="E104" s="15">
        <f>IF($D104="","",IFERROR(INDEX(rngCadetPIDs,MATCH($D104,rngCadetNames,0)),"?"))</f>
        <v/>
      </c>
      <c r="F104" s="15">
        <f>IF($E104="","",IFERROR(INDEX(nrCadetAgency,MATCH($E104,rngCadetPIDs,0)),""))</f>
        <v/>
      </c>
      <c r="G104" s="14" t="n"/>
      <c r="H104" s="14" t="n"/>
      <c r="I104" s="14" t="n"/>
      <c r="J104" s="14" t="n"/>
      <c r="K104" s="15">
        <f>IF($G104="","",IF(OR($G104="PT Missed",$G104="PT Modified",$G104="PT Refused"),"Yes","No"))</f>
        <v/>
      </c>
      <c r="L104" s="14" t="n"/>
      <c r="M104" s="14" t="n"/>
      <c r="N104" s="15">
        <f>IF($D104="","",IF($M104="Excused","No",IF(AND($G104="PT Modified",$L104="Received"),"No","Yes")))</f>
        <v/>
      </c>
      <c r="O104" s="14" t="n"/>
    </row>
    <row r="105">
      <c r="B105" s="15">
        <f>IF($D105="","","A"&amp;TEXT(ROW()-5,"000"))</f>
        <v/>
      </c>
      <c r="C105" s="16" t="n"/>
      <c r="D105" s="14" t="n"/>
      <c r="E105" s="15">
        <f>IF($D105="","",IFERROR(INDEX(rngCadetPIDs,MATCH($D105,rngCadetNames,0)),"?"))</f>
        <v/>
      </c>
      <c r="F105" s="15">
        <f>IF($E105="","",IFERROR(INDEX(nrCadetAgency,MATCH($E105,rngCadetPIDs,0)),""))</f>
        <v/>
      </c>
      <c r="G105" s="14" t="n"/>
      <c r="H105" s="14" t="n"/>
      <c r="I105" s="14" t="n"/>
      <c r="J105" s="14" t="n"/>
      <c r="K105" s="15">
        <f>IF($G105="","",IF(OR($G105="PT Missed",$G105="PT Modified",$G105="PT Refused"),"Yes","No"))</f>
        <v/>
      </c>
      <c r="L105" s="14" t="n"/>
      <c r="M105" s="14" t="n"/>
      <c r="N105" s="15">
        <f>IF($D105="","",IF($M105="Excused","No",IF(AND($G105="PT Modified",$L105="Received"),"No","Yes")))</f>
        <v/>
      </c>
      <c r="O105" s="14" t="n"/>
    </row>
    <row r="106">
      <c r="B106" s="15">
        <f>IF($D106="","","A"&amp;TEXT(ROW()-5,"000"))</f>
        <v/>
      </c>
      <c r="C106" s="16" t="n"/>
      <c r="D106" s="14" t="n"/>
      <c r="E106" s="15">
        <f>IF($D106="","",IFERROR(INDEX(rngCadetPIDs,MATCH($D106,rngCadetNames,0)),"?"))</f>
        <v/>
      </c>
      <c r="F106" s="15">
        <f>IF($E106="","",IFERROR(INDEX(nrCadetAgency,MATCH($E106,rngCadetPIDs,0)),""))</f>
        <v/>
      </c>
      <c r="G106" s="14" t="n"/>
      <c r="H106" s="14" t="n"/>
      <c r="I106" s="14" t="n"/>
      <c r="J106" s="14" t="n"/>
      <c r="K106" s="15">
        <f>IF($G106="","",IF(OR($G106="PT Missed",$G106="PT Modified",$G106="PT Refused"),"Yes","No"))</f>
        <v/>
      </c>
      <c r="L106" s="14" t="n"/>
      <c r="M106" s="14" t="n"/>
      <c r="N106" s="15">
        <f>IF($D106="","",IF($M106="Excused","No",IF(AND($G106="PT Modified",$L106="Received"),"No","Yes")))</f>
        <v/>
      </c>
      <c r="O106" s="14" t="n"/>
    </row>
    <row r="107">
      <c r="B107" s="15">
        <f>IF($D107="","","A"&amp;TEXT(ROW()-5,"000"))</f>
        <v/>
      </c>
      <c r="C107" s="16" t="n"/>
      <c r="D107" s="14" t="n"/>
      <c r="E107" s="15">
        <f>IF($D107="","",IFERROR(INDEX(rngCadetPIDs,MATCH($D107,rngCadetNames,0)),"?"))</f>
        <v/>
      </c>
      <c r="F107" s="15">
        <f>IF($E107="","",IFERROR(INDEX(nrCadetAgency,MATCH($E107,rngCadetPIDs,0)),""))</f>
        <v/>
      </c>
      <c r="G107" s="14" t="n"/>
      <c r="H107" s="14" t="n"/>
      <c r="I107" s="14" t="n"/>
      <c r="J107" s="14" t="n"/>
      <c r="K107" s="15">
        <f>IF($G107="","",IF(OR($G107="PT Missed",$G107="PT Modified",$G107="PT Refused"),"Yes","No"))</f>
        <v/>
      </c>
      <c r="L107" s="14" t="n"/>
      <c r="M107" s="14" t="n"/>
      <c r="N107" s="15">
        <f>IF($D107="","",IF($M107="Excused","No",IF(AND($G107="PT Modified",$L107="Received"),"No","Yes")))</f>
        <v/>
      </c>
      <c r="O107" s="14" t="n"/>
    </row>
    <row r="108">
      <c r="B108" s="15">
        <f>IF($D108="","","A"&amp;TEXT(ROW()-5,"000"))</f>
        <v/>
      </c>
      <c r="C108" s="16" t="n"/>
      <c r="D108" s="14" t="n"/>
      <c r="E108" s="15">
        <f>IF($D108="","",IFERROR(INDEX(rngCadetPIDs,MATCH($D108,rngCadetNames,0)),"?"))</f>
        <v/>
      </c>
      <c r="F108" s="15">
        <f>IF($E108="","",IFERROR(INDEX(nrCadetAgency,MATCH($E108,rngCadetPIDs,0)),""))</f>
        <v/>
      </c>
      <c r="G108" s="14" t="n"/>
      <c r="H108" s="14" t="n"/>
      <c r="I108" s="14" t="n"/>
      <c r="J108" s="14" t="n"/>
      <c r="K108" s="15">
        <f>IF($G108="","",IF(OR($G108="PT Missed",$G108="PT Modified",$G108="PT Refused"),"Yes","No"))</f>
        <v/>
      </c>
      <c r="L108" s="14" t="n"/>
      <c r="M108" s="14" t="n"/>
      <c r="N108" s="15">
        <f>IF($D108="","",IF($M108="Excused","No",IF(AND($G108="PT Modified",$L108="Received"),"No","Yes")))</f>
        <v/>
      </c>
      <c r="O108" s="14" t="n"/>
    </row>
    <row r="109">
      <c r="B109" s="15">
        <f>IF($D109="","","A"&amp;TEXT(ROW()-5,"000"))</f>
        <v/>
      </c>
      <c r="C109" s="16" t="n"/>
      <c r="D109" s="14" t="n"/>
      <c r="E109" s="15">
        <f>IF($D109="","",IFERROR(INDEX(rngCadetPIDs,MATCH($D109,rngCadetNames,0)),"?"))</f>
        <v/>
      </c>
      <c r="F109" s="15">
        <f>IF($E109="","",IFERROR(INDEX(nrCadetAgency,MATCH($E109,rngCadetPIDs,0)),""))</f>
        <v/>
      </c>
      <c r="G109" s="14" t="n"/>
      <c r="H109" s="14" t="n"/>
      <c r="I109" s="14" t="n"/>
      <c r="J109" s="14" t="n"/>
      <c r="K109" s="15">
        <f>IF($G109="","",IF(OR($G109="PT Missed",$G109="PT Modified",$G109="PT Refused"),"Yes","No"))</f>
        <v/>
      </c>
      <c r="L109" s="14" t="n"/>
      <c r="M109" s="14" t="n"/>
      <c r="N109" s="15">
        <f>IF($D109="","",IF($M109="Excused","No",IF(AND($G109="PT Modified",$L109="Received"),"No","Yes")))</f>
        <v/>
      </c>
      <c r="O109" s="14" t="n"/>
    </row>
    <row r="110">
      <c r="B110" s="15">
        <f>IF($D110="","","A"&amp;TEXT(ROW()-5,"000"))</f>
        <v/>
      </c>
      <c r="C110" s="16" t="n"/>
      <c r="D110" s="14" t="n"/>
      <c r="E110" s="15">
        <f>IF($D110="","",IFERROR(INDEX(rngCadetPIDs,MATCH($D110,rngCadetNames,0)),"?"))</f>
        <v/>
      </c>
      <c r="F110" s="15">
        <f>IF($E110="","",IFERROR(INDEX(nrCadetAgency,MATCH($E110,rngCadetPIDs,0)),""))</f>
        <v/>
      </c>
      <c r="G110" s="14" t="n"/>
      <c r="H110" s="14" t="n"/>
      <c r="I110" s="14" t="n"/>
      <c r="J110" s="14" t="n"/>
      <c r="K110" s="15">
        <f>IF($G110="","",IF(OR($G110="PT Missed",$G110="PT Modified",$G110="PT Refused"),"Yes","No"))</f>
        <v/>
      </c>
      <c r="L110" s="14" t="n"/>
      <c r="M110" s="14" t="n"/>
      <c r="N110" s="15">
        <f>IF($D110="","",IF($M110="Excused","No",IF(AND($G110="PT Modified",$L110="Received"),"No","Yes")))</f>
        <v/>
      </c>
      <c r="O110" s="14" t="n"/>
    </row>
    <row r="111">
      <c r="B111" s="15">
        <f>IF($D111="","","A"&amp;TEXT(ROW()-5,"000"))</f>
        <v/>
      </c>
      <c r="C111" s="16" t="n"/>
      <c r="D111" s="14" t="n"/>
      <c r="E111" s="15">
        <f>IF($D111="","",IFERROR(INDEX(rngCadetPIDs,MATCH($D111,rngCadetNames,0)),"?"))</f>
        <v/>
      </c>
      <c r="F111" s="15">
        <f>IF($E111="","",IFERROR(INDEX(nrCadetAgency,MATCH($E111,rngCadetPIDs,0)),""))</f>
        <v/>
      </c>
      <c r="G111" s="14" t="n"/>
      <c r="H111" s="14" t="n"/>
      <c r="I111" s="14" t="n"/>
      <c r="J111" s="14" t="n"/>
      <c r="K111" s="15">
        <f>IF($G111="","",IF(OR($G111="PT Missed",$G111="PT Modified",$G111="PT Refused"),"Yes","No"))</f>
        <v/>
      </c>
      <c r="L111" s="14" t="n"/>
      <c r="M111" s="14" t="n"/>
      <c r="N111" s="15">
        <f>IF($D111="","",IF($M111="Excused","No",IF(AND($G111="PT Modified",$L111="Received"),"No","Yes")))</f>
        <v/>
      </c>
      <c r="O111" s="14" t="n"/>
    </row>
    <row r="112">
      <c r="B112" s="15">
        <f>IF($D112="","","A"&amp;TEXT(ROW()-5,"000"))</f>
        <v/>
      </c>
      <c r="C112" s="16" t="n"/>
      <c r="D112" s="14" t="n"/>
      <c r="E112" s="15">
        <f>IF($D112="","",IFERROR(INDEX(rngCadetPIDs,MATCH($D112,rngCadetNames,0)),"?"))</f>
        <v/>
      </c>
      <c r="F112" s="15">
        <f>IF($E112="","",IFERROR(INDEX(nrCadetAgency,MATCH($E112,rngCadetPIDs,0)),""))</f>
        <v/>
      </c>
      <c r="G112" s="14" t="n"/>
      <c r="H112" s="14" t="n"/>
      <c r="I112" s="14" t="n"/>
      <c r="J112" s="14" t="n"/>
      <c r="K112" s="15">
        <f>IF($G112="","",IF(OR($G112="PT Missed",$G112="PT Modified",$G112="PT Refused"),"Yes","No"))</f>
        <v/>
      </c>
      <c r="L112" s="14" t="n"/>
      <c r="M112" s="14" t="n"/>
      <c r="N112" s="15">
        <f>IF($D112="","",IF($M112="Excused","No",IF(AND($G112="PT Modified",$L112="Received"),"No","Yes")))</f>
        <v/>
      </c>
      <c r="O112" s="14" t="n"/>
    </row>
    <row r="113">
      <c r="B113" s="15">
        <f>IF($D113="","","A"&amp;TEXT(ROW()-5,"000"))</f>
        <v/>
      </c>
      <c r="C113" s="16" t="n"/>
      <c r="D113" s="14" t="n"/>
      <c r="E113" s="15">
        <f>IF($D113="","",IFERROR(INDEX(rngCadetPIDs,MATCH($D113,rngCadetNames,0)),"?"))</f>
        <v/>
      </c>
      <c r="F113" s="15">
        <f>IF($E113="","",IFERROR(INDEX(nrCadetAgency,MATCH($E113,rngCadetPIDs,0)),""))</f>
        <v/>
      </c>
      <c r="G113" s="14" t="n"/>
      <c r="H113" s="14" t="n"/>
      <c r="I113" s="14" t="n"/>
      <c r="J113" s="14" t="n"/>
      <c r="K113" s="15">
        <f>IF($G113="","",IF(OR($G113="PT Missed",$G113="PT Modified",$G113="PT Refused"),"Yes","No"))</f>
        <v/>
      </c>
      <c r="L113" s="14" t="n"/>
      <c r="M113" s="14" t="n"/>
      <c r="N113" s="15">
        <f>IF($D113="","",IF($M113="Excused","No",IF(AND($G113="PT Modified",$L113="Received"),"No","Yes")))</f>
        <v/>
      </c>
      <c r="O113" s="14" t="n"/>
    </row>
    <row r="114">
      <c r="B114" s="15">
        <f>IF($D114="","","A"&amp;TEXT(ROW()-5,"000"))</f>
        <v/>
      </c>
      <c r="C114" s="16" t="n"/>
      <c r="D114" s="14" t="n"/>
      <c r="E114" s="15">
        <f>IF($D114="","",IFERROR(INDEX(rngCadetPIDs,MATCH($D114,rngCadetNames,0)),"?"))</f>
        <v/>
      </c>
      <c r="F114" s="15">
        <f>IF($E114="","",IFERROR(INDEX(nrCadetAgency,MATCH($E114,rngCadetPIDs,0)),""))</f>
        <v/>
      </c>
      <c r="G114" s="14" t="n"/>
      <c r="H114" s="14" t="n"/>
      <c r="I114" s="14" t="n"/>
      <c r="J114" s="14" t="n"/>
      <c r="K114" s="15">
        <f>IF($G114="","",IF(OR($G114="PT Missed",$G114="PT Modified",$G114="PT Refused"),"Yes","No"))</f>
        <v/>
      </c>
      <c r="L114" s="14" t="n"/>
      <c r="M114" s="14" t="n"/>
      <c r="N114" s="15">
        <f>IF($D114="","",IF($M114="Excused","No",IF(AND($G114="PT Modified",$L114="Received"),"No","Yes")))</f>
        <v/>
      </c>
      <c r="O114" s="14" t="n"/>
    </row>
    <row r="115">
      <c r="B115" s="15">
        <f>IF($D115="","","A"&amp;TEXT(ROW()-5,"000"))</f>
        <v/>
      </c>
      <c r="C115" s="16" t="n"/>
      <c r="D115" s="14" t="n"/>
      <c r="E115" s="15">
        <f>IF($D115="","",IFERROR(INDEX(rngCadetPIDs,MATCH($D115,rngCadetNames,0)),"?"))</f>
        <v/>
      </c>
      <c r="F115" s="15">
        <f>IF($E115="","",IFERROR(INDEX(nrCadetAgency,MATCH($E115,rngCadetPIDs,0)),""))</f>
        <v/>
      </c>
      <c r="G115" s="14" t="n"/>
      <c r="H115" s="14" t="n"/>
      <c r="I115" s="14" t="n"/>
      <c r="J115" s="14" t="n"/>
      <c r="K115" s="15">
        <f>IF($G115="","",IF(OR($G115="PT Missed",$G115="PT Modified",$G115="PT Refused"),"Yes","No"))</f>
        <v/>
      </c>
      <c r="L115" s="14" t="n"/>
      <c r="M115" s="14" t="n"/>
      <c r="N115" s="15">
        <f>IF($D115="","",IF($M115="Excused","No",IF(AND($G115="PT Modified",$L115="Received"),"No","Yes")))</f>
        <v/>
      </c>
      <c r="O115" s="14" t="n"/>
    </row>
    <row r="116">
      <c r="B116" s="15">
        <f>IF($D116="","","A"&amp;TEXT(ROW()-5,"000"))</f>
        <v/>
      </c>
      <c r="C116" s="16" t="n"/>
      <c r="D116" s="14" t="n"/>
      <c r="E116" s="15">
        <f>IF($D116="","",IFERROR(INDEX(rngCadetPIDs,MATCH($D116,rngCadetNames,0)),"?"))</f>
        <v/>
      </c>
      <c r="F116" s="15">
        <f>IF($E116="","",IFERROR(INDEX(nrCadetAgency,MATCH($E116,rngCadetPIDs,0)),""))</f>
        <v/>
      </c>
      <c r="G116" s="14" t="n"/>
      <c r="H116" s="14" t="n"/>
      <c r="I116" s="14" t="n"/>
      <c r="J116" s="14" t="n"/>
      <c r="K116" s="15">
        <f>IF($G116="","",IF(OR($G116="PT Missed",$G116="PT Modified",$G116="PT Refused"),"Yes","No"))</f>
        <v/>
      </c>
      <c r="L116" s="14" t="n"/>
      <c r="M116" s="14" t="n"/>
      <c r="N116" s="15">
        <f>IF($D116="","",IF($M116="Excused","No",IF(AND($G116="PT Modified",$L116="Received"),"No","Yes")))</f>
        <v/>
      </c>
      <c r="O116" s="14" t="n"/>
    </row>
    <row r="117">
      <c r="B117" s="15">
        <f>IF($D117="","","A"&amp;TEXT(ROW()-5,"000"))</f>
        <v/>
      </c>
      <c r="C117" s="16" t="n"/>
      <c r="D117" s="14" t="n"/>
      <c r="E117" s="15">
        <f>IF($D117="","",IFERROR(INDEX(rngCadetPIDs,MATCH($D117,rngCadetNames,0)),"?"))</f>
        <v/>
      </c>
      <c r="F117" s="15">
        <f>IF($E117="","",IFERROR(INDEX(nrCadetAgency,MATCH($E117,rngCadetPIDs,0)),""))</f>
        <v/>
      </c>
      <c r="G117" s="14" t="n"/>
      <c r="H117" s="14" t="n"/>
      <c r="I117" s="14" t="n"/>
      <c r="J117" s="14" t="n"/>
      <c r="K117" s="15">
        <f>IF($G117="","",IF(OR($G117="PT Missed",$G117="PT Modified",$G117="PT Refused"),"Yes","No"))</f>
        <v/>
      </c>
      <c r="L117" s="14" t="n"/>
      <c r="M117" s="14" t="n"/>
      <c r="N117" s="15">
        <f>IF($D117="","",IF($M117="Excused","No",IF(AND($G117="PT Modified",$L117="Received"),"No","Yes")))</f>
        <v/>
      </c>
      <c r="O117" s="14" t="n"/>
    </row>
    <row r="118">
      <c r="B118" s="15">
        <f>IF($D118="","","A"&amp;TEXT(ROW()-5,"000"))</f>
        <v/>
      </c>
      <c r="C118" s="16" t="n"/>
      <c r="D118" s="14" t="n"/>
      <c r="E118" s="15">
        <f>IF($D118="","",IFERROR(INDEX(rngCadetPIDs,MATCH($D118,rngCadetNames,0)),"?"))</f>
        <v/>
      </c>
      <c r="F118" s="15">
        <f>IF($E118="","",IFERROR(INDEX(nrCadetAgency,MATCH($E118,rngCadetPIDs,0)),""))</f>
        <v/>
      </c>
      <c r="G118" s="14" t="n"/>
      <c r="H118" s="14" t="n"/>
      <c r="I118" s="14" t="n"/>
      <c r="J118" s="14" t="n"/>
      <c r="K118" s="15">
        <f>IF($G118="","",IF(OR($G118="PT Missed",$G118="PT Modified",$G118="PT Refused"),"Yes","No"))</f>
        <v/>
      </c>
      <c r="L118" s="14" t="n"/>
      <c r="M118" s="14" t="n"/>
      <c r="N118" s="15">
        <f>IF($D118="","",IF($M118="Excused","No",IF(AND($G118="PT Modified",$L118="Received"),"No","Yes")))</f>
        <v/>
      </c>
      <c r="O118" s="14" t="n"/>
    </row>
    <row r="119">
      <c r="B119" s="15">
        <f>IF($D119="","","A"&amp;TEXT(ROW()-5,"000"))</f>
        <v/>
      </c>
      <c r="C119" s="16" t="n"/>
      <c r="D119" s="14" t="n"/>
      <c r="E119" s="15">
        <f>IF($D119="","",IFERROR(INDEX(rngCadetPIDs,MATCH($D119,rngCadetNames,0)),"?"))</f>
        <v/>
      </c>
      <c r="F119" s="15">
        <f>IF($E119="","",IFERROR(INDEX(nrCadetAgency,MATCH($E119,rngCadetPIDs,0)),""))</f>
        <v/>
      </c>
      <c r="G119" s="14" t="n"/>
      <c r="H119" s="14" t="n"/>
      <c r="I119" s="14" t="n"/>
      <c r="J119" s="14" t="n"/>
      <c r="K119" s="15">
        <f>IF($G119="","",IF(OR($G119="PT Missed",$G119="PT Modified",$G119="PT Refused"),"Yes","No"))</f>
        <v/>
      </c>
      <c r="L119" s="14" t="n"/>
      <c r="M119" s="14" t="n"/>
      <c r="N119" s="15">
        <f>IF($D119="","",IF($M119="Excused","No",IF(AND($G119="PT Modified",$L119="Received"),"No","Yes")))</f>
        <v/>
      </c>
      <c r="O119" s="14" t="n"/>
    </row>
    <row r="120">
      <c r="B120" s="15">
        <f>IF($D120="","","A"&amp;TEXT(ROW()-5,"000"))</f>
        <v/>
      </c>
      <c r="C120" s="16" t="n"/>
      <c r="D120" s="14" t="n"/>
      <c r="E120" s="15">
        <f>IF($D120="","",IFERROR(INDEX(rngCadetPIDs,MATCH($D120,rngCadetNames,0)),"?"))</f>
        <v/>
      </c>
      <c r="F120" s="15">
        <f>IF($E120="","",IFERROR(INDEX(nrCadetAgency,MATCH($E120,rngCadetPIDs,0)),""))</f>
        <v/>
      </c>
      <c r="G120" s="14" t="n"/>
      <c r="H120" s="14" t="n"/>
      <c r="I120" s="14" t="n"/>
      <c r="J120" s="14" t="n"/>
      <c r="K120" s="15">
        <f>IF($G120="","",IF(OR($G120="PT Missed",$G120="PT Modified",$G120="PT Refused"),"Yes","No"))</f>
        <v/>
      </c>
      <c r="L120" s="14" t="n"/>
      <c r="M120" s="14" t="n"/>
      <c r="N120" s="15">
        <f>IF($D120="","",IF($M120="Excused","No",IF(AND($G120="PT Modified",$L120="Received"),"No","Yes")))</f>
        <v/>
      </c>
      <c r="O120" s="14" t="n"/>
    </row>
    <row r="121">
      <c r="B121" s="15">
        <f>IF($D121="","","A"&amp;TEXT(ROW()-5,"000"))</f>
        <v/>
      </c>
      <c r="C121" s="16" t="n"/>
      <c r="D121" s="14" t="n"/>
      <c r="E121" s="15">
        <f>IF($D121="","",IFERROR(INDEX(rngCadetPIDs,MATCH($D121,rngCadetNames,0)),"?"))</f>
        <v/>
      </c>
      <c r="F121" s="15">
        <f>IF($E121="","",IFERROR(INDEX(nrCadetAgency,MATCH($E121,rngCadetPIDs,0)),""))</f>
        <v/>
      </c>
      <c r="G121" s="14" t="n"/>
      <c r="H121" s="14" t="n"/>
      <c r="I121" s="14" t="n"/>
      <c r="J121" s="14" t="n"/>
      <c r="K121" s="15">
        <f>IF($G121="","",IF(OR($G121="PT Missed",$G121="PT Modified",$G121="PT Refused"),"Yes","No"))</f>
        <v/>
      </c>
      <c r="L121" s="14" t="n"/>
      <c r="M121" s="14" t="n"/>
      <c r="N121" s="15">
        <f>IF($D121="","",IF($M121="Excused","No",IF(AND($G121="PT Modified",$L121="Received"),"No","Yes")))</f>
        <v/>
      </c>
      <c r="O121" s="14" t="n"/>
    </row>
    <row r="122">
      <c r="B122" s="15">
        <f>IF($D122="","","A"&amp;TEXT(ROW()-5,"000"))</f>
        <v/>
      </c>
      <c r="C122" s="16" t="n"/>
      <c r="D122" s="14" t="n"/>
      <c r="E122" s="15">
        <f>IF($D122="","",IFERROR(INDEX(rngCadetPIDs,MATCH($D122,rngCadetNames,0)),"?"))</f>
        <v/>
      </c>
      <c r="F122" s="15">
        <f>IF($E122="","",IFERROR(INDEX(nrCadetAgency,MATCH($E122,rngCadetPIDs,0)),""))</f>
        <v/>
      </c>
      <c r="G122" s="14" t="n"/>
      <c r="H122" s="14" t="n"/>
      <c r="I122" s="14" t="n"/>
      <c r="J122" s="14" t="n"/>
      <c r="K122" s="15">
        <f>IF($G122="","",IF(OR($G122="PT Missed",$G122="PT Modified",$G122="PT Refused"),"Yes","No"))</f>
        <v/>
      </c>
      <c r="L122" s="14" t="n"/>
      <c r="M122" s="14" t="n"/>
      <c r="N122" s="15">
        <f>IF($D122="","",IF($M122="Excused","No",IF(AND($G122="PT Modified",$L122="Received"),"No","Yes")))</f>
        <v/>
      </c>
      <c r="O122" s="14" t="n"/>
    </row>
    <row r="123">
      <c r="B123" s="15">
        <f>IF($D123="","","A"&amp;TEXT(ROW()-5,"000"))</f>
        <v/>
      </c>
      <c r="C123" s="16" t="n"/>
      <c r="D123" s="14" t="n"/>
      <c r="E123" s="15">
        <f>IF($D123="","",IFERROR(INDEX(rngCadetPIDs,MATCH($D123,rngCadetNames,0)),"?"))</f>
        <v/>
      </c>
      <c r="F123" s="15">
        <f>IF($E123="","",IFERROR(INDEX(nrCadetAgency,MATCH($E123,rngCadetPIDs,0)),""))</f>
        <v/>
      </c>
      <c r="G123" s="14" t="n"/>
      <c r="H123" s="14" t="n"/>
      <c r="I123" s="14" t="n"/>
      <c r="J123" s="14" t="n"/>
      <c r="K123" s="15">
        <f>IF($G123="","",IF(OR($G123="PT Missed",$G123="PT Modified",$G123="PT Refused"),"Yes","No"))</f>
        <v/>
      </c>
      <c r="L123" s="14" t="n"/>
      <c r="M123" s="14" t="n"/>
      <c r="N123" s="15">
        <f>IF($D123="","",IF($M123="Excused","No",IF(AND($G123="PT Modified",$L123="Received"),"No","Yes")))</f>
        <v/>
      </c>
      <c r="O123" s="14" t="n"/>
    </row>
    <row r="124">
      <c r="B124" s="15">
        <f>IF($D124="","","A"&amp;TEXT(ROW()-5,"000"))</f>
        <v/>
      </c>
      <c r="C124" s="16" t="n"/>
      <c r="D124" s="14" t="n"/>
      <c r="E124" s="15">
        <f>IF($D124="","",IFERROR(INDEX(rngCadetPIDs,MATCH($D124,rngCadetNames,0)),"?"))</f>
        <v/>
      </c>
      <c r="F124" s="15">
        <f>IF($E124="","",IFERROR(INDEX(nrCadetAgency,MATCH($E124,rngCadetPIDs,0)),""))</f>
        <v/>
      </c>
      <c r="G124" s="14" t="n"/>
      <c r="H124" s="14" t="n"/>
      <c r="I124" s="14" t="n"/>
      <c r="J124" s="14" t="n"/>
      <c r="K124" s="15">
        <f>IF($G124="","",IF(OR($G124="PT Missed",$G124="PT Modified",$G124="PT Refused"),"Yes","No"))</f>
        <v/>
      </c>
      <c r="L124" s="14" t="n"/>
      <c r="M124" s="14" t="n"/>
      <c r="N124" s="15">
        <f>IF($D124="","",IF($M124="Excused","No",IF(AND($G124="PT Modified",$L124="Received"),"No","Yes")))</f>
        <v/>
      </c>
      <c r="O124" s="14" t="n"/>
    </row>
    <row r="125">
      <c r="B125" s="15">
        <f>IF($D125="","","A"&amp;TEXT(ROW()-5,"000"))</f>
        <v/>
      </c>
      <c r="C125" s="16" t="n"/>
      <c r="D125" s="14" t="n"/>
      <c r="E125" s="15">
        <f>IF($D125="","",IFERROR(INDEX(rngCadetPIDs,MATCH($D125,rngCadetNames,0)),"?"))</f>
        <v/>
      </c>
      <c r="F125" s="15">
        <f>IF($E125="","",IFERROR(INDEX(nrCadetAgency,MATCH($E125,rngCadetPIDs,0)),""))</f>
        <v/>
      </c>
      <c r="G125" s="14" t="n"/>
      <c r="H125" s="14" t="n"/>
      <c r="I125" s="14" t="n"/>
      <c r="J125" s="14" t="n"/>
      <c r="K125" s="15">
        <f>IF($G125="","",IF(OR($G125="PT Missed",$G125="PT Modified",$G125="PT Refused"),"Yes","No"))</f>
        <v/>
      </c>
      <c r="L125" s="14" t="n"/>
      <c r="M125" s="14" t="n"/>
      <c r="N125" s="15">
        <f>IF($D125="","",IF($M125="Excused","No",IF(AND($G125="PT Modified",$L125="Received"),"No","Yes")))</f>
        <v/>
      </c>
      <c r="O125" s="14" t="n"/>
    </row>
    <row r="126">
      <c r="B126" s="15">
        <f>IF($D126="","","A"&amp;TEXT(ROW()-5,"000"))</f>
        <v/>
      </c>
      <c r="C126" s="16" t="n"/>
      <c r="D126" s="14" t="n"/>
      <c r="E126" s="15">
        <f>IF($D126="","",IFERROR(INDEX(rngCadetPIDs,MATCH($D126,rngCadetNames,0)),"?"))</f>
        <v/>
      </c>
      <c r="F126" s="15">
        <f>IF($E126="","",IFERROR(INDEX(nrCadetAgency,MATCH($E126,rngCadetPIDs,0)),""))</f>
        <v/>
      </c>
      <c r="G126" s="14" t="n"/>
      <c r="H126" s="14" t="n"/>
      <c r="I126" s="14" t="n"/>
      <c r="J126" s="14" t="n"/>
      <c r="K126" s="15">
        <f>IF($G126="","",IF(OR($G126="PT Missed",$G126="PT Modified",$G126="PT Refused"),"Yes","No"))</f>
        <v/>
      </c>
      <c r="L126" s="14" t="n"/>
      <c r="M126" s="14" t="n"/>
      <c r="N126" s="15">
        <f>IF($D126="","",IF($M126="Excused","No",IF(AND($G126="PT Modified",$L126="Received"),"No","Yes")))</f>
        <v/>
      </c>
      <c r="O126" s="14" t="n"/>
    </row>
    <row r="127">
      <c r="B127" s="15">
        <f>IF($D127="","","A"&amp;TEXT(ROW()-5,"000"))</f>
        <v/>
      </c>
      <c r="C127" s="16" t="n"/>
      <c r="D127" s="14" t="n"/>
      <c r="E127" s="15">
        <f>IF($D127="","",IFERROR(INDEX(rngCadetPIDs,MATCH($D127,rngCadetNames,0)),"?"))</f>
        <v/>
      </c>
      <c r="F127" s="15">
        <f>IF($E127="","",IFERROR(INDEX(nrCadetAgency,MATCH($E127,rngCadetPIDs,0)),""))</f>
        <v/>
      </c>
      <c r="G127" s="14" t="n"/>
      <c r="H127" s="14" t="n"/>
      <c r="I127" s="14" t="n"/>
      <c r="J127" s="14" t="n"/>
      <c r="K127" s="15">
        <f>IF($G127="","",IF(OR($G127="PT Missed",$G127="PT Modified",$G127="PT Refused"),"Yes","No"))</f>
        <v/>
      </c>
      <c r="L127" s="14" t="n"/>
      <c r="M127" s="14" t="n"/>
      <c r="N127" s="15">
        <f>IF($D127="","",IF($M127="Excused","No",IF(AND($G127="PT Modified",$L127="Received"),"No","Yes")))</f>
        <v/>
      </c>
      <c r="O127" s="14" t="n"/>
    </row>
    <row r="128">
      <c r="B128" s="15">
        <f>IF($D128="","","A"&amp;TEXT(ROW()-5,"000"))</f>
        <v/>
      </c>
      <c r="C128" s="16" t="n"/>
      <c r="D128" s="14" t="n"/>
      <c r="E128" s="15">
        <f>IF($D128="","",IFERROR(INDEX(rngCadetPIDs,MATCH($D128,rngCadetNames,0)),"?"))</f>
        <v/>
      </c>
      <c r="F128" s="15">
        <f>IF($E128="","",IFERROR(INDEX(nrCadetAgency,MATCH($E128,rngCadetPIDs,0)),""))</f>
        <v/>
      </c>
      <c r="G128" s="14" t="n"/>
      <c r="H128" s="14" t="n"/>
      <c r="I128" s="14" t="n"/>
      <c r="J128" s="14" t="n"/>
      <c r="K128" s="15">
        <f>IF($G128="","",IF(OR($G128="PT Missed",$G128="PT Modified",$G128="PT Refused"),"Yes","No"))</f>
        <v/>
      </c>
      <c r="L128" s="14" t="n"/>
      <c r="M128" s="14" t="n"/>
      <c r="N128" s="15">
        <f>IF($D128="","",IF($M128="Excused","No",IF(AND($G128="PT Modified",$L128="Received"),"No","Yes")))</f>
        <v/>
      </c>
      <c r="O128" s="14" t="n"/>
    </row>
    <row r="129">
      <c r="B129" s="15">
        <f>IF($D129="","","A"&amp;TEXT(ROW()-5,"000"))</f>
        <v/>
      </c>
      <c r="C129" s="16" t="n"/>
      <c r="D129" s="14" t="n"/>
      <c r="E129" s="15">
        <f>IF($D129="","",IFERROR(INDEX(rngCadetPIDs,MATCH($D129,rngCadetNames,0)),"?"))</f>
        <v/>
      </c>
      <c r="F129" s="15">
        <f>IF($E129="","",IFERROR(INDEX(nrCadetAgency,MATCH($E129,rngCadetPIDs,0)),""))</f>
        <v/>
      </c>
      <c r="G129" s="14" t="n"/>
      <c r="H129" s="14" t="n"/>
      <c r="I129" s="14" t="n"/>
      <c r="J129" s="14" t="n"/>
      <c r="K129" s="15">
        <f>IF($G129="","",IF(OR($G129="PT Missed",$G129="PT Modified",$G129="PT Refused"),"Yes","No"))</f>
        <v/>
      </c>
      <c r="L129" s="14" t="n"/>
      <c r="M129" s="14" t="n"/>
      <c r="N129" s="15">
        <f>IF($D129="","",IF($M129="Excused","No",IF(AND($G129="PT Modified",$L129="Received"),"No","Yes")))</f>
        <v/>
      </c>
      <c r="O129" s="14" t="n"/>
    </row>
    <row r="130">
      <c r="B130" s="15">
        <f>IF($D130="","","A"&amp;TEXT(ROW()-5,"000"))</f>
        <v/>
      </c>
      <c r="C130" s="16" t="n"/>
      <c r="D130" s="14" t="n"/>
      <c r="E130" s="15">
        <f>IF($D130="","",IFERROR(INDEX(rngCadetPIDs,MATCH($D130,rngCadetNames,0)),"?"))</f>
        <v/>
      </c>
      <c r="F130" s="15">
        <f>IF($E130="","",IFERROR(INDEX(nrCadetAgency,MATCH($E130,rngCadetPIDs,0)),""))</f>
        <v/>
      </c>
      <c r="G130" s="14" t="n"/>
      <c r="H130" s="14" t="n"/>
      <c r="I130" s="14" t="n"/>
      <c r="J130" s="14" t="n"/>
      <c r="K130" s="15">
        <f>IF($G130="","",IF(OR($G130="PT Missed",$G130="PT Modified",$G130="PT Refused"),"Yes","No"))</f>
        <v/>
      </c>
      <c r="L130" s="14" t="n"/>
      <c r="M130" s="14" t="n"/>
      <c r="N130" s="15">
        <f>IF($D130="","",IF($M130="Excused","No",IF(AND($G130="PT Modified",$L130="Received"),"No","Yes")))</f>
        <v/>
      </c>
      <c r="O130" s="14" t="n"/>
    </row>
    <row r="131">
      <c r="B131" s="15">
        <f>IF($D131="","","A"&amp;TEXT(ROW()-5,"000"))</f>
        <v/>
      </c>
      <c r="C131" s="16" t="n"/>
      <c r="D131" s="14" t="n"/>
      <c r="E131" s="15">
        <f>IF($D131="","",IFERROR(INDEX(rngCadetPIDs,MATCH($D131,rngCadetNames,0)),"?"))</f>
        <v/>
      </c>
      <c r="F131" s="15">
        <f>IF($E131="","",IFERROR(INDEX(nrCadetAgency,MATCH($E131,rngCadetPIDs,0)),""))</f>
        <v/>
      </c>
      <c r="G131" s="14" t="n"/>
      <c r="H131" s="14" t="n"/>
      <c r="I131" s="14" t="n"/>
      <c r="J131" s="14" t="n"/>
      <c r="K131" s="15">
        <f>IF($G131="","",IF(OR($G131="PT Missed",$G131="PT Modified",$G131="PT Refused"),"Yes","No"))</f>
        <v/>
      </c>
      <c r="L131" s="14" t="n"/>
      <c r="M131" s="14" t="n"/>
      <c r="N131" s="15">
        <f>IF($D131="","",IF($M131="Excused","No",IF(AND($G131="PT Modified",$L131="Received"),"No","Yes")))</f>
        <v/>
      </c>
      <c r="O131" s="14" t="n"/>
    </row>
    <row r="132">
      <c r="B132" s="15">
        <f>IF($D132="","","A"&amp;TEXT(ROW()-5,"000"))</f>
        <v/>
      </c>
      <c r="C132" s="16" t="n"/>
      <c r="D132" s="14" t="n"/>
      <c r="E132" s="15">
        <f>IF($D132="","",IFERROR(INDEX(rngCadetPIDs,MATCH($D132,rngCadetNames,0)),"?"))</f>
        <v/>
      </c>
      <c r="F132" s="15">
        <f>IF($E132="","",IFERROR(INDEX(nrCadetAgency,MATCH($E132,rngCadetPIDs,0)),""))</f>
        <v/>
      </c>
      <c r="G132" s="14" t="n"/>
      <c r="H132" s="14" t="n"/>
      <c r="I132" s="14" t="n"/>
      <c r="J132" s="14" t="n"/>
      <c r="K132" s="15">
        <f>IF($G132="","",IF(OR($G132="PT Missed",$G132="PT Modified",$G132="PT Refused"),"Yes","No"))</f>
        <v/>
      </c>
      <c r="L132" s="14" t="n"/>
      <c r="M132" s="14" t="n"/>
      <c r="N132" s="15">
        <f>IF($D132="","",IF($M132="Excused","No",IF(AND($G132="PT Modified",$L132="Received"),"No","Yes")))</f>
        <v/>
      </c>
      <c r="O132" s="14" t="n"/>
    </row>
    <row r="133">
      <c r="B133" s="15">
        <f>IF($D133="","","A"&amp;TEXT(ROW()-5,"000"))</f>
        <v/>
      </c>
      <c r="C133" s="16" t="n"/>
      <c r="D133" s="14" t="n"/>
      <c r="E133" s="15">
        <f>IF($D133="","",IFERROR(INDEX(rngCadetPIDs,MATCH($D133,rngCadetNames,0)),"?"))</f>
        <v/>
      </c>
      <c r="F133" s="15">
        <f>IF($E133="","",IFERROR(INDEX(nrCadetAgency,MATCH($E133,rngCadetPIDs,0)),""))</f>
        <v/>
      </c>
      <c r="G133" s="14" t="n"/>
      <c r="H133" s="14" t="n"/>
      <c r="I133" s="14" t="n"/>
      <c r="J133" s="14" t="n"/>
      <c r="K133" s="15">
        <f>IF($G133="","",IF(OR($G133="PT Missed",$G133="PT Modified",$G133="PT Refused"),"Yes","No"))</f>
        <v/>
      </c>
      <c r="L133" s="14" t="n"/>
      <c r="M133" s="14" t="n"/>
      <c r="N133" s="15">
        <f>IF($D133="","",IF($M133="Excused","No",IF(AND($G133="PT Modified",$L133="Received"),"No","Yes")))</f>
        <v/>
      </c>
      <c r="O133" s="14" t="n"/>
    </row>
    <row r="134">
      <c r="B134" s="15">
        <f>IF($D134="","","A"&amp;TEXT(ROW()-5,"000"))</f>
        <v/>
      </c>
      <c r="C134" s="16" t="n"/>
      <c r="D134" s="14" t="n"/>
      <c r="E134" s="15">
        <f>IF($D134="","",IFERROR(INDEX(rngCadetPIDs,MATCH($D134,rngCadetNames,0)),"?"))</f>
        <v/>
      </c>
      <c r="F134" s="15">
        <f>IF($E134="","",IFERROR(INDEX(nrCadetAgency,MATCH($E134,rngCadetPIDs,0)),""))</f>
        <v/>
      </c>
      <c r="G134" s="14" t="n"/>
      <c r="H134" s="14" t="n"/>
      <c r="I134" s="14" t="n"/>
      <c r="J134" s="14" t="n"/>
      <c r="K134" s="15">
        <f>IF($G134="","",IF(OR($G134="PT Missed",$G134="PT Modified",$G134="PT Refused"),"Yes","No"))</f>
        <v/>
      </c>
      <c r="L134" s="14" t="n"/>
      <c r="M134" s="14" t="n"/>
      <c r="N134" s="15">
        <f>IF($D134="","",IF($M134="Excused","No",IF(AND($G134="PT Modified",$L134="Received"),"No","Yes")))</f>
        <v/>
      </c>
      <c r="O134" s="14" t="n"/>
    </row>
    <row r="135">
      <c r="B135" s="15">
        <f>IF($D135="","","A"&amp;TEXT(ROW()-5,"000"))</f>
        <v/>
      </c>
      <c r="C135" s="16" t="n"/>
      <c r="D135" s="14" t="n"/>
      <c r="E135" s="15">
        <f>IF($D135="","",IFERROR(INDEX(rngCadetPIDs,MATCH($D135,rngCadetNames,0)),"?"))</f>
        <v/>
      </c>
      <c r="F135" s="15">
        <f>IF($E135="","",IFERROR(INDEX(nrCadetAgency,MATCH($E135,rngCadetPIDs,0)),""))</f>
        <v/>
      </c>
      <c r="G135" s="14" t="n"/>
      <c r="H135" s="14" t="n"/>
      <c r="I135" s="14" t="n"/>
      <c r="J135" s="14" t="n"/>
      <c r="K135" s="15">
        <f>IF($G135="","",IF(OR($G135="PT Missed",$G135="PT Modified",$G135="PT Refused"),"Yes","No"))</f>
        <v/>
      </c>
      <c r="L135" s="14" t="n"/>
      <c r="M135" s="14" t="n"/>
      <c r="N135" s="15">
        <f>IF($D135="","",IF($M135="Excused","No",IF(AND($G135="PT Modified",$L135="Received"),"No","Yes")))</f>
        <v/>
      </c>
      <c r="O135" s="14" t="n"/>
    </row>
    <row r="136">
      <c r="B136" s="15">
        <f>IF($D136="","","A"&amp;TEXT(ROW()-5,"000"))</f>
        <v/>
      </c>
      <c r="C136" s="16" t="n"/>
      <c r="D136" s="14" t="n"/>
      <c r="E136" s="15">
        <f>IF($D136="","",IFERROR(INDEX(rngCadetPIDs,MATCH($D136,rngCadetNames,0)),"?"))</f>
        <v/>
      </c>
      <c r="F136" s="15">
        <f>IF($E136="","",IFERROR(INDEX(nrCadetAgency,MATCH($E136,rngCadetPIDs,0)),""))</f>
        <v/>
      </c>
      <c r="G136" s="14" t="n"/>
      <c r="H136" s="14" t="n"/>
      <c r="I136" s="14" t="n"/>
      <c r="J136" s="14" t="n"/>
      <c r="K136" s="15">
        <f>IF($G136="","",IF(OR($G136="PT Missed",$G136="PT Modified",$G136="PT Refused"),"Yes","No"))</f>
        <v/>
      </c>
      <c r="L136" s="14" t="n"/>
      <c r="M136" s="14" t="n"/>
      <c r="N136" s="15">
        <f>IF($D136="","",IF($M136="Excused","No",IF(AND($G136="PT Modified",$L136="Received"),"No","Yes")))</f>
        <v/>
      </c>
      <c r="O136" s="14" t="n"/>
    </row>
    <row r="137">
      <c r="B137" s="15">
        <f>IF($D137="","","A"&amp;TEXT(ROW()-5,"000"))</f>
        <v/>
      </c>
      <c r="C137" s="16" t="n"/>
      <c r="D137" s="14" t="n"/>
      <c r="E137" s="15">
        <f>IF($D137="","",IFERROR(INDEX(rngCadetPIDs,MATCH($D137,rngCadetNames,0)),"?"))</f>
        <v/>
      </c>
      <c r="F137" s="15">
        <f>IF($E137="","",IFERROR(INDEX(nrCadetAgency,MATCH($E137,rngCadetPIDs,0)),""))</f>
        <v/>
      </c>
      <c r="G137" s="14" t="n"/>
      <c r="H137" s="14" t="n"/>
      <c r="I137" s="14" t="n"/>
      <c r="J137" s="14" t="n"/>
      <c r="K137" s="15">
        <f>IF($G137="","",IF(OR($G137="PT Missed",$G137="PT Modified",$G137="PT Refused"),"Yes","No"))</f>
        <v/>
      </c>
      <c r="L137" s="14" t="n"/>
      <c r="M137" s="14" t="n"/>
      <c r="N137" s="15">
        <f>IF($D137="","",IF($M137="Excused","No",IF(AND($G137="PT Modified",$L137="Received"),"No","Yes")))</f>
        <v/>
      </c>
      <c r="O137" s="14" t="n"/>
    </row>
    <row r="138">
      <c r="B138" s="15">
        <f>IF($D138="","","A"&amp;TEXT(ROW()-5,"000"))</f>
        <v/>
      </c>
      <c r="C138" s="16" t="n"/>
      <c r="D138" s="14" t="n"/>
      <c r="E138" s="15">
        <f>IF($D138="","",IFERROR(INDEX(rngCadetPIDs,MATCH($D138,rngCadetNames,0)),"?"))</f>
        <v/>
      </c>
      <c r="F138" s="15">
        <f>IF($E138="","",IFERROR(INDEX(nrCadetAgency,MATCH($E138,rngCadetPIDs,0)),""))</f>
        <v/>
      </c>
      <c r="G138" s="14" t="n"/>
      <c r="H138" s="14" t="n"/>
      <c r="I138" s="14" t="n"/>
      <c r="J138" s="14" t="n"/>
      <c r="K138" s="15">
        <f>IF($G138="","",IF(OR($G138="PT Missed",$G138="PT Modified",$G138="PT Refused"),"Yes","No"))</f>
        <v/>
      </c>
      <c r="L138" s="14" t="n"/>
      <c r="M138" s="14" t="n"/>
      <c r="N138" s="15">
        <f>IF($D138="","",IF($M138="Excused","No",IF(AND($G138="PT Modified",$L138="Received"),"No","Yes")))</f>
        <v/>
      </c>
      <c r="O138" s="14" t="n"/>
    </row>
    <row r="139">
      <c r="B139" s="15">
        <f>IF($D139="","","A"&amp;TEXT(ROW()-5,"000"))</f>
        <v/>
      </c>
      <c r="C139" s="16" t="n"/>
      <c r="D139" s="14" t="n"/>
      <c r="E139" s="15">
        <f>IF($D139="","",IFERROR(INDEX(rngCadetPIDs,MATCH($D139,rngCadetNames,0)),"?"))</f>
        <v/>
      </c>
      <c r="F139" s="15">
        <f>IF($E139="","",IFERROR(INDEX(nrCadetAgency,MATCH($E139,rngCadetPIDs,0)),""))</f>
        <v/>
      </c>
      <c r="G139" s="14" t="n"/>
      <c r="H139" s="14" t="n"/>
      <c r="I139" s="14" t="n"/>
      <c r="J139" s="14" t="n"/>
      <c r="K139" s="15">
        <f>IF($G139="","",IF(OR($G139="PT Missed",$G139="PT Modified",$G139="PT Refused"),"Yes","No"))</f>
        <v/>
      </c>
      <c r="L139" s="14" t="n"/>
      <c r="M139" s="14" t="n"/>
      <c r="N139" s="15">
        <f>IF($D139="","",IF($M139="Excused","No",IF(AND($G139="PT Modified",$L139="Received"),"No","Yes")))</f>
        <v/>
      </c>
      <c r="O139" s="14" t="n"/>
    </row>
    <row r="140">
      <c r="B140" s="15">
        <f>IF($D140="","","A"&amp;TEXT(ROW()-5,"000"))</f>
        <v/>
      </c>
      <c r="C140" s="16" t="n"/>
      <c r="D140" s="14" t="n"/>
      <c r="E140" s="15">
        <f>IF($D140="","",IFERROR(INDEX(rngCadetPIDs,MATCH($D140,rngCadetNames,0)),"?"))</f>
        <v/>
      </c>
      <c r="F140" s="15">
        <f>IF($E140="","",IFERROR(INDEX(nrCadetAgency,MATCH($E140,rngCadetPIDs,0)),""))</f>
        <v/>
      </c>
      <c r="G140" s="14" t="n"/>
      <c r="H140" s="14" t="n"/>
      <c r="I140" s="14" t="n"/>
      <c r="J140" s="14" t="n"/>
      <c r="K140" s="15">
        <f>IF($G140="","",IF(OR($G140="PT Missed",$G140="PT Modified",$G140="PT Refused"),"Yes","No"))</f>
        <v/>
      </c>
      <c r="L140" s="14" t="n"/>
      <c r="M140" s="14" t="n"/>
      <c r="N140" s="15">
        <f>IF($D140="","",IF($M140="Excused","No",IF(AND($G140="PT Modified",$L140="Received"),"No","Yes")))</f>
        <v/>
      </c>
      <c r="O140" s="14" t="n"/>
    </row>
    <row r="141">
      <c r="B141" s="15">
        <f>IF($D141="","","A"&amp;TEXT(ROW()-5,"000"))</f>
        <v/>
      </c>
      <c r="C141" s="16" t="n"/>
      <c r="D141" s="14" t="n"/>
      <c r="E141" s="15">
        <f>IF($D141="","",IFERROR(INDEX(rngCadetPIDs,MATCH($D141,rngCadetNames,0)),"?"))</f>
        <v/>
      </c>
      <c r="F141" s="15">
        <f>IF($E141="","",IFERROR(INDEX(nrCadetAgency,MATCH($E141,rngCadetPIDs,0)),""))</f>
        <v/>
      </c>
      <c r="G141" s="14" t="n"/>
      <c r="H141" s="14" t="n"/>
      <c r="I141" s="14" t="n"/>
      <c r="J141" s="14" t="n"/>
      <c r="K141" s="15">
        <f>IF($G141="","",IF(OR($G141="PT Missed",$G141="PT Modified",$G141="PT Refused"),"Yes","No"))</f>
        <v/>
      </c>
      <c r="L141" s="14" t="n"/>
      <c r="M141" s="14" t="n"/>
      <c r="N141" s="15">
        <f>IF($D141="","",IF($M141="Excused","No",IF(AND($G141="PT Modified",$L141="Received"),"No","Yes")))</f>
        <v/>
      </c>
      <c r="O141" s="14" t="n"/>
    </row>
    <row r="142">
      <c r="B142" s="15">
        <f>IF($D142="","","A"&amp;TEXT(ROW()-5,"000"))</f>
        <v/>
      </c>
      <c r="C142" s="16" t="n"/>
      <c r="D142" s="14" t="n"/>
      <c r="E142" s="15">
        <f>IF($D142="","",IFERROR(INDEX(rngCadetPIDs,MATCH($D142,rngCadetNames,0)),"?"))</f>
        <v/>
      </c>
      <c r="F142" s="15">
        <f>IF($E142="","",IFERROR(INDEX(nrCadetAgency,MATCH($E142,rngCadetPIDs,0)),""))</f>
        <v/>
      </c>
      <c r="G142" s="14" t="n"/>
      <c r="H142" s="14" t="n"/>
      <c r="I142" s="14" t="n"/>
      <c r="J142" s="14" t="n"/>
      <c r="K142" s="15">
        <f>IF($G142="","",IF(OR($G142="PT Missed",$G142="PT Modified",$G142="PT Refused"),"Yes","No"))</f>
        <v/>
      </c>
      <c r="L142" s="14" t="n"/>
      <c r="M142" s="14" t="n"/>
      <c r="N142" s="15">
        <f>IF($D142="","",IF($M142="Excused","No",IF(AND($G142="PT Modified",$L142="Received"),"No","Yes")))</f>
        <v/>
      </c>
      <c r="O142" s="14" t="n"/>
    </row>
    <row r="143">
      <c r="B143" s="15">
        <f>IF($D143="","","A"&amp;TEXT(ROW()-5,"000"))</f>
        <v/>
      </c>
      <c r="C143" s="16" t="n"/>
      <c r="D143" s="14" t="n"/>
      <c r="E143" s="15">
        <f>IF($D143="","",IFERROR(INDEX(rngCadetPIDs,MATCH($D143,rngCadetNames,0)),"?"))</f>
        <v/>
      </c>
      <c r="F143" s="15">
        <f>IF($E143="","",IFERROR(INDEX(nrCadetAgency,MATCH($E143,rngCadetPIDs,0)),""))</f>
        <v/>
      </c>
      <c r="G143" s="14" t="n"/>
      <c r="H143" s="14" t="n"/>
      <c r="I143" s="14" t="n"/>
      <c r="J143" s="14" t="n"/>
      <c r="K143" s="15">
        <f>IF($G143="","",IF(OR($G143="PT Missed",$G143="PT Modified",$G143="PT Refused"),"Yes","No"))</f>
        <v/>
      </c>
      <c r="L143" s="14" t="n"/>
      <c r="M143" s="14" t="n"/>
      <c r="N143" s="15">
        <f>IF($D143="","",IF($M143="Excused","No",IF(AND($G143="PT Modified",$L143="Received"),"No","Yes")))</f>
        <v/>
      </c>
      <c r="O143" s="14" t="n"/>
    </row>
    <row r="144">
      <c r="B144" s="15">
        <f>IF($D144="","","A"&amp;TEXT(ROW()-5,"000"))</f>
        <v/>
      </c>
      <c r="C144" s="16" t="n"/>
      <c r="D144" s="14" t="n"/>
      <c r="E144" s="15">
        <f>IF($D144="","",IFERROR(INDEX(rngCadetPIDs,MATCH($D144,rngCadetNames,0)),"?"))</f>
        <v/>
      </c>
      <c r="F144" s="15">
        <f>IF($E144="","",IFERROR(INDEX(nrCadetAgency,MATCH($E144,rngCadetPIDs,0)),""))</f>
        <v/>
      </c>
      <c r="G144" s="14" t="n"/>
      <c r="H144" s="14" t="n"/>
      <c r="I144" s="14" t="n"/>
      <c r="J144" s="14" t="n"/>
      <c r="K144" s="15">
        <f>IF($G144="","",IF(OR($G144="PT Missed",$G144="PT Modified",$G144="PT Refused"),"Yes","No"))</f>
        <v/>
      </c>
      <c r="L144" s="14" t="n"/>
      <c r="M144" s="14" t="n"/>
      <c r="N144" s="15">
        <f>IF($D144="","",IF($M144="Excused","No",IF(AND($G144="PT Modified",$L144="Received"),"No","Yes")))</f>
        <v/>
      </c>
      <c r="O144" s="14" t="n"/>
    </row>
    <row r="145">
      <c r="B145" s="15">
        <f>IF($D145="","","A"&amp;TEXT(ROW()-5,"000"))</f>
        <v/>
      </c>
      <c r="C145" s="16" t="n"/>
      <c r="D145" s="14" t="n"/>
      <c r="E145" s="15">
        <f>IF($D145="","",IFERROR(INDEX(rngCadetPIDs,MATCH($D145,rngCadetNames,0)),"?"))</f>
        <v/>
      </c>
      <c r="F145" s="15">
        <f>IF($E145="","",IFERROR(INDEX(nrCadetAgency,MATCH($E145,rngCadetPIDs,0)),""))</f>
        <v/>
      </c>
      <c r="G145" s="14" t="n"/>
      <c r="H145" s="14" t="n"/>
      <c r="I145" s="14" t="n"/>
      <c r="J145" s="14" t="n"/>
      <c r="K145" s="15">
        <f>IF($G145="","",IF(OR($G145="PT Missed",$G145="PT Modified",$G145="PT Refused"),"Yes","No"))</f>
        <v/>
      </c>
      <c r="L145" s="14" t="n"/>
      <c r="M145" s="14" t="n"/>
      <c r="N145" s="15">
        <f>IF($D145="","",IF($M145="Excused","No",IF(AND($G145="PT Modified",$L145="Received"),"No","Yes")))</f>
        <v/>
      </c>
      <c r="O145" s="14" t="n"/>
    </row>
    <row r="146">
      <c r="B146" s="15">
        <f>IF($D146="","","A"&amp;TEXT(ROW()-5,"000"))</f>
        <v/>
      </c>
      <c r="C146" s="16" t="n"/>
      <c r="D146" s="14" t="n"/>
      <c r="E146" s="15">
        <f>IF($D146="","",IFERROR(INDEX(rngCadetPIDs,MATCH($D146,rngCadetNames,0)),"?"))</f>
        <v/>
      </c>
      <c r="F146" s="15">
        <f>IF($E146="","",IFERROR(INDEX(nrCadetAgency,MATCH($E146,rngCadetPIDs,0)),""))</f>
        <v/>
      </c>
      <c r="G146" s="14" t="n"/>
      <c r="H146" s="14" t="n"/>
      <c r="I146" s="14" t="n"/>
      <c r="J146" s="14" t="n"/>
      <c r="K146" s="15">
        <f>IF($G146="","",IF(OR($G146="PT Missed",$G146="PT Modified",$G146="PT Refused"),"Yes","No"))</f>
        <v/>
      </c>
      <c r="L146" s="14" t="n"/>
      <c r="M146" s="14" t="n"/>
      <c r="N146" s="15">
        <f>IF($D146="","",IF($M146="Excused","No",IF(AND($G146="PT Modified",$L146="Received"),"No","Yes")))</f>
        <v/>
      </c>
      <c r="O146" s="14" t="n"/>
    </row>
    <row r="147">
      <c r="B147" s="15">
        <f>IF($D147="","","A"&amp;TEXT(ROW()-5,"000"))</f>
        <v/>
      </c>
      <c r="C147" s="16" t="n"/>
      <c r="D147" s="14" t="n"/>
      <c r="E147" s="15">
        <f>IF($D147="","",IFERROR(INDEX(rngCadetPIDs,MATCH($D147,rngCadetNames,0)),"?"))</f>
        <v/>
      </c>
      <c r="F147" s="15">
        <f>IF($E147="","",IFERROR(INDEX(nrCadetAgency,MATCH($E147,rngCadetPIDs,0)),""))</f>
        <v/>
      </c>
      <c r="G147" s="14" t="n"/>
      <c r="H147" s="14" t="n"/>
      <c r="I147" s="14" t="n"/>
      <c r="J147" s="14" t="n"/>
      <c r="K147" s="15">
        <f>IF($G147="","",IF(OR($G147="PT Missed",$G147="PT Modified",$G147="PT Refused"),"Yes","No"))</f>
        <v/>
      </c>
      <c r="L147" s="14" t="n"/>
      <c r="M147" s="14" t="n"/>
      <c r="N147" s="15">
        <f>IF($D147="","",IF($M147="Excused","No",IF(AND($G147="PT Modified",$L147="Received"),"No","Yes")))</f>
        <v/>
      </c>
      <c r="O147" s="14" t="n"/>
    </row>
    <row r="148">
      <c r="B148" s="15">
        <f>IF($D148="","","A"&amp;TEXT(ROW()-5,"000"))</f>
        <v/>
      </c>
      <c r="C148" s="16" t="n"/>
      <c r="D148" s="14" t="n"/>
      <c r="E148" s="15">
        <f>IF($D148="","",IFERROR(INDEX(rngCadetPIDs,MATCH($D148,rngCadetNames,0)),"?"))</f>
        <v/>
      </c>
      <c r="F148" s="15">
        <f>IF($E148="","",IFERROR(INDEX(nrCadetAgency,MATCH($E148,rngCadetPIDs,0)),""))</f>
        <v/>
      </c>
      <c r="G148" s="14" t="n"/>
      <c r="H148" s="14" t="n"/>
      <c r="I148" s="14" t="n"/>
      <c r="J148" s="14" t="n"/>
      <c r="K148" s="15">
        <f>IF($G148="","",IF(OR($G148="PT Missed",$G148="PT Modified",$G148="PT Refused"),"Yes","No"))</f>
        <v/>
      </c>
      <c r="L148" s="14" t="n"/>
      <c r="M148" s="14" t="n"/>
      <c r="N148" s="15">
        <f>IF($D148="","",IF($M148="Excused","No",IF(AND($G148="PT Modified",$L148="Received"),"No","Yes")))</f>
        <v/>
      </c>
      <c r="O148" s="14" t="n"/>
    </row>
    <row r="149">
      <c r="B149" s="15">
        <f>IF($D149="","","A"&amp;TEXT(ROW()-5,"000"))</f>
        <v/>
      </c>
      <c r="C149" s="16" t="n"/>
      <c r="D149" s="14" t="n"/>
      <c r="E149" s="15">
        <f>IF($D149="","",IFERROR(INDEX(rngCadetPIDs,MATCH($D149,rngCadetNames,0)),"?"))</f>
        <v/>
      </c>
      <c r="F149" s="15">
        <f>IF($E149="","",IFERROR(INDEX(nrCadetAgency,MATCH($E149,rngCadetPIDs,0)),""))</f>
        <v/>
      </c>
      <c r="G149" s="14" t="n"/>
      <c r="H149" s="14" t="n"/>
      <c r="I149" s="14" t="n"/>
      <c r="J149" s="14" t="n"/>
      <c r="K149" s="15">
        <f>IF($G149="","",IF(OR($G149="PT Missed",$G149="PT Modified",$G149="PT Refused"),"Yes","No"))</f>
        <v/>
      </c>
      <c r="L149" s="14" t="n"/>
      <c r="M149" s="14" t="n"/>
      <c r="N149" s="15">
        <f>IF($D149="","",IF($M149="Excused","No",IF(AND($G149="PT Modified",$L149="Received"),"No","Yes")))</f>
        <v/>
      </c>
      <c r="O149" s="14" t="n"/>
    </row>
    <row r="150">
      <c r="B150" s="15">
        <f>IF($D150="","","A"&amp;TEXT(ROW()-5,"000"))</f>
        <v/>
      </c>
      <c r="C150" s="16" t="n"/>
      <c r="D150" s="14" t="n"/>
      <c r="E150" s="15">
        <f>IF($D150="","",IFERROR(INDEX(rngCadetPIDs,MATCH($D150,rngCadetNames,0)),"?"))</f>
        <v/>
      </c>
      <c r="F150" s="15">
        <f>IF($E150="","",IFERROR(INDEX(nrCadetAgency,MATCH($E150,rngCadetPIDs,0)),""))</f>
        <v/>
      </c>
      <c r="G150" s="14" t="n"/>
      <c r="H150" s="14" t="n"/>
      <c r="I150" s="14" t="n"/>
      <c r="J150" s="14" t="n"/>
      <c r="K150" s="15">
        <f>IF($G150="","",IF(OR($G150="PT Missed",$G150="PT Modified",$G150="PT Refused"),"Yes","No"))</f>
        <v/>
      </c>
      <c r="L150" s="14" t="n"/>
      <c r="M150" s="14" t="n"/>
      <c r="N150" s="15">
        <f>IF($D150="","",IF($M150="Excused","No",IF(AND($G150="PT Modified",$L150="Received"),"No","Yes")))</f>
        <v/>
      </c>
      <c r="O150" s="14" t="n"/>
    </row>
    <row r="151">
      <c r="B151" s="15">
        <f>IF($D151="","","A"&amp;TEXT(ROW()-5,"000"))</f>
        <v/>
      </c>
      <c r="C151" s="16" t="n"/>
      <c r="D151" s="14" t="n"/>
      <c r="E151" s="15">
        <f>IF($D151="","",IFERROR(INDEX(rngCadetPIDs,MATCH($D151,rngCadetNames,0)),"?"))</f>
        <v/>
      </c>
      <c r="F151" s="15">
        <f>IF($E151="","",IFERROR(INDEX(nrCadetAgency,MATCH($E151,rngCadetPIDs,0)),""))</f>
        <v/>
      </c>
      <c r="G151" s="14" t="n"/>
      <c r="H151" s="14" t="n"/>
      <c r="I151" s="14" t="n"/>
      <c r="J151" s="14" t="n"/>
      <c r="K151" s="15">
        <f>IF($G151="","",IF(OR($G151="PT Missed",$G151="PT Modified",$G151="PT Refused"),"Yes","No"))</f>
        <v/>
      </c>
      <c r="L151" s="14" t="n"/>
      <c r="M151" s="14" t="n"/>
      <c r="N151" s="15">
        <f>IF($D151="","",IF($M151="Excused","No",IF(AND($G151="PT Modified",$L151="Received"),"No","Yes")))</f>
        <v/>
      </c>
      <c r="O151" s="14" t="n"/>
    </row>
    <row r="152">
      <c r="B152" s="15">
        <f>IF($D152="","","A"&amp;TEXT(ROW()-5,"000"))</f>
        <v/>
      </c>
      <c r="C152" s="16" t="n"/>
      <c r="D152" s="14" t="n"/>
      <c r="E152" s="15">
        <f>IF($D152="","",IFERROR(INDEX(rngCadetPIDs,MATCH($D152,rngCadetNames,0)),"?"))</f>
        <v/>
      </c>
      <c r="F152" s="15">
        <f>IF($E152="","",IFERROR(INDEX(nrCadetAgency,MATCH($E152,rngCadetPIDs,0)),""))</f>
        <v/>
      </c>
      <c r="G152" s="14" t="n"/>
      <c r="H152" s="14" t="n"/>
      <c r="I152" s="14" t="n"/>
      <c r="J152" s="14" t="n"/>
      <c r="K152" s="15">
        <f>IF($G152="","",IF(OR($G152="PT Missed",$G152="PT Modified",$G152="PT Refused"),"Yes","No"))</f>
        <v/>
      </c>
      <c r="L152" s="14" t="n"/>
      <c r="M152" s="14" t="n"/>
      <c r="N152" s="15">
        <f>IF($D152="","",IF($M152="Excused","No",IF(AND($G152="PT Modified",$L152="Received"),"No","Yes")))</f>
        <v/>
      </c>
      <c r="O152" s="14" t="n"/>
    </row>
    <row r="153">
      <c r="B153" s="15">
        <f>IF($D153="","","A"&amp;TEXT(ROW()-5,"000"))</f>
        <v/>
      </c>
      <c r="C153" s="16" t="n"/>
      <c r="D153" s="14" t="n"/>
      <c r="E153" s="15">
        <f>IF($D153="","",IFERROR(INDEX(rngCadetPIDs,MATCH($D153,rngCadetNames,0)),"?"))</f>
        <v/>
      </c>
      <c r="F153" s="15">
        <f>IF($E153="","",IFERROR(INDEX(nrCadetAgency,MATCH($E153,rngCadetPIDs,0)),""))</f>
        <v/>
      </c>
      <c r="G153" s="14" t="n"/>
      <c r="H153" s="14" t="n"/>
      <c r="I153" s="14" t="n"/>
      <c r="J153" s="14" t="n"/>
      <c r="K153" s="15">
        <f>IF($G153="","",IF(OR($G153="PT Missed",$G153="PT Modified",$G153="PT Refused"),"Yes","No"))</f>
        <v/>
      </c>
      <c r="L153" s="14" t="n"/>
      <c r="M153" s="14" t="n"/>
      <c r="N153" s="15">
        <f>IF($D153="","",IF($M153="Excused","No",IF(AND($G153="PT Modified",$L153="Received"),"No","Yes")))</f>
        <v/>
      </c>
      <c r="O153" s="14" t="n"/>
    </row>
    <row r="154">
      <c r="B154" s="15">
        <f>IF($D154="","","A"&amp;TEXT(ROW()-5,"000"))</f>
        <v/>
      </c>
      <c r="C154" s="16" t="n"/>
      <c r="D154" s="14" t="n"/>
      <c r="E154" s="15">
        <f>IF($D154="","",IFERROR(INDEX(rngCadetPIDs,MATCH($D154,rngCadetNames,0)),"?"))</f>
        <v/>
      </c>
      <c r="F154" s="15">
        <f>IF($E154="","",IFERROR(INDEX(nrCadetAgency,MATCH($E154,rngCadetPIDs,0)),""))</f>
        <v/>
      </c>
      <c r="G154" s="14" t="n"/>
      <c r="H154" s="14" t="n"/>
      <c r="I154" s="14" t="n"/>
      <c r="J154" s="14" t="n"/>
      <c r="K154" s="15">
        <f>IF($G154="","",IF(OR($G154="PT Missed",$G154="PT Modified",$G154="PT Refused"),"Yes","No"))</f>
        <v/>
      </c>
      <c r="L154" s="14" t="n"/>
      <c r="M154" s="14" t="n"/>
      <c r="N154" s="15">
        <f>IF($D154="","",IF($M154="Excused","No",IF(AND($G154="PT Modified",$L154="Received"),"No","Yes")))</f>
        <v/>
      </c>
      <c r="O154" s="14" t="n"/>
    </row>
    <row r="155">
      <c r="B155" s="15">
        <f>IF($D155="","","A"&amp;TEXT(ROW()-5,"000"))</f>
        <v/>
      </c>
      <c r="C155" s="16" t="n"/>
      <c r="D155" s="14" t="n"/>
      <c r="E155" s="15">
        <f>IF($D155="","",IFERROR(INDEX(rngCadetPIDs,MATCH($D155,rngCadetNames,0)),"?"))</f>
        <v/>
      </c>
      <c r="F155" s="15">
        <f>IF($E155="","",IFERROR(INDEX(nrCadetAgency,MATCH($E155,rngCadetPIDs,0)),""))</f>
        <v/>
      </c>
      <c r="G155" s="14" t="n"/>
      <c r="H155" s="14" t="n"/>
      <c r="I155" s="14" t="n"/>
      <c r="J155" s="14" t="n"/>
      <c r="K155" s="15">
        <f>IF($G155="","",IF(OR($G155="PT Missed",$G155="PT Modified",$G155="PT Refused"),"Yes","No"))</f>
        <v/>
      </c>
      <c r="L155" s="14" t="n"/>
      <c r="M155" s="14" t="n"/>
      <c r="N155" s="15">
        <f>IF($D155="","",IF($M155="Excused","No",IF(AND($G155="PT Modified",$L155="Received"),"No","Yes")))</f>
        <v/>
      </c>
      <c r="O155" s="14" t="n"/>
    </row>
    <row r="156">
      <c r="B156" s="15">
        <f>IF($D156="","","A"&amp;TEXT(ROW()-5,"000"))</f>
        <v/>
      </c>
      <c r="C156" s="16" t="n"/>
      <c r="D156" s="14" t="n"/>
      <c r="E156" s="15">
        <f>IF($D156="","",IFERROR(INDEX(rngCadetPIDs,MATCH($D156,rngCadetNames,0)),"?"))</f>
        <v/>
      </c>
      <c r="F156" s="15">
        <f>IF($E156="","",IFERROR(INDEX(nrCadetAgency,MATCH($E156,rngCadetPIDs,0)),""))</f>
        <v/>
      </c>
      <c r="G156" s="14" t="n"/>
      <c r="H156" s="14" t="n"/>
      <c r="I156" s="14" t="n"/>
      <c r="J156" s="14" t="n"/>
      <c r="K156" s="15">
        <f>IF($G156="","",IF(OR($G156="PT Missed",$G156="PT Modified",$G156="PT Refused"),"Yes","No"))</f>
        <v/>
      </c>
      <c r="L156" s="14" t="n"/>
      <c r="M156" s="14" t="n"/>
      <c r="N156" s="15">
        <f>IF($D156="","",IF($M156="Excused","No",IF(AND($G156="PT Modified",$L156="Received"),"No","Yes")))</f>
        <v/>
      </c>
      <c r="O156" s="14" t="n"/>
    </row>
    <row r="157">
      <c r="B157" s="15">
        <f>IF($D157="","","A"&amp;TEXT(ROW()-5,"000"))</f>
        <v/>
      </c>
      <c r="C157" s="16" t="n"/>
      <c r="D157" s="14" t="n"/>
      <c r="E157" s="15">
        <f>IF($D157="","",IFERROR(INDEX(rngCadetPIDs,MATCH($D157,rngCadetNames,0)),"?"))</f>
        <v/>
      </c>
      <c r="F157" s="15">
        <f>IF($E157="","",IFERROR(INDEX(nrCadetAgency,MATCH($E157,rngCadetPIDs,0)),""))</f>
        <v/>
      </c>
      <c r="G157" s="14" t="n"/>
      <c r="H157" s="14" t="n"/>
      <c r="I157" s="14" t="n"/>
      <c r="J157" s="14" t="n"/>
      <c r="K157" s="15">
        <f>IF($G157="","",IF(OR($G157="PT Missed",$G157="PT Modified",$G157="PT Refused"),"Yes","No"))</f>
        <v/>
      </c>
      <c r="L157" s="14" t="n"/>
      <c r="M157" s="14" t="n"/>
      <c r="N157" s="15">
        <f>IF($D157="","",IF($M157="Excused","No",IF(AND($G157="PT Modified",$L157="Received"),"No","Yes")))</f>
        <v/>
      </c>
      <c r="O157" s="14" t="n"/>
    </row>
    <row r="158">
      <c r="B158" s="15">
        <f>IF($D158="","","A"&amp;TEXT(ROW()-5,"000"))</f>
        <v/>
      </c>
      <c r="C158" s="16" t="n"/>
      <c r="D158" s="14" t="n"/>
      <c r="E158" s="15">
        <f>IF($D158="","",IFERROR(INDEX(rngCadetPIDs,MATCH($D158,rngCadetNames,0)),"?"))</f>
        <v/>
      </c>
      <c r="F158" s="15">
        <f>IF($E158="","",IFERROR(INDEX(nrCadetAgency,MATCH($E158,rngCadetPIDs,0)),""))</f>
        <v/>
      </c>
      <c r="G158" s="14" t="n"/>
      <c r="H158" s="14" t="n"/>
      <c r="I158" s="14" t="n"/>
      <c r="J158" s="14" t="n"/>
      <c r="K158" s="15">
        <f>IF($G158="","",IF(OR($G158="PT Missed",$G158="PT Modified",$G158="PT Refused"),"Yes","No"))</f>
        <v/>
      </c>
      <c r="L158" s="14" t="n"/>
      <c r="M158" s="14" t="n"/>
      <c r="N158" s="15">
        <f>IF($D158="","",IF($M158="Excused","No",IF(AND($G158="PT Modified",$L158="Received"),"No","Yes")))</f>
        <v/>
      </c>
      <c r="O158" s="14" t="n"/>
    </row>
    <row r="159">
      <c r="B159" s="15">
        <f>IF($D159="","","A"&amp;TEXT(ROW()-5,"000"))</f>
        <v/>
      </c>
      <c r="C159" s="16" t="n"/>
      <c r="D159" s="14" t="n"/>
      <c r="E159" s="15">
        <f>IF($D159="","",IFERROR(INDEX(rngCadetPIDs,MATCH($D159,rngCadetNames,0)),"?"))</f>
        <v/>
      </c>
      <c r="F159" s="15">
        <f>IF($E159="","",IFERROR(INDEX(nrCadetAgency,MATCH($E159,rngCadetPIDs,0)),""))</f>
        <v/>
      </c>
      <c r="G159" s="14" t="n"/>
      <c r="H159" s="14" t="n"/>
      <c r="I159" s="14" t="n"/>
      <c r="J159" s="14" t="n"/>
      <c r="K159" s="15">
        <f>IF($G159="","",IF(OR($G159="PT Missed",$G159="PT Modified",$G159="PT Refused"),"Yes","No"))</f>
        <v/>
      </c>
      <c r="L159" s="14" t="n"/>
      <c r="M159" s="14" t="n"/>
      <c r="N159" s="15">
        <f>IF($D159="","",IF($M159="Excused","No",IF(AND($G159="PT Modified",$L159="Received"),"No","Yes")))</f>
        <v/>
      </c>
      <c r="O159" s="14" t="n"/>
    </row>
    <row r="160">
      <c r="B160" s="15">
        <f>IF($D160="","","A"&amp;TEXT(ROW()-5,"000"))</f>
        <v/>
      </c>
      <c r="C160" s="16" t="n"/>
      <c r="D160" s="14" t="n"/>
      <c r="E160" s="15">
        <f>IF($D160="","",IFERROR(INDEX(rngCadetPIDs,MATCH($D160,rngCadetNames,0)),"?"))</f>
        <v/>
      </c>
      <c r="F160" s="15">
        <f>IF($E160="","",IFERROR(INDEX(nrCadetAgency,MATCH($E160,rngCadetPIDs,0)),""))</f>
        <v/>
      </c>
      <c r="G160" s="14" t="n"/>
      <c r="H160" s="14" t="n"/>
      <c r="I160" s="14" t="n"/>
      <c r="J160" s="14" t="n"/>
      <c r="K160" s="15">
        <f>IF($G160="","",IF(OR($G160="PT Missed",$G160="PT Modified",$G160="PT Refused"),"Yes","No"))</f>
        <v/>
      </c>
      <c r="L160" s="14" t="n"/>
      <c r="M160" s="14" t="n"/>
      <c r="N160" s="15">
        <f>IF($D160="","",IF($M160="Excused","No",IF(AND($G160="PT Modified",$L160="Received"),"No","Yes")))</f>
        <v/>
      </c>
      <c r="O160" s="14" t="n"/>
    </row>
    <row r="161">
      <c r="B161" s="15">
        <f>IF($D161="","","A"&amp;TEXT(ROW()-5,"000"))</f>
        <v/>
      </c>
      <c r="C161" s="16" t="n"/>
      <c r="D161" s="14" t="n"/>
      <c r="E161" s="15">
        <f>IF($D161="","",IFERROR(INDEX(rngCadetPIDs,MATCH($D161,rngCadetNames,0)),"?"))</f>
        <v/>
      </c>
      <c r="F161" s="15">
        <f>IF($E161="","",IFERROR(INDEX(nrCadetAgency,MATCH($E161,rngCadetPIDs,0)),""))</f>
        <v/>
      </c>
      <c r="G161" s="14" t="n"/>
      <c r="H161" s="14" t="n"/>
      <c r="I161" s="14" t="n"/>
      <c r="J161" s="14" t="n"/>
      <c r="K161" s="15">
        <f>IF($G161="","",IF(OR($G161="PT Missed",$G161="PT Modified",$G161="PT Refused"),"Yes","No"))</f>
        <v/>
      </c>
      <c r="L161" s="14" t="n"/>
      <c r="M161" s="14" t="n"/>
      <c r="N161" s="15">
        <f>IF($D161="","",IF($M161="Excused","No",IF(AND($G161="PT Modified",$L161="Received"),"No","Yes")))</f>
        <v/>
      </c>
      <c r="O161" s="14" t="n"/>
    </row>
    <row r="162">
      <c r="B162" s="15">
        <f>IF($D162="","","A"&amp;TEXT(ROW()-5,"000"))</f>
        <v/>
      </c>
      <c r="C162" s="16" t="n"/>
      <c r="D162" s="14" t="n"/>
      <c r="E162" s="15">
        <f>IF($D162="","",IFERROR(INDEX(rngCadetPIDs,MATCH($D162,rngCadetNames,0)),"?"))</f>
        <v/>
      </c>
      <c r="F162" s="15">
        <f>IF($E162="","",IFERROR(INDEX(nrCadetAgency,MATCH($E162,rngCadetPIDs,0)),""))</f>
        <v/>
      </c>
      <c r="G162" s="14" t="n"/>
      <c r="H162" s="14" t="n"/>
      <c r="I162" s="14" t="n"/>
      <c r="J162" s="14" t="n"/>
      <c r="K162" s="15">
        <f>IF($G162="","",IF(OR($G162="PT Missed",$G162="PT Modified",$G162="PT Refused"),"Yes","No"))</f>
        <v/>
      </c>
      <c r="L162" s="14" t="n"/>
      <c r="M162" s="14" t="n"/>
      <c r="N162" s="15">
        <f>IF($D162="","",IF($M162="Excused","No",IF(AND($G162="PT Modified",$L162="Received"),"No","Yes")))</f>
        <v/>
      </c>
      <c r="O162" s="14" t="n"/>
    </row>
    <row r="163">
      <c r="B163" s="15">
        <f>IF($D163="","","A"&amp;TEXT(ROW()-5,"000"))</f>
        <v/>
      </c>
      <c r="C163" s="16" t="n"/>
      <c r="D163" s="14" t="n"/>
      <c r="E163" s="15">
        <f>IF($D163="","",IFERROR(INDEX(rngCadetPIDs,MATCH($D163,rngCadetNames,0)),"?"))</f>
        <v/>
      </c>
      <c r="F163" s="15">
        <f>IF($E163="","",IFERROR(INDEX(nrCadetAgency,MATCH($E163,rngCadetPIDs,0)),""))</f>
        <v/>
      </c>
      <c r="G163" s="14" t="n"/>
      <c r="H163" s="14" t="n"/>
      <c r="I163" s="14" t="n"/>
      <c r="J163" s="14" t="n"/>
      <c r="K163" s="15">
        <f>IF($G163="","",IF(OR($G163="PT Missed",$G163="PT Modified",$G163="PT Refused"),"Yes","No"))</f>
        <v/>
      </c>
      <c r="L163" s="14" t="n"/>
      <c r="M163" s="14" t="n"/>
      <c r="N163" s="15">
        <f>IF($D163="","",IF($M163="Excused","No",IF(AND($G163="PT Modified",$L163="Received"),"No","Yes")))</f>
        <v/>
      </c>
      <c r="O163" s="14" t="n"/>
    </row>
    <row r="164">
      <c r="B164" s="15">
        <f>IF($D164="","","A"&amp;TEXT(ROW()-5,"000"))</f>
        <v/>
      </c>
      <c r="C164" s="16" t="n"/>
      <c r="D164" s="14" t="n"/>
      <c r="E164" s="15">
        <f>IF($D164="","",IFERROR(INDEX(rngCadetPIDs,MATCH($D164,rngCadetNames,0)),"?"))</f>
        <v/>
      </c>
      <c r="F164" s="15">
        <f>IF($E164="","",IFERROR(INDEX(nrCadetAgency,MATCH($E164,rngCadetPIDs,0)),""))</f>
        <v/>
      </c>
      <c r="G164" s="14" t="n"/>
      <c r="H164" s="14" t="n"/>
      <c r="I164" s="14" t="n"/>
      <c r="J164" s="14" t="n"/>
      <c r="K164" s="15">
        <f>IF($G164="","",IF(OR($G164="PT Missed",$G164="PT Modified",$G164="PT Refused"),"Yes","No"))</f>
        <v/>
      </c>
      <c r="L164" s="14" t="n"/>
      <c r="M164" s="14" t="n"/>
      <c r="N164" s="15">
        <f>IF($D164="","",IF($M164="Excused","No",IF(AND($G164="PT Modified",$L164="Received"),"No","Yes")))</f>
        <v/>
      </c>
      <c r="O164" s="14" t="n"/>
    </row>
    <row r="165">
      <c r="B165" s="15">
        <f>IF($D165="","","A"&amp;TEXT(ROW()-5,"000"))</f>
        <v/>
      </c>
      <c r="C165" s="16" t="n"/>
      <c r="D165" s="14" t="n"/>
      <c r="E165" s="15">
        <f>IF($D165="","",IFERROR(INDEX(rngCadetPIDs,MATCH($D165,rngCadetNames,0)),"?"))</f>
        <v/>
      </c>
      <c r="F165" s="15">
        <f>IF($E165="","",IFERROR(INDEX(nrCadetAgency,MATCH($E165,rngCadetPIDs,0)),""))</f>
        <v/>
      </c>
      <c r="G165" s="14" t="n"/>
      <c r="H165" s="14" t="n"/>
      <c r="I165" s="14" t="n"/>
      <c r="J165" s="14" t="n"/>
      <c r="K165" s="15">
        <f>IF($G165="","",IF(OR($G165="PT Missed",$G165="PT Modified",$G165="PT Refused"),"Yes","No"))</f>
        <v/>
      </c>
      <c r="L165" s="14" t="n"/>
      <c r="M165" s="14" t="n"/>
      <c r="N165" s="15">
        <f>IF($D165="","",IF($M165="Excused","No",IF(AND($G165="PT Modified",$L165="Received"),"No","Yes")))</f>
        <v/>
      </c>
      <c r="O165" s="14" t="n"/>
    </row>
    <row r="166">
      <c r="B166" s="15">
        <f>IF($D166="","","A"&amp;TEXT(ROW()-5,"000"))</f>
        <v/>
      </c>
      <c r="C166" s="16" t="n"/>
      <c r="D166" s="14" t="n"/>
      <c r="E166" s="15">
        <f>IF($D166="","",IFERROR(INDEX(rngCadetPIDs,MATCH($D166,rngCadetNames,0)),"?"))</f>
        <v/>
      </c>
      <c r="F166" s="15">
        <f>IF($E166="","",IFERROR(INDEX(nrCadetAgency,MATCH($E166,rngCadetPIDs,0)),""))</f>
        <v/>
      </c>
      <c r="G166" s="14" t="n"/>
      <c r="H166" s="14" t="n"/>
      <c r="I166" s="14" t="n"/>
      <c r="J166" s="14" t="n"/>
      <c r="K166" s="15">
        <f>IF($G166="","",IF(OR($G166="PT Missed",$G166="PT Modified",$G166="PT Refused"),"Yes","No"))</f>
        <v/>
      </c>
      <c r="L166" s="14" t="n"/>
      <c r="M166" s="14" t="n"/>
      <c r="N166" s="15">
        <f>IF($D166="","",IF($M166="Excused","No",IF(AND($G166="PT Modified",$L166="Received"),"No","Yes")))</f>
        <v/>
      </c>
      <c r="O166" s="14" t="n"/>
    </row>
    <row r="167">
      <c r="B167" s="15">
        <f>IF($D167="","","A"&amp;TEXT(ROW()-5,"000"))</f>
        <v/>
      </c>
      <c r="C167" s="16" t="n"/>
      <c r="D167" s="14" t="n"/>
      <c r="E167" s="15">
        <f>IF($D167="","",IFERROR(INDEX(rngCadetPIDs,MATCH($D167,rngCadetNames,0)),"?"))</f>
        <v/>
      </c>
      <c r="F167" s="15">
        <f>IF($E167="","",IFERROR(INDEX(nrCadetAgency,MATCH($E167,rngCadetPIDs,0)),""))</f>
        <v/>
      </c>
      <c r="G167" s="14" t="n"/>
      <c r="H167" s="14" t="n"/>
      <c r="I167" s="14" t="n"/>
      <c r="J167" s="14" t="n"/>
      <c r="K167" s="15">
        <f>IF($G167="","",IF(OR($G167="PT Missed",$G167="PT Modified",$G167="PT Refused"),"Yes","No"))</f>
        <v/>
      </c>
      <c r="L167" s="14" t="n"/>
      <c r="M167" s="14" t="n"/>
      <c r="N167" s="15">
        <f>IF($D167="","",IF($M167="Excused","No",IF(AND($G167="PT Modified",$L167="Received"),"No","Yes")))</f>
        <v/>
      </c>
      <c r="O167" s="14" t="n"/>
    </row>
    <row r="168">
      <c r="B168" s="15">
        <f>IF($D168="","","A"&amp;TEXT(ROW()-5,"000"))</f>
        <v/>
      </c>
      <c r="C168" s="16" t="n"/>
      <c r="D168" s="14" t="n"/>
      <c r="E168" s="15">
        <f>IF($D168="","",IFERROR(INDEX(rngCadetPIDs,MATCH($D168,rngCadetNames,0)),"?"))</f>
        <v/>
      </c>
      <c r="F168" s="15">
        <f>IF($E168="","",IFERROR(INDEX(nrCadetAgency,MATCH($E168,rngCadetPIDs,0)),""))</f>
        <v/>
      </c>
      <c r="G168" s="14" t="n"/>
      <c r="H168" s="14" t="n"/>
      <c r="I168" s="14" t="n"/>
      <c r="J168" s="14" t="n"/>
      <c r="K168" s="15">
        <f>IF($G168="","",IF(OR($G168="PT Missed",$G168="PT Modified",$G168="PT Refused"),"Yes","No"))</f>
        <v/>
      </c>
      <c r="L168" s="14" t="n"/>
      <c r="M168" s="14" t="n"/>
      <c r="N168" s="15">
        <f>IF($D168="","",IF($M168="Excused","No",IF(AND($G168="PT Modified",$L168="Received"),"No","Yes")))</f>
        <v/>
      </c>
      <c r="O168" s="14" t="n"/>
    </row>
    <row r="169">
      <c r="B169" s="15">
        <f>IF($D169="","","A"&amp;TEXT(ROW()-5,"000"))</f>
        <v/>
      </c>
      <c r="C169" s="16" t="n"/>
      <c r="D169" s="14" t="n"/>
      <c r="E169" s="15">
        <f>IF($D169="","",IFERROR(INDEX(rngCadetPIDs,MATCH($D169,rngCadetNames,0)),"?"))</f>
        <v/>
      </c>
      <c r="F169" s="15">
        <f>IF($E169="","",IFERROR(INDEX(nrCadetAgency,MATCH($E169,rngCadetPIDs,0)),""))</f>
        <v/>
      </c>
      <c r="G169" s="14" t="n"/>
      <c r="H169" s="14" t="n"/>
      <c r="I169" s="14" t="n"/>
      <c r="J169" s="14" t="n"/>
      <c r="K169" s="15">
        <f>IF($G169="","",IF(OR($G169="PT Missed",$G169="PT Modified",$G169="PT Refused"),"Yes","No"))</f>
        <v/>
      </c>
      <c r="L169" s="14" t="n"/>
      <c r="M169" s="14" t="n"/>
      <c r="N169" s="15">
        <f>IF($D169="","",IF($M169="Excused","No",IF(AND($G169="PT Modified",$L169="Received"),"No","Yes")))</f>
        <v/>
      </c>
      <c r="O169" s="14" t="n"/>
    </row>
    <row r="170">
      <c r="B170" s="15">
        <f>IF($D170="","","A"&amp;TEXT(ROW()-5,"000"))</f>
        <v/>
      </c>
      <c r="C170" s="16" t="n"/>
      <c r="D170" s="14" t="n"/>
      <c r="E170" s="15">
        <f>IF($D170="","",IFERROR(INDEX(rngCadetPIDs,MATCH($D170,rngCadetNames,0)),"?"))</f>
        <v/>
      </c>
      <c r="F170" s="15">
        <f>IF($E170="","",IFERROR(INDEX(nrCadetAgency,MATCH($E170,rngCadetPIDs,0)),""))</f>
        <v/>
      </c>
      <c r="G170" s="14" t="n"/>
      <c r="H170" s="14" t="n"/>
      <c r="I170" s="14" t="n"/>
      <c r="J170" s="14" t="n"/>
      <c r="K170" s="15">
        <f>IF($G170="","",IF(OR($G170="PT Missed",$G170="PT Modified",$G170="PT Refused"),"Yes","No"))</f>
        <v/>
      </c>
      <c r="L170" s="14" t="n"/>
      <c r="M170" s="14" t="n"/>
      <c r="N170" s="15">
        <f>IF($D170="","",IF($M170="Excused","No",IF(AND($G170="PT Modified",$L170="Received"),"No","Yes")))</f>
        <v/>
      </c>
      <c r="O170" s="14" t="n"/>
    </row>
    <row r="171">
      <c r="B171" s="15">
        <f>IF($D171="","","A"&amp;TEXT(ROW()-5,"000"))</f>
        <v/>
      </c>
      <c r="C171" s="16" t="n"/>
      <c r="D171" s="14" t="n"/>
      <c r="E171" s="15">
        <f>IF($D171="","",IFERROR(INDEX(rngCadetPIDs,MATCH($D171,rngCadetNames,0)),"?"))</f>
        <v/>
      </c>
      <c r="F171" s="15">
        <f>IF($E171="","",IFERROR(INDEX(nrCadetAgency,MATCH($E171,rngCadetPIDs,0)),""))</f>
        <v/>
      </c>
      <c r="G171" s="14" t="n"/>
      <c r="H171" s="14" t="n"/>
      <c r="I171" s="14" t="n"/>
      <c r="J171" s="14" t="n"/>
      <c r="K171" s="15">
        <f>IF($G171="","",IF(OR($G171="PT Missed",$G171="PT Modified",$G171="PT Refused"),"Yes","No"))</f>
        <v/>
      </c>
      <c r="L171" s="14" t="n"/>
      <c r="M171" s="14" t="n"/>
      <c r="N171" s="15">
        <f>IF($D171="","",IF($M171="Excused","No",IF(AND($G171="PT Modified",$L171="Received"),"No","Yes")))</f>
        <v/>
      </c>
      <c r="O171" s="14" t="n"/>
    </row>
    <row r="172">
      <c r="B172" s="15">
        <f>IF($D172="","","A"&amp;TEXT(ROW()-5,"000"))</f>
        <v/>
      </c>
      <c r="C172" s="16" t="n"/>
      <c r="D172" s="14" t="n"/>
      <c r="E172" s="15">
        <f>IF($D172="","",IFERROR(INDEX(rngCadetPIDs,MATCH($D172,rngCadetNames,0)),"?"))</f>
        <v/>
      </c>
      <c r="F172" s="15">
        <f>IF($E172="","",IFERROR(INDEX(nrCadetAgency,MATCH($E172,rngCadetPIDs,0)),""))</f>
        <v/>
      </c>
      <c r="G172" s="14" t="n"/>
      <c r="H172" s="14" t="n"/>
      <c r="I172" s="14" t="n"/>
      <c r="J172" s="14" t="n"/>
      <c r="K172" s="15">
        <f>IF($G172="","",IF(OR($G172="PT Missed",$G172="PT Modified",$G172="PT Refused"),"Yes","No"))</f>
        <v/>
      </c>
      <c r="L172" s="14" t="n"/>
      <c r="M172" s="14" t="n"/>
      <c r="N172" s="15">
        <f>IF($D172="","",IF($M172="Excused","No",IF(AND($G172="PT Modified",$L172="Received"),"No","Yes")))</f>
        <v/>
      </c>
      <c r="O172" s="14" t="n"/>
    </row>
    <row r="173">
      <c r="B173" s="15">
        <f>IF($D173="","","A"&amp;TEXT(ROW()-5,"000"))</f>
        <v/>
      </c>
      <c r="C173" s="16" t="n"/>
      <c r="D173" s="14" t="n"/>
      <c r="E173" s="15">
        <f>IF($D173="","",IFERROR(INDEX(rngCadetPIDs,MATCH($D173,rngCadetNames,0)),"?"))</f>
        <v/>
      </c>
      <c r="F173" s="15">
        <f>IF($E173="","",IFERROR(INDEX(nrCadetAgency,MATCH($E173,rngCadetPIDs,0)),""))</f>
        <v/>
      </c>
      <c r="G173" s="14" t="n"/>
      <c r="H173" s="14" t="n"/>
      <c r="I173" s="14" t="n"/>
      <c r="J173" s="14" t="n"/>
      <c r="K173" s="15">
        <f>IF($G173="","",IF(OR($G173="PT Missed",$G173="PT Modified",$G173="PT Refused"),"Yes","No"))</f>
        <v/>
      </c>
      <c r="L173" s="14" t="n"/>
      <c r="M173" s="14" t="n"/>
      <c r="N173" s="15">
        <f>IF($D173="","",IF($M173="Excused","No",IF(AND($G173="PT Modified",$L173="Received"),"No","Yes")))</f>
        <v/>
      </c>
      <c r="O173" s="14" t="n"/>
    </row>
    <row r="174">
      <c r="B174" s="15">
        <f>IF($D174="","","A"&amp;TEXT(ROW()-5,"000"))</f>
        <v/>
      </c>
      <c r="C174" s="16" t="n"/>
      <c r="D174" s="14" t="n"/>
      <c r="E174" s="15">
        <f>IF($D174="","",IFERROR(INDEX(rngCadetPIDs,MATCH($D174,rngCadetNames,0)),"?"))</f>
        <v/>
      </c>
      <c r="F174" s="15">
        <f>IF($E174="","",IFERROR(INDEX(nrCadetAgency,MATCH($E174,rngCadetPIDs,0)),""))</f>
        <v/>
      </c>
      <c r="G174" s="14" t="n"/>
      <c r="H174" s="14" t="n"/>
      <c r="I174" s="14" t="n"/>
      <c r="J174" s="14" t="n"/>
      <c r="K174" s="15">
        <f>IF($G174="","",IF(OR($G174="PT Missed",$G174="PT Modified",$G174="PT Refused"),"Yes","No"))</f>
        <v/>
      </c>
      <c r="L174" s="14" t="n"/>
      <c r="M174" s="14" t="n"/>
      <c r="N174" s="15">
        <f>IF($D174="","",IF($M174="Excused","No",IF(AND($G174="PT Modified",$L174="Received"),"No","Yes")))</f>
        <v/>
      </c>
      <c r="O174" s="14" t="n"/>
    </row>
    <row r="175">
      <c r="B175" s="15">
        <f>IF($D175="","","A"&amp;TEXT(ROW()-5,"000"))</f>
        <v/>
      </c>
      <c r="C175" s="16" t="n"/>
      <c r="D175" s="14" t="n"/>
      <c r="E175" s="15">
        <f>IF($D175="","",IFERROR(INDEX(rngCadetPIDs,MATCH($D175,rngCadetNames,0)),"?"))</f>
        <v/>
      </c>
      <c r="F175" s="15">
        <f>IF($E175="","",IFERROR(INDEX(nrCadetAgency,MATCH($E175,rngCadetPIDs,0)),""))</f>
        <v/>
      </c>
      <c r="G175" s="14" t="n"/>
      <c r="H175" s="14" t="n"/>
      <c r="I175" s="14" t="n"/>
      <c r="J175" s="14" t="n"/>
      <c r="K175" s="15">
        <f>IF($G175="","",IF(OR($G175="PT Missed",$G175="PT Modified",$G175="PT Refused"),"Yes","No"))</f>
        <v/>
      </c>
      <c r="L175" s="14" t="n"/>
      <c r="M175" s="14" t="n"/>
      <c r="N175" s="15">
        <f>IF($D175="","",IF($M175="Excused","No",IF(AND($G175="PT Modified",$L175="Received"),"No","Yes")))</f>
        <v/>
      </c>
      <c r="O175" s="14" t="n"/>
    </row>
    <row r="176">
      <c r="B176" s="15">
        <f>IF($D176="","","A"&amp;TEXT(ROW()-5,"000"))</f>
        <v/>
      </c>
      <c r="C176" s="16" t="n"/>
      <c r="D176" s="14" t="n"/>
      <c r="E176" s="15">
        <f>IF($D176="","",IFERROR(INDEX(rngCadetPIDs,MATCH($D176,rngCadetNames,0)),"?"))</f>
        <v/>
      </c>
      <c r="F176" s="15">
        <f>IF($E176="","",IFERROR(INDEX(nrCadetAgency,MATCH($E176,rngCadetPIDs,0)),""))</f>
        <v/>
      </c>
      <c r="G176" s="14" t="n"/>
      <c r="H176" s="14" t="n"/>
      <c r="I176" s="14" t="n"/>
      <c r="J176" s="14" t="n"/>
      <c r="K176" s="15">
        <f>IF($G176="","",IF(OR($G176="PT Missed",$G176="PT Modified",$G176="PT Refused"),"Yes","No"))</f>
        <v/>
      </c>
      <c r="L176" s="14" t="n"/>
      <c r="M176" s="14" t="n"/>
      <c r="N176" s="15">
        <f>IF($D176="","",IF($M176="Excused","No",IF(AND($G176="PT Modified",$L176="Received"),"No","Yes")))</f>
        <v/>
      </c>
      <c r="O176" s="14" t="n"/>
    </row>
    <row r="177">
      <c r="B177" s="15">
        <f>IF($D177="","","A"&amp;TEXT(ROW()-5,"000"))</f>
        <v/>
      </c>
      <c r="C177" s="16" t="n"/>
      <c r="D177" s="14" t="n"/>
      <c r="E177" s="15">
        <f>IF($D177="","",IFERROR(INDEX(rngCadetPIDs,MATCH($D177,rngCadetNames,0)),"?"))</f>
        <v/>
      </c>
      <c r="F177" s="15">
        <f>IF($E177="","",IFERROR(INDEX(nrCadetAgency,MATCH($E177,rngCadetPIDs,0)),""))</f>
        <v/>
      </c>
      <c r="G177" s="14" t="n"/>
      <c r="H177" s="14" t="n"/>
      <c r="I177" s="14" t="n"/>
      <c r="J177" s="14" t="n"/>
      <c r="K177" s="15">
        <f>IF($G177="","",IF(OR($G177="PT Missed",$G177="PT Modified",$G177="PT Refused"),"Yes","No"))</f>
        <v/>
      </c>
      <c r="L177" s="14" t="n"/>
      <c r="M177" s="14" t="n"/>
      <c r="N177" s="15">
        <f>IF($D177="","",IF($M177="Excused","No",IF(AND($G177="PT Modified",$L177="Received"),"No","Yes")))</f>
        <v/>
      </c>
      <c r="O177" s="14" t="n"/>
    </row>
    <row r="178">
      <c r="B178" s="15">
        <f>IF($D178="","","A"&amp;TEXT(ROW()-5,"000"))</f>
        <v/>
      </c>
      <c r="C178" s="16" t="n"/>
      <c r="D178" s="14" t="n"/>
      <c r="E178" s="15">
        <f>IF($D178="","",IFERROR(INDEX(rngCadetPIDs,MATCH($D178,rngCadetNames,0)),"?"))</f>
        <v/>
      </c>
      <c r="F178" s="15">
        <f>IF($E178="","",IFERROR(INDEX(nrCadetAgency,MATCH($E178,rngCadetPIDs,0)),""))</f>
        <v/>
      </c>
      <c r="G178" s="14" t="n"/>
      <c r="H178" s="14" t="n"/>
      <c r="I178" s="14" t="n"/>
      <c r="J178" s="14" t="n"/>
      <c r="K178" s="15">
        <f>IF($G178="","",IF(OR($G178="PT Missed",$G178="PT Modified",$G178="PT Refused"),"Yes","No"))</f>
        <v/>
      </c>
      <c r="L178" s="14" t="n"/>
      <c r="M178" s="14" t="n"/>
      <c r="N178" s="15">
        <f>IF($D178="","",IF($M178="Excused","No",IF(AND($G178="PT Modified",$L178="Received"),"No","Yes")))</f>
        <v/>
      </c>
      <c r="O178" s="14" t="n"/>
    </row>
    <row r="179">
      <c r="B179" s="15">
        <f>IF($D179="","","A"&amp;TEXT(ROW()-5,"000"))</f>
        <v/>
      </c>
      <c r="C179" s="16" t="n"/>
      <c r="D179" s="14" t="n"/>
      <c r="E179" s="15">
        <f>IF($D179="","",IFERROR(INDEX(rngCadetPIDs,MATCH($D179,rngCadetNames,0)),"?"))</f>
        <v/>
      </c>
      <c r="F179" s="15">
        <f>IF($E179="","",IFERROR(INDEX(nrCadetAgency,MATCH($E179,rngCadetPIDs,0)),""))</f>
        <v/>
      </c>
      <c r="G179" s="14" t="n"/>
      <c r="H179" s="14" t="n"/>
      <c r="I179" s="14" t="n"/>
      <c r="J179" s="14" t="n"/>
      <c r="K179" s="15">
        <f>IF($G179="","",IF(OR($G179="PT Missed",$G179="PT Modified",$G179="PT Refused"),"Yes","No"))</f>
        <v/>
      </c>
      <c r="L179" s="14" t="n"/>
      <c r="M179" s="14" t="n"/>
      <c r="N179" s="15">
        <f>IF($D179="","",IF($M179="Excused","No",IF(AND($G179="PT Modified",$L179="Received"),"No","Yes")))</f>
        <v/>
      </c>
      <c r="O179" s="14" t="n"/>
    </row>
    <row r="180">
      <c r="B180" s="15">
        <f>IF($D180="","","A"&amp;TEXT(ROW()-5,"000"))</f>
        <v/>
      </c>
      <c r="C180" s="16" t="n"/>
      <c r="D180" s="14" t="n"/>
      <c r="E180" s="15">
        <f>IF($D180="","",IFERROR(INDEX(rngCadetPIDs,MATCH($D180,rngCadetNames,0)),"?"))</f>
        <v/>
      </c>
      <c r="F180" s="15">
        <f>IF($E180="","",IFERROR(INDEX(nrCadetAgency,MATCH($E180,rngCadetPIDs,0)),""))</f>
        <v/>
      </c>
      <c r="G180" s="14" t="n"/>
      <c r="H180" s="14" t="n"/>
      <c r="I180" s="14" t="n"/>
      <c r="J180" s="14" t="n"/>
      <c r="K180" s="15">
        <f>IF($G180="","",IF(OR($G180="PT Missed",$G180="PT Modified",$G180="PT Refused"),"Yes","No"))</f>
        <v/>
      </c>
      <c r="L180" s="14" t="n"/>
      <c r="M180" s="14" t="n"/>
      <c r="N180" s="15">
        <f>IF($D180="","",IF($M180="Excused","No",IF(AND($G180="PT Modified",$L180="Received"),"No","Yes")))</f>
        <v/>
      </c>
      <c r="O180" s="14" t="n"/>
    </row>
    <row r="181">
      <c r="B181" s="15">
        <f>IF($D181="","","A"&amp;TEXT(ROW()-5,"000"))</f>
        <v/>
      </c>
      <c r="C181" s="16" t="n"/>
      <c r="D181" s="14" t="n"/>
      <c r="E181" s="15">
        <f>IF($D181="","",IFERROR(INDEX(rngCadetPIDs,MATCH($D181,rngCadetNames,0)),"?"))</f>
        <v/>
      </c>
      <c r="F181" s="15">
        <f>IF($E181="","",IFERROR(INDEX(nrCadetAgency,MATCH($E181,rngCadetPIDs,0)),""))</f>
        <v/>
      </c>
      <c r="G181" s="14" t="n"/>
      <c r="H181" s="14" t="n"/>
      <c r="I181" s="14" t="n"/>
      <c r="J181" s="14" t="n"/>
      <c r="K181" s="15">
        <f>IF($G181="","",IF(OR($G181="PT Missed",$G181="PT Modified",$G181="PT Refused"),"Yes","No"))</f>
        <v/>
      </c>
      <c r="L181" s="14" t="n"/>
      <c r="M181" s="14" t="n"/>
      <c r="N181" s="15">
        <f>IF($D181="","",IF($M181="Excused","No",IF(AND($G181="PT Modified",$L181="Received"),"No","Yes")))</f>
        <v/>
      </c>
      <c r="O181" s="14" t="n"/>
    </row>
    <row r="182">
      <c r="B182" s="15">
        <f>IF($D182="","","A"&amp;TEXT(ROW()-5,"000"))</f>
        <v/>
      </c>
      <c r="C182" s="16" t="n"/>
      <c r="D182" s="14" t="n"/>
      <c r="E182" s="15">
        <f>IF($D182="","",IFERROR(INDEX(rngCadetPIDs,MATCH($D182,rngCadetNames,0)),"?"))</f>
        <v/>
      </c>
      <c r="F182" s="15">
        <f>IF($E182="","",IFERROR(INDEX(nrCadetAgency,MATCH($E182,rngCadetPIDs,0)),""))</f>
        <v/>
      </c>
      <c r="G182" s="14" t="n"/>
      <c r="H182" s="14" t="n"/>
      <c r="I182" s="14" t="n"/>
      <c r="J182" s="14" t="n"/>
      <c r="K182" s="15">
        <f>IF($G182="","",IF(OR($G182="PT Missed",$G182="PT Modified",$G182="PT Refused"),"Yes","No"))</f>
        <v/>
      </c>
      <c r="L182" s="14" t="n"/>
      <c r="M182" s="14" t="n"/>
      <c r="N182" s="15">
        <f>IF($D182="","",IF($M182="Excused","No",IF(AND($G182="PT Modified",$L182="Received"),"No","Yes")))</f>
        <v/>
      </c>
      <c r="O182" s="14" t="n"/>
    </row>
    <row r="183">
      <c r="B183" s="15">
        <f>IF($D183="","","A"&amp;TEXT(ROW()-5,"000"))</f>
        <v/>
      </c>
      <c r="C183" s="16" t="n"/>
      <c r="D183" s="14" t="n"/>
      <c r="E183" s="15">
        <f>IF($D183="","",IFERROR(INDEX(rngCadetPIDs,MATCH($D183,rngCadetNames,0)),"?"))</f>
        <v/>
      </c>
      <c r="F183" s="15">
        <f>IF($E183="","",IFERROR(INDEX(nrCadetAgency,MATCH($E183,rngCadetPIDs,0)),""))</f>
        <v/>
      </c>
      <c r="G183" s="14" t="n"/>
      <c r="H183" s="14" t="n"/>
      <c r="I183" s="14" t="n"/>
      <c r="J183" s="14" t="n"/>
      <c r="K183" s="15">
        <f>IF($G183="","",IF(OR($G183="PT Missed",$G183="PT Modified",$G183="PT Refused"),"Yes","No"))</f>
        <v/>
      </c>
      <c r="L183" s="14" t="n"/>
      <c r="M183" s="14" t="n"/>
      <c r="N183" s="15">
        <f>IF($D183="","",IF($M183="Excused","No",IF(AND($G183="PT Modified",$L183="Received"),"No","Yes")))</f>
        <v/>
      </c>
      <c r="O183" s="14" t="n"/>
    </row>
    <row r="184">
      <c r="B184" s="15">
        <f>IF($D184="","","A"&amp;TEXT(ROW()-5,"000"))</f>
        <v/>
      </c>
      <c r="C184" s="16" t="n"/>
      <c r="D184" s="14" t="n"/>
      <c r="E184" s="15">
        <f>IF($D184="","",IFERROR(INDEX(rngCadetPIDs,MATCH($D184,rngCadetNames,0)),"?"))</f>
        <v/>
      </c>
      <c r="F184" s="15">
        <f>IF($E184="","",IFERROR(INDEX(nrCadetAgency,MATCH($E184,rngCadetPIDs,0)),""))</f>
        <v/>
      </c>
      <c r="G184" s="14" t="n"/>
      <c r="H184" s="14" t="n"/>
      <c r="I184" s="14" t="n"/>
      <c r="J184" s="14" t="n"/>
      <c r="K184" s="15">
        <f>IF($G184="","",IF(OR($G184="PT Missed",$G184="PT Modified",$G184="PT Refused"),"Yes","No"))</f>
        <v/>
      </c>
      <c r="L184" s="14" t="n"/>
      <c r="M184" s="14" t="n"/>
      <c r="N184" s="15">
        <f>IF($D184="","",IF($M184="Excused","No",IF(AND($G184="PT Modified",$L184="Received"),"No","Yes")))</f>
        <v/>
      </c>
      <c r="O184" s="14" t="n"/>
    </row>
    <row r="185">
      <c r="B185" s="15">
        <f>IF($D185="","","A"&amp;TEXT(ROW()-5,"000"))</f>
        <v/>
      </c>
      <c r="C185" s="16" t="n"/>
      <c r="D185" s="14" t="n"/>
      <c r="E185" s="15">
        <f>IF($D185="","",IFERROR(INDEX(rngCadetPIDs,MATCH($D185,rngCadetNames,0)),"?"))</f>
        <v/>
      </c>
      <c r="F185" s="15">
        <f>IF($E185="","",IFERROR(INDEX(nrCadetAgency,MATCH($E185,rngCadetPIDs,0)),""))</f>
        <v/>
      </c>
      <c r="G185" s="14" t="n"/>
      <c r="H185" s="14" t="n"/>
      <c r="I185" s="14" t="n"/>
      <c r="J185" s="14" t="n"/>
      <c r="K185" s="15">
        <f>IF($G185="","",IF(OR($G185="PT Missed",$G185="PT Modified",$G185="PT Refused"),"Yes","No"))</f>
        <v/>
      </c>
      <c r="L185" s="14" t="n"/>
      <c r="M185" s="14" t="n"/>
      <c r="N185" s="15">
        <f>IF($D185="","",IF($M185="Excused","No",IF(AND($G185="PT Modified",$L185="Received"),"No","Yes")))</f>
        <v/>
      </c>
      <c r="O185" s="14" t="n"/>
    </row>
    <row r="186">
      <c r="B186" s="15">
        <f>IF($D186="","","A"&amp;TEXT(ROW()-5,"000"))</f>
        <v/>
      </c>
      <c r="C186" s="16" t="n"/>
      <c r="D186" s="14" t="n"/>
      <c r="E186" s="15">
        <f>IF($D186="","",IFERROR(INDEX(rngCadetPIDs,MATCH($D186,rngCadetNames,0)),"?"))</f>
        <v/>
      </c>
      <c r="F186" s="15">
        <f>IF($E186="","",IFERROR(INDEX(nrCadetAgency,MATCH($E186,rngCadetPIDs,0)),""))</f>
        <v/>
      </c>
      <c r="G186" s="14" t="n"/>
      <c r="H186" s="14" t="n"/>
      <c r="I186" s="14" t="n"/>
      <c r="J186" s="14" t="n"/>
      <c r="K186" s="15">
        <f>IF($G186="","",IF(OR($G186="PT Missed",$G186="PT Modified",$G186="PT Refused"),"Yes","No"))</f>
        <v/>
      </c>
      <c r="L186" s="14" t="n"/>
      <c r="M186" s="14" t="n"/>
      <c r="N186" s="15">
        <f>IF($D186="","",IF($M186="Excused","No",IF(AND($G186="PT Modified",$L186="Received"),"No","Yes")))</f>
        <v/>
      </c>
      <c r="O186" s="14" t="n"/>
    </row>
    <row r="187">
      <c r="B187" s="15">
        <f>IF($D187="","","A"&amp;TEXT(ROW()-5,"000"))</f>
        <v/>
      </c>
      <c r="C187" s="16" t="n"/>
      <c r="D187" s="14" t="n"/>
      <c r="E187" s="15">
        <f>IF($D187="","",IFERROR(INDEX(rngCadetPIDs,MATCH($D187,rngCadetNames,0)),"?"))</f>
        <v/>
      </c>
      <c r="F187" s="15">
        <f>IF($E187="","",IFERROR(INDEX(nrCadetAgency,MATCH($E187,rngCadetPIDs,0)),""))</f>
        <v/>
      </c>
      <c r="G187" s="14" t="n"/>
      <c r="H187" s="14" t="n"/>
      <c r="I187" s="14" t="n"/>
      <c r="J187" s="14" t="n"/>
      <c r="K187" s="15">
        <f>IF($G187="","",IF(OR($G187="PT Missed",$G187="PT Modified",$G187="PT Refused"),"Yes","No"))</f>
        <v/>
      </c>
      <c r="L187" s="14" t="n"/>
      <c r="M187" s="14" t="n"/>
      <c r="N187" s="15">
        <f>IF($D187="","",IF($M187="Excused","No",IF(AND($G187="PT Modified",$L187="Received"),"No","Yes")))</f>
        <v/>
      </c>
      <c r="O187" s="14" t="n"/>
    </row>
    <row r="188">
      <c r="B188" s="15">
        <f>IF($D188="","","A"&amp;TEXT(ROW()-5,"000"))</f>
        <v/>
      </c>
      <c r="C188" s="16" t="n"/>
      <c r="D188" s="14" t="n"/>
      <c r="E188" s="15">
        <f>IF($D188="","",IFERROR(INDEX(rngCadetPIDs,MATCH($D188,rngCadetNames,0)),"?"))</f>
        <v/>
      </c>
      <c r="F188" s="15">
        <f>IF($E188="","",IFERROR(INDEX(nrCadetAgency,MATCH($E188,rngCadetPIDs,0)),""))</f>
        <v/>
      </c>
      <c r="G188" s="14" t="n"/>
      <c r="H188" s="14" t="n"/>
      <c r="I188" s="14" t="n"/>
      <c r="J188" s="14" t="n"/>
      <c r="K188" s="15">
        <f>IF($G188="","",IF(OR($G188="PT Missed",$G188="PT Modified",$G188="PT Refused"),"Yes","No"))</f>
        <v/>
      </c>
      <c r="L188" s="14" t="n"/>
      <c r="M188" s="14" t="n"/>
      <c r="N188" s="15">
        <f>IF($D188="","",IF($M188="Excused","No",IF(AND($G188="PT Modified",$L188="Received"),"No","Yes")))</f>
        <v/>
      </c>
      <c r="O188" s="14" t="n"/>
    </row>
    <row r="189">
      <c r="B189" s="15">
        <f>IF($D189="","","A"&amp;TEXT(ROW()-5,"000"))</f>
        <v/>
      </c>
      <c r="C189" s="16" t="n"/>
      <c r="D189" s="14" t="n"/>
      <c r="E189" s="15">
        <f>IF($D189="","",IFERROR(INDEX(rngCadetPIDs,MATCH($D189,rngCadetNames,0)),"?"))</f>
        <v/>
      </c>
      <c r="F189" s="15">
        <f>IF($E189="","",IFERROR(INDEX(nrCadetAgency,MATCH($E189,rngCadetPIDs,0)),""))</f>
        <v/>
      </c>
      <c r="G189" s="14" t="n"/>
      <c r="H189" s="14" t="n"/>
      <c r="I189" s="14" t="n"/>
      <c r="J189" s="14" t="n"/>
      <c r="K189" s="15">
        <f>IF($G189="","",IF(OR($G189="PT Missed",$G189="PT Modified",$G189="PT Refused"),"Yes","No"))</f>
        <v/>
      </c>
      <c r="L189" s="14" t="n"/>
      <c r="M189" s="14" t="n"/>
      <c r="N189" s="15">
        <f>IF($D189="","",IF($M189="Excused","No",IF(AND($G189="PT Modified",$L189="Received"),"No","Yes")))</f>
        <v/>
      </c>
      <c r="O189" s="14" t="n"/>
    </row>
    <row r="190">
      <c r="B190" s="15">
        <f>IF($D190="","","A"&amp;TEXT(ROW()-5,"000"))</f>
        <v/>
      </c>
      <c r="C190" s="16" t="n"/>
      <c r="D190" s="14" t="n"/>
      <c r="E190" s="15">
        <f>IF($D190="","",IFERROR(INDEX(rngCadetPIDs,MATCH($D190,rngCadetNames,0)),"?"))</f>
        <v/>
      </c>
      <c r="F190" s="15">
        <f>IF($E190="","",IFERROR(INDEX(nrCadetAgency,MATCH($E190,rngCadetPIDs,0)),""))</f>
        <v/>
      </c>
      <c r="G190" s="14" t="n"/>
      <c r="H190" s="14" t="n"/>
      <c r="I190" s="14" t="n"/>
      <c r="J190" s="14" t="n"/>
      <c r="K190" s="15">
        <f>IF($G190="","",IF(OR($G190="PT Missed",$G190="PT Modified",$G190="PT Refused"),"Yes","No"))</f>
        <v/>
      </c>
      <c r="L190" s="14" t="n"/>
      <c r="M190" s="14" t="n"/>
      <c r="N190" s="15">
        <f>IF($D190="","",IF($M190="Excused","No",IF(AND($G190="PT Modified",$L190="Received"),"No","Yes")))</f>
        <v/>
      </c>
      <c r="O190" s="14" t="n"/>
    </row>
    <row r="191">
      <c r="B191" s="15">
        <f>IF($D191="","","A"&amp;TEXT(ROW()-5,"000"))</f>
        <v/>
      </c>
      <c r="C191" s="16" t="n"/>
      <c r="D191" s="14" t="n"/>
      <c r="E191" s="15">
        <f>IF($D191="","",IFERROR(INDEX(rngCadetPIDs,MATCH($D191,rngCadetNames,0)),"?"))</f>
        <v/>
      </c>
      <c r="F191" s="15">
        <f>IF($E191="","",IFERROR(INDEX(nrCadetAgency,MATCH($E191,rngCadetPIDs,0)),""))</f>
        <v/>
      </c>
      <c r="G191" s="14" t="n"/>
      <c r="H191" s="14" t="n"/>
      <c r="I191" s="14" t="n"/>
      <c r="J191" s="14" t="n"/>
      <c r="K191" s="15">
        <f>IF($G191="","",IF(OR($G191="PT Missed",$G191="PT Modified",$G191="PT Refused"),"Yes","No"))</f>
        <v/>
      </c>
      <c r="L191" s="14" t="n"/>
      <c r="M191" s="14" t="n"/>
      <c r="N191" s="15">
        <f>IF($D191="","",IF($M191="Excused","No",IF(AND($G191="PT Modified",$L191="Received"),"No","Yes")))</f>
        <v/>
      </c>
      <c r="O191" s="14" t="n"/>
    </row>
    <row r="192">
      <c r="B192" s="15">
        <f>IF($D192="","","A"&amp;TEXT(ROW()-5,"000"))</f>
        <v/>
      </c>
      <c r="C192" s="16" t="n"/>
      <c r="D192" s="14" t="n"/>
      <c r="E192" s="15">
        <f>IF($D192="","",IFERROR(INDEX(rngCadetPIDs,MATCH($D192,rngCadetNames,0)),"?"))</f>
        <v/>
      </c>
      <c r="F192" s="15">
        <f>IF($E192="","",IFERROR(INDEX(nrCadetAgency,MATCH($E192,rngCadetPIDs,0)),""))</f>
        <v/>
      </c>
      <c r="G192" s="14" t="n"/>
      <c r="H192" s="14" t="n"/>
      <c r="I192" s="14" t="n"/>
      <c r="J192" s="14" t="n"/>
      <c r="K192" s="15">
        <f>IF($G192="","",IF(OR($G192="PT Missed",$G192="PT Modified",$G192="PT Refused"),"Yes","No"))</f>
        <v/>
      </c>
      <c r="L192" s="14" t="n"/>
      <c r="M192" s="14" t="n"/>
      <c r="N192" s="15">
        <f>IF($D192="","",IF($M192="Excused","No",IF(AND($G192="PT Modified",$L192="Received"),"No","Yes")))</f>
        <v/>
      </c>
      <c r="O192" s="14" t="n"/>
    </row>
    <row r="193">
      <c r="B193" s="15">
        <f>IF($D193="","","A"&amp;TEXT(ROW()-5,"000"))</f>
        <v/>
      </c>
      <c r="C193" s="16" t="n"/>
      <c r="D193" s="14" t="n"/>
      <c r="E193" s="15">
        <f>IF($D193="","",IFERROR(INDEX(rngCadetPIDs,MATCH($D193,rngCadetNames,0)),"?"))</f>
        <v/>
      </c>
      <c r="F193" s="15">
        <f>IF($E193="","",IFERROR(INDEX(nrCadetAgency,MATCH($E193,rngCadetPIDs,0)),""))</f>
        <v/>
      </c>
      <c r="G193" s="14" t="n"/>
      <c r="H193" s="14" t="n"/>
      <c r="I193" s="14" t="n"/>
      <c r="J193" s="14" t="n"/>
      <c r="K193" s="15">
        <f>IF($G193="","",IF(OR($G193="PT Missed",$G193="PT Modified",$G193="PT Refused"),"Yes","No"))</f>
        <v/>
      </c>
      <c r="L193" s="14" t="n"/>
      <c r="M193" s="14" t="n"/>
      <c r="N193" s="15">
        <f>IF($D193="","",IF($M193="Excused","No",IF(AND($G193="PT Modified",$L193="Received"),"No","Yes")))</f>
        <v/>
      </c>
      <c r="O193" s="14" t="n"/>
    </row>
    <row r="194">
      <c r="B194" s="15">
        <f>IF($D194="","","A"&amp;TEXT(ROW()-5,"000"))</f>
        <v/>
      </c>
      <c r="C194" s="16" t="n"/>
      <c r="D194" s="14" t="n"/>
      <c r="E194" s="15">
        <f>IF($D194="","",IFERROR(INDEX(rngCadetPIDs,MATCH($D194,rngCadetNames,0)),"?"))</f>
        <v/>
      </c>
      <c r="F194" s="15">
        <f>IF($E194="","",IFERROR(INDEX(nrCadetAgency,MATCH($E194,rngCadetPIDs,0)),""))</f>
        <v/>
      </c>
      <c r="G194" s="14" t="n"/>
      <c r="H194" s="14" t="n"/>
      <c r="I194" s="14" t="n"/>
      <c r="J194" s="14" t="n"/>
      <c r="K194" s="15">
        <f>IF($G194="","",IF(OR($G194="PT Missed",$G194="PT Modified",$G194="PT Refused"),"Yes","No"))</f>
        <v/>
      </c>
      <c r="L194" s="14" t="n"/>
      <c r="M194" s="14" t="n"/>
      <c r="N194" s="15">
        <f>IF($D194="","",IF($M194="Excused","No",IF(AND($G194="PT Modified",$L194="Received"),"No","Yes")))</f>
        <v/>
      </c>
      <c r="O194" s="14" t="n"/>
    </row>
    <row r="195">
      <c r="B195" s="15">
        <f>IF($D195="","","A"&amp;TEXT(ROW()-5,"000"))</f>
        <v/>
      </c>
      <c r="C195" s="16" t="n"/>
      <c r="D195" s="14" t="n"/>
      <c r="E195" s="15">
        <f>IF($D195="","",IFERROR(INDEX(rngCadetPIDs,MATCH($D195,rngCadetNames,0)),"?"))</f>
        <v/>
      </c>
      <c r="F195" s="15">
        <f>IF($E195="","",IFERROR(INDEX(nrCadetAgency,MATCH($E195,rngCadetPIDs,0)),""))</f>
        <v/>
      </c>
      <c r="G195" s="14" t="n"/>
      <c r="H195" s="14" t="n"/>
      <c r="I195" s="14" t="n"/>
      <c r="J195" s="14" t="n"/>
      <c r="K195" s="15">
        <f>IF($G195="","",IF(OR($G195="PT Missed",$G195="PT Modified",$G195="PT Refused"),"Yes","No"))</f>
        <v/>
      </c>
      <c r="L195" s="14" t="n"/>
      <c r="M195" s="14" t="n"/>
      <c r="N195" s="15">
        <f>IF($D195="","",IF($M195="Excused","No",IF(AND($G195="PT Modified",$L195="Received"),"No","Yes")))</f>
        <v/>
      </c>
      <c r="O195" s="14" t="n"/>
    </row>
    <row r="196">
      <c r="B196" s="15">
        <f>IF($D196="","","A"&amp;TEXT(ROW()-5,"000"))</f>
        <v/>
      </c>
      <c r="C196" s="16" t="n"/>
      <c r="D196" s="14" t="n"/>
      <c r="E196" s="15">
        <f>IF($D196="","",IFERROR(INDEX(rngCadetPIDs,MATCH($D196,rngCadetNames,0)),"?"))</f>
        <v/>
      </c>
      <c r="F196" s="15">
        <f>IF($E196="","",IFERROR(INDEX(nrCadetAgency,MATCH($E196,rngCadetPIDs,0)),""))</f>
        <v/>
      </c>
      <c r="G196" s="14" t="n"/>
      <c r="H196" s="14" t="n"/>
      <c r="I196" s="14" t="n"/>
      <c r="J196" s="14" t="n"/>
      <c r="K196" s="15">
        <f>IF($G196="","",IF(OR($G196="PT Missed",$G196="PT Modified",$G196="PT Refused"),"Yes","No"))</f>
        <v/>
      </c>
      <c r="L196" s="14" t="n"/>
      <c r="M196" s="14" t="n"/>
      <c r="N196" s="15">
        <f>IF($D196="","",IF($M196="Excused","No",IF(AND($G196="PT Modified",$L196="Received"),"No","Yes")))</f>
        <v/>
      </c>
      <c r="O196" s="14" t="n"/>
    </row>
    <row r="197">
      <c r="B197" s="15">
        <f>IF($D197="","","A"&amp;TEXT(ROW()-5,"000"))</f>
        <v/>
      </c>
      <c r="C197" s="16" t="n"/>
      <c r="D197" s="14" t="n"/>
      <c r="E197" s="15">
        <f>IF($D197="","",IFERROR(INDEX(rngCadetPIDs,MATCH($D197,rngCadetNames,0)),"?"))</f>
        <v/>
      </c>
      <c r="F197" s="15">
        <f>IF($E197="","",IFERROR(INDEX(nrCadetAgency,MATCH($E197,rngCadetPIDs,0)),""))</f>
        <v/>
      </c>
      <c r="G197" s="14" t="n"/>
      <c r="H197" s="14" t="n"/>
      <c r="I197" s="14" t="n"/>
      <c r="J197" s="14" t="n"/>
      <c r="K197" s="15">
        <f>IF($G197="","",IF(OR($G197="PT Missed",$G197="PT Modified",$G197="PT Refused"),"Yes","No"))</f>
        <v/>
      </c>
      <c r="L197" s="14" t="n"/>
      <c r="M197" s="14" t="n"/>
      <c r="N197" s="15">
        <f>IF($D197="","",IF($M197="Excused","No",IF(AND($G197="PT Modified",$L197="Received"),"No","Yes")))</f>
        <v/>
      </c>
      <c r="O197" s="14" t="n"/>
    </row>
    <row r="198">
      <c r="B198" s="15">
        <f>IF($D198="","","A"&amp;TEXT(ROW()-5,"000"))</f>
        <v/>
      </c>
      <c r="C198" s="16" t="n"/>
      <c r="D198" s="14" t="n"/>
      <c r="E198" s="15">
        <f>IF($D198="","",IFERROR(INDEX(rngCadetPIDs,MATCH($D198,rngCadetNames,0)),"?"))</f>
        <v/>
      </c>
      <c r="F198" s="15">
        <f>IF($E198="","",IFERROR(INDEX(nrCadetAgency,MATCH($E198,rngCadetPIDs,0)),""))</f>
        <v/>
      </c>
      <c r="G198" s="14" t="n"/>
      <c r="H198" s="14" t="n"/>
      <c r="I198" s="14" t="n"/>
      <c r="J198" s="14" t="n"/>
      <c r="K198" s="15">
        <f>IF($G198="","",IF(OR($G198="PT Missed",$G198="PT Modified",$G198="PT Refused"),"Yes","No"))</f>
        <v/>
      </c>
      <c r="L198" s="14" t="n"/>
      <c r="M198" s="14" t="n"/>
      <c r="N198" s="15">
        <f>IF($D198="","",IF($M198="Excused","No",IF(AND($G198="PT Modified",$L198="Received"),"No","Yes")))</f>
        <v/>
      </c>
      <c r="O198" s="14" t="n"/>
    </row>
    <row r="199">
      <c r="B199" s="15">
        <f>IF($D199="","","A"&amp;TEXT(ROW()-5,"000"))</f>
        <v/>
      </c>
      <c r="C199" s="16" t="n"/>
      <c r="D199" s="14" t="n"/>
      <c r="E199" s="15">
        <f>IF($D199="","",IFERROR(INDEX(rngCadetPIDs,MATCH($D199,rngCadetNames,0)),"?"))</f>
        <v/>
      </c>
      <c r="F199" s="15">
        <f>IF($E199="","",IFERROR(INDEX(nrCadetAgency,MATCH($E199,rngCadetPIDs,0)),""))</f>
        <v/>
      </c>
      <c r="G199" s="14" t="n"/>
      <c r="H199" s="14" t="n"/>
      <c r="I199" s="14" t="n"/>
      <c r="J199" s="14" t="n"/>
      <c r="K199" s="15">
        <f>IF($G199="","",IF(OR($G199="PT Missed",$G199="PT Modified",$G199="PT Refused"),"Yes","No"))</f>
        <v/>
      </c>
      <c r="L199" s="14" t="n"/>
      <c r="M199" s="14" t="n"/>
      <c r="N199" s="15">
        <f>IF($D199="","",IF($M199="Excused","No",IF(AND($G199="PT Modified",$L199="Received"),"No","Yes")))</f>
        <v/>
      </c>
      <c r="O199" s="14" t="n"/>
    </row>
    <row r="200">
      <c r="B200" s="15">
        <f>IF($D200="","","A"&amp;TEXT(ROW()-5,"000"))</f>
        <v/>
      </c>
      <c r="C200" s="16" t="n"/>
      <c r="D200" s="14" t="n"/>
      <c r="E200" s="15">
        <f>IF($D200="","",IFERROR(INDEX(rngCadetPIDs,MATCH($D200,rngCadetNames,0)),"?"))</f>
        <v/>
      </c>
      <c r="F200" s="15">
        <f>IF($E200="","",IFERROR(INDEX(nrCadetAgency,MATCH($E200,rngCadetPIDs,0)),""))</f>
        <v/>
      </c>
      <c r="G200" s="14" t="n"/>
      <c r="H200" s="14" t="n"/>
      <c r="I200" s="14" t="n"/>
      <c r="J200" s="14" t="n"/>
      <c r="K200" s="15">
        <f>IF($G200="","",IF(OR($G200="PT Missed",$G200="PT Modified",$G200="PT Refused"),"Yes","No"))</f>
        <v/>
      </c>
      <c r="L200" s="14" t="n"/>
      <c r="M200" s="14" t="n"/>
      <c r="N200" s="15">
        <f>IF($D200="","",IF($M200="Excused","No",IF(AND($G200="PT Modified",$L200="Received"),"No","Yes")))</f>
        <v/>
      </c>
      <c r="O200" s="14" t="n"/>
    </row>
    <row r="201">
      <c r="B201" s="15">
        <f>IF($D201="","","A"&amp;TEXT(ROW()-5,"000"))</f>
        <v/>
      </c>
      <c r="C201" s="16" t="n"/>
      <c r="D201" s="14" t="n"/>
      <c r="E201" s="15">
        <f>IF($D201="","",IFERROR(INDEX(rngCadetPIDs,MATCH($D201,rngCadetNames,0)),"?"))</f>
        <v/>
      </c>
      <c r="F201" s="15">
        <f>IF($E201="","",IFERROR(INDEX(nrCadetAgency,MATCH($E201,rngCadetPIDs,0)),""))</f>
        <v/>
      </c>
      <c r="G201" s="14" t="n"/>
      <c r="H201" s="14" t="n"/>
      <c r="I201" s="14" t="n"/>
      <c r="J201" s="14" t="n"/>
      <c r="K201" s="15">
        <f>IF($G201="","",IF(OR($G201="PT Missed",$G201="PT Modified",$G201="PT Refused"),"Yes","No"))</f>
        <v/>
      </c>
      <c r="L201" s="14" t="n"/>
      <c r="M201" s="14" t="n"/>
      <c r="N201" s="15">
        <f>IF($D201="","",IF($M201="Excused","No",IF(AND($G201="PT Modified",$L201="Received"),"No","Yes")))</f>
        <v/>
      </c>
      <c r="O201" s="14" t="n"/>
    </row>
    <row r="202">
      <c r="B202" s="15">
        <f>IF($D202="","","A"&amp;TEXT(ROW()-5,"000"))</f>
        <v/>
      </c>
      <c r="C202" s="16" t="n"/>
      <c r="D202" s="14" t="n"/>
      <c r="E202" s="15">
        <f>IF($D202="","",IFERROR(INDEX(rngCadetPIDs,MATCH($D202,rngCadetNames,0)),"?"))</f>
        <v/>
      </c>
      <c r="F202" s="15">
        <f>IF($E202="","",IFERROR(INDEX(nrCadetAgency,MATCH($E202,rngCadetPIDs,0)),""))</f>
        <v/>
      </c>
      <c r="G202" s="14" t="n"/>
      <c r="H202" s="14" t="n"/>
      <c r="I202" s="14" t="n"/>
      <c r="J202" s="14" t="n"/>
      <c r="K202" s="15">
        <f>IF($G202="","",IF(OR($G202="PT Missed",$G202="PT Modified",$G202="PT Refused"),"Yes","No"))</f>
        <v/>
      </c>
      <c r="L202" s="14" t="n"/>
      <c r="M202" s="14" t="n"/>
      <c r="N202" s="15">
        <f>IF($D202="","",IF($M202="Excused","No",IF(AND($G202="PT Modified",$L202="Received"),"No","Yes")))</f>
        <v/>
      </c>
      <c r="O202" s="14" t="n"/>
    </row>
    <row r="203">
      <c r="B203" s="15">
        <f>IF($D203="","","A"&amp;TEXT(ROW()-5,"000"))</f>
        <v/>
      </c>
      <c r="C203" s="16" t="n"/>
      <c r="D203" s="14" t="n"/>
      <c r="E203" s="15">
        <f>IF($D203="","",IFERROR(INDEX(rngCadetPIDs,MATCH($D203,rngCadetNames,0)),"?"))</f>
        <v/>
      </c>
      <c r="F203" s="15">
        <f>IF($E203="","",IFERROR(INDEX(nrCadetAgency,MATCH($E203,rngCadetPIDs,0)),""))</f>
        <v/>
      </c>
      <c r="G203" s="14" t="n"/>
      <c r="H203" s="14" t="n"/>
      <c r="I203" s="14" t="n"/>
      <c r="J203" s="14" t="n"/>
      <c r="K203" s="15">
        <f>IF($G203="","",IF(OR($G203="PT Missed",$G203="PT Modified",$G203="PT Refused"),"Yes","No"))</f>
        <v/>
      </c>
      <c r="L203" s="14" t="n"/>
      <c r="M203" s="14" t="n"/>
      <c r="N203" s="15">
        <f>IF($D203="","",IF($M203="Excused","No",IF(AND($G203="PT Modified",$L203="Received"),"No","Yes")))</f>
        <v/>
      </c>
      <c r="O203" s="14" t="n"/>
    </row>
    <row r="204">
      <c r="B204" s="15">
        <f>IF($D204="","","A"&amp;TEXT(ROW()-5,"000"))</f>
        <v/>
      </c>
      <c r="C204" s="16" t="n"/>
      <c r="D204" s="14" t="n"/>
      <c r="E204" s="15">
        <f>IF($D204="","",IFERROR(INDEX(rngCadetPIDs,MATCH($D204,rngCadetNames,0)),"?"))</f>
        <v/>
      </c>
      <c r="F204" s="15">
        <f>IF($E204="","",IFERROR(INDEX(nrCadetAgency,MATCH($E204,rngCadetPIDs,0)),""))</f>
        <v/>
      </c>
      <c r="G204" s="14" t="n"/>
      <c r="H204" s="14" t="n"/>
      <c r="I204" s="14" t="n"/>
      <c r="J204" s="14" t="n"/>
      <c r="K204" s="15">
        <f>IF($G204="","",IF(OR($G204="PT Missed",$G204="PT Modified",$G204="PT Refused"),"Yes","No"))</f>
        <v/>
      </c>
      <c r="L204" s="14" t="n"/>
      <c r="M204" s="14" t="n"/>
      <c r="N204" s="15">
        <f>IF($D204="","",IF($M204="Excused","No",IF(AND($G204="PT Modified",$L204="Received"),"No","Yes")))</f>
        <v/>
      </c>
      <c r="O204" s="14" t="n"/>
    </row>
    <row r="205">
      <c r="B205" s="15">
        <f>IF($D205="","","A"&amp;TEXT(ROW()-5,"000"))</f>
        <v/>
      </c>
      <c r="C205" s="16" t="n"/>
      <c r="D205" s="14" t="n"/>
      <c r="E205" s="15">
        <f>IF($D205="","",IFERROR(INDEX(rngCadetPIDs,MATCH($D205,rngCadetNames,0)),"?"))</f>
        <v/>
      </c>
      <c r="F205" s="15">
        <f>IF($E205="","",IFERROR(INDEX(nrCadetAgency,MATCH($E205,rngCadetPIDs,0)),""))</f>
        <v/>
      </c>
      <c r="G205" s="14" t="n"/>
      <c r="H205" s="14" t="n"/>
      <c r="I205" s="14" t="n"/>
      <c r="J205" s="14" t="n"/>
      <c r="K205" s="15">
        <f>IF($G205="","",IF(OR($G205="PT Missed",$G205="PT Modified",$G205="PT Refused"),"Yes","No"))</f>
        <v/>
      </c>
      <c r="L205" s="14" t="n"/>
      <c r="M205" s="14" t="n"/>
      <c r="N205" s="15">
        <f>IF($D205="","",IF($M205="Excused","No",IF(AND($G205="PT Modified",$L205="Received"),"No","Yes")))</f>
        <v/>
      </c>
      <c r="O205" s="14" t="n"/>
    </row>
    <row r="206">
      <c r="B206" s="15">
        <f>IF($D206="","","A"&amp;TEXT(ROW()-5,"000"))</f>
        <v/>
      </c>
      <c r="C206" s="16" t="n"/>
      <c r="D206" s="14" t="n"/>
      <c r="E206" s="15">
        <f>IF($D206="","",IFERROR(INDEX(rngCadetPIDs,MATCH($D206,rngCadetNames,0)),"?"))</f>
        <v/>
      </c>
      <c r="F206" s="15">
        <f>IF($E206="","",IFERROR(INDEX(nrCadetAgency,MATCH($E206,rngCadetPIDs,0)),""))</f>
        <v/>
      </c>
      <c r="G206" s="14" t="n"/>
      <c r="H206" s="14" t="n"/>
      <c r="I206" s="14" t="n"/>
      <c r="J206" s="14" t="n"/>
      <c r="K206" s="15">
        <f>IF($G206="","",IF(OR($G206="PT Missed",$G206="PT Modified",$G206="PT Refused"),"Yes","No"))</f>
        <v/>
      </c>
      <c r="L206" s="14" t="n"/>
      <c r="M206" s="14" t="n"/>
      <c r="N206" s="15">
        <f>IF($D206="","",IF($M206="Excused","No",IF(AND($G206="PT Modified",$L206="Received"),"No","Yes")))</f>
        <v/>
      </c>
      <c r="O206" s="14" t="n"/>
    </row>
    <row r="207">
      <c r="B207" s="15">
        <f>IF($D207="","","A"&amp;TEXT(ROW()-5,"000"))</f>
        <v/>
      </c>
      <c r="C207" s="16" t="n"/>
      <c r="D207" s="14" t="n"/>
      <c r="E207" s="15">
        <f>IF($D207="","",IFERROR(INDEX(rngCadetPIDs,MATCH($D207,rngCadetNames,0)),"?"))</f>
        <v/>
      </c>
      <c r="F207" s="15">
        <f>IF($E207="","",IFERROR(INDEX(nrCadetAgency,MATCH($E207,rngCadetPIDs,0)),""))</f>
        <v/>
      </c>
      <c r="G207" s="14" t="n"/>
      <c r="H207" s="14" t="n"/>
      <c r="I207" s="14" t="n"/>
      <c r="J207" s="14" t="n"/>
      <c r="K207" s="15">
        <f>IF($G207="","",IF(OR($G207="PT Missed",$G207="PT Modified",$G207="PT Refused"),"Yes","No"))</f>
        <v/>
      </c>
      <c r="L207" s="14" t="n"/>
      <c r="M207" s="14" t="n"/>
      <c r="N207" s="15">
        <f>IF($D207="","",IF($M207="Excused","No",IF(AND($G207="PT Modified",$L207="Received"),"No","Yes")))</f>
        <v/>
      </c>
      <c r="O207" s="14" t="n"/>
    </row>
    <row r="208">
      <c r="B208" s="15">
        <f>IF($D208="","","A"&amp;TEXT(ROW()-5,"000"))</f>
        <v/>
      </c>
      <c r="C208" s="16" t="n"/>
      <c r="D208" s="14" t="n"/>
      <c r="E208" s="15">
        <f>IF($D208="","",IFERROR(INDEX(rngCadetPIDs,MATCH($D208,rngCadetNames,0)),"?"))</f>
        <v/>
      </c>
      <c r="F208" s="15">
        <f>IF($E208="","",IFERROR(INDEX(nrCadetAgency,MATCH($E208,rngCadetPIDs,0)),""))</f>
        <v/>
      </c>
      <c r="G208" s="14" t="n"/>
      <c r="H208" s="14" t="n"/>
      <c r="I208" s="14" t="n"/>
      <c r="J208" s="14" t="n"/>
      <c r="K208" s="15">
        <f>IF($G208="","",IF(OR($G208="PT Missed",$G208="PT Modified",$G208="PT Refused"),"Yes","No"))</f>
        <v/>
      </c>
      <c r="L208" s="14" t="n"/>
      <c r="M208" s="14" t="n"/>
      <c r="N208" s="15">
        <f>IF($D208="","",IF($M208="Excused","No",IF(AND($G208="PT Modified",$L208="Received"),"No","Yes")))</f>
        <v/>
      </c>
      <c r="O208" s="14" t="n"/>
    </row>
    <row r="209">
      <c r="B209" s="15">
        <f>IF($D209="","","A"&amp;TEXT(ROW()-5,"000"))</f>
        <v/>
      </c>
      <c r="C209" s="16" t="n"/>
      <c r="D209" s="14" t="n"/>
      <c r="E209" s="15">
        <f>IF($D209="","",IFERROR(INDEX(rngCadetPIDs,MATCH($D209,rngCadetNames,0)),"?"))</f>
        <v/>
      </c>
      <c r="F209" s="15">
        <f>IF($E209="","",IFERROR(INDEX(nrCadetAgency,MATCH($E209,rngCadetPIDs,0)),""))</f>
        <v/>
      </c>
      <c r="G209" s="14" t="n"/>
      <c r="H209" s="14" t="n"/>
      <c r="I209" s="14" t="n"/>
      <c r="J209" s="14" t="n"/>
      <c r="K209" s="15">
        <f>IF($G209="","",IF(OR($G209="PT Missed",$G209="PT Modified",$G209="PT Refused"),"Yes","No"))</f>
        <v/>
      </c>
      <c r="L209" s="14" t="n"/>
      <c r="M209" s="14" t="n"/>
      <c r="N209" s="15">
        <f>IF($D209="","",IF($M209="Excused","No",IF(AND($G209="PT Modified",$L209="Received"),"No","Yes")))</f>
        <v/>
      </c>
      <c r="O209" s="14" t="n"/>
    </row>
    <row r="210">
      <c r="B210" s="15">
        <f>IF($D210="","","A"&amp;TEXT(ROW()-5,"000"))</f>
        <v/>
      </c>
      <c r="C210" s="16" t="n"/>
      <c r="D210" s="14" t="n"/>
      <c r="E210" s="15">
        <f>IF($D210="","",IFERROR(INDEX(rngCadetPIDs,MATCH($D210,rngCadetNames,0)),"?"))</f>
        <v/>
      </c>
      <c r="F210" s="15">
        <f>IF($E210="","",IFERROR(INDEX(nrCadetAgency,MATCH($E210,rngCadetPIDs,0)),""))</f>
        <v/>
      </c>
      <c r="G210" s="14" t="n"/>
      <c r="H210" s="14" t="n"/>
      <c r="I210" s="14" t="n"/>
      <c r="J210" s="14" t="n"/>
      <c r="K210" s="15">
        <f>IF($G210="","",IF(OR($G210="PT Missed",$G210="PT Modified",$G210="PT Refused"),"Yes","No"))</f>
        <v/>
      </c>
      <c r="L210" s="14" t="n"/>
      <c r="M210" s="14" t="n"/>
      <c r="N210" s="15">
        <f>IF($D210="","",IF($M210="Excused","No",IF(AND($G210="PT Modified",$L210="Received"),"No","Yes")))</f>
        <v/>
      </c>
      <c r="O210" s="14" t="n"/>
    </row>
    <row r="211">
      <c r="B211" s="15">
        <f>IF($D211="","","A"&amp;TEXT(ROW()-5,"000"))</f>
        <v/>
      </c>
      <c r="C211" s="16" t="n"/>
      <c r="D211" s="14" t="n"/>
      <c r="E211" s="15">
        <f>IF($D211="","",IFERROR(INDEX(rngCadetPIDs,MATCH($D211,rngCadetNames,0)),"?"))</f>
        <v/>
      </c>
      <c r="F211" s="15">
        <f>IF($E211="","",IFERROR(INDEX(nrCadetAgency,MATCH($E211,rngCadetPIDs,0)),""))</f>
        <v/>
      </c>
      <c r="G211" s="14" t="n"/>
      <c r="H211" s="14" t="n"/>
      <c r="I211" s="14" t="n"/>
      <c r="J211" s="14" t="n"/>
      <c r="K211" s="15">
        <f>IF($G211="","",IF(OR($G211="PT Missed",$G211="PT Modified",$G211="PT Refused"),"Yes","No"))</f>
        <v/>
      </c>
      <c r="L211" s="14" t="n"/>
      <c r="M211" s="14" t="n"/>
      <c r="N211" s="15">
        <f>IF($D211="","",IF($M211="Excused","No",IF(AND($G211="PT Modified",$L211="Received"),"No","Yes")))</f>
        <v/>
      </c>
      <c r="O211" s="14" t="n"/>
    </row>
    <row r="212">
      <c r="B212" s="15">
        <f>IF($D212="","","A"&amp;TEXT(ROW()-5,"000"))</f>
        <v/>
      </c>
      <c r="C212" s="16" t="n"/>
      <c r="D212" s="14" t="n"/>
      <c r="E212" s="15">
        <f>IF($D212="","",IFERROR(INDEX(rngCadetPIDs,MATCH($D212,rngCadetNames,0)),"?"))</f>
        <v/>
      </c>
      <c r="F212" s="15">
        <f>IF($E212="","",IFERROR(INDEX(nrCadetAgency,MATCH($E212,rngCadetPIDs,0)),""))</f>
        <v/>
      </c>
      <c r="G212" s="14" t="n"/>
      <c r="H212" s="14" t="n"/>
      <c r="I212" s="14" t="n"/>
      <c r="J212" s="14" t="n"/>
      <c r="K212" s="15">
        <f>IF($G212="","",IF(OR($G212="PT Missed",$G212="PT Modified",$G212="PT Refused"),"Yes","No"))</f>
        <v/>
      </c>
      <c r="L212" s="14" t="n"/>
      <c r="M212" s="14" t="n"/>
      <c r="N212" s="15">
        <f>IF($D212="","",IF($M212="Excused","No",IF(AND($G212="PT Modified",$L212="Received"),"No","Yes")))</f>
        <v/>
      </c>
      <c r="O212" s="14" t="n"/>
    </row>
    <row r="213">
      <c r="B213" s="15">
        <f>IF($D213="","","A"&amp;TEXT(ROW()-5,"000"))</f>
        <v/>
      </c>
      <c r="C213" s="16" t="n"/>
      <c r="D213" s="14" t="n"/>
      <c r="E213" s="15">
        <f>IF($D213="","",IFERROR(INDEX(rngCadetPIDs,MATCH($D213,rngCadetNames,0)),"?"))</f>
        <v/>
      </c>
      <c r="F213" s="15">
        <f>IF($E213="","",IFERROR(INDEX(nrCadetAgency,MATCH($E213,rngCadetPIDs,0)),""))</f>
        <v/>
      </c>
      <c r="G213" s="14" t="n"/>
      <c r="H213" s="14" t="n"/>
      <c r="I213" s="14" t="n"/>
      <c r="J213" s="14" t="n"/>
      <c r="K213" s="15">
        <f>IF($G213="","",IF(OR($G213="PT Missed",$G213="PT Modified",$G213="PT Refused"),"Yes","No"))</f>
        <v/>
      </c>
      <c r="L213" s="14" t="n"/>
      <c r="M213" s="14" t="n"/>
      <c r="N213" s="15">
        <f>IF($D213="","",IF($M213="Excused","No",IF(AND($G213="PT Modified",$L213="Received"),"No","Yes")))</f>
        <v/>
      </c>
      <c r="O213" s="14" t="n"/>
    </row>
    <row r="214">
      <c r="B214" s="15">
        <f>IF($D214="","","A"&amp;TEXT(ROW()-5,"000"))</f>
        <v/>
      </c>
      <c r="C214" s="16" t="n"/>
      <c r="D214" s="14" t="n"/>
      <c r="E214" s="15">
        <f>IF($D214="","",IFERROR(INDEX(rngCadetPIDs,MATCH($D214,rngCadetNames,0)),"?"))</f>
        <v/>
      </c>
      <c r="F214" s="15">
        <f>IF($E214="","",IFERROR(INDEX(nrCadetAgency,MATCH($E214,rngCadetPIDs,0)),""))</f>
        <v/>
      </c>
      <c r="G214" s="14" t="n"/>
      <c r="H214" s="14" t="n"/>
      <c r="I214" s="14" t="n"/>
      <c r="J214" s="14" t="n"/>
      <c r="K214" s="15">
        <f>IF($G214="","",IF(OR($G214="PT Missed",$G214="PT Modified",$G214="PT Refused"),"Yes","No"))</f>
        <v/>
      </c>
      <c r="L214" s="14" t="n"/>
      <c r="M214" s="14" t="n"/>
      <c r="N214" s="15">
        <f>IF($D214="","",IF($M214="Excused","No",IF(AND($G214="PT Modified",$L214="Received"),"No","Yes")))</f>
        <v/>
      </c>
      <c r="O214" s="14" t="n"/>
    </row>
    <row r="215">
      <c r="B215" s="15">
        <f>IF($D215="","","A"&amp;TEXT(ROW()-5,"000"))</f>
        <v/>
      </c>
      <c r="C215" s="16" t="n"/>
      <c r="D215" s="14" t="n"/>
      <c r="E215" s="15">
        <f>IF($D215="","",IFERROR(INDEX(rngCadetPIDs,MATCH($D215,rngCadetNames,0)),"?"))</f>
        <v/>
      </c>
      <c r="F215" s="15">
        <f>IF($E215="","",IFERROR(INDEX(nrCadetAgency,MATCH($E215,rngCadetPIDs,0)),""))</f>
        <v/>
      </c>
      <c r="G215" s="14" t="n"/>
      <c r="H215" s="14" t="n"/>
      <c r="I215" s="14" t="n"/>
      <c r="J215" s="14" t="n"/>
      <c r="K215" s="15">
        <f>IF($G215="","",IF(OR($G215="PT Missed",$G215="PT Modified",$G215="PT Refused"),"Yes","No"))</f>
        <v/>
      </c>
      <c r="L215" s="14" t="n"/>
      <c r="M215" s="14" t="n"/>
      <c r="N215" s="15">
        <f>IF($D215="","",IF($M215="Excused","No",IF(AND($G215="PT Modified",$L215="Received"),"No","Yes")))</f>
        <v/>
      </c>
      <c r="O215" s="14" t="n"/>
    </row>
    <row r="216">
      <c r="B216" s="15">
        <f>IF($D216="","","A"&amp;TEXT(ROW()-5,"000"))</f>
        <v/>
      </c>
      <c r="C216" s="16" t="n"/>
      <c r="D216" s="14" t="n"/>
      <c r="E216" s="15">
        <f>IF($D216="","",IFERROR(INDEX(rngCadetPIDs,MATCH($D216,rngCadetNames,0)),"?"))</f>
        <v/>
      </c>
      <c r="F216" s="15">
        <f>IF($E216="","",IFERROR(INDEX(nrCadetAgency,MATCH($E216,rngCadetPIDs,0)),""))</f>
        <v/>
      </c>
      <c r="G216" s="14" t="n"/>
      <c r="H216" s="14" t="n"/>
      <c r="I216" s="14" t="n"/>
      <c r="J216" s="14" t="n"/>
      <c r="K216" s="15">
        <f>IF($G216="","",IF(OR($G216="PT Missed",$G216="PT Modified",$G216="PT Refused"),"Yes","No"))</f>
        <v/>
      </c>
      <c r="L216" s="14" t="n"/>
      <c r="M216" s="14" t="n"/>
      <c r="N216" s="15">
        <f>IF($D216="","",IF($M216="Excused","No",IF(AND($G216="PT Modified",$L216="Received"),"No","Yes")))</f>
        <v/>
      </c>
      <c r="O216" s="14" t="n"/>
    </row>
    <row r="217">
      <c r="B217" s="15">
        <f>IF($D217="","","A"&amp;TEXT(ROW()-5,"000"))</f>
        <v/>
      </c>
      <c r="C217" s="16" t="n"/>
      <c r="D217" s="14" t="n"/>
      <c r="E217" s="15">
        <f>IF($D217="","",IFERROR(INDEX(rngCadetPIDs,MATCH($D217,rngCadetNames,0)),"?"))</f>
        <v/>
      </c>
      <c r="F217" s="15">
        <f>IF($E217="","",IFERROR(INDEX(nrCadetAgency,MATCH($E217,rngCadetPIDs,0)),""))</f>
        <v/>
      </c>
      <c r="G217" s="14" t="n"/>
      <c r="H217" s="14" t="n"/>
      <c r="I217" s="14" t="n"/>
      <c r="J217" s="14" t="n"/>
      <c r="K217" s="15">
        <f>IF($G217="","",IF(OR($G217="PT Missed",$G217="PT Modified",$G217="PT Refused"),"Yes","No"))</f>
        <v/>
      </c>
      <c r="L217" s="14" t="n"/>
      <c r="M217" s="14" t="n"/>
      <c r="N217" s="15">
        <f>IF($D217="","",IF($M217="Excused","No",IF(AND($G217="PT Modified",$L217="Received"),"No","Yes")))</f>
        <v/>
      </c>
      <c r="O217" s="14" t="n"/>
    </row>
    <row r="218">
      <c r="B218" s="15">
        <f>IF($D218="","","A"&amp;TEXT(ROW()-5,"000"))</f>
        <v/>
      </c>
      <c r="C218" s="16" t="n"/>
      <c r="D218" s="14" t="n"/>
      <c r="E218" s="15">
        <f>IF($D218="","",IFERROR(INDEX(rngCadetPIDs,MATCH($D218,rngCadetNames,0)),"?"))</f>
        <v/>
      </c>
      <c r="F218" s="15">
        <f>IF($E218="","",IFERROR(INDEX(nrCadetAgency,MATCH($E218,rngCadetPIDs,0)),""))</f>
        <v/>
      </c>
      <c r="G218" s="14" t="n"/>
      <c r="H218" s="14" t="n"/>
      <c r="I218" s="14" t="n"/>
      <c r="J218" s="14" t="n"/>
      <c r="K218" s="15">
        <f>IF($G218="","",IF(OR($G218="PT Missed",$G218="PT Modified",$G218="PT Refused"),"Yes","No"))</f>
        <v/>
      </c>
      <c r="L218" s="14" t="n"/>
      <c r="M218" s="14" t="n"/>
      <c r="N218" s="15">
        <f>IF($D218="","",IF($M218="Excused","No",IF(AND($G218="PT Modified",$L218="Received"),"No","Yes")))</f>
        <v/>
      </c>
      <c r="O218" s="14" t="n"/>
    </row>
    <row r="219">
      <c r="B219" s="15">
        <f>IF($D219="","","A"&amp;TEXT(ROW()-5,"000"))</f>
        <v/>
      </c>
      <c r="C219" s="16" t="n"/>
      <c r="D219" s="14" t="n"/>
      <c r="E219" s="15">
        <f>IF($D219="","",IFERROR(INDEX(rngCadetPIDs,MATCH($D219,rngCadetNames,0)),"?"))</f>
        <v/>
      </c>
      <c r="F219" s="15">
        <f>IF($E219="","",IFERROR(INDEX(nrCadetAgency,MATCH($E219,rngCadetPIDs,0)),""))</f>
        <v/>
      </c>
      <c r="G219" s="14" t="n"/>
      <c r="H219" s="14" t="n"/>
      <c r="I219" s="14" t="n"/>
      <c r="J219" s="14" t="n"/>
      <c r="K219" s="15">
        <f>IF($G219="","",IF(OR($G219="PT Missed",$G219="PT Modified",$G219="PT Refused"),"Yes","No"))</f>
        <v/>
      </c>
      <c r="L219" s="14" t="n"/>
      <c r="M219" s="14" t="n"/>
      <c r="N219" s="15">
        <f>IF($D219="","",IF($M219="Excused","No",IF(AND($G219="PT Modified",$L219="Received"),"No","Yes")))</f>
        <v/>
      </c>
      <c r="O219" s="14" t="n"/>
    </row>
    <row r="220">
      <c r="B220" s="15">
        <f>IF($D220="","","A"&amp;TEXT(ROW()-5,"000"))</f>
        <v/>
      </c>
      <c r="C220" s="16" t="n"/>
      <c r="D220" s="14" t="n"/>
      <c r="E220" s="15">
        <f>IF($D220="","",IFERROR(INDEX(rngCadetPIDs,MATCH($D220,rngCadetNames,0)),"?"))</f>
        <v/>
      </c>
      <c r="F220" s="15">
        <f>IF($E220="","",IFERROR(INDEX(nrCadetAgency,MATCH($E220,rngCadetPIDs,0)),""))</f>
        <v/>
      </c>
      <c r="G220" s="14" t="n"/>
      <c r="H220" s="14" t="n"/>
      <c r="I220" s="14" t="n"/>
      <c r="J220" s="14" t="n"/>
      <c r="K220" s="15">
        <f>IF($G220="","",IF(OR($G220="PT Missed",$G220="PT Modified",$G220="PT Refused"),"Yes","No"))</f>
        <v/>
      </c>
      <c r="L220" s="14" t="n"/>
      <c r="M220" s="14" t="n"/>
      <c r="N220" s="15">
        <f>IF($D220="","",IF($M220="Excused","No",IF(AND($G220="PT Modified",$L220="Received"),"No","Yes")))</f>
        <v/>
      </c>
      <c r="O220" s="14" t="n"/>
    </row>
    <row r="221">
      <c r="B221" s="15">
        <f>IF($D221="","","A"&amp;TEXT(ROW()-5,"000"))</f>
        <v/>
      </c>
      <c r="C221" s="16" t="n"/>
      <c r="D221" s="14" t="n"/>
      <c r="E221" s="15">
        <f>IF($D221="","",IFERROR(INDEX(rngCadetPIDs,MATCH($D221,rngCadetNames,0)),"?"))</f>
        <v/>
      </c>
      <c r="F221" s="15">
        <f>IF($E221="","",IFERROR(INDEX(nrCadetAgency,MATCH($E221,rngCadetPIDs,0)),""))</f>
        <v/>
      </c>
      <c r="G221" s="14" t="n"/>
      <c r="H221" s="14" t="n"/>
      <c r="I221" s="14" t="n"/>
      <c r="J221" s="14" t="n"/>
      <c r="K221" s="15">
        <f>IF($G221="","",IF(OR($G221="PT Missed",$G221="PT Modified",$G221="PT Refused"),"Yes","No"))</f>
        <v/>
      </c>
      <c r="L221" s="14" t="n"/>
      <c r="M221" s="14" t="n"/>
      <c r="N221" s="15">
        <f>IF($D221="","",IF($M221="Excused","No",IF(AND($G221="PT Modified",$L221="Received"),"No","Yes")))</f>
        <v/>
      </c>
      <c r="O221" s="14" t="n"/>
    </row>
    <row r="222">
      <c r="B222" s="15">
        <f>IF($D222="","","A"&amp;TEXT(ROW()-5,"000"))</f>
        <v/>
      </c>
      <c r="C222" s="16" t="n"/>
      <c r="D222" s="14" t="n"/>
      <c r="E222" s="15">
        <f>IF($D222="","",IFERROR(INDEX(rngCadetPIDs,MATCH($D222,rngCadetNames,0)),"?"))</f>
        <v/>
      </c>
      <c r="F222" s="15">
        <f>IF($E222="","",IFERROR(INDEX(nrCadetAgency,MATCH($E222,rngCadetPIDs,0)),""))</f>
        <v/>
      </c>
      <c r="G222" s="14" t="n"/>
      <c r="H222" s="14" t="n"/>
      <c r="I222" s="14" t="n"/>
      <c r="J222" s="14" t="n"/>
      <c r="K222" s="15">
        <f>IF($G222="","",IF(OR($G222="PT Missed",$G222="PT Modified",$G222="PT Refused"),"Yes","No"))</f>
        <v/>
      </c>
      <c r="L222" s="14" t="n"/>
      <c r="M222" s="14" t="n"/>
      <c r="N222" s="15">
        <f>IF($D222="","",IF($M222="Excused","No",IF(AND($G222="PT Modified",$L222="Received"),"No","Yes")))</f>
        <v/>
      </c>
      <c r="O222" s="14" t="n"/>
    </row>
    <row r="223">
      <c r="B223" s="15">
        <f>IF($D223="","","A"&amp;TEXT(ROW()-5,"000"))</f>
        <v/>
      </c>
      <c r="C223" s="16" t="n"/>
      <c r="D223" s="14" t="n"/>
      <c r="E223" s="15">
        <f>IF($D223="","",IFERROR(INDEX(rngCadetPIDs,MATCH($D223,rngCadetNames,0)),"?"))</f>
        <v/>
      </c>
      <c r="F223" s="15">
        <f>IF($E223="","",IFERROR(INDEX(nrCadetAgency,MATCH($E223,rngCadetPIDs,0)),""))</f>
        <v/>
      </c>
      <c r="G223" s="14" t="n"/>
      <c r="H223" s="14" t="n"/>
      <c r="I223" s="14" t="n"/>
      <c r="J223" s="14" t="n"/>
      <c r="K223" s="15">
        <f>IF($G223="","",IF(OR($G223="PT Missed",$G223="PT Modified",$G223="PT Refused"),"Yes","No"))</f>
        <v/>
      </c>
      <c r="L223" s="14" t="n"/>
      <c r="M223" s="14" t="n"/>
      <c r="N223" s="15">
        <f>IF($D223="","",IF($M223="Excused","No",IF(AND($G223="PT Modified",$L223="Received"),"No","Yes")))</f>
        <v/>
      </c>
      <c r="O223" s="14" t="n"/>
    </row>
    <row r="224">
      <c r="B224" s="15">
        <f>IF($D224="","","A"&amp;TEXT(ROW()-5,"000"))</f>
        <v/>
      </c>
      <c r="C224" s="16" t="n"/>
      <c r="D224" s="14" t="n"/>
      <c r="E224" s="15">
        <f>IF($D224="","",IFERROR(INDEX(rngCadetPIDs,MATCH($D224,rngCadetNames,0)),"?"))</f>
        <v/>
      </c>
      <c r="F224" s="15">
        <f>IF($E224="","",IFERROR(INDEX(nrCadetAgency,MATCH($E224,rngCadetPIDs,0)),""))</f>
        <v/>
      </c>
      <c r="G224" s="14" t="n"/>
      <c r="H224" s="14" t="n"/>
      <c r="I224" s="14" t="n"/>
      <c r="J224" s="14" t="n"/>
      <c r="K224" s="15">
        <f>IF($G224="","",IF(OR($G224="PT Missed",$G224="PT Modified",$G224="PT Refused"),"Yes","No"))</f>
        <v/>
      </c>
      <c r="L224" s="14" t="n"/>
      <c r="M224" s="14" t="n"/>
      <c r="N224" s="15">
        <f>IF($D224="","",IF($M224="Excused","No",IF(AND($G224="PT Modified",$L224="Received"),"No","Yes")))</f>
        <v/>
      </c>
      <c r="O224" s="14" t="n"/>
    </row>
    <row r="225">
      <c r="B225" s="15">
        <f>IF($D225="","","A"&amp;TEXT(ROW()-5,"000"))</f>
        <v/>
      </c>
      <c r="C225" s="16" t="n"/>
      <c r="D225" s="14" t="n"/>
      <c r="E225" s="15">
        <f>IF($D225="","",IFERROR(INDEX(rngCadetPIDs,MATCH($D225,rngCadetNames,0)),"?"))</f>
        <v/>
      </c>
      <c r="F225" s="15">
        <f>IF($E225="","",IFERROR(INDEX(nrCadetAgency,MATCH($E225,rngCadetPIDs,0)),""))</f>
        <v/>
      </c>
      <c r="G225" s="14" t="n"/>
      <c r="H225" s="14" t="n"/>
      <c r="I225" s="14" t="n"/>
      <c r="J225" s="14" t="n"/>
      <c r="K225" s="15">
        <f>IF($G225="","",IF(OR($G225="PT Missed",$G225="PT Modified",$G225="PT Refused"),"Yes","No"))</f>
        <v/>
      </c>
      <c r="L225" s="14" t="n"/>
      <c r="M225" s="14" t="n"/>
      <c r="N225" s="15">
        <f>IF($D225="","",IF($M225="Excused","No",IF(AND($G225="PT Modified",$L225="Received"),"No","Yes")))</f>
        <v/>
      </c>
      <c r="O225" s="14" t="n"/>
    </row>
    <row r="226">
      <c r="B226" s="15">
        <f>IF($D226="","","A"&amp;TEXT(ROW()-5,"000"))</f>
        <v/>
      </c>
      <c r="C226" s="16" t="n"/>
      <c r="D226" s="14" t="n"/>
      <c r="E226" s="15">
        <f>IF($D226="","",IFERROR(INDEX(rngCadetPIDs,MATCH($D226,rngCadetNames,0)),"?"))</f>
        <v/>
      </c>
      <c r="F226" s="15">
        <f>IF($E226="","",IFERROR(INDEX(nrCadetAgency,MATCH($E226,rngCadetPIDs,0)),""))</f>
        <v/>
      </c>
      <c r="G226" s="14" t="n"/>
      <c r="H226" s="14" t="n"/>
      <c r="I226" s="14" t="n"/>
      <c r="J226" s="14" t="n"/>
      <c r="K226" s="15">
        <f>IF($G226="","",IF(OR($G226="PT Missed",$G226="PT Modified",$G226="PT Refused"),"Yes","No"))</f>
        <v/>
      </c>
      <c r="L226" s="14" t="n"/>
      <c r="M226" s="14" t="n"/>
      <c r="N226" s="15">
        <f>IF($D226="","",IF($M226="Excused","No",IF(AND($G226="PT Modified",$L226="Received"),"No","Yes")))</f>
        <v/>
      </c>
      <c r="O226" s="14" t="n"/>
    </row>
    <row r="227">
      <c r="B227" s="15">
        <f>IF($D227="","","A"&amp;TEXT(ROW()-5,"000"))</f>
        <v/>
      </c>
      <c r="C227" s="16" t="n"/>
      <c r="D227" s="14" t="n"/>
      <c r="E227" s="15">
        <f>IF($D227="","",IFERROR(INDEX(rngCadetPIDs,MATCH($D227,rngCadetNames,0)),"?"))</f>
        <v/>
      </c>
      <c r="F227" s="15">
        <f>IF($E227="","",IFERROR(INDEX(nrCadetAgency,MATCH($E227,rngCadetPIDs,0)),""))</f>
        <v/>
      </c>
      <c r="G227" s="14" t="n"/>
      <c r="H227" s="14" t="n"/>
      <c r="I227" s="14" t="n"/>
      <c r="J227" s="14" t="n"/>
      <c r="K227" s="15">
        <f>IF($G227="","",IF(OR($G227="PT Missed",$G227="PT Modified",$G227="PT Refused"),"Yes","No"))</f>
        <v/>
      </c>
      <c r="L227" s="14" t="n"/>
      <c r="M227" s="14" t="n"/>
      <c r="N227" s="15">
        <f>IF($D227="","",IF($M227="Excused","No",IF(AND($G227="PT Modified",$L227="Received"),"No","Yes")))</f>
        <v/>
      </c>
      <c r="O227" s="14" t="n"/>
    </row>
    <row r="228">
      <c r="B228" s="15">
        <f>IF($D228="","","A"&amp;TEXT(ROW()-5,"000"))</f>
        <v/>
      </c>
      <c r="C228" s="16" t="n"/>
      <c r="D228" s="14" t="n"/>
      <c r="E228" s="15">
        <f>IF($D228="","",IFERROR(INDEX(rngCadetPIDs,MATCH($D228,rngCadetNames,0)),"?"))</f>
        <v/>
      </c>
      <c r="F228" s="15">
        <f>IF($E228="","",IFERROR(INDEX(nrCadetAgency,MATCH($E228,rngCadetPIDs,0)),""))</f>
        <v/>
      </c>
      <c r="G228" s="14" t="n"/>
      <c r="H228" s="14" t="n"/>
      <c r="I228" s="14" t="n"/>
      <c r="J228" s="14" t="n"/>
      <c r="K228" s="15">
        <f>IF($G228="","",IF(OR($G228="PT Missed",$G228="PT Modified",$G228="PT Refused"),"Yes","No"))</f>
        <v/>
      </c>
      <c r="L228" s="14" t="n"/>
      <c r="M228" s="14" t="n"/>
      <c r="N228" s="15">
        <f>IF($D228="","",IF($M228="Excused","No",IF(AND($G228="PT Modified",$L228="Received"),"No","Yes")))</f>
        <v/>
      </c>
      <c r="O228" s="14" t="n"/>
    </row>
    <row r="229">
      <c r="B229" s="15">
        <f>IF($D229="","","A"&amp;TEXT(ROW()-5,"000"))</f>
        <v/>
      </c>
      <c r="C229" s="16" t="n"/>
      <c r="D229" s="14" t="n"/>
      <c r="E229" s="15">
        <f>IF($D229="","",IFERROR(INDEX(rngCadetPIDs,MATCH($D229,rngCadetNames,0)),"?"))</f>
        <v/>
      </c>
      <c r="F229" s="15">
        <f>IF($E229="","",IFERROR(INDEX(nrCadetAgency,MATCH($E229,rngCadetPIDs,0)),""))</f>
        <v/>
      </c>
      <c r="G229" s="14" t="n"/>
      <c r="H229" s="14" t="n"/>
      <c r="I229" s="14" t="n"/>
      <c r="J229" s="14" t="n"/>
      <c r="K229" s="15">
        <f>IF($G229="","",IF(OR($G229="PT Missed",$G229="PT Modified",$G229="PT Refused"),"Yes","No"))</f>
        <v/>
      </c>
      <c r="L229" s="14" t="n"/>
      <c r="M229" s="14" t="n"/>
      <c r="N229" s="15">
        <f>IF($D229="","",IF($M229="Excused","No",IF(AND($G229="PT Modified",$L229="Received"),"No","Yes")))</f>
        <v/>
      </c>
      <c r="O229" s="14" t="n"/>
    </row>
    <row r="230">
      <c r="B230" s="15">
        <f>IF($D230="","","A"&amp;TEXT(ROW()-5,"000"))</f>
        <v/>
      </c>
      <c r="C230" s="16" t="n"/>
      <c r="D230" s="14" t="n"/>
      <c r="E230" s="15">
        <f>IF($D230="","",IFERROR(INDEX(rngCadetPIDs,MATCH($D230,rngCadetNames,0)),"?"))</f>
        <v/>
      </c>
      <c r="F230" s="15">
        <f>IF($E230="","",IFERROR(INDEX(nrCadetAgency,MATCH($E230,rngCadetPIDs,0)),""))</f>
        <v/>
      </c>
      <c r="G230" s="14" t="n"/>
      <c r="H230" s="14" t="n"/>
      <c r="I230" s="14" t="n"/>
      <c r="J230" s="14" t="n"/>
      <c r="K230" s="15">
        <f>IF($G230="","",IF(OR($G230="PT Missed",$G230="PT Modified",$G230="PT Refused"),"Yes","No"))</f>
        <v/>
      </c>
      <c r="L230" s="14" t="n"/>
      <c r="M230" s="14" t="n"/>
      <c r="N230" s="15">
        <f>IF($D230="","",IF($M230="Excused","No",IF(AND($G230="PT Modified",$L230="Received"),"No","Yes")))</f>
        <v/>
      </c>
      <c r="O230" s="14" t="n"/>
    </row>
    <row r="231">
      <c r="B231" s="15">
        <f>IF($D231="","","A"&amp;TEXT(ROW()-5,"000"))</f>
        <v/>
      </c>
      <c r="C231" s="16" t="n"/>
      <c r="D231" s="14" t="n"/>
      <c r="E231" s="15">
        <f>IF($D231="","",IFERROR(INDEX(rngCadetPIDs,MATCH($D231,rngCadetNames,0)),"?"))</f>
        <v/>
      </c>
      <c r="F231" s="15">
        <f>IF($E231="","",IFERROR(INDEX(nrCadetAgency,MATCH($E231,rngCadetPIDs,0)),""))</f>
        <v/>
      </c>
      <c r="G231" s="14" t="n"/>
      <c r="H231" s="14" t="n"/>
      <c r="I231" s="14" t="n"/>
      <c r="J231" s="14" t="n"/>
      <c r="K231" s="15">
        <f>IF($G231="","",IF(OR($G231="PT Missed",$G231="PT Modified",$G231="PT Refused"),"Yes","No"))</f>
        <v/>
      </c>
      <c r="L231" s="14" t="n"/>
      <c r="M231" s="14" t="n"/>
      <c r="N231" s="15">
        <f>IF($D231="","",IF($M231="Excused","No",IF(AND($G231="PT Modified",$L231="Received"),"No","Yes")))</f>
        <v/>
      </c>
      <c r="O231" s="14" t="n"/>
    </row>
    <row r="232">
      <c r="B232" s="15">
        <f>IF($D232="","","A"&amp;TEXT(ROW()-5,"000"))</f>
        <v/>
      </c>
      <c r="C232" s="16" t="n"/>
      <c r="D232" s="14" t="n"/>
      <c r="E232" s="15">
        <f>IF($D232="","",IFERROR(INDEX(rngCadetPIDs,MATCH($D232,rngCadetNames,0)),"?"))</f>
        <v/>
      </c>
      <c r="F232" s="15">
        <f>IF($E232="","",IFERROR(INDEX(nrCadetAgency,MATCH($E232,rngCadetPIDs,0)),""))</f>
        <v/>
      </c>
      <c r="G232" s="14" t="n"/>
      <c r="H232" s="14" t="n"/>
      <c r="I232" s="14" t="n"/>
      <c r="J232" s="14" t="n"/>
      <c r="K232" s="15">
        <f>IF($G232="","",IF(OR($G232="PT Missed",$G232="PT Modified",$G232="PT Refused"),"Yes","No"))</f>
        <v/>
      </c>
      <c r="L232" s="14" t="n"/>
      <c r="M232" s="14" t="n"/>
      <c r="N232" s="15">
        <f>IF($D232="","",IF($M232="Excused","No",IF(AND($G232="PT Modified",$L232="Received"),"No","Yes")))</f>
        <v/>
      </c>
      <c r="O232" s="14" t="n"/>
    </row>
    <row r="233">
      <c r="B233" s="15">
        <f>IF($D233="","","A"&amp;TEXT(ROW()-5,"000"))</f>
        <v/>
      </c>
      <c r="C233" s="16" t="n"/>
      <c r="D233" s="14" t="n"/>
      <c r="E233" s="15">
        <f>IF($D233="","",IFERROR(INDEX(rngCadetPIDs,MATCH($D233,rngCadetNames,0)),"?"))</f>
        <v/>
      </c>
      <c r="F233" s="15">
        <f>IF($E233="","",IFERROR(INDEX(nrCadetAgency,MATCH($E233,rngCadetPIDs,0)),""))</f>
        <v/>
      </c>
      <c r="G233" s="14" t="n"/>
      <c r="H233" s="14" t="n"/>
      <c r="I233" s="14" t="n"/>
      <c r="J233" s="14" t="n"/>
      <c r="K233" s="15">
        <f>IF($G233="","",IF(OR($G233="PT Missed",$G233="PT Modified",$G233="PT Refused"),"Yes","No"))</f>
        <v/>
      </c>
      <c r="L233" s="14" t="n"/>
      <c r="M233" s="14" t="n"/>
      <c r="N233" s="15">
        <f>IF($D233="","",IF($M233="Excused","No",IF(AND($G233="PT Modified",$L233="Received"),"No","Yes")))</f>
        <v/>
      </c>
      <c r="O233" s="14" t="n"/>
    </row>
    <row r="234">
      <c r="B234" s="15">
        <f>IF($D234="","","A"&amp;TEXT(ROW()-5,"000"))</f>
        <v/>
      </c>
      <c r="C234" s="16" t="n"/>
      <c r="D234" s="14" t="n"/>
      <c r="E234" s="15">
        <f>IF($D234="","",IFERROR(INDEX(rngCadetPIDs,MATCH($D234,rngCadetNames,0)),"?"))</f>
        <v/>
      </c>
      <c r="F234" s="15">
        <f>IF($E234="","",IFERROR(INDEX(nrCadetAgency,MATCH($E234,rngCadetPIDs,0)),""))</f>
        <v/>
      </c>
      <c r="G234" s="14" t="n"/>
      <c r="H234" s="14" t="n"/>
      <c r="I234" s="14" t="n"/>
      <c r="J234" s="14" t="n"/>
      <c r="K234" s="15">
        <f>IF($G234="","",IF(OR($G234="PT Missed",$G234="PT Modified",$G234="PT Refused"),"Yes","No"))</f>
        <v/>
      </c>
      <c r="L234" s="14" t="n"/>
      <c r="M234" s="14" t="n"/>
      <c r="N234" s="15">
        <f>IF($D234="","",IF($M234="Excused","No",IF(AND($G234="PT Modified",$L234="Received"),"No","Yes")))</f>
        <v/>
      </c>
      <c r="O234" s="14" t="n"/>
    </row>
    <row r="235">
      <c r="B235" s="15">
        <f>IF($D235="","","A"&amp;TEXT(ROW()-5,"000"))</f>
        <v/>
      </c>
      <c r="C235" s="16" t="n"/>
      <c r="D235" s="14" t="n"/>
      <c r="E235" s="15">
        <f>IF($D235="","",IFERROR(INDEX(rngCadetPIDs,MATCH($D235,rngCadetNames,0)),"?"))</f>
        <v/>
      </c>
      <c r="F235" s="15">
        <f>IF($E235="","",IFERROR(INDEX(nrCadetAgency,MATCH($E235,rngCadetPIDs,0)),""))</f>
        <v/>
      </c>
      <c r="G235" s="14" t="n"/>
      <c r="H235" s="14" t="n"/>
      <c r="I235" s="14" t="n"/>
      <c r="J235" s="14" t="n"/>
      <c r="K235" s="15">
        <f>IF($G235="","",IF(OR($G235="PT Missed",$G235="PT Modified",$G235="PT Refused"),"Yes","No"))</f>
        <v/>
      </c>
      <c r="L235" s="14" t="n"/>
      <c r="M235" s="14" t="n"/>
      <c r="N235" s="15">
        <f>IF($D235="","",IF($M235="Excused","No",IF(AND($G235="PT Modified",$L235="Received"),"No","Yes")))</f>
        <v/>
      </c>
      <c r="O235" s="14" t="n"/>
    </row>
    <row r="236">
      <c r="B236" s="15">
        <f>IF($D236="","","A"&amp;TEXT(ROW()-5,"000"))</f>
        <v/>
      </c>
      <c r="C236" s="16" t="n"/>
      <c r="D236" s="14" t="n"/>
      <c r="E236" s="15">
        <f>IF($D236="","",IFERROR(INDEX(rngCadetPIDs,MATCH($D236,rngCadetNames,0)),"?"))</f>
        <v/>
      </c>
      <c r="F236" s="15">
        <f>IF($E236="","",IFERROR(INDEX(nrCadetAgency,MATCH($E236,rngCadetPIDs,0)),""))</f>
        <v/>
      </c>
      <c r="G236" s="14" t="n"/>
      <c r="H236" s="14" t="n"/>
      <c r="I236" s="14" t="n"/>
      <c r="J236" s="14" t="n"/>
      <c r="K236" s="15">
        <f>IF($G236="","",IF(OR($G236="PT Missed",$G236="PT Modified",$G236="PT Refused"),"Yes","No"))</f>
        <v/>
      </c>
      <c r="L236" s="14" t="n"/>
      <c r="M236" s="14" t="n"/>
      <c r="N236" s="15">
        <f>IF($D236="","",IF($M236="Excused","No",IF(AND($G236="PT Modified",$L236="Received"),"No","Yes")))</f>
        <v/>
      </c>
      <c r="O236" s="14" t="n"/>
    </row>
    <row r="237">
      <c r="B237" s="15">
        <f>IF($D237="","","A"&amp;TEXT(ROW()-5,"000"))</f>
        <v/>
      </c>
      <c r="C237" s="16" t="n"/>
      <c r="D237" s="14" t="n"/>
      <c r="E237" s="15">
        <f>IF($D237="","",IFERROR(INDEX(rngCadetPIDs,MATCH($D237,rngCadetNames,0)),"?"))</f>
        <v/>
      </c>
      <c r="F237" s="15">
        <f>IF($E237="","",IFERROR(INDEX(nrCadetAgency,MATCH($E237,rngCadetPIDs,0)),""))</f>
        <v/>
      </c>
      <c r="G237" s="14" t="n"/>
      <c r="H237" s="14" t="n"/>
      <c r="I237" s="14" t="n"/>
      <c r="J237" s="14" t="n"/>
      <c r="K237" s="15">
        <f>IF($G237="","",IF(OR($G237="PT Missed",$G237="PT Modified",$G237="PT Refused"),"Yes","No"))</f>
        <v/>
      </c>
      <c r="L237" s="14" t="n"/>
      <c r="M237" s="14" t="n"/>
      <c r="N237" s="15">
        <f>IF($D237="","",IF($M237="Excused","No",IF(AND($G237="PT Modified",$L237="Received"),"No","Yes")))</f>
        <v/>
      </c>
      <c r="O237" s="14" t="n"/>
    </row>
    <row r="238">
      <c r="B238" s="15">
        <f>IF($D238="","","A"&amp;TEXT(ROW()-5,"000"))</f>
        <v/>
      </c>
      <c r="C238" s="16" t="n"/>
      <c r="D238" s="14" t="n"/>
      <c r="E238" s="15">
        <f>IF($D238="","",IFERROR(INDEX(rngCadetPIDs,MATCH($D238,rngCadetNames,0)),"?"))</f>
        <v/>
      </c>
      <c r="F238" s="15">
        <f>IF($E238="","",IFERROR(INDEX(nrCadetAgency,MATCH($E238,rngCadetPIDs,0)),""))</f>
        <v/>
      </c>
      <c r="G238" s="14" t="n"/>
      <c r="H238" s="14" t="n"/>
      <c r="I238" s="14" t="n"/>
      <c r="J238" s="14" t="n"/>
      <c r="K238" s="15">
        <f>IF($G238="","",IF(OR($G238="PT Missed",$G238="PT Modified",$G238="PT Refused"),"Yes","No"))</f>
        <v/>
      </c>
      <c r="L238" s="14" t="n"/>
      <c r="M238" s="14" t="n"/>
      <c r="N238" s="15">
        <f>IF($D238="","",IF($M238="Excused","No",IF(AND($G238="PT Modified",$L238="Received"),"No","Yes")))</f>
        <v/>
      </c>
      <c r="O238" s="14" t="n"/>
    </row>
    <row r="239">
      <c r="B239" s="15">
        <f>IF($D239="","","A"&amp;TEXT(ROW()-5,"000"))</f>
        <v/>
      </c>
      <c r="C239" s="16" t="n"/>
      <c r="D239" s="14" t="n"/>
      <c r="E239" s="15">
        <f>IF($D239="","",IFERROR(INDEX(rngCadetPIDs,MATCH($D239,rngCadetNames,0)),"?"))</f>
        <v/>
      </c>
      <c r="F239" s="15">
        <f>IF($E239="","",IFERROR(INDEX(nrCadetAgency,MATCH($E239,rngCadetPIDs,0)),""))</f>
        <v/>
      </c>
      <c r="G239" s="14" t="n"/>
      <c r="H239" s="14" t="n"/>
      <c r="I239" s="14" t="n"/>
      <c r="J239" s="14" t="n"/>
      <c r="K239" s="15">
        <f>IF($G239="","",IF(OR($G239="PT Missed",$G239="PT Modified",$G239="PT Refused"),"Yes","No"))</f>
        <v/>
      </c>
      <c r="L239" s="14" t="n"/>
      <c r="M239" s="14" t="n"/>
      <c r="N239" s="15">
        <f>IF($D239="","",IF($M239="Excused","No",IF(AND($G239="PT Modified",$L239="Received"),"No","Yes")))</f>
        <v/>
      </c>
      <c r="O239" s="14" t="n"/>
    </row>
    <row r="240">
      <c r="B240" s="15">
        <f>IF($D240="","","A"&amp;TEXT(ROW()-5,"000"))</f>
        <v/>
      </c>
      <c r="C240" s="16" t="n"/>
      <c r="D240" s="14" t="n"/>
      <c r="E240" s="15">
        <f>IF($D240="","",IFERROR(INDEX(rngCadetPIDs,MATCH($D240,rngCadetNames,0)),"?"))</f>
        <v/>
      </c>
      <c r="F240" s="15">
        <f>IF($E240="","",IFERROR(INDEX(nrCadetAgency,MATCH($E240,rngCadetPIDs,0)),""))</f>
        <v/>
      </c>
      <c r="G240" s="14" t="n"/>
      <c r="H240" s="14" t="n"/>
      <c r="I240" s="14" t="n"/>
      <c r="J240" s="14" t="n"/>
      <c r="K240" s="15">
        <f>IF($G240="","",IF(OR($G240="PT Missed",$G240="PT Modified",$G240="PT Refused"),"Yes","No"))</f>
        <v/>
      </c>
      <c r="L240" s="14" t="n"/>
      <c r="M240" s="14" t="n"/>
      <c r="N240" s="15">
        <f>IF($D240="","",IF($M240="Excused","No",IF(AND($G240="PT Modified",$L240="Received"),"No","Yes")))</f>
        <v/>
      </c>
      <c r="O240" s="14" t="n"/>
    </row>
    <row r="241">
      <c r="B241" s="15">
        <f>IF($D241="","","A"&amp;TEXT(ROW()-5,"000"))</f>
        <v/>
      </c>
      <c r="C241" s="16" t="n"/>
      <c r="D241" s="14" t="n"/>
      <c r="E241" s="15">
        <f>IF($D241="","",IFERROR(INDEX(rngCadetPIDs,MATCH($D241,rngCadetNames,0)),"?"))</f>
        <v/>
      </c>
      <c r="F241" s="15">
        <f>IF($E241="","",IFERROR(INDEX(nrCadetAgency,MATCH($E241,rngCadetPIDs,0)),""))</f>
        <v/>
      </c>
      <c r="G241" s="14" t="n"/>
      <c r="H241" s="14" t="n"/>
      <c r="I241" s="14" t="n"/>
      <c r="J241" s="14" t="n"/>
      <c r="K241" s="15">
        <f>IF($G241="","",IF(OR($G241="PT Missed",$G241="PT Modified",$G241="PT Refused"),"Yes","No"))</f>
        <v/>
      </c>
      <c r="L241" s="14" t="n"/>
      <c r="M241" s="14" t="n"/>
      <c r="N241" s="15">
        <f>IF($D241="","",IF($M241="Excused","No",IF(AND($G241="PT Modified",$L241="Received"),"No","Yes")))</f>
        <v/>
      </c>
      <c r="O241" s="14" t="n"/>
    </row>
    <row r="242">
      <c r="B242" s="15">
        <f>IF($D242="","","A"&amp;TEXT(ROW()-5,"000"))</f>
        <v/>
      </c>
      <c r="C242" s="16" t="n"/>
      <c r="D242" s="14" t="n"/>
      <c r="E242" s="15">
        <f>IF($D242="","",IFERROR(INDEX(rngCadetPIDs,MATCH($D242,rngCadetNames,0)),"?"))</f>
        <v/>
      </c>
      <c r="F242" s="15">
        <f>IF($E242="","",IFERROR(INDEX(nrCadetAgency,MATCH($E242,rngCadetPIDs,0)),""))</f>
        <v/>
      </c>
      <c r="G242" s="14" t="n"/>
      <c r="H242" s="14" t="n"/>
      <c r="I242" s="14" t="n"/>
      <c r="J242" s="14" t="n"/>
      <c r="K242" s="15">
        <f>IF($G242="","",IF(OR($G242="PT Missed",$G242="PT Modified",$G242="PT Refused"),"Yes","No"))</f>
        <v/>
      </c>
      <c r="L242" s="14" t="n"/>
      <c r="M242" s="14" t="n"/>
      <c r="N242" s="15">
        <f>IF($D242="","",IF($M242="Excused","No",IF(AND($G242="PT Modified",$L242="Received"),"No","Yes")))</f>
        <v/>
      </c>
      <c r="O242" s="14" t="n"/>
    </row>
    <row r="243">
      <c r="B243" s="15">
        <f>IF($D243="","","A"&amp;TEXT(ROW()-5,"000"))</f>
        <v/>
      </c>
      <c r="C243" s="16" t="n"/>
      <c r="D243" s="14" t="n"/>
      <c r="E243" s="15">
        <f>IF($D243="","",IFERROR(INDEX(rngCadetPIDs,MATCH($D243,rngCadetNames,0)),"?"))</f>
        <v/>
      </c>
      <c r="F243" s="15">
        <f>IF($E243="","",IFERROR(INDEX(nrCadetAgency,MATCH($E243,rngCadetPIDs,0)),""))</f>
        <v/>
      </c>
      <c r="G243" s="14" t="n"/>
      <c r="H243" s="14" t="n"/>
      <c r="I243" s="14" t="n"/>
      <c r="J243" s="14" t="n"/>
      <c r="K243" s="15">
        <f>IF($G243="","",IF(OR($G243="PT Missed",$G243="PT Modified",$G243="PT Refused"),"Yes","No"))</f>
        <v/>
      </c>
      <c r="L243" s="14" t="n"/>
      <c r="M243" s="14" t="n"/>
      <c r="N243" s="15">
        <f>IF($D243="","",IF($M243="Excused","No",IF(AND($G243="PT Modified",$L243="Received"),"No","Yes")))</f>
        <v/>
      </c>
      <c r="O243" s="14" t="n"/>
    </row>
    <row r="244">
      <c r="B244" s="15">
        <f>IF($D244="","","A"&amp;TEXT(ROW()-5,"000"))</f>
        <v/>
      </c>
      <c r="C244" s="16" t="n"/>
      <c r="D244" s="14" t="n"/>
      <c r="E244" s="15">
        <f>IF($D244="","",IFERROR(INDEX(rngCadetPIDs,MATCH($D244,rngCadetNames,0)),"?"))</f>
        <v/>
      </c>
      <c r="F244" s="15">
        <f>IF($E244="","",IFERROR(INDEX(nrCadetAgency,MATCH($E244,rngCadetPIDs,0)),""))</f>
        <v/>
      </c>
      <c r="G244" s="14" t="n"/>
      <c r="H244" s="14" t="n"/>
      <c r="I244" s="14" t="n"/>
      <c r="J244" s="14" t="n"/>
      <c r="K244" s="15">
        <f>IF($G244="","",IF(OR($G244="PT Missed",$G244="PT Modified",$G244="PT Refused"),"Yes","No"))</f>
        <v/>
      </c>
      <c r="L244" s="14" t="n"/>
      <c r="M244" s="14" t="n"/>
      <c r="N244" s="15">
        <f>IF($D244="","",IF($M244="Excused","No",IF(AND($G244="PT Modified",$L244="Received"),"No","Yes")))</f>
        <v/>
      </c>
      <c r="O244" s="14" t="n"/>
    </row>
    <row r="245">
      <c r="B245" s="15">
        <f>IF($D245="","","A"&amp;TEXT(ROW()-5,"000"))</f>
        <v/>
      </c>
      <c r="C245" s="16" t="n"/>
      <c r="D245" s="14" t="n"/>
      <c r="E245" s="15">
        <f>IF($D245="","",IFERROR(INDEX(rngCadetPIDs,MATCH($D245,rngCadetNames,0)),"?"))</f>
        <v/>
      </c>
      <c r="F245" s="15">
        <f>IF($E245="","",IFERROR(INDEX(nrCadetAgency,MATCH($E245,rngCadetPIDs,0)),""))</f>
        <v/>
      </c>
      <c r="G245" s="14" t="n"/>
      <c r="H245" s="14" t="n"/>
      <c r="I245" s="14" t="n"/>
      <c r="J245" s="14" t="n"/>
      <c r="K245" s="15">
        <f>IF($G245="","",IF(OR($G245="PT Missed",$G245="PT Modified",$G245="PT Refused"),"Yes","No"))</f>
        <v/>
      </c>
      <c r="L245" s="14" t="n"/>
      <c r="M245" s="14" t="n"/>
      <c r="N245" s="15">
        <f>IF($D245="","",IF($M245="Excused","No",IF(AND($G245="PT Modified",$L245="Received"),"No","Yes")))</f>
        <v/>
      </c>
      <c r="O245" s="14" t="n"/>
    </row>
    <row r="246">
      <c r="B246" s="15">
        <f>IF($D246="","","A"&amp;TEXT(ROW()-5,"000"))</f>
        <v/>
      </c>
      <c r="C246" s="16" t="n"/>
      <c r="D246" s="14" t="n"/>
      <c r="E246" s="15">
        <f>IF($D246="","",IFERROR(INDEX(rngCadetPIDs,MATCH($D246,rngCadetNames,0)),"?"))</f>
        <v/>
      </c>
      <c r="F246" s="15">
        <f>IF($E246="","",IFERROR(INDEX(nrCadetAgency,MATCH($E246,rngCadetPIDs,0)),""))</f>
        <v/>
      </c>
      <c r="G246" s="14" t="n"/>
      <c r="H246" s="14" t="n"/>
      <c r="I246" s="14" t="n"/>
      <c r="J246" s="14" t="n"/>
      <c r="K246" s="15">
        <f>IF($G246="","",IF(OR($G246="PT Missed",$G246="PT Modified",$G246="PT Refused"),"Yes","No"))</f>
        <v/>
      </c>
      <c r="L246" s="14" t="n"/>
      <c r="M246" s="14" t="n"/>
      <c r="N246" s="15">
        <f>IF($D246="","",IF($M246="Excused","No",IF(AND($G246="PT Modified",$L246="Received"),"No","Yes")))</f>
        <v/>
      </c>
      <c r="O246" s="14" t="n"/>
    </row>
    <row r="247">
      <c r="B247" s="15">
        <f>IF($D247="","","A"&amp;TEXT(ROW()-5,"000"))</f>
        <v/>
      </c>
      <c r="C247" s="16" t="n"/>
      <c r="D247" s="14" t="n"/>
      <c r="E247" s="15">
        <f>IF($D247="","",IFERROR(INDEX(rngCadetPIDs,MATCH($D247,rngCadetNames,0)),"?"))</f>
        <v/>
      </c>
      <c r="F247" s="15">
        <f>IF($E247="","",IFERROR(INDEX(nrCadetAgency,MATCH($E247,rngCadetPIDs,0)),""))</f>
        <v/>
      </c>
      <c r="G247" s="14" t="n"/>
      <c r="H247" s="14" t="n"/>
      <c r="I247" s="14" t="n"/>
      <c r="J247" s="14" t="n"/>
      <c r="K247" s="15">
        <f>IF($G247="","",IF(OR($G247="PT Missed",$G247="PT Modified",$G247="PT Refused"),"Yes","No"))</f>
        <v/>
      </c>
      <c r="L247" s="14" t="n"/>
      <c r="M247" s="14" t="n"/>
      <c r="N247" s="15">
        <f>IF($D247="","",IF($M247="Excused","No",IF(AND($G247="PT Modified",$L247="Received"),"No","Yes")))</f>
        <v/>
      </c>
      <c r="O247" s="14" t="n"/>
    </row>
    <row r="248">
      <c r="B248" s="15">
        <f>IF($D248="","","A"&amp;TEXT(ROW()-5,"000"))</f>
        <v/>
      </c>
      <c r="C248" s="16" t="n"/>
      <c r="D248" s="14" t="n"/>
      <c r="E248" s="15">
        <f>IF($D248="","",IFERROR(INDEX(rngCadetPIDs,MATCH($D248,rngCadetNames,0)),"?"))</f>
        <v/>
      </c>
      <c r="F248" s="15">
        <f>IF($E248="","",IFERROR(INDEX(nrCadetAgency,MATCH($E248,rngCadetPIDs,0)),""))</f>
        <v/>
      </c>
      <c r="G248" s="14" t="n"/>
      <c r="H248" s="14" t="n"/>
      <c r="I248" s="14" t="n"/>
      <c r="J248" s="14" t="n"/>
      <c r="K248" s="15">
        <f>IF($G248="","",IF(OR($G248="PT Missed",$G248="PT Modified",$G248="PT Refused"),"Yes","No"))</f>
        <v/>
      </c>
      <c r="L248" s="14" t="n"/>
      <c r="M248" s="14" t="n"/>
      <c r="N248" s="15">
        <f>IF($D248="","",IF($M248="Excused","No",IF(AND($G248="PT Modified",$L248="Received"),"No","Yes")))</f>
        <v/>
      </c>
      <c r="O248" s="14" t="n"/>
    </row>
    <row r="249">
      <c r="B249" s="15">
        <f>IF($D249="","","A"&amp;TEXT(ROW()-5,"000"))</f>
        <v/>
      </c>
      <c r="C249" s="16" t="n"/>
      <c r="D249" s="14" t="n"/>
      <c r="E249" s="15">
        <f>IF($D249="","",IFERROR(INDEX(rngCadetPIDs,MATCH($D249,rngCadetNames,0)),"?"))</f>
        <v/>
      </c>
      <c r="F249" s="15">
        <f>IF($E249="","",IFERROR(INDEX(nrCadetAgency,MATCH($E249,rngCadetPIDs,0)),""))</f>
        <v/>
      </c>
      <c r="G249" s="14" t="n"/>
      <c r="H249" s="14" t="n"/>
      <c r="I249" s="14" t="n"/>
      <c r="J249" s="14" t="n"/>
      <c r="K249" s="15">
        <f>IF($G249="","",IF(OR($G249="PT Missed",$G249="PT Modified",$G249="PT Refused"),"Yes","No"))</f>
        <v/>
      </c>
      <c r="L249" s="14" t="n"/>
      <c r="M249" s="14" t="n"/>
      <c r="N249" s="15">
        <f>IF($D249="","",IF($M249="Excused","No",IF(AND($G249="PT Modified",$L249="Received"),"No","Yes")))</f>
        <v/>
      </c>
      <c r="O249" s="14" t="n"/>
    </row>
    <row r="250">
      <c r="B250" s="15">
        <f>IF($D250="","","A"&amp;TEXT(ROW()-5,"000"))</f>
        <v/>
      </c>
      <c r="C250" s="16" t="n"/>
      <c r="D250" s="14" t="n"/>
      <c r="E250" s="15">
        <f>IF($D250="","",IFERROR(INDEX(rngCadetPIDs,MATCH($D250,rngCadetNames,0)),"?"))</f>
        <v/>
      </c>
      <c r="F250" s="15">
        <f>IF($E250="","",IFERROR(INDEX(nrCadetAgency,MATCH($E250,rngCadetPIDs,0)),""))</f>
        <v/>
      </c>
      <c r="G250" s="14" t="n"/>
      <c r="H250" s="14" t="n"/>
      <c r="I250" s="14" t="n"/>
      <c r="J250" s="14" t="n"/>
      <c r="K250" s="15">
        <f>IF($G250="","",IF(OR($G250="PT Missed",$G250="PT Modified",$G250="PT Refused"),"Yes","No"))</f>
        <v/>
      </c>
      <c r="L250" s="14" t="n"/>
      <c r="M250" s="14" t="n"/>
      <c r="N250" s="15">
        <f>IF($D250="","",IF($M250="Excused","No",IF(AND($G250="PT Modified",$L250="Received"),"No","Yes")))</f>
        <v/>
      </c>
      <c r="O250" s="14" t="n"/>
    </row>
    <row r="251">
      <c r="B251" s="15">
        <f>IF($D251="","","A"&amp;TEXT(ROW()-5,"000"))</f>
        <v/>
      </c>
      <c r="C251" s="16" t="n"/>
      <c r="D251" s="14" t="n"/>
      <c r="E251" s="15">
        <f>IF($D251="","",IFERROR(INDEX(rngCadetPIDs,MATCH($D251,rngCadetNames,0)),"?"))</f>
        <v/>
      </c>
      <c r="F251" s="15">
        <f>IF($E251="","",IFERROR(INDEX(nrCadetAgency,MATCH($E251,rngCadetPIDs,0)),""))</f>
        <v/>
      </c>
      <c r="G251" s="14" t="n"/>
      <c r="H251" s="14" t="n"/>
      <c r="I251" s="14" t="n"/>
      <c r="J251" s="14" t="n"/>
      <c r="K251" s="15">
        <f>IF($G251="","",IF(OR($G251="PT Missed",$G251="PT Modified",$G251="PT Refused"),"Yes","No"))</f>
        <v/>
      </c>
      <c r="L251" s="14" t="n"/>
      <c r="M251" s="14" t="n"/>
      <c r="N251" s="15">
        <f>IF($D251="","",IF($M251="Excused","No",IF(AND($G251="PT Modified",$L251="Received"),"No","Yes")))</f>
        <v/>
      </c>
      <c r="O251" s="14" t="n"/>
    </row>
    <row r="252">
      <c r="B252" s="15">
        <f>IF($D252="","","A"&amp;TEXT(ROW()-5,"000"))</f>
        <v/>
      </c>
      <c r="C252" s="16" t="n"/>
      <c r="D252" s="14" t="n"/>
      <c r="E252" s="15">
        <f>IF($D252="","",IFERROR(INDEX(rngCadetPIDs,MATCH($D252,rngCadetNames,0)),"?"))</f>
        <v/>
      </c>
      <c r="F252" s="15">
        <f>IF($E252="","",IFERROR(INDEX(nrCadetAgency,MATCH($E252,rngCadetPIDs,0)),""))</f>
        <v/>
      </c>
      <c r="G252" s="14" t="n"/>
      <c r="H252" s="14" t="n"/>
      <c r="I252" s="14" t="n"/>
      <c r="J252" s="14" t="n"/>
      <c r="K252" s="15">
        <f>IF($G252="","",IF(OR($G252="PT Missed",$G252="PT Modified",$G252="PT Refused"),"Yes","No"))</f>
        <v/>
      </c>
      <c r="L252" s="14" t="n"/>
      <c r="M252" s="14" t="n"/>
      <c r="N252" s="15">
        <f>IF($D252="","",IF($M252="Excused","No",IF(AND($G252="PT Modified",$L252="Received"),"No","Yes")))</f>
        <v/>
      </c>
      <c r="O252" s="14" t="n"/>
    </row>
    <row r="253">
      <c r="B253" s="15">
        <f>IF($D253="","","A"&amp;TEXT(ROW()-5,"000"))</f>
        <v/>
      </c>
      <c r="C253" s="16" t="n"/>
      <c r="D253" s="14" t="n"/>
      <c r="E253" s="15">
        <f>IF($D253="","",IFERROR(INDEX(rngCadetPIDs,MATCH($D253,rngCadetNames,0)),"?"))</f>
        <v/>
      </c>
      <c r="F253" s="15">
        <f>IF($E253="","",IFERROR(INDEX(nrCadetAgency,MATCH($E253,rngCadetPIDs,0)),""))</f>
        <v/>
      </c>
      <c r="G253" s="14" t="n"/>
      <c r="H253" s="14" t="n"/>
      <c r="I253" s="14" t="n"/>
      <c r="J253" s="14" t="n"/>
      <c r="K253" s="15">
        <f>IF($G253="","",IF(OR($G253="PT Missed",$G253="PT Modified",$G253="PT Refused"),"Yes","No"))</f>
        <v/>
      </c>
      <c r="L253" s="14" t="n"/>
      <c r="M253" s="14" t="n"/>
      <c r="N253" s="15">
        <f>IF($D253="","",IF($M253="Excused","No",IF(AND($G253="PT Modified",$L253="Received"),"No","Yes")))</f>
        <v/>
      </c>
      <c r="O253" s="14" t="n"/>
    </row>
    <row r="254">
      <c r="B254" s="15">
        <f>IF($D254="","","A"&amp;TEXT(ROW()-5,"000"))</f>
        <v/>
      </c>
      <c r="C254" s="16" t="n"/>
      <c r="D254" s="14" t="n"/>
      <c r="E254" s="15">
        <f>IF($D254="","",IFERROR(INDEX(rngCadetPIDs,MATCH($D254,rngCadetNames,0)),"?"))</f>
        <v/>
      </c>
      <c r="F254" s="15">
        <f>IF($E254="","",IFERROR(INDEX(nrCadetAgency,MATCH($E254,rngCadetPIDs,0)),""))</f>
        <v/>
      </c>
      <c r="G254" s="14" t="n"/>
      <c r="H254" s="14" t="n"/>
      <c r="I254" s="14" t="n"/>
      <c r="J254" s="14" t="n"/>
      <c r="K254" s="15">
        <f>IF($G254="","",IF(OR($G254="PT Missed",$G254="PT Modified",$G254="PT Refused"),"Yes","No"))</f>
        <v/>
      </c>
      <c r="L254" s="14" t="n"/>
      <c r="M254" s="14" t="n"/>
      <c r="N254" s="15">
        <f>IF($D254="","",IF($M254="Excused","No",IF(AND($G254="PT Modified",$L254="Received"),"No","Yes")))</f>
        <v/>
      </c>
      <c r="O254" s="14" t="n"/>
    </row>
    <row r="255">
      <c r="B255" s="15">
        <f>IF($D255="","","A"&amp;TEXT(ROW()-5,"000"))</f>
        <v/>
      </c>
      <c r="C255" s="16" t="n"/>
      <c r="D255" s="14" t="n"/>
      <c r="E255" s="15">
        <f>IF($D255="","",IFERROR(INDEX(rngCadetPIDs,MATCH($D255,rngCadetNames,0)),"?"))</f>
        <v/>
      </c>
      <c r="F255" s="15">
        <f>IF($E255="","",IFERROR(INDEX(nrCadetAgency,MATCH($E255,rngCadetPIDs,0)),""))</f>
        <v/>
      </c>
      <c r="G255" s="14" t="n"/>
      <c r="H255" s="14" t="n"/>
      <c r="I255" s="14" t="n"/>
      <c r="J255" s="14" t="n"/>
      <c r="K255" s="15">
        <f>IF($G255="","",IF(OR($G255="PT Missed",$G255="PT Modified",$G255="PT Refused"),"Yes","No"))</f>
        <v/>
      </c>
      <c r="L255" s="14" t="n"/>
      <c r="M255" s="14" t="n"/>
      <c r="N255" s="15">
        <f>IF($D255="","",IF($M255="Excused","No",IF(AND($G255="PT Modified",$L255="Received"),"No","Yes")))</f>
        <v/>
      </c>
      <c r="O255" s="14" t="n"/>
    </row>
    <row r="256">
      <c r="B256" s="15">
        <f>IF($D256="","","A"&amp;TEXT(ROW()-5,"000"))</f>
        <v/>
      </c>
      <c r="C256" s="16" t="n"/>
      <c r="D256" s="14" t="n"/>
      <c r="E256" s="15">
        <f>IF($D256="","",IFERROR(INDEX(rngCadetPIDs,MATCH($D256,rngCadetNames,0)),"?"))</f>
        <v/>
      </c>
      <c r="F256" s="15">
        <f>IF($E256="","",IFERROR(INDEX(nrCadetAgency,MATCH($E256,rngCadetPIDs,0)),""))</f>
        <v/>
      </c>
      <c r="G256" s="14" t="n"/>
      <c r="H256" s="14" t="n"/>
      <c r="I256" s="14" t="n"/>
      <c r="J256" s="14" t="n"/>
      <c r="K256" s="15">
        <f>IF($G256="","",IF(OR($G256="PT Missed",$G256="PT Modified",$G256="PT Refused"),"Yes","No"))</f>
        <v/>
      </c>
      <c r="L256" s="14" t="n"/>
      <c r="M256" s="14" t="n"/>
      <c r="N256" s="15">
        <f>IF($D256="","",IF($M256="Excused","No",IF(AND($G256="PT Modified",$L256="Received"),"No","Yes")))</f>
        <v/>
      </c>
      <c r="O256" s="14" t="n"/>
    </row>
    <row r="257">
      <c r="B257" s="15">
        <f>IF($D257="","","A"&amp;TEXT(ROW()-5,"000"))</f>
        <v/>
      </c>
      <c r="C257" s="16" t="n"/>
      <c r="D257" s="14" t="n"/>
      <c r="E257" s="15">
        <f>IF($D257="","",IFERROR(INDEX(rngCadetPIDs,MATCH($D257,rngCadetNames,0)),"?"))</f>
        <v/>
      </c>
      <c r="F257" s="15">
        <f>IF($E257="","",IFERROR(INDEX(nrCadetAgency,MATCH($E257,rngCadetPIDs,0)),""))</f>
        <v/>
      </c>
      <c r="G257" s="14" t="n"/>
      <c r="H257" s="14" t="n"/>
      <c r="I257" s="14" t="n"/>
      <c r="J257" s="14" t="n"/>
      <c r="K257" s="15">
        <f>IF($G257="","",IF(OR($G257="PT Missed",$G257="PT Modified",$G257="PT Refused"),"Yes","No"))</f>
        <v/>
      </c>
      <c r="L257" s="14" t="n"/>
      <c r="M257" s="14" t="n"/>
      <c r="N257" s="15">
        <f>IF($D257="","",IF($M257="Excused","No",IF(AND($G257="PT Modified",$L257="Received"),"No","Yes")))</f>
        <v/>
      </c>
      <c r="O257" s="14" t="n"/>
    </row>
    <row r="258">
      <c r="B258" s="15">
        <f>IF($D258="","","A"&amp;TEXT(ROW()-5,"000"))</f>
        <v/>
      </c>
      <c r="C258" s="16" t="n"/>
      <c r="D258" s="14" t="n"/>
      <c r="E258" s="15">
        <f>IF($D258="","",IFERROR(INDEX(rngCadetPIDs,MATCH($D258,rngCadetNames,0)),"?"))</f>
        <v/>
      </c>
      <c r="F258" s="15">
        <f>IF($E258="","",IFERROR(INDEX(nrCadetAgency,MATCH($E258,rngCadetPIDs,0)),""))</f>
        <v/>
      </c>
      <c r="G258" s="14" t="n"/>
      <c r="H258" s="14" t="n"/>
      <c r="I258" s="14" t="n"/>
      <c r="J258" s="14" t="n"/>
      <c r="K258" s="15">
        <f>IF($G258="","",IF(OR($G258="PT Missed",$G258="PT Modified",$G258="PT Refused"),"Yes","No"))</f>
        <v/>
      </c>
      <c r="L258" s="14" t="n"/>
      <c r="M258" s="14" t="n"/>
      <c r="N258" s="15">
        <f>IF($D258="","",IF($M258="Excused","No",IF(AND($G258="PT Modified",$L258="Received"),"No","Yes")))</f>
        <v/>
      </c>
      <c r="O258" s="14" t="n"/>
    </row>
    <row r="259">
      <c r="B259" s="15">
        <f>IF($D259="","","A"&amp;TEXT(ROW()-5,"000"))</f>
        <v/>
      </c>
      <c r="C259" s="16" t="n"/>
      <c r="D259" s="14" t="n"/>
      <c r="E259" s="15">
        <f>IF($D259="","",IFERROR(INDEX(rngCadetPIDs,MATCH($D259,rngCadetNames,0)),"?"))</f>
        <v/>
      </c>
      <c r="F259" s="15">
        <f>IF($E259="","",IFERROR(INDEX(nrCadetAgency,MATCH($E259,rngCadetPIDs,0)),""))</f>
        <v/>
      </c>
      <c r="G259" s="14" t="n"/>
      <c r="H259" s="14" t="n"/>
      <c r="I259" s="14" t="n"/>
      <c r="J259" s="14" t="n"/>
      <c r="K259" s="15">
        <f>IF($G259="","",IF(OR($G259="PT Missed",$G259="PT Modified",$G259="PT Refused"),"Yes","No"))</f>
        <v/>
      </c>
      <c r="L259" s="14" t="n"/>
      <c r="M259" s="14" t="n"/>
      <c r="N259" s="15">
        <f>IF($D259="","",IF($M259="Excused","No",IF(AND($G259="PT Modified",$L259="Received"),"No","Yes")))</f>
        <v/>
      </c>
      <c r="O259" s="14" t="n"/>
    </row>
    <row r="260">
      <c r="B260" s="15">
        <f>IF($D260="","","A"&amp;TEXT(ROW()-5,"000"))</f>
        <v/>
      </c>
      <c r="C260" s="16" t="n"/>
      <c r="D260" s="14" t="n"/>
      <c r="E260" s="15">
        <f>IF($D260="","",IFERROR(INDEX(rngCadetPIDs,MATCH($D260,rngCadetNames,0)),"?"))</f>
        <v/>
      </c>
      <c r="F260" s="15">
        <f>IF($E260="","",IFERROR(INDEX(nrCadetAgency,MATCH($E260,rngCadetPIDs,0)),""))</f>
        <v/>
      </c>
      <c r="G260" s="14" t="n"/>
      <c r="H260" s="14" t="n"/>
      <c r="I260" s="14" t="n"/>
      <c r="J260" s="14" t="n"/>
      <c r="K260" s="15">
        <f>IF($G260="","",IF(OR($G260="PT Missed",$G260="PT Modified",$G260="PT Refused"),"Yes","No"))</f>
        <v/>
      </c>
      <c r="L260" s="14" t="n"/>
      <c r="M260" s="14" t="n"/>
      <c r="N260" s="15">
        <f>IF($D260="","",IF($M260="Excused","No",IF(AND($G260="PT Modified",$L260="Received"),"No","Yes")))</f>
        <v/>
      </c>
      <c r="O260" s="14" t="n"/>
    </row>
    <row r="261">
      <c r="B261" s="15">
        <f>IF($D261="","","A"&amp;TEXT(ROW()-5,"000"))</f>
        <v/>
      </c>
      <c r="C261" s="16" t="n"/>
      <c r="D261" s="14" t="n"/>
      <c r="E261" s="15">
        <f>IF($D261="","",IFERROR(INDEX(rngCadetPIDs,MATCH($D261,rngCadetNames,0)),"?"))</f>
        <v/>
      </c>
      <c r="F261" s="15">
        <f>IF($E261="","",IFERROR(INDEX(nrCadetAgency,MATCH($E261,rngCadetPIDs,0)),""))</f>
        <v/>
      </c>
      <c r="G261" s="14" t="n"/>
      <c r="H261" s="14" t="n"/>
      <c r="I261" s="14" t="n"/>
      <c r="J261" s="14" t="n"/>
      <c r="K261" s="15">
        <f>IF($G261="","",IF(OR($G261="PT Missed",$G261="PT Modified",$G261="PT Refused"),"Yes","No"))</f>
        <v/>
      </c>
      <c r="L261" s="14" t="n"/>
      <c r="M261" s="14" t="n"/>
      <c r="N261" s="15">
        <f>IF($D261="","",IF($M261="Excused","No",IF(AND($G261="PT Modified",$L261="Received"),"No","Yes")))</f>
        <v/>
      </c>
      <c r="O261" s="14" t="n"/>
    </row>
    <row r="262">
      <c r="B262" s="15">
        <f>IF($D262="","","A"&amp;TEXT(ROW()-5,"000"))</f>
        <v/>
      </c>
      <c r="C262" s="16" t="n"/>
      <c r="D262" s="14" t="n"/>
      <c r="E262" s="15">
        <f>IF($D262="","",IFERROR(INDEX(rngCadetPIDs,MATCH($D262,rngCadetNames,0)),"?"))</f>
        <v/>
      </c>
      <c r="F262" s="15">
        <f>IF($E262="","",IFERROR(INDEX(nrCadetAgency,MATCH($E262,rngCadetPIDs,0)),""))</f>
        <v/>
      </c>
      <c r="G262" s="14" t="n"/>
      <c r="H262" s="14" t="n"/>
      <c r="I262" s="14" t="n"/>
      <c r="J262" s="14" t="n"/>
      <c r="K262" s="15">
        <f>IF($G262="","",IF(OR($G262="PT Missed",$G262="PT Modified",$G262="PT Refused"),"Yes","No"))</f>
        <v/>
      </c>
      <c r="L262" s="14" t="n"/>
      <c r="M262" s="14" t="n"/>
      <c r="N262" s="15">
        <f>IF($D262="","",IF($M262="Excused","No",IF(AND($G262="PT Modified",$L262="Received"),"No","Yes")))</f>
        <v/>
      </c>
      <c r="O262" s="14" t="n"/>
    </row>
    <row r="263">
      <c r="B263" s="15">
        <f>IF($D263="","","A"&amp;TEXT(ROW()-5,"000"))</f>
        <v/>
      </c>
      <c r="C263" s="16" t="n"/>
      <c r="D263" s="14" t="n"/>
      <c r="E263" s="15">
        <f>IF($D263="","",IFERROR(INDEX(rngCadetPIDs,MATCH($D263,rngCadetNames,0)),"?"))</f>
        <v/>
      </c>
      <c r="F263" s="15">
        <f>IF($E263="","",IFERROR(INDEX(nrCadetAgency,MATCH($E263,rngCadetPIDs,0)),""))</f>
        <v/>
      </c>
      <c r="G263" s="14" t="n"/>
      <c r="H263" s="14" t="n"/>
      <c r="I263" s="14" t="n"/>
      <c r="J263" s="14" t="n"/>
      <c r="K263" s="15">
        <f>IF($G263="","",IF(OR($G263="PT Missed",$G263="PT Modified",$G263="PT Refused"),"Yes","No"))</f>
        <v/>
      </c>
      <c r="L263" s="14" t="n"/>
      <c r="M263" s="14" t="n"/>
      <c r="N263" s="15">
        <f>IF($D263="","",IF($M263="Excused","No",IF(AND($G263="PT Modified",$L263="Received"),"No","Yes")))</f>
        <v/>
      </c>
      <c r="O263" s="14" t="n"/>
    </row>
    <row r="264">
      <c r="B264" s="15">
        <f>IF($D264="","","A"&amp;TEXT(ROW()-5,"000"))</f>
        <v/>
      </c>
      <c r="C264" s="16" t="n"/>
      <c r="D264" s="14" t="n"/>
      <c r="E264" s="15">
        <f>IF($D264="","",IFERROR(INDEX(rngCadetPIDs,MATCH($D264,rngCadetNames,0)),"?"))</f>
        <v/>
      </c>
      <c r="F264" s="15">
        <f>IF($E264="","",IFERROR(INDEX(nrCadetAgency,MATCH($E264,rngCadetPIDs,0)),""))</f>
        <v/>
      </c>
      <c r="G264" s="14" t="n"/>
      <c r="H264" s="14" t="n"/>
      <c r="I264" s="14" t="n"/>
      <c r="J264" s="14" t="n"/>
      <c r="K264" s="15">
        <f>IF($G264="","",IF(OR($G264="PT Missed",$G264="PT Modified",$G264="PT Refused"),"Yes","No"))</f>
        <v/>
      </c>
      <c r="L264" s="14" t="n"/>
      <c r="M264" s="14" t="n"/>
      <c r="N264" s="15">
        <f>IF($D264="","",IF($M264="Excused","No",IF(AND($G264="PT Modified",$L264="Received"),"No","Yes")))</f>
        <v/>
      </c>
      <c r="O264" s="14" t="n"/>
    </row>
    <row r="265">
      <c r="B265" s="15">
        <f>IF($D265="","","A"&amp;TEXT(ROW()-5,"000"))</f>
        <v/>
      </c>
      <c r="C265" s="16" t="n"/>
      <c r="D265" s="14" t="n"/>
      <c r="E265" s="15">
        <f>IF($D265="","",IFERROR(INDEX(rngCadetPIDs,MATCH($D265,rngCadetNames,0)),"?"))</f>
        <v/>
      </c>
      <c r="F265" s="15">
        <f>IF($E265="","",IFERROR(INDEX(nrCadetAgency,MATCH($E265,rngCadetPIDs,0)),""))</f>
        <v/>
      </c>
      <c r="G265" s="14" t="n"/>
      <c r="H265" s="14" t="n"/>
      <c r="I265" s="14" t="n"/>
      <c r="J265" s="14" t="n"/>
      <c r="K265" s="15">
        <f>IF($G265="","",IF(OR($G265="PT Missed",$G265="PT Modified",$G265="PT Refused"),"Yes","No"))</f>
        <v/>
      </c>
      <c r="L265" s="14" t="n"/>
      <c r="M265" s="14" t="n"/>
      <c r="N265" s="15">
        <f>IF($D265="","",IF($M265="Excused","No",IF(AND($G265="PT Modified",$L265="Received"),"No","Yes")))</f>
        <v/>
      </c>
      <c r="O265" s="14" t="n"/>
    </row>
    <row r="266">
      <c r="B266" s="15">
        <f>IF($D266="","","A"&amp;TEXT(ROW()-5,"000"))</f>
        <v/>
      </c>
      <c r="C266" s="16" t="n"/>
      <c r="D266" s="14" t="n"/>
      <c r="E266" s="15">
        <f>IF($D266="","",IFERROR(INDEX(rngCadetPIDs,MATCH($D266,rngCadetNames,0)),"?"))</f>
        <v/>
      </c>
      <c r="F266" s="15">
        <f>IF($E266="","",IFERROR(INDEX(nrCadetAgency,MATCH($E266,rngCadetPIDs,0)),""))</f>
        <v/>
      </c>
      <c r="G266" s="14" t="n"/>
      <c r="H266" s="14" t="n"/>
      <c r="I266" s="14" t="n"/>
      <c r="J266" s="14" t="n"/>
      <c r="K266" s="15">
        <f>IF($G266="","",IF(OR($G266="PT Missed",$G266="PT Modified",$G266="PT Refused"),"Yes","No"))</f>
        <v/>
      </c>
      <c r="L266" s="14" t="n"/>
      <c r="M266" s="14" t="n"/>
      <c r="N266" s="15">
        <f>IF($D266="","",IF($M266="Excused","No",IF(AND($G266="PT Modified",$L266="Received"),"No","Yes")))</f>
        <v/>
      </c>
      <c r="O266" s="14" t="n"/>
    </row>
    <row r="267">
      <c r="B267" s="15">
        <f>IF($D267="","","A"&amp;TEXT(ROW()-5,"000"))</f>
        <v/>
      </c>
      <c r="C267" s="16" t="n"/>
      <c r="D267" s="14" t="n"/>
      <c r="E267" s="15">
        <f>IF($D267="","",IFERROR(INDEX(rngCadetPIDs,MATCH($D267,rngCadetNames,0)),"?"))</f>
        <v/>
      </c>
      <c r="F267" s="15">
        <f>IF($E267="","",IFERROR(INDEX(nrCadetAgency,MATCH($E267,rngCadetPIDs,0)),""))</f>
        <v/>
      </c>
      <c r="G267" s="14" t="n"/>
      <c r="H267" s="14" t="n"/>
      <c r="I267" s="14" t="n"/>
      <c r="J267" s="14" t="n"/>
      <c r="K267" s="15">
        <f>IF($G267="","",IF(OR($G267="PT Missed",$G267="PT Modified",$G267="PT Refused"),"Yes","No"))</f>
        <v/>
      </c>
      <c r="L267" s="14" t="n"/>
      <c r="M267" s="14" t="n"/>
      <c r="N267" s="15">
        <f>IF($D267="","",IF($M267="Excused","No",IF(AND($G267="PT Modified",$L267="Received"),"No","Yes")))</f>
        <v/>
      </c>
      <c r="O267" s="14" t="n"/>
    </row>
    <row r="268">
      <c r="B268" s="15">
        <f>IF($D268="","","A"&amp;TEXT(ROW()-5,"000"))</f>
        <v/>
      </c>
      <c r="C268" s="16" t="n"/>
      <c r="D268" s="14" t="n"/>
      <c r="E268" s="15">
        <f>IF($D268="","",IFERROR(INDEX(rngCadetPIDs,MATCH($D268,rngCadetNames,0)),"?"))</f>
        <v/>
      </c>
      <c r="F268" s="15">
        <f>IF($E268="","",IFERROR(INDEX(nrCadetAgency,MATCH($E268,rngCadetPIDs,0)),""))</f>
        <v/>
      </c>
      <c r="G268" s="14" t="n"/>
      <c r="H268" s="14" t="n"/>
      <c r="I268" s="14" t="n"/>
      <c r="J268" s="14" t="n"/>
      <c r="K268" s="15">
        <f>IF($G268="","",IF(OR($G268="PT Missed",$G268="PT Modified",$G268="PT Refused"),"Yes","No"))</f>
        <v/>
      </c>
      <c r="L268" s="14" t="n"/>
      <c r="M268" s="14" t="n"/>
      <c r="N268" s="15">
        <f>IF($D268="","",IF($M268="Excused","No",IF(AND($G268="PT Modified",$L268="Received"),"No","Yes")))</f>
        <v/>
      </c>
      <c r="O268" s="14" t="n"/>
    </row>
    <row r="269">
      <c r="B269" s="15">
        <f>IF($D269="","","A"&amp;TEXT(ROW()-5,"000"))</f>
        <v/>
      </c>
      <c r="C269" s="16" t="n"/>
      <c r="D269" s="14" t="n"/>
      <c r="E269" s="15">
        <f>IF($D269="","",IFERROR(INDEX(rngCadetPIDs,MATCH($D269,rngCadetNames,0)),"?"))</f>
        <v/>
      </c>
      <c r="F269" s="15">
        <f>IF($E269="","",IFERROR(INDEX(nrCadetAgency,MATCH($E269,rngCadetPIDs,0)),""))</f>
        <v/>
      </c>
      <c r="G269" s="14" t="n"/>
      <c r="H269" s="14" t="n"/>
      <c r="I269" s="14" t="n"/>
      <c r="J269" s="14" t="n"/>
      <c r="K269" s="15">
        <f>IF($G269="","",IF(OR($G269="PT Missed",$G269="PT Modified",$G269="PT Refused"),"Yes","No"))</f>
        <v/>
      </c>
      <c r="L269" s="14" t="n"/>
      <c r="M269" s="14" t="n"/>
      <c r="N269" s="15">
        <f>IF($D269="","",IF($M269="Excused","No",IF(AND($G269="PT Modified",$L269="Received"),"No","Yes")))</f>
        <v/>
      </c>
      <c r="O269" s="14" t="n"/>
    </row>
    <row r="270">
      <c r="B270" s="15">
        <f>IF($D270="","","A"&amp;TEXT(ROW()-5,"000"))</f>
        <v/>
      </c>
      <c r="C270" s="16" t="n"/>
      <c r="D270" s="14" t="n"/>
      <c r="E270" s="15">
        <f>IF($D270="","",IFERROR(INDEX(rngCadetPIDs,MATCH($D270,rngCadetNames,0)),"?"))</f>
        <v/>
      </c>
      <c r="F270" s="15">
        <f>IF($E270="","",IFERROR(INDEX(nrCadetAgency,MATCH($E270,rngCadetPIDs,0)),""))</f>
        <v/>
      </c>
      <c r="G270" s="14" t="n"/>
      <c r="H270" s="14" t="n"/>
      <c r="I270" s="14" t="n"/>
      <c r="J270" s="14" t="n"/>
      <c r="K270" s="15">
        <f>IF($G270="","",IF(OR($G270="PT Missed",$G270="PT Modified",$G270="PT Refused"),"Yes","No"))</f>
        <v/>
      </c>
      <c r="L270" s="14" t="n"/>
      <c r="M270" s="14" t="n"/>
      <c r="N270" s="15">
        <f>IF($D270="","",IF($M270="Excused","No",IF(AND($G270="PT Modified",$L270="Received"),"No","Yes")))</f>
        <v/>
      </c>
      <c r="O270" s="14" t="n"/>
    </row>
    <row r="271">
      <c r="B271" s="15">
        <f>IF($D271="","","A"&amp;TEXT(ROW()-5,"000"))</f>
        <v/>
      </c>
      <c r="C271" s="16" t="n"/>
      <c r="D271" s="14" t="n"/>
      <c r="E271" s="15">
        <f>IF($D271="","",IFERROR(INDEX(rngCadetPIDs,MATCH($D271,rngCadetNames,0)),"?"))</f>
        <v/>
      </c>
      <c r="F271" s="15">
        <f>IF($E271="","",IFERROR(INDEX(nrCadetAgency,MATCH($E271,rngCadetPIDs,0)),""))</f>
        <v/>
      </c>
      <c r="G271" s="14" t="n"/>
      <c r="H271" s="14" t="n"/>
      <c r="I271" s="14" t="n"/>
      <c r="J271" s="14" t="n"/>
      <c r="K271" s="15">
        <f>IF($G271="","",IF(OR($G271="PT Missed",$G271="PT Modified",$G271="PT Refused"),"Yes","No"))</f>
        <v/>
      </c>
      <c r="L271" s="14" t="n"/>
      <c r="M271" s="14" t="n"/>
      <c r="N271" s="15">
        <f>IF($D271="","",IF($M271="Excused","No",IF(AND($G271="PT Modified",$L271="Received"),"No","Yes")))</f>
        <v/>
      </c>
      <c r="O271" s="14" t="n"/>
    </row>
    <row r="272">
      <c r="B272" s="15">
        <f>IF($D272="","","A"&amp;TEXT(ROW()-5,"000"))</f>
        <v/>
      </c>
      <c r="C272" s="16" t="n"/>
      <c r="D272" s="14" t="n"/>
      <c r="E272" s="15">
        <f>IF($D272="","",IFERROR(INDEX(rngCadetPIDs,MATCH($D272,rngCadetNames,0)),"?"))</f>
        <v/>
      </c>
      <c r="F272" s="15">
        <f>IF($E272="","",IFERROR(INDEX(nrCadetAgency,MATCH($E272,rngCadetPIDs,0)),""))</f>
        <v/>
      </c>
      <c r="G272" s="14" t="n"/>
      <c r="H272" s="14" t="n"/>
      <c r="I272" s="14" t="n"/>
      <c r="J272" s="14" t="n"/>
      <c r="K272" s="15">
        <f>IF($G272="","",IF(OR($G272="PT Missed",$G272="PT Modified",$G272="PT Refused"),"Yes","No"))</f>
        <v/>
      </c>
      <c r="L272" s="14" t="n"/>
      <c r="M272" s="14" t="n"/>
      <c r="N272" s="15">
        <f>IF($D272="","",IF($M272="Excused","No",IF(AND($G272="PT Modified",$L272="Received"),"No","Yes")))</f>
        <v/>
      </c>
      <c r="O272" s="14" t="n"/>
    </row>
    <row r="273">
      <c r="B273" s="15">
        <f>IF($D273="","","A"&amp;TEXT(ROW()-5,"000"))</f>
        <v/>
      </c>
      <c r="C273" s="16" t="n"/>
      <c r="D273" s="14" t="n"/>
      <c r="E273" s="15">
        <f>IF($D273="","",IFERROR(INDEX(rngCadetPIDs,MATCH($D273,rngCadetNames,0)),"?"))</f>
        <v/>
      </c>
      <c r="F273" s="15">
        <f>IF($E273="","",IFERROR(INDEX(nrCadetAgency,MATCH($E273,rngCadetPIDs,0)),""))</f>
        <v/>
      </c>
      <c r="G273" s="14" t="n"/>
      <c r="H273" s="14" t="n"/>
      <c r="I273" s="14" t="n"/>
      <c r="J273" s="14" t="n"/>
      <c r="K273" s="15">
        <f>IF($G273="","",IF(OR($G273="PT Missed",$G273="PT Modified",$G273="PT Refused"),"Yes","No"))</f>
        <v/>
      </c>
      <c r="L273" s="14" t="n"/>
      <c r="M273" s="14" t="n"/>
      <c r="N273" s="15">
        <f>IF($D273="","",IF($M273="Excused","No",IF(AND($G273="PT Modified",$L273="Received"),"No","Yes")))</f>
        <v/>
      </c>
      <c r="O273" s="14" t="n"/>
    </row>
    <row r="274">
      <c r="B274" s="15">
        <f>IF($D274="","","A"&amp;TEXT(ROW()-5,"000"))</f>
        <v/>
      </c>
      <c r="C274" s="16" t="n"/>
      <c r="D274" s="14" t="n"/>
      <c r="E274" s="15">
        <f>IF($D274="","",IFERROR(INDEX(rngCadetPIDs,MATCH($D274,rngCadetNames,0)),"?"))</f>
        <v/>
      </c>
      <c r="F274" s="15">
        <f>IF($E274="","",IFERROR(INDEX(nrCadetAgency,MATCH($E274,rngCadetPIDs,0)),""))</f>
        <v/>
      </c>
      <c r="G274" s="14" t="n"/>
      <c r="H274" s="14" t="n"/>
      <c r="I274" s="14" t="n"/>
      <c r="J274" s="14" t="n"/>
      <c r="K274" s="15">
        <f>IF($G274="","",IF(OR($G274="PT Missed",$G274="PT Modified",$G274="PT Refused"),"Yes","No"))</f>
        <v/>
      </c>
      <c r="L274" s="14" t="n"/>
      <c r="M274" s="14" t="n"/>
      <c r="N274" s="15">
        <f>IF($D274="","",IF($M274="Excused","No",IF(AND($G274="PT Modified",$L274="Received"),"No","Yes")))</f>
        <v/>
      </c>
      <c r="O274" s="14" t="n"/>
    </row>
    <row r="275">
      <c r="B275" s="15">
        <f>IF($D275="","","A"&amp;TEXT(ROW()-5,"000"))</f>
        <v/>
      </c>
      <c r="C275" s="16" t="n"/>
      <c r="D275" s="14" t="n"/>
      <c r="E275" s="15">
        <f>IF($D275="","",IFERROR(INDEX(rngCadetPIDs,MATCH($D275,rngCadetNames,0)),"?"))</f>
        <v/>
      </c>
      <c r="F275" s="15">
        <f>IF($E275="","",IFERROR(INDEX(nrCadetAgency,MATCH($E275,rngCadetPIDs,0)),""))</f>
        <v/>
      </c>
      <c r="G275" s="14" t="n"/>
      <c r="H275" s="14" t="n"/>
      <c r="I275" s="14" t="n"/>
      <c r="J275" s="14" t="n"/>
      <c r="K275" s="15">
        <f>IF($G275="","",IF(OR($G275="PT Missed",$G275="PT Modified",$G275="PT Refused"),"Yes","No"))</f>
        <v/>
      </c>
      <c r="L275" s="14" t="n"/>
      <c r="M275" s="14" t="n"/>
      <c r="N275" s="15">
        <f>IF($D275="","",IF($M275="Excused","No",IF(AND($G275="PT Modified",$L275="Received"),"No","Yes")))</f>
        <v/>
      </c>
      <c r="O275" s="14" t="n"/>
    </row>
    <row r="276">
      <c r="B276" s="15">
        <f>IF($D276="","","A"&amp;TEXT(ROW()-5,"000"))</f>
        <v/>
      </c>
      <c r="C276" s="16" t="n"/>
      <c r="D276" s="14" t="n"/>
      <c r="E276" s="15">
        <f>IF($D276="","",IFERROR(INDEX(rngCadetPIDs,MATCH($D276,rngCadetNames,0)),"?"))</f>
        <v/>
      </c>
      <c r="F276" s="15">
        <f>IF($E276="","",IFERROR(INDEX(nrCadetAgency,MATCH($E276,rngCadetPIDs,0)),""))</f>
        <v/>
      </c>
      <c r="G276" s="14" t="n"/>
      <c r="H276" s="14" t="n"/>
      <c r="I276" s="14" t="n"/>
      <c r="J276" s="14" t="n"/>
      <c r="K276" s="15">
        <f>IF($G276="","",IF(OR($G276="PT Missed",$G276="PT Modified",$G276="PT Refused"),"Yes","No"))</f>
        <v/>
      </c>
      <c r="L276" s="14" t="n"/>
      <c r="M276" s="14" t="n"/>
      <c r="N276" s="15">
        <f>IF($D276="","",IF($M276="Excused","No",IF(AND($G276="PT Modified",$L276="Received"),"No","Yes")))</f>
        <v/>
      </c>
      <c r="O276" s="14" t="n"/>
    </row>
    <row r="277">
      <c r="B277" s="15">
        <f>IF($D277="","","A"&amp;TEXT(ROW()-5,"000"))</f>
        <v/>
      </c>
      <c r="C277" s="16" t="n"/>
      <c r="D277" s="14" t="n"/>
      <c r="E277" s="15">
        <f>IF($D277="","",IFERROR(INDEX(rngCadetPIDs,MATCH($D277,rngCadetNames,0)),"?"))</f>
        <v/>
      </c>
      <c r="F277" s="15">
        <f>IF($E277="","",IFERROR(INDEX(nrCadetAgency,MATCH($E277,rngCadetPIDs,0)),""))</f>
        <v/>
      </c>
      <c r="G277" s="14" t="n"/>
      <c r="H277" s="14" t="n"/>
      <c r="I277" s="14" t="n"/>
      <c r="J277" s="14" t="n"/>
      <c r="K277" s="15">
        <f>IF($G277="","",IF(OR($G277="PT Missed",$G277="PT Modified",$G277="PT Refused"),"Yes","No"))</f>
        <v/>
      </c>
      <c r="L277" s="14" t="n"/>
      <c r="M277" s="14" t="n"/>
      <c r="N277" s="15">
        <f>IF($D277="","",IF($M277="Excused","No",IF(AND($G277="PT Modified",$L277="Received"),"No","Yes")))</f>
        <v/>
      </c>
      <c r="O277" s="14" t="n"/>
    </row>
    <row r="278">
      <c r="B278" s="15">
        <f>IF($D278="","","A"&amp;TEXT(ROW()-5,"000"))</f>
        <v/>
      </c>
      <c r="C278" s="16" t="n"/>
      <c r="D278" s="14" t="n"/>
      <c r="E278" s="15">
        <f>IF($D278="","",IFERROR(INDEX(rngCadetPIDs,MATCH($D278,rngCadetNames,0)),"?"))</f>
        <v/>
      </c>
      <c r="F278" s="15">
        <f>IF($E278="","",IFERROR(INDEX(nrCadetAgency,MATCH($E278,rngCadetPIDs,0)),""))</f>
        <v/>
      </c>
      <c r="G278" s="14" t="n"/>
      <c r="H278" s="14" t="n"/>
      <c r="I278" s="14" t="n"/>
      <c r="J278" s="14" t="n"/>
      <c r="K278" s="15">
        <f>IF($G278="","",IF(OR($G278="PT Missed",$G278="PT Modified",$G278="PT Refused"),"Yes","No"))</f>
        <v/>
      </c>
      <c r="L278" s="14" t="n"/>
      <c r="M278" s="14" t="n"/>
      <c r="N278" s="15">
        <f>IF($D278="","",IF($M278="Excused","No",IF(AND($G278="PT Modified",$L278="Received"),"No","Yes")))</f>
        <v/>
      </c>
      <c r="O278" s="14" t="n"/>
    </row>
    <row r="279">
      <c r="B279" s="15">
        <f>IF($D279="","","A"&amp;TEXT(ROW()-5,"000"))</f>
        <v/>
      </c>
      <c r="C279" s="16" t="n"/>
      <c r="D279" s="14" t="n"/>
      <c r="E279" s="15">
        <f>IF($D279="","",IFERROR(INDEX(rngCadetPIDs,MATCH($D279,rngCadetNames,0)),"?"))</f>
        <v/>
      </c>
      <c r="F279" s="15">
        <f>IF($E279="","",IFERROR(INDEX(nrCadetAgency,MATCH($E279,rngCadetPIDs,0)),""))</f>
        <v/>
      </c>
      <c r="G279" s="14" t="n"/>
      <c r="H279" s="14" t="n"/>
      <c r="I279" s="14" t="n"/>
      <c r="J279" s="14" t="n"/>
      <c r="K279" s="15">
        <f>IF($G279="","",IF(OR($G279="PT Missed",$G279="PT Modified",$G279="PT Refused"),"Yes","No"))</f>
        <v/>
      </c>
      <c r="L279" s="14" t="n"/>
      <c r="M279" s="14" t="n"/>
      <c r="N279" s="15">
        <f>IF($D279="","",IF($M279="Excused","No",IF(AND($G279="PT Modified",$L279="Received"),"No","Yes")))</f>
        <v/>
      </c>
      <c r="O279" s="14" t="n"/>
    </row>
    <row r="280">
      <c r="B280" s="15">
        <f>IF($D280="","","A"&amp;TEXT(ROW()-5,"000"))</f>
        <v/>
      </c>
      <c r="C280" s="16" t="n"/>
      <c r="D280" s="14" t="n"/>
      <c r="E280" s="15">
        <f>IF($D280="","",IFERROR(INDEX(rngCadetPIDs,MATCH($D280,rngCadetNames,0)),"?"))</f>
        <v/>
      </c>
      <c r="F280" s="15">
        <f>IF($E280="","",IFERROR(INDEX(nrCadetAgency,MATCH($E280,rngCadetPIDs,0)),""))</f>
        <v/>
      </c>
      <c r="G280" s="14" t="n"/>
      <c r="H280" s="14" t="n"/>
      <c r="I280" s="14" t="n"/>
      <c r="J280" s="14" t="n"/>
      <c r="K280" s="15">
        <f>IF($G280="","",IF(OR($G280="PT Missed",$G280="PT Modified",$G280="PT Refused"),"Yes","No"))</f>
        <v/>
      </c>
      <c r="L280" s="14" t="n"/>
      <c r="M280" s="14" t="n"/>
      <c r="N280" s="15">
        <f>IF($D280="","",IF($M280="Excused","No",IF(AND($G280="PT Modified",$L280="Received"),"No","Yes")))</f>
        <v/>
      </c>
      <c r="O280" s="14" t="n"/>
    </row>
    <row r="281">
      <c r="B281" s="15">
        <f>IF($D281="","","A"&amp;TEXT(ROW()-5,"000"))</f>
        <v/>
      </c>
      <c r="C281" s="16" t="n"/>
      <c r="D281" s="14" t="n"/>
      <c r="E281" s="15">
        <f>IF($D281="","",IFERROR(INDEX(rngCadetPIDs,MATCH($D281,rngCadetNames,0)),"?"))</f>
        <v/>
      </c>
      <c r="F281" s="15">
        <f>IF($E281="","",IFERROR(INDEX(nrCadetAgency,MATCH($E281,rngCadetPIDs,0)),""))</f>
        <v/>
      </c>
      <c r="G281" s="14" t="n"/>
      <c r="H281" s="14" t="n"/>
      <c r="I281" s="14" t="n"/>
      <c r="J281" s="14" t="n"/>
      <c r="K281" s="15">
        <f>IF($G281="","",IF(OR($G281="PT Missed",$G281="PT Modified",$G281="PT Refused"),"Yes","No"))</f>
        <v/>
      </c>
      <c r="L281" s="14" t="n"/>
      <c r="M281" s="14" t="n"/>
      <c r="N281" s="15">
        <f>IF($D281="","",IF($M281="Excused","No",IF(AND($G281="PT Modified",$L281="Received"),"No","Yes")))</f>
        <v/>
      </c>
      <c r="O281" s="14" t="n"/>
    </row>
    <row r="282">
      <c r="B282" s="15">
        <f>IF($D282="","","A"&amp;TEXT(ROW()-5,"000"))</f>
        <v/>
      </c>
      <c r="C282" s="16" t="n"/>
      <c r="D282" s="14" t="n"/>
      <c r="E282" s="15">
        <f>IF($D282="","",IFERROR(INDEX(rngCadetPIDs,MATCH($D282,rngCadetNames,0)),"?"))</f>
        <v/>
      </c>
      <c r="F282" s="15">
        <f>IF($E282="","",IFERROR(INDEX(nrCadetAgency,MATCH($E282,rngCadetPIDs,0)),""))</f>
        <v/>
      </c>
      <c r="G282" s="14" t="n"/>
      <c r="H282" s="14" t="n"/>
      <c r="I282" s="14" t="n"/>
      <c r="J282" s="14" t="n"/>
      <c r="K282" s="15">
        <f>IF($G282="","",IF(OR($G282="PT Missed",$G282="PT Modified",$G282="PT Refused"),"Yes","No"))</f>
        <v/>
      </c>
      <c r="L282" s="14" t="n"/>
      <c r="M282" s="14" t="n"/>
      <c r="N282" s="15">
        <f>IF($D282="","",IF($M282="Excused","No",IF(AND($G282="PT Modified",$L282="Received"),"No","Yes")))</f>
        <v/>
      </c>
      <c r="O282" s="14" t="n"/>
    </row>
    <row r="283">
      <c r="B283" s="15">
        <f>IF($D283="","","A"&amp;TEXT(ROW()-5,"000"))</f>
        <v/>
      </c>
      <c r="C283" s="16" t="n"/>
      <c r="D283" s="14" t="n"/>
      <c r="E283" s="15">
        <f>IF($D283="","",IFERROR(INDEX(rngCadetPIDs,MATCH($D283,rngCadetNames,0)),"?"))</f>
        <v/>
      </c>
      <c r="F283" s="15">
        <f>IF($E283="","",IFERROR(INDEX(nrCadetAgency,MATCH($E283,rngCadetPIDs,0)),""))</f>
        <v/>
      </c>
      <c r="G283" s="14" t="n"/>
      <c r="H283" s="14" t="n"/>
      <c r="I283" s="14" t="n"/>
      <c r="J283" s="14" t="n"/>
      <c r="K283" s="15">
        <f>IF($G283="","",IF(OR($G283="PT Missed",$G283="PT Modified",$G283="PT Refused"),"Yes","No"))</f>
        <v/>
      </c>
      <c r="L283" s="14" t="n"/>
      <c r="M283" s="14" t="n"/>
      <c r="N283" s="15">
        <f>IF($D283="","",IF($M283="Excused","No",IF(AND($G283="PT Modified",$L283="Received"),"No","Yes")))</f>
        <v/>
      </c>
      <c r="O283" s="14" t="n"/>
    </row>
    <row r="284">
      <c r="B284" s="15">
        <f>IF($D284="","","A"&amp;TEXT(ROW()-5,"000"))</f>
        <v/>
      </c>
      <c r="C284" s="16" t="n"/>
      <c r="D284" s="14" t="n"/>
      <c r="E284" s="15">
        <f>IF($D284="","",IFERROR(INDEX(rngCadetPIDs,MATCH($D284,rngCadetNames,0)),"?"))</f>
        <v/>
      </c>
      <c r="F284" s="15">
        <f>IF($E284="","",IFERROR(INDEX(nrCadetAgency,MATCH($E284,rngCadetPIDs,0)),""))</f>
        <v/>
      </c>
      <c r="G284" s="14" t="n"/>
      <c r="H284" s="14" t="n"/>
      <c r="I284" s="14" t="n"/>
      <c r="J284" s="14" t="n"/>
      <c r="K284" s="15">
        <f>IF($G284="","",IF(OR($G284="PT Missed",$G284="PT Modified",$G284="PT Refused"),"Yes","No"))</f>
        <v/>
      </c>
      <c r="L284" s="14" t="n"/>
      <c r="M284" s="14" t="n"/>
      <c r="N284" s="15">
        <f>IF($D284="","",IF($M284="Excused","No",IF(AND($G284="PT Modified",$L284="Received"),"No","Yes")))</f>
        <v/>
      </c>
      <c r="O284" s="14" t="n"/>
    </row>
    <row r="285">
      <c r="B285" s="15">
        <f>IF($D285="","","A"&amp;TEXT(ROW()-5,"000"))</f>
        <v/>
      </c>
      <c r="C285" s="16" t="n"/>
      <c r="D285" s="14" t="n"/>
      <c r="E285" s="15">
        <f>IF($D285="","",IFERROR(INDEX(rngCadetPIDs,MATCH($D285,rngCadetNames,0)),"?"))</f>
        <v/>
      </c>
      <c r="F285" s="15">
        <f>IF($E285="","",IFERROR(INDEX(nrCadetAgency,MATCH($E285,rngCadetPIDs,0)),""))</f>
        <v/>
      </c>
      <c r="G285" s="14" t="n"/>
      <c r="H285" s="14" t="n"/>
      <c r="I285" s="14" t="n"/>
      <c r="J285" s="14" t="n"/>
      <c r="K285" s="15">
        <f>IF($G285="","",IF(OR($G285="PT Missed",$G285="PT Modified",$G285="PT Refused"),"Yes","No"))</f>
        <v/>
      </c>
      <c r="L285" s="14" t="n"/>
      <c r="M285" s="14" t="n"/>
      <c r="N285" s="15">
        <f>IF($D285="","",IF($M285="Excused","No",IF(AND($G285="PT Modified",$L285="Received"),"No","Yes")))</f>
        <v/>
      </c>
      <c r="O285" s="14" t="n"/>
    </row>
    <row r="286">
      <c r="B286" s="15">
        <f>IF($D286="","","A"&amp;TEXT(ROW()-5,"000"))</f>
        <v/>
      </c>
      <c r="C286" s="16" t="n"/>
      <c r="D286" s="14" t="n"/>
      <c r="E286" s="15">
        <f>IF($D286="","",IFERROR(INDEX(rngCadetPIDs,MATCH($D286,rngCadetNames,0)),"?"))</f>
        <v/>
      </c>
      <c r="F286" s="15">
        <f>IF($E286="","",IFERROR(INDEX(nrCadetAgency,MATCH($E286,rngCadetPIDs,0)),""))</f>
        <v/>
      </c>
      <c r="G286" s="14" t="n"/>
      <c r="H286" s="14" t="n"/>
      <c r="I286" s="14" t="n"/>
      <c r="J286" s="14" t="n"/>
      <c r="K286" s="15">
        <f>IF($G286="","",IF(OR($G286="PT Missed",$G286="PT Modified",$G286="PT Refused"),"Yes","No"))</f>
        <v/>
      </c>
      <c r="L286" s="14" t="n"/>
      <c r="M286" s="14" t="n"/>
      <c r="N286" s="15">
        <f>IF($D286="","",IF($M286="Excused","No",IF(AND($G286="PT Modified",$L286="Received"),"No","Yes")))</f>
        <v/>
      </c>
      <c r="O286" s="14" t="n"/>
    </row>
    <row r="287">
      <c r="B287" s="15">
        <f>IF($D287="","","A"&amp;TEXT(ROW()-5,"000"))</f>
        <v/>
      </c>
      <c r="C287" s="16" t="n"/>
      <c r="D287" s="14" t="n"/>
      <c r="E287" s="15">
        <f>IF($D287="","",IFERROR(INDEX(rngCadetPIDs,MATCH($D287,rngCadetNames,0)),"?"))</f>
        <v/>
      </c>
      <c r="F287" s="15">
        <f>IF($E287="","",IFERROR(INDEX(nrCadetAgency,MATCH($E287,rngCadetPIDs,0)),""))</f>
        <v/>
      </c>
      <c r="G287" s="14" t="n"/>
      <c r="H287" s="14" t="n"/>
      <c r="I287" s="14" t="n"/>
      <c r="J287" s="14" t="n"/>
      <c r="K287" s="15">
        <f>IF($G287="","",IF(OR($G287="PT Missed",$G287="PT Modified",$G287="PT Refused"),"Yes","No"))</f>
        <v/>
      </c>
      <c r="L287" s="14" t="n"/>
      <c r="M287" s="14" t="n"/>
      <c r="N287" s="15">
        <f>IF($D287="","",IF($M287="Excused","No",IF(AND($G287="PT Modified",$L287="Received"),"No","Yes")))</f>
        <v/>
      </c>
      <c r="O287" s="14" t="n"/>
    </row>
    <row r="288">
      <c r="B288" s="15">
        <f>IF($D288="","","A"&amp;TEXT(ROW()-5,"000"))</f>
        <v/>
      </c>
      <c r="C288" s="16" t="n"/>
      <c r="D288" s="14" t="n"/>
      <c r="E288" s="15">
        <f>IF($D288="","",IFERROR(INDEX(rngCadetPIDs,MATCH($D288,rngCadetNames,0)),"?"))</f>
        <v/>
      </c>
      <c r="F288" s="15">
        <f>IF($E288="","",IFERROR(INDEX(nrCadetAgency,MATCH($E288,rngCadetPIDs,0)),""))</f>
        <v/>
      </c>
      <c r="G288" s="14" t="n"/>
      <c r="H288" s="14" t="n"/>
      <c r="I288" s="14" t="n"/>
      <c r="J288" s="14" t="n"/>
      <c r="K288" s="15">
        <f>IF($G288="","",IF(OR($G288="PT Missed",$G288="PT Modified",$G288="PT Refused"),"Yes","No"))</f>
        <v/>
      </c>
      <c r="L288" s="14" t="n"/>
      <c r="M288" s="14" t="n"/>
      <c r="N288" s="15">
        <f>IF($D288="","",IF($M288="Excused","No",IF(AND($G288="PT Modified",$L288="Received"),"No","Yes")))</f>
        <v/>
      </c>
      <c r="O288" s="14" t="n"/>
    </row>
    <row r="289">
      <c r="B289" s="15">
        <f>IF($D289="","","A"&amp;TEXT(ROW()-5,"000"))</f>
        <v/>
      </c>
      <c r="C289" s="16" t="n"/>
      <c r="D289" s="14" t="n"/>
      <c r="E289" s="15">
        <f>IF($D289="","",IFERROR(INDEX(rngCadetPIDs,MATCH($D289,rngCadetNames,0)),"?"))</f>
        <v/>
      </c>
      <c r="F289" s="15">
        <f>IF($E289="","",IFERROR(INDEX(nrCadetAgency,MATCH($E289,rngCadetPIDs,0)),""))</f>
        <v/>
      </c>
      <c r="G289" s="14" t="n"/>
      <c r="H289" s="14" t="n"/>
      <c r="I289" s="14" t="n"/>
      <c r="J289" s="14" t="n"/>
      <c r="K289" s="15">
        <f>IF($G289="","",IF(OR($G289="PT Missed",$G289="PT Modified",$G289="PT Refused"),"Yes","No"))</f>
        <v/>
      </c>
      <c r="L289" s="14" t="n"/>
      <c r="M289" s="14" t="n"/>
      <c r="N289" s="15">
        <f>IF($D289="","",IF($M289="Excused","No",IF(AND($G289="PT Modified",$L289="Received"),"No","Yes")))</f>
        <v/>
      </c>
      <c r="O289" s="14" t="n"/>
    </row>
    <row r="290">
      <c r="B290" s="15">
        <f>IF($D290="","","A"&amp;TEXT(ROW()-5,"000"))</f>
        <v/>
      </c>
      <c r="C290" s="16" t="n"/>
      <c r="D290" s="14" t="n"/>
      <c r="E290" s="15">
        <f>IF($D290="","",IFERROR(INDEX(rngCadetPIDs,MATCH($D290,rngCadetNames,0)),"?"))</f>
        <v/>
      </c>
      <c r="F290" s="15">
        <f>IF($E290="","",IFERROR(INDEX(nrCadetAgency,MATCH($E290,rngCadetPIDs,0)),""))</f>
        <v/>
      </c>
      <c r="G290" s="14" t="n"/>
      <c r="H290" s="14" t="n"/>
      <c r="I290" s="14" t="n"/>
      <c r="J290" s="14" t="n"/>
      <c r="K290" s="15">
        <f>IF($G290="","",IF(OR($G290="PT Missed",$G290="PT Modified",$G290="PT Refused"),"Yes","No"))</f>
        <v/>
      </c>
      <c r="L290" s="14" t="n"/>
      <c r="M290" s="14" t="n"/>
      <c r="N290" s="15">
        <f>IF($D290="","",IF($M290="Excused","No",IF(AND($G290="PT Modified",$L290="Received"),"No","Yes")))</f>
        <v/>
      </c>
      <c r="O290" s="14" t="n"/>
    </row>
    <row r="291">
      <c r="B291" s="15">
        <f>IF($D291="","","A"&amp;TEXT(ROW()-5,"000"))</f>
        <v/>
      </c>
      <c r="C291" s="16" t="n"/>
      <c r="D291" s="14" t="n"/>
      <c r="E291" s="15">
        <f>IF($D291="","",IFERROR(INDEX(rngCadetPIDs,MATCH($D291,rngCadetNames,0)),"?"))</f>
        <v/>
      </c>
      <c r="F291" s="15">
        <f>IF($E291="","",IFERROR(INDEX(nrCadetAgency,MATCH($E291,rngCadetPIDs,0)),""))</f>
        <v/>
      </c>
      <c r="G291" s="14" t="n"/>
      <c r="H291" s="14" t="n"/>
      <c r="I291" s="14" t="n"/>
      <c r="J291" s="14" t="n"/>
      <c r="K291" s="15">
        <f>IF($G291="","",IF(OR($G291="PT Missed",$G291="PT Modified",$G291="PT Refused"),"Yes","No"))</f>
        <v/>
      </c>
      <c r="L291" s="14" t="n"/>
      <c r="M291" s="14" t="n"/>
      <c r="N291" s="15">
        <f>IF($D291="","",IF($M291="Excused","No",IF(AND($G291="PT Modified",$L291="Received"),"No","Yes")))</f>
        <v/>
      </c>
      <c r="O291" s="14" t="n"/>
    </row>
    <row r="292">
      <c r="B292" s="15">
        <f>IF($D292="","","A"&amp;TEXT(ROW()-5,"000"))</f>
        <v/>
      </c>
      <c r="C292" s="16" t="n"/>
      <c r="D292" s="14" t="n"/>
      <c r="E292" s="15">
        <f>IF($D292="","",IFERROR(INDEX(rngCadetPIDs,MATCH($D292,rngCadetNames,0)),"?"))</f>
        <v/>
      </c>
      <c r="F292" s="15">
        <f>IF($E292="","",IFERROR(INDEX(nrCadetAgency,MATCH($E292,rngCadetPIDs,0)),""))</f>
        <v/>
      </c>
      <c r="G292" s="14" t="n"/>
      <c r="H292" s="14" t="n"/>
      <c r="I292" s="14" t="n"/>
      <c r="J292" s="14" t="n"/>
      <c r="K292" s="15">
        <f>IF($G292="","",IF(OR($G292="PT Missed",$G292="PT Modified",$G292="PT Refused"),"Yes","No"))</f>
        <v/>
      </c>
      <c r="L292" s="14" t="n"/>
      <c r="M292" s="14" t="n"/>
      <c r="N292" s="15">
        <f>IF($D292="","",IF($M292="Excused","No",IF(AND($G292="PT Modified",$L292="Received"),"No","Yes")))</f>
        <v/>
      </c>
      <c r="O292" s="14" t="n"/>
    </row>
    <row r="293">
      <c r="B293" s="15">
        <f>IF($D293="","","A"&amp;TEXT(ROW()-5,"000"))</f>
        <v/>
      </c>
      <c r="C293" s="16" t="n"/>
      <c r="D293" s="14" t="n"/>
      <c r="E293" s="15">
        <f>IF($D293="","",IFERROR(INDEX(rngCadetPIDs,MATCH($D293,rngCadetNames,0)),"?"))</f>
        <v/>
      </c>
      <c r="F293" s="15">
        <f>IF($E293="","",IFERROR(INDEX(nrCadetAgency,MATCH($E293,rngCadetPIDs,0)),""))</f>
        <v/>
      </c>
      <c r="G293" s="14" t="n"/>
      <c r="H293" s="14" t="n"/>
      <c r="I293" s="14" t="n"/>
      <c r="J293" s="14" t="n"/>
      <c r="K293" s="15">
        <f>IF($G293="","",IF(OR($G293="PT Missed",$G293="PT Modified",$G293="PT Refused"),"Yes","No"))</f>
        <v/>
      </c>
      <c r="L293" s="14" t="n"/>
      <c r="M293" s="14" t="n"/>
      <c r="N293" s="15">
        <f>IF($D293="","",IF($M293="Excused","No",IF(AND($G293="PT Modified",$L293="Received"),"No","Yes")))</f>
        <v/>
      </c>
      <c r="O293" s="14" t="n"/>
    </row>
    <row r="294">
      <c r="B294" s="15">
        <f>IF($D294="","","A"&amp;TEXT(ROW()-5,"000"))</f>
        <v/>
      </c>
      <c r="C294" s="16" t="n"/>
      <c r="D294" s="14" t="n"/>
      <c r="E294" s="15">
        <f>IF($D294="","",IFERROR(INDEX(rngCadetPIDs,MATCH($D294,rngCadetNames,0)),"?"))</f>
        <v/>
      </c>
      <c r="F294" s="15">
        <f>IF($E294="","",IFERROR(INDEX(nrCadetAgency,MATCH($E294,rngCadetPIDs,0)),""))</f>
        <v/>
      </c>
      <c r="G294" s="14" t="n"/>
      <c r="H294" s="14" t="n"/>
      <c r="I294" s="14" t="n"/>
      <c r="J294" s="14" t="n"/>
      <c r="K294" s="15">
        <f>IF($G294="","",IF(OR($G294="PT Missed",$G294="PT Modified",$G294="PT Refused"),"Yes","No"))</f>
        <v/>
      </c>
      <c r="L294" s="14" t="n"/>
      <c r="M294" s="14" t="n"/>
      <c r="N294" s="15">
        <f>IF($D294="","",IF($M294="Excused","No",IF(AND($G294="PT Modified",$L294="Received"),"No","Yes")))</f>
        <v/>
      </c>
      <c r="O294" s="14" t="n"/>
    </row>
    <row r="295">
      <c r="B295" s="15">
        <f>IF($D295="","","A"&amp;TEXT(ROW()-5,"000"))</f>
        <v/>
      </c>
      <c r="C295" s="16" t="n"/>
      <c r="D295" s="14" t="n"/>
      <c r="E295" s="15">
        <f>IF($D295="","",IFERROR(INDEX(rngCadetPIDs,MATCH($D295,rngCadetNames,0)),"?"))</f>
        <v/>
      </c>
      <c r="F295" s="15">
        <f>IF($E295="","",IFERROR(INDEX(nrCadetAgency,MATCH($E295,rngCadetPIDs,0)),""))</f>
        <v/>
      </c>
      <c r="G295" s="14" t="n"/>
      <c r="H295" s="14" t="n"/>
      <c r="I295" s="14" t="n"/>
      <c r="J295" s="14" t="n"/>
      <c r="K295" s="15">
        <f>IF($G295="","",IF(OR($G295="PT Missed",$G295="PT Modified",$G295="PT Refused"),"Yes","No"))</f>
        <v/>
      </c>
      <c r="L295" s="14" t="n"/>
      <c r="M295" s="14" t="n"/>
      <c r="N295" s="15">
        <f>IF($D295="","",IF($M295="Excused","No",IF(AND($G295="PT Modified",$L295="Received"),"No","Yes")))</f>
        <v/>
      </c>
      <c r="O295" s="14" t="n"/>
    </row>
    <row r="296">
      <c r="B296" s="15">
        <f>IF($D296="","","A"&amp;TEXT(ROW()-5,"000"))</f>
        <v/>
      </c>
      <c r="C296" s="16" t="n"/>
      <c r="D296" s="14" t="n"/>
      <c r="E296" s="15">
        <f>IF($D296="","",IFERROR(INDEX(rngCadetPIDs,MATCH($D296,rngCadetNames,0)),"?"))</f>
        <v/>
      </c>
      <c r="F296" s="15">
        <f>IF($E296="","",IFERROR(INDEX(nrCadetAgency,MATCH($E296,rngCadetPIDs,0)),""))</f>
        <v/>
      </c>
      <c r="G296" s="14" t="n"/>
      <c r="H296" s="14" t="n"/>
      <c r="I296" s="14" t="n"/>
      <c r="J296" s="14" t="n"/>
      <c r="K296" s="15">
        <f>IF($G296="","",IF(OR($G296="PT Missed",$G296="PT Modified",$G296="PT Refused"),"Yes","No"))</f>
        <v/>
      </c>
      <c r="L296" s="14" t="n"/>
      <c r="M296" s="14" t="n"/>
      <c r="N296" s="15">
        <f>IF($D296="","",IF($M296="Excused","No",IF(AND($G296="PT Modified",$L296="Received"),"No","Yes")))</f>
        <v/>
      </c>
      <c r="O296" s="14" t="n"/>
    </row>
    <row r="297">
      <c r="B297" s="15">
        <f>IF($D297="","","A"&amp;TEXT(ROW()-5,"000"))</f>
        <v/>
      </c>
      <c r="C297" s="16" t="n"/>
      <c r="D297" s="14" t="n"/>
      <c r="E297" s="15">
        <f>IF($D297="","",IFERROR(INDEX(rngCadetPIDs,MATCH($D297,rngCadetNames,0)),"?"))</f>
        <v/>
      </c>
      <c r="F297" s="15">
        <f>IF($E297="","",IFERROR(INDEX(nrCadetAgency,MATCH($E297,rngCadetPIDs,0)),""))</f>
        <v/>
      </c>
      <c r="G297" s="14" t="n"/>
      <c r="H297" s="14" t="n"/>
      <c r="I297" s="14" t="n"/>
      <c r="J297" s="14" t="n"/>
      <c r="K297" s="15">
        <f>IF($G297="","",IF(OR($G297="PT Missed",$G297="PT Modified",$G297="PT Refused"),"Yes","No"))</f>
        <v/>
      </c>
      <c r="L297" s="14" t="n"/>
      <c r="M297" s="14" t="n"/>
      <c r="N297" s="15">
        <f>IF($D297="","",IF($M297="Excused","No",IF(AND($G297="PT Modified",$L297="Received"),"No","Yes")))</f>
        <v/>
      </c>
      <c r="O297" s="14" t="n"/>
    </row>
    <row r="298">
      <c r="B298" s="15">
        <f>IF($D298="","","A"&amp;TEXT(ROW()-5,"000"))</f>
        <v/>
      </c>
      <c r="C298" s="16" t="n"/>
      <c r="D298" s="14" t="n"/>
      <c r="E298" s="15">
        <f>IF($D298="","",IFERROR(INDEX(rngCadetPIDs,MATCH($D298,rngCadetNames,0)),"?"))</f>
        <v/>
      </c>
      <c r="F298" s="15">
        <f>IF($E298="","",IFERROR(INDEX(nrCadetAgency,MATCH($E298,rngCadetPIDs,0)),""))</f>
        <v/>
      </c>
      <c r="G298" s="14" t="n"/>
      <c r="H298" s="14" t="n"/>
      <c r="I298" s="14" t="n"/>
      <c r="J298" s="14" t="n"/>
      <c r="K298" s="15">
        <f>IF($G298="","",IF(OR($G298="PT Missed",$G298="PT Modified",$G298="PT Refused"),"Yes","No"))</f>
        <v/>
      </c>
      <c r="L298" s="14" t="n"/>
      <c r="M298" s="14" t="n"/>
      <c r="N298" s="15">
        <f>IF($D298="","",IF($M298="Excused","No",IF(AND($G298="PT Modified",$L298="Received"),"No","Yes")))</f>
        <v/>
      </c>
      <c r="O298" s="14" t="n"/>
    </row>
    <row r="299">
      <c r="B299" s="15">
        <f>IF($D299="","","A"&amp;TEXT(ROW()-5,"000"))</f>
        <v/>
      </c>
      <c r="C299" s="16" t="n"/>
      <c r="D299" s="14" t="n"/>
      <c r="E299" s="15">
        <f>IF($D299="","",IFERROR(INDEX(rngCadetPIDs,MATCH($D299,rngCadetNames,0)),"?"))</f>
        <v/>
      </c>
      <c r="F299" s="15">
        <f>IF($E299="","",IFERROR(INDEX(nrCadetAgency,MATCH($E299,rngCadetPIDs,0)),""))</f>
        <v/>
      </c>
      <c r="G299" s="14" t="n"/>
      <c r="H299" s="14" t="n"/>
      <c r="I299" s="14" t="n"/>
      <c r="J299" s="14" t="n"/>
      <c r="K299" s="15">
        <f>IF($G299="","",IF(OR($G299="PT Missed",$G299="PT Modified",$G299="PT Refused"),"Yes","No"))</f>
        <v/>
      </c>
      <c r="L299" s="14" t="n"/>
      <c r="M299" s="14" t="n"/>
      <c r="N299" s="15">
        <f>IF($D299="","",IF($M299="Excused","No",IF(AND($G299="PT Modified",$L299="Received"),"No","Yes")))</f>
        <v/>
      </c>
      <c r="O299" s="14" t="n"/>
    </row>
    <row r="300">
      <c r="B300" s="15">
        <f>IF($D300="","","A"&amp;TEXT(ROW()-5,"000"))</f>
        <v/>
      </c>
      <c r="C300" s="16" t="n"/>
      <c r="D300" s="14" t="n"/>
      <c r="E300" s="15">
        <f>IF($D300="","",IFERROR(INDEX(rngCadetPIDs,MATCH($D300,rngCadetNames,0)),"?"))</f>
        <v/>
      </c>
      <c r="F300" s="15">
        <f>IF($E300="","",IFERROR(INDEX(nrCadetAgency,MATCH($E300,rngCadetPIDs,0)),""))</f>
        <v/>
      </c>
      <c r="G300" s="14" t="n"/>
      <c r="H300" s="14" t="n"/>
      <c r="I300" s="14" t="n"/>
      <c r="J300" s="14" t="n"/>
      <c r="K300" s="15">
        <f>IF($G300="","",IF(OR($G300="PT Missed",$G300="PT Modified",$G300="PT Refused"),"Yes","No"))</f>
        <v/>
      </c>
      <c r="L300" s="14" t="n"/>
      <c r="M300" s="14" t="n"/>
      <c r="N300" s="15">
        <f>IF($D300="","",IF($M300="Excused","No",IF(AND($G300="PT Modified",$L300="Received"),"No","Yes")))</f>
        <v/>
      </c>
      <c r="O300" s="14" t="n"/>
    </row>
    <row r="301">
      <c r="B301" s="15">
        <f>IF($D301="","","A"&amp;TEXT(ROW()-5,"000"))</f>
        <v/>
      </c>
      <c r="C301" s="16" t="n"/>
      <c r="D301" s="14" t="n"/>
      <c r="E301" s="15">
        <f>IF($D301="","",IFERROR(INDEX(rngCadetPIDs,MATCH($D301,rngCadetNames,0)),"?"))</f>
        <v/>
      </c>
      <c r="F301" s="15">
        <f>IF($E301="","",IFERROR(INDEX(nrCadetAgency,MATCH($E301,rngCadetPIDs,0)),""))</f>
        <v/>
      </c>
      <c r="G301" s="14" t="n"/>
      <c r="H301" s="14" t="n"/>
      <c r="I301" s="14" t="n"/>
      <c r="J301" s="14" t="n"/>
      <c r="K301" s="15">
        <f>IF($G301="","",IF(OR($G301="PT Missed",$G301="PT Modified",$G301="PT Refused"),"Yes","No"))</f>
        <v/>
      </c>
      <c r="L301" s="14" t="n"/>
      <c r="M301" s="14" t="n"/>
      <c r="N301" s="15">
        <f>IF($D301="","",IF($M301="Excused","No",IF(AND($G301="PT Modified",$L301="Received"),"No","Yes")))</f>
        <v/>
      </c>
      <c r="O301" s="14" t="n"/>
    </row>
    <row r="302">
      <c r="B302" s="15">
        <f>IF($D302="","","A"&amp;TEXT(ROW()-5,"000"))</f>
        <v/>
      </c>
      <c r="C302" s="16" t="n"/>
      <c r="D302" s="14" t="n"/>
      <c r="E302" s="15">
        <f>IF($D302="","",IFERROR(INDEX(rngCadetPIDs,MATCH($D302,rngCadetNames,0)),"?"))</f>
        <v/>
      </c>
      <c r="F302" s="15">
        <f>IF($E302="","",IFERROR(INDEX(nrCadetAgency,MATCH($E302,rngCadetPIDs,0)),""))</f>
        <v/>
      </c>
      <c r="G302" s="14" t="n"/>
      <c r="H302" s="14" t="n"/>
      <c r="I302" s="14" t="n"/>
      <c r="J302" s="14" t="n"/>
      <c r="K302" s="15">
        <f>IF($G302="","",IF(OR($G302="PT Missed",$G302="PT Modified",$G302="PT Refused"),"Yes","No"))</f>
        <v/>
      </c>
      <c r="L302" s="14" t="n"/>
      <c r="M302" s="14" t="n"/>
      <c r="N302" s="15">
        <f>IF($D302="","",IF($M302="Excused","No",IF(AND($G302="PT Modified",$L302="Received"),"No","Yes")))</f>
        <v/>
      </c>
      <c r="O302" s="14" t="n"/>
    </row>
    <row r="303">
      <c r="B303" s="15">
        <f>IF($D303="","","A"&amp;TEXT(ROW()-5,"000"))</f>
        <v/>
      </c>
      <c r="C303" s="16" t="n"/>
      <c r="D303" s="14" t="n"/>
      <c r="E303" s="15">
        <f>IF($D303="","",IFERROR(INDEX(rngCadetPIDs,MATCH($D303,rngCadetNames,0)),"?"))</f>
        <v/>
      </c>
      <c r="F303" s="15">
        <f>IF($E303="","",IFERROR(INDEX(nrCadetAgency,MATCH($E303,rngCadetPIDs,0)),""))</f>
        <v/>
      </c>
      <c r="G303" s="14" t="n"/>
      <c r="H303" s="14" t="n"/>
      <c r="I303" s="14" t="n"/>
      <c r="J303" s="14" t="n"/>
      <c r="K303" s="15">
        <f>IF($G303="","",IF(OR($G303="PT Missed",$G303="PT Modified",$G303="PT Refused"),"Yes","No"))</f>
        <v/>
      </c>
      <c r="L303" s="14" t="n"/>
      <c r="M303" s="14" t="n"/>
      <c r="N303" s="15">
        <f>IF($D303="","",IF($M303="Excused","No",IF(AND($G303="PT Modified",$L303="Received"),"No","Yes")))</f>
        <v/>
      </c>
      <c r="O303" s="14" t="n"/>
    </row>
    <row r="304">
      <c r="B304" s="15">
        <f>IF($D304="","","A"&amp;TEXT(ROW()-5,"000"))</f>
        <v/>
      </c>
      <c r="C304" s="16" t="n"/>
      <c r="D304" s="14" t="n"/>
      <c r="E304" s="15">
        <f>IF($D304="","",IFERROR(INDEX(rngCadetPIDs,MATCH($D304,rngCadetNames,0)),"?"))</f>
        <v/>
      </c>
      <c r="F304" s="15">
        <f>IF($E304="","",IFERROR(INDEX(nrCadetAgency,MATCH($E304,rngCadetPIDs,0)),""))</f>
        <v/>
      </c>
      <c r="G304" s="14" t="n"/>
      <c r="H304" s="14" t="n"/>
      <c r="I304" s="14" t="n"/>
      <c r="J304" s="14" t="n"/>
      <c r="K304" s="15">
        <f>IF($G304="","",IF(OR($G304="PT Missed",$G304="PT Modified",$G304="PT Refused"),"Yes","No"))</f>
        <v/>
      </c>
      <c r="L304" s="14" t="n"/>
      <c r="M304" s="14" t="n"/>
      <c r="N304" s="15">
        <f>IF($D304="","",IF($M304="Excused","No",IF(AND($G304="PT Modified",$L304="Received"),"No","Yes")))</f>
        <v/>
      </c>
      <c r="O304" s="14" t="n"/>
    </row>
    <row r="305">
      <c r="B305" s="15">
        <f>IF($D305="","","A"&amp;TEXT(ROW()-5,"000"))</f>
        <v/>
      </c>
      <c r="C305" s="16" t="n"/>
      <c r="D305" s="14" t="n"/>
      <c r="E305" s="15">
        <f>IF($D305="","",IFERROR(INDEX(rngCadetPIDs,MATCH($D305,rngCadetNames,0)),"?"))</f>
        <v/>
      </c>
      <c r="F305" s="15">
        <f>IF($E305="","",IFERROR(INDEX(nrCadetAgency,MATCH($E305,rngCadetPIDs,0)),""))</f>
        <v/>
      </c>
      <c r="G305" s="14" t="n"/>
      <c r="H305" s="14" t="n"/>
      <c r="I305" s="14" t="n"/>
      <c r="J305" s="14" t="n"/>
      <c r="K305" s="15">
        <f>IF($G305="","",IF(OR($G305="PT Missed",$G305="PT Modified",$G305="PT Refused"),"Yes","No"))</f>
        <v/>
      </c>
      <c r="L305" s="14" t="n"/>
      <c r="M305" s="14" t="n"/>
      <c r="N305" s="15">
        <f>IF($D305="","",IF($M305="Excused","No",IF(AND($G305="PT Modified",$L305="Received"),"No","Yes")))</f>
        <v/>
      </c>
      <c r="O305" s="14" t="n"/>
    </row>
    <row r="306">
      <c r="B306" s="15">
        <f>IF($D306="","","A"&amp;TEXT(ROW()-5,"000"))</f>
        <v/>
      </c>
      <c r="C306" s="16" t="n"/>
      <c r="D306" s="14" t="n"/>
      <c r="E306" s="15">
        <f>IF($D306="","",IFERROR(INDEX(rngCadetPIDs,MATCH($D306,rngCadetNames,0)),"?"))</f>
        <v/>
      </c>
      <c r="F306" s="15">
        <f>IF($E306="","",IFERROR(INDEX(nrCadetAgency,MATCH($E306,rngCadetPIDs,0)),""))</f>
        <v/>
      </c>
      <c r="G306" s="14" t="n"/>
      <c r="H306" s="14" t="n"/>
      <c r="I306" s="14" t="n"/>
      <c r="J306" s="14" t="n"/>
      <c r="K306" s="15">
        <f>IF($G306="","",IF(OR($G306="PT Missed",$G306="PT Modified",$G306="PT Refused"),"Yes","No"))</f>
        <v/>
      </c>
      <c r="L306" s="14" t="n"/>
      <c r="M306" s="14" t="n"/>
      <c r="N306" s="15">
        <f>IF($D306="","",IF($M306="Excused","No",IF(AND($G306="PT Modified",$L306="Received"),"No","Yes")))</f>
        <v/>
      </c>
      <c r="O306" s="14" t="n"/>
    </row>
    <row r="307">
      <c r="B307" s="15">
        <f>IF($D307="","","A"&amp;TEXT(ROW()-5,"000"))</f>
        <v/>
      </c>
      <c r="C307" s="16" t="n"/>
      <c r="D307" s="14" t="n"/>
      <c r="E307" s="15">
        <f>IF($D307="","",IFERROR(INDEX(rngCadetPIDs,MATCH($D307,rngCadetNames,0)),"?"))</f>
        <v/>
      </c>
      <c r="F307" s="15">
        <f>IF($E307="","",IFERROR(INDEX(nrCadetAgency,MATCH($E307,rngCadetPIDs,0)),""))</f>
        <v/>
      </c>
      <c r="G307" s="14" t="n"/>
      <c r="H307" s="14" t="n"/>
      <c r="I307" s="14" t="n"/>
      <c r="J307" s="14" t="n"/>
      <c r="K307" s="15">
        <f>IF($G307="","",IF(OR($G307="PT Missed",$G307="PT Modified",$G307="PT Refused"),"Yes","No"))</f>
        <v/>
      </c>
      <c r="L307" s="14" t="n"/>
      <c r="M307" s="14" t="n"/>
      <c r="N307" s="15">
        <f>IF($D307="","",IF($M307="Excused","No",IF(AND($G307="PT Modified",$L307="Received"),"No","Yes")))</f>
        <v/>
      </c>
      <c r="O307" s="14" t="n"/>
    </row>
    <row r="308">
      <c r="B308" s="15">
        <f>IF($D308="","","A"&amp;TEXT(ROW()-5,"000"))</f>
        <v/>
      </c>
      <c r="C308" s="16" t="n"/>
      <c r="D308" s="14" t="n"/>
      <c r="E308" s="15">
        <f>IF($D308="","",IFERROR(INDEX(rngCadetPIDs,MATCH($D308,rngCadetNames,0)),"?"))</f>
        <v/>
      </c>
      <c r="F308" s="15">
        <f>IF($E308="","",IFERROR(INDEX(nrCadetAgency,MATCH($E308,rngCadetPIDs,0)),""))</f>
        <v/>
      </c>
      <c r="G308" s="14" t="n"/>
      <c r="H308" s="14" t="n"/>
      <c r="I308" s="14" t="n"/>
      <c r="J308" s="14" t="n"/>
      <c r="K308" s="15">
        <f>IF($G308="","",IF(OR($G308="PT Missed",$G308="PT Modified",$G308="PT Refused"),"Yes","No"))</f>
        <v/>
      </c>
      <c r="L308" s="14" t="n"/>
      <c r="M308" s="14" t="n"/>
      <c r="N308" s="15">
        <f>IF($D308="","",IF($M308="Excused","No",IF(AND($G308="PT Modified",$L308="Received"),"No","Yes")))</f>
        <v/>
      </c>
      <c r="O308" s="14" t="n"/>
    </row>
    <row r="309">
      <c r="B309" s="15">
        <f>IF($D309="","","A"&amp;TEXT(ROW()-5,"000"))</f>
        <v/>
      </c>
      <c r="C309" s="16" t="n"/>
      <c r="D309" s="14" t="n"/>
      <c r="E309" s="15">
        <f>IF($D309="","",IFERROR(INDEX(rngCadetPIDs,MATCH($D309,rngCadetNames,0)),"?"))</f>
        <v/>
      </c>
      <c r="F309" s="15">
        <f>IF($E309="","",IFERROR(INDEX(nrCadetAgency,MATCH($E309,rngCadetPIDs,0)),""))</f>
        <v/>
      </c>
      <c r="G309" s="14" t="n"/>
      <c r="H309" s="14" t="n"/>
      <c r="I309" s="14" t="n"/>
      <c r="J309" s="14" t="n"/>
      <c r="K309" s="15">
        <f>IF($G309="","",IF(OR($G309="PT Missed",$G309="PT Modified",$G309="PT Refused"),"Yes","No"))</f>
        <v/>
      </c>
      <c r="L309" s="14" t="n"/>
      <c r="M309" s="14" t="n"/>
      <c r="N309" s="15">
        <f>IF($D309="","",IF($M309="Excused","No",IF(AND($G309="PT Modified",$L309="Received"),"No","Yes")))</f>
        <v/>
      </c>
      <c r="O309" s="14" t="n"/>
    </row>
    <row r="310">
      <c r="B310" s="15">
        <f>IF($D310="","","A"&amp;TEXT(ROW()-5,"000"))</f>
        <v/>
      </c>
      <c r="C310" s="16" t="n"/>
      <c r="D310" s="14" t="n"/>
      <c r="E310" s="15">
        <f>IF($D310="","",IFERROR(INDEX(rngCadetPIDs,MATCH($D310,rngCadetNames,0)),"?"))</f>
        <v/>
      </c>
      <c r="F310" s="15">
        <f>IF($E310="","",IFERROR(INDEX(nrCadetAgency,MATCH($E310,rngCadetPIDs,0)),""))</f>
        <v/>
      </c>
      <c r="G310" s="14" t="n"/>
      <c r="H310" s="14" t="n"/>
      <c r="I310" s="14" t="n"/>
      <c r="J310" s="14" t="n"/>
      <c r="K310" s="15">
        <f>IF($G310="","",IF(OR($G310="PT Missed",$G310="PT Modified",$G310="PT Refused"),"Yes","No"))</f>
        <v/>
      </c>
      <c r="L310" s="14" t="n"/>
      <c r="M310" s="14" t="n"/>
      <c r="N310" s="15">
        <f>IF($D310="","",IF($M310="Excused","No",IF(AND($G310="PT Modified",$L310="Received"),"No","Yes")))</f>
        <v/>
      </c>
      <c r="O310" s="14" t="n"/>
    </row>
    <row r="311">
      <c r="B311" s="15">
        <f>IF($D311="","","A"&amp;TEXT(ROW()-5,"000"))</f>
        <v/>
      </c>
      <c r="C311" s="16" t="n"/>
      <c r="D311" s="14" t="n"/>
      <c r="E311" s="15">
        <f>IF($D311="","",IFERROR(INDEX(rngCadetPIDs,MATCH($D311,rngCadetNames,0)),"?"))</f>
        <v/>
      </c>
      <c r="F311" s="15">
        <f>IF($E311="","",IFERROR(INDEX(nrCadetAgency,MATCH($E311,rngCadetPIDs,0)),""))</f>
        <v/>
      </c>
      <c r="G311" s="14" t="n"/>
      <c r="H311" s="14" t="n"/>
      <c r="I311" s="14" t="n"/>
      <c r="J311" s="14" t="n"/>
      <c r="K311" s="15">
        <f>IF($G311="","",IF(OR($G311="PT Missed",$G311="PT Modified",$G311="PT Refused"),"Yes","No"))</f>
        <v/>
      </c>
      <c r="L311" s="14" t="n"/>
      <c r="M311" s="14" t="n"/>
      <c r="N311" s="15">
        <f>IF($D311="","",IF($M311="Excused","No",IF(AND($G311="PT Modified",$L311="Received"),"No","Yes")))</f>
        <v/>
      </c>
      <c r="O311" s="14" t="n"/>
    </row>
    <row r="312">
      <c r="B312" s="15">
        <f>IF($D312="","","A"&amp;TEXT(ROW()-5,"000"))</f>
        <v/>
      </c>
      <c r="C312" s="16" t="n"/>
      <c r="D312" s="14" t="n"/>
      <c r="E312" s="15">
        <f>IF($D312="","",IFERROR(INDEX(rngCadetPIDs,MATCH($D312,rngCadetNames,0)),"?"))</f>
        <v/>
      </c>
      <c r="F312" s="15">
        <f>IF($E312="","",IFERROR(INDEX(nrCadetAgency,MATCH($E312,rngCadetPIDs,0)),""))</f>
        <v/>
      </c>
      <c r="G312" s="14" t="n"/>
      <c r="H312" s="14" t="n"/>
      <c r="I312" s="14" t="n"/>
      <c r="J312" s="14" t="n"/>
      <c r="K312" s="15">
        <f>IF($G312="","",IF(OR($G312="PT Missed",$G312="PT Modified",$G312="PT Refused"),"Yes","No"))</f>
        <v/>
      </c>
      <c r="L312" s="14" t="n"/>
      <c r="M312" s="14" t="n"/>
      <c r="N312" s="15">
        <f>IF($D312="","",IF($M312="Excused","No",IF(AND($G312="PT Modified",$L312="Received"),"No","Yes")))</f>
        <v/>
      </c>
      <c r="O312" s="14" t="n"/>
    </row>
    <row r="313">
      <c r="B313" s="15">
        <f>IF($D313="","","A"&amp;TEXT(ROW()-5,"000"))</f>
        <v/>
      </c>
      <c r="C313" s="16" t="n"/>
      <c r="D313" s="14" t="n"/>
      <c r="E313" s="15">
        <f>IF($D313="","",IFERROR(INDEX(rngCadetPIDs,MATCH($D313,rngCadetNames,0)),"?"))</f>
        <v/>
      </c>
      <c r="F313" s="15">
        <f>IF($E313="","",IFERROR(INDEX(nrCadetAgency,MATCH($E313,rngCadetPIDs,0)),""))</f>
        <v/>
      </c>
      <c r="G313" s="14" t="n"/>
      <c r="H313" s="14" t="n"/>
      <c r="I313" s="14" t="n"/>
      <c r="J313" s="14" t="n"/>
      <c r="K313" s="15">
        <f>IF($G313="","",IF(OR($G313="PT Missed",$G313="PT Modified",$G313="PT Refused"),"Yes","No"))</f>
        <v/>
      </c>
      <c r="L313" s="14" t="n"/>
      <c r="M313" s="14" t="n"/>
      <c r="N313" s="15">
        <f>IF($D313="","",IF($M313="Excused","No",IF(AND($G313="PT Modified",$L313="Received"),"No","Yes")))</f>
        <v/>
      </c>
      <c r="O313" s="14" t="n"/>
    </row>
    <row r="314">
      <c r="B314" s="15">
        <f>IF($D314="","","A"&amp;TEXT(ROW()-5,"000"))</f>
        <v/>
      </c>
      <c r="C314" s="16" t="n"/>
      <c r="D314" s="14" t="n"/>
      <c r="E314" s="15">
        <f>IF($D314="","",IFERROR(INDEX(rngCadetPIDs,MATCH($D314,rngCadetNames,0)),"?"))</f>
        <v/>
      </c>
      <c r="F314" s="15">
        <f>IF($E314="","",IFERROR(INDEX(nrCadetAgency,MATCH($E314,rngCadetPIDs,0)),""))</f>
        <v/>
      </c>
      <c r="G314" s="14" t="n"/>
      <c r="H314" s="14" t="n"/>
      <c r="I314" s="14" t="n"/>
      <c r="J314" s="14" t="n"/>
      <c r="K314" s="15">
        <f>IF($G314="","",IF(OR($G314="PT Missed",$G314="PT Modified",$G314="PT Refused"),"Yes","No"))</f>
        <v/>
      </c>
      <c r="L314" s="14" t="n"/>
      <c r="M314" s="14" t="n"/>
      <c r="N314" s="15">
        <f>IF($D314="","",IF($M314="Excused","No",IF(AND($G314="PT Modified",$L314="Received"),"No","Yes")))</f>
        <v/>
      </c>
      <c r="O314" s="14" t="n"/>
    </row>
    <row r="315">
      <c r="B315" s="15">
        <f>IF($D315="","","A"&amp;TEXT(ROW()-5,"000"))</f>
        <v/>
      </c>
      <c r="C315" s="16" t="n"/>
      <c r="D315" s="14" t="n"/>
      <c r="E315" s="15">
        <f>IF($D315="","",IFERROR(INDEX(rngCadetPIDs,MATCH($D315,rngCadetNames,0)),"?"))</f>
        <v/>
      </c>
      <c r="F315" s="15">
        <f>IF($E315="","",IFERROR(INDEX(nrCadetAgency,MATCH($E315,rngCadetPIDs,0)),""))</f>
        <v/>
      </c>
      <c r="G315" s="14" t="n"/>
      <c r="H315" s="14" t="n"/>
      <c r="I315" s="14" t="n"/>
      <c r="J315" s="14" t="n"/>
      <c r="K315" s="15">
        <f>IF($G315="","",IF(OR($G315="PT Missed",$G315="PT Modified",$G315="PT Refused"),"Yes","No"))</f>
        <v/>
      </c>
      <c r="L315" s="14" t="n"/>
      <c r="M315" s="14" t="n"/>
      <c r="N315" s="15">
        <f>IF($D315="","",IF($M315="Excused","No",IF(AND($G315="PT Modified",$L315="Received"),"No","Yes")))</f>
        <v/>
      </c>
      <c r="O315" s="14" t="n"/>
    </row>
    <row r="316">
      <c r="B316" s="15">
        <f>IF($D316="","","A"&amp;TEXT(ROW()-5,"000"))</f>
        <v/>
      </c>
      <c r="C316" s="16" t="n"/>
      <c r="D316" s="14" t="n"/>
      <c r="E316" s="15">
        <f>IF($D316="","",IFERROR(INDEX(rngCadetPIDs,MATCH($D316,rngCadetNames,0)),"?"))</f>
        <v/>
      </c>
      <c r="F316" s="15">
        <f>IF($E316="","",IFERROR(INDEX(nrCadetAgency,MATCH($E316,rngCadetPIDs,0)),""))</f>
        <v/>
      </c>
      <c r="G316" s="14" t="n"/>
      <c r="H316" s="14" t="n"/>
      <c r="I316" s="14" t="n"/>
      <c r="J316" s="14" t="n"/>
      <c r="K316" s="15">
        <f>IF($G316="","",IF(OR($G316="PT Missed",$G316="PT Modified",$G316="PT Refused"),"Yes","No"))</f>
        <v/>
      </c>
      <c r="L316" s="14" t="n"/>
      <c r="M316" s="14" t="n"/>
      <c r="N316" s="15">
        <f>IF($D316="","",IF($M316="Excused","No",IF(AND($G316="PT Modified",$L316="Received"),"No","Yes")))</f>
        <v/>
      </c>
      <c r="O316" s="14" t="n"/>
    </row>
    <row r="317">
      <c r="B317" s="15">
        <f>IF($D317="","","A"&amp;TEXT(ROW()-5,"000"))</f>
        <v/>
      </c>
      <c r="C317" s="16" t="n"/>
      <c r="D317" s="14" t="n"/>
      <c r="E317" s="15">
        <f>IF($D317="","",IFERROR(INDEX(rngCadetPIDs,MATCH($D317,rngCadetNames,0)),"?"))</f>
        <v/>
      </c>
      <c r="F317" s="15">
        <f>IF($E317="","",IFERROR(INDEX(nrCadetAgency,MATCH($E317,rngCadetPIDs,0)),""))</f>
        <v/>
      </c>
      <c r="G317" s="14" t="n"/>
      <c r="H317" s="14" t="n"/>
      <c r="I317" s="14" t="n"/>
      <c r="J317" s="14" t="n"/>
      <c r="K317" s="15">
        <f>IF($G317="","",IF(OR($G317="PT Missed",$G317="PT Modified",$G317="PT Refused"),"Yes","No"))</f>
        <v/>
      </c>
      <c r="L317" s="14" t="n"/>
      <c r="M317" s="14" t="n"/>
      <c r="N317" s="15">
        <f>IF($D317="","",IF($M317="Excused","No",IF(AND($G317="PT Modified",$L317="Received"),"No","Yes")))</f>
        <v/>
      </c>
      <c r="O317" s="14" t="n"/>
    </row>
    <row r="318">
      <c r="B318" s="15">
        <f>IF($D318="","","A"&amp;TEXT(ROW()-5,"000"))</f>
        <v/>
      </c>
      <c r="C318" s="16" t="n"/>
      <c r="D318" s="14" t="n"/>
      <c r="E318" s="15">
        <f>IF($D318="","",IFERROR(INDEX(rngCadetPIDs,MATCH($D318,rngCadetNames,0)),"?"))</f>
        <v/>
      </c>
      <c r="F318" s="15">
        <f>IF($E318="","",IFERROR(INDEX(nrCadetAgency,MATCH($E318,rngCadetPIDs,0)),""))</f>
        <v/>
      </c>
      <c r="G318" s="14" t="n"/>
      <c r="H318" s="14" t="n"/>
      <c r="I318" s="14" t="n"/>
      <c r="J318" s="14" t="n"/>
      <c r="K318" s="15">
        <f>IF($G318="","",IF(OR($G318="PT Missed",$G318="PT Modified",$G318="PT Refused"),"Yes","No"))</f>
        <v/>
      </c>
      <c r="L318" s="14" t="n"/>
      <c r="M318" s="14" t="n"/>
      <c r="N318" s="15">
        <f>IF($D318="","",IF($M318="Excused","No",IF(AND($G318="PT Modified",$L318="Received"),"No","Yes")))</f>
        <v/>
      </c>
      <c r="O318" s="14" t="n"/>
    </row>
    <row r="319">
      <c r="B319" s="15">
        <f>IF($D319="","","A"&amp;TEXT(ROW()-5,"000"))</f>
        <v/>
      </c>
      <c r="C319" s="16" t="n"/>
      <c r="D319" s="14" t="n"/>
      <c r="E319" s="15">
        <f>IF($D319="","",IFERROR(INDEX(rngCadetPIDs,MATCH($D319,rngCadetNames,0)),"?"))</f>
        <v/>
      </c>
      <c r="F319" s="15">
        <f>IF($E319="","",IFERROR(INDEX(nrCadetAgency,MATCH($E319,rngCadetPIDs,0)),""))</f>
        <v/>
      </c>
      <c r="G319" s="14" t="n"/>
      <c r="H319" s="14" t="n"/>
      <c r="I319" s="14" t="n"/>
      <c r="J319" s="14" t="n"/>
      <c r="K319" s="15">
        <f>IF($G319="","",IF(OR($G319="PT Missed",$G319="PT Modified",$G319="PT Refused"),"Yes","No"))</f>
        <v/>
      </c>
      <c r="L319" s="14" t="n"/>
      <c r="M319" s="14" t="n"/>
      <c r="N319" s="15">
        <f>IF($D319="","",IF($M319="Excused","No",IF(AND($G319="PT Modified",$L319="Received"),"No","Yes")))</f>
        <v/>
      </c>
      <c r="O319" s="14" t="n"/>
    </row>
    <row r="320">
      <c r="B320" s="15">
        <f>IF($D320="","","A"&amp;TEXT(ROW()-5,"000"))</f>
        <v/>
      </c>
      <c r="C320" s="16" t="n"/>
      <c r="D320" s="14" t="n"/>
      <c r="E320" s="15">
        <f>IF($D320="","",IFERROR(INDEX(rngCadetPIDs,MATCH($D320,rngCadetNames,0)),"?"))</f>
        <v/>
      </c>
      <c r="F320" s="15">
        <f>IF($E320="","",IFERROR(INDEX(nrCadetAgency,MATCH($E320,rngCadetPIDs,0)),""))</f>
        <v/>
      </c>
      <c r="G320" s="14" t="n"/>
      <c r="H320" s="14" t="n"/>
      <c r="I320" s="14" t="n"/>
      <c r="J320" s="14" t="n"/>
      <c r="K320" s="15">
        <f>IF($G320="","",IF(OR($G320="PT Missed",$G320="PT Modified",$G320="PT Refused"),"Yes","No"))</f>
        <v/>
      </c>
      <c r="L320" s="14" t="n"/>
      <c r="M320" s="14" t="n"/>
      <c r="N320" s="15">
        <f>IF($D320="","",IF($M320="Excused","No",IF(AND($G320="PT Modified",$L320="Received"),"No","Yes")))</f>
        <v/>
      </c>
      <c r="O320" s="14" t="n"/>
    </row>
    <row r="321">
      <c r="B321" s="15">
        <f>IF($D321="","","A"&amp;TEXT(ROW()-5,"000"))</f>
        <v/>
      </c>
      <c r="C321" s="16" t="n"/>
      <c r="D321" s="14" t="n"/>
      <c r="E321" s="15">
        <f>IF($D321="","",IFERROR(INDEX(rngCadetPIDs,MATCH($D321,rngCadetNames,0)),"?"))</f>
        <v/>
      </c>
      <c r="F321" s="15">
        <f>IF($E321="","",IFERROR(INDEX(nrCadetAgency,MATCH($E321,rngCadetPIDs,0)),""))</f>
        <v/>
      </c>
      <c r="G321" s="14" t="n"/>
      <c r="H321" s="14" t="n"/>
      <c r="I321" s="14" t="n"/>
      <c r="J321" s="14" t="n"/>
      <c r="K321" s="15">
        <f>IF($G321="","",IF(OR($G321="PT Missed",$G321="PT Modified",$G321="PT Refused"),"Yes","No"))</f>
        <v/>
      </c>
      <c r="L321" s="14" t="n"/>
      <c r="M321" s="14" t="n"/>
      <c r="N321" s="15">
        <f>IF($D321="","",IF($M321="Excused","No",IF(AND($G321="PT Modified",$L321="Received"),"No","Yes")))</f>
        <v/>
      </c>
      <c r="O321" s="14" t="n"/>
    </row>
    <row r="322">
      <c r="B322" s="15">
        <f>IF($D322="","","A"&amp;TEXT(ROW()-5,"000"))</f>
        <v/>
      </c>
      <c r="C322" s="16" t="n"/>
      <c r="D322" s="14" t="n"/>
      <c r="E322" s="15">
        <f>IF($D322="","",IFERROR(INDEX(rngCadetPIDs,MATCH($D322,rngCadetNames,0)),"?"))</f>
        <v/>
      </c>
      <c r="F322" s="15">
        <f>IF($E322="","",IFERROR(INDEX(nrCadetAgency,MATCH($E322,rngCadetPIDs,0)),""))</f>
        <v/>
      </c>
      <c r="G322" s="14" t="n"/>
      <c r="H322" s="14" t="n"/>
      <c r="I322" s="14" t="n"/>
      <c r="J322" s="14" t="n"/>
      <c r="K322" s="15">
        <f>IF($G322="","",IF(OR($G322="PT Missed",$G322="PT Modified",$G322="PT Refused"),"Yes","No"))</f>
        <v/>
      </c>
      <c r="L322" s="14" t="n"/>
      <c r="M322" s="14" t="n"/>
      <c r="N322" s="15">
        <f>IF($D322="","",IF($M322="Excused","No",IF(AND($G322="PT Modified",$L322="Received"),"No","Yes")))</f>
        <v/>
      </c>
      <c r="O322" s="14" t="n"/>
    </row>
    <row r="323">
      <c r="B323" s="15">
        <f>IF($D323="","","A"&amp;TEXT(ROW()-5,"000"))</f>
        <v/>
      </c>
      <c r="C323" s="16" t="n"/>
      <c r="D323" s="14" t="n"/>
      <c r="E323" s="15">
        <f>IF($D323="","",IFERROR(INDEX(rngCadetPIDs,MATCH($D323,rngCadetNames,0)),"?"))</f>
        <v/>
      </c>
      <c r="F323" s="15">
        <f>IF($E323="","",IFERROR(INDEX(nrCadetAgency,MATCH($E323,rngCadetPIDs,0)),""))</f>
        <v/>
      </c>
      <c r="G323" s="14" t="n"/>
      <c r="H323" s="14" t="n"/>
      <c r="I323" s="14" t="n"/>
      <c r="J323" s="14" t="n"/>
      <c r="K323" s="15">
        <f>IF($G323="","",IF(OR($G323="PT Missed",$G323="PT Modified",$G323="PT Refused"),"Yes","No"))</f>
        <v/>
      </c>
      <c r="L323" s="14" t="n"/>
      <c r="M323" s="14" t="n"/>
      <c r="N323" s="15">
        <f>IF($D323="","",IF($M323="Excused","No",IF(AND($G323="PT Modified",$L323="Received"),"No","Yes")))</f>
        <v/>
      </c>
      <c r="O323" s="14" t="n"/>
    </row>
    <row r="324">
      <c r="B324" s="15">
        <f>IF($D324="","","A"&amp;TEXT(ROW()-5,"000"))</f>
        <v/>
      </c>
      <c r="C324" s="16" t="n"/>
      <c r="D324" s="14" t="n"/>
      <c r="E324" s="15">
        <f>IF($D324="","",IFERROR(INDEX(rngCadetPIDs,MATCH($D324,rngCadetNames,0)),"?"))</f>
        <v/>
      </c>
      <c r="F324" s="15">
        <f>IF($E324="","",IFERROR(INDEX(nrCadetAgency,MATCH($E324,rngCadetPIDs,0)),""))</f>
        <v/>
      </c>
      <c r="G324" s="14" t="n"/>
      <c r="H324" s="14" t="n"/>
      <c r="I324" s="14" t="n"/>
      <c r="J324" s="14" t="n"/>
      <c r="K324" s="15">
        <f>IF($G324="","",IF(OR($G324="PT Missed",$G324="PT Modified",$G324="PT Refused"),"Yes","No"))</f>
        <v/>
      </c>
      <c r="L324" s="14" t="n"/>
      <c r="M324" s="14" t="n"/>
      <c r="N324" s="15">
        <f>IF($D324="","",IF($M324="Excused","No",IF(AND($G324="PT Modified",$L324="Received"),"No","Yes")))</f>
        <v/>
      </c>
      <c r="O324" s="14" t="n"/>
    </row>
    <row r="325">
      <c r="B325" s="15">
        <f>IF($D325="","","A"&amp;TEXT(ROW()-5,"000"))</f>
        <v/>
      </c>
      <c r="C325" s="16" t="n"/>
      <c r="D325" s="14" t="n"/>
      <c r="E325" s="15">
        <f>IF($D325="","",IFERROR(INDEX(rngCadetPIDs,MATCH($D325,rngCadetNames,0)),"?"))</f>
        <v/>
      </c>
      <c r="F325" s="15">
        <f>IF($E325="","",IFERROR(INDEX(nrCadetAgency,MATCH($E325,rngCadetPIDs,0)),""))</f>
        <v/>
      </c>
      <c r="G325" s="14" t="n"/>
      <c r="H325" s="14" t="n"/>
      <c r="I325" s="14" t="n"/>
      <c r="J325" s="14" t="n"/>
      <c r="K325" s="15">
        <f>IF($G325="","",IF(OR($G325="PT Missed",$G325="PT Modified",$G325="PT Refused"),"Yes","No"))</f>
        <v/>
      </c>
      <c r="L325" s="14" t="n"/>
      <c r="M325" s="14" t="n"/>
      <c r="N325" s="15">
        <f>IF($D325="","",IF($M325="Excused","No",IF(AND($G325="PT Modified",$L325="Received"),"No","Yes")))</f>
        <v/>
      </c>
      <c r="O325" s="14" t="n"/>
    </row>
    <row r="326">
      <c r="B326" s="15">
        <f>IF($D326="","","A"&amp;TEXT(ROW()-5,"000"))</f>
        <v/>
      </c>
      <c r="C326" s="16" t="n"/>
      <c r="D326" s="14" t="n"/>
      <c r="E326" s="15">
        <f>IF($D326="","",IFERROR(INDEX(rngCadetPIDs,MATCH($D326,rngCadetNames,0)),"?"))</f>
        <v/>
      </c>
      <c r="F326" s="15">
        <f>IF($E326="","",IFERROR(INDEX(nrCadetAgency,MATCH($E326,rngCadetPIDs,0)),""))</f>
        <v/>
      </c>
      <c r="G326" s="14" t="n"/>
      <c r="H326" s="14" t="n"/>
      <c r="I326" s="14" t="n"/>
      <c r="J326" s="14" t="n"/>
      <c r="K326" s="15">
        <f>IF($G326="","",IF(OR($G326="PT Missed",$G326="PT Modified",$G326="PT Refused"),"Yes","No"))</f>
        <v/>
      </c>
      <c r="L326" s="14" t="n"/>
      <c r="M326" s="14" t="n"/>
      <c r="N326" s="15">
        <f>IF($D326="","",IF($M326="Excused","No",IF(AND($G326="PT Modified",$L326="Received"),"No","Yes")))</f>
        <v/>
      </c>
      <c r="O326" s="14" t="n"/>
    </row>
    <row r="327">
      <c r="B327" s="15">
        <f>IF($D327="","","A"&amp;TEXT(ROW()-5,"000"))</f>
        <v/>
      </c>
      <c r="C327" s="16" t="n"/>
      <c r="D327" s="14" t="n"/>
      <c r="E327" s="15">
        <f>IF($D327="","",IFERROR(INDEX(rngCadetPIDs,MATCH($D327,rngCadetNames,0)),"?"))</f>
        <v/>
      </c>
      <c r="F327" s="15">
        <f>IF($E327="","",IFERROR(INDEX(nrCadetAgency,MATCH($E327,rngCadetPIDs,0)),""))</f>
        <v/>
      </c>
      <c r="G327" s="14" t="n"/>
      <c r="H327" s="14" t="n"/>
      <c r="I327" s="14" t="n"/>
      <c r="J327" s="14" t="n"/>
      <c r="K327" s="15">
        <f>IF($G327="","",IF(OR($G327="PT Missed",$G327="PT Modified",$G327="PT Refused"),"Yes","No"))</f>
        <v/>
      </c>
      <c r="L327" s="14" t="n"/>
      <c r="M327" s="14" t="n"/>
      <c r="N327" s="15">
        <f>IF($D327="","",IF($M327="Excused","No",IF(AND($G327="PT Modified",$L327="Received"),"No","Yes")))</f>
        <v/>
      </c>
      <c r="O327" s="14" t="n"/>
    </row>
    <row r="328">
      <c r="B328" s="15">
        <f>IF($D328="","","A"&amp;TEXT(ROW()-5,"000"))</f>
        <v/>
      </c>
      <c r="C328" s="16" t="n"/>
      <c r="D328" s="14" t="n"/>
      <c r="E328" s="15">
        <f>IF($D328="","",IFERROR(INDEX(rngCadetPIDs,MATCH($D328,rngCadetNames,0)),"?"))</f>
        <v/>
      </c>
      <c r="F328" s="15">
        <f>IF($E328="","",IFERROR(INDEX(nrCadetAgency,MATCH($E328,rngCadetPIDs,0)),""))</f>
        <v/>
      </c>
      <c r="G328" s="14" t="n"/>
      <c r="H328" s="14" t="n"/>
      <c r="I328" s="14" t="n"/>
      <c r="J328" s="14" t="n"/>
      <c r="K328" s="15">
        <f>IF($G328="","",IF(OR($G328="PT Missed",$G328="PT Modified",$G328="PT Refused"),"Yes","No"))</f>
        <v/>
      </c>
      <c r="L328" s="14" t="n"/>
      <c r="M328" s="14" t="n"/>
      <c r="N328" s="15">
        <f>IF($D328="","",IF($M328="Excused","No",IF(AND($G328="PT Modified",$L328="Received"),"No","Yes")))</f>
        <v/>
      </c>
      <c r="O328" s="14" t="n"/>
    </row>
    <row r="329">
      <c r="B329" s="15">
        <f>IF($D329="","","A"&amp;TEXT(ROW()-5,"000"))</f>
        <v/>
      </c>
      <c r="C329" s="16" t="n"/>
      <c r="D329" s="14" t="n"/>
      <c r="E329" s="15">
        <f>IF($D329="","",IFERROR(INDEX(rngCadetPIDs,MATCH($D329,rngCadetNames,0)),"?"))</f>
        <v/>
      </c>
      <c r="F329" s="15">
        <f>IF($E329="","",IFERROR(INDEX(nrCadetAgency,MATCH($E329,rngCadetPIDs,0)),""))</f>
        <v/>
      </c>
      <c r="G329" s="14" t="n"/>
      <c r="H329" s="14" t="n"/>
      <c r="I329" s="14" t="n"/>
      <c r="J329" s="14" t="n"/>
      <c r="K329" s="15">
        <f>IF($G329="","",IF(OR($G329="PT Missed",$G329="PT Modified",$G329="PT Refused"),"Yes","No"))</f>
        <v/>
      </c>
      <c r="L329" s="14" t="n"/>
      <c r="M329" s="14" t="n"/>
      <c r="N329" s="15">
        <f>IF($D329="","",IF($M329="Excused","No",IF(AND($G329="PT Modified",$L329="Received"),"No","Yes")))</f>
        <v/>
      </c>
      <c r="O329" s="14" t="n"/>
    </row>
    <row r="330">
      <c r="B330" s="15">
        <f>IF($D330="","","A"&amp;TEXT(ROW()-5,"000"))</f>
        <v/>
      </c>
      <c r="C330" s="16" t="n"/>
      <c r="D330" s="14" t="n"/>
      <c r="E330" s="15">
        <f>IF($D330="","",IFERROR(INDEX(rngCadetPIDs,MATCH($D330,rngCadetNames,0)),"?"))</f>
        <v/>
      </c>
      <c r="F330" s="15">
        <f>IF($E330="","",IFERROR(INDEX(nrCadetAgency,MATCH($E330,rngCadetPIDs,0)),""))</f>
        <v/>
      </c>
      <c r="G330" s="14" t="n"/>
      <c r="H330" s="14" t="n"/>
      <c r="I330" s="14" t="n"/>
      <c r="J330" s="14" t="n"/>
      <c r="K330" s="15">
        <f>IF($G330="","",IF(OR($G330="PT Missed",$G330="PT Modified",$G330="PT Refused"),"Yes","No"))</f>
        <v/>
      </c>
      <c r="L330" s="14" t="n"/>
      <c r="M330" s="14" t="n"/>
      <c r="N330" s="15">
        <f>IF($D330="","",IF($M330="Excused","No",IF(AND($G330="PT Modified",$L330="Received"),"No","Yes")))</f>
        <v/>
      </c>
      <c r="O330" s="14" t="n"/>
    </row>
    <row r="331">
      <c r="B331" s="15">
        <f>IF($D331="","","A"&amp;TEXT(ROW()-5,"000"))</f>
        <v/>
      </c>
      <c r="C331" s="16" t="n"/>
      <c r="D331" s="14" t="n"/>
      <c r="E331" s="15">
        <f>IF($D331="","",IFERROR(INDEX(rngCadetPIDs,MATCH($D331,rngCadetNames,0)),"?"))</f>
        <v/>
      </c>
      <c r="F331" s="15">
        <f>IF($E331="","",IFERROR(INDEX(nrCadetAgency,MATCH($E331,rngCadetPIDs,0)),""))</f>
        <v/>
      </c>
      <c r="G331" s="14" t="n"/>
      <c r="H331" s="14" t="n"/>
      <c r="I331" s="14" t="n"/>
      <c r="J331" s="14" t="n"/>
      <c r="K331" s="15">
        <f>IF($G331="","",IF(OR($G331="PT Missed",$G331="PT Modified",$G331="PT Refused"),"Yes","No"))</f>
        <v/>
      </c>
      <c r="L331" s="14" t="n"/>
      <c r="M331" s="14" t="n"/>
      <c r="N331" s="15">
        <f>IF($D331="","",IF($M331="Excused","No",IF(AND($G331="PT Modified",$L331="Received"),"No","Yes")))</f>
        <v/>
      </c>
      <c r="O331" s="14" t="n"/>
    </row>
    <row r="332">
      <c r="B332" s="15">
        <f>IF($D332="","","A"&amp;TEXT(ROW()-5,"000"))</f>
        <v/>
      </c>
      <c r="C332" s="16" t="n"/>
      <c r="D332" s="14" t="n"/>
      <c r="E332" s="15">
        <f>IF($D332="","",IFERROR(INDEX(rngCadetPIDs,MATCH($D332,rngCadetNames,0)),"?"))</f>
        <v/>
      </c>
      <c r="F332" s="15">
        <f>IF($E332="","",IFERROR(INDEX(nrCadetAgency,MATCH($E332,rngCadetPIDs,0)),""))</f>
        <v/>
      </c>
      <c r="G332" s="14" t="n"/>
      <c r="H332" s="14" t="n"/>
      <c r="I332" s="14" t="n"/>
      <c r="J332" s="14" t="n"/>
      <c r="K332" s="15">
        <f>IF($G332="","",IF(OR($G332="PT Missed",$G332="PT Modified",$G332="PT Refused"),"Yes","No"))</f>
        <v/>
      </c>
      <c r="L332" s="14" t="n"/>
      <c r="M332" s="14" t="n"/>
      <c r="N332" s="15">
        <f>IF($D332="","",IF($M332="Excused","No",IF(AND($G332="PT Modified",$L332="Received"),"No","Yes")))</f>
        <v/>
      </c>
      <c r="O332" s="14" t="n"/>
    </row>
    <row r="333">
      <c r="B333" s="15">
        <f>IF($D333="","","A"&amp;TEXT(ROW()-5,"000"))</f>
        <v/>
      </c>
      <c r="C333" s="16" t="n"/>
      <c r="D333" s="14" t="n"/>
      <c r="E333" s="15">
        <f>IF($D333="","",IFERROR(INDEX(rngCadetPIDs,MATCH($D333,rngCadetNames,0)),"?"))</f>
        <v/>
      </c>
      <c r="F333" s="15">
        <f>IF($E333="","",IFERROR(INDEX(nrCadetAgency,MATCH($E333,rngCadetPIDs,0)),""))</f>
        <v/>
      </c>
      <c r="G333" s="14" t="n"/>
      <c r="H333" s="14" t="n"/>
      <c r="I333" s="14" t="n"/>
      <c r="J333" s="14" t="n"/>
      <c r="K333" s="15">
        <f>IF($G333="","",IF(OR($G333="PT Missed",$G333="PT Modified",$G333="PT Refused"),"Yes","No"))</f>
        <v/>
      </c>
      <c r="L333" s="14" t="n"/>
      <c r="M333" s="14" t="n"/>
      <c r="N333" s="15">
        <f>IF($D333="","",IF($M333="Excused","No",IF(AND($G333="PT Modified",$L333="Received"),"No","Yes")))</f>
        <v/>
      </c>
      <c r="O333" s="14" t="n"/>
    </row>
    <row r="334">
      <c r="B334" s="15">
        <f>IF($D334="","","A"&amp;TEXT(ROW()-5,"000"))</f>
        <v/>
      </c>
      <c r="C334" s="16" t="n"/>
      <c r="D334" s="14" t="n"/>
      <c r="E334" s="15">
        <f>IF($D334="","",IFERROR(INDEX(rngCadetPIDs,MATCH($D334,rngCadetNames,0)),"?"))</f>
        <v/>
      </c>
      <c r="F334" s="15">
        <f>IF($E334="","",IFERROR(INDEX(nrCadetAgency,MATCH($E334,rngCadetPIDs,0)),""))</f>
        <v/>
      </c>
      <c r="G334" s="14" t="n"/>
      <c r="H334" s="14" t="n"/>
      <c r="I334" s="14" t="n"/>
      <c r="J334" s="14" t="n"/>
      <c r="K334" s="15">
        <f>IF($G334="","",IF(OR($G334="PT Missed",$G334="PT Modified",$G334="PT Refused"),"Yes","No"))</f>
        <v/>
      </c>
      <c r="L334" s="14" t="n"/>
      <c r="M334" s="14" t="n"/>
      <c r="N334" s="15">
        <f>IF($D334="","",IF($M334="Excused","No",IF(AND($G334="PT Modified",$L334="Received"),"No","Yes")))</f>
        <v/>
      </c>
      <c r="O334" s="14" t="n"/>
    </row>
    <row r="335">
      <c r="B335" s="15">
        <f>IF($D335="","","A"&amp;TEXT(ROW()-5,"000"))</f>
        <v/>
      </c>
      <c r="C335" s="16" t="n"/>
      <c r="D335" s="14" t="n"/>
      <c r="E335" s="15">
        <f>IF($D335="","",IFERROR(INDEX(rngCadetPIDs,MATCH($D335,rngCadetNames,0)),"?"))</f>
        <v/>
      </c>
      <c r="F335" s="15">
        <f>IF($E335="","",IFERROR(INDEX(nrCadetAgency,MATCH($E335,rngCadetPIDs,0)),""))</f>
        <v/>
      </c>
      <c r="G335" s="14" t="n"/>
      <c r="H335" s="14" t="n"/>
      <c r="I335" s="14" t="n"/>
      <c r="J335" s="14" t="n"/>
      <c r="K335" s="15">
        <f>IF($G335="","",IF(OR($G335="PT Missed",$G335="PT Modified",$G335="PT Refused"),"Yes","No"))</f>
        <v/>
      </c>
      <c r="L335" s="14" t="n"/>
      <c r="M335" s="14" t="n"/>
      <c r="N335" s="15">
        <f>IF($D335="","",IF($M335="Excused","No",IF(AND($G335="PT Modified",$L335="Received"),"No","Yes")))</f>
        <v/>
      </c>
      <c r="O335" s="14" t="n"/>
    </row>
    <row r="336">
      <c r="B336" s="15">
        <f>IF($D336="","","A"&amp;TEXT(ROW()-5,"000"))</f>
        <v/>
      </c>
      <c r="C336" s="16" t="n"/>
      <c r="D336" s="14" t="n"/>
      <c r="E336" s="15">
        <f>IF($D336="","",IFERROR(INDEX(rngCadetPIDs,MATCH($D336,rngCadetNames,0)),"?"))</f>
        <v/>
      </c>
      <c r="F336" s="15">
        <f>IF($E336="","",IFERROR(INDEX(nrCadetAgency,MATCH($E336,rngCadetPIDs,0)),""))</f>
        <v/>
      </c>
      <c r="G336" s="14" t="n"/>
      <c r="H336" s="14" t="n"/>
      <c r="I336" s="14" t="n"/>
      <c r="J336" s="14" t="n"/>
      <c r="K336" s="15">
        <f>IF($G336="","",IF(OR($G336="PT Missed",$G336="PT Modified",$G336="PT Refused"),"Yes","No"))</f>
        <v/>
      </c>
      <c r="L336" s="14" t="n"/>
      <c r="M336" s="14" t="n"/>
      <c r="N336" s="15">
        <f>IF($D336="","",IF($M336="Excused","No",IF(AND($G336="PT Modified",$L336="Received"),"No","Yes")))</f>
        <v/>
      </c>
      <c r="O336" s="14" t="n"/>
    </row>
    <row r="337">
      <c r="B337" s="15">
        <f>IF($D337="","","A"&amp;TEXT(ROW()-5,"000"))</f>
        <v/>
      </c>
      <c r="C337" s="16" t="n"/>
      <c r="D337" s="14" t="n"/>
      <c r="E337" s="15">
        <f>IF($D337="","",IFERROR(INDEX(rngCadetPIDs,MATCH($D337,rngCadetNames,0)),"?"))</f>
        <v/>
      </c>
      <c r="F337" s="15">
        <f>IF($E337="","",IFERROR(INDEX(nrCadetAgency,MATCH($E337,rngCadetPIDs,0)),""))</f>
        <v/>
      </c>
      <c r="G337" s="14" t="n"/>
      <c r="H337" s="14" t="n"/>
      <c r="I337" s="14" t="n"/>
      <c r="J337" s="14" t="n"/>
      <c r="K337" s="15">
        <f>IF($G337="","",IF(OR($G337="PT Missed",$G337="PT Modified",$G337="PT Refused"),"Yes","No"))</f>
        <v/>
      </c>
      <c r="L337" s="14" t="n"/>
      <c r="M337" s="14" t="n"/>
      <c r="N337" s="15">
        <f>IF($D337="","",IF($M337="Excused","No",IF(AND($G337="PT Modified",$L337="Received"),"No","Yes")))</f>
        <v/>
      </c>
      <c r="O337" s="14" t="n"/>
    </row>
    <row r="338">
      <c r="B338" s="15">
        <f>IF($D338="","","A"&amp;TEXT(ROW()-5,"000"))</f>
        <v/>
      </c>
      <c r="C338" s="16" t="n"/>
      <c r="D338" s="14" t="n"/>
      <c r="E338" s="15">
        <f>IF($D338="","",IFERROR(INDEX(rngCadetPIDs,MATCH($D338,rngCadetNames,0)),"?"))</f>
        <v/>
      </c>
      <c r="F338" s="15">
        <f>IF($E338="","",IFERROR(INDEX(nrCadetAgency,MATCH($E338,rngCadetPIDs,0)),""))</f>
        <v/>
      </c>
      <c r="G338" s="14" t="n"/>
      <c r="H338" s="14" t="n"/>
      <c r="I338" s="14" t="n"/>
      <c r="J338" s="14" t="n"/>
      <c r="K338" s="15">
        <f>IF($G338="","",IF(OR($G338="PT Missed",$G338="PT Modified",$G338="PT Refused"),"Yes","No"))</f>
        <v/>
      </c>
      <c r="L338" s="14" t="n"/>
      <c r="M338" s="14" t="n"/>
      <c r="N338" s="15">
        <f>IF($D338="","",IF($M338="Excused","No",IF(AND($G338="PT Modified",$L338="Received"),"No","Yes")))</f>
        <v/>
      </c>
      <c r="O338" s="14" t="n"/>
    </row>
    <row r="339">
      <c r="B339" s="15">
        <f>IF($D339="","","A"&amp;TEXT(ROW()-5,"000"))</f>
        <v/>
      </c>
      <c r="C339" s="16" t="n"/>
      <c r="D339" s="14" t="n"/>
      <c r="E339" s="15">
        <f>IF($D339="","",IFERROR(INDEX(rngCadetPIDs,MATCH($D339,rngCadetNames,0)),"?"))</f>
        <v/>
      </c>
      <c r="F339" s="15">
        <f>IF($E339="","",IFERROR(INDEX(nrCadetAgency,MATCH($E339,rngCadetPIDs,0)),""))</f>
        <v/>
      </c>
      <c r="G339" s="14" t="n"/>
      <c r="H339" s="14" t="n"/>
      <c r="I339" s="14" t="n"/>
      <c r="J339" s="14" t="n"/>
      <c r="K339" s="15">
        <f>IF($G339="","",IF(OR($G339="PT Missed",$G339="PT Modified",$G339="PT Refused"),"Yes","No"))</f>
        <v/>
      </c>
      <c r="L339" s="14" t="n"/>
      <c r="M339" s="14" t="n"/>
      <c r="N339" s="15">
        <f>IF($D339="","",IF($M339="Excused","No",IF(AND($G339="PT Modified",$L339="Received"),"No","Yes")))</f>
        <v/>
      </c>
      <c r="O339" s="14" t="n"/>
    </row>
    <row r="340">
      <c r="B340" s="15">
        <f>IF($D340="","","A"&amp;TEXT(ROW()-5,"000"))</f>
        <v/>
      </c>
      <c r="C340" s="16" t="n"/>
      <c r="D340" s="14" t="n"/>
      <c r="E340" s="15">
        <f>IF($D340="","",IFERROR(INDEX(rngCadetPIDs,MATCH($D340,rngCadetNames,0)),"?"))</f>
        <v/>
      </c>
      <c r="F340" s="15">
        <f>IF($E340="","",IFERROR(INDEX(nrCadetAgency,MATCH($E340,rngCadetPIDs,0)),""))</f>
        <v/>
      </c>
      <c r="G340" s="14" t="n"/>
      <c r="H340" s="14" t="n"/>
      <c r="I340" s="14" t="n"/>
      <c r="J340" s="14" t="n"/>
      <c r="K340" s="15">
        <f>IF($G340="","",IF(OR($G340="PT Missed",$G340="PT Modified",$G340="PT Refused"),"Yes","No"))</f>
        <v/>
      </c>
      <c r="L340" s="14" t="n"/>
      <c r="M340" s="14" t="n"/>
      <c r="N340" s="15">
        <f>IF($D340="","",IF($M340="Excused","No",IF(AND($G340="PT Modified",$L340="Received"),"No","Yes")))</f>
        <v/>
      </c>
      <c r="O340" s="14" t="n"/>
    </row>
    <row r="341">
      <c r="B341" s="15">
        <f>IF($D341="","","A"&amp;TEXT(ROW()-5,"000"))</f>
        <v/>
      </c>
      <c r="C341" s="16" t="n"/>
      <c r="D341" s="14" t="n"/>
      <c r="E341" s="15">
        <f>IF($D341="","",IFERROR(INDEX(rngCadetPIDs,MATCH($D341,rngCadetNames,0)),"?"))</f>
        <v/>
      </c>
      <c r="F341" s="15">
        <f>IF($E341="","",IFERROR(INDEX(nrCadetAgency,MATCH($E341,rngCadetPIDs,0)),""))</f>
        <v/>
      </c>
      <c r="G341" s="14" t="n"/>
      <c r="H341" s="14" t="n"/>
      <c r="I341" s="14" t="n"/>
      <c r="J341" s="14" t="n"/>
      <c r="K341" s="15">
        <f>IF($G341="","",IF(OR($G341="PT Missed",$G341="PT Modified",$G341="PT Refused"),"Yes","No"))</f>
        <v/>
      </c>
      <c r="L341" s="14" t="n"/>
      <c r="M341" s="14" t="n"/>
      <c r="N341" s="15">
        <f>IF($D341="","",IF($M341="Excused","No",IF(AND($G341="PT Modified",$L341="Received"),"No","Yes")))</f>
        <v/>
      </c>
      <c r="O341" s="14" t="n"/>
    </row>
    <row r="342">
      <c r="B342" s="15">
        <f>IF($D342="","","A"&amp;TEXT(ROW()-5,"000"))</f>
        <v/>
      </c>
      <c r="C342" s="16" t="n"/>
      <c r="D342" s="14" t="n"/>
      <c r="E342" s="15">
        <f>IF($D342="","",IFERROR(INDEX(rngCadetPIDs,MATCH($D342,rngCadetNames,0)),"?"))</f>
        <v/>
      </c>
      <c r="F342" s="15">
        <f>IF($E342="","",IFERROR(INDEX(nrCadetAgency,MATCH($E342,rngCadetPIDs,0)),""))</f>
        <v/>
      </c>
      <c r="G342" s="14" t="n"/>
      <c r="H342" s="14" t="n"/>
      <c r="I342" s="14" t="n"/>
      <c r="J342" s="14" t="n"/>
      <c r="K342" s="15">
        <f>IF($G342="","",IF(OR($G342="PT Missed",$G342="PT Modified",$G342="PT Refused"),"Yes","No"))</f>
        <v/>
      </c>
      <c r="L342" s="14" t="n"/>
      <c r="M342" s="14" t="n"/>
      <c r="N342" s="15">
        <f>IF($D342="","",IF($M342="Excused","No",IF(AND($G342="PT Modified",$L342="Received"),"No","Yes")))</f>
        <v/>
      </c>
      <c r="O342" s="14" t="n"/>
    </row>
    <row r="343">
      <c r="B343" s="15">
        <f>IF($D343="","","A"&amp;TEXT(ROW()-5,"000"))</f>
        <v/>
      </c>
      <c r="C343" s="16" t="n"/>
      <c r="D343" s="14" t="n"/>
      <c r="E343" s="15">
        <f>IF($D343="","",IFERROR(INDEX(rngCadetPIDs,MATCH($D343,rngCadetNames,0)),"?"))</f>
        <v/>
      </c>
      <c r="F343" s="15">
        <f>IF($E343="","",IFERROR(INDEX(nrCadetAgency,MATCH($E343,rngCadetPIDs,0)),""))</f>
        <v/>
      </c>
      <c r="G343" s="14" t="n"/>
      <c r="H343" s="14" t="n"/>
      <c r="I343" s="14" t="n"/>
      <c r="J343" s="14" t="n"/>
      <c r="K343" s="15">
        <f>IF($G343="","",IF(OR($G343="PT Missed",$G343="PT Modified",$G343="PT Refused"),"Yes","No"))</f>
        <v/>
      </c>
      <c r="L343" s="14" t="n"/>
      <c r="M343" s="14" t="n"/>
      <c r="N343" s="15">
        <f>IF($D343="","",IF($M343="Excused","No",IF(AND($G343="PT Modified",$L343="Received"),"No","Yes")))</f>
        <v/>
      </c>
      <c r="O343" s="14" t="n"/>
    </row>
    <row r="344">
      <c r="B344" s="15">
        <f>IF($D344="","","A"&amp;TEXT(ROW()-5,"000"))</f>
        <v/>
      </c>
      <c r="C344" s="16" t="n"/>
      <c r="D344" s="14" t="n"/>
      <c r="E344" s="15">
        <f>IF($D344="","",IFERROR(INDEX(rngCadetPIDs,MATCH($D344,rngCadetNames,0)),"?"))</f>
        <v/>
      </c>
      <c r="F344" s="15">
        <f>IF($E344="","",IFERROR(INDEX(nrCadetAgency,MATCH($E344,rngCadetPIDs,0)),""))</f>
        <v/>
      </c>
      <c r="G344" s="14" t="n"/>
      <c r="H344" s="14" t="n"/>
      <c r="I344" s="14" t="n"/>
      <c r="J344" s="14" t="n"/>
      <c r="K344" s="15">
        <f>IF($G344="","",IF(OR($G344="PT Missed",$G344="PT Modified",$G344="PT Refused"),"Yes","No"))</f>
        <v/>
      </c>
      <c r="L344" s="14" t="n"/>
      <c r="M344" s="14" t="n"/>
      <c r="N344" s="15">
        <f>IF($D344="","",IF($M344="Excused","No",IF(AND($G344="PT Modified",$L344="Received"),"No","Yes")))</f>
        <v/>
      </c>
      <c r="O344" s="14" t="n"/>
    </row>
    <row r="345">
      <c r="B345" s="15">
        <f>IF($D345="","","A"&amp;TEXT(ROW()-5,"000"))</f>
        <v/>
      </c>
      <c r="C345" s="16" t="n"/>
      <c r="D345" s="14" t="n"/>
      <c r="E345" s="15">
        <f>IF($D345="","",IFERROR(INDEX(rngCadetPIDs,MATCH($D345,rngCadetNames,0)),"?"))</f>
        <v/>
      </c>
      <c r="F345" s="15">
        <f>IF($E345="","",IFERROR(INDEX(nrCadetAgency,MATCH($E345,rngCadetPIDs,0)),""))</f>
        <v/>
      </c>
      <c r="G345" s="14" t="n"/>
      <c r="H345" s="14" t="n"/>
      <c r="I345" s="14" t="n"/>
      <c r="J345" s="14" t="n"/>
      <c r="K345" s="15">
        <f>IF($G345="","",IF(OR($G345="PT Missed",$G345="PT Modified",$G345="PT Refused"),"Yes","No"))</f>
        <v/>
      </c>
      <c r="L345" s="14" t="n"/>
      <c r="M345" s="14" t="n"/>
      <c r="N345" s="15">
        <f>IF($D345="","",IF($M345="Excused","No",IF(AND($G345="PT Modified",$L345="Received"),"No","Yes")))</f>
        <v/>
      </c>
      <c r="O345" s="14" t="n"/>
    </row>
    <row r="346">
      <c r="B346" s="15">
        <f>IF($D346="","","A"&amp;TEXT(ROW()-5,"000"))</f>
        <v/>
      </c>
      <c r="C346" s="16" t="n"/>
      <c r="D346" s="14" t="n"/>
      <c r="E346" s="15">
        <f>IF($D346="","",IFERROR(INDEX(rngCadetPIDs,MATCH($D346,rngCadetNames,0)),"?"))</f>
        <v/>
      </c>
      <c r="F346" s="15">
        <f>IF($E346="","",IFERROR(INDEX(nrCadetAgency,MATCH($E346,rngCadetPIDs,0)),""))</f>
        <v/>
      </c>
      <c r="G346" s="14" t="n"/>
      <c r="H346" s="14" t="n"/>
      <c r="I346" s="14" t="n"/>
      <c r="J346" s="14" t="n"/>
      <c r="K346" s="15">
        <f>IF($G346="","",IF(OR($G346="PT Missed",$G346="PT Modified",$G346="PT Refused"),"Yes","No"))</f>
        <v/>
      </c>
      <c r="L346" s="14" t="n"/>
      <c r="M346" s="14" t="n"/>
      <c r="N346" s="15">
        <f>IF($D346="","",IF($M346="Excused","No",IF(AND($G346="PT Modified",$L346="Received"),"No","Yes")))</f>
        <v/>
      </c>
      <c r="O346" s="14" t="n"/>
    </row>
    <row r="347">
      <c r="B347" s="15">
        <f>IF($D347="","","A"&amp;TEXT(ROW()-5,"000"))</f>
        <v/>
      </c>
      <c r="C347" s="16" t="n"/>
      <c r="D347" s="14" t="n"/>
      <c r="E347" s="15">
        <f>IF($D347="","",IFERROR(INDEX(rngCadetPIDs,MATCH($D347,rngCadetNames,0)),"?"))</f>
        <v/>
      </c>
      <c r="F347" s="15">
        <f>IF($E347="","",IFERROR(INDEX(nrCadetAgency,MATCH($E347,rngCadetPIDs,0)),""))</f>
        <v/>
      </c>
      <c r="G347" s="14" t="n"/>
      <c r="H347" s="14" t="n"/>
      <c r="I347" s="14" t="n"/>
      <c r="J347" s="14" t="n"/>
      <c r="K347" s="15">
        <f>IF($G347="","",IF(OR($G347="PT Missed",$G347="PT Modified",$G347="PT Refused"),"Yes","No"))</f>
        <v/>
      </c>
      <c r="L347" s="14" t="n"/>
      <c r="M347" s="14" t="n"/>
      <c r="N347" s="15">
        <f>IF($D347="","",IF($M347="Excused","No",IF(AND($G347="PT Modified",$L347="Received"),"No","Yes")))</f>
        <v/>
      </c>
      <c r="O347" s="14" t="n"/>
    </row>
    <row r="348">
      <c r="B348" s="15">
        <f>IF($D348="","","A"&amp;TEXT(ROW()-5,"000"))</f>
        <v/>
      </c>
      <c r="C348" s="16" t="n"/>
      <c r="D348" s="14" t="n"/>
      <c r="E348" s="15">
        <f>IF($D348="","",IFERROR(INDEX(rngCadetPIDs,MATCH($D348,rngCadetNames,0)),"?"))</f>
        <v/>
      </c>
      <c r="F348" s="15">
        <f>IF($E348="","",IFERROR(INDEX(nrCadetAgency,MATCH($E348,rngCadetPIDs,0)),""))</f>
        <v/>
      </c>
      <c r="G348" s="14" t="n"/>
      <c r="H348" s="14" t="n"/>
      <c r="I348" s="14" t="n"/>
      <c r="J348" s="14" t="n"/>
      <c r="K348" s="15">
        <f>IF($G348="","",IF(OR($G348="PT Missed",$G348="PT Modified",$G348="PT Refused"),"Yes","No"))</f>
        <v/>
      </c>
      <c r="L348" s="14" t="n"/>
      <c r="M348" s="14" t="n"/>
      <c r="N348" s="15">
        <f>IF($D348="","",IF($M348="Excused","No",IF(AND($G348="PT Modified",$L348="Received"),"No","Yes")))</f>
        <v/>
      </c>
      <c r="O348" s="14" t="n"/>
    </row>
    <row r="349">
      <c r="B349" s="15">
        <f>IF($D349="","","A"&amp;TEXT(ROW()-5,"000"))</f>
        <v/>
      </c>
      <c r="C349" s="16" t="n"/>
      <c r="D349" s="14" t="n"/>
      <c r="E349" s="15">
        <f>IF($D349="","",IFERROR(INDEX(rngCadetPIDs,MATCH($D349,rngCadetNames,0)),"?"))</f>
        <v/>
      </c>
      <c r="F349" s="15">
        <f>IF($E349="","",IFERROR(INDEX(nrCadetAgency,MATCH($E349,rngCadetPIDs,0)),""))</f>
        <v/>
      </c>
      <c r="G349" s="14" t="n"/>
      <c r="H349" s="14" t="n"/>
      <c r="I349" s="14" t="n"/>
      <c r="J349" s="14" t="n"/>
      <c r="K349" s="15">
        <f>IF($G349="","",IF(OR($G349="PT Missed",$G349="PT Modified",$G349="PT Refused"),"Yes","No"))</f>
        <v/>
      </c>
      <c r="L349" s="14" t="n"/>
      <c r="M349" s="14" t="n"/>
      <c r="N349" s="15">
        <f>IF($D349="","",IF($M349="Excused","No",IF(AND($G349="PT Modified",$L349="Received"),"No","Yes")))</f>
        <v/>
      </c>
      <c r="O349" s="14" t="n"/>
    </row>
    <row r="350">
      <c r="B350" s="15">
        <f>IF($D350="","","A"&amp;TEXT(ROW()-5,"000"))</f>
        <v/>
      </c>
      <c r="C350" s="16" t="n"/>
      <c r="D350" s="14" t="n"/>
      <c r="E350" s="15">
        <f>IF($D350="","",IFERROR(INDEX(rngCadetPIDs,MATCH($D350,rngCadetNames,0)),"?"))</f>
        <v/>
      </c>
      <c r="F350" s="15">
        <f>IF($E350="","",IFERROR(INDEX(nrCadetAgency,MATCH($E350,rngCadetPIDs,0)),""))</f>
        <v/>
      </c>
      <c r="G350" s="14" t="n"/>
      <c r="H350" s="14" t="n"/>
      <c r="I350" s="14" t="n"/>
      <c r="J350" s="14" t="n"/>
      <c r="K350" s="15">
        <f>IF($G350="","",IF(OR($G350="PT Missed",$G350="PT Modified",$G350="PT Refused"),"Yes","No"))</f>
        <v/>
      </c>
      <c r="L350" s="14" t="n"/>
      <c r="M350" s="14" t="n"/>
      <c r="N350" s="15">
        <f>IF($D350="","",IF($M350="Excused","No",IF(AND($G350="PT Modified",$L350="Received"),"No","Yes")))</f>
        <v/>
      </c>
      <c r="O350" s="14" t="n"/>
    </row>
    <row r="351">
      <c r="B351" s="15">
        <f>IF($D351="","","A"&amp;TEXT(ROW()-5,"000"))</f>
        <v/>
      </c>
      <c r="C351" s="16" t="n"/>
      <c r="D351" s="14" t="n"/>
      <c r="E351" s="15">
        <f>IF($D351="","",IFERROR(INDEX(rngCadetPIDs,MATCH($D351,rngCadetNames,0)),"?"))</f>
        <v/>
      </c>
      <c r="F351" s="15">
        <f>IF($E351="","",IFERROR(INDEX(nrCadetAgency,MATCH($E351,rngCadetPIDs,0)),""))</f>
        <v/>
      </c>
      <c r="G351" s="14" t="n"/>
      <c r="H351" s="14" t="n"/>
      <c r="I351" s="14" t="n"/>
      <c r="J351" s="14" t="n"/>
      <c r="K351" s="15">
        <f>IF($G351="","",IF(OR($G351="PT Missed",$G351="PT Modified",$G351="PT Refused"),"Yes","No"))</f>
        <v/>
      </c>
      <c r="L351" s="14" t="n"/>
      <c r="M351" s="14" t="n"/>
      <c r="N351" s="15">
        <f>IF($D351="","",IF($M351="Excused","No",IF(AND($G351="PT Modified",$L351="Received"),"No","Yes")))</f>
        <v/>
      </c>
      <c r="O351" s="14" t="n"/>
    </row>
    <row r="352">
      <c r="B352" s="15">
        <f>IF($D352="","","A"&amp;TEXT(ROW()-5,"000"))</f>
        <v/>
      </c>
      <c r="C352" s="16" t="n"/>
      <c r="D352" s="14" t="n"/>
      <c r="E352" s="15">
        <f>IF($D352="","",IFERROR(INDEX(rngCadetPIDs,MATCH($D352,rngCadetNames,0)),"?"))</f>
        <v/>
      </c>
      <c r="F352" s="15">
        <f>IF($E352="","",IFERROR(INDEX(nrCadetAgency,MATCH($E352,rngCadetPIDs,0)),""))</f>
        <v/>
      </c>
      <c r="G352" s="14" t="n"/>
      <c r="H352" s="14" t="n"/>
      <c r="I352" s="14" t="n"/>
      <c r="J352" s="14" t="n"/>
      <c r="K352" s="15">
        <f>IF($G352="","",IF(OR($G352="PT Missed",$G352="PT Modified",$G352="PT Refused"),"Yes","No"))</f>
        <v/>
      </c>
      <c r="L352" s="14" t="n"/>
      <c r="M352" s="14" t="n"/>
      <c r="N352" s="15">
        <f>IF($D352="","",IF($M352="Excused","No",IF(AND($G352="PT Modified",$L352="Received"),"No","Yes")))</f>
        <v/>
      </c>
      <c r="O352" s="14" t="n"/>
    </row>
    <row r="353">
      <c r="B353" s="15">
        <f>IF($D353="","","A"&amp;TEXT(ROW()-5,"000"))</f>
        <v/>
      </c>
      <c r="C353" s="16" t="n"/>
      <c r="D353" s="14" t="n"/>
      <c r="E353" s="15">
        <f>IF($D353="","",IFERROR(INDEX(rngCadetPIDs,MATCH($D353,rngCadetNames,0)),"?"))</f>
        <v/>
      </c>
      <c r="F353" s="15">
        <f>IF($E353="","",IFERROR(INDEX(nrCadetAgency,MATCH($E353,rngCadetPIDs,0)),""))</f>
        <v/>
      </c>
      <c r="G353" s="14" t="n"/>
      <c r="H353" s="14" t="n"/>
      <c r="I353" s="14" t="n"/>
      <c r="J353" s="14" t="n"/>
      <c r="K353" s="15">
        <f>IF($G353="","",IF(OR($G353="PT Missed",$G353="PT Modified",$G353="PT Refused"),"Yes","No"))</f>
        <v/>
      </c>
      <c r="L353" s="14" t="n"/>
      <c r="M353" s="14" t="n"/>
      <c r="N353" s="15">
        <f>IF($D353="","",IF($M353="Excused","No",IF(AND($G353="PT Modified",$L353="Received"),"No","Yes")))</f>
        <v/>
      </c>
      <c r="O353" s="14" t="n"/>
    </row>
    <row r="354">
      <c r="B354" s="15">
        <f>IF($D354="","","A"&amp;TEXT(ROW()-5,"000"))</f>
        <v/>
      </c>
      <c r="C354" s="16" t="n"/>
      <c r="D354" s="14" t="n"/>
      <c r="E354" s="15">
        <f>IF($D354="","",IFERROR(INDEX(rngCadetPIDs,MATCH($D354,rngCadetNames,0)),"?"))</f>
        <v/>
      </c>
      <c r="F354" s="15">
        <f>IF($E354="","",IFERROR(INDEX(nrCadetAgency,MATCH($E354,rngCadetPIDs,0)),""))</f>
        <v/>
      </c>
      <c r="G354" s="14" t="n"/>
      <c r="H354" s="14" t="n"/>
      <c r="I354" s="14" t="n"/>
      <c r="J354" s="14" t="n"/>
      <c r="K354" s="15">
        <f>IF($G354="","",IF(OR($G354="PT Missed",$G354="PT Modified",$G354="PT Refused"),"Yes","No"))</f>
        <v/>
      </c>
      <c r="L354" s="14" t="n"/>
      <c r="M354" s="14" t="n"/>
      <c r="N354" s="15">
        <f>IF($D354="","",IF($M354="Excused","No",IF(AND($G354="PT Modified",$L354="Received"),"No","Yes")))</f>
        <v/>
      </c>
      <c r="O354" s="14" t="n"/>
    </row>
    <row r="355">
      <c r="B355" s="15">
        <f>IF($D355="","","A"&amp;TEXT(ROW()-5,"000"))</f>
        <v/>
      </c>
      <c r="C355" s="16" t="n"/>
      <c r="D355" s="14" t="n"/>
      <c r="E355" s="15">
        <f>IF($D355="","",IFERROR(INDEX(rngCadetPIDs,MATCH($D355,rngCadetNames,0)),"?"))</f>
        <v/>
      </c>
      <c r="F355" s="15">
        <f>IF($E355="","",IFERROR(INDEX(nrCadetAgency,MATCH($E355,rngCadetPIDs,0)),""))</f>
        <v/>
      </c>
      <c r="G355" s="14" t="n"/>
      <c r="H355" s="14" t="n"/>
      <c r="I355" s="14" t="n"/>
      <c r="J355" s="14" t="n"/>
      <c r="K355" s="15">
        <f>IF($G355="","",IF(OR($G355="PT Missed",$G355="PT Modified",$G355="PT Refused"),"Yes","No"))</f>
        <v/>
      </c>
      <c r="L355" s="14" t="n"/>
      <c r="M355" s="14" t="n"/>
      <c r="N355" s="15">
        <f>IF($D355="","",IF($M355="Excused","No",IF(AND($G355="PT Modified",$L355="Received"),"No","Yes")))</f>
        <v/>
      </c>
      <c r="O355" s="14" t="n"/>
    </row>
    <row r="356">
      <c r="B356" s="15">
        <f>IF($D356="","","A"&amp;TEXT(ROW()-5,"000"))</f>
        <v/>
      </c>
      <c r="C356" s="16" t="n"/>
      <c r="D356" s="14" t="n"/>
      <c r="E356" s="15">
        <f>IF($D356="","",IFERROR(INDEX(rngCadetPIDs,MATCH($D356,rngCadetNames,0)),"?"))</f>
        <v/>
      </c>
      <c r="F356" s="15">
        <f>IF($E356="","",IFERROR(INDEX(nrCadetAgency,MATCH($E356,rngCadetPIDs,0)),""))</f>
        <v/>
      </c>
      <c r="G356" s="14" t="n"/>
      <c r="H356" s="14" t="n"/>
      <c r="I356" s="14" t="n"/>
      <c r="J356" s="14" t="n"/>
      <c r="K356" s="15">
        <f>IF($G356="","",IF(OR($G356="PT Missed",$G356="PT Modified",$G356="PT Refused"),"Yes","No"))</f>
        <v/>
      </c>
      <c r="L356" s="14" t="n"/>
      <c r="M356" s="14" t="n"/>
      <c r="N356" s="15">
        <f>IF($D356="","",IF($M356="Excused","No",IF(AND($G356="PT Modified",$L356="Received"),"No","Yes")))</f>
        <v/>
      </c>
      <c r="O356" s="14" t="n"/>
    </row>
    <row r="357">
      <c r="B357" s="15">
        <f>IF($D357="","","A"&amp;TEXT(ROW()-5,"000"))</f>
        <v/>
      </c>
      <c r="C357" s="16" t="n"/>
      <c r="D357" s="14" t="n"/>
      <c r="E357" s="15">
        <f>IF($D357="","",IFERROR(INDEX(rngCadetPIDs,MATCH($D357,rngCadetNames,0)),"?"))</f>
        <v/>
      </c>
      <c r="F357" s="15">
        <f>IF($E357="","",IFERROR(INDEX(nrCadetAgency,MATCH($E357,rngCadetPIDs,0)),""))</f>
        <v/>
      </c>
      <c r="G357" s="14" t="n"/>
      <c r="H357" s="14" t="n"/>
      <c r="I357" s="14" t="n"/>
      <c r="J357" s="14" t="n"/>
      <c r="K357" s="15">
        <f>IF($G357="","",IF(OR($G357="PT Missed",$G357="PT Modified",$G357="PT Refused"),"Yes","No"))</f>
        <v/>
      </c>
      <c r="L357" s="14" t="n"/>
      <c r="M357" s="14" t="n"/>
      <c r="N357" s="15">
        <f>IF($D357="","",IF($M357="Excused","No",IF(AND($G357="PT Modified",$L357="Received"),"No","Yes")))</f>
        <v/>
      </c>
      <c r="O357" s="14" t="n"/>
    </row>
    <row r="358">
      <c r="B358" s="15">
        <f>IF($D358="","","A"&amp;TEXT(ROW()-5,"000"))</f>
        <v/>
      </c>
      <c r="C358" s="16" t="n"/>
      <c r="D358" s="14" t="n"/>
      <c r="E358" s="15">
        <f>IF($D358="","",IFERROR(INDEX(rngCadetPIDs,MATCH($D358,rngCadetNames,0)),"?"))</f>
        <v/>
      </c>
      <c r="F358" s="15">
        <f>IF($E358="","",IFERROR(INDEX(nrCadetAgency,MATCH($E358,rngCadetPIDs,0)),""))</f>
        <v/>
      </c>
      <c r="G358" s="14" t="n"/>
      <c r="H358" s="14" t="n"/>
      <c r="I358" s="14" t="n"/>
      <c r="J358" s="14" t="n"/>
      <c r="K358" s="15">
        <f>IF($G358="","",IF(OR($G358="PT Missed",$G358="PT Modified",$G358="PT Refused"),"Yes","No"))</f>
        <v/>
      </c>
      <c r="L358" s="14" t="n"/>
      <c r="M358" s="14" t="n"/>
      <c r="N358" s="15">
        <f>IF($D358="","",IF($M358="Excused","No",IF(AND($G358="PT Modified",$L358="Received"),"No","Yes")))</f>
        <v/>
      </c>
      <c r="O358" s="14" t="n"/>
    </row>
    <row r="359">
      <c r="B359" s="15">
        <f>IF($D359="","","A"&amp;TEXT(ROW()-5,"000"))</f>
        <v/>
      </c>
      <c r="C359" s="16" t="n"/>
      <c r="D359" s="14" t="n"/>
      <c r="E359" s="15">
        <f>IF($D359="","",IFERROR(INDEX(rngCadetPIDs,MATCH($D359,rngCadetNames,0)),"?"))</f>
        <v/>
      </c>
      <c r="F359" s="15">
        <f>IF($E359="","",IFERROR(INDEX(nrCadetAgency,MATCH($E359,rngCadetPIDs,0)),""))</f>
        <v/>
      </c>
      <c r="G359" s="14" t="n"/>
      <c r="H359" s="14" t="n"/>
      <c r="I359" s="14" t="n"/>
      <c r="J359" s="14" t="n"/>
      <c r="K359" s="15">
        <f>IF($G359="","",IF(OR($G359="PT Missed",$G359="PT Modified",$G359="PT Refused"),"Yes","No"))</f>
        <v/>
      </c>
      <c r="L359" s="14" t="n"/>
      <c r="M359" s="14" t="n"/>
      <c r="N359" s="15">
        <f>IF($D359="","",IF($M359="Excused","No",IF(AND($G359="PT Modified",$L359="Received"),"No","Yes")))</f>
        <v/>
      </c>
      <c r="O359" s="14" t="n"/>
    </row>
    <row r="360">
      <c r="B360" s="15">
        <f>IF($D360="","","A"&amp;TEXT(ROW()-5,"000"))</f>
        <v/>
      </c>
      <c r="C360" s="16" t="n"/>
      <c r="D360" s="14" t="n"/>
      <c r="E360" s="15">
        <f>IF($D360="","",IFERROR(INDEX(rngCadetPIDs,MATCH($D360,rngCadetNames,0)),"?"))</f>
        <v/>
      </c>
      <c r="F360" s="15">
        <f>IF($E360="","",IFERROR(INDEX(nrCadetAgency,MATCH($E360,rngCadetPIDs,0)),""))</f>
        <v/>
      </c>
      <c r="G360" s="14" t="n"/>
      <c r="H360" s="14" t="n"/>
      <c r="I360" s="14" t="n"/>
      <c r="J360" s="14" t="n"/>
      <c r="K360" s="15">
        <f>IF($G360="","",IF(OR($G360="PT Missed",$G360="PT Modified",$G360="PT Refused"),"Yes","No"))</f>
        <v/>
      </c>
      <c r="L360" s="14" t="n"/>
      <c r="M360" s="14" t="n"/>
      <c r="N360" s="15">
        <f>IF($D360="","",IF($M360="Excused","No",IF(AND($G360="PT Modified",$L360="Received"),"No","Yes")))</f>
        <v/>
      </c>
      <c r="O360" s="14" t="n"/>
    </row>
    <row r="361">
      <c r="B361" s="15">
        <f>IF($D361="","","A"&amp;TEXT(ROW()-5,"000"))</f>
        <v/>
      </c>
      <c r="C361" s="16" t="n"/>
      <c r="D361" s="14" t="n"/>
      <c r="E361" s="15">
        <f>IF($D361="","",IFERROR(INDEX(rngCadetPIDs,MATCH($D361,rngCadetNames,0)),"?"))</f>
        <v/>
      </c>
      <c r="F361" s="15">
        <f>IF($E361="","",IFERROR(INDEX(nrCadetAgency,MATCH($E361,rngCadetPIDs,0)),""))</f>
        <v/>
      </c>
      <c r="G361" s="14" t="n"/>
      <c r="H361" s="14" t="n"/>
      <c r="I361" s="14" t="n"/>
      <c r="J361" s="14" t="n"/>
      <c r="K361" s="15">
        <f>IF($G361="","",IF(OR($G361="PT Missed",$G361="PT Modified",$G361="PT Refused"),"Yes","No"))</f>
        <v/>
      </c>
      <c r="L361" s="14" t="n"/>
      <c r="M361" s="14" t="n"/>
      <c r="N361" s="15">
        <f>IF($D361="","",IF($M361="Excused","No",IF(AND($G361="PT Modified",$L361="Received"),"No","Yes")))</f>
        <v/>
      </c>
      <c r="O361" s="14" t="n"/>
    </row>
    <row r="362">
      <c r="B362" s="15">
        <f>IF($D362="","","A"&amp;TEXT(ROW()-5,"000"))</f>
        <v/>
      </c>
      <c r="C362" s="16" t="n"/>
      <c r="D362" s="14" t="n"/>
      <c r="E362" s="15">
        <f>IF($D362="","",IFERROR(INDEX(rngCadetPIDs,MATCH($D362,rngCadetNames,0)),"?"))</f>
        <v/>
      </c>
      <c r="F362" s="15">
        <f>IF($E362="","",IFERROR(INDEX(nrCadetAgency,MATCH($E362,rngCadetPIDs,0)),""))</f>
        <v/>
      </c>
      <c r="G362" s="14" t="n"/>
      <c r="H362" s="14" t="n"/>
      <c r="I362" s="14" t="n"/>
      <c r="J362" s="14" t="n"/>
      <c r="K362" s="15">
        <f>IF($G362="","",IF(OR($G362="PT Missed",$G362="PT Modified",$G362="PT Refused"),"Yes","No"))</f>
        <v/>
      </c>
      <c r="L362" s="14" t="n"/>
      <c r="M362" s="14" t="n"/>
      <c r="N362" s="15">
        <f>IF($D362="","",IF($M362="Excused","No",IF(AND($G362="PT Modified",$L362="Received"),"No","Yes")))</f>
        <v/>
      </c>
      <c r="O362" s="14" t="n"/>
    </row>
    <row r="363">
      <c r="B363" s="15">
        <f>IF($D363="","","A"&amp;TEXT(ROW()-5,"000"))</f>
        <v/>
      </c>
      <c r="C363" s="16" t="n"/>
      <c r="D363" s="14" t="n"/>
      <c r="E363" s="15">
        <f>IF($D363="","",IFERROR(INDEX(rngCadetPIDs,MATCH($D363,rngCadetNames,0)),"?"))</f>
        <v/>
      </c>
      <c r="F363" s="15">
        <f>IF($E363="","",IFERROR(INDEX(nrCadetAgency,MATCH($E363,rngCadetPIDs,0)),""))</f>
        <v/>
      </c>
      <c r="G363" s="14" t="n"/>
      <c r="H363" s="14" t="n"/>
      <c r="I363" s="14" t="n"/>
      <c r="J363" s="14" t="n"/>
      <c r="K363" s="15">
        <f>IF($G363="","",IF(OR($G363="PT Missed",$G363="PT Modified",$G363="PT Refused"),"Yes","No"))</f>
        <v/>
      </c>
      <c r="L363" s="14" t="n"/>
      <c r="M363" s="14" t="n"/>
      <c r="N363" s="15">
        <f>IF($D363="","",IF($M363="Excused","No",IF(AND($G363="PT Modified",$L363="Received"),"No","Yes")))</f>
        <v/>
      </c>
      <c r="O363" s="14" t="n"/>
    </row>
    <row r="364">
      <c r="B364" s="15">
        <f>IF($D364="","","A"&amp;TEXT(ROW()-5,"000"))</f>
        <v/>
      </c>
      <c r="C364" s="16" t="n"/>
      <c r="D364" s="14" t="n"/>
      <c r="E364" s="15">
        <f>IF($D364="","",IFERROR(INDEX(rngCadetPIDs,MATCH($D364,rngCadetNames,0)),"?"))</f>
        <v/>
      </c>
      <c r="F364" s="15">
        <f>IF($E364="","",IFERROR(INDEX(nrCadetAgency,MATCH($E364,rngCadetPIDs,0)),""))</f>
        <v/>
      </c>
      <c r="G364" s="14" t="n"/>
      <c r="H364" s="14" t="n"/>
      <c r="I364" s="14" t="n"/>
      <c r="J364" s="14" t="n"/>
      <c r="K364" s="15">
        <f>IF($G364="","",IF(OR($G364="PT Missed",$G364="PT Modified",$G364="PT Refused"),"Yes","No"))</f>
        <v/>
      </c>
      <c r="L364" s="14" t="n"/>
      <c r="M364" s="14" t="n"/>
      <c r="N364" s="15">
        <f>IF($D364="","",IF($M364="Excused","No",IF(AND($G364="PT Modified",$L364="Received"),"No","Yes")))</f>
        <v/>
      </c>
      <c r="O364" s="14" t="n"/>
    </row>
    <row r="365">
      <c r="B365" s="15">
        <f>IF($D365="","","A"&amp;TEXT(ROW()-5,"000"))</f>
        <v/>
      </c>
      <c r="C365" s="16" t="n"/>
      <c r="D365" s="14" t="n"/>
      <c r="E365" s="15">
        <f>IF($D365="","",IFERROR(INDEX(rngCadetPIDs,MATCH($D365,rngCadetNames,0)),"?"))</f>
        <v/>
      </c>
      <c r="F365" s="15">
        <f>IF($E365="","",IFERROR(INDEX(nrCadetAgency,MATCH($E365,rngCadetPIDs,0)),""))</f>
        <v/>
      </c>
      <c r="G365" s="14" t="n"/>
      <c r="H365" s="14" t="n"/>
      <c r="I365" s="14" t="n"/>
      <c r="J365" s="14" t="n"/>
      <c r="K365" s="15">
        <f>IF($G365="","",IF(OR($G365="PT Missed",$G365="PT Modified",$G365="PT Refused"),"Yes","No"))</f>
        <v/>
      </c>
      <c r="L365" s="14" t="n"/>
      <c r="M365" s="14" t="n"/>
      <c r="N365" s="15">
        <f>IF($D365="","",IF($M365="Excused","No",IF(AND($G365="PT Modified",$L365="Received"),"No","Yes")))</f>
        <v/>
      </c>
      <c r="O365" s="14" t="n"/>
    </row>
    <row r="366">
      <c r="B366" s="15">
        <f>IF($D366="","","A"&amp;TEXT(ROW()-5,"000"))</f>
        <v/>
      </c>
      <c r="C366" s="16" t="n"/>
      <c r="D366" s="14" t="n"/>
      <c r="E366" s="15">
        <f>IF($D366="","",IFERROR(INDEX(rngCadetPIDs,MATCH($D366,rngCadetNames,0)),"?"))</f>
        <v/>
      </c>
      <c r="F366" s="15">
        <f>IF($E366="","",IFERROR(INDEX(nrCadetAgency,MATCH($E366,rngCadetPIDs,0)),""))</f>
        <v/>
      </c>
      <c r="G366" s="14" t="n"/>
      <c r="H366" s="14" t="n"/>
      <c r="I366" s="14" t="n"/>
      <c r="J366" s="14" t="n"/>
      <c r="K366" s="15">
        <f>IF($G366="","",IF(OR($G366="PT Missed",$G366="PT Modified",$G366="PT Refused"),"Yes","No"))</f>
        <v/>
      </c>
      <c r="L366" s="14" t="n"/>
      <c r="M366" s="14" t="n"/>
      <c r="N366" s="15">
        <f>IF($D366="","",IF($M366="Excused","No",IF(AND($G366="PT Modified",$L366="Received"),"No","Yes")))</f>
        <v/>
      </c>
      <c r="O366" s="14" t="n"/>
    </row>
    <row r="367">
      <c r="B367" s="15">
        <f>IF($D367="","","A"&amp;TEXT(ROW()-5,"000"))</f>
        <v/>
      </c>
      <c r="C367" s="16" t="n"/>
      <c r="D367" s="14" t="n"/>
      <c r="E367" s="15">
        <f>IF($D367="","",IFERROR(INDEX(rngCadetPIDs,MATCH($D367,rngCadetNames,0)),"?"))</f>
        <v/>
      </c>
      <c r="F367" s="15">
        <f>IF($E367="","",IFERROR(INDEX(nrCadetAgency,MATCH($E367,rngCadetPIDs,0)),""))</f>
        <v/>
      </c>
      <c r="G367" s="14" t="n"/>
      <c r="H367" s="14" t="n"/>
      <c r="I367" s="14" t="n"/>
      <c r="J367" s="14" t="n"/>
      <c r="K367" s="15">
        <f>IF($G367="","",IF(OR($G367="PT Missed",$G367="PT Modified",$G367="PT Refused"),"Yes","No"))</f>
        <v/>
      </c>
      <c r="L367" s="14" t="n"/>
      <c r="M367" s="14" t="n"/>
      <c r="N367" s="15">
        <f>IF($D367="","",IF($M367="Excused","No",IF(AND($G367="PT Modified",$L367="Received"),"No","Yes")))</f>
        <v/>
      </c>
      <c r="O367" s="14" t="n"/>
    </row>
    <row r="368">
      <c r="B368" s="15">
        <f>IF($D368="","","A"&amp;TEXT(ROW()-5,"000"))</f>
        <v/>
      </c>
      <c r="C368" s="16" t="n"/>
      <c r="D368" s="14" t="n"/>
      <c r="E368" s="15">
        <f>IF($D368="","",IFERROR(INDEX(rngCadetPIDs,MATCH($D368,rngCadetNames,0)),"?"))</f>
        <v/>
      </c>
      <c r="F368" s="15">
        <f>IF($E368="","",IFERROR(INDEX(nrCadetAgency,MATCH($E368,rngCadetPIDs,0)),""))</f>
        <v/>
      </c>
      <c r="G368" s="14" t="n"/>
      <c r="H368" s="14" t="n"/>
      <c r="I368" s="14" t="n"/>
      <c r="J368" s="14" t="n"/>
      <c r="K368" s="15">
        <f>IF($G368="","",IF(OR($G368="PT Missed",$G368="PT Modified",$G368="PT Refused"),"Yes","No"))</f>
        <v/>
      </c>
      <c r="L368" s="14" t="n"/>
      <c r="M368" s="14" t="n"/>
      <c r="N368" s="15">
        <f>IF($D368="","",IF($M368="Excused","No",IF(AND($G368="PT Modified",$L368="Received"),"No","Yes")))</f>
        <v/>
      </c>
      <c r="O368" s="14" t="n"/>
    </row>
    <row r="369">
      <c r="B369" s="15">
        <f>IF($D369="","","A"&amp;TEXT(ROW()-5,"000"))</f>
        <v/>
      </c>
      <c r="C369" s="16" t="n"/>
      <c r="D369" s="14" t="n"/>
      <c r="E369" s="15">
        <f>IF($D369="","",IFERROR(INDEX(rngCadetPIDs,MATCH($D369,rngCadetNames,0)),"?"))</f>
        <v/>
      </c>
      <c r="F369" s="15">
        <f>IF($E369="","",IFERROR(INDEX(nrCadetAgency,MATCH($E369,rngCadetPIDs,0)),""))</f>
        <v/>
      </c>
      <c r="G369" s="14" t="n"/>
      <c r="H369" s="14" t="n"/>
      <c r="I369" s="14" t="n"/>
      <c r="J369" s="14" t="n"/>
      <c r="K369" s="15">
        <f>IF($G369="","",IF(OR($G369="PT Missed",$G369="PT Modified",$G369="PT Refused"),"Yes","No"))</f>
        <v/>
      </c>
      <c r="L369" s="14" t="n"/>
      <c r="M369" s="14" t="n"/>
      <c r="N369" s="15">
        <f>IF($D369="","",IF($M369="Excused","No",IF(AND($G369="PT Modified",$L369="Received"),"No","Yes")))</f>
        <v/>
      </c>
      <c r="O369" s="14" t="n"/>
    </row>
    <row r="370">
      <c r="B370" s="15">
        <f>IF($D370="","","A"&amp;TEXT(ROW()-5,"000"))</f>
        <v/>
      </c>
      <c r="C370" s="16" t="n"/>
      <c r="D370" s="14" t="n"/>
      <c r="E370" s="15">
        <f>IF($D370="","",IFERROR(INDEX(rngCadetPIDs,MATCH($D370,rngCadetNames,0)),"?"))</f>
        <v/>
      </c>
      <c r="F370" s="15">
        <f>IF($E370="","",IFERROR(INDEX(nrCadetAgency,MATCH($E370,rngCadetPIDs,0)),""))</f>
        <v/>
      </c>
      <c r="G370" s="14" t="n"/>
      <c r="H370" s="14" t="n"/>
      <c r="I370" s="14" t="n"/>
      <c r="J370" s="14" t="n"/>
      <c r="K370" s="15">
        <f>IF($G370="","",IF(OR($G370="PT Missed",$G370="PT Modified",$G370="PT Refused"),"Yes","No"))</f>
        <v/>
      </c>
      <c r="L370" s="14" t="n"/>
      <c r="M370" s="14" t="n"/>
      <c r="N370" s="15">
        <f>IF($D370="","",IF($M370="Excused","No",IF(AND($G370="PT Modified",$L370="Received"),"No","Yes")))</f>
        <v/>
      </c>
      <c r="O370" s="14" t="n"/>
    </row>
    <row r="371">
      <c r="B371" s="15">
        <f>IF($D371="","","A"&amp;TEXT(ROW()-5,"000"))</f>
        <v/>
      </c>
      <c r="C371" s="16" t="n"/>
      <c r="D371" s="14" t="n"/>
      <c r="E371" s="15">
        <f>IF($D371="","",IFERROR(INDEX(rngCadetPIDs,MATCH($D371,rngCadetNames,0)),"?"))</f>
        <v/>
      </c>
      <c r="F371" s="15">
        <f>IF($E371="","",IFERROR(INDEX(nrCadetAgency,MATCH($E371,rngCadetPIDs,0)),""))</f>
        <v/>
      </c>
      <c r="G371" s="14" t="n"/>
      <c r="H371" s="14" t="n"/>
      <c r="I371" s="14" t="n"/>
      <c r="J371" s="14" t="n"/>
      <c r="K371" s="15">
        <f>IF($G371="","",IF(OR($G371="PT Missed",$G371="PT Modified",$G371="PT Refused"),"Yes","No"))</f>
        <v/>
      </c>
      <c r="L371" s="14" t="n"/>
      <c r="M371" s="14" t="n"/>
      <c r="N371" s="15">
        <f>IF($D371="","",IF($M371="Excused","No",IF(AND($G371="PT Modified",$L371="Received"),"No","Yes")))</f>
        <v/>
      </c>
      <c r="O371" s="14" t="n"/>
    </row>
    <row r="372">
      <c r="B372" s="15">
        <f>IF($D372="","","A"&amp;TEXT(ROW()-5,"000"))</f>
        <v/>
      </c>
      <c r="C372" s="16" t="n"/>
      <c r="D372" s="14" t="n"/>
      <c r="E372" s="15">
        <f>IF($D372="","",IFERROR(INDEX(rngCadetPIDs,MATCH($D372,rngCadetNames,0)),"?"))</f>
        <v/>
      </c>
      <c r="F372" s="15">
        <f>IF($E372="","",IFERROR(INDEX(nrCadetAgency,MATCH($E372,rngCadetPIDs,0)),""))</f>
        <v/>
      </c>
      <c r="G372" s="14" t="n"/>
      <c r="H372" s="14" t="n"/>
      <c r="I372" s="14" t="n"/>
      <c r="J372" s="14" t="n"/>
      <c r="K372" s="15">
        <f>IF($G372="","",IF(OR($G372="PT Missed",$G372="PT Modified",$G372="PT Refused"),"Yes","No"))</f>
        <v/>
      </c>
      <c r="L372" s="14" t="n"/>
      <c r="M372" s="14" t="n"/>
      <c r="N372" s="15">
        <f>IF($D372="","",IF($M372="Excused","No",IF(AND($G372="PT Modified",$L372="Received"),"No","Yes")))</f>
        <v/>
      </c>
      <c r="O372" s="14" t="n"/>
    </row>
    <row r="373">
      <c r="B373" s="15">
        <f>IF($D373="","","A"&amp;TEXT(ROW()-5,"000"))</f>
        <v/>
      </c>
      <c r="C373" s="16" t="n"/>
      <c r="D373" s="14" t="n"/>
      <c r="E373" s="15">
        <f>IF($D373="","",IFERROR(INDEX(rngCadetPIDs,MATCH($D373,rngCadetNames,0)),"?"))</f>
        <v/>
      </c>
      <c r="F373" s="15">
        <f>IF($E373="","",IFERROR(INDEX(nrCadetAgency,MATCH($E373,rngCadetPIDs,0)),""))</f>
        <v/>
      </c>
      <c r="G373" s="14" t="n"/>
      <c r="H373" s="14" t="n"/>
      <c r="I373" s="14" t="n"/>
      <c r="J373" s="14" t="n"/>
      <c r="K373" s="15">
        <f>IF($G373="","",IF(OR($G373="PT Missed",$G373="PT Modified",$G373="PT Refused"),"Yes","No"))</f>
        <v/>
      </c>
      <c r="L373" s="14" t="n"/>
      <c r="M373" s="14" t="n"/>
      <c r="N373" s="15">
        <f>IF($D373="","",IF($M373="Excused","No",IF(AND($G373="PT Modified",$L373="Received"),"No","Yes")))</f>
        <v/>
      </c>
      <c r="O373" s="14" t="n"/>
    </row>
    <row r="374">
      <c r="B374" s="15">
        <f>IF($D374="","","A"&amp;TEXT(ROW()-5,"000"))</f>
        <v/>
      </c>
      <c r="C374" s="16" t="n"/>
      <c r="D374" s="14" t="n"/>
      <c r="E374" s="15">
        <f>IF($D374="","",IFERROR(INDEX(rngCadetPIDs,MATCH($D374,rngCadetNames,0)),"?"))</f>
        <v/>
      </c>
      <c r="F374" s="15">
        <f>IF($E374="","",IFERROR(INDEX(nrCadetAgency,MATCH($E374,rngCadetPIDs,0)),""))</f>
        <v/>
      </c>
      <c r="G374" s="14" t="n"/>
      <c r="H374" s="14" t="n"/>
      <c r="I374" s="14" t="n"/>
      <c r="J374" s="14" t="n"/>
      <c r="K374" s="15">
        <f>IF($G374="","",IF(OR($G374="PT Missed",$G374="PT Modified",$G374="PT Refused"),"Yes","No"))</f>
        <v/>
      </c>
      <c r="L374" s="14" t="n"/>
      <c r="M374" s="14" t="n"/>
      <c r="N374" s="15">
        <f>IF($D374="","",IF($M374="Excused","No",IF(AND($G374="PT Modified",$L374="Received"),"No","Yes")))</f>
        <v/>
      </c>
      <c r="O374" s="14" t="n"/>
    </row>
    <row r="375">
      <c r="B375" s="15">
        <f>IF($D375="","","A"&amp;TEXT(ROW()-5,"000"))</f>
        <v/>
      </c>
      <c r="C375" s="16" t="n"/>
      <c r="D375" s="14" t="n"/>
      <c r="E375" s="15">
        <f>IF($D375="","",IFERROR(INDEX(rngCadetPIDs,MATCH($D375,rngCadetNames,0)),"?"))</f>
        <v/>
      </c>
      <c r="F375" s="15">
        <f>IF($E375="","",IFERROR(INDEX(nrCadetAgency,MATCH($E375,rngCadetPIDs,0)),""))</f>
        <v/>
      </c>
      <c r="G375" s="14" t="n"/>
      <c r="H375" s="14" t="n"/>
      <c r="I375" s="14" t="n"/>
      <c r="J375" s="14" t="n"/>
      <c r="K375" s="15">
        <f>IF($G375="","",IF(OR($G375="PT Missed",$G375="PT Modified",$G375="PT Refused"),"Yes","No"))</f>
        <v/>
      </c>
      <c r="L375" s="14" t="n"/>
      <c r="M375" s="14" t="n"/>
      <c r="N375" s="15">
        <f>IF($D375="","",IF($M375="Excused","No",IF(AND($G375="PT Modified",$L375="Received"),"No","Yes")))</f>
        <v/>
      </c>
      <c r="O375" s="14" t="n"/>
    </row>
    <row r="376">
      <c r="B376" s="15">
        <f>IF($D376="","","A"&amp;TEXT(ROW()-5,"000"))</f>
        <v/>
      </c>
      <c r="C376" s="16" t="n"/>
      <c r="D376" s="14" t="n"/>
      <c r="E376" s="15">
        <f>IF($D376="","",IFERROR(INDEX(rngCadetPIDs,MATCH($D376,rngCadetNames,0)),"?"))</f>
        <v/>
      </c>
      <c r="F376" s="15">
        <f>IF($E376="","",IFERROR(INDEX(nrCadetAgency,MATCH($E376,rngCadetPIDs,0)),""))</f>
        <v/>
      </c>
      <c r="G376" s="14" t="n"/>
      <c r="H376" s="14" t="n"/>
      <c r="I376" s="14" t="n"/>
      <c r="J376" s="14" t="n"/>
      <c r="K376" s="15">
        <f>IF($G376="","",IF(OR($G376="PT Missed",$G376="PT Modified",$G376="PT Refused"),"Yes","No"))</f>
        <v/>
      </c>
      <c r="L376" s="14" t="n"/>
      <c r="M376" s="14" t="n"/>
      <c r="N376" s="15">
        <f>IF($D376="","",IF($M376="Excused","No",IF(AND($G376="PT Modified",$L376="Received"),"No","Yes")))</f>
        <v/>
      </c>
      <c r="O376" s="14" t="n"/>
    </row>
    <row r="377">
      <c r="B377" s="15">
        <f>IF($D377="","","A"&amp;TEXT(ROW()-5,"000"))</f>
        <v/>
      </c>
      <c r="C377" s="16" t="n"/>
      <c r="D377" s="14" t="n"/>
      <c r="E377" s="15">
        <f>IF($D377="","",IFERROR(INDEX(rngCadetPIDs,MATCH($D377,rngCadetNames,0)),"?"))</f>
        <v/>
      </c>
      <c r="F377" s="15">
        <f>IF($E377="","",IFERROR(INDEX(nrCadetAgency,MATCH($E377,rngCadetPIDs,0)),""))</f>
        <v/>
      </c>
      <c r="G377" s="14" t="n"/>
      <c r="H377" s="14" t="n"/>
      <c r="I377" s="14" t="n"/>
      <c r="J377" s="14" t="n"/>
      <c r="K377" s="15">
        <f>IF($G377="","",IF(OR($G377="PT Missed",$G377="PT Modified",$G377="PT Refused"),"Yes","No"))</f>
        <v/>
      </c>
      <c r="L377" s="14" t="n"/>
      <c r="M377" s="14" t="n"/>
      <c r="N377" s="15">
        <f>IF($D377="","",IF($M377="Excused","No",IF(AND($G377="PT Modified",$L377="Received"),"No","Yes")))</f>
        <v/>
      </c>
      <c r="O377" s="14" t="n"/>
    </row>
    <row r="378">
      <c r="B378" s="15">
        <f>IF($D378="","","A"&amp;TEXT(ROW()-5,"000"))</f>
        <v/>
      </c>
      <c r="C378" s="16" t="n"/>
      <c r="D378" s="14" t="n"/>
      <c r="E378" s="15">
        <f>IF($D378="","",IFERROR(INDEX(rngCadetPIDs,MATCH($D378,rngCadetNames,0)),"?"))</f>
        <v/>
      </c>
      <c r="F378" s="15">
        <f>IF($E378="","",IFERROR(INDEX(nrCadetAgency,MATCH($E378,rngCadetPIDs,0)),""))</f>
        <v/>
      </c>
      <c r="G378" s="14" t="n"/>
      <c r="H378" s="14" t="n"/>
      <c r="I378" s="14" t="n"/>
      <c r="J378" s="14" t="n"/>
      <c r="K378" s="15">
        <f>IF($G378="","",IF(OR($G378="PT Missed",$G378="PT Modified",$G378="PT Refused"),"Yes","No"))</f>
        <v/>
      </c>
      <c r="L378" s="14" t="n"/>
      <c r="M378" s="14" t="n"/>
      <c r="N378" s="15">
        <f>IF($D378="","",IF($M378="Excused","No",IF(AND($G378="PT Modified",$L378="Received"),"No","Yes")))</f>
        <v/>
      </c>
      <c r="O378" s="14" t="n"/>
    </row>
    <row r="379">
      <c r="B379" s="15">
        <f>IF($D379="","","A"&amp;TEXT(ROW()-5,"000"))</f>
        <v/>
      </c>
      <c r="C379" s="16" t="n"/>
      <c r="D379" s="14" t="n"/>
      <c r="E379" s="15">
        <f>IF($D379="","",IFERROR(INDEX(rngCadetPIDs,MATCH($D379,rngCadetNames,0)),"?"))</f>
        <v/>
      </c>
      <c r="F379" s="15">
        <f>IF($E379="","",IFERROR(INDEX(nrCadetAgency,MATCH($E379,rngCadetPIDs,0)),""))</f>
        <v/>
      </c>
      <c r="G379" s="14" t="n"/>
      <c r="H379" s="14" t="n"/>
      <c r="I379" s="14" t="n"/>
      <c r="J379" s="14" t="n"/>
      <c r="K379" s="15">
        <f>IF($G379="","",IF(OR($G379="PT Missed",$G379="PT Modified",$G379="PT Refused"),"Yes","No"))</f>
        <v/>
      </c>
      <c r="L379" s="14" t="n"/>
      <c r="M379" s="14" t="n"/>
      <c r="N379" s="15">
        <f>IF($D379="","",IF($M379="Excused","No",IF(AND($G379="PT Modified",$L379="Received"),"No","Yes")))</f>
        <v/>
      </c>
      <c r="O379" s="14" t="n"/>
    </row>
    <row r="380">
      <c r="B380" s="15">
        <f>IF($D380="","","A"&amp;TEXT(ROW()-5,"000"))</f>
        <v/>
      </c>
      <c r="C380" s="16" t="n"/>
      <c r="D380" s="14" t="n"/>
      <c r="E380" s="15">
        <f>IF($D380="","",IFERROR(INDEX(rngCadetPIDs,MATCH($D380,rngCadetNames,0)),"?"))</f>
        <v/>
      </c>
      <c r="F380" s="15">
        <f>IF($E380="","",IFERROR(INDEX(nrCadetAgency,MATCH($E380,rngCadetPIDs,0)),""))</f>
        <v/>
      </c>
      <c r="G380" s="14" t="n"/>
      <c r="H380" s="14" t="n"/>
      <c r="I380" s="14" t="n"/>
      <c r="J380" s="14" t="n"/>
      <c r="K380" s="15">
        <f>IF($G380="","",IF(OR($G380="PT Missed",$G380="PT Modified",$G380="PT Refused"),"Yes","No"))</f>
        <v/>
      </c>
      <c r="L380" s="14" t="n"/>
      <c r="M380" s="14" t="n"/>
      <c r="N380" s="15">
        <f>IF($D380="","",IF($M380="Excused","No",IF(AND($G380="PT Modified",$L380="Received"),"No","Yes")))</f>
        <v/>
      </c>
      <c r="O380" s="14" t="n"/>
    </row>
    <row r="381">
      <c r="B381" s="15">
        <f>IF($D381="","","A"&amp;TEXT(ROW()-5,"000"))</f>
        <v/>
      </c>
      <c r="C381" s="16" t="n"/>
      <c r="D381" s="14" t="n"/>
      <c r="E381" s="15">
        <f>IF($D381="","",IFERROR(INDEX(rngCadetPIDs,MATCH($D381,rngCadetNames,0)),"?"))</f>
        <v/>
      </c>
      <c r="F381" s="15">
        <f>IF($E381="","",IFERROR(INDEX(nrCadetAgency,MATCH($E381,rngCadetPIDs,0)),""))</f>
        <v/>
      </c>
      <c r="G381" s="14" t="n"/>
      <c r="H381" s="14" t="n"/>
      <c r="I381" s="14" t="n"/>
      <c r="J381" s="14" t="n"/>
      <c r="K381" s="15">
        <f>IF($G381="","",IF(OR($G381="PT Missed",$G381="PT Modified",$G381="PT Refused"),"Yes","No"))</f>
        <v/>
      </c>
      <c r="L381" s="14" t="n"/>
      <c r="M381" s="14" t="n"/>
      <c r="N381" s="15">
        <f>IF($D381="","",IF($M381="Excused","No",IF(AND($G381="PT Modified",$L381="Received"),"No","Yes")))</f>
        <v/>
      </c>
      <c r="O381" s="14" t="n"/>
    </row>
    <row r="382">
      <c r="B382" s="15">
        <f>IF($D382="","","A"&amp;TEXT(ROW()-5,"000"))</f>
        <v/>
      </c>
      <c r="C382" s="16" t="n"/>
      <c r="D382" s="14" t="n"/>
      <c r="E382" s="15">
        <f>IF($D382="","",IFERROR(INDEX(rngCadetPIDs,MATCH($D382,rngCadetNames,0)),"?"))</f>
        <v/>
      </c>
      <c r="F382" s="15">
        <f>IF($E382="","",IFERROR(INDEX(nrCadetAgency,MATCH($E382,rngCadetPIDs,0)),""))</f>
        <v/>
      </c>
      <c r="G382" s="14" t="n"/>
      <c r="H382" s="14" t="n"/>
      <c r="I382" s="14" t="n"/>
      <c r="J382" s="14" t="n"/>
      <c r="K382" s="15">
        <f>IF($G382="","",IF(OR($G382="PT Missed",$G382="PT Modified",$G382="PT Refused"),"Yes","No"))</f>
        <v/>
      </c>
      <c r="L382" s="14" t="n"/>
      <c r="M382" s="14" t="n"/>
      <c r="N382" s="15">
        <f>IF($D382="","",IF($M382="Excused","No",IF(AND($G382="PT Modified",$L382="Received"),"No","Yes")))</f>
        <v/>
      </c>
      <c r="O382" s="14" t="n"/>
    </row>
    <row r="383">
      <c r="B383" s="15">
        <f>IF($D383="","","A"&amp;TEXT(ROW()-5,"000"))</f>
        <v/>
      </c>
      <c r="C383" s="16" t="n"/>
      <c r="D383" s="14" t="n"/>
      <c r="E383" s="15">
        <f>IF($D383="","",IFERROR(INDEX(rngCadetPIDs,MATCH($D383,rngCadetNames,0)),"?"))</f>
        <v/>
      </c>
      <c r="F383" s="15">
        <f>IF($E383="","",IFERROR(INDEX(nrCadetAgency,MATCH($E383,rngCadetPIDs,0)),""))</f>
        <v/>
      </c>
      <c r="G383" s="14" t="n"/>
      <c r="H383" s="14" t="n"/>
      <c r="I383" s="14" t="n"/>
      <c r="J383" s="14" t="n"/>
      <c r="K383" s="15">
        <f>IF($G383="","",IF(OR($G383="PT Missed",$G383="PT Modified",$G383="PT Refused"),"Yes","No"))</f>
        <v/>
      </c>
      <c r="L383" s="14" t="n"/>
      <c r="M383" s="14" t="n"/>
      <c r="N383" s="15">
        <f>IF($D383="","",IF($M383="Excused","No",IF(AND($G383="PT Modified",$L383="Received"),"No","Yes")))</f>
        <v/>
      </c>
      <c r="O383" s="14" t="n"/>
    </row>
    <row r="384">
      <c r="B384" s="15">
        <f>IF($D384="","","A"&amp;TEXT(ROW()-5,"000"))</f>
        <v/>
      </c>
      <c r="C384" s="16" t="n"/>
      <c r="D384" s="14" t="n"/>
      <c r="E384" s="15">
        <f>IF($D384="","",IFERROR(INDEX(rngCadetPIDs,MATCH($D384,rngCadetNames,0)),"?"))</f>
        <v/>
      </c>
      <c r="F384" s="15">
        <f>IF($E384="","",IFERROR(INDEX(nrCadetAgency,MATCH($E384,rngCadetPIDs,0)),""))</f>
        <v/>
      </c>
      <c r="G384" s="14" t="n"/>
      <c r="H384" s="14" t="n"/>
      <c r="I384" s="14" t="n"/>
      <c r="J384" s="14" t="n"/>
      <c r="K384" s="15">
        <f>IF($G384="","",IF(OR($G384="PT Missed",$G384="PT Modified",$G384="PT Refused"),"Yes","No"))</f>
        <v/>
      </c>
      <c r="L384" s="14" t="n"/>
      <c r="M384" s="14" t="n"/>
      <c r="N384" s="15">
        <f>IF($D384="","",IF($M384="Excused","No",IF(AND($G384="PT Modified",$L384="Received"),"No","Yes")))</f>
        <v/>
      </c>
      <c r="O384" s="14" t="n"/>
    </row>
    <row r="385">
      <c r="B385" s="15">
        <f>IF($D385="","","A"&amp;TEXT(ROW()-5,"000"))</f>
        <v/>
      </c>
      <c r="C385" s="16" t="n"/>
      <c r="D385" s="14" t="n"/>
      <c r="E385" s="15">
        <f>IF($D385="","",IFERROR(INDEX(rngCadetPIDs,MATCH($D385,rngCadetNames,0)),"?"))</f>
        <v/>
      </c>
      <c r="F385" s="15">
        <f>IF($E385="","",IFERROR(INDEX(nrCadetAgency,MATCH($E385,rngCadetPIDs,0)),""))</f>
        <v/>
      </c>
      <c r="G385" s="14" t="n"/>
      <c r="H385" s="14" t="n"/>
      <c r="I385" s="14" t="n"/>
      <c r="J385" s="14" t="n"/>
      <c r="K385" s="15">
        <f>IF($G385="","",IF(OR($G385="PT Missed",$G385="PT Modified",$G385="PT Refused"),"Yes","No"))</f>
        <v/>
      </c>
      <c r="L385" s="14" t="n"/>
      <c r="M385" s="14" t="n"/>
      <c r="N385" s="15">
        <f>IF($D385="","",IF($M385="Excused","No",IF(AND($G385="PT Modified",$L385="Received"),"No","Yes")))</f>
        <v/>
      </c>
      <c r="O385" s="14" t="n"/>
    </row>
    <row r="386">
      <c r="B386" s="15">
        <f>IF($D386="","","A"&amp;TEXT(ROW()-5,"000"))</f>
        <v/>
      </c>
      <c r="C386" s="16" t="n"/>
      <c r="D386" s="14" t="n"/>
      <c r="E386" s="15">
        <f>IF($D386="","",IFERROR(INDEX(rngCadetPIDs,MATCH($D386,rngCadetNames,0)),"?"))</f>
        <v/>
      </c>
      <c r="F386" s="15">
        <f>IF($E386="","",IFERROR(INDEX(nrCadetAgency,MATCH($E386,rngCadetPIDs,0)),""))</f>
        <v/>
      </c>
      <c r="G386" s="14" t="n"/>
      <c r="H386" s="14" t="n"/>
      <c r="I386" s="14" t="n"/>
      <c r="J386" s="14" t="n"/>
      <c r="K386" s="15">
        <f>IF($G386="","",IF(OR($G386="PT Missed",$G386="PT Modified",$G386="PT Refused"),"Yes","No"))</f>
        <v/>
      </c>
      <c r="L386" s="14" t="n"/>
      <c r="M386" s="14" t="n"/>
      <c r="N386" s="15">
        <f>IF($D386="","",IF($M386="Excused","No",IF(AND($G386="PT Modified",$L386="Received"),"No","Yes")))</f>
        <v/>
      </c>
      <c r="O386" s="14" t="n"/>
    </row>
    <row r="387">
      <c r="B387" s="15">
        <f>IF($D387="","","A"&amp;TEXT(ROW()-5,"000"))</f>
        <v/>
      </c>
      <c r="C387" s="16" t="n"/>
      <c r="D387" s="14" t="n"/>
      <c r="E387" s="15">
        <f>IF($D387="","",IFERROR(INDEX(rngCadetPIDs,MATCH($D387,rngCadetNames,0)),"?"))</f>
        <v/>
      </c>
      <c r="F387" s="15">
        <f>IF($E387="","",IFERROR(INDEX(nrCadetAgency,MATCH($E387,rngCadetPIDs,0)),""))</f>
        <v/>
      </c>
      <c r="G387" s="14" t="n"/>
      <c r="H387" s="14" t="n"/>
      <c r="I387" s="14" t="n"/>
      <c r="J387" s="14" t="n"/>
      <c r="K387" s="15">
        <f>IF($G387="","",IF(OR($G387="PT Missed",$G387="PT Modified",$G387="PT Refused"),"Yes","No"))</f>
        <v/>
      </c>
      <c r="L387" s="14" t="n"/>
      <c r="M387" s="14" t="n"/>
      <c r="N387" s="15">
        <f>IF($D387="","",IF($M387="Excused","No",IF(AND($G387="PT Modified",$L387="Received"),"No","Yes")))</f>
        <v/>
      </c>
      <c r="O387" s="14" t="n"/>
    </row>
    <row r="388">
      <c r="B388" s="15">
        <f>IF($D388="","","A"&amp;TEXT(ROW()-5,"000"))</f>
        <v/>
      </c>
      <c r="C388" s="16" t="n"/>
      <c r="D388" s="14" t="n"/>
      <c r="E388" s="15">
        <f>IF($D388="","",IFERROR(INDEX(rngCadetPIDs,MATCH($D388,rngCadetNames,0)),"?"))</f>
        <v/>
      </c>
      <c r="F388" s="15">
        <f>IF($E388="","",IFERROR(INDEX(nrCadetAgency,MATCH($E388,rngCadetPIDs,0)),""))</f>
        <v/>
      </c>
      <c r="G388" s="14" t="n"/>
      <c r="H388" s="14" t="n"/>
      <c r="I388" s="14" t="n"/>
      <c r="J388" s="14" t="n"/>
      <c r="K388" s="15">
        <f>IF($G388="","",IF(OR($G388="PT Missed",$G388="PT Modified",$G388="PT Refused"),"Yes","No"))</f>
        <v/>
      </c>
      <c r="L388" s="14" t="n"/>
      <c r="M388" s="14" t="n"/>
      <c r="N388" s="15">
        <f>IF($D388="","",IF($M388="Excused","No",IF(AND($G388="PT Modified",$L388="Received"),"No","Yes")))</f>
        <v/>
      </c>
      <c r="O388" s="14" t="n"/>
    </row>
    <row r="389">
      <c r="B389" s="15">
        <f>IF($D389="","","A"&amp;TEXT(ROW()-5,"000"))</f>
        <v/>
      </c>
      <c r="C389" s="16" t="n"/>
      <c r="D389" s="14" t="n"/>
      <c r="E389" s="15">
        <f>IF($D389="","",IFERROR(INDEX(rngCadetPIDs,MATCH($D389,rngCadetNames,0)),"?"))</f>
        <v/>
      </c>
      <c r="F389" s="15">
        <f>IF($E389="","",IFERROR(INDEX(nrCadetAgency,MATCH($E389,rngCadetPIDs,0)),""))</f>
        <v/>
      </c>
      <c r="G389" s="14" t="n"/>
      <c r="H389" s="14" t="n"/>
      <c r="I389" s="14" t="n"/>
      <c r="J389" s="14" t="n"/>
      <c r="K389" s="15">
        <f>IF($G389="","",IF(OR($G389="PT Missed",$G389="PT Modified",$G389="PT Refused"),"Yes","No"))</f>
        <v/>
      </c>
      <c r="L389" s="14" t="n"/>
      <c r="M389" s="14" t="n"/>
      <c r="N389" s="15">
        <f>IF($D389="","",IF($M389="Excused","No",IF(AND($G389="PT Modified",$L389="Received"),"No","Yes")))</f>
        <v/>
      </c>
      <c r="O389" s="14" t="n"/>
    </row>
    <row r="390">
      <c r="B390" s="15">
        <f>IF($D390="","","A"&amp;TEXT(ROW()-5,"000"))</f>
        <v/>
      </c>
      <c r="C390" s="16" t="n"/>
      <c r="D390" s="14" t="n"/>
      <c r="E390" s="15">
        <f>IF($D390="","",IFERROR(INDEX(rngCadetPIDs,MATCH($D390,rngCadetNames,0)),"?"))</f>
        <v/>
      </c>
      <c r="F390" s="15">
        <f>IF($E390="","",IFERROR(INDEX(nrCadetAgency,MATCH($E390,rngCadetPIDs,0)),""))</f>
        <v/>
      </c>
      <c r="G390" s="14" t="n"/>
      <c r="H390" s="14" t="n"/>
      <c r="I390" s="14" t="n"/>
      <c r="J390" s="14" t="n"/>
      <c r="K390" s="15">
        <f>IF($G390="","",IF(OR($G390="PT Missed",$G390="PT Modified",$G390="PT Refused"),"Yes","No"))</f>
        <v/>
      </c>
      <c r="L390" s="14" t="n"/>
      <c r="M390" s="14" t="n"/>
      <c r="N390" s="15">
        <f>IF($D390="","",IF($M390="Excused","No",IF(AND($G390="PT Modified",$L390="Received"),"No","Yes")))</f>
        <v/>
      </c>
      <c r="O390" s="14" t="n"/>
    </row>
    <row r="391">
      <c r="B391" s="15">
        <f>IF($D391="","","A"&amp;TEXT(ROW()-5,"000"))</f>
        <v/>
      </c>
      <c r="C391" s="16" t="n"/>
      <c r="D391" s="14" t="n"/>
      <c r="E391" s="15">
        <f>IF($D391="","",IFERROR(INDEX(rngCadetPIDs,MATCH($D391,rngCadetNames,0)),"?"))</f>
        <v/>
      </c>
      <c r="F391" s="15">
        <f>IF($E391="","",IFERROR(INDEX(nrCadetAgency,MATCH($E391,rngCadetPIDs,0)),""))</f>
        <v/>
      </c>
      <c r="G391" s="14" t="n"/>
      <c r="H391" s="14" t="n"/>
      <c r="I391" s="14" t="n"/>
      <c r="J391" s="14" t="n"/>
      <c r="K391" s="15">
        <f>IF($G391="","",IF(OR($G391="PT Missed",$G391="PT Modified",$G391="PT Refused"),"Yes","No"))</f>
        <v/>
      </c>
      <c r="L391" s="14" t="n"/>
      <c r="M391" s="14" t="n"/>
      <c r="N391" s="15">
        <f>IF($D391="","",IF($M391="Excused","No",IF(AND($G391="PT Modified",$L391="Received"),"No","Yes")))</f>
        <v/>
      </c>
      <c r="O391" s="14" t="n"/>
    </row>
    <row r="392">
      <c r="B392" s="15">
        <f>IF($D392="","","A"&amp;TEXT(ROW()-5,"000"))</f>
        <v/>
      </c>
      <c r="C392" s="16" t="n"/>
      <c r="D392" s="14" t="n"/>
      <c r="E392" s="15">
        <f>IF($D392="","",IFERROR(INDEX(rngCadetPIDs,MATCH($D392,rngCadetNames,0)),"?"))</f>
        <v/>
      </c>
      <c r="F392" s="15">
        <f>IF($E392="","",IFERROR(INDEX(nrCadetAgency,MATCH($E392,rngCadetPIDs,0)),""))</f>
        <v/>
      </c>
      <c r="G392" s="14" t="n"/>
      <c r="H392" s="14" t="n"/>
      <c r="I392" s="14" t="n"/>
      <c r="J392" s="14" t="n"/>
      <c r="K392" s="15">
        <f>IF($G392="","",IF(OR($G392="PT Missed",$G392="PT Modified",$G392="PT Refused"),"Yes","No"))</f>
        <v/>
      </c>
      <c r="L392" s="14" t="n"/>
      <c r="M392" s="14" t="n"/>
      <c r="N392" s="15">
        <f>IF($D392="","",IF($M392="Excused","No",IF(AND($G392="PT Modified",$L392="Received"),"No","Yes")))</f>
        <v/>
      </c>
      <c r="O392" s="14" t="n"/>
    </row>
    <row r="393">
      <c r="B393" s="15">
        <f>IF($D393="","","A"&amp;TEXT(ROW()-5,"000"))</f>
        <v/>
      </c>
      <c r="C393" s="16" t="n"/>
      <c r="D393" s="14" t="n"/>
      <c r="E393" s="15">
        <f>IF($D393="","",IFERROR(INDEX(rngCadetPIDs,MATCH($D393,rngCadetNames,0)),"?"))</f>
        <v/>
      </c>
      <c r="F393" s="15">
        <f>IF($E393="","",IFERROR(INDEX(nrCadetAgency,MATCH($E393,rngCadetPIDs,0)),""))</f>
        <v/>
      </c>
      <c r="G393" s="14" t="n"/>
      <c r="H393" s="14" t="n"/>
      <c r="I393" s="14" t="n"/>
      <c r="J393" s="14" t="n"/>
      <c r="K393" s="15">
        <f>IF($G393="","",IF(OR($G393="PT Missed",$G393="PT Modified",$G393="PT Refused"),"Yes","No"))</f>
        <v/>
      </c>
      <c r="L393" s="14" t="n"/>
      <c r="M393" s="14" t="n"/>
      <c r="N393" s="15">
        <f>IF($D393="","",IF($M393="Excused","No",IF(AND($G393="PT Modified",$L393="Received"),"No","Yes")))</f>
        <v/>
      </c>
      <c r="O393" s="14" t="n"/>
    </row>
    <row r="394">
      <c r="B394" s="15">
        <f>IF($D394="","","A"&amp;TEXT(ROW()-5,"000"))</f>
        <v/>
      </c>
      <c r="C394" s="16" t="n"/>
      <c r="D394" s="14" t="n"/>
      <c r="E394" s="15">
        <f>IF($D394="","",IFERROR(INDEX(rngCadetPIDs,MATCH($D394,rngCadetNames,0)),"?"))</f>
        <v/>
      </c>
      <c r="F394" s="15">
        <f>IF($E394="","",IFERROR(INDEX(nrCadetAgency,MATCH($E394,rngCadetPIDs,0)),""))</f>
        <v/>
      </c>
      <c r="G394" s="14" t="n"/>
      <c r="H394" s="14" t="n"/>
      <c r="I394" s="14" t="n"/>
      <c r="J394" s="14" t="n"/>
      <c r="K394" s="15">
        <f>IF($G394="","",IF(OR($G394="PT Missed",$G394="PT Modified",$G394="PT Refused"),"Yes","No"))</f>
        <v/>
      </c>
      <c r="L394" s="14" t="n"/>
      <c r="M394" s="14" t="n"/>
      <c r="N394" s="15">
        <f>IF($D394="","",IF($M394="Excused","No",IF(AND($G394="PT Modified",$L394="Received"),"No","Yes")))</f>
        <v/>
      </c>
      <c r="O394" s="14" t="n"/>
    </row>
    <row r="395">
      <c r="B395" s="15">
        <f>IF($D395="","","A"&amp;TEXT(ROW()-5,"000"))</f>
        <v/>
      </c>
      <c r="C395" s="16" t="n"/>
      <c r="D395" s="14" t="n"/>
      <c r="E395" s="15">
        <f>IF($D395="","",IFERROR(INDEX(rngCadetPIDs,MATCH($D395,rngCadetNames,0)),"?"))</f>
        <v/>
      </c>
      <c r="F395" s="15">
        <f>IF($E395="","",IFERROR(INDEX(nrCadetAgency,MATCH($E395,rngCadetPIDs,0)),""))</f>
        <v/>
      </c>
      <c r="G395" s="14" t="n"/>
      <c r="H395" s="14" t="n"/>
      <c r="I395" s="14" t="n"/>
      <c r="J395" s="14" t="n"/>
      <c r="K395" s="15">
        <f>IF($G395="","",IF(OR($G395="PT Missed",$G395="PT Modified",$G395="PT Refused"),"Yes","No"))</f>
        <v/>
      </c>
      <c r="L395" s="14" t="n"/>
      <c r="M395" s="14" t="n"/>
      <c r="N395" s="15">
        <f>IF($D395="","",IF($M395="Excused","No",IF(AND($G395="PT Modified",$L395="Received"),"No","Yes")))</f>
        <v/>
      </c>
      <c r="O395" s="14" t="n"/>
    </row>
    <row r="396">
      <c r="B396" s="15">
        <f>IF($D396="","","A"&amp;TEXT(ROW()-5,"000"))</f>
        <v/>
      </c>
      <c r="C396" s="16" t="n"/>
      <c r="D396" s="14" t="n"/>
      <c r="E396" s="15">
        <f>IF($D396="","",IFERROR(INDEX(rngCadetPIDs,MATCH($D396,rngCadetNames,0)),"?"))</f>
        <v/>
      </c>
      <c r="F396" s="15">
        <f>IF($E396="","",IFERROR(INDEX(nrCadetAgency,MATCH($E396,rngCadetPIDs,0)),""))</f>
        <v/>
      </c>
      <c r="G396" s="14" t="n"/>
      <c r="H396" s="14" t="n"/>
      <c r="I396" s="14" t="n"/>
      <c r="J396" s="14" t="n"/>
      <c r="K396" s="15">
        <f>IF($G396="","",IF(OR($G396="PT Missed",$G396="PT Modified",$G396="PT Refused"),"Yes","No"))</f>
        <v/>
      </c>
      <c r="L396" s="14" t="n"/>
      <c r="M396" s="14" t="n"/>
      <c r="N396" s="15">
        <f>IF($D396="","",IF($M396="Excused","No",IF(AND($G396="PT Modified",$L396="Received"),"No","Yes")))</f>
        <v/>
      </c>
      <c r="O396" s="14" t="n"/>
    </row>
    <row r="397">
      <c r="B397" s="15">
        <f>IF($D397="","","A"&amp;TEXT(ROW()-5,"000"))</f>
        <v/>
      </c>
      <c r="C397" s="16" t="n"/>
      <c r="D397" s="14" t="n"/>
      <c r="E397" s="15">
        <f>IF($D397="","",IFERROR(INDEX(rngCadetPIDs,MATCH($D397,rngCadetNames,0)),"?"))</f>
        <v/>
      </c>
      <c r="F397" s="15">
        <f>IF($E397="","",IFERROR(INDEX(nrCadetAgency,MATCH($E397,rngCadetPIDs,0)),""))</f>
        <v/>
      </c>
      <c r="G397" s="14" t="n"/>
      <c r="H397" s="14" t="n"/>
      <c r="I397" s="14" t="n"/>
      <c r="J397" s="14" t="n"/>
      <c r="K397" s="15">
        <f>IF($G397="","",IF(OR($G397="PT Missed",$G397="PT Modified",$G397="PT Refused"),"Yes","No"))</f>
        <v/>
      </c>
      <c r="L397" s="14" t="n"/>
      <c r="M397" s="14" t="n"/>
      <c r="N397" s="15">
        <f>IF($D397="","",IF($M397="Excused","No",IF(AND($G397="PT Modified",$L397="Received"),"No","Yes")))</f>
        <v/>
      </c>
      <c r="O397" s="14" t="n"/>
    </row>
    <row r="398">
      <c r="B398" s="15">
        <f>IF($D398="","","A"&amp;TEXT(ROW()-5,"000"))</f>
        <v/>
      </c>
      <c r="C398" s="16" t="n"/>
      <c r="D398" s="14" t="n"/>
      <c r="E398" s="15">
        <f>IF($D398="","",IFERROR(INDEX(rngCadetPIDs,MATCH($D398,rngCadetNames,0)),"?"))</f>
        <v/>
      </c>
      <c r="F398" s="15">
        <f>IF($E398="","",IFERROR(INDEX(nrCadetAgency,MATCH($E398,rngCadetPIDs,0)),""))</f>
        <v/>
      </c>
      <c r="G398" s="14" t="n"/>
      <c r="H398" s="14" t="n"/>
      <c r="I398" s="14" t="n"/>
      <c r="J398" s="14" t="n"/>
      <c r="K398" s="15">
        <f>IF($G398="","",IF(OR($G398="PT Missed",$G398="PT Modified",$G398="PT Refused"),"Yes","No"))</f>
        <v/>
      </c>
      <c r="L398" s="14" t="n"/>
      <c r="M398" s="14" t="n"/>
      <c r="N398" s="15">
        <f>IF($D398="","",IF($M398="Excused","No",IF(AND($G398="PT Modified",$L398="Received"),"No","Yes")))</f>
        <v/>
      </c>
      <c r="O398" s="14" t="n"/>
    </row>
    <row r="399">
      <c r="B399" s="15">
        <f>IF($D399="","","A"&amp;TEXT(ROW()-5,"000"))</f>
        <v/>
      </c>
      <c r="C399" s="16" t="n"/>
      <c r="D399" s="14" t="n"/>
      <c r="E399" s="15">
        <f>IF($D399="","",IFERROR(INDEX(rngCadetPIDs,MATCH($D399,rngCadetNames,0)),"?"))</f>
        <v/>
      </c>
      <c r="F399" s="15">
        <f>IF($E399="","",IFERROR(INDEX(nrCadetAgency,MATCH($E399,rngCadetPIDs,0)),""))</f>
        <v/>
      </c>
      <c r="G399" s="14" t="n"/>
      <c r="H399" s="14" t="n"/>
      <c r="I399" s="14" t="n"/>
      <c r="J399" s="14" t="n"/>
      <c r="K399" s="15">
        <f>IF($G399="","",IF(OR($G399="PT Missed",$G399="PT Modified",$G399="PT Refused"),"Yes","No"))</f>
        <v/>
      </c>
      <c r="L399" s="14" t="n"/>
      <c r="M399" s="14" t="n"/>
      <c r="N399" s="15">
        <f>IF($D399="","",IF($M399="Excused","No",IF(AND($G399="PT Modified",$L399="Received"),"No","Yes")))</f>
        <v/>
      </c>
      <c r="O399" s="14" t="n"/>
    </row>
    <row r="400">
      <c r="B400" s="15">
        <f>IF($D400="","","A"&amp;TEXT(ROW()-5,"000"))</f>
        <v/>
      </c>
      <c r="C400" s="16" t="n"/>
      <c r="D400" s="14" t="n"/>
      <c r="E400" s="15">
        <f>IF($D400="","",IFERROR(INDEX(rngCadetPIDs,MATCH($D400,rngCadetNames,0)),"?"))</f>
        <v/>
      </c>
      <c r="F400" s="15">
        <f>IF($E400="","",IFERROR(INDEX(nrCadetAgency,MATCH($E400,rngCadetPIDs,0)),""))</f>
        <v/>
      </c>
      <c r="G400" s="14" t="n"/>
      <c r="H400" s="14" t="n"/>
      <c r="I400" s="14" t="n"/>
      <c r="J400" s="14" t="n"/>
      <c r="K400" s="15">
        <f>IF($G400="","",IF(OR($G400="PT Missed",$G400="PT Modified",$G400="PT Refused"),"Yes","No"))</f>
        <v/>
      </c>
      <c r="L400" s="14" t="n"/>
      <c r="M400" s="14" t="n"/>
      <c r="N400" s="15">
        <f>IF($D400="","",IF($M400="Excused","No",IF(AND($G400="PT Modified",$L400="Received"),"No","Yes")))</f>
        <v/>
      </c>
      <c r="O400" s="14" t="n"/>
    </row>
    <row r="401">
      <c r="B401" s="15">
        <f>IF($D401="","","A"&amp;TEXT(ROW()-5,"000"))</f>
        <v/>
      </c>
      <c r="C401" s="16" t="n"/>
      <c r="D401" s="14" t="n"/>
      <c r="E401" s="15">
        <f>IF($D401="","",IFERROR(INDEX(rngCadetPIDs,MATCH($D401,rngCadetNames,0)),"?"))</f>
        <v/>
      </c>
      <c r="F401" s="15">
        <f>IF($E401="","",IFERROR(INDEX(nrCadetAgency,MATCH($E401,rngCadetPIDs,0)),""))</f>
        <v/>
      </c>
      <c r="G401" s="14" t="n"/>
      <c r="H401" s="14" t="n"/>
      <c r="I401" s="14" t="n"/>
      <c r="J401" s="14" t="n"/>
      <c r="K401" s="15">
        <f>IF($G401="","",IF(OR($G401="PT Missed",$G401="PT Modified",$G401="PT Refused"),"Yes","No"))</f>
        <v/>
      </c>
      <c r="L401" s="14" t="n"/>
      <c r="M401" s="14" t="n"/>
      <c r="N401" s="15">
        <f>IF($D401="","",IF($M401="Excused","No",IF(AND($G401="PT Modified",$L401="Received"),"No","Yes")))</f>
        <v/>
      </c>
      <c r="O401" s="14" t="n"/>
    </row>
    <row r="402">
      <c r="B402" s="15">
        <f>IF($D402="","","A"&amp;TEXT(ROW()-5,"000"))</f>
        <v/>
      </c>
      <c r="C402" s="16" t="n"/>
      <c r="D402" s="14" t="n"/>
      <c r="E402" s="15">
        <f>IF($D402="","",IFERROR(INDEX(rngCadetPIDs,MATCH($D402,rngCadetNames,0)),"?"))</f>
        <v/>
      </c>
      <c r="F402" s="15">
        <f>IF($E402="","",IFERROR(INDEX(nrCadetAgency,MATCH($E402,rngCadetPIDs,0)),""))</f>
        <v/>
      </c>
      <c r="G402" s="14" t="n"/>
      <c r="H402" s="14" t="n"/>
      <c r="I402" s="14" t="n"/>
      <c r="J402" s="14" t="n"/>
      <c r="K402" s="15">
        <f>IF($G402="","",IF(OR($G402="PT Missed",$G402="PT Modified",$G402="PT Refused"),"Yes","No"))</f>
        <v/>
      </c>
      <c r="L402" s="14" t="n"/>
      <c r="M402" s="14" t="n"/>
      <c r="N402" s="15">
        <f>IF($D402="","",IF($M402="Excused","No",IF(AND($G402="PT Modified",$L402="Received"),"No","Yes")))</f>
        <v/>
      </c>
      <c r="O402" s="14" t="n"/>
    </row>
    <row r="403">
      <c r="B403" s="15">
        <f>IF($D403="","","A"&amp;TEXT(ROW()-5,"000"))</f>
        <v/>
      </c>
      <c r="C403" s="16" t="n"/>
      <c r="D403" s="14" t="n"/>
      <c r="E403" s="15">
        <f>IF($D403="","",IFERROR(INDEX(rngCadetPIDs,MATCH($D403,rngCadetNames,0)),"?"))</f>
        <v/>
      </c>
      <c r="F403" s="15">
        <f>IF($E403="","",IFERROR(INDEX(nrCadetAgency,MATCH($E403,rngCadetPIDs,0)),""))</f>
        <v/>
      </c>
      <c r="G403" s="14" t="n"/>
      <c r="H403" s="14" t="n"/>
      <c r="I403" s="14" t="n"/>
      <c r="J403" s="14" t="n"/>
      <c r="K403" s="15">
        <f>IF($G403="","",IF(OR($G403="PT Missed",$G403="PT Modified",$G403="PT Refused"),"Yes","No"))</f>
        <v/>
      </c>
      <c r="L403" s="14" t="n"/>
      <c r="M403" s="14" t="n"/>
      <c r="N403" s="15">
        <f>IF($D403="","",IF($M403="Excused","No",IF(AND($G403="PT Modified",$L403="Received"),"No","Yes")))</f>
        <v/>
      </c>
      <c r="O403" s="14" t="n"/>
    </row>
    <row r="404">
      <c r="B404" s="15">
        <f>IF($D404="","","A"&amp;TEXT(ROW()-5,"000"))</f>
        <v/>
      </c>
      <c r="C404" s="16" t="n"/>
      <c r="D404" s="14" t="n"/>
      <c r="E404" s="15">
        <f>IF($D404="","",IFERROR(INDEX(rngCadetPIDs,MATCH($D404,rngCadetNames,0)),"?"))</f>
        <v/>
      </c>
      <c r="F404" s="15">
        <f>IF($E404="","",IFERROR(INDEX(nrCadetAgency,MATCH($E404,rngCadetPIDs,0)),""))</f>
        <v/>
      </c>
      <c r="G404" s="14" t="n"/>
      <c r="H404" s="14" t="n"/>
      <c r="I404" s="14" t="n"/>
      <c r="J404" s="14" t="n"/>
      <c r="K404" s="15">
        <f>IF($G404="","",IF(OR($G404="PT Missed",$G404="PT Modified",$G404="PT Refused"),"Yes","No"))</f>
        <v/>
      </c>
      <c r="L404" s="14" t="n"/>
      <c r="M404" s="14" t="n"/>
      <c r="N404" s="15">
        <f>IF($D404="","",IF($M404="Excused","No",IF(AND($G404="PT Modified",$L404="Received"),"No","Yes")))</f>
        <v/>
      </c>
      <c r="O404" s="14" t="n"/>
    </row>
    <row r="405">
      <c r="B405" s="15">
        <f>IF($D405="","","A"&amp;TEXT(ROW()-5,"000"))</f>
        <v/>
      </c>
      <c r="C405" s="16" t="n"/>
      <c r="D405" s="14" t="n"/>
      <c r="E405" s="15">
        <f>IF($D405="","",IFERROR(INDEX(rngCadetPIDs,MATCH($D405,rngCadetNames,0)),"?"))</f>
        <v/>
      </c>
      <c r="F405" s="15">
        <f>IF($E405="","",IFERROR(INDEX(nrCadetAgency,MATCH($E405,rngCadetPIDs,0)),""))</f>
        <v/>
      </c>
      <c r="G405" s="14" t="n"/>
      <c r="H405" s="14" t="n"/>
      <c r="I405" s="14" t="n"/>
      <c r="J405" s="14" t="n"/>
      <c r="K405" s="15">
        <f>IF($G405="","",IF(OR($G405="PT Missed",$G405="PT Modified",$G405="PT Refused"),"Yes","No"))</f>
        <v/>
      </c>
      <c r="L405" s="14" t="n"/>
      <c r="M405" s="14" t="n"/>
      <c r="N405" s="15">
        <f>IF($D405="","",IF($M405="Excused","No",IF(AND($G405="PT Modified",$L405="Received"),"No","Yes")))</f>
        <v/>
      </c>
      <c r="O405" s="14" t="n"/>
    </row>
    <row r="406">
      <c r="B406" s="15">
        <f>IF($D406="","","A"&amp;TEXT(ROW()-5,"000"))</f>
        <v/>
      </c>
      <c r="C406" s="16" t="n"/>
      <c r="D406" s="14" t="n"/>
      <c r="E406" s="15">
        <f>IF($D406="","",IFERROR(INDEX(rngCadetPIDs,MATCH($D406,rngCadetNames,0)),"?"))</f>
        <v/>
      </c>
      <c r="F406" s="15">
        <f>IF($E406="","",IFERROR(INDEX(nrCadetAgency,MATCH($E406,rngCadetPIDs,0)),""))</f>
        <v/>
      </c>
      <c r="G406" s="14" t="n"/>
      <c r="H406" s="14" t="n"/>
      <c r="I406" s="14" t="n"/>
      <c r="J406" s="14" t="n"/>
      <c r="K406" s="15">
        <f>IF($G406="","",IF(OR($G406="PT Missed",$G406="PT Modified",$G406="PT Refused"),"Yes","No"))</f>
        <v/>
      </c>
      <c r="L406" s="14" t="n"/>
      <c r="M406" s="14" t="n"/>
      <c r="N406" s="15">
        <f>IF($D406="","",IF($M406="Excused","No",IF(AND($G406="PT Modified",$L406="Received"),"No","Yes")))</f>
        <v/>
      </c>
      <c r="O406" s="14" t="n"/>
    </row>
    <row r="407">
      <c r="B407" s="15">
        <f>IF($D407="","","A"&amp;TEXT(ROW()-5,"000"))</f>
        <v/>
      </c>
      <c r="C407" s="16" t="n"/>
      <c r="D407" s="14" t="n"/>
      <c r="E407" s="15">
        <f>IF($D407="","",IFERROR(INDEX(rngCadetPIDs,MATCH($D407,rngCadetNames,0)),"?"))</f>
        <v/>
      </c>
      <c r="F407" s="15">
        <f>IF($E407="","",IFERROR(INDEX(nrCadetAgency,MATCH($E407,rngCadetPIDs,0)),""))</f>
        <v/>
      </c>
      <c r="G407" s="14" t="n"/>
      <c r="H407" s="14" t="n"/>
      <c r="I407" s="14" t="n"/>
      <c r="J407" s="14" t="n"/>
      <c r="K407" s="15">
        <f>IF($G407="","",IF(OR($G407="PT Missed",$G407="PT Modified",$G407="PT Refused"),"Yes","No"))</f>
        <v/>
      </c>
      <c r="L407" s="14" t="n"/>
      <c r="M407" s="14" t="n"/>
      <c r="N407" s="15">
        <f>IF($D407="","",IF($M407="Excused","No",IF(AND($G407="PT Modified",$L407="Received"),"No","Yes")))</f>
        <v/>
      </c>
      <c r="O407" s="14" t="n"/>
    </row>
    <row r="408">
      <c r="B408" s="15">
        <f>IF($D408="","","A"&amp;TEXT(ROW()-5,"000"))</f>
        <v/>
      </c>
      <c r="C408" s="16" t="n"/>
      <c r="D408" s="14" t="n"/>
      <c r="E408" s="15">
        <f>IF($D408="","",IFERROR(INDEX(rngCadetPIDs,MATCH($D408,rngCadetNames,0)),"?"))</f>
        <v/>
      </c>
      <c r="F408" s="15">
        <f>IF($E408="","",IFERROR(INDEX(nrCadetAgency,MATCH($E408,rngCadetPIDs,0)),""))</f>
        <v/>
      </c>
      <c r="G408" s="14" t="n"/>
      <c r="H408" s="14" t="n"/>
      <c r="I408" s="14" t="n"/>
      <c r="J408" s="14" t="n"/>
      <c r="K408" s="15">
        <f>IF($G408="","",IF(OR($G408="PT Missed",$G408="PT Modified",$G408="PT Refused"),"Yes","No"))</f>
        <v/>
      </c>
      <c r="L408" s="14" t="n"/>
      <c r="M408" s="14" t="n"/>
      <c r="N408" s="15">
        <f>IF($D408="","",IF($M408="Excused","No",IF(AND($G408="PT Modified",$L408="Received"),"No","Yes")))</f>
        <v/>
      </c>
      <c r="O408" s="14" t="n"/>
    </row>
    <row r="409">
      <c r="B409" s="15">
        <f>IF($D409="","","A"&amp;TEXT(ROW()-5,"000"))</f>
        <v/>
      </c>
      <c r="C409" s="16" t="n"/>
      <c r="D409" s="14" t="n"/>
      <c r="E409" s="15">
        <f>IF($D409="","",IFERROR(INDEX(rngCadetPIDs,MATCH($D409,rngCadetNames,0)),"?"))</f>
        <v/>
      </c>
      <c r="F409" s="15">
        <f>IF($E409="","",IFERROR(INDEX(nrCadetAgency,MATCH($E409,rngCadetPIDs,0)),""))</f>
        <v/>
      </c>
      <c r="G409" s="14" t="n"/>
      <c r="H409" s="14" t="n"/>
      <c r="I409" s="14" t="n"/>
      <c r="J409" s="14" t="n"/>
      <c r="K409" s="15">
        <f>IF($G409="","",IF(OR($G409="PT Missed",$G409="PT Modified",$G409="PT Refused"),"Yes","No"))</f>
        <v/>
      </c>
      <c r="L409" s="14" t="n"/>
      <c r="M409" s="14" t="n"/>
      <c r="N409" s="15">
        <f>IF($D409="","",IF($M409="Excused","No",IF(AND($G409="PT Modified",$L409="Received"),"No","Yes")))</f>
        <v/>
      </c>
      <c r="O409" s="14" t="n"/>
    </row>
    <row r="410">
      <c r="B410" s="15">
        <f>IF($D410="","","A"&amp;TEXT(ROW()-5,"000"))</f>
        <v/>
      </c>
      <c r="C410" s="16" t="n"/>
      <c r="D410" s="14" t="n"/>
      <c r="E410" s="15">
        <f>IF($D410="","",IFERROR(INDEX(rngCadetPIDs,MATCH($D410,rngCadetNames,0)),"?"))</f>
        <v/>
      </c>
      <c r="F410" s="15">
        <f>IF($E410="","",IFERROR(INDEX(nrCadetAgency,MATCH($E410,rngCadetPIDs,0)),""))</f>
        <v/>
      </c>
      <c r="G410" s="14" t="n"/>
      <c r="H410" s="14" t="n"/>
      <c r="I410" s="14" t="n"/>
      <c r="J410" s="14" t="n"/>
      <c r="K410" s="15">
        <f>IF($G410="","",IF(OR($G410="PT Missed",$G410="PT Modified",$G410="PT Refused"),"Yes","No"))</f>
        <v/>
      </c>
      <c r="L410" s="14" t="n"/>
      <c r="M410" s="14" t="n"/>
      <c r="N410" s="15">
        <f>IF($D410="","",IF($M410="Excused","No",IF(AND($G410="PT Modified",$L410="Received"),"No","Yes")))</f>
        <v/>
      </c>
      <c r="O410" s="14" t="n"/>
    </row>
    <row r="411">
      <c r="B411" s="15">
        <f>IF($D411="","","A"&amp;TEXT(ROW()-5,"000"))</f>
        <v/>
      </c>
      <c r="C411" s="16" t="n"/>
      <c r="D411" s="14" t="n"/>
      <c r="E411" s="15">
        <f>IF($D411="","",IFERROR(INDEX(rngCadetPIDs,MATCH($D411,rngCadetNames,0)),"?"))</f>
        <v/>
      </c>
      <c r="F411" s="15">
        <f>IF($E411="","",IFERROR(INDEX(nrCadetAgency,MATCH($E411,rngCadetPIDs,0)),""))</f>
        <v/>
      </c>
      <c r="G411" s="14" t="n"/>
      <c r="H411" s="14" t="n"/>
      <c r="I411" s="14" t="n"/>
      <c r="J411" s="14" t="n"/>
      <c r="K411" s="15">
        <f>IF($G411="","",IF(OR($G411="PT Missed",$G411="PT Modified",$G411="PT Refused"),"Yes","No"))</f>
        <v/>
      </c>
      <c r="L411" s="14" t="n"/>
      <c r="M411" s="14" t="n"/>
      <c r="N411" s="15">
        <f>IF($D411="","",IF($M411="Excused","No",IF(AND($G411="PT Modified",$L411="Received"),"No","Yes")))</f>
        <v/>
      </c>
      <c r="O411" s="14" t="n"/>
    </row>
    <row r="412">
      <c r="B412" s="15">
        <f>IF($D412="","","A"&amp;TEXT(ROW()-5,"000"))</f>
        <v/>
      </c>
      <c r="C412" s="16" t="n"/>
      <c r="D412" s="14" t="n"/>
      <c r="E412" s="15">
        <f>IF($D412="","",IFERROR(INDEX(rngCadetPIDs,MATCH($D412,rngCadetNames,0)),"?"))</f>
        <v/>
      </c>
      <c r="F412" s="15">
        <f>IF($E412="","",IFERROR(INDEX(nrCadetAgency,MATCH($E412,rngCadetPIDs,0)),""))</f>
        <v/>
      </c>
      <c r="G412" s="14" t="n"/>
      <c r="H412" s="14" t="n"/>
      <c r="I412" s="14" t="n"/>
      <c r="J412" s="14" t="n"/>
      <c r="K412" s="15">
        <f>IF($G412="","",IF(OR($G412="PT Missed",$G412="PT Modified",$G412="PT Refused"),"Yes","No"))</f>
        <v/>
      </c>
      <c r="L412" s="14" t="n"/>
      <c r="M412" s="14" t="n"/>
      <c r="N412" s="15">
        <f>IF($D412="","",IF($M412="Excused","No",IF(AND($G412="PT Modified",$L412="Received"),"No","Yes")))</f>
        <v/>
      </c>
      <c r="O412" s="14" t="n"/>
    </row>
    <row r="413">
      <c r="B413" s="15">
        <f>IF($D413="","","A"&amp;TEXT(ROW()-5,"000"))</f>
        <v/>
      </c>
      <c r="C413" s="16" t="n"/>
      <c r="D413" s="14" t="n"/>
      <c r="E413" s="15">
        <f>IF($D413="","",IFERROR(INDEX(rngCadetPIDs,MATCH($D413,rngCadetNames,0)),"?"))</f>
        <v/>
      </c>
      <c r="F413" s="15">
        <f>IF($E413="","",IFERROR(INDEX(nrCadetAgency,MATCH($E413,rngCadetPIDs,0)),""))</f>
        <v/>
      </c>
      <c r="G413" s="14" t="n"/>
      <c r="H413" s="14" t="n"/>
      <c r="I413" s="14" t="n"/>
      <c r="J413" s="14" t="n"/>
      <c r="K413" s="15">
        <f>IF($G413="","",IF(OR($G413="PT Missed",$G413="PT Modified",$G413="PT Refused"),"Yes","No"))</f>
        <v/>
      </c>
      <c r="L413" s="14" t="n"/>
      <c r="M413" s="14" t="n"/>
      <c r="N413" s="15">
        <f>IF($D413="","",IF($M413="Excused","No",IF(AND($G413="PT Modified",$L413="Received"),"No","Yes")))</f>
        <v/>
      </c>
      <c r="O413" s="14" t="n"/>
    </row>
    <row r="414">
      <c r="B414" s="15">
        <f>IF($D414="","","A"&amp;TEXT(ROW()-5,"000"))</f>
        <v/>
      </c>
      <c r="C414" s="16" t="n"/>
      <c r="D414" s="14" t="n"/>
      <c r="E414" s="15">
        <f>IF($D414="","",IFERROR(INDEX(rngCadetPIDs,MATCH($D414,rngCadetNames,0)),"?"))</f>
        <v/>
      </c>
      <c r="F414" s="15">
        <f>IF($E414="","",IFERROR(INDEX(nrCadetAgency,MATCH($E414,rngCadetPIDs,0)),""))</f>
        <v/>
      </c>
      <c r="G414" s="14" t="n"/>
      <c r="H414" s="14" t="n"/>
      <c r="I414" s="14" t="n"/>
      <c r="J414" s="14" t="n"/>
      <c r="K414" s="15">
        <f>IF($G414="","",IF(OR($G414="PT Missed",$G414="PT Modified",$G414="PT Refused"),"Yes","No"))</f>
        <v/>
      </c>
      <c r="L414" s="14" t="n"/>
      <c r="M414" s="14" t="n"/>
      <c r="N414" s="15">
        <f>IF($D414="","",IF($M414="Excused","No",IF(AND($G414="PT Modified",$L414="Received"),"No","Yes")))</f>
        <v/>
      </c>
      <c r="O414" s="14" t="n"/>
    </row>
    <row r="415">
      <c r="B415" s="15">
        <f>IF($D415="","","A"&amp;TEXT(ROW()-5,"000"))</f>
        <v/>
      </c>
      <c r="C415" s="16" t="n"/>
      <c r="D415" s="14" t="n"/>
      <c r="E415" s="15">
        <f>IF($D415="","",IFERROR(INDEX(rngCadetPIDs,MATCH($D415,rngCadetNames,0)),"?"))</f>
        <v/>
      </c>
      <c r="F415" s="15">
        <f>IF($E415="","",IFERROR(INDEX(nrCadetAgency,MATCH($E415,rngCadetPIDs,0)),""))</f>
        <v/>
      </c>
      <c r="G415" s="14" t="n"/>
      <c r="H415" s="14" t="n"/>
      <c r="I415" s="14" t="n"/>
      <c r="J415" s="14" t="n"/>
      <c r="K415" s="15">
        <f>IF($G415="","",IF(OR($G415="PT Missed",$G415="PT Modified",$G415="PT Refused"),"Yes","No"))</f>
        <v/>
      </c>
      <c r="L415" s="14" t="n"/>
      <c r="M415" s="14" t="n"/>
      <c r="N415" s="15">
        <f>IF($D415="","",IF($M415="Excused","No",IF(AND($G415="PT Modified",$L415="Received"),"No","Yes")))</f>
        <v/>
      </c>
      <c r="O415" s="14" t="n"/>
    </row>
    <row r="416">
      <c r="B416" s="15">
        <f>IF($D416="","","A"&amp;TEXT(ROW()-5,"000"))</f>
        <v/>
      </c>
      <c r="C416" s="16" t="n"/>
      <c r="D416" s="14" t="n"/>
      <c r="E416" s="15">
        <f>IF($D416="","",IFERROR(INDEX(rngCadetPIDs,MATCH($D416,rngCadetNames,0)),"?"))</f>
        <v/>
      </c>
      <c r="F416" s="15">
        <f>IF($E416="","",IFERROR(INDEX(nrCadetAgency,MATCH($E416,rngCadetPIDs,0)),""))</f>
        <v/>
      </c>
      <c r="G416" s="14" t="n"/>
      <c r="H416" s="14" t="n"/>
      <c r="I416" s="14" t="n"/>
      <c r="J416" s="14" t="n"/>
      <c r="K416" s="15">
        <f>IF($G416="","",IF(OR($G416="PT Missed",$G416="PT Modified",$G416="PT Refused"),"Yes","No"))</f>
        <v/>
      </c>
      <c r="L416" s="14" t="n"/>
      <c r="M416" s="14" t="n"/>
      <c r="N416" s="15">
        <f>IF($D416="","",IF($M416="Excused","No",IF(AND($G416="PT Modified",$L416="Received"),"No","Yes")))</f>
        <v/>
      </c>
      <c r="O416" s="14" t="n"/>
    </row>
    <row r="417">
      <c r="B417" s="15">
        <f>IF($D417="","","A"&amp;TEXT(ROW()-5,"000"))</f>
        <v/>
      </c>
      <c r="C417" s="16" t="n"/>
      <c r="D417" s="14" t="n"/>
      <c r="E417" s="15">
        <f>IF($D417="","",IFERROR(INDEX(rngCadetPIDs,MATCH($D417,rngCadetNames,0)),"?"))</f>
        <v/>
      </c>
      <c r="F417" s="15">
        <f>IF($E417="","",IFERROR(INDEX(nrCadetAgency,MATCH($E417,rngCadetPIDs,0)),""))</f>
        <v/>
      </c>
      <c r="G417" s="14" t="n"/>
      <c r="H417" s="14" t="n"/>
      <c r="I417" s="14" t="n"/>
      <c r="J417" s="14" t="n"/>
      <c r="K417" s="15">
        <f>IF($G417="","",IF(OR($G417="PT Missed",$G417="PT Modified",$G417="PT Refused"),"Yes","No"))</f>
        <v/>
      </c>
      <c r="L417" s="14" t="n"/>
      <c r="M417" s="14" t="n"/>
      <c r="N417" s="15">
        <f>IF($D417="","",IF($M417="Excused","No",IF(AND($G417="PT Modified",$L417="Received"),"No","Yes")))</f>
        <v/>
      </c>
      <c r="O417" s="14" t="n"/>
    </row>
    <row r="418">
      <c r="B418" s="15">
        <f>IF($D418="","","A"&amp;TEXT(ROW()-5,"000"))</f>
        <v/>
      </c>
      <c r="C418" s="16" t="n"/>
      <c r="D418" s="14" t="n"/>
      <c r="E418" s="15">
        <f>IF($D418="","",IFERROR(INDEX(rngCadetPIDs,MATCH($D418,rngCadetNames,0)),"?"))</f>
        <v/>
      </c>
      <c r="F418" s="15">
        <f>IF($E418="","",IFERROR(INDEX(nrCadetAgency,MATCH($E418,rngCadetPIDs,0)),""))</f>
        <v/>
      </c>
      <c r="G418" s="14" t="n"/>
      <c r="H418" s="14" t="n"/>
      <c r="I418" s="14" t="n"/>
      <c r="J418" s="14" t="n"/>
      <c r="K418" s="15">
        <f>IF($G418="","",IF(OR($G418="PT Missed",$G418="PT Modified",$G418="PT Refused"),"Yes","No"))</f>
        <v/>
      </c>
      <c r="L418" s="14" t="n"/>
      <c r="M418" s="14" t="n"/>
      <c r="N418" s="15">
        <f>IF($D418="","",IF($M418="Excused","No",IF(AND($G418="PT Modified",$L418="Received"),"No","Yes")))</f>
        <v/>
      </c>
      <c r="O418" s="14" t="n"/>
    </row>
    <row r="419">
      <c r="B419" s="15">
        <f>IF($D419="","","A"&amp;TEXT(ROW()-5,"000"))</f>
        <v/>
      </c>
      <c r="C419" s="16" t="n"/>
      <c r="D419" s="14" t="n"/>
      <c r="E419" s="15">
        <f>IF($D419="","",IFERROR(INDEX(rngCadetPIDs,MATCH($D419,rngCadetNames,0)),"?"))</f>
        <v/>
      </c>
      <c r="F419" s="15">
        <f>IF($E419="","",IFERROR(INDEX(nrCadetAgency,MATCH($E419,rngCadetPIDs,0)),""))</f>
        <v/>
      </c>
      <c r="G419" s="14" t="n"/>
      <c r="H419" s="14" t="n"/>
      <c r="I419" s="14" t="n"/>
      <c r="J419" s="14" t="n"/>
      <c r="K419" s="15">
        <f>IF($G419="","",IF(OR($G419="PT Missed",$G419="PT Modified",$G419="PT Refused"),"Yes","No"))</f>
        <v/>
      </c>
      <c r="L419" s="14" t="n"/>
      <c r="M419" s="14" t="n"/>
      <c r="N419" s="15">
        <f>IF($D419="","",IF($M419="Excused","No",IF(AND($G419="PT Modified",$L419="Received"),"No","Yes")))</f>
        <v/>
      </c>
      <c r="O419" s="14" t="n"/>
    </row>
    <row r="420">
      <c r="B420" s="15">
        <f>IF($D420="","","A"&amp;TEXT(ROW()-5,"000"))</f>
        <v/>
      </c>
      <c r="C420" s="16" t="n"/>
      <c r="D420" s="14" t="n"/>
      <c r="E420" s="15">
        <f>IF($D420="","",IFERROR(INDEX(rngCadetPIDs,MATCH($D420,rngCadetNames,0)),"?"))</f>
        <v/>
      </c>
      <c r="F420" s="15">
        <f>IF($E420="","",IFERROR(INDEX(nrCadetAgency,MATCH($E420,rngCadetPIDs,0)),""))</f>
        <v/>
      </c>
      <c r="G420" s="14" t="n"/>
      <c r="H420" s="14" t="n"/>
      <c r="I420" s="14" t="n"/>
      <c r="J420" s="14" t="n"/>
      <c r="K420" s="15">
        <f>IF($G420="","",IF(OR($G420="PT Missed",$G420="PT Modified",$G420="PT Refused"),"Yes","No"))</f>
        <v/>
      </c>
      <c r="L420" s="14" t="n"/>
      <c r="M420" s="14" t="n"/>
      <c r="N420" s="15">
        <f>IF($D420="","",IF($M420="Excused","No",IF(AND($G420="PT Modified",$L420="Received"),"No","Yes")))</f>
        <v/>
      </c>
      <c r="O420" s="14" t="n"/>
    </row>
    <row r="421">
      <c r="B421" s="15">
        <f>IF($D421="","","A"&amp;TEXT(ROW()-5,"000"))</f>
        <v/>
      </c>
      <c r="C421" s="16" t="n"/>
      <c r="D421" s="14" t="n"/>
      <c r="E421" s="15">
        <f>IF($D421="","",IFERROR(INDEX(rngCadetPIDs,MATCH($D421,rngCadetNames,0)),"?"))</f>
        <v/>
      </c>
      <c r="F421" s="15">
        <f>IF($E421="","",IFERROR(INDEX(nrCadetAgency,MATCH($E421,rngCadetPIDs,0)),""))</f>
        <v/>
      </c>
      <c r="G421" s="14" t="n"/>
      <c r="H421" s="14" t="n"/>
      <c r="I421" s="14" t="n"/>
      <c r="J421" s="14" t="n"/>
      <c r="K421" s="15">
        <f>IF($G421="","",IF(OR($G421="PT Missed",$G421="PT Modified",$G421="PT Refused"),"Yes","No"))</f>
        <v/>
      </c>
      <c r="L421" s="14" t="n"/>
      <c r="M421" s="14" t="n"/>
      <c r="N421" s="15">
        <f>IF($D421="","",IF($M421="Excused","No",IF(AND($G421="PT Modified",$L421="Received"),"No","Yes")))</f>
        <v/>
      </c>
      <c r="O421" s="14" t="n"/>
    </row>
    <row r="422">
      <c r="B422" s="15">
        <f>IF($D422="","","A"&amp;TEXT(ROW()-5,"000"))</f>
        <v/>
      </c>
      <c r="C422" s="16" t="n"/>
      <c r="D422" s="14" t="n"/>
      <c r="E422" s="15">
        <f>IF($D422="","",IFERROR(INDEX(rngCadetPIDs,MATCH($D422,rngCadetNames,0)),"?"))</f>
        <v/>
      </c>
      <c r="F422" s="15">
        <f>IF($E422="","",IFERROR(INDEX(nrCadetAgency,MATCH($E422,rngCadetPIDs,0)),""))</f>
        <v/>
      </c>
      <c r="G422" s="14" t="n"/>
      <c r="H422" s="14" t="n"/>
      <c r="I422" s="14" t="n"/>
      <c r="J422" s="14" t="n"/>
      <c r="K422" s="15">
        <f>IF($G422="","",IF(OR($G422="PT Missed",$G422="PT Modified",$G422="PT Refused"),"Yes","No"))</f>
        <v/>
      </c>
      <c r="L422" s="14" t="n"/>
      <c r="M422" s="14" t="n"/>
      <c r="N422" s="15">
        <f>IF($D422="","",IF($M422="Excused","No",IF(AND($G422="PT Modified",$L422="Received"),"No","Yes")))</f>
        <v/>
      </c>
      <c r="O422" s="14" t="n"/>
    </row>
    <row r="423">
      <c r="B423" s="15">
        <f>IF($D423="","","A"&amp;TEXT(ROW()-5,"000"))</f>
        <v/>
      </c>
      <c r="C423" s="16" t="n"/>
      <c r="D423" s="14" t="n"/>
      <c r="E423" s="15">
        <f>IF($D423="","",IFERROR(INDEX(rngCadetPIDs,MATCH($D423,rngCadetNames,0)),"?"))</f>
        <v/>
      </c>
      <c r="F423" s="15">
        <f>IF($E423="","",IFERROR(INDEX(nrCadetAgency,MATCH($E423,rngCadetPIDs,0)),""))</f>
        <v/>
      </c>
      <c r="G423" s="14" t="n"/>
      <c r="H423" s="14" t="n"/>
      <c r="I423" s="14" t="n"/>
      <c r="J423" s="14" t="n"/>
      <c r="K423" s="15">
        <f>IF($G423="","",IF(OR($G423="PT Missed",$G423="PT Modified",$G423="PT Refused"),"Yes","No"))</f>
        <v/>
      </c>
      <c r="L423" s="14" t="n"/>
      <c r="M423" s="14" t="n"/>
      <c r="N423" s="15">
        <f>IF($D423="","",IF($M423="Excused","No",IF(AND($G423="PT Modified",$L423="Received"),"No","Yes")))</f>
        <v/>
      </c>
      <c r="O423" s="14" t="n"/>
    </row>
    <row r="424">
      <c r="B424" s="15">
        <f>IF($D424="","","A"&amp;TEXT(ROW()-5,"000"))</f>
        <v/>
      </c>
      <c r="C424" s="16" t="n"/>
      <c r="D424" s="14" t="n"/>
      <c r="E424" s="15">
        <f>IF($D424="","",IFERROR(INDEX(rngCadetPIDs,MATCH($D424,rngCadetNames,0)),"?"))</f>
        <v/>
      </c>
      <c r="F424" s="15">
        <f>IF($E424="","",IFERROR(INDEX(nrCadetAgency,MATCH($E424,rngCadetPIDs,0)),""))</f>
        <v/>
      </c>
      <c r="G424" s="14" t="n"/>
      <c r="H424" s="14" t="n"/>
      <c r="I424" s="14" t="n"/>
      <c r="J424" s="14" t="n"/>
      <c r="K424" s="15">
        <f>IF($G424="","",IF(OR($G424="PT Missed",$G424="PT Modified",$G424="PT Refused"),"Yes","No"))</f>
        <v/>
      </c>
      <c r="L424" s="14" t="n"/>
      <c r="M424" s="14" t="n"/>
      <c r="N424" s="15">
        <f>IF($D424="","",IF($M424="Excused","No",IF(AND($G424="PT Modified",$L424="Received"),"No","Yes")))</f>
        <v/>
      </c>
      <c r="O424" s="14" t="n"/>
    </row>
    <row r="425">
      <c r="B425" s="15">
        <f>IF($D425="","","A"&amp;TEXT(ROW()-5,"000"))</f>
        <v/>
      </c>
      <c r="C425" s="16" t="n"/>
      <c r="D425" s="14" t="n"/>
      <c r="E425" s="15">
        <f>IF($D425="","",IFERROR(INDEX(rngCadetPIDs,MATCH($D425,rngCadetNames,0)),"?"))</f>
        <v/>
      </c>
      <c r="F425" s="15">
        <f>IF($E425="","",IFERROR(INDEX(nrCadetAgency,MATCH($E425,rngCadetPIDs,0)),""))</f>
        <v/>
      </c>
      <c r="G425" s="14" t="n"/>
      <c r="H425" s="14" t="n"/>
      <c r="I425" s="14" t="n"/>
      <c r="J425" s="14" t="n"/>
      <c r="K425" s="15">
        <f>IF($G425="","",IF(OR($G425="PT Missed",$G425="PT Modified",$G425="PT Refused"),"Yes","No"))</f>
        <v/>
      </c>
      <c r="L425" s="14" t="n"/>
      <c r="M425" s="14" t="n"/>
      <c r="N425" s="15">
        <f>IF($D425="","",IF($M425="Excused","No",IF(AND($G425="PT Modified",$L425="Received"),"No","Yes")))</f>
        <v/>
      </c>
      <c r="O425" s="14" t="n"/>
    </row>
    <row r="426">
      <c r="B426" s="15">
        <f>IF($D426="","","A"&amp;TEXT(ROW()-5,"000"))</f>
        <v/>
      </c>
      <c r="C426" s="16" t="n"/>
      <c r="D426" s="14" t="n"/>
      <c r="E426" s="15">
        <f>IF($D426="","",IFERROR(INDEX(rngCadetPIDs,MATCH($D426,rngCadetNames,0)),"?"))</f>
        <v/>
      </c>
      <c r="F426" s="15">
        <f>IF($E426="","",IFERROR(INDEX(nrCadetAgency,MATCH($E426,rngCadetPIDs,0)),""))</f>
        <v/>
      </c>
      <c r="G426" s="14" t="n"/>
      <c r="H426" s="14" t="n"/>
      <c r="I426" s="14" t="n"/>
      <c r="J426" s="14" t="n"/>
      <c r="K426" s="15">
        <f>IF($G426="","",IF(OR($G426="PT Missed",$G426="PT Modified",$G426="PT Refused"),"Yes","No"))</f>
        <v/>
      </c>
      <c r="L426" s="14" t="n"/>
      <c r="M426" s="14" t="n"/>
      <c r="N426" s="15">
        <f>IF($D426="","",IF($M426="Excused","No",IF(AND($G426="PT Modified",$L426="Received"),"No","Yes")))</f>
        <v/>
      </c>
      <c r="O426" s="14" t="n"/>
    </row>
    <row r="427">
      <c r="B427" s="15">
        <f>IF($D427="","","A"&amp;TEXT(ROW()-5,"000"))</f>
        <v/>
      </c>
      <c r="C427" s="16" t="n"/>
      <c r="D427" s="14" t="n"/>
      <c r="E427" s="15">
        <f>IF($D427="","",IFERROR(INDEX(rngCadetPIDs,MATCH($D427,rngCadetNames,0)),"?"))</f>
        <v/>
      </c>
      <c r="F427" s="15">
        <f>IF($E427="","",IFERROR(INDEX(nrCadetAgency,MATCH($E427,rngCadetPIDs,0)),""))</f>
        <v/>
      </c>
      <c r="G427" s="14" t="n"/>
      <c r="H427" s="14" t="n"/>
      <c r="I427" s="14" t="n"/>
      <c r="J427" s="14" t="n"/>
      <c r="K427" s="15">
        <f>IF($G427="","",IF(OR($G427="PT Missed",$G427="PT Modified",$G427="PT Refused"),"Yes","No"))</f>
        <v/>
      </c>
      <c r="L427" s="14" t="n"/>
      <c r="M427" s="14" t="n"/>
      <c r="N427" s="15">
        <f>IF($D427="","",IF($M427="Excused","No",IF(AND($G427="PT Modified",$L427="Received"),"No","Yes")))</f>
        <v/>
      </c>
      <c r="O427" s="14" t="n"/>
    </row>
    <row r="428">
      <c r="B428" s="15">
        <f>IF($D428="","","A"&amp;TEXT(ROW()-5,"000"))</f>
        <v/>
      </c>
      <c r="C428" s="16" t="n"/>
      <c r="D428" s="14" t="n"/>
      <c r="E428" s="15">
        <f>IF($D428="","",IFERROR(INDEX(rngCadetPIDs,MATCH($D428,rngCadetNames,0)),"?"))</f>
        <v/>
      </c>
      <c r="F428" s="15">
        <f>IF($E428="","",IFERROR(INDEX(nrCadetAgency,MATCH($E428,rngCadetPIDs,0)),""))</f>
        <v/>
      </c>
      <c r="G428" s="14" t="n"/>
      <c r="H428" s="14" t="n"/>
      <c r="I428" s="14" t="n"/>
      <c r="J428" s="14" t="n"/>
      <c r="K428" s="15">
        <f>IF($G428="","",IF(OR($G428="PT Missed",$G428="PT Modified",$G428="PT Refused"),"Yes","No"))</f>
        <v/>
      </c>
      <c r="L428" s="14" t="n"/>
      <c r="M428" s="14" t="n"/>
      <c r="N428" s="15">
        <f>IF($D428="","",IF($M428="Excused","No",IF(AND($G428="PT Modified",$L428="Received"),"No","Yes")))</f>
        <v/>
      </c>
      <c r="O428" s="14" t="n"/>
    </row>
    <row r="429">
      <c r="B429" s="15">
        <f>IF($D429="","","A"&amp;TEXT(ROW()-5,"000"))</f>
        <v/>
      </c>
      <c r="C429" s="16" t="n"/>
      <c r="D429" s="14" t="n"/>
      <c r="E429" s="15">
        <f>IF($D429="","",IFERROR(INDEX(rngCadetPIDs,MATCH($D429,rngCadetNames,0)),"?"))</f>
        <v/>
      </c>
      <c r="F429" s="15">
        <f>IF($E429="","",IFERROR(INDEX(nrCadetAgency,MATCH($E429,rngCadetPIDs,0)),""))</f>
        <v/>
      </c>
      <c r="G429" s="14" t="n"/>
      <c r="H429" s="14" t="n"/>
      <c r="I429" s="14" t="n"/>
      <c r="J429" s="14" t="n"/>
      <c r="K429" s="15">
        <f>IF($G429="","",IF(OR($G429="PT Missed",$G429="PT Modified",$G429="PT Refused"),"Yes","No"))</f>
        <v/>
      </c>
      <c r="L429" s="14" t="n"/>
      <c r="M429" s="14" t="n"/>
      <c r="N429" s="15">
        <f>IF($D429="","",IF($M429="Excused","No",IF(AND($G429="PT Modified",$L429="Received"),"No","Yes")))</f>
        <v/>
      </c>
      <c r="O429" s="14" t="n"/>
    </row>
    <row r="430">
      <c r="B430" s="15">
        <f>IF($D430="","","A"&amp;TEXT(ROW()-5,"000"))</f>
        <v/>
      </c>
      <c r="C430" s="16" t="n"/>
      <c r="D430" s="14" t="n"/>
      <c r="E430" s="15">
        <f>IF($D430="","",IFERROR(INDEX(rngCadetPIDs,MATCH($D430,rngCadetNames,0)),"?"))</f>
        <v/>
      </c>
      <c r="F430" s="15">
        <f>IF($E430="","",IFERROR(INDEX(nrCadetAgency,MATCH($E430,rngCadetPIDs,0)),""))</f>
        <v/>
      </c>
      <c r="G430" s="14" t="n"/>
      <c r="H430" s="14" t="n"/>
      <c r="I430" s="14" t="n"/>
      <c r="J430" s="14" t="n"/>
      <c r="K430" s="15">
        <f>IF($G430="","",IF(OR($G430="PT Missed",$G430="PT Modified",$G430="PT Refused"),"Yes","No"))</f>
        <v/>
      </c>
      <c r="L430" s="14" t="n"/>
      <c r="M430" s="14" t="n"/>
      <c r="N430" s="15">
        <f>IF($D430="","",IF($M430="Excused","No",IF(AND($G430="PT Modified",$L430="Received"),"No","Yes")))</f>
        <v/>
      </c>
      <c r="O430" s="14" t="n"/>
    </row>
    <row r="431">
      <c r="B431" s="15">
        <f>IF($D431="","","A"&amp;TEXT(ROW()-5,"000"))</f>
        <v/>
      </c>
      <c r="C431" s="16" t="n"/>
      <c r="D431" s="14" t="n"/>
      <c r="E431" s="15">
        <f>IF($D431="","",IFERROR(INDEX(rngCadetPIDs,MATCH($D431,rngCadetNames,0)),"?"))</f>
        <v/>
      </c>
      <c r="F431" s="15">
        <f>IF($E431="","",IFERROR(INDEX(nrCadetAgency,MATCH($E431,rngCadetPIDs,0)),""))</f>
        <v/>
      </c>
      <c r="G431" s="14" t="n"/>
      <c r="H431" s="14" t="n"/>
      <c r="I431" s="14" t="n"/>
      <c r="J431" s="14" t="n"/>
      <c r="K431" s="15">
        <f>IF($G431="","",IF(OR($G431="PT Missed",$G431="PT Modified",$G431="PT Refused"),"Yes","No"))</f>
        <v/>
      </c>
      <c r="L431" s="14" t="n"/>
      <c r="M431" s="14" t="n"/>
      <c r="N431" s="15">
        <f>IF($D431="","",IF($M431="Excused","No",IF(AND($G431="PT Modified",$L431="Received"),"No","Yes")))</f>
        <v/>
      </c>
      <c r="O431" s="14" t="n"/>
    </row>
    <row r="432">
      <c r="B432" s="15">
        <f>IF($D432="","","A"&amp;TEXT(ROW()-5,"000"))</f>
        <v/>
      </c>
      <c r="C432" s="16" t="n"/>
      <c r="D432" s="14" t="n"/>
      <c r="E432" s="15">
        <f>IF($D432="","",IFERROR(INDEX(rngCadetPIDs,MATCH($D432,rngCadetNames,0)),"?"))</f>
        <v/>
      </c>
      <c r="F432" s="15">
        <f>IF($E432="","",IFERROR(INDEX(nrCadetAgency,MATCH($E432,rngCadetPIDs,0)),""))</f>
        <v/>
      </c>
      <c r="G432" s="14" t="n"/>
      <c r="H432" s="14" t="n"/>
      <c r="I432" s="14" t="n"/>
      <c r="J432" s="14" t="n"/>
      <c r="K432" s="15">
        <f>IF($G432="","",IF(OR($G432="PT Missed",$G432="PT Modified",$G432="PT Refused"),"Yes","No"))</f>
        <v/>
      </c>
      <c r="L432" s="14" t="n"/>
      <c r="M432" s="14" t="n"/>
      <c r="N432" s="15">
        <f>IF($D432="","",IF($M432="Excused","No",IF(AND($G432="PT Modified",$L432="Received"),"No","Yes")))</f>
        <v/>
      </c>
      <c r="O432" s="14" t="n"/>
    </row>
    <row r="433">
      <c r="B433" s="15">
        <f>IF($D433="","","A"&amp;TEXT(ROW()-5,"000"))</f>
        <v/>
      </c>
      <c r="C433" s="16" t="n"/>
      <c r="D433" s="14" t="n"/>
      <c r="E433" s="15">
        <f>IF($D433="","",IFERROR(INDEX(rngCadetPIDs,MATCH($D433,rngCadetNames,0)),"?"))</f>
        <v/>
      </c>
      <c r="F433" s="15">
        <f>IF($E433="","",IFERROR(INDEX(nrCadetAgency,MATCH($E433,rngCadetPIDs,0)),""))</f>
        <v/>
      </c>
      <c r="G433" s="14" t="n"/>
      <c r="H433" s="14" t="n"/>
      <c r="I433" s="14" t="n"/>
      <c r="J433" s="14" t="n"/>
      <c r="K433" s="15">
        <f>IF($G433="","",IF(OR($G433="PT Missed",$G433="PT Modified",$G433="PT Refused"),"Yes","No"))</f>
        <v/>
      </c>
      <c r="L433" s="14" t="n"/>
      <c r="M433" s="14" t="n"/>
      <c r="N433" s="15">
        <f>IF($D433="","",IF($M433="Excused","No",IF(AND($G433="PT Modified",$L433="Received"),"No","Yes")))</f>
        <v/>
      </c>
      <c r="O433" s="14" t="n"/>
    </row>
    <row r="434">
      <c r="B434" s="15">
        <f>IF($D434="","","A"&amp;TEXT(ROW()-5,"000"))</f>
        <v/>
      </c>
      <c r="C434" s="16" t="n"/>
      <c r="D434" s="14" t="n"/>
      <c r="E434" s="15">
        <f>IF($D434="","",IFERROR(INDEX(rngCadetPIDs,MATCH($D434,rngCadetNames,0)),"?"))</f>
        <v/>
      </c>
      <c r="F434" s="15">
        <f>IF($E434="","",IFERROR(INDEX(nrCadetAgency,MATCH($E434,rngCadetPIDs,0)),""))</f>
        <v/>
      </c>
      <c r="G434" s="14" t="n"/>
      <c r="H434" s="14" t="n"/>
      <c r="I434" s="14" t="n"/>
      <c r="J434" s="14" t="n"/>
      <c r="K434" s="15">
        <f>IF($G434="","",IF(OR($G434="PT Missed",$G434="PT Modified",$G434="PT Refused"),"Yes","No"))</f>
        <v/>
      </c>
      <c r="L434" s="14" t="n"/>
      <c r="M434" s="14" t="n"/>
      <c r="N434" s="15">
        <f>IF($D434="","",IF($M434="Excused","No",IF(AND($G434="PT Modified",$L434="Received"),"No","Yes")))</f>
        <v/>
      </c>
      <c r="O434" s="14" t="n"/>
    </row>
    <row r="435">
      <c r="B435" s="15">
        <f>IF($D435="","","A"&amp;TEXT(ROW()-5,"000"))</f>
        <v/>
      </c>
      <c r="C435" s="16" t="n"/>
      <c r="D435" s="14" t="n"/>
      <c r="E435" s="15">
        <f>IF($D435="","",IFERROR(INDEX(rngCadetPIDs,MATCH($D435,rngCadetNames,0)),"?"))</f>
        <v/>
      </c>
      <c r="F435" s="15">
        <f>IF($E435="","",IFERROR(INDEX(nrCadetAgency,MATCH($E435,rngCadetPIDs,0)),""))</f>
        <v/>
      </c>
      <c r="G435" s="14" t="n"/>
      <c r="H435" s="14" t="n"/>
      <c r="I435" s="14" t="n"/>
      <c r="J435" s="14" t="n"/>
      <c r="K435" s="15">
        <f>IF($G435="","",IF(OR($G435="PT Missed",$G435="PT Modified",$G435="PT Refused"),"Yes","No"))</f>
        <v/>
      </c>
      <c r="L435" s="14" t="n"/>
      <c r="M435" s="14" t="n"/>
      <c r="N435" s="15">
        <f>IF($D435="","",IF($M435="Excused","No",IF(AND($G435="PT Modified",$L435="Received"),"No","Yes")))</f>
        <v/>
      </c>
      <c r="O435" s="14" t="n"/>
    </row>
    <row r="436">
      <c r="B436" s="15">
        <f>IF($D436="","","A"&amp;TEXT(ROW()-5,"000"))</f>
        <v/>
      </c>
      <c r="C436" s="16" t="n"/>
      <c r="D436" s="14" t="n"/>
      <c r="E436" s="15">
        <f>IF($D436="","",IFERROR(INDEX(rngCadetPIDs,MATCH($D436,rngCadetNames,0)),"?"))</f>
        <v/>
      </c>
      <c r="F436" s="15">
        <f>IF($E436="","",IFERROR(INDEX(nrCadetAgency,MATCH($E436,rngCadetPIDs,0)),""))</f>
        <v/>
      </c>
      <c r="G436" s="14" t="n"/>
      <c r="H436" s="14" t="n"/>
      <c r="I436" s="14" t="n"/>
      <c r="J436" s="14" t="n"/>
      <c r="K436" s="15">
        <f>IF($G436="","",IF(OR($G436="PT Missed",$G436="PT Modified",$G436="PT Refused"),"Yes","No"))</f>
        <v/>
      </c>
      <c r="L436" s="14" t="n"/>
      <c r="M436" s="14" t="n"/>
      <c r="N436" s="15">
        <f>IF($D436="","",IF($M436="Excused","No",IF(AND($G436="PT Modified",$L436="Received"),"No","Yes")))</f>
        <v/>
      </c>
      <c r="O436" s="14" t="n"/>
    </row>
    <row r="437">
      <c r="B437" s="15">
        <f>IF($D437="","","A"&amp;TEXT(ROW()-5,"000"))</f>
        <v/>
      </c>
      <c r="C437" s="16" t="n"/>
      <c r="D437" s="14" t="n"/>
      <c r="E437" s="15">
        <f>IF($D437="","",IFERROR(INDEX(rngCadetPIDs,MATCH($D437,rngCadetNames,0)),"?"))</f>
        <v/>
      </c>
      <c r="F437" s="15">
        <f>IF($E437="","",IFERROR(INDEX(nrCadetAgency,MATCH($E437,rngCadetPIDs,0)),""))</f>
        <v/>
      </c>
      <c r="G437" s="14" t="n"/>
      <c r="H437" s="14" t="n"/>
      <c r="I437" s="14" t="n"/>
      <c r="J437" s="14" t="n"/>
      <c r="K437" s="15">
        <f>IF($G437="","",IF(OR($G437="PT Missed",$G437="PT Modified",$G437="PT Refused"),"Yes","No"))</f>
        <v/>
      </c>
      <c r="L437" s="14" t="n"/>
      <c r="M437" s="14" t="n"/>
      <c r="N437" s="15">
        <f>IF($D437="","",IF($M437="Excused","No",IF(AND($G437="PT Modified",$L437="Received"),"No","Yes")))</f>
        <v/>
      </c>
      <c r="O437" s="14" t="n"/>
    </row>
    <row r="438">
      <c r="B438" s="15">
        <f>IF($D438="","","A"&amp;TEXT(ROW()-5,"000"))</f>
        <v/>
      </c>
      <c r="C438" s="16" t="n"/>
      <c r="D438" s="14" t="n"/>
      <c r="E438" s="15">
        <f>IF($D438="","",IFERROR(INDEX(rngCadetPIDs,MATCH($D438,rngCadetNames,0)),"?"))</f>
        <v/>
      </c>
      <c r="F438" s="15">
        <f>IF($E438="","",IFERROR(INDEX(nrCadetAgency,MATCH($E438,rngCadetPIDs,0)),""))</f>
        <v/>
      </c>
      <c r="G438" s="14" t="n"/>
      <c r="H438" s="14" t="n"/>
      <c r="I438" s="14" t="n"/>
      <c r="J438" s="14" t="n"/>
      <c r="K438" s="15">
        <f>IF($G438="","",IF(OR($G438="PT Missed",$G438="PT Modified",$G438="PT Refused"),"Yes","No"))</f>
        <v/>
      </c>
      <c r="L438" s="14" t="n"/>
      <c r="M438" s="14" t="n"/>
      <c r="N438" s="15">
        <f>IF($D438="","",IF($M438="Excused","No",IF(AND($G438="PT Modified",$L438="Received"),"No","Yes")))</f>
        <v/>
      </c>
      <c r="O438" s="14" t="n"/>
    </row>
    <row r="439">
      <c r="B439" s="15">
        <f>IF($D439="","","A"&amp;TEXT(ROW()-5,"000"))</f>
        <v/>
      </c>
      <c r="C439" s="16" t="n"/>
      <c r="D439" s="14" t="n"/>
      <c r="E439" s="15">
        <f>IF($D439="","",IFERROR(INDEX(rngCadetPIDs,MATCH($D439,rngCadetNames,0)),"?"))</f>
        <v/>
      </c>
      <c r="F439" s="15">
        <f>IF($E439="","",IFERROR(INDEX(nrCadetAgency,MATCH($E439,rngCadetPIDs,0)),""))</f>
        <v/>
      </c>
      <c r="G439" s="14" t="n"/>
      <c r="H439" s="14" t="n"/>
      <c r="I439" s="14" t="n"/>
      <c r="J439" s="14" t="n"/>
      <c r="K439" s="15">
        <f>IF($G439="","",IF(OR($G439="PT Missed",$G439="PT Modified",$G439="PT Refused"),"Yes","No"))</f>
        <v/>
      </c>
      <c r="L439" s="14" t="n"/>
      <c r="M439" s="14" t="n"/>
      <c r="N439" s="15">
        <f>IF($D439="","",IF($M439="Excused","No",IF(AND($G439="PT Modified",$L439="Received"),"No","Yes")))</f>
        <v/>
      </c>
      <c r="O439" s="14" t="n"/>
    </row>
    <row r="440">
      <c r="B440" s="15">
        <f>IF($D440="","","A"&amp;TEXT(ROW()-5,"000"))</f>
        <v/>
      </c>
      <c r="C440" s="16" t="n"/>
      <c r="D440" s="14" t="n"/>
      <c r="E440" s="15">
        <f>IF($D440="","",IFERROR(INDEX(rngCadetPIDs,MATCH($D440,rngCadetNames,0)),"?"))</f>
        <v/>
      </c>
      <c r="F440" s="15">
        <f>IF($E440="","",IFERROR(INDEX(nrCadetAgency,MATCH($E440,rngCadetPIDs,0)),""))</f>
        <v/>
      </c>
      <c r="G440" s="14" t="n"/>
      <c r="H440" s="14" t="n"/>
      <c r="I440" s="14" t="n"/>
      <c r="J440" s="14" t="n"/>
      <c r="K440" s="15">
        <f>IF($G440="","",IF(OR($G440="PT Missed",$G440="PT Modified",$G440="PT Refused"),"Yes","No"))</f>
        <v/>
      </c>
      <c r="L440" s="14" t="n"/>
      <c r="M440" s="14" t="n"/>
      <c r="N440" s="15">
        <f>IF($D440="","",IF($M440="Excused","No",IF(AND($G440="PT Modified",$L440="Received"),"No","Yes")))</f>
        <v/>
      </c>
      <c r="O440" s="14" t="n"/>
    </row>
    <row r="441">
      <c r="B441" s="15">
        <f>IF($D441="","","A"&amp;TEXT(ROW()-5,"000"))</f>
        <v/>
      </c>
      <c r="C441" s="16" t="n"/>
      <c r="D441" s="14" t="n"/>
      <c r="E441" s="15">
        <f>IF($D441="","",IFERROR(INDEX(rngCadetPIDs,MATCH($D441,rngCadetNames,0)),"?"))</f>
        <v/>
      </c>
      <c r="F441" s="15">
        <f>IF($E441="","",IFERROR(INDEX(nrCadetAgency,MATCH($E441,rngCadetPIDs,0)),""))</f>
        <v/>
      </c>
      <c r="G441" s="14" t="n"/>
      <c r="H441" s="14" t="n"/>
      <c r="I441" s="14" t="n"/>
      <c r="J441" s="14" t="n"/>
      <c r="K441" s="15">
        <f>IF($G441="","",IF(OR($G441="PT Missed",$G441="PT Modified",$G441="PT Refused"),"Yes","No"))</f>
        <v/>
      </c>
      <c r="L441" s="14" t="n"/>
      <c r="M441" s="14" t="n"/>
      <c r="N441" s="15">
        <f>IF($D441="","",IF($M441="Excused","No",IF(AND($G441="PT Modified",$L441="Received"),"No","Yes")))</f>
        <v/>
      </c>
      <c r="O441" s="14" t="n"/>
    </row>
    <row r="442">
      <c r="B442" s="15">
        <f>IF($D442="","","A"&amp;TEXT(ROW()-5,"000"))</f>
        <v/>
      </c>
      <c r="C442" s="16" t="n"/>
      <c r="D442" s="14" t="n"/>
      <c r="E442" s="15">
        <f>IF($D442="","",IFERROR(INDEX(rngCadetPIDs,MATCH($D442,rngCadetNames,0)),"?"))</f>
        <v/>
      </c>
      <c r="F442" s="15">
        <f>IF($E442="","",IFERROR(INDEX(nrCadetAgency,MATCH($E442,rngCadetPIDs,0)),""))</f>
        <v/>
      </c>
      <c r="G442" s="14" t="n"/>
      <c r="H442" s="14" t="n"/>
      <c r="I442" s="14" t="n"/>
      <c r="J442" s="14" t="n"/>
      <c r="K442" s="15">
        <f>IF($G442="","",IF(OR($G442="PT Missed",$G442="PT Modified",$G442="PT Refused"),"Yes","No"))</f>
        <v/>
      </c>
      <c r="L442" s="14" t="n"/>
      <c r="M442" s="14" t="n"/>
      <c r="N442" s="15">
        <f>IF($D442="","",IF($M442="Excused","No",IF(AND($G442="PT Modified",$L442="Received"),"No","Yes")))</f>
        <v/>
      </c>
      <c r="O442" s="14" t="n"/>
    </row>
    <row r="443">
      <c r="B443" s="15">
        <f>IF($D443="","","A"&amp;TEXT(ROW()-5,"000"))</f>
        <v/>
      </c>
      <c r="C443" s="16" t="n"/>
      <c r="D443" s="14" t="n"/>
      <c r="E443" s="15">
        <f>IF($D443="","",IFERROR(INDEX(rngCadetPIDs,MATCH($D443,rngCadetNames,0)),"?"))</f>
        <v/>
      </c>
      <c r="F443" s="15">
        <f>IF($E443="","",IFERROR(INDEX(nrCadetAgency,MATCH($E443,rngCadetPIDs,0)),""))</f>
        <v/>
      </c>
      <c r="G443" s="14" t="n"/>
      <c r="H443" s="14" t="n"/>
      <c r="I443" s="14" t="n"/>
      <c r="J443" s="14" t="n"/>
      <c r="K443" s="15">
        <f>IF($G443="","",IF(OR($G443="PT Missed",$G443="PT Modified",$G443="PT Refused"),"Yes","No"))</f>
        <v/>
      </c>
      <c r="L443" s="14" t="n"/>
      <c r="M443" s="14" t="n"/>
      <c r="N443" s="15">
        <f>IF($D443="","",IF($M443="Excused","No",IF(AND($G443="PT Modified",$L443="Received"),"No","Yes")))</f>
        <v/>
      </c>
      <c r="O443" s="14" t="n"/>
    </row>
    <row r="444">
      <c r="B444" s="15">
        <f>IF($D444="","","A"&amp;TEXT(ROW()-5,"000"))</f>
        <v/>
      </c>
      <c r="C444" s="16" t="n"/>
      <c r="D444" s="14" t="n"/>
      <c r="E444" s="15">
        <f>IF($D444="","",IFERROR(INDEX(rngCadetPIDs,MATCH($D444,rngCadetNames,0)),"?"))</f>
        <v/>
      </c>
      <c r="F444" s="15">
        <f>IF($E444="","",IFERROR(INDEX(nrCadetAgency,MATCH($E444,rngCadetPIDs,0)),""))</f>
        <v/>
      </c>
      <c r="G444" s="14" t="n"/>
      <c r="H444" s="14" t="n"/>
      <c r="I444" s="14" t="n"/>
      <c r="J444" s="14" t="n"/>
      <c r="K444" s="15">
        <f>IF($G444="","",IF(OR($G444="PT Missed",$G444="PT Modified",$G444="PT Refused"),"Yes","No"))</f>
        <v/>
      </c>
      <c r="L444" s="14" t="n"/>
      <c r="M444" s="14" t="n"/>
      <c r="N444" s="15">
        <f>IF($D444="","",IF($M444="Excused","No",IF(AND($G444="PT Modified",$L444="Received"),"No","Yes")))</f>
        <v/>
      </c>
      <c r="O444" s="14" t="n"/>
    </row>
    <row r="445">
      <c r="B445" s="15">
        <f>IF($D445="","","A"&amp;TEXT(ROW()-5,"000"))</f>
        <v/>
      </c>
      <c r="C445" s="16" t="n"/>
      <c r="D445" s="14" t="n"/>
      <c r="E445" s="15">
        <f>IF($D445="","",IFERROR(INDEX(rngCadetPIDs,MATCH($D445,rngCadetNames,0)),"?"))</f>
        <v/>
      </c>
      <c r="F445" s="15">
        <f>IF($E445="","",IFERROR(INDEX(nrCadetAgency,MATCH($E445,rngCadetPIDs,0)),""))</f>
        <v/>
      </c>
      <c r="G445" s="14" t="n"/>
      <c r="H445" s="14" t="n"/>
      <c r="I445" s="14" t="n"/>
      <c r="J445" s="14" t="n"/>
      <c r="K445" s="15">
        <f>IF($G445="","",IF(OR($G445="PT Missed",$G445="PT Modified",$G445="PT Refused"),"Yes","No"))</f>
        <v/>
      </c>
      <c r="L445" s="14" t="n"/>
      <c r="M445" s="14" t="n"/>
      <c r="N445" s="15">
        <f>IF($D445="","",IF($M445="Excused","No",IF(AND($G445="PT Modified",$L445="Received"),"No","Yes")))</f>
        <v/>
      </c>
      <c r="O445" s="14" t="n"/>
    </row>
    <row r="446">
      <c r="B446" s="15">
        <f>IF($D446="","","A"&amp;TEXT(ROW()-5,"000"))</f>
        <v/>
      </c>
      <c r="C446" s="16" t="n"/>
      <c r="D446" s="14" t="n"/>
      <c r="E446" s="15">
        <f>IF($D446="","",IFERROR(INDEX(rngCadetPIDs,MATCH($D446,rngCadetNames,0)),"?"))</f>
        <v/>
      </c>
      <c r="F446" s="15">
        <f>IF($E446="","",IFERROR(INDEX(nrCadetAgency,MATCH($E446,rngCadetPIDs,0)),""))</f>
        <v/>
      </c>
      <c r="G446" s="14" t="n"/>
      <c r="H446" s="14" t="n"/>
      <c r="I446" s="14" t="n"/>
      <c r="J446" s="14" t="n"/>
      <c r="K446" s="15">
        <f>IF($G446="","",IF(OR($G446="PT Missed",$G446="PT Modified",$G446="PT Refused"),"Yes","No"))</f>
        <v/>
      </c>
      <c r="L446" s="14" t="n"/>
      <c r="M446" s="14" t="n"/>
      <c r="N446" s="15">
        <f>IF($D446="","",IF($M446="Excused","No",IF(AND($G446="PT Modified",$L446="Received"),"No","Yes")))</f>
        <v/>
      </c>
      <c r="O446" s="14" t="n"/>
    </row>
    <row r="447">
      <c r="B447" s="15">
        <f>IF($D447="","","A"&amp;TEXT(ROW()-5,"000"))</f>
        <v/>
      </c>
      <c r="C447" s="16" t="n"/>
      <c r="D447" s="14" t="n"/>
      <c r="E447" s="15">
        <f>IF($D447="","",IFERROR(INDEX(rngCadetPIDs,MATCH($D447,rngCadetNames,0)),"?"))</f>
        <v/>
      </c>
      <c r="F447" s="15">
        <f>IF($E447="","",IFERROR(INDEX(nrCadetAgency,MATCH($E447,rngCadetPIDs,0)),""))</f>
        <v/>
      </c>
      <c r="G447" s="14" t="n"/>
      <c r="H447" s="14" t="n"/>
      <c r="I447" s="14" t="n"/>
      <c r="J447" s="14" t="n"/>
      <c r="K447" s="15">
        <f>IF($G447="","",IF(OR($G447="PT Missed",$G447="PT Modified",$G447="PT Refused"),"Yes","No"))</f>
        <v/>
      </c>
      <c r="L447" s="14" t="n"/>
      <c r="M447" s="14" t="n"/>
      <c r="N447" s="15">
        <f>IF($D447="","",IF($M447="Excused","No",IF(AND($G447="PT Modified",$L447="Received"),"No","Yes")))</f>
        <v/>
      </c>
      <c r="O447" s="14" t="n"/>
    </row>
    <row r="448">
      <c r="B448" s="15">
        <f>IF($D448="","","A"&amp;TEXT(ROW()-5,"000"))</f>
        <v/>
      </c>
      <c r="C448" s="16" t="n"/>
      <c r="D448" s="14" t="n"/>
      <c r="E448" s="15">
        <f>IF($D448="","",IFERROR(INDEX(rngCadetPIDs,MATCH($D448,rngCadetNames,0)),"?"))</f>
        <v/>
      </c>
      <c r="F448" s="15">
        <f>IF($E448="","",IFERROR(INDEX(nrCadetAgency,MATCH($E448,rngCadetPIDs,0)),""))</f>
        <v/>
      </c>
      <c r="G448" s="14" t="n"/>
      <c r="H448" s="14" t="n"/>
      <c r="I448" s="14" t="n"/>
      <c r="J448" s="14" t="n"/>
      <c r="K448" s="15">
        <f>IF($G448="","",IF(OR($G448="PT Missed",$G448="PT Modified",$G448="PT Refused"),"Yes","No"))</f>
        <v/>
      </c>
      <c r="L448" s="14" t="n"/>
      <c r="M448" s="14" t="n"/>
      <c r="N448" s="15">
        <f>IF($D448="","",IF($M448="Excused","No",IF(AND($G448="PT Modified",$L448="Received"),"No","Yes")))</f>
        <v/>
      </c>
      <c r="O448" s="14" t="n"/>
    </row>
    <row r="449">
      <c r="B449" s="15">
        <f>IF($D449="","","A"&amp;TEXT(ROW()-5,"000"))</f>
        <v/>
      </c>
      <c r="C449" s="16" t="n"/>
      <c r="D449" s="14" t="n"/>
      <c r="E449" s="15">
        <f>IF($D449="","",IFERROR(INDEX(rngCadetPIDs,MATCH($D449,rngCadetNames,0)),"?"))</f>
        <v/>
      </c>
      <c r="F449" s="15">
        <f>IF($E449="","",IFERROR(INDEX(nrCadetAgency,MATCH($E449,rngCadetPIDs,0)),""))</f>
        <v/>
      </c>
      <c r="G449" s="14" t="n"/>
      <c r="H449" s="14" t="n"/>
      <c r="I449" s="14" t="n"/>
      <c r="J449" s="14" t="n"/>
      <c r="K449" s="15">
        <f>IF($G449="","",IF(OR($G449="PT Missed",$G449="PT Modified",$G449="PT Refused"),"Yes","No"))</f>
        <v/>
      </c>
      <c r="L449" s="14" t="n"/>
      <c r="M449" s="14" t="n"/>
      <c r="N449" s="15">
        <f>IF($D449="","",IF($M449="Excused","No",IF(AND($G449="PT Modified",$L449="Received"),"No","Yes")))</f>
        <v/>
      </c>
      <c r="O449" s="14" t="n"/>
    </row>
    <row r="450">
      <c r="B450" s="15">
        <f>IF($D450="","","A"&amp;TEXT(ROW()-5,"000"))</f>
        <v/>
      </c>
      <c r="C450" s="16" t="n"/>
      <c r="D450" s="14" t="n"/>
      <c r="E450" s="15">
        <f>IF($D450="","",IFERROR(INDEX(rngCadetPIDs,MATCH($D450,rngCadetNames,0)),"?"))</f>
        <v/>
      </c>
      <c r="F450" s="15">
        <f>IF($E450="","",IFERROR(INDEX(nrCadetAgency,MATCH($E450,rngCadetPIDs,0)),""))</f>
        <v/>
      </c>
      <c r="G450" s="14" t="n"/>
      <c r="H450" s="14" t="n"/>
      <c r="I450" s="14" t="n"/>
      <c r="J450" s="14" t="n"/>
      <c r="K450" s="15">
        <f>IF($G450="","",IF(OR($G450="PT Missed",$G450="PT Modified",$G450="PT Refused"),"Yes","No"))</f>
        <v/>
      </c>
      <c r="L450" s="14" t="n"/>
      <c r="M450" s="14" t="n"/>
      <c r="N450" s="15">
        <f>IF($D450="","",IF($M450="Excused","No",IF(AND($G450="PT Modified",$L450="Received"),"No","Yes")))</f>
        <v/>
      </c>
      <c r="O450" s="14" t="n"/>
    </row>
    <row r="451">
      <c r="B451" s="15">
        <f>IF($D451="","","A"&amp;TEXT(ROW()-5,"000"))</f>
        <v/>
      </c>
      <c r="C451" s="16" t="n"/>
      <c r="D451" s="14" t="n"/>
      <c r="E451" s="15">
        <f>IF($D451="","",IFERROR(INDEX(rngCadetPIDs,MATCH($D451,rngCadetNames,0)),"?"))</f>
        <v/>
      </c>
      <c r="F451" s="15">
        <f>IF($E451="","",IFERROR(INDEX(nrCadetAgency,MATCH($E451,rngCadetPIDs,0)),""))</f>
        <v/>
      </c>
      <c r="G451" s="14" t="n"/>
      <c r="H451" s="14" t="n"/>
      <c r="I451" s="14" t="n"/>
      <c r="J451" s="14" t="n"/>
      <c r="K451" s="15">
        <f>IF($G451="","",IF(OR($G451="PT Missed",$G451="PT Modified",$G451="PT Refused"),"Yes","No"))</f>
        <v/>
      </c>
      <c r="L451" s="14" t="n"/>
      <c r="M451" s="14" t="n"/>
      <c r="N451" s="15">
        <f>IF($D451="","",IF($M451="Excused","No",IF(AND($G451="PT Modified",$L451="Received"),"No","Yes")))</f>
        <v/>
      </c>
      <c r="O451" s="14" t="n"/>
    </row>
    <row r="452">
      <c r="B452" s="15">
        <f>IF($D452="","","A"&amp;TEXT(ROW()-5,"000"))</f>
        <v/>
      </c>
      <c r="C452" s="16" t="n"/>
      <c r="D452" s="14" t="n"/>
      <c r="E452" s="15">
        <f>IF($D452="","",IFERROR(INDEX(rngCadetPIDs,MATCH($D452,rngCadetNames,0)),"?"))</f>
        <v/>
      </c>
      <c r="F452" s="15">
        <f>IF($E452="","",IFERROR(INDEX(nrCadetAgency,MATCH($E452,rngCadetPIDs,0)),""))</f>
        <v/>
      </c>
      <c r="G452" s="14" t="n"/>
      <c r="H452" s="14" t="n"/>
      <c r="I452" s="14" t="n"/>
      <c r="J452" s="14" t="n"/>
      <c r="K452" s="15">
        <f>IF($G452="","",IF(OR($G452="PT Missed",$G452="PT Modified",$G452="PT Refused"),"Yes","No"))</f>
        <v/>
      </c>
      <c r="L452" s="14" t="n"/>
      <c r="M452" s="14" t="n"/>
      <c r="N452" s="15">
        <f>IF($D452="","",IF($M452="Excused","No",IF(AND($G452="PT Modified",$L452="Received"),"No","Yes")))</f>
        <v/>
      </c>
      <c r="O452" s="14" t="n"/>
    </row>
    <row r="453">
      <c r="B453" s="15">
        <f>IF($D453="","","A"&amp;TEXT(ROW()-5,"000"))</f>
        <v/>
      </c>
      <c r="C453" s="16" t="n"/>
      <c r="D453" s="14" t="n"/>
      <c r="E453" s="15">
        <f>IF($D453="","",IFERROR(INDEX(rngCadetPIDs,MATCH($D453,rngCadetNames,0)),"?"))</f>
        <v/>
      </c>
      <c r="F453" s="15">
        <f>IF($E453="","",IFERROR(INDEX(nrCadetAgency,MATCH($E453,rngCadetPIDs,0)),""))</f>
        <v/>
      </c>
      <c r="G453" s="14" t="n"/>
      <c r="H453" s="14" t="n"/>
      <c r="I453" s="14" t="n"/>
      <c r="J453" s="14" t="n"/>
      <c r="K453" s="15">
        <f>IF($G453="","",IF(OR($G453="PT Missed",$G453="PT Modified",$G453="PT Refused"),"Yes","No"))</f>
        <v/>
      </c>
      <c r="L453" s="14" t="n"/>
      <c r="M453" s="14" t="n"/>
      <c r="N453" s="15">
        <f>IF($D453="","",IF($M453="Excused","No",IF(AND($G453="PT Modified",$L453="Received"),"No","Yes")))</f>
        <v/>
      </c>
      <c r="O453" s="14" t="n"/>
    </row>
    <row r="454">
      <c r="B454" s="15">
        <f>IF($D454="","","A"&amp;TEXT(ROW()-5,"000"))</f>
        <v/>
      </c>
      <c r="C454" s="16" t="n"/>
      <c r="D454" s="14" t="n"/>
      <c r="E454" s="15">
        <f>IF($D454="","",IFERROR(INDEX(rngCadetPIDs,MATCH($D454,rngCadetNames,0)),"?"))</f>
        <v/>
      </c>
      <c r="F454" s="15">
        <f>IF($E454="","",IFERROR(INDEX(nrCadetAgency,MATCH($E454,rngCadetPIDs,0)),""))</f>
        <v/>
      </c>
      <c r="G454" s="14" t="n"/>
      <c r="H454" s="14" t="n"/>
      <c r="I454" s="14" t="n"/>
      <c r="J454" s="14" t="n"/>
      <c r="K454" s="15">
        <f>IF($G454="","",IF(OR($G454="PT Missed",$G454="PT Modified",$G454="PT Refused"),"Yes","No"))</f>
        <v/>
      </c>
      <c r="L454" s="14" t="n"/>
      <c r="M454" s="14" t="n"/>
      <c r="N454" s="15">
        <f>IF($D454="","",IF($M454="Excused","No",IF(AND($G454="PT Modified",$L454="Received"),"No","Yes")))</f>
        <v/>
      </c>
      <c r="O454" s="14" t="n"/>
    </row>
    <row r="455">
      <c r="B455" s="15">
        <f>IF($D455="","","A"&amp;TEXT(ROW()-5,"000"))</f>
        <v/>
      </c>
      <c r="C455" s="16" t="n"/>
      <c r="D455" s="14" t="n"/>
      <c r="E455" s="15">
        <f>IF($D455="","",IFERROR(INDEX(rngCadetPIDs,MATCH($D455,rngCadetNames,0)),"?"))</f>
        <v/>
      </c>
      <c r="F455" s="15">
        <f>IF($E455="","",IFERROR(INDEX(nrCadetAgency,MATCH($E455,rngCadetPIDs,0)),""))</f>
        <v/>
      </c>
      <c r="G455" s="14" t="n"/>
      <c r="H455" s="14" t="n"/>
      <c r="I455" s="14" t="n"/>
      <c r="J455" s="14" t="n"/>
      <c r="K455" s="15">
        <f>IF($G455="","",IF(OR($G455="PT Missed",$G455="PT Modified",$G455="PT Refused"),"Yes","No"))</f>
        <v/>
      </c>
      <c r="L455" s="14" t="n"/>
      <c r="M455" s="14" t="n"/>
      <c r="N455" s="15">
        <f>IF($D455="","",IF($M455="Excused","No",IF(AND($G455="PT Modified",$L455="Received"),"No","Yes")))</f>
        <v/>
      </c>
      <c r="O455" s="14" t="n"/>
    </row>
    <row r="456">
      <c r="B456" s="15">
        <f>IF($D456="","","A"&amp;TEXT(ROW()-5,"000"))</f>
        <v/>
      </c>
      <c r="C456" s="16" t="n"/>
      <c r="D456" s="14" t="n"/>
      <c r="E456" s="15">
        <f>IF($D456="","",IFERROR(INDEX(rngCadetPIDs,MATCH($D456,rngCadetNames,0)),"?"))</f>
        <v/>
      </c>
      <c r="F456" s="15">
        <f>IF($E456="","",IFERROR(INDEX(nrCadetAgency,MATCH($E456,rngCadetPIDs,0)),""))</f>
        <v/>
      </c>
      <c r="G456" s="14" t="n"/>
      <c r="H456" s="14" t="n"/>
      <c r="I456" s="14" t="n"/>
      <c r="J456" s="14" t="n"/>
      <c r="K456" s="15">
        <f>IF($G456="","",IF(OR($G456="PT Missed",$G456="PT Modified",$G456="PT Refused"),"Yes","No"))</f>
        <v/>
      </c>
      <c r="L456" s="14" t="n"/>
      <c r="M456" s="14" t="n"/>
      <c r="N456" s="15">
        <f>IF($D456="","",IF($M456="Excused","No",IF(AND($G456="PT Modified",$L456="Received"),"No","Yes")))</f>
        <v/>
      </c>
      <c r="O456" s="14" t="n"/>
    </row>
    <row r="457">
      <c r="B457" s="15">
        <f>IF($D457="","","A"&amp;TEXT(ROW()-5,"000"))</f>
        <v/>
      </c>
      <c r="C457" s="16" t="n"/>
      <c r="D457" s="14" t="n"/>
      <c r="E457" s="15">
        <f>IF($D457="","",IFERROR(INDEX(rngCadetPIDs,MATCH($D457,rngCadetNames,0)),"?"))</f>
        <v/>
      </c>
      <c r="F457" s="15">
        <f>IF($E457="","",IFERROR(INDEX(nrCadetAgency,MATCH($E457,rngCadetPIDs,0)),""))</f>
        <v/>
      </c>
      <c r="G457" s="14" t="n"/>
      <c r="H457" s="14" t="n"/>
      <c r="I457" s="14" t="n"/>
      <c r="J457" s="14" t="n"/>
      <c r="K457" s="15">
        <f>IF($G457="","",IF(OR($G457="PT Missed",$G457="PT Modified",$G457="PT Refused"),"Yes","No"))</f>
        <v/>
      </c>
      <c r="L457" s="14" t="n"/>
      <c r="M457" s="14" t="n"/>
      <c r="N457" s="15">
        <f>IF($D457="","",IF($M457="Excused","No",IF(AND($G457="PT Modified",$L457="Received"),"No","Yes")))</f>
        <v/>
      </c>
      <c r="O457" s="14" t="n"/>
    </row>
    <row r="458">
      <c r="B458" s="15">
        <f>IF($D458="","","A"&amp;TEXT(ROW()-5,"000"))</f>
        <v/>
      </c>
      <c r="C458" s="16" t="n"/>
      <c r="D458" s="14" t="n"/>
      <c r="E458" s="15">
        <f>IF($D458="","",IFERROR(INDEX(rngCadetPIDs,MATCH($D458,rngCadetNames,0)),"?"))</f>
        <v/>
      </c>
      <c r="F458" s="15">
        <f>IF($E458="","",IFERROR(INDEX(nrCadetAgency,MATCH($E458,rngCadetPIDs,0)),""))</f>
        <v/>
      </c>
      <c r="G458" s="14" t="n"/>
      <c r="H458" s="14" t="n"/>
      <c r="I458" s="14" t="n"/>
      <c r="J458" s="14" t="n"/>
      <c r="K458" s="15">
        <f>IF($G458="","",IF(OR($G458="PT Missed",$G458="PT Modified",$G458="PT Refused"),"Yes","No"))</f>
        <v/>
      </c>
      <c r="L458" s="14" t="n"/>
      <c r="M458" s="14" t="n"/>
      <c r="N458" s="15">
        <f>IF($D458="","",IF($M458="Excused","No",IF(AND($G458="PT Modified",$L458="Received"),"No","Yes")))</f>
        <v/>
      </c>
      <c r="O458" s="14" t="n"/>
    </row>
    <row r="459">
      <c r="B459" s="15">
        <f>IF($D459="","","A"&amp;TEXT(ROW()-5,"000"))</f>
        <v/>
      </c>
      <c r="C459" s="16" t="n"/>
      <c r="D459" s="14" t="n"/>
      <c r="E459" s="15">
        <f>IF($D459="","",IFERROR(INDEX(rngCadetPIDs,MATCH($D459,rngCadetNames,0)),"?"))</f>
        <v/>
      </c>
      <c r="F459" s="15">
        <f>IF($E459="","",IFERROR(INDEX(nrCadetAgency,MATCH($E459,rngCadetPIDs,0)),""))</f>
        <v/>
      </c>
      <c r="G459" s="14" t="n"/>
      <c r="H459" s="14" t="n"/>
      <c r="I459" s="14" t="n"/>
      <c r="J459" s="14" t="n"/>
      <c r="K459" s="15">
        <f>IF($G459="","",IF(OR($G459="PT Missed",$G459="PT Modified",$G459="PT Refused"),"Yes","No"))</f>
        <v/>
      </c>
      <c r="L459" s="14" t="n"/>
      <c r="M459" s="14" t="n"/>
      <c r="N459" s="15">
        <f>IF($D459="","",IF($M459="Excused","No",IF(AND($G459="PT Modified",$L459="Received"),"No","Yes")))</f>
        <v/>
      </c>
      <c r="O459" s="14" t="n"/>
    </row>
    <row r="460">
      <c r="B460" s="15">
        <f>IF($D460="","","A"&amp;TEXT(ROW()-5,"000"))</f>
        <v/>
      </c>
      <c r="C460" s="16" t="n"/>
      <c r="D460" s="14" t="n"/>
      <c r="E460" s="15">
        <f>IF($D460="","",IFERROR(INDEX(rngCadetPIDs,MATCH($D460,rngCadetNames,0)),"?"))</f>
        <v/>
      </c>
      <c r="F460" s="15">
        <f>IF($E460="","",IFERROR(INDEX(nrCadetAgency,MATCH($E460,rngCadetPIDs,0)),""))</f>
        <v/>
      </c>
      <c r="G460" s="14" t="n"/>
      <c r="H460" s="14" t="n"/>
      <c r="I460" s="14" t="n"/>
      <c r="J460" s="14" t="n"/>
      <c r="K460" s="15">
        <f>IF($G460="","",IF(OR($G460="PT Missed",$G460="PT Modified",$G460="PT Refused"),"Yes","No"))</f>
        <v/>
      </c>
      <c r="L460" s="14" t="n"/>
      <c r="M460" s="14" t="n"/>
      <c r="N460" s="15">
        <f>IF($D460="","",IF($M460="Excused","No",IF(AND($G460="PT Modified",$L460="Received"),"No","Yes")))</f>
        <v/>
      </c>
      <c r="O460" s="14" t="n"/>
    </row>
    <row r="461">
      <c r="B461" s="15">
        <f>IF($D461="","","A"&amp;TEXT(ROW()-5,"000"))</f>
        <v/>
      </c>
      <c r="C461" s="16" t="n"/>
      <c r="D461" s="14" t="n"/>
      <c r="E461" s="15">
        <f>IF($D461="","",IFERROR(INDEX(rngCadetPIDs,MATCH($D461,rngCadetNames,0)),"?"))</f>
        <v/>
      </c>
      <c r="F461" s="15">
        <f>IF($E461="","",IFERROR(INDEX(nrCadetAgency,MATCH($E461,rngCadetPIDs,0)),""))</f>
        <v/>
      </c>
      <c r="G461" s="14" t="n"/>
      <c r="H461" s="14" t="n"/>
      <c r="I461" s="14" t="n"/>
      <c r="J461" s="14" t="n"/>
      <c r="K461" s="15">
        <f>IF($G461="","",IF(OR($G461="PT Missed",$G461="PT Modified",$G461="PT Refused"),"Yes","No"))</f>
        <v/>
      </c>
      <c r="L461" s="14" t="n"/>
      <c r="M461" s="14" t="n"/>
      <c r="N461" s="15">
        <f>IF($D461="","",IF($M461="Excused","No",IF(AND($G461="PT Modified",$L461="Received"),"No","Yes")))</f>
        <v/>
      </c>
      <c r="O461" s="14" t="n"/>
    </row>
    <row r="462">
      <c r="B462" s="15">
        <f>IF($D462="","","A"&amp;TEXT(ROW()-5,"000"))</f>
        <v/>
      </c>
      <c r="C462" s="16" t="n"/>
      <c r="D462" s="14" t="n"/>
      <c r="E462" s="15">
        <f>IF($D462="","",IFERROR(INDEX(rngCadetPIDs,MATCH($D462,rngCadetNames,0)),"?"))</f>
        <v/>
      </c>
      <c r="F462" s="15">
        <f>IF($E462="","",IFERROR(INDEX(nrCadetAgency,MATCH($E462,rngCadetPIDs,0)),""))</f>
        <v/>
      </c>
      <c r="G462" s="14" t="n"/>
      <c r="H462" s="14" t="n"/>
      <c r="I462" s="14" t="n"/>
      <c r="J462" s="14" t="n"/>
      <c r="K462" s="15">
        <f>IF($G462="","",IF(OR($G462="PT Missed",$G462="PT Modified",$G462="PT Refused"),"Yes","No"))</f>
        <v/>
      </c>
      <c r="L462" s="14" t="n"/>
      <c r="M462" s="14" t="n"/>
      <c r="N462" s="15">
        <f>IF($D462="","",IF($M462="Excused","No",IF(AND($G462="PT Modified",$L462="Received"),"No","Yes")))</f>
        <v/>
      </c>
      <c r="O462" s="14" t="n"/>
    </row>
    <row r="463">
      <c r="B463" s="15">
        <f>IF($D463="","","A"&amp;TEXT(ROW()-5,"000"))</f>
        <v/>
      </c>
      <c r="C463" s="16" t="n"/>
      <c r="D463" s="14" t="n"/>
      <c r="E463" s="15">
        <f>IF($D463="","",IFERROR(INDEX(rngCadetPIDs,MATCH($D463,rngCadetNames,0)),"?"))</f>
        <v/>
      </c>
      <c r="F463" s="15">
        <f>IF($E463="","",IFERROR(INDEX(nrCadetAgency,MATCH($E463,rngCadetPIDs,0)),""))</f>
        <v/>
      </c>
      <c r="G463" s="14" t="n"/>
      <c r="H463" s="14" t="n"/>
      <c r="I463" s="14" t="n"/>
      <c r="J463" s="14" t="n"/>
      <c r="K463" s="15">
        <f>IF($G463="","",IF(OR($G463="PT Missed",$G463="PT Modified",$G463="PT Refused"),"Yes","No"))</f>
        <v/>
      </c>
      <c r="L463" s="14" t="n"/>
      <c r="M463" s="14" t="n"/>
      <c r="N463" s="15">
        <f>IF($D463="","",IF($M463="Excused","No",IF(AND($G463="PT Modified",$L463="Received"),"No","Yes")))</f>
        <v/>
      </c>
      <c r="O463" s="14" t="n"/>
    </row>
    <row r="464">
      <c r="B464" s="15">
        <f>IF($D464="","","A"&amp;TEXT(ROW()-5,"000"))</f>
        <v/>
      </c>
      <c r="C464" s="16" t="n"/>
      <c r="D464" s="14" t="n"/>
      <c r="E464" s="15">
        <f>IF($D464="","",IFERROR(INDEX(rngCadetPIDs,MATCH($D464,rngCadetNames,0)),"?"))</f>
        <v/>
      </c>
      <c r="F464" s="15">
        <f>IF($E464="","",IFERROR(INDEX(nrCadetAgency,MATCH($E464,rngCadetPIDs,0)),""))</f>
        <v/>
      </c>
      <c r="G464" s="14" t="n"/>
      <c r="H464" s="14" t="n"/>
      <c r="I464" s="14" t="n"/>
      <c r="J464" s="14" t="n"/>
      <c r="K464" s="15">
        <f>IF($G464="","",IF(OR($G464="PT Missed",$G464="PT Modified",$G464="PT Refused"),"Yes","No"))</f>
        <v/>
      </c>
      <c r="L464" s="14" t="n"/>
      <c r="M464" s="14" t="n"/>
      <c r="N464" s="15">
        <f>IF($D464="","",IF($M464="Excused","No",IF(AND($G464="PT Modified",$L464="Received"),"No","Yes")))</f>
        <v/>
      </c>
      <c r="O464" s="14" t="n"/>
    </row>
    <row r="465">
      <c r="B465" s="15">
        <f>IF($D465="","","A"&amp;TEXT(ROW()-5,"000"))</f>
        <v/>
      </c>
      <c r="C465" s="16" t="n"/>
      <c r="D465" s="14" t="n"/>
      <c r="E465" s="15">
        <f>IF($D465="","",IFERROR(INDEX(rngCadetPIDs,MATCH($D465,rngCadetNames,0)),"?"))</f>
        <v/>
      </c>
      <c r="F465" s="15">
        <f>IF($E465="","",IFERROR(INDEX(nrCadetAgency,MATCH($E465,rngCadetPIDs,0)),""))</f>
        <v/>
      </c>
      <c r="G465" s="14" t="n"/>
      <c r="H465" s="14" t="n"/>
      <c r="I465" s="14" t="n"/>
      <c r="J465" s="14" t="n"/>
      <c r="K465" s="15">
        <f>IF($G465="","",IF(OR($G465="PT Missed",$G465="PT Modified",$G465="PT Refused"),"Yes","No"))</f>
        <v/>
      </c>
      <c r="L465" s="14" t="n"/>
      <c r="M465" s="14" t="n"/>
      <c r="N465" s="15">
        <f>IF($D465="","",IF($M465="Excused","No",IF(AND($G465="PT Modified",$L465="Received"),"No","Yes")))</f>
        <v/>
      </c>
      <c r="O465" s="14" t="n"/>
    </row>
    <row r="466">
      <c r="B466" s="15">
        <f>IF($D466="","","A"&amp;TEXT(ROW()-5,"000"))</f>
        <v/>
      </c>
      <c r="C466" s="16" t="n"/>
      <c r="D466" s="14" t="n"/>
      <c r="E466" s="15">
        <f>IF($D466="","",IFERROR(INDEX(rngCadetPIDs,MATCH($D466,rngCadetNames,0)),"?"))</f>
        <v/>
      </c>
      <c r="F466" s="15">
        <f>IF($E466="","",IFERROR(INDEX(nrCadetAgency,MATCH($E466,rngCadetPIDs,0)),""))</f>
        <v/>
      </c>
      <c r="G466" s="14" t="n"/>
      <c r="H466" s="14" t="n"/>
      <c r="I466" s="14" t="n"/>
      <c r="J466" s="14" t="n"/>
      <c r="K466" s="15">
        <f>IF($G466="","",IF(OR($G466="PT Missed",$G466="PT Modified",$G466="PT Refused"),"Yes","No"))</f>
        <v/>
      </c>
      <c r="L466" s="14" t="n"/>
      <c r="M466" s="14" t="n"/>
      <c r="N466" s="15">
        <f>IF($D466="","",IF($M466="Excused","No",IF(AND($G466="PT Modified",$L466="Received"),"No","Yes")))</f>
        <v/>
      </c>
      <c r="O466" s="14" t="n"/>
    </row>
    <row r="467">
      <c r="B467" s="15">
        <f>IF($D467="","","A"&amp;TEXT(ROW()-5,"000"))</f>
        <v/>
      </c>
      <c r="C467" s="16" t="n"/>
      <c r="D467" s="14" t="n"/>
      <c r="E467" s="15">
        <f>IF($D467="","",IFERROR(INDEX(rngCadetPIDs,MATCH($D467,rngCadetNames,0)),"?"))</f>
        <v/>
      </c>
      <c r="F467" s="15">
        <f>IF($E467="","",IFERROR(INDEX(nrCadetAgency,MATCH($E467,rngCadetPIDs,0)),""))</f>
        <v/>
      </c>
      <c r="G467" s="14" t="n"/>
      <c r="H467" s="14" t="n"/>
      <c r="I467" s="14" t="n"/>
      <c r="J467" s="14" t="n"/>
      <c r="K467" s="15">
        <f>IF($G467="","",IF(OR($G467="PT Missed",$G467="PT Modified",$G467="PT Refused"),"Yes","No"))</f>
        <v/>
      </c>
      <c r="L467" s="14" t="n"/>
      <c r="M467" s="14" t="n"/>
      <c r="N467" s="15">
        <f>IF($D467="","",IF($M467="Excused","No",IF(AND($G467="PT Modified",$L467="Received"),"No","Yes")))</f>
        <v/>
      </c>
      <c r="O467" s="14" t="n"/>
    </row>
    <row r="468">
      <c r="B468" s="15">
        <f>IF($D468="","","A"&amp;TEXT(ROW()-5,"000"))</f>
        <v/>
      </c>
      <c r="C468" s="16" t="n"/>
      <c r="D468" s="14" t="n"/>
      <c r="E468" s="15">
        <f>IF($D468="","",IFERROR(INDEX(rngCadetPIDs,MATCH($D468,rngCadetNames,0)),"?"))</f>
        <v/>
      </c>
      <c r="F468" s="15">
        <f>IF($E468="","",IFERROR(INDEX(nrCadetAgency,MATCH($E468,rngCadetPIDs,0)),""))</f>
        <v/>
      </c>
      <c r="G468" s="14" t="n"/>
      <c r="H468" s="14" t="n"/>
      <c r="I468" s="14" t="n"/>
      <c r="J468" s="14" t="n"/>
      <c r="K468" s="15">
        <f>IF($G468="","",IF(OR($G468="PT Missed",$G468="PT Modified",$G468="PT Refused"),"Yes","No"))</f>
        <v/>
      </c>
      <c r="L468" s="14" t="n"/>
      <c r="M468" s="14" t="n"/>
      <c r="N468" s="15">
        <f>IF($D468="","",IF($M468="Excused","No",IF(AND($G468="PT Modified",$L468="Received"),"No","Yes")))</f>
        <v/>
      </c>
      <c r="O468" s="14" t="n"/>
    </row>
    <row r="469">
      <c r="B469" s="15">
        <f>IF($D469="","","A"&amp;TEXT(ROW()-5,"000"))</f>
        <v/>
      </c>
      <c r="C469" s="16" t="n"/>
      <c r="D469" s="14" t="n"/>
      <c r="E469" s="15">
        <f>IF($D469="","",IFERROR(INDEX(rngCadetPIDs,MATCH($D469,rngCadetNames,0)),"?"))</f>
        <v/>
      </c>
      <c r="F469" s="15">
        <f>IF($E469="","",IFERROR(INDEX(nrCadetAgency,MATCH($E469,rngCadetPIDs,0)),""))</f>
        <v/>
      </c>
      <c r="G469" s="14" t="n"/>
      <c r="H469" s="14" t="n"/>
      <c r="I469" s="14" t="n"/>
      <c r="J469" s="14" t="n"/>
      <c r="K469" s="15">
        <f>IF($G469="","",IF(OR($G469="PT Missed",$G469="PT Modified",$G469="PT Refused"),"Yes","No"))</f>
        <v/>
      </c>
      <c r="L469" s="14" t="n"/>
      <c r="M469" s="14" t="n"/>
      <c r="N469" s="15">
        <f>IF($D469="","",IF($M469="Excused","No",IF(AND($G469="PT Modified",$L469="Received"),"No","Yes")))</f>
        <v/>
      </c>
      <c r="O469" s="14" t="n"/>
    </row>
    <row r="470">
      <c r="B470" s="15">
        <f>IF($D470="","","A"&amp;TEXT(ROW()-5,"000"))</f>
        <v/>
      </c>
      <c r="C470" s="16" t="n"/>
      <c r="D470" s="14" t="n"/>
      <c r="E470" s="15">
        <f>IF($D470="","",IFERROR(INDEX(rngCadetPIDs,MATCH($D470,rngCadetNames,0)),"?"))</f>
        <v/>
      </c>
      <c r="F470" s="15">
        <f>IF($E470="","",IFERROR(INDEX(nrCadetAgency,MATCH($E470,rngCadetPIDs,0)),""))</f>
        <v/>
      </c>
      <c r="G470" s="14" t="n"/>
      <c r="H470" s="14" t="n"/>
      <c r="I470" s="14" t="n"/>
      <c r="J470" s="14" t="n"/>
      <c r="K470" s="15">
        <f>IF($G470="","",IF(OR($G470="PT Missed",$G470="PT Modified",$G470="PT Refused"),"Yes","No"))</f>
        <v/>
      </c>
      <c r="L470" s="14" t="n"/>
      <c r="M470" s="14" t="n"/>
      <c r="N470" s="15">
        <f>IF($D470="","",IF($M470="Excused","No",IF(AND($G470="PT Modified",$L470="Received"),"No","Yes")))</f>
        <v/>
      </c>
      <c r="O470" s="14" t="n"/>
    </row>
    <row r="471">
      <c r="B471" s="15">
        <f>IF($D471="","","A"&amp;TEXT(ROW()-5,"000"))</f>
        <v/>
      </c>
      <c r="C471" s="16" t="n"/>
      <c r="D471" s="14" t="n"/>
      <c r="E471" s="15">
        <f>IF($D471="","",IFERROR(INDEX(rngCadetPIDs,MATCH($D471,rngCadetNames,0)),"?"))</f>
        <v/>
      </c>
      <c r="F471" s="15">
        <f>IF($E471="","",IFERROR(INDEX(nrCadetAgency,MATCH($E471,rngCadetPIDs,0)),""))</f>
        <v/>
      </c>
      <c r="G471" s="14" t="n"/>
      <c r="H471" s="14" t="n"/>
      <c r="I471" s="14" t="n"/>
      <c r="J471" s="14" t="n"/>
      <c r="K471" s="15">
        <f>IF($G471="","",IF(OR($G471="PT Missed",$G471="PT Modified",$G471="PT Refused"),"Yes","No"))</f>
        <v/>
      </c>
      <c r="L471" s="14" t="n"/>
      <c r="M471" s="14" t="n"/>
      <c r="N471" s="15">
        <f>IF($D471="","",IF($M471="Excused","No",IF(AND($G471="PT Modified",$L471="Received"),"No","Yes")))</f>
        <v/>
      </c>
      <c r="O471" s="14" t="n"/>
    </row>
    <row r="472">
      <c r="B472" s="15">
        <f>IF($D472="","","A"&amp;TEXT(ROW()-5,"000"))</f>
        <v/>
      </c>
      <c r="C472" s="16" t="n"/>
      <c r="D472" s="14" t="n"/>
      <c r="E472" s="15">
        <f>IF($D472="","",IFERROR(INDEX(rngCadetPIDs,MATCH($D472,rngCadetNames,0)),"?"))</f>
        <v/>
      </c>
      <c r="F472" s="15">
        <f>IF($E472="","",IFERROR(INDEX(nrCadetAgency,MATCH($E472,rngCadetPIDs,0)),""))</f>
        <v/>
      </c>
      <c r="G472" s="14" t="n"/>
      <c r="H472" s="14" t="n"/>
      <c r="I472" s="14" t="n"/>
      <c r="J472" s="14" t="n"/>
      <c r="K472" s="15">
        <f>IF($G472="","",IF(OR($G472="PT Missed",$G472="PT Modified",$G472="PT Refused"),"Yes","No"))</f>
        <v/>
      </c>
      <c r="L472" s="14" t="n"/>
      <c r="M472" s="14" t="n"/>
      <c r="N472" s="15">
        <f>IF($D472="","",IF($M472="Excused","No",IF(AND($G472="PT Modified",$L472="Received"),"No","Yes")))</f>
        <v/>
      </c>
      <c r="O472" s="14" t="n"/>
    </row>
    <row r="473">
      <c r="B473" s="15">
        <f>IF($D473="","","A"&amp;TEXT(ROW()-5,"000"))</f>
        <v/>
      </c>
      <c r="C473" s="16" t="n"/>
      <c r="D473" s="14" t="n"/>
      <c r="E473" s="15">
        <f>IF($D473="","",IFERROR(INDEX(rngCadetPIDs,MATCH($D473,rngCadetNames,0)),"?"))</f>
        <v/>
      </c>
      <c r="F473" s="15">
        <f>IF($E473="","",IFERROR(INDEX(nrCadetAgency,MATCH($E473,rngCadetPIDs,0)),""))</f>
        <v/>
      </c>
      <c r="G473" s="14" t="n"/>
      <c r="H473" s="14" t="n"/>
      <c r="I473" s="14" t="n"/>
      <c r="J473" s="14" t="n"/>
      <c r="K473" s="15">
        <f>IF($G473="","",IF(OR($G473="PT Missed",$G473="PT Modified",$G473="PT Refused"),"Yes","No"))</f>
        <v/>
      </c>
      <c r="L473" s="14" t="n"/>
      <c r="M473" s="14" t="n"/>
      <c r="N473" s="15">
        <f>IF($D473="","",IF($M473="Excused","No",IF(AND($G473="PT Modified",$L473="Received"),"No","Yes")))</f>
        <v/>
      </c>
      <c r="O473" s="14" t="n"/>
    </row>
    <row r="474">
      <c r="B474" s="15">
        <f>IF($D474="","","A"&amp;TEXT(ROW()-5,"000"))</f>
        <v/>
      </c>
      <c r="C474" s="16" t="n"/>
      <c r="D474" s="14" t="n"/>
      <c r="E474" s="15">
        <f>IF($D474="","",IFERROR(INDEX(rngCadetPIDs,MATCH($D474,rngCadetNames,0)),"?"))</f>
        <v/>
      </c>
      <c r="F474" s="15">
        <f>IF($E474="","",IFERROR(INDEX(nrCadetAgency,MATCH($E474,rngCadetPIDs,0)),""))</f>
        <v/>
      </c>
      <c r="G474" s="14" t="n"/>
      <c r="H474" s="14" t="n"/>
      <c r="I474" s="14" t="n"/>
      <c r="J474" s="14" t="n"/>
      <c r="K474" s="15">
        <f>IF($G474="","",IF(OR($G474="PT Missed",$G474="PT Modified",$G474="PT Refused"),"Yes","No"))</f>
        <v/>
      </c>
      <c r="L474" s="14" t="n"/>
      <c r="M474" s="14" t="n"/>
      <c r="N474" s="15">
        <f>IF($D474="","",IF($M474="Excused","No",IF(AND($G474="PT Modified",$L474="Received"),"No","Yes")))</f>
        <v/>
      </c>
      <c r="O474" s="14" t="n"/>
    </row>
    <row r="475">
      <c r="B475" s="15">
        <f>IF($D475="","","A"&amp;TEXT(ROW()-5,"000"))</f>
        <v/>
      </c>
      <c r="C475" s="16" t="n"/>
      <c r="D475" s="14" t="n"/>
      <c r="E475" s="15">
        <f>IF($D475="","",IFERROR(INDEX(rngCadetPIDs,MATCH($D475,rngCadetNames,0)),"?"))</f>
        <v/>
      </c>
      <c r="F475" s="15">
        <f>IF($E475="","",IFERROR(INDEX(nrCadetAgency,MATCH($E475,rngCadetPIDs,0)),""))</f>
        <v/>
      </c>
      <c r="G475" s="14" t="n"/>
      <c r="H475" s="14" t="n"/>
      <c r="I475" s="14" t="n"/>
      <c r="J475" s="14" t="n"/>
      <c r="K475" s="15">
        <f>IF($G475="","",IF(OR($G475="PT Missed",$G475="PT Modified",$G475="PT Refused"),"Yes","No"))</f>
        <v/>
      </c>
      <c r="L475" s="14" t="n"/>
      <c r="M475" s="14" t="n"/>
      <c r="N475" s="15">
        <f>IF($D475="","",IF($M475="Excused","No",IF(AND($G475="PT Modified",$L475="Received"),"No","Yes")))</f>
        <v/>
      </c>
      <c r="O475" s="14" t="n"/>
    </row>
    <row r="476">
      <c r="B476" s="15">
        <f>IF($D476="","","A"&amp;TEXT(ROW()-5,"000"))</f>
        <v/>
      </c>
      <c r="C476" s="16" t="n"/>
      <c r="D476" s="14" t="n"/>
      <c r="E476" s="15">
        <f>IF($D476="","",IFERROR(INDEX(rngCadetPIDs,MATCH($D476,rngCadetNames,0)),"?"))</f>
        <v/>
      </c>
      <c r="F476" s="15">
        <f>IF($E476="","",IFERROR(INDEX(nrCadetAgency,MATCH($E476,rngCadetPIDs,0)),""))</f>
        <v/>
      </c>
      <c r="G476" s="14" t="n"/>
      <c r="H476" s="14" t="n"/>
      <c r="I476" s="14" t="n"/>
      <c r="J476" s="14" t="n"/>
      <c r="K476" s="15">
        <f>IF($G476="","",IF(OR($G476="PT Missed",$G476="PT Modified",$G476="PT Refused"),"Yes","No"))</f>
        <v/>
      </c>
      <c r="L476" s="14" t="n"/>
      <c r="M476" s="14" t="n"/>
      <c r="N476" s="15">
        <f>IF($D476="","",IF($M476="Excused","No",IF(AND($G476="PT Modified",$L476="Received"),"No","Yes")))</f>
        <v/>
      </c>
      <c r="O476" s="14" t="n"/>
    </row>
    <row r="477">
      <c r="B477" s="15">
        <f>IF($D477="","","A"&amp;TEXT(ROW()-5,"000"))</f>
        <v/>
      </c>
      <c r="C477" s="16" t="n"/>
      <c r="D477" s="14" t="n"/>
      <c r="E477" s="15">
        <f>IF($D477="","",IFERROR(INDEX(rngCadetPIDs,MATCH($D477,rngCadetNames,0)),"?"))</f>
        <v/>
      </c>
      <c r="F477" s="15">
        <f>IF($E477="","",IFERROR(INDEX(nrCadetAgency,MATCH($E477,rngCadetPIDs,0)),""))</f>
        <v/>
      </c>
      <c r="G477" s="14" t="n"/>
      <c r="H477" s="14" t="n"/>
      <c r="I477" s="14" t="n"/>
      <c r="J477" s="14" t="n"/>
      <c r="K477" s="15">
        <f>IF($G477="","",IF(OR($G477="PT Missed",$G477="PT Modified",$G477="PT Refused"),"Yes","No"))</f>
        <v/>
      </c>
      <c r="L477" s="14" t="n"/>
      <c r="M477" s="14" t="n"/>
      <c r="N477" s="15">
        <f>IF($D477="","",IF($M477="Excused","No",IF(AND($G477="PT Modified",$L477="Received"),"No","Yes")))</f>
        <v/>
      </c>
      <c r="O477" s="14" t="n"/>
    </row>
    <row r="478">
      <c r="B478" s="15">
        <f>IF($D478="","","A"&amp;TEXT(ROW()-5,"000"))</f>
        <v/>
      </c>
      <c r="C478" s="16" t="n"/>
      <c r="D478" s="14" t="n"/>
      <c r="E478" s="15">
        <f>IF($D478="","",IFERROR(INDEX(rngCadetPIDs,MATCH($D478,rngCadetNames,0)),"?"))</f>
        <v/>
      </c>
      <c r="F478" s="15">
        <f>IF($E478="","",IFERROR(INDEX(nrCadetAgency,MATCH($E478,rngCadetPIDs,0)),""))</f>
        <v/>
      </c>
      <c r="G478" s="14" t="n"/>
      <c r="H478" s="14" t="n"/>
      <c r="I478" s="14" t="n"/>
      <c r="J478" s="14" t="n"/>
      <c r="K478" s="15">
        <f>IF($G478="","",IF(OR($G478="PT Missed",$G478="PT Modified",$G478="PT Refused"),"Yes","No"))</f>
        <v/>
      </c>
      <c r="L478" s="14" t="n"/>
      <c r="M478" s="14" t="n"/>
      <c r="N478" s="15">
        <f>IF($D478="","",IF($M478="Excused","No",IF(AND($G478="PT Modified",$L478="Received"),"No","Yes")))</f>
        <v/>
      </c>
      <c r="O478" s="14" t="n"/>
    </row>
    <row r="479">
      <c r="B479" s="15">
        <f>IF($D479="","","A"&amp;TEXT(ROW()-5,"000"))</f>
        <v/>
      </c>
      <c r="C479" s="16" t="n"/>
      <c r="D479" s="14" t="n"/>
      <c r="E479" s="15">
        <f>IF($D479="","",IFERROR(INDEX(rngCadetPIDs,MATCH($D479,rngCadetNames,0)),"?"))</f>
        <v/>
      </c>
      <c r="F479" s="15">
        <f>IF($E479="","",IFERROR(INDEX(nrCadetAgency,MATCH($E479,rngCadetPIDs,0)),""))</f>
        <v/>
      </c>
      <c r="G479" s="14" t="n"/>
      <c r="H479" s="14" t="n"/>
      <c r="I479" s="14" t="n"/>
      <c r="J479" s="14" t="n"/>
      <c r="K479" s="15">
        <f>IF($G479="","",IF(OR($G479="PT Missed",$G479="PT Modified",$G479="PT Refused"),"Yes","No"))</f>
        <v/>
      </c>
      <c r="L479" s="14" t="n"/>
      <c r="M479" s="14" t="n"/>
      <c r="N479" s="15">
        <f>IF($D479="","",IF($M479="Excused","No",IF(AND($G479="PT Modified",$L479="Received"),"No","Yes")))</f>
        <v/>
      </c>
      <c r="O479" s="14" t="n"/>
    </row>
    <row r="480">
      <c r="B480" s="15">
        <f>IF($D480="","","A"&amp;TEXT(ROW()-5,"000"))</f>
        <v/>
      </c>
      <c r="C480" s="16" t="n"/>
      <c r="D480" s="14" t="n"/>
      <c r="E480" s="15">
        <f>IF($D480="","",IFERROR(INDEX(rngCadetPIDs,MATCH($D480,rngCadetNames,0)),"?"))</f>
        <v/>
      </c>
      <c r="F480" s="15">
        <f>IF($E480="","",IFERROR(INDEX(nrCadetAgency,MATCH($E480,rngCadetPIDs,0)),""))</f>
        <v/>
      </c>
      <c r="G480" s="14" t="n"/>
      <c r="H480" s="14" t="n"/>
      <c r="I480" s="14" t="n"/>
      <c r="J480" s="14" t="n"/>
      <c r="K480" s="15">
        <f>IF($G480="","",IF(OR($G480="PT Missed",$G480="PT Modified",$G480="PT Refused"),"Yes","No"))</f>
        <v/>
      </c>
      <c r="L480" s="14" t="n"/>
      <c r="M480" s="14" t="n"/>
      <c r="N480" s="15">
        <f>IF($D480="","",IF($M480="Excused","No",IF(AND($G480="PT Modified",$L480="Received"),"No","Yes")))</f>
        <v/>
      </c>
      <c r="O480" s="14" t="n"/>
    </row>
    <row r="481">
      <c r="B481" s="15">
        <f>IF($D481="","","A"&amp;TEXT(ROW()-5,"000"))</f>
        <v/>
      </c>
      <c r="C481" s="16" t="n"/>
      <c r="D481" s="14" t="n"/>
      <c r="E481" s="15">
        <f>IF($D481="","",IFERROR(INDEX(rngCadetPIDs,MATCH($D481,rngCadetNames,0)),"?"))</f>
        <v/>
      </c>
      <c r="F481" s="15">
        <f>IF($E481="","",IFERROR(INDEX(nrCadetAgency,MATCH($E481,rngCadetPIDs,0)),""))</f>
        <v/>
      </c>
      <c r="G481" s="14" t="n"/>
      <c r="H481" s="14" t="n"/>
      <c r="I481" s="14" t="n"/>
      <c r="J481" s="14" t="n"/>
      <c r="K481" s="15">
        <f>IF($G481="","",IF(OR($G481="PT Missed",$G481="PT Modified",$G481="PT Refused"),"Yes","No"))</f>
        <v/>
      </c>
      <c r="L481" s="14" t="n"/>
      <c r="M481" s="14" t="n"/>
      <c r="N481" s="15">
        <f>IF($D481="","",IF($M481="Excused","No",IF(AND($G481="PT Modified",$L481="Received"),"No","Yes")))</f>
        <v/>
      </c>
      <c r="O481" s="14" t="n"/>
    </row>
    <row r="482">
      <c r="B482" s="15">
        <f>IF($D482="","","A"&amp;TEXT(ROW()-5,"000"))</f>
        <v/>
      </c>
      <c r="C482" s="16" t="n"/>
      <c r="D482" s="14" t="n"/>
      <c r="E482" s="15">
        <f>IF($D482="","",IFERROR(INDEX(rngCadetPIDs,MATCH($D482,rngCadetNames,0)),"?"))</f>
        <v/>
      </c>
      <c r="F482" s="15">
        <f>IF($E482="","",IFERROR(INDEX(nrCadetAgency,MATCH($E482,rngCadetPIDs,0)),""))</f>
        <v/>
      </c>
      <c r="G482" s="14" t="n"/>
      <c r="H482" s="14" t="n"/>
      <c r="I482" s="14" t="n"/>
      <c r="J482" s="14" t="n"/>
      <c r="K482" s="15">
        <f>IF($G482="","",IF(OR($G482="PT Missed",$G482="PT Modified",$G482="PT Refused"),"Yes","No"))</f>
        <v/>
      </c>
      <c r="L482" s="14" t="n"/>
      <c r="M482" s="14" t="n"/>
      <c r="N482" s="15">
        <f>IF($D482="","",IF($M482="Excused","No",IF(AND($G482="PT Modified",$L482="Received"),"No","Yes")))</f>
        <v/>
      </c>
      <c r="O482" s="14" t="n"/>
    </row>
    <row r="483">
      <c r="B483" s="15">
        <f>IF($D483="","","A"&amp;TEXT(ROW()-5,"000"))</f>
        <v/>
      </c>
      <c r="C483" s="16" t="n"/>
      <c r="D483" s="14" t="n"/>
      <c r="E483" s="15">
        <f>IF($D483="","",IFERROR(INDEX(rngCadetPIDs,MATCH($D483,rngCadetNames,0)),"?"))</f>
        <v/>
      </c>
      <c r="F483" s="15">
        <f>IF($E483="","",IFERROR(INDEX(nrCadetAgency,MATCH($E483,rngCadetPIDs,0)),""))</f>
        <v/>
      </c>
      <c r="G483" s="14" t="n"/>
      <c r="H483" s="14" t="n"/>
      <c r="I483" s="14" t="n"/>
      <c r="J483" s="14" t="n"/>
      <c r="K483" s="15">
        <f>IF($G483="","",IF(OR($G483="PT Missed",$G483="PT Modified",$G483="PT Refused"),"Yes","No"))</f>
        <v/>
      </c>
      <c r="L483" s="14" t="n"/>
      <c r="M483" s="14" t="n"/>
      <c r="N483" s="15">
        <f>IF($D483="","",IF($M483="Excused","No",IF(AND($G483="PT Modified",$L483="Received"),"No","Yes")))</f>
        <v/>
      </c>
      <c r="O483" s="14" t="n"/>
    </row>
    <row r="484">
      <c r="B484" s="15">
        <f>IF($D484="","","A"&amp;TEXT(ROW()-5,"000"))</f>
        <v/>
      </c>
      <c r="C484" s="16" t="n"/>
      <c r="D484" s="14" t="n"/>
      <c r="E484" s="15">
        <f>IF($D484="","",IFERROR(INDEX(rngCadetPIDs,MATCH($D484,rngCadetNames,0)),"?"))</f>
        <v/>
      </c>
      <c r="F484" s="15">
        <f>IF($E484="","",IFERROR(INDEX(nrCadetAgency,MATCH($E484,rngCadetPIDs,0)),""))</f>
        <v/>
      </c>
      <c r="G484" s="14" t="n"/>
      <c r="H484" s="14" t="n"/>
      <c r="I484" s="14" t="n"/>
      <c r="J484" s="14" t="n"/>
      <c r="K484" s="15">
        <f>IF($G484="","",IF(OR($G484="PT Missed",$G484="PT Modified",$G484="PT Refused"),"Yes","No"))</f>
        <v/>
      </c>
      <c r="L484" s="14" t="n"/>
      <c r="M484" s="14" t="n"/>
      <c r="N484" s="15">
        <f>IF($D484="","",IF($M484="Excused","No",IF(AND($G484="PT Modified",$L484="Received"),"No","Yes")))</f>
        <v/>
      </c>
      <c r="O484" s="14" t="n"/>
    </row>
    <row r="485">
      <c r="B485" s="15">
        <f>IF($D485="","","A"&amp;TEXT(ROW()-5,"000"))</f>
        <v/>
      </c>
      <c r="C485" s="16" t="n"/>
      <c r="D485" s="14" t="n"/>
      <c r="E485" s="15">
        <f>IF($D485="","",IFERROR(INDEX(rngCadetPIDs,MATCH($D485,rngCadetNames,0)),"?"))</f>
        <v/>
      </c>
      <c r="F485" s="15">
        <f>IF($E485="","",IFERROR(INDEX(nrCadetAgency,MATCH($E485,rngCadetPIDs,0)),""))</f>
        <v/>
      </c>
      <c r="G485" s="14" t="n"/>
      <c r="H485" s="14" t="n"/>
      <c r="I485" s="14" t="n"/>
      <c r="J485" s="14" t="n"/>
      <c r="K485" s="15">
        <f>IF($G485="","",IF(OR($G485="PT Missed",$G485="PT Modified",$G485="PT Refused"),"Yes","No"))</f>
        <v/>
      </c>
      <c r="L485" s="14" t="n"/>
      <c r="M485" s="14" t="n"/>
      <c r="N485" s="15">
        <f>IF($D485="","",IF($M485="Excused","No",IF(AND($G485="PT Modified",$L485="Received"),"No","Yes")))</f>
        <v/>
      </c>
      <c r="O485" s="14" t="n"/>
    </row>
    <row r="486">
      <c r="B486" s="15">
        <f>IF($D486="","","A"&amp;TEXT(ROW()-5,"000"))</f>
        <v/>
      </c>
      <c r="C486" s="16" t="n"/>
      <c r="D486" s="14" t="n"/>
      <c r="E486" s="15">
        <f>IF($D486="","",IFERROR(INDEX(rngCadetPIDs,MATCH($D486,rngCadetNames,0)),"?"))</f>
        <v/>
      </c>
      <c r="F486" s="15">
        <f>IF($E486="","",IFERROR(INDEX(nrCadetAgency,MATCH($E486,rngCadetPIDs,0)),""))</f>
        <v/>
      </c>
      <c r="G486" s="14" t="n"/>
      <c r="H486" s="14" t="n"/>
      <c r="I486" s="14" t="n"/>
      <c r="J486" s="14" t="n"/>
      <c r="K486" s="15">
        <f>IF($G486="","",IF(OR($G486="PT Missed",$G486="PT Modified",$G486="PT Refused"),"Yes","No"))</f>
        <v/>
      </c>
      <c r="L486" s="14" t="n"/>
      <c r="M486" s="14" t="n"/>
      <c r="N486" s="15">
        <f>IF($D486="","",IF($M486="Excused","No",IF(AND($G486="PT Modified",$L486="Received"),"No","Yes")))</f>
        <v/>
      </c>
      <c r="O486" s="14" t="n"/>
    </row>
    <row r="487">
      <c r="B487" s="15">
        <f>IF($D487="","","A"&amp;TEXT(ROW()-5,"000"))</f>
        <v/>
      </c>
      <c r="C487" s="16" t="n"/>
      <c r="D487" s="14" t="n"/>
      <c r="E487" s="15">
        <f>IF($D487="","",IFERROR(INDEX(rngCadetPIDs,MATCH($D487,rngCadetNames,0)),"?"))</f>
        <v/>
      </c>
      <c r="F487" s="15">
        <f>IF($E487="","",IFERROR(INDEX(nrCadetAgency,MATCH($E487,rngCadetPIDs,0)),""))</f>
        <v/>
      </c>
      <c r="G487" s="14" t="n"/>
      <c r="H487" s="14" t="n"/>
      <c r="I487" s="14" t="n"/>
      <c r="J487" s="14" t="n"/>
      <c r="K487" s="15">
        <f>IF($G487="","",IF(OR($G487="PT Missed",$G487="PT Modified",$G487="PT Refused"),"Yes","No"))</f>
        <v/>
      </c>
      <c r="L487" s="14" t="n"/>
      <c r="M487" s="14" t="n"/>
      <c r="N487" s="15">
        <f>IF($D487="","",IF($M487="Excused","No",IF(AND($G487="PT Modified",$L487="Received"),"No","Yes")))</f>
        <v/>
      </c>
      <c r="O487" s="14" t="n"/>
    </row>
    <row r="488">
      <c r="B488" s="15">
        <f>IF($D488="","","A"&amp;TEXT(ROW()-5,"000"))</f>
        <v/>
      </c>
      <c r="C488" s="16" t="n"/>
      <c r="D488" s="14" t="n"/>
      <c r="E488" s="15">
        <f>IF($D488="","",IFERROR(INDEX(rngCadetPIDs,MATCH($D488,rngCadetNames,0)),"?"))</f>
        <v/>
      </c>
      <c r="F488" s="15">
        <f>IF($E488="","",IFERROR(INDEX(nrCadetAgency,MATCH($E488,rngCadetPIDs,0)),""))</f>
        <v/>
      </c>
      <c r="G488" s="14" t="n"/>
      <c r="H488" s="14" t="n"/>
      <c r="I488" s="14" t="n"/>
      <c r="J488" s="14" t="n"/>
      <c r="K488" s="15">
        <f>IF($G488="","",IF(OR($G488="PT Missed",$G488="PT Modified",$G488="PT Refused"),"Yes","No"))</f>
        <v/>
      </c>
      <c r="L488" s="14" t="n"/>
      <c r="M488" s="14" t="n"/>
      <c r="N488" s="15">
        <f>IF($D488="","",IF($M488="Excused","No",IF(AND($G488="PT Modified",$L488="Received"),"No","Yes")))</f>
        <v/>
      </c>
      <c r="O488" s="14" t="n"/>
    </row>
    <row r="489">
      <c r="B489" s="15">
        <f>IF($D489="","","A"&amp;TEXT(ROW()-5,"000"))</f>
        <v/>
      </c>
      <c r="C489" s="16" t="n"/>
      <c r="D489" s="14" t="n"/>
      <c r="E489" s="15">
        <f>IF($D489="","",IFERROR(INDEX(rngCadetPIDs,MATCH($D489,rngCadetNames,0)),"?"))</f>
        <v/>
      </c>
      <c r="F489" s="15">
        <f>IF($E489="","",IFERROR(INDEX(nrCadetAgency,MATCH($E489,rngCadetPIDs,0)),""))</f>
        <v/>
      </c>
      <c r="G489" s="14" t="n"/>
      <c r="H489" s="14" t="n"/>
      <c r="I489" s="14" t="n"/>
      <c r="J489" s="14" t="n"/>
      <c r="K489" s="15">
        <f>IF($G489="","",IF(OR($G489="PT Missed",$G489="PT Modified",$G489="PT Refused"),"Yes","No"))</f>
        <v/>
      </c>
      <c r="L489" s="14" t="n"/>
      <c r="M489" s="14" t="n"/>
      <c r="N489" s="15">
        <f>IF($D489="","",IF($M489="Excused","No",IF(AND($G489="PT Modified",$L489="Received"),"No","Yes")))</f>
        <v/>
      </c>
      <c r="O489" s="14" t="n"/>
    </row>
    <row r="490">
      <c r="B490" s="15">
        <f>IF($D490="","","A"&amp;TEXT(ROW()-5,"000"))</f>
        <v/>
      </c>
      <c r="C490" s="16" t="n"/>
      <c r="D490" s="14" t="n"/>
      <c r="E490" s="15">
        <f>IF($D490="","",IFERROR(INDEX(rngCadetPIDs,MATCH($D490,rngCadetNames,0)),"?"))</f>
        <v/>
      </c>
      <c r="F490" s="15">
        <f>IF($E490="","",IFERROR(INDEX(nrCadetAgency,MATCH($E490,rngCadetPIDs,0)),""))</f>
        <v/>
      </c>
      <c r="G490" s="14" t="n"/>
      <c r="H490" s="14" t="n"/>
      <c r="I490" s="14" t="n"/>
      <c r="J490" s="14" t="n"/>
      <c r="K490" s="15">
        <f>IF($G490="","",IF(OR($G490="PT Missed",$G490="PT Modified",$G490="PT Refused"),"Yes","No"))</f>
        <v/>
      </c>
      <c r="L490" s="14" t="n"/>
      <c r="M490" s="14" t="n"/>
      <c r="N490" s="15">
        <f>IF($D490="","",IF($M490="Excused","No",IF(AND($G490="PT Modified",$L490="Received"),"No","Yes")))</f>
        <v/>
      </c>
      <c r="O490" s="14" t="n"/>
    </row>
    <row r="491">
      <c r="B491" s="15">
        <f>IF($D491="","","A"&amp;TEXT(ROW()-5,"000"))</f>
        <v/>
      </c>
      <c r="C491" s="16" t="n"/>
      <c r="D491" s="14" t="n"/>
      <c r="E491" s="15">
        <f>IF($D491="","",IFERROR(INDEX(rngCadetPIDs,MATCH($D491,rngCadetNames,0)),"?"))</f>
        <v/>
      </c>
      <c r="F491" s="15">
        <f>IF($E491="","",IFERROR(INDEX(nrCadetAgency,MATCH($E491,rngCadetPIDs,0)),""))</f>
        <v/>
      </c>
      <c r="G491" s="14" t="n"/>
      <c r="H491" s="14" t="n"/>
      <c r="I491" s="14" t="n"/>
      <c r="J491" s="14" t="n"/>
      <c r="K491" s="15">
        <f>IF($G491="","",IF(OR($G491="PT Missed",$G491="PT Modified",$G491="PT Refused"),"Yes","No"))</f>
        <v/>
      </c>
      <c r="L491" s="14" t="n"/>
      <c r="M491" s="14" t="n"/>
      <c r="N491" s="15">
        <f>IF($D491="","",IF($M491="Excused","No",IF(AND($G491="PT Modified",$L491="Received"),"No","Yes")))</f>
        <v/>
      </c>
      <c r="O491" s="14" t="n"/>
    </row>
    <row r="492">
      <c r="B492" s="15">
        <f>IF($D492="","","A"&amp;TEXT(ROW()-5,"000"))</f>
        <v/>
      </c>
      <c r="C492" s="16" t="n"/>
      <c r="D492" s="14" t="n"/>
      <c r="E492" s="15">
        <f>IF($D492="","",IFERROR(INDEX(rngCadetPIDs,MATCH($D492,rngCadetNames,0)),"?"))</f>
        <v/>
      </c>
      <c r="F492" s="15">
        <f>IF($E492="","",IFERROR(INDEX(nrCadetAgency,MATCH($E492,rngCadetPIDs,0)),""))</f>
        <v/>
      </c>
      <c r="G492" s="14" t="n"/>
      <c r="H492" s="14" t="n"/>
      <c r="I492" s="14" t="n"/>
      <c r="J492" s="14" t="n"/>
      <c r="K492" s="15">
        <f>IF($G492="","",IF(OR($G492="PT Missed",$G492="PT Modified",$G492="PT Refused"),"Yes","No"))</f>
        <v/>
      </c>
      <c r="L492" s="14" t="n"/>
      <c r="M492" s="14" t="n"/>
      <c r="N492" s="15">
        <f>IF($D492="","",IF($M492="Excused","No",IF(AND($G492="PT Modified",$L492="Received"),"No","Yes")))</f>
        <v/>
      </c>
      <c r="O492" s="14" t="n"/>
    </row>
    <row r="493">
      <c r="B493" s="15">
        <f>IF($D493="","","A"&amp;TEXT(ROW()-5,"000"))</f>
        <v/>
      </c>
      <c r="C493" s="16" t="n"/>
      <c r="D493" s="14" t="n"/>
      <c r="E493" s="15">
        <f>IF($D493="","",IFERROR(INDEX(rngCadetPIDs,MATCH($D493,rngCadetNames,0)),"?"))</f>
        <v/>
      </c>
      <c r="F493" s="15">
        <f>IF($E493="","",IFERROR(INDEX(nrCadetAgency,MATCH($E493,rngCadetPIDs,0)),""))</f>
        <v/>
      </c>
      <c r="G493" s="14" t="n"/>
      <c r="H493" s="14" t="n"/>
      <c r="I493" s="14" t="n"/>
      <c r="J493" s="14" t="n"/>
      <c r="K493" s="15">
        <f>IF($G493="","",IF(OR($G493="PT Missed",$G493="PT Modified",$G493="PT Refused"),"Yes","No"))</f>
        <v/>
      </c>
      <c r="L493" s="14" t="n"/>
      <c r="M493" s="14" t="n"/>
      <c r="N493" s="15">
        <f>IF($D493="","",IF($M493="Excused","No",IF(AND($G493="PT Modified",$L493="Received"),"No","Yes")))</f>
        <v/>
      </c>
      <c r="O493" s="14" t="n"/>
    </row>
    <row r="494">
      <c r="B494" s="15">
        <f>IF($D494="","","A"&amp;TEXT(ROW()-5,"000"))</f>
        <v/>
      </c>
      <c r="C494" s="16" t="n"/>
      <c r="D494" s="14" t="n"/>
      <c r="E494" s="15">
        <f>IF($D494="","",IFERROR(INDEX(rngCadetPIDs,MATCH($D494,rngCadetNames,0)),"?"))</f>
        <v/>
      </c>
      <c r="F494" s="15">
        <f>IF($E494="","",IFERROR(INDEX(nrCadetAgency,MATCH($E494,rngCadetPIDs,0)),""))</f>
        <v/>
      </c>
      <c r="G494" s="14" t="n"/>
      <c r="H494" s="14" t="n"/>
      <c r="I494" s="14" t="n"/>
      <c r="J494" s="14" t="n"/>
      <c r="K494" s="15">
        <f>IF($G494="","",IF(OR($G494="PT Missed",$G494="PT Modified",$G494="PT Refused"),"Yes","No"))</f>
        <v/>
      </c>
      <c r="L494" s="14" t="n"/>
      <c r="M494" s="14" t="n"/>
      <c r="N494" s="15">
        <f>IF($D494="","",IF($M494="Excused","No",IF(AND($G494="PT Modified",$L494="Received"),"No","Yes")))</f>
        <v/>
      </c>
      <c r="O494" s="14" t="n"/>
    </row>
    <row r="495">
      <c r="B495" s="15">
        <f>IF($D495="","","A"&amp;TEXT(ROW()-5,"000"))</f>
        <v/>
      </c>
      <c r="C495" s="16" t="n"/>
      <c r="D495" s="14" t="n"/>
      <c r="E495" s="15">
        <f>IF($D495="","",IFERROR(INDEX(rngCadetPIDs,MATCH($D495,rngCadetNames,0)),"?"))</f>
        <v/>
      </c>
      <c r="F495" s="15">
        <f>IF($E495="","",IFERROR(INDEX(nrCadetAgency,MATCH($E495,rngCadetPIDs,0)),""))</f>
        <v/>
      </c>
      <c r="G495" s="14" t="n"/>
      <c r="H495" s="14" t="n"/>
      <c r="I495" s="14" t="n"/>
      <c r="J495" s="14" t="n"/>
      <c r="K495" s="15">
        <f>IF($G495="","",IF(OR($G495="PT Missed",$G495="PT Modified",$G495="PT Refused"),"Yes","No"))</f>
        <v/>
      </c>
      <c r="L495" s="14" t="n"/>
      <c r="M495" s="14" t="n"/>
      <c r="N495" s="15">
        <f>IF($D495="","",IF($M495="Excused","No",IF(AND($G495="PT Modified",$L495="Received"),"No","Yes")))</f>
        <v/>
      </c>
      <c r="O495" s="14" t="n"/>
    </row>
    <row r="496">
      <c r="B496" s="15">
        <f>IF($D496="","","A"&amp;TEXT(ROW()-5,"000"))</f>
        <v/>
      </c>
      <c r="C496" s="16" t="n"/>
      <c r="D496" s="14" t="n"/>
      <c r="E496" s="15">
        <f>IF($D496="","",IFERROR(INDEX(rngCadetPIDs,MATCH($D496,rngCadetNames,0)),"?"))</f>
        <v/>
      </c>
      <c r="F496" s="15">
        <f>IF($E496="","",IFERROR(INDEX(nrCadetAgency,MATCH($E496,rngCadetPIDs,0)),""))</f>
        <v/>
      </c>
      <c r="G496" s="14" t="n"/>
      <c r="H496" s="14" t="n"/>
      <c r="I496" s="14" t="n"/>
      <c r="J496" s="14" t="n"/>
      <c r="K496" s="15">
        <f>IF($G496="","",IF(OR($G496="PT Missed",$G496="PT Modified",$G496="PT Refused"),"Yes","No"))</f>
        <v/>
      </c>
      <c r="L496" s="14" t="n"/>
      <c r="M496" s="14" t="n"/>
      <c r="N496" s="15">
        <f>IF($D496="","",IF($M496="Excused","No",IF(AND($G496="PT Modified",$L496="Received"),"No","Yes")))</f>
        <v/>
      </c>
      <c r="O496" s="14" t="n"/>
    </row>
    <row r="497">
      <c r="B497" s="15">
        <f>IF($D497="","","A"&amp;TEXT(ROW()-5,"000"))</f>
        <v/>
      </c>
      <c r="C497" s="16" t="n"/>
      <c r="D497" s="14" t="n"/>
      <c r="E497" s="15">
        <f>IF($D497="","",IFERROR(INDEX(rngCadetPIDs,MATCH($D497,rngCadetNames,0)),"?"))</f>
        <v/>
      </c>
      <c r="F497" s="15">
        <f>IF($E497="","",IFERROR(INDEX(nrCadetAgency,MATCH($E497,rngCadetPIDs,0)),""))</f>
        <v/>
      </c>
      <c r="G497" s="14" t="n"/>
      <c r="H497" s="14" t="n"/>
      <c r="I497" s="14" t="n"/>
      <c r="J497" s="14" t="n"/>
      <c r="K497" s="15">
        <f>IF($G497="","",IF(OR($G497="PT Missed",$G497="PT Modified",$G497="PT Refused"),"Yes","No"))</f>
        <v/>
      </c>
      <c r="L497" s="14" t="n"/>
      <c r="M497" s="14" t="n"/>
      <c r="N497" s="15">
        <f>IF($D497="","",IF($M497="Excused","No",IF(AND($G497="PT Modified",$L497="Received"),"No","Yes")))</f>
        <v/>
      </c>
      <c r="O497" s="14" t="n"/>
    </row>
    <row r="498">
      <c r="B498" s="15">
        <f>IF($D498="","","A"&amp;TEXT(ROW()-5,"000"))</f>
        <v/>
      </c>
      <c r="C498" s="16" t="n"/>
      <c r="D498" s="14" t="n"/>
      <c r="E498" s="15">
        <f>IF($D498="","",IFERROR(INDEX(rngCadetPIDs,MATCH($D498,rngCadetNames,0)),"?"))</f>
        <v/>
      </c>
      <c r="F498" s="15">
        <f>IF($E498="","",IFERROR(INDEX(nrCadetAgency,MATCH($E498,rngCadetPIDs,0)),""))</f>
        <v/>
      </c>
      <c r="G498" s="14" t="n"/>
      <c r="H498" s="14" t="n"/>
      <c r="I498" s="14" t="n"/>
      <c r="J498" s="14" t="n"/>
      <c r="K498" s="15">
        <f>IF($G498="","",IF(OR($G498="PT Missed",$G498="PT Modified",$G498="PT Refused"),"Yes","No"))</f>
        <v/>
      </c>
      <c r="L498" s="14" t="n"/>
      <c r="M498" s="14" t="n"/>
      <c r="N498" s="15">
        <f>IF($D498="","",IF($M498="Excused","No",IF(AND($G498="PT Modified",$L498="Received"),"No","Yes")))</f>
        <v/>
      </c>
      <c r="O498" s="14" t="n"/>
    </row>
    <row r="499">
      <c r="B499" s="15">
        <f>IF($D499="","","A"&amp;TEXT(ROW()-5,"000"))</f>
        <v/>
      </c>
      <c r="C499" s="16" t="n"/>
      <c r="D499" s="14" t="n"/>
      <c r="E499" s="15">
        <f>IF($D499="","",IFERROR(INDEX(rngCadetPIDs,MATCH($D499,rngCadetNames,0)),"?"))</f>
        <v/>
      </c>
      <c r="F499" s="15">
        <f>IF($E499="","",IFERROR(INDEX(nrCadetAgency,MATCH($E499,rngCadetPIDs,0)),""))</f>
        <v/>
      </c>
      <c r="G499" s="14" t="n"/>
      <c r="H499" s="14" t="n"/>
      <c r="I499" s="14" t="n"/>
      <c r="J499" s="14" t="n"/>
      <c r="K499" s="15">
        <f>IF($G499="","",IF(OR($G499="PT Missed",$G499="PT Modified",$G499="PT Refused"),"Yes","No"))</f>
        <v/>
      </c>
      <c r="L499" s="14" t="n"/>
      <c r="M499" s="14" t="n"/>
      <c r="N499" s="15">
        <f>IF($D499="","",IF($M499="Excused","No",IF(AND($G499="PT Modified",$L499="Received"),"No","Yes")))</f>
        <v/>
      </c>
      <c r="O499" s="14" t="n"/>
    </row>
    <row r="500">
      <c r="B500" s="15">
        <f>IF($D500="","","A"&amp;TEXT(ROW()-5,"000"))</f>
        <v/>
      </c>
      <c r="C500" s="16" t="n"/>
      <c r="D500" s="14" t="n"/>
      <c r="E500" s="15">
        <f>IF($D500="","",IFERROR(INDEX(rngCadetPIDs,MATCH($D500,rngCadetNames,0)),"?"))</f>
        <v/>
      </c>
      <c r="F500" s="15">
        <f>IF($E500="","",IFERROR(INDEX(nrCadetAgency,MATCH($E500,rngCadetPIDs,0)),""))</f>
        <v/>
      </c>
      <c r="G500" s="14" t="n"/>
      <c r="H500" s="14" t="n"/>
      <c r="I500" s="14" t="n"/>
      <c r="J500" s="14" t="n"/>
      <c r="K500" s="15">
        <f>IF($G500="","",IF(OR($G500="PT Missed",$G500="PT Modified",$G500="PT Refused"),"Yes","No"))</f>
        <v/>
      </c>
      <c r="L500" s="14" t="n"/>
      <c r="M500" s="14" t="n"/>
      <c r="N500" s="15">
        <f>IF($D500="","",IF($M500="Excused","No",IF(AND($G500="PT Modified",$L500="Received"),"No","Yes")))</f>
        <v/>
      </c>
      <c r="O500" s="14" t="n"/>
    </row>
    <row r="501">
      <c r="B501" s="15">
        <f>IF($D501="","","A"&amp;TEXT(ROW()-5,"000"))</f>
        <v/>
      </c>
      <c r="C501" s="16" t="n"/>
      <c r="D501" s="14" t="n"/>
      <c r="E501" s="15">
        <f>IF($D501="","",IFERROR(INDEX(rngCadetPIDs,MATCH($D501,rngCadetNames,0)),"?"))</f>
        <v/>
      </c>
      <c r="F501" s="15">
        <f>IF($E501="","",IFERROR(INDEX(nrCadetAgency,MATCH($E501,rngCadetPIDs,0)),""))</f>
        <v/>
      </c>
      <c r="G501" s="14" t="n"/>
      <c r="H501" s="14" t="n"/>
      <c r="I501" s="14" t="n"/>
      <c r="J501" s="14" t="n"/>
      <c r="K501" s="15">
        <f>IF($G501="","",IF(OR($G501="PT Missed",$G501="PT Modified",$G501="PT Refused"),"Yes","No"))</f>
        <v/>
      </c>
      <c r="L501" s="14" t="n"/>
      <c r="M501" s="14" t="n"/>
      <c r="N501" s="15">
        <f>IF($D501="","",IF($M501="Excused","No",IF(AND($G501="PT Modified",$L501="Received"),"No","Yes")))</f>
        <v/>
      </c>
      <c r="O501" s="14" t="n"/>
    </row>
    <row r="502">
      <c r="B502" s="15">
        <f>IF($D502="","","A"&amp;TEXT(ROW()-5,"000"))</f>
        <v/>
      </c>
      <c r="C502" s="16" t="n"/>
      <c r="D502" s="14" t="n"/>
      <c r="E502" s="15">
        <f>IF($D502="","",IFERROR(INDEX(rngCadetPIDs,MATCH($D502,rngCadetNames,0)),"?"))</f>
        <v/>
      </c>
      <c r="F502" s="15">
        <f>IF($E502="","",IFERROR(INDEX(nrCadetAgency,MATCH($E502,rngCadetPIDs,0)),""))</f>
        <v/>
      </c>
      <c r="G502" s="14" t="n"/>
      <c r="H502" s="14" t="n"/>
      <c r="I502" s="14" t="n"/>
      <c r="J502" s="14" t="n"/>
      <c r="K502" s="15">
        <f>IF($G502="","",IF(OR($G502="PT Missed",$G502="PT Modified",$G502="PT Refused"),"Yes","No"))</f>
        <v/>
      </c>
      <c r="L502" s="14" t="n"/>
      <c r="M502" s="14" t="n"/>
      <c r="N502" s="15">
        <f>IF($D502="","",IF($M502="Excused","No",IF(AND($G502="PT Modified",$L502="Received"),"No","Yes")))</f>
        <v/>
      </c>
      <c r="O502" s="14" t="n"/>
    </row>
    <row r="503">
      <c r="B503" s="15">
        <f>IF($D503="","","A"&amp;TEXT(ROW()-5,"000"))</f>
        <v/>
      </c>
      <c r="C503" s="16" t="n"/>
      <c r="D503" s="14" t="n"/>
      <c r="E503" s="15">
        <f>IF($D503="","",IFERROR(INDEX(rngCadetPIDs,MATCH($D503,rngCadetNames,0)),"?"))</f>
        <v/>
      </c>
      <c r="F503" s="15">
        <f>IF($E503="","",IFERROR(INDEX(nrCadetAgency,MATCH($E503,rngCadetPIDs,0)),""))</f>
        <v/>
      </c>
      <c r="G503" s="14" t="n"/>
      <c r="H503" s="14" t="n"/>
      <c r="I503" s="14" t="n"/>
      <c r="J503" s="14" t="n"/>
      <c r="K503" s="15">
        <f>IF($G503="","",IF(OR($G503="PT Missed",$G503="PT Modified",$G503="PT Refused"),"Yes","No"))</f>
        <v/>
      </c>
      <c r="L503" s="14" t="n"/>
      <c r="M503" s="14" t="n"/>
      <c r="N503" s="15">
        <f>IF($D503="","",IF($M503="Excused","No",IF(AND($G503="PT Modified",$L503="Received"),"No","Yes")))</f>
        <v/>
      </c>
      <c r="O503" s="14" t="n"/>
    </row>
    <row r="504">
      <c r="B504" s="15">
        <f>IF($D504="","","A"&amp;TEXT(ROW()-5,"000"))</f>
        <v/>
      </c>
      <c r="C504" s="16" t="n"/>
      <c r="D504" s="14" t="n"/>
      <c r="E504" s="15">
        <f>IF($D504="","",IFERROR(INDEX(rngCadetPIDs,MATCH($D504,rngCadetNames,0)),"?"))</f>
        <v/>
      </c>
      <c r="F504" s="15">
        <f>IF($E504="","",IFERROR(INDEX(nrCadetAgency,MATCH($E504,rngCadetPIDs,0)),""))</f>
        <v/>
      </c>
      <c r="G504" s="14" t="n"/>
      <c r="H504" s="14" t="n"/>
      <c r="I504" s="14" t="n"/>
      <c r="J504" s="14" t="n"/>
      <c r="K504" s="15">
        <f>IF($G504="","",IF(OR($G504="PT Missed",$G504="PT Modified",$G504="PT Refused"),"Yes","No"))</f>
        <v/>
      </c>
      <c r="L504" s="14" t="n"/>
      <c r="M504" s="14" t="n"/>
      <c r="N504" s="15">
        <f>IF($D504="","",IF($M504="Excused","No",IF(AND($G504="PT Modified",$L504="Received"),"No","Yes")))</f>
        <v/>
      </c>
      <c r="O504" s="14" t="n"/>
    </row>
    <row r="505">
      <c r="B505" s="15">
        <f>IF($D505="","","A"&amp;TEXT(ROW()-5,"000"))</f>
        <v/>
      </c>
      <c r="C505" s="16" t="n"/>
      <c r="D505" s="14" t="n"/>
      <c r="E505" s="15">
        <f>IF($D505="","",IFERROR(INDEX(rngCadetPIDs,MATCH($D505,rngCadetNames,0)),"?"))</f>
        <v/>
      </c>
      <c r="F505" s="15">
        <f>IF($E505="","",IFERROR(INDEX(nrCadetAgency,MATCH($E505,rngCadetPIDs,0)),""))</f>
        <v/>
      </c>
      <c r="G505" s="14" t="n"/>
      <c r="H505" s="14" t="n"/>
      <c r="I505" s="14" t="n"/>
      <c r="J505" s="14" t="n"/>
      <c r="K505" s="15">
        <f>IF($G505="","",IF(OR($G505="PT Missed",$G505="PT Modified",$G505="PT Refused"),"Yes","No"))</f>
        <v/>
      </c>
      <c r="L505" s="14" t="n"/>
      <c r="M505" s="14" t="n"/>
      <c r="N505" s="15">
        <f>IF($D505="","",IF($M505="Excused","No",IF(AND($G505="PT Modified",$L505="Received"),"No","Yes")))</f>
        <v/>
      </c>
      <c r="O505" s="14" t="n"/>
    </row>
    <row r="506">
      <c r="B506" s="15">
        <f>IF($D506="","","A"&amp;TEXT(ROW()-5,"000"))</f>
        <v/>
      </c>
      <c r="C506" s="16" t="n"/>
      <c r="D506" s="14" t="n"/>
      <c r="E506" s="15">
        <f>IF($D506="","",IFERROR(INDEX(rngCadetPIDs,MATCH($D506,rngCadetNames,0)),"?"))</f>
        <v/>
      </c>
      <c r="F506" s="15">
        <f>IF($E506="","",IFERROR(INDEX(nrCadetAgency,MATCH($E506,rngCadetPIDs,0)),""))</f>
        <v/>
      </c>
      <c r="G506" s="14" t="n"/>
      <c r="H506" s="14" t="n"/>
      <c r="I506" s="14" t="n"/>
      <c r="J506" s="14" t="n"/>
      <c r="K506" s="15">
        <f>IF($G506="","",IF(OR($G506="PT Missed",$G506="PT Modified",$G506="PT Refused"),"Yes","No"))</f>
        <v/>
      </c>
      <c r="L506" s="14" t="n"/>
      <c r="M506" s="14" t="n"/>
      <c r="N506" s="15">
        <f>IF($D506="","",IF($M506="Excused","No",IF(AND($G506="PT Modified",$L506="Received"),"No","Yes")))</f>
        <v/>
      </c>
      <c r="O506" s="14" t="n"/>
    </row>
    <row r="507">
      <c r="B507" s="15">
        <f>IF($D507="","","A"&amp;TEXT(ROW()-5,"000"))</f>
        <v/>
      </c>
      <c r="C507" s="16" t="n"/>
      <c r="D507" s="14" t="n"/>
      <c r="E507" s="15">
        <f>IF($D507="","",IFERROR(INDEX(rngCadetPIDs,MATCH($D507,rngCadetNames,0)),"?"))</f>
        <v/>
      </c>
      <c r="F507" s="15">
        <f>IF($E507="","",IFERROR(INDEX(nrCadetAgency,MATCH($E507,rngCadetPIDs,0)),""))</f>
        <v/>
      </c>
      <c r="G507" s="14" t="n"/>
      <c r="H507" s="14" t="n"/>
      <c r="I507" s="14" t="n"/>
      <c r="J507" s="14" t="n"/>
      <c r="K507" s="15">
        <f>IF($G507="","",IF(OR($G507="PT Missed",$G507="PT Modified",$G507="PT Refused"),"Yes","No"))</f>
        <v/>
      </c>
      <c r="L507" s="14" t="n"/>
      <c r="M507" s="14" t="n"/>
      <c r="N507" s="15">
        <f>IF($D507="","",IF($M507="Excused","No",IF(AND($G507="PT Modified",$L507="Received"),"No","Yes")))</f>
        <v/>
      </c>
      <c r="O507" s="14" t="n"/>
    </row>
    <row r="508">
      <c r="B508" s="15">
        <f>IF($D508="","","A"&amp;TEXT(ROW()-5,"000"))</f>
        <v/>
      </c>
      <c r="C508" s="16" t="n"/>
      <c r="D508" s="14" t="n"/>
      <c r="E508" s="15">
        <f>IF($D508="","",IFERROR(INDEX(rngCadetPIDs,MATCH($D508,rngCadetNames,0)),"?"))</f>
        <v/>
      </c>
      <c r="F508" s="15">
        <f>IF($E508="","",IFERROR(INDEX(nrCadetAgency,MATCH($E508,rngCadetPIDs,0)),""))</f>
        <v/>
      </c>
      <c r="G508" s="14" t="n"/>
      <c r="H508" s="14" t="n"/>
      <c r="I508" s="14" t="n"/>
      <c r="J508" s="14" t="n"/>
      <c r="K508" s="15">
        <f>IF($G508="","",IF(OR($G508="PT Missed",$G508="PT Modified",$G508="PT Refused"),"Yes","No"))</f>
        <v/>
      </c>
      <c r="L508" s="14" t="n"/>
      <c r="M508" s="14" t="n"/>
      <c r="N508" s="15">
        <f>IF($D508="","",IF($M508="Excused","No",IF(AND($G508="PT Modified",$L508="Received"),"No","Yes")))</f>
        <v/>
      </c>
      <c r="O508" s="14" t="n"/>
    </row>
    <row r="509">
      <c r="B509" s="15">
        <f>IF($D509="","","A"&amp;TEXT(ROW()-5,"000"))</f>
        <v/>
      </c>
      <c r="C509" s="16" t="n"/>
      <c r="D509" s="14" t="n"/>
      <c r="E509" s="15">
        <f>IF($D509="","",IFERROR(INDEX(rngCadetPIDs,MATCH($D509,rngCadetNames,0)),"?"))</f>
        <v/>
      </c>
      <c r="F509" s="15">
        <f>IF($E509="","",IFERROR(INDEX(nrCadetAgency,MATCH($E509,rngCadetPIDs,0)),""))</f>
        <v/>
      </c>
      <c r="G509" s="14" t="n"/>
      <c r="H509" s="14" t="n"/>
      <c r="I509" s="14" t="n"/>
      <c r="J509" s="14" t="n"/>
      <c r="K509" s="15">
        <f>IF($G509="","",IF(OR($G509="PT Missed",$G509="PT Modified",$G509="PT Refused"),"Yes","No"))</f>
        <v/>
      </c>
      <c r="L509" s="14" t="n"/>
      <c r="M509" s="14" t="n"/>
      <c r="N509" s="15">
        <f>IF($D509="","",IF($M509="Excused","No",IF(AND($G509="PT Modified",$L509="Received"),"No","Yes")))</f>
        <v/>
      </c>
      <c r="O509" s="14" t="n"/>
    </row>
    <row r="510">
      <c r="B510" s="15">
        <f>IF($D510="","","A"&amp;TEXT(ROW()-5,"000"))</f>
        <v/>
      </c>
      <c r="C510" s="16" t="n"/>
      <c r="D510" s="14" t="n"/>
      <c r="E510" s="15">
        <f>IF($D510="","",IFERROR(INDEX(rngCadetPIDs,MATCH($D510,rngCadetNames,0)),"?"))</f>
        <v/>
      </c>
      <c r="F510" s="15">
        <f>IF($E510="","",IFERROR(INDEX(nrCadetAgency,MATCH($E510,rngCadetPIDs,0)),""))</f>
        <v/>
      </c>
      <c r="G510" s="14" t="n"/>
      <c r="H510" s="14" t="n"/>
      <c r="I510" s="14" t="n"/>
      <c r="J510" s="14" t="n"/>
      <c r="K510" s="15">
        <f>IF($G510="","",IF(OR($G510="PT Missed",$G510="PT Modified",$G510="PT Refused"),"Yes","No"))</f>
        <v/>
      </c>
      <c r="L510" s="14" t="n"/>
      <c r="M510" s="14" t="n"/>
      <c r="N510" s="15">
        <f>IF($D510="","",IF($M510="Excused","No",IF(AND($G510="PT Modified",$L510="Received"),"No","Yes")))</f>
        <v/>
      </c>
      <c r="O510" s="14" t="n"/>
    </row>
    <row r="511">
      <c r="B511" s="15">
        <f>IF($D511="","","A"&amp;TEXT(ROW()-5,"000"))</f>
        <v/>
      </c>
      <c r="C511" s="16" t="n"/>
      <c r="D511" s="14" t="n"/>
      <c r="E511" s="15">
        <f>IF($D511="","",IFERROR(INDEX(rngCadetPIDs,MATCH($D511,rngCadetNames,0)),"?"))</f>
        <v/>
      </c>
      <c r="F511" s="15">
        <f>IF($E511="","",IFERROR(INDEX(nrCadetAgency,MATCH($E511,rngCadetPIDs,0)),""))</f>
        <v/>
      </c>
      <c r="G511" s="14" t="n"/>
      <c r="H511" s="14" t="n"/>
      <c r="I511" s="14" t="n"/>
      <c r="J511" s="14" t="n"/>
      <c r="K511" s="15">
        <f>IF($G511="","",IF(OR($G511="PT Missed",$G511="PT Modified",$G511="PT Refused"),"Yes","No"))</f>
        <v/>
      </c>
      <c r="L511" s="14" t="n"/>
      <c r="M511" s="14" t="n"/>
      <c r="N511" s="15">
        <f>IF($D511="","",IF($M511="Excused","No",IF(AND($G511="PT Modified",$L511="Received"),"No","Yes")))</f>
        <v/>
      </c>
      <c r="O511" s="14" t="n"/>
    </row>
    <row r="512">
      <c r="B512" s="15">
        <f>IF($D512="","","A"&amp;TEXT(ROW()-5,"000"))</f>
        <v/>
      </c>
      <c r="C512" s="16" t="n"/>
      <c r="D512" s="14" t="n"/>
      <c r="E512" s="15">
        <f>IF($D512="","",IFERROR(INDEX(rngCadetPIDs,MATCH($D512,rngCadetNames,0)),"?"))</f>
        <v/>
      </c>
      <c r="F512" s="15">
        <f>IF($E512="","",IFERROR(INDEX(nrCadetAgency,MATCH($E512,rngCadetPIDs,0)),""))</f>
        <v/>
      </c>
      <c r="G512" s="14" t="n"/>
      <c r="H512" s="14" t="n"/>
      <c r="I512" s="14" t="n"/>
      <c r="J512" s="14" t="n"/>
      <c r="K512" s="15">
        <f>IF($G512="","",IF(OR($G512="PT Missed",$G512="PT Modified",$G512="PT Refused"),"Yes","No"))</f>
        <v/>
      </c>
      <c r="L512" s="14" t="n"/>
      <c r="M512" s="14" t="n"/>
      <c r="N512" s="15">
        <f>IF($D512="","",IF($M512="Excused","No",IF(AND($G512="PT Modified",$L512="Received"),"No","Yes")))</f>
        <v/>
      </c>
      <c r="O512" s="14" t="n"/>
    </row>
    <row r="513">
      <c r="B513" s="15">
        <f>IF($D513="","","A"&amp;TEXT(ROW()-5,"000"))</f>
        <v/>
      </c>
      <c r="C513" s="16" t="n"/>
      <c r="D513" s="14" t="n"/>
      <c r="E513" s="15">
        <f>IF($D513="","",IFERROR(INDEX(rngCadetPIDs,MATCH($D513,rngCadetNames,0)),"?"))</f>
        <v/>
      </c>
      <c r="F513" s="15">
        <f>IF($E513="","",IFERROR(INDEX(nrCadetAgency,MATCH($E513,rngCadetPIDs,0)),""))</f>
        <v/>
      </c>
      <c r="G513" s="14" t="n"/>
      <c r="H513" s="14" t="n"/>
      <c r="I513" s="14" t="n"/>
      <c r="J513" s="14" t="n"/>
      <c r="K513" s="15">
        <f>IF($G513="","",IF(OR($G513="PT Missed",$G513="PT Modified",$G513="PT Refused"),"Yes","No"))</f>
        <v/>
      </c>
      <c r="L513" s="14" t="n"/>
      <c r="M513" s="14" t="n"/>
      <c r="N513" s="15">
        <f>IF($D513="","",IF($M513="Excused","No",IF(AND($G513="PT Modified",$L513="Received"),"No","Yes")))</f>
        <v/>
      </c>
      <c r="O513" s="14" t="n"/>
    </row>
    <row r="514">
      <c r="B514" s="15">
        <f>IF($D514="","","A"&amp;TEXT(ROW()-5,"000"))</f>
        <v/>
      </c>
      <c r="C514" s="16" t="n"/>
      <c r="D514" s="14" t="n"/>
      <c r="E514" s="15">
        <f>IF($D514="","",IFERROR(INDEX(rngCadetPIDs,MATCH($D514,rngCadetNames,0)),"?"))</f>
        <v/>
      </c>
      <c r="F514" s="15">
        <f>IF($E514="","",IFERROR(INDEX(nrCadetAgency,MATCH($E514,rngCadetPIDs,0)),""))</f>
        <v/>
      </c>
      <c r="G514" s="14" t="n"/>
      <c r="H514" s="14" t="n"/>
      <c r="I514" s="14" t="n"/>
      <c r="J514" s="14" t="n"/>
      <c r="K514" s="15">
        <f>IF($G514="","",IF(OR($G514="PT Missed",$G514="PT Modified",$G514="PT Refused"),"Yes","No"))</f>
        <v/>
      </c>
      <c r="L514" s="14" t="n"/>
      <c r="M514" s="14" t="n"/>
      <c r="N514" s="15">
        <f>IF($D514="","",IF($M514="Excused","No",IF(AND($G514="PT Modified",$L514="Received"),"No","Yes")))</f>
        <v/>
      </c>
      <c r="O514" s="14" t="n"/>
    </row>
    <row r="515">
      <c r="B515" s="15">
        <f>IF($D515="","","A"&amp;TEXT(ROW()-5,"000"))</f>
        <v/>
      </c>
      <c r="C515" s="16" t="n"/>
      <c r="D515" s="14" t="n"/>
      <c r="E515" s="15">
        <f>IF($D515="","",IFERROR(INDEX(rngCadetPIDs,MATCH($D515,rngCadetNames,0)),"?"))</f>
        <v/>
      </c>
      <c r="F515" s="15">
        <f>IF($E515="","",IFERROR(INDEX(nrCadetAgency,MATCH($E515,rngCadetPIDs,0)),""))</f>
        <v/>
      </c>
      <c r="G515" s="14" t="n"/>
      <c r="H515" s="14" t="n"/>
      <c r="I515" s="14" t="n"/>
      <c r="J515" s="14" t="n"/>
      <c r="K515" s="15">
        <f>IF($G515="","",IF(OR($G515="PT Missed",$G515="PT Modified",$G515="PT Refused"),"Yes","No"))</f>
        <v/>
      </c>
      <c r="L515" s="14" t="n"/>
      <c r="M515" s="14" t="n"/>
      <c r="N515" s="15">
        <f>IF($D515="","",IF($M515="Excused","No",IF(AND($G515="PT Modified",$L515="Received"),"No","Yes")))</f>
        <v/>
      </c>
      <c r="O515" s="14" t="n"/>
    </row>
    <row r="516">
      <c r="B516" s="15">
        <f>IF($D516="","","A"&amp;TEXT(ROW()-5,"000"))</f>
        <v/>
      </c>
      <c r="C516" s="16" t="n"/>
      <c r="D516" s="14" t="n"/>
      <c r="E516" s="15">
        <f>IF($D516="","",IFERROR(INDEX(rngCadetPIDs,MATCH($D516,rngCadetNames,0)),"?"))</f>
        <v/>
      </c>
      <c r="F516" s="15">
        <f>IF($E516="","",IFERROR(INDEX(nrCadetAgency,MATCH($E516,rngCadetPIDs,0)),""))</f>
        <v/>
      </c>
      <c r="G516" s="14" t="n"/>
      <c r="H516" s="14" t="n"/>
      <c r="I516" s="14" t="n"/>
      <c r="J516" s="14" t="n"/>
      <c r="K516" s="15">
        <f>IF($G516="","",IF(OR($G516="PT Missed",$G516="PT Modified",$G516="PT Refused"),"Yes","No"))</f>
        <v/>
      </c>
      <c r="L516" s="14" t="n"/>
      <c r="M516" s="14" t="n"/>
      <c r="N516" s="15">
        <f>IF($D516="","",IF($M516="Excused","No",IF(AND($G516="PT Modified",$L516="Received"),"No","Yes")))</f>
        <v/>
      </c>
      <c r="O516" s="14" t="n"/>
    </row>
    <row r="517">
      <c r="B517" s="15">
        <f>IF($D517="","","A"&amp;TEXT(ROW()-5,"000"))</f>
        <v/>
      </c>
      <c r="C517" s="16" t="n"/>
      <c r="D517" s="14" t="n"/>
      <c r="E517" s="15">
        <f>IF($D517="","",IFERROR(INDEX(rngCadetPIDs,MATCH($D517,rngCadetNames,0)),"?"))</f>
        <v/>
      </c>
      <c r="F517" s="15">
        <f>IF($E517="","",IFERROR(INDEX(nrCadetAgency,MATCH($E517,rngCadetPIDs,0)),""))</f>
        <v/>
      </c>
      <c r="G517" s="14" t="n"/>
      <c r="H517" s="14" t="n"/>
      <c r="I517" s="14" t="n"/>
      <c r="J517" s="14" t="n"/>
      <c r="K517" s="15">
        <f>IF($G517="","",IF(OR($G517="PT Missed",$G517="PT Modified",$G517="PT Refused"),"Yes","No"))</f>
        <v/>
      </c>
      <c r="L517" s="14" t="n"/>
      <c r="M517" s="14" t="n"/>
      <c r="N517" s="15">
        <f>IF($D517="","",IF($M517="Excused","No",IF(AND($G517="PT Modified",$L517="Received"),"No","Yes")))</f>
        <v/>
      </c>
      <c r="O517" s="14" t="n"/>
    </row>
    <row r="518">
      <c r="B518" s="15">
        <f>IF($D518="","","A"&amp;TEXT(ROW()-5,"000"))</f>
        <v/>
      </c>
      <c r="C518" s="16" t="n"/>
      <c r="D518" s="14" t="n"/>
      <c r="E518" s="15">
        <f>IF($D518="","",IFERROR(INDEX(rngCadetPIDs,MATCH($D518,rngCadetNames,0)),"?"))</f>
        <v/>
      </c>
      <c r="F518" s="15">
        <f>IF($E518="","",IFERROR(INDEX(nrCadetAgency,MATCH($E518,rngCadetPIDs,0)),""))</f>
        <v/>
      </c>
      <c r="G518" s="14" t="n"/>
      <c r="H518" s="14" t="n"/>
      <c r="I518" s="14" t="n"/>
      <c r="J518" s="14" t="n"/>
      <c r="K518" s="15">
        <f>IF($G518="","",IF(OR($G518="PT Missed",$G518="PT Modified",$G518="PT Refused"),"Yes","No"))</f>
        <v/>
      </c>
      <c r="L518" s="14" t="n"/>
      <c r="M518" s="14" t="n"/>
      <c r="N518" s="15">
        <f>IF($D518="","",IF($M518="Excused","No",IF(AND($G518="PT Modified",$L518="Received"),"No","Yes")))</f>
        <v/>
      </c>
      <c r="O518" s="14" t="n"/>
    </row>
    <row r="519">
      <c r="B519" s="15">
        <f>IF($D519="","","A"&amp;TEXT(ROW()-5,"000"))</f>
        <v/>
      </c>
      <c r="C519" s="16" t="n"/>
      <c r="D519" s="14" t="n"/>
      <c r="E519" s="15">
        <f>IF($D519="","",IFERROR(INDEX(rngCadetPIDs,MATCH($D519,rngCadetNames,0)),"?"))</f>
        <v/>
      </c>
      <c r="F519" s="15">
        <f>IF($E519="","",IFERROR(INDEX(nrCadetAgency,MATCH($E519,rngCadetPIDs,0)),""))</f>
        <v/>
      </c>
      <c r="G519" s="14" t="n"/>
      <c r="H519" s="14" t="n"/>
      <c r="I519" s="14" t="n"/>
      <c r="J519" s="14" t="n"/>
      <c r="K519" s="15">
        <f>IF($G519="","",IF(OR($G519="PT Missed",$G519="PT Modified",$G519="PT Refused"),"Yes","No"))</f>
        <v/>
      </c>
      <c r="L519" s="14" t="n"/>
      <c r="M519" s="14" t="n"/>
      <c r="N519" s="15">
        <f>IF($D519="","",IF($M519="Excused","No",IF(AND($G519="PT Modified",$L519="Received"),"No","Yes")))</f>
        <v/>
      </c>
      <c r="O519" s="14" t="n"/>
    </row>
    <row r="520">
      <c r="B520" s="15">
        <f>IF($D520="","","A"&amp;TEXT(ROW()-5,"000"))</f>
        <v/>
      </c>
      <c r="C520" s="16" t="n"/>
      <c r="D520" s="14" t="n"/>
      <c r="E520" s="15">
        <f>IF($D520="","",IFERROR(INDEX(rngCadetPIDs,MATCH($D520,rngCadetNames,0)),"?"))</f>
        <v/>
      </c>
      <c r="F520" s="15">
        <f>IF($E520="","",IFERROR(INDEX(nrCadetAgency,MATCH($E520,rngCadetPIDs,0)),""))</f>
        <v/>
      </c>
      <c r="G520" s="14" t="n"/>
      <c r="H520" s="14" t="n"/>
      <c r="I520" s="14" t="n"/>
      <c r="J520" s="14" t="n"/>
      <c r="K520" s="15">
        <f>IF($G520="","",IF(OR($G520="PT Missed",$G520="PT Modified",$G520="PT Refused"),"Yes","No"))</f>
        <v/>
      </c>
      <c r="L520" s="14" t="n"/>
      <c r="M520" s="14" t="n"/>
      <c r="N520" s="15">
        <f>IF($D520="","",IF($M520="Excused","No",IF(AND($G520="PT Modified",$L520="Received"),"No","Yes")))</f>
        <v/>
      </c>
      <c r="O520" s="14" t="n"/>
    </row>
    <row r="521">
      <c r="B521" s="15">
        <f>IF($D521="","","A"&amp;TEXT(ROW()-5,"000"))</f>
        <v/>
      </c>
      <c r="C521" s="16" t="n"/>
      <c r="D521" s="14" t="n"/>
      <c r="E521" s="15">
        <f>IF($D521="","",IFERROR(INDEX(rngCadetPIDs,MATCH($D521,rngCadetNames,0)),"?"))</f>
        <v/>
      </c>
      <c r="F521" s="15">
        <f>IF($E521="","",IFERROR(INDEX(nrCadetAgency,MATCH($E521,rngCadetPIDs,0)),""))</f>
        <v/>
      </c>
      <c r="G521" s="14" t="n"/>
      <c r="H521" s="14" t="n"/>
      <c r="I521" s="14" t="n"/>
      <c r="J521" s="14" t="n"/>
      <c r="K521" s="15">
        <f>IF($G521="","",IF(OR($G521="PT Missed",$G521="PT Modified",$G521="PT Refused"),"Yes","No"))</f>
        <v/>
      </c>
      <c r="L521" s="14" t="n"/>
      <c r="M521" s="14" t="n"/>
      <c r="N521" s="15">
        <f>IF($D521="","",IF($M521="Excused","No",IF(AND($G521="PT Modified",$L521="Received"),"No","Yes")))</f>
        <v/>
      </c>
      <c r="O521" s="14" t="n"/>
    </row>
    <row r="522">
      <c r="B522" s="15">
        <f>IF($D522="","","A"&amp;TEXT(ROW()-5,"000"))</f>
        <v/>
      </c>
      <c r="C522" s="16" t="n"/>
      <c r="D522" s="14" t="n"/>
      <c r="E522" s="15">
        <f>IF($D522="","",IFERROR(INDEX(rngCadetPIDs,MATCH($D522,rngCadetNames,0)),"?"))</f>
        <v/>
      </c>
      <c r="F522" s="15">
        <f>IF($E522="","",IFERROR(INDEX(nrCadetAgency,MATCH($E522,rngCadetPIDs,0)),""))</f>
        <v/>
      </c>
      <c r="G522" s="14" t="n"/>
      <c r="H522" s="14" t="n"/>
      <c r="I522" s="14" t="n"/>
      <c r="J522" s="14" t="n"/>
      <c r="K522" s="15">
        <f>IF($G522="","",IF(OR($G522="PT Missed",$G522="PT Modified",$G522="PT Refused"),"Yes","No"))</f>
        <v/>
      </c>
      <c r="L522" s="14" t="n"/>
      <c r="M522" s="14" t="n"/>
      <c r="N522" s="15">
        <f>IF($D522="","",IF($M522="Excused","No",IF(AND($G522="PT Modified",$L522="Received"),"No","Yes")))</f>
        <v/>
      </c>
      <c r="O522" s="14" t="n"/>
    </row>
    <row r="523">
      <c r="B523" s="15">
        <f>IF($D523="","","A"&amp;TEXT(ROW()-5,"000"))</f>
        <v/>
      </c>
      <c r="C523" s="16" t="n"/>
      <c r="D523" s="14" t="n"/>
      <c r="E523" s="15">
        <f>IF($D523="","",IFERROR(INDEX(rngCadetPIDs,MATCH($D523,rngCadetNames,0)),"?"))</f>
        <v/>
      </c>
      <c r="F523" s="15">
        <f>IF($E523="","",IFERROR(INDEX(nrCadetAgency,MATCH($E523,rngCadetPIDs,0)),""))</f>
        <v/>
      </c>
      <c r="G523" s="14" t="n"/>
      <c r="H523" s="14" t="n"/>
      <c r="I523" s="14" t="n"/>
      <c r="J523" s="14" t="n"/>
      <c r="K523" s="15">
        <f>IF($G523="","",IF(OR($G523="PT Missed",$G523="PT Modified",$G523="PT Refused"),"Yes","No"))</f>
        <v/>
      </c>
      <c r="L523" s="14" t="n"/>
      <c r="M523" s="14" t="n"/>
      <c r="N523" s="15">
        <f>IF($D523="","",IF($M523="Excused","No",IF(AND($G523="PT Modified",$L523="Received"),"No","Yes")))</f>
        <v/>
      </c>
      <c r="O523" s="14" t="n"/>
    </row>
    <row r="524">
      <c r="B524" s="15">
        <f>IF($D524="","","A"&amp;TEXT(ROW()-5,"000"))</f>
        <v/>
      </c>
      <c r="C524" s="16" t="n"/>
      <c r="D524" s="14" t="n"/>
      <c r="E524" s="15">
        <f>IF($D524="","",IFERROR(INDEX(rngCadetPIDs,MATCH($D524,rngCadetNames,0)),"?"))</f>
        <v/>
      </c>
      <c r="F524" s="15">
        <f>IF($E524="","",IFERROR(INDEX(nrCadetAgency,MATCH($E524,rngCadetPIDs,0)),""))</f>
        <v/>
      </c>
      <c r="G524" s="14" t="n"/>
      <c r="H524" s="14" t="n"/>
      <c r="I524" s="14" t="n"/>
      <c r="J524" s="14" t="n"/>
      <c r="K524" s="15">
        <f>IF($G524="","",IF(OR($G524="PT Missed",$G524="PT Modified",$G524="PT Refused"),"Yes","No"))</f>
        <v/>
      </c>
      <c r="L524" s="14" t="n"/>
      <c r="M524" s="14" t="n"/>
      <c r="N524" s="15">
        <f>IF($D524="","",IF($M524="Excused","No",IF(AND($G524="PT Modified",$L524="Received"),"No","Yes")))</f>
        <v/>
      </c>
      <c r="O524" s="14" t="n"/>
    </row>
    <row r="525">
      <c r="B525" s="15">
        <f>IF($D525="","","A"&amp;TEXT(ROW()-5,"000"))</f>
        <v/>
      </c>
      <c r="C525" s="16" t="n"/>
      <c r="D525" s="14" t="n"/>
      <c r="E525" s="15">
        <f>IF($D525="","",IFERROR(INDEX(rngCadetPIDs,MATCH($D525,rngCadetNames,0)),"?"))</f>
        <v/>
      </c>
      <c r="F525" s="15">
        <f>IF($E525="","",IFERROR(INDEX(nrCadetAgency,MATCH($E525,rngCadetPIDs,0)),""))</f>
        <v/>
      </c>
      <c r="G525" s="14" t="n"/>
      <c r="H525" s="14" t="n"/>
      <c r="I525" s="14" t="n"/>
      <c r="J525" s="14" t="n"/>
      <c r="K525" s="15">
        <f>IF($G525="","",IF(OR($G525="PT Missed",$G525="PT Modified",$G525="PT Refused"),"Yes","No"))</f>
        <v/>
      </c>
      <c r="L525" s="14" t="n"/>
      <c r="M525" s="14" t="n"/>
      <c r="N525" s="15">
        <f>IF($D525="","",IF($M525="Excused","No",IF(AND($G525="PT Modified",$L525="Received"),"No","Yes")))</f>
        <v/>
      </c>
      <c r="O525" s="14" t="n"/>
    </row>
    <row r="526">
      <c r="B526" s="15">
        <f>IF($D526="","","A"&amp;TEXT(ROW()-5,"000"))</f>
        <v/>
      </c>
      <c r="C526" s="16" t="n"/>
      <c r="D526" s="14" t="n"/>
      <c r="E526" s="15">
        <f>IF($D526="","",IFERROR(INDEX(rngCadetPIDs,MATCH($D526,rngCadetNames,0)),"?"))</f>
        <v/>
      </c>
      <c r="F526" s="15">
        <f>IF($E526="","",IFERROR(INDEX(nrCadetAgency,MATCH($E526,rngCadetPIDs,0)),""))</f>
        <v/>
      </c>
      <c r="G526" s="14" t="n"/>
      <c r="H526" s="14" t="n"/>
      <c r="I526" s="14" t="n"/>
      <c r="J526" s="14" t="n"/>
      <c r="K526" s="15">
        <f>IF($G526="","",IF(OR($G526="PT Missed",$G526="PT Modified",$G526="PT Refused"),"Yes","No"))</f>
        <v/>
      </c>
      <c r="L526" s="14" t="n"/>
      <c r="M526" s="14" t="n"/>
      <c r="N526" s="15">
        <f>IF($D526="","",IF($M526="Excused","No",IF(AND($G526="PT Modified",$L526="Received"),"No","Yes")))</f>
        <v/>
      </c>
      <c r="O526" s="14" t="n"/>
    </row>
    <row r="527">
      <c r="B527" s="15">
        <f>IF($D527="","","A"&amp;TEXT(ROW()-5,"000"))</f>
        <v/>
      </c>
      <c r="C527" s="16" t="n"/>
      <c r="D527" s="14" t="n"/>
      <c r="E527" s="15">
        <f>IF($D527="","",IFERROR(INDEX(rngCadetPIDs,MATCH($D527,rngCadetNames,0)),"?"))</f>
        <v/>
      </c>
      <c r="F527" s="15">
        <f>IF($E527="","",IFERROR(INDEX(nrCadetAgency,MATCH($E527,rngCadetPIDs,0)),""))</f>
        <v/>
      </c>
      <c r="G527" s="14" t="n"/>
      <c r="H527" s="14" t="n"/>
      <c r="I527" s="14" t="n"/>
      <c r="J527" s="14" t="n"/>
      <c r="K527" s="15">
        <f>IF($G527="","",IF(OR($G527="PT Missed",$G527="PT Modified",$G527="PT Refused"),"Yes","No"))</f>
        <v/>
      </c>
      <c r="L527" s="14" t="n"/>
      <c r="M527" s="14" t="n"/>
      <c r="N527" s="15">
        <f>IF($D527="","",IF($M527="Excused","No",IF(AND($G527="PT Modified",$L527="Received"),"No","Yes")))</f>
        <v/>
      </c>
      <c r="O527" s="14" t="n"/>
    </row>
    <row r="528">
      <c r="B528" s="15">
        <f>IF($D528="","","A"&amp;TEXT(ROW()-5,"000"))</f>
        <v/>
      </c>
      <c r="C528" s="16" t="n"/>
      <c r="D528" s="14" t="n"/>
      <c r="E528" s="15">
        <f>IF($D528="","",IFERROR(INDEX(rngCadetPIDs,MATCH($D528,rngCadetNames,0)),"?"))</f>
        <v/>
      </c>
      <c r="F528" s="15">
        <f>IF($E528="","",IFERROR(INDEX(nrCadetAgency,MATCH($E528,rngCadetPIDs,0)),""))</f>
        <v/>
      </c>
      <c r="G528" s="14" t="n"/>
      <c r="H528" s="14" t="n"/>
      <c r="I528" s="14" t="n"/>
      <c r="J528" s="14" t="n"/>
      <c r="K528" s="15">
        <f>IF($G528="","",IF(OR($G528="PT Missed",$G528="PT Modified",$G528="PT Refused"),"Yes","No"))</f>
        <v/>
      </c>
      <c r="L528" s="14" t="n"/>
      <c r="M528" s="14" t="n"/>
      <c r="N528" s="15">
        <f>IF($D528="","",IF($M528="Excused","No",IF(AND($G528="PT Modified",$L528="Received"),"No","Yes")))</f>
        <v/>
      </c>
      <c r="O528" s="14" t="n"/>
    </row>
    <row r="529">
      <c r="B529" s="15">
        <f>IF($D529="","","A"&amp;TEXT(ROW()-5,"000"))</f>
        <v/>
      </c>
      <c r="C529" s="16" t="n"/>
      <c r="D529" s="14" t="n"/>
      <c r="E529" s="15">
        <f>IF($D529="","",IFERROR(INDEX(rngCadetPIDs,MATCH($D529,rngCadetNames,0)),"?"))</f>
        <v/>
      </c>
      <c r="F529" s="15">
        <f>IF($E529="","",IFERROR(INDEX(nrCadetAgency,MATCH($E529,rngCadetPIDs,0)),""))</f>
        <v/>
      </c>
      <c r="G529" s="14" t="n"/>
      <c r="H529" s="14" t="n"/>
      <c r="I529" s="14" t="n"/>
      <c r="J529" s="14" t="n"/>
      <c r="K529" s="15">
        <f>IF($G529="","",IF(OR($G529="PT Missed",$G529="PT Modified",$G529="PT Refused"),"Yes","No"))</f>
        <v/>
      </c>
      <c r="L529" s="14" t="n"/>
      <c r="M529" s="14" t="n"/>
      <c r="N529" s="15">
        <f>IF($D529="","",IF($M529="Excused","No",IF(AND($G529="PT Modified",$L529="Received"),"No","Yes")))</f>
        <v/>
      </c>
      <c r="O529" s="14" t="n"/>
    </row>
    <row r="530">
      <c r="B530" s="15">
        <f>IF($D530="","","A"&amp;TEXT(ROW()-5,"000"))</f>
        <v/>
      </c>
      <c r="C530" s="16" t="n"/>
      <c r="D530" s="14" t="n"/>
      <c r="E530" s="15">
        <f>IF($D530="","",IFERROR(INDEX(rngCadetPIDs,MATCH($D530,rngCadetNames,0)),"?"))</f>
        <v/>
      </c>
      <c r="F530" s="15">
        <f>IF($E530="","",IFERROR(INDEX(nrCadetAgency,MATCH($E530,rngCadetPIDs,0)),""))</f>
        <v/>
      </c>
      <c r="G530" s="14" t="n"/>
      <c r="H530" s="14" t="n"/>
      <c r="I530" s="14" t="n"/>
      <c r="J530" s="14" t="n"/>
      <c r="K530" s="15">
        <f>IF($G530="","",IF(OR($G530="PT Missed",$G530="PT Modified",$G530="PT Refused"),"Yes","No"))</f>
        <v/>
      </c>
      <c r="L530" s="14" t="n"/>
      <c r="M530" s="14" t="n"/>
      <c r="N530" s="15">
        <f>IF($D530="","",IF($M530="Excused","No",IF(AND($G530="PT Modified",$L530="Received"),"No","Yes")))</f>
        <v/>
      </c>
      <c r="O530" s="14" t="n"/>
    </row>
    <row r="531">
      <c r="B531" s="15">
        <f>IF($D531="","","A"&amp;TEXT(ROW()-5,"000"))</f>
        <v/>
      </c>
      <c r="C531" s="16" t="n"/>
      <c r="D531" s="14" t="n"/>
      <c r="E531" s="15">
        <f>IF($D531="","",IFERROR(INDEX(rngCadetPIDs,MATCH($D531,rngCadetNames,0)),"?"))</f>
        <v/>
      </c>
      <c r="F531" s="15">
        <f>IF($E531="","",IFERROR(INDEX(nrCadetAgency,MATCH($E531,rngCadetPIDs,0)),""))</f>
        <v/>
      </c>
      <c r="G531" s="14" t="n"/>
      <c r="H531" s="14" t="n"/>
      <c r="I531" s="14" t="n"/>
      <c r="J531" s="14" t="n"/>
      <c r="K531" s="15">
        <f>IF($G531="","",IF(OR($G531="PT Missed",$G531="PT Modified",$G531="PT Refused"),"Yes","No"))</f>
        <v/>
      </c>
      <c r="L531" s="14" t="n"/>
      <c r="M531" s="14" t="n"/>
      <c r="N531" s="15">
        <f>IF($D531="","",IF($M531="Excused","No",IF(AND($G531="PT Modified",$L531="Received"),"No","Yes")))</f>
        <v/>
      </c>
      <c r="O531" s="14" t="n"/>
    </row>
    <row r="532">
      <c r="B532" s="15">
        <f>IF($D532="","","A"&amp;TEXT(ROW()-5,"000"))</f>
        <v/>
      </c>
      <c r="C532" s="16" t="n"/>
      <c r="D532" s="14" t="n"/>
      <c r="E532" s="15">
        <f>IF($D532="","",IFERROR(INDEX(rngCadetPIDs,MATCH($D532,rngCadetNames,0)),"?"))</f>
        <v/>
      </c>
      <c r="F532" s="15">
        <f>IF($E532="","",IFERROR(INDEX(nrCadetAgency,MATCH($E532,rngCadetPIDs,0)),""))</f>
        <v/>
      </c>
      <c r="G532" s="14" t="n"/>
      <c r="H532" s="14" t="n"/>
      <c r="I532" s="14" t="n"/>
      <c r="J532" s="14" t="n"/>
      <c r="K532" s="15">
        <f>IF($G532="","",IF(OR($G532="PT Missed",$G532="PT Modified",$G532="PT Refused"),"Yes","No"))</f>
        <v/>
      </c>
      <c r="L532" s="14" t="n"/>
      <c r="M532" s="14" t="n"/>
      <c r="N532" s="15">
        <f>IF($D532="","",IF($M532="Excused","No",IF(AND($G532="PT Modified",$L532="Received"),"No","Yes")))</f>
        <v/>
      </c>
      <c r="O532" s="14" t="n"/>
    </row>
    <row r="533">
      <c r="B533" s="15">
        <f>IF($D533="","","A"&amp;TEXT(ROW()-5,"000"))</f>
        <v/>
      </c>
      <c r="C533" s="16" t="n"/>
      <c r="D533" s="14" t="n"/>
      <c r="E533" s="15">
        <f>IF($D533="","",IFERROR(INDEX(rngCadetPIDs,MATCH($D533,rngCadetNames,0)),"?"))</f>
        <v/>
      </c>
      <c r="F533" s="15">
        <f>IF($E533="","",IFERROR(INDEX(nrCadetAgency,MATCH($E533,rngCadetPIDs,0)),""))</f>
        <v/>
      </c>
      <c r="G533" s="14" t="n"/>
      <c r="H533" s="14" t="n"/>
      <c r="I533" s="14" t="n"/>
      <c r="J533" s="14" t="n"/>
      <c r="K533" s="15">
        <f>IF($G533="","",IF(OR($G533="PT Missed",$G533="PT Modified",$G533="PT Refused"),"Yes","No"))</f>
        <v/>
      </c>
      <c r="L533" s="14" t="n"/>
      <c r="M533" s="14" t="n"/>
      <c r="N533" s="15">
        <f>IF($D533="","",IF($M533="Excused","No",IF(AND($G533="PT Modified",$L533="Received"),"No","Yes")))</f>
        <v/>
      </c>
      <c r="O533" s="14" t="n"/>
    </row>
    <row r="534">
      <c r="B534" s="15">
        <f>IF($D534="","","A"&amp;TEXT(ROW()-5,"000"))</f>
        <v/>
      </c>
      <c r="C534" s="16" t="n"/>
      <c r="D534" s="14" t="n"/>
      <c r="E534" s="15">
        <f>IF($D534="","",IFERROR(INDEX(rngCadetPIDs,MATCH($D534,rngCadetNames,0)),"?"))</f>
        <v/>
      </c>
      <c r="F534" s="15">
        <f>IF($E534="","",IFERROR(INDEX(nrCadetAgency,MATCH($E534,rngCadetPIDs,0)),""))</f>
        <v/>
      </c>
      <c r="G534" s="14" t="n"/>
      <c r="H534" s="14" t="n"/>
      <c r="I534" s="14" t="n"/>
      <c r="J534" s="14" t="n"/>
      <c r="K534" s="15">
        <f>IF($G534="","",IF(OR($G534="PT Missed",$G534="PT Modified",$G534="PT Refused"),"Yes","No"))</f>
        <v/>
      </c>
      <c r="L534" s="14" t="n"/>
      <c r="M534" s="14" t="n"/>
      <c r="N534" s="15">
        <f>IF($D534="","",IF($M534="Excused","No",IF(AND($G534="PT Modified",$L534="Received"),"No","Yes")))</f>
        <v/>
      </c>
      <c r="O534" s="14" t="n"/>
    </row>
    <row r="535">
      <c r="B535" s="15">
        <f>IF($D535="","","A"&amp;TEXT(ROW()-5,"000"))</f>
        <v/>
      </c>
      <c r="C535" s="16" t="n"/>
      <c r="D535" s="14" t="n"/>
      <c r="E535" s="15">
        <f>IF($D535="","",IFERROR(INDEX(rngCadetPIDs,MATCH($D535,rngCadetNames,0)),"?"))</f>
        <v/>
      </c>
      <c r="F535" s="15">
        <f>IF($E535="","",IFERROR(INDEX(nrCadetAgency,MATCH($E535,rngCadetPIDs,0)),""))</f>
        <v/>
      </c>
      <c r="G535" s="14" t="n"/>
      <c r="H535" s="14" t="n"/>
      <c r="I535" s="14" t="n"/>
      <c r="J535" s="14" t="n"/>
      <c r="K535" s="15">
        <f>IF($G535="","",IF(OR($G535="PT Missed",$G535="PT Modified",$G535="PT Refused"),"Yes","No"))</f>
        <v/>
      </c>
      <c r="L535" s="14" t="n"/>
      <c r="M535" s="14" t="n"/>
      <c r="N535" s="15">
        <f>IF($D535="","",IF($M535="Excused","No",IF(AND($G535="PT Modified",$L535="Received"),"No","Yes")))</f>
        <v/>
      </c>
      <c r="O535" s="14" t="n"/>
    </row>
    <row r="536">
      <c r="B536" s="15">
        <f>IF($D536="","","A"&amp;TEXT(ROW()-5,"000"))</f>
        <v/>
      </c>
      <c r="C536" s="16" t="n"/>
      <c r="D536" s="14" t="n"/>
      <c r="E536" s="15">
        <f>IF($D536="","",IFERROR(INDEX(rngCadetPIDs,MATCH($D536,rngCadetNames,0)),"?"))</f>
        <v/>
      </c>
      <c r="F536" s="15">
        <f>IF($E536="","",IFERROR(INDEX(nrCadetAgency,MATCH($E536,rngCadetPIDs,0)),""))</f>
        <v/>
      </c>
      <c r="G536" s="14" t="n"/>
      <c r="H536" s="14" t="n"/>
      <c r="I536" s="14" t="n"/>
      <c r="J536" s="14" t="n"/>
      <c r="K536" s="15">
        <f>IF($G536="","",IF(OR($G536="PT Missed",$G536="PT Modified",$G536="PT Refused"),"Yes","No"))</f>
        <v/>
      </c>
      <c r="L536" s="14" t="n"/>
      <c r="M536" s="14" t="n"/>
      <c r="N536" s="15">
        <f>IF($D536="","",IF($M536="Excused","No",IF(AND($G536="PT Modified",$L536="Received"),"No","Yes")))</f>
        <v/>
      </c>
      <c r="O536" s="14" t="n"/>
    </row>
    <row r="537">
      <c r="B537" s="15">
        <f>IF($D537="","","A"&amp;TEXT(ROW()-5,"000"))</f>
        <v/>
      </c>
      <c r="C537" s="16" t="n"/>
      <c r="D537" s="14" t="n"/>
      <c r="E537" s="15">
        <f>IF($D537="","",IFERROR(INDEX(rngCadetPIDs,MATCH($D537,rngCadetNames,0)),"?"))</f>
        <v/>
      </c>
      <c r="F537" s="15">
        <f>IF($E537="","",IFERROR(INDEX(nrCadetAgency,MATCH($E537,rngCadetPIDs,0)),""))</f>
        <v/>
      </c>
      <c r="G537" s="14" t="n"/>
      <c r="H537" s="14" t="n"/>
      <c r="I537" s="14" t="n"/>
      <c r="J537" s="14" t="n"/>
      <c r="K537" s="15">
        <f>IF($G537="","",IF(OR($G537="PT Missed",$G537="PT Modified",$G537="PT Refused"),"Yes","No"))</f>
        <v/>
      </c>
      <c r="L537" s="14" t="n"/>
      <c r="M537" s="14" t="n"/>
      <c r="N537" s="15">
        <f>IF($D537="","",IF($M537="Excused","No",IF(AND($G537="PT Modified",$L537="Received"),"No","Yes")))</f>
        <v/>
      </c>
      <c r="O537" s="14" t="n"/>
    </row>
    <row r="538">
      <c r="B538" s="15">
        <f>IF($D538="","","A"&amp;TEXT(ROW()-5,"000"))</f>
        <v/>
      </c>
      <c r="C538" s="16" t="n"/>
      <c r="D538" s="14" t="n"/>
      <c r="E538" s="15">
        <f>IF($D538="","",IFERROR(INDEX(rngCadetPIDs,MATCH($D538,rngCadetNames,0)),"?"))</f>
        <v/>
      </c>
      <c r="F538" s="15">
        <f>IF($E538="","",IFERROR(INDEX(nrCadetAgency,MATCH($E538,rngCadetPIDs,0)),""))</f>
        <v/>
      </c>
      <c r="G538" s="14" t="n"/>
      <c r="H538" s="14" t="n"/>
      <c r="I538" s="14" t="n"/>
      <c r="J538" s="14" t="n"/>
      <c r="K538" s="15">
        <f>IF($G538="","",IF(OR($G538="PT Missed",$G538="PT Modified",$G538="PT Refused"),"Yes","No"))</f>
        <v/>
      </c>
      <c r="L538" s="14" t="n"/>
      <c r="M538" s="14" t="n"/>
      <c r="N538" s="15">
        <f>IF($D538="","",IF($M538="Excused","No",IF(AND($G538="PT Modified",$L538="Received"),"No","Yes")))</f>
        <v/>
      </c>
      <c r="O538" s="14" t="n"/>
    </row>
    <row r="539">
      <c r="B539" s="15">
        <f>IF($D539="","","A"&amp;TEXT(ROW()-5,"000"))</f>
        <v/>
      </c>
      <c r="C539" s="16" t="n"/>
      <c r="D539" s="14" t="n"/>
      <c r="E539" s="15">
        <f>IF($D539="","",IFERROR(INDEX(rngCadetPIDs,MATCH($D539,rngCadetNames,0)),"?"))</f>
        <v/>
      </c>
      <c r="F539" s="15">
        <f>IF($E539="","",IFERROR(INDEX(nrCadetAgency,MATCH($E539,rngCadetPIDs,0)),""))</f>
        <v/>
      </c>
      <c r="G539" s="14" t="n"/>
      <c r="H539" s="14" t="n"/>
      <c r="I539" s="14" t="n"/>
      <c r="J539" s="14" t="n"/>
      <c r="K539" s="15">
        <f>IF($G539="","",IF(OR($G539="PT Missed",$G539="PT Modified",$G539="PT Refused"),"Yes","No"))</f>
        <v/>
      </c>
      <c r="L539" s="14" t="n"/>
      <c r="M539" s="14" t="n"/>
      <c r="N539" s="15">
        <f>IF($D539="","",IF($M539="Excused","No",IF(AND($G539="PT Modified",$L539="Received"),"No","Yes")))</f>
        <v/>
      </c>
      <c r="O539" s="14" t="n"/>
    </row>
    <row r="540">
      <c r="B540" s="15">
        <f>IF($D540="","","A"&amp;TEXT(ROW()-5,"000"))</f>
        <v/>
      </c>
      <c r="C540" s="16" t="n"/>
      <c r="D540" s="14" t="n"/>
      <c r="E540" s="15">
        <f>IF($D540="","",IFERROR(INDEX(rngCadetPIDs,MATCH($D540,rngCadetNames,0)),"?"))</f>
        <v/>
      </c>
      <c r="F540" s="15">
        <f>IF($E540="","",IFERROR(INDEX(nrCadetAgency,MATCH($E540,rngCadetPIDs,0)),""))</f>
        <v/>
      </c>
      <c r="G540" s="14" t="n"/>
      <c r="H540" s="14" t="n"/>
      <c r="I540" s="14" t="n"/>
      <c r="J540" s="14" t="n"/>
      <c r="K540" s="15">
        <f>IF($G540="","",IF(OR($G540="PT Missed",$G540="PT Modified",$G540="PT Refused"),"Yes","No"))</f>
        <v/>
      </c>
      <c r="L540" s="14" t="n"/>
      <c r="M540" s="14" t="n"/>
      <c r="N540" s="15">
        <f>IF($D540="","",IF($M540="Excused","No",IF(AND($G540="PT Modified",$L540="Received"),"No","Yes")))</f>
        <v/>
      </c>
      <c r="O540" s="14" t="n"/>
    </row>
    <row r="541">
      <c r="B541" s="15">
        <f>IF($D541="","","A"&amp;TEXT(ROW()-5,"000"))</f>
        <v/>
      </c>
      <c r="C541" s="16" t="n"/>
      <c r="D541" s="14" t="n"/>
      <c r="E541" s="15">
        <f>IF($D541="","",IFERROR(INDEX(rngCadetPIDs,MATCH($D541,rngCadetNames,0)),"?"))</f>
        <v/>
      </c>
      <c r="F541" s="15">
        <f>IF($E541="","",IFERROR(INDEX(nrCadetAgency,MATCH($E541,rngCadetPIDs,0)),""))</f>
        <v/>
      </c>
      <c r="G541" s="14" t="n"/>
      <c r="H541" s="14" t="n"/>
      <c r="I541" s="14" t="n"/>
      <c r="J541" s="14" t="n"/>
      <c r="K541" s="15">
        <f>IF($G541="","",IF(OR($G541="PT Missed",$G541="PT Modified",$G541="PT Refused"),"Yes","No"))</f>
        <v/>
      </c>
      <c r="L541" s="14" t="n"/>
      <c r="M541" s="14" t="n"/>
      <c r="N541" s="15">
        <f>IF($D541="","",IF($M541="Excused","No",IF(AND($G541="PT Modified",$L541="Received"),"No","Yes")))</f>
        <v/>
      </c>
      <c r="O541" s="14" t="n"/>
    </row>
    <row r="542">
      <c r="B542" s="15">
        <f>IF($D542="","","A"&amp;TEXT(ROW()-5,"000"))</f>
        <v/>
      </c>
      <c r="C542" s="16" t="n"/>
      <c r="D542" s="14" t="n"/>
      <c r="E542" s="15">
        <f>IF($D542="","",IFERROR(INDEX(rngCadetPIDs,MATCH($D542,rngCadetNames,0)),"?"))</f>
        <v/>
      </c>
      <c r="F542" s="15">
        <f>IF($E542="","",IFERROR(INDEX(nrCadetAgency,MATCH($E542,rngCadetPIDs,0)),""))</f>
        <v/>
      </c>
      <c r="G542" s="14" t="n"/>
      <c r="H542" s="14" t="n"/>
      <c r="I542" s="14" t="n"/>
      <c r="J542" s="14" t="n"/>
      <c r="K542" s="15">
        <f>IF($G542="","",IF(OR($G542="PT Missed",$G542="PT Modified",$G542="PT Refused"),"Yes","No"))</f>
        <v/>
      </c>
      <c r="L542" s="14" t="n"/>
      <c r="M542" s="14" t="n"/>
      <c r="N542" s="15">
        <f>IF($D542="","",IF($M542="Excused","No",IF(AND($G542="PT Modified",$L542="Received"),"No","Yes")))</f>
        <v/>
      </c>
      <c r="O542" s="14" t="n"/>
    </row>
    <row r="543">
      <c r="B543" s="15">
        <f>IF($D543="","","A"&amp;TEXT(ROW()-5,"000"))</f>
        <v/>
      </c>
      <c r="C543" s="16" t="n"/>
      <c r="D543" s="14" t="n"/>
      <c r="E543" s="15">
        <f>IF($D543="","",IFERROR(INDEX(rngCadetPIDs,MATCH($D543,rngCadetNames,0)),"?"))</f>
        <v/>
      </c>
      <c r="F543" s="15">
        <f>IF($E543="","",IFERROR(INDEX(nrCadetAgency,MATCH($E543,rngCadetPIDs,0)),""))</f>
        <v/>
      </c>
      <c r="G543" s="14" t="n"/>
      <c r="H543" s="14" t="n"/>
      <c r="I543" s="14" t="n"/>
      <c r="J543" s="14" t="n"/>
      <c r="K543" s="15">
        <f>IF($G543="","",IF(OR($G543="PT Missed",$G543="PT Modified",$G543="PT Refused"),"Yes","No"))</f>
        <v/>
      </c>
      <c r="L543" s="14" t="n"/>
      <c r="M543" s="14" t="n"/>
      <c r="N543" s="15">
        <f>IF($D543="","",IF($M543="Excused","No",IF(AND($G543="PT Modified",$L543="Received"),"No","Yes")))</f>
        <v/>
      </c>
      <c r="O543" s="14" t="n"/>
    </row>
    <row r="544">
      <c r="B544" s="15">
        <f>IF($D544="","","A"&amp;TEXT(ROW()-5,"000"))</f>
        <v/>
      </c>
      <c r="C544" s="16" t="n"/>
      <c r="D544" s="14" t="n"/>
      <c r="E544" s="15">
        <f>IF($D544="","",IFERROR(INDEX(rngCadetPIDs,MATCH($D544,rngCadetNames,0)),"?"))</f>
        <v/>
      </c>
      <c r="F544" s="15">
        <f>IF($E544="","",IFERROR(INDEX(nrCadetAgency,MATCH($E544,rngCadetPIDs,0)),""))</f>
        <v/>
      </c>
      <c r="G544" s="14" t="n"/>
      <c r="H544" s="14" t="n"/>
      <c r="I544" s="14" t="n"/>
      <c r="J544" s="14" t="n"/>
      <c r="K544" s="15">
        <f>IF($G544="","",IF(OR($G544="PT Missed",$G544="PT Modified",$G544="PT Refused"),"Yes","No"))</f>
        <v/>
      </c>
      <c r="L544" s="14" t="n"/>
      <c r="M544" s="14" t="n"/>
      <c r="N544" s="15">
        <f>IF($D544="","",IF($M544="Excused","No",IF(AND($G544="PT Modified",$L544="Received"),"No","Yes")))</f>
        <v/>
      </c>
      <c r="O544" s="14" t="n"/>
    </row>
    <row r="545">
      <c r="B545" s="15">
        <f>IF($D545="","","A"&amp;TEXT(ROW()-5,"000"))</f>
        <v/>
      </c>
      <c r="C545" s="16" t="n"/>
      <c r="D545" s="14" t="n"/>
      <c r="E545" s="15">
        <f>IF($D545="","",IFERROR(INDEX(rngCadetPIDs,MATCH($D545,rngCadetNames,0)),"?"))</f>
        <v/>
      </c>
      <c r="F545" s="15">
        <f>IF($E545="","",IFERROR(INDEX(nrCadetAgency,MATCH($E545,rngCadetPIDs,0)),""))</f>
        <v/>
      </c>
      <c r="G545" s="14" t="n"/>
      <c r="H545" s="14" t="n"/>
      <c r="I545" s="14" t="n"/>
      <c r="J545" s="14" t="n"/>
      <c r="K545" s="15">
        <f>IF($G545="","",IF(OR($G545="PT Missed",$G545="PT Modified",$G545="PT Refused"),"Yes","No"))</f>
        <v/>
      </c>
      <c r="L545" s="14" t="n"/>
      <c r="M545" s="14" t="n"/>
      <c r="N545" s="15">
        <f>IF($D545="","",IF($M545="Excused","No",IF(AND($G545="PT Modified",$L545="Received"),"No","Yes")))</f>
        <v/>
      </c>
      <c r="O545" s="14" t="n"/>
    </row>
    <row r="546">
      <c r="B546" s="15">
        <f>IF($D546="","","A"&amp;TEXT(ROW()-5,"000"))</f>
        <v/>
      </c>
      <c r="C546" s="16" t="n"/>
      <c r="D546" s="14" t="n"/>
      <c r="E546" s="15">
        <f>IF($D546="","",IFERROR(INDEX(rngCadetPIDs,MATCH($D546,rngCadetNames,0)),"?"))</f>
        <v/>
      </c>
      <c r="F546" s="15">
        <f>IF($E546="","",IFERROR(INDEX(nrCadetAgency,MATCH($E546,rngCadetPIDs,0)),""))</f>
        <v/>
      </c>
      <c r="G546" s="14" t="n"/>
      <c r="H546" s="14" t="n"/>
      <c r="I546" s="14" t="n"/>
      <c r="J546" s="14" t="n"/>
      <c r="K546" s="15">
        <f>IF($G546="","",IF(OR($G546="PT Missed",$G546="PT Modified",$G546="PT Refused"),"Yes","No"))</f>
        <v/>
      </c>
      <c r="L546" s="14" t="n"/>
      <c r="M546" s="14" t="n"/>
      <c r="N546" s="15">
        <f>IF($D546="","",IF($M546="Excused","No",IF(AND($G546="PT Modified",$L546="Received"),"No","Yes")))</f>
        <v/>
      </c>
      <c r="O546" s="14" t="n"/>
    </row>
    <row r="547">
      <c r="B547" s="15">
        <f>IF($D547="","","A"&amp;TEXT(ROW()-5,"000"))</f>
        <v/>
      </c>
      <c r="C547" s="16" t="n"/>
      <c r="D547" s="14" t="n"/>
      <c r="E547" s="15">
        <f>IF($D547="","",IFERROR(INDEX(rngCadetPIDs,MATCH($D547,rngCadetNames,0)),"?"))</f>
        <v/>
      </c>
      <c r="F547" s="15">
        <f>IF($E547="","",IFERROR(INDEX(nrCadetAgency,MATCH($E547,rngCadetPIDs,0)),""))</f>
        <v/>
      </c>
      <c r="G547" s="14" t="n"/>
      <c r="H547" s="14" t="n"/>
      <c r="I547" s="14" t="n"/>
      <c r="J547" s="14" t="n"/>
      <c r="K547" s="15">
        <f>IF($G547="","",IF(OR($G547="PT Missed",$G547="PT Modified",$G547="PT Refused"),"Yes","No"))</f>
        <v/>
      </c>
      <c r="L547" s="14" t="n"/>
      <c r="M547" s="14" t="n"/>
      <c r="N547" s="15">
        <f>IF($D547="","",IF($M547="Excused","No",IF(AND($G547="PT Modified",$L547="Received"),"No","Yes")))</f>
        <v/>
      </c>
      <c r="O547" s="14" t="n"/>
    </row>
    <row r="548">
      <c r="B548" s="15">
        <f>IF($D548="","","A"&amp;TEXT(ROW()-5,"000"))</f>
        <v/>
      </c>
      <c r="C548" s="16" t="n"/>
      <c r="D548" s="14" t="n"/>
      <c r="E548" s="15">
        <f>IF($D548="","",IFERROR(INDEX(rngCadetPIDs,MATCH($D548,rngCadetNames,0)),"?"))</f>
        <v/>
      </c>
      <c r="F548" s="15">
        <f>IF($E548="","",IFERROR(INDEX(nrCadetAgency,MATCH($E548,rngCadetPIDs,0)),""))</f>
        <v/>
      </c>
      <c r="G548" s="14" t="n"/>
      <c r="H548" s="14" t="n"/>
      <c r="I548" s="14" t="n"/>
      <c r="J548" s="14" t="n"/>
      <c r="K548" s="15">
        <f>IF($G548="","",IF(OR($G548="PT Missed",$G548="PT Modified",$G548="PT Refused"),"Yes","No"))</f>
        <v/>
      </c>
      <c r="L548" s="14" t="n"/>
      <c r="M548" s="14" t="n"/>
      <c r="N548" s="15">
        <f>IF($D548="","",IF($M548="Excused","No",IF(AND($G548="PT Modified",$L548="Received"),"No","Yes")))</f>
        <v/>
      </c>
      <c r="O548" s="14" t="n"/>
    </row>
    <row r="549">
      <c r="B549" s="15">
        <f>IF($D549="","","A"&amp;TEXT(ROW()-5,"000"))</f>
        <v/>
      </c>
      <c r="C549" s="16" t="n"/>
      <c r="D549" s="14" t="n"/>
      <c r="E549" s="15">
        <f>IF($D549="","",IFERROR(INDEX(rngCadetPIDs,MATCH($D549,rngCadetNames,0)),"?"))</f>
        <v/>
      </c>
      <c r="F549" s="15">
        <f>IF($E549="","",IFERROR(INDEX(nrCadetAgency,MATCH($E549,rngCadetPIDs,0)),""))</f>
        <v/>
      </c>
      <c r="G549" s="14" t="n"/>
      <c r="H549" s="14" t="n"/>
      <c r="I549" s="14" t="n"/>
      <c r="J549" s="14" t="n"/>
      <c r="K549" s="15">
        <f>IF($G549="","",IF(OR($G549="PT Missed",$G549="PT Modified",$G549="PT Refused"),"Yes","No"))</f>
        <v/>
      </c>
      <c r="L549" s="14" t="n"/>
      <c r="M549" s="14" t="n"/>
      <c r="N549" s="15">
        <f>IF($D549="","",IF($M549="Excused","No",IF(AND($G549="PT Modified",$L549="Received"),"No","Yes")))</f>
        <v/>
      </c>
      <c r="O549" s="14" t="n"/>
    </row>
    <row r="550">
      <c r="B550" s="15">
        <f>IF($D550="","","A"&amp;TEXT(ROW()-5,"000"))</f>
        <v/>
      </c>
      <c r="C550" s="16" t="n"/>
      <c r="D550" s="14" t="n"/>
      <c r="E550" s="15">
        <f>IF($D550="","",IFERROR(INDEX(rngCadetPIDs,MATCH($D550,rngCadetNames,0)),"?"))</f>
        <v/>
      </c>
      <c r="F550" s="15">
        <f>IF($E550="","",IFERROR(INDEX(nrCadetAgency,MATCH($E550,rngCadetPIDs,0)),""))</f>
        <v/>
      </c>
      <c r="G550" s="14" t="n"/>
      <c r="H550" s="14" t="n"/>
      <c r="I550" s="14" t="n"/>
      <c r="J550" s="14" t="n"/>
      <c r="K550" s="15">
        <f>IF($G550="","",IF(OR($G550="PT Missed",$G550="PT Modified",$G550="PT Refused"),"Yes","No"))</f>
        <v/>
      </c>
      <c r="L550" s="14" t="n"/>
      <c r="M550" s="14" t="n"/>
      <c r="N550" s="15">
        <f>IF($D550="","",IF($M550="Excused","No",IF(AND($G550="PT Modified",$L550="Received"),"No","Yes")))</f>
        <v/>
      </c>
      <c r="O550" s="14" t="n"/>
    </row>
    <row r="551">
      <c r="B551" s="15">
        <f>IF($D551="","","A"&amp;TEXT(ROW()-5,"000"))</f>
        <v/>
      </c>
      <c r="C551" s="16" t="n"/>
      <c r="D551" s="14" t="n"/>
      <c r="E551" s="15">
        <f>IF($D551="","",IFERROR(INDEX(rngCadetPIDs,MATCH($D551,rngCadetNames,0)),"?"))</f>
        <v/>
      </c>
      <c r="F551" s="15">
        <f>IF($E551="","",IFERROR(INDEX(nrCadetAgency,MATCH($E551,rngCadetPIDs,0)),""))</f>
        <v/>
      </c>
      <c r="G551" s="14" t="n"/>
      <c r="H551" s="14" t="n"/>
      <c r="I551" s="14" t="n"/>
      <c r="J551" s="14" t="n"/>
      <c r="K551" s="15">
        <f>IF($G551="","",IF(OR($G551="PT Missed",$G551="PT Modified",$G551="PT Refused"),"Yes","No"))</f>
        <v/>
      </c>
      <c r="L551" s="14" t="n"/>
      <c r="M551" s="14" t="n"/>
      <c r="N551" s="15">
        <f>IF($D551="","",IF($M551="Excused","No",IF(AND($G551="PT Modified",$L551="Received"),"No","Yes")))</f>
        <v/>
      </c>
      <c r="O551" s="14" t="n"/>
    </row>
    <row r="552">
      <c r="B552" s="15">
        <f>IF($D552="","","A"&amp;TEXT(ROW()-5,"000"))</f>
        <v/>
      </c>
      <c r="C552" s="16" t="n"/>
      <c r="D552" s="14" t="n"/>
      <c r="E552" s="15">
        <f>IF($D552="","",IFERROR(INDEX(rngCadetPIDs,MATCH($D552,rngCadetNames,0)),"?"))</f>
        <v/>
      </c>
      <c r="F552" s="15">
        <f>IF($E552="","",IFERROR(INDEX(nrCadetAgency,MATCH($E552,rngCadetPIDs,0)),""))</f>
        <v/>
      </c>
      <c r="G552" s="14" t="n"/>
      <c r="H552" s="14" t="n"/>
      <c r="I552" s="14" t="n"/>
      <c r="J552" s="14" t="n"/>
      <c r="K552" s="15">
        <f>IF($G552="","",IF(OR($G552="PT Missed",$G552="PT Modified",$G552="PT Refused"),"Yes","No"))</f>
        <v/>
      </c>
      <c r="L552" s="14" t="n"/>
      <c r="M552" s="14" t="n"/>
      <c r="N552" s="15">
        <f>IF($D552="","",IF($M552="Excused","No",IF(AND($G552="PT Modified",$L552="Received"),"No","Yes")))</f>
        <v/>
      </c>
      <c r="O552" s="14" t="n"/>
    </row>
    <row r="553">
      <c r="B553" s="15">
        <f>IF($D553="","","A"&amp;TEXT(ROW()-5,"000"))</f>
        <v/>
      </c>
      <c r="C553" s="16" t="n"/>
      <c r="D553" s="14" t="n"/>
      <c r="E553" s="15">
        <f>IF($D553="","",IFERROR(INDEX(rngCadetPIDs,MATCH($D553,rngCadetNames,0)),"?"))</f>
        <v/>
      </c>
      <c r="F553" s="15">
        <f>IF($E553="","",IFERROR(INDEX(nrCadetAgency,MATCH($E553,rngCadetPIDs,0)),""))</f>
        <v/>
      </c>
      <c r="G553" s="14" t="n"/>
      <c r="H553" s="14" t="n"/>
      <c r="I553" s="14" t="n"/>
      <c r="J553" s="14" t="n"/>
      <c r="K553" s="15">
        <f>IF($G553="","",IF(OR($G553="PT Missed",$G553="PT Modified",$G553="PT Refused"),"Yes","No"))</f>
        <v/>
      </c>
      <c r="L553" s="14" t="n"/>
      <c r="M553" s="14" t="n"/>
      <c r="N553" s="15">
        <f>IF($D553="","",IF($M553="Excused","No",IF(AND($G553="PT Modified",$L553="Received"),"No","Yes")))</f>
        <v/>
      </c>
      <c r="O553" s="14" t="n"/>
    </row>
    <row r="554">
      <c r="B554" s="15">
        <f>IF($D554="","","A"&amp;TEXT(ROW()-5,"000"))</f>
        <v/>
      </c>
      <c r="C554" s="16" t="n"/>
      <c r="D554" s="14" t="n"/>
      <c r="E554" s="15">
        <f>IF($D554="","",IFERROR(INDEX(rngCadetPIDs,MATCH($D554,rngCadetNames,0)),"?"))</f>
        <v/>
      </c>
      <c r="F554" s="15">
        <f>IF($E554="","",IFERROR(INDEX(nrCadetAgency,MATCH($E554,rngCadetPIDs,0)),""))</f>
        <v/>
      </c>
      <c r="G554" s="14" t="n"/>
      <c r="H554" s="14" t="n"/>
      <c r="I554" s="14" t="n"/>
      <c r="J554" s="14" t="n"/>
      <c r="K554" s="15">
        <f>IF($G554="","",IF(OR($G554="PT Missed",$G554="PT Modified",$G554="PT Refused"),"Yes","No"))</f>
        <v/>
      </c>
      <c r="L554" s="14" t="n"/>
      <c r="M554" s="14" t="n"/>
      <c r="N554" s="15">
        <f>IF($D554="","",IF($M554="Excused","No",IF(AND($G554="PT Modified",$L554="Received"),"No","Yes")))</f>
        <v/>
      </c>
      <c r="O554" s="14" t="n"/>
    </row>
    <row r="555">
      <c r="B555" s="15">
        <f>IF($D555="","","A"&amp;TEXT(ROW()-5,"000"))</f>
        <v/>
      </c>
      <c r="C555" s="16" t="n"/>
      <c r="D555" s="14" t="n"/>
      <c r="E555" s="15">
        <f>IF($D555="","",IFERROR(INDEX(rngCadetPIDs,MATCH($D555,rngCadetNames,0)),"?"))</f>
        <v/>
      </c>
      <c r="F555" s="15">
        <f>IF($E555="","",IFERROR(INDEX(nrCadetAgency,MATCH($E555,rngCadetPIDs,0)),""))</f>
        <v/>
      </c>
      <c r="G555" s="14" t="n"/>
      <c r="H555" s="14" t="n"/>
      <c r="I555" s="14" t="n"/>
      <c r="J555" s="14" t="n"/>
      <c r="K555" s="15">
        <f>IF($G555="","",IF(OR($G555="PT Missed",$G555="PT Modified",$G555="PT Refused"),"Yes","No"))</f>
        <v/>
      </c>
      <c r="L555" s="14" t="n"/>
      <c r="M555" s="14" t="n"/>
      <c r="N555" s="15">
        <f>IF($D555="","",IF($M555="Excused","No",IF(AND($G555="PT Modified",$L555="Received"),"No","Yes")))</f>
        <v/>
      </c>
      <c r="O555" s="14" t="n"/>
    </row>
    <row r="556">
      <c r="B556" s="15">
        <f>IF($D556="","","A"&amp;TEXT(ROW()-5,"000"))</f>
        <v/>
      </c>
      <c r="C556" s="16" t="n"/>
      <c r="D556" s="14" t="n"/>
      <c r="E556" s="15">
        <f>IF($D556="","",IFERROR(INDEX(rngCadetPIDs,MATCH($D556,rngCadetNames,0)),"?"))</f>
        <v/>
      </c>
      <c r="F556" s="15">
        <f>IF($E556="","",IFERROR(INDEX(nrCadetAgency,MATCH($E556,rngCadetPIDs,0)),""))</f>
        <v/>
      </c>
      <c r="G556" s="14" t="n"/>
      <c r="H556" s="14" t="n"/>
      <c r="I556" s="14" t="n"/>
      <c r="J556" s="14" t="n"/>
      <c r="K556" s="15">
        <f>IF($G556="","",IF(OR($G556="PT Missed",$G556="PT Modified",$G556="PT Refused"),"Yes","No"))</f>
        <v/>
      </c>
      <c r="L556" s="14" t="n"/>
      <c r="M556" s="14" t="n"/>
      <c r="N556" s="15">
        <f>IF($D556="","",IF($M556="Excused","No",IF(AND($G556="PT Modified",$L556="Received"),"No","Yes")))</f>
        <v/>
      </c>
      <c r="O556" s="14" t="n"/>
    </row>
    <row r="557">
      <c r="B557" s="15">
        <f>IF($D557="","","A"&amp;TEXT(ROW()-5,"000"))</f>
        <v/>
      </c>
      <c r="C557" s="16" t="n"/>
      <c r="D557" s="14" t="n"/>
      <c r="E557" s="15">
        <f>IF($D557="","",IFERROR(INDEX(rngCadetPIDs,MATCH($D557,rngCadetNames,0)),"?"))</f>
        <v/>
      </c>
      <c r="F557" s="15">
        <f>IF($E557="","",IFERROR(INDEX(nrCadetAgency,MATCH($E557,rngCadetPIDs,0)),""))</f>
        <v/>
      </c>
      <c r="G557" s="14" t="n"/>
      <c r="H557" s="14" t="n"/>
      <c r="I557" s="14" t="n"/>
      <c r="J557" s="14" t="n"/>
      <c r="K557" s="15">
        <f>IF($G557="","",IF(OR($G557="PT Missed",$G557="PT Modified",$G557="PT Refused"),"Yes","No"))</f>
        <v/>
      </c>
      <c r="L557" s="14" t="n"/>
      <c r="M557" s="14" t="n"/>
      <c r="N557" s="15">
        <f>IF($D557="","",IF($M557="Excused","No",IF(AND($G557="PT Modified",$L557="Received"),"No","Yes")))</f>
        <v/>
      </c>
      <c r="O557" s="14" t="n"/>
    </row>
    <row r="558">
      <c r="B558" s="15">
        <f>IF($D558="","","A"&amp;TEXT(ROW()-5,"000"))</f>
        <v/>
      </c>
      <c r="C558" s="16" t="n"/>
      <c r="D558" s="14" t="n"/>
      <c r="E558" s="15">
        <f>IF($D558="","",IFERROR(INDEX(rngCadetPIDs,MATCH($D558,rngCadetNames,0)),"?"))</f>
        <v/>
      </c>
      <c r="F558" s="15">
        <f>IF($E558="","",IFERROR(INDEX(nrCadetAgency,MATCH($E558,rngCadetPIDs,0)),""))</f>
        <v/>
      </c>
      <c r="G558" s="14" t="n"/>
      <c r="H558" s="14" t="n"/>
      <c r="I558" s="14" t="n"/>
      <c r="J558" s="14" t="n"/>
      <c r="K558" s="15">
        <f>IF($G558="","",IF(OR($G558="PT Missed",$G558="PT Modified",$G558="PT Refused"),"Yes","No"))</f>
        <v/>
      </c>
      <c r="L558" s="14" t="n"/>
      <c r="M558" s="14" t="n"/>
      <c r="N558" s="15">
        <f>IF($D558="","",IF($M558="Excused","No",IF(AND($G558="PT Modified",$L558="Received"),"No","Yes")))</f>
        <v/>
      </c>
      <c r="O558" s="14" t="n"/>
    </row>
    <row r="559">
      <c r="B559" s="15">
        <f>IF($D559="","","A"&amp;TEXT(ROW()-5,"000"))</f>
        <v/>
      </c>
      <c r="C559" s="16" t="n"/>
      <c r="D559" s="14" t="n"/>
      <c r="E559" s="15">
        <f>IF($D559="","",IFERROR(INDEX(rngCadetPIDs,MATCH($D559,rngCadetNames,0)),"?"))</f>
        <v/>
      </c>
      <c r="F559" s="15">
        <f>IF($E559="","",IFERROR(INDEX(nrCadetAgency,MATCH($E559,rngCadetPIDs,0)),""))</f>
        <v/>
      </c>
      <c r="G559" s="14" t="n"/>
      <c r="H559" s="14" t="n"/>
      <c r="I559" s="14" t="n"/>
      <c r="J559" s="14" t="n"/>
      <c r="K559" s="15">
        <f>IF($G559="","",IF(OR($G559="PT Missed",$G559="PT Modified",$G559="PT Refused"),"Yes","No"))</f>
        <v/>
      </c>
      <c r="L559" s="14" t="n"/>
      <c r="M559" s="14" t="n"/>
      <c r="N559" s="15">
        <f>IF($D559="","",IF($M559="Excused","No",IF(AND($G559="PT Modified",$L559="Received"),"No","Yes")))</f>
        <v/>
      </c>
      <c r="O559" s="14" t="n"/>
    </row>
    <row r="560">
      <c r="B560" s="15">
        <f>IF($D560="","","A"&amp;TEXT(ROW()-5,"000"))</f>
        <v/>
      </c>
      <c r="C560" s="16" t="n"/>
      <c r="D560" s="14" t="n"/>
      <c r="E560" s="15">
        <f>IF($D560="","",IFERROR(INDEX(rngCadetPIDs,MATCH($D560,rngCadetNames,0)),"?"))</f>
        <v/>
      </c>
      <c r="F560" s="15">
        <f>IF($E560="","",IFERROR(INDEX(nrCadetAgency,MATCH($E560,rngCadetPIDs,0)),""))</f>
        <v/>
      </c>
      <c r="G560" s="14" t="n"/>
      <c r="H560" s="14" t="n"/>
      <c r="I560" s="14" t="n"/>
      <c r="J560" s="14" t="n"/>
      <c r="K560" s="15">
        <f>IF($G560="","",IF(OR($G560="PT Missed",$G560="PT Modified",$G560="PT Refused"),"Yes","No"))</f>
        <v/>
      </c>
      <c r="L560" s="14" t="n"/>
      <c r="M560" s="14" t="n"/>
      <c r="N560" s="15">
        <f>IF($D560="","",IF($M560="Excused","No",IF(AND($G560="PT Modified",$L560="Received"),"No","Yes")))</f>
        <v/>
      </c>
      <c r="O560" s="14" t="n"/>
    </row>
    <row r="561">
      <c r="B561" s="15">
        <f>IF($D561="","","A"&amp;TEXT(ROW()-5,"000"))</f>
        <v/>
      </c>
      <c r="C561" s="16" t="n"/>
      <c r="D561" s="14" t="n"/>
      <c r="E561" s="15">
        <f>IF($D561="","",IFERROR(INDEX(rngCadetPIDs,MATCH($D561,rngCadetNames,0)),"?"))</f>
        <v/>
      </c>
      <c r="F561" s="15">
        <f>IF($E561="","",IFERROR(INDEX(nrCadetAgency,MATCH($E561,rngCadetPIDs,0)),""))</f>
        <v/>
      </c>
      <c r="G561" s="14" t="n"/>
      <c r="H561" s="14" t="n"/>
      <c r="I561" s="14" t="n"/>
      <c r="J561" s="14" t="n"/>
      <c r="K561" s="15">
        <f>IF($G561="","",IF(OR($G561="PT Missed",$G561="PT Modified",$G561="PT Refused"),"Yes","No"))</f>
        <v/>
      </c>
      <c r="L561" s="14" t="n"/>
      <c r="M561" s="14" t="n"/>
      <c r="N561" s="15">
        <f>IF($D561="","",IF($M561="Excused","No",IF(AND($G561="PT Modified",$L561="Received"),"No","Yes")))</f>
        <v/>
      </c>
      <c r="O561" s="14" t="n"/>
    </row>
    <row r="562">
      <c r="B562" s="15">
        <f>IF($D562="","","A"&amp;TEXT(ROW()-5,"000"))</f>
        <v/>
      </c>
      <c r="C562" s="16" t="n"/>
      <c r="D562" s="14" t="n"/>
      <c r="E562" s="15">
        <f>IF($D562="","",IFERROR(INDEX(rngCadetPIDs,MATCH($D562,rngCadetNames,0)),"?"))</f>
        <v/>
      </c>
      <c r="F562" s="15">
        <f>IF($E562="","",IFERROR(INDEX(nrCadetAgency,MATCH($E562,rngCadetPIDs,0)),""))</f>
        <v/>
      </c>
      <c r="G562" s="14" t="n"/>
      <c r="H562" s="14" t="n"/>
      <c r="I562" s="14" t="n"/>
      <c r="J562" s="14" t="n"/>
      <c r="K562" s="15">
        <f>IF($G562="","",IF(OR($G562="PT Missed",$G562="PT Modified",$G562="PT Refused"),"Yes","No"))</f>
        <v/>
      </c>
      <c r="L562" s="14" t="n"/>
      <c r="M562" s="14" t="n"/>
      <c r="N562" s="15">
        <f>IF($D562="","",IF($M562="Excused","No",IF(AND($G562="PT Modified",$L562="Received"),"No","Yes")))</f>
        <v/>
      </c>
      <c r="O562" s="14" t="n"/>
    </row>
    <row r="563">
      <c r="B563" s="15">
        <f>IF($D563="","","A"&amp;TEXT(ROW()-5,"000"))</f>
        <v/>
      </c>
      <c r="C563" s="16" t="n"/>
      <c r="D563" s="14" t="n"/>
      <c r="E563" s="15">
        <f>IF($D563="","",IFERROR(INDEX(rngCadetPIDs,MATCH($D563,rngCadetNames,0)),"?"))</f>
        <v/>
      </c>
      <c r="F563" s="15">
        <f>IF($E563="","",IFERROR(INDEX(nrCadetAgency,MATCH($E563,rngCadetPIDs,0)),""))</f>
        <v/>
      </c>
      <c r="G563" s="14" t="n"/>
      <c r="H563" s="14" t="n"/>
      <c r="I563" s="14" t="n"/>
      <c r="J563" s="14" t="n"/>
      <c r="K563" s="15">
        <f>IF($G563="","",IF(OR($G563="PT Missed",$G563="PT Modified",$G563="PT Refused"),"Yes","No"))</f>
        <v/>
      </c>
      <c r="L563" s="14" t="n"/>
      <c r="M563" s="14" t="n"/>
      <c r="N563" s="15">
        <f>IF($D563="","",IF($M563="Excused","No",IF(AND($G563="PT Modified",$L563="Received"),"No","Yes")))</f>
        <v/>
      </c>
      <c r="O563" s="14" t="n"/>
    </row>
    <row r="564">
      <c r="B564" s="15">
        <f>IF($D564="","","A"&amp;TEXT(ROW()-5,"000"))</f>
        <v/>
      </c>
      <c r="C564" s="16" t="n"/>
      <c r="D564" s="14" t="n"/>
      <c r="E564" s="15">
        <f>IF($D564="","",IFERROR(INDEX(rngCadetPIDs,MATCH($D564,rngCadetNames,0)),"?"))</f>
        <v/>
      </c>
      <c r="F564" s="15">
        <f>IF($E564="","",IFERROR(INDEX(nrCadetAgency,MATCH($E564,rngCadetPIDs,0)),""))</f>
        <v/>
      </c>
      <c r="G564" s="14" t="n"/>
      <c r="H564" s="14" t="n"/>
      <c r="I564" s="14" t="n"/>
      <c r="J564" s="14" t="n"/>
      <c r="K564" s="15">
        <f>IF($G564="","",IF(OR($G564="PT Missed",$G564="PT Modified",$G564="PT Refused"),"Yes","No"))</f>
        <v/>
      </c>
      <c r="L564" s="14" t="n"/>
      <c r="M564" s="14" t="n"/>
      <c r="N564" s="15">
        <f>IF($D564="","",IF($M564="Excused","No",IF(AND($G564="PT Modified",$L564="Received"),"No","Yes")))</f>
        <v/>
      </c>
      <c r="O564" s="14" t="n"/>
    </row>
    <row r="565">
      <c r="B565" s="15">
        <f>IF($D565="","","A"&amp;TEXT(ROW()-5,"000"))</f>
        <v/>
      </c>
      <c r="C565" s="16" t="n"/>
      <c r="D565" s="14" t="n"/>
      <c r="E565" s="15">
        <f>IF($D565="","",IFERROR(INDEX(rngCadetPIDs,MATCH($D565,rngCadetNames,0)),"?"))</f>
        <v/>
      </c>
      <c r="F565" s="15">
        <f>IF($E565="","",IFERROR(INDEX(nrCadetAgency,MATCH($E565,rngCadetPIDs,0)),""))</f>
        <v/>
      </c>
      <c r="G565" s="14" t="n"/>
      <c r="H565" s="14" t="n"/>
      <c r="I565" s="14" t="n"/>
      <c r="J565" s="14" t="n"/>
      <c r="K565" s="15">
        <f>IF($G565="","",IF(OR($G565="PT Missed",$G565="PT Modified",$G565="PT Refused"),"Yes","No"))</f>
        <v/>
      </c>
      <c r="L565" s="14" t="n"/>
      <c r="M565" s="14" t="n"/>
      <c r="N565" s="15">
        <f>IF($D565="","",IF($M565="Excused","No",IF(AND($G565="PT Modified",$L565="Received"),"No","Yes")))</f>
        <v/>
      </c>
      <c r="O565" s="14" t="n"/>
    </row>
    <row r="566">
      <c r="B566" s="15">
        <f>IF($D566="","","A"&amp;TEXT(ROW()-5,"000"))</f>
        <v/>
      </c>
      <c r="C566" s="16" t="n"/>
      <c r="D566" s="14" t="n"/>
      <c r="E566" s="15">
        <f>IF($D566="","",IFERROR(INDEX(rngCadetPIDs,MATCH($D566,rngCadetNames,0)),"?"))</f>
        <v/>
      </c>
      <c r="F566" s="15">
        <f>IF($E566="","",IFERROR(INDEX(nrCadetAgency,MATCH($E566,rngCadetPIDs,0)),""))</f>
        <v/>
      </c>
      <c r="G566" s="14" t="n"/>
      <c r="H566" s="14" t="n"/>
      <c r="I566" s="14" t="n"/>
      <c r="J566" s="14" t="n"/>
      <c r="K566" s="15">
        <f>IF($G566="","",IF(OR($G566="PT Missed",$G566="PT Modified",$G566="PT Refused"),"Yes","No"))</f>
        <v/>
      </c>
      <c r="L566" s="14" t="n"/>
      <c r="M566" s="14" t="n"/>
      <c r="N566" s="15">
        <f>IF($D566="","",IF($M566="Excused","No",IF(AND($G566="PT Modified",$L566="Received"),"No","Yes")))</f>
        <v/>
      </c>
      <c r="O566" s="14" t="n"/>
    </row>
    <row r="567">
      <c r="B567" s="15">
        <f>IF($D567="","","A"&amp;TEXT(ROW()-5,"000"))</f>
        <v/>
      </c>
      <c r="C567" s="16" t="n"/>
      <c r="D567" s="14" t="n"/>
      <c r="E567" s="15">
        <f>IF($D567="","",IFERROR(INDEX(rngCadetPIDs,MATCH($D567,rngCadetNames,0)),"?"))</f>
        <v/>
      </c>
      <c r="F567" s="15">
        <f>IF($E567="","",IFERROR(INDEX(nrCadetAgency,MATCH($E567,rngCadetPIDs,0)),""))</f>
        <v/>
      </c>
      <c r="G567" s="14" t="n"/>
      <c r="H567" s="14" t="n"/>
      <c r="I567" s="14" t="n"/>
      <c r="J567" s="14" t="n"/>
      <c r="K567" s="15">
        <f>IF($G567="","",IF(OR($G567="PT Missed",$G567="PT Modified",$G567="PT Refused"),"Yes","No"))</f>
        <v/>
      </c>
      <c r="L567" s="14" t="n"/>
      <c r="M567" s="14" t="n"/>
      <c r="N567" s="15">
        <f>IF($D567="","",IF($M567="Excused","No",IF(AND($G567="PT Modified",$L567="Received"),"No","Yes")))</f>
        <v/>
      </c>
      <c r="O567" s="14" t="n"/>
    </row>
    <row r="568">
      <c r="B568" s="15">
        <f>IF($D568="","","A"&amp;TEXT(ROW()-5,"000"))</f>
        <v/>
      </c>
      <c r="C568" s="16" t="n"/>
      <c r="D568" s="14" t="n"/>
      <c r="E568" s="15">
        <f>IF($D568="","",IFERROR(INDEX(rngCadetPIDs,MATCH($D568,rngCadetNames,0)),"?"))</f>
        <v/>
      </c>
      <c r="F568" s="15">
        <f>IF($E568="","",IFERROR(INDEX(nrCadetAgency,MATCH($E568,rngCadetPIDs,0)),""))</f>
        <v/>
      </c>
      <c r="G568" s="14" t="n"/>
      <c r="H568" s="14" t="n"/>
      <c r="I568" s="14" t="n"/>
      <c r="J568" s="14" t="n"/>
      <c r="K568" s="15">
        <f>IF($G568="","",IF(OR($G568="PT Missed",$G568="PT Modified",$G568="PT Refused"),"Yes","No"))</f>
        <v/>
      </c>
      <c r="L568" s="14" t="n"/>
      <c r="M568" s="14" t="n"/>
      <c r="N568" s="15">
        <f>IF($D568="","",IF($M568="Excused","No",IF(AND($G568="PT Modified",$L568="Received"),"No","Yes")))</f>
        <v/>
      </c>
      <c r="O568" s="14" t="n"/>
    </row>
    <row r="569">
      <c r="B569" s="15">
        <f>IF($D569="","","A"&amp;TEXT(ROW()-5,"000"))</f>
        <v/>
      </c>
      <c r="C569" s="16" t="n"/>
      <c r="D569" s="14" t="n"/>
      <c r="E569" s="15">
        <f>IF($D569="","",IFERROR(INDEX(rngCadetPIDs,MATCH($D569,rngCadetNames,0)),"?"))</f>
        <v/>
      </c>
      <c r="F569" s="15">
        <f>IF($E569="","",IFERROR(INDEX(nrCadetAgency,MATCH($E569,rngCadetPIDs,0)),""))</f>
        <v/>
      </c>
      <c r="G569" s="14" t="n"/>
      <c r="H569" s="14" t="n"/>
      <c r="I569" s="14" t="n"/>
      <c r="J569" s="14" t="n"/>
      <c r="K569" s="15">
        <f>IF($G569="","",IF(OR($G569="PT Missed",$G569="PT Modified",$G569="PT Refused"),"Yes","No"))</f>
        <v/>
      </c>
      <c r="L569" s="14" t="n"/>
      <c r="M569" s="14" t="n"/>
      <c r="N569" s="15">
        <f>IF($D569="","",IF($M569="Excused","No",IF(AND($G569="PT Modified",$L569="Received"),"No","Yes")))</f>
        <v/>
      </c>
      <c r="O569" s="14" t="n"/>
    </row>
    <row r="570">
      <c r="B570" s="15">
        <f>IF($D570="","","A"&amp;TEXT(ROW()-5,"000"))</f>
        <v/>
      </c>
      <c r="C570" s="16" t="n"/>
      <c r="D570" s="14" t="n"/>
      <c r="E570" s="15">
        <f>IF($D570="","",IFERROR(INDEX(rngCadetPIDs,MATCH($D570,rngCadetNames,0)),"?"))</f>
        <v/>
      </c>
      <c r="F570" s="15">
        <f>IF($E570="","",IFERROR(INDEX(nrCadetAgency,MATCH($E570,rngCadetPIDs,0)),""))</f>
        <v/>
      </c>
      <c r="G570" s="14" t="n"/>
      <c r="H570" s="14" t="n"/>
      <c r="I570" s="14" t="n"/>
      <c r="J570" s="14" t="n"/>
      <c r="K570" s="15">
        <f>IF($G570="","",IF(OR($G570="PT Missed",$G570="PT Modified",$G570="PT Refused"),"Yes","No"))</f>
        <v/>
      </c>
      <c r="L570" s="14" t="n"/>
      <c r="M570" s="14" t="n"/>
      <c r="N570" s="15">
        <f>IF($D570="","",IF($M570="Excused","No",IF(AND($G570="PT Modified",$L570="Received"),"No","Yes")))</f>
        <v/>
      </c>
      <c r="O570" s="14" t="n"/>
    </row>
    <row r="571">
      <c r="B571" s="15">
        <f>IF($D571="","","A"&amp;TEXT(ROW()-5,"000"))</f>
        <v/>
      </c>
      <c r="C571" s="16" t="n"/>
      <c r="D571" s="14" t="n"/>
      <c r="E571" s="15">
        <f>IF($D571="","",IFERROR(INDEX(rngCadetPIDs,MATCH($D571,rngCadetNames,0)),"?"))</f>
        <v/>
      </c>
      <c r="F571" s="15">
        <f>IF($E571="","",IFERROR(INDEX(nrCadetAgency,MATCH($E571,rngCadetPIDs,0)),""))</f>
        <v/>
      </c>
      <c r="G571" s="14" t="n"/>
      <c r="H571" s="14" t="n"/>
      <c r="I571" s="14" t="n"/>
      <c r="J571" s="14" t="n"/>
      <c r="K571" s="15">
        <f>IF($G571="","",IF(OR($G571="PT Missed",$G571="PT Modified",$G571="PT Refused"),"Yes","No"))</f>
        <v/>
      </c>
      <c r="L571" s="14" t="n"/>
      <c r="M571" s="14" t="n"/>
      <c r="N571" s="15">
        <f>IF($D571="","",IF($M571="Excused","No",IF(AND($G571="PT Modified",$L571="Received"),"No","Yes")))</f>
        <v/>
      </c>
      <c r="O571" s="14" t="n"/>
    </row>
    <row r="572">
      <c r="B572" s="15">
        <f>IF($D572="","","A"&amp;TEXT(ROW()-5,"000"))</f>
        <v/>
      </c>
      <c r="C572" s="16" t="n"/>
      <c r="D572" s="14" t="n"/>
      <c r="E572" s="15">
        <f>IF($D572="","",IFERROR(INDEX(rngCadetPIDs,MATCH($D572,rngCadetNames,0)),"?"))</f>
        <v/>
      </c>
      <c r="F572" s="15">
        <f>IF($E572="","",IFERROR(INDEX(nrCadetAgency,MATCH($E572,rngCadetPIDs,0)),""))</f>
        <v/>
      </c>
      <c r="G572" s="14" t="n"/>
      <c r="H572" s="14" t="n"/>
      <c r="I572" s="14" t="n"/>
      <c r="J572" s="14" t="n"/>
      <c r="K572" s="15">
        <f>IF($G572="","",IF(OR($G572="PT Missed",$G572="PT Modified",$G572="PT Refused"),"Yes","No"))</f>
        <v/>
      </c>
      <c r="L572" s="14" t="n"/>
      <c r="M572" s="14" t="n"/>
      <c r="N572" s="15">
        <f>IF($D572="","",IF($M572="Excused","No",IF(AND($G572="PT Modified",$L572="Received"),"No","Yes")))</f>
        <v/>
      </c>
      <c r="O572" s="14" t="n"/>
    </row>
    <row r="573">
      <c r="B573" s="15">
        <f>IF($D573="","","A"&amp;TEXT(ROW()-5,"000"))</f>
        <v/>
      </c>
      <c r="C573" s="16" t="n"/>
      <c r="D573" s="14" t="n"/>
      <c r="E573" s="15">
        <f>IF($D573="","",IFERROR(INDEX(rngCadetPIDs,MATCH($D573,rngCadetNames,0)),"?"))</f>
        <v/>
      </c>
      <c r="F573" s="15">
        <f>IF($E573="","",IFERROR(INDEX(nrCadetAgency,MATCH($E573,rngCadetPIDs,0)),""))</f>
        <v/>
      </c>
      <c r="G573" s="14" t="n"/>
      <c r="H573" s="14" t="n"/>
      <c r="I573" s="14" t="n"/>
      <c r="J573" s="14" t="n"/>
      <c r="K573" s="15">
        <f>IF($G573="","",IF(OR($G573="PT Missed",$G573="PT Modified",$G573="PT Refused"),"Yes","No"))</f>
        <v/>
      </c>
      <c r="L573" s="14" t="n"/>
      <c r="M573" s="14" t="n"/>
      <c r="N573" s="15">
        <f>IF($D573="","",IF($M573="Excused","No",IF(AND($G573="PT Modified",$L573="Received"),"No","Yes")))</f>
        <v/>
      </c>
      <c r="O573" s="14" t="n"/>
    </row>
    <row r="574">
      <c r="B574" s="15">
        <f>IF($D574="","","A"&amp;TEXT(ROW()-5,"000"))</f>
        <v/>
      </c>
      <c r="C574" s="16" t="n"/>
      <c r="D574" s="14" t="n"/>
      <c r="E574" s="15">
        <f>IF($D574="","",IFERROR(INDEX(rngCadetPIDs,MATCH($D574,rngCadetNames,0)),"?"))</f>
        <v/>
      </c>
      <c r="F574" s="15">
        <f>IF($E574="","",IFERROR(INDEX(nrCadetAgency,MATCH($E574,rngCadetPIDs,0)),""))</f>
        <v/>
      </c>
      <c r="G574" s="14" t="n"/>
      <c r="H574" s="14" t="n"/>
      <c r="I574" s="14" t="n"/>
      <c r="J574" s="14" t="n"/>
      <c r="K574" s="15">
        <f>IF($G574="","",IF(OR($G574="PT Missed",$G574="PT Modified",$G574="PT Refused"),"Yes","No"))</f>
        <v/>
      </c>
      <c r="L574" s="14" t="n"/>
      <c r="M574" s="14" t="n"/>
      <c r="N574" s="15">
        <f>IF($D574="","",IF($M574="Excused","No",IF(AND($G574="PT Modified",$L574="Received"),"No","Yes")))</f>
        <v/>
      </c>
      <c r="O574" s="14" t="n"/>
    </row>
    <row r="575">
      <c r="B575" s="15">
        <f>IF($D575="","","A"&amp;TEXT(ROW()-5,"000"))</f>
        <v/>
      </c>
      <c r="C575" s="16" t="n"/>
      <c r="D575" s="14" t="n"/>
      <c r="E575" s="15">
        <f>IF($D575="","",IFERROR(INDEX(rngCadetPIDs,MATCH($D575,rngCadetNames,0)),"?"))</f>
        <v/>
      </c>
      <c r="F575" s="15">
        <f>IF($E575="","",IFERROR(INDEX(nrCadetAgency,MATCH($E575,rngCadetPIDs,0)),""))</f>
        <v/>
      </c>
      <c r="G575" s="14" t="n"/>
      <c r="H575" s="14" t="n"/>
      <c r="I575" s="14" t="n"/>
      <c r="J575" s="14" t="n"/>
      <c r="K575" s="15">
        <f>IF($G575="","",IF(OR($G575="PT Missed",$G575="PT Modified",$G575="PT Refused"),"Yes","No"))</f>
        <v/>
      </c>
      <c r="L575" s="14" t="n"/>
      <c r="M575" s="14" t="n"/>
      <c r="N575" s="15">
        <f>IF($D575="","",IF($M575="Excused","No",IF(AND($G575="PT Modified",$L575="Received"),"No","Yes")))</f>
        <v/>
      </c>
      <c r="O575" s="14" t="n"/>
    </row>
    <row r="576">
      <c r="B576" s="15">
        <f>IF($D576="","","A"&amp;TEXT(ROW()-5,"000"))</f>
        <v/>
      </c>
      <c r="C576" s="16" t="n"/>
      <c r="D576" s="14" t="n"/>
      <c r="E576" s="15">
        <f>IF($D576="","",IFERROR(INDEX(rngCadetPIDs,MATCH($D576,rngCadetNames,0)),"?"))</f>
        <v/>
      </c>
      <c r="F576" s="15">
        <f>IF($E576="","",IFERROR(INDEX(nrCadetAgency,MATCH($E576,rngCadetPIDs,0)),""))</f>
        <v/>
      </c>
      <c r="G576" s="14" t="n"/>
      <c r="H576" s="14" t="n"/>
      <c r="I576" s="14" t="n"/>
      <c r="J576" s="14" t="n"/>
      <c r="K576" s="15">
        <f>IF($G576="","",IF(OR($G576="PT Missed",$G576="PT Modified",$G576="PT Refused"),"Yes","No"))</f>
        <v/>
      </c>
      <c r="L576" s="14" t="n"/>
      <c r="M576" s="14" t="n"/>
      <c r="N576" s="15">
        <f>IF($D576="","",IF($M576="Excused","No",IF(AND($G576="PT Modified",$L576="Received"),"No","Yes")))</f>
        <v/>
      </c>
      <c r="O576" s="14" t="n"/>
    </row>
    <row r="577">
      <c r="B577" s="15">
        <f>IF($D577="","","A"&amp;TEXT(ROW()-5,"000"))</f>
        <v/>
      </c>
      <c r="C577" s="16" t="n"/>
      <c r="D577" s="14" t="n"/>
      <c r="E577" s="15">
        <f>IF($D577="","",IFERROR(INDEX(rngCadetPIDs,MATCH($D577,rngCadetNames,0)),"?"))</f>
        <v/>
      </c>
      <c r="F577" s="15">
        <f>IF($E577="","",IFERROR(INDEX(nrCadetAgency,MATCH($E577,rngCadetPIDs,0)),""))</f>
        <v/>
      </c>
      <c r="G577" s="14" t="n"/>
      <c r="H577" s="14" t="n"/>
      <c r="I577" s="14" t="n"/>
      <c r="J577" s="14" t="n"/>
      <c r="K577" s="15">
        <f>IF($G577="","",IF(OR($G577="PT Missed",$G577="PT Modified",$G577="PT Refused"),"Yes","No"))</f>
        <v/>
      </c>
      <c r="L577" s="14" t="n"/>
      <c r="M577" s="14" t="n"/>
      <c r="N577" s="15">
        <f>IF($D577="","",IF($M577="Excused","No",IF(AND($G577="PT Modified",$L577="Received"),"No","Yes")))</f>
        <v/>
      </c>
      <c r="O577" s="14" t="n"/>
    </row>
    <row r="578">
      <c r="B578" s="15">
        <f>IF($D578="","","A"&amp;TEXT(ROW()-5,"000"))</f>
        <v/>
      </c>
      <c r="C578" s="16" t="n"/>
      <c r="D578" s="14" t="n"/>
      <c r="E578" s="15">
        <f>IF($D578="","",IFERROR(INDEX(rngCadetPIDs,MATCH($D578,rngCadetNames,0)),"?"))</f>
        <v/>
      </c>
      <c r="F578" s="15">
        <f>IF($E578="","",IFERROR(INDEX(nrCadetAgency,MATCH($E578,rngCadetPIDs,0)),""))</f>
        <v/>
      </c>
      <c r="G578" s="14" t="n"/>
      <c r="H578" s="14" t="n"/>
      <c r="I578" s="14" t="n"/>
      <c r="J578" s="14" t="n"/>
      <c r="K578" s="15">
        <f>IF($G578="","",IF(OR($G578="PT Missed",$G578="PT Modified",$G578="PT Refused"),"Yes","No"))</f>
        <v/>
      </c>
      <c r="L578" s="14" t="n"/>
      <c r="M578" s="14" t="n"/>
      <c r="N578" s="15">
        <f>IF($D578="","",IF($M578="Excused","No",IF(AND($G578="PT Modified",$L578="Received"),"No","Yes")))</f>
        <v/>
      </c>
      <c r="O578" s="14" t="n"/>
    </row>
    <row r="579">
      <c r="B579" s="15">
        <f>IF($D579="","","A"&amp;TEXT(ROW()-5,"000"))</f>
        <v/>
      </c>
      <c r="C579" s="16" t="n"/>
      <c r="D579" s="14" t="n"/>
      <c r="E579" s="15">
        <f>IF($D579="","",IFERROR(INDEX(rngCadetPIDs,MATCH($D579,rngCadetNames,0)),"?"))</f>
        <v/>
      </c>
      <c r="F579" s="15">
        <f>IF($E579="","",IFERROR(INDEX(nrCadetAgency,MATCH($E579,rngCadetPIDs,0)),""))</f>
        <v/>
      </c>
      <c r="G579" s="14" t="n"/>
      <c r="H579" s="14" t="n"/>
      <c r="I579" s="14" t="n"/>
      <c r="J579" s="14" t="n"/>
      <c r="K579" s="15">
        <f>IF($G579="","",IF(OR($G579="PT Missed",$G579="PT Modified",$G579="PT Refused"),"Yes","No"))</f>
        <v/>
      </c>
      <c r="L579" s="14" t="n"/>
      <c r="M579" s="14" t="n"/>
      <c r="N579" s="15">
        <f>IF($D579="","",IF($M579="Excused","No",IF(AND($G579="PT Modified",$L579="Received"),"No","Yes")))</f>
        <v/>
      </c>
      <c r="O579" s="14" t="n"/>
    </row>
    <row r="580">
      <c r="B580" s="15">
        <f>IF($D580="","","A"&amp;TEXT(ROW()-5,"000"))</f>
        <v/>
      </c>
      <c r="C580" s="16" t="n"/>
      <c r="D580" s="14" t="n"/>
      <c r="E580" s="15">
        <f>IF($D580="","",IFERROR(INDEX(rngCadetPIDs,MATCH($D580,rngCadetNames,0)),"?"))</f>
        <v/>
      </c>
      <c r="F580" s="15">
        <f>IF($E580="","",IFERROR(INDEX(nrCadetAgency,MATCH($E580,rngCadetPIDs,0)),""))</f>
        <v/>
      </c>
      <c r="G580" s="14" t="n"/>
      <c r="H580" s="14" t="n"/>
      <c r="I580" s="14" t="n"/>
      <c r="J580" s="14" t="n"/>
      <c r="K580" s="15">
        <f>IF($G580="","",IF(OR($G580="PT Missed",$G580="PT Modified",$G580="PT Refused"),"Yes","No"))</f>
        <v/>
      </c>
      <c r="L580" s="14" t="n"/>
      <c r="M580" s="14" t="n"/>
      <c r="N580" s="15">
        <f>IF($D580="","",IF($M580="Excused","No",IF(AND($G580="PT Modified",$L580="Received"),"No","Yes")))</f>
        <v/>
      </c>
      <c r="O580" s="14" t="n"/>
    </row>
    <row r="581">
      <c r="B581" s="15">
        <f>IF($D581="","","A"&amp;TEXT(ROW()-5,"000"))</f>
        <v/>
      </c>
      <c r="C581" s="16" t="n"/>
      <c r="D581" s="14" t="n"/>
      <c r="E581" s="15">
        <f>IF($D581="","",IFERROR(INDEX(rngCadetPIDs,MATCH($D581,rngCadetNames,0)),"?"))</f>
        <v/>
      </c>
      <c r="F581" s="15">
        <f>IF($E581="","",IFERROR(INDEX(nrCadetAgency,MATCH($E581,rngCadetPIDs,0)),""))</f>
        <v/>
      </c>
      <c r="G581" s="14" t="n"/>
      <c r="H581" s="14" t="n"/>
      <c r="I581" s="14" t="n"/>
      <c r="J581" s="14" t="n"/>
      <c r="K581" s="15">
        <f>IF($G581="","",IF(OR($G581="PT Missed",$G581="PT Modified",$G581="PT Refused"),"Yes","No"))</f>
        <v/>
      </c>
      <c r="L581" s="14" t="n"/>
      <c r="M581" s="14" t="n"/>
      <c r="N581" s="15">
        <f>IF($D581="","",IF($M581="Excused","No",IF(AND($G581="PT Modified",$L581="Received"),"No","Yes")))</f>
        <v/>
      </c>
      <c r="O581" s="14" t="n"/>
    </row>
    <row r="582">
      <c r="B582" s="15">
        <f>IF($D582="","","A"&amp;TEXT(ROW()-5,"000"))</f>
        <v/>
      </c>
      <c r="C582" s="16" t="n"/>
      <c r="D582" s="14" t="n"/>
      <c r="E582" s="15">
        <f>IF($D582="","",IFERROR(INDEX(rngCadetPIDs,MATCH($D582,rngCadetNames,0)),"?"))</f>
        <v/>
      </c>
      <c r="F582" s="15">
        <f>IF($E582="","",IFERROR(INDEX(nrCadetAgency,MATCH($E582,rngCadetPIDs,0)),""))</f>
        <v/>
      </c>
      <c r="G582" s="14" t="n"/>
      <c r="H582" s="14" t="n"/>
      <c r="I582" s="14" t="n"/>
      <c r="J582" s="14" t="n"/>
      <c r="K582" s="15">
        <f>IF($G582="","",IF(OR($G582="PT Missed",$G582="PT Modified",$G582="PT Refused"),"Yes","No"))</f>
        <v/>
      </c>
      <c r="L582" s="14" t="n"/>
      <c r="M582" s="14" t="n"/>
      <c r="N582" s="15">
        <f>IF($D582="","",IF($M582="Excused","No",IF(AND($G582="PT Modified",$L582="Received"),"No","Yes")))</f>
        <v/>
      </c>
      <c r="O582" s="14" t="n"/>
    </row>
    <row r="583">
      <c r="B583" s="15">
        <f>IF($D583="","","A"&amp;TEXT(ROW()-5,"000"))</f>
        <v/>
      </c>
      <c r="C583" s="16" t="n"/>
      <c r="D583" s="14" t="n"/>
      <c r="E583" s="15">
        <f>IF($D583="","",IFERROR(INDEX(rngCadetPIDs,MATCH($D583,rngCadetNames,0)),"?"))</f>
        <v/>
      </c>
      <c r="F583" s="15">
        <f>IF($E583="","",IFERROR(INDEX(nrCadetAgency,MATCH($E583,rngCadetPIDs,0)),""))</f>
        <v/>
      </c>
      <c r="G583" s="14" t="n"/>
      <c r="H583" s="14" t="n"/>
      <c r="I583" s="14" t="n"/>
      <c r="J583" s="14" t="n"/>
      <c r="K583" s="15">
        <f>IF($G583="","",IF(OR($G583="PT Missed",$G583="PT Modified",$G583="PT Refused"),"Yes","No"))</f>
        <v/>
      </c>
      <c r="L583" s="14" t="n"/>
      <c r="M583" s="14" t="n"/>
      <c r="N583" s="15">
        <f>IF($D583="","",IF($M583="Excused","No",IF(AND($G583="PT Modified",$L583="Received"),"No","Yes")))</f>
        <v/>
      </c>
      <c r="O583" s="14" t="n"/>
    </row>
    <row r="584">
      <c r="B584" s="15">
        <f>IF($D584="","","A"&amp;TEXT(ROW()-5,"000"))</f>
        <v/>
      </c>
      <c r="C584" s="16" t="n"/>
      <c r="D584" s="14" t="n"/>
      <c r="E584" s="15">
        <f>IF($D584="","",IFERROR(INDEX(rngCadetPIDs,MATCH($D584,rngCadetNames,0)),"?"))</f>
        <v/>
      </c>
      <c r="F584" s="15">
        <f>IF($E584="","",IFERROR(INDEX(nrCadetAgency,MATCH($E584,rngCadetPIDs,0)),""))</f>
        <v/>
      </c>
      <c r="G584" s="14" t="n"/>
      <c r="H584" s="14" t="n"/>
      <c r="I584" s="14" t="n"/>
      <c r="J584" s="14" t="n"/>
      <c r="K584" s="15">
        <f>IF($G584="","",IF(OR($G584="PT Missed",$G584="PT Modified",$G584="PT Refused"),"Yes","No"))</f>
        <v/>
      </c>
      <c r="L584" s="14" t="n"/>
      <c r="M584" s="14" t="n"/>
      <c r="N584" s="15">
        <f>IF($D584="","",IF($M584="Excused","No",IF(AND($G584="PT Modified",$L584="Received"),"No","Yes")))</f>
        <v/>
      </c>
      <c r="O584" s="14" t="n"/>
    </row>
    <row r="585">
      <c r="B585" s="15">
        <f>IF($D585="","","A"&amp;TEXT(ROW()-5,"000"))</f>
        <v/>
      </c>
      <c r="C585" s="16" t="n"/>
      <c r="D585" s="14" t="n"/>
      <c r="E585" s="15">
        <f>IF($D585="","",IFERROR(INDEX(rngCadetPIDs,MATCH($D585,rngCadetNames,0)),"?"))</f>
        <v/>
      </c>
      <c r="F585" s="15">
        <f>IF($E585="","",IFERROR(INDEX(nrCadetAgency,MATCH($E585,rngCadetPIDs,0)),""))</f>
        <v/>
      </c>
      <c r="G585" s="14" t="n"/>
      <c r="H585" s="14" t="n"/>
      <c r="I585" s="14" t="n"/>
      <c r="J585" s="14" t="n"/>
      <c r="K585" s="15">
        <f>IF($G585="","",IF(OR($G585="PT Missed",$G585="PT Modified",$G585="PT Refused"),"Yes","No"))</f>
        <v/>
      </c>
      <c r="L585" s="14" t="n"/>
      <c r="M585" s="14" t="n"/>
      <c r="N585" s="15">
        <f>IF($D585="","",IF($M585="Excused","No",IF(AND($G585="PT Modified",$L585="Received"),"No","Yes")))</f>
        <v/>
      </c>
      <c r="O585" s="14" t="n"/>
    </row>
    <row r="586">
      <c r="B586" s="15">
        <f>IF($D586="","","A"&amp;TEXT(ROW()-5,"000"))</f>
        <v/>
      </c>
      <c r="C586" s="16" t="n"/>
      <c r="D586" s="14" t="n"/>
      <c r="E586" s="15">
        <f>IF($D586="","",IFERROR(INDEX(rngCadetPIDs,MATCH($D586,rngCadetNames,0)),"?"))</f>
        <v/>
      </c>
      <c r="F586" s="15">
        <f>IF($E586="","",IFERROR(INDEX(nrCadetAgency,MATCH($E586,rngCadetPIDs,0)),""))</f>
        <v/>
      </c>
      <c r="G586" s="14" t="n"/>
      <c r="H586" s="14" t="n"/>
      <c r="I586" s="14" t="n"/>
      <c r="J586" s="14" t="n"/>
      <c r="K586" s="15">
        <f>IF($G586="","",IF(OR($G586="PT Missed",$G586="PT Modified",$G586="PT Refused"),"Yes","No"))</f>
        <v/>
      </c>
      <c r="L586" s="14" t="n"/>
      <c r="M586" s="14" t="n"/>
      <c r="N586" s="15">
        <f>IF($D586="","",IF($M586="Excused","No",IF(AND($G586="PT Modified",$L586="Received"),"No","Yes")))</f>
        <v/>
      </c>
      <c r="O586" s="14" t="n"/>
    </row>
    <row r="587">
      <c r="B587" s="15">
        <f>IF($D587="","","A"&amp;TEXT(ROW()-5,"000"))</f>
        <v/>
      </c>
      <c r="C587" s="16" t="n"/>
      <c r="D587" s="14" t="n"/>
      <c r="E587" s="15">
        <f>IF($D587="","",IFERROR(INDEX(rngCadetPIDs,MATCH($D587,rngCadetNames,0)),"?"))</f>
        <v/>
      </c>
      <c r="F587" s="15">
        <f>IF($E587="","",IFERROR(INDEX(nrCadetAgency,MATCH($E587,rngCadetPIDs,0)),""))</f>
        <v/>
      </c>
      <c r="G587" s="14" t="n"/>
      <c r="H587" s="14" t="n"/>
      <c r="I587" s="14" t="n"/>
      <c r="J587" s="14" t="n"/>
      <c r="K587" s="15">
        <f>IF($G587="","",IF(OR($G587="PT Missed",$G587="PT Modified",$G587="PT Refused"),"Yes","No"))</f>
        <v/>
      </c>
      <c r="L587" s="14" t="n"/>
      <c r="M587" s="14" t="n"/>
      <c r="N587" s="15">
        <f>IF($D587="","",IF($M587="Excused","No",IF(AND($G587="PT Modified",$L587="Received"),"No","Yes")))</f>
        <v/>
      </c>
      <c r="O587" s="14" t="n"/>
    </row>
    <row r="588">
      <c r="B588" s="15">
        <f>IF($D588="","","A"&amp;TEXT(ROW()-5,"000"))</f>
        <v/>
      </c>
      <c r="C588" s="16" t="n"/>
      <c r="D588" s="14" t="n"/>
      <c r="E588" s="15">
        <f>IF($D588="","",IFERROR(INDEX(rngCadetPIDs,MATCH($D588,rngCadetNames,0)),"?"))</f>
        <v/>
      </c>
      <c r="F588" s="15">
        <f>IF($E588="","",IFERROR(INDEX(nrCadetAgency,MATCH($E588,rngCadetPIDs,0)),""))</f>
        <v/>
      </c>
      <c r="G588" s="14" t="n"/>
      <c r="H588" s="14" t="n"/>
      <c r="I588" s="14" t="n"/>
      <c r="J588" s="14" t="n"/>
      <c r="K588" s="15">
        <f>IF($G588="","",IF(OR($G588="PT Missed",$G588="PT Modified",$G588="PT Refused"),"Yes","No"))</f>
        <v/>
      </c>
      <c r="L588" s="14" t="n"/>
      <c r="M588" s="14" t="n"/>
      <c r="N588" s="15">
        <f>IF($D588="","",IF($M588="Excused","No",IF(AND($G588="PT Modified",$L588="Received"),"No","Yes")))</f>
        <v/>
      </c>
      <c r="O588" s="14" t="n"/>
    </row>
    <row r="589">
      <c r="B589" s="15">
        <f>IF($D589="","","A"&amp;TEXT(ROW()-5,"000"))</f>
        <v/>
      </c>
      <c r="C589" s="16" t="n"/>
      <c r="D589" s="14" t="n"/>
      <c r="E589" s="15">
        <f>IF($D589="","",IFERROR(INDEX(rngCadetPIDs,MATCH($D589,rngCadetNames,0)),"?"))</f>
        <v/>
      </c>
      <c r="F589" s="15">
        <f>IF($E589="","",IFERROR(INDEX(nrCadetAgency,MATCH($E589,rngCadetPIDs,0)),""))</f>
        <v/>
      </c>
      <c r="G589" s="14" t="n"/>
      <c r="H589" s="14" t="n"/>
      <c r="I589" s="14" t="n"/>
      <c r="J589" s="14" t="n"/>
      <c r="K589" s="15">
        <f>IF($G589="","",IF(OR($G589="PT Missed",$G589="PT Modified",$G589="PT Refused"),"Yes","No"))</f>
        <v/>
      </c>
      <c r="L589" s="14" t="n"/>
      <c r="M589" s="14" t="n"/>
      <c r="N589" s="15">
        <f>IF($D589="","",IF($M589="Excused","No",IF(AND($G589="PT Modified",$L589="Received"),"No","Yes")))</f>
        <v/>
      </c>
      <c r="O589" s="14" t="n"/>
    </row>
    <row r="590">
      <c r="B590" s="15">
        <f>IF($D590="","","A"&amp;TEXT(ROW()-5,"000"))</f>
        <v/>
      </c>
      <c r="C590" s="16" t="n"/>
      <c r="D590" s="14" t="n"/>
      <c r="E590" s="15">
        <f>IF($D590="","",IFERROR(INDEX(rngCadetPIDs,MATCH($D590,rngCadetNames,0)),"?"))</f>
        <v/>
      </c>
      <c r="F590" s="15">
        <f>IF($E590="","",IFERROR(INDEX(nrCadetAgency,MATCH($E590,rngCadetPIDs,0)),""))</f>
        <v/>
      </c>
      <c r="G590" s="14" t="n"/>
      <c r="H590" s="14" t="n"/>
      <c r="I590" s="14" t="n"/>
      <c r="J590" s="14" t="n"/>
      <c r="K590" s="15">
        <f>IF($G590="","",IF(OR($G590="PT Missed",$G590="PT Modified",$G590="PT Refused"),"Yes","No"))</f>
        <v/>
      </c>
      <c r="L590" s="14" t="n"/>
      <c r="M590" s="14" t="n"/>
      <c r="N590" s="15">
        <f>IF($D590="","",IF($M590="Excused","No",IF(AND($G590="PT Modified",$L590="Received"),"No","Yes")))</f>
        <v/>
      </c>
      <c r="O590" s="14" t="n"/>
    </row>
    <row r="591">
      <c r="B591" s="15">
        <f>IF($D591="","","A"&amp;TEXT(ROW()-5,"000"))</f>
        <v/>
      </c>
      <c r="C591" s="16" t="n"/>
      <c r="D591" s="14" t="n"/>
      <c r="E591" s="15">
        <f>IF($D591="","",IFERROR(INDEX(rngCadetPIDs,MATCH($D591,rngCadetNames,0)),"?"))</f>
        <v/>
      </c>
      <c r="F591" s="15">
        <f>IF($E591="","",IFERROR(INDEX(nrCadetAgency,MATCH($E591,rngCadetPIDs,0)),""))</f>
        <v/>
      </c>
      <c r="G591" s="14" t="n"/>
      <c r="H591" s="14" t="n"/>
      <c r="I591" s="14" t="n"/>
      <c r="J591" s="14" t="n"/>
      <c r="K591" s="15">
        <f>IF($G591="","",IF(OR($G591="PT Missed",$G591="PT Modified",$G591="PT Refused"),"Yes","No"))</f>
        <v/>
      </c>
      <c r="L591" s="14" t="n"/>
      <c r="M591" s="14" t="n"/>
      <c r="N591" s="15">
        <f>IF($D591="","",IF($M591="Excused","No",IF(AND($G591="PT Modified",$L591="Received"),"No","Yes")))</f>
        <v/>
      </c>
      <c r="O591" s="14" t="n"/>
    </row>
    <row r="592">
      <c r="B592" s="15">
        <f>IF($D592="","","A"&amp;TEXT(ROW()-5,"000"))</f>
        <v/>
      </c>
      <c r="C592" s="16" t="n"/>
      <c r="D592" s="14" t="n"/>
      <c r="E592" s="15">
        <f>IF($D592="","",IFERROR(INDEX(rngCadetPIDs,MATCH($D592,rngCadetNames,0)),"?"))</f>
        <v/>
      </c>
      <c r="F592" s="15">
        <f>IF($E592="","",IFERROR(INDEX(nrCadetAgency,MATCH($E592,rngCadetPIDs,0)),""))</f>
        <v/>
      </c>
      <c r="G592" s="14" t="n"/>
      <c r="H592" s="14" t="n"/>
      <c r="I592" s="14" t="n"/>
      <c r="J592" s="14" t="n"/>
      <c r="K592" s="15">
        <f>IF($G592="","",IF(OR($G592="PT Missed",$G592="PT Modified",$G592="PT Refused"),"Yes","No"))</f>
        <v/>
      </c>
      <c r="L592" s="14" t="n"/>
      <c r="M592" s="14" t="n"/>
      <c r="N592" s="15">
        <f>IF($D592="","",IF($M592="Excused","No",IF(AND($G592="PT Modified",$L592="Received"),"No","Yes")))</f>
        <v/>
      </c>
      <c r="O592" s="14" t="n"/>
    </row>
    <row r="593">
      <c r="B593" s="15">
        <f>IF($D593="","","A"&amp;TEXT(ROW()-5,"000"))</f>
        <v/>
      </c>
      <c r="C593" s="16" t="n"/>
      <c r="D593" s="14" t="n"/>
      <c r="E593" s="15">
        <f>IF($D593="","",IFERROR(INDEX(rngCadetPIDs,MATCH($D593,rngCadetNames,0)),"?"))</f>
        <v/>
      </c>
      <c r="F593" s="15">
        <f>IF($E593="","",IFERROR(INDEX(nrCadetAgency,MATCH($E593,rngCadetPIDs,0)),""))</f>
        <v/>
      </c>
      <c r="G593" s="14" t="n"/>
      <c r="H593" s="14" t="n"/>
      <c r="I593" s="14" t="n"/>
      <c r="J593" s="14" t="n"/>
      <c r="K593" s="15">
        <f>IF($G593="","",IF(OR($G593="PT Missed",$G593="PT Modified",$G593="PT Refused"),"Yes","No"))</f>
        <v/>
      </c>
      <c r="L593" s="14" t="n"/>
      <c r="M593" s="14" t="n"/>
      <c r="N593" s="15">
        <f>IF($D593="","",IF($M593="Excused","No",IF(AND($G593="PT Modified",$L593="Received"),"No","Yes")))</f>
        <v/>
      </c>
      <c r="O593" s="14" t="n"/>
    </row>
    <row r="594">
      <c r="B594" s="15">
        <f>IF($D594="","","A"&amp;TEXT(ROW()-5,"000"))</f>
        <v/>
      </c>
      <c r="C594" s="16" t="n"/>
      <c r="D594" s="14" t="n"/>
      <c r="E594" s="15">
        <f>IF($D594="","",IFERROR(INDEX(rngCadetPIDs,MATCH($D594,rngCadetNames,0)),"?"))</f>
        <v/>
      </c>
      <c r="F594" s="15">
        <f>IF($E594="","",IFERROR(INDEX(nrCadetAgency,MATCH($E594,rngCadetPIDs,0)),""))</f>
        <v/>
      </c>
      <c r="G594" s="14" t="n"/>
      <c r="H594" s="14" t="n"/>
      <c r="I594" s="14" t="n"/>
      <c r="J594" s="14" t="n"/>
      <c r="K594" s="15">
        <f>IF($G594="","",IF(OR($G594="PT Missed",$G594="PT Modified",$G594="PT Refused"),"Yes","No"))</f>
        <v/>
      </c>
      <c r="L594" s="14" t="n"/>
      <c r="M594" s="14" t="n"/>
      <c r="N594" s="15">
        <f>IF($D594="","",IF($M594="Excused","No",IF(AND($G594="PT Modified",$L594="Received"),"No","Yes")))</f>
        <v/>
      </c>
      <c r="O594" s="14" t="n"/>
    </row>
    <row r="595">
      <c r="B595" s="15">
        <f>IF($D595="","","A"&amp;TEXT(ROW()-5,"000"))</f>
        <v/>
      </c>
      <c r="C595" s="16" t="n"/>
      <c r="D595" s="14" t="n"/>
      <c r="E595" s="15">
        <f>IF($D595="","",IFERROR(INDEX(rngCadetPIDs,MATCH($D595,rngCadetNames,0)),"?"))</f>
        <v/>
      </c>
      <c r="F595" s="15">
        <f>IF($E595="","",IFERROR(INDEX(nrCadetAgency,MATCH($E595,rngCadetPIDs,0)),""))</f>
        <v/>
      </c>
      <c r="G595" s="14" t="n"/>
      <c r="H595" s="14" t="n"/>
      <c r="I595" s="14" t="n"/>
      <c r="J595" s="14" t="n"/>
      <c r="K595" s="15">
        <f>IF($G595="","",IF(OR($G595="PT Missed",$G595="PT Modified",$G595="PT Refused"),"Yes","No"))</f>
        <v/>
      </c>
      <c r="L595" s="14" t="n"/>
      <c r="M595" s="14" t="n"/>
      <c r="N595" s="15">
        <f>IF($D595="","",IF($M595="Excused","No",IF(AND($G595="PT Modified",$L595="Received"),"No","Yes")))</f>
        <v/>
      </c>
      <c r="O595" s="14" t="n"/>
    </row>
    <row r="596">
      <c r="B596" s="15">
        <f>IF($D596="","","A"&amp;TEXT(ROW()-5,"000"))</f>
        <v/>
      </c>
      <c r="C596" s="16" t="n"/>
      <c r="D596" s="14" t="n"/>
      <c r="E596" s="15">
        <f>IF($D596="","",IFERROR(INDEX(rngCadetPIDs,MATCH($D596,rngCadetNames,0)),"?"))</f>
        <v/>
      </c>
      <c r="F596" s="15">
        <f>IF($E596="","",IFERROR(INDEX(nrCadetAgency,MATCH($E596,rngCadetPIDs,0)),""))</f>
        <v/>
      </c>
      <c r="G596" s="14" t="n"/>
      <c r="H596" s="14" t="n"/>
      <c r="I596" s="14" t="n"/>
      <c r="J596" s="14" t="n"/>
      <c r="K596" s="15">
        <f>IF($G596="","",IF(OR($G596="PT Missed",$G596="PT Modified",$G596="PT Refused"),"Yes","No"))</f>
        <v/>
      </c>
      <c r="L596" s="14" t="n"/>
      <c r="M596" s="14" t="n"/>
      <c r="N596" s="15">
        <f>IF($D596="","",IF($M596="Excused","No",IF(AND($G596="PT Modified",$L596="Received"),"No","Yes")))</f>
        <v/>
      </c>
      <c r="O596" s="14" t="n"/>
    </row>
    <row r="597">
      <c r="B597" s="15">
        <f>IF($D597="","","A"&amp;TEXT(ROW()-5,"000"))</f>
        <v/>
      </c>
      <c r="C597" s="16" t="n"/>
      <c r="D597" s="14" t="n"/>
      <c r="E597" s="15">
        <f>IF($D597="","",IFERROR(INDEX(rngCadetPIDs,MATCH($D597,rngCadetNames,0)),"?"))</f>
        <v/>
      </c>
      <c r="F597" s="15">
        <f>IF($E597="","",IFERROR(INDEX(nrCadetAgency,MATCH($E597,rngCadetPIDs,0)),""))</f>
        <v/>
      </c>
      <c r="G597" s="14" t="n"/>
      <c r="H597" s="14" t="n"/>
      <c r="I597" s="14" t="n"/>
      <c r="J597" s="14" t="n"/>
      <c r="K597" s="15">
        <f>IF($G597="","",IF(OR($G597="PT Missed",$G597="PT Modified",$G597="PT Refused"),"Yes","No"))</f>
        <v/>
      </c>
      <c r="L597" s="14" t="n"/>
      <c r="M597" s="14" t="n"/>
      <c r="N597" s="15">
        <f>IF($D597="","",IF($M597="Excused","No",IF(AND($G597="PT Modified",$L597="Received"),"No","Yes")))</f>
        <v/>
      </c>
      <c r="O597" s="14" t="n"/>
    </row>
    <row r="598">
      <c r="B598" s="15">
        <f>IF($D598="","","A"&amp;TEXT(ROW()-5,"000"))</f>
        <v/>
      </c>
      <c r="C598" s="16" t="n"/>
      <c r="D598" s="14" t="n"/>
      <c r="E598" s="15">
        <f>IF($D598="","",IFERROR(INDEX(rngCadetPIDs,MATCH($D598,rngCadetNames,0)),"?"))</f>
        <v/>
      </c>
      <c r="F598" s="15">
        <f>IF($E598="","",IFERROR(INDEX(nrCadetAgency,MATCH($E598,rngCadetPIDs,0)),""))</f>
        <v/>
      </c>
      <c r="G598" s="14" t="n"/>
      <c r="H598" s="14" t="n"/>
      <c r="I598" s="14" t="n"/>
      <c r="J598" s="14" t="n"/>
      <c r="K598" s="15">
        <f>IF($G598="","",IF(OR($G598="PT Missed",$G598="PT Modified",$G598="PT Refused"),"Yes","No"))</f>
        <v/>
      </c>
      <c r="L598" s="14" t="n"/>
      <c r="M598" s="14" t="n"/>
      <c r="N598" s="15">
        <f>IF($D598="","",IF($M598="Excused","No",IF(AND($G598="PT Modified",$L598="Received"),"No","Yes")))</f>
        <v/>
      </c>
      <c r="O598" s="14" t="n"/>
    </row>
    <row r="599">
      <c r="B599" s="15">
        <f>IF($D599="","","A"&amp;TEXT(ROW()-5,"000"))</f>
        <v/>
      </c>
      <c r="C599" s="16" t="n"/>
      <c r="D599" s="14" t="n"/>
      <c r="E599" s="15">
        <f>IF($D599="","",IFERROR(INDEX(rngCadetPIDs,MATCH($D599,rngCadetNames,0)),"?"))</f>
        <v/>
      </c>
      <c r="F599" s="15">
        <f>IF($E599="","",IFERROR(INDEX(nrCadetAgency,MATCH($E599,rngCadetPIDs,0)),""))</f>
        <v/>
      </c>
      <c r="G599" s="14" t="n"/>
      <c r="H599" s="14" t="n"/>
      <c r="I599" s="14" t="n"/>
      <c r="J599" s="14" t="n"/>
      <c r="K599" s="15">
        <f>IF($G599="","",IF(OR($G599="PT Missed",$G599="PT Modified",$G599="PT Refused"),"Yes","No"))</f>
        <v/>
      </c>
      <c r="L599" s="14" t="n"/>
      <c r="M599" s="14" t="n"/>
      <c r="N599" s="15">
        <f>IF($D599="","",IF($M599="Excused","No",IF(AND($G599="PT Modified",$L599="Received"),"No","Yes")))</f>
        <v/>
      </c>
      <c r="O599" s="14" t="n"/>
    </row>
    <row r="600">
      <c r="B600" s="15">
        <f>IF($D600="","","A"&amp;TEXT(ROW()-5,"000"))</f>
        <v/>
      </c>
      <c r="C600" s="16" t="n"/>
      <c r="D600" s="14" t="n"/>
      <c r="E600" s="15">
        <f>IF($D600="","",IFERROR(INDEX(rngCadetPIDs,MATCH($D600,rngCadetNames,0)),"?"))</f>
        <v/>
      </c>
      <c r="F600" s="15">
        <f>IF($E600="","",IFERROR(INDEX(nrCadetAgency,MATCH($E600,rngCadetPIDs,0)),""))</f>
        <v/>
      </c>
      <c r="G600" s="14" t="n"/>
      <c r="H600" s="14" t="n"/>
      <c r="I600" s="14" t="n"/>
      <c r="J600" s="14" t="n"/>
      <c r="K600" s="15">
        <f>IF($G600="","",IF(OR($G600="PT Missed",$G600="PT Modified",$G600="PT Refused"),"Yes","No"))</f>
        <v/>
      </c>
      <c r="L600" s="14" t="n"/>
      <c r="M600" s="14" t="n"/>
      <c r="N600" s="15">
        <f>IF($D600="","",IF($M600="Excused","No",IF(AND($G600="PT Modified",$L600="Received"),"No","Yes")))</f>
        <v/>
      </c>
      <c r="O600" s="14" t="n"/>
    </row>
    <row r="601">
      <c r="B601" s="15">
        <f>IF($D601="","","A"&amp;TEXT(ROW()-5,"000"))</f>
        <v/>
      </c>
      <c r="C601" s="16" t="n"/>
      <c r="D601" s="14" t="n"/>
      <c r="E601" s="15">
        <f>IF($D601="","",IFERROR(INDEX(rngCadetPIDs,MATCH($D601,rngCadetNames,0)),"?"))</f>
        <v/>
      </c>
      <c r="F601" s="15">
        <f>IF($E601="","",IFERROR(INDEX(nrCadetAgency,MATCH($E601,rngCadetPIDs,0)),""))</f>
        <v/>
      </c>
      <c r="G601" s="14" t="n"/>
      <c r="H601" s="14" t="n"/>
      <c r="I601" s="14" t="n"/>
      <c r="J601" s="14" t="n"/>
      <c r="K601" s="15">
        <f>IF($G601="","",IF(OR($G601="PT Missed",$G601="PT Modified",$G601="PT Refused"),"Yes","No"))</f>
        <v/>
      </c>
      <c r="L601" s="14" t="n"/>
      <c r="M601" s="14" t="n"/>
      <c r="N601" s="15">
        <f>IF($D601="","",IF($M601="Excused","No",IF(AND($G601="PT Modified",$L601="Received"),"No","Yes")))</f>
        <v/>
      </c>
      <c r="O601" s="14" t="n"/>
    </row>
    <row r="602">
      <c r="B602" s="15">
        <f>IF($D602="","","A"&amp;TEXT(ROW()-5,"000"))</f>
        <v/>
      </c>
      <c r="C602" s="16" t="n"/>
      <c r="D602" s="14" t="n"/>
      <c r="E602" s="15">
        <f>IF($D602="","",IFERROR(INDEX(rngCadetPIDs,MATCH($D602,rngCadetNames,0)),"?"))</f>
        <v/>
      </c>
      <c r="F602" s="15">
        <f>IF($E602="","",IFERROR(INDEX(nrCadetAgency,MATCH($E602,rngCadetPIDs,0)),""))</f>
        <v/>
      </c>
      <c r="G602" s="14" t="n"/>
      <c r="H602" s="14" t="n"/>
      <c r="I602" s="14" t="n"/>
      <c r="J602" s="14" t="n"/>
      <c r="K602" s="15">
        <f>IF($G602="","",IF(OR($G602="PT Missed",$G602="PT Modified",$G602="PT Refused"),"Yes","No"))</f>
        <v/>
      </c>
      <c r="L602" s="14" t="n"/>
      <c r="M602" s="14" t="n"/>
      <c r="N602" s="15">
        <f>IF($D602="","",IF($M602="Excused","No",IF(AND($G602="PT Modified",$L602="Received"),"No","Yes")))</f>
        <v/>
      </c>
      <c r="O602" s="14" t="n"/>
    </row>
    <row r="603">
      <c r="B603" s="15">
        <f>IF($D603="","","A"&amp;TEXT(ROW()-5,"000"))</f>
        <v/>
      </c>
      <c r="C603" s="16" t="n"/>
      <c r="D603" s="14" t="n"/>
      <c r="E603" s="15">
        <f>IF($D603="","",IFERROR(INDEX(rngCadetPIDs,MATCH($D603,rngCadetNames,0)),"?"))</f>
        <v/>
      </c>
      <c r="F603" s="15">
        <f>IF($E603="","",IFERROR(INDEX(nrCadetAgency,MATCH($E603,rngCadetPIDs,0)),""))</f>
        <v/>
      </c>
      <c r="G603" s="14" t="n"/>
      <c r="H603" s="14" t="n"/>
      <c r="I603" s="14" t="n"/>
      <c r="J603" s="14" t="n"/>
      <c r="K603" s="15">
        <f>IF($G603="","",IF(OR($G603="PT Missed",$G603="PT Modified",$G603="PT Refused"),"Yes","No"))</f>
        <v/>
      </c>
      <c r="L603" s="14" t="n"/>
      <c r="M603" s="14" t="n"/>
      <c r="N603" s="15">
        <f>IF($D603="","",IF($M603="Excused","No",IF(AND($G603="PT Modified",$L603="Received"),"No","Yes")))</f>
        <v/>
      </c>
      <c r="O603" s="14" t="n"/>
    </row>
    <row r="604">
      <c r="B604" s="15">
        <f>IF($D604="","","A"&amp;TEXT(ROW()-5,"000"))</f>
        <v/>
      </c>
      <c r="C604" s="16" t="n"/>
      <c r="D604" s="14" t="n"/>
      <c r="E604" s="15">
        <f>IF($D604="","",IFERROR(INDEX(rngCadetPIDs,MATCH($D604,rngCadetNames,0)),"?"))</f>
        <v/>
      </c>
      <c r="F604" s="15">
        <f>IF($E604="","",IFERROR(INDEX(nrCadetAgency,MATCH($E604,rngCadetPIDs,0)),""))</f>
        <v/>
      </c>
      <c r="G604" s="14" t="n"/>
      <c r="H604" s="14" t="n"/>
      <c r="I604" s="14" t="n"/>
      <c r="J604" s="14" t="n"/>
      <c r="K604" s="15">
        <f>IF($G604="","",IF(OR($G604="PT Missed",$G604="PT Modified",$G604="PT Refused"),"Yes","No"))</f>
        <v/>
      </c>
      <c r="L604" s="14" t="n"/>
      <c r="M604" s="14" t="n"/>
      <c r="N604" s="15">
        <f>IF($D604="","",IF($M604="Excused","No",IF(AND($G604="PT Modified",$L604="Received"),"No","Yes")))</f>
        <v/>
      </c>
      <c r="O604" s="14" t="n"/>
    </row>
    <row r="605">
      <c r="B605" s="15">
        <f>IF($D605="","","A"&amp;TEXT(ROW()-5,"000"))</f>
        <v/>
      </c>
      <c r="C605" s="16" t="n"/>
      <c r="D605" s="14" t="n"/>
      <c r="E605" s="15">
        <f>IF($D605="","",IFERROR(INDEX(rngCadetPIDs,MATCH($D605,rngCadetNames,0)),"?"))</f>
        <v/>
      </c>
      <c r="F605" s="15">
        <f>IF($E605="","",IFERROR(INDEX(nrCadetAgency,MATCH($E605,rngCadetPIDs,0)),""))</f>
        <v/>
      </c>
      <c r="G605" s="14" t="n"/>
      <c r="H605" s="14" t="n"/>
      <c r="I605" s="14" t="n"/>
      <c r="J605" s="14" t="n"/>
      <c r="K605" s="15">
        <f>IF($G605="","",IF(OR($G605="PT Missed",$G605="PT Modified",$G605="PT Refused"),"Yes","No"))</f>
        <v/>
      </c>
      <c r="L605" s="14" t="n"/>
      <c r="M605" s="14" t="n"/>
      <c r="N605" s="15">
        <f>IF($D605="","",IF($M605="Excused","No",IF(AND($G605="PT Modified",$L605="Received"),"No","Yes")))</f>
        <v/>
      </c>
      <c r="O605" s="14" t="n"/>
    </row>
    <row r="606">
      <c r="B606" s="15">
        <f>IF($D606="","","A"&amp;TEXT(ROW()-5,"000"))</f>
        <v/>
      </c>
      <c r="C606" s="16" t="n"/>
      <c r="D606" s="14" t="n"/>
      <c r="E606" s="15">
        <f>IF($D606="","",IFERROR(INDEX(rngCadetPIDs,MATCH($D606,rngCadetNames,0)),"?"))</f>
        <v/>
      </c>
      <c r="F606" s="15">
        <f>IF($E606="","",IFERROR(INDEX(nrCadetAgency,MATCH($E606,rngCadetPIDs,0)),""))</f>
        <v/>
      </c>
      <c r="G606" s="14" t="n"/>
      <c r="H606" s="14" t="n"/>
      <c r="I606" s="14" t="n"/>
      <c r="J606" s="14" t="n"/>
      <c r="K606" s="15">
        <f>IF($G606="","",IF(OR($G606="PT Missed",$G606="PT Modified",$G606="PT Refused"),"Yes","No"))</f>
        <v/>
      </c>
      <c r="L606" s="14" t="n"/>
      <c r="M606" s="14" t="n"/>
      <c r="N606" s="15">
        <f>IF($D606="","",IF($M606="Excused","No",IF(AND($G606="PT Modified",$L606="Received"),"No","Yes")))</f>
        <v/>
      </c>
      <c r="O606" s="14" t="n"/>
    </row>
    <row r="607">
      <c r="B607" s="15">
        <f>IF($D607="","","A"&amp;TEXT(ROW()-5,"000"))</f>
        <v/>
      </c>
      <c r="C607" s="16" t="n"/>
      <c r="D607" s="14" t="n"/>
      <c r="E607" s="15">
        <f>IF($D607="","",IFERROR(INDEX(rngCadetPIDs,MATCH($D607,rngCadetNames,0)),"?"))</f>
        <v/>
      </c>
      <c r="F607" s="15">
        <f>IF($E607="","",IFERROR(INDEX(nrCadetAgency,MATCH($E607,rngCadetPIDs,0)),""))</f>
        <v/>
      </c>
      <c r="G607" s="14" t="n"/>
      <c r="H607" s="14" t="n"/>
      <c r="I607" s="14" t="n"/>
      <c r="J607" s="14" t="n"/>
      <c r="K607" s="15">
        <f>IF($G607="","",IF(OR($G607="PT Missed",$G607="PT Modified",$G607="PT Refused"),"Yes","No"))</f>
        <v/>
      </c>
      <c r="L607" s="14" t="n"/>
      <c r="M607" s="14" t="n"/>
      <c r="N607" s="15">
        <f>IF($D607="","",IF($M607="Excused","No",IF(AND($G607="PT Modified",$L607="Received"),"No","Yes")))</f>
        <v/>
      </c>
      <c r="O607" s="14" t="n"/>
    </row>
    <row r="608">
      <c r="B608" s="15">
        <f>IF($D608="","","A"&amp;TEXT(ROW()-5,"000"))</f>
        <v/>
      </c>
      <c r="C608" s="16" t="n"/>
      <c r="D608" s="14" t="n"/>
      <c r="E608" s="15">
        <f>IF($D608="","",IFERROR(INDEX(rngCadetPIDs,MATCH($D608,rngCadetNames,0)),"?"))</f>
        <v/>
      </c>
      <c r="F608" s="15">
        <f>IF($E608="","",IFERROR(INDEX(nrCadetAgency,MATCH($E608,rngCadetPIDs,0)),""))</f>
        <v/>
      </c>
      <c r="G608" s="14" t="n"/>
      <c r="H608" s="14" t="n"/>
      <c r="I608" s="14" t="n"/>
      <c r="J608" s="14" t="n"/>
      <c r="K608" s="15">
        <f>IF($G608="","",IF(OR($G608="PT Missed",$G608="PT Modified",$G608="PT Refused"),"Yes","No"))</f>
        <v/>
      </c>
      <c r="L608" s="14" t="n"/>
      <c r="M608" s="14" t="n"/>
      <c r="N608" s="15">
        <f>IF($D608="","",IF($M608="Excused","No",IF(AND($G608="PT Modified",$L608="Received"),"No","Yes")))</f>
        <v/>
      </c>
      <c r="O608" s="14" t="n"/>
    </row>
    <row r="609">
      <c r="B609" s="15">
        <f>IF($D609="","","A"&amp;TEXT(ROW()-5,"000"))</f>
        <v/>
      </c>
      <c r="C609" s="16" t="n"/>
      <c r="D609" s="14" t="n"/>
      <c r="E609" s="15">
        <f>IF($D609="","",IFERROR(INDEX(rngCadetPIDs,MATCH($D609,rngCadetNames,0)),"?"))</f>
        <v/>
      </c>
      <c r="F609" s="15">
        <f>IF($E609="","",IFERROR(INDEX(nrCadetAgency,MATCH($E609,rngCadetPIDs,0)),""))</f>
        <v/>
      </c>
      <c r="G609" s="14" t="n"/>
      <c r="H609" s="14" t="n"/>
      <c r="I609" s="14" t="n"/>
      <c r="J609" s="14" t="n"/>
      <c r="K609" s="15">
        <f>IF($G609="","",IF(OR($G609="PT Missed",$G609="PT Modified",$G609="PT Refused"),"Yes","No"))</f>
        <v/>
      </c>
      <c r="L609" s="14" t="n"/>
      <c r="M609" s="14" t="n"/>
      <c r="N609" s="15">
        <f>IF($D609="","",IF($M609="Excused","No",IF(AND($G609="PT Modified",$L609="Received"),"No","Yes")))</f>
        <v/>
      </c>
      <c r="O609" s="14" t="n"/>
    </row>
    <row r="610">
      <c r="B610" s="15">
        <f>IF($D610="","","A"&amp;TEXT(ROW()-5,"000"))</f>
        <v/>
      </c>
      <c r="C610" s="16" t="n"/>
      <c r="D610" s="14" t="n"/>
      <c r="E610" s="15">
        <f>IF($D610="","",IFERROR(INDEX(rngCadetPIDs,MATCH($D610,rngCadetNames,0)),"?"))</f>
        <v/>
      </c>
      <c r="F610" s="15">
        <f>IF($E610="","",IFERROR(INDEX(nrCadetAgency,MATCH($E610,rngCadetPIDs,0)),""))</f>
        <v/>
      </c>
      <c r="G610" s="14" t="n"/>
      <c r="H610" s="14" t="n"/>
      <c r="I610" s="14" t="n"/>
      <c r="J610" s="14" t="n"/>
      <c r="K610" s="15">
        <f>IF($G610="","",IF(OR($G610="PT Missed",$G610="PT Modified",$G610="PT Refused"),"Yes","No"))</f>
        <v/>
      </c>
      <c r="L610" s="14" t="n"/>
      <c r="M610" s="14" t="n"/>
      <c r="N610" s="15">
        <f>IF($D610="","",IF($M610="Excused","No",IF(AND($G610="PT Modified",$L610="Received"),"No","Yes")))</f>
        <v/>
      </c>
      <c r="O610" s="14" t="n"/>
    </row>
    <row r="611">
      <c r="B611" s="15">
        <f>IF($D611="","","A"&amp;TEXT(ROW()-5,"000"))</f>
        <v/>
      </c>
      <c r="C611" s="16" t="n"/>
      <c r="D611" s="14" t="n"/>
      <c r="E611" s="15">
        <f>IF($D611="","",IFERROR(INDEX(rngCadetPIDs,MATCH($D611,rngCadetNames,0)),"?"))</f>
        <v/>
      </c>
      <c r="F611" s="15">
        <f>IF($E611="","",IFERROR(INDEX(nrCadetAgency,MATCH($E611,rngCadetPIDs,0)),""))</f>
        <v/>
      </c>
      <c r="G611" s="14" t="n"/>
      <c r="H611" s="14" t="n"/>
      <c r="I611" s="14" t="n"/>
      <c r="J611" s="14" t="n"/>
      <c r="K611" s="15">
        <f>IF($G611="","",IF(OR($G611="PT Missed",$G611="PT Modified",$G611="PT Refused"),"Yes","No"))</f>
        <v/>
      </c>
      <c r="L611" s="14" t="n"/>
      <c r="M611" s="14" t="n"/>
      <c r="N611" s="15">
        <f>IF($D611="","",IF($M611="Excused","No",IF(AND($G611="PT Modified",$L611="Received"),"No","Yes")))</f>
        <v/>
      </c>
      <c r="O611" s="14" t="n"/>
    </row>
    <row r="612">
      <c r="B612" s="15">
        <f>IF($D612="","","A"&amp;TEXT(ROW()-5,"000"))</f>
        <v/>
      </c>
      <c r="C612" s="16" t="n"/>
      <c r="D612" s="14" t="n"/>
      <c r="E612" s="15">
        <f>IF($D612="","",IFERROR(INDEX(rngCadetPIDs,MATCH($D612,rngCadetNames,0)),"?"))</f>
        <v/>
      </c>
      <c r="F612" s="15">
        <f>IF($E612="","",IFERROR(INDEX(nrCadetAgency,MATCH($E612,rngCadetPIDs,0)),""))</f>
        <v/>
      </c>
      <c r="G612" s="14" t="n"/>
      <c r="H612" s="14" t="n"/>
      <c r="I612" s="14" t="n"/>
      <c r="J612" s="14" t="n"/>
      <c r="K612" s="15">
        <f>IF($G612="","",IF(OR($G612="PT Missed",$G612="PT Modified",$G612="PT Refused"),"Yes","No"))</f>
        <v/>
      </c>
      <c r="L612" s="14" t="n"/>
      <c r="M612" s="14" t="n"/>
      <c r="N612" s="15">
        <f>IF($D612="","",IF($M612="Excused","No",IF(AND($G612="PT Modified",$L612="Received"),"No","Yes")))</f>
        <v/>
      </c>
      <c r="O612" s="14" t="n"/>
    </row>
    <row r="613">
      <c r="B613" s="15">
        <f>IF($D613="","","A"&amp;TEXT(ROW()-5,"000"))</f>
        <v/>
      </c>
      <c r="C613" s="16" t="n"/>
      <c r="D613" s="14" t="n"/>
      <c r="E613" s="15">
        <f>IF($D613="","",IFERROR(INDEX(rngCadetPIDs,MATCH($D613,rngCadetNames,0)),"?"))</f>
        <v/>
      </c>
      <c r="F613" s="15">
        <f>IF($E613="","",IFERROR(INDEX(nrCadetAgency,MATCH($E613,rngCadetPIDs,0)),""))</f>
        <v/>
      </c>
      <c r="G613" s="14" t="n"/>
      <c r="H613" s="14" t="n"/>
      <c r="I613" s="14" t="n"/>
      <c r="J613" s="14" t="n"/>
      <c r="K613" s="15">
        <f>IF($G613="","",IF(OR($G613="PT Missed",$G613="PT Modified",$G613="PT Refused"),"Yes","No"))</f>
        <v/>
      </c>
      <c r="L613" s="14" t="n"/>
      <c r="M613" s="14" t="n"/>
      <c r="N613" s="15">
        <f>IF($D613="","",IF($M613="Excused","No",IF(AND($G613="PT Modified",$L613="Received"),"No","Yes")))</f>
        <v/>
      </c>
      <c r="O613" s="14" t="n"/>
    </row>
    <row r="614">
      <c r="B614" s="15">
        <f>IF($D614="","","A"&amp;TEXT(ROW()-5,"000"))</f>
        <v/>
      </c>
      <c r="C614" s="16" t="n"/>
      <c r="D614" s="14" t="n"/>
      <c r="E614" s="15">
        <f>IF($D614="","",IFERROR(INDEX(rngCadetPIDs,MATCH($D614,rngCadetNames,0)),"?"))</f>
        <v/>
      </c>
      <c r="F614" s="15">
        <f>IF($E614="","",IFERROR(INDEX(nrCadetAgency,MATCH($E614,rngCadetPIDs,0)),""))</f>
        <v/>
      </c>
      <c r="G614" s="14" t="n"/>
      <c r="H614" s="14" t="n"/>
      <c r="I614" s="14" t="n"/>
      <c r="J614" s="14" t="n"/>
      <c r="K614" s="15">
        <f>IF($G614="","",IF(OR($G614="PT Missed",$G614="PT Modified",$G614="PT Refused"),"Yes","No"))</f>
        <v/>
      </c>
      <c r="L614" s="14" t="n"/>
      <c r="M614" s="14" t="n"/>
      <c r="N614" s="15">
        <f>IF($D614="","",IF($M614="Excused","No",IF(AND($G614="PT Modified",$L614="Received"),"No","Yes")))</f>
        <v/>
      </c>
      <c r="O614" s="14" t="n"/>
    </row>
    <row r="615">
      <c r="B615" s="15">
        <f>IF($D615="","","A"&amp;TEXT(ROW()-5,"000"))</f>
        <v/>
      </c>
      <c r="C615" s="16" t="n"/>
      <c r="D615" s="14" t="n"/>
      <c r="E615" s="15">
        <f>IF($D615="","",IFERROR(INDEX(rngCadetPIDs,MATCH($D615,rngCadetNames,0)),"?"))</f>
        <v/>
      </c>
      <c r="F615" s="15">
        <f>IF($E615="","",IFERROR(INDEX(nrCadetAgency,MATCH($E615,rngCadetPIDs,0)),""))</f>
        <v/>
      </c>
      <c r="G615" s="14" t="n"/>
      <c r="H615" s="14" t="n"/>
      <c r="I615" s="14" t="n"/>
      <c r="J615" s="14" t="n"/>
      <c r="K615" s="15">
        <f>IF($G615="","",IF(OR($G615="PT Missed",$G615="PT Modified",$G615="PT Refused"),"Yes","No"))</f>
        <v/>
      </c>
      <c r="L615" s="14" t="n"/>
      <c r="M615" s="14" t="n"/>
      <c r="N615" s="15">
        <f>IF($D615="","",IF($M615="Excused","No",IF(AND($G615="PT Modified",$L615="Received"),"No","Yes")))</f>
        <v/>
      </c>
      <c r="O615" s="14" t="n"/>
    </row>
    <row r="616">
      <c r="B616" s="15">
        <f>IF($D616="","","A"&amp;TEXT(ROW()-5,"000"))</f>
        <v/>
      </c>
      <c r="C616" s="16" t="n"/>
      <c r="D616" s="14" t="n"/>
      <c r="E616" s="15">
        <f>IF($D616="","",IFERROR(INDEX(rngCadetPIDs,MATCH($D616,rngCadetNames,0)),"?"))</f>
        <v/>
      </c>
      <c r="F616" s="15">
        <f>IF($E616="","",IFERROR(INDEX(nrCadetAgency,MATCH($E616,rngCadetPIDs,0)),""))</f>
        <v/>
      </c>
      <c r="G616" s="14" t="n"/>
      <c r="H616" s="14" t="n"/>
      <c r="I616" s="14" t="n"/>
      <c r="J616" s="14" t="n"/>
      <c r="K616" s="15">
        <f>IF($G616="","",IF(OR($G616="PT Missed",$G616="PT Modified",$G616="PT Refused"),"Yes","No"))</f>
        <v/>
      </c>
      <c r="L616" s="14" t="n"/>
      <c r="M616" s="14" t="n"/>
      <c r="N616" s="15">
        <f>IF($D616="","",IF($M616="Excused","No",IF(AND($G616="PT Modified",$L616="Received"),"No","Yes")))</f>
        <v/>
      </c>
      <c r="O616" s="14" t="n"/>
    </row>
    <row r="617">
      <c r="B617" s="15">
        <f>IF($D617="","","A"&amp;TEXT(ROW()-5,"000"))</f>
        <v/>
      </c>
      <c r="C617" s="16" t="n"/>
      <c r="D617" s="14" t="n"/>
      <c r="E617" s="15">
        <f>IF($D617="","",IFERROR(INDEX(rngCadetPIDs,MATCH($D617,rngCadetNames,0)),"?"))</f>
        <v/>
      </c>
      <c r="F617" s="15">
        <f>IF($E617="","",IFERROR(INDEX(nrCadetAgency,MATCH($E617,rngCadetPIDs,0)),""))</f>
        <v/>
      </c>
      <c r="G617" s="14" t="n"/>
      <c r="H617" s="14" t="n"/>
      <c r="I617" s="14" t="n"/>
      <c r="J617" s="14" t="n"/>
      <c r="K617" s="15">
        <f>IF($G617="","",IF(OR($G617="PT Missed",$G617="PT Modified",$G617="PT Refused"),"Yes","No"))</f>
        <v/>
      </c>
      <c r="L617" s="14" t="n"/>
      <c r="M617" s="14" t="n"/>
      <c r="N617" s="15">
        <f>IF($D617="","",IF($M617="Excused","No",IF(AND($G617="PT Modified",$L617="Received"),"No","Yes")))</f>
        <v/>
      </c>
      <c r="O617" s="14" t="n"/>
    </row>
    <row r="618">
      <c r="B618" s="15">
        <f>IF($D618="","","A"&amp;TEXT(ROW()-5,"000"))</f>
        <v/>
      </c>
      <c r="C618" s="16" t="n"/>
      <c r="D618" s="14" t="n"/>
      <c r="E618" s="15">
        <f>IF($D618="","",IFERROR(INDEX(rngCadetPIDs,MATCH($D618,rngCadetNames,0)),"?"))</f>
        <v/>
      </c>
      <c r="F618" s="15">
        <f>IF($E618="","",IFERROR(INDEX(nrCadetAgency,MATCH($E618,rngCadetPIDs,0)),""))</f>
        <v/>
      </c>
      <c r="G618" s="14" t="n"/>
      <c r="H618" s="14" t="n"/>
      <c r="I618" s="14" t="n"/>
      <c r="J618" s="14" t="n"/>
      <c r="K618" s="15">
        <f>IF($G618="","",IF(OR($G618="PT Missed",$G618="PT Modified",$G618="PT Refused"),"Yes","No"))</f>
        <v/>
      </c>
      <c r="L618" s="14" t="n"/>
      <c r="M618" s="14" t="n"/>
      <c r="N618" s="15">
        <f>IF($D618="","",IF($M618="Excused","No",IF(AND($G618="PT Modified",$L618="Received"),"No","Yes")))</f>
        <v/>
      </c>
      <c r="O618" s="14" t="n"/>
    </row>
    <row r="619">
      <c r="B619" s="15">
        <f>IF($D619="","","A"&amp;TEXT(ROW()-5,"000"))</f>
        <v/>
      </c>
      <c r="C619" s="16" t="n"/>
      <c r="D619" s="14" t="n"/>
      <c r="E619" s="15">
        <f>IF($D619="","",IFERROR(INDEX(rngCadetPIDs,MATCH($D619,rngCadetNames,0)),"?"))</f>
        <v/>
      </c>
      <c r="F619" s="15">
        <f>IF($E619="","",IFERROR(INDEX(nrCadetAgency,MATCH($E619,rngCadetPIDs,0)),""))</f>
        <v/>
      </c>
      <c r="G619" s="14" t="n"/>
      <c r="H619" s="14" t="n"/>
      <c r="I619" s="14" t="n"/>
      <c r="J619" s="14" t="n"/>
      <c r="K619" s="15">
        <f>IF($G619="","",IF(OR($G619="PT Missed",$G619="PT Modified",$G619="PT Refused"),"Yes","No"))</f>
        <v/>
      </c>
      <c r="L619" s="14" t="n"/>
      <c r="M619" s="14" t="n"/>
      <c r="N619" s="15">
        <f>IF($D619="","",IF($M619="Excused","No",IF(AND($G619="PT Modified",$L619="Received"),"No","Yes")))</f>
        <v/>
      </c>
      <c r="O619" s="14" t="n"/>
    </row>
    <row r="620">
      <c r="B620" s="15">
        <f>IF($D620="","","A"&amp;TEXT(ROW()-5,"000"))</f>
        <v/>
      </c>
      <c r="C620" s="16" t="n"/>
      <c r="D620" s="14" t="n"/>
      <c r="E620" s="15">
        <f>IF($D620="","",IFERROR(INDEX(rngCadetPIDs,MATCH($D620,rngCadetNames,0)),"?"))</f>
        <v/>
      </c>
      <c r="F620" s="15">
        <f>IF($E620="","",IFERROR(INDEX(nrCadetAgency,MATCH($E620,rngCadetPIDs,0)),""))</f>
        <v/>
      </c>
      <c r="G620" s="14" t="n"/>
      <c r="H620" s="14" t="n"/>
      <c r="I620" s="14" t="n"/>
      <c r="J620" s="14" t="n"/>
      <c r="K620" s="15">
        <f>IF($G620="","",IF(OR($G620="PT Missed",$G620="PT Modified",$G620="PT Refused"),"Yes","No"))</f>
        <v/>
      </c>
      <c r="L620" s="14" t="n"/>
      <c r="M620" s="14" t="n"/>
      <c r="N620" s="15">
        <f>IF($D620="","",IF($M620="Excused","No",IF(AND($G620="PT Modified",$L620="Received"),"No","Yes")))</f>
        <v/>
      </c>
      <c r="O620" s="14" t="n"/>
    </row>
    <row r="621">
      <c r="B621" s="15">
        <f>IF($D621="","","A"&amp;TEXT(ROW()-5,"000"))</f>
        <v/>
      </c>
      <c r="C621" s="16" t="n"/>
      <c r="D621" s="14" t="n"/>
      <c r="E621" s="15">
        <f>IF($D621="","",IFERROR(INDEX(rngCadetPIDs,MATCH($D621,rngCadetNames,0)),"?"))</f>
        <v/>
      </c>
      <c r="F621" s="15">
        <f>IF($E621="","",IFERROR(INDEX(nrCadetAgency,MATCH($E621,rngCadetPIDs,0)),""))</f>
        <v/>
      </c>
      <c r="G621" s="14" t="n"/>
      <c r="H621" s="14" t="n"/>
      <c r="I621" s="14" t="n"/>
      <c r="J621" s="14" t="n"/>
      <c r="K621" s="15">
        <f>IF($G621="","",IF(OR($G621="PT Missed",$G621="PT Modified",$G621="PT Refused"),"Yes","No"))</f>
        <v/>
      </c>
      <c r="L621" s="14" t="n"/>
      <c r="M621" s="14" t="n"/>
      <c r="N621" s="15">
        <f>IF($D621="","",IF($M621="Excused","No",IF(AND($G621="PT Modified",$L621="Received"),"No","Yes")))</f>
        <v/>
      </c>
      <c r="O621" s="14" t="n"/>
    </row>
    <row r="622">
      <c r="B622" s="15">
        <f>IF($D622="","","A"&amp;TEXT(ROW()-5,"000"))</f>
        <v/>
      </c>
      <c r="C622" s="16" t="n"/>
      <c r="D622" s="14" t="n"/>
      <c r="E622" s="15">
        <f>IF($D622="","",IFERROR(INDEX(rngCadetPIDs,MATCH($D622,rngCadetNames,0)),"?"))</f>
        <v/>
      </c>
      <c r="F622" s="15">
        <f>IF($E622="","",IFERROR(INDEX(nrCadetAgency,MATCH($E622,rngCadetPIDs,0)),""))</f>
        <v/>
      </c>
      <c r="G622" s="14" t="n"/>
      <c r="H622" s="14" t="n"/>
      <c r="I622" s="14" t="n"/>
      <c r="J622" s="14" t="n"/>
      <c r="K622" s="15">
        <f>IF($G622="","",IF(OR($G622="PT Missed",$G622="PT Modified",$G622="PT Refused"),"Yes","No"))</f>
        <v/>
      </c>
      <c r="L622" s="14" t="n"/>
      <c r="M622" s="14" t="n"/>
      <c r="N622" s="15">
        <f>IF($D622="","",IF($M622="Excused","No",IF(AND($G622="PT Modified",$L622="Received"),"No","Yes")))</f>
        <v/>
      </c>
      <c r="O622" s="14" t="n"/>
    </row>
    <row r="623">
      <c r="B623" s="15">
        <f>IF($D623="","","A"&amp;TEXT(ROW()-5,"000"))</f>
        <v/>
      </c>
      <c r="C623" s="16" t="n"/>
      <c r="D623" s="14" t="n"/>
      <c r="E623" s="15">
        <f>IF($D623="","",IFERROR(INDEX(rngCadetPIDs,MATCH($D623,rngCadetNames,0)),"?"))</f>
        <v/>
      </c>
      <c r="F623" s="15">
        <f>IF($E623="","",IFERROR(INDEX(nrCadetAgency,MATCH($E623,rngCadetPIDs,0)),""))</f>
        <v/>
      </c>
      <c r="G623" s="14" t="n"/>
      <c r="H623" s="14" t="n"/>
      <c r="I623" s="14" t="n"/>
      <c r="J623" s="14" t="n"/>
      <c r="K623" s="15">
        <f>IF($G623="","",IF(OR($G623="PT Missed",$G623="PT Modified",$G623="PT Refused"),"Yes","No"))</f>
        <v/>
      </c>
      <c r="L623" s="14" t="n"/>
      <c r="M623" s="14" t="n"/>
      <c r="N623" s="15">
        <f>IF($D623="","",IF($M623="Excused","No",IF(AND($G623="PT Modified",$L623="Received"),"No","Yes")))</f>
        <v/>
      </c>
      <c r="O623" s="14" t="n"/>
    </row>
    <row r="624">
      <c r="B624" s="15">
        <f>IF($D624="","","A"&amp;TEXT(ROW()-5,"000"))</f>
        <v/>
      </c>
      <c r="C624" s="16" t="n"/>
      <c r="D624" s="14" t="n"/>
      <c r="E624" s="15">
        <f>IF($D624="","",IFERROR(INDEX(rngCadetPIDs,MATCH($D624,rngCadetNames,0)),"?"))</f>
        <v/>
      </c>
      <c r="F624" s="15">
        <f>IF($E624="","",IFERROR(INDEX(nrCadetAgency,MATCH($E624,rngCadetPIDs,0)),""))</f>
        <v/>
      </c>
      <c r="G624" s="14" t="n"/>
      <c r="H624" s="14" t="n"/>
      <c r="I624" s="14" t="n"/>
      <c r="J624" s="14" t="n"/>
      <c r="K624" s="15">
        <f>IF($G624="","",IF(OR($G624="PT Missed",$G624="PT Modified",$G624="PT Refused"),"Yes","No"))</f>
        <v/>
      </c>
      <c r="L624" s="14" t="n"/>
      <c r="M624" s="14" t="n"/>
      <c r="N624" s="15">
        <f>IF($D624="","",IF($M624="Excused","No",IF(AND($G624="PT Modified",$L624="Received"),"No","Yes")))</f>
        <v/>
      </c>
      <c r="O624" s="14" t="n"/>
    </row>
    <row r="625">
      <c r="B625" s="15">
        <f>IF($D625="","","A"&amp;TEXT(ROW()-5,"000"))</f>
        <v/>
      </c>
      <c r="C625" s="16" t="n"/>
      <c r="D625" s="14" t="n"/>
      <c r="E625" s="15">
        <f>IF($D625="","",IFERROR(INDEX(rngCadetPIDs,MATCH($D625,rngCadetNames,0)),"?"))</f>
        <v/>
      </c>
      <c r="F625" s="15">
        <f>IF($E625="","",IFERROR(INDEX(nrCadetAgency,MATCH($E625,rngCadetPIDs,0)),""))</f>
        <v/>
      </c>
      <c r="G625" s="14" t="n"/>
      <c r="H625" s="14" t="n"/>
      <c r="I625" s="14" t="n"/>
      <c r="J625" s="14" t="n"/>
      <c r="K625" s="15">
        <f>IF($G625="","",IF(OR($G625="PT Missed",$G625="PT Modified",$G625="PT Refused"),"Yes","No"))</f>
        <v/>
      </c>
      <c r="L625" s="14" t="n"/>
      <c r="M625" s="14" t="n"/>
      <c r="N625" s="15">
        <f>IF($D625="","",IF($M625="Excused","No",IF(AND($G625="PT Modified",$L625="Received"),"No","Yes")))</f>
        <v/>
      </c>
      <c r="O625" s="14" t="n"/>
    </row>
    <row r="626">
      <c r="B626" s="15">
        <f>IF($D626="","","A"&amp;TEXT(ROW()-5,"000"))</f>
        <v/>
      </c>
      <c r="C626" s="16" t="n"/>
      <c r="D626" s="14" t="n"/>
      <c r="E626" s="15">
        <f>IF($D626="","",IFERROR(INDEX(rngCadetPIDs,MATCH($D626,rngCadetNames,0)),"?"))</f>
        <v/>
      </c>
      <c r="F626" s="15">
        <f>IF($E626="","",IFERROR(INDEX(nrCadetAgency,MATCH($E626,rngCadetPIDs,0)),""))</f>
        <v/>
      </c>
      <c r="G626" s="14" t="n"/>
      <c r="H626" s="14" t="n"/>
      <c r="I626" s="14" t="n"/>
      <c r="J626" s="14" t="n"/>
      <c r="K626" s="15">
        <f>IF($G626="","",IF(OR($G626="PT Missed",$G626="PT Modified",$G626="PT Refused"),"Yes","No"))</f>
        <v/>
      </c>
      <c r="L626" s="14" t="n"/>
      <c r="M626" s="14" t="n"/>
      <c r="N626" s="15">
        <f>IF($D626="","",IF($M626="Excused","No",IF(AND($G626="PT Modified",$L626="Received"),"No","Yes")))</f>
        <v/>
      </c>
      <c r="O626" s="14" t="n"/>
    </row>
    <row r="627">
      <c r="B627" s="15">
        <f>IF($D627="","","A"&amp;TEXT(ROW()-5,"000"))</f>
        <v/>
      </c>
      <c r="C627" s="16" t="n"/>
      <c r="D627" s="14" t="n"/>
      <c r="E627" s="15">
        <f>IF($D627="","",IFERROR(INDEX(rngCadetPIDs,MATCH($D627,rngCadetNames,0)),"?"))</f>
        <v/>
      </c>
      <c r="F627" s="15">
        <f>IF($E627="","",IFERROR(INDEX(nrCadetAgency,MATCH($E627,rngCadetPIDs,0)),""))</f>
        <v/>
      </c>
      <c r="G627" s="14" t="n"/>
      <c r="H627" s="14" t="n"/>
      <c r="I627" s="14" t="n"/>
      <c r="J627" s="14" t="n"/>
      <c r="K627" s="15">
        <f>IF($G627="","",IF(OR($G627="PT Missed",$G627="PT Modified",$G627="PT Refused"),"Yes","No"))</f>
        <v/>
      </c>
      <c r="L627" s="14" t="n"/>
      <c r="M627" s="14" t="n"/>
      <c r="N627" s="15">
        <f>IF($D627="","",IF($M627="Excused","No",IF(AND($G627="PT Modified",$L627="Received"),"No","Yes")))</f>
        <v/>
      </c>
      <c r="O627" s="14" t="n"/>
    </row>
    <row r="628">
      <c r="B628" s="15">
        <f>IF($D628="","","A"&amp;TEXT(ROW()-5,"000"))</f>
        <v/>
      </c>
      <c r="C628" s="16" t="n"/>
      <c r="D628" s="14" t="n"/>
      <c r="E628" s="15">
        <f>IF($D628="","",IFERROR(INDEX(rngCadetPIDs,MATCH($D628,rngCadetNames,0)),"?"))</f>
        <v/>
      </c>
      <c r="F628" s="15">
        <f>IF($E628="","",IFERROR(INDEX(nrCadetAgency,MATCH($E628,rngCadetPIDs,0)),""))</f>
        <v/>
      </c>
      <c r="G628" s="14" t="n"/>
      <c r="H628" s="14" t="n"/>
      <c r="I628" s="14" t="n"/>
      <c r="J628" s="14" t="n"/>
      <c r="K628" s="15">
        <f>IF($G628="","",IF(OR($G628="PT Missed",$G628="PT Modified",$G628="PT Refused"),"Yes","No"))</f>
        <v/>
      </c>
      <c r="L628" s="14" t="n"/>
      <c r="M628" s="14" t="n"/>
      <c r="N628" s="15">
        <f>IF($D628="","",IF($M628="Excused","No",IF(AND($G628="PT Modified",$L628="Received"),"No","Yes")))</f>
        <v/>
      </c>
      <c r="O628" s="14" t="n"/>
    </row>
    <row r="629">
      <c r="B629" s="15">
        <f>IF($D629="","","A"&amp;TEXT(ROW()-5,"000"))</f>
        <v/>
      </c>
      <c r="C629" s="16" t="n"/>
      <c r="D629" s="14" t="n"/>
      <c r="E629" s="15">
        <f>IF($D629="","",IFERROR(INDEX(rngCadetPIDs,MATCH($D629,rngCadetNames,0)),"?"))</f>
        <v/>
      </c>
      <c r="F629" s="15">
        <f>IF($E629="","",IFERROR(INDEX(nrCadetAgency,MATCH($E629,rngCadetPIDs,0)),""))</f>
        <v/>
      </c>
      <c r="G629" s="14" t="n"/>
      <c r="H629" s="14" t="n"/>
      <c r="I629" s="14" t="n"/>
      <c r="J629" s="14" t="n"/>
      <c r="K629" s="15">
        <f>IF($G629="","",IF(OR($G629="PT Missed",$G629="PT Modified",$G629="PT Refused"),"Yes","No"))</f>
        <v/>
      </c>
      <c r="L629" s="14" t="n"/>
      <c r="M629" s="14" t="n"/>
      <c r="N629" s="15">
        <f>IF($D629="","",IF($M629="Excused","No",IF(AND($G629="PT Modified",$L629="Received"),"No","Yes")))</f>
        <v/>
      </c>
      <c r="O629" s="14" t="n"/>
    </row>
    <row r="630">
      <c r="B630" s="15">
        <f>IF($D630="","","A"&amp;TEXT(ROW()-5,"000"))</f>
        <v/>
      </c>
      <c r="C630" s="16" t="n"/>
      <c r="D630" s="14" t="n"/>
      <c r="E630" s="15">
        <f>IF($D630="","",IFERROR(INDEX(rngCadetPIDs,MATCH($D630,rngCadetNames,0)),"?"))</f>
        <v/>
      </c>
      <c r="F630" s="15">
        <f>IF($E630="","",IFERROR(INDEX(nrCadetAgency,MATCH($E630,rngCadetPIDs,0)),""))</f>
        <v/>
      </c>
      <c r="G630" s="14" t="n"/>
      <c r="H630" s="14" t="n"/>
      <c r="I630" s="14" t="n"/>
      <c r="J630" s="14" t="n"/>
      <c r="K630" s="15">
        <f>IF($G630="","",IF(OR($G630="PT Missed",$G630="PT Modified",$G630="PT Refused"),"Yes","No"))</f>
        <v/>
      </c>
      <c r="L630" s="14" t="n"/>
      <c r="M630" s="14" t="n"/>
      <c r="N630" s="15">
        <f>IF($D630="","",IF($M630="Excused","No",IF(AND($G630="PT Modified",$L630="Received"),"No","Yes")))</f>
        <v/>
      </c>
      <c r="O630" s="14" t="n"/>
    </row>
    <row r="631">
      <c r="B631" s="15">
        <f>IF($D631="","","A"&amp;TEXT(ROW()-5,"000"))</f>
        <v/>
      </c>
      <c r="C631" s="16" t="n"/>
      <c r="D631" s="14" t="n"/>
      <c r="E631" s="15">
        <f>IF($D631="","",IFERROR(INDEX(rngCadetPIDs,MATCH($D631,rngCadetNames,0)),"?"))</f>
        <v/>
      </c>
      <c r="F631" s="15">
        <f>IF($E631="","",IFERROR(INDEX(nrCadetAgency,MATCH($E631,rngCadetPIDs,0)),""))</f>
        <v/>
      </c>
      <c r="G631" s="14" t="n"/>
      <c r="H631" s="14" t="n"/>
      <c r="I631" s="14" t="n"/>
      <c r="J631" s="14" t="n"/>
      <c r="K631" s="15">
        <f>IF($G631="","",IF(OR($G631="PT Missed",$G631="PT Modified",$G631="PT Refused"),"Yes","No"))</f>
        <v/>
      </c>
      <c r="L631" s="14" t="n"/>
      <c r="M631" s="14" t="n"/>
      <c r="N631" s="15">
        <f>IF($D631="","",IF($M631="Excused","No",IF(AND($G631="PT Modified",$L631="Received"),"No","Yes")))</f>
        <v/>
      </c>
      <c r="O631" s="14" t="n"/>
    </row>
    <row r="632">
      <c r="B632" s="15">
        <f>IF($D632="","","A"&amp;TEXT(ROW()-5,"000"))</f>
        <v/>
      </c>
      <c r="C632" s="16" t="n"/>
      <c r="D632" s="14" t="n"/>
      <c r="E632" s="15">
        <f>IF($D632="","",IFERROR(INDEX(rngCadetPIDs,MATCH($D632,rngCadetNames,0)),"?"))</f>
        <v/>
      </c>
      <c r="F632" s="15">
        <f>IF($E632="","",IFERROR(INDEX(nrCadetAgency,MATCH($E632,rngCadetPIDs,0)),""))</f>
        <v/>
      </c>
      <c r="G632" s="14" t="n"/>
      <c r="H632" s="14" t="n"/>
      <c r="I632" s="14" t="n"/>
      <c r="J632" s="14" t="n"/>
      <c r="K632" s="15">
        <f>IF($G632="","",IF(OR($G632="PT Missed",$G632="PT Modified",$G632="PT Refused"),"Yes","No"))</f>
        <v/>
      </c>
      <c r="L632" s="14" t="n"/>
      <c r="M632" s="14" t="n"/>
      <c r="N632" s="15">
        <f>IF($D632="","",IF($M632="Excused","No",IF(AND($G632="PT Modified",$L632="Received"),"No","Yes")))</f>
        <v/>
      </c>
      <c r="O632" s="14" t="n"/>
    </row>
    <row r="633">
      <c r="B633" s="15">
        <f>IF($D633="","","A"&amp;TEXT(ROW()-5,"000"))</f>
        <v/>
      </c>
      <c r="C633" s="16" t="n"/>
      <c r="D633" s="14" t="n"/>
      <c r="E633" s="15">
        <f>IF($D633="","",IFERROR(INDEX(rngCadetPIDs,MATCH($D633,rngCadetNames,0)),"?"))</f>
        <v/>
      </c>
      <c r="F633" s="15">
        <f>IF($E633="","",IFERROR(INDEX(nrCadetAgency,MATCH($E633,rngCadetPIDs,0)),""))</f>
        <v/>
      </c>
      <c r="G633" s="14" t="n"/>
      <c r="H633" s="14" t="n"/>
      <c r="I633" s="14" t="n"/>
      <c r="J633" s="14" t="n"/>
      <c r="K633" s="15">
        <f>IF($G633="","",IF(OR($G633="PT Missed",$G633="PT Modified",$G633="PT Refused"),"Yes","No"))</f>
        <v/>
      </c>
      <c r="L633" s="14" t="n"/>
      <c r="M633" s="14" t="n"/>
      <c r="N633" s="15">
        <f>IF($D633="","",IF($M633="Excused","No",IF(AND($G633="PT Modified",$L633="Received"),"No","Yes")))</f>
        <v/>
      </c>
      <c r="O633" s="14" t="n"/>
    </row>
    <row r="634">
      <c r="B634" s="15">
        <f>IF($D634="","","A"&amp;TEXT(ROW()-5,"000"))</f>
        <v/>
      </c>
      <c r="C634" s="16" t="n"/>
      <c r="D634" s="14" t="n"/>
      <c r="E634" s="15">
        <f>IF($D634="","",IFERROR(INDEX(rngCadetPIDs,MATCH($D634,rngCadetNames,0)),"?"))</f>
        <v/>
      </c>
      <c r="F634" s="15">
        <f>IF($E634="","",IFERROR(INDEX(nrCadetAgency,MATCH($E634,rngCadetPIDs,0)),""))</f>
        <v/>
      </c>
      <c r="G634" s="14" t="n"/>
      <c r="H634" s="14" t="n"/>
      <c r="I634" s="14" t="n"/>
      <c r="J634" s="14" t="n"/>
      <c r="K634" s="15">
        <f>IF($G634="","",IF(OR($G634="PT Missed",$G634="PT Modified",$G634="PT Refused"),"Yes","No"))</f>
        <v/>
      </c>
      <c r="L634" s="14" t="n"/>
      <c r="M634" s="14" t="n"/>
      <c r="N634" s="15">
        <f>IF($D634="","",IF($M634="Excused","No",IF(AND($G634="PT Modified",$L634="Received"),"No","Yes")))</f>
        <v/>
      </c>
      <c r="O634" s="14" t="n"/>
    </row>
    <row r="635">
      <c r="B635" s="15">
        <f>IF($D635="","","A"&amp;TEXT(ROW()-5,"000"))</f>
        <v/>
      </c>
      <c r="C635" s="16" t="n"/>
      <c r="D635" s="14" t="n"/>
      <c r="E635" s="15">
        <f>IF($D635="","",IFERROR(INDEX(rngCadetPIDs,MATCH($D635,rngCadetNames,0)),"?"))</f>
        <v/>
      </c>
      <c r="F635" s="15">
        <f>IF($E635="","",IFERROR(INDEX(nrCadetAgency,MATCH($E635,rngCadetPIDs,0)),""))</f>
        <v/>
      </c>
      <c r="G635" s="14" t="n"/>
      <c r="H635" s="14" t="n"/>
      <c r="I635" s="14" t="n"/>
      <c r="J635" s="14" t="n"/>
      <c r="K635" s="15">
        <f>IF($G635="","",IF(OR($G635="PT Missed",$G635="PT Modified",$G635="PT Refused"),"Yes","No"))</f>
        <v/>
      </c>
      <c r="L635" s="14" t="n"/>
      <c r="M635" s="14" t="n"/>
      <c r="N635" s="15">
        <f>IF($D635="","",IF($M635="Excused","No",IF(AND($G635="PT Modified",$L635="Received"),"No","Yes")))</f>
        <v/>
      </c>
      <c r="O635" s="14" t="n"/>
    </row>
    <row r="636">
      <c r="B636" s="15">
        <f>IF($D636="","","A"&amp;TEXT(ROW()-5,"000"))</f>
        <v/>
      </c>
      <c r="C636" s="16" t="n"/>
      <c r="D636" s="14" t="n"/>
      <c r="E636" s="15">
        <f>IF($D636="","",IFERROR(INDEX(rngCadetPIDs,MATCH($D636,rngCadetNames,0)),"?"))</f>
        <v/>
      </c>
      <c r="F636" s="15">
        <f>IF($E636="","",IFERROR(INDEX(nrCadetAgency,MATCH($E636,rngCadetPIDs,0)),""))</f>
        <v/>
      </c>
      <c r="G636" s="14" t="n"/>
      <c r="H636" s="14" t="n"/>
      <c r="I636" s="14" t="n"/>
      <c r="J636" s="14" t="n"/>
      <c r="K636" s="15">
        <f>IF($G636="","",IF(OR($G636="PT Missed",$G636="PT Modified",$G636="PT Refused"),"Yes","No"))</f>
        <v/>
      </c>
      <c r="L636" s="14" t="n"/>
      <c r="M636" s="14" t="n"/>
      <c r="N636" s="15">
        <f>IF($D636="","",IF($M636="Excused","No",IF(AND($G636="PT Modified",$L636="Received"),"No","Yes")))</f>
        <v/>
      </c>
      <c r="O636" s="14" t="n"/>
    </row>
    <row r="637">
      <c r="B637" s="15">
        <f>IF($D637="","","A"&amp;TEXT(ROW()-5,"000"))</f>
        <v/>
      </c>
      <c r="C637" s="16" t="n"/>
      <c r="D637" s="14" t="n"/>
      <c r="E637" s="15">
        <f>IF($D637="","",IFERROR(INDEX(rngCadetPIDs,MATCH($D637,rngCadetNames,0)),"?"))</f>
        <v/>
      </c>
      <c r="F637" s="15">
        <f>IF($E637="","",IFERROR(INDEX(nrCadetAgency,MATCH($E637,rngCadetPIDs,0)),""))</f>
        <v/>
      </c>
      <c r="G637" s="14" t="n"/>
      <c r="H637" s="14" t="n"/>
      <c r="I637" s="14" t="n"/>
      <c r="J637" s="14" t="n"/>
      <c r="K637" s="15">
        <f>IF($G637="","",IF(OR($G637="PT Missed",$G637="PT Modified",$G637="PT Refused"),"Yes","No"))</f>
        <v/>
      </c>
      <c r="L637" s="14" t="n"/>
      <c r="M637" s="14" t="n"/>
      <c r="N637" s="15">
        <f>IF($D637="","",IF($M637="Excused","No",IF(AND($G637="PT Modified",$L637="Received"),"No","Yes")))</f>
        <v/>
      </c>
      <c r="O637" s="14" t="n"/>
    </row>
    <row r="638">
      <c r="B638" s="15">
        <f>IF($D638="","","A"&amp;TEXT(ROW()-5,"000"))</f>
        <v/>
      </c>
      <c r="C638" s="16" t="n"/>
      <c r="D638" s="14" t="n"/>
      <c r="E638" s="15">
        <f>IF($D638="","",IFERROR(INDEX(rngCadetPIDs,MATCH($D638,rngCadetNames,0)),"?"))</f>
        <v/>
      </c>
      <c r="F638" s="15">
        <f>IF($E638="","",IFERROR(INDEX(nrCadetAgency,MATCH($E638,rngCadetPIDs,0)),""))</f>
        <v/>
      </c>
      <c r="G638" s="14" t="n"/>
      <c r="H638" s="14" t="n"/>
      <c r="I638" s="14" t="n"/>
      <c r="J638" s="14" t="n"/>
      <c r="K638" s="15">
        <f>IF($G638="","",IF(OR($G638="PT Missed",$G638="PT Modified",$G638="PT Refused"),"Yes","No"))</f>
        <v/>
      </c>
      <c r="L638" s="14" t="n"/>
      <c r="M638" s="14" t="n"/>
      <c r="N638" s="15">
        <f>IF($D638="","",IF($M638="Excused","No",IF(AND($G638="PT Modified",$L638="Received"),"No","Yes")))</f>
        <v/>
      </c>
      <c r="O638" s="14" t="n"/>
    </row>
    <row r="639">
      <c r="B639" s="15">
        <f>IF($D639="","","A"&amp;TEXT(ROW()-5,"000"))</f>
        <v/>
      </c>
      <c r="C639" s="16" t="n"/>
      <c r="D639" s="14" t="n"/>
      <c r="E639" s="15">
        <f>IF($D639="","",IFERROR(INDEX(rngCadetPIDs,MATCH($D639,rngCadetNames,0)),"?"))</f>
        <v/>
      </c>
      <c r="F639" s="15">
        <f>IF($E639="","",IFERROR(INDEX(nrCadetAgency,MATCH($E639,rngCadetPIDs,0)),""))</f>
        <v/>
      </c>
      <c r="G639" s="14" t="n"/>
      <c r="H639" s="14" t="n"/>
      <c r="I639" s="14" t="n"/>
      <c r="J639" s="14" t="n"/>
      <c r="K639" s="15">
        <f>IF($G639="","",IF(OR($G639="PT Missed",$G639="PT Modified",$G639="PT Refused"),"Yes","No"))</f>
        <v/>
      </c>
      <c r="L639" s="14" t="n"/>
      <c r="M639" s="14" t="n"/>
      <c r="N639" s="15">
        <f>IF($D639="","",IF($M639="Excused","No",IF(AND($G639="PT Modified",$L639="Received"),"No","Yes")))</f>
        <v/>
      </c>
      <c r="O639" s="14" t="n"/>
    </row>
    <row r="640">
      <c r="B640" s="15">
        <f>IF($D640="","","A"&amp;TEXT(ROW()-5,"000"))</f>
        <v/>
      </c>
      <c r="C640" s="16" t="n"/>
      <c r="D640" s="14" t="n"/>
      <c r="E640" s="15">
        <f>IF($D640="","",IFERROR(INDEX(rngCadetPIDs,MATCH($D640,rngCadetNames,0)),"?"))</f>
        <v/>
      </c>
      <c r="F640" s="15">
        <f>IF($E640="","",IFERROR(INDEX(nrCadetAgency,MATCH($E640,rngCadetPIDs,0)),""))</f>
        <v/>
      </c>
      <c r="G640" s="14" t="n"/>
      <c r="H640" s="14" t="n"/>
      <c r="I640" s="14" t="n"/>
      <c r="J640" s="14" t="n"/>
      <c r="K640" s="15">
        <f>IF($G640="","",IF(OR($G640="PT Missed",$G640="PT Modified",$G640="PT Refused"),"Yes","No"))</f>
        <v/>
      </c>
      <c r="L640" s="14" t="n"/>
      <c r="M640" s="14" t="n"/>
      <c r="N640" s="15">
        <f>IF($D640="","",IF($M640="Excused","No",IF(AND($G640="PT Modified",$L640="Received"),"No","Yes")))</f>
        <v/>
      </c>
      <c r="O640" s="14" t="n"/>
    </row>
    <row r="641">
      <c r="B641" s="15">
        <f>IF($D641="","","A"&amp;TEXT(ROW()-5,"000"))</f>
        <v/>
      </c>
      <c r="C641" s="16" t="n"/>
      <c r="D641" s="14" t="n"/>
      <c r="E641" s="15">
        <f>IF($D641="","",IFERROR(INDEX(rngCadetPIDs,MATCH($D641,rngCadetNames,0)),"?"))</f>
        <v/>
      </c>
      <c r="F641" s="15">
        <f>IF($E641="","",IFERROR(INDEX(nrCadetAgency,MATCH($E641,rngCadetPIDs,0)),""))</f>
        <v/>
      </c>
      <c r="G641" s="14" t="n"/>
      <c r="H641" s="14" t="n"/>
      <c r="I641" s="14" t="n"/>
      <c r="J641" s="14" t="n"/>
      <c r="K641" s="15">
        <f>IF($G641="","",IF(OR($G641="PT Missed",$G641="PT Modified",$G641="PT Refused"),"Yes","No"))</f>
        <v/>
      </c>
      <c r="L641" s="14" t="n"/>
      <c r="M641" s="14" t="n"/>
      <c r="N641" s="15">
        <f>IF($D641="","",IF($M641="Excused","No",IF(AND($G641="PT Modified",$L641="Received"),"No","Yes")))</f>
        <v/>
      </c>
      <c r="O641" s="14" t="n"/>
    </row>
    <row r="642">
      <c r="B642" s="15">
        <f>IF($D642="","","A"&amp;TEXT(ROW()-5,"000"))</f>
        <v/>
      </c>
      <c r="C642" s="16" t="n"/>
      <c r="D642" s="14" t="n"/>
      <c r="E642" s="15">
        <f>IF($D642="","",IFERROR(INDEX(rngCadetPIDs,MATCH($D642,rngCadetNames,0)),"?"))</f>
        <v/>
      </c>
      <c r="F642" s="15">
        <f>IF($E642="","",IFERROR(INDEX(nrCadetAgency,MATCH($E642,rngCadetPIDs,0)),""))</f>
        <v/>
      </c>
      <c r="G642" s="14" t="n"/>
      <c r="H642" s="14" t="n"/>
      <c r="I642" s="14" t="n"/>
      <c r="J642" s="14" t="n"/>
      <c r="K642" s="15">
        <f>IF($G642="","",IF(OR($G642="PT Missed",$G642="PT Modified",$G642="PT Refused"),"Yes","No"))</f>
        <v/>
      </c>
      <c r="L642" s="14" t="n"/>
      <c r="M642" s="14" t="n"/>
      <c r="N642" s="15">
        <f>IF($D642="","",IF($M642="Excused","No",IF(AND($G642="PT Modified",$L642="Received"),"No","Yes")))</f>
        <v/>
      </c>
      <c r="O642" s="14" t="n"/>
    </row>
    <row r="643">
      <c r="B643" s="15">
        <f>IF($D643="","","A"&amp;TEXT(ROW()-5,"000"))</f>
        <v/>
      </c>
      <c r="C643" s="16" t="n"/>
      <c r="D643" s="14" t="n"/>
      <c r="E643" s="15">
        <f>IF($D643="","",IFERROR(INDEX(rngCadetPIDs,MATCH($D643,rngCadetNames,0)),"?"))</f>
        <v/>
      </c>
      <c r="F643" s="15">
        <f>IF($E643="","",IFERROR(INDEX(nrCadetAgency,MATCH($E643,rngCadetPIDs,0)),""))</f>
        <v/>
      </c>
      <c r="G643" s="14" t="n"/>
      <c r="H643" s="14" t="n"/>
      <c r="I643" s="14" t="n"/>
      <c r="J643" s="14" t="n"/>
      <c r="K643" s="15">
        <f>IF($G643="","",IF(OR($G643="PT Missed",$G643="PT Modified",$G643="PT Refused"),"Yes","No"))</f>
        <v/>
      </c>
      <c r="L643" s="14" t="n"/>
      <c r="M643" s="14" t="n"/>
      <c r="N643" s="15">
        <f>IF($D643="","",IF($M643="Excused","No",IF(AND($G643="PT Modified",$L643="Received"),"No","Yes")))</f>
        <v/>
      </c>
      <c r="O643" s="14" t="n"/>
    </row>
    <row r="644">
      <c r="B644" s="15">
        <f>IF($D644="","","A"&amp;TEXT(ROW()-5,"000"))</f>
        <v/>
      </c>
      <c r="C644" s="16" t="n"/>
      <c r="D644" s="14" t="n"/>
      <c r="E644" s="15">
        <f>IF($D644="","",IFERROR(INDEX(rngCadetPIDs,MATCH($D644,rngCadetNames,0)),"?"))</f>
        <v/>
      </c>
      <c r="F644" s="15">
        <f>IF($E644="","",IFERROR(INDEX(nrCadetAgency,MATCH($E644,rngCadetPIDs,0)),""))</f>
        <v/>
      </c>
      <c r="G644" s="14" t="n"/>
      <c r="H644" s="14" t="n"/>
      <c r="I644" s="14" t="n"/>
      <c r="J644" s="14" t="n"/>
      <c r="K644" s="15">
        <f>IF($G644="","",IF(OR($G644="PT Missed",$G644="PT Modified",$G644="PT Refused"),"Yes","No"))</f>
        <v/>
      </c>
      <c r="L644" s="14" t="n"/>
      <c r="M644" s="14" t="n"/>
      <c r="N644" s="15">
        <f>IF($D644="","",IF($M644="Excused","No",IF(AND($G644="PT Modified",$L644="Received"),"No","Yes")))</f>
        <v/>
      </c>
      <c r="O644" s="14" t="n"/>
    </row>
    <row r="645">
      <c r="B645" s="15">
        <f>IF($D645="","","A"&amp;TEXT(ROW()-5,"000"))</f>
        <v/>
      </c>
      <c r="C645" s="16" t="n"/>
      <c r="D645" s="14" t="n"/>
      <c r="E645" s="15">
        <f>IF($D645="","",IFERROR(INDEX(rngCadetPIDs,MATCH($D645,rngCadetNames,0)),"?"))</f>
        <v/>
      </c>
      <c r="F645" s="15">
        <f>IF($E645="","",IFERROR(INDEX(nrCadetAgency,MATCH($E645,rngCadetPIDs,0)),""))</f>
        <v/>
      </c>
      <c r="G645" s="14" t="n"/>
      <c r="H645" s="14" t="n"/>
      <c r="I645" s="14" t="n"/>
      <c r="J645" s="14" t="n"/>
      <c r="K645" s="15">
        <f>IF($G645="","",IF(OR($G645="PT Missed",$G645="PT Modified",$G645="PT Refused"),"Yes","No"))</f>
        <v/>
      </c>
      <c r="L645" s="14" t="n"/>
      <c r="M645" s="14" t="n"/>
      <c r="N645" s="15">
        <f>IF($D645="","",IF($M645="Excused","No",IF(AND($G645="PT Modified",$L645="Received"),"No","Yes")))</f>
        <v/>
      </c>
      <c r="O645" s="14" t="n"/>
    </row>
    <row r="646">
      <c r="B646" s="15">
        <f>IF($D646="","","A"&amp;TEXT(ROW()-5,"000"))</f>
        <v/>
      </c>
      <c r="C646" s="16" t="n"/>
      <c r="D646" s="14" t="n"/>
      <c r="E646" s="15">
        <f>IF($D646="","",IFERROR(INDEX(rngCadetPIDs,MATCH($D646,rngCadetNames,0)),"?"))</f>
        <v/>
      </c>
      <c r="F646" s="15">
        <f>IF($E646="","",IFERROR(INDEX(nrCadetAgency,MATCH($E646,rngCadetPIDs,0)),""))</f>
        <v/>
      </c>
      <c r="G646" s="14" t="n"/>
      <c r="H646" s="14" t="n"/>
      <c r="I646" s="14" t="n"/>
      <c r="J646" s="14" t="n"/>
      <c r="K646" s="15">
        <f>IF($G646="","",IF(OR($G646="PT Missed",$G646="PT Modified",$G646="PT Refused"),"Yes","No"))</f>
        <v/>
      </c>
      <c r="L646" s="14" t="n"/>
      <c r="M646" s="14" t="n"/>
      <c r="N646" s="15">
        <f>IF($D646="","",IF($M646="Excused","No",IF(AND($G646="PT Modified",$L646="Received"),"No","Yes")))</f>
        <v/>
      </c>
      <c r="O646" s="14" t="n"/>
    </row>
    <row r="647">
      <c r="B647" s="15">
        <f>IF($D647="","","A"&amp;TEXT(ROW()-5,"000"))</f>
        <v/>
      </c>
      <c r="C647" s="16" t="n"/>
      <c r="D647" s="14" t="n"/>
      <c r="E647" s="15">
        <f>IF($D647="","",IFERROR(INDEX(rngCadetPIDs,MATCH($D647,rngCadetNames,0)),"?"))</f>
        <v/>
      </c>
      <c r="F647" s="15">
        <f>IF($E647="","",IFERROR(INDEX(nrCadetAgency,MATCH($E647,rngCadetPIDs,0)),""))</f>
        <v/>
      </c>
      <c r="G647" s="14" t="n"/>
      <c r="H647" s="14" t="n"/>
      <c r="I647" s="14" t="n"/>
      <c r="J647" s="14" t="n"/>
      <c r="K647" s="15">
        <f>IF($G647="","",IF(OR($G647="PT Missed",$G647="PT Modified",$G647="PT Refused"),"Yes","No"))</f>
        <v/>
      </c>
      <c r="L647" s="14" t="n"/>
      <c r="M647" s="14" t="n"/>
      <c r="N647" s="15">
        <f>IF($D647="","",IF($M647="Excused","No",IF(AND($G647="PT Modified",$L647="Received"),"No","Yes")))</f>
        <v/>
      </c>
      <c r="O647" s="14" t="n"/>
    </row>
    <row r="648">
      <c r="B648" s="15">
        <f>IF($D648="","","A"&amp;TEXT(ROW()-5,"000"))</f>
        <v/>
      </c>
      <c r="C648" s="16" t="n"/>
      <c r="D648" s="14" t="n"/>
      <c r="E648" s="15">
        <f>IF($D648="","",IFERROR(INDEX(rngCadetPIDs,MATCH($D648,rngCadetNames,0)),"?"))</f>
        <v/>
      </c>
      <c r="F648" s="15">
        <f>IF($E648="","",IFERROR(INDEX(nrCadetAgency,MATCH($E648,rngCadetPIDs,0)),""))</f>
        <v/>
      </c>
      <c r="G648" s="14" t="n"/>
      <c r="H648" s="14" t="n"/>
      <c r="I648" s="14" t="n"/>
      <c r="J648" s="14" t="n"/>
      <c r="K648" s="15">
        <f>IF($G648="","",IF(OR($G648="PT Missed",$G648="PT Modified",$G648="PT Refused"),"Yes","No"))</f>
        <v/>
      </c>
      <c r="L648" s="14" t="n"/>
      <c r="M648" s="14" t="n"/>
      <c r="N648" s="15">
        <f>IF($D648="","",IF($M648="Excused","No",IF(AND($G648="PT Modified",$L648="Received"),"No","Yes")))</f>
        <v/>
      </c>
      <c r="O648" s="14" t="n"/>
    </row>
    <row r="649">
      <c r="B649" s="15">
        <f>IF($D649="","","A"&amp;TEXT(ROW()-5,"000"))</f>
        <v/>
      </c>
      <c r="C649" s="16" t="n"/>
      <c r="D649" s="14" t="n"/>
      <c r="E649" s="15">
        <f>IF($D649="","",IFERROR(INDEX(rngCadetPIDs,MATCH($D649,rngCadetNames,0)),"?"))</f>
        <v/>
      </c>
      <c r="F649" s="15">
        <f>IF($E649="","",IFERROR(INDEX(nrCadetAgency,MATCH($E649,rngCadetPIDs,0)),""))</f>
        <v/>
      </c>
      <c r="G649" s="14" t="n"/>
      <c r="H649" s="14" t="n"/>
      <c r="I649" s="14" t="n"/>
      <c r="J649" s="14" t="n"/>
      <c r="K649" s="15">
        <f>IF($G649="","",IF(OR($G649="PT Missed",$G649="PT Modified",$G649="PT Refused"),"Yes","No"))</f>
        <v/>
      </c>
      <c r="L649" s="14" t="n"/>
      <c r="M649" s="14" t="n"/>
      <c r="N649" s="15">
        <f>IF($D649="","",IF($M649="Excused","No",IF(AND($G649="PT Modified",$L649="Received"),"No","Yes")))</f>
        <v/>
      </c>
      <c r="O649" s="14" t="n"/>
    </row>
    <row r="650">
      <c r="B650" s="15">
        <f>IF($D650="","","A"&amp;TEXT(ROW()-5,"000"))</f>
        <v/>
      </c>
      <c r="C650" s="16" t="n"/>
      <c r="D650" s="14" t="n"/>
      <c r="E650" s="15">
        <f>IF($D650="","",IFERROR(INDEX(rngCadetPIDs,MATCH($D650,rngCadetNames,0)),"?"))</f>
        <v/>
      </c>
      <c r="F650" s="15">
        <f>IF($E650="","",IFERROR(INDEX(nrCadetAgency,MATCH($E650,rngCadetPIDs,0)),""))</f>
        <v/>
      </c>
      <c r="G650" s="14" t="n"/>
      <c r="H650" s="14" t="n"/>
      <c r="I650" s="14" t="n"/>
      <c r="J650" s="14" t="n"/>
      <c r="K650" s="15">
        <f>IF($G650="","",IF(OR($G650="PT Missed",$G650="PT Modified",$G650="PT Refused"),"Yes","No"))</f>
        <v/>
      </c>
      <c r="L650" s="14" t="n"/>
      <c r="M650" s="14" t="n"/>
      <c r="N650" s="15">
        <f>IF($D650="","",IF($M650="Excused","No",IF(AND($G650="PT Modified",$L650="Received"),"No","Yes")))</f>
        <v/>
      </c>
      <c r="O650" s="14" t="n"/>
    </row>
    <row r="651">
      <c r="B651" s="15">
        <f>IF($D651="","","A"&amp;TEXT(ROW()-5,"000"))</f>
        <v/>
      </c>
      <c r="C651" s="16" t="n"/>
      <c r="D651" s="14" t="n"/>
      <c r="E651" s="15">
        <f>IF($D651="","",IFERROR(INDEX(rngCadetPIDs,MATCH($D651,rngCadetNames,0)),"?"))</f>
        <v/>
      </c>
      <c r="F651" s="15">
        <f>IF($E651="","",IFERROR(INDEX(nrCadetAgency,MATCH($E651,rngCadetPIDs,0)),""))</f>
        <v/>
      </c>
      <c r="G651" s="14" t="n"/>
      <c r="H651" s="14" t="n"/>
      <c r="I651" s="14" t="n"/>
      <c r="J651" s="14" t="n"/>
      <c r="K651" s="15">
        <f>IF($G651="","",IF(OR($G651="PT Missed",$G651="PT Modified",$G651="PT Refused"),"Yes","No"))</f>
        <v/>
      </c>
      <c r="L651" s="14" t="n"/>
      <c r="M651" s="14" t="n"/>
      <c r="N651" s="15">
        <f>IF($D651="","",IF($M651="Excused","No",IF(AND($G651="PT Modified",$L651="Received"),"No","Yes")))</f>
        <v/>
      </c>
      <c r="O651" s="14" t="n"/>
    </row>
    <row r="652">
      <c r="B652" s="15">
        <f>IF($D652="","","A"&amp;TEXT(ROW()-5,"000"))</f>
        <v/>
      </c>
      <c r="C652" s="16" t="n"/>
      <c r="D652" s="14" t="n"/>
      <c r="E652" s="15">
        <f>IF($D652="","",IFERROR(INDEX(rngCadetPIDs,MATCH($D652,rngCadetNames,0)),"?"))</f>
        <v/>
      </c>
      <c r="F652" s="15">
        <f>IF($E652="","",IFERROR(INDEX(nrCadetAgency,MATCH($E652,rngCadetPIDs,0)),""))</f>
        <v/>
      </c>
      <c r="G652" s="14" t="n"/>
      <c r="H652" s="14" t="n"/>
      <c r="I652" s="14" t="n"/>
      <c r="J652" s="14" t="n"/>
      <c r="K652" s="15">
        <f>IF($G652="","",IF(OR($G652="PT Missed",$G652="PT Modified",$G652="PT Refused"),"Yes","No"))</f>
        <v/>
      </c>
      <c r="L652" s="14" t="n"/>
      <c r="M652" s="14" t="n"/>
      <c r="N652" s="15">
        <f>IF($D652="","",IF($M652="Excused","No",IF(AND($G652="PT Modified",$L652="Received"),"No","Yes")))</f>
        <v/>
      </c>
      <c r="O652" s="14" t="n"/>
    </row>
    <row r="653">
      <c r="B653" s="15">
        <f>IF($D653="","","A"&amp;TEXT(ROW()-5,"000"))</f>
        <v/>
      </c>
      <c r="C653" s="16" t="n"/>
      <c r="D653" s="14" t="n"/>
      <c r="E653" s="15">
        <f>IF($D653="","",IFERROR(INDEX(rngCadetPIDs,MATCH($D653,rngCadetNames,0)),"?"))</f>
        <v/>
      </c>
      <c r="F653" s="15">
        <f>IF($E653="","",IFERROR(INDEX(nrCadetAgency,MATCH($E653,rngCadetPIDs,0)),""))</f>
        <v/>
      </c>
      <c r="G653" s="14" t="n"/>
      <c r="H653" s="14" t="n"/>
      <c r="I653" s="14" t="n"/>
      <c r="J653" s="14" t="n"/>
      <c r="K653" s="15">
        <f>IF($G653="","",IF(OR($G653="PT Missed",$G653="PT Modified",$G653="PT Refused"),"Yes","No"))</f>
        <v/>
      </c>
      <c r="L653" s="14" t="n"/>
      <c r="M653" s="14" t="n"/>
      <c r="N653" s="15">
        <f>IF($D653="","",IF($M653="Excused","No",IF(AND($G653="PT Modified",$L653="Received"),"No","Yes")))</f>
        <v/>
      </c>
      <c r="O653" s="14" t="n"/>
    </row>
    <row r="654">
      <c r="B654" s="15">
        <f>IF($D654="","","A"&amp;TEXT(ROW()-5,"000"))</f>
        <v/>
      </c>
      <c r="C654" s="16" t="n"/>
      <c r="D654" s="14" t="n"/>
      <c r="E654" s="15">
        <f>IF($D654="","",IFERROR(INDEX(rngCadetPIDs,MATCH($D654,rngCadetNames,0)),"?"))</f>
        <v/>
      </c>
      <c r="F654" s="15">
        <f>IF($E654="","",IFERROR(INDEX(nrCadetAgency,MATCH($E654,rngCadetPIDs,0)),""))</f>
        <v/>
      </c>
      <c r="G654" s="14" t="n"/>
      <c r="H654" s="14" t="n"/>
      <c r="I654" s="14" t="n"/>
      <c r="J654" s="14" t="n"/>
      <c r="K654" s="15">
        <f>IF($G654="","",IF(OR($G654="PT Missed",$G654="PT Modified",$G654="PT Refused"),"Yes","No"))</f>
        <v/>
      </c>
      <c r="L654" s="14" t="n"/>
      <c r="M654" s="14" t="n"/>
      <c r="N654" s="15">
        <f>IF($D654="","",IF($M654="Excused","No",IF(AND($G654="PT Modified",$L654="Received"),"No","Yes")))</f>
        <v/>
      </c>
      <c r="O654" s="14" t="n"/>
    </row>
    <row r="655">
      <c r="B655" s="15">
        <f>IF($D655="","","A"&amp;TEXT(ROW()-5,"000"))</f>
        <v/>
      </c>
      <c r="C655" s="16" t="n"/>
      <c r="D655" s="14" t="n"/>
      <c r="E655" s="15">
        <f>IF($D655="","",IFERROR(INDEX(rngCadetPIDs,MATCH($D655,rngCadetNames,0)),"?"))</f>
        <v/>
      </c>
      <c r="F655" s="15">
        <f>IF($E655="","",IFERROR(INDEX(nrCadetAgency,MATCH($E655,rngCadetPIDs,0)),""))</f>
        <v/>
      </c>
      <c r="G655" s="14" t="n"/>
      <c r="H655" s="14" t="n"/>
      <c r="I655" s="14" t="n"/>
      <c r="J655" s="14" t="n"/>
      <c r="K655" s="15">
        <f>IF($G655="","",IF(OR($G655="PT Missed",$G655="PT Modified",$G655="PT Refused"),"Yes","No"))</f>
        <v/>
      </c>
      <c r="L655" s="14" t="n"/>
      <c r="M655" s="14" t="n"/>
      <c r="N655" s="15">
        <f>IF($D655="","",IF($M655="Excused","No",IF(AND($G655="PT Modified",$L655="Received"),"No","Yes")))</f>
        <v/>
      </c>
      <c r="O655" s="14" t="n"/>
    </row>
    <row r="656">
      <c r="B656" s="15">
        <f>IF($D656="","","A"&amp;TEXT(ROW()-5,"000"))</f>
        <v/>
      </c>
      <c r="C656" s="16" t="n"/>
      <c r="D656" s="14" t="n"/>
      <c r="E656" s="15">
        <f>IF($D656="","",IFERROR(INDEX(rngCadetPIDs,MATCH($D656,rngCadetNames,0)),"?"))</f>
        <v/>
      </c>
      <c r="F656" s="15">
        <f>IF($E656="","",IFERROR(INDEX(nrCadetAgency,MATCH($E656,rngCadetPIDs,0)),""))</f>
        <v/>
      </c>
      <c r="G656" s="14" t="n"/>
      <c r="H656" s="14" t="n"/>
      <c r="I656" s="14" t="n"/>
      <c r="J656" s="14" t="n"/>
      <c r="K656" s="15">
        <f>IF($G656="","",IF(OR($G656="PT Missed",$G656="PT Modified",$G656="PT Refused"),"Yes","No"))</f>
        <v/>
      </c>
      <c r="L656" s="14" t="n"/>
      <c r="M656" s="14" t="n"/>
      <c r="N656" s="15">
        <f>IF($D656="","",IF($M656="Excused","No",IF(AND($G656="PT Modified",$L656="Received"),"No","Yes")))</f>
        <v/>
      </c>
      <c r="O656" s="14" t="n"/>
    </row>
    <row r="657">
      <c r="B657" s="15">
        <f>IF($D657="","","A"&amp;TEXT(ROW()-5,"000"))</f>
        <v/>
      </c>
      <c r="C657" s="16" t="n"/>
      <c r="D657" s="14" t="n"/>
      <c r="E657" s="15">
        <f>IF($D657="","",IFERROR(INDEX(rngCadetPIDs,MATCH($D657,rngCadetNames,0)),"?"))</f>
        <v/>
      </c>
      <c r="F657" s="15">
        <f>IF($E657="","",IFERROR(INDEX(nrCadetAgency,MATCH($E657,rngCadetPIDs,0)),""))</f>
        <v/>
      </c>
      <c r="G657" s="14" t="n"/>
      <c r="H657" s="14" t="n"/>
      <c r="I657" s="14" t="n"/>
      <c r="J657" s="14" t="n"/>
      <c r="K657" s="15">
        <f>IF($G657="","",IF(OR($G657="PT Missed",$G657="PT Modified",$G657="PT Refused"),"Yes","No"))</f>
        <v/>
      </c>
      <c r="L657" s="14" t="n"/>
      <c r="M657" s="14" t="n"/>
      <c r="N657" s="15">
        <f>IF($D657="","",IF($M657="Excused","No",IF(AND($G657="PT Modified",$L657="Received"),"No","Yes")))</f>
        <v/>
      </c>
      <c r="O657" s="14" t="n"/>
    </row>
    <row r="658">
      <c r="B658" s="15">
        <f>IF($D658="","","A"&amp;TEXT(ROW()-5,"000"))</f>
        <v/>
      </c>
      <c r="C658" s="16" t="n"/>
      <c r="D658" s="14" t="n"/>
      <c r="E658" s="15">
        <f>IF($D658="","",IFERROR(INDEX(rngCadetPIDs,MATCH($D658,rngCadetNames,0)),"?"))</f>
        <v/>
      </c>
      <c r="F658" s="15">
        <f>IF($E658="","",IFERROR(INDEX(nrCadetAgency,MATCH($E658,rngCadetPIDs,0)),""))</f>
        <v/>
      </c>
      <c r="G658" s="14" t="n"/>
      <c r="H658" s="14" t="n"/>
      <c r="I658" s="14" t="n"/>
      <c r="J658" s="14" t="n"/>
      <c r="K658" s="15">
        <f>IF($G658="","",IF(OR($G658="PT Missed",$G658="PT Modified",$G658="PT Refused"),"Yes","No"))</f>
        <v/>
      </c>
      <c r="L658" s="14" t="n"/>
      <c r="M658" s="14" t="n"/>
      <c r="N658" s="15">
        <f>IF($D658="","",IF($M658="Excused","No",IF(AND($G658="PT Modified",$L658="Received"),"No","Yes")))</f>
        <v/>
      </c>
      <c r="O658" s="14" t="n"/>
    </row>
    <row r="659">
      <c r="B659" s="15">
        <f>IF($D659="","","A"&amp;TEXT(ROW()-5,"000"))</f>
        <v/>
      </c>
      <c r="C659" s="16" t="n"/>
      <c r="D659" s="14" t="n"/>
      <c r="E659" s="15">
        <f>IF($D659="","",IFERROR(INDEX(rngCadetPIDs,MATCH($D659,rngCadetNames,0)),"?"))</f>
        <v/>
      </c>
      <c r="F659" s="15">
        <f>IF($E659="","",IFERROR(INDEX(nrCadetAgency,MATCH($E659,rngCadetPIDs,0)),""))</f>
        <v/>
      </c>
      <c r="G659" s="14" t="n"/>
      <c r="H659" s="14" t="n"/>
      <c r="I659" s="14" t="n"/>
      <c r="J659" s="14" t="n"/>
      <c r="K659" s="15">
        <f>IF($G659="","",IF(OR($G659="PT Missed",$G659="PT Modified",$G659="PT Refused"),"Yes","No"))</f>
        <v/>
      </c>
      <c r="L659" s="14" t="n"/>
      <c r="M659" s="14" t="n"/>
      <c r="N659" s="15">
        <f>IF($D659="","",IF($M659="Excused","No",IF(AND($G659="PT Modified",$L659="Received"),"No","Yes")))</f>
        <v/>
      </c>
      <c r="O659" s="14" t="n"/>
    </row>
    <row r="660">
      <c r="B660" s="15">
        <f>IF($D660="","","A"&amp;TEXT(ROW()-5,"000"))</f>
        <v/>
      </c>
      <c r="C660" s="16" t="n"/>
      <c r="D660" s="14" t="n"/>
      <c r="E660" s="15">
        <f>IF($D660="","",IFERROR(INDEX(rngCadetPIDs,MATCH($D660,rngCadetNames,0)),"?"))</f>
        <v/>
      </c>
      <c r="F660" s="15">
        <f>IF($E660="","",IFERROR(INDEX(nrCadetAgency,MATCH($E660,rngCadetPIDs,0)),""))</f>
        <v/>
      </c>
      <c r="G660" s="14" t="n"/>
      <c r="H660" s="14" t="n"/>
      <c r="I660" s="14" t="n"/>
      <c r="J660" s="14" t="n"/>
      <c r="K660" s="15">
        <f>IF($G660="","",IF(OR($G660="PT Missed",$G660="PT Modified",$G660="PT Refused"),"Yes","No"))</f>
        <v/>
      </c>
      <c r="L660" s="14" t="n"/>
      <c r="M660" s="14" t="n"/>
      <c r="N660" s="15">
        <f>IF($D660="","",IF($M660="Excused","No",IF(AND($G660="PT Modified",$L660="Received"),"No","Yes")))</f>
        <v/>
      </c>
      <c r="O660" s="14" t="n"/>
    </row>
    <row r="661">
      <c r="B661" s="15">
        <f>IF($D661="","","A"&amp;TEXT(ROW()-5,"000"))</f>
        <v/>
      </c>
      <c r="C661" s="16" t="n"/>
      <c r="D661" s="14" t="n"/>
      <c r="E661" s="15">
        <f>IF($D661="","",IFERROR(INDEX(rngCadetPIDs,MATCH($D661,rngCadetNames,0)),"?"))</f>
        <v/>
      </c>
      <c r="F661" s="15">
        <f>IF($E661="","",IFERROR(INDEX(nrCadetAgency,MATCH($E661,rngCadetPIDs,0)),""))</f>
        <v/>
      </c>
      <c r="G661" s="14" t="n"/>
      <c r="H661" s="14" t="n"/>
      <c r="I661" s="14" t="n"/>
      <c r="J661" s="14" t="n"/>
      <c r="K661" s="15">
        <f>IF($G661="","",IF(OR($G661="PT Missed",$G661="PT Modified",$G661="PT Refused"),"Yes","No"))</f>
        <v/>
      </c>
      <c r="L661" s="14" t="n"/>
      <c r="M661" s="14" t="n"/>
      <c r="N661" s="15">
        <f>IF($D661="","",IF($M661="Excused","No",IF(AND($G661="PT Modified",$L661="Received"),"No","Yes")))</f>
        <v/>
      </c>
      <c r="O661" s="14" t="n"/>
    </row>
    <row r="662">
      <c r="B662" s="15">
        <f>IF($D662="","","A"&amp;TEXT(ROW()-5,"000"))</f>
        <v/>
      </c>
      <c r="C662" s="16" t="n"/>
      <c r="D662" s="14" t="n"/>
      <c r="E662" s="15">
        <f>IF($D662="","",IFERROR(INDEX(rngCadetPIDs,MATCH($D662,rngCadetNames,0)),"?"))</f>
        <v/>
      </c>
      <c r="F662" s="15">
        <f>IF($E662="","",IFERROR(INDEX(nrCadetAgency,MATCH($E662,rngCadetPIDs,0)),""))</f>
        <v/>
      </c>
      <c r="G662" s="14" t="n"/>
      <c r="H662" s="14" t="n"/>
      <c r="I662" s="14" t="n"/>
      <c r="J662" s="14" t="n"/>
      <c r="K662" s="15">
        <f>IF($G662="","",IF(OR($G662="PT Missed",$G662="PT Modified",$G662="PT Refused"),"Yes","No"))</f>
        <v/>
      </c>
      <c r="L662" s="14" t="n"/>
      <c r="M662" s="14" t="n"/>
      <c r="N662" s="15">
        <f>IF($D662="","",IF($M662="Excused","No",IF(AND($G662="PT Modified",$L662="Received"),"No","Yes")))</f>
        <v/>
      </c>
      <c r="O662" s="14" t="n"/>
    </row>
    <row r="663">
      <c r="B663" s="15">
        <f>IF($D663="","","A"&amp;TEXT(ROW()-5,"000"))</f>
        <v/>
      </c>
      <c r="C663" s="16" t="n"/>
      <c r="D663" s="14" t="n"/>
      <c r="E663" s="15">
        <f>IF($D663="","",IFERROR(INDEX(rngCadetPIDs,MATCH($D663,rngCadetNames,0)),"?"))</f>
        <v/>
      </c>
      <c r="F663" s="15">
        <f>IF($E663="","",IFERROR(INDEX(nrCadetAgency,MATCH($E663,rngCadetPIDs,0)),""))</f>
        <v/>
      </c>
      <c r="G663" s="14" t="n"/>
      <c r="H663" s="14" t="n"/>
      <c r="I663" s="14" t="n"/>
      <c r="J663" s="14" t="n"/>
      <c r="K663" s="15">
        <f>IF($G663="","",IF(OR($G663="PT Missed",$G663="PT Modified",$G663="PT Refused"),"Yes","No"))</f>
        <v/>
      </c>
      <c r="L663" s="14" t="n"/>
      <c r="M663" s="14" t="n"/>
      <c r="N663" s="15">
        <f>IF($D663="","",IF($M663="Excused","No",IF(AND($G663="PT Modified",$L663="Received"),"No","Yes")))</f>
        <v/>
      </c>
      <c r="O663" s="14" t="n"/>
    </row>
    <row r="664">
      <c r="B664" s="15">
        <f>IF($D664="","","A"&amp;TEXT(ROW()-5,"000"))</f>
        <v/>
      </c>
      <c r="C664" s="16" t="n"/>
      <c r="D664" s="14" t="n"/>
      <c r="E664" s="15">
        <f>IF($D664="","",IFERROR(INDEX(rngCadetPIDs,MATCH($D664,rngCadetNames,0)),"?"))</f>
        <v/>
      </c>
      <c r="F664" s="15">
        <f>IF($E664="","",IFERROR(INDEX(nrCadetAgency,MATCH($E664,rngCadetPIDs,0)),""))</f>
        <v/>
      </c>
      <c r="G664" s="14" t="n"/>
      <c r="H664" s="14" t="n"/>
      <c r="I664" s="14" t="n"/>
      <c r="J664" s="14" t="n"/>
      <c r="K664" s="15">
        <f>IF($G664="","",IF(OR($G664="PT Missed",$G664="PT Modified",$G664="PT Refused"),"Yes","No"))</f>
        <v/>
      </c>
      <c r="L664" s="14" t="n"/>
      <c r="M664" s="14" t="n"/>
      <c r="N664" s="15">
        <f>IF($D664="","",IF($M664="Excused","No",IF(AND($G664="PT Modified",$L664="Received"),"No","Yes")))</f>
        <v/>
      </c>
      <c r="O664" s="14" t="n"/>
    </row>
    <row r="665">
      <c r="B665" s="15">
        <f>IF($D665="","","A"&amp;TEXT(ROW()-5,"000"))</f>
        <v/>
      </c>
      <c r="C665" s="16" t="n"/>
      <c r="D665" s="14" t="n"/>
      <c r="E665" s="15">
        <f>IF($D665="","",IFERROR(INDEX(rngCadetPIDs,MATCH($D665,rngCadetNames,0)),"?"))</f>
        <v/>
      </c>
      <c r="F665" s="15">
        <f>IF($E665="","",IFERROR(INDEX(nrCadetAgency,MATCH($E665,rngCadetPIDs,0)),""))</f>
        <v/>
      </c>
      <c r="G665" s="14" t="n"/>
      <c r="H665" s="14" t="n"/>
      <c r="I665" s="14" t="n"/>
      <c r="J665" s="14" t="n"/>
      <c r="K665" s="15">
        <f>IF($G665="","",IF(OR($G665="PT Missed",$G665="PT Modified",$G665="PT Refused"),"Yes","No"))</f>
        <v/>
      </c>
      <c r="L665" s="14" t="n"/>
      <c r="M665" s="14" t="n"/>
      <c r="N665" s="15">
        <f>IF($D665="","",IF($M665="Excused","No",IF(AND($G665="PT Modified",$L665="Received"),"No","Yes")))</f>
        <v/>
      </c>
      <c r="O665" s="14" t="n"/>
    </row>
    <row r="666">
      <c r="B666" s="15">
        <f>IF($D666="","","A"&amp;TEXT(ROW()-5,"000"))</f>
        <v/>
      </c>
      <c r="C666" s="16" t="n"/>
      <c r="D666" s="14" t="n"/>
      <c r="E666" s="15">
        <f>IF($D666="","",IFERROR(INDEX(rngCadetPIDs,MATCH($D666,rngCadetNames,0)),"?"))</f>
        <v/>
      </c>
      <c r="F666" s="15">
        <f>IF($E666="","",IFERROR(INDEX(nrCadetAgency,MATCH($E666,rngCadetPIDs,0)),""))</f>
        <v/>
      </c>
      <c r="G666" s="14" t="n"/>
      <c r="H666" s="14" t="n"/>
      <c r="I666" s="14" t="n"/>
      <c r="J666" s="14" t="n"/>
      <c r="K666" s="15">
        <f>IF($G666="","",IF(OR($G666="PT Missed",$G666="PT Modified",$G666="PT Refused"),"Yes","No"))</f>
        <v/>
      </c>
      <c r="L666" s="14" t="n"/>
      <c r="M666" s="14" t="n"/>
      <c r="N666" s="15">
        <f>IF($D666="","",IF($M666="Excused","No",IF(AND($G666="PT Modified",$L666="Received"),"No","Yes")))</f>
        <v/>
      </c>
      <c r="O666" s="14" t="n"/>
    </row>
    <row r="667">
      <c r="B667" s="15">
        <f>IF($D667="","","A"&amp;TEXT(ROW()-5,"000"))</f>
        <v/>
      </c>
      <c r="C667" s="16" t="n"/>
      <c r="D667" s="14" t="n"/>
      <c r="E667" s="15">
        <f>IF($D667="","",IFERROR(INDEX(rngCadetPIDs,MATCH($D667,rngCadetNames,0)),"?"))</f>
        <v/>
      </c>
      <c r="F667" s="15">
        <f>IF($E667="","",IFERROR(INDEX(nrCadetAgency,MATCH($E667,rngCadetPIDs,0)),""))</f>
        <v/>
      </c>
      <c r="G667" s="14" t="n"/>
      <c r="H667" s="14" t="n"/>
      <c r="I667" s="14" t="n"/>
      <c r="J667" s="14" t="n"/>
      <c r="K667" s="15">
        <f>IF($G667="","",IF(OR($G667="PT Missed",$G667="PT Modified",$G667="PT Refused"),"Yes","No"))</f>
        <v/>
      </c>
      <c r="L667" s="14" t="n"/>
      <c r="M667" s="14" t="n"/>
      <c r="N667" s="15">
        <f>IF($D667="","",IF($M667="Excused","No",IF(AND($G667="PT Modified",$L667="Received"),"No","Yes")))</f>
        <v/>
      </c>
      <c r="O667" s="14" t="n"/>
    </row>
    <row r="668">
      <c r="B668" s="15">
        <f>IF($D668="","","A"&amp;TEXT(ROW()-5,"000"))</f>
        <v/>
      </c>
      <c r="C668" s="16" t="n"/>
      <c r="D668" s="14" t="n"/>
      <c r="E668" s="15">
        <f>IF($D668="","",IFERROR(INDEX(rngCadetPIDs,MATCH($D668,rngCadetNames,0)),"?"))</f>
        <v/>
      </c>
      <c r="F668" s="15">
        <f>IF($E668="","",IFERROR(INDEX(nrCadetAgency,MATCH($E668,rngCadetPIDs,0)),""))</f>
        <v/>
      </c>
      <c r="G668" s="14" t="n"/>
      <c r="H668" s="14" t="n"/>
      <c r="I668" s="14" t="n"/>
      <c r="J668" s="14" t="n"/>
      <c r="K668" s="15">
        <f>IF($G668="","",IF(OR($G668="PT Missed",$G668="PT Modified",$G668="PT Refused"),"Yes","No"))</f>
        <v/>
      </c>
      <c r="L668" s="14" t="n"/>
      <c r="M668" s="14" t="n"/>
      <c r="N668" s="15">
        <f>IF($D668="","",IF($M668="Excused","No",IF(AND($G668="PT Modified",$L668="Received"),"No","Yes")))</f>
        <v/>
      </c>
      <c r="O668" s="14" t="n"/>
    </row>
    <row r="669">
      <c r="B669" s="15">
        <f>IF($D669="","","A"&amp;TEXT(ROW()-5,"000"))</f>
        <v/>
      </c>
      <c r="C669" s="16" t="n"/>
      <c r="D669" s="14" t="n"/>
      <c r="E669" s="15">
        <f>IF($D669="","",IFERROR(INDEX(rngCadetPIDs,MATCH($D669,rngCadetNames,0)),"?"))</f>
        <v/>
      </c>
      <c r="F669" s="15">
        <f>IF($E669="","",IFERROR(INDEX(nrCadetAgency,MATCH($E669,rngCadetPIDs,0)),""))</f>
        <v/>
      </c>
      <c r="G669" s="14" t="n"/>
      <c r="H669" s="14" t="n"/>
      <c r="I669" s="14" t="n"/>
      <c r="J669" s="14" t="n"/>
      <c r="K669" s="15">
        <f>IF($G669="","",IF(OR($G669="PT Missed",$G669="PT Modified",$G669="PT Refused"),"Yes","No"))</f>
        <v/>
      </c>
      <c r="L669" s="14" t="n"/>
      <c r="M669" s="14" t="n"/>
      <c r="N669" s="15">
        <f>IF($D669="","",IF($M669="Excused","No",IF(AND($G669="PT Modified",$L669="Received"),"No","Yes")))</f>
        <v/>
      </c>
      <c r="O669" s="14" t="n"/>
    </row>
    <row r="670">
      <c r="B670" s="15">
        <f>IF($D670="","","A"&amp;TEXT(ROW()-5,"000"))</f>
        <v/>
      </c>
      <c r="C670" s="16" t="n"/>
      <c r="D670" s="14" t="n"/>
      <c r="E670" s="15">
        <f>IF($D670="","",IFERROR(INDEX(rngCadetPIDs,MATCH($D670,rngCadetNames,0)),"?"))</f>
        <v/>
      </c>
      <c r="F670" s="15">
        <f>IF($E670="","",IFERROR(INDEX(nrCadetAgency,MATCH($E670,rngCadetPIDs,0)),""))</f>
        <v/>
      </c>
      <c r="G670" s="14" t="n"/>
      <c r="H670" s="14" t="n"/>
      <c r="I670" s="14" t="n"/>
      <c r="J670" s="14" t="n"/>
      <c r="K670" s="15">
        <f>IF($G670="","",IF(OR($G670="PT Missed",$G670="PT Modified",$G670="PT Refused"),"Yes","No"))</f>
        <v/>
      </c>
      <c r="L670" s="14" t="n"/>
      <c r="M670" s="14" t="n"/>
      <c r="N670" s="15">
        <f>IF($D670="","",IF($M670="Excused","No",IF(AND($G670="PT Modified",$L670="Received"),"No","Yes")))</f>
        <v/>
      </c>
      <c r="O670" s="14" t="n"/>
    </row>
    <row r="671">
      <c r="B671" s="15">
        <f>IF($D671="","","A"&amp;TEXT(ROW()-5,"000"))</f>
        <v/>
      </c>
      <c r="C671" s="16" t="n"/>
      <c r="D671" s="14" t="n"/>
      <c r="E671" s="15">
        <f>IF($D671="","",IFERROR(INDEX(rngCadetPIDs,MATCH($D671,rngCadetNames,0)),"?"))</f>
        <v/>
      </c>
      <c r="F671" s="15">
        <f>IF($E671="","",IFERROR(INDEX(nrCadetAgency,MATCH($E671,rngCadetPIDs,0)),""))</f>
        <v/>
      </c>
      <c r="G671" s="14" t="n"/>
      <c r="H671" s="14" t="n"/>
      <c r="I671" s="14" t="n"/>
      <c r="J671" s="14" t="n"/>
      <c r="K671" s="15">
        <f>IF($G671="","",IF(OR($G671="PT Missed",$G671="PT Modified",$G671="PT Refused"),"Yes","No"))</f>
        <v/>
      </c>
      <c r="L671" s="14" t="n"/>
      <c r="M671" s="14" t="n"/>
      <c r="N671" s="15">
        <f>IF($D671="","",IF($M671="Excused","No",IF(AND($G671="PT Modified",$L671="Received"),"No","Yes")))</f>
        <v/>
      </c>
      <c r="O671" s="14" t="n"/>
    </row>
    <row r="672">
      <c r="B672" s="15">
        <f>IF($D672="","","A"&amp;TEXT(ROW()-5,"000"))</f>
        <v/>
      </c>
      <c r="C672" s="16" t="n"/>
      <c r="D672" s="14" t="n"/>
      <c r="E672" s="15">
        <f>IF($D672="","",IFERROR(INDEX(rngCadetPIDs,MATCH($D672,rngCadetNames,0)),"?"))</f>
        <v/>
      </c>
      <c r="F672" s="15">
        <f>IF($E672="","",IFERROR(INDEX(nrCadetAgency,MATCH($E672,rngCadetPIDs,0)),""))</f>
        <v/>
      </c>
      <c r="G672" s="14" t="n"/>
      <c r="H672" s="14" t="n"/>
      <c r="I672" s="14" t="n"/>
      <c r="J672" s="14" t="n"/>
      <c r="K672" s="15">
        <f>IF($G672="","",IF(OR($G672="PT Missed",$G672="PT Modified",$G672="PT Refused"),"Yes","No"))</f>
        <v/>
      </c>
      <c r="L672" s="14" t="n"/>
      <c r="M672" s="14" t="n"/>
      <c r="N672" s="15">
        <f>IF($D672="","",IF($M672="Excused","No",IF(AND($G672="PT Modified",$L672="Received"),"No","Yes")))</f>
        <v/>
      </c>
      <c r="O672" s="14" t="n"/>
    </row>
    <row r="673">
      <c r="B673" s="15">
        <f>IF($D673="","","A"&amp;TEXT(ROW()-5,"000"))</f>
        <v/>
      </c>
      <c r="C673" s="16" t="n"/>
      <c r="D673" s="14" t="n"/>
      <c r="E673" s="15">
        <f>IF($D673="","",IFERROR(INDEX(rngCadetPIDs,MATCH($D673,rngCadetNames,0)),"?"))</f>
        <v/>
      </c>
      <c r="F673" s="15">
        <f>IF($E673="","",IFERROR(INDEX(nrCadetAgency,MATCH($E673,rngCadetPIDs,0)),""))</f>
        <v/>
      </c>
      <c r="G673" s="14" t="n"/>
      <c r="H673" s="14" t="n"/>
      <c r="I673" s="14" t="n"/>
      <c r="J673" s="14" t="n"/>
      <c r="K673" s="15">
        <f>IF($G673="","",IF(OR($G673="PT Missed",$G673="PT Modified",$G673="PT Refused"),"Yes","No"))</f>
        <v/>
      </c>
      <c r="L673" s="14" t="n"/>
      <c r="M673" s="14" t="n"/>
      <c r="N673" s="15">
        <f>IF($D673="","",IF($M673="Excused","No",IF(AND($G673="PT Modified",$L673="Received"),"No","Yes")))</f>
        <v/>
      </c>
      <c r="O673" s="14" t="n"/>
    </row>
    <row r="674">
      <c r="B674" s="15">
        <f>IF($D674="","","A"&amp;TEXT(ROW()-5,"000"))</f>
        <v/>
      </c>
      <c r="C674" s="16" t="n"/>
      <c r="D674" s="14" t="n"/>
      <c r="E674" s="15">
        <f>IF($D674="","",IFERROR(INDEX(rngCadetPIDs,MATCH($D674,rngCadetNames,0)),"?"))</f>
        <v/>
      </c>
      <c r="F674" s="15">
        <f>IF($E674="","",IFERROR(INDEX(nrCadetAgency,MATCH($E674,rngCadetPIDs,0)),""))</f>
        <v/>
      </c>
      <c r="G674" s="14" t="n"/>
      <c r="H674" s="14" t="n"/>
      <c r="I674" s="14" t="n"/>
      <c r="J674" s="14" t="n"/>
      <c r="K674" s="15">
        <f>IF($G674="","",IF(OR($G674="PT Missed",$G674="PT Modified",$G674="PT Refused"),"Yes","No"))</f>
        <v/>
      </c>
      <c r="L674" s="14" t="n"/>
      <c r="M674" s="14" t="n"/>
      <c r="N674" s="15">
        <f>IF($D674="","",IF($M674="Excused","No",IF(AND($G674="PT Modified",$L674="Received"),"No","Yes")))</f>
        <v/>
      </c>
      <c r="O674" s="14" t="n"/>
    </row>
    <row r="675">
      <c r="B675" s="15">
        <f>IF($D675="","","A"&amp;TEXT(ROW()-5,"000"))</f>
        <v/>
      </c>
      <c r="C675" s="16" t="n"/>
      <c r="D675" s="14" t="n"/>
      <c r="E675" s="15">
        <f>IF($D675="","",IFERROR(INDEX(rngCadetPIDs,MATCH($D675,rngCadetNames,0)),"?"))</f>
        <v/>
      </c>
      <c r="F675" s="15">
        <f>IF($E675="","",IFERROR(INDEX(nrCadetAgency,MATCH($E675,rngCadetPIDs,0)),""))</f>
        <v/>
      </c>
      <c r="G675" s="14" t="n"/>
      <c r="H675" s="14" t="n"/>
      <c r="I675" s="14" t="n"/>
      <c r="J675" s="14" t="n"/>
      <c r="K675" s="15">
        <f>IF($G675="","",IF(OR($G675="PT Missed",$G675="PT Modified",$G675="PT Refused"),"Yes","No"))</f>
        <v/>
      </c>
      <c r="L675" s="14" t="n"/>
      <c r="M675" s="14" t="n"/>
      <c r="N675" s="15">
        <f>IF($D675="","",IF($M675="Excused","No",IF(AND($G675="PT Modified",$L675="Received"),"No","Yes")))</f>
        <v/>
      </c>
      <c r="O675" s="14" t="n"/>
    </row>
    <row r="676">
      <c r="B676" s="15">
        <f>IF($D676="","","A"&amp;TEXT(ROW()-5,"000"))</f>
        <v/>
      </c>
      <c r="C676" s="16" t="n"/>
      <c r="D676" s="14" t="n"/>
      <c r="E676" s="15">
        <f>IF($D676="","",IFERROR(INDEX(rngCadetPIDs,MATCH($D676,rngCadetNames,0)),"?"))</f>
        <v/>
      </c>
      <c r="F676" s="15">
        <f>IF($E676="","",IFERROR(INDEX(nrCadetAgency,MATCH($E676,rngCadetPIDs,0)),""))</f>
        <v/>
      </c>
      <c r="G676" s="14" t="n"/>
      <c r="H676" s="14" t="n"/>
      <c r="I676" s="14" t="n"/>
      <c r="J676" s="14" t="n"/>
      <c r="K676" s="15">
        <f>IF($G676="","",IF(OR($G676="PT Missed",$G676="PT Modified",$G676="PT Refused"),"Yes","No"))</f>
        <v/>
      </c>
      <c r="L676" s="14" t="n"/>
      <c r="M676" s="14" t="n"/>
      <c r="N676" s="15">
        <f>IF($D676="","",IF($M676="Excused","No",IF(AND($G676="PT Modified",$L676="Received"),"No","Yes")))</f>
        <v/>
      </c>
      <c r="O676" s="14" t="n"/>
    </row>
    <row r="677">
      <c r="B677" s="15">
        <f>IF($D677="","","A"&amp;TEXT(ROW()-5,"000"))</f>
        <v/>
      </c>
      <c r="C677" s="16" t="n"/>
      <c r="D677" s="14" t="n"/>
      <c r="E677" s="15">
        <f>IF($D677="","",IFERROR(INDEX(rngCadetPIDs,MATCH($D677,rngCadetNames,0)),"?"))</f>
        <v/>
      </c>
      <c r="F677" s="15">
        <f>IF($E677="","",IFERROR(INDEX(nrCadetAgency,MATCH($E677,rngCadetPIDs,0)),""))</f>
        <v/>
      </c>
      <c r="G677" s="14" t="n"/>
      <c r="H677" s="14" t="n"/>
      <c r="I677" s="14" t="n"/>
      <c r="J677" s="14" t="n"/>
      <c r="K677" s="15">
        <f>IF($G677="","",IF(OR($G677="PT Missed",$G677="PT Modified",$G677="PT Refused"),"Yes","No"))</f>
        <v/>
      </c>
      <c r="L677" s="14" t="n"/>
      <c r="M677" s="14" t="n"/>
      <c r="N677" s="15">
        <f>IF($D677="","",IF($M677="Excused","No",IF(AND($G677="PT Modified",$L677="Received"),"No","Yes")))</f>
        <v/>
      </c>
      <c r="O677" s="14" t="n"/>
    </row>
    <row r="678">
      <c r="B678" s="15">
        <f>IF($D678="","","A"&amp;TEXT(ROW()-5,"000"))</f>
        <v/>
      </c>
      <c r="C678" s="16" t="n"/>
      <c r="D678" s="14" t="n"/>
      <c r="E678" s="15">
        <f>IF($D678="","",IFERROR(INDEX(rngCadetPIDs,MATCH($D678,rngCadetNames,0)),"?"))</f>
        <v/>
      </c>
      <c r="F678" s="15">
        <f>IF($E678="","",IFERROR(INDEX(nrCadetAgency,MATCH($E678,rngCadetPIDs,0)),""))</f>
        <v/>
      </c>
      <c r="G678" s="14" t="n"/>
      <c r="H678" s="14" t="n"/>
      <c r="I678" s="14" t="n"/>
      <c r="J678" s="14" t="n"/>
      <c r="K678" s="15">
        <f>IF($G678="","",IF(OR($G678="PT Missed",$G678="PT Modified",$G678="PT Refused"),"Yes","No"))</f>
        <v/>
      </c>
      <c r="L678" s="14" t="n"/>
      <c r="M678" s="14" t="n"/>
      <c r="N678" s="15">
        <f>IF($D678="","",IF($M678="Excused","No",IF(AND($G678="PT Modified",$L678="Received"),"No","Yes")))</f>
        <v/>
      </c>
      <c r="O678" s="14" t="n"/>
    </row>
    <row r="679">
      <c r="B679" s="15">
        <f>IF($D679="","","A"&amp;TEXT(ROW()-5,"000"))</f>
        <v/>
      </c>
      <c r="C679" s="16" t="n"/>
      <c r="D679" s="14" t="n"/>
      <c r="E679" s="15">
        <f>IF($D679="","",IFERROR(INDEX(rngCadetPIDs,MATCH($D679,rngCadetNames,0)),"?"))</f>
        <v/>
      </c>
      <c r="F679" s="15">
        <f>IF($E679="","",IFERROR(INDEX(nrCadetAgency,MATCH($E679,rngCadetPIDs,0)),""))</f>
        <v/>
      </c>
      <c r="G679" s="14" t="n"/>
      <c r="H679" s="14" t="n"/>
      <c r="I679" s="14" t="n"/>
      <c r="J679" s="14" t="n"/>
      <c r="K679" s="15">
        <f>IF($G679="","",IF(OR($G679="PT Missed",$G679="PT Modified",$G679="PT Refused"),"Yes","No"))</f>
        <v/>
      </c>
      <c r="L679" s="14" t="n"/>
      <c r="M679" s="14" t="n"/>
      <c r="N679" s="15">
        <f>IF($D679="","",IF($M679="Excused","No",IF(AND($G679="PT Modified",$L679="Received"),"No","Yes")))</f>
        <v/>
      </c>
      <c r="O679" s="14" t="n"/>
    </row>
    <row r="680">
      <c r="B680" s="15">
        <f>IF($D680="","","A"&amp;TEXT(ROW()-5,"000"))</f>
        <v/>
      </c>
      <c r="C680" s="16" t="n"/>
      <c r="D680" s="14" t="n"/>
      <c r="E680" s="15">
        <f>IF($D680="","",IFERROR(INDEX(rngCadetPIDs,MATCH($D680,rngCadetNames,0)),"?"))</f>
        <v/>
      </c>
      <c r="F680" s="15">
        <f>IF($E680="","",IFERROR(INDEX(nrCadetAgency,MATCH($E680,rngCadetPIDs,0)),""))</f>
        <v/>
      </c>
      <c r="G680" s="14" t="n"/>
      <c r="H680" s="14" t="n"/>
      <c r="I680" s="14" t="n"/>
      <c r="J680" s="14" t="n"/>
      <c r="K680" s="15">
        <f>IF($G680="","",IF(OR($G680="PT Missed",$G680="PT Modified",$G680="PT Refused"),"Yes","No"))</f>
        <v/>
      </c>
      <c r="L680" s="14" t="n"/>
      <c r="M680" s="14" t="n"/>
      <c r="N680" s="15">
        <f>IF($D680="","",IF($M680="Excused","No",IF(AND($G680="PT Modified",$L680="Received"),"No","Yes")))</f>
        <v/>
      </c>
      <c r="O680" s="14" t="n"/>
    </row>
    <row r="681">
      <c r="B681" s="15">
        <f>IF($D681="","","A"&amp;TEXT(ROW()-5,"000"))</f>
        <v/>
      </c>
      <c r="C681" s="16" t="n"/>
      <c r="D681" s="14" t="n"/>
      <c r="E681" s="15">
        <f>IF($D681="","",IFERROR(INDEX(rngCadetPIDs,MATCH($D681,rngCadetNames,0)),"?"))</f>
        <v/>
      </c>
      <c r="F681" s="15">
        <f>IF($E681="","",IFERROR(INDEX(nrCadetAgency,MATCH($E681,rngCadetPIDs,0)),""))</f>
        <v/>
      </c>
      <c r="G681" s="14" t="n"/>
      <c r="H681" s="14" t="n"/>
      <c r="I681" s="14" t="n"/>
      <c r="J681" s="14" t="n"/>
      <c r="K681" s="15">
        <f>IF($G681="","",IF(OR($G681="PT Missed",$G681="PT Modified",$G681="PT Refused"),"Yes","No"))</f>
        <v/>
      </c>
      <c r="L681" s="14" t="n"/>
      <c r="M681" s="14" t="n"/>
      <c r="N681" s="15">
        <f>IF($D681="","",IF($M681="Excused","No",IF(AND($G681="PT Modified",$L681="Received"),"No","Yes")))</f>
        <v/>
      </c>
      <c r="O681" s="14" t="n"/>
    </row>
    <row r="682">
      <c r="B682" s="15">
        <f>IF($D682="","","A"&amp;TEXT(ROW()-5,"000"))</f>
        <v/>
      </c>
      <c r="C682" s="16" t="n"/>
      <c r="D682" s="14" t="n"/>
      <c r="E682" s="15">
        <f>IF($D682="","",IFERROR(INDEX(rngCadetPIDs,MATCH($D682,rngCadetNames,0)),"?"))</f>
        <v/>
      </c>
      <c r="F682" s="15">
        <f>IF($E682="","",IFERROR(INDEX(nrCadetAgency,MATCH($E682,rngCadetPIDs,0)),""))</f>
        <v/>
      </c>
      <c r="G682" s="14" t="n"/>
      <c r="H682" s="14" t="n"/>
      <c r="I682" s="14" t="n"/>
      <c r="J682" s="14" t="n"/>
      <c r="K682" s="15">
        <f>IF($G682="","",IF(OR($G682="PT Missed",$G682="PT Modified",$G682="PT Refused"),"Yes","No"))</f>
        <v/>
      </c>
      <c r="L682" s="14" t="n"/>
      <c r="M682" s="14" t="n"/>
      <c r="N682" s="15">
        <f>IF($D682="","",IF($M682="Excused","No",IF(AND($G682="PT Modified",$L682="Received"),"No","Yes")))</f>
        <v/>
      </c>
      <c r="O682" s="14" t="n"/>
    </row>
    <row r="683">
      <c r="B683" s="15">
        <f>IF($D683="","","A"&amp;TEXT(ROW()-5,"000"))</f>
        <v/>
      </c>
      <c r="C683" s="16" t="n"/>
      <c r="D683" s="14" t="n"/>
      <c r="E683" s="15">
        <f>IF($D683="","",IFERROR(INDEX(rngCadetPIDs,MATCH($D683,rngCadetNames,0)),"?"))</f>
        <v/>
      </c>
      <c r="F683" s="15">
        <f>IF($E683="","",IFERROR(INDEX(nrCadetAgency,MATCH($E683,rngCadetPIDs,0)),""))</f>
        <v/>
      </c>
      <c r="G683" s="14" t="n"/>
      <c r="H683" s="14" t="n"/>
      <c r="I683" s="14" t="n"/>
      <c r="J683" s="14" t="n"/>
      <c r="K683" s="15">
        <f>IF($G683="","",IF(OR($G683="PT Missed",$G683="PT Modified",$G683="PT Refused"),"Yes","No"))</f>
        <v/>
      </c>
      <c r="L683" s="14" t="n"/>
      <c r="M683" s="14" t="n"/>
      <c r="N683" s="15">
        <f>IF($D683="","",IF($M683="Excused","No",IF(AND($G683="PT Modified",$L683="Received"),"No","Yes")))</f>
        <v/>
      </c>
      <c r="O683" s="14" t="n"/>
    </row>
    <row r="684">
      <c r="B684" s="15">
        <f>IF($D684="","","A"&amp;TEXT(ROW()-5,"000"))</f>
        <v/>
      </c>
      <c r="C684" s="16" t="n"/>
      <c r="D684" s="14" t="n"/>
      <c r="E684" s="15">
        <f>IF($D684="","",IFERROR(INDEX(rngCadetPIDs,MATCH($D684,rngCadetNames,0)),"?"))</f>
        <v/>
      </c>
      <c r="F684" s="15">
        <f>IF($E684="","",IFERROR(INDEX(nrCadetAgency,MATCH($E684,rngCadetPIDs,0)),""))</f>
        <v/>
      </c>
      <c r="G684" s="14" t="n"/>
      <c r="H684" s="14" t="n"/>
      <c r="I684" s="14" t="n"/>
      <c r="J684" s="14" t="n"/>
      <c r="K684" s="15">
        <f>IF($G684="","",IF(OR($G684="PT Missed",$G684="PT Modified",$G684="PT Refused"),"Yes","No"))</f>
        <v/>
      </c>
      <c r="L684" s="14" t="n"/>
      <c r="M684" s="14" t="n"/>
      <c r="N684" s="15">
        <f>IF($D684="","",IF($M684="Excused","No",IF(AND($G684="PT Modified",$L684="Received"),"No","Yes")))</f>
        <v/>
      </c>
      <c r="O684" s="14" t="n"/>
    </row>
    <row r="685">
      <c r="B685" s="15">
        <f>IF($D685="","","A"&amp;TEXT(ROW()-5,"000"))</f>
        <v/>
      </c>
      <c r="C685" s="16" t="n"/>
      <c r="D685" s="14" t="n"/>
      <c r="E685" s="15">
        <f>IF($D685="","",IFERROR(INDEX(rngCadetPIDs,MATCH($D685,rngCadetNames,0)),"?"))</f>
        <v/>
      </c>
      <c r="F685" s="15">
        <f>IF($E685="","",IFERROR(INDEX(nrCadetAgency,MATCH($E685,rngCadetPIDs,0)),""))</f>
        <v/>
      </c>
      <c r="G685" s="14" t="n"/>
      <c r="H685" s="14" t="n"/>
      <c r="I685" s="14" t="n"/>
      <c r="J685" s="14" t="n"/>
      <c r="K685" s="15">
        <f>IF($G685="","",IF(OR($G685="PT Missed",$G685="PT Modified",$G685="PT Refused"),"Yes","No"))</f>
        <v/>
      </c>
      <c r="L685" s="14" t="n"/>
      <c r="M685" s="14" t="n"/>
      <c r="N685" s="15">
        <f>IF($D685="","",IF($M685="Excused","No",IF(AND($G685="PT Modified",$L685="Received"),"No","Yes")))</f>
        <v/>
      </c>
      <c r="O685" s="14" t="n"/>
    </row>
    <row r="686">
      <c r="B686" s="15">
        <f>IF($D686="","","A"&amp;TEXT(ROW()-5,"000"))</f>
        <v/>
      </c>
      <c r="C686" s="16" t="n"/>
      <c r="D686" s="14" t="n"/>
      <c r="E686" s="15">
        <f>IF($D686="","",IFERROR(INDEX(rngCadetPIDs,MATCH($D686,rngCadetNames,0)),"?"))</f>
        <v/>
      </c>
      <c r="F686" s="15">
        <f>IF($E686="","",IFERROR(INDEX(nrCadetAgency,MATCH($E686,rngCadetPIDs,0)),""))</f>
        <v/>
      </c>
      <c r="G686" s="14" t="n"/>
      <c r="H686" s="14" t="n"/>
      <c r="I686" s="14" t="n"/>
      <c r="J686" s="14" t="n"/>
      <c r="K686" s="15">
        <f>IF($G686="","",IF(OR($G686="PT Missed",$G686="PT Modified",$G686="PT Refused"),"Yes","No"))</f>
        <v/>
      </c>
      <c r="L686" s="14" t="n"/>
      <c r="M686" s="14" t="n"/>
      <c r="N686" s="15">
        <f>IF($D686="","",IF($M686="Excused","No",IF(AND($G686="PT Modified",$L686="Received"),"No","Yes")))</f>
        <v/>
      </c>
      <c r="O686" s="14" t="n"/>
    </row>
    <row r="687">
      <c r="B687" s="15">
        <f>IF($D687="","","A"&amp;TEXT(ROW()-5,"000"))</f>
        <v/>
      </c>
      <c r="C687" s="16" t="n"/>
      <c r="D687" s="14" t="n"/>
      <c r="E687" s="15">
        <f>IF($D687="","",IFERROR(INDEX(rngCadetPIDs,MATCH($D687,rngCadetNames,0)),"?"))</f>
        <v/>
      </c>
      <c r="F687" s="15">
        <f>IF($E687="","",IFERROR(INDEX(nrCadetAgency,MATCH($E687,rngCadetPIDs,0)),""))</f>
        <v/>
      </c>
      <c r="G687" s="14" t="n"/>
      <c r="H687" s="14" t="n"/>
      <c r="I687" s="14" t="n"/>
      <c r="J687" s="14" t="n"/>
      <c r="K687" s="15">
        <f>IF($G687="","",IF(OR($G687="PT Missed",$G687="PT Modified",$G687="PT Refused"),"Yes","No"))</f>
        <v/>
      </c>
      <c r="L687" s="14" t="n"/>
      <c r="M687" s="14" t="n"/>
      <c r="N687" s="15">
        <f>IF($D687="","",IF($M687="Excused","No",IF(AND($G687="PT Modified",$L687="Received"),"No","Yes")))</f>
        <v/>
      </c>
      <c r="O687" s="14" t="n"/>
    </row>
    <row r="688">
      <c r="B688" s="15">
        <f>IF($D688="","","A"&amp;TEXT(ROW()-5,"000"))</f>
        <v/>
      </c>
      <c r="C688" s="16" t="n"/>
      <c r="D688" s="14" t="n"/>
      <c r="E688" s="15">
        <f>IF($D688="","",IFERROR(INDEX(rngCadetPIDs,MATCH($D688,rngCadetNames,0)),"?"))</f>
        <v/>
      </c>
      <c r="F688" s="15">
        <f>IF($E688="","",IFERROR(INDEX(nrCadetAgency,MATCH($E688,rngCadetPIDs,0)),""))</f>
        <v/>
      </c>
      <c r="G688" s="14" t="n"/>
      <c r="H688" s="14" t="n"/>
      <c r="I688" s="14" t="n"/>
      <c r="J688" s="14" t="n"/>
      <c r="K688" s="15">
        <f>IF($G688="","",IF(OR($G688="PT Missed",$G688="PT Modified",$G688="PT Refused"),"Yes","No"))</f>
        <v/>
      </c>
      <c r="L688" s="14" t="n"/>
      <c r="M688" s="14" t="n"/>
      <c r="N688" s="15">
        <f>IF($D688="","",IF($M688="Excused","No",IF(AND($G688="PT Modified",$L688="Received"),"No","Yes")))</f>
        <v/>
      </c>
      <c r="O688" s="14" t="n"/>
    </row>
    <row r="689">
      <c r="B689" s="15">
        <f>IF($D689="","","A"&amp;TEXT(ROW()-5,"000"))</f>
        <v/>
      </c>
      <c r="C689" s="16" t="n"/>
      <c r="D689" s="14" t="n"/>
      <c r="E689" s="15">
        <f>IF($D689="","",IFERROR(INDEX(rngCadetPIDs,MATCH($D689,rngCadetNames,0)),"?"))</f>
        <v/>
      </c>
      <c r="F689" s="15">
        <f>IF($E689="","",IFERROR(INDEX(nrCadetAgency,MATCH($E689,rngCadetPIDs,0)),""))</f>
        <v/>
      </c>
      <c r="G689" s="14" t="n"/>
      <c r="H689" s="14" t="n"/>
      <c r="I689" s="14" t="n"/>
      <c r="J689" s="14" t="n"/>
      <c r="K689" s="15">
        <f>IF($G689="","",IF(OR($G689="PT Missed",$G689="PT Modified",$G689="PT Refused"),"Yes","No"))</f>
        <v/>
      </c>
      <c r="L689" s="14" t="n"/>
      <c r="M689" s="14" t="n"/>
      <c r="N689" s="15">
        <f>IF($D689="","",IF($M689="Excused","No",IF(AND($G689="PT Modified",$L689="Received"),"No","Yes")))</f>
        <v/>
      </c>
      <c r="O689" s="14" t="n"/>
    </row>
    <row r="690">
      <c r="B690" s="15">
        <f>IF($D690="","","A"&amp;TEXT(ROW()-5,"000"))</f>
        <v/>
      </c>
      <c r="C690" s="16" t="n"/>
      <c r="D690" s="14" t="n"/>
      <c r="E690" s="15">
        <f>IF($D690="","",IFERROR(INDEX(rngCadetPIDs,MATCH($D690,rngCadetNames,0)),"?"))</f>
        <v/>
      </c>
      <c r="F690" s="15">
        <f>IF($E690="","",IFERROR(INDEX(nrCadetAgency,MATCH($E690,rngCadetPIDs,0)),""))</f>
        <v/>
      </c>
      <c r="G690" s="14" t="n"/>
      <c r="H690" s="14" t="n"/>
      <c r="I690" s="14" t="n"/>
      <c r="J690" s="14" t="n"/>
      <c r="K690" s="15">
        <f>IF($G690="","",IF(OR($G690="PT Missed",$G690="PT Modified",$G690="PT Refused"),"Yes","No"))</f>
        <v/>
      </c>
      <c r="L690" s="14" t="n"/>
      <c r="M690" s="14" t="n"/>
      <c r="N690" s="15">
        <f>IF($D690="","",IF($M690="Excused","No",IF(AND($G690="PT Modified",$L690="Received"),"No","Yes")))</f>
        <v/>
      </c>
      <c r="O690" s="14" t="n"/>
    </row>
    <row r="691">
      <c r="B691" s="15">
        <f>IF($D691="","","A"&amp;TEXT(ROW()-5,"000"))</f>
        <v/>
      </c>
      <c r="C691" s="16" t="n"/>
      <c r="D691" s="14" t="n"/>
      <c r="E691" s="15">
        <f>IF($D691="","",IFERROR(INDEX(rngCadetPIDs,MATCH($D691,rngCadetNames,0)),"?"))</f>
        <v/>
      </c>
      <c r="F691" s="15">
        <f>IF($E691="","",IFERROR(INDEX(nrCadetAgency,MATCH($E691,rngCadetPIDs,0)),""))</f>
        <v/>
      </c>
      <c r="G691" s="14" t="n"/>
      <c r="H691" s="14" t="n"/>
      <c r="I691" s="14" t="n"/>
      <c r="J691" s="14" t="n"/>
      <c r="K691" s="15">
        <f>IF($G691="","",IF(OR($G691="PT Missed",$G691="PT Modified",$G691="PT Refused"),"Yes","No"))</f>
        <v/>
      </c>
      <c r="L691" s="14" t="n"/>
      <c r="M691" s="14" t="n"/>
      <c r="N691" s="15">
        <f>IF($D691="","",IF($M691="Excused","No",IF(AND($G691="PT Modified",$L691="Received"),"No","Yes")))</f>
        <v/>
      </c>
      <c r="O691" s="14" t="n"/>
    </row>
    <row r="692">
      <c r="B692" s="15">
        <f>IF($D692="","","A"&amp;TEXT(ROW()-5,"000"))</f>
        <v/>
      </c>
      <c r="C692" s="16" t="n"/>
      <c r="D692" s="14" t="n"/>
      <c r="E692" s="15">
        <f>IF($D692="","",IFERROR(INDEX(rngCadetPIDs,MATCH($D692,rngCadetNames,0)),"?"))</f>
        <v/>
      </c>
      <c r="F692" s="15">
        <f>IF($E692="","",IFERROR(INDEX(nrCadetAgency,MATCH($E692,rngCadetPIDs,0)),""))</f>
        <v/>
      </c>
      <c r="G692" s="14" t="n"/>
      <c r="H692" s="14" t="n"/>
      <c r="I692" s="14" t="n"/>
      <c r="J692" s="14" t="n"/>
      <c r="K692" s="15">
        <f>IF($G692="","",IF(OR($G692="PT Missed",$G692="PT Modified",$G692="PT Refused"),"Yes","No"))</f>
        <v/>
      </c>
      <c r="L692" s="14" t="n"/>
      <c r="M692" s="14" t="n"/>
      <c r="N692" s="15">
        <f>IF($D692="","",IF($M692="Excused","No",IF(AND($G692="PT Modified",$L692="Received"),"No","Yes")))</f>
        <v/>
      </c>
      <c r="O692" s="14" t="n"/>
    </row>
    <row r="693">
      <c r="B693" s="15">
        <f>IF($D693="","","A"&amp;TEXT(ROW()-5,"000"))</f>
        <v/>
      </c>
      <c r="C693" s="16" t="n"/>
      <c r="D693" s="14" t="n"/>
      <c r="E693" s="15">
        <f>IF($D693="","",IFERROR(INDEX(rngCadetPIDs,MATCH($D693,rngCadetNames,0)),"?"))</f>
        <v/>
      </c>
      <c r="F693" s="15">
        <f>IF($E693="","",IFERROR(INDEX(nrCadetAgency,MATCH($E693,rngCadetPIDs,0)),""))</f>
        <v/>
      </c>
      <c r="G693" s="14" t="n"/>
      <c r="H693" s="14" t="n"/>
      <c r="I693" s="14" t="n"/>
      <c r="J693" s="14" t="n"/>
      <c r="K693" s="15">
        <f>IF($G693="","",IF(OR($G693="PT Missed",$G693="PT Modified",$G693="PT Refused"),"Yes","No"))</f>
        <v/>
      </c>
      <c r="L693" s="14" t="n"/>
      <c r="M693" s="14" t="n"/>
      <c r="N693" s="15">
        <f>IF($D693="","",IF($M693="Excused","No",IF(AND($G693="PT Modified",$L693="Received"),"No","Yes")))</f>
        <v/>
      </c>
      <c r="O693" s="14" t="n"/>
    </row>
    <row r="694">
      <c r="B694" s="15">
        <f>IF($D694="","","A"&amp;TEXT(ROW()-5,"000"))</f>
        <v/>
      </c>
      <c r="C694" s="16" t="n"/>
      <c r="D694" s="14" t="n"/>
      <c r="E694" s="15">
        <f>IF($D694="","",IFERROR(INDEX(rngCadetPIDs,MATCH($D694,rngCadetNames,0)),"?"))</f>
        <v/>
      </c>
      <c r="F694" s="15">
        <f>IF($E694="","",IFERROR(INDEX(nrCadetAgency,MATCH($E694,rngCadetPIDs,0)),""))</f>
        <v/>
      </c>
      <c r="G694" s="14" t="n"/>
      <c r="H694" s="14" t="n"/>
      <c r="I694" s="14" t="n"/>
      <c r="J694" s="14" t="n"/>
      <c r="K694" s="15">
        <f>IF($G694="","",IF(OR($G694="PT Missed",$G694="PT Modified",$G694="PT Refused"),"Yes","No"))</f>
        <v/>
      </c>
      <c r="L694" s="14" t="n"/>
      <c r="M694" s="14" t="n"/>
      <c r="N694" s="15">
        <f>IF($D694="","",IF($M694="Excused","No",IF(AND($G694="PT Modified",$L694="Received"),"No","Yes")))</f>
        <v/>
      </c>
      <c r="O694" s="14" t="n"/>
    </row>
    <row r="695">
      <c r="B695" s="15">
        <f>IF($D695="","","A"&amp;TEXT(ROW()-5,"000"))</f>
        <v/>
      </c>
      <c r="C695" s="16" t="n"/>
      <c r="D695" s="14" t="n"/>
      <c r="E695" s="15">
        <f>IF($D695="","",IFERROR(INDEX(rngCadetPIDs,MATCH($D695,rngCadetNames,0)),"?"))</f>
        <v/>
      </c>
      <c r="F695" s="15">
        <f>IF($E695="","",IFERROR(INDEX(nrCadetAgency,MATCH($E695,rngCadetPIDs,0)),""))</f>
        <v/>
      </c>
      <c r="G695" s="14" t="n"/>
      <c r="H695" s="14" t="n"/>
      <c r="I695" s="14" t="n"/>
      <c r="J695" s="14" t="n"/>
      <c r="K695" s="15">
        <f>IF($G695="","",IF(OR($G695="PT Missed",$G695="PT Modified",$G695="PT Refused"),"Yes","No"))</f>
        <v/>
      </c>
      <c r="L695" s="14" t="n"/>
      <c r="M695" s="14" t="n"/>
      <c r="N695" s="15">
        <f>IF($D695="","",IF($M695="Excused","No",IF(AND($G695="PT Modified",$L695="Received"),"No","Yes")))</f>
        <v/>
      </c>
      <c r="O695" s="14" t="n"/>
    </row>
    <row r="696">
      <c r="B696" s="15">
        <f>IF($D696="","","A"&amp;TEXT(ROW()-5,"000"))</f>
        <v/>
      </c>
      <c r="C696" s="16" t="n"/>
      <c r="D696" s="14" t="n"/>
      <c r="E696" s="15">
        <f>IF($D696="","",IFERROR(INDEX(rngCadetPIDs,MATCH($D696,rngCadetNames,0)),"?"))</f>
        <v/>
      </c>
      <c r="F696" s="15">
        <f>IF($E696="","",IFERROR(INDEX(nrCadetAgency,MATCH($E696,rngCadetPIDs,0)),""))</f>
        <v/>
      </c>
      <c r="G696" s="14" t="n"/>
      <c r="H696" s="14" t="n"/>
      <c r="I696" s="14" t="n"/>
      <c r="J696" s="14" t="n"/>
      <c r="K696" s="15">
        <f>IF($G696="","",IF(OR($G696="PT Missed",$G696="PT Modified",$G696="PT Refused"),"Yes","No"))</f>
        <v/>
      </c>
      <c r="L696" s="14" t="n"/>
      <c r="M696" s="14" t="n"/>
      <c r="N696" s="15">
        <f>IF($D696="","",IF($M696="Excused","No",IF(AND($G696="PT Modified",$L696="Received"),"No","Yes")))</f>
        <v/>
      </c>
      <c r="O696" s="14" t="n"/>
    </row>
    <row r="697">
      <c r="B697" s="15">
        <f>IF($D697="","","A"&amp;TEXT(ROW()-5,"000"))</f>
        <v/>
      </c>
      <c r="C697" s="16" t="n"/>
      <c r="D697" s="14" t="n"/>
      <c r="E697" s="15">
        <f>IF($D697="","",IFERROR(INDEX(rngCadetPIDs,MATCH($D697,rngCadetNames,0)),"?"))</f>
        <v/>
      </c>
      <c r="F697" s="15">
        <f>IF($E697="","",IFERROR(INDEX(nrCadetAgency,MATCH($E697,rngCadetPIDs,0)),""))</f>
        <v/>
      </c>
      <c r="G697" s="14" t="n"/>
      <c r="H697" s="14" t="n"/>
      <c r="I697" s="14" t="n"/>
      <c r="J697" s="14" t="n"/>
      <c r="K697" s="15">
        <f>IF($G697="","",IF(OR($G697="PT Missed",$G697="PT Modified",$G697="PT Refused"),"Yes","No"))</f>
        <v/>
      </c>
      <c r="L697" s="14" t="n"/>
      <c r="M697" s="14" t="n"/>
      <c r="N697" s="15">
        <f>IF($D697="","",IF($M697="Excused","No",IF(AND($G697="PT Modified",$L697="Received"),"No","Yes")))</f>
        <v/>
      </c>
      <c r="O697" s="14" t="n"/>
    </row>
    <row r="698">
      <c r="B698" s="15">
        <f>IF($D698="","","A"&amp;TEXT(ROW()-5,"000"))</f>
        <v/>
      </c>
      <c r="C698" s="16" t="n"/>
      <c r="D698" s="14" t="n"/>
      <c r="E698" s="15">
        <f>IF($D698="","",IFERROR(INDEX(rngCadetPIDs,MATCH($D698,rngCadetNames,0)),"?"))</f>
        <v/>
      </c>
      <c r="F698" s="15">
        <f>IF($E698="","",IFERROR(INDEX(nrCadetAgency,MATCH($E698,rngCadetPIDs,0)),""))</f>
        <v/>
      </c>
      <c r="G698" s="14" t="n"/>
      <c r="H698" s="14" t="n"/>
      <c r="I698" s="14" t="n"/>
      <c r="J698" s="14" t="n"/>
      <c r="K698" s="15">
        <f>IF($G698="","",IF(OR($G698="PT Missed",$G698="PT Modified",$G698="PT Refused"),"Yes","No"))</f>
        <v/>
      </c>
      <c r="L698" s="14" t="n"/>
      <c r="M698" s="14" t="n"/>
      <c r="N698" s="15">
        <f>IF($D698="","",IF($M698="Excused","No",IF(AND($G698="PT Modified",$L698="Received"),"No","Yes")))</f>
        <v/>
      </c>
      <c r="O698" s="14" t="n"/>
    </row>
    <row r="699">
      <c r="B699" s="15">
        <f>IF($D699="","","A"&amp;TEXT(ROW()-5,"000"))</f>
        <v/>
      </c>
      <c r="C699" s="16" t="n"/>
      <c r="D699" s="14" t="n"/>
      <c r="E699" s="15">
        <f>IF($D699="","",IFERROR(INDEX(rngCadetPIDs,MATCH($D699,rngCadetNames,0)),"?"))</f>
        <v/>
      </c>
      <c r="F699" s="15">
        <f>IF($E699="","",IFERROR(INDEX(nrCadetAgency,MATCH($E699,rngCadetPIDs,0)),""))</f>
        <v/>
      </c>
      <c r="G699" s="14" t="n"/>
      <c r="H699" s="14" t="n"/>
      <c r="I699" s="14" t="n"/>
      <c r="J699" s="14" t="n"/>
      <c r="K699" s="15">
        <f>IF($G699="","",IF(OR($G699="PT Missed",$G699="PT Modified",$G699="PT Refused"),"Yes","No"))</f>
        <v/>
      </c>
      <c r="L699" s="14" t="n"/>
      <c r="M699" s="14" t="n"/>
      <c r="N699" s="15">
        <f>IF($D699="","",IF($M699="Excused","No",IF(AND($G699="PT Modified",$L699="Received"),"No","Yes")))</f>
        <v/>
      </c>
      <c r="O699" s="14" t="n"/>
    </row>
    <row r="700">
      <c r="B700" s="15">
        <f>IF($D700="","","A"&amp;TEXT(ROW()-5,"000"))</f>
        <v/>
      </c>
      <c r="C700" s="16" t="n"/>
      <c r="D700" s="14" t="n"/>
      <c r="E700" s="15">
        <f>IF($D700="","",IFERROR(INDEX(rngCadetPIDs,MATCH($D700,rngCadetNames,0)),"?"))</f>
        <v/>
      </c>
      <c r="F700" s="15">
        <f>IF($E700="","",IFERROR(INDEX(nrCadetAgency,MATCH($E700,rngCadetPIDs,0)),""))</f>
        <v/>
      </c>
      <c r="G700" s="14" t="n"/>
      <c r="H700" s="14" t="n"/>
      <c r="I700" s="14" t="n"/>
      <c r="J700" s="14" t="n"/>
      <c r="K700" s="15">
        <f>IF($G700="","",IF(OR($G700="PT Missed",$G700="PT Modified",$G700="PT Refused"),"Yes","No"))</f>
        <v/>
      </c>
      <c r="L700" s="14" t="n"/>
      <c r="M700" s="14" t="n"/>
      <c r="N700" s="15">
        <f>IF($D700="","",IF($M700="Excused","No",IF(AND($G700="PT Modified",$L700="Received"),"No","Yes")))</f>
        <v/>
      </c>
      <c r="O700" s="14" t="n"/>
    </row>
    <row r="701">
      <c r="B701" s="15">
        <f>IF($D701="","","A"&amp;TEXT(ROW()-5,"000"))</f>
        <v/>
      </c>
      <c r="C701" s="16" t="n"/>
      <c r="D701" s="14" t="n"/>
      <c r="E701" s="15">
        <f>IF($D701="","",IFERROR(INDEX(rngCadetPIDs,MATCH($D701,rngCadetNames,0)),"?"))</f>
        <v/>
      </c>
      <c r="F701" s="15">
        <f>IF($E701="","",IFERROR(INDEX(nrCadetAgency,MATCH($E701,rngCadetPIDs,0)),""))</f>
        <v/>
      </c>
      <c r="G701" s="14" t="n"/>
      <c r="H701" s="14" t="n"/>
      <c r="I701" s="14" t="n"/>
      <c r="J701" s="14" t="n"/>
      <c r="K701" s="15">
        <f>IF($G701="","",IF(OR($G701="PT Missed",$G701="PT Modified",$G701="PT Refused"),"Yes","No"))</f>
        <v/>
      </c>
      <c r="L701" s="14" t="n"/>
      <c r="M701" s="14" t="n"/>
      <c r="N701" s="15">
        <f>IF($D701="","",IF($M701="Excused","No",IF(AND($G701="PT Modified",$L701="Received"),"No","Yes")))</f>
        <v/>
      </c>
      <c r="O701" s="14" t="n"/>
    </row>
    <row r="702">
      <c r="B702" s="15">
        <f>IF($D702="","","A"&amp;TEXT(ROW()-5,"000"))</f>
        <v/>
      </c>
      <c r="C702" s="16" t="n"/>
      <c r="D702" s="14" t="n"/>
      <c r="E702" s="15">
        <f>IF($D702="","",IFERROR(INDEX(rngCadetPIDs,MATCH($D702,rngCadetNames,0)),"?"))</f>
        <v/>
      </c>
      <c r="F702" s="15">
        <f>IF($E702="","",IFERROR(INDEX(nrCadetAgency,MATCH($E702,rngCadetPIDs,0)),""))</f>
        <v/>
      </c>
      <c r="G702" s="14" t="n"/>
      <c r="H702" s="14" t="n"/>
      <c r="I702" s="14" t="n"/>
      <c r="J702" s="14" t="n"/>
      <c r="K702" s="15">
        <f>IF($G702="","",IF(OR($G702="PT Missed",$G702="PT Modified",$G702="PT Refused"),"Yes","No"))</f>
        <v/>
      </c>
      <c r="L702" s="14" t="n"/>
      <c r="M702" s="14" t="n"/>
      <c r="N702" s="15">
        <f>IF($D702="","",IF($M702="Excused","No",IF(AND($G702="PT Modified",$L702="Received"),"No","Yes")))</f>
        <v/>
      </c>
      <c r="O702" s="14" t="n"/>
    </row>
    <row r="703">
      <c r="B703" s="15">
        <f>IF($D703="","","A"&amp;TEXT(ROW()-5,"000"))</f>
        <v/>
      </c>
      <c r="C703" s="16" t="n"/>
      <c r="D703" s="14" t="n"/>
      <c r="E703" s="15">
        <f>IF($D703="","",IFERROR(INDEX(rngCadetPIDs,MATCH($D703,rngCadetNames,0)),"?"))</f>
        <v/>
      </c>
      <c r="F703" s="15">
        <f>IF($E703="","",IFERROR(INDEX(nrCadetAgency,MATCH($E703,rngCadetPIDs,0)),""))</f>
        <v/>
      </c>
      <c r="G703" s="14" t="n"/>
      <c r="H703" s="14" t="n"/>
      <c r="I703" s="14" t="n"/>
      <c r="J703" s="14" t="n"/>
      <c r="K703" s="15">
        <f>IF($G703="","",IF(OR($G703="PT Missed",$G703="PT Modified",$G703="PT Refused"),"Yes","No"))</f>
        <v/>
      </c>
      <c r="L703" s="14" t="n"/>
      <c r="M703" s="14" t="n"/>
      <c r="N703" s="15">
        <f>IF($D703="","",IF($M703="Excused","No",IF(AND($G703="PT Modified",$L703="Received"),"No","Yes")))</f>
        <v/>
      </c>
      <c r="O703" s="14" t="n"/>
    </row>
    <row r="704">
      <c r="B704" s="15">
        <f>IF($D704="","","A"&amp;TEXT(ROW()-5,"000"))</f>
        <v/>
      </c>
      <c r="C704" s="16" t="n"/>
      <c r="D704" s="14" t="n"/>
      <c r="E704" s="15">
        <f>IF($D704="","",IFERROR(INDEX(rngCadetPIDs,MATCH($D704,rngCadetNames,0)),"?"))</f>
        <v/>
      </c>
      <c r="F704" s="15">
        <f>IF($E704="","",IFERROR(INDEX(nrCadetAgency,MATCH($E704,rngCadetPIDs,0)),""))</f>
        <v/>
      </c>
      <c r="G704" s="14" t="n"/>
      <c r="H704" s="14" t="n"/>
      <c r="I704" s="14" t="n"/>
      <c r="J704" s="14" t="n"/>
      <c r="K704" s="15">
        <f>IF($G704="","",IF(OR($G704="PT Missed",$G704="PT Modified",$G704="PT Refused"),"Yes","No"))</f>
        <v/>
      </c>
      <c r="L704" s="14" t="n"/>
      <c r="M704" s="14" t="n"/>
      <c r="N704" s="15">
        <f>IF($D704="","",IF($M704="Excused","No",IF(AND($G704="PT Modified",$L704="Received"),"No","Yes")))</f>
        <v/>
      </c>
      <c r="O704" s="14" t="n"/>
    </row>
    <row r="705">
      <c r="B705" s="15">
        <f>IF($D705="","","A"&amp;TEXT(ROW()-5,"000"))</f>
        <v/>
      </c>
      <c r="C705" s="16" t="n"/>
      <c r="D705" s="14" t="n"/>
      <c r="E705" s="15">
        <f>IF($D705="","",IFERROR(INDEX(rngCadetPIDs,MATCH($D705,rngCadetNames,0)),"?"))</f>
        <v/>
      </c>
      <c r="F705" s="15">
        <f>IF($E705="","",IFERROR(INDEX(nrCadetAgency,MATCH($E705,rngCadetPIDs,0)),""))</f>
        <v/>
      </c>
      <c r="G705" s="14" t="n"/>
      <c r="H705" s="14" t="n"/>
      <c r="I705" s="14" t="n"/>
      <c r="J705" s="14" t="n"/>
      <c r="K705" s="15">
        <f>IF($G705="","",IF(OR($G705="PT Missed",$G705="PT Modified",$G705="PT Refused"),"Yes","No"))</f>
        <v/>
      </c>
      <c r="L705" s="14" t="n"/>
      <c r="M705" s="14" t="n"/>
      <c r="N705" s="15">
        <f>IF($D705="","",IF($M705="Excused","No",IF(AND($G705="PT Modified",$L705="Received"),"No","Yes")))</f>
        <v/>
      </c>
      <c r="O705" s="14" t="n"/>
    </row>
    <row r="706">
      <c r="B706" s="15">
        <f>IF($D706="","","A"&amp;TEXT(ROW()-5,"000"))</f>
        <v/>
      </c>
      <c r="C706" s="16" t="n"/>
      <c r="D706" s="14" t="n"/>
      <c r="E706" s="15">
        <f>IF($D706="","",IFERROR(INDEX(rngCadetPIDs,MATCH($D706,rngCadetNames,0)),"?"))</f>
        <v/>
      </c>
      <c r="F706" s="15">
        <f>IF($E706="","",IFERROR(INDEX(nrCadetAgency,MATCH($E706,rngCadetPIDs,0)),""))</f>
        <v/>
      </c>
      <c r="G706" s="14" t="n"/>
      <c r="H706" s="14" t="n"/>
      <c r="I706" s="14" t="n"/>
      <c r="J706" s="14" t="n"/>
      <c r="K706" s="15">
        <f>IF($G706="","",IF(OR($G706="PT Missed",$G706="PT Modified",$G706="PT Refused"),"Yes","No"))</f>
        <v/>
      </c>
      <c r="L706" s="14" t="n"/>
      <c r="M706" s="14" t="n"/>
      <c r="N706" s="15">
        <f>IF($D706="","",IF($M706="Excused","No",IF(AND($G706="PT Modified",$L706="Received"),"No","Yes")))</f>
        <v/>
      </c>
      <c r="O706" s="14" t="n"/>
    </row>
    <row r="707">
      <c r="B707" s="15">
        <f>IF($D707="","","A"&amp;TEXT(ROW()-5,"000"))</f>
        <v/>
      </c>
      <c r="C707" s="16" t="n"/>
      <c r="D707" s="14" t="n"/>
      <c r="E707" s="15">
        <f>IF($D707="","",IFERROR(INDEX(rngCadetPIDs,MATCH($D707,rngCadetNames,0)),"?"))</f>
        <v/>
      </c>
      <c r="F707" s="15">
        <f>IF($E707="","",IFERROR(INDEX(nrCadetAgency,MATCH($E707,rngCadetPIDs,0)),""))</f>
        <v/>
      </c>
      <c r="G707" s="14" t="n"/>
      <c r="H707" s="14" t="n"/>
      <c r="I707" s="14" t="n"/>
      <c r="J707" s="14" t="n"/>
      <c r="K707" s="15">
        <f>IF($G707="","",IF(OR($G707="PT Missed",$G707="PT Modified",$G707="PT Refused"),"Yes","No"))</f>
        <v/>
      </c>
      <c r="L707" s="14" t="n"/>
      <c r="M707" s="14" t="n"/>
      <c r="N707" s="15">
        <f>IF($D707="","",IF($M707="Excused","No",IF(AND($G707="PT Modified",$L707="Received"),"No","Yes")))</f>
        <v/>
      </c>
      <c r="O707" s="14" t="n"/>
    </row>
    <row r="708">
      <c r="B708" s="15">
        <f>IF($D708="","","A"&amp;TEXT(ROW()-5,"000"))</f>
        <v/>
      </c>
      <c r="C708" s="16" t="n"/>
      <c r="D708" s="14" t="n"/>
      <c r="E708" s="15">
        <f>IF($D708="","",IFERROR(INDEX(rngCadetPIDs,MATCH($D708,rngCadetNames,0)),"?"))</f>
        <v/>
      </c>
      <c r="F708" s="15">
        <f>IF($E708="","",IFERROR(INDEX(nrCadetAgency,MATCH($E708,rngCadetPIDs,0)),""))</f>
        <v/>
      </c>
      <c r="G708" s="14" t="n"/>
      <c r="H708" s="14" t="n"/>
      <c r="I708" s="14" t="n"/>
      <c r="J708" s="14" t="n"/>
      <c r="K708" s="15">
        <f>IF($G708="","",IF(OR($G708="PT Missed",$G708="PT Modified",$G708="PT Refused"),"Yes","No"))</f>
        <v/>
      </c>
      <c r="L708" s="14" t="n"/>
      <c r="M708" s="14" t="n"/>
      <c r="N708" s="15">
        <f>IF($D708="","",IF($M708="Excused","No",IF(AND($G708="PT Modified",$L708="Received"),"No","Yes")))</f>
        <v/>
      </c>
      <c r="O708" s="14" t="n"/>
    </row>
    <row r="709">
      <c r="B709" s="15">
        <f>IF($D709="","","A"&amp;TEXT(ROW()-5,"000"))</f>
        <v/>
      </c>
      <c r="C709" s="16" t="n"/>
      <c r="D709" s="14" t="n"/>
      <c r="E709" s="15">
        <f>IF($D709="","",IFERROR(INDEX(rngCadetPIDs,MATCH($D709,rngCadetNames,0)),"?"))</f>
        <v/>
      </c>
      <c r="F709" s="15">
        <f>IF($E709="","",IFERROR(INDEX(nrCadetAgency,MATCH($E709,rngCadetPIDs,0)),""))</f>
        <v/>
      </c>
      <c r="G709" s="14" t="n"/>
      <c r="H709" s="14" t="n"/>
      <c r="I709" s="14" t="n"/>
      <c r="J709" s="14" t="n"/>
      <c r="K709" s="15">
        <f>IF($G709="","",IF(OR($G709="PT Missed",$G709="PT Modified",$G709="PT Refused"),"Yes","No"))</f>
        <v/>
      </c>
      <c r="L709" s="14" t="n"/>
      <c r="M709" s="14" t="n"/>
      <c r="N709" s="15">
        <f>IF($D709="","",IF($M709="Excused","No",IF(AND($G709="PT Modified",$L709="Received"),"No","Yes")))</f>
        <v/>
      </c>
      <c r="O709" s="14" t="n"/>
    </row>
    <row r="710">
      <c r="B710" s="15">
        <f>IF($D710="","","A"&amp;TEXT(ROW()-5,"000"))</f>
        <v/>
      </c>
      <c r="C710" s="16" t="n"/>
      <c r="D710" s="14" t="n"/>
      <c r="E710" s="15">
        <f>IF($D710="","",IFERROR(INDEX(rngCadetPIDs,MATCH($D710,rngCadetNames,0)),"?"))</f>
        <v/>
      </c>
      <c r="F710" s="15">
        <f>IF($E710="","",IFERROR(INDEX(nrCadetAgency,MATCH($E710,rngCadetPIDs,0)),""))</f>
        <v/>
      </c>
      <c r="G710" s="14" t="n"/>
      <c r="H710" s="14" t="n"/>
      <c r="I710" s="14" t="n"/>
      <c r="J710" s="14" t="n"/>
      <c r="K710" s="15">
        <f>IF($G710="","",IF(OR($G710="PT Missed",$G710="PT Modified",$G710="PT Refused"),"Yes","No"))</f>
        <v/>
      </c>
      <c r="L710" s="14" t="n"/>
      <c r="M710" s="14" t="n"/>
      <c r="N710" s="15">
        <f>IF($D710="","",IF($M710="Excused","No",IF(AND($G710="PT Modified",$L710="Received"),"No","Yes")))</f>
        <v/>
      </c>
      <c r="O710" s="14" t="n"/>
    </row>
    <row r="711">
      <c r="B711" s="15">
        <f>IF($D711="","","A"&amp;TEXT(ROW()-5,"000"))</f>
        <v/>
      </c>
      <c r="C711" s="16" t="n"/>
      <c r="D711" s="14" t="n"/>
      <c r="E711" s="15">
        <f>IF($D711="","",IFERROR(INDEX(rngCadetPIDs,MATCH($D711,rngCadetNames,0)),"?"))</f>
        <v/>
      </c>
      <c r="F711" s="15">
        <f>IF($E711="","",IFERROR(INDEX(nrCadetAgency,MATCH($E711,rngCadetPIDs,0)),""))</f>
        <v/>
      </c>
      <c r="G711" s="14" t="n"/>
      <c r="H711" s="14" t="n"/>
      <c r="I711" s="14" t="n"/>
      <c r="J711" s="14" t="n"/>
      <c r="K711" s="15">
        <f>IF($G711="","",IF(OR($G711="PT Missed",$G711="PT Modified",$G711="PT Refused"),"Yes","No"))</f>
        <v/>
      </c>
      <c r="L711" s="14" t="n"/>
      <c r="M711" s="14" t="n"/>
      <c r="N711" s="15">
        <f>IF($D711="","",IF($M711="Excused","No",IF(AND($G711="PT Modified",$L711="Received"),"No","Yes")))</f>
        <v/>
      </c>
      <c r="O711" s="14" t="n"/>
    </row>
    <row r="712">
      <c r="B712" s="15">
        <f>IF($D712="","","A"&amp;TEXT(ROW()-5,"000"))</f>
        <v/>
      </c>
      <c r="C712" s="16" t="n"/>
      <c r="D712" s="14" t="n"/>
      <c r="E712" s="15">
        <f>IF($D712="","",IFERROR(INDEX(rngCadetPIDs,MATCH($D712,rngCadetNames,0)),"?"))</f>
        <v/>
      </c>
      <c r="F712" s="15">
        <f>IF($E712="","",IFERROR(INDEX(nrCadetAgency,MATCH($E712,rngCadetPIDs,0)),""))</f>
        <v/>
      </c>
      <c r="G712" s="14" t="n"/>
      <c r="H712" s="14" t="n"/>
      <c r="I712" s="14" t="n"/>
      <c r="J712" s="14" t="n"/>
      <c r="K712" s="15">
        <f>IF($G712="","",IF(OR($G712="PT Missed",$G712="PT Modified",$G712="PT Refused"),"Yes","No"))</f>
        <v/>
      </c>
      <c r="L712" s="14" t="n"/>
      <c r="M712" s="14" t="n"/>
      <c r="N712" s="15">
        <f>IF($D712="","",IF($M712="Excused","No",IF(AND($G712="PT Modified",$L712="Received"),"No","Yes")))</f>
        <v/>
      </c>
      <c r="O712" s="14" t="n"/>
    </row>
    <row r="713">
      <c r="B713" s="15">
        <f>IF($D713="","","A"&amp;TEXT(ROW()-5,"000"))</f>
        <v/>
      </c>
      <c r="C713" s="16" t="n"/>
      <c r="D713" s="14" t="n"/>
      <c r="E713" s="15">
        <f>IF($D713="","",IFERROR(INDEX(rngCadetPIDs,MATCH($D713,rngCadetNames,0)),"?"))</f>
        <v/>
      </c>
      <c r="F713" s="15">
        <f>IF($E713="","",IFERROR(INDEX(nrCadetAgency,MATCH($E713,rngCadetPIDs,0)),""))</f>
        <v/>
      </c>
      <c r="G713" s="14" t="n"/>
      <c r="H713" s="14" t="n"/>
      <c r="I713" s="14" t="n"/>
      <c r="J713" s="14" t="n"/>
      <c r="K713" s="15">
        <f>IF($G713="","",IF(OR($G713="PT Missed",$G713="PT Modified",$G713="PT Refused"),"Yes","No"))</f>
        <v/>
      </c>
      <c r="L713" s="14" t="n"/>
      <c r="M713" s="14" t="n"/>
      <c r="N713" s="15">
        <f>IF($D713="","",IF($M713="Excused","No",IF(AND($G713="PT Modified",$L713="Received"),"No","Yes")))</f>
        <v/>
      </c>
      <c r="O713" s="14" t="n"/>
    </row>
    <row r="714">
      <c r="B714" s="15">
        <f>IF($D714="","","A"&amp;TEXT(ROW()-5,"000"))</f>
        <v/>
      </c>
      <c r="C714" s="16" t="n"/>
      <c r="D714" s="14" t="n"/>
      <c r="E714" s="15">
        <f>IF($D714="","",IFERROR(INDEX(rngCadetPIDs,MATCH($D714,rngCadetNames,0)),"?"))</f>
        <v/>
      </c>
      <c r="F714" s="15">
        <f>IF($E714="","",IFERROR(INDEX(nrCadetAgency,MATCH($E714,rngCadetPIDs,0)),""))</f>
        <v/>
      </c>
      <c r="G714" s="14" t="n"/>
      <c r="H714" s="14" t="n"/>
      <c r="I714" s="14" t="n"/>
      <c r="J714" s="14" t="n"/>
      <c r="K714" s="15">
        <f>IF($G714="","",IF(OR($G714="PT Missed",$G714="PT Modified",$G714="PT Refused"),"Yes","No"))</f>
        <v/>
      </c>
      <c r="L714" s="14" t="n"/>
      <c r="M714" s="14" t="n"/>
      <c r="N714" s="15">
        <f>IF($D714="","",IF($M714="Excused","No",IF(AND($G714="PT Modified",$L714="Received"),"No","Yes")))</f>
        <v/>
      </c>
      <c r="O714" s="14" t="n"/>
    </row>
    <row r="715">
      <c r="B715" s="15">
        <f>IF($D715="","","A"&amp;TEXT(ROW()-5,"000"))</f>
        <v/>
      </c>
      <c r="C715" s="16" t="n"/>
      <c r="D715" s="14" t="n"/>
      <c r="E715" s="15">
        <f>IF($D715="","",IFERROR(INDEX(rngCadetPIDs,MATCH($D715,rngCadetNames,0)),"?"))</f>
        <v/>
      </c>
      <c r="F715" s="15">
        <f>IF($E715="","",IFERROR(INDEX(nrCadetAgency,MATCH($E715,rngCadetPIDs,0)),""))</f>
        <v/>
      </c>
      <c r="G715" s="14" t="n"/>
      <c r="H715" s="14" t="n"/>
      <c r="I715" s="14" t="n"/>
      <c r="J715" s="14" t="n"/>
      <c r="K715" s="15">
        <f>IF($G715="","",IF(OR($G715="PT Missed",$G715="PT Modified",$G715="PT Refused"),"Yes","No"))</f>
        <v/>
      </c>
      <c r="L715" s="14" t="n"/>
      <c r="M715" s="14" t="n"/>
      <c r="N715" s="15">
        <f>IF($D715="","",IF($M715="Excused","No",IF(AND($G715="PT Modified",$L715="Received"),"No","Yes")))</f>
        <v/>
      </c>
      <c r="O715" s="14" t="n"/>
    </row>
    <row r="716">
      <c r="B716" s="15">
        <f>IF($D716="","","A"&amp;TEXT(ROW()-5,"000"))</f>
        <v/>
      </c>
      <c r="C716" s="16" t="n"/>
      <c r="D716" s="14" t="n"/>
      <c r="E716" s="15">
        <f>IF($D716="","",IFERROR(INDEX(rngCadetPIDs,MATCH($D716,rngCadetNames,0)),"?"))</f>
        <v/>
      </c>
      <c r="F716" s="15">
        <f>IF($E716="","",IFERROR(INDEX(nrCadetAgency,MATCH($E716,rngCadetPIDs,0)),""))</f>
        <v/>
      </c>
      <c r="G716" s="14" t="n"/>
      <c r="H716" s="14" t="n"/>
      <c r="I716" s="14" t="n"/>
      <c r="J716" s="14" t="n"/>
      <c r="K716" s="15">
        <f>IF($G716="","",IF(OR($G716="PT Missed",$G716="PT Modified",$G716="PT Refused"),"Yes","No"))</f>
        <v/>
      </c>
      <c r="L716" s="14" t="n"/>
      <c r="M716" s="14" t="n"/>
      <c r="N716" s="15">
        <f>IF($D716="","",IF($M716="Excused","No",IF(AND($G716="PT Modified",$L716="Received"),"No","Yes")))</f>
        <v/>
      </c>
      <c r="O716" s="14" t="n"/>
    </row>
    <row r="717">
      <c r="B717" s="15">
        <f>IF($D717="","","A"&amp;TEXT(ROW()-5,"000"))</f>
        <v/>
      </c>
      <c r="C717" s="16" t="n"/>
      <c r="D717" s="14" t="n"/>
      <c r="E717" s="15">
        <f>IF($D717="","",IFERROR(INDEX(rngCadetPIDs,MATCH($D717,rngCadetNames,0)),"?"))</f>
        <v/>
      </c>
      <c r="F717" s="15">
        <f>IF($E717="","",IFERROR(INDEX(nrCadetAgency,MATCH($E717,rngCadetPIDs,0)),""))</f>
        <v/>
      </c>
      <c r="G717" s="14" t="n"/>
      <c r="H717" s="14" t="n"/>
      <c r="I717" s="14" t="n"/>
      <c r="J717" s="14" t="n"/>
      <c r="K717" s="15">
        <f>IF($G717="","",IF(OR($G717="PT Missed",$G717="PT Modified",$G717="PT Refused"),"Yes","No"))</f>
        <v/>
      </c>
      <c r="L717" s="14" t="n"/>
      <c r="M717" s="14" t="n"/>
      <c r="N717" s="15">
        <f>IF($D717="","",IF($M717="Excused","No",IF(AND($G717="PT Modified",$L717="Received"),"No","Yes")))</f>
        <v/>
      </c>
      <c r="O717" s="14" t="n"/>
    </row>
    <row r="718">
      <c r="B718" s="15">
        <f>IF($D718="","","A"&amp;TEXT(ROW()-5,"000"))</f>
        <v/>
      </c>
      <c r="C718" s="16" t="n"/>
      <c r="D718" s="14" t="n"/>
      <c r="E718" s="15">
        <f>IF($D718="","",IFERROR(INDEX(rngCadetPIDs,MATCH($D718,rngCadetNames,0)),"?"))</f>
        <v/>
      </c>
      <c r="F718" s="15">
        <f>IF($E718="","",IFERROR(INDEX(nrCadetAgency,MATCH($E718,rngCadetPIDs,0)),""))</f>
        <v/>
      </c>
      <c r="G718" s="14" t="n"/>
      <c r="H718" s="14" t="n"/>
      <c r="I718" s="14" t="n"/>
      <c r="J718" s="14" t="n"/>
      <c r="K718" s="15">
        <f>IF($G718="","",IF(OR($G718="PT Missed",$G718="PT Modified",$G718="PT Refused"),"Yes","No"))</f>
        <v/>
      </c>
      <c r="L718" s="14" t="n"/>
      <c r="M718" s="14" t="n"/>
      <c r="N718" s="15">
        <f>IF($D718="","",IF($M718="Excused","No",IF(AND($G718="PT Modified",$L718="Received"),"No","Yes")))</f>
        <v/>
      </c>
      <c r="O718" s="14" t="n"/>
    </row>
    <row r="719">
      <c r="B719" s="15">
        <f>IF($D719="","","A"&amp;TEXT(ROW()-5,"000"))</f>
        <v/>
      </c>
      <c r="C719" s="16" t="n"/>
      <c r="D719" s="14" t="n"/>
      <c r="E719" s="15">
        <f>IF($D719="","",IFERROR(INDEX(rngCadetPIDs,MATCH($D719,rngCadetNames,0)),"?"))</f>
        <v/>
      </c>
      <c r="F719" s="15">
        <f>IF($E719="","",IFERROR(INDEX(nrCadetAgency,MATCH($E719,rngCadetPIDs,0)),""))</f>
        <v/>
      </c>
      <c r="G719" s="14" t="n"/>
      <c r="H719" s="14" t="n"/>
      <c r="I719" s="14" t="n"/>
      <c r="J719" s="14" t="n"/>
      <c r="K719" s="15">
        <f>IF($G719="","",IF(OR($G719="PT Missed",$G719="PT Modified",$G719="PT Refused"),"Yes","No"))</f>
        <v/>
      </c>
      <c r="L719" s="14" t="n"/>
      <c r="M719" s="14" t="n"/>
      <c r="N719" s="15">
        <f>IF($D719="","",IF($M719="Excused","No",IF(AND($G719="PT Modified",$L719="Received"),"No","Yes")))</f>
        <v/>
      </c>
      <c r="O719" s="14" t="n"/>
    </row>
    <row r="720">
      <c r="B720" s="15">
        <f>IF($D720="","","A"&amp;TEXT(ROW()-5,"000"))</f>
        <v/>
      </c>
      <c r="C720" s="16" t="n"/>
      <c r="D720" s="14" t="n"/>
      <c r="E720" s="15">
        <f>IF($D720="","",IFERROR(INDEX(rngCadetPIDs,MATCH($D720,rngCadetNames,0)),"?"))</f>
        <v/>
      </c>
      <c r="F720" s="15">
        <f>IF($E720="","",IFERROR(INDEX(nrCadetAgency,MATCH($E720,rngCadetPIDs,0)),""))</f>
        <v/>
      </c>
      <c r="G720" s="14" t="n"/>
      <c r="H720" s="14" t="n"/>
      <c r="I720" s="14" t="n"/>
      <c r="J720" s="14" t="n"/>
      <c r="K720" s="15">
        <f>IF($G720="","",IF(OR($G720="PT Missed",$G720="PT Modified",$G720="PT Refused"),"Yes","No"))</f>
        <v/>
      </c>
      <c r="L720" s="14" t="n"/>
      <c r="M720" s="14" t="n"/>
      <c r="N720" s="15">
        <f>IF($D720="","",IF($M720="Excused","No",IF(AND($G720="PT Modified",$L720="Received"),"No","Yes")))</f>
        <v/>
      </c>
      <c r="O720" s="14" t="n"/>
    </row>
    <row r="721">
      <c r="B721" s="15">
        <f>IF($D721="","","A"&amp;TEXT(ROW()-5,"000"))</f>
        <v/>
      </c>
      <c r="C721" s="16" t="n"/>
      <c r="D721" s="14" t="n"/>
      <c r="E721" s="15">
        <f>IF($D721="","",IFERROR(INDEX(rngCadetPIDs,MATCH($D721,rngCadetNames,0)),"?"))</f>
        <v/>
      </c>
      <c r="F721" s="15">
        <f>IF($E721="","",IFERROR(INDEX(nrCadetAgency,MATCH($E721,rngCadetPIDs,0)),""))</f>
        <v/>
      </c>
      <c r="G721" s="14" t="n"/>
      <c r="H721" s="14" t="n"/>
      <c r="I721" s="14" t="n"/>
      <c r="J721" s="14" t="n"/>
      <c r="K721" s="15">
        <f>IF($G721="","",IF(OR($G721="PT Missed",$G721="PT Modified",$G721="PT Refused"),"Yes","No"))</f>
        <v/>
      </c>
      <c r="L721" s="14" t="n"/>
      <c r="M721" s="14" t="n"/>
      <c r="N721" s="15">
        <f>IF($D721="","",IF($M721="Excused","No",IF(AND($G721="PT Modified",$L721="Received"),"No","Yes")))</f>
        <v/>
      </c>
      <c r="O721" s="14" t="n"/>
    </row>
    <row r="722">
      <c r="B722" s="15">
        <f>IF($D722="","","A"&amp;TEXT(ROW()-5,"000"))</f>
        <v/>
      </c>
      <c r="C722" s="16" t="n"/>
      <c r="D722" s="14" t="n"/>
      <c r="E722" s="15">
        <f>IF($D722="","",IFERROR(INDEX(rngCadetPIDs,MATCH($D722,rngCadetNames,0)),"?"))</f>
        <v/>
      </c>
      <c r="F722" s="15">
        <f>IF($E722="","",IFERROR(INDEX(nrCadetAgency,MATCH($E722,rngCadetPIDs,0)),""))</f>
        <v/>
      </c>
      <c r="G722" s="14" t="n"/>
      <c r="H722" s="14" t="n"/>
      <c r="I722" s="14" t="n"/>
      <c r="J722" s="14" t="n"/>
      <c r="K722" s="15">
        <f>IF($G722="","",IF(OR($G722="PT Missed",$G722="PT Modified",$G722="PT Refused"),"Yes","No"))</f>
        <v/>
      </c>
      <c r="L722" s="14" t="n"/>
      <c r="M722" s="14" t="n"/>
      <c r="N722" s="15">
        <f>IF($D722="","",IF($M722="Excused","No",IF(AND($G722="PT Modified",$L722="Received"),"No","Yes")))</f>
        <v/>
      </c>
      <c r="O722" s="14" t="n"/>
    </row>
    <row r="723">
      <c r="B723" s="15">
        <f>IF($D723="","","A"&amp;TEXT(ROW()-5,"000"))</f>
        <v/>
      </c>
      <c r="C723" s="16" t="n"/>
      <c r="D723" s="14" t="n"/>
      <c r="E723" s="15">
        <f>IF($D723="","",IFERROR(INDEX(rngCadetPIDs,MATCH($D723,rngCadetNames,0)),"?"))</f>
        <v/>
      </c>
      <c r="F723" s="15">
        <f>IF($E723="","",IFERROR(INDEX(nrCadetAgency,MATCH($E723,rngCadetPIDs,0)),""))</f>
        <v/>
      </c>
      <c r="G723" s="14" t="n"/>
      <c r="H723" s="14" t="n"/>
      <c r="I723" s="14" t="n"/>
      <c r="J723" s="14" t="n"/>
      <c r="K723" s="15">
        <f>IF($G723="","",IF(OR($G723="PT Missed",$G723="PT Modified",$G723="PT Refused"),"Yes","No"))</f>
        <v/>
      </c>
      <c r="L723" s="14" t="n"/>
      <c r="M723" s="14" t="n"/>
      <c r="N723" s="15">
        <f>IF($D723="","",IF($M723="Excused","No",IF(AND($G723="PT Modified",$L723="Received"),"No","Yes")))</f>
        <v/>
      </c>
      <c r="O723" s="14" t="n"/>
    </row>
    <row r="724">
      <c r="B724" s="15">
        <f>IF($D724="","","A"&amp;TEXT(ROW()-5,"000"))</f>
        <v/>
      </c>
      <c r="C724" s="16" t="n"/>
      <c r="D724" s="14" t="n"/>
      <c r="E724" s="15">
        <f>IF($D724="","",IFERROR(INDEX(rngCadetPIDs,MATCH($D724,rngCadetNames,0)),"?"))</f>
        <v/>
      </c>
      <c r="F724" s="15">
        <f>IF($E724="","",IFERROR(INDEX(nrCadetAgency,MATCH($E724,rngCadetPIDs,0)),""))</f>
        <v/>
      </c>
      <c r="G724" s="14" t="n"/>
      <c r="H724" s="14" t="n"/>
      <c r="I724" s="14" t="n"/>
      <c r="J724" s="14" t="n"/>
      <c r="K724" s="15">
        <f>IF($G724="","",IF(OR($G724="PT Missed",$G724="PT Modified",$G724="PT Refused"),"Yes","No"))</f>
        <v/>
      </c>
      <c r="L724" s="14" t="n"/>
      <c r="M724" s="14" t="n"/>
      <c r="N724" s="15">
        <f>IF($D724="","",IF($M724="Excused","No",IF(AND($G724="PT Modified",$L724="Received"),"No","Yes")))</f>
        <v/>
      </c>
      <c r="O724" s="14" t="n"/>
    </row>
    <row r="725">
      <c r="B725" s="15">
        <f>IF($D725="","","A"&amp;TEXT(ROW()-5,"000"))</f>
        <v/>
      </c>
      <c r="C725" s="16" t="n"/>
      <c r="D725" s="14" t="n"/>
      <c r="E725" s="15">
        <f>IF($D725="","",IFERROR(INDEX(rngCadetPIDs,MATCH($D725,rngCadetNames,0)),"?"))</f>
        <v/>
      </c>
      <c r="F725" s="15">
        <f>IF($E725="","",IFERROR(INDEX(nrCadetAgency,MATCH($E725,rngCadetPIDs,0)),""))</f>
        <v/>
      </c>
      <c r="G725" s="14" t="n"/>
      <c r="H725" s="14" t="n"/>
      <c r="I725" s="14" t="n"/>
      <c r="J725" s="14" t="n"/>
      <c r="K725" s="15">
        <f>IF($G725="","",IF(OR($G725="PT Missed",$G725="PT Modified",$G725="PT Refused"),"Yes","No"))</f>
        <v/>
      </c>
      <c r="L725" s="14" t="n"/>
      <c r="M725" s="14" t="n"/>
      <c r="N725" s="15">
        <f>IF($D725="","",IF($M725="Excused","No",IF(AND($G725="PT Modified",$L725="Received"),"No","Yes")))</f>
        <v/>
      </c>
      <c r="O725" s="14" t="n"/>
    </row>
    <row r="726">
      <c r="B726" s="15">
        <f>IF($D726="","","A"&amp;TEXT(ROW()-5,"000"))</f>
        <v/>
      </c>
      <c r="C726" s="16" t="n"/>
      <c r="D726" s="14" t="n"/>
      <c r="E726" s="15">
        <f>IF($D726="","",IFERROR(INDEX(rngCadetPIDs,MATCH($D726,rngCadetNames,0)),"?"))</f>
        <v/>
      </c>
      <c r="F726" s="15">
        <f>IF($E726="","",IFERROR(INDEX(nrCadetAgency,MATCH($E726,rngCadetPIDs,0)),""))</f>
        <v/>
      </c>
      <c r="G726" s="14" t="n"/>
      <c r="H726" s="14" t="n"/>
      <c r="I726" s="14" t="n"/>
      <c r="J726" s="14" t="n"/>
      <c r="K726" s="15">
        <f>IF($G726="","",IF(OR($G726="PT Missed",$G726="PT Modified",$G726="PT Refused"),"Yes","No"))</f>
        <v/>
      </c>
      <c r="L726" s="14" t="n"/>
      <c r="M726" s="14" t="n"/>
      <c r="N726" s="15">
        <f>IF($D726="","",IF($M726="Excused","No",IF(AND($G726="PT Modified",$L726="Received"),"No","Yes")))</f>
        <v/>
      </c>
      <c r="O726" s="14" t="n"/>
    </row>
    <row r="727">
      <c r="B727" s="15">
        <f>IF($D727="","","A"&amp;TEXT(ROW()-5,"000"))</f>
        <v/>
      </c>
      <c r="C727" s="16" t="n"/>
      <c r="D727" s="14" t="n"/>
      <c r="E727" s="15">
        <f>IF($D727="","",IFERROR(INDEX(rngCadetPIDs,MATCH($D727,rngCadetNames,0)),"?"))</f>
        <v/>
      </c>
      <c r="F727" s="15">
        <f>IF($E727="","",IFERROR(INDEX(nrCadetAgency,MATCH($E727,rngCadetPIDs,0)),""))</f>
        <v/>
      </c>
      <c r="G727" s="14" t="n"/>
      <c r="H727" s="14" t="n"/>
      <c r="I727" s="14" t="n"/>
      <c r="J727" s="14" t="n"/>
      <c r="K727" s="15">
        <f>IF($G727="","",IF(OR($G727="PT Missed",$G727="PT Modified",$G727="PT Refused"),"Yes","No"))</f>
        <v/>
      </c>
      <c r="L727" s="14" t="n"/>
      <c r="M727" s="14" t="n"/>
      <c r="N727" s="15">
        <f>IF($D727="","",IF($M727="Excused","No",IF(AND($G727="PT Modified",$L727="Received"),"No","Yes")))</f>
        <v/>
      </c>
      <c r="O727" s="14" t="n"/>
    </row>
    <row r="728">
      <c r="B728" s="15">
        <f>IF($D728="","","A"&amp;TEXT(ROW()-5,"000"))</f>
        <v/>
      </c>
      <c r="C728" s="16" t="n"/>
      <c r="D728" s="14" t="n"/>
      <c r="E728" s="15">
        <f>IF($D728="","",IFERROR(INDEX(rngCadetPIDs,MATCH($D728,rngCadetNames,0)),"?"))</f>
        <v/>
      </c>
      <c r="F728" s="15">
        <f>IF($E728="","",IFERROR(INDEX(nrCadetAgency,MATCH($E728,rngCadetPIDs,0)),""))</f>
        <v/>
      </c>
      <c r="G728" s="14" t="n"/>
      <c r="H728" s="14" t="n"/>
      <c r="I728" s="14" t="n"/>
      <c r="J728" s="14" t="n"/>
      <c r="K728" s="15">
        <f>IF($G728="","",IF(OR($G728="PT Missed",$G728="PT Modified",$G728="PT Refused"),"Yes","No"))</f>
        <v/>
      </c>
      <c r="L728" s="14" t="n"/>
      <c r="M728" s="14" t="n"/>
      <c r="N728" s="15">
        <f>IF($D728="","",IF($M728="Excused","No",IF(AND($G728="PT Modified",$L728="Received"),"No","Yes")))</f>
        <v/>
      </c>
      <c r="O728" s="14" t="n"/>
    </row>
    <row r="729">
      <c r="B729" s="15">
        <f>IF($D729="","","A"&amp;TEXT(ROW()-5,"000"))</f>
        <v/>
      </c>
      <c r="C729" s="16" t="n"/>
      <c r="D729" s="14" t="n"/>
      <c r="E729" s="15">
        <f>IF($D729="","",IFERROR(INDEX(rngCadetPIDs,MATCH($D729,rngCadetNames,0)),"?"))</f>
        <v/>
      </c>
      <c r="F729" s="15">
        <f>IF($E729="","",IFERROR(INDEX(nrCadetAgency,MATCH($E729,rngCadetPIDs,0)),""))</f>
        <v/>
      </c>
      <c r="G729" s="14" t="n"/>
      <c r="H729" s="14" t="n"/>
      <c r="I729" s="14" t="n"/>
      <c r="J729" s="14" t="n"/>
      <c r="K729" s="15">
        <f>IF($G729="","",IF(OR($G729="PT Missed",$G729="PT Modified",$G729="PT Refused"),"Yes","No"))</f>
        <v/>
      </c>
      <c r="L729" s="14" t="n"/>
      <c r="M729" s="14" t="n"/>
      <c r="N729" s="15">
        <f>IF($D729="","",IF($M729="Excused","No",IF(AND($G729="PT Modified",$L729="Received"),"No","Yes")))</f>
        <v/>
      </c>
      <c r="O729" s="14" t="n"/>
    </row>
    <row r="730">
      <c r="B730" s="15">
        <f>IF($D730="","","A"&amp;TEXT(ROW()-5,"000"))</f>
        <v/>
      </c>
      <c r="C730" s="16" t="n"/>
      <c r="D730" s="14" t="n"/>
      <c r="E730" s="15">
        <f>IF($D730="","",IFERROR(INDEX(rngCadetPIDs,MATCH($D730,rngCadetNames,0)),"?"))</f>
        <v/>
      </c>
      <c r="F730" s="15">
        <f>IF($E730="","",IFERROR(INDEX(nrCadetAgency,MATCH($E730,rngCadetPIDs,0)),""))</f>
        <v/>
      </c>
      <c r="G730" s="14" t="n"/>
      <c r="H730" s="14" t="n"/>
      <c r="I730" s="14" t="n"/>
      <c r="J730" s="14" t="n"/>
      <c r="K730" s="15">
        <f>IF($G730="","",IF(OR($G730="PT Missed",$G730="PT Modified",$G730="PT Refused"),"Yes","No"))</f>
        <v/>
      </c>
      <c r="L730" s="14" t="n"/>
      <c r="M730" s="14" t="n"/>
      <c r="N730" s="15">
        <f>IF($D730="","",IF($M730="Excused","No",IF(AND($G730="PT Modified",$L730="Received"),"No","Yes")))</f>
        <v/>
      </c>
      <c r="O730" s="14" t="n"/>
    </row>
    <row r="731">
      <c r="B731" s="15">
        <f>IF($D731="","","A"&amp;TEXT(ROW()-5,"000"))</f>
        <v/>
      </c>
      <c r="C731" s="16" t="n"/>
      <c r="D731" s="14" t="n"/>
      <c r="E731" s="15">
        <f>IF($D731="","",IFERROR(INDEX(rngCadetPIDs,MATCH($D731,rngCadetNames,0)),"?"))</f>
        <v/>
      </c>
      <c r="F731" s="15">
        <f>IF($E731="","",IFERROR(INDEX(nrCadetAgency,MATCH($E731,rngCadetPIDs,0)),""))</f>
        <v/>
      </c>
      <c r="G731" s="14" t="n"/>
      <c r="H731" s="14" t="n"/>
      <c r="I731" s="14" t="n"/>
      <c r="J731" s="14" t="n"/>
      <c r="K731" s="15">
        <f>IF($G731="","",IF(OR($G731="PT Missed",$G731="PT Modified",$G731="PT Refused"),"Yes","No"))</f>
        <v/>
      </c>
      <c r="L731" s="14" t="n"/>
      <c r="M731" s="14" t="n"/>
      <c r="N731" s="15">
        <f>IF($D731="","",IF($M731="Excused","No",IF(AND($G731="PT Modified",$L731="Received"),"No","Yes")))</f>
        <v/>
      </c>
      <c r="O731" s="14" t="n"/>
    </row>
    <row r="732">
      <c r="B732" s="15">
        <f>IF($D732="","","A"&amp;TEXT(ROW()-5,"000"))</f>
        <v/>
      </c>
      <c r="C732" s="16" t="n"/>
      <c r="D732" s="14" t="n"/>
      <c r="E732" s="15">
        <f>IF($D732="","",IFERROR(INDEX(rngCadetPIDs,MATCH($D732,rngCadetNames,0)),"?"))</f>
        <v/>
      </c>
      <c r="F732" s="15">
        <f>IF($E732="","",IFERROR(INDEX(nrCadetAgency,MATCH($E732,rngCadetPIDs,0)),""))</f>
        <v/>
      </c>
      <c r="G732" s="14" t="n"/>
      <c r="H732" s="14" t="n"/>
      <c r="I732" s="14" t="n"/>
      <c r="J732" s="14" t="n"/>
      <c r="K732" s="15">
        <f>IF($G732="","",IF(OR($G732="PT Missed",$G732="PT Modified",$G732="PT Refused"),"Yes","No"))</f>
        <v/>
      </c>
      <c r="L732" s="14" t="n"/>
      <c r="M732" s="14" t="n"/>
      <c r="N732" s="15">
        <f>IF($D732="","",IF($M732="Excused","No",IF(AND($G732="PT Modified",$L732="Received"),"No","Yes")))</f>
        <v/>
      </c>
      <c r="O732" s="14" t="n"/>
    </row>
    <row r="733">
      <c r="B733" s="15">
        <f>IF($D733="","","A"&amp;TEXT(ROW()-5,"000"))</f>
        <v/>
      </c>
      <c r="C733" s="16" t="n"/>
      <c r="D733" s="14" t="n"/>
      <c r="E733" s="15">
        <f>IF($D733="","",IFERROR(INDEX(rngCadetPIDs,MATCH($D733,rngCadetNames,0)),"?"))</f>
        <v/>
      </c>
      <c r="F733" s="15">
        <f>IF($E733="","",IFERROR(INDEX(nrCadetAgency,MATCH($E733,rngCadetPIDs,0)),""))</f>
        <v/>
      </c>
      <c r="G733" s="14" t="n"/>
      <c r="H733" s="14" t="n"/>
      <c r="I733" s="14" t="n"/>
      <c r="J733" s="14" t="n"/>
      <c r="K733" s="15">
        <f>IF($G733="","",IF(OR($G733="PT Missed",$G733="PT Modified",$G733="PT Refused"),"Yes","No"))</f>
        <v/>
      </c>
      <c r="L733" s="14" t="n"/>
      <c r="M733" s="14" t="n"/>
      <c r="N733" s="15">
        <f>IF($D733="","",IF($M733="Excused","No",IF(AND($G733="PT Modified",$L733="Received"),"No","Yes")))</f>
        <v/>
      </c>
      <c r="O733" s="14" t="n"/>
    </row>
    <row r="734">
      <c r="B734" s="15">
        <f>IF($D734="","","A"&amp;TEXT(ROW()-5,"000"))</f>
        <v/>
      </c>
      <c r="C734" s="16" t="n"/>
      <c r="D734" s="14" t="n"/>
      <c r="E734" s="15">
        <f>IF($D734="","",IFERROR(INDEX(rngCadetPIDs,MATCH($D734,rngCadetNames,0)),"?"))</f>
        <v/>
      </c>
      <c r="F734" s="15">
        <f>IF($E734="","",IFERROR(INDEX(nrCadetAgency,MATCH($E734,rngCadetPIDs,0)),""))</f>
        <v/>
      </c>
      <c r="G734" s="14" t="n"/>
      <c r="H734" s="14" t="n"/>
      <c r="I734" s="14" t="n"/>
      <c r="J734" s="14" t="n"/>
      <c r="K734" s="15">
        <f>IF($G734="","",IF(OR($G734="PT Missed",$G734="PT Modified",$G734="PT Refused"),"Yes","No"))</f>
        <v/>
      </c>
      <c r="L734" s="14" t="n"/>
      <c r="M734" s="14" t="n"/>
      <c r="N734" s="15">
        <f>IF($D734="","",IF($M734="Excused","No",IF(AND($G734="PT Modified",$L734="Received"),"No","Yes")))</f>
        <v/>
      </c>
      <c r="O734" s="14" t="n"/>
    </row>
    <row r="735">
      <c r="B735" s="15">
        <f>IF($D735="","","A"&amp;TEXT(ROW()-5,"000"))</f>
        <v/>
      </c>
      <c r="C735" s="16" t="n"/>
      <c r="D735" s="14" t="n"/>
      <c r="E735" s="15">
        <f>IF($D735="","",IFERROR(INDEX(rngCadetPIDs,MATCH($D735,rngCadetNames,0)),"?"))</f>
        <v/>
      </c>
      <c r="F735" s="15">
        <f>IF($E735="","",IFERROR(INDEX(nrCadetAgency,MATCH($E735,rngCadetPIDs,0)),""))</f>
        <v/>
      </c>
      <c r="G735" s="14" t="n"/>
      <c r="H735" s="14" t="n"/>
      <c r="I735" s="14" t="n"/>
      <c r="J735" s="14" t="n"/>
      <c r="K735" s="15">
        <f>IF($G735="","",IF(OR($G735="PT Missed",$G735="PT Modified",$G735="PT Refused"),"Yes","No"))</f>
        <v/>
      </c>
      <c r="L735" s="14" t="n"/>
      <c r="M735" s="14" t="n"/>
      <c r="N735" s="15">
        <f>IF($D735="","",IF($M735="Excused","No",IF(AND($G735="PT Modified",$L735="Received"),"No","Yes")))</f>
        <v/>
      </c>
      <c r="O735" s="14" t="n"/>
    </row>
    <row r="736">
      <c r="B736" s="15">
        <f>IF($D736="","","A"&amp;TEXT(ROW()-5,"000"))</f>
        <v/>
      </c>
      <c r="C736" s="16" t="n"/>
      <c r="D736" s="14" t="n"/>
      <c r="E736" s="15">
        <f>IF($D736="","",IFERROR(INDEX(rngCadetPIDs,MATCH($D736,rngCadetNames,0)),"?"))</f>
        <v/>
      </c>
      <c r="F736" s="15">
        <f>IF($E736="","",IFERROR(INDEX(nrCadetAgency,MATCH($E736,rngCadetPIDs,0)),""))</f>
        <v/>
      </c>
      <c r="G736" s="14" t="n"/>
      <c r="H736" s="14" t="n"/>
      <c r="I736" s="14" t="n"/>
      <c r="J736" s="14" t="n"/>
      <c r="K736" s="15">
        <f>IF($G736="","",IF(OR($G736="PT Missed",$G736="PT Modified",$G736="PT Refused"),"Yes","No"))</f>
        <v/>
      </c>
      <c r="L736" s="14" t="n"/>
      <c r="M736" s="14" t="n"/>
      <c r="N736" s="15">
        <f>IF($D736="","",IF($M736="Excused","No",IF(AND($G736="PT Modified",$L736="Received"),"No","Yes")))</f>
        <v/>
      </c>
      <c r="O736" s="14" t="n"/>
    </row>
    <row r="737">
      <c r="B737" s="15">
        <f>IF($D737="","","A"&amp;TEXT(ROW()-5,"000"))</f>
        <v/>
      </c>
      <c r="C737" s="16" t="n"/>
      <c r="D737" s="14" t="n"/>
      <c r="E737" s="15">
        <f>IF($D737="","",IFERROR(INDEX(rngCadetPIDs,MATCH($D737,rngCadetNames,0)),"?"))</f>
        <v/>
      </c>
      <c r="F737" s="15">
        <f>IF($E737="","",IFERROR(INDEX(nrCadetAgency,MATCH($E737,rngCadetPIDs,0)),""))</f>
        <v/>
      </c>
      <c r="G737" s="14" t="n"/>
      <c r="H737" s="14" t="n"/>
      <c r="I737" s="14" t="n"/>
      <c r="J737" s="14" t="n"/>
      <c r="K737" s="15">
        <f>IF($G737="","",IF(OR($G737="PT Missed",$G737="PT Modified",$G737="PT Refused"),"Yes","No"))</f>
        <v/>
      </c>
      <c r="L737" s="14" t="n"/>
      <c r="M737" s="14" t="n"/>
      <c r="N737" s="15">
        <f>IF($D737="","",IF($M737="Excused","No",IF(AND($G737="PT Modified",$L737="Received"),"No","Yes")))</f>
        <v/>
      </c>
      <c r="O737" s="14" t="n"/>
    </row>
    <row r="738">
      <c r="B738" s="15">
        <f>IF($D738="","","A"&amp;TEXT(ROW()-5,"000"))</f>
        <v/>
      </c>
      <c r="C738" s="16" t="n"/>
      <c r="D738" s="14" t="n"/>
      <c r="E738" s="15">
        <f>IF($D738="","",IFERROR(INDEX(rngCadetPIDs,MATCH($D738,rngCadetNames,0)),"?"))</f>
        <v/>
      </c>
      <c r="F738" s="15">
        <f>IF($E738="","",IFERROR(INDEX(nrCadetAgency,MATCH($E738,rngCadetPIDs,0)),""))</f>
        <v/>
      </c>
      <c r="G738" s="14" t="n"/>
      <c r="H738" s="14" t="n"/>
      <c r="I738" s="14" t="n"/>
      <c r="J738" s="14" t="n"/>
      <c r="K738" s="15">
        <f>IF($G738="","",IF(OR($G738="PT Missed",$G738="PT Modified",$G738="PT Refused"),"Yes","No"))</f>
        <v/>
      </c>
      <c r="L738" s="14" t="n"/>
      <c r="M738" s="14" t="n"/>
      <c r="N738" s="15">
        <f>IF($D738="","",IF($M738="Excused","No",IF(AND($G738="PT Modified",$L738="Received"),"No","Yes")))</f>
        <v/>
      </c>
      <c r="O738" s="14" t="n"/>
    </row>
    <row r="739">
      <c r="B739" s="15">
        <f>IF($D739="","","A"&amp;TEXT(ROW()-5,"000"))</f>
        <v/>
      </c>
      <c r="C739" s="16" t="n"/>
      <c r="D739" s="14" t="n"/>
      <c r="E739" s="15">
        <f>IF($D739="","",IFERROR(INDEX(rngCadetPIDs,MATCH($D739,rngCadetNames,0)),"?"))</f>
        <v/>
      </c>
      <c r="F739" s="15">
        <f>IF($E739="","",IFERROR(INDEX(nrCadetAgency,MATCH($E739,rngCadetPIDs,0)),""))</f>
        <v/>
      </c>
      <c r="G739" s="14" t="n"/>
      <c r="H739" s="14" t="n"/>
      <c r="I739" s="14" t="n"/>
      <c r="J739" s="14" t="n"/>
      <c r="K739" s="15">
        <f>IF($G739="","",IF(OR($G739="PT Missed",$G739="PT Modified",$G739="PT Refused"),"Yes","No"))</f>
        <v/>
      </c>
      <c r="L739" s="14" t="n"/>
      <c r="M739" s="14" t="n"/>
      <c r="N739" s="15">
        <f>IF($D739="","",IF($M739="Excused","No",IF(AND($G739="PT Modified",$L739="Received"),"No","Yes")))</f>
        <v/>
      </c>
      <c r="O739" s="14" t="n"/>
    </row>
    <row r="740">
      <c r="B740" s="15">
        <f>IF($D740="","","A"&amp;TEXT(ROW()-5,"000"))</f>
        <v/>
      </c>
      <c r="C740" s="16" t="n"/>
      <c r="D740" s="14" t="n"/>
      <c r="E740" s="15">
        <f>IF($D740="","",IFERROR(INDEX(rngCadetPIDs,MATCH($D740,rngCadetNames,0)),"?"))</f>
        <v/>
      </c>
      <c r="F740" s="15">
        <f>IF($E740="","",IFERROR(INDEX(nrCadetAgency,MATCH($E740,rngCadetPIDs,0)),""))</f>
        <v/>
      </c>
      <c r="G740" s="14" t="n"/>
      <c r="H740" s="14" t="n"/>
      <c r="I740" s="14" t="n"/>
      <c r="J740" s="14" t="n"/>
      <c r="K740" s="15">
        <f>IF($G740="","",IF(OR($G740="PT Missed",$G740="PT Modified",$G740="PT Refused"),"Yes","No"))</f>
        <v/>
      </c>
      <c r="L740" s="14" t="n"/>
      <c r="M740" s="14" t="n"/>
      <c r="N740" s="15">
        <f>IF($D740="","",IF($M740="Excused","No",IF(AND($G740="PT Modified",$L740="Received"),"No","Yes")))</f>
        <v/>
      </c>
      <c r="O740" s="14" t="n"/>
    </row>
    <row r="741">
      <c r="B741" s="15">
        <f>IF($D741="","","A"&amp;TEXT(ROW()-5,"000"))</f>
        <v/>
      </c>
      <c r="C741" s="16" t="n"/>
      <c r="D741" s="14" t="n"/>
      <c r="E741" s="15">
        <f>IF($D741="","",IFERROR(INDEX(rngCadetPIDs,MATCH($D741,rngCadetNames,0)),"?"))</f>
        <v/>
      </c>
      <c r="F741" s="15">
        <f>IF($E741="","",IFERROR(INDEX(nrCadetAgency,MATCH($E741,rngCadetPIDs,0)),""))</f>
        <v/>
      </c>
      <c r="G741" s="14" t="n"/>
      <c r="H741" s="14" t="n"/>
      <c r="I741" s="14" t="n"/>
      <c r="J741" s="14" t="n"/>
      <c r="K741" s="15">
        <f>IF($G741="","",IF(OR($G741="PT Missed",$G741="PT Modified",$G741="PT Refused"),"Yes","No"))</f>
        <v/>
      </c>
      <c r="L741" s="14" t="n"/>
      <c r="M741" s="14" t="n"/>
      <c r="N741" s="15">
        <f>IF($D741="","",IF($M741="Excused","No",IF(AND($G741="PT Modified",$L741="Received"),"No","Yes")))</f>
        <v/>
      </c>
      <c r="O741" s="14" t="n"/>
    </row>
    <row r="742">
      <c r="B742" s="15">
        <f>IF($D742="","","A"&amp;TEXT(ROW()-5,"000"))</f>
        <v/>
      </c>
      <c r="C742" s="16" t="n"/>
      <c r="D742" s="14" t="n"/>
      <c r="E742" s="15">
        <f>IF($D742="","",IFERROR(INDEX(rngCadetPIDs,MATCH($D742,rngCadetNames,0)),"?"))</f>
        <v/>
      </c>
      <c r="F742" s="15">
        <f>IF($E742="","",IFERROR(INDEX(nrCadetAgency,MATCH($E742,rngCadetPIDs,0)),""))</f>
        <v/>
      </c>
      <c r="G742" s="14" t="n"/>
      <c r="H742" s="14" t="n"/>
      <c r="I742" s="14" t="n"/>
      <c r="J742" s="14" t="n"/>
      <c r="K742" s="15">
        <f>IF($G742="","",IF(OR($G742="PT Missed",$G742="PT Modified",$G742="PT Refused"),"Yes","No"))</f>
        <v/>
      </c>
      <c r="L742" s="14" t="n"/>
      <c r="M742" s="14" t="n"/>
      <c r="N742" s="15">
        <f>IF($D742="","",IF($M742="Excused","No",IF(AND($G742="PT Modified",$L742="Received"),"No","Yes")))</f>
        <v/>
      </c>
      <c r="O742" s="14" t="n"/>
    </row>
    <row r="743">
      <c r="B743" s="15">
        <f>IF($D743="","","A"&amp;TEXT(ROW()-5,"000"))</f>
        <v/>
      </c>
      <c r="C743" s="16" t="n"/>
      <c r="D743" s="14" t="n"/>
      <c r="E743" s="15">
        <f>IF($D743="","",IFERROR(INDEX(rngCadetPIDs,MATCH($D743,rngCadetNames,0)),"?"))</f>
        <v/>
      </c>
      <c r="F743" s="15">
        <f>IF($E743="","",IFERROR(INDEX(nrCadetAgency,MATCH($E743,rngCadetPIDs,0)),""))</f>
        <v/>
      </c>
      <c r="G743" s="14" t="n"/>
      <c r="H743" s="14" t="n"/>
      <c r="I743" s="14" t="n"/>
      <c r="J743" s="14" t="n"/>
      <c r="K743" s="15">
        <f>IF($G743="","",IF(OR($G743="PT Missed",$G743="PT Modified",$G743="PT Refused"),"Yes","No"))</f>
        <v/>
      </c>
      <c r="L743" s="14" t="n"/>
      <c r="M743" s="14" t="n"/>
      <c r="N743" s="15">
        <f>IF($D743="","",IF($M743="Excused","No",IF(AND($G743="PT Modified",$L743="Received"),"No","Yes")))</f>
        <v/>
      </c>
      <c r="O743" s="14" t="n"/>
    </row>
    <row r="744">
      <c r="B744" s="15">
        <f>IF($D744="","","A"&amp;TEXT(ROW()-5,"000"))</f>
        <v/>
      </c>
      <c r="C744" s="16" t="n"/>
      <c r="D744" s="14" t="n"/>
      <c r="E744" s="15">
        <f>IF($D744="","",IFERROR(INDEX(rngCadetPIDs,MATCH($D744,rngCadetNames,0)),"?"))</f>
        <v/>
      </c>
      <c r="F744" s="15">
        <f>IF($E744="","",IFERROR(INDEX(nrCadetAgency,MATCH($E744,rngCadetPIDs,0)),""))</f>
        <v/>
      </c>
      <c r="G744" s="14" t="n"/>
      <c r="H744" s="14" t="n"/>
      <c r="I744" s="14" t="n"/>
      <c r="J744" s="14" t="n"/>
      <c r="K744" s="15">
        <f>IF($G744="","",IF(OR($G744="PT Missed",$G744="PT Modified",$G744="PT Refused"),"Yes","No"))</f>
        <v/>
      </c>
      <c r="L744" s="14" t="n"/>
      <c r="M744" s="14" t="n"/>
      <c r="N744" s="15">
        <f>IF($D744="","",IF($M744="Excused","No",IF(AND($G744="PT Modified",$L744="Received"),"No","Yes")))</f>
        <v/>
      </c>
      <c r="O744" s="14" t="n"/>
    </row>
    <row r="745">
      <c r="B745" s="15">
        <f>IF($D745="","","A"&amp;TEXT(ROW()-5,"000"))</f>
        <v/>
      </c>
      <c r="C745" s="16" t="n"/>
      <c r="D745" s="14" t="n"/>
      <c r="E745" s="15">
        <f>IF($D745="","",IFERROR(INDEX(rngCadetPIDs,MATCH($D745,rngCadetNames,0)),"?"))</f>
        <v/>
      </c>
      <c r="F745" s="15">
        <f>IF($E745="","",IFERROR(INDEX(nrCadetAgency,MATCH($E745,rngCadetPIDs,0)),""))</f>
        <v/>
      </c>
      <c r="G745" s="14" t="n"/>
      <c r="H745" s="14" t="n"/>
      <c r="I745" s="14" t="n"/>
      <c r="J745" s="14" t="n"/>
      <c r="K745" s="15">
        <f>IF($G745="","",IF(OR($G745="PT Missed",$G745="PT Modified",$G745="PT Refused"),"Yes","No"))</f>
        <v/>
      </c>
      <c r="L745" s="14" t="n"/>
      <c r="M745" s="14" t="n"/>
      <c r="N745" s="15">
        <f>IF($D745="","",IF($M745="Excused","No",IF(AND($G745="PT Modified",$L745="Received"),"No","Yes")))</f>
        <v/>
      </c>
      <c r="O745" s="14" t="n"/>
    </row>
    <row r="746">
      <c r="B746" s="15">
        <f>IF($D746="","","A"&amp;TEXT(ROW()-5,"000"))</f>
        <v/>
      </c>
      <c r="C746" s="16" t="n"/>
      <c r="D746" s="14" t="n"/>
      <c r="E746" s="15">
        <f>IF($D746="","",IFERROR(INDEX(rngCadetPIDs,MATCH($D746,rngCadetNames,0)),"?"))</f>
        <v/>
      </c>
      <c r="F746" s="15">
        <f>IF($E746="","",IFERROR(INDEX(nrCadetAgency,MATCH($E746,rngCadetPIDs,0)),""))</f>
        <v/>
      </c>
      <c r="G746" s="14" t="n"/>
      <c r="H746" s="14" t="n"/>
      <c r="I746" s="14" t="n"/>
      <c r="J746" s="14" t="n"/>
      <c r="K746" s="15">
        <f>IF($G746="","",IF(OR($G746="PT Missed",$G746="PT Modified",$G746="PT Refused"),"Yes","No"))</f>
        <v/>
      </c>
      <c r="L746" s="14" t="n"/>
      <c r="M746" s="14" t="n"/>
      <c r="N746" s="15">
        <f>IF($D746="","",IF($M746="Excused","No",IF(AND($G746="PT Modified",$L746="Received"),"No","Yes")))</f>
        <v/>
      </c>
      <c r="O746" s="14" t="n"/>
    </row>
    <row r="747">
      <c r="B747" s="15">
        <f>IF($D747="","","A"&amp;TEXT(ROW()-5,"000"))</f>
        <v/>
      </c>
      <c r="C747" s="16" t="n"/>
      <c r="D747" s="14" t="n"/>
      <c r="E747" s="15">
        <f>IF($D747="","",IFERROR(INDEX(rngCadetPIDs,MATCH($D747,rngCadetNames,0)),"?"))</f>
        <v/>
      </c>
      <c r="F747" s="15">
        <f>IF($E747="","",IFERROR(INDEX(nrCadetAgency,MATCH($E747,rngCadetPIDs,0)),""))</f>
        <v/>
      </c>
      <c r="G747" s="14" t="n"/>
      <c r="H747" s="14" t="n"/>
      <c r="I747" s="14" t="n"/>
      <c r="J747" s="14" t="n"/>
      <c r="K747" s="15">
        <f>IF($G747="","",IF(OR($G747="PT Missed",$G747="PT Modified",$G747="PT Refused"),"Yes","No"))</f>
        <v/>
      </c>
      <c r="L747" s="14" t="n"/>
      <c r="M747" s="14" t="n"/>
      <c r="N747" s="15">
        <f>IF($D747="","",IF($M747="Excused","No",IF(AND($G747="PT Modified",$L747="Received"),"No","Yes")))</f>
        <v/>
      </c>
      <c r="O747" s="14" t="n"/>
    </row>
    <row r="748">
      <c r="B748" s="15">
        <f>IF($D748="","","A"&amp;TEXT(ROW()-5,"000"))</f>
        <v/>
      </c>
      <c r="C748" s="16" t="n"/>
      <c r="D748" s="14" t="n"/>
      <c r="E748" s="15">
        <f>IF($D748="","",IFERROR(INDEX(rngCadetPIDs,MATCH($D748,rngCadetNames,0)),"?"))</f>
        <v/>
      </c>
      <c r="F748" s="15">
        <f>IF($E748="","",IFERROR(INDEX(nrCadetAgency,MATCH($E748,rngCadetPIDs,0)),""))</f>
        <v/>
      </c>
      <c r="G748" s="14" t="n"/>
      <c r="H748" s="14" t="n"/>
      <c r="I748" s="14" t="n"/>
      <c r="J748" s="14" t="n"/>
      <c r="K748" s="15">
        <f>IF($G748="","",IF(OR($G748="PT Missed",$G748="PT Modified",$G748="PT Refused"),"Yes","No"))</f>
        <v/>
      </c>
      <c r="L748" s="14" t="n"/>
      <c r="M748" s="14" t="n"/>
      <c r="N748" s="15">
        <f>IF($D748="","",IF($M748="Excused","No",IF(AND($G748="PT Modified",$L748="Received"),"No","Yes")))</f>
        <v/>
      </c>
      <c r="O748" s="14" t="n"/>
    </row>
    <row r="749">
      <c r="B749" s="15">
        <f>IF($D749="","","A"&amp;TEXT(ROW()-5,"000"))</f>
        <v/>
      </c>
      <c r="C749" s="16" t="n"/>
      <c r="D749" s="14" t="n"/>
      <c r="E749" s="15">
        <f>IF($D749="","",IFERROR(INDEX(rngCadetPIDs,MATCH($D749,rngCadetNames,0)),"?"))</f>
        <v/>
      </c>
      <c r="F749" s="15">
        <f>IF($E749="","",IFERROR(INDEX(nrCadetAgency,MATCH($E749,rngCadetPIDs,0)),""))</f>
        <v/>
      </c>
      <c r="G749" s="14" t="n"/>
      <c r="H749" s="14" t="n"/>
      <c r="I749" s="14" t="n"/>
      <c r="J749" s="14" t="n"/>
      <c r="K749" s="15">
        <f>IF($G749="","",IF(OR($G749="PT Missed",$G749="PT Modified",$G749="PT Refused"),"Yes","No"))</f>
        <v/>
      </c>
      <c r="L749" s="14" t="n"/>
      <c r="M749" s="14" t="n"/>
      <c r="N749" s="15">
        <f>IF($D749="","",IF($M749="Excused","No",IF(AND($G749="PT Modified",$L749="Received"),"No","Yes")))</f>
        <v/>
      </c>
      <c r="O749" s="14" t="n"/>
    </row>
    <row r="750">
      <c r="B750" s="15">
        <f>IF($D750="","","A"&amp;TEXT(ROW()-5,"000"))</f>
        <v/>
      </c>
      <c r="C750" s="16" t="n"/>
      <c r="D750" s="14" t="n"/>
      <c r="E750" s="15">
        <f>IF($D750="","",IFERROR(INDEX(rngCadetPIDs,MATCH($D750,rngCadetNames,0)),"?"))</f>
        <v/>
      </c>
      <c r="F750" s="15">
        <f>IF($E750="","",IFERROR(INDEX(nrCadetAgency,MATCH($E750,rngCadetPIDs,0)),""))</f>
        <v/>
      </c>
      <c r="G750" s="14" t="n"/>
      <c r="H750" s="14" t="n"/>
      <c r="I750" s="14" t="n"/>
      <c r="J750" s="14" t="n"/>
      <c r="K750" s="15">
        <f>IF($G750="","",IF(OR($G750="PT Missed",$G750="PT Modified",$G750="PT Refused"),"Yes","No"))</f>
        <v/>
      </c>
      <c r="L750" s="14" t="n"/>
      <c r="M750" s="14" t="n"/>
      <c r="N750" s="15">
        <f>IF($D750="","",IF($M750="Excused","No",IF(AND($G750="PT Modified",$L750="Received"),"No","Yes")))</f>
        <v/>
      </c>
      <c r="O750" s="14" t="n"/>
    </row>
    <row r="751">
      <c r="B751" s="15">
        <f>IF($D751="","","A"&amp;TEXT(ROW()-5,"000"))</f>
        <v/>
      </c>
      <c r="C751" s="16" t="n"/>
      <c r="D751" s="14" t="n"/>
      <c r="E751" s="15">
        <f>IF($D751="","",IFERROR(INDEX(rngCadetPIDs,MATCH($D751,rngCadetNames,0)),"?"))</f>
        <v/>
      </c>
      <c r="F751" s="15">
        <f>IF($E751="","",IFERROR(INDEX(nrCadetAgency,MATCH($E751,rngCadetPIDs,0)),""))</f>
        <v/>
      </c>
      <c r="G751" s="14" t="n"/>
      <c r="H751" s="14" t="n"/>
      <c r="I751" s="14" t="n"/>
      <c r="J751" s="14" t="n"/>
      <c r="K751" s="15">
        <f>IF($G751="","",IF(OR($G751="PT Missed",$G751="PT Modified",$G751="PT Refused"),"Yes","No"))</f>
        <v/>
      </c>
      <c r="L751" s="14" t="n"/>
      <c r="M751" s="14" t="n"/>
      <c r="N751" s="15">
        <f>IF($D751="","",IF($M751="Excused","No",IF(AND($G751="PT Modified",$L751="Received"),"No","Yes")))</f>
        <v/>
      </c>
      <c r="O751" s="14" t="n"/>
    </row>
    <row r="752">
      <c r="B752" s="15">
        <f>IF($D752="","","A"&amp;TEXT(ROW()-5,"000"))</f>
        <v/>
      </c>
      <c r="C752" s="16" t="n"/>
      <c r="D752" s="14" t="n"/>
      <c r="E752" s="15">
        <f>IF($D752="","",IFERROR(INDEX(rngCadetPIDs,MATCH($D752,rngCadetNames,0)),"?"))</f>
        <v/>
      </c>
      <c r="F752" s="15">
        <f>IF($E752="","",IFERROR(INDEX(nrCadetAgency,MATCH($E752,rngCadetPIDs,0)),""))</f>
        <v/>
      </c>
      <c r="G752" s="14" t="n"/>
      <c r="H752" s="14" t="n"/>
      <c r="I752" s="14" t="n"/>
      <c r="J752" s="14" t="n"/>
      <c r="K752" s="15">
        <f>IF($G752="","",IF(OR($G752="PT Missed",$G752="PT Modified",$G752="PT Refused"),"Yes","No"))</f>
        <v/>
      </c>
      <c r="L752" s="14" t="n"/>
      <c r="M752" s="14" t="n"/>
      <c r="N752" s="15">
        <f>IF($D752="","",IF($M752="Excused","No",IF(AND($G752="PT Modified",$L752="Received"),"No","Yes")))</f>
        <v/>
      </c>
      <c r="O752" s="14" t="n"/>
    </row>
    <row r="753">
      <c r="B753" s="15">
        <f>IF($D753="","","A"&amp;TEXT(ROW()-5,"000"))</f>
        <v/>
      </c>
      <c r="C753" s="16" t="n"/>
      <c r="D753" s="14" t="n"/>
      <c r="E753" s="15">
        <f>IF($D753="","",IFERROR(INDEX(rngCadetPIDs,MATCH($D753,rngCadetNames,0)),"?"))</f>
        <v/>
      </c>
      <c r="F753" s="15">
        <f>IF($E753="","",IFERROR(INDEX(nrCadetAgency,MATCH($E753,rngCadetPIDs,0)),""))</f>
        <v/>
      </c>
      <c r="G753" s="14" t="n"/>
      <c r="H753" s="14" t="n"/>
      <c r="I753" s="14" t="n"/>
      <c r="J753" s="14" t="n"/>
      <c r="K753" s="15">
        <f>IF($G753="","",IF(OR($G753="PT Missed",$G753="PT Modified",$G753="PT Refused"),"Yes","No"))</f>
        <v/>
      </c>
      <c r="L753" s="14" t="n"/>
      <c r="M753" s="14" t="n"/>
      <c r="N753" s="15">
        <f>IF($D753="","",IF($M753="Excused","No",IF(AND($G753="PT Modified",$L753="Received"),"No","Yes")))</f>
        <v/>
      </c>
      <c r="O753" s="14" t="n"/>
    </row>
    <row r="754">
      <c r="B754" s="15">
        <f>IF($D754="","","A"&amp;TEXT(ROW()-5,"000"))</f>
        <v/>
      </c>
      <c r="C754" s="16" t="n"/>
      <c r="D754" s="14" t="n"/>
      <c r="E754" s="15">
        <f>IF($D754="","",IFERROR(INDEX(rngCadetPIDs,MATCH($D754,rngCadetNames,0)),"?"))</f>
        <v/>
      </c>
      <c r="F754" s="15">
        <f>IF($E754="","",IFERROR(INDEX(nrCadetAgency,MATCH($E754,rngCadetPIDs,0)),""))</f>
        <v/>
      </c>
      <c r="G754" s="14" t="n"/>
      <c r="H754" s="14" t="n"/>
      <c r="I754" s="14" t="n"/>
      <c r="J754" s="14" t="n"/>
      <c r="K754" s="15">
        <f>IF($G754="","",IF(OR($G754="PT Missed",$G754="PT Modified",$G754="PT Refused"),"Yes","No"))</f>
        <v/>
      </c>
      <c r="L754" s="14" t="n"/>
      <c r="M754" s="14" t="n"/>
      <c r="N754" s="15">
        <f>IF($D754="","",IF($M754="Excused","No",IF(AND($G754="PT Modified",$L754="Received"),"No","Yes")))</f>
        <v/>
      </c>
      <c r="O754" s="14" t="n"/>
    </row>
    <row r="755">
      <c r="B755" s="15">
        <f>IF($D755="","","A"&amp;TEXT(ROW()-5,"000"))</f>
        <v/>
      </c>
      <c r="C755" s="16" t="n"/>
      <c r="D755" s="14" t="n"/>
      <c r="E755" s="15">
        <f>IF($D755="","",IFERROR(INDEX(rngCadetPIDs,MATCH($D755,rngCadetNames,0)),"?"))</f>
        <v/>
      </c>
      <c r="F755" s="15">
        <f>IF($E755="","",IFERROR(INDEX(nrCadetAgency,MATCH($E755,rngCadetPIDs,0)),""))</f>
        <v/>
      </c>
      <c r="G755" s="14" t="n"/>
      <c r="H755" s="14" t="n"/>
      <c r="I755" s="14" t="n"/>
      <c r="J755" s="14" t="n"/>
      <c r="K755" s="15">
        <f>IF($G755="","",IF(OR($G755="PT Missed",$G755="PT Modified",$G755="PT Refused"),"Yes","No"))</f>
        <v/>
      </c>
      <c r="L755" s="14" t="n"/>
      <c r="M755" s="14" t="n"/>
      <c r="N755" s="15">
        <f>IF($D755="","",IF($M755="Excused","No",IF(AND($G755="PT Modified",$L755="Received"),"No","Yes")))</f>
        <v/>
      </c>
      <c r="O755" s="14" t="n"/>
    </row>
    <row r="756">
      <c r="B756" s="15">
        <f>IF($D756="","","A"&amp;TEXT(ROW()-5,"000"))</f>
        <v/>
      </c>
      <c r="C756" s="16" t="n"/>
      <c r="D756" s="14" t="n"/>
      <c r="E756" s="15">
        <f>IF($D756="","",IFERROR(INDEX(rngCadetPIDs,MATCH($D756,rngCadetNames,0)),"?"))</f>
        <v/>
      </c>
      <c r="F756" s="15">
        <f>IF($E756="","",IFERROR(INDEX(nrCadetAgency,MATCH($E756,rngCadetPIDs,0)),""))</f>
        <v/>
      </c>
      <c r="G756" s="14" t="n"/>
      <c r="H756" s="14" t="n"/>
      <c r="I756" s="14" t="n"/>
      <c r="J756" s="14" t="n"/>
      <c r="K756" s="15">
        <f>IF($G756="","",IF(OR($G756="PT Missed",$G756="PT Modified",$G756="PT Refused"),"Yes","No"))</f>
        <v/>
      </c>
      <c r="L756" s="14" t="n"/>
      <c r="M756" s="14" t="n"/>
      <c r="N756" s="15">
        <f>IF($D756="","",IF($M756="Excused","No",IF(AND($G756="PT Modified",$L756="Received"),"No","Yes")))</f>
        <v/>
      </c>
      <c r="O756" s="14" t="n"/>
    </row>
    <row r="757">
      <c r="B757" s="15">
        <f>IF($D757="","","A"&amp;TEXT(ROW()-5,"000"))</f>
        <v/>
      </c>
      <c r="C757" s="16" t="n"/>
      <c r="D757" s="14" t="n"/>
      <c r="E757" s="15">
        <f>IF($D757="","",IFERROR(INDEX(rngCadetPIDs,MATCH($D757,rngCadetNames,0)),"?"))</f>
        <v/>
      </c>
      <c r="F757" s="15">
        <f>IF($E757="","",IFERROR(INDEX(nrCadetAgency,MATCH($E757,rngCadetPIDs,0)),""))</f>
        <v/>
      </c>
      <c r="G757" s="14" t="n"/>
      <c r="H757" s="14" t="n"/>
      <c r="I757" s="14" t="n"/>
      <c r="J757" s="14" t="n"/>
      <c r="K757" s="15">
        <f>IF($G757="","",IF(OR($G757="PT Missed",$G757="PT Modified",$G757="PT Refused"),"Yes","No"))</f>
        <v/>
      </c>
      <c r="L757" s="14" t="n"/>
      <c r="M757" s="14" t="n"/>
      <c r="N757" s="15">
        <f>IF($D757="","",IF($M757="Excused","No",IF(AND($G757="PT Modified",$L757="Received"),"No","Yes")))</f>
        <v/>
      </c>
      <c r="O757" s="14" t="n"/>
    </row>
    <row r="758">
      <c r="B758" s="15">
        <f>IF($D758="","","A"&amp;TEXT(ROW()-5,"000"))</f>
        <v/>
      </c>
      <c r="C758" s="16" t="n"/>
      <c r="D758" s="14" t="n"/>
      <c r="E758" s="15">
        <f>IF($D758="","",IFERROR(INDEX(rngCadetPIDs,MATCH($D758,rngCadetNames,0)),"?"))</f>
        <v/>
      </c>
      <c r="F758" s="15">
        <f>IF($E758="","",IFERROR(INDEX(nrCadetAgency,MATCH($E758,rngCadetPIDs,0)),""))</f>
        <v/>
      </c>
      <c r="G758" s="14" t="n"/>
      <c r="H758" s="14" t="n"/>
      <c r="I758" s="14" t="n"/>
      <c r="J758" s="14" t="n"/>
      <c r="K758" s="15">
        <f>IF($G758="","",IF(OR($G758="PT Missed",$G758="PT Modified",$G758="PT Refused"),"Yes","No"))</f>
        <v/>
      </c>
      <c r="L758" s="14" t="n"/>
      <c r="M758" s="14" t="n"/>
      <c r="N758" s="15">
        <f>IF($D758="","",IF($M758="Excused","No",IF(AND($G758="PT Modified",$L758="Received"),"No","Yes")))</f>
        <v/>
      </c>
      <c r="O758" s="14" t="n"/>
    </row>
    <row r="759">
      <c r="B759" s="15">
        <f>IF($D759="","","A"&amp;TEXT(ROW()-5,"000"))</f>
        <v/>
      </c>
      <c r="C759" s="16" t="n"/>
      <c r="D759" s="14" t="n"/>
      <c r="E759" s="15">
        <f>IF($D759="","",IFERROR(INDEX(rngCadetPIDs,MATCH($D759,rngCadetNames,0)),"?"))</f>
        <v/>
      </c>
      <c r="F759" s="15">
        <f>IF($E759="","",IFERROR(INDEX(nrCadetAgency,MATCH($E759,rngCadetPIDs,0)),""))</f>
        <v/>
      </c>
      <c r="G759" s="14" t="n"/>
      <c r="H759" s="14" t="n"/>
      <c r="I759" s="14" t="n"/>
      <c r="J759" s="14" t="n"/>
      <c r="K759" s="15">
        <f>IF($G759="","",IF(OR($G759="PT Missed",$G759="PT Modified",$G759="PT Refused"),"Yes","No"))</f>
        <v/>
      </c>
      <c r="L759" s="14" t="n"/>
      <c r="M759" s="14" t="n"/>
      <c r="N759" s="15">
        <f>IF($D759="","",IF($M759="Excused","No",IF(AND($G759="PT Modified",$L759="Received"),"No","Yes")))</f>
        <v/>
      </c>
      <c r="O759" s="14" t="n"/>
    </row>
    <row r="760">
      <c r="B760" s="15">
        <f>IF($D760="","","A"&amp;TEXT(ROW()-5,"000"))</f>
        <v/>
      </c>
      <c r="C760" s="16" t="n"/>
      <c r="D760" s="14" t="n"/>
      <c r="E760" s="15">
        <f>IF($D760="","",IFERROR(INDEX(rngCadetPIDs,MATCH($D760,rngCadetNames,0)),"?"))</f>
        <v/>
      </c>
      <c r="F760" s="15">
        <f>IF($E760="","",IFERROR(INDEX(nrCadetAgency,MATCH($E760,rngCadetPIDs,0)),""))</f>
        <v/>
      </c>
      <c r="G760" s="14" t="n"/>
      <c r="H760" s="14" t="n"/>
      <c r="I760" s="14" t="n"/>
      <c r="J760" s="14" t="n"/>
      <c r="K760" s="15">
        <f>IF($G760="","",IF(OR($G760="PT Missed",$G760="PT Modified",$G760="PT Refused"),"Yes","No"))</f>
        <v/>
      </c>
      <c r="L760" s="14" t="n"/>
      <c r="M760" s="14" t="n"/>
      <c r="N760" s="15">
        <f>IF($D760="","",IF($M760="Excused","No",IF(AND($G760="PT Modified",$L760="Received"),"No","Yes")))</f>
        <v/>
      </c>
      <c r="O760" s="14" t="n"/>
    </row>
    <row r="761">
      <c r="B761" s="15">
        <f>IF($D761="","","A"&amp;TEXT(ROW()-5,"000"))</f>
        <v/>
      </c>
      <c r="C761" s="16" t="n"/>
      <c r="D761" s="14" t="n"/>
      <c r="E761" s="15">
        <f>IF($D761="","",IFERROR(INDEX(rngCadetPIDs,MATCH($D761,rngCadetNames,0)),"?"))</f>
        <v/>
      </c>
      <c r="F761" s="15">
        <f>IF($E761="","",IFERROR(INDEX(nrCadetAgency,MATCH($E761,rngCadetPIDs,0)),""))</f>
        <v/>
      </c>
      <c r="G761" s="14" t="n"/>
      <c r="H761" s="14" t="n"/>
      <c r="I761" s="14" t="n"/>
      <c r="J761" s="14" t="n"/>
      <c r="K761" s="15">
        <f>IF($G761="","",IF(OR($G761="PT Missed",$G761="PT Modified",$G761="PT Refused"),"Yes","No"))</f>
        <v/>
      </c>
      <c r="L761" s="14" t="n"/>
      <c r="M761" s="14" t="n"/>
      <c r="N761" s="15">
        <f>IF($D761="","",IF($M761="Excused","No",IF(AND($G761="PT Modified",$L761="Received"),"No","Yes")))</f>
        <v/>
      </c>
      <c r="O761" s="14" t="n"/>
    </row>
    <row r="762">
      <c r="B762" s="15">
        <f>IF($D762="","","A"&amp;TEXT(ROW()-5,"000"))</f>
        <v/>
      </c>
      <c r="C762" s="16" t="n"/>
      <c r="D762" s="14" t="n"/>
      <c r="E762" s="15">
        <f>IF($D762="","",IFERROR(INDEX(rngCadetPIDs,MATCH($D762,rngCadetNames,0)),"?"))</f>
        <v/>
      </c>
      <c r="F762" s="15">
        <f>IF($E762="","",IFERROR(INDEX(nrCadetAgency,MATCH($E762,rngCadetPIDs,0)),""))</f>
        <v/>
      </c>
      <c r="G762" s="14" t="n"/>
      <c r="H762" s="14" t="n"/>
      <c r="I762" s="14" t="n"/>
      <c r="J762" s="14" t="n"/>
      <c r="K762" s="15">
        <f>IF($G762="","",IF(OR($G762="PT Missed",$G762="PT Modified",$G762="PT Refused"),"Yes","No"))</f>
        <v/>
      </c>
      <c r="L762" s="14" t="n"/>
      <c r="M762" s="14" t="n"/>
      <c r="N762" s="15">
        <f>IF($D762="","",IF($M762="Excused","No",IF(AND($G762="PT Modified",$L762="Received"),"No","Yes")))</f>
        <v/>
      </c>
      <c r="O762" s="14" t="n"/>
    </row>
    <row r="763">
      <c r="B763" s="15">
        <f>IF($D763="","","A"&amp;TEXT(ROW()-5,"000"))</f>
        <v/>
      </c>
      <c r="C763" s="16" t="n"/>
      <c r="D763" s="14" t="n"/>
      <c r="E763" s="15">
        <f>IF($D763="","",IFERROR(INDEX(rngCadetPIDs,MATCH($D763,rngCadetNames,0)),"?"))</f>
        <v/>
      </c>
      <c r="F763" s="15">
        <f>IF($E763="","",IFERROR(INDEX(nrCadetAgency,MATCH($E763,rngCadetPIDs,0)),""))</f>
        <v/>
      </c>
      <c r="G763" s="14" t="n"/>
      <c r="H763" s="14" t="n"/>
      <c r="I763" s="14" t="n"/>
      <c r="J763" s="14" t="n"/>
      <c r="K763" s="15">
        <f>IF($G763="","",IF(OR($G763="PT Missed",$G763="PT Modified",$G763="PT Refused"),"Yes","No"))</f>
        <v/>
      </c>
      <c r="L763" s="14" t="n"/>
      <c r="M763" s="14" t="n"/>
      <c r="N763" s="15">
        <f>IF($D763="","",IF($M763="Excused","No",IF(AND($G763="PT Modified",$L763="Received"),"No","Yes")))</f>
        <v/>
      </c>
      <c r="O763" s="14" t="n"/>
    </row>
    <row r="764">
      <c r="B764" s="15">
        <f>IF($D764="","","A"&amp;TEXT(ROW()-5,"000"))</f>
        <v/>
      </c>
      <c r="C764" s="16" t="n"/>
      <c r="D764" s="14" t="n"/>
      <c r="E764" s="15">
        <f>IF($D764="","",IFERROR(INDEX(rngCadetPIDs,MATCH($D764,rngCadetNames,0)),"?"))</f>
        <v/>
      </c>
      <c r="F764" s="15">
        <f>IF($E764="","",IFERROR(INDEX(nrCadetAgency,MATCH($E764,rngCadetPIDs,0)),""))</f>
        <v/>
      </c>
      <c r="G764" s="14" t="n"/>
      <c r="H764" s="14" t="n"/>
      <c r="I764" s="14" t="n"/>
      <c r="J764" s="14" t="n"/>
      <c r="K764" s="15">
        <f>IF($G764="","",IF(OR($G764="PT Missed",$G764="PT Modified",$G764="PT Refused"),"Yes","No"))</f>
        <v/>
      </c>
      <c r="L764" s="14" t="n"/>
      <c r="M764" s="14" t="n"/>
      <c r="N764" s="15">
        <f>IF($D764="","",IF($M764="Excused","No",IF(AND($G764="PT Modified",$L764="Received"),"No","Yes")))</f>
        <v/>
      </c>
      <c r="O764" s="14" t="n"/>
    </row>
    <row r="765">
      <c r="B765" s="15">
        <f>IF($D765="","","A"&amp;TEXT(ROW()-5,"000"))</f>
        <v/>
      </c>
      <c r="C765" s="16" t="n"/>
      <c r="D765" s="14" t="n"/>
      <c r="E765" s="15">
        <f>IF($D765="","",IFERROR(INDEX(rngCadetPIDs,MATCH($D765,rngCadetNames,0)),"?"))</f>
        <v/>
      </c>
      <c r="F765" s="15">
        <f>IF($E765="","",IFERROR(INDEX(nrCadetAgency,MATCH($E765,rngCadetPIDs,0)),""))</f>
        <v/>
      </c>
      <c r="G765" s="14" t="n"/>
      <c r="H765" s="14" t="n"/>
      <c r="I765" s="14" t="n"/>
      <c r="J765" s="14" t="n"/>
      <c r="K765" s="15">
        <f>IF($G765="","",IF(OR($G765="PT Missed",$G765="PT Modified",$G765="PT Refused"),"Yes","No"))</f>
        <v/>
      </c>
      <c r="L765" s="14" t="n"/>
      <c r="M765" s="14" t="n"/>
      <c r="N765" s="15">
        <f>IF($D765="","",IF($M765="Excused","No",IF(AND($G765="PT Modified",$L765="Received"),"No","Yes")))</f>
        <v/>
      </c>
      <c r="O765" s="14" t="n"/>
    </row>
    <row r="766">
      <c r="B766" s="15">
        <f>IF($D766="","","A"&amp;TEXT(ROW()-5,"000"))</f>
        <v/>
      </c>
      <c r="C766" s="16" t="n"/>
      <c r="D766" s="14" t="n"/>
      <c r="E766" s="15">
        <f>IF($D766="","",IFERROR(INDEX(rngCadetPIDs,MATCH($D766,rngCadetNames,0)),"?"))</f>
        <v/>
      </c>
      <c r="F766" s="15">
        <f>IF($E766="","",IFERROR(INDEX(nrCadetAgency,MATCH($E766,rngCadetPIDs,0)),""))</f>
        <v/>
      </c>
      <c r="G766" s="14" t="n"/>
      <c r="H766" s="14" t="n"/>
      <c r="I766" s="14" t="n"/>
      <c r="J766" s="14" t="n"/>
      <c r="K766" s="15">
        <f>IF($G766="","",IF(OR($G766="PT Missed",$G766="PT Modified",$G766="PT Refused"),"Yes","No"))</f>
        <v/>
      </c>
      <c r="L766" s="14" t="n"/>
      <c r="M766" s="14" t="n"/>
      <c r="N766" s="15">
        <f>IF($D766="","",IF($M766="Excused","No",IF(AND($G766="PT Modified",$L766="Received"),"No","Yes")))</f>
        <v/>
      </c>
      <c r="O766" s="14" t="n"/>
    </row>
    <row r="767">
      <c r="B767" s="15">
        <f>IF($D767="","","A"&amp;TEXT(ROW()-5,"000"))</f>
        <v/>
      </c>
      <c r="C767" s="16" t="n"/>
      <c r="D767" s="14" t="n"/>
      <c r="E767" s="15">
        <f>IF($D767="","",IFERROR(INDEX(rngCadetPIDs,MATCH($D767,rngCadetNames,0)),"?"))</f>
        <v/>
      </c>
      <c r="F767" s="15">
        <f>IF($E767="","",IFERROR(INDEX(nrCadetAgency,MATCH($E767,rngCadetPIDs,0)),""))</f>
        <v/>
      </c>
      <c r="G767" s="14" t="n"/>
      <c r="H767" s="14" t="n"/>
      <c r="I767" s="14" t="n"/>
      <c r="J767" s="14" t="n"/>
      <c r="K767" s="15">
        <f>IF($G767="","",IF(OR($G767="PT Missed",$G767="PT Modified",$G767="PT Refused"),"Yes","No"))</f>
        <v/>
      </c>
      <c r="L767" s="14" t="n"/>
      <c r="M767" s="14" t="n"/>
      <c r="N767" s="15">
        <f>IF($D767="","",IF($M767="Excused","No",IF(AND($G767="PT Modified",$L767="Received"),"No","Yes")))</f>
        <v/>
      </c>
      <c r="O767" s="14" t="n"/>
    </row>
    <row r="768">
      <c r="B768" s="15">
        <f>IF($D768="","","A"&amp;TEXT(ROW()-5,"000"))</f>
        <v/>
      </c>
      <c r="C768" s="16" t="n"/>
      <c r="D768" s="14" t="n"/>
      <c r="E768" s="15">
        <f>IF($D768="","",IFERROR(INDEX(rngCadetPIDs,MATCH($D768,rngCadetNames,0)),"?"))</f>
        <v/>
      </c>
      <c r="F768" s="15">
        <f>IF($E768="","",IFERROR(INDEX(nrCadetAgency,MATCH($E768,rngCadetPIDs,0)),""))</f>
        <v/>
      </c>
      <c r="G768" s="14" t="n"/>
      <c r="H768" s="14" t="n"/>
      <c r="I768" s="14" t="n"/>
      <c r="J768" s="14" t="n"/>
      <c r="K768" s="15">
        <f>IF($G768="","",IF(OR($G768="PT Missed",$G768="PT Modified",$G768="PT Refused"),"Yes","No"))</f>
        <v/>
      </c>
      <c r="L768" s="14" t="n"/>
      <c r="M768" s="14" t="n"/>
      <c r="N768" s="15">
        <f>IF($D768="","",IF($M768="Excused","No",IF(AND($G768="PT Modified",$L768="Received"),"No","Yes")))</f>
        <v/>
      </c>
      <c r="O768" s="14" t="n"/>
    </row>
    <row r="769">
      <c r="B769" s="15">
        <f>IF($D769="","","A"&amp;TEXT(ROW()-5,"000"))</f>
        <v/>
      </c>
      <c r="C769" s="16" t="n"/>
      <c r="D769" s="14" t="n"/>
      <c r="E769" s="15">
        <f>IF($D769="","",IFERROR(INDEX(rngCadetPIDs,MATCH($D769,rngCadetNames,0)),"?"))</f>
        <v/>
      </c>
      <c r="F769" s="15">
        <f>IF($E769="","",IFERROR(INDEX(nrCadetAgency,MATCH($E769,rngCadetPIDs,0)),""))</f>
        <v/>
      </c>
      <c r="G769" s="14" t="n"/>
      <c r="H769" s="14" t="n"/>
      <c r="I769" s="14" t="n"/>
      <c r="J769" s="14" t="n"/>
      <c r="K769" s="15">
        <f>IF($G769="","",IF(OR($G769="PT Missed",$G769="PT Modified",$G769="PT Refused"),"Yes","No"))</f>
        <v/>
      </c>
      <c r="L769" s="14" t="n"/>
      <c r="M769" s="14" t="n"/>
      <c r="N769" s="15">
        <f>IF($D769="","",IF($M769="Excused","No",IF(AND($G769="PT Modified",$L769="Received"),"No","Yes")))</f>
        <v/>
      </c>
      <c r="O769" s="14" t="n"/>
    </row>
    <row r="770">
      <c r="B770" s="15">
        <f>IF($D770="","","A"&amp;TEXT(ROW()-5,"000"))</f>
        <v/>
      </c>
      <c r="C770" s="16" t="n"/>
      <c r="D770" s="14" t="n"/>
      <c r="E770" s="15">
        <f>IF($D770="","",IFERROR(INDEX(rngCadetPIDs,MATCH($D770,rngCadetNames,0)),"?"))</f>
        <v/>
      </c>
      <c r="F770" s="15">
        <f>IF($E770="","",IFERROR(INDEX(nrCadetAgency,MATCH($E770,rngCadetPIDs,0)),""))</f>
        <v/>
      </c>
      <c r="G770" s="14" t="n"/>
      <c r="H770" s="14" t="n"/>
      <c r="I770" s="14" t="n"/>
      <c r="J770" s="14" t="n"/>
      <c r="K770" s="15">
        <f>IF($G770="","",IF(OR($G770="PT Missed",$G770="PT Modified",$G770="PT Refused"),"Yes","No"))</f>
        <v/>
      </c>
      <c r="L770" s="14" t="n"/>
      <c r="M770" s="14" t="n"/>
      <c r="N770" s="15">
        <f>IF($D770="","",IF($M770="Excused","No",IF(AND($G770="PT Modified",$L770="Received"),"No","Yes")))</f>
        <v/>
      </c>
      <c r="O770" s="14" t="n"/>
    </row>
    <row r="771">
      <c r="B771" s="15">
        <f>IF($D771="","","A"&amp;TEXT(ROW()-5,"000"))</f>
        <v/>
      </c>
      <c r="C771" s="16" t="n"/>
      <c r="D771" s="14" t="n"/>
      <c r="E771" s="15">
        <f>IF($D771="","",IFERROR(INDEX(rngCadetPIDs,MATCH($D771,rngCadetNames,0)),"?"))</f>
        <v/>
      </c>
      <c r="F771" s="15">
        <f>IF($E771="","",IFERROR(INDEX(nrCadetAgency,MATCH($E771,rngCadetPIDs,0)),""))</f>
        <v/>
      </c>
      <c r="G771" s="14" t="n"/>
      <c r="H771" s="14" t="n"/>
      <c r="I771" s="14" t="n"/>
      <c r="J771" s="14" t="n"/>
      <c r="K771" s="15">
        <f>IF($G771="","",IF(OR($G771="PT Missed",$G771="PT Modified",$G771="PT Refused"),"Yes","No"))</f>
        <v/>
      </c>
      <c r="L771" s="14" t="n"/>
      <c r="M771" s="14" t="n"/>
      <c r="N771" s="15">
        <f>IF($D771="","",IF($M771="Excused","No",IF(AND($G771="PT Modified",$L771="Received"),"No","Yes")))</f>
        <v/>
      </c>
      <c r="O771" s="14" t="n"/>
    </row>
    <row r="772">
      <c r="B772" s="15">
        <f>IF($D772="","","A"&amp;TEXT(ROW()-5,"000"))</f>
        <v/>
      </c>
      <c r="C772" s="16" t="n"/>
      <c r="D772" s="14" t="n"/>
      <c r="E772" s="15">
        <f>IF($D772="","",IFERROR(INDEX(rngCadetPIDs,MATCH($D772,rngCadetNames,0)),"?"))</f>
        <v/>
      </c>
      <c r="F772" s="15">
        <f>IF($E772="","",IFERROR(INDEX(nrCadetAgency,MATCH($E772,rngCadetPIDs,0)),""))</f>
        <v/>
      </c>
      <c r="G772" s="14" t="n"/>
      <c r="H772" s="14" t="n"/>
      <c r="I772" s="14" t="n"/>
      <c r="J772" s="14" t="n"/>
      <c r="K772" s="15">
        <f>IF($G772="","",IF(OR($G772="PT Missed",$G772="PT Modified",$G772="PT Refused"),"Yes","No"))</f>
        <v/>
      </c>
      <c r="L772" s="14" t="n"/>
      <c r="M772" s="14" t="n"/>
      <c r="N772" s="15">
        <f>IF($D772="","",IF($M772="Excused","No",IF(AND($G772="PT Modified",$L772="Received"),"No","Yes")))</f>
        <v/>
      </c>
      <c r="O772" s="14" t="n"/>
    </row>
    <row r="773">
      <c r="B773" s="15">
        <f>IF($D773="","","A"&amp;TEXT(ROW()-5,"000"))</f>
        <v/>
      </c>
      <c r="C773" s="16" t="n"/>
      <c r="D773" s="14" t="n"/>
      <c r="E773" s="15">
        <f>IF($D773="","",IFERROR(INDEX(rngCadetPIDs,MATCH($D773,rngCadetNames,0)),"?"))</f>
        <v/>
      </c>
      <c r="F773" s="15">
        <f>IF($E773="","",IFERROR(INDEX(nrCadetAgency,MATCH($E773,rngCadetPIDs,0)),""))</f>
        <v/>
      </c>
      <c r="G773" s="14" t="n"/>
      <c r="H773" s="14" t="n"/>
      <c r="I773" s="14" t="n"/>
      <c r="J773" s="14" t="n"/>
      <c r="K773" s="15">
        <f>IF($G773="","",IF(OR($G773="PT Missed",$G773="PT Modified",$G773="PT Refused"),"Yes","No"))</f>
        <v/>
      </c>
      <c r="L773" s="14" t="n"/>
      <c r="M773" s="14" t="n"/>
      <c r="N773" s="15">
        <f>IF($D773="","",IF($M773="Excused","No",IF(AND($G773="PT Modified",$L773="Received"),"No","Yes")))</f>
        <v/>
      </c>
      <c r="O773" s="14" t="n"/>
    </row>
    <row r="774">
      <c r="B774" s="15">
        <f>IF($D774="","","A"&amp;TEXT(ROW()-5,"000"))</f>
        <v/>
      </c>
      <c r="C774" s="16" t="n"/>
      <c r="D774" s="14" t="n"/>
      <c r="E774" s="15">
        <f>IF($D774="","",IFERROR(INDEX(rngCadetPIDs,MATCH($D774,rngCadetNames,0)),"?"))</f>
        <v/>
      </c>
      <c r="F774" s="15">
        <f>IF($E774="","",IFERROR(INDEX(nrCadetAgency,MATCH($E774,rngCadetPIDs,0)),""))</f>
        <v/>
      </c>
      <c r="G774" s="14" t="n"/>
      <c r="H774" s="14" t="n"/>
      <c r="I774" s="14" t="n"/>
      <c r="J774" s="14" t="n"/>
      <c r="K774" s="15">
        <f>IF($G774="","",IF(OR($G774="PT Missed",$G774="PT Modified",$G774="PT Refused"),"Yes","No"))</f>
        <v/>
      </c>
      <c r="L774" s="14" t="n"/>
      <c r="M774" s="14" t="n"/>
      <c r="N774" s="15">
        <f>IF($D774="","",IF($M774="Excused","No",IF(AND($G774="PT Modified",$L774="Received"),"No","Yes")))</f>
        <v/>
      </c>
      <c r="O774" s="14" t="n"/>
    </row>
    <row r="775">
      <c r="B775" s="15">
        <f>IF($D775="","","A"&amp;TEXT(ROW()-5,"000"))</f>
        <v/>
      </c>
      <c r="C775" s="16" t="n"/>
      <c r="D775" s="14" t="n"/>
      <c r="E775" s="15">
        <f>IF($D775="","",IFERROR(INDEX(rngCadetPIDs,MATCH($D775,rngCadetNames,0)),"?"))</f>
        <v/>
      </c>
      <c r="F775" s="15">
        <f>IF($E775="","",IFERROR(INDEX(nrCadetAgency,MATCH($E775,rngCadetPIDs,0)),""))</f>
        <v/>
      </c>
      <c r="G775" s="14" t="n"/>
      <c r="H775" s="14" t="n"/>
      <c r="I775" s="14" t="n"/>
      <c r="J775" s="14" t="n"/>
      <c r="K775" s="15">
        <f>IF($G775="","",IF(OR($G775="PT Missed",$G775="PT Modified",$G775="PT Refused"),"Yes","No"))</f>
        <v/>
      </c>
      <c r="L775" s="14" t="n"/>
      <c r="M775" s="14" t="n"/>
      <c r="N775" s="15">
        <f>IF($D775="","",IF($M775="Excused","No",IF(AND($G775="PT Modified",$L775="Received"),"No","Yes")))</f>
        <v/>
      </c>
      <c r="O775" s="14" t="n"/>
    </row>
    <row r="776">
      <c r="B776" s="15">
        <f>IF($D776="","","A"&amp;TEXT(ROW()-5,"000"))</f>
        <v/>
      </c>
      <c r="C776" s="16" t="n"/>
      <c r="D776" s="14" t="n"/>
      <c r="E776" s="15">
        <f>IF($D776="","",IFERROR(INDEX(rngCadetPIDs,MATCH($D776,rngCadetNames,0)),"?"))</f>
        <v/>
      </c>
      <c r="F776" s="15">
        <f>IF($E776="","",IFERROR(INDEX(nrCadetAgency,MATCH($E776,rngCadetPIDs,0)),""))</f>
        <v/>
      </c>
      <c r="G776" s="14" t="n"/>
      <c r="H776" s="14" t="n"/>
      <c r="I776" s="14" t="n"/>
      <c r="J776" s="14" t="n"/>
      <c r="K776" s="15">
        <f>IF($G776="","",IF(OR($G776="PT Missed",$G776="PT Modified",$G776="PT Refused"),"Yes","No"))</f>
        <v/>
      </c>
      <c r="L776" s="14" t="n"/>
      <c r="M776" s="14" t="n"/>
      <c r="N776" s="15">
        <f>IF($D776="","",IF($M776="Excused","No",IF(AND($G776="PT Modified",$L776="Received"),"No","Yes")))</f>
        <v/>
      </c>
      <c r="O776" s="14" t="n"/>
    </row>
    <row r="777">
      <c r="B777" s="15">
        <f>IF($D777="","","A"&amp;TEXT(ROW()-5,"000"))</f>
        <v/>
      </c>
      <c r="C777" s="16" t="n"/>
      <c r="D777" s="14" t="n"/>
      <c r="E777" s="15">
        <f>IF($D777="","",IFERROR(INDEX(rngCadetPIDs,MATCH($D777,rngCadetNames,0)),"?"))</f>
        <v/>
      </c>
      <c r="F777" s="15">
        <f>IF($E777="","",IFERROR(INDEX(nrCadetAgency,MATCH($E777,rngCadetPIDs,0)),""))</f>
        <v/>
      </c>
      <c r="G777" s="14" t="n"/>
      <c r="H777" s="14" t="n"/>
      <c r="I777" s="14" t="n"/>
      <c r="J777" s="14" t="n"/>
      <c r="K777" s="15">
        <f>IF($G777="","",IF(OR($G777="PT Missed",$G777="PT Modified",$G777="PT Refused"),"Yes","No"))</f>
        <v/>
      </c>
      <c r="L777" s="14" t="n"/>
      <c r="M777" s="14" t="n"/>
      <c r="N777" s="15">
        <f>IF($D777="","",IF($M777="Excused","No",IF(AND($G777="PT Modified",$L777="Received"),"No","Yes")))</f>
        <v/>
      </c>
      <c r="O777" s="14" t="n"/>
    </row>
    <row r="778">
      <c r="B778" s="15">
        <f>IF($D778="","","A"&amp;TEXT(ROW()-5,"000"))</f>
        <v/>
      </c>
      <c r="C778" s="16" t="n"/>
      <c r="D778" s="14" t="n"/>
      <c r="E778" s="15">
        <f>IF($D778="","",IFERROR(INDEX(rngCadetPIDs,MATCH($D778,rngCadetNames,0)),"?"))</f>
        <v/>
      </c>
      <c r="F778" s="15">
        <f>IF($E778="","",IFERROR(INDEX(nrCadetAgency,MATCH($E778,rngCadetPIDs,0)),""))</f>
        <v/>
      </c>
      <c r="G778" s="14" t="n"/>
      <c r="H778" s="14" t="n"/>
      <c r="I778" s="14" t="n"/>
      <c r="J778" s="14" t="n"/>
      <c r="K778" s="15">
        <f>IF($G778="","",IF(OR($G778="PT Missed",$G778="PT Modified",$G778="PT Refused"),"Yes","No"))</f>
        <v/>
      </c>
      <c r="L778" s="14" t="n"/>
      <c r="M778" s="14" t="n"/>
      <c r="N778" s="15">
        <f>IF($D778="","",IF($M778="Excused","No",IF(AND($G778="PT Modified",$L778="Received"),"No","Yes")))</f>
        <v/>
      </c>
      <c r="O778" s="14" t="n"/>
    </row>
    <row r="779">
      <c r="B779" s="15">
        <f>IF($D779="","","A"&amp;TEXT(ROW()-5,"000"))</f>
        <v/>
      </c>
      <c r="C779" s="16" t="n"/>
      <c r="D779" s="14" t="n"/>
      <c r="E779" s="15">
        <f>IF($D779="","",IFERROR(INDEX(rngCadetPIDs,MATCH($D779,rngCadetNames,0)),"?"))</f>
        <v/>
      </c>
      <c r="F779" s="15">
        <f>IF($E779="","",IFERROR(INDEX(nrCadetAgency,MATCH($E779,rngCadetPIDs,0)),""))</f>
        <v/>
      </c>
      <c r="G779" s="14" t="n"/>
      <c r="H779" s="14" t="n"/>
      <c r="I779" s="14" t="n"/>
      <c r="J779" s="14" t="n"/>
      <c r="K779" s="15">
        <f>IF($G779="","",IF(OR($G779="PT Missed",$G779="PT Modified",$G779="PT Refused"),"Yes","No"))</f>
        <v/>
      </c>
      <c r="L779" s="14" t="n"/>
      <c r="M779" s="14" t="n"/>
      <c r="N779" s="15">
        <f>IF($D779="","",IF($M779="Excused","No",IF(AND($G779="PT Modified",$L779="Received"),"No","Yes")))</f>
        <v/>
      </c>
      <c r="O779" s="14" t="n"/>
    </row>
    <row r="780">
      <c r="B780" s="15">
        <f>IF($D780="","","A"&amp;TEXT(ROW()-5,"000"))</f>
        <v/>
      </c>
      <c r="C780" s="16" t="n"/>
      <c r="D780" s="14" t="n"/>
      <c r="E780" s="15">
        <f>IF($D780="","",IFERROR(INDEX(rngCadetPIDs,MATCH($D780,rngCadetNames,0)),"?"))</f>
        <v/>
      </c>
      <c r="F780" s="15">
        <f>IF($E780="","",IFERROR(INDEX(nrCadetAgency,MATCH($E780,rngCadetPIDs,0)),""))</f>
        <v/>
      </c>
      <c r="G780" s="14" t="n"/>
      <c r="H780" s="14" t="n"/>
      <c r="I780" s="14" t="n"/>
      <c r="J780" s="14" t="n"/>
      <c r="K780" s="15">
        <f>IF($G780="","",IF(OR($G780="PT Missed",$G780="PT Modified",$G780="PT Refused"),"Yes","No"))</f>
        <v/>
      </c>
      <c r="L780" s="14" t="n"/>
      <c r="M780" s="14" t="n"/>
      <c r="N780" s="15">
        <f>IF($D780="","",IF($M780="Excused","No",IF(AND($G780="PT Modified",$L780="Received"),"No","Yes")))</f>
        <v/>
      </c>
      <c r="O780" s="14" t="n"/>
    </row>
    <row r="781">
      <c r="B781" s="15">
        <f>IF($D781="","","A"&amp;TEXT(ROW()-5,"000"))</f>
        <v/>
      </c>
      <c r="C781" s="16" t="n"/>
      <c r="D781" s="14" t="n"/>
      <c r="E781" s="15">
        <f>IF($D781="","",IFERROR(INDEX(rngCadetPIDs,MATCH($D781,rngCadetNames,0)),"?"))</f>
        <v/>
      </c>
      <c r="F781" s="15">
        <f>IF($E781="","",IFERROR(INDEX(nrCadetAgency,MATCH($E781,rngCadetPIDs,0)),""))</f>
        <v/>
      </c>
      <c r="G781" s="14" t="n"/>
      <c r="H781" s="14" t="n"/>
      <c r="I781" s="14" t="n"/>
      <c r="J781" s="14" t="n"/>
      <c r="K781" s="15">
        <f>IF($G781="","",IF(OR($G781="PT Missed",$G781="PT Modified",$G781="PT Refused"),"Yes","No"))</f>
        <v/>
      </c>
      <c r="L781" s="14" t="n"/>
      <c r="M781" s="14" t="n"/>
      <c r="N781" s="15">
        <f>IF($D781="","",IF($M781="Excused","No",IF(AND($G781="PT Modified",$L781="Received"),"No","Yes")))</f>
        <v/>
      </c>
      <c r="O781" s="14" t="n"/>
    </row>
    <row r="782">
      <c r="B782" s="15">
        <f>IF($D782="","","A"&amp;TEXT(ROW()-5,"000"))</f>
        <v/>
      </c>
      <c r="C782" s="16" t="n"/>
      <c r="D782" s="14" t="n"/>
      <c r="E782" s="15">
        <f>IF($D782="","",IFERROR(INDEX(rngCadetPIDs,MATCH($D782,rngCadetNames,0)),"?"))</f>
        <v/>
      </c>
      <c r="F782" s="15">
        <f>IF($E782="","",IFERROR(INDEX(nrCadetAgency,MATCH($E782,rngCadetPIDs,0)),""))</f>
        <v/>
      </c>
      <c r="G782" s="14" t="n"/>
      <c r="H782" s="14" t="n"/>
      <c r="I782" s="14" t="n"/>
      <c r="J782" s="14" t="n"/>
      <c r="K782" s="15">
        <f>IF($G782="","",IF(OR($G782="PT Missed",$G782="PT Modified",$G782="PT Refused"),"Yes","No"))</f>
        <v/>
      </c>
      <c r="L782" s="14" t="n"/>
      <c r="M782" s="14" t="n"/>
      <c r="N782" s="15">
        <f>IF($D782="","",IF($M782="Excused","No",IF(AND($G782="PT Modified",$L782="Received"),"No","Yes")))</f>
        <v/>
      </c>
      <c r="O782" s="14" t="n"/>
    </row>
    <row r="783">
      <c r="B783" s="15">
        <f>IF($D783="","","A"&amp;TEXT(ROW()-5,"000"))</f>
        <v/>
      </c>
      <c r="C783" s="16" t="n"/>
      <c r="D783" s="14" t="n"/>
      <c r="E783" s="15">
        <f>IF($D783="","",IFERROR(INDEX(rngCadetPIDs,MATCH($D783,rngCadetNames,0)),"?"))</f>
        <v/>
      </c>
      <c r="F783" s="15">
        <f>IF($E783="","",IFERROR(INDEX(nrCadetAgency,MATCH($E783,rngCadetPIDs,0)),""))</f>
        <v/>
      </c>
      <c r="G783" s="14" t="n"/>
      <c r="H783" s="14" t="n"/>
      <c r="I783" s="14" t="n"/>
      <c r="J783" s="14" t="n"/>
      <c r="K783" s="15">
        <f>IF($G783="","",IF(OR($G783="PT Missed",$G783="PT Modified",$G783="PT Refused"),"Yes","No"))</f>
        <v/>
      </c>
      <c r="L783" s="14" t="n"/>
      <c r="M783" s="14" t="n"/>
      <c r="N783" s="15">
        <f>IF($D783="","",IF($M783="Excused","No",IF(AND($G783="PT Modified",$L783="Received"),"No","Yes")))</f>
        <v/>
      </c>
      <c r="O783" s="14" t="n"/>
    </row>
    <row r="784">
      <c r="B784" s="15">
        <f>IF($D784="","","A"&amp;TEXT(ROW()-5,"000"))</f>
        <v/>
      </c>
      <c r="C784" s="16" t="n"/>
      <c r="D784" s="14" t="n"/>
      <c r="E784" s="15">
        <f>IF($D784="","",IFERROR(INDEX(rngCadetPIDs,MATCH($D784,rngCadetNames,0)),"?"))</f>
        <v/>
      </c>
      <c r="F784" s="15">
        <f>IF($E784="","",IFERROR(INDEX(nrCadetAgency,MATCH($E784,rngCadetPIDs,0)),""))</f>
        <v/>
      </c>
      <c r="G784" s="14" t="n"/>
      <c r="H784" s="14" t="n"/>
      <c r="I784" s="14" t="n"/>
      <c r="J784" s="14" t="n"/>
      <c r="K784" s="15">
        <f>IF($G784="","",IF(OR($G784="PT Missed",$G784="PT Modified",$G784="PT Refused"),"Yes","No"))</f>
        <v/>
      </c>
      <c r="L784" s="14" t="n"/>
      <c r="M784" s="14" t="n"/>
      <c r="N784" s="15">
        <f>IF($D784="","",IF($M784="Excused","No",IF(AND($G784="PT Modified",$L784="Received"),"No","Yes")))</f>
        <v/>
      </c>
      <c r="O784" s="14" t="n"/>
    </row>
    <row r="785">
      <c r="B785" s="15">
        <f>IF($D785="","","A"&amp;TEXT(ROW()-5,"000"))</f>
        <v/>
      </c>
      <c r="C785" s="16" t="n"/>
      <c r="D785" s="14" t="n"/>
      <c r="E785" s="15">
        <f>IF($D785="","",IFERROR(INDEX(rngCadetPIDs,MATCH($D785,rngCadetNames,0)),"?"))</f>
        <v/>
      </c>
      <c r="F785" s="15">
        <f>IF($E785="","",IFERROR(INDEX(nrCadetAgency,MATCH($E785,rngCadetPIDs,0)),""))</f>
        <v/>
      </c>
      <c r="G785" s="14" t="n"/>
      <c r="H785" s="14" t="n"/>
      <c r="I785" s="14" t="n"/>
      <c r="J785" s="14" t="n"/>
      <c r="K785" s="15">
        <f>IF($G785="","",IF(OR($G785="PT Missed",$G785="PT Modified",$G785="PT Refused"),"Yes","No"))</f>
        <v/>
      </c>
      <c r="L785" s="14" t="n"/>
      <c r="M785" s="14" t="n"/>
      <c r="N785" s="15">
        <f>IF($D785="","",IF($M785="Excused","No",IF(AND($G785="PT Modified",$L785="Received"),"No","Yes")))</f>
        <v/>
      </c>
      <c r="O785" s="14" t="n"/>
    </row>
    <row r="786">
      <c r="B786" s="15">
        <f>IF($D786="","","A"&amp;TEXT(ROW()-5,"000"))</f>
        <v/>
      </c>
      <c r="C786" s="16" t="n"/>
      <c r="D786" s="14" t="n"/>
      <c r="E786" s="15">
        <f>IF($D786="","",IFERROR(INDEX(rngCadetPIDs,MATCH($D786,rngCadetNames,0)),"?"))</f>
        <v/>
      </c>
      <c r="F786" s="15">
        <f>IF($E786="","",IFERROR(INDEX(nrCadetAgency,MATCH($E786,rngCadetPIDs,0)),""))</f>
        <v/>
      </c>
      <c r="G786" s="14" t="n"/>
      <c r="H786" s="14" t="n"/>
      <c r="I786" s="14" t="n"/>
      <c r="J786" s="14" t="n"/>
      <c r="K786" s="15">
        <f>IF($G786="","",IF(OR($G786="PT Missed",$G786="PT Modified",$G786="PT Refused"),"Yes","No"))</f>
        <v/>
      </c>
      <c r="L786" s="14" t="n"/>
      <c r="M786" s="14" t="n"/>
      <c r="N786" s="15">
        <f>IF($D786="","",IF($M786="Excused","No",IF(AND($G786="PT Modified",$L786="Received"),"No","Yes")))</f>
        <v/>
      </c>
      <c r="O786" s="14" t="n"/>
    </row>
    <row r="787">
      <c r="B787" s="15">
        <f>IF($D787="","","A"&amp;TEXT(ROW()-5,"000"))</f>
        <v/>
      </c>
      <c r="C787" s="16" t="n"/>
      <c r="D787" s="14" t="n"/>
      <c r="E787" s="15">
        <f>IF($D787="","",IFERROR(INDEX(rngCadetPIDs,MATCH($D787,rngCadetNames,0)),"?"))</f>
        <v/>
      </c>
      <c r="F787" s="15">
        <f>IF($E787="","",IFERROR(INDEX(nrCadetAgency,MATCH($E787,rngCadetPIDs,0)),""))</f>
        <v/>
      </c>
      <c r="G787" s="14" t="n"/>
      <c r="H787" s="14" t="n"/>
      <c r="I787" s="14" t="n"/>
      <c r="J787" s="14" t="n"/>
      <c r="K787" s="15">
        <f>IF($G787="","",IF(OR($G787="PT Missed",$G787="PT Modified",$G787="PT Refused"),"Yes","No"))</f>
        <v/>
      </c>
      <c r="L787" s="14" t="n"/>
      <c r="M787" s="14" t="n"/>
      <c r="N787" s="15">
        <f>IF($D787="","",IF($M787="Excused","No",IF(AND($G787="PT Modified",$L787="Received"),"No","Yes")))</f>
        <v/>
      </c>
      <c r="O787" s="14" t="n"/>
    </row>
    <row r="788">
      <c r="B788" s="15">
        <f>IF($D788="","","A"&amp;TEXT(ROW()-5,"000"))</f>
        <v/>
      </c>
      <c r="C788" s="16" t="n"/>
      <c r="D788" s="14" t="n"/>
      <c r="E788" s="15">
        <f>IF($D788="","",IFERROR(INDEX(rngCadetPIDs,MATCH($D788,rngCadetNames,0)),"?"))</f>
        <v/>
      </c>
      <c r="F788" s="15">
        <f>IF($E788="","",IFERROR(INDEX(nrCadetAgency,MATCH($E788,rngCadetPIDs,0)),""))</f>
        <v/>
      </c>
      <c r="G788" s="14" t="n"/>
      <c r="H788" s="14" t="n"/>
      <c r="I788" s="14" t="n"/>
      <c r="J788" s="14" t="n"/>
      <c r="K788" s="15">
        <f>IF($G788="","",IF(OR($G788="PT Missed",$G788="PT Modified",$G788="PT Refused"),"Yes","No"))</f>
        <v/>
      </c>
      <c r="L788" s="14" t="n"/>
      <c r="M788" s="14" t="n"/>
      <c r="N788" s="15">
        <f>IF($D788="","",IF($M788="Excused","No",IF(AND($G788="PT Modified",$L788="Received"),"No","Yes")))</f>
        <v/>
      </c>
      <c r="O788" s="14" t="n"/>
    </row>
    <row r="789">
      <c r="B789" s="15">
        <f>IF($D789="","","A"&amp;TEXT(ROW()-5,"000"))</f>
        <v/>
      </c>
      <c r="C789" s="16" t="n"/>
      <c r="D789" s="14" t="n"/>
      <c r="E789" s="15">
        <f>IF($D789="","",IFERROR(INDEX(rngCadetPIDs,MATCH($D789,rngCadetNames,0)),"?"))</f>
        <v/>
      </c>
      <c r="F789" s="15">
        <f>IF($E789="","",IFERROR(INDEX(nrCadetAgency,MATCH($E789,rngCadetPIDs,0)),""))</f>
        <v/>
      </c>
      <c r="G789" s="14" t="n"/>
      <c r="H789" s="14" t="n"/>
      <c r="I789" s="14" t="n"/>
      <c r="J789" s="14" t="n"/>
      <c r="K789" s="15">
        <f>IF($G789="","",IF(OR($G789="PT Missed",$G789="PT Modified",$G789="PT Refused"),"Yes","No"))</f>
        <v/>
      </c>
      <c r="L789" s="14" t="n"/>
      <c r="M789" s="14" t="n"/>
      <c r="N789" s="15">
        <f>IF($D789="","",IF($M789="Excused","No",IF(AND($G789="PT Modified",$L789="Received"),"No","Yes")))</f>
        <v/>
      </c>
      <c r="O789" s="14" t="n"/>
    </row>
    <row r="790">
      <c r="B790" s="15">
        <f>IF($D790="","","A"&amp;TEXT(ROW()-5,"000"))</f>
        <v/>
      </c>
      <c r="C790" s="16" t="n"/>
      <c r="D790" s="14" t="n"/>
      <c r="E790" s="15">
        <f>IF($D790="","",IFERROR(INDEX(rngCadetPIDs,MATCH($D790,rngCadetNames,0)),"?"))</f>
        <v/>
      </c>
      <c r="F790" s="15">
        <f>IF($E790="","",IFERROR(INDEX(nrCadetAgency,MATCH($E790,rngCadetPIDs,0)),""))</f>
        <v/>
      </c>
      <c r="G790" s="14" t="n"/>
      <c r="H790" s="14" t="n"/>
      <c r="I790" s="14" t="n"/>
      <c r="J790" s="14" t="n"/>
      <c r="K790" s="15">
        <f>IF($G790="","",IF(OR($G790="PT Missed",$G790="PT Modified",$G790="PT Refused"),"Yes","No"))</f>
        <v/>
      </c>
      <c r="L790" s="14" t="n"/>
      <c r="M790" s="14" t="n"/>
      <c r="N790" s="15">
        <f>IF($D790="","",IF($M790="Excused","No",IF(AND($G790="PT Modified",$L790="Received"),"No","Yes")))</f>
        <v/>
      </c>
      <c r="O790" s="14" t="n"/>
    </row>
    <row r="791">
      <c r="B791" s="15">
        <f>IF($D791="","","A"&amp;TEXT(ROW()-5,"000"))</f>
        <v/>
      </c>
      <c r="C791" s="16" t="n"/>
      <c r="D791" s="14" t="n"/>
      <c r="E791" s="15">
        <f>IF($D791="","",IFERROR(INDEX(rngCadetPIDs,MATCH($D791,rngCadetNames,0)),"?"))</f>
        <v/>
      </c>
      <c r="F791" s="15">
        <f>IF($E791="","",IFERROR(INDEX(nrCadetAgency,MATCH($E791,rngCadetPIDs,0)),""))</f>
        <v/>
      </c>
      <c r="G791" s="14" t="n"/>
      <c r="H791" s="14" t="n"/>
      <c r="I791" s="14" t="n"/>
      <c r="J791" s="14" t="n"/>
      <c r="K791" s="15">
        <f>IF($G791="","",IF(OR($G791="PT Missed",$G791="PT Modified",$G791="PT Refused"),"Yes","No"))</f>
        <v/>
      </c>
      <c r="L791" s="14" t="n"/>
      <c r="M791" s="14" t="n"/>
      <c r="N791" s="15">
        <f>IF($D791="","",IF($M791="Excused","No",IF(AND($G791="PT Modified",$L791="Received"),"No","Yes")))</f>
        <v/>
      </c>
      <c r="O791" s="14" t="n"/>
    </row>
    <row r="792">
      <c r="B792" s="15">
        <f>IF($D792="","","A"&amp;TEXT(ROW()-5,"000"))</f>
        <v/>
      </c>
      <c r="C792" s="16" t="n"/>
      <c r="D792" s="14" t="n"/>
      <c r="E792" s="15">
        <f>IF($D792="","",IFERROR(INDEX(rngCadetPIDs,MATCH($D792,rngCadetNames,0)),"?"))</f>
        <v/>
      </c>
      <c r="F792" s="15">
        <f>IF($E792="","",IFERROR(INDEX(nrCadetAgency,MATCH($E792,rngCadetPIDs,0)),""))</f>
        <v/>
      </c>
      <c r="G792" s="14" t="n"/>
      <c r="H792" s="14" t="n"/>
      <c r="I792" s="14" t="n"/>
      <c r="J792" s="14" t="n"/>
      <c r="K792" s="15">
        <f>IF($G792="","",IF(OR($G792="PT Missed",$G792="PT Modified",$G792="PT Refused"),"Yes","No"))</f>
        <v/>
      </c>
      <c r="L792" s="14" t="n"/>
      <c r="M792" s="14" t="n"/>
      <c r="N792" s="15">
        <f>IF($D792="","",IF($M792="Excused","No",IF(AND($G792="PT Modified",$L792="Received"),"No","Yes")))</f>
        <v/>
      </c>
      <c r="O792" s="14" t="n"/>
    </row>
    <row r="793">
      <c r="B793" s="15">
        <f>IF($D793="","","A"&amp;TEXT(ROW()-5,"000"))</f>
        <v/>
      </c>
      <c r="C793" s="16" t="n"/>
      <c r="D793" s="14" t="n"/>
      <c r="E793" s="15">
        <f>IF($D793="","",IFERROR(INDEX(rngCadetPIDs,MATCH($D793,rngCadetNames,0)),"?"))</f>
        <v/>
      </c>
      <c r="F793" s="15">
        <f>IF($E793="","",IFERROR(INDEX(nrCadetAgency,MATCH($E793,rngCadetPIDs,0)),""))</f>
        <v/>
      </c>
      <c r="G793" s="14" t="n"/>
      <c r="H793" s="14" t="n"/>
      <c r="I793" s="14" t="n"/>
      <c r="J793" s="14" t="n"/>
      <c r="K793" s="15">
        <f>IF($G793="","",IF(OR($G793="PT Missed",$G793="PT Modified",$G793="PT Refused"),"Yes","No"))</f>
        <v/>
      </c>
      <c r="L793" s="14" t="n"/>
      <c r="M793" s="14" t="n"/>
      <c r="N793" s="15">
        <f>IF($D793="","",IF($M793="Excused","No",IF(AND($G793="PT Modified",$L793="Received"),"No","Yes")))</f>
        <v/>
      </c>
      <c r="O793" s="14" t="n"/>
    </row>
    <row r="794">
      <c r="B794" s="15">
        <f>IF($D794="","","A"&amp;TEXT(ROW()-5,"000"))</f>
        <v/>
      </c>
      <c r="C794" s="16" t="n"/>
      <c r="D794" s="14" t="n"/>
      <c r="E794" s="15">
        <f>IF($D794="","",IFERROR(INDEX(rngCadetPIDs,MATCH($D794,rngCadetNames,0)),"?"))</f>
        <v/>
      </c>
      <c r="F794" s="15">
        <f>IF($E794="","",IFERROR(INDEX(nrCadetAgency,MATCH($E794,rngCadetPIDs,0)),""))</f>
        <v/>
      </c>
      <c r="G794" s="14" t="n"/>
      <c r="H794" s="14" t="n"/>
      <c r="I794" s="14" t="n"/>
      <c r="J794" s="14" t="n"/>
      <c r="K794" s="15">
        <f>IF($G794="","",IF(OR($G794="PT Missed",$G794="PT Modified",$G794="PT Refused"),"Yes","No"))</f>
        <v/>
      </c>
      <c r="L794" s="14" t="n"/>
      <c r="M794" s="14" t="n"/>
      <c r="N794" s="15">
        <f>IF($D794="","",IF($M794="Excused","No",IF(AND($G794="PT Modified",$L794="Received"),"No","Yes")))</f>
        <v/>
      </c>
      <c r="O794" s="14" t="n"/>
    </row>
    <row r="795">
      <c r="B795" s="15">
        <f>IF($D795="","","A"&amp;TEXT(ROW()-5,"000"))</f>
        <v/>
      </c>
      <c r="C795" s="16" t="n"/>
      <c r="D795" s="14" t="n"/>
      <c r="E795" s="15">
        <f>IF($D795="","",IFERROR(INDEX(rngCadetPIDs,MATCH($D795,rngCadetNames,0)),"?"))</f>
        <v/>
      </c>
      <c r="F795" s="15">
        <f>IF($E795="","",IFERROR(INDEX(nrCadetAgency,MATCH($E795,rngCadetPIDs,0)),""))</f>
        <v/>
      </c>
      <c r="G795" s="14" t="n"/>
      <c r="H795" s="14" t="n"/>
      <c r="I795" s="14" t="n"/>
      <c r="J795" s="14" t="n"/>
      <c r="K795" s="15">
        <f>IF($G795="","",IF(OR($G795="PT Missed",$G795="PT Modified",$G795="PT Refused"),"Yes","No"))</f>
        <v/>
      </c>
      <c r="L795" s="14" t="n"/>
      <c r="M795" s="14" t="n"/>
      <c r="N795" s="15">
        <f>IF($D795="","",IF($M795="Excused","No",IF(AND($G795="PT Modified",$L795="Received"),"No","Yes")))</f>
        <v/>
      </c>
      <c r="O795" s="14" t="n"/>
    </row>
    <row r="796">
      <c r="B796" s="15">
        <f>IF($D796="","","A"&amp;TEXT(ROW()-5,"000"))</f>
        <v/>
      </c>
      <c r="C796" s="16" t="n"/>
      <c r="D796" s="14" t="n"/>
      <c r="E796" s="15">
        <f>IF($D796="","",IFERROR(INDEX(rngCadetPIDs,MATCH($D796,rngCadetNames,0)),"?"))</f>
        <v/>
      </c>
      <c r="F796" s="15">
        <f>IF($E796="","",IFERROR(INDEX(nrCadetAgency,MATCH($E796,rngCadetPIDs,0)),""))</f>
        <v/>
      </c>
      <c r="G796" s="14" t="n"/>
      <c r="H796" s="14" t="n"/>
      <c r="I796" s="14" t="n"/>
      <c r="J796" s="14" t="n"/>
      <c r="K796" s="15">
        <f>IF($G796="","",IF(OR($G796="PT Missed",$G796="PT Modified",$G796="PT Refused"),"Yes","No"))</f>
        <v/>
      </c>
      <c r="L796" s="14" t="n"/>
      <c r="M796" s="14" t="n"/>
      <c r="N796" s="15">
        <f>IF($D796="","",IF($M796="Excused","No",IF(AND($G796="PT Modified",$L796="Received"),"No","Yes")))</f>
        <v/>
      </c>
      <c r="O796" s="14" t="n"/>
    </row>
    <row r="797">
      <c r="B797" s="15">
        <f>IF($D797="","","A"&amp;TEXT(ROW()-5,"000"))</f>
        <v/>
      </c>
      <c r="C797" s="16" t="n"/>
      <c r="D797" s="14" t="n"/>
      <c r="E797" s="15">
        <f>IF($D797="","",IFERROR(INDEX(rngCadetPIDs,MATCH($D797,rngCadetNames,0)),"?"))</f>
        <v/>
      </c>
      <c r="F797" s="15">
        <f>IF($E797="","",IFERROR(INDEX(nrCadetAgency,MATCH($E797,rngCadetPIDs,0)),""))</f>
        <v/>
      </c>
      <c r="G797" s="14" t="n"/>
      <c r="H797" s="14" t="n"/>
      <c r="I797" s="14" t="n"/>
      <c r="J797" s="14" t="n"/>
      <c r="K797" s="15">
        <f>IF($G797="","",IF(OR($G797="PT Missed",$G797="PT Modified",$G797="PT Refused"),"Yes","No"))</f>
        <v/>
      </c>
      <c r="L797" s="14" t="n"/>
      <c r="M797" s="14" t="n"/>
      <c r="N797" s="15">
        <f>IF($D797="","",IF($M797="Excused","No",IF(AND($G797="PT Modified",$L797="Received"),"No","Yes")))</f>
        <v/>
      </c>
      <c r="O797" s="14" t="n"/>
    </row>
    <row r="798">
      <c r="B798" s="15">
        <f>IF($D798="","","A"&amp;TEXT(ROW()-5,"000"))</f>
        <v/>
      </c>
      <c r="C798" s="16" t="n"/>
      <c r="D798" s="14" t="n"/>
      <c r="E798" s="15">
        <f>IF($D798="","",IFERROR(INDEX(rngCadetPIDs,MATCH($D798,rngCadetNames,0)),"?"))</f>
        <v/>
      </c>
      <c r="F798" s="15">
        <f>IF($E798="","",IFERROR(INDEX(nrCadetAgency,MATCH($E798,rngCadetPIDs,0)),""))</f>
        <v/>
      </c>
      <c r="G798" s="14" t="n"/>
      <c r="H798" s="14" t="n"/>
      <c r="I798" s="14" t="n"/>
      <c r="J798" s="14" t="n"/>
      <c r="K798" s="15">
        <f>IF($G798="","",IF(OR($G798="PT Missed",$G798="PT Modified",$G798="PT Refused"),"Yes","No"))</f>
        <v/>
      </c>
      <c r="L798" s="14" t="n"/>
      <c r="M798" s="14" t="n"/>
      <c r="N798" s="15">
        <f>IF($D798="","",IF($M798="Excused","No",IF(AND($G798="PT Modified",$L798="Received"),"No","Yes")))</f>
        <v/>
      </c>
      <c r="O798" s="14" t="n"/>
    </row>
    <row r="799">
      <c r="B799" s="15">
        <f>IF($D799="","","A"&amp;TEXT(ROW()-5,"000"))</f>
        <v/>
      </c>
      <c r="C799" s="16" t="n"/>
      <c r="D799" s="14" t="n"/>
      <c r="E799" s="15">
        <f>IF($D799="","",IFERROR(INDEX(rngCadetPIDs,MATCH($D799,rngCadetNames,0)),"?"))</f>
        <v/>
      </c>
      <c r="F799" s="15">
        <f>IF($E799="","",IFERROR(INDEX(nrCadetAgency,MATCH($E799,rngCadetPIDs,0)),""))</f>
        <v/>
      </c>
      <c r="G799" s="14" t="n"/>
      <c r="H799" s="14" t="n"/>
      <c r="I799" s="14" t="n"/>
      <c r="J799" s="14" t="n"/>
      <c r="K799" s="15">
        <f>IF($G799="","",IF(OR($G799="PT Missed",$G799="PT Modified",$G799="PT Refused"),"Yes","No"))</f>
        <v/>
      </c>
      <c r="L799" s="14" t="n"/>
      <c r="M799" s="14" t="n"/>
      <c r="N799" s="15">
        <f>IF($D799="","",IF($M799="Excused","No",IF(AND($G799="PT Modified",$L799="Received"),"No","Yes")))</f>
        <v/>
      </c>
      <c r="O799" s="14" t="n"/>
    </row>
    <row r="800">
      <c r="B800" s="15">
        <f>IF($D800="","","A"&amp;TEXT(ROW()-5,"000"))</f>
        <v/>
      </c>
      <c r="C800" s="16" t="n"/>
      <c r="D800" s="14" t="n"/>
      <c r="E800" s="15">
        <f>IF($D800="","",IFERROR(INDEX(rngCadetPIDs,MATCH($D800,rngCadetNames,0)),"?"))</f>
        <v/>
      </c>
      <c r="F800" s="15">
        <f>IF($E800="","",IFERROR(INDEX(nrCadetAgency,MATCH($E800,rngCadetPIDs,0)),""))</f>
        <v/>
      </c>
      <c r="G800" s="14" t="n"/>
      <c r="H800" s="14" t="n"/>
      <c r="I800" s="14" t="n"/>
      <c r="J800" s="14" t="n"/>
      <c r="K800" s="15">
        <f>IF($G800="","",IF(OR($G800="PT Missed",$G800="PT Modified",$G800="PT Refused"),"Yes","No"))</f>
        <v/>
      </c>
      <c r="L800" s="14" t="n"/>
      <c r="M800" s="14" t="n"/>
      <c r="N800" s="15">
        <f>IF($D800="","",IF($M800="Excused","No",IF(AND($G800="PT Modified",$L800="Received"),"No","Yes")))</f>
        <v/>
      </c>
      <c r="O800" s="14" t="n"/>
    </row>
    <row r="801">
      <c r="B801" s="15">
        <f>IF($D801="","","A"&amp;TEXT(ROW()-5,"000"))</f>
        <v/>
      </c>
      <c r="C801" s="16" t="n"/>
      <c r="D801" s="14" t="n"/>
      <c r="E801" s="15">
        <f>IF($D801="","",IFERROR(INDEX(rngCadetPIDs,MATCH($D801,rngCadetNames,0)),"?"))</f>
        <v/>
      </c>
      <c r="F801" s="15">
        <f>IF($E801="","",IFERROR(INDEX(nrCadetAgency,MATCH($E801,rngCadetPIDs,0)),""))</f>
        <v/>
      </c>
      <c r="G801" s="14" t="n"/>
      <c r="H801" s="14" t="n"/>
      <c r="I801" s="14" t="n"/>
      <c r="J801" s="14" t="n"/>
      <c r="K801" s="15">
        <f>IF($G801="","",IF(OR($G801="PT Missed",$G801="PT Modified",$G801="PT Refused"),"Yes","No"))</f>
        <v/>
      </c>
      <c r="L801" s="14" t="n"/>
      <c r="M801" s="14" t="n"/>
      <c r="N801" s="15">
        <f>IF($D801="","",IF($M801="Excused","No",IF(AND($G801="PT Modified",$L801="Received"),"No","Yes")))</f>
        <v/>
      </c>
      <c r="O801" s="14" t="n"/>
    </row>
    <row r="802">
      <c r="B802" s="15">
        <f>IF($D802="","","A"&amp;TEXT(ROW()-5,"000"))</f>
        <v/>
      </c>
      <c r="C802" s="16" t="n"/>
      <c r="D802" s="14" t="n"/>
      <c r="E802" s="15">
        <f>IF($D802="","",IFERROR(INDEX(rngCadetPIDs,MATCH($D802,rngCadetNames,0)),"?"))</f>
        <v/>
      </c>
      <c r="F802" s="15">
        <f>IF($E802="","",IFERROR(INDEX(nrCadetAgency,MATCH($E802,rngCadetPIDs,0)),""))</f>
        <v/>
      </c>
      <c r="G802" s="14" t="n"/>
      <c r="H802" s="14" t="n"/>
      <c r="I802" s="14" t="n"/>
      <c r="J802" s="14" t="n"/>
      <c r="K802" s="15">
        <f>IF($G802="","",IF(OR($G802="PT Missed",$G802="PT Modified",$G802="PT Refused"),"Yes","No"))</f>
        <v/>
      </c>
      <c r="L802" s="14" t="n"/>
      <c r="M802" s="14" t="n"/>
      <c r="N802" s="15">
        <f>IF($D802="","",IF($M802="Excused","No",IF(AND($G802="PT Modified",$L802="Received"),"No","Yes")))</f>
        <v/>
      </c>
      <c r="O802" s="14" t="n"/>
    </row>
    <row r="803">
      <c r="B803" s="15">
        <f>IF($D803="","","A"&amp;TEXT(ROW()-5,"000"))</f>
        <v/>
      </c>
      <c r="C803" s="16" t="n"/>
      <c r="D803" s="14" t="n"/>
      <c r="E803" s="15">
        <f>IF($D803="","",IFERROR(INDEX(rngCadetPIDs,MATCH($D803,rngCadetNames,0)),"?"))</f>
        <v/>
      </c>
      <c r="F803" s="15">
        <f>IF($E803="","",IFERROR(INDEX(nrCadetAgency,MATCH($E803,rngCadetPIDs,0)),""))</f>
        <v/>
      </c>
      <c r="G803" s="14" t="n"/>
      <c r="H803" s="14" t="n"/>
      <c r="I803" s="14" t="n"/>
      <c r="J803" s="14" t="n"/>
      <c r="K803" s="15">
        <f>IF($G803="","",IF(OR($G803="PT Missed",$G803="PT Modified",$G803="PT Refused"),"Yes","No"))</f>
        <v/>
      </c>
      <c r="L803" s="14" t="n"/>
      <c r="M803" s="14" t="n"/>
      <c r="N803" s="15">
        <f>IF($D803="","",IF($M803="Excused","No",IF(AND($G803="PT Modified",$L803="Received"),"No","Yes")))</f>
        <v/>
      </c>
      <c r="O803" s="14" t="n"/>
    </row>
    <row r="804">
      <c r="B804" s="15">
        <f>IF($D804="","","A"&amp;TEXT(ROW()-5,"000"))</f>
        <v/>
      </c>
      <c r="C804" s="16" t="n"/>
      <c r="D804" s="14" t="n"/>
      <c r="E804" s="15">
        <f>IF($D804="","",IFERROR(INDEX(rngCadetPIDs,MATCH($D804,rngCadetNames,0)),"?"))</f>
        <v/>
      </c>
      <c r="F804" s="15">
        <f>IF($E804="","",IFERROR(INDEX(nrCadetAgency,MATCH($E804,rngCadetPIDs,0)),""))</f>
        <v/>
      </c>
      <c r="G804" s="14" t="n"/>
      <c r="H804" s="14" t="n"/>
      <c r="I804" s="14" t="n"/>
      <c r="J804" s="14" t="n"/>
      <c r="K804" s="15">
        <f>IF($G804="","",IF(OR($G804="PT Missed",$G804="PT Modified",$G804="PT Refused"),"Yes","No"))</f>
        <v/>
      </c>
      <c r="L804" s="14" t="n"/>
      <c r="M804" s="14" t="n"/>
      <c r="N804" s="15">
        <f>IF($D804="","",IF($M804="Excused","No",IF(AND($G804="PT Modified",$L804="Received"),"No","Yes")))</f>
        <v/>
      </c>
      <c r="O804" s="14" t="n"/>
    </row>
    <row r="805">
      <c r="B805" s="15">
        <f>IF($D805="","","A"&amp;TEXT(ROW()-5,"000"))</f>
        <v/>
      </c>
      <c r="C805" s="16" t="n"/>
      <c r="D805" s="14" t="n"/>
      <c r="E805" s="15">
        <f>IF($D805="","",IFERROR(INDEX(rngCadetPIDs,MATCH($D805,rngCadetNames,0)),"?"))</f>
        <v/>
      </c>
      <c r="F805" s="15">
        <f>IF($E805="","",IFERROR(INDEX(nrCadetAgency,MATCH($E805,rngCadetPIDs,0)),""))</f>
        <v/>
      </c>
      <c r="G805" s="14" t="n"/>
      <c r="H805" s="14" t="n"/>
      <c r="I805" s="14" t="n"/>
      <c r="J805" s="14" t="n"/>
      <c r="K805" s="15">
        <f>IF($G805="","",IF(OR($G805="PT Missed",$G805="PT Modified",$G805="PT Refused"),"Yes","No"))</f>
        <v/>
      </c>
      <c r="L805" s="14" t="n"/>
      <c r="M805" s="14" t="n"/>
      <c r="N805" s="15">
        <f>IF($D805="","",IF($M805="Excused","No",IF(AND($G805="PT Modified",$L805="Received"),"No","Yes")))</f>
        <v/>
      </c>
      <c r="O805" s="14"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row r="2"/>
    <row r="3"/>
    <row r="4">
      <c r="B4" s="8" t="inlineStr">
        <is>
          <t>Makeup is minute-for-minute (policy 400.5). Classroom skills time cannot be made up. Credit applies only when documentation is Received and no Hold.</t>
        </is>
      </c>
    </row>
    <row r="5" ht="26" customHeight="1">
      <c r="B5" s="9" t="inlineStr">
        <is>
          <t>MakeupID</t>
        </is>
      </c>
      <c r="C5" s="9" t="inlineStr">
        <is>
          <t>Date</t>
        </is>
      </c>
      <c r="D5" s="9" t="inlineStr">
        <is>
          <t>Cadet Name</t>
        </is>
      </c>
      <c r="E5" s="9" t="inlineStr">
        <is>
          <t>PID</t>
        </is>
      </c>
      <c r="F5" s="9" t="inlineStr">
        <is>
          <t>Type</t>
        </is>
      </c>
      <c r="G5" s="9" t="inlineStr">
        <is>
          <t>Minutes Credit</t>
        </is>
      </c>
      <c r="H5" s="9" t="inlineStr">
        <is>
          <t>Sessions Credit</t>
        </is>
      </c>
      <c r="I5" s="9" t="inlineStr">
        <is>
          <t>Linked Event</t>
        </is>
      </c>
      <c r="J5" s="9" t="inlineStr">
        <is>
          <t>Doc Status</t>
        </is>
      </c>
      <c r="K5" s="9" t="inlineStr">
        <is>
          <t>Hold?</t>
        </is>
      </c>
      <c r="L5" s="9" t="inlineStr">
        <is>
          <t>Credit Applies?</t>
        </is>
      </c>
      <c r="M5" s="9" t="inlineStr">
        <is>
          <t>Notes</t>
        </is>
      </c>
    </row>
    <row r="6">
      <c r="B6" s="15">
        <f>IF($D6="","","M"&amp;TEXT(ROW()-5,"000"))</f>
        <v/>
      </c>
      <c r="C6" s="16" t="n"/>
      <c r="D6" s="14" t="n"/>
      <c r="E6" s="15">
        <f>IF($D6="","",IFERROR(INDEX(rngCadetPIDs,MATCH($D6,rngCadetNames,0)),"?"))</f>
        <v/>
      </c>
      <c r="F6" s="14" t="n"/>
      <c r="G6" s="14" t="n"/>
      <c r="H6" s="14" t="n"/>
      <c r="I6" s="14" t="n"/>
      <c r="J6" s="14" t="n"/>
      <c r="K6" s="14" t="n"/>
      <c r="L6" s="15">
        <f>IF($D6="","",IF(AND($J6="Received",$K6&lt;&gt;"Yes"),"Yes","No"))</f>
        <v/>
      </c>
      <c r="M6" s="14" t="n"/>
    </row>
    <row r="7">
      <c r="B7" s="15">
        <f>IF($D7="","","M"&amp;TEXT(ROW()-5,"000"))</f>
        <v/>
      </c>
      <c r="C7" s="16" t="n"/>
      <c r="D7" s="14" t="n"/>
      <c r="E7" s="15">
        <f>IF($D7="","",IFERROR(INDEX(rngCadetPIDs,MATCH($D7,rngCadetNames,0)),"?"))</f>
        <v/>
      </c>
      <c r="F7" s="14" t="n"/>
      <c r="G7" s="14" t="n"/>
      <c r="H7" s="14" t="n"/>
      <c r="I7" s="14" t="n"/>
      <c r="J7" s="14" t="n"/>
      <c r="K7" s="14" t="n"/>
      <c r="L7" s="15">
        <f>IF($D7="","",IF(AND($J7="Received",$K7&lt;&gt;"Yes"),"Yes","No"))</f>
        <v/>
      </c>
      <c r="M7" s="14" t="n"/>
    </row>
    <row r="8">
      <c r="B8" s="15">
        <f>IF($D8="","","M"&amp;TEXT(ROW()-5,"000"))</f>
        <v/>
      </c>
      <c r="C8" s="16" t="n"/>
      <c r="D8" s="14" t="n"/>
      <c r="E8" s="15">
        <f>IF($D8="","",IFERROR(INDEX(rngCadetPIDs,MATCH($D8,rngCadetNames,0)),"?"))</f>
        <v/>
      </c>
      <c r="F8" s="14" t="n"/>
      <c r="G8" s="14" t="n"/>
      <c r="H8" s="14" t="n"/>
      <c r="I8" s="14" t="n"/>
      <c r="J8" s="14" t="n"/>
      <c r="K8" s="14" t="n"/>
      <c r="L8" s="15">
        <f>IF($D8="","",IF(AND($J8="Received",$K8&lt;&gt;"Yes"),"Yes","No"))</f>
        <v/>
      </c>
      <c r="M8" s="14" t="n"/>
    </row>
    <row r="9">
      <c r="B9" s="15">
        <f>IF($D9="","","M"&amp;TEXT(ROW()-5,"000"))</f>
        <v/>
      </c>
      <c r="C9" s="16" t="n"/>
      <c r="D9" s="14" t="n"/>
      <c r="E9" s="15">
        <f>IF($D9="","",IFERROR(INDEX(rngCadetPIDs,MATCH($D9,rngCadetNames,0)),"?"))</f>
        <v/>
      </c>
      <c r="F9" s="14" t="n"/>
      <c r="G9" s="14" t="n"/>
      <c r="H9" s="14" t="n"/>
      <c r="I9" s="14" t="n"/>
      <c r="J9" s="14" t="n"/>
      <c r="K9" s="14" t="n"/>
      <c r="L9" s="15">
        <f>IF($D9="","",IF(AND($J9="Received",$K9&lt;&gt;"Yes"),"Yes","No"))</f>
        <v/>
      </c>
      <c r="M9" s="14" t="n"/>
    </row>
    <row r="10">
      <c r="B10" s="15">
        <f>IF($D10="","","M"&amp;TEXT(ROW()-5,"000"))</f>
        <v/>
      </c>
      <c r="C10" s="16" t="n"/>
      <c r="D10" s="14" t="n"/>
      <c r="E10" s="15">
        <f>IF($D10="","",IFERROR(INDEX(rngCadetPIDs,MATCH($D10,rngCadetNames,0)),"?"))</f>
        <v/>
      </c>
      <c r="F10" s="14" t="n"/>
      <c r="G10" s="14" t="n"/>
      <c r="H10" s="14" t="n"/>
      <c r="I10" s="14" t="n"/>
      <c r="J10" s="14" t="n"/>
      <c r="K10" s="14" t="n"/>
      <c r="L10" s="15">
        <f>IF($D10="","",IF(AND($J10="Received",$K10&lt;&gt;"Yes"),"Yes","No"))</f>
        <v/>
      </c>
      <c r="M10" s="14" t="n"/>
    </row>
    <row r="11">
      <c r="B11" s="15">
        <f>IF($D11="","","M"&amp;TEXT(ROW()-5,"000"))</f>
        <v/>
      </c>
      <c r="C11" s="16" t="n"/>
      <c r="D11" s="14" t="n"/>
      <c r="E11" s="15">
        <f>IF($D11="","",IFERROR(INDEX(rngCadetPIDs,MATCH($D11,rngCadetNames,0)),"?"))</f>
        <v/>
      </c>
      <c r="F11" s="14" t="n"/>
      <c r="G11" s="14" t="n"/>
      <c r="H11" s="14" t="n"/>
      <c r="I11" s="14" t="n"/>
      <c r="J11" s="14" t="n"/>
      <c r="K11" s="14" t="n"/>
      <c r="L11" s="15">
        <f>IF($D11="","",IF(AND($J11="Received",$K11&lt;&gt;"Yes"),"Yes","No"))</f>
        <v/>
      </c>
      <c r="M11" s="14" t="n"/>
    </row>
    <row r="12">
      <c r="B12" s="15">
        <f>IF($D12="","","M"&amp;TEXT(ROW()-5,"000"))</f>
        <v/>
      </c>
      <c r="C12" s="16" t="n"/>
      <c r="D12" s="14" t="n"/>
      <c r="E12" s="15">
        <f>IF($D12="","",IFERROR(INDEX(rngCadetPIDs,MATCH($D12,rngCadetNames,0)),"?"))</f>
        <v/>
      </c>
      <c r="F12" s="14" t="n"/>
      <c r="G12" s="14" t="n"/>
      <c r="H12" s="14" t="n"/>
      <c r="I12" s="14" t="n"/>
      <c r="J12" s="14" t="n"/>
      <c r="K12" s="14" t="n"/>
      <c r="L12" s="15">
        <f>IF($D12="","",IF(AND($J12="Received",$K12&lt;&gt;"Yes"),"Yes","No"))</f>
        <v/>
      </c>
      <c r="M12" s="14" t="n"/>
    </row>
    <row r="13">
      <c r="B13" s="15">
        <f>IF($D13="","","M"&amp;TEXT(ROW()-5,"000"))</f>
        <v/>
      </c>
      <c r="C13" s="16" t="n"/>
      <c r="D13" s="14" t="n"/>
      <c r="E13" s="15">
        <f>IF($D13="","",IFERROR(INDEX(rngCadetPIDs,MATCH($D13,rngCadetNames,0)),"?"))</f>
        <v/>
      </c>
      <c r="F13" s="14" t="n"/>
      <c r="G13" s="14" t="n"/>
      <c r="H13" s="14" t="n"/>
      <c r="I13" s="14" t="n"/>
      <c r="J13" s="14" t="n"/>
      <c r="K13" s="14" t="n"/>
      <c r="L13" s="15">
        <f>IF($D13="","",IF(AND($J13="Received",$K13&lt;&gt;"Yes"),"Yes","No"))</f>
        <v/>
      </c>
      <c r="M13" s="14" t="n"/>
    </row>
    <row r="14">
      <c r="B14" s="15">
        <f>IF($D14="","","M"&amp;TEXT(ROW()-5,"000"))</f>
        <v/>
      </c>
      <c r="C14" s="16" t="n"/>
      <c r="D14" s="14" t="n"/>
      <c r="E14" s="15">
        <f>IF($D14="","",IFERROR(INDEX(rngCadetPIDs,MATCH($D14,rngCadetNames,0)),"?"))</f>
        <v/>
      </c>
      <c r="F14" s="14" t="n"/>
      <c r="G14" s="14" t="n"/>
      <c r="H14" s="14" t="n"/>
      <c r="I14" s="14" t="n"/>
      <c r="J14" s="14" t="n"/>
      <c r="K14" s="14" t="n"/>
      <c r="L14" s="15">
        <f>IF($D14="","",IF(AND($J14="Received",$K14&lt;&gt;"Yes"),"Yes","No"))</f>
        <v/>
      </c>
      <c r="M14" s="14" t="n"/>
    </row>
    <row r="15">
      <c r="B15" s="15">
        <f>IF($D15="","","M"&amp;TEXT(ROW()-5,"000"))</f>
        <v/>
      </c>
      <c r="C15" s="16" t="n"/>
      <c r="D15" s="14" t="n"/>
      <c r="E15" s="15">
        <f>IF($D15="","",IFERROR(INDEX(rngCadetPIDs,MATCH($D15,rngCadetNames,0)),"?"))</f>
        <v/>
      </c>
      <c r="F15" s="14" t="n"/>
      <c r="G15" s="14" t="n"/>
      <c r="H15" s="14" t="n"/>
      <c r="I15" s="14" t="n"/>
      <c r="J15" s="14" t="n"/>
      <c r="K15" s="14" t="n"/>
      <c r="L15" s="15">
        <f>IF($D15="","",IF(AND($J15="Received",$K15&lt;&gt;"Yes"),"Yes","No"))</f>
        <v/>
      </c>
      <c r="M15" s="14" t="n"/>
    </row>
    <row r="16">
      <c r="B16" s="15">
        <f>IF($D16="","","M"&amp;TEXT(ROW()-5,"000"))</f>
        <v/>
      </c>
      <c r="C16" s="16" t="n"/>
      <c r="D16" s="14" t="n"/>
      <c r="E16" s="15">
        <f>IF($D16="","",IFERROR(INDEX(rngCadetPIDs,MATCH($D16,rngCadetNames,0)),"?"))</f>
        <v/>
      </c>
      <c r="F16" s="14" t="n"/>
      <c r="G16" s="14" t="n"/>
      <c r="H16" s="14" t="n"/>
      <c r="I16" s="14" t="n"/>
      <c r="J16" s="14" t="n"/>
      <c r="K16" s="14" t="n"/>
      <c r="L16" s="15">
        <f>IF($D16="","",IF(AND($J16="Received",$K16&lt;&gt;"Yes"),"Yes","No"))</f>
        <v/>
      </c>
      <c r="M16" s="14" t="n"/>
    </row>
    <row r="17">
      <c r="B17" s="15">
        <f>IF($D17="","","M"&amp;TEXT(ROW()-5,"000"))</f>
        <v/>
      </c>
      <c r="C17" s="16" t="n"/>
      <c r="D17" s="14" t="n"/>
      <c r="E17" s="15">
        <f>IF($D17="","",IFERROR(INDEX(rngCadetPIDs,MATCH($D17,rngCadetNames,0)),"?"))</f>
        <v/>
      </c>
      <c r="F17" s="14" t="n"/>
      <c r="G17" s="14" t="n"/>
      <c r="H17" s="14" t="n"/>
      <c r="I17" s="14" t="n"/>
      <c r="J17" s="14" t="n"/>
      <c r="K17" s="14" t="n"/>
      <c r="L17" s="15">
        <f>IF($D17="","",IF(AND($J17="Received",$K17&lt;&gt;"Yes"),"Yes","No"))</f>
        <v/>
      </c>
      <c r="M17" s="14" t="n"/>
    </row>
    <row r="18">
      <c r="B18" s="15">
        <f>IF($D18="","","M"&amp;TEXT(ROW()-5,"000"))</f>
        <v/>
      </c>
      <c r="C18" s="16" t="n"/>
      <c r="D18" s="14" t="n"/>
      <c r="E18" s="15">
        <f>IF($D18="","",IFERROR(INDEX(rngCadetPIDs,MATCH($D18,rngCadetNames,0)),"?"))</f>
        <v/>
      </c>
      <c r="F18" s="14" t="n"/>
      <c r="G18" s="14" t="n"/>
      <c r="H18" s="14" t="n"/>
      <c r="I18" s="14" t="n"/>
      <c r="J18" s="14" t="n"/>
      <c r="K18" s="14" t="n"/>
      <c r="L18" s="15">
        <f>IF($D18="","",IF(AND($J18="Received",$K18&lt;&gt;"Yes"),"Yes","No"))</f>
        <v/>
      </c>
      <c r="M18" s="14" t="n"/>
    </row>
    <row r="19">
      <c r="B19" s="15">
        <f>IF($D19="","","M"&amp;TEXT(ROW()-5,"000"))</f>
        <v/>
      </c>
      <c r="C19" s="16" t="n"/>
      <c r="D19" s="14" t="n"/>
      <c r="E19" s="15">
        <f>IF($D19="","",IFERROR(INDEX(rngCadetPIDs,MATCH($D19,rngCadetNames,0)),"?"))</f>
        <v/>
      </c>
      <c r="F19" s="14" t="n"/>
      <c r="G19" s="14" t="n"/>
      <c r="H19" s="14" t="n"/>
      <c r="I19" s="14" t="n"/>
      <c r="J19" s="14" t="n"/>
      <c r="K19" s="14" t="n"/>
      <c r="L19" s="15">
        <f>IF($D19="","",IF(AND($J19="Received",$K19&lt;&gt;"Yes"),"Yes","No"))</f>
        <v/>
      </c>
      <c r="M19" s="14" t="n"/>
    </row>
    <row r="20">
      <c r="B20" s="15">
        <f>IF($D20="","","M"&amp;TEXT(ROW()-5,"000"))</f>
        <v/>
      </c>
      <c r="C20" s="16" t="n"/>
      <c r="D20" s="14" t="n"/>
      <c r="E20" s="15">
        <f>IF($D20="","",IFERROR(INDEX(rngCadetPIDs,MATCH($D20,rngCadetNames,0)),"?"))</f>
        <v/>
      </c>
      <c r="F20" s="14" t="n"/>
      <c r="G20" s="14" t="n"/>
      <c r="H20" s="14" t="n"/>
      <c r="I20" s="14" t="n"/>
      <c r="J20" s="14" t="n"/>
      <c r="K20" s="14" t="n"/>
      <c r="L20" s="15">
        <f>IF($D20="","",IF(AND($J20="Received",$K20&lt;&gt;"Yes"),"Yes","No"))</f>
        <v/>
      </c>
      <c r="M20" s="14" t="n"/>
    </row>
    <row r="21">
      <c r="B21" s="15">
        <f>IF($D21="","","M"&amp;TEXT(ROW()-5,"000"))</f>
        <v/>
      </c>
      <c r="C21" s="16" t="n"/>
      <c r="D21" s="14" t="n"/>
      <c r="E21" s="15">
        <f>IF($D21="","",IFERROR(INDEX(rngCadetPIDs,MATCH($D21,rngCadetNames,0)),"?"))</f>
        <v/>
      </c>
      <c r="F21" s="14" t="n"/>
      <c r="G21" s="14" t="n"/>
      <c r="H21" s="14" t="n"/>
      <c r="I21" s="14" t="n"/>
      <c r="J21" s="14" t="n"/>
      <c r="K21" s="14" t="n"/>
      <c r="L21" s="15">
        <f>IF($D21="","",IF(AND($J21="Received",$K21&lt;&gt;"Yes"),"Yes","No"))</f>
        <v/>
      </c>
      <c r="M21" s="14" t="n"/>
    </row>
    <row r="22">
      <c r="B22" s="15">
        <f>IF($D22="","","M"&amp;TEXT(ROW()-5,"000"))</f>
        <v/>
      </c>
      <c r="C22" s="16" t="n"/>
      <c r="D22" s="14" t="n"/>
      <c r="E22" s="15">
        <f>IF($D22="","",IFERROR(INDEX(rngCadetPIDs,MATCH($D22,rngCadetNames,0)),"?"))</f>
        <v/>
      </c>
      <c r="F22" s="14" t="n"/>
      <c r="G22" s="14" t="n"/>
      <c r="H22" s="14" t="n"/>
      <c r="I22" s="14" t="n"/>
      <c r="J22" s="14" t="n"/>
      <c r="K22" s="14" t="n"/>
      <c r="L22" s="15">
        <f>IF($D22="","",IF(AND($J22="Received",$K22&lt;&gt;"Yes"),"Yes","No"))</f>
        <v/>
      </c>
      <c r="M22" s="14" t="n"/>
    </row>
    <row r="23">
      <c r="B23" s="15">
        <f>IF($D23="","","M"&amp;TEXT(ROW()-5,"000"))</f>
        <v/>
      </c>
      <c r="C23" s="16" t="n"/>
      <c r="D23" s="14" t="n"/>
      <c r="E23" s="15">
        <f>IF($D23="","",IFERROR(INDEX(rngCadetPIDs,MATCH($D23,rngCadetNames,0)),"?"))</f>
        <v/>
      </c>
      <c r="F23" s="14" t="n"/>
      <c r="G23" s="14" t="n"/>
      <c r="H23" s="14" t="n"/>
      <c r="I23" s="14" t="n"/>
      <c r="J23" s="14" t="n"/>
      <c r="K23" s="14" t="n"/>
      <c r="L23" s="15">
        <f>IF($D23="","",IF(AND($J23="Received",$K23&lt;&gt;"Yes"),"Yes","No"))</f>
        <v/>
      </c>
      <c r="M23" s="14" t="n"/>
    </row>
    <row r="24">
      <c r="B24" s="15">
        <f>IF($D24="","","M"&amp;TEXT(ROW()-5,"000"))</f>
        <v/>
      </c>
      <c r="C24" s="16" t="n"/>
      <c r="D24" s="14" t="n"/>
      <c r="E24" s="15">
        <f>IF($D24="","",IFERROR(INDEX(rngCadetPIDs,MATCH($D24,rngCadetNames,0)),"?"))</f>
        <v/>
      </c>
      <c r="F24" s="14" t="n"/>
      <c r="G24" s="14" t="n"/>
      <c r="H24" s="14" t="n"/>
      <c r="I24" s="14" t="n"/>
      <c r="J24" s="14" t="n"/>
      <c r="K24" s="14" t="n"/>
      <c r="L24" s="15">
        <f>IF($D24="","",IF(AND($J24="Received",$K24&lt;&gt;"Yes"),"Yes","No"))</f>
        <v/>
      </c>
      <c r="M24" s="14" t="n"/>
    </row>
    <row r="25">
      <c r="B25" s="15">
        <f>IF($D25="","","M"&amp;TEXT(ROW()-5,"000"))</f>
        <v/>
      </c>
      <c r="C25" s="16" t="n"/>
      <c r="D25" s="14" t="n"/>
      <c r="E25" s="15">
        <f>IF($D25="","",IFERROR(INDEX(rngCadetPIDs,MATCH($D25,rngCadetNames,0)),"?"))</f>
        <v/>
      </c>
      <c r="F25" s="14" t="n"/>
      <c r="G25" s="14" t="n"/>
      <c r="H25" s="14" t="n"/>
      <c r="I25" s="14" t="n"/>
      <c r="J25" s="14" t="n"/>
      <c r="K25" s="14" t="n"/>
      <c r="L25" s="15">
        <f>IF($D25="","",IF(AND($J25="Received",$K25&lt;&gt;"Yes"),"Yes","No"))</f>
        <v/>
      </c>
      <c r="M25" s="14" t="n"/>
    </row>
    <row r="26">
      <c r="B26" s="15">
        <f>IF($D26="","","M"&amp;TEXT(ROW()-5,"000"))</f>
        <v/>
      </c>
      <c r="C26" s="16" t="n"/>
      <c r="D26" s="14" t="n"/>
      <c r="E26" s="15">
        <f>IF($D26="","",IFERROR(INDEX(rngCadetPIDs,MATCH($D26,rngCadetNames,0)),"?"))</f>
        <v/>
      </c>
      <c r="F26" s="14" t="n"/>
      <c r="G26" s="14" t="n"/>
      <c r="H26" s="14" t="n"/>
      <c r="I26" s="14" t="n"/>
      <c r="J26" s="14" t="n"/>
      <c r="K26" s="14" t="n"/>
      <c r="L26" s="15">
        <f>IF($D26="","",IF(AND($J26="Received",$K26&lt;&gt;"Yes"),"Yes","No"))</f>
        <v/>
      </c>
      <c r="M26" s="14" t="n"/>
    </row>
    <row r="27">
      <c r="B27" s="15">
        <f>IF($D27="","","M"&amp;TEXT(ROW()-5,"000"))</f>
        <v/>
      </c>
      <c r="C27" s="16" t="n"/>
      <c r="D27" s="14" t="n"/>
      <c r="E27" s="15">
        <f>IF($D27="","",IFERROR(INDEX(rngCadetPIDs,MATCH($D27,rngCadetNames,0)),"?"))</f>
        <v/>
      </c>
      <c r="F27" s="14" t="n"/>
      <c r="G27" s="14" t="n"/>
      <c r="H27" s="14" t="n"/>
      <c r="I27" s="14" t="n"/>
      <c r="J27" s="14" t="n"/>
      <c r="K27" s="14" t="n"/>
      <c r="L27" s="15">
        <f>IF($D27="","",IF(AND($J27="Received",$K27&lt;&gt;"Yes"),"Yes","No"))</f>
        <v/>
      </c>
      <c r="M27" s="14" t="n"/>
    </row>
    <row r="28">
      <c r="B28" s="15">
        <f>IF($D28="","","M"&amp;TEXT(ROW()-5,"000"))</f>
        <v/>
      </c>
      <c r="C28" s="16" t="n"/>
      <c r="D28" s="14" t="n"/>
      <c r="E28" s="15">
        <f>IF($D28="","",IFERROR(INDEX(rngCadetPIDs,MATCH($D28,rngCadetNames,0)),"?"))</f>
        <v/>
      </c>
      <c r="F28" s="14" t="n"/>
      <c r="G28" s="14" t="n"/>
      <c r="H28" s="14" t="n"/>
      <c r="I28" s="14" t="n"/>
      <c r="J28" s="14" t="n"/>
      <c r="K28" s="14" t="n"/>
      <c r="L28" s="15">
        <f>IF($D28="","",IF(AND($J28="Received",$K28&lt;&gt;"Yes"),"Yes","No"))</f>
        <v/>
      </c>
      <c r="M28" s="14" t="n"/>
    </row>
    <row r="29">
      <c r="B29" s="15">
        <f>IF($D29="","","M"&amp;TEXT(ROW()-5,"000"))</f>
        <v/>
      </c>
      <c r="C29" s="16" t="n"/>
      <c r="D29" s="14" t="n"/>
      <c r="E29" s="15">
        <f>IF($D29="","",IFERROR(INDEX(rngCadetPIDs,MATCH($D29,rngCadetNames,0)),"?"))</f>
        <v/>
      </c>
      <c r="F29" s="14" t="n"/>
      <c r="G29" s="14" t="n"/>
      <c r="H29" s="14" t="n"/>
      <c r="I29" s="14" t="n"/>
      <c r="J29" s="14" t="n"/>
      <c r="K29" s="14" t="n"/>
      <c r="L29" s="15">
        <f>IF($D29="","",IF(AND($J29="Received",$K29&lt;&gt;"Yes"),"Yes","No"))</f>
        <v/>
      </c>
      <c r="M29" s="14" t="n"/>
    </row>
    <row r="30">
      <c r="B30" s="15">
        <f>IF($D30="","","M"&amp;TEXT(ROW()-5,"000"))</f>
        <v/>
      </c>
      <c r="C30" s="16" t="n"/>
      <c r="D30" s="14" t="n"/>
      <c r="E30" s="15">
        <f>IF($D30="","",IFERROR(INDEX(rngCadetPIDs,MATCH($D30,rngCadetNames,0)),"?"))</f>
        <v/>
      </c>
      <c r="F30" s="14" t="n"/>
      <c r="G30" s="14" t="n"/>
      <c r="H30" s="14" t="n"/>
      <c r="I30" s="14" t="n"/>
      <c r="J30" s="14" t="n"/>
      <c r="K30" s="14" t="n"/>
      <c r="L30" s="15">
        <f>IF($D30="","",IF(AND($J30="Received",$K30&lt;&gt;"Yes"),"Yes","No"))</f>
        <v/>
      </c>
      <c r="M30" s="14" t="n"/>
    </row>
    <row r="31">
      <c r="B31" s="15">
        <f>IF($D31="","","M"&amp;TEXT(ROW()-5,"000"))</f>
        <v/>
      </c>
      <c r="C31" s="16" t="n"/>
      <c r="D31" s="14" t="n"/>
      <c r="E31" s="15">
        <f>IF($D31="","",IFERROR(INDEX(rngCadetPIDs,MATCH($D31,rngCadetNames,0)),"?"))</f>
        <v/>
      </c>
      <c r="F31" s="14" t="n"/>
      <c r="G31" s="14" t="n"/>
      <c r="H31" s="14" t="n"/>
      <c r="I31" s="14" t="n"/>
      <c r="J31" s="14" t="n"/>
      <c r="K31" s="14" t="n"/>
      <c r="L31" s="15">
        <f>IF($D31="","",IF(AND($J31="Received",$K31&lt;&gt;"Yes"),"Yes","No"))</f>
        <v/>
      </c>
      <c r="M31" s="14" t="n"/>
    </row>
    <row r="32">
      <c r="B32" s="15">
        <f>IF($D32="","","M"&amp;TEXT(ROW()-5,"000"))</f>
        <v/>
      </c>
      <c r="C32" s="16" t="n"/>
      <c r="D32" s="14" t="n"/>
      <c r="E32" s="15">
        <f>IF($D32="","",IFERROR(INDEX(rngCadetPIDs,MATCH($D32,rngCadetNames,0)),"?"))</f>
        <v/>
      </c>
      <c r="F32" s="14" t="n"/>
      <c r="G32" s="14" t="n"/>
      <c r="H32" s="14" t="n"/>
      <c r="I32" s="14" t="n"/>
      <c r="J32" s="14" t="n"/>
      <c r="K32" s="14" t="n"/>
      <c r="L32" s="15">
        <f>IF($D32="","",IF(AND($J32="Received",$K32&lt;&gt;"Yes"),"Yes","No"))</f>
        <v/>
      </c>
      <c r="M32" s="14" t="n"/>
    </row>
    <row r="33">
      <c r="B33" s="15">
        <f>IF($D33="","","M"&amp;TEXT(ROW()-5,"000"))</f>
        <v/>
      </c>
      <c r="C33" s="16" t="n"/>
      <c r="D33" s="14" t="n"/>
      <c r="E33" s="15">
        <f>IF($D33="","",IFERROR(INDEX(rngCadetPIDs,MATCH($D33,rngCadetNames,0)),"?"))</f>
        <v/>
      </c>
      <c r="F33" s="14" t="n"/>
      <c r="G33" s="14" t="n"/>
      <c r="H33" s="14" t="n"/>
      <c r="I33" s="14" t="n"/>
      <c r="J33" s="14" t="n"/>
      <c r="K33" s="14" t="n"/>
      <c r="L33" s="15">
        <f>IF($D33="","",IF(AND($J33="Received",$K33&lt;&gt;"Yes"),"Yes","No"))</f>
        <v/>
      </c>
      <c r="M33" s="14" t="n"/>
    </row>
    <row r="34">
      <c r="B34" s="15">
        <f>IF($D34="","","M"&amp;TEXT(ROW()-5,"000"))</f>
        <v/>
      </c>
      <c r="C34" s="16" t="n"/>
      <c r="D34" s="14" t="n"/>
      <c r="E34" s="15">
        <f>IF($D34="","",IFERROR(INDEX(rngCadetPIDs,MATCH($D34,rngCadetNames,0)),"?"))</f>
        <v/>
      </c>
      <c r="F34" s="14" t="n"/>
      <c r="G34" s="14" t="n"/>
      <c r="H34" s="14" t="n"/>
      <c r="I34" s="14" t="n"/>
      <c r="J34" s="14" t="n"/>
      <c r="K34" s="14" t="n"/>
      <c r="L34" s="15">
        <f>IF($D34="","",IF(AND($J34="Received",$K34&lt;&gt;"Yes"),"Yes","No"))</f>
        <v/>
      </c>
      <c r="M34" s="14" t="n"/>
    </row>
    <row r="35">
      <c r="B35" s="15">
        <f>IF($D35="","","M"&amp;TEXT(ROW()-5,"000"))</f>
        <v/>
      </c>
      <c r="C35" s="16" t="n"/>
      <c r="D35" s="14" t="n"/>
      <c r="E35" s="15">
        <f>IF($D35="","",IFERROR(INDEX(rngCadetPIDs,MATCH($D35,rngCadetNames,0)),"?"))</f>
        <v/>
      </c>
      <c r="F35" s="14" t="n"/>
      <c r="G35" s="14" t="n"/>
      <c r="H35" s="14" t="n"/>
      <c r="I35" s="14" t="n"/>
      <c r="J35" s="14" t="n"/>
      <c r="K35" s="14" t="n"/>
      <c r="L35" s="15">
        <f>IF($D35="","",IF(AND($J35="Received",$K35&lt;&gt;"Yes"),"Yes","No"))</f>
        <v/>
      </c>
      <c r="M35" s="14" t="n"/>
    </row>
    <row r="36">
      <c r="B36" s="15">
        <f>IF($D36="","","M"&amp;TEXT(ROW()-5,"000"))</f>
        <v/>
      </c>
      <c r="C36" s="16" t="n"/>
      <c r="D36" s="14" t="n"/>
      <c r="E36" s="15">
        <f>IF($D36="","",IFERROR(INDEX(rngCadetPIDs,MATCH($D36,rngCadetNames,0)),"?"))</f>
        <v/>
      </c>
      <c r="F36" s="14" t="n"/>
      <c r="G36" s="14" t="n"/>
      <c r="H36" s="14" t="n"/>
      <c r="I36" s="14" t="n"/>
      <c r="J36" s="14" t="n"/>
      <c r="K36" s="14" t="n"/>
      <c r="L36" s="15">
        <f>IF($D36="","",IF(AND($J36="Received",$K36&lt;&gt;"Yes"),"Yes","No"))</f>
        <v/>
      </c>
      <c r="M36" s="14" t="n"/>
    </row>
    <row r="37">
      <c r="B37" s="15">
        <f>IF($D37="","","M"&amp;TEXT(ROW()-5,"000"))</f>
        <v/>
      </c>
      <c r="C37" s="16" t="n"/>
      <c r="D37" s="14" t="n"/>
      <c r="E37" s="15">
        <f>IF($D37="","",IFERROR(INDEX(rngCadetPIDs,MATCH($D37,rngCadetNames,0)),"?"))</f>
        <v/>
      </c>
      <c r="F37" s="14" t="n"/>
      <c r="G37" s="14" t="n"/>
      <c r="H37" s="14" t="n"/>
      <c r="I37" s="14" t="n"/>
      <c r="J37" s="14" t="n"/>
      <c r="K37" s="14" t="n"/>
      <c r="L37" s="15">
        <f>IF($D37="","",IF(AND($J37="Received",$K37&lt;&gt;"Yes"),"Yes","No"))</f>
        <v/>
      </c>
      <c r="M37" s="14" t="n"/>
    </row>
    <row r="38">
      <c r="B38" s="15">
        <f>IF($D38="","","M"&amp;TEXT(ROW()-5,"000"))</f>
        <v/>
      </c>
      <c r="C38" s="16" t="n"/>
      <c r="D38" s="14" t="n"/>
      <c r="E38" s="15">
        <f>IF($D38="","",IFERROR(INDEX(rngCadetPIDs,MATCH($D38,rngCadetNames,0)),"?"))</f>
        <v/>
      </c>
      <c r="F38" s="14" t="n"/>
      <c r="G38" s="14" t="n"/>
      <c r="H38" s="14" t="n"/>
      <c r="I38" s="14" t="n"/>
      <c r="J38" s="14" t="n"/>
      <c r="K38" s="14" t="n"/>
      <c r="L38" s="15">
        <f>IF($D38="","",IF(AND($J38="Received",$K38&lt;&gt;"Yes"),"Yes","No"))</f>
        <v/>
      </c>
      <c r="M38" s="14" t="n"/>
    </row>
    <row r="39">
      <c r="B39" s="15">
        <f>IF($D39="","","M"&amp;TEXT(ROW()-5,"000"))</f>
        <v/>
      </c>
      <c r="C39" s="16" t="n"/>
      <c r="D39" s="14" t="n"/>
      <c r="E39" s="15">
        <f>IF($D39="","",IFERROR(INDEX(rngCadetPIDs,MATCH($D39,rngCadetNames,0)),"?"))</f>
        <v/>
      </c>
      <c r="F39" s="14" t="n"/>
      <c r="G39" s="14" t="n"/>
      <c r="H39" s="14" t="n"/>
      <c r="I39" s="14" t="n"/>
      <c r="J39" s="14" t="n"/>
      <c r="K39" s="14" t="n"/>
      <c r="L39" s="15">
        <f>IF($D39="","",IF(AND($J39="Received",$K39&lt;&gt;"Yes"),"Yes","No"))</f>
        <v/>
      </c>
      <c r="M39" s="14" t="n"/>
    </row>
    <row r="40">
      <c r="B40" s="15">
        <f>IF($D40="","","M"&amp;TEXT(ROW()-5,"000"))</f>
        <v/>
      </c>
      <c r="C40" s="16" t="n"/>
      <c r="D40" s="14" t="n"/>
      <c r="E40" s="15">
        <f>IF($D40="","",IFERROR(INDEX(rngCadetPIDs,MATCH($D40,rngCadetNames,0)),"?"))</f>
        <v/>
      </c>
      <c r="F40" s="14" t="n"/>
      <c r="G40" s="14" t="n"/>
      <c r="H40" s="14" t="n"/>
      <c r="I40" s="14" t="n"/>
      <c r="J40" s="14" t="n"/>
      <c r="K40" s="14" t="n"/>
      <c r="L40" s="15">
        <f>IF($D40="","",IF(AND($J40="Received",$K40&lt;&gt;"Yes"),"Yes","No"))</f>
        <v/>
      </c>
      <c r="M40" s="14" t="n"/>
    </row>
    <row r="41">
      <c r="B41" s="15">
        <f>IF($D41="","","M"&amp;TEXT(ROW()-5,"000"))</f>
        <v/>
      </c>
      <c r="C41" s="16" t="n"/>
      <c r="D41" s="14" t="n"/>
      <c r="E41" s="15">
        <f>IF($D41="","",IFERROR(INDEX(rngCadetPIDs,MATCH($D41,rngCadetNames,0)),"?"))</f>
        <v/>
      </c>
      <c r="F41" s="14" t="n"/>
      <c r="G41" s="14" t="n"/>
      <c r="H41" s="14" t="n"/>
      <c r="I41" s="14" t="n"/>
      <c r="J41" s="14" t="n"/>
      <c r="K41" s="14" t="n"/>
      <c r="L41" s="15">
        <f>IF($D41="","",IF(AND($J41="Received",$K41&lt;&gt;"Yes"),"Yes","No"))</f>
        <v/>
      </c>
      <c r="M41" s="14" t="n"/>
    </row>
    <row r="42">
      <c r="B42" s="15">
        <f>IF($D42="","","M"&amp;TEXT(ROW()-5,"000"))</f>
        <v/>
      </c>
      <c r="C42" s="16" t="n"/>
      <c r="D42" s="14" t="n"/>
      <c r="E42" s="15">
        <f>IF($D42="","",IFERROR(INDEX(rngCadetPIDs,MATCH($D42,rngCadetNames,0)),"?"))</f>
        <v/>
      </c>
      <c r="F42" s="14" t="n"/>
      <c r="G42" s="14" t="n"/>
      <c r="H42" s="14" t="n"/>
      <c r="I42" s="14" t="n"/>
      <c r="J42" s="14" t="n"/>
      <c r="K42" s="14" t="n"/>
      <c r="L42" s="15">
        <f>IF($D42="","",IF(AND($J42="Received",$K42&lt;&gt;"Yes"),"Yes","No"))</f>
        <v/>
      </c>
      <c r="M42" s="14" t="n"/>
    </row>
    <row r="43">
      <c r="B43" s="15">
        <f>IF($D43="","","M"&amp;TEXT(ROW()-5,"000"))</f>
        <v/>
      </c>
      <c r="C43" s="16" t="n"/>
      <c r="D43" s="14" t="n"/>
      <c r="E43" s="15">
        <f>IF($D43="","",IFERROR(INDEX(rngCadetPIDs,MATCH($D43,rngCadetNames,0)),"?"))</f>
        <v/>
      </c>
      <c r="F43" s="14" t="n"/>
      <c r="G43" s="14" t="n"/>
      <c r="H43" s="14" t="n"/>
      <c r="I43" s="14" t="n"/>
      <c r="J43" s="14" t="n"/>
      <c r="K43" s="14" t="n"/>
      <c r="L43" s="15">
        <f>IF($D43="","",IF(AND($J43="Received",$K43&lt;&gt;"Yes"),"Yes","No"))</f>
        <v/>
      </c>
      <c r="M43" s="14" t="n"/>
    </row>
    <row r="44">
      <c r="B44" s="15">
        <f>IF($D44="","","M"&amp;TEXT(ROW()-5,"000"))</f>
        <v/>
      </c>
      <c r="C44" s="16" t="n"/>
      <c r="D44" s="14" t="n"/>
      <c r="E44" s="15">
        <f>IF($D44="","",IFERROR(INDEX(rngCadetPIDs,MATCH($D44,rngCadetNames,0)),"?"))</f>
        <v/>
      </c>
      <c r="F44" s="14" t="n"/>
      <c r="G44" s="14" t="n"/>
      <c r="H44" s="14" t="n"/>
      <c r="I44" s="14" t="n"/>
      <c r="J44" s="14" t="n"/>
      <c r="K44" s="14" t="n"/>
      <c r="L44" s="15">
        <f>IF($D44="","",IF(AND($J44="Received",$K44&lt;&gt;"Yes"),"Yes","No"))</f>
        <v/>
      </c>
      <c r="M44" s="14" t="n"/>
    </row>
    <row r="45">
      <c r="B45" s="15">
        <f>IF($D45="","","M"&amp;TEXT(ROW()-5,"000"))</f>
        <v/>
      </c>
      <c r="C45" s="16" t="n"/>
      <c r="D45" s="14" t="n"/>
      <c r="E45" s="15">
        <f>IF($D45="","",IFERROR(INDEX(rngCadetPIDs,MATCH($D45,rngCadetNames,0)),"?"))</f>
        <v/>
      </c>
      <c r="F45" s="14" t="n"/>
      <c r="G45" s="14" t="n"/>
      <c r="H45" s="14" t="n"/>
      <c r="I45" s="14" t="n"/>
      <c r="J45" s="14" t="n"/>
      <c r="K45" s="14" t="n"/>
      <c r="L45" s="15">
        <f>IF($D45="","",IF(AND($J45="Received",$K45&lt;&gt;"Yes"),"Yes","No"))</f>
        <v/>
      </c>
      <c r="M45" s="14" t="n"/>
    </row>
    <row r="46">
      <c r="B46" s="15">
        <f>IF($D46="","","M"&amp;TEXT(ROW()-5,"000"))</f>
        <v/>
      </c>
      <c r="C46" s="16" t="n"/>
      <c r="D46" s="14" t="n"/>
      <c r="E46" s="15">
        <f>IF($D46="","",IFERROR(INDEX(rngCadetPIDs,MATCH($D46,rngCadetNames,0)),"?"))</f>
        <v/>
      </c>
      <c r="F46" s="14" t="n"/>
      <c r="G46" s="14" t="n"/>
      <c r="H46" s="14" t="n"/>
      <c r="I46" s="14" t="n"/>
      <c r="J46" s="14" t="n"/>
      <c r="K46" s="14" t="n"/>
      <c r="L46" s="15">
        <f>IF($D46="","",IF(AND($J46="Received",$K46&lt;&gt;"Yes"),"Yes","No"))</f>
        <v/>
      </c>
      <c r="M46" s="14" t="n"/>
    </row>
    <row r="47">
      <c r="B47" s="15">
        <f>IF($D47="","","M"&amp;TEXT(ROW()-5,"000"))</f>
        <v/>
      </c>
      <c r="C47" s="16" t="n"/>
      <c r="D47" s="14" t="n"/>
      <c r="E47" s="15">
        <f>IF($D47="","",IFERROR(INDEX(rngCadetPIDs,MATCH($D47,rngCadetNames,0)),"?"))</f>
        <v/>
      </c>
      <c r="F47" s="14" t="n"/>
      <c r="G47" s="14" t="n"/>
      <c r="H47" s="14" t="n"/>
      <c r="I47" s="14" t="n"/>
      <c r="J47" s="14" t="n"/>
      <c r="K47" s="14" t="n"/>
      <c r="L47" s="15">
        <f>IF($D47="","",IF(AND($J47="Received",$K47&lt;&gt;"Yes"),"Yes","No"))</f>
        <v/>
      </c>
      <c r="M47" s="14" t="n"/>
    </row>
    <row r="48">
      <c r="B48" s="15">
        <f>IF($D48="","","M"&amp;TEXT(ROW()-5,"000"))</f>
        <v/>
      </c>
      <c r="C48" s="16" t="n"/>
      <c r="D48" s="14" t="n"/>
      <c r="E48" s="15">
        <f>IF($D48="","",IFERROR(INDEX(rngCadetPIDs,MATCH($D48,rngCadetNames,0)),"?"))</f>
        <v/>
      </c>
      <c r="F48" s="14" t="n"/>
      <c r="G48" s="14" t="n"/>
      <c r="H48" s="14" t="n"/>
      <c r="I48" s="14" t="n"/>
      <c r="J48" s="14" t="n"/>
      <c r="K48" s="14" t="n"/>
      <c r="L48" s="15">
        <f>IF($D48="","",IF(AND($J48="Received",$K48&lt;&gt;"Yes"),"Yes","No"))</f>
        <v/>
      </c>
      <c r="M48" s="14" t="n"/>
    </row>
    <row r="49">
      <c r="B49" s="15">
        <f>IF($D49="","","M"&amp;TEXT(ROW()-5,"000"))</f>
        <v/>
      </c>
      <c r="C49" s="16" t="n"/>
      <c r="D49" s="14" t="n"/>
      <c r="E49" s="15">
        <f>IF($D49="","",IFERROR(INDEX(rngCadetPIDs,MATCH($D49,rngCadetNames,0)),"?"))</f>
        <v/>
      </c>
      <c r="F49" s="14" t="n"/>
      <c r="G49" s="14" t="n"/>
      <c r="H49" s="14" t="n"/>
      <c r="I49" s="14" t="n"/>
      <c r="J49" s="14" t="n"/>
      <c r="K49" s="14" t="n"/>
      <c r="L49" s="15">
        <f>IF($D49="","",IF(AND($J49="Received",$K49&lt;&gt;"Yes"),"Yes","No"))</f>
        <v/>
      </c>
      <c r="M49" s="14" t="n"/>
    </row>
    <row r="50">
      <c r="B50" s="15">
        <f>IF($D50="","","M"&amp;TEXT(ROW()-5,"000"))</f>
        <v/>
      </c>
      <c r="C50" s="16" t="n"/>
      <c r="D50" s="14" t="n"/>
      <c r="E50" s="15">
        <f>IF($D50="","",IFERROR(INDEX(rngCadetPIDs,MATCH($D50,rngCadetNames,0)),"?"))</f>
        <v/>
      </c>
      <c r="F50" s="14" t="n"/>
      <c r="G50" s="14" t="n"/>
      <c r="H50" s="14" t="n"/>
      <c r="I50" s="14" t="n"/>
      <c r="J50" s="14" t="n"/>
      <c r="K50" s="14" t="n"/>
      <c r="L50" s="15">
        <f>IF($D50="","",IF(AND($J50="Received",$K50&lt;&gt;"Yes"),"Yes","No"))</f>
        <v/>
      </c>
      <c r="M50" s="14" t="n"/>
    </row>
    <row r="51">
      <c r="B51" s="15">
        <f>IF($D51="","","M"&amp;TEXT(ROW()-5,"000"))</f>
        <v/>
      </c>
      <c r="C51" s="16" t="n"/>
      <c r="D51" s="14" t="n"/>
      <c r="E51" s="15">
        <f>IF($D51="","",IFERROR(INDEX(rngCadetPIDs,MATCH($D51,rngCadetNames,0)),"?"))</f>
        <v/>
      </c>
      <c r="F51" s="14" t="n"/>
      <c r="G51" s="14" t="n"/>
      <c r="H51" s="14" t="n"/>
      <c r="I51" s="14" t="n"/>
      <c r="J51" s="14" t="n"/>
      <c r="K51" s="14" t="n"/>
      <c r="L51" s="15">
        <f>IF($D51="","",IF(AND($J51="Received",$K51&lt;&gt;"Yes"),"Yes","No"))</f>
        <v/>
      </c>
      <c r="M51" s="14" t="n"/>
    </row>
    <row r="52">
      <c r="B52" s="15">
        <f>IF($D52="","","M"&amp;TEXT(ROW()-5,"000"))</f>
        <v/>
      </c>
      <c r="C52" s="16" t="n"/>
      <c r="D52" s="14" t="n"/>
      <c r="E52" s="15">
        <f>IF($D52="","",IFERROR(INDEX(rngCadetPIDs,MATCH($D52,rngCadetNames,0)),"?"))</f>
        <v/>
      </c>
      <c r="F52" s="14" t="n"/>
      <c r="G52" s="14" t="n"/>
      <c r="H52" s="14" t="n"/>
      <c r="I52" s="14" t="n"/>
      <c r="J52" s="14" t="n"/>
      <c r="K52" s="14" t="n"/>
      <c r="L52" s="15">
        <f>IF($D52="","",IF(AND($J52="Received",$K52&lt;&gt;"Yes"),"Yes","No"))</f>
        <v/>
      </c>
      <c r="M52" s="14" t="n"/>
    </row>
    <row r="53">
      <c r="B53" s="15">
        <f>IF($D53="","","M"&amp;TEXT(ROW()-5,"000"))</f>
        <v/>
      </c>
      <c r="C53" s="16" t="n"/>
      <c r="D53" s="14" t="n"/>
      <c r="E53" s="15">
        <f>IF($D53="","",IFERROR(INDEX(rngCadetPIDs,MATCH($D53,rngCadetNames,0)),"?"))</f>
        <v/>
      </c>
      <c r="F53" s="14" t="n"/>
      <c r="G53" s="14" t="n"/>
      <c r="H53" s="14" t="n"/>
      <c r="I53" s="14" t="n"/>
      <c r="J53" s="14" t="n"/>
      <c r="K53" s="14" t="n"/>
      <c r="L53" s="15">
        <f>IF($D53="","",IF(AND($J53="Received",$K53&lt;&gt;"Yes"),"Yes","No"))</f>
        <v/>
      </c>
      <c r="M53" s="14" t="n"/>
    </row>
    <row r="54">
      <c r="B54" s="15">
        <f>IF($D54="","","M"&amp;TEXT(ROW()-5,"000"))</f>
        <v/>
      </c>
      <c r="C54" s="16" t="n"/>
      <c r="D54" s="14" t="n"/>
      <c r="E54" s="15">
        <f>IF($D54="","",IFERROR(INDEX(rngCadetPIDs,MATCH($D54,rngCadetNames,0)),"?"))</f>
        <v/>
      </c>
      <c r="F54" s="14" t="n"/>
      <c r="G54" s="14" t="n"/>
      <c r="H54" s="14" t="n"/>
      <c r="I54" s="14" t="n"/>
      <c r="J54" s="14" t="n"/>
      <c r="K54" s="14" t="n"/>
      <c r="L54" s="15">
        <f>IF($D54="","",IF(AND($J54="Received",$K54&lt;&gt;"Yes"),"Yes","No"))</f>
        <v/>
      </c>
      <c r="M54" s="14" t="n"/>
    </row>
    <row r="55">
      <c r="B55" s="15">
        <f>IF($D55="","","M"&amp;TEXT(ROW()-5,"000"))</f>
        <v/>
      </c>
      <c r="C55" s="16" t="n"/>
      <c r="D55" s="14" t="n"/>
      <c r="E55" s="15">
        <f>IF($D55="","",IFERROR(INDEX(rngCadetPIDs,MATCH($D55,rngCadetNames,0)),"?"))</f>
        <v/>
      </c>
      <c r="F55" s="14" t="n"/>
      <c r="G55" s="14" t="n"/>
      <c r="H55" s="14" t="n"/>
      <c r="I55" s="14" t="n"/>
      <c r="J55" s="14" t="n"/>
      <c r="K55" s="14" t="n"/>
      <c r="L55" s="15">
        <f>IF($D55="","",IF(AND($J55="Received",$K55&lt;&gt;"Yes"),"Yes","No"))</f>
        <v/>
      </c>
      <c r="M55" s="14" t="n"/>
    </row>
    <row r="56">
      <c r="B56" s="15">
        <f>IF($D56="","","M"&amp;TEXT(ROW()-5,"000"))</f>
        <v/>
      </c>
      <c r="C56" s="16" t="n"/>
      <c r="D56" s="14" t="n"/>
      <c r="E56" s="15">
        <f>IF($D56="","",IFERROR(INDEX(rngCadetPIDs,MATCH($D56,rngCadetNames,0)),"?"))</f>
        <v/>
      </c>
      <c r="F56" s="14" t="n"/>
      <c r="G56" s="14" t="n"/>
      <c r="H56" s="14" t="n"/>
      <c r="I56" s="14" t="n"/>
      <c r="J56" s="14" t="n"/>
      <c r="K56" s="14" t="n"/>
      <c r="L56" s="15">
        <f>IF($D56="","",IF(AND($J56="Received",$K56&lt;&gt;"Yes"),"Yes","No"))</f>
        <v/>
      </c>
      <c r="M56" s="14" t="n"/>
    </row>
    <row r="57">
      <c r="B57" s="15">
        <f>IF($D57="","","M"&amp;TEXT(ROW()-5,"000"))</f>
        <v/>
      </c>
      <c r="C57" s="16" t="n"/>
      <c r="D57" s="14" t="n"/>
      <c r="E57" s="15">
        <f>IF($D57="","",IFERROR(INDEX(rngCadetPIDs,MATCH($D57,rngCadetNames,0)),"?"))</f>
        <v/>
      </c>
      <c r="F57" s="14" t="n"/>
      <c r="G57" s="14" t="n"/>
      <c r="H57" s="14" t="n"/>
      <c r="I57" s="14" t="n"/>
      <c r="J57" s="14" t="n"/>
      <c r="K57" s="14" t="n"/>
      <c r="L57" s="15">
        <f>IF($D57="","",IF(AND($J57="Received",$K57&lt;&gt;"Yes"),"Yes","No"))</f>
        <v/>
      </c>
      <c r="M57" s="14" t="n"/>
    </row>
    <row r="58">
      <c r="B58" s="15">
        <f>IF($D58="","","M"&amp;TEXT(ROW()-5,"000"))</f>
        <v/>
      </c>
      <c r="C58" s="16" t="n"/>
      <c r="D58" s="14" t="n"/>
      <c r="E58" s="15">
        <f>IF($D58="","",IFERROR(INDEX(rngCadetPIDs,MATCH($D58,rngCadetNames,0)),"?"))</f>
        <v/>
      </c>
      <c r="F58" s="14" t="n"/>
      <c r="G58" s="14" t="n"/>
      <c r="H58" s="14" t="n"/>
      <c r="I58" s="14" t="n"/>
      <c r="J58" s="14" t="n"/>
      <c r="K58" s="14" t="n"/>
      <c r="L58" s="15">
        <f>IF($D58="","",IF(AND($J58="Received",$K58&lt;&gt;"Yes"),"Yes","No"))</f>
        <v/>
      </c>
      <c r="M58" s="14" t="n"/>
    </row>
    <row r="59">
      <c r="B59" s="15">
        <f>IF($D59="","","M"&amp;TEXT(ROW()-5,"000"))</f>
        <v/>
      </c>
      <c r="C59" s="16" t="n"/>
      <c r="D59" s="14" t="n"/>
      <c r="E59" s="15">
        <f>IF($D59="","",IFERROR(INDEX(rngCadetPIDs,MATCH($D59,rngCadetNames,0)),"?"))</f>
        <v/>
      </c>
      <c r="F59" s="14" t="n"/>
      <c r="G59" s="14" t="n"/>
      <c r="H59" s="14" t="n"/>
      <c r="I59" s="14" t="n"/>
      <c r="J59" s="14" t="n"/>
      <c r="K59" s="14" t="n"/>
      <c r="L59" s="15">
        <f>IF($D59="","",IF(AND($J59="Received",$K59&lt;&gt;"Yes"),"Yes","No"))</f>
        <v/>
      </c>
      <c r="M59" s="14" t="n"/>
    </row>
    <row r="60">
      <c r="B60" s="15">
        <f>IF($D60="","","M"&amp;TEXT(ROW()-5,"000"))</f>
        <v/>
      </c>
      <c r="C60" s="16" t="n"/>
      <c r="D60" s="14" t="n"/>
      <c r="E60" s="15">
        <f>IF($D60="","",IFERROR(INDEX(rngCadetPIDs,MATCH($D60,rngCadetNames,0)),"?"))</f>
        <v/>
      </c>
      <c r="F60" s="14" t="n"/>
      <c r="G60" s="14" t="n"/>
      <c r="H60" s="14" t="n"/>
      <c r="I60" s="14" t="n"/>
      <c r="J60" s="14" t="n"/>
      <c r="K60" s="14" t="n"/>
      <c r="L60" s="15">
        <f>IF($D60="","",IF(AND($J60="Received",$K60&lt;&gt;"Yes"),"Yes","No"))</f>
        <v/>
      </c>
      <c r="M60" s="14" t="n"/>
    </row>
    <row r="61">
      <c r="B61" s="15">
        <f>IF($D61="","","M"&amp;TEXT(ROW()-5,"000"))</f>
        <v/>
      </c>
      <c r="C61" s="16" t="n"/>
      <c r="D61" s="14" t="n"/>
      <c r="E61" s="15">
        <f>IF($D61="","",IFERROR(INDEX(rngCadetPIDs,MATCH($D61,rngCadetNames,0)),"?"))</f>
        <v/>
      </c>
      <c r="F61" s="14" t="n"/>
      <c r="G61" s="14" t="n"/>
      <c r="H61" s="14" t="n"/>
      <c r="I61" s="14" t="n"/>
      <c r="J61" s="14" t="n"/>
      <c r="K61" s="14" t="n"/>
      <c r="L61" s="15">
        <f>IF($D61="","",IF(AND($J61="Received",$K61&lt;&gt;"Yes"),"Yes","No"))</f>
        <v/>
      </c>
      <c r="M61" s="14" t="n"/>
    </row>
    <row r="62">
      <c r="B62" s="15">
        <f>IF($D62="","","M"&amp;TEXT(ROW()-5,"000"))</f>
        <v/>
      </c>
      <c r="C62" s="16" t="n"/>
      <c r="D62" s="14" t="n"/>
      <c r="E62" s="15">
        <f>IF($D62="","",IFERROR(INDEX(rngCadetPIDs,MATCH($D62,rngCadetNames,0)),"?"))</f>
        <v/>
      </c>
      <c r="F62" s="14" t="n"/>
      <c r="G62" s="14" t="n"/>
      <c r="H62" s="14" t="n"/>
      <c r="I62" s="14" t="n"/>
      <c r="J62" s="14" t="n"/>
      <c r="K62" s="14" t="n"/>
      <c r="L62" s="15">
        <f>IF($D62="","",IF(AND($J62="Received",$K62&lt;&gt;"Yes"),"Yes","No"))</f>
        <v/>
      </c>
      <c r="M62" s="14" t="n"/>
    </row>
    <row r="63">
      <c r="B63" s="15">
        <f>IF($D63="","","M"&amp;TEXT(ROW()-5,"000"))</f>
        <v/>
      </c>
      <c r="C63" s="16" t="n"/>
      <c r="D63" s="14" t="n"/>
      <c r="E63" s="15">
        <f>IF($D63="","",IFERROR(INDEX(rngCadetPIDs,MATCH($D63,rngCadetNames,0)),"?"))</f>
        <v/>
      </c>
      <c r="F63" s="14" t="n"/>
      <c r="G63" s="14" t="n"/>
      <c r="H63" s="14" t="n"/>
      <c r="I63" s="14" t="n"/>
      <c r="J63" s="14" t="n"/>
      <c r="K63" s="14" t="n"/>
      <c r="L63" s="15">
        <f>IF($D63="","",IF(AND($J63="Received",$K63&lt;&gt;"Yes"),"Yes","No"))</f>
        <v/>
      </c>
      <c r="M63" s="14" t="n"/>
    </row>
    <row r="64">
      <c r="B64" s="15">
        <f>IF($D64="","","M"&amp;TEXT(ROW()-5,"000"))</f>
        <v/>
      </c>
      <c r="C64" s="16" t="n"/>
      <c r="D64" s="14" t="n"/>
      <c r="E64" s="15">
        <f>IF($D64="","",IFERROR(INDEX(rngCadetPIDs,MATCH($D64,rngCadetNames,0)),"?"))</f>
        <v/>
      </c>
      <c r="F64" s="14" t="n"/>
      <c r="G64" s="14" t="n"/>
      <c r="H64" s="14" t="n"/>
      <c r="I64" s="14" t="n"/>
      <c r="J64" s="14" t="n"/>
      <c r="K64" s="14" t="n"/>
      <c r="L64" s="15">
        <f>IF($D64="","",IF(AND($J64="Received",$K64&lt;&gt;"Yes"),"Yes","No"))</f>
        <v/>
      </c>
      <c r="M64" s="14" t="n"/>
    </row>
    <row r="65">
      <c r="B65" s="15">
        <f>IF($D65="","","M"&amp;TEXT(ROW()-5,"000"))</f>
        <v/>
      </c>
      <c r="C65" s="16" t="n"/>
      <c r="D65" s="14" t="n"/>
      <c r="E65" s="15">
        <f>IF($D65="","",IFERROR(INDEX(rngCadetPIDs,MATCH($D65,rngCadetNames,0)),"?"))</f>
        <v/>
      </c>
      <c r="F65" s="14" t="n"/>
      <c r="G65" s="14" t="n"/>
      <c r="H65" s="14" t="n"/>
      <c r="I65" s="14" t="n"/>
      <c r="J65" s="14" t="n"/>
      <c r="K65" s="14" t="n"/>
      <c r="L65" s="15">
        <f>IF($D65="","",IF(AND($J65="Received",$K65&lt;&gt;"Yes"),"Yes","No"))</f>
        <v/>
      </c>
      <c r="M65" s="14" t="n"/>
    </row>
    <row r="66">
      <c r="B66" s="15">
        <f>IF($D66="","","M"&amp;TEXT(ROW()-5,"000"))</f>
        <v/>
      </c>
      <c r="C66" s="16" t="n"/>
      <c r="D66" s="14" t="n"/>
      <c r="E66" s="15">
        <f>IF($D66="","",IFERROR(INDEX(rngCadetPIDs,MATCH($D66,rngCadetNames,0)),"?"))</f>
        <v/>
      </c>
      <c r="F66" s="14" t="n"/>
      <c r="G66" s="14" t="n"/>
      <c r="H66" s="14" t="n"/>
      <c r="I66" s="14" t="n"/>
      <c r="J66" s="14" t="n"/>
      <c r="K66" s="14" t="n"/>
      <c r="L66" s="15">
        <f>IF($D66="","",IF(AND($J66="Received",$K66&lt;&gt;"Yes"),"Yes","No"))</f>
        <v/>
      </c>
      <c r="M66" s="14" t="n"/>
    </row>
    <row r="67">
      <c r="B67" s="15">
        <f>IF($D67="","","M"&amp;TEXT(ROW()-5,"000"))</f>
        <v/>
      </c>
      <c r="C67" s="16" t="n"/>
      <c r="D67" s="14" t="n"/>
      <c r="E67" s="15">
        <f>IF($D67="","",IFERROR(INDEX(rngCadetPIDs,MATCH($D67,rngCadetNames,0)),"?"))</f>
        <v/>
      </c>
      <c r="F67" s="14" t="n"/>
      <c r="G67" s="14" t="n"/>
      <c r="H67" s="14" t="n"/>
      <c r="I67" s="14" t="n"/>
      <c r="J67" s="14" t="n"/>
      <c r="K67" s="14" t="n"/>
      <c r="L67" s="15">
        <f>IF($D67="","",IF(AND($J67="Received",$K67&lt;&gt;"Yes"),"Yes","No"))</f>
        <v/>
      </c>
      <c r="M67" s="14" t="n"/>
    </row>
    <row r="68">
      <c r="B68" s="15">
        <f>IF($D68="","","M"&amp;TEXT(ROW()-5,"000"))</f>
        <v/>
      </c>
      <c r="C68" s="16" t="n"/>
      <c r="D68" s="14" t="n"/>
      <c r="E68" s="15">
        <f>IF($D68="","",IFERROR(INDEX(rngCadetPIDs,MATCH($D68,rngCadetNames,0)),"?"))</f>
        <v/>
      </c>
      <c r="F68" s="14" t="n"/>
      <c r="G68" s="14" t="n"/>
      <c r="H68" s="14" t="n"/>
      <c r="I68" s="14" t="n"/>
      <c r="J68" s="14" t="n"/>
      <c r="K68" s="14" t="n"/>
      <c r="L68" s="15">
        <f>IF($D68="","",IF(AND($J68="Received",$K68&lt;&gt;"Yes"),"Yes","No"))</f>
        <v/>
      </c>
      <c r="M68" s="14" t="n"/>
    </row>
    <row r="69">
      <c r="B69" s="15">
        <f>IF($D69="","","M"&amp;TEXT(ROW()-5,"000"))</f>
        <v/>
      </c>
      <c r="C69" s="16" t="n"/>
      <c r="D69" s="14" t="n"/>
      <c r="E69" s="15">
        <f>IF($D69="","",IFERROR(INDEX(rngCadetPIDs,MATCH($D69,rngCadetNames,0)),"?"))</f>
        <v/>
      </c>
      <c r="F69" s="14" t="n"/>
      <c r="G69" s="14" t="n"/>
      <c r="H69" s="14" t="n"/>
      <c r="I69" s="14" t="n"/>
      <c r="J69" s="14" t="n"/>
      <c r="K69" s="14" t="n"/>
      <c r="L69" s="15">
        <f>IF($D69="","",IF(AND($J69="Received",$K69&lt;&gt;"Yes"),"Yes","No"))</f>
        <v/>
      </c>
      <c r="M69" s="14" t="n"/>
    </row>
    <row r="70">
      <c r="B70" s="15">
        <f>IF($D70="","","M"&amp;TEXT(ROW()-5,"000"))</f>
        <v/>
      </c>
      <c r="C70" s="16" t="n"/>
      <c r="D70" s="14" t="n"/>
      <c r="E70" s="15">
        <f>IF($D70="","",IFERROR(INDEX(rngCadetPIDs,MATCH($D70,rngCadetNames,0)),"?"))</f>
        <v/>
      </c>
      <c r="F70" s="14" t="n"/>
      <c r="G70" s="14" t="n"/>
      <c r="H70" s="14" t="n"/>
      <c r="I70" s="14" t="n"/>
      <c r="J70" s="14" t="n"/>
      <c r="K70" s="14" t="n"/>
      <c r="L70" s="15">
        <f>IF($D70="","",IF(AND($J70="Received",$K70&lt;&gt;"Yes"),"Yes","No"))</f>
        <v/>
      </c>
      <c r="M70" s="14" t="n"/>
    </row>
    <row r="71">
      <c r="B71" s="15">
        <f>IF($D71="","","M"&amp;TEXT(ROW()-5,"000"))</f>
        <v/>
      </c>
      <c r="C71" s="16" t="n"/>
      <c r="D71" s="14" t="n"/>
      <c r="E71" s="15">
        <f>IF($D71="","",IFERROR(INDEX(rngCadetPIDs,MATCH($D71,rngCadetNames,0)),"?"))</f>
        <v/>
      </c>
      <c r="F71" s="14" t="n"/>
      <c r="G71" s="14" t="n"/>
      <c r="H71" s="14" t="n"/>
      <c r="I71" s="14" t="n"/>
      <c r="J71" s="14" t="n"/>
      <c r="K71" s="14" t="n"/>
      <c r="L71" s="15">
        <f>IF($D71="","",IF(AND($J71="Received",$K71&lt;&gt;"Yes"),"Yes","No"))</f>
        <v/>
      </c>
      <c r="M71" s="14" t="n"/>
    </row>
    <row r="72">
      <c r="B72" s="15">
        <f>IF($D72="","","M"&amp;TEXT(ROW()-5,"000"))</f>
        <v/>
      </c>
      <c r="C72" s="16" t="n"/>
      <c r="D72" s="14" t="n"/>
      <c r="E72" s="15">
        <f>IF($D72="","",IFERROR(INDEX(rngCadetPIDs,MATCH($D72,rngCadetNames,0)),"?"))</f>
        <v/>
      </c>
      <c r="F72" s="14" t="n"/>
      <c r="G72" s="14" t="n"/>
      <c r="H72" s="14" t="n"/>
      <c r="I72" s="14" t="n"/>
      <c r="J72" s="14" t="n"/>
      <c r="K72" s="14" t="n"/>
      <c r="L72" s="15">
        <f>IF($D72="","",IF(AND($J72="Received",$K72&lt;&gt;"Yes"),"Yes","No"))</f>
        <v/>
      </c>
      <c r="M72" s="14" t="n"/>
    </row>
    <row r="73">
      <c r="B73" s="15">
        <f>IF($D73="","","M"&amp;TEXT(ROW()-5,"000"))</f>
        <v/>
      </c>
      <c r="C73" s="16" t="n"/>
      <c r="D73" s="14" t="n"/>
      <c r="E73" s="15">
        <f>IF($D73="","",IFERROR(INDEX(rngCadetPIDs,MATCH($D73,rngCadetNames,0)),"?"))</f>
        <v/>
      </c>
      <c r="F73" s="14" t="n"/>
      <c r="G73" s="14" t="n"/>
      <c r="H73" s="14" t="n"/>
      <c r="I73" s="14" t="n"/>
      <c r="J73" s="14" t="n"/>
      <c r="K73" s="14" t="n"/>
      <c r="L73" s="15">
        <f>IF($D73="","",IF(AND($J73="Received",$K73&lt;&gt;"Yes"),"Yes","No"))</f>
        <v/>
      </c>
      <c r="M73" s="14" t="n"/>
    </row>
    <row r="74">
      <c r="B74" s="15">
        <f>IF($D74="","","M"&amp;TEXT(ROW()-5,"000"))</f>
        <v/>
      </c>
      <c r="C74" s="16" t="n"/>
      <c r="D74" s="14" t="n"/>
      <c r="E74" s="15">
        <f>IF($D74="","",IFERROR(INDEX(rngCadetPIDs,MATCH($D74,rngCadetNames,0)),"?"))</f>
        <v/>
      </c>
      <c r="F74" s="14" t="n"/>
      <c r="G74" s="14" t="n"/>
      <c r="H74" s="14" t="n"/>
      <c r="I74" s="14" t="n"/>
      <c r="J74" s="14" t="n"/>
      <c r="K74" s="14" t="n"/>
      <c r="L74" s="15">
        <f>IF($D74="","",IF(AND($J74="Received",$K74&lt;&gt;"Yes"),"Yes","No"))</f>
        <v/>
      </c>
      <c r="M74" s="14" t="n"/>
    </row>
    <row r="75">
      <c r="B75" s="15">
        <f>IF($D75="","","M"&amp;TEXT(ROW()-5,"000"))</f>
        <v/>
      </c>
      <c r="C75" s="16" t="n"/>
      <c r="D75" s="14" t="n"/>
      <c r="E75" s="15">
        <f>IF($D75="","",IFERROR(INDEX(rngCadetPIDs,MATCH($D75,rngCadetNames,0)),"?"))</f>
        <v/>
      </c>
      <c r="F75" s="14" t="n"/>
      <c r="G75" s="14" t="n"/>
      <c r="H75" s="14" t="n"/>
      <c r="I75" s="14" t="n"/>
      <c r="J75" s="14" t="n"/>
      <c r="K75" s="14" t="n"/>
      <c r="L75" s="15">
        <f>IF($D75="","",IF(AND($J75="Received",$K75&lt;&gt;"Yes"),"Yes","No"))</f>
        <v/>
      </c>
      <c r="M75" s="14" t="n"/>
    </row>
    <row r="76">
      <c r="B76" s="15">
        <f>IF($D76="","","M"&amp;TEXT(ROW()-5,"000"))</f>
        <v/>
      </c>
      <c r="C76" s="16" t="n"/>
      <c r="D76" s="14" t="n"/>
      <c r="E76" s="15">
        <f>IF($D76="","",IFERROR(INDEX(rngCadetPIDs,MATCH($D76,rngCadetNames,0)),"?"))</f>
        <v/>
      </c>
      <c r="F76" s="14" t="n"/>
      <c r="G76" s="14" t="n"/>
      <c r="H76" s="14" t="n"/>
      <c r="I76" s="14" t="n"/>
      <c r="J76" s="14" t="n"/>
      <c r="K76" s="14" t="n"/>
      <c r="L76" s="15">
        <f>IF($D76="","",IF(AND($J76="Received",$K76&lt;&gt;"Yes"),"Yes","No"))</f>
        <v/>
      </c>
      <c r="M76" s="14" t="n"/>
    </row>
    <row r="77">
      <c r="B77" s="15">
        <f>IF($D77="","","M"&amp;TEXT(ROW()-5,"000"))</f>
        <v/>
      </c>
      <c r="C77" s="16" t="n"/>
      <c r="D77" s="14" t="n"/>
      <c r="E77" s="15">
        <f>IF($D77="","",IFERROR(INDEX(rngCadetPIDs,MATCH($D77,rngCadetNames,0)),"?"))</f>
        <v/>
      </c>
      <c r="F77" s="14" t="n"/>
      <c r="G77" s="14" t="n"/>
      <c r="H77" s="14" t="n"/>
      <c r="I77" s="14" t="n"/>
      <c r="J77" s="14" t="n"/>
      <c r="K77" s="14" t="n"/>
      <c r="L77" s="15">
        <f>IF($D77="","",IF(AND($J77="Received",$K77&lt;&gt;"Yes"),"Yes","No"))</f>
        <v/>
      </c>
      <c r="M77" s="14" t="n"/>
    </row>
    <row r="78">
      <c r="B78" s="15">
        <f>IF($D78="","","M"&amp;TEXT(ROW()-5,"000"))</f>
        <v/>
      </c>
      <c r="C78" s="16" t="n"/>
      <c r="D78" s="14" t="n"/>
      <c r="E78" s="15">
        <f>IF($D78="","",IFERROR(INDEX(rngCadetPIDs,MATCH($D78,rngCadetNames,0)),"?"))</f>
        <v/>
      </c>
      <c r="F78" s="14" t="n"/>
      <c r="G78" s="14" t="n"/>
      <c r="H78" s="14" t="n"/>
      <c r="I78" s="14" t="n"/>
      <c r="J78" s="14" t="n"/>
      <c r="K78" s="14" t="n"/>
      <c r="L78" s="15">
        <f>IF($D78="","",IF(AND($J78="Received",$K78&lt;&gt;"Yes"),"Yes","No"))</f>
        <v/>
      </c>
      <c r="M78" s="14" t="n"/>
    </row>
    <row r="79">
      <c r="B79" s="15">
        <f>IF($D79="","","M"&amp;TEXT(ROW()-5,"000"))</f>
        <v/>
      </c>
      <c r="C79" s="16" t="n"/>
      <c r="D79" s="14" t="n"/>
      <c r="E79" s="15">
        <f>IF($D79="","",IFERROR(INDEX(rngCadetPIDs,MATCH($D79,rngCadetNames,0)),"?"))</f>
        <v/>
      </c>
      <c r="F79" s="14" t="n"/>
      <c r="G79" s="14" t="n"/>
      <c r="H79" s="14" t="n"/>
      <c r="I79" s="14" t="n"/>
      <c r="J79" s="14" t="n"/>
      <c r="K79" s="14" t="n"/>
      <c r="L79" s="15">
        <f>IF($D79="","",IF(AND($J79="Received",$K79&lt;&gt;"Yes"),"Yes","No"))</f>
        <v/>
      </c>
      <c r="M79" s="14" t="n"/>
    </row>
    <row r="80">
      <c r="B80" s="15">
        <f>IF($D80="","","M"&amp;TEXT(ROW()-5,"000"))</f>
        <v/>
      </c>
      <c r="C80" s="16" t="n"/>
      <c r="D80" s="14" t="n"/>
      <c r="E80" s="15">
        <f>IF($D80="","",IFERROR(INDEX(rngCadetPIDs,MATCH($D80,rngCadetNames,0)),"?"))</f>
        <v/>
      </c>
      <c r="F80" s="14" t="n"/>
      <c r="G80" s="14" t="n"/>
      <c r="H80" s="14" t="n"/>
      <c r="I80" s="14" t="n"/>
      <c r="J80" s="14" t="n"/>
      <c r="K80" s="14" t="n"/>
      <c r="L80" s="15">
        <f>IF($D80="","",IF(AND($J80="Received",$K80&lt;&gt;"Yes"),"Yes","No"))</f>
        <v/>
      </c>
      <c r="M80" s="14" t="n"/>
    </row>
    <row r="81">
      <c r="B81" s="15">
        <f>IF($D81="","","M"&amp;TEXT(ROW()-5,"000"))</f>
        <v/>
      </c>
      <c r="C81" s="16" t="n"/>
      <c r="D81" s="14" t="n"/>
      <c r="E81" s="15">
        <f>IF($D81="","",IFERROR(INDEX(rngCadetPIDs,MATCH($D81,rngCadetNames,0)),"?"))</f>
        <v/>
      </c>
      <c r="F81" s="14" t="n"/>
      <c r="G81" s="14" t="n"/>
      <c r="H81" s="14" t="n"/>
      <c r="I81" s="14" t="n"/>
      <c r="J81" s="14" t="n"/>
      <c r="K81" s="14" t="n"/>
      <c r="L81" s="15">
        <f>IF($D81="","",IF(AND($J81="Received",$K81&lt;&gt;"Yes"),"Yes","No"))</f>
        <v/>
      </c>
      <c r="M81" s="14" t="n"/>
    </row>
    <row r="82">
      <c r="B82" s="15">
        <f>IF($D82="","","M"&amp;TEXT(ROW()-5,"000"))</f>
        <v/>
      </c>
      <c r="C82" s="16" t="n"/>
      <c r="D82" s="14" t="n"/>
      <c r="E82" s="15">
        <f>IF($D82="","",IFERROR(INDEX(rngCadetPIDs,MATCH($D82,rngCadetNames,0)),"?"))</f>
        <v/>
      </c>
      <c r="F82" s="14" t="n"/>
      <c r="G82" s="14" t="n"/>
      <c r="H82" s="14" t="n"/>
      <c r="I82" s="14" t="n"/>
      <c r="J82" s="14" t="n"/>
      <c r="K82" s="14" t="n"/>
      <c r="L82" s="15">
        <f>IF($D82="","",IF(AND($J82="Received",$K82&lt;&gt;"Yes"),"Yes","No"))</f>
        <v/>
      </c>
      <c r="M82" s="14" t="n"/>
    </row>
    <row r="83">
      <c r="B83" s="15">
        <f>IF($D83="","","M"&amp;TEXT(ROW()-5,"000"))</f>
        <v/>
      </c>
      <c r="C83" s="16" t="n"/>
      <c r="D83" s="14" t="n"/>
      <c r="E83" s="15">
        <f>IF($D83="","",IFERROR(INDEX(rngCadetPIDs,MATCH($D83,rngCadetNames,0)),"?"))</f>
        <v/>
      </c>
      <c r="F83" s="14" t="n"/>
      <c r="G83" s="14" t="n"/>
      <c r="H83" s="14" t="n"/>
      <c r="I83" s="14" t="n"/>
      <c r="J83" s="14" t="n"/>
      <c r="K83" s="14" t="n"/>
      <c r="L83" s="15">
        <f>IF($D83="","",IF(AND($J83="Received",$K83&lt;&gt;"Yes"),"Yes","No"))</f>
        <v/>
      </c>
      <c r="M83" s="14" t="n"/>
    </row>
    <row r="84">
      <c r="B84" s="15">
        <f>IF($D84="","","M"&amp;TEXT(ROW()-5,"000"))</f>
        <v/>
      </c>
      <c r="C84" s="16" t="n"/>
      <c r="D84" s="14" t="n"/>
      <c r="E84" s="15">
        <f>IF($D84="","",IFERROR(INDEX(rngCadetPIDs,MATCH($D84,rngCadetNames,0)),"?"))</f>
        <v/>
      </c>
      <c r="F84" s="14" t="n"/>
      <c r="G84" s="14" t="n"/>
      <c r="H84" s="14" t="n"/>
      <c r="I84" s="14" t="n"/>
      <c r="J84" s="14" t="n"/>
      <c r="K84" s="14" t="n"/>
      <c r="L84" s="15">
        <f>IF($D84="","",IF(AND($J84="Received",$K84&lt;&gt;"Yes"),"Yes","No"))</f>
        <v/>
      </c>
      <c r="M84" s="14" t="n"/>
    </row>
    <row r="85">
      <c r="B85" s="15">
        <f>IF($D85="","","M"&amp;TEXT(ROW()-5,"000"))</f>
        <v/>
      </c>
      <c r="C85" s="16" t="n"/>
      <c r="D85" s="14" t="n"/>
      <c r="E85" s="15">
        <f>IF($D85="","",IFERROR(INDEX(rngCadetPIDs,MATCH($D85,rngCadetNames,0)),"?"))</f>
        <v/>
      </c>
      <c r="F85" s="14" t="n"/>
      <c r="G85" s="14" t="n"/>
      <c r="H85" s="14" t="n"/>
      <c r="I85" s="14" t="n"/>
      <c r="J85" s="14" t="n"/>
      <c r="K85" s="14" t="n"/>
      <c r="L85" s="15">
        <f>IF($D85="","",IF(AND($J85="Received",$K85&lt;&gt;"Yes"),"Yes","No"))</f>
        <v/>
      </c>
      <c r="M85" s="14" t="n"/>
    </row>
    <row r="86">
      <c r="B86" s="15">
        <f>IF($D86="","","M"&amp;TEXT(ROW()-5,"000"))</f>
        <v/>
      </c>
      <c r="C86" s="16" t="n"/>
      <c r="D86" s="14" t="n"/>
      <c r="E86" s="15">
        <f>IF($D86="","",IFERROR(INDEX(rngCadetPIDs,MATCH($D86,rngCadetNames,0)),"?"))</f>
        <v/>
      </c>
      <c r="F86" s="14" t="n"/>
      <c r="G86" s="14" t="n"/>
      <c r="H86" s="14" t="n"/>
      <c r="I86" s="14" t="n"/>
      <c r="J86" s="14" t="n"/>
      <c r="K86" s="14" t="n"/>
      <c r="L86" s="15">
        <f>IF($D86="","",IF(AND($J86="Received",$K86&lt;&gt;"Yes"),"Yes","No"))</f>
        <v/>
      </c>
      <c r="M86" s="14" t="n"/>
    </row>
    <row r="87">
      <c r="B87" s="15">
        <f>IF($D87="","","M"&amp;TEXT(ROW()-5,"000"))</f>
        <v/>
      </c>
      <c r="C87" s="16" t="n"/>
      <c r="D87" s="14" t="n"/>
      <c r="E87" s="15">
        <f>IF($D87="","",IFERROR(INDEX(rngCadetPIDs,MATCH($D87,rngCadetNames,0)),"?"))</f>
        <v/>
      </c>
      <c r="F87" s="14" t="n"/>
      <c r="G87" s="14" t="n"/>
      <c r="H87" s="14" t="n"/>
      <c r="I87" s="14" t="n"/>
      <c r="J87" s="14" t="n"/>
      <c r="K87" s="14" t="n"/>
      <c r="L87" s="15">
        <f>IF($D87="","",IF(AND($J87="Received",$K87&lt;&gt;"Yes"),"Yes","No"))</f>
        <v/>
      </c>
      <c r="M87" s="14" t="n"/>
    </row>
    <row r="88">
      <c r="B88" s="15">
        <f>IF($D88="","","M"&amp;TEXT(ROW()-5,"000"))</f>
        <v/>
      </c>
      <c r="C88" s="16" t="n"/>
      <c r="D88" s="14" t="n"/>
      <c r="E88" s="15">
        <f>IF($D88="","",IFERROR(INDEX(rngCadetPIDs,MATCH($D88,rngCadetNames,0)),"?"))</f>
        <v/>
      </c>
      <c r="F88" s="14" t="n"/>
      <c r="G88" s="14" t="n"/>
      <c r="H88" s="14" t="n"/>
      <c r="I88" s="14" t="n"/>
      <c r="J88" s="14" t="n"/>
      <c r="K88" s="14" t="n"/>
      <c r="L88" s="15">
        <f>IF($D88="","",IF(AND($J88="Received",$K88&lt;&gt;"Yes"),"Yes","No"))</f>
        <v/>
      </c>
      <c r="M88" s="14" t="n"/>
    </row>
    <row r="89">
      <c r="B89" s="15">
        <f>IF($D89="","","M"&amp;TEXT(ROW()-5,"000"))</f>
        <v/>
      </c>
      <c r="C89" s="16" t="n"/>
      <c r="D89" s="14" t="n"/>
      <c r="E89" s="15">
        <f>IF($D89="","",IFERROR(INDEX(rngCadetPIDs,MATCH($D89,rngCadetNames,0)),"?"))</f>
        <v/>
      </c>
      <c r="F89" s="14" t="n"/>
      <c r="G89" s="14" t="n"/>
      <c r="H89" s="14" t="n"/>
      <c r="I89" s="14" t="n"/>
      <c r="J89" s="14" t="n"/>
      <c r="K89" s="14" t="n"/>
      <c r="L89" s="15">
        <f>IF($D89="","",IF(AND($J89="Received",$K89&lt;&gt;"Yes"),"Yes","No"))</f>
        <v/>
      </c>
      <c r="M89" s="14" t="n"/>
    </row>
    <row r="90">
      <c r="B90" s="15">
        <f>IF($D90="","","M"&amp;TEXT(ROW()-5,"000"))</f>
        <v/>
      </c>
      <c r="C90" s="16" t="n"/>
      <c r="D90" s="14" t="n"/>
      <c r="E90" s="15">
        <f>IF($D90="","",IFERROR(INDEX(rngCadetPIDs,MATCH($D90,rngCadetNames,0)),"?"))</f>
        <v/>
      </c>
      <c r="F90" s="14" t="n"/>
      <c r="G90" s="14" t="n"/>
      <c r="H90" s="14" t="n"/>
      <c r="I90" s="14" t="n"/>
      <c r="J90" s="14" t="n"/>
      <c r="K90" s="14" t="n"/>
      <c r="L90" s="15">
        <f>IF($D90="","",IF(AND($J90="Received",$K90&lt;&gt;"Yes"),"Yes","No"))</f>
        <v/>
      </c>
      <c r="M90" s="14" t="n"/>
    </row>
    <row r="91">
      <c r="B91" s="15">
        <f>IF($D91="","","M"&amp;TEXT(ROW()-5,"000"))</f>
        <v/>
      </c>
      <c r="C91" s="16" t="n"/>
      <c r="D91" s="14" t="n"/>
      <c r="E91" s="15">
        <f>IF($D91="","",IFERROR(INDEX(rngCadetPIDs,MATCH($D91,rngCadetNames,0)),"?"))</f>
        <v/>
      </c>
      <c r="F91" s="14" t="n"/>
      <c r="G91" s="14" t="n"/>
      <c r="H91" s="14" t="n"/>
      <c r="I91" s="14" t="n"/>
      <c r="J91" s="14" t="n"/>
      <c r="K91" s="14" t="n"/>
      <c r="L91" s="15">
        <f>IF($D91="","",IF(AND($J91="Received",$K91&lt;&gt;"Yes"),"Yes","No"))</f>
        <v/>
      </c>
      <c r="M91" s="14" t="n"/>
    </row>
    <row r="92">
      <c r="B92" s="15">
        <f>IF($D92="","","M"&amp;TEXT(ROW()-5,"000"))</f>
        <v/>
      </c>
      <c r="C92" s="16" t="n"/>
      <c r="D92" s="14" t="n"/>
      <c r="E92" s="15">
        <f>IF($D92="","",IFERROR(INDEX(rngCadetPIDs,MATCH($D92,rngCadetNames,0)),"?"))</f>
        <v/>
      </c>
      <c r="F92" s="14" t="n"/>
      <c r="G92" s="14" t="n"/>
      <c r="H92" s="14" t="n"/>
      <c r="I92" s="14" t="n"/>
      <c r="J92" s="14" t="n"/>
      <c r="K92" s="14" t="n"/>
      <c r="L92" s="15">
        <f>IF($D92="","",IF(AND($J92="Received",$K92&lt;&gt;"Yes"),"Yes","No"))</f>
        <v/>
      </c>
      <c r="M92" s="14" t="n"/>
    </row>
    <row r="93">
      <c r="B93" s="15">
        <f>IF($D93="","","M"&amp;TEXT(ROW()-5,"000"))</f>
        <v/>
      </c>
      <c r="C93" s="16" t="n"/>
      <c r="D93" s="14" t="n"/>
      <c r="E93" s="15">
        <f>IF($D93="","",IFERROR(INDEX(rngCadetPIDs,MATCH($D93,rngCadetNames,0)),"?"))</f>
        <v/>
      </c>
      <c r="F93" s="14" t="n"/>
      <c r="G93" s="14" t="n"/>
      <c r="H93" s="14" t="n"/>
      <c r="I93" s="14" t="n"/>
      <c r="J93" s="14" t="n"/>
      <c r="K93" s="14" t="n"/>
      <c r="L93" s="15">
        <f>IF($D93="","",IF(AND($J93="Received",$K93&lt;&gt;"Yes"),"Yes","No"))</f>
        <v/>
      </c>
      <c r="M93" s="14" t="n"/>
    </row>
    <row r="94">
      <c r="B94" s="15">
        <f>IF($D94="","","M"&amp;TEXT(ROW()-5,"000"))</f>
        <v/>
      </c>
      <c r="C94" s="16" t="n"/>
      <c r="D94" s="14" t="n"/>
      <c r="E94" s="15">
        <f>IF($D94="","",IFERROR(INDEX(rngCadetPIDs,MATCH($D94,rngCadetNames,0)),"?"))</f>
        <v/>
      </c>
      <c r="F94" s="14" t="n"/>
      <c r="G94" s="14" t="n"/>
      <c r="H94" s="14" t="n"/>
      <c r="I94" s="14" t="n"/>
      <c r="J94" s="14" t="n"/>
      <c r="K94" s="14" t="n"/>
      <c r="L94" s="15">
        <f>IF($D94="","",IF(AND($J94="Received",$K94&lt;&gt;"Yes"),"Yes","No"))</f>
        <v/>
      </c>
      <c r="M94" s="14" t="n"/>
    </row>
    <row r="95">
      <c r="B95" s="15">
        <f>IF($D95="","","M"&amp;TEXT(ROW()-5,"000"))</f>
        <v/>
      </c>
      <c r="C95" s="16" t="n"/>
      <c r="D95" s="14" t="n"/>
      <c r="E95" s="15">
        <f>IF($D95="","",IFERROR(INDEX(rngCadetPIDs,MATCH($D95,rngCadetNames,0)),"?"))</f>
        <v/>
      </c>
      <c r="F95" s="14" t="n"/>
      <c r="G95" s="14" t="n"/>
      <c r="H95" s="14" t="n"/>
      <c r="I95" s="14" t="n"/>
      <c r="J95" s="14" t="n"/>
      <c r="K95" s="14" t="n"/>
      <c r="L95" s="15">
        <f>IF($D95="","",IF(AND($J95="Received",$K95&lt;&gt;"Yes"),"Yes","No"))</f>
        <v/>
      </c>
      <c r="M95" s="14" t="n"/>
    </row>
    <row r="96">
      <c r="B96" s="15">
        <f>IF($D96="","","M"&amp;TEXT(ROW()-5,"000"))</f>
        <v/>
      </c>
      <c r="C96" s="16" t="n"/>
      <c r="D96" s="14" t="n"/>
      <c r="E96" s="15">
        <f>IF($D96="","",IFERROR(INDEX(rngCadetPIDs,MATCH($D96,rngCadetNames,0)),"?"))</f>
        <v/>
      </c>
      <c r="F96" s="14" t="n"/>
      <c r="G96" s="14" t="n"/>
      <c r="H96" s="14" t="n"/>
      <c r="I96" s="14" t="n"/>
      <c r="J96" s="14" t="n"/>
      <c r="K96" s="14" t="n"/>
      <c r="L96" s="15">
        <f>IF($D96="","",IF(AND($J96="Received",$K96&lt;&gt;"Yes"),"Yes","No"))</f>
        <v/>
      </c>
      <c r="M96" s="14" t="n"/>
    </row>
    <row r="97">
      <c r="B97" s="15">
        <f>IF($D97="","","M"&amp;TEXT(ROW()-5,"000"))</f>
        <v/>
      </c>
      <c r="C97" s="16" t="n"/>
      <c r="D97" s="14" t="n"/>
      <c r="E97" s="15">
        <f>IF($D97="","",IFERROR(INDEX(rngCadetPIDs,MATCH($D97,rngCadetNames,0)),"?"))</f>
        <v/>
      </c>
      <c r="F97" s="14" t="n"/>
      <c r="G97" s="14" t="n"/>
      <c r="H97" s="14" t="n"/>
      <c r="I97" s="14" t="n"/>
      <c r="J97" s="14" t="n"/>
      <c r="K97" s="14" t="n"/>
      <c r="L97" s="15">
        <f>IF($D97="","",IF(AND($J97="Received",$K97&lt;&gt;"Yes"),"Yes","No"))</f>
        <v/>
      </c>
      <c r="M97" s="14" t="n"/>
    </row>
    <row r="98">
      <c r="B98" s="15">
        <f>IF($D98="","","M"&amp;TEXT(ROW()-5,"000"))</f>
        <v/>
      </c>
      <c r="C98" s="16" t="n"/>
      <c r="D98" s="14" t="n"/>
      <c r="E98" s="15">
        <f>IF($D98="","",IFERROR(INDEX(rngCadetPIDs,MATCH($D98,rngCadetNames,0)),"?"))</f>
        <v/>
      </c>
      <c r="F98" s="14" t="n"/>
      <c r="G98" s="14" t="n"/>
      <c r="H98" s="14" t="n"/>
      <c r="I98" s="14" t="n"/>
      <c r="J98" s="14" t="n"/>
      <c r="K98" s="14" t="n"/>
      <c r="L98" s="15">
        <f>IF($D98="","",IF(AND($J98="Received",$K98&lt;&gt;"Yes"),"Yes","No"))</f>
        <v/>
      </c>
      <c r="M98" s="14" t="n"/>
    </row>
    <row r="99">
      <c r="B99" s="15">
        <f>IF($D99="","","M"&amp;TEXT(ROW()-5,"000"))</f>
        <v/>
      </c>
      <c r="C99" s="16" t="n"/>
      <c r="D99" s="14" t="n"/>
      <c r="E99" s="15">
        <f>IF($D99="","",IFERROR(INDEX(rngCadetPIDs,MATCH($D99,rngCadetNames,0)),"?"))</f>
        <v/>
      </c>
      <c r="F99" s="14" t="n"/>
      <c r="G99" s="14" t="n"/>
      <c r="H99" s="14" t="n"/>
      <c r="I99" s="14" t="n"/>
      <c r="J99" s="14" t="n"/>
      <c r="K99" s="14" t="n"/>
      <c r="L99" s="15">
        <f>IF($D99="","",IF(AND($J99="Received",$K99&lt;&gt;"Yes"),"Yes","No"))</f>
        <v/>
      </c>
      <c r="M99" s="14" t="n"/>
    </row>
    <row r="100">
      <c r="B100" s="15">
        <f>IF($D100="","","M"&amp;TEXT(ROW()-5,"000"))</f>
        <v/>
      </c>
      <c r="C100" s="16" t="n"/>
      <c r="D100" s="14" t="n"/>
      <c r="E100" s="15">
        <f>IF($D100="","",IFERROR(INDEX(rngCadetPIDs,MATCH($D100,rngCadetNames,0)),"?"))</f>
        <v/>
      </c>
      <c r="F100" s="14" t="n"/>
      <c r="G100" s="14" t="n"/>
      <c r="H100" s="14" t="n"/>
      <c r="I100" s="14" t="n"/>
      <c r="J100" s="14" t="n"/>
      <c r="K100" s="14" t="n"/>
      <c r="L100" s="15">
        <f>IF($D100="","",IF(AND($J100="Received",$K100&lt;&gt;"Yes"),"Yes","No"))</f>
        <v/>
      </c>
      <c r="M100" s="14" t="n"/>
    </row>
    <row r="101">
      <c r="B101" s="15">
        <f>IF($D101="","","M"&amp;TEXT(ROW()-5,"000"))</f>
        <v/>
      </c>
      <c r="C101" s="16" t="n"/>
      <c r="D101" s="14" t="n"/>
      <c r="E101" s="15">
        <f>IF($D101="","",IFERROR(INDEX(rngCadetPIDs,MATCH($D101,rngCadetNames,0)),"?"))</f>
        <v/>
      </c>
      <c r="F101" s="14" t="n"/>
      <c r="G101" s="14" t="n"/>
      <c r="H101" s="14" t="n"/>
      <c r="I101" s="14" t="n"/>
      <c r="J101" s="14" t="n"/>
      <c r="K101" s="14" t="n"/>
      <c r="L101" s="15">
        <f>IF($D101="","",IF(AND($J101="Received",$K101&lt;&gt;"Yes"),"Yes","No"))</f>
        <v/>
      </c>
      <c r="M101" s="14" t="n"/>
    </row>
    <row r="102">
      <c r="B102" s="15">
        <f>IF($D102="","","M"&amp;TEXT(ROW()-5,"000"))</f>
        <v/>
      </c>
      <c r="C102" s="16" t="n"/>
      <c r="D102" s="14" t="n"/>
      <c r="E102" s="15">
        <f>IF($D102="","",IFERROR(INDEX(rngCadetPIDs,MATCH($D102,rngCadetNames,0)),"?"))</f>
        <v/>
      </c>
      <c r="F102" s="14" t="n"/>
      <c r="G102" s="14" t="n"/>
      <c r="H102" s="14" t="n"/>
      <c r="I102" s="14" t="n"/>
      <c r="J102" s="14" t="n"/>
      <c r="K102" s="14" t="n"/>
      <c r="L102" s="15">
        <f>IF($D102="","",IF(AND($J102="Received",$K102&lt;&gt;"Yes"),"Yes","No"))</f>
        <v/>
      </c>
      <c r="M102" s="14" t="n"/>
    </row>
    <row r="103">
      <c r="B103" s="15">
        <f>IF($D103="","","M"&amp;TEXT(ROW()-5,"000"))</f>
        <v/>
      </c>
      <c r="C103" s="16" t="n"/>
      <c r="D103" s="14" t="n"/>
      <c r="E103" s="15">
        <f>IF($D103="","",IFERROR(INDEX(rngCadetPIDs,MATCH($D103,rngCadetNames,0)),"?"))</f>
        <v/>
      </c>
      <c r="F103" s="14" t="n"/>
      <c r="G103" s="14" t="n"/>
      <c r="H103" s="14" t="n"/>
      <c r="I103" s="14" t="n"/>
      <c r="J103" s="14" t="n"/>
      <c r="K103" s="14" t="n"/>
      <c r="L103" s="15">
        <f>IF($D103="","",IF(AND($J103="Received",$K103&lt;&gt;"Yes"),"Yes","No"))</f>
        <v/>
      </c>
      <c r="M103" s="14" t="n"/>
    </row>
    <row r="104">
      <c r="B104" s="15">
        <f>IF($D104="","","M"&amp;TEXT(ROW()-5,"000"))</f>
        <v/>
      </c>
      <c r="C104" s="16" t="n"/>
      <c r="D104" s="14" t="n"/>
      <c r="E104" s="15">
        <f>IF($D104="","",IFERROR(INDEX(rngCadetPIDs,MATCH($D104,rngCadetNames,0)),"?"))</f>
        <v/>
      </c>
      <c r="F104" s="14" t="n"/>
      <c r="G104" s="14" t="n"/>
      <c r="H104" s="14" t="n"/>
      <c r="I104" s="14" t="n"/>
      <c r="J104" s="14" t="n"/>
      <c r="K104" s="14" t="n"/>
      <c r="L104" s="15">
        <f>IF($D104="","",IF(AND($J104="Received",$K104&lt;&gt;"Yes"),"Yes","No"))</f>
        <v/>
      </c>
      <c r="M104" s="14" t="n"/>
    </row>
    <row r="105">
      <c r="B105" s="15">
        <f>IF($D105="","","M"&amp;TEXT(ROW()-5,"000"))</f>
        <v/>
      </c>
      <c r="C105" s="16" t="n"/>
      <c r="D105" s="14" t="n"/>
      <c r="E105" s="15">
        <f>IF($D105="","",IFERROR(INDEX(rngCadetPIDs,MATCH($D105,rngCadetNames,0)),"?"))</f>
        <v/>
      </c>
      <c r="F105" s="14" t="n"/>
      <c r="G105" s="14" t="n"/>
      <c r="H105" s="14" t="n"/>
      <c r="I105" s="14" t="n"/>
      <c r="J105" s="14" t="n"/>
      <c r="K105" s="14" t="n"/>
      <c r="L105" s="15">
        <f>IF($D105="","",IF(AND($J105="Received",$K105&lt;&gt;"Yes"),"Yes","No"))</f>
        <v/>
      </c>
      <c r="M105" s="14" t="n"/>
    </row>
    <row r="106">
      <c r="B106" s="15">
        <f>IF($D106="","","M"&amp;TEXT(ROW()-5,"000"))</f>
        <v/>
      </c>
      <c r="C106" s="16" t="n"/>
      <c r="D106" s="14" t="n"/>
      <c r="E106" s="15">
        <f>IF($D106="","",IFERROR(INDEX(rngCadetPIDs,MATCH($D106,rngCadetNames,0)),"?"))</f>
        <v/>
      </c>
      <c r="F106" s="14" t="n"/>
      <c r="G106" s="14" t="n"/>
      <c r="H106" s="14" t="n"/>
      <c r="I106" s="14" t="n"/>
      <c r="J106" s="14" t="n"/>
      <c r="K106" s="14" t="n"/>
      <c r="L106" s="15">
        <f>IF($D106="","",IF(AND($J106="Received",$K106&lt;&gt;"Yes"),"Yes","No"))</f>
        <v/>
      </c>
      <c r="M106" s="14" t="n"/>
    </row>
    <row r="107">
      <c r="B107" s="15">
        <f>IF($D107="","","M"&amp;TEXT(ROW()-5,"000"))</f>
        <v/>
      </c>
      <c r="C107" s="16" t="n"/>
      <c r="D107" s="14" t="n"/>
      <c r="E107" s="15">
        <f>IF($D107="","",IFERROR(INDEX(rngCadetPIDs,MATCH($D107,rngCadetNames,0)),"?"))</f>
        <v/>
      </c>
      <c r="F107" s="14" t="n"/>
      <c r="G107" s="14" t="n"/>
      <c r="H107" s="14" t="n"/>
      <c r="I107" s="14" t="n"/>
      <c r="J107" s="14" t="n"/>
      <c r="K107" s="14" t="n"/>
      <c r="L107" s="15">
        <f>IF($D107="","",IF(AND($J107="Received",$K107&lt;&gt;"Yes"),"Yes","No"))</f>
        <v/>
      </c>
      <c r="M107" s="14" t="n"/>
    </row>
    <row r="108">
      <c r="B108" s="15">
        <f>IF($D108="","","M"&amp;TEXT(ROW()-5,"000"))</f>
        <v/>
      </c>
      <c r="C108" s="16" t="n"/>
      <c r="D108" s="14" t="n"/>
      <c r="E108" s="15">
        <f>IF($D108="","",IFERROR(INDEX(rngCadetPIDs,MATCH($D108,rngCadetNames,0)),"?"))</f>
        <v/>
      </c>
      <c r="F108" s="14" t="n"/>
      <c r="G108" s="14" t="n"/>
      <c r="H108" s="14" t="n"/>
      <c r="I108" s="14" t="n"/>
      <c r="J108" s="14" t="n"/>
      <c r="K108" s="14" t="n"/>
      <c r="L108" s="15">
        <f>IF($D108="","",IF(AND($J108="Received",$K108&lt;&gt;"Yes"),"Yes","No"))</f>
        <v/>
      </c>
      <c r="M108" s="14" t="n"/>
    </row>
    <row r="109">
      <c r="B109" s="15">
        <f>IF($D109="","","M"&amp;TEXT(ROW()-5,"000"))</f>
        <v/>
      </c>
      <c r="C109" s="16" t="n"/>
      <c r="D109" s="14" t="n"/>
      <c r="E109" s="15">
        <f>IF($D109="","",IFERROR(INDEX(rngCadetPIDs,MATCH($D109,rngCadetNames,0)),"?"))</f>
        <v/>
      </c>
      <c r="F109" s="14" t="n"/>
      <c r="G109" s="14" t="n"/>
      <c r="H109" s="14" t="n"/>
      <c r="I109" s="14" t="n"/>
      <c r="J109" s="14" t="n"/>
      <c r="K109" s="14" t="n"/>
      <c r="L109" s="15">
        <f>IF($D109="","",IF(AND($J109="Received",$K109&lt;&gt;"Yes"),"Yes","No"))</f>
        <v/>
      </c>
      <c r="M109" s="14" t="n"/>
    </row>
    <row r="110">
      <c r="B110" s="15">
        <f>IF($D110="","","M"&amp;TEXT(ROW()-5,"000"))</f>
        <v/>
      </c>
      <c r="C110" s="16" t="n"/>
      <c r="D110" s="14" t="n"/>
      <c r="E110" s="15">
        <f>IF($D110="","",IFERROR(INDEX(rngCadetPIDs,MATCH($D110,rngCadetNames,0)),"?"))</f>
        <v/>
      </c>
      <c r="F110" s="14" t="n"/>
      <c r="G110" s="14" t="n"/>
      <c r="H110" s="14" t="n"/>
      <c r="I110" s="14" t="n"/>
      <c r="J110" s="14" t="n"/>
      <c r="K110" s="14" t="n"/>
      <c r="L110" s="15">
        <f>IF($D110="","",IF(AND($J110="Received",$K110&lt;&gt;"Yes"),"Yes","No"))</f>
        <v/>
      </c>
      <c r="M110" s="14" t="n"/>
    </row>
    <row r="111">
      <c r="B111" s="15">
        <f>IF($D111="","","M"&amp;TEXT(ROW()-5,"000"))</f>
        <v/>
      </c>
      <c r="C111" s="16" t="n"/>
      <c r="D111" s="14" t="n"/>
      <c r="E111" s="15">
        <f>IF($D111="","",IFERROR(INDEX(rngCadetPIDs,MATCH($D111,rngCadetNames,0)),"?"))</f>
        <v/>
      </c>
      <c r="F111" s="14" t="n"/>
      <c r="G111" s="14" t="n"/>
      <c r="H111" s="14" t="n"/>
      <c r="I111" s="14" t="n"/>
      <c r="J111" s="14" t="n"/>
      <c r="K111" s="14" t="n"/>
      <c r="L111" s="15">
        <f>IF($D111="","",IF(AND($J111="Received",$K111&lt;&gt;"Yes"),"Yes","No"))</f>
        <v/>
      </c>
      <c r="M111" s="14" t="n"/>
    </row>
    <row r="112">
      <c r="B112" s="15">
        <f>IF($D112="","","M"&amp;TEXT(ROW()-5,"000"))</f>
        <v/>
      </c>
      <c r="C112" s="16" t="n"/>
      <c r="D112" s="14" t="n"/>
      <c r="E112" s="15">
        <f>IF($D112="","",IFERROR(INDEX(rngCadetPIDs,MATCH($D112,rngCadetNames,0)),"?"))</f>
        <v/>
      </c>
      <c r="F112" s="14" t="n"/>
      <c r="G112" s="14" t="n"/>
      <c r="H112" s="14" t="n"/>
      <c r="I112" s="14" t="n"/>
      <c r="J112" s="14" t="n"/>
      <c r="K112" s="14" t="n"/>
      <c r="L112" s="15">
        <f>IF($D112="","",IF(AND($J112="Received",$K112&lt;&gt;"Yes"),"Yes","No"))</f>
        <v/>
      </c>
      <c r="M112" s="14" t="n"/>
    </row>
    <row r="113">
      <c r="B113" s="15">
        <f>IF($D113="","","M"&amp;TEXT(ROW()-5,"000"))</f>
        <v/>
      </c>
      <c r="C113" s="16" t="n"/>
      <c r="D113" s="14" t="n"/>
      <c r="E113" s="15">
        <f>IF($D113="","",IFERROR(INDEX(rngCadetPIDs,MATCH($D113,rngCadetNames,0)),"?"))</f>
        <v/>
      </c>
      <c r="F113" s="14" t="n"/>
      <c r="G113" s="14" t="n"/>
      <c r="H113" s="14" t="n"/>
      <c r="I113" s="14" t="n"/>
      <c r="J113" s="14" t="n"/>
      <c r="K113" s="14" t="n"/>
      <c r="L113" s="15">
        <f>IF($D113="","",IF(AND($J113="Received",$K113&lt;&gt;"Yes"),"Yes","No"))</f>
        <v/>
      </c>
      <c r="M113" s="14" t="n"/>
    </row>
    <row r="114">
      <c r="B114" s="15">
        <f>IF($D114="","","M"&amp;TEXT(ROW()-5,"000"))</f>
        <v/>
      </c>
      <c r="C114" s="16" t="n"/>
      <c r="D114" s="14" t="n"/>
      <c r="E114" s="15">
        <f>IF($D114="","",IFERROR(INDEX(rngCadetPIDs,MATCH($D114,rngCadetNames,0)),"?"))</f>
        <v/>
      </c>
      <c r="F114" s="14" t="n"/>
      <c r="G114" s="14" t="n"/>
      <c r="H114" s="14" t="n"/>
      <c r="I114" s="14" t="n"/>
      <c r="J114" s="14" t="n"/>
      <c r="K114" s="14" t="n"/>
      <c r="L114" s="15">
        <f>IF($D114="","",IF(AND($J114="Received",$K114&lt;&gt;"Yes"),"Yes","No"))</f>
        <v/>
      </c>
      <c r="M114" s="14" t="n"/>
    </row>
    <row r="115">
      <c r="B115" s="15">
        <f>IF($D115="","","M"&amp;TEXT(ROW()-5,"000"))</f>
        <v/>
      </c>
      <c r="C115" s="16" t="n"/>
      <c r="D115" s="14" t="n"/>
      <c r="E115" s="15">
        <f>IF($D115="","",IFERROR(INDEX(rngCadetPIDs,MATCH($D115,rngCadetNames,0)),"?"))</f>
        <v/>
      </c>
      <c r="F115" s="14" t="n"/>
      <c r="G115" s="14" t="n"/>
      <c r="H115" s="14" t="n"/>
      <c r="I115" s="14" t="n"/>
      <c r="J115" s="14" t="n"/>
      <c r="K115" s="14" t="n"/>
      <c r="L115" s="15">
        <f>IF($D115="","",IF(AND($J115="Received",$K115&lt;&gt;"Yes"),"Yes","No"))</f>
        <v/>
      </c>
      <c r="M115" s="14" t="n"/>
    </row>
    <row r="116">
      <c r="B116" s="15">
        <f>IF($D116="","","M"&amp;TEXT(ROW()-5,"000"))</f>
        <v/>
      </c>
      <c r="C116" s="16" t="n"/>
      <c r="D116" s="14" t="n"/>
      <c r="E116" s="15">
        <f>IF($D116="","",IFERROR(INDEX(rngCadetPIDs,MATCH($D116,rngCadetNames,0)),"?"))</f>
        <v/>
      </c>
      <c r="F116" s="14" t="n"/>
      <c r="G116" s="14" t="n"/>
      <c r="H116" s="14" t="n"/>
      <c r="I116" s="14" t="n"/>
      <c r="J116" s="14" t="n"/>
      <c r="K116" s="14" t="n"/>
      <c r="L116" s="15">
        <f>IF($D116="","",IF(AND($J116="Received",$K116&lt;&gt;"Yes"),"Yes","No"))</f>
        <v/>
      </c>
      <c r="M116" s="14" t="n"/>
    </row>
    <row r="117">
      <c r="B117" s="15">
        <f>IF($D117="","","M"&amp;TEXT(ROW()-5,"000"))</f>
        <v/>
      </c>
      <c r="C117" s="16" t="n"/>
      <c r="D117" s="14" t="n"/>
      <c r="E117" s="15">
        <f>IF($D117="","",IFERROR(INDEX(rngCadetPIDs,MATCH($D117,rngCadetNames,0)),"?"))</f>
        <v/>
      </c>
      <c r="F117" s="14" t="n"/>
      <c r="G117" s="14" t="n"/>
      <c r="H117" s="14" t="n"/>
      <c r="I117" s="14" t="n"/>
      <c r="J117" s="14" t="n"/>
      <c r="K117" s="14" t="n"/>
      <c r="L117" s="15">
        <f>IF($D117="","",IF(AND($J117="Received",$K117&lt;&gt;"Yes"),"Yes","No"))</f>
        <v/>
      </c>
      <c r="M117" s="14" t="n"/>
    </row>
    <row r="118">
      <c r="B118" s="15">
        <f>IF($D118="","","M"&amp;TEXT(ROW()-5,"000"))</f>
        <v/>
      </c>
      <c r="C118" s="16" t="n"/>
      <c r="D118" s="14" t="n"/>
      <c r="E118" s="15">
        <f>IF($D118="","",IFERROR(INDEX(rngCadetPIDs,MATCH($D118,rngCadetNames,0)),"?"))</f>
        <v/>
      </c>
      <c r="F118" s="14" t="n"/>
      <c r="G118" s="14" t="n"/>
      <c r="H118" s="14" t="n"/>
      <c r="I118" s="14" t="n"/>
      <c r="J118" s="14" t="n"/>
      <c r="K118" s="14" t="n"/>
      <c r="L118" s="15">
        <f>IF($D118="","",IF(AND($J118="Received",$K118&lt;&gt;"Yes"),"Yes","No"))</f>
        <v/>
      </c>
      <c r="M118" s="14" t="n"/>
    </row>
    <row r="119">
      <c r="B119" s="15">
        <f>IF($D119="","","M"&amp;TEXT(ROW()-5,"000"))</f>
        <v/>
      </c>
      <c r="C119" s="16" t="n"/>
      <c r="D119" s="14" t="n"/>
      <c r="E119" s="15">
        <f>IF($D119="","",IFERROR(INDEX(rngCadetPIDs,MATCH($D119,rngCadetNames,0)),"?"))</f>
        <v/>
      </c>
      <c r="F119" s="14" t="n"/>
      <c r="G119" s="14" t="n"/>
      <c r="H119" s="14" t="n"/>
      <c r="I119" s="14" t="n"/>
      <c r="J119" s="14" t="n"/>
      <c r="K119" s="14" t="n"/>
      <c r="L119" s="15">
        <f>IF($D119="","",IF(AND($J119="Received",$K119&lt;&gt;"Yes"),"Yes","No"))</f>
        <v/>
      </c>
      <c r="M119" s="14" t="n"/>
    </row>
    <row r="120">
      <c r="B120" s="15">
        <f>IF($D120="","","M"&amp;TEXT(ROW()-5,"000"))</f>
        <v/>
      </c>
      <c r="C120" s="16" t="n"/>
      <c r="D120" s="14" t="n"/>
      <c r="E120" s="15">
        <f>IF($D120="","",IFERROR(INDEX(rngCadetPIDs,MATCH($D120,rngCadetNames,0)),"?"))</f>
        <v/>
      </c>
      <c r="F120" s="14" t="n"/>
      <c r="G120" s="14" t="n"/>
      <c r="H120" s="14" t="n"/>
      <c r="I120" s="14" t="n"/>
      <c r="J120" s="14" t="n"/>
      <c r="K120" s="14" t="n"/>
      <c r="L120" s="15">
        <f>IF($D120="","",IF(AND($J120="Received",$K120&lt;&gt;"Yes"),"Yes","No"))</f>
        <v/>
      </c>
      <c r="M120" s="14" t="n"/>
    </row>
    <row r="121">
      <c r="B121" s="15">
        <f>IF($D121="","","M"&amp;TEXT(ROW()-5,"000"))</f>
        <v/>
      </c>
      <c r="C121" s="16" t="n"/>
      <c r="D121" s="14" t="n"/>
      <c r="E121" s="15">
        <f>IF($D121="","",IFERROR(INDEX(rngCadetPIDs,MATCH($D121,rngCadetNames,0)),"?"))</f>
        <v/>
      </c>
      <c r="F121" s="14" t="n"/>
      <c r="G121" s="14" t="n"/>
      <c r="H121" s="14" t="n"/>
      <c r="I121" s="14" t="n"/>
      <c r="J121" s="14" t="n"/>
      <c r="K121" s="14" t="n"/>
      <c r="L121" s="15">
        <f>IF($D121="","",IF(AND($J121="Received",$K121&lt;&gt;"Yes"),"Yes","No"))</f>
        <v/>
      </c>
      <c r="M121" s="14" t="n"/>
    </row>
    <row r="122">
      <c r="B122" s="15">
        <f>IF($D122="","","M"&amp;TEXT(ROW()-5,"000"))</f>
        <v/>
      </c>
      <c r="C122" s="16" t="n"/>
      <c r="D122" s="14" t="n"/>
      <c r="E122" s="15">
        <f>IF($D122="","",IFERROR(INDEX(rngCadetPIDs,MATCH($D122,rngCadetNames,0)),"?"))</f>
        <v/>
      </c>
      <c r="F122" s="14" t="n"/>
      <c r="G122" s="14" t="n"/>
      <c r="H122" s="14" t="n"/>
      <c r="I122" s="14" t="n"/>
      <c r="J122" s="14" t="n"/>
      <c r="K122" s="14" t="n"/>
      <c r="L122" s="15">
        <f>IF($D122="","",IF(AND($J122="Received",$K122&lt;&gt;"Yes"),"Yes","No"))</f>
        <v/>
      </c>
      <c r="M122" s="14" t="n"/>
    </row>
    <row r="123">
      <c r="B123" s="15">
        <f>IF($D123="","","M"&amp;TEXT(ROW()-5,"000"))</f>
        <v/>
      </c>
      <c r="C123" s="16" t="n"/>
      <c r="D123" s="14" t="n"/>
      <c r="E123" s="15">
        <f>IF($D123="","",IFERROR(INDEX(rngCadetPIDs,MATCH($D123,rngCadetNames,0)),"?"))</f>
        <v/>
      </c>
      <c r="F123" s="14" t="n"/>
      <c r="G123" s="14" t="n"/>
      <c r="H123" s="14" t="n"/>
      <c r="I123" s="14" t="n"/>
      <c r="J123" s="14" t="n"/>
      <c r="K123" s="14" t="n"/>
      <c r="L123" s="15">
        <f>IF($D123="","",IF(AND($J123="Received",$K123&lt;&gt;"Yes"),"Yes","No"))</f>
        <v/>
      </c>
      <c r="M123" s="14" t="n"/>
    </row>
    <row r="124">
      <c r="B124" s="15">
        <f>IF($D124="","","M"&amp;TEXT(ROW()-5,"000"))</f>
        <v/>
      </c>
      <c r="C124" s="16" t="n"/>
      <c r="D124" s="14" t="n"/>
      <c r="E124" s="15">
        <f>IF($D124="","",IFERROR(INDEX(rngCadetPIDs,MATCH($D124,rngCadetNames,0)),"?"))</f>
        <v/>
      </c>
      <c r="F124" s="14" t="n"/>
      <c r="G124" s="14" t="n"/>
      <c r="H124" s="14" t="n"/>
      <c r="I124" s="14" t="n"/>
      <c r="J124" s="14" t="n"/>
      <c r="K124" s="14" t="n"/>
      <c r="L124" s="15">
        <f>IF($D124="","",IF(AND($J124="Received",$K124&lt;&gt;"Yes"),"Yes","No"))</f>
        <v/>
      </c>
      <c r="M124" s="14" t="n"/>
    </row>
    <row r="125">
      <c r="B125" s="15">
        <f>IF($D125="","","M"&amp;TEXT(ROW()-5,"000"))</f>
        <v/>
      </c>
      <c r="C125" s="16" t="n"/>
      <c r="D125" s="14" t="n"/>
      <c r="E125" s="15">
        <f>IF($D125="","",IFERROR(INDEX(rngCadetPIDs,MATCH($D125,rngCadetNames,0)),"?"))</f>
        <v/>
      </c>
      <c r="F125" s="14" t="n"/>
      <c r="G125" s="14" t="n"/>
      <c r="H125" s="14" t="n"/>
      <c r="I125" s="14" t="n"/>
      <c r="J125" s="14" t="n"/>
      <c r="K125" s="14" t="n"/>
      <c r="L125" s="15">
        <f>IF($D125="","",IF(AND($J125="Received",$K125&lt;&gt;"Yes"),"Yes","No"))</f>
        <v/>
      </c>
      <c r="M125" s="14" t="n"/>
    </row>
    <row r="126">
      <c r="B126" s="15">
        <f>IF($D126="","","M"&amp;TEXT(ROW()-5,"000"))</f>
        <v/>
      </c>
      <c r="C126" s="16" t="n"/>
      <c r="D126" s="14" t="n"/>
      <c r="E126" s="15">
        <f>IF($D126="","",IFERROR(INDEX(rngCadetPIDs,MATCH($D126,rngCadetNames,0)),"?"))</f>
        <v/>
      </c>
      <c r="F126" s="14" t="n"/>
      <c r="G126" s="14" t="n"/>
      <c r="H126" s="14" t="n"/>
      <c r="I126" s="14" t="n"/>
      <c r="J126" s="14" t="n"/>
      <c r="K126" s="14" t="n"/>
      <c r="L126" s="15">
        <f>IF($D126="","",IF(AND($J126="Received",$K126&lt;&gt;"Yes"),"Yes","No"))</f>
        <v/>
      </c>
      <c r="M126" s="14" t="n"/>
    </row>
    <row r="127">
      <c r="B127" s="15">
        <f>IF($D127="","","M"&amp;TEXT(ROW()-5,"000"))</f>
        <v/>
      </c>
      <c r="C127" s="16" t="n"/>
      <c r="D127" s="14" t="n"/>
      <c r="E127" s="15">
        <f>IF($D127="","",IFERROR(INDEX(rngCadetPIDs,MATCH($D127,rngCadetNames,0)),"?"))</f>
        <v/>
      </c>
      <c r="F127" s="14" t="n"/>
      <c r="G127" s="14" t="n"/>
      <c r="H127" s="14" t="n"/>
      <c r="I127" s="14" t="n"/>
      <c r="J127" s="14" t="n"/>
      <c r="K127" s="14" t="n"/>
      <c r="L127" s="15">
        <f>IF($D127="","",IF(AND($J127="Received",$K127&lt;&gt;"Yes"),"Yes","No"))</f>
        <v/>
      </c>
      <c r="M127" s="14" t="n"/>
    </row>
    <row r="128">
      <c r="B128" s="15">
        <f>IF($D128="","","M"&amp;TEXT(ROW()-5,"000"))</f>
        <v/>
      </c>
      <c r="C128" s="16" t="n"/>
      <c r="D128" s="14" t="n"/>
      <c r="E128" s="15">
        <f>IF($D128="","",IFERROR(INDEX(rngCadetPIDs,MATCH($D128,rngCadetNames,0)),"?"))</f>
        <v/>
      </c>
      <c r="F128" s="14" t="n"/>
      <c r="G128" s="14" t="n"/>
      <c r="H128" s="14" t="n"/>
      <c r="I128" s="14" t="n"/>
      <c r="J128" s="14" t="n"/>
      <c r="K128" s="14" t="n"/>
      <c r="L128" s="15">
        <f>IF($D128="","",IF(AND($J128="Received",$K128&lt;&gt;"Yes"),"Yes","No"))</f>
        <v/>
      </c>
      <c r="M128" s="14" t="n"/>
    </row>
    <row r="129">
      <c r="B129" s="15">
        <f>IF($D129="","","M"&amp;TEXT(ROW()-5,"000"))</f>
        <v/>
      </c>
      <c r="C129" s="16" t="n"/>
      <c r="D129" s="14" t="n"/>
      <c r="E129" s="15">
        <f>IF($D129="","",IFERROR(INDEX(rngCadetPIDs,MATCH($D129,rngCadetNames,0)),"?"))</f>
        <v/>
      </c>
      <c r="F129" s="14" t="n"/>
      <c r="G129" s="14" t="n"/>
      <c r="H129" s="14" t="n"/>
      <c r="I129" s="14" t="n"/>
      <c r="J129" s="14" t="n"/>
      <c r="K129" s="14" t="n"/>
      <c r="L129" s="15">
        <f>IF($D129="","",IF(AND($J129="Received",$K129&lt;&gt;"Yes"),"Yes","No"))</f>
        <v/>
      </c>
      <c r="M129" s="14" t="n"/>
    </row>
    <row r="130">
      <c r="B130" s="15">
        <f>IF($D130="","","M"&amp;TEXT(ROW()-5,"000"))</f>
        <v/>
      </c>
      <c r="C130" s="16" t="n"/>
      <c r="D130" s="14" t="n"/>
      <c r="E130" s="15">
        <f>IF($D130="","",IFERROR(INDEX(rngCadetPIDs,MATCH($D130,rngCadetNames,0)),"?"))</f>
        <v/>
      </c>
      <c r="F130" s="14" t="n"/>
      <c r="G130" s="14" t="n"/>
      <c r="H130" s="14" t="n"/>
      <c r="I130" s="14" t="n"/>
      <c r="J130" s="14" t="n"/>
      <c r="K130" s="14" t="n"/>
      <c r="L130" s="15">
        <f>IF($D130="","",IF(AND($J130="Received",$K130&lt;&gt;"Yes"),"Yes","No"))</f>
        <v/>
      </c>
      <c r="M130" s="14" t="n"/>
    </row>
    <row r="131">
      <c r="B131" s="15">
        <f>IF($D131="","","M"&amp;TEXT(ROW()-5,"000"))</f>
        <v/>
      </c>
      <c r="C131" s="16" t="n"/>
      <c r="D131" s="14" t="n"/>
      <c r="E131" s="15">
        <f>IF($D131="","",IFERROR(INDEX(rngCadetPIDs,MATCH($D131,rngCadetNames,0)),"?"))</f>
        <v/>
      </c>
      <c r="F131" s="14" t="n"/>
      <c r="G131" s="14" t="n"/>
      <c r="H131" s="14" t="n"/>
      <c r="I131" s="14" t="n"/>
      <c r="J131" s="14" t="n"/>
      <c r="K131" s="14" t="n"/>
      <c r="L131" s="15">
        <f>IF($D131="","",IF(AND($J131="Received",$K131&lt;&gt;"Yes"),"Yes","No"))</f>
        <v/>
      </c>
      <c r="M131" s="14" t="n"/>
    </row>
    <row r="132">
      <c r="B132" s="15">
        <f>IF($D132="","","M"&amp;TEXT(ROW()-5,"000"))</f>
        <v/>
      </c>
      <c r="C132" s="16" t="n"/>
      <c r="D132" s="14" t="n"/>
      <c r="E132" s="15">
        <f>IF($D132="","",IFERROR(INDEX(rngCadetPIDs,MATCH($D132,rngCadetNames,0)),"?"))</f>
        <v/>
      </c>
      <c r="F132" s="14" t="n"/>
      <c r="G132" s="14" t="n"/>
      <c r="H132" s="14" t="n"/>
      <c r="I132" s="14" t="n"/>
      <c r="J132" s="14" t="n"/>
      <c r="K132" s="14" t="n"/>
      <c r="L132" s="15">
        <f>IF($D132="","",IF(AND($J132="Received",$K132&lt;&gt;"Yes"),"Yes","No"))</f>
        <v/>
      </c>
      <c r="M132" s="14" t="n"/>
    </row>
    <row r="133">
      <c r="B133" s="15">
        <f>IF($D133="","","M"&amp;TEXT(ROW()-5,"000"))</f>
        <v/>
      </c>
      <c r="C133" s="16" t="n"/>
      <c r="D133" s="14" t="n"/>
      <c r="E133" s="15">
        <f>IF($D133="","",IFERROR(INDEX(rngCadetPIDs,MATCH($D133,rngCadetNames,0)),"?"))</f>
        <v/>
      </c>
      <c r="F133" s="14" t="n"/>
      <c r="G133" s="14" t="n"/>
      <c r="H133" s="14" t="n"/>
      <c r="I133" s="14" t="n"/>
      <c r="J133" s="14" t="n"/>
      <c r="K133" s="14" t="n"/>
      <c r="L133" s="15">
        <f>IF($D133="","",IF(AND($J133="Received",$K133&lt;&gt;"Yes"),"Yes","No"))</f>
        <v/>
      </c>
      <c r="M133" s="14" t="n"/>
    </row>
    <row r="134">
      <c r="B134" s="15">
        <f>IF($D134="","","M"&amp;TEXT(ROW()-5,"000"))</f>
        <v/>
      </c>
      <c r="C134" s="16" t="n"/>
      <c r="D134" s="14" t="n"/>
      <c r="E134" s="15">
        <f>IF($D134="","",IFERROR(INDEX(rngCadetPIDs,MATCH($D134,rngCadetNames,0)),"?"))</f>
        <v/>
      </c>
      <c r="F134" s="14" t="n"/>
      <c r="G134" s="14" t="n"/>
      <c r="H134" s="14" t="n"/>
      <c r="I134" s="14" t="n"/>
      <c r="J134" s="14" t="n"/>
      <c r="K134" s="14" t="n"/>
      <c r="L134" s="15">
        <f>IF($D134="","",IF(AND($J134="Received",$K134&lt;&gt;"Yes"),"Yes","No"))</f>
        <v/>
      </c>
      <c r="M134" s="14" t="n"/>
    </row>
    <row r="135">
      <c r="B135" s="15">
        <f>IF($D135="","","M"&amp;TEXT(ROW()-5,"000"))</f>
        <v/>
      </c>
      <c r="C135" s="16" t="n"/>
      <c r="D135" s="14" t="n"/>
      <c r="E135" s="15">
        <f>IF($D135="","",IFERROR(INDEX(rngCadetPIDs,MATCH($D135,rngCadetNames,0)),"?"))</f>
        <v/>
      </c>
      <c r="F135" s="14" t="n"/>
      <c r="G135" s="14" t="n"/>
      <c r="H135" s="14" t="n"/>
      <c r="I135" s="14" t="n"/>
      <c r="J135" s="14" t="n"/>
      <c r="K135" s="14" t="n"/>
      <c r="L135" s="15">
        <f>IF($D135="","",IF(AND($J135="Received",$K135&lt;&gt;"Yes"),"Yes","No"))</f>
        <v/>
      </c>
      <c r="M135" s="14" t="n"/>
    </row>
    <row r="136">
      <c r="B136" s="15">
        <f>IF($D136="","","M"&amp;TEXT(ROW()-5,"000"))</f>
        <v/>
      </c>
      <c r="C136" s="16" t="n"/>
      <c r="D136" s="14" t="n"/>
      <c r="E136" s="15">
        <f>IF($D136="","",IFERROR(INDEX(rngCadetPIDs,MATCH($D136,rngCadetNames,0)),"?"))</f>
        <v/>
      </c>
      <c r="F136" s="14" t="n"/>
      <c r="G136" s="14" t="n"/>
      <c r="H136" s="14" t="n"/>
      <c r="I136" s="14" t="n"/>
      <c r="J136" s="14" t="n"/>
      <c r="K136" s="14" t="n"/>
      <c r="L136" s="15">
        <f>IF($D136="","",IF(AND($J136="Received",$K136&lt;&gt;"Yes"),"Yes","No"))</f>
        <v/>
      </c>
      <c r="M136" s="14" t="n"/>
    </row>
    <row r="137">
      <c r="B137" s="15">
        <f>IF($D137="","","M"&amp;TEXT(ROW()-5,"000"))</f>
        <v/>
      </c>
      <c r="C137" s="16" t="n"/>
      <c r="D137" s="14" t="n"/>
      <c r="E137" s="15">
        <f>IF($D137="","",IFERROR(INDEX(rngCadetPIDs,MATCH($D137,rngCadetNames,0)),"?"))</f>
        <v/>
      </c>
      <c r="F137" s="14" t="n"/>
      <c r="G137" s="14" t="n"/>
      <c r="H137" s="14" t="n"/>
      <c r="I137" s="14" t="n"/>
      <c r="J137" s="14" t="n"/>
      <c r="K137" s="14" t="n"/>
      <c r="L137" s="15">
        <f>IF($D137="","",IF(AND($J137="Received",$K137&lt;&gt;"Yes"),"Yes","No"))</f>
        <v/>
      </c>
      <c r="M137" s="14" t="n"/>
    </row>
    <row r="138">
      <c r="B138" s="15">
        <f>IF($D138="","","M"&amp;TEXT(ROW()-5,"000"))</f>
        <v/>
      </c>
      <c r="C138" s="16" t="n"/>
      <c r="D138" s="14" t="n"/>
      <c r="E138" s="15">
        <f>IF($D138="","",IFERROR(INDEX(rngCadetPIDs,MATCH($D138,rngCadetNames,0)),"?"))</f>
        <v/>
      </c>
      <c r="F138" s="14" t="n"/>
      <c r="G138" s="14" t="n"/>
      <c r="H138" s="14" t="n"/>
      <c r="I138" s="14" t="n"/>
      <c r="J138" s="14" t="n"/>
      <c r="K138" s="14" t="n"/>
      <c r="L138" s="15">
        <f>IF($D138="","",IF(AND($J138="Received",$K138&lt;&gt;"Yes"),"Yes","No"))</f>
        <v/>
      </c>
      <c r="M138" s="14" t="n"/>
    </row>
    <row r="139">
      <c r="B139" s="15">
        <f>IF($D139="","","M"&amp;TEXT(ROW()-5,"000"))</f>
        <v/>
      </c>
      <c r="C139" s="16" t="n"/>
      <c r="D139" s="14" t="n"/>
      <c r="E139" s="15">
        <f>IF($D139="","",IFERROR(INDEX(rngCadetPIDs,MATCH($D139,rngCadetNames,0)),"?"))</f>
        <v/>
      </c>
      <c r="F139" s="14" t="n"/>
      <c r="G139" s="14" t="n"/>
      <c r="H139" s="14" t="n"/>
      <c r="I139" s="14" t="n"/>
      <c r="J139" s="14" t="n"/>
      <c r="K139" s="14" t="n"/>
      <c r="L139" s="15">
        <f>IF($D139="","",IF(AND($J139="Received",$K139&lt;&gt;"Yes"),"Yes","No"))</f>
        <v/>
      </c>
      <c r="M139" s="14" t="n"/>
    </row>
    <row r="140">
      <c r="B140" s="15">
        <f>IF($D140="","","M"&amp;TEXT(ROW()-5,"000"))</f>
        <v/>
      </c>
      <c r="C140" s="16" t="n"/>
      <c r="D140" s="14" t="n"/>
      <c r="E140" s="15">
        <f>IF($D140="","",IFERROR(INDEX(rngCadetPIDs,MATCH($D140,rngCadetNames,0)),"?"))</f>
        <v/>
      </c>
      <c r="F140" s="14" t="n"/>
      <c r="G140" s="14" t="n"/>
      <c r="H140" s="14" t="n"/>
      <c r="I140" s="14" t="n"/>
      <c r="J140" s="14" t="n"/>
      <c r="K140" s="14" t="n"/>
      <c r="L140" s="15">
        <f>IF($D140="","",IF(AND($J140="Received",$K140&lt;&gt;"Yes"),"Yes","No"))</f>
        <v/>
      </c>
      <c r="M140" s="14" t="n"/>
    </row>
    <row r="141">
      <c r="B141" s="15">
        <f>IF($D141="","","M"&amp;TEXT(ROW()-5,"000"))</f>
        <v/>
      </c>
      <c r="C141" s="16" t="n"/>
      <c r="D141" s="14" t="n"/>
      <c r="E141" s="15">
        <f>IF($D141="","",IFERROR(INDEX(rngCadetPIDs,MATCH($D141,rngCadetNames,0)),"?"))</f>
        <v/>
      </c>
      <c r="F141" s="14" t="n"/>
      <c r="G141" s="14" t="n"/>
      <c r="H141" s="14" t="n"/>
      <c r="I141" s="14" t="n"/>
      <c r="J141" s="14" t="n"/>
      <c r="K141" s="14" t="n"/>
      <c r="L141" s="15">
        <f>IF($D141="","",IF(AND($J141="Received",$K141&lt;&gt;"Yes"),"Yes","No"))</f>
        <v/>
      </c>
      <c r="M141" s="14" t="n"/>
    </row>
    <row r="142">
      <c r="B142" s="15">
        <f>IF($D142="","","M"&amp;TEXT(ROW()-5,"000"))</f>
        <v/>
      </c>
      <c r="C142" s="16" t="n"/>
      <c r="D142" s="14" t="n"/>
      <c r="E142" s="15">
        <f>IF($D142="","",IFERROR(INDEX(rngCadetPIDs,MATCH($D142,rngCadetNames,0)),"?"))</f>
        <v/>
      </c>
      <c r="F142" s="14" t="n"/>
      <c r="G142" s="14" t="n"/>
      <c r="H142" s="14" t="n"/>
      <c r="I142" s="14" t="n"/>
      <c r="J142" s="14" t="n"/>
      <c r="K142" s="14" t="n"/>
      <c r="L142" s="15">
        <f>IF($D142="","",IF(AND($J142="Received",$K142&lt;&gt;"Yes"),"Yes","No"))</f>
        <v/>
      </c>
      <c r="M142" s="14" t="n"/>
    </row>
    <row r="143">
      <c r="B143" s="15">
        <f>IF($D143="","","M"&amp;TEXT(ROW()-5,"000"))</f>
        <v/>
      </c>
      <c r="C143" s="16" t="n"/>
      <c r="D143" s="14" t="n"/>
      <c r="E143" s="15">
        <f>IF($D143="","",IFERROR(INDEX(rngCadetPIDs,MATCH($D143,rngCadetNames,0)),"?"))</f>
        <v/>
      </c>
      <c r="F143" s="14" t="n"/>
      <c r="G143" s="14" t="n"/>
      <c r="H143" s="14" t="n"/>
      <c r="I143" s="14" t="n"/>
      <c r="J143" s="14" t="n"/>
      <c r="K143" s="14" t="n"/>
      <c r="L143" s="15">
        <f>IF($D143="","",IF(AND($J143="Received",$K143&lt;&gt;"Yes"),"Yes","No"))</f>
        <v/>
      </c>
      <c r="M143" s="14" t="n"/>
    </row>
    <row r="144">
      <c r="B144" s="15">
        <f>IF($D144="","","M"&amp;TEXT(ROW()-5,"000"))</f>
        <v/>
      </c>
      <c r="C144" s="16" t="n"/>
      <c r="D144" s="14" t="n"/>
      <c r="E144" s="15">
        <f>IF($D144="","",IFERROR(INDEX(rngCadetPIDs,MATCH($D144,rngCadetNames,0)),"?"))</f>
        <v/>
      </c>
      <c r="F144" s="14" t="n"/>
      <c r="G144" s="14" t="n"/>
      <c r="H144" s="14" t="n"/>
      <c r="I144" s="14" t="n"/>
      <c r="J144" s="14" t="n"/>
      <c r="K144" s="14" t="n"/>
      <c r="L144" s="15">
        <f>IF($D144="","",IF(AND($J144="Received",$K144&lt;&gt;"Yes"),"Yes","No"))</f>
        <v/>
      </c>
      <c r="M144" s="14" t="n"/>
    </row>
    <row r="145">
      <c r="B145" s="15">
        <f>IF($D145="","","M"&amp;TEXT(ROW()-5,"000"))</f>
        <v/>
      </c>
      <c r="C145" s="16" t="n"/>
      <c r="D145" s="14" t="n"/>
      <c r="E145" s="15">
        <f>IF($D145="","",IFERROR(INDEX(rngCadetPIDs,MATCH($D145,rngCadetNames,0)),"?"))</f>
        <v/>
      </c>
      <c r="F145" s="14" t="n"/>
      <c r="G145" s="14" t="n"/>
      <c r="H145" s="14" t="n"/>
      <c r="I145" s="14" t="n"/>
      <c r="J145" s="14" t="n"/>
      <c r="K145" s="14" t="n"/>
      <c r="L145" s="15">
        <f>IF($D145="","",IF(AND($J145="Received",$K145&lt;&gt;"Yes"),"Yes","No"))</f>
        <v/>
      </c>
      <c r="M145" s="14" t="n"/>
    </row>
    <row r="146">
      <c r="B146" s="15">
        <f>IF($D146="","","M"&amp;TEXT(ROW()-5,"000"))</f>
        <v/>
      </c>
      <c r="C146" s="16" t="n"/>
      <c r="D146" s="14" t="n"/>
      <c r="E146" s="15">
        <f>IF($D146="","",IFERROR(INDEX(rngCadetPIDs,MATCH($D146,rngCadetNames,0)),"?"))</f>
        <v/>
      </c>
      <c r="F146" s="14" t="n"/>
      <c r="G146" s="14" t="n"/>
      <c r="H146" s="14" t="n"/>
      <c r="I146" s="14" t="n"/>
      <c r="J146" s="14" t="n"/>
      <c r="K146" s="14" t="n"/>
      <c r="L146" s="15">
        <f>IF($D146="","",IF(AND($J146="Received",$K146&lt;&gt;"Yes"),"Yes","No"))</f>
        <v/>
      </c>
      <c r="M146" s="14" t="n"/>
    </row>
    <row r="147">
      <c r="B147" s="15">
        <f>IF($D147="","","M"&amp;TEXT(ROW()-5,"000"))</f>
        <v/>
      </c>
      <c r="C147" s="16" t="n"/>
      <c r="D147" s="14" t="n"/>
      <c r="E147" s="15">
        <f>IF($D147="","",IFERROR(INDEX(rngCadetPIDs,MATCH($D147,rngCadetNames,0)),"?"))</f>
        <v/>
      </c>
      <c r="F147" s="14" t="n"/>
      <c r="G147" s="14" t="n"/>
      <c r="H147" s="14" t="n"/>
      <c r="I147" s="14" t="n"/>
      <c r="J147" s="14" t="n"/>
      <c r="K147" s="14" t="n"/>
      <c r="L147" s="15">
        <f>IF($D147="","",IF(AND($J147="Received",$K147&lt;&gt;"Yes"),"Yes","No"))</f>
        <v/>
      </c>
      <c r="M147" s="14" t="n"/>
    </row>
    <row r="148">
      <c r="B148" s="15">
        <f>IF($D148="","","M"&amp;TEXT(ROW()-5,"000"))</f>
        <v/>
      </c>
      <c r="C148" s="16" t="n"/>
      <c r="D148" s="14" t="n"/>
      <c r="E148" s="15">
        <f>IF($D148="","",IFERROR(INDEX(rngCadetPIDs,MATCH($D148,rngCadetNames,0)),"?"))</f>
        <v/>
      </c>
      <c r="F148" s="14" t="n"/>
      <c r="G148" s="14" t="n"/>
      <c r="H148" s="14" t="n"/>
      <c r="I148" s="14" t="n"/>
      <c r="J148" s="14" t="n"/>
      <c r="K148" s="14" t="n"/>
      <c r="L148" s="15">
        <f>IF($D148="","",IF(AND($J148="Received",$K148&lt;&gt;"Yes"),"Yes","No"))</f>
        <v/>
      </c>
      <c r="M148" s="14" t="n"/>
    </row>
    <row r="149">
      <c r="B149" s="15">
        <f>IF($D149="","","M"&amp;TEXT(ROW()-5,"000"))</f>
        <v/>
      </c>
      <c r="C149" s="16" t="n"/>
      <c r="D149" s="14" t="n"/>
      <c r="E149" s="15">
        <f>IF($D149="","",IFERROR(INDEX(rngCadetPIDs,MATCH($D149,rngCadetNames,0)),"?"))</f>
        <v/>
      </c>
      <c r="F149" s="14" t="n"/>
      <c r="G149" s="14" t="n"/>
      <c r="H149" s="14" t="n"/>
      <c r="I149" s="14" t="n"/>
      <c r="J149" s="14" t="n"/>
      <c r="K149" s="14" t="n"/>
      <c r="L149" s="15">
        <f>IF($D149="","",IF(AND($J149="Received",$K149&lt;&gt;"Yes"),"Yes","No"))</f>
        <v/>
      </c>
      <c r="M149" s="14" t="n"/>
    </row>
    <row r="150">
      <c r="B150" s="15">
        <f>IF($D150="","","M"&amp;TEXT(ROW()-5,"000"))</f>
        <v/>
      </c>
      <c r="C150" s="16" t="n"/>
      <c r="D150" s="14" t="n"/>
      <c r="E150" s="15">
        <f>IF($D150="","",IFERROR(INDEX(rngCadetPIDs,MATCH($D150,rngCadetNames,0)),"?"))</f>
        <v/>
      </c>
      <c r="F150" s="14" t="n"/>
      <c r="G150" s="14" t="n"/>
      <c r="H150" s="14" t="n"/>
      <c r="I150" s="14" t="n"/>
      <c r="J150" s="14" t="n"/>
      <c r="K150" s="14" t="n"/>
      <c r="L150" s="15">
        <f>IF($D150="","",IF(AND($J150="Received",$K150&lt;&gt;"Yes"),"Yes","No"))</f>
        <v/>
      </c>
      <c r="M150" s="14" t="n"/>
    </row>
    <row r="151">
      <c r="B151" s="15">
        <f>IF($D151="","","M"&amp;TEXT(ROW()-5,"000"))</f>
        <v/>
      </c>
      <c r="C151" s="16" t="n"/>
      <c r="D151" s="14" t="n"/>
      <c r="E151" s="15">
        <f>IF($D151="","",IFERROR(INDEX(rngCadetPIDs,MATCH($D151,rngCadetNames,0)),"?"))</f>
        <v/>
      </c>
      <c r="F151" s="14" t="n"/>
      <c r="G151" s="14" t="n"/>
      <c r="H151" s="14" t="n"/>
      <c r="I151" s="14" t="n"/>
      <c r="J151" s="14" t="n"/>
      <c r="K151" s="14" t="n"/>
      <c r="L151" s="15">
        <f>IF($D151="","",IF(AND($J151="Received",$K151&lt;&gt;"Yes"),"Yes","No"))</f>
        <v/>
      </c>
      <c r="M151" s="14" t="n"/>
    </row>
    <row r="152">
      <c r="B152" s="15">
        <f>IF($D152="","","M"&amp;TEXT(ROW()-5,"000"))</f>
        <v/>
      </c>
      <c r="C152" s="16" t="n"/>
      <c r="D152" s="14" t="n"/>
      <c r="E152" s="15">
        <f>IF($D152="","",IFERROR(INDEX(rngCadetPIDs,MATCH($D152,rngCadetNames,0)),"?"))</f>
        <v/>
      </c>
      <c r="F152" s="14" t="n"/>
      <c r="G152" s="14" t="n"/>
      <c r="H152" s="14" t="n"/>
      <c r="I152" s="14" t="n"/>
      <c r="J152" s="14" t="n"/>
      <c r="K152" s="14" t="n"/>
      <c r="L152" s="15">
        <f>IF($D152="","",IF(AND($J152="Received",$K152&lt;&gt;"Yes"),"Yes","No"))</f>
        <v/>
      </c>
      <c r="M152" s="14" t="n"/>
    </row>
    <row r="153">
      <c r="B153" s="15">
        <f>IF($D153="","","M"&amp;TEXT(ROW()-5,"000"))</f>
        <v/>
      </c>
      <c r="C153" s="16" t="n"/>
      <c r="D153" s="14" t="n"/>
      <c r="E153" s="15">
        <f>IF($D153="","",IFERROR(INDEX(rngCadetPIDs,MATCH($D153,rngCadetNames,0)),"?"))</f>
        <v/>
      </c>
      <c r="F153" s="14" t="n"/>
      <c r="G153" s="14" t="n"/>
      <c r="H153" s="14" t="n"/>
      <c r="I153" s="14" t="n"/>
      <c r="J153" s="14" t="n"/>
      <c r="K153" s="14" t="n"/>
      <c r="L153" s="15">
        <f>IF($D153="","",IF(AND($J153="Received",$K153&lt;&gt;"Yes"),"Yes","No"))</f>
        <v/>
      </c>
      <c r="M153" s="14" t="n"/>
    </row>
    <row r="154">
      <c r="B154" s="15">
        <f>IF($D154="","","M"&amp;TEXT(ROW()-5,"000"))</f>
        <v/>
      </c>
      <c r="C154" s="16" t="n"/>
      <c r="D154" s="14" t="n"/>
      <c r="E154" s="15">
        <f>IF($D154="","",IFERROR(INDEX(rngCadetPIDs,MATCH($D154,rngCadetNames,0)),"?"))</f>
        <v/>
      </c>
      <c r="F154" s="14" t="n"/>
      <c r="G154" s="14" t="n"/>
      <c r="H154" s="14" t="n"/>
      <c r="I154" s="14" t="n"/>
      <c r="J154" s="14" t="n"/>
      <c r="K154" s="14" t="n"/>
      <c r="L154" s="15">
        <f>IF($D154="","",IF(AND($J154="Received",$K154&lt;&gt;"Yes"),"Yes","No"))</f>
        <v/>
      </c>
      <c r="M154" s="14" t="n"/>
    </row>
    <row r="155">
      <c r="B155" s="15">
        <f>IF($D155="","","M"&amp;TEXT(ROW()-5,"000"))</f>
        <v/>
      </c>
      <c r="C155" s="16" t="n"/>
      <c r="D155" s="14" t="n"/>
      <c r="E155" s="15">
        <f>IF($D155="","",IFERROR(INDEX(rngCadetPIDs,MATCH($D155,rngCadetNames,0)),"?"))</f>
        <v/>
      </c>
      <c r="F155" s="14" t="n"/>
      <c r="G155" s="14" t="n"/>
      <c r="H155" s="14" t="n"/>
      <c r="I155" s="14" t="n"/>
      <c r="J155" s="14" t="n"/>
      <c r="K155" s="14" t="n"/>
      <c r="L155" s="15">
        <f>IF($D155="","",IF(AND($J155="Received",$K155&lt;&gt;"Yes"),"Yes","No"))</f>
        <v/>
      </c>
      <c r="M155" s="14" t="n"/>
    </row>
    <row r="156">
      <c r="B156" s="15">
        <f>IF($D156="","","M"&amp;TEXT(ROW()-5,"000"))</f>
        <v/>
      </c>
      <c r="C156" s="16" t="n"/>
      <c r="D156" s="14" t="n"/>
      <c r="E156" s="15">
        <f>IF($D156="","",IFERROR(INDEX(rngCadetPIDs,MATCH($D156,rngCadetNames,0)),"?"))</f>
        <v/>
      </c>
      <c r="F156" s="14" t="n"/>
      <c r="G156" s="14" t="n"/>
      <c r="H156" s="14" t="n"/>
      <c r="I156" s="14" t="n"/>
      <c r="J156" s="14" t="n"/>
      <c r="K156" s="14" t="n"/>
      <c r="L156" s="15">
        <f>IF($D156="","",IF(AND($J156="Received",$K156&lt;&gt;"Yes"),"Yes","No"))</f>
        <v/>
      </c>
      <c r="M156" s="14" t="n"/>
    </row>
    <row r="157">
      <c r="B157" s="15">
        <f>IF($D157="","","M"&amp;TEXT(ROW()-5,"000"))</f>
        <v/>
      </c>
      <c r="C157" s="16" t="n"/>
      <c r="D157" s="14" t="n"/>
      <c r="E157" s="15">
        <f>IF($D157="","",IFERROR(INDEX(rngCadetPIDs,MATCH($D157,rngCadetNames,0)),"?"))</f>
        <v/>
      </c>
      <c r="F157" s="14" t="n"/>
      <c r="G157" s="14" t="n"/>
      <c r="H157" s="14" t="n"/>
      <c r="I157" s="14" t="n"/>
      <c r="J157" s="14" t="n"/>
      <c r="K157" s="14" t="n"/>
      <c r="L157" s="15">
        <f>IF($D157="","",IF(AND($J157="Received",$K157&lt;&gt;"Yes"),"Yes","No"))</f>
        <v/>
      </c>
      <c r="M157" s="14" t="n"/>
    </row>
    <row r="158">
      <c r="B158" s="15">
        <f>IF($D158="","","M"&amp;TEXT(ROW()-5,"000"))</f>
        <v/>
      </c>
      <c r="C158" s="16" t="n"/>
      <c r="D158" s="14" t="n"/>
      <c r="E158" s="15">
        <f>IF($D158="","",IFERROR(INDEX(rngCadetPIDs,MATCH($D158,rngCadetNames,0)),"?"))</f>
        <v/>
      </c>
      <c r="F158" s="14" t="n"/>
      <c r="G158" s="14" t="n"/>
      <c r="H158" s="14" t="n"/>
      <c r="I158" s="14" t="n"/>
      <c r="J158" s="14" t="n"/>
      <c r="K158" s="14" t="n"/>
      <c r="L158" s="15">
        <f>IF($D158="","",IF(AND($J158="Received",$K158&lt;&gt;"Yes"),"Yes","No"))</f>
        <v/>
      </c>
      <c r="M158" s="14" t="n"/>
    </row>
    <row r="159">
      <c r="B159" s="15">
        <f>IF($D159="","","M"&amp;TEXT(ROW()-5,"000"))</f>
        <v/>
      </c>
      <c r="C159" s="16" t="n"/>
      <c r="D159" s="14" t="n"/>
      <c r="E159" s="15">
        <f>IF($D159="","",IFERROR(INDEX(rngCadetPIDs,MATCH($D159,rngCadetNames,0)),"?"))</f>
        <v/>
      </c>
      <c r="F159" s="14" t="n"/>
      <c r="G159" s="14" t="n"/>
      <c r="H159" s="14" t="n"/>
      <c r="I159" s="14" t="n"/>
      <c r="J159" s="14" t="n"/>
      <c r="K159" s="14" t="n"/>
      <c r="L159" s="15">
        <f>IF($D159="","",IF(AND($J159="Received",$K159&lt;&gt;"Yes"),"Yes","No"))</f>
        <v/>
      </c>
      <c r="M159" s="14" t="n"/>
    </row>
    <row r="160">
      <c r="B160" s="15">
        <f>IF($D160="","","M"&amp;TEXT(ROW()-5,"000"))</f>
        <v/>
      </c>
      <c r="C160" s="16" t="n"/>
      <c r="D160" s="14" t="n"/>
      <c r="E160" s="15">
        <f>IF($D160="","",IFERROR(INDEX(rngCadetPIDs,MATCH($D160,rngCadetNames,0)),"?"))</f>
        <v/>
      </c>
      <c r="F160" s="14" t="n"/>
      <c r="G160" s="14" t="n"/>
      <c r="H160" s="14" t="n"/>
      <c r="I160" s="14" t="n"/>
      <c r="J160" s="14" t="n"/>
      <c r="K160" s="14" t="n"/>
      <c r="L160" s="15">
        <f>IF($D160="","",IF(AND($J160="Received",$K160&lt;&gt;"Yes"),"Yes","No"))</f>
        <v/>
      </c>
      <c r="M160" s="14" t="n"/>
    </row>
    <row r="161">
      <c r="B161" s="15">
        <f>IF($D161="","","M"&amp;TEXT(ROW()-5,"000"))</f>
        <v/>
      </c>
      <c r="C161" s="16" t="n"/>
      <c r="D161" s="14" t="n"/>
      <c r="E161" s="15">
        <f>IF($D161="","",IFERROR(INDEX(rngCadetPIDs,MATCH($D161,rngCadetNames,0)),"?"))</f>
        <v/>
      </c>
      <c r="F161" s="14" t="n"/>
      <c r="G161" s="14" t="n"/>
      <c r="H161" s="14" t="n"/>
      <c r="I161" s="14" t="n"/>
      <c r="J161" s="14" t="n"/>
      <c r="K161" s="14" t="n"/>
      <c r="L161" s="15">
        <f>IF($D161="","",IF(AND($J161="Received",$K161&lt;&gt;"Yes"),"Yes","No"))</f>
        <v/>
      </c>
      <c r="M161" s="14" t="n"/>
    </row>
    <row r="162">
      <c r="B162" s="15">
        <f>IF($D162="","","M"&amp;TEXT(ROW()-5,"000"))</f>
        <v/>
      </c>
      <c r="C162" s="16" t="n"/>
      <c r="D162" s="14" t="n"/>
      <c r="E162" s="15">
        <f>IF($D162="","",IFERROR(INDEX(rngCadetPIDs,MATCH($D162,rngCadetNames,0)),"?"))</f>
        <v/>
      </c>
      <c r="F162" s="14" t="n"/>
      <c r="G162" s="14" t="n"/>
      <c r="H162" s="14" t="n"/>
      <c r="I162" s="14" t="n"/>
      <c r="J162" s="14" t="n"/>
      <c r="K162" s="14" t="n"/>
      <c r="L162" s="15">
        <f>IF($D162="","",IF(AND($J162="Received",$K162&lt;&gt;"Yes"),"Yes","No"))</f>
        <v/>
      </c>
      <c r="M162" s="14" t="n"/>
    </row>
    <row r="163">
      <c r="B163" s="15">
        <f>IF($D163="","","M"&amp;TEXT(ROW()-5,"000"))</f>
        <v/>
      </c>
      <c r="C163" s="16" t="n"/>
      <c r="D163" s="14" t="n"/>
      <c r="E163" s="15">
        <f>IF($D163="","",IFERROR(INDEX(rngCadetPIDs,MATCH($D163,rngCadetNames,0)),"?"))</f>
        <v/>
      </c>
      <c r="F163" s="14" t="n"/>
      <c r="G163" s="14" t="n"/>
      <c r="H163" s="14" t="n"/>
      <c r="I163" s="14" t="n"/>
      <c r="J163" s="14" t="n"/>
      <c r="K163" s="14" t="n"/>
      <c r="L163" s="15">
        <f>IF($D163="","",IF(AND($J163="Received",$K163&lt;&gt;"Yes"),"Yes","No"))</f>
        <v/>
      </c>
      <c r="M163" s="14" t="n"/>
    </row>
    <row r="164">
      <c r="B164" s="15">
        <f>IF($D164="","","M"&amp;TEXT(ROW()-5,"000"))</f>
        <v/>
      </c>
      <c r="C164" s="16" t="n"/>
      <c r="D164" s="14" t="n"/>
      <c r="E164" s="15">
        <f>IF($D164="","",IFERROR(INDEX(rngCadetPIDs,MATCH($D164,rngCadetNames,0)),"?"))</f>
        <v/>
      </c>
      <c r="F164" s="14" t="n"/>
      <c r="G164" s="14" t="n"/>
      <c r="H164" s="14" t="n"/>
      <c r="I164" s="14" t="n"/>
      <c r="J164" s="14" t="n"/>
      <c r="K164" s="14" t="n"/>
      <c r="L164" s="15">
        <f>IF($D164="","",IF(AND($J164="Received",$K164&lt;&gt;"Yes"),"Yes","No"))</f>
        <v/>
      </c>
      <c r="M164" s="14" t="n"/>
    </row>
    <row r="165">
      <c r="B165" s="15">
        <f>IF($D165="","","M"&amp;TEXT(ROW()-5,"000"))</f>
        <v/>
      </c>
      <c r="C165" s="16" t="n"/>
      <c r="D165" s="14" t="n"/>
      <c r="E165" s="15">
        <f>IF($D165="","",IFERROR(INDEX(rngCadetPIDs,MATCH($D165,rngCadetNames,0)),"?"))</f>
        <v/>
      </c>
      <c r="F165" s="14" t="n"/>
      <c r="G165" s="14" t="n"/>
      <c r="H165" s="14" t="n"/>
      <c r="I165" s="14" t="n"/>
      <c r="J165" s="14" t="n"/>
      <c r="K165" s="14" t="n"/>
      <c r="L165" s="15">
        <f>IF($D165="","",IF(AND($J165="Received",$K165&lt;&gt;"Yes"),"Yes","No"))</f>
        <v/>
      </c>
      <c r="M165" s="14" t="n"/>
    </row>
    <row r="166">
      <c r="B166" s="15">
        <f>IF($D166="","","M"&amp;TEXT(ROW()-5,"000"))</f>
        <v/>
      </c>
      <c r="C166" s="16" t="n"/>
      <c r="D166" s="14" t="n"/>
      <c r="E166" s="15">
        <f>IF($D166="","",IFERROR(INDEX(rngCadetPIDs,MATCH($D166,rngCadetNames,0)),"?"))</f>
        <v/>
      </c>
      <c r="F166" s="14" t="n"/>
      <c r="G166" s="14" t="n"/>
      <c r="H166" s="14" t="n"/>
      <c r="I166" s="14" t="n"/>
      <c r="J166" s="14" t="n"/>
      <c r="K166" s="14" t="n"/>
      <c r="L166" s="15">
        <f>IF($D166="","",IF(AND($J166="Received",$K166&lt;&gt;"Yes"),"Yes","No"))</f>
        <v/>
      </c>
      <c r="M166" s="14" t="n"/>
    </row>
    <row r="167">
      <c r="B167" s="15">
        <f>IF($D167="","","M"&amp;TEXT(ROW()-5,"000"))</f>
        <v/>
      </c>
      <c r="C167" s="16" t="n"/>
      <c r="D167" s="14" t="n"/>
      <c r="E167" s="15">
        <f>IF($D167="","",IFERROR(INDEX(rngCadetPIDs,MATCH($D167,rngCadetNames,0)),"?"))</f>
        <v/>
      </c>
      <c r="F167" s="14" t="n"/>
      <c r="G167" s="14" t="n"/>
      <c r="H167" s="14" t="n"/>
      <c r="I167" s="14" t="n"/>
      <c r="J167" s="14" t="n"/>
      <c r="K167" s="14" t="n"/>
      <c r="L167" s="15">
        <f>IF($D167="","",IF(AND($J167="Received",$K167&lt;&gt;"Yes"),"Yes","No"))</f>
        <v/>
      </c>
      <c r="M167" s="14" t="n"/>
    </row>
    <row r="168">
      <c r="B168" s="15">
        <f>IF($D168="","","M"&amp;TEXT(ROW()-5,"000"))</f>
        <v/>
      </c>
      <c r="C168" s="16" t="n"/>
      <c r="D168" s="14" t="n"/>
      <c r="E168" s="15">
        <f>IF($D168="","",IFERROR(INDEX(rngCadetPIDs,MATCH($D168,rngCadetNames,0)),"?"))</f>
        <v/>
      </c>
      <c r="F168" s="14" t="n"/>
      <c r="G168" s="14" t="n"/>
      <c r="H168" s="14" t="n"/>
      <c r="I168" s="14" t="n"/>
      <c r="J168" s="14" t="n"/>
      <c r="K168" s="14" t="n"/>
      <c r="L168" s="15">
        <f>IF($D168="","",IF(AND($J168="Received",$K168&lt;&gt;"Yes"),"Yes","No"))</f>
        <v/>
      </c>
      <c r="M168" s="14" t="n"/>
    </row>
    <row r="169">
      <c r="B169" s="15">
        <f>IF($D169="","","M"&amp;TEXT(ROW()-5,"000"))</f>
        <v/>
      </c>
      <c r="C169" s="16" t="n"/>
      <c r="D169" s="14" t="n"/>
      <c r="E169" s="15">
        <f>IF($D169="","",IFERROR(INDEX(rngCadetPIDs,MATCH($D169,rngCadetNames,0)),"?"))</f>
        <v/>
      </c>
      <c r="F169" s="14" t="n"/>
      <c r="G169" s="14" t="n"/>
      <c r="H169" s="14" t="n"/>
      <c r="I169" s="14" t="n"/>
      <c r="J169" s="14" t="n"/>
      <c r="K169" s="14" t="n"/>
      <c r="L169" s="15">
        <f>IF($D169="","",IF(AND($J169="Received",$K169&lt;&gt;"Yes"),"Yes","No"))</f>
        <v/>
      </c>
      <c r="M169" s="14" t="n"/>
    </row>
    <row r="170">
      <c r="B170" s="15">
        <f>IF($D170="","","M"&amp;TEXT(ROW()-5,"000"))</f>
        <v/>
      </c>
      <c r="C170" s="16" t="n"/>
      <c r="D170" s="14" t="n"/>
      <c r="E170" s="15">
        <f>IF($D170="","",IFERROR(INDEX(rngCadetPIDs,MATCH($D170,rngCadetNames,0)),"?"))</f>
        <v/>
      </c>
      <c r="F170" s="14" t="n"/>
      <c r="G170" s="14" t="n"/>
      <c r="H170" s="14" t="n"/>
      <c r="I170" s="14" t="n"/>
      <c r="J170" s="14" t="n"/>
      <c r="K170" s="14" t="n"/>
      <c r="L170" s="15">
        <f>IF($D170="","",IF(AND($J170="Received",$K170&lt;&gt;"Yes"),"Yes","No"))</f>
        <v/>
      </c>
      <c r="M170" s="14" t="n"/>
    </row>
    <row r="171">
      <c r="B171" s="15">
        <f>IF($D171="","","M"&amp;TEXT(ROW()-5,"000"))</f>
        <v/>
      </c>
      <c r="C171" s="16" t="n"/>
      <c r="D171" s="14" t="n"/>
      <c r="E171" s="15">
        <f>IF($D171="","",IFERROR(INDEX(rngCadetPIDs,MATCH($D171,rngCadetNames,0)),"?"))</f>
        <v/>
      </c>
      <c r="F171" s="14" t="n"/>
      <c r="G171" s="14" t="n"/>
      <c r="H171" s="14" t="n"/>
      <c r="I171" s="14" t="n"/>
      <c r="J171" s="14" t="n"/>
      <c r="K171" s="14" t="n"/>
      <c r="L171" s="15">
        <f>IF($D171="","",IF(AND($J171="Received",$K171&lt;&gt;"Yes"),"Yes","No"))</f>
        <v/>
      </c>
      <c r="M171" s="14" t="n"/>
    </row>
    <row r="172">
      <c r="B172" s="15">
        <f>IF($D172="","","M"&amp;TEXT(ROW()-5,"000"))</f>
        <v/>
      </c>
      <c r="C172" s="16" t="n"/>
      <c r="D172" s="14" t="n"/>
      <c r="E172" s="15">
        <f>IF($D172="","",IFERROR(INDEX(rngCadetPIDs,MATCH($D172,rngCadetNames,0)),"?"))</f>
        <v/>
      </c>
      <c r="F172" s="14" t="n"/>
      <c r="G172" s="14" t="n"/>
      <c r="H172" s="14" t="n"/>
      <c r="I172" s="14" t="n"/>
      <c r="J172" s="14" t="n"/>
      <c r="K172" s="14" t="n"/>
      <c r="L172" s="15">
        <f>IF($D172="","",IF(AND($J172="Received",$K172&lt;&gt;"Yes"),"Yes","No"))</f>
        <v/>
      </c>
      <c r="M172" s="14" t="n"/>
    </row>
    <row r="173">
      <c r="B173" s="15">
        <f>IF($D173="","","M"&amp;TEXT(ROW()-5,"000"))</f>
        <v/>
      </c>
      <c r="C173" s="16" t="n"/>
      <c r="D173" s="14" t="n"/>
      <c r="E173" s="15">
        <f>IF($D173="","",IFERROR(INDEX(rngCadetPIDs,MATCH($D173,rngCadetNames,0)),"?"))</f>
        <v/>
      </c>
      <c r="F173" s="14" t="n"/>
      <c r="G173" s="14" t="n"/>
      <c r="H173" s="14" t="n"/>
      <c r="I173" s="14" t="n"/>
      <c r="J173" s="14" t="n"/>
      <c r="K173" s="14" t="n"/>
      <c r="L173" s="15">
        <f>IF($D173="","",IF(AND($J173="Received",$K173&lt;&gt;"Yes"),"Yes","No"))</f>
        <v/>
      </c>
      <c r="M173" s="14" t="n"/>
    </row>
    <row r="174">
      <c r="B174" s="15">
        <f>IF($D174="","","M"&amp;TEXT(ROW()-5,"000"))</f>
        <v/>
      </c>
      <c r="C174" s="16" t="n"/>
      <c r="D174" s="14" t="n"/>
      <c r="E174" s="15">
        <f>IF($D174="","",IFERROR(INDEX(rngCadetPIDs,MATCH($D174,rngCadetNames,0)),"?"))</f>
        <v/>
      </c>
      <c r="F174" s="14" t="n"/>
      <c r="G174" s="14" t="n"/>
      <c r="H174" s="14" t="n"/>
      <c r="I174" s="14" t="n"/>
      <c r="J174" s="14" t="n"/>
      <c r="K174" s="14" t="n"/>
      <c r="L174" s="15">
        <f>IF($D174="","",IF(AND($J174="Received",$K174&lt;&gt;"Yes"),"Yes","No"))</f>
        <v/>
      </c>
      <c r="M174" s="14" t="n"/>
    </row>
    <row r="175">
      <c r="B175" s="15">
        <f>IF($D175="","","M"&amp;TEXT(ROW()-5,"000"))</f>
        <v/>
      </c>
      <c r="C175" s="16" t="n"/>
      <c r="D175" s="14" t="n"/>
      <c r="E175" s="15">
        <f>IF($D175="","",IFERROR(INDEX(rngCadetPIDs,MATCH($D175,rngCadetNames,0)),"?"))</f>
        <v/>
      </c>
      <c r="F175" s="14" t="n"/>
      <c r="G175" s="14" t="n"/>
      <c r="H175" s="14" t="n"/>
      <c r="I175" s="14" t="n"/>
      <c r="J175" s="14" t="n"/>
      <c r="K175" s="14" t="n"/>
      <c r="L175" s="15">
        <f>IF($D175="","",IF(AND($J175="Received",$K175&lt;&gt;"Yes"),"Yes","No"))</f>
        <v/>
      </c>
      <c r="M175" s="14" t="n"/>
    </row>
    <row r="176">
      <c r="B176" s="15">
        <f>IF($D176="","","M"&amp;TEXT(ROW()-5,"000"))</f>
        <v/>
      </c>
      <c r="C176" s="16" t="n"/>
      <c r="D176" s="14" t="n"/>
      <c r="E176" s="15">
        <f>IF($D176="","",IFERROR(INDEX(rngCadetPIDs,MATCH($D176,rngCadetNames,0)),"?"))</f>
        <v/>
      </c>
      <c r="F176" s="14" t="n"/>
      <c r="G176" s="14" t="n"/>
      <c r="H176" s="14" t="n"/>
      <c r="I176" s="14" t="n"/>
      <c r="J176" s="14" t="n"/>
      <c r="K176" s="14" t="n"/>
      <c r="L176" s="15">
        <f>IF($D176="","",IF(AND($J176="Received",$K176&lt;&gt;"Yes"),"Yes","No"))</f>
        <v/>
      </c>
      <c r="M176" s="14" t="n"/>
    </row>
    <row r="177">
      <c r="B177" s="15">
        <f>IF($D177="","","M"&amp;TEXT(ROW()-5,"000"))</f>
        <v/>
      </c>
      <c r="C177" s="16" t="n"/>
      <c r="D177" s="14" t="n"/>
      <c r="E177" s="15">
        <f>IF($D177="","",IFERROR(INDEX(rngCadetPIDs,MATCH($D177,rngCadetNames,0)),"?"))</f>
        <v/>
      </c>
      <c r="F177" s="14" t="n"/>
      <c r="G177" s="14" t="n"/>
      <c r="H177" s="14" t="n"/>
      <c r="I177" s="14" t="n"/>
      <c r="J177" s="14" t="n"/>
      <c r="K177" s="14" t="n"/>
      <c r="L177" s="15">
        <f>IF($D177="","",IF(AND($J177="Received",$K177&lt;&gt;"Yes"),"Yes","No"))</f>
        <v/>
      </c>
      <c r="M177" s="14" t="n"/>
    </row>
    <row r="178">
      <c r="B178" s="15">
        <f>IF($D178="","","M"&amp;TEXT(ROW()-5,"000"))</f>
        <v/>
      </c>
      <c r="C178" s="16" t="n"/>
      <c r="D178" s="14" t="n"/>
      <c r="E178" s="15">
        <f>IF($D178="","",IFERROR(INDEX(rngCadetPIDs,MATCH($D178,rngCadetNames,0)),"?"))</f>
        <v/>
      </c>
      <c r="F178" s="14" t="n"/>
      <c r="G178" s="14" t="n"/>
      <c r="H178" s="14" t="n"/>
      <c r="I178" s="14" t="n"/>
      <c r="J178" s="14" t="n"/>
      <c r="K178" s="14" t="n"/>
      <c r="L178" s="15">
        <f>IF($D178="","",IF(AND($J178="Received",$K178&lt;&gt;"Yes"),"Yes","No"))</f>
        <v/>
      </c>
      <c r="M178" s="14" t="n"/>
    </row>
    <row r="179">
      <c r="B179" s="15">
        <f>IF($D179="","","M"&amp;TEXT(ROW()-5,"000"))</f>
        <v/>
      </c>
      <c r="C179" s="16" t="n"/>
      <c r="D179" s="14" t="n"/>
      <c r="E179" s="15">
        <f>IF($D179="","",IFERROR(INDEX(rngCadetPIDs,MATCH($D179,rngCadetNames,0)),"?"))</f>
        <v/>
      </c>
      <c r="F179" s="14" t="n"/>
      <c r="G179" s="14" t="n"/>
      <c r="H179" s="14" t="n"/>
      <c r="I179" s="14" t="n"/>
      <c r="J179" s="14" t="n"/>
      <c r="K179" s="14" t="n"/>
      <c r="L179" s="15">
        <f>IF($D179="","",IF(AND($J179="Received",$K179&lt;&gt;"Yes"),"Yes","No"))</f>
        <v/>
      </c>
      <c r="M179" s="14" t="n"/>
    </row>
    <row r="180">
      <c r="B180" s="15">
        <f>IF($D180="","","M"&amp;TEXT(ROW()-5,"000"))</f>
        <v/>
      </c>
      <c r="C180" s="16" t="n"/>
      <c r="D180" s="14" t="n"/>
      <c r="E180" s="15">
        <f>IF($D180="","",IFERROR(INDEX(rngCadetPIDs,MATCH($D180,rngCadetNames,0)),"?"))</f>
        <v/>
      </c>
      <c r="F180" s="14" t="n"/>
      <c r="G180" s="14" t="n"/>
      <c r="H180" s="14" t="n"/>
      <c r="I180" s="14" t="n"/>
      <c r="J180" s="14" t="n"/>
      <c r="K180" s="14" t="n"/>
      <c r="L180" s="15">
        <f>IF($D180="","",IF(AND($J180="Received",$K180&lt;&gt;"Yes"),"Yes","No"))</f>
        <v/>
      </c>
      <c r="M180" s="14" t="n"/>
    </row>
    <row r="181">
      <c r="B181" s="15">
        <f>IF($D181="","","M"&amp;TEXT(ROW()-5,"000"))</f>
        <v/>
      </c>
      <c r="C181" s="16" t="n"/>
      <c r="D181" s="14" t="n"/>
      <c r="E181" s="15">
        <f>IF($D181="","",IFERROR(INDEX(rngCadetPIDs,MATCH($D181,rngCadetNames,0)),"?"))</f>
        <v/>
      </c>
      <c r="F181" s="14" t="n"/>
      <c r="G181" s="14" t="n"/>
      <c r="H181" s="14" t="n"/>
      <c r="I181" s="14" t="n"/>
      <c r="J181" s="14" t="n"/>
      <c r="K181" s="14" t="n"/>
      <c r="L181" s="15">
        <f>IF($D181="","",IF(AND($J181="Received",$K181&lt;&gt;"Yes"),"Yes","No"))</f>
        <v/>
      </c>
      <c r="M181" s="14" t="n"/>
    </row>
    <row r="182">
      <c r="B182" s="15">
        <f>IF($D182="","","M"&amp;TEXT(ROW()-5,"000"))</f>
        <v/>
      </c>
      <c r="C182" s="16" t="n"/>
      <c r="D182" s="14" t="n"/>
      <c r="E182" s="15">
        <f>IF($D182="","",IFERROR(INDEX(rngCadetPIDs,MATCH($D182,rngCadetNames,0)),"?"))</f>
        <v/>
      </c>
      <c r="F182" s="14" t="n"/>
      <c r="G182" s="14" t="n"/>
      <c r="H182" s="14" t="n"/>
      <c r="I182" s="14" t="n"/>
      <c r="J182" s="14" t="n"/>
      <c r="K182" s="14" t="n"/>
      <c r="L182" s="15">
        <f>IF($D182="","",IF(AND($J182="Received",$K182&lt;&gt;"Yes"),"Yes","No"))</f>
        <v/>
      </c>
      <c r="M182" s="14" t="n"/>
    </row>
    <row r="183">
      <c r="B183" s="15">
        <f>IF($D183="","","M"&amp;TEXT(ROW()-5,"000"))</f>
        <v/>
      </c>
      <c r="C183" s="16" t="n"/>
      <c r="D183" s="14" t="n"/>
      <c r="E183" s="15">
        <f>IF($D183="","",IFERROR(INDEX(rngCadetPIDs,MATCH($D183,rngCadetNames,0)),"?"))</f>
        <v/>
      </c>
      <c r="F183" s="14" t="n"/>
      <c r="G183" s="14" t="n"/>
      <c r="H183" s="14" t="n"/>
      <c r="I183" s="14" t="n"/>
      <c r="J183" s="14" t="n"/>
      <c r="K183" s="14" t="n"/>
      <c r="L183" s="15">
        <f>IF($D183="","",IF(AND($J183="Received",$K183&lt;&gt;"Yes"),"Yes","No"))</f>
        <v/>
      </c>
      <c r="M183" s="14" t="n"/>
    </row>
    <row r="184">
      <c r="B184" s="15">
        <f>IF($D184="","","M"&amp;TEXT(ROW()-5,"000"))</f>
        <v/>
      </c>
      <c r="C184" s="16" t="n"/>
      <c r="D184" s="14" t="n"/>
      <c r="E184" s="15">
        <f>IF($D184="","",IFERROR(INDEX(rngCadetPIDs,MATCH($D184,rngCadetNames,0)),"?"))</f>
        <v/>
      </c>
      <c r="F184" s="14" t="n"/>
      <c r="G184" s="14" t="n"/>
      <c r="H184" s="14" t="n"/>
      <c r="I184" s="14" t="n"/>
      <c r="J184" s="14" t="n"/>
      <c r="K184" s="14" t="n"/>
      <c r="L184" s="15">
        <f>IF($D184="","",IF(AND($J184="Received",$K184&lt;&gt;"Yes"),"Yes","No"))</f>
        <v/>
      </c>
      <c r="M184" s="14" t="n"/>
    </row>
    <row r="185">
      <c r="B185" s="15">
        <f>IF($D185="","","M"&amp;TEXT(ROW()-5,"000"))</f>
        <v/>
      </c>
      <c r="C185" s="16" t="n"/>
      <c r="D185" s="14" t="n"/>
      <c r="E185" s="15">
        <f>IF($D185="","",IFERROR(INDEX(rngCadetPIDs,MATCH($D185,rngCadetNames,0)),"?"))</f>
        <v/>
      </c>
      <c r="F185" s="14" t="n"/>
      <c r="G185" s="14" t="n"/>
      <c r="H185" s="14" t="n"/>
      <c r="I185" s="14" t="n"/>
      <c r="J185" s="14" t="n"/>
      <c r="K185" s="14" t="n"/>
      <c r="L185" s="15">
        <f>IF($D185="","",IF(AND($J185="Received",$K185&lt;&gt;"Yes"),"Yes","No"))</f>
        <v/>
      </c>
      <c r="M185" s="14" t="n"/>
    </row>
    <row r="186">
      <c r="B186" s="15">
        <f>IF($D186="","","M"&amp;TEXT(ROW()-5,"000"))</f>
        <v/>
      </c>
      <c r="C186" s="16" t="n"/>
      <c r="D186" s="14" t="n"/>
      <c r="E186" s="15">
        <f>IF($D186="","",IFERROR(INDEX(rngCadetPIDs,MATCH($D186,rngCadetNames,0)),"?"))</f>
        <v/>
      </c>
      <c r="F186" s="14" t="n"/>
      <c r="G186" s="14" t="n"/>
      <c r="H186" s="14" t="n"/>
      <c r="I186" s="14" t="n"/>
      <c r="J186" s="14" t="n"/>
      <c r="K186" s="14" t="n"/>
      <c r="L186" s="15">
        <f>IF($D186="","",IF(AND($J186="Received",$K186&lt;&gt;"Yes"),"Yes","No"))</f>
        <v/>
      </c>
      <c r="M186" s="14" t="n"/>
    </row>
    <row r="187">
      <c r="B187" s="15">
        <f>IF($D187="","","M"&amp;TEXT(ROW()-5,"000"))</f>
        <v/>
      </c>
      <c r="C187" s="16" t="n"/>
      <c r="D187" s="14" t="n"/>
      <c r="E187" s="15">
        <f>IF($D187="","",IFERROR(INDEX(rngCadetPIDs,MATCH($D187,rngCadetNames,0)),"?"))</f>
        <v/>
      </c>
      <c r="F187" s="14" t="n"/>
      <c r="G187" s="14" t="n"/>
      <c r="H187" s="14" t="n"/>
      <c r="I187" s="14" t="n"/>
      <c r="J187" s="14" t="n"/>
      <c r="K187" s="14" t="n"/>
      <c r="L187" s="15">
        <f>IF($D187="","",IF(AND($J187="Received",$K187&lt;&gt;"Yes"),"Yes","No"))</f>
        <v/>
      </c>
      <c r="M187" s="14" t="n"/>
    </row>
    <row r="188">
      <c r="B188" s="15">
        <f>IF($D188="","","M"&amp;TEXT(ROW()-5,"000"))</f>
        <v/>
      </c>
      <c r="C188" s="16" t="n"/>
      <c r="D188" s="14" t="n"/>
      <c r="E188" s="15">
        <f>IF($D188="","",IFERROR(INDEX(rngCadetPIDs,MATCH($D188,rngCadetNames,0)),"?"))</f>
        <v/>
      </c>
      <c r="F188" s="14" t="n"/>
      <c r="G188" s="14" t="n"/>
      <c r="H188" s="14" t="n"/>
      <c r="I188" s="14" t="n"/>
      <c r="J188" s="14" t="n"/>
      <c r="K188" s="14" t="n"/>
      <c r="L188" s="15">
        <f>IF($D188="","",IF(AND($J188="Received",$K188&lt;&gt;"Yes"),"Yes","No"))</f>
        <v/>
      </c>
      <c r="M188" s="14" t="n"/>
    </row>
    <row r="189">
      <c r="B189" s="15">
        <f>IF($D189="","","M"&amp;TEXT(ROW()-5,"000"))</f>
        <v/>
      </c>
      <c r="C189" s="16" t="n"/>
      <c r="D189" s="14" t="n"/>
      <c r="E189" s="15">
        <f>IF($D189="","",IFERROR(INDEX(rngCadetPIDs,MATCH($D189,rngCadetNames,0)),"?"))</f>
        <v/>
      </c>
      <c r="F189" s="14" t="n"/>
      <c r="G189" s="14" t="n"/>
      <c r="H189" s="14" t="n"/>
      <c r="I189" s="14" t="n"/>
      <c r="J189" s="14" t="n"/>
      <c r="K189" s="14" t="n"/>
      <c r="L189" s="15">
        <f>IF($D189="","",IF(AND($J189="Received",$K189&lt;&gt;"Yes"),"Yes","No"))</f>
        <v/>
      </c>
      <c r="M189" s="14" t="n"/>
    </row>
    <row r="190">
      <c r="B190" s="15">
        <f>IF($D190="","","M"&amp;TEXT(ROW()-5,"000"))</f>
        <v/>
      </c>
      <c r="C190" s="16" t="n"/>
      <c r="D190" s="14" t="n"/>
      <c r="E190" s="15">
        <f>IF($D190="","",IFERROR(INDEX(rngCadetPIDs,MATCH($D190,rngCadetNames,0)),"?"))</f>
        <v/>
      </c>
      <c r="F190" s="14" t="n"/>
      <c r="G190" s="14" t="n"/>
      <c r="H190" s="14" t="n"/>
      <c r="I190" s="14" t="n"/>
      <c r="J190" s="14" t="n"/>
      <c r="K190" s="14" t="n"/>
      <c r="L190" s="15">
        <f>IF($D190="","",IF(AND($J190="Received",$K190&lt;&gt;"Yes"),"Yes","No"))</f>
        <v/>
      </c>
      <c r="M190" s="14" t="n"/>
    </row>
    <row r="191">
      <c r="B191" s="15">
        <f>IF($D191="","","M"&amp;TEXT(ROW()-5,"000"))</f>
        <v/>
      </c>
      <c r="C191" s="16" t="n"/>
      <c r="D191" s="14" t="n"/>
      <c r="E191" s="15">
        <f>IF($D191="","",IFERROR(INDEX(rngCadetPIDs,MATCH($D191,rngCadetNames,0)),"?"))</f>
        <v/>
      </c>
      <c r="F191" s="14" t="n"/>
      <c r="G191" s="14" t="n"/>
      <c r="H191" s="14" t="n"/>
      <c r="I191" s="14" t="n"/>
      <c r="J191" s="14" t="n"/>
      <c r="K191" s="14" t="n"/>
      <c r="L191" s="15">
        <f>IF($D191="","",IF(AND($J191="Received",$K191&lt;&gt;"Yes"),"Yes","No"))</f>
        <v/>
      </c>
      <c r="M191" s="14" t="n"/>
    </row>
    <row r="192">
      <c r="B192" s="15">
        <f>IF($D192="","","M"&amp;TEXT(ROW()-5,"000"))</f>
        <v/>
      </c>
      <c r="C192" s="16" t="n"/>
      <c r="D192" s="14" t="n"/>
      <c r="E192" s="15">
        <f>IF($D192="","",IFERROR(INDEX(rngCadetPIDs,MATCH($D192,rngCadetNames,0)),"?"))</f>
        <v/>
      </c>
      <c r="F192" s="14" t="n"/>
      <c r="G192" s="14" t="n"/>
      <c r="H192" s="14" t="n"/>
      <c r="I192" s="14" t="n"/>
      <c r="J192" s="14" t="n"/>
      <c r="K192" s="14" t="n"/>
      <c r="L192" s="15">
        <f>IF($D192="","",IF(AND($J192="Received",$K192&lt;&gt;"Yes"),"Yes","No"))</f>
        <v/>
      </c>
      <c r="M192" s="14" t="n"/>
    </row>
    <row r="193">
      <c r="B193" s="15">
        <f>IF($D193="","","M"&amp;TEXT(ROW()-5,"000"))</f>
        <v/>
      </c>
      <c r="C193" s="16" t="n"/>
      <c r="D193" s="14" t="n"/>
      <c r="E193" s="15">
        <f>IF($D193="","",IFERROR(INDEX(rngCadetPIDs,MATCH($D193,rngCadetNames,0)),"?"))</f>
        <v/>
      </c>
      <c r="F193" s="14" t="n"/>
      <c r="G193" s="14" t="n"/>
      <c r="H193" s="14" t="n"/>
      <c r="I193" s="14" t="n"/>
      <c r="J193" s="14" t="n"/>
      <c r="K193" s="14" t="n"/>
      <c r="L193" s="15">
        <f>IF($D193="","",IF(AND($J193="Received",$K193&lt;&gt;"Yes"),"Yes","No"))</f>
        <v/>
      </c>
      <c r="M193" s="14" t="n"/>
    </row>
    <row r="194">
      <c r="B194" s="15">
        <f>IF($D194="","","M"&amp;TEXT(ROW()-5,"000"))</f>
        <v/>
      </c>
      <c r="C194" s="16" t="n"/>
      <c r="D194" s="14" t="n"/>
      <c r="E194" s="15">
        <f>IF($D194="","",IFERROR(INDEX(rngCadetPIDs,MATCH($D194,rngCadetNames,0)),"?"))</f>
        <v/>
      </c>
      <c r="F194" s="14" t="n"/>
      <c r="G194" s="14" t="n"/>
      <c r="H194" s="14" t="n"/>
      <c r="I194" s="14" t="n"/>
      <c r="J194" s="14" t="n"/>
      <c r="K194" s="14" t="n"/>
      <c r="L194" s="15">
        <f>IF($D194="","",IF(AND($J194="Received",$K194&lt;&gt;"Yes"),"Yes","No"))</f>
        <v/>
      </c>
      <c r="M194" s="14" t="n"/>
    </row>
    <row r="195">
      <c r="B195" s="15">
        <f>IF($D195="","","M"&amp;TEXT(ROW()-5,"000"))</f>
        <v/>
      </c>
      <c r="C195" s="16" t="n"/>
      <c r="D195" s="14" t="n"/>
      <c r="E195" s="15">
        <f>IF($D195="","",IFERROR(INDEX(rngCadetPIDs,MATCH($D195,rngCadetNames,0)),"?"))</f>
        <v/>
      </c>
      <c r="F195" s="14" t="n"/>
      <c r="G195" s="14" t="n"/>
      <c r="H195" s="14" t="n"/>
      <c r="I195" s="14" t="n"/>
      <c r="J195" s="14" t="n"/>
      <c r="K195" s="14" t="n"/>
      <c r="L195" s="15">
        <f>IF($D195="","",IF(AND($J195="Received",$K195&lt;&gt;"Yes"),"Yes","No"))</f>
        <v/>
      </c>
      <c r="M195" s="14" t="n"/>
    </row>
    <row r="196">
      <c r="B196" s="15">
        <f>IF($D196="","","M"&amp;TEXT(ROW()-5,"000"))</f>
        <v/>
      </c>
      <c r="C196" s="16" t="n"/>
      <c r="D196" s="14" t="n"/>
      <c r="E196" s="15">
        <f>IF($D196="","",IFERROR(INDEX(rngCadetPIDs,MATCH($D196,rngCadetNames,0)),"?"))</f>
        <v/>
      </c>
      <c r="F196" s="14" t="n"/>
      <c r="G196" s="14" t="n"/>
      <c r="H196" s="14" t="n"/>
      <c r="I196" s="14" t="n"/>
      <c r="J196" s="14" t="n"/>
      <c r="K196" s="14" t="n"/>
      <c r="L196" s="15">
        <f>IF($D196="","",IF(AND($J196="Received",$K196&lt;&gt;"Yes"),"Yes","No"))</f>
        <v/>
      </c>
      <c r="M196" s="14" t="n"/>
    </row>
    <row r="197">
      <c r="B197" s="15">
        <f>IF($D197="","","M"&amp;TEXT(ROW()-5,"000"))</f>
        <v/>
      </c>
      <c r="C197" s="16" t="n"/>
      <c r="D197" s="14" t="n"/>
      <c r="E197" s="15">
        <f>IF($D197="","",IFERROR(INDEX(rngCadetPIDs,MATCH($D197,rngCadetNames,0)),"?"))</f>
        <v/>
      </c>
      <c r="F197" s="14" t="n"/>
      <c r="G197" s="14" t="n"/>
      <c r="H197" s="14" t="n"/>
      <c r="I197" s="14" t="n"/>
      <c r="J197" s="14" t="n"/>
      <c r="K197" s="14" t="n"/>
      <c r="L197" s="15">
        <f>IF($D197="","",IF(AND($J197="Received",$K197&lt;&gt;"Yes"),"Yes","No"))</f>
        <v/>
      </c>
      <c r="M197" s="14" t="n"/>
    </row>
    <row r="198">
      <c r="B198" s="15">
        <f>IF($D198="","","M"&amp;TEXT(ROW()-5,"000"))</f>
        <v/>
      </c>
      <c r="C198" s="16" t="n"/>
      <c r="D198" s="14" t="n"/>
      <c r="E198" s="15">
        <f>IF($D198="","",IFERROR(INDEX(rngCadetPIDs,MATCH($D198,rngCadetNames,0)),"?"))</f>
        <v/>
      </c>
      <c r="F198" s="14" t="n"/>
      <c r="G198" s="14" t="n"/>
      <c r="H198" s="14" t="n"/>
      <c r="I198" s="14" t="n"/>
      <c r="J198" s="14" t="n"/>
      <c r="K198" s="14" t="n"/>
      <c r="L198" s="15">
        <f>IF($D198="","",IF(AND($J198="Received",$K198&lt;&gt;"Yes"),"Yes","No"))</f>
        <v/>
      </c>
      <c r="M198" s="14" t="n"/>
    </row>
    <row r="199">
      <c r="B199" s="15">
        <f>IF($D199="","","M"&amp;TEXT(ROW()-5,"000"))</f>
        <v/>
      </c>
      <c r="C199" s="16" t="n"/>
      <c r="D199" s="14" t="n"/>
      <c r="E199" s="15">
        <f>IF($D199="","",IFERROR(INDEX(rngCadetPIDs,MATCH($D199,rngCadetNames,0)),"?"))</f>
        <v/>
      </c>
      <c r="F199" s="14" t="n"/>
      <c r="G199" s="14" t="n"/>
      <c r="H199" s="14" t="n"/>
      <c r="I199" s="14" t="n"/>
      <c r="J199" s="14" t="n"/>
      <c r="K199" s="14" t="n"/>
      <c r="L199" s="15">
        <f>IF($D199="","",IF(AND($J199="Received",$K199&lt;&gt;"Yes"),"Yes","No"))</f>
        <v/>
      </c>
      <c r="M199" s="14" t="n"/>
    </row>
    <row r="200">
      <c r="B200" s="15">
        <f>IF($D200="","","M"&amp;TEXT(ROW()-5,"000"))</f>
        <v/>
      </c>
      <c r="C200" s="16" t="n"/>
      <c r="D200" s="14" t="n"/>
      <c r="E200" s="15">
        <f>IF($D200="","",IFERROR(INDEX(rngCadetPIDs,MATCH($D200,rngCadetNames,0)),"?"))</f>
        <v/>
      </c>
      <c r="F200" s="14" t="n"/>
      <c r="G200" s="14" t="n"/>
      <c r="H200" s="14" t="n"/>
      <c r="I200" s="14" t="n"/>
      <c r="J200" s="14" t="n"/>
      <c r="K200" s="14" t="n"/>
      <c r="L200" s="15">
        <f>IF($D200="","",IF(AND($J200="Received",$K200&lt;&gt;"Yes"),"Yes","No"))</f>
        <v/>
      </c>
      <c r="M200" s="14" t="n"/>
    </row>
    <row r="201">
      <c r="B201" s="15">
        <f>IF($D201="","","M"&amp;TEXT(ROW()-5,"000"))</f>
        <v/>
      </c>
      <c r="C201" s="16" t="n"/>
      <c r="D201" s="14" t="n"/>
      <c r="E201" s="15">
        <f>IF($D201="","",IFERROR(INDEX(rngCadetPIDs,MATCH($D201,rngCadetNames,0)),"?"))</f>
        <v/>
      </c>
      <c r="F201" s="14" t="n"/>
      <c r="G201" s="14" t="n"/>
      <c r="H201" s="14" t="n"/>
      <c r="I201" s="14" t="n"/>
      <c r="J201" s="14" t="n"/>
      <c r="K201" s="14" t="n"/>
      <c r="L201" s="15">
        <f>IF($D201="","",IF(AND($J201="Received",$K201&lt;&gt;"Yes"),"Yes","No"))</f>
        <v/>
      </c>
      <c r="M201" s="14" t="n"/>
    </row>
    <row r="202">
      <c r="B202" s="15">
        <f>IF($D202="","","M"&amp;TEXT(ROW()-5,"000"))</f>
        <v/>
      </c>
      <c r="C202" s="16" t="n"/>
      <c r="D202" s="14" t="n"/>
      <c r="E202" s="15">
        <f>IF($D202="","",IFERROR(INDEX(rngCadetPIDs,MATCH($D202,rngCadetNames,0)),"?"))</f>
        <v/>
      </c>
      <c r="F202" s="14" t="n"/>
      <c r="G202" s="14" t="n"/>
      <c r="H202" s="14" t="n"/>
      <c r="I202" s="14" t="n"/>
      <c r="J202" s="14" t="n"/>
      <c r="K202" s="14" t="n"/>
      <c r="L202" s="15">
        <f>IF($D202="","",IF(AND($J202="Received",$K202&lt;&gt;"Yes"),"Yes","No"))</f>
        <v/>
      </c>
      <c r="M202" s="14" t="n"/>
    </row>
    <row r="203">
      <c r="B203" s="15">
        <f>IF($D203="","","M"&amp;TEXT(ROW()-5,"000"))</f>
        <v/>
      </c>
      <c r="C203" s="16" t="n"/>
      <c r="D203" s="14" t="n"/>
      <c r="E203" s="15">
        <f>IF($D203="","",IFERROR(INDEX(rngCadetPIDs,MATCH($D203,rngCadetNames,0)),"?"))</f>
        <v/>
      </c>
      <c r="F203" s="14" t="n"/>
      <c r="G203" s="14" t="n"/>
      <c r="H203" s="14" t="n"/>
      <c r="I203" s="14" t="n"/>
      <c r="J203" s="14" t="n"/>
      <c r="K203" s="14" t="n"/>
      <c r="L203" s="15">
        <f>IF($D203="","",IF(AND($J203="Received",$K203&lt;&gt;"Yes"),"Yes","No"))</f>
        <v/>
      </c>
      <c r="M203" s="14" t="n"/>
    </row>
    <row r="204">
      <c r="B204" s="15">
        <f>IF($D204="","","M"&amp;TEXT(ROW()-5,"000"))</f>
        <v/>
      </c>
      <c r="C204" s="16" t="n"/>
      <c r="D204" s="14" t="n"/>
      <c r="E204" s="15">
        <f>IF($D204="","",IFERROR(INDEX(rngCadetPIDs,MATCH($D204,rngCadetNames,0)),"?"))</f>
        <v/>
      </c>
      <c r="F204" s="14" t="n"/>
      <c r="G204" s="14" t="n"/>
      <c r="H204" s="14" t="n"/>
      <c r="I204" s="14" t="n"/>
      <c r="J204" s="14" t="n"/>
      <c r="K204" s="14" t="n"/>
      <c r="L204" s="15">
        <f>IF($D204="","",IF(AND($J204="Received",$K204&lt;&gt;"Yes"),"Yes","No"))</f>
        <v/>
      </c>
      <c r="M204" s="14" t="n"/>
    </row>
    <row r="205">
      <c r="B205" s="15">
        <f>IF($D205="","","M"&amp;TEXT(ROW()-5,"000"))</f>
        <v/>
      </c>
      <c r="C205" s="16" t="n"/>
      <c r="D205" s="14" t="n"/>
      <c r="E205" s="15">
        <f>IF($D205="","",IFERROR(INDEX(rngCadetPIDs,MATCH($D205,rngCadetNames,0)),"?"))</f>
        <v/>
      </c>
      <c r="F205" s="14" t="n"/>
      <c r="G205" s="14" t="n"/>
      <c r="H205" s="14" t="n"/>
      <c r="I205" s="14" t="n"/>
      <c r="J205" s="14" t="n"/>
      <c r="K205" s="14" t="n"/>
      <c r="L205" s="15">
        <f>IF($D205="","",IF(AND($J205="Received",$K205&lt;&gt;"Yes"),"Yes","No"))</f>
        <v/>
      </c>
      <c r="M205" s="14" t="n"/>
    </row>
    <row r="206">
      <c r="B206" s="15">
        <f>IF($D206="","","M"&amp;TEXT(ROW()-5,"000"))</f>
        <v/>
      </c>
      <c r="C206" s="16" t="n"/>
      <c r="D206" s="14" t="n"/>
      <c r="E206" s="15">
        <f>IF($D206="","",IFERROR(INDEX(rngCadetPIDs,MATCH($D206,rngCadetNames,0)),"?"))</f>
        <v/>
      </c>
      <c r="F206" s="14" t="n"/>
      <c r="G206" s="14" t="n"/>
      <c r="H206" s="14" t="n"/>
      <c r="I206" s="14" t="n"/>
      <c r="J206" s="14" t="n"/>
      <c r="K206" s="14" t="n"/>
      <c r="L206" s="15">
        <f>IF($D206="","",IF(AND($J206="Received",$K206&lt;&gt;"Yes"),"Yes","No"))</f>
        <v/>
      </c>
      <c r="M206" s="14" t="n"/>
    </row>
    <row r="207">
      <c r="B207" s="15">
        <f>IF($D207="","","M"&amp;TEXT(ROW()-5,"000"))</f>
        <v/>
      </c>
      <c r="C207" s="16" t="n"/>
      <c r="D207" s="14" t="n"/>
      <c r="E207" s="15">
        <f>IF($D207="","",IFERROR(INDEX(rngCadetPIDs,MATCH($D207,rngCadetNames,0)),"?"))</f>
        <v/>
      </c>
      <c r="F207" s="14" t="n"/>
      <c r="G207" s="14" t="n"/>
      <c r="H207" s="14" t="n"/>
      <c r="I207" s="14" t="n"/>
      <c r="J207" s="14" t="n"/>
      <c r="K207" s="14" t="n"/>
      <c r="L207" s="15">
        <f>IF($D207="","",IF(AND($J207="Received",$K207&lt;&gt;"Yes"),"Yes","No"))</f>
        <v/>
      </c>
      <c r="M207" s="14" t="n"/>
    </row>
    <row r="208">
      <c r="B208" s="15">
        <f>IF($D208="","","M"&amp;TEXT(ROW()-5,"000"))</f>
        <v/>
      </c>
      <c r="C208" s="16" t="n"/>
      <c r="D208" s="14" t="n"/>
      <c r="E208" s="15">
        <f>IF($D208="","",IFERROR(INDEX(rngCadetPIDs,MATCH($D208,rngCadetNames,0)),"?"))</f>
        <v/>
      </c>
      <c r="F208" s="14" t="n"/>
      <c r="G208" s="14" t="n"/>
      <c r="H208" s="14" t="n"/>
      <c r="I208" s="14" t="n"/>
      <c r="J208" s="14" t="n"/>
      <c r="K208" s="14" t="n"/>
      <c r="L208" s="15">
        <f>IF($D208="","",IF(AND($J208="Received",$K208&lt;&gt;"Yes"),"Yes","No"))</f>
        <v/>
      </c>
      <c r="M208" s="14" t="n"/>
    </row>
    <row r="209">
      <c r="B209" s="15">
        <f>IF($D209="","","M"&amp;TEXT(ROW()-5,"000"))</f>
        <v/>
      </c>
      <c r="C209" s="16" t="n"/>
      <c r="D209" s="14" t="n"/>
      <c r="E209" s="15">
        <f>IF($D209="","",IFERROR(INDEX(rngCadetPIDs,MATCH($D209,rngCadetNames,0)),"?"))</f>
        <v/>
      </c>
      <c r="F209" s="14" t="n"/>
      <c r="G209" s="14" t="n"/>
      <c r="H209" s="14" t="n"/>
      <c r="I209" s="14" t="n"/>
      <c r="J209" s="14" t="n"/>
      <c r="K209" s="14" t="n"/>
      <c r="L209" s="15">
        <f>IF($D209="","",IF(AND($J209="Received",$K209&lt;&gt;"Yes"),"Yes","No"))</f>
        <v/>
      </c>
      <c r="M209" s="14" t="n"/>
    </row>
    <row r="210">
      <c r="B210" s="15">
        <f>IF($D210="","","M"&amp;TEXT(ROW()-5,"000"))</f>
        <v/>
      </c>
      <c r="C210" s="16" t="n"/>
      <c r="D210" s="14" t="n"/>
      <c r="E210" s="15">
        <f>IF($D210="","",IFERROR(INDEX(rngCadetPIDs,MATCH($D210,rngCadetNames,0)),"?"))</f>
        <v/>
      </c>
      <c r="F210" s="14" t="n"/>
      <c r="G210" s="14" t="n"/>
      <c r="H210" s="14" t="n"/>
      <c r="I210" s="14" t="n"/>
      <c r="J210" s="14" t="n"/>
      <c r="K210" s="14" t="n"/>
      <c r="L210" s="15">
        <f>IF($D210="","",IF(AND($J210="Received",$K210&lt;&gt;"Yes"),"Yes","No"))</f>
        <v/>
      </c>
      <c r="M210" s="14" t="n"/>
    </row>
    <row r="211">
      <c r="B211" s="15">
        <f>IF($D211="","","M"&amp;TEXT(ROW()-5,"000"))</f>
        <v/>
      </c>
      <c r="C211" s="16" t="n"/>
      <c r="D211" s="14" t="n"/>
      <c r="E211" s="15">
        <f>IF($D211="","",IFERROR(INDEX(rngCadetPIDs,MATCH($D211,rngCadetNames,0)),"?"))</f>
        <v/>
      </c>
      <c r="F211" s="14" t="n"/>
      <c r="G211" s="14" t="n"/>
      <c r="H211" s="14" t="n"/>
      <c r="I211" s="14" t="n"/>
      <c r="J211" s="14" t="n"/>
      <c r="K211" s="14" t="n"/>
      <c r="L211" s="15">
        <f>IF($D211="","",IF(AND($J211="Received",$K211&lt;&gt;"Yes"),"Yes","No"))</f>
        <v/>
      </c>
      <c r="M211" s="14" t="n"/>
    </row>
    <row r="212">
      <c r="B212" s="15">
        <f>IF($D212="","","M"&amp;TEXT(ROW()-5,"000"))</f>
        <v/>
      </c>
      <c r="C212" s="16" t="n"/>
      <c r="D212" s="14" t="n"/>
      <c r="E212" s="15">
        <f>IF($D212="","",IFERROR(INDEX(rngCadetPIDs,MATCH($D212,rngCadetNames,0)),"?"))</f>
        <v/>
      </c>
      <c r="F212" s="14" t="n"/>
      <c r="G212" s="14" t="n"/>
      <c r="H212" s="14" t="n"/>
      <c r="I212" s="14" t="n"/>
      <c r="J212" s="14" t="n"/>
      <c r="K212" s="14" t="n"/>
      <c r="L212" s="15">
        <f>IF($D212="","",IF(AND($J212="Received",$K212&lt;&gt;"Yes"),"Yes","No"))</f>
        <v/>
      </c>
      <c r="M212" s="14" t="n"/>
    </row>
    <row r="213">
      <c r="B213" s="15">
        <f>IF($D213="","","M"&amp;TEXT(ROW()-5,"000"))</f>
        <v/>
      </c>
      <c r="C213" s="16" t="n"/>
      <c r="D213" s="14" t="n"/>
      <c r="E213" s="15">
        <f>IF($D213="","",IFERROR(INDEX(rngCadetPIDs,MATCH($D213,rngCadetNames,0)),"?"))</f>
        <v/>
      </c>
      <c r="F213" s="14" t="n"/>
      <c r="G213" s="14" t="n"/>
      <c r="H213" s="14" t="n"/>
      <c r="I213" s="14" t="n"/>
      <c r="J213" s="14" t="n"/>
      <c r="K213" s="14" t="n"/>
      <c r="L213" s="15">
        <f>IF($D213="","",IF(AND($J213="Received",$K213&lt;&gt;"Yes"),"Yes","No"))</f>
        <v/>
      </c>
      <c r="M213" s="14" t="n"/>
    </row>
    <row r="214">
      <c r="B214" s="15">
        <f>IF($D214="","","M"&amp;TEXT(ROW()-5,"000"))</f>
        <v/>
      </c>
      <c r="C214" s="16" t="n"/>
      <c r="D214" s="14" t="n"/>
      <c r="E214" s="15">
        <f>IF($D214="","",IFERROR(INDEX(rngCadetPIDs,MATCH($D214,rngCadetNames,0)),"?"))</f>
        <v/>
      </c>
      <c r="F214" s="14" t="n"/>
      <c r="G214" s="14" t="n"/>
      <c r="H214" s="14" t="n"/>
      <c r="I214" s="14" t="n"/>
      <c r="J214" s="14" t="n"/>
      <c r="K214" s="14" t="n"/>
      <c r="L214" s="15">
        <f>IF($D214="","",IF(AND($J214="Received",$K214&lt;&gt;"Yes"),"Yes","No"))</f>
        <v/>
      </c>
      <c r="M214" s="14" t="n"/>
    </row>
    <row r="215">
      <c r="B215" s="15">
        <f>IF($D215="","","M"&amp;TEXT(ROW()-5,"000"))</f>
        <v/>
      </c>
      <c r="C215" s="16" t="n"/>
      <c r="D215" s="14" t="n"/>
      <c r="E215" s="15">
        <f>IF($D215="","",IFERROR(INDEX(rngCadetPIDs,MATCH($D215,rngCadetNames,0)),"?"))</f>
        <v/>
      </c>
      <c r="F215" s="14" t="n"/>
      <c r="G215" s="14" t="n"/>
      <c r="H215" s="14" t="n"/>
      <c r="I215" s="14" t="n"/>
      <c r="J215" s="14" t="n"/>
      <c r="K215" s="14" t="n"/>
      <c r="L215" s="15">
        <f>IF($D215="","",IF(AND($J215="Received",$K215&lt;&gt;"Yes"),"Yes","No"))</f>
        <v/>
      </c>
      <c r="M215" s="14" t="n"/>
    </row>
    <row r="216">
      <c r="B216" s="15">
        <f>IF($D216="","","M"&amp;TEXT(ROW()-5,"000"))</f>
        <v/>
      </c>
      <c r="C216" s="16" t="n"/>
      <c r="D216" s="14" t="n"/>
      <c r="E216" s="15">
        <f>IF($D216="","",IFERROR(INDEX(rngCadetPIDs,MATCH($D216,rngCadetNames,0)),"?"))</f>
        <v/>
      </c>
      <c r="F216" s="14" t="n"/>
      <c r="G216" s="14" t="n"/>
      <c r="H216" s="14" t="n"/>
      <c r="I216" s="14" t="n"/>
      <c r="J216" s="14" t="n"/>
      <c r="K216" s="14" t="n"/>
      <c r="L216" s="15">
        <f>IF($D216="","",IF(AND($J216="Received",$K216&lt;&gt;"Yes"),"Yes","No"))</f>
        <v/>
      </c>
      <c r="M216" s="14" t="n"/>
    </row>
    <row r="217">
      <c r="B217" s="15">
        <f>IF($D217="","","M"&amp;TEXT(ROW()-5,"000"))</f>
        <v/>
      </c>
      <c r="C217" s="16" t="n"/>
      <c r="D217" s="14" t="n"/>
      <c r="E217" s="15">
        <f>IF($D217="","",IFERROR(INDEX(rngCadetPIDs,MATCH($D217,rngCadetNames,0)),"?"))</f>
        <v/>
      </c>
      <c r="F217" s="14" t="n"/>
      <c r="G217" s="14" t="n"/>
      <c r="H217" s="14" t="n"/>
      <c r="I217" s="14" t="n"/>
      <c r="J217" s="14" t="n"/>
      <c r="K217" s="14" t="n"/>
      <c r="L217" s="15">
        <f>IF($D217="","",IF(AND($J217="Received",$K217&lt;&gt;"Yes"),"Yes","No"))</f>
        <v/>
      </c>
      <c r="M217" s="14" t="n"/>
    </row>
    <row r="218">
      <c r="B218" s="15">
        <f>IF($D218="","","M"&amp;TEXT(ROW()-5,"000"))</f>
        <v/>
      </c>
      <c r="C218" s="16" t="n"/>
      <c r="D218" s="14" t="n"/>
      <c r="E218" s="15">
        <f>IF($D218="","",IFERROR(INDEX(rngCadetPIDs,MATCH($D218,rngCadetNames,0)),"?"))</f>
        <v/>
      </c>
      <c r="F218" s="14" t="n"/>
      <c r="G218" s="14" t="n"/>
      <c r="H218" s="14" t="n"/>
      <c r="I218" s="14" t="n"/>
      <c r="J218" s="14" t="n"/>
      <c r="K218" s="14" t="n"/>
      <c r="L218" s="15">
        <f>IF($D218="","",IF(AND($J218="Received",$K218&lt;&gt;"Yes"),"Yes","No"))</f>
        <v/>
      </c>
      <c r="M218" s="14" t="n"/>
    </row>
    <row r="219">
      <c r="B219" s="15">
        <f>IF($D219="","","M"&amp;TEXT(ROW()-5,"000"))</f>
        <v/>
      </c>
      <c r="C219" s="16" t="n"/>
      <c r="D219" s="14" t="n"/>
      <c r="E219" s="15">
        <f>IF($D219="","",IFERROR(INDEX(rngCadetPIDs,MATCH($D219,rngCadetNames,0)),"?"))</f>
        <v/>
      </c>
      <c r="F219" s="14" t="n"/>
      <c r="G219" s="14" t="n"/>
      <c r="H219" s="14" t="n"/>
      <c r="I219" s="14" t="n"/>
      <c r="J219" s="14" t="n"/>
      <c r="K219" s="14" t="n"/>
      <c r="L219" s="15">
        <f>IF($D219="","",IF(AND($J219="Received",$K219&lt;&gt;"Yes"),"Yes","No"))</f>
        <v/>
      </c>
      <c r="M219" s="14" t="n"/>
    </row>
    <row r="220">
      <c r="B220" s="15">
        <f>IF($D220="","","M"&amp;TEXT(ROW()-5,"000"))</f>
        <v/>
      </c>
      <c r="C220" s="16" t="n"/>
      <c r="D220" s="14" t="n"/>
      <c r="E220" s="15">
        <f>IF($D220="","",IFERROR(INDEX(rngCadetPIDs,MATCH($D220,rngCadetNames,0)),"?"))</f>
        <v/>
      </c>
      <c r="F220" s="14" t="n"/>
      <c r="G220" s="14" t="n"/>
      <c r="H220" s="14" t="n"/>
      <c r="I220" s="14" t="n"/>
      <c r="J220" s="14" t="n"/>
      <c r="K220" s="14" t="n"/>
      <c r="L220" s="15">
        <f>IF($D220="","",IF(AND($J220="Received",$K220&lt;&gt;"Yes"),"Yes","No"))</f>
        <v/>
      </c>
      <c r="M220" s="14" t="n"/>
    </row>
    <row r="221">
      <c r="B221" s="15">
        <f>IF($D221="","","M"&amp;TEXT(ROW()-5,"000"))</f>
        <v/>
      </c>
      <c r="C221" s="16" t="n"/>
      <c r="D221" s="14" t="n"/>
      <c r="E221" s="15">
        <f>IF($D221="","",IFERROR(INDEX(rngCadetPIDs,MATCH($D221,rngCadetNames,0)),"?"))</f>
        <v/>
      </c>
      <c r="F221" s="14" t="n"/>
      <c r="G221" s="14" t="n"/>
      <c r="H221" s="14" t="n"/>
      <c r="I221" s="14" t="n"/>
      <c r="J221" s="14" t="n"/>
      <c r="K221" s="14" t="n"/>
      <c r="L221" s="15">
        <f>IF($D221="","",IF(AND($J221="Received",$K221&lt;&gt;"Yes"),"Yes","No"))</f>
        <v/>
      </c>
      <c r="M221" s="14" t="n"/>
    </row>
    <row r="222">
      <c r="B222" s="15">
        <f>IF($D222="","","M"&amp;TEXT(ROW()-5,"000"))</f>
        <v/>
      </c>
      <c r="C222" s="16" t="n"/>
      <c r="D222" s="14" t="n"/>
      <c r="E222" s="15">
        <f>IF($D222="","",IFERROR(INDEX(rngCadetPIDs,MATCH($D222,rngCadetNames,0)),"?"))</f>
        <v/>
      </c>
      <c r="F222" s="14" t="n"/>
      <c r="G222" s="14" t="n"/>
      <c r="H222" s="14" t="n"/>
      <c r="I222" s="14" t="n"/>
      <c r="J222" s="14" t="n"/>
      <c r="K222" s="14" t="n"/>
      <c r="L222" s="15">
        <f>IF($D222="","",IF(AND($J222="Received",$K222&lt;&gt;"Yes"),"Yes","No"))</f>
        <v/>
      </c>
      <c r="M222" s="14" t="n"/>
    </row>
    <row r="223">
      <c r="B223" s="15">
        <f>IF($D223="","","M"&amp;TEXT(ROW()-5,"000"))</f>
        <v/>
      </c>
      <c r="C223" s="16" t="n"/>
      <c r="D223" s="14" t="n"/>
      <c r="E223" s="15">
        <f>IF($D223="","",IFERROR(INDEX(rngCadetPIDs,MATCH($D223,rngCadetNames,0)),"?"))</f>
        <v/>
      </c>
      <c r="F223" s="14" t="n"/>
      <c r="G223" s="14" t="n"/>
      <c r="H223" s="14" t="n"/>
      <c r="I223" s="14" t="n"/>
      <c r="J223" s="14" t="n"/>
      <c r="K223" s="14" t="n"/>
      <c r="L223" s="15">
        <f>IF($D223="","",IF(AND($J223="Received",$K223&lt;&gt;"Yes"),"Yes","No"))</f>
        <v/>
      </c>
      <c r="M223" s="14" t="n"/>
    </row>
    <row r="224">
      <c r="B224" s="15">
        <f>IF($D224="","","M"&amp;TEXT(ROW()-5,"000"))</f>
        <v/>
      </c>
      <c r="C224" s="16" t="n"/>
      <c r="D224" s="14" t="n"/>
      <c r="E224" s="15">
        <f>IF($D224="","",IFERROR(INDEX(rngCadetPIDs,MATCH($D224,rngCadetNames,0)),"?"))</f>
        <v/>
      </c>
      <c r="F224" s="14" t="n"/>
      <c r="G224" s="14" t="n"/>
      <c r="H224" s="14" t="n"/>
      <c r="I224" s="14" t="n"/>
      <c r="J224" s="14" t="n"/>
      <c r="K224" s="14" t="n"/>
      <c r="L224" s="15">
        <f>IF($D224="","",IF(AND($J224="Received",$K224&lt;&gt;"Yes"),"Yes","No"))</f>
        <v/>
      </c>
      <c r="M224" s="14" t="n"/>
    </row>
    <row r="225">
      <c r="B225" s="15">
        <f>IF($D225="","","M"&amp;TEXT(ROW()-5,"000"))</f>
        <v/>
      </c>
      <c r="C225" s="16" t="n"/>
      <c r="D225" s="14" t="n"/>
      <c r="E225" s="15">
        <f>IF($D225="","",IFERROR(INDEX(rngCadetPIDs,MATCH($D225,rngCadetNames,0)),"?"))</f>
        <v/>
      </c>
      <c r="F225" s="14" t="n"/>
      <c r="G225" s="14" t="n"/>
      <c r="H225" s="14" t="n"/>
      <c r="I225" s="14" t="n"/>
      <c r="J225" s="14" t="n"/>
      <c r="K225" s="14" t="n"/>
      <c r="L225" s="15">
        <f>IF($D225="","",IF(AND($J225="Received",$K225&lt;&gt;"Yes"),"Yes","No"))</f>
        <v/>
      </c>
      <c r="M225" s="14" t="n"/>
    </row>
    <row r="226">
      <c r="B226" s="15">
        <f>IF($D226="","","M"&amp;TEXT(ROW()-5,"000"))</f>
        <v/>
      </c>
      <c r="C226" s="16" t="n"/>
      <c r="D226" s="14" t="n"/>
      <c r="E226" s="15">
        <f>IF($D226="","",IFERROR(INDEX(rngCadetPIDs,MATCH($D226,rngCadetNames,0)),"?"))</f>
        <v/>
      </c>
      <c r="F226" s="14" t="n"/>
      <c r="G226" s="14" t="n"/>
      <c r="H226" s="14" t="n"/>
      <c r="I226" s="14" t="n"/>
      <c r="J226" s="14" t="n"/>
      <c r="K226" s="14" t="n"/>
      <c r="L226" s="15">
        <f>IF($D226="","",IF(AND($J226="Received",$K226&lt;&gt;"Yes"),"Yes","No"))</f>
        <v/>
      </c>
      <c r="M226" s="14" t="n"/>
    </row>
    <row r="227">
      <c r="B227" s="15">
        <f>IF($D227="","","M"&amp;TEXT(ROW()-5,"000"))</f>
        <v/>
      </c>
      <c r="C227" s="16" t="n"/>
      <c r="D227" s="14" t="n"/>
      <c r="E227" s="15">
        <f>IF($D227="","",IFERROR(INDEX(rngCadetPIDs,MATCH($D227,rngCadetNames,0)),"?"))</f>
        <v/>
      </c>
      <c r="F227" s="14" t="n"/>
      <c r="G227" s="14" t="n"/>
      <c r="H227" s="14" t="n"/>
      <c r="I227" s="14" t="n"/>
      <c r="J227" s="14" t="n"/>
      <c r="K227" s="14" t="n"/>
      <c r="L227" s="15">
        <f>IF($D227="","",IF(AND($J227="Received",$K227&lt;&gt;"Yes"),"Yes","No"))</f>
        <v/>
      </c>
      <c r="M227" s="14" t="n"/>
    </row>
    <row r="228">
      <c r="B228" s="15">
        <f>IF($D228="","","M"&amp;TEXT(ROW()-5,"000"))</f>
        <v/>
      </c>
      <c r="C228" s="16" t="n"/>
      <c r="D228" s="14" t="n"/>
      <c r="E228" s="15">
        <f>IF($D228="","",IFERROR(INDEX(rngCadetPIDs,MATCH($D228,rngCadetNames,0)),"?"))</f>
        <v/>
      </c>
      <c r="F228" s="14" t="n"/>
      <c r="G228" s="14" t="n"/>
      <c r="H228" s="14" t="n"/>
      <c r="I228" s="14" t="n"/>
      <c r="J228" s="14" t="n"/>
      <c r="K228" s="14" t="n"/>
      <c r="L228" s="15">
        <f>IF($D228="","",IF(AND($J228="Received",$K228&lt;&gt;"Yes"),"Yes","No"))</f>
        <v/>
      </c>
      <c r="M228" s="14" t="n"/>
    </row>
    <row r="229">
      <c r="B229" s="15">
        <f>IF($D229="","","M"&amp;TEXT(ROW()-5,"000"))</f>
        <v/>
      </c>
      <c r="C229" s="16" t="n"/>
      <c r="D229" s="14" t="n"/>
      <c r="E229" s="15">
        <f>IF($D229="","",IFERROR(INDEX(rngCadetPIDs,MATCH($D229,rngCadetNames,0)),"?"))</f>
        <v/>
      </c>
      <c r="F229" s="14" t="n"/>
      <c r="G229" s="14" t="n"/>
      <c r="H229" s="14" t="n"/>
      <c r="I229" s="14" t="n"/>
      <c r="J229" s="14" t="n"/>
      <c r="K229" s="14" t="n"/>
      <c r="L229" s="15">
        <f>IF($D229="","",IF(AND($J229="Received",$K229&lt;&gt;"Yes"),"Yes","No"))</f>
        <v/>
      </c>
      <c r="M229" s="14" t="n"/>
    </row>
    <row r="230">
      <c r="B230" s="15">
        <f>IF($D230="","","M"&amp;TEXT(ROW()-5,"000"))</f>
        <v/>
      </c>
      <c r="C230" s="16" t="n"/>
      <c r="D230" s="14" t="n"/>
      <c r="E230" s="15">
        <f>IF($D230="","",IFERROR(INDEX(rngCadetPIDs,MATCH($D230,rngCadetNames,0)),"?"))</f>
        <v/>
      </c>
      <c r="F230" s="14" t="n"/>
      <c r="G230" s="14" t="n"/>
      <c r="H230" s="14" t="n"/>
      <c r="I230" s="14" t="n"/>
      <c r="J230" s="14" t="n"/>
      <c r="K230" s="14" t="n"/>
      <c r="L230" s="15">
        <f>IF($D230="","",IF(AND($J230="Received",$K230&lt;&gt;"Yes"),"Yes","No"))</f>
        <v/>
      </c>
      <c r="M230" s="14" t="n"/>
    </row>
    <row r="231">
      <c r="B231" s="15">
        <f>IF($D231="","","M"&amp;TEXT(ROW()-5,"000"))</f>
        <v/>
      </c>
      <c r="C231" s="16" t="n"/>
      <c r="D231" s="14" t="n"/>
      <c r="E231" s="15">
        <f>IF($D231="","",IFERROR(INDEX(rngCadetPIDs,MATCH($D231,rngCadetNames,0)),"?"))</f>
        <v/>
      </c>
      <c r="F231" s="14" t="n"/>
      <c r="G231" s="14" t="n"/>
      <c r="H231" s="14" t="n"/>
      <c r="I231" s="14" t="n"/>
      <c r="J231" s="14" t="n"/>
      <c r="K231" s="14" t="n"/>
      <c r="L231" s="15">
        <f>IF($D231="","",IF(AND($J231="Received",$K231&lt;&gt;"Yes"),"Yes","No"))</f>
        <v/>
      </c>
      <c r="M231" s="14" t="n"/>
    </row>
    <row r="232">
      <c r="B232" s="15">
        <f>IF($D232="","","M"&amp;TEXT(ROW()-5,"000"))</f>
        <v/>
      </c>
      <c r="C232" s="16" t="n"/>
      <c r="D232" s="14" t="n"/>
      <c r="E232" s="15">
        <f>IF($D232="","",IFERROR(INDEX(rngCadetPIDs,MATCH($D232,rngCadetNames,0)),"?"))</f>
        <v/>
      </c>
      <c r="F232" s="14" t="n"/>
      <c r="G232" s="14" t="n"/>
      <c r="H232" s="14" t="n"/>
      <c r="I232" s="14" t="n"/>
      <c r="J232" s="14" t="n"/>
      <c r="K232" s="14" t="n"/>
      <c r="L232" s="15">
        <f>IF($D232="","",IF(AND($J232="Received",$K232&lt;&gt;"Yes"),"Yes","No"))</f>
        <v/>
      </c>
      <c r="M232" s="14" t="n"/>
    </row>
    <row r="233">
      <c r="B233" s="15">
        <f>IF($D233="","","M"&amp;TEXT(ROW()-5,"000"))</f>
        <v/>
      </c>
      <c r="C233" s="16" t="n"/>
      <c r="D233" s="14" t="n"/>
      <c r="E233" s="15">
        <f>IF($D233="","",IFERROR(INDEX(rngCadetPIDs,MATCH($D233,rngCadetNames,0)),"?"))</f>
        <v/>
      </c>
      <c r="F233" s="14" t="n"/>
      <c r="G233" s="14" t="n"/>
      <c r="H233" s="14" t="n"/>
      <c r="I233" s="14" t="n"/>
      <c r="J233" s="14" t="n"/>
      <c r="K233" s="14" t="n"/>
      <c r="L233" s="15">
        <f>IF($D233="","",IF(AND($J233="Received",$K233&lt;&gt;"Yes"),"Yes","No"))</f>
        <v/>
      </c>
      <c r="M233" s="14" t="n"/>
    </row>
    <row r="234">
      <c r="B234" s="15">
        <f>IF($D234="","","M"&amp;TEXT(ROW()-5,"000"))</f>
        <v/>
      </c>
      <c r="C234" s="16" t="n"/>
      <c r="D234" s="14" t="n"/>
      <c r="E234" s="15">
        <f>IF($D234="","",IFERROR(INDEX(rngCadetPIDs,MATCH($D234,rngCadetNames,0)),"?"))</f>
        <v/>
      </c>
      <c r="F234" s="14" t="n"/>
      <c r="G234" s="14" t="n"/>
      <c r="H234" s="14" t="n"/>
      <c r="I234" s="14" t="n"/>
      <c r="J234" s="14" t="n"/>
      <c r="K234" s="14" t="n"/>
      <c r="L234" s="15">
        <f>IF($D234="","",IF(AND($J234="Received",$K234&lt;&gt;"Yes"),"Yes","No"))</f>
        <v/>
      </c>
      <c r="M234" s="14" t="n"/>
    </row>
    <row r="235">
      <c r="B235" s="15">
        <f>IF($D235="","","M"&amp;TEXT(ROW()-5,"000"))</f>
        <v/>
      </c>
      <c r="C235" s="16" t="n"/>
      <c r="D235" s="14" t="n"/>
      <c r="E235" s="15">
        <f>IF($D235="","",IFERROR(INDEX(rngCadetPIDs,MATCH($D235,rngCadetNames,0)),"?"))</f>
        <v/>
      </c>
      <c r="F235" s="14" t="n"/>
      <c r="G235" s="14" t="n"/>
      <c r="H235" s="14" t="n"/>
      <c r="I235" s="14" t="n"/>
      <c r="J235" s="14" t="n"/>
      <c r="K235" s="14" t="n"/>
      <c r="L235" s="15">
        <f>IF($D235="","",IF(AND($J235="Received",$K235&lt;&gt;"Yes"),"Yes","No"))</f>
        <v/>
      </c>
      <c r="M235" s="14" t="n"/>
    </row>
    <row r="236">
      <c r="B236" s="15">
        <f>IF($D236="","","M"&amp;TEXT(ROW()-5,"000"))</f>
        <v/>
      </c>
      <c r="C236" s="16" t="n"/>
      <c r="D236" s="14" t="n"/>
      <c r="E236" s="15">
        <f>IF($D236="","",IFERROR(INDEX(rngCadetPIDs,MATCH($D236,rngCadetNames,0)),"?"))</f>
        <v/>
      </c>
      <c r="F236" s="14" t="n"/>
      <c r="G236" s="14" t="n"/>
      <c r="H236" s="14" t="n"/>
      <c r="I236" s="14" t="n"/>
      <c r="J236" s="14" t="n"/>
      <c r="K236" s="14" t="n"/>
      <c r="L236" s="15">
        <f>IF($D236="","",IF(AND($J236="Received",$K236&lt;&gt;"Yes"),"Yes","No"))</f>
        <v/>
      </c>
      <c r="M236" s="14" t="n"/>
    </row>
    <row r="237">
      <c r="B237" s="15">
        <f>IF($D237="","","M"&amp;TEXT(ROW()-5,"000"))</f>
        <v/>
      </c>
      <c r="C237" s="16" t="n"/>
      <c r="D237" s="14" t="n"/>
      <c r="E237" s="15">
        <f>IF($D237="","",IFERROR(INDEX(rngCadetPIDs,MATCH($D237,rngCadetNames,0)),"?"))</f>
        <v/>
      </c>
      <c r="F237" s="14" t="n"/>
      <c r="G237" s="14" t="n"/>
      <c r="H237" s="14" t="n"/>
      <c r="I237" s="14" t="n"/>
      <c r="J237" s="14" t="n"/>
      <c r="K237" s="14" t="n"/>
      <c r="L237" s="15">
        <f>IF($D237="","",IF(AND($J237="Received",$K237&lt;&gt;"Yes"),"Yes","No"))</f>
        <v/>
      </c>
      <c r="M237" s="14" t="n"/>
    </row>
    <row r="238">
      <c r="B238" s="15">
        <f>IF($D238="","","M"&amp;TEXT(ROW()-5,"000"))</f>
        <v/>
      </c>
      <c r="C238" s="16" t="n"/>
      <c r="D238" s="14" t="n"/>
      <c r="E238" s="15">
        <f>IF($D238="","",IFERROR(INDEX(rngCadetPIDs,MATCH($D238,rngCadetNames,0)),"?"))</f>
        <v/>
      </c>
      <c r="F238" s="14" t="n"/>
      <c r="G238" s="14" t="n"/>
      <c r="H238" s="14" t="n"/>
      <c r="I238" s="14" t="n"/>
      <c r="J238" s="14" t="n"/>
      <c r="K238" s="14" t="n"/>
      <c r="L238" s="15">
        <f>IF($D238="","",IF(AND($J238="Received",$K238&lt;&gt;"Yes"),"Yes","No"))</f>
        <v/>
      </c>
      <c r="M238" s="14" t="n"/>
    </row>
    <row r="239">
      <c r="B239" s="15">
        <f>IF($D239="","","M"&amp;TEXT(ROW()-5,"000"))</f>
        <v/>
      </c>
      <c r="C239" s="16" t="n"/>
      <c r="D239" s="14" t="n"/>
      <c r="E239" s="15">
        <f>IF($D239="","",IFERROR(INDEX(rngCadetPIDs,MATCH($D239,rngCadetNames,0)),"?"))</f>
        <v/>
      </c>
      <c r="F239" s="14" t="n"/>
      <c r="G239" s="14" t="n"/>
      <c r="H239" s="14" t="n"/>
      <c r="I239" s="14" t="n"/>
      <c r="J239" s="14" t="n"/>
      <c r="K239" s="14" t="n"/>
      <c r="L239" s="15">
        <f>IF($D239="","",IF(AND($J239="Received",$K239&lt;&gt;"Yes"),"Yes","No"))</f>
        <v/>
      </c>
      <c r="M239" s="14" t="n"/>
    </row>
    <row r="240">
      <c r="B240" s="15">
        <f>IF($D240="","","M"&amp;TEXT(ROW()-5,"000"))</f>
        <v/>
      </c>
      <c r="C240" s="16" t="n"/>
      <c r="D240" s="14" t="n"/>
      <c r="E240" s="15">
        <f>IF($D240="","",IFERROR(INDEX(rngCadetPIDs,MATCH($D240,rngCadetNames,0)),"?"))</f>
        <v/>
      </c>
      <c r="F240" s="14" t="n"/>
      <c r="G240" s="14" t="n"/>
      <c r="H240" s="14" t="n"/>
      <c r="I240" s="14" t="n"/>
      <c r="J240" s="14" t="n"/>
      <c r="K240" s="14" t="n"/>
      <c r="L240" s="15">
        <f>IF($D240="","",IF(AND($J240="Received",$K240&lt;&gt;"Yes"),"Yes","No"))</f>
        <v/>
      </c>
      <c r="M240" s="14" t="n"/>
    </row>
    <row r="241">
      <c r="B241" s="15">
        <f>IF($D241="","","M"&amp;TEXT(ROW()-5,"000"))</f>
        <v/>
      </c>
      <c r="C241" s="16" t="n"/>
      <c r="D241" s="14" t="n"/>
      <c r="E241" s="15">
        <f>IF($D241="","",IFERROR(INDEX(rngCadetPIDs,MATCH($D241,rngCadetNames,0)),"?"))</f>
        <v/>
      </c>
      <c r="F241" s="14" t="n"/>
      <c r="G241" s="14" t="n"/>
      <c r="H241" s="14" t="n"/>
      <c r="I241" s="14" t="n"/>
      <c r="J241" s="14" t="n"/>
      <c r="K241" s="14" t="n"/>
      <c r="L241" s="15">
        <f>IF($D241="","",IF(AND($J241="Received",$K241&lt;&gt;"Yes"),"Yes","No"))</f>
        <v/>
      </c>
      <c r="M241" s="14" t="n"/>
    </row>
    <row r="242">
      <c r="B242" s="15">
        <f>IF($D242="","","M"&amp;TEXT(ROW()-5,"000"))</f>
        <v/>
      </c>
      <c r="C242" s="16" t="n"/>
      <c r="D242" s="14" t="n"/>
      <c r="E242" s="15">
        <f>IF($D242="","",IFERROR(INDEX(rngCadetPIDs,MATCH($D242,rngCadetNames,0)),"?"))</f>
        <v/>
      </c>
      <c r="F242" s="14" t="n"/>
      <c r="G242" s="14" t="n"/>
      <c r="H242" s="14" t="n"/>
      <c r="I242" s="14" t="n"/>
      <c r="J242" s="14" t="n"/>
      <c r="K242" s="14" t="n"/>
      <c r="L242" s="15">
        <f>IF($D242="","",IF(AND($J242="Received",$K242&lt;&gt;"Yes"),"Yes","No"))</f>
        <v/>
      </c>
      <c r="M242" s="14" t="n"/>
    </row>
    <row r="243">
      <c r="B243" s="15">
        <f>IF($D243="","","M"&amp;TEXT(ROW()-5,"000"))</f>
        <v/>
      </c>
      <c r="C243" s="16" t="n"/>
      <c r="D243" s="14" t="n"/>
      <c r="E243" s="15">
        <f>IF($D243="","",IFERROR(INDEX(rngCadetPIDs,MATCH($D243,rngCadetNames,0)),"?"))</f>
        <v/>
      </c>
      <c r="F243" s="14" t="n"/>
      <c r="G243" s="14" t="n"/>
      <c r="H243" s="14" t="n"/>
      <c r="I243" s="14" t="n"/>
      <c r="J243" s="14" t="n"/>
      <c r="K243" s="14" t="n"/>
      <c r="L243" s="15">
        <f>IF($D243="","",IF(AND($J243="Received",$K243&lt;&gt;"Yes"),"Yes","No"))</f>
        <v/>
      </c>
      <c r="M243" s="14" t="n"/>
    </row>
    <row r="244">
      <c r="B244" s="15">
        <f>IF($D244="","","M"&amp;TEXT(ROW()-5,"000"))</f>
        <v/>
      </c>
      <c r="C244" s="16" t="n"/>
      <c r="D244" s="14" t="n"/>
      <c r="E244" s="15">
        <f>IF($D244="","",IFERROR(INDEX(rngCadetPIDs,MATCH($D244,rngCadetNames,0)),"?"))</f>
        <v/>
      </c>
      <c r="F244" s="14" t="n"/>
      <c r="G244" s="14" t="n"/>
      <c r="H244" s="14" t="n"/>
      <c r="I244" s="14" t="n"/>
      <c r="J244" s="14" t="n"/>
      <c r="K244" s="14" t="n"/>
      <c r="L244" s="15">
        <f>IF($D244="","",IF(AND($J244="Received",$K244&lt;&gt;"Yes"),"Yes","No"))</f>
        <v/>
      </c>
      <c r="M244" s="14" t="n"/>
    </row>
    <row r="245">
      <c r="B245" s="15">
        <f>IF($D245="","","M"&amp;TEXT(ROW()-5,"000"))</f>
        <v/>
      </c>
      <c r="C245" s="16" t="n"/>
      <c r="D245" s="14" t="n"/>
      <c r="E245" s="15">
        <f>IF($D245="","",IFERROR(INDEX(rngCadetPIDs,MATCH($D245,rngCadetNames,0)),"?"))</f>
        <v/>
      </c>
      <c r="F245" s="14" t="n"/>
      <c r="G245" s="14" t="n"/>
      <c r="H245" s="14" t="n"/>
      <c r="I245" s="14" t="n"/>
      <c r="J245" s="14" t="n"/>
      <c r="K245" s="14" t="n"/>
      <c r="L245" s="15">
        <f>IF($D245="","",IF(AND($J245="Received",$K245&lt;&gt;"Yes"),"Yes","No"))</f>
        <v/>
      </c>
      <c r="M245" s="14" t="n"/>
    </row>
    <row r="246">
      <c r="B246" s="15">
        <f>IF($D246="","","M"&amp;TEXT(ROW()-5,"000"))</f>
        <v/>
      </c>
      <c r="C246" s="16" t="n"/>
      <c r="D246" s="14" t="n"/>
      <c r="E246" s="15">
        <f>IF($D246="","",IFERROR(INDEX(rngCadetPIDs,MATCH($D246,rngCadetNames,0)),"?"))</f>
        <v/>
      </c>
      <c r="F246" s="14" t="n"/>
      <c r="G246" s="14" t="n"/>
      <c r="H246" s="14" t="n"/>
      <c r="I246" s="14" t="n"/>
      <c r="J246" s="14" t="n"/>
      <c r="K246" s="14" t="n"/>
      <c r="L246" s="15">
        <f>IF($D246="","",IF(AND($J246="Received",$K246&lt;&gt;"Yes"),"Yes","No"))</f>
        <v/>
      </c>
      <c r="M246" s="14" t="n"/>
    </row>
    <row r="247">
      <c r="B247" s="15">
        <f>IF($D247="","","M"&amp;TEXT(ROW()-5,"000"))</f>
        <v/>
      </c>
      <c r="C247" s="16" t="n"/>
      <c r="D247" s="14" t="n"/>
      <c r="E247" s="15">
        <f>IF($D247="","",IFERROR(INDEX(rngCadetPIDs,MATCH($D247,rngCadetNames,0)),"?"))</f>
        <v/>
      </c>
      <c r="F247" s="14" t="n"/>
      <c r="G247" s="14" t="n"/>
      <c r="H247" s="14" t="n"/>
      <c r="I247" s="14" t="n"/>
      <c r="J247" s="14" t="n"/>
      <c r="K247" s="14" t="n"/>
      <c r="L247" s="15">
        <f>IF($D247="","",IF(AND($J247="Received",$K247&lt;&gt;"Yes"),"Yes","No"))</f>
        <v/>
      </c>
      <c r="M247" s="14" t="n"/>
    </row>
    <row r="248">
      <c r="B248" s="15">
        <f>IF($D248="","","M"&amp;TEXT(ROW()-5,"000"))</f>
        <v/>
      </c>
      <c r="C248" s="16" t="n"/>
      <c r="D248" s="14" t="n"/>
      <c r="E248" s="15">
        <f>IF($D248="","",IFERROR(INDEX(rngCadetPIDs,MATCH($D248,rngCadetNames,0)),"?"))</f>
        <v/>
      </c>
      <c r="F248" s="14" t="n"/>
      <c r="G248" s="14" t="n"/>
      <c r="H248" s="14" t="n"/>
      <c r="I248" s="14" t="n"/>
      <c r="J248" s="14" t="n"/>
      <c r="K248" s="14" t="n"/>
      <c r="L248" s="15">
        <f>IF($D248="","",IF(AND($J248="Received",$K248&lt;&gt;"Yes"),"Yes","No"))</f>
        <v/>
      </c>
      <c r="M248" s="14" t="n"/>
    </row>
    <row r="249">
      <c r="B249" s="15">
        <f>IF($D249="","","M"&amp;TEXT(ROW()-5,"000"))</f>
        <v/>
      </c>
      <c r="C249" s="16" t="n"/>
      <c r="D249" s="14" t="n"/>
      <c r="E249" s="15">
        <f>IF($D249="","",IFERROR(INDEX(rngCadetPIDs,MATCH($D249,rngCadetNames,0)),"?"))</f>
        <v/>
      </c>
      <c r="F249" s="14" t="n"/>
      <c r="G249" s="14" t="n"/>
      <c r="H249" s="14" t="n"/>
      <c r="I249" s="14" t="n"/>
      <c r="J249" s="14" t="n"/>
      <c r="K249" s="14" t="n"/>
      <c r="L249" s="15">
        <f>IF($D249="","",IF(AND($J249="Received",$K249&lt;&gt;"Yes"),"Yes","No"))</f>
        <v/>
      </c>
      <c r="M249" s="14" t="n"/>
    </row>
    <row r="250">
      <c r="B250" s="15">
        <f>IF($D250="","","M"&amp;TEXT(ROW()-5,"000"))</f>
        <v/>
      </c>
      <c r="C250" s="16" t="n"/>
      <c r="D250" s="14" t="n"/>
      <c r="E250" s="15">
        <f>IF($D250="","",IFERROR(INDEX(rngCadetPIDs,MATCH($D250,rngCadetNames,0)),"?"))</f>
        <v/>
      </c>
      <c r="F250" s="14" t="n"/>
      <c r="G250" s="14" t="n"/>
      <c r="H250" s="14" t="n"/>
      <c r="I250" s="14" t="n"/>
      <c r="J250" s="14" t="n"/>
      <c r="K250" s="14" t="n"/>
      <c r="L250" s="15">
        <f>IF($D250="","",IF(AND($J250="Received",$K250&lt;&gt;"Yes"),"Yes","No"))</f>
        <v/>
      </c>
      <c r="M250" s="14" t="n"/>
    </row>
    <row r="251">
      <c r="B251" s="15">
        <f>IF($D251="","","M"&amp;TEXT(ROW()-5,"000"))</f>
        <v/>
      </c>
      <c r="C251" s="16" t="n"/>
      <c r="D251" s="14" t="n"/>
      <c r="E251" s="15">
        <f>IF($D251="","",IFERROR(INDEX(rngCadetPIDs,MATCH($D251,rngCadetNames,0)),"?"))</f>
        <v/>
      </c>
      <c r="F251" s="14" t="n"/>
      <c r="G251" s="14" t="n"/>
      <c r="H251" s="14" t="n"/>
      <c r="I251" s="14" t="n"/>
      <c r="J251" s="14" t="n"/>
      <c r="K251" s="14" t="n"/>
      <c r="L251" s="15">
        <f>IF($D251="","",IF(AND($J251="Received",$K251&lt;&gt;"Yes"),"Yes","No"))</f>
        <v/>
      </c>
      <c r="M251" s="14" t="n"/>
    </row>
    <row r="252">
      <c r="B252" s="15">
        <f>IF($D252="","","M"&amp;TEXT(ROW()-5,"000"))</f>
        <v/>
      </c>
      <c r="C252" s="16" t="n"/>
      <c r="D252" s="14" t="n"/>
      <c r="E252" s="15">
        <f>IF($D252="","",IFERROR(INDEX(rngCadetPIDs,MATCH($D252,rngCadetNames,0)),"?"))</f>
        <v/>
      </c>
      <c r="F252" s="14" t="n"/>
      <c r="G252" s="14" t="n"/>
      <c r="H252" s="14" t="n"/>
      <c r="I252" s="14" t="n"/>
      <c r="J252" s="14" t="n"/>
      <c r="K252" s="14" t="n"/>
      <c r="L252" s="15">
        <f>IF($D252="","",IF(AND($J252="Received",$K252&lt;&gt;"Yes"),"Yes","No"))</f>
        <v/>
      </c>
      <c r="M252" s="14" t="n"/>
    </row>
    <row r="253">
      <c r="B253" s="15">
        <f>IF($D253="","","M"&amp;TEXT(ROW()-5,"000"))</f>
        <v/>
      </c>
      <c r="C253" s="16" t="n"/>
      <c r="D253" s="14" t="n"/>
      <c r="E253" s="15">
        <f>IF($D253="","",IFERROR(INDEX(rngCadetPIDs,MATCH($D253,rngCadetNames,0)),"?"))</f>
        <v/>
      </c>
      <c r="F253" s="14" t="n"/>
      <c r="G253" s="14" t="n"/>
      <c r="H253" s="14" t="n"/>
      <c r="I253" s="14" t="n"/>
      <c r="J253" s="14" t="n"/>
      <c r="K253" s="14" t="n"/>
      <c r="L253" s="15">
        <f>IF($D253="","",IF(AND($J253="Received",$K253&lt;&gt;"Yes"),"Yes","No"))</f>
        <v/>
      </c>
      <c r="M253" s="14" t="n"/>
    </row>
    <row r="254">
      <c r="B254" s="15">
        <f>IF($D254="","","M"&amp;TEXT(ROW()-5,"000"))</f>
        <v/>
      </c>
      <c r="C254" s="16" t="n"/>
      <c r="D254" s="14" t="n"/>
      <c r="E254" s="15">
        <f>IF($D254="","",IFERROR(INDEX(rngCadetPIDs,MATCH($D254,rngCadetNames,0)),"?"))</f>
        <v/>
      </c>
      <c r="F254" s="14" t="n"/>
      <c r="G254" s="14" t="n"/>
      <c r="H254" s="14" t="n"/>
      <c r="I254" s="14" t="n"/>
      <c r="J254" s="14" t="n"/>
      <c r="K254" s="14" t="n"/>
      <c r="L254" s="15">
        <f>IF($D254="","",IF(AND($J254="Received",$K254&lt;&gt;"Yes"),"Yes","No"))</f>
        <v/>
      </c>
      <c r="M254" s="14" t="n"/>
    </row>
    <row r="255">
      <c r="B255" s="15">
        <f>IF($D255="","","M"&amp;TEXT(ROW()-5,"000"))</f>
        <v/>
      </c>
      <c r="C255" s="16" t="n"/>
      <c r="D255" s="14" t="n"/>
      <c r="E255" s="15">
        <f>IF($D255="","",IFERROR(INDEX(rngCadetPIDs,MATCH($D255,rngCadetNames,0)),"?"))</f>
        <v/>
      </c>
      <c r="F255" s="14" t="n"/>
      <c r="G255" s="14" t="n"/>
      <c r="H255" s="14" t="n"/>
      <c r="I255" s="14" t="n"/>
      <c r="J255" s="14" t="n"/>
      <c r="K255" s="14" t="n"/>
      <c r="L255" s="15">
        <f>IF($D255="","",IF(AND($J255="Received",$K255&lt;&gt;"Yes"),"Yes","No"))</f>
        <v/>
      </c>
      <c r="M255" s="14" t="n"/>
    </row>
    <row r="256">
      <c r="B256" s="15">
        <f>IF($D256="","","M"&amp;TEXT(ROW()-5,"000"))</f>
        <v/>
      </c>
      <c r="C256" s="16" t="n"/>
      <c r="D256" s="14" t="n"/>
      <c r="E256" s="15">
        <f>IF($D256="","",IFERROR(INDEX(rngCadetPIDs,MATCH($D256,rngCadetNames,0)),"?"))</f>
        <v/>
      </c>
      <c r="F256" s="14" t="n"/>
      <c r="G256" s="14" t="n"/>
      <c r="H256" s="14" t="n"/>
      <c r="I256" s="14" t="n"/>
      <c r="J256" s="14" t="n"/>
      <c r="K256" s="14" t="n"/>
      <c r="L256" s="15">
        <f>IF($D256="","",IF(AND($J256="Received",$K256&lt;&gt;"Yes"),"Yes","No"))</f>
        <v/>
      </c>
      <c r="M256" s="14" t="n"/>
    </row>
    <row r="257">
      <c r="B257" s="15">
        <f>IF($D257="","","M"&amp;TEXT(ROW()-5,"000"))</f>
        <v/>
      </c>
      <c r="C257" s="16" t="n"/>
      <c r="D257" s="14" t="n"/>
      <c r="E257" s="15">
        <f>IF($D257="","",IFERROR(INDEX(rngCadetPIDs,MATCH($D257,rngCadetNames,0)),"?"))</f>
        <v/>
      </c>
      <c r="F257" s="14" t="n"/>
      <c r="G257" s="14" t="n"/>
      <c r="H257" s="14" t="n"/>
      <c r="I257" s="14" t="n"/>
      <c r="J257" s="14" t="n"/>
      <c r="K257" s="14" t="n"/>
      <c r="L257" s="15">
        <f>IF($D257="","",IF(AND($J257="Received",$K257&lt;&gt;"Yes"),"Yes","No"))</f>
        <v/>
      </c>
      <c r="M257" s="14" t="n"/>
    </row>
    <row r="258">
      <c r="B258" s="15">
        <f>IF($D258="","","M"&amp;TEXT(ROW()-5,"000"))</f>
        <v/>
      </c>
      <c r="C258" s="16" t="n"/>
      <c r="D258" s="14" t="n"/>
      <c r="E258" s="15">
        <f>IF($D258="","",IFERROR(INDEX(rngCadetPIDs,MATCH($D258,rngCadetNames,0)),"?"))</f>
        <v/>
      </c>
      <c r="F258" s="14" t="n"/>
      <c r="G258" s="14" t="n"/>
      <c r="H258" s="14" t="n"/>
      <c r="I258" s="14" t="n"/>
      <c r="J258" s="14" t="n"/>
      <c r="K258" s="14" t="n"/>
      <c r="L258" s="15">
        <f>IF($D258="","",IF(AND($J258="Received",$K258&lt;&gt;"Yes"),"Yes","No"))</f>
        <v/>
      </c>
      <c r="M258" s="14" t="n"/>
    </row>
    <row r="259">
      <c r="B259" s="15">
        <f>IF($D259="","","M"&amp;TEXT(ROW()-5,"000"))</f>
        <v/>
      </c>
      <c r="C259" s="16" t="n"/>
      <c r="D259" s="14" t="n"/>
      <c r="E259" s="15">
        <f>IF($D259="","",IFERROR(INDEX(rngCadetPIDs,MATCH($D259,rngCadetNames,0)),"?"))</f>
        <v/>
      </c>
      <c r="F259" s="14" t="n"/>
      <c r="G259" s="14" t="n"/>
      <c r="H259" s="14" t="n"/>
      <c r="I259" s="14" t="n"/>
      <c r="J259" s="14" t="n"/>
      <c r="K259" s="14" t="n"/>
      <c r="L259" s="15">
        <f>IF($D259="","",IF(AND($J259="Received",$K259&lt;&gt;"Yes"),"Yes","No"))</f>
        <v/>
      </c>
      <c r="M259" s="14" t="n"/>
    </row>
    <row r="260">
      <c r="B260" s="15">
        <f>IF($D260="","","M"&amp;TEXT(ROW()-5,"000"))</f>
        <v/>
      </c>
      <c r="C260" s="16" t="n"/>
      <c r="D260" s="14" t="n"/>
      <c r="E260" s="15">
        <f>IF($D260="","",IFERROR(INDEX(rngCadetPIDs,MATCH($D260,rngCadetNames,0)),"?"))</f>
        <v/>
      </c>
      <c r="F260" s="14" t="n"/>
      <c r="G260" s="14" t="n"/>
      <c r="H260" s="14" t="n"/>
      <c r="I260" s="14" t="n"/>
      <c r="J260" s="14" t="n"/>
      <c r="K260" s="14" t="n"/>
      <c r="L260" s="15">
        <f>IF($D260="","",IF(AND($J260="Received",$K260&lt;&gt;"Yes"),"Yes","No"))</f>
        <v/>
      </c>
      <c r="M260" s="14" t="n"/>
    </row>
    <row r="261">
      <c r="B261" s="15">
        <f>IF($D261="","","M"&amp;TEXT(ROW()-5,"000"))</f>
        <v/>
      </c>
      <c r="C261" s="16" t="n"/>
      <c r="D261" s="14" t="n"/>
      <c r="E261" s="15">
        <f>IF($D261="","",IFERROR(INDEX(rngCadetPIDs,MATCH($D261,rngCadetNames,0)),"?"))</f>
        <v/>
      </c>
      <c r="F261" s="14" t="n"/>
      <c r="G261" s="14" t="n"/>
      <c r="H261" s="14" t="n"/>
      <c r="I261" s="14" t="n"/>
      <c r="J261" s="14" t="n"/>
      <c r="K261" s="14" t="n"/>
      <c r="L261" s="15">
        <f>IF($D261="","",IF(AND($J261="Received",$K261&lt;&gt;"Yes"),"Yes","No"))</f>
        <v/>
      </c>
      <c r="M261" s="14" t="n"/>
    </row>
    <row r="262">
      <c r="B262" s="15">
        <f>IF($D262="","","M"&amp;TEXT(ROW()-5,"000"))</f>
        <v/>
      </c>
      <c r="C262" s="16" t="n"/>
      <c r="D262" s="14" t="n"/>
      <c r="E262" s="15">
        <f>IF($D262="","",IFERROR(INDEX(rngCadetPIDs,MATCH($D262,rngCadetNames,0)),"?"))</f>
        <v/>
      </c>
      <c r="F262" s="14" t="n"/>
      <c r="G262" s="14" t="n"/>
      <c r="H262" s="14" t="n"/>
      <c r="I262" s="14" t="n"/>
      <c r="J262" s="14" t="n"/>
      <c r="K262" s="14" t="n"/>
      <c r="L262" s="15">
        <f>IF($D262="","",IF(AND($J262="Received",$K262&lt;&gt;"Yes"),"Yes","No"))</f>
        <v/>
      </c>
      <c r="M262" s="14" t="n"/>
    </row>
    <row r="263">
      <c r="B263" s="15">
        <f>IF($D263="","","M"&amp;TEXT(ROW()-5,"000"))</f>
        <v/>
      </c>
      <c r="C263" s="16" t="n"/>
      <c r="D263" s="14" t="n"/>
      <c r="E263" s="15">
        <f>IF($D263="","",IFERROR(INDEX(rngCadetPIDs,MATCH($D263,rngCadetNames,0)),"?"))</f>
        <v/>
      </c>
      <c r="F263" s="14" t="n"/>
      <c r="G263" s="14" t="n"/>
      <c r="H263" s="14" t="n"/>
      <c r="I263" s="14" t="n"/>
      <c r="J263" s="14" t="n"/>
      <c r="K263" s="14" t="n"/>
      <c r="L263" s="15">
        <f>IF($D263="","",IF(AND($J263="Received",$K263&lt;&gt;"Yes"),"Yes","No"))</f>
        <v/>
      </c>
      <c r="M263" s="14" t="n"/>
    </row>
    <row r="264">
      <c r="B264" s="15">
        <f>IF($D264="","","M"&amp;TEXT(ROW()-5,"000"))</f>
        <v/>
      </c>
      <c r="C264" s="16" t="n"/>
      <c r="D264" s="14" t="n"/>
      <c r="E264" s="15">
        <f>IF($D264="","",IFERROR(INDEX(rngCadetPIDs,MATCH($D264,rngCadetNames,0)),"?"))</f>
        <v/>
      </c>
      <c r="F264" s="14" t="n"/>
      <c r="G264" s="14" t="n"/>
      <c r="H264" s="14" t="n"/>
      <c r="I264" s="14" t="n"/>
      <c r="J264" s="14" t="n"/>
      <c r="K264" s="14" t="n"/>
      <c r="L264" s="15">
        <f>IF($D264="","",IF(AND($J264="Received",$K264&lt;&gt;"Yes"),"Yes","No"))</f>
        <v/>
      </c>
      <c r="M264" s="14" t="n"/>
    </row>
    <row r="265">
      <c r="B265" s="15">
        <f>IF($D265="","","M"&amp;TEXT(ROW()-5,"000"))</f>
        <v/>
      </c>
      <c r="C265" s="16" t="n"/>
      <c r="D265" s="14" t="n"/>
      <c r="E265" s="15">
        <f>IF($D265="","",IFERROR(INDEX(rngCadetPIDs,MATCH($D265,rngCadetNames,0)),"?"))</f>
        <v/>
      </c>
      <c r="F265" s="14" t="n"/>
      <c r="G265" s="14" t="n"/>
      <c r="H265" s="14" t="n"/>
      <c r="I265" s="14" t="n"/>
      <c r="J265" s="14" t="n"/>
      <c r="K265" s="14" t="n"/>
      <c r="L265" s="15">
        <f>IF($D265="","",IF(AND($J265="Received",$K265&lt;&gt;"Yes"),"Yes","No"))</f>
        <v/>
      </c>
      <c r="M265" s="14" t="n"/>
    </row>
    <row r="266">
      <c r="B266" s="15">
        <f>IF($D266="","","M"&amp;TEXT(ROW()-5,"000"))</f>
        <v/>
      </c>
      <c r="C266" s="16" t="n"/>
      <c r="D266" s="14" t="n"/>
      <c r="E266" s="15">
        <f>IF($D266="","",IFERROR(INDEX(rngCadetPIDs,MATCH($D266,rngCadetNames,0)),"?"))</f>
        <v/>
      </c>
      <c r="F266" s="14" t="n"/>
      <c r="G266" s="14" t="n"/>
      <c r="H266" s="14" t="n"/>
      <c r="I266" s="14" t="n"/>
      <c r="J266" s="14" t="n"/>
      <c r="K266" s="14" t="n"/>
      <c r="L266" s="15">
        <f>IF($D266="","",IF(AND($J266="Received",$K266&lt;&gt;"Yes"),"Yes","No"))</f>
        <v/>
      </c>
      <c r="M266" s="14" t="n"/>
    </row>
    <row r="267">
      <c r="B267" s="15">
        <f>IF($D267="","","M"&amp;TEXT(ROW()-5,"000"))</f>
        <v/>
      </c>
      <c r="C267" s="16" t="n"/>
      <c r="D267" s="14" t="n"/>
      <c r="E267" s="15">
        <f>IF($D267="","",IFERROR(INDEX(rngCadetPIDs,MATCH($D267,rngCadetNames,0)),"?"))</f>
        <v/>
      </c>
      <c r="F267" s="14" t="n"/>
      <c r="G267" s="14" t="n"/>
      <c r="H267" s="14" t="n"/>
      <c r="I267" s="14" t="n"/>
      <c r="J267" s="14" t="n"/>
      <c r="K267" s="14" t="n"/>
      <c r="L267" s="15">
        <f>IF($D267="","",IF(AND($J267="Received",$K267&lt;&gt;"Yes"),"Yes","No"))</f>
        <v/>
      </c>
      <c r="M267" s="14" t="n"/>
    </row>
    <row r="268">
      <c r="B268" s="15">
        <f>IF($D268="","","M"&amp;TEXT(ROW()-5,"000"))</f>
        <v/>
      </c>
      <c r="C268" s="16" t="n"/>
      <c r="D268" s="14" t="n"/>
      <c r="E268" s="15">
        <f>IF($D268="","",IFERROR(INDEX(rngCadetPIDs,MATCH($D268,rngCadetNames,0)),"?"))</f>
        <v/>
      </c>
      <c r="F268" s="14" t="n"/>
      <c r="G268" s="14" t="n"/>
      <c r="H268" s="14" t="n"/>
      <c r="I268" s="14" t="n"/>
      <c r="J268" s="14" t="n"/>
      <c r="K268" s="14" t="n"/>
      <c r="L268" s="15">
        <f>IF($D268="","",IF(AND($J268="Received",$K268&lt;&gt;"Yes"),"Yes","No"))</f>
        <v/>
      </c>
      <c r="M268" s="14" t="n"/>
    </row>
    <row r="269">
      <c r="B269" s="15">
        <f>IF($D269="","","M"&amp;TEXT(ROW()-5,"000"))</f>
        <v/>
      </c>
      <c r="C269" s="16" t="n"/>
      <c r="D269" s="14" t="n"/>
      <c r="E269" s="15">
        <f>IF($D269="","",IFERROR(INDEX(rngCadetPIDs,MATCH($D269,rngCadetNames,0)),"?"))</f>
        <v/>
      </c>
      <c r="F269" s="14" t="n"/>
      <c r="G269" s="14" t="n"/>
      <c r="H269" s="14" t="n"/>
      <c r="I269" s="14" t="n"/>
      <c r="J269" s="14" t="n"/>
      <c r="K269" s="14" t="n"/>
      <c r="L269" s="15">
        <f>IF($D269="","",IF(AND($J269="Received",$K269&lt;&gt;"Yes"),"Yes","No"))</f>
        <v/>
      </c>
      <c r="M269" s="14" t="n"/>
    </row>
    <row r="270">
      <c r="B270" s="15">
        <f>IF($D270="","","M"&amp;TEXT(ROW()-5,"000"))</f>
        <v/>
      </c>
      <c r="C270" s="16" t="n"/>
      <c r="D270" s="14" t="n"/>
      <c r="E270" s="15">
        <f>IF($D270="","",IFERROR(INDEX(rngCadetPIDs,MATCH($D270,rngCadetNames,0)),"?"))</f>
        <v/>
      </c>
      <c r="F270" s="14" t="n"/>
      <c r="G270" s="14" t="n"/>
      <c r="H270" s="14" t="n"/>
      <c r="I270" s="14" t="n"/>
      <c r="J270" s="14" t="n"/>
      <c r="K270" s="14" t="n"/>
      <c r="L270" s="15">
        <f>IF($D270="","",IF(AND($J270="Received",$K270&lt;&gt;"Yes"),"Yes","No"))</f>
        <v/>
      </c>
      <c r="M270" s="14" t="n"/>
    </row>
    <row r="271">
      <c r="B271" s="15">
        <f>IF($D271="","","M"&amp;TEXT(ROW()-5,"000"))</f>
        <v/>
      </c>
      <c r="C271" s="16" t="n"/>
      <c r="D271" s="14" t="n"/>
      <c r="E271" s="15">
        <f>IF($D271="","",IFERROR(INDEX(rngCadetPIDs,MATCH($D271,rngCadetNames,0)),"?"))</f>
        <v/>
      </c>
      <c r="F271" s="14" t="n"/>
      <c r="G271" s="14" t="n"/>
      <c r="H271" s="14" t="n"/>
      <c r="I271" s="14" t="n"/>
      <c r="J271" s="14" t="n"/>
      <c r="K271" s="14" t="n"/>
      <c r="L271" s="15">
        <f>IF($D271="","",IF(AND($J271="Received",$K271&lt;&gt;"Yes"),"Yes","No"))</f>
        <v/>
      </c>
      <c r="M271" s="14" t="n"/>
    </row>
    <row r="272">
      <c r="B272" s="15">
        <f>IF($D272="","","M"&amp;TEXT(ROW()-5,"000"))</f>
        <v/>
      </c>
      <c r="C272" s="16" t="n"/>
      <c r="D272" s="14" t="n"/>
      <c r="E272" s="15">
        <f>IF($D272="","",IFERROR(INDEX(rngCadetPIDs,MATCH($D272,rngCadetNames,0)),"?"))</f>
        <v/>
      </c>
      <c r="F272" s="14" t="n"/>
      <c r="G272" s="14" t="n"/>
      <c r="H272" s="14" t="n"/>
      <c r="I272" s="14" t="n"/>
      <c r="J272" s="14" t="n"/>
      <c r="K272" s="14" t="n"/>
      <c r="L272" s="15">
        <f>IF($D272="","",IF(AND($J272="Received",$K272&lt;&gt;"Yes"),"Yes","No"))</f>
        <v/>
      </c>
      <c r="M272" s="14" t="n"/>
    </row>
    <row r="273">
      <c r="B273" s="15">
        <f>IF($D273="","","M"&amp;TEXT(ROW()-5,"000"))</f>
        <v/>
      </c>
      <c r="C273" s="16" t="n"/>
      <c r="D273" s="14" t="n"/>
      <c r="E273" s="15">
        <f>IF($D273="","",IFERROR(INDEX(rngCadetPIDs,MATCH($D273,rngCadetNames,0)),"?"))</f>
        <v/>
      </c>
      <c r="F273" s="14" t="n"/>
      <c r="G273" s="14" t="n"/>
      <c r="H273" s="14" t="n"/>
      <c r="I273" s="14" t="n"/>
      <c r="J273" s="14" t="n"/>
      <c r="K273" s="14" t="n"/>
      <c r="L273" s="15">
        <f>IF($D273="","",IF(AND($J273="Received",$K273&lt;&gt;"Yes"),"Yes","No"))</f>
        <v/>
      </c>
      <c r="M273" s="14" t="n"/>
    </row>
    <row r="274">
      <c r="B274" s="15">
        <f>IF($D274="","","M"&amp;TEXT(ROW()-5,"000"))</f>
        <v/>
      </c>
      <c r="C274" s="16" t="n"/>
      <c r="D274" s="14" t="n"/>
      <c r="E274" s="15">
        <f>IF($D274="","",IFERROR(INDEX(rngCadetPIDs,MATCH($D274,rngCadetNames,0)),"?"))</f>
        <v/>
      </c>
      <c r="F274" s="14" t="n"/>
      <c r="G274" s="14" t="n"/>
      <c r="H274" s="14" t="n"/>
      <c r="I274" s="14" t="n"/>
      <c r="J274" s="14" t="n"/>
      <c r="K274" s="14" t="n"/>
      <c r="L274" s="15">
        <f>IF($D274="","",IF(AND($J274="Received",$K274&lt;&gt;"Yes"),"Yes","No"))</f>
        <v/>
      </c>
      <c r="M274" s="14" t="n"/>
    </row>
    <row r="275">
      <c r="B275" s="15">
        <f>IF($D275="","","M"&amp;TEXT(ROW()-5,"000"))</f>
        <v/>
      </c>
      <c r="C275" s="16" t="n"/>
      <c r="D275" s="14" t="n"/>
      <c r="E275" s="15">
        <f>IF($D275="","",IFERROR(INDEX(rngCadetPIDs,MATCH($D275,rngCadetNames,0)),"?"))</f>
        <v/>
      </c>
      <c r="F275" s="14" t="n"/>
      <c r="G275" s="14" t="n"/>
      <c r="H275" s="14" t="n"/>
      <c r="I275" s="14" t="n"/>
      <c r="J275" s="14" t="n"/>
      <c r="K275" s="14" t="n"/>
      <c r="L275" s="15">
        <f>IF($D275="","",IF(AND($J275="Received",$K275&lt;&gt;"Yes"),"Yes","No"))</f>
        <v/>
      </c>
      <c r="M275" s="14" t="n"/>
    </row>
    <row r="276">
      <c r="B276" s="15">
        <f>IF($D276="","","M"&amp;TEXT(ROW()-5,"000"))</f>
        <v/>
      </c>
      <c r="C276" s="16" t="n"/>
      <c r="D276" s="14" t="n"/>
      <c r="E276" s="15">
        <f>IF($D276="","",IFERROR(INDEX(rngCadetPIDs,MATCH($D276,rngCadetNames,0)),"?"))</f>
        <v/>
      </c>
      <c r="F276" s="14" t="n"/>
      <c r="G276" s="14" t="n"/>
      <c r="H276" s="14" t="n"/>
      <c r="I276" s="14" t="n"/>
      <c r="J276" s="14" t="n"/>
      <c r="K276" s="14" t="n"/>
      <c r="L276" s="15">
        <f>IF($D276="","",IF(AND($J276="Received",$K276&lt;&gt;"Yes"),"Yes","No"))</f>
        <v/>
      </c>
      <c r="M276" s="14" t="n"/>
    </row>
    <row r="277">
      <c r="B277" s="15">
        <f>IF($D277="","","M"&amp;TEXT(ROW()-5,"000"))</f>
        <v/>
      </c>
      <c r="C277" s="16" t="n"/>
      <c r="D277" s="14" t="n"/>
      <c r="E277" s="15">
        <f>IF($D277="","",IFERROR(INDEX(rngCadetPIDs,MATCH($D277,rngCadetNames,0)),"?"))</f>
        <v/>
      </c>
      <c r="F277" s="14" t="n"/>
      <c r="G277" s="14" t="n"/>
      <c r="H277" s="14" t="n"/>
      <c r="I277" s="14" t="n"/>
      <c r="J277" s="14" t="n"/>
      <c r="K277" s="14" t="n"/>
      <c r="L277" s="15">
        <f>IF($D277="","",IF(AND($J277="Received",$K277&lt;&gt;"Yes"),"Yes","No"))</f>
        <v/>
      </c>
      <c r="M277" s="14" t="n"/>
    </row>
    <row r="278">
      <c r="B278" s="15">
        <f>IF($D278="","","M"&amp;TEXT(ROW()-5,"000"))</f>
        <v/>
      </c>
      <c r="C278" s="16" t="n"/>
      <c r="D278" s="14" t="n"/>
      <c r="E278" s="15">
        <f>IF($D278="","",IFERROR(INDEX(rngCadetPIDs,MATCH($D278,rngCadetNames,0)),"?"))</f>
        <v/>
      </c>
      <c r="F278" s="14" t="n"/>
      <c r="G278" s="14" t="n"/>
      <c r="H278" s="14" t="n"/>
      <c r="I278" s="14" t="n"/>
      <c r="J278" s="14" t="n"/>
      <c r="K278" s="14" t="n"/>
      <c r="L278" s="15">
        <f>IF($D278="","",IF(AND($J278="Received",$K278&lt;&gt;"Yes"),"Yes","No"))</f>
        <v/>
      </c>
      <c r="M278" s="14" t="n"/>
    </row>
    <row r="279">
      <c r="B279" s="15">
        <f>IF($D279="","","M"&amp;TEXT(ROW()-5,"000"))</f>
        <v/>
      </c>
      <c r="C279" s="16" t="n"/>
      <c r="D279" s="14" t="n"/>
      <c r="E279" s="15">
        <f>IF($D279="","",IFERROR(INDEX(rngCadetPIDs,MATCH($D279,rngCadetNames,0)),"?"))</f>
        <v/>
      </c>
      <c r="F279" s="14" t="n"/>
      <c r="G279" s="14" t="n"/>
      <c r="H279" s="14" t="n"/>
      <c r="I279" s="14" t="n"/>
      <c r="J279" s="14" t="n"/>
      <c r="K279" s="14" t="n"/>
      <c r="L279" s="15">
        <f>IF($D279="","",IF(AND($J279="Received",$K279&lt;&gt;"Yes"),"Yes","No"))</f>
        <v/>
      </c>
      <c r="M279" s="14" t="n"/>
    </row>
    <row r="280">
      <c r="B280" s="15">
        <f>IF($D280="","","M"&amp;TEXT(ROW()-5,"000"))</f>
        <v/>
      </c>
      <c r="C280" s="16" t="n"/>
      <c r="D280" s="14" t="n"/>
      <c r="E280" s="15">
        <f>IF($D280="","",IFERROR(INDEX(rngCadetPIDs,MATCH($D280,rngCadetNames,0)),"?"))</f>
        <v/>
      </c>
      <c r="F280" s="14" t="n"/>
      <c r="G280" s="14" t="n"/>
      <c r="H280" s="14" t="n"/>
      <c r="I280" s="14" t="n"/>
      <c r="J280" s="14" t="n"/>
      <c r="K280" s="14" t="n"/>
      <c r="L280" s="15">
        <f>IF($D280="","",IF(AND($J280="Received",$K280&lt;&gt;"Yes"),"Yes","No"))</f>
        <v/>
      </c>
      <c r="M280" s="14" t="n"/>
    </row>
    <row r="281">
      <c r="B281" s="15">
        <f>IF($D281="","","M"&amp;TEXT(ROW()-5,"000"))</f>
        <v/>
      </c>
      <c r="C281" s="16" t="n"/>
      <c r="D281" s="14" t="n"/>
      <c r="E281" s="15">
        <f>IF($D281="","",IFERROR(INDEX(rngCadetPIDs,MATCH($D281,rngCadetNames,0)),"?"))</f>
        <v/>
      </c>
      <c r="F281" s="14" t="n"/>
      <c r="G281" s="14" t="n"/>
      <c r="H281" s="14" t="n"/>
      <c r="I281" s="14" t="n"/>
      <c r="J281" s="14" t="n"/>
      <c r="K281" s="14" t="n"/>
      <c r="L281" s="15">
        <f>IF($D281="","",IF(AND($J281="Received",$K281&lt;&gt;"Yes"),"Yes","No"))</f>
        <v/>
      </c>
      <c r="M281" s="14" t="n"/>
    </row>
    <row r="282">
      <c r="B282" s="15">
        <f>IF($D282="","","M"&amp;TEXT(ROW()-5,"000"))</f>
        <v/>
      </c>
      <c r="C282" s="16" t="n"/>
      <c r="D282" s="14" t="n"/>
      <c r="E282" s="15">
        <f>IF($D282="","",IFERROR(INDEX(rngCadetPIDs,MATCH($D282,rngCadetNames,0)),"?"))</f>
        <v/>
      </c>
      <c r="F282" s="14" t="n"/>
      <c r="G282" s="14" t="n"/>
      <c r="H282" s="14" t="n"/>
      <c r="I282" s="14" t="n"/>
      <c r="J282" s="14" t="n"/>
      <c r="K282" s="14" t="n"/>
      <c r="L282" s="15">
        <f>IF($D282="","",IF(AND($J282="Received",$K282&lt;&gt;"Yes"),"Yes","No"))</f>
        <v/>
      </c>
      <c r="M282" s="14" t="n"/>
    </row>
    <row r="283">
      <c r="B283" s="15">
        <f>IF($D283="","","M"&amp;TEXT(ROW()-5,"000"))</f>
        <v/>
      </c>
      <c r="C283" s="16" t="n"/>
      <c r="D283" s="14" t="n"/>
      <c r="E283" s="15">
        <f>IF($D283="","",IFERROR(INDEX(rngCadetPIDs,MATCH($D283,rngCadetNames,0)),"?"))</f>
        <v/>
      </c>
      <c r="F283" s="14" t="n"/>
      <c r="G283" s="14" t="n"/>
      <c r="H283" s="14" t="n"/>
      <c r="I283" s="14" t="n"/>
      <c r="J283" s="14" t="n"/>
      <c r="K283" s="14" t="n"/>
      <c r="L283" s="15">
        <f>IF($D283="","",IF(AND($J283="Received",$K283&lt;&gt;"Yes"),"Yes","No"))</f>
        <v/>
      </c>
      <c r="M283" s="14" t="n"/>
    </row>
    <row r="284">
      <c r="B284" s="15">
        <f>IF($D284="","","M"&amp;TEXT(ROW()-5,"000"))</f>
        <v/>
      </c>
      <c r="C284" s="16" t="n"/>
      <c r="D284" s="14" t="n"/>
      <c r="E284" s="15">
        <f>IF($D284="","",IFERROR(INDEX(rngCadetPIDs,MATCH($D284,rngCadetNames,0)),"?"))</f>
        <v/>
      </c>
      <c r="F284" s="14" t="n"/>
      <c r="G284" s="14" t="n"/>
      <c r="H284" s="14" t="n"/>
      <c r="I284" s="14" t="n"/>
      <c r="J284" s="14" t="n"/>
      <c r="K284" s="14" t="n"/>
      <c r="L284" s="15">
        <f>IF($D284="","",IF(AND($J284="Received",$K284&lt;&gt;"Yes"),"Yes","No"))</f>
        <v/>
      </c>
      <c r="M284" s="14" t="n"/>
    </row>
    <row r="285">
      <c r="B285" s="15">
        <f>IF($D285="","","M"&amp;TEXT(ROW()-5,"000"))</f>
        <v/>
      </c>
      <c r="C285" s="16" t="n"/>
      <c r="D285" s="14" t="n"/>
      <c r="E285" s="15">
        <f>IF($D285="","",IFERROR(INDEX(rngCadetPIDs,MATCH($D285,rngCadetNames,0)),"?"))</f>
        <v/>
      </c>
      <c r="F285" s="14" t="n"/>
      <c r="G285" s="14" t="n"/>
      <c r="H285" s="14" t="n"/>
      <c r="I285" s="14" t="n"/>
      <c r="J285" s="14" t="n"/>
      <c r="K285" s="14" t="n"/>
      <c r="L285" s="15">
        <f>IF($D285="","",IF(AND($J285="Received",$K285&lt;&gt;"Yes"),"Yes","No"))</f>
        <v/>
      </c>
      <c r="M285" s="14" t="n"/>
    </row>
    <row r="286">
      <c r="B286" s="15">
        <f>IF($D286="","","M"&amp;TEXT(ROW()-5,"000"))</f>
        <v/>
      </c>
      <c r="C286" s="16" t="n"/>
      <c r="D286" s="14" t="n"/>
      <c r="E286" s="15">
        <f>IF($D286="","",IFERROR(INDEX(rngCadetPIDs,MATCH($D286,rngCadetNames,0)),"?"))</f>
        <v/>
      </c>
      <c r="F286" s="14" t="n"/>
      <c r="G286" s="14" t="n"/>
      <c r="H286" s="14" t="n"/>
      <c r="I286" s="14" t="n"/>
      <c r="J286" s="14" t="n"/>
      <c r="K286" s="14" t="n"/>
      <c r="L286" s="15">
        <f>IF($D286="","",IF(AND($J286="Received",$K286&lt;&gt;"Yes"),"Yes","No"))</f>
        <v/>
      </c>
      <c r="M286" s="14" t="n"/>
    </row>
    <row r="287">
      <c r="B287" s="15">
        <f>IF($D287="","","M"&amp;TEXT(ROW()-5,"000"))</f>
        <v/>
      </c>
      <c r="C287" s="16" t="n"/>
      <c r="D287" s="14" t="n"/>
      <c r="E287" s="15">
        <f>IF($D287="","",IFERROR(INDEX(rngCadetPIDs,MATCH($D287,rngCadetNames,0)),"?"))</f>
        <v/>
      </c>
      <c r="F287" s="14" t="n"/>
      <c r="G287" s="14" t="n"/>
      <c r="H287" s="14" t="n"/>
      <c r="I287" s="14" t="n"/>
      <c r="J287" s="14" t="n"/>
      <c r="K287" s="14" t="n"/>
      <c r="L287" s="15">
        <f>IF($D287="","",IF(AND($J287="Received",$K287&lt;&gt;"Yes"),"Yes","No"))</f>
        <v/>
      </c>
      <c r="M287" s="14" t="n"/>
    </row>
    <row r="288">
      <c r="B288" s="15">
        <f>IF($D288="","","M"&amp;TEXT(ROW()-5,"000"))</f>
        <v/>
      </c>
      <c r="C288" s="16" t="n"/>
      <c r="D288" s="14" t="n"/>
      <c r="E288" s="15">
        <f>IF($D288="","",IFERROR(INDEX(rngCadetPIDs,MATCH($D288,rngCadetNames,0)),"?"))</f>
        <v/>
      </c>
      <c r="F288" s="14" t="n"/>
      <c r="G288" s="14" t="n"/>
      <c r="H288" s="14" t="n"/>
      <c r="I288" s="14" t="n"/>
      <c r="J288" s="14" t="n"/>
      <c r="K288" s="14" t="n"/>
      <c r="L288" s="15">
        <f>IF($D288="","",IF(AND($J288="Received",$K288&lt;&gt;"Yes"),"Yes","No"))</f>
        <v/>
      </c>
      <c r="M288" s="14" t="n"/>
    </row>
    <row r="289">
      <c r="B289" s="15">
        <f>IF($D289="","","M"&amp;TEXT(ROW()-5,"000"))</f>
        <v/>
      </c>
      <c r="C289" s="16" t="n"/>
      <c r="D289" s="14" t="n"/>
      <c r="E289" s="15">
        <f>IF($D289="","",IFERROR(INDEX(rngCadetPIDs,MATCH($D289,rngCadetNames,0)),"?"))</f>
        <v/>
      </c>
      <c r="F289" s="14" t="n"/>
      <c r="G289" s="14" t="n"/>
      <c r="H289" s="14" t="n"/>
      <c r="I289" s="14" t="n"/>
      <c r="J289" s="14" t="n"/>
      <c r="K289" s="14" t="n"/>
      <c r="L289" s="15">
        <f>IF($D289="","",IF(AND($J289="Received",$K289&lt;&gt;"Yes"),"Yes","No"))</f>
        <v/>
      </c>
      <c r="M289" s="14" t="n"/>
    </row>
    <row r="290">
      <c r="B290" s="15">
        <f>IF($D290="","","M"&amp;TEXT(ROW()-5,"000"))</f>
        <v/>
      </c>
      <c r="C290" s="16" t="n"/>
      <c r="D290" s="14" t="n"/>
      <c r="E290" s="15">
        <f>IF($D290="","",IFERROR(INDEX(rngCadetPIDs,MATCH($D290,rngCadetNames,0)),"?"))</f>
        <v/>
      </c>
      <c r="F290" s="14" t="n"/>
      <c r="G290" s="14" t="n"/>
      <c r="H290" s="14" t="n"/>
      <c r="I290" s="14" t="n"/>
      <c r="J290" s="14" t="n"/>
      <c r="K290" s="14" t="n"/>
      <c r="L290" s="15">
        <f>IF($D290="","",IF(AND($J290="Received",$K290&lt;&gt;"Yes"),"Yes","No"))</f>
        <v/>
      </c>
      <c r="M290" s="14" t="n"/>
    </row>
    <row r="291">
      <c r="B291" s="15">
        <f>IF($D291="","","M"&amp;TEXT(ROW()-5,"000"))</f>
        <v/>
      </c>
      <c r="C291" s="16" t="n"/>
      <c r="D291" s="14" t="n"/>
      <c r="E291" s="15">
        <f>IF($D291="","",IFERROR(INDEX(rngCadetPIDs,MATCH($D291,rngCadetNames,0)),"?"))</f>
        <v/>
      </c>
      <c r="F291" s="14" t="n"/>
      <c r="G291" s="14" t="n"/>
      <c r="H291" s="14" t="n"/>
      <c r="I291" s="14" t="n"/>
      <c r="J291" s="14" t="n"/>
      <c r="K291" s="14" t="n"/>
      <c r="L291" s="15">
        <f>IF($D291="","",IF(AND($J291="Received",$K291&lt;&gt;"Yes"),"Yes","No"))</f>
        <v/>
      </c>
      <c r="M291" s="14" t="n"/>
    </row>
    <row r="292">
      <c r="B292" s="15">
        <f>IF($D292="","","M"&amp;TEXT(ROW()-5,"000"))</f>
        <v/>
      </c>
      <c r="C292" s="16" t="n"/>
      <c r="D292" s="14" t="n"/>
      <c r="E292" s="15">
        <f>IF($D292="","",IFERROR(INDEX(rngCadetPIDs,MATCH($D292,rngCadetNames,0)),"?"))</f>
        <v/>
      </c>
      <c r="F292" s="14" t="n"/>
      <c r="G292" s="14" t="n"/>
      <c r="H292" s="14" t="n"/>
      <c r="I292" s="14" t="n"/>
      <c r="J292" s="14" t="n"/>
      <c r="K292" s="14" t="n"/>
      <c r="L292" s="15">
        <f>IF($D292="","",IF(AND($J292="Received",$K292&lt;&gt;"Yes"),"Yes","No"))</f>
        <v/>
      </c>
      <c r="M292" s="14" t="n"/>
    </row>
    <row r="293">
      <c r="B293" s="15">
        <f>IF($D293="","","M"&amp;TEXT(ROW()-5,"000"))</f>
        <v/>
      </c>
      <c r="C293" s="16" t="n"/>
      <c r="D293" s="14" t="n"/>
      <c r="E293" s="15">
        <f>IF($D293="","",IFERROR(INDEX(rngCadetPIDs,MATCH($D293,rngCadetNames,0)),"?"))</f>
        <v/>
      </c>
      <c r="F293" s="14" t="n"/>
      <c r="G293" s="14" t="n"/>
      <c r="H293" s="14" t="n"/>
      <c r="I293" s="14" t="n"/>
      <c r="J293" s="14" t="n"/>
      <c r="K293" s="14" t="n"/>
      <c r="L293" s="15">
        <f>IF($D293="","",IF(AND($J293="Received",$K293&lt;&gt;"Yes"),"Yes","No"))</f>
        <v/>
      </c>
      <c r="M293" s="14" t="n"/>
    </row>
    <row r="294">
      <c r="B294" s="15">
        <f>IF($D294="","","M"&amp;TEXT(ROW()-5,"000"))</f>
        <v/>
      </c>
      <c r="C294" s="16" t="n"/>
      <c r="D294" s="14" t="n"/>
      <c r="E294" s="15">
        <f>IF($D294="","",IFERROR(INDEX(rngCadetPIDs,MATCH($D294,rngCadetNames,0)),"?"))</f>
        <v/>
      </c>
      <c r="F294" s="14" t="n"/>
      <c r="G294" s="14" t="n"/>
      <c r="H294" s="14" t="n"/>
      <c r="I294" s="14" t="n"/>
      <c r="J294" s="14" t="n"/>
      <c r="K294" s="14" t="n"/>
      <c r="L294" s="15">
        <f>IF($D294="","",IF(AND($J294="Received",$K294&lt;&gt;"Yes"),"Yes","No"))</f>
        <v/>
      </c>
      <c r="M294" s="14" t="n"/>
    </row>
    <row r="295">
      <c r="B295" s="15">
        <f>IF($D295="","","M"&amp;TEXT(ROW()-5,"000"))</f>
        <v/>
      </c>
      <c r="C295" s="16" t="n"/>
      <c r="D295" s="14" t="n"/>
      <c r="E295" s="15">
        <f>IF($D295="","",IFERROR(INDEX(rngCadetPIDs,MATCH($D295,rngCadetNames,0)),"?"))</f>
        <v/>
      </c>
      <c r="F295" s="14" t="n"/>
      <c r="G295" s="14" t="n"/>
      <c r="H295" s="14" t="n"/>
      <c r="I295" s="14" t="n"/>
      <c r="J295" s="14" t="n"/>
      <c r="K295" s="14" t="n"/>
      <c r="L295" s="15">
        <f>IF($D295="","",IF(AND($J295="Received",$K295&lt;&gt;"Yes"),"Yes","No"))</f>
        <v/>
      </c>
      <c r="M295" s="14" t="n"/>
    </row>
    <row r="296">
      <c r="B296" s="15">
        <f>IF($D296="","","M"&amp;TEXT(ROW()-5,"000"))</f>
        <v/>
      </c>
      <c r="C296" s="16" t="n"/>
      <c r="D296" s="14" t="n"/>
      <c r="E296" s="15">
        <f>IF($D296="","",IFERROR(INDEX(rngCadetPIDs,MATCH($D296,rngCadetNames,0)),"?"))</f>
        <v/>
      </c>
      <c r="F296" s="14" t="n"/>
      <c r="G296" s="14" t="n"/>
      <c r="H296" s="14" t="n"/>
      <c r="I296" s="14" t="n"/>
      <c r="J296" s="14" t="n"/>
      <c r="K296" s="14" t="n"/>
      <c r="L296" s="15">
        <f>IF($D296="","",IF(AND($J296="Received",$K296&lt;&gt;"Yes"),"Yes","No"))</f>
        <v/>
      </c>
      <c r="M296" s="14" t="n"/>
    </row>
    <row r="297">
      <c r="B297" s="15">
        <f>IF($D297="","","M"&amp;TEXT(ROW()-5,"000"))</f>
        <v/>
      </c>
      <c r="C297" s="16" t="n"/>
      <c r="D297" s="14" t="n"/>
      <c r="E297" s="15">
        <f>IF($D297="","",IFERROR(INDEX(rngCadetPIDs,MATCH($D297,rngCadetNames,0)),"?"))</f>
        <v/>
      </c>
      <c r="F297" s="14" t="n"/>
      <c r="G297" s="14" t="n"/>
      <c r="H297" s="14" t="n"/>
      <c r="I297" s="14" t="n"/>
      <c r="J297" s="14" t="n"/>
      <c r="K297" s="14" t="n"/>
      <c r="L297" s="15">
        <f>IF($D297="","",IF(AND($J297="Received",$K297&lt;&gt;"Yes"),"Yes","No"))</f>
        <v/>
      </c>
      <c r="M297" s="14" t="n"/>
    </row>
    <row r="298">
      <c r="B298" s="15">
        <f>IF($D298="","","M"&amp;TEXT(ROW()-5,"000"))</f>
        <v/>
      </c>
      <c r="C298" s="16" t="n"/>
      <c r="D298" s="14" t="n"/>
      <c r="E298" s="15">
        <f>IF($D298="","",IFERROR(INDEX(rngCadetPIDs,MATCH($D298,rngCadetNames,0)),"?"))</f>
        <v/>
      </c>
      <c r="F298" s="14" t="n"/>
      <c r="G298" s="14" t="n"/>
      <c r="H298" s="14" t="n"/>
      <c r="I298" s="14" t="n"/>
      <c r="J298" s="14" t="n"/>
      <c r="K298" s="14" t="n"/>
      <c r="L298" s="15">
        <f>IF($D298="","",IF(AND($J298="Received",$K298&lt;&gt;"Yes"),"Yes","No"))</f>
        <v/>
      </c>
      <c r="M298" s="14" t="n"/>
    </row>
    <row r="299">
      <c r="B299" s="15">
        <f>IF($D299="","","M"&amp;TEXT(ROW()-5,"000"))</f>
        <v/>
      </c>
      <c r="C299" s="16" t="n"/>
      <c r="D299" s="14" t="n"/>
      <c r="E299" s="15">
        <f>IF($D299="","",IFERROR(INDEX(rngCadetPIDs,MATCH($D299,rngCadetNames,0)),"?"))</f>
        <v/>
      </c>
      <c r="F299" s="14" t="n"/>
      <c r="G299" s="14" t="n"/>
      <c r="H299" s="14" t="n"/>
      <c r="I299" s="14" t="n"/>
      <c r="J299" s="14" t="n"/>
      <c r="K299" s="14" t="n"/>
      <c r="L299" s="15">
        <f>IF($D299="","",IF(AND($J299="Received",$K299&lt;&gt;"Yes"),"Yes","No"))</f>
        <v/>
      </c>
      <c r="M299" s="14" t="n"/>
    </row>
    <row r="300">
      <c r="B300" s="15">
        <f>IF($D300="","","M"&amp;TEXT(ROW()-5,"000"))</f>
        <v/>
      </c>
      <c r="C300" s="16" t="n"/>
      <c r="D300" s="14" t="n"/>
      <c r="E300" s="15">
        <f>IF($D300="","",IFERROR(INDEX(rngCadetPIDs,MATCH($D300,rngCadetNames,0)),"?"))</f>
        <v/>
      </c>
      <c r="F300" s="14" t="n"/>
      <c r="G300" s="14" t="n"/>
      <c r="H300" s="14" t="n"/>
      <c r="I300" s="14" t="n"/>
      <c r="J300" s="14" t="n"/>
      <c r="K300" s="14" t="n"/>
      <c r="L300" s="15">
        <f>IF($D300="","",IF(AND($J300="Received",$K300&lt;&gt;"Yes"),"Yes","No"))</f>
        <v/>
      </c>
      <c r="M300" s="14" t="n"/>
    </row>
    <row r="301">
      <c r="B301" s="15">
        <f>IF($D301="","","M"&amp;TEXT(ROW()-5,"000"))</f>
        <v/>
      </c>
      <c r="C301" s="16" t="n"/>
      <c r="D301" s="14" t="n"/>
      <c r="E301" s="15">
        <f>IF($D301="","",IFERROR(INDEX(rngCadetPIDs,MATCH($D301,rngCadetNames,0)),"?"))</f>
        <v/>
      </c>
      <c r="F301" s="14" t="n"/>
      <c r="G301" s="14" t="n"/>
      <c r="H301" s="14" t="n"/>
      <c r="I301" s="14" t="n"/>
      <c r="J301" s="14" t="n"/>
      <c r="K301" s="14" t="n"/>
      <c r="L301" s="15">
        <f>IF($D301="","",IF(AND($J301="Received",$K301&lt;&gt;"Yes"),"Yes","No"))</f>
        <v/>
      </c>
      <c r="M301" s="14" t="n"/>
    </row>
    <row r="302">
      <c r="B302" s="15">
        <f>IF($D302="","","M"&amp;TEXT(ROW()-5,"000"))</f>
        <v/>
      </c>
      <c r="C302" s="16" t="n"/>
      <c r="D302" s="14" t="n"/>
      <c r="E302" s="15">
        <f>IF($D302="","",IFERROR(INDEX(rngCadetPIDs,MATCH($D302,rngCadetNames,0)),"?"))</f>
        <v/>
      </c>
      <c r="F302" s="14" t="n"/>
      <c r="G302" s="14" t="n"/>
      <c r="H302" s="14" t="n"/>
      <c r="I302" s="14" t="n"/>
      <c r="J302" s="14" t="n"/>
      <c r="K302" s="14" t="n"/>
      <c r="L302" s="15">
        <f>IF($D302="","",IF(AND($J302="Received",$K302&lt;&gt;"Yes"),"Yes","No"))</f>
        <v/>
      </c>
      <c r="M302" s="14" t="n"/>
    </row>
    <row r="303">
      <c r="B303" s="15">
        <f>IF($D303="","","M"&amp;TEXT(ROW()-5,"000"))</f>
        <v/>
      </c>
      <c r="C303" s="16" t="n"/>
      <c r="D303" s="14" t="n"/>
      <c r="E303" s="15">
        <f>IF($D303="","",IFERROR(INDEX(rngCadetPIDs,MATCH($D303,rngCadetNames,0)),"?"))</f>
        <v/>
      </c>
      <c r="F303" s="14" t="n"/>
      <c r="G303" s="14" t="n"/>
      <c r="H303" s="14" t="n"/>
      <c r="I303" s="14" t="n"/>
      <c r="J303" s="14" t="n"/>
      <c r="K303" s="14" t="n"/>
      <c r="L303" s="15">
        <f>IF($D303="","",IF(AND($J303="Received",$K303&lt;&gt;"Yes"),"Yes","No"))</f>
        <v/>
      </c>
      <c r="M303" s="14" t="n"/>
    </row>
    <row r="304">
      <c r="B304" s="15">
        <f>IF($D304="","","M"&amp;TEXT(ROW()-5,"000"))</f>
        <v/>
      </c>
      <c r="C304" s="16" t="n"/>
      <c r="D304" s="14" t="n"/>
      <c r="E304" s="15">
        <f>IF($D304="","",IFERROR(INDEX(rngCadetPIDs,MATCH($D304,rngCadetNames,0)),"?"))</f>
        <v/>
      </c>
      <c r="F304" s="14" t="n"/>
      <c r="G304" s="14" t="n"/>
      <c r="H304" s="14" t="n"/>
      <c r="I304" s="14" t="n"/>
      <c r="J304" s="14" t="n"/>
      <c r="K304" s="14" t="n"/>
      <c r="L304" s="15">
        <f>IF($D304="","",IF(AND($J304="Received",$K304&lt;&gt;"Yes"),"Yes","No"))</f>
        <v/>
      </c>
      <c r="M304" s="14" t="n"/>
    </row>
    <row r="305">
      <c r="B305" s="15">
        <f>IF($D305="","","M"&amp;TEXT(ROW()-5,"000"))</f>
        <v/>
      </c>
      <c r="C305" s="16" t="n"/>
      <c r="D305" s="14" t="n"/>
      <c r="E305" s="15">
        <f>IF($D305="","",IFERROR(INDEX(rngCadetPIDs,MATCH($D305,rngCadetNames,0)),"?"))</f>
        <v/>
      </c>
      <c r="F305" s="14" t="n"/>
      <c r="G305" s="14" t="n"/>
      <c r="H305" s="14" t="n"/>
      <c r="I305" s="14" t="n"/>
      <c r="J305" s="14" t="n"/>
      <c r="K305" s="14" t="n"/>
      <c r="L305" s="15">
        <f>IF($D305="","",IF(AND($J305="Received",$K305&lt;&gt;"Yes"),"Yes","No"))</f>
        <v/>
      </c>
      <c r="M305" s="14" t="n"/>
    </row>
    <row r="306">
      <c r="B306" s="15">
        <f>IF($D306="","","M"&amp;TEXT(ROW()-5,"000"))</f>
        <v/>
      </c>
      <c r="C306" s="16" t="n"/>
      <c r="D306" s="14" t="n"/>
      <c r="E306" s="15">
        <f>IF($D306="","",IFERROR(INDEX(rngCadetPIDs,MATCH($D306,rngCadetNames,0)),"?"))</f>
        <v/>
      </c>
      <c r="F306" s="14" t="n"/>
      <c r="G306" s="14" t="n"/>
      <c r="H306" s="14" t="n"/>
      <c r="I306" s="14" t="n"/>
      <c r="J306" s="14" t="n"/>
      <c r="K306" s="14" t="n"/>
      <c r="L306" s="15">
        <f>IF($D306="","",IF(AND($J306="Received",$K306&lt;&gt;"Yes"),"Yes","No"))</f>
        <v/>
      </c>
      <c r="M306" s="14" t="n"/>
    </row>
    <row r="307">
      <c r="B307" s="15">
        <f>IF($D307="","","M"&amp;TEXT(ROW()-5,"000"))</f>
        <v/>
      </c>
      <c r="C307" s="16" t="n"/>
      <c r="D307" s="14" t="n"/>
      <c r="E307" s="15">
        <f>IF($D307="","",IFERROR(INDEX(rngCadetPIDs,MATCH($D307,rngCadetNames,0)),"?"))</f>
        <v/>
      </c>
      <c r="F307" s="14" t="n"/>
      <c r="G307" s="14" t="n"/>
      <c r="H307" s="14" t="n"/>
      <c r="I307" s="14" t="n"/>
      <c r="J307" s="14" t="n"/>
      <c r="K307" s="14" t="n"/>
      <c r="L307" s="15">
        <f>IF($D307="","",IF(AND($J307="Received",$K307&lt;&gt;"Yes"),"Yes","No"))</f>
        <v/>
      </c>
      <c r="M307" s="14" t="n"/>
    </row>
    <row r="308">
      <c r="B308" s="15">
        <f>IF($D308="","","M"&amp;TEXT(ROW()-5,"000"))</f>
        <v/>
      </c>
      <c r="C308" s="16" t="n"/>
      <c r="D308" s="14" t="n"/>
      <c r="E308" s="15">
        <f>IF($D308="","",IFERROR(INDEX(rngCadetPIDs,MATCH($D308,rngCadetNames,0)),"?"))</f>
        <v/>
      </c>
      <c r="F308" s="14" t="n"/>
      <c r="G308" s="14" t="n"/>
      <c r="H308" s="14" t="n"/>
      <c r="I308" s="14" t="n"/>
      <c r="J308" s="14" t="n"/>
      <c r="K308" s="14" t="n"/>
      <c r="L308" s="15">
        <f>IF($D308="","",IF(AND($J308="Received",$K308&lt;&gt;"Yes"),"Yes","No"))</f>
        <v/>
      </c>
      <c r="M308" s="14" t="n"/>
    </row>
    <row r="309">
      <c r="B309" s="15">
        <f>IF($D309="","","M"&amp;TEXT(ROW()-5,"000"))</f>
        <v/>
      </c>
      <c r="C309" s="16" t="n"/>
      <c r="D309" s="14" t="n"/>
      <c r="E309" s="15">
        <f>IF($D309="","",IFERROR(INDEX(rngCadetPIDs,MATCH($D309,rngCadetNames,0)),"?"))</f>
        <v/>
      </c>
      <c r="F309" s="14" t="n"/>
      <c r="G309" s="14" t="n"/>
      <c r="H309" s="14" t="n"/>
      <c r="I309" s="14" t="n"/>
      <c r="J309" s="14" t="n"/>
      <c r="K309" s="14" t="n"/>
      <c r="L309" s="15">
        <f>IF($D309="","",IF(AND($J309="Received",$K309&lt;&gt;"Yes"),"Yes","No"))</f>
        <v/>
      </c>
      <c r="M309" s="14" t="n"/>
    </row>
    <row r="310">
      <c r="B310" s="15">
        <f>IF($D310="","","M"&amp;TEXT(ROW()-5,"000"))</f>
        <v/>
      </c>
      <c r="C310" s="16" t="n"/>
      <c r="D310" s="14" t="n"/>
      <c r="E310" s="15">
        <f>IF($D310="","",IFERROR(INDEX(rngCadetPIDs,MATCH($D310,rngCadetNames,0)),"?"))</f>
        <v/>
      </c>
      <c r="F310" s="14" t="n"/>
      <c r="G310" s="14" t="n"/>
      <c r="H310" s="14" t="n"/>
      <c r="I310" s="14" t="n"/>
      <c r="J310" s="14" t="n"/>
      <c r="K310" s="14" t="n"/>
      <c r="L310" s="15">
        <f>IF($D310="","",IF(AND($J310="Received",$K310&lt;&gt;"Yes"),"Yes","No"))</f>
        <v/>
      </c>
      <c r="M310" s="14" t="n"/>
    </row>
    <row r="311">
      <c r="B311" s="15">
        <f>IF($D311="","","M"&amp;TEXT(ROW()-5,"000"))</f>
        <v/>
      </c>
      <c r="C311" s="16" t="n"/>
      <c r="D311" s="14" t="n"/>
      <c r="E311" s="15">
        <f>IF($D311="","",IFERROR(INDEX(rngCadetPIDs,MATCH($D311,rngCadetNames,0)),"?"))</f>
        <v/>
      </c>
      <c r="F311" s="14" t="n"/>
      <c r="G311" s="14" t="n"/>
      <c r="H311" s="14" t="n"/>
      <c r="I311" s="14" t="n"/>
      <c r="J311" s="14" t="n"/>
      <c r="K311" s="14" t="n"/>
      <c r="L311" s="15">
        <f>IF($D311="","",IF(AND($J311="Received",$K311&lt;&gt;"Yes"),"Yes","No"))</f>
        <v/>
      </c>
      <c r="M311" s="14" t="n"/>
    </row>
    <row r="312">
      <c r="B312" s="15">
        <f>IF($D312="","","M"&amp;TEXT(ROW()-5,"000"))</f>
        <v/>
      </c>
      <c r="C312" s="16" t="n"/>
      <c r="D312" s="14" t="n"/>
      <c r="E312" s="15">
        <f>IF($D312="","",IFERROR(INDEX(rngCadetPIDs,MATCH($D312,rngCadetNames,0)),"?"))</f>
        <v/>
      </c>
      <c r="F312" s="14" t="n"/>
      <c r="G312" s="14" t="n"/>
      <c r="H312" s="14" t="n"/>
      <c r="I312" s="14" t="n"/>
      <c r="J312" s="14" t="n"/>
      <c r="K312" s="14" t="n"/>
      <c r="L312" s="15">
        <f>IF($D312="","",IF(AND($J312="Received",$K312&lt;&gt;"Yes"),"Yes","No"))</f>
        <v/>
      </c>
      <c r="M312" s="14" t="n"/>
    </row>
    <row r="313">
      <c r="B313" s="15">
        <f>IF($D313="","","M"&amp;TEXT(ROW()-5,"000"))</f>
        <v/>
      </c>
      <c r="C313" s="16" t="n"/>
      <c r="D313" s="14" t="n"/>
      <c r="E313" s="15">
        <f>IF($D313="","",IFERROR(INDEX(rngCadetPIDs,MATCH($D313,rngCadetNames,0)),"?"))</f>
        <v/>
      </c>
      <c r="F313" s="14" t="n"/>
      <c r="G313" s="14" t="n"/>
      <c r="H313" s="14" t="n"/>
      <c r="I313" s="14" t="n"/>
      <c r="J313" s="14" t="n"/>
      <c r="K313" s="14" t="n"/>
      <c r="L313" s="15">
        <f>IF($D313="","",IF(AND($J313="Received",$K313&lt;&gt;"Yes"),"Yes","No"))</f>
        <v/>
      </c>
      <c r="M313" s="14" t="n"/>
    </row>
    <row r="314">
      <c r="B314" s="15">
        <f>IF($D314="","","M"&amp;TEXT(ROW()-5,"000"))</f>
        <v/>
      </c>
      <c r="C314" s="16" t="n"/>
      <c r="D314" s="14" t="n"/>
      <c r="E314" s="15">
        <f>IF($D314="","",IFERROR(INDEX(rngCadetPIDs,MATCH($D314,rngCadetNames,0)),"?"))</f>
        <v/>
      </c>
      <c r="F314" s="14" t="n"/>
      <c r="G314" s="14" t="n"/>
      <c r="H314" s="14" t="n"/>
      <c r="I314" s="14" t="n"/>
      <c r="J314" s="14" t="n"/>
      <c r="K314" s="14" t="n"/>
      <c r="L314" s="15">
        <f>IF($D314="","",IF(AND($J314="Received",$K314&lt;&gt;"Yes"),"Yes","No"))</f>
        <v/>
      </c>
      <c r="M314" s="14" t="n"/>
    </row>
    <row r="315">
      <c r="B315" s="15">
        <f>IF($D315="","","M"&amp;TEXT(ROW()-5,"000"))</f>
        <v/>
      </c>
      <c r="C315" s="16" t="n"/>
      <c r="D315" s="14" t="n"/>
      <c r="E315" s="15">
        <f>IF($D315="","",IFERROR(INDEX(rngCadetPIDs,MATCH($D315,rngCadetNames,0)),"?"))</f>
        <v/>
      </c>
      <c r="F315" s="14" t="n"/>
      <c r="G315" s="14" t="n"/>
      <c r="H315" s="14" t="n"/>
      <c r="I315" s="14" t="n"/>
      <c r="J315" s="14" t="n"/>
      <c r="K315" s="14" t="n"/>
      <c r="L315" s="15">
        <f>IF($D315="","",IF(AND($J315="Received",$K315&lt;&gt;"Yes"),"Yes","No"))</f>
        <v/>
      </c>
      <c r="M315" s="14" t="n"/>
    </row>
    <row r="316">
      <c r="B316" s="15">
        <f>IF($D316="","","M"&amp;TEXT(ROW()-5,"000"))</f>
        <v/>
      </c>
      <c r="C316" s="16" t="n"/>
      <c r="D316" s="14" t="n"/>
      <c r="E316" s="15">
        <f>IF($D316="","",IFERROR(INDEX(rngCadetPIDs,MATCH($D316,rngCadetNames,0)),"?"))</f>
        <v/>
      </c>
      <c r="F316" s="14" t="n"/>
      <c r="G316" s="14" t="n"/>
      <c r="H316" s="14" t="n"/>
      <c r="I316" s="14" t="n"/>
      <c r="J316" s="14" t="n"/>
      <c r="K316" s="14" t="n"/>
      <c r="L316" s="15">
        <f>IF($D316="","",IF(AND($J316="Received",$K316&lt;&gt;"Yes"),"Yes","No"))</f>
        <v/>
      </c>
      <c r="M316" s="14" t="n"/>
    </row>
    <row r="317">
      <c r="B317" s="15">
        <f>IF($D317="","","M"&amp;TEXT(ROW()-5,"000"))</f>
        <v/>
      </c>
      <c r="C317" s="16" t="n"/>
      <c r="D317" s="14" t="n"/>
      <c r="E317" s="15">
        <f>IF($D317="","",IFERROR(INDEX(rngCadetPIDs,MATCH($D317,rngCadetNames,0)),"?"))</f>
        <v/>
      </c>
      <c r="F317" s="14" t="n"/>
      <c r="G317" s="14" t="n"/>
      <c r="H317" s="14" t="n"/>
      <c r="I317" s="14" t="n"/>
      <c r="J317" s="14" t="n"/>
      <c r="K317" s="14" t="n"/>
      <c r="L317" s="15">
        <f>IF($D317="","",IF(AND($J317="Received",$K317&lt;&gt;"Yes"),"Yes","No"))</f>
        <v/>
      </c>
      <c r="M317" s="14" t="n"/>
    </row>
    <row r="318">
      <c r="B318" s="15">
        <f>IF($D318="","","M"&amp;TEXT(ROW()-5,"000"))</f>
        <v/>
      </c>
      <c r="C318" s="16" t="n"/>
      <c r="D318" s="14" t="n"/>
      <c r="E318" s="15">
        <f>IF($D318="","",IFERROR(INDEX(rngCadetPIDs,MATCH($D318,rngCadetNames,0)),"?"))</f>
        <v/>
      </c>
      <c r="F318" s="14" t="n"/>
      <c r="G318" s="14" t="n"/>
      <c r="H318" s="14" t="n"/>
      <c r="I318" s="14" t="n"/>
      <c r="J318" s="14" t="n"/>
      <c r="K318" s="14" t="n"/>
      <c r="L318" s="15">
        <f>IF($D318="","",IF(AND($J318="Received",$K318&lt;&gt;"Yes"),"Yes","No"))</f>
        <v/>
      </c>
      <c r="M318" s="14" t="n"/>
    </row>
    <row r="319">
      <c r="B319" s="15">
        <f>IF($D319="","","M"&amp;TEXT(ROW()-5,"000"))</f>
        <v/>
      </c>
      <c r="C319" s="16" t="n"/>
      <c r="D319" s="14" t="n"/>
      <c r="E319" s="15">
        <f>IF($D319="","",IFERROR(INDEX(rngCadetPIDs,MATCH($D319,rngCadetNames,0)),"?"))</f>
        <v/>
      </c>
      <c r="F319" s="14" t="n"/>
      <c r="G319" s="14" t="n"/>
      <c r="H319" s="14" t="n"/>
      <c r="I319" s="14" t="n"/>
      <c r="J319" s="14" t="n"/>
      <c r="K319" s="14" t="n"/>
      <c r="L319" s="15">
        <f>IF($D319="","",IF(AND($J319="Received",$K319&lt;&gt;"Yes"),"Yes","No"))</f>
        <v/>
      </c>
      <c r="M319" s="14" t="n"/>
    </row>
    <row r="320">
      <c r="B320" s="15">
        <f>IF($D320="","","M"&amp;TEXT(ROW()-5,"000"))</f>
        <v/>
      </c>
      <c r="C320" s="16" t="n"/>
      <c r="D320" s="14" t="n"/>
      <c r="E320" s="15">
        <f>IF($D320="","",IFERROR(INDEX(rngCadetPIDs,MATCH($D320,rngCadetNames,0)),"?"))</f>
        <v/>
      </c>
      <c r="F320" s="14" t="n"/>
      <c r="G320" s="14" t="n"/>
      <c r="H320" s="14" t="n"/>
      <c r="I320" s="14" t="n"/>
      <c r="J320" s="14" t="n"/>
      <c r="K320" s="14" t="n"/>
      <c r="L320" s="15">
        <f>IF($D320="","",IF(AND($J320="Received",$K320&lt;&gt;"Yes"),"Yes","No"))</f>
        <v/>
      </c>
      <c r="M320" s="14" t="n"/>
    </row>
    <row r="321">
      <c r="B321" s="15">
        <f>IF($D321="","","M"&amp;TEXT(ROW()-5,"000"))</f>
        <v/>
      </c>
      <c r="C321" s="16" t="n"/>
      <c r="D321" s="14" t="n"/>
      <c r="E321" s="15">
        <f>IF($D321="","",IFERROR(INDEX(rngCadetPIDs,MATCH($D321,rngCadetNames,0)),"?"))</f>
        <v/>
      </c>
      <c r="F321" s="14" t="n"/>
      <c r="G321" s="14" t="n"/>
      <c r="H321" s="14" t="n"/>
      <c r="I321" s="14" t="n"/>
      <c r="J321" s="14" t="n"/>
      <c r="K321" s="14" t="n"/>
      <c r="L321" s="15">
        <f>IF($D321="","",IF(AND($J321="Received",$K321&lt;&gt;"Yes"),"Yes","No"))</f>
        <v/>
      </c>
      <c r="M321" s="14" t="n"/>
    </row>
    <row r="322">
      <c r="B322" s="15">
        <f>IF($D322="","","M"&amp;TEXT(ROW()-5,"000"))</f>
        <v/>
      </c>
      <c r="C322" s="16" t="n"/>
      <c r="D322" s="14" t="n"/>
      <c r="E322" s="15">
        <f>IF($D322="","",IFERROR(INDEX(rngCadetPIDs,MATCH($D322,rngCadetNames,0)),"?"))</f>
        <v/>
      </c>
      <c r="F322" s="14" t="n"/>
      <c r="G322" s="14" t="n"/>
      <c r="H322" s="14" t="n"/>
      <c r="I322" s="14" t="n"/>
      <c r="J322" s="14" t="n"/>
      <c r="K322" s="14" t="n"/>
      <c r="L322" s="15">
        <f>IF($D322="","",IF(AND($J322="Received",$K322&lt;&gt;"Yes"),"Yes","No"))</f>
        <v/>
      </c>
      <c r="M322" s="14" t="n"/>
    </row>
    <row r="323">
      <c r="B323" s="15">
        <f>IF($D323="","","M"&amp;TEXT(ROW()-5,"000"))</f>
        <v/>
      </c>
      <c r="C323" s="16" t="n"/>
      <c r="D323" s="14" t="n"/>
      <c r="E323" s="15">
        <f>IF($D323="","",IFERROR(INDEX(rngCadetPIDs,MATCH($D323,rngCadetNames,0)),"?"))</f>
        <v/>
      </c>
      <c r="F323" s="14" t="n"/>
      <c r="G323" s="14" t="n"/>
      <c r="H323" s="14" t="n"/>
      <c r="I323" s="14" t="n"/>
      <c r="J323" s="14" t="n"/>
      <c r="K323" s="14" t="n"/>
      <c r="L323" s="15">
        <f>IF($D323="","",IF(AND($J323="Received",$K323&lt;&gt;"Yes"),"Yes","No"))</f>
        <v/>
      </c>
      <c r="M323" s="14" t="n"/>
    </row>
    <row r="324">
      <c r="B324" s="15">
        <f>IF($D324="","","M"&amp;TEXT(ROW()-5,"000"))</f>
        <v/>
      </c>
      <c r="C324" s="16" t="n"/>
      <c r="D324" s="14" t="n"/>
      <c r="E324" s="15">
        <f>IF($D324="","",IFERROR(INDEX(rngCadetPIDs,MATCH($D324,rngCadetNames,0)),"?"))</f>
        <v/>
      </c>
      <c r="F324" s="14" t="n"/>
      <c r="G324" s="14" t="n"/>
      <c r="H324" s="14" t="n"/>
      <c r="I324" s="14" t="n"/>
      <c r="J324" s="14" t="n"/>
      <c r="K324" s="14" t="n"/>
      <c r="L324" s="15">
        <f>IF($D324="","",IF(AND($J324="Received",$K324&lt;&gt;"Yes"),"Yes","No"))</f>
        <v/>
      </c>
      <c r="M324" s="14" t="n"/>
    </row>
    <row r="325">
      <c r="B325" s="15">
        <f>IF($D325="","","M"&amp;TEXT(ROW()-5,"000"))</f>
        <v/>
      </c>
      <c r="C325" s="16" t="n"/>
      <c r="D325" s="14" t="n"/>
      <c r="E325" s="15">
        <f>IF($D325="","",IFERROR(INDEX(rngCadetPIDs,MATCH($D325,rngCadetNames,0)),"?"))</f>
        <v/>
      </c>
      <c r="F325" s="14" t="n"/>
      <c r="G325" s="14" t="n"/>
      <c r="H325" s="14" t="n"/>
      <c r="I325" s="14" t="n"/>
      <c r="J325" s="14" t="n"/>
      <c r="K325" s="14" t="n"/>
      <c r="L325" s="15">
        <f>IF($D325="","",IF(AND($J325="Received",$K325&lt;&gt;"Yes"),"Yes","No"))</f>
        <v/>
      </c>
      <c r="M325" s="14" t="n"/>
    </row>
    <row r="326">
      <c r="B326" s="15">
        <f>IF($D326="","","M"&amp;TEXT(ROW()-5,"000"))</f>
        <v/>
      </c>
      <c r="C326" s="16" t="n"/>
      <c r="D326" s="14" t="n"/>
      <c r="E326" s="15">
        <f>IF($D326="","",IFERROR(INDEX(rngCadetPIDs,MATCH($D326,rngCadetNames,0)),"?"))</f>
        <v/>
      </c>
      <c r="F326" s="14" t="n"/>
      <c r="G326" s="14" t="n"/>
      <c r="H326" s="14" t="n"/>
      <c r="I326" s="14" t="n"/>
      <c r="J326" s="14" t="n"/>
      <c r="K326" s="14" t="n"/>
      <c r="L326" s="15">
        <f>IF($D326="","",IF(AND($J326="Received",$K326&lt;&gt;"Yes"),"Yes","No"))</f>
        <v/>
      </c>
      <c r="M326" s="14" t="n"/>
    </row>
    <row r="327">
      <c r="B327" s="15">
        <f>IF($D327="","","M"&amp;TEXT(ROW()-5,"000"))</f>
        <v/>
      </c>
      <c r="C327" s="16" t="n"/>
      <c r="D327" s="14" t="n"/>
      <c r="E327" s="15">
        <f>IF($D327="","",IFERROR(INDEX(rngCadetPIDs,MATCH($D327,rngCadetNames,0)),"?"))</f>
        <v/>
      </c>
      <c r="F327" s="14" t="n"/>
      <c r="G327" s="14" t="n"/>
      <c r="H327" s="14" t="n"/>
      <c r="I327" s="14" t="n"/>
      <c r="J327" s="14" t="n"/>
      <c r="K327" s="14" t="n"/>
      <c r="L327" s="15">
        <f>IF($D327="","",IF(AND($J327="Received",$K327&lt;&gt;"Yes"),"Yes","No"))</f>
        <v/>
      </c>
      <c r="M327" s="14" t="n"/>
    </row>
    <row r="328">
      <c r="B328" s="15">
        <f>IF($D328="","","M"&amp;TEXT(ROW()-5,"000"))</f>
        <v/>
      </c>
      <c r="C328" s="16" t="n"/>
      <c r="D328" s="14" t="n"/>
      <c r="E328" s="15">
        <f>IF($D328="","",IFERROR(INDEX(rngCadetPIDs,MATCH($D328,rngCadetNames,0)),"?"))</f>
        <v/>
      </c>
      <c r="F328" s="14" t="n"/>
      <c r="G328" s="14" t="n"/>
      <c r="H328" s="14" t="n"/>
      <c r="I328" s="14" t="n"/>
      <c r="J328" s="14" t="n"/>
      <c r="K328" s="14" t="n"/>
      <c r="L328" s="15">
        <f>IF($D328="","",IF(AND($J328="Received",$K328&lt;&gt;"Yes"),"Yes","No"))</f>
        <v/>
      </c>
      <c r="M328" s="14" t="n"/>
    </row>
    <row r="329">
      <c r="B329" s="15">
        <f>IF($D329="","","M"&amp;TEXT(ROW()-5,"000"))</f>
        <v/>
      </c>
      <c r="C329" s="16" t="n"/>
      <c r="D329" s="14" t="n"/>
      <c r="E329" s="15">
        <f>IF($D329="","",IFERROR(INDEX(rngCadetPIDs,MATCH($D329,rngCadetNames,0)),"?"))</f>
        <v/>
      </c>
      <c r="F329" s="14" t="n"/>
      <c r="G329" s="14" t="n"/>
      <c r="H329" s="14" t="n"/>
      <c r="I329" s="14" t="n"/>
      <c r="J329" s="14" t="n"/>
      <c r="K329" s="14" t="n"/>
      <c r="L329" s="15">
        <f>IF($D329="","",IF(AND($J329="Received",$K329&lt;&gt;"Yes"),"Yes","No"))</f>
        <v/>
      </c>
      <c r="M329" s="14" t="n"/>
    </row>
    <row r="330">
      <c r="B330" s="15">
        <f>IF($D330="","","M"&amp;TEXT(ROW()-5,"000"))</f>
        <v/>
      </c>
      <c r="C330" s="16" t="n"/>
      <c r="D330" s="14" t="n"/>
      <c r="E330" s="15">
        <f>IF($D330="","",IFERROR(INDEX(rngCadetPIDs,MATCH($D330,rngCadetNames,0)),"?"))</f>
        <v/>
      </c>
      <c r="F330" s="14" t="n"/>
      <c r="G330" s="14" t="n"/>
      <c r="H330" s="14" t="n"/>
      <c r="I330" s="14" t="n"/>
      <c r="J330" s="14" t="n"/>
      <c r="K330" s="14" t="n"/>
      <c r="L330" s="15">
        <f>IF($D330="","",IF(AND($J330="Received",$K330&lt;&gt;"Yes"),"Yes","No"))</f>
        <v/>
      </c>
      <c r="M330" s="14" t="n"/>
    </row>
    <row r="331">
      <c r="B331" s="15">
        <f>IF($D331="","","M"&amp;TEXT(ROW()-5,"000"))</f>
        <v/>
      </c>
      <c r="C331" s="16" t="n"/>
      <c r="D331" s="14" t="n"/>
      <c r="E331" s="15">
        <f>IF($D331="","",IFERROR(INDEX(rngCadetPIDs,MATCH($D331,rngCadetNames,0)),"?"))</f>
        <v/>
      </c>
      <c r="F331" s="14" t="n"/>
      <c r="G331" s="14" t="n"/>
      <c r="H331" s="14" t="n"/>
      <c r="I331" s="14" t="n"/>
      <c r="J331" s="14" t="n"/>
      <c r="K331" s="14" t="n"/>
      <c r="L331" s="15">
        <f>IF($D331="","",IF(AND($J331="Received",$K331&lt;&gt;"Yes"),"Yes","No"))</f>
        <v/>
      </c>
      <c r="M331" s="14" t="n"/>
    </row>
    <row r="332">
      <c r="B332" s="15">
        <f>IF($D332="","","M"&amp;TEXT(ROW()-5,"000"))</f>
        <v/>
      </c>
      <c r="C332" s="16" t="n"/>
      <c r="D332" s="14" t="n"/>
      <c r="E332" s="15">
        <f>IF($D332="","",IFERROR(INDEX(rngCadetPIDs,MATCH($D332,rngCadetNames,0)),"?"))</f>
        <v/>
      </c>
      <c r="F332" s="14" t="n"/>
      <c r="G332" s="14" t="n"/>
      <c r="H332" s="14" t="n"/>
      <c r="I332" s="14" t="n"/>
      <c r="J332" s="14" t="n"/>
      <c r="K332" s="14" t="n"/>
      <c r="L332" s="15">
        <f>IF($D332="","",IF(AND($J332="Received",$K332&lt;&gt;"Yes"),"Yes","No"))</f>
        <v/>
      </c>
      <c r="M332" s="14" t="n"/>
    </row>
    <row r="333">
      <c r="B333" s="15">
        <f>IF($D333="","","M"&amp;TEXT(ROW()-5,"000"))</f>
        <v/>
      </c>
      <c r="C333" s="16" t="n"/>
      <c r="D333" s="14" t="n"/>
      <c r="E333" s="15">
        <f>IF($D333="","",IFERROR(INDEX(rngCadetPIDs,MATCH($D333,rngCadetNames,0)),"?"))</f>
        <v/>
      </c>
      <c r="F333" s="14" t="n"/>
      <c r="G333" s="14" t="n"/>
      <c r="H333" s="14" t="n"/>
      <c r="I333" s="14" t="n"/>
      <c r="J333" s="14" t="n"/>
      <c r="K333" s="14" t="n"/>
      <c r="L333" s="15">
        <f>IF($D333="","",IF(AND($J333="Received",$K333&lt;&gt;"Yes"),"Yes","No"))</f>
        <v/>
      </c>
      <c r="M333" s="14" t="n"/>
    </row>
    <row r="334">
      <c r="B334" s="15">
        <f>IF($D334="","","M"&amp;TEXT(ROW()-5,"000"))</f>
        <v/>
      </c>
      <c r="C334" s="16" t="n"/>
      <c r="D334" s="14" t="n"/>
      <c r="E334" s="15">
        <f>IF($D334="","",IFERROR(INDEX(rngCadetPIDs,MATCH($D334,rngCadetNames,0)),"?"))</f>
        <v/>
      </c>
      <c r="F334" s="14" t="n"/>
      <c r="G334" s="14" t="n"/>
      <c r="H334" s="14" t="n"/>
      <c r="I334" s="14" t="n"/>
      <c r="J334" s="14" t="n"/>
      <c r="K334" s="14" t="n"/>
      <c r="L334" s="15">
        <f>IF($D334="","",IF(AND($J334="Received",$K334&lt;&gt;"Yes"),"Yes","No"))</f>
        <v/>
      </c>
      <c r="M334" s="14" t="n"/>
    </row>
    <row r="335">
      <c r="B335" s="15">
        <f>IF($D335="","","M"&amp;TEXT(ROW()-5,"000"))</f>
        <v/>
      </c>
      <c r="C335" s="16" t="n"/>
      <c r="D335" s="14" t="n"/>
      <c r="E335" s="15">
        <f>IF($D335="","",IFERROR(INDEX(rngCadetPIDs,MATCH($D335,rngCadetNames,0)),"?"))</f>
        <v/>
      </c>
      <c r="F335" s="14" t="n"/>
      <c r="G335" s="14" t="n"/>
      <c r="H335" s="14" t="n"/>
      <c r="I335" s="14" t="n"/>
      <c r="J335" s="14" t="n"/>
      <c r="K335" s="14" t="n"/>
      <c r="L335" s="15">
        <f>IF($D335="","",IF(AND($J335="Received",$K335&lt;&gt;"Yes"),"Yes","No"))</f>
        <v/>
      </c>
      <c r="M335" s="14" t="n"/>
    </row>
    <row r="336">
      <c r="B336" s="15">
        <f>IF($D336="","","M"&amp;TEXT(ROW()-5,"000"))</f>
        <v/>
      </c>
      <c r="C336" s="16" t="n"/>
      <c r="D336" s="14" t="n"/>
      <c r="E336" s="15">
        <f>IF($D336="","",IFERROR(INDEX(rngCadetPIDs,MATCH($D336,rngCadetNames,0)),"?"))</f>
        <v/>
      </c>
      <c r="F336" s="14" t="n"/>
      <c r="G336" s="14" t="n"/>
      <c r="H336" s="14" t="n"/>
      <c r="I336" s="14" t="n"/>
      <c r="J336" s="14" t="n"/>
      <c r="K336" s="14" t="n"/>
      <c r="L336" s="15">
        <f>IF($D336="","",IF(AND($J336="Received",$K336&lt;&gt;"Yes"),"Yes","No"))</f>
        <v/>
      </c>
      <c r="M336" s="14" t="n"/>
    </row>
    <row r="337">
      <c r="B337" s="15">
        <f>IF($D337="","","M"&amp;TEXT(ROW()-5,"000"))</f>
        <v/>
      </c>
      <c r="C337" s="16" t="n"/>
      <c r="D337" s="14" t="n"/>
      <c r="E337" s="15">
        <f>IF($D337="","",IFERROR(INDEX(rngCadetPIDs,MATCH($D337,rngCadetNames,0)),"?"))</f>
        <v/>
      </c>
      <c r="F337" s="14" t="n"/>
      <c r="G337" s="14" t="n"/>
      <c r="H337" s="14" t="n"/>
      <c r="I337" s="14" t="n"/>
      <c r="J337" s="14" t="n"/>
      <c r="K337" s="14" t="n"/>
      <c r="L337" s="15">
        <f>IF($D337="","",IF(AND($J337="Received",$K337&lt;&gt;"Yes"),"Yes","No"))</f>
        <v/>
      </c>
      <c r="M337" s="14" t="n"/>
    </row>
    <row r="338">
      <c r="B338" s="15">
        <f>IF($D338="","","M"&amp;TEXT(ROW()-5,"000"))</f>
        <v/>
      </c>
      <c r="C338" s="16" t="n"/>
      <c r="D338" s="14" t="n"/>
      <c r="E338" s="15">
        <f>IF($D338="","",IFERROR(INDEX(rngCadetPIDs,MATCH($D338,rngCadetNames,0)),"?"))</f>
        <v/>
      </c>
      <c r="F338" s="14" t="n"/>
      <c r="G338" s="14" t="n"/>
      <c r="H338" s="14" t="n"/>
      <c r="I338" s="14" t="n"/>
      <c r="J338" s="14" t="n"/>
      <c r="K338" s="14" t="n"/>
      <c r="L338" s="15">
        <f>IF($D338="","",IF(AND($J338="Received",$K338&lt;&gt;"Yes"),"Yes","No"))</f>
        <v/>
      </c>
      <c r="M338" s="14" t="n"/>
    </row>
    <row r="339">
      <c r="B339" s="15">
        <f>IF($D339="","","M"&amp;TEXT(ROW()-5,"000"))</f>
        <v/>
      </c>
      <c r="C339" s="16" t="n"/>
      <c r="D339" s="14" t="n"/>
      <c r="E339" s="15">
        <f>IF($D339="","",IFERROR(INDEX(rngCadetPIDs,MATCH($D339,rngCadetNames,0)),"?"))</f>
        <v/>
      </c>
      <c r="F339" s="14" t="n"/>
      <c r="G339" s="14" t="n"/>
      <c r="H339" s="14" t="n"/>
      <c r="I339" s="14" t="n"/>
      <c r="J339" s="14" t="n"/>
      <c r="K339" s="14" t="n"/>
      <c r="L339" s="15">
        <f>IF($D339="","",IF(AND($J339="Received",$K339&lt;&gt;"Yes"),"Yes","No"))</f>
        <v/>
      </c>
      <c r="M339" s="14" t="n"/>
    </row>
    <row r="340">
      <c r="B340" s="15">
        <f>IF($D340="","","M"&amp;TEXT(ROW()-5,"000"))</f>
        <v/>
      </c>
      <c r="C340" s="16" t="n"/>
      <c r="D340" s="14" t="n"/>
      <c r="E340" s="15">
        <f>IF($D340="","",IFERROR(INDEX(rngCadetPIDs,MATCH($D340,rngCadetNames,0)),"?"))</f>
        <v/>
      </c>
      <c r="F340" s="14" t="n"/>
      <c r="G340" s="14" t="n"/>
      <c r="H340" s="14" t="n"/>
      <c r="I340" s="14" t="n"/>
      <c r="J340" s="14" t="n"/>
      <c r="K340" s="14" t="n"/>
      <c r="L340" s="15">
        <f>IF($D340="","",IF(AND($J340="Received",$K340&lt;&gt;"Yes"),"Yes","No"))</f>
        <v/>
      </c>
      <c r="M340" s="14" t="n"/>
    </row>
    <row r="341">
      <c r="B341" s="15">
        <f>IF($D341="","","M"&amp;TEXT(ROW()-5,"000"))</f>
        <v/>
      </c>
      <c r="C341" s="16" t="n"/>
      <c r="D341" s="14" t="n"/>
      <c r="E341" s="15">
        <f>IF($D341="","",IFERROR(INDEX(rngCadetPIDs,MATCH($D341,rngCadetNames,0)),"?"))</f>
        <v/>
      </c>
      <c r="F341" s="14" t="n"/>
      <c r="G341" s="14" t="n"/>
      <c r="H341" s="14" t="n"/>
      <c r="I341" s="14" t="n"/>
      <c r="J341" s="14" t="n"/>
      <c r="K341" s="14" t="n"/>
      <c r="L341" s="15">
        <f>IF($D341="","",IF(AND($J341="Received",$K341&lt;&gt;"Yes"),"Yes","No"))</f>
        <v/>
      </c>
      <c r="M341" s="14" t="n"/>
    </row>
    <row r="342">
      <c r="B342" s="15">
        <f>IF($D342="","","M"&amp;TEXT(ROW()-5,"000"))</f>
        <v/>
      </c>
      <c r="C342" s="16" t="n"/>
      <c r="D342" s="14" t="n"/>
      <c r="E342" s="15">
        <f>IF($D342="","",IFERROR(INDEX(rngCadetPIDs,MATCH($D342,rngCadetNames,0)),"?"))</f>
        <v/>
      </c>
      <c r="F342" s="14" t="n"/>
      <c r="G342" s="14" t="n"/>
      <c r="H342" s="14" t="n"/>
      <c r="I342" s="14" t="n"/>
      <c r="J342" s="14" t="n"/>
      <c r="K342" s="14" t="n"/>
      <c r="L342" s="15">
        <f>IF($D342="","",IF(AND($J342="Received",$K342&lt;&gt;"Yes"),"Yes","No"))</f>
        <v/>
      </c>
      <c r="M342" s="14" t="n"/>
    </row>
    <row r="343">
      <c r="B343" s="15">
        <f>IF($D343="","","M"&amp;TEXT(ROW()-5,"000"))</f>
        <v/>
      </c>
      <c r="C343" s="16" t="n"/>
      <c r="D343" s="14" t="n"/>
      <c r="E343" s="15">
        <f>IF($D343="","",IFERROR(INDEX(rngCadetPIDs,MATCH($D343,rngCadetNames,0)),"?"))</f>
        <v/>
      </c>
      <c r="F343" s="14" t="n"/>
      <c r="G343" s="14" t="n"/>
      <c r="H343" s="14" t="n"/>
      <c r="I343" s="14" t="n"/>
      <c r="J343" s="14" t="n"/>
      <c r="K343" s="14" t="n"/>
      <c r="L343" s="15">
        <f>IF($D343="","",IF(AND($J343="Received",$K343&lt;&gt;"Yes"),"Yes","No"))</f>
        <v/>
      </c>
      <c r="M343" s="14" t="n"/>
    </row>
    <row r="344">
      <c r="B344" s="15">
        <f>IF($D344="","","M"&amp;TEXT(ROW()-5,"000"))</f>
        <v/>
      </c>
      <c r="C344" s="16" t="n"/>
      <c r="D344" s="14" t="n"/>
      <c r="E344" s="15">
        <f>IF($D344="","",IFERROR(INDEX(rngCadetPIDs,MATCH($D344,rngCadetNames,0)),"?"))</f>
        <v/>
      </c>
      <c r="F344" s="14" t="n"/>
      <c r="G344" s="14" t="n"/>
      <c r="H344" s="14" t="n"/>
      <c r="I344" s="14" t="n"/>
      <c r="J344" s="14" t="n"/>
      <c r="K344" s="14" t="n"/>
      <c r="L344" s="15">
        <f>IF($D344="","",IF(AND($J344="Received",$K344&lt;&gt;"Yes"),"Yes","No"))</f>
        <v/>
      </c>
      <c r="M344" s="14" t="n"/>
    </row>
    <row r="345">
      <c r="B345" s="15">
        <f>IF($D345="","","M"&amp;TEXT(ROW()-5,"000"))</f>
        <v/>
      </c>
      <c r="C345" s="16" t="n"/>
      <c r="D345" s="14" t="n"/>
      <c r="E345" s="15">
        <f>IF($D345="","",IFERROR(INDEX(rngCadetPIDs,MATCH($D345,rngCadetNames,0)),"?"))</f>
        <v/>
      </c>
      <c r="F345" s="14" t="n"/>
      <c r="G345" s="14" t="n"/>
      <c r="H345" s="14" t="n"/>
      <c r="I345" s="14" t="n"/>
      <c r="J345" s="14" t="n"/>
      <c r="K345" s="14" t="n"/>
      <c r="L345" s="15">
        <f>IF($D345="","",IF(AND($J345="Received",$K345&lt;&gt;"Yes"),"Yes","No"))</f>
        <v/>
      </c>
      <c r="M345" s="14" t="n"/>
    </row>
    <row r="346">
      <c r="B346" s="15">
        <f>IF($D346="","","M"&amp;TEXT(ROW()-5,"000"))</f>
        <v/>
      </c>
      <c r="C346" s="16" t="n"/>
      <c r="D346" s="14" t="n"/>
      <c r="E346" s="15">
        <f>IF($D346="","",IFERROR(INDEX(rngCadetPIDs,MATCH($D346,rngCadetNames,0)),"?"))</f>
        <v/>
      </c>
      <c r="F346" s="14" t="n"/>
      <c r="G346" s="14" t="n"/>
      <c r="H346" s="14" t="n"/>
      <c r="I346" s="14" t="n"/>
      <c r="J346" s="14" t="n"/>
      <c r="K346" s="14" t="n"/>
      <c r="L346" s="15">
        <f>IF($D346="","",IF(AND($J346="Received",$K346&lt;&gt;"Yes"),"Yes","No"))</f>
        <v/>
      </c>
      <c r="M346" s="14" t="n"/>
    </row>
    <row r="347">
      <c r="B347" s="15">
        <f>IF($D347="","","M"&amp;TEXT(ROW()-5,"000"))</f>
        <v/>
      </c>
      <c r="C347" s="16" t="n"/>
      <c r="D347" s="14" t="n"/>
      <c r="E347" s="15">
        <f>IF($D347="","",IFERROR(INDEX(rngCadetPIDs,MATCH($D347,rngCadetNames,0)),"?"))</f>
        <v/>
      </c>
      <c r="F347" s="14" t="n"/>
      <c r="G347" s="14" t="n"/>
      <c r="H347" s="14" t="n"/>
      <c r="I347" s="14" t="n"/>
      <c r="J347" s="14" t="n"/>
      <c r="K347" s="14" t="n"/>
      <c r="L347" s="15">
        <f>IF($D347="","",IF(AND($J347="Received",$K347&lt;&gt;"Yes"),"Yes","No"))</f>
        <v/>
      </c>
      <c r="M347" s="14" t="n"/>
    </row>
    <row r="348">
      <c r="B348" s="15">
        <f>IF($D348="","","M"&amp;TEXT(ROW()-5,"000"))</f>
        <v/>
      </c>
      <c r="C348" s="16" t="n"/>
      <c r="D348" s="14" t="n"/>
      <c r="E348" s="15">
        <f>IF($D348="","",IFERROR(INDEX(rngCadetPIDs,MATCH($D348,rngCadetNames,0)),"?"))</f>
        <v/>
      </c>
      <c r="F348" s="14" t="n"/>
      <c r="G348" s="14" t="n"/>
      <c r="H348" s="14" t="n"/>
      <c r="I348" s="14" t="n"/>
      <c r="J348" s="14" t="n"/>
      <c r="K348" s="14" t="n"/>
      <c r="L348" s="15">
        <f>IF($D348="","",IF(AND($J348="Received",$K348&lt;&gt;"Yes"),"Yes","No"))</f>
        <v/>
      </c>
      <c r="M348" s="14" t="n"/>
    </row>
    <row r="349">
      <c r="B349" s="15">
        <f>IF($D349="","","M"&amp;TEXT(ROW()-5,"000"))</f>
        <v/>
      </c>
      <c r="C349" s="16" t="n"/>
      <c r="D349" s="14" t="n"/>
      <c r="E349" s="15">
        <f>IF($D349="","",IFERROR(INDEX(rngCadetPIDs,MATCH($D349,rngCadetNames,0)),"?"))</f>
        <v/>
      </c>
      <c r="F349" s="14" t="n"/>
      <c r="G349" s="14" t="n"/>
      <c r="H349" s="14" t="n"/>
      <c r="I349" s="14" t="n"/>
      <c r="J349" s="14" t="n"/>
      <c r="K349" s="14" t="n"/>
      <c r="L349" s="15">
        <f>IF($D349="","",IF(AND($J349="Received",$K349&lt;&gt;"Yes"),"Yes","No"))</f>
        <v/>
      </c>
      <c r="M349" s="14" t="n"/>
    </row>
    <row r="350">
      <c r="B350" s="15">
        <f>IF($D350="","","M"&amp;TEXT(ROW()-5,"000"))</f>
        <v/>
      </c>
      <c r="C350" s="16" t="n"/>
      <c r="D350" s="14" t="n"/>
      <c r="E350" s="15">
        <f>IF($D350="","",IFERROR(INDEX(rngCadetPIDs,MATCH($D350,rngCadetNames,0)),"?"))</f>
        <v/>
      </c>
      <c r="F350" s="14" t="n"/>
      <c r="G350" s="14" t="n"/>
      <c r="H350" s="14" t="n"/>
      <c r="I350" s="14" t="n"/>
      <c r="J350" s="14" t="n"/>
      <c r="K350" s="14" t="n"/>
      <c r="L350" s="15">
        <f>IF($D350="","",IF(AND($J350="Received",$K350&lt;&gt;"Yes"),"Yes","No"))</f>
        <v/>
      </c>
      <c r="M350" s="14" t="n"/>
    </row>
    <row r="351">
      <c r="B351" s="15">
        <f>IF($D351="","","M"&amp;TEXT(ROW()-5,"000"))</f>
        <v/>
      </c>
      <c r="C351" s="16" t="n"/>
      <c r="D351" s="14" t="n"/>
      <c r="E351" s="15">
        <f>IF($D351="","",IFERROR(INDEX(rngCadetPIDs,MATCH($D351,rngCadetNames,0)),"?"))</f>
        <v/>
      </c>
      <c r="F351" s="14" t="n"/>
      <c r="G351" s="14" t="n"/>
      <c r="H351" s="14" t="n"/>
      <c r="I351" s="14" t="n"/>
      <c r="J351" s="14" t="n"/>
      <c r="K351" s="14" t="n"/>
      <c r="L351" s="15">
        <f>IF($D351="","",IF(AND($J351="Received",$K351&lt;&gt;"Yes"),"Yes","No"))</f>
        <v/>
      </c>
      <c r="M351" s="14" t="n"/>
    </row>
    <row r="352">
      <c r="B352" s="15">
        <f>IF($D352="","","M"&amp;TEXT(ROW()-5,"000"))</f>
        <v/>
      </c>
      <c r="C352" s="16" t="n"/>
      <c r="D352" s="14" t="n"/>
      <c r="E352" s="15">
        <f>IF($D352="","",IFERROR(INDEX(rngCadetPIDs,MATCH($D352,rngCadetNames,0)),"?"))</f>
        <v/>
      </c>
      <c r="F352" s="14" t="n"/>
      <c r="G352" s="14" t="n"/>
      <c r="H352" s="14" t="n"/>
      <c r="I352" s="14" t="n"/>
      <c r="J352" s="14" t="n"/>
      <c r="K352" s="14" t="n"/>
      <c r="L352" s="15">
        <f>IF($D352="","",IF(AND($J352="Received",$K352&lt;&gt;"Yes"),"Yes","No"))</f>
        <v/>
      </c>
      <c r="M352" s="14" t="n"/>
    </row>
    <row r="353">
      <c r="B353" s="15">
        <f>IF($D353="","","M"&amp;TEXT(ROW()-5,"000"))</f>
        <v/>
      </c>
      <c r="C353" s="16" t="n"/>
      <c r="D353" s="14" t="n"/>
      <c r="E353" s="15">
        <f>IF($D353="","",IFERROR(INDEX(rngCadetPIDs,MATCH($D353,rngCadetNames,0)),"?"))</f>
        <v/>
      </c>
      <c r="F353" s="14" t="n"/>
      <c r="G353" s="14" t="n"/>
      <c r="H353" s="14" t="n"/>
      <c r="I353" s="14" t="n"/>
      <c r="J353" s="14" t="n"/>
      <c r="K353" s="14" t="n"/>
      <c r="L353" s="15">
        <f>IF($D353="","",IF(AND($J353="Received",$K353&lt;&gt;"Yes"),"Yes","No"))</f>
        <v/>
      </c>
      <c r="M353" s="14" t="n"/>
    </row>
    <row r="354">
      <c r="B354" s="15">
        <f>IF($D354="","","M"&amp;TEXT(ROW()-5,"000"))</f>
        <v/>
      </c>
      <c r="C354" s="16" t="n"/>
      <c r="D354" s="14" t="n"/>
      <c r="E354" s="15">
        <f>IF($D354="","",IFERROR(INDEX(rngCadetPIDs,MATCH($D354,rngCadetNames,0)),"?"))</f>
        <v/>
      </c>
      <c r="F354" s="14" t="n"/>
      <c r="G354" s="14" t="n"/>
      <c r="H354" s="14" t="n"/>
      <c r="I354" s="14" t="n"/>
      <c r="J354" s="14" t="n"/>
      <c r="K354" s="14" t="n"/>
      <c r="L354" s="15">
        <f>IF($D354="","",IF(AND($J354="Received",$K354&lt;&gt;"Yes"),"Yes","No"))</f>
        <v/>
      </c>
      <c r="M354" s="14" t="n"/>
    </row>
    <row r="355">
      <c r="B355" s="15">
        <f>IF($D355="","","M"&amp;TEXT(ROW()-5,"000"))</f>
        <v/>
      </c>
      <c r="C355" s="16" t="n"/>
      <c r="D355" s="14" t="n"/>
      <c r="E355" s="15">
        <f>IF($D355="","",IFERROR(INDEX(rngCadetPIDs,MATCH($D355,rngCadetNames,0)),"?"))</f>
        <v/>
      </c>
      <c r="F355" s="14" t="n"/>
      <c r="G355" s="14" t="n"/>
      <c r="H355" s="14" t="n"/>
      <c r="I355" s="14" t="n"/>
      <c r="J355" s="14" t="n"/>
      <c r="K355" s="14" t="n"/>
      <c r="L355" s="15">
        <f>IF($D355="","",IF(AND($J355="Received",$K355&lt;&gt;"Yes"),"Yes","No"))</f>
        <v/>
      </c>
      <c r="M355" s="14" t="n"/>
    </row>
    <row r="356">
      <c r="B356" s="15">
        <f>IF($D356="","","M"&amp;TEXT(ROW()-5,"000"))</f>
        <v/>
      </c>
      <c r="C356" s="16" t="n"/>
      <c r="D356" s="14" t="n"/>
      <c r="E356" s="15">
        <f>IF($D356="","",IFERROR(INDEX(rngCadetPIDs,MATCH($D356,rngCadetNames,0)),"?"))</f>
        <v/>
      </c>
      <c r="F356" s="14" t="n"/>
      <c r="G356" s="14" t="n"/>
      <c r="H356" s="14" t="n"/>
      <c r="I356" s="14" t="n"/>
      <c r="J356" s="14" t="n"/>
      <c r="K356" s="14" t="n"/>
      <c r="L356" s="15">
        <f>IF($D356="","",IF(AND($J356="Received",$K356&lt;&gt;"Yes"),"Yes","No"))</f>
        <v/>
      </c>
      <c r="M356" s="14" t="n"/>
    </row>
    <row r="357">
      <c r="B357" s="15">
        <f>IF($D357="","","M"&amp;TEXT(ROW()-5,"000"))</f>
        <v/>
      </c>
      <c r="C357" s="16" t="n"/>
      <c r="D357" s="14" t="n"/>
      <c r="E357" s="15">
        <f>IF($D357="","",IFERROR(INDEX(rngCadetPIDs,MATCH($D357,rngCadetNames,0)),"?"))</f>
        <v/>
      </c>
      <c r="F357" s="14" t="n"/>
      <c r="G357" s="14" t="n"/>
      <c r="H357" s="14" t="n"/>
      <c r="I357" s="14" t="n"/>
      <c r="J357" s="14" t="n"/>
      <c r="K357" s="14" t="n"/>
      <c r="L357" s="15">
        <f>IF($D357="","",IF(AND($J357="Received",$K357&lt;&gt;"Yes"),"Yes","No"))</f>
        <v/>
      </c>
      <c r="M357" s="14" t="n"/>
    </row>
    <row r="358">
      <c r="B358" s="15">
        <f>IF($D358="","","M"&amp;TEXT(ROW()-5,"000"))</f>
        <v/>
      </c>
      <c r="C358" s="16" t="n"/>
      <c r="D358" s="14" t="n"/>
      <c r="E358" s="15">
        <f>IF($D358="","",IFERROR(INDEX(rngCadetPIDs,MATCH($D358,rngCadetNames,0)),"?"))</f>
        <v/>
      </c>
      <c r="F358" s="14" t="n"/>
      <c r="G358" s="14" t="n"/>
      <c r="H358" s="14" t="n"/>
      <c r="I358" s="14" t="n"/>
      <c r="J358" s="14" t="n"/>
      <c r="K358" s="14" t="n"/>
      <c r="L358" s="15">
        <f>IF($D358="","",IF(AND($J358="Received",$K358&lt;&gt;"Yes"),"Yes","No"))</f>
        <v/>
      </c>
      <c r="M358" s="14" t="n"/>
    </row>
    <row r="359">
      <c r="B359" s="15">
        <f>IF($D359="","","M"&amp;TEXT(ROW()-5,"000"))</f>
        <v/>
      </c>
      <c r="C359" s="16" t="n"/>
      <c r="D359" s="14" t="n"/>
      <c r="E359" s="15">
        <f>IF($D359="","",IFERROR(INDEX(rngCadetPIDs,MATCH($D359,rngCadetNames,0)),"?"))</f>
        <v/>
      </c>
      <c r="F359" s="14" t="n"/>
      <c r="G359" s="14" t="n"/>
      <c r="H359" s="14" t="n"/>
      <c r="I359" s="14" t="n"/>
      <c r="J359" s="14" t="n"/>
      <c r="K359" s="14" t="n"/>
      <c r="L359" s="15">
        <f>IF($D359="","",IF(AND($J359="Received",$K359&lt;&gt;"Yes"),"Yes","No"))</f>
        <v/>
      </c>
      <c r="M359" s="14" t="n"/>
    </row>
    <row r="360">
      <c r="B360" s="15">
        <f>IF($D360="","","M"&amp;TEXT(ROW()-5,"000"))</f>
        <v/>
      </c>
      <c r="C360" s="16" t="n"/>
      <c r="D360" s="14" t="n"/>
      <c r="E360" s="15">
        <f>IF($D360="","",IFERROR(INDEX(rngCadetPIDs,MATCH($D360,rngCadetNames,0)),"?"))</f>
        <v/>
      </c>
      <c r="F360" s="14" t="n"/>
      <c r="G360" s="14" t="n"/>
      <c r="H360" s="14" t="n"/>
      <c r="I360" s="14" t="n"/>
      <c r="J360" s="14" t="n"/>
      <c r="K360" s="14" t="n"/>
      <c r="L360" s="15">
        <f>IF($D360="","",IF(AND($J360="Received",$K360&lt;&gt;"Yes"),"Yes","No"))</f>
        <v/>
      </c>
      <c r="M360" s="14" t="n"/>
    </row>
    <row r="361">
      <c r="B361" s="15">
        <f>IF($D361="","","M"&amp;TEXT(ROW()-5,"000"))</f>
        <v/>
      </c>
      <c r="C361" s="16" t="n"/>
      <c r="D361" s="14" t="n"/>
      <c r="E361" s="15">
        <f>IF($D361="","",IFERROR(INDEX(rngCadetPIDs,MATCH($D361,rngCadetNames,0)),"?"))</f>
        <v/>
      </c>
      <c r="F361" s="14" t="n"/>
      <c r="G361" s="14" t="n"/>
      <c r="H361" s="14" t="n"/>
      <c r="I361" s="14" t="n"/>
      <c r="J361" s="14" t="n"/>
      <c r="K361" s="14" t="n"/>
      <c r="L361" s="15">
        <f>IF($D361="","",IF(AND($J361="Received",$K361&lt;&gt;"Yes"),"Yes","No"))</f>
        <v/>
      </c>
      <c r="M361" s="14" t="n"/>
    </row>
    <row r="362">
      <c r="B362" s="15">
        <f>IF($D362="","","M"&amp;TEXT(ROW()-5,"000"))</f>
        <v/>
      </c>
      <c r="C362" s="16" t="n"/>
      <c r="D362" s="14" t="n"/>
      <c r="E362" s="15">
        <f>IF($D362="","",IFERROR(INDEX(rngCadetPIDs,MATCH($D362,rngCadetNames,0)),"?"))</f>
        <v/>
      </c>
      <c r="F362" s="14" t="n"/>
      <c r="G362" s="14" t="n"/>
      <c r="H362" s="14" t="n"/>
      <c r="I362" s="14" t="n"/>
      <c r="J362" s="14" t="n"/>
      <c r="K362" s="14" t="n"/>
      <c r="L362" s="15">
        <f>IF($D362="","",IF(AND($J362="Received",$K362&lt;&gt;"Yes"),"Yes","No"))</f>
        <v/>
      </c>
      <c r="M362" s="14" t="n"/>
    </row>
    <row r="363">
      <c r="B363" s="15">
        <f>IF($D363="","","M"&amp;TEXT(ROW()-5,"000"))</f>
        <v/>
      </c>
      <c r="C363" s="16" t="n"/>
      <c r="D363" s="14" t="n"/>
      <c r="E363" s="15">
        <f>IF($D363="","",IFERROR(INDEX(rngCadetPIDs,MATCH($D363,rngCadetNames,0)),"?"))</f>
        <v/>
      </c>
      <c r="F363" s="14" t="n"/>
      <c r="G363" s="14" t="n"/>
      <c r="H363" s="14" t="n"/>
      <c r="I363" s="14" t="n"/>
      <c r="J363" s="14" t="n"/>
      <c r="K363" s="14" t="n"/>
      <c r="L363" s="15">
        <f>IF($D363="","",IF(AND($J363="Received",$K363&lt;&gt;"Yes"),"Yes","No"))</f>
        <v/>
      </c>
      <c r="M363" s="14" t="n"/>
    </row>
    <row r="364">
      <c r="B364" s="15">
        <f>IF($D364="","","M"&amp;TEXT(ROW()-5,"000"))</f>
        <v/>
      </c>
      <c r="C364" s="16" t="n"/>
      <c r="D364" s="14" t="n"/>
      <c r="E364" s="15">
        <f>IF($D364="","",IFERROR(INDEX(rngCadetPIDs,MATCH($D364,rngCadetNames,0)),"?"))</f>
        <v/>
      </c>
      <c r="F364" s="14" t="n"/>
      <c r="G364" s="14" t="n"/>
      <c r="H364" s="14" t="n"/>
      <c r="I364" s="14" t="n"/>
      <c r="J364" s="14" t="n"/>
      <c r="K364" s="14" t="n"/>
      <c r="L364" s="15">
        <f>IF($D364="","",IF(AND($J364="Received",$K364&lt;&gt;"Yes"),"Yes","No"))</f>
        <v/>
      </c>
      <c r="M364" s="14" t="n"/>
    </row>
    <row r="365">
      <c r="B365" s="15">
        <f>IF($D365="","","M"&amp;TEXT(ROW()-5,"000"))</f>
        <v/>
      </c>
      <c r="C365" s="16" t="n"/>
      <c r="D365" s="14" t="n"/>
      <c r="E365" s="15">
        <f>IF($D365="","",IFERROR(INDEX(rngCadetPIDs,MATCH($D365,rngCadetNames,0)),"?"))</f>
        <v/>
      </c>
      <c r="F365" s="14" t="n"/>
      <c r="G365" s="14" t="n"/>
      <c r="H365" s="14" t="n"/>
      <c r="I365" s="14" t="n"/>
      <c r="J365" s="14" t="n"/>
      <c r="K365" s="14" t="n"/>
      <c r="L365" s="15">
        <f>IF($D365="","",IF(AND($J365="Received",$K365&lt;&gt;"Yes"),"Yes","No"))</f>
        <v/>
      </c>
      <c r="M365" s="14" t="n"/>
    </row>
    <row r="366">
      <c r="B366" s="15">
        <f>IF($D366="","","M"&amp;TEXT(ROW()-5,"000"))</f>
        <v/>
      </c>
      <c r="C366" s="16" t="n"/>
      <c r="D366" s="14" t="n"/>
      <c r="E366" s="15">
        <f>IF($D366="","",IFERROR(INDEX(rngCadetPIDs,MATCH($D366,rngCadetNames,0)),"?"))</f>
        <v/>
      </c>
      <c r="F366" s="14" t="n"/>
      <c r="G366" s="14" t="n"/>
      <c r="H366" s="14" t="n"/>
      <c r="I366" s="14" t="n"/>
      <c r="J366" s="14" t="n"/>
      <c r="K366" s="14" t="n"/>
      <c r="L366" s="15">
        <f>IF($D366="","",IF(AND($J366="Received",$K366&lt;&gt;"Yes"),"Yes","No"))</f>
        <v/>
      </c>
      <c r="M366" s="14" t="n"/>
    </row>
    <row r="367">
      <c r="B367" s="15">
        <f>IF($D367="","","M"&amp;TEXT(ROW()-5,"000"))</f>
        <v/>
      </c>
      <c r="C367" s="16" t="n"/>
      <c r="D367" s="14" t="n"/>
      <c r="E367" s="15">
        <f>IF($D367="","",IFERROR(INDEX(rngCadetPIDs,MATCH($D367,rngCadetNames,0)),"?"))</f>
        <v/>
      </c>
      <c r="F367" s="14" t="n"/>
      <c r="G367" s="14" t="n"/>
      <c r="H367" s="14" t="n"/>
      <c r="I367" s="14" t="n"/>
      <c r="J367" s="14" t="n"/>
      <c r="K367" s="14" t="n"/>
      <c r="L367" s="15">
        <f>IF($D367="","",IF(AND($J367="Received",$K367&lt;&gt;"Yes"),"Yes","No"))</f>
        <v/>
      </c>
      <c r="M367" s="14" t="n"/>
    </row>
    <row r="368">
      <c r="B368" s="15">
        <f>IF($D368="","","M"&amp;TEXT(ROW()-5,"000"))</f>
        <v/>
      </c>
      <c r="C368" s="16" t="n"/>
      <c r="D368" s="14" t="n"/>
      <c r="E368" s="15">
        <f>IF($D368="","",IFERROR(INDEX(rngCadetPIDs,MATCH($D368,rngCadetNames,0)),"?"))</f>
        <v/>
      </c>
      <c r="F368" s="14" t="n"/>
      <c r="G368" s="14" t="n"/>
      <c r="H368" s="14" t="n"/>
      <c r="I368" s="14" t="n"/>
      <c r="J368" s="14" t="n"/>
      <c r="K368" s="14" t="n"/>
      <c r="L368" s="15">
        <f>IF($D368="","",IF(AND($J368="Received",$K368&lt;&gt;"Yes"),"Yes","No"))</f>
        <v/>
      </c>
      <c r="M368" s="14" t="n"/>
    </row>
    <row r="369">
      <c r="B369" s="15">
        <f>IF($D369="","","M"&amp;TEXT(ROW()-5,"000"))</f>
        <v/>
      </c>
      <c r="C369" s="16" t="n"/>
      <c r="D369" s="14" t="n"/>
      <c r="E369" s="15">
        <f>IF($D369="","",IFERROR(INDEX(rngCadetPIDs,MATCH($D369,rngCadetNames,0)),"?"))</f>
        <v/>
      </c>
      <c r="F369" s="14" t="n"/>
      <c r="G369" s="14" t="n"/>
      <c r="H369" s="14" t="n"/>
      <c r="I369" s="14" t="n"/>
      <c r="J369" s="14" t="n"/>
      <c r="K369" s="14" t="n"/>
      <c r="L369" s="15">
        <f>IF($D369="","",IF(AND($J369="Received",$K369&lt;&gt;"Yes"),"Yes","No"))</f>
        <v/>
      </c>
      <c r="M369" s="14" t="n"/>
    </row>
    <row r="370">
      <c r="B370" s="15">
        <f>IF($D370="","","M"&amp;TEXT(ROW()-5,"000"))</f>
        <v/>
      </c>
      <c r="C370" s="16" t="n"/>
      <c r="D370" s="14" t="n"/>
      <c r="E370" s="15">
        <f>IF($D370="","",IFERROR(INDEX(rngCadetPIDs,MATCH($D370,rngCadetNames,0)),"?"))</f>
        <v/>
      </c>
      <c r="F370" s="14" t="n"/>
      <c r="G370" s="14" t="n"/>
      <c r="H370" s="14" t="n"/>
      <c r="I370" s="14" t="n"/>
      <c r="J370" s="14" t="n"/>
      <c r="K370" s="14" t="n"/>
      <c r="L370" s="15">
        <f>IF($D370="","",IF(AND($J370="Received",$K370&lt;&gt;"Yes"),"Yes","No"))</f>
        <v/>
      </c>
      <c r="M370" s="14" t="n"/>
    </row>
    <row r="371">
      <c r="B371" s="15">
        <f>IF($D371="","","M"&amp;TEXT(ROW()-5,"000"))</f>
        <v/>
      </c>
      <c r="C371" s="16" t="n"/>
      <c r="D371" s="14" t="n"/>
      <c r="E371" s="15">
        <f>IF($D371="","",IFERROR(INDEX(rngCadetPIDs,MATCH($D371,rngCadetNames,0)),"?"))</f>
        <v/>
      </c>
      <c r="F371" s="14" t="n"/>
      <c r="G371" s="14" t="n"/>
      <c r="H371" s="14" t="n"/>
      <c r="I371" s="14" t="n"/>
      <c r="J371" s="14" t="n"/>
      <c r="K371" s="14" t="n"/>
      <c r="L371" s="15">
        <f>IF($D371="","",IF(AND($J371="Received",$K371&lt;&gt;"Yes"),"Yes","No"))</f>
        <v/>
      </c>
      <c r="M371" s="14" t="n"/>
    </row>
    <row r="372">
      <c r="B372" s="15">
        <f>IF($D372="","","M"&amp;TEXT(ROW()-5,"000"))</f>
        <v/>
      </c>
      <c r="C372" s="16" t="n"/>
      <c r="D372" s="14" t="n"/>
      <c r="E372" s="15">
        <f>IF($D372="","",IFERROR(INDEX(rngCadetPIDs,MATCH($D372,rngCadetNames,0)),"?"))</f>
        <v/>
      </c>
      <c r="F372" s="14" t="n"/>
      <c r="G372" s="14" t="n"/>
      <c r="H372" s="14" t="n"/>
      <c r="I372" s="14" t="n"/>
      <c r="J372" s="14" t="n"/>
      <c r="K372" s="14" t="n"/>
      <c r="L372" s="15">
        <f>IF($D372="","",IF(AND($J372="Received",$K372&lt;&gt;"Yes"),"Yes","No"))</f>
        <v/>
      </c>
      <c r="M372" s="14" t="n"/>
    </row>
    <row r="373">
      <c r="B373" s="15">
        <f>IF($D373="","","M"&amp;TEXT(ROW()-5,"000"))</f>
        <v/>
      </c>
      <c r="C373" s="16" t="n"/>
      <c r="D373" s="14" t="n"/>
      <c r="E373" s="15">
        <f>IF($D373="","",IFERROR(INDEX(rngCadetPIDs,MATCH($D373,rngCadetNames,0)),"?"))</f>
        <v/>
      </c>
      <c r="F373" s="14" t="n"/>
      <c r="G373" s="14" t="n"/>
      <c r="H373" s="14" t="n"/>
      <c r="I373" s="14" t="n"/>
      <c r="J373" s="14" t="n"/>
      <c r="K373" s="14" t="n"/>
      <c r="L373" s="15">
        <f>IF($D373="","",IF(AND($J373="Received",$K373&lt;&gt;"Yes"),"Yes","No"))</f>
        <v/>
      </c>
      <c r="M373" s="14" t="n"/>
    </row>
    <row r="374">
      <c r="B374" s="15">
        <f>IF($D374="","","M"&amp;TEXT(ROW()-5,"000"))</f>
        <v/>
      </c>
      <c r="C374" s="16" t="n"/>
      <c r="D374" s="14" t="n"/>
      <c r="E374" s="15">
        <f>IF($D374="","",IFERROR(INDEX(rngCadetPIDs,MATCH($D374,rngCadetNames,0)),"?"))</f>
        <v/>
      </c>
      <c r="F374" s="14" t="n"/>
      <c r="G374" s="14" t="n"/>
      <c r="H374" s="14" t="n"/>
      <c r="I374" s="14" t="n"/>
      <c r="J374" s="14" t="n"/>
      <c r="K374" s="14" t="n"/>
      <c r="L374" s="15">
        <f>IF($D374="","",IF(AND($J374="Received",$K374&lt;&gt;"Yes"),"Yes","No"))</f>
        <v/>
      </c>
      <c r="M374" s="14" t="n"/>
    </row>
    <row r="375">
      <c r="B375" s="15">
        <f>IF($D375="","","M"&amp;TEXT(ROW()-5,"000"))</f>
        <v/>
      </c>
      <c r="C375" s="16" t="n"/>
      <c r="D375" s="14" t="n"/>
      <c r="E375" s="15">
        <f>IF($D375="","",IFERROR(INDEX(rngCadetPIDs,MATCH($D375,rngCadetNames,0)),"?"))</f>
        <v/>
      </c>
      <c r="F375" s="14" t="n"/>
      <c r="G375" s="14" t="n"/>
      <c r="H375" s="14" t="n"/>
      <c r="I375" s="14" t="n"/>
      <c r="J375" s="14" t="n"/>
      <c r="K375" s="14" t="n"/>
      <c r="L375" s="15">
        <f>IF($D375="","",IF(AND($J375="Received",$K375&lt;&gt;"Yes"),"Yes","No"))</f>
        <v/>
      </c>
      <c r="M375" s="14" t="n"/>
    </row>
    <row r="376">
      <c r="B376" s="15">
        <f>IF($D376="","","M"&amp;TEXT(ROW()-5,"000"))</f>
        <v/>
      </c>
      <c r="C376" s="16" t="n"/>
      <c r="D376" s="14" t="n"/>
      <c r="E376" s="15">
        <f>IF($D376="","",IFERROR(INDEX(rngCadetPIDs,MATCH($D376,rngCadetNames,0)),"?"))</f>
        <v/>
      </c>
      <c r="F376" s="14" t="n"/>
      <c r="G376" s="14" t="n"/>
      <c r="H376" s="14" t="n"/>
      <c r="I376" s="14" t="n"/>
      <c r="J376" s="14" t="n"/>
      <c r="K376" s="14" t="n"/>
      <c r="L376" s="15">
        <f>IF($D376="","",IF(AND($J376="Received",$K376&lt;&gt;"Yes"),"Yes","No"))</f>
        <v/>
      </c>
      <c r="M376" s="14" t="n"/>
    </row>
    <row r="377">
      <c r="B377" s="15">
        <f>IF($D377="","","M"&amp;TEXT(ROW()-5,"000"))</f>
        <v/>
      </c>
      <c r="C377" s="16" t="n"/>
      <c r="D377" s="14" t="n"/>
      <c r="E377" s="15">
        <f>IF($D377="","",IFERROR(INDEX(rngCadetPIDs,MATCH($D377,rngCadetNames,0)),"?"))</f>
        <v/>
      </c>
      <c r="F377" s="14" t="n"/>
      <c r="G377" s="14" t="n"/>
      <c r="H377" s="14" t="n"/>
      <c r="I377" s="14" t="n"/>
      <c r="J377" s="14" t="n"/>
      <c r="K377" s="14" t="n"/>
      <c r="L377" s="15">
        <f>IF($D377="","",IF(AND($J377="Received",$K377&lt;&gt;"Yes"),"Yes","No"))</f>
        <v/>
      </c>
      <c r="M377" s="14" t="n"/>
    </row>
    <row r="378">
      <c r="B378" s="15">
        <f>IF($D378="","","M"&amp;TEXT(ROW()-5,"000"))</f>
        <v/>
      </c>
      <c r="C378" s="16" t="n"/>
      <c r="D378" s="14" t="n"/>
      <c r="E378" s="15">
        <f>IF($D378="","",IFERROR(INDEX(rngCadetPIDs,MATCH($D378,rngCadetNames,0)),"?"))</f>
        <v/>
      </c>
      <c r="F378" s="14" t="n"/>
      <c r="G378" s="14" t="n"/>
      <c r="H378" s="14" t="n"/>
      <c r="I378" s="14" t="n"/>
      <c r="J378" s="14" t="n"/>
      <c r="K378" s="14" t="n"/>
      <c r="L378" s="15">
        <f>IF($D378="","",IF(AND($J378="Received",$K378&lt;&gt;"Yes"),"Yes","No"))</f>
        <v/>
      </c>
      <c r="M378" s="14" t="n"/>
    </row>
    <row r="379">
      <c r="B379" s="15">
        <f>IF($D379="","","M"&amp;TEXT(ROW()-5,"000"))</f>
        <v/>
      </c>
      <c r="C379" s="16" t="n"/>
      <c r="D379" s="14" t="n"/>
      <c r="E379" s="15">
        <f>IF($D379="","",IFERROR(INDEX(rngCadetPIDs,MATCH($D379,rngCadetNames,0)),"?"))</f>
        <v/>
      </c>
      <c r="F379" s="14" t="n"/>
      <c r="G379" s="14" t="n"/>
      <c r="H379" s="14" t="n"/>
      <c r="I379" s="14" t="n"/>
      <c r="J379" s="14" t="n"/>
      <c r="K379" s="14" t="n"/>
      <c r="L379" s="15">
        <f>IF($D379="","",IF(AND($J379="Received",$K379&lt;&gt;"Yes"),"Yes","No"))</f>
        <v/>
      </c>
      <c r="M379" s="14" t="n"/>
    </row>
    <row r="380">
      <c r="B380" s="15">
        <f>IF($D380="","","M"&amp;TEXT(ROW()-5,"000"))</f>
        <v/>
      </c>
      <c r="C380" s="16" t="n"/>
      <c r="D380" s="14" t="n"/>
      <c r="E380" s="15">
        <f>IF($D380="","",IFERROR(INDEX(rngCadetPIDs,MATCH($D380,rngCadetNames,0)),"?"))</f>
        <v/>
      </c>
      <c r="F380" s="14" t="n"/>
      <c r="G380" s="14" t="n"/>
      <c r="H380" s="14" t="n"/>
      <c r="I380" s="14" t="n"/>
      <c r="J380" s="14" t="n"/>
      <c r="K380" s="14" t="n"/>
      <c r="L380" s="15">
        <f>IF($D380="","",IF(AND($J380="Received",$K380&lt;&gt;"Yes"),"Yes","No"))</f>
        <v/>
      </c>
      <c r="M380" s="14" t="n"/>
    </row>
    <row r="381">
      <c r="B381" s="15">
        <f>IF($D381="","","M"&amp;TEXT(ROW()-5,"000"))</f>
        <v/>
      </c>
      <c r="C381" s="16" t="n"/>
      <c r="D381" s="14" t="n"/>
      <c r="E381" s="15">
        <f>IF($D381="","",IFERROR(INDEX(rngCadetPIDs,MATCH($D381,rngCadetNames,0)),"?"))</f>
        <v/>
      </c>
      <c r="F381" s="14" t="n"/>
      <c r="G381" s="14" t="n"/>
      <c r="H381" s="14" t="n"/>
      <c r="I381" s="14" t="n"/>
      <c r="J381" s="14" t="n"/>
      <c r="K381" s="14" t="n"/>
      <c r="L381" s="15">
        <f>IF($D381="","",IF(AND($J381="Received",$K381&lt;&gt;"Yes"),"Yes","No"))</f>
        <v/>
      </c>
      <c r="M381" s="14" t="n"/>
    </row>
    <row r="382">
      <c r="B382" s="15">
        <f>IF($D382="","","M"&amp;TEXT(ROW()-5,"000"))</f>
        <v/>
      </c>
      <c r="C382" s="16" t="n"/>
      <c r="D382" s="14" t="n"/>
      <c r="E382" s="15">
        <f>IF($D382="","",IFERROR(INDEX(rngCadetPIDs,MATCH($D382,rngCadetNames,0)),"?"))</f>
        <v/>
      </c>
      <c r="F382" s="14" t="n"/>
      <c r="G382" s="14" t="n"/>
      <c r="H382" s="14" t="n"/>
      <c r="I382" s="14" t="n"/>
      <c r="J382" s="14" t="n"/>
      <c r="K382" s="14" t="n"/>
      <c r="L382" s="15">
        <f>IF($D382="","",IF(AND($J382="Received",$K382&lt;&gt;"Yes"),"Yes","No"))</f>
        <v/>
      </c>
      <c r="M382" s="14" t="n"/>
    </row>
    <row r="383">
      <c r="B383" s="15">
        <f>IF($D383="","","M"&amp;TEXT(ROW()-5,"000"))</f>
        <v/>
      </c>
      <c r="C383" s="16" t="n"/>
      <c r="D383" s="14" t="n"/>
      <c r="E383" s="15">
        <f>IF($D383="","",IFERROR(INDEX(rngCadetPIDs,MATCH($D383,rngCadetNames,0)),"?"))</f>
        <v/>
      </c>
      <c r="F383" s="14" t="n"/>
      <c r="G383" s="14" t="n"/>
      <c r="H383" s="14" t="n"/>
      <c r="I383" s="14" t="n"/>
      <c r="J383" s="14" t="n"/>
      <c r="K383" s="14" t="n"/>
      <c r="L383" s="15">
        <f>IF($D383="","",IF(AND($J383="Received",$K383&lt;&gt;"Yes"),"Yes","No"))</f>
        <v/>
      </c>
      <c r="M383" s="14" t="n"/>
    </row>
    <row r="384">
      <c r="B384" s="15">
        <f>IF($D384="","","M"&amp;TEXT(ROW()-5,"000"))</f>
        <v/>
      </c>
      <c r="C384" s="16" t="n"/>
      <c r="D384" s="14" t="n"/>
      <c r="E384" s="15">
        <f>IF($D384="","",IFERROR(INDEX(rngCadetPIDs,MATCH($D384,rngCadetNames,0)),"?"))</f>
        <v/>
      </c>
      <c r="F384" s="14" t="n"/>
      <c r="G384" s="14" t="n"/>
      <c r="H384" s="14" t="n"/>
      <c r="I384" s="14" t="n"/>
      <c r="J384" s="14" t="n"/>
      <c r="K384" s="14" t="n"/>
      <c r="L384" s="15">
        <f>IF($D384="","",IF(AND($J384="Received",$K384&lt;&gt;"Yes"),"Yes","No"))</f>
        <v/>
      </c>
      <c r="M384" s="14" t="n"/>
    </row>
    <row r="385">
      <c r="B385" s="15">
        <f>IF($D385="","","M"&amp;TEXT(ROW()-5,"000"))</f>
        <v/>
      </c>
      <c r="C385" s="16" t="n"/>
      <c r="D385" s="14" t="n"/>
      <c r="E385" s="15">
        <f>IF($D385="","",IFERROR(INDEX(rngCadetPIDs,MATCH($D385,rngCadetNames,0)),"?"))</f>
        <v/>
      </c>
      <c r="F385" s="14" t="n"/>
      <c r="G385" s="14" t="n"/>
      <c r="H385" s="14" t="n"/>
      <c r="I385" s="14" t="n"/>
      <c r="J385" s="14" t="n"/>
      <c r="K385" s="14" t="n"/>
      <c r="L385" s="15">
        <f>IF($D385="","",IF(AND($J385="Received",$K385&lt;&gt;"Yes"),"Yes","No"))</f>
        <v/>
      </c>
      <c r="M385" s="14" t="n"/>
    </row>
    <row r="386">
      <c r="B386" s="15">
        <f>IF($D386="","","M"&amp;TEXT(ROW()-5,"000"))</f>
        <v/>
      </c>
      <c r="C386" s="16" t="n"/>
      <c r="D386" s="14" t="n"/>
      <c r="E386" s="15">
        <f>IF($D386="","",IFERROR(INDEX(rngCadetPIDs,MATCH($D386,rngCadetNames,0)),"?"))</f>
        <v/>
      </c>
      <c r="F386" s="14" t="n"/>
      <c r="G386" s="14" t="n"/>
      <c r="H386" s="14" t="n"/>
      <c r="I386" s="14" t="n"/>
      <c r="J386" s="14" t="n"/>
      <c r="K386" s="14" t="n"/>
      <c r="L386" s="15">
        <f>IF($D386="","",IF(AND($J386="Received",$K386&lt;&gt;"Yes"),"Yes","No"))</f>
        <v/>
      </c>
      <c r="M386" s="14" t="n"/>
    </row>
    <row r="387">
      <c r="B387" s="15">
        <f>IF($D387="","","M"&amp;TEXT(ROW()-5,"000"))</f>
        <v/>
      </c>
      <c r="C387" s="16" t="n"/>
      <c r="D387" s="14" t="n"/>
      <c r="E387" s="15">
        <f>IF($D387="","",IFERROR(INDEX(rngCadetPIDs,MATCH($D387,rngCadetNames,0)),"?"))</f>
        <v/>
      </c>
      <c r="F387" s="14" t="n"/>
      <c r="G387" s="14" t="n"/>
      <c r="H387" s="14" t="n"/>
      <c r="I387" s="14" t="n"/>
      <c r="J387" s="14" t="n"/>
      <c r="K387" s="14" t="n"/>
      <c r="L387" s="15">
        <f>IF($D387="","",IF(AND($J387="Received",$K387&lt;&gt;"Yes"),"Yes","No"))</f>
        <v/>
      </c>
      <c r="M387" s="14" t="n"/>
    </row>
    <row r="388">
      <c r="B388" s="15">
        <f>IF($D388="","","M"&amp;TEXT(ROW()-5,"000"))</f>
        <v/>
      </c>
      <c r="C388" s="16" t="n"/>
      <c r="D388" s="14" t="n"/>
      <c r="E388" s="15">
        <f>IF($D388="","",IFERROR(INDEX(rngCadetPIDs,MATCH($D388,rngCadetNames,0)),"?"))</f>
        <v/>
      </c>
      <c r="F388" s="14" t="n"/>
      <c r="G388" s="14" t="n"/>
      <c r="H388" s="14" t="n"/>
      <c r="I388" s="14" t="n"/>
      <c r="J388" s="14" t="n"/>
      <c r="K388" s="14" t="n"/>
      <c r="L388" s="15">
        <f>IF($D388="","",IF(AND($J388="Received",$K388&lt;&gt;"Yes"),"Yes","No"))</f>
        <v/>
      </c>
      <c r="M388" s="14" t="n"/>
    </row>
    <row r="389">
      <c r="B389" s="15">
        <f>IF($D389="","","M"&amp;TEXT(ROW()-5,"000"))</f>
        <v/>
      </c>
      <c r="C389" s="16" t="n"/>
      <c r="D389" s="14" t="n"/>
      <c r="E389" s="15">
        <f>IF($D389="","",IFERROR(INDEX(rngCadetPIDs,MATCH($D389,rngCadetNames,0)),"?"))</f>
        <v/>
      </c>
      <c r="F389" s="14" t="n"/>
      <c r="G389" s="14" t="n"/>
      <c r="H389" s="14" t="n"/>
      <c r="I389" s="14" t="n"/>
      <c r="J389" s="14" t="n"/>
      <c r="K389" s="14" t="n"/>
      <c r="L389" s="15">
        <f>IF($D389="","",IF(AND($J389="Received",$K389&lt;&gt;"Yes"),"Yes","No"))</f>
        <v/>
      </c>
      <c r="M389" s="14" t="n"/>
    </row>
    <row r="390">
      <c r="B390" s="15">
        <f>IF($D390="","","M"&amp;TEXT(ROW()-5,"000"))</f>
        <v/>
      </c>
      <c r="C390" s="16" t="n"/>
      <c r="D390" s="14" t="n"/>
      <c r="E390" s="15">
        <f>IF($D390="","",IFERROR(INDEX(rngCadetPIDs,MATCH($D390,rngCadetNames,0)),"?"))</f>
        <v/>
      </c>
      <c r="F390" s="14" t="n"/>
      <c r="G390" s="14" t="n"/>
      <c r="H390" s="14" t="n"/>
      <c r="I390" s="14" t="n"/>
      <c r="J390" s="14" t="n"/>
      <c r="K390" s="14" t="n"/>
      <c r="L390" s="15">
        <f>IF($D390="","",IF(AND($J390="Received",$K390&lt;&gt;"Yes"),"Yes","No"))</f>
        <v/>
      </c>
      <c r="M390" s="14" t="n"/>
    </row>
    <row r="391">
      <c r="B391" s="15">
        <f>IF($D391="","","M"&amp;TEXT(ROW()-5,"000"))</f>
        <v/>
      </c>
      <c r="C391" s="16" t="n"/>
      <c r="D391" s="14" t="n"/>
      <c r="E391" s="15">
        <f>IF($D391="","",IFERROR(INDEX(rngCadetPIDs,MATCH($D391,rngCadetNames,0)),"?"))</f>
        <v/>
      </c>
      <c r="F391" s="14" t="n"/>
      <c r="G391" s="14" t="n"/>
      <c r="H391" s="14" t="n"/>
      <c r="I391" s="14" t="n"/>
      <c r="J391" s="14" t="n"/>
      <c r="K391" s="14" t="n"/>
      <c r="L391" s="15">
        <f>IF($D391="","",IF(AND($J391="Received",$K391&lt;&gt;"Yes"),"Yes","No"))</f>
        <v/>
      </c>
      <c r="M391" s="14" t="n"/>
    </row>
    <row r="392">
      <c r="B392" s="15">
        <f>IF($D392="","","M"&amp;TEXT(ROW()-5,"000"))</f>
        <v/>
      </c>
      <c r="C392" s="16" t="n"/>
      <c r="D392" s="14" t="n"/>
      <c r="E392" s="15">
        <f>IF($D392="","",IFERROR(INDEX(rngCadetPIDs,MATCH($D392,rngCadetNames,0)),"?"))</f>
        <v/>
      </c>
      <c r="F392" s="14" t="n"/>
      <c r="G392" s="14" t="n"/>
      <c r="H392" s="14" t="n"/>
      <c r="I392" s="14" t="n"/>
      <c r="J392" s="14" t="n"/>
      <c r="K392" s="14" t="n"/>
      <c r="L392" s="15">
        <f>IF($D392="","",IF(AND($J392="Received",$K392&lt;&gt;"Yes"),"Yes","No"))</f>
        <v/>
      </c>
      <c r="M392" s="14" t="n"/>
    </row>
    <row r="393">
      <c r="B393" s="15">
        <f>IF($D393="","","M"&amp;TEXT(ROW()-5,"000"))</f>
        <v/>
      </c>
      <c r="C393" s="16" t="n"/>
      <c r="D393" s="14" t="n"/>
      <c r="E393" s="15">
        <f>IF($D393="","",IFERROR(INDEX(rngCadetPIDs,MATCH($D393,rngCadetNames,0)),"?"))</f>
        <v/>
      </c>
      <c r="F393" s="14" t="n"/>
      <c r="G393" s="14" t="n"/>
      <c r="H393" s="14" t="n"/>
      <c r="I393" s="14" t="n"/>
      <c r="J393" s="14" t="n"/>
      <c r="K393" s="14" t="n"/>
      <c r="L393" s="15">
        <f>IF($D393="","",IF(AND($J393="Received",$K393&lt;&gt;"Yes"),"Yes","No"))</f>
        <v/>
      </c>
      <c r="M393" s="14" t="n"/>
    </row>
    <row r="394">
      <c r="B394" s="15">
        <f>IF($D394="","","M"&amp;TEXT(ROW()-5,"000"))</f>
        <v/>
      </c>
      <c r="C394" s="16" t="n"/>
      <c r="D394" s="14" t="n"/>
      <c r="E394" s="15">
        <f>IF($D394="","",IFERROR(INDEX(rngCadetPIDs,MATCH($D394,rngCadetNames,0)),"?"))</f>
        <v/>
      </c>
      <c r="F394" s="14" t="n"/>
      <c r="G394" s="14" t="n"/>
      <c r="H394" s="14" t="n"/>
      <c r="I394" s="14" t="n"/>
      <c r="J394" s="14" t="n"/>
      <c r="K394" s="14" t="n"/>
      <c r="L394" s="15">
        <f>IF($D394="","",IF(AND($J394="Received",$K394&lt;&gt;"Yes"),"Yes","No"))</f>
        <v/>
      </c>
      <c r="M394" s="14" t="n"/>
    </row>
    <row r="395">
      <c r="B395" s="15">
        <f>IF($D395="","","M"&amp;TEXT(ROW()-5,"000"))</f>
        <v/>
      </c>
      <c r="C395" s="16" t="n"/>
      <c r="D395" s="14" t="n"/>
      <c r="E395" s="15">
        <f>IF($D395="","",IFERROR(INDEX(rngCadetPIDs,MATCH($D395,rngCadetNames,0)),"?"))</f>
        <v/>
      </c>
      <c r="F395" s="14" t="n"/>
      <c r="G395" s="14" t="n"/>
      <c r="H395" s="14" t="n"/>
      <c r="I395" s="14" t="n"/>
      <c r="J395" s="14" t="n"/>
      <c r="K395" s="14" t="n"/>
      <c r="L395" s="15">
        <f>IF($D395="","",IF(AND($J395="Received",$K395&lt;&gt;"Yes"),"Yes","No"))</f>
        <v/>
      </c>
      <c r="M395" s="14" t="n"/>
    </row>
    <row r="396">
      <c r="B396" s="15">
        <f>IF($D396="","","M"&amp;TEXT(ROW()-5,"000"))</f>
        <v/>
      </c>
      <c r="C396" s="16" t="n"/>
      <c r="D396" s="14" t="n"/>
      <c r="E396" s="15">
        <f>IF($D396="","",IFERROR(INDEX(rngCadetPIDs,MATCH($D396,rngCadetNames,0)),"?"))</f>
        <v/>
      </c>
      <c r="F396" s="14" t="n"/>
      <c r="G396" s="14" t="n"/>
      <c r="H396" s="14" t="n"/>
      <c r="I396" s="14" t="n"/>
      <c r="J396" s="14" t="n"/>
      <c r="K396" s="14" t="n"/>
      <c r="L396" s="15">
        <f>IF($D396="","",IF(AND($J396="Received",$K396&lt;&gt;"Yes"),"Yes","No"))</f>
        <v/>
      </c>
      <c r="M396" s="14" t="n"/>
    </row>
    <row r="397">
      <c r="B397" s="15">
        <f>IF($D397="","","M"&amp;TEXT(ROW()-5,"000"))</f>
        <v/>
      </c>
      <c r="C397" s="16" t="n"/>
      <c r="D397" s="14" t="n"/>
      <c r="E397" s="15">
        <f>IF($D397="","",IFERROR(INDEX(rngCadetPIDs,MATCH($D397,rngCadetNames,0)),"?"))</f>
        <v/>
      </c>
      <c r="F397" s="14" t="n"/>
      <c r="G397" s="14" t="n"/>
      <c r="H397" s="14" t="n"/>
      <c r="I397" s="14" t="n"/>
      <c r="J397" s="14" t="n"/>
      <c r="K397" s="14" t="n"/>
      <c r="L397" s="15">
        <f>IF($D397="","",IF(AND($J397="Received",$K397&lt;&gt;"Yes"),"Yes","No"))</f>
        <v/>
      </c>
      <c r="M397" s="14" t="n"/>
    </row>
    <row r="398">
      <c r="B398" s="15">
        <f>IF($D398="","","M"&amp;TEXT(ROW()-5,"000"))</f>
        <v/>
      </c>
      <c r="C398" s="16" t="n"/>
      <c r="D398" s="14" t="n"/>
      <c r="E398" s="15">
        <f>IF($D398="","",IFERROR(INDEX(rngCadetPIDs,MATCH($D398,rngCadetNames,0)),"?"))</f>
        <v/>
      </c>
      <c r="F398" s="14" t="n"/>
      <c r="G398" s="14" t="n"/>
      <c r="H398" s="14" t="n"/>
      <c r="I398" s="14" t="n"/>
      <c r="J398" s="14" t="n"/>
      <c r="K398" s="14" t="n"/>
      <c r="L398" s="15">
        <f>IF($D398="","",IF(AND($J398="Received",$K398&lt;&gt;"Yes"),"Yes","No"))</f>
        <v/>
      </c>
      <c r="M398" s="14" t="n"/>
    </row>
    <row r="399">
      <c r="B399" s="15">
        <f>IF($D399="","","M"&amp;TEXT(ROW()-5,"000"))</f>
        <v/>
      </c>
      <c r="C399" s="16" t="n"/>
      <c r="D399" s="14" t="n"/>
      <c r="E399" s="15">
        <f>IF($D399="","",IFERROR(INDEX(rngCadetPIDs,MATCH($D399,rngCadetNames,0)),"?"))</f>
        <v/>
      </c>
      <c r="F399" s="14" t="n"/>
      <c r="G399" s="14" t="n"/>
      <c r="H399" s="14" t="n"/>
      <c r="I399" s="14" t="n"/>
      <c r="J399" s="14" t="n"/>
      <c r="K399" s="14" t="n"/>
      <c r="L399" s="15">
        <f>IF($D399="","",IF(AND($J399="Received",$K399&lt;&gt;"Yes"),"Yes","No"))</f>
        <v/>
      </c>
      <c r="M399" s="14" t="n"/>
    </row>
    <row r="400">
      <c r="B400" s="15">
        <f>IF($D400="","","M"&amp;TEXT(ROW()-5,"000"))</f>
        <v/>
      </c>
      <c r="C400" s="16" t="n"/>
      <c r="D400" s="14" t="n"/>
      <c r="E400" s="15">
        <f>IF($D400="","",IFERROR(INDEX(rngCadetPIDs,MATCH($D400,rngCadetNames,0)),"?"))</f>
        <v/>
      </c>
      <c r="F400" s="14" t="n"/>
      <c r="G400" s="14" t="n"/>
      <c r="H400" s="14" t="n"/>
      <c r="I400" s="14" t="n"/>
      <c r="J400" s="14" t="n"/>
      <c r="K400" s="14" t="n"/>
      <c r="L400" s="15">
        <f>IF($D400="","",IF(AND($J400="Received",$K400&lt;&gt;"Yes"),"Yes","No"))</f>
        <v/>
      </c>
      <c r="M400" s="14" t="n"/>
    </row>
    <row r="401">
      <c r="B401" s="15">
        <f>IF($D401="","","M"&amp;TEXT(ROW()-5,"000"))</f>
        <v/>
      </c>
      <c r="C401" s="16" t="n"/>
      <c r="D401" s="14" t="n"/>
      <c r="E401" s="15">
        <f>IF($D401="","",IFERROR(INDEX(rngCadetPIDs,MATCH($D401,rngCadetNames,0)),"?"))</f>
        <v/>
      </c>
      <c r="F401" s="14" t="n"/>
      <c r="G401" s="14" t="n"/>
      <c r="H401" s="14" t="n"/>
      <c r="I401" s="14" t="n"/>
      <c r="J401" s="14" t="n"/>
      <c r="K401" s="14" t="n"/>
      <c r="L401" s="15">
        <f>IF($D401="","",IF(AND($J401="Received",$K401&lt;&gt;"Yes"),"Yes","No"))</f>
        <v/>
      </c>
      <c r="M401" s="14" t="n"/>
    </row>
    <row r="402">
      <c r="B402" s="15">
        <f>IF($D402="","","M"&amp;TEXT(ROW()-5,"000"))</f>
        <v/>
      </c>
      <c r="C402" s="16" t="n"/>
      <c r="D402" s="14" t="n"/>
      <c r="E402" s="15">
        <f>IF($D402="","",IFERROR(INDEX(rngCadetPIDs,MATCH($D402,rngCadetNames,0)),"?"))</f>
        <v/>
      </c>
      <c r="F402" s="14" t="n"/>
      <c r="G402" s="14" t="n"/>
      <c r="H402" s="14" t="n"/>
      <c r="I402" s="14" t="n"/>
      <c r="J402" s="14" t="n"/>
      <c r="K402" s="14" t="n"/>
      <c r="L402" s="15">
        <f>IF($D402="","",IF(AND($J402="Received",$K402&lt;&gt;"Yes"),"Yes","No"))</f>
        <v/>
      </c>
      <c r="M402" s="14" t="n"/>
    </row>
    <row r="403">
      <c r="B403" s="15">
        <f>IF($D403="","","M"&amp;TEXT(ROW()-5,"000"))</f>
        <v/>
      </c>
      <c r="C403" s="16" t="n"/>
      <c r="D403" s="14" t="n"/>
      <c r="E403" s="15">
        <f>IF($D403="","",IFERROR(INDEX(rngCadetPIDs,MATCH($D403,rngCadetNames,0)),"?"))</f>
        <v/>
      </c>
      <c r="F403" s="14" t="n"/>
      <c r="G403" s="14" t="n"/>
      <c r="H403" s="14" t="n"/>
      <c r="I403" s="14" t="n"/>
      <c r="J403" s="14" t="n"/>
      <c r="K403" s="14" t="n"/>
      <c r="L403" s="15">
        <f>IF($D403="","",IF(AND($J403="Received",$K403&lt;&gt;"Yes"),"Yes","No"))</f>
        <v/>
      </c>
      <c r="M403" s="14" t="n"/>
    </row>
    <row r="404">
      <c r="B404" s="15">
        <f>IF($D404="","","M"&amp;TEXT(ROW()-5,"000"))</f>
        <v/>
      </c>
      <c r="C404" s="16" t="n"/>
      <c r="D404" s="14" t="n"/>
      <c r="E404" s="15">
        <f>IF($D404="","",IFERROR(INDEX(rngCadetPIDs,MATCH($D404,rngCadetNames,0)),"?"))</f>
        <v/>
      </c>
      <c r="F404" s="14" t="n"/>
      <c r="G404" s="14" t="n"/>
      <c r="H404" s="14" t="n"/>
      <c r="I404" s="14" t="n"/>
      <c r="J404" s="14" t="n"/>
      <c r="K404" s="14" t="n"/>
      <c r="L404" s="15">
        <f>IF($D404="","",IF(AND($J404="Received",$K404&lt;&gt;"Yes"),"Yes","No"))</f>
        <v/>
      </c>
      <c r="M404" s="14" t="n"/>
    </row>
    <row r="405">
      <c r="B405" s="15">
        <f>IF($D405="","","M"&amp;TEXT(ROW()-5,"000"))</f>
        <v/>
      </c>
      <c r="C405" s="16" t="n"/>
      <c r="D405" s="14" t="n"/>
      <c r="E405" s="15">
        <f>IF($D405="","",IFERROR(INDEX(rngCadetPIDs,MATCH($D405,rngCadetNames,0)),"?"))</f>
        <v/>
      </c>
      <c r="F405" s="14" t="n"/>
      <c r="G405" s="14" t="n"/>
      <c r="H405" s="14" t="n"/>
      <c r="I405" s="14" t="n"/>
      <c r="J405" s="14" t="n"/>
      <c r="K405" s="14" t="n"/>
      <c r="L405" s="15">
        <f>IF($D405="","",IF(AND($J405="Received",$K405&lt;&gt;"Yes"),"Yes","No"))</f>
        <v/>
      </c>
      <c r="M405" s="14" t="n"/>
    </row>
    <row r="406">
      <c r="B406" s="15">
        <f>IF($D406="","","M"&amp;TEXT(ROW()-5,"000"))</f>
        <v/>
      </c>
      <c r="C406" s="16" t="n"/>
      <c r="D406" s="14" t="n"/>
      <c r="E406" s="15">
        <f>IF($D406="","",IFERROR(INDEX(rngCadetPIDs,MATCH($D406,rngCadetNames,0)),"?"))</f>
        <v/>
      </c>
      <c r="F406" s="14" t="n"/>
      <c r="G406" s="14" t="n"/>
      <c r="H406" s="14" t="n"/>
      <c r="I406" s="14" t="n"/>
      <c r="J406" s="14" t="n"/>
      <c r="K406" s="14" t="n"/>
      <c r="L406" s="15">
        <f>IF($D406="","",IF(AND($J406="Received",$K406&lt;&gt;"Yes"),"Yes","No"))</f>
        <v/>
      </c>
      <c r="M406" s="14" t="n"/>
    </row>
    <row r="407">
      <c r="B407" s="15">
        <f>IF($D407="","","M"&amp;TEXT(ROW()-5,"000"))</f>
        <v/>
      </c>
      <c r="C407" s="16" t="n"/>
      <c r="D407" s="14" t="n"/>
      <c r="E407" s="15">
        <f>IF($D407="","",IFERROR(INDEX(rngCadetPIDs,MATCH($D407,rngCadetNames,0)),"?"))</f>
        <v/>
      </c>
      <c r="F407" s="14" t="n"/>
      <c r="G407" s="14" t="n"/>
      <c r="H407" s="14" t="n"/>
      <c r="I407" s="14" t="n"/>
      <c r="J407" s="14" t="n"/>
      <c r="K407" s="14" t="n"/>
      <c r="L407" s="15">
        <f>IF($D407="","",IF(AND($J407="Received",$K407&lt;&gt;"Yes"),"Yes","No"))</f>
        <v/>
      </c>
      <c r="M407" s="14" t="n"/>
    </row>
    <row r="408">
      <c r="B408" s="15">
        <f>IF($D408="","","M"&amp;TEXT(ROW()-5,"000"))</f>
        <v/>
      </c>
      <c r="C408" s="16" t="n"/>
      <c r="D408" s="14" t="n"/>
      <c r="E408" s="15">
        <f>IF($D408="","",IFERROR(INDEX(rngCadetPIDs,MATCH($D408,rngCadetNames,0)),"?"))</f>
        <v/>
      </c>
      <c r="F408" s="14" t="n"/>
      <c r="G408" s="14" t="n"/>
      <c r="H408" s="14" t="n"/>
      <c r="I408" s="14" t="n"/>
      <c r="J408" s="14" t="n"/>
      <c r="K408" s="14" t="n"/>
      <c r="L408" s="15">
        <f>IF($D408="","",IF(AND($J408="Received",$K408&lt;&gt;"Yes"),"Yes","No"))</f>
        <v/>
      </c>
      <c r="M408" s="14" t="n"/>
    </row>
    <row r="409">
      <c r="B409" s="15">
        <f>IF($D409="","","M"&amp;TEXT(ROW()-5,"000"))</f>
        <v/>
      </c>
      <c r="C409" s="16" t="n"/>
      <c r="D409" s="14" t="n"/>
      <c r="E409" s="15">
        <f>IF($D409="","",IFERROR(INDEX(rngCadetPIDs,MATCH($D409,rngCadetNames,0)),"?"))</f>
        <v/>
      </c>
      <c r="F409" s="14" t="n"/>
      <c r="G409" s="14" t="n"/>
      <c r="H409" s="14" t="n"/>
      <c r="I409" s="14" t="n"/>
      <c r="J409" s="14" t="n"/>
      <c r="K409" s="14" t="n"/>
      <c r="L409" s="15">
        <f>IF($D409="","",IF(AND($J409="Received",$K409&lt;&gt;"Yes"),"Yes","No"))</f>
        <v/>
      </c>
      <c r="M409" s="14" t="n"/>
    </row>
    <row r="410">
      <c r="B410" s="15">
        <f>IF($D410="","","M"&amp;TEXT(ROW()-5,"000"))</f>
        <v/>
      </c>
      <c r="C410" s="16" t="n"/>
      <c r="D410" s="14" t="n"/>
      <c r="E410" s="15">
        <f>IF($D410="","",IFERROR(INDEX(rngCadetPIDs,MATCH($D410,rngCadetNames,0)),"?"))</f>
        <v/>
      </c>
      <c r="F410" s="14" t="n"/>
      <c r="G410" s="14" t="n"/>
      <c r="H410" s="14" t="n"/>
      <c r="I410" s="14" t="n"/>
      <c r="J410" s="14" t="n"/>
      <c r="K410" s="14" t="n"/>
      <c r="L410" s="15">
        <f>IF($D410="","",IF(AND($J410="Received",$K410&lt;&gt;"Yes"),"Yes","No"))</f>
        <v/>
      </c>
      <c r="M410" s="14" t="n"/>
    </row>
    <row r="411">
      <c r="B411" s="15">
        <f>IF($D411="","","M"&amp;TEXT(ROW()-5,"000"))</f>
        <v/>
      </c>
      <c r="C411" s="16" t="n"/>
      <c r="D411" s="14" t="n"/>
      <c r="E411" s="15">
        <f>IF($D411="","",IFERROR(INDEX(rngCadetPIDs,MATCH($D411,rngCadetNames,0)),"?"))</f>
        <v/>
      </c>
      <c r="F411" s="14" t="n"/>
      <c r="G411" s="14" t="n"/>
      <c r="H411" s="14" t="n"/>
      <c r="I411" s="14" t="n"/>
      <c r="J411" s="14" t="n"/>
      <c r="K411" s="14" t="n"/>
      <c r="L411" s="15">
        <f>IF($D411="","",IF(AND($J411="Received",$K411&lt;&gt;"Yes"),"Yes","No"))</f>
        <v/>
      </c>
      <c r="M411" s="14" t="n"/>
    </row>
    <row r="412">
      <c r="B412" s="15">
        <f>IF($D412="","","M"&amp;TEXT(ROW()-5,"000"))</f>
        <v/>
      </c>
      <c r="C412" s="16" t="n"/>
      <c r="D412" s="14" t="n"/>
      <c r="E412" s="15">
        <f>IF($D412="","",IFERROR(INDEX(rngCadetPIDs,MATCH($D412,rngCadetNames,0)),"?"))</f>
        <v/>
      </c>
      <c r="F412" s="14" t="n"/>
      <c r="G412" s="14" t="n"/>
      <c r="H412" s="14" t="n"/>
      <c r="I412" s="14" t="n"/>
      <c r="J412" s="14" t="n"/>
      <c r="K412" s="14" t="n"/>
      <c r="L412" s="15">
        <f>IF($D412="","",IF(AND($J412="Received",$K412&lt;&gt;"Yes"),"Yes","No"))</f>
        <v/>
      </c>
      <c r="M412" s="14" t="n"/>
    </row>
    <row r="413">
      <c r="B413" s="15">
        <f>IF($D413="","","M"&amp;TEXT(ROW()-5,"000"))</f>
        <v/>
      </c>
      <c r="C413" s="16" t="n"/>
      <c r="D413" s="14" t="n"/>
      <c r="E413" s="15">
        <f>IF($D413="","",IFERROR(INDEX(rngCadetPIDs,MATCH($D413,rngCadetNames,0)),"?"))</f>
        <v/>
      </c>
      <c r="F413" s="14" t="n"/>
      <c r="G413" s="14" t="n"/>
      <c r="H413" s="14" t="n"/>
      <c r="I413" s="14" t="n"/>
      <c r="J413" s="14" t="n"/>
      <c r="K413" s="14" t="n"/>
      <c r="L413" s="15">
        <f>IF($D413="","",IF(AND($J413="Received",$K413&lt;&gt;"Yes"),"Yes","No"))</f>
        <v/>
      </c>
      <c r="M413" s="14" t="n"/>
    </row>
    <row r="414">
      <c r="B414" s="15">
        <f>IF($D414="","","M"&amp;TEXT(ROW()-5,"000"))</f>
        <v/>
      </c>
      <c r="C414" s="16" t="n"/>
      <c r="D414" s="14" t="n"/>
      <c r="E414" s="15">
        <f>IF($D414="","",IFERROR(INDEX(rngCadetPIDs,MATCH($D414,rngCadetNames,0)),"?"))</f>
        <v/>
      </c>
      <c r="F414" s="14" t="n"/>
      <c r="G414" s="14" t="n"/>
      <c r="H414" s="14" t="n"/>
      <c r="I414" s="14" t="n"/>
      <c r="J414" s="14" t="n"/>
      <c r="K414" s="14" t="n"/>
      <c r="L414" s="15">
        <f>IF($D414="","",IF(AND($J414="Received",$K414&lt;&gt;"Yes"),"Yes","No"))</f>
        <v/>
      </c>
      <c r="M414" s="14" t="n"/>
    </row>
    <row r="415">
      <c r="B415" s="15">
        <f>IF($D415="","","M"&amp;TEXT(ROW()-5,"000"))</f>
        <v/>
      </c>
      <c r="C415" s="16" t="n"/>
      <c r="D415" s="14" t="n"/>
      <c r="E415" s="15">
        <f>IF($D415="","",IFERROR(INDEX(rngCadetPIDs,MATCH($D415,rngCadetNames,0)),"?"))</f>
        <v/>
      </c>
      <c r="F415" s="14" t="n"/>
      <c r="G415" s="14" t="n"/>
      <c r="H415" s="14" t="n"/>
      <c r="I415" s="14" t="n"/>
      <c r="J415" s="14" t="n"/>
      <c r="K415" s="14" t="n"/>
      <c r="L415" s="15">
        <f>IF($D415="","",IF(AND($J415="Received",$K415&lt;&gt;"Yes"),"Yes","No"))</f>
        <v/>
      </c>
      <c r="M415" s="14" t="n"/>
    </row>
    <row r="416">
      <c r="B416" s="15">
        <f>IF($D416="","","M"&amp;TEXT(ROW()-5,"000"))</f>
        <v/>
      </c>
      <c r="C416" s="16" t="n"/>
      <c r="D416" s="14" t="n"/>
      <c r="E416" s="15">
        <f>IF($D416="","",IFERROR(INDEX(rngCadetPIDs,MATCH($D416,rngCadetNames,0)),"?"))</f>
        <v/>
      </c>
      <c r="F416" s="14" t="n"/>
      <c r="G416" s="14" t="n"/>
      <c r="H416" s="14" t="n"/>
      <c r="I416" s="14" t="n"/>
      <c r="J416" s="14" t="n"/>
      <c r="K416" s="14" t="n"/>
      <c r="L416" s="15">
        <f>IF($D416="","",IF(AND($J416="Received",$K416&lt;&gt;"Yes"),"Yes","No"))</f>
        <v/>
      </c>
      <c r="M416" s="14" t="n"/>
    </row>
    <row r="417">
      <c r="B417" s="15">
        <f>IF($D417="","","M"&amp;TEXT(ROW()-5,"000"))</f>
        <v/>
      </c>
      <c r="C417" s="16" t="n"/>
      <c r="D417" s="14" t="n"/>
      <c r="E417" s="15">
        <f>IF($D417="","",IFERROR(INDEX(rngCadetPIDs,MATCH($D417,rngCadetNames,0)),"?"))</f>
        <v/>
      </c>
      <c r="F417" s="14" t="n"/>
      <c r="G417" s="14" t="n"/>
      <c r="H417" s="14" t="n"/>
      <c r="I417" s="14" t="n"/>
      <c r="J417" s="14" t="n"/>
      <c r="K417" s="14" t="n"/>
      <c r="L417" s="15">
        <f>IF($D417="","",IF(AND($J417="Received",$K417&lt;&gt;"Yes"),"Yes","No"))</f>
        <v/>
      </c>
      <c r="M417" s="14" t="n"/>
    </row>
    <row r="418">
      <c r="B418" s="15">
        <f>IF($D418="","","M"&amp;TEXT(ROW()-5,"000"))</f>
        <v/>
      </c>
      <c r="C418" s="16" t="n"/>
      <c r="D418" s="14" t="n"/>
      <c r="E418" s="15">
        <f>IF($D418="","",IFERROR(INDEX(rngCadetPIDs,MATCH($D418,rngCadetNames,0)),"?"))</f>
        <v/>
      </c>
      <c r="F418" s="14" t="n"/>
      <c r="G418" s="14" t="n"/>
      <c r="H418" s="14" t="n"/>
      <c r="I418" s="14" t="n"/>
      <c r="J418" s="14" t="n"/>
      <c r="K418" s="14" t="n"/>
      <c r="L418" s="15">
        <f>IF($D418="","",IF(AND($J418="Received",$K418&lt;&gt;"Yes"),"Yes","No"))</f>
        <v/>
      </c>
      <c r="M418" s="14" t="n"/>
    </row>
    <row r="419">
      <c r="B419" s="15">
        <f>IF($D419="","","M"&amp;TEXT(ROW()-5,"000"))</f>
        <v/>
      </c>
      <c r="C419" s="16" t="n"/>
      <c r="D419" s="14" t="n"/>
      <c r="E419" s="15">
        <f>IF($D419="","",IFERROR(INDEX(rngCadetPIDs,MATCH($D419,rngCadetNames,0)),"?"))</f>
        <v/>
      </c>
      <c r="F419" s="14" t="n"/>
      <c r="G419" s="14" t="n"/>
      <c r="H419" s="14" t="n"/>
      <c r="I419" s="14" t="n"/>
      <c r="J419" s="14" t="n"/>
      <c r="K419" s="14" t="n"/>
      <c r="L419" s="15">
        <f>IF($D419="","",IF(AND($J419="Received",$K419&lt;&gt;"Yes"),"Yes","No"))</f>
        <v/>
      </c>
      <c r="M419" s="14" t="n"/>
    </row>
    <row r="420">
      <c r="B420" s="15">
        <f>IF($D420="","","M"&amp;TEXT(ROW()-5,"000"))</f>
        <v/>
      </c>
      <c r="C420" s="16" t="n"/>
      <c r="D420" s="14" t="n"/>
      <c r="E420" s="15">
        <f>IF($D420="","",IFERROR(INDEX(rngCadetPIDs,MATCH($D420,rngCadetNames,0)),"?"))</f>
        <v/>
      </c>
      <c r="F420" s="14" t="n"/>
      <c r="G420" s="14" t="n"/>
      <c r="H420" s="14" t="n"/>
      <c r="I420" s="14" t="n"/>
      <c r="J420" s="14" t="n"/>
      <c r="K420" s="14" t="n"/>
      <c r="L420" s="15">
        <f>IF($D420="","",IF(AND($J420="Received",$K420&lt;&gt;"Yes"),"Yes","No"))</f>
        <v/>
      </c>
      <c r="M420" s="14" t="n"/>
    </row>
    <row r="421">
      <c r="B421" s="15">
        <f>IF($D421="","","M"&amp;TEXT(ROW()-5,"000"))</f>
        <v/>
      </c>
      <c r="C421" s="16" t="n"/>
      <c r="D421" s="14" t="n"/>
      <c r="E421" s="15">
        <f>IF($D421="","",IFERROR(INDEX(rngCadetPIDs,MATCH($D421,rngCadetNames,0)),"?"))</f>
        <v/>
      </c>
      <c r="F421" s="14" t="n"/>
      <c r="G421" s="14" t="n"/>
      <c r="H421" s="14" t="n"/>
      <c r="I421" s="14" t="n"/>
      <c r="J421" s="14" t="n"/>
      <c r="K421" s="14" t="n"/>
      <c r="L421" s="15">
        <f>IF($D421="","",IF(AND($J421="Received",$K421&lt;&gt;"Yes"),"Yes","No"))</f>
        <v/>
      </c>
      <c r="M421" s="14" t="n"/>
    </row>
    <row r="422">
      <c r="B422" s="15">
        <f>IF($D422="","","M"&amp;TEXT(ROW()-5,"000"))</f>
        <v/>
      </c>
      <c r="C422" s="16" t="n"/>
      <c r="D422" s="14" t="n"/>
      <c r="E422" s="15">
        <f>IF($D422="","",IFERROR(INDEX(rngCadetPIDs,MATCH($D422,rngCadetNames,0)),"?"))</f>
        <v/>
      </c>
      <c r="F422" s="14" t="n"/>
      <c r="G422" s="14" t="n"/>
      <c r="H422" s="14" t="n"/>
      <c r="I422" s="14" t="n"/>
      <c r="J422" s="14" t="n"/>
      <c r="K422" s="14" t="n"/>
      <c r="L422" s="15">
        <f>IF($D422="","",IF(AND($J422="Received",$K422&lt;&gt;"Yes"),"Yes","No"))</f>
        <v/>
      </c>
      <c r="M422" s="14" t="n"/>
    </row>
    <row r="423">
      <c r="B423" s="15">
        <f>IF($D423="","","M"&amp;TEXT(ROW()-5,"000"))</f>
        <v/>
      </c>
      <c r="C423" s="16" t="n"/>
      <c r="D423" s="14" t="n"/>
      <c r="E423" s="15">
        <f>IF($D423="","",IFERROR(INDEX(rngCadetPIDs,MATCH($D423,rngCadetNames,0)),"?"))</f>
        <v/>
      </c>
      <c r="F423" s="14" t="n"/>
      <c r="G423" s="14" t="n"/>
      <c r="H423" s="14" t="n"/>
      <c r="I423" s="14" t="n"/>
      <c r="J423" s="14" t="n"/>
      <c r="K423" s="14" t="n"/>
      <c r="L423" s="15">
        <f>IF($D423="","",IF(AND($J423="Received",$K423&lt;&gt;"Yes"),"Yes","No"))</f>
        <v/>
      </c>
      <c r="M423" s="14" t="n"/>
    </row>
    <row r="424">
      <c r="B424" s="15">
        <f>IF($D424="","","M"&amp;TEXT(ROW()-5,"000"))</f>
        <v/>
      </c>
      <c r="C424" s="16" t="n"/>
      <c r="D424" s="14" t="n"/>
      <c r="E424" s="15">
        <f>IF($D424="","",IFERROR(INDEX(rngCadetPIDs,MATCH($D424,rngCadetNames,0)),"?"))</f>
        <v/>
      </c>
      <c r="F424" s="14" t="n"/>
      <c r="G424" s="14" t="n"/>
      <c r="H424" s="14" t="n"/>
      <c r="I424" s="14" t="n"/>
      <c r="J424" s="14" t="n"/>
      <c r="K424" s="14" t="n"/>
      <c r="L424" s="15">
        <f>IF($D424="","",IF(AND($J424="Received",$K424&lt;&gt;"Yes"),"Yes","No"))</f>
        <v/>
      </c>
      <c r="M424" s="14" t="n"/>
    </row>
    <row r="425">
      <c r="B425" s="15">
        <f>IF($D425="","","M"&amp;TEXT(ROW()-5,"000"))</f>
        <v/>
      </c>
      <c r="C425" s="16" t="n"/>
      <c r="D425" s="14" t="n"/>
      <c r="E425" s="15">
        <f>IF($D425="","",IFERROR(INDEX(rngCadetPIDs,MATCH($D425,rngCadetNames,0)),"?"))</f>
        <v/>
      </c>
      <c r="F425" s="14" t="n"/>
      <c r="G425" s="14" t="n"/>
      <c r="H425" s="14" t="n"/>
      <c r="I425" s="14" t="n"/>
      <c r="J425" s="14" t="n"/>
      <c r="K425" s="14" t="n"/>
      <c r="L425" s="15">
        <f>IF($D425="","",IF(AND($J425="Received",$K425&lt;&gt;"Yes"),"Yes","No"))</f>
        <v/>
      </c>
      <c r="M425" s="14" t="n"/>
    </row>
    <row r="426">
      <c r="B426" s="15">
        <f>IF($D426="","","M"&amp;TEXT(ROW()-5,"000"))</f>
        <v/>
      </c>
      <c r="C426" s="16" t="n"/>
      <c r="D426" s="14" t="n"/>
      <c r="E426" s="15">
        <f>IF($D426="","",IFERROR(INDEX(rngCadetPIDs,MATCH($D426,rngCadetNames,0)),"?"))</f>
        <v/>
      </c>
      <c r="F426" s="14" t="n"/>
      <c r="G426" s="14" t="n"/>
      <c r="H426" s="14" t="n"/>
      <c r="I426" s="14" t="n"/>
      <c r="J426" s="14" t="n"/>
      <c r="K426" s="14" t="n"/>
      <c r="L426" s="15">
        <f>IF($D426="","",IF(AND($J426="Received",$K426&lt;&gt;"Yes"),"Yes","No"))</f>
        <v/>
      </c>
      <c r="M426" s="14" t="n"/>
    </row>
    <row r="427">
      <c r="B427" s="15">
        <f>IF($D427="","","M"&amp;TEXT(ROW()-5,"000"))</f>
        <v/>
      </c>
      <c r="C427" s="16" t="n"/>
      <c r="D427" s="14" t="n"/>
      <c r="E427" s="15">
        <f>IF($D427="","",IFERROR(INDEX(rngCadetPIDs,MATCH($D427,rngCadetNames,0)),"?"))</f>
        <v/>
      </c>
      <c r="F427" s="14" t="n"/>
      <c r="G427" s="14" t="n"/>
      <c r="H427" s="14" t="n"/>
      <c r="I427" s="14" t="n"/>
      <c r="J427" s="14" t="n"/>
      <c r="K427" s="14" t="n"/>
      <c r="L427" s="15">
        <f>IF($D427="","",IF(AND($J427="Received",$K427&lt;&gt;"Yes"),"Yes","No"))</f>
        <v/>
      </c>
      <c r="M427" s="14" t="n"/>
    </row>
    <row r="428">
      <c r="B428" s="15">
        <f>IF($D428="","","M"&amp;TEXT(ROW()-5,"000"))</f>
        <v/>
      </c>
      <c r="C428" s="16" t="n"/>
      <c r="D428" s="14" t="n"/>
      <c r="E428" s="15">
        <f>IF($D428="","",IFERROR(INDEX(rngCadetPIDs,MATCH($D428,rngCadetNames,0)),"?"))</f>
        <v/>
      </c>
      <c r="F428" s="14" t="n"/>
      <c r="G428" s="14" t="n"/>
      <c r="H428" s="14" t="n"/>
      <c r="I428" s="14" t="n"/>
      <c r="J428" s="14" t="n"/>
      <c r="K428" s="14" t="n"/>
      <c r="L428" s="15">
        <f>IF($D428="","",IF(AND($J428="Received",$K428&lt;&gt;"Yes"),"Yes","No"))</f>
        <v/>
      </c>
      <c r="M428" s="14" t="n"/>
    </row>
    <row r="429">
      <c r="B429" s="15">
        <f>IF($D429="","","M"&amp;TEXT(ROW()-5,"000"))</f>
        <v/>
      </c>
      <c r="C429" s="16" t="n"/>
      <c r="D429" s="14" t="n"/>
      <c r="E429" s="15">
        <f>IF($D429="","",IFERROR(INDEX(rngCadetPIDs,MATCH($D429,rngCadetNames,0)),"?"))</f>
        <v/>
      </c>
      <c r="F429" s="14" t="n"/>
      <c r="G429" s="14" t="n"/>
      <c r="H429" s="14" t="n"/>
      <c r="I429" s="14" t="n"/>
      <c r="J429" s="14" t="n"/>
      <c r="K429" s="14" t="n"/>
      <c r="L429" s="15">
        <f>IF($D429="","",IF(AND($J429="Received",$K429&lt;&gt;"Yes"),"Yes","No"))</f>
        <v/>
      </c>
      <c r="M429" s="14" t="n"/>
    </row>
    <row r="430">
      <c r="B430" s="15">
        <f>IF($D430="","","M"&amp;TEXT(ROW()-5,"000"))</f>
        <v/>
      </c>
      <c r="C430" s="16" t="n"/>
      <c r="D430" s="14" t="n"/>
      <c r="E430" s="15">
        <f>IF($D430="","",IFERROR(INDEX(rngCadetPIDs,MATCH($D430,rngCadetNames,0)),"?"))</f>
        <v/>
      </c>
      <c r="F430" s="14" t="n"/>
      <c r="G430" s="14" t="n"/>
      <c r="H430" s="14" t="n"/>
      <c r="I430" s="14" t="n"/>
      <c r="J430" s="14" t="n"/>
      <c r="K430" s="14" t="n"/>
      <c r="L430" s="15">
        <f>IF($D430="","",IF(AND($J430="Received",$K430&lt;&gt;"Yes"),"Yes","No"))</f>
        <v/>
      </c>
      <c r="M430" s="14" t="n"/>
    </row>
    <row r="431">
      <c r="B431" s="15">
        <f>IF($D431="","","M"&amp;TEXT(ROW()-5,"000"))</f>
        <v/>
      </c>
      <c r="C431" s="16" t="n"/>
      <c r="D431" s="14" t="n"/>
      <c r="E431" s="15">
        <f>IF($D431="","",IFERROR(INDEX(rngCadetPIDs,MATCH($D431,rngCadetNames,0)),"?"))</f>
        <v/>
      </c>
      <c r="F431" s="14" t="n"/>
      <c r="G431" s="14" t="n"/>
      <c r="H431" s="14" t="n"/>
      <c r="I431" s="14" t="n"/>
      <c r="J431" s="14" t="n"/>
      <c r="K431" s="14" t="n"/>
      <c r="L431" s="15">
        <f>IF($D431="","",IF(AND($J431="Received",$K431&lt;&gt;"Yes"),"Yes","No"))</f>
        <v/>
      </c>
      <c r="M431" s="14" t="n"/>
    </row>
    <row r="432">
      <c r="B432" s="15">
        <f>IF($D432="","","M"&amp;TEXT(ROW()-5,"000"))</f>
        <v/>
      </c>
      <c r="C432" s="16" t="n"/>
      <c r="D432" s="14" t="n"/>
      <c r="E432" s="15">
        <f>IF($D432="","",IFERROR(INDEX(rngCadetPIDs,MATCH($D432,rngCadetNames,0)),"?"))</f>
        <v/>
      </c>
      <c r="F432" s="14" t="n"/>
      <c r="G432" s="14" t="n"/>
      <c r="H432" s="14" t="n"/>
      <c r="I432" s="14" t="n"/>
      <c r="J432" s="14" t="n"/>
      <c r="K432" s="14" t="n"/>
      <c r="L432" s="15">
        <f>IF($D432="","",IF(AND($J432="Received",$K432&lt;&gt;"Yes"),"Yes","No"))</f>
        <v/>
      </c>
      <c r="M432" s="14" t="n"/>
    </row>
    <row r="433">
      <c r="B433" s="15">
        <f>IF($D433="","","M"&amp;TEXT(ROW()-5,"000"))</f>
        <v/>
      </c>
      <c r="C433" s="16" t="n"/>
      <c r="D433" s="14" t="n"/>
      <c r="E433" s="15">
        <f>IF($D433="","",IFERROR(INDEX(rngCadetPIDs,MATCH($D433,rngCadetNames,0)),"?"))</f>
        <v/>
      </c>
      <c r="F433" s="14" t="n"/>
      <c r="G433" s="14" t="n"/>
      <c r="H433" s="14" t="n"/>
      <c r="I433" s="14" t="n"/>
      <c r="J433" s="14" t="n"/>
      <c r="K433" s="14" t="n"/>
      <c r="L433" s="15">
        <f>IF($D433="","",IF(AND($J433="Received",$K433&lt;&gt;"Yes"),"Yes","No"))</f>
        <v/>
      </c>
      <c r="M433" s="14" t="n"/>
    </row>
    <row r="434">
      <c r="B434" s="15">
        <f>IF($D434="","","M"&amp;TEXT(ROW()-5,"000"))</f>
        <v/>
      </c>
      <c r="C434" s="16" t="n"/>
      <c r="D434" s="14" t="n"/>
      <c r="E434" s="15">
        <f>IF($D434="","",IFERROR(INDEX(rngCadetPIDs,MATCH($D434,rngCadetNames,0)),"?"))</f>
        <v/>
      </c>
      <c r="F434" s="14" t="n"/>
      <c r="G434" s="14" t="n"/>
      <c r="H434" s="14" t="n"/>
      <c r="I434" s="14" t="n"/>
      <c r="J434" s="14" t="n"/>
      <c r="K434" s="14" t="n"/>
      <c r="L434" s="15">
        <f>IF($D434="","",IF(AND($J434="Received",$K434&lt;&gt;"Yes"),"Yes","No"))</f>
        <v/>
      </c>
      <c r="M434" s="14" t="n"/>
    </row>
    <row r="435">
      <c r="B435" s="15">
        <f>IF($D435="","","M"&amp;TEXT(ROW()-5,"000"))</f>
        <v/>
      </c>
      <c r="C435" s="16" t="n"/>
      <c r="D435" s="14" t="n"/>
      <c r="E435" s="15">
        <f>IF($D435="","",IFERROR(INDEX(rngCadetPIDs,MATCH($D435,rngCadetNames,0)),"?"))</f>
        <v/>
      </c>
      <c r="F435" s="14" t="n"/>
      <c r="G435" s="14" t="n"/>
      <c r="H435" s="14" t="n"/>
      <c r="I435" s="14" t="n"/>
      <c r="J435" s="14" t="n"/>
      <c r="K435" s="14" t="n"/>
      <c r="L435" s="15">
        <f>IF($D435="","",IF(AND($J435="Received",$K435&lt;&gt;"Yes"),"Yes","No"))</f>
        <v/>
      </c>
      <c r="M435" s="14" t="n"/>
    </row>
    <row r="436">
      <c r="B436" s="15">
        <f>IF($D436="","","M"&amp;TEXT(ROW()-5,"000"))</f>
        <v/>
      </c>
      <c r="C436" s="16" t="n"/>
      <c r="D436" s="14" t="n"/>
      <c r="E436" s="15">
        <f>IF($D436="","",IFERROR(INDEX(rngCadetPIDs,MATCH($D436,rngCadetNames,0)),"?"))</f>
        <v/>
      </c>
      <c r="F436" s="14" t="n"/>
      <c r="G436" s="14" t="n"/>
      <c r="H436" s="14" t="n"/>
      <c r="I436" s="14" t="n"/>
      <c r="J436" s="14" t="n"/>
      <c r="K436" s="14" t="n"/>
      <c r="L436" s="15">
        <f>IF($D436="","",IF(AND($J436="Received",$K436&lt;&gt;"Yes"),"Yes","No"))</f>
        <v/>
      </c>
      <c r="M436" s="14" t="n"/>
    </row>
    <row r="437">
      <c r="B437" s="15">
        <f>IF($D437="","","M"&amp;TEXT(ROW()-5,"000"))</f>
        <v/>
      </c>
      <c r="C437" s="16" t="n"/>
      <c r="D437" s="14" t="n"/>
      <c r="E437" s="15">
        <f>IF($D437="","",IFERROR(INDEX(rngCadetPIDs,MATCH($D437,rngCadetNames,0)),"?"))</f>
        <v/>
      </c>
      <c r="F437" s="14" t="n"/>
      <c r="G437" s="14" t="n"/>
      <c r="H437" s="14" t="n"/>
      <c r="I437" s="14" t="n"/>
      <c r="J437" s="14" t="n"/>
      <c r="K437" s="14" t="n"/>
      <c r="L437" s="15">
        <f>IF($D437="","",IF(AND($J437="Received",$K437&lt;&gt;"Yes"),"Yes","No"))</f>
        <v/>
      </c>
      <c r="M437" s="14" t="n"/>
    </row>
    <row r="438">
      <c r="B438" s="15">
        <f>IF($D438="","","M"&amp;TEXT(ROW()-5,"000"))</f>
        <v/>
      </c>
      <c r="C438" s="16" t="n"/>
      <c r="D438" s="14" t="n"/>
      <c r="E438" s="15">
        <f>IF($D438="","",IFERROR(INDEX(rngCadetPIDs,MATCH($D438,rngCadetNames,0)),"?"))</f>
        <v/>
      </c>
      <c r="F438" s="14" t="n"/>
      <c r="G438" s="14" t="n"/>
      <c r="H438" s="14" t="n"/>
      <c r="I438" s="14" t="n"/>
      <c r="J438" s="14" t="n"/>
      <c r="K438" s="14" t="n"/>
      <c r="L438" s="15">
        <f>IF($D438="","",IF(AND($J438="Received",$K438&lt;&gt;"Yes"),"Yes","No"))</f>
        <v/>
      </c>
      <c r="M438" s="14" t="n"/>
    </row>
    <row r="439">
      <c r="B439" s="15">
        <f>IF($D439="","","M"&amp;TEXT(ROW()-5,"000"))</f>
        <v/>
      </c>
      <c r="C439" s="16" t="n"/>
      <c r="D439" s="14" t="n"/>
      <c r="E439" s="15">
        <f>IF($D439="","",IFERROR(INDEX(rngCadetPIDs,MATCH($D439,rngCadetNames,0)),"?"))</f>
        <v/>
      </c>
      <c r="F439" s="14" t="n"/>
      <c r="G439" s="14" t="n"/>
      <c r="H439" s="14" t="n"/>
      <c r="I439" s="14" t="n"/>
      <c r="J439" s="14" t="n"/>
      <c r="K439" s="14" t="n"/>
      <c r="L439" s="15">
        <f>IF($D439="","",IF(AND($J439="Received",$K439&lt;&gt;"Yes"),"Yes","No"))</f>
        <v/>
      </c>
      <c r="M439" s="14" t="n"/>
    </row>
    <row r="440">
      <c r="B440" s="15">
        <f>IF($D440="","","M"&amp;TEXT(ROW()-5,"000"))</f>
        <v/>
      </c>
      <c r="C440" s="16" t="n"/>
      <c r="D440" s="14" t="n"/>
      <c r="E440" s="15">
        <f>IF($D440="","",IFERROR(INDEX(rngCadetPIDs,MATCH($D440,rngCadetNames,0)),"?"))</f>
        <v/>
      </c>
      <c r="F440" s="14" t="n"/>
      <c r="G440" s="14" t="n"/>
      <c r="H440" s="14" t="n"/>
      <c r="I440" s="14" t="n"/>
      <c r="J440" s="14" t="n"/>
      <c r="K440" s="14" t="n"/>
      <c r="L440" s="15">
        <f>IF($D440="","",IF(AND($J440="Received",$K440&lt;&gt;"Yes"),"Yes","No"))</f>
        <v/>
      </c>
      <c r="M440" s="14" t="n"/>
    </row>
    <row r="441">
      <c r="B441" s="15">
        <f>IF($D441="","","M"&amp;TEXT(ROW()-5,"000"))</f>
        <v/>
      </c>
      <c r="C441" s="16" t="n"/>
      <c r="D441" s="14" t="n"/>
      <c r="E441" s="15">
        <f>IF($D441="","",IFERROR(INDEX(rngCadetPIDs,MATCH($D441,rngCadetNames,0)),"?"))</f>
        <v/>
      </c>
      <c r="F441" s="14" t="n"/>
      <c r="G441" s="14" t="n"/>
      <c r="H441" s="14" t="n"/>
      <c r="I441" s="14" t="n"/>
      <c r="J441" s="14" t="n"/>
      <c r="K441" s="14" t="n"/>
      <c r="L441" s="15">
        <f>IF($D441="","",IF(AND($J441="Received",$K441&lt;&gt;"Yes"),"Yes","No"))</f>
        <v/>
      </c>
      <c r="M441" s="14" t="n"/>
    </row>
    <row r="442">
      <c r="B442" s="15">
        <f>IF($D442="","","M"&amp;TEXT(ROW()-5,"000"))</f>
        <v/>
      </c>
      <c r="C442" s="16" t="n"/>
      <c r="D442" s="14" t="n"/>
      <c r="E442" s="15">
        <f>IF($D442="","",IFERROR(INDEX(rngCadetPIDs,MATCH($D442,rngCadetNames,0)),"?"))</f>
        <v/>
      </c>
      <c r="F442" s="14" t="n"/>
      <c r="G442" s="14" t="n"/>
      <c r="H442" s="14" t="n"/>
      <c r="I442" s="14" t="n"/>
      <c r="J442" s="14" t="n"/>
      <c r="K442" s="14" t="n"/>
      <c r="L442" s="15">
        <f>IF($D442="","",IF(AND($J442="Received",$K442&lt;&gt;"Yes"),"Yes","No"))</f>
        <v/>
      </c>
      <c r="M442" s="14" t="n"/>
    </row>
    <row r="443">
      <c r="B443" s="15">
        <f>IF($D443="","","M"&amp;TEXT(ROW()-5,"000"))</f>
        <v/>
      </c>
      <c r="C443" s="16" t="n"/>
      <c r="D443" s="14" t="n"/>
      <c r="E443" s="15">
        <f>IF($D443="","",IFERROR(INDEX(rngCadetPIDs,MATCH($D443,rngCadetNames,0)),"?"))</f>
        <v/>
      </c>
      <c r="F443" s="14" t="n"/>
      <c r="G443" s="14" t="n"/>
      <c r="H443" s="14" t="n"/>
      <c r="I443" s="14" t="n"/>
      <c r="J443" s="14" t="n"/>
      <c r="K443" s="14" t="n"/>
      <c r="L443" s="15">
        <f>IF($D443="","",IF(AND($J443="Received",$K443&lt;&gt;"Yes"),"Yes","No"))</f>
        <v/>
      </c>
      <c r="M443" s="14" t="n"/>
    </row>
    <row r="444">
      <c r="B444" s="15">
        <f>IF($D444="","","M"&amp;TEXT(ROW()-5,"000"))</f>
        <v/>
      </c>
      <c r="C444" s="16" t="n"/>
      <c r="D444" s="14" t="n"/>
      <c r="E444" s="15">
        <f>IF($D444="","",IFERROR(INDEX(rngCadetPIDs,MATCH($D444,rngCadetNames,0)),"?"))</f>
        <v/>
      </c>
      <c r="F444" s="14" t="n"/>
      <c r="G444" s="14" t="n"/>
      <c r="H444" s="14" t="n"/>
      <c r="I444" s="14" t="n"/>
      <c r="J444" s="14" t="n"/>
      <c r="K444" s="14" t="n"/>
      <c r="L444" s="15">
        <f>IF($D444="","",IF(AND($J444="Received",$K444&lt;&gt;"Yes"),"Yes","No"))</f>
        <v/>
      </c>
      <c r="M444" s="14" t="n"/>
    </row>
    <row r="445">
      <c r="B445" s="15">
        <f>IF($D445="","","M"&amp;TEXT(ROW()-5,"000"))</f>
        <v/>
      </c>
      <c r="C445" s="16" t="n"/>
      <c r="D445" s="14" t="n"/>
      <c r="E445" s="15">
        <f>IF($D445="","",IFERROR(INDEX(rngCadetPIDs,MATCH($D445,rngCadetNames,0)),"?"))</f>
        <v/>
      </c>
      <c r="F445" s="14" t="n"/>
      <c r="G445" s="14" t="n"/>
      <c r="H445" s="14" t="n"/>
      <c r="I445" s="14" t="n"/>
      <c r="J445" s="14" t="n"/>
      <c r="K445" s="14" t="n"/>
      <c r="L445" s="15">
        <f>IF($D445="","",IF(AND($J445="Received",$K445&lt;&gt;"Yes"),"Yes","No"))</f>
        <v/>
      </c>
      <c r="M445" s="14" t="n"/>
    </row>
    <row r="446">
      <c r="B446" s="15">
        <f>IF($D446="","","M"&amp;TEXT(ROW()-5,"000"))</f>
        <v/>
      </c>
      <c r="C446" s="16" t="n"/>
      <c r="D446" s="14" t="n"/>
      <c r="E446" s="15">
        <f>IF($D446="","",IFERROR(INDEX(rngCadetPIDs,MATCH($D446,rngCadetNames,0)),"?"))</f>
        <v/>
      </c>
      <c r="F446" s="14" t="n"/>
      <c r="G446" s="14" t="n"/>
      <c r="H446" s="14" t="n"/>
      <c r="I446" s="14" t="n"/>
      <c r="J446" s="14" t="n"/>
      <c r="K446" s="14" t="n"/>
      <c r="L446" s="15">
        <f>IF($D446="","",IF(AND($J446="Received",$K446&lt;&gt;"Yes"),"Yes","No"))</f>
        <v/>
      </c>
      <c r="M446" s="14" t="n"/>
    </row>
    <row r="447">
      <c r="B447" s="15">
        <f>IF($D447="","","M"&amp;TEXT(ROW()-5,"000"))</f>
        <v/>
      </c>
      <c r="C447" s="16" t="n"/>
      <c r="D447" s="14" t="n"/>
      <c r="E447" s="15">
        <f>IF($D447="","",IFERROR(INDEX(rngCadetPIDs,MATCH($D447,rngCadetNames,0)),"?"))</f>
        <v/>
      </c>
      <c r="F447" s="14" t="n"/>
      <c r="G447" s="14" t="n"/>
      <c r="H447" s="14" t="n"/>
      <c r="I447" s="14" t="n"/>
      <c r="J447" s="14" t="n"/>
      <c r="K447" s="14" t="n"/>
      <c r="L447" s="15">
        <f>IF($D447="","",IF(AND($J447="Received",$K447&lt;&gt;"Yes"),"Yes","No"))</f>
        <v/>
      </c>
      <c r="M447" s="14" t="n"/>
    </row>
    <row r="448">
      <c r="B448" s="15">
        <f>IF($D448="","","M"&amp;TEXT(ROW()-5,"000"))</f>
        <v/>
      </c>
      <c r="C448" s="16" t="n"/>
      <c r="D448" s="14" t="n"/>
      <c r="E448" s="15">
        <f>IF($D448="","",IFERROR(INDEX(rngCadetPIDs,MATCH($D448,rngCadetNames,0)),"?"))</f>
        <v/>
      </c>
      <c r="F448" s="14" t="n"/>
      <c r="G448" s="14" t="n"/>
      <c r="H448" s="14" t="n"/>
      <c r="I448" s="14" t="n"/>
      <c r="J448" s="14" t="n"/>
      <c r="K448" s="14" t="n"/>
      <c r="L448" s="15">
        <f>IF($D448="","",IF(AND($J448="Received",$K448&lt;&gt;"Yes"),"Yes","No"))</f>
        <v/>
      </c>
      <c r="M448" s="14" t="n"/>
    </row>
    <row r="449">
      <c r="B449" s="15">
        <f>IF($D449="","","M"&amp;TEXT(ROW()-5,"000"))</f>
        <v/>
      </c>
      <c r="C449" s="16" t="n"/>
      <c r="D449" s="14" t="n"/>
      <c r="E449" s="15">
        <f>IF($D449="","",IFERROR(INDEX(rngCadetPIDs,MATCH($D449,rngCadetNames,0)),"?"))</f>
        <v/>
      </c>
      <c r="F449" s="14" t="n"/>
      <c r="G449" s="14" t="n"/>
      <c r="H449" s="14" t="n"/>
      <c r="I449" s="14" t="n"/>
      <c r="J449" s="14" t="n"/>
      <c r="K449" s="14" t="n"/>
      <c r="L449" s="15">
        <f>IF($D449="","",IF(AND($J449="Received",$K449&lt;&gt;"Yes"),"Yes","No"))</f>
        <v/>
      </c>
      <c r="M449" s="14" t="n"/>
    </row>
    <row r="450">
      <c r="B450" s="15">
        <f>IF($D450="","","M"&amp;TEXT(ROW()-5,"000"))</f>
        <v/>
      </c>
      <c r="C450" s="16" t="n"/>
      <c r="D450" s="14" t="n"/>
      <c r="E450" s="15">
        <f>IF($D450="","",IFERROR(INDEX(rngCadetPIDs,MATCH($D450,rngCadetNames,0)),"?"))</f>
        <v/>
      </c>
      <c r="F450" s="14" t="n"/>
      <c r="G450" s="14" t="n"/>
      <c r="H450" s="14" t="n"/>
      <c r="I450" s="14" t="n"/>
      <c r="J450" s="14" t="n"/>
      <c r="K450" s="14" t="n"/>
      <c r="L450" s="15">
        <f>IF($D450="","",IF(AND($J450="Received",$K450&lt;&gt;"Yes"),"Yes","No"))</f>
        <v/>
      </c>
      <c r="M450" s="14" t="n"/>
    </row>
    <row r="451">
      <c r="B451" s="15">
        <f>IF($D451="","","M"&amp;TEXT(ROW()-5,"000"))</f>
        <v/>
      </c>
      <c r="C451" s="16" t="n"/>
      <c r="D451" s="14" t="n"/>
      <c r="E451" s="15">
        <f>IF($D451="","",IFERROR(INDEX(rngCadetPIDs,MATCH($D451,rngCadetNames,0)),"?"))</f>
        <v/>
      </c>
      <c r="F451" s="14" t="n"/>
      <c r="G451" s="14" t="n"/>
      <c r="H451" s="14" t="n"/>
      <c r="I451" s="14" t="n"/>
      <c r="J451" s="14" t="n"/>
      <c r="K451" s="14" t="n"/>
      <c r="L451" s="15">
        <f>IF($D451="","",IF(AND($J451="Received",$K451&lt;&gt;"Yes"),"Yes","No"))</f>
        <v/>
      </c>
      <c r="M451" s="14" t="n"/>
    </row>
    <row r="452">
      <c r="B452" s="15">
        <f>IF($D452="","","M"&amp;TEXT(ROW()-5,"000"))</f>
        <v/>
      </c>
      <c r="C452" s="16" t="n"/>
      <c r="D452" s="14" t="n"/>
      <c r="E452" s="15">
        <f>IF($D452="","",IFERROR(INDEX(rngCadetPIDs,MATCH($D452,rngCadetNames,0)),"?"))</f>
        <v/>
      </c>
      <c r="F452" s="14" t="n"/>
      <c r="G452" s="14" t="n"/>
      <c r="H452" s="14" t="n"/>
      <c r="I452" s="14" t="n"/>
      <c r="J452" s="14" t="n"/>
      <c r="K452" s="14" t="n"/>
      <c r="L452" s="15">
        <f>IF($D452="","",IF(AND($J452="Received",$K452&lt;&gt;"Yes"),"Yes","No"))</f>
        <v/>
      </c>
      <c r="M452" s="14" t="n"/>
    </row>
    <row r="453">
      <c r="B453" s="15">
        <f>IF($D453="","","M"&amp;TEXT(ROW()-5,"000"))</f>
        <v/>
      </c>
      <c r="C453" s="16" t="n"/>
      <c r="D453" s="14" t="n"/>
      <c r="E453" s="15">
        <f>IF($D453="","",IFERROR(INDEX(rngCadetPIDs,MATCH($D453,rngCadetNames,0)),"?"))</f>
        <v/>
      </c>
      <c r="F453" s="14" t="n"/>
      <c r="G453" s="14" t="n"/>
      <c r="H453" s="14" t="n"/>
      <c r="I453" s="14" t="n"/>
      <c r="J453" s="14" t="n"/>
      <c r="K453" s="14" t="n"/>
      <c r="L453" s="15">
        <f>IF($D453="","",IF(AND($J453="Received",$K453&lt;&gt;"Yes"),"Yes","No"))</f>
        <v/>
      </c>
      <c r="M453" s="14" t="n"/>
    </row>
    <row r="454">
      <c r="B454" s="15">
        <f>IF($D454="","","M"&amp;TEXT(ROW()-5,"000"))</f>
        <v/>
      </c>
      <c r="C454" s="16" t="n"/>
      <c r="D454" s="14" t="n"/>
      <c r="E454" s="15">
        <f>IF($D454="","",IFERROR(INDEX(rngCadetPIDs,MATCH($D454,rngCadetNames,0)),"?"))</f>
        <v/>
      </c>
      <c r="F454" s="14" t="n"/>
      <c r="G454" s="14" t="n"/>
      <c r="H454" s="14" t="n"/>
      <c r="I454" s="14" t="n"/>
      <c r="J454" s="14" t="n"/>
      <c r="K454" s="14" t="n"/>
      <c r="L454" s="15">
        <f>IF($D454="","",IF(AND($J454="Received",$K454&lt;&gt;"Yes"),"Yes","No"))</f>
        <v/>
      </c>
      <c r="M454" s="14" t="n"/>
    </row>
    <row r="455">
      <c r="B455" s="15">
        <f>IF($D455="","","M"&amp;TEXT(ROW()-5,"000"))</f>
        <v/>
      </c>
      <c r="C455" s="16" t="n"/>
      <c r="D455" s="14" t="n"/>
      <c r="E455" s="15">
        <f>IF($D455="","",IFERROR(INDEX(rngCadetPIDs,MATCH($D455,rngCadetNames,0)),"?"))</f>
        <v/>
      </c>
      <c r="F455" s="14" t="n"/>
      <c r="G455" s="14" t="n"/>
      <c r="H455" s="14" t="n"/>
      <c r="I455" s="14" t="n"/>
      <c r="J455" s="14" t="n"/>
      <c r="K455" s="14" t="n"/>
      <c r="L455" s="15">
        <f>IF($D455="","",IF(AND($J455="Received",$K455&lt;&gt;"Yes"),"Yes","No"))</f>
        <v/>
      </c>
      <c r="M455" s="14" t="n"/>
    </row>
    <row r="456">
      <c r="B456" s="15">
        <f>IF($D456="","","M"&amp;TEXT(ROW()-5,"000"))</f>
        <v/>
      </c>
      <c r="C456" s="16" t="n"/>
      <c r="D456" s="14" t="n"/>
      <c r="E456" s="15">
        <f>IF($D456="","",IFERROR(INDEX(rngCadetPIDs,MATCH($D456,rngCadetNames,0)),"?"))</f>
        <v/>
      </c>
      <c r="F456" s="14" t="n"/>
      <c r="G456" s="14" t="n"/>
      <c r="H456" s="14" t="n"/>
      <c r="I456" s="14" t="n"/>
      <c r="J456" s="14" t="n"/>
      <c r="K456" s="14" t="n"/>
      <c r="L456" s="15">
        <f>IF($D456="","",IF(AND($J456="Received",$K456&lt;&gt;"Yes"),"Yes","No"))</f>
        <v/>
      </c>
      <c r="M456" s="14" t="n"/>
    </row>
    <row r="457">
      <c r="B457" s="15">
        <f>IF($D457="","","M"&amp;TEXT(ROW()-5,"000"))</f>
        <v/>
      </c>
      <c r="C457" s="16" t="n"/>
      <c r="D457" s="14" t="n"/>
      <c r="E457" s="15">
        <f>IF($D457="","",IFERROR(INDEX(rngCadetPIDs,MATCH($D457,rngCadetNames,0)),"?"))</f>
        <v/>
      </c>
      <c r="F457" s="14" t="n"/>
      <c r="G457" s="14" t="n"/>
      <c r="H457" s="14" t="n"/>
      <c r="I457" s="14" t="n"/>
      <c r="J457" s="14" t="n"/>
      <c r="K457" s="14" t="n"/>
      <c r="L457" s="15">
        <f>IF($D457="","",IF(AND($J457="Received",$K457&lt;&gt;"Yes"),"Yes","No"))</f>
        <v/>
      </c>
      <c r="M457" s="14" t="n"/>
    </row>
    <row r="458">
      <c r="B458" s="15">
        <f>IF($D458="","","M"&amp;TEXT(ROW()-5,"000"))</f>
        <v/>
      </c>
      <c r="C458" s="16" t="n"/>
      <c r="D458" s="14" t="n"/>
      <c r="E458" s="15">
        <f>IF($D458="","",IFERROR(INDEX(rngCadetPIDs,MATCH($D458,rngCadetNames,0)),"?"))</f>
        <v/>
      </c>
      <c r="F458" s="14" t="n"/>
      <c r="G458" s="14" t="n"/>
      <c r="H458" s="14" t="n"/>
      <c r="I458" s="14" t="n"/>
      <c r="J458" s="14" t="n"/>
      <c r="K458" s="14" t="n"/>
      <c r="L458" s="15">
        <f>IF($D458="","",IF(AND($J458="Received",$K458&lt;&gt;"Yes"),"Yes","No"))</f>
        <v/>
      </c>
      <c r="M458" s="14" t="n"/>
    </row>
    <row r="459">
      <c r="B459" s="15">
        <f>IF($D459="","","M"&amp;TEXT(ROW()-5,"000"))</f>
        <v/>
      </c>
      <c r="C459" s="16" t="n"/>
      <c r="D459" s="14" t="n"/>
      <c r="E459" s="15">
        <f>IF($D459="","",IFERROR(INDEX(rngCadetPIDs,MATCH($D459,rngCadetNames,0)),"?"))</f>
        <v/>
      </c>
      <c r="F459" s="14" t="n"/>
      <c r="G459" s="14" t="n"/>
      <c r="H459" s="14" t="n"/>
      <c r="I459" s="14" t="n"/>
      <c r="J459" s="14" t="n"/>
      <c r="K459" s="14" t="n"/>
      <c r="L459" s="15">
        <f>IF($D459="","",IF(AND($J459="Received",$K459&lt;&gt;"Yes"),"Yes","No"))</f>
        <v/>
      </c>
      <c r="M459" s="14" t="n"/>
    </row>
    <row r="460">
      <c r="B460" s="15">
        <f>IF($D460="","","M"&amp;TEXT(ROW()-5,"000"))</f>
        <v/>
      </c>
      <c r="C460" s="16" t="n"/>
      <c r="D460" s="14" t="n"/>
      <c r="E460" s="15">
        <f>IF($D460="","",IFERROR(INDEX(rngCadetPIDs,MATCH($D460,rngCadetNames,0)),"?"))</f>
        <v/>
      </c>
      <c r="F460" s="14" t="n"/>
      <c r="G460" s="14" t="n"/>
      <c r="H460" s="14" t="n"/>
      <c r="I460" s="14" t="n"/>
      <c r="J460" s="14" t="n"/>
      <c r="K460" s="14" t="n"/>
      <c r="L460" s="15">
        <f>IF($D460="","",IF(AND($J460="Received",$K460&lt;&gt;"Yes"),"Yes","No"))</f>
        <v/>
      </c>
      <c r="M460" s="14" t="n"/>
    </row>
    <row r="461">
      <c r="B461" s="15">
        <f>IF($D461="","","M"&amp;TEXT(ROW()-5,"000"))</f>
        <v/>
      </c>
      <c r="C461" s="16" t="n"/>
      <c r="D461" s="14" t="n"/>
      <c r="E461" s="15">
        <f>IF($D461="","",IFERROR(INDEX(rngCadetPIDs,MATCH($D461,rngCadetNames,0)),"?"))</f>
        <v/>
      </c>
      <c r="F461" s="14" t="n"/>
      <c r="G461" s="14" t="n"/>
      <c r="H461" s="14" t="n"/>
      <c r="I461" s="14" t="n"/>
      <c r="J461" s="14" t="n"/>
      <c r="K461" s="14" t="n"/>
      <c r="L461" s="15">
        <f>IF($D461="","",IF(AND($J461="Received",$K461&lt;&gt;"Yes"),"Yes","No"))</f>
        <v/>
      </c>
      <c r="M461" s="14" t="n"/>
    </row>
    <row r="462">
      <c r="B462" s="15">
        <f>IF($D462="","","M"&amp;TEXT(ROW()-5,"000"))</f>
        <v/>
      </c>
      <c r="C462" s="16" t="n"/>
      <c r="D462" s="14" t="n"/>
      <c r="E462" s="15">
        <f>IF($D462="","",IFERROR(INDEX(rngCadetPIDs,MATCH($D462,rngCadetNames,0)),"?"))</f>
        <v/>
      </c>
      <c r="F462" s="14" t="n"/>
      <c r="G462" s="14" t="n"/>
      <c r="H462" s="14" t="n"/>
      <c r="I462" s="14" t="n"/>
      <c r="J462" s="14" t="n"/>
      <c r="K462" s="14" t="n"/>
      <c r="L462" s="15">
        <f>IF($D462="","",IF(AND($J462="Received",$K462&lt;&gt;"Yes"),"Yes","No"))</f>
        <v/>
      </c>
      <c r="M462" s="14" t="n"/>
    </row>
    <row r="463">
      <c r="B463" s="15">
        <f>IF($D463="","","M"&amp;TEXT(ROW()-5,"000"))</f>
        <v/>
      </c>
      <c r="C463" s="16" t="n"/>
      <c r="D463" s="14" t="n"/>
      <c r="E463" s="15">
        <f>IF($D463="","",IFERROR(INDEX(rngCadetPIDs,MATCH($D463,rngCadetNames,0)),"?"))</f>
        <v/>
      </c>
      <c r="F463" s="14" t="n"/>
      <c r="G463" s="14" t="n"/>
      <c r="H463" s="14" t="n"/>
      <c r="I463" s="14" t="n"/>
      <c r="J463" s="14" t="n"/>
      <c r="K463" s="14" t="n"/>
      <c r="L463" s="15">
        <f>IF($D463="","",IF(AND($J463="Received",$K463&lt;&gt;"Yes"),"Yes","No"))</f>
        <v/>
      </c>
      <c r="M463" s="14" t="n"/>
    </row>
    <row r="464">
      <c r="B464" s="15">
        <f>IF($D464="","","M"&amp;TEXT(ROW()-5,"000"))</f>
        <v/>
      </c>
      <c r="C464" s="16" t="n"/>
      <c r="D464" s="14" t="n"/>
      <c r="E464" s="15">
        <f>IF($D464="","",IFERROR(INDEX(rngCadetPIDs,MATCH($D464,rngCadetNames,0)),"?"))</f>
        <v/>
      </c>
      <c r="F464" s="14" t="n"/>
      <c r="G464" s="14" t="n"/>
      <c r="H464" s="14" t="n"/>
      <c r="I464" s="14" t="n"/>
      <c r="J464" s="14" t="n"/>
      <c r="K464" s="14" t="n"/>
      <c r="L464" s="15">
        <f>IF($D464="","",IF(AND($J464="Received",$K464&lt;&gt;"Yes"),"Yes","No"))</f>
        <v/>
      </c>
      <c r="M464" s="14" t="n"/>
    </row>
    <row r="465">
      <c r="B465" s="15">
        <f>IF($D465="","","M"&amp;TEXT(ROW()-5,"000"))</f>
        <v/>
      </c>
      <c r="C465" s="16" t="n"/>
      <c r="D465" s="14" t="n"/>
      <c r="E465" s="15">
        <f>IF($D465="","",IFERROR(INDEX(rngCadetPIDs,MATCH($D465,rngCadetNames,0)),"?"))</f>
        <v/>
      </c>
      <c r="F465" s="14" t="n"/>
      <c r="G465" s="14" t="n"/>
      <c r="H465" s="14" t="n"/>
      <c r="I465" s="14" t="n"/>
      <c r="J465" s="14" t="n"/>
      <c r="K465" s="14" t="n"/>
      <c r="L465" s="15">
        <f>IF($D465="","",IF(AND($J465="Received",$K465&lt;&gt;"Yes"),"Yes","No"))</f>
        <v/>
      </c>
      <c r="M465" s="14" t="n"/>
    </row>
    <row r="466">
      <c r="B466" s="15">
        <f>IF($D466="","","M"&amp;TEXT(ROW()-5,"000"))</f>
        <v/>
      </c>
      <c r="C466" s="16" t="n"/>
      <c r="D466" s="14" t="n"/>
      <c r="E466" s="15">
        <f>IF($D466="","",IFERROR(INDEX(rngCadetPIDs,MATCH($D466,rngCadetNames,0)),"?"))</f>
        <v/>
      </c>
      <c r="F466" s="14" t="n"/>
      <c r="G466" s="14" t="n"/>
      <c r="H466" s="14" t="n"/>
      <c r="I466" s="14" t="n"/>
      <c r="J466" s="14" t="n"/>
      <c r="K466" s="14" t="n"/>
      <c r="L466" s="15">
        <f>IF($D466="","",IF(AND($J466="Received",$K466&lt;&gt;"Yes"),"Yes","No"))</f>
        <v/>
      </c>
      <c r="M466" s="14" t="n"/>
    </row>
    <row r="467">
      <c r="B467" s="15">
        <f>IF($D467="","","M"&amp;TEXT(ROW()-5,"000"))</f>
        <v/>
      </c>
      <c r="C467" s="16" t="n"/>
      <c r="D467" s="14" t="n"/>
      <c r="E467" s="15">
        <f>IF($D467="","",IFERROR(INDEX(rngCadetPIDs,MATCH($D467,rngCadetNames,0)),"?"))</f>
        <v/>
      </c>
      <c r="F467" s="14" t="n"/>
      <c r="G467" s="14" t="n"/>
      <c r="H467" s="14" t="n"/>
      <c r="I467" s="14" t="n"/>
      <c r="J467" s="14" t="n"/>
      <c r="K467" s="14" t="n"/>
      <c r="L467" s="15">
        <f>IF($D467="","",IF(AND($J467="Received",$K467&lt;&gt;"Yes"),"Yes","No"))</f>
        <v/>
      </c>
      <c r="M467" s="14" t="n"/>
    </row>
    <row r="468">
      <c r="B468" s="15">
        <f>IF($D468="","","M"&amp;TEXT(ROW()-5,"000"))</f>
        <v/>
      </c>
      <c r="C468" s="16" t="n"/>
      <c r="D468" s="14" t="n"/>
      <c r="E468" s="15">
        <f>IF($D468="","",IFERROR(INDEX(rngCadetPIDs,MATCH($D468,rngCadetNames,0)),"?"))</f>
        <v/>
      </c>
      <c r="F468" s="14" t="n"/>
      <c r="G468" s="14" t="n"/>
      <c r="H468" s="14" t="n"/>
      <c r="I468" s="14" t="n"/>
      <c r="J468" s="14" t="n"/>
      <c r="K468" s="14" t="n"/>
      <c r="L468" s="15">
        <f>IF($D468="","",IF(AND($J468="Received",$K468&lt;&gt;"Yes"),"Yes","No"))</f>
        <v/>
      </c>
      <c r="M468" s="14" t="n"/>
    </row>
    <row r="469">
      <c r="B469" s="15">
        <f>IF($D469="","","M"&amp;TEXT(ROW()-5,"000"))</f>
        <v/>
      </c>
      <c r="C469" s="16" t="n"/>
      <c r="D469" s="14" t="n"/>
      <c r="E469" s="15">
        <f>IF($D469="","",IFERROR(INDEX(rngCadetPIDs,MATCH($D469,rngCadetNames,0)),"?"))</f>
        <v/>
      </c>
      <c r="F469" s="14" t="n"/>
      <c r="G469" s="14" t="n"/>
      <c r="H469" s="14" t="n"/>
      <c r="I469" s="14" t="n"/>
      <c r="J469" s="14" t="n"/>
      <c r="K469" s="14" t="n"/>
      <c r="L469" s="15">
        <f>IF($D469="","",IF(AND($J469="Received",$K469&lt;&gt;"Yes"),"Yes","No"))</f>
        <v/>
      </c>
      <c r="M469" s="14" t="n"/>
    </row>
    <row r="470">
      <c r="B470" s="15">
        <f>IF($D470="","","M"&amp;TEXT(ROW()-5,"000"))</f>
        <v/>
      </c>
      <c r="C470" s="16" t="n"/>
      <c r="D470" s="14" t="n"/>
      <c r="E470" s="15">
        <f>IF($D470="","",IFERROR(INDEX(rngCadetPIDs,MATCH($D470,rngCadetNames,0)),"?"))</f>
        <v/>
      </c>
      <c r="F470" s="14" t="n"/>
      <c r="G470" s="14" t="n"/>
      <c r="H470" s="14" t="n"/>
      <c r="I470" s="14" t="n"/>
      <c r="J470" s="14" t="n"/>
      <c r="K470" s="14" t="n"/>
      <c r="L470" s="15">
        <f>IF($D470="","",IF(AND($J470="Received",$K470&lt;&gt;"Yes"),"Yes","No"))</f>
        <v/>
      </c>
      <c r="M470" s="14" t="n"/>
    </row>
    <row r="471">
      <c r="B471" s="15">
        <f>IF($D471="","","M"&amp;TEXT(ROW()-5,"000"))</f>
        <v/>
      </c>
      <c r="C471" s="16" t="n"/>
      <c r="D471" s="14" t="n"/>
      <c r="E471" s="15">
        <f>IF($D471="","",IFERROR(INDEX(rngCadetPIDs,MATCH($D471,rngCadetNames,0)),"?"))</f>
        <v/>
      </c>
      <c r="F471" s="14" t="n"/>
      <c r="G471" s="14" t="n"/>
      <c r="H471" s="14" t="n"/>
      <c r="I471" s="14" t="n"/>
      <c r="J471" s="14" t="n"/>
      <c r="K471" s="14" t="n"/>
      <c r="L471" s="15">
        <f>IF($D471="","",IF(AND($J471="Received",$K471&lt;&gt;"Yes"),"Yes","No"))</f>
        <v/>
      </c>
      <c r="M471" s="14" t="n"/>
    </row>
    <row r="472">
      <c r="B472" s="15">
        <f>IF($D472="","","M"&amp;TEXT(ROW()-5,"000"))</f>
        <v/>
      </c>
      <c r="C472" s="16" t="n"/>
      <c r="D472" s="14" t="n"/>
      <c r="E472" s="15">
        <f>IF($D472="","",IFERROR(INDEX(rngCadetPIDs,MATCH($D472,rngCadetNames,0)),"?"))</f>
        <v/>
      </c>
      <c r="F472" s="14" t="n"/>
      <c r="G472" s="14" t="n"/>
      <c r="H472" s="14" t="n"/>
      <c r="I472" s="14" t="n"/>
      <c r="J472" s="14" t="n"/>
      <c r="K472" s="14" t="n"/>
      <c r="L472" s="15">
        <f>IF($D472="","",IF(AND($J472="Received",$K472&lt;&gt;"Yes"),"Yes","No"))</f>
        <v/>
      </c>
      <c r="M472" s="14" t="n"/>
    </row>
    <row r="473">
      <c r="B473" s="15">
        <f>IF($D473="","","M"&amp;TEXT(ROW()-5,"000"))</f>
        <v/>
      </c>
      <c r="C473" s="16" t="n"/>
      <c r="D473" s="14" t="n"/>
      <c r="E473" s="15">
        <f>IF($D473="","",IFERROR(INDEX(rngCadetPIDs,MATCH($D473,rngCadetNames,0)),"?"))</f>
        <v/>
      </c>
      <c r="F473" s="14" t="n"/>
      <c r="G473" s="14" t="n"/>
      <c r="H473" s="14" t="n"/>
      <c r="I473" s="14" t="n"/>
      <c r="J473" s="14" t="n"/>
      <c r="K473" s="14" t="n"/>
      <c r="L473" s="15">
        <f>IF($D473="","",IF(AND($J473="Received",$K473&lt;&gt;"Yes"),"Yes","No"))</f>
        <v/>
      </c>
      <c r="M473" s="14" t="n"/>
    </row>
    <row r="474">
      <c r="B474" s="15">
        <f>IF($D474="","","M"&amp;TEXT(ROW()-5,"000"))</f>
        <v/>
      </c>
      <c r="C474" s="16" t="n"/>
      <c r="D474" s="14" t="n"/>
      <c r="E474" s="15">
        <f>IF($D474="","",IFERROR(INDEX(rngCadetPIDs,MATCH($D474,rngCadetNames,0)),"?"))</f>
        <v/>
      </c>
      <c r="F474" s="14" t="n"/>
      <c r="G474" s="14" t="n"/>
      <c r="H474" s="14" t="n"/>
      <c r="I474" s="14" t="n"/>
      <c r="J474" s="14" t="n"/>
      <c r="K474" s="14" t="n"/>
      <c r="L474" s="15">
        <f>IF($D474="","",IF(AND($J474="Received",$K474&lt;&gt;"Yes"),"Yes","No"))</f>
        <v/>
      </c>
      <c r="M474" s="14" t="n"/>
    </row>
    <row r="475">
      <c r="B475" s="15">
        <f>IF($D475="","","M"&amp;TEXT(ROW()-5,"000"))</f>
        <v/>
      </c>
      <c r="C475" s="16" t="n"/>
      <c r="D475" s="14" t="n"/>
      <c r="E475" s="15">
        <f>IF($D475="","",IFERROR(INDEX(rngCadetPIDs,MATCH($D475,rngCadetNames,0)),"?"))</f>
        <v/>
      </c>
      <c r="F475" s="14" t="n"/>
      <c r="G475" s="14" t="n"/>
      <c r="H475" s="14" t="n"/>
      <c r="I475" s="14" t="n"/>
      <c r="J475" s="14" t="n"/>
      <c r="K475" s="14" t="n"/>
      <c r="L475" s="15">
        <f>IF($D475="","",IF(AND($J475="Received",$K475&lt;&gt;"Yes"),"Yes","No"))</f>
        <v/>
      </c>
      <c r="M475" s="14" t="n"/>
    </row>
    <row r="476">
      <c r="B476" s="15">
        <f>IF($D476="","","M"&amp;TEXT(ROW()-5,"000"))</f>
        <v/>
      </c>
      <c r="C476" s="16" t="n"/>
      <c r="D476" s="14" t="n"/>
      <c r="E476" s="15">
        <f>IF($D476="","",IFERROR(INDEX(rngCadetPIDs,MATCH($D476,rngCadetNames,0)),"?"))</f>
        <v/>
      </c>
      <c r="F476" s="14" t="n"/>
      <c r="G476" s="14" t="n"/>
      <c r="H476" s="14" t="n"/>
      <c r="I476" s="14" t="n"/>
      <c r="J476" s="14" t="n"/>
      <c r="K476" s="14" t="n"/>
      <c r="L476" s="15">
        <f>IF($D476="","",IF(AND($J476="Received",$K476&lt;&gt;"Yes"),"Yes","No"))</f>
        <v/>
      </c>
      <c r="M476" s="14" t="n"/>
    </row>
    <row r="477">
      <c r="B477" s="15">
        <f>IF($D477="","","M"&amp;TEXT(ROW()-5,"000"))</f>
        <v/>
      </c>
      <c r="C477" s="16" t="n"/>
      <c r="D477" s="14" t="n"/>
      <c r="E477" s="15">
        <f>IF($D477="","",IFERROR(INDEX(rngCadetPIDs,MATCH($D477,rngCadetNames,0)),"?"))</f>
        <v/>
      </c>
      <c r="F477" s="14" t="n"/>
      <c r="G477" s="14" t="n"/>
      <c r="H477" s="14" t="n"/>
      <c r="I477" s="14" t="n"/>
      <c r="J477" s="14" t="n"/>
      <c r="K477" s="14" t="n"/>
      <c r="L477" s="15">
        <f>IF($D477="","",IF(AND($J477="Received",$K477&lt;&gt;"Yes"),"Yes","No"))</f>
        <v/>
      </c>
      <c r="M477" s="14" t="n"/>
    </row>
    <row r="478">
      <c r="B478" s="15">
        <f>IF($D478="","","M"&amp;TEXT(ROW()-5,"000"))</f>
        <v/>
      </c>
      <c r="C478" s="16" t="n"/>
      <c r="D478" s="14" t="n"/>
      <c r="E478" s="15">
        <f>IF($D478="","",IFERROR(INDEX(rngCadetPIDs,MATCH($D478,rngCadetNames,0)),"?"))</f>
        <v/>
      </c>
      <c r="F478" s="14" t="n"/>
      <c r="G478" s="14" t="n"/>
      <c r="H478" s="14" t="n"/>
      <c r="I478" s="14" t="n"/>
      <c r="J478" s="14" t="n"/>
      <c r="K478" s="14" t="n"/>
      <c r="L478" s="15">
        <f>IF($D478="","",IF(AND($J478="Received",$K478&lt;&gt;"Yes"),"Yes","No"))</f>
        <v/>
      </c>
      <c r="M478" s="14" t="n"/>
    </row>
    <row r="479">
      <c r="B479" s="15">
        <f>IF($D479="","","M"&amp;TEXT(ROW()-5,"000"))</f>
        <v/>
      </c>
      <c r="C479" s="16" t="n"/>
      <c r="D479" s="14" t="n"/>
      <c r="E479" s="15">
        <f>IF($D479="","",IFERROR(INDEX(rngCadetPIDs,MATCH($D479,rngCadetNames,0)),"?"))</f>
        <v/>
      </c>
      <c r="F479" s="14" t="n"/>
      <c r="G479" s="14" t="n"/>
      <c r="H479" s="14" t="n"/>
      <c r="I479" s="14" t="n"/>
      <c r="J479" s="14" t="n"/>
      <c r="K479" s="14" t="n"/>
      <c r="L479" s="15">
        <f>IF($D479="","",IF(AND($J479="Received",$K479&lt;&gt;"Yes"),"Yes","No"))</f>
        <v/>
      </c>
      <c r="M479" s="14" t="n"/>
    </row>
    <row r="480">
      <c r="B480" s="15">
        <f>IF($D480="","","M"&amp;TEXT(ROW()-5,"000"))</f>
        <v/>
      </c>
      <c r="C480" s="16" t="n"/>
      <c r="D480" s="14" t="n"/>
      <c r="E480" s="15">
        <f>IF($D480="","",IFERROR(INDEX(rngCadetPIDs,MATCH($D480,rngCadetNames,0)),"?"))</f>
        <v/>
      </c>
      <c r="F480" s="14" t="n"/>
      <c r="G480" s="14" t="n"/>
      <c r="H480" s="14" t="n"/>
      <c r="I480" s="14" t="n"/>
      <c r="J480" s="14" t="n"/>
      <c r="K480" s="14" t="n"/>
      <c r="L480" s="15">
        <f>IF($D480="","",IF(AND($J480="Received",$K480&lt;&gt;"Yes"),"Yes","No"))</f>
        <v/>
      </c>
      <c r="M480" s="14" t="n"/>
    </row>
    <row r="481">
      <c r="B481" s="15">
        <f>IF($D481="","","M"&amp;TEXT(ROW()-5,"000"))</f>
        <v/>
      </c>
      <c r="C481" s="16" t="n"/>
      <c r="D481" s="14" t="n"/>
      <c r="E481" s="15">
        <f>IF($D481="","",IFERROR(INDEX(rngCadetPIDs,MATCH($D481,rngCadetNames,0)),"?"))</f>
        <v/>
      </c>
      <c r="F481" s="14" t="n"/>
      <c r="G481" s="14" t="n"/>
      <c r="H481" s="14" t="n"/>
      <c r="I481" s="14" t="n"/>
      <c r="J481" s="14" t="n"/>
      <c r="K481" s="14" t="n"/>
      <c r="L481" s="15">
        <f>IF($D481="","",IF(AND($J481="Received",$K481&lt;&gt;"Yes"),"Yes","No"))</f>
        <v/>
      </c>
      <c r="M481" s="14" t="n"/>
    </row>
    <row r="482">
      <c r="B482" s="15">
        <f>IF($D482="","","M"&amp;TEXT(ROW()-5,"000"))</f>
        <v/>
      </c>
      <c r="C482" s="16" t="n"/>
      <c r="D482" s="14" t="n"/>
      <c r="E482" s="15">
        <f>IF($D482="","",IFERROR(INDEX(rngCadetPIDs,MATCH($D482,rngCadetNames,0)),"?"))</f>
        <v/>
      </c>
      <c r="F482" s="14" t="n"/>
      <c r="G482" s="14" t="n"/>
      <c r="H482" s="14" t="n"/>
      <c r="I482" s="14" t="n"/>
      <c r="J482" s="14" t="n"/>
      <c r="K482" s="14" t="n"/>
      <c r="L482" s="15">
        <f>IF($D482="","",IF(AND($J482="Received",$K482&lt;&gt;"Yes"),"Yes","No"))</f>
        <v/>
      </c>
      <c r="M482" s="14" t="n"/>
    </row>
    <row r="483">
      <c r="B483" s="15">
        <f>IF($D483="","","M"&amp;TEXT(ROW()-5,"000"))</f>
        <v/>
      </c>
      <c r="C483" s="16" t="n"/>
      <c r="D483" s="14" t="n"/>
      <c r="E483" s="15">
        <f>IF($D483="","",IFERROR(INDEX(rngCadetPIDs,MATCH($D483,rngCadetNames,0)),"?"))</f>
        <v/>
      </c>
      <c r="F483" s="14" t="n"/>
      <c r="G483" s="14" t="n"/>
      <c r="H483" s="14" t="n"/>
      <c r="I483" s="14" t="n"/>
      <c r="J483" s="14" t="n"/>
      <c r="K483" s="14" t="n"/>
      <c r="L483" s="15">
        <f>IF($D483="","",IF(AND($J483="Received",$K483&lt;&gt;"Yes"),"Yes","No"))</f>
        <v/>
      </c>
      <c r="M483" s="14" t="n"/>
    </row>
    <row r="484">
      <c r="B484" s="15">
        <f>IF($D484="","","M"&amp;TEXT(ROW()-5,"000"))</f>
        <v/>
      </c>
      <c r="C484" s="16" t="n"/>
      <c r="D484" s="14" t="n"/>
      <c r="E484" s="15">
        <f>IF($D484="","",IFERROR(INDEX(rngCadetPIDs,MATCH($D484,rngCadetNames,0)),"?"))</f>
        <v/>
      </c>
      <c r="F484" s="14" t="n"/>
      <c r="G484" s="14" t="n"/>
      <c r="H484" s="14" t="n"/>
      <c r="I484" s="14" t="n"/>
      <c r="J484" s="14" t="n"/>
      <c r="K484" s="14" t="n"/>
      <c r="L484" s="15">
        <f>IF($D484="","",IF(AND($J484="Received",$K484&lt;&gt;"Yes"),"Yes","No"))</f>
        <v/>
      </c>
      <c r="M484" s="14" t="n"/>
    </row>
    <row r="485">
      <c r="B485" s="15">
        <f>IF($D485="","","M"&amp;TEXT(ROW()-5,"000"))</f>
        <v/>
      </c>
      <c r="C485" s="16" t="n"/>
      <c r="D485" s="14" t="n"/>
      <c r="E485" s="15">
        <f>IF($D485="","",IFERROR(INDEX(rngCadetPIDs,MATCH($D485,rngCadetNames,0)),"?"))</f>
        <v/>
      </c>
      <c r="F485" s="14" t="n"/>
      <c r="G485" s="14" t="n"/>
      <c r="H485" s="14" t="n"/>
      <c r="I485" s="14" t="n"/>
      <c r="J485" s="14" t="n"/>
      <c r="K485" s="14" t="n"/>
      <c r="L485" s="15">
        <f>IF($D485="","",IF(AND($J485="Received",$K485&lt;&gt;"Yes"),"Yes","No"))</f>
        <v/>
      </c>
      <c r="M485" s="14" t="n"/>
    </row>
    <row r="486">
      <c r="B486" s="15">
        <f>IF($D486="","","M"&amp;TEXT(ROW()-5,"000"))</f>
        <v/>
      </c>
      <c r="C486" s="16" t="n"/>
      <c r="D486" s="14" t="n"/>
      <c r="E486" s="15">
        <f>IF($D486="","",IFERROR(INDEX(rngCadetPIDs,MATCH($D486,rngCadetNames,0)),"?"))</f>
        <v/>
      </c>
      <c r="F486" s="14" t="n"/>
      <c r="G486" s="14" t="n"/>
      <c r="H486" s="14" t="n"/>
      <c r="I486" s="14" t="n"/>
      <c r="J486" s="14" t="n"/>
      <c r="K486" s="14" t="n"/>
      <c r="L486" s="15">
        <f>IF($D486="","",IF(AND($J486="Received",$K486&lt;&gt;"Yes"),"Yes","No"))</f>
        <v/>
      </c>
      <c r="M486" s="14" t="n"/>
    </row>
    <row r="487">
      <c r="B487" s="15">
        <f>IF($D487="","","M"&amp;TEXT(ROW()-5,"000"))</f>
        <v/>
      </c>
      <c r="C487" s="16" t="n"/>
      <c r="D487" s="14" t="n"/>
      <c r="E487" s="15">
        <f>IF($D487="","",IFERROR(INDEX(rngCadetPIDs,MATCH($D487,rngCadetNames,0)),"?"))</f>
        <v/>
      </c>
      <c r="F487" s="14" t="n"/>
      <c r="G487" s="14" t="n"/>
      <c r="H487" s="14" t="n"/>
      <c r="I487" s="14" t="n"/>
      <c r="J487" s="14" t="n"/>
      <c r="K487" s="14" t="n"/>
      <c r="L487" s="15">
        <f>IF($D487="","",IF(AND($J487="Received",$K487&lt;&gt;"Yes"),"Yes","No"))</f>
        <v/>
      </c>
      <c r="M487" s="14" t="n"/>
    </row>
    <row r="488">
      <c r="B488" s="15">
        <f>IF($D488="","","M"&amp;TEXT(ROW()-5,"000"))</f>
        <v/>
      </c>
      <c r="C488" s="16" t="n"/>
      <c r="D488" s="14" t="n"/>
      <c r="E488" s="15">
        <f>IF($D488="","",IFERROR(INDEX(rngCadetPIDs,MATCH($D488,rngCadetNames,0)),"?"))</f>
        <v/>
      </c>
      <c r="F488" s="14" t="n"/>
      <c r="G488" s="14" t="n"/>
      <c r="H488" s="14" t="n"/>
      <c r="I488" s="14" t="n"/>
      <c r="J488" s="14" t="n"/>
      <c r="K488" s="14" t="n"/>
      <c r="L488" s="15">
        <f>IF($D488="","",IF(AND($J488="Received",$K488&lt;&gt;"Yes"),"Yes","No"))</f>
        <v/>
      </c>
      <c r="M488" s="14" t="n"/>
    </row>
    <row r="489">
      <c r="B489" s="15">
        <f>IF($D489="","","M"&amp;TEXT(ROW()-5,"000"))</f>
        <v/>
      </c>
      <c r="C489" s="16" t="n"/>
      <c r="D489" s="14" t="n"/>
      <c r="E489" s="15">
        <f>IF($D489="","",IFERROR(INDEX(rngCadetPIDs,MATCH($D489,rngCadetNames,0)),"?"))</f>
        <v/>
      </c>
      <c r="F489" s="14" t="n"/>
      <c r="G489" s="14" t="n"/>
      <c r="H489" s="14" t="n"/>
      <c r="I489" s="14" t="n"/>
      <c r="J489" s="14" t="n"/>
      <c r="K489" s="14" t="n"/>
      <c r="L489" s="15">
        <f>IF($D489="","",IF(AND($J489="Received",$K489&lt;&gt;"Yes"),"Yes","No"))</f>
        <v/>
      </c>
      <c r="M489" s="14" t="n"/>
    </row>
    <row r="490">
      <c r="B490" s="15">
        <f>IF($D490="","","M"&amp;TEXT(ROW()-5,"000"))</f>
        <v/>
      </c>
      <c r="C490" s="16" t="n"/>
      <c r="D490" s="14" t="n"/>
      <c r="E490" s="15">
        <f>IF($D490="","",IFERROR(INDEX(rngCadetPIDs,MATCH($D490,rngCadetNames,0)),"?"))</f>
        <v/>
      </c>
      <c r="F490" s="14" t="n"/>
      <c r="G490" s="14" t="n"/>
      <c r="H490" s="14" t="n"/>
      <c r="I490" s="14" t="n"/>
      <c r="J490" s="14" t="n"/>
      <c r="K490" s="14" t="n"/>
      <c r="L490" s="15">
        <f>IF($D490="","",IF(AND($J490="Received",$K490&lt;&gt;"Yes"),"Yes","No"))</f>
        <v/>
      </c>
      <c r="M490" s="14" t="n"/>
    </row>
    <row r="491">
      <c r="B491" s="15">
        <f>IF($D491="","","M"&amp;TEXT(ROW()-5,"000"))</f>
        <v/>
      </c>
      <c r="C491" s="16" t="n"/>
      <c r="D491" s="14" t="n"/>
      <c r="E491" s="15">
        <f>IF($D491="","",IFERROR(INDEX(rngCadetPIDs,MATCH($D491,rngCadetNames,0)),"?"))</f>
        <v/>
      </c>
      <c r="F491" s="14" t="n"/>
      <c r="G491" s="14" t="n"/>
      <c r="H491" s="14" t="n"/>
      <c r="I491" s="14" t="n"/>
      <c r="J491" s="14" t="n"/>
      <c r="K491" s="14" t="n"/>
      <c r="L491" s="15">
        <f>IF($D491="","",IF(AND($J491="Received",$K491&lt;&gt;"Yes"),"Yes","No"))</f>
        <v/>
      </c>
      <c r="M491" s="14" t="n"/>
    </row>
    <row r="492">
      <c r="B492" s="15">
        <f>IF($D492="","","M"&amp;TEXT(ROW()-5,"000"))</f>
        <v/>
      </c>
      <c r="C492" s="16" t="n"/>
      <c r="D492" s="14" t="n"/>
      <c r="E492" s="15">
        <f>IF($D492="","",IFERROR(INDEX(rngCadetPIDs,MATCH($D492,rngCadetNames,0)),"?"))</f>
        <v/>
      </c>
      <c r="F492" s="14" t="n"/>
      <c r="G492" s="14" t="n"/>
      <c r="H492" s="14" t="n"/>
      <c r="I492" s="14" t="n"/>
      <c r="J492" s="14" t="n"/>
      <c r="K492" s="14" t="n"/>
      <c r="L492" s="15">
        <f>IF($D492="","",IF(AND($J492="Received",$K492&lt;&gt;"Yes"),"Yes","No"))</f>
        <v/>
      </c>
      <c r="M492" s="14" t="n"/>
    </row>
    <row r="493">
      <c r="B493" s="15">
        <f>IF($D493="","","M"&amp;TEXT(ROW()-5,"000"))</f>
        <v/>
      </c>
      <c r="C493" s="16" t="n"/>
      <c r="D493" s="14" t="n"/>
      <c r="E493" s="15">
        <f>IF($D493="","",IFERROR(INDEX(rngCadetPIDs,MATCH($D493,rngCadetNames,0)),"?"))</f>
        <v/>
      </c>
      <c r="F493" s="14" t="n"/>
      <c r="G493" s="14" t="n"/>
      <c r="H493" s="14" t="n"/>
      <c r="I493" s="14" t="n"/>
      <c r="J493" s="14" t="n"/>
      <c r="K493" s="14" t="n"/>
      <c r="L493" s="15">
        <f>IF($D493="","",IF(AND($J493="Received",$K493&lt;&gt;"Yes"),"Yes","No"))</f>
        <v/>
      </c>
      <c r="M493" s="14" t="n"/>
    </row>
    <row r="494">
      <c r="B494" s="15">
        <f>IF($D494="","","M"&amp;TEXT(ROW()-5,"000"))</f>
        <v/>
      </c>
      <c r="C494" s="16" t="n"/>
      <c r="D494" s="14" t="n"/>
      <c r="E494" s="15">
        <f>IF($D494="","",IFERROR(INDEX(rngCadetPIDs,MATCH($D494,rngCadetNames,0)),"?"))</f>
        <v/>
      </c>
      <c r="F494" s="14" t="n"/>
      <c r="G494" s="14" t="n"/>
      <c r="H494" s="14" t="n"/>
      <c r="I494" s="14" t="n"/>
      <c r="J494" s="14" t="n"/>
      <c r="K494" s="14" t="n"/>
      <c r="L494" s="15">
        <f>IF($D494="","",IF(AND($J494="Received",$K494&lt;&gt;"Yes"),"Yes","No"))</f>
        <v/>
      </c>
      <c r="M494" s="14" t="n"/>
    </row>
    <row r="495">
      <c r="B495" s="15">
        <f>IF($D495="","","M"&amp;TEXT(ROW()-5,"000"))</f>
        <v/>
      </c>
      <c r="C495" s="16" t="n"/>
      <c r="D495" s="14" t="n"/>
      <c r="E495" s="15">
        <f>IF($D495="","",IFERROR(INDEX(rngCadetPIDs,MATCH($D495,rngCadetNames,0)),"?"))</f>
        <v/>
      </c>
      <c r="F495" s="14" t="n"/>
      <c r="G495" s="14" t="n"/>
      <c r="H495" s="14" t="n"/>
      <c r="I495" s="14" t="n"/>
      <c r="J495" s="14" t="n"/>
      <c r="K495" s="14" t="n"/>
      <c r="L495" s="15">
        <f>IF($D495="","",IF(AND($J495="Received",$K495&lt;&gt;"Yes"),"Yes","No"))</f>
        <v/>
      </c>
      <c r="M495" s="14" t="n"/>
    </row>
    <row r="496">
      <c r="B496" s="15">
        <f>IF($D496="","","M"&amp;TEXT(ROW()-5,"000"))</f>
        <v/>
      </c>
      <c r="C496" s="16" t="n"/>
      <c r="D496" s="14" t="n"/>
      <c r="E496" s="15">
        <f>IF($D496="","",IFERROR(INDEX(rngCadetPIDs,MATCH($D496,rngCadetNames,0)),"?"))</f>
        <v/>
      </c>
      <c r="F496" s="14" t="n"/>
      <c r="G496" s="14" t="n"/>
      <c r="H496" s="14" t="n"/>
      <c r="I496" s="14" t="n"/>
      <c r="J496" s="14" t="n"/>
      <c r="K496" s="14" t="n"/>
      <c r="L496" s="15">
        <f>IF($D496="","",IF(AND($J496="Received",$K496&lt;&gt;"Yes"),"Yes","No"))</f>
        <v/>
      </c>
      <c r="M496" s="14" t="n"/>
    </row>
    <row r="497">
      <c r="B497" s="15">
        <f>IF($D497="","","M"&amp;TEXT(ROW()-5,"000"))</f>
        <v/>
      </c>
      <c r="C497" s="16" t="n"/>
      <c r="D497" s="14" t="n"/>
      <c r="E497" s="15">
        <f>IF($D497="","",IFERROR(INDEX(rngCadetPIDs,MATCH($D497,rngCadetNames,0)),"?"))</f>
        <v/>
      </c>
      <c r="F497" s="14" t="n"/>
      <c r="G497" s="14" t="n"/>
      <c r="H497" s="14" t="n"/>
      <c r="I497" s="14" t="n"/>
      <c r="J497" s="14" t="n"/>
      <c r="K497" s="14" t="n"/>
      <c r="L497" s="15">
        <f>IF($D497="","",IF(AND($J497="Received",$K497&lt;&gt;"Yes"),"Yes","No"))</f>
        <v/>
      </c>
      <c r="M497" s="14" t="n"/>
    </row>
    <row r="498">
      <c r="B498" s="15">
        <f>IF($D498="","","M"&amp;TEXT(ROW()-5,"000"))</f>
        <v/>
      </c>
      <c r="C498" s="16" t="n"/>
      <c r="D498" s="14" t="n"/>
      <c r="E498" s="15">
        <f>IF($D498="","",IFERROR(INDEX(rngCadetPIDs,MATCH($D498,rngCadetNames,0)),"?"))</f>
        <v/>
      </c>
      <c r="F498" s="14" t="n"/>
      <c r="G498" s="14" t="n"/>
      <c r="H498" s="14" t="n"/>
      <c r="I498" s="14" t="n"/>
      <c r="J498" s="14" t="n"/>
      <c r="K498" s="14" t="n"/>
      <c r="L498" s="15">
        <f>IF($D498="","",IF(AND($J498="Received",$K498&lt;&gt;"Yes"),"Yes","No"))</f>
        <v/>
      </c>
      <c r="M498" s="14" t="n"/>
    </row>
    <row r="499">
      <c r="B499" s="15">
        <f>IF($D499="","","M"&amp;TEXT(ROW()-5,"000"))</f>
        <v/>
      </c>
      <c r="C499" s="16" t="n"/>
      <c r="D499" s="14" t="n"/>
      <c r="E499" s="15">
        <f>IF($D499="","",IFERROR(INDEX(rngCadetPIDs,MATCH($D499,rngCadetNames,0)),"?"))</f>
        <v/>
      </c>
      <c r="F499" s="14" t="n"/>
      <c r="G499" s="14" t="n"/>
      <c r="H499" s="14" t="n"/>
      <c r="I499" s="14" t="n"/>
      <c r="J499" s="14" t="n"/>
      <c r="K499" s="14" t="n"/>
      <c r="L499" s="15">
        <f>IF($D499="","",IF(AND($J499="Received",$K499&lt;&gt;"Yes"),"Yes","No"))</f>
        <v/>
      </c>
      <c r="M499" s="14" t="n"/>
    </row>
    <row r="500">
      <c r="B500" s="15">
        <f>IF($D500="","","M"&amp;TEXT(ROW()-5,"000"))</f>
        <v/>
      </c>
      <c r="C500" s="16" t="n"/>
      <c r="D500" s="14" t="n"/>
      <c r="E500" s="15">
        <f>IF($D500="","",IFERROR(INDEX(rngCadetPIDs,MATCH($D500,rngCadetNames,0)),"?"))</f>
        <v/>
      </c>
      <c r="F500" s="14" t="n"/>
      <c r="G500" s="14" t="n"/>
      <c r="H500" s="14" t="n"/>
      <c r="I500" s="14" t="n"/>
      <c r="J500" s="14" t="n"/>
      <c r="K500" s="14" t="n"/>
      <c r="L500" s="15">
        <f>IF($D500="","",IF(AND($J500="Received",$K500&lt;&gt;"Yes"),"Yes","No"))</f>
        <v/>
      </c>
      <c r="M500" s="14" t="n"/>
    </row>
    <row r="501">
      <c r="B501" s="15">
        <f>IF($D501="","","M"&amp;TEXT(ROW()-5,"000"))</f>
        <v/>
      </c>
      <c r="C501" s="16" t="n"/>
      <c r="D501" s="14" t="n"/>
      <c r="E501" s="15">
        <f>IF($D501="","",IFERROR(INDEX(rngCadetPIDs,MATCH($D501,rngCadetNames,0)),"?"))</f>
        <v/>
      </c>
      <c r="F501" s="14" t="n"/>
      <c r="G501" s="14" t="n"/>
      <c r="H501" s="14" t="n"/>
      <c r="I501" s="14" t="n"/>
      <c r="J501" s="14" t="n"/>
      <c r="K501" s="14" t="n"/>
      <c r="L501" s="15">
        <f>IF($D501="","",IF(AND($J501="Received",$K501&lt;&gt;"Yes"),"Yes","No"))</f>
        <v/>
      </c>
      <c r="M501" s="14" t="n"/>
    </row>
    <row r="502">
      <c r="B502" s="15">
        <f>IF($D502="","","M"&amp;TEXT(ROW()-5,"000"))</f>
        <v/>
      </c>
      <c r="C502" s="16" t="n"/>
      <c r="D502" s="14" t="n"/>
      <c r="E502" s="15">
        <f>IF($D502="","",IFERROR(INDEX(rngCadetPIDs,MATCH($D502,rngCadetNames,0)),"?"))</f>
        <v/>
      </c>
      <c r="F502" s="14" t="n"/>
      <c r="G502" s="14" t="n"/>
      <c r="H502" s="14" t="n"/>
      <c r="I502" s="14" t="n"/>
      <c r="J502" s="14" t="n"/>
      <c r="K502" s="14" t="n"/>
      <c r="L502" s="15">
        <f>IF($D502="","",IF(AND($J502="Received",$K502&lt;&gt;"Yes"),"Yes","No"))</f>
        <v/>
      </c>
      <c r="M502" s="14" t="n"/>
    </row>
    <row r="503">
      <c r="B503" s="15">
        <f>IF($D503="","","M"&amp;TEXT(ROW()-5,"000"))</f>
        <v/>
      </c>
      <c r="C503" s="16" t="n"/>
      <c r="D503" s="14" t="n"/>
      <c r="E503" s="15">
        <f>IF($D503="","",IFERROR(INDEX(rngCadetPIDs,MATCH($D503,rngCadetNames,0)),"?"))</f>
        <v/>
      </c>
      <c r="F503" s="14" t="n"/>
      <c r="G503" s="14" t="n"/>
      <c r="H503" s="14" t="n"/>
      <c r="I503" s="14" t="n"/>
      <c r="J503" s="14" t="n"/>
      <c r="K503" s="14" t="n"/>
      <c r="L503" s="15">
        <f>IF($D503="","",IF(AND($J503="Received",$K503&lt;&gt;"Yes"),"Yes","No"))</f>
        <v/>
      </c>
      <c r="M503" s="14" t="n"/>
    </row>
    <row r="504">
      <c r="B504" s="15">
        <f>IF($D504="","","M"&amp;TEXT(ROW()-5,"000"))</f>
        <v/>
      </c>
      <c r="C504" s="16" t="n"/>
      <c r="D504" s="14" t="n"/>
      <c r="E504" s="15">
        <f>IF($D504="","",IFERROR(INDEX(rngCadetPIDs,MATCH($D504,rngCadetNames,0)),"?"))</f>
        <v/>
      </c>
      <c r="F504" s="14" t="n"/>
      <c r="G504" s="14" t="n"/>
      <c r="H504" s="14" t="n"/>
      <c r="I504" s="14" t="n"/>
      <c r="J504" s="14" t="n"/>
      <c r="K504" s="14" t="n"/>
      <c r="L504" s="15">
        <f>IF($D504="","",IF(AND($J504="Received",$K504&lt;&gt;"Yes"),"Yes","No"))</f>
        <v/>
      </c>
      <c r="M504" s="14" t="n"/>
    </row>
    <row r="505">
      <c r="B505" s="15">
        <f>IF($D505="","","M"&amp;TEXT(ROW()-5,"000"))</f>
        <v/>
      </c>
      <c r="C505" s="16" t="n"/>
      <c r="D505" s="14" t="n"/>
      <c r="E505" s="15">
        <f>IF($D505="","",IFERROR(INDEX(rngCadetPIDs,MATCH($D505,rngCadetNames,0)),"?"))</f>
        <v/>
      </c>
      <c r="F505" s="14" t="n"/>
      <c r="G505" s="14" t="n"/>
      <c r="H505" s="14" t="n"/>
      <c r="I505" s="14" t="n"/>
      <c r="J505" s="14" t="n"/>
      <c r="K505" s="14" t="n"/>
      <c r="L505" s="15">
        <f>IF($D505="","",IF(AND($J505="Received",$K505&lt;&gt;"Yes"),"Yes","No"))</f>
        <v/>
      </c>
      <c r="M505" s="14"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Q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s>
  <sheetData>
    <row r="1"/>
    <row r="2"/>
    <row r="3"/>
    <row r="4">
      <c r="B4" s="8" t="inlineStr">
        <is>
          <t>One row per attempt (firearms scores recorded; Top Gun uses the firearms Score column). Exhausting max attempts = separation review (policy 300.7).</t>
        </is>
      </c>
    </row>
    <row r="5" ht="26" customHeight="1">
      <c r="B5" s="9" t="inlineStr">
        <is>
          <t>RecordID</t>
        </is>
      </c>
      <c r="C5" s="9" t="inlineStr">
        <is>
          <t>Cadet Name</t>
        </is>
      </c>
      <c r="D5" s="9" t="inlineStr">
        <is>
          <t>PID</t>
        </is>
      </c>
      <c r="E5" s="9" t="inlineStr">
        <is>
          <t>Category</t>
        </is>
      </c>
      <c r="F5" s="9" t="inlineStr">
        <is>
          <t>Max</t>
        </is>
      </c>
      <c r="G5" s="9" t="inlineStr">
        <is>
          <t>Mode</t>
        </is>
      </c>
      <c r="H5" s="9" t="inlineStr">
        <is>
          <t>Passing</t>
        </is>
      </c>
      <c r="I5" s="9" t="inlineStr">
        <is>
          <t>Attempt #</t>
        </is>
      </c>
      <c r="J5" s="9" t="inlineStr">
        <is>
          <t>Result</t>
        </is>
      </c>
      <c r="K5" s="9" t="inlineStr">
        <is>
          <t>Score</t>
        </is>
      </c>
      <c r="L5" s="9" t="inlineStr">
        <is>
          <t>Date</t>
        </is>
      </c>
      <c r="M5" s="9" t="inlineStr">
        <is>
          <t>Assessed By</t>
        </is>
      </c>
      <c r="N5" s="9" t="inlineStr">
        <is>
          <t>Attempts Used</t>
        </is>
      </c>
      <c r="O5" s="9" t="inlineStr">
        <is>
          <t>Status</t>
        </is>
      </c>
      <c r="P5" s="9" t="inlineStr">
        <is>
          <t>DismissReview</t>
        </is>
      </c>
      <c r="Q5" s="9" t="inlineStr">
        <is>
          <t>Notes</t>
        </is>
      </c>
    </row>
    <row r="6">
      <c r="B6" s="15">
        <f>IF($C6="","",$D6&amp;"-"&amp;$E6&amp;"-"&amp;$I6)</f>
        <v/>
      </c>
      <c r="C6" s="14" t="n"/>
      <c r="D6" s="15">
        <f>IF($C6="","",IFERROR(INDEX(rngCadetPIDs,MATCH($C6,rngCadetNames,0)),"?"))</f>
        <v/>
      </c>
      <c r="E6" s="14" t="n"/>
      <c r="F6" s="15">
        <f>IF($E6="","",IFERROR(INDEX(rngSM_max,MATCH($E6,rngSM_cat,0)),""))</f>
        <v/>
      </c>
      <c r="G6" s="15">
        <f>IF($E6="","",IFERROR(INDEX(rngSM_mode,MATCH($E6,rngSM_cat,0)),""))</f>
        <v/>
      </c>
      <c r="H6" s="15">
        <f>IF($E6="","",IFERROR(INDEX(rngSM_pass,MATCH($E6,rngSM_cat,0)),""))</f>
        <v/>
      </c>
      <c r="I6" s="14" t="n"/>
      <c r="J6" s="14" t="n"/>
      <c r="K6" s="14" t="n"/>
      <c r="L6" s="16" t="n"/>
      <c r="M6" s="14" t="n"/>
      <c r="N6" s="15">
        <f>IF($C6="","",COUNTIFS(nrSK_PID,$D6,nrSK_Cat,$E6))</f>
        <v/>
      </c>
      <c r="O6" s="15">
        <f>IF($C6="","",_xlfn.LET(_xlpm.latest,_xlfn.MAXIFS(nrSK_Att,nrSK_PID,$D6,nrSK_Cat,$E6),_xlpm.res,IF($I6=_xlpm.latest,$J6,""),IF($I6&lt;&gt;_xlpm.latest,"(superseded)",IF(_xlpm.res="","Pending",IF(_xlpm.res="Pass","Qualified",IF(AND(_xlpm.res="Fail",$N6&gt;=$F6),"FAILED OUT","Needs Remediation"))))))</f>
        <v/>
      </c>
      <c r="P6" s="15">
        <f>IF($C6="","",IF($O6="FAILED OUT","Yes","No"))</f>
        <v/>
      </c>
      <c r="Q6" s="14" t="n"/>
    </row>
    <row r="7">
      <c r="B7" s="15">
        <f>IF($C7="","",$D7&amp;"-"&amp;$E7&amp;"-"&amp;$I7)</f>
        <v/>
      </c>
      <c r="C7" s="14" t="n"/>
      <c r="D7" s="15">
        <f>IF($C7="","",IFERROR(INDEX(rngCadetPIDs,MATCH($C7,rngCadetNames,0)),"?"))</f>
        <v/>
      </c>
      <c r="E7" s="14" t="n"/>
      <c r="F7" s="15">
        <f>IF($E7="","",IFERROR(INDEX(rngSM_max,MATCH($E7,rngSM_cat,0)),""))</f>
        <v/>
      </c>
      <c r="G7" s="15">
        <f>IF($E7="","",IFERROR(INDEX(rngSM_mode,MATCH($E7,rngSM_cat,0)),""))</f>
        <v/>
      </c>
      <c r="H7" s="15">
        <f>IF($E7="","",IFERROR(INDEX(rngSM_pass,MATCH($E7,rngSM_cat,0)),""))</f>
        <v/>
      </c>
      <c r="I7" s="14" t="n"/>
      <c r="J7" s="14" t="n"/>
      <c r="K7" s="14" t="n"/>
      <c r="L7" s="16" t="n"/>
      <c r="M7" s="14" t="n"/>
      <c r="N7" s="15">
        <f>IF($C7="","",COUNTIFS(nrSK_PID,$D7,nrSK_Cat,$E7))</f>
        <v/>
      </c>
      <c r="O7" s="15">
        <f>IF($C7="","",_xlfn.LET(_xlpm.latest,_xlfn.MAXIFS(nrSK_Att,nrSK_PID,$D7,nrSK_Cat,$E7),_xlpm.res,IF($I7=_xlpm.latest,$J7,""),IF($I7&lt;&gt;_xlpm.latest,"(superseded)",IF(_xlpm.res="","Pending",IF(_xlpm.res="Pass","Qualified",IF(AND(_xlpm.res="Fail",$N7&gt;=$F7),"FAILED OUT","Needs Remediation"))))))</f>
        <v/>
      </c>
      <c r="P7" s="15">
        <f>IF($C7="","",IF($O7="FAILED OUT","Yes","No"))</f>
        <v/>
      </c>
      <c r="Q7" s="14" t="n"/>
    </row>
    <row r="8">
      <c r="B8" s="15">
        <f>IF($C8="","",$D8&amp;"-"&amp;$E8&amp;"-"&amp;$I8)</f>
        <v/>
      </c>
      <c r="C8" s="14" t="n"/>
      <c r="D8" s="15">
        <f>IF($C8="","",IFERROR(INDEX(rngCadetPIDs,MATCH($C8,rngCadetNames,0)),"?"))</f>
        <v/>
      </c>
      <c r="E8" s="14" t="n"/>
      <c r="F8" s="15">
        <f>IF($E8="","",IFERROR(INDEX(rngSM_max,MATCH($E8,rngSM_cat,0)),""))</f>
        <v/>
      </c>
      <c r="G8" s="15">
        <f>IF($E8="","",IFERROR(INDEX(rngSM_mode,MATCH($E8,rngSM_cat,0)),""))</f>
        <v/>
      </c>
      <c r="H8" s="15">
        <f>IF($E8="","",IFERROR(INDEX(rngSM_pass,MATCH($E8,rngSM_cat,0)),""))</f>
        <v/>
      </c>
      <c r="I8" s="14" t="n"/>
      <c r="J8" s="14" t="n"/>
      <c r="K8" s="14" t="n"/>
      <c r="L8" s="16" t="n"/>
      <c r="M8" s="14" t="n"/>
      <c r="N8" s="15">
        <f>IF($C8="","",COUNTIFS(nrSK_PID,$D8,nrSK_Cat,$E8))</f>
        <v/>
      </c>
      <c r="O8" s="15">
        <f>IF($C8="","",_xlfn.LET(_xlpm.latest,_xlfn.MAXIFS(nrSK_Att,nrSK_PID,$D8,nrSK_Cat,$E8),_xlpm.res,IF($I8=_xlpm.latest,$J8,""),IF($I8&lt;&gt;_xlpm.latest,"(superseded)",IF(_xlpm.res="","Pending",IF(_xlpm.res="Pass","Qualified",IF(AND(_xlpm.res="Fail",$N8&gt;=$F8),"FAILED OUT","Needs Remediation"))))))</f>
        <v/>
      </c>
      <c r="P8" s="15">
        <f>IF($C8="","",IF($O8="FAILED OUT","Yes","No"))</f>
        <v/>
      </c>
      <c r="Q8" s="14" t="n"/>
    </row>
    <row r="9">
      <c r="B9" s="15">
        <f>IF($C9="","",$D9&amp;"-"&amp;$E9&amp;"-"&amp;$I9)</f>
        <v/>
      </c>
      <c r="C9" s="14" t="n"/>
      <c r="D9" s="15">
        <f>IF($C9="","",IFERROR(INDEX(rngCadetPIDs,MATCH($C9,rngCadetNames,0)),"?"))</f>
        <v/>
      </c>
      <c r="E9" s="14" t="n"/>
      <c r="F9" s="15">
        <f>IF($E9="","",IFERROR(INDEX(rngSM_max,MATCH($E9,rngSM_cat,0)),""))</f>
        <v/>
      </c>
      <c r="G9" s="15">
        <f>IF($E9="","",IFERROR(INDEX(rngSM_mode,MATCH($E9,rngSM_cat,0)),""))</f>
        <v/>
      </c>
      <c r="H9" s="15">
        <f>IF($E9="","",IFERROR(INDEX(rngSM_pass,MATCH($E9,rngSM_cat,0)),""))</f>
        <v/>
      </c>
      <c r="I9" s="14" t="n"/>
      <c r="J9" s="14" t="n"/>
      <c r="K9" s="14" t="n"/>
      <c r="L9" s="16" t="n"/>
      <c r="M9" s="14" t="n"/>
      <c r="N9" s="15">
        <f>IF($C9="","",COUNTIFS(nrSK_PID,$D9,nrSK_Cat,$E9))</f>
        <v/>
      </c>
      <c r="O9" s="15">
        <f>IF($C9="","",_xlfn.LET(_xlpm.latest,_xlfn.MAXIFS(nrSK_Att,nrSK_PID,$D9,nrSK_Cat,$E9),_xlpm.res,IF($I9=_xlpm.latest,$J9,""),IF($I9&lt;&gt;_xlpm.latest,"(superseded)",IF(_xlpm.res="","Pending",IF(_xlpm.res="Pass","Qualified",IF(AND(_xlpm.res="Fail",$N9&gt;=$F9),"FAILED OUT","Needs Remediation"))))))</f>
        <v/>
      </c>
      <c r="P9" s="15">
        <f>IF($C9="","",IF($O9="FAILED OUT","Yes","No"))</f>
        <v/>
      </c>
      <c r="Q9" s="14" t="n"/>
    </row>
    <row r="10">
      <c r="B10" s="15">
        <f>IF($C10="","",$D10&amp;"-"&amp;$E10&amp;"-"&amp;$I10)</f>
        <v/>
      </c>
      <c r="C10" s="14" t="n"/>
      <c r="D10" s="15">
        <f>IF($C10="","",IFERROR(INDEX(rngCadetPIDs,MATCH($C10,rngCadetNames,0)),"?"))</f>
        <v/>
      </c>
      <c r="E10" s="14" t="n"/>
      <c r="F10" s="15">
        <f>IF($E10="","",IFERROR(INDEX(rngSM_max,MATCH($E10,rngSM_cat,0)),""))</f>
        <v/>
      </c>
      <c r="G10" s="15">
        <f>IF($E10="","",IFERROR(INDEX(rngSM_mode,MATCH($E10,rngSM_cat,0)),""))</f>
        <v/>
      </c>
      <c r="H10" s="15">
        <f>IF($E10="","",IFERROR(INDEX(rngSM_pass,MATCH($E10,rngSM_cat,0)),""))</f>
        <v/>
      </c>
      <c r="I10" s="14" t="n"/>
      <c r="J10" s="14" t="n"/>
      <c r="K10" s="14" t="n"/>
      <c r="L10" s="16" t="n"/>
      <c r="M10" s="14" t="n"/>
      <c r="N10" s="15">
        <f>IF($C10="","",COUNTIFS(nrSK_PID,$D10,nrSK_Cat,$E10))</f>
        <v/>
      </c>
      <c r="O10" s="15">
        <f>IF($C10="","",_xlfn.LET(_xlpm.latest,_xlfn.MAXIFS(nrSK_Att,nrSK_PID,$D10,nrSK_Cat,$E10),_xlpm.res,IF($I10=_xlpm.latest,$J10,""),IF($I10&lt;&gt;_xlpm.latest,"(superseded)",IF(_xlpm.res="","Pending",IF(_xlpm.res="Pass","Qualified",IF(AND(_xlpm.res="Fail",$N10&gt;=$F10),"FAILED OUT","Needs Remediation"))))))</f>
        <v/>
      </c>
      <c r="P10" s="15">
        <f>IF($C10="","",IF($O10="FAILED OUT","Yes","No"))</f>
        <v/>
      </c>
      <c r="Q10" s="14" t="n"/>
    </row>
    <row r="11">
      <c r="B11" s="15">
        <f>IF($C11="","",$D11&amp;"-"&amp;$E11&amp;"-"&amp;$I11)</f>
        <v/>
      </c>
      <c r="C11" s="14" t="n"/>
      <c r="D11" s="15">
        <f>IF($C11="","",IFERROR(INDEX(rngCadetPIDs,MATCH($C11,rngCadetNames,0)),"?"))</f>
        <v/>
      </c>
      <c r="E11" s="14" t="n"/>
      <c r="F11" s="15">
        <f>IF($E11="","",IFERROR(INDEX(rngSM_max,MATCH($E11,rngSM_cat,0)),""))</f>
        <v/>
      </c>
      <c r="G11" s="15">
        <f>IF($E11="","",IFERROR(INDEX(rngSM_mode,MATCH($E11,rngSM_cat,0)),""))</f>
        <v/>
      </c>
      <c r="H11" s="15">
        <f>IF($E11="","",IFERROR(INDEX(rngSM_pass,MATCH($E11,rngSM_cat,0)),""))</f>
        <v/>
      </c>
      <c r="I11" s="14" t="n"/>
      <c r="J11" s="14" t="n"/>
      <c r="K11" s="14" t="n"/>
      <c r="L11" s="16" t="n"/>
      <c r="M11" s="14" t="n"/>
      <c r="N11" s="15">
        <f>IF($C11="","",COUNTIFS(nrSK_PID,$D11,nrSK_Cat,$E11))</f>
        <v/>
      </c>
      <c r="O11" s="15">
        <f>IF($C11="","",_xlfn.LET(_xlpm.latest,_xlfn.MAXIFS(nrSK_Att,nrSK_PID,$D11,nrSK_Cat,$E11),_xlpm.res,IF($I11=_xlpm.latest,$J11,""),IF($I11&lt;&gt;_xlpm.latest,"(superseded)",IF(_xlpm.res="","Pending",IF(_xlpm.res="Pass","Qualified",IF(AND(_xlpm.res="Fail",$N11&gt;=$F11),"FAILED OUT","Needs Remediation"))))))</f>
        <v/>
      </c>
      <c r="P11" s="15">
        <f>IF($C11="","",IF($O11="FAILED OUT","Yes","No"))</f>
        <v/>
      </c>
      <c r="Q11" s="14" t="n"/>
    </row>
    <row r="12">
      <c r="B12" s="15">
        <f>IF($C12="","",$D12&amp;"-"&amp;$E12&amp;"-"&amp;$I12)</f>
        <v/>
      </c>
      <c r="C12" s="14" t="n"/>
      <c r="D12" s="15">
        <f>IF($C12="","",IFERROR(INDEX(rngCadetPIDs,MATCH($C12,rngCadetNames,0)),"?"))</f>
        <v/>
      </c>
      <c r="E12" s="14" t="n"/>
      <c r="F12" s="15">
        <f>IF($E12="","",IFERROR(INDEX(rngSM_max,MATCH($E12,rngSM_cat,0)),""))</f>
        <v/>
      </c>
      <c r="G12" s="15">
        <f>IF($E12="","",IFERROR(INDEX(rngSM_mode,MATCH($E12,rngSM_cat,0)),""))</f>
        <v/>
      </c>
      <c r="H12" s="15">
        <f>IF($E12="","",IFERROR(INDEX(rngSM_pass,MATCH($E12,rngSM_cat,0)),""))</f>
        <v/>
      </c>
      <c r="I12" s="14" t="n"/>
      <c r="J12" s="14" t="n"/>
      <c r="K12" s="14" t="n"/>
      <c r="L12" s="16" t="n"/>
      <c r="M12" s="14" t="n"/>
      <c r="N12" s="15">
        <f>IF($C12="","",COUNTIFS(nrSK_PID,$D12,nrSK_Cat,$E12))</f>
        <v/>
      </c>
      <c r="O12" s="15">
        <f>IF($C12="","",_xlfn.LET(_xlpm.latest,_xlfn.MAXIFS(nrSK_Att,nrSK_PID,$D12,nrSK_Cat,$E12),_xlpm.res,IF($I12=_xlpm.latest,$J12,""),IF($I12&lt;&gt;_xlpm.latest,"(superseded)",IF(_xlpm.res="","Pending",IF(_xlpm.res="Pass","Qualified",IF(AND(_xlpm.res="Fail",$N12&gt;=$F12),"FAILED OUT","Needs Remediation"))))))</f>
        <v/>
      </c>
      <c r="P12" s="15">
        <f>IF($C12="","",IF($O12="FAILED OUT","Yes","No"))</f>
        <v/>
      </c>
      <c r="Q12" s="14" t="n"/>
    </row>
    <row r="13">
      <c r="B13" s="15">
        <f>IF($C13="","",$D13&amp;"-"&amp;$E13&amp;"-"&amp;$I13)</f>
        <v/>
      </c>
      <c r="C13" s="14" t="n"/>
      <c r="D13" s="15">
        <f>IF($C13="","",IFERROR(INDEX(rngCadetPIDs,MATCH($C13,rngCadetNames,0)),"?"))</f>
        <v/>
      </c>
      <c r="E13" s="14" t="n"/>
      <c r="F13" s="15">
        <f>IF($E13="","",IFERROR(INDEX(rngSM_max,MATCH($E13,rngSM_cat,0)),""))</f>
        <v/>
      </c>
      <c r="G13" s="15">
        <f>IF($E13="","",IFERROR(INDEX(rngSM_mode,MATCH($E13,rngSM_cat,0)),""))</f>
        <v/>
      </c>
      <c r="H13" s="15">
        <f>IF($E13="","",IFERROR(INDEX(rngSM_pass,MATCH($E13,rngSM_cat,0)),""))</f>
        <v/>
      </c>
      <c r="I13" s="14" t="n"/>
      <c r="J13" s="14" t="n"/>
      <c r="K13" s="14" t="n"/>
      <c r="L13" s="16" t="n"/>
      <c r="M13" s="14" t="n"/>
      <c r="N13" s="15">
        <f>IF($C13="","",COUNTIFS(nrSK_PID,$D13,nrSK_Cat,$E13))</f>
        <v/>
      </c>
      <c r="O13" s="15">
        <f>IF($C13="","",_xlfn.LET(_xlpm.latest,_xlfn.MAXIFS(nrSK_Att,nrSK_PID,$D13,nrSK_Cat,$E13),_xlpm.res,IF($I13=_xlpm.latest,$J13,""),IF($I13&lt;&gt;_xlpm.latest,"(superseded)",IF(_xlpm.res="","Pending",IF(_xlpm.res="Pass","Qualified",IF(AND(_xlpm.res="Fail",$N13&gt;=$F13),"FAILED OUT","Needs Remediation"))))))</f>
        <v/>
      </c>
      <c r="P13" s="15">
        <f>IF($C13="","",IF($O13="FAILED OUT","Yes","No"))</f>
        <v/>
      </c>
      <c r="Q13" s="14" t="n"/>
    </row>
    <row r="14">
      <c r="B14" s="15">
        <f>IF($C14="","",$D14&amp;"-"&amp;$E14&amp;"-"&amp;$I14)</f>
        <v/>
      </c>
      <c r="C14" s="14" t="n"/>
      <c r="D14" s="15">
        <f>IF($C14="","",IFERROR(INDEX(rngCadetPIDs,MATCH($C14,rngCadetNames,0)),"?"))</f>
        <v/>
      </c>
      <c r="E14" s="14" t="n"/>
      <c r="F14" s="15">
        <f>IF($E14="","",IFERROR(INDEX(rngSM_max,MATCH($E14,rngSM_cat,0)),""))</f>
        <v/>
      </c>
      <c r="G14" s="15">
        <f>IF($E14="","",IFERROR(INDEX(rngSM_mode,MATCH($E14,rngSM_cat,0)),""))</f>
        <v/>
      </c>
      <c r="H14" s="15">
        <f>IF($E14="","",IFERROR(INDEX(rngSM_pass,MATCH($E14,rngSM_cat,0)),""))</f>
        <v/>
      </c>
      <c r="I14" s="14" t="n"/>
      <c r="J14" s="14" t="n"/>
      <c r="K14" s="14" t="n"/>
      <c r="L14" s="16" t="n"/>
      <c r="M14" s="14" t="n"/>
      <c r="N14" s="15">
        <f>IF($C14="","",COUNTIFS(nrSK_PID,$D14,nrSK_Cat,$E14))</f>
        <v/>
      </c>
      <c r="O14" s="15">
        <f>IF($C14="","",_xlfn.LET(_xlpm.latest,_xlfn.MAXIFS(nrSK_Att,nrSK_PID,$D14,nrSK_Cat,$E14),_xlpm.res,IF($I14=_xlpm.latest,$J14,""),IF($I14&lt;&gt;_xlpm.latest,"(superseded)",IF(_xlpm.res="","Pending",IF(_xlpm.res="Pass","Qualified",IF(AND(_xlpm.res="Fail",$N14&gt;=$F14),"FAILED OUT","Needs Remediation"))))))</f>
        <v/>
      </c>
      <c r="P14" s="15">
        <f>IF($C14="","",IF($O14="FAILED OUT","Yes","No"))</f>
        <v/>
      </c>
      <c r="Q14" s="14" t="n"/>
    </row>
    <row r="15">
      <c r="B15" s="15">
        <f>IF($C15="","",$D15&amp;"-"&amp;$E15&amp;"-"&amp;$I15)</f>
        <v/>
      </c>
      <c r="C15" s="14" t="n"/>
      <c r="D15" s="15">
        <f>IF($C15="","",IFERROR(INDEX(rngCadetPIDs,MATCH($C15,rngCadetNames,0)),"?"))</f>
        <v/>
      </c>
      <c r="E15" s="14" t="n"/>
      <c r="F15" s="15">
        <f>IF($E15="","",IFERROR(INDEX(rngSM_max,MATCH($E15,rngSM_cat,0)),""))</f>
        <v/>
      </c>
      <c r="G15" s="15">
        <f>IF($E15="","",IFERROR(INDEX(rngSM_mode,MATCH($E15,rngSM_cat,0)),""))</f>
        <v/>
      </c>
      <c r="H15" s="15">
        <f>IF($E15="","",IFERROR(INDEX(rngSM_pass,MATCH($E15,rngSM_cat,0)),""))</f>
        <v/>
      </c>
      <c r="I15" s="14" t="n"/>
      <c r="J15" s="14" t="n"/>
      <c r="K15" s="14" t="n"/>
      <c r="L15" s="16" t="n"/>
      <c r="M15" s="14" t="n"/>
      <c r="N15" s="15">
        <f>IF($C15="","",COUNTIFS(nrSK_PID,$D15,nrSK_Cat,$E15))</f>
        <v/>
      </c>
      <c r="O15" s="15">
        <f>IF($C15="","",_xlfn.LET(_xlpm.latest,_xlfn.MAXIFS(nrSK_Att,nrSK_PID,$D15,nrSK_Cat,$E15),_xlpm.res,IF($I15=_xlpm.latest,$J15,""),IF($I15&lt;&gt;_xlpm.latest,"(superseded)",IF(_xlpm.res="","Pending",IF(_xlpm.res="Pass","Qualified",IF(AND(_xlpm.res="Fail",$N15&gt;=$F15),"FAILED OUT","Needs Remediation"))))))</f>
        <v/>
      </c>
      <c r="P15" s="15">
        <f>IF($C15="","",IF($O15="FAILED OUT","Yes","No"))</f>
        <v/>
      </c>
      <c r="Q15" s="14" t="n"/>
    </row>
    <row r="16">
      <c r="B16" s="15">
        <f>IF($C16="","",$D16&amp;"-"&amp;$E16&amp;"-"&amp;$I16)</f>
        <v/>
      </c>
      <c r="C16" s="14" t="n"/>
      <c r="D16" s="15">
        <f>IF($C16="","",IFERROR(INDEX(rngCadetPIDs,MATCH($C16,rngCadetNames,0)),"?"))</f>
        <v/>
      </c>
      <c r="E16" s="14" t="n"/>
      <c r="F16" s="15">
        <f>IF($E16="","",IFERROR(INDEX(rngSM_max,MATCH($E16,rngSM_cat,0)),""))</f>
        <v/>
      </c>
      <c r="G16" s="15">
        <f>IF($E16="","",IFERROR(INDEX(rngSM_mode,MATCH($E16,rngSM_cat,0)),""))</f>
        <v/>
      </c>
      <c r="H16" s="15">
        <f>IF($E16="","",IFERROR(INDEX(rngSM_pass,MATCH($E16,rngSM_cat,0)),""))</f>
        <v/>
      </c>
      <c r="I16" s="14" t="n"/>
      <c r="J16" s="14" t="n"/>
      <c r="K16" s="14" t="n"/>
      <c r="L16" s="16" t="n"/>
      <c r="M16" s="14" t="n"/>
      <c r="N16" s="15">
        <f>IF($C16="","",COUNTIFS(nrSK_PID,$D16,nrSK_Cat,$E16))</f>
        <v/>
      </c>
      <c r="O16" s="15">
        <f>IF($C16="","",_xlfn.LET(_xlpm.latest,_xlfn.MAXIFS(nrSK_Att,nrSK_PID,$D16,nrSK_Cat,$E16),_xlpm.res,IF($I16=_xlpm.latest,$J16,""),IF($I16&lt;&gt;_xlpm.latest,"(superseded)",IF(_xlpm.res="","Pending",IF(_xlpm.res="Pass","Qualified",IF(AND(_xlpm.res="Fail",$N16&gt;=$F16),"FAILED OUT","Needs Remediation"))))))</f>
        <v/>
      </c>
      <c r="P16" s="15">
        <f>IF($C16="","",IF($O16="FAILED OUT","Yes","No"))</f>
        <v/>
      </c>
      <c r="Q16" s="14" t="n"/>
    </row>
    <row r="17">
      <c r="B17" s="15">
        <f>IF($C17="","",$D17&amp;"-"&amp;$E17&amp;"-"&amp;$I17)</f>
        <v/>
      </c>
      <c r="C17" s="14" t="n"/>
      <c r="D17" s="15">
        <f>IF($C17="","",IFERROR(INDEX(rngCadetPIDs,MATCH($C17,rngCadetNames,0)),"?"))</f>
        <v/>
      </c>
      <c r="E17" s="14" t="n"/>
      <c r="F17" s="15">
        <f>IF($E17="","",IFERROR(INDEX(rngSM_max,MATCH($E17,rngSM_cat,0)),""))</f>
        <v/>
      </c>
      <c r="G17" s="15">
        <f>IF($E17="","",IFERROR(INDEX(rngSM_mode,MATCH($E17,rngSM_cat,0)),""))</f>
        <v/>
      </c>
      <c r="H17" s="15">
        <f>IF($E17="","",IFERROR(INDEX(rngSM_pass,MATCH($E17,rngSM_cat,0)),""))</f>
        <v/>
      </c>
      <c r="I17" s="14" t="n"/>
      <c r="J17" s="14" t="n"/>
      <c r="K17" s="14" t="n"/>
      <c r="L17" s="16" t="n"/>
      <c r="M17" s="14" t="n"/>
      <c r="N17" s="15">
        <f>IF($C17="","",COUNTIFS(nrSK_PID,$D17,nrSK_Cat,$E17))</f>
        <v/>
      </c>
      <c r="O17" s="15">
        <f>IF($C17="","",_xlfn.LET(_xlpm.latest,_xlfn.MAXIFS(nrSK_Att,nrSK_PID,$D17,nrSK_Cat,$E17),_xlpm.res,IF($I17=_xlpm.latest,$J17,""),IF($I17&lt;&gt;_xlpm.latest,"(superseded)",IF(_xlpm.res="","Pending",IF(_xlpm.res="Pass","Qualified",IF(AND(_xlpm.res="Fail",$N17&gt;=$F17),"FAILED OUT","Needs Remediation"))))))</f>
        <v/>
      </c>
      <c r="P17" s="15">
        <f>IF($C17="","",IF($O17="FAILED OUT","Yes","No"))</f>
        <v/>
      </c>
      <c r="Q17" s="14" t="n"/>
    </row>
    <row r="18">
      <c r="B18" s="15">
        <f>IF($C18="","",$D18&amp;"-"&amp;$E18&amp;"-"&amp;$I18)</f>
        <v/>
      </c>
      <c r="C18" s="14" t="n"/>
      <c r="D18" s="15">
        <f>IF($C18="","",IFERROR(INDEX(rngCadetPIDs,MATCH($C18,rngCadetNames,0)),"?"))</f>
        <v/>
      </c>
      <c r="E18" s="14" t="n"/>
      <c r="F18" s="15">
        <f>IF($E18="","",IFERROR(INDEX(rngSM_max,MATCH($E18,rngSM_cat,0)),""))</f>
        <v/>
      </c>
      <c r="G18" s="15">
        <f>IF($E18="","",IFERROR(INDEX(rngSM_mode,MATCH($E18,rngSM_cat,0)),""))</f>
        <v/>
      </c>
      <c r="H18" s="15">
        <f>IF($E18="","",IFERROR(INDEX(rngSM_pass,MATCH($E18,rngSM_cat,0)),""))</f>
        <v/>
      </c>
      <c r="I18" s="14" t="n"/>
      <c r="J18" s="14" t="n"/>
      <c r="K18" s="14" t="n"/>
      <c r="L18" s="16" t="n"/>
      <c r="M18" s="14" t="n"/>
      <c r="N18" s="15">
        <f>IF($C18="","",COUNTIFS(nrSK_PID,$D18,nrSK_Cat,$E18))</f>
        <v/>
      </c>
      <c r="O18" s="15">
        <f>IF($C18="","",_xlfn.LET(_xlpm.latest,_xlfn.MAXIFS(nrSK_Att,nrSK_PID,$D18,nrSK_Cat,$E18),_xlpm.res,IF($I18=_xlpm.latest,$J18,""),IF($I18&lt;&gt;_xlpm.latest,"(superseded)",IF(_xlpm.res="","Pending",IF(_xlpm.res="Pass","Qualified",IF(AND(_xlpm.res="Fail",$N18&gt;=$F18),"FAILED OUT","Needs Remediation"))))))</f>
        <v/>
      </c>
      <c r="P18" s="15">
        <f>IF($C18="","",IF($O18="FAILED OUT","Yes","No"))</f>
        <v/>
      </c>
      <c r="Q18" s="14" t="n"/>
    </row>
    <row r="19">
      <c r="B19" s="15">
        <f>IF($C19="","",$D19&amp;"-"&amp;$E19&amp;"-"&amp;$I19)</f>
        <v/>
      </c>
      <c r="C19" s="14" t="n"/>
      <c r="D19" s="15">
        <f>IF($C19="","",IFERROR(INDEX(rngCadetPIDs,MATCH($C19,rngCadetNames,0)),"?"))</f>
        <v/>
      </c>
      <c r="E19" s="14" t="n"/>
      <c r="F19" s="15">
        <f>IF($E19="","",IFERROR(INDEX(rngSM_max,MATCH($E19,rngSM_cat,0)),""))</f>
        <v/>
      </c>
      <c r="G19" s="15">
        <f>IF($E19="","",IFERROR(INDEX(rngSM_mode,MATCH($E19,rngSM_cat,0)),""))</f>
        <v/>
      </c>
      <c r="H19" s="15">
        <f>IF($E19="","",IFERROR(INDEX(rngSM_pass,MATCH($E19,rngSM_cat,0)),""))</f>
        <v/>
      </c>
      <c r="I19" s="14" t="n"/>
      <c r="J19" s="14" t="n"/>
      <c r="K19" s="14" t="n"/>
      <c r="L19" s="16" t="n"/>
      <c r="M19" s="14" t="n"/>
      <c r="N19" s="15">
        <f>IF($C19="","",COUNTIFS(nrSK_PID,$D19,nrSK_Cat,$E19))</f>
        <v/>
      </c>
      <c r="O19" s="15">
        <f>IF($C19="","",_xlfn.LET(_xlpm.latest,_xlfn.MAXIFS(nrSK_Att,nrSK_PID,$D19,nrSK_Cat,$E19),_xlpm.res,IF($I19=_xlpm.latest,$J19,""),IF($I19&lt;&gt;_xlpm.latest,"(superseded)",IF(_xlpm.res="","Pending",IF(_xlpm.res="Pass","Qualified",IF(AND(_xlpm.res="Fail",$N19&gt;=$F19),"FAILED OUT","Needs Remediation"))))))</f>
        <v/>
      </c>
      <c r="P19" s="15">
        <f>IF($C19="","",IF($O19="FAILED OUT","Yes","No"))</f>
        <v/>
      </c>
      <c r="Q19" s="14" t="n"/>
    </row>
    <row r="20">
      <c r="B20" s="15">
        <f>IF($C20="","",$D20&amp;"-"&amp;$E20&amp;"-"&amp;$I20)</f>
        <v/>
      </c>
      <c r="C20" s="14" t="n"/>
      <c r="D20" s="15">
        <f>IF($C20="","",IFERROR(INDEX(rngCadetPIDs,MATCH($C20,rngCadetNames,0)),"?"))</f>
        <v/>
      </c>
      <c r="E20" s="14" t="n"/>
      <c r="F20" s="15">
        <f>IF($E20="","",IFERROR(INDEX(rngSM_max,MATCH($E20,rngSM_cat,0)),""))</f>
        <v/>
      </c>
      <c r="G20" s="15">
        <f>IF($E20="","",IFERROR(INDEX(rngSM_mode,MATCH($E20,rngSM_cat,0)),""))</f>
        <v/>
      </c>
      <c r="H20" s="15">
        <f>IF($E20="","",IFERROR(INDEX(rngSM_pass,MATCH($E20,rngSM_cat,0)),""))</f>
        <v/>
      </c>
      <c r="I20" s="14" t="n"/>
      <c r="J20" s="14" t="n"/>
      <c r="K20" s="14" t="n"/>
      <c r="L20" s="16" t="n"/>
      <c r="M20" s="14" t="n"/>
      <c r="N20" s="15">
        <f>IF($C20="","",COUNTIFS(nrSK_PID,$D20,nrSK_Cat,$E20))</f>
        <v/>
      </c>
      <c r="O20" s="15">
        <f>IF($C20="","",_xlfn.LET(_xlpm.latest,_xlfn.MAXIFS(nrSK_Att,nrSK_PID,$D20,nrSK_Cat,$E20),_xlpm.res,IF($I20=_xlpm.latest,$J20,""),IF($I20&lt;&gt;_xlpm.latest,"(superseded)",IF(_xlpm.res="","Pending",IF(_xlpm.res="Pass","Qualified",IF(AND(_xlpm.res="Fail",$N20&gt;=$F20),"FAILED OUT","Needs Remediation"))))))</f>
        <v/>
      </c>
      <c r="P20" s="15">
        <f>IF($C20="","",IF($O20="FAILED OUT","Yes","No"))</f>
        <v/>
      </c>
      <c r="Q20" s="14" t="n"/>
    </row>
    <row r="21">
      <c r="B21" s="15">
        <f>IF($C21="","",$D21&amp;"-"&amp;$E21&amp;"-"&amp;$I21)</f>
        <v/>
      </c>
      <c r="C21" s="14" t="n"/>
      <c r="D21" s="15">
        <f>IF($C21="","",IFERROR(INDEX(rngCadetPIDs,MATCH($C21,rngCadetNames,0)),"?"))</f>
        <v/>
      </c>
      <c r="E21" s="14" t="n"/>
      <c r="F21" s="15">
        <f>IF($E21="","",IFERROR(INDEX(rngSM_max,MATCH($E21,rngSM_cat,0)),""))</f>
        <v/>
      </c>
      <c r="G21" s="15">
        <f>IF($E21="","",IFERROR(INDEX(rngSM_mode,MATCH($E21,rngSM_cat,0)),""))</f>
        <v/>
      </c>
      <c r="H21" s="15">
        <f>IF($E21="","",IFERROR(INDEX(rngSM_pass,MATCH($E21,rngSM_cat,0)),""))</f>
        <v/>
      </c>
      <c r="I21" s="14" t="n"/>
      <c r="J21" s="14" t="n"/>
      <c r="K21" s="14" t="n"/>
      <c r="L21" s="16" t="n"/>
      <c r="M21" s="14" t="n"/>
      <c r="N21" s="15">
        <f>IF($C21="","",COUNTIFS(nrSK_PID,$D21,nrSK_Cat,$E21))</f>
        <v/>
      </c>
      <c r="O21" s="15">
        <f>IF($C21="","",_xlfn.LET(_xlpm.latest,_xlfn.MAXIFS(nrSK_Att,nrSK_PID,$D21,nrSK_Cat,$E21),_xlpm.res,IF($I21=_xlpm.latest,$J21,""),IF($I21&lt;&gt;_xlpm.latest,"(superseded)",IF(_xlpm.res="","Pending",IF(_xlpm.res="Pass","Qualified",IF(AND(_xlpm.res="Fail",$N21&gt;=$F21),"FAILED OUT","Needs Remediation"))))))</f>
        <v/>
      </c>
      <c r="P21" s="15">
        <f>IF($C21="","",IF($O21="FAILED OUT","Yes","No"))</f>
        <v/>
      </c>
      <c r="Q21" s="14" t="n"/>
    </row>
    <row r="22">
      <c r="B22" s="15">
        <f>IF($C22="","",$D22&amp;"-"&amp;$E22&amp;"-"&amp;$I22)</f>
        <v/>
      </c>
      <c r="C22" s="14" t="n"/>
      <c r="D22" s="15">
        <f>IF($C22="","",IFERROR(INDEX(rngCadetPIDs,MATCH($C22,rngCadetNames,0)),"?"))</f>
        <v/>
      </c>
      <c r="E22" s="14" t="n"/>
      <c r="F22" s="15">
        <f>IF($E22="","",IFERROR(INDEX(rngSM_max,MATCH($E22,rngSM_cat,0)),""))</f>
        <v/>
      </c>
      <c r="G22" s="15">
        <f>IF($E22="","",IFERROR(INDEX(rngSM_mode,MATCH($E22,rngSM_cat,0)),""))</f>
        <v/>
      </c>
      <c r="H22" s="15">
        <f>IF($E22="","",IFERROR(INDEX(rngSM_pass,MATCH($E22,rngSM_cat,0)),""))</f>
        <v/>
      </c>
      <c r="I22" s="14" t="n"/>
      <c r="J22" s="14" t="n"/>
      <c r="K22" s="14" t="n"/>
      <c r="L22" s="16" t="n"/>
      <c r="M22" s="14" t="n"/>
      <c r="N22" s="15">
        <f>IF($C22="","",COUNTIFS(nrSK_PID,$D22,nrSK_Cat,$E22))</f>
        <v/>
      </c>
      <c r="O22" s="15">
        <f>IF($C22="","",_xlfn.LET(_xlpm.latest,_xlfn.MAXIFS(nrSK_Att,nrSK_PID,$D22,nrSK_Cat,$E22),_xlpm.res,IF($I22=_xlpm.latest,$J22,""),IF($I22&lt;&gt;_xlpm.latest,"(superseded)",IF(_xlpm.res="","Pending",IF(_xlpm.res="Pass","Qualified",IF(AND(_xlpm.res="Fail",$N22&gt;=$F22),"FAILED OUT","Needs Remediation"))))))</f>
        <v/>
      </c>
      <c r="P22" s="15">
        <f>IF($C22="","",IF($O22="FAILED OUT","Yes","No"))</f>
        <v/>
      </c>
      <c r="Q22" s="14" t="n"/>
    </row>
    <row r="23">
      <c r="B23" s="15">
        <f>IF($C23="","",$D23&amp;"-"&amp;$E23&amp;"-"&amp;$I23)</f>
        <v/>
      </c>
      <c r="C23" s="14" t="n"/>
      <c r="D23" s="15">
        <f>IF($C23="","",IFERROR(INDEX(rngCadetPIDs,MATCH($C23,rngCadetNames,0)),"?"))</f>
        <v/>
      </c>
      <c r="E23" s="14" t="n"/>
      <c r="F23" s="15">
        <f>IF($E23="","",IFERROR(INDEX(rngSM_max,MATCH($E23,rngSM_cat,0)),""))</f>
        <v/>
      </c>
      <c r="G23" s="15">
        <f>IF($E23="","",IFERROR(INDEX(rngSM_mode,MATCH($E23,rngSM_cat,0)),""))</f>
        <v/>
      </c>
      <c r="H23" s="15">
        <f>IF($E23="","",IFERROR(INDEX(rngSM_pass,MATCH($E23,rngSM_cat,0)),""))</f>
        <v/>
      </c>
      <c r="I23" s="14" t="n"/>
      <c r="J23" s="14" t="n"/>
      <c r="K23" s="14" t="n"/>
      <c r="L23" s="16" t="n"/>
      <c r="M23" s="14" t="n"/>
      <c r="N23" s="15">
        <f>IF($C23="","",COUNTIFS(nrSK_PID,$D23,nrSK_Cat,$E23))</f>
        <v/>
      </c>
      <c r="O23" s="15">
        <f>IF($C23="","",_xlfn.LET(_xlpm.latest,_xlfn.MAXIFS(nrSK_Att,nrSK_PID,$D23,nrSK_Cat,$E23),_xlpm.res,IF($I23=_xlpm.latest,$J23,""),IF($I23&lt;&gt;_xlpm.latest,"(superseded)",IF(_xlpm.res="","Pending",IF(_xlpm.res="Pass","Qualified",IF(AND(_xlpm.res="Fail",$N23&gt;=$F23),"FAILED OUT","Needs Remediation"))))))</f>
        <v/>
      </c>
      <c r="P23" s="15">
        <f>IF($C23="","",IF($O23="FAILED OUT","Yes","No"))</f>
        <v/>
      </c>
      <c r="Q23" s="14" t="n"/>
    </row>
    <row r="24">
      <c r="B24" s="15">
        <f>IF($C24="","",$D24&amp;"-"&amp;$E24&amp;"-"&amp;$I24)</f>
        <v/>
      </c>
      <c r="C24" s="14" t="n"/>
      <c r="D24" s="15">
        <f>IF($C24="","",IFERROR(INDEX(rngCadetPIDs,MATCH($C24,rngCadetNames,0)),"?"))</f>
        <v/>
      </c>
      <c r="E24" s="14" t="n"/>
      <c r="F24" s="15">
        <f>IF($E24="","",IFERROR(INDEX(rngSM_max,MATCH($E24,rngSM_cat,0)),""))</f>
        <v/>
      </c>
      <c r="G24" s="15">
        <f>IF($E24="","",IFERROR(INDEX(rngSM_mode,MATCH($E24,rngSM_cat,0)),""))</f>
        <v/>
      </c>
      <c r="H24" s="15">
        <f>IF($E24="","",IFERROR(INDEX(rngSM_pass,MATCH($E24,rngSM_cat,0)),""))</f>
        <v/>
      </c>
      <c r="I24" s="14" t="n"/>
      <c r="J24" s="14" t="n"/>
      <c r="K24" s="14" t="n"/>
      <c r="L24" s="16" t="n"/>
      <c r="M24" s="14" t="n"/>
      <c r="N24" s="15">
        <f>IF($C24="","",COUNTIFS(nrSK_PID,$D24,nrSK_Cat,$E24))</f>
        <v/>
      </c>
      <c r="O24" s="15">
        <f>IF($C24="","",_xlfn.LET(_xlpm.latest,_xlfn.MAXIFS(nrSK_Att,nrSK_PID,$D24,nrSK_Cat,$E24),_xlpm.res,IF($I24=_xlpm.latest,$J24,""),IF($I24&lt;&gt;_xlpm.latest,"(superseded)",IF(_xlpm.res="","Pending",IF(_xlpm.res="Pass","Qualified",IF(AND(_xlpm.res="Fail",$N24&gt;=$F24),"FAILED OUT","Needs Remediation"))))))</f>
        <v/>
      </c>
      <c r="P24" s="15">
        <f>IF($C24="","",IF($O24="FAILED OUT","Yes","No"))</f>
        <v/>
      </c>
      <c r="Q24" s="14" t="n"/>
    </row>
    <row r="25">
      <c r="B25" s="15">
        <f>IF($C25="","",$D25&amp;"-"&amp;$E25&amp;"-"&amp;$I25)</f>
        <v/>
      </c>
      <c r="C25" s="14" t="n"/>
      <c r="D25" s="15">
        <f>IF($C25="","",IFERROR(INDEX(rngCadetPIDs,MATCH($C25,rngCadetNames,0)),"?"))</f>
        <v/>
      </c>
      <c r="E25" s="14" t="n"/>
      <c r="F25" s="15">
        <f>IF($E25="","",IFERROR(INDEX(rngSM_max,MATCH($E25,rngSM_cat,0)),""))</f>
        <v/>
      </c>
      <c r="G25" s="15">
        <f>IF($E25="","",IFERROR(INDEX(rngSM_mode,MATCH($E25,rngSM_cat,0)),""))</f>
        <v/>
      </c>
      <c r="H25" s="15">
        <f>IF($E25="","",IFERROR(INDEX(rngSM_pass,MATCH($E25,rngSM_cat,0)),""))</f>
        <v/>
      </c>
      <c r="I25" s="14" t="n"/>
      <c r="J25" s="14" t="n"/>
      <c r="K25" s="14" t="n"/>
      <c r="L25" s="16" t="n"/>
      <c r="M25" s="14" t="n"/>
      <c r="N25" s="15">
        <f>IF($C25="","",COUNTIFS(nrSK_PID,$D25,nrSK_Cat,$E25))</f>
        <v/>
      </c>
      <c r="O25" s="15">
        <f>IF($C25="","",_xlfn.LET(_xlpm.latest,_xlfn.MAXIFS(nrSK_Att,nrSK_PID,$D25,nrSK_Cat,$E25),_xlpm.res,IF($I25=_xlpm.latest,$J25,""),IF($I25&lt;&gt;_xlpm.latest,"(superseded)",IF(_xlpm.res="","Pending",IF(_xlpm.res="Pass","Qualified",IF(AND(_xlpm.res="Fail",$N25&gt;=$F25),"FAILED OUT","Needs Remediation"))))))</f>
        <v/>
      </c>
      <c r="P25" s="15">
        <f>IF($C25="","",IF($O25="FAILED OUT","Yes","No"))</f>
        <v/>
      </c>
      <c r="Q25" s="14" t="n"/>
    </row>
    <row r="26">
      <c r="B26" s="15">
        <f>IF($C26="","",$D26&amp;"-"&amp;$E26&amp;"-"&amp;$I26)</f>
        <v/>
      </c>
      <c r="C26" s="14" t="n"/>
      <c r="D26" s="15">
        <f>IF($C26="","",IFERROR(INDEX(rngCadetPIDs,MATCH($C26,rngCadetNames,0)),"?"))</f>
        <v/>
      </c>
      <c r="E26" s="14" t="n"/>
      <c r="F26" s="15">
        <f>IF($E26="","",IFERROR(INDEX(rngSM_max,MATCH($E26,rngSM_cat,0)),""))</f>
        <v/>
      </c>
      <c r="G26" s="15">
        <f>IF($E26="","",IFERROR(INDEX(rngSM_mode,MATCH($E26,rngSM_cat,0)),""))</f>
        <v/>
      </c>
      <c r="H26" s="15">
        <f>IF($E26="","",IFERROR(INDEX(rngSM_pass,MATCH($E26,rngSM_cat,0)),""))</f>
        <v/>
      </c>
      <c r="I26" s="14" t="n"/>
      <c r="J26" s="14" t="n"/>
      <c r="K26" s="14" t="n"/>
      <c r="L26" s="16" t="n"/>
      <c r="M26" s="14" t="n"/>
      <c r="N26" s="15">
        <f>IF($C26="","",COUNTIFS(nrSK_PID,$D26,nrSK_Cat,$E26))</f>
        <v/>
      </c>
      <c r="O26" s="15">
        <f>IF($C26="","",_xlfn.LET(_xlpm.latest,_xlfn.MAXIFS(nrSK_Att,nrSK_PID,$D26,nrSK_Cat,$E26),_xlpm.res,IF($I26=_xlpm.latest,$J26,""),IF($I26&lt;&gt;_xlpm.latest,"(superseded)",IF(_xlpm.res="","Pending",IF(_xlpm.res="Pass","Qualified",IF(AND(_xlpm.res="Fail",$N26&gt;=$F26),"FAILED OUT","Needs Remediation"))))))</f>
        <v/>
      </c>
      <c r="P26" s="15">
        <f>IF($C26="","",IF($O26="FAILED OUT","Yes","No"))</f>
        <v/>
      </c>
      <c r="Q26" s="14" t="n"/>
    </row>
    <row r="27">
      <c r="B27" s="15">
        <f>IF($C27="","",$D27&amp;"-"&amp;$E27&amp;"-"&amp;$I27)</f>
        <v/>
      </c>
      <c r="C27" s="14" t="n"/>
      <c r="D27" s="15">
        <f>IF($C27="","",IFERROR(INDEX(rngCadetPIDs,MATCH($C27,rngCadetNames,0)),"?"))</f>
        <v/>
      </c>
      <c r="E27" s="14" t="n"/>
      <c r="F27" s="15">
        <f>IF($E27="","",IFERROR(INDEX(rngSM_max,MATCH($E27,rngSM_cat,0)),""))</f>
        <v/>
      </c>
      <c r="G27" s="15">
        <f>IF($E27="","",IFERROR(INDEX(rngSM_mode,MATCH($E27,rngSM_cat,0)),""))</f>
        <v/>
      </c>
      <c r="H27" s="15">
        <f>IF($E27="","",IFERROR(INDEX(rngSM_pass,MATCH($E27,rngSM_cat,0)),""))</f>
        <v/>
      </c>
      <c r="I27" s="14" t="n"/>
      <c r="J27" s="14" t="n"/>
      <c r="K27" s="14" t="n"/>
      <c r="L27" s="16" t="n"/>
      <c r="M27" s="14" t="n"/>
      <c r="N27" s="15">
        <f>IF($C27="","",COUNTIFS(nrSK_PID,$D27,nrSK_Cat,$E27))</f>
        <v/>
      </c>
      <c r="O27" s="15">
        <f>IF($C27="","",_xlfn.LET(_xlpm.latest,_xlfn.MAXIFS(nrSK_Att,nrSK_PID,$D27,nrSK_Cat,$E27),_xlpm.res,IF($I27=_xlpm.latest,$J27,""),IF($I27&lt;&gt;_xlpm.latest,"(superseded)",IF(_xlpm.res="","Pending",IF(_xlpm.res="Pass","Qualified",IF(AND(_xlpm.res="Fail",$N27&gt;=$F27),"FAILED OUT","Needs Remediation"))))))</f>
        <v/>
      </c>
      <c r="P27" s="15">
        <f>IF($C27="","",IF($O27="FAILED OUT","Yes","No"))</f>
        <v/>
      </c>
      <c r="Q27" s="14" t="n"/>
    </row>
    <row r="28">
      <c r="B28" s="15">
        <f>IF($C28="","",$D28&amp;"-"&amp;$E28&amp;"-"&amp;$I28)</f>
        <v/>
      </c>
      <c r="C28" s="14" t="n"/>
      <c r="D28" s="15">
        <f>IF($C28="","",IFERROR(INDEX(rngCadetPIDs,MATCH($C28,rngCadetNames,0)),"?"))</f>
        <v/>
      </c>
      <c r="E28" s="14" t="n"/>
      <c r="F28" s="15">
        <f>IF($E28="","",IFERROR(INDEX(rngSM_max,MATCH($E28,rngSM_cat,0)),""))</f>
        <v/>
      </c>
      <c r="G28" s="15">
        <f>IF($E28="","",IFERROR(INDEX(rngSM_mode,MATCH($E28,rngSM_cat,0)),""))</f>
        <v/>
      </c>
      <c r="H28" s="15">
        <f>IF($E28="","",IFERROR(INDEX(rngSM_pass,MATCH($E28,rngSM_cat,0)),""))</f>
        <v/>
      </c>
      <c r="I28" s="14" t="n"/>
      <c r="J28" s="14" t="n"/>
      <c r="K28" s="14" t="n"/>
      <c r="L28" s="16" t="n"/>
      <c r="M28" s="14" t="n"/>
      <c r="N28" s="15">
        <f>IF($C28="","",COUNTIFS(nrSK_PID,$D28,nrSK_Cat,$E28))</f>
        <v/>
      </c>
      <c r="O28" s="15">
        <f>IF($C28="","",_xlfn.LET(_xlpm.latest,_xlfn.MAXIFS(nrSK_Att,nrSK_PID,$D28,nrSK_Cat,$E28),_xlpm.res,IF($I28=_xlpm.latest,$J28,""),IF($I28&lt;&gt;_xlpm.latest,"(superseded)",IF(_xlpm.res="","Pending",IF(_xlpm.res="Pass","Qualified",IF(AND(_xlpm.res="Fail",$N28&gt;=$F28),"FAILED OUT","Needs Remediation"))))))</f>
        <v/>
      </c>
      <c r="P28" s="15">
        <f>IF($C28="","",IF($O28="FAILED OUT","Yes","No"))</f>
        <v/>
      </c>
      <c r="Q28" s="14" t="n"/>
    </row>
    <row r="29">
      <c r="B29" s="15">
        <f>IF($C29="","",$D29&amp;"-"&amp;$E29&amp;"-"&amp;$I29)</f>
        <v/>
      </c>
      <c r="C29" s="14" t="n"/>
      <c r="D29" s="15">
        <f>IF($C29="","",IFERROR(INDEX(rngCadetPIDs,MATCH($C29,rngCadetNames,0)),"?"))</f>
        <v/>
      </c>
      <c r="E29" s="14" t="n"/>
      <c r="F29" s="15">
        <f>IF($E29="","",IFERROR(INDEX(rngSM_max,MATCH($E29,rngSM_cat,0)),""))</f>
        <v/>
      </c>
      <c r="G29" s="15">
        <f>IF($E29="","",IFERROR(INDEX(rngSM_mode,MATCH($E29,rngSM_cat,0)),""))</f>
        <v/>
      </c>
      <c r="H29" s="15">
        <f>IF($E29="","",IFERROR(INDEX(rngSM_pass,MATCH($E29,rngSM_cat,0)),""))</f>
        <v/>
      </c>
      <c r="I29" s="14" t="n"/>
      <c r="J29" s="14" t="n"/>
      <c r="K29" s="14" t="n"/>
      <c r="L29" s="16" t="n"/>
      <c r="M29" s="14" t="n"/>
      <c r="N29" s="15">
        <f>IF($C29="","",COUNTIFS(nrSK_PID,$D29,nrSK_Cat,$E29))</f>
        <v/>
      </c>
      <c r="O29" s="15">
        <f>IF($C29="","",_xlfn.LET(_xlpm.latest,_xlfn.MAXIFS(nrSK_Att,nrSK_PID,$D29,nrSK_Cat,$E29),_xlpm.res,IF($I29=_xlpm.latest,$J29,""),IF($I29&lt;&gt;_xlpm.latest,"(superseded)",IF(_xlpm.res="","Pending",IF(_xlpm.res="Pass","Qualified",IF(AND(_xlpm.res="Fail",$N29&gt;=$F29),"FAILED OUT","Needs Remediation"))))))</f>
        <v/>
      </c>
      <c r="P29" s="15">
        <f>IF($C29="","",IF($O29="FAILED OUT","Yes","No"))</f>
        <v/>
      </c>
      <c r="Q29" s="14" t="n"/>
    </row>
    <row r="30">
      <c r="B30" s="15">
        <f>IF($C30="","",$D30&amp;"-"&amp;$E30&amp;"-"&amp;$I30)</f>
        <v/>
      </c>
      <c r="C30" s="14" t="n"/>
      <c r="D30" s="15">
        <f>IF($C30="","",IFERROR(INDEX(rngCadetPIDs,MATCH($C30,rngCadetNames,0)),"?"))</f>
        <v/>
      </c>
      <c r="E30" s="14" t="n"/>
      <c r="F30" s="15">
        <f>IF($E30="","",IFERROR(INDEX(rngSM_max,MATCH($E30,rngSM_cat,0)),""))</f>
        <v/>
      </c>
      <c r="G30" s="15">
        <f>IF($E30="","",IFERROR(INDEX(rngSM_mode,MATCH($E30,rngSM_cat,0)),""))</f>
        <v/>
      </c>
      <c r="H30" s="15">
        <f>IF($E30="","",IFERROR(INDEX(rngSM_pass,MATCH($E30,rngSM_cat,0)),""))</f>
        <v/>
      </c>
      <c r="I30" s="14" t="n"/>
      <c r="J30" s="14" t="n"/>
      <c r="K30" s="14" t="n"/>
      <c r="L30" s="16" t="n"/>
      <c r="M30" s="14" t="n"/>
      <c r="N30" s="15">
        <f>IF($C30="","",COUNTIFS(nrSK_PID,$D30,nrSK_Cat,$E30))</f>
        <v/>
      </c>
      <c r="O30" s="15">
        <f>IF($C30="","",_xlfn.LET(_xlpm.latest,_xlfn.MAXIFS(nrSK_Att,nrSK_PID,$D30,nrSK_Cat,$E30),_xlpm.res,IF($I30=_xlpm.latest,$J30,""),IF($I30&lt;&gt;_xlpm.latest,"(superseded)",IF(_xlpm.res="","Pending",IF(_xlpm.res="Pass","Qualified",IF(AND(_xlpm.res="Fail",$N30&gt;=$F30),"FAILED OUT","Needs Remediation"))))))</f>
        <v/>
      </c>
      <c r="P30" s="15">
        <f>IF($C30="","",IF($O30="FAILED OUT","Yes","No"))</f>
        <v/>
      </c>
      <c r="Q30" s="14" t="n"/>
    </row>
    <row r="31">
      <c r="B31" s="15">
        <f>IF($C31="","",$D31&amp;"-"&amp;$E31&amp;"-"&amp;$I31)</f>
        <v/>
      </c>
      <c r="C31" s="14" t="n"/>
      <c r="D31" s="15">
        <f>IF($C31="","",IFERROR(INDEX(rngCadetPIDs,MATCH($C31,rngCadetNames,0)),"?"))</f>
        <v/>
      </c>
      <c r="E31" s="14" t="n"/>
      <c r="F31" s="15">
        <f>IF($E31="","",IFERROR(INDEX(rngSM_max,MATCH($E31,rngSM_cat,0)),""))</f>
        <v/>
      </c>
      <c r="G31" s="15">
        <f>IF($E31="","",IFERROR(INDEX(rngSM_mode,MATCH($E31,rngSM_cat,0)),""))</f>
        <v/>
      </c>
      <c r="H31" s="15">
        <f>IF($E31="","",IFERROR(INDEX(rngSM_pass,MATCH($E31,rngSM_cat,0)),""))</f>
        <v/>
      </c>
      <c r="I31" s="14" t="n"/>
      <c r="J31" s="14" t="n"/>
      <c r="K31" s="14" t="n"/>
      <c r="L31" s="16" t="n"/>
      <c r="M31" s="14" t="n"/>
      <c r="N31" s="15">
        <f>IF($C31="","",COUNTIFS(nrSK_PID,$D31,nrSK_Cat,$E31))</f>
        <v/>
      </c>
      <c r="O31" s="15">
        <f>IF($C31="","",_xlfn.LET(_xlpm.latest,_xlfn.MAXIFS(nrSK_Att,nrSK_PID,$D31,nrSK_Cat,$E31),_xlpm.res,IF($I31=_xlpm.latest,$J31,""),IF($I31&lt;&gt;_xlpm.latest,"(superseded)",IF(_xlpm.res="","Pending",IF(_xlpm.res="Pass","Qualified",IF(AND(_xlpm.res="Fail",$N31&gt;=$F31),"FAILED OUT","Needs Remediation"))))))</f>
        <v/>
      </c>
      <c r="P31" s="15">
        <f>IF($C31="","",IF($O31="FAILED OUT","Yes","No"))</f>
        <v/>
      </c>
      <c r="Q31" s="14" t="n"/>
    </row>
    <row r="32">
      <c r="B32" s="15">
        <f>IF($C32="","",$D32&amp;"-"&amp;$E32&amp;"-"&amp;$I32)</f>
        <v/>
      </c>
      <c r="C32" s="14" t="n"/>
      <c r="D32" s="15">
        <f>IF($C32="","",IFERROR(INDEX(rngCadetPIDs,MATCH($C32,rngCadetNames,0)),"?"))</f>
        <v/>
      </c>
      <c r="E32" s="14" t="n"/>
      <c r="F32" s="15">
        <f>IF($E32="","",IFERROR(INDEX(rngSM_max,MATCH($E32,rngSM_cat,0)),""))</f>
        <v/>
      </c>
      <c r="G32" s="15">
        <f>IF($E32="","",IFERROR(INDEX(rngSM_mode,MATCH($E32,rngSM_cat,0)),""))</f>
        <v/>
      </c>
      <c r="H32" s="15">
        <f>IF($E32="","",IFERROR(INDEX(rngSM_pass,MATCH($E32,rngSM_cat,0)),""))</f>
        <v/>
      </c>
      <c r="I32" s="14" t="n"/>
      <c r="J32" s="14" t="n"/>
      <c r="K32" s="14" t="n"/>
      <c r="L32" s="16" t="n"/>
      <c r="M32" s="14" t="n"/>
      <c r="N32" s="15">
        <f>IF($C32="","",COUNTIFS(nrSK_PID,$D32,nrSK_Cat,$E32))</f>
        <v/>
      </c>
      <c r="O32" s="15">
        <f>IF($C32="","",_xlfn.LET(_xlpm.latest,_xlfn.MAXIFS(nrSK_Att,nrSK_PID,$D32,nrSK_Cat,$E32),_xlpm.res,IF($I32=_xlpm.latest,$J32,""),IF($I32&lt;&gt;_xlpm.latest,"(superseded)",IF(_xlpm.res="","Pending",IF(_xlpm.res="Pass","Qualified",IF(AND(_xlpm.res="Fail",$N32&gt;=$F32),"FAILED OUT","Needs Remediation"))))))</f>
        <v/>
      </c>
      <c r="P32" s="15">
        <f>IF($C32="","",IF($O32="FAILED OUT","Yes","No"))</f>
        <v/>
      </c>
      <c r="Q32" s="14" t="n"/>
    </row>
    <row r="33">
      <c r="B33" s="15">
        <f>IF($C33="","",$D33&amp;"-"&amp;$E33&amp;"-"&amp;$I33)</f>
        <v/>
      </c>
      <c r="C33" s="14" t="n"/>
      <c r="D33" s="15">
        <f>IF($C33="","",IFERROR(INDEX(rngCadetPIDs,MATCH($C33,rngCadetNames,0)),"?"))</f>
        <v/>
      </c>
      <c r="E33" s="14" t="n"/>
      <c r="F33" s="15">
        <f>IF($E33="","",IFERROR(INDEX(rngSM_max,MATCH($E33,rngSM_cat,0)),""))</f>
        <v/>
      </c>
      <c r="G33" s="15">
        <f>IF($E33="","",IFERROR(INDEX(rngSM_mode,MATCH($E33,rngSM_cat,0)),""))</f>
        <v/>
      </c>
      <c r="H33" s="15">
        <f>IF($E33="","",IFERROR(INDEX(rngSM_pass,MATCH($E33,rngSM_cat,0)),""))</f>
        <v/>
      </c>
      <c r="I33" s="14" t="n"/>
      <c r="J33" s="14" t="n"/>
      <c r="K33" s="14" t="n"/>
      <c r="L33" s="16" t="n"/>
      <c r="M33" s="14" t="n"/>
      <c r="N33" s="15">
        <f>IF($C33="","",COUNTIFS(nrSK_PID,$D33,nrSK_Cat,$E33))</f>
        <v/>
      </c>
      <c r="O33" s="15">
        <f>IF($C33="","",_xlfn.LET(_xlpm.latest,_xlfn.MAXIFS(nrSK_Att,nrSK_PID,$D33,nrSK_Cat,$E33),_xlpm.res,IF($I33=_xlpm.latest,$J33,""),IF($I33&lt;&gt;_xlpm.latest,"(superseded)",IF(_xlpm.res="","Pending",IF(_xlpm.res="Pass","Qualified",IF(AND(_xlpm.res="Fail",$N33&gt;=$F33),"FAILED OUT","Needs Remediation"))))))</f>
        <v/>
      </c>
      <c r="P33" s="15">
        <f>IF($C33="","",IF($O33="FAILED OUT","Yes","No"))</f>
        <v/>
      </c>
      <c r="Q33" s="14" t="n"/>
    </row>
    <row r="34">
      <c r="B34" s="15">
        <f>IF($C34="","",$D34&amp;"-"&amp;$E34&amp;"-"&amp;$I34)</f>
        <v/>
      </c>
      <c r="C34" s="14" t="n"/>
      <c r="D34" s="15">
        <f>IF($C34="","",IFERROR(INDEX(rngCadetPIDs,MATCH($C34,rngCadetNames,0)),"?"))</f>
        <v/>
      </c>
      <c r="E34" s="14" t="n"/>
      <c r="F34" s="15">
        <f>IF($E34="","",IFERROR(INDEX(rngSM_max,MATCH($E34,rngSM_cat,0)),""))</f>
        <v/>
      </c>
      <c r="G34" s="15">
        <f>IF($E34="","",IFERROR(INDEX(rngSM_mode,MATCH($E34,rngSM_cat,0)),""))</f>
        <v/>
      </c>
      <c r="H34" s="15">
        <f>IF($E34="","",IFERROR(INDEX(rngSM_pass,MATCH($E34,rngSM_cat,0)),""))</f>
        <v/>
      </c>
      <c r="I34" s="14" t="n"/>
      <c r="J34" s="14" t="n"/>
      <c r="K34" s="14" t="n"/>
      <c r="L34" s="16" t="n"/>
      <c r="M34" s="14" t="n"/>
      <c r="N34" s="15">
        <f>IF($C34="","",COUNTIFS(nrSK_PID,$D34,nrSK_Cat,$E34))</f>
        <v/>
      </c>
      <c r="O34" s="15">
        <f>IF($C34="","",_xlfn.LET(_xlpm.latest,_xlfn.MAXIFS(nrSK_Att,nrSK_PID,$D34,nrSK_Cat,$E34),_xlpm.res,IF($I34=_xlpm.latest,$J34,""),IF($I34&lt;&gt;_xlpm.latest,"(superseded)",IF(_xlpm.res="","Pending",IF(_xlpm.res="Pass","Qualified",IF(AND(_xlpm.res="Fail",$N34&gt;=$F34),"FAILED OUT","Needs Remediation"))))))</f>
        <v/>
      </c>
      <c r="P34" s="15">
        <f>IF($C34="","",IF($O34="FAILED OUT","Yes","No"))</f>
        <v/>
      </c>
      <c r="Q34" s="14" t="n"/>
    </row>
    <row r="35">
      <c r="B35" s="15">
        <f>IF($C35="","",$D35&amp;"-"&amp;$E35&amp;"-"&amp;$I35)</f>
        <v/>
      </c>
      <c r="C35" s="14" t="n"/>
      <c r="D35" s="15">
        <f>IF($C35="","",IFERROR(INDEX(rngCadetPIDs,MATCH($C35,rngCadetNames,0)),"?"))</f>
        <v/>
      </c>
      <c r="E35" s="14" t="n"/>
      <c r="F35" s="15">
        <f>IF($E35="","",IFERROR(INDEX(rngSM_max,MATCH($E35,rngSM_cat,0)),""))</f>
        <v/>
      </c>
      <c r="G35" s="15">
        <f>IF($E35="","",IFERROR(INDEX(rngSM_mode,MATCH($E35,rngSM_cat,0)),""))</f>
        <v/>
      </c>
      <c r="H35" s="15">
        <f>IF($E35="","",IFERROR(INDEX(rngSM_pass,MATCH($E35,rngSM_cat,0)),""))</f>
        <v/>
      </c>
      <c r="I35" s="14" t="n"/>
      <c r="J35" s="14" t="n"/>
      <c r="K35" s="14" t="n"/>
      <c r="L35" s="16" t="n"/>
      <c r="M35" s="14" t="n"/>
      <c r="N35" s="15">
        <f>IF($C35="","",COUNTIFS(nrSK_PID,$D35,nrSK_Cat,$E35))</f>
        <v/>
      </c>
      <c r="O35" s="15">
        <f>IF($C35="","",_xlfn.LET(_xlpm.latest,_xlfn.MAXIFS(nrSK_Att,nrSK_PID,$D35,nrSK_Cat,$E35),_xlpm.res,IF($I35=_xlpm.latest,$J35,""),IF($I35&lt;&gt;_xlpm.latest,"(superseded)",IF(_xlpm.res="","Pending",IF(_xlpm.res="Pass","Qualified",IF(AND(_xlpm.res="Fail",$N35&gt;=$F35),"FAILED OUT","Needs Remediation"))))))</f>
        <v/>
      </c>
      <c r="P35" s="15">
        <f>IF($C35="","",IF($O35="FAILED OUT","Yes","No"))</f>
        <v/>
      </c>
      <c r="Q35" s="14" t="n"/>
    </row>
    <row r="36">
      <c r="B36" s="15">
        <f>IF($C36="","",$D36&amp;"-"&amp;$E36&amp;"-"&amp;$I36)</f>
        <v/>
      </c>
      <c r="C36" s="14" t="n"/>
      <c r="D36" s="15">
        <f>IF($C36="","",IFERROR(INDEX(rngCadetPIDs,MATCH($C36,rngCadetNames,0)),"?"))</f>
        <v/>
      </c>
      <c r="E36" s="14" t="n"/>
      <c r="F36" s="15">
        <f>IF($E36="","",IFERROR(INDEX(rngSM_max,MATCH($E36,rngSM_cat,0)),""))</f>
        <v/>
      </c>
      <c r="G36" s="15">
        <f>IF($E36="","",IFERROR(INDEX(rngSM_mode,MATCH($E36,rngSM_cat,0)),""))</f>
        <v/>
      </c>
      <c r="H36" s="15">
        <f>IF($E36="","",IFERROR(INDEX(rngSM_pass,MATCH($E36,rngSM_cat,0)),""))</f>
        <v/>
      </c>
      <c r="I36" s="14" t="n"/>
      <c r="J36" s="14" t="n"/>
      <c r="K36" s="14" t="n"/>
      <c r="L36" s="16" t="n"/>
      <c r="M36" s="14" t="n"/>
      <c r="N36" s="15">
        <f>IF($C36="","",COUNTIFS(nrSK_PID,$D36,nrSK_Cat,$E36))</f>
        <v/>
      </c>
      <c r="O36" s="15">
        <f>IF($C36="","",_xlfn.LET(_xlpm.latest,_xlfn.MAXIFS(nrSK_Att,nrSK_PID,$D36,nrSK_Cat,$E36),_xlpm.res,IF($I36=_xlpm.latest,$J36,""),IF($I36&lt;&gt;_xlpm.latest,"(superseded)",IF(_xlpm.res="","Pending",IF(_xlpm.res="Pass","Qualified",IF(AND(_xlpm.res="Fail",$N36&gt;=$F36),"FAILED OUT","Needs Remediation"))))))</f>
        <v/>
      </c>
      <c r="P36" s="15">
        <f>IF($C36="","",IF($O36="FAILED OUT","Yes","No"))</f>
        <v/>
      </c>
      <c r="Q36" s="14" t="n"/>
    </row>
    <row r="37">
      <c r="B37" s="15">
        <f>IF($C37="","",$D37&amp;"-"&amp;$E37&amp;"-"&amp;$I37)</f>
        <v/>
      </c>
      <c r="C37" s="14" t="n"/>
      <c r="D37" s="15">
        <f>IF($C37="","",IFERROR(INDEX(rngCadetPIDs,MATCH($C37,rngCadetNames,0)),"?"))</f>
        <v/>
      </c>
      <c r="E37" s="14" t="n"/>
      <c r="F37" s="15">
        <f>IF($E37="","",IFERROR(INDEX(rngSM_max,MATCH($E37,rngSM_cat,0)),""))</f>
        <v/>
      </c>
      <c r="G37" s="15">
        <f>IF($E37="","",IFERROR(INDEX(rngSM_mode,MATCH($E37,rngSM_cat,0)),""))</f>
        <v/>
      </c>
      <c r="H37" s="15">
        <f>IF($E37="","",IFERROR(INDEX(rngSM_pass,MATCH($E37,rngSM_cat,0)),""))</f>
        <v/>
      </c>
      <c r="I37" s="14" t="n"/>
      <c r="J37" s="14" t="n"/>
      <c r="K37" s="14" t="n"/>
      <c r="L37" s="16" t="n"/>
      <c r="M37" s="14" t="n"/>
      <c r="N37" s="15">
        <f>IF($C37="","",COUNTIFS(nrSK_PID,$D37,nrSK_Cat,$E37))</f>
        <v/>
      </c>
      <c r="O37" s="15">
        <f>IF($C37="","",_xlfn.LET(_xlpm.latest,_xlfn.MAXIFS(nrSK_Att,nrSK_PID,$D37,nrSK_Cat,$E37),_xlpm.res,IF($I37=_xlpm.latest,$J37,""),IF($I37&lt;&gt;_xlpm.latest,"(superseded)",IF(_xlpm.res="","Pending",IF(_xlpm.res="Pass","Qualified",IF(AND(_xlpm.res="Fail",$N37&gt;=$F37),"FAILED OUT","Needs Remediation"))))))</f>
        <v/>
      </c>
      <c r="P37" s="15">
        <f>IF($C37="","",IF($O37="FAILED OUT","Yes","No"))</f>
        <v/>
      </c>
      <c r="Q37" s="14" t="n"/>
    </row>
    <row r="38">
      <c r="B38" s="15">
        <f>IF($C38="","",$D38&amp;"-"&amp;$E38&amp;"-"&amp;$I38)</f>
        <v/>
      </c>
      <c r="C38" s="14" t="n"/>
      <c r="D38" s="15">
        <f>IF($C38="","",IFERROR(INDEX(rngCadetPIDs,MATCH($C38,rngCadetNames,0)),"?"))</f>
        <v/>
      </c>
      <c r="E38" s="14" t="n"/>
      <c r="F38" s="15">
        <f>IF($E38="","",IFERROR(INDEX(rngSM_max,MATCH($E38,rngSM_cat,0)),""))</f>
        <v/>
      </c>
      <c r="G38" s="15">
        <f>IF($E38="","",IFERROR(INDEX(rngSM_mode,MATCH($E38,rngSM_cat,0)),""))</f>
        <v/>
      </c>
      <c r="H38" s="15">
        <f>IF($E38="","",IFERROR(INDEX(rngSM_pass,MATCH($E38,rngSM_cat,0)),""))</f>
        <v/>
      </c>
      <c r="I38" s="14" t="n"/>
      <c r="J38" s="14" t="n"/>
      <c r="K38" s="14" t="n"/>
      <c r="L38" s="16" t="n"/>
      <c r="M38" s="14" t="n"/>
      <c r="N38" s="15">
        <f>IF($C38="","",COUNTIFS(nrSK_PID,$D38,nrSK_Cat,$E38))</f>
        <v/>
      </c>
      <c r="O38" s="15">
        <f>IF($C38="","",_xlfn.LET(_xlpm.latest,_xlfn.MAXIFS(nrSK_Att,nrSK_PID,$D38,nrSK_Cat,$E38),_xlpm.res,IF($I38=_xlpm.latest,$J38,""),IF($I38&lt;&gt;_xlpm.latest,"(superseded)",IF(_xlpm.res="","Pending",IF(_xlpm.res="Pass","Qualified",IF(AND(_xlpm.res="Fail",$N38&gt;=$F38),"FAILED OUT","Needs Remediation"))))))</f>
        <v/>
      </c>
      <c r="P38" s="15">
        <f>IF($C38="","",IF($O38="FAILED OUT","Yes","No"))</f>
        <v/>
      </c>
      <c r="Q38" s="14" t="n"/>
    </row>
    <row r="39">
      <c r="B39" s="15">
        <f>IF($C39="","",$D39&amp;"-"&amp;$E39&amp;"-"&amp;$I39)</f>
        <v/>
      </c>
      <c r="C39" s="14" t="n"/>
      <c r="D39" s="15">
        <f>IF($C39="","",IFERROR(INDEX(rngCadetPIDs,MATCH($C39,rngCadetNames,0)),"?"))</f>
        <v/>
      </c>
      <c r="E39" s="14" t="n"/>
      <c r="F39" s="15">
        <f>IF($E39="","",IFERROR(INDEX(rngSM_max,MATCH($E39,rngSM_cat,0)),""))</f>
        <v/>
      </c>
      <c r="G39" s="15">
        <f>IF($E39="","",IFERROR(INDEX(rngSM_mode,MATCH($E39,rngSM_cat,0)),""))</f>
        <v/>
      </c>
      <c r="H39" s="15">
        <f>IF($E39="","",IFERROR(INDEX(rngSM_pass,MATCH($E39,rngSM_cat,0)),""))</f>
        <v/>
      </c>
      <c r="I39" s="14" t="n"/>
      <c r="J39" s="14" t="n"/>
      <c r="K39" s="14" t="n"/>
      <c r="L39" s="16" t="n"/>
      <c r="M39" s="14" t="n"/>
      <c r="N39" s="15">
        <f>IF($C39="","",COUNTIFS(nrSK_PID,$D39,nrSK_Cat,$E39))</f>
        <v/>
      </c>
      <c r="O39" s="15">
        <f>IF($C39="","",_xlfn.LET(_xlpm.latest,_xlfn.MAXIFS(nrSK_Att,nrSK_PID,$D39,nrSK_Cat,$E39),_xlpm.res,IF($I39=_xlpm.latest,$J39,""),IF($I39&lt;&gt;_xlpm.latest,"(superseded)",IF(_xlpm.res="","Pending",IF(_xlpm.res="Pass","Qualified",IF(AND(_xlpm.res="Fail",$N39&gt;=$F39),"FAILED OUT","Needs Remediation"))))))</f>
        <v/>
      </c>
      <c r="P39" s="15">
        <f>IF($C39="","",IF($O39="FAILED OUT","Yes","No"))</f>
        <v/>
      </c>
      <c r="Q39" s="14" t="n"/>
    </row>
    <row r="40">
      <c r="B40" s="15">
        <f>IF($C40="","",$D40&amp;"-"&amp;$E40&amp;"-"&amp;$I40)</f>
        <v/>
      </c>
      <c r="C40" s="14" t="n"/>
      <c r="D40" s="15">
        <f>IF($C40="","",IFERROR(INDEX(rngCadetPIDs,MATCH($C40,rngCadetNames,0)),"?"))</f>
        <v/>
      </c>
      <c r="E40" s="14" t="n"/>
      <c r="F40" s="15">
        <f>IF($E40="","",IFERROR(INDEX(rngSM_max,MATCH($E40,rngSM_cat,0)),""))</f>
        <v/>
      </c>
      <c r="G40" s="15">
        <f>IF($E40="","",IFERROR(INDEX(rngSM_mode,MATCH($E40,rngSM_cat,0)),""))</f>
        <v/>
      </c>
      <c r="H40" s="15">
        <f>IF($E40="","",IFERROR(INDEX(rngSM_pass,MATCH($E40,rngSM_cat,0)),""))</f>
        <v/>
      </c>
      <c r="I40" s="14" t="n"/>
      <c r="J40" s="14" t="n"/>
      <c r="K40" s="14" t="n"/>
      <c r="L40" s="16" t="n"/>
      <c r="M40" s="14" t="n"/>
      <c r="N40" s="15">
        <f>IF($C40="","",COUNTIFS(nrSK_PID,$D40,nrSK_Cat,$E40))</f>
        <v/>
      </c>
      <c r="O40" s="15">
        <f>IF($C40="","",_xlfn.LET(_xlpm.latest,_xlfn.MAXIFS(nrSK_Att,nrSK_PID,$D40,nrSK_Cat,$E40),_xlpm.res,IF($I40=_xlpm.latest,$J40,""),IF($I40&lt;&gt;_xlpm.latest,"(superseded)",IF(_xlpm.res="","Pending",IF(_xlpm.res="Pass","Qualified",IF(AND(_xlpm.res="Fail",$N40&gt;=$F40),"FAILED OUT","Needs Remediation"))))))</f>
        <v/>
      </c>
      <c r="P40" s="15">
        <f>IF($C40="","",IF($O40="FAILED OUT","Yes","No"))</f>
        <v/>
      </c>
      <c r="Q40" s="14" t="n"/>
    </row>
    <row r="41">
      <c r="B41" s="15">
        <f>IF($C41="","",$D41&amp;"-"&amp;$E41&amp;"-"&amp;$I41)</f>
        <v/>
      </c>
      <c r="C41" s="14" t="n"/>
      <c r="D41" s="15">
        <f>IF($C41="","",IFERROR(INDEX(rngCadetPIDs,MATCH($C41,rngCadetNames,0)),"?"))</f>
        <v/>
      </c>
      <c r="E41" s="14" t="n"/>
      <c r="F41" s="15">
        <f>IF($E41="","",IFERROR(INDEX(rngSM_max,MATCH($E41,rngSM_cat,0)),""))</f>
        <v/>
      </c>
      <c r="G41" s="15">
        <f>IF($E41="","",IFERROR(INDEX(rngSM_mode,MATCH($E41,rngSM_cat,0)),""))</f>
        <v/>
      </c>
      <c r="H41" s="15">
        <f>IF($E41="","",IFERROR(INDEX(rngSM_pass,MATCH($E41,rngSM_cat,0)),""))</f>
        <v/>
      </c>
      <c r="I41" s="14" t="n"/>
      <c r="J41" s="14" t="n"/>
      <c r="K41" s="14" t="n"/>
      <c r="L41" s="16" t="n"/>
      <c r="M41" s="14" t="n"/>
      <c r="N41" s="15">
        <f>IF($C41="","",COUNTIFS(nrSK_PID,$D41,nrSK_Cat,$E41))</f>
        <v/>
      </c>
      <c r="O41" s="15">
        <f>IF($C41="","",_xlfn.LET(_xlpm.latest,_xlfn.MAXIFS(nrSK_Att,nrSK_PID,$D41,nrSK_Cat,$E41),_xlpm.res,IF($I41=_xlpm.latest,$J41,""),IF($I41&lt;&gt;_xlpm.latest,"(superseded)",IF(_xlpm.res="","Pending",IF(_xlpm.res="Pass","Qualified",IF(AND(_xlpm.res="Fail",$N41&gt;=$F41),"FAILED OUT","Needs Remediation"))))))</f>
        <v/>
      </c>
      <c r="P41" s="15">
        <f>IF($C41="","",IF($O41="FAILED OUT","Yes","No"))</f>
        <v/>
      </c>
      <c r="Q41" s="14" t="n"/>
    </row>
    <row r="42">
      <c r="B42" s="15">
        <f>IF($C42="","",$D42&amp;"-"&amp;$E42&amp;"-"&amp;$I42)</f>
        <v/>
      </c>
      <c r="C42" s="14" t="n"/>
      <c r="D42" s="15">
        <f>IF($C42="","",IFERROR(INDEX(rngCadetPIDs,MATCH($C42,rngCadetNames,0)),"?"))</f>
        <v/>
      </c>
      <c r="E42" s="14" t="n"/>
      <c r="F42" s="15">
        <f>IF($E42="","",IFERROR(INDEX(rngSM_max,MATCH($E42,rngSM_cat,0)),""))</f>
        <v/>
      </c>
      <c r="G42" s="15">
        <f>IF($E42="","",IFERROR(INDEX(rngSM_mode,MATCH($E42,rngSM_cat,0)),""))</f>
        <v/>
      </c>
      <c r="H42" s="15">
        <f>IF($E42="","",IFERROR(INDEX(rngSM_pass,MATCH($E42,rngSM_cat,0)),""))</f>
        <v/>
      </c>
      <c r="I42" s="14" t="n"/>
      <c r="J42" s="14" t="n"/>
      <c r="K42" s="14" t="n"/>
      <c r="L42" s="16" t="n"/>
      <c r="M42" s="14" t="n"/>
      <c r="N42" s="15">
        <f>IF($C42="","",COUNTIFS(nrSK_PID,$D42,nrSK_Cat,$E42))</f>
        <v/>
      </c>
      <c r="O42" s="15">
        <f>IF($C42="","",_xlfn.LET(_xlpm.latest,_xlfn.MAXIFS(nrSK_Att,nrSK_PID,$D42,nrSK_Cat,$E42),_xlpm.res,IF($I42=_xlpm.latest,$J42,""),IF($I42&lt;&gt;_xlpm.latest,"(superseded)",IF(_xlpm.res="","Pending",IF(_xlpm.res="Pass","Qualified",IF(AND(_xlpm.res="Fail",$N42&gt;=$F42),"FAILED OUT","Needs Remediation"))))))</f>
        <v/>
      </c>
      <c r="P42" s="15">
        <f>IF($C42="","",IF($O42="FAILED OUT","Yes","No"))</f>
        <v/>
      </c>
      <c r="Q42" s="14" t="n"/>
    </row>
    <row r="43">
      <c r="B43" s="15">
        <f>IF($C43="","",$D43&amp;"-"&amp;$E43&amp;"-"&amp;$I43)</f>
        <v/>
      </c>
      <c r="C43" s="14" t="n"/>
      <c r="D43" s="15">
        <f>IF($C43="","",IFERROR(INDEX(rngCadetPIDs,MATCH($C43,rngCadetNames,0)),"?"))</f>
        <v/>
      </c>
      <c r="E43" s="14" t="n"/>
      <c r="F43" s="15">
        <f>IF($E43="","",IFERROR(INDEX(rngSM_max,MATCH($E43,rngSM_cat,0)),""))</f>
        <v/>
      </c>
      <c r="G43" s="15">
        <f>IF($E43="","",IFERROR(INDEX(rngSM_mode,MATCH($E43,rngSM_cat,0)),""))</f>
        <v/>
      </c>
      <c r="H43" s="15">
        <f>IF($E43="","",IFERROR(INDEX(rngSM_pass,MATCH($E43,rngSM_cat,0)),""))</f>
        <v/>
      </c>
      <c r="I43" s="14" t="n"/>
      <c r="J43" s="14" t="n"/>
      <c r="K43" s="14" t="n"/>
      <c r="L43" s="16" t="n"/>
      <c r="M43" s="14" t="n"/>
      <c r="N43" s="15">
        <f>IF($C43="","",COUNTIFS(nrSK_PID,$D43,nrSK_Cat,$E43))</f>
        <v/>
      </c>
      <c r="O43" s="15">
        <f>IF($C43="","",_xlfn.LET(_xlpm.latest,_xlfn.MAXIFS(nrSK_Att,nrSK_PID,$D43,nrSK_Cat,$E43),_xlpm.res,IF($I43=_xlpm.latest,$J43,""),IF($I43&lt;&gt;_xlpm.latest,"(superseded)",IF(_xlpm.res="","Pending",IF(_xlpm.res="Pass","Qualified",IF(AND(_xlpm.res="Fail",$N43&gt;=$F43),"FAILED OUT","Needs Remediation"))))))</f>
        <v/>
      </c>
      <c r="P43" s="15">
        <f>IF($C43="","",IF($O43="FAILED OUT","Yes","No"))</f>
        <v/>
      </c>
      <c r="Q43" s="14" t="n"/>
    </row>
    <row r="44">
      <c r="B44" s="15">
        <f>IF($C44="","",$D44&amp;"-"&amp;$E44&amp;"-"&amp;$I44)</f>
        <v/>
      </c>
      <c r="C44" s="14" t="n"/>
      <c r="D44" s="15">
        <f>IF($C44="","",IFERROR(INDEX(rngCadetPIDs,MATCH($C44,rngCadetNames,0)),"?"))</f>
        <v/>
      </c>
      <c r="E44" s="14" t="n"/>
      <c r="F44" s="15">
        <f>IF($E44="","",IFERROR(INDEX(rngSM_max,MATCH($E44,rngSM_cat,0)),""))</f>
        <v/>
      </c>
      <c r="G44" s="15">
        <f>IF($E44="","",IFERROR(INDEX(rngSM_mode,MATCH($E44,rngSM_cat,0)),""))</f>
        <v/>
      </c>
      <c r="H44" s="15">
        <f>IF($E44="","",IFERROR(INDEX(rngSM_pass,MATCH($E44,rngSM_cat,0)),""))</f>
        <v/>
      </c>
      <c r="I44" s="14" t="n"/>
      <c r="J44" s="14" t="n"/>
      <c r="K44" s="14" t="n"/>
      <c r="L44" s="16" t="n"/>
      <c r="M44" s="14" t="n"/>
      <c r="N44" s="15">
        <f>IF($C44="","",COUNTIFS(nrSK_PID,$D44,nrSK_Cat,$E44))</f>
        <v/>
      </c>
      <c r="O44" s="15">
        <f>IF($C44="","",_xlfn.LET(_xlpm.latest,_xlfn.MAXIFS(nrSK_Att,nrSK_PID,$D44,nrSK_Cat,$E44),_xlpm.res,IF($I44=_xlpm.latest,$J44,""),IF($I44&lt;&gt;_xlpm.latest,"(superseded)",IF(_xlpm.res="","Pending",IF(_xlpm.res="Pass","Qualified",IF(AND(_xlpm.res="Fail",$N44&gt;=$F44),"FAILED OUT","Needs Remediation"))))))</f>
        <v/>
      </c>
      <c r="P44" s="15">
        <f>IF($C44="","",IF($O44="FAILED OUT","Yes","No"))</f>
        <v/>
      </c>
      <c r="Q44" s="14" t="n"/>
    </row>
    <row r="45">
      <c r="B45" s="15">
        <f>IF($C45="","",$D45&amp;"-"&amp;$E45&amp;"-"&amp;$I45)</f>
        <v/>
      </c>
      <c r="C45" s="14" t="n"/>
      <c r="D45" s="15">
        <f>IF($C45="","",IFERROR(INDEX(rngCadetPIDs,MATCH($C45,rngCadetNames,0)),"?"))</f>
        <v/>
      </c>
      <c r="E45" s="14" t="n"/>
      <c r="F45" s="15">
        <f>IF($E45="","",IFERROR(INDEX(rngSM_max,MATCH($E45,rngSM_cat,0)),""))</f>
        <v/>
      </c>
      <c r="G45" s="15">
        <f>IF($E45="","",IFERROR(INDEX(rngSM_mode,MATCH($E45,rngSM_cat,0)),""))</f>
        <v/>
      </c>
      <c r="H45" s="15">
        <f>IF($E45="","",IFERROR(INDEX(rngSM_pass,MATCH($E45,rngSM_cat,0)),""))</f>
        <v/>
      </c>
      <c r="I45" s="14" t="n"/>
      <c r="J45" s="14" t="n"/>
      <c r="K45" s="14" t="n"/>
      <c r="L45" s="16" t="n"/>
      <c r="M45" s="14" t="n"/>
      <c r="N45" s="15">
        <f>IF($C45="","",COUNTIFS(nrSK_PID,$D45,nrSK_Cat,$E45))</f>
        <v/>
      </c>
      <c r="O45" s="15">
        <f>IF($C45="","",_xlfn.LET(_xlpm.latest,_xlfn.MAXIFS(nrSK_Att,nrSK_PID,$D45,nrSK_Cat,$E45),_xlpm.res,IF($I45=_xlpm.latest,$J45,""),IF($I45&lt;&gt;_xlpm.latest,"(superseded)",IF(_xlpm.res="","Pending",IF(_xlpm.res="Pass","Qualified",IF(AND(_xlpm.res="Fail",$N45&gt;=$F45),"FAILED OUT","Needs Remediation"))))))</f>
        <v/>
      </c>
      <c r="P45" s="15">
        <f>IF($C45="","",IF($O45="FAILED OUT","Yes","No"))</f>
        <v/>
      </c>
      <c r="Q45" s="14" t="n"/>
    </row>
    <row r="46">
      <c r="B46" s="15">
        <f>IF($C46="","",$D46&amp;"-"&amp;$E46&amp;"-"&amp;$I46)</f>
        <v/>
      </c>
      <c r="C46" s="14" t="n"/>
      <c r="D46" s="15">
        <f>IF($C46="","",IFERROR(INDEX(rngCadetPIDs,MATCH($C46,rngCadetNames,0)),"?"))</f>
        <v/>
      </c>
      <c r="E46" s="14" t="n"/>
      <c r="F46" s="15">
        <f>IF($E46="","",IFERROR(INDEX(rngSM_max,MATCH($E46,rngSM_cat,0)),""))</f>
        <v/>
      </c>
      <c r="G46" s="15">
        <f>IF($E46="","",IFERROR(INDEX(rngSM_mode,MATCH($E46,rngSM_cat,0)),""))</f>
        <v/>
      </c>
      <c r="H46" s="15">
        <f>IF($E46="","",IFERROR(INDEX(rngSM_pass,MATCH($E46,rngSM_cat,0)),""))</f>
        <v/>
      </c>
      <c r="I46" s="14" t="n"/>
      <c r="J46" s="14" t="n"/>
      <c r="K46" s="14" t="n"/>
      <c r="L46" s="16" t="n"/>
      <c r="M46" s="14" t="n"/>
      <c r="N46" s="15">
        <f>IF($C46="","",COUNTIFS(nrSK_PID,$D46,nrSK_Cat,$E46))</f>
        <v/>
      </c>
      <c r="O46" s="15">
        <f>IF($C46="","",_xlfn.LET(_xlpm.latest,_xlfn.MAXIFS(nrSK_Att,nrSK_PID,$D46,nrSK_Cat,$E46),_xlpm.res,IF($I46=_xlpm.latest,$J46,""),IF($I46&lt;&gt;_xlpm.latest,"(superseded)",IF(_xlpm.res="","Pending",IF(_xlpm.res="Pass","Qualified",IF(AND(_xlpm.res="Fail",$N46&gt;=$F46),"FAILED OUT","Needs Remediation"))))))</f>
        <v/>
      </c>
      <c r="P46" s="15">
        <f>IF($C46="","",IF($O46="FAILED OUT","Yes","No"))</f>
        <v/>
      </c>
      <c r="Q46" s="14" t="n"/>
    </row>
    <row r="47">
      <c r="B47" s="15">
        <f>IF($C47="","",$D47&amp;"-"&amp;$E47&amp;"-"&amp;$I47)</f>
        <v/>
      </c>
      <c r="C47" s="14" t="n"/>
      <c r="D47" s="15">
        <f>IF($C47="","",IFERROR(INDEX(rngCadetPIDs,MATCH($C47,rngCadetNames,0)),"?"))</f>
        <v/>
      </c>
      <c r="E47" s="14" t="n"/>
      <c r="F47" s="15">
        <f>IF($E47="","",IFERROR(INDEX(rngSM_max,MATCH($E47,rngSM_cat,0)),""))</f>
        <v/>
      </c>
      <c r="G47" s="15">
        <f>IF($E47="","",IFERROR(INDEX(rngSM_mode,MATCH($E47,rngSM_cat,0)),""))</f>
        <v/>
      </c>
      <c r="H47" s="15">
        <f>IF($E47="","",IFERROR(INDEX(rngSM_pass,MATCH($E47,rngSM_cat,0)),""))</f>
        <v/>
      </c>
      <c r="I47" s="14" t="n"/>
      <c r="J47" s="14" t="n"/>
      <c r="K47" s="14" t="n"/>
      <c r="L47" s="16" t="n"/>
      <c r="M47" s="14" t="n"/>
      <c r="N47" s="15">
        <f>IF($C47="","",COUNTIFS(nrSK_PID,$D47,nrSK_Cat,$E47))</f>
        <v/>
      </c>
      <c r="O47" s="15">
        <f>IF($C47="","",_xlfn.LET(_xlpm.latest,_xlfn.MAXIFS(nrSK_Att,nrSK_PID,$D47,nrSK_Cat,$E47),_xlpm.res,IF($I47=_xlpm.latest,$J47,""),IF($I47&lt;&gt;_xlpm.latest,"(superseded)",IF(_xlpm.res="","Pending",IF(_xlpm.res="Pass","Qualified",IF(AND(_xlpm.res="Fail",$N47&gt;=$F47),"FAILED OUT","Needs Remediation"))))))</f>
        <v/>
      </c>
      <c r="P47" s="15">
        <f>IF($C47="","",IF($O47="FAILED OUT","Yes","No"))</f>
        <v/>
      </c>
      <c r="Q47" s="14" t="n"/>
    </row>
    <row r="48">
      <c r="B48" s="15">
        <f>IF($C48="","",$D48&amp;"-"&amp;$E48&amp;"-"&amp;$I48)</f>
        <v/>
      </c>
      <c r="C48" s="14" t="n"/>
      <c r="D48" s="15">
        <f>IF($C48="","",IFERROR(INDEX(rngCadetPIDs,MATCH($C48,rngCadetNames,0)),"?"))</f>
        <v/>
      </c>
      <c r="E48" s="14" t="n"/>
      <c r="F48" s="15">
        <f>IF($E48="","",IFERROR(INDEX(rngSM_max,MATCH($E48,rngSM_cat,0)),""))</f>
        <v/>
      </c>
      <c r="G48" s="15">
        <f>IF($E48="","",IFERROR(INDEX(rngSM_mode,MATCH($E48,rngSM_cat,0)),""))</f>
        <v/>
      </c>
      <c r="H48" s="15">
        <f>IF($E48="","",IFERROR(INDEX(rngSM_pass,MATCH($E48,rngSM_cat,0)),""))</f>
        <v/>
      </c>
      <c r="I48" s="14" t="n"/>
      <c r="J48" s="14" t="n"/>
      <c r="K48" s="14" t="n"/>
      <c r="L48" s="16" t="n"/>
      <c r="M48" s="14" t="n"/>
      <c r="N48" s="15">
        <f>IF($C48="","",COUNTIFS(nrSK_PID,$D48,nrSK_Cat,$E48))</f>
        <v/>
      </c>
      <c r="O48" s="15">
        <f>IF($C48="","",_xlfn.LET(_xlpm.latest,_xlfn.MAXIFS(nrSK_Att,nrSK_PID,$D48,nrSK_Cat,$E48),_xlpm.res,IF($I48=_xlpm.latest,$J48,""),IF($I48&lt;&gt;_xlpm.latest,"(superseded)",IF(_xlpm.res="","Pending",IF(_xlpm.res="Pass","Qualified",IF(AND(_xlpm.res="Fail",$N48&gt;=$F48),"FAILED OUT","Needs Remediation"))))))</f>
        <v/>
      </c>
      <c r="P48" s="15">
        <f>IF($C48="","",IF($O48="FAILED OUT","Yes","No"))</f>
        <v/>
      </c>
      <c r="Q48" s="14" t="n"/>
    </row>
    <row r="49">
      <c r="B49" s="15">
        <f>IF($C49="","",$D49&amp;"-"&amp;$E49&amp;"-"&amp;$I49)</f>
        <v/>
      </c>
      <c r="C49" s="14" t="n"/>
      <c r="D49" s="15">
        <f>IF($C49="","",IFERROR(INDEX(rngCadetPIDs,MATCH($C49,rngCadetNames,0)),"?"))</f>
        <v/>
      </c>
      <c r="E49" s="14" t="n"/>
      <c r="F49" s="15">
        <f>IF($E49="","",IFERROR(INDEX(rngSM_max,MATCH($E49,rngSM_cat,0)),""))</f>
        <v/>
      </c>
      <c r="G49" s="15">
        <f>IF($E49="","",IFERROR(INDEX(rngSM_mode,MATCH($E49,rngSM_cat,0)),""))</f>
        <v/>
      </c>
      <c r="H49" s="15">
        <f>IF($E49="","",IFERROR(INDEX(rngSM_pass,MATCH($E49,rngSM_cat,0)),""))</f>
        <v/>
      </c>
      <c r="I49" s="14" t="n"/>
      <c r="J49" s="14" t="n"/>
      <c r="K49" s="14" t="n"/>
      <c r="L49" s="16" t="n"/>
      <c r="M49" s="14" t="n"/>
      <c r="N49" s="15">
        <f>IF($C49="","",COUNTIFS(nrSK_PID,$D49,nrSK_Cat,$E49))</f>
        <v/>
      </c>
      <c r="O49" s="15">
        <f>IF($C49="","",_xlfn.LET(_xlpm.latest,_xlfn.MAXIFS(nrSK_Att,nrSK_PID,$D49,nrSK_Cat,$E49),_xlpm.res,IF($I49=_xlpm.latest,$J49,""),IF($I49&lt;&gt;_xlpm.latest,"(superseded)",IF(_xlpm.res="","Pending",IF(_xlpm.res="Pass","Qualified",IF(AND(_xlpm.res="Fail",$N49&gt;=$F49),"FAILED OUT","Needs Remediation"))))))</f>
        <v/>
      </c>
      <c r="P49" s="15">
        <f>IF($C49="","",IF($O49="FAILED OUT","Yes","No"))</f>
        <v/>
      </c>
      <c r="Q49" s="14" t="n"/>
    </row>
    <row r="50">
      <c r="B50" s="15">
        <f>IF($C50="","",$D50&amp;"-"&amp;$E50&amp;"-"&amp;$I50)</f>
        <v/>
      </c>
      <c r="C50" s="14" t="n"/>
      <c r="D50" s="15">
        <f>IF($C50="","",IFERROR(INDEX(rngCadetPIDs,MATCH($C50,rngCadetNames,0)),"?"))</f>
        <v/>
      </c>
      <c r="E50" s="14" t="n"/>
      <c r="F50" s="15">
        <f>IF($E50="","",IFERROR(INDEX(rngSM_max,MATCH($E50,rngSM_cat,0)),""))</f>
        <v/>
      </c>
      <c r="G50" s="15">
        <f>IF($E50="","",IFERROR(INDEX(rngSM_mode,MATCH($E50,rngSM_cat,0)),""))</f>
        <v/>
      </c>
      <c r="H50" s="15">
        <f>IF($E50="","",IFERROR(INDEX(rngSM_pass,MATCH($E50,rngSM_cat,0)),""))</f>
        <v/>
      </c>
      <c r="I50" s="14" t="n"/>
      <c r="J50" s="14" t="n"/>
      <c r="K50" s="14" t="n"/>
      <c r="L50" s="16" t="n"/>
      <c r="M50" s="14" t="n"/>
      <c r="N50" s="15">
        <f>IF($C50="","",COUNTIFS(nrSK_PID,$D50,nrSK_Cat,$E50))</f>
        <v/>
      </c>
      <c r="O50" s="15">
        <f>IF($C50="","",_xlfn.LET(_xlpm.latest,_xlfn.MAXIFS(nrSK_Att,nrSK_PID,$D50,nrSK_Cat,$E50),_xlpm.res,IF($I50=_xlpm.latest,$J50,""),IF($I50&lt;&gt;_xlpm.latest,"(superseded)",IF(_xlpm.res="","Pending",IF(_xlpm.res="Pass","Qualified",IF(AND(_xlpm.res="Fail",$N50&gt;=$F50),"FAILED OUT","Needs Remediation"))))))</f>
        <v/>
      </c>
      <c r="P50" s="15">
        <f>IF($C50="","",IF($O50="FAILED OUT","Yes","No"))</f>
        <v/>
      </c>
      <c r="Q50" s="14" t="n"/>
    </row>
    <row r="51">
      <c r="B51" s="15">
        <f>IF($C51="","",$D51&amp;"-"&amp;$E51&amp;"-"&amp;$I51)</f>
        <v/>
      </c>
      <c r="C51" s="14" t="n"/>
      <c r="D51" s="15">
        <f>IF($C51="","",IFERROR(INDEX(rngCadetPIDs,MATCH($C51,rngCadetNames,0)),"?"))</f>
        <v/>
      </c>
      <c r="E51" s="14" t="n"/>
      <c r="F51" s="15">
        <f>IF($E51="","",IFERROR(INDEX(rngSM_max,MATCH($E51,rngSM_cat,0)),""))</f>
        <v/>
      </c>
      <c r="G51" s="15">
        <f>IF($E51="","",IFERROR(INDEX(rngSM_mode,MATCH($E51,rngSM_cat,0)),""))</f>
        <v/>
      </c>
      <c r="H51" s="15">
        <f>IF($E51="","",IFERROR(INDEX(rngSM_pass,MATCH($E51,rngSM_cat,0)),""))</f>
        <v/>
      </c>
      <c r="I51" s="14" t="n"/>
      <c r="J51" s="14" t="n"/>
      <c r="K51" s="14" t="n"/>
      <c r="L51" s="16" t="n"/>
      <c r="M51" s="14" t="n"/>
      <c r="N51" s="15">
        <f>IF($C51="","",COUNTIFS(nrSK_PID,$D51,nrSK_Cat,$E51))</f>
        <v/>
      </c>
      <c r="O51" s="15">
        <f>IF($C51="","",_xlfn.LET(_xlpm.latest,_xlfn.MAXIFS(nrSK_Att,nrSK_PID,$D51,nrSK_Cat,$E51),_xlpm.res,IF($I51=_xlpm.latest,$J51,""),IF($I51&lt;&gt;_xlpm.latest,"(superseded)",IF(_xlpm.res="","Pending",IF(_xlpm.res="Pass","Qualified",IF(AND(_xlpm.res="Fail",$N51&gt;=$F51),"FAILED OUT","Needs Remediation"))))))</f>
        <v/>
      </c>
      <c r="P51" s="15">
        <f>IF($C51="","",IF($O51="FAILED OUT","Yes","No"))</f>
        <v/>
      </c>
      <c r="Q51" s="14" t="n"/>
    </row>
    <row r="52">
      <c r="B52" s="15">
        <f>IF($C52="","",$D52&amp;"-"&amp;$E52&amp;"-"&amp;$I52)</f>
        <v/>
      </c>
      <c r="C52" s="14" t="n"/>
      <c r="D52" s="15">
        <f>IF($C52="","",IFERROR(INDEX(rngCadetPIDs,MATCH($C52,rngCadetNames,0)),"?"))</f>
        <v/>
      </c>
      <c r="E52" s="14" t="n"/>
      <c r="F52" s="15">
        <f>IF($E52="","",IFERROR(INDEX(rngSM_max,MATCH($E52,rngSM_cat,0)),""))</f>
        <v/>
      </c>
      <c r="G52" s="15">
        <f>IF($E52="","",IFERROR(INDEX(rngSM_mode,MATCH($E52,rngSM_cat,0)),""))</f>
        <v/>
      </c>
      <c r="H52" s="15">
        <f>IF($E52="","",IFERROR(INDEX(rngSM_pass,MATCH($E52,rngSM_cat,0)),""))</f>
        <v/>
      </c>
      <c r="I52" s="14" t="n"/>
      <c r="J52" s="14" t="n"/>
      <c r="K52" s="14" t="n"/>
      <c r="L52" s="16" t="n"/>
      <c r="M52" s="14" t="n"/>
      <c r="N52" s="15">
        <f>IF($C52="","",COUNTIFS(nrSK_PID,$D52,nrSK_Cat,$E52))</f>
        <v/>
      </c>
      <c r="O52" s="15">
        <f>IF($C52="","",_xlfn.LET(_xlpm.latest,_xlfn.MAXIFS(nrSK_Att,nrSK_PID,$D52,nrSK_Cat,$E52),_xlpm.res,IF($I52=_xlpm.latest,$J52,""),IF($I52&lt;&gt;_xlpm.latest,"(superseded)",IF(_xlpm.res="","Pending",IF(_xlpm.res="Pass","Qualified",IF(AND(_xlpm.res="Fail",$N52&gt;=$F52),"FAILED OUT","Needs Remediation"))))))</f>
        <v/>
      </c>
      <c r="P52" s="15">
        <f>IF($C52="","",IF($O52="FAILED OUT","Yes","No"))</f>
        <v/>
      </c>
      <c r="Q52" s="14" t="n"/>
    </row>
    <row r="53">
      <c r="B53" s="15">
        <f>IF($C53="","",$D53&amp;"-"&amp;$E53&amp;"-"&amp;$I53)</f>
        <v/>
      </c>
      <c r="C53" s="14" t="n"/>
      <c r="D53" s="15">
        <f>IF($C53="","",IFERROR(INDEX(rngCadetPIDs,MATCH($C53,rngCadetNames,0)),"?"))</f>
        <v/>
      </c>
      <c r="E53" s="14" t="n"/>
      <c r="F53" s="15">
        <f>IF($E53="","",IFERROR(INDEX(rngSM_max,MATCH($E53,rngSM_cat,0)),""))</f>
        <v/>
      </c>
      <c r="G53" s="15">
        <f>IF($E53="","",IFERROR(INDEX(rngSM_mode,MATCH($E53,rngSM_cat,0)),""))</f>
        <v/>
      </c>
      <c r="H53" s="15">
        <f>IF($E53="","",IFERROR(INDEX(rngSM_pass,MATCH($E53,rngSM_cat,0)),""))</f>
        <v/>
      </c>
      <c r="I53" s="14" t="n"/>
      <c r="J53" s="14" t="n"/>
      <c r="K53" s="14" t="n"/>
      <c r="L53" s="16" t="n"/>
      <c r="M53" s="14" t="n"/>
      <c r="N53" s="15">
        <f>IF($C53="","",COUNTIFS(nrSK_PID,$D53,nrSK_Cat,$E53))</f>
        <v/>
      </c>
      <c r="O53" s="15">
        <f>IF($C53="","",_xlfn.LET(_xlpm.latest,_xlfn.MAXIFS(nrSK_Att,nrSK_PID,$D53,nrSK_Cat,$E53),_xlpm.res,IF($I53=_xlpm.latest,$J53,""),IF($I53&lt;&gt;_xlpm.latest,"(superseded)",IF(_xlpm.res="","Pending",IF(_xlpm.res="Pass","Qualified",IF(AND(_xlpm.res="Fail",$N53&gt;=$F53),"FAILED OUT","Needs Remediation"))))))</f>
        <v/>
      </c>
      <c r="P53" s="15">
        <f>IF($C53="","",IF($O53="FAILED OUT","Yes","No"))</f>
        <v/>
      </c>
      <c r="Q53" s="14" t="n"/>
    </row>
    <row r="54">
      <c r="B54" s="15">
        <f>IF($C54="","",$D54&amp;"-"&amp;$E54&amp;"-"&amp;$I54)</f>
        <v/>
      </c>
      <c r="C54" s="14" t="n"/>
      <c r="D54" s="15">
        <f>IF($C54="","",IFERROR(INDEX(rngCadetPIDs,MATCH($C54,rngCadetNames,0)),"?"))</f>
        <v/>
      </c>
      <c r="E54" s="14" t="n"/>
      <c r="F54" s="15">
        <f>IF($E54="","",IFERROR(INDEX(rngSM_max,MATCH($E54,rngSM_cat,0)),""))</f>
        <v/>
      </c>
      <c r="G54" s="15">
        <f>IF($E54="","",IFERROR(INDEX(rngSM_mode,MATCH($E54,rngSM_cat,0)),""))</f>
        <v/>
      </c>
      <c r="H54" s="15">
        <f>IF($E54="","",IFERROR(INDEX(rngSM_pass,MATCH($E54,rngSM_cat,0)),""))</f>
        <v/>
      </c>
      <c r="I54" s="14" t="n"/>
      <c r="J54" s="14" t="n"/>
      <c r="K54" s="14" t="n"/>
      <c r="L54" s="16" t="n"/>
      <c r="M54" s="14" t="n"/>
      <c r="N54" s="15">
        <f>IF($C54="","",COUNTIFS(nrSK_PID,$D54,nrSK_Cat,$E54))</f>
        <v/>
      </c>
      <c r="O54" s="15">
        <f>IF($C54="","",_xlfn.LET(_xlpm.latest,_xlfn.MAXIFS(nrSK_Att,nrSK_PID,$D54,nrSK_Cat,$E54),_xlpm.res,IF($I54=_xlpm.latest,$J54,""),IF($I54&lt;&gt;_xlpm.latest,"(superseded)",IF(_xlpm.res="","Pending",IF(_xlpm.res="Pass","Qualified",IF(AND(_xlpm.res="Fail",$N54&gt;=$F54),"FAILED OUT","Needs Remediation"))))))</f>
        <v/>
      </c>
      <c r="P54" s="15">
        <f>IF($C54="","",IF($O54="FAILED OUT","Yes","No"))</f>
        <v/>
      </c>
      <c r="Q54" s="14" t="n"/>
    </row>
    <row r="55">
      <c r="B55" s="15">
        <f>IF($C55="","",$D55&amp;"-"&amp;$E55&amp;"-"&amp;$I55)</f>
        <v/>
      </c>
      <c r="C55" s="14" t="n"/>
      <c r="D55" s="15">
        <f>IF($C55="","",IFERROR(INDEX(rngCadetPIDs,MATCH($C55,rngCadetNames,0)),"?"))</f>
        <v/>
      </c>
      <c r="E55" s="14" t="n"/>
      <c r="F55" s="15">
        <f>IF($E55="","",IFERROR(INDEX(rngSM_max,MATCH($E55,rngSM_cat,0)),""))</f>
        <v/>
      </c>
      <c r="G55" s="15">
        <f>IF($E55="","",IFERROR(INDEX(rngSM_mode,MATCH($E55,rngSM_cat,0)),""))</f>
        <v/>
      </c>
      <c r="H55" s="15">
        <f>IF($E55="","",IFERROR(INDEX(rngSM_pass,MATCH($E55,rngSM_cat,0)),""))</f>
        <v/>
      </c>
      <c r="I55" s="14" t="n"/>
      <c r="J55" s="14" t="n"/>
      <c r="K55" s="14" t="n"/>
      <c r="L55" s="16" t="n"/>
      <c r="M55" s="14" t="n"/>
      <c r="N55" s="15">
        <f>IF($C55="","",COUNTIFS(nrSK_PID,$D55,nrSK_Cat,$E55))</f>
        <v/>
      </c>
      <c r="O55" s="15">
        <f>IF($C55="","",_xlfn.LET(_xlpm.latest,_xlfn.MAXIFS(nrSK_Att,nrSK_PID,$D55,nrSK_Cat,$E55),_xlpm.res,IF($I55=_xlpm.latest,$J55,""),IF($I55&lt;&gt;_xlpm.latest,"(superseded)",IF(_xlpm.res="","Pending",IF(_xlpm.res="Pass","Qualified",IF(AND(_xlpm.res="Fail",$N55&gt;=$F55),"FAILED OUT","Needs Remediation"))))))</f>
        <v/>
      </c>
      <c r="P55" s="15">
        <f>IF($C55="","",IF($O55="FAILED OUT","Yes","No"))</f>
        <v/>
      </c>
      <c r="Q55" s="14" t="n"/>
    </row>
    <row r="56">
      <c r="B56" s="15">
        <f>IF($C56="","",$D56&amp;"-"&amp;$E56&amp;"-"&amp;$I56)</f>
        <v/>
      </c>
      <c r="C56" s="14" t="n"/>
      <c r="D56" s="15">
        <f>IF($C56="","",IFERROR(INDEX(rngCadetPIDs,MATCH($C56,rngCadetNames,0)),"?"))</f>
        <v/>
      </c>
      <c r="E56" s="14" t="n"/>
      <c r="F56" s="15">
        <f>IF($E56="","",IFERROR(INDEX(rngSM_max,MATCH($E56,rngSM_cat,0)),""))</f>
        <v/>
      </c>
      <c r="G56" s="15">
        <f>IF($E56="","",IFERROR(INDEX(rngSM_mode,MATCH($E56,rngSM_cat,0)),""))</f>
        <v/>
      </c>
      <c r="H56" s="15">
        <f>IF($E56="","",IFERROR(INDEX(rngSM_pass,MATCH($E56,rngSM_cat,0)),""))</f>
        <v/>
      </c>
      <c r="I56" s="14" t="n"/>
      <c r="J56" s="14" t="n"/>
      <c r="K56" s="14" t="n"/>
      <c r="L56" s="16" t="n"/>
      <c r="M56" s="14" t="n"/>
      <c r="N56" s="15">
        <f>IF($C56="","",COUNTIFS(nrSK_PID,$D56,nrSK_Cat,$E56))</f>
        <v/>
      </c>
      <c r="O56" s="15">
        <f>IF($C56="","",_xlfn.LET(_xlpm.latest,_xlfn.MAXIFS(nrSK_Att,nrSK_PID,$D56,nrSK_Cat,$E56),_xlpm.res,IF($I56=_xlpm.latest,$J56,""),IF($I56&lt;&gt;_xlpm.latest,"(superseded)",IF(_xlpm.res="","Pending",IF(_xlpm.res="Pass","Qualified",IF(AND(_xlpm.res="Fail",$N56&gt;=$F56),"FAILED OUT","Needs Remediation"))))))</f>
        <v/>
      </c>
      <c r="P56" s="15">
        <f>IF($C56="","",IF($O56="FAILED OUT","Yes","No"))</f>
        <v/>
      </c>
      <c r="Q56" s="14" t="n"/>
    </row>
    <row r="57">
      <c r="B57" s="15">
        <f>IF($C57="","",$D57&amp;"-"&amp;$E57&amp;"-"&amp;$I57)</f>
        <v/>
      </c>
      <c r="C57" s="14" t="n"/>
      <c r="D57" s="15">
        <f>IF($C57="","",IFERROR(INDEX(rngCadetPIDs,MATCH($C57,rngCadetNames,0)),"?"))</f>
        <v/>
      </c>
      <c r="E57" s="14" t="n"/>
      <c r="F57" s="15">
        <f>IF($E57="","",IFERROR(INDEX(rngSM_max,MATCH($E57,rngSM_cat,0)),""))</f>
        <v/>
      </c>
      <c r="G57" s="15">
        <f>IF($E57="","",IFERROR(INDEX(rngSM_mode,MATCH($E57,rngSM_cat,0)),""))</f>
        <v/>
      </c>
      <c r="H57" s="15">
        <f>IF($E57="","",IFERROR(INDEX(rngSM_pass,MATCH($E57,rngSM_cat,0)),""))</f>
        <v/>
      </c>
      <c r="I57" s="14" t="n"/>
      <c r="J57" s="14" t="n"/>
      <c r="K57" s="14" t="n"/>
      <c r="L57" s="16" t="n"/>
      <c r="M57" s="14" t="n"/>
      <c r="N57" s="15">
        <f>IF($C57="","",COUNTIFS(nrSK_PID,$D57,nrSK_Cat,$E57))</f>
        <v/>
      </c>
      <c r="O57" s="15">
        <f>IF($C57="","",_xlfn.LET(_xlpm.latest,_xlfn.MAXIFS(nrSK_Att,nrSK_PID,$D57,nrSK_Cat,$E57),_xlpm.res,IF($I57=_xlpm.latest,$J57,""),IF($I57&lt;&gt;_xlpm.latest,"(superseded)",IF(_xlpm.res="","Pending",IF(_xlpm.res="Pass","Qualified",IF(AND(_xlpm.res="Fail",$N57&gt;=$F57),"FAILED OUT","Needs Remediation"))))))</f>
        <v/>
      </c>
      <c r="P57" s="15">
        <f>IF($C57="","",IF($O57="FAILED OUT","Yes","No"))</f>
        <v/>
      </c>
      <c r="Q57" s="14" t="n"/>
    </row>
    <row r="58">
      <c r="B58" s="15">
        <f>IF($C58="","",$D58&amp;"-"&amp;$E58&amp;"-"&amp;$I58)</f>
        <v/>
      </c>
      <c r="C58" s="14" t="n"/>
      <c r="D58" s="15">
        <f>IF($C58="","",IFERROR(INDEX(rngCadetPIDs,MATCH($C58,rngCadetNames,0)),"?"))</f>
        <v/>
      </c>
      <c r="E58" s="14" t="n"/>
      <c r="F58" s="15">
        <f>IF($E58="","",IFERROR(INDEX(rngSM_max,MATCH($E58,rngSM_cat,0)),""))</f>
        <v/>
      </c>
      <c r="G58" s="15">
        <f>IF($E58="","",IFERROR(INDEX(rngSM_mode,MATCH($E58,rngSM_cat,0)),""))</f>
        <v/>
      </c>
      <c r="H58" s="15">
        <f>IF($E58="","",IFERROR(INDEX(rngSM_pass,MATCH($E58,rngSM_cat,0)),""))</f>
        <v/>
      </c>
      <c r="I58" s="14" t="n"/>
      <c r="J58" s="14" t="n"/>
      <c r="K58" s="14" t="n"/>
      <c r="L58" s="16" t="n"/>
      <c r="M58" s="14" t="n"/>
      <c r="N58" s="15">
        <f>IF($C58="","",COUNTIFS(nrSK_PID,$D58,nrSK_Cat,$E58))</f>
        <v/>
      </c>
      <c r="O58" s="15">
        <f>IF($C58="","",_xlfn.LET(_xlpm.latest,_xlfn.MAXIFS(nrSK_Att,nrSK_PID,$D58,nrSK_Cat,$E58),_xlpm.res,IF($I58=_xlpm.latest,$J58,""),IF($I58&lt;&gt;_xlpm.latest,"(superseded)",IF(_xlpm.res="","Pending",IF(_xlpm.res="Pass","Qualified",IF(AND(_xlpm.res="Fail",$N58&gt;=$F58),"FAILED OUT","Needs Remediation"))))))</f>
        <v/>
      </c>
      <c r="P58" s="15">
        <f>IF($C58="","",IF($O58="FAILED OUT","Yes","No"))</f>
        <v/>
      </c>
      <c r="Q58" s="14" t="n"/>
    </row>
    <row r="59">
      <c r="B59" s="15">
        <f>IF($C59="","",$D59&amp;"-"&amp;$E59&amp;"-"&amp;$I59)</f>
        <v/>
      </c>
      <c r="C59" s="14" t="n"/>
      <c r="D59" s="15">
        <f>IF($C59="","",IFERROR(INDEX(rngCadetPIDs,MATCH($C59,rngCadetNames,0)),"?"))</f>
        <v/>
      </c>
      <c r="E59" s="14" t="n"/>
      <c r="F59" s="15">
        <f>IF($E59="","",IFERROR(INDEX(rngSM_max,MATCH($E59,rngSM_cat,0)),""))</f>
        <v/>
      </c>
      <c r="G59" s="15">
        <f>IF($E59="","",IFERROR(INDEX(rngSM_mode,MATCH($E59,rngSM_cat,0)),""))</f>
        <v/>
      </c>
      <c r="H59" s="15">
        <f>IF($E59="","",IFERROR(INDEX(rngSM_pass,MATCH($E59,rngSM_cat,0)),""))</f>
        <v/>
      </c>
      <c r="I59" s="14" t="n"/>
      <c r="J59" s="14" t="n"/>
      <c r="K59" s="14" t="n"/>
      <c r="L59" s="16" t="n"/>
      <c r="M59" s="14" t="n"/>
      <c r="N59" s="15">
        <f>IF($C59="","",COUNTIFS(nrSK_PID,$D59,nrSK_Cat,$E59))</f>
        <v/>
      </c>
      <c r="O59" s="15">
        <f>IF($C59="","",_xlfn.LET(_xlpm.latest,_xlfn.MAXIFS(nrSK_Att,nrSK_PID,$D59,nrSK_Cat,$E59),_xlpm.res,IF($I59=_xlpm.latest,$J59,""),IF($I59&lt;&gt;_xlpm.latest,"(superseded)",IF(_xlpm.res="","Pending",IF(_xlpm.res="Pass","Qualified",IF(AND(_xlpm.res="Fail",$N59&gt;=$F59),"FAILED OUT","Needs Remediation"))))))</f>
        <v/>
      </c>
      <c r="P59" s="15">
        <f>IF($C59="","",IF($O59="FAILED OUT","Yes","No"))</f>
        <v/>
      </c>
      <c r="Q59" s="14" t="n"/>
    </row>
    <row r="60">
      <c r="B60" s="15">
        <f>IF($C60="","",$D60&amp;"-"&amp;$E60&amp;"-"&amp;$I60)</f>
        <v/>
      </c>
      <c r="C60" s="14" t="n"/>
      <c r="D60" s="15">
        <f>IF($C60="","",IFERROR(INDEX(rngCadetPIDs,MATCH($C60,rngCadetNames,0)),"?"))</f>
        <v/>
      </c>
      <c r="E60" s="14" t="n"/>
      <c r="F60" s="15">
        <f>IF($E60="","",IFERROR(INDEX(rngSM_max,MATCH($E60,rngSM_cat,0)),""))</f>
        <v/>
      </c>
      <c r="G60" s="15">
        <f>IF($E60="","",IFERROR(INDEX(rngSM_mode,MATCH($E60,rngSM_cat,0)),""))</f>
        <v/>
      </c>
      <c r="H60" s="15">
        <f>IF($E60="","",IFERROR(INDEX(rngSM_pass,MATCH($E60,rngSM_cat,0)),""))</f>
        <v/>
      </c>
      <c r="I60" s="14" t="n"/>
      <c r="J60" s="14" t="n"/>
      <c r="K60" s="14" t="n"/>
      <c r="L60" s="16" t="n"/>
      <c r="M60" s="14" t="n"/>
      <c r="N60" s="15">
        <f>IF($C60="","",COUNTIFS(nrSK_PID,$D60,nrSK_Cat,$E60))</f>
        <v/>
      </c>
      <c r="O60" s="15">
        <f>IF($C60="","",_xlfn.LET(_xlpm.latest,_xlfn.MAXIFS(nrSK_Att,nrSK_PID,$D60,nrSK_Cat,$E60),_xlpm.res,IF($I60=_xlpm.latest,$J60,""),IF($I60&lt;&gt;_xlpm.latest,"(superseded)",IF(_xlpm.res="","Pending",IF(_xlpm.res="Pass","Qualified",IF(AND(_xlpm.res="Fail",$N60&gt;=$F60),"FAILED OUT","Needs Remediation"))))))</f>
        <v/>
      </c>
      <c r="P60" s="15">
        <f>IF($C60="","",IF($O60="FAILED OUT","Yes","No"))</f>
        <v/>
      </c>
      <c r="Q60" s="14" t="n"/>
    </row>
    <row r="61">
      <c r="B61" s="15">
        <f>IF($C61="","",$D61&amp;"-"&amp;$E61&amp;"-"&amp;$I61)</f>
        <v/>
      </c>
      <c r="C61" s="14" t="n"/>
      <c r="D61" s="15">
        <f>IF($C61="","",IFERROR(INDEX(rngCadetPIDs,MATCH($C61,rngCadetNames,0)),"?"))</f>
        <v/>
      </c>
      <c r="E61" s="14" t="n"/>
      <c r="F61" s="15">
        <f>IF($E61="","",IFERROR(INDEX(rngSM_max,MATCH($E61,rngSM_cat,0)),""))</f>
        <v/>
      </c>
      <c r="G61" s="15">
        <f>IF($E61="","",IFERROR(INDEX(rngSM_mode,MATCH($E61,rngSM_cat,0)),""))</f>
        <v/>
      </c>
      <c r="H61" s="15">
        <f>IF($E61="","",IFERROR(INDEX(rngSM_pass,MATCH($E61,rngSM_cat,0)),""))</f>
        <v/>
      </c>
      <c r="I61" s="14" t="n"/>
      <c r="J61" s="14" t="n"/>
      <c r="K61" s="14" t="n"/>
      <c r="L61" s="16" t="n"/>
      <c r="M61" s="14" t="n"/>
      <c r="N61" s="15">
        <f>IF($C61="","",COUNTIFS(nrSK_PID,$D61,nrSK_Cat,$E61))</f>
        <v/>
      </c>
      <c r="O61" s="15">
        <f>IF($C61="","",_xlfn.LET(_xlpm.latest,_xlfn.MAXIFS(nrSK_Att,nrSK_PID,$D61,nrSK_Cat,$E61),_xlpm.res,IF($I61=_xlpm.latest,$J61,""),IF($I61&lt;&gt;_xlpm.latest,"(superseded)",IF(_xlpm.res="","Pending",IF(_xlpm.res="Pass","Qualified",IF(AND(_xlpm.res="Fail",$N61&gt;=$F61),"FAILED OUT","Needs Remediation"))))))</f>
        <v/>
      </c>
      <c r="P61" s="15">
        <f>IF($C61="","",IF($O61="FAILED OUT","Yes","No"))</f>
        <v/>
      </c>
      <c r="Q61" s="14" t="n"/>
    </row>
    <row r="62">
      <c r="B62" s="15">
        <f>IF($C62="","",$D62&amp;"-"&amp;$E62&amp;"-"&amp;$I62)</f>
        <v/>
      </c>
      <c r="C62" s="14" t="n"/>
      <c r="D62" s="15">
        <f>IF($C62="","",IFERROR(INDEX(rngCadetPIDs,MATCH($C62,rngCadetNames,0)),"?"))</f>
        <v/>
      </c>
      <c r="E62" s="14" t="n"/>
      <c r="F62" s="15">
        <f>IF($E62="","",IFERROR(INDEX(rngSM_max,MATCH($E62,rngSM_cat,0)),""))</f>
        <v/>
      </c>
      <c r="G62" s="15">
        <f>IF($E62="","",IFERROR(INDEX(rngSM_mode,MATCH($E62,rngSM_cat,0)),""))</f>
        <v/>
      </c>
      <c r="H62" s="15">
        <f>IF($E62="","",IFERROR(INDEX(rngSM_pass,MATCH($E62,rngSM_cat,0)),""))</f>
        <v/>
      </c>
      <c r="I62" s="14" t="n"/>
      <c r="J62" s="14" t="n"/>
      <c r="K62" s="14" t="n"/>
      <c r="L62" s="16" t="n"/>
      <c r="M62" s="14" t="n"/>
      <c r="N62" s="15">
        <f>IF($C62="","",COUNTIFS(nrSK_PID,$D62,nrSK_Cat,$E62))</f>
        <v/>
      </c>
      <c r="O62" s="15">
        <f>IF($C62="","",_xlfn.LET(_xlpm.latest,_xlfn.MAXIFS(nrSK_Att,nrSK_PID,$D62,nrSK_Cat,$E62),_xlpm.res,IF($I62=_xlpm.latest,$J62,""),IF($I62&lt;&gt;_xlpm.latest,"(superseded)",IF(_xlpm.res="","Pending",IF(_xlpm.res="Pass","Qualified",IF(AND(_xlpm.res="Fail",$N62&gt;=$F62),"FAILED OUT","Needs Remediation"))))))</f>
        <v/>
      </c>
      <c r="P62" s="15">
        <f>IF($C62="","",IF($O62="FAILED OUT","Yes","No"))</f>
        <v/>
      </c>
      <c r="Q62" s="14" t="n"/>
    </row>
    <row r="63">
      <c r="B63" s="15">
        <f>IF($C63="","",$D63&amp;"-"&amp;$E63&amp;"-"&amp;$I63)</f>
        <v/>
      </c>
      <c r="C63" s="14" t="n"/>
      <c r="D63" s="15">
        <f>IF($C63="","",IFERROR(INDEX(rngCadetPIDs,MATCH($C63,rngCadetNames,0)),"?"))</f>
        <v/>
      </c>
      <c r="E63" s="14" t="n"/>
      <c r="F63" s="15">
        <f>IF($E63="","",IFERROR(INDEX(rngSM_max,MATCH($E63,rngSM_cat,0)),""))</f>
        <v/>
      </c>
      <c r="G63" s="15">
        <f>IF($E63="","",IFERROR(INDEX(rngSM_mode,MATCH($E63,rngSM_cat,0)),""))</f>
        <v/>
      </c>
      <c r="H63" s="15">
        <f>IF($E63="","",IFERROR(INDEX(rngSM_pass,MATCH($E63,rngSM_cat,0)),""))</f>
        <v/>
      </c>
      <c r="I63" s="14" t="n"/>
      <c r="J63" s="14" t="n"/>
      <c r="K63" s="14" t="n"/>
      <c r="L63" s="16" t="n"/>
      <c r="M63" s="14" t="n"/>
      <c r="N63" s="15">
        <f>IF($C63="","",COUNTIFS(nrSK_PID,$D63,nrSK_Cat,$E63))</f>
        <v/>
      </c>
      <c r="O63" s="15">
        <f>IF($C63="","",_xlfn.LET(_xlpm.latest,_xlfn.MAXIFS(nrSK_Att,nrSK_PID,$D63,nrSK_Cat,$E63),_xlpm.res,IF($I63=_xlpm.latest,$J63,""),IF($I63&lt;&gt;_xlpm.latest,"(superseded)",IF(_xlpm.res="","Pending",IF(_xlpm.res="Pass","Qualified",IF(AND(_xlpm.res="Fail",$N63&gt;=$F63),"FAILED OUT","Needs Remediation"))))))</f>
        <v/>
      </c>
      <c r="P63" s="15">
        <f>IF($C63="","",IF($O63="FAILED OUT","Yes","No"))</f>
        <v/>
      </c>
      <c r="Q63" s="14" t="n"/>
    </row>
    <row r="64">
      <c r="B64" s="15">
        <f>IF($C64="","",$D64&amp;"-"&amp;$E64&amp;"-"&amp;$I64)</f>
        <v/>
      </c>
      <c r="C64" s="14" t="n"/>
      <c r="D64" s="15">
        <f>IF($C64="","",IFERROR(INDEX(rngCadetPIDs,MATCH($C64,rngCadetNames,0)),"?"))</f>
        <v/>
      </c>
      <c r="E64" s="14" t="n"/>
      <c r="F64" s="15">
        <f>IF($E64="","",IFERROR(INDEX(rngSM_max,MATCH($E64,rngSM_cat,0)),""))</f>
        <v/>
      </c>
      <c r="G64" s="15">
        <f>IF($E64="","",IFERROR(INDEX(rngSM_mode,MATCH($E64,rngSM_cat,0)),""))</f>
        <v/>
      </c>
      <c r="H64" s="15">
        <f>IF($E64="","",IFERROR(INDEX(rngSM_pass,MATCH($E64,rngSM_cat,0)),""))</f>
        <v/>
      </c>
      <c r="I64" s="14" t="n"/>
      <c r="J64" s="14" t="n"/>
      <c r="K64" s="14" t="n"/>
      <c r="L64" s="16" t="n"/>
      <c r="M64" s="14" t="n"/>
      <c r="N64" s="15">
        <f>IF($C64="","",COUNTIFS(nrSK_PID,$D64,nrSK_Cat,$E64))</f>
        <v/>
      </c>
      <c r="O64" s="15">
        <f>IF($C64="","",_xlfn.LET(_xlpm.latest,_xlfn.MAXIFS(nrSK_Att,nrSK_PID,$D64,nrSK_Cat,$E64),_xlpm.res,IF($I64=_xlpm.latest,$J64,""),IF($I64&lt;&gt;_xlpm.latest,"(superseded)",IF(_xlpm.res="","Pending",IF(_xlpm.res="Pass","Qualified",IF(AND(_xlpm.res="Fail",$N64&gt;=$F64),"FAILED OUT","Needs Remediation"))))))</f>
        <v/>
      </c>
      <c r="P64" s="15">
        <f>IF($C64="","",IF($O64="FAILED OUT","Yes","No"))</f>
        <v/>
      </c>
      <c r="Q64" s="14" t="n"/>
    </row>
    <row r="65">
      <c r="B65" s="15">
        <f>IF($C65="","",$D65&amp;"-"&amp;$E65&amp;"-"&amp;$I65)</f>
        <v/>
      </c>
      <c r="C65" s="14" t="n"/>
      <c r="D65" s="15">
        <f>IF($C65="","",IFERROR(INDEX(rngCadetPIDs,MATCH($C65,rngCadetNames,0)),"?"))</f>
        <v/>
      </c>
      <c r="E65" s="14" t="n"/>
      <c r="F65" s="15">
        <f>IF($E65="","",IFERROR(INDEX(rngSM_max,MATCH($E65,rngSM_cat,0)),""))</f>
        <v/>
      </c>
      <c r="G65" s="15">
        <f>IF($E65="","",IFERROR(INDEX(rngSM_mode,MATCH($E65,rngSM_cat,0)),""))</f>
        <v/>
      </c>
      <c r="H65" s="15">
        <f>IF($E65="","",IFERROR(INDEX(rngSM_pass,MATCH($E65,rngSM_cat,0)),""))</f>
        <v/>
      </c>
      <c r="I65" s="14" t="n"/>
      <c r="J65" s="14" t="n"/>
      <c r="K65" s="14" t="n"/>
      <c r="L65" s="16" t="n"/>
      <c r="M65" s="14" t="n"/>
      <c r="N65" s="15">
        <f>IF($C65="","",COUNTIFS(nrSK_PID,$D65,nrSK_Cat,$E65))</f>
        <v/>
      </c>
      <c r="O65" s="15">
        <f>IF($C65="","",_xlfn.LET(_xlpm.latest,_xlfn.MAXIFS(nrSK_Att,nrSK_PID,$D65,nrSK_Cat,$E65),_xlpm.res,IF($I65=_xlpm.latest,$J65,""),IF($I65&lt;&gt;_xlpm.latest,"(superseded)",IF(_xlpm.res="","Pending",IF(_xlpm.res="Pass","Qualified",IF(AND(_xlpm.res="Fail",$N65&gt;=$F65),"FAILED OUT","Needs Remediation"))))))</f>
        <v/>
      </c>
      <c r="P65" s="15">
        <f>IF($C65="","",IF($O65="FAILED OUT","Yes","No"))</f>
        <v/>
      </c>
      <c r="Q65" s="14" t="n"/>
    </row>
    <row r="66">
      <c r="B66" s="15">
        <f>IF($C66="","",$D66&amp;"-"&amp;$E66&amp;"-"&amp;$I66)</f>
        <v/>
      </c>
      <c r="C66" s="14" t="n"/>
      <c r="D66" s="15">
        <f>IF($C66="","",IFERROR(INDEX(rngCadetPIDs,MATCH($C66,rngCadetNames,0)),"?"))</f>
        <v/>
      </c>
      <c r="E66" s="14" t="n"/>
      <c r="F66" s="15">
        <f>IF($E66="","",IFERROR(INDEX(rngSM_max,MATCH($E66,rngSM_cat,0)),""))</f>
        <v/>
      </c>
      <c r="G66" s="15">
        <f>IF($E66="","",IFERROR(INDEX(rngSM_mode,MATCH($E66,rngSM_cat,0)),""))</f>
        <v/>
      </c>
      <c r="H66" s="15">
        <f>IF($E66="","",IFERROR(INDEX(rngSM_pass,MATCH($E66,rngSM_cat,0)),""))</f>
        <v/>
      </c>
      <c r="I66" s="14" t="n"/>
      <c r="J66" s="14" t="n"/>
      <c r="K66" s="14" t="n"/>
      <c r="L66" s="16" t="n"/>
      <c r="M66" s="14" t="n"/>
      <c r="N66" s="15">
        <f>IF($C66="","",COUNTIFS(nrSK_PID,$D66,nrSK_Cat,$E66))</f>
        <v/>
      </c>
      <c r="O66" s="15">
        <f>IF($C66="","",_xlfn.LET(_xlpm.latest,_xlfn.MAXIFS(nrSK_Att,nrSK_PID,$D66,nrSK_Cat,$E66),_xlpm.res,IF($I66=_xlpm.latest,$J66,""),IF($I66&lt;&gt;_xlpm.latest,"(superseded)",IF(_xlpm.res="","Pending",IF(_xlpm.res="Pass","Qualified",IF(AND(_xlpm.res="Fail",$N66&gt;=$F66),"FAILED OUT","Needs Remediation"))))))</f>
        <v/>
      </c>
      <c r="P66" s="15">
        <f>IF($C66="","",IF($O66="FAILED OUT","Yes","No"))</f>
        <v/>
      </c>
      <c r="Q66" s="14" t="n"/>
    </row>
    <row r="67">
      <c r="B67" s="15">
        <f>IF($C67="","",$D67&amp;"-"&amp;$E67&amp;"-"&amp;$I67)</f>
        <v/>
      </c>
      <c r="C67" s="14" t="n"/>
      <c r="D67" s="15">
        <f>IF($C67="","",IFERROR(INDEX(rngCadetPIDs,MATCH($C67,rngCadetNames,0)),"?"))</f>
        <v/>
      </c>
      <c r="E67" s="14" t="n"/>
      <c r="F67" s="15">
        <f>IF($E67="","",IFERROR(INDEX(rngSM_max,MATCH($E67,rngSM_cat,0)),""))</f>
        <v/>
      </c>
      <c r="G67" s="15">
        <f>IF($E67="","",IFERROR(INDEX(rngSM_mode,MATCH($E67,rngSM_cat,0)),""))</f>
        <v/>
      </c>
      <c r="H67" s="15">
        <f>IF($E67="","",IFERROR(INDEX(rngSM_pass,MATCH($E67,rngSM_cat,0)),""))</f>
        <v/>
      </c>
      <c r="I67" s="14" t="n"/>
      <c r="J67" s="14" t="n"/>
      <c r="K67" s="14" t="n"/>
      <c r="L67" s="16" t="n"/>
      <c r="M67" s="14" t="n"/>
      <c r="N67" s="15">
        <f>IF($C67="","",COUNTIFS(nrSK_PID,$D67,nrSK_Cat,$E67))</f>
        <v/>
      </c>
      <c r="O67" s="15">
        <f>IF($C67="","",_xlfn.LET(_xlpm.latest,_xlfn.MAXIFS(nrSK_Att,nrSK_PID,$D67,nrSK_Cat,$E67),_xlpm.res,IF($I67=_xlpm.latest,$J67,""),IF($I67&lt;&gt;_xlpm.latest,"(superseded)",IF(_xlpm.res="","Pending",IF(_xlpm.res="Pass","Qualified",IF(AND(_xlpm.res="Fail",$N67&gt;=$F67),"FAILED OUT","Needs Remediation"))))))</f>
        <v/>
      </c>
      <c r="P67" s="15">
        <f>IF($C67="","",IF($O67="FAILED OUT","Yes","No"))</f>
        <v/>
      </c>
      <c r="Q67" s="14" t="n"/>
    </row>
    <row r="68">
      <c r="B68" s="15">
        <f>IF($C68="","",$D68&amp;"-"&amp;$E68&amp;"-"&amp;$I68)</f>
        <v/>
      </c>
      <c r="C68" s="14" t="n"/>
      <c r="D68" s="15">
        <f>IF($C68="","",IFERROR(INDEX(rngCadetPIDs,MATCH($C68,rngCadetNames,0)),"?"))</f>
        <v/>
      </c>
      <c r="E68" s="14" t="n"/>
      <c r="F68" s="15">
        <f>IF($E68="","",IFERROR(INDEX(rngSM_max,MATCH($E68,rngSM_cat,0)),""))</f>
        <v/>
      </c>
      <c r="G68" s="15">
        <f>IF($E68="","",IFERROR(INDEX(rngSM_mode,MATCH($E68,rngSM_cat,0)),""))</f>
        <v/>
      </c>
      <c r="H68" s="15">
        <f>IF($E68="","",IFERROR(INDEX(rngSM_pass,MATCH($E68,rngSM_cat,0)),""))</f>
        <v/>
      </c>
      <c r="I68" s="14" t="n"/>
      <c r="J68" s="14" t="n"/>
      <c r="K68" s="14" t="n"/>
      <c r="L68" s="16" t="n"/>
      <c r="M68" s="14" t="n"/>
      <c r="N68" s="15">
        <f>IF($C68="","",COUNTIFS(nrSK_PID,$D68,nrSK_Cat,$E68))</f>
        <v/>
      </c>
      <c r="O68" s="15">
        <f>IF($C68="","",_xlfn.LET(_xlpm.latest,_xlfn.MAXIFS(nrSK_Att,nrSK_PID,$D68,nrSK_Cat,$E68),_xlpm.res,IF($I68=_xlpm.latest,$J68,""),IF($I68&lt;&gt;_xlpm.latest,"(superseded)",IF(_xlpm.res="","Pending",IF(_xlpm.res="Pass","Qualified",IF(AND(_xlpm.res="Fail",$N68&gt;=$F68),"FAILED OUT","Needs Remediation"))))))</f>
        <v/>
      </c>
      <c r="P68" s="15">
        <f>IF($C68="","",IF($O68="FAILED OUT","Yes","No"))</f>
        <v/>
      </c>
      <c r="Q68" s="14" t="n"/>
    </row>
    <row r="69">
      <c r="B69" s="15">
        <f>IF($C69="","",$D69&amp;"-"&amp;$E69&amp;"-"&amp;$I69)</f>
        <v/>
      </c>
      <c r="C69" s="14" t="n"/>
      <c r="D69" s="15">
        <f>IF($C69="","",IFERROR(INDEX(rngCadetPIDs,MATCH($C69,rngCadetNames,0)),"?"))</f>
        <v/>
      </c>
      <c r="E69" s="14" t="n"/>
      <c r="F69" s="15">
        <f>IF($E69="","",IFERROR(INDEX(rngSM_max,MATCH($E69,rngSM_cat,0)),""))</f>
        <v/>
      </c>
      <c r="G69" s="15">
        <f>IF($E69="","",IFERROR(INDEX(rngSM_mode,MATCH($E69,rngSM_cat,0)),""))</f>
        <v/>
      </c>
      <c r="H69" s="15">
        <f>IF($E69="","",IFERROR(INDEX(rngSM_pass,MATCH($E69,rngSM_cat,0)),""))</f>
        <v/>
      </c>
      <c r="I69" s="14" t="n"/>
      <c r="J69" s="14" t="n"/>
      <c r="K69" s="14" t="n"/>
      <c r="L69" s="16" t="n"/>
      <c r="M69" s="14" t="n"/>
      <c r="N69" s="15">
        <f>IF($C69="","",COUNTIFS(nrSK_PID,$D69,nrSK_Cat,$E69))</f>
        <v/>
      </c>
      <c r="O69" s="15">
        <f>IF($C69="","",_xlfn.LET(_xlpm.latest,_xlfn.MAXIFS(nrSK_Att,nrSK_PID,$D69,nrSK_Cat,$E69),_xlpm.res,IF($I69=_xlpm.latest,$J69,""),IF($I69&lt;&gt;_xlpm.latest,"(superseded)",IF(_xlpm.res="","Pending",IF(_xlpm.res="Pass","Qualified",IF(AND(_xlpm.res="Fail",$N69&gt;=$F69),"FAILED OUT","Needs Remediation"))))))</f>
        <v/>
      </c>
      <c r="P69" s="15">
        <f>IF($C69="","",IF($O69="FAILED OUT","Yes","No"))</f>
        <v/>
      </c>
      <c r="Q69" s="14" t="n"/>
    </row>
    <row r="70">
      <c r="B70" s="15">
        <f>IF($C70="","",$D70&amp;"-"&amp;$E70&amp;"-"&amp;$I70)</f>
        <v/>
      </c>
      <c r="C70" s="14" t="n"/>
      <c r="D70" s="15">
        <f>IF($C70="","",IFERROR(INDEX(rngCadetPIDs,MATCH($C70,rngCadetNames,0)),"?"))</f>
        <v/>
      </c>
      <c r="E70" s="14" t="n"/>
      <c r="F70" s="15">
        <f>IF($E70="","",IFERROR(INDEX(rngSM_max,MATCH($E70,rngSM_cat,0)),""))</f>
        <v/>
      </c>
      <c r="G70" s="15">
        <f>IF($E70="","",IFERROR(INDEX(rngSM_mode,MATCH($E70,rngSM_cat,0)),""))</f>
        <v/>
      </c>
      <c r="H70" s="15">
        <f>IF($E70="","",IFERROR(INDEX(rngSM_pass,MATCH($E70,rngSM_cat,0)),""))</f>
        <v/>
      </c>
      <c r="I70" s="14" t="n"/>
      <c r="J70" s="14" t="n"/>
      <c r="K70" s="14" t="n"/>
      <c r="L70" s="16" t="n"/>
      <c r="M70" s="14" t="n"/>
      <c r="N70" s="15">
        <f>IF($C70="","",COUNTIFS(nrSK_PID,$D70,nrSK_Cat,$E70))</f>
        <v/>
      </c>
      <c r="O70" s="15">
        <f>IF($C70="","",_xlfn.LET(_xlpm.latest,_xlfn.MAXIFS(nrSK_Att,nrSK_PID,$D70,nrSK_Cat,$E70),_xlpm.res,IF($I70=_xlpm.latest,$J70,""),IF($I70&lt;&gt;_xlpm.latest,"(superseded)",IF(_xlpm.res="","Pending",IF(_xlpm.res="Pass","Qualified",IF(AND(_xlpm.res="Fail",$N70&gt;=$F70),"FAILED OUT","Needs Remediation"))))))</f>
        <v/>
      </c>
      <c r="P70" s="15">
        <f>IF($C70="","",IF($O70="FAILED OUT","Yes","No"))</f>
        <v/>
      </c>
      <c r="Q70" s="14" t="n"/>
    </row>
    <row r="71">
      <c r="B71" s="15">
        <f>IF($C71="","",$D71&amp;"-"&amp;$E71&amp;"-"&amp;$I71)</f>
        <v/>
      </c>
      <c r="C71" s="14" t="n"/>
      <c r="D71" s="15">
        <f>IF($C71="","",IFERROR(INDEX(rngCadetPIDs,MATCH($C71,rngCadetNames,0)),"?"))</f>
        <v/>
      </c>
      <c r="E71" s="14" t="n"/>
      <c r="F71" s="15">
        <f>IF($E71="","",IFERROR(INDEX(rngSM_max,MATCH($E71,rngSM_cat,0)),""))</f>
        <v/>
      </c>
      <c r="G71" s="15">
        <f>IF($E71="","",IFERROR(INDEX(rngSM_mode,MATCH($E71,rngSM_cat,0)),""))</f>
        <v/>
      </c>
      <c r="H71" s="15">
        <f>IF($E71="","",IFERROR(INDEX(rngSM_pass,MATCH($E71,rngSM_cat,0)),""))</f>
        <v/>
      </c>
      <c r="I71" s="14" t="n"/>
      <c r="J71" s="14" t="n"/>
      <c r="K71" s="14" t="n"/>
      <c r="L71" s="16" t="n"/>
      <c r="M71" s="14" t="n"/>
      <c r="N71" s="15">
        <f>IF($C71="","",COUNTIFS(nrSK_PID,$D71,nrSK_Cat,$E71))</f>
        <v/>
      </c>
      <c r="O71" s="15">
        <f>IF($C71="","",_xlfn.LET(_xlpm.latest,_xlfn.MAXIFS(nrSK_Att,nrSK_PID,$D71,nrSK_Cat,$E71),_xlpm.res,IF($I71=_xlpm.latest,$J71,""),IF($I71&lt;&gt;_xlpm.latest,"(superseded)",IF(_xlpm.res="","Pending",IF(_xlpm.res="Pass","Qualified",IF(AND(_xlpm.res="Fail",$N71&gt;=$F71),"FAILED OUT","Needs Remediation"))))))</f>
        <v/>
      </c>
      <c r="P71" s="15">
        <f>IF($C71="","",IF($O71="FAILED OUT","Yes","No"))</f>
        <v/>
      </c>
      <c r="Q71" s="14" t="n"/>
    </row>
    <row r="72">
      <c r="B72" s="15">
        <f>IF($C72="","",$D72&amp;"-"&amp;$E72&amp;"-"&amp;$I72)</f>
        <v/>
      </c>
      <c r="C72" s="14" t="n"/>
      <c r="D72" s="15">
        <f>IF($C72="","",IFERROR(INDEX(rngCadetPIDs,MATCH($C72,rngCadetNames,0)),"?"))</f>
        <v/>
      </c>
      <c r="E72" s="14" t="n"/>
      <c r="F72" s="15">
        <f>IF($E72="","",IFERROR(INDEX(rngSM_max,MATCH($E72,rngSM_cat,0)),""))</f>
        <v/>
      </c>
      <c r="G72" s="15">
        <f>IF($E72="","",IFERROR(INDEX(rngSM_mode,MATCH($E72,rngSM_cat,0)),""))</f>
        <v/>
      </c>
      <c r="H72" s="15">
        <f>IF($E72="","",IFERROR(INDEX(rngSM_pass,MATCH($E72,rngSM_cat,0)),""))</f>
        <v/>
      </c>
      <c r="I72" s="14" t="n"/>
      <c r="J72" s="14" t="n"/>
      <c r="K72" s="14" t="n"/>
      <c r="L72" s="16" t="n"/>
      <c r="M72" s="14" t="n"/>
      <c r="N72" s="15">
        <f>IF($C72="","",COUNTIFS(nrSK_PID,$D72,nrSK_Cat,$E72))</f>
        <v/>
      </c>
      <c r="O72" s="15">
        <f>IF($C72="","",_xlfn.LET(_xlpm.latest,_xlfn.MAXIFS(nrSK_Att,nrSK_PID,$D72,nrSK_Cat,$E72),_xlpm.res,IF($I72=_xlpm.latest,$J72,""),IF($I72&lt;&gt;_xlpm.latest,"(superseded)",IF(_xlpm.res="","Pending",IF(_xlpm.res="Pass","Qualified",IF(AND(_xlpm.res="Fail",$N72&gt;=$F72),"FAILED OUT","Needs Remediation"))))))</f>
        <v/>
      </c>
      <c r="P72" s="15">
        <f>IF($C72="","",IF($O72="FAILED OUT","Yes","No"))</f>
        <v/>
      </c>
      <c r="Q72" s="14" t="n"/>
    </row>
    <row r="73">
      <c r="B73" s="15">
        <f>IF($C73="","",$D73&amp;"-"&amp;$E73&amp;"-"&amp;$I73)</f>
        <v/>
      </c>
      <c r="C73" s="14" t="n"/>
      <c r="D73" s="15">
        <f>IF($C73="","",IFERROR(INDEX(rngCadetPIDs,MATCH($C73,rngCadetNames,0)),"?"))</f>
        <v/>
      </c>
      <c r="E73" s="14" t="n"/>
      <c r="F73" s="15">
        <f>IF($E73="","",IFERROR(INDEX(rngSM_max,MATCH($E73,rngSM_cat,0)),""))</f>
        <v/>
      </c>
      <c r="G73" s="15">
        <f>IF($E73="","",IFERROR(INDEX(rngSM_mode,MATCH($E73,rngSM_cat,0)),""))</f>
        <v/>
      </c>
      <c r="H73" s="15">
        <f>IF($E73="","",IFERROR(INDEX(rngSM_pass,MATCH($E73,rngSM_cat,0)),""))</f>
        <v/>
      </c>
      <c r="I73" s="14" t="n"/>
      <c r="J73" s="14" t="n"/>
      <c r="K73" s="14" t="n"/>
      <c r="L73" s="16" t="n"/>
      <c r="M73" s="14" t="n"/>
      <c r="N73" s="15">
        <f>IF($C73="","",COUNTIFS(nrSK_PID,$D73,nrSK_Cat,$E73))</f>
        <v/>
      </c>
      <c r="O73" s="15">
        <f>IF($C73="","",_xlfn.LET(_xlpm.latest,_xlfn.MAXIFS(nrSK_Att,nrSK_PID,$D73,nrSK_Cat,$E73),_xlpm.res,IF($I73=_xlpm.latest,$J73,""),IF($I73&lt;&gt;_xlpm.latest,"(superseded)",IF(_xlpm.res="","Pending",IF(_xlpm.res="Pass","Qualified",IF(AND(_xlpm.res="Fail",$N73&gt;=$F73),"FAILED OUT","Needs Remediation"))))))</f>
        <v/>
      </c>
      <c r="P73" s="15">
        <f>IF($C73="","",IF($O73="FAILED OUT","Yes","No"))</f>
        <v/>
      </c>
      <c r="Q73" s="14" t="n"/>
    </row>
    <row r="74">
      <c r="B74" s="15">
        <f>IF($C74="","",$D74&amp;"-"&amp;$E74&amp;"-"&amp;$I74)</f>
        <v/>
      </c>
      <c r="C74" s="14" t="n"/>
      <c r="D74" s="15">
        <f>IF($C74="","",IFERROR(INDEX(rngCadetPIDs,MATCH($C74,rngCadetNames,0)),"?"))</f>
        <v/>
      </c>
      <c r="E74" s="14" t="n"/>
      <c r="F74" s="15">
        <f>IF($E74="","",IFERROR(INDEX(rngSM_max,MATCH($E74,rngSM_cat,0)),""))</f>
        <v/>
      </c>
      <c r="G74" s="15">
        <f>IF($E74="","",IFERROR(INDEX(rngSM_mode,MATCH($E74,rngSM_cat,0)),""))</f>
        <v/>
      </c>
      <c r="H74" s="15">
        <f>IF($E74="","",IFERROR(INDEX(rngSM_pass,MATCH($E74,rngSM_cat,0)),""))</f>
        <v/>
      </c>
      <c r="I74" s="14" t="n"/>
      <c r="J74" s="14" t="n"/>
      <c r="K74" s="14" t="n"/>
      <c r="L74" s="16" t="n"/>
      <c r="M74" s="14" t="n"/>
      <c r="N74" s="15">
        <f>IF($C74="","",COUNTIFS(nrSK_PID,$D74,nrSK_Cat,$E74))</f>
        <v/>
      </c>
      <c r="O74" s="15">
        <f>IF($C74="","",_xlfn.LET(_xlpm.latest,_xlfn.MAXIFS(nrSK_Att,nrSK_PID,$D74,nrSK_Cat,$E74),_xlpm.res,IF($I74=_xlpm.latest,$J74,""),IF($I74&lt;&gt;_xlpm.latest,"(superseded)",IF(_xlpm.res="","Pending",IF(_xlpm.res="Pass","Qualified",IF(AND(_xlpm.res="Fail",$N74&gt;=$F74),"FAILED OUT","Needs Remediation"))))))</f>
        <v/>
      </c>
      <c r="P74" s="15">
        <f>IF($C74="","",IF($O74="FAILED OUT","Yes","No"))</f>
        <v/>
      </c>
      <c r="Q74" s="14" t="n"/>
    </row>
    <row r="75">
      <c r="B75" s="15">
        <f>IF($C75="","",$D75&amp;"-"&amp;$E75&amp;"-"&amp;$I75)</f>
        <v/>
      </c>
      <c r="C75" s="14" t="n"/>
      <c r="D75" s="15">
        <f>IF($C75="","",IFERROR(INDEX(rngCadetPIDs,MATCH($C75,rngCadetNames,0)),"?"))</f>
        <v/>
      </c>
      <c r="E75" s="14" t="n"/>
      <c r="F75" s="15">
        <f>IF($E75="","",IFERROR(INDEX(rngSM_max,MATCH($E75,rngSM_cat,0)),""))</f>
        <v/>
      </c>
      <c r="G75" s="15">
        <f>IF($E75="","",IFERROR(INDEX(rngSM_mode,MATCH($E75,rngSM_cat,0)),""))</f>
        <v/>
      </c>
      <c r="H75" s="15">
        <f>IF($E75="","",IFERROR(INDEX(rngSM_pass,MATCH($E75,rngSM_cat,0)),""))</f>
        <v/>
      </c>
      <c r="I75" s="14" t="n"/>
      <c r="J75" s="14" t="n"/>
      <c r="K75" s="14" t="n"/>
      <c r="L75" s="16" t="n"/>
      <c r="M75" s="14" t="n"/>
      <c r="N75" s="15">
        <f>IF($C75="","",COUNTIFS(nrSK_PID,$D75,nrSK_Cat,$E75))</f>
        <v/>
      </c>
      <c r="O75" s="15">
        <f>IF($C75="","",_xlfn.LET(_xlpm.latest,_xlfn.MAXIFS(nrSK_Att,nrSK_PID,$D75,nrSK_Cat,$E75),_xlpm.res,IF($I75=_xlpm.latest,$J75,""),IF($I75&lt;&gt;_xlpm.latest,"(superseded)",IF(_xlpm.res="","Pending",IF(_xlpm.res="Pass","Qualified",IF(AND(_xlpm.res="Fail",$N75&gt;=$F75),"FAILED OUT","Needs Remediation"))))))</f>
        <v/>
      </c>
      <c r="P75" s="15">
        <f>IF($C75="","",IF($O75="FAILED OUT","Yes","No"))</f>
        <v/>
      </c>
      <c r="Q75" s="14" t="n"/>
    </row>
    <row r="76">
      <c r="B76" s="15">
        <f>IF($C76="","",$D76&amp;"-"&amp;$E76&amp;"-"&amp;$I76)</f>
        <v/>
      </c>
      <c r="C76" s="14" t="n"/>
      <c r="D76" s="15">
        <f>IF($C76="","",IFERROR(INDEX(rngCadetPIDs,MATCH($C76,rngCadetNames,0)),"?"))</f>
        <v/>
      </c>
      <c r="E76" s="14" t="n"/>
      <c r="F76" s="15">
        <f>IF($E76="","",IFERROR(INDEX(rngSM_max,MATCH($E76,rngSM_cat,0)),""))</f>
        <v/>
      </c>
      <c r="G76" s="15">
        <f>IF($E76="","",IFERROR(INDEX(rngSM_mode,MATCH($E76,rngSM_cat,0)),""))</f>
        <v/>
      </c>
      <c r="H76" s="15">
        <f>IF($E76="","",IFERROR(INDEX(rngSM_pass,MATCH($E76,rngSM_cat,0)),""))</f>
        <v/>
      </c>
      <c r="I76" s="14" t="n"/>
      <c r="J76" s="14" t="n"/>
      <c r="K76" s="14" t="n"/>
      <c r="L76" s="16" t="n"/>
      <c r="M76" s="14" t="n"/>
      <c r="N76" s="15">
        <f>IF($C76="","",COUNTIFS(nrSK_PID,$D76,nrSK_Cat,$E76))</f>
        <v/>
      </c>
      <c r="O76" s="15">
        <f>IF($C76="","",_xlfn.LET(_xlpm.latest,_xlfn.MAXIFS(nrSK_Att,nrSK_PID,$D76,nrSK_Cat,$E76),_xlpm.res,IF($I76=_xlpm.latest,$J76,""),IF($I76&lt;&gt;_xlpm.latest,"(superseded)",IF(_xlpm.res="","Pending",IF(_xlpm.res="Pass","Qualified",IF(AND(_xlpm.res="Fail",$N76&gt;=$F76),"FAILED OUT","Needs Remediation"))))))</f>
        <v/>
      </c>
      <c r="P76" s="15">
        <f>IF($C76="","",IF($O76="FAILED OUT","Yes","No"))</f>
        <v/>
      </c>
      <c r="Q76" s="14" t="n"/>
    </row>
    <row r="77">
      <c r="B77" s="15">
        <f>IF($C77="","",$D77&amp;"-"&amp;$E77&amp;"-"&amp;$I77)</f>
        <v/>
      </c>
      <c r="C77" s="14" t="n"/>
      <c r="D77" s="15">
        <f>IF($C77="","",IFERROR(INDEX(rngCadetPIDs,MATCH($C77,rngCadetNames,0)),"?"))</f>
        <v/>
      </c>
      <c r="E77" s="14" t="n"/>
      <c r="F77" s="15">
        <f>IF($E77="","",IFERROR(INDEX(rngSM_max,MATCH($E77,rngSM_cat,0)),""))</f>
        <v/>
      </c>
      <c r="G77" s="15">
        <f>IF($E77="","",IFERROR(INDEX(rngSM_mode,MATCH($E77,rngSM_cat,0)),""))</f>
        <v/>
      </c>
      <c r="H77" s="15">
        <f>IF($E77="","",IFERROR(INDEX(rngSM_pass,MATCH($E77,rngSM_cat,0)),""))</f>
        <v/>
      </c>
      <c r="I77" s="14" t="n"/>
      <c r="J77" s="14" t="n"/>
      <c r="K77" s="14" t="n"/>
      <c r="L77" s="16" t="n"/>
      <c r="M77" s="14" t="n"/>
      <c r="N77" s="15">
        <f>IF($C77="","",COUNTIFS(nrSK_PID,$D77,nrSK_Cat,$E77))</f>
        <v/>
      </c>
      <c r="O77" s="15">
        <f>IF($C77="","",_xlfn.LET(_xlpm.latest,_xlfn.MAXIFS(nrSK_Att,nrSK_PID,$D77,nrSK_Cat,$E77),_xlpm.res,IF($I77=_xlpm.latest,$J77,""),IF($I77&lt;&gt;_xlpm.latest,"(superseded)",IF(_xlpm.res="","Pending",IF(_xlpm.res="Pass","Qualified",IF(AND(_xlpm.res="Fail",$N77&gt;=$F77),"FAILED OUT","Needs Remediation"))))))</f>
        <v/>
      </c>
      <c r="P77" s="15">
        <f>IF($C77="","",IF($O77="FAILED OUT","Yes","No"))</f>
        <v/>
      </c>
      <c r="Q77" s="14" t="n"/>
    </row>
    <row r="78">
      <c r="B78" s="15">
        <f>IF($C78="","",$D78&amp;"-"&amp;$E78&amp;"-"&amp;$I78)</f>
        <v/>
      </c>
      <c r="C78" s="14" t="n"/>
      <c r="D78" s="15">
        <f>IF($C78="","",IFERROR(INDEX(rngCadetPIDs,MATCH($C78,rngCadetNames,0)),"?"))</f>
        <v/>
      </c>
      <c r="E78" s="14" t="n"/>
      <c r="F78" s="15">
        <f>IF($E78="","",IFERROR(INDEX(rngSM_max,MATCH($E78,rngSM_cat,0)),""))</f>
        <v/>
      </c>
      <c r="G78" s="15">
        <f>IF($E78="","",IFERROR(INDEX(rngSM_mode,MATCH($E78,rngSM_cat,0)),""))</f>
        <v/>
      </c>
      <c r="H78" s="15">
        <f>IF($E78="","",IFERROR(INDEX(rngSM_pass,MATCH($E78,rngSM_cat,0)),""))</f>
        <v/>
      </c>
      <c r="I78" s="14" t="n"/>
      <c r="J78" s="14" t="n"/>
      <c r="K78" s="14" t="n"/>
      <c r="L78" s="16" t="n"/>
      <c r="M78" s="14" t="n"/>
      <c r="N78" s="15">
        <f>IF($C78="","",COUNTIFS(nrSK_PID,$D78,nrSK_Cat,$E78))</f>
        <v/>
      </c>
      <c r="O78" s="15">
        <f>IF($C78="","",_xlfn.LET(_xlpm.latest,_xlfn.MAXIFS(nrSK_Att,nrSK_PID,$D78,nrSK_Cat,$E78),_xlpm.res,IF($I78=_xlpm.latest,$J78,""),IF($I78&lt;&gt;_xlpm.latest,"(superseded)",IF(_xlpm.res="","Pending",IF(_xlpm.res="Pass","Qualified",IF(AND(_xlpm.res="Fail",$N78&gt;=$F78),"FAILED OUT","Needs Remediation"))))))</f>
        <v/>
      </c>
      <c r="P78" s="15">
        <f>IF($C78="","",IF($O78="FAILED OUT","Yes","No"))</f>
        <v/>
      </c>
      <c r="Q78" s="14" t="n"/>
    </row>
    <row r="79">
      <c r="B79" s="15">
        <f>IF($C79="","",$D79&amp;"-"&amp;$E79&amp;"-"&amp;$I79)</f>
        <v/>
      </c>
      <c r="C79" s="14" t="n"/>
      <c r="D79" s="15">
        <f>IF($C79="","",IFERROR(INDEX(rngCadetPIDs,MATCH($C79,rngCadetNames,0)),"?"))</f>
        <v/>
      </c>
      <c r="E79" s="14" t="n"/>
      <c r="F79" s="15">
        <f>IF($E79="","",IFERROR(INDEX(rngSM_max,MATCH($E79,rngSM_cat,0)),""))</f>
        <v/>
      </c>
      <c r="G79" s="15">
        <f>IF($E79="","",IFERROR(INDEX(rngSM_mode,MATCH($E79,rngSM_cat,0)),""))</f>
        <v/>
      </c>
      <c r="H79" s="15">
        <f>IF($E79="","",IFERROR(INDEX(rngSM_pass,MATCH($E79,rngSM_cat,0)),""))</f>
        <v/>
      </c>
      <c r="I79" s="14" t="n"/>
      <c r="J79" s="14" t="n"/>
      <c r="K79" s="14" t="n"/>
      <c r="L79" s="16" t="n"/>
      <c r="M79" s="14" t="n"/>
      <c r="N79" s="15">
        <f>IF($C79="","",COUNTIFS(nrSK_PID,$D79,nrSK_Cat,$E79))</f>
        <v/>
      </c>
      <c r="O79" s="15">
        <f>IF($C79="","",_xlfn.LET(_xlpm.latest,_xlfn.MAXIFS(nrSK_Att,nrSK_PID,$D79,nrSK_Cat,$E79),_xlpm.res,IF($I79=_xlpm.latest,$J79,""),IF($I79&lt;&gt;_xlpm.latest,"(superseded)",IF(_xlpm.res="","Pending",IF(_xlpm.res="Pass","Qualified",IF(AND(_xlpm.res="Fail",$N79&gt;=$F79),"FAILED OUT","Needs Remediation"))))))</f>
        <v/>
      </c>
      <c r="P79" s="15">
        <f>IF($C79="","",IF($O79="FAILED OUT","Yes","No"))</f>
        <v/>
      </c>
      <c r="Q79" s="14" t="n"/>
    </row>
    <row r="80">
      <c r="B80" s="15">
        <f>IF($C80="","",$D80&amp;"-"&amp;$E80&amp;"-"&amp;$I80)</f>
        <v/>
      </c>
      <c r="C80" s="14" t="n"/>
      <c r="D80" s="15">
        <f>IF($C80="","",IFERROR(INDEX(rngCadetPIDs,MATCH($C80,rngCadetNames,0)),"?"))</f>
        <v/>
      </c>
      <c r="E80" s="14" t="n"/>
      <c r="F80" s="15">
        <f>IF($E80="","",IFERROR(INDEX(rngSM_max,MATCH($E80,rngSM_cat,0)),""))</f>
        <v/>
      </c>
      <c r="G80" s="15">
        <f>IF($E80="","",IFERROR(INDEX(rngSM_mode,MATCH($E80,rngSM_cat,0)),""))</f>
        <v/>
      </c>
      <c r="H80" s="15">
        <f>IF($E80="","",IFERROR(INDEX(rngSM_pass,MATCH($E80,rngSM_cat,0)),""))</f>
        <v/>
      </c>
      <c r="I80" s="14" t="n"/>
      <c r="J80" s="14" t="n"/>
      <c r="K80" s="14" t="n"/>
      <c r="L80" s="16" t="n"/>
      <c r="M80" s="14" t="n"/>
      <c r="N80" s="15">
        <f>IF($C80="","",COUNTIFS(nrSK_PID,$D80,nrSK_Cat,$E80))</f>
        <v/>
      </c>
      <c r="O80" s="15">
        <f>IF($C80="","",_xlfn.LET(_xlpm.latest,_xlfn.MAXIFS(nrSK_Att,nrSK_PID,$D80,nrSK_Cat,$E80),_xlpm.res,IF($I80=_xlpm.latest,$J80,""),IF($I80&lt;&gt;_xlpm.latest,"(superseded)",IF(_xlpm.res="","Pending",IF(_xlpm.res="Pass","Qualified",IF(AND(_xlpm.res="Fail",$N80&gt;=$F80),"FAILED OUT","Needs Remediation"))))))</f>
        <v/>
      </c>
      <c r="P80" s="15">
        <f>IF($C80="","",IF($O80="FAILED OUT","Yes","No"))</f>
        <v/>
      </c>
      <c r="Q80" s="14" t="n"/>
    </row>
    <row r="81">
      <c r="B81" s="15">
        <f>IF($C81="","",$D81&amp;"-"&amp;$E81&amp;"-"&amp;$I81)</f>
        <v/>
      </c>
      <c r="C81" s="14" t="n"/>
      <c r="D81" s="15">
        <f>IF($C81="","",IFERROR(INDEX(rngCadetPIDs,MATCH($C81,rngCadetNames,0)),"?"))</f>
        <v/>
      </c>
      <c r="E81" s="14" t="n"/>
      <c r="F81" s="15">
        <f>IF($E81="","",IFERROR(INDEX(rngSM_max,MATCH($E81,rngSM_cat,0)),""))</f>
        <v/>
      </c>
      <c r="G81" s="15">
        <f>IF($E81="","",IFERROR(INDEX(rngSM_mode,MATCH($E81,rngSM_cat,0)),""))</f>
        <v/>
      </c>
      <c r="H81" s="15">
        <f>IF($E81="","",IFERROR(INDEX(rngSM_pass,MATCH($E81,rngSM_cat,0)),""))</f>
        <v/>
      </c>
      <c r="I81" s="14" t="n"/>
      <c r="J81" s="14" t="n"/>
      <c r="K81" s="14" t="n"/>
      <c r="L81" s="16" t="n"/>
      <c r="M81" s="14" t="n"/>
      <c r="N81" s="15">
        <f>IF($C81="","",COUNTIFS(nrSK_PID,$D81,nrSK_Cat,$E81))</f>
        <v/>
      </c>
      <c r="O81" s="15">
        <f>IF($C81="","",_xlfn.LET(_xlpm.latest,_xlfn.MAXIFS(nrSK_Att,nrSK_PID,$D81,nrSK_Cat,$E81),_xlpm.res,IF($I81=_xlpm.latest,$J81,""),IF($I81&lt;&gt;_xlpm.latest,"(superseded)",IF(_xlpm.res="","Pending",IF(_xlpm.res="Pass","Qualified",IF(AND(_xlpm.res="Fail",$N81&gt;=$F81),"FAILED OUT","Needs Remediation"))))))</f>
        <v/>
      </c>
      <c r="P81" s="15">
        <f>IF($C81="","",IF($O81="FAILED OUT","Yes","No"))</f>
        <v/>
      </c>
      <c r="Q81" s="14" t="n"/>
    </row>
    <row r="82">
      <c r="B82" s="15">
        <f>IF($C82="","",$D82&amp;"-"&amp;$E82&amp;"-"&amp;$I82)</f>
        <v/>
      </c>
      <c r="C82" s="14" t="n"/>
      <c r="D82" s="15">
        <f>IF($C82="","",IFERROR(INDEX(rngCadetPIDs,MATCH($C82,rngCadetNames,0)),"?"))</f>
        <v/>
      </c>
      <c r="E82" s="14" t="n"/>
      <c r="F82" s="15">
        <f>IF($E82="","",IFERROR(INDEX(rngSM_max,MATCH($E82,rngSM_cat,0)),""))</f>
        <v/>
      </c>
      <c r="G82" s="15">
        <f>IF($E82="","",IFERROR(INDEX(rngSM_mode,MATCH($E82,rngSM_cat,0)),""))</f>
        <v/>
      </c>
      <c r="H82" s="15">
        <f>IF($E82="","",IFERROR(INDEX(rngSM_pass,MATCH($E82,rngSM_cat,0)),""))</f>
        <v/>
      </c>
      <c r="I82" s="14" t="n"/>
      <c r="J82" s="14" t="n"/>
      <c r="K82" s="14" t="n"/>
      <c r="L82" s="16" t="n"/>
      <c r="M82" s="14" t="n"/>
      <c r="N82" s="15">
        <f>IF($C82="","",COUNTIFS(nrSK_PID,$D82,nrSK_Cat,$E82))</f>
        <v/>
      </c>
      <c r="O82" s="15">
        <f>IF($C82="","",_xlfn.LET(_xlpm.latest,_xlfn.MAXIFS(nrSK_Att,nrSK_PID,$D82,nrSK_Cat,$E82),_xlpm.res,IF($I82=_xlpm.latest,$J82,""),IF($I82&lt;&gt;_xlpm.latest,"(superseded)",IF(_xlpm.res="","Pending",IF(_xlpm.res="Pass","Qualified",IF(AND(_xlpm.res="Fail",$N82&gt;=$F82),"FAILED OUT","Needs Remediation"))))))</f>
        <v/>
      </c>
      <c r="P82" s="15">
        <f>IF($C82="","",IF($O82="FAILED OUT","Yes","No"))</f>
        <v/>
      </c>
      <c r="Q82" s="14" t="n"/>
    </row>
    <row r="83">
      <c r="B83" s="15">
        <f>IF($C83="","",$D83&amp;"-"&amp;$E83&amp;"-"&amp;$I83)</f>
        <v/>
      </c>
      <c r="C83" s="14" t="n"/>
      <c r="D83" s="15">
        <f>IF($C83="","",IFERROR(INDEX(rngCadetPIDs,MATCH($C83,rngCadetNames,0)),"?"))</f>
        <v/>
      </c>
      <c r="E83" s="14" t="n"/>
      <c r="F83" s="15">
        <f>IF($E83="","",IFERROR(INDEX(rngSM_max,MATCH($E83,rngSM_cat,0)),""))</f>
        <v/>
      </c>
      <c r="G83" s="15">
        <f>IF($E83="","",IFERROR(INDEX(rngSM_mode,MATCH($E83,rngSM_cat,0)),""))</f>
        <v/>
      </c>
      <c r="H83" s="15">
        <f>IF($E83="","",IFERROR(INDEX(rngSM_pass,MATCH($E83,rngSM_cat,0)),""))</f>
        <v/>
      </c>
      <c r="I83" s="14" t="n"/>
      <c r="J83" s="14" t="n"/>
      <c r="K83" s="14" t="n"/>
      <c r="L83" s="16" t="n"/>
      <c r="M83" s="14" t="n"/>
      <c r="N83" s="15">
        <f>IF($C83="","",COUNTIFS(nrSK_PID,$D83,nrSK_Cat,$E83))</f>
        <v/>
      </c>
      <c r="O83" s="15">
        <f>IF($C83="","",_xlfn.LET(_xlpm.latest,_xlfn.MAXIFS(nrSK_Att,nrSK_PID,$D83,nrSK_Cat,$E83),_xlpm.res,IF($I83=_xlpm.latest,$J83,""),IF($I83&lt;&gt;_xlpm.latest,"(superseded)",IF(_xlpm.res="","Pending",IF(_xlpm.res="Pass","Qualified",IF(AND(_xlpm.res="Fail",$N83&gt;=$F83),"FAILED OUT","Needs Remediation"))))))</f>
        <v/>
      </c>
      <c r="P83" s="15">
        <f>IF($C83="","",IF($O83="FAILED OUT","Yes","No"))</f>
        <v/>
      </c>
      <c r="Q83" s="14" t="n"/>
    </row>
    <row r="84">
      <c r="B84" s="15">
        <f>IF($C84="","",$D84&amp;"-"&amp;$E84&amp;"-"&amp;$I84)</f>
        <v/>
      </c>
      <c r="C84" s="14" t="n"/>
      <c r="D84" s="15">
        <f>IF($C84="","",IFERROR(INDEX(rngCadetPIDs,MATCH($C84,rngCadetNames,0)),"?"))</f>
        <v/>
      </c>
      <c r="E84" s="14" t="n"/>
      <c r="F84" s="15">
        <f>IF($E84="","",IFERROR(INDEX(rngSM_max,MATCH($E84,rngSM_cat,0)),""))</f>
        <v/>
      </c>
      <c r="G84" s="15">
        <f>IF($E84="","",IFERROR(INDEX(rngSM_mode,MATCH($E84,rngSM_cat,0)),""))</f>
        <v/>
      </c>
      <c r="H84" s="15">
        <f>IF($E84="","",IFERROR(INDEX(rngSM_pass,MATCH($E84,rngSM_cat,0)),""))</f>
        <v/>
      </c>
      <c r="I84" s="14" t="n"/>
      <c r="J84" s="14" t="n"/>
      <c r="K84" s="14" t="n"/>
      <c r="L84" s="16" t="n"/>
      <c r="M84" s="14" t="n"/>
      <c r="N84" s="15">
        <f>IF($C84="","",COUNTIFS(nrSK_PID,$D84,nrSK_Cat,$E84))</f>
        <v/>
      </c>
      <c r="O84" s="15">
        <f>IF($C84="","",_xlfn.LET(_xlpm.latest,_xlfn.MAXIFS(nrSK_Att,nrSK_PID,$D84,nrSK_Cat,$E84),_xlpm.res,IF($I84=_xlpm.latest,$J84,""),IF($I84&lt;&gt;_xlpm.latest,"(superseded)",IF(_xlpm.res="","Pending",IF(_xlpm.res="Pass","Qualified",IF(AND(_xlpm.res="Fail",$N84&gt;=$F84),"FAILED OUT","Needs Remediation"))))))</f>
        <v/>
      </c>
      <c r="P84" s="15">
        <f>IF($C84="","",IF($O84="FAILED OUT","Yes","No"))</f>
        <v/>
      </c>
      <c r="Q84" s="14" t="n"/>
    </row>
    <row r="85">
      <c r="B85" s="15">
        <f>IF($C85="","",$D85&amp;"-"&amp;$E85&amp;"-"&amp;$I85)</f>
        <v/>
      </c>
      <c r="C85" s="14" t="n"/>
      <c r="D85" s="15">
        <f>IF($C85="","",IFERROR(INDEX(rngCadetPIDs,MATCH($C85,rngCadetNames,0)),"?"))</f>
        <v/>
      </c>
      <c r="E85" s="14" t="n"/>
      <c r="F85" s="15">
        <f>IF($E85="","",IFERROR(INDEX(rngSM_max,MATCH($E85,rngSM_cat,0)),""))</f>
        <v/>
      </c>
      <c r="G85" s="15">
        <f>IF($E85="","",IFERROR(INDEX(rngSM_mode,MATCH($E85,rngSM_cat,0)),""))</f>
        <v/>
      </c>
      <c r="H85" s="15">
        <f>IF($E85="","",IFERROR(INDEX(rngSM_pass,MATCH($E85,rngSM_cat,0)),""))</f>
        <v/>
      </c>
      <c r="I85" s="14" t="n"/>
      <c r="J85" s="14" t="n"/>
      <c r="K85" s="14" t="n"/>
      <c r="L85" s="16" t="n"/>
      <c r="M85" s="14" t="n"/>
      <c r="N85" s="15">
        <f>IF($C85="","",COUNTIFS(nrSK_PID,$D85,nrSK_Cat,$E85))</f>
        <v/>
      </c>
      <c r="O85" s="15">
        <f>IF($C85="","",_xlfn.LET(_xlpm.latest,_xlfn.MAXIFS(nrSK_Att,nrSK_PID,$D85,nrSK_Cat,$E85),_xlpm.res,IF($I85=_xlpm.latest,$J85,""),IF($I85&lt;&gt;_xlpm.latest,"(superseded)",IF(_xlpm.res="","Pending",IF(_xlpm.res="Pass","Qualified",IF(AND(_xlpm.res="Fail",$N85&gt;=$F85),"FAILED OUT","Needs Remediation"))))))</f>
        <v/>
      </c>
      <c r="P85" s="15">
        <f>IF($C85="","",IF($O85="FAILED OUT","Yes","No"))</f>
        <v/>
      </c>
      <c r="Q85" s="14" t="n"/>
    </row>
    <row r="86">
      <c r="B86" s="15">
        <f>IF($C86="","",$D86&amp;"-"&amp;$E86&amp;"-"&amp;$I86)</f>
        <v/>
      </c>
      <c r="C86" s="14" t="n"/>
      <c r="D86" s="15">
        <f>IF($C86="","",IFERROR(INDEX(rngCadetPIDs,MATCH($C86,rngCadetNames,0)),"?"))</f>
        <v/>
      </c>
      <c r="E86" s="14" t="n"/>
      <c r="F86" s="15">
        <f>IF($E86="","",IFERROR(INDEX(rngSM_max,MATCH($E86,rngSM_cat,0)),""))</f>
        <v/>
      </c>
      <c r="G86" s="15">
        <f>IF($E86="","",IFERROR(INDEX(rngSM_mode,MATCH($E86,rngSM_cat,0)),""))</f>
        <v/>
      </c>
      <c r="H86" s="15">
        <f>IF($E86="","",IFERROR(INDEX(rngSM_pass,MATCH($E86,rngSM_cat,0)),""))</f>
        <v/>
      </c>
      <c r="I86" s="14" t="n"/>
      <c r="J86" s="14" t="n"/>
      <c r="K86" s="14" t="n"/>
      <c r="L86" s="16" t="n"/>
      <c r="M86" s="14" t="n"/>
      <c r="N86" s="15">
        <f>IF($C86="","",COUNTIFS(nrSK_PID,$D86,nrSK_Cat,$E86))</f>
        <v/>
      </c>
      <c r="O86" s="15">
        <f>IF($C86="","",_xlfn.LET(_xlpm.latest,_xlfn.MAXIFS(nrSK_Att,nrSK_PID,$D86,nrSK_Cat,$E86),_xlpm.res,IF($I86=_xlpm.latest,$J86,""),IF($I86&lt;&gt;_xlpm.latest,"(superseded)",IF(_xlpm.res="","Pending",IF(_xlpm.res="Pass","Qualified",IF(AND(_xlpm.res="Fail",$N86&gt;=$F86),"FAILED OUT","Needs Remediation"))))))</f>
        <v/>
      </c>
      <c r="P86" s="15">
        <f>IF($C86="","",IF($O86="FAILED OUT","Yes","No"))</f>
        <v/>
      </c>
      <c r="Q86" s="14" t="n"/>
    </row>
    <row r="87">
      <c r="B87" s="15">
        <f>IF($C87="","",$D87&amp;"-"&amp;$E87&amp;"-"&amp;$I87)</f>
        <v/>
      </c>
      <c r="C87" s="14" t="n"/>
      <c r="D87" s="15">
        <f>IF($C87="","",IFERROR(INDEX(rngCadetPIDs,MATCH($C87,rngCadetNames,0)),"?"))</f>
        <v/>
      </c>
      <c r="E87" s="14" t="n"/>
      <c r="F87" s="15">
        <f>IF($E87="","",IFERROR(INDEX(rngSM_max,MATCH($E87,rngSM_cat,0)),""))</f>
        <v/>
      </c>
      <c r="G87" s="15">
        <f>IF($E87="","",IFERROR(INDEX(rngSM_mode,MATCH($E87,rngSM_cat,0)),""))</f>
        <v/>
      </c>
      <c r="H87" s="15">
        <f>IF($E87="","",IFERROR(INDEX(rngSM_pass,MATCH($E87,rngSM_cat,0)),""))</f>
        <v/>
      </c>
      <c r="I87" s="14" t="n"/>
      <c r="J87" s="14" t="n"/>
      <c r="K87" s="14" t="n"/>
      <c r="L87" s="16" t="n"/>
      <c r="M87" s="14" t="n"/>
      <c r="N87" s="15">
        <f>IF($C87="","",COUNTIFS(nrSK_PID,$D87,nrSK_Cat,$E87))</f>
        <v/>
      </c>
      <c r="O87" s="15">
        <f>IF($C87="","",_xlfn.LET(_xlpm.latest,_xlfn.MAXIFS(nrSK_Att,nrSK_PID,$D87,nrSK_Cat,$E87),_xlpm.res,IF($I87=_xlpm.latest,$J87,""),IF($I87&lt;&gt;_xlpm.latest,"(superseded)",IF(_xlpm.res="","Pending",IF(_xlpm.res="Pass","Qualified",IF(AND(_xlpm.res="Fail",$N87&gt;=$F87),"FAILED OUT","Needs Remediation"))))))</f>
        <v/>
      </c>
      <c r="P87" s="15">
        <f>IF($C87="","",IF($O87="FAILED OUT","Yes","No"))</f>
        <v/>
      </c>
      <c r="Q87" s="14" t="n"/>
    </row>
    <row r="88">
      <c r="B88" s="15">
        <f>IF($C88="","",$D88&amp;"-"&amp;$E88&amp;"-"&amp;$I88)</f>
        <v/>
      </c>
      <c r="C88" s="14" t="n"/>
      <c r="D88" s="15">
        <f>IF($C88="","",IFERROR(INDEX(rngCadetPIDs,MATCH($C88,rngCadetNames,0)),"?"))</f>
        <v/>
      </c>
      <c r="E88" s="14" t="n"/>
      <c r="F88" s="15">
        <f>IF($E88="","",IFERROR(INDEX(rngSM_max,MATCH($E88,rngSM_cat,0)),""))</f>
        <v/>
      </c>
      <c r="G88" s="15">
        <f>IF($E88="","",IFERROR(INDEX(rngSM_mode,MATCH($E88,rngSM_cat,0)),""))</f>
        <v/>
      </c>
      <c r="H88" s="15">
        <f>IF($E88="","",IFERROR(INDEX(rngSM_pass,MATCH($E88,rngSM_cat,0)),""))</f>
        <v/>
      </c>
      <c r="I88" s="14" t="n"/>
      <c r="J88" s="14" t="n"/>
      <c r="K88" s="14" t="n"/>
      <c r="L88" s="16" t="n"/>
      <c r="M88" s="14" t="n"/>
      <c r="N88" s="15">
        <f>IF($C88="","",COUNTIFS(nrSK_PID,$D88,nrSK_Cat,$E88))</f>
        <v/>
      </c>
      <c r="O88" s="15">
        <f>IF($C88="","",_xlfn.LET(_xlpm.latest,_xlfn.MAXIFS(nrSK_Att,nrSK_PID,$D88,nrSK_Cat,$E88),_xlpm.res,IF($I88=_xlpm.latest,$J88,""),IF($I88&lt;&gt;_xlpm.latest,"(superseded)",IF(_xlpm.res="","Pending",IF(_xlpm.res="Pass","Qualified",IF(AND(_xlpm.res="Fail",$N88&gt;=$F88),"FAILED OUT","Needs Remediation"))))))</f>
        <v/>
      </c>
      <c r="P88" s="15">
        <f>IF($C88="","",IF($O88="FAILED OUT","Yes","No"))</f>
        <v/>
      </c>
      <c r="Q88" s="14" t="n"/>
    </row>
    <row r="89">
      <c r="B89" s="15">
        <f>IF($C89="","",$D89&amp;"-"&amp;$E89&amp;"-"&amp;$I89)</f>
        <v/>
      </c>
      <c r="C89" s="14" t="n"/>
      <c r="D89" s="15">
        <f>IF($C89="","",IFERROR(INDEX(rngCadetPIDs,MATCH($C89,rngCadetNames,0)),"?"))</f>
        <v/>
      </c>
      <c r="E89" s="14" t="n"/>
      <c r="F89" s="15">
        <f>IF($E89="","",IFERROR(INDEX(rngSM_max,MATCH($E89,rngSM_cat,0)),""))</f>
        <v/>
      </c>
      <c r="G89" s="15">
        <f>IF($E89="","",IFERROR(INDEX(rngSM_mode,MATCH($E89,rngSM_cat,0)),""))</f>
        <v/>
      </c>
      <c r="H89" s="15">
        <f>IF($E89="","",IFERROR(INDEX(rngSM_pass,MATCH($E89,rngSM_cat,0)),""))</f>
        <v/>
      </c>
      <c r="I89" s="14" t="n"/>
      <c r="J89" s="14" t="n"/>
      <c r="K89" s="14" t="n"/>
      <c r="L89" s="16" t="n"/>
      <c r="M89" s="14" t="n"/>
      <c r="N89" s="15">
        <f>IF($C89="","",COUNTIFS(nrSK_PID,$D89,nrSK_Cat,$E89))</f>
        <v/>
      </c>
      <c r="O89" s="15">
        <f>IF($C89="","",_xlfn.LET(_xlpm.latest,_xlfn.MAXIFS(nrSK_Att,nrSK_PID,$D89,nrSK_Cat,$E89),_xlpm.res,IF($I89=_xlpm.latest,$J89,""),IF($I89&lt;&gt;_xlpm.latest,"(superseded)",IF(_xlpm.res="","Pending",IF(_xlpm.res="Pass","Qualified",IF(AND(_xlpm.res="Fail",$N89&gt;=$F89),"FAILED OUT","Needs Remediation"))))))</f>
        <v/>
      </c>
      <c r="P89" s="15">
        <f>IF($C89="","",IF($O89="FAILED OUT","Yes","No"))</f>
        <v/>
      </c>
      <c r="Q89" s="14" t="n"/>
    </row>
    <row r="90">
      <c r="B90" s="15">
        <f>IF($C90="","",$D90&amp;"-"&amp;$E90&amp;"-"&amp;$I90)</f>
        <v/>
      </c>
      <c r="C90" s="14" t="n"/>
      <c r="D90" s="15">
        <f>IF($C90="","",IFERROR(INDEX(rngCadetPIDs,MATCH($C90,rngCadetNames,0)),"?"))</f>
        <v/>
      </c>
      <c r="E90" s="14" t="n"/>
      <c r="F90" s="15">
        <f>IF($E90="","",IFERROR(INDEX(rngSM_max,MATCH($E90,rngSM_cat,0)),""))</f>
        <v/>
      </c>
      <c r="G90" s="15">
        <f>IF($E90="","",IFERROR(INDEX(rngSM_mode,MATCH($E90,rngSM_cat,0)),""))</f>
        <v/>
      </c>
      <c r="H90" s="15">
        <f>IF($E90="","",IFERROR(INDEX(rngSM_pass,MATCH($E90,rngSM_cat,0)),""))</f>
        <v/>
      </c>
      <c r="I90" s="14" t="n"/>
      <c r="J90" s="14" t="n"/>
      <c r="K90" s="14" t="n"/>
      <c r="L90" s="16" t="n"/>
      <c r="M90" s="14" t="n"/>
      <c r="N90" s="15">
        <f>IF($C90="","",COUNTIFS(nrSK_PID,$D90,nrSK_Cat,$E90))</f>
        <v/>
      </c>
      <c r="O90" s="15">
        <f>IF($C90="","",_xlfn.LET(_xlpm.latest,_xlfn.MAXIFS(nrSK_Att,nrSK_PID,$D90,nrSK_Cat,$E90),_xlpm.res,IF($I90=_xlpm.latest,$J90,""),IF($I90&lt;&gt;_xlpm.latest,"(superseded)",IF(_xlpm.res="","Pending",IF(_xlpm.res="Pass","Qualified",IF(AND(_xlpm.res="Fail",$N90&gt;=$F90),"FAILED OUT","Needs Remediation"))))))</f>
        <v/>
      </c>
      <c r="P90" s="15">
        <f>IF($C90="","",IF($O90="FAILED OUT","Yes","No"))</f>
        <v/>
      </c>
      <c r="Q90" s="14" t="n"/>
    </row>
    <row r="91">
      <c r="B91" s="15">
        <f>IF($C91="","",$D91&amp;"-"&amp;$E91&amp;"-"&amp;$I91)</f>
        <v/>
      </c>
      <c r="C91" s="14" t="n"/>
      <c r="D91" s="15">
        <f>IF($C91="","",IFERROR(INDEX(rngCadetPIDs,MATCH($C91,rngCadetNames,0)),"?"))</f>
        <v/>
      </c>
      <c r="E91" s="14" t="n"/>
      <c r="F91" s="15">
        <f>IF($E91="","",IFERROR(INDEX(rngSM_max,MATCH($E91,rngSM_cat,0)),""))</f>
        <v/>
      </c>
      <c r="G91" s="15">
        <f>IF($E91="","",IFERROR(INDEX(rngSM_mode,MATCH($E91,rngSM_cat,0)),""))</f>
        <v/>
      </c>
      <c r="H91" s="15">
        <f>IF($E91="","",IFERROR(INDEX(rngSM_pass,MATCH($E91,rngSM_cat,0)),""))</f>
        <v/>
      </c>
      <c r="I91" s="14" t="n"/>
      <c r="J91" s="14" t="n"/>
      <c r="K91" s="14" t="n"/>
      <c r="L91" s="16" t="n"/>
      <c r="M91" s="14" t="n"/>
      <c r="N91" s="15">
        <f>IF($C91="","",COUNTIFS(nrSK_PID,$D91,nrSK_Cat,$E91))</f>
        <v/>
      </c>
      <c r="O91" s="15">
        <f>IF($C91="","",_xlfn.LET(_xlpm.latest,_xlfn.MAXIFS(nrSK_Att,nrSK_PID,$D91,nrSK_Cat,$E91),_xlpm.res,IF($I91=_xlpm.latest,$J91,""),IF($I91&lt;&gt;_xlpm.latest,"(superseded)",IF(_xlpm.res="","Pending",IF(_xlpm.res="Pass","Qualified",IF(AND(_xlpm.res="Fail",$N91&gt;=$F91),"FAILED OUT","Needs Remediation"))))))</f>
        <v/>
      </c>
      <c r="P91" s="15">
        <f>IF($C91="","",IF($O91="FAILED OUT","Yes","No"))</f>
        <v/>
      </c>
      <c r="Q91" s="14" t="n"/>
    </row>
    <row r="92">
      <c r="B92" s="15">
        <f>IF($C92="","",$D92&amp;"-"&amp;$E92&amp;"-"&amp;$I92)</f>
        <v/>
      </c>
      <c r="C92" s="14" t="n"/>
      <c r="D92" s="15">
        <f>IF($C92="","",IFERROR(INDEX(rngCadetPIDs,MATCH($C92,rngCadetNames,0)),"?"))</f>
        <v/>
      </c>
      <c r="E92" s="14" t="n"/>
      <c r="F92" s="15">
        <f>IF($E92="","",IFERROR(INDEX(rngSM_max,MATCH($E92,rngSM_cat,0)),""))</f>
        <v/>
      </c>
      <c r="G92" s="15">
        <f>IF($E92="","",IFERROR(INDEX(rngSM_mode,MATCH($E92,rngSM_cat,0)),""))</f>
        <v/>
      </c>
      <c r="H92" s="15">
        <f>IF($E92="","",IFERROR(INDEX(rngSM_pass,MATCH($E92,rngSM_cat,0)),""))</f>
        <v/>
      </c>
      <c r="I92" s="14" t="n"/>
      <c r="J92" s="14" t="n"/>
      <c r="K92" s="14" t="n"/>
      <c r="L92" s="16" t="n"/>
      <c r="M92" s="14" t="n"/>
      <c r="N92" s="15">
        <f>IF($C92="","",COUNTIFS(nrSK_PID,$D92,nrSK_Cat,$E92))</f>
        <v/>
      </c>
      <c r="O92" s="15">
        <f>IF($C92="","",_xlfn.LET(_xlpm.latest,_xlfn.MAXIFS(nrSK_Att,nrSK_PID,$D92,nrSK_Cat,$E92),_xlpm.res,IF($I92=_xlpm.latest,$J92,""),IF($I92&lt;&gt;_xlpm.latest,"(superseded)",IF(_xlpm.res="","Pending",IF(_xlpm.res="Pass","Qualified",IF(AND(_xlpm.res="Fail",$N92&gt;=$F92),"FAILED OUT","Needs Remediation"))))))</f>
        <v/>
      </c>
      <c r="P92" s="15">
        <f>IF($C92="","",IF($O92="FAILED OUT","Yes","No"))</f>
        <v/>
      </c>
      <c r="Q92" s="14" t="n"/>
    </row>
    <row r="93">
      <c r="B93" s="15">
        <f>IF($C93="","",$D93&amp;"-"&amp;$E93&amp;"-"&amp;$I93)</f>
        <v/>
      </c>
      <c r="C93" s="14" t="n"/>
      <c r="D93" s="15">
        <f>IF($C93="","",IFERROR(INDEX(rngCadetPIDs,MATCH($C93,rngCadetNames,0)),"?"))</f>
        <v/>
      </c>
      <c r="E93" s="14" t="n"/>
      <c r="F93" s="15">
        <f>IF($E93="","",IFERROR(INDEX(rngSM_max,MATCH($E93,rngSM_cat,0)),""))</f>
        <v/>
      </c>
      <c r="G93" s="15">
        <f>IF($E93="","",IFERROR(INDEX(rngSM_mode,MATCH($E93,rngSM_cat,0)),""))</f>
        <v/>
      </c>
      <c r="H93" s="15">
        <f>IF($E93="","",IFERROR(INDEX(rngSM_pass,MATCH($E93,rngSM_cat,0)),""))</f>
        <v/>
      </c>
      <c r="I93" s="14" t="n"/>
      <c r="J93" s="14" t="n"/>
      <c r="K93" s="14" t="n"/>
      <c r="L93" s="16" t="n"/>
      <c r="M93" s="14" t="n"/>
      <c r="N93" s="15">
        <f>IF($C93="","",COUNTIFS(nrSK_PID,$D93,nrSK_Cat,$E93))</f>
        <v/>
      </c>
      <c r="O93" s="15">
        <f>IF($C93="","",_xlfn.LET(_xlpm.latest,_xlfn.MAXIFS(nrSK_Att,nrSK_PID,$D93,nrSK_Cat,$E93),_xlpm.res,IF($I93=_xlpm.latest,$J93,""),IF($I93&lt;&gt;_xlpm.latest,"(superseded)",IF(_xlpm.res="","Pending",IF(_xlpm.res="Pass","Qualified",IF(AND(_xlpm.res="Fail",$N93&gt;=$F93),"FAILED OUT","Needs Remediation"))))))</f>
        <v/>
      </c>
      <c r="P93" s="15">
        <f>IF($C93="","",IF($O93="FAILED OUT","Yes","No"))</f>
        <v/>
      </c>
      <c r="Q93" s="14" t="n"/>
    </row>
    <row r="94">
      <c r="B94" s="15">
        <f>IF($C94="","",$D94&amp;"-"&amp;$E94&amp;"-"&amp;$I94)</f>
        <v/>
      </c>
      <c r="C94" s="14" t="n"/>
      <c r="D94" s="15">
        <f>IF($C94="","",IFERROR(INDEX(rngCadetPIDs,MATCH($C94,rngCadetNames,0)),"?"))</f>
        <v/>
      </c>
      <c r="E94" s="14" t="n"/>
      <c r="F94" s="15">
        <f>IF($E94="","",IFERROR(INDEX(rngSM_max,MATCH($E94,rngSM_cat,0)),""))</f>
        <v/>
      </c>
      <c r="G94" s="15">
        <f>IF($E94="","",IFERROR(INDEX(rngSM_mode,MATCH($E94,rngSM_cat,0)),""))</f>
        <v/>
      </c>
      <c r="H94" s="15">
        <f>IF($E94="","",IFERROR(INDEX(rngSM_pass,MATCH($E94,rngSM_cat,0)),""))</f>
        <v/>
      </c>
      <c r="I94" s="14" t="n"/>
      <c r="J94" s="14" t="n"/>
      <c r="K94" s="14" t="n"/>
      <c r="L94" s="16" t="n"/>
      <c r="M94" s="14" t="n"/>
      <c r="N94" s="15">
        <f>IF($C94="","",COUNTIFS(nrSK_PID,$D94,nrSK_Cat,$E94))</f>
        <v/>
      </c>
      <c r="O94" s="15">
        <f>IF($C94="","",_xlfn.LET(_xlpm.latest,_xlfn.MAXIFS(nrSK_Att,nrSK_PID,$D94,nrSK_Cat,$E94),_xlpm.res,IF($I94=_xlpm.latest,$J94,""),IF($I94&lt;&gt;_xlpm.latest,"(superseded)",IF(_xlpm.res="","Pending",IF(_xlpm.res="Pass","Qualified",IF(AND(_xlpm.res="Fail",$N94&gt;=$F94),"FAILED OUT","Needs Remediation"))))))</f>
        <v/>
      </c>
      <c r="P94" s="15">
        <f>IF($C94="","",IF($O94="FAILED OUT","Yes","No"))</f>
        <v/>
      </c>
      <c r="Q94" s="14" t="n"/>
    </row>
    <row r="95">
      <c r="B95" s="15">
        <f>IF($C95="","",$D95&amp;"-"&amp;$E95&amp;"-"&amp;$I95)</f>
        <v/>
      </c>
      <c r="C95" s="14" t="n"/>
      <c r="D95" s="15">
        <f>IF($C95="","",IFERROR(INDEX(rngCadetPIDs,MATCH($C95,rngCadetNames,0)),"?"))</f>
        <v/>
      </c>
      <c r="E95" s="14" t="n"/>
      <c r="F95" s="15">
        <f>IF($E95="","",IFERROR(INDEX(rngSM_max,MATCH($E95,rngSM_cat,0)),""))</f>
        <v/>
      </c>
      <c r="G95" s="15">
        <f>IF($E95="","",IFERROR(INDEX(rngSM_mode,MATCH($E95,rngSM_cat,0)),""))</f>
        <v/>
      </c>
      <c r="H95" s="15">
        <f>IF($E95="","",IFERROR(INDEX(rngSM_pass,MATCH($E95,rngSM_cat,0)),""))</f>
        <v/>
      </c>
      <c r="I95" s="14" t="n"/>
      <c r="J95" s="14" t="n"/>
      <c r="K95" s="14" t="n"/>
      <c r="L95" s="16" t="n"/>
      <c r="M95" s="14" t="n"/>
      <c r="N95" s="15">
        <f>IF($C95="","",COUNTIFS(nrSK_PID,$D95,nrSK_Cat,$E95))</f>
        <v/>
      </c>
      <c r="O95" s="15">
        <f>IF($C95="","",_xlfn.LET(_xlpm.latest,_xlfn.MAXIFS(nrSK_Att,nrSK_PID,$D95,nrSK_Cat,$E95),_xlpm.res,IF($I95=_xlpm.latest,$J95,""),IF($I95&lt;&gt;_xlpm.latest,"(superseded)",IF(_xlpm.res="","Pending",IF(_xlpm.res="Pass","Qualified",IF(AND(_xlpm.res="Fail",$N95&gt;=$F95),"FAILED OUT","Needs Remediation"))))))</f>
        <v/>
      </c>
      <c r="P95" s="15">
        <f>IF($C95="","",IF($O95="FAILED OUT","Yes","No"))</f>
        <v/>
      </c>
      <c r="Q95" s="14" t="n"/>
    </row>
    <row r="96">
      <c r="B96" s="15">
        <f>IF($C96="","",$D96&amp;"-"&amp;$E96&amp;"-"&amp;$I96)</f>
        <v/>
      </c>
      <c r="C96" s="14" t="n"/>
      <c r="D96" s="15">
        <f>IF($C96="","",IFERROR(INDEX(rngCadetPIDs,MATCH($C96,rngCadetNames,0)),"?"))</f>
        <v/>
      </c>
      <c r="E96" s="14" t="n"/>
      <c r="F96" s="15">
        <f>IF($E96="","",IFERROR(INDEX(rngSM_max,MATCH($E96,rngSM_cat,0)),""))</f>
        <v/>
      </c>
      <c r="G96" s="15">
        <f>IF($E96="","",IFERROR(INDEX(rngSM_mode,MATCH($E96,rngSM_cat,0)),""))</f>
        <v/>
      </c>
      <c r="H96" s="15">
        <f>IF($E96="","",IFERROR(INDEX(rngSM_pass,MATCH($E96,rngSM_cat,0)),""))</f>
        <v/>
      </c>
      <c r="I96" s="14" t="n"/>
      <c r="J96" s="14" t="n"/>
      <c r="K96" s="14" t="n"/>
      <c r="L96" s="16" t="n"/>
      <c r="M96" s="14" t="n"/>
      <c r="N96" s="15">
        <f>IF($C96="","",COUNTIFS(nrSK_PID,$D96,nrSK_Cat,$E96))</f>
        <v/>
      </c>
      <c r="O96" s="15">
        <f>IF($C96="","",_xlfn.LET(_xlpm.latest,_xlfn.MAXIFS(nrSK_Att,nrSK_PID,$D96,nrSK_Cat,$E96),_xlpm.res,IF($I96=_xlpm.latest,$J96,""),IF($I96&lt;&gt;_xlpm.latest,"(superseded)",IF(_xlpm.res="","Pending",IF(_xlpm.res="Pass","Qualified",IF(AND(_xlpm.res="Fail",$N96&gt;=$F96),"FAILED OUT","Needs Remediation"))))))</f>
        <v/>
      </c>
      <c r="P96" s="15">
        <f>IF($C96="","",IF($O96="FAILED OUT","Yes","No"))</f>
        <v/>
      </c>
      <c r="Q96" s="14" t="n"/>
    </row>
    <row r="97">
      <c r="B97" s="15">
        <f>IF($C97="","",$D97&amp;"-"&amp;$E97&amp;"-"&amp;$I97)</f>
        <v/>
      </c>
      <c r="C97" s="14" t="n"/>
      <c r="D97" s="15">
        <f>IF($C97="","",IFERROR(INDEX(rngCadetPIDs,MATCH($C97,rngCadetNames,0)),"?"))</f>
        <v/>
      </c>
      <c r="E97" s="14" t="n"/>
      <c r="F97" s="15">
        <f>IF($E97="","",IFERROR(INDEX(rngSM_max,MATCH($E97,rngSM_cat,0)),""))</f>
        <v/>
      </c>
      <c r="G97" s="15">
        <f>IF($E97="","",IFERROR(INDEX(rngSM_mode,MATCH($E97,rngSM_cat,0)),""))</f>
        <v/>
      </c>
      <c r="H97" s="15">
        <f>IF($E97="","",IFERROR(INDEX(rngSM_pass,MATCH($E97,rngSM_cat,0)),""))</f>
        <v/>
      </c>
      <c r="I97" s="14" t="n"/>
      <c r="J97" s="14" t="n"/>
      <c r="K97" s="14" t="n"/>
      <c r="L97" s="16" t="n"/>
      <c r="M97" s="14" t="n"/>
      <c r="N97" s="15">
        <f>IF($C97="","",COUNTIFS(nrSK_PID,$D97,nrSK_Cat,$E97))</f>
        <v/>
      </c>
      <c r="O97" s="15">
        <f>IF($C97="","",_xlfn.LET(_xlpm.latest,_xlfn.MAXIFS(nrSK_Att,nrSK_PID,$D97,nrSK_Cat,$E97),_xlpm.res,IF($I97=_xlpm.latest,$J97,""),IF($I97&lt;&gt;_xlpm.latest,"(superseded)",IF(_xlpm.res="","Pending",IF(_xlpm.res="Pass","Qualified",IF(AND(_xlpm.res="Fail",$N97&gt;=$F97),"FAILED OUT","Needs Remediation"))))))</f>
        <v/>
      </c>
      <c r="P97" s="15">
        <f>IF($C97="","",IF($O97="FAILED OUT","Yes","No"))</f>
        <v/>
      </c>
      <c r="Q97" s="14" t="n"/>
    </row>
    <row r="98">
      <c r="B98" s="15">
        <f>IF($C98="","",$D98&amp;"-"&amp;$E98&amp;"-"&amp;$I98)</f>
        <v/>
      </c>
      <c r="C98" s="14" t="n"/>
      <c r="D98" s="15">
        <f>IF($C98="","",IFERROR(INDEX(rngCadetPIDs,MATCH($C98,rngCadetNames,0)),"?"))</f>
        <v/>
      </c>
      <c r="E98" s="14" t="n"/>
      <c r="F98" s="15">
        <f>IF($E98="","",IFERROR(INDEX(rngSM_max,MATCH($E98,rngSM_cat,0)),""))</f>
        <v/>
      </c>
      <c r="G98" s="15">
        <f>IF($E98="","",IFERROR(INDEX(rngSM_mode,MATCH($E98,rngSM_cat,0)),""))</f>
        <v/>
      </c>
      <c r="H98" s="15">
        <f>IF($E98="","",IFERROR(INDEX(rngSM_pass,MATCH($E98,rngSM_cat,0)),""))</f>
        <v/>
      </c>
      <c r="I98" s="14" t="n"/>
      <c r="J98" s="14" t="n"/>
      <c r="K98" s="14" t="n"/>
      <c r="L98" s="16" t="n"/>
      <c r="M98" s="14" t="n"/>
      <c r="N98" s="15">
        <f>IF($C98="","",COUNTIFS(nrSK_PID,$D98,nrSK_Cat,$E98))</f>
        <v/>
      </c>
      <c r="O98" s="15">
        <f>IF($C98="","",_xlfn.LET(_xlpm.latest,_xlfn.MAXIFS(nrSK_Att,nrSK_PID,$D98,nrSK_Cat,$E98),_xlpm.res,IF($I98=_xlpm.latest,$J98,""),IF($I98&lt;&gt;_xlpm.latest,"(superseded)",IF(_xlpm.res="","Pending",IF(_xlpm.res="Pass","Qualified",IF(AND(_xlpm.res="Fail",$N98&gt;=$F98),"FAILED OUT","Needs Remediation"))))))</f>
        <v/>
      </c>
      <c r="P98" s="15">
        <f>IF($C98="","",IF($O98="FAILED OUT","Yes","No"))</f>
        <v/>
      </c>
      <c r="Q98" s="14" t="n"/>
    </row>
    <row r="99">
      <c r="B99" s="15">
        <f>IF($C99="","",$D99&amp;"-"&amp;$E99&amp;"-"&amp;$I99)</f>
        <v/>
      </c>
      <c r="C99" s="14" t="n"/>
      <c r="D99" s="15">
        <f>IF($C99="","",IFERROR(INDEX(rngCadetPIDs,MATCH($C99,rngCadetNames,0)),"?"))</f>
        <v/>
      </c>
      <c r="E99" s="14" t="n"/>
      <c r="F99" s="15">
        <f>IF($E99="","",IFERROR(INDEX(rngSM_max,MATCH($E99,rngSM_cat,0)),""))</f>
        <v/>
      </c>
      <c r="G99" s="15">
        <f>IF($E99="","",IFERROR(INDEX(rngSM_mode,MATCH($E99,rngSM_cat,0)),""))</f>
        <v/>
      </c>
      <c r="H99" s="15">
        <f>IF($E99="","",IFERROR(INDEX(rngSM_pass,MATCH($E99,rngSM_cat,0)),""))</f>
        <v/>
      </c>
      <c r="I99" s="14" t="n"/>
      <c r="J99" s="14" t="n"/>
      <c r="K99" s="14" t="n"/>
      <c r="L99" s="16" t="n"/>
      <c r="M99" s="14" t="n"/>
      <c r="N99" s="15">
        <f>IF($C99="","",COUNTIFS(nrSK_PID,$D99,nrSK_Cat,$E99))</f>
        <v/>
      </c>
      <c r="O99" s="15">
        <f>IF($C99="","",_xlfn.LET(_xlpm.latest,_xlfn.MAXIFS(nrSK_Att,nrSK_PID,$D99,nrSK_Cat,$E99),_xlpm.res,IF($I99=_xlpm.latest,$J99,""),IF($I99&lt;&gt;_xlpm.latest,"(superseded)",IF(_xlpm.res="","Pending",IF(_xlpm.res="Pass","Qualified",IF(AND(_xlpm.res="Fail",$N99&gt;=$F99),"FAILED OUT","Needs Remediation"))))))</f>
        <v/>
      </c>
      <c r="P99" s="15">
        <f>IF($C99="","",IF($O99="FAILED OUT","Yes","No"))</f>
        <v/>
      </c>
      <c r="Q99" s="14" t="n"/>
    </row>
    <row r="100">
      <c r="B100" s="15">
        <f>IF($C100="","",$D100&amp;"-"&amp;$E100&amp;"-"&amp;$I100)</f>
        <v/>
      </c>
      <c r="C100" s="14" t="n"/>
      <c r="D100" s="15">
        <f>IF($C100="","",IFERROR(INDEX(rngCadetPIDs,MATCH($C100,rngCadetNames,0)),"?"))</f>
        <v/>
      </c>
      <c r="E100" s="14" t="n"/>
      <c r="F100" s="15">
        <f>IF($E100="","",IFERROR(INDEX(rngSM_max,MATCH($E100,rngSM_cat,0)),""))</f>
        <v/>
      </c>
      <c r="G100" s="15">
        <f>IF($E100="","",IFERROR(INDEX(rngSM_mode,MATCH($E100,rngSM_cat,0)),""))</f>
        <v/>
      </c>
      <c r="H100" s="15">
        <f>IF($E100="","",IFERROR(INDEX(rngSM_pass,MATCH($E100,rngSM_cat,0)),""))</f>
        <v/>
      </c>
      <c r="I100" s="14" t="n"/>
      <c r="J100" s="14" t="n"/>
      <c r="K100" s="14" t="n"/>
      <c r="L100" s="16" t="n"/>
      <c r="M100" s="14" t="n"/>
      <c r="N100" s="15">
        <f>IF($C100="","",COUNTIFS(nrSK_PID,$D100,nrSK_Cat,$E100))</f>
        <v/>
      </c>
      <c r="O100" s="15">
        <f>IF($C100="","",_xlfn.LET(_xlpm.latest,_xlfn.MAXIFS(nrSK_Att,nrSK_PID,$D100,nrSK_Cat,$E100),_xlpm.res,IF($I100=_xlpm.latest,$J100,""),IF($I100&lt;&gt;_xlpm.latest,"(superseded)",IF(_xlpm.res="","Pending",IF(_xlpm.res="Pass","Qualified",IF(AND(_xlpm.res="Fail",$N100&gt;=$F100),"FAILED OUT","Needs Remediation"))))))</f>
        <v/>
      </c>
      <c r="P100" s="15">
        <f>IF($C100="","",IF($O100="FAILED OUT","Yes","No"))</f>
        <v/>
      </c>
      <c r="Q100" s="14" t="n"/>
    </row>
    <row r="101">
      <c r="B101" s="15">
        <f>IF($C101="","",$D101&amp;"-"&amp;$E101&amp;"-"&amp;$I101)</f>
        <v/>
      </c>
      <c r="C101" s="14" t="n"/>
      <c r="D101" s="15">
        <f>IF($C101="","",IFERROR(INDEX(rngCadetPIDs,MATCH($C101,rngCadetNames,0)),"?"))</f>
        <v/>
      </c>
      <c r="E101" s="14" t="n"/>
      <c r="F101" s="15">
        <f>IF($E101="","",IFERROR(INDEX(rngSM_max,MATCH($E101,rngSM_cat,0)),""))</f>
        <v/>
      </c>
      <c r="G101" s="15">
        <f>IF($E101="","",IFERROR(INDEX(rngSM_mode,MATCH($E101,rngSM_cat,0)),""))</f>
        <v/>
      </c>
      <c r="H101" s="15">
        <f>IF($E101="","",IFERROR(INDEX(rngSM_pass,MATCH($E101,rngSM_cat,0)),""))</f>
        <v/>
      </c>
      <c r="I101" s="14" t="n"/>
      <c r="J101" s="14" t="n"/>
      <c r="K101" s="14" t="n"/>
      <c r="L101" s="16" t="n"/>
      <c r="M101" s="14" t="n"/>
      <c r="N101" s="15">
        <f>IF($C101="","",COUNTIFS(nrSK_PID,$D101,nrSK_Cat,$E101))</f>
        <v/>
      </c>
      <c r="O101" s="15">
        <f>IF($C101="","",_xlfn.LET(_xlpm.latest,_xlfn.MAXIFS(nrSK_Att,nrSK_PID,$D101,nrSK_Cat,$E101),_xlpm.res,IF($I101=_xlpm.latest,$J101,""),IF($I101&lt;&gt;_xlpm.latest,"(superseded)",IF(_xlpm.res="","Pending",IF(_xlpm.res="Pass","Qualified",IF(AND(_xlpm.res="Fail",$N101&gt;=$F101),"FAILED OUT","Needs Remediation"))))))</f>
        <v/>
      </c>
      <c r="P101" s="15">
        <f>IF($C101="","",IF($O101="FAILED OUT","Yes","No"))</f>
        <v/>
      </c>
      <c r="Q101" s="14" t="n"/>
    </row>
    <row r="102">
      <c r="B102" s="15">
        <f>IF($C102="","",$D102&amp;"-"&amp;$E102&amp;"-"&amp;$I102)</f>
        <v/>
      </c>
      <c r="C102" s="14" t="n"/>
      <c r="D102" s="15">
        <f>IF($C102="","",IFERROR(INDEX(rngCadetPIDs,MATCH($C102,rngCadetNames,0)),"?"))</f>
        <v/>
      </c>
      <c r="E102" s="14" t="n"/>
      <c r="F102" s="15">
        <f>IF($E102="","",IFERROR(INDEX(rngSM_max,MATCH($E102,rngSM_cat,0)),""))</f>
        <v/>
      </c>
      <c r="G102" s="15">
        <f>IF($E102="","",IFERROR(INDEX(rngSM_mode,MATCH($E102,rngSM_cat,0)),""))</f>
        <v/>
      </c>
      <c r="H102" s="15">
        <f>IF($E102="","",IFERROR(INDEX(rngSM_pass,MATCH($E102,rngSM_cat,0)),""))</f>
        <v/>
      </c>
      <c r="I102" s="14" t="n"/>
      <c r="J102" s="14" t="n"/>
      <c r="K102" s="14" t="n"/>
      <c r="L102" s="16" t="n"/>
      <c r="M102" s="14" t="n"/>
      <c r="N102" s="15">
        <f>IF($C102="","",COUNTIFS(nrSK_PID,$D102,nrSK_Cat,$E102))</f>
        <v/>
      </c>
      <c r="O102" s="15">
        <f>IF($C102="","",_xlfn.LET(_xlpm.latest,_xlfn.MAXIFS(nrSK_Att,nrSK_PID,$D102,nrSK_Cat,$E102),_xlpm.res,IF($I102=_xlpm.latest,$J102,""),IF($I102&lt;&gt;_xlpm.latest,"(superseded)",IF(_xlpm.res="","Pending",IF(_xlpm.res="Pass","Qualified",IF(AND(_xlpm.res="Fail",$N102&gt;=$F102),"FAILED OUT","Needs Remediation"))))))</f>
        <v/>
      </c>
      <c r="P102" s="15">
        <f>IF($C102="","",IF($O102="FAILED OUT","Yes","No"))</f>
        <v/>
      </c>
      <c r="Q102" s="14" t="n"/>
    </row>
    <row r="103">
      <c r="B103" s="15">
        <f>IF($C103="","",$D103&amp;"-"&amp;$E103&amp;"-"&amp;$I103)</f>
        <v/>
      </c>
      <c r="C103" s="14" t="n"/>
      <c r="D103" s="15">
        <f>IF($C103="","",IFERROR(INDEX(rngCadetPIDs,MATCH($C103,rngCadetNames,0)),"?"))</f>
        <v/>
      </c>
      <c r="E103" s="14" t="n"/>
      <c r="F103" s="15">
        <f>IF($E103="","",IFERROR(INDEX(rngSM_max,MATCH($E103,rngSM_cat,0)),""))</f>
        <v/>
      </c>
      <c r="G103" s="15">
        <f>IF($E103="","",IFERROR(INDEX(rngSM_mode,MATCH($E103,rngSM_cat,0)),""))</f>
        <v/>
      </c>
      <c r="H103" s="15">
        <f>IF($E103="","",IFERROR(INDEX(rngSM_pass,MATCH($E103,rngSM_cat,0)),""))</f>
        <v/>
      </c>
      <c r="I103" s="14" t="n"/>
      <c r="J103" s="14" t="n"/>
      <c r="K103" s="14" t="n"/>
      <c r="L103" s="16" t="n"/>
      <c r="M103" s="14" t="n"/>
      <c r="N103" s="15">
        <f>IF($C103="","",COUNTIFS(nrSK_PID,$D103,nrSK_Cat,$E103))</f>
        <v/>
      </c>
      <c r="O103" s="15">
        <f>IF($C103="","",_xlfn.LET(_xlpm.latest,_xlfn.MAXIFS(nrSK_Att,nrSK_PID,$D103,nrSK_Cat,$E103),_xlpm.res,IF($I103=_xlpm.latest,$J103,""),IF($I103&lt;&gt;_xlpm.latest,"(superseded)",IF(_xlpm.res="","Pending",IF(_xlpm.res="Pass","Qualified",IF(AND(_xlpm.res="Fail",$N103&gt;=$F103),"FAILED OUT","Needs Remediation"))))))</f>
        <v/>
      </c>
      <c r="P103" s="15">
        <f>IF($C103="","",IF($O103="FAILED OUT","Yes","No"))</f>
        <v/>
      </c>
      <c r="Q103" s="14" t="n"/>
    </row>
    <row r="104">
      <c r="B104" s="15">
        <f>IF($C104="","",$D104&amp;"-"&amp;$E104&amp;"-"&amp;$I104)</f>
        <v/>
      </c>
      <c r="C104" s="14" t="n"/>
      <c r="D104" s="15">
        <f>IF($C104="","",IFERROR(INDEX(rngCadetPIDs,MATCH($C104,rngCadetNames,0)),"?"))</f>
        <v/>
      </c>
      <c r="E104" s="14" t="n"/>
      <c r="F104" s="15">
        <f>IF($E104="","",IFERROR(INDEX(rngSM_max,MATCH($E104,rngSM_cat,0)),""))</f>
        <v/>
      </c>
      <c r="G104" s="15">
        <f>IF($E104="","",IFERROR(INDEX(rngSM_mode,MATCH($E104,rngSM_cat,0)),""))</f>
        <v/>
      </c>
      <c r="H104" s="15">
        <f>IF($E104="","",IFERROR(INDEX(rngSM_pass,MATCH($E104,rngSM_cat,0)),""))</f>
        <v/>
      </c>
      <c r="I104" s="14" t="n"/>
      <c r="J104" s="14" t="n"/>
      <c r="K104" s="14" t="n"/>
      <c r="L104" s="16" t="n"/>
      <c r="M104" s="14" t="n"/>
      <c r="N104" s="15">
        <f>IF($C104="","",COUNTIFS(nrSK_PID,$D104,nrSK_Cat,$E104))</f>
        <v/>
      </c>
      <c r="O104" s="15">
        <f>IF($C104="","",_xlfn.LET(_xlpm.latest,_xlfn.MAXIFS(nrSK_Att,nrSK_PID,$D104,nrSK_Cat,$E104),_xlpm.res,IF($I104=_xlpm.latest,$J104,""),IF($I104&lt;&gt;_xlpm.latest,"(superseded)",IF(_xlpm.res="","Pending",IF(_xlpm.res="Pass","Qualified",IF(AND(_xlpm.res="Fail",$N104&gt;=$F104),"FAILED OUT","Needs Remediation"))))))</f>
        <v/>
      </c>
      <c r="P104" s="15">
        <f>IF($C104="","",IF($O104="FAILED OUT","Yes","No"))</f>
        <v/>
      </c>
      <c r="Q104" s="14" t="n"/>
    </row>
    <row r="105">
      <c r="B105" s="15">
        <f>IF($C105="","",$D105&amp;"-"&amp;$E105&amp;"-"&amp;$I105)</f>
        <v/>
      </c>
      <c r="C105" s="14" t="n"/>
      <c r="D105" s="15">
        <f>IF($C105="","",IFERROR(INDEX(rngCadetPIDs,MATCH($C105,rngCadetNames,0)),"?"))</f>
        <v/>
      </c>
      <c r="E105" s="14" t="n"/>
      <c r="F105" s="15">
        <f>IF($E105="","",IFERROR(INDEX(rngSM_max,MATCH($E105,rngSM_cat,0)),""))</f>
        <v/>
      </c>
      <c r="G105" s="15">
        <f>IF($E105="","",IFERROR(INDEX(rngSM_mode,MATCH($E105,rngSM_cat,0)),""))</f>
        <v/>
      </c>
      <c r="H105" s="15">
        <f>IF($E105="","",IFERROR(INDEX(rngSM_pass,MATCH($E105,rngSM_cat,0)),""))</f>
        <v/>
      </c>
      <c r="I105" s="14" t="n"/>
      <c r="J105" s="14" t="n"/>
      <c r="K105" s="14" t="n"/>
      <c r="L105" s="16" t="n"/>
      <c r="M105" s="14" t="n"/>
      <c r="N105" s="15">
        <f>IF($C105="","",COUNTIFS(nrSK_PID,$D105,nrSK_Cat,$E105))</f>
        <v/>
      </c>
      <c r="O105" s="15">
        <f>IF($C105="","",_xlfn.LET(_xlpm.latest,_xlfn.MAXIFS(nrSK_Att,nrSK_PID,$D105,nrSK_Cat,$E105),_xlpm.res,IF($I105=_xlpm.latest,$J105,""),IF($I105&lt;&gt;_xlpm.latest,"(superseded)",IF(_xlpm.res="","Pending",IF(_xlpm.res="Pass","Qualified",IF(AND(_xlpm.res="Fail",$N105&gt;=$F105),"FAILED OUT","Needs Remediation"))))))</f>
        <v/>
      </c>
      <c r="P105" s="15">
        <f>IF($C105="","",IF($O105="FAILED OUT","Yes","No"))</f>
        <v/>
      </c>
      <c r="Q105" s="14" t="n"/>
    </row>
    <row r="106">
      <c r="B106" s="15">
        <f>IF($C106="","",$D106&amp;"-"&amp;$E106&amp;"-"&amp;$I106)</f>
        <v/>
      </c>
      <c r="C106" s="14" t="n"/>
      <c r="D106" s="15">
        <f>IF($C106="","",IFERROR(INDEX(rngCadetPIDs,MATCH($C106,rngCadetNames,0)),"?"))</f>
        <v/>
      </c>
      <c r="E106" s="14" t="n"/>
      <c r="F106" s="15">
        <f>IF($E106="","",IFERROR(INDEX(rngSM_max,MATCH($E106,rngSM_cat,0)),""))</f>
        <v/>
      </c>
      <c r="G106" s="15">
        <f>IF($E106="","",IFERROR(INDEX(rngSM_mode,MATCH($E106,rngSM_cat,0)),""))</f>
        <v/>
      </c>
      <c r="H106" s="15">
        <f>IF($E106="","",IFERROR(INDEX(rngSM_pass,MATCH($E106,rngSM_cat,0)),""))</f>
        <v/>
      </c>
      <c r="I106" s="14" t="n"/>
      <c r="J106" s="14" t="n"/>
      <c r="K106" s="14" t="n"/>
      <c r="L106" s="16" t="n"/>
      <c r="M106" s="14" t="n"/>
      <c r="N106" s="15">
        <f>IF($C106="","",COUNTIFS(nrSK_PID,$D106,nrSK_Cat,$E106))</f>
        <v/>
      </c>
      <c r="O106" s="15">
        <f>IF($C106="","",_xlfn.LET(_xlpm.latest,_xlfn.MAXIFS(nrSK_Att,nrSK_PID,$D106,nrSK_Cat,$E106),_xlpm.res,IF($I106=_xlpm.latest,$J106,""),IF($I106&lt;&gt;_xlpm.latest,"(superseded)",IF(_xlpm.res="","Pending",IF(_xlpm.res="Pass","Qualified",IF(AND(_xlpm.res="Fail",$N106&gt;=$F106),"FAILED OUT","Needs Remediation"))))))</f>
        <v/>
      </c>
      <c r="P106" s="15">
        <f>IF($C106="","",IF($O106="FAILED OUT","Yes","No"))</f>
        <v/>
      </c>
      <c r="Q106" s="14" t="n"/>
    </row>
    <row r="107">
      <c r="B107" s="15">
        <f>IF($C107="","",$D107&amp;"-"&amp;$E107&amp;"-"&amp;$I107)</f>
        <v/>
      </c>
      <c r="C107" s="14" t="n"/>
      <c r="D107" s="15">
        <f>IF($C107="","",IFERROR(INDEX(rngCadetPIDs,MATCH($C107,rngCadetNames,0)),"?"))</f>
        <v/>
      </c>
      <c r="E107" s="14" t="n"/>
      <c r="F107" s="15">
        <f>IF($E107="","",IFERROR(INDEX(rngSM_max,MATCH($E107,rngSM_cat,0)),""))</f>
        <v/>
      </c>
      <c r="G107" s="15">
        <f>IF($E107="","",IFERROR(INDEX(rngSM_mode,MATCH($E107,rngSM_cat,0)),""))</f>
        <v/>
      </c>
      <c r="H107" s="15">
        <f>IF($E107="","",IFERROR(INDEX(rngSM_pass,MATCH($E107,rngSM_cat,0)),""))</f>
        <v/>
      </c>
      <c r="I107" s="14" t="n"/>
      <c r="J107" s="14" t="n"/>
      <c r="K107" s="14" t="n"/>
      <c r="L107" s="16" t="n"/>
      <c r="M107" s="14" t="n"/>
      <c r="N107" s="15">
        <f>IF($C107="","",COUNTIFS(nrSK_PID,$D107,nrSK_Cat,$E107))</f>
        <v/>
      </c>
      <c r="O107" s="15">
        <f>IF($C107="","",_xlfn.LET(_xlpm.latest,_xlfn.MAXIFS(nrSK_Att,nrSK_PID,$D107,nrSK_Cat,$E107),_xlpm.res,IF($I107=_xlpm.latest,$J107,""),IF($I107&lt;&gt;_xlpm.latest,"(superseded)",IF(_xlpm.res="","Pending",IF(_xlpm.res="Pass","Qualified",IF(AND(_xlpm.res="Fail",$N107&gt;=$F107),"FAILED OUT","Needs Remediation"))))))</f>
        <v/>
      </c>
      <c r="P107" s="15">
        <f>IF($C107="","",IF($O107="FAILED OUT","Yes","No"))</f>
        <v/>
      </c>
      <c r="Q107" s="14" t="n"/>
    </row>
    <row r="108">
      <c r="B108" s="15">
        <f>IF($C108="","",$D108&amp;"-"&amp;$E108&amp;"-"&amp;$I108)</f>
        <v/>
      </c>
      <c r="C108" s="14" t="n"/>
      <c r="D108" s="15">
        <f>IF($C108="","",IFERROR(INDEX(rngCadetPIDs,MATCH($C108,rngCadetNames,0)),"?"))</f>
        <v/>
      </c>
      <c r="E108" s="14" t="n"/>
      <c r="F108" s="15">
        <f>IF($E108="","",IFERROR(INDEX(rngSM_max,MATCH($E108,rngSM_cat,0)),""))</f>
        <v/>
      </c>
      <c r="G108" s="15">
        <f>IF($E108="","",IFERROR(INDEX(rngSM_mode,MATCH($E108,rngSM_cat,0)),""))</f>
        <v/>
      </c>
      <c r="H108" s="15">
        <f>IF($E108="","",IFERROR(INDEX(rngSM_pass,MATCH($E108,rngSM_cat,0)),""))</f>
        <v/>
      </c>
      <c r="I108" s="14" t="n"/>
      <c r="J108" s="14" t="n"/>
      <c r="K108" s="14" t="n"/>
      <c r="L108" s="16" t="n"/>
      <c r="M108" s="14" t="n"/>
      <c r="N108" s="15">
        <f>IF($C108="","",COUNTIFS(nrSK_PID,$D108,nrSK_Cat,$E108))</f>
        <v/>
      </c>
      <c r="O108" s="15">
        <f>IF($C108="","",_xlfn.LET(_xlpm.latest,_xlfn.MAXIFS(nrSK_Att,nrSK_PID,$D108,nrSK_Cat,$E108),_xlpm.res,IF($I108=_xlpm.latest,$J108,""),IF($I108&lt;&gt;_xlpm.latest,"(superseded)",IF(_xlpm.res="","Pending",IF(_xlpm.res="Pass","Qualified",IF(AND(_xlpm.res="Fail",$N108&gt;=$F108),"FAILED OUT","Needs Remediation"))))))</f>
        <v/>
      </c>
      <c r="P108" s="15">
        <f>IF($C108="","",IF($O108="FAILED OUT","Yes","No"))</f>
        <v/>
      </c>
      <c r="Q108" s="14" t="n"/>
    </row>
    <row r="109">
      <c r="B109" s="15">
        <f>IF($C109="","",$D109&amp;"-"&amp;$E109&amp;"-"&amp;$I109)</f>
        <v/>
      </c>
      <c r="C109" s="14" t="n"/>
      <c r="D109" s="15">
        <f>IF($C109="","",IFERROR(INDEX(rngCadetPIDs,MATCH($C109,rngCadetNames,0)),"?"))</f>
        <v/>
      </c>
      <c r="E109" s="14" t="n"/>
      <c r="F109" s="15">
        <f>IF($E109="","",IFERROR(INDEX(rngSM_max,MATCH($E109,rngSM_cat,0)),""))</f>
        <v/>
      </c>
      <c r="G109" s="15">
        <f>IF($E109="","",IFERROR(INDEX(rngSM_mode,MATCH($E109,rngSM_cat,0)),""))</f>
        <v/>
      </c>
      <c r="H109" s="15">
        <f>IF($E109="","",IFERROR(INDEX(rngSM_pass,MATCH($E109,rngSM_cat,0)),""))</f>
        <v/>
      </c>
      <c r="I109" s="14" t="n"/>
      <c r="J109" s="14" t="n"/>
      <c r="K109" s="14" t="n"/>
      <c r="L109" s="16" t="n"/>
      <c r="M109" s="14" t="n"/>
      <c r="N109" s="15">
        <f>IF($C109="","",COUNTIFS(nrSK_PID,$D109,nrSK_Cat,$E109))</f>
        <v/>
      </c>
      <c r="O109" s="15">
        <f>IF($C109="","",_xlfn.LET(_xlpm.latest,_xlfn.MAXIFS(nrSK_Att,nrSK_PID,$D109,nrSK_Cat,$E109),_xlpm.res,IF($I109=_xlpm.latest,$J109,""),IF($I109&lt;&gt;_xlpm.latest,"(superseded)",IF(_xlpm.res="","Pending",IF(_xlpm.res="Pass","Qualified",IF(AND(_xlpm.res="Fail",$N109&gt;=$F109),"FAILED OUT","Needs Remediation"))))))</f>
        <v/>
      </c>
      <c r="P109" s="15">
        <f>IF($C109="","",IF($O109="FAILED OUT","Yes","No"))</f>
        <v/>
      </c>
      <c r="Q109" s="14" t="n"/>
    </row>
    <row r="110">
      <c r="B110" s="15">
        <f>IF($C110="","",$D110&amp;"-"&amp;$E110&amp;"-"&amp;$I110)</f>
        <v/>
      </c>
      <c r="C110" s="14" t="n"/>
      <c r="D110" s="15">
        <f>IF($C110="","",IFERROR(INDEX(rngCadetPIDs,MATCH($C110,rngCadetNames,0)),"?"))</f>
        <v/>
      </c>
      <c r="E110" s="14" t="n"/>
      <c r="F110" s="15">
        <f>IF($E110="","",IFERROR(INDEX(rngSM_max,MATCH($E110,rngSM_cat,0)),""))</f>
        <v/>
      </c>
      <c r="G110" s="15">
        <f>IF($E110="","",IFERROR(INDEX(rngSM_mode,MATCH($E110,rngSM_cat,0)),""))</f>
        <v/>
      </c>
      <c r="H110" s="15">
        <f>IF($E110="","",IFERROR(INDEX(rngSM_pass,MATCH($E110,rngSM_cat,0)),""))</f>
        <v/>
      </c>
      <c r="I110" s="14" t="n"/>
      <c r="J110" s="14" t="n"/>
      <c r="K110" s="14" t="n"/>
      <c r="L110" s="16" t="n"/>
      <c r="M110" s="14" t="n"/>
      <c r="N110" s="15">
        <f>IF($C110="","",COUNTIFS(nrSK_PID,$D110,nrSK_Cat,$E110))</f>
        <v/>
      </c>
      <c r="O110" s="15">
        <f>IF($C110="","",_xlfn.LET(_xlpm.latest,_xlfn.MAXIFS(nrSK_Att,nrSK_PID,$D110,nrSK_Cat,$E110),_xlpm.res,IF($I110=_xlpm.latest,$J110,""),IF($I110&lt;&gt;_xlpm.latest,"(superseded)",IF(_xlpm.res="","Pending",IF(_xlpm.res="Pass","Qualified",IF(AND(_xlpm.res="Fail",$N110&gt;=$F110),"FAILED OUT","Needs Remediation"))))))</f>
        <v/>
      </c>
      <c r="P110" s="15">
        <f>IF($C110="","",IF($O110="FAILED OUT","Yes","No"))</f>
        <v/>
      </c>
      <c r="Q110" s="14" t="n"/>
    </row>
    <row r="111">
      <c r="B111" s="15">
        <f>IF($C111="","",$D111&amp;"-"&amp;$E111&amp;"-"&amp;$I111)</f>
        <v/>
      </c>
      <c r="C111" s="14" t="n"/>
      <c r="D111" s="15">
        <f>IF($C111="","",IFERROR(INDEX(rngCadetPIDs,MATCH($C111,rngCadetNames,0)),"?"))</f>
        <v/>
      </c>
      <c r="E111" s="14" t="n"/>
      <c r="F111" s="15">
        <f>IF($E111="","",IFERROR(INDEX(rngSM_max,MATCH($E111,rngSM_cat,0)),""))</f>
        <v/>
      </c>
      <c r="G111" s="15">
        <f>IF($E111="","",IFERROR(INDEX(rngSM_mode,MATCH($E111,rngSM_cat,0)),""))</f>
        <v/>
      </c>
      <c r="H111" s="15">
        <f>IF($E111="","",IFERROR(INDEX(rngSM_pass,MATCH($E111,rngSM_cat,0)),""))</f>
        <v/>
      </c>
      <c r="I111" s="14" t="n"/>
      <c r="J111" s="14" t="n"/>
      <c r="K111" s="14" t="n"/>
      <c r="L111" s="16" t="n"/>
      <c r="M111" s="14" t="n"/>
      <c r="N111" s="15">
        <f>IF($C111="","",COUNTIFS(nrSK_PID,$D111,nrSK_Cat,$E111))</f>
        <v/>
      </c>
      <c r="O111" s="15">
        <f>IF($C111="","",_xlfn.LET(_xlpm.latest,_xlfn.MAXIFS(nrSK_Att,nrSK_PID,$D111,nrSK_Cat,$E111),_xlpm.res,IF($I111=_xlpm.latest,$J111,""),IF($I111&lt;&gt;_xlpm.latest,"(superseded)",IF(_xlpm.res="","Pending",IF(_xlpm.res="Pass","Qualified",IF(AND(_xlpm.res="Fail",$N111&gt;=$F111),"FAILED OUT","Needs Remediation"))))))</f>
        <v/>
      </c>
      <c r="P111" s="15">
        <f>IF($C111="","",IF($O111="FAILED OUT","Yes","No"))</f>
        <v/>
      </c>
      <c r="Q111" s="14" t="n"/>
    </row>
    <row r="112">
      <c r="B112" s="15">
        <f>IF($C112="","",$D112&amp;"-"&amp;$E112&amp;"-"&amp;$I112)</f>
        <v/>
      </c>
      <c r="C112" s="14" t="n"/>
      <c r="D112" s="15">
        <f>IF($C112="","",IFERROR(INDEX(rngCadetPIDs,MATCH($C112,rngCadetNames,0)),"?"))</f>
        <v/>
      </c>
      <c r="E112" s="14" t="n"/>
      <c r="F112" s="15">
        <f>IF($E112="","",IFERROR(INDEX(rngSM_max,MATCH($E112,rngSM_cat,0)),""))</f>
        <v/>
      </c>
      <c r="G112" s="15">
        <f>IF($E112="","",IFERROR(INDEX(rngSM_mode,MATCH($E112,rngSM_cat,0)),""))</f>
        <v/>
      </c>
      <c r="H112" s="15">
        <f>IF($E112="","",IFERROR(INDEX(rngSM_pass,MATCH($E112,rngSM_cat,0)),""))</f>
        <v/>
      </c>
      <c r="I112" s="14" t="n"/>
      <c r="J112" s="14" t="n"/>
      <c r="K112" s="14" t="n"/>
      <c r="L112" s="16" t="n"/>
      <c r="M112" s="14" t="n"/>
      <c r="N112" s="15">
        <f>IF($C112="","",COUNTIFS(nrSK_PID,$D112,nrSK_Cat,$E112))</f>
        <v/>
      </c>
      <c r="O112" s="15">
        <f>IF($C112="","",_xlfn.LET(_xlpm.latest,_xlfn.MAXIFS(nrSK_Att,nrSK_PID,$D112,nrSK_Cat,$E112),_xlpm.res,IF($I112=_xlpm.latest,$J112,""),IF($I112&lt;&gt;_xlpm.latest,"(superseded)",IF(_xlpm.res="","Pending",IF(_xlpm.res="Pass","Qualified",IF(AND(_xlpm.res="Fail",$N112&gt;=$F112),"FAILED OUT","Needs Remediation"))))))</f>
        <v/>
      </c>
      <c r="P112" s="15">
        <f>IF($C112="","",IF($O112="FAILED OUT","Yes","No"))</f>
        <v/>
      </c>
      <c r="Q112" s="14" t="n"/>
    </row>
    <row r="113">
      <c r="B113" s="15">
        <f>IF($C113="","",$D113&amp;"-"&amp;$E113&amp;"-"&amp;$I113)</f>
        <v/>
      </c>
      <c r="C113" s="14" t="n"/>
      <c r="D113" s="15">
        <f>IF($C113="","",IFERROR(INDEX(rngCadetPIDs,MATCH($C113,rngCadetNames,0)),"?"))</f>
        <v/>
      </c>
      <c r="E113" s="14" t="n"/>
      <c r="F113" s="15">
        <f>IF($E113="","",IFERROR(INDEX(rngSM_max,MATCH($E113,rngSM_cat,0)),""))</f>
        <v/>
      </c>
      <c r="G113" s="15">
        <f>IF($E113="","",IFERROR(INDEX(rngSM_mode,MATCH($E113,rngSM_cat,0)),""))</f>
        <v/>
      </c>
      <c r="H113" s="15">
        <f>IF($E113="","",IFERROR(INDEX(rngSM_pass,MATCH($E113,rngSM_cat,0)),""))</f>
        <v/>
      </c>
      <c r="I113" s="14" t="n"/>
      <c r="J113" s="14" t="n"/>
      <c r="K113" s="14" t="n"/>
      <c r="L113" s="16" t="n"/>
      <c r="M113" s="14" t="n"/>
      <c r="N113" s="15">
        <f>IF($C113="","",COUNTIFS(nrSK_PID,$D113,nrSK_Cat,$E113))</f>
        <v/>
      </c>
      <c r="O113" s="15">
        <f>IF($C113="","",_xlfn.LET(_xlpm.latest,_xlfn.MAXIFS(nrSK_Att,nrSK_PID,$D113,nrSK_Cat,$E113),_xlpm.res,IF($I113=_xlpm.latest,$J113,""),IF($I113&lt;&gt;_xlpm.latest,"(superseded)",IF(_xlpm.res="","Pending",IF(_xlpm.res="Pass","Qualified",IF(AND(_xlpm.res="Fail",$N113&gt;=$F113),"FAILED OUT","Needs Remediation"))))))</f>
        <v/>
      </c>
      <c r="P113" s="15">
        <f>IF($C113="","",IF($O113="FAILED OUT","Yes","No"))</f>
        <v/>
      </c>
      <c r="Q113" s="14" t="n"/>
    </row>
    <row r="114">
      <c r="B114" s="15">
        <f>IF($C114="","",$D114&amp;"-"&amp;$E114&amp;"-"&amp;$I114)</f>
        <v/>
      </c>
      <c r="C114" s="14" t="n"/>
      <c r="D114" s="15">
        <f>IF($C114="","",IFERROR(INDEX(rngCadetPIDs,MATCH($C114,rngCadetNames,0)),"?"))</f>
        <v/>
      </c>
      <c r="E114" s="14" t="n"/>
      <c r="F114" s="15">
        <f>IF($E114="","",IFERROR(INDEX(rngSM_max,MATCH($E114,rngSM_cat,0)),""))</f>
        <v/>
      </c>
      <c r="G114" s="15">
        <f>IF($E114="","",IFERROR(INDEX(rngSM_mode,MATCH($E114,rngSM_cat,0)),""))</f>
        <v/>
      </c>
      <c r="H114" s="15">
        <f>IF($E114="","",IFERROR(INDEX(rngSM_pass,MATCH($E114,rngSM_cat,0)),""))</f>
        <v/>
      </c>
      <c r="I114" s="14" t="n"/>
      <c r="J114" s="14" t="n"/>
      <c r="K114" s="14" t="n"/>
      <c r="L114" s="16" t="n"/>
      <c r="M114" s="14" t="n"/>
      <c r="N114" s="15">
        <f>IF($C114="","",COUNTIFS(nrSK_PID,$D114,nrSK_Cat,$E114))</f>
        <v/>
      </c>
      <c r="O114" s="15">
        <f>IF($C114="","",_xlfn.LET(_xlpm.latest,_xlfn.MAXIFS(nrSK_Att,nrSK_PID,$D114,nrSK_Cat,$E114),_xlpm.res,IF($I114=_xlpm.latest,$J114,""),IF($I114&lt;&gt;_xlpm.latest,"(superseded)",IF(_xlpm.res="","Pending",IF(_xlpm.res="Pass","Qualified",IF(AND(_xlpm.res="Fail",$N114&gt;=$F114),"FAILED OUT","Needs Remediation"))))))</f>
        <v/>
      </c>
      <c r="P114" s="15">
        <f>IF($C114="","",IF($O114="FAILED OUT","Yes","No"))</f>
        <v/>
      </c>
      <c r="Q114" s="14" t="n"/>
    </row>
    <row r="115">
      <c r="B115" s="15">
        <f>IF($C115="","",$D115&amp;"-"&amp;$E115&amp;"-"&amp;$I115)</f>
        <v/>
      </c>
      <c r="C115" s="14" t="n"/>
      <c r="D115" s="15">
        <f>IF($C115="","",IFERROR(INDEX(rngCadetPIDs,MATCH($C115,rngCadetNames,0)),"?"))</f>
        <v/>
      </c>
      <c r="E115" s="14" t="n"/>
      <c r="F115" s="15">
        <f>IF($E115="","",IFERROR(INDEX(rngSM_max,MATCH($E115,rngSM_cat,0)),""))</f>
        <v/>
      </c>
      <c r="G115" s="15">
        <f>IF($E115="","",IFERROR(INDEX(rngSM_mode,MATCH($E115,rngSM_cat,0)),""))</f>
        <v/>
      </c>
      <c r="H115" s="15">
        <f>IF($E115="","",IFERROR(INDEX(rngSM_pass,MATCH($E115,rngSM_cat,0)),""))</f>
        <v/>
      </c>
      <c r="I115" s="14" t="n"/>
      <c r="J115" s="14" t="n"/>
      <c r="K115" s="14" t="n"/>
      <c r="L115" s="16" t="n"/>
      <c r="M115" s="14" t="n"/>
      <c r="N115" s="15">
        <f>IF($C115="","",COUNTIFS(nrSK_PID,$D115,nrSK_Cat,$E115))</f>
        <v/>
      </c>
      <c r="O115" s="15">
        <f>IF($C115="","",_xlfn.LET(_xlpm.latest,_xlfn.MAXIFS(nrSK_Att,nrSK_PID,$D115,nrSK_Cat,$E115),_xlpm.res,IF($I115=_xlpm.latest,$J115,""),IF($I115&lt;&gt;_xlpm.latest,"(superseded)",IF(_xlpm.res="","Pending",IF(_xlpm.res="Pass","Qualified",IF(AND(_xlpm.res="Fail",$N115&gt;=$F115),"FAILED OUT","Needs Remediation"))))))</f>
        <v/>
      </c>
      <c r="P115" s="15">
        <f>IF($C115="","",IF($O115="FAILED OUT","Yes","No"))</f>
        <v/>
      </c>
      <c r="Q115" s="14" t="n"/>
    </row>
    <row r="116">
      <c r="B116" s="15">
        <f>IF($C116="","",$D116&amp;"-"&amp;$E116&amp;"-"&amp;$I116)</f>
        <v/>
      </c>
      <c r="C116" s="14" t="n"/>
      <c r="D116" s="15">
        <f>IF($C116="","",IFERROR(INDEX(rngCadetPIDs,MATCH($C116,rngCadetNames,0)),"?"))</f>
        <v/>
      </c>
      <c r="E116" s="14" t="n"/>
      <c r="F116" s="15">
        <f>IF($E116="","",IFERROR(INDEX(rngSM_max,MATCH($E116,rngSM_cat,0)),""))</f>
        <v/>
      </c>
      <c r="G116" s="15">
        <f>IF($E116="","",IFERROR(INDEX(rngSM_mode,MATCH($E116,rngSM_cat,0)),""))</f>
        <v/>
      </c>
      <c r="H116" s="15">
        <f>IF($E116="","",IFERROR(INDEX(rngSM_pass,MATCH($E116,rngSM_cat,0)),""))</f>
        <v/>
      </c>
      <c r="I116" s="14" t="n"/>
      <c r="J116" s="14" t="n"/>
      <c r="K116" s="14" t="n"/>
      <c r="L116" s="16" t="n"/>
      <c r="M116" s="14" t="n"/>
      <c r="N116" s="15">
        <f>IF($C116="","",COUNTIFS(nrSK_PID,$D116,nrSK_Cat,$E116))</f>
        <v/>
      </c>
      <c r="O116" s="15">
        <f>IF($C116="","",_xlfn.LET(_xlpm.latest,_xlfn.MAXIFS(nrSK_Att,nrSK_PID,$D116,nrSK_Cat,$E116),_xlpm.res,IF($I116=_xlpm.latest,$J116,""),IF($I116&lt;&gt;_xlpm.latest,"(superseded)",IF(_xlpm.res="","Pending",IF(_xlpm.res="Pass","Qualified",IF(AND(_xlpm.res="Fail",$N116&gt;=$F116),"FAILED OUT","Needs Remediation"))))))</f>
        <v/>
      </c>
      <c r="P116" s="15">
        <f>IF($C116="","",IF($O116="FAILED OUT","Yes","No"))</f>
        <v/>
      </c>
      <c r="Q116" s="14" t="n"/>
    </row>
    <row r="117">
      <c r="B117" s="15">
        <f>IF($C117="","",$D117&amp;"-"&amp;$E117&amp;"-"&amp;$I117)</f>
        <v/>
      </c>
      <c r="C117" s="14" t="n"/>
      <c r="D117" s="15">
        <f>IF($C117="","",IFERROR(INDEX(rngCadetPIDs,MATCH($C117,rngCadetNames,0)),"?"))</f>
        <v/>
      </c>
      <c r="E117" s="14" t="n"/>
      <c r="F117" s="15">
        <f>IF($E117="","",IFERROR(INDEX(rngSM_max,MATCH($E117,rngSM_cat,0)),""))</f>
        <v/>
      </c>
      <c r="G117" s="15">
        <f>IF($E117="","",IFERROR(INDEX(rngSM_mode,MATCH($E117,rngSM_cat,0)),""))</f>
        <v/>
      </c>
      <c r="H117" s="15">
        <f>IF($E117="","",IFERROR(INDEX(rngSM_pass,MATCH($E117,rngSM_cat,0)),""))</f>
        <v/>
      </c>
      <c r="I117" s="14" t="n"/>
      <c r="J117" s="14" t="n"/>
      <c r="K117" s="14" t="n"/>
      <c r="L117" s="16" t="n"/>
      <c r="M117" s="14" t="n"/>
      <c r="N117" s="15">
        <f>IF($C117="","",COUNTIFS(nrSK_PID,$D117,nrSK_Cat,$E117))</f>
        <v/>
      </c>
      <c r="O117" s="15">
        <f>IF($C117="","",_xlfn.LET(_xlpm.latest,_xlfn.MAXIFS(nrSK_Att,nrSK_PID,$D117,nrSK_Cat,$E117),_xlpm.res,IF($I117=_xlpm.latest,$J117,""),IF($I117&lt;&gt;_xlpm.latest,"(superseded)",IF(_xlpm.res="","Pending",IF(_xlpm.res="Pass","Qualified",IF(AND(_xlpm.res="Fail",$N117&gt;=$F117),"FAILED OUT","Needs Remediation"))))))</f>
        <v/>
      </c>
      <c r="P117" s="15">
        <f>IF($C117="","",IF($O117="FAILED OUT","Yes","No"))</f>
        <v/>
      </c>
      <c r="Q117" s="14" t="n"/>
    </row>
    <row r="118">
      <c r="B118" s="15">
        <f>IF($C118="","",$D118&amp;"-"&amp;$E118&amp;"-"&amp;$I118)</f>
        <v/>
      </c>
      <c r="C118" s="14" t="n"/>
      <c r="D118" s="15">
        <f>IF($C118="","",IFERROR(INDEX(rngCadetPIDs,MATCH($C118,rngCadetNames,0)),"?"))</f>
        <v/>
      </c>
      <c r="E118" s="14" t="n"/>
      <c r="F118" s="15">
        <f>IF($E118="","",IFERROR(INDEX(rngSM_max,MATCH($E118,rngSM_cat,0)),""))</f>
        <v/>
      </c>
      <c r="G118" s="15">
        <f>IF($E118="","",IFERROR(INDEX(rngSM_mode,MATCH($E118,rngSM_cat,0)),""))</f>
        <v/>
      </c>
      <c r="H118" s="15">
        <f>IF($E118="","",IFERROR(INDEX(rngSM_pass,MATCH($E118,rngSM_cat,0)),""))</f>
        <v/>
      </c>
      <c r="I118" s="14" t="n"/>
      <c r="J118" s="14" t="n"/>
      <c r="K118" s="14" t="n"/>
      <c r="L118" s="16" t="n"/>
      <c r="M118" s="14" t="n"/>
      <c r="N118" s="15">
        <f>IF($C118="","",COUNTIFS(nrSK_PID,$D118,nrSK_Cat,$E118))</f>
        <v/>
      </c>
      <c r="O118" s="15">
        <f>IF($C118="","",_xlfn.LET(_xlpm.latest,_xlfn.MAXIFS(nrSK_Att,nrSK_PID,$D118,nrSK_Cat,$E118),_xlpm.res,IF($I118=_xlpm.latest,$J118,""),IF($I118&lt;&gt;_xlpm.latest,"(superseded)",IF(_xlpm.res="","Pending",IF(_xlpm.res="Pass","Qualified",IF(AND(_xlpm.res="Fail",$N118&gt;=$F118),"FAILED OUT","Needs Remediation"))))))</f>
        <v/>
      </c>
      <c r="P118" s="15">
        <f>IF($C118="","",IF($O118="FAILED OUT","Yes","No"))</f>
        <v/>
      </c>
      <c r="Q118" s="14" t="n"/>
    </row>
    <row r="119">
      <c r="B119" s="15">
        <f>IF($C119="","",$D119&amp;"-"&amp;$E119&amp;"-"&amp;$I119)</f>
        <v/>
      </c>
      <c r="C119" s="14" t="n"/>
      <c r="D119" s="15">
        <f>IF($C119="","",IFERROR(INDEX(rngCadetPIDs,MATCH($C119,rngCadetNames,0)),"?"))</f>
        <v/>
      </c>
      <c r="E119" s="14" t="n"/>
      <c r="F119" s="15">
        <f>IF($E119="","",IFERROR(INDEX(rngSM_max,MATCH($E119,rngSM_cat,0)),""))</f>
        <v/>
      </c>
      <c r="G119" s="15">
        <f>IF($E119="","",IFERROR(INDEX(rngSM_mode,MATCH($E119,rngSM_cat,0)),""))</f>
        <v/>
      </c>
      <c r="H119" s="15">
        <f>IF($E119="","",IFERROR(INDEX(rngSM_pass,MATCH($E119,rngSM_cat,0)),""))</f>
        <v/>
      </c>
      <c r="I119" s="14" t="n"/>
      <c r="J119" s="14" t="n"/>
      <c r="K119" s="14" t="n"/>
      <c r="L119" s="16" t="n"/>
      <c r="M119" s="14" t="n"/>
      <c r="N119" s="15">
        <f>IF($C119="","",COUNTIFS(nrSK_PID,$D119,nrSK_Cat,$E119))</f>
        <v/>
      </c>
      <c r="O119" s="15">
        <f>IF($C119="","",_xlfn.LET(_xlpm.latest,_xlfn.MAXIFS(nrSK_Att,nrSK_PID,$D119,nrSK_Cat,$E119),_xlpm.res,IF($I119=_xlpm.latest,$J119,""),IF($I119&lt;&gt;_xlpm.latest,"(superseded)",IF(_xlpm.res="","Pending",IF(_xlpm.res="Pass","Qualified",IF(AND(_xlpm.res="Fail",$N119&gt;=$F119),"FAILED OUT","Needs Remediation"))))))</f>
        <v/>
      </c>
      <c r="P119" s="15">
        <f>IF($C119="","",IF($O119="FAILED OUT","Yes","No"))</f>
        <v/>
      </c>
      <c r="Q119" s="14" t="n"/>
    </row>
    <row r="120">
      <c r="B120" s="15">
        <f>IF($C120="","",$D120&amp;"-"&amp;$E120&amp;"-"&amp;$I120)</f>
        <v/>
      </c>
      <c r="C120" s="14" t="n"/>
      <c r="D120" s="15">
        <f>IF($C120="","",IFERROR(INDEX(rngCadetPIDs,MATCH($C120,rngCadetNames,0)),"?"))</f>
        <v/>
      </c>
      <c r="E120" s="14" t="n"/>
      <c r="F120" s="15">
        <f>IF($E120="","",IFERROR(INDEX(rngSM_max,MATCH($E120,rngSM_cat,0)),""))</f>
        <v/>
      </c>
      <c r="G120" s="15">
        <f>IF($E120="","",IFERROR(INDEX(rngSM_mode,MATCH($E120,rngSM_cat,0)),""))</f>
        <v/>
      </c>
      <c r="H120" s="15">
        <f>IF($E120="","",IFERROR(INDEX(rngSM_pass,MATCH($E120,rngSM_cat,0)),""))</f>
        <v/>
      </c>
      <c r="I120" s="14" t="n"/>
      <c r="J120" s="14" t="n"/>
      <c r="K120" s="14" t="n"/>
      <c r="L120" s="16" t="n"/>
      <c r="M120" s="14" t="n"/>
      <c r="N120" s="15">
        <f>IF($C120="","",COUNTIFS(nrSK_PID,$D120,nrSK_Cat,$E120))</f>
        <v/>
      </c>
      <c r="O120" s="15">
        <f>IF($C120="","",_xlfn.LET(_xlpm.latest,_xlfn.MAXIFS(nrSK_Att,nrSK_PID,$D120,nrSK_Cat,$E120),_xlpm.res,IF($I120=_xlpm.latest,$J120,""),IF($I120&lt;&gt;_xlpm.latest,"(superseded)",IF(_xlpm.res="","Pending",IF(_xlpm.res="Pass","Qualified",IF(AND(_xlpm.res="Fail",$N120&gt;=$F120),"FAILED OUT","Needs Remediation"))))))</f>
        <v/>
      </c>
      <c r="P120" s="15">
        <f>IF($C120="","",IF($O120="FAILED OUT","Yes","No"))</f>
        <v/>
      </c>
      <c r="Q120" s="14" t="n"/>
    </row>
    <row r="121">
      <c r="B121" s="15">
        <f>IF($C121="","",$D121&amp;"-"&amp;$E121&amp;"-"&amp;$I121)</f>
        <v/>
      </c>
      <c r="C121" s="14" t="n"/>
      <c r="D121" s="15">
        <f>IF($C121="","",IFERROR(INDEX(rngCadetPIDs,MATCH($C121,rngCadetNames,0)),"?"))</f>
        <v/>
      </c>
      <c r="E121" s="14" t="n"/>
      <c r="F121" s="15">
        <f>IF($E121="","",IFERROR(INDEX(rngSM_max,MATCH($E121,rngSM_cat,0)),""))</f>
        <v/>
      </c>
      <c r="G121" s="15">
        <f>IF($E121="","",IFERROR(INDEX(rngSM_mode,MATCH($E121,rngSM_cat,0)),""))</f>
        <v/>
      </c>
      <c r="H121" s="15">
        <f>IF($E121="","",IFERROR(INDEX(rngSM_pass,MATCH($E121,rngSM_cat,0)),""))</f>
        <v/>
      </c>
      <c r="I121" s="14" t="n"/>
      <c r="J121" s="14" t="n"/>
      <c r="K121" s="14" t="n"/>
      <c r="L121" s="16" t="n"/>
      <c r="M121" s="14" t="n"/>
      <c r="N121" s="15">
        <f>IF($C121="","",COUNTIFS(nrSK_PID,$D121,nrSK_Cat,$E121))</f>
        <v/>
      </c>
      <c r="O121" s="15">
        <f>IF($C121="","",_xlfn.LET(_xlpm.latest,_xlfn.MAXIFS(nrSK_Att,nrSK_PID,$D121,nrSK_Cat,$E121),_xlpm.res,IF($I121=_xlpm.latest,$J121,""),IF($I121&lt;&gt;_xlpm.latest,"(superseded)",IF(_xlpm.res="","Pending",IF(_xlpm.res="Pass","Qualified",IF(AND(_xlpm.res="Fail",$N121&gt;=$F121),"FAILED OUT","Needs Remediation"))))))</f>
        <v/>
      </c>
      <c r="P121" s="15">
        <f>IF($C121="","",IF($O121="FAILED OUT","Yes","No"))</f>
        <v/>
      </c>
      <c r="Q121" s="14" t="n"/>
    </row>
    <row r="122">
      <c r="B122" s="15">
        <f>IF($C122="","",$D122&amp;"-"&amp;$E122&amp;"-"&amp;$I122)</f>
        <v/>
      </c>
      <c r="C122" s="14" t="n"/>
      <c r="D122" s="15">
        <f>IF($C122="","",IFERROR(INDEX(rngCadetPIDs,MATCH($C122,rngCadetNames,0)),"?"))</f>
        <v/>
      </c>
      <c r="E122" s="14" t="n"/>
      <c r="F122" s="15">
        <f>IF($E122="","",IFERROR(INDEX(rngSM_max,MATCH($E122,rngSM_cat,0)),""))</f>
        <v/>
      </c>
      <c r="G122" s="15">
        <f>IF($E122="","",IFERROR(INDEX(rngSM_mode,MATCH($E122,rngSM_cat,0)),""))</f>
        <v/>
      </c>
      <c r="H122" s="15">
        <f>IF($E122="","",IFERROR(INDEX(rngSM_pass,MATCH($E122,rngSM_cat,0)),""))</f>
        <v/>
      </c>
      <c r="I122" s="14" t="n"/>
      <c r="J122" s="14" t="n"/>
      <c r="K122" s="14" t="n"/>
      <c r="L122" s="16" t="n"/>
      <c r="M122" s="14" t="n"/>
      <c r="N122" s="15">
        <f>IF($C122="","",COUNTIFS(nrSK_PID,$D122,nrSK_Cat,$E122))</f>
        <v/>
      </c>
      <c r="O122" s="15">
        <f>IF($C122="","",_xlfn.LET(_xlpm.latest,_xlfn.MAXIFS(nrSK_Att,nrSK_PID,$D122,nrSK_Cat,$E122),_xlpm.res,IF($I122=_xlpm.latest,$J122,""),IF($I122&lt;&gt;_xlpm.latest,"(superseded)",IF(_xlpm.res="","Pending",IF(_xlpm.res="Pass","Qualified",IF(AND(_xlpm.res="Fail",$N122&gt;=$F122),"FAILED OUT","Needs Remediation"))))))</f>
        <v/>
      </c>
      <c r="P122" s="15">
        <f>IF($C122="","",IF($O122="FAILED OUT","Yes","No"))</f>
        <v/>
      </c>
      <c r="Q122" s="14" t="n"/>
    </row>
    <row r="123">
      <c r="B123" s="15">
        <f>IF($C123="","",$D123&amp;"-"&amp;$E123&amp;"-"&amp;$I123)</f>
        <v/>
      </c>
      <c r="C123" s="14" t="n"/>
      <c r="D123" s="15">
        <f>IF($C123="","",IFERROR(INDEX(rngCadetPIDs,MATCH($C123,rngCadetNames,0)),"?"))</f>
        <v/>
      </c>
      <c r="E123" s="14" t="n"/>
      <c r="F123" s="15">
        <f>IF($E123="","",IFERROR(INDEX(rngSM_max,MATCH($E123,rngSM_cat,0)),""))</f>
        <v/>
      </c>
      <c r="G123" s="15">
        <f>IF($E123="","",IFERROR(INDEX(rngSM_mode,MATCH($E123,rngSM_cat,0)),""))</f>
        <v/>
      </c>
      <c r="H123" s="15">
        <f>IF($E123="","",IFERROR(INDEX(rngSM_pass,MATCH($E123,rngSM_cat,0)),""))</f>
        <v/>
      </c>
      <c r="I123" s="14" t="n"/>
      <c r="J123" s="14" t="n"/>
      <c r="K123" s="14" t="n"/>
      <c r="L123" s="16" t="n"/>
      <c r="M123" s="14" t="n"/>
      <c r="N123" s="15">
        <f>IF($C123="","",COUNTIFS(nrSK_PID,$D123,nrSK_Cat,$E123))</f>
        <v/>
      </c>
      <c r="O123" s="15">
        <f>IF($C123="","",_xlfn.LET(_xlpm.latest,_xlfn.MAXIFS(nrSK_Att,nrSK_PID,$D123,nrSK_Cat,$E123),_xlpm.res,IF($I123=_xlpm.latest,$J123,""),IF($I123&lt;&gt;_xlpm.latest,"(superseded)",IF(_xlpm.res="","Pending",IF(_xlpm.res="Pass","Qualified",IF(AND(_xlpm.res="Fail",$N123&gt;=$F123),"FAILED OUT","Needs Remediation"))))))</f>
        <v/>
      </c>
      <c r="P123" s="15">
        <f>IF($C123="","",IF($O123="FAILED OUT","Yes","No"))</f>
        <v/>
      </c>
      <c r="Q123" s="14" t="n"/>
    </row>
    <row r="124">
      <c r="B124" s="15">
        <f>IF($C124="","",$D124&amp;"-"&amp;$E124&amp;"-"&amp;$I124)</f>
        <v/>
      </c>
      <c r="C124" s="14" t="n"/>
      <c r="D124" s="15">
        <f>IF($C124="","",IFERROR(INDEX(rngCadetPIDs,MATCH($C124,rngCadetNames,0)),"?"))</f>
        <v/>
      </c>
      <c r="E124" s="14" t="n"/>
      <c r="F124" s="15">
        <f>IF($E124="","",IFERROR(INDEX(rngSM_max,MATCH($E124,rngSM_cat,0)),""))</f>
        <v/>
      </c>
      <c r="G124" s="15">
        <f>IF($E124="","",IFERROR(INDEX(rngSM_mode,MATCH($E124,rngSM_cat,0)),""))</f>
        <v/>
      </c>
      <c r="H124" s="15">
        <f>IF($E124="","",IFERROR(INDEX(rngSM_pass,MATCH($E124,rngSM_cat,0)),""))</f>
        <v/>
      </c>
      <c r="I124" s="14" t="n"/>
      <c r="J124" s="14" t="n"/>
      <c r="K124" s="14" t="n"/>
      <c r="L124" s="16" t="n"/>
      <c r="M124" s="14" t="n"/>
      <c r="N124" s="15">
        <f>IF($C124="","",COUNTIFS(nrSK_PID,$D124,nrSK_Cat,$E124))</f>
        <v/>
      </c>
      <c r="O124" s="15">
        <f>IF($C124="","",_xlfn.LET(_xlpm.latest,_xlfn.MAXIFS(nrSK_Att,nrSK_PID,$D124,nrSK_Cat,$E124),_xlpm.res,IF($I124=_xlpm.latest,$J124,""),IF($I124&lt;&gt;_xlpm.latest,"(superseded)",IF(_xlpm.res="","Pending",IF(_xlpm.res="Pass","Qualified",IF(AND(_xlpm.res="Fail",$N124&gt;=$F124),"FAILED OUT","Needs Remediation"))))))</f>
        <v/>
      </c>
      <c r="P124" s="15">
        <f>IF($C124="","",IF($O124="FAILED OUT","Yes","No"))</f>
        <v/>
      </c>
      <c r="Q124" s="14" t="n"/>
    </row>
    <row r="125">
      <c r="B125" s="15">
        <f>IF($C125="","",$D125&amp;"-"&amp;$E125&amp;"-"&amp;$I125)</f>
        <v/>
      </c>
      <c r="C125" s="14" t="n"/>
      <c r="D125" s="15">
        <f>IF($C125="","",IFERROR(INDEX(rngCadetPIDs,MATCH($C125,rngCadetNames,0)),"?"))</f>
        <v/>
      </c>
      <c r="E125" s="14" t="n"/>
      <c r="F125" s="15">
        <f>IF($E125="","",IFERROR(INDEX(rngSM_max,MATCH($E125,rngSM_cat,0)),""))</f>
        <v/>
      </c>
      <c r="G125" s="15">
        <f>IF($E125="","",IFERROR(INDEX(rngSM_mode,MATCH($E125,rngSM_cat,0)),""))</f>
        <v/>
      </c>
      <c r="H125" s="15">
        <f>IF($E125="","",IFERROR(INDEX(rngSM_pass,MATCH($E125,rngSM_cat,0)),""))</f>
        <v/>
      </c>
      <c r="I125" s="14" t="n"/>
      <c r="J125" s="14" t="n"/>
      <c r="K125" s="14" t="n"/>
      <c r="L125" s="16" t="n"/>
      <c r="M125" s="14" t="n"/>
      <c r="N125" s="15">
        <f>IF($C125="","",COUNTIFS(nrSK_PID,$D125,nrSK_Cat,$E125))</f>
        <v/>
      </c>
      <c r="O125" s="15">
        <f>IF($C125="","",_xlfn.LET(_xlpm.latest,_xlfn.MAXIFS(nrSK_Att,nrSK_PID,$D125,nrSK_Cat,$E125),_xlpm.res,IF($I125=_xlpm.latest,$J125,""),IF($I125&lt;&gt;_xlpm.latest,"(superseded)",IF(_xlpm.res="","Pending",IF(_xlpm.res="Pass","Qualified",IF(AND(_xlpm.res="Fail",$N125&gt;=$F125),"FAILED OUT","Needs Remediation"))))))</f>
        <v/>
      </c>
      <c r="P125" s="15">
        <f>IF($C125="","",IF($O125="FAILED OUT","Yes","No"))</f>
        <v/>
      </c>
      <c r="Q125" s="14" t="n"/>
    </row>
    <row r="126">
      <c r="B126" s="15">
        <f>IF($C126="","",$D126&amp;"-"&amp;$E126&amp;"-"&amp;$I126)</f>
        <v/>
      </c>
      <c r="C126" s="14" t="n"/>
      <c r="D126" s="15">
        <f>IF($C126="","",IFERROR(INDEX(rngCadetPIDs,MATCH($C126,rngCadetNames,0)),"?"))</f>
        <v/>
      </c>
      <c r="E126" s="14" t="n"/>
      <c r="F126" s="15">
        <f>IF($E126="","",IFERROR(INDEX(rngSM_max,MATCH($E126,rngSM_cat,0)),""))</f>
        <v/>
      </c>
      <c r="G126" s="15">
        <f>IF($E126="","",IFERROR(INDEX(rngSM_mode,MATCH($E126,rngSM_cat,0)),""))</f>
        <v/>
      </c>
      <c r="H126" s="15">
        <f>IF($E126="","",IFERROR(INDEX(rngSM_pass,MATCH($E126,rngSM_cat,0)),""))</f>
        <v/>
      </c>
      <c r="I126" s="14" t="n"/>
      <c r="J126" s="14" t="n"/>
      <c r="K126" s="14" t="n"/>
      <c r="L126" s="16" t="n"/>
      <c r="M126" s="14" t="n"/>
      <c r="N126" s="15">
        <f>IF($C126="","",COUNTIFS(nrSK_PID,$D126,nrSK_Cat,$E126))</f>
        <v/>
      </c>
      <c r="O126" s="15">
        <f>IF($C126="","",_xlfn.LET(_xlpm.latest,_xlfn.MAXIFS(nrSK_Att,nrSK_PID,$D126,nrSK_Cat,$E126),_xlpm.res,IF($I126=_xlpm.latest,$J126,""),IF($I126&lt;&gt;_xlpm.latest,"(superseded)",IF(_xlpm.res="","Pending",IF(_xlpm.res="Pass","Qualified",IF(AND(_xlpm.res="Fail",$N126&gt;=$F126),"FAILED OUT","Needs Remediation"))))))</f>
        <v/>
      </c>
      <c r="P126" s="15">
        <f>IF($C126="","",IF($O126="FAILED OUT","Yes","No"))</f>
        <v/>
      </c>
      <c r="Q126" s="14" t="n"/>
    </row>
    <row r="127">
      <c r="B127" s="15">
        <f>IF($C127="","",$D127&amp;"-"&amp;$E127&amp;"-"&amp;$I127)</f>
        <v/>
      </c>
      <c r="C127" s="14" t="n"/>
      <c r="D127" s="15">
        <f>IF($C127="","",IFERROR(INDEX(rngCadetPIDs,MATCH($C127,rngCadetNames,0)),"?"))</f>
        <v/>
      </c>
      <c r="E127" s="14" t="n"/>
      <c r="F127" s="15">
        <f>IF($E127="","",IFERROR(INDEX(rngSM_max,MATCH($E127,rngSM_cat,0)),""))</f>
        <v/>
      </c>
      <c r="G127" s="15">
        <f>IF($E127="","",IFERROR(INDEX(rngSM_mode,MATCH($E127,rngSM_cat,0)),""))</f>
        <v/>
      </c>
      <c r="H127" s="15">
        <f>IF($E127="","",IFERROR(INDEX(rngSM_pass,MATCH($E127,rngSM_cat,0)),""))</f>
        <v/>
      </c>
      <c r="I127" s="14" t="n"/>
      <c r="J127" s="14" t="n"/>
      <c r="K127" s="14" t="n"/>
      <c r="L127" s="16" t="n"/>
      <c r="M127" s="14" t="n"/>
      <c r="N127" s="15">
        <f>IF($C127="","",COUNTIFS(nrSK_PID,$D127,nrSK_Cat,$E127))</f>
        <v/>
      </c>
      <c r="O127" s="15">
        <f>IF($C127="","",_xlfn.LET(_xlpm.latest,_xlfn.MAXIFS(nrSK_Att,nrSK_PID,$D127,nrSK_Cat,$E127),_xlpm.res,IF($I127=_xlpm.latest,$J127,""),IF($I127&lt;&gt;_xlpm.latest,"(superseded)",IF(_xlpm.res="","Pending",IF(_xlpm.res="Pass","Qualified",IF(AND(_xlpm.res="Fail",$N127&gt;=$F127),"FAILED OUT","Needs Remediation"))))))</f>
        <v/>
      </c>
      <c r="P127" s="15">
        <f>IF($C127="","",IF($O127="FAILED OUT","Yes","No"))</f>
        <v/>
      </c>
      <c r="Q127" s="14" t="n"/>
    </row>
    <row r="128">
      <c r="B128" s="15">
        <f>IF($C128="","",$D128&amp;"-"&amp;$E128&amp;"-"&amp;$I128)</f>
        <v/>
      </c>
      <c r="C128" s="14" t="n"/>
      <c r="D128" s="15">
        <f>IF($C128="","",IFERROR(INDEX(rngCadetPIDs,MATCH($C128,rngCadetNames,0)),"?"))</f>
        <v/>
      </c>
      <c r="E128" s="14" t="n"/>
      <c r="F128" s="15">
        <f>IF($E128="","",IFERROR(INDEX(rngSM_max,MATCH($E128,rngSM_cat,0)),""))</f>
        <v/>
      </c>
      <c r="G128" s="15">
        <f>IF($E128="","",IFERROR(INDEX(rngSM_mode,MATCH($E128,rngSM_cat,0)),""))</f>
        <v/>
      </c>
      <c r="H128" s="15">
        <f>IF($E128="","",IFERROR(INDEX(rngSM_pass,MATCH($E128,rngSM_cat,0)),""))</f>
        <v/>
      </c>
      <c r="I128" s="14" t="n"/>
      <c r="J128" s="14" t="n"/>
      <c r="K128" s="14" t="n"/>
      <c r="L128" s="16" t="n"/>
      <c r="M128" s="14" t="n"/>
      <c r="N128" s="15">
        <f>IF($C128="","",COUNTIFS(nrSK_PID,$D128,nrSK_Cat,$E128))</f>
        <v/>
      </c>
      <c r="O128" s="15">
        <f>IF($C128="","",_xlfn.LET(_xlpm.latest,_xlfn.MAXIFS(nrSK_Att,nrSK_PID,$D128,nrSK_Cat,$E128),_xlpm.res,IF($I128=_xlpm.latest,$J128,""),IF($I128&lt;&gt;_xlpm.latest,"(superseded)",IF(_xlpm.res="","Pending",IF(_xlpm.res="Pass","Qualified",IF(AND(_xlpm.res="Fail",$N128&gt;=$F128),"FAILED OUT","Needs Remediation"))))))</f>
        <v/>
      </c>
      <c r="P128" s="15">
        <f>IF($C128="","",IF($O128="FAILED OUT","Yes","No"))</f>
        <v/>
      </c>
      <c r="Q128" s="14" t="n"/>
    </row>
    <row r="129">
      <c r="B129" s="15">
        <f>IF($C129="","",$D129&amp;"-"&amp;$E129&amp;"-"&amp;$I129)</f>
        <v/>
      </c>
      <c r="C129" s="14" t="n"/>
      <c r="D129" s="15">
        <f>IF($C129="","",IFERROR(INDEX(rngCadetPIDs,MATCH($C129,rngCadetNames,0)),"?"))</f>
        <v/>
      </c>
      <c r="E129" s="14" t="n"/>
      <c r="F129" s="15">
        <f>IF($E129="","",IFERROR(INDEX(rngSM_max,MATCH($E129,rngSM_cat,0)),""))</f>
        <v/>
      </c>
      <c r="G129" s="15">
        <f>IF($E129="","",IFERROR(INDEX(rngSM_mode,MATCH($E129,rngSM_cat,0)),""))</f>
        <v/>
      </c>
      <c r="H129" s="15">
        <f>IF($E129="","",IFERROR(INDEX(rngSM_pass,MATCH($E129,rngSM_cat,0)),""))</f>
        <v/>
      </c>
      <c r="I129" s="14" t="n"/>
      <c r="J129" s="14" t="n"/>
      <c r="K129" s="14" t="n"/>
      <c r="L129" s="16" t="n"/>
      <c r="M129" s="14" t="n"/>
      <c r="N129" s="15">
        <f>IF($C129="","",COUNTIFS(nrSK_PID,$D129,nrSK_Cat,$E129))</f>
        <v/>
      </c>
      <c r="O129" s="15">
        <f>IF($C129="","",_xlfn.LET(_xlpm.latest,_xlfn.MAXIFS(nrSK_Att,nrSK_PID,$D129,nrSK_Cat,$E129),_xlpm.res,IF($I129=_xlpm.latest,$J129,""),IF($I129&lt;&gt;_xlpm.latest,"(superseded)",IF(_xlpm.res="","Pending",IF(_xlpm.res="Pass","Qualified",IF(AND(_xlpm.res="Fail",$N129&gt;=$F129),"FAILED OUT","Needs Remediation"))))))</f>
        <v/>
      </c>
      <c r="P129" s="15">
        <f>IF($C129="","",IF($O129="FAILED OUT","Yes","No"))</f>
        <v/>
      </c>
      <c r="Q129" s="14" t="n"/>
    </row>
    <row r="130">
      <c r="B130" s="15">
        <f>IF($C130="","",$D130&amp;"-"&amp;$E130&amp;"-"&amp;$I130)</f>
        <v/>
      </c>
      <c r="C130" s="14" t="n"/>
      <c r="D130" s="15">
        <f>IF($C130="","",IFERROR(INDEX(rngCadetPIDs,MATCH($C130,rngCadetNames,0)),"?"))</f>
        <v/>
      </c>
      <c r="E130" s="14" t="n"/>
      <c r="F130" s="15">
        <f>IF($E130="","",IFERROR(INDEX(rngSM_max,MATCH($E130,rngSM_cat,0)),""))</f>
        <v/>
      </c>
      <c r="G130" s="15">
        <f>IF($E130="","",IFERROR(INDEX(rngSM_mode,MATCH($E130,rngSM_cat,0)),""))</f>
        <v/>
      </c>
      <c r="H130" s="15">
        <f>IF($E130="","",IFERROR(INDEX(rngSM_pass,MATCH($E130,rngSM_cat,0)),""))</f>
        <v/>
      </c>
      <c r="I130" s="14" t="n"/>
      <c r="J130" s="14" t="n"/>
      <c r="K130" s="14" t="n"/>
      <c r="L130" s="16" t="n"/>
      <c r="M130" s="14" t="n"/>
      <c r="N130" s="15">
        <f>IF($C130="","",COUNTIFS(nrSK_PID,$D130,nrSK_Cat,$E130))</f>
        <v/>
      </c>
      <c r="O130" s="15">
        <f>IF($C130="","",_xlfn.LET(_xlpm.latest,_xlfn.MAXIFS(nrSK_Att,nrSK_PID,$D130,nrSK_Cat,$E130),_xlpm.res,IF($I130=_xlpm.latest,$J130,""),IF($I130&lt;&gt;_xlpm.latest,"(superseded)",IF(_xlpm.res="","Pending",IF(_xlpm.res="Pass","Qualified",IF(AND(_xlpm.res="Fail",$N130&gt;=$F130),"FAILED OUT","Needs Remediation"))))))</f>
        <v/>
      </c>
      <c r="P130" s="15">
        <f>IF($C130="","",IF($O130="FAILED OUT","Yes","No"))</f>
        <v/>
      </c>
      <c r="Q130" s="14" t="n"/>
    </row>
    <row r="131">
      <c r="B131" s="15">
        <f>IF($C131="","",$D131&amp;"-"&amp;$E131&amp;"-"&amp;$I131)</f>
        <v/>
      </c>
      <c r="C131" s="14" t="n"/>
      <c r="D131" s="15">
        <f>IF($C131="","",IFERROR(INDEX(rngCadetPIDs,MATCH($C131,rngCadetNames,0)),"?"))</f>
        <v/>
      </c>
      <c r="E131" s="14" t="n"/>
      <c r="F131" s="15">
        <f>IF($E131="","",IFERROR(INDEX(rngSM_max,MATCH($E131,rngSM_cat,0)),""))</f>
        <v/>
      </c>
      <c r="G131" s="15">
        <f>IF($E131="","",IFERROR(INDEX(rngSM_mode,MATCH($E131,rngSM_cat,0)),""))</f>
        <v/>
      </c>
      <c r="H131" s="15">
        <f>IF($E131="","",IFERROR(INDEX(rngSM_pass,MATCH($E131,rngSM_cat,0)),""))</f>
        <v/>
      </c>
      <c r="I131" s="14" t="n"/>
      <c r="J131" s="14" t="n"/>
      <c r="K131" s="14" t="n"/>
      <c r="L131" s="16" t="n"/>
      <c r="M131" s="14" t="n"/>
      <c r="N131" s="15">
        <f>IF($C131="","",COUNTIFS(nrSK_PID,$D131,nrSK_Cat,$E131))</f>
        <v/>
      </c>
      <c r="O131" s="15">
        <f>IF($C131="","",_xlfn.LET(_xlpm.latest,_xlfn.MAXIFS(nrSK_Att,nrSK_PID,$D131,nrSK_Cat,$E131),_xlpm.res,IF($I131=_xlpm.latest,$J131,""),IF($I131&lt;&gt;_xlpm.latest,"(superseded)",IF(_xlpm.res="","Pending",IF(_xlpm.res="Pass","Qualified",IF(AND(_xlpm.res="Fail",$N131&gt;=$F131),"FAILED OUT","Needs Remediation"))))))</f>
        <v/>
      </c>
      <c r="P131" s="15">
        <f>IF($C131="","",IF($O131="FAILED OUT","Yes","No"))</f>
        <v/>
      </c>
      <c r="Q131" s="14" t="n"/>
    </row>
    <row r="132">
      <c r="B132" s="15">
        <f>IF($C132="","",$D132&amp;"-"&amp;$E132&amp;"-"&amp;$I132)</f>
        <v/>
      </c>
      <c r="C132" s="14" t="n"/>
      <c r="D132" s="15">
        <f>IF($C132="","",IFERROR(INDEX(rngCadetPIDs,MATCH($C132,rngCadetNames,0)),"?"))</f>
        <v/>
      </c>
      <c r="E132" s="14" t="n"/>
      <c r="F132" s="15">
        <f>IF($E132="","",IFERROR(INDEX(rngSM_max,MATCH($E132,rngSM_cat,0)),""))</f>
        <v/>
      </c>
      <c r="G132" s="15">
        <f>IF($E132="","",IFERROR(INDEX(rngSM_mode,MATCH($E132,rngSM_cat,0)),""))</f>
        <v/>
      </c>
      <c r="H132" s="15">
        <f>IF($E132="","",IFERROR(INDEX(rngSM_pass,MATCH($E132,rngSM_cat,0)),""))</f>
        <v/>
      </c>
      <c r="I132" s="14" t="n"/>
      <c r="J132" s="14" t="n"/>
      <c r="K132" s="14" t="n"/>
      <c r="L132" s="16" t="n"/>
      <c r="M132" s="14" t="n"/>
      <c r="N132" s="15">
        <f>IF($C132="","",COUNTIFS(nrSK_PID,$D132,nrSK_Cat,$E132))</f>
        <v/>
      </c>
      <c r="O132" s="15">
        <f>IF($C132="","",_xlfn.LET(_xlpm.latest,_xlfn.MAXIFS(nrSK_Att,nrSK_PID,$D132,nrSK_Cat,$E132),_xlpm.res,IF($I132=_xlpm.latest,$J132,""),IF($I132&lt;&gt;_xlpm.latest,"(superseded)",IF(_xlpm.res="","Pending",IF(_xlpm.res="Pass","Qualified",IF(AND(_xlpm.res="Fail",$N132&gt;=$F132),"FAILED OUT","Needs Remediation"))))))</f>
        <v/>
      </c>
      <c r="P132" s="15">
        <f>IF($C132="","",IF($O132="FAILED OUT","Yes","No"))</f>
        <v/>
      </c>
      <c r="Q132" s="14" t="n"/>
    </row>
    <row r="133">
      <c r="B133" s="15">
        <f>IF($C133="","",$D133&amp;"-"&amp;$E133&amp;"-"&amp;$I133)</f>
        <v/>
      </c>
      <c r="C133" s="14" t="n"/>
      <c r="D133" s="15">
        <f>IF($C133="","",IFERROR(INDEX(rngCadetPIDs,MATCH($C133,rngCadetNames,0)),"?"))</f>
        <v/>
      </c>
      <c r="E133" s="14" t="n"/>
      <c r="F133" s="15">
        <f>IF($E133="","",IFERROR(INDEX(rngSM_max,MATCH($E133,rngSM_cat,0)),""))</f>
        <v/>
      </c>
      <c r="G133" s="15">
        <f>IF($E133="","",IFERROR(INDEX(rngSM_mode,MATCH($E133,rngSM_cat,0)),""))</f>
        <v/>
      </c>
      <c r="H133" s="15">
        <f>IF($E133="","",IFERROR(INDEX(rngSM_pass,MATCH($E133,rngSM_cat,0)),""))</f>
        <v/>
      </c>
      <c r="I133" s="14" t="n"/>
      <c r="J133" s="14" t="n"/>
      <c r="K133" s="14" t="n"/>
      <c r="L133" s="16" t="n"/>
      <c r="M133" s="14" t="n"/>
      <c r="N133" s="15">
        <f>IF($C133="","",COUNTIFS(nrSK_PID,$D133,nrSK_Cat,$E133))</f>
        <v/>
      </c>
      <c r="O133" s="15">
        <f>IF($C133="","",_xlfn.LET(_xlpm.latest,_xlfn.MAXIFS(nrSK_Att,nrSK_PID,$D133,nrSK_Cat,$E133),_xlpm.res,IF($I133=_xlpm.latest,$J133,""),IF($I133&lt;&gt;_xlpm.latest,"(superseded)",IF(_xlpm.res="","Pending",IF(_xlpm.res="Pass","Qualified",IF(AND(_xlpm.res="Fail",$N133&gt;=$F133),"FAILED OUT","Needs Remediation"))))))</f>
        <v/>
      </c>
      <c r="P133" s="15">
        <f>IF($C133="","",IF($O133="FAILED OUT","Yes","No"))</f>
        <v/>
      </c>
      <c r="Q133" s="14" t="n"/>
    </row>
    <row r="134">
      <c r="B134" s="15">
        <f>IF($C134="","",$D134&amp;"-"&amp;$E134&amp;"-"&amp;$I134)</f>
        <v/>
      </c>
      <c r="C134" s="14" t="n"/>
      <c r="D134" s="15">
        <f>IF($C134="","",IFERROR(INDEX(rngCadetPIDs,MATCH($C134,rngCadetNames,0)),"?"))</f>
        <v/>
      </c>
      <c r="E134" s="14" t="n"/>
      <c r="F134" s="15">
        <f>IF($E134="","",IFERROR(INDEX(rngSM_max,MATCH($E134,rngSM_cat,0)),""))</f>
        <v/>
      </c>
      <c r="G134" s="15">
        <f>IF($E134="","",IFERROR(INDEX(rngSM_mode,MATCH($E134,rngSM_cat,0)),""))</f>
        <v/>
      </c>
      <c r="H134" s="15">
        <f>IF($E134="","",IFERROR(INDEX(rngSM_pass,MATCH($E134,rngSM_cat,0)),""))</f>
        <v/>
      </c>
      <c r="I134" s="14" t="n"/>
      <c r="J134" s="14" t="n"/>
      <c r="K134" s="14" t="n"/>
      <c r="L134" s="16" t="n"/>
      <c r="M134" s="14" t="n"/>
      <c r="N134" s="15">
        <f>IF($C134="","",COUNTIFS(nrSK_PID,$D134,nrSK_Cat,$E134))</f>
        <v/>
      </c>
      <c r="O134" s="15">
        <f>IF($C134="","",_xlfn.LET(_xlpm.latest,_xlfn.MAXIFS(nrSK_Att,nrSK_PID,$D134,nrSK_Cat,$E134),_xlpm.res,IF($I134=_xlpm.latest,$J134,""),IF($I134&lt;&gt;_xlpm.latest,"(superseded)",IF(_xlpm.res="","Pending",IF(_xlpm.res="Pass","Qualified",IF(AND(_xlpm.res="Fail",$N134&gt;=$F134),"FAILED OUT","Needs Remediation"))))))</f>
        <v/>
      </c>
      <c r="P134" s="15">
        <f>IF($C134="","",IF($O134="FAILED OUT","Yes","No"))</f>
        <v/>
      </c>
      <c r="Q134" s="14" t="n"/>
    </row>
    <row r="135">
      <c r="B135" s="15">
        <f>IF($C135="","",$D135&amp;"-"&amp;$E135&amp;"-"&amp;$I135)</f>
        <v/>
      </c>
      <c r="C135" s="14" t="n"/>
      <c r="D135" s="15">
        <f>IF($C135="","",IFERROR(INDEX(rngCadetPIDs,MATCH($C135,rngCadetNames,0)),"?"))</f>
        <v/>
      </c>
      <c r="E135" s="14" t="n"/>
      <c r="F135" s="15">
        <f>IF($E135="","",IFERROR(INDEX(rngSM_max,MATCH($E135,rngSM_cat,0)),""))</f>
        <v/>
      </c>
      <c r="G135" s="15">
        <f>IF($E135="","",IFERROR(INDEX(rngSM_mode,MATCH($E135,rngSM_cat,0)),""))</f>
        <v/>
      </c>
      <c r="H135" s="15">
        <f>IF($E135="","",IFERROR(INDEX(rngSM_pass,MATCH($E135,rngSM_cat,0)),""))</f>
        <v/>
      </c>
      <c r="I135" s="14" t="n"/>
      <c r="J135" s="14" t="n"/>
      <c r="K135" s="14" t="n"/>
      <c r="L135" s="16" t="n"/>
      <c r="M135" s="14" t="n"/>
      <c r="N135" s="15">
        <f>IF($C135="","",COUNTIFS(nrSK_PID,$D135,nrSK_Cat,$E135))</f>
        <v/>
      </c>
      <c r="O135" s="15">
        <f>IF($C135="","",_xlfn.LET(_xlpm.latest,_xlfn.MAXIFS(nrSK_Att,nrSK_PID,$D135,nrSK_Cat,$E135),_xlpm.res,IF($I135=_xlpm.latest,$J135,""),IF($I135&lt;&gt;_xlpm.latest,"(superseded)",IF(_xlpm.res="","Pending",IF(_xlpm.res="Pass","Qualified",IF(AND(_xlpm.res="Fail",$N135&gt;=$F135),"FAILED OUT","Needs Remediation"))))))</f>
        <v/>
      </c>
      <c r="P135" s="15">
        <f>IF($C135="","",IF($O135="FAILED OUT","Yes","No"))</f>
        <v/>
      </c>
      <c r="Q135" s="14" t="n"/>
    </row>
    <row r="136">
      <c r="B136" s="15">
        <f>IF($C136="","",$D136&amp;"-"&amp;$E136&amp;"-"&amp;$I136)</f>
        <v/>
      </c>
      <c r="C136" s="14" t="n"/>
      <c r="D136" s="15">
        <f>IF($C136="","",IFERROR(INDEX(rngCadetPIDs,MATCH($C136,rngCadetNames,0)),"?"))</f>
        <v/>
      </c>
      <c r="E136" s="14" t="n"/>
      <c r="F136" s="15">
        <f>IF($E136="","",IFERROR(INDEX(rngSM_max,MATCH($E136,rngSM_cat,0)),""))</f>
        <v/>
      </c>
      <c r="G136" s="15">
        <f>IF($E136="","",IFERROR(INDEX(rngSM_mode,MATCH($E136,rngSM_cat,0)),""))</f>
        <v/>
      </c>
      <c r="H136" s="15">
        <f>IF($E136="","",IFERROR(INDEX(rngSM_pass,MATCH($E136,rngSM_cat,0)),""))</f>
        <v/>
      </c>
      <c r="I136" s="14" t="n"/>
      <c r="J136" s="14" t="n"/>
      <c r="K136" s="14" t="n"/>
      <c r="L136" s="16" t="n"/>
      <c r="M136" s="14" t="n"/>
      <c r="N136" s="15">
        <f>IF($C136="","",COUNTIFS(nrSK_PID,$D136,nrSK_Cat,$E136))</f>
        <v/>
      </c>
      <c r="O136" s="15">
        <f>IF($C136="","",_xlfn.LET(_xlpm.latest,_xlfn.MAXIFS(nrSK_Att,nrSK_PID,$D136,nrSK_Cat,$E136),_xlpm.res,IF($I136=_xlpm.latest,$J136,""),IF($I136&lt;&gt;_xlpm.latest,"(superseded)",IF(_xlpm.res="","Pending",IF(_xlpm.res="Pass","Qualified",IF(AND(_xlpm.res="Fail",$N136&gt;=$F136),"FAILED OUT","Needs Remediation"))))))</f>
        <v/>
      </c>
      <c r="P136" s="15">
        <f>IF($C136="","",IF($O136="FAILED OUT","Yes","No"))</f>
        <v/>
      </c>
      <c r="Q136" s="14" t="n"/>
    </row>
    <row r="137">
      <c r="B137" s="15">
        <f>IF($C137="","",$D137&amp;"-"&amp;$E137&amp;"-"&amp;$I137)</f>
        <v/>
      </c>
      <c r="C137" s="14" t="n"/>
      <c r="D137" s="15">
        <f>IF($C137="","",IFERROR(INDEX(rngCadetPIDs,MATCH($C137,rngCadetNames,0)),"?"))</f>
        <v/>
      </c>
      <c r="E137" s="14" t="n"/>
      <c r="F137" s="15">
        <f>IF($E137="","",IFERROR(INDEX(rngSM_max,MATCH($E137,rngSM_cat,0)),""))</f>
        <v/>
      </c>
      <c r="G137" s="15">
        <f>IF($E137="","",IFERROR(INDEX(rngSM_mode,MATCH($E137,rngSM_cat,0)),""))</f>
        <v/>
      </c>
      <c r="H137" s="15">
        <f>IF($E137="","",IFERROR(INDEX(rngSM_pass,MATCH($E137,rngSM_cat,0)),""))</f>
        <v/>
      </c>
      <c r="I137" s="14" t="n"/>
      <c r="J137" s="14" t="n"/>
      <c r="K137" s="14" t="n"/>
      <c r="L137" s="16" t="n"/>
      <c r="M137" s="14" t="n"/>
      <c r="N137" s="15">
        <f>IF($C137="","",COUNTIFS(nrSK_PID,$D137,nrSK_Cat,$E137))</f>
        <v/>
      </c>
      <c r="O137" s="15">
        <f>IF($C137="","",_xlfn.LET(_xlpm.latest,_xlfn.MAXIFS(nrSK_Att,nrSK_PID,$D137,nrSK_Cat,$E137),_xlpm.res,IF($I137=_xlpm.latest,$J137,""),IF($I137&lt;&gt;_xlpm.latest,"(superseded)",IF(_xlpm.res="","Pending",IF(_xlpm.res="Pass","Qualified",IF(AND(_xlpm.res="Fail",$N137&gt;=$F137),"FAILED OUT","Needs Remediation"))))))</f>
        <v/>
      </c>
      <c r="P137" s="15">
        <f>IF($C137="","",IF($O137="FAILED OUT","Yes","No"))</f>
        <v/>
      </c>
      <c r="Q137" s="14" t="n"/>
    </row>
    <row r="138">
      <c r="B138" s="15">
        <f>IF($C138="","",$D138&amp;"-"&amp;$E138&amp;"-"&amp;$I138)</f>
        <v/>
      </c>
      <c r="C138" s="14" t="n"/>
      <c r="D138" s="15">
        <f>IF($C138="","",IFERROR(INDEX(rngCadetPIDs,MATCH($C138,rngCadetNames,0)),"?"))</f>
        <v/>
      </c>
      <c r="E138" s="14" t="n"/>
      <c r="F138" s="15">
        <f>IF($E138="","",IFERROR(INDEX(rngSM_max,MATCH($E138,rngSM_cat,0)),""))</f>
        <v/>
      </c>
      <c r="G138" s="15">
        <f>IF($E138="","",IFERROR(INDEX(rngSM_mode,MATCH($E138,rngSM_cat,0)),""))</f>
        <v/>
      </c>
      <c r="H138" s="15">
        <f>IF($E138="","",IFERROR(INDEX(rngSM_pass,MATCH($E138,rngSM_cat,0)),""))</f>
        <v/>
      </c>
      <c r="I138" s="14" t="n"/>
      <c r="J138" s="14" t="n"/>
      <c r="K138" s="14" t="n"/>
      <c r="L138" s="16" t="n"/>
      <c r="M138" s="14" t="n"/>
      <c r="N138" s="15">
        <f>IF($C138="","",COUNTIFS(nrSK_PID,$D138,nrSK_Cat,$E138))</f>
        <v/>
      </c>
      <c r="O138" s="15">
        <f>IF($C138="","",_xlfn.LET(_xlpm.latest,_xlfn.MAXIFS(nrSK_Att,nrSK_PID,$D138,nrSK_Cat,$E138),_xlpm.res,IF($I138=_xlpm.latest,$J138,""),IF($I138&lt;&gt;_xlpm.latest,"(superseded)",IF(_xlpm.res="","Pending",IF(_xlpm.res="Pass","Qualified",IF(AND(_xlpm.res="Fail",$N138&gt;=$F138),"FAILED OUT","Needs Remediation"))))))</f>
        <v/>
      </c>
      <c r="P138" s="15">
        <f>IF($C138="","",IF($O138="FAILED OUT","Yes","No"))</f>
        <v/>
      </c>
      <c r="Q138" s="14" t="n"/>
    </row>
    <row r="139">
      <c r="B139" s="15">
        <f>IF($C139="","",$D139&amp;"-"&amp;$E139&amp;"-"&amp;$I139)</f>
        <v/>
      </c>
      <c r="C139" s="14" t="n"/>
      <c r="D139" s="15">
        <f>IF($C139="","",IFERROR(INDEX(rngCadetPIDs,MATCH($C139,rngCadetNames,0)),"?"))</f>
        <v/>
      </c>
      <c r="E139" s="14" t="n"/>
      <c r="F139" s="15">
        <f>IF($E139="","",IFERROR(INDEX(rngSM_max,MATCH($E139,rngSM_cat,0)),""))</f>
        <v/>
      </c>
      <c r="G139" s="15">
        <f>IF($E139="","",IFERROR(INDEX(rngSM_mode,MATCH($E139,rngSM_cat,0)),""))</f>
        <v/>
      </c>
      <c r="H139" s="15">
        <f>IF($E139="","",IFERROR(INDEX(rngSM_pass,MATCH($E139,rngSM_cat,0)),""))</f>
        <v/>
      </c>
      <c r="I139" s="14" t="n"/>
      <c r="J139" s="14" t="n"/>
      <c r="K139" s="14" t="n"/>
      <c r="L139" s="16" t="n"/>
      <c r="M139" s="14" t="n"/>
      <c r="N139" s="15">
        <f>IF($C139="","",COUNTIFS(nrSK_PID,$D139,nrSK_Cat,$E139))</f>
        <v/>
      </c>
      <c r="O139" s="15">
        <f>IF($C139="","",_xlfn.LET(_xlpm.latest,_xlfn.MAXIFS(nrSK_Att,nrSK_PID,$D139,nrSK_Cat,$E139),_xlpm.res,IF($I139=_xlpm.latest,$J139,""),IF($I139&lt;&gt;_xlpm.latest,"(superseded)",IF(_xlpm.res="","Pending",IF(_xlpm.res="Pass","Qualified",IF(AND(_xlpm.res="Fail",$N139&gt;=$F139),"FAILED OUT","Needs Remediation"))))))</f>
        <v/>
      </c>
      <c r="P139" s="15">
        <f>IF($C139="","",IF($O139="FAILED OUT","Yes","No"))</f>
        <v/>
      </c>
      <c r="Q139" s="14" t="n"/>
    </row>
    <row r="140">
      <c r="B140" s="15">
        <f>IF($C140="","",$D140&amp;"-"&amp;$E140&amp;"-"&amp;$I140)</f>
        <v/>
      </c>
      <c r="C140" s="14" t="n"/>
      <c r="D140" s="15">
        <f>IF($C140="","",IFERROR(INDEX(rngCadetPIDs,MATCH($C140,rngCadetNames,0)),"?"))</f>
        <v/>
      </c>
      <c r="E140" s="14" t="n"/>
      <c r="F140" s="15">
        <f>IF($E140="","",IFERROR(INDEX(rngSM_max,MATCH($E140,rngSM_cat,0)),""))</f>
        <v/>
      </c>
      <c r="G140" s="15">
        <f>IF($E140="","",IFERROR(INDEX(rngSM_mode,MATCH($E140,rngSM_cat,0)),""))</f>
        <v/>
      </c>
      <c r="H140" s="15">
        <f>IF($E140="","",IFERROR(INDEX(rngSM_pass,MATCH($E140,rngSM_cat,0)),""))</f>
        <v/>
      </c>
      <c r="I140" s="14" t="n"/>
      <c r="J140" s="14" t="n"/>
      <c r="K140" s="14" t="n"/>
      <c r="L140" s="16" t="n"/>
      <c r="M140" s="14" t="n"/>
      <c r="N140" s="15">
        <f>IF($C140="","",COUNTIFS(nrSK_PID,$D140,nrSK_Cat,$E140))</f>
        <v/>
      </c>
      <c r="O140" s="15">
        <f>IF($C140="","",_xlfn.LET(_xlpm.latest,_xlfn.MAXIFS(nrSK_Att,nrSK_PID,$D140,nrSK_Cat,$E140),_xlpm.res,IF($I140=_xlpm.latest,$J140,""),IF($I140&lt;&gt;_xlpm.latest,"(superseded)",IF(_xlpm.res="","Pending",IF(_xlpm.res="Pass","Qualified",IF(AND(_xlpm.res="Fail",$N140&gt;=$F140),"FAILED OUT","Needs Remediation"))))))</f>
        <v/>
      </c>
      <c r="P140" s="15">
        <f>IF($C140="","",IF($O140="FAILED OUT","Yes","No"))</f>
        <v/>
      </c>
      <c r="Q140" s="14" t="n"/>
    </row>
    <row r="141">
      <c r="B141" s="15">
        <f>IF($C141="","",$D141&amp;"-"&amp;$E141&amp;"-"&amp;$I141)</f>
        <v/>
      </c>
      <c r="C141" s="14" t="n"/>
      <c r="D141" s="15">
        <f>IF($C141="","",IFERROR(INDEX(rngCadetPIDs,MATCH($C141,rngCadetNames,0)),"?"))</f>
        <v/>
      </c>
      <c r="E141" s="14" t="n"/>
      <c r="F141" s="15">
        <f>IF($E141="","",IFERROR(INDEX(rngSM_max,MATCH($E141,rngSM_cat,0)),""))</f>
        <v/>
      </c>
      <c r="G141" s="15">
        <f>IF($E141="","",IFERROR(INDEX(rngSM_mode,MATCH($E141,rngSM_cat,0)),""))</f>
        <v/>
      </c>
      <c r="H141" s="15">
        <f>IF($E141="","",IFERROR(INDEX(rngSM_pass,MATCH($E141,rngSM_cat,0)),""))</f>
        <v/>
      </c>
      <c r="I141" s="14" t="n"/>
      <c r="J141" s="14" t="n"/>
      <c r="K141" s="14" t="n"/>
      <c r="L141" s="16" t="n"/>
      <c r="M141" s="14" t="n"/>
      <c r="N141" s="15">
        <f>IF($C141="","",COUNTIFS(nrSK_PID,$D141,nrSK_Cat,$E141))</f>
        <v/>
      </c>
      <c r="O141" s="15">
        <f>IF($C141="","",_xlfn.LET(_xlpm.latest,_xlfn.MAXIFS(nrSK_Att,nrSK_PID,$D141,nrSK_Cat,$E141),_xlpm.res,IF($I141=_xlpm.latest,$J141,""),IF($I141&lt;&gt;_xlpm.latest,"(superseded)",IF(_xlpm.res="","Pending",IF(_xlpm.res="Pass","Qualified",IF(AND(_xlpm.res="Fail",$N141&gt;=$F141),"FAILED OUT","Needs Remediation"))))))</f>
        <v/>
      </c>
      <c r="P141" s="15">
        <f>IF($C141="","",IF($O141="FAILED OUT","Yes","No"))</f>
        <v/>
      </c>
      <c r="Q141" s="14" t="n"/>
    </row>
    <row r="142">
      <c r="B142" s="15">
        <f>IF($C142="","",$D142&amp;"-"&amp;$E142&amp;"-"&amp;$I142)</f>
        <v/>
      </c>
      <c r="C142" s="14" t="n"/>
      <c r="D142" s="15">
        <f>IF($C142="","",IFERROR(INDEX(rngCadetPIDs,MATCH($C142,rngCadetNames,0)),"?"))</f>
        <v/>
      </c>
      <c r="E142" s="14" t="n"/>
      <c r="F142" s="15">
        <f>IF($E142="","",IFERROR(INDEX(rngSM_max,MATCH($E142,rngSM_cat,0)),""))</f>
        <v/>
      </c>
      <c r="G142" s="15">
        <f>IF($E142="","",IFERROR(INDEX(rngSM_mode,MATCH($E142,rngSM_cat,0)),""))</f>
        <v/>
      </c>
      <c r="H142" s="15">
        <f>IF($E142="","",IFERROR(INDEX(rngSM_pass,MATCH($E142,rngSM_cat,0)),""))</f>
        <v/>
      </c>
      <c r="I142" s="14" t="n"/>
      <c r="J142" s="14" t="n"/>
      <c r="K142" s="14" t="n"/>
      <c r="L142" s="16" t="n"/>
      <c r="M142" s="14" t="n"/>
      <c r="N142" s="15">
        <f>IF($C142="","",COUNTIFS(nrSK_PID,$D142,nrSK_Cat,$E142))</f>
        <v/>
      </c>
      <c r="O142" s="15">
        <f>IF($C142="","",_xlfn.LET(_xlpm.latest,_xlfn.MAXIFS(nrSK_Att,nrSK_PID,$D142,nrSK_Cat,$E142),_xlpm.res,IF($I142=_xlpm.latest,$J142,""),IF($I142&lt;&gt;_xlpm.latest,"(superseded)",IF(_xlpm.res="","Pending",IF(_xlpm.res="Pass","Qualified",IF(AND(_xlpm.res="Fail",$N142&gt;=$F142),"FAILED OUT","Needs Remediation"))))))</f>
        <v/>
      </c>
      <c r="P142" s="15">
        <f>IF($C142="","",IF($O142="FAILED OUT","Yes","No"))</f>
        <v/>
      </c>
      <c r="Q142" s="14" t="n"/>
    </row>
    <row r="143">
      <c r="B143" s="15">
        <f>IF($C143="","",$D143&amp;"-"&amp;$E143&amp;"-"&amp;$I143)</f>
        <v/>
      </c>
      <c r="C143" s="14" t="n"/>
      <c r="D143" s="15">
        <f>IF($C143="","",IFERROR(INDEX(rngCadetPIDs,MATCH($C143,rngCadetNames,0)),"?"))</f>
        <v/>
      </c>
      <c r="E143" s="14" t="n"/>
      <c r="F143" s="15">
        <f>IF($E143="","",IFERROR(INDEX(rngSM_max,MATCH($E143,rngSM_cat,0)),""))</f>
        <v/>
      </c>
      <c r="G143" s="15">
        <f>IF($E143="","",IFERROR(INDEX(rngSM_mode,MATCH($E143,rngSM_cat,0)),""))</f>
        <v/>
      </c>
      <c r="H143" s="15">
        <f>IF($E143="","",IFERROR(INDEX(rngSM_pass,MATCH($E143,rngSM_cat,0)),""))</f>
        <v/>
      </c>
      <c r="I143" s="14" t="n"/>
      <c r="J143" s="14" t="n"/>
      <c r="K143" s="14" t="n"/>
      <c r="L143" s="16" t="n"/>
      <c r="M143" s="14" t="n"/>
      <c r="N143" s="15">
        <f>IF($C143="","",COUNTIFS(nrSK_PID,$D143,nrSK_Cat,$E143))</f>
        <v/>
      </c>
      <c r="O143" s="15">
        <f>IF($C143="","",_xlfn.LET(_xlpm.latest,_xlfn.MAXIFS(nrSK_Att,nrSK_PID,$D143,nrSK_Cat,$E143),_xlpm.res,IF($I143=_xlpm.latest,$J143,""),IF($I143&lt;&gt;_xlpm.latest,"(superseded)",IF(_xlpm.res="","Pending",IF(_xlpm.res="Pass","Qualified",IF(AND(_xlpm.res="Fail",$N143&gt;=$F143),"FAILED OUT","Needs Remediation"))))))</f>
        <v/>
      </c>
      <c r="P143" s="15">
        <f>IF($C143="","",IF($O143="FAILED OUT","Yes","No"))</f>
        <v/>
      </c>
      <c r="Q143" s="14" t="n"/>
    </row>
    <row r="144">
      <c r="B144" s="15">
        <f>IF($C144="","",$D144&amp;"-"&amp;$E144&amp;"-"&amp;$I144)</f>
        <v/>
      </c>
      <c r="C144" s="14" t="n"/>
      <c r="D144" s="15">
        <f>IF($C144="","",IFERROR(INDEX(rngCadetPIDs,MATCH($C144,rngCadetNames,0)),"?"))</f>
        <v/>
      </c>
      <c r="E144" s="14" t="n"/>
      <c r="F144" s="15">
        <f>IF($E144="","",IFERROR(INDEX(rngSM_max,MATCH($E144,rngSM_cat,0)),""))</f>
        <v/>
      </c>
      <c r="G144" s="15">
        <f>IF($E144="","",IFERROR(INDEX(rngSM_mode,MATCH($E144,rngSM_cat,0)),""))</f>
        <v/>
      </c>
      <c r="H144" s="15">
        <f>IF($E144="","",IFERROR(INDEX(rngSM_pass,MATCH($E144,rngSM_cat,0)),""))</f>
        <v/>
      </c>
      <c r="I144" s="14" t="n"/>
      <c r="J144" s="14" t="n"/>
      <c r="K144" s="14" t="n"/>
      <c r="L144" s="16" t="n"/>
      <c r="M144" s="14" t="n"/>
      <c r="N144" s="15">
        <f>IF($C144="","",COUNTIFS(nrSK_PID,$D144,nrSK_Cat,$E144))</f>
        <v/>
      </c>
      <c r="O144" s="15">
        <f>IF($C144="","",_xlfn.LET(_xlpm.latest,_xlfn.MAXIFS(nrSK_Att,nrSK_PID,$D144,nrSK_Cat,$E144),_xlpm.res,IF($I144=_xlpm.latest,$J144,""),IF($I144&lt;&gt;_xlpm.latest,"(superseded)",IF(_xlpm.res="","Pending",IF(_xlpm.res="Pass","Qualified",IF(AND(_xlpm.res="Fail",$N144&gt;=$F144),"FAILED OUT","Needs Remediation"))))))</f>
        <v/>
      </c>
      <c r="P144" s="15">
        <f>IF($C144="","",IF($O144="FAILED OUT","Yes","No"))</f>
        <v/>
      </c>
      <c r="Q144" s="14" t="n"/>
    </row>
    <row r="145">
      <c r="B145" s="15">
        <f>IF($C145="","",$D145&amp;"-"&amp;$E145&amp;"-"&amp;$I145)</f>
        <v/>
      </c>
      <c r="C145" s="14" t="n"/>
      <c r="D145" s="15">
        <f>IF($C145="","",IFERROR(INDEX(rngCadetPIDs,MATCH($C145,rngCadetNames,0)),"?"))</f>
        <v/>
      </c>
      <c r="E145" s="14" t="n"/>
      <c r="F145" s="15">
        <f>IF($E145="","",IFERROR(INDEX(rngSM_max,MATCH($E145,rngSM_cat,0)),""))</f>
        <v/>
      </c>
      <c r="G145" s="15">
        <f>IF($E145="","",IFERROR(INDEX(rngSM_mode,MATCH($E145,rngSM_cat,0)),""))</f>
        <v/>
      </c>
      <c r="H145" s="15">
        <f>IF($E145="","",IFERROR(INDEX(rngSM_pass,MATCH($E145,rngSM_cat,0)),""))</f>
        <v/>
      </c>
      <c r="I145" s="14" t="n"/>
      <c r="J145" s="14" t="n"/>
      <c r="K145" s="14" t="n"/>
      <c r="L145" s="16" t="n"/>
      <c r="M145" s="14" t="n"/>
      <c r="N145" s="15">
        <f>IF($C145="","",COUNTIFS(nrSK_PID,$D145,nrSK_Cat,$E145))</f>
        <v/>
      </c>
      <c r="O145" s="15">
        <f>IF($C145="","",_xlfn.LET(_xlpm.latest,_xlfn.MAXIFS(nrSK_Att,nrSK_PID,$D145,nrSK_Cat,$E145),_xlpm.res,IF($I145=_xlpm.latest,$J145,""),IF($I145&lt;&gt;_xlpm.latest,"(superseded)",IF(_xlpm.res="","Pending",IF(_xlpm.res="Pass","Qualified",IF(AND(_xlpm.res="Fail",$N145&gt;=$F145),"FAILED OUT","Needs Remediation"))))))</f>
        <v/>
      </c>
      <c r="P145" s="15">
        <f>IF($C145="","",IF($O145="FAILED OUT","Yes","No"))</f>
        <v/>
      </c>
      <c r="Q145" s="14" t="n"/>
    </row>
    <row r="146">
      <c r="B146" s="15">
        <f>IF($C146="","",$D146&amp;"-"&amp;$E146&amp;"-"&amp;$I146)</f>
        <v/>
      </c>
      <c r="C146" s="14" t="n"/>
      <c r="D146" s="15">
        <f>IF($C146="","",IFERROR(INDEX(rngCadetPIDs,MATCH($C146,rngCadetNames,0)),"?"))</f>
        <v/>
      </c>
      <c r="E146" s="14" t="n"/>
      <c r="F146" s="15">
        <f>IF($E146="","",IFERROR(INDEX(rngSM_max,MATCH($E146,rngSM_cat,0)),""))</f>
        <v/>
      </c>
      <c r="G146" s="15">
        <f>IF($E146="","",IFERROR(INDEX(rngSM_mode,MATCH($E146,rngSM_cat,0)),""))</f>
        <v/>
      </c>
      <c r="H146" s="15">
        <f>IF($E146="","",IFERROR(INDEX(rngSM_pass,MATCH($E146,rngSM_cat,0)),""))</f>
        <v/>
      </c>
      <c r="I146" s="14" t="n"/>
      <c r="J146" s="14" t="n"/>
      <c r="K146" s="14" t="n"/>
      <c r="L146" s="16" t="n"/>
      <c r="M146" s="14" t="n"/>
      <c r="N146" s="15">
        <f>IF($C146="","",COUNTIFS(nrSK_PID,$D146,nrSK_Cat,$E146))</f>
        <v/>
      </c>
      <c r="O146" s="15">
        <f>IF($C146="","",_xlfn.LET(_xlpm.latest,_xlfn.MAXIFS(nrSK_Att,nrSK_PID,$D146,nrSK_Cat,$E146),_xlpm.res,IF($I146=_xlpm.latest,$J146,""),IF($I146&lt;&gt;_xlpm.latest,"(superseded)",IF(_xlpm.res="","Pending",IF(_xlpm.res="Pass","Qualified",IF(AND(_xlpm.res="Fail",$N146&gt;=$F146),"FAILED OUT","Needs Remediation"))))))</f>
        <v/>
      </c>
      <c r="P146" s="15">
        <f>IF($C146="","",IF($O146="FAILED OUT","Yes","No"))</f>
        <v/>
      </c>
      <c r="Q146" s="14" t="n"/>
    </row>
    <row r="147">
      <c r="B147" s="15">
        <f>IF($C147="","",$D147&amp;"-"&amp;$E147&amp;"-"&amp;$I147)</f>
        <v/>
      </c>
      <c r="C147" s="14" t="n"/>
      <c r="D147" s="15">
        <f>IF($C147="","",IFERROR(INDEX(rngCadetPIDs,MATCH($C147,rngCadetNames,0)),"?"))</f>
        <v/>
      </c>
      <c r="E147" s="14" t="n"/>
      <c r="F147" s="15">
        <f>IF($E147="","",IFERROR(INDEX(rngSM_max,MATCH($E147,rngSM_cat,0)),""))</f>
        <v/>
      </c>
      <c r="G147" s="15">
        <f>IF($E147="","",IFERROR(INDEX(rngSM_mode,MATCH($E147,rngSM_cat,0)),""))</f>
        <v/>
      </c>
      <c r="H147" s="15">
        <f>IF($E147="","",IFERROR(INDEX(rngSM_pass,MATCH($E147,rngSM_cat,0)),""))</f>
        <v/>
      </c>
      <c r="I147" s="14" t="n"/>
      <c r="J147" s="14" t="n"/>
      <c r="K147" s="14" t="n"/>
      <c r="L147" s="16" t="n"/>
      <c r="M147" s="14" t="n"/>
      <c r="N147" s="15">
        <f>IF($C147="","",COUNTIFS(nrSK_PID,$D147,nrSK_Cat,$E147))</f>
        <v/>
      </c>
      <c r="O147" s="15">
        <f>IF($C147="","",_xlfn.LET(_xlpm.latest,_xlfn.MAXIFS(nrSK_Att,nrSK_PID,$D147,nrSK_Cat,$E147),_xlpm.res,IF($I147=_xlpm.latest,$J147,""),IF($I147&lt;&gt;_xlpm.latest,"(superseded)",IF(_xlpm.res="","Pending",IF(_xlpm.res="Pass","Qualified",IF(AND(_xlpm.res="Fail",$N147&gt;=$F147),"FAILED OUT","Needs Remediation"))))))</f>
        <v/>
      </c>
      <c r="P147" s="15">
        <f>IF($C147="","",IF($O147="FAILED OUT","Yes","No"))</f>
        <v/>
      </c>
      <c r="Q147" s="14" t="n"/>
    </row>
    <row r="148">
      <c r="B148" s="15">
        <f>IF($C148="","",$D148&amp;"-"&amp;$E148&amp;"-"&amp;$I148)</f>
        <v/>
      </c>
      <c r="C148" s="14" t="n"/>
      <c r="D148" s="15">
        <f>IF($C148="","",IFERROR(INDEX(rngCadetPIDs,MATCH($C148,rngCadetNames,0)),"?"))</f>
        <v/>
      </c>
      <c r="E148" s="14" t="n"/>
      <c r="F148" s="15">
        <f>IF($E148="","",IFERROR(INDEX(rngSM_max,MATCH($E148,rngSM_cat,0)),""))</f>
        <v/>
      </c>
      <c r="G148" s="15">
        <f>IF($E148="","",IFERROR(INDEX(rngSM_mode,MATCH($E148,rngSM_cat,0)),""))</f>
        <v/>
      </c>
      <c r="H148" s="15">
        <f>IF($E148="","",IFERROR(INDEX(rngSM_pass,MATCH($E148,rngSM_cat,0)),""))</f>
        <v/>
      </c>
      <c r="I148" s="14" t="n"/>
      <c r="J148" s="14" t="n"/>
      <c r="K148" s="14" t="n"/>
      <c r="L148" s="16" t="n"/>
      <c r="M148" s="14" t="n"/>
      <c r="N148" s="15">
        <f>IF($C148="","",COUNTIFS(nrSK_PID,$D148,nrSK_Cat,$E148))</f>
        <v/>
      </c>
      <c r="O148" s="15">
        <f>IF($C148="","",_xlfn.LET(_xlpm.latest,_xlfn.MAXIFS(nrSK_Att,nrSK_PID,$D148,nrSK_Cat,$E148),_xlpm.res,IF($I148=_xlpm.latest,$J148,""),IF($I148&lt;&gt;_xlpm.latest,"(superseded)",IF(_xlpm.res="","Pending",IF(_xlpm.res="Pass","Qualified",IF(AND(_xlpm.res="Fail",$N148&gt;=$F148),"FAILED OUT","Needs Remediation"))))))</f>
        <v/>
      </c>
      <c r="P148" s="15">
        <f>IF($C148="","",IF($O148="FAILED OUT","Yes","No"))</f>
        <v/>
      </c>
      <c r="Q148" s="14" t="n"/>
    </row>
    <row r="149">
      <c r="B149" s="15">
        <f>IF($C149="","",$D149&amp;"-"&amp;$E149&amp;"-"&amp;$I149)</f>
        <v/>
      </c>
      <c r="C149" s="14" t="n"/>
      <c r="D149" s="15">
        <f>IF($C149="","",IFERROR(INDEX(rngCadetPIDs,MATCH($C149,rngCadetNames,0)),"?"))</f>
        <v/>
      </c>
      <c r="E149" s="14" t="n"/>
      <c r="F149" s="15">
        <f>IF($E149="","",IFERROR(INDEX(rngSM_max,MATCH($E149,rngSM_cat,0)),""))</f>
        <v/>
      </c>
      <c r="G149" s="15">
        <f>IF($E149="","",IFERROR(INDEX(rngSM_mode,MATCH($E149,rngSM_cat,0)),""))</f>
        <v/>
      </c>
      <c r="H149" s="15">
        <f>IF($E149="","",IFERROR(INDEX(rngSM_pass,MATCH($E149,rngSM_cat,0)),""))</f>
        <v/>
      </c>
      <c r="I149" s="14" t="n"/>
      <c r="J149" s="14" t="n"/>
      <c r="K149" s="14" t="n"/>
      <c r="L149" s="16" t="n"/>
      <c r="M149" s="14" t="n"/>
      <c r="N149" s="15">
        <f>IF($C149="","",COUNTIFS(nrSK_PID,$D149,nrSK_Cat,$E149))</f>
        <v/>
      </c>
      <c r="O149" s="15">
        <f>IF($C149="","",_xlfn.LET(_xlpm.latest,_xlfn.MAXIFS(nrSK_Att,nrSK_PID,$D149,nrSK_Cat,$E149),_xlpm.res,IF($I149=_xlpm.latest,$J149,""),IF($I149&lt;&gt;_xlpm.latest,"(superseded)",IF(_xlpm.res="","Pending",IF(_xlpm.res="Pass","Qualified",IF(AND(_xlpm.res="Fail",$N149&gt;=$F149),"FAILED OUT","Needs Remediation"))))))</f>
        <v/>
      </c>
      <c r="P149" s="15">
        <f>IF($C149="","",IF($O149="FAILED OUT","Yes","No"))</f>
        <v/>
      </c>
      <c r="Q149" s="14" t="n"/>
    </row>
    <row r="150">
      <c r="B150" s="15">
        <f>IF($C150="","",$D150&amp;"-"&amp;$E150&amp;"-"&amp;$I150)</f>
        <v/>
      </c>
      <c r="C150" s="14" t="n"/>
      <c r="D150" s="15">
        <f>IF($C150="","",IFERROR(INDEX(rngCadetPIDs,MATCH($C150,rngCadetNames,0)),"?"))</f>
        <v/>
      </c>
      <c r="E150" s="14" t="n"/>
      <c r="F150" s="15">
        <f>IF($E150="","",IFERROR(INDEX(rngSM_max,MATCH($E150,rngSM_cat,0)),""))</f>
        <v/>
      </c>
      <c r="G150" s="15">
        <f>IF($E150="","",IFERROR(INDEX(rngSM_mode,MATCH($E150,rngSM_cat,0)),""))</f>
        <v/>
      </c>
      <c r="H150" s="15">
        <f>IF($E150="","",IFERROR(INDEX(rngSM_pass,MATCH($E150,rngSM_cat,0)),""))</f>
        <v/>
      </c>
      <c r="I150" s="14" t="n"/>
      <c r="J150" s="14" t="n"/>
      <c r="K150" s="14" t="n"/>
      <c r="L150" s="16" t="n"/>
      <c r="M150" s="14" t="n"/>
      <c r="N150" s="15">
        <f>IF($C150="","",COUNTIFS(nrSK_PID,$D150,nrSK_Cat,$E150))</f>
        <v/>
      </c>
      <c r="O150" s="15">
        <f>IF($C150="","",_xlfn.LET(_xlpm.latest,_xlfn.MAXIFS(nrSK_Att,nrSK_PID,$D150,nrSK_Cat,$E150),_xlpm.res,IF($I150=_xlpm.latest,$J150,""),IF($I150&lt;&gt;_xlpm.latest,"(superseded)",IF(_xlpm.res="","Pending",IF(_xlpm.res="Pass","Qualified",IF(AND(_xlpm.res="Fail",$N150&gt;=$F150),"FAILED OUT","Needs Remediation"))))))</f>
        <v/>
      </c>
      <c r="P150" s="15">
        <f>IF($C150="","",IF($O150="FAILED OUT","Yes","No"))</f>
        <v/>
      </c>
      <c r="Q150" s="14" t="n"/>
    </row>
    <row r="151">
      <c r="B151" s="15">
        <f>IF($C151="","",$D151&amp;"-"&amp;$E151&amp;"-"&amp;$I151)</f>
        <v/>
      </c>
      <c r="C151" s="14" t="n"/>
      <c r="D151" s="15">
        <f>IF($C151="","",IFERROR(INDEX(rngCadetPIDs,MATCH($C151,rngCadetNames,0)),"?"))</f>
        <v/>
      </c>
      <c r="E151" s="14" t="n"/>
      <c r="F151" s="15">
        <f>IF($E151="","",IFERROR(INDEX(rngSM_max,MATCH($E151,rngSM_cat,0)),""))</f>
        <v/>
      </c>
      <c r="G151" s="15">
        <f>IF($E151="","",IFERROR(INDEX(rngSM_mode,MATCH($E151,rngSM_cat,0)),""))</f>
        <v/>
      </c>
      <c r="H151" s="15">
        <f>IF($E151="","",IFERROR(INDEX(rngSM_pass,MATCH($E151,rngSM_cat,0)),""))</f>
        <v/>
      </c>
      <c r="I151" s="14" t="n"/>
      <c r="J151" s="14" t="n"/>
      <c r="K151" s="14" t="n"/>
      <c r="L151" s="16" t="n"/>
      <c r="M151" s="14" t="n"/>
      <c r="N151" s="15">
        <f>IF($C151="","",COUNTIFS(nrSK_PID,$D151,nrSK_Cat,$E151))</f>
        <v/>
      </c>
      <c r="O151" s="15">
        <f>IF($C151="","",_xlfn.LET(_xlpm.latest,_xlfn.MAXIFS(nrSK_Att,nrSK_PID,$D151,nrSK_Cat,$E151),_xlpm.res,IF($I151=_xlpm.latest,$J151,""),IF($I151&lt;&gt;_xlpm.latest,"(superseded)",IF(_xlpm.res="","Pending",IF(_xlpm.res="Pass","Qualified",IF(AND(_xlpm.res="Fail",$N151&gt;=$F151),"FAILED OUT","Needs Remediation"))))))</f>
        <v/>
      </c>
      <c r="P151" s="15">
        <f>IF($C151="","",IF($O151="FAILED OUT","Yes","No"))</f>
        <v/>
      </c>
      <c r="Q151" s="14" t="n"/>
    </row>
    <row r="152">
      <c r="B152" s="15">
        <f>IF($C152="","",$D152&amp;"-"&amp;$E152&amp;"-"&amp;$I152)</f>
        <v/>
      </c>
      <c r="C152" s="14" t="n"/>
      <c r="D152" s="15">
        <f>IF($C152="","",IFERROR(INDEX(rngCadetPIDs,MATCH($C152,rngCadetNames,0)),"?"))</f>
        <v/>
      </c>
      <c r="E152" s="14" t="n"/>
      <c r="F152" s="15">
        <f>IF($E152="","",IFERROR(INDEX(rngSM_max,MATCH($E152,rngSM_cat,0)),""))</f>
        <v/>
      </c>
      <c r="G152" s="15">
        <f>IF($E152="","",IFERROR(INDEX(rngSM_mode,MATCH($E152,rngSM_cat,0)),""))</f>
        <v/>
      </c>
      <c r="H152" s="15">
        <f>IF($E152="","",IFERROR(INDEX(rngSM_pass,MATCH($E152,rngSM_cat,0)),""))</f>
        <v/>
      </c>
      <c r="I152" s="14" t="n"/>
      <c r="J152" s="14" t="n"/>
      <c r="K152" s="14" t="n"/>
      <c r="L152" s="16" t="n"/>
      <c r="M152" s="14" t="n"/>
      <c r="N152" s="15">
        <f>IF($C152="","",COUNTIFS(nrSK_PID,$D152,nrSK_Cat,$E152))</f>
        <v/>
      </c>
      <c r="O152" s="15">
        <f>IF($C152="","",_xlfn.LET(_xlpm.latest,_xlfn.MAXIFS(nrSK_Att,nrSK_PID,$D152,nrSK_Cat,$E152),_xlpm.res,IF($I152=_xlpm.latest,$J152,""),IF($I152&lt;&gt;_xlpm.latest,"(superseded)",IF(_xlpm.res="","Pending",IF(_xlpm.res="Pass","Qualified",IF(AND(_xlpm.res="Fail",$N152&gt;=$F152),"FAILED OUT","Needs Remediation"))))))</f>
        <v/>
      </c>
      <c r="P152" s="15">
        <f>IF($C152="","",IF($O152="FAILED OUT","Yes","No"))</f>
        <v/>
      </c>
      <c r="Q152" s="14" t="n"/>
    </row>
    <row r="153">
      <c r="B153" s="15">
        <f>IF($C153="","",$D153&amp;"-"&amp;$E153&amp;"-"&amp;$I153)</f>
        <v/>
      </c>
      <c r="C153" s="14" t="n"/>
      <c r="D153" s="15">
        <f>IF($C153="","",IFERROR(INDEX(rngCadetPIDs,MATCH($C153,rngCadetNames,0)),"?"))</f>
        <v/>
      </c>
      <c r="E153" s="14" t="n"/>
      <c r="F153" s="15">
        <f>IF($E153="","",IFERROR(INDEX(rngSM_max,MATCH($E153,rngSM_cat,0)),""))</f>
        <v/>
      </c>
      <c r="G153" s="15">
        <f>IF($E153="","",IFERROR(INDEX(rngSM_mode,MATCH($E153,rngSM_cat,0)),""))</f>
        <v/>
      </c>
      <c r="H153" s="15">
        <f>IF($E153="","",IFERROR(INDEX(rngSM_pass,MATCH($E153,rngSM_cat,0)),""))</f>
        <v/>
      </c>
      <c r="I153" s="14" t="n"/>
      <c r="J153" s="14" t="n"/>
      <c r="K153" s="14" t="n"/>
      <c r="L153" s="16" t="n"/>
      <c r="M153" s="14" t="n"/>
      <c r="N153" s="15">
        <f>IF($C153="","",COUNTIFS(nrSK_PID,$D153,nrSK_Cat,$E153))</f>
        <v/>
      </c>
      <c r="O153" s="15">
        <f>IF($C153="","",_xlfn.LET(_xlpm.latest,_xlfn.MAXIFS(nrSK_Att,nrSK_PID,$D153,nrSK_Cat,$E153),_xlpm.res,IF($I153=_xlpm.latest,$J153,""),IF($I153&lt;&gt;_xlpm.latest,"(superseded)",IF(_xlpm.res="","Pending",IF(_xlpm.res="Pass","Qualified",IF(AND(_xlpm.res="Fail",$N153&gt;=$F153),"FAILED OUT","Needs Remediation"))))))</f>
        <v/>
      </c>
      <c r="P153" s="15">
        <f>IF($C153="","",IF($O153="FAILED OUT","Yes","No"))</f>
        <v/>
      </c>
      <c r="Q153" s="14" t="n"/>
    </row>
    <row r="154">
      <c r="B154" s="15">
        <f>IF($C154="","",$D154&amp;"-"&amp;$E154&amp;"-"&amp;$I154)</f>
        <v/>
      </c>
      <c r="C154" s="14" t="n"/>
      <c r="D154" s="15">
        <f>IF($C154="","",IFERROR(INDEX(rngCadetPIDs,MATCH($C154,rngCadetNames,0)),"?"))</f>
        <v/>
      </c>
      <c r="E154" s="14" t="n"/>
      <c r="F154" s="15">
        <f>IF($E154="","",IFERROR(INDEX(rngSM_max,MATCH($E154,rngSM_cat,0)),""))</f>
        <v/>
      </c>
      <c r="G154" s="15">
        <f>IF($E154="","",IFERROR(INDEX(rngSM_mode,MATCH($E154,rngSM_cat,0)),""))</f>
        <v/>
      </c>
      <c r="H154" s="15">
        <f>IF($E154="","",IFERROR(INDEX(rngSM_pass,MATCH($E154,rngSM_cat,0)),""))</f>
        <v/>
      </c>
      <c r="I154" s="14" t="n"/>
      <c r="J154" s="14" t="n"/>
      <c r="K154" s="14" t="n"/>
      <c r="L154" s="16" t="n"/>
      <c r="M154" s="14" t="n"/>
      <c r="N154" s="15">
        <f>IF($C154="","",COUNTIFS(nrSK_PID,$D154,nrSK_Cat,$E154))</f>
        <v/>
      </c>
      <c r="O154" s="15">
        <f>IF($C154="","",_xlfn.LET(_xlpm.latest,_xlfn.MAXIFS(nrSK_Att,nrSK_PID,$D154,nrSK_Cat,$E154),_xlpm.res,IF($I154=_xlpm.latest,$J154,""),IF($I154&lt;&gt;_xlpm.latest,"(superseded)",IF(_xlpm.res="","Pending",IF(_xlpm.res="Pass","Qualified",IF(AND(_xlpm.res="Fail",$N154&gt;=$F154),"FAILED OUT","Needs Remediation"))))))</f>
        <v/>
      </c>
      <c r="P154" s="15">
        <f>IF($C154="","",IF($O154="FAILED OUT","Yes","No"))</f>
        <v/>
      </c>
      <c r="Q154" s="14" t="n"/>
    </row>
    <row r="155">
      <c r="B155" s="15">
        <f>IF($C155="","",$D155&amp;"-"&amp;$E155&amp;"-"&amp;$I155)</f>
        <v/>
      </c>
      <c r="C155" s="14" t="n"/>
      <c r="D155" s="15">
        <f>IF($C155="","",IFERROR(INDEX(rngCadetPIDs,MATCH($C155,rngCadetNames,0)),"?"))</f>
        <v/>
      </c>
      <c r="E155" s="14" t="n"/>
      <c r="F155" s="15">
        <f>IF($E155="","",IFERROR(INDEX(rngSM_max,MATCH($E155,rngSM_cat,0)),""))</f>
        <v/>
      </c>
      <c r="G155" s="15">
        <f>IF($E155="","",IFERROR(INDEX(rngSM_mode,MATCH($E155,rngSM_cat,0)),""))</f>
        <v/>
      </c>
      <c r="H155" s="15">
        <f>IF($E155="","",IFERROR(INDEX(rngSM_pass,MATCH($E155,rngSM_cat,0)),""))</f>
        <v/>
      </c>
      <c r="I155" s="14" t="n"/>
      <c r="J155" s="14" t="n"/>
      <c r="K155" s="14" t="n"/>
      <c r="L155" s="16" t="n"/>
      <c r="M155" s="14" t="n"/>
      <c r="N155" s="15">
        <f>IF($C155="","",COUNTIFS(nrSK_PID,$D155,nrSK_Cat,$E155))</f>
        <v/>
      </c>
      <c r="O155" s="15">
        <f>IF($C155="","",_xlfn.LET(_xlpm.latest,_xlfn.MAXIFS(nrSK_Att,nrSK_PID,$D155,nrSK_Cat,$E155),_xlpm.res,IF($I155=_xlpm.latest,$J155,""),IF($I155&lt;&gt;_xlpm.latest,"(superseded)",IF(_xlpm.res="","Pending",IF(_xlpm.res="Pass","Qualified",IF(AND(_xlpm.res="Fail",$N155&gt;=$F155),"FAILED OUT","Needs Remediation"))))))</f>
        <v/>
      </c>
      <c r="P155" s="15">
        <f>IF($C155="","",IF($O155="FAILED OUT","Yes","No"))</f>
        <v/>
      </c>
      <c r="Q155" s="14" t="n"/>
    </row>
    <row r="156">
      <c r="B156" s="15">
        <f>IF($C156="","",$D156&amp;"-"&amp;$E156&amp;"-"&amp;$I156)</f>
        <v/>
      </c>
      <c r="C156" s="14" t="n"/>
      <c r="D156" s="15">
        <f>IF($C156="","",IFERROR(INDEX(rngCadetPIDs,MATCH($C156,rngCadetNames,0)),"?"))</f>
        <v/>
      </c>
      <c r="E156" s="14" t="n"/>
      <c r="F156" s="15">
        <f>IF($E156="","",IFERROR(INDEX(rngSM_max,MATCH($E156,rngSM_cat,0)),""))</f>
        <v/>
      </c>
      <c r="G156" s="15">
        <f>IF($E156="","",IFERROR(INDEX(rngSM_mode,MATCH($E156,rngSM_cat,0)),""))</f>
        <v/>
      </c>
      <c r="H156" s="15">
        <f>IF($E156="","",IFERROR(INDEX(rngSM_pass,MATCH($E156,rngSM_cat,0)),""))</f>
        <v/>
      </c>
      <c r="I156" s="14" t="n"/>
      <c r="J156" s="14" t="n"/>
      <c r="K156" s="14" t="n"/>
      <c r="L156" s="16" t="n"/>
      <c r="M156" s="14" t="n"/>
      <c r="N156" s="15">
        <f>IF($C156="","",COUNTIFS(nrSK_PID,$D156,nrSK_Cat,$E156))</f>
        <v/>
      </c>
      <c r="O156" s="15">
        <f>IF($C156="","",_xlfn.LET(_xlpm.latest,_xlfn.MAXIFS(nrSK_Att,nrSK_PID,$D156,nrSK_Cat,$E156),_xlpm.res,IF($I156=_xlpm.latest,$J156,""),IF($I156&lt;&gt;_xlpm.latest,"(superseded)",IF(_xlpm.res="","Pending",IF(_xlpm.res="Pass","Qualified",IF(AND(_xlpm.res="Fail",$N156&gt;=$F156),"FAILED OUT","Needs Remediation"))))))</f>
        <v/>
      </c>
      <c r="P156" s="15">
        <f>IF($C156="","",IF($O156="FAILED OUT","Yes","No"))</f>
        <v/>
      </c>
      <c r="Q156" s="14" t="n"/>
    </row>
    <row r="157">
      <c r="B157" s="15">
        <f>IF($C157="","",$D157&amp;"-"&amp;$E157&amp;"-"&amp;$I157)</f>
        <v/>
      </c>
      <c r="C157" s="14" t="n"/>
      <c r="D157" s="15">
        <f>IF($C157="","",IFERROR(INDEX(rngCadetPIDs,MATCH($C157,rngCadetNames,0)),"?"))</f>
        <v/>
      </c>
      <c r="E157" s="14" t="n"/>
      <c r="F157" s="15">
        <f>IF($E157="","",IFERROR(INDEX(rngSM_max,MATCH($E157,rngSM_cat,0)),""))</f>
        <v/>
      </c>
      <c r="G157" s="15">
        <f>IF($E157="","",IFERROR(INDEX(rngSM_mode,MATCH($E157,rngSM_cat,0)),""))</f>
        <v/>
      </c>
      <c r="H157" s="15">
        <f>IF($E157="","",IFERROR(INDEX(rngSM_pass,MATCH($E157,rngSM_cat,0)),""))</f>
        <v/>
      </c>
      <c r="I157" s="14" t="n"/>
      <c r="J157" s="14" t="n"/>
      <c r="K157" s="14" t="n"/>
      <c r="L157" s="16" t="n"/>
      <c r="M157" s="14" t="n"/>
      <c r="N157" s="15">
        <f>IF($C157="","",COUNTIFS(nrSK_PID,$D157,nrSK_Cat,$E157))</f>
        <v/>
      </c>
      <c r="O157" s="15">
        <f>IF($C157="","",_xlfn.LET(_xlpm.latest,_xlfn.MAXIFS(nrSK_Att,nrSK_PID,$D157,nrSK_Cat,$E157),_xlpm.res,IF($I157=_xlpm.latest,$J157,""),IF($I157&lt;&gt;_xlpm.latest,"(superseded)",IF(_xlpm.res="","Pending",IF(_xlpm.res="Pass","Qualified",IF(AND(_xlpm.res="Fail",$N157&gt;=$F157),"FAILED OUT","Needs Remediation"))))))</f>
        <v/>
      </c>
      <c r="P157" s="15">
        <f>IF($C157="","",IF($O157="FAILED OUT","Yes","No"))</f>
        <v/>
      </c>
      <c r="Q157" s="14" t="n"/>
    </row>
    <row r="158">
      <c r="B158" s="15">
        <f>IF($C158="","",$D158&amp;"-"&amp;$E158&amp;"-"&amp;$I158)</f>
        <v/>
      </c>
      <c r="C158" s="14" t="n"/>
      <c r="D158" s="15">
        <f>IF($C158="","",IFERROR(INDEX(rngCadetPIDs,MATCH($C158,rngCadetNames,0)),"?"))</f>
        <v/>
      </c>
      <c r="E158" s="14" t="n"/>
      <c r="F158" s="15">
        <f>IF($E158="","",IFERROR(INDEX(rngSM_max,MATCH($E158,rngSM_cat,0)),""))</f>
        <v/>
      </c>
      <c r="G158" s="15">
        <f>IF($E158="","",IFERROR(INDEX(rngSM_mode,MATCH($E158,rngSM_cat,0)),""))</f>
        <v/>
      </c>
      <c r="H158" s="15">
        <f>IF($E158="","",IFERROR(INDEX(rngSM_pass,MATCH($E158,rngSM_cat,0)),""))</f>
        <v/>
      </c>
      <c r="I158" s="14" t="n"/>
      <c r="J158" s="14" t="n"/>
      <c r="K158" s="14" t="n"/>
      <c r="L158" s="16" t="n"/>
      <c r="M158" s="14" t="n"/>
      <c r="N158" s="15">
        <f>IF($C158="","",COUNTIFS(nrSK_PID,$D158,nrSK_Cat,$E158))</f>
        <v/>
      </c>
      <c r="O158" s="15">
        <f>IF($C158="","",_xlfn.LET(_xlpm.latest,_xlfn.MAXIFS(nrSK_Att,nrSK_PID,$D158,nrSK_Cat,$E158),_xlpm.res,IF($I158=_xlpm.latest,$J158,""),IF($I158&lt;&gt;_xlpm.latest,"(superseded)",IF(_xlpm.res="","Pending",IF(_xlpm.res="Pass","Qualified",IF(AND(_xlpm.res="Fail",$N158&gt;=$F158),"FAILED OUT","Needs Remediation"))))))</f>
        <v/>
      </c>
      <c r="P158" s="15">
        <f>IF($C158="","",IF($O158="FAILED OUT","Yes","No"))</f>
        <v/>
      </c>
      <c r="Q158" s="14" t="n"/>
    </row>
    <row r="159">
      <c r="B159" s="15">
        <f>IF($C159="","",$D159&amp;"-"&amp;$E159&amp;"-"&amp;$I159)</f>
        <v/>
      </c>
      <c r="C159" s="14" t="n"/>
      <c r="D159" s="15">
        <f>IF($C159="","",IFERROR(INDEX(rngCadetPIDs,MATCH($C159,rngCadetNames,0)),"?"))</f>
        <v/>
      </c>
      <c r="E159" s="14" t="n"/>
      <c r="F159" s="15">
        <f>IF($E159="","",IFERROR(INDEX(rngSM_max,MATCH($E159,rngSM_cat,0)),""))</f>
        <v/>
      </c>
      <c r="G159" s="15">
        <f>IF($E159="","",IFERROR(INDEX(rngSM_mode,MATCH($E159,rngSM_cat,0)),""))</f>
        <v/>
      </c>
      <c r="H159" s="15">
        <f>IF($E159="","",IFERROR(INDEX(rngSM_pass,MATCH($E159,rngSM_cat,0)),""))</f>
        <v/>
      </c>
      <c r="I159" s="14" t="n"/>
      <c r="J159" s="14" t="n"/>
      <c r="K159" s="14" t="n"/>
      <c r="L159" s="16" t="n"/>
      <c r="M159" s="14" t="n"/>
      <c r="N159" s="15">
        <f>IF($C159="","",COUNTIFS(nrSK_PID,$D159,nrSK_Cat,$E159))</f>
        <v/>
      </c>
      <c r="O159" s="15">
        <f>IF($C159="","",_xlfn.LET(_xlpm.latest,_xlfn.MAXIFS(nrSK_Att,nrSK_PID,$D159,nrSK_Cat,$E159),_xlpm.res,IF($I159=_xlpm.latest,$J159,""),IF($I159&lt;&gt;_xlpm.latest,"(superseded)",IF(_xlpm.res="","Pending",IF(_xlpm.res="Pass","Qualified",IF(AND(_xlpm.res="Fail",$N159&gt;=$F159),"FAILED OUT","Needs Remediation"))))))</f>
        <v/>
      </c>
      <c r="P159" s="15">
        <f>IF($C159="","",IF($O159="FAILED OUT","Yes","No"))</f>
        <v/>
      </c>
      <c r="Q159" s="14" t="n"/>
    </row>
    <row r="160">
      <c r="B160" s="15">
        <f>IF($C160="","",$D160&amp;"-"&amp;$E160&amp;"-"&amp;$I160)</f>
        <v/>
      </c>
      <c r="C160" s="14" t="n"/>
      <c r="D160" s="15">
        <f>IF($C160="","",IFERROR(INDEX(rngCadetPIDs,MATCH($C160,rngCadetNames,0)),"?"))</f>
        <v/>
      </c>
      <c r="E160" s="14" t="n"/>
      <c r="F160" s="15">
        <f>IF($E160="","",IFERROR(INDEX(rngSM_max,MATCH($E160,rngSM_cat,0)),""))</f>
        <v/>
      </c>
      <c r="G160" s="15">
        <f>IF($E160="","",IFERROR(INDEX(rngSM_mode,MATCH($E160,rngSM_cat,0)),""))</f>
        <v/>
      </c>
      <c r="H160" s="15">
        <f>IF($E160="","",IFERROR(INDEX(rngSM_pass,MATCH($E160,rngSM_cat,0)),""))</f>
        <v/>
      </c>
      <c r="I160" s="14" t="n"/>
      <c r="J160" s="14" t="n"/>
      <c r="K160" s="14" t="n"/>
      <c r="L160" s="16" t="n"/>
      <c r="M160" s="14" t="n"/>
      <c r="N160" s="15">
        <f>IF($C160="","",COUNTIFS(nrSK_PID,$D160,nrSK_Cat,$E160))</f>
        <v/>
      </c>
      <c r="O160" s="15">
        <f>IF($C160="","",_xlfn.LET(_xlpm.latest,_xlfn.MAXIFS(nrSK_Att,nrSK_PID,$D160,nrSK_Cat,$E160),_xlpm.res,IF($I160=_xlpm.latest,$J160,""),IF($I160&lt;&gt;_xlpm.latest,"(superseded)",IF(_xlpm.res="","Pending",IF(_xlpm.res="Pass","Qualified",IF(AND(_xlpm.res="Fail",$N160&gt;=$F160),"FAILED OUT","Needs Remediation"))))))</f>
        <v/>
      </c>
      <c r="P160" s="15">
        <f>IF($C160="","",IF($O160="FAILED OUT","Yes","No"))</f>
        <v/>
      </c>
      <c r="Q160" s="14" t="n"/>
    </row>
    <row r="161">
      <c r="B161" s="15">
        <f>IF($C161="","",$D161&amp;"-"&amp;$E161&amp;"-"&amp;$I161)</f>
        <v/>
      </c>
      <c r="C161" s="14" t="n"/>
      <c r="D161" s="15">
        <f>IF($C161="","",IFERROR(INDEX(rngCadetPIDs,MATCH($C161,rngCadetNames,0)),"?"))</f>
        <v/>
      </c>
      <c r="E161" s="14" t="n"/>
      <c r="F161" s="15">
        <f>IF($E161="","",IFERROR(INDEX(rngSM_max,MATCH($E161,rngSM_cat,0)),""))</f>
        <v/>
      </c>
      <c r="G161" s="15">
        <f>IF($E161="","",IFERROR(INDEX(rngSM_mode,MATCH($E161,rngSM_cat,0)),""))</f>
        <v/>
      </c>
      <c r="H161" s="15">
        <f>IF($E161="","",IFERROR(INDEX(rngSM_pass,MATCH($E161,rngSM_cat,0)),""))</f>
        <v/>
      </c>
      <c r="I161" s="14" t="n"/>
      <c r="J161" s="14" t="n"/>
      <c r="K161" s="14" t="n"/>
      <c r="L161" s="16" t="n"/>
      <c r="M161" s="14" t="n"/>
      <c r="N161" s="15">
        <f>IF($C161="","",COUNTIFS(nrSK_PID,$D161,nrSK_Cat,$E161))</f>
        <v/>
      </c>
      <c r="O161" s="15">
        <f>IF($C161="","",_xlfn.LET(_xlpm.latest,_xlfn.MAXIFS(nrSK_Att,nrSK_PID,$D161,nrSK_Cat,$E161),_xlpm.res,IF($I161=_xlpm.latest,$J161,""),IF($I161&lt;&gt;_xlpm.latest,"(superseded)",IF(_xlpm.res="","Pending",IF(_xlpm.res="Pass","Qualified",IF(AND(_xlpm.res="Fail",$N161&gt;=$F161),"FAILED OUT","Needs Remediation"))))))</f>
        <v/>
      </c>
      <c r="P161" s="15">
        <f>IF($C161="","",IF($O161="FAILED OUT","Yes","No"))</f>
        <v/>
      </c>
      <c r="Q161" s="14" t="n"/>
    </row>
    <row r="162">
      <c r="B162" s="15">
        <f>IF($C162="","",$D162&amp;"-"&amp;$E162&amp;"-"&amp;$I162)</f>
        <v/>
      </c>
      <c r="C162" s="14" t="n"/>
      <c r="D162" s="15">
        <f>IF($C162="","",IFERROR(INDEX(rngCadetPIDs,MATCH($C162,rngCadetNames,0)),"?"))</f>
        <v/>
      </c>
      <c r="E162" s="14" t="n"/>
      <c r="F162" s="15">
        <f>IF($E162="","",IFERROR(INDEX(rngSM_max,MATCH($E162,rngSM_cat,0)),""))</f>
        <v/>
      </c>
      <c r="G162" s="15">
        <f>IF($E162="","",IFERROR(INDEX(rngSM_mode,MATCH($E162,rngSM_cat,0)),""))</f>
        <v/>
      </c>
      <c r="H162" s="15">
        <f>IF($E162="","",IFERROR(INDEX(rngSM_pass,MATCH($E162,rngSM_cat,0)),""))</f>
        <v/>
      </c>
      <c r="I162" s="14" t="n"/>
      <c r="J162" s="14" t="n"/>
      <c r="K162" s="14" t="n"/>
      <c r="L162" s="16" t="n"/>
      <c r="M162" s="14" t="n"/>
      <c r="N162" s="15">
        <f>IF($C162="","",COUNTIFS(nrSK_PID,$D162,nrSK_Cat,$E162))</f>
        <v/>
      </c>
      <c r="O162" s="15">
        <f>IF($C162="","",_xlfn.LET(_xlpm.latest,_xlfn.MAXIFS(nrSK_Att,nrSK_PID,$D162,nrSK_Cat,$E162),_xlpm.res,IF($I162=_xlpm.latest,$J162,""),IF($I162&lt;&gt;_xlpm.latest,"(superseded)",IF(_xlpm.res="","Pending",IF(_xlpm.res="Pass","Qualified",IF(AND(_xlpm.res="Fail",$N162&gt;=$F162),"FAILED OUT","Needs Remediation"))))))</f>
        <v/>
      </c>
      <c r="P162" s="15">
        <f>IF($C162="","",IF($O162="FAILED OUT","Yes","No"))</f>
        <v/>
      </c>
      <c r="Q162" s="14" t="n"/>
    </row>
    <row r="163">
      <c r="B163" s="15">
        <f>IF($C163="","",$D163&amp;"-"&amp;$E163&amp;"-"&amp;$I163)</f>
        <v/>
      </c>
      <c r="C163" s="14" t="n"/>
      <c r="D163" s="15">
        <f>IF($C163="","",IFERROR(INDEX(rngCadetPIDs,MATCH($C163,rngCadetNames,0)),"?"))</f>
        <v/>
      </c>
      <c r="E163" s="14" t="n"/>
      <c r="F163" s="15">
        <f>IF($E163="","",IFERROR(INDEX(rngSM_max,MATCH($E163,rngSM_cat,0)),""))</f>
        <v/>
      </c>
      <c r="G163" s="15">
        <f>IF($E163="","",IFERROR(INDEX(rngSM_mode,MATCH($E163,rngSM_cat,0)),""))</f>
        <v/>
      </c>
      <c r="H163" s="15">
        <f>IF($E163="","",IFERROR(INDEX(rngSM_pass,MATCH($E163,rngSM_cat,0)),""))</f>
        <v/>
      </c>
      <c r="I163" s="14" t="n"/>
      <c r="J163" s="14" t="n"/>
      <c r="K163" s="14" t="n"/>
      <c r="L163" s="16" t="n"/>
      <c r="M163" s="14" t="n"/>
      <c r="N163" s="15">
        <f>IF($C163="","",COUNTIFS(nrSK_PID,$D163,nrSK_Cat,$E163))</f>
        <v/>
      </c>
      <c r="O163" s="15">
        <f>IF($C163="","",_xlfn.LET(_xlpm.latest,_xlfn.MAXIFS(nrSK_Att,nrSK_PID,$D163,nrSK_Cat,$E163),_xlpm.res,IF($I163=_xlpm.latest,$J163,""),IF($I163&lt;&gt;_xlpm.latest,"(superseded)",IF(_xlpm.res="","Pending",IF(_xlpm.res="Pass","Qualified",IF(AND(_xlpm.res="Fail",$N163&gt;=$F163),"FAILED OUT","Needs Remediation"))))))</f>
        <v/>
      </c>
      <c r="P163" s="15">
        <f>IF($C163="","",IF($O163="FAILED OUT","Yes","No"))</f>
        <v/>
      </c>
      <c r="Q163" s="14" t="n"/>
    </row>
    <row r="164">
      <c r="B164" s="15">
        <f>IF($C164="","",$D164&amp;"-"&amp;$E164&amp;"-"&amp;$I164)</f>
        <v/>
      </c>
      <c r="C164" s="14" t="n"/>
      <c r="D164" s="15">
        <f>IF($C164="","",IFERROR(INDEX(rngCadetPIDs,MATCH($C164,rngCadetNames,0)),"?"))</f>
        <v/>
      </c>
      <c r="E164" s="14" t="n"/>
      <c r="F164" s="15">
        <f>IF($E164="","",IFERROR(INDEX(rngSM_max,MATCH($E164,rngSM_cat,0)),""))</f>
        <v/>
      </c>
      <c r="G164" s="15">
        <f>IF($E164="","",IFERROR(INDEX(rngSM_mode,MATCH($E164,rngSM_cat,0)),""))</f>
        <v/>
      </c>
      <c r="H164" s="15">
        <f>IF($E164="","",IFERROR(INDEX(rngSM_pass,MATCH($E164,rngSM_cat,0)),""))</f>
        <v/>
      </c>
      <c r="I164" s="14" t="n"/>
      <c r="J164" s="14" t="n"/>
      <c r="K164" s="14" t="n"/>
      <c r="L164" s="16" t="n"/>
      <c r="M164" s="14" t="n"/>
      <c r="N164" s="15">
        <f>IF($C164="","",COUNTIFS(nrSK_PID,$D164,nrSK_Cat,$E164))</f>
        <v/>
      </c>
      <c r="O164" s="15">
        <f>IF($C164="","",_xlfn.LET(_xlpm.latest,_xlfn.MAXIFS(nrSK_Att,nrSK_PID,$D164,nrSK_Cat,$E164),_xlpm.res,IF($I164=_xlpm.latest,$J164,""),IF($I164&lt;&gt;_xlpm.latest,"(superseded)",IF(_xlpm.res="","Pending",IF(_xlpm.res="Pass","Qualified",IF(AND(_xlpm.res="Fail",$N164&gt;=$F164),"FAILED OUT","Needs Remediation"))))))</f>
        <v/>
      </c>
      <c r="P164" s="15">
        <f>IF($C164="","",IF($O164="FAILED OUT","Yes","No"))</f>
        <v/>
      </c>
      <c r="Q164" s="14" t="n"/>
    </row>
    <row r="165">
      <c r="B165" s="15">
        <f>IF($C165="","",$D165&amp;"-"&amp;$E165&amp;"-"&amp;$I165)</f>
        <v/>
      </c>
      <c r="C165" s="14" t="n"/>
      <c r="D165" s="15">
        <f>IF($C165="","",IFERROR(INDEX(rngCadetPIDs,MATCH($C165,rngCadetNames,0)),"?"))</f>
        <v/>
      </c>
      <c r="E165" s="14" t="n"/>
      <c r="F165" s="15">
        <f>IF($E165="","",IFERROR(INDEX(rngSM_max,MATCH($E165,rngSM_cat,0)),""))</f>
        <v/>
      </c>
      <c r="G165" s="15">
        <f>IF($E165="","",IFERROR(INDEX(rngSM_mode,MATCH($E165,rngSM_cat,0)),""))</f>
        <v/>
      </c>
      <c r="H165" s="15">
        <f>IF($E165="","",IFERROR(INDEX(rngSM_pass,MATCH($E165,rngSM_cat,0)),""))</f>
        <v/>
      </c>
      <c r="I165" s="14" t="n"/>
      <c r="J165" s="14" t="n"/>
      <c r="K165" s="14" t="n"/>
      <c r="L165" s="16" t="n"/>
      <c r="M165" s="14" t="n"/>
      <c r="N165" s="15">
        <f>IF($C165="","",COUNTIFS(nrSK_PID,$D165,nrSK_Cat,$E165))</f>
        <v/>
      </c>
      <c r="O165" s="15">
        <f>IF($C165="","",_xlfn.LET(_xlpm.latest,_xlfn.MAXIFS(nrSK_Att,nrSK_PID,$D165,nrSK_Cat,$E165),_xlpm.res,IF($I165=_xlpm.latest,$J165,""),IF($I165&lt;&gt;_xlpm.latest,"(superseded)",IF(_xlpm.res="","Pending",IF(_xlpm.res="Pass","Qualified",IF(AND(_xlpm.res="Fail",$N165&gt;=$F165),"FAILED OUT","Needs Remediation"))))))</f>
        <v/>
      </c>
      <c r="P165" s="15">
        <f>IF($C165="","",IF($O165="FAILED OUT","Yes","No"))</f>
        <v/>
      </c>
      <c r="Q165" s="14" t="n"/>
    </row>
    <row r="166">
      <c r="B166" s="15">
        <f>IF($C166="","",$D166&amp;"-"&amp;$E166&amp;"-"&amp;$I166)</f>
        <v/>
      </c>
      <c r="C166" s="14" t="n"/>
      <c r="D166" s="15">
        <f>IF($C166="","",IFERROR(INDEX(rngCadetPIDs,MATCH($C166,rngCadetNames,0)),"?"))</f>
        <v/>
      </c>
      <c r="E166" s="14" t="n"/>
      <c r="F166" s="15">
        <f>IF($E166="","",IFERROR(INDEX(rngSM_max,MATCH($E166,rngSM_cat,0)),""))</f>
        <v/>
      </c>
      <c r="G166" s="15">
        <f>IF($E166="","",IFERROR(INDEX(rngSM_mode,MATCH($E166,rngSM_cat,0)),""))</f>
        <v/>
      </c>
      <c r="H166" s="15">
        <f>IF($E166="","",IFERROR(INDEX(rngSM_pass,MATCH($E166,rngSM_cat,0)),""))</f>
        <v/>
      </c>
      <c r="I166" s="14" t="n"/>
      <c r="J166" s="14" t="n"/>
      <c r="K166" s="14" t="n"/>
      <c r="L166" s="16" t="n"/>
      <c r="M166" s="14" t="n"/>
      <c r="N166" s="15">
        <f>IF($C166="","",COUNTIFS(nrSK_PID,$D166,nrSK_Cat,$E166))</f>
        <v/>
      </c>
      <c r="O166" s="15">
        <f>IF($C166="","",_xlfn.LET(_xlpm.latest,_xlfn.MAXIFS(nrSK_Att,nrSK_PID,$D166,nrSK_Cat,$E166),_xlpm.res,IF($I166=_xlpm.latest,$J166,""),IF($I166&lt;&gt;_xlpm.latest,"(superseded)",IF(_xlpm.res="","Pending",IF(_xlpm.res="Pass","Qualified",IF(AND(_xlpm.res="Fail",$N166&gt;=$F166),"FAILED OUT","Needs Remediation"))))))</f>
        <v/>
      </c>
      <c r="P166" s="15">
        <f>IF($C166="","",IF($O166="FAILED OUT","Yes","No"))</f>
        <v/>
      </c>
      <c r="Q166" s="14" t="n"/>
    </row>
    <row r="167">
      <c r="B167" s="15">
        <f>IF($C167="","",$D167&amp;"-"&amp;$E167&amp;"-"&amp;$I167)</f>
        <v/>
      </c>
      <c r="C167" s="14" t="n"/>
      <c r="D167" s="15">
        <f>IF($C167="","",IFERROR(INDEX(rngCadetPIDs,MATCH($C167,rngCadetNames,0)),"?"))</f>
        <v/>
      </c>
      <c r="E167" s="14" t="n"/>
      <c r="F167" s="15">
        <f>IF($E167="","",IFERROR(INDEX(rngSM_max,MATCH($E167,rngSM_cat,0)),""))</f>
        <v/>
      </c>
      <c r="G167" s="15">
        <f>IF($E167="","",IFERROR(INDEX(rngSM_mode,MATCH($E167,rngSM_cat,0)),""))</f>
        <v/>
      </c>
      <c r="H167" s="15">
        <f>IF($E167="","",IFERROR(INDEX(rngSM_pass,MATCH($E167,rngSM_cat,0)),""))</f>
        <v/>
      </c>
      <c r="I167" s="14" t="n"/>
      <c r="J167" s="14" t="n"/>
      <c r="K167" s="14" t="n"/>
      <c r="L167" s="16" t="n"/>
      <c r="M167" s="14" t="n"/>
      <c r="N167" s="15">
        <f>IF($C167="","",COUNTIFS(nrSK_PID,$D167,nrSK_Cat,$E167))</f>
        <v/>
      </c>
      <c r="O167" s="15">
        <f>IF($C167="","",_xlfn.LET(_xlpm.latest,_xlfn.MAXIFS(nrSK_Att,nrSK_PID,$D167,nrSK_Cat,$E167),_xlpm.res,IF($I167=_xlpm.latest,$J167,""),IF($I167&lt;&gt;_xlpm.latest,"(superseded)",IF(_xlpm.res="","Pending",IF(_xlpm.res="Pass","Qualified",IF(AND(_xlpm.res="Fail",$N167&gt;=$F167),"FAILED OUT","Needs Remediation"))))))</f>
        <v/>
      </c>
      <c r="P167" s="15">
        <f>IF($C167="","",IF($O167="FAILED OUT","Yes","No"))</f>
        <v/>
      </c>
      <c r="Q167" s="14" t="n"/>
    </row>
    <row r="168">
      <c r="B168" s="15">
        <f>IF($C168="","",$D168&amp;"-"&amp;$E168&amp;"-"&amp;$I168)</f>
        <v/>
      </c>
      <c r="C168" s="14" t="n"/>
      <c r="D168" s="15">
        <f>IF($C168="","",IFERROR(INDEX(rngCadetPIDs,MATCH($C168,rngCadetNames,0)),"?"))</f>
        <v/>
      </c>
      <c r="E168" s="14" t="n"/>
      <c r="F168" s="15">
        <f>IF($E168="","",IFERROR(INDEX(rngSM_max,MATCH($E168,rngSM_cat,0)),""))</f>
        <v/>
      </c>
      <c r="G168" s="15">
        <f>IF($E168="","",IFERROR(INDEX(rngSM_mode,MATCH($E168,rngSM_cat,0)),""))</f>
        <v/>
      </c>
      <c r="H168" s="15">
        <f>IF($E168="","",IFERROR(INDEX(rngSM_pass,MATCH($E168,rngSM_cat,0)),""))</f>
        <v/>
      </c>
      <c r="I168" s="14" t="n"/>
      <c r="J168" s="14" t="n"/>
      <c r="K168" s="14" t="n"/>
      <c r="L168" s="16" t="n"/>
      <c r="M168" s="14" t="n"/>
      <c r="N168" s="15">
        <f>IF($C168="","",COUNTIFS(nrSK_PID,$D168,nrSK_Cat,$E168))</f>
        <v/>
      </c>
      <c r="O168" s="15">
        <f>IF($C168="","",_xlfn.LET(_xlpm.latest,_xlfn.MAXIFS(nrSK_Att,nrSK_PID,$D168,nrSK_Cat,$E168),_xlpm.res,IF($I168=_xlpm.latest,$J168,""),IF($I168&lt;&gt;_xlpm.latest,"(superseded)",IF(_xlpm.res="","Pending",IF(_xlpm.res="Pass","Qualified",IF(AND(_xlpm.res="Fail",$N168&gt;=$F168),"FAILED OUT","Needs Remediation"))))))</f>
        <v/>
      </c>
      <c r="P168" s="15">
        <f>IF($C168="","",IF($O168="FAILED OUT","Yes","No"))</f>
        <v/>
      </c>
      <c r="Q168" s="14" t="n"/>
    </row>
    <row r="169">
      <c r="B169" s="15">
        <f>IF($C169="","",$D169&amp;"-"&amp;$E169&amp;"-"&amp;$I169)</f>
        <v/>
      </c>
      <c r="C169" s="14" t="n"/>
      <c r="D169" s="15">
        <f>IF($C169="","",IFERROR(INDEX(rngCadetPIDs,MATCH($C169,rngCadetNames,0)),"?"))</f>
        <v/>
      </c>
      <c r="E169" s="14" t="n"/>
      <c r="F169" s="15">
        <f>IF($E169="","",IFERROR(INDEX(rngSM_max,MATCH($E169,rngSM_cat,0)),""))</f>
        <v/>
      </c>
      <c r="G169" s="15">
        <f>IF($E169="","",IFERROR(INDEX(rngSM_mode,MATCH($E169,rngSM_cat,0)),""))</f>
        <v/>
      </c>
      <c r="H169" s="15">
        <f>IF($E169="","",IFERROR(INDEX(rngSM_pass,MATCH($E169,rngSM_cat,0)),""))</f>
        <v/>
      </c>
      <c r="I169" s="14" t="n"/>
      <c r="J169" s="14" t="n"/>
      <c r="K169" s="14" t="n"/>
      <c r="L169" s="16" t="n"/>
      <c r="M169" s="14" t="n"/>
      <c r="N169" s="15">
        <f>IF($C169="","",COUNTIFS(nrSK_PID,$D169,nrSK_Cat,$E169))</f>
        <v/>
      </c>
      <c r="O169" s="15">
        <f>IF($C169="","",_xlfn.LET(_xlpm.latest,_xlfn.MAXIFS(nrSK_Att,nrSK_PID,$D169,nrSK_Cat,$E169),_xlpm.res,IF($I169=_xlpm.latest,$J169,""),IF($I169&lt;&gt;_xlpm.latest,"(superseded)",IF(_xlpm.res="","Pending",IF(_xlpm.res="Pass","Qualified",IF(AND(_xlpm.res="Fail",$N169&gt;=$F169),"FAILED OUT","Needs Remediation"))))))</f>
        <v/>
      </c>
      <c r="P169" s="15">
        <f>IF($C169="","",IF($O169="FAILED OUT","Yes","No"))</f>
        <v/>
      </c>
      <c r="Q169" s="14" t="n"/>
    </row>
    <row r="170">
      <c r="B170" s="15">
        <f>IF($C170="","",$D170&amp;"-"&amp;$E170&amp;"-"&amp;$I170)</f>
        <v/>
      </c>
      <c r="C170" s="14" t="n"/>
      <c r="D170" s="15">
        <f>IF($C170="","",IFERROR(INDEX(rngCadetPIDs,MATCH($C170,rngCadetNames,0)),"?"))</f>
        <v/>
      </c>
      <c r="E170" s="14" t="n"/>
      <c r="F170" s="15">
        <f>IF($E170="","",IFERROR(INDEX(rngSM_max,MATCH($E170,rngSM_cat,0)),""))</f>
        <v/>
      </c>
      <c r="G170" s="15">
        <f>IF($E170="","",IFERROR(INDEX(rngSM_mode,MATCH($E170,rngSM_cat,0)),""))</f>
        <v/>
      </c>
      <c r="H170" s="15">
        <f>IF($E170="","",IFERROR(INDEX(rngSM_pass,MATCH($E170,rngSM_cat,0)),""))</f>
        <v/>
      </c>
      <c r="I170" s="14" t="n"/>
      <c r="J170" s="14" t="n"/>
      <c r="K170" s="14" t="n"/>
      <c r="L170" s="16" t="n"/>
      <c r="M170" s="14" t="n"/>
      <c r="N170" s="15">
        <f>IF($C170="","",COUNTIFS(nrSK_PID,$D170,nrSK_Cat,$E170))</f>
        <v/>
      </c>
      <c r="O170" s="15">
        <f>IF($C170="","",_xlfn.LET(_xlpm.latest,_xlfn.MAXIFS(nrSK_Att,nrSK_PID,$D170,nrSK_Cat,$E170),_xlpm.res,IF($I170=_xlpm.latest,$J170,""),IF($I170&lt;&gt;_xlpm.latest,"(superseded)",IF(_xlpm.res="","Pending",IF(_xlpm.res="Pass","Qualified",IF(AND(_xlpm.res="Fail",$N170&gt;=$F170),"FAILED OUT","Needs Remediation"))))))</f>
        <v/>
      </c>
      <c r="P170" s="15">
        <f>IF($C170="","",IF($O170="FAILED OUT","Yes","No"))</f>
        <v/>
      </c>
      <c r="Q170" s="14" t="n"/>
    </row>
    <row r="171">
      <c r="B171" s="15">
        <f>IF($C171="","",$D171&amp;"-"&amp;$E171&amp;"-"&amp;$I171)</f>
        <v/>
      </c>
      <c r="C171" s="14" t="n"/>
      <c r="D171" s="15">
        <f>IF($C171="","",IFERROR(INDEX(rngCadetPIDs,MATCH($C171,rngCadetNames,0)),"?"))</f>
        <v/>
      </c>
      <c r="E171" s="14" t="n"/>
      <c r="F171" s="15">
        <f>IF($E171="","",IFERROR(INDEX(rngSM_max,MATCH($E171,rngSM_cat,0)),""))</f>
        <v/>
      </c>
      <c r="G171" s="15">
        <f>IF($E171="","",IFERROR(INDEX(rngSM_mode,MATCH($E171,rngSM_cat,0)),""))</f>
        <v/>
      </c>
      <c r="H171" s="15">
        <f>IF($E171="","",IFERROR(INDEX(rngSM_pass,MATCH($E171,rngSM_cat,0)),""))</f>
        <v/>
      </c>
      <c r="I171" s="14" t="n"/>
      <c r="J171" s="14" t="n"/>
      <c r="K171" s="14" t="n"/>
      <c r="L171" s="16" t="n"/>
      <c r="M171" s="14" t="n"/>
      <c r="N171" s="15">
        <f>IF($C171="","",COUNTIFS(nrSK_PID,$D171,nrSK_Cat,$E171))</f>
        <v/>
      </c>
      <c r="O171" s="15">
        <f>IF($C171="","",_xlfn.LET(_xlpm.latest,_xlfn.MAXIFS(nrSK_Att,nrSK_PID,$D171,nrSK_Cat,$E171),_xlpm.res,IF($I171=_xlpm.latest,$J171,""),IF($I171&lt;&gt;_xlpm.latest,"(superseded)",IF(_xlpm.res="","Pending",IF(_xlpm.res="Pass","Qualified",IF(AND(_xlpm.res="Fail",$N171&gt;=$F171),"FAILED OUT","Needs Remediation"))))))</f>
        <v/>
      </c>
      <c r="P171" s="15">
        <f>IF($C171="","",IF($O171="FAILED OUT","Yes","No"))</f>
        <v/>
      </c>
      <c r="Q171" s="14" t="n"/>
    </row>
    <row r="172">
      <c r="B172" s="15">
        <f>IF($C172="","",$D172&amp;"-"&amp;$E172&amp;"-"&amp;$I172)</f>
        <v/>
      </c>
      <c r="C172" s="14" t="n"/>
      <c r="D172" s="15">
        <f>IF($C172="","",IFERROR(INDEX(rngCadetPIDs,MATCH($C172,rngCadetNames,0)),"?"))</f>
        <v/>
      </c>
      <c r="E172" s="14" t="n"/>
      <c r="F172" s="15">
        <f>IF($E172="","",IFERROR(INDEX(rngSM_max,MATCH($E172,rngSM_cat,0)),""))</f>
        <v/>
      </c>
      <c r="G172" s="15">
        <f>IF($E172="","",IFERROR(INDEX(rngSM_mode,MATCH($E172,rngSM_cat,0)),""))</f>
        <v/>
      </c>
      <c r="H172" s="15">
        <f>IF($E172="","",IFERROR(INDEX(rngSM_pass,MATCH($E172,rngSM_cat,0)),""))</f>
        <v/>
      </c>
      <c r="I172" s="14" t="n"/>
      <c r="J172" s="14" t="n"/>
      <c r="K172" s="14" t="n"/>
      <c r="L172" s="16" t="n"/>
      <c r="M172" s="14" t="n"/>
      <c r="N172" s="15">
        <f>IF($C172="","",COUNTIFS(nrSK_PID,$D172,nrSK_Cat,$E172))</f>
        <v/>
      </c>
      <c r="O172" s="15">
        <f>IF($C172="","",_xlfn.LET(_xlpm.latest,_xlfn.MAXIFS(nrSK_Att,nrSK_PID,$D172,nrSK_Cat,$E172),_xlpm.res,IF($I172=_xlpm.latest,$J172,""),IF($I172&lt;&gt;_xlpm.latest,"(superseded)",IF(_xlpm.res="","Pending",IF(_xlpm.res="Pass","Qualified",IF(AND(_xlpm.res="Fail",$N172&gt;=$F172),"FAILED OUT","Needs Remediation"))))))</f>
        <v/>
      </c>
      <c r="P172" s="15">
        <f>IF($C172="","",IF($O172="FAILED OUT","Yes","No"))</f>
        <v/>
      </c>
      <c r="Q172" s="14" t="n"/>
    </row>
    <row r="173">
      <c r="B173" s="15">
        <f>IF($C173="","",$D173&amp;"-"&amp;$E173&amp;"-"&amp;$I173)</f>
        <v/>
      </c>
      <c r="C173" s="14" t="n"/>
      <c r="D173" s="15">
        <f>IF($C173="","",IFERROR(INDEX(rngCadetPIDs,MATCH($C173,rngCadetNames,0)),"?"))</f>
        <v/>
      </c>
      <c r="E173" s="14" t="n"/>
      <c r="F173" s="15">
        <f>IF($E173="","",IFERROR(INDEX(rngSM_max,MATCH($E173,rngSM_cat,0)),""))</f>
        <v/>
      </c>
      <c r="G173" s="15">
        <f>IF($E173="","",IFERROR(INDEX(rngSM_mode,MATCH($E173,rngSM_cat,0)),""))</f>
        <v/>
      </c>
      <c r="H173" s="15">
        <f>IF($E173="","",IFERROR(INDEX(rngSM_pass,MATCH($E173,rngSM_cat,0)),""))</f>
        <v/>
      </c>
      <c r="I173" s="14" t="n"/>
      <c r="J173" s="14" t="n"/>
      <c r="K173" s="14" t="n"/>
      <c r="L173" s="16" t="n"/>
      <c r="M173" s="14" t="n"/>
      <c r="N173" s="15">
        <f>IF($C173="","",COUNTIFS(nrSK_PID,$D173,nrSK_Cat,$E173))</f>
        <v/>
      </c>
      <c r="O173" s="15">
        <f>IF($C173="","",_xlfn.LET(_xlpm.latest,_xlfn.MAXIFS(nrSK_Att,nrSK_PID,$D173,nrSK_Cat,$E173),_xlpm.res,IF($I173=_xlpm.latest,$J173,""),IF($I173&lt;&gt;_xlpm.latest,"(superseded)",IF(_xlpm.res="","Pending",IF(_xlpm.res="Pass","Qualified",IF(AND(_xlpm.res="Fail",$N173&gt;=$F173),"FAILED OUT","Needs Remediation"))))))</f>
        <v/>
      </c>
      <c r="P173" s="15">
        <f>IF($C173="","",IF($O173="FAILED OUT","Yes","No"))</f>
        <v/>
      </c>
      <c r="Q173" s="14" t="n"/>
    </row>
    <row r="174">
      <c r="B174" s="15">
        <f>IF($C174="","",$D174&amp;"-"&amp;$E174&amp;"-"&amp;$I174)</f>
        <v/>
      </c>
      <c r="C174" s="14" t="n"/>
      <c r="D174" s="15">
        <f>IF($C174="","",IFERROR(INDEX(rngCadetPIDs,MATCH($C174,rngCadetNames,0)),"?"))</f>
        <v/>
      </c>
      <c r="E174" s="14" t="n"/>
      <c r="F174" s="15">
        <f>IF($E174="","",IFERROR(INDEX(rngSM_max,MATCH($E174,rngSM_cat,0)),""))</f>
        <v/>
      </c>
      <c r="G174" s="15">
        <f>IF($E174="","",IFERROR(INDEX(rngSM_mode,MATCH($E174,rngSM_cat,0)),""))</f>
        <v/>
      </c>
      <c r="H174" s="15">
        <f>IF($E174="","",IFERROR(INDEX(rngSM_pass,MATCH($E174,rngSM_cat,0)),""))</f>
        <v/>
      </c>
      <c r="I174" s="14" t="n"/>
      <c r="J174" s="14" t="n"/>
      <c r="K174" s="14" t="n"/>
      <c r="L174" s="16" t="n"/>
      <c r="M174" s="14" t="n"/>
      <c r="N174" s="15">
        <f>IF($C174="","",COUNTIFS(nrSK_PID,$D174,nrSK_Cat,$E174))</f>
        <v/>
      </c>
      <c r="O174" s="15">
        <f>IF($C174="","",_xlfn.LET(_xlpm.latest,_xlfn.MAXIFS(nrSK_Att,nrSK_PID,$D174,nrSK_Cat,$E174),_xlpm.res,IF($I174=_xlpm.latest,$J174,""),IF($I174&lt;&gt;_xlpm.latest,"(superseded)",IF(_xlpm.res="","Pending",IF(_xlpm.res="Pass","Qualified",IF(AND(_xlpm.res="Fail",$N174&gt;=$F174),"FAILED OUT","Needs Remediation"))))))</f>
        <v/>
      </c>
      <c r="P174" s="15">
        <f>IF($C174="","",IF($O174="FAILED OUT","Yes","No"))</f>
        <v/>
      </c>
      <c r="Q174" s="14" t="n"/>
    </row>
    <row r="175">
      <c r="B175" s="15">
        <f>IF($C175="","",$D175&amp;"-"&amp;$E175&amp;"-"&amp;$I175)</f>
        <v/>
      </c>
      <c r="C175" s="14" t="n"/>
      <c r="D175" s="15">
        <f>IF($C175="","",IFERROR(INDEX(rngCadetPIDs,MATCH($C175,rngCadetNames,0)),"?"))</f>
        <v/>
      </c>
      <c r="E175" s="14" t="n"/>
      <c r="F175" s="15">
        <f>IF($E175="","",IFERROR(INDEX(rngSM_max,MATCH($E175,rngSM_cat,0)),""))</f>
        <v/>
      </c>
      <c r="G175" s="15">
        <f>IF($E175="","",IFERROR(INDEX(rngSM_mode,MATCH($E175,rngSM_cat,0)),""))</f>
        <v/>
      </c>
      <c r="H175" s="15">
        <f>IF($E175="","",IFERROR(INDEX(rngSM_pass,MATCH($E175,rngSM_cat,0)),""))</f>
        <v/>
      </c>
      <c r="I175" s="14" t="n"/>
      <c r="J175" s="14" t="n"/>
      <c r="K175" s="14" t="n"/>
      <c r="L175" s="16" t="n"/>
      <c r="M175" s="14" t="n"/>
      <c r="N175" s="15">
        <f>IF($C175="","",COUNTIFS(nrSK_PID,$D175,nrSK_Cat,$E175))</f>
        <v/>
      </c>
      <c r="O175" s="15">
        <f>IF($C175="","",_xlfn.LET(_xlpm.latest,_xlfn.MAXIFS(nrSK_Att,nrSK_PID,$D175,nrSK_Cat,$E175),_xlpm.res,IF($I175=_xlpm.latest,$J175,""),IF($I175&lt;&gt;_xlpm.latest,"(superseded)",IF(_xlpm.res="","Pending",IF(_xlpm.res="Pass","Qualified",IF(AND(_xlpm.res="Fail",$N175&gt;=$F175),"FAILED OUT","Needs Remediation"))))))</f>
        <v/>
      </c>
      <c r="P175" s="15">
        <f>IF($C175="","",IF($O175="FAILED OUT","Yes","No"))</f>
        <v/>
      </c>
      <c r="Q175" s="14" t="n"/>
    </row>
    <row r="176">
      <c r="B176" s="15">
        <f>IF($C176="","",$D176&amp;"-"&amp;$E176&amp;"-"&amp;$I176)</f>
        <v/>
      </c>
      <c r="C176" s="14" t="n"/>
      <c r="D176" s="15">
        <f>IF($C176="","",IFERROR(INDEX(rngCadetPIDs,MATCH($C176,rngCadetNames,0)),"?"))</f>
        <v/>
      </c>
      <c r="E176" s="14" t="n"/>
      <c r="F176" s="15">
        <f>IF($E176="","",IFERROR(INDEX(rngSM_max,MATCH($E176,rngSM_cat,0)),""))</f>
        <v/>
      </c>
      <c r="G176" s="15">
        <f>IF($E176="","",IFERROR(INDEX(rngSM_mode,MATCH($E176,rngSM_cat,0)),""))</f>
        <v/>
      </c>
      <c r="H176" s="15">
        <f>IF($E176="","",IFERROR(INDEX(rngSM_pass,MATCH($E176,rngSM_cat,0)),""))</f>
        <v/>
      </c>
      <c r="I176" s="14" t="n"/>
      <c r="J176" s="14" t="n"/>
      <c r="K176" s="14" t="n"/>
      <c r="L176" s="16" t="n"/>
      <c r="M176" s="14" t="n"/>
      <c r="N176" s="15">
        <f>IF($C176="","",COUNTIFS(nrSK_PID,$D176,nrSK_Cat,$E176))</f>
        <v/>
      </c>
      <c r="O176" s="15">
        <f>IF($C176="","",_xlfn.LET(_xlpm.latest,_xlfn.MAXIFS(nrSK_Att,nrSK_PID,$D176,nrSK_Cat,$E176),_xlpm.res,IF($I176=_xlpm.latest,$J176,""),IF($I176&lt;&gt;_xlpm.latest,"(superseded)",IF(_xlpm.res="","Pending",IF(_xlpm.res="Pass","Qualified",IF(AND(_xlpm.res="Fail",$N176&gt;=$F176),"FAILED OUT","Needs Remediation"))))))</f>
        <v/>
      </c>
      <c r="P176" s="15">
        <f>IF($C176="","",IF($O176="FAILED OUT","Yes","No"))</f>
        <v/>
      </c>
      <c r="Q176" s="14" t="n"/>
    </row>
    <row r="177">
      <c r="B177" s="15">
        <f>IF($C177="","",$D177&amp;"-"&amp;$E177&amp;"-"&amp;$I177)</f>
        <v/>
      </c>
      <c r="C177" s="14" t="n"/>
      <c r="D177" s="15">
        <f>IF($C177="","",IFERROR(INDEX(rngCadetPIDs,MATCH($C177,rngCadetNames,0)),"?"))</f>
        <v/>
      </c>
      <c r="E177" s="14" t="n"/>
      <c r="F177" s="15">
        <f>IF($E177="","",IFERROR(INDEX(rngSM_max,MATCH($E177,rngSM_cat,0)),""))</f>
        <v/>
      </c>
      <c r="G177" s="15">
        <f>IF($E177="","",IFERROR(INDEX(rngSM_mode,MATCH($E177,rngSM_cat,0)),""))</f>
        <v/>
      </c>
      <c r="H177" s="15">
        <f>IF($E177="","",IFERROR(INDEX(rngSM_pass,MATCH($E177,rngSM_cat,0)),""))</f>
        <v/>
      </c>
      <c r="I177" s="14" t="n"/>
      <c r="J177" s="14" t="n"/>
      <c r="K177" s="14" t="n"/>
      <c r="L177" s="16" t="n"/>
      <c r="M177" s="14" t="n"/>
      <c r="N177" s="15">
        <f>IF($C177="","",COUNTIFS(nrSK_PID,$D177,nrSK_Cat,$E177))</f>
        <v/>
      </c>
      <c r="O177" s="15">
        <f>IF($C177="","",_xlfn.LET(_xlpm.latest,_xlfn.MAXIFS(nrSK_Att,nrSK_PID,$D177,nrSK_Cat,$E177),_xlpm.res,IF($I177=_xlpm.latest,$J177,""),IF($I177&lt;&gt;_xlpm.latest,"(superseded)",IF(_xlpm.res="","Pending",IF(_xlpm.res="Pass","Qualified",IF(AND(_xlpm.res="Fail",$N177&gt;=$F177),"FAILED OUT","Needs Remediation"))))))</f>
        <v/>
      </c>
      <c r="P177" s="15">
        <f>IF($C177="","",IF($O177="FAILED OUT","Yes","No"))</f>
        <v/>
      </c>
      <c r="Q177" s="14" t="n"/>
    </row>
    <row r="178">
      <c r="B178" s="15">
        <f>IF($C178="","",$D178&amp;"-"&amp;$E178&amp;"-"&amp;$I178)</f>
        <v/>
      </c>
      <c r="C178" s="14" t="n"/>
      <c r="D178" s="15">
        <f>IF($C178="","",IFERROR(INDEX(rngCadetPIDs,MATCH($C178,rngCadetNames,0)),"?"))</f>
        <v/>
      </c>
      <c r="E178" s="14" t="n"/>
      <c r="F178" s="15">
        <f>IF($E178="","",IFERROR(INDEX(rngSM_max,MATCH($E178,rngSM_cat,0)),""))</f>
        <v/>
      </c>
      <c r="G178" s="15">
        <f>IF($E178="","",IFERROR(INDEX(rngSM_mode,MATCH($E178,rngSM_cat,0)),""))</f>
        <v/>
      </c>
      <c r="H178" s="15">
        <f>IF($E178="","",IFERROR(INDEX(rngSM_pass,MATCH($E178,rngSM_cat,0)),""))</f>
        <v/>
      </c>
      <c r="I178" s="14" t="n"/>
      <c r="J178" s="14" t="n"/>
      <c r="K178" s="14" t="n"/>
      <c r="L178" s="16" t="n"/>
      <c r="M178" s="14" t="n"/>
      <c r="N178" s="15">
        <f>IF($C178="","",COUNTIFS(nrSK_PID,$D178,nrSK_Cat,$E178))</f>
        <v/>
      </c>
      <c r="O178" s="15">
        <f>IF($C178="","",_xlfn.LET(_xlpm.latest,_xlfn.MAXIFS(nrSK_Att,nrSK_PID,$D178,nrSK_Cat,$E178),_xlpm.res,IF($I178=_xlpm.latest,$J178,""),IF($I178&lt;&gt;_xlpm.latest,"(superseded)",IF(_xlpm.res="","Pending",IF(_xlpm.res="Pass","Qualified",IF(AND(_xlpm.res="Fail",$N178&gt;=$F178),"FAILED OUT","Needs Remediation"))))))</f>
        <v/>
      </c>
      <c r="P178" s="15">
        <f>IF($C178="","",IF($O178="FAILED OUT","Yes","No"))</f>
        <v/>
      </c>
      <c r="Q178" s="14" t="n"/>
    </row>
    <row r="179">
      <c r="B179" s="15">
        <f>IF($C179="","",$D179&amp;"-"&amp;$E179&amp;"-"&amp;$I179)</f>
        <v/>
      </c>
      <c r="C179" s="14" t="n"/>
      <c r="D179" s="15">
        <f>IF($C179="","",IFERROR(INDEX(rngCadetPIDs,MATCH($C179,rngCadetNames,0)),"?"))</f>
        <v/>
      </c>
      <c r="E179" s="14" t="n"/>
      <c r="F179" s="15">
        <f>IF($E179="","",IFERROR(INDEX(rngSM_max,MATCH($E179,rngSM_cat,0)),""))</f>
        <v/>
      </c>
      <c r="G179" s="15">
        <f>IF($E179="","",IFERROR(INDEX(rngSM_mode,MATCH($E179,rngSM_cat,0)),""))</f>
        <v/>
      </c>
      <c r="H179" s="15">
        <f>IF($E179="","",IFERROR(INDEX(rngSM_pass,MATCH($E179,rngSM_cat,0)),""))</f>
        <v/>
      </c>
      <c r="I179" s="14" t="n"/>
      <c r="J179" s="14" t="n"/>
      <c r="K179" s="14" t="n"/>
      <c r="L179" s="16" t="n"/>
      <c r="M179" s="14" t="n"/>
      <c r="N179" s="15">
        <f>IF($C179="","",COUNTIFS(nrSK_PID,$D179,nrSK_Cat,$E179))</f>
        <v/>
      </c>
      <c r="O179" s="15">
        <f>IF($C179="","",_xlfn.LET(_xlpm.latest,_xlfn.MAXIFS(nrSK_Att,nrSK_PID,$D179,nrSK_Cat,$E179),_xlpm.res,IF($I179=_xlpm.latest,$J179,""),IF($I179&lt;&gt;_xlpm.latest,"(superseded)",IF(_xlpm.res="","Pending",IF(_xlpm.res="Pass","Qualified",IF(AND(_xlpm.res="Fail",$N179&gt;=$F179),"FAILED OUT","Needs Remediation"))))))</f>
        <v/>
      </c>
      <c r="P179" s="15">
        <f>IF($C179="","",IF($O179="FAILED OUT","Yes","No"))</f>
        <v/>
      </c>
      <c r="Q179" s="14" t="n"/>
    </row>
    <row r="180">
      <c r="B180" s="15">
        <f>IF($C180="","",$D180&amp;"-"&amp;$E180&amp;"-"&amp;$I180)</f>
        <v/>
      </c>
      <c r="C180" s="14" t="n"/>
      <c r="D180" s="15">
        <f>IF($C180="","",IFERROR(INDEX(rngCadetPIDs,MATCH($C180,rngCadetNames,0)),"?"))</f>
        <v/>
      </c>
      <c r="E180" s="14" t="n"/>
      <c r="F180" s="15">
        <f>IF($E180="","",IFERROR(INDEX(rngSM_max,MATCH($E180,rngSM_cat,0)),""))</f>
        <v/>
      </c>
      <c r="G180" s="15">
        <f>IF($E180="","",IFERROR(INDEX(rngSM_mode,MATCH($E180,rngSM_cat,0)),""))</f>
        <v/>
      </c>
      <c r="H180" s="15">
        <f>IF($E180="","",IFERROR(INDEX(rngSM_pass,MATCH($E180,rngSM_cat,0)),""))</f>
        <v/>
      </c>
      <c r="I180" s="14" t="n"/>
      <c r="J180" s="14" t="n"/>
      <c r="K180" s="14" t="n"/>
      <c r="L180" s="16" t="n"/>
      <c r="M180" s="14" t="n"/>
      <c r="N180" s="15">
        <f>IF($C180="","",COUNTIFS(nrSK_PID,$D180,nrSK_Cat,$E180))</f>
        <v/>
      </c>
      <c r="O180" s="15">
        <f>IF($C180="","",_xlfn.LET(_xlpm.latest,_xlfn.MAXIFS(nrSK_Att,nrSK_PID,$D180,nrSK_Cat,$E180),_xlpm.res,IF($I180=_xlpm.latest,$J180,""),IF($I180&lt;&gt;_xlpm.latest,"(superseded)",IF(_xlpm.res="","Pending",IF(_xlpm.res="Pass","Qualified",IF(AND(_xlpm.res="Fail",$N180&gt;=$F180),"FAILED OUT","Needs Remediation"))))))</f>
        <v/>
      </c>
      <c r="P180" s="15">
        <f>IF($C180="","",IF($O180="FAILED OUT","Yes","No"))</f>
        <v/>
      </c>
      <c r="Q180" s="14" t="n"/>
    </row>
    <row r="181">
      <c r="B181" s="15">
        <f>IF($C181="","",$D181&amp;"-"&amp;$E181&amp;"-"&amp;$I181)</f>
        <v/>
      </c>
      <c r="C181" s="14" t="n"/>
      <c r="D181" s="15">
        <f>IF($C181="","",IFERROR(INDEX(rngCadetPIDs,MATCH($C181,rngCadetNames,0)),"?"))</f>
        <v/>
      </c>
      <c r="E181" s="14" t="n"/>
      <c r="F181" s="15">
        <f>IF($E181="","",IFERROR(INDEX(rngSM_max,MATCH($E181,rngSM_cat,0)),""))</f>
        <v/>
      </c>
      <c r="G181" s="15">
        <f>IF($E181="","",IFERROR(INDEX(rngSM_mode,MATCH($E181,rngSM_cat,0)),""))</f>
        <v/>
      </c>
      <c r="H181" s="15">
        <f>IF($E181="","",IFERROR(INDEX(rngSM_pass,MATCH($E181,rngSM_cat,0)),""))</f>
        <v/>
      </c>
      <c r="I181" s="14" t="n"/>
      <c r="J181" s="14" t="n"/>
      <c r="K181" s="14" t="n"/>
      <c r="L181" s="16" t="n"/>
      <c r="M181" s="14" t="n"/>
      <c r="N181" s="15">
        <f>IF($C181="","",COUNTIFS(nrSK_PID,$D181,nrSK_Cat,$E181))</f>
        <v/>
      </c>
      <c r="O181" s="15">
        <f>IF($C181="","",_xlfn.LET(_xlpm.latest,_xlfn.MAXIFS(nrSK_Att,nrSK_PID,$D181,nrSK_Cat,$E181),_xlpm.res,IF($I181=_xlpm.latest,$J181,""),IF($I181&lt;&gt;_xlpm.latest,"(superseded)",IF(_xlpm.res="","Pending",IF(_xlpm.res="Pass","Qualified",IF(AND(_xlpm.res="Fail",$N181&gt;=$F181),"FAILED OUT","Needs Remediation"))))))</f>
        <v/>
      </c>
      <c r="P181" s="15">
        <f>IF($C181="","",IF($O181="FAILED OUT","Yes","No"))</f>
        <v/>
      </c>
      <c r="Q181" s="14" t="n"/>
    </row>
    <row r="182">
      <c r="B182" s="15">
        <f>IF($C182="","",$D182&amp;"-"&amp;$E182&amp;"-"&amp;$I182)</f>
        <v/>
      </c>
      <c r="C182" s="14" t="n"/>
      <c r="D182" s="15">
        <f>IF($C182="","",IFERROR(INDEX(rngCadetPIDs,MATCH($C182,rngCadetNames,0)),"?"))</f>
        <v/>
      </c>
      <c r="E182" s="14" t="n"/>
      <c r="F182" s="15">
        <f>IF($E182="","",IFERROR(INDEX(rngSM_max,MATCH($E182,rngSM_cat,0)),""))</f>
        <v/>
      </c>
      <c r="G182" s="15">
        <f>IF($E182="","",IFERROR(INDEX(rngSM_mode,MATCH($E182,rngSM_cat,0)),""))</f>
        <v/>
      </c>
      <c r="H182" s="15">
        <f>IF($E182="","",IFERROR(INDEX(rngSM_pass,MATCH($E182,rngSM_cat,0)),""))</f>
        <v/>
      </c>
      <c r="I182" s="14" t="n"/>
      <c r="J182" s="14" t="n"/>
      <c r="K182" s="14" t="n"/>
      <c r="L182" s="16" t="n"/>
      <c r="M182" s="14" t="n"/>
      <c r="N182" s="15">
        <f>IF($C182="","",COUNTIFS(nrSK_PID,$D182,nrSK_Cat,$E182))</f>
        <v/>
      </c>
      <c r="O182" s="15">
        <f>IF($C182="","",_xlfn.LET(_xlpm.latest,_xlfn.MAXIFS(nrSK_Att,nrSK_PID,$D182,nrSK_Cat,$E182),_xlpm.res,IF($I182=_xlpm.latest,$J182,""),IF($I182&lt;&gt;_xlpm.latest,"(superseded)",IF(_xlpm.res="","Pending",IF(_xlpm.res="Pass","Qualified",IF(AND(_xlpm.res="Fail",$N182&gt;=$F182),"FAILED OUT","Needs Remediation"))))))</f>
        <v/>
      </c>
      <c r="P182" s="15">
        <f>IF($C182="","",IF($O182="FAILED OUT","Yes","No"))</f>
        <v/>
      </c>
      <c r="Q182" s="14" t="n"/>
    </row>
    <row r="183">
      <c r="B183" s="15">
        <f>IF($C183="","",$D183&amp;"-"&amp;$E183&amp;"-"&amp;$I183)</f>
        <v/>
      </c>
      <c r="C183" s="14" t="n"/>
      <c r="D183" s="15">
        <f>IF($C183="","",IFERROR(INDEX(rngCadetPIDs,MATCH($C183,rngCadetNames,0)),"?"))</f>
        <v/>
      </c>
      <c r="E183" s="14" t="n"/>
      <c r="F183" s="15">
        <f>IF($E183="","",IFERROR(INDEX(rngSM_max,MATCH($E183,rngSM_cat,0)),""))</f>
        <v/>
      </c>
      <c r="G183" s="15">
        <f>IF($E183="","",IFERROR(INDEX(rngSM_mode,MATCH($E183,rngSM_cat,0)),""))</f>
        <v/>
      </c>
      <c r="H183" s="15">
        <f>IF($E183="","",IFERROR(INDEX(rngSM_pass,MATCH($E183,rngSM_cat,0)),""))</f>
        <v/>
      </c>
      <c r="I183" s="14" t="n"/>
      <c r="J183" s="14" t="n"/>
      <c r="K183" s="14" t="n"/>
      <c r="L183" s="16" t="n"/>
      <c r="M183" s="14" t="n"/>
      <c r="N183" s="15">
        <f>IF($C183="","",COUNTIFS(nrSK_PID,$D183,nrSK_Cat,$E183))</f>
        <v/>
      </c>
      <c r="O183" s="15">
        <f>IF($C183="","",_xlfn.LET(_xlpm.latest,_xlfn.MAXIFS(nrSK_Att,nrSK_PID,$D183,nrSK_Cat,$E183),_xlpm.res,IF($I183=_xlpm.latest,$J183,""),IF($I183&lt;&gt;_xlpm.latest,"(superseded)",IF(_xlpm.res="","Pending",IF(_xlpm.res="Pass","Qualified",IF(AND(_xlpm.res="Fail",$N183&gt;=$F183),"FAILED OUT","Needs Remediation"))))))</f>
        <v/>
      </c>
      <c r="P183" s="15">
        <f>IF($C183="","",IF($O183="FAILED OUT","Yes","No"))</f>
        <v/>
      </c>
      <c r="Q183" s="14" t="n"/>
    </row>
    <row r="184">
      <c r="B184" s="15">
        <f>IF($C184="","",$D184&amp;"-"&amp;$E184&amp;"-"&amp;$I184)</f>
        <v/>
      </c>
      <c r="C184" s="14" t="n"/>
      <c r="D184" s="15">
        <f>IF($C184="","",IFERROR(INDEX(rngCadetPIDs,MATCH($C184,rngCadetNames,0)),"?"))</f>
        <v/>
      </c>
      <c r="E184" s="14" t="n"/>
      <c r="F184" s="15">
        <f>IF($E184="","",IFERROR(INDEX(rngSM_max,MATCH($E184,rngSM_cat,0)),""))</f>
        <v/>
      </c>
      <c r="G184" s="15">
        <f>IF($E184="","",IFERROR(INDEX(rngSM_mode,MATCH($E184,rngSM_cat,0)),""))</f>
        <v/>
      </c>
      <c r="H184" s="15">
        <f>IF($E184="","",IFERROR(INDEX(rngSM_pass,MATCH($E184,rngSM_cat,0)),""))</f>
        <v/>
      </c>
      <c r="I184" s="14" t="n"/>
      <c r="J184" s="14" t="n"/>
      <c r="K184" s="14" t="n"/>
      <c r="L184" s="16" t="n"/>
      <c r="M184" s="14" t="n"/>
      <c r="N184" s="15">
        <f>IF($C184="","",COUNTIFS(nrSK_PID,$D184,nrSK_Cat,$E184))</f>
        <v/>
      </c>
      <c r="O184" s="15">
        <f>IF($C184="","",_xlfn.LET(_xlpm.latest,_xlfn.MAXIFS(nrSK_Att,nrSK_PID,$D184,nrSK_Cat,$E184),_xlpm.res,IF($I184=_xlpm.latest,$J184,""),IF($I184&lt;&gt;_xlpm.latest,"(superseded)",IF(_xlpm.res="","Pending",IF(_xlpm.res="Pass","Qualified",IF(AND(_xlpm.res="Fail",$N184&gt;=$F184),"FAILED OUT","Needs Remediation"))))))</f>
        <v/>
      </c>
      <c r="P184" s="15">
        <f>IF($C184="","",IF($O184="FAILED OUT","Yes","No"))</f>
        <v/>
      </c>
      <c r="Q184" s="14" t="n"/>
    </row>
    <row r="185">
      <c r="B185" s="15">
        <f>IF($C185="","",$D185&amp;"-"&amp;$E185&amp;"-"&amp;$I185)</f>
        <v/>
      </c>
      <c r="C185" s="14" t="n"/>
      <c r="D185" s="15">
        <f>IF($C185="","",IFERROR(INDEX(rngCadetPIDs,MATCH($C185,rngCadetNames,0)),"?"))</f>
        <v/>
      </c>
      <c r="E185" s="14" t="n"/>
      <c r="F185" s="15">
        <f>IF($E185="","",IFERROR(INDEX(rngSM_max,MATCH($E185,rngSM_cat,0)),""))</f>
        <v/>
      </c>
      <c r="G185" s="15">
        <f>IF($E185="","",IFERROR(INDEX(rngSM_mode,MATCH($E185,rngSM_cat,0)),""))</f>
        <v/>
      </c>
      <c r="H185" s="15">
        <f>IF($E185="","",IFERROR(INDEX(rngSM_pass,MATCH($E185,rngSM_cat,0)),""))</f>
        <v/>
      </c>
      <c r="I185" s="14" t="n"/>
      <c r="J185" s="14" t="n"/>
      <c r="K185" s="14" t="n"/>
      <c r="L185" s="16" t="n"/>
      <c r="M185" s="14" t="n"/>
      <c r="N185" s="15">
        <f>IF($C185="","",COUNTIFS(nrSK_PID,$D185,nrSK_Cat,$E185))</f>
        <v/>
      </c>
      <c r="O185" s="15">
        <f>IF($C185="","",_xlfn.LET(_xlpm.latest,_xlfn.MAXIFS(nrSK_Att,nrSK_PID,$D185,nrSK_Cat,$E185),_xlpm.res,IF($I185=_xlpm.latest,$J185,""),IF($I185&lt;&gt;_xlpm.latest,"(superseded)",IF(_xlpm.res="","Pending",IF(_xlpm.res="Pass","Qualified",IF(AND(_xlpm.res="Fail",$N185&gt;=$F185),"FAILED OUT","Needs Remediation"))))))</f>
        <v/>
      </c>
      <c r="P185" s="15">
        <f>IF($C185="","",IF($O185="FAILED OUT","Yes","No"))</f>
        <v/>
      </c>
      <c r="Q185" s="14" t="n"/>
    </row>
    <row r="186">
      <c r="B186" s="15">
        <f>IF($C186="","",$D186&amp;"-"&amp;$E186&amp;"-"&amp;$I186)</f>
        <v/>
      </c>
      <c r="C186" s="14" t="n"/>
      <c r="D186" s="15">
        <f>IF($C186="","",IFERROR(INDEX(rngCadetPIDs,MATCH($C186,rngCadetNames,0)),"?"))</f>
        <v/>
      </c>
      <c r="E186" s="14" t="n"/>
      <c r="F186" s="15">
        <f>IF($E186="","",IFERROR(INDEX(rngSM_max,MATCH($E186,rngSM_cat,0)),""))</f>
        <v/>
      </c>
      <c r="G186" s="15">
        <f>IF($E186="","",IFERROR(INDEX(rngSM_mode,MATCH($E186,rngSM_cat,0)),""))</f>
        <v/>
      </c>
      <c r="H186" s="15">
        <f>IF($E186="","",IFERROR(INDEX(rngSM_pass,MATCH($E186,rngSM_cat,0)),""))</f>
        <v/>
      </c>
      <c r="I186" s="14" t="n"/>
      <c r="J186" s="14" t="n"/>
      <c r="K186" s="14" t="n"/>
      <c r="L186" s="16" t="n"/>
      <c r="M186" s="14" t="n"/>
      <c r="N186" s="15">
        <f>IF($C186="","",COUNTIFS(nrSK_PID,$D186,nrSK_Cat,$E186))</f>
        <v/>
      </c>
      <c r="O186" s="15">
        <f>IF($C186="","",_xlfn.LET(_xlpm.latest,_xlfn.MAXIFS(nrSK_Att,nrSK_PID,$D186,nrSK_Cat,$E186),_xlpm.res,IF($I186=_xlpm.latest,$J186,""),IF($I186&lt;&gt;_xlpm.latest,"(superseded)",IF(_xlpm.res="","Pending",IF(_xlpm.res="Pass","Qualified",IF(AND(_xlpm.res="Fail",$N186&gt;=$F186),"FAILED OUT","Needs Remediation"))))))</f>
        <v/>
      </c>
      <c r="P186" s="15">
        <f>IF($C186="","",IF($O186="FAILED OUT","Yes","No"))</f>
        <v/>
      </c>
      <c r="Q186" s="14" t="n"/>
    </row>
    <row r="187">
      <c r="B187" s="15">
        <f>IF($C187="","",$D187&amp;"-"&amp;$E187&amp;"-"&amp;$I187)</f>
        <v/>
      </c>
      <c r="C187" s="14" t="n"/>
      <c r="D187" s="15">
        <f>IF($C187="","",IFERROR(INDEX(rngCadetPIDs,MATCH($C187,rngCadetNames,0)),"?"))</f>
        <v/>
      </c>
      <c r="E187" s="14" t="n"/>
      <c r="F187" s="15">
        <f>IF($E187="","",IFERROR(INDEX(rngSM_max,MATCH($E187,rngSM_cat,0)),""))</f>
        <v/>
      </c>
      <c r="G187" s="15">
        <f>IF($E187="","",IFERROR(INDEX(rngSM_mode,MATCH($E187,rngSM_cat,0)),""))</f>
        <v/>
      </c>
      <c r="H187" s="15">
        <f>IF($E187="","",IFERROR(INDEX(rngSM_pass,MATCH($E187,rngSM_cat,0)),""))</f>
        <v/>
      </c>
      <c r="I187" s="14" t="n"/>
      <c r="J187" s="14" t="n"/>
      <c r="K187" s="14" t="n"/>
      <c r="L187" s="16" t="n"/>
      <c r="M187" s="14" t="n"/>
      <c r="N187" s="15">
        <f>IF($C187="","",COUNTIFS(nrSK_PID,$D187,nrSK_Cat,$E187))</f>
        <v/>
      </c>
      <c r="O187" s="15">
        <f>IF($C187="","",_xlfn.LET(_xlpm.latest,_xlfn.MAXIFS(nrSK_Att,nrSK_PID,$D187,nrSK_Cat,$E187),_xlpm.res,IF($I187=_xlpm.latest,$J187,""),IF($I187&lt;&gt;_xlpm.latest,"(superseded)",IF(_xlpm.res="","Pending",IF(_xlpm.res="Pass","Qualified",IF(AND(_xlpm.res="Fail",$N187&gt;=$F187),"FAILED OUT","Needs Remediation"))))))</f>
        <v/>
      </c>
      <c r="P187" s="15">
        <f>IF($C187="","",IF($O187="FAILED OUT","Yes","No"))</f>
        <v/>
      </c>
      <c r="Q187" s="14" t="n"/>
    </row>
    <row r="188">
      <c r="B188" s="15">
        <f>IF($C188="","",$D188&amp;"-"&amp;$E188&amp;"-"&amp;$I188)</f>
        <v/>
      </c>
      <c r="C188" s="14" t="n"/>
      <c r="D188" s="15">
        <f>IF($C188="","",IFERROR(INDEX(rngCadetPIDs,MATCH($C188,rngCadetNames,0)),"?"))</f>
        <v/>
      </c>
      <c r="E188" s="14" t="n"/>
      <c r="F188" s="15">
        <f>IF($E188="","",IFERROR(INDEX(rngSM_max,MATCH($E188,rngSM_cat,0)),""))</f>
        <v/>
      </c>
      <c r="G188" s="15">
        <f>IF($E188="","",IFERROR(INDEX(rngSM_mode,MATCH($E188,rngSM_cat,0)),""))</f>
        <v/>
      </c>
      <c r="H188" s="15">
        <f>IF($E188="","",IFERROR(INDEX(rngSM_pass,MATCH($E188,rngSM_cat,0)),""))</f>
        <v/>
      </c>
      <c r="I188" s="14" t="n"/>
      <c r="J188" s="14" t="n"/>
      <c r="K188" s="14" t="n"/>
      <c r="L188" s="16" t="n"/>
      <c r="M188" s="14" t="n"/>
      <c r="N188" s="15">
        <f>IF($C188="","",COUNTIFS(nrSK_PID,$D188,nrSK_Cat,$E188))</f>
        <v/>
      </c>
      <c r="O188" s="15">
        <f>IF($C188="","",_xlfn.LET(_xlpm.latest,_xlfn.MAXIFS(nrSK_Att,nrSK_PID,$D188,nrSK_Cat,$E188),_xlpm.res,IF($I188=_xlpm.latest,$J188,""),IF($I188&lt;&gt;_xlpm.latest,"(superseded)",IF(_xlpm.res="","Pending",IF(_xlpm.res="Pass","Qualified",IF(AND(_xlpm.res="Fail",$N188&gt;=$F188),"FAILED OUT","Needs Remediation"))))))</f>
        <v/>
      </c>
      <c r="P188" s="15">
        <f>IF($C188="","",IF($O188="FAILED OUT","Yes","No"))</f>
        <v/>
      </c>
      <c r="Q188" s="14" t="n"/>
    </row>
    <row r="189">
      <c r="B189" s="15">
        <f>IF($C189="","",$D189&amp;"-"&amp;$E189&amp;"-"&amp;$I189)</f>
        <v/>
      </c>
      <c r="C189" s="14" t="n"/>
      <c r="D189" s="15">
        <f>IF($C189="","",IFERROR(INDEX(rngCadetPIDs,MATCH($C189,rngCadetNames,0)),"?"))</f>
        <v/>
      </c>
      <c r="E189" s="14" t="n"/>
      <c r="F189" s="15">
        <f>IF($E189="","",IFERROR(INDEX(rngSM_max,MATCH($E189,rngSM_cat,0)),""))</f>
        <v/>
      </c>
      <c r="G189" s="15">
        <f>IF($E189="","",IFERROR(INDEX(rngSM_mode,MATCH($E189,rngSM_cat,0)),""))</f>
        <v/>
      </c>
      <c r="H189" s="15">
        <f>IF($E189="","",IFERROR(INDEX(rngSM_pass,MATCH($E189,rngSM_cat,0)),""))</f>
        <v/>
      </c>
      <c r="I189" s="14" t="n"/>
      <c r="J189" s="14" t="n"/>
      <c r="K189" s="14" t="n"/>
      <c r="L189" s="16" t="n"/>
      <c r="M189" s="14" t="n"/>
      <c r="N189" s="15">
        <f>IF($C189="","",COUNTIFS(nrSK_PID,$D189,nrSK_Cat,$E189))</f>
        <v/>
      </c>
      <c r="O189" s="15">
        <f>IF($C189="","",_xlfn.LET(_xlpm.latest,_xlfn.MAXIFS(nrSK_Att,nrSK_PID,$D189,nrSK_Cat,$E189),_xlpm.res,IF($I189=_xlpm.latest,$J189,""),IF($I189&lt;&gt;_xlpm.latest,"(superseded)",IF(_xlpm.res="","Pending",IF(_xlpm.res="Pass","Qualified",IF(AND(_xlpm.res="Fail",$N189&gt;=$F189),"FAILED OUT","Needs Remediation"))))))</f>
        <v/>
      </c>
      <c r="P189" s="15">
        <f>IF($C189="","",IF($O189="FAILED OUT","Yes","No"))</f>
        <v/>
      </c>
      <c r="Q189" s="14" t="n"/>
    </row>
    <row r="190">
      <c r="B190" s="15">
        <f>IF($C190="","",$D190&amp;"-"&amp;$E190&amp;"-"&amp;$I190)</f>
        <v/>
      </c>
      <c r="C190" s="14" t="n"/>
      <c r="D190" s="15">
        <f>IF($C190="","",IFERROR(INDEX(rngCadetPIDs,MATCH($C190,rngCadetNames,0)),"?"))</f>
        <v/>
      </c>
      <c r="E190" s="14" t="n"/>
      <c r="F190" s="15">
        <f>IF($E190="","",IFERROR(INDEX(rngSM_max,MATCH($E190,rngSM_cat,0)),""))</f>
        <v/>
      </c>
      <c r="G190" s="15">
        <f>IF($E190="","",IFERROR(INDEX(rngSM_mode,MATCH($E190,rngSM_cat,0)),""))</f>
        <v/>
      </c>
      <c r="H190" s="15">
        <f>IF($E190="","",IFERROR(INDEX(rngSM_pass,MATCH($E190,rngSM_cat,0)),""))</f>
        <v/>
      </c>
      <c r="I190" s="14" t="n"/>
      <c r="J190" s="14" t="n"/>
      <c r="K190" s="14" t="n"/>
      <c r="L190" s="16" t="n"/>
      <c r="M190" s="14" t="n"/>
      <c r="N190" s="15">
        <f>IF($C190="","",COUNTIFS(nrSK_PID,$D190,nrSK_Cat,$E190))</f>
        <v/>
      </c>
      <c r="O190" s="15">
        <f>IF($C190="","",_xlfn.LET(_xlpm.latest,_xlfn.MAXIFS(nrSK_Att,nrSK_PID,$D190,nrSK_Cat,$E190),_xlpm.res,IF($I190=_xlpm.latest,$J190,""),IF($I190&lt;&gt;_xlpm.latest,"(superseded)",IF(_xlpm.res="","Pending",IF(_xlpm.res="Pass","Qualified",IF(AND(_xlpm.res="Fail",$N190&gt;=$F190),"FAILED OUT","Needs Remediation"))))))</f>
        <v/>
      </c>
      <c r="P190" s="15">
        <f>IF($C190="","",IF($O190="FAILED OUT","Yes","No"))</f>
        <v/>
      </c>
      <c r="Q190" s="14" t="n"/>
    </row>
    <row r="191">
      <c r="B191" s="15">
        <f>IF($C191="","",$D191&amp;"-"&amp;$E191&amp;"-"&amp;$I191)</f>
        <v/>
      </c>
      <c r="C191" s="14" t="n"/>
      <c r="D191" s="15">
        <f>IF($C191="","",IFERROR(INDEX(rngCadetPIDs,MATCH($C191,rngCadetNames,0)),"?"))</f>
        <v/>
      </c>
      <c r="E191" s="14" t="n"/>
      <c r="F191" s="15">
        <f>IF($E191="","",IFERROR(INDEX(rngSM_max,MATCH($E191,rngSM_cat,0)),""))</f>
        <v/>
      </c>
      <c r="G191" s="15">
        <f>IF($E191="","",IFERROR(INDEX(rngSM_mode,MATCH($E191,rngSM_cat,0)),""))</f>
        <v/>
      </c>
      <c r="H191" s="15">
        <f>IF($E191="","",IFERROR(INDEX(rngSM_pass,MATCH($E191,rngSM_cat,0)),""))</f>
        <v/>
      </c>
      <c r="I191" s="14" t="n"/>
      <c r="J191" s="14" t="n"/>
      <c r="K191" s="14" t="n"/>
      <c r="L191" s="16" t="n"/>
      <c r="M191" s="14" t="n"/>
      <c r="N191" s="15">
        <f>IF($C191="","",COUNTIFS(nrSK_PID,$D191,nrSK_Cat,$E191))</f>
        <v/>
      </c>
      <c r="O191" s="15">
        <f>IF($C191="","",_xlfn.LET(_xlpm.latest,_xlfn.MAXIFS(nrSK_Att,nrSK_PID,$D191,nrSK_Cat,$E191),_xlpm.res,IF($I191=_xlpm.latest,$J191,""),IF($I191&lt;&gt;_xlpm.latest,"(superseded)",IF(_xlpm.res="","Pending",IF(_xlpm.res="Pass","Qualified",IF(AND(_xlpm.res="Fail",$N191&gt;=$F191),"FAILED OUT","Needs Remediation"))))))</f>
        <v/>
      </c>
      <c r="P191" s="15">
        <f>IF($C191="","",IF($O191="FAILED OUT","Yes","No"))</f>
        <v/>
      </c>
      <c r="Q191" s="14" t="n"/>
    </row>
    <row r="192">
      <c r="B192" s="15">
        <f>IF($C192="","",$D192&amp;"-"&amp;$E192&amp;"-"&amp;$I192)</f>
        <v/>
      </c>
      <c r="C192" s="14" t="n"/>
      <c r="D192" s="15">
        <f>IF($C192="","",IFERROR(INDEX(rngCadetPIDs,MATCH($C192,rngCadetNames,0)),"?"))</f>
        <v/>
      </c>
      <c r="E192" s="14" t="n"/>
      <c r="F192" s="15">
        <f>IF($E192="","",IFERROR(INDEX(rngSM_max,MATCH($E192,rngSM_cat,0)),""))</f>
        <v/>
      </c>
      <c r="G192" s="15">
        <f>IF($E192="","",IFERROR(INDEX(rngSM_mode,MATCH($E192,rngSM_cat,0)),""))</f>
        <v/>
      </c>
      <c r="H192" s="15">
        <f>IF($E192="","",IFERROR(INDEX(rngSM_pass,MATCH($E192,rngSM_cat,0)),""))</f>
        <v/>
      </c>
      <c r="I192" s="14" t="n"/>
      <c r="J192" s="14" t="n"/>
      <c r="K192" s="14" t="n"/>
      <c r="L192" s="16" t="n"/>
      <c r="M192" s="14" t="n"/>
      <c r="N192" s="15">
        <f>IF($C192="","",COUNTIFS(nrSK_PID,$D192,nrSK_Cat,$E192))</f>
        <v/>
      </c>
      <c r="O192" s="15">
        <f>IF($C192="","",_xlfn.LET(_xlpm.latest,_xlfn.MAXIFS(nrSK_Att,nrSK_PID,$D192,nrSK_Cat,$E192),_xlpm.res,IF($I192=_xlpm.latest,$J192,""),IF($I192&lt;&gt;_xlpm.latest,"(superseded)",IF(_xlpm.res="","Pending",IF(_xlpm.res="Pass","Qualified",IF(AND(_xlpm.res="Fail",$N192&gt;=$F192),"FAILED OUT","Needs Remediation"))))))</f>
        <v/>
      </c>
      <c r="P192" s="15">
        <f>IF($C192="","",IF($O192="FAILED OUT","Yes","No"))</f>
        <v/>
      </c>
      <c r="Q192" s="14" t="n"/>
    </row>
    <row r="193">
      <c r="B193" s="15">
        <f>IF($C193="","",$D193&amp;"-"&amp;$E193&amp;"-"&amp;$I193)</f>
        <v/>
      </c>
      <c r="C193" s="14" t="n"/>
      <c r="D193" s="15">
        <f>IF($C193="","",IFERROR(INDEX(rngCadetPIDs,MATCH($C193,rngCadetNames,0)),"?"))</f>
        <v/>
      </c>
      <c r="E193" s="14" t="n"/>
      <c r="F193" s="15">
        <f>IF($E193="","",IFERROR(INDEX(rngSM_max,MATCH($E193,rngSM_cat,0)),""))</f>
        <v/>
      </c>
      <c r="G193" s="15">
        <f>IF($E193="","",IFERROR(INDEX(rngSM_mode,MATCH($E193,rngSM_cat,0)),""))</f>
        <v/>
      </c>
      <c r="H193" s="15">
        <f>IF($E193="","",IFERROR(INDEX(rngSM_pass,MATCH($E193,rngSM_cat,0)),""))</f>
        <v/>
      </c>
      <c r="I193" s="14" t="n"/>
      <c r="J193" s="14" t="n"/>
      <c r="K193" s="14" t="n"/>
      <c r="L193" s="16" t="n"/>
      <c r="M193" s="14" t="n"/>
      <c r="N193" s="15">
        <f>IF($C193="","",COUNTIFS(nrSK_PID,$D193,nrSK_Cat,$E193))</f>
        <v/>
      </c>
      <c r="O193" s="15">
        <f>IF($C193="","",_xlfn.LET(_xlpm.latest,_xlfn.MAXIFS(nrSK_Att,nrSK_PID,$D193,nrSK_Cat,$E193),_xlpm.res,IF($I193=_xlpm.latest,$J193,""),IF($I193&lt;&gt;_xlpm.latest,"(superseded)",IF(_xlpm.res="","Pending",IF(_xlpm.res="Pass","Qualified",IF(AND(_xlpm.res="Fail",$N193&gt;=$F193),"FAILED OUT","Needs Remediation"))))))</f>
        <v/>
      </c>
      <c r="P193" s="15">
        <f>IF($C193="","",IF($O193="FAILED OUT","Yes","No"))</f>
        <v/>
      </c>
      <c r="Q193" s="14" t="n"/>
    </row>
    <row r="194">
      <c r="B194" s="15">
        <f>IF($C194="","",$D194&amp;"-"&amp;$E194&amp;"-"&amp;$I194)</f>
        <v/>
      </c>
      <c r="C194" s="14" t="n"/>
      <c r="D194" s="15">
        <f>IF($C194="","",IFERROR(INDEX(rngCadetPIDs,MATCH($C194,rngCadetNames,0)),"?"))</f>
        <v/>
      </c>
      <c r="E194" s="14" t="n"/>
      <c r="F194" s="15">
        <f>IF($E194="","",IFERROR(INDEX(rngSM_max,MATCH($E194,rngSM_cat,0)),""))</f>
        <v/>
      </c>
      <c r="G194" s="15">
        <f>IF($E194="","",IFERROR(INDEX(rngSM_mode,MATCH($E194,rngSM_cat,0)),""))</f>
        <v/>
      </c>
      <c r="H194" s="15">
        <f>IF($E194="","",IFERROR(INDEX(rngSM_pass,MATCH($E194,rngSM_cat,0)),""))</f>
        <v/>
      </c>
      <c r="I194" s="14" t="n"/>
      <c r="J194" s="14" t="n"/>
      <c r="K194" s="14" t="n"/>
      <c r="L194" s="16" t="n"/>
      <c r="M194" s="14" t="n"/>
      <c r="N194" s="15">
        <f>IF($C194="","",COUNTIFS(nrSK_PID,$D194,nrSK_Cat,$E194))</f>
        <v/>
      </c>
      <c r="O194" s="15">
        <f>IF($C194="","",_xlfn.LET(_xlpm.latest,_xlfn.MAXIFS(nrSK_Att,nrSK_PID,$D194,nrSK_Cat,$E194),_xlpm.res,IF($I194=_xlpm.latest,$J194,""),IF($I194&lt;&gt;_xlpm.latest,"(superseded)",IF(_xlpm.res="","Pending",IF(_xlpm.res="Pass","Qualified",IF(AND(_xlpm.res="Fail",$N194&gt;=$F194),"FAILED OUT","Needs Remediation"))))))</f>
        <v/>
      </c>
      <c r="P194" s="15">
        <f>IF($C194="","",IF($O194="FAILED OUT","Yes","No"))</f>
        <v/>
      </c>
      <c r="Q194" s="14" t="n"/>
    </row>
    <row r="195">
      <c r="B195" s="15">
        <f>IF($C195="","",$D195&amp;"-"&amp;$E195&amp;"-"&amp;$I195)</f>
        <v/>
      </c>
      <c r="C195" s="14" t="n"/>
      <c r="D195" s="15">
        <f>IF($C195="","",IFERROR(INDEX(rngCadetPIDs,MATCH($C195,rngCadetNames,0)),"?"))</f>
        <v/>
      </c>
      <c r="E195" s="14" t="n"/>
      <c r="F195" s="15">
        <f>IF($E195="","",IFERROR(INDEX(rngSM_max,MATCH($E195,rngSM_cat,0)),""))</f>
        <v/>
      </c>
      <c r="G195" s="15">
        <f>IF($E195="","",IFERROR(INDEX(rngSM_mode,MATCH($E195,rngSM_cat,0)),""))</f>
        <v/>
      </c>
      <c r="H195" s="15">
        <f>IF($E195="","",IFERROR(INDEX(rngSM_pass,MATCH($E195,rngSM_cat,0)),""))</f>
        <v/>
      </c>
      <c r="I195" s="14" t="n"/>
      <c r="J195" s="14" t="n"/>
      <c r="K195" s="14" t="n"/>
      <c r="L195" s="16" t="n"/>
      <c r="M195" s="14" t="n"/>
      <c r="N195" s="15">
        <f>IF($C195="","",COUNTIFS(nrSK_PID,$D195,nrSK_Cat,$E195))</f>
        <v/>
      </c>
      <c r="O195" s="15">
        <f>IF($C195="","",_xlfn.LET(_xlpm.latest,_xlfn.MAXIFS(nrSK_Att,nrSK_PID,$D195,nrSK_Cat,$E195),_xlpm.res,IF($I195=_xlpm.latest,$J195,""),IF($I195&lt;&gt;_xlpm.latest,"(superseded)",IF(_xlpm.res="","Pending",IF(_xlpm.res="Pass","Qualified",IF(AND(_xlpm.res="Fail",$N195&gt;=$F195),"FAILED OUT","Needs Remediation"))))))</f>
        <v/>
      </c>
      <c r="P195" s="15">
        <f>IF($C195="","",IF($O195="FAILED OUT","Yes","No"))</f>
        <v/>
      </c>
      <c r="Q195" s="14" t="n"/>
    </row>
    <row r="196">
      <c r="B196" s="15">
        <f>IF($C196="","",$D196&amp;"-"&amp;$E196&amp;"-"&amp;$I196)</f>
        <v/>
      </c>
      <c r="C196" s="14" t="n"/>
      <c r="D196" s="15">
        <f>IF($C196="","",IFERROR(INDEX(rngCadetPIDs,MATCH($C196,rngCadetNames,0)),"?"))</f>
        <v/>
      </c>
      <c r="E196" s="14" t="n"/>
      <c r="F196" s="15">
        <f>IF($E196="","",IFERROR(INDEX(rngSM_max,MATCH($E196,rngSM_cat,0)),""))</f>
        <v/>
      </c>
      <c r="G196" s="15">
        <f>IF($E196="","",IFERROR(INDEX(rngSM_mode,MATCH($E196,rngSM_cat,0)),""))</f>
        <v/>
      </c>
      <c r="H196" s="15">
        <f>IF($E196="","",IFERROR(INDEX(rngSM_pass,MATCH($E196,rngSM_cat,0)),""))</f>
        <v/>
      </c>
      <c r="I196" s="14" t="n"/>
      <c r="J196" s="14" t="n"/>
      <c r="K196" s="14" t="n"/>
      <c r="L196" s="16" t="n"/>
      <c r="M196" s="14" t="n"/>
      <c r="N196" s="15">
        <f>IF($C196="","",COUNTIFS(nrSK_PID,$D196,nrSK_Cat,$E196))</f>
        <v/>
      </c>
      <c r="O196" s="15">
        <f>IF($C196="","",_xlfn.LET(_xlpm.latest,_xlfn.MAXIFS(nrSK_Att,nrSK_PID,$D196,nrSK_Cat,$E196),_xlpm.res,IF($I196=_xlpm.latest,$J196,""),IF($I196&lt;&gt;_xlpm.latest,"(superseded)",IF(_xlpm.res="","Pending",IF(_xlpm.res="Pass","Qualified",IF(AND(_xlpm.res="Fail",$N196&gt;=$F196),"FAILED OUT","Needs Remediation"))))))</f>
        <v/>
      </c>
      <c r="P196" s="15">
        <f>IF($C196="","",IF($O196="FAILED OUT","Yes","No"))</f>
        <v/>
      </c>
      <c r="Q196" s="14" t="n"/>
    </row>
    <row r="197">
      <c r="B197" s="15">
        <f>IF($C197="","",$D197&amp;"-"&amp;$E197&amp;"-"&amp;$I197)</f>
        <v/>
      </c>
      <c r="C197" s="14" t="n"/>
      <c r="D197" s="15">
        <f>IF($C197="","",IFERROR(INDEX(rngCadetPIDs,MATCH($C197,rngCadetNames,0)),"?"))</f>
        <v/>
      </c>
      <c r="E197" s="14" t="n"/>
      <c r="F197" s="15">
        <f>IF($E197="","",IFERROR(INDEX(rngSM_max,MATCH($E197,rngSM_cat,0)),""))</f>
        <v/>
      </c>
      <c r="G197" s="15">
        <f>IF($E197="","",IFERROR(INDEX(rngSM_mode,MATCH($E197,rngSM_cat,0)),""))</f>
        <v/>
      </c>
      <c r="H197" s="15">
        <f>IF($E197="","",IFERROR(INDEX(rngSM_pass,MATCH($E197,rngSM_cat,0)),""))</f>
        <v/>
      </c>
      <c r="I197" s="14" t="n"/>
      <c r="J197" s="14" t="n"/>
      <c r="K197" s="14" t="n"/>
      <c r="L197" s="16" t="n"/>
      <c r="M197" s="14" t="n"/>
      <c r="N197" s="15">
        <f>IF($C197="","",COUNTIFS(nrSK_PID,$D197,nrSK_Cat,$E197))</f>
        <v/>
      </c>
      <c r="O197" s="15">
        <f>IF($C197="","",_xlfn.LET(_xlpm.latest,_xlfn.MAXIFS(nrSK_Att,nrSK_PID,$D197,nrSK_Cat,$E197),_xlpm.res,IF($I197=_xlpm.latest,$J197,""),IF($I197&lt;&gt;_xlpm.latest,"(superseded)",IF(_xlpm.res="","Pending",IF(_xlpm.res="Pass","Qualified",IF(AND(_xlpm.res="Fail",$N197&gt;=$F197),"FAILED OUT","Needs Remediation"))))))</f>
        <v/>
      </c>
      <c r="P197" s="15">
        <f>IF($C197="","",IF($O197="FAILED OUT","Yes","No"))</f>
        <v/>
      </c>
      <c r="Q197" s="14" t="n"/>
    </row>
    <row r="198">
      <c r="B198" s="15">
        <f>IF($C198="","",$D198&amp;"-"&amp;$E198&amp;"-"&amp;$I198)</f>
        <v/>
      </c>
      <c r="C198" s="14" t="n"/>
      <c r="D198" s="15">
        <f>IF($C198="","",IFERROR(INDEX(rngCadetPIDs,MATCH($C198,rngCadetNames,0)),"?"))</f>
        <v/>
      </c>
      <c r="E198" s="14" t="n"/>
      <c r="F198" s="15">
        <f>IF($E198="","",IFERROR(INDEX(rngSM_max,MATCH($E198,rngSM_cat,0)),""))</f>
        <v/>
      </c>
      <c r="G198" s="15">
        <f>IF($E198="","",IFERROR(INDEX(rngSM_mode,MATCH($E198,rngSM_cat,0)),""))</f>
        <v/>
      </c>
      <c r="H198" s="15">
        <f>IF($E198="","",IFERROR(INDEX(rngSM_pass,MATCH($E198,rngSM_cat,0)),""))</f>
        <v/>
      </c>
      <c r="I198" s="14" t="n"/>
      <c r="J198" s="14" t="n"/>
      <c r="K198" s="14" t="n"/>
      <c r="L198" s="16" t="n"/>
      <c r="M198" s="14" t="n"/>
      <c r="N198" s="15">
        <f>IF($C198="","",COUNTIFS(nrSK_PID,$D198,nrSK_Cat,$E198))</f>
        <v/>
      </c>
      <c r="O198" s="15">
        <f>IF($C198="","",_xlfn.LET(_xlpm.latest,_xlfn.MAXIFS(nrSK_Att,nrSK_PID,$D198,nrSK_Cat,$E198),_xlpm.res,IF($I198=_xlpm.latest,$J198,""),IF($I198&lt;&gt;_xlpm.latest,"(superseded)",IF(_xlpm.res="","Pending",IF(_xlpm.res="Pass","Qualified",IF(AND(_xlpm.res="Fail",$N198&gt;=$F198),"FAILED OUT","Needs Remediation"))))))</f>
        <v/>
      </c>
      <c r="P198" s="15">
        <f>IF($C198="","",IF($O198="FAILED OUT","Yes","No"))</f>
        <v/>
      </c>
      <c r="Q198" s="14" t="n"/>
    </row>
    <row r="199">
      <c r="B199" s="15">
        <f>IF($C199="","",$D199&amp;"-"&amp;$E199&amp;"-"&amp;$I199)</f>
        <v/>
      </c>
      <c r="C199" s="14" t="n"/>
      <c r="D199" s="15">
        <f>IF($C199="","",IFERROR(INDEX(rngCadetPIDs,MATCH($C199,rngCadetNames,0)),"?"))</f>
        <v/>
      </c>
      <c r="E199" s="14" t="n"/>
      <c r="F199" s="15">
        <f>IF($E199="","",IFERROR(INDEX(rngSM_max,MATCH($E199,rngSM_cat,0)),""))</f>
        <v/>
      </c>
      <c r="G199" s="15">
        <f>IF($E199="","",IFERROR(INDEX(rngSM_mode,MATCH($E199,rngSM_cat,0)),""))</f>
        <v/>
      </c>
      <c r="H199" s="15">
        <f>IF($E199="","",IFERROR(INDEX(rngSM_pass,MATCH($E199,rngSM_cat,0)),""))</f>
        <v/>
      </c>
      <c r="I199" s="14" t="n"/>
      <c r="J199" s="14" t="n"/>
      <c r="K199" s="14" t="n"/>
      <c r="L199" s="16" t="n"/>
      <c r="M199" s="14" t="n"/>
      <c r="N199" s="15">
        <f>IF($C199="","",COUNTIFS(nrSK_PID,$D199,nrSK_Cat,$E199))</f>
        <v/>
      </c>
      <c r="O199" s="15">
        <f>IF($C199="","",_xlfn.LET(_xlpm.latest,_xlfn.MAXIFS(nrSK_Att,nrSK_PID,$D199,nrSK_Cat,$E199),_xlpm.res,IF($I199=_xlpm.latest,$J199,""),IF($I199&lt;&gt;_xlpm.latest,"(superseded)",IF(_xlpm.res="","Pending",IF(_xlpm.res="Pass","Qualified",IF(AND(_xlpm.res="Fail",$N199&gt;=$F199),"FAILED OUT","Needs Remediation"))))))</f>
        <v/>
      </c>
      <c r="P199" s="15">
        <f>IF($C199="","",IF($O199="FAILED OUT","Yes","No"))</f>
        <v/>
      </c>
      <c r="Q199" s="14" t="n"/>
    </row>
    <row r="200">
      <c r="B200" s="15">
        <f>IF($C200="","",$D200&amp;"-"&amp;$E200&amp;"-"&amp;$I200)</f>
        <v/>
      </c>
      <c r="C200" s="14" t="n"/>
      <c r="D200" s="15">
        <f>IF($C200="","",IFERROR(INDEX(rngCadetPIDs,MATCH($C200,rngCadetNames,0)),"?"))</f>
        <v/>
      </c>
      <c r="E200" s="14" t="n"/>
      <c r="F200" s="15">
        <f>IF($E200="","",IFERROR(INDEX(rngSM_max,MATCH($E200,rngSM_cat,0)),""))</f>
        <v/>
      </c>
      <c r="G200" s="15">
        <f>IF($E200="","",IFERROR(INDEX(rngSM_mode,MATCH($E200,rngSM_cat,0)),""))</f>
        <v/>
      </c>
      <c r="H200" s="15">
        <f>IF($E200="","",IFERROR(INDEX(rngSM_pass,MATCH($E200,rngSM_cat,0)),""))</f>
        <v/>
      </c>
      <c r="I200" s="14" t="n"/>
      <c r="J200" s="14" t="n"/>
      <c r="K200" s="14" t="n"/>
      <c r="L200" s="16" t="n"/>
      <c r="M200" s="14" t="n"/>
      <c r="N200" s="15">
        <f>IF($C200="","",COUNTIFS(nrSK_PID,$D200,nrSK_Cat,$E200))</f>
        <v/>
      </c>
      <c r="O200" s="15">
        <f>IF($C200="","",_xlfn.LET(_xlpm.latest,_xlfn.MAXIFS(nrSK_Att,nrSK_PID,$D200,nrSK_Cat,$E200),_xlpm.res,IF($I200=_xlpm.latest,$J200,""),IF($I200&lt;&gt;_xlpm.latest,"(superseded)",IF(_xlpm.res="","Pending",IF(_xlpm.res="Pass","Qualified",IF(AND(_xlpm.res="Fail",$N200&gt;=$F200),"FAILED OUT","Needs Remediation"))))))</f>
        <v/>
      </c>
      <c r="P200" s="15">
        <f>IF($C200="","",IF($O200="FAILED OUT","Yes","No"))</f>
        <v/>
      </c>
      <c r="Q200" s="14" t="n"/>
    </row>
    <row r="201">
      <c r="B201" s="15">
        <f>IF($C201="","",$D201&amp;"-"&amp;$E201&amp;"-"&amp;$I201)</f>
        <v/>
      </c>
      <c r="C201" s="14" t="n"/>
      <c r="D201" s="15">
        <f>IF($C201="","",IFERROR(INDEX(rngCadetPIDs,MATCH($C201,rngCadetNames,0)),"?"))</f>
        <v/>
      </c>
      <c r="E201" s="14" t="n"/>
      <c r="F201" s="15">
        <f>IF($E201="","",IFERROR(INDEX(rngSM_max,MATCH($E201,rngSM_cat,0)),""))</f>
        <v/>
      </c>
      <c r="G201" s="15">
        <f>IF($E201="","",IFERROR(INDEX(rngSM_mode,MATCH($E201,rngSM_cat,0)),""))</f>
        <v/>
      </c>
      <c r="H201" s="15">
        <f>IF($E201="","",IFERROR(INDEX(rngSM_pass,MATCH($E201,rngSM_cat,0)),""))</f>
        <v/>
      </c>
      <c r="I201" s="14" t="n"/>
      <c r="J201" s="14" t="n"/>
      <c r="K201" s="14" t="n"/>
      <c r="L201" s="16" t="n"/>
      <c r="M201" s="14" t="n"/>
      <c r="N201" s="15">
        <f>IF($C201="","",COUNTIFS(nrSK_PID,$D201,nrSK_Cat,$E201))</f>
        <v/>
      </c>
      <c r="O201" s="15">
        <f>IF($C201="","",_xlfn.LET(_xlpm.latest,_xlfn.MAXIFS(nrSK_Att,nrSK_PID,$D201,nrSK_Cat,$E201),_xlpm.res,IF($I201=_xlpm.latest,$J201,""),IF($I201&lt;&gt;_xlpm.latest,"(superseded)",IF(_xlpm.res="","Pending",IF(_xlpm.res="Pass","Qualified",IF(AND(_xlpm.res="Fail",$N201&gt;=$F201),"FAILED OUT","Needs Remediation"))))))</f>
        <v/>
      </c>
      <c r="P201" s="15">
        <f>IF($C201="","",IF($O201="FAILED OUT","Yes","No"))</f>
        <v/>
      </c>
      <c r="Q201" s="14" t="n"/>
    </row>
    <row r="202">
      <c r="B202" s="15">
        <f>IF($C202="","",$D202&amp;"-"&amp;$E202&amp;"-"&amp;$I202)</f>
        <v/>
      </c>
      <c r="C202" s="14" t="n"/>
      <c r="D202" s="15">
        <f>IF($C202="","",IFERROR(INDEX(rngCadetPIDs,MATCH($C202,rngCadetNames,0)),"?"))</f>
        <v/>
      </c>
      <c r="E202" s="14" t="n"/>
      <c r="F202" s="15">
        <f>IF($E202="","",IFERROR(INDEX(rngSM_max,MATCH($E202,rngSM_cat,0)),""))</f>
        <v/>
      </c>
      <c r="G202" s="15">
        <f>IF($E202="","",IFERROR(INDEX(rngSM_mode,MATCH($E202,rngSM_cat,0)),""))</f>
        <v/>
      </c>
      <c r="H202" s="15">
        <f>IF($E202="","",IFERROR(INDEX(rngSM_pass,MATCH($E202,rngSM_cat,0)),""))</f>
        <v/>
      </c>
      <c r="I202" s="14" t="n"/>
      <c r="J202" s="14" t="n"/>
      <c r="K202" s="14" t="n"/>
      <c r="L202" s="16" t="n"/>
      <c r="M202" s="14" t="n"/>
      <c r="N202" s="15">
        <f>IF($C202="","",COUNTIFS(nrSK_PID,$D202,nrSK_Cat,$E202))</f>
        <v/>
      </c>
      <c r="O202" s="15">
        <f>IF($C202="","",_xlfn.LET(_xlpm.latest,_xlfn.MAXIFS(nrSK_Att,nrSK_PID,$D202,nrSK_Cat,$E202),_xlpm.res,IF($I202=_xlpm.latest,$J202,""),IF($I202&lt;&gt;_xlpm.latest,"(superseded)",IF(_xlpm.res="","Pending",IF(_xlpm.res="Pass","Qualified",IF(AND(_xlpm.res="Fail",$N202&gt;=$F202),"FAILED OUT","Needs Remediation"))))))</f>
        <v/>
      </c>
      <c r="P202" s="15">
        <f>IF($C202="","",IF($O202="FAILED OUT","Yes","No"))</f>
        <v/>
      </c>
      <c r="Q202" s="14" t="n"/>
    </row>
    <row r="203">
      <c r="B203" s="15">
        <f>IF($C203="","",$D203&amp;"-"&amp;$E203&amp;"-"&amp;$I203)</f>
        <v/>
      </c>
      <c r="C203" s="14" t="n"/>
      <c r="D203" s="15">
        <f>IF($C203="","",IFERROR(INDEX(rngCadetPIDs,MATCH($C203,rngCadetNames,0)),"?"))</f>
        <v/>
      </c>
      <c r="E203" s="14" t="n"/>
      <c r="F203" s="15">
        <f>IF($E203="","",IFERROR(INDEX(rngSM_max,MATCH($E203,rngSM_cat,0)),""))</f>
        <v/>
      </c>
      <c r="G203" s="15">
        <f>IF($E203="","",IFERROR(INDEX(rngSM_mode,MATCH($E203,rngSM_cat,0)),""))</f>
        <v/>
      </c>
      <c r="H203" s="15">
        <f>IF($E203="","",IFERROR(INDEX(rngSM_pass,MATCH($E203,rngSM_cat,0)),""))</f>
        <v/>
      </c>
      <c r="I203" s="14" t="n"/>
      <c r="J203" s="14" t="n"/>
      <c r="K203" s="14" t="n"/>
      <c r="L203" s="16" t="n"/>
      <c r="M203" s="14" t="n"/>
      <c r="N203" s="15">
        <f>IF($C203="","",COUNTIFS(nrSK_PID,$D203,nrSK_Cat,$E203))</f>
        <v/>
      </c>
      <c r="O203" s="15">
        <f>IF($C203="","",_xlfn.LET(_xlpm.latest,_xlfn.MAXIFS(nrSK_Att,nrSK_PID,$D203,nrSK_Cat,$E203),_xlpm.res,IF($I203=_xlpm.latest,$J203,""),IF($I203&lt;&gt;_xlpm.latest,"(superseded)",IF(_xlpm.res="","Pending",IF(_xlpm.res="Pass","Qualified",IF(AND(_xlpm.res="Fail",$N203&gt;=$F203),"FAILED OUT","Needs Remediation"))))))</f>
        <v/>
      </c>
      <c r="P203" s="15">
        <f>IF($C203="","",IF($O203="FAILED OUT","Yes","No"))</f>
        <v/>
      </c>
      <c r="Q203" s="14" t="n"/>
    </row>
    <row r="204">
      <c r="B204" s="15">
        <f>IF($C204="","",$D204&amp;"-"&amp;$E204&amp;"-"&amp;$I204)</f>
        <v/>
      </c>
      <c r="C204" s="14" t="n"/>
      <c r="D204" s="15">
        <f>IF($C204="","",IFERROR(INDEX(rngCadetPIDs,MATCH($C204,rngCadetNames,0)),"?"))</f>
        <v/>
      </c>
      <c r="E204" s="14" t="n"/>
      <c r="F204" s="15">
        <f>IF($E204="","",IFERROR(INDEX(rngSM_max,MATCH($E204,rngSM_cat,0)),""))</f>
        <v/>
      </c>
      <c r="G204" s="15">
        <f>IF($E204="","",IFERROR(INDEX(rngSM_mode,MATCH($E204,rngSM_cat,0)),""))</f>
        <v/>
      </c>
      <c r="H204" s="15">
        <f>IF($E204="","",IFERROR(INDEX(rngSM_pass,MATCH($E204,rngSM_cat,0)),""))</f>
        <v/>
      </c>
      <c r="I204" s="14" t="n"/>
      <c r="J204" s="14" t="n"/>
      <c r="K204" s="14" t="n"/>
      <c r="L204" s="16" t="n"/>
      <c r="M204" s="14" t="n"/>
      <c r="N204" s="15">
        <f>IF($C204="","",COUNTIFS(nrSK_PID,$D204,nrSK_Cat,$E204))</f>
        <v/>
      </c>
      <c r="O204" s="15">
        <f>IF($C204="","",_xlfn.LET(_xlpm.latest,_xlfn.MAXIFS(nrSK_Att,nrSK_PID,$D204,nrSK_Cat,$E204),_xlpm.res,IF($I204=_xlpm.latest,$J204,""),IF($I204&lt;&gt;_xlpm.latest,"(superseded)",IF(_xlpm.res="","Pending",IF(_xlpm.res="Pass","Qualified",IF(AND(_xlpm.res="Fail",$N204&gt;=$F204),"FAILED OUT","Needs Remediation"))))))</f>
        <v/>
      </c>
      <c r="P204" s="15">
        <f>IF($C204="","",IF($O204="FAILED OUT","Yes","No"))</f>
        <v/>
      </c>
      <c r="Q204" s="14" t="n"/>
    </row>
    <row r="205">
      <c r="B205" s="15">
        <f>IF($C205="","",$D205&amp;"-"&amp;$E205&amp;"-"&amp;$I205)</f>
        <v/>
      </c>
      <c r="C205" s="14" t="n"/>
      <c r="D205" s="15">
        <f>IF($C205="","",IFERROR(INDEX(rngCadetPIDs,MATCH($C205,rngCadetNames,0)),"?"))</f>
        <v/>
      </c>
      <c r="E205" s="14" t="n"/>
      <c r="F205" s="15">
        <f>IF($E205="","",IFERROR(INDEX(rngSM_max,MATCH($E205,rngSM_cat,0)),""))</f>
        <v/>
      </c>
      <c r="G205" s="15">
        <f>IF($E205="","",IFERROR(INDEX(rngSM_mode,MATCH($E205,rngSM_cat,0)),""))</f>
        <v/>
      </c>
      <c r="H205" s="15">
        <f>IF($E205="","",IFERROR(INDEX(rngSM_pass,MATCH($E205,rngSM_cat,0)),""))</f>
        <v/>
      </c>
      <c r="I205" s="14" t="n"/>
      <c r="J205" s="14" t="n"/>
      <c r="K205" s="14" t="n"/>
      <c r="L205" s="16" t="n"/>
      <c r="M205" s="14" t="n"/>
      <c r="N205" s="15">
        <f>IF($C205="","",COUNTIFS(nrSK_PID,$D205,nrSK_Cat,$E205))</f>
        <v/>
      </c>
      <c r="O205" s="15">
        <f>IF($C205="","",_xlfn.LET(_xlpm.latest,_xlfn.MAXIFS(nrSK_Att,nrSK_PID,$D205,nrSK_Cat,$E205),_xlpm.res,IF($I205=_xlpm.latest,$J205,""),IF($I205&lt;&gt;_xlpm.latest,"(superseded)",IF(_xlpm.res="","Pending",IF(_xlpm.res="Pass","Qualified",IF(AND(_xlpm.res="Fail",$N205&gt;=$F205),"FAILED OUT","Needs Remediation"))))))</f>
        <v/>
      </c>
      <c r="P205" s="15">
        <f>IF($C205="","",IF($O205="FAILED OUT","Yes","No"))</f>
        <v/>
      </c>
      <c r="Q205" s="14" t="n"/>
    </row>
    <row r="206">
      <c r="B206" s="15">
        <f>IF($C206="","",$D206&amp;"-"&amp;$E206&amp;"-"&amp;$I206)</f>
        <v/>
      </c>
      <c r="C206" s="14" t="n"/>
      <c r="D206" s="15">
        <f>IF($C206="","",IFERROR(INDEX(rngCadetPIDs,MATCH($C206,rngCadetNames,0)),"?"))</f>
        <v/>
      </c>
      <c r="E206" s="14" t="n"/>
      <c r="F206" s="15">
        <f>IF($E206="","",IFERROR(INDEX(rngSM_max,MATCH($E206,rngSM_cat,0)),""))</f>
        <v/>
      </c>
      <c r="G206" s="15">
        <f>IF($E206="","",IFERROR(INDEX(rngSM_mode,MATCH($E206,rngSM_cat,0)),""))</f>
        <v/>
      </c>
      <c r="H206" s="15">
        <f>IF($E206="","",IFERROR(INDEX(rngSM_pass,MATCH($E206,rngSM_cat,0)),""))</f>
        <v/>
      </c>
      <c r="I206" s="14" t="n"/>
      <c r="J206" s="14" t="n"/>
      <c r="K206" s="14" t="n"/>
      <c r="L206" s="16" t="n"/>
      <c r="M206" s="14" t="n"/>
      <c r="N206" s="15">
        <f>IF($C206="","",COUNTIFS(nrSK_PID,$D206,nrSK_Cat,$E206))</f>
        <v/>
      </c>
      <c r="O206" s="15">
        <f>IF($C206="","",_xlfn.LET(_xlpm.latest,_xlfn.MAXIFS(nrSK_Att,nrSK_PID,$D206,nrSK_Cat,$E206),_xlpm.res,IF($I206=_xlpm.latest,$J206,""),IF($I206&lt;&gt;_xlpm.latest,"(superseded)",IF(_xlpm.res="","Pending",IF(_xlpm.res="Pass","Qualified",IF(AND(_xlpm.res="Fail",$N206&gt;=$F206),"FAILED OUT","Needs Remediation"))))))</f>
        <v/>
      </c>
      <c r="P206" s="15">
        <f>IF($C206="","",IF($O206="FAILED OUT","Yes","No"))</f>
        <v/>
      </c>
      <c r="Q206" s="14" t="n"/>
    </row>
    <row r="207">
      <c r="B207" s="15">
        <f>IF($C207="","",$D207&amp;"-"&amp;$E207&amp;"-"&amp;$I207)</f>
        <v/>
      </c>
      <c r="C207" s="14" t="n"/>
      <c r="D207" s="15">
        <f>IF($C207="","",IFERROR(INDEX(rngCadetPIDs,MATCH($C207,rngCadetNames,0)),"?"))</f>
        <v/>
      </c>
      <c r="E207" s="14" t="n"/>
      <c r="F207" s="15">
        <f>IF($E207="","",IFERROR(INDEX(rngSM_max,MATCH($E207,rngSM_cat,0)),""))</f>
        <v/>
      </c>
      <c r="G207" s="15">
        <f>IF($E207="","",IFERROR(INDEX(rngSM_mode,MATCH($E207,rngSM_cat,0)),""))</f>
        <v/>
      </c>
      <c r="H207" s="15">
        <f>IF($E207="","",IFERROR(INDEX(rngSM_pass,MATCH($E207,rngSM_cat,0)),""))</f>
        <v/>
      </c>
      <c r="I207" s="14" t="n"/>
      <c r="J207" s="14" t="n"/>
      <c r="K207" s="14" t="n"/>
      <c r="L207" s="16" t="n"/>
      <c r="M207" s="14" t="n"/>
      <c r="N207" s="15">
        <f>IF($C207="","",COUNTIFS(nrSK_PID,$D207,nrSK_Cat,$E207))</f>
        <v/>
      </c>
      <c r="O207" s="15">
        <f>IF($C207="","",_xlfn.LET(_xlpm.latest,_xlfn.MAXIFS(nrSK_Att,nrSK_PID,$D207,nrSK_Cat,$E207),_xlpm.res,IF($I207=_xlpm.latest,$J207,""),IF($I207&lt;&gt;_xlpm.latest,"(superseded)",IF(_xlpm.res="","Pending",IF(_xlpm.res="Pass","Qualified",IF(AND(_xlpm.res="Fail",$N207&gt;=$F207),"FAILED OUT","Needs Remediation"))))))</f>
        <v/>
      </c>
      <c r="P207" s="15">
        <f>IF($C207="","",IF($O207="FAILED OUT","Yes","No"))</f>
        <v/>
      </c>
      <c r="Q207" s="14" t="n"/>
    </row>
    <row r="208">
      <c r="B208" s="15">
        <f>IF($C208="","",$D208&amp;"-"&amp;$E208&amp;"-"&amp;$I208)</f>
        <v/>
      </c>
      <c r="C208" s="14" t="n"/>
      <c r="D208" s="15">
        <f>IF($C208="","",IFERROR(INDEX(rngCadetPIDs,MATCH($C208,rngCadetNames,0)),"?"))</f>
        <v/>
      </c>
      <c r="E208" s="14" t="n"/>
      <c r="F208" s="15">
        <f>IF($E208="","",IFERROR(INDEX(rngSM_max,MATCH($E208,rngSM_cat,0)),""))</f>
        <v/>
      </c>
      <c r="G208" s="15">
        <f>IF($E208="","",IFERROR(INDEX(rngSM_mode,MATCH($E208,rngSM_cat,0)),""))</f>
        <v/>
      </c>
      <c r="H208" s="15">
        <f>IF($E208="","",IFERROR(INDEX(rngSM_pass,MATCH($E208,rngSM_cat,0)),""))</f>
        <v/>
      </c>
      <c r="I208" s="14" t="n"/>
      <c r="J208" s="14" t="n"/>
      <c r="K208" s="14" t="n"/>
      <c r="L208" s="16" t="n"/>
      <c r="M208" s="14" t="n"/>
      <c r="N208" s="15">
        <f>IF($C208="","",COUNTIFS(nrSK_PID,$D208,nrSK_Cat,$E208))</f>
        <v/>
      </c>
      <c r="O208" s="15">
        <f>IF($C208="","",_xlfn.LET(_xlpm.latest,_xlfn.MAXIFS(nrSK_Att,nrSK_PID,$D208,nrSK_Cat,$E208),_xlpm.res,IF($I208=_xlpm.latest,$J208,""),IF($I208&lt;&gt;_xlpm.latest,"(superseded)",IF(_xlpm.res="","Pending",IF(_xlpm.res="Pass","Qualified",IF(AND(_xlpm.res="Fail",$N208&gt;=$F208),"FAILED OUT","Needs Remediation"))))))</f>
        <v/>
      </c>
      <c r="P208" s="15">
        <f>IF($C208="","",IF($O208="FAILED OUT","Yes","No"))</f>
        <v/>
      </c>
      <c r="Q208" s="14" t="n"/>
    </row>
    <row r="209">
      <c r="B209" s="15">
        <f>IF($C209="","",$D209&amp;"-"&amp;$E209&amp;"-"&amp;$I209)</f>
        <v/>
      </c>
      <c r="C209" s="14" t="n"/>
      <c r="D209" s="15">
        <f>IF($C209="","",IFERROR(INDEX(rngCadetPIDs,MATCH($C209,rngCadetNames,0)),"?"))</f>
        <v/>
      </c>
      <c r="E209" s="14" t="n"/>
      <c r="F209" s="15">
        <f>IF($E209="","",IFERROR(INDEX(rngSM_max,MATCH($E209,rngSM_cat,0)),""))</f>
        <v/>
      </c>
      <c r="G209" s="15">
        <f>IF($E209="","",IFERROR(INDEX(rngSM_mode,MATCH($E209,rngSM_cat,0)),""))</f>
        <v/>
      </c>
      <c r="H209" s="15">
        <f>IF($E209="","",IFERROR(INDEX(rngSM_pass,MATCH($E209,rngSM_cat,0)),""))</f>
        <v/>
      </c>
      <c r="I209" s="14" t="n"/>
      <c r="J209" s="14" t="n"/>
      <c r="K209" s="14" t="n"/>
      <c r="L209" s="16" t="n"/>
      <c r="M209" s="14" t="n"/>
      <c r="N209" s="15">
        <f>IF($C209="","",COUNTIFS(nrSK_PID,$D209,nrSK_Cat,$E209))</f>
        <v/>
      </c>
      <c r="O209" s="15">
        <f>IF($C209="","",_xlfn.LET(_xlpm.latest,_xlfn.MAXIFS(nrSK_Att,nrSK_PID,$D209,nrSK_Cat,$E209),_xlpm.res,IF($I209=_xlpm.latest,$J209,""),IF($I209&lt;&gt;_xlpm.latest,"(superseded)",IF(_xlpm.res="","Pending",IF(_xlpm.res="Pass","Qualified",IF(AND(_xlpm.res="Fail",$N209&gt;=$F209),"FAILED OUT","Needs Remediation"))))))</f>
        <v/>
      </c>
      <c r="P209" s="15">
        <f>IF($C209="","",IF($O209="FAILED OUT","Yes","No"))</f>
        <v/>
      </c>
      <c r="Q209" s="14" t="n"/>
    </row>
    <row r="210">
      <c r="B210" s="15">
        <f>IF($C210="","",$D210&amp;"-"&amp;$E210&amp;"-"&amp;$I210)</f>
        <v/>
      </c>
      <c r="C210" s="14" t="n"/>
      <c r="D210" s="15">
        <f>IF($C210="","",IFERROR(INDEX(rngCadetPIDs,MATCH($C210,rngCadetNames,0)),"?"))</f>
        <v/>
      </c>
      <c r="E210" s="14" t="n"/>
      <c r="F210" s="15">
        <f>IF($E210="","",IFERROR(INDEX(rngSM_max,MATCH($E210,rngSM_cat,0)),""))</f>
        <v/>
      </c>
      <c r="G210" s="15">
        <f>IF($E210="","",IFERROR(INDEX(rngSM_mode,MATCH($E210,rngSM_cat,0)),""))</f>
        <v/>
      </c>
      <c r="H210" s="15">
        <f>IF($E210="","",IFERROR(INDEX(rngSM_pass,MATCH($E210,rngSM_cat,0)),""))</f>
        <v/>
      </c>
      <c r="I210" s="14" t="n"/>
      <c r="J210" s="14" t="n"/>
      <c r="K210" s="14" t="n"/>
      <c r="L210" s="16" t="n"/>
      <c r="M210" s="14" t="n"/>
      <c r="N210" s="15">
        <f>IF($C210="","",COUNTIFS(nrSK_PID,$D210,nrSK_Cat,$E210))</f>
        <v/>
      </c>
      <c r="O210" s="15">
        <f>IF($C210="","",_xlfn.LET(_xlpm.latest,_xlfn.MAXIFS(nrSK_Att,nrSK_PID,$D210,nrSK_Cat,$E210),_xlpm.res,IF($I210=_xlpm.latest,$J210,""),IF($I210&lt;&gt;_xlpm.latest,"(superseded)",IF(_xlpm.res="","Pending",IF(_xlpm.res="Pass","Qualified",IF(AND(_xlpm.res="Fail",$N210&gt;=$F210),"FAILED OUT","Needs Remediation"))))))</f>
        <v/>
      </c>
      <c r="P210" s="15">
        <f>IF($C210="","",IF($O210="FAILED OUT","Yes","No"))</f>
        <v/>
      </c>
      <c r="Q210" s="14" t="n"/>
    </row>
    <row r="211">
      <c r="B211" s="15">
        <f>IF($C211="","",$D211&amp;"-"&amp;$E211&amp;"-"&amp;$I211)</f>
        <v/>
      </c>
      <c r="C211" s="14" t="n"/>
      <c r="D211" s="15">
        <f>IF($C211="","",IFERROR(INDEX(rngCadetPIDs,MATCH($C211,rngCadetNames,0)),"?"))</f>
        <v/>
      </c>
      <c r="E211" s="14" t="n"/>
      <c r="F211" s="15">
        <f>IF($E211="","",IFERROR(INDEX(rngSM_max,MATCH($E211,rngSM_cat,0)),""))</f>
        <v/>
      </c>
      <c r="G211" s="15">
        <f>IF($E211="","",IFERROR(INDEX(rngSM_mode,MATCH($E211,rngSM_cat,0)),""))</f>
        <v/>
      </c>
      <c r="H211" s="15">
        <f>IF($E211="","",IFERROR(INDEX(rngSM_pass,MATCH($E211,rngSM_cat,0)),""))</f>
        <v/>
      </c>
      <c r="I211" s="14" t="n"/>
      <c r="J211" s="14" t="n"/>
      <c r="K211" s="14" t="n"/>
      <c r="L211" s="16" t="n"/>
      <c r="M211" s="14" t="n"/>
      <c r="N211" s="15">
        <f>IF($C211="","",COUNTIFS(nrSK_PID,$D211,nrSK_Cat,$E211))</f>
        <v/>
      </c>
      <c r="O211" s="15">
        <f>IF($C211="","",_xlfn.LET(_xlpm.latest,_xlfn.MAXIFS(nrSK_Att,nrSK_PID,$D211,nrSK_Cat,$E211),_xlpm.res,IF($I211=_xlpm.latest,$J211,""),IF($I211&lt;&gt;_xlpm.latest,"(superseded)",IF(_xlpm.res="","Pending",IF(_xlpm.res="Pass","Qualified",IF(AND(_xlpm.res="Fail",$N211&gt;=$F211),"FAILED OUT","Needs Remediation"))))))</f>
        <v/>
      </c>
      <c r="P211" s="15">
        <f>IF($C211="","",IF($O211="FAILED OUT","Yes","No"))</f>
        <v/>
      </c>
      <c r="Q211" s="14" t="n"/>
    </row>
    <row r="212">
      <c r="B212" s="15">
        <f>IF($C212="","",$D212&amp;"-"&amp;$E212&amp;"-"&amp;$I212)</f>
        <v/>
      </c>
      <c r="C212" s="14" t="n"/>
      <c r="D212" s="15">
        <f>IF($C212="","",IFERROR(INDEX(rngCadetPIDs,MATCH($C212,rngCadetNames,0)),"?"))</f>
        <v/>
      </c>
      <c r="E212" s="14" t="n"/>
      <c r="F212" s="15">
        <f>IF($E212="","",IFERROR(INDEX(rngSM_max,MATCH($E212,rngSM_cat,0)),""))</f>
        <v/>
      </c>
      <c r="G212" s="15">
        <f>IF($E212="","",IFERROR(INDEX(rngSM_mode,MATCH($E212,rngSM_cat,0)),""))</f>
        <v/>
      </c>
      <c r="H212" s="15">
        <f>IF($E212="","",IFERROR(INDEX(rngSM_pass,MATCH($E212,rngSM_cat,0)),""))</f>
        <v/>
      </c>
      <c r="I212" s="14" t="n"/>
      <c r="J212" s="14" t="n"/>
      <c r="K212" s="14" t="n"/>
      <c r="L212" s="16" t="n"/>
      <c r="M212" s="14" t="n"/>
      <c r="N212" s="15">
        <f>IF($C212="","",COUNTIFS(nrSK_PID,$D212,nrSK_Cat,$E212))</f>
        <v/>
      </c>
      <c r="O212" s="15">
        <f>IF($C212="","",_xlfn.LET(_xlpm.latest,_xlfn.MAXIFS(nrSK_Att,nrSK_PID,$D212,nrSK_Cat,$E212),_xlpm.res,IF($I212=_xlpm.latest,$J212,""),IF($I212&lt;&gt;_xlpm.latest,"(superseded)",IF(_xlpm.res="","Pending",IF(_xlpm.res="Pass","Qualified",IF(AND(_xlpm.res="Fail",$N212&gt;=$F212),"FAILED OUT","Needs Remediation"))))))</f>
        <v/>
      </c>
      <c r="P212" s="15">
        <f>IF($C212="","",IF($O212="FAILED OUT","Yes","No"))</f>
        <v/>
      </c>
      <c r="Q212" s="14" t="n"/>
    </row>
    <row r="213">
      <c r="B213" s="15">
        <f>IF($C213="","",$D213&amp;"-"&amp;$E213&amp;"-"&amp;$I213)</f>
        <v/>
      </c>
      <c r="C213" s="14" t="n"/>
      <c r="D213" s="15">
        <f>IF($C213="","",IFERROR(INDEX(rngCadetPIDs,MATCH($C213,rngCadetNames,0)),"?"))</f>
        <v/>
      </c>
      <c r="E213" s="14" t="n"/>
      <c r="F213" s="15">
        <f>IF($E213="","",IFERROR(INDEX(rngSM_max,MATCH($E213,rngSM_cat,0)),""))</f>
        <v/>
      </c>
      <c r="G213" s="15">
        <f>IF($E213="","",IFERROR(INDEX(rngSM_mode,MATCH($E213,rngSM_cat,0)),""))</f>
        <v/>
      </c>
      <c r="H213" s="15">
        <f>IF($E213="","",IFERROR(INDEX(rngSM_pass,MATCH($E213,rngSM_cat,0)),""))</f>
        <v/>
      </c>
      <c r="I213" s="14" t="n"/>
      <c r="J213" s="14" t="n"/>
      <c r="K213" s="14" t="n"/>
      <c r="L213" s="16" t="n"/>
      <c r="M213" s="14" t="n"/>
      <c r="N213" s="15">
        <f>IF($C213="","",COUNTIFS(nrSK_PID,$D213,nrSK_Cat,$E213))</f>
        <v/>
      </c>
      <c r="O213" s="15">
        <f>IF($C213="","",_xlfn.LET(_xlpm.latest,_xlfn.MAXIFS(nrSK_Att,nrSK_PID,$D213,nrSK_Cat,$E213),_xlpm.res,IF($I213=_xlpm.latest,$J213,""),IF($I213&lt;&gt;_xlpm.latest,"(superseded)",IF(_xlpm.res="","Pending",IF(_xlpm.res="Pass","Qualified",IF(AND(_xlpm.res="Fail",$N213&gt;=$F213),"FAILED OUT","Needs Remediation"))))))</f>
        <v/>
      </c>
      <c r="P213" s="15">
        <f>IF($C213="","",IF($O213="FAILED OUT","Yes","No"))</f>
        <v/>
      </c>
      <c r="Q213" s="14" t="n"/>
    </row>
    <row r="214">
      <c r="B214" s="15">
        <f>IF($C214="","",$D214&amp;"-"&amp;$E214&amp;"-"&amp;$I214)</f>
        <v/>
      </c>
      <c r="C214" s="14" t="n"/>
      <c r="D214" s="15">
        <f>IF($C214="","",IFERROR(INDEX(rngCadetPIDs,MATCH($C214,rngCadetNames,0)),"?"))</f>
        <v/>
      </c>
      <c r="E214" s="14" t="n"/>
      <c r="F214" s="15">
        <f>IF($E214="","",IFERROR(INDEX(rngSM_max,MATCH($E214,rngSM_cat,0)),""))</f>
        <v/>
      </c>
      <c r="G214" s="15">
        <f>IF($E214="","",IFERROR(INDEX(rngSM_mode,MATCH($E214,rngSM_cat,0)),""))</f>
        <v/>
      </c>
      <c r="H214" s="15">
        <f>IF($E214="","",IFERROR(INDEX(rngSM_pass,MATCH($E214,rngSM_cat,0)),""))</f>
        <v/>
      </c>
      <c r="I214" s="14" t="n"/>
      <c r="J214" s="14" t="n"/>
      <c r="K214" s="14" t="n"/>
      <c r="L214" s="16" t="n"/>
      <c r="M214" s="14" t="n"/>
      <c r="N214" s="15">
        <f>IF($C214="","",COUNTIFS(nrSK_PID,$D214,nrSK_Cat,$E214))</f>
        <v/>
      </c>
      <c r="O214" s="15">
        <f>IF($C214="","",_xlfn.LET(_xlpm.latest,_xlfn.MAXIFS(nrSK_Att,nrSK_PID,$D214,nrSK_Cat,$E214),_xlpm.res,IF($I214=_xlpm.latest,$J214,""),IF($I214&lt;&gt;_xlpm.latest,"(superseded)",IF(_xlpm.res="","Pending",IF(_xlpm.res="Pass","Qualified",IF(AND(_xlpm.res="Fail",$N214&gt;=$F214),"FAILED OUT","Needs Remediation"))))))</f>
        <v/>
      </c>
      <c r="P214" s="15">
        <f>IF($C214="","",IF($O214="FAILED OUT","Yes","No"))</f>
        <v/>
      </c>
      <c r="Q214" s="14" t="n"/>
    </row>
    <row r="215">
      <c r="B215" s="15">
        <f>IF($C215="","",$D215&amp;"-"&amp;$E215&amp;"-"&amp;$I215)</f>
        <v/>
      </c>
      <c r="C215" s="14" t="n"/>
      <c r="D215" s="15">
        <f>IF($C215="","",IFERROR(INDEX(rngCadetPIDs,MATCH($C215,rngCadetNames,0)),"?"))</f>
        <v/>
      </c>
      <c r="E215" s="14" t="n"/>
      <c r="F215" s="15">
        <f>IF($E215="","",IFERROR(INDEX(rngSM_max,MATCH($E215,rngSM_cat,0)),""))</f>
        <v/>
      </c>
      <c r="G215" s="15">
        <f>IF($E215="","",IFERROR(INDEX(rngSM_mode,MATCH($E215,rngSM_cat,0)),""))</f>
        <v/>
      </c>
      <c r="H215" s="15">
        <f>IF($E215="","",IFERROR(INDEX(rngSM_pass,MATCH($E215,rngSM_cat,0)),""))</f>
        <v/>
      </c>
      <c r="I215" s="14" t="n"/>
      <c r="J215" s="14" t="n"/>
      <c r="K215" s="14" t="n"/>
      <c r="L215" s="16" t="n"/>
      <c r="M215" s="14" t="n"/>
      <c r="N215" s="15">
        <f>IF($C215="","",COUNTIFS(nrSK_PID,$D215,nrSK_Cat,$E215))</f>
        <v/>
      </c>
      <c r="O215" s="15">
        <f>IF($C215="","",_xlfn.LET(_xlpm.latest,_xlfn.MAXIFS(nrSK_Att,nrSK_PID,$D215,nrSK_Cat,$E215),_xlpm.res,IF($I215=_xlpm.latest,$J215,""),IF($I215&lt;&gt;_xlpm.latest,"(superseded)",IF(_xlpm.res="","Pending",IF(_xlpm.res="Pass","Qualified",IF(AND(_xlpm.res="Fail",$N215&gt;=$F215),"FAILED OUT","Needs Remediation"))))))</f>
        <v/>
      </c>
      <c r="P215" s="15">
        <f>IF($C215="","",IF($O215="FAILED OUT","Yes","No"))</f>
        <v/>
      </c>
      <c r="Q215" s="14" t="n"/>
    </row>
    <row r="216">
      <c r="B216" s="15">
        <f>IF($C216="","",$D216&amp;"-"&amp;$E216&amp;"-"&amp;$I216)</f>
        <v/>
      </c>
      <c r="C216" s="14" t="n"/>
      <c r="D216" s="15">
        <f>IF($C216="","",IFERROR(INDEX(rngCadetPIDs,MATCH($C216,rngCadetNames,0)),"?"))</f>
        <v/>
      </c>
      <c r="E216" s="14" t="n"/>
      <c r="F216" s="15">
        <f>IF($E216="","",IFERROR(INDEX(rngSM_max,MATCH($E216,rngSM_cat,0)),""))</f>
        <v/>
      </c>
      <c r="G216" s="15">
        <f>IF($E216="","",IFERROR(INDEX(rngSM_mode,MATCH($E216,rngSM_cat,0)),""))</f>
        <v/>
      </c>
      <c r="H216" s="15">
        <f>IF($E216="","",IFERROR(INDEX(rngSM_pass,MATCH($E216,rngSM_cat,0)),""))</f>
        <v/>
      </c>
      <c r="I216" s="14" t="n"/>
      <c r="J216" s="14" t="n"/>
      <c r="K216" s="14" t="n"/>
      <c r="L216" s="16" t="n"/>
      <c r="M216" s="14" t="n"/>
      <c r="N216" s="15">
        <f>IF($C216="","",COUNTIFS(nrSK_PID,$D216,nrSK_Cat,$E216))</f>
        <v/>
      </c>
      <c r="O216" s="15">
        <f>IF($C216="","",_xlfn.LET(_xlpm.latest,_xlfn.MAXIFS(nrSK_Att,nrSK_PID,$D216,nrSK_Cat,$E216),_xlpm.res,IF($I216=_xlpm.latest,$J216,""),IF($I216&lt;&gt;_xlpm.latest,"(superseded)",IF(_xlpm.res="","Pending",IF(_xlpm.res="Pass","Qualified",IF(AND(_xlpm.res="Fail",$N216&gt;=$F216),"FAILED OUT","Needs Remediation"))))))</f>
        <v/>
      </c>
      <c r="P216" s="15">
        <f>IF($C216="","",IF($O216="FAILED OUT","Yes","No"))</f>
        <v/>
      </c>
      <c r="Q216" s="14" t="n"/>
    </row>
    <row r="217">
      <c r="B217" s="15">
        <f>IF($C217="","",$D217&amp;"-"&amp;$E217&amp;"-"&amp;$I217)</f>
        <v/>
      </c>
      <c r="C217" s="14" t="n"/>
      <c r="D217" s="15">
        <f>IF($C217="","",IFERROR(INDEX(rngCadetPIDs,MATCH($C217,rngCadetNames,0)),"?"))</f>
        <v/>
      </c>
      <c r="E217" s="14" t="n"/>
      <c r="F217" s="15">
        <f>IF($E217="","",IFERROR(INDEX(rngSM_max,MATCH($E217,rngSM_cat,0)),""))</f>
        <v/>
      </c>
      <c r="G217" s="15">
        <f>IF($E217="","",IFERROR(INDEX(rngSM_mode,MATCH($E217,rngSM_cat,0)),""))</f>
        <v/>
      </c>
      <c r="H217" s="15">
        <f>IF($E217="","",IFERROR(INDEX(rngSM_pass,MATCH($E217,rngSM_cat,0)),""))</f>
        <v/>
      </c>
      <c r="I217" s="14" t="n"/>
      <c r="J217" s="14" t="n"/>
      <c r="K217" s="14" t="n"/>
      <c r="L217" s="16" t="n"/>
      <c r="M217" s="14" t="n"/>
      <c r="N217" s="15">
        <f>IF($C217="","",COUNTIFS(nrSK_PID,$D217,nrSK_Cat,$E217))</f>
        <v/>
      </c>
      <c r="O217" s="15">
        <f>IF($C217="","",_xlfn.LET(_xlpm.latest,_xlfn.MAXIFS(nrSK_Att,nrSK_PID,$D217,nrSK_Cat,$E217),_xlpm.res,IF($I217=_xlpm.latest,$J217,""),IF($I217&lt;&gt;_xlpm.latest,"(superseded)",IF(_xlpm.res="","Pending",IF(_xlpm.res="Pass","Qualified",IF(AND(_xlpm.res="Fail",$N217&gt;=$F217),"FAILED OUT","Needs Remediation"))))))</f>
        <v/>
      </c>
      <c r="P217" s="15">
        <f>IF($C217="","",IF($O217="FAILED OUT","Yes","No"))</f>
        <v/>
      </c>
      <c r="Q217" s="14" t="n"/>
    </row>
    <row r="218">
      <c r="B218" s="15">
        <f>IF($C218="","",$D218&amp;"-"&amp;$E218&amp;"-"&amp;$I218)</f>
        <v/>
      </c>
      <c r="C218" s="14" t="n"/>
      <c r="D218" s="15">
        <f>IF($C218="","",IFERROR(INDEX(rngCadetPIDs,MATCH($C218,rngCadetNames,0)),"?"))</f>
        <v/>
      </c>
      <c r="E218" s="14" t="n"/>
      <c r="F218" s="15">
        <f>IF($E218="","",IFERROR(INDEX(rngSM_max,MATCH($E218,rngSM_cat,0)),""))</f>
        <v/>
      </c>
      <c r="G218" s="15">
        <f>IF($E218="","",IFERROR(INDEX(rngSM_mode,MATCH($E218,rngSM_cat,0)),""))</f>
        <v/>
      </c>
      <c r="H218" s="15">
        <f>IF($E218="","",IFERROR(INDEX(rngSM_pass,MATCH($E218,rngSM_cat,0)),""))</f>
        <v/>
      </c>
      <c r="I218" s="14" t="n"/>
      <c r="J218" s="14" t="n"/>
      <c r="K218" s="14" t="n"/>
      <c r="L218" s="16" t="n"/>
      <c r="M218" s="14" t="n"/>
      <c r="N218" s="15">
        <f>IF($C218="","",COUNTIFS(nrSK_PID,$D218,nrSK_Cat,$E218))</f>
        <v/>
      </c>
      <c r="O218" s="15">
        <f>IF($C218="","",_xlfn.LET(_xlpm.latest,_xlfn.MAXIFS(nrSK_Att,nrSK_PID,$D218,nrSK_Cat,$E218),_xlpm.res,IF($I218=_xlpm.latest,$J218,""),IF($I218&lt;&gt;_xlpm.latest,"(superseded)",IF(_xlpm.res="","Pending",IF(_xlpm.res="Pass","Qualified",IF(AND(_xlpm.res="Fail",$N218&gt;=$F218),"FAILED OUT","Needs Remediation"))))))</f>
        <v/>
      </c>
      <c r="P218" s="15">
        <f>IF($C218="","",IF($O218="FAILED OUT","Yes","No"))</f>
        <v/>
      </c>
      <c r="Q218" s="14" t="n"/>
    </row>
    <row r="219">
      <c r="B219" s="15">
        <f>IF($C219="","",$D219&amp;"-"&amp;$E219&amp;"-"&amp;$I219)</f>
        <v/>
      </c>
      <c r="C219" s="14" t="n"/>
      <c r="D219" s="15">
        <f>IF($C219="","",IFERROR(INDEX(rngCadetPIDs,MATCH($C219,rngCadetNames,0)),"?"))</f>
        <v/>
      </c>
      <c r="E219" s="14" t="n"/>
      <c r="F219" s="15">
        <f>IF($E219="","",IFERROR(INDEX(rngSM_max,MATCH($E219,rngSM_cat,0)),""))</f>
        <v/>
      </c>
      <c r="G219" s="15">
        <f>IF($E219="","",IFERROR(INDEX(rngSM_mode,MATCH($E219,rngSM_cat,0)),""))</f>
        <v/>
      </c>
      <c r="H219" s="15">
        <f>IF($E219="","",IFERROR(INDEX(rngSM_pass,MATCH($E219,rngSM_cat,0)),""))</f>
        <v/>
      </c>
      <c r="I219" s="14" t="n"/>
      <c r="J219" s="14" t="n"/>
      <c r="K219" s="14" t="n"/>
      <c r="L219" s="16" t="n"/>
      <c r="M219" s="14" t="n"/>
      <c r="N219" s="15">
        <f>IF($C219="","",COUNTIFS(nrSK_PID,$D219,nrSK_Cat,$E219))</f>
        <v/>
      </c>
      <c r="O219" s="15">
        <f>IF($C219="","",_xlfn.LET(_xlpm.latest,_xlfn.MAXIFS(nrSK_Att,nrSK_PID,$D219,nrSK_Cat,$E219),_xlpm.res,IF($I219=_xlpm.latest,$J219,""),IF($I219&lt;&gt;_xlpm.latest,"(superseded)",IF(_xlpm.res="","Pending",IF(_xlpm.res="Pass","Qualified",IF(AND(_xlpm.res="Fail",$N219&gt;=$F219),"FAILED OUT","Needs Remediation"))))))</f>
        <v/>
      </c>
      <c r="P219" s="15">
        <f>IF($C219="","",IF($O219="FAILED OUT","Yes","No"))</f>
        <v/>
      </c>
      <c r="Q219" s="14" t="n"/>
    </row>
    <row r="220">
      <c r="B220" s="15">
        <f>IF($C220="","",$D220&amp;"-"&amp;$E220&amp;"-"&amp;$I220)</f>
        <v/>
      </c>
      <c r="C220" s="14" t="n"/>
      <c r="D220" s="15">
        <f>IF($C220="","",IFERROR(INDEX(rngCadetPIDs,MATCH($C220,rngCadetNames,0)),"?"))</f>
        <v/>
      </c>
      <c r="E220" s="14" t="n"/>
      <c r="F220" s="15">
        <f>IF($E220="","",IFERROR(INDEX(rngSM_max,MATCH($E220,rngSM_cat,0)),""))</f>
        <v/>
      </c>
      <c r="G220" s="15">
        <f>IF($E220="","",IFERROR(INDEX(rngSM_mode,MATCH($E220,rngSM_cat,0)),""))</f>
        <v/>
      </c>
      <c r="H220" s="15">
        <f>IF($E220="","",IFERROR(INDEX(rngSM_pass,MATCH($E220,rngSM_cat,0)),""))</f>
        <v/>
      </c>
      <c r="I220" s="14" t="n"/>
      <c r="J220" s="14" t="n"/>
      <c r="K220" s="14" t="n"/>
      <c r="L220" s="16" t="n"/>
      <c r="M220" s="14" t="n"/>
      <c r="N220" s="15">
        <f>IF($C220="","",COUNTIFS(nrSK_PID,$D220,nrSK_Cat,$E220))</f>
        <v/>
      </c>
      <c r="O220" s="15">
        <f>IF($C220="","",_xlfn.LET(_xlpm.latest,_xlfn.MAXIFS(nrSK_Att,nrSK_PID,$D220,nrSK_Cat,$E220),_xlpm.res,IF($I220=_xlpm.latest,$J220,""),IF($I220&lt;&gt;_xlpm.latest,"(superseded)",IF(_xlpm.res="","Pending",IF(_xlpm.res="Pass","Qualified",IF(AND(_xlpm.res="Fail",$N220&gt;=$F220),"FAILED OUT","Needs Remediation"))))))</f>
        <v/>
      </c>
      <c r="P220" s="15">
        <f>IF($C220="","",IF($O220="FAILED OUT","Yes","No"))</f>
        <v/>
      </c>
      <c r="Q220" s="14" t="n"/>
    </row>
    <row r="221">
      <c r="B221" s="15">
        <f>IF($C221="","",$D221&amp;"-"&amp;$E221&amp;"-"&amp;$I221)</f>
        <v/>
      </c>
      <c r="C221" s="14" t="n"/>
      <c r="D221" s="15">
        <f>IF($C221="","",IFERROR(INDEX(rngCadetPIDs,MATCH($C221,rngCadetNames,0)),"?"))</f>
        <v/>
      </c>
      <c r="E221" s="14" t="n"/>
      <c r="F221" s="15">
        <f>IF($E221="","",IFERROR(INDEX(rngSM_max,MATCH($E221,rngSM_cat,0)),""))</f>
        <v/>
      </c>
      <c r="G221" s="15">
        <f>IF($E221="","",IFERROR(INDEX(rngSM_mode,MATCH($E221,rngSM_cat,0)),""))</f>
        <v/>
      </c>
      <c r="H221" s="15">
        <f>IF($E221="","",IFERROR(INDEX(rngSM_pass,MATCH($E221,rngSM_cat,0)),""))</f>
        <v/>
      </c>
      <c r="I221" s="14" t="n"/>
      <c r="J221" s="14" t="n"/>
      <c r="K221" s="14" t="n"/>
      <c r="L221" s="16" t="n"/>
      <c r="M221" s="14" t="n"/>
      <c r="N221" s="15">
        <f>IF($C221="","",COUNTIFS(nrSK_PID,$D221,nrSK_Cat,$E221))</f>
        <v/>
      </c>
      <c r="O221" s="15">
        <f>IF($C221="","",_xlfn.LET(_xlpm.latest,_xlfn.MAXIFS(nrSK_Att,nrSK_PID,$D221,nrSK_Cat,$E221),_xlpm.res,IF($I221=_xlpm.latest,$J221,""),IF($I221&lt;&gt;_xlpm.latest,"(superseded)",IF(_xlpm.res="","Pending",IF(_xlpm.res="Pass","Qualified",IF(AND(_xlpm.res="Fail",$N221&gt;=$F221),"FAILED OUT","Needs Remediation"))))))</f>
        <v/>
      </c>
      <c r="P221" s="15">
        <f>IF($C221="","",IF($O221="FAILED OUT","Yes","No"))</f>
        <v/>
      </c>
      <c r="Q221" s="14" t="n"/>
    </row>
    <row r="222">
      <c r="B222" s="15">
        <f>IF($C222="","",$D222&amp;"-"&amp;$E222&amp;"-"&amp;$I222)</f>
        <v/>
      </c>
      <c r="C222" s="14" t="n"/>
      <c r="D222" s="15">
        <f>IF($C222="","",IFERROR(INDEX(rngCadetPIDs,MATCH($C222,rngCadetNames,0)),"?"))</f>
        <v/>
      </c>
      <c r="E222" s="14" t="n"/>
      <c r="F222" s="15">
        <f>IF($E222="","",IFERROR(INDEX(rngSM_max,MATCH($E222,rngSM_cat,0)),""))</f>
        <v/>
      </c>
      <c r="G222" s="15">
        <f>IF($E222="","",IFERROR(INDEX(rngSM_mode,MATCH($E222,rngSM_cat,0)),""))</f>
        <v/>
      </c>
      <c r="H222" s="15">
        <f>IF($E222="","",IFERROR(INDEX(rngSM_pass,MATCH($E222,rngSM_cat,0)),""))</f>
        <v/>
      </c>
      <c r="I222" s="14" t="n"/>
      <c r="J222" s="14" t="n"/>
      <c r="K222" s="14" t="n"/>
      <c r="L222" s="16" t="n"/>
      <c r="M222" s="14" t="n"/>
      <c r="N222" s="15">
        <f>IF($C222="","",COUNTIFS(nrSK_PID,$D222,nrSK_Cat,$E222))</f>
        <v/>
      </c>
      <c r="O222" s="15">
        <f>IF($C222="","",_xlfn.LET(_xlpm.latest,_xlfn.MAXIFS(nrSK_Att,nrSK_PID,$D222,nrSK_Cat,$E222),_xlpm.res,IF($I222=_xlpm.latest,$J222,""),IF($I222&lt;&gt;_xlpm.latest,"(superseded)",IF(_xlpm.res="","Pending",IF(_xlpm.res="Pass","Qualified",IF(AND(_xlpm.res="Fail",$N222&gt;=$F222),"FAILED OUT","Needs Remediation"))))))</f>
        <v/>
      </c>
      <c r="P222" s="15">
        <f>IF($C222="","",IF($O222="FAILED OUT","Yes","No"))</f>
        <v/>
      </c>
      <c r="Q222" s="14" t="n"/>
    </row>
    <row r="223">
      <c r="B223" s="15">
        <f>IF($C223="","",$D223&amp;"-"&amp;$E223&amp;"-"&amp;$I223)</f>
        <v/>
      </c>
      <c r="C223" s="14" t="n"/>
      <c r="D223" s="15">
        <f>IF($C223="","",IFERROR(INDEX(rngCadetPIDs,MATCH($C223,rngCadetNames,0)),"?"))</f>
        <v/>
      </c>
      <c r="E223" s="14" t="n"/>
      <c r="F223" s="15">
        <f>IF($E223="","",IFERROR(INDEX(rngSM_max,MATCH($E223,rngSM_cat,0)),""))</f>
        <v/>
      </c>
      <c r="G223" s="15">
        <f>IF($E223="","",IFERROR(INDEX(rngSM_mode,MATCH($E223,rngSM_cat,0)),""))</f>
        <v/>
      </c>
      <c r="H223" s="15">
        <f>IF($E223="","",IFERROR(INDEX(rngSM_pass,MATCH($E223,rngSM_cat,0)),""))</f>
        <v/>
      </c>
      <c r="I223" s="14" t="n"/>
      <c r="J223" s="14" t="n"/>
      <c r="K223" s="14" t="n"/>
      <c r="L223" s="16" t="n"/>
      <c r="M223" s="14" t="n"/>
      <c r="N223" s="15">
        <f>IF($C223="","",COUNTIFS(nrSK_PID,$D223,nrSK_Cat,$E223))</f>
        <v/>
      </c>
      <c r="O223" s="15">
        <f>IF($C223="","",_xlfn.LET(_xlpm.latest,_xlfn.MAXIFS(nrSK_Att,nrSK_PID,$D223,nrSK_Cat,$E223),_xlpm.res,IF($I223=_xlpm.latest,$J223,""),IF($I223&lt;&gt;_xlpm.latest,"(superseded)",IF(_xlpm.res="","Pending",IF(_xlpm.res="Pass","Qualified",IF(AND(_xlpm.res="Fail",$N223&gt;=$F223),"FAILED OUT","Needs Remediation"))))))</f>
        <v/>
      </c>
      <c r="P223" s="15">
        <f>IF($C223="","",IF($O223="FAILED OUT","Yes","No"))</f>
        <v/>
      </c>
      <c r="Q223" s="14" t="n"/>
    </row>
    <row r="224">
      <c r="B224" s="15">
        <f>IF($C224="","",$D224&amp;"-"&amp;$E224&amp;"-"&amp;$I224)</f>
        <v/>
      </c>
      <c r="C224" s="14" t="n"/>
      <c r="D224" s="15">
        <f>IF($C224="","",IFERROR(INDEX(rngCadetPIDs,MATCH($C224,rngCadetNames,0)),"?"))</f>
        <v/>
      </c>
      <c r="E224" s="14" t="n"/>
      <c r="F224" s="15">
        <f>IF($E224="","",IFERROR(INDEX(rngSM_max,MATCH($E224,rngSM_cat,0)),""))</f>
        <v/>
      </c>
      <c r="G224" s="15">
        <f>IF($E224="","",IFERROR(INDEX(rngSM_mode,MATCH($E224,rngSM_cat,0)),""))</f>
        <v/>
      </c>
      <c r="H224" s="15">
        <f>IF($E224="","",IFERROR(INDEX(rngSM_pass,MATCH($E224,rngSM_cat,0)),""))</f>
        <v/>
      </c>
      <c r="I224" s="14" t="n"/>
      <c r="J224" s="14" t="n"/>
      <c r="K224" s="14" t="n"/>
      <c r="L224" s="16" t="n"/>
      <c r="M224" s="14" t="n"/>
      <c r="N224" s="15">
        <f>IF($C224="","",COUNTIFS(nrSK_PID,$D224,nrSK_Cat,$E224))</f>
        <v/>
      </c>
      <c r="O224" s="15">
        <f>IF($C224="","",_xlfn.LET(_xlpm.latest,_xlfn.MAXIFS(nrSK_Att,nrSK_PID,$D224,nrSK_Cat,$E224),_xlpm.res,IF($I224=_xlpm.latest,$J224,""),IF($I224&lt;&gt;_xlpm.latest,"(superseded)",IF(_xlpm.res="","Pending",IF(_xlpm.res="Pass","Qualified",IF(AND(_xlpm.res="Fail",$N224&gt;=$F224),"FAILED OUT","Needs Remediation"))))))</f>
        <v/>
      </c>
      <c r="P224" s="15">
        <f>IF($C224="","",IF($O224="FAILED OUT","Yes","No"))</f>
        <v/>
      </c>
      <c r="Q224" s="14" t="n"/>
    </row>
    <row r="225">
      <c r="B225" s="15">
        <f>IF($C225="","",$D225&amp;"-"&amp;$E225&amp;"-"&amp;$I225)</f>
        <v/>
      </c>
      <c r="C225" s="14" t="n"/>
      <c r="D225" s="15">
        <f>IF($C225="","",IFERROR(INDEX(rngCadetPIDs,MATCH($C225,rngCadetNames,0)),"?"))</f>
        <v/>
      </c>
      <c r="E225" s="14" t="n"/>
      <c r="F225" s="15">
        <f>IF($E225="","",IFERROR(INDEX(rngSM_max,MATCH($E225,rngSM_cat,0)),""))</f>
        <v/>
      </c>
      <c r="G225" s="15">
        <f>IF($E225="","",IFERROR(INDEX(rngSM_mode,MATCH($E225,rngSM_cat,0)),""))</f>
        <v/>
      </c>
      <c r="H225" s="15">
        <f>IF($E225="","",IFERROR(INDEX(rngSM_pass,MATCH($E225,rngSM_cat,0)),""))</f>
        <v/>
      </c>
      <c r="I225" s="14" t="n"/>
      <c r="J225" s="14" t="n"/>
      <c r="K225" s="14" t="n"/>
      <c r="L225" s="16" t="n"/>
      <c r="M225" s="14" t="n"/>
      <c r="N225" s="15">
        <f>IF($C225="","",COUNTIFS(nrSK_PID,$D225,nrSK_Cat,$E225))</f>
        <v/>
      </c>
      <c r="O225" s="15">
        <f>IF($C225="","",_xlfn.LET(_xlpm.latest,_xlfn.MAXIFS(nrSK_Att,nrSK_PID,$D225,nrSK_Cat,$E225),_xlpm.res,IF($I225=_xlpm.latest,$J225,""),IF($I225&lt;&gt;_xlpm.latest,"(superseded)",IF(_xlpm.res="","Pending",IF(_xlpm.res="Pass","Qualified",IF(AND(_xlpm.res="Fail",$N225&gt;=$F225),"FAILED OUT","Needs Remediation"))))))</f>
        <v/>
      </c>
      <c r="P225" s="15">
        <f>IF($C225="","",IF($O225="FAILED OUT","Yes","No"))</f>
        <v/>
      </c>
      <c r="Q225" s="14" t="n"/>
    </row>
    <row r="226">
      <c r="B226" s="15">
        <f>IF($C226="","",$D226&amp;"-"&amp;$E226&amp;"-"&amp;$I226)</f>
        <v/>
      </c>
      <c r="C226" s="14" t="n"/>
      <c r="D226" s="15">
        <f>IF($C226="","",IFERROR(INDEX(rngCadetPIDs,MATCH($C226,rngCadetNames,0)),"?"))</f>
        <v/>
      </c>
      <c r="E226" s="14" t="n"/>
      <c r="F226" s="15">
        <f>IF($E226="","",IFERROR(INDEX(rngSM_max,MATCH($E226,rngSM_cat,0)),""))</f>
        <v/>
      </c>
      <c r="G226" s="15">
        <f>IF($E226="","",IFERROR(INDEX(rngSM_mode,MATCH($E226,rngSM_cat,0)),""))</f>
        <v/>
      </c>
      <c r="H226" s="15">
        <f>IF($E226="","",IFERROR(INDEX(rngSM_pass,MATCH($E226,rngSM_cat,0)),""))</f>
        <v/>
      </c>
      <c r="I226" s="14" t="n"/>
      <c r="J226" s="14" t="n"/>
      <c r="K226" s="14" t="n"/>
      <c r="L226" s="16" t="n"/>
      <c r="M226" s="14" t="n"/>
      <c r="N226" s="15">
        <f>IF($C226="","",COUNTIFS(nrSK_PID,$D226,nrSK_Cat,$E226))</f>
        <v/>
      </c>
      <c r="O226" s="15">
        <f>IF($C226="","",_xlfn.LET(_xlpm.latest,_xlfn.MAXIFS(nrSK_Att,nrSK_PID,$D226,nrSK_Cat,$E226),_xlpm.res,IF($I226=_xlpm.latest,$J226,""),IF($I226&lt;&gt;_xlpm.latest,"(superseded)",IF(_xlpm.res="","Pending",IF(_xlpm.res="Pass","Qualified",IF(AND(_xlpm.res="Fail",$N226&gt;=$F226),"FAILED OUT","Needs Remediation"))))))</f>
        <v/>
      </c>
      <c r="P226" s="15">
        <f>IF($C226="","",IF($O226="FAILED OUT","Yes","No"))</f>
        <v/>
      </c>
      <c r="Q226" s="14" t="n"/>
    </row>
    <row r="227">
      <c r="B227" s="15">
        <f>IF($C227="","",$D227&amp;"-"&amp;$E227&amp;"-"&amp;$I227)</f>
        <v/>
      </c>
      <c r="C227" s="14" t="n"/>
      <c r="D227" s="15">
        <f>IF($C227="","",IFERROR(INDEX(rngCadetPIDs,MATCH($C227,rngCadetNames,0)),"?"))</f>
        <v/>
      </c>
      <c r="E227" s="14" t="n"/>
      <c r="F227" s="15">
        <f>IF($E227="","",IFERROR(INDEX(rngSM_max,MATCH($E227,rngSM_cat,0)),""))</f>
        <v/>
      </c>
      <c r="G227" s="15">
        <f>IF($E227="","",IFERROR(INDEX(rngSM_mode,MATCH($E227,rngSM_cat,0)),""))</f>
        <v/>
      </c>
      <c r="H227" s="15">
        <f>IF($E227="","",IFERROR(INDEX(rngSM_pass,MATCH($E227,rngSM_cat,0)),""))</f>
        <v/>
      </c>
      <c r="I227" s="14" t="n"/>
      <c r="J227" s="14" t="n"/>
      <c r="K227" s="14" t="n"/>
      <c r="L227" s="16" t="n"/>
      <c r="M227" s="14" t="n"/>
      <c r="N227" s="15">
        <f>IF($C227="","",COUNTIFS(nrSK_PID,$D227,nrSK_Cat,$E227))</f>
        <v/>
      </c>
      <c r="O227" s="15">
        <f>IF($C227="","",_xlfn.LET(_xlpm.latest,_xlfn.MAXIFS(nrSK_Att,nrSK_PID,$D227,nrSK_Cat,$E227),_xlpm.res,IF($I227=_xlpm.latest,$J227,""),IF($I227&lt;&gt;_xlpm.latest,"(superseded)",IF(_xlpm.res="","Pending",IF(_xlpm.res="Pass","Qualified",IF(AND(_xlpm.res="Fail",$N227&gt;=$F227),"FAILED OUT","Needs Remediation"))))))</f>
        <v/>
      </c>
      <c r="P227" s="15">
        <f>IF($C227="","",IF($O227="FAILED OUT","Yes","No"))</f>
        <v/>
      </c>
      <c r="Q227" s="14" t="n"/>
    </row>
    <row r="228">
      <c r="B228" s="15">
        <f>IF($C228="","",$D228&amp;"-"&amp;$E228&amp;"-"&amp;$I228)</f>
        <v/>
      </c>
      <c r="C228" s="14" t="n"/>
      <c r="D228" s="15">
        <f>IF($C228="","",IFERROR(INDEX(rngCadetPIDs,MATCH($C228,rngCadetNames,0)),"?"))</f>
        <v/>
      </c>
      <c r="E228" s="14" t="n"/>
      <c r="F228" s="15">
        <f>IF($E228="","",IFERROR(INDEX(rngSM_max,MATCH($E228,rngSM_cat,0)),""))</f>
        <v/>
      </c>
      <c r="G228" s="15">
        <f>IF($E228="","",IFERROR(INDEX(rngSM_mode,MATCH($E228,rngSM_cat,0)),""))</f>
        <v/>
      </c>
      <c r="H228" s="15">
        <f>IF($E228="","",IFERROR(INDEX(rngSM_pass,MATCH($E228,rngSM_cat,0)),""))</f>
        <v/>
      </c>
      <c r="I228" s="14" t="n"/>
      <c r="J228" s="14" t="n"/>
      <c r="K228" s="14" t="n"/>
      <c r="L228" s="16" t="n"/>
      <c r="M228" s="14" t="n"/>
      <c r="N228" s="15">
        <f>IF($C228="","",COUNTIFS(nrSK_PID,$D228,nrSK_Cat,$E228))</f>
        <v/>
      </c>
      <c r="O228" s="15">
        <f>IF($C228="","",_xlfn.LET(_xlpm.latest,_xlfn.MAXIFS(nrSK_Att,nrSK_PID,$D228,nrSK_Cat,$E228),_xlpm.res,IF($I228=_xlpm.latest,$J228,""),IF($I228&lt;&gt;_xlpm.latest,"(superseded)",IF(_xlpm.res="","Pending",IF(_xlpm.res="Pass","Qualified",IF(AND(_xlpm.res="Fail",$N228&gt;=$F228),"FAILED OUT","Needs Remediation"))))))</f>
        <v/>
      </c>
      <c r="P228" s="15">
        <f>IF($C228="","",IF($O228="FAILED OUT","Yes","No"))</f>
        <v/>
      </c>
      <c r="Q228" s="14" t="n"/>
    </row>
    <row r="229">
      <c r="B229" s="15">
        <f>IF($C229="","",$D229&amp;"-"&amp;$E229&amp;"-"&amp;$I229)</f>
        <v/>
      </c>
      <c r="C229" s="14" t="n"/>
      <c r="D229" s="15">
        <f>IF($C229="","",IFERROR(INDEX(rngCadetPIDs,MATCH($C229,rngCadetNames,0)),"?"))</f>
        <v/>
      </c>
      <c r="E229" s="14" t="n"/>
      <c r="F229" s="15">
        <f>IF($E229="","",IFERROR(INDEX(rngSM_max,MATCH($E229,rngSM_cat,0)),""))</f>
        <v/>
      </c>
      <c r="G229" s="15">
        <f>IF($E229="","",IFERROR(INDEX(rngSM_mode,MATCH($E229,rngSM_cat,0)),""))</f>
        <v/>
      </c>
      <c r="H229" s="15">
        <f>IF($E229="","",IFERROR(INDEX(rngSM_pass,MATCH($E229,rngSM_cat,0)),""))</f>
        <v/>
      </c>
      <c r="I229" s="14" t="n"/>
      <c r="J229" s="14" t="n"/>
      <c r="K229" s="14" t="n"/>
      <c r="L229" s="16" t="n"/>
      <c r="M229" s="14" t="n"/>
      <c r="N229" s="15">
        <f>IF($C229="","",COUNTIFS(nrSK_PID,$D229,nrSK_Cat,$E229))</f>
        <v/>
      </c>
      <c r="O229" s="15">
        <f>IF($C229="","",_xlfn.LET(_xlpm.latest,_xlfn.MAXIFS(nrSK_Att,nrSK_PID,$D229,nrSK_Cat,$E229),_xlpm.res,IF($I229=_xlpm.latest,$J229,""),IF($I229&lt;&gt;_xlpm.latest,"(superseded)",IF(_xlpm.res="","Pending",IF(_xlpm.res="Pass","Qualified",IF(AND(_xlpm.res="Fail",$N229&gt;=$F229),"FAILED OUT","Needs Remediation"))))))</f>
        <v/>
      </c>
      <c r="P229" s="15">
        <f>IF($C229="","",IF($O229="FAILED OUT","Yes","No"))</f>
        <v/>
      </c>
      <c r="Q229" s="14" t="n"/>
    </row>
    <row r="230">
      <c r="B230" s="15">
        <f>IF($C230="","",$D230&amp;"-"&amp;$E230&amp;"-"&amp;$I230)</f>
        <v/>
      </c>
      <c r="C230" s="14" t="n"/>
      <c r="D230" s="15">
        <f>IF($C230="","",IFERROR(INDEX(rngCadetPIDs,MATCH($C230,rngCadetNames,0)),"?"))</f>
        <v/>
      </c>
      <c r="E230" s="14" t="n"/>
      <c r="F230" s="15">
        <f>IF($E230="","",IFERROR(INDEX(rngSM_max,MATCH($E230,rngSM_cat,0)),""))</f>
        <v/>
      </c>
      <c r="G230" s="15">
        <f>IF($E230="","",IFERROR(INDEX(rngSM_mode,MATCH($E230,rngSM_cat,0)),""))</f>
        <v/>
      </c>
      <c r="H230" s="15">
        <f>IF($E230="","",IFERROR(INDEX(rngSM_pass,MATCH($E230,rngSM_cat,0)),""))</f>
        <v/>
      </c>
      <c r="I230" s="14" t="n"/>
      <c r="J230" s="14" t="n"/>
      <c r="K230" s="14" t="n"/>
      <c r="L230" s="16" t="n"/>
      <c r="M230" s="14" t="n"/>
      <c r="N230" s="15">
        <f>IF($C230="","",COUNTIFS(nrSK_PID,$D230,nrSK_Cat,$E230))</f>
        <v/>
      </c>
      <c r="O230" s="15">
        <f>IF($C230="","",_xlfn.LET(_xlpm.latest,_xlfn.MAXIFS(nrSK_Att,nrSK_PID,$D230,nrSK_Cat,$E230),_xlpm.res,IF($I230=_xlpm.latest,$J230,""),IF($I230&lt;&gt;_xlpm.latest,"(superseded)",IF(_xlpm.res="","Pending",IF(_xlpm.res="Pass","Qualified",IF(AND(_xlpm.res="Fail",$N230&gt;=$F230),"FAILED OUT","Needs Remediation"))))))</f>
        <v/>
      </c>
      <c r="P230" s="15">
        <f>IF($C230="","",IF($O230="FAILED OUT","Yes","No"))</f>
        <v/>
      </c>
      <c r="Q230" s="14" t="n"/>
    </row>
    <row r="231">
      <c r="B231" s="15">
        <f>IF($C231="","",$D231&amp;"-"&amp;$E231&amp;"-"&amp;$I231)</f>
        <v/>
      </c>
      <c r="C231" s="14" t="n"/>
      <c r="D231" s="15">
        <f>IF($C231="","",IFERROR(INDEX(rngCadetPIDs,MATCH($C231,rngCadetNames,0)),"?"))</f>
        <v/>
      </c>
      <c r="E231" s="14" t="n"/>
      <c r="F231" s="15">
        <f>IF($E231="","",IFERROR(INDEX(rngSM_max,MATCH($E231,rngSM_cat,0)),""))</f>
        <v/>
      </c>
      <c r="G231" s="15">
        <f>IF($E231="","",IFERROR(INDEX(rngSM_mode,MATCH($E231,rngSM_cat,0)),""))</f>
        <v/>
      </c>
      <c r="H231" s="15">
        <f>IF($E231="","",IFERROR(INDEX(rngSM_pass,MATCH($E231,rngSM_cat,0)),""))</f>
        <v/>
      </c>
      <c r="I231" s="14" t="n"/>
      <c r="J231" s="14" t="n"/>
      <c r="K231" s="14" t="n"/>
      <c r="L231" s="16" t="n"/>
      <c r="M231" s="14" t="n"/>
      <c r="N231" s="15">
        <f>IF($C231="","",COUNTIFS(nrSK_PID,$D231,nrSK_Cat,$E231))</f>
        <v/>
      </c>
      <c r="O231" s="15">
        <f>IF($C231="","",_xlfn.LET(_xlpm.latest,_xlfn.MAXIFS(nrSK_Att,nrSK_PID,$D231,nrSK_Cat,$E231),_xlpm.res,IF($I231=_xlpm.latest,$J231,""),IF($I231&lt;&gt;_xlpm.latest,"(superseded)",IF(_xlpm.res="","Pending",IF(_xlpm.res="Pass","Qualified",IF(AND(_xlpm.res="Fail",$N231&gt;=$F231),"FAILED OUT","Needs Remediation"))))))</f>
        <v/>
      </c>
      <c r="P231" s="15">
        <f>IF($C231="","",IF($O231="FAILED OUT","Yes","No"))</f>
        <v/>
      </c>
      <c r="Q231" s="14" t="n"/>
    </row>
    <row r="232">
      <c r="B232" s="15">
        <f>IF($C232="","",$D232&amp;"-"&amp;$E232&amp;"-"&amp;$I232)</f>
        <v/>
      </c>
      <c r="C232" s="14" t="n"/>
      <c r="D232" s="15">
        <f>IF($C232="","",IFERROR(INDEX(rngCadetPIDs,MATCH($C232,rngCadetNames,0)),"?"))</f>
        <v/>
      </c>
      <c r="E232" s="14" t="n"/>
      <c r="F232" s="15">
        <f>IF($E232="","",IFERROR(INDEX(rngSM_max,MATCH($E232,rngSM_cat,0)),""))</f>
        <v/>
      </c>
      <c r="G232" s="15">
        <f>IF($E232="","",IFERROR(INDEX(rngSM_mode,MATCH($E232,rngSM_cat,0)),""))</f>
        <v/>
      </c>
      <c r="H232" s="15">
        <f>IF($E232="","",IFERROR(INDEX(rngSM_pass,MATCH($E232,rngSM_cat,0)),""))</f>
        <v/>
      </c>
      <c r="I232" s="14" t="n"/>
      <c r="J232" s="14" t="n"/>
      <c r="K232" s="14" t="n"/>
      <c r="L232" s="16" t="n"/>
      <c r="M232" s="14" t="n"/>
      <c r="N232" s="15">
        <f>IF($C232="","",COUNTIFS(nrSK_PID,$D232,nrSK_Cat,$E232))</f>
        <v/>
      </c>
      <c r="O232" s="15">
        <f>IF($C232="","",_xlfn.LET(_xlpm.latest,_xlfn.MAXIFS(nrSK_Att,nrSK_PID,$D232,nrSK_Cat,$E232),_xlpm.res,IF($I232=_xlpm.latest,$J232,""),IF($I232&lt;&gt;_xlpm.latest,"(superseded)",IF(_xlpm.res="","Pending",IF(_xlpm.res="Pass","Qualified",IF(AND(_xlpm.res="Fail",$N232&gt;=$F232),"FAILED OUT","Needs Remediation"))))))</f>
        <v/>
      </c>
      <c r="P232" s="15">
        <f>IF($C232="","",IF($O232="FAILED OUT","Yes","No"))</f>
        <v/>
      </c>
      <c r="Q232" s="14" t="n"/>
    </row>
    <row r="233">
      <c r="B233" s="15">
        <f>IF($C233="","",$D233&amp;"-"&amp;$E233&amp;"-"&amp;$I233)</f>
        <v/>
      </c>
      <c r="C233" s="14" t="n"/>
      <c r="D233" s="15">
        <f>IF($C233="","",IFERROR(INDEX(rngCadetPIDs,MATCH($C233,rngCadetNames,0)),"?"))</f>
        <v/>
      </c>
      <c r="E233" s="14" t="n"/>
      <c r="F233" s="15">
        <f>IF($E233="","",IFERROR(INDEX(rngSM_max,MATCH($E233,rngSM_cat,0)),""))</f>
        <v/>
      </c>
      <c r="G233" s="15">
        <f>IF($E233="","",IFERROR(INDEX(rngSM_mode,MATCH($E233,rngSM_cat,0)),""))</f>
        <v/>
      </c>
      <c r="H233" s="15">
        <f>IF($E233="","",IFERROR(INDEX(rngSM_pass,MATCH($E233,rngSM_cat,0)),""))</f>
        <v/>
      </c>
      <c r="I233" s="14" t="n"/>
      <c r="J233" s="14" t="n"/>
      <c r="K233" s="14" t="n"/>
      <c r="L233" s="16" t="n"/>
      <c r="M233" s="14" t="n"/>
      <c r="N233" s="15">
        <f>IF($C233="","",COUNTIFS(nrSK_PID,$D233,nrSK_Cat,$E233))</f>
        <v/>
      </c>
      <c r="O233" s="15">
        <f>IF($C233="","",_xlfn.LET(_xlpm.latest,_xlfn.MAXIFS(nrSK_Att,nrSK_PID,$D233,nrSK_Cat,$E233),_xlpm.res,IF($I233=_xlpm.latest,$J233,""),IF($I233&lt;&gt;_xlpm.latest,"(superseded)",IF(_xlpm.res="","Pending",IF(_xlpm.res="Pass","Qualified",IF(AND(_xlpm.res="Fail",$N233&gt;=$F233),"FAILED OUT","Needs Remediation"))))))</f>
        <v/>
      </c>
      <c r="P233" s="15">
        <f>IF($C233="","",IF($O233="FAILED OUT","Yes","No"))</f>
        <v/>
      </c>
      <c r="Q233" s="14" t="n"/>
    </row>
    <row r="234">
      <c r="B234" s="15">
        <f>IF($C234="","",$D234&amp;"-"&amp;$E234&amp;"-"&amp;$I234)</f>
        <v/>
      </c>
      <c r="C234" s="14" t="n"/>
      <c r="D234" s="15">
        <f>IF($C234="","",IFERROR(INDEX(rngCadetPIDs,MATCH($C234,rngCadetNames,0)),"?"))</f>
        <v/>
      </c>
      <c r="E234" s="14" t="n"/>
      <c r="F234" s="15">
        <f>IF($E234="","",IFERROR(INDEX(rngSM_max,MATCH($E234,rngSM_cat,0)),""))</f>
        <v/>
      </c>
      <c r="G234" s="15">
        <f>IF($E234="","",IFERROR(INDEX(rngSM_mode,MATCH($E234,rngSM_cat,0)),""))</f>
        <v/>
      </c>
      <c r="H234" s="15">
        <f>IF($E234="","",IFERROR(INDEX(rngSM_pass,MATCH($E234,rngSM_cat,0)),""))</f>
        <v/>
      </c>
      <c r="I234" s="14" t="n"/>
      <c r="J234" s="14" t="n"/>
      <c r="K234" s="14" t="n"/>
      <c r="L234" s="16" t="n"/>
      <c r="M234" s="14" t="n"/>
      <c r="N234" s="15">
        <f>IF($C234="","",COUNTIFS(nrSK_PID,$D234,nrSK_Cat,$E234))</f>
        <v/>
      </c>
      <c r="O234" s="15">
        <f>IF($C234="","",_xlfn.LET(_xlpm.latest,_xlfn.MAXIFS(nrSK_Att,nrSK_PID,$D234,nrSK_Cat,$E234),_xlpm.res,IF($I234=_xlpm.latest,$J234,""),IF($I234&lt;&gt;_xlpm.latest,"(superseded)",IF(_xlpm.res="","Pending",IF(_xlpm.res="Pass","Qualified",IF(AND(_xlpm.res="Fail",$N234&gt;=$F234),"FAILED OUT","Needs Remediation"))))))</f>
        <v/>
      </c>
      <c r="P234" s="15">
        <f>IF($C234="","",IF($O234="FAILED OUT","Yes","No"))</f>
        <v/>
      </c>
      <c r="Q234" s="14" t="n"/>
    </row>
    <row r="235">
      <c r="B235" s="15">
        <f>IF($C235="","",$D235&amp;"-"&amp;$E235&amp;"-"&amp;$I235)</f>
        <v/>
      </c>
      <c r="C235" s="14" t="n"/>
      <c r="D235" s="15">
        <f>IF($C235="","",IFERROR(INDEX(rngCadetPIDs,MATCH($C235,rngCadetNames,0)),"?"))</f>
        <v/>
      </c>
      <c r="E235" s="14" t="n"/>
      <c r="F235" s="15">
        <f>IF($E235="","",IFERROR(INDEX(rngSM_max,MATCH($E235,rngSM_cat,0)),""))</f>
        <v/>
      </c>
      <c r="G235" s="15">
        <f>IF($E235="","",IFERROR(INDEX(rngSM_mode,MATCH($E235,rngSM_cat,0)),""))</f>
        <v/>
      </c>
      <c r="H235" s="15">
        <f>IF($E235="","",IFERROR(INDEX(rngSM_pass,MATCH($E235,rngSM_cat,0)),""))</f>
        <v/>
      </c>
      <c r="I235" s="14" t="n"/>
      <c r="J235" s="14" t="n"/>
      <c r="K235" s="14" t="n"/>
      <c r="L235" s="16" t="n"/>
      <c r="M235" s="14" t="n"/>
      <c r="N235" s="15">
        <f>IF($C235="","",COUNTIFS(nrSK_PID,$D235,nrSK_Cat,$E235))</f>
        <v/>
      </c>
      <c r="O235" s="15">
        <f>IF($C235="","",_xlfn.LET(_xlpm.latest,_xlfn.MAXIFS(nrSK_Att,nrSK_PID,$D235,nrSK_Cat,$E235),_xlpm.res,IF($I235=_xlpm.latest,$J235,""),IF($I235&lt;&gt;_xlpm.latest,"(superseded)",IF(_xlpm.res="","Pending",IF(_xlpm.res="Pass","Qualified",IF(AND(_xlpm.res="Fail",$N235&gt;=$F235),"FAILED OUT","Needs Remediation"))))))</f>
        <v/>
      </c>
      <c r="P235" s="15">
        <f>IF($C235="","",IF($O235="FAILED OUT","Yes","No"))</f>
        <v/>
      </c>
      <c r="Q235" s="14" t="n"/>
    </row>
    <row r="236">
      <c r="B236" s="15">
        <f>IF($C236="","",$D236&amp;"-"&amp;$E236&amp;"-"&amp;$I236)</f>
        <v/>
      </c>
      <c r="C236" s="14" t="n"/>
      <c r="D236" s="15">
        <f>IF($C236="","",IFERROR(INDEX(rngCadetPIDs,MATCH($C236,rngCadetNames,0)),"?"))</f>
        <v/>
      </c>
      <c r="E236" s="14" t="n"/>
      <c r="F236" s="15">
        <f>IF($E236="","",IFERROR(INDEX(rngSM_max,MATCH($E236,rngSM_cat,0)),""))</f>
        <v/>
      </c>
      <c r="G236" s="15">
        <f>IF($E236="","",IFERROR(INDEX(rngSM_mode,MATCH($E236,rngSM_cat,0)),""))</f>
        <v/>
      </c>
      <c r="H236" s="15">
        <f>IF($E236="","",IFERROR(INDEX(rngSM_pass,MATCH($E236,rngSM_cat,0)),""))</f>
        <v/>
      </c>
      <c r="I236" s="14" t="n"/>
      <c r="J236" s="14" t="n"/>
      <c r="K236" s="14" t="n"/>
      <c r="L236" s="16" t="n"/>
      <c r="M236" s="14" t="n"/>
      <c r="N236" s="15">
        <f>IF($C236="","",COUNTIFS(nrSK_PID,$D236,nrSK_Cat,$E236))</f>
        <v/>
      </c>
      <c r="O236" s="15">
        <f>IF($C236="","",_xlfn.LET(_xlpm.latest,_xlfn.MAXIFS(nrSK_Att,nrSK_PID,$D236,nrSK_Cat,$E236),_xlpm.res,IF($I236=_xlpm.latest,$J236,""),IF($I236&lt;&gt;_xlpm.latest,"(superseded)",IF(_xlpm.res="","Pending",IF(_xlpm.res="Pass","Qualified",IF(AND(_xlpm.res="Fail",$N236&gt;=$F236),"FAILED OUT","Needs Remediation"))))))</f>
        <v/>
      </c>
      <c r="P236" s="15">
        <f>IF($C236="","",IF($O236="FAILED OUT","Yes","No"))</f>
        <v/>
      </c>
      <c r="Q236" s="14" t="n"/>
    </row>
    <row r="237">
      <c r="B237" s="15">
        <f>IF($C237="","",$D237&amp;"-"&amp;$E237&amp;"-"&amp;$I237)</f>
        <v/>
      </c>
      <c r="C237" s="14" t="n"/>
      <c r="D237" s="15">
        <f>IF($C237="","",IFERROR(INDEX(rngCadetPIDs,MATCH($C237,rngCadetNames,0)),"?"))</f>
        <v/>
      </c>
      <c r="E237" s="14" t="n"/>
      <c r="F237" s="15">
        <f>IF($E237="","",IFERROR(INDEX(rngSM_max,MATCH($E237,rngSM_cat,0)),""))</f>
        <v/>
      </c>
      <c r="G237" s="15">
        <f>IF($E237="","",IFERROR(INDEX(rngSM_mode,MATCH($E237,rngSM_cat,0)),""))</f>
        <v/>
      </c>
      <c r="H237" s="15">
        <f>IF($E237="","",IFERROR(INDEX(rngSM_pass,MATCH($E237,rngSM_cat,0)),""))</f>
        <v/>
      </c>
      <c r="I237" s="14" t="n"/>
      <c r="J237" s="14" t="n"/>
      <c r="K237" s="14" t="n"/>
      <c r="L237" s="16" t="n"/>
      <c r="M237" s="14" t="n"/>
      <c r="N237" s="15">
        <f>IF($C237="","",COUNTIFS(nrSK_PID,$D237,nrSK_Cat,$E237))</f>
        <v/>
      </c>
      <c r="O237" s="15">
        <f>IF($C237="","",_xlfn.LET(_xlpm.latest,_xlfn.MAXIFS(nrSK_Att,nrSK_PID,$D237,nrSK_Cat,$E237),_xlpm.res,IF($I237=_xlpm.latest,$J237,""),IF($I237&lt;&gt;_xlpm.latest,"(superseded)",IF(_xlpm.res="","Pending",IF(_xlpm.res="Pass","Qualified",IF(AND(_xlpm.res="Fail",$N237&gt;=$F237),"FAILED OUT","Needs Remediation"))))))</f>
        <v/>
      </c>
      <c r="P237" s="15">
        <f>IF($C237="","",IF($O237="FAILED OUT","Yes","No"))</f>
        <v/>
      </c>
      <c r="Q237" s="14" t="n"/>
    </row>
    <row r="238">
      <c r="B238" s="15">
        <f>IF($C238="","",$D238&amp;"-"&amp;$E238&amp;"-"&amp;$I238)</f>
        <v/>
      </c>
      <c r="C238" s="14" t="n"/>
      <c r="D238" s="15">
        <f>IF($C238="","",IFERROR(INDEX(rngCadetPIDs,MATCH($C238,rngCadetNames,0)),"?"))</f>
        <v/>
      </c>
      <c r="E238" s="14" t="n"/>
      <c r="F238" s="15">
        <f>IF($E238="","",IFERROR(INDEX(rngSM_max,MATCH($E238,rngSM_cat,0)),""))</f>
        <v/>
      </c>
      <c r="G238" s="15">
        <f>IF($E238="","",IFERROR(INDEX(rngSM_mode,MATCH($E238,rngSM_cat,0)),""))</f>
        <v/>
      </c>
      <c r="H238" s="15">
        <f>IF($E238="","",IFERROR(INDEX(rngSM_pass,MATCH($E238,rngSM_cat,0)),""))</f>
        <v/>
      </c>
      <c r="I238" s="14" t="n"/>
      <c r="J238" s="14" t="n"/>
      <c r="K238" s="14" t="n"/>
      <c r="L238" s="16" t="n"/>
      <c r="M238" s="14" t="n"/>
      <c r="N238" s="15">
        <f>IF($C238="","",COUNTIFS(nrSK_PID,$D238,nrSK_Cat,$E238))</f>
        <v/>
      </c>
      <c r="O238" s="15">
        <f>IF($C238="","",_xlfn.LET(_xlpm.latest,_xlfn.MAXIFS(nrSK_Att,nrSK_PID,$D238,nrSK_Cat,$E238),_xlpm.res,IF($I238=_xlpm.latest,$J238,""),IF($I238&lt;&gt;_xlpm.latest,"(superseded)",IF(_xlpm.res="","Pending",IF(_xlpm.res="Pass","Qualified",IF(AND(_xlpm.res="Fail",$N238&gt;=$F238),"FAILED OUT","Needs Remediation"))))))</f>
        <v/>
      </c>
      <c r="P238" s="15">
        <f>IF($C238="","",IF($O238="FAILED OUT","Yes","No"))</f>
        <v/>
      </c>
      <c r="Q238" s="14" t="n"/>
    </row>
    <row r="239">
      <c r="B239" s="15">
        <f>IF($C239="","",$D239&amp;"-"&amp;$E239&amp;"-"&amp;$I239)</f>
        <v/>
      </c>
      <c r="C239" s="14" t="n"/>
      <c r="D239" s="15">
        <f>IF($C239="","",IFERROR(INDEX(rngCadetPIDs,MATCH($C239,rngCadetNames,0)),"?"))</f>
        <v/>
      </c>
      <c r="E239" s="14" t="n"/>
      <c r="F239" s="15">
        <f>IF($E239="","",IFERROR(INDEX(rngSM_max,MATCH($E239,rngSM_cat,0)),""))</f>
        <v/>
      </c>
      <c r="G239" s="15">
        <f>IF($E239="","",IFERROR(INDEX(rngSM_mode,MATCH($E239,rngSM_cat,0)),""))</f>
        <v/>
      </c>
      <c r="H239" s="15">
        <f>IF($E239="","",IFERROR(INDEX(rngSM_pass,MATCH($E239,rngSM_cat,0)),""))</f>
        <v/>
      </c>
      <c r="I239" s="14" t="n"/>
      <c r="J239" s="14" t="n"/>
      <c r="K239" s="14" t="n"/>
      <c r="L239" s="16" t="n"/>
      <c r="M239" s="14" t="n"/>
      <c r="N239" s="15">
        <f>IF($C239="","",COUNTIFS(nrSK_PID,$D239,nrSK_Cat,$E239))</f>
        <v/>
      </c>
      <c r="O239" s="15">
        <f>IF($C239="","",_xlfn.LET(_xlpm.latest,_xlfn.MAXIFS(nrSK_Att,nrSK_PID,$D239,nrSK_Cat,$E239),_xlpm.res,IF($I239=_xlpm.latest,$J239,""),IF($I239&lt;&gt;_xlpm.latest,"(superseded)",IF(_xlpm.res="","Pending",IF(_xlpm.res="Pass","Qualified",IF(AND(_xlpm.res="Fail",$N239&gt;=$F239),"FAILED OUT","Needs Remediation"))))))</f>
        <v/>
      </c>
      <c r="P239" s="15">
        <f>IF($C239="","",IF($O239="FAILED OUT","Yes","No"))</f>
        <v/>
      </c>
      <c r="Q239" s="14" t="n"/>
    </row>
    <row r="240">
      <c r="B240" s="15">
        <f>IF($C240="","",$D240&amp;"-"&amp;$E240&amp;"-"&amp;$I240)</f>
        <v/>
      </c>
      <c r="C240" s="14" t="n"/>
      <c r="D240" s="15">
        <f>IF($C240="","",IFERROR(INDEX(rngCadetPIDs,MATCH($C240,rngCadetNames,0)),"?"))</f>
        <v/>
      </c>
      <c r="E240" s="14" t="n"/>
      <c r="F240" s="15">
        <f>IF($E240="","",IFERROR(INDEX(rngSM_max,MATCH($E240,rngSM_cat,0)),""))</f>
        <v/>
      </c>
      <c r="G240" s="15">
        <f>IF($E240="","",IFERROR(INDEX(rngSM_mode,MATCH($E240,rngSM_cat,0)),""))</f>
        <v/>
      </c>
      <c r="H240" s="15">
        <f>IF($E240="","",IFERROR(INDEX(rngSM_pass,MATCH($E240,rngSM_cat,0)),""))</f>
        <v/>
      </c>
      <c r="I240" s="14" t="n"/>
      <c r="J240" s="14" t="n"/>
      <c r="K240" s="14" t="n"/>
      <c r="L240" s="16" t="n"/>
      <c r="M240" s="14" t="n"/>
      <c r="N240" s="15">
        <f>IF($C240="","",COUNTIFS(nrSK_PID,$D240,nrSK_Cat,$E240))</f>
        <v/>
      </c>
      <c r="O240" s="15">
        <f>IF($C240="","",_xlfn.LET(_xlpm.latest,_xlfn.MAXIFS(nrSK_Att,nrSK_PID,$D240,nrSK_Cat,$E240),_xlpm.res,IF($I240=_xlpm.latest,$J240,""),IF($I240&lt;&gt;_xlpm.latest,"(superseded)",IF(_xlpm.res="","Pending",IF(_xlpm.res="Pass","Qualified",IF(AND(_xlpm.res="Fail",$N240&gt;=$F240),"FAILED OUT","Needs Remediation"))))))</f>
        <v/>
      </c>
      <c r="P240" s="15">
        <f>IF($C240="","",IF($O240="FAILED OUT","Yes","No"))</f>
        <v/>
      </c>
      <c r="Q240" s="14" t="n"/>
    </row>
    <row r="241">
      <c r="B241" s="15">
        <f>IF($C241="","",$D241&amp;"-"&amp;$E241&amp;"-"&amp;$I241)</f>
        <v/>
      </c>
      <c r="C241" s="14" t="n"/>
      <c r="D241" s="15">
        <f>IF($C241="","",IFERROR(INDEX(rngCadetPIDs,MATCH($C241,rngCadetNames,0)),"?"))</f>
        <v/>
      </c>
      <c r="E241" s="14" t="n"/>
      <c r="F241" s="15">
        <f>IF($E241="","",IFERROR(INDEX(rngSM_max,MATCH($E241,rngSM_cat,0)),""))</f>
        <v/>
      </c>
      <c r="G241" s="15">
        <f>IF($E241="","",IFERROR(INDEX(rngSM_mode,MATCH($E241,rngSM_cat,0)),""))</f>
        <v/>
      </c>
      <c r="H241" s="15">
        <f>IF($E241="","",IFERROR(INDEX(rngSM_pass,MATCH($E241,rngSM_cat,0)),""))</f>
        <v/>
      </c>
      <c r="I241" s="14" t="n"/>
      <c r="J241" s="14" t="n"/>
      <c r="K241" s="14" t="n"/>
      <c r="L241" s="16" t="n"/>
      <c r="M241" s="14" t="n"/>
      <c r="N241" s="15">
        <f>IF($C241="","",COUNTIFS(nrSK_PID,$D241,nrSK_Cat,$E241))</f>
        <v/>
      </c>
      <c r="O241" s="15">
        <f>IF($C241="","",_xlfn.LET(_xlpm.latest,_xlfn.MAXIFS(nrSK_Att,nrSK_PID,$D241,nrSK_Cat,$E241),_xlpm.res,IF($I241=_xlpm.latest,$J241,""),IF($I241&lt;&gt;_xlpm.latest,"(superseded)",IF(_xlpm.res="","Pending",IF(_xlpm.res="Pass","Qualified",IF(AND(_xlpm.res="Fail",$N241&gt;=$F241),"FAILED OUT","Needs Remediation"))))))</f>
        <v/>
      </c>
      <c r="P241" s="15">
        <f>IF($C241="","",IF($O241="FAILED OUT","Yes","No"))</f>
        <v/>
      </c>
      <c r="Q241" s="14" t="n"/>
    </row>
    <row r="242">
      <c r="B242" s="15">
        <f>IF($C242="","",$D242&amp;"-"&amp;$E242&amp;"-"&amp;$I242)</f>
        <v/>
      </c>
      <c r="C242" s="14" t="n"/>
      <c r="D242" s="15">
        <f>IF($C242="","",IFERROR(INDEX(rngCadetPIDs,MATCH($C242,rngCadetNames,0)),"?"))</f>
        <v/>
      </c>
      <c r="E242" s="14" t="n"/>
      <c r="F242" s="15">
        <f>IF($E242="","",IFERROR(INDEX(rngSM_max,MATCH($E242,rngSM_cat,0)),""))</f>
        <v/>
      </c>
      <c r="G242" s="15">
        <f>IF($E242="","",IFERROR(INDEX(rngSM_mode,MATCH($E242,rngSM_cat,0)),""))</f>
        <v/>
      </c>
      <c r="H242" s="15">
        <f>IF($E242="","",IFERROR(INDEX(rngSM_pass,MATCH($E242,rngSM_cat,0)),""))</f>
        <v/>
      </c>
      <c r="I242" s="14" t="n"/>
      <c r="J242" s="14" t="n"/>
      <c r="K242" s="14" t="n"/>
      <c r="L242" s="16" t="n"/>
      <c r="M242" s="14" t="n"/>
      <c r="N242" s="15">
        <f>IF($C242="","",COUNTIFS(nrSK_PID,$D242,nrSK_Cat,$E242))</f>
        <v/>
      </c>
      <c r="O242" s="15">
        <f>IF($C242="","",_xlfn.LET(_xlpm.latest,_xlfn.MAXIFS(nrSK_Att,nrSK_PID,$D242,nrSK_Cat,$E242),_xlpm.res,IF($I242=_xlpm.latest,$J242,""),IF($I242&lt;&gt;_xlpm.latest,"(superseded)",IF(_xlpm.res="","Pending",IF(_xlpm.res="Pass","Qualified",IF(AND(_xlpm.res="Fail",$N242&gt;=$F242),"FAILED OUT","Needs Remediation"))))))</f>
        <v/>
      </c>
      <c r="P242" s="15">
        <f>IF($C242="","",IF($O242="FAILED OUT","Yes","No"))</f>
        <v/>
      </c>
      <c r="Q242" s="14" t="n"/>
    </row>
    <row r="243">
      <c r="B243" s="15">
        <f>IF($C243="","",$D243&amp;"-"&amp;$E243&amp;"-"&amp;$I243)</f>
        <v/>
      </c>
      <c r="C243" s="14" t="n"/>
      <c r="D243" s="15">
        <f>IF($C243="","",IFERROR(INDEX(rngCadetPIDs,MATCH($C243,rngCadetNames,0)),"?"))</f>
        <v/>
      </c>
      <c r="E243" s="14" t="n"/>
      <c r="F243" s="15">
        <f>IF($E243="","",IFERROR(INDEX(rngSM_max,MATCH($E243,rngSM_cat,0)),""))</f>
        <v/>
      </c>
      <c r="G243" s="15">
        <f>IF($E243="","",IFERROR(INDEX(rngSM_mode,MATCH($E243,rngSM_cat,0)),""))</f>
        <v/>
      </c>
      <c r="H243" s="15">
        <f>IF($E243="","",IFERROR(INDEX(rngSM_pass,MATCH($E243,rngSM_cat,0)),""))</f>
        <v/>
      </c>
      <c r="I243" s="14" t="n"/>
      <c r="J243" s="14" t="n"/>
      <c r="K243" s="14" t="n"/>
      <c r="L243" s="16" t="n"/>
      <c r="M243" s="14" t="n"/>
      <c r="N243" s="15">
        <f>IF($C243="","",COUNTIFS(nrSK_PID,$D243,nrSK_Cat,$E243))</f>
        <v/>
      </c>
      <c r="O243" s="15">
        <f>IF($C243="","",_xlfn.LET(_xlpm.latest,_xlfn.MAXIFS(nrSK_Att,nrSK_PID,$D243,nrSK_Cat,$E243),_xlpm.res,IF($I243=_xlpm.latest,$J243,""),IF($I243&lt;&gt;_xlpm.latest,"(superseded)",IF(_xlpm.res="","Pending",IF(_xlpm.res="Pass","Qualified",IF(AND(_xlpm.res="Fail",$N243&gt;=$F243),"FAILED OUT","Needs Remediation"))))))</f>
        <v/>
      </c>
      <c r="P243" s="15">
        <f>IF($C243="","",IF($O243="FAILED OUT","Yes","No"))</f>
        <v/>
      </c>
      <c r="Q243" s="14" t="n"/>
    </row>
    <row r="244">
      <c r="B244" s="15">
        <f>IF($C244="","",$D244&amp;"-"&amp;$E244&amp;"-"&amp;$I244)</f>
        <v/>
      </c>
      <c r="C244" s="14" t="n"/>
      <c r="D244" s="15">
        <f>IF($C244="","",IFERROR(INDEX(rngCadetPIDs,MATCH($C244,rngCadetNames,0)),"?"))</f>
        <v/>
      </c>
      <c r="E244" s="14" t="n"/>
      <c r="F244" s="15">
        <f>IF($E244="","",IFERROR(INDEX(rngSM_max,MATCH($E244,rngSM_cat,0)),""))</f>
        <v/>
      </c>
      <c r="G244" s="15">
        <f>IF($E244="","",IFERROR(INDEX(rngSM_mode,MATCH($E244,rngSM_cat,0)),""))</f>
        <v/>
      </c>
      <c r="H244" s="15">
        <f>IF($E244="","",IFERROR(INDEX(rngSM_pass,MATCH($E244,rngSM_cat,0)),""))</f>
        <v/>
      </c>
      <c r="I244" s="14" t="n"/>
      <c r="J244" s="14" t="n"/>
      <c r="K244" s="14" t="n"/>
      <c r="L244" s="16" t="n"/>
      <c r="M244" s="14" t="n"/>
      <c r="N244" s="15">
        <f>IF($C244="","",COUNTIFS(nrSK_PID,$D244,nrSK_Cat,$E244))</f>
        <v/>
      </c>
      <c r="O244" s="15">
        <f>IF($C244="","",_xlfn.LET(_xlpm.latest,_xlfn.MAXIFS(nrSK_Att,nrSK_PID,$D244,nrSK_Cat,$E244),_xlpm.res,IF($I244=_xlpm.latest,$J244,""),IF($I244&lt;&gt;_xlpm.latest,"(superseded)",IF(_xlpm.res="","Pending",IF(_xlpm.res="Pass","Qualified",IF(AND(_xlpm.res="Fail",$N244&gt;=$F244),"FAILED OUT","Needs Remediation"))))))</f>
        <v/>
      </c>
      <c r="P244" s="15">
        <f>IF($C244="","",IF($O244="FAILED OUT","Yes","No"))</f>
        <v/>
      </c>
      <c r="Q244" s="14" t="n"/>
    </row>
    <row r="245">
      <c r="B245" s="15">
        <f>IF($C245="","",$D245&amp;"-"&amp;$E245&amp;"-"&amp;$I245)</f>
        <v/>
      </c>
      <c r="C245" s="14" t="n"/>
      <c r="D245" s="15">
        <f>IF($C245="","",IFERROR(INDEX(rngCadetPIDs,MATCH($C245,rngCadetNames,0)),"?"))</f>
        <v/>
      </c>
      <c r="E245" s="14" t="n"/>
      <c r="F245" s="15">
        <f>IF($E245="","",IFERROR(INDEX(rngSM_max,MATCH($E245,rngSM_cat,0)),""))</f>
        <v/>
      </c>
      <c r="G245" s="15">
        <f>IF($E245="","",IFERROR(INDEX(rngSM_mode,MATCH($E245,rngSM_cat,0)),""))</f>
        <v/>
      </c>
      <c r="H245" s="15">
        <f>IF($E245="","",IFERROR(INDEX(rngSM_pass,MATCH($E245,rngSM_cat,0)),""))</f>
        <v/>
      </c>
      <c r="I245" s="14" t="n"/>
      <c r="J245" s="14" t="n"/>
      <c r="K245" s="14" t="n"/>
      <c r="L245" s="16" t="n"/>
      <c r="M245" s="14" t="n"/>
      <c r="N245" s="15">
        <f>IF($C245="","",COUNTIFS(nrSK_PID,$D245,nrSK_Cat,$E245))</f>
        <v/>
      </c>
      <c r="O245" s="15">
        <f>IF($C245="","",_xlfn.LET(_xlpm.latest,_xlfn.MAXIFS(nrSK_Att,nrSK_PID,$D245,nrSK_Cat,$E245),_xlpm.res,IF($I245=_xlpm.latest,$J245,""),IF($I245&lt;&gt;_xlpm.latest,"(superseded)",IF(_xlpm.res="","Pending",IF(_xlpm.res="Pass","Qualified",IF(AND(_xlpm.res="Fail",$N245&gt;=$F245),"FAILED OUT","Needs Remediation"))))))</f>
        <v/>
      </c>
      <c r="P245" s="15">
        <f>IF($C245="","",IF($O245="FAILED OUT","Yes","No"))</f>
        <v/>
      </c>
      <c r="Q245" s="14" t="n"/>
    </row>
    <row r="246">
      <c r="B246" s="15">
        <f>IF($C246="","",$D246&amp;"-"&amp;$E246&amp;"-"&amp;$I246)</f>
        <v/>
      </c>
      <c r="C246" s="14" t="n"/>
      <c r="D246" s="15">
        <f>IF($C246="","",IFERROR(INDEX(rngCadetPIDs,MATCH($C246,rngCadetNames,0)),"?"))</f>
        <v/>
      </c>
      <c r="E246" s="14" t="n"/>
      <c r="F246" s="15">
        <f>IF($E246="","",IFERROR(INDEX(rngSM_max,MATCH($E246,rngSM_cat,0)),""))</f>
        <v/>
      </c>
      <c r="G246" s="15">
        <f>IF($E246="","",IFERROR(INDEX(rngSM_mode,MATCH($E246,rngSM_cat,0)),""))</f>
        <v/>
      </c>
      <c r="H246" s="15">
        <f>IF($E246="","",IFERROR(INDEX(rngSM_pass,MATCH($E246,rngSM_cat,0)),""))</f>
        <v/>
      </c>
      <c r="I246" s="14" t="n"/>
      <c r="J246" s="14" t="n"/>
      <c r="K246" s="14" t="n"/>
      <c r="L246" s="16" t="n"/>
      <c r="M246" s="14" t="n"/>
      <c r="N246" s="15">
        <f>IF($C246="","",COUNTIFS(nrSK_PID,$D246,nrSK_Cat,$E246))</f>
        <v/>
      </c>
      <c r="O246" s="15">
        <f>IF($C246="","",_xlfn.LET(_xlpm.latest,_xlfn.MAXIFS(nrSK_Att,nrSK_PID,$D246,nrSK_Cat,$E246),_xlpm.res,IF($I246=_xlpm.latest,$J246,""),IF($I246&lt;&gt;_xlpm.latest,"(superseded)",IF(_xlpm.res="","Pending",IF(_xlpm.res="Pass","Qualified",IF(AND(_xlpm.res="Fail",$N246&gt;=$F246),"FAILED OUT","Needs Remediation"))))))</f>
        <v/>
      </c>
      <c r="P246" s="15">
        <f>IF($C246="","",IF($O246="FAILED OUT","Yes","No"))</f>
        <v/>
      </c>
      <c r="Q246" s="14" t="n"/>
    </row>
    <row r="247">
      <c r="B247" s="15">
        <f>IF($C247="","",$D247&amp;"-"&amp;$E247&amp;"-"&amp;$I247)</f>
        <v/>
      </c>
      <c r="C247" s="14" t="n"/>
      <c r="D247" s="15">
        <f>IF($C247="","",IFERROR(INDEX(rngCadetPIDs,MATCH($C247,rngCadetNames,0)),"?"))</f>
        <v/>
      </c>
      <c r="E247" s="14" t="n"/>
      <c r="F247" s="15">
        <f>IF($E247="","",IFERROR(INDEX(rngSM_max,MATCH($E247,rngSM_cat,0)),""))</f>
        <v/>
      </c>
      <c r="G247" s="15">
        <f>IF($E247="","",IFERROR(INDEX(rngSM_mode,MATCH($E247,rngSM_cat,0)),""))</f>
        <v/>
      </c>
      <c r="H247" s="15">
        <f>IF($E247="","",IFERROR(INDEX(rngSM_pass,MATCH($E247,rngSM_cat,0)),""))</f>
        <v/>
      </c>
      <c r="I247" s="14" t="n"/>
      <c r="J247" s="14" t="n"/>
      <c r="K247" s="14" t="n"/>
      <c r="L247" s="16" t="n"/>
      <c r="M247" s="14" t="n"/>
      <c r="N247" s="15">
        <f>IF($C247="","",COUNTIFS(nrSK_PID,$D247,nrSK_Cat,$E247))</f>
        <v/>
      </c>
      <c r="O247" s="15">
        <f>IF($C247="","",_xlfn.LET(_xlpm.latest,_xlfn.MAXIFS(nrSK_Att,nrSK_PID,$D247,nrSK_Cat,$E247),_xlpm.res,IF($I247=_xlpm.latest,$J247,""),IF($I247&lt;&gt;_xlpm.latest,"(superseded)",IF(_xlpm.res="","Pending",IF(_xlpm.res="Pass","Qualified",IF(AND(_xlpm.res="Fail",$N247&gt;=$F247),"FAILED OUT","Needs Remediation"))))))</f>
        <v/>
      </c>
      <c r="P247" s="15">
        <f>IF($C247="","",IF($O247="FAILED OUT","Yes","No"))</f>
        <v/>
      </c>
      <c r="Q247" s="14" t="n"/>
    </row>
    <row r="248">
      <c r="B248" s="15">
        <f>IF($C248="","",$D248&amp;"-"&amp;$E248&amp;"-"&amp;$I248)</f>
        <v/>
      </c>
      <c r="C248" s="14" t="n"/>
      <c r="D248" s="15">
        <f>IF($C248="","",IFERROR(INDEX(rngCadetPIDs,MATCH($C248,rngCadetNames,0)),"?"))</f>
        <v/>
      </c>
      <c r="E248" s="14" t="n"/>
      <c r="F248" s="15">
        <f>IF($E248="","",IFERROR(INDEX(rngSM_max,MATCH($E248,rngSM_cat,0)),""))</f>
        <v/>
      </c>
      <c r="G248" s="15">
        <f>IF($E248="","",IFERROR(INDEX(rngSM_mode,MATCH($E248,rngSM_cat,0)),""))</f>
        <v/>
      </c>
      <c r="H248" s="15">
        <f>IF($E248="","",IFERROR(INDEX(rngSM_pass,MATCH($E248,rngSM_cat,0)),""))</f>
        <v/>
      </c>
      <c r="I248" s="14" t="n"/>
      <c r="J248" s="14" t="n"/>
      <c r="K248" s="14" t="n"/>
      <c r="L248" s="16" t="n"/>
      <c r="M248" s="14" t="n"/>
      <c r="N248" s="15">
        <f>IF($C248="","",COUNTIFS(nrSK_PID,$D248,nrSK_Cat,$E248))</f>
        <v/>
      </c>
      <c r="O248" s="15">
        <f>IF($C248="","",_xlfn.LET(_xlpm.latest,_xlfn.MAXIFS(nrSK_Att,nrSK_PID,$D248,nrSK_Cat,$E248),_xlpm.res,IF($I248=_xlpm.latest,$J248,""),IF($I248&lt;&gt;_xlpm.latest,"(superseded)",IF(_xlpm.res="","Pending",IF(_xlpm.res="Pass","Qualified",IF(AND(_xlpm.res="Fail",$N248&gt;=$F248),"FAILED OUT","Needs Remediation"))))))</f>
        <v/>
      </c>
      <c r="P248" s="15">
        <f>IF($C248="","",IF($O248="FAILED OUT","Yes","No"))</f>
        <v/>
      </c>
      <c r="Q248" s="14" t="n"/>
    </row>
    <row r="249">
      <c r="B249" s="15">
        <f>IF($C249="","",$D249&amp;"-"&amp;$E249&amp;"-"&amp;$I249)</f>
        <v/>
      </c>
      <c r="C249" s="14" t="n"/>
      <c r="D249" s="15">
        <f>IF($C249="","",IFERROR(INDEX(rngCadetPIDs,MATCH($C249,rngCadetNames,0)),"?"))</f>
        <v/>
      </c>
      <c r="E249" s="14" t="n"/>
      <c r="F249" s="15">
        <f>IF($E249="","",IFERROR(INDEX(rngSM_max,MATCH($E249,rngSM_cat,0)),""))</f>
        <v/>
      </c>
      <c r="G249" s="15">
        <f>IF($E249="","",IFERROR(INDEX(rngSM_mode,MATCH($E249,rngSM_cat,0)),""))</f>
        <v/>
      </c>
      <c r="H249" s="15">
        <f>IF($E249="","",IFERROR(INDEX(rngSM_pass,MATCH($E249,rngSM_cat,0)),""))</f>
        <v/>
      </c>
      <c r="I249" s="14" t="n"/>
      <c r="J249" s="14" t="n"/>
      <c r="K249" s="14" t="n"/>
      <c r="L249" s="16" t="n"/>
      <c r="M249" s="14" t="n"/>
      <c r="N249" s="15">
        <f>IF($C249="","",COUNTIFS(nrSK_PID,$D249,nrSK_Cat,$E249))</f>
        <v/>
      </c>
      <c r="O249" s="15">
        <f>IF($C249="","",_xlfn.LET(_xlpm.latest,_xlfn.MAXIFS(nrSK_Att,nrSK_PID,$D249,nrSK_Cat,$E249),_xlpm.res,IF($I249=_xlpm.latest,$J249,""),IF($I249&lt;&gt;_xlpm.latest,"(superseded)",IF(_xlpm.res="","Pending",IF(_xlpm.res="Pass","Qualified",IF(AND(_xlpm.res="Fail",$N249&gt;=$F249),"FAILED OUT","Needs Remediation"))))))</f>
        <v/>
      </c>
      <c r="P249" s="15">
        <f>IF($C249="","",IF($O249="FAILED OUT","Yes","No"))</f>
        <v/>
      </c>
      <c r="Q249" s="14" t="n"/>
    </row>
    <row r="250">
      <c r="B250" s="15">
        <f>IF($C250="","",$D250&amp;"-"&amp;$E250&amp;"-"&amp;$I250)</f>
        <v/>
      </c>
      <c r="C250" s="14" t="n"/>
      <c r="D250" s="15">
        <f>IF($C250="","",IFERROR(INDEX(rngCadetPIDs,MATCH($C250,rngCadetNames,0)),"?"))</f>
        <v/>
      </c>
      <c r="E250" s="14" t="n"/>
      <c r="F250" s="15">
        <f>IF($E250="","",IFERROR(INDEX(rngSM_max,MATCH($E250,rngSM_cat,0)),""))</f>
        <v/>
      </c>
      <c r="G250" s="15">
        <f>IF($E250="","",IFERROR(INDEX(rngSM_mode,MATCH($E250,rngSM_cat,0)),""))</f>
        <v/>
      </c>
      <c r="H250" s="15">
        <f>IF($E250="","",IFERROR(INDEX(rngSM_pass,MATCH($E250,rngSM_cat,0)),""))</f>
        <v/>
      </c>
      <c r="I250" s="14" t="n"/>
      <c r="J250" s="14" t="n"/>
      <c r="K250" s="14" t="n"/>
      <c r="L250" s="16" t="n"/>
      <c r="M250" s="14" t="n"/>
      <c r="N250" s="15">
        <f>IF($C250="","",COUNTIFS(nrSK_PID,$D250,nrSK_Cat,$E250))</f>
        <v/>
      </c>
      <c r="O250" s="15">
        <f>IF($C250="","",_xlfn.LET(_xlpm.latest,_xlfn.MAXIFS(nrSK_Att,nrSK_PID,$D250,nrSK_Cat,$E250),_xlpm.res,IF($I250=_xlpm.latest,$J250,""),IF($I250&lt;&gt;_xlpm.latest,"(superseded)",IF(_xlpm.res="","Pending",IF(_xlpm.res="Pass","Qualified",IF(AND(_xlpm.res="Fail",$N250&gt;=$F250),"FAILED OUT","Needs Remediation"))))))</f>
        <v/>
      </c>
      <c r="P250" s="15">
        <f>IF($C250="","",IF($O250="FAILED OUT","Yes","No"))</f>
        <v/>
      </c>
      <c r="Q250" s="14" t="n"/>
    </row>
    <row r="251">
      <c r="B251" s="15">
        <f>IF($C251="","",$D251&amp;"-"&amp;$E251&amp;"-"&amp;$I251)</f>
        <v/>
      </c>
      <c r="C251" s="14" t="n"/>
      <c r="D251" s="15">
        <f>IF($C251="","",IFERROR(INDEX(rngCadetPIDs,MATCH($C251,rngCadetNames,0)),"?"))</f>
        <v/>
      </c>
      <c r="E251" s="14" t="n"/>
      <c r="F251" s="15">
        <f>IF($E251="","",IFERROR(INDEX(rngSM_max,MATCH($E251,rngSM_cat,0)),""))</f>
        <v/>
      </c>
      <c r="G251" s="15">
        <f>IF($E251="","",IFERROR(INDEX(rngSM_mode,MATCH($E251,rngSM_cat,0)),""))</f>
        <v/>
      </c>
      <c r="H251" s="15">
        <f>IF($E251="","",IFERROR(INDEX(rngSM_pass,MATCH($E251,rngSM_cat,0)),""))</f>
        <v/>
      </c>
      <c r="I251" s="14" t="n"/>
      <c r="J251" s="14" t="n"/>
      <c r="K251" s="14" t="n"/>
      <c r="L251" s="16" t="n"/>
      <c r="M251" s="14" t="n"/>
      <c r="N251" s="15">
        <f>IF($C251="","",COUNTIFS(nrSK_PID,$D251,nrSK_Cat,$E251))</f>
        <v/>
      </c>
      <c r="O251" s="15">
        <f>IF($C251="","",_xlfn.LET(_xlpm.latest,_xlfn.MAXIFS(nrSK_Att,nrSK_PID,$D251,nrSK_Cat,$E251),_xlpm.res,IF($I251=_xlpm.latest,$J251,""),IF($I251&lt;&gt;_xlpm.latest,"(superseded)",IF(_xlpm.res="","Pending",IF(_xlpm.res="Pass","Qualified",IF(AND(_xlpm.res="Fail",$N251&gt;=$F251),"FAILED OUT","Needs Remediation"))))))</f>
        <v/>
      </c>
      <c r="P251" s="15">
        <f>IF($C251="","",IF($O251="FAILED OUT","Yes","No"))</f>
        <v/>
      </c>
      <c r="Q251" s="14" t="n"/>
    </row>
    <row r="252">
      <c r="B252" s="15">
        <f>IF($C252="","",$D252&amp;"-"&amp;$E252&amp;"-"&amp;$I252)</f>
        <v/>
      </c>
      <c r="C252" s="14" t="n"/>
      <c r="D252" s="15">
        <f>IF($C252="","",IFERROR(INDEX(rngCadetPIDs,MATCH($C252,rngCadetNames,0)),"?"))</f>
        <v/>
      </c>
      <c r="E252" s="14" t="n"/>
      <c r="F252" s="15">
        <f>IF($E252="","",IFERROR(INDEX(rngSM_max,MATCH($E252,rngSM_cat,0)),""))</f>
        <v/>
      </c>
      <c r="G252" s="15">
        <f>IF($E252="","",IFERROR(INDEX(rngSM_mode,MATCH($E252,rngSM_cat,0)),""))</f>
        <v/>
      </c>
      <c r="H252" s="15">
        <f>IF($E252="","",IFERROR(INDEX(rngSM_pass,MATCH($E252,rngSM_cat,0)),""))</f>
        <v/>
      </c>
      <c r="I252" s="14" t="n"/>
      <c r="J252" s="14" t="n"/>
      <c r="K252" s="14" t="n"/>
      <c r="L252" s="16" t="n"/>
      <c r="M252" s="14" t="n"/>
      <c r="N252" s="15">
        <f>IF($C252="","",COUNTIFS(nrSK_PID,$D252,nrSK_Cat,$E252))</f>
        <v/>
      </c>
      <c r="O252" s="15">
        <f>IF($C252="","",_xlfn.LET(_xlpm.latest,_xlfn.MAXIFS(nrSK_Att,nrSK_PID,$D252,nrSK_Cat,$E252),_xlpm.res,IF($I252=_xlpm.latest,$J252,""),IF($I252&lt;&gt;_xlpm.latest,"(superseded)",IF(_xlpm.res="","Pending",IF(_xlpm.res="Pass","Qualified",IF(AND(_xlpm.res="Fail",$N252&gt;=$F252),"FAILED OUT","Needs Remediation"))))))</f>
        <v/>
      </c>
      <c r="P252" s="15">
        <f>IF($C252="","",IF($O252="FAILED OUT","Yes","No"))</f>
        <v/>
      </c>
      <c r="Q252" s="14" t="n"/>
    </row>
    <row r="253">
      <c r="B253" s="15">
        <f>IF($C253="","",$D253&amp;"-"&amp;$E253&amp;"-"&amp;$I253)</f>
        <v/>
      </c>
      <c r="C253" s="14" t="n"/>
      <c r="D253" s="15">
        <f>IF($C253="","",IFERROR(INDEX(rngCadetPIDs,MATCH($C253,rngCadetNames,0)),"?"))</f>
        <v/>
      </c>
      <c r="E253" s="14" t="n"/>
      <c r="F253" s="15">
        <f>IF($E253="","",IFERROR(INDEX(rngSM_max,MATCH($E253,rngSM_cat,0)),""))</f>
        <v/>
      </c>
      <c r="G253" s="15">
        <f>IF($E253="","",IFERROR(INDEX(rngSM_mode,MATCH($E253,rngSM_cat,0)),""))</f>
        <v/>
      </c>
      <c r="H253" s="15">
        <f>IF($E253="","",IFERROR(INDEX(rngSM_pass,MATCH($E253,rngSM_cat,0)),""))</f>
        <v/>
      </c>
      <c r="I253" s="14" t="n"/>
      <c r="J253" s="14" t="n"/>
      <c r="K253" s="14" t="n"/>
      <c r="L253" s="16" t="n"/>
      <c r="M253" s="14" t="n"/>
      <c r="N253" s="15">
        <f>IF($C253="","",COUNTIFS(nrSK_PID,$D253,nrSK_Cat,$E253))</f>
        <v/>
      </c>
      <c r="O253" s="15">
        <f>IF($C253="","",_xlfn.LET(_xlpm.latest,_xlfn.MAXIFS(nrSK_Att,nrSK_PID,$D253,nrSK_Cat,$E253),_xlpm.res,IF($I253=_xlpm.latest,$J253,""),IF($I253&lt;&gt;_xlpm.latest,"(superseded)",IF(_xlpm.res="","Pending",IF(_xlpm.res="Pass","Qualified",IF(AND(_xlpm.res="Fail",$N253&gt;=$F253),"FAILED OUT","Needs Remediation"))))))</f>
        <v/>
      </c>
      <c r="P253" s="15">
        <f>IF($C253="","",IF($O253="FAILED OUT","Yes","No"))</f>
        <v/>
      </c>
      <c r="Q253" s="14" t="n"/>
    </row>
    <row r="254">
      <c r="B254" s="15">
        <f>IF($C254="","",$D254&amp;"-"&amp;$E254&amp;"-"&amp;$I254)</f>
        <v/>
      </c>
      <c r="C254" s="14" t="n"/>
      <c r="D254" s="15">
        <f>IF($C254="","",IFERROR(INDEX(rngCadetPIDs,MATCH($C254,rngCadetNames,0)),"?"))</f>
        <v/>
      </c>
      <c r="E254" s="14" t="n"/>
      <c r="F254" s="15">
        <f>IF($E254="","",IFERROR(INDEX(rngSM_max,MATCH($E254,rngSM_cat,0)),""))</f>
        <v/>
      </c>
      <c r="G254" s="15">
        <f>IF($E254="","",IFERROR(INDEX(rngSM_mode,MATCH($E254,rngSM_cat,0)),""))</f>
        <v/>
      </c>
      <c r="H254" s="15">
        <f>IF($E254="","",IFERROR(INDEX(rngSM_pass,MATCH($E254,rngSM_cat,0)),""))</f>
        <v/>
      </c>
      <c r="I254" s="14" t="n"/>
      <c r="J254" s="14" t="n"/>
      <c r="K254" s="14" t="n"/>
      <c r="L254" s="16" t="n"/>
      <c r="M254" s="14" t="n"/>
      <c r="N254" s="15">
        <f>IF($C254="","",COUNTIFS(nrSK_PID,$D254,nrSK_Cat,$E254))</f>
        <v/>
      </c>
      <c r="O254" s="15">
        <f>IF($C254="","",_xlfn.LET(_xlpm.latest,_xlfn.MAXIFS(nrSK_Att,nrSK_PID,$D254,nrSK_Cat,$E254),_xlpm.res,IF($I254=_xlpm.latest,$J254,""),IF($I254&lt;&gt;_xlpm.latest,"(superseded)",IF(_xlpm.res="","Pending",IF(_xlpm.res="Pass","Qualified",IF(AND(_xlpm.res="Fail",$N254&gt;=$F254),"FAILED OUT","Needs Remediation"))))))</f>
        <v/>
      </c>
      <c r="P254" s="15">
        <f>IF($C254="","",IF($O254="FAILED OUT","Yes","No"))</f>
        <v/>
      </c>
      <c r="Q254" s="14" t="n"/>
    </row>
    <row r="255">
      <c r="B255" s="15">
        <f>IF($C255="","",$D255&amp;"-"&amp;$E255&amp;"-"&amp;$I255)</f>
        <v/>
      </c>
      <c r="C255" s="14" t="n"/>
      <c r="D255" s="15">
        <f>IF($C255="","",IFERROR(INDEX(rngCadetPIDs,MATCH($C255,rngCadetNames,0)),"?"))</f>
        <v/>
      </c>
      <c r="E255" s="14" t="n"/>
      <c r="F255" s="15">
        <f>IF($E255="","",IFERROR(INDEX(rngSM_max,MATCH($E255,rngSM_cat,0)),""))</f>
        <v/>
      </c>
      <c r="G255" s="15">
        <f>IF($E255="","",IFERROR(INDEX(rngSM_mode,MATCH($E255,rngSM_cat,0)),""))</f>
        <v/>
      </c>
      <c r="H255" s="15">
        <f>IF($E255="","",IFERROR(INDEX(rngSM_pass,MATCH($E255,rngSM_cat,0)),""))</f>
        <v/>
      </c>
      <c r="I255" s="14" t="n"/>
      <c r="J255" s="14" t="n"/>
      <c r="K255" s="14" t="n"/>
      <c r="L255" s="16" t="n"/>
      <c r="M255" s="14" t="n"/>
      <c r="N255" s="15">
        <f>IF($C255="","",COUNTIFS(nrSK_PID,$D255,nrSK_Cat,$E255))</f>
        <v/>
      </c>
      <c r="O255" s="15">
        <f>IF($C255="","",_xlfn.LET(_xlpm.latest,_xlfn.MAXIFS(nrSK_Att,nrSK_PID,$D255,nrSK_Cat,$E255),_xlpm.res,IF($I255=_xlpm.latest,$J255,""),IF($I255&lt;&gt;_xlpm.latest,"(superseded)",IF(_xlpm.res="","Pending",IF(_xlpm.res="Pass","Qualified",IF(AND(_xlpm.res="Fail",$N255&gt;=$F255),"FAILED OUT","Needs Remediation"))))))</f>
        <v/>
      </c>
      <c r="P255" s="15">
        <f>IF($C255="","",IF($O255="FAILED OUT","Yes","No"))</f>
        <v/>
      </c>
      <c r="Q255" s="14" t="n"/>
    </row>
    <row r="256">
      <c r="B256" s="15">
        <f>IF($C256="","",$D256&amp;"-"&amp;$E256&amp;"-"&amp;$I256)</f>
        <v/>
      </c>
      <c r="C256" s="14" t="n"/>
      <c r="D256" s="15">
        <f>IF($C256="","",IFERROR(INDEX(rngCadetPIDs,MATCH($C256,rngCadetNames,0)),"?"))</f>
        <v/>
      </c>
      <c r="E256" s="14" t="n"/>
      <c r="F256" s="15">
        <f>IF($E256="","",IFERROR(INDEX(rngSM_max,MATCH($E256,rngSM_cat,0)),""))</f>
        <v/>
      </c>
      <c r="G256" s="15">
        <f>IF($E256="","",IFERROR(INDEX(rngSM_mode,MATCH($E256,rngSM_cat,0)),""))</f>
        <v/>
      </c>
      <c r="H256" s="15">
        <f>IF($E256="","",IFERROR(INDEX(rngSM_pass,MATCH($E256,rngSM_cat,0)),""))</f>
        <v/>
      </c>
      <c r="I256" s="14" t="n"/>
      <c r="J256" s="14" t="n"/>
      <c r="K256" s="14" t="n"/>
      <c r="L256" s="16" t="n"/>
      <c r="M256" s="14" t="n"/>
      <c r="N256" s="15">
        <f>IF($C256="","",COUNTIFS(nrSK_PID,$D256,nrSK_Cat,$E256))</f>
        <v/>
      </c>
      <c r="O256" s="15">
        <f>IF($C256="","",_xlfn.LET(_xlpm.latest,_xlfn.MAXIFS(nrSK_Att,nrSK_PID,$D256,nrSK_Cat,$E256),_xlpm.res,IF($I256=_xlpm.latest,$J256,""),IF($I256&lt;&gt;_xlpm.latest,"(superseded)",IF(_xlpm.res="","Pending",IF(_xlpm.res="Pass","Qualified",IF(AND(_xlpm.res="Fail",$N256&gt;=$F256),"FAILED OUT","Needs Remediation"))))))</f>
        <v/>
      </c>
      <c r="P256" s="15">
        <f>IF($C256="","",IF($O256="FAILED OUT","Yes","No"))</f>
        <v/>
      </c>
      <c r="Q256" s="14" t="n"/>
    </row>
    <row r="257">
      <c r="B257" s="15">
        <f>IF($C257="","",$D257&amp;"-"&amp;$E257&amp;"-"&amp;$I257)</f>
        <v/>
      </c>
      <c r="C257" s="14" t="n"/>
      <c r="D257" s="15">
        <f>IF($C257="","",IFERROR(INDEX(rngCadetPIDs,MATCH($C257,rngCadetNames,0)),"?"))</f>
        <v/>
      </c>
      <c r="E257" s="14" t="n"/>
      <c r="F257" s="15">
        <f>IF($E257="","",IFERROR(INDEX(rngSM_max,MATCH($E257,rngSM_cat,0)),""))</f>
        <v/>
      </c>
      <c r="G257" s="15">
        <f>IF($E257="","",IFERROR(INDEX(rngSM_mode,MATCH($E257,rngSM_cat,0)),""))</f>
        <v/>
      </c>
      <c r="H257" s="15">
        <f>IF($E257="","",IFERROR(INDEX(rngSM_pass,MATCH($E257,rngSM_cat,0)),""))</f>
        <v/>
      </c>
      <c r="I257" s="14" t="n"/>
      <c r="J257" s="14" t="n"/>
      <c r="K257" s="14" t="n"/>
      <c r="L257" s="16" t="n"/>
      <c r="M257" s="14" t="n"/>
      <c r="N257" s="15">
        <f>IF($C257="","",COUNTIFS(nrSK_PID,$D257,nrSK_Cat,$E257))</f>
        <v/>
      </c>
      <c r="O257" s="15">
        <f>IF($C257="","",_xlfn.LET(_xlpm.latest,_xlfn.MAXIFS(nrSK_Att,nrSK_PID,$D257,nrSK_Cat,$E257),_xlpm.res,IF($I257=_xlpm.latest,$J257,""),IF($I257&lt;&gt;_xlpm.latest,"(superseded)",IF(_xlpm.res="","Pending",IF(_xlpm.res="Pass","Qualified",IF(AND(_xlpm.res="Fail",$N257&gt;=$F257),"FAILED OUT","Needs Remediation"))))))</f>
        <v/>
      </c>
      <c r="P257" s="15">
        <f>IF($C257="","",IF($O257="FAILED OUT","Yes","No"))</f>
        <v/>
      </c>
      <c r="Q257" s="14" t="n"/>
    </row>
    <row r="258">
      <c r="B258" s="15">
        <f>IF($C258="","",$D258&amp;"-"&amp;$E258&amp;"-"&amp;$I258)</f>
        <v/>
      </c>
      <c r="C258" s="14" t="n"/>
      <c r="D258" s="15">
        <f>IF($C258="","",IFERROR(INDEX(rngCadetPIDs,MATCH($C258,rngCadetNames,0)),"?"))</f>
        <v/>
      </c>
      <c r="E258" s="14" t="n"/>
      <c r="F258" s="15">
        <f>IF($E258="","",IFERROR(INDEX(rngSM_max,MATCH($E258,rngSM_cat,0)),""))</f>
        <v/>
      </c>
      <c r="G258" s="15">
        <f>IF($E258="","",IFERROR(INDEX(rngSM_mode,MATCH($E258,rngSM_cat,0)),""))</f>
        <v/>
      </c>
      <c r="H258" s="15">
        <f>IF($E258="","",IFERROR(INDEX(rngSM_pass,MATCH($E258,rngSM_cat,0)),""))</f>
        <v/>
      </c>
      <c r="I258" s="14" t="n"/>
      <c r="J258" s="14" t="n"/>
      <c r="K258" s="14" t="n"/>
      <c r="L258" s="16" t="n"/>
      <c r="M258" s="14" t="n"/>
      <c r="N258" s="15">
        <f>IF($C258="","",COUNTIFS(nrSK_PID,$D258,nrSK_Cat,$E258))</f>
        <v/>
      </c>
      <c r="O258" s="15">
        <f>IF($C258="","",_xlfn.LET(_xlpm.latest,_xlfn.MAXIFS(nrSK_Att,nrSK_PID,$D258,nrSK_Cat,$E258),_xlpm.res,IF($I258=_xlpm.latest,$J258,""),IF($I258&lt;&gt;_xlpm.latest,"(superseded)",IF(_xlpm.res="","Pending",IF(_xlpm.res="Pass","Qualified",IF(AND(_xlpm.res="Fail",$N258&gt;=$F258),"FAILED OUT","Needs Remediation"))))))</f>
        <v/>
      </c>
      <c r="P258" s="15">
        <f>IF($C258="","",IF($O258="FAILED OUT","Yes","No"))</f>
        <v/>
      </c>
      <c r="Q258" s="14" t="n"/>
    </row>
    <row r="259">
      <c r="B259" s="15">
        <f>IF($C259="","",$D259&amp;"-"&amp;$E259&amp;"-"&amp;$I259)</f>
        <v/>
      </c>
      <c r="C259" s="14" t="n"/>
      <c r="D259" s="15">
        <f>IF($C259="","",IFERROR(INDEX(rngCadetPIDs,MATCH($C259,rngCadetNames,0)),"?"))</f>
        <v/>
      </c>
      <c r="E259" s="14" t="n"/>
      <c r="F259" s="15">
        <f>IF($E259="","",IFERROR(INDEX(rngSM_max,MATCH($E259,rngSM_cat,0)),""))</f>
        <v/>
      </c>
      <c r="G259" s="15">
        <f>IF($E259="","",IFERROR(INDEX(rngSM_mode,MATCH($E259,rngSM_cat,0)),""))</f>
        <v/>
      </c>
      <c r="H259" s="15">
        <f>IF($E259="","",IFERROR(INDEX(rngSM_pass,MATCH($E259,rngSM_cat,0)),""))</f>
        <v/>
      </c>
      <c r="I259" s="14" t="n"/>
      <c r="J259" s="14" t="n"/>
      <c r="K259" s="14" t="n"/>
      <c r="L259" s="16" t="n"/>
      <c r="M259" s="14" t="n"/>
      <c r="N259" s="15">
        <f>IF($C259="","",COUNTIFS(nrSK_PID,$D259,nrSK_Cat,$E259))</f>
        <v/>
      </c>
      <c r="O259" s="15">
        <f>IF($C259="","",_xlfn.LET(_xlpm.latest,_xlfn.MAXIFS(nrSK_Att,nrSK_PID,$D259,nrSK_Cat,$E259),_xlpm.res,IF($I259=_xlpm.latest,$J259,""),IF($I259&lt;&gt;_xlpm.latest,"(superseded)",IF(_xlpm.res="","Pending",IF(_xlpm.res="Pass","Qualified",IF(AND(_xlpm.res="Fail",$N259&gt;=$F259),"FAILED OUT","Needs Remediation"))))))</f>
        <v/>
      </c>
      <c r="P259" s="15">
        <f>IF($C259="","",IF($O259="FAILED OUT","Yes","No"))</f>
        <v/>
      </c>
      <c r="Q259" s="14" t="n"/>
    </row>
    <row r="260">
      <c r="B260" s="15">
        <f>IF($C260="","",$D260&amp;"-"&amp;$E260&amp;"-"&amp;$I260)</f>
        <v/>
      </c>
      <c r="C260" s="14" t="n"/>
      <c r="D260" s="15">
        <f>IF($C260="","",IFERROR(INDEX(rngCadetPIDs,MATCH($C260,rngCadetNames,0)),"?"))</f>
        <v/>
      </c>
      <c r="E260" s="14" t="n"/>
      <c r="F260" s="15">
        <f>IF($E260="","",IFERROR(INDEX(rngSM_max,MATCH($E260,rngSM_cat,0)),""))</f>
        <v/>
      </c>
      <c r="G260" s="15">
        <f>IF($E260="","",IFERROR(INDEX(rngSM_mode,MATCH($E260,rngSM_cat,0)),""))</f>
        <v/>
      </c>
      <c r="H260" s="15">
        <f>IF($E260="","",IFERROR(INDEX(rngSM_pass,MATCH($E260,rngSM_cat,0)),""))</f>
        <v/>
      </c>
      <c r="I260" s="14" t="n"/>
      <c r="J260" s="14" t="n"/>
      <c r="K260" s="14" t="n"/>
      <c r="L260" s="16" t="n"/>
      <c r="M260" s="14" t="n"/>
      <c r="N260" s="15">
        <f>IF($C260="","",COUNTIFS(nrSK_PID,$D260,nrSK_Cat,$E260))</f>
        <v/>
      </c>
      <c r="O260" s="15">
        <f>IF($C260="","",_xlfn.LET(_xlpm.latest,_xlfn.MAXIFS(nrSK_Att,nrSK_PID,$D260,nrSK_Cat,$E260),_xlpm.res,IF($I260=_xlpm.latest,$J260,""),IF($I260&lt;&gt;_xlpm.latest,"(superseded)",IF(_xlpm.res="","Pending",IF(_xlpm.res="Pass","Qualified",IF(AND(_xlpm.res="Fail",$N260&gt;=$F260),"FAILED OUT","Needs Remediation"))))))</f>
        <v/>
      </c>
      <c r="P260" s="15">
        <f>IF($C260="","",IF($O260="FAILED OUT","Yes","No"))</f>
        <v/>
      </c>
      <c r="Q260" s="14" t="n"/>
    </row>
    <row r="261">
      <c r="B261" s="15">
        <f>IF($C261="","",$D261&amp;"-"&amp;$E261&amp;"-"&amp;$I261)</f>
        <v/>
      </c>
      <c r="C261" s="14" t="n"/>
      <c r="D261" s="15">
        <f>IF($C261="","",IFERROR(INDEX(rngCadetPIDs,MATCH($C261,rngCadetNames,0)),"?"))</f>
        <v/>
      </c>
      <c r="E261" s="14" t="n"/>
      <c r="F261" s="15">
        <f>IF($E261="","",IFERROR(INDEX(rngSM_max,MATCH($E261,rngSM_cat,0)),""))</f>
        <v/>
      </c>
      <c r="G261" s="15">
        <f>IF($E261="","",IFERROR(INDEX(rngSM_mode,MATCH($E261,rngSM_cat,0)),""))</f>
        <v/>
      </c>
      <c r="H261" s="15">
        <f>IF($E261="","",IFERROR(INDEX(rngSM_pass,MATCH($E261,rngSM_cat,0)),""))</f>
        <v/>
      </c>
      <c r="I261" s="14" t="n"/>
      <c r="J261" s="14" t="n"/>
      <c r="K261" s="14" t="n"/>
      <c r="L261" s="16" t="n"/>
      <c r="M261" s="14" t="n"/>
      <c r="N261" s="15">
        <f>IF($C261="","",COUNTIFS(nrSK_PID,$D261,nrSK_Cat,$E261))</f>
        <v/>
      </c>
      <c r="O261" s="15">
        <f>IF($C261="","",_xlfn.LET(_xlpm.latest,_xlfn.MAXIFS(nrSK_Att,nrSK_PID,$D261,nrSK_Cat,$E261),_xlpm.res,IF($I261=_xlpm.latest,$J261,""),IF($I261&lt;&gt;_xlpm.latest,"(superseded)",IF(_xlpm.res="","Pending",IF(_xlpm.res="Pass","Qualified",IF(AND(_xlpm.res="Fail",$N261&gt;=$F261),"FAILED OUT","Needs Remediation"))))))</f>
        <v/>
      </c>
      <c r="P261" s="15">
        <f>IF($C261="","",IF($O261="FAILED OUT","Yes","No"))</f>
        <v/>
      </c>
      <c r="Q261" s="14" t="n"/>
    </row>
    <row r="262">
      <c r="B262" s="15">
        <f>IF($C262="","",$D262&amp;"-"&amp;$E262&amp;"-"&amp;$I262)</f>
        <v/>
      </c>
      <c r="C262" s="14" t="n"/>
      <c r="D262" s="15">
        <f>IF($C262="","",IFERROR(INDEX(rngCadetPIDs,MATCH($C262,rngCadetNames,0)),"?"))</f>
        <v/>
      </c>
      <c r="E262" s="14" t="n"/>
      <c r="F262" s="15">
        <f>IF($E262="","",IFERROR(INDEX(rngSM_max,MATCH($E262,rngSM_cat,0)),""))</f>
        <v/>
      </c>
      <c r="G262" s="15">
        <f>IF($E262="","",IFERROR(INDEX(rngSM_mode,MATCH($E262,rngSM_cat,0)),""))</f>
        <v/>
      </c>
      <c r="H262" s="15">
        <f>IF($E262="","",IFERROR(INDEX(rngSM_pass,MATCH($E262,rngSM_cat,0)),""))</f>
        <v/>
      </c>
      <c r="I262" s="14" t="n"/>
      <c r="J262" s="14" t="n"/>
      <c r="K262" s="14" t="n"/>
      <c r="L262" s="16" t="n"/>
      <c r="M262" s="14" t="n"/>
      <c r="N262" s="15">
        <f>IF($C262="","",COUNTIFS(nrSK_PID,$D262,nrSK_Cat,$E262))</f>
        <v/>
      </c>
      <c r="O262" s="15">
        <f>IF($C262="","",_xlfn.LET(_xlpm.latest,_xlfn.MAXIFS(nrSK_Att,nrSK_PID,$D262,nrSK_Cat,$E262),_xlpm.res,IF($I262=_xlpm.latest,$J262,""),IF($I262&lt;&gt;_xlpm.latest,"(superseded)",IF(_xlpm.res="","Pending",IF(_xlpm.res="Pass","Qualified",IF(AND(_xlpm.res="Fail",$N262&gt;=$F262),"FAILED OUT","Needs Remediation"))))))</f>
        <v/>
      </c>
      <c r="P262" s="15">
        <f>IF($C262="","",IF($O262="FAILED OUT","Yes","No"))</f>
        <v/>
      </c>
      <c r="Q262" s="14" t="n"/>
    </row>
    <row r="263">
      <c r="B263" s="15">
        <f>IF($C263="","",$D263&amp;"-"&amp;$E263&amp;"-"&amp;$I263)</f>
        <v/>
      </c>
      <c r="C263" s="14" t="n"/>
      <c r="D263" s="15">
        <f>IF($C263="","",IFERROR(INDEX(rngCadetPIDs,MATCH($C263,rngCadetNames,0)),"?"))</f>
        <v/>
      </c>
      <c r="E263" s="14" t="n"/>
      <c r="F263" s="15">
        <f>IF($E263="","",IFERROR(INDEX(rngSM_max,MATCH($E263,rngSM_cat,0)),""))</f>
        <v/>
      </c>
      <c r="G263" s="15">
        <f>IF($E263="","",IFERROR(INDEX(rngSM_mode,MATCH($E263,rngSM_cat,0)),""))</f>
        <v/>
      </c>
      <c r="H263" s="15">
        <f>IF($E263="","",IFERROR(INDEX(rngSM_pass,MATCH($E263,rngSM_cat,0)),""))</f>
        <v/>
      </c>
      <c r="I263" s="14" t="n"/>
      <c r="J263" s="14" t="n"/>
      <c r="K263" s="14" t="n"/>
      <c r="L263" s="16" t="n"/>
      <c r="M263" s="14" t="n"/>
      <c r="N263" s="15">
        <f>IF($C263="","",COUNTIFS(nrSK_PID,$D263,nrSK_Cat,$E263))</f>
        <v/>
      </c>
      <c r="O263" s="15">
        <f>IF($C263="","",_xlfn.LET(_xlpm.latest,_xlfn.MAXIFS(nrSK_Att,nrSK_PID,$D263,nrSK_Cat,$E263),_xlpm.res,IF($I263=_xlpm.latest,$J263,""),IF($I263&lt;&gt;_xlpm.latest,"(superseded)",IF(_xlpm.res="","Pending",IF(_xlpm.res="Pass","Qualified",IF(AND(_xlpm.res="Fail",$N263&gt;=$F263),"FAILED OUT","Needs Remediation"))))))</f>
        <v/>
      </c>
      <c r="P263" s="15">
        <f>IF($C263="","",IF($O263="FAILED OUT","Yes","No"))</f>
        <v/>
      </c>
      <c r="Q263" s="14" t="n"/>
    </row>
    <row r="264">
      <c r="B264" s="15">
        <f>IF($C264="","",$D264&amp;"-"&amp;$E264&amp;"-"&amp;$I264)</f>
        <v/>
      </c>
      <c r="C264" s="14" t="n"/>
      <c r="D264" s="15">
        <f>IF($C264="","",IFERROR(INDEX(rngCadetPIDs,MATCH($C264,rngCadetNames,0)),"?"))</f>
        <v/>
      </c>
      <c r="E264" s="14" t="n"/>
      <c r="F264" s="15">
        <f>IF($E264="","",IFERROR(INDEX(rngSM_max,MATCH($E264,rngSM_cat,0)),""))</f>
        <v/>
      </c>
      <c r="G264" s="15">
        <f>IF($E264="","",IFERROR(INDEX(rngSM_mode,MATCH($E264,rngSM_cat,0)),""))</f>
        <v/>
      </c>
      <c r="H264" s="15">
        <f>IF($E264="","",IFERROR(INDEX(rngSM_pass,MATCH($E264,rngSM_cat,0)),""))</f>
        <v/>
      </c>
      <c r="I264" s="14" t="n"/>
      <c r="J264" s="14" t="n"/>
      <c r="K264" s="14" t="n"/>
      <c r="L264" s="16" t="n"/>
      <c r="M264" s="14" t="n"/>
      <c r="N264" s="15">
        <f>IF($C264="","",COUNTIFS(nrSK_PID,$D264,nrSK_Cat,$E264))</f>
        <v/>
      </c>
      <c r="O264" s="15">
        <f>IF($C264="","",_xlfn.LET(_xlpm.latest,_xlfn.MAXIFS(nrSK_Att,nrSK_PID,$D264,nrSK_Cat,$E264),_xlpm.res,IF($I264=_xlpm.latest,$J264,""),IF($I264&lt;&gt;_xlpm.latest,"(superseded)",IF(_xlpm.res="","Pending",IF(_xlpm.res="Pass","Qualified",IF(AND(_xlpm.res="Fail",$N264&gt;=$F264),"FAILED OUT","Needs Remediation"))))))</f>
        <v/>
      </c>
      <c r="P264" s="15">
        <f>IF($C264="","",IF($O264="FAILED OUT","Yes","No"))</f>
        <v/>
      </c>
      <c r="Q264" s="14" t="n"/>
    </row>
    <row r="265">
      <c r="B265" s="15">
        <f>IF($C265="","",$D265&amp;"-"&amp;$E265&amp;"-"&amp;$I265)</f>
        <v/>
      </c>
      <c r="C265" s="14" t="n"/>
      <c r="D265" s="15">
        <f>IF($C265="","",IFERROR(INDEX(rngCadetPIDs,MATCH($C265,rngCadetNames,0)),"?"))</f>
        <v/>
      </c>
      <c r="E265" s="14" t="n"/>
      <c r="F265" s="15">
        <f>IF($E265="","",IFERROR(INDEX(rngSM_max,MATCH($E265,rngSM_cat,0)),""))</f>
        <v/>
      </c>
      <c r="G265" s="15">
        <f>IF($E265="","",IFERROR(INDEX(rngSM_mode,MATCH($E265,rngSM_cat,0)),""))</f>
        <v/>
      </c>
      <c r="H265" s="15">
        <f>IF($E265="","",IFERROR(INDEX(rngSM_pass,MATCH($E265,rngSM_cat,0)),""))</f>
        <v/>
      </c>
      <c r="I265" s="14" t="n"/>
      <c r="J265" s="14" t="n"/>
      <c r="K265" s="14" t="n"/>
      <c r="L265" s="16" t="n"/>
      <c r="M265" s="14" t="n"/>
      <c r="N265" s="15">
        <f>IF($C265="","",COUNTIFS(nrSK_PID,$D265,nrSK_Cat,$E265))</f>
        <v/>
      </c>
      <c r="O265" s="15">
        <f>IF($C265="","",_xlfn.LET(_xlpm.latest,_xlfn.MAXIFS(nrSK_Att,nrSK_PID,$D265,nrSK_Cat,$E265),_xlpm.res,IF($I265=_xlpm.latest,$J265,""),IF($I265&lt;&gt;_xlpm.latest,"(superseded)",IF(_xlpm.res="","Pending",IF(_xlpm.res="Pass","Qualified",IF(AND(_xlpm.res="Fail",$N265&gt;=$F265),"FAILED OUT","Needs Remediation"))))))</f>
        <v/>
      </c>
      <c r="P265" s="15">
        <f>IF($C265="","",IF($O265="FAILED OUT","Yes","No"))</f>
        <v/>
      </c>
      <c r="Q265" s="14" t="n"/>
    </row>
    <row r="266">
      <c r="B266" s="15">
        <f>IF($C266="","",$D266&amp;"-"&amp;$E266&amp;"-"&amp;$I266)</f>
        <v/>
      </c>
      <c r="C266" s="14" t="n"/>
      <c r="D266" s="15">
        <f>IF($C266="","",IFERROR(INDEX(rngCadetPIDs,MATCH($C266,rngCadetNames,0)),"?"))</f>
        <v/>
      </c>
      <c r="E266" s="14" t="n"/>
      <c r="F266" s="15">
        <f>IF($E266="","",IFERROR(INDEX(rngSM_max,MATCH($E266,rngSM_cat,0)),""))</f>
        <v/>
      </c>
      <c r="G266" s="15">
        <f>IF($E266="","",IFERROR(INDEX(rngSM_mode,MATCH($E266,rngSM_cat,0)),""))</f>
        <v/>
      </c>
      <c r="H266" s="15">
        <f>IF($E266="","",IFERROR(INDEX(rngSM_pass,MATCH($E266,rngSM_cat,0)),""))</f>
        <v/>
      </c>
      <c r="I266" s="14" t="n"/>
      <c r="J266" s="14" t="n"/>
      <c r="K266" s="14" t="n"/>
      <c r="L266" s="16" t="n"/>
      <c r="M266" s="14" t="n"/>
      <c r="N266" s="15">
        <f>IF($C266="","",COUNTIFS(nrSK_PID,$D266,nrSK_Cat,$E266))</f>
        <v/>
      </c>
      <c r="O266" s="15">
        <f>IF($C266="","",_xlfn.LET(_xlpm.latest,_xlfn.MAXIFS(nrSK_Att,nrSK_PID,$D266,nrSK_Cat,$E266),_xlpm.res,IF($I266=_xlpm.latest,$J266,""),IF($I266&lt;&gt;_xlpm.latest,"(superseded)",IF(_xlpm.res="","Pending",IF(_xlpm.res="Pass","Qualified",IF(AND(_xlpm.res="Fail",$N266&gt;=$F266),"FAILED OUT","Needs Remediation"))))))</f>
        <v/>
      </c>
      <c r="P266" s="15">
        <f>IF($C266="","",IF($O266="FAILED OUT","Yes","No"))</f>
        <v/>
      </c>
      <c r="Q266" s="14" t="n"/>
    </row>
    <row r="267">
      <c r="B267" s="15">
        <f>IF($C267="","",$D267&amp;"-"&amp;$E267&amp;"-"&amp;$I267)</f>
        <v/>
      </c>
      <c r="C267" s="14" t="n"/>
      <c r="D267" s="15">
        <f>IF($C267="","",IFERROR(INDEX(rngCadetPIDs,MATCH($C267,rngCadetNames,0)),"?"))</f>
        <v/>
      </c>
      <c r="E267" s="14" t="n"/>
      <c r="F267" s="15">
        <f>IF($E267="","",IFERROR(INDEX(rngSM_max,MATCH($E267,rngSM_cat,0)),""))</f>
        <v/>
      </c>
      <c r="G267" s="15">
        <f>IF($E267="","",IFERROR(INDEX(rngSM_mode,MATCH($E267,rngSM_cat,0)),""))</f>
        <v/>
      </c>
      <c r="H267" s="15">
        <f>IF($E267="","",IFERROR(INDEX(rngSM_pass,MATCH($E267,rngSM_cat,0)),""))</f>
        <v/>
      </c>
      <c r="I267" s="14" t="n"/>
      <c r="J267" s="14" t="n"/>
      <c r="K267" s="14" t="n"/>
      <c r="L267" s="16" t="n"/>
      <c r="M267" s="14" t="n"/>
      <c r="N267" s="15">
        <f>IF($C267="","",COUNTIFS(nrSK_PID,$D267,nrSK_Cat,$E267))</f>
        <v/>
      </c>
      <c r="O267" s="15">
        <f>IF($C267="","",_xlfn.LET(_xlpm.latest,_xlfn.MAXIFS(nrSK_Att,nrSK_PID,$D267,nrSK_Cat,$E267),_xlpm.res,IF($I267=_xlpm.latest,$J267,""),IF($I267&lt;&gt;_xlpm.latest,"(superseded)",IF(_xlpm.res="","Pending",IF(_xlpm.res="Pass","Qualified",IF(AND(_xlpm.res="Fail",$N267&gt;=$F267),"FAILED OUT","Needs Remediation"))))))</f>
        <v/>
      </c>
      <c r="P267" s="15">
        <f>IF($C267="","",IF($O267="FAILED OUT","Yes","No"))</f>
        <v/>
      </c>
      <c r="Q267" s="14" t="n"/>
    </row>
    <row r="268">
      <c r="B268" s="15">
        <f>IF($C268="","",$D268&amp;"-"&amp;$E268&amp;"-"&amp;$I268)</f>
        <v/>
      </c>
      <c r="C268" s="14" t="n"/>
      <c r="D268" s="15">
        <f>IF($C268="","",IFERROR(INDEX(rngCadetPIDs,MATCH($C268,rngCadetNames,0)),"?"))</f>
        <v/>
      </c>
      <c r="E268" s="14" t="n"/>
      <c r="F268" s="15">
        <f>IF($E268="","",IFERROR(INDEX(rngSM_max,MATCH($E268,rngSM_cat,0)),""))</f>
        <v/>
      </c>
      <c r="G268" s="15">
        <f>IF($E268="","",IFERROR(INDEX(rngSM_mode,MATCH($E268,rngSM_cat,0)),""))</f>
        <v/>
      </c>
      <c r="H268" s="15">
        <f>IF($E268="","",IFERROR(INDEX(rngSM_pass,MATCH($E268,rngSM_cat,0)),""))</f>
        <v/>
      </c>
      <c r="I268" s="14" t="n"/>
      <c r="J268" s="14" t="n"/>
      <c r="K268" s="14" t="n"/>
      <c r="L268" s="16" t="n"/>
      <c r="M268" s="14" t="n"/>
      <c r="N268" s="15">
        <f>IF($C268="","",COUNTIFS(nrSK_PID,$D268,nrSK_Cat,$E268))</f>
        <v/>
      </c>
      <c r="O268" s="15">
        <f>IF($C268="","",_xlfn.LET(_xlpm.latest,_xlfn.MAXIFS(nrSK_Att,nrSK_PID,$D268,nrSK_Cat,$E268),_xlpm.res,IF($I268=_xlpm.latest,$J268,""),IF($I268&lt;&gt;_xlpm.latest,"(superseded)",IF(_xlpm.res="","Pending",IF(_xlpm.res="Pass","Qualified",IF(AND(_xlpm.res="Fail",$N268&gt;=$F268),"FAILED OUT","Needs Remediation"))))))</f>
        <v/>
      </c>
      <c r="P268" s="15">
        <f>IF($C268="","",IF($O268="FAILED OUT","Yes","No"))</f>
        <v/>
      </c>
      <c r="Q268" s="14" t="n"/>
    </row>
    <row r="269">
      <c r="B269" s="15">
        <f>IF($C269="","",$D269&amp;"-"&amp;$E269&amp;"-"&amp;$I269)</f>
        <v/>
      </c>
      <c r="C269" s="14" t="n"/>
      <c r="D269" s="15">
        <f>IF($C269="","",IFERROR(INDEX(rngCadetPIDs,MATCH($C269,rngCadetNames,0)),"?"))</f>
        <v/>
      </c>
      <c r="E269" s="14" t="n"/>
      <c r="F269" s="15">
        <f>IF($E269="","",IFERROR(INDEX(rngSM_max,MATCH($E269,rngSM_cat,0)),""))</f>
        <v/>
      </c>
      <c r="G269" s="15">
        <f>IF($E269="","",IFERROR(INDEX(rngSM_mode,MATCH($E269,rngSM_cat,0)),""))</f>
        <v/>
      </c>
      <c r="H269" s="15">
        <f>IF($E269="","",IFERROR(INDEX(rngSM_pass,MATCH($E269,rngSM_cat,0)),""))</f>
        <v/>
      </c>
      <c r="I269" s="14" t="n"/>
      <c r="J269" s="14" t="n"/>
      <c r="K269" s="14" t="n"/>
      <c r="L269" s="16" t="n"/>
      <c r="M269" s="14" t="n"/>
      <c r="N269" s="15">
        <f>IF($C269="","",COUNTIFS(nrSK_PID,$D269,nrSK_Cat,$E269))</f>
        <v/>
      </c>
      <c r="O269" s="15">
        <f>IF($C269="","",_xlfn.LET(_xlpm.latest,_xlfn.MAXIFS(nrSK_Att,nrSK_PID,$D269,nrSK_Cat,$E269),_xlpm.res,IF($I269=_xlpm.latest,$J269,""),IF($I269&lt;&gt;_xlpm.latest,"(superseded)",IF(_xlpm.res="","Pending",IF(_xlpm.res="Pass","Qualified",IF(AND(_xlpm.res="Fail",$N269&gt;=$F269),"FAILED OUT","Needs Remediation"))))))</f>
        <v/>
      </c>
      <c r="P269" s="15">
        <f>IF($C269="","",IF($O269="FAILED OUT","Yes","No"))</f>
        <v/>
      </c>
      <c r="Q269" s="14" t="n"/>
    </row>
    <row r="270">
      <c r="B270" s="15">
        <f>IF($C270="","",$D270&amp;"-"&amp;$E270&amp;"-"&amp;$I270)</f>
        <v/>
      </c>
      <c r="C270" s="14" t="n"/>
      <c r="D270" s="15">
        <f>IF($C270="","",IFERROR(INDEX(rngCadetPIDs,MATCH($C270,rngCadetNames,0)),"?"))</f>
        <v/>
      </c>
      <c r="E270" s="14" t="n"/>
      <c r="F270" s="15">
        <f>IF($E270="","",IFERROR(INDEX(rngSM_max,MATCH($E270,rngSM_cat,0)),""))</f>
        <v/>
      </c>
      <c r="G270" s="15">
        <f>IF($E270="","",IFERROR(INDEX(rngSM_mode,MATCH($E270,rngSM_cat,0)),""))</f>
        <v/>
      </c>
      <c r="H270" s="15">
        <f>IF($E270="","",IFERROR(INDEX(rngSM_pass,MATCH($E270,rngSM_cat,0)),""))</f>
        <v/>
      </c>
      <c r="I270" s="14" t="n"/>
      <c r="J270" s="14" t="n"/>
      <c r="K270" s="14" t="n"/>
      <c r="L270" s="16" t="n"/>
      <c r="M270" s="14" t="n"/>
      <c r="N270" s="15">
        <f>IF($C270="","",COUNTIFS(nrSK_PID,$D270,nrSK_Cat,$E270))</f>
        <v/>
      </c>
      <c r="O270" s="15">
        <f>IF($C270="","",_xlfn.LET(_xlpm.latest,_xlfn.MAXIFS(nrSK_Att,nrSK_PID,$D270,nrSK_Cat,$E270),_xlpm.res,IF($I270=_xlpm.latest,$J270,""),IF($I270&lt;&gt;_xlpm.latest,"(superseded)",IF(_xlpm.res="","Pending",IF(_xlpm.res="Pass","Qualified",IF(AND(_xlpm.res="Fail",$N270&gt;=$F270),"FAILED OUT","Needs Remediation"))))))</f>
        <v/>
      </c>
      <c r="P270" s="15">
        <f>IF($C270="","",IF($O270="FAILED OUT","Yes","No"))</f>
        <v/>
      </c>
      <c r="Q270" s="14" t="n"/>
    </row>
    <row r="271">
      <c r="B271" s="15">
        <f>IF($C271="","",$D271&amp;"-"&amp;$E271&amp;"-"&amp;$I271)</f>
        <v/>
      </c>
      <c r="C271" s="14" t="n"/>
      <c r="D271" s="15">
        <f>IF($C271="","",IFERROR(INDEX(rngCadetPIDs,MATCH($C271,rngCadetNames,0)),"?"))</f>
        <v/>
      </c>
      <c r="E271" s="14" t="n"/>
      <c r="F271" s="15">
        <f>IF($E271="","",IFERROR(INDEX(rngSM_max,MATCH($E271,rngSM_cat,0)),""))</f>
        <v/>
      </c>
      <c r="G271" s="15">
        <f>IF($E271="","",IFERROR(INDEX(rngSM_mode,MATCH($E271,rngSM_cat,0)),""))</f>
        <v/>
      </c>
      <c r="H271" s="15">
        <f>IF($E271="","",IFERROR(INDEX(rngSM_pass,MATCH($E271,rngSM_cat,0)),""))</f>
        <v/>
      </c>
      <c r="I271" s="14" t="n"/>
      <c r="J271" s="14" t="n"/>
      <c r="K271" s="14" t="n"/>
      <c r="L271" s="16" t="n"/>
      <c r="M271" s="14" t="n"/>
      <c r="N271" s="15">
        <f>IF($C271="","",COUNTIFS(nrSK_PID,$D271,nrSK_Cat,$E271))</f>
        <v/>
      </c>
      <c r="O271" s="15">
        <f>IF($C271="","",_xlfn.LET(_xlpm.latest,_xlfn.MAXIFS(nrSK_Att,nrSK_PID,$D271,nrSK_Cat,$E271),_xlpm.res,IF($I271=_xlpm.latest,$J271,""),IF($I271&lt;&gt;_xlpm.latest,"(superseded)",IF(_xlpm.res="","Pending",IF(_xlpm.res="Pass","Qualified",IF(AND(_xlpm.res="Fail",$N271&gt;=$F271),"FAILED OUT","Needs Remediation"))))))</f>
        <v/>
      </c>
      <c r="P271" s="15">
        <f>IF($C271="","",IF($O271="FAILED OUT","Yes","No"))</f>
        <v/>
      </c>
      <c r="Q271" s="14" t="n"/>
    </row>
    <row r="272">
      <c r="B272" s="15">
        <f>IF($C272="","",$D272&amp;"-"&amp;$E272&amp;"-"&amp;$I272)</f>
        <v/>
      </c>
      <c r="C272" s="14" t="n"/>
      <c r="D272" s="15">
        <f>IF($C272="","",IFERROR(INDEX(rngCadetPIDs,MATCH($C272,rngCadetNames,0)),"?"))</f>
        <v/>
      </c>
      <c r="E272" s="14" t="n"/>
      <c r="F272" s="15">
        <f>IF($E272="","",IFERROR(INDEX(rngSM_max,MATCH($E272,rngSM_cat,0)),""))</f>
        <v/>
      </c>
      <c r="G272" s="15">
        <f>IF($E272="","",IFERROR(INDEX(rngSM_mode,MATCH($E272,rngSM_cat,0)),""))</f>
        <v/>
      </c>
      <c r="H272" s="15">
        <f>IF($E272="","",IFERROR(INDEX(rngSM_pass,MATCH($E272,rngSM_cat,0)),""))</f>
        <v/>
      </c>
      <c r="I272" s="14" t="n"/>
      <c r="J272" s="14" t="n"/>
      <c r="K272" s="14" t="n"/>
      <c r="L272" s="16" t="n"/>
      <c r="M272" s="14" t="n"/>
      <c r="N272" s="15">
        <f>IF($C272="","",COUNTIFS(nrSK_PID,$D272,nrSK_Cat,$E272))</f>
        <v/>
      </c>
      <c r="O272" s="15">
        <f>IF($C272="","",_xlfn.LET(_xlpm.latest,_xlfn.MAXIFS(nrSK_Att,nrSK_PID,$D272,nrSK_Cat,$E272),_xlpm.res,IF($I272=_xlpm.latest,$J272,""),IF($I272&lt;&gt;_xlpm.latest,"(superseded)",IF(_xlpm.res="","Pending",IF(_xlpm.res="Pass","Qualified",IF(AND(_xlpm.res="Fail",$N272&gt;=$F272),"FAILED OUT","Needs Remediation"))))))</f>
        <v/>
      </c>
      <c r="P272" s="15">
        <f>IF($C272="","",IF($O272="FAILED OUT","Yes","No"))</f>
        <v/>
      </c>
      <c r="Q272" s="14" t="n"/>
    </row>
    <row r="273">
      <c r="B273" s="15">
        <f>IF($C273="","",$D273&amp;"-"&amp;$E273&amp;"-"&amp;$I273)</f>
        <v/>
      </c>
      <c r="C273" s="14" t="n"/>
      <c r="D273" s="15">
        <f>IF($C273="","",IFERROR(INDEX(rngCadetPIDs,MATCH($C273,rngCadetNames,0)),"?"))</f>
        <v/>
      </c>
      <c r="E273" s="14" t="n"/>
      <c r="F273" s="15">
        <f>IF($E273="","",IFERROR(INDEX(rngSM_max,MATCH($E273,rngSM_cat,0)),""))</f>
        <v/>
      </c>
      <c r="G273" s="15">
        <f>IF($E273="","",IFERROR(INDEX(rngSM_mode,MATCH($E273,rngSM_cat,0)),""))</f>
        <v/>
      </c>
      <c r="H273" s="15">
        <f>IF($E273="","",IFERROR(INDEX(rngSM_pass,MATCH($E273,rngSM_cat,0)),""))</f>
        <v/>
      </c>
      <c r="I273" s="14" t="n"/>
      <c r="J273" s="14" t="n"/>
      <c r="K273" s="14" t="n"/>
      <c r="L273" s="16" t="n"/>
      <c r="M273" s="14" t="n"/>
      <c r="N273" s="15">
        <f>IF($C273="","",COUNTIFS(nrSK_PID,$D273,nrSK_Cat,$E273))</f>
        <v/>
      </c>
      <c r="O273" s="15">
        <f>IF($C273="","",_xlfn.LET(_xlpm.latest,_xlfn.MAXIFS(nrSK_Att,nrSK_PID,$D273,nrSK_Cat,$E273),_xlpm.res,IF($I273=_xlpm.latest,$J273,""),IF($I273&lt;&gt;_xlpm.latest,"(superseded)",IF(_xlpm.res="","Pending",IF(_xlpm.res="Pass","Qualified",IF(AND(_xlpm.res="Fail",$N273&gt;=$F273),"FAILED OUT","Needs Remediation"))))))</f>
        <v/>
      </c>
      <c r="P273" s="15">
        <f>IF($C273="","",IF($O273="FAILED OUT","Yes","No"))</f>
        <v/>
      </c>
      <c r="Q273" s="14" t="n"/>
    </row>
    <row r="274">
      <c r="B274" s="15">
        <f>IF($C274="","",$D274&amp;"-"&amp;$E274&amp;"-"&amp;$I274)</f>
        <v/>
      </c>
      <c r="C274" s="14" t="n"/>
      <c r="D274" s="15">
        <f>IF($C274="","",IFERROR(INDEX(rngCadetPIDs,MATCH($C274,rngCadetNames,0)),"?"))</f>
        <v/>
      </c>
      <c r="E274" s="14" t="n"/>
      <c r="F274" s="15">
        <f>IF($E274="","",IFERROR(INDEX(rngSM_max,MATCH($E274,rngSM_cat,0)),""))</f>
        <v/>
      </c>
      <c r="G274" s="15">
        <f>IF($E274="","",IFERROR(INDEX(rngSM_mode,MATCH($E274,rngSM_cat,0)),""))</f>
        <v/>
      </c>
      <c r="H274" s="15">
        <f>IF($E274="","",IFERROR(INDEX(rngSM_pass,MATCH($E274,rngSM_cat,0)),""))</f>
        <v/>
      </c>
      <c r="I274" s="14" t="n"/>
      <c r="J274" s="14" t="n"/>
      <c r="K274" s="14" t="n"/>
      <c r="L274" s="16" t="n"/>
      <c r="M274" s="14" t="n"/>
      <c r="N274" s="15">
        <f>IF($C274="","",COUNTIFS(nrSK_PID,$D274,nrSK_Cat,$E274))</f>
        <v/>
      </c>
      <c r="O274" s="15">
        <f>IF($C274="","",_xlfn.LET(_xlpm.latest,_xlfn.MAXIFS(nrSK_Att,nrSK_PID,$D274,nrSK_Cat,$E274),_xlpm.res,IF($I274=_xlpm.latest,$J274,""),IF($I274&lt;&gt;_xlpm.latest,"(superseded)",IF(_xlpm.res="","Pending",IF(_xlpm.res="Pass","Qualified",IF(AND(_xlpm.res="Fail",$N274&gt;=$F274),"FAILED OUT","Needs Remediation"))))))</f>
        <v/>
      </c>
      <c r="P274" s="15">
        <f>IF($C274="","",IF($O274="FAILED OUT","Yes","No"))</f>
        <v/>
      </c>
      <c r="Q274" s="14" t="n"/>
    </row>
    <row r="275">
      <c r="B275" s="15">
        <f>IF($C275="","",$D275&amp;"-"&amp;$E275&amp;"-"&amp;$I275)</f>
        <v/>
      </c>
      <c r="C275" s="14" t="n"/>
      <c r="D275" s="15">
        <f>IF($C275="","",IFERROR(INDEX(rngCadetPIDs,MATCH($C275,rngCadetNames,0)),"?"))</f>
        <v/>
      </c>
      <c r="E275" s="14" t="n"/>
      <c r="F275" s="15">
        <f>IF($E275="","",IFERROR(INDEX(rngSM_max,MATCH($E275,rngSM_cat,0)),""))</f>
        <v/>
      </c>
      <c r="G275" s="15">
        <f>IF($E275="","",IFERROR(INDEX(rngSM_mode,MATCH($E275,rngSM_cat,0)),""))</f>
        <v/>
      </c>
      <c r="H275" s="15">
        <f>IF($E275="","",IFERROR(INDEX(rngSM_pass,MATCH($E275,rngSM_cat,0)),""))</f>
        <v/>
      </c>
      <c r="I275" s="14" t="n"/>
      <c r="J275" s="14" t="n"/>
      <c r="K275" s="14" t="n"/>
      <c r="L275" s="16" t="n"/>
      <c r="M275" s="14" t="n"/>
      <c r="N275" s="15">
        <f>IF($C275="","",COUNTIFS(nrSK_PID,$D275,nrSK_Cat,$E275))</f>
        <v/>
      </c>
      <c r="O275" s="15">
        <f>IF($C275="","",_xlfn.LET(_xlpm.latest,_xlfn.MAXIFS(nrSK_Att,nrSK_PID,$D275,nrSK_Cat,$E275),_xlpm.res,IF($I275=_xlpm.latest,$J275,""),IF($I275&lt;&gt;_xlpm.latest,"(superseded)",IF(_xlpm.res="","Pending",IF(_xlpm.res="Pass","Qualified",IF(AND(_xlpm.res="Fail",$N275&gt;=$F275),"FAILED OUT","Needs Remediation"))))))</f>
        <v/>
      </c>
      <c r="P275" s="15">
        <f>IF($C275="","",IF($O275="FAILED OUT","Yes","No"))</f>
        <v/>
      </c>
      <c r="Q275" s="14" t="n"/>
    </row>
    <row r="276">
      <c r="B276" s="15">
        <f>IF($C276="","",$D276&amp;"-"&amp;$E276&amp;"-"&amp;$I276)</f>
        <v/>
      </c>
      <c r="C276" s="14" t="n"/>
      <c r="D276" s="15">
        <f>IF($C276="","",IFERROR(INDEX(rngCadetPIDs,MATCH($C276,rngCadetNames,0)),"?"))</f>
        <v/>
      </c>
      <c r="E276" s="14" t="n"/>
      <c r="F276" s="15">
        <f>IF($E276="","",IFERROR(INDEX(rngSM_max,MATCH($E276,rngSM_cat,0)),""))</f>
        <v/>
      </c>
      <c r="G276" s="15">
        <f>IF($E276="","",IFERROR(INDEX(rngSM_mode,MATCH($E276,rngSM_cat,0)),""))</f>
        <v/>
      </c>
      <c r="H276" s="15">
        <f>IF($E276="","",IFERROR(INDEX(rngSM_pass,MATCH($E276,rngSM_cat,0)),""))</f>
        <v/>
      </c>
      <c r="I276" s="14" t="n"/>
      <c r="J276" s="14" t="n"/>
      <c r="K276" s="14" t="n"/>
      <c r="L276" s="16" t="n"/>
      <c r="M276" s="14" t="n"/>
      <c r="N276" s="15">
        <f>IF($C276="","",COUNTIFS(nrSK_PID,$D276,nrSK_Cat,$E276))</f>
        <v/>
      </c>
      <c r="O276" s="15">
        <f>IF($C276="","",_xlfn.LET(_xlpm.latest,_xlfn.MAXIFS(nrSK_Att,nrSK_PID,$D276,nrSK_Cat,$E276),_xlpm.res,IF($I276=_xlpm.latest,$J276,""),IF($I276&lt;&gt;_xlpm.latest,"(superseded)",IF(_xlpm.res="","Pending",IF(_xlpm.res="Pass","Qualified",IF(AND(_xlpm.res="Fail",$N276&gt;=$F276),"FAILED OUT","Needs Remediation"))))))</f>
        <v/>
      </c>
      <c r="P276" s="15">
        <f>IF($C276="","",IF($O276="FAILED OUT","Yes","No"))</f>
        <v/>
      </c>
      <c r="Q276" s="14" t="n"/>
    </row>
    <row r="277">
      <c r="B277" s="15">
        <f>IF($C277="","",$D277&amp;"-"&amp;$E277&amp;"-"&amp;$I277)</f>
        <v/>
      </c>
      <c r="C277" s="14" t="n"/>
      <c r="D277" s="15">
        <f>IF($C277="","",IFERROR(INDEX(rngCadetPIDs,MATCH($C277,rngCadetNames,0)),"?"))</f>
        <v/>
      </c>
      <c r="E277" s="14" t="n"/>
      <c r="F277" s="15">
        <f>IF($E277="","",IFERROR(INDEX(rngSM_max,MATCH($E277,rngSM_cat,0)),""))</f>
        <v/>
      </c>
      <c r="G277" s="15">
        <f>IF($E277="","",IFERROR(INDEX(rngSM_mode,MATCH($E277,rngSM_cat,0)),""))</f>
        <v/>
      </c>
      <c r="H277" s="15">
        <f>IF($E277="","",IFERROR(INDEX(rngSM_pass,MATCH($E277,rngSM_cat,0)),""))</f>
        <v/>
      </c>
      <c r="I277" s="14" t="n"/>
      <c r="J277" s="14" t="n"/>
      <c r="K277" s="14" t="n"/>
      <c r="L277" s="16" t="n"/>
      <c r="M277" s="14" t="n"/>
      <c r="N277" s="15">
        <f>IF($C277="","",COUNTIFS(nrSK_PID,$D277,nrSK_Cat,$E277))</f>
        <v/>
      </c>
      <c r="O277" s="15">
        <f>IF($C277="","",_xlfn.LET(_xlpm.latest,_xlfn.MAXIFS(nrSK_Att,nrSK_PID,$D277,nrSK_Cat,$E277),_xlpm.res,IF($I277=_xlpm.latest,$J277,""),IF($I277&lt;&gt;_xlpm.latest,"(superseded)",IF(_xlpm.res="","Pending",IF(_xlpm.res="Pass","Qualified",IF(AND(_xlpm.res="Fail",$N277&gt;=$F277),"FAILED OUT","Needs Remediation"))))))</f>
        <v/>
      </c>
      <c r="P277" s="15">
        <f>IF($C277="","",IF($O277="FAILED OUT","Yes","No"))</f>
        <v/>
      </c>
      <c r="Q277" s="14" t="n"/>
    </row>
    <row r="278">
      <c r="B278" s="15">
        <f>IF($C278="","",$D278&amp;"-"&amp;$E278&amp;"-"&amp;$I278)</f>
        <v/>
      </c>
      <c r="C278" s="14" t="n"/>
      <c r="D278" s="15">
        <f>IF($C278="","",IFERROR(INDEX(rngCadetPIDs,MATCH($C278,rngCadetNames,0)),"?"))</f>
        <v/>
      </c>
      <c r="E278" s="14" t="n"/>
      <c r="F278" s="15">
        <f>IF($E278="","",IFERROR(INDEX(rngSM_max,MATCH($E278,rngSM_cat,0)),""))</f>
        <v/>
      </c>
      <c r="G278" s="15">
        <f>IF($E278="","",IFERROR(INDEX(rngSM_mode,MATCH($E278,rngSM_cat,0)),""))</f>
        <v/>
      </c>
      <c r="H278" s="15">
        <f>IF($E278="","",IFERROR(INDEX(rngSM_pass,MATCH($E278,rngSM_cat,0)),""))</f>
        <v/>
      </c>
      <c r="I278" s="14" t="n"/>
      <c r="J278" s="14" t="n"/>
      <c r="K278" s="14" t="n"/>
      <c r="L278" s="16" t="n"/>
      <c r="M278" s="14" t="n"/>
      <c r="N278" s="15">
        <f>IF($C278="","",COUNTIFS(nrSK_PID,$D278,nrSK_Cat,$E278))</f>
        <v/>
      </c>
      <c r="O278" s="15">
        <f>IF($C278="","",_xlfn.LET(_xlpm.latest,_xlfn.MAXIFS(nrSK_Att,nrSK_PID,$D278,nrSK_Cat,$E278),_xlpm.res,IF($I278=_xlpm.latest,$J278,""),IF($I278&lt;&gt;_xlpm.latest,"(superseded)",IF(_xlpm.res="","Pending",IF(_xlpm.res="Pass","Qualified",IF(AND(_xlpm.res="Fail",$N278&gt;=$F278),"FAILED OUT","Needs Remediation"))))))</f>
        <v/>
      </c>
      <c r="P278" s="15">
        <f>IF($C278="","",IF($O278="FAILED OUT","Yes","No"))</f>
        <v/>
      </c>
      <c r="Q278" s="14" t="n"/>
    </row>
    <row r="279">
      <c r="B279" s="15">
        <f>IF($C279="","",$D279&amp;"-"&amp;$E279&amp;"-"&amp;$I279)</f>
        <v/>
      </c>
      <c r="C279" s="14" t="n"/>
      <c r="D279" s="15">
        <f>IF($C279="","",IFERROR(INDEX(rngCadetPIDs,MATCH($C279,rngCadetNames,0)),"?"))</f>
        <v/>
      </c>
      <c r="E279" s="14" t="n"/>
      <c r="F279" s="15">
        <f>IF($E279="","",IFERROR(INDEX(rngSM_max,MATCH($E279,rngSM_cat,0)),""))</f>
        <v/>
      </c>
      <c r="G279" s="15">
        <f>IF($E279="","",IFERROR(INDEX(rngSM_mode,MATCH($E279,rngSM_cat,0)),""))</f>
        <v/>
      </c>
      <c r="H279" s="15">
        <f>IF($E279="","",IFERROR(INDEX(rngSM_pass,MATCH($E279,rngSM_cat,0)),""))</f>
        <v/>
      </c>
      <c r="I279" s="14" t="n"/>
      <c r="J279" s="14" t="n"/>
      <c r="K279" s="14" t="n"/>
      <c r="L279" s="16" t="n"/>
      <c r="M279" s="14" t="n"/>
      <c r="N279" s="15">
        <f>IF($C279="","",COUNTIFS(nrSK_PID,$D279,nrSK_Cat,$E279))</f>
        <v/>
      </c>
      <c r="O279" s="15">
        <f>IF($C279="","",_xlfn.LET(_xlpm.latest,_xlfn.MAXIFS(nrSK_Att,nrSK_PID,$D279,nrSK_Cat,$E279),_xlpm.res,IF($I279=_xlpm.latest,$J279,""),IF($I279&lt;&gt;_xlpm.latest,"(superseded)",IF(_xlpm.res="","Pending",IF(_xlpm.res="Pass","Qualified",IF(AND(_xlpm.res="Fail",$N279&gt;=$F279),"FAILED OUT","Needs Remediation"))))))</f>
        <v/>
      </c>
      <c r="P279" s="15">
        <f>IF($C279="","",IF($O279="FAILED OUT","Yes","No"))</f>
        <v/>
      </c>
      <c r="Q279" s="14" t="n"/>
    </row>
    <row r="280">
      <c r="B280" s="15">
        <f>IF($C280="","",$D280&amp;"-"&amp;$E280&amp;"-"&amp;$I280)</f>
        <v/>
      </c>
      <c r="C280" s="14" t="n"/>
      <c r="D280" s="15">
        <f>IF($C280="","",IFERROR(INDEX(rngCadetPIDs,MATCH($C280,rngCadetNames,0)),"?"))</f>
        <v/>
      </c>
      <c r="E280" s="14" t="n"/>
      <c r="F280" s="15">
        <f>IF($E280="","",IFERROR(INDEX(rngSM_max,MATCH($E280,rngSM_cat,0)),""))</f>
        <v/>
      </c>
      <c r="G280" s="15">
        <f>IF($E280="","",IFERROR(INDEX(rngSM_mode,MATCH($E280,rngSM_cat,0)),""))</f>
        <v/>
      </c>
      <c r="H280" s="15">
        <f>IF($E280="","",IFERROR(INDEX(rngSM_pass,MATCH($E280,rngSM_cat,0)),""))</f>
        <v/>
      </c>
      <c r="I280" s="14" t="n"/>
      <c r="J280" s="14" t="n"/>
      <c r="K280" s="14" t="n"/>
      <c r="L280" s="16" t="n"/>
      <c r="M280" s="14" t="n"/>
      <c r="N280" s="15">
        <f>IF($C280="","",COUNTIFS(nrSK_PID,$D280,nrSK_Cat,$E280))</f>
        <v/>
      </c>
      <c r="O280" s="15">
        <f>IF($C280="","",_xlfn.LET(_xlpm.latest,_xlfn.MAXIFS(nrSK_Att,nrSK_PID,$D280,nrSK_Cat,$E280),_xlpm.res,IF($I280=_xlpm.latest,$J280,""),IF($I280&lt;&gt;_xlpm.latest,"(superseded)",IF(_xlpm.res="","Pending",IF(_xlpm.res="Pass","Qualified",IF(AND(_xlpm.res="Fail",$N280&gt;=$F280),"FAILED OUT","Needs Remediation"))))))</f>
        <v/>
      </c>
      <c r="P280" s="15">
        <f>IF($C280="","",IF($O280="FAILED OUT","Yes","No"))</f>
        <v/>
      </c>
      <c r="Q280" s="14" t="n"/>
    </row>
    <row r="281">
      <c r="B281" s="15">
        <f>IF($C281="","",$D281&amp;"-"&amp;$E281&amp;"-"&amp;$I281)</f>
        <v/>
      </c>
      <c r="C281" s="14" t="n"/>
      <c r="D281" s="15">
        <f>IF($C281="","",IFERROR(INDEX(rngCadetPIDs,MATCH($C281,rngCadetNames,0)),"?"))</f>
        <v/>
      </c>
      <c r="E281" s="14" t="n"/>
      <c r="F281" s="15">
        <f>IF($E281="","",IFERROR(INDEX(rngSM_max,MATCH($E281,rngSM_cat,0)),""))</f>
        <v/>
      </c>
      <c r="G281" s="15">
        <f>IF($E281="","",IFERROR(INDEX(rngSM_mode,MATCH($E281,rngSM_cat,0)),""))</f>
        <v/>
      </c>
      <c r="H281" s="15">
        <f>IF($E281="","",IFERROR(INDEX(rngSM_pass,MATCH($E281,rngSM_cat,0)),""))</f>
        <v/>
      </c>
      <c r="I281" s="14" t="n"/>
      <c r="J281" s="14" t="n"/>
      <c r="K281" s="14" t="n"/>
      <c r="L281" s="16" t="n"/>
      <c r="M281" s="14" t="n"/>
      <c r="N281" s="15">
        <f>IF($C281="","",COUNTIFS(nrSK_PID,$D281,nrSK_Cat,$E281))</f>
        <v/>
      </c>
      <c r="O281" s="15">
        <f>IF($C281="","",_xlfn.LET(_xlpm.latest,_xlfn.MAXIFS(nrSK_Att,nrSK_PID,$D281,nrSK_Cat,$E281),_xlpm.res,IF($I281=_xlpm.latest,$J281,""),IF($I281&lt;&gt;_xlpm.latest,"(superseded)",IF(_xlpm.res="","Pending",IF(_xlpm.res="Pass","Qualified",IF(AND(_xlpm.res="Fail",$N281&gt;=$F281),"FAILED OUT","Needs Remediation"))))))</f>
        <v/>
      </c>
      <c r="P281" s="15">
        <f>IF($C281="","",IF($O281="FAILED OUT","Yes","No"))</f>
        <v/>
      </c>
      <c r="Q281" s="14" t="n"/>
    </row>
    <row r="282">
      <c r="B282" s="15">
        <f>IF($C282="","",$D282&amp;"-"&amp;$E282&amp;"-"&amp;$I282)</f>
        <v/>
      </c>
      <c r="C282" s="14" t="n"/>
      <c r="D282" s="15">
        <f>IF($C282="","",IFERROR(INDEX(rngCadetPIDs,MATCH($C282,rngCadetNames,0)),"?"))</f>
        <v/>
      </c>
      <c r="E282" s="14" t="n"/>
      <c r="F282" s="15">
        <f>IF($E282="","",IFERROR(INDEX(rngSM_max,MATCH($E282,rngSM_cat,0)),""))</f>
        <v/>
      </c>
      <c r="G282" s="15">
        <f>IF($E282="","",IFERROR(INDEX(rngSM_mode,MATCH($E282,rngSM_cat,0)),""))</f>
        <v/>
      </c>
      <c r="H282" s="15">
        <f>IF($E282="","",IFERROR(INDEX(rngSM_pass,MATCH($E282,rngSM_cat,0)),""))</f>
        <v/>
      </c>
      <c r="I282" s="14" t="n"/>
      <c r="J282" s="14" t="n"/>
      <c r="K282" s="14" t="n"/>
      <c r="L282" s="16" t="n"/>
      <c r="M282" s="14" t="n"/>
      <c r="N282" s="15">
        <f>IF($C282="","",COUNTIFS(nrSK_PID,$D282,nrSK_Cat,$E282))</f>
        <v/>
      </c>
      <c r="O282" s="15">
        <f>IF($C282="","",_xlfn.LET(_xlpm.latest,_xlfn.MAXIFS(nrSK_Att,nrSK_PID,$D282,nrSK_Cat,$E282),_xlpm.res,IF($I282=_xlpm.latest,$J282,""),IF($I282&lt;&gt;_xlpm.latest,"(superseded)",IF(_xlpm.res="","Pending",IF(_xlpm.res="Pass","Qualified",IF(AND(_xlpm.res="Fail",$N282&gt;=$F282),"FAILED OUT","Needs Remediation"))))))</f>
        <v/>
      </c>
      <c r="P282" s="15">
        <f>IF($C282="","",IF($O282="FAILED OUT","Yes","No"))</f>
        <v/>
      </c>
      <c r="Q282" s="14" t="n"/>
    </row>
    <row r="283">
      <c r="B283" s="15">
        <f>IF($C283="","",$D283&amp;"-"&amp;$E283&amp;"-"&amp;$I283)</f>
        <v/>
      </c>
      <c r="C283" s="14" t="n"/>
      <c r="D283" s="15">
        <f>IF($C283="","",IFERROR(INDEX(rngCadetPIDs,MATCH($C283,rngCadetNames,0)),"?"))</f>
        <v/>
      </c>
      <c r="E283" s="14" t="n"/>
      <c r="F283" s="15">
        <f>IF($E283="","",IFERROR(INDEX(rngSM_max,MATCH($E283,rngSM_cat,0)),""))</f>
        <v/>
      </c>
      <c r="G283" s="15">
        <f>IF($E283="","",IFERROR(INDEX(rngSM_mode,MATCH($E283,rngSM_cat,0)),""))</f>
        <v/>
      </c>
      <c r="H283" s="15">
        <f>IF($E283="","",IFERROR(INDEX(rngSM_pass,MATCH($E283,rngSM_cat,0)),""))</f>
        <v/>
      </c>
      <c r="I283" s="14" t="n"/>
      <c r="J283" s="14" t="n"/>
      <c r="K283" s="14" t="n"/>
      <c r="L283" s="16" t="n"/>
      <c r="M283" s="14" t="n"/>
      <c r="N283" s="15">
        <f>IF($C283="","",COUNTIFS(nrSK_PID,$D283,nrSK_Cat,$E283))</f>
        <v/>
      </c>
      <c r="O283" s="15">
        <f>IF($C283="","",_xlfn.LET(_xlpm.latest,_xlfn.MAXIFS(nrSK_Att,nrSK_PID,$D283,nrSK_Cat,$E283),_xlpm.res,IF($I283=_xlpm.latest,$J283,""),IF($I283&lt;&gt;_xlpm.latest,"(superseded)",IF(_xlpm.res="","Pending",IF(_xlpm.res="Pass","Qualified",IF(AND(_xlpm.res="Fail",$N283&gt;=$F283),"FAILED OUT","Needs Remediation"))))))</f>
        <v/>
      </c>
      <c r="P283" s="15">
        <f>IF($C283="","",IF($O283="FAILED OUT","Yes","No"))</f>
        <v/>
      </c>
      <c r="Q283" s="14" t="n"/>
    </row>
    <row r="284">
      <c r="B284" s="15">
        <f>IF($C284="","",$D284&amp;"-"&amp;$E284&amp;"-"&amp;$I284)</f>
        <v/>
      </c>
      <c r="C284" s="14" t="n"/>
      <c r="D284" s="15">
        <f>IF($C284="","",IFERROR(INDEX(rngCadetPIDs,MATCH($C284,rngCadetNames,0)),"?"))</f>
        <v/>
      </c>
      <c r="E284" s="14" t="n"/>
      <c r="F284" s="15">
        <f>IF($E284="","",IFERROR(INDEX(rngSM_max,MATCH($E284,rngSM_cat,0)),""))</f>
        <v/>
      </c>
      <c r="G284" s="15">
        <f>IF($E284="","",IFERROR(INDEX(rngSM_mode,MATCH($E284,rngSM_cat,0)),""))</f>
        <v/>
      </c>
      <c r="H284" s="15">
        <f>IF($E284="","",IFERROR(INDEX(rngSM_pass,MATCH($E284,rngSM_cat,0)),""))</f>
        <v/>
      </c>
      <c r="I284" s="14" t="n"/>
      <c r="J284" s="14" t="n"/>
      <c r="K284" s="14" t="n"/>
      <c r="L284" s="16" t="n"/>
      <c r="M284" s="14" t="n"/>
      <c r="N284" s="15">
        <f>IF($C284="","",COUNTIFS(nrSK_PID,$D284,nrSK_Cat,$E284))</f>
        <v/>
      </c>
      <c r="O284" s="15">
        <f>IF($C284="","",_xlfn.LET(_xlpm.latest,_xlfn.MAXIFS(nrSK_Att,nrSK_PID,$D284,nrSK_Cat,$E284),_xlpm.res,IF($I284=_xlpm.latest,$J284,""),IF($I284&lt;&gt;_xlpm.latest,"(superseded)",IF(_xlpm.res="","Pending",IF(_xlpm.res="Pass","Qualified",IF(AND(_xlpm.res="Fail",$N284&gt;=$F284),"FAILED OUT","Needs Remediation"))))))</f>
        <v/>
      </c>
      <c r="P284" s="15">
        <f>IF($C284="","",IF($O284="FAILED OUT","Yes","No"))</f>
        <v/>
      </c>
      <c r="Q284" s="14" t="n"/>
    </row>
    <row r="285">
      <c r="B285" s="15">
        <f>IF($C285="","",$D285&amp;"-"&amp;$E285&amp;"-"&amp;$I285)</f>
        <v/>
      </c>
      <c r="C285" s="14" t="n"/>
      <c r="D285" s="15">
        <f>IF($C285="","",IFERROR(INDEX(rngCadetPIDs,MATCH($C285,rngCadetNames,0)),"?"))</f>
        <v/>
      </c>
      <c r="E285" s="14" t="n"/>
      <c r="F285" s="15">
        <f>IF($E285="","",IFERROR(INDEX(rngSM_max,MATCH($E285,rngSM_cat,0)),""))</f>
        <v/>
      </c>
      <c r="G285" s="15">
        <f>IF($E285="","",IFERROR(INDEX(rngSM_mode,MATCH($E285,rngSM_cat,0)),""))</f>
        <v/>
      </c>
      <c r="H285" s="15">
        <f>IF($E285="","",IFERROR(INDEX(rngSM_pass,MATCH($E285,rngSM_cat,0)),""))</f>
        <v/>
      </c>
      <c r="I285" s="14" t="n"/>
      <c r="J285" s="14" t="n"/>
      <c r="K285" s="14" t="n"/>
      <c r="L285" s="16" t="n"/>
      <c r="M285" s="14" t="n"/>
      <c r="N285" s="15">
        <f>IF($C285="","",COUNTIFS(nrSK_PID,$D285,nrSK_Cat,$E285))</f>
        <v/>
      </c>
      <c r="O285" s="15">
        <f>IF($C285="","",_xlfn.LET(_xlpm.latest,_xlfn.MAXIFS(nrSK_Att,nrSK_PID,$D285,nrSK_Cat,$E285),_xlpm.res,IF($I285=_xlpm.latest,$J285,""),IF($I285&lt;&gt;_xlpm.latest,"(superseded)",IF(_xlpm.res="","Pending",IF(_xlpm.res="Pass","Qualified",IF(AND(_xlpm.res="Fail",$N285&gt;=$F285),"FAILED OUT","Needs Remediation"))))))</f>
        <v/>
      </c>
      <c r="P285" s="15">
        <f>IF($C285="","",IF($O285="FAILED OUT","Yes","No"))</f>
        <v/>
      </c>
      <c r="Q285" s="14" t="n"/>
    </row>
    <row r="286">
      <c r="B286" s="15">
        <f>IF($C286="","",$D286&amp;"-"&amp;$E286&amp;"-"&amp;$I286)</f>
        <v/>
      </c>
      <c r="C286" s="14" t="n"/>
      <c r="D286" s="15">
        <f>IF($C286="","",IFERROR(INDEX(rngCadetPIDs,MATCH($C286,rngCadetNames,0)),"?"))</f>
        <v/>
      </c>
      <c r="E286" s="14" t="n"/>
      <c r="F286" s="15">
        <f>IF($E286="","",IFERROR(INDEX(rngSM_max,MATCH($E286,rngSM_cat,0)),""))</f>
        <v/>
      </c>
      <c r="G286" s="15">
        <f>IF($E286="","",IFERROR(INDEX(rngSM_mode,MATCH($E286,rngSM_cat,0)),""))</f>
        <v/>
      </c>
      <c r="H286" s="15">
        <f>IF($E286="","",IFERROR(INDEX(rngSM_pass,MATCH($E286,rngSM_cat,0)),""))</f>
        <v/>
      </c>
      <c r="I286" s="14" t="n"/>
      <c r="J286" s="14" t="n"/>
      <c r="K286" s="14" t="n"/>
      <c r="L286" s="16" t="n"/>
      <c r="M286" s="14" t="n"/>
      <c r="N286" s="15">
        <f>IF($C286="","",COUNTIFS(nrSK_PID,$D286,nrSK_Cat,$E286))</f>
        <v/>
      </c>
      <c r="O286" s="15">
        <f>IF($C286="","",_xlfn.LET(_xlpm.latest,_xlfn.MAXIFS(nrSK_Att,nrSK_PID,$D286,nrSK_Cat,$E286),_xlpm.res,IF($I286=_xlpm.latest,$J286,""),IF($I286&lt;&gt;_xlpm.latest,"(superseded)",IF(_xlpm.res="","Pending",IF(_xlpm.res="Pass","Qualified",IF(AND(_xlpm.res="Fail",$N286&gt;=$F286),"FAILED OUT","Needs Remediation"))))))</f>
        <v/>
      </c>
      <c r="P286" s="15">
        <f>IF($C286="","",IF($O286="FAILED OUT","Yes","No"))</f>
        <v/>
      </c>
      <c r="Q286" s="14" t="n"/>
    </row>
    <row r="287">
      <c r="B287" s="15">
        <f>IF($C287="","",$D287&amp;"-"&amp;$E287&amp;"-"&amp;$I287)</f>
        <v/>
      </c>
      <c r="C287" s="14" t="n"/>
      <c r="D287" s="15">
        <f>IF($C287="","",IFERROR(INDEX(rngCadetPIDs,MATCH($C287,rngCadetNames,0)),"?"))</f>
        <v/>
      </c>
      <c r="E287" s="14" t="n"/>
      <c r="F287" s="15">
        <f>IF($E287="","",IFERROR(INDEX(rngSM_max,MATCH($E287,rngSM_cat,0)),""))</f>
        <v/>
      </c>
      <c r="G287" s="15">
        <f>IF($E287="","",IFERROR(INDEX(rngSM_mode,MATCH($E287,rngSM_cat,0)),""))</f>
        <v/>
      </c>
      <c r="H287" s="15">
        <f>IF($E287="","",IFERROR(INDEX(rngSM_pass,MATCH($E287,rngSM_cat,0)),""))</f>
        <v/>
      </c>
      <c r="I287" s="14" t="n"/>
      <c r="J287" s="14" t="n"/>
      <c r="K287" s="14" t="n"/>
      <c r="L287" s="16" t="n"/>
      <c r="M287" s="14" t="n"/>
      <c r="N287" s="15">
        <f>IF($C287="","",COUNTIFS(nrSK_PID,$D287,nrSK_Cat,$E287))</f>
        <v/>
      </c>
      <c r="O287" s="15">
        <f>IF($C287="","",_xlfn.LET(_xlpm.latest,_xlfn.MAXIFS(nrSK_Att,nrSK_PID,$D287,nrSK_Cat,$E287),_xlpm.res,IF($I287=_xlpm.latest,$J287,""),IF($I287&lt;&gt;_xlpm.latest,"(superseded)",IF(_xlpm.res="","Pending",IF(_xlpm.res="Pass","Qualified",IF(AND(_xlpm.res="Fail",$N287&gt;=$F287),"FAILED OUT","Needs Remediation"))))))</f>
        <v/>
      </c>
      <c r="P287" s="15">
        <f>IF($C287="","",IF($O287="FAILED OUT","Yes","No"))</f>
        <v/>
      </c>
      <c r="Q287" s="14" t="n"/>
    </row>
    <row r="288">
      <c r="B288" s="15">
        <f>IF($C288="","",$D288&amp;"-"&amp;$E288&amp;"-"&amp;$I288)</f>
        <v/>
      </c>
      <c r="C288" s="14" t="n"/>
      <c r="D288" s="15">
        <f>IF($C288="","",IFERROR(INDEX(rngCadetPIDs,MATCH($C288,rngCadetNames,0)),"?"))</f>
        <v/>
      </c>
      <c r="E288" s="14" t="n"/>
      <c r="F288" s="15">
        <f>IF($E288="","",IFERROR(INDEX(rngSM_max,MATCH($E288,rngSM_cat,0)),""))</f>
        <v/>
      </c>
      <c r="G288" s="15">
        <f>IF($E288="","",IFERROR(INDEX(rngSM_mode,MATCH($E288,rngSM_cat,0)),""))</f>
        <v/>
      </c>
      <c r="H288" s="15">
        <f>IF($E288="","",IFERROR(INDEX(rngSM_pass,MATCH($E288,rngSM_cat,0)),""))</f>
        <v/>
      </c>
      <c r="I288" s="14" t="n"/>
      <c r="J288" s="14" t="n"/>
      <c r="K288" s="14" t="n"/>
      <c r="L288" s="16" t="n"/>
      <c r="M288" s="14" t="n"/>
      <c r="N288" s="15">
        <f>IF($C288="","",COUNTIFS(nrSK_PID,$D288,nrSK_Cat,$E288))</f>
        <v/>
      </c>
      <c r="O288" s="15">
        <f>IF($C288="","",_xlfn.LET(_xlpm.latest,_xlfn.MAXIFS(nrSK_Att,nrSK_PID,$D288,nrSK_Cat,$E288),_xlpm.res,IF($I288=_xlpm.latest,$J288,""),IF($I288&lt;&gt;_xlpm.latest,"(superseded)",IF(_xlpm.res="","Pending",IF(_xlpm.res="Pass","Qualified",IF(AND(_xlpm.res="Fail",$N288&gt;=$F288),"FAILED OUT","Needs Remediation"))))))</f>
        <v/>
      </c>
      <c r="P288" s="15">
        <f>IF($C288="","",IF($O288="FAILED OUT","Yes","No"))</f>
        <v/>
      </c>
      <c r="Q288" s="14" t="n"/>
    </row>
    <row r="289">
      <c r="B289" s="15">
        <f>IF($C289="","",$D289&amp;"-"&amp;$E289&amp;"-"&amp;$I289)</f>
        <v/>
      </c>
      <c r="C289" s="14" t="n"/>
      <c r="D289" s="15">
        <f>IF($C289="","",IFERROR(INDEX(rngCadetPIDs,MATCH($C289,rngCadetNames,0)),"?"))</f>
        <v/>
      </c>
      <c r="E289" s="14" t="n"/>
      <c r="F289" s="15">
        <f>IF($E289="","",IFERROR(INDEX(rngSM_max,MATCH($E289,rngSM_cat,0)),""))</f>
        <v/>
      </c>
      <c r="G289" s="15">
        <f>IF($E289="","",IFERROR(INDEX(rngSM_mode,MATCH($E289,rngSM_cat,0)),""))</f>
        <v/>
      </c>
      <c r="H289" s="15">
        <f>IF($E289="","",IFERROR(INDEX(rngSM_pass,MATCH($E289,rngSM_cat,0)),""))</f>
        <v/>
      </c>
      <c r="I289" s="14" t="n"/>
      <c r="J289" s="14" t="n"/>
      <c r="K289" s="14" t="n"/>
      <c r="L289" s="16" t="n"/>
      <c r="M289" s="14" t="n"/>
      <c r="N289" s="15">
        <f>IF($C289="","",COUNTIFS(nrSK_PID,$D289,nrSK_Cat,$E289))</f>
        <v/>
      </c>
      <c r="O289" s="15">
        <f>IF($C289="","",_xlfn.LET(_xlpm.latest,_xlfn.MAXIFS(nrSK_Att,nrSK_PID,$D289,nrSK_Cat,$E289),_xlpm.res,IF($I289=_xlpm.latest,$J289,""),IF($I289&lt;&gt;_xlpm.latest,"(superseded)",IF(_xlpm.res="","Pending",IF(_xlpm.res="Pass","Qualified",IF(AND(_xlpm.res="Fail",$N289&gt;=$F289),"FAILED OUT","Needs Remediation"))))))</f>
        <v/>
      </c>
      <c r="P289" s="15">
        <f>IF($C289="","",IF($O289="FAILED OUT","Yes","No"))</f>
        <v/>
      </c>
      <c r="Q289" s="14" t="n"/>
    </row>
    <row r="290">
      <c r="B290" s="15">
        <f>IF($C290="","",$D290&amp;"-"&amp;$E290&amp;"-"&amp;$I290)</f>
        <v/>
      </c>
      <c r="C290" s="14" t="n"/>
      <c r="D290" s="15">
        <f>IF($C290="","",IFERROR(INDEX(rngCadetPIDs,MATCH($C290,rngCadetNames,0)),"?"))</f>
        <v/>
      </c>
      <c r="E290" s="14" t="n"/>
      <c r="F290" s="15">
        <f>IF($E290="","",IFERROR(INDEX(rngSM_max,MATCH($E290,rngSM_cat,0)),""))</f>
        <v/>
      </c>
      <c r="G290" s="15">
        <f>IF($E290="","",IFERROR(INDEX(rngSM_mode,MATCH($E290,rngSM_cat,0)),""))</f>
        <v/>
      </c>
      <c r="H290" s="15">
        <f>IF($E290="","",IFERROR(INDEX(rngSM_pass,MATCH($E290,rngSM_cat,0)),""))</f>
        <v/>
      </c>
      <c r="I290" s="14" t="n"/>
      <c r="J290" s="14" t="n"/>
      <c r="K290" s="14" t="n"/>
      <c r="L290" s="16" t="n"/>
      <c r="M290" s="14" t="n"/>
      <c r="N290" s="15">
        <f>IF($C290="","",COUNTIFS(nrSK_PID,$D290,nrSK_Cat,$E290))</f>
        <v/>
      </c>
      <c r="O290" s="15">
        <f>IF($C290="","",_xlfn.LET(_xlpm.latest,_xlfn.MAXIFS(nrSK_Att,nrSK_PID,$D290,nrSK_Cat,$E290),_xlpm.res,IF($I290=_xlpm.latest,$J290,""),IF($I290&lt;&gt;_xlpm.latest,"(superseded)",IF(_xlpm.res="","Pending",IF(_xlpm.res="Pass","Qualified",IF(AND(_xlpm.res="Fail",$N290&gt;=$F290),"FAILED OUT","Needs Remediation"))))))</f>
        <v/>
      </c>
      <c r="P290" s="15">
        <f>IF($C290="","",IF($O290="FAILED OUT","Yes","No"))</f>
        <v/>
      </c>
      <c r="Q290" s="14" t="n"/>
    </row>
    <row r="291">
      <c r="B291" s="15">
        <f>IF($C291="","",$D291&amp;"-"&amp;$E291&amp;"-"&amp;$I291)</f>
        <v/>
      </c>
      <c r="C291" s="14" t="n"/>
      <c r="D291" s="15">
        <f>IF($C291="","",IFERROR(INDEX(rngCadetPIDs,MATCH($C291,rngCadetNames,0)),"?"))</f>
        <v/>
      </c>
      <c r="E291" s="14" t="n"/>
      <c r="F291" s="15">
        <f>IF($E291="","",IFERROR(INDEX(rngSM_max,MATCH($E291,rngSM_cat,0)),""))</f>
        <v/>
      </c>
      <c r="G291" s="15">
        <f>IF($E291="","",IFERROR(INDEX(rngSM_mode,MATCH($E291,rngSM_cat,0)),""))</f>
        <v/>
      </c>
      <c r="H291" s="15">
        <f>IF($E291="","",IFERROR(INDEX(rngSM_pass,MATCH($E291,rngSM_cat,0)),""))</f>
        <v/>
      </c>
      <c r="I291" s="14" t="n"/>
      <c r="J291" s="14" t="n"/>
      <c r="K291" s="14" t="n"/>
      <c r="L291" s="16" t="n"/>
      <c r="M291" s="14" t="n"/>
      <c r="N291" s="15">
        <f>IF($C291="","",COUNTIFS(nrSK_PID,$D291,nrSK_Cat,$E291))</f>
        <v/>
      </c>
      <c r="O291" s="15">
        <f>IF($C291="","",_xlfn.LET(_xlpm.latest,_xlfn.MAXIFS(nrSK_Att,nrSK_PID,$D291,nrSK_Cat,$E291),_xlpm.res,IF($I291=_xlpm.latest,$J291,""),IF($I291&lt;&gt;_xlpm.latest,"(superseded)",IF(_xlpm.res="","Pending",IF(_xlpm.res="Pass","Qualified",IF(AND(_xlpm.res="Fail",$N291&gt;=$F291),"FAILED OUT","Needs Remediation"))))))</f>
        <v/>
      </c>
      <c r="P291" s="15">
        <f>IF($C291="","",IF($O291="FAILED OUT","Yes","No"))</f>
        <v/>
      </c>
      <c r="Q291" s="14" t="n"/>
    </row>
    <row r="292">
      <c r="B292" s="15">
        <f>IF($C292="","",$D292&amp;"-"&amp;$E292&amp;"-"&amp;$I292)</f>
        <v/>
      </c>
      <c r="C292" s="14" t="n"/>
      <c r="D292" s="15">
        <f>IF($C292="","",IFERROR(INDEX(rngCadetPIDs,MATCH($C292,rngCadetNames,0)),"?"))</f>
        <v/>
      </c>
      <c r="E292" s="14" t="n"/>
      <c r="F292" s="15">
        <f>IF($E292="","",IFERROR(INDEX(rngSM_max,MATCH($E292,rngSM_cat,0)),""))</f>
        <v/>
      </c>
      <c r="G292" s="15">
        <f>IF($E292="","",IFERROR(INDEX(rngSM_mode,MATCH($E292,rngSM_cat,0)),""))</f>
        <v/>
      </c>
      <c r="H292" s="15">
        <f>IF($E292="","",IFERROR(INDEX(rngSM_pass,MATCH($E292,rngSM_cat,0)),""))</f>
        <v/>
      </c>
      <c r="I292" s="14" t="n"/>
      <c r="J292" s="14" t="n"/>
      <c r="K292" s="14" t="n"/>
      <c r="L292" s="16" t="n"/>
      <c r="M292" s="14" t="n"/>
      <c r="N292" s="15">
        <f>IF($C292="","",COUNTIFS(nrSK_PID,$D292,nrSK_Cat,$E292))</f>
        <v/>
      </c>
      <c r="O292" s="15">
        <f>IF($C292="","",_xlfn.LET(_xlpm.latest,_xlfn.MAXIFS(nrSK_Att,nrSK_PID,$D292,nrSK_Cat,$E292),_xlpm.res,IF($I292=_xlpm.latest,$J292,""),IF($I292&lt;&gt;_xlpm.latest,"(superseded)",IF(_xlpm.res="","Pending",IF(_xlpm.res="Pass","Qualified",IF(AND(_xlpm.res="Fail",$N292&gt;=$F292),"FAILED OUT","Needs Remediation"))))))</f>
        <v/>
      </c>
      <c r="P292" s="15">
        <f>IF($C292="","",IF($O292="FAILED OUT","Yes","No"))</f>
        <v/>
      </c>
      <c r="Q292" s="14" t="n"/>
    </row>
    <row r="293">
      <c r="B293" s="15">
        <f>IF($C293="","",$D293&amp;"-"&amp;$E293&amp;"-"&amp;$I293)</f>
        <v/>
      </c>
      <c r="C293" s="14" t="n"/>
      <c r="D293" s="15">
        <f>IF($C293="","",IFERROR(INDEX(rngCadetPIDs,MATCH($C293,rngCadetNames,0)),"?"))</f>
        <v/>
      </c>
      <c r="E293" s="14" t="n"/>
      <c r="F293" s="15">
        <f>IF($E293="","",IFERROR(INDEX(rngSM_max,MATCH($E293,rngSM_cat,0)),""))</f>
        <v/>
      </c>
      <c r="G293" s="15">
        <f>IF($E293="","",IFERROR(INDEX(rngSM_mode,MATCH($E293,rngSM_cat,0)),""))</f>
        <v/>
      </c>
      <c r="H293" s="15">
        <f>IF($E293="","",IFERROR(INDEX(rngSM_pass,MATCH($E293,rngSM_cat,0)),""))</f>
        <v/>
      </c>
      <c r="I293" s="14" t="n"/>
      <c r="J293" s="14" t="n"/>
      <c r="K293" s="14" t="n"/>
      <c r="L293" s="16" t="n"/>
      <c r="M293" s="14" t="n"/>
      <c r="N293" s="15">
        <f>IF($C293="","",COUNTIFS(nrSK_PID,$D293,nrSK_Cat,$E293))</f>
        <v/>
      </c>
      <c r="O293" s="15">
        <f>IF($C293="","",_xlfn.LET(_xlpm.latest,_xlfn.MAXIFS(nrSK_Att,nrSK_PID,$D293,nrSK_Cat,$E293),_xlpm.res,IF($I293=_xlpm.latest,$J293,""),IF($I293&lt;&gt;_xlpm.latest,"(superseded)",IF(_xlpm.res="","Pending",IF(_xlpm.res="Pass","Qualified",IF(AND(_xlpm.res="Fail",$N293&gt;=$F293),"FAILED OUT","Needs Remediation"))))))</f>
        <v/>
      </c>
      <c r="P293" s="15">
        <f>IF($C293="","",IF($O293="FAILED OUT","Yes","No"))</f>
        <v/>
      </c>
      <c r="Q293" s="14" t="n"/>
    </row>
    <row r="294">
      <c r="B294" s="15">
        <f>IF($C294="","",$D294&amp;"-"&amp;$E294&amp;"-"&amp;$I294)</f>
        <v/>
      </c>
      <c r="C294" s="14" t="n"/>
      <c r="D294" s="15">
        <f>IF($C294="","",IFERROR(INDEX(rngCadetPIDs,MATCH($C294,rngCadetNames,0)),"?"))</f>
        <v/>
      </c>
      <c r="E294" s="14" t="n"/>
      <c r="F294" s="15">
        <f>IF($E294="","",IFERROR(INDEX(rngSM_max,MATCH($E294,rngSM_cat,0)),""))</f>
        <v/>
      </c>
      <c r="G294" s="15">
        <f>IF($E294="","",IFERROR(INDEX(rngSM_mode,MATCH($E294,rngSM_cat,0)),""))</f>
        <v/>
      </c>
      <c r="H294" s="15">
        <f>IF($E294="","",IFERROR(INDEX(rngSM_pass,MATCH($E294,rngSM_cat,0)),""))</f>
        <v/>
      </c>
      <c r="I294" s="14" t="n"/>
      <c r="J294" s="14" t="n"/>
      <c r="K294" s="14" t="n"/>
      <c r="L294" s="16" t="n"/>
      <c r="M294" s="14" t="n"/>
      <c r="N294" s="15">
        <f>IF($C294="","",COUNTIFS(nrSK_PID,$D294,nrSK_Cat,$E294))</f>
        <v/>
      </c>
      <c r="O294" s="15">
        <f>IF($C294="","",_xlfn.LET(_xlpm.latest,_xlfn.MAXIFS(nrSK_Att,nrSK_PID,$D294,nrSK_Cat,$E294),_xlpm.res,IF($I294=_xlpm.latest,$J294,""),IF($I294&lt;&gt;_xlpm.latest,"(superseded)",IF(_xlpm.res="","Pending",IF(_xlpm.res="Pass","Qualified",IF(AND(_xlpm.res="Fail",$N294&gt;=$F294),"FAILED OUT","Needs Remediation"))))))</f>
        <v/>
      </c>
      <c r="P294" s="15">
        <f>IF($C294="","",IF($O294="FAILED OUT","Yes","No"))</f>
        <v/>
      </c>
      <c r="Q294" s="14" t="n"/>
    </row>
    <row r="295">
      <c r="B295" s="15">
        <f>IF($C295="","",$D295&amp;"-"&amp;$E295&amp;"-"&amp;$I295)</f>
        <v/>
      </c>
      <c r="C295" s="14" t="n"/>
      <c r="D295" s="15">
        <f>IF($C295="","",IFERROR(INDEX(rngCadetPIDs,MATCH($C295,rngCadetNames,0)),"?"))</f>
        <v/>
      </c>
      <c r="E295" s="14" t="n"/>
      <c r="F295" s="15">
        <f>IF($E295="","",IFERROR(INDEX(rngSM_max,MATCH($E295,rngSM_cat,0)),""))</f>
        <v/>
      </c>
      <c r="G295" s="15">
        <f>IF($E295="","",IFERROR(INDEX(rngSM_mode,MATCH($E295,rngSM_cat,0)),""))</f>
        <v/>
      </c>
      <c r="H295" s="15">
        <f>IF($E295="","",IFERROR(INDEX(rngSM_pass,MATCH($E295,rngSM_cat,0)),""))</f>
        <v/>
      </c>
      <c r="I295" s="14" t="n"/>
      <c r="J295" s="14" t="n"/>
      <c r="K295" s="14" t="n"/>
      <c r="L295" s="16" t="n"/>
      <c r="M295" s="14" t="n"/>
      <c r="N295" s="15">
        <f>IF($C295="","",COUNTIFS(nrSK_PID,$D295,nrSK_Cat,$E295))</f>
        <v/>
      </c>
      <c r="O295" s="15">
        <f>IF($C295="","",_xlfn.LET(_xlpm.latest,_xlfn.MAXIFS(nrSK_Att,nrSK_PID,$D295,nrSK_Cat,$E295),_xlpm.res,IF($I295=_xlpm.latest,$J295,""),IF($I295&lt;&gt;_xlpm.latest,"(superseded)",IF(_xlpm.res="","Pending",IF(_xlpm.res="Pass","Qualified",IF(AND(_xlpm.res="Fail",$N295&gt;=$F295),"FAILED OUT","Needs Remediation"))))))</f>
        <v/>
      </c>
      <c r="P295" s="15">
        <f>IF($C295="","",IF($O295="FAILED OUT","Yes","No"))</f>
        <v/>
      </c>
      <c r="Q295" s="14" t="n"/>
    </row>
    <row r="296">
      <c r="B296" s="15">
        <f>IF($C296="","",$D296&amp;"-"&amp;$E296&amp;"-"&amp;$I296)</f>
        <v/>
      </c>
      <c r="C296" s="14" t="n"/>
      <c r="D296" s="15">
        <f>IF($C296="","",IFERROR(INDEX(rngCadetPIDs,MATCH($C296,rngCadetNames,0)),"?"))</f>
        <v/>
      </c>
      <c r="E296" s="14" t="n"/>
      <c r="F296" s="15">
        <f>IF($E296="","",IFERROR(INDEX(rngSM_max,MATCH($E296,rngSM_cat,0)),""))</f>
        <v/>
      </c>
      <c r="G296" s="15">
        <f>IF($E296="","",IFERROR(INDEX(rngSM_mode,MATCH($E296,rngSM_cat,0)),""))</f>
        <v/>
      </c>
      <c r="H296" s="15">
        <f>IF($E296="","",IFERROR(INDEX(rngSM_pass,MATCH($E296,rngSM_cat,0)),""))</f>
        <v/>
      </c>
      <c r="I296" s="14" t="n"/>
      <c r="J296" s="14" t="n"/>
      <c r="K296" s="14" t="n"/>
      <c r="L296" s="16" t="n"/>
      <c r="M296" s="14" t="n"/>
      <c r="N296" s="15">
        <f>IF($C296="","",COUNTIFS(nrSK_PID,$D296,nrSK_Cat,$E296))</f>
        <v/>
      </c>
      <c r="O296" s="15">
        <f>IF($C296="","",_xlfn.LET(_xlpm.latest,_xlfn.MAXIFS(nrSK_Att,nrSK_PID,$D296,nrSK_Cat,$E296),_xlpm.res,IF($I296=_xlpm.latest,$J296,""),IF($I296&lt;&gt;_xlpm.latest,"(superseded)",IF(_xlpm.res="","Pending",IF(_xlpm.res="Pass","Qualified",IF(AND(_xlpm.res="Fail",$N296&gt;=$F296),"FAILED OUT","Needs Remediation"))))))</f>
        <v/>
      </c>
      <c r="P296" s="15">
        <f>IF($C296="","",IF($O296="FAILED OUT","Yes","No"))</f>
        <v/>
      </c>
      <c r="Q296" s="14" t="n"/>
    </row>
    <row r="297">
      <c r="B297" s="15">
        <f>IF($C297="","",$D297&amp;"-"&amp;$E297&amp;"-"&amp;$I297)</f>
        <v/>
      </c>
      <c r="C297" s="14" t="n"/>
      <c r="D297" s="15">
        <f>IF($C297="","",IFERROR(INDEX(rngCadetPIDs,MATCH($C297,rngCadetNames,0)),"?"))</f>
        <v/>
      </c>
      <c r="E297" s="14" t="n"/>
      <c r="F297" s="15">
        <f>IF($E297="","",IFERROR(INDEX(rngSM_max,MATCH($E297,rngSM_cat,0)),""))</f>
        <v/>
      </c>
      <c r="G297" s="15">
        <f>IF($E297="","",IFERROR(INDEX(rngSM_mode,MATCH($E297,rngSM_cat,0)),""))</f>
        <v/>
      </c>
      <c r="H297" s="15">
        <f>IF($E297="","",IFERROR(INDEX(rngSM_pass,MATCH($E297,rngSM_cat,0)),""))</f>
        <v/>
      </c>
      <c r="I297" s="14" t="n"/>
      <c r="J297" s="14" t="n"/>
      <c r="K297" s="14" t="n"/>
      <c r="L297" s="16" t="n"/>
      <c r="M297" s="14" t="n"/>
      <c r="N297" s="15">
        <f>IF($C297="","",COUNTIFS(nrSK_PID,$D297,nrSK_Cat,$E297))</f>
        <v/>
      </c>
      <c r="O297" s="15">
        <f>IF($C297="","",_xlfn.LET(_xlpm.latest,_xlfn.MAXIFS(nrSK_Att,nrSK_PID,$D297,nrSK_Cat,$E297),_xlpm.res,IF($I297=_xlpm.latest,$J297,""),IF($I297&lt;&gt;_xlpm.latest,"(superseded)",IF(_xlpm.res="","Pending",IF(_xlpm.res="Pass","Qualified",IF(AND(_xlpm.res="Fail",$N297&gt;=$F297),"FAILED OUT","Needs Remediation"))))))</f>
        <v/>
      </c>
      <c r="P297" s="15">
        <f>IF($C297="","",IF($O297="FAILED OUT","Yes","No"))</f>
        <v/>
      </c>
      <c r="Q297" s="14" t="n"/>
    </row>
    <row r="298">
      <c r="B298" s="15">
        <f>IF($C298="","",$D298&amp;"-"&amp;$E298&amp;"-"&amp;$I298)</f>
        <v/>
      </c>
      <c r="C298" s="14" t="n"/>
      <c r="D298" s="15">
        <f>IF($C298="","",IFERROR(INDEX(rngCadetPIDs,MATCH($C298,rngCadetNames,0)),"?"))</f>
        <v/>
      </c>
      <c r="E298" s="14" t="n"/>
      <c r="F298" s="15">
        <f>IF($E298="","",IFERROR(INDEX(rngSM_max,MATCH($E298,rngSM_cat,0)),""))</f>
        <v/>
      </c>
      <c r="G298" s="15">
        <f>IF($E298="","",IFERROR(INDEX(rngSM_mode,MATCH($E298,rngSM_cat,0)),""))</f>
        <v/>
      </c>
      <c r="H298" s="15">
        <f>IF($E298="","",IFERROR(INDEX(rngSM_pass,MATCH($E298,rngSM_cat,0)),""))</f>
        <v/>
      </c>
      <c r="I298" s="14" t="n"/>
      <c r="J298" s="14" t="n"/>
      <c r="K298" s="14" t="n"/>
      <c r="L298" s="16" t="n"/>
      <c r="M298" s="14" t="n"/>
      <c r="N298" s="15">
        <f>IF($C298="","",COUNTIFS(nrSK_PID,$D298,nrSK_Cat,$E298))</f>
        <v/>
      </c>
      <c r="O298" s="15">
        <f>IF($C298="","",_xlfn.LET(_xlpm.latest,_xlfn.MAXIFS(nrSK_Att,nrSK_PID,$D298,nrSK_Cat,$E298),_xlpm.res,IF($I298=_xlpm.latest,$J298,""),IF($I298&lt;&gt;_xlpm.latest,"(superseded)",IF(_xlpm.res="","Pending",IF(_xlpm.res="Pass","Qualified",IF(AND(_xlpm.res="Fail",$N298&gt;=$F298),"FAILED OUT","Needs Remediation"))))))</f>
        <v/>
      </c>
      <c r="P298" s="15">
        <f>IF($C298="","",IF($O298="FAILED OUT","Yes","No"))</f>
        <v/>
      </c>
      <c r="Q298" s="14" t="n"/>
    </row>
    <row r="299">
      <c r="B299" s="15">
        <f>IF($C299="","",$D299&amp;"-"&amp;$E299&amp;"-"&amp;$I299)</f>
        <v/>
      </c>
      <c r="C299" s="14" t="n"/>
      <c r="D299" s="15">
        <f>IF($C299="","",IFERROR(INDEX(rngCadetPIDs,MATCH($C299,rngCadetNames,0)),"?"))</f>
        <v/>
      </c>
      <c r="E299" s="14" t="n"/>
      <c r="F299" s="15">
        <f>IF($E299="","",IFERROR(INDEX(rngSM_max,MATCH($E299,rngSM_cat,0)),""))</f>
        <v/>
      </c>
      <c r="G299" s="15">
        <f>IF($E299="","",IFERROR(INDEX(rngSM_mode,MATCH($E299,rngSM_cat,0)),""))</f>
        <v/>
      </c>
      <c r="H299" s="15">
        <f>IF($E299="","",IFERROR(INDEX(rngSM_pass,MATCH($E299,rngSM_cat,0)),""))</f>
        <v/>
      </c>
      <c r="I299" s="14" t="n"/>
      <c r="J299" s="14" t="n"/>
      <c r="K299" s="14" t="n"/>
      <c r="L299" s="16" t="n"/>
      <c r="M299" s="14" t="n"/>
      <c r="N299" s="15">
        <f>IF($C299="","",COUNTIFS(nrSK_PID,$D299,nrSK_Cat,$E299))</f>
        <v/>
      </c>
      <c r="O299" s="15">
        <f>IF($C299="","",_xlfn.LET(_xlpm.latest,_xlfn.MAXIFS(nrSK_Att,nrSK_PID,$D299,nrSK_Cat,$E299),_xlpm.res,IF($I299=_xlpm.latest,$J299,""),IF($I299&lt;&gt;_xlpm.latest,"(superseded)",IF(_xlpm.res="","Pending",IF(_xlpm.res="Pass","Qualified",IF(AND(_xlpm.res="Fail",$N299&gt;=$F299),"FAILED OUT","Needs Remediation"))))))</f>
        <v/>
      </c>
      <c r="P299" s="15">
        <f>IF($C299="","",IF($O299="FAILED OUT","Yes","No"))</f>
        <v/>
      </c>
      <c r="Q299" s="14" t="n"/>
    </row>
    <row r="300">
      <c r="B300" s="15">
        <f>IF($C300="","",$D300&amp;"-"&amp;$E300&amp;"-"&amp;$I300)</f>
        <v/>
      </c>
      <c r="C300" s="14" t="n"/>
      <c r="D300" s="15">
        <f>IF($C300="","",IFERROR(INDEX(rngCadetPIDs,MATCH($C300,rngCadetNames,0)),"?"))</f>
        <v/>
      </c>
      <c r="E300" s="14" t="n"/>
      <c r="F300" s="15">
        <f>IF($E300="","",IFERROR(INDEX(rngSM_max,MATCH($E300,rngSM_cat,0)),""))</f>
        <v/>
      </c>
      <c r="G300" s="15">
        <f>IF($E300="","",IFERROR(INDEX(rngSM_mode,MATCH($E300,rngSM_cat,0)),""))</f>
        <v/>
      </c>
      <c r="H300" s="15">
        <f>IF($E300="","",IFERROR(INDEX(rngSM_pass,MATCH($E300,rngSM_cat,0)),""))</f>
        <v/>
      </c>
      <c r="I300" s="14" t="n"/>
      <c r="J300" s="14" t="n"/>
      <c r="K300" s="14" t="n"/>
      <c r="L300" s="16" t="n"/>
      <c r="M300" s="14" t="n"/>
      <c r="N300" s="15">
        <f>IF($C300="","",COUNTIFS(nrSK_PID,$D300,nrSK_Cat,$E300))</f>
        <v/>
      </c>
      <c r="O300" s="15">
        <f>IF($C300="","",_xlfn.LET(_xlpm.latest,_xlfn.MAXIFS(nrSK_Att,nrSK_PID,$D300,nrSK_Cat,$E300),_xlpm.res,IF($I300=_xlpm.latest,$J300,""),IF($I300&lt;&gt;_xlpm.latest,"(superseded)",IF(_xlpm.res="","Pending",IF(_xlpm.res="Pass","Qualified",IF(AND(_xlpm.res="Fail",$N300&gt;=$F300),"FAILED OUT","Needs Remediation"))))))</f>
        <v/>
      </c>
      <c r="P300" s="15">
        <f>IF($C300="","",IF($O300="FAILED OUT","Yes","No"))</f>
        <v/>
      </c>
      <c r="Q300" s="14" t="n"/>
    </row>
    <row r="301">
      <c r="B301" s="15">
        <f>IF($C301="","",$D301&amp;"-"&amp;$E301&amp;"-"&amp;$I301)</f>
        <v/>
      </c>
      <c r="C301" s="14" t="n"/>
      <c r="D301" s="15">
        <f>IF($C301="","",IFERROR(INDEX(rngCadetPIDs,MATCH($C301,rngCadetNames,0)),"?"))</f>
        <v/>
      </c>
      <c r="E301" s="14" t="n"/>
      <c r="F301" s="15">
        <f>IF($E301="","",IFERROR(INDEX(rngSM_max,MATCH($E301,rngSM_cat,0)),""))</f>
        <v/>
      </c>
      <c r="G301" s="15">
        <f>IF($E301="","",IFERROR(INDEX(rngSM_mode,MATCH($E301,rngSM_cat,0)),""))</f>
        <v/>
      </c>
      <c r="H301" s="15">
        <f>IF($E301="","",IFERROR(INDEX(rngSM_pass,MATCH($E301,rngSM_cat,0)),""))</f>
        <v/>
      </c>
      <c r="I301" s="14" t="n"/>
      <c r="J301" s="14" t="n"/>
      <c r="K301" s="14" t="n"/>
      <c r="L301" s="16" t="n"/>
      <c r="M301" s="14" t="n"/>
      <c r="N301" s="15">
        <f>IF($C301="","",COUNTIFS(nrSK_PID,$D301,nrSK_Cat,$E301))</f>
        <v/>
      </c>
      <c r="O301" s="15">
        <f>IF($C301="","",_xlfn.LET(_xlpm.latest,_xlfn.MAXIFS(nrSK_Att,nrSK_PID,$D301,nrSK_Cat,$E301),_xlpm.res,IF($I301=_xlpm.latest,$J301,""),IF($I301&lt;&gt;_xlpm.latest,"(superseded)",IF(_xlpm.res="","Pending",IF(_xlpm.res="Pass","Qualified",IF(AND(_xlpm.res="Fail",$N301&gt;=$F301),"FAILED OUT","Needs Remediation"))))))</f>
        <v/>
      </c>
      <c r="P301" s="15">
        <f>IF($C301="","",IF($O301="FAILED OUT","Yes","No"))</f>
        <v/>
      </c>
      <c r="Q301" s="14" t="n"/>
    </row>
    <row r="302">
      <c r="B302" s="15">
        <f>IF($C302="","",$D302&amp;"-"&amp;$E302&amp;"-"&amp;$I302)</f>
        <v/>
      </c>
      <c r="C302" s="14" t="n"/>
      <c r="D302" s="15">
        <f>IF($C302="","",IFERROR(INDEX(rngCadetPIDs,MATCH($C302,rngCadetNames,0)),"?"))</f>
        <v/>
      </c>
      <c r="E302" s="14" t="n"/>
      <c r="F302" s="15">
        <f>IF($E302="","",IFERROR(INDEX(rngSM_max,MATCH($E302,rngSM_cat,0)),""))</f>
        <v/>
      </c>
      <c r="G302" s="15">
        <f>IF($E302="","",IFERROR(INDEX(rngSM_mode,MATCH($E302,rngSM_cat,0)),""))</f>
        <v/>
      </c>
      <c r="H302" s="15">
        <f>IF($E302="","",IFERROR(INDEX(rngSM_pass,MATCH($E302,rngSM_cat,0)),""))</f>
        <v/>
      </c>
      <c r="I302" s="14" t="n"/>
      <c r="J302" s="14" t="n"/>
      <c r="K302" s="14" t="n"/>
      <c r="L302" s="16" t="n"/>
      <c r="M302" s="14" t="n"/>
      <c r="N302" s="15">
        <f>IF($C302="","",COUNTIFS(nrSK_PID,$D302,nrSK_Cat,$E302))</f>
        <v/>
      </c>
      <c r="O302" s="15">
        <f>IF($C302="","",_xlfn.LET(_xlpm.latest,_xlfn.MAXIFS(nrSK_Att,nrSK_PID,$D302,nrSK_Cat,$E302),_xlpm.res,IF($I302=_xlpm.latest,$J302,""),IF($I302&lt;&gt;_xlpm.latest,"(superseded)",IF(_xlpm.res="","Pending",IF(_xlpm.res="Pass","Qualified",IF(AND(_xlpm.res="Fail",$N302&gt;=$F302),"FAILED OUT","Needs Remediation"))))))</f>
        <v/>
      </c>
      <c r="P302" s="15">
        <f>IF($C302="","",IF($O302="FAILED OUT","Yes","No"))</f>
        <v/>
      </c>
      <c r="Q302" s="14" t="n"/>
    </row>
    <row r="303">
      <c r="B303" s="15">
        <f>IF($C303="","",$D303&amp;"-"&amp;$E303&amp;"-"&amp;$I303)</f>
        <v/>
      </c>
      <c r="C303" s="14" t="n"/>
      <c r="D303" s="15">
        <f>IF($C303="","",IFERROR(INDEX(rngCadetPIDs,MATCH($C303,rngCadetNames,0)),"?"))</f>
        <v/>
      </c>
      <c r="E303" s="14" t="n"/>
      <c r="F303" s="15">
        <f>IF($E303="","",IFERROR(INDEX(rngSM_max,MATCH($E303,rngSM_cat,0)),""))</f>
        <v/>
      </c>
      <c r="G303" s="15">
        <f>IF($E303="","",IFERROR(INDEX(rngSM_mode,MATCH($E303,rngSM_cat,0)),""))</f>
        <v/>
      </c>
      <c r="H303" s="15">
        <f>IF($E303="","",IFERROR(INDEX(rngSM_pass,MATCH($E303,rngSM_cat,0)),""))</f>
        <v/>
      </c>
      <c r="I303" s="14" t="n"/>
      <c r="J303" s="14" t="n"/>
      <c r="K303" s="14" t="n"/>
      <c r="L303" s="16" t="n"/>
      <c r="M303" s="14" t="n"/>
      <c r="N303" s="15">
        <f>IF($C303="","",COUNTIFS(nrSK_PID,$D303,nrSK_Cat,$E303))</f>
        <v/>
      </c>
      <c r="O303" s="15">
        <f>IF($C303="","",_xlfn.LET(_xlpm.latest,_xlfn.MAXIFS(nrSK_Att,nrSK_PID,$D303,nrSK_Cat,$E303),_xlpm.res,IF($I303=_xlpm.latest,$J303,""),IF($I303&lt;&gt;_xlpm.latest,"(superseded)",IF(_xlpm.res="","Pending",IF(_xlpm.res="Pass","Qualified",IF(AND(_xlpm.res="Fail",$N303&gt;=$F303),"FAILED OUT","Needs Remediation"))))))</f>
        <v/>
      </c>
      <c r="P303" s="15">
        <f>IF($C303="","",IF($O303="FAILED OUT","Yes","No"))</f>
        <v/>
      </c>
      <c r="Q303" s="14" t="n"/>
    </row>
    <row r="304">
      <c r="B304" s="15">
        <f>IF($C304="","",$D304&amp;"-"&amp;$E304&amp;"-"&amp;$I304)</f>
        <v/>
      </c>
      <c r="C304" s="14" t="n"/>
      <c r="D304" s="15">
        <f>IF($C304="","",IFERROR(INDEX(rngCadetPIDs,MATCH($C304,rngCadetNames,0)),"?"))</f>
        <v/>
      </c>
      <c r="E304" s="14" t="n"/>
      <c r="F304" s="15">
        <f>IF($E304="","",IFERROR(INDEX(rngSM_max,MATCH($E304,rngSM_cat,0)),""))</f>
        <v/>
      </c>
      <c r="G304" s="15">
        <f>IF($E304="","",IFERROR(INDEX(rngSM_mode,MATCH($E304,rngSM_cat,0)),""))</f>
        <v/>
      </c>
      <c r="H304" s="15">
        <f>IF($E304="","",IFERROR(INDEX(rngSM_pass,MATCH($E304,rngSM_cat,0)),""))</f>
        <v/>
      </c>
      <c r="I304" s="14" t="n"/>
      <c r="J304" s="14" t="n"/>
      <c r="K304" s="14" t="n"/>
      <c r="L304" s="16" t="n"/>
      <c r="M304" s="14" t="n"/>
      <c r="N304" s="15">
        <f>IF($C304="","",COUNTIFS(nrSK_PID,$D304,nrSK_Cat,$E304))</f>
        <v/>
      </c>
      <c r="O304" s="15">
        <f>IF($C304="","",_xlfn.LET(_xlpm.latest,_xlfn.MAXIFS(nrSK_Att,nrSK_PID,$D304,nrSK_Cat,$E304),_xlpm.res,IF($I304=_xlpm.latest,$J304,""),IF($I304&lt;&gt;_xlpm.latest,"(superseded)",IF(_xlpm.res="","Pending",IF(_xlpm.res="Pass","Qualified",IF(AND(_xlpm.res="Fail",$N304&gt;=$F304),"FAILED OUT","Needs Remediation"))))))</f>
        <v/>
      </c>
      <c r="P304" s="15">
        <f>IF($C304="","",IF($O304="FAILED OUT","Yes","No"))</f>
        <v/>
      </c>
      <c r="Q304" s="14" t="n"/>
    </row>
    <row r="305">
      <c r="B305" s="15">
        <f>IF($C305="","",$D305&amp;"-"&amp;$E305&amp;"-"&amp;$I305)</f>
        <v/>
      </c>
      <c r="C305" s="14" t="n"/>
      <c r="D305" s="15">
        <f>IF($C305="","",IFERROR(INDEX(rngCadetPIDs,MATCH($C305,rngCadetNames,0)),"?"))</f>
        <v/>
      </c>
      <c r="E305" s="14" t="n"/>
      <c r="F305" s="15">
        <f>IF($E305="","",IFERROR(INDEX(rngSM_max,MATCH($E305,rngSM_cat,0)),""))</f>
        <v/>
      </c>
      <c r="G305" s="15">
        <f>IF($E305="","",IFERROR(INDEX(rngSM_mode,MATCH($E305,rngSM_cat,0)),""))</f>
        <v/>
      </c>
      <c r="H305" s="15">
        <f>IF($E305="","",IFERROR(INDEX(rngSM_pass,MATCH($E305,rngSM_cat,0)),""))</f>
        <v/>
      </c>
      <c r="I305" s="14" t="n"/>
      <c r="J305" s="14" t="n"/>
      <c r="K305" s="14" t="n"/>
      <c r="L305" s="16" t="n"/>
      <c r="M305" s="14" t="n"/>
      <c r="N305" s="15">
        <f>IF($C305="","",COUNTIFS(nrSK_PID,$D305,nrSK_Cat,$E305))</f>
        <v/>
      </c>
      <c r="O305" s="15">
        <f>IF($C305="","",_xlfn.LET(_xlpm.latest,_xlfn.MAXIFS(nrSK_Att,nrSK_PID,$D305,nrSK_Cat,$E305),_xlpm.res,IF($I305=_xlpm.latest,$J305,""),IF($I305&lt;&gt;_xlpm.latest,"(superseded)",IF(_xlpm.res="","Pending",IF(_xlpm.res="Pass","Qualified",IF(AND(_xlpm.res="Fail",$N305&gt;=$F305),"FAILED OUT","Needs Remediation"))))))</f>
        <v/>
      </c>
      <c r="P305" s="15">
        <f>IF($C305="","",IF($O305="FAILED OUT","Yes","No"))</f>
        <v/>
      </c>
      <c r="Q305" s="14" t="n"/>
    </row>
    <row r="306">
      <c r="B306" s="15">
        <f>IF($C306="","",$D306&amp;"-"&amp;$E306&amp;"-"&amp;$I306)</f>
        <v/>
      </c>
      <c r="C306" s="14" t="n"/>
      <c r="D306" s="15">
        <f>IF($C306="","",IFERROR(INDEX(rngCadetPIDs,MATCH($C306,rngCadetNames,0)),"?"))</f>
        <v/>
      </c>
      <c r="E306" s="14" t="n"/>
      <c r="F306" s="15">
        <f>IF($E306="","",IFERROR(INDEX(rngSM_max,MATCH($E306,rngSM_cat,0)),""))</f>
        <v/>
      </c>
      <c r="G306" s="15">
        <f>IF($E306="","",IFERROR(INDEX(rngSM_mode,MATCH($E306,rngSM_cat,0)),""))</f>
        <v/>
      </c>
      <c r="H306" s="15">
        <f>IF($E306="","",IFERROR(INDEX(rngSM_pass,MATCH($E306,rngSM_cat,0)),""))</f>
        <v/>
      </c>
      <c r="I306" s="14" t="n"/>
      <c r="J306" s="14" t="n"/>
      <c r="K306" s="14" t="n"/>
      <c r="L306" s="16" t="n"/>
      <c r="M306" s="14" t="n"/>
      <c r="N306" s="15">
        <f>IF($C306="","",COUNTIFS(nrSK_PID,$D306,nrSK_Cat,$E306))</f>
        <v/>
      </c>
      <c r="O306" s="15">
        <f>IF($C306="","",_xlfn.LET(_xlpm.latest,_xlfn.MAXIFS(nrSK_Att,nrSK_PID,$D306,nrSK_Cat,$E306),_xlpm.res,IF($I306=_xlpm.latest,$J306,""),IF($I306&lt;&gt;_xlpm.latest,"(superseded)",IF(_xlpm.res="","Pending",IF(_xlpm.res="Pass","Qualified",IF(AND(_xlpm.res="Fail",$N306&gt;=$F306),"FAILED OUT","Needs Remediation"))))))</f>
        <v/>
      </c>
      <c r="P306" s="15">
        <f>IF($C306="","",IF($O306="FAILED OUT","Yes","No"))</f>
        <v/>
      </c>
      <c r="Q306" s="14" t="n"/>
    </row>
    <row r="307">
      <c r="B307" s="15">
        <f>IF($C307="","",$D307&amp;"-"&amp;$E307&amp;"-"&amp;$I307)</f>
        <v/>
      </c>
      <c r="C307" s="14" t="n"/>
      <c r="D307" s="15">
        <f>IF($C307="","",IFERROR(INDEX(rngCadetPIDs,MATCH($C307,rngCadetNames,0)),"?"))</f>
        <v/>
      </c>
      <c r="E307" s="14" t="n"/>
      <c r="F307" s="15">
        <f>IF($E307="","",IFERROR(INDEX(rngSM_max,MATCH($E307,rngSM_cat,0)),""))</f>
        <v/>
      </c>
      <c r="G307" s="15">
        <f>IF($E307="","",IFERROR(INDEX(rngSM_mode,MATCH($E307,rngSM_cat,0)),""))</f>
        <v/>
      </c>
      <c r="H307" s="15">
        <f>IF($E307="","",IFERROR(INDEX(rngSM_pass,MATCH($E307,rngSM_cat,0)),""))</f>
        <v/>
      </c>
      <c r="I307" s="14" t="n"/>
      <c r="J307" s="14" t="n"/>
      <c r="K307" s="14" t="n"/>
      <c r="L307" s="16" t="n"/>
      <c r="M307" s="14" t="n"/>
      <c r="N307" s="15">
        <f>IF($C307="","",COUNTIFS(nrSK_PID,$D307,nrSK_Cat,$E307))</f>
        <v/>
      </c>
      <c r="O307" s="15">
        <f>IF($C307="","",_xlfn.LET(_xlpm.latest,_xlfn.MAXIFS(nrSK_Att,nrSK_PID,$D307,nrSK_Cat,$E307),_xlpm.res,IF($I307=_xlpm.latest,$J307,""),IF($I307&lt;&gt;_xlpm.latest,"(superseded)",IF(_xlpm.res="","Pending",IF(_xlpm.res="Pass","Qualified",IF(AND(_xlpm.res="Fail",$N307&gt;=$F307),"FAILED OUT","Needs Remediation"))))))</f>
        <v/>
      </c>
      <c r="P307" s="15">
        <f>IF($C307="","",IF($O307="FAILED OUT","Yes","No"))</f>
        <v/>
      </c>
      <c r="Q307" s="14" t="n"/>
    </row>
    <row r="308">
      <c r="B308" s="15">
        <f>IF($C308="","",$D308&amp;"-"&amp;$E308&amp;"-"&amp;$I308)</f>
        <v/>
      </c>
      <c r="C308" s="14" t="n"/>
      <c r="D308" s="15">
        <f>IF($C308="","",IFERROR(INDEX(rngCadetPIDs,MATCH($C308,rngCadetNames,0)),"?"))</f>
        <v/>
      </c>
      <c r="E308" s="14" t="n"/>
      <c r="F308" s="15">
        <f>IF($E308="","",IFERROR(INDEX(rngSM_max,MATCH($E308,rngSM_cat,0)),""))</f>
        <v/>
      </c>
      <c r="G308" s="15">
        <f>IF($E308="","",IFERROR(INDEX(rngSM_mode,MATCH($E308,rngSM_cat,0)),""))</f>
        <v/>
      </c>
      <c r="H308" s="15">
        <f>IF($E308="","",IFERROR(INDEX(rngSM_pass,MATCH($E308,rngSM_cat,0)),""))</f>
        <v/>
      </c>
      <c r="I308" s="14" t="n"/>
      <c r="J308" s="14" t="n"/>
      <c r="K308" s="14" t="n"/>
      <c r="L308" s="16" t="n"/>
      <c r="M308" s="14" t="n"/>
      <c r="N308" s="15">
        <f>IF($C308="","",COUNTIFS(nrSK_PID,$D308,nrSK_Cat,$E308))</f>
        <v/>
      </c>
      <c r="O308" s="15">
        <f>IF($C308="","",_xlfn.LET(_xlpm.latest,_xlfn.MAXIFS(nrSK_Att,nrSK_PID,$D308,nrSK_Cat,$E308),_xlpm.res,IF($I308=_xlpm.latest,$J308,""),IF($I308&lt;&gt;_xlpm.latest,"(superseded)",IF(_xlpm.res="","Pending",IF(_xlpm.res="Pass","Qualified",IF(AND(_xlpm.res="Fail",$N308&gt;=$F308),"FAILED OUT","Needs Remediation"))))))</f>
        <v/>
      </c>
      <c r="P308" s="15">
        <f>IF($C308="","",IF($O308="FAILED OUT","Yes","No"))</f>
        <v/>
      </c>
      <c r="Q308" s="14" t="n"/>
    </row>
    <row r="309">
      <c r="B309" s="15">
        <f>IF($C309="","",$D309&amp;"-"&amp;$E309&amp;"-"&amp;$I309)</f>
        <v/>
      </c>
      <c r="C309" s="14" t="n"/>
      <c r="D309" s="15">
        <f>IF($C309="","",IFERROR(INDEX(rngCadetPIDs,MATCH($C309,rngCadetNames,0)),"?"))</f>
        <v/>
      </c>
      <c r="E309" s="14" t="n"/>
      <c r="F309" s="15">
        <f>IF($E309="","",IFERROR(INDEX(rngSM_max,MATCH($E309,rngSM_cat,0)),""))</f>
        <v/>
      </c>
      <c r="G309" s="15">
        <f>IF($E309="","",IFERROR(INDEX(rngSM_mode,MATCH($E309,rngSM_cat,0)),""))</f>
        <v/>
      </c>
      <c r="H309" s="15">
        <f>IF($E309="","",IFERROR(INDEX(rngSM_pass,MATCH($E309,rngSM_cat,0)),""))</f>
        <v/>
      </c>
      <c r="I309" s="14" t="n"/>
      <c r="J309" s="14" t="n"/>
      <c r="K309" s="14" t="n"/>
      <c r="L309" s="16" t="n"/>
      <c r="M309" s="14" t="n"/>
      <c r="N309" s="15">
        <f>IF($C309="","",COUNTIFS(nrSK_PID,$D309,nrSK_Cat,$E309))</f>
        <v/>
      </c>
      <c r="O309" s="15">
        <f>IF($C309="","",_xlfn.LET(_xlpm.latest,_xlfn.MAXIFS(nrSK_Att,nrSK_PID,$D309,nrSK_Cat,$E309),_xlpm.res,IF($I309=_xlpm.latest,$J309,""),IF($I309&lt;&gt;_xlpm.latest,"(superseded)",IF(_xlpm.res="","Pending",IF(_xlpm.res="Pass","Qualified",IF(AND(_xlpm.res="Fail",$N309&gt;=$F309),"FAILED OUT","Needs Remediation"))))))</f>
        <v/>
      </c>
      <c r="P309" s="15">
        <f>IF($C309="","",IF($O309="FAILED OUT","Yes","No"))</f>
        <v/>
      </c>
      <c r="Q309" s="14" t="n"/>
    </row>
    <row r="310">
      <c r="B310" s="15">
        <f>IF($C310="","",$D310&amp;"-"&amp;$E310&amp;"-"&amp;$I310)</f>
        <v/>
      </c>
      <c r="C310" s="14" t="n"/>
      <c r="D310" s="15">
        <f>IF($C310="","",IFERROR(INDEX(rngCadetPIDs,MATCH($C310,rngCadetNames,0)),"?"))</f>
        <v/>
      </c>
      <c r="E310" s="14" t="n"/>
      <c r="F310" s="15">
        <f>IF($E310="","",IFERROR(INDEX(rngSM_max,MATCH($E310,rngSM_cat,0)),""))</f>
        <v/>
      </c>
      <c r="G310" s="15">
        <f>IF($E310="","",IFERROR(INDEX(rngSM_mode,MATCH($E310,rngSM_cat,0)),""))</f>
        <v/>
      </c>
      <c r="H310" s="15">
        <f>IF($E310="","",IFERROR(INDEX(rngSM_pass,MATCH($E310,rngSM_cat,0)),""))</f>
        <v/>
      </c>
      <c r="I310" s="14" t="n"/>
      <c r="J310" s="14" t="n"/>
      <c r="K310" s="14" t="n"/>
      <c r="L310" s="16" t="n"/>
      <c r="M310" s="14" t="n"/>
      <c r="N310" s="15">
        <f>IF($C310="","",COUNTIFS(nrSK_PID,$D310,nrSK_Cat,$E310))</f>
        <v/>
      </c>
      <c r="O310" s="15">
        <f>IF($C310="","",_xlfn.LET(_xlpm.latest,_xlfn.MAXIFS(nrSK_Att,nrSK_PID,$D310,nrSK_Cat,$E310),_xlpm.res,IF($I310=_xlpm.latest,$J310,""),IF($I310&lt;&gt;_xlpm.latest,"(superseded)",IF(_xlpm.res="","Pending",IF(_xlpm.res="Pass","Qualified",IF(AND(_xlpm.res="Fail",$N310&gt;=$F310),"FAILED OUT","Needs Remediation"))))))</f>
        <v/>
      </c>
      <c r="P310" s="15">
        <f>IF($C310="","",IF($O310="FAILED OUT","Yes","No"))</f>
        <v/>
      </c>
      <c r="Q310" s="14" t="n"/>
    </row>
    <row r="311">
      <c r="B311" s="15">
        <f>IF($C311="","",$D311&amp;"-"&amp;$E311&amp;"-"&amp;$I311)</f>
        <v/>
      </c>
      <c r="C311" s="14" t="n"/>
      <c r="D311" s="15">
        <f>IF($C311="","",IFERROR(INDEX(rngCadetPIDs,MATCH($C311,rngCadetNames,0)),"?"))</f>
        <v/>
      </c>
      <c r="E311" s="14" t="n"/>
      <c r="F311" s="15">
        <f>IF($E311="","",IFERROR(INDEX(rngSM_max,MATCH($E311,rngSM_cat,0)),""))</f>
        <v/>
      </c>
      <c r="G311" s="15">
        <f>IF($E311="","",IFERROR(INDEX(rngSM_mode,MATCH($E311,rngSM_cat,0)),""))</f>
        <v/>
      </c>
      <c r="H311" s="15">
        <f>IF($E311="","",IFERROR(INDEX(rngSM_pass,MATCH($E311,rngSM_cat,0)),""))</f>
        <v/>
      </c>
      <c r="I311" s="14" t="n"/>
      <c r="J311" s="14" t="n"/>
      <c r="K311" s="14" t="n"/>
      <c r="L311" s="16" t="n"/>
      <c r="M311" s="14" t="n"/>
      <c r="N311" s="15">
        <f>IF($C311="","",COUNTIFS(nrSK_PID,$D311,nrSK_Cat,$E311))</f>
        <v/>
      </c>
      <c r="O311" s="15">
        <f>IF($C311="","",_xlfn.LET(_xlpm.latest,_xlfn.MAXIFS(nrSK_Att,nrSK_PID,$D311,nrSK_Cat,$E311),_xlpm.res,IF($I311=_xlpm.latest,$J311,""),IF($I311&lt;&gt;_xlpm.latest,"(superseded)",IF(_xlpm.res="","Pending",IF(_xlpm.res="Pass","Qualified",IF(AND(_xlpm.res="Fail",$N311&gt;=$F311),"FAILED OUT","Needs Remediation"))))))</f>
        <v/>
      </c>
      <c r="P311" s="15">
        <f>IF($C311="","",IF($O311="FAILED OUT","Yes","No"))</f>
        <v/>
      </c>
      <c r="Q311" s="14" t="n"/>
    </row>
    <row r="312">
      <c r="B312" s="15">
        <f>IF($C312="","",$D312&amp;"-"&amp;$E312&amp;"-"&amp;$I312)</f>
        <v/>
      </c>
      <c r="C312" s="14" t="n"/>
      <c r="D312" s="15">
        <f>IF($C312="","",IFERROR(INDEX(rngCadetPIDs,MATCH($C312,rngCadetNames,0)),"?"))</f>
        <v/>
      </c>
      <c r="E312" s="14" t="n"/>
      <c r="F312" s="15">
        <f>IF($E312="","",IFERROR(INDEX(rngSM_max,MATCH($E312,rngSM_cat,0)),""))</f>
        <v/>
      </c>
      <c r="G312" s="15">
        <f>IF($E312="","",IFERROR(INDEX(rngSM_mode,MATCH($E312,rngSM_cat,0)),""))</f>
        <v/>
      </c>
      <c r="H312" s="15">
        <f>IF($E312="","",IFERROR(INDEX(rngSM_pass,MATCH($E312,rngSM_cat,0)),""))</f>
        <v/>
      </c>
      <c r="I312" s="14" t="n"/>
      <c r="J312" s="14" t="n"/>
      <c r="K312" s="14" t="n"/>
      <c r="L312" s="16" t="n"/>
      <c r="M312" s="14" t="n"/>
      <c r="N312" s="15">
        <f>IF($C312="","",COUNTIFS(nrSK_PID,$D312,nrSK_Cat,$E312))</f>
        <v/>
      </c>
      <c r="O312" s="15">
        <f>IF($C312="","",_xlfn.LET(_xlpm.latest,_xlfn.MAXIFS(nrSK_Att,nrSK_PID,$D312,nrSK_Cat,$E312),_xlpm.res,IF($I312=_xlpm.latest,$J312,""),IF($I312&lt;&gt;_xlpm.latest,"(superseded)",IF(_xlpm.res="","Pending",IF(_xlpm.res="Pass","Qualified",IF(AND(_xlpm.res="Fail",$N312&gt;=$F312),"FAILED OUT","Needs Remediation"))))))</f>
        <v/>
      </c>
      <c r="P312" s="15">
        <f>IF($C312="","",IF($O312="FAILED OUT","Yes","No"))</f>
        <v/>
      </c>
      <c r="Q312" s="14" t="n"/>
    </row>
    <row r="313">
      <c r="B313" s="15">
        <f>IF($C313="","",$D313&amp;"-"&amp;$E313&amp;"-"&amp;$I313)</f>
        <v/>
      </c>
      <c r="C313" s="14" t="n"/>
      <c r="D313" s="15">
        <f>IF($C313="","",IFERROR(INDEX(rngCadetPIDs,MATCH($C313,rngCadetNames,0)),"?"))</f>
        <v/>
      </c>
      <c r="E313" s="14" t="n"/>
      <c r="F313" s="15">
        <f>IF($E313="","",IFERROR(INDEX(rngSM_max,MATCH($E313,rngSM_cat,0)),""))</f>
        <v/>
      </c>
      <c r="G313" s="15">
        <f>IF($E313="","",IFERROR(INDEX(rngSM_mode,MATCH($E313,rngSM_cat,0)),""))</f>
        <v/>
      </c>
      <c r="H313" s="15">
        <f>IF($E313="","",IFERROR(INDEX(rngSM_pass,MATCH($E313,rngSM_cat,0)),""))</f>
        <v/>
      </c>
      <c r="I313" s="14" t="n"/>
      <c r="J313" s="14" t="n"/>
      <c r="K313" s="14" t="n"/>
      <c r="L313" s="16" t="n"/>
      <c r="M313" s="14" t="n"/>
      <c r="N313" s="15">
        <f>IF($C313="","",COUNTIFS(nrSK_PID,$D313,nrSK_Cat,$E313))</f>
        <v/>
      </c>
      <c r="O313" s="15">
        <f>IF($C313="","",_xlfn.LET(_xlpm.latest,_xlfn.MAXIFS(nrSK_Att,nrSK_PID,$D313,nrSK_Cat,$E313),_xlpm.res,IF($I313=_xlpm.latest,$J313,""),IF($I313&lt;&gt;_xlpm.latest,"(superseded)",IF(_xlpm.res="","Pending",IF(_xlpm.res="Pass","Qualified",IF(AND(_xlpm.res="Fail",$N313&gt;=$F313),"FAILED OUT","Needs Remediation"))))))</f>
        <v/>
      </c>
      <c r="P313" s="15">
        <f>IF($C313="","",IF($O313="FAILED OUT","Yes","No"))</f>
        <v/>
      </c>
      <c r="Q313" s="14" t="n"/>
    </row>
    <row r="314">
      <c r="B314" s="15">
        <f>IF($C314="","",$D314&amp;"-"&amp;$E314&amp;"-"&amp;$I314)</f>
        <v/>
      </c>
      <c r="C314" s="14" t="n"/>
      <c r="D314" s="15">
        <f>IF($C314="","",IFERROR(INDEX(rngCadetPIDs,MATCH($C314,rngCadetNames,0)),"?"))</f>
        <v/>
      </c>
      <c r="E314" s="14" t="n"/>
      <c r="F314" s="15">
        <f>IF($E314="","",IFERROR(INDEX(rngSM_max,MATCH($E314,rngSM_cat,0)),""))</f>
        <v/>
      </c>
      <c r="G314" s="15">
        <f>IF($E314="","",IFERROR(INDEX(rngSM_mode,MATCH($E314,rngSM_cat,0)),""))</f>
        <v/>
      </c>
      <c r="H314" s="15">
        <f>IF($E314="","",IFERROR(INDEX(rngSM_pass,MATCH($E314,rngSM_cat,0)),""))</f>
        <v/>
      </c>
      <c r="I314" s="14" t="n"/>
      <c r="J314" s="14" t="n"/>
      <c r="K314" s="14" t="n"/>
      <c r="L314" s="16" t="n"/>
      <c r="M314" s="14" t="n"/>
      <c r="N314" s="15">
        <f>IF($C314="","",COUNTIFS(nrSK_PID,$D314,nrSK_Cat,$E314))</f>
        <v/>
      </c>
      <c r="O314" s="15">
        <f>IF($C314="","",_xlfn.LET(_xlpm.latest,_xlfn.MAXIFS(nrSK_Att,nrSK_PID,$D314,nrSK_Cat,$E314),_xlpm.res,IF($I314=_xlpm.latest,$J314,""),IF($I314&lt;&gt;_xlpm.latest,"(superseded)",IF(_xlpm.res="","Pending",IF(_xlpm.res="Pass","Qualified",IF(AND(_xlpm.res="Fail",$N314&gt;=$F314),"FAILED OUT","Needs Remediation"))))))</f>
        <v/>
      </c>
      <c r="P314" s="15">
        <f>IF($C314="","",IF($O314="FAILED OUT","Yes","No"))</f>
        <v/>
      </c>
      <c r="Q314" s="14" t="n"/>
    </row>
    <row r="315">
      <c r="B315" s="15">
        <f>IF($C315="","",$D315&amp;"-"&amp;$E315&amp;"-"&amp;$I315)</f>
        <v/>
      </c>
      <c r="C315" s="14" t="n"/>
      <c r="D315" s="15">
        <f>IF($C315="","",IFERROR(INDEX(rngCadetPIDs,MATCH($C315,rngCadetNames,0)),"?"))</f>
        <v/>
      </c>
      <c r="E315" s="14" t="n"/>
      <c r="F315" s="15">
        <f>IF($E315="","",IFERROR(INDEX(rngSM_max,MATCH($E315,rngSM_cat,0)),""))</f>
        <v/>
      </c>
      <c r="G315" s="15">
        <f>IF($E315="","",IFERROR(INDEX(rngSM_mode,MATCH($E315,rngSM_cat,0)),""))</f>
        <v/>
      </c>
      <c r="H315" s="15">
        <f>IF($E315="","",IFERROR(INDEX(rngSM_pass,MATCH($E315,rngSM_cat,0)),""))</f>
        <v/>
      </c>
      <c r="I315" s="14" t="n"/>
      <c r="J315" s="14" t="n"/>
      <c r="K315" s="14" t="n"/>
      <c r="L315" s="16" t="n"/>
      <c r="M315" s="14" t="n"/>
      <c r="N315" s="15">
        <f>IF($C315="","",COUNTIFS(nrSK_PID,$D315,nrSK_Cat,$E315))</f>
        <v/>
      </c>
      <c r="O315" s="15">
        <f>IF($C315="","",_xlfn.LET(_xlpm.latest,_xlfn.MAXIFS(nrSK_Att,nrSK_PID,$D315,nrSK_Cat,$E315),_xlpm.res,IF($I315=_xlpm.latest,$J315,""),IF($I315&lt;&gt;_xlpm.latest,"(superseded)",IF(_xlpm.res="","Pending",IF(_xlpm.res="Pass","Qualified",IF(AND(_xlpm.res="Fail",$N315&gt;=$F315),"FAILED OUT","Needs Remediation"))))))</f>
        <v/>
      </c>
      <c r="P315" s="15">
        <f>IF($C315="","",IF($O315="FAILED OUT","Yes","No"))</f>
        <v/>
      </c>
      <c r="Q315" s="14" t="n"/>
    </row>
    <row r="316">
      <c r="B316" s="15">
        <f>IF($C316="","",$D316&amp;"-"&amp;$E316&amp;"-"&amp;$I316)</f>
        <v/>
      </c>
      <c r="C316" s="14" t="n"/>
      <c r="D316" s="15">
        <f>IF($C316="","",IFERROR(INDEX(rngCadetPIDs,MATCH($C316,rngCadetNames,0)),"?"))</f>
        <v/>
      </c>
      <c r="E316" s="14" t="n"/>
      <c r="F316" s="15">
        <f>IF($E316="","",IFERROR(INDEX(rngSM_max,MATCH($E316,rngSM_cat,0)),""))</f>
        <v/>
      </c>
      <c r="G316" s="15">
        <f>IF($E316="","",IFERROR(INDEX(rngSM_mode,MATCH($E316,rngSM_cat,0)),""))</f>
        <v/>
      </c>
      <c r="H316" s="15">
        <f>IF($E316="","",IFERROR(INDEX(rngSM_pass,MATCH($E316,rngSM_cat,0)),""))</f>
        <v/>
      </c>
      <c r="I316" s="14" t="n"/>
      <c r="J316" s="14" t="n"/>
      <c r="K316" s="14" t="n"/>
      <c r="L316" s="16" t="n"/>
      <c r="M316" s="14" t="n"/>
      <c r="N316" s="15">
        <f>IF($C316="","",COUNTIFS(nrSK_PID,$D316,nrSK_Cat,$E316))</f>
        <v/>
      </c>
      <c r="O316" s="15">
        <f>IF($C316="","",_xlfn.LET(_xlpm.latest,_xlfn.MAXIFS(nrSK_Att,nrSK_PID,$D316,nrSK_Cat,$E316),_xlpm.res,IF($I316=_xlpm.latest,$J316,""),IF($I316&lt;&gt;_xlpm.latest,"(superseded)",IF(_xlpm.res="","Pending",IF(_xlpm.res="Pass","Qualified",IF(AND(_xlpm.res="Fail",$N316&gt;=$F316),"FAILED OUT","Needs Remediation"))))))</f>
        <v/>
      </c>
      <c r="P316" s="15">
        <f>IF($C316="","",IF($O316="FAILED OUT","Yes","No"))</f>
        <v/>
      </c>
      <c r="Q316" s="14" t="n"/>
    </row>
    <row r="317">
      <c r="B317" s="15">
        <f>IF($C317="","",$D317&amp;"-"&amp;$E317&amp;"-"&amp;$I317)</f>
        <v/>
      </c>
      <c r="C317" s="14" t="n"/>
      <c r="D317" s="15">
        <f>IF($C317="","",IFERROR(INDEX(rngCadetPIDs,MATCH($C317,rngCadetNames,0)),"?"))</f>
        <v/>
      </c>
      <c r="E317" s="14" t="n"/>
      <c r="F317" s="15">
        <f>IF($E317="","",IFERROR(INDEX(rngSM_max,MATCH($E317,rngSM_cat,0)),""))</f>
        <v/>
      </c>
      <c r="G317" s="15">
        <f>IF($E317="","",IFERROR(INDEX(rngSM_mode,MATCH($E317,rngSM_cat,0)),""))</f>
        <v/>
      </c>
      <c r="H317" s="15">
        <f>IF($E317="","",IFERROR(INDEX(rngSM_pass,MATCH($E317,rngSM_cat,0)),""))</f>
        <v/>
      </c>
      <c r="I317" s="14" t="n"/>
      <c r="J317" s="14" t="n"/>
      <c r="K317" s="14" t="n"/>
      <c r="L317" s="16" t="n"/>
      <c r="M317" s="14" t="n"/>
      <c r="N317" s="15">
        <f>IF($C317="","",COUNTIFS(nrSK_PID,$D317,nrSK_Cat,$E317))</f>
        <v/>
      </c>
      <c r="O317" s="15">
        <f>IF($C317="","",_xlfn.LET(_xlpm.latest,_xlfn.MAXIFS(nrSK_Att,nrSK_PID,$D317,nrSK_Cat,$E317),_xlpm.res,IF($I317=_xlpm.latest,$J317,""),IF($I317&lt;&gt;_xlpm.latest,"(superseded)",IF(_xlpm.res="","Pending",IF(_xlpm.res="Pass","Qualified",IF(AND(_xlpm.res="Fail",$N317&gt;=$F317),"FAILED OUT","Needs Remediation"))))))</f>
        <v/>
      </c>
      <c r="P317" s="15">
        <f>IF($C317="","",IF($O317="FAILED OUT","Yes","No"))</f>
        <v/>
      </c>
      <c r="Q317" s="14" t="n"/>
    </row>
    <row r="318">
      <c r="B318" s="15">
        <f>IF($C318="","",$D318&amp;"-"&amp;$E318&amp;"-"&amp;$I318)</f>
        <v/>
      </c>
      <c r="C318" s="14" t="n"/>
      <c r="D318" s="15">
        <f>IF($C318="","",IFERROR(INDEX(rngCadetPIDs,MATCH($C318,rngCadetNames,0)),"?"))</f>
        <v/>
      </c>
      <c r="E318" s="14" t="n"/>
      <c r="F318" s="15">
        <f>IF($E318="","",IFERROR(INDEX(rngSM_max,MATCH($E318,rngSM_cat,0)),""))</f>
        <v/>
      </c>
      <c r="G318" s="15">
        <f>IF($E318="","",IFERROR(INDEX(rngSM_mode,MATCH($E318,rngSM_cat,0)),""))</f>
        <v/>
      </c>
      <c r="H318" s="15">
        <f>IF($E318="","",IFERROR(INDEX(rngSM_pass,MATCH($E318,rngSM_cat,0)),""))</f>
        <v/>
      </c>
      <c r="I318" s="14" t="n"/>
      <c r="J318" s="14" t="n"/>
      <c r="K318" s="14" t="n"/>
      <c r="L318" s="16" t="n"/>
      <c r="M318" s="14" t="n"/>
      <c r="N318" s="15">
        <f>IF($C318="","",COUNTIFS(nrSK_PID,$D318,nrSK_Cat,$E318))</f>
        <v/>
      </c>
      <c r="O318" s="15">
        <f>IF($C318="","",_xlfn.LET(_xlpm.latest,_xlfn.MAXIFS(nrSK_Att,nrSK_PID,$D318,nrSK_Cat,$E318),_xlpm.res,IF($I318=_xlpm.latest,$J318,""),IF($I318&lt;&gt;_xlpm.latest,"(superseded)",IF(_xlpm.res="","Pending",IF(_xlpm.res="Pass","Qualified",IF(AND(_xlpm.res="Fail",$N318&gt;=$F318),"FAILED OUT","Needs Remediation"))))))</f>
        <v/>
      </c>
      <c r="P318" s="15">
        <f>IF($C318="","",IF($O318="FAILED OUT","Yes","No"))</f>
        <v/>
      </c>
      <c r="Q318" s="14" t="n"/>
    </row>
    <row r="319">
      <c r="B319" s="15">
        <f>IF($C319="","",$D319&amp;"-"&amp;$E319&amp;"-"&amp;$I319)</f>
        <v/>
      </c>
      <c r="C319" s="14" t="n"/>
      <c r="D319" s="15">
        <f>IF($C319="","",IFERROR(INDEX(rngCadetPIDs,MATCH($C319,rngCadetNames,0)),"?"))</f>
        <v/>
      </c>
      <c r="E319" s="14" t="n"/>
      <c r="F319" s="15">
        <f>IF($E319="","",IFERROR(INDEX(rngSM_max,MATCH($E319,rngSM_cat,0)),""))</f>
        <v/>
      </c>
      <c r="G319" s="15">
        <f>IF($E319="","",IFERROR(INDEX(rngSM_mode,MATCH($E319,rngSM_cat,0)),""))</f>
        <v/>
      </c>
      <c r="H319" s="15">
        <f>IF($E319="","",IFERROR(INDEX(rngSM_pass,MATCH($E319,rngSM_cat,0)),""))</f>
        <v/>
      </c>
      <c r="I319" s="14" t="n"/>
      <c r="J319" s="14" t="n"/>
      <c r="K319" s="14" t="n"/>
      <c r="L319" s="16" t="n"/>
      <c r="M319" s="14" t="n"/>
      <c r="N319" s="15">
        <f>IF($C319="","",COUNTIFS(nrSK_PID,$D319,nrSK_Cat,$E319))</f>
        <v/>
      </c>
      <c r="O319" s="15">
        <f>IF($C319="","",_xlfn.LET(_xlpm.latest,_xlfn.MAXIFS(nrSK_Att,nrSK_PID,$D319,nrSK_Cat,$E319),_xlpm.res,IF($I319=_xlpm.latest,$J319,""),IF($I319&lt;&gt;_xlpm.latest,"(superseded)",IF(_xlpm.res="","Pending",IF(_xlpm.res="Pass","Qualified",IF(AND(_xlpm.res="Fail",$N319&gt;=$F319),"FAILED OUT","Needs Remediation"))))))</f>
        <v/>
      </c>
      <c r="P319" s="15">
        <f>IF($C319="","",IF($O319="FAILED OUT","Yes","No"))</f>
        <v/>
      </c>
      <c r="Q319" s="14" t="n"/>
    </row>
    <row r="320">
      <c r="B320" s="15">
        <f>IF($C320="","",$D320&amp;"-"&amp;$E320&amp;"-"&amp;$I320)</f>
        <v/>
      </c>
      <c r="C320" s="14" t="n"/>
      <c r="D320" s="15">
        <f>IF($C320="","",IFERROR(INDEX(rngCadetPIDs,MATCH($C320,rngCadetNames,0)),"?"))</f>
        <v/>
      </c>
      <c r="E320" s="14" t="n"/>
      <c r="F320" s="15">
        <f>IF($E320="","",IFERROR(INDEX(rngSM_max,MATCH($E320,rngSM_cat,0)),""))</f>
        <v/>
      </c>
      <c r="G320" s="15">
        <f>IF($E320="","",IFERROR(INDEX(rngSM_mode,MATCH($E320,rngSM_cat,0)),""))</f>
        <v/>
      </c>
      <c r="H320" s="15">
        <f>IF($E320="","",IFERROR(INDEX(rngSM_pass,MATCH($E320,rngSM_cat,0)),""))</f>
        <v/>
      </c>
      <c r="I320" s="14" t="n"/>
      <c r="J320" s="14" t="n"/>
      <c r="K320" s="14" t="n"/>
      <c r="L320" s="16" t="n"/>
      <c r="M320" s="14" t="n"/>
      <c r="N320" s="15">
        <f>IF($C320="","",COUNTIFS(nrSK_PID,$D320,nrSK_Cat,$E320))</f>
        <v/>
      </c>
      <c r="O320" s="15">
        <f>IF($C320="","",_xlfn.LET(_xlpm.latest,_xlfn.MAXIFS(nrSK_Att,nrSK_PID,$D320,nrSK_Cat,$E320),_xlpm.res,IF($I320=_xlpm.latest,$J320,""),IF($I320&lt;&gt;_xlpm.latest,"(superseded)",IF(_xlpm.res="","Pending",IF(_xlpm.res="Pass","Qualified",IF(AND(_xlpm.res="Fail",$N320&gt;=$F320),"FAILED OUT","Needs Remediation"))))))</f>
        <v/>
      </c>
      <c r="P320" s="15">
        <f>IF($C320="","",IF($O320="FAILED OUT","Yes","No"))</f>
        <v/>
      </c>
      <c r="Q320" s="14" t="n"/>
    </row>
    <row r="321">
      <c r="B321" s="15">
        <f>IF($C321="","",$D321&amp;"-"&amp;$E321&amp;"-"&amp;$I321)</f>
        <v/>
      </c>
      <c r="C321" s="14" t="n"/>
      <c r="D321" s="15">
        <f>IF($C321="","",IFERROR(INDEX(rngCadetPIDs,MATCH($C321,rngCadetNames,0)),"?"))</f>
        <v/>
      </c>
      <c r="E321" s="14" t="n"/>
      <c r="F321" s="15">
        <f>IF($E321="","",IFERROR(INDEX(rngSM_max,MATCH($E321,rngSM_cat,0)),""))</f>
        <v/>
      </c>
      <c r="G321" s="15">
        <f>IF($E321="","",IFERROR(INDEX(rngSM_mode,MATCH($E321,rngSM_cat,0)),""))</f>
        <v/>
      </c>
      <c r="H321" s="15">
        <f>IF($E321="","",IFERROR(INDEX(rngSM_pass,MATCH($E321,rngSM_cat,0)),""))</f>
        <v/>
      </c>
      <c r="I321" s="14" t="n"/>
      <c r="J321" s="14" t="n"/>
      <c r="K321" s="14" t="n"/>
      <c r="L321" s="16" t="n"/>
      <c r="M321" s="14" t="n"/>
      <c r="N321" s="15">
        <f>IF($C321="","",COUNTIFS(nrSK_PID,$D321,nrSK_Cat,$E321))</f>
        <v/>
      </c>
      <c r="O321" s="15">
        <f>IF($C321="","",_xlfn.LET(_xlpm.latest,_xlfn.MAXIFS(nrSK_Att,nrSK_PID,$D321,nrSK_Cat,$E321),_xlpm.res,IF($I321=_xlpm.latest,$J321,""),IF($I321&lt;&gt;_xlpm.latest,"(superseded)",IF(_xlpm.res="","Pending",IF(_xlpm.res="Pass","Qualified",IF(AND(_xlpm.res="Fail",$N321&gt;=$F321),"FAILED OUT","Needs Remediation"))))))</f>
        <v/>
      </c>
      <c r="P321" s="15">
        <f>IF($C321="","",IF($O321="FAILED OUT","Yes","No"))</f>
        <v/>
      </c>
      <c r="Q321" s="14" t="n"/>
    </row>
    <row r="322">
      <c r="B322" s="15">
        <f>IF($C322="","",$D322&amp;"-"&amp;$E322&amp;"-"&amp;$I322)</f>
        <v/>
      </c>
      <c r="C322" s="14" t="n"/>
      <c r="D322" s="15">
        <f>IF($C322="","",IFERROR(INDEX(rngCadetPIDs,MATCH($C322,rngCadetNames,0)),"?"))</f>
        <v/>
      </c>
      <c r="E322" s="14" t="n"/>
      <c r="F322" s="15">
        <f>IF($E322="","",IFERROR(INDEX(rngSM_max,MATCH($E322,rngSM_cat,0)),""))</f>
        <v/>
      </c>
      <c r="G322" s="15">
        <f>IF($E322="","",IFERROR(INDEX(rngSM_mode,MATCH($E322,rngSM_cat,0)),""))</f>
        <v/>
      </c>
      <c r="H322" s="15">
        <f>IF($E322="","",IFERROR(INDEX(rngSM_pass,MATCH($E322,rngSM_cat,0)),""))</f>
        <v/>
      </c>
      <c r="I322" s="14" t="n"/>
      <c r="J322" s="14" t="n"/>
      <c r="K322" s="14" t="n"/>
      <c r="L322" s="16" t="n"/>
      <c r="M322" s="14" t="n"/>
      <c r="N322" s="15">
        <f>IF($C322="","",COUNTIFS(nrSK_PID,$D322,nrSK_Cat,$E322))</f>
        <v/>
      </c>
      <c r="O322" s="15">
        <f>IF($C322="","",_xlfn.LET(_xlpm.latest,_xlfn.MAXIFS(nrSK_Att,nrSK_PID,$D322,nrSK_Cat,$E322),_xlpm.res,IF($I322=_xlpm.latest,$J322,""),IF($I322&lt;&gt;_xlpm.latest,"(superseded)",IF(_xlpm.res="","Pending",IF(_xlpm.res="Pass","Qualified",IF(AND(_xlpm.res="Fail",$N322&gt;=$F322),"FAILED OUT","Needs Remediation"))))))</f>
        <v/>
      </c>
      <c r="P322" s="15">
        <f>IF($C322="","",IF($O322="FAILED OUT","Yes","No"))</f>
        <v/>
      </c>
      <c r="Q322" s="14" t="n"/>
    </row>
    <row r="323">
      <c r="B323" s="15">
        <f>IF($C323="","",$D323&amp;"-"&amp;$E323&amp;"-"&amp;$I323)</f>
        <v/>
      </c>
      <c r="C323" s="14" t="n"/>
      <c r="D323" s="15">
        <f>IF($C323="","",IFERROR(INDEX(rngCadetPIDs,MATCH($C323,rngCadetNames,0)),"?"))</f>
        <v/>
      </c>
      <c r="E323" s="14" t="n"/>
      <c r="F323" s="15">
        <f>IF($E323="","",IFERROR(INDEX(rngSM_max,MATCH($E323,rngSM_cat,0)),""))</f>
        <v/>
      </c>
      <c r="G323" s="15">
        <f>IF($E323="","",IFERROR(INDEX(rngSM_mode,MATCH($E323,rngSM_cat,0)),""))</f>
        <v/>
      </c>
      <c r="H323" s="15">
        <f>IF($E323="","",IFERROR(INDEX(rngSM_pass,MATCH($E323,rngSM_cat,0)),""))</f>
        <v/>
      </c>
      <c r="I323" s="14" t="n"/>
      <c r="J323" s="14" t="n"/>
      <c r="K323" s="14" t="n"/>
      <c r="L323" s="16" t="n"/>
      <c r="M323" s="14" t="n"/>
      <c r="N323" s="15">
        <f>IF($C323="","",COUNTIFS(nrSK_PID,$D323,nrSK_Cat,$E323))</f>
        <v/>
      </c>
      <c r="O323" s="15">
        <f>IF($C323="","",_xlfn.LET(_xlpm.latest,_xlfn.MAXIFS(nrSK_Att,nrSK_PID,$D323,nrSK_Cat,$E323),_xlpm.res,IF($I323=_xlpm.latest,$J323,""),IF($I323&lt;&gt;_xlpm.latest,"(superseded)",IF(_xlpm.res="","Pending",IF(_xlpm.res="Pass","Qualified",IF(AND(_xlpm.res="Fail",$N323&gt;=$F323),"FAILED OUT","Needs Remediation"))))))</f>
        <v/>
      </c>
      <c r="P323" s="15">
        <f>IF($C323="","",IF($O323="FAILED OUT","Yes","No"))</f>
        <v/>
      </c>
      <c r="Q323" s="14" t="n"/>
    </row>
    <row r="324">
      <c r="B324" s="15">
        <f>IF($C324="","",$D324&amp;"-"&amp;$E324&amp;"-"&amp;$I324)</f>
        <v/>
      </c>
      <c r="C324" s="14" t="n"/>
      <c r="D324" s="15">
        <f>IF($C324="","",IFERROR(INDEX(rngCadetPIDs,MATCH($C324,rngCadetNames,0)),"?"))</f>
        <v/>
      </c>
      <c r="E324" s="14" t="n"/>
      <c r="F324" s="15">
        <f>IF($E324="","",IFERROR(INDEX(rngSM_max,MATCH($E324,rngSM_cat,0)),""))</f>
        <v/>
      </c>
      <c r="G324" s="15">
        <f>IF($E324="","",IFERROR(INDEX(rngSM_mode,MATCH($E324,rngSM_cat,0)),""))</f>
        <v/>
      </c>
      <c r="H324" s="15">
        <f>IF($E324="","",IFERROR(INDEX(rngSM_pass,MATCH($E324,rngSM_cat,0)),""))</f>
        <v/>
      </c>
      <c r="I324" s="14" t="n"/>
      <c r="J324" s="14" t="n"/>
      <c r="K324" s="14" t="n"/>
      <c r="L324" s="16" t="n"/>
      <c r="M324" s="14" t="n"/>
      <c r="N324" s="15">
        <f>IF($C324="","",COUNTIFS(nrSK_PID,$D324,nrSK_Cat,$E324))</f>
        <v/>
      </c>
      <c r="O324" s="15">
        <f>IF($C324="","",_xlfn.LET(_xlpm.latest,_xlfn.MAXIFS(nrSK_Att,nrSK_PID,$D324,nrSK_Cat,$E324),_xlpm.res,IF($I324=_xlpm.latest,$J324,""),IF($I324&lt;&gt;_xlpm.latest,"(superseded)",IF(_xlpm.res="","Pending",IF(_xlpm.res="Pass","Qualified",IF(AND(_xlpm.res="Fail",$N324&gt;=$F324),"FAILED OUT","Needs Remediation"))))))</f>
        <v/>
      </c>
      <c r="P324" s="15">
        <f>IF($C324="","",IF($O324="FAILED OUT","Yes","No"))</f>
        <v/>
      </c>
      <c r="Q324" s="14" t="n"/>
    </row>
    <row r="325">
      <c r="B325" s="15">
        <f>IF($C325="","",$D325&amp;"-"&amp;$E325&amp;"-"&amp;$I325)</f>
        <v/>
      </c>
      <c r="C325" s="14" t="n"/>
      <c r="D325" s="15">
        <f>IF($C325="","",IFERROR(INDEX(rngCadetPIDs,MATCH($C325,rngCadetNames,0)),"?"))</f>
        <v/>
      </c>
      <c r="E325" s="14" t="n"/>
      <c r="F325" s="15">
        <f>IF($E325="","",IFERROR(INDEX(rngSM_max,MATCH($E325,rngSM_cat,0)),""))</f>
        <v/>
      </c>
      <c r="G325" s="15">
        <f>IF($E325="","",IFERROR(INDEX(rngSM_mode,MATCH($E325,rngSM_cat,0)),""))</f>
        <v/>
      </c>
      <c r="H325" s="15">
        <f>IF($E325="","",IFERROR(INDEX(rngSM_pass,MATCH($E325,rngSM_cat,0)),""))</f>
        <v/>
      </c>
      <c r="I325" s="14" t="n"/>
      <c r="J325" s="14" t="n"/>
      <c r="K325" s="14" t="n"/>
      <c r="L325" s="16" t="n"/>
      <c r="M325" s="14" t="n"/>
      <c r="N325" s="15">
        <f>IF($C325="","",COUNTIFS(nrSK_PID,$D325,nrSK_Cat,$E325))</f>
        <v/>
      </c>
      <c r="O325" s="15">
        <f>IF($C325="","",_xlfn.LET(_xlpm.latest,_xlfn.MAXIFS(nrSK_Att,nrSK_PID,$D325,nrSK_Cat,$E325),_xlpm.res,IF($I325=_xlpm.latest,$J325,""),IF($I325&lt;&gt;_xlpm.latest,"(superseded)",IF(_xlpm.res="","Pending",IF(_xlpm.res="Pass","Qualified",IF(AND(_xlpm.res="Fail",$N325&gt;=$F325),"FAILED OUT","Needs Remediation"))))))</f>
        <v/>
      </c>
      <c r="P325" s="15">
        <f>IF($C325="","",IF($O325="FAILED OUT","Yes","No"))</f>
        <v/>
      </c>
      <c r="Q325" s="14" t="n"/>
    </row>
    <row r="326">
      <c r="B326" s="15">
        <f>IF($C326="","",$D326&amp;"-"&amp;$E326&amp;"-"&amp;$I326)</f>
        <v/>
      </c>
      <c r="C326" s="14" t="n"/>
      <c r="D326" s="15">
        <f>IF($C326="","",IFERROR(INDEX(rngCadetPIDs,MATCH($C326,rngCadetNames,0)),"?"))</f>
        <v/>
      </c>
      <c r="E326" s="14" t="n"/>
      <c r="F326" s="15">
        <f>IF($E326="","",IFERROR(INDEX(rngSM_max,MATCH($E326,rngSM_cat,0)),""))</f>
        <v/>
      </c>
      <c r="G326" s="15">
        <f>IF($E326="","",IFERROR(INDEX(rngSM_mode,MATCH($E326,rngSM_cat,0)),""))</f>
        <v/>
      </c>
      <c r="H326" s="15">
        <f>IF($E326="","",IFERROR(INDEX(rngSM_pass,MATCH($E326,rngSM_cat,0)),""))</f>
        <v/>
      </c>
      <c r="I326" s="14" t="n"/>
      <c r="J326" s="14" t="n"/>
      <c r="K326" s="14" t="n"/>
      <c r="L326" s="16" t="n"/>
      <c r="M326" s="14" t="n"/>
      <c r="N326" s="15">
        <f>IF($C326="","",COUNTIFS(nrSK_PID,$D326,nrSK_Cat,$E326))</f>
        <v/>
      </c>
      <c r="O326" s="15">
        <f>IF($C326="","",_xlfn.LET(_xlpm.latest,_xlfn.MAXIFS(nrSK_Att,nrSK_PID,$D326,nrSK_Cat,$E326),_xlpm.res,IF($I326=_xlpm.latest,$J326,""),IF($I326&lt;&gt;_xlpm.latest,"(superseded)",IF(_xlpm.res="","Pending",IF(_xlpm.res="Pass","Qualified",IF(AND(_xlpm.res="Fail",$N326&gt;=$F326),"FAILED OUT","Needs Remediation"))))))</f>
        <v/>
      </c>
      <c r="P326" s="15">
        <f>IF($C326="","",IF($O326="FAILED OUT","Yes","No"))</f>
        <v/>
      </c>
      <c r="Q326" s="14" t="n"/>
    </row>
    <row r="327">
      <c r="B327" s="15">
        <f>IF($C327="","",$D327&amp;"-"&amp;$E327&amp;"-"&amp;$I327)</f>
        <v/>
      </c>
      <c r="C327" s="14" t="n"/>
      <c r="D327" s="15">
        <f>IF($C327="","",IFERROR(INDEX(rngCadetPIDs,MATCH($C327,rngCadetNames,0)),"?"))</f>
        <v/>
      </c>
      <c r="E327" s="14" t="n"/>
      <c r="F327" s="15">
        <f>IF($E327="","",IFERROR(INDEX(rngSM_max,MATCH($E327,rngSM_cat,0)),""))</f>
        <v/>
      </c>
      <c r="G327" s="15">
        <f>IF($E327="","",IFERROR(INDEX(rngSM_mode,MATCH($E327,rngSM_cat,0)),""))</f>
        <v/>
      </c>
      <c r="H327" s="15">
        <f>IF($E327="","",IFERROR(INDEX(rngSM_pass,MATCH($E327,rngSM_cat,0)),""))</f>
        <v/>
      </c>
      <c r="I327" s="14" t="n"/>
      <c r="J327" s="14" t="n"/>
      <c r="K327" s="14" t="n"/>
      <c r="L327" s="16" t="n"/>
      <c r="M327" s="14" t="n"/>
      <c r="N327" s="15">
        <f>IF($C327="","",COUNTIFS(nrSK_PID,$D327,nrSK_Cat,$E327))</f>
        <v/>
      </c>
      <c r="O327" s="15">
        <f>IF($C327="","",_xlfn.LET(_xlpm.latest,_xlfn.MAXIFS(nrSK_Att,nrSK_PID,$D327,nrSK_Cat,$E327),_xlpm.res,IF($I327=_xlpm.latest,$J327,""),IF($I327&lt;&gt;_xlpm.latest,"(superseded)",IF(_xlpm.res="","Pending",IF(_xlpm.res="Pass","Qualified",IF(AND(_xlpm.res="Fail",$N327&gt;=$F327),"FAILED OUT","Needs Remediation"))))))</f>
        <v/>
      </c>
      <c r="P327" s="15">
        <f>IF($C327="","",IF($O327="FAILED OUT","Yes","No"))</f>
        <v/>
      </c>
      <c r="Q327" s="14" t="n"/>
    </row>
    <row r="328">
      <c r="B328" s="15">
        <f>IF($C328="","",$D328&amp;"-"&amp;$E328&amp;"-"&amp;$I328)</f>
        <v/>
      </c>
      <c r="C328" s="14" t="n"/>
      <c r="D328" s="15">
        <f>IF($C328="","",IFERROR(INDEX(rngCadetPIDs,MATCH($C328,rngCadetNames,0)),"?"))</f>
        <v/>
      </c>
      <c r="E328" s="14" t="n"/>
      <c r="F328" s="15">
        <f>IF($E328="","",IFERROR(INDEX(rngSM_max,MATCH($E328,rngSM_cat,0)),""))</f>
        <v/>
      </c>
      <c r="G328" s="15">
        <f>IF($E328="","",IFERROR(INDEX(rngSM_mode,MATCH($E328,rngSM_cat,0)),""))</f>
        <v/>
      </c>
      <c r="H328" s="15">
        <f>IF($E328="","",IFERROR(INDEX(rngSM_pass,MATCH($E328,rngSM_cat,0)),""))</f>
        <v/>
      </c>
      <c r="I328" s="14" t="n"/>
      <c r="J328" s="14" t="n"/>
      <c r="K328" s="14" t="n"/>
      <c r="L328" s="16" t="n"/>
      <c r="M328" s="14" t="n"/>
      <c r="N328" s="15">
        <f>IF($C328="","",COUNTIFS(nrSK_PID,$D328,nrSK_Cat,$E328))</f>
        <v/>
      </c>
      <c r="O328" s="15">
        <f>IF($C328="","",_xlfn.LET(_xlpm.latest,_xlfn.MAXIFS(nrSK_Att,nrSK_PID,$D328,nrSK_Cat,$E328),_xlpm.res,IF($I328=_xlpm.latest,$J328,""),IF($I328&lt;&gt;_xlpm.latest,"(superseded)",IF(_xlpm.res="","Pending",IF(_xlpm.res="Pass","Qualified",IF(AND(_xlpm.res="Fail",$N328&gt;=$F328),"FAILED OUT","Needs Remediation"))))))</f>
        <v/>
      </c>
      <c r="P328" s="15">
        <f>IF($C328="","",IF($O328="FAILED OUT","Yes","No"))</f>
        <v/>
      </c>
      <c r="Q328" s="14" t="n"/>
    </row>
    <row r="329">
      <c r="B329" s="15">
        <f>IF($C329="","",$D329&amp;"-"&amp;$E329&amp;"-"&amp;$I329)</f>
        <v/>
      </c>
      <c r="C329" s="14" t="n"/>
      <c r="D329" s="15">
        <f>IF($C329="","",IFERROR(INDEX(rngCadetPIDs,MATCH($C329,rngCadetNames,0)),"?"))</f>
        <v/>
      </c>
      <c r="E329" s="14" t="n"/>
      <c r="F329" s="15">
        <f>IF($E329="","",IFERROR(INDEX(rngSM_max,MATCH($E329,rngSM_cat,0)),""))</f>
        <v/>
      </c>
      <c r="G329" s="15">
        <f>IF($E329="","",IFERROR(INDEX(rngSM_mode,MATCH($E329,rngSM_cat,0)),""))</f>
        <v/>
      </c>
      <c r="H329" s="15">
        <f>IF($E329="","",IFERROR(INDEX(rngSM_pass,MATCH($E329,rngSM_cat,0)),""))</f>
        <v/>
      </c>
      <c r="I329" s="14" t="n"/>
      <c r="J329" s="14" t="n"/>
      <c r="K329" s="14" t="n"/>
      <c r="L329" s="16" t="n"/>
      <c r="M329" s="14" t="n"/>
      <c r="N329" s="15">
        <f>IF($C329="","",COUNTIFS(nrSK_PID,$D329,nrSK_Cat,$E329))</f>
        <v/>
      </c>
      <c r="O329" s="15">
        <f>IF($C329="","",_xlfn.LET(_xlpm.latest,_xlfn.MAXIFS(nrSK_Att,nrSK_PID,$D329,nrSK_Cat,$E329),_xlpm.res,IF($I329=_xlpm.latest,$J329,""),IF($I329&lt;&gt;_xlpm.latest,"(superseded)",IF(_xlpm.res="","Pending",IF(_xlpm.res="Pass","Qualified",IF(AND(_xlpm.res="Fail",$N329&gt;=$F329),"FAILED OUT","Needs Remediation"))))))</f>
        <v/>
      </c>
      <c r="P329" s="15">
        <f>IF($C329="","",IF($O329="FAILED OUT","Yes","No"))</f>
        <v/>
      </c>
      <c r="Q329" s="14" t="n"/>
    </row>
    <row r="330">
      <c r="B330" s="15">
        <f>IF($C330="","",$D330&amp;"-"&amp;$E330&amp;"-"&amp;$I330)</f>
        <v/>
      </c>
      <c r="C330" s="14" t="n"/>
      <c r="D330" s="15">
        <f>IF($C330="","",IFERROR(INDEX(rngCadetPIDs,MATCH($C330,rngCadetNames,0)),"?"))</f>
        <v/>
      </c>
      <c r="E330" s="14" t="n"/>
      <c r="F330" s="15">
        <f>IF($E330="","",IFERROR(INDEX(rngSM_max,MATCH($E330,rngSM_cat,0)),""))</f>
        <v/>
      </c>
      <c r="G330" s="15">
        <f>IF($E330="","",IFERROR(INDEX(rngSM_mode,MATCH($E330,rngSM_cat,0)),""))</f>
        <v/>
      </c>
      <c r="H330" s="15">
        <f>IF($E330="","",IFERROR(INDEX(rngSM_pass,MATCH($E330,rngSM_cat,0)),""))</f>
        <v/>
      </c>
      <c r="I330" s="14" t="n"/>
      <c r="J330" s="14" t="n"/>
      <c r="K330" s="14" t="n"/>
      <c r="L330" s="16" t="n"/>
      <c r="M330" s="14" t="n"/>
      <c r="N330" s="15">
        <f>IF($C330="","",COUNTIFS(nrSK_PID,$D330,nrSK_Cat,$E330))</f>
        <v/>
      </c>
      <c r="O330" s="15">
        <f>IF($C330="","",_xlfn.LET(_xlpm.latest,_xlfn.MAXIFS(nrSK_Att,nrSK_PID,$D330,nrSK_Cat,$E330),_xlpm.res,IF($I330=_xlpm.latest,$J330,""),IF($I330&lt;&gt;_xlpm.latest,"(superseded)",IF(_xlpm.res="","Pending",IF(_xlpm.res="Pass","Qualified",IF(AND(_xlpm.res="Fail",$N330&gt;=$F330),"FAILED OUT","Needs Remediation"))))))</f>
        <v/>
      </c>
      <c r="P330" s="15">
        <f>IF($C330="","",IF($O330="FAILED OUT","Yes","No"))</f>
        <v/>
      </c>
      <c r="Q330" s="14" t="n"/>
    </row>
    <row r="331">
      <c r="B331" s="15">
        <f>IF($C331="","",$D331&amp;"-"&amp;$E331&amp;"-"&amp;$I331)</f>
        <v/>
      </c>
      <c r="C331" s="14" t="n"/>
      <c r="D331" s="15">
        <f>IF($C331="","",IFERROR(INDEX(rngCadetPIDs,MATCH($C331,rngCadetNames,0)),"?"))</f>
        <v/>
      </c>
      <c r="E331" s="14" t="n"/>
      <c r="F331" s="15">
        <f>IF($E331="","",IFERROR(INDEX(rngSM_max,MATCH($E331,rngSM_cat,0)),""))</f>
        <v/>
      </c>
      <c r="G331" s="15">
        <f>IF($E331="","",IFERROR(INDEX(rngSM_mode,MATCH($E331,rngSM_cat,0)),""))</f>
        <v/>
      </c>
      <c r="H331" s="15">
        <f>IF($E331="","",IFERROR(INDEX(rngSM_pass,MATCH($E331,rngSM_cat,0)),""))</f>
        <v/>
      </c>
      <c r="I331" s="14" t="n"/>
      <c r="J331" s="14" t="n"/>
      <c r="K331" s="14" t="n"/>
      <c r="L331" s="16" t="n"/>
      <c r="M331" s="14" t="n"/>
      <c r="N331" s="15">
        <f>IF($C331="","",COUNTIFS(nrSK_PID,$D331,nrSK_Cat,$E331))</f>
        <v/>
      </c>
      <c r="O331" s="15">
        <f>IF($C331="","",_xlfn.LET(_xlpm.latest,_xlfn.MAXIFS(nrSK_Att,nrSK_PID,$D331,nrSK_Cat,$E331),_xlpm.res,IF($I331=_xlpm.latest,$J331,""),IF($I331&lt;&gt;_xlpm.latest,"(superseded)",IF(_xlpm.res="","Pending",IF(_xlpm.res="Pass","Qualified",IF(AND(_xlpm.res="Fail",$N331&gt;=$F331),"FAILED OUT","Needs Remediation"))))))</f>
        <v/>
      </c>
      <c r="P331" s="15">
        <f>IF($C331="","",IF($O331="FAILED OUT","Yes","No"))</f>
        <v/>
      </c>
      <c r="Q331" s="14" t="n"/>
    </row>
    <row r="332">
      <c r="B332" s="15">
        <f>IF($C332="","",$D332&amp;"-"&amp;$E332&amp;"-"&amp;$I332)</f>
        <v/>
      </c>
      <c r="C332" s="14" t="n"/>
      <c r="D332" s="15">
        <f>IF($C332="","",IFERROR(INDEX(rngCadetPIDs,MATCH($C332,rngCadetNames,0)),"?"))</f>
        <v/>
      </c>
      <c r="E332" s="14" t="n"/>
      <c r="F332" s="15">
        <f>IF($E332="","",IFERROR(INDEX(rngSM_max,MATCH($E332,rngSM_cat,0)),""))</f>
        <v/>
      </c>
      <c r="G332" s="15">
        <f>IF($E332="","",IFERROR(INDEX(rngSM_mode,MATCH($E332,rngSM_cat,0)),""))</f>
        <v/>
      </c>
      <c r="H332" s="15">
        <f>IF($E332="","",IFERROR(INDEX(rngSM_pass,MATCH($E332,rngSM_cat,0)),""))</f>
        <v/>
      </c>
      <c r="I332" s="14" t="n"/>
      <c r="J332" s="14" t="n"/>
      <c r="K332" s="14" t="n"/>
      <c r="L332" s="16" t="n"/>
      <c r="M332" s="14" t="n"/>
      <c r="N332" s="15">
        <f>IF($C332="","",COUNTIFS(nrSK_PID,$D332,nrSK_Cat,$E332))</f>
        <v/>
      </c>
      <c r="O332" s="15">
        <f>IF($C332="","",_xlfn.LET(_xlpm.latest,_xlfn.MAXIFS(nrSK_Att,nrSK_PID,$D332,nrSK_Cat,$E332),_xlpm.res,IF($I332=_xlpm.latest,$J332,""),IF($I332&lt;&gt;_xlpm.latest,"(superseded)",IF(_xlpm.res="","Pending",IF(_xlpm.res="Pass","Qualified",IF(AND(_xlpm.res="Fail",$N332&gt;=$F332),"FAILED OUT","Needs Remediation"))))))</f>
        <v/>
      </c>
      <c r="P332" s="15">
        <f>IF($C332="","",IF($O332="FAILED OUT","Yes","No"))</f>
        <v/>
      </c>
      <c r="Q332" s="14" t="n"/>
    </row>
    <row r="333">
      <c r="B333" s="15">
        <f>IF($C333="","",$D333&amp;"-"&amp;$E333&amp;"-"&amp;$I333)</f>
        <v/>
      </c>
      <c r="C333" s="14" t="n"/>
      <c r="D333" s="15">
        <f>IF($C333="","",IFERROR(INDEX(rngCadetPIDs,MATCH($C333,rngCadetNames,0)),"?"))</f>
        <v/>
      </c>
      <c r="E333" s="14" t="n"/>
      <c r="F333" s="15">
        <f>IF($E333="","",IFERROR(INDEX(rngSM_max,MATCH($E333,rngSM_cat,0)),""))</f>
        <v/>
      </c>
      <c r="G333" s="15">
        <f>IF($E333="","",IFERROR(INDEX(rngSM_mode,MATCH($E333,rngSM_cat,0)),""))</f>
        <v/>
      </c>
      <c r="H333" s="15">
        <f>IF($E333="","",IFERROR(INDEX(rngSM_pass,MATCH($E333,rngSM_cat,0)),""))</f>
        <v/>
      </c>
      <c r="I333" s="14" t="n"/>
      <c r="J333" s="14" t="n"/>
      <c r="K333" s="14" t="n"/>
      <c r="L333" s="16" t="n"/>
      <c r="M333" s="14" t="n"/>
      <c r="N333" s="15">
        <f>IF($C333="","",COUNTIFS(nrSK_PID,$D333,nrSK_Cat,$E333))</f>
        <v/>
      </c>
      <c r="O333" s="15">
        <f>IF($C333="","",_xlfn.LET(_xlpm.latest,_xlfn.MAXIFS(nrSK_Att,nrSK_PID,$D333,nrSK_Cat,$E333),_xlpm.res,IF($I333=_xlpm.latest,$J333,""),IF($I333&lt;&gt;_xlpm.latest,"(superseded)",IF(_xlpm.res="","Pending",IF(_xlpm.res="Pass","Qualified",IF(AND(_xlpm.res="Fail",$N333&gt;=$F333),"FAILED OUT","Needs Remediation"))))))</f>
        <v/>
      </c>
      <c r="P333" s="15">
        <f>IF($C333="","",IF($O333="FAILED OUT","Yes","No"))</f>
        <v/>
      </c>
      <c r="Q333" s="14" t="n"/>
    </row>
    <row r="334">
      <c r="B334" s="15">
        <f>IF($C334="","",$D334&amp;"-"&amp;$E334&amp;"-"&amp;$I334)</f>
        <v/>
      </c>
      <c r="C334" s="14" t="n"/>
      <c r="D334" s="15">
        <f>IF($C334="","",IFERROR(INDEX(rngCadetPIDs,MATCH($C334,rngCadetNames,0)),"?"))</f>
        <v/>
      </c>
      <c r="E334" s="14" t="n"/>
      <c r="F334" s="15">
        <f>IF($E334="","",IFERROR(INDEX(rngSM_max,MATCH($E334,rngSM_cat,0)),""))</f>
        <v/>
      </c>
      <c r="G334" s="15">
        <f>IF($E334="","",IFERROR(INDEX(rngSM_mode,MATCH($E334,rngSM_cat,0)),""))</f>
        <v/>
      </c>
      <c r="H334" s="15">
        <f>IF($E334="","",IFERROR(INDEX(rngSM_pass,MATCH($E334,rngSM_cat,0)),""))</f>
        <v/>
      </c>
      <c r="I334" s="14" t="n"/>
      <c r="J334" s="14" t="n"/>
      <c r="K334" s="14" t="n"/>
      <c r="L334" s="16" t="n"/>
      <c r="M334" s="14" t="n"/>
      <c r="N334" s="15">
        <f>IF($C334="","",COUNTIFS(nrSK_PID,$D334,nrSK_Cat,$E334))</f>
        <v/>
      </c>
      <c r="O334" s="15">
        <f>IF($C334="","",_xlfn.LET(_xlpm.latest,_xlfn.MAXIFS(nrSK_Att,nrSK_PID,$D334,nrSK_Cat,$E334),_xlpm.res,IF($I334=_xlpm.latest,$J334,""),IF($I334&lt;&gt;_xlpm.latest,"(superseded)",IF(_xlpm.res="","Pending",IF(_xlpm.res="Pass","Qualified",IF(AND(_xlpm.res="Fail",$N334&gt;=$F334),"FAILED OUT","Needs Remediation"))))))</f>
        <v/>
      </c>
      <c r="P334" s="15">
        <f>IF($C334="","",IF($O334="FAILED OUT","Yes","No"))</f>
        <v/>
      </c>
      <c r="Q334" s="14" t="n"/>
    </row>
    <row r="335">
      <c r="B335" s="15">
        <f>IF($C335="","",$D335&amp;"-"&amp;$E335&amp;"-"&amp;$I335)</f>
        <v/>
      </c>
      <c r="C335" s="14" t="n"/>
      <c r="D335" s="15">
        <f>IF($C335="","",IFERROR(INDEX(rngCadetPIDs,MATCH($C335,rngCadetNames,0)),"?"))</f>
        <v/>
      </c>
      <c r="E335" s="14" t="n"/>
      <c r="F335" s="15">
        <f>IF($E335="","",IFERROR(INDEX(rngSM_max,MATCH($E335,rngSM_cat,0)),""))</f>
        <v/>
      </c>
      <c r="G335" s="15">
        <f>IF($E335="","",IFERROR(INDEX(rngSM_mode,MATCH($E335,rngSM_cat,0)),""))</f>
        <v/>
      </c>
      <c r="H335" s="15">
        <f>IF($E335="","",IFERROR(INDEX(rngSM_pass,MATCH($E335,rngSM_cat,0)),""))</f>
        <v/>
      </c>
      <c r="I335" s="14" t="n"/>
      <c r="J335" s="14" t="n"/>
      <c r="K335" s="14" t="n"/>
      <c r="L335" s="16" t="n"/>
      <c r="M335" s="14" t="n"/>
      <c r="N335" s="15">
        <f>IF($C335="","",COUNTIFS(nrSK_PID,$D335,nrSK_Cat,$E335))</f>
        <v/>
      </c>
      <c r="O335" s="15">
        <f>IF($C335="","",_xlfn.LET(_xlpm.latest,_xlfn.MAXIFS(nrSK_Att,nrSK_PID,$D335,nrSK_Cat,$E335),_xlpm.res,IF($I335=_xlpm.latest,$J335,""),IF($I335&lt;&gt;_xlpm.latest,"(superseded)",IF(_xlpm.res="","Pending",IF(_xlpm.res="Pass","Qualified",IF(AND(_xlpm.res="Fail",$N335&gt;=$F335),"FAILED OUT","Needs Remediation"))))))</f>
        <v/>
      </c>
      <c r="P335" s="15">
        <f>IF($C335="","",IF($O335="FAILED OUT","Yes","No"))</f>
        <v/>
      </c>
      <c r="Q335" s="14" t="n"/>
    </row>
    <row r="336">
      <c r="B336" s="15">
        <f>IF($C336="","",$D336&amp;"-"&amp;$E336&amp;"-"&amp;$I336)</f>
        <v/>
      </c>
      <c r="C336" s="14" t="n"/>
      <c r="D336" s="15">
        <f>IF($C336="","",IFERROR(INDEX(rngCadetPIDs,MATCH($C336,rngCadetNames,0)),"?"))</f>
        <v/>
      </c>
      <c r="E336" s="14" t="n"/>
      <c r="F336" s="15">
        <f>IF($E336="","",IFERROR(INDEX(rngSM_max,MATCH($E336,rngSM_cat,0)),""))</f>
        <v/>
      </c>
      <c r="G336" s="15">
        <f>IF($E336="","",IFERROR(INDEX(rngSM_mode,MATCH($E336,rngSM_cat,0)),""))</f>
        <v/>
      </c>
      <c r="H336" s="15">
        <f>IF($E336="","",IFERROR(INDEX(rngSM_pass,MATCH($E336,rngSM_cat,0)),""))</f>
        <v/>
      </c>
      <c r="I336" s="14" t="n"/>
      <c r="J336" s="14" t="n"/>
      <c r="K336" s="14" t="n"/>
      <c r="L336" s="16" t="n"/>
      <c r="M336" s="14" t="n"/>
      <c r="N336" s="15">
        <f>IF($C336="","",COUNTIFS(nrSK_PID,$D336,nrSK_Cat,$E336))</f>
        <v/>
      </c>
      <c r="O336" s="15">
        <f>IF($C336="","",_xlfn.LET(_xlpm.latest,_xlfn.MAXIFS(nrSK_Att,nrSK_PID,$D336,nrSK_Cat,$E336),_xlpm.res,IF($I336=_xlpm.latest,$J336,""),IF($I336&lt;&gt;_xlpm.latest,"(superseded)",IF(_xlpm.res="","Pending",IF(_xlpm.res="Pass","Qualified",IF(AND(_xlpm.res="Fail",$N336&gt;=$F336),"FAILED OUT","Needs Remediation"))))))</f>
        <v/>
      </c>
      <c r="P336" s="15">
        <f>IF($C336="","",IF($O336="FAILED OUT","Yes","No"))</f>
        <v/>
      </c>
      <c r="Q336" s="14" t="n"/>
    </row>
    <row r="337">
      <c r="B337" s="15">
        <f>IF($C337="","",$D337&amp;"-"&amp;$E337&amp;"-"&amp;$I337)</f>
        <v/>
      </c>
      <c r="C337" s="14" t="n"/>
      <c r="D337" s="15">
        <f>IF($C337="","",IFERROR(INDEX(rngCadetPIDs,MATCH($C337,rngCadetNames,0)),"?"))</f>
        <v/>
      </c>
      <c r="E337" s="14" t="n"/>
      <c r="F337" s="15">
        <f>IF($E337="","",IFERROR(INDEX(rngSM_max,MATCH($E337,rngSM_cat,0)),""))</f>
        <v/>
      </c>
      <c r="G337" s="15">
        <f>IF($E337="","",IFERROR(INDEX(rngSM_mode,MATCH($E337,rngSM_cat,0)),""))</f>
        <v/>
      </c>
      <c r="H337" s="15">
        <f>IF($E337="","",IFERROR(INDEX(rngSM_pass,MATCH($E337,rngSM_cat,0)),""))</f>
        <v/>
      </c>
      <c r="I337" s="14" t="n"/>
      <c r="J337" s="14" t="n"/>
      <c r="K337" s="14" t="n"/>
      <c r="L337" s="16" t="n"/>
      <c r="M337" s="14" t="n"/>
      <c r="N337" s="15">
        <f>IF($C337="","",COUNTIFS(nrSK_PID,$D337,nrSK_Cat,$E337))</f>
        <v/>
      </c>
      <c r="O337" s="15">
        <f>IF($C337="","",_xlfn.LET(_xlpm.latest,_xlfn.MAXIFS(nrSK_Att,nrSK_PID,$D337,nrSK_Cat,$E337),_xlpm.res,IF($I337=_xlpm.latest,$J337,""),IF($I337&lt;&gt;_xlpm.latest,"(superseded)",IF(_xlpm.res="","Pending",IF(_xlpm.res="Pass","Qualified",IF(AND(_xlpm.res="Fail",$N337&gt;=$F337),"FAILED OUT","Needs Remediation"))))))</f>
        <v/>
      </c>
      <c r="P337" s="15">
        <f>IF($C337="","",IF($O337="FAILED OUT","Yes","No"))</f>
        <v/>
      </c>
      <c r="Q337" s="14" t="n"/>
    </row>
    <row r="338">
      <c r="B338" s="15">
        <f>IF($C338="","",$D338&amp;"-"&amp;$E338&amp;"-"&amp;$I338)</f>
        <v/>
      </c>
      <c r="C338" s="14" t="n"/>
      <c r="D338" s="15">
        <f>IF($C338="","",IFERROR(INDEX(rngCadetPIDs,MATCH($C338,rngCadetNames,0)),"?"))</f>
        <v/>
      </c>
      <c r="E338" s="14" t="n"/>
      <c r="F338" s="15">
        <f>IF($E338="","",IFERROR(INDEX(rngSM_max,MATCH($E338,rngSM_cat,0)),""))</f>
        <v/>
      </c>
      <c r="G338" s="15">
        <f>IF($E338="","",IFERROR(INDEX(rngSM_mode,MATCH($E338,rngSM_cat,0)),""))</f>
        <v/>
      </c>
      <c r="H338" s="15">
        <f>IF($E338="","",IFERROR(INDEX(rngSM_pass,MATCH($E338,rngSM_cat,0)),""))</f>
        <v/>
      </c>
      <c r="I338" s="14" t="n"/>
      <c r="J338" s="14" t="n"/>
      <c r="K338" s="14" t="n"/>
      <c r="L338" s="16" t="n"/>
      <c r="M338" s="14" t="n"/>
      <c r="N338" s="15">
        <f>IF($C338="","",COUNTIFS(nrSK_PID,$D338,nrSK_Cat,$E338))</f>
        <v/>
      </c>
      <c r="O338" s="15">
        <f>IF($C338="","",_xlfn.LET(_xlpm.latest,_xlfn.MAXIFS(nrSK_Att,nrSK_PID,$D338,nrSK_Cat,$E338),_xlpm.res,IF($I338=_xlpm.latest,$J338,""),IF($I338&lt;&gt;_xlpm.latest,"(superseded)",IF(_xlpm.res="","Pending",IF(_xlpm.res="Pass","Qualified",IF(AND(_xlpm.res="Fail",$N338&gt;=$F338),"FAILED OUT","Needs Remediation"))))))</f>
        <v/>
      </c>
      <c r="P338" s="15">
        <f>IF($C338="","",IF($O338="FAILED OUT","Yes","No"))</f>
        <v/>
      </c>
      <c r="Q338" s="14" t="n"/>
    </row>
    <row r="339">
      <c r="B339" s="15">
        <f>IF($C339="","",$D339&amp;"-"&amp;$E339&amp;"-"&amp;$I339)</f>
        <v/>
      </c>
      <c r="C339" s="14" t="n"/>
      <c r="D339" s="15">
        <f>IF($C339="","",IFERROR(INDEX(rngCadetPIDs,MATCH($C339,rngCadetNames,0)),"?"))</f>
        <v/>
      </c>
      <c r="E339" s="14" t="n"/>
      <c r="F339" s="15">
        <f>IF($E339="","",IFERROR(INDEX(rngSM_max,MATCH($E339,rngSM_cat,0)),""))</f>
        <v/>
      </c>
      <c r="G339" s="15">
        <f>IF($E339="","",IFERROR(INDEX(rngSM_mode,MATCH($E339,rngSM_cat,0)),""))</f>
        <v/>
      </c>
      <c r="H339" s="15">
        <f>IF($E339="","",IFERROR(INDEX(rngSM_pass,MATCH($E339,rngSM_cat,0)),""))</f>
        <v/>
      </c>
      <c r="I339" s="14" t="n"/>
      <c r="J339" s="14" t="n"/>
      <c r="K339" s="14" t="n"/>
      <c r="L339" s="16" t="n"/>
      <c r="M339" s="14" t="n"/>
      <c r="N339" s="15">
        <f>IF($C339="","",COUNTIFS(nrSK_PID,$D339,nrSK_Cat,$E339))</f>
        <v/>
      </c>
      <c r="O339" s="15">
        <f>IF($C339="","",_xlfn.LET(_xlpm.latest,_xlfn.MAXIFS(nrSK_Att,nrSK_PID,$D339,nrSK_Cat,$E339),_xlpm.res,IF($I339=_xlpm.latest,$J339,""),IF($I339&lt;&gt;_xlpm.latest,"(superseded)",IF(_xlpm.res="","Pending",IF(_xlpm.res="Pass","Qualified",IF(AND(_xlpm.res="Fail",$N339&gt;=$F339),"FAILED OUT","Needs Remediation"))))))</f>
        <v/>
      </c>
      <c r="P339" s="15">
        <f>IF($C339="","",IF($O339="FAILED OUT","Yes","No"))</f>
        <v/>
      </c>
      <c r="Q339" s="14" t="n"/>
    </row>
    <row r="340">
      <c r="B340" s="15">
        <f>IF($C340="","",$D340&amp;"-"&amp;$E340&amp;"-"&amp;$I340)</f>
        <v/>
      </c>
      <c r="C340" s="14" t="n"/>
      <c r="D340" s="15">
        <f>IF($C340="","",IFERROR(INDEX(rngCadetPIDs,MATCH($C340,rngCadetNames,0)),"?"))</f>
        <v/>
      </c>
      <c r="E340" s="14" t="n"/>
      <c r="F340" s="15">
        <f>IF($E340="","",IFERROR(INDEX(rngSM_max,MATCH($E340,rngSM_cat,0)),""))</f>
        <v/>
      </c>
      <c r="G340" s="15">
        <f>IF($E340="","",IFERROR(INDEX(rngSM_mode,MATCH($E340,rngSM_cat,0)),""))</f>
        <v/>
      </c>
      <c r="H340" s="15">
        <f>IF($E340="","",IFERROR(INDEX(rngSM_pass,MATCH($E340,rngSM_cat,0)),""))</f>
        <v/>
      </c>
      <c r="I340" s="14" t="n"/>
      <c r="J340" s="14" t="n"/>
      <c r="K340" s="14" t="n"/>
      <c r="L340" s="16" t="n"/>
      <c r="M340" s="14" t="n"/>
      <c r="N340" s="15">
        <f>IF($C340="","",COUNTIFS(nrSK_PID,$D340,nrSK_Cat,$E340))</f>
        <v/>
      </c>
      <c r="O340" s="15">
        <f>IF($C340="","",_xlfn.LET(_xlpm.latest,_xlfn.MAXIFS(nrSK_Att,nrSK_PID,$D340,nrSK_Cat,$E340),_xlpm.res,IF($I340=_xlpm.latest,$J340,""),IF($I340&lt;&gt;_xlpm.latest,"(superseded)",IF(_xlpm.res="","Pending",IF(_xlpm.res="Pass","Qualified",IF(AND(_xlpm.res="Fail",$N340&gt;=$F340),"FAILED OUT","Needs Remediation"))))))</f>
        <v/>
      </c>
      <c r="P340" s="15">
        <f>IF($C340="","",IF($O340="FAILED OUT","Yes","No"))</f>
        <v/>
      </c>
      <c r="Q340" s="14" t="n"/>
    </row>
    <row r="341">
      <c r="B341" s="15">
        <f>IF($C341="","",$D341&amp;"-"&amp;$E341&amp;"-"&amp;$I341)</f>
        <v/>
      </c>
      <c r="C341" s="14" t="n"/>
      <c r="D341" s="15">
        <f>IF($C341="","",IFERROR(INDEX(rngCadetPIDs,MATCH($C341,rngCadetNames,0)),"?"))</f>
        <v/>
      </c>
      <c r="E341" s="14" t="n"/>
      <c r="F341" s="15">
        <f>IF($E341="","",IFERROR(INDEX(rngSM_max,MATCH($E341,rngSM_cat,0)),""))</f>
        <v/>
      </c>
      <c r="G341" s="15">
        <f>IF($E341="","",IFERROR(INDEX(rngSM_mode,MATCH($E341,rngSM_cat,0)),""))</f>
        <v/>
      </c>
      <c r="H341" s="15">
        <f>IF($E341="","",IFERROR(INDEX(rngSM_pass,MATCH($E341,rngSM_cat,0)),""))</f>
        <v/>
      </c>
      <c r="I341" s="14" t="n"/>
      <c r="J341" s="14" t="n"/>
      <c r="K341" s="14" t="n"/>
      <c r="L341" s="16" t="n"/>
      <c r="M341" s="14" t="n"/>
      <c r="N341" s="15">
        <f>IF($C341="","",COUNTIFS(nrSK_PID,$D341,nrSK_Cat,$E341))</f>
        <v/>
      </c>
      <c r="O341" s="15">
        <f>IF($C341="","",_xlfn.LET(_xlpm.latest,_xlfn.MAXIFS(nrSK_Att,nrSK_PID,$D341,nrSK_Cat,$E341),_xlpm.res,IF($I341=_xlpm.latest,$J341,""),IF($I341&lt;&gt;_xlpm.latest,"(superseded)",IF(_xlpm.res="","Pending",IF(_xlpm.res="Pass","Qualified",IF(AND(_xlpm.res="Fail",$N341&gt;=$F341),"FAILED OUT","Needs Remediation"))))))</f>
        <v/>
      </c>
      <c r="P341" s="15">
        <f>IF($C341="","",IF($O341="FAILED OUT","Yes","No"))</f>
        <v/>
      </c>
      <c r="Q341" s="14" t="n"/>
    </row>
    <row r="342">
      <c r="B342" s="15">
        <f>IF($C342="","",$D342&amp;"-"&amp;$E342&amp;"-"&amp;$I342)</f>
        <v/>
      </c>
      <c r="C342" s="14" t="n"/>
      <c r="D342" s="15">
        <f>IF($C342="","",IFERROR(INDEX(rngCadetPIDs,MATCH($C342,rngCadetNames,0)),"?"))</f>
        <v/>
      </c>
      <c r="E342" s="14" t="n"/>
      <c r="F342" s="15">
        <f>IF($E342="","",IFERROR(INDEX(rngSM_max,MATCH($E342,rngSM_cat,0)),""))</f>
        <v/>
      </c>
      <c r="G342" s="15">
        <f>IF($E342="","",IFERROR(INDEX(rngSM_mode,MATCH($E342,rngSM_cat,0)),""))</f>
        <v/>
      </c>
      <c r="H342" s="15">
        <f>IF($E342="","",IFERROR(INDEX(rngSM_pass,MATCH($E342,rngSM_cat,0)),""))</f>
        <v/>
      </c>
      <c r="I342" s="14" t="n"/>
      <c r="J342" s="14" t="n"/>
      <c r="K342" s="14" t="n"/>
      <c r="L342" s="16" t="n"/>
      <c r="M342" s="14" t="n"/>
      <c r="N342" s="15">
        <f>IF($C342="","",COUNTIFS(nrSK_PID,$D342,nrSK_Cat,$E342))</f>
        <v/>
      </c>
      <c r="O342" s="15">
        <f>IF($C342="","",_xlfn.LET(_xlpm.latest,_xlfn.MAXIFS(nrSK_Att,nrSK_PID,$D342,nrSK_Cat,$E342),_xlpm.res,IF($I342=_xlpm.latest,$J342,""),IF($I342&lt;&gt;_xlpm.latest,"(superseded)",IF(_xlpm.res="","Pending",IF(_xlpm.res="Pass","Qualified",IF(AND(_xlpm.res="Fail",$N342&gt;=$F342),"FAILED OUT","Needs Remediation"))))))</f>
        <v/>
      </c>
      <c r="P342" s="15">
        <f>IF($C342="","",IF($O342="FAILED OUT","Yes","No"))</f>
        <v/>
      </c>
      <c r="Q342" s="14" t="n"/>
    </row>
    <row r="343">
      <c r="B343" s="15">
        <f>IF($C343="","",$D343&amp;"-"&amp;$E343&amp;"-"&amp;$I343)</f>
        <v/>
      </c>
      <c r="C343" s="14" t="n"/>
      <c r="D343" s="15">
        <f>IF($C343="","",IFERROR(INDEX(rngCadetPIDs,MATCH($C343,rngCadetNames,0)),"?"))</f>
        <v/>
      </c>
      <c r="E343" s="14" t="n"/>
      <c r="F343" s="15">
        <f>IF($E343="","",IFERROR(INDEX(rngSM_max,MATCH($E343,rngSM_cat,0)),""))</f>
        <v/>
      </c>
      <c r="G343" s="15">
        <f>IF($E343="","",IFERROR(INDEX(rngSM_mode,MATCH($E343,rngSM_cat,0)),""))</f>
        <v/>
      </c>
      <c r="H343" s="15">
        <f>IF($E343="","",IFERROR(INDEX(rngSM_pass,MATCH($E343,rngSM_cat,0)),""))</f>
        <v/>
      </c>
      <c r="I343" s="14" t="n"/>
      <c r="J343" s="14" t="n"/>
      <c r="K343" s="14" t="n"/>
      <c r="L343" s="16" t="n"/>
      <c r="M343" s="14" t="n"/>
      <c r="N343" s="15">
        <f>IF($C343="","",COUNTIFS(nrSK_PID,$D343,nrSK_Cat,$E343))</f>
        <v/>
      </c>
      <c r="O343" s="15">
        <f>IF($C343="","",_xlfn.LET(_xlpm.latest,_xlfn.MAXIFS(nrSK_Att,nrSK_PID,$D343,nrSK_Cat,$E343),_xlpm.res,IF($I343=_xlpm.latest,$J343,""),IF($I343&lt;&gt;_xlpm.latest,"(superseded)",IF(_xlpm.res="","Pending",IF(_xlpm.res="Pass","Qualified",IF(AND(_xlpm.res="Fail",$N343&gt;=$F343),"FAILED OUT","Needs Remediation"))))))</f>
        <v/>
      </c>
      <c r="P343" s="15">
        <f>IF($C343="","",IF($O343="FAILED OUT","Yes","No"))</f>
        <v/>
      </c>
      <c r="Q343" s="14" t="n"/>
    </row>
    <row r="344">
      <c r="B344" s="15">
        <f>IF($C344="","",$D344&amp;"-"&amp;$E344&amp;"-"&amp;$I344)</f>
        <v/>
      </c>
      <c r="C344" s="14" t="n"/>
      <c r="D344" s="15">
        <f>IF($C344="","",IFERROR(INDEX(rngCadetPIDs,MATCH($C344,rngCadetNames,0)),"?"))</f>
        <v/>
      </c>
      <c r="E344" s="14" t="n"/>
      <c r="F344" s="15">
        <f>IF($E344="","",IFERROR(INDEX(rngSM_max,MATCH($E344,rngSM_cat,0)),""))</f>
        <v/>
      </c>
      <c r="G344" s="15">
        <f>IF($E344="","",IFERROR(INDEX(rngSM_mode,MATCH($E344,rngSM_cat,0)),""))</f>
        <v/>
      </c>
      <c r="H344" s="15">
        <f>IF($E344="","",IFERROR(INDEX(rngSM_pass,MATCH($E344,rngSM_cat,0)),""))</f>
        <v/>
      </c>
      <c r="I344" s="14" t="n"/>
      <c r="J344" s="14" t="n"/>
      <c r="K344" s="14" t="n"/>
      <c r="L344" s="16" t="n"/>
      <c r="M344" s="14" t="n"/>
      <c r="N344" s="15">
        <f>IF($C344="","",COUNTIFS(nrSK_PID,$D344,nrSK_Cat,$E344))</f>
        <v/>
      </c>
      <c r="O344" s="15">
        <f>IF($C344="","",_xlfn.LET(_xlpm.latest,_xlfn.MAXIFS(nrSK_Att,nrSK_PID,$D344,nrSK_Cat,$E344),_xlpm.res,IF($I344=_xlpm.latest,$J344,""),IF($I344&lt;&gt;_xlpm.latest,"(superseded)",IF(_xlpm.res="","Pending",IF(_xlpm.res="Pass","Qualified",IF(AND(_xlpm.res="Fail",$N344&gt;=$F344),"FAILED OUT","Needs Remediation"))))))</f>
        <v/>
      </c>
      <c r="P344" s="15">
        <f>IF($C344="","",IF($O344="FAILED OUT","Yes","No"))</f>
        <v/>
      </c>
      <c r="Q344" s="14" t="n"/>
    </row>
    <row r="345">
      <c r="B345" s="15">
        <f>IF($C345="","",$D345&amp;"-"&amp;$E345&amp;"-"&amp;$I345)</f>
        <v/>
      </c>
      <c r="C345" s="14" t="n"/>
      <c r="D345" s="15">
        <f>IF($C345="","",IFERROR(INDEX(rngCadetPIDs,MATCH($C345,rngCadetNames,0)),"?"))</f>
        <v/>
      </c>
      <c r="E345" s="14" t="n"/>
      <c r="F345" s="15">
        <f>IF($E345="","",IFERROR(INDEX(rngSM_max,MATCH($E345,rngSM_cat,0)),""))</f>
        <v/>
      </c>
      <c r="G345" s="15">
        <f>IF($E345="","",IFERROR(INDEX(rngSM_mode,MATCH($E345,rngSM_cat,0)),""))</f>
        <v/>
      </c>
      <c r="H345" s="15">
        <f>IF($E345="","",IFERROR(INDEX(rngSM_pass,MATCH($E345,rngSM_cat,0)),""))</f>
        <v/>
      </c>
      <c r="I345" s="14" t="n"/>
      <c r="J345" s="14" t="n"/>
      <c r="K345" s="14" t="n"/>
      <c r="L345" s="16" t="n"/>
      <c r="M345" s="14" t="n"/>
      <c r="N345" s="15">
        <f>IF($C345="","",COUNTIFS(nrSK_PID,$D345,nrSK_Cat,$E345))</f>
        <v/>
      </c>
      <c r="O345" s="15">
        <f>IF($C345="","",_xlfn.LET(_xlpm.latest,_xlfn.MAXIFS(nrSK_Att,nrSK_PID,$D345,nrSK_Cat,$E345),_xlpm.res,IF($I345=_xlpm.latest,$J345,""),IF($I345&lt;&gt;_xlpm.latest,"(superseded)",IF(_xlpm.res="","Pending",IF(_xlpm.res="Pass","Qualified",IF(AND(_xlpm.res="Fail",$N345&gt;=$F345),"FAILED OUT","Needs Remediation"))))))</f>
        <v/>
      </c>
      <c r="P345" s="15">
        <f>IF($C345="","",IF($O345="FAILED OUT","Yes","No"))</f>
        <v/>
      </c>
      <c r="Q345" s="14" t="n"/>
    </row>
    <row r="346">
      <c r="B346" s="15">
        <f>IF($C346="","",$D346&amp;"-"&amp;$E346&amp;"-"&amp;$I346)</f>
        <v/>
      </c>
      <c r="C346" s="14" t="n"/>
      <c r="D346" s="15">
        <f>IF($C346="","",IFERROR(INDEX(rngCadetPIDs,MATCH($C346,rngCadetNames,0)),"?"))</f>
        <v/>
      </c>
      <c r="E346" s="14" t="n"/>
      <c r="F346" s="15">
        <f>IF($E346="","",IFERROR(INDEX(rngSM_max,MATCH($E346,rngSM_cat,0)),""))</f>
        <v/>
      </c>
      <c r="G346" s="15">
        <f>IF($E346="","",IFERROR(INDEX(rngSM_mode,MATCH($E346,rngSM_cat,0)),""))</f>
        <v/>
      </c>
      <c r="H346" s="15">
        <f>IF($E346="","",IFERROR(INDEX(rngSM_pass,MATCH($E346,rngSM_cat,0)),""))</f>
        <v/>
      </c>
      <c r="I346" s="14" t="n"/>
      <c r="J346" s="14" t="n"/>
      <c r="K346" s="14" t="n"/>
      <c r="L346" s="16" t="n"/>
      <c r="M346" s="14" t="n"/>
      <c r="N346" s="15">
        <f>IF($C346="","",COUNTIFS(nrSK_PID,$D346,nrSK_Cat,$E346))</f>
        <v/>
      </c>
      <c r="O346" s="15">
        <f>IF($C346="","",_xlfn.LET(_xlpm.latest,_xlfn.MAXIFS(nrSK_Att,nrSK_PID,$D346,nrSK_Cat,$E346),_xlpm.res,IF($I346=_xlpm.latest,$J346,""),IF($I346&lt;&gt;_xlpm.latest,"(superseded)",IF(_xlpm.res="","Pending",IF(_xlpm.res="Pass","Qualified",IF(AND(_xlpm.res="Fail",$N346&gt;=$F346),"FAILED OUT","Needs Remediation"))))))</f>
        <v/>
      </c>
      <c r="P346" s="15">
        <f>IF($C346="","",IF($O346="FAILED OUT","Yes","No"))</f>
        <v/>
      </c>
      <c r="Q346" s="14" t="n"/>
    </row>
    <row r="347">
      <c r="B347" s="15">
        <f>IF($C347="","",$D347&amp;"-"&amp;$E347&amp;"-"&amp;$I347)</f>
        <v/>
      </c>
      <c r="C347" s="14" t="n"/>
      <c r="D347" s="15">
        <f>IF($C347="","",IFERROR(INDEX(rngCadetPIDs,MATCH($C347,rngCadetNames,0)),"?"))</f>
        <v/>
      </c>
      <c r="E347" s="14" t="n"/>
      <c r="F347" s="15">
        <f>IF($E347="","",IFERROR(INDEX(rngSM_max,MATCH($E347,rngSM_cat,0)),""))</f>
        <v/>
      </c>
      <c r="G347" s="15">
        <f>IF($E347="","",IFERROR(INDEX(rngSM_mode,MATCH($E347,rngSM_cat,0)),""))</f>
        <v/>
      </c>
      <c r="H347" s="15">
        <f>IF($E347="","",IFERROR(INDEX(rngSM_pass,MATCH($E347,rngSM_cat,0)),""))</f>
        <v/>
      </c>
      <c r="I347" s="14" t="n"/>
      <c r="J347" s="14" t="n"/>
      <c r="K347" s="14" t="n"/>
      <c r="L347" s="16" t="n"/>
      <c r="M347" s="14" t="n"/>
      <c r="N347" s="15">
        <f>IF($C347="","",COUNTIFS(nrSK_PID,$D347,nrSK_Cat,$E347))</f>
        <v/>
      </c>
      <c r="O347" s="15">
        <f>IF($C347="","",_xlfn.LET(_xlpm.latest,_xlfn.MAXIFS(nrSK_Att,nrSK_PID,$D347,nrSK_Cat,$E347),_xlpm.res,IF($I347=_xlpm.latest,$J347,""),IF($I347&lt;&gt;_xlpm.latest,"(superseded)",IF(_xlpm.res="","Pending",IF(_xlpm.res="Pass","Qualified",IF(AND(_xlpm.res="Fail",$N347&gt;=$F347),"FAILED OUT","Needs Remediation"))))))</f>
        <v/>
      </c>
      <c r="P347" s="15">
        <f>IF($C347="","",IF($O347="FAILED OUT","Yes","No"))</f>
        <v/>
      </c>
      <c r="Q347" s="14" t="n"/>
    </row>
    <row r="348">
      <c r="B348" s="15">
        <f>IF($C348="","",$D348&amp;"-"&amp;$E348&amp;"-"&amp;$I348)</f>
        <v/>
      </c>
      <c r="C348" s="14" t="n"/>
      <c r="D348" s="15">
        <f>IF($C348="","",IFERROR(INDEX(rngCadetPIDs,MATCH($C348,rngCadetNames,0)),"?"))</f>
        <v/>
      </c>
      <c r="E348" s="14" t="n"/>
      <c r="F348" s="15">
        <f>IF($E348="","",IFERROR(INDEX(rngSM_max,MATCH($E348,rngSM_cat,0)),""))</f>
        <v/>
      </c>
      <c r="G348" s="15">
        <f>IF($E348="","",IFERROR(INDEX(rngSM_mode,MATCH($E348,rngSM_cat,0)),""))</f>
        <v/>
      </c>
      <c r="H348" s="15">
        <f>IF($E348="","",IFERROR(INDEX(rngSM_pass,MATCH($E348,rngSM_cat,0)),""))</f>
        <v/>
      </c>
      <c r="I348" s="14" t="n"/>
      <c r="J348" s="14" t="n"/>
      <c r="K348" s="14" t="n"/>
      <c r="L348" s="16" t="n"/>
      <c r="M348" s="14" t="n"/>
      <c r="N348" s="15">
        <f>IF($C348="","",COUNTIFS(nrSK_PID,$D348,nrSK_Cat,$E348))</f>
        <v/>
      </c>
      <c r="O348" s="15">
        <f>IF($C348="","",_xlfn.LET(_xlpm.latest,_xlfn.MAXIFS(nrSK_Att,nrSK_PID,$D348,nrSK_Cat,$E348),_xlpm.res,IF($I348=_xlpm.latest,$J348,""),IF($I348&lt;&gt;_xlpm.latest,"(superseded)",IF(_xlpm.res="","Pending",IF(_xlpm.res="Pass","Qualified",IF(AND(_xlpm.res="Fail",$N348&gt;=$F348),"FAILED OUT","Needs Remediation"))))))</f>
        <v/>
      </c>
      <c r="P348" s="15">
        <f>IF($C348="","",IF($O348="FAILED OUT","Yes","No"))</f>
        <v/>
      </c>
      <c r="Q348" s="14" t="n"/>
    </row>
    <row r="349">
      <c r="B349" s="15">
        <f>IF($C349="","",$D349&amp;"-"&amp;$E349&amp;"-"&amp;$I349)</f>
        <v/>
      </c>
      <c r="C349" s="14" t="n"/>
      <c r="D349" s="15">
        <f>IF($C349="","",IFERROR(INDEX(rngCadetPIDs,MATCH($C349,rngCadetNames,0)),"?"))</f>
        <v/>
      </c>
      <c r="E349" s="14" t="n"/>
      <c r="F349" s="15">
        <f>IF($E349="","",IFERROR(INDEX(rngSM_max,MATCH($E349,rngSM_cat,0)),""))</f>
        <v/>
      </c>
      <c r="G349" s="15">
        <f>IF($E349="","",IFERROR(INDEX(rngSM_mode,MATCH($E349,rngSM_cat,0)),""))</f>
        <v/>
      </c>
      <c r="H349" s="15">
        <f>IF($E349="","",IFERROR(INDEX(rngSM_pass,MATCH($E349,rngSM_cat,0)),""))</f>
        <v/>
      </c>
      <c r="I349" s="14" t="n"/>
      <c r="J349" s="14" t="n"/>
      <c r="K349" s="14" t="n"/>
      <c r="L349" s="16" t="n"/>
      <c r="M349" s="14" t="n"/>
      <c r="N349" s="15">
        <f>IF($C349="","",COUNTIFS(nrSK_PID,$D349,nrSK_Cat,$E349))</f>
        <v/>
      </c>
      <c r="O349" s="15">
        <f>IF($C349="","",_xlfn.LET(_xlpm.latest,_xlfn.MAXIFS(nrSK_Att,nrSK_PID,$D349,nrSK_Cat,$E349),_xlpm.res,IF($I349=_xlpm.latest,$J349,""),IF($I349&lt;&gt;_xlpm.latest,"(superseded)",IF(_xlpm.res="","Pending",IF(_xlpm.res="Pass","Qualified",IF(AND(_xlpm.res="Fail",$N349&gt;=$F349),"FAILED OUT","Needs Remediation"))))))</f>
        <v/>
      </c>
      <c r="P349" s="15">
        <f>IF($C349="","",IF($O349="FAILED OUT","Yes","No"))</f>
        <v/>
      </c>
      <c r="Q349" s="14" t="n"/>
    </row>
    <row r="350">
      <c r="B350" s="15">
        <f>IF($C350="","",$D350&amp;"-"&amp;$E350&amp;"-"&amp;$I350)</f>
        <v/>
      </c>
      <c r="C350" s="14" t="n"/>
      <c r="D350" s="15">
        <f>IF($C350="","",IFERROR(INDEX(rngCadetPIDs,MATCH($C350,rngCadetNames,0)),"?"))</f>
        <v/>
      </c>
      <c r="E350" s="14" t="n"/>
      <c r="F350" s="15">
        <f>IF($E350="","",IFERROR(INDEX(rngSM_max,MATCH($E350,rngSM_cat,0)),""))</f>
        <v/>
      </c>
      <c r="G350" s="15">
        <f>IF($E350="","",IFERROR(INDEX(rngSM_mode,MATCH($E350,rngSM_cat,0)),""))</f>
        <v/>
      </c>
      <c r="H350" s="15">
        <f>IF($E350="","",IFERROR(INDEX(rngSM_pass,MATCH($E350,rngSM_cat,0)),""))</f>
        <v/>
      </c>
      <c r="I350" s="14" t="n"/>
      <c r="J350" s="14" t="n"/>
      <c r="K350" s="14" t="n"/>
      <c r="L350" s="16" t="n"/>
      <c r="M350" s="14" t="n"/>
      <c r="N350" s="15">
        <f>IF($C350="","",COUNTIFS(nrSK_PID,$D350,nrSK_Cat,$E350))</f>
        <v/>
      </c>
      <c r="O350" s="15">
        <f>IF($C350="","",_xlfn.LET(_xlpm.latest,_xlfn.MAXIFS(nrSK_Att,nrSK_PID,$D350,nrSK_Cat,$E350),_xlpm.res,IF($I350=_xlpm.latest,$J350,""),IF($I350&lt;&gt;_xlpm.latest,"(superseded)",IF(_xlpm.res="","Pending",IF(_xlpm.res="Pass","Qualified",IF(AND(_xlpm.res="Fail",$N350&gt;=$F350),"FAILED OUT","Needs Remediation"))))))</f>
        <v/>
      </c>
      <c r="P350" s="15">
        <f>IF($C350="","",IF($O350="FAILED OUT","Yes","No"))</f>
        <v/>
      </c>
      <c r="Q350" s="14" t="n"/>
    </row>
    <row r="351">
      <c r="B351" s="15">
        <f>IF($C351="","",$D351&amp;"-"&amp;$E351&amp;"-"&amp;$I351)</f>
        <v/>
      </c>
      <c r="C351" s="14" t="n"/>
      <c r="D351" s="15">
        <f>IF($C351="","",IFERROR(INDEX(rngCadetPIDs,MATCH($C351,rngCadetNames,0)),"?"))</f>
        <v/>
      </c>
      <c r="E351" s="14" t="n"/>
      <c r="F351" s="15">
        <f>IF($E351="","",IFERROR(INDEX(rngSM_max,MATCH($E351,rngSM_cat,0)),""))</f>
        <v/>
      </c>
      <c r="G351" s="15">
        <f>IF($E351="","",IFERROR(INDEX(rngSM_mode,MATCH($E351,rngSM_cat,0)),""))</f>
        <v/>
      </c>
      <c r="H351" s="15">
        <f>IF($E351="","",IFERROR(INDEX(rngSM_pass,MATCH($E351,rngSM_cat,0)),""))</f>
        <v/>
      </c>
      <c r="I351" s="14" t="n"/>
      <c r="J351" s="14" t="n"/>
      <c r="K351" s="14" t="n"/>
      <c r="L351" s="16" t="n"/>
      <c r="M351" s="14" t="n"/>
      <c r="N351" s="15">
        <f>IF($C351="","",COUNTIFS(nrSK_PID,$D351,nrSK_Cat,$E351))</f>
        <v/>
      </c>
      <c r="O351" s="15">
        <f>IF($C351="","",_xlfn.LET(_xlpm.latest,_xlfn.MAXIFS(nrSK_Att,nrSK_PID,$D351,nrSK_Cat,$E351),_xlpm.res,IF($I351=_xlpm.latest,$J351,""),IF($I351&lt;&gt;_xlpm.latest,"(superseded)",IF(_xlpm.res="","Pending",IF(_xlpm.res="Pass","Qualified",IF(AND(_xlpm.res="Fail",$N351&gt;=$F351),"FAILED OUT","Needs Remediation"))))))</f>
        <v/>
      </c>
      <c r="P351" s="15">
        <f>IF($C351="","",IF($O351="FAILED OUT","Yes","No"))</f>
        <v/>
      </c>
      <c r="Q351" s="14" t="n"/>
    </row>
    <row r="352">
      <c r="B352" s="15">
        <f>IF($C352="","",$D352&amp;"-"&amp;$E352&amp;"-"&amp;$I352)</f>
        <v/>
      </c>
      <c r="C352" s="14" t="n"/>
      <c r="D352" s="15">
        <f>IF($C352="","",IFERROR(INDEX(rngCadetPIDs,MATCH($C352,rngCadetNames,0)),"?"))</f>
        <v/>
      </c>
      <c r="E352" s="14" t="n"/>
      <c r="F352" s="15">
        <f>IF($E352="","",IFERROR(INDEX(rngSM_max,MATCH($E352,rngSM_cat,0)),""))</f>
        <v/>
      </c>
      <c r="G352" s="15">
        <f>IF($E352="","",IFERROR(INDEX(rngSM_mode,MATCH($E352,rngSM_cat,0)),""))</f>
        <v/>
      </c>
      <c r="H352" s="15">
        <f>IF($E352="","",IFERROR(INDEX(rngSM_pass,MATCH($E352,rngSM_cat,0)),""))</f>
        <v/>
      </c>
      <c r="I352" s="14" t="n"/>
      <c r="J352" s="14" t="n"/>
      <c r="K352" s="14" t="n"/>
      <c r="L352" s="16" t="n"/>
      <c r="M352" s="14" t="n"/>
      <c r="N352" s="15">
        <f>IF($C352="","",COUNTIFS(nrSK_PID,$D352,nrSK_Cat,$E352))</f>
        <v/>
      </c>
      <c r="O352" s="15">
        <f>IF($C352="","",_xlfn.LET(_xlpm.latest,_xlfn.MAXIFS(nrSK_Att,nrSK_PID,$D352,nrSK_Cat,$E352),_xlpm.res,IF($I352=_xlpm.latest,$J352,""),IF($I352&lt;&gt;_xlpm.latest,"(superseded)",IF(_xlpm.res="","Pending",IF(_xlpm.res="Pass","Qualified",IF(AND(_xlpm.res="Fail",$N352&gt;=$F352),"FAILED OUT","Needs Remediation"))))))</f>
        <v/>
      </c>
      <c r="P352" s="15">
        <f>IF($C352="","",IF($O352="FAILED OUT","Yes","No"))</f>
        <v/>
      </c>
      <c r="Q352" s="14" t="n"/>
    </row>
    <row r="353">
      <c r="B353" s="15">
        <f>IF($C353="","",$D353&amp;"-"&amp;$E353&amp;"-"&amp;$I353)</f>
        <v/>
      </c>
      <c r="C353" s="14" t="n"/>
      <c r="D353" s="15">
        <f>IF($C353="","",IFERROR(INDEX(rngCadetPIDs,MATCH($C353,rngCadetNames,0)),"?"))</f>
        <v/>
      </c>
      <c r="E353" s="14" t="n"/>
      <c r="F353" s="15">
        <f>IF($E353="","",IFERROR(INDEX(rngSM_max,MATCH($E353,rngSM_cat,0)),""))</f>
        <v/>
      </c>
      <c r="G353" s="15">
        <f>IF($E353="","",IFERROR(INDEX(rngSM_mode,MATCH($E353,rngSM_cat,0)),""))</f>
        <v/>
      </c>
      <c r="H353" s="15">
        <f>IF($E353="","",IFERROR(INDEX(rngSM_pass,MATCH($E353,rngSM_cat,0)),""))</f>
        <v/>
      </c>
      <c r="I353" s="14" t="n"/>
      <c r="J353" s="14" t="n"/>
      <c r="K353" s="14" t="n"/>
      <c r="L353" s="16" t="n"/>
      <c r="M353" s="14" t="n"/>
      <c r="N353" s="15">
        <f>IF($C353="","",COUNTIFS(nrSK_PID,$D353,nrSK_Cat,$E353))</f>
        <v/>
      </c>
      <c r="O353" s="15">
        <f>IF($C353="","",_xlfn.LET(_xlpm.latest,_xlfn.MAXIFS(nrSK_Att,nrSK_PID,$D353,nrSK_Cat,$E353),_xlpm.res,IF($I353=_xlpm.latest,$J353,""),IF($I353&lt;&gt;_xlpm.latest,"(superseded)",IF(_xlpm.res="","Pending",IF(_xlpm.res="Pass","Qualified",IF(AND(_xlpm.res="Fail",$N353&gt;=$F353),"FAILED OUT","Needs Remediation"))))))</f>
        <v/>
      </c>
      <c r="P353" s="15">
        <f>IF($C353="","",IF($O353="FAILED OUT","Yes","No"))</f>
        <v/>
      </c>
      <c r="Q353" s="14" t="n"/>
    </row>
    <row r="354">
      <c r="B354" s="15">
        <f>IF($C354="","",$D354&amp;"-"&amp;$E354&amp;"-"&amp;$I354)</f>
        <v/>
      </c>
      <c r="C354" s="14" t="n"/>
      <c r="D354" s="15">
        <f>IF($C354="","",IFERROR(INDEX(rngCadetPIDs,MATCH($C354,rngCadetNames,0)),"?"))</f>
        <v/>
      </c>
      <c r="E354" s="14" t="n"/>
      <c r="F354" s="15">
        <f>IF($E354="","",IFERROR(INDEX(rngSM_max,MATCH($E354,rngSM_cat,0)),""))</f>
        <v/>
      </c>
      <c r="G354" s="15">
        <f>IF($E354="","",IFERROR(INDEX(rngSM_mode,MATCH($E354,rngSM_cat,0)),""))</f>
        <v/>
      </c>
      <c r="H354" s="15">
        <f>IF($E354="","",IFERROR(INDEX(rngSM_pass,MATCH($E354,rngSM_cat,0)),""))</f>
        <v/>
      </c>
      <c r="I354" s="14" t="n"/>
      <c r="J354" s="14" t="n"/>
      <c r="K354" s="14" t="n"/>
      <c r="L354" s="16" t="n"/>
      <c r="M354" s="14" t="n"/>
      <c r="N354" s="15">
        <f>IF($C354="","",COUNTIFS(nrSK_PID,$D354,nrSK_Cat,$E354))</f>
        <v/>
      </c>
      <c r="O354" s="15">
        <f>IF($C354="","",_xlfn.LET(_xlpm.latest,_xlfn.MAXIFS(nrSK_Att,nrSK_PID,$D354,nrSK_Cat,$E354),_xlpm.res,IF($I354=_xlpm.latest,$J354,""),IF($I354&lt;&gt;_xlpm.latest,"(superseded)",IF(_xlpm.res="","Pending",IF(_xlpm.res="Pass","Qualified",IF(AND(_xlpm.res="Fail",$N354&gt;=$F354),"FAILED OUT","Needs Remediation"))))))</f>
        <v/>
      </c>
      <c r="P354" s="15">
        <f>IF($C354="","",IF($O354="FAILED OUT","Yes","No"))</f>
        <v/>
      </c>
      <c r="Q354" s="14" t="n"/>
    </row>
    <row r="355">
      <c r="B355" s="15">
        <f>IF($C355="","",$D355&amp;"-"&amp;$E355&amp;"-"&amp;$I355)</f>
        <v/>
      </c>
      <c r="C355" s="14" t="n"/>
      <c r="D355" s="15">
        <f>IF($C355="","",IFERROR(INDEX(rngCadetPIDs,MATCH($C355,rngCadetNames,0)),"?"))</f>
        <v/>
      </c>
      <c r="E355" s="14" t="n"/>
      <c r="F355" s="15">
        <f>IF($E355="","",IFERROR(INDEX(rngSM_max,MATCH($E355,rngSM_cat,0)),""))</f>
        <v/>
      </c>
      <c r="G355" s="15">
        <f>IF($E355="","",IFERROR(INDEX(rngSM_mode,MATCH($E355,rngSM_cat,0)),""))</f>
        <v/>
      </c>
      <c r="H355" s="15">
        <f>IF($E355="","",IFERROR(INDEX(rngSM_pass,MATCH($E355,rngSM_cat,0)),""))</f>
        <v/>
      </c>
      <c r="I355" s="14" t="n"/>
      <c r="J355" s="14" t="n"/>
      <c r="K355" s="14" t="n"/>
      <c r="L355" s="16" t="n"/>
      <c r="M355" s="14" t="n"/>
      <c r="N355" s="15">
        <f>IF($C355="","",COUNTIFS(nrSK_PID,$D355,nrSK_Cat,$E355))</f>
        <v/>
      </c>
      <c r="O355" s="15">
        <f>IF($C355="","",_xlfn.LET(_xlpm.latest,_xlfn.MAXIFS(nrSK_Att,nrSK_PID,$D355,nrSK_Cat,$E355),_xlpm.res,IF($I355=_xlpm.latest,$J355,""),IF($I355&lt;&gt;_xlpm.latest,"(superseded)",IF(_xlpm.res="","Pending",IF(_xlpm.res="Pass","Qualified",IF(AND(_xlpm.res="Fail",$N355&gt;=$F355),"FAILED OUT","Needs Remediation"))))))</f>
        <v/>
      </c>
      <c r="P355" s="15">
        <f>IF($C355="","",IF($O355="FAILED OUT","Yes","No"))</f>
        <v/>
      </c>
      <c r="Q355" s="14" t="n"/>
    </row>
    <row r="356">
      <c r="B356" s="15">
        <f>IF($C356="","",$D356&amp;"-"&amp;$E356&amp;"-"&amp;$I356)</f>
        <v/>
      </c>
      <c r="C356" s="14" t="n"/>
      <c r="D356" s="15">
        <f>IF($C356="","",IFERROR(INDEX(rngCadetPIDs,MATCH($C356,rngCadetNames,0)),"?"))</f>
        <v/>
      </c>
      <c r="E356" s="14" t="n"/>
      <c r="F356" s="15">
        <f>IF($E356="","",IFERROR(INDEX(rngSM_max,MATCH($E356,rngSM_cat,0)),""))</f>
        <v/>
      </c>
      <c r="G356" s="15">
        <f>IF($E356="","",IFERROR(INDEX(rngSM_mode,MATCH($E356,rngSM_cat,0)),""))</f>
        <v/>
      </c>
      <c r="H356" s="15">
        <f>IF($E356="","",IFERROR(INDEX(rngSM_pass,MATCH($E356,rngSM_cat,0)),""))</f>
        <v/>
      </c>
      <c r="I356" s="14" t="n"/>
      <c r="J356" s="14" t="n"/>
      <c r="K356" s="14" t="n"/>
      <c r="L356" s="16" t="n"/>
      <c r="M356" s="14" t="n"/>
      <c r="N356" s="15">
        <f>IF($C356="","",COUNTIFS(nrSK_PID,$D356,nrSK_Cat,$E356))</f>
        <v/>
      </c>
      <c r="O356" s="15">
        <f>IF($C356="","",_xlfn.LET(_xlpm.latest,_xlfn.MAXIFS(nrSK_Att,nrSK_PID,$D356,nrSK_Cat,$E356),_xlpm.res,IF($I356=_xlpm.latest,$J356,""),IF($I356&lt;&gt;_xlpm.latest,"(superseded)",IF(_xlpm.res="","Pending",IF(_xlpm.res="Pass","Qualified",IF(AND(_xlpm.res="Fail",$N356&gt;=$F356),"FAILED OUT","Needs Remediation"))))))</f>
        <v/>
      </c>
      <c r="P356" s="15">
        <f>IF($C356="","",IF($O356="FAILED OUT","Yes","No"))</f>
        <v/>
      </c>
      <c r="Q356" s="14" t="n"/>
    </row>
    <row r="357">
      <c r="B357" s="15">
        <f>IF($C357="","",$D357&amp;"-"&amp;$E357&amp;"-"&amp;$I357)</f>
        <v/>
      </c>
      <c r="C357" s="14" t="n"/>
      <c r="D357" s="15">
        <f>IF($C357="","",IFERROR(INDEX(rngCadetPIDs,MATCH($C357,rngCadetNames,0)),"?"))</f>
        <v/>
      </c>
      <c r="E357" s="14" t="n"/>
      <c r="F357" s="15">
        <f>IF($E357="","",IFERROR(INDEX(rngSM_max,MATCH($E357,rngSM_cat,0)),""))</f>
        <v/>
      </c>
      <c r="G357" s="15">
        <f>IF($E357="","",IFERROR(INDEX(rngSM_mode,MATCH($E357,rngSM_cat,0)),""))</f>
        <v/>
      </c>
      <c r="H357" s="15">
        <f>IF($E357="","",IFERROR(INDEX(rngSM_pass,MATCH($E357,rngSM_cat,0)),""))</f>
        <v/>
      </c>
      <c r="I357" s="14" t="n"/>
      <c r="J357" s="14" t="n"/>
      <c r="K357" s="14" t="n"/>
      <c r="L357" s="16" t="n"/>
      <c r="M357" s="14" t="n"/>
      <c r="N357" s="15">
        <f>IF($C357="","",COUNTIFS(nrSK_PID,$D357,nrSK_Cat,$E357))</f>
        <v/>
      </c>
      <c r="O357" s="15">
        <f>IF($C357="","",_xlfn.LET(_xlpm.latest,_xlfn.MAXIFS(nrSK_Att,nrSK_PID,$D357,nrSK_Cat,$E357),_xlpm.res,IF($I357=_xlpm.latest,$J357,""),IF($I357&lt;&gt;_xlpm.latest,"(superseded)",IF(_xlpm.res="","Pending",IF(_xlpm.res="Pass","Qualified",IF(AND(_xlpm.res="Fail",$N357&gt;=$F357),"FAILED OUT","Needs Remediation"))))))</f>
        <v/>
      </c>
      <c r="P357" s="15">
        <f>IF($C357="","",IF($O357="FAILED OUT","Yes","No"))</f>
        <v/>
      </c>
      <c r="Q357" s="14" t="n"/>
    </row>
    <row r="358">
      <c r="B358" s="15">
        <f>IF($C358="","",$D358&amp;"-"&amp;$E358&amp;"-"&amp;$I358)</f>
        <v/>
      </c>
      <c r="C358" s="14" t="n"/>
      <c r="D358" s="15">
        <f>IF($C358="","",IFERROR(INDEX(rngCadetPIDs,MATCH($C358,rngCadetNames,0)),"?"))</f>
        <v/>
      </c>
      <c r="E358" s="14" t="n"/>
      <c r="F358" s="15">
        <f>IF($E358="","",IFERROR(INDEX(rngSM_max,MATCH($E358,rngSM_cat,0)),""))</f>
        <v/>
      </c>
      <c r="G358" s="15">
        <f>IF($E358="","",IFERROR(INDEX(rngSM_mode,MATCH($E358,rngSM_cat,0)),""))</f>
        <v/>
      </c>
      <c r="H358" s="15">
        <f>IF($E358="","",IFERROR(INDEX(rngSM_pass,MATCH($E358,rngSM_cat,0)),""))</f>
        <v/>
      </c>
      <c r="I358" s="14" t="n"/>
      <c r="J358" s="14" t="n"/>
      <c r="K358" s="14" t="n"/>
      <c r="L358" s="16" t="n"/>
      <c r="M358" s="14" t="n"/>
      <c r="N358" s="15">
        <f>IF($C358="","",COUNTIFS(nrSK_PID,$D358,nrSK_Cat,$E358))</f>
        <v/>
      </c>
      <c r="O358" s="15">
        <f>IF($C358="","",_xlfn.LET(_xlpm.latest,_xlfn.MAXIFS(nrSK_Att,nrSK_PID,$D358,nrSK_Cat,$E358),_xlpm.res,IF($I358=_xlpm.latest,$J358,""),IF($I358&lt;&gt;_xlpm.latest,"(superseded)",IF(_xlpm.res="","Pending",IF(_xlpm.res="Pass","Qualified",IF(AND(_xlpm.res="Fail",$N358&gt;=$F358),"FAILED OUT","Needs Remediation"))))))</f>
        <v/>
      </c>
      <c r="P358" s="15">
        <f>IF($C358="","",IF($O358="FAILED OUT","Yes","No"))</f>
        <v/>
      </c>
      <c r="Q358" s="14" t="n"/>
    </row>
    <row r="359">
      <c r="B359" s="15">
        <f>IF($C359="","",$D359&amp;"-"&amp;$E359&amp;"-"&amp;$I359)</f>
        <v/>
      </c>
      <c r="C359" s="14" t="n"/>
      <c r="D359" s="15">
        <f>IF($C359="","",IFERROR(INDEX(rngCadetPIDs,MATCH($C359,rngCadetNames,0)),"?"))</f>
        <v/>
      </c>
      <c r="E359" s="14" t="n"/>
      <c r="F359" s="15">
        <f>IF($E359="","",IFERROR(INDEX(rngSM_max,MATCH($E359,rngSM_cat,0)),""))</f>
        <v/>
      </c>
      <c r="G359" s="15">
        <f>IF($E359="","",IFERROR(INDEX(rngSM_mode,MATCH($E359,rngSM_cat,0)),""))</f>
        <v/>
      </c>
      <c r="H359" s="15">
        <f>IF($E359="","",IFERROR(INDEX(rngSM_pass,MATCH($E359,rngSM_cat,0)),""))</f>
        <v/>
      </c>
      <c r="I359" s="14" t="n"/>
      <c r="J359" s="14" t="n"/>
      <c r="K359" s="14" t="n"/>
      <c r="L359" s="16" t="n"/>
      <c r="M359" s="14" t="n"/>
      <c r="N359" s="15">
        <f>IF($C359="","",COUNTIFS(nrSK_PID,$D359,nrSK_Cat,$E359))</f>
        <v/>
      </c>
      <c r="O359" s="15">
        <f>IF($C359="","",_xlfn.LET(_xlpm.latest,_xlfn.MAXIFS(nrSK_Att,nrSK_PID,$D359,nrSK_Cat,$E359),_xlpm.res,IF($I359=_xlpm.latest,$J359,""),IF($I359&lt;&gt;_xlpm.latest,"(superseded)",IF(_xlpm.res="","Pending",IF(_xlpm.res="Pass","Qualified",IF(AND(_xlpm.res="Fail",$N359&gt;=$F359),"FAILED OUT","Needs Remediation"))))))</f>
        <v/>
      </c>
      <c r="P359" s="15">
        <f>IF($C359="","",IF($O359="FAILED OUT","Yes","No"))</f>
        <v/>
      </c>
      <c r="Q359" s="14" t="n"/>
    </row>
    <row r="360">
      <c r="B360" s="15">
        <f>IF($C360="","",$D360&amp;"-"&amp;$E360&amp;"-"&amp;$I360)</f>
        <v/>
      </c>
      <c r="C360" s="14" t="n"/>
      <c r="D360" s="15">
        <f>IF($C360="","",IFERROR(INDEX(rngCadetPIDs,MATCH($C360,rngCadetNames,0)),"?"))</f>
        <v/>
      </c>
      <c r="E360" s="14" t="n"/>
      <c r="F360" s="15">
        <f>IF($E360="","",IFERROR(INDEX(rngSM_max,MATCH($E360,rngSM_cat,0)),""))</f>
        <v/>
      </c>
      <c r="G360" s="15">
        <f>IF($E360="","",IFERROR(INDEX(rngSM_mode,MATCH($E360,rngSM_cat,0)),""))</f>
        <v/>
      </c>
      <c r="H360" s="15">
        <f>IF($E360="","",IFERROR(INDEX(rngSM_pass,MATCH($E360,rngSM_cat,0)),""))</f>
        <v/>
      </c>
      <c r="I360" s="14" t="n"/>
      <c r="J360" s="14" t="n"/>
      <c r="K360" s="14" t="n"/>
      <c r="L360" s="16" t="n"/>
      <c r="M360" s="14" t="n"/>
      <c r="N360" s="15">
        <f>IF($C360="","",COUNTIFS(nrSK_PID,$D360,nrSK_Cat,$E360))</f>
        <v/>
      </c>
      <c r="O360" s="15">
        <f>IF($C360="","",_xlfn.LET(_xlpm.latest,_xlfn.MAXIFS(nrSK_Att,nrSK_PID,$D360,nrSK_Cat,$E360),_xlpm.res,IF($I360=_xlpm.latest,$J360,""),IF($I360&lt;&gt;_xlpm.latest,"(superseded)",IF(_xlpm.res="","Pending",IF(_xlpm.res="Pass","Qualified",IF(AND(_xlpm.res="Fail",$N360&gt;=$F360),"FAILED OUT","Needs Remediation"))))))</f>
        <v/>
      </c>
      <c r="P360" s="15">
        <f>IF($C360="","",IF($O360="FAILED OUT","Yes","No"))</f>
        <v/>
      </c>
      <c r="Q360" s="14" t="n"/>
    </row>
    <row r="361">
      <c r="B361" s="15">
        <f>IF($C361="","",$D361&amp;"-"&amp;$E361&amp;"-"&amp;$I361)</f>
        <v/>
      </c>
      <c r="C361" s="14" t="n"/>
      <c r="D361" s="15">
        <f>IF($C361="","",IFERROR(INDEX(rngCadetPIDs,MATCH($C361,rngCadetNames,0)),"?"))</f>
        <v/>
      </c>
      <c r="E361" s="14" t="n"/>
      <c r="F361" s="15">
        <f>IF($E361="","",IFERROR(INDEX(rngSM_max,MATCH($E361,rngSM_cat,0)),""))</f>
        <v/>
      </c>
      <c r="G361" s="15">
        <f>IF($E361="","",IFERROR(INDEX(rngSM_mode,MATCH($E361,rngSM_cat,0)),""))</f>
        <v/>
      </c>
      <c r="H361" s="15">
        <f>IF($E361="","",IFERROR(INDEX(rngSM_pass,MATCH($E361,rngSM_cat,0)),""))</f>
        <v/>
      </c>
      <c r="I361" s="14" t="n"/>
      <c r="J361" s="14" t="n"/>
      <c r="K361" s="14" t="n"/>
      <c r="L361" s="16" t="n"/>
      <c r="M361" s="14" t="n"/>
      <c r="N361" s="15">
        <f>IF($C361="","",COUNTIFS(nrSK_PID,$D361,nrSK_Cat,$E361))</f>
        <v/>
      </c>
      <c r="O361" s="15">
        <f>IF($C361="","",_xlfn.LET(_xlpm.latest,_xlfn.MAXIFS(nrSK_Att,nrSK_PID,$D361,nrSK_Cat,$E361),_xlpm.res,IF($I361=_xlpm.latest,$J361,""),IF($I361&lt;&gt;_xlpm.latest,"(superseded)",IF(_xlpm.res="","Pending",IF(_xlpm.res="Pass","Qualified",IF(AND(_xlpm.res="Fail",$N361&gt;=$F361),"FAILED OUT","Needs Remediation"))))))</f>
        <v/>
      </c>
      <c r="P361" s="15">
        <f>IF($C361="","",IF($O361="FAILED OUT","Yes","No"))</f>
        <v/>
      </c>
      <c r="Q361" s="14" t="n"/>
    </row>
    <row r="362">
      <c r="B362" s="15">
        <f>IF($C362="","",$D362&amp;"-"&amp;$E362&amp;"-"&amp;$I362)</f>
        <v/>
      </c>
      <c r="C362" s="14" t="n"/>
      <c r="D362" s="15">
        <f>IF($C362="","",IFERROR(INDEX(rngCadetPIDs,MATCH($C362,rngCadetNames,0)),"?"))</f>
        <v/>
      </c>
      <c r="E362" s="14" t="n"/>
      <c r="F362" s="15">
        <f>IF($E362="","",IFERROR(INDEX(rngSM_max,MATCH($E362,rngSM_cat,0)),""))</f>
        <v/>
      </c>
      <c r="G362" s="15">
        <f>IF($E362="","",IFERROR(INDEX(rngSM_mode,MATCH($E362,rngSM_cat,0)),""))</f>
        <v/>
      </c>
      <c r="H362" s="15">
        <f>IF($E362="","",IFERROR(INDEX(rngSM_pass,MATCH($E362,rngSM_cat,0)),""))</f>
        <v/>
      </c>
      <c r="I362" s="14" t="n"/>
      <c r="J362" s="14" t="n"/>
      <c r="K362" s="14" t="n"/>
      <c r="L362" s="16" t="n"/>
      <c r="M362" s="14" t="n"/>
      <c r="N362" s="15">
        <f>IF($C362="","",COUNTIFS(nrSK_PID,$D362,nrSK_Cat,$E362))</f>
        <v/>
      </c>
      <c r="O362" s="15">
        <f>IF($C362="","",_xlfn.LET(_xlpm.latest,_xlfn.MAXIFS(nrSK_Att,nrSK_PID,$D362,nrSK_Cat,$E362),_xlpm.res,IF($I362=_xlpm.latest,$J362,""),IF($I362&lt;&gt;_xlpm.latest,"(superseded)",IF(_xlpm.res="","Pending",IF(_xlpm.res="Pass","Qualified",IF(AND(_xlpm.res="Fail",$N362&gt;=$F362),"FAILED OUT","Needs Remediation"))))))</f>
        <v/>
      </c>
      <c r="P362" s="15">
        <f>IF($C362="","",IF($O362="FAILED OUT","Yes","No"))</f>
        <v/>
      </c>
      <c r="Q362" s="14" t="n"/>
    </row>
    <row r="363">
      <c r="B363" s="15">
        <f>IF($C363="","",$D363&amp;"-"&amp;$E363&amp;"-"&amp;$I363)</f>
        <v/>
      </c>
      <c r="C363" s="14" t="n"/>
      <c r="D363" s="15">
        <f>IF($C363="","",IFERROR(INDEX(rngCadetPIDs,MATCH($C363,rngCadetNames,0)),"?"))</f>
        <v/>
      </c>
      <c r="E363" s="14" t="n"/>
      <c r="F363" s="15">
        <f>IF($E363="","",IFERROR(INDEX(rngSM_max,MATCH($E363,rngSM_cat,0)),""))</f>
        <v/>
      </c>
      <c r="G363" s="15">
        <f>IF($E363="","",IFERROR(INDEX(rngSM_mode,MATCH($E363,rngSM_cat,0)),""))</f>
        <v/>
      </c>
      <c r="H363" s="15">
        <f>IF($E363="","",IFERROR(INDEX(rngSM_pass,MATCH($E363,rngSM_cat,0)),""))</f>
        <v/>
      </c>
      <c r="I363" s="14" t="n"/>
      <c r="J363" s="14" t="n"/>
      <c r="K363" s="14" t="n"/>
      <c r="L363" s="16" t="n"/>
      <c r="M363" s="14" t="n"/>
      <c r="N363" s="15">
        <f>IF($C363="","",COUNTIFS(nrSK_PID,$D363,nrSK_Cat,$E363))</f>
        <v/>
      </c>
      <c r="O363" s="15">
        <f>IF($C363="","",_xlfn.LET(_xlpm.latest,_xlfn.MAXIFS(nrSK_Att,nrSK_PID,$D363,nrSK_Cat,$E363),_xlpm.res,IF($I363=_xlpm.latest,$J363,""),IF($I363&lt;&gt;_xlpm.latest,"(superseded)",IF(_xlpm.res="","Pending",IF(_xlpm.res="Pass","Qualified",IF(AND(_xlpm.res="Fail",$N363&gt;=$F363),"FAILED OUT","Needs Remediation"))))))</f>
        <v/>
      </c>
      <c r="P363" s="15">
        <f>IF($C363="","",IF($O363="FAILED OUT","Yes","No"))</f>
        <v/>
      </c>
      <c r="Q363" s="14" t="n"/>
    </row>
    <row r="364">
      <c r="B364" s="15">
        <f>IF($C364="","",$D364&amp;"-"&amp;$E364&amp;"-"&amp;$I364)</f>
        <v/>
      </c>
      <c r="C364" s="14" t="n"/>
      <c r="D364" s="15">
        <f>IF($C364="","",IFERROR(INDEX(rngCadetPIDs,MATCH($C364,rngCadetNames,0)),"?"))</f>
        <v/>
      </c>
      <c r="E364" s="14" t="n"/>
      <c r="F364" s="15">
        <f>IF($E364="","",IFERROR(INDEX(rngSM_max,MATCH($E364,rngSM_cat,0)),""))</f>
        <v/>
      </c>
      <c r="G364" s="15">
        <f>IF($E364="","",IFERROR(INDEX(rngSM_mode,MATCH($E364,rngSM_cat,0)),""))</f>
        <v/>
      </c>
      <c r="H364" s="15">
        <f>IF($E364="","",IFERROR(INDEX(rngSM_pass,MATCH($E364,rngSM_cat,0)),""))</f>
        <v/>
      </c>
      <c r="I364" s="14" t="n"/>
      <c r="J364" s="14" t="n"/>
      <c r="K364" s="14" t="n"/>
      <c r="L364" s="16" t="n"/>
      <c r="M364" s="14" t="n"/>
      <c r="N364" s="15">
        <f>IF($C364="","",COUNTIFS(nrSK_PID,$D364,nrSK_Cat,$E364))</f>
        <v/>
      </c>
      <c r="O364" s="15">
        <f>IF($C364="","",_xlfn.LET(_xlpm.latest,_xlfn.MAXIFS(nrSK_Att,nrSK_PID,$D364,nrSK_Cat,$E364),_xlpm.res,IF($I364=_xlpm.latest,$J364,""),IF($I364&lt;&gt;_xlpm.latest,"(superseded)",IF(_xlpm.res="","Pending",IF(_xlpm.res="Pass","Qualified",IF(AND(_xlpm.res="Fail",$N364&gt;=$F364),"FAILED OUT","Needs Remediation"))))))</f>
        <v/>
      </c>
      <c r="P364" s="15">
        <f>IF($C364="","",IF($O364="FAILED OUT","Yes","No"))</f>
        <v/>
      </c>
      <c r="Q364" s="14" t="n"/>
    </row>
    <row r="365">
      <c r="B365" s="15">
        <f>IF($C365="","",$D365&amp;"-"&amp;$E365&amp;"-"&amp;$I365)</f>
        <v/>
      </c>
      <c r="C365" s="14" t="n"/>
      <c r="D365" s="15">
        <f>IF($C365="","",IFERROR(INDEX(rngCadetPIDs,MATCH($C365,rngCadetNames,0)),"?"))</f>
        <v/>
      </c>
      <c r="E365" s="14" t="n"/>
      <c r="F365" s="15">
        <f>IF($E365="","",IFERROR(INDEX(rngSM_max,MATCH($E365,rngSM_cat,0)),""))</f>
        <v/>
      </c>
      <c r="G365" s="15">
        <f>IF($E365="","",IFERROR(INDEX(rngSM_mode,MATCH($E365,rngSM_cat,0)),""))</f>
        <v/>
      </c>
      <c r="H365" s="15">
        <f>IF($E365="","",IFERROR(INDEX(rngSM_pass,MATCH($E365,rngSM_cat,0)),""))</f>
        <v/>
      </c>
      <c r="I365" s="14" t="n"/>
      <c r="J365" s="14" t="n"/>
      <c r="K365" s="14" t="n"/>
      <c r="L365" s="16" t="n"/>
      <c r="M365" s="14" t="n"/>
      <c r="N365" s="15">
        <f>IF($C365="","",COUNTIFS(nrSK_PID,$D365,nrSK_Cat,$E365))</f>
        <v/>
      </c>
      <c r="O365" s="15">
        <f>IF($C365="","",_xlfn.LET(_xlpm.latest,_xlfn.MAXIFS(nrSK_Att,nrSK_PID,$D365,nrSK_Cat,$E365),_xlpm.res,IF($I365=_xlpm.latest,$J365,""),IF($I365&lt;&gt;_xlpm.latest,"(superseded)",IF(_xlpm.res="","Pending",IF(_xlpm.res="Pass","Qualified",IF(AND(_xlpm.res="Fail",$N365&gt;=$F365),"FAILED OUT","Needs Remediation"))))))</f>
        <v/>
      </c>
      <c r="P365" s="15">
        <f>IF($C365="","",IF($O365="FAILED OUT","Yes","No"))</f>
        <v/>
      </c>
      <c r="Q365" s="14" t="n"/>
    </row>
    <row r="366">
      <c r="B366" s="15">
        <f>IF($C366="","",$D366&amp;"-"&amp;$E366&amp;"-"&amp;$I366)</f>
        <v/>
      </c>
      <c r="C366" s="14" t="n"/>
      <c r="D366" s="15">
        <f>IF($C366="","",IFERROR(INDEX(rngCadetPIDs,MATCH($C366,rngCadetNames,0)),"?"))</f>
        <v/>
      </c>
      <c r="E366" s="14" t="n"/>
      <c r="F366" s="15">
        <f>IF($E366="","",IFERROR(INDEX(rngSM_max,MATCH($E366,rngSM_cat,0)),""))</f>
        <v/>
      </c>
      <c r="G366" s="15">
        <f>IF($E366="","",IFERROR(INDEX(rngSM_mode,MATCH($E366,rngSM_cat,0)),""))</f>
        <v/>
      </c>
      <c r="H366" s="15">
        <f>IF($E366="","",IFERROR(INDEX(rngSM_pass,MATCH($E366,rngSM_cat,0)),""))</f>
        <v/>
      </c>
      <c r="I366" s="14" t="n"/>
      <c r="J366" s="14" t="n"/>
      <c r="K366" s="14" t="n"/>
      <c r="L366" s="16" t="n"/>
      <c r="M366" s="14" t="n"/>
      <c r="N366" s="15">
        <f>IF($C366="","",COUNTIFS(nrSK_PID,$D366,nrSK_Cat,$E366))</f>
        <v/>
      </c>
      <c r="O366" s="15">
        <f>IF($C366="","",_xlfn.LET(_xlpm.latest,_xlfn.MAXIFS(nrSK_Att,nrSK_PID,$D366,nrSK_Cat,$E366),_xlpm.res,IF($I366=_xlpm.latest,$J366,""),IF($I366&lt;&gt;_xlpm.latest,"(superseded)",IF(_xlpm.res="","Pending",IF(_xlpm.res="Pass","Qualified",IF(AND(_xlpm.res="Fail",$N366&gt;=$F366),"FAILED OUT","Needs Remediation"))))))</f>
        <v/>
      </c>
      <c r="P366" s="15">
        <f>IF($C366="","",IF($O366="FAILED OUT","Yes","No"))</f>
        <v/>
      </c>
      <c r="Q366" s="14" t="n"/>
    </row>
    <row r="367">
      <c r="B367" s="15">
        <f>IF($C367="","",$D367&amp;"-"&amp;$E367&amp;"-"&amp;$I367)</f>
        <v/>
      </c>
      <c r="C367" s="14" t="n"/>
      <c r="D367" s="15">
        <f>IF($C367="","",IFERROR(INDEX(rngCadetPIDs,MATCH($C367,rngCadetNames,0)),"?"))</f>
        <v/>
      </c>
      <c r="E367" s="14" t="n"/>
      <c r="F367" s="15">
        <f>IF($E367="","",IFERROR(INDEX(rngSM_max,MATCH($E367,rngSM_cat,0)),""))</f>
        <v/>
      </c>
      <c r="G367" s="15">
        <f>IF($E367="","",IFERROR(INDEX(rngSM_mode,MATCH($E367,rngSM_cat,0)),""))</f>
        <v/>
      </c>
      <c r="H367" s="15">
        <f>IF($E367="","",IFERROR(INDEX(rngSM_pass,MATCH($E367,rngSM_cat,0)),""))</f>
        <v/>
      </c>
      <c r="I367" s="14" t="n"/>
      <c r="J367" s="14" t="n"/>
      <c r="K367" s="14" t="n"/>
      <c r="L367" s="16" t="n"/>
      <c r="M367" s="14" t="n"/>
      <c r="N367" s="15">
        <f>IF($C367="","",COUNTIFS(nrSK_PID,$D367,nrSK_Cat,$E367))</f>
        <v/>
      </c>
      <c r="O367" s="15">
        <f>IF($C367="","",_xlfn.LET(_xlpm.latest,_xlfn.MAXIFS(nrSK_Att,nrSK_PID,$D367,nrSK_Cat,$E367),_xlpm.res,IF($I367=_xlpm.latest,$J367,""),IF($I367&lt;&gt;_xlpm.latest,"(superseded)",IF(_xlpm.res="","Pending",IF(_xlpm.res="Pass","Qualified",IF(AND(_xlpm.res="Fail",$N367&gt;=$F367),"FAILED OUT","Needs Remediation"))))))</f>
        <v/>
      </c>
      <c r="P367" s="15">
        <f>IF($C367="","",IF($O367="FAILED OUT","Yes","No"))</f>
        <v/>
      </c>
      <c r="Q367" s="14" t="n"/>
    </row>
    <row r="368">
      <c r="B368" s="15">
        <f>IF($C368="","",$D368&amp;"-"&amp;$E368&amp;"-"&amp;$I368)</f>
        <v/>
      </c>
      <c r="C368" s="14" t="n"/>
      <c r="D368" s="15">
        <f>IF($C368="","",IFERROR(INDEX(rngCadetPIDs,MATCH($C368,rngCadetNames,0)),"?"))</f>
        <v/>
      </c>
      <c r="E368" s="14" t="n"/>
      <c r="F368" s="15">
        <f>IF($E368="","",IFERROR(INDEX(rngSM_max,MATCH($E368,rngSM_cat,0)),""))</f>
        <v/>
      </c>
      <c r="G368" s="15">
        <f>IF($E368="","",IFERROR(INDEX(rngSM_mode,MATCH($E368,rngSM_cat,0)),""))</f>
        <v/>
      </c>
      <c r="H368" s="15">
        <f>IF($E368="","",IFERROR(INDEX(rngSM_pass,MATCH($E368,rngSM_cat,0)),""))</f>
        <v/>
      </c>
      <c r="I368" s="14" t="n"/>
      <c r="J368" s="14" t="n"/>
      <c r="K368" s="14" t="n"/>
      <c r="L368" s="16" t="n"/>
      <c r="M368" s="14" t="n"/>
      <c r="N368" s="15">
        <f>IF($C368="","",COUNTIFS(nrSK_PID,$D368,nrSK_Cat,$E368))</f>
        <v/>
      </c>
      <c r="O368" s="15">
        <f>IF($C368="","",_xlfn.LET(_xlpm.latest,_xlfn.MAXIFS(nrSK_Att,nrSK_PID,$D368,nrSK_Cat,$E368),_xlpm.res,IF($I368=_xlpm.latest,$J368,""),IF($I368&lt;&gt;_xlpm.latest,"(superseded)",IF(_xlpm.res="","Pending",IF(_xlpm.res="Pass","Qualified",IF(AND(_xlpm.res="Fail",$N368&gt;=$F368),"FAILED OUT","Needs Remediation"))))))</f>
        <v/>
      </c>
      <c r="P368" s="15">
        <f>IF($C368="","",IF($O368="FAILED OUT","Yes","No"))</f>
        <v/>
      </c>
      <c r="Q368" s="14" t="n"/>
    </row>
    <row r="369">
      <c r="B369" s="15">
        <f>IF($C369="","",$D369&amp;"-"&amp;$E369&amp;"-"&amp;$I369)</f>
        <v/>
      </c>
      <c r="C369" s="14" t="n"/>
      <c r="D369" s="15">
        <f>IF($C369="","",IFERROR(INDEX(rngCadetPIDs,MATCH($C369,rngCadetNames,0)),"?"))</f>
        <v/>
      </c>
      <c r="E369" s="14" t="n"/>
      <c r="F369" s="15">
        <f>IF($E369="","",IFERROR(INDEX(rngSM_max,MATCH($E369,rngSM_cat,0)),""))</f>
        <v/>
      </c>
      <c r="G369" s="15">
        <f>IF($E369="","",IFERROR(INDEX(rngSM_mode,MATCH($E369,rngSM_cat,0)),""))</f>
        <v/>
      </c>
      <c r="H369" s="15">
        <f>IF($E369="","",IFERROR(INDEX(rngSM_pass,MATCH($E369,rngSM_cat,0)),""))</f>
        <v/>
      </c>
      <c r="I369" s="14" t="n"/>
      <c r="J369" s="14" t="n"/>
      <c r="K369" s="14" t="n"/>
      <c r="L369" s="16" t="n"/>
      <c r="M369" s="14" t="n"/>
      <c r="N369" s="15">
        <f>IF($C369="","",COUNTIFS(nrSK_PID,$D369,nrSK_Cat,$E369))</f>
        <v/>
      </c>
      <c r="O369" s="15">
        <f>IF($C369="","",_xlfn.LET(_xlpm.latest,_xlfn.MAXIFS(nrSK_Att,nrSK_PID,$D369,nrSK_Cat,$E369),_xlpm.res,IF($I369=_xlpm.latest,$J369,""),IF($I369&lt;&gt;_xlpm.latest,"(superseded)",IF(_xlpm.res="","Pending",IF(_xlpm.res="Pass","Qualified",IF(AND(_xlpm.res="Fail",$N369&gt;=$F369),"FAILED OUT","Needs Remediation"))))))</f>
        <v/>
      </c>
      <c r="P369" s="15">
        <f>IF($C369="","",IF($O369="FAILED OUT","Yes","No"))</f>
        <v/>
      </c>
      <c r="Q369" s="14" t="n"/>
    </row>
    <row r="370">
      <c r="B370" s="15">
        <f>IF($C370="","",$D370&amp;"-"&amp;$E370&amp;"-"&amp;$I370)</f>
        <v/>
      </c>
      <c r="C370" s="14" t="n"/>
      <c r="D370" s="15">
        <f>IF($C370="","",IFERROR(INDEX(rngCadetPIDs,MATCH($C370,rngCadetNames,0)),"?"))</f>
        <v/>
      </c>
      <c r="E370" s="14" t="n"/>
      <c r="F370" s="15">
        <f>IF($E370="","",IFERROR(INDEX(rngSM_max,MATCH($E370,rngSM_cat,0)),""))</f>
        <v/>
      </c>
      <c r="G370" s="15">
        <f>IF($E370="","",IFERROR(INDEX(rngSM_mode,MATCH($E370,rngSM_cat,0)),""))</f>
        <v/>
      </c>
      <c r="H370" s="15">
        <f>IF($E370="","",IFERROR(INDEX(rngSM_pass,MATCH($E370,rngSM_cat,0)),""))</f>
        <v/>
      </c>
      <c r="I370" s="14" t="n"/>
      <c r="J370" s="14" t="n"/>
      <c r="K370" s="14" t="n"/>
      <c r="L370" s="16" t="n"/>
      <c r="M370" s="14" t="n"/>
      <c r="N370" s="15">
        <f>IF($C370="","",COUNTIFS(nrSK_PID,$D370,nrSK_Cat,$E370))</f>
        <v/>
      </c>
      <c r="O370" s="15">
        <f>IF($C370="","",_xlfn.LET(_xlpm.latest,_xlfn.MAXIFS(nrSK_Att,nrSK_PID,$D370,nrSK_Cat,$E370),_xlpm.res,IF($I370=_xlpm.latest,$J370,""),IF($I370&lt;&gt;_xlpm.latest,"(superseded)",IF(_xlpm.res="","Pending",IF(_xlpm.res="Pass","Qualified",IF(AND(_xlpm.res="Fail",$N370&gt;=$F370),"FAILED OUT","Needs Remediation"))))))</f>
        <v/>
      </c>
      <c r="P370" s="15">
        <f>IF($C370="","",IF($O370="FAILED OUT","Yes","No"))</f>
        <v/>
      </c>
      <c r="Q370" s="14" t="n"/>
    </row>
    <row r="371">
      <c r="B371" s="15">
        <f>IF($C371="","",$D371&amp;"-"&amp;$E371&amp;"-"&amp;$I371)</f>
        <v/>
      </c>
      <c r="C371" s="14" t="n"/>
      <c r="D371" s="15">
        <f>IF($C371="","",IFERROR(INDEX(rngCadetPIDs,MATCH($C371,rngCadetNames,0)),"?"))</f>
        <v/>
      </c>
      <c r="E371" s="14" t="n"/>
      <c r="F371" s="15">
        <f>IF($E371="","",IFERROR(INDEX(rngSM_max,MATCH($E371,rngSM_cat,0)),""))</f>
        <v/>
      </c>
      <c r="G371" s="15">
        <f>IF($E371="","",IFERROR(INDEX(rngSM_mode,MATCH($E371,rngSM_cat,0)),""))</f>
        <v/>
      </c>
      <c r="H371" s="15">
        <f>IF($E371="","",IFERROR(INDEX(rngSM_pass,MATCH($E371,rngSM_cat,0)),""))</f>
        <v/>
      </c>
      <c r="I371" s="14" t="n"/>
      <c r="J371" s="14" t="n"/>
      <c r="K371" s="14" t="n"/>
      <c r="L371" s="16" t="n"/>
      <c r="M371" s="14" t="n"/>
      <c r="N371" s="15">
        <f>IF($C371="","",COUNTIFS(nrSK_PID,$D371,nrSK_Cat,$E371))</f>
        <v/>
      </c>
      <c r="O371" s="15">
        <f>IF($C371="","",_xlfn.LET(_xlpm.latest,_xlfn.MAXIFS(nrSK_Att,nrSK_PID,$D371,nrSK_Cat,$E371),_xlpm.res,IF($I371=_xlpm.latest,$J371,""),IF($I371&lt;&gt;_xlpm.latest,"(superseded)",IF(_xlpm.res="","Pending",IF(_xlpm.res="Pass","Qualified",IF(AND(_xlpm.res="Fail",$N371&gt;=$F371),"FAILED OUT","Needs Remediation"))))))</f>
        <v/>
      </c>
      <c r="P371" s="15">
        <f>IF($C371="","",IF($O371="FAILED OUT","Yes","No"))</f>
        <v/>
      </c>
      <c r="Q371" s="14" t="n"/>
    </row>
    <row r="372">
      <c r="B372" s="15">
        <f>IF($C372="","",$D372&amp;"-"&amp;$E372&amp;"-"&amp;$I372)</f>
        <v/>
      </c>
      <c r="C372" s="14" t="n"/>
      <c r="D372" s="15">
        <f>IF($C372="","",IFERROR(INDEX(rngCadetPIDs,MATCH($C372,rngCadetNames,0)),"?"))</f>
        <v/>
      </c>
      <c r="E372" s="14" t="n"/>
      <c r="F372" s="15">
        <f>IF($E372="","",IFERROR(INDEX(rngSM_max,MATCH($E372,rngSM_cat,0)),""))</f>
        <v/>
      </c>
      <c r="G372" s="15">
        <f>IF($E372="","",IFERROR(INDEX(rngSM_mode,MATCH($E372,rngSM_cat,0)),""))</f>
        <v/>
      </c>
      <c r="H372" s="15">
        <f>IF($E372="","",IFERROR(INDEX(rngSM_pass,MATCH($E372,rngSM_cat,0)),""))</f>
        <v/>
      </c>
      <c r="I372" s="14" t="n"/>
      <c r="J372" s="14" t="n"/>
      <c r="K372" s="14" t="n"/>
      <c r="L372" s="16" t="n"/>
      <c r="M372" s="14" t="n"/>
      <c r="N372" s="15">
        <f>IF($C372="","",COUNTIFS(nrSK_PID,$D372,nrSK_Cat,$E372))</f>
        <v/>
      </c>
      <c r="O372" s="15">
        <f>IF($C372="","",_xlfn.LET(_xlpm.latest,_xlfn.MAXIFS(nrSK_Att,nrSK_PID,$D372,nrSK_Cat,$E372),_xlpm.res,IF($I372=_xlpm.latest,$J372,""),IF($I372&lt;&gt;_xlpm.latest,"(superseded)",IF(_xlpm.res="","Pending",IF(_xlpm.res="Pass","Qualified",IF(AND(_xlpm.res="Fail",$N372&gt;=$F372),"FAILED OUT","Needs Remediation"))))))</f>
        <v/>
      </c>
      <c r="P372" s="15">
        <f>IF($C372="","",IF($O372="FAILED OUT","Yes","No"))</f>
        <v/>
      </c>
      <c r="Q372" s="14" t="n"/>
    </row>
    <row r="373">
      <c r="B373" s="15">
        <f>IF($C373="","",$D373&amp;"-"&amp;$E373&amp;"-"&amp;$I373)</f>
        <v/>
      </c>
      <c r="C373" s="14" t="n"/>
      <c r="D373" s="15">
        <f>IF($C373="","",IFERROR(INDEX(rngCadetPIDs,MATCH($C373,rngCadetNames,0)),"?"))</f>
        <v/>
      </c>
      <c r="E373" s="14" t="n"/>
      <c r="F373" s="15">
        <f>IF($E373="","",IFERROR(INDEX(rngSM_max,MATCH($E373,rngSM_cat,0)),""))</f>
        <v/>
      </c>
      <c r="G373" s="15">
        <f>IF($E373="","",IFERROR(INDEX(rngSM_mode,MATCH($E373,rngSM_cat,0)),""))</f>
        <v/>
      </c>
      <c r="H373" s="15">
        <f>IF($E373="","",IFERROR(INDEX(rngSM_pass,MATCH($E373,rngSM_cat,0)),""))</f>
        <v/>
      </c>
      <c r="I373" s="14" t="n"/>
      <c r="J373" s="14" t="n"/>
      <c r="K373" s="14" t="n"/>
      <c r="L373" s="16" t="n"/>
      <c r="M373" s="14" t="n"/>
      <c r="N373" s="15">
        <f>IF($C373="","",COUNTIFS(nrSK_PID,$D373,nrSK_Cat,$E373))</f>
        <v/>
      </c>
      <c r="O373" s="15">
        <f>IF($C373="","",_xlfn.LET(_xlpm.latest,_xlfn.MAXIFS(nrSK_Att,nrSK_PID,$D373,nrSK_Cat,$E373),_xlpm.res,IF($I373=_xlpm.latest,$J373,""),IF($I373&lt;&gt;_xlpm.latest,"(superseded)",IF(_xlpm.res="","Pending",IF(_xlpm.res="Pass","Qualified",IF(AND(_xlpm.res="Fail",$N373&gt;=$F373),"FAILED OUT","Needs Remediation"))))))</f>
        <v/>
      </c>
      <c r="P373" s="15">
        <f>IF($C373="","",IF($O373="FAILED OUT","Yes","No"))</f>
        <v/>
      </c>
      <c r="Q373" s="14" t="n"/>
    </row>
    <row r="374">
      <c r="B374" s="15">
        <f>IF($C374="","",$D374&amp;"-"&amp;$E374&amp;"-"&amp;$I374)</f>
        <v/>
      </c>
      <c r="C374" s="14" t="n"/>
      <c r="D374" s="15">
        <f>IF($C374="","",IFERROR(INDEX(rngCadetPIDs,MATCH($C374,rngCadetNames,0)),"?"))</f>
        <v/>
      </c>
      <c r="E374" s="14" t="n"/>
      <c r="F374" s="15">
        <f>IF($E374="","",IFERROR(INDEX(rngSM_max,MATCH($E374,rngSM_cat,0)),""))</f>
        <v/>
      </c>
      <c r="G374" s="15">
        <f>IF($E374="","",IFERROR(INDEX(rngSM_mode,MATCH($E374,rngSM_cat,0)),""))</f>
        <v/>
      </c>
      <c r="H374" s="15">
        <f>IF($E374="","",IFERROR(INDEX(rngSM_pass,MATCH($E374,rngSM_cat,0)),""))</f>
        <v/>
      </c>
      <c r="I374" s="14" t="n"/>
      <c r="J374" s="14" t="n"/>
      <c r="K374" s="14" t="n"/>
      <c r="L374" s="16" t="n"/>
      <c r="M374" s="14" t="n"/>
      <c r="N374" s="15">
        <f>IF($C374="","",COUNTIFS(nrSK_PID,$D374,nrSK_Cat,$E374))</f>
        <v/>
      </c>
      <c r="O374" s="15">
        <f>IF($C374="","",_xlfn.LET(_xlpm.latest,_xlfn.MAXIFS(nrSK_Att,nrSK_PID,$D374,nrSK_Cat,$E374),_xlpm.res,IF($I374=_xlpm.latest,$J374,""),IF($I374&lt;&gt;_xlpm.latest,"(superseded)",IF(_xlpm.res="","Pending",IF(_xlpm.res="Pass","Qualified",IF(AND(_xlpm.res="Fail",$N374&gt;=$F374),"FAILED OUT","Needs Remediation"))))))</f>
        <v/>
      </c>
      <c r="P374" s="15">
        <f>IF($C374="","",IF($O374="FAILED OUT","Yes","No"))</f>
        <v/>
      </c>
      <c r="Q374" s="14" t="n"/>
    </row>
    <row r="375">
      <c r="B375" s="15">
        <f>IF($C375="","",$D375&amp;"-"&amp;$E375&amp;"-"&amp;$I375)</f>
        <v/>
      </c>
      <c r="C375" s="14" t="n"/>
      <c r="D375" s="15">
        <f>IF($C375="","",IFERROR(INDEX(rngCadetPIDs,MATCH($C375,rngCadetNames,0)),"?"))</f>
        <v/>
      </c>
      <c r="E375" s="14" t="n"/>
      <c r="F375" s="15">
        <f>IF($E375="","",IFERROR(INDEX(rngSM_max,MATCH($E375,rngSM_cat,0)),""))</f>
        <v/>
      </c>
      <c r="G375" s="15">
        <f>IF($E375="","",IFERROR(INDEX(rngSM_mode,MATCH($E375,rngSM_cat,0)),""))</f>
        <v/>
      </c>
      <c r="H375" s="15">
        <f>IF($E375="","",IFERROR(INDEX(rngSM_pass,MATCH($E375,rngSM_cat,0)),""))</f>
        <v/>
      </c>
      <c r="I375" s="14" t="n"/>
      <c r="J375" s="14" t="n"/>
      <c r="K375" s="14" t="n"/>
      <c r="L375" s="16" t="n"/>
      <c r="M375" s="14" t="n"/>
      <c r="N375" s="15">
        <f>IF($C375="","",COUNTIFS(nrSK_PID,$D375,nrSK_Cat,$E375))</f>
        <v/>
      </c>
      <c r="O375" s="15">
        <f>IF($C375="","",_xlfn.LET(_xlpm.latest,_xlfn.MAXIFS(nrSK_Att,nrSK_PID,$D375,nrSK_Cat,$E375),_xlpm.res,IF($I375=_xlpm.latest,$J375,""),IF($I375&lt;&gt;_xlpm.latest,"(superseded)",IF(_xlpm.res="","Pending",IF(_xlpm.res="Pass","Qualified",IF(AND(_xlpm.res="Fail",$N375&gt;=$F375),"FAILED OUT","Needs Remediation"))))))</f>
        <v/>
      </c>
      <c r="P375" s="15">
        <f>IF($C375="","",IF($O375="FAILED OUT","Yes","No"))</f>
        <v/>
      </c>
      <c r="Q375" s="14" t="n"/>
    </row>
    <row r="376">
      <c r="B376" s="15">
        <f>IF($C376="","",$D376&amp;"-"&amp;$E376&amp;"-"&amp;$I376)</f>
        <v/>
      </c>
      <c r="C376" s="14" t="n"/>
      <c r="D376" s="15">
        <f>IF($C376="","",IFERROR(INDEX(rngCadetPIDs,MATCH($C376,rngCadetNames,0)),"?"))</f>
        <v/>
      </c>
      <c r="E376" s="14" t="n"/>
      <c r="F376" s="15">
        <f>IF($E376="","",IFERROR(INDEX(rngSM_max,MATCH($E376,rngSM_cat,0)),""))</f>
        <v/>
      </c>
      <c r="G376" s="15">
        <f>IF($E376="","",IFERROR(INDEX(rngSM_mode,MATCH($E376,rngSM_cat,0)),""))</f>
        <v/>
      </c>
      <c r="H376" s="15">
        <f>IF($E376="","",IFERROR(INDEX(rngSM_pass,MATCH($E376,rngSM_cat,0)),""))</f>
        <v/>
      </c>
      <c r="I376" s="14" t="n"/>
      <c r="J376" s="14" t="n"/>
      <c r="K376" s="14" t="n"/>
      <c r="L376" s="16" t="n"/>
      <c r="M376" s="14" t="n"/>
      <c r="N376" s="15">
        <f>IF($C376="","",COUNTIFS(nrSK_PID,$D376,nrSK_Cat,$E376))</f>
        <v/>
      </c>
      <c r="O376" s="15">
        <f>IF($C376="","",_xlfn.LET(_xlpm.latest,_xlfn.MAXIFS(nrSK_Att,nrSK_PID,$D376,nrSK_Cat,$E376),_xlpm.res,IF($I376=_xlpm.latest,$J376,""),IF($I376&lt;&gt;_xlpm.latest,"(superseded)",IF(_xlpm.res="","Pending",IF(_xlpm.res="Pass","Qualified",IF(AND(_xlpm.res="Fail",$N376&gt;=$F376),"FAILED OUT","Needs Remediation"))))))</f>
        <v/>
      </c>
      <c r="P376" s="15">
        <f>IF($C376="","",IF($O376="FAILED OUT","Yes","No"))</f>
        <v/>
      </c>
      <c r="Q376" s="14" t="n"/>
    </row>
    <row r="377">
      <c r="B377" s="15">
        <f>IF($C377="","",$D377&amp;"-"&amp;$E377&amp;"-"&amp;$I377)</f>
        <v/>
      </c>
      <c r="C377" s="14" t="n"/>
      <c r="D377" s="15">
        <f>IF($C377="","",IFERROR(INDEX(rngCadetPIDs,MATCH($C377,rngCadetNames,0)),"?"))</f>
        <v/>
      </c>
      <c r="E377" s="14" t="n"/>
      <c r="F377" s="15">
        <f>IF($E377="","",IFERROR(INDEX(rngSM_max,MATCH($E377,rngSM_cat,0)),""))</f>
        <v/>
      </c>
      <c r="G377" s="15">
        <f>IF($E377="","",IFERROR(INDEX(rngSM_mode,MATCH($E377,rngSM_cat,0)),""))</f>
        <v/>
      </c>
      <c r="H377" s="15">
        <f>IF($E377="","",IFERROR(INDEX(rngSM_pass,MATCH($E377,rngSM_cat,0)),""))</f>
        <v/>
      </c>
      <c r="I377" s="14" t="n"/>
      <c r="J377" s="14" t="n"/>
      <c r="K377" s="14" t="n"/>
      <c r="L377" s="16" t="n"/>
      <c r="M377" s="14" t="n"/>
      <c r="N377" s="15">
        <f>IF($C377="","",COUNTIFS(nrSK_PID,$D377,nrSK_Cat,$E377))</f>
        <v/>
      </c>
      <c r="O377" s="15">
        <f>IF($C377="","",_xlfn.LET(_xlpm.latest,_xlfn.MAXIFS(nrSK_Att,nrSK_PID,$D377,nrSK_Cat,$E377),_xlpm.res,IF($I377=_xlpm.latest,$J377,""),IF($I377&lt;&gt;_xlpm.latest,"(superseded)",IF(_xlpm.res="","Pending",IF(_xlpm.res="Pass","Qualified",IF(AND(_xlpm.res="Fail",$N377&gt;=$F377),"FAILED OUT","Needs Remediation"))))))</f>
        <v/>
      </c>
      <c r="P377" s="15">
        <f>IF($C377="","",IF($O377="FAILED OUT","Yes","No"))</f>
        <v/>
      </c>
      <c r="Q377" s="14" t="n"/>
    </row>
    <row r="378">
      <c r="B378" s="15">
        <f>IF($C378="","",$D378&amp;"-"&amp;$E378&amp;"-"&amp;$I378)</f>
        <v/>
      </c>
      <c r="C378" s="14" t="n"/>
      <c r="D378" s="15">
        <f>IF($C378="","",IFERROR(INDEX(rngCadetPIDs,MATCH($C378,rngCadetNames,0)),"?"))</f>
        <v/>
      </c>
      <c r="E378" s="14" t="n"/>
      <c r="F378" s="15">
        <f>IF($E378="","",IFERROR(INDEX(rngSM_max,MATCH($E378,rngSM_cat,0)),""))</f>
        <v/>
      </c>
      <c r="G378" s="15">
        <f>IF($E378="","",IFERROR(INDEX(rngSM_mode,MATCH($E378,rngSM_cat,0)),""))</f>
        <v/>
      </c>
      <c r="H378" s="15">
        <f>IF($E378="","",IFERROR(INDEX(rngSM_pass,MATCH($E378,rngSM_cat,0)),""))</f>
        <v/>
      </c>
      <c r="I378" s="14" t="n"/>
      <c r="J378" s="14" t="n"/>
      <c r="K378" s="14" t="n"/>
      <c r="L378" s="16" t="n"/>
      <c r="M378" s="14" t="n"/>
      <c r="N378" s="15">
        <f>IF($C378="","",COUNTIFS(nrSK_PID,$D378,nrSK_Cat,$E378))</f>
        <v/>
      </c>
      <c r="O378" s="15">
        <f>IF($C378="","",_xlfn.LET(_xlpm.latest,_xlfn.MAXIFS(nrSK_Att,nrSK_PID,$D378,nrSK_Cat,$E378),_xlpm.res,IF($I378=_xlpm.latest,$J378,""),IF($I378&lt;&gt;_xlpm.latest,"(superseded)",IF(_xlpm.res="","Pending",IF(_xlpm.res="Pass","Qualified",IF(AND(_xlpm.res="Fail",$N378&gt;=$F378),"FAILED OUT","Needs Remediation"))))))</f>
        <v/>
      </c>
      <c r="P378" s="15">
        <f>IF($C378="","",IF($O378="FAILED OUT","Yes","No"))</f>
        <v/>
      </c>
      <c r="Q378" s="14" t="n"/>
    </row>
    <row r="379">
      <c r="B379" s="15">
        <f>IF($C379="","",$D379&amp;"-"&amp;$E379&amp;"-"&amp;$I379)</f>
        <v/>
      </c>
      <c r="C379" s="14" t="n"/>
      <c r="D379" s="15">
        <f>IF($C379="","",IFERROR(INDEX(rngCadetPIDs,MATCH($C379,rngCadetNames,0)),"?"))</f>
        <v/>
      </c>
      <c r="E379" s="14" t="n"/>
      <c r="F379" s="15">
        <f>IF($E379="","",IFERROR(INDEX(rngSM_max,MATCH($E379,rngSM_cat,0)),""))</f>
        <v/>
      </c>
      <c r="G379" s="15">
        <f>IF($E379="","",IFERROR(INDEX(rngSM_mode,MATCH($E379,rngSM_cat,0)),""))</f>
        <v/>
      </c>
      <c r="H379" s="15">
        <f>IF($E379="","",IFERROR(INDEX(rngSM_pass,MATCH($E379,rngSM_cat,0)),""))</f>
        <v/>
      </c>
      <c r="I379" s="14" t="n"/>
      <c r="J379" s="14" t="n"/>
      <c r="K379" s="14" t="n"/>
      <c r="L379" s="16" t="n"/>
      <c r="M379" s="14" t="n"/>
      <c r="N379" s="15">
        <f>IF($C379="","",COUNTIFS(nrSK_PID,$D379,nrSK_Cat,$E379))</f>
        <v/>
      </c>
      <c r="O379" s="15">
        <f>IF($C379="","",_xlfn.LET(_xlpm.latest,_xlfn.MAXIFS(nrSK_Att,nrSK_PID,$D379,nrSK_Cat,$E379),_xlpm.res,IF($I379=_xlpm.latest,$J379,""),IF($I379&lt;&gt;_xlpm.latest,"(superseded)",IF(_xlpm.res="","Pending",IF(_xlpm.res="Pass","Qualified",IF(AND(_xlpm.res="Fail",$N379&gt;=$F379),"FAILED OUT","Needs Remediation"))))))</f>
        <v/>
      </c>
      <c r="P379" s="15">
        <f>IF($C379="","",IF($O379="FAILED OUT","Yes","No"))</f>
        <v/>
      </c>
      <c r="Q379" s="14" t="n"/>
    </row>
    <row r="380">
      <c r="B380" s="15">
        <f>IF($C380="","",$D380&amp;"-"&amp;$E380&amp;"-"&amp;$I380)</f>
        <v/>
      </c>
      <c r="C380" s="14" t="n"/>
      <c r="D380" s="15">
        <f>IF($C380="","",IFERROR(INDEX(rngCadetPIDs,MATCH($C380,rngCadetNames,0)),"?"))</f>
        <v/>
      </c>
      <c r="E380" s="14" t="n"/>
      <c r="F380" s="15">
        <f>IF($E380="","",IFERROR(INDEX(rngSM_max,MATCH($E380,rngSM_cat,0)),""))</f>
        <v/>
      </c>
      <c r="G380" s="15">
        <f>IF($E380="","",IFERROR(INDEX(rngSM_mode,MATCH($E380,rngSM_cat,0)),""))</f>
        <v/>
      </c>
      <c r="H380" s="15">
        <f>IF($E380="","",IFERROR(INDEX(rngSM_pass,MATCH($E380,rngSM_cat,0)),""))</f>
        <v/>
      </c>
      <c r="I380" s="14" t="n"/>
      <c r="J380" s="14" t="n"/>
      <c r="K380" s="14" t="n"/>
      <c r="L380" s="16" t="n"/>
      <c r="M380" s="14" t="n"/>
      <c r="N380" s="15">
        <f>IF($C380="","",COUNTIFS(nrSK_PID,$D380,nrSK_Cat,$E380))</f>
        <v/>
      </c>
      <c r="O380" s="15">
        <f>IF($C380="","",_xlfn.LET(_xlpm.latest,_xlfn.MAXIFS(nrSK_Att,nrSK_PID,$D380,nrSK_Cat,$E380),_xlpm.res,IF($I380=_xlpm.latest,$J380,""),IF($I380&lt;&gt;_xlpm.latest,"(superseded)",IF(_xlpm.res="","Pending",IF(_xlpm.res="Pass","Qualified",IF(AND(_xlpm.res="Fail",$N380&gt;=$F380),"FAILED OUT","Needs Remediation"))))))</f>
        <v/>
      </c>
      <c r="P380" s="15">
        <f>IF($C380="","",IF($O380="FAILED OUT","Yes","No"))</f>
        <v/>
      </c>
      <c r="Q380" s="14" t="n"/>
    </row>
    <row r="381">
      <c r="B381" s="15">
        <f>IF($C381="","",$D381&amp;"-"&amp;$E381&amp;"-"&amp;$I381)</f>
        <v/>
      </c>
      <c r="C381" s="14" t="n"/>
      <c r="D381" s="15">
        <f>IF($C381="","",IFERROR(INDEX(rngCadetPIDs,MATCH($C381,rngCadetNames,0)),"?"))</f>
        <v/>
      </c>
      <c r="E381" s="14" t="n"/>
      <c r="F381" s="15">
        <f>IF($E381="","",IFERROR(INDEX(rngSM_max,MATCH($E381,rngSM_cat,0)),""))</f>
        <v/>
      </c>
      <c r="G381" s="15">
        <f>IF($E381="","",IFERROR(INDEX(rngSM_mode,MATCH($E381,rngSM_cat,0)),""))</f>
        <v/>
      </c>
      <c r="H381" s="15">
        <f>IF($E381="","",IFERROR(INDEX(rngSM_pass,MATCH($E381,rngSM_cat,0)),""))</f>
        <v/>
      </c>
      <c r="I381" s="14" t="n"/>
      <c r="J381" s="14" t="n"/>
      <c r="K381" s="14" t="n"/>
      <c r="L381" s="16" t="n"/>
      <c r="M381" s="14" t="n"/>
      <c r="N381" s="15">
        <f>IF($C381="","",COUNTIFS(nrSK_PID,$D381,nrSK_Cat,$E381))</f>
        <v/>
      </c>
      <c r="O381" s="15">
        <f>IF($C381="","",_xlfn.LET(_xlpm.latest,_xlfn.MAXIFS(nrSK_Att,nrSK_PID,$D381,nrSK_Cat,$E381),_xlpm.res,IF($I381=_xlpm.latest,$J381,""),IF($I381&lt;&gt;_xlpm.latest,"(superseded)",IF(_xlpm.res="","Pending",IF(_xlpm.res="Pass","Qualified",IF(AND(_xlpm.res="Fail",$N381&gt;=$F381),"FAILED OUT","Needs Remediation"))))))</f>
        <v/>
      </c>
      <c r="P381" s="15">
        <f>IF($C381="","",IF($O381="FAILED OUT","Yes","No"))</f>
        <v/>
      </c>
      <c r="Q381" s="14" t="n"/>
    </row>
    <row r="382">
      <c r="B382" s="15">
        <f>IF($C382="","",$D382&amp;"-"&amp;$E382&amp;"-"&amp;$I382)</f>
        <v/>
      </c>
      <c r="C382" s="14" t="n"/>
      <c r="D382" s="15">
        <f>IF($C382="","",IFERROR(INDEX(rngCadetPIDs,MATCH($C382,rngCadetNames,0)),"?"))</f>
        <v/>
      </c>
      <c r="E382" s="14" t="n"/>
      <c r="F382" s="15">
        <f>IF($E382="","",IFERROR(INDEX(rngSM_max,MATCH($E382,rngSM_cat,0)),""))</f>
        <v/>
      </c>
      <c r="G382" s="15">
        <f>IF($E382="","",IFERROR(INDEX(rngSM_mode,MATCH($E382,rngSM_cat,0)),""))</f>
        <v/>
      </c>
      <c r="H382" s="15">
        <f>IF($E382="","",IFERROR(INDEX(rngSM_pass,MATCH($E382,rngSM_cat,0)),""))</f>
        <v/>
      </c>
      <c r="I382" s="14" t="n"/>
      <c r="J382" s="14" t="n"/>
      <c r="K382" s="14" t="n"/>
      <c r="L382" s="16" t="n"/>
      <c r="M382" s="14" t="n"/>
      <c r="N382" s="15">
        <f>IF($C382="","",COUNTIFS(nrSK_PID,$D382,nrSK_Cat,$E382))</f>
        <v/>
      </c>
      <c r="O382" s="15">
        <f>IF($C382="","",_xlfn.LET(_xlpm.latest,_xlfn.MAXIFS(nrSK_Att,nrSK_PID,$D382,nrSK_Cat,$E382),_xlpm.res,IF($I382=_xlpm.latest,$J382,""),IF($I382&lt;&gt;_xlpm.latest,"(superseded)",IF(_xlpm.res="","Pending",IF(_xlpm.res="Pass","Qualified",IF(AND(_xlpm.res="Fail",$N382&gt;=$F382),"FAILED OUT","Needs Remediation"))))))</f>
        <v/>
      </c>
      <c r="P382" s="15">
        <f>IF($C382="","",IF($O382="FAILED OUT","Yes","No"))</f>
        <v/>
      </c>
      <c r="Q382" s="14" t="n"/>
    </row>
    <row r="383">
      <c r="B383" s="15">
        <f>IF($C383="","",$D383&amp;"-"&amp;$E383&amp;"-"&amp;$I383)</f>
        <v/>
      </c>
      <c r="C383" s="14" t="n"/>
      <c r="D383" s="15">
        <f>IF($C383="","",IFERROR(INDEX(rngCadetPIDs,MATCH($C383,rngCadetNames,0)),"?"))</f>
        <v/>
      </c>
      <c r="E383" s="14" t="n"/>
      <c r="F383" s="15">
        <f>IF($E383="","",IFERROR(INDEX(rngSM_max,MATCH($E383,rngSM_cat,0)),""))</f>
        <v/>
      </c>
      <c r="G383" s="15">
        <f>IF($E383="","",IFERROR(INDEX(rngSM_mode,MATCH($E383,rngSM_cat,0)),""))</f>
        <v/>
      </c>
      <c r="H383" s="15">
        <f>IF($E383="","",IFERROR(INDEX(rngSM_pass,MATCH($E383,rngSM_cat,0)),""))</f>
        <v/>
      </c>
      <c r="I383" s="14" t="n"/>
      <c r="J383" s="14" t="n"/>
      <c r="K383" s="14" t="n"/>
      <c r="L383" s="16" t="n"/>
      <c r="M383" s="14" t="n"/>
      <c r="N383" s="15">
        <f>IF($C383="","",COUNTIFS(nrSK_PID,$D383,nrSK_Cat,$E383))</f>
        <v/>
      </c>
      <c r="O383" s="15">
        <f>IF($C383="","",_xlfn.LET(_xlpm.latest,_xlfn.MAXIFS(nrSK_Att,nrSK_PID,$D383,nrSK_Cat,$E383),_xlpm.res,IF($I383=_xlpm.latest,$J383,""),IF($I383&lt;&gt;_xlpm.latest,"(superseded)",IF(_xlpm.res="","Pending",IF(_xlpm.res="Pass","Qualified",IF(AND(_xlpm.res="Fail",$N383&gt;=$F383),"FAILED OUT","Needs Remediation"))))))</f>
        <v/>
      </c>
      <c r="P383" s="15">
        <f>IF($C383="","",IF($O383="FAILED OUT","Yes","No"))</f>
        <v/>
      </c>
      <c r="Q383" s="14" t="n"/>
    </row>
    <row r="384">
      <c r="B384" s="15">
        <f>IF($C384="","",$D384&amp;"-"&amp;$E384&amp;"-"&amp;$I384)</f>
        <v/>
      </c>
      <c r="C384" s="14" t="n"/>
      <c r="D384" s="15">
        <f>IF($C384="","",IFERROR(INDEX(rngCadetPIDs,MATCH($C384,rngCadetNames,0)),"?"))</f>
        <v/>
      </c>
      <c r="E384" s="14" t="n"/>
      <c r="F384" s="15">
        <f>IF($E384="","",IFERROR(INDEX(rngSM_max,MATCH($E384,rngSM_cat,0)),""))</f>
        <v/>
      </c>
      <c r="G384" s="15">
        <f>IF($E384="","",IFERROR(INDEX(rngSM_mode,MATCH($E384,rngSM_cat,0)),""))</f>
        <v/>
      </c>
      <c r="H384" s="15">
        <f>IF($E384="","",IFERROR(INDEX(rngSM_pass,MATCH($E384,rngSM_cat,0)),""))</f>
        <v/>
      </c>
      <c r="I384" s="14" t="n"/>
      <c r="J384" s="14" t="n"/>
      <c r="K384" s="14" t="n"/>
      <c r="L384" s="16" t="n"/>
      <c r="M384" s="14" t="n"/>
      <c r="N384" s="15">
        <f>IF($C384="","",COUNTIFS(nrSK_PID,$D384,nrSK_Cat,$E384))</f>
        <v/>
      </c>
      <c r="O384" s="15">
        <f>IF($C384="","",_xlfn.LET(_xlpm.latest,_xlfn.MAXIFS(nrSK_Att,nrSK_PID,$D384,nrSK_Cat,$E384),_xlpm.res,IF($I384=_xlpm.latest,$J384,""),IF($I384&lt;&gt;_xlpm.latest,"(superseded)",IF(_xlpm.res="","Pending",IF(_xlpm.res="Pass","Qualified",IF(AND(_xlpm.res="Fail",$N384&gt;=$F384),"FAILED OUT","Needs Remediation"))))))</f>
        <v/>
      </c>
      <c r="P384" s="15">
        <f>IF($C384="","",IF($O384="FAILED OUT","Yes","No"))</f>
        <v/>
      </c>
      <c r="Q384" s="14" t="n"/>
    </row>
    <row r="385">
      <c r="B385" s="15">
        <f>IF($C385="","",$D385&amp;"-"&amp;$E385&amp;"-"&amp;$I385)</f>
        <v/>
      </c>
      <c r="C385" s="14" t="n"/>
      <c r="D385" s="15">
        <f>IF($C385="","",IFERROR(INDEX(rngCadetPIDs,MATCH($C385,rngCadetNames,0)),"?"))</f>
        <v/>
      </c>
      <c r="E385" s="14" t="n"/>
      <c r="F385" s="15">
        <f>IF($E385="","",IFERROR(INDEX(rngSM_max,MATCH($E385,rngSM_cat,0)),""))</f>
        <v/>
      </c>
      <c r="G385" s="15">
        <f>IF($E385="","",IFERROR(INDEX(rngSM_mode,MATCH($E385,rngSM_cat,0)),""))</f>
        <v/>
      </c>
      <c r="H385" s="15">
        <f>IF($E385="","",IFERROR(INDEX(rngSM_pass,MATCH($E385,rngSM_cat,0)),""))</f>
        <v/>
      </c>
      <c r="I385" s="14" t="n"/>
      <c r="J385" s="14" t="n"/>
      <c r="K385" s="14" t="n"/>
      <c r="L385" s="16" t="n"/>
      <c r="M385" s="14" t="n"/>
      <c r="N385" s="15">
        <f>IF($C385="","",COUNTIFS(nrSK_PID,$D385,nrSK_Cat,$E385))</f>
        <v/>
      </c>
      <c r="O385" s="15">
        <f>IF($C385="","",_xlfn.LET(_xlpm.latest,_xlfn.MAXIFS(nrSK_Att,nrSK_PID,$D385,nrSK_Cat,$E385),_xlpm.res,IF($I385=_xlpm.latest,$J385,""),IF($I385&lt;&gt;_xlpm.latest,"(superseded)",IF(_xlpm.res="","Pending",IF(_xlpm.res="Pass","Qualified",IF(AND(_xlpm.res="Fail",$N385&gt;=$F385),"FAILED OUT","Needs Remediation"))))))</f>
        <v/>
      </c>
      <c r="P385" s="15">
        <f>IF($C385="","",IF($O385="FAILED OUT","Yes","No"))</f>
        <v/>
      </c>
      <c r="Q385" s="14" t="n"/>
    </row>
    <row r="386">
      <c r="B386" s="15">
        <f>IF($C386="","",$D386&amp;"-"&amp;$E386&amp;"-"&amp;$I386)</f>
        <v/>
      </c>
      <c r="C386" s="14" t="n"/>
      <c r="D386" s="15">
        <f>IF($C386="","",IFERROR(INDEX(rngCadetPIDs,MATCH($C386,rngCadetNames,0)),"?"))</f>
        <v/>
      </c>
      <c r="E386" s="14" t="n"/>
      <c r="F386" s="15">
        <f>IF($E386="","",IFERROR(INDEX(rngSM_max,MATCH($E386,rngSM_cat,0)),""))</f>
        <v/>
      </c>
      <c r="G386" s="15">
        <f>IF($E386="","",IFERROR(INDEX(rngSM_mode,MATCH($E386,rngSM_cat,0)),""))</f>
        <v/>
      </c>
      <c r="H386" s="15">
        <f>IF($E386="","",IFERROR(INDEX(rngSM_pass,MATCH($E386,rngSM_cat,0)),""))</f>
        <v/>
      </c>
      <c r="I386" s="14" t="n"/>
      <c r="J386" s="14" t="n"/>
      <c r="K386" s="14" t="n"/>
      <c r="L386" s="16" t="n"/>
      <c r="M386" s="14" t="n"/>
      <c r="N386" s="15">
        <f>IF($C386="","",COUNTIFS(nrSK_PID,$D386,nrSK_Cat,$E386))</f>
        <v/>
      </c>
      <c r="O386" s="15">
        <f>IF($C386="","",_xlfn.LET(_xlpm.latest,_xlfn.MAXIFS(nrSK_Att,nrSK_PID,$D386,nrSK_Cat,$E386),_xlpm.res,IF($I386=_xlpm.latest,$J386,""),IF($I386&lt;&gt;_xlpm.latest,"(superseded)",IF(_xlpm.res="","Pending",IF(_xlpm.res="Pass","Qualified",IF(AND(_xlpm.res="Fail",$N386&gt;=$F386),"FAILED OUT","Needs Remediation"))))))</f>
        <v/>
      </c>
      <c r="P386" s="15">
        <f>IF($C386="","",IF($O386="FAILED OUT","Yes","No"))</f>
        <v/>
      </c>
      <c r="Q386" s="14" t="n"/>
    </row>
    <row r="387">
      <c r="B387" s="15">
        <f>IF($C387="","",$D387&amp;"-"&amp;$E387&amp;"-"&amp;$I387)</f>
        <v/>
      </c>
      <c r="C387" s="14" t="n"/>
      <c r="D387" s="15">
        <f>IF($C387="","",IFERROR(INDEX(rngCadetPIDs,MATCH($C387,rngCadetNames,0)),"?"))</f>
        <v/>
      </c>
      <c r="E387" s="14" t="n"/>
      <c r="F387" s="15">
        <f>IF($E387="","",IFERROR(INDEX(rngSM_max,MATCH($E387,rngSM_cat,0)),""))</f>
        <v/>
      </c>
      <c r="G387" s="15">
        <f>IF($E387="","",IFERROR(INDEX(rngSM_mode,MATCH($E387,rngSM_cat,0)),""))</f>
        <v/>
      </c>
      <c r="H387" s="15">
        <f>IF($E387="","",IFERROR(INDEX(rngSM_pass,MATCH($E387,rngSM_cat,0)),""))</f>
        <v/>
      </c>
      <c r="I387" s="14" t="n"/>
      <c r="J387" s="14" t="n"/>
      <c r="K387" s="14" t="n"/>
      <c r="L387" s="16" t="n"/>
      <c r="M387" s="14" t="n"/>
      <c r="N387" s="15">
        <f>IF($C387="","",COUNTIFS(nrSK_PID,$D387,nrSK_Cat,$E387))</f>
        <v/>
      </c>
      <c r="O387" s="15">
        <f>IF($C387="","",_xlfn.LET(_xlpm.latest,_xlfn.MAXIFS(nrSK_Att,nrSK_PID,$D387,nrSK_Cat,$E387),_xlpm.res,IF($I387=_xlpm.latest,$J387,""),IF($I387&lt;&gt;_xlpm.latest,"(superseded)",IF(_xlpm.res="","Pending",IF(_xlpm.res="Pass","Qualified",IF(AND(_xlpm.res="Fail",$N387&gt;=$F387),"FAILED OUT","Needs Remediation"))))))</f>
        <v/>
      </c>
      <c r="P387" s="15">
        <f>IF($C387="","",IF($O387="FAILED OUT","Yes","No"))</f>
        <v/>
      </c>
      <c r="Q387" s="14" t="n"/>
    </row>
    <row r="388">
      <c r="B388" s="15">
        <f>IF($C388="","",$D388&amp;"-"&amp;$E388&amp;"-"&amp;$I388)</f>
        <v/>
      </c>
      <c r="C388" s="14" t="n"/>
      <c r="D388" s="15">
        <f>IF($C388="","",IFERROR(INDEX(rngCadetPIDs,MATCH($C388,rngCadetNames,0)),"?"))</f>
        <v/>
      </c>
      <c r="E388" s="14" t="n"/>
      <c r="F388" s="15">
        <f>IF($E388="","",IFERROR(INDEX(rngSM_max,MATCH($E388,rngSM_cat,0)),""))</f>
        <v/>
      </c>
      <c r="G388" s="15">
        <f>IF($E388="","",IFERROR(INDEX(rngSM_mode,MATCH($E388,rngSM_cat,0)),""))</f>
        <v/>
      </c>
      <c r="H388" s="15">
        <f>IF($E388="","",IFERROR(INDEX(rngSM_pass,MATCH($E388,rngSM_cat,0)),""))</f>
        <v/>
      </c>
      <c r="I388" s="14" t="n"/>
      <c r="J388" s="14" t="n"/>
      <c r="K388" s="14" t="n"/>
      <c r="L388" s="16" t="n"/>
      <c r="M388" s="14" t="n"/>
      <c r="N388" s="15">
        <f>IF($C388="","",COUNTIFS(nrSK_PID,$D388,nrSK_Cat,$E388))</f>
        <v/>
      </c>
      <c r="O388" s="15">
        <f>IF($C388="","",_xlfn.LET(_xlpm.latest,_xlfn.MAXIFS(nrSK_Att,nrSK_PID,$D388,nrSK_Cat,$E388),_xlpm.res,IF($I388=_xlpm.latest,$J388,""),IF($I388&lt;&gt;_xlpm.latest,"(superseded)",IF(_xlpm.res="","Pending",IF(_xlpm.res="Pass","Qualified",IF(AND(_xlpm.res="Fail",$N388&gt;=$F388),"FAILED OUT","Needs Remediation"))))))</f>
        <v/>
      </c>
      <c r="P388" s="15">
        <f>IF($C388="","",IF($O388="FAILED OUT","Yes","No"))</f>
        <v/>
      </c>
      <c r="Q388" s="14" t="n"/>
    </row>
    <row r="389">
      <c r="B389" s="15">
        <f>IF($C389="","",$D389&amp;"-"&amp;$E389&amp;"-"&amp;$I389)</f>
        <v/>
      </c>
      <c r="C389" s="14" t="n"/>
      <c r="D389" s="15">
        <f>IF($C389="","",IFERROR(INDEX(rngCadetPIDs,MATCH($C389,rngCadetNames,0)),"?"))</f>
        <v/>
      </c>
      <c r="E389" s="14" t="n"/>
      <c r="F389" s="15">
        <f>IF($E389="","",IFERROR(INDEX(rngSM_max,MATCH($E389,rngSM_cat,0)),""))</f>
        <v/>
      </c>
      <c r="G389" s="15">
        <f>IF($E389="","",IFERROR(INDEX(rngSM_mode,MATCH($E389,rngSM_cat,0)),""))</f>
        <v/>
      </c>
      <c r="H389" s="15">
        <f>IF($E389="","",IFERROR(INDEX(rngSM_pass,MATCH($E389,rngSM_cat,0)),""))</f>
        <v/>
      </c>
      <c r="I389" s="14" t="n"/>
      <c r="J389" s="14" t="n"/>
      <c r="K389" s="14" t="n"/>
      <c r="L389" s="16" t="n"/>
      <c r="M389" s="14" t="n"/>
      <c r="N389" s="15">
        <f>IF($C389="","",COUNTIFS(nrSK_PID,$D389,nrSK_Cat,$E389))</f>
        <v/>
      </c>
      <c r="O389" s="15">
        <f>IF($C389="","",_xlfn.LET(_xlpm.latest,_xlfn.MAXIFS(nrSK_Att,nrSK_PID,$D389,nrSK_Cat,$E389),_xlpm.res,IF($I389=_xlpm.latest,$J389,""),IF($I389&lt;&gt;_xlpm.latest,"(superseded)",IF(_xlpm.res="","Pending",IF(_xlpm.res="Pass","Qualified",IF(AND(_xlpm.res="Fail",$N389&gt;=$F389),"FAILED OUT","Needs Remediation"))))))</f>
        <v/>
      </c>
      <c r="P389" s="15">
        <f>IF($C389="","",IF($O389="FAILED OUT","Yes","No"))</f>
        <v/>
      </c>
      <c r="Q389" s="14" t="n"/>
    </row>
    <row r="390">
      <c r="B390" s="15">
        <f>IF($C390="","",$D390&amp;"-"&amp;$E390&amp;"-"&amp;$I390)</f>
        <v/>
      </c>
      <c r="C390" s="14" t="n"/>
      <c r="D390" s="15">
        <f>IF($C390="","",IFERROR(INDEX(rngCadetPIDs,MATCH($C390,rngCadetNames,0)),"?"))</f>
        <v/>
      </c>
      <c r="E390" s="14" t="n"/>
      <c r="F390" s="15">
        <f>IF($E390="","",IFERROR(INDEX(rngSM_max,MATCH($E390,rngSM_cat,0)),""))</f>
        <v/>
      </c>
      <c r="G390" s="15">
        <f>IF($E390="","",IFERROR(INDEX(rngSM_mode,MATCH($E390,rngSM_cat,0)),""))</f>
        <v/>
      </c>
      <c r="H390" s="15">
        <f>IF($E390="","",IFERROR(INDEX(rngSM_pass,MATCH($E390,rngSM_cat,0)),""))</f>
        <v/>
      </c>
      <c r="I390" s="14" t="n"/>
      <c r="J390" s="14" t="n"/>
      <c r="K390" s="14" t="n"/>
      <c r="L390" s="16" t="n"/>
      <c r="M390" s="14" t="n"/>
      <c r="N390" s="15">
        <f>IF($C390="","",COUNTIFS(nrSK_PID,$D390,nrSK_Cat,$E390))</f>
        <v/>
      </c>
      <c r="O390" s="15">
        <f>IF($C390="","",_xlfn.LET(_xlpm.latest,_xlfn.MAXIFS(nrSK_Att,nrSK_PID,$D390,nrSK_Cat,$E390),_xlpm.res,IF($I390=_xlpm.latest,$J390,""),IF($I390&lt;&gt;_xlpm.latest,"(superseded)",IF(_xlpm.res="","Pending",IF(_xlpm.res="Pass","Qualified",IF(AND(_xlpm.res="Fail",$N390&gt;=$F390),"FAILED OUT","Needs Remediation"))))))</f>
        <v/>
      </c>
      <c r="P390" s="15">
        <f>IF($C390="","",IF($O390="FAILED OUT","Yes","No"))</f>
        <v/>
      </c>
      <c r="Q390" s="14" t="n"/>
    </row>
    <row r="391">
      <c r="B391" s="15">
        <f>IF($C391="","",$D391&amp;"-"&amp;$E391&amp;"-"&amp;$I391)</f>
        <v/>
      </c>
      <c r="C391" s="14" t="n"/>
      <c r="D391" s="15">
        <f>IF($C391="","",IFERROR(INDEX(rngCadetPIDs,MATCH($C391,rngCadetNames,0)),"?"))</f>
        <v/>
      </c>
      <c r="E391" s="14" t="n"/>
      <c r="F391" s="15">
        <f>IF($E391="","",IFERROR(INDEX(rngSM_max,MATCH($E391,rngSM_cat,0)),""))</f>
        <v/>
      </c>
      <c r="G391" s="15">
        <f>IF($E391="","",IFERROR(INDEX(rngSM_mode,MATCH($E391,rngSM_cat,0)),""))</f>
        <v/>
      </c>
      <c r="H391" s="15">
        <f>IF($E391="","",IFERROR(INDEX(rngSM_pass,MATCH($E391,rngSM_cat,0)),""))</f>
        <v/>
      </c>
      <c r="I391" s="14" t="n"/>
      <c r="J391" s="14" t="n"/>
      <c r="K391" s="14" t="n"/>
      <c r="L391" s="16" t="n"/>
      <c r="M391" s="14" t="n"/>
      <c r="N391" s="15">
        <f>IF($C391="","",COUNTIFS(nrSK_PID,$D391,nrSK_Cat,$E391))</f>
        <v/>
      </c>
      <c r="O391" s="15">
        <f>IF($C391="","",_xlfn.LET(_xlpm.latest,_xlfn.MAXIFS(nrSK_Att,nrSK_PID,$D391,nrSK_Cat,$E391),_xlpm.res,IF($I391=_xlpm.latest,$J391,""),IF($I391&lt;&gt;_xlpm.latest,"(superseded)",IF(_xlpm.res="","Pending",IF(_xlpm.res="Pass","Qualified",IF(AND(_xlpm.res="Fail",$N391&gt;=$F391),"FAILED OUT","Needs Remediation"))))))</f>
        <v/>
      </c>
      <c r="P391" s="15">
        <f>IF($C391="","",IF($O391="FAILED OUT","Yes","No"))</f>
        <v/>
      </c>
      <c r="Q391" s="14" t="n"/>
    </row>
    <row r="392">
      <c r="B392" s="15">
        <f>IF($C392="","",$D392&amp;"-"&amp;$E392&amp;"-"&amp;$I392)</f>
        <v/>
      </c>
      <c r="C392" s="14" t="n"/>
      <c r="D392" s="15">
        <f>IF($C392="","",IFERROR(INDEX(rngCadetPIDs,MATCH($C392,rngCadetNames,0)),"?"))</f>
        <v/>
      </c>
      <c r="E392" s="14" t="n"/>
      <c r="F392" s="15">
        <f>IF($E392="","",IFERROR(INDEX(rngSM_max,MATCH($E392,rngSM_cat,0)),""))</f>
        <v/>
      </c>
      <c r="G392" s="15">
        <f>IF($E392="","",IFERROR(INDEX(rngSM_mode,MATCH($E392,rngSM_cat,0)),""))</f>
        <v/>
      </c>
      <c r="H392" s="15">
        <f>IF($E392="","",IFERROR(INDEX(rngSM_pass,MATCH($E392,rngSM_cat,0)),""))</f>
        <v/>
      </c>
      <c r="I392" s="14" t="n"/>
      <c r="J392" s="14" t="n"/>
      <c r="K392" s="14" t="n"/>
      <c r="L392" s="16" t="n"/>
      <c r="M392" s="14" t="n"/>
      <c r="N392" s="15">
        <f>IF($C392="","",COUNTIFS(nrSK_PID,$D392,nrSK_Cat,$E392))</f>
        <v/>
      </c>
      <c r="O392" s="15">
        <f>IF($C392="","",_xlfn.LET(_xlpm.latest,_xlfn.MAXIFS(nrSK_Att,nrSK_PID,$D392,nrSK_Cat,$E392),_xlpm.res,IF($I392=_xlpm.latest,$J392,""),IF($I392&lt;&gt;_xlpm.latest,"(superseded)",IF(_xlpm.res="","Pending",IF(_xlpm.res="Pass","Qualified",IF(AND(_xlpm.res="Fail",$N392&gt;=$F392),"FAILED OUT","Needs Remediation"))))))</f>
        <v/>
      </c>
      <c r="P392" s="15">
        <f>IF($C392="","",IF($O392="FAILED OUT","Yes","No"))</f>
        <v/>
      </c>
      <c r="Q392" s="14" t="n"/>
    </row>
    <row r="393">
      <c r="B393" s="15">
        <f>IF($C393="","",$D393&amp;"-"&amp;$E393&amp;"-"&amp;$I393)</f>
        <v/>
      </c>
      <c r="C393" s="14" t="n"/>
      <c r="D393" s="15">
        <f>IF($C393="","",IFERROR(INDEX(rngCadetPIDs,MATCH($C393,rngCadetNames,0)),"?"))</f>
        <v/>
      </c>
      <c r="E393" s="14" t="n"/>
      <c r="F393" s="15">
        <f>IF($E393="","",IFERROR(INDEX(rngSM_max,MATCH($E393,rngSM_cat,0)),""))</f>
        <v/>
      </c>
      <c r="G393" s="15">
        <f>IF($E393="","",IFERROR(INDEX(rngSM_mode,MATCH($E393,rngSM_cat,0)),""))</f>
        <v/>
      </c>
      <c r="H393" s="15">
        <f>IF($E393="","",IFERROR(INDEX(rngSM_pass,MATCH($E393,rngSM_cat,0)),""))</f>
        <v/>
      </c>
      <c r="I393" s="14" t="n"/>
      <c r="J393" s="14" t="n"/>
      <c r="K393" s="14" t="n"/>
      <c r="L393" s="16" t="n"/>
      <c r="M393" s="14" t="n"/>
      <c r="N393" s="15">
        <f>IF($C393="","",COUNTIFS(nrSK_PID,$D393,nrSK_Cat,$E393))</f>
        <v/>
      </c>
      <c r="O393" s="15">
        <f>IF($C393="","",_xlfn.LET(_xlpm.latest,_xlfn.MAXIFS(nrSK_Att,nrSK_PID,$D393,nrSK_Cat,$E393),_xlpm.res,IF($I393=_xlpm.latest,$J393,""),IF($I393&lt;&gt;_xlpm.latest,"(superseded)",IF(_xlpm.res="","Pending",IF(_xlpm.res="Pass","Qualified",IF(AND(_xlpm.res="Fail",$N393&gt;=$F393),"FAILED OUT","Needs Remediation"))))))</f>
        <v/>
      </c>
      <c r="P393" s="15">
        <f>IF($C393="","",IF($O393="FAILED OUT","Yes","No"))</f>
        <v/>
      </c>
      <c r="Q393" s="14" t="n"/>
    </row>
    <row r="394">
      <c r="B394" s="15">
        <f>IF($C394="","",$D394&amp;"-"&amp;$E394&amp;"-"&amp;$I394)</f>
        <v/>
      </c>
      <c r="C394" s="14" t="n"/>
      <c r="D394" s="15">
        <f>IF($C394="","",IFERROR(INDEX(rngCadetPIDs,MATCH($C394,rngCadetNames,0)),"?"))</f>
        <v/>
      </c>
      <c r="E394" s="14" t="n"/>
      <c r="F394" s="15">
        <f>IF($E394="","",IFERROR(INDEX(rngSM_max,MATCH($E394,rngSM_cat,0)),""))</f>
        <v/>
      </c>
      <c r="G394" s="15">
        <f>IF($E394="","",IFERROR(INDEX(rngSM_mode,MATCH($E394,rngSM_cat,0)),""))</f>
        <v/>
      </c>
      <c r="H394" s="15">
        <f>IF($E394="","",IFERROR(INDEX(rngSM_pass,MATCH($E394,rngSM_cat,0)),""))</f>
        <v/>
      </c>
      <c r="I394" s="14" t="n"/>
      <c r="J394" s="14" t="n"/>
      <c r="K394" s="14" t="n"/>
      <c r="L394" s="16" t="n"/>
      <c r="M394" s="14" t="n"/>
      <c r="N394" s="15">
        <f>IF($C394="","",COUNTIFS(nrSK_PID,$D394,nrSK_Cat,$E394))</f>
        <v/>
      </c>
      <c r="O394" s="15">
        <f>IF($C394="","",_xlfn.LET(_xlpm.latest,_xlfn.MAXIFS(nrSK_Att,nrSK_PID,$D394,nrSK_Cat,$E394),_xlpm.res,IF($I394=_xlpm.latest,$J394,""),IF($I394&lt;&gt;_xlpm.latest,"(superseded)",IF(_xlpm.res="","Pending",IF(_xlpm.res="Pass","Qualified",IF(AND(_xlpm.res="Fail",$N394&gt;=$F394),"FAILED OUT","Needs Remediation"))))))</f>
        <v/>
      </c>
      <c r="P394" s="15">
        <f>IF($C394="","",IF($O394="FAILED OUT","Yes","No"))</f>
        <v/>
      </c>
      <c r="Q394" s="14" t="n"/>
    </row>
    <row r="395">
      <c r="B395" s="15">
        <f>IF($C395="","",$D395&amp;"-"&amp;$E395&amp;"-"&amp;$I395)</f>
        <v/>
      </c>
      <c r="C395" s="14" t="n"/>
      <c r="D395" s="15">
        <f>IF($C395="","",IFERROR(INDEX(rngCadetPIDs,MATCH($C395,rngCadetNames,0)),"?"))</f>
        <v/>
      </c>
      <c r="E395" s="14" t="n"/>
      <c r="F395" s="15">
        <f>IF($E395="","",IFERROR(INDEX(rngSM_max,MATCH($E395,rngSM_cat,0)),""))</f>
        <v/>
      </c>
      <c r="G395" s="15">
        <f>IF($E395="","",IFERROR(INDEX(rngSM_mode,MATCH($E395,rngSM_cat,0)),""))</f>
        <v/>
      </c>
      <c r="H395" s="15">
        <f>IF($E395="","",IFERROR(INDEX(rngSM_pass,MATCH($E395,rngSM_cat,0)),""))</f>
        <v/>
      </c>
      <c r="I395" s="14" t="n"/>
      <c r="J395" s="14" t="n"/>
      <c r="K395" s="14" t="n"/>
      <c r="L395" s="16" t="n"/>
      <c r="M395" s="14" t="n"/>
      <c r="N395" s="15">
        <f>IF($C395="","",COUNTIFS(nrSK_PID,$D395,nrSK_Cat,$E395))</f>
        <v/>
      </c>
      <c r="O395" s="15">
        <f>IF($C395="","",_xlfn.LET(_xlpm.latest,_xlfn.MAXIFS(nrSK_Att,nrSK_PID,$D395,nrSK_Cat,$E395),_xlpm.res,IF($I395=_xlpm.latest,$J395,""),IF($I395&lt;&gt;_xlpm.latest,"(superseded)",IF(_xlpm.res="","Pending",IF(_xlpm.res="Pass","Qualified",IF(AND(_xlpm.res="Fail",$N395&gt;=$F395),"FAILED OUT","Needs Remediation"))))))</f>
        <v/>
      </c>
      <c r="P395" s="15">
        <f>IF($C395="","",IF($O395="FAILED OUT","Yes","No"))</f>
        <v/>
      </c>
      <c r="Q395" s="14" t="n"/>
    </row>
    <row r="396">
      <c r="B396" s="15">
        <f>IF($C396="","",$D396&amp;"-"&amp;$E396&amp;"-"&amp;$I396)</f>
        <v/>
      </c>
      <c r="C396" s="14" t="n"/>
      <c r="D396" s="15">
        <f>IF($C396="","",IFERROR(INDEX(rngCadetPIDs,MATCH($C396,rngCadetNames,0)),"?"))</f>
        <v/>
      </c>
      <c r="E396" s="14" t="n"/>
      <c r="F396" s="15">
        <f>IF($E396="","",IFERROR(INDEX(rngSM_max,MATCH($E396,rngSM_cat,0)),""))</f>
        <v/>
      </c>
      <c r="G396" s="15">
        <f>IF($E396="","",IFERROR(INDEX(rngSM_mode,MATCH($E396,rngSM_cat,0)),""))</f>
        <v/>
      </c>
      <c r="H396" s="15">
        <f>IF($E396="","",IFERROR(INDEX(rngSM_pass,MATCH($E396,rngSM_cat,0)),""))</f>
        <v/>
      </c>
      <c r="I396" s="14" t="n"/>
      <c r="J396" s="14" t="n"/>
      <c r="K396" s="14" t="n"/>
      <c r="L396" s="16" t="n"/>
      <c r="M396" s="14" t="n"/>
      <c r="N396" s="15">
        <f>IF($C396="","",COUNTIFS(nrSK_PID,$D396,nrSK_Cat,$E396))</f>
        <v/>
      </c>
      <c r="O396" s="15">
        <f>IF($C396="","",_xlfn.LET(_xlpm.latest,_xlfn.MAXIFS(nrSK_Att,nrSK_PID,$D396,nrSK_Cat,$E396),_xlpm.res,IF($I396=_xlpm.latest,$J396,""),IF($I396&lt;&gt;_xlpm.latest,"(superseded)",IF(_xlpm.res="","Pending",IF(_xlpm.res="Pass","Qualified",IF(AND(_xlpm.res="Fail",$N396&gt;=$F396),"FAILED OUT","Needs Remediation"))))))</f>
        <v/>
      </c>
      <c r="P396" s="15">
        <f>IF($C396="","",IF($O396="FAILED OUT","Yes","No"))</f>
        <v/>
      </c>
      <c r="Q396" s="14" t="n"/>
    </row>
    <row r="397">
      <c r="B397" s="15">
        <f>IF($C397="","",$D397&amp;"-"&amp;$E397&amp;"-"&amp;$I397)</f>
        <v/>
      </c>
      <c r="C397" s="14" t="n"/>
      <c r="D397" s="15">
        <f>IF($C397="","",IFERROR(INDEX(rngCadetPIDs,MATCH($C397,rngCadetNames,0)),"?"))</f>
        <v/>
      </c>
      <c r="E397" s="14" t="n"/>
      <c r="F397" s="15">
        <f>IF($E397="","",IFERROR(INDEX(rngSM_max,MATCH($E397,rngSM_cat,0)),""))</f>
        <v/>
      </c>
      <c r="G397" s="15">
        <f>IF($E397="","",IFERROR(INDEX(rngSM_mode,MATCH($E397,rngSM_cat,0)),""))</f>
        <v/>
      </c>
      <c r="H397" s="15">
        <f>IF($E397="","",IFERROR(INDEX(rngSM_pass,MATCH($E397,rngSM_cat,0)),""))</f>
        <v/>
      </c>
      <c r="I397" s="14" t="n"/>
      <c r="J397" s="14" t="n"/>
      <c r="K397" s="14" t="n"/>
      <c r="L397" s="16" t="n"/>
      <c r="M397" s="14" t="n"/>
      <c r="N397" s="15">
        <f>IF($C397="","",COUNTIFS(nrSK_PID,$D397,nrSK_Cat,$E397))</f>
        <v/>
      </c>
      <c r="O397" s="15">
        <f>IF($C397="","",_xlfn.LET(_xlpm.latest,_xlfn.MAXIFS(nrSK_Att,nrSK_PID,$D397,nrSK_Cat,$E397),_xlpm.res,IF($I397=_xlpm.latest,$J397,""),IF($I397&lt;&gt;_xlpm.latest,"(superseded)",IF(_xlpm.res="","Pending",IF(_xlpm.res="Pass","Qualified",IF(AND(_xlpm.res="Fail",$N397&gt;=$F397),"FAILED OUT","Needs Remediation"))))))</f>
        <v/>
      </c>
      <c r="P397" s="15">
        <f>IF($C397="","",IF($O397="FAILED OUT","Yes","No"))</f>
        <v/>
      </c>
      <c r="Q397" s="14" t="n"/>
    </row>
    <row r="398">
      <c r="B398" s="15">
        <f>IF($C398="","",$D398&amp;"-"&amp;$E398&amp;"-"&amp;$I398)</f>
        <v/>
      </c>
      <c r="C398" s="14" t="n"/>
      <c r="D398" s="15">
        <f>IF($C398="","",IFERROR(INDEX(rngCadetPIDs,MATCH($C398,rngCadetNames,0)),"?"))</f>
        <v/>
      </c>
      <c r="E398" s="14" t="n"/>
      <c r="F398" s="15">
        <f>IF($E398="","",IFERROR(INDEX(rngSM_max,MATCH($E398,rngSM_cat,0)),""))</f>
        <v/>
      </c>
      <c r="G398" s="15">
        <f>IF($E398="","",IFERROR(INDEX(rngSM_mode,MATCH($E398,rngSM_cat,0)),""))</f>
        <v/>
      </c>
      <c r="H398" s="15">
        <f>IF($E398="","",IFERROR(INDEX(rngSM_pass,MATCH($E398,rngSM_cat,0)),""))</f>
        <v/>
      </c>
      <c r="I398" s="14" t="n"/>
      <c r="J398" s="14" t="n"/>
      <c r="K398" s="14" t="n"/>
      <c r="L398" s="16" t="n"/>
      <c r="M398" s="14" t="n"/>
      <c r="N398" s="15">
        <f>IF($C398="","",COUNTIFS(nrSK_PID,$D398,nrSK_Cat,$E398))</f>
        <v/>
      </c>
      <c r="O398" s="15">
        <f>IF($C398="","",_xlfn.LET(_xlpm.latest,_xlfn.MAXIFS(nrSK_Att,nrSK_PID,$D398,nrSK_Cat,$E398),_xlpm.res,IF($I398=_xlpm.latest,$J398,""),IF($I398&lt;&gt;_xlpm.latest,"(superseded)",IF(_xlpm.res="","Pending",IF(_xlpm.res="Pass","Qualified",IF(AND(_xlpm.res="Fail",$N398&gt;=$F398),"FAILED OUT","Needs Remediation"))))))</f>
        <v/>
      </c>
      <c r="P398" s="15">
        <f>IF($C398="","",IF($O398="FAILED OUT","Yes","No"))</f>
        <v/>
      </c>
      <c r="Q398" s="14" t="n"/>
    </row>
    <row r="399">
      <c r="B399" s="15">
        <f>IF($C399="","",$D399&amp;"-"&amp;$E399&amp;"-"&amp;$I399)</f>
        <v/>
      </c>
      <c r="C399" s="14" t="n"/>
      <c r="D399" s="15">
        <f>IF($C399="","",IFERROR(INDEX(rngCadetPIDs,MATCH($C399,rngCadetNames,0)),"?"))</f>
        <v/>
      </c>
      <c r="E399" s="14" t="n"/>
      <c r="F399" s="15">
        <f>IF($E399="","",IFERROR(INDEX(rngSM_max,MATCH($E399,rngSM_cat,0)),""))</f>
        <v/>
      </c>
      <c r="G399" s="15">
        <f>IF($E399="","",IFERROR(INDEX(rngSM_mode,MATCH($E399,rngSM_cat,0)),""))</f>
        <v/>
      </c>
      <c r="H399" s="15">
        <f>IF($E399="","",IFERROR(INDEX(rngSM_pass,MATCH($E399,rngSM_cat,0)),""))</f>
        <v/>
      </c>
      <c r="I399" s="14" t="n"/>
      <c r="J399" s="14" t="n"/>
      <c r="K399" s="14" t="n"/>
      <c r="L399" s="16" t="n"/>
      <c r="M399" s="14" t="n"/>
      <c r="N399" s="15">
        <f>IF($C399="","",COUNTIFS(nrSK_PID,$D399,nrSK_Cat,$E399))</f>
        <v/>
      </c>
      <c r="O399" s="15">
        <f>IF($C399="","",_xlfn.LET(_xlpm.latest,_xlfn.MAXIFS(nrSK_Att,nrSK_PID,$D399,nrSK_Cat,$E399),_xlpm.res,IF($I399=_xlpm.latest,$J399,""),IF($I399&lt;&gt;_xlpm.latest,"(superseded)",IF(_xlpm.res="","Pending",IF(_xlpm.res="Pass","Qualified",IF(AND(_xlpm.res="Fail",$N399&gt;=$F399),"FAILED OUT","Needs Remediation"))))))</f>
        <v/>
      </c>
      <c r="P399" s="15">
        <f>IF($C399="","",IF($O399="FAILED OUT","Yes","No"))</f>
        <v/>
      </c>
      <c r="Q399" s="14" t="n"/>
    </row>
    <row r="400">
      <c r="B400" s="15">
        <f>IF($C400="","",$D400&amp;"-"&amp;$E400&amp;"-"&amp;$I400)</f>
        <v/>
      </c>
      <c r="C400" s="14" t="n"/>
      <c r="D400" s="15">
        <f>IF($C400="","",IFERROR(INDEX(rngCadetPIDs,MATCH($C400,rngCadetNames,0)),"?"))</f>
        <v/>
      </c>
      <c r="E400" s="14" t="n"/>
      <c r="F400" s="15">
        <f>IF($E400="","",IFERROR(INDEX(rngSM_max,MATCH($E400,rngSM_cat,0)),""))</f>
        <v/>
      </c>
      <c r="G400" s="15">
        <f>IF($E400="","",IFERROR(INDEX(rngSM_mode,MATCH($E400,rngSM_cat,0)),""))</f>
        <v/>
      </c>
      <c r="H400" s="15">
        <f>IF($E400="","",IFERROR(INDEX(rngSM_pass,MATCH($E400,rngSM_cat,0)),""))</f>
        <v/>
      </c>
      <c r="I400" s="14" t="n"/>
      <c r="J400" s="14" t="n"/>
      <c r="K400" s="14" t="n"/>
      <c r="L400" s="16" t="n"/>
      <c r="M400" s="14" t="n"/>
      <c r="N400" s="15">
        <f>IF($C400="","",COUNTIFS(nrSK_PID,$D400,nrSK_Cat,$E400))</f>
        <v/>
      </c>
      <c r="O400" s="15">
        <f>IF($C400="","",_xlfn.LET(_xlpm.latest,_xlfn.MAXIFS(nrSK_Att,nrSK_PID,$D400,nrSK_Cat,$E400),_xlpm.res,IF($I400=_xlpm.latest,$J400,""),IF($I400&lt;&gt;_xlpm.latest,"(superseded)",IF(_xlpm.res="","Pending",IF(_xlpm.res="Pass","Qualified",IF(AND(_xlpm.res="Fail",$N400&gt;=$F400),"FAILED OUT","Needs Remediation"))))))</f>
        <v/>
      </c>
      <c r="P400" s="15">
        <f>IF($C400="","",IF($O400="FAILED OUT","Yes","No"))</f>
        <v/>
      </c>
      <c r="Q400" s="14" t="n"/>
    </row>
    <row r="401">
      <c r="B401" s="15">
        <f>IF($C401="","",$D401&amp;"-"&amp;$E401&amp;"-"&amp;$I401)</f>
        <v/>
      </c>
      <c r="C401" s="14" t="n"/>
      <c r="D401" s="15">
        <f>IF($C401="","",IFERROR(INDEX(rngCadetPIDs,MATCH($C401,rngCadetNames,0)),"?"))</f>
        <v/>
      </c>
      <c r="E401" s="14" t="n"/>
      <c r="F401" s="15">
        <f>IF($E401="","",IFERROR(INDEX(rngSM_max,MATCH($E401,rngSM_cat,0)),""))</f>
        <v/>
      </c>
      <c r="G401" s="15">
        <f>IF($E401="","",IFERROR(INDEX(rngSM_mode,MATCH($E401,rngSM_cat,0)),""))</f>
        <v/>
      </c>
      <c r="H401" s="15">
        <f>IF($E401="","",IFERROR(INDEX(rngSM_pass,MATCH($E401,rngSM_cat,0)),""))</f>
        <v/>
      </c>
      <c r="I401" s="14" t="n"/>
      <c r="J401" s="14" t="n"/>
      <c r="K401" s="14" t="n"/>
      <c r="L401" s="16" t="n"/>
      <c r="M401" s="14" t="n"/>
      <c r="N401" s="15">
        <f>IF($C401="","",COUNTIFS(nrSK_PID,$D401,nrSK_Cat,$E401))</f>
        <v/>
      </c>
      <c r="O401" s="15">
        <f>IF($C401="","",_xlfn.LET(_xlpm.latest,_xlfn.MAXIFS(nrSK_Att,nrSK_PID,$D401,nrSK_Cat,$E401),_xlpm.res,IF($I401=_xlpm.latest,$J401,""),IF($I401&lt;&gt;_xlpm.latest,"(superseded)",IF(_xlpm.res="","Pending",IF(_xlpm.res="Pass","Qualified",IF(AND(_xlpm.res="Fail",$N401&gt;=$F401),"FAILED OUT","Needs Remediation"))))))</f>
        <v/>
      </c>
      <c r="P401" s="15">
        <f>IF($C401="","",IF($O401="FAILED OUT","Yes","No"))</f>
        <v/>
      </c>
      <c r="Q401" s="14" t="n"/>
    </row>
    <row r="402">
      <c r="B402" s="15">
        <f>IF($C402="","",$D402&amp;"-"&amp;$E402&amp;"-"&amp;$I402)</f>
        <v/>
      </c>
      <c r="C402" s="14" t="n"/>
      <c r="D402" s="15">
        <f>IF($C402="","",IFERROR(INDEX(rngCadetPIDs,MATCH($C402,rngCadetNames,0)),"?"))</f>
        <v/>
      </c>
      <c r="E402" s="14" t="n"/>
      <c r="F402" s="15">
        <f>IF($E402="","",IFERROR(INDEX(rngSM_max,MATCH($E402,rngSM_cat,0)),""))</f>
        <v/>
      </c>
      <c r="G402" s="15">
        <f>IF($E402="","",IFERROR(INDEX(rngSM_mode,MATCH($E402,rngSM_cat,0)),""))</f>
        <v/>
      </c>
      <c r="H402" s="15">
        <f>IF($E402="","",IFERROR(INDEX(rngSM_pass,MATCH($E402,rngSM_cat,0)),""))</f>
        <v/>
      </c>
      <c r="I402" s="14" t="n"/>
      <c r="J402" s="14" t="n"/>
      <c r="K402" s="14" t="n"/>
      <c r="L402" s="16" t="n"/>
      <c r="M402" s="14" t="n"/>
      <c r="N402" s="15">
        <f>IF($C402="","",COUNTIFS(nrSK_PID,$D402,nrSK_Cat,$E402))</f>
        <v/>
      </c>
      <c r="O402" s="15">
        <f>IF($C402="","",_xlfn.LET(_xlpm.latest,_xlfn.MAXIFS(nrSK_Att,nrSK_PID,$D402,nrSK_Cat,$E402),_xlpm.res,IF($I402=_xlpm.latest,$J402,""),IF($I402&lt;&gt;_xlpm.latest,"(superseded)",IF(_xlpm.res="","Pending",IF(_xlpm.res="Pass","Qualified",IF(AND(_xlpm.res="Fail",$N402&gt;=$F402),"FAILED OUT","Needs Remediation"))))))</f>
        <v/>
      </c>
      <c r="P402" s="15">
        <f>IF($C402="","",IF($O402="FAILED OUT","Yes","No"))</f>
        <v/>
      </c>
      <c r="Q402" s="14" t="n"/>
    </row>
    <row r="403">
      <c r="B403" s="15">
        <f>IF($C403="","",$D403&amp;"-"&amp;$E403&amp;"-"&amp;$I403)</f>
        <v/>
      </c>
      <c r="C403" s="14" t="n"/>
      <c r="D403" s="15">
        <f>IF($C403="","",IFERROR(INDEX(rngCadetPIDs,MATCH($C403,rngCadetNames,0)),"?"))</f>
        <v/>
      </c>
      <c r="E403" s="14" t="n"/>
      <c r="F403" s="15">
        <f>IF($E403="","",IFERROR(INDEX(rngSM_max,MATCH($E403,rngSM_cat,0)),""))</f>
        <v/>
      </c>
      <c r="G403" s="15">
        <f>IF($E403="","",IFERROR(INDEX(rngSM_mode,MATCH($E403,rngSM_cat,0)),""))</f>
        <v/>
      </c>
      <c r="H403" s="15">
        <f>IF($E403="","",IFERROR(INDEX(rngSM_pass,MATCH($E403,rngSM_cat,0)),""))</f>
        <v/>
      </c>
      <c r="I403" s="14" t="n"/>
      <c r="J403" s="14" t="n"/>
      <c r="K403" s="14" t="n"/>
      <c r="L403" s="16" t="n"/>
      <c r="M403" s="14" t="n"/>
      <c r="N403" s="15">
        <f>IF($C403="","",COUNTIFS(nrSK_PID,$D403,nrSK_Cat,$E403))</f>
        <v/>
      </c>
      <c r="O403" s="15">
        <f>IF($C403="","",_xlfn.LET(_xlpm.latest,_xlfn.MAXIFS(nrSK_Att,nrSK_PID,$D403,nrSK_Cat,$E403),_xlpm.res,IF($I403=_xlpm.latest,$J403,""),IF($I403&lt;&gt;_xlpm.latest,"(superseded)",IF(_xlpm.res="","Pending",IF(_xlpm.res="Pass","Qualified",IF(AND(_xlpm.res="Fail",$N403&gt;=$F403),"FAILED OUT","Needs Remediation"))))))</f>
        <v/>
      </c>
      <c r="P403" s="15">
        <f>IF($C403="","",IF($O403="FAILED OUT","Yes","No"))</f>
        <v/>
      </c>
      <c r="Q403" s="14" t="n"/>
    </row>
    <row r="404">
      <c r="B404" s="15">
        <f>IF($C404="","",$D404&amp;"-"&amp;$E404&amp;"-"&amp;$I404)</f>
        <v/>
      </c>
      <c r="C404" s="14" t="n"/>
      <c r="D404" s="15">
        <f>IF($C404="","",IFERROR(INDEX(rngCadetPIDs,MATCH($C404,rngCadetNames,0)),"?"))</f>
        <v/>
      </c>
      <c r="E404" s="14" t="n"/>
      <c r="F404" s="15">
        <f>IF($E404="","",IFERROR(INDEX(rngSM_max,MATCH($E404,rngSM_cat,0)),""))</f>
        <v/>
      </c>
      <c r="G404" s="15">
        <f>IF($E404="","",IFERROR(INDEX(rngSM_mode,MATCH($E404,rngSM_cat,0)),""))</f>
        <v/>
      </c>
      <c r="H404" s="15">
        <f>IF($E404="","",IFERROR(INDEX(rngSM_pass,MATCH($E404,rngSM_cat,0)),""))</f>
        <v/>
      </c>
      <c r="I404" s="14" t="n"/>
      <c r="J404" s="14" t="n"/>
      <c r="K404" s="14" t="n"/>
      <c r="L404" s="16" t="n"/>
      <c r="M404" s="14" t="n"/>
      <c r="N404" s="15">
        <f>IF($C404="","",COUNTIFS(nrSK_PID,$D404,nrSK_Cat,$E404))</f>
        <v/>
      </c>
      <c r="O404" s="15">
        <f>IF($C404="","",_xlfn.LET(_xlpm.latest,_xlfn.MAXIFS(nrSK_Att,nrSK_PID,$D404,nrSK_Cat,$E404),_xlpm.res,IF($I404=_xlpm.latest,$J404,""),IF($I404&lt;&gt;_xlpm.latest,"(superseded)",IF(_xlpm.res="","Pending",IF(_xlpm.res="Pass","Qualified",IF(AND(_xlpm.res="Fail",$N404&gt;=$F404),"FAILED OUT","Needs Remediation"))))))</f>
        <v/>
      </c>
      <c r="P404" s="15">
        <f>IF($C404="","",IF($O404="FAILED OUT","Yes","No"))</f>
        <v/>
      </c>
      <c r="Q404" s="14" t="n"/>
    </row>
    <row r="405">
      <c r="B405" s="15">
        <f>IF($C405="","",$D405&amp;"-"&amp;$E405&amp;"-"&amp;$I405)</f>
        <v/>
      </c>
      <c r="C405" s="14" t="n"/>
      <c r="D405" s="15">
        <f>IF($C405="","",IFERROR(INDEX(rngCadetPIDs,MATCH($C405,rngCadetNames,0)),"?"))</f>
        <v/>
      </c>
      <c r="E405" s="14" t="n"/>
      <c r="F405" s="15">
        <f>IF($E405="","",IFERROR(INDEX(rngSM_max,MATCH($E405,rngSM_cat,0)),""))</f>
        <v/>
      </c>
      <c r="G405" s="15">
        <f>IF($E405="","",IFERROR(INDEX(rngSM_mode,MATCH($E405,rngSM_cat,0)),""))</f>
        <v/>
      </c>
      <c r="H405" s="15">
        <f>IF($E405="","",IFERROR(INDEX(rngSM_pass,MATCH($E405,rngSM_cat,0)),""))</f>
        <v/>
      </c>
      <c r="I405" s="14" t="n"/>
      <c r="J405" s="14" t="n"/>
      <c r="K405" s="14" t="n"/>
      <c r="L405" s="16" t="n"/>
      <c r="M405" s="14" t="n"/>
      <c r="N405" s="15">
        <f>IF($C405="","",COUNTIFS(nrSK_PID,$D405,nrSK_Cat,$E405))</f>
        <v/>
      </c>
      <c r="O405" s="15">
        <f>IF($C405="","",_xlfn.LET(_xlpm.latest,_xlfn.MAXIFS(nrSK_Att,nrSK_PID,$D405,nrSK_Cat,$E405),_xlpm.res,IF($I405=_xlpm.latest,$J405,""),IF($I405&lt;&gt;_xlpm.latest,"(superseded)",IF(_xlpm.res="","Pending",IF(_xlpm.res="Pass","Qualified",IF(AND(_xlpm.res="Fail",$N405&gt;=$F405),"FAILED OUT","Needs Remediation"))))))</f>
        <v/>
      </c>
      <c r="P405" s="15">
        <f>IF($C405="","",IF($O405="FAILED OUT","Yes","No"))</f>
        <v/>
      </c>
      <c r="Q405" s="14" t="n"/>
    </row>
    <row r="406">
      <c r="B406" s="15">
        <f>IF($C406="","",$D406&amp;"-"&amp;$E406&amp;"-"&amp;$I406)</f>
        <v/>
      </c>
      <c r="C406" s="14" t="n"/>
      <c r="D406" s="15">
        <f>IF($C406="","",IFERROR(INDEX(rngCadetPIDs,MATCH($C406,rngCadetNames,0)),"?"))</f>
        <v/>
      </c>
      <c r="E406" s="14" t="n"/>
      <c r="F406" s="15">
        <f>IF($E406="","",IFERROR(INDEX(rngSM_max,MATCH($E406,rngSM_cat,0)),""))</f>
        <v/>
      </c>
      <c r="G406" s="15">
        <f>IF($E406="","",IFERROR(INDEX(rngSM_mode,MATCH($E406,rngSM_cat,0)),""))</f>
        <v/>
      </c>
      <c r="H406" s="15">
        <f>IF($E406="","",IFERROR(INDEX(rngSM_pass,MATCH($E406,rngSM_cat,0)),""))</f>
        <v/>
      </c>
      <c r="I406" s="14" t="n"/>
      <c r="J406" s="14" t="n"/>
      <c r="K406" s="14" t="n"/>
      <c r="L406" s="16" t="n"/>
      <c r="M406" s="14" t="n"/>
      <c r="N406" s="15">
        <f>IF($C406="","",COUNTIFS(nrSK_PID,$D406,nrSK_Cat,$E406))</f>
        <v/>
      </c>
      <c r="O406" s="15">
        <f>IF($C406="","",_xlfn.LET(_xlpm.latest,_xlfn.MAXIFS(nrSK_Att,nrSK_PID,$D406,nrSK_Cat,$E406),_xlpm.res,IF($I406=_xlpm.latest,$J406,""),IF($I406&lt;&gt;_xlpm.latest,"(superseded)",IF(_xlpm.res="","Pending",IF(_xlpm.res="Pass","Qualified",IF(AND(_xlpm.res="Fail",$N406&gt;=$F406),"FAILED OUT","Needs Remediation"))))))</f>
        <v/>
      </c>
      <c r="P406" s="15">
        <f>IF($C406="","",IF($O406="FAILED OUT","Yes","No"))</f>
        <v/>
      </c>
      <c r="Q406" s="14" t="n"/>
    </row>
    <row r="407">
      <c r="B407" s="15">
        <f>IF($C407="","",$D407&amp;"-"&amp;$E407&amp;"-"&amp;$I407)</f>
        <v/>
      </c>
      <c r="C407" s="14" t="n"/>
      <c r="D407" s="15">
        <f>IF($C407="","",IFERROR(INDEX(rngCadetPIDs,MATCH($C407,rngCadetNames,0)),"?"))</f>
        <v/>
      </c>
      <c r="E407" s="14" t="n"/>
      <c r="F407" s="15">
        <f>IF($E407="","",IFERROR(INDEX(rngSM_max,MATCH($E407,rngSM_cat,0)),""))</f>
        <v/>
      </c>
      <c r="G407" s="15">
        <f>IF($E407="","",IFERROR(INDEX(rngSM_mode,MATCH($E407,rngSM_cat,0)),""))</f>
        <v/>
      </c>
      <c r="H407" s="15">
        <f>IF($E407="","",IFERROR(INDEX(rngSM_pass,MATCH($E407,rngSM_cat,0)),""))</f>
        <v/>
      </c>
      <c r="I407" s="14" t="n"/>
      <c r="J407" s="14" t="n"/>
      <c r="K407" s="14" t="n"/>
      <c r="L407" s="16" t="n"/>
      <c r="M407" s="14" t="n"/>
      <c r="N407" s="15">
        <f>IF($C407="","",COUNTIFS(nrSK_PID,$D407,nrSK_Cat,$E407))</f>
        <v/>
      </c>
      <c r="O407" s="15">
        <f>IF($C407="","",_xlfn.LET(_xlpm.latest,_xlfn.MAXIFS(nrSK_Att,nrSK_PID,$D407,nrSK_Cat,$E407),_xlpm.res,IF($I407=_xlpm.latest,$J407,""),IF($I407&lt;&gt;_xlpm.latest,"(superseded)",IF(_xlpm.res="","Pending",IF(_xlpm.res="Pass","Qualified",IF(AND(_xlpm.res="Fail",$N407&gt;=$F407),"FAILED OUT","Needs Remediation"))))))</f>
        <v/>
      </c>
      <c r="P407" s="15">
        <f>IF($C407="","",IF($O407="FAILED OUT","Yes","No"))</f>
        <v/>
      </c>
      <c r="Q407" s="14" t="n"/>
    </row>
    <row r="408">
      <c r="B408" s="15">
        <f>IF($C408="","",$D408&amp;"-"&amp;$E408&amp;"-"&amp;$I408)</f>
        <v/>
      </c>
      <c r="C408" s="14" t="n"/>
      <c r="D408" s="15">
        <f>IF($C408="","",IFERROR(INDEX(rngCadetPIDs,MATCH($C408,rngCadetNames,0)),"?"))</f>
        <v/>
      </c>
      <c r="E408" s="14" t="n"/>
      <c r="F408" s="15">
        <f>IF($E408="","",IFERROR(INDEX(rngSM_max,MATCH($E408,rngSM_cat,0)),""))</f>
        <v/>
      </c>
      <c r="G408" s="15">
        <f>IF($E408="","",IFERROR(INDEX(rngSM_mode,MATCH($E408,rngSM_cat,0)),""))</f>
        <v/>
      </c>
      <c r="H408" s="15">
        <f>IF($E408="","",IFERROR(INDEX(rngSM_pass,MATCH($E408,rngSM_cat,0)),""))</f>
        <v/>
      </c>
      <c r="I408" s="14" t="n"/>
      <c r="J408" s="14" t="n"/>
      <c r="K408" s="14" t="n"/>
      <c r="L408" s="16" t="n"/>
      <c r="M408" s="14" t="n"/>
      <c r="N408" s="15">
        <f>IF($C408="","",COUNTIFS(nrSK_PID,$D408,nrSK_Cat,$E408))</f>
        <v/>
      </c>
      <c r="O408" s="15">
        <f>IF($C408="","",_xlfn.LET(_xlpm.latest,_xlfn.MAXIFS(nrSK_Att,nrSK_PID,$D408,nrSK_Cat,$E408),_xlpm.res,IF($I408=_xlpm.latest,$J408,""),IF($I408&lt;&gt;_xlpm.latest,"(superseded)",IF(_xlpm.res="","Pending",IF(_xlpm.res="Pass","Qualified",IF(AND(_xlpm.res="Fail",$N408&gt;=$F408),"FAILED OUT","Needs Remediation"))))))</f>
        <v/>
      </c>
      <c r="P408" s="15">
        <f>IF($C408="","",IF($O408="FAILED OUT","Yes","No"))</f>
        <v/>
      </c>
      <c r="Q408" s="14" t="n"/>
    </row>
    <row r="409">
      <c r="B409" s="15">
        <f>IF($C409="","",$D409&amp;"-"&amp;$E409&amp;"-"&amp;$I409)</f>
        <v/>
      </c>
      <c r="C409" s="14" t="n"/>
      <c r="D409" s="15">
        <f>IF($C409="","",IFERROR(INDEX(rngCadetPIDs,MATCH($C409,rngCadetNames,0)),"?"))</f>
        <v/>
      </c>
      <c r="E409" s="14" t="n"/>
      <c r="F409" s="15">
        <f>IF($E409="","",IFERROR(INDEX(rngSM_max,MATCH($E409,rngSM_cat,0)),""))</f>
        <v/>
      </c>
      <c r="G409" s="15">
        <f>IF($E409="","",IFERROR(INDEX(rngSM_mode,MATCH($E409,rngSM_cat,0)),""))</f>
        <v/>
      </c>
      <c r="H409" s="15">
        <f>IF($E409="","",IFERROR(INDEX(rngSM_pass,MATCH($E409,rngSM_cat,0)),""))</f>
        <v/>
      </c>
      <c r="I409" s="14" t="n"/>
      <c r="J409" s="14" t="n"/>
      <c r="K409" s="14" t="n"/>
      <c r="L409" s="16" t="n"/>
      <c r="M409" s="14" t="n"/>
      <c r="N409" s="15">
        <f>IF($C409="","",COUNTIFS(nrSK_PID,$D409,nrSK_Cat,$E409))</f>
        <v/>
      </c>
      <c r="O409" s="15">
        <f>IF($C409="","",_xlfn.LET(_xlpm.latest,_xlfn.MAXIFS(nrSK_Att,nrSK_PID,$D409,nrSK_Cat,$E409),_xlpm.res,IF($I409=_xlpm.latest,$J409,""),IF($I409&lt;&gt;_xlpm.latest,"(superseded)",IF(_xlpm.res="","Pending",IF(_xlpm.res="Pass","Qualified",IF(AND(_xlpm.res="Fail",$N409&gt;=$F409),"FAILED OUT","Needs Remediation"))))))</f>
        <v/>
      </c>
      <c r="P409" s="15">
        <f>IF($C409="","",IF($O409="FAILED OUT","Yes","No"))</f>
        <v/>
      </c>
      <c r="Q409" s="14" t="n"/>
    </row>
    <row r="410">
      <c r="B410" s="15">
        <f>IF($C410="","",$D410&amp;"-"&amp;$E410&amp;"-"&amp;$I410)</f>
        <v/>
      </c>
      <c r="C410" s="14" t="n"/>
      <c r="D410" s="15">
        <f>IF($C410="","",IFERROR(INDEX(rngCadetPIDs,MATCH($C410,rngCadetNames,0)),"?"))</f>
        <v/>
      </c>
      <c r="E410" s="14" t="n"/>
      <c r="F410" s="15">
        <f>IF($E410="","",IFERROR(INDEX(rngSM_max,MATCH($E410,rngSM_cat,0)),""))</f>
        <v/>
      </c>
      <c r="G410" s="15">
        <f>IF($E410="","",IFERROR(INDEX(rngSM_mode,MATCH($E410,rngSM_cat,0)),""))</f>
        <v/>
      </c>
      <c r="H410" s="15">
        <f>IF($E410="","",IFERROR(INDEX(rngSM_pass,MATCH($E410,rngSM_cat,0)),""))</f>
        <v/>
      </c>
      <c r="I410" s="14" t="n"/>
      <c r="J410" s="14" t="n"/>
      <c r="K410" s="14" t="n"/>
      <c r="L410" s="16" t="n"/>
      <c r="M410" s="14" t="n"/>
      <c r="N410" s="15">
        <f>IF($C410="","",COUNTIFS(nrSK_PID,$D410,nrSK_Cat,$E410))</f>
        <v/>
      </c>
      <c r="O410" s="15">
        <f>IF($C410="","",_xlfn.LET(_xlpm.latest,_xlfn.MAXIFS(nrSK_Att,nrSK_PID,$D410,nrSK_Cat,$E410),_xlpm.res,IF($I410=_xlpm.latest,$J410,""),IF($I410&lt;&gt;_xlpm.latest,"(superseded)",IF(_xlpm.res="","Pending",IF(_xlpm.res="Pass","Qualified",IF(AND(_xlpm.res="Fail",$N410&gt;=$F410),"FAILED OUT","Needs Remediation"))))))</f>
        <v/>
      </c>
      <c r="P410" s="15">
        <f>IF($C410="","",IF($O410="FAILED OUT","Yes","No"))</f>
        <v/>
      </c>
      <c r="Q410" s="14" t="n"/>
    </row>
    <row r="411">
      <c r="B411" s="15">
        <f>IF($C411="","",$D411&amp;"-"&amp;$E411&amp;"-"&amp;$I411)</f>
        <v/>
      </c>
      <c r="C411" s="14" t="n"/>
      <c r="D411" s="15">
        <f>IF($C411="","",IFERROR(INDEX(rngCadetPIDs,MATCH($C411,rngCadetNames,0)),"?"))</f>
        <v/>
      </c>
      <c r="E411" s="14" t="n"/>
      <c r="F411" s="15">
        <f>IF($E411="","",IFERROR(INDEX(rngSM_max,MATCH($E411,rngSM_cat,0)),""))</f>
        <v/>
      </c>
      <c r="G411" s="15">
        <f>IF($E411="","",IFERROR(INDEX(rngSM_mode,MATCH($E411,rngSM_cat,0)),""))</f>
        <v/>
      </c>
      <c r="H411" s="15">
        <f>IF($E411="","",IFERROR(INDEX(rngSM_pass,MATCH($E411,rngSM_cat,0)),""))</f>
        <v/>
      </c>
      <c r="I411" s="14" t="n"/>
      <c r="J411" s="14" t="n"/>
      <c r="K411" s="14" t="n"/>
      <c r="L411" s="16" t="n"/>
      <c r="M411" s="14" t="n"/>
      <c r="N411" s="15">
        <f>IF($C411="","",COUNTIFS(nrSK_PID,$D411,nrSK_Cat,$E411))</f>
        <v/>
      </c>
      <c r="O411" s="15">
        <f>IF($C411="","",_xlfn.LET(_xlpm.latest,_xlfn.MAXIFS(nrSK_Att,nrSK_PID,$D411,nrSK_Cat,$E411),_xlpm.res,IF($I411=_xlpm.latest,$J411,""),IF($I411&lt;&gt;_xlpm.latest,"(superseded)",IF(_xlpm.res="","Pending",IF(_xlpm.res="Pass","Qualified",IF(AND(_xlpm.res="Fail",$N411&gt;=$F411),"FAILED OUT","Needs Remediation"))))))</f>
        <v/>
      </c>
      <c r="P411" s="15">
        <f>IF($C411="","",IF($O411="FAILED OUT","Yes","No"))</f>
        <v/>
      </c>
      <c r="Q411" s="14" t="n"/>
    </row>
    <row r="412">
      <c r="B412" s="15">
        <f>IF($C412="","",$D412&amp;"-"&amp;$E412&amp;"-"&amp;$I412)</f>
        <v/>
      </c>
      <c r="C412" s="14" t="n"/>
      <c r="D412" s="15">
        <f>IF($C412="","",IFERROR(INDEX(rngCadetPIDs,MATCH($C412,rngCadetNames,0)),"?"))</f>
        <v/>
      </c>
      <c r="E412" s="14" t="n"/>
      <c r="F412" s="15">
        <f>IF($E412="","",IFERROR(INDEX(rngSM_max,MATCH($E412,rngSM_cat,0)),""))</f>
        <v/>
      </c>
      <c r="G412" s="15">
        <f>IF($E412="","",IFERROR(INDEX(rngSM_mode,MATCH($E412,rngSM_cat,0)),""))</f>
        <v/>
      </c>
      <c r="H412" s="15">
        <f>IF($E412="","",IFERROR(INDEX(rngSM_pass,MATCH($E412,rngSM_cat,0)),""))</f>
        <v/>
      </c>
      <c r="I412" s="14" t="n"/>
      <c r="J412" s="14" t="n"/>
      <c r="K412" s="14" t="n"/>
      <c r="L412" s="16" t="n"/>
      <c r="M412" s="14" t="n"/>
      <c r="N412" s="15">
        <f>IF($C412="","",COUNTIFS(nrSK_PID,$D412,nrSK_Cat,$E412))</f>
        <v/>
      </c>
      <c r="O412" s="15">
        <f>IF($C412="","",_xlfn.LET(_xlpm.latest,_xlfn.MAXIFS(nrSK_Att,nrSK_PID,$D412,nrSK_Cat,$E412),_xlpm.res,IF($I412=_xlpm.latest,$J412,""),IF($I412&lt;&gt;_xlpm.latest,"(superseded)",IF(_xlpm.res="","Pending",IF(_xlpm.res="Pass","Qualified",IF(AND(_xlpm.res="Fail",$N412&gt;=$F412),"FAILED OUT","Needs Remediation"))))))</f>
        <v/>
      </c>
      <c r="P412" s="15">
        <f>IF($C412="","",IF($O412="FAILED OUT","Yes","No"))</f>
        <v/>
      </c>
      <c r="Q412" s="14" t="n"/>
    </row>
    <row r="413">
      <c r="B413" s="15">
        <f>IF($C413="","",$D413&amp;"-"&amp;$E413&amp;"-"&amp;$I413)</f>
        <v/>
      </c>
      <c r="C413" s="14" t="n"/>
      <c r="D413" s="15">
        <f>IF($C413="","",IFERROR(INDEX(rngCadetPIDs,MATCH($C413,rngCadetNames,0)),"?"))</f>
        <v/>
      </c>
      <c r="E413" s="14" t="n"/>
      <c r="F413" s="15">
        <f>IF($E413="","",IFERROR(INDEX(rngSM_max,MATCH($E413,rngSM_cat,0)),""))</f>
        <v/>
      </c>
      <c r="G413" s="15">
        <f>IF($E413="","",IFERROR(INDEX(rngSM_mode,MATCH($E413,rngSM_cat,0)),""))</f>
        <v/>
      </c>
      <c r="H413" s="15">
        <f>IF($E413="","",IFERROR(INDEX(rngSM_pass,MATCH($E413,rngSM_cat,0)),""))</f>
        <v/>
      </c>
      <c r="I413" s="14" t="n"/>
      <c r="J413" s="14" t="n"/>
      <c r="K413" s="14" t="n"/>
      <c r="L413" s="16" t="n"/>
      <c r="M413" s="14" t="n"/>
      <c r="N413" s="15">
        <f>IF($C413="","",COUNTIFS(nrSK_PID,$D413,nrSK_Cat,$E413))</f>
        <v/>
      </c>
      <c r="O413" s="15">
        <f>IF($C413="","",_xlfn.LET(_xlpm.latest,_xlfn.MAXIFS(nrSK_Att,nrSK_PID,$D413,nrSK_Cat,$E413),_xlpm.res,IF($I413=_xlpm.latest,$J413,""),IF($I413&lt;&gt;_xlpm.latest,"(superseded)",IF(_xlpm.res="","Pending",IF(_xlpm.res="Pass","Qualified",IF(AND(_xlpm.res="Fail",$N413&gt;=$F413),"FAILED OUT","Needs Remediation"))))))</f>
        <v/>
      </c>
      <c r="P413" s="15">
        <f>IF($C413="","",IF($O413="FAILED OUT","Yes","No"))</f>
        <v/>
      </c>
      <c r="Q413" s="14" t="n"/>
    </row>
    <row r="414">
      <c r="B414" s="15">
        <f>IF($C414="","",$D414&amp;"-"&amp;$E414&amp;"-"&amp;$I414)</f>
        <v/>
      </c>
      <c r="C414" s="14" t="n"/>
      <c r="D414" s="15">
        <f>IF($C414="","",IFERROR(INDEX(rngCadetPIDs,MATCH($C414,rngCadetNames,0)),"?"))</f>
        <v/>
      </c>
      <c r="E414" s="14" t="n"/>
      <c r="F414" s="15">
        <f>IF($E414="","",IFERROR(INDEX(rngSM_max,MATCH($E414,rngSM_cat,0)),""))</f>
        <v/>
      </c>
      <c r="G414" s="15">
        <f>IF($E414="","",IFERROR(INDEX(rngSM_mode,MATCH($E414,rngSM_cat,0)),""))</f>
        <v/>
      </c>
      <c r="H414" s="15">
        <f>IF($E414="","",IFERROR(INDEX(rngSM_pass,MATCH($E414,rngSM_cat,0)),""))</f>
        <v/>
      </c>
      <c r="I414" s="14" t="n"/>
      <c r="J414" s="14" t="n"/>
      <c r="K414" s="14" t="n"/>
      <c r="L414" s="16" t="n"/>
      <c r="M414" s="14" t="n"/>
      <c r="N414" s="15">
        <f>IF($C414="","",COUNTIFS(nrSK_PID,$D414,nrSK_Cat,$E414))</f>
        <v/>
      </c>
      <c r="O414" s="15">
        <f>IF($C414="","",_xlfn.LET(_xlpm.latest,_xlfn.MAXIFS(nrSK_Att,nrSK_PID,$D414,nrSK_Cat,$E414),_xlpm.res,IF($I414=_xlpm.latest,$J414,""),IF($I414&lt;&gt;_xlpm.latest,"(superseded)",IF(_xlpm.res="","Pending",IF(_xlpm.res="Pass","Qualified",IF(AND(_xlpm.res="Fail",$N414&gt;=$F414),"FAILED OUT","Needs Remediation"))))))</f>
        <v/>
      </c>
      <c r="P414" s="15">
        <f>IF($C414="","",IF($O414="FAILED OUT","Yes","No"))</f>
        <v/>
      </c>
      <c r="Q414" s="14" t="n"/>
    </row>
    <row r="415">
      <c r="B415" s="15">
        <f>IF($C415="","",$D415&amp;"-"&amp;$E415&amp;"-"&amp;$I415)</f>
        <v/>
      </c>
      <c r="C415" s="14" t="n"/>
      <c r="D415" s="15">
        <f>IF($C415="","",IFERROR(INDEX(rngCadetPIDs,MATCH($C415,rngCadetNames,0)),"?"))</f>
        <v/>
      </c>
      <c r="E415" s="14" t="n"/>
      <c r="F415" s="15">
        <f>IF($E415="","",IFERROR(INDEX(rngSM_max,MATCH($E415,rngSM_cat,0)),""))</f>
        <v/>
      </c>
      <c r="G415" s="15">
        <f>IF($E415="","",IFERROR(INDEX(rngSM_mode,MATCH($E415,rngSM_cat,0)),""))</f>
        <v/>
      </c>
      <c r="H415" s="15">
        <f>IF($E415="","",IFERROR(INDEX(rngSM_pass,MATCH($E415,rngSM_cat,0)),""))</f>
        <v/>
      </c>
      <c r="I415" s="14" t="n"/>
      <c r="J415" s="14" t="n"/>
      <c r="K415" s="14" t="n"/>
      <c r="L415" s="16" t="n"/>
      <c r="M415" s="14" t="n"/>
      <c r="N415" s="15">
        <f>IF($C415="","",COUNTIFS(nrSK_PID,$D415,nrSK_Cat,$E415))</f>
        <v/>
      </c>
      <c r="O415" s="15">
        <f>IF($C415="","",_xlfn.LET(_xlpm.latest,_xlfn.MAXIFS(nrSK_Att,nrSK_PID,$D415,nrSK_Cat,$E415),_xlpm.res,IF($I415=_xlpm.latest,$J415,""),IF($I415&lt;&gt;_xlpm.latest,"(superseded)",IF(_xlpm.res="","Pending",IF(_xlpm.res="Pass","Qualified",IF(AND(_xlpm.res="Fail",$N415&gt;=$F415),"FAILED OUT","Needs Remediation"))))))</f>
        <v/>
      </c>
      <c r="P415" s="15">
        <f>IF($C415="","",IF($O415="FAILED OUT","Yes","No"))</f>
        <v/>
      </c>
      <c r="Q415" s="14" t="n"/>
    </row>
    <row r="416">
      <c r="B416" s="15">
        <f>IF($C416="","",$D416&amp;"-"&amp;$E416&amp;"-"&amp;$I416)</f>
        <v/>
      </c>
      <c r="C416" s="14" t="n"/>
      <c r="D416" s="15">
        <f>IF($C416="","",IFERROR(INDEX(rngCadetPIDs,MATCH($C416,rngCadetNames,0)),"?"))</f>
        <v/>
      </c>
      <c r="E416" s="14" t="n"/>
      <c r="F416" s="15">
        <f>IF($E416="","",IFERROR(INDEX(rngSM_max,MATCH($E416,rngSM_cat,0)),""))</f>
        <v/>
      </c>
      <c r="G416" s="15">
        <f>IF($E416="","",IFERROR(INDEX(rngSM_mode,MATCH($E416,rngSM_cat,0)),""))</f>
        <v/>
      </c>
      <c r="H416" s="15">
        <f>IF($E416="","",IFERROR(INDEX(rngSM_pass,MATCH($E416,rngSM_cat,0)),""))</f>
        <v/>
      </c>
      <c r="I416" s="14" t="n"/>
      <c r="J416" s="14" t="n"/>
      <c r="K416" s="14" t="n"/>
      <c r="L416" s="16" t="n"/>
      <c r="M416" s="14" t="n"/>
      <c r="N416" s="15">
        <f>IF($C416="","",COUNTIFS(nrSK_PID,$D416,nrSK_Cat,$E416))</f>
        <v/>
      </c>
      <c r="O416" s="15">
        <f>IF($C416="","",_xlfn.LET(_xlpm.latest,_xlfn.MAXIFS(nrSK_Att,nrSK_PID,$D416,nrSK_Cat,$E416),_xlpm.res,IF($I416=_xlpm.latest,$J416,""),IF($I416&lt;&gt;_xlpm.latest,"(superseded)",IF(_xlpm.res="","Pending",IF(_xlpm.res="Pass","Qualified",IF(AND(_xlpm.res="Fail",$N416&gt;=$F416),"FAILED OUT","Needs Remediation"))))))</f>
        <v/>
      </c>
      <c r="P416" s="15">
        <f>IF($C416="","",IF($O416="FAILED OUT","Yes","No"))</f>
        <v/>
      </c>
      <c r="Q416" s="14" t="n"/>
    </row>
    <row r="417">
      <c r="B417" s="15">
        <f>IF($C417="","",$D417&amp;"-"&amp;$E417&amp;"-"&amp;$I417)</f>
        <v/>
      </c>
      <c r="C417" s="14" t="n"/>
      <c r="D417" s="15">
        <f>IF($C417="","",IFERROR(INDEX(rngCadetPIDs,MATCH($C417,rngCadetNames,0)),"?"))</f>
        <v/>
      </c>
      <c r="E417" s="14" t="n"/>
      <c r="F417" s="15">
        <f>IF($E417="","",IFERROR(INDEX(rngSM_max,MATCH($E417,rngSM_cat,0)),""))</f>
        <v/>
      </c>
      <c r="G417" s="15">
        <f>IF($E417="","",IFERROR(INDEX(rngSM_mode,MATCH($E417,rngSM_cat,0)),""))</f>
        <v/>
      </c>
      <c r="H417" s="15">
        <f>IF($E417="","",IFERROR(INDEX(rngSM_pass,MATCH($E417,rngSM_cat,0)),""))</f>
        <v/>
      </c>
      <c r="I417" s="14" t="n"/>
      <c r="J417" s="14" t="n"/>
      <c r="K417" s="14" t="n"/>
      <c r="L417" s="16" t="n"/>
      <c r="M417" s="14" t="n"/>
      <c r="N417" s="15">
        <f>IF($C417="","",COUNTIFS(nrSK_PID,$D417,nrSK_Cat,$E417))</f>
        <v/>
      </c>
      <c r="O417" s="15">
        <f>IF($C417="","",_xlfn.LET(_xlpm.latest,_xlfn.MAXIFS(nrSK_Att,nrSK_PID,$D417,nrSK_Cat,$E417),_xlpm.res,IF($I417=_xlpm.latest,$J417,""),IF($I417&lt;&gt;_xlpm.latest,"(superseded)",IF(_xlpm.res="","Pending",IF(_xlpm.res="Pass","Qualified",IF(AND(_xlpm.res="Fail",$N417&gt;=$F417),"FAILED OUT","Needs Remediation"))))))</f>
        <v/>
      </c>
      <c r="P417" s="15">
        <f>IF($C417="","",IF($O417="FAILED OUT","Yes","No"))</f>
        <v/>
      </c>
      <c r="Q417" s="14" t="n"/>
    </row>
    <row r="418">
      <c r="B418" s="15">
        <f>IF($C418="","",$D418&amp;"-"&amp;$E418&amp;"-"&amp;$I418)</f>
        <v/>
      </c>
      <c r="C418" s="14" t="n"/>
      <c r="D418" s="15">
        <f>IF($C418="","",IFERROR(INDEX(rngCadetPIDs,MATCH($C418,rngCadetNames,0)),"?"))</f>
        <v/>
      </c>
      <c r="E418" s="14" t="n"/>
      <c r="F418" s="15">
        <f>IF($E418="","",IFERROR(INDEX(rngSM_max,MATCH($E418,rngSM_cat,0)),""))</f>
        <v/>
      </c>
      <c r="G418" s="15">
        <f>IF($E418="","",IFERROR(INDEX(rngSM_mode,MATCH($E418,rngSM_cat,0)),""))</f>
        <v/>
      </c>
      <c r="H418" s="15">
        <f>IF($E418="","",IFERROR(INDEX(rngSM_pass,MATCH($E418,rngSM_cat,0)),""))</f>
        <v/>
      </c>
      <c r="I418" s="14" t="n"/>
      <c r="J418" s="14" t="n"/>
      <c r="K418" s="14" t="n"/>
      <c r="L418" s="16" t="n"/>
      <c r="M418" s="14" t="n"/>
      <c r="N418" s="15">
        <f>IF($C418="","",COUNTIFS(nrSK_PID,$D418,nrSK_Cat,$E418))</f>
        <v/>
      </c>
      <c r="O418" s="15">
        <f>IF($C418="","",_xlfn.LET(_xlpm.latest,_xlfn.MAXIFS(nrSK_Att,nrSK_PID,$D418,nrSK_Cat,$E418),_xlpm.res,IF($I418=_xlpm.latest,$J418,""),IF($I418&lt;&gt;_xlpm.latest,"(superseded)",IF(_xlpm.res="","Pending",IF(_xlpm.res="Pass","Qualified",IF(AND(_xlpm.res="Fail",$N418&gt;=$F418),"FAILED OUT","Needs Remediation"))))))</f>
        <v/>
      </c>
      <c r="P418" s="15">
        <f>IF($C418="","",IF($O418="FAILED OUT","Yes","No"))</f>
        <v/>
      </c>
      <c r="Q418" s="14" t="n"/>
    </row>
    <row r="419">
      <c r="B419" s="15">
        <f>IF($C419="","",$D419&amp;"-"&amp;$E419&amp;"-"&amp;$I419)</f>
        <v/>
      </c>
      <c r="C419" s="14" t="n"/>
      <c r="D419" s="15">
        <f>IF($C419="","",IFERROR(INDEX(rngCadetPIDs,MATCH($C419,rngCadetNames,0)),"?"))</f>
        <v/>
      </c>
      <c r="E419" s="14" t="n"/>
      <c r="F419" s="15">
        <f>IF($E419="","",IFERROR(INDEX(rngSM_max,MATCH($E419,rngSM_cat,0)),""))</f>
        <v/>
      </c>
      <c r="G419" s="15">
        <f>IF($E419="","",IFERROR(INDEX(rngSM_mode,MATCH($E419,rngSM_cat,0)),""))</f>
        <v/>
      </c>
      <c r="H419" s="15">
        <f>IF($E419="","",IFERROR(INDEX(rngSM_pass,MATCH($E419,rngSM_cat,0)),""))</f>
        <v/>
      </c>
      <c r="I419" s="14" t="n"/>
      <c r="J419" s="14" t="n"/>
      <c r="K419" s="14" t="n"/>
      <c r="L419" s="16" t="n"/>
      <c r="M419" s="14" t="n"/>
      <c r="N419" s="15">
        <f>IF($C419="","",COUNTIFS(nrSK_PID,$D419,nrSK_Cat,$E419))</f>
        <v/>
      </c>
      <c r="O419" s="15">
        <f>IF($C419="","",_xlfn.LET(_xlpm.latest,_xlfn.MAXIFS(nrSK_Att,nrSK_PID,$D419,nrSK_Cat,$E419),_xlpm.res,IF($I419=_xlpm.latest,$J419,""),IF($I419&lt;&gt;_xlpm.latest,"(superseded)",IF(_xlpm.res="","Pending",IF(_xlpm.res="Pass","Qualified",IF(AND(_xlpm.res="Fail",$N419&gt;=$F419),"FAILED OUT","Needs Remediation"))))))</f>
        <v/>
      </c>
      <c r="P419" s="15">
        <f>IF($C419="","",IF($O419="FAILED OUT","Yes","No"))</f>
        <v/>
      </c>
      <c r="Q419" s="14" t="n"/>
    </row>
    <row r="420">
      <c r="B420" s="15">
        <f>IF($C420="","",$D420&amp;"-"&amp;$E420&amp;"-"&amp;$I420)</f>
        <v/>
      </c>
      <c r="C420" s="14" t="n"/>
      <c r="D420" s="15">
        <f>IF($C420="","",IFERROR(INDEX(rngCadetPIDs,MATCH($C420,rngCadetNames,0)),"?"))</f>
        <v/>
      </c>
      <c r="E420" s="14" t="n"/>
      <c r="F420" s="15">
        <f>IF($E420="","",IFERROR(INDEX(rngSM_max,MATCH($E420,rngSM_cat,0)),""))</f>
        <v/>
      </c>
      <c r="G420" s="15">
        <f>IF($E420="","",IFERROR(INDEX(rngSM_mode,MATCH($E420,rngSM_cat,0)),""))</f>
        <v/>
      </c>
      <c r="H420" s="15">
        <f>IF($E420="","",IFERROR(INDEX(rngSM_pass,MATCH($E420,rngSM_cat,0)),""))</f>
        <v/>
      </c>
      <c r="I420" s="14" t="n"/>
      <c r="J420" s="14" t="n"/>
      <c r="K420" s="14" t="n"/>
      <c r="L420" s="16" t="n"/>
      <c r="M420" s="14" t="n"/>
      <c r="N420" s="15">
        <f>IF($C420="","",COUNTIFS(nrSK_PID,$D420,nrSK_Cat,$E420))</f>
        <v/>
      </c>
      <c r="O420" s="15">
        <f>IF($C420="","",_xlfn.LET(_xlpm.latest,_xlfn.MAXIFS(nrSK_Att,nrSK_PID,$D420,nrSK_Cat,$E420),_xlpm.res,IF($I420=_xlpm.latest,$J420,""),IF($I420&lt;&gt;_xlpm.latest,"(superseded)",IF(_xlpm.res="","Pending",IF(_xlpm.res="Pass","Qualified",IF(AND(_xlpm.res="Fail",$N420&gt;=$F420),"FAILED OUT","Needs Remediation"))))))</f>
        <v/>
      </c>
      <c r="P420" s="15">
        <f>IF($C420="","",IF($O420="FAILED OUT","Yes","No"))</f>
        <v/>
      </c>
      <c r="Q420" s="14" t="n"/>
    </row>
    <row r="421">
      <c r="B421" s="15">
        <f>IF($C421="","",$D421&amp;"-"&amp;$E421&amp;"-"&amp;$I421)</f>
        <v/>
      </c>
      <c r="C421" s="14" t="n"/>
      <c r="D421" s="15">
        <f>IF($C421="","",IFERROR(INDEX(rngCadetPIDs,MATCH($C421,rngCadetNames,0)),"?"))</f>
        <v/>
      </c>
      <c r="E421" s="14" t="n"/>
      <c r="F421" s="15">
        <f>IF($E421="","",IFERROR(INDEX(rngSM_max,MATCH($E421,rngSM_cat,0)),""))</f>
        <v/>
      </c>
      <c r="G421" s="15">
        <f>IF($E421="","",IFERROR(INDEX(rngSM_mode,MATCH($E421,rngSM_cat,0)),""))</f>
        <v/>
      </c>
      <c r="H421" s="15">
        <f>IF($E421="","",IFERROR(INDEX(rngSM_pass,MATCH($E421,rngSM_cat,0)),""))</f>
        <v/>
      </c>
      <c r="I421" s="14" t="n"/>
      <c r="J421" s="14" t="n"/>
      <c r="K421" s="14" t="n"/>
      <c r="L421" s="16" t="n"/>
      <c r="M421" s="14" t="n"/>
      <c r="N421" s="15">
        <f>IF($C421="","",COUNTIFS(nrSK_PID,$D421,nrSK_Cat,$E421))</f>
        <v/>
      </c>
      <c r="O421" s="15">
        <f>IF($C421="","",_xlfn.LET(_xlpm.latest,_xlfn.MAXIFS(nrSK_Att,nrSK_PID,$D421,nrSK_Cat,$E421),_xlpm.res,IF($I421=_xlpm.latest,$J421,""),IF($I421&lt;&gt;_xlpm.latest,"(superseded)",IF(_xlpm.res="","Pending",IF(_xlpm.res="Pass","Qualified",IF(AND(_xlpm.res="Fail",$N421&gt;=$F421),"FAILED OUT","Needs Remediation"))))))</f>
        <v/>
      </c>
      <c r="P421" s="15">
        <f>IF($C421="","",IF($O421="FAILED OUT","Yes","No"))</f>
        <v/>
      </c>
      <c r="Q421" s="14" t="n"/>
    </row>
    <row r="422">
      <c r="B422" s="15">
        <f>IF($C422="","",$D422&amp;"-"&amp;$E422&amp;"-"&amp;$I422)</f>
        <v/>
      </c>
      <c r="C422" s="14" t="n"/>
      <c r="D422" s="15">
        <f>IF($C422="","",IFERROR(INDEX(rngCadetPIDs,MATCH($C422,rngCadetNames,0)),"?"))</f>
        <v/>
      </c>
      <c r="E422" s="14" t="n"/>
      <c r="F422" s="15">
        <f>IF($E422="","",IFERROR(INDEX(rngSM_max,MATCH($E422,rngSM_cat,0)),""))</f>
        <v/>
      </c>
      <c r="G422" s="15">
        <f>IF($E422="","",IFERROR(INDEX(rngSM_mode,MATCH($E422,rngSM_cat,0)),""))</f>
        <v/>
      </c>
      <c r="H422" s="15">
        <f>IF($E422="","",IFERROR(INDEX(rngSM_pass,MATCH($E422,rngSM_cat,0)),""))</f>
        <v/>
      </c>
      <c r="I422" s="14" t="n"/>
      <c r="J422" s="14" t="n"/>
      <c r="K422" s="14" t="n"/>
      <c r="L422" s="16" t="n"/>
      <c r="M422" s="14" t="n"/>
      <c r="N422" s="15">
        <f>IF($C422="","",COUNTIFS(nrSK_PID,$D422,nrSK_Cat,$E422))</f>
        <v/>
      </c>
      <c r="O422" s="15">
        <f>IF($C422="","",_xlfn.LET(_xlpm.latest,_xlfn.MAXIFS(nrSK_Att,nrSK_PID,$D422,nrSK_Cat,$E422),_xlpm.res,IF($I422=_xlpm.latest,$J422,""),IF($I422&lt;&gt;_xlpm.latest,"(superseded)",IF(_xlpm.res="","Pending",IF(_xlpm.res="Pass","Qualified",IF(AND(_xlpm.res="Fail",$N422&gt;=$F422),"FAILED OUT","Needs Remediation"))))))</f>
        <v/>
      </c>
      <c r="P422" s="15">
        <f>IF($C422="","",IF($O422="FAILED OUT","Yes","No"))</f>
        <v/>
      </c>
      <c r="Q422" s="14" t="n"/>
    </row>
    <row r="423">
      <c r="B423" s="15">
        <f>IF($C423="","",$D423&amp;"-"&amp;$E423&amp;"-"&amp;$I423)</f>
        <v/>
      </c>
      <c r="C423" s="14" t="n"/>
      <c r="D423" s="15">
        <f>IF($C423="","",IFERROR(INDEX(rngCadetPIDs,MATCH($C423,rngCadetNames,0)),"?"))</f>
        <v/>
      </c>
      <c r="E423" s="14" t="n"/>
      <c r="F423" s="15">
        <f>IF($E423="","",IFERROR(INDEX(rngSM_max,MATCH($E423,rngSM_cat,0)),""))</f>
        <v/>
      </c>
      <c r="G423" s="15">
        <f>IF($E423="","",IFERROR(INDEX(rngSM_mode,MATCH($E423,rngSM_cat,0)),""))</f>
        <v/>
      </c>
      <c r="H423" s="15">
        <f>IF($E423="","",IFERROR(INDEX(rngSM_pass,MATCH($E423,rngSM_cat,0)),""))</f>
        <v/>
      </c>
      <c r="I423" s="14" t="n"/>
      <c r="J423" s="14" t="n"/>
      <c r="K423" s="14" t="n"/>
      <c r="L423" s="16" t="n"/>
      <c r="M423" s="14" t="n"/>
      <c r="N423" s="15">
        <f>IF($C423="","",COUNTIFS(nrSK_PID,$D423,nrSK_Cat,$E423))</f>
        <v/>
      </c>
      <c r="O423" s="15">
        <f>IF($C423="","",_xlfn.LET(_xlpm.latest,_xlfn.MAXIFS(nrSK_Att,nrSK_PID,$D423,nrSK_Cat,$E423),_xlpm.res,IF($I423=_xlpm.latest,$J423,""),IF($I423&lt;&gt;_xlpm.latest,"(superseded)",IF(_xlpm.res="","Pending",IF(_xlpm.res="Pass","Qualified",IF(AND(_xlpm.res="Fail",$N423&gt;=$F423),"FAILED OUT","Needs Remediation"))))))</f>
        <v/>
      </c>
      <c r="P423" s="15">
        <f>IF($C423="","",IF($O423="FAILED OUT","Yes","No"))</f>
        <v/>
      </c>
      <c r="Q423" s="14" t="n"/>
    </row>
    <row r="424">
      <c r="B424" s="15">
        <f>IF($C424="","",$D424&amp;"-"&amp;$E424&amp;"-"&amp;$I424)</f>
        <v/>
      </c>
      <c r="C424" s="14" t="n"/>
      <c r="D424" s="15">
        <f>IF($C424="","",IFERROR(INDEX(rngCadetPIDs,MATCH($C424,rngCadetNames,0)),"?"))</f>
        <v/>
      </c>
      <c r="E424" s="14" t="n"/>
      <c r="F424" s="15">
        <f>IF($E424="","",IFERROR(INDEX(rngSM_max,MATCH($E424,rngSM_cat,0)),""))</f>
        <v/>
      </c>
      <c r="G424" s="15">
        <f>IF($E424="","",IFERROR(INDEX(rngSM_mode,MATCH($E424,rngSM_cat,0)),""))</f>
        <v/>
      </c>
      <c r="H424" s="15">
        <f>IF($E424="","",IFERROR(INDEX(rngSM_pass,MATCH($E424,rngSM_cat,0)),""))</f>
        <v/>
      </c>
      <c r="I424" s="14" t="n"/>
      <c r="J424" s="14" t="n"/>
      <c r="K424" s="14" t="n"/>
      <c r="L424" s="16" t="n"/>
      <c r="M424" s="14" t="n"/>
      <c r="N424" s="15">
        <f>IF($C424="","",COUNTIFS(nrSK_PID,$D424,nrSK_Cat,$E424))</f>
        <v/>
      </c>
      <c r="O424" s="15">
        <f>IF($C424="","",_xlfn.LET(_xlpm.latest,_xlfn.MAXIFS(nrSK_Att,nrSK_PID,$D424,nrSK_Cat,$E424),_xlpm.res,IF($I424=_xlpm.latest,$J424,""),IF($I424&lt;&gt;_xlpm.latest,"(superseded)",IF(_xlpm.res="","Pending",IF(_xlpm.res="Pass","Qualified",IF(AND(_xlpm.res="Fail",$N424&gt;=$F424),"FAILED OUT","Needs Remediation"))))))</f>
        <v/>
      </c>
      <c r="P424" s="15">
        <f>IF($C424="","",IF($O424="FAILED OUT","Yes","No"))</f>
        <v/>
      </c>
      <c r="Q424" s="14" t="n"/>
    </row>
    <row r="425">
      <c r="B425" s="15">
        <f>IF($C425="","",$D425&amp;"-"&amp;$E425&amp;"-"&amp;$I425)</f>
        <v/>
      </c>
      <c r="C425" s="14" t="n"/>
      <c r="D425" s="15">
        <f>IF($C425="","",IFERROR(INDEX(rngCadetPIDs,MATCH($C425,rngCadetNames,0)),"?"))</f>
        <v/>
      </c>
      <c r="E425" s="14" t="n"/>
      <c r="F425" s="15">
        <f>IF($E425="","",IFERROR(INDEX(rngSM_max,MATCH($E425,rngSM_cat,0)),""))</f>
        <v/>
      </c>
      <c r="G425" s="15">
        <f>IF($E425="","",IFERROR(INDEX(rngSM_mode,MATCH($E425,rngSM_cat,0)),""))</f>
        <v/>
      </c>
      <c r="H425" s="15">
        <f>IF($E425="","",IFERROR(INDEX(rngSM_pass,MATCH($E425,rngSM_cat,0)),""))</f>
        <v/>
      </c>
      <c r="I425" s="14" t="n"/>
      <c r="J425" s="14" t="n"/>
      <c r="K425" s="14" t="n"/>
      <c r="L425" s="16" t="n"/>
      <c r="M425" s="14" t="n"/>
      <c r="N425" s="15">
        <f>IF($C425="","",COUNTIFS(nrSK_PID,$D425,nrSK_Cat,$E425))</f>
        <v/>
      </c>
      <c r="O425" s="15">
        <f>IF($C425="","",_xlfn.LET(_xlpm.latest,_xlfn.MAXIFS(nrSK_Att,nrSK_PID,$D425,nrSK_Cat,$E425),_xlpm.res,IF($I425=_xlpm.latest,$J425,""),IF($I425&lt;&gt;_xlpm.latest,"(superseded)",IF(_xlpm.res="","Pending",IF(_xlpm.res="Pass","Qualified",IF(AND(_xlpm.res="Fail",$N425&gt;=$F425),"FAILED OUT","Needs Remediation"))))))</f>
        <v/>
      </c>
      <c r="P425" s="15">
        <f>IF($C425="","",IF($O425="FAILED OUT","Yes","No"))</f>
        <v/>
      </c>
      <c r="Q425" s="14" t="n"/>
    </row>
    <row r="426">
      <c r="B426" s="15">
        <f>IF($C426="","",$D426&amp;"-"&amp;$E426&amp;"-"&amp;$I426)</f>
        <v/>
      </c>
      <c r="C426" s="14" t="n"/>
      <c r="D426" s="15">
        <f>IF($C426="","",IFERROR(INDEX(rngCadetPIDs,MATCH($C426,rngCadetNames,0)),"?"))</f>
        <v/>
      </c>
      <c r="E426" s="14" t="n"/>
      <c r="F426" s="15">
        <f>IF($E426="","",IFERROR(INDEX(rngSM_max,MATCH($E426,rngSM_cat,0)),""))</f>
        <v/>
      </c>
      <c r="G426" s="15">
        <f>IF($E426="","",IFERROR(INDEX(rngSM_mode,MATCH($E426,rngSM_cat,0)),""))</f>
        <v/>
      </c>
      <c r="H426" s="15">
        <f>IF($E426="","",IFERROR(INDEX(rngSM_pass,MATCH($E426,rngSM_cat,0)),""))</f>
        <v/>
      </c>
      <c r="I426" s="14" t="n"/>
      <c r="J426" s="14" t="n"/>
      <c r="K426" s="14" t="n"/>
      <c r="L426" s="16" t="n"/>
      <c r="M426" s="14" t="n"/>
      <c r="N426" s="15">
        <f>IF($C426="","",COUNTIFS(nrSK_PID,$D426,nrSK_Cat,$E426))</f>
        <v/>
      </c>
      <c r="O426" s="15">
        <f>IF($C426="","",_xlfn.LET(_xlpm.latest,_xlfn.MAXIFS(nrSK_Att,nrSK_PID,$D426,nrSK_Cat,$E426),_xlpm.res,IF($I426=_xlpm.latest,$J426,""),IF($I426&lt;&gt;_xlpm.latest,"(superseded)",IF(_xlpm.res="","Pending",IF(_xlpm.res="Pass","Qualified",IF(AND(_xlpm.res="Fail",$N426&gt;=$F426),"FAILED OUT","Needs Remediation"))))))</f>
        <v/>
      </c>
      <c r="P426" s="15">
        <f>IF($C426="","",IF($O426="FAILED OUT","Yes","No"))</f>
        <v/>
      </c>
      <c r="Q426" s="14" t="n"/>
    </row>
    <row r="427">
      <c r="B427" s="15">
        <f>IF($C427="","",$D427&amp;"-"&amp;$E427&amp;"-"&amp;$I427)</f>
        <v/>
      </c>
      <c r="C427" s="14" t="n"/>
      <c r="D427" s="15">
        <f>IF($C427="","",IFERROR(INDEX(rngCadetPIDs,MATCH($C427,rngCadetNames,0)),"?"))</f>
        <v/>
      </c>
      <c r="E427" s="14" t="n"/>
      <c r="F427" s="15">
        <f>IF($E427="","",IFERROR(INDEX(rngSM_max,MATCH($E427,rngSM_cat,0)),""))</f>
        <v/>
      </c>
      <c r="G427" s="15">
        <f>IF($E427="","",IFERROR(INDEX(rngSM_mode,MATCH($E427,rngSM_cat,0)),""))</f>
        <v/>
      </c>
      <c r="H427" s="15">
        <f>IF($E427="","",IFERROR(INDEX(rngSM_pass,MATCH($E427,rngSM_cat,0)),""))</f>
        <v/>
      </c>
      <c r="I427" s="14" t="n"/>
      <c r="J427" s="14" t="n"/>
      <c r="K427" s="14" t="n"/>
      <c r="L427" s="16" t="n"/>
      <c r="M427" s="14" t="n"/>
      <c r="N427" s="15">
        <f>IF($C427="","",COUNTIFS(nrSK_PID,$D427,nrSK_Cat,$E427))</f>
        <v/>
      </c>
      <c r="O427" s="15">
        <f>IF($C427="","",_xlfn.LET(_xlpm.latest,_xlfn.MAXIFS(nrSK_Att,nrSK_PID,$D427,nrSK_Cat,$E427),_xlpm.res,IF($I427=_xlpm.latest,$J427,""),IF($I427&lt;&gt;_xlpm.latest,"(superseded)",IF(_xlpm.res="","Pending",IF(_xlpm.res="Pass","Qualified",IF(AND(_xlpm.res="Fail",$N427&gt;=$F427),"FAILED OUT","Needs Remediation"))))))</f>
        <v/>
      </c>
      <c r="P427" s="15">
        <f>IF($C427="","",IF($O427="FAILED OUT","Yes","No"))</f>
        <v/>
      </c>
      <c r="Q427" s="14" t="n"/>
    </row>
    <row r="428">
      <c r="B428" s="15">
        <f>IF($C428="","",$D428&amp;"-"&amp;$E428&amp;"-"&amp;$I428)</f>
        <v/>
      </c>
      <c r="C428" s="14" t="n"/>
      <c r="D428" s="15">
        <f>IF($C428="","",IFERROR(INDEX(rngCadetPIDs,MATCH($C428,rngCadetNames,0)),"?"))</f>
        <v/>
      </c>
      <c r="E428" s="14" t="n"/>
      <c r="F428" s="15">
        <f>IF($E428="","",IFERROR(INDEX(rngSM_max,MATCH($E428,rngSM_cat,0)),""))</f>
        <v/>
      </c>
      <c r="G428" s="15">
        <f>IF($E428="","",IFERROR(INDEX(rngSM_mode,MATCH($E428,rngSM_cat,0)),""))</f>
        <v/>
      </c>
      <c r="H428" s="15">
        <f>IF($E428="","",IFERROR(INDEX(rngSM_pass,MATCH($E428,rngSM_cat,0)),""))</f>
        <v/>
      </c>
      <c r="I428" s="14" t="n"/>
      <c r="J428" s="14" t="n"/>
      <c r="K428" s="14" t="n"/>
      <c r="L428" s="16" t="n"/>
      <c r="M428" s="14" t="n"/>
      <c r="N428" s="15">
        <f>IF($C428="","",COUNTIFS(nrSK_PID,$D428,nrSK_Cat,$E428))</f>
        <v/>
      </c>
      <c r="O428" s="15">
        <f>IF($C428="","",_xlfn.LET(_xlpm.latest,_xlfn.MAXIFS(nrSK_Att,nrSK_PID,$D428,nrSK_Cat,$E428),_xlpm.res,IF($I428=_xlpm.latest,$J428,""),IF($I428&lt;&gt;_xlpm.latest,"(superseded)",IF(_xlpm.res="","Pending",IF(_xlpm.res="Pass","Qualified",IF(AND(_xlpm.res="Fail",$N428&gt;=$F428),"FAILED OUT","Needs Remediation"))))))</f>
        <v/>
      </c>
      <c r="P428" s="15">
        <f>IF($C428="","",IF($O428="FAILED OUT","Yes","No"))</f>
        <v/>
      </c>
      <c r="Q428" s="14" t="n"/>
    </row>
    <row r="429">
      <c r="B429" s="15">
        <f>IF($C429="","",$D429&amp;"-"&amp;$E429&amp;"-"&amp;$I429)</f>
        <v/>
      </c>
      <c r="C429" s="14" t="n"/>
      <c r="D429" s="15">
        <f>IF($C429="","",IFERROR(INDEX(rngCadetPIDs,MATCH($C429,rngCadetNames,0)),"?"))</f>
        <v/>
      </c>
      <c r="E429" s="14" t="n"/>
      <c r="F429" s="15">
        <f>IF($E429="","",IFERROR(INDEX(rngSM_max,MATCH($E429,rngSM_cat,0)),""))</f>
        <v/>
      </c>
      <c r="G429" s="15">
        <f>IF($E429="","",IFERROR(INDEX(rngSM_mode,MATCH($E429,rngSM_cat,0)),""))</f>
        <v/>
      </c>
      <c r="H429" s="15">
        <f>IF($E429="","",IFERROR(INDEX(rngSM_pass,MATCH($E429,rngSM_cat,0)),""))</f>
        <v/>
      </c>
      <c r="I429" s="14" t="n"/>
      <c r="J429" s="14" t="n"/>
      <c r="K429" s="14" t="n"/>
      <c r="L429" s="16" t="n"/>
      <c r="M429" s="14" t="n"/>
      <c r="N429" s="15">
        <f>IF($C429="","",COUNTIFS(nrSK_PID,$D429,nrSK_Cat,$E429))</f>
        <v/>
      </c>
      <c r="O429" s="15">
        <f>IF($C429="","",_xlfn.LET(_xlpm.latest,_xlfn.MAXIFS(nrSK_Att,nrSK_PID,$D429,nrSK_Cat,$E429),_xlpm.res,IF($I429=_xlpm.latest,$J429,""),IF($I429&lt;&gt;_xlpm.latest,"(superseded)",IF(_xlpm.res="","Pending",IF(_xlpm.res="Pass","Qualified",IF(AND(_xlpm.res="Fail",$N429&gt;=$F429),"FAILED OUT","Needs Remediation"))))))</f>
        <v/>
      </c>
      <c r="P429" s="15">
        <f>IF($C429="","",IF($O429="FAILED OUT","Yes","No"))</f>
        <v/>
      </c>
      <c r="Q429" s="14" t="n"/>
    </row>
    <row r="430">
      <c r="B430" s="15">
        <f>IF($C430="","",$D430&amp;"-"&amp;$E430&amp;"-"&amp;$I430)</f>
        <v/>
      </c>
      <c r="C430" s="14" t="n"/>
      <c r="D430" s="15">
        <f>IF($C430="","",IFERROR(INDEX(rngCadetPIDs,MATCH($C430,rngCadetNames,0)),"?"))</f>
        <v/>
      </c>
      <c r="E430" s="14" t="n"/>
      <c r="F430" s="15">
        <f>IF($E430="","",IFERROR(INDEX(rngSM_max,MATCH($E430,rngSM_cat,0)),""))</f>
        <v/>
      </c>
      <c r="G430" s="15">
        <f>IF($E430="","",IFERROR(INDEX(rngSM_mode,MATCH($E430,rngSM_cat,0)),""))</f>
        <v/>
      </c>
      <c r="H430" s="15">
        <f>IF($E430="","",IFERROR(INDEX(rngSM_pass,MATCH($E430,rngSM_cat,0)),""))</f>
        <v/>
      </c>
      <c r="I430" s="14" t="n"/>
      <c r="J430" s="14" t="n"/>
      <c r="K430" s="14" t="n"/>
      <c r="L430" s="16" t="n"/>
      <c r="M430" s="14" t="n"/>
      <c r="N430" s="15">
        <f>IF($C430="","",COUNTIFS(nrSK_PID,$D430,nrSK_Cat,$E430))</f>
        <v/>
      </c>
      <c r="O430" s="15">
        <f>IF($C430="","",_xlfn.LET(_xlpm.latest,_xlfn.MAXIFS(nrSK_Att,nrSK_PID,$D430,nrSK_Cat,$E430),_xlpm.res,IF($I430=_xlpm.latest,$J430,""),IF($I430&lt;&gt;_xlpm.latest,"(superseded)",IF(_xlpm.res="","Pending",IF(_xlpm.res="Pass","Qualified",IF(AND(_xlpm.res="Fail",$N430&gt;=$F430),"FAILED OUT","Needs Remediation"))))))</f>
        <v/>
      </c>
      <c r="P430" s="15">
        <f>IF($C430="","",IF($O430="FAILED OUT","Yes","No"))</f>
        <v/>
      </c>
      <c r="Q430" s="14" t="n"/>
    </row>
    <row r="431">
      <c r="B431" s="15">
        <f>IF($C431="","",$D431&amp;"-"&amp;$E431&amp;"-"&amp;$I431)</f>
        <v/>
      </c>
      <c r="C431" s="14" t="n"/>
      <c r="D431" s="15">
        <f>IF($C431="","",IFERROR(INDEX(rngCadetPIDs,MATCH($C431,rngCadetNames,0)),"?"))</f>
        <v/>
      </c>
      <c r="E431" s="14" t="n"/>
      <c r="F431" s="15">
        <f>IF($E431="","",IFERROR(INDEX(rngSM_max,MATCH($E431,rngSM_cat,0)),""))</f>
        <v/>
      </c>
      <c r="G431" s="15">
        <f>IF($E431="","",IFERROR(INDEX(rngSM_mode,MATCH($E431,rngSM_cat,0)),""))</f>
        <v/>
      </c>
      <c r="H431" s="15">
        <f>IF($E431="","",IFERROR(INDEX(rngSM_pass,MATCH($E431,rngSM_cat,0)),""))</f>
        <v/>
      </c>
      <c r="I431" s="14" t="n"/>
      <c r="J431" s="14" t="n"/>
      <c r="K431" s="14" t="n"/>
      <c r="L431" s="16" t="n"/>
      <c r="M431" s="14" t="n"/>
      <c r="N431" s="15">
        <f>IF($C431="","",COUNTIFS(nrSK_PID,$D431,nrSK_Cat,$E431))</f>
        <v/>
      </c>
      <c r="O431" s="15">
        <f>IF($C431="","",_xlfn.LET(_xlpm.latest,_xlfn.MAXIFS(nrSK_Att,nrSK_PID,$D431,nrSK_Cat,$E431),_xlpm.res,IF($I431=_xlpm.latest,$J431,""),IF($I431&lt;&gt;_xlpm.latest,"(superseded)",IF(_xlpm.res="","Pending",IF(_xlpm.res="Pass","Qualified",IF(AND(_xlpm.res="Fail",$N431&gt;=$F431),"FAILED OUT","Needs Remediation"))))))</f>
        <v/>
      </c>
      <c r="P431" s="15">
        <f>IF($C431="","",IF($O431="FAILED OUT","Yes","No"))</f>
        <v/>
      </c>
      <c r="Q431" s="14" t="n"/>
    </row>
    <row r="432">
      <c r="B432" s="15">
        <f>IF($C432="","",$D432&amp;"-"&amp;$E432&amp;"-"&amp;$I432)</f>
        <v/>
      </c>
      <c r="C432" s="14" t="n"/>
      <c r="D432" s="15">
        <f>IF($C432="","",IFERROR(INDEX(rngCadetPIDs,MATCH($C432,rngCadetNames,0)),"?"))</f>
        <v/>
      </c>
      <c r="E432" s="14" t="n"/>
      <c r="F432" s="15">
        <f>IF($E432="","",IFERROR(INDEX(rngSM_max,MATCH($E432,rngSM_cat,0)),""))</f>
        <v/>
      </c>
      <c r="G432" s="15">
        <f>IF($E432="","",IFERROR(INDEX(rngSM_mode,MATCH($E432,rngSM_cat,0)),""))</f>
        <v/>
      </c>
      <c r="H432" s="15">
        <f>IF($E432="","",IFERROR(INDEX(rngSM_pass,MATCH($E432,rngSM_cat,0)),""))</f>
        <v/>
      </c>
      <c r="I432" s="14" t="n"/>
      <c r="J432" s="14" t="n"/>
      <c r="K432" s="14" t="n"/>
      <c r="L432" s="16" t="n"/>
      <c r="M432" s="14" t="n"/>
      <c r="N432" s="15">
        <f>IF($C432="","",COUNTIFS(nrSK_PID,$D432,nrSK_Cat,$E432))</f>
        <v/>
      </c>
      <c r="O432" s="15">
        <f>IF($C432="","",_xlfn.LET(_xlpm.latest,_xlfn.MAXIFS(nrSK_Att,nrSK_PID,$D432,nrSK_Cat,$E432),_xlpm.res,IF($I432=_xlpm.latest,$J432,""),IF($I432&lt;&gt;_xlpm.latest,"(superseded)",IF(_xlpm.res="","Pending",IF(_xlpm.res="Pass","Qualified",IF(AND(_xlpm.res="Fail",$N432&gt;=$F432),"FAILED OUT","Needs Remediation"))))))</f>
        <v/>
      </c>
      <c r="P432" s="15">
        <f>IF($C432="","",IF($O432="FAILED OUT","Yes","No"))</f>
        <v/>
      </c>
      <c r="Q432" s="14" t="n"/>
    </row>
    <row r="433">
      <c r="B433" s="15">
        <f>IF($C433="","",$D433&amp;"-"&amp;$E433&amp;"-"&amp;$I433)</f>
        <v/>
      </c>
      <c r="C433" s="14" t="n"/>
      <c r="D433" s="15">
        <f>IF($C433="","",IFERROR(INDEX(rngCadetPIDs,MATCH($C433,rngCadetNames,0)),"?"))</f>
        <v/>
      </c>
      <c r="E433" s="14" t="n"/>
      <c r="F433" s="15">
        <f>IF($E433="","",IFERROR(INDEX(rngSM_max,MATCH($E433,rngSM_cat,0)),""))</f>
        <v/>
      </c>
      <c r="G433" s="15">
        <f>IF($E433="","",IFERROR(INDEX(rngSM_mode,MATCH($E433,rngSM_cat,0)),""))</f>
        <v/>
      </c>
      <c r="H433" s="15">
        <f>IF($E433="","",IFERROR(INDEX(rngSM_pass,MATCH($E433,rngSM_cat,0)),""))</f>
        <v/>
      </c>
      <c r="I433" s="14" t="n"/>
      <c r="J433" s="14" t="n"/>
      <c r="K433" s="14" t="n"/>
      <c r="L433" s="16" t="n"/>
      <c r="M433" s="14" t="n"/>
      <c r="N433" s="15">
        <f>IF($C433="","",COUNTIFS(nrSK_PID,$D433,nrSK_Cat,$E433))</f>
        <v/>
      </c>
      <c r="O433" s="15">
        <f>IF($C433="","",_xlfn.LET(_xlpm.latest,_xlfn.MAXIFS(nrSK_Att,nrSK_PID,$D433,nrSK_Cat,$E433),_xlpm.res,IF($I433=_xlpm.latest,$J433,""),IF($I433&lt;&gt;_xlpm.latest,"(superseded)",IF(_xlpm.res="","Pending",IF(_xlpm.res="Pass","Qualified",IF(AND(_xlpm.res="Fail",$N433&gt;=$F433),"FAILED OUT","Needs Remediation"))))))</f>
        <v/>
      </c>
      <c r="P433" s="15">
        <f>IF($C433="","",IF($O433="FAILED OUT","Yes","No"))</f>
        <v/>
      </c>
      <c r="Q433" s="14" t="n"/>
    </row>
    <row r="434">
      <c r="B434" s="15">
        <f>IF($C434="","",$D434&amp;"-"&amp;$E434&amp;"-"&amp;$I434)</f>
        <v/>
      </c>
      <c r="C434" s="14" t="n"/>
      <c r="D434" s="15">
        <f>IF($C434="","",IFERROR(INDEX(rngCadetPIDs,MATCH($C434,rngCadetNames,0)),"?"))</f>
        <v/>
      </c>
      <c r="E434" s="14" t="n"/>
      <c r="F434" s="15">
        <f>IF($E434="","",IFERROR(INDEX(rngSM_max,MATCH($E434,rngSM_cat,0)),""))</f>
        <v/>
      </c>
      <c r="G434" s="15">
        <f>IF($E434="","",IFERROR(INDEX(rngSM_mode,MATCH($E434,rngSM_cat,0)),""))</f>
        <v/>
      </c>
      <c r="H434" s="15">
        <f>IF($E434="","",IFERROR(INDEX(rngSM_pass,MATCH($E434,rngSM_cat,0)),""))</f>
        <v/>
      </c>
      <c r="I434" s="14" t="n"/>
      <c r="J434" s="14" t="n"/>
      <c r="K434" s="14" t="n"/>
      <c r="L434" s="16" t="n"/>
      <c r="M434" s="14" t="n"/>
      <c r="N434" s="15">
        <f>IF($C434="","",COUNTIFS(nrSK_PID,$D434,nrSK_Cat,$E434))</f>
        <v/>
      </c>
      <c r="O434" s="15">
        <f>IF($C434="","",_xlfn.LET(_xlpm.latest,_xlfn.MAXIFS(nrSK_Att,nrSK_PID,$D434,nrSK_Cat,$E434),_xlpm.res,IF($I434=_xlpm.latest,$J434,""),IF($I434&lt;&gt;_xlpm.latest,"(superseded)",IF(_xlpm.res="","Pending",IF(_xlpm.res="Pass","Qualified",IF(AND(_xlpm.res="Fail",$N434&gt;=$F434),"FAILED OUT","Needs Remediation"))))))</f>
        <v/>
      </c>
      <c r="P434" s="15">
        <f>IF($C434="","",IF($O434="FAILED OUT","Yes","No"))</f>
        <v/>
      </c>
      <c r="Q434" s="14" t="n"/>
    </row>
    <row r="435">
      <c r="B435" s="15">
        <f>IF($C435="","",$D435&amp;"-"&amp;$E435&amp;"-"&amp;$I435)</f>
        <v/>
      </c>
      <c r="C435" s="14" t="n"/>
      <c r="D435" s="15">
        <f>IF($C435="","",IFERROR(INDEX(rngCadetPIDs,MATCH($C435,rngCadetNames,0)),"?"))</f>
        <v/>
      </c>
      <c r="E435" s="14" t="n"/>
      <c r="F435" s="15">
        <f>IF($E435="","",IFERROR(INDEX(rngSM_max,MATCH($E435,rngSM_cat,0)),""))</f>
        <v/>
      </c>
      <c r="G435" s="15">
        <f>IF($E435="","",IFERROR(INDEX(rngSM_mode,MATCH($E435,rngSM_cat,0)),""))</f>
        <v/>
      </c>
      <c r="H435" s="15">
        <f>IF($E435="","",IFERROR(INDEX(rngSM_pass,MATCH($E435,rngSM_cat,0)),""))</f>
        <v/>
      </c>
      <c r="I435" s="14" t="n"/>
      <c r="J435" s="14" t="n"/>
      <c r="K435" s="14" t="n"/>
      <c r="L435" s="16" t="n"/>
      <c r="M435" s="14" t="n"/>
      <c r="N435" s="15">
        <f>IF($C435="","",COUNTIFS(nrSK_PID,$D435,nrSK_Cat,$E435))</f>
        <v/>
      </c>
      <c r="O435" s="15">
        <f>IF($C435="","",_xlfn.LET(_xlpm.latest,_xlfn.MAXIFS(nrSK_Att,nrSK_PID,$D435,nrSK_Cat,$E435),_xlpm.res,IF($I435=_xlpm.latest,$J435,""),IF($I435&lt;&gt;_xlpm.latest,"(superseded)",IF(_xlpm.res="","Pending",IF(_xlpm.res="Pass","Qualified",IF(AND(_xlpm.res="Fail",$N435&gt;=$F435),"FAILED OUT","Needs Remediation"))))))</f>
        <v/>
      </c>
      <c r="P435" s="15">
        <f>IF($C435="","",IF($O435="FAILED OUT","Yes","No"))</f>
        <v/>
      </c>
      <c r="Q435" s="14" t="n"/>
    </row>
    <row r="436">
      <c r="B436" s="15">
        <f>IF($C436="","",$D436&amp;"-"&amp;$E436&amp;"-"&amp;$I436)</f>
        <v/>
      </c>
      <c r="C436" s="14" t="n"/>
      <c r="D436" s="15">
        <f>IF($C436="","",IFERROR(INDEX(rngCadetPIDs,MATCH($C436,rngCadetNames,0)),"?"))</f>
        <v/>
      </c>
      <c r="E436" s="14" t="n"/>
      <c r="F436" s="15">
        <f>IF($E436="","",IFERROR(INDEX(rngSM_max,MATCH($E436,rngSM_cat,0)),""))</f>
        <v/>
      </c>
      <c r="G436" s="15">
        <f>IF($E436="","",IFERROR(INDEX(rngSM_mode,MATCH($E436,rngSM_cat,0)),""))</f>
        <v/>
      </c>
      <c r="H436" s="15">
        <f>IF($E436="","",IFERROR(INDEX(rngSM_pass,MATCH($E436,rngSM_cat,0)),""))</f>
        <v/>
      </c>
      <c r="I436" s="14" t="n"/>
      <c r="J436" s="14" t="n"/>
      <c r="K436" s="14" t="n"/>
      <c r="L436" s="16" t="n"/>
      <c r="M436" s="14" t="n"/>
      <c r="N436" s="15">
        <f>IF($C436="","",COUNTIFS(nrSK_PID,$D436,nrSK_Cat,$E436))</f>
        <v/>
      </c>
      <c r="O436" s="15">
        <f>IF($C436="","",_xlfn.LET(_xlpm.latest,_xlfn.MAXIFS(nrSK_Att,nrSK_PID,$D436,nrSK_Cat,$E436),_xlpm.res,IF($I436=_xlpm.latest,$J436,""),IF($I436&lt;&gt;_xlpm.latest,"(superseded)",IF(_xlpm.res="","Pending",IF(_xlpm.res="Pass","Qualified",IF(AND(_xlpm.res="Fail",$N436&gt;=$F436),"FAILED OUT","Needs Remediation"))))))</f>
        <v/>
      </c>
      <c r="P436" s="15">
        <f>IF($C436="","",IF($O436="FAILED OUT","Yes","No"))</f>
        <v/>
      </c>
      <c r="Q436" s="14" t="n"/>
    </row>
    <row r="437">
      <c r="B437" s="15">
        <f>IF($C437="","",$D437&amp;"-"&amp;$E437&amp;"-"&amp;$I437)</f>
        <v/>
      </c>
      <c r="C437" s="14" t="n"/>
      <c r="D437" s="15">
        <f>IF($C437="","",IFERROR(INDEX(rngCadetPIDs,MATCH($C437,rngCadetNames,0)),"?"))</f>
        <v/>
      </c>
      <c r="E437" s="14" t="n"/>
      <c r="F437" s="15">
        <f>IF($E437="","",IFERROR(INDEX(rngSM_max,MATCH($E437,rngSM_cat,0)),""))</f>
        <v/>
      </c>
      <c r="G437" s="15">
        <f>IF($E437="","",IFERROR(INDEX(rngSM_mode,MATCH($E437,rngSM_cat,0)),""))</f>
        <v/>
      </c>
      <c r="H437" s="15">
        <f>IF($E437="","",IFERROR(INDEX(rngSM_pass,MATCH($E437,rngSM_cat,0)),""))</f>
        <v/>
      </c>
      <c r="I437" s="14" t="n"/>
      <c r="J437" s="14" t="n"/>
      <c r="K437" s="14" t="n"/>
      <c r="L437" s="16" t="n"/>
      <c r="M437" s="14" t="n"/>
      <c r="N437" s="15">
        <f>IF($C437="","",COUNTIFS(nrSK_PID,$D437,nrSK_Cat,$E437))</f>
        <v/>
      </c>
      <c r="O437" s="15">
        <f>IF($C437="","",_xlfn.LET(_xlpm.latest,_xlfn.MAXIFS(nrSK_Att,nrSK_PID,$D437,nrSK_Cat,$E437),_xlpm.res,IF($I437=_xlpm.latest,$J437,""),IF($I437&lt;&gt;_xlpm.latest,"(superseded)",IF(_xlpm.res="","Pending",IF(_xlpm.res="Pass","Qualified",IF(AND(_xlpm.res="Fail",$N437&gt;=$F437),"FAILED OUT","Needs Remediation"))))))</f>
        <v/>
      </c>
      <c r="P437" s="15">
        <f>IF($C437="","",IF($O437="FAILED OUT","Yes","No"))</f>
        <v/>
      </c>
      <c r="Q437" s="14" t="n"/>
    </row>
    <row r="438">
      <c r="B438" s="15">
        <f>IF($C438="","",$D438&amp;"-"&amp;$E438&amp;"-"&amp;$I438)</f>
        <v/>
      </c>
      <c r="C438" s="14" t="n"/>
      <c r="D438" s="15">
        <f>IF($C438="","",IFERROR(INDEX(rngCadetPIDs,MATCH($C438,rngCadetNames,0)),"?"))</f>
        <v/>
      </c>
      <c r="E438" s="14" t="n"/>
      <c r="F438" s="15">
        <f>IF($E438="","",IFERROR(INDEX(rngSM_max,MATCH($E438,rngSM_cat,0)),""))</f>
        <v/>
      </c>
      <c r="G438" s="15">
        <f>IF($E438="","",IFERROR(INDEX(rngSM_mode,MATCH($E438,rngSM_cat,0)),""))</f>
        <v/>
      </c>
      <c r="H438" s="15">
        <f>IF($E438="","",IFERROR(INDEX(rngSM_pass,MATCH($E438,rngSM_cat,0)),""))</f>
        <v/>
      </c>
      <c r="I438" s="14" t="n"/>
      <c r="J438" s="14" t="n"/>
      <c r="K438" s="14" t="n"/>
      <c r="L438" s="16" t="n"/>
      <c r="M438" s="14" t="n"/>
      <c r="N438" s="15">
        <f>IF($C438="","",COUNTIFS(nrSK_PID,$D438,nrSK_Cat,$E438))</f>
        <v/>
      </c>
      <c r="O438" s="15">
        <f>IF($C438="","",_xlfn.LET(_xlpm.latest,_xlfn.MAXIFS(nrSK_Att,nrSK_PID,$D438,nrSK_Cat,$E438),_xlpm.res,IF($I438=_xlpm.latest,$J438,""),IF($I438&lt;&gt;_xlpm.latest,"(superseded)",IF(_xlpm.res="","Pending",IF(_xlpm.res="Pass","Qualified",IF(AND(_xlpm.res="Fail",$N438&gt;=$F438),"FAILED OUT","Needs Remediation"))))))</f>
        <v/>
      </c>
      <c r="P438" s="15">
        <f>IF($C438="","",IF($O438="FAILED OUT","Yes","No"))</f>
        <v/>
      </c>
      <c r="Q438" s="14" t="n"/>
    </row>
    <row r="439">
      <c r="B439" s="15">
        <f>IF($C439="","",$D439&amp;"-"&amp;$E439&amp;"-"&amp;$I439)</f>
        <v/>
      </c>
      <c r="C439" s="14" t="n"/>
      <c r="D439" s="15">
        <f>IF($C439="","",IFERROR(INDEX(rngCadetPIDs,MATCH($C439,rngCadetNames,0)),"?"))</f>
        <v/>
      </c>
      <c r="E439" s="14" t="n"/>
      <c r="F439" s="15">
        <f>IF($E439="","",IFERROR(INDEX(rngSM_max,MATCH($E439,rngSM_cat,0)),""))</f>
        <v/>
      </c>
      <c r="G439" s="15">
        <f>IF($E439="","",IFERROR(INDEX(rngSM_mode,MATCH($E439,rngSM_cat,0)),""))</f>
        <v/>
      </c>
      <c r="H439" s="15">
        <f>IF($E439="","",IFERROR(INDEX(rngSM_pass,MATCH($E439,rngSM_cat,0)),""))</f>
        <v/>
      </c>
      <c r="I439" s="14" t="n"/>
      <c r="J439" s="14" t="n"/>
      <c r="K439" s="14" t="n"/>
      <c r="L439" s="16" t="n"/>
      <c r="M439" s="14" t="n"/>
      <c r="N439" s="15">
        <f>IF($C439="","",COUNTIFS(nrSK_PID,$D439,nrSK_Cat,$E439))</f>
        <v/>
      </c>
      <c r="O439" s="15">
        <f>IF($C439="","",_xlfn.LET(_xlpm.latest,_xlfn.MAXIFS(nrSK_Att,nrSK_PID,$D439,nrSK_Cat,$E439),_xlpm.res,IF($I439=_xlpm.latest,$J439,""),IF($I439&lt;&gt;_xlpm.latest,"(superseded)",IF(_xlpm.res="","Pending",IF(_xlpm.res="Pass","Qualified",IF(AND(_xlpm.res="Fail",$N439&gt;=$F439),"FAILED OUT","Needs Remediation"))))))</f>
        <v/>
      </c>
      <c r="P439" s="15">
        <f>IF($C439="","",IF($O439="FAILED OUT","Yes","No"))</f>
        <v/>
      </c>
      <c r="Q439" s="14" t="n"/>
    </row>
    <row r="440">
      <c r="B440" s="15">
        <f>IF($C440="","",$D440&amp;"-"&amp;$E440&amp;"-"&amp;$I440)</f>
        <v/>
      </c>
      <c r="C440" s="14" t="n"/>
      <c r="D440" s="15">
        <f>IF($C440="","",IFERROR(INDEX(rngCadetPIDs,MATCH($C440,rngCadetNames,0)),"?"))</f>
        <v/>
      </c>
      <c r="E440" s="14" t="n"/>
      <c r="F440" s="15">
        <f>IF($E440="","",IFERROR(INDEX(rngSM_max,MATCH($E440,rngSM_cat,0)),""))</f>
        <v/>
      </c>
      <c r="G440" s="15">
        <f>IF($E440="","",IFERROR(INDEX(rngSM_mode,MATCH($E440,rngSM_cat,0)),""))</f>
        <v/>
      </c>
      <c r="H440" s="15">
        <f>IF($E440="","",IFERROR(INDEX(rngSM_pass,MATCH($E440,rngSM_cat,0)),""))</f>
        <v/>
      </c>
      <c r="I440" s="14" t="n"/>
      <c r="J440" s="14" t="n"/>
      <c r="K440" s="14" t="n"/>
      <c r="L440" s="16" t="n"/>
      <c r="M440" s="14" t="n"/>
      <c r="N440" s="15">
        <f>IF($C440="","",COUNTIFS(nrSK_PID,$D440,nrSK_Cat,$E440))</f>
        <v/>
      </c>
      <c r="O440" s="15">
        <f>IF($C440="","",_xlfn.LET(_xlpm.latest,_xlfn.MAXIFS(nrSK_Att,nrSK_PID,$D440,nrSK_Cat,$E440),_xlpm.res,IF($I440=_xlpm.latest,$J440,""),IF($I440&lt;&gt;_xlpm.latest,"(superseded)",IF(_xlpm.res="","Pending",IF(_xlpm.res="Pass","Qualified",IF(AND(_xlpm.res="Fail",$N440&gt;=$F440),"FAILED OUT","Needs Remediation"))))))</f>
        <v/>
      </c>
      <c r="P440" s="15">
        <f>IF($C440="","",IF($O440="FAILED OUT","Yes","No"))</f>
        <v/>
      </c>
      <c r="Q440" s="14" t="n"/>
    </row>
    <row r="441">
      <c r="B441" s="15">
        <f>IF($C441="","",$D441&amp;"-"&amp;$E441&amp;"-"&amp;$I441)</f>
        <v/>
      </c>
      <c r="C441" s="14" t="n"/>
      <c r="D441" s="15">
        <f>IF($C441="","",IFERROR(INDEX(rngCadetPIDs,MATCH($C441,rngCadetNames,0)),"?"))</f>
        <v/>
      </c>
      <c r="E441" s="14" t="n"/>
      <c r="F441" s="15">
        <f>IF($E441="","",IFERROR(INDEX(rngSM_max,MATCH($E441,rngSM_cat,0)),""))</f>
        <v/>
      </c>
      <c r="G441" s="15">
        <f>IF($E441="","",IFERROR(INDEX(rngSM_mode,MATCH($E441,rngSM_cat,0)),""))</f>
        <v/>
      </c>
      <c r="H441" s="15">
        <f>IF($E441="","",IFERROR(INDEX(rngSM_pass,MATCH($E441,rngSM_cat,0)),""))</f>
        <v/>
      </c>
      <c r="I441" s="14" t="n"/>
      <c r="J441" s="14" t="n"/>
      <c r="K441" s="14" t="n"/>
      <c r="L441" s="16" t="n"/>
      <c r="M441" s="14" t="n"/>
      <c r="N441" s="15">
        <f>IF($C441="","",COUNTIFS(nrSK_PID,$D441,nrSK_Cat,$E441))</f>
        <v/>
      </c>
      <c r="O441" s="15">
        <f>IF($C441="","",_xlfn.LET(_xlpm.latest,_xlfn.MAXIFS(nrSK_Att,nrSK_PID,$D441,nrSK_Cat,$E441),_xlpm.res,IF($I441=_xlpm.latest,$J441,""),IF($I441&lt;&gt;_xlpm.latest,"(superseded)",IF(_xlpm.res="","Pending",IF(_xlpm.res="Pass","Qualified",IF(AND(_xlpm.res="Fail",$N441&gt;=$F441),"FAILED OUT","Needs Remediation"))))))</f>
        <v/>
      </c>
      <c r="P441" s="15">
        <f>IF($C441="","",IF($O441="FAILED OUT","Yes","No"))</f>
        <v/>
      </c>
      <c r="Q441" s="14" t="n"/>
    </row>
    <row r="442">
      <c r="B442" s="15">
        <f>IF($C442="","",$D442&amp;"-"&amp;$E442&amp;"-"&amp;$I442)</f>
        <v/>
      </c>
      <c r="C442" s="14" t="n"/>
      <c r="D442" s="15">
        <f>IF($C442="","",IFERROR(INDEX(rngCadetPIDs,MATCH($C442,rngCadetNames,0)),"?"))</f>
        <v/>
      </c>
      <c r="E442" s="14" t="n"/>
      <c r="F442" s="15">
        <f>IF($E442="","",IFERROR(INDEX(rngSM_max,MATCH($E442,rngSM_cat,0)),""))</f>
        <v/>
      </c>
      <c r="G442" s="15">
        <f>IF($E442="","",IFERROR(INDEX(rngSM_mode,MATCH($E442,rngSM_cat,0)),""))</f>
        <v/>
      </c>
      <c r="H442" s="15">
        <f>IF($E442="","",IFERROR(INDEX(rngSM_pass,MATCH($E442,rngSM_cat,0)),""))</f>
        <v/>
      </c>
      <c r="I442" s="14" t="n"/>
      <c r="J442" s="14" t="n"/>
      <c r="K442" s="14" t="n"/>
      <c r="L442" s="16" t="n"/>
      <c r="M442" s="14" t="n"/>
      <c r="N442" s="15">
        <f>IF($C442="","",COUNTIFS(nrSK_PID,$D442,nrSK_Cat,$E442))</f>
        <v/>
      </c>
      <c r="O442" s="15">
        <f>IF($C442="","",_xlfn.LET(_xlpm.latest,_xlfn.MAXIFS(nrSK_Att,nrSK_PID,$D442,nrSK_Cat,$E442),_xlpm.res,IF($I442=_xlpm.latest,$J442,""),IF($I442&lt;&gt;_xlpm.latest,"(superseded)",IF(_xlpm.res="","Pending",IF(_xlpm.res="Pass","Qualified",IF(AND(_xlpm.res="Fail",$N442&gt;=$F442),"FAILED OUT","Needs Remediation"))))))</f>
        <v/>
      </c>
      <c r="P442" s="15">
        <f>IF($C442="","",IF($O442="FAILED OUT","Yes","No"))</f>
        <v/>
      </c>
      <c r="Q442" s="14" t="n"/>
    </row>
    <row r="443">
      <c r="B443" s="15">
        <f>IF($C443="","",$D443&amp;"-"&amp;$E443&amp;"-"&amp;$I443)</f>
        <v/>
      </c>
      <c r="C443" s="14" t="n"/>
      <c r="D443" s="15">
        <f>IF($C443="","",IFERROR(INDEX(rngCadetPIDs,MATCH($C443,rngCadetNames,0)),"?"))</f>
        <v/>
      </c>
      <c r="E443" s="14" t="n"/>
      <c r="F443" s="15">
        <f>IF($E443="","",IFERROR(INDEX(rngSM_max,MATCH($E443,rngSM_cat,0)),""))</f>
        <v/>
      </c>
      <c r="G443" s="15">
        <f>IF($E443="","",IFERROR(INDEX(rngSM_mode,MATCH($E443,rngSM_cat,0)),""))</f>
        <v/>
      </c>
      <c r="H443" s="15">
        <f>IF($E443="","",IFERROR(INDEX(rngSM_pass,MATCH($E443,rngSM_cat,0)),""))</f>
        <v/>
      </c>
      <c r="I443" s="14" t="n"/>
      <c r="J443" s="14" t="n"/>
      <c r="K443" s="14" t="n"/>
      <c r="L443" s="16" t="n"/>
      <c r="M443" s="14" t="n"/>
      <c r="N443" s="15">
        <f>IF($C443="","",COUNTIFS(nrSK_PID,$D443,nrSK_Cat,$E443))</f>
        <v/>
      </c>
      <c r="O443" s="15">
        <f>IF($C443="","",_xlfn.LET(_xlpm.latest,_xlfn.MAXIFS(nrSK_Att,nrSK_PID,$D443,nrSK_Cat,$E443),_xlpm.res,IF($I443=_xlpm.latest,$J443,""),IF($I443&lt;&gt;_xlpm.latest,"(superseded)",IF(_xlpm.res="","Pending",IF(_xlpm.res="Pass","Qualified",IF(AND(_xlpm.res="Fail",$N443&gt;=$F443),"FAILED OUT","Needs Remediation"))))))</f>
        <v/>
      </c>
      <c r="P443" s="15">
        <f>IF($C443="","",IF($O443="FAILED OUT","Yes","No"))</f>
        <v/>
      </c>
      <c r="Q443" s="14" t="n"/>
    </row>
    <row r="444">
      <c r="B444" s="15">
        <f>IF($C444="","",$D444&amp;"-"&amp;$E444&amp;"-"&amp;$I444)</f>
        <v/>
      </c>
      <c r="C444" s="14" t="n"/>
      <c r="D444" s="15">
        <f>IF($C444="","",IFERROR(INDEX(rngCadetPIDs,MATCH($C444,rngCadetNames,0)),"?"))</f>
        <v/>
      </c>
      <c r="E444" s="14" t="n"/>
      <c r="F444" s="15">
        <f>IF($E444="","",IFERROR(INDEX(rngSM_max,MATCH($E444,rngSM_cat,0)),""))</f>
        <v/>
      </c>
      <c r="G444" s="15">
        <f>IF($E444="","",IFERROR(INDEX(rngSM_mode,MATCH($E444,rngSM_cat,0)),""))</f>
        <v/>
      </c>
      <c r="H444" s="15">
        <f>IF($E444="","",IFERROR(INDEX(rngSM_pass,MATCH($E444,rngSM_cat,0)),""))</f>
        <v/>
      </c>
      <c r="I444" s="14" t="n"/>
      <c r="J444" s="14" t="n"/>
      <c r="K444" s="14" t="n"/>
      <c r="L444" s="16" t="n"/>
      <c r="M444" s="14" t="n"/>
      <c r="N444" s="15">
        <f>IF($C444="","",COUNTIFS(nrSK_PID,$D444,nrSK_Cat,$E444))</f>
        <v/>
      </c>
      <c r="O444" s="15">
        <f>IF($C444="","",_xlfn.LET(_xlpm.latest,_xlfn.MAXIFS(nrSK_Att,nrSK_PID,$D444,nrSK_Cat,$E444),_xlpm.res,IF($I444=_xlpm.latest,$J444,""),IF($I444&lt;&gt;_xlpm.latest,"(superseded)",IF(_xlpm.res="","Pending",IF(_xlpm.res="Pass","Qualified",IF(AND(_xlpm.res="Fail",$N444&gt;=$F444),"FAILED OUT","Needs Remediation"))))))</f>
        <v/>
      </c>
      <c r="P444" s="15">
        <f>IF($C444="","",IF($O444="FAILED OUT","Yes","No"))</f>
        <v/>
      </c>
      <c r="Q444" s="14" t="n"/>
    </row>
    <row r="445">
      <c r="B445" s="15">
        <f>IF($C445="","",$D445&amp;"-"&amp;$E445&amp;"-"&amp;$I445)</f>
        <v/>
      </c>
      <c r="C445" s="14" t="n"/>
      <c r="D445" s="15">
        <f>IF($C445="","",IFERROR(INDEX(rngCadetPIDs,MATCH($C445,rngCadetNames,0)),"?"))</f>
        <v/>
      </c>
      <c r="E445" s="14" t="n"/>
      <c r="F445" s="15">
        <f>IF($E445="","",IFERROR(INDEX(rngSM_max,MATCH($E445,rngSM_cat,0)),""))</f>
        <v/>
      </c>
      <c r="G445" s="15">
        <f>IF($E445="","",IFERROR(INDEX(rngSM_mode,MATCH($E445,rngSM_cat,0)),""))</f>
        <v/>
      </c>
      <c r="H445" s="15">
        <f>IF($E445="","",IFERROR(INDEX(rngSM_pass,MATCH($E445,rngSM_cat,0)),""))</f>
        <v/>
      </c>
      <c r="I445" s="14" t="n"/>
      <c r="J445" s="14" t="n"/>
      <c r="K445" s="14" t="n"/>
      <c r="L445" s="16" t="n"/>
      <c r="M445" s="14" t="n"/>
      <c r="N445" s="15">
        <f>IF($C445="","",COUNTIFS(nrSK_PID,$D445,nrSK_Cat,$E445))</f>
        <v/>
      </c>
      <c r="O445" s="15">
        <f>IF($C445="","",_xlfn.LET(_xlpm.latest,_xlfn.MAXIFS(nrSK_Att,nrSK_PID,$D445,nrSK_Cat,$E445),_xlpm.res,IF($I445=_xlpm.latest,$J445,""),IF($I445&lt;&gt;_xlpm.latest,"(superseded)",IF(_xlpm.res="","Pending",IF(_xlpm.res="Pass","Qualified",IF(AND(_xlpm.res="Fail",$N445&gt;=$F445),"FAILED OUT","Needs Remediation"))))))</f>
        <v/>
      </c>
      <c r="P445" s="15">
        <f>IF($C445="","",IF($O445="FAILED OUT","Yes","No"))</f>
        <v/>
      </c>
      <c r="Q445" s="14" t="n"/>
    </row>
    <row r="446">
      <c r="B446" s="15">
        <f>IF($C446="","",$D446&amp;"-"&amp;$E446&amp;"-"&amp;$I446)</f>
        <v/>
      </c>
      <c r="C446" s="14" t="n"/>
      <c r="D446" s="15">
        <f>IF($C446="","",IFERROR(INDEX(rngCadetPIDs,MATCH($C446,rngCadetNames,0)),"?"))</f>
        <v/>
      </c>
      <c r="E446" s="14" t="n"/>
      <c r="F446" s="15">
        <f>IF($E446="","",IFERROR(INDEX(rngSM_max,MATCH($E446,rngSM_cat,0)),""))</f>
        <v/>
      </c>
      <c r="G446" s="15">
        <f>IF($E446="","",IFERROR(INDEX(rngSM_mode,MATCH($E446,rngSM_cat,0)),""))</f>
        <v/>
      </c>
      <c r="H446" s="15">
        <f>IF($E446="","",IFERROR(INDEX(rngSM_pass,MATCH($E446,rngSM_cat,0)),""))</f>
        <v/>
      </c>
      <c r="I446" s="14" t="n"/>
      <c r="J446" s="14" t="n"/>
      <c r="K446" s="14" t="n"/>
      <c r="L446" s="16" t="n"/>
      <c r="M446" s="14" t="n"/>
      <c r="N446" s="15">
        <f>IF($C446="","",COUNTIFS(nrSK_PID,$D446,nrSK_Cat,$E446))</f>
        <v/>
      </c>
      <c r="O446" s="15">
        <f>IF($C446="","",_xlfn.LET(_xlpm.latest,_xlfn.MAXIFS(nrSK_Att,nrSK_PID,$D446,nrSK_Cat,$E446),_xlpm.res,IF($I446=_xlpm.latest,$J446,""),IF($I446&lt;&gt;_xlpm.latest,"(superseded)",IF(_xlpm.res="","Pending",IF(_xlpm.res="Pass","Qualified",IF(AND(_xlpm.res="Fail",$N446&gt;=$F446),"FAILED OUT","Needs Remediation"))))))</f>
        <v/>
      </c>
      <c r="P446" s="15">
        <f>IF($C446="","",IF($O446="FAILED OUT","Yes","No"))</f>
        <v/>
      </c>
      <c r="Q446" s="14" t="n"/>
    </row>
    <row r="447">
      <c r="B447" s="15">
        <f>IF($C447="","",$D447&amp;"-"&amp;$E447&amp;"-"&amp;$I447)</f>
        <v/>
      </c>
      <c r="C447" s="14" t="n"/>
      <c r="D447" s="15">
        <f>IF($C447="","",IFERROR(INDEX(rngCadetPIDs,MATCH($C447,rngCadetNames,0)),"?"))</f>
        <v/>
      </c>
      <c r="E447" s="14" t="n"/>
      <c r="F447" s="15">
        <f>IF($E447="","",IFERROR(INDEX(rngSM_max,MATCH($E447,rngSM_cat,0)),""))</f>
        <v/>
      </c>
      <c r="G447" s="15">
        <f>IF($E447="","",IFERROR(INDEX(rngSM_mode,MATCH($E447,rngSM_cat,0)),""))</f>
        <v/>
      </c>
      <c r="H447" s="15">
        <f>IF($E447="","",IFERROR(INDEX(rngSM_pass,MATCH($E447,rngSM_cat,0)),""))</f>
        <v/>
      </c>
      <c r="I447" s="14" t="n"/>
      <c r="J447" s="14" t="n"/>
      <c r="K447" s="14" t="n"/>
      <c r="L447" s="16" t="n"/>
      <c r="M447" s="14" t="n"/>
      <c r="N447" s="15">
        <f>IF($C447="","",COUNTIFS(nrSK_PID,$D447,nrSK_Cat,$E447))</f>
        <v/>
      </c>
      <c r="O447" s="15">
        <f>IF($C447="","",_xlfn.LET(_xlpm.latest,_xlfn.MAXIFS(nrSK_Att,nrSK_PID,$D447,nrSK_Cat,$E447),_xlpm.res,IF($I447=_xlpm.latest,$J447,""),IF($I447&lt;&gt;_xlpm.latest,"(superseded)",IF(_xlpm.res="","Pending",IF(_xlpm.res="Pass","Qualified",IF(AND(_xlpm.res="Fail",$N447&gt;=$F447),"FAILED OUT","Needs Remediation"))))))</f>
        <v/>
      </c>
      <c r="P447" s="15">
        <f>IF($C447="","",IF($O447="FAILED OUT","Yes","No"))</f>
        <v/>
      </c>
      <c r="Q447" s="14" t="n"/>
    </row>
    <row r="448">
      <c r="B448" s="15">
        <f>IF($C448="","",$D448&amp;"-"&amp;$E448&amp;"-"&amp;$I448)</f>
        <v/>
      </c>
      <c r="C448" s="14" t="n"/>
      <c r="D448" s="15">
        <f>IF($C448="","",IFERROR(INDEX(rngCadetPIDs,MATCH($C448,rngCadetNames,0)),"?"))</f>
        <v/>
      </c>
      <c r="E448" s="14" t="n"/>
      <c r="F448" s="15">
        <f>IF($E448="","",IFERROR(INDEX(rngSM_max,MATCH($E448,rngSM_cat,0)),""))</f>
        <v/>
      </c>
      <c r="G448" s="15">
        <f>IF($E448="","",IFERROR(INDEX(rngSM_mode,MATCH($E448,rngSM_cat,0)),""))</f>
        <v/>
      </c>
      <c r="H448" s="15">
        <f>IF($E448="","",IFERROR(INDEX(rngSM_pass,MATCH($E448,rngSM_cat,0)),""))</f>
        <v/>
      </c>
      <c r="I448" s="14" t="n"/>
      <c r="J448" s="14" t="n"/>
      <c r="K448" s="14" t="n"/>
      <c r="L448" s="16" t="n"/>
      <c r="M448" s="14" t="n"/>
      <c r="N448" s="15">
        <f>IF($C448="","",COUNTIFS(nrSK_PID,$D448,nrSK_Cat,$E448))</f>
        <v/>
      </c>
      <c r="O448" s="15">
        <f>IF($C448="","",_xlfn.LET(_xlpm.latest,_xlfn.MAXIFS(nrSK_Att,nrSK_PID,$D448,nrSK_Cat,$E448),_xlpm.res,IF($I448=_xlpm.latest,$J448,""),IF($I448&lt;&gt;_xlpm.latest,"(superseded)",IF(_xlpm.res="","Pending",IF(_xlpm.res="Pass","Qualified",IF(AND(_xlpm.res="Fail",$N448&gt;=$F448),"FAILED OUT","Needs Remediation"))))))</f>
        <v/>
      </c>
      <c r="P448" s="15">
        <f>IF($C448="","",IF($O448="FAILED OUT","Yes","No"))</f>
        <v/>
      </c>
      <c r="Q448" s="14" t="n"/>
    </row>
    <row r="449">
      <c r="B449" s="15">
        <f>IF($C449="","",$D449&amp;"-"&amp;$E449&amp;"-"&amp;$I449)</f>
        <v/>
      </c>
      <c r="C449" s="14" t="n"/>
      <c r="D449" s="15">
        <f>IF($C449="","",IFERROR(INDEX(rngCadetPIDs,MATCH($C449,rngCadetNames,0)),"?"))</f>
        <v/>
      </c>
      <c r="E449" s="14" t="n"/>
      <c r="F449" s="15">
        <f>IF($E449="","",IFERROR(INDEX(rngSM_max,MATCH($E449,rngSM_cat,0)),""))</f>
        <v/>
      </c>
      <c r="G449" s="15">
        <f>IF($E449="","",IFERROR(INDEX(rngSM_mode,MATCH($E449,rngSM_cat,0)),""))</f>
        <v/>
      </c>
      <c r="H449" s="15">
        <f>IF($E449="","",IFERROR(INDEX(rngSM_pass,MATCH($E449,rngSM_cat,0)),""))</f>
        <v/>
      </c>
      <c r="I449" s="14" t="n"/>
      <c r="J449" s="14" t="n"/>
      <c r="K449" s="14" t="n"/>
      <c r="L449" s="16" t="n"/>
      <c r="M449" s="14" t="n"/>
      <c r="N449" s="15">
        <f>IF($C449="","",COUNTIFS(nrSK_PID,$D449,nrSK_Cat,$E449))</f>
        <v/>
      </c>
      <c r="O449" s="15">
        <f>IF($C449="","",_xlfn.LET(_xlpm.latest,_xlfn.MAXIFS(nrSK_Att,nrSK_PID,$D449,nrSK_Cat,$E449),_xlpm.res,IF($I449=_xlpm.latest,$J449,""),IF($I449&lt;&gt;_xlpm.latest,"(superseded)",IF(_xlpm.res="","Pending",IF(_xlpm.res="Pass","Qualified",IF(AND(_xlpm.res="Fail",$N449&gt;=$F449),"FAILED OUT","Needs Remediation"))))))</f>
        <v/>
      </c>
      <c r="P449" s="15">
        <f>IF($C449="","",IF($O449="FAILED OUT","Yes","No"))</f>
        <v/>
      </c>
      <c r="Q449" s="14" t="n"/>
    </row>
    <row r="450">
      <c r="B450" s="15">
        <f>IF($C450="","",$D450&amp;"-"&amp;$E450&amp;"-"&amp;$I450)</f>
        <v/>
      </c>
      <c r="C450" s="14" t="n"/>
      <c r="D450" s="15">
        <f>IF($C450="","",IFERROR(INDEX(rngCadetPIDs,MATCH($C450,rngCadetNames,0)),"?"))</f>
        <v/>
      </c>
      <c r="E450" s="14" t="n"/>
      <c r="F450" s="15">
        <f>IF($E450="","",IFERROR(INDEX(rngSM_max,MATCH($E450,rngSM_cat,0)),""))</f>
        <v/>
      </c>
      <c r="G450" s="15">
        <f>IF($E450="","",IFERROR(INDEX(rngSM_mode,MATCH($E450,rngSM_cat,0)),""))</f>
        <v/>
      </c>
      <c r="H450" s="15">
        <f>IF($E450="","",IFERROR(INDEX(rngSM_pass,MATCH($E450,rngSM_cat,0)),""))</f>
        <v/>
      </c>
      <c r="I450" s="14" t="n"/>
      <c r="J450" s="14" t="n"/>
      <c r="K450" s="14" t="n"/>
      <c r="L450" s="16" t="n"/>
      <c r="M450" s="14" t="n"/>
      <c r="N450" s="15">
        <f>IF($C450="","",COUNTIFS(nrSK_PID,$D450,nrSK_Cat,$E450))</f>
        <v/>
      </c>
      <c r="O450" s="15">
        <f>IF($C450="","",_xlfn.LET(_xlpm.latest,_xlfn.MAXIFS(nrSK_Att,nrSK_PID,$D450,nrSK_Cat,$E450),_xlpm.res,IF($I450=_xlpm.latest,$J450,""),IF($I450&lt;&gt;_xlpm.latest,"(superseded)",IF(_xlpm.res="","Pending",IF(_xlpm.res="Pass","Qualified",IF(AND(_xlpm.res="Fail",$N450&gt;=$F450),"FAILED OUT","Needs Remediation"))))))</f>
        <v/>
      </c>
      <c r="P450" s="15">
        <f>IF($C450="","",IF($O450="FAILED OUT","Yes","No"))</f>
        <v/>
      </c>
      <c r="Q450" s="14" t="n"/>
    </row>
    <row r="451">
      <c r="B451" s="15">
        <f>IF($C451="","",$D451&amp;"-"&amp;$E451&amp;"-"&amp;$I451)</f>
        <v/>
      </c>
      <c r="C451" s="14" t="n"/>
      <c r="D451" s="15">
        <f>IF($C451="","",IFERROR(INDEX(rngCadetPIDs,MATCH($C451,rngCadetNames,0)),"?"))</f>
        <v/>
      </c>
      <c r="E451" s="14" t="n"/>
      <c r="F451" s="15">
        <f>IF($E451="","",IFERROR(INDEX(rngSM_max,MATCH($E451,rngSM_cat,0)),""))</f>
        <v/>
      </c>
      <c r="G451" s="15">
        <f>IF($E451="","",IFERROR(INDEX(rngSM_mode,MATCH($E451,rngSM_cat,0)),""))</f>
        <v/>
      </c>
      <c r="H451" s="15">
        <f>IF($E451="","",IFERROR(INDEX(rngSM_pass,MATCH($E451,rngSM_cat,0)),""))</f>
        <v/>
      </c>
      <c r="I451" s="14" t="n"/>
      <c r="J451" s="14" t="n"/>
      <c r="K451" s="14" t="n"/>
      <c r="L451" s="16" t="n"/>
      <c r="M451" s="14" t="n"/>
      <c r="N451" s="15">
        <f>IF($C451="","",COUNTIFS(nrSK_PID,$D451,nrSK_Cat,$E451))</f>
        <v/>
      </c>
      <c r="O451" s="15">
        <f>IF($C451="","",_xlfn.LET(_xlpm.latest,_xlfn.MAXIFS(nrSK_Att,nrSK_PID,$D451,nrSK_Cat,$E451),_xlpm.res,IF($I451=_xlpm.latest,$J451,""),IF($I451&lt;&gt;_xlpm.latest,"(superseded)",IF(_xlpm.res="","Pending",IF(_xlpm.res="Pass","Qualified",IF(AND(_xlpm.res="Fail",$N451&gt;=$F451),"FAILED OUT","Needs Remediation"))))))</f>
        <v/>
      </c>
      <c r="P451" s="15">
        <f>IF($C451="","",IF($O451="FAILED OUT","Yes","No"))</f>
        <v/>
      </c>
      <c r="Q451" s="14" t="n"/>
    </row>
    <row r="452">
      <c r="B452" s="15">
        <f>IF($C452="","",$D452&amp;"-"&amp;$E452&amp;"-"&amp;$I452)</f>
        <v/>
      </c>
      <c r="C452" s="14" t="n"/>
      <c r="D452" s="15">
        <f>IF($C452="","",IFERROR(INDEX(rngCadetPIDs,MATCH($C452,rngCadetNames,0)),"?"))</f>
        <v/>
      </c>
      <c r="E452" s="14" t="n"/>
      <c r="F452" s="15">
        <f>IF($E452="","",IFERROR(INDEX(rngSM_max,MATCH($E452,rngSM_cat,0)),""))</f>
        <v/>
      </c>
      <c r="G452" s="15">
        <f>IF($E452="","",IFERROR(INDEX(rngSM_mode,MATCH($E452,rngSM_cat,0)),""))</f>
        <v/>
      </c>
      <c r="H452" s="15">
        <f>IF($E452="","",IFERROR(INDEX(rngSM_pass,MATCH($E452,rngSM_cat,0)),""))</f>
        <v/>
      </c>
      <c r="I452" s="14" t="n"/>
      <c r="J452" s="14" t="n"/>
      <c r="K452" s="14" t="n"/>
      <c r="L452" s="16" t="n"/>
      <c r="M452" s="14" t="n"/>
      <c r="N452" s="15">
        <f>IF($C452="","",COUNTIFS(nrSK_PID,$D452,nrSK_Cat,$E452))</f>
        <v/>
      </c>
      <c r="O452" s="15">
        <f>IF($C452="","",_xlfn.LET(_xlpm.latest,_xlfn.MAXIFS(nrSK_Att,nrSK_PID,$D452,nrSK_Cat,$E452),_xlpm.res,IF($I452=_xlpm.latest,$J452,""),IF($I452&lt;&gt;_xlpm.latest,"(superseded)",IF(_xlpm.res="","Pending",IF(_xlpm.res="Pass","Qualified",IF(AND(_xlpm.res="Fail",$N452&gt;=$F452),"FAILED OUT","Needs Remediation"))))))</f>
        <v/>
      </c>
      <c r="P452" s="15">
        <f>IF($C452="","",IF($O452="FAILED OUT","Yes","No"))</f>
        <v/>
      </c>
      <c r="Q452" s="14" t="n"/>
    </row>
    <row r="453">
      <c r="B453" s="15">
        <f>IF($C453="","",$D453&amp;"-"&amp;$E453&amp;"-"&amp;$I453)</f>
        <v/>
      </c>
      <c r="C453" s="14" t="n"/>
      <c r="D453" s="15">
        <f>IF($C453="","",IFERROR(INDEX(rngCadetPIDs,MATCH($C453,rngCadetNames,0)),"?"))</f>
        <v/>
      </c>
      <c r="E453" s="14" t="n"/>
      <c r="F453" s="15">
        <f>IF($E453="","",IFERROR(INDEX(rngSM_max,MATCH($E453,rngSM_cat,0)),""))</f>
        <v/>
      </c>
      <c r="G453" s="15">
        <f>IF($E453="","",IFERROR(INDEX(rngSM_mode,MATCH($E453,rngSM_cat,0)),""))</f>
        <v/>
      </c>
      <c r="H453" s="15">
        <f>IF($E453="","",IFERROR(INDEX(rngSM_pass,MATCH($E453,rngSM_cat,0)),""))</f>
        <v/>
      </c>
      <c r="I453" s="14" t="n"/>
      <c r="J453" s="14" t="n"/>
      <c r="K453" s="14" t="n"/>
      <c r="L453" s="16" t="n"/>
      <c r="M453" s="14" t="n"/>
      <c r="N453" s="15">
        <f>IF($C453="","",COUNTIFS(nrSK_PID,$D453,nrSK_Cat,$E453))</f>
        <v/>
      </c>
      <c r="O453" s="15">
        <f>IF($C453="","",_xlfn.LET(_xlpm.latest,_xlfn.MAXIFS(nrSK_Att,nrSK_PID,$D453,nrSK_Cat,$E453),_xlpm.res,IF($I453=_xlpm.latest,$J453,""),IF($I453&lt;&gt;_xlpm.latest,"(superseded)",IF(_xlpm.res="","Pending",IF(_xlpm.res="Pass","Qualified",IF(AND(_xlpm.res="Fail",$N453&gt;=$F453),"FAILED OUT","Needs Remediation"))))))</f>
        <v/>
      </c>
      <c r="P453" s="15">
        <f>IF($C453="","",IF($O453="FAILED OUT","Yes","No"))</f>
        <v/>
      </c>
      <c r="Q453" s="14" t="n"/>
    </row>
    <row r="454">
      <c r="B454" s="15">
        <f>IF($C454="","",$D454&amp;"-"&amp;$E454&amp;"-"&amp;$I454)</f>
        <v/>
      </c>
      <c r="C454" s="14" t="n"/>
      <c r="D454" s="15">
        <f>IF($C454="","",IFERROR(INDEX(rngCadetPIDs,MATCH($C454,rngCadetNames,0)),"?"))</f>
        <v/>
      </c>
      <c r="E454" s="14" t="n"/>
      <c r="F454" s="15">
        <f>IF($E454="","",IFERROR(INDEX(rngSM_max,MATCH($E454,rngSM_cat,0)),""))</f>
        <v/>
      </c>
      <c r="G454" s="15">
        <f>IF($E454="","",IFERROR(INDEX(rngSM_mode,MATCH($E454,rngSM_cat,0)),""))</f>
        <v/>
      </c>
      <c r="H454" s="15">
        <f>IF($E454="","",IFERROR(INDEX(rngSM_pass,MATCH($E454,rngSM_cat,0)),""))</f>
        <v/>
      </c>
      <c r="I454" s="14" t="n"/>
      <c r="J454" s="14" t="n"/>
      <c r="K454" s="14" t="n"/>
      <c r="L454" s="16" t="n"/>
      <c r="M454" s="14" t="n"/>
      <c r="N454" s="15">
        <f>IF($C454="","",COUNTIFS(nrSK_PID,$D454,nrSK_Cat,$E454))</f>
        <v/>
      </c>
      <c r="O454" s="15">
        <f>IF($C454="","",_xlfn.LET(_xlpm.latest,_xlfn.MAXIFS(nrSK_Att,nrSK_PID,$D454,nrSK_Cat,$E454),_xlpm.res,IF($I454=_xlpm.latest,$J454,""),IF($I454&lt;&gt;_xlpm.latest,"(superseded)",IF(_xlpm.res="","Pending",IF(_xlpm.res="Pass","Qualified",IF(AND(_xlpm.res="Fail",$N454&gt;=$F454),"FAILED OUT","Needs Remediation"))))))</f>
        <v/>
      </c>
      <c r="P454" s="15">
        <f>IF($C454="","",IF($O454="FAILED OUT","Yes","No"))</f>
        <v/>
      </c>
      <c r="Q454" s="14" t="n"/>
    </row>
    <row r="455">
      <c r="B455" s="15">
        <f>IF($C455="","",$D455&amp;"-"&amp;$E455&amp;"-"&amp;$I455)</f>
        <v/>
      </c>
      <c r="C455" s="14" t="n"/>
      <c r="D455" s="15">
        <f>IF($C455="","",IFERROR(INDEX(rngCadetPIDs,MATCH($C455,rngCadetNames,0)),"?"))</f>
        <v/>
      </c>
      <c r="E455" s="14" t="n"/>
      <c r="F455" s="15">
        <f>IF($E455="","",IFERROR(INDEX(rngSM_max,MATCH($E455,rngSM_cat,0)),""))</f>
        <v/>
      </c>
      <c r="G455" s="15">
        <f>IF($E455="","",IFERROR(INDEX(rngSM_mode,MATCH($E455,rngSM_cat,0)),""))</f>
        <v/>
      </c>
      <c r="H455" s="15">
        <f>IF($E455="","",IFERROR(INDEX(rngSM_pass,MATCH($E455,rngSM_cat,0)),""))</f>
        <v/>
      </c>
      <c r="I455" s="14" t="n"/>
      <c r="J455" s="14" t="n"/>
      <c r="K455" s="14" t="n"/>
      <c r="L455" s="16" t="n"/>
      <c r="M455" s="14" t="n"/>
      <c r="N455" s="15">
        <f>IF($C455="","",COUNTIFS(nrSK_PID,$D455,nrSK_Cat,$E455))</f>
        <v/>
      </c>
      <c r="O455" s="15">
        <f>IF($C455="","",_xlfn.LET(_xlpm.latest,_xlfn.MAXIFS(nrSK_Att,nrSK_PID,$D455,nrSK_Cat,$E455),_xlpm.res,IF($I455=_xlpm.latest,$J455,""),IF($I455&lt;&gt;_xlpm.latest,"(superseded)",IF(_xlpm.res="","Pending",IF(_xlpm.res="Pass","Qualified",IF(AND(_xlpm.res="Fail",$N455&gt;=$F455),"FAILED OUT","Needs Remediation"))))))</f>
        <v/>
      </c>
      <c r="P455" s="15">
        <f>IF($C455="","",IF($O455="FAILED OUT","Yes","No"))</f>
        <v/>
      </c>
      <c r="Q455" s="14" t="n"/>
    </row>
    <row r="456">
      <c r="B456" s="15">
        <f>IF($C456="","",$D456&amp;"-"&amp;$E456&amp;"-"&amp;$I456)</f>
        <v/>
      </c>
      <c r="C456" s="14" t="n"/>
      <c r="D456" s="15">
        <f>IF($C456="","",IFERROR(INDEX(rngCadetPIDs,MATCH($C456,rngCadetNames,0)),"?"))</f>
        <v/>
      </c>
      <c r="E456" s="14" t="n"/>
      <c r="F456" s="15">
        <f>IF($E456="","",IFERROR(INDEX(rngSM_max,MATCH($E456,rngSM_cat,0)),""))</f>
        <v/>
      </c>
      <c r="G456" s="15">
        <f>IF($E456="","",IFERROR(INDEX(rngSM_mode,MATCH($E456,rngSM_cat,0)),""))</f>
        <v/>
      </c>
      <c r="H456" s="15">
        <f>IF($E456="","",IFERROR(INDEX(rngSM_pass,MATCH($E456,rngSM_cat,0)),""))</f>
        <v/>
      </c>
      <c r="I456" s="14" t="n"/>
      <c r="J456" s="14" t="n"/>
      <c r="K456" s="14" t="n"/>
      <c r="L456" s="16" t="n"/>
      <c r="M456" s="14" t="n"/>
      <c r="N456" s="15">
        <f>IF($C456="","",COUNTIFS(nrSK_PID,$D456,nrSK_Cat,$E456))</f>
        <v/>
      </c>
      <c r="O456" s="15">
        <f>IF($C456="","",_xlfn.LET(_xlpm.latest,_xlfn.MAXIFS(nrSK_Att,nrSK_PID,$D456,nrSK_Cat,$E456),_xlpm.res,IF($I456=_xlpm.latest,$J456,""),IF($I456&lt;&gt;_xlpm.latest,"(superseded)",IF(_xlpm.res="","Pending",IF(_xlpm.res="Pass","Qualified",IF(AND(_xlpm.res="Fail",$N456&gt;=$F456),"FAILED OUT","Needs Remediation"))))))</f>
        <v/>
      </c>
      <c r="P456" s="15">
        <f>IF($C456="","",IF($O456="FAILED OUT","Yes","No"))</f>
        <v/>
      </c>
      <c r="Q456" s="14" t="n"/>
    </row>
    <row r="457">
      <c r="B457" s="15">
        <f>IF($C457="","",$D457&amp;"-"&amp;$E457&amp;"-"&amp;$I457)</f>
        <v/>
      </c>
      <c r="C457" s="14" t="n"/>
      <c r="D457" s="15">
        <f>IF($C457="","",IFERROR(INDEX(rngCadetPIDs,MATCH($C457,rngCadetNames,0)),"?"))</f>
        <v/>
      </c>
      <c r="E457" s="14" t="n"/>
      <c r="F457" s="15">
        <f>IF($E457="","",IFERROR(INDEX(rngSM_max,MATCH($E457,rngSM_cat,0)),""))</f>
        <v/>
      </c>
      <c r="G457" s="15">
        <f>IF($E457="","",IFERROR(INDEX(rngSM_mode,MATCH($E457,rngSM_cat,0)),""))</f>
        <v/>
      </c>
      <c r="H457" s="15">
        <f>IF($E457="","",IFERROR(INDEX(rngSM_pass,MATCH($E457,rngSM_cat,0)),""))</f>
        <v/>
      </c>
      <c r="I457" s="14" t="n"/>
      <c r="J457" s="14" t="n"/>
      <c r="K457" s="14" t="n"/>
      <c r="L457" s="16" t="n"/>
      <c r="M457" s="14" t="n"/>
      <c r="N457" s="15">
        <f>IF($C457="","",COUNTIFS(nrSK_PID,$D457,nrSK_Cat,$E457))</f>
        <v/>
      </c>
      <c r="O457" s="15">
        <f>IF($C457="","",_xlfn.LET(_xlpm.latest,_xlfn.MAXIFS(nrSK_Att,nrSK_PID,$D457,nrSK_Cat,$E457),_xlpm.res,IF($I457=_xlpm.latest,$J457,""),IF($I457&lt;&gt;_xlpm.latest,"(superseded)",IF(_xlpm.res="","Pending",IF(_xlpm.res="Pass","Qualified",IF(AND(_xlpm.res="Fail",$N457&gt;=$F457),"FAILED OUT","Needs Remediation"))))))</f>
        <v/>
      </c>
      <c r="P457" s="15">
        <f>IF($C457="","",IF($O457="FAILED OUT","Yes","No"))</f>
        <v/>
      </c>
      <c r="Q457" s="14" t="n"/>
    </row>
    <row r="458">
      <c r="B458" s="15">
        <f>IF($C458="","",$D458&amp;"-"&amp;$E458&amp;"-"&amp;$I458)</f>
        <v/>
      </c>
      <c r="C458" s="14" t="n"/>
      <c r="D458" s="15">
        <f>IF($C458="","",IFERROR(INDEX(rngCadetPIDs,MATCH($C458,rngCadetNames,0)),"?"))</f>
        <v/>
      </c>
      <c r="E458" s="14" t="n"/>
      <c r="F458" s="15">
        <f>IF($E458="","",IFERROR(INDEX(rngSM_max,MATCH($E458,rngSM_cat,0)),""))</f>
        <v/>
      </c>
      <c r="G458" s="15">
        <f>IF($E458="","",IFERROR(INDEX(rngSM_mode,MATCH($E458,rngSM_cat,0)),""))</f>
        <v/>
      </c>
      <c r="H458" s="15">
        <f>IF($E458="","",IFERROR(INDEX(rngSM_pass,MATCH($E458,rngSM_cat,0)),""))</f>
        <v/>
      </c>
      <c r="I458" s="14" t="n"/>
      <c r="J458" s="14" t="n"/>
      <c r="K458" s="14" t="n"/>
      <c r="L458" s="16" t="n"/>
      <c r="M458" s="14" t="n"/>
      <c r="N458" s="15">
        <f>IF($C458="","",COUNTIFS(nrSK_PID,$D458,nrSK_Cat,$E458))</f>
        <v/>
      </c>
      <c r="O458" s="15">
        <f>IF($C458="","",_xlfn.LET(_xlpm.latest,_xlfn.MAXIFS(nrSK_Att,nrSK_PID,$D458,nrSK_Cat,$E458),_xlpm.res,IF($I458=_xlpm.latest,$J458,""),IF($I458&lt;&gt;_xlpm.latest,"(superseded)",IF(_xlpm.res="","Pending",IF(_xlpm.res="Pass","Qualified",IF(AND(_xlpm.res="Fail",$N458&gt;=$F458),"FAILED OUT","Needs Remediation"))))))</f>
        <v/>
      </c>
      <c r="P458" s="15">
        <f>IF($C458="","",IF($O458="FAILED OUT","Yes","No"))</f>
        <v/>
      </c>
      <c r="Q458" s="14" t="n"/>
    </row>
    <row r="459">
      <c r="B459" s="15">
        <f>IF($C459="","",$D459&amp;"-"&amp;$E459&amp;"-"&amp;$I459)</f>
        <v/>
      </c>
      <c r="C459" s="14" t="n"/>
      <c r="D459" s="15">
        <f>IF($C459="","",IFERROR(INDEX(rngCadetPIDs,MATCH($C459,rngCadetNames,0)),"?"))</f>
        <v/>
      </c>
      <c r="E459" s="14" t="n"/>
      <c r="F459" s="15">
        <f>IF($E459="","",IFERROR(INDEX(rngSM_max,MATCH($E459,rngSM_cat,0)),""))</f>
        <v/>
      </c>
      <c r="G459" s="15">
        <f>IF($E459="","",IFERROR(INDEX(rngSM_mode,MATCH($E459,rngSM_cat,0)),""))</f>
        <v/>
      </c>
      <c r="H459" s="15">
        <f>IF($E459="","",IFERROR(INDEX(rngSM_pass,MATCH($E459,rngSM_cat,0)),""))</f>
        <v/>
      </c>
      <c r="I459" s="14" t="n"/>
      <c r="J459" s="14" t="n"/>
      <c r="K459" s="14" t="n"/>
      <c r="L459" s="16" t="n"/>
      <c r="M459" s="14" t="n"/>
      <c r="N459" s="15">
        <f>IF($C459="","",COUNTIFS(nrSK_PID,$D459,nrSK_Cat,$E459))</f>
        <v/>
      </c>
      <c r="O459" s="15">
        <f>IF($C459="","",_xlfn.LET(_xlpm.latest,_xlfn.MAXIFS(nrSK_Att,nrSK_PID,$D459,nrSK_Cat,$E459),_xlpm.res,IF($I459=_xlpm.latest,$J459,""),IF($I459&lt;&gt;_xlpm.latest,"(superseded)",IF(_xlpm.res="","Pending",IF(_xlpm.res="Pass","Qualified",IF(AND(_xlpm.res="Fail",$N459&gt;=$F459),"FAILED OUT","Needs Remediation"))))))</f>
        <v/>
      </c>
      <c r="P459" s="15">
        <f>IF($C459="","",IF($O459="FAILED OUT","Yes","No"))</f>
        <v/>
      </c>
      <c r="Q459" s="14" t="n"/>
    </row>
    <row r="460">
      <c r="B460" s="15">
        <f>IF($C460="","",$D460&amp;"-"&amp;$E460&amp;"-"&amp;$I460)</f>
        <v/>
      </c>
      <c r="C460" s="14" t="n"/>
      <c r="D460" s="15">
        <f>IF($C460="","",IFERROR(INDEX(rngCadetPIDs,MATCH($C460,rngCadetNames,0)),"?"))</f>
        <v/>
      </c>
      <c r="E460" s="14" t="n"/>
      <c r="F460" s="15">
        <f>IF($E460="","",IFERROR(INDEX(rngSM_max,MATCH($E460,rngSM_cat,0)),""))</f>
        <v/>
      </c>
      <c r="G460" s="15">
        <f>IF($E460="","",IFERROR(INDEX(rngSM_mode,MATCH($E460,rngSM_cat,0)),""))</f>
        <v/>
      </c>
      <c r="H460" s="15">
        <f>IF($E460="","",IFERROR(INDEX(rngSM_pass,MATCH($E460,rngSM_cat,0)),""))</f>
        <v/>
      </c>
      <c r="I460" s="14" t="n"/>
      <c r="J460" s="14" t="n"/>
      <c r="K460" s="14" t="n"/>
      <c r="L460" s="16" t="n"/>
      <c r="M460" s="14" t="n"/>
      <c r="N460" s="15">
        <f>IF($C460="","",COUNTIFS(nrSK_PID,$D460,nrSK_Cat,$E460))</f>
        <v/>
      </c>
      <c r="O460" s="15">
        <f>IF($C460="","",_xlfn.LET(_xlpm.latest,_xlfn.MAXIFS(nrSK_Att,nrSK_PID,$D460,nrSK_Cat,$E460),_xlpm.res,IF($I460=_xlpm.latest,$J460,""),IF($I460&lt;&gt;_xlpm.latest,"(superseded)",IF(_xlpm.res="","Pending",IF(_xlpm.res="Pass","Qualified",IF(AND(_xlpm.res="Fail",$N460&gt;=$F460),"FAILED OUT","Needs Remediation"))))))</f>
        <v/>
      </c>
      <c r="P460" s="15">
        <f>IF($C460="","",IF($O460="FAILED OUT","Yes","No"))</f>
        <v/>
      </c>
      <c r="Q460" s="14" t="n"/>
    </row>
    <row r="461">
      <c r="B461" s="15">
        <f>IF($C461="","",$D461&amp;"-"&amp;$E461&amp;"-"&amp;$I461)</f>
        <v/>
      </c>
      <c r="C461" s="14" t="n"/>
      <c r="D461" s="15">
        <f>IF($C461="","",IFERROR(INDEX(rngCadetPIDs,MATCH($C461,rngCadetNames,0)),"?"))</f>
        <v/>
      </c>
      <c r="E461" s="14" t="n"/>
      <c r="F461" s="15">
        <f>IF($E461="","",IFERROR(INDEX(rngSM_max,MATCH($E461,rngSM_cat,0)),""))</f>
        <v/>
      </c>
      <c r="G461" s="15">
        <f>IF($E461="","",IFERROR(INDEX(rngSM_mode,MATCH($E461,rngSM_cat,0)),""))</f>
        <v/>
      </c>
      <c r="H461" s="15">
        <f>IF($E461="","",IFERROR(INDEX(rngSM_pass,MATCH($E461,rngSM_cat,0)),""))</f>
        <v/>
      </c>
      <c r="I461" s="14" t="n"/>
      <c r="J461" s="14" t="n"/>
      <c r="K461" s="14" t="n"/>
      <c r="L461" s="16" t="n"/>
      <c r="M461" s="14" t="n"/>
      <c r="N461" s="15">
        <f>IF($C461="","",COUNTIFS(nrSK_PID,$D461,nrSK_Cat,$E461))</f>
        <v/>
      </c>
      <c r="O461" s="15">
        <f>IF($C461="","",_xlfn.LET(_xlpm.latest,_xlfn.MAXIFS(nrSK_Att,nrSK_PID,$D461,nrSK_Cat,$E461),_xlpm.res,IF($I461=_xlpm.latest,$J461,""),IF($I461&lt;&gt;_xlpm.latest,"(superseded)",IF(_xlpm.res="","Pending",IF(_xlpm.res="Pass","Qualified",IF(AND(_xlpm.res="Fail",$N461&gt;=$F461),"FAILED OUT","Needs Remediation"))))))</f>
        <v/>
      </c>
      <c r="P461" s="15">
        <f>IF($C461="","",IF($O461="FAILED OUT","Yes","No"))</f>
        <v/>
      </c>
      <c r="Q461" s="14" t="n"/>
    </row>
    <row r="462">
      <c r="B462" s="15">
        <f>IF($C462="","",$D462&amp;"-"&amp;$E462&amp;"-"&amp;$I462)</f>
        <v/>
      </c>
      <c r="C462" s="14" t="n"/>
      <c r="D462" s="15">
        <f>IF($C462="","",IFERROR(INDEX(rngCadetPIDs,MATCH($C462,rngCadetNames,0)),"?"))</f>
        <v/>
      </c>
      <c r="E462" s="14" t="n"/>
      <c r="F462" s="15">
        <f>IF($E462="","",IFERROR(INDEX(rngSM_max,MATCH($E462,rngSM_cat,0)),""))</f>
        <v/>
      </c>
      <c r="G462" s="15">
        <f>IF($E462="","",IFERROR(INDEX(rngSM_mode,MATCH($E462,rngSM_cat,0)),""))</f>
        <v/>
      </c>
      <c r="H462" s="15">
        <f>IF($E462="","",IFERROR(INDEX(rngSM_pass,MATCH($E462,rngSM_cat,0)),""))</f>
        <v/>
      </c>
      <c r="I462" s="14" t="n"/>
      <c r="J462" s="14" t="n"/>
      <c r="K462" s="14" t="n"/>
      <c r="L462" s="16" t="n"/>
      <c r="M462" s="14" t="n"/>
      <c r="N462" s="15">
        <f>IF($C462="","",COUNTIFS(nrSK_PID,$D462,nrSK_Cat,$E462))</f>
        <v/>
      </c>
      <c r="O462" s="15">
        <f>IF($C462="","",_xlfn.LET(_xlpm.latest,_xlfn.MAXIFS(nrSK_Att,nrSK_PID,$D462,nrSK_Cat,$E462),_xlpm.res,IF($I462=_xlpm.latest,$J462,""),IF($I462&lt;&gt;_xlpm.latest,"(superseded)",IF(_xlpm.res="","Pending",IF(_xlpm.res="Pass","Qualified",IF(AND(_xlpm.res="Fail",$N462&gt;=$F462),"FAILED OUT","Needs Remediation"))))))</f>
        <v/>
      </c>
      <c r="P462" s="15">
        <f>IF($C462="","",IF($O462="FAILED OUT","Yes","No"))</f>
        <v/>
      </c>
      <c r="Q462" s="14" t="n"/>
    </row>
    <row r="463">
      <c r="B463" s="15">
        <f>IF($C463="","",$D463&amp;"-"&amp;$E463&amp;"-"&amp;$I463)</f>
        <v/>
      </c>
      <c r="C463" s="14" t="n"/>
      <c r="D463" s="15">
        <f>IF($C463="","",IFERROR(INDEX(rngCadetPIDs,MATCH($C463,rngCadetNames,0)),"?"))</f>
        <v/>
      </c>
      <c r="E463" s="14" t="n"/>
      <c r="F463" s="15">
        <f>IF($E463="","",IFERROR(INDEX(rngSM_max,MATCH($E463,rngSM_cat,0)),""))</f>
        <v/>
      </c>
      <c r="G463" s="15">
        <f>IF($E463="","",IFERROR(INDEX(rngSM_mode,MATCH($E463,rngSM_cat,0)),""))</f>
        <v/>
      </c>
      <c r="H463" s="15">
        <f>IF($E463="","",IFERROR(INDEX(rngSM_pass,MATCH($E463,rngSM_cat,0)),""))</f>
        <v/>
      </c>
      <c r="I463" s="14" t="n"/>
      <c r="J463" s="14" t="n"/>
      <c r="K463" s="14" t="n"/>
      <c r="L463" s="16" t="n"/>
      <c r="M463" s="14" t="n"/>
      <c r="N463" s="15">
        <f>IF($C463="","",COUNTIFS(nrSK_PID,$D463,nrSK_Cat,$E463))</f>
        <v/>
      </c>
      <c r="O463" s="15">
        <f>IF($C463="","",_xlfn.LET(_xlpm.latest,_xlfn.MAXIFS(nrSK_Att,nrSK_PID,$D463,nrSK_Cat,$E463),_xlpm.res,IF($I463=_xlpm.latest,$J463,""),IF($I463&lt;&gt;_xlpm.latest,"(superseded)",IF(_xlpm.res="","Pending",IF(_xlpm.res="Pass","Qualified",IF(AND(_xlpm.res="Fail",$N463&gt;=$F463),"FAILED OUT","Needs Remediation"))))))</f>
        <v/>
      </c>
      <c r="P463" s="15">
        <f>IF($C463="","",IF($O463="FAILED OUT","Yes","No"))</f>
        <v/>
      </c>
      <c r="Q463" s="14" t="n"/>
    </row>
    <row r="464">
      <c r="B464" s="15">
        <f>IF($C464="","",$D464&amp;"-"&amp;$E464&amp;"-"&amp;$I464)</f>
        <v/>
      </c>
      <c r="C464" s="14" t="n"/>
      <c r="D464" s="15">
        <f>IF($C464="","",IFERROR(INDEX(rngCadetPIDs,MATCH($C464,rngCadetNames,0)),"?"))</f>
        <v/>
      </c>
      <c r="E464" s="14" t="n"/>
      <c r="F464" s="15">
        <f>IF($E464="","",IFERROR(INDEX(rngSM_max,MATCH($E464,rngSM_cat,0)),""))</f>
        <v/>
      </c>
      <c r="G464" s="15">
        <f>IF($E464="","",IFERROR(INDEX(rngSM_mode,MATCH($E464,rngSM_cat,0)),""))</f>
        <v/>
      </c>
      <c r="H464" s="15">
        <f>IF($E464="","",IFERROR(INDEX(rngSM_pass,MATCH($E464,rngSM_cat,0)),""))</f>
        <v/>
      </c>
      <c r="I464" s="14" t="n"/>
      <c r="J464" s="14" t="n"/>
      <c r="K464" s="14" t="n"/>
      <c r="L464" s="16" t="n"/>
      <c r="M464" s="14" t="n"/>
      <c r="N464" s="15">
        <f>IF($C464="","",COUNTIFS(nrSK_PID,$D464,nrSK_Cat,$E464))</f>
        <v/>
      </c>
      <c r="O464" s="15">
        <f>IF($C464="","",_xlfn.LET(_xlpm.latest,_xlfn.MAXIFS(nrSK_Att,nrSK_PID,$D464,nrSK_Cat,$E464),_xlpm.res,IF($I464=_xlpm.latest,$J464,""),IF($I464&lt;&gt;_xlpm.latest,"(superseded)",IF(_xlpm.res="","Pending",IF(_xlpm.res="Pass","Qualified",IF(AND(_xlpm.res="Fail",$N464&gt;=$F464),"FAILED OUT","Needs Remediation"))))))</f>
        <v/>
      </c>
      <c r="P464" s="15">
        <f>IF($C464="","",IF($O464="FAILED OUT","Yes","No"))</f>
        <v/>
      </c>
      <c r="Q464" s="14" t="n"/>
    </row>
    <row r="465">
      <c r="B465" s="15">
        <f>IF($C465="","",$D465&amp;"-"&amp;$E465&amp;"-"&amp;$I465)</f>
        <v/>
      </c>
      <c r="C465" s="14" t="n"/>
      <c r="D465" s="15">
        <f>IF($C465="","",IFERROR(INDEX(rngCadetPIDs,MATCH($C465,rngCadetNames,0)),"?"))</f>
        <v/>
      </c>
      <c r="E465" s="14" t="n"/>
      <c r="F465" s="15">
        <f>IF($E465="","",IFERROR(INDEX(rngSM_max,MATCH($E465,rngSM_cat,0)),""))</f>
        <v/>
      </c>
      <c r="G465" s="15">
        <f>IF($E465="","",IFERROR(INDEX(rngSM_mode,MATCH($E465,rngSM_cat,0)),""))</f>
        <v/>
      </c>
      <c r="H465" s="15">
        <f>IF($E465="","",IFERROR(INDEX(rngSM_pass,MATCH($E465,rngSM_cat,0)),""))</f>
        <v/>
      </c>
      <c r="I465" s="14" t="n"/>
      <c r="J465" s="14" t="n"/>
      <c r="K465" s="14" t="n"/>
      <c r="L465" s="16" t="n"/>
      <c r="M465" s="14" t="n"/>
      <c r="N465" s="15">
        <f>IF($C465="","",COUNTIFS(nrSK_PID,$D465,nrSK_Cat,$E465))</f>
        <v/>
      </c>
      <c r="O465" s="15">
        <f>IF($C465="","",_xlfn.LET(_xlpm.latest,_xlfn.MAXIFS(nrSK_Att,nrSK_PID,$D465,nrSK_Cat,$E465),_xlpm.res,IF($I465=_xlpm.latest,$J465,""),IF($I465&lt;&gt;_xlpm.latest,"(superseded)",IF(_xlpm.res="","Pending",IF(_xlpm.res="Pass","Qualified",IF(AND(_xlpm.res="Fail",$N465&gt;=$F465),"FAILED OUT","Needs Remediation"))))))</f>
        <v/>
      </c>
      <c r="P465" s="15">
        <f>IF($C465="","",IF($O465="FAILED OUT","Yes","No"))</f>
        <v/>
      </c>
      <c r="Q465" s="14" t="n"/>
    </row>
    <row r="466">
      <c r="B466" s="15">
        <f>IF($C466="","",$D466&amp;"-"&amp;$E466&amp;"-"&amp;$I466)</f>
        <v/>
      </c>
      <c r="C466" s="14" t="n"/>
      <c r="D466" s="15">
        <f>IF($C466="","",IFERROR(INDEX(rngCadetPIDs,MATCH($C466,rngCadetNames,0)),"?"))</f>
        <v/>
      </c>
      <c r="E466" s="14" t="n"/>
      <c r="F466" s="15">
        <f>IF($E466="","",IFERROR(INDEX(rngSM_max,MATCH($E466,rngSM_cat,0)),""))</f>
        <v/>
      </c>
      <c r="G466" s="15">
        <f>IF($E466="","",IFERROR(INDEX(rngSM_mode,MATCH($E466,rngSM_cat,0)),""))</f>
        <v/>
      </c>
      <c r="H466" s="15">
        <f>IF($E466="","",IFERROR(INDEX(rngSM_pass,MATCH($E466,rngSM_cat,0)),""))</f>
        <v/>
      </c>
      <c r="I466" s="14" t="n"/>
      <c r="J466" s="14" t="n"/>
      <c r="K466" s="14" t="n"/>
      <c r="L466" s="16" t="n"/>
      <c r="M466" s="14" t="n"/>
      <c r="N466" s="15">
        <f>IF($C466="","",COUNTIFS(nrSK_PID,$D466,nrSK_Cat,$E466))</f>
        <v/>
      </c>
      <c r="O466" s="15">
        <f>IF($C466="","",_xlfn.LET(_xlpm.latest,_xlfn.MAXIFS(nrSK_Att,nrSK_PID,$D466,nrSK_Cat,$E466),_xlpm.res,IF($I466=_xlpm.latest,$J466,""),IF($I466&lt;&gt;_xlpm.latest,"(superseded)",IF(_xlpm.res="","Pending",IF(_xlpm.res="Pass","Qualified",IF(AND(_xlpm.res="Fail",$N466&gt;=$F466),"FAILED OUT","Needs Remediation"))))))</f>
        <v/>
      </c>
      <c r="P466" s="15">
        <f>IF($C466="","",IF($O466="FAILED OUT","Yes","No"))</f>
        <v/>
      </c>
      <c r="Q466" s="14" t="n"/>
    </row>
    <row r="467">
      <c r="B467" s="15">
        <f>IF($C467="","",$D467&amp;"-"&amp;$E467&amp;"-"&amp;$I467)</f>
        <v/>
      </c>
      <c r="C467" s="14" t="n"/>
      <c r="D467" s="15">
        <f>IF($C467="","",IFERROR(INDEX(rngCadetPIDs,MATCH($C467,rngCadetNames,0)),"?"))</f>
        <v/>
      </c>
      <c r="E467" s="14" t="n"/>
      <c r="F467" s="15">
        <f>IF($E467="","",IFERROR(INDEX(rngSM_max,MATCH($E467,rngSM_cat,0)),""))</f>
        <v/>
      </c>
      <c r="G467" s="15">
        <f>IF($E467="","",IFERROR(INDEX(rngSM_mode,MATCH($E467,rngSM_cat,0)),""))</f>
        <v/>
      </c>
      <c r="H467" s="15">
        <f>IF($E467="","",IFERROR(INDEX(rngSM_pass,MATCH($E467,rngSM_cat,0)),""))</f>
        <v/>
      </c>
      <c r="I467" s="14" t="n"/>
      <c r="J467" s="14" t="n"/>
      <c r="K467" s="14" t="n"/>
      <c r="L467" s="16" t="n"/>
      <c r="M467" s="14" t="n"/>
      <c r="N467" s="15">
        <f>IF($C467="","",COUNTIFS(nrSK_PID,$D467,nrSK_Cat,$E467))</f>
        <v/>
      </c>
      <c r="O467" s="15">
        <f>IF($C467="","",_xlfn.LET(_xlpm.latest,_xlfn.MAXIFS(nrSK_Att,nrSK_PID,$D467,nrSK_Cat,$E467),_xlpm.res,IF($I467=_xlpm.latest,$J467,""),IF($I467&lt;&gt;_xlpm.latest,"(superseded)",IF(_xlpm.res="","Pending",IF(_xlpm.res="Pass","Qualified",IF(AND(_xlpm.res="Fail",$N467&gt;=$F467),"FAILED OUT","Needs Remediation"))))))</f>
        <v/>
      </c>
      <c r="P467" s="15">
        <f>IF($C467="","",IF($O467="FAILED OUT","Yes","No"))</f>
        <v/>
      </c>
      <c r="Q467" s="14" t="n"/>
    </row>
    <row r="468">
      <c r="B468" s="15">
        <f>IF($C468="","",$D468&amp;"-"&amp;$E468&amp;"-"&amp;$I468)</f>
        <v/>
      </c>
      <c r="C468" s="14" t="n"/>
      <c r="D468" s="15">
        <f>IF($C468="","",IFERROR(INDEX(rngCadetPIDs,MATCH($C468,rngCadetNames,0)),"?"))</f>
        <v/>
      </c>
      <c r="E468" s="14" t="n"/>
      <c r="F468" s="15">
        <f>IF($E468="","",IFERROR(INDEX(rngSM_max,MATCH($E468,rngSM_cat,0)),""))</f>
        <v/>
      </c>
      <c r="G468" s="15">
        <f>IF($E468="","",IFERROR(INDEX(rngSM_mode,MATCH($E468,rngSM_cat,0)),""))</f>
        <v/>
      </c>
      <c r="H468" s="15">
        <f>IF($E468="","",IFERROR(INDEX(rngSM_pass,MATCH($E468,rngSM_cat,0)),""))</f>
        <v/>
      </c>
      <c r="I468" s="14" t="n"/>
      <c r="J468" s="14" t="n"/>
      <c r="K468" s="14" t="n"/>
      <c r="L468" s="16" t="n"/>
      <c r="M468" s="14" t="n"/>
      <c r="N468" s="15">
        <f>IF($C468="","",COUNTIFS(nrSK_PID,$D468,nrSK_Cat,$E468))</f>
        <v/>
      </c>
      <c r="O468" s="15">
        <f>IF($C468="","",_xlfn.LET(_xlpm.latest,_xlfn.MAXIFS(nrSK_Att,nrSK_PID,$D468,nrSK_Cat,$E468),_xlpm.res,IF($I468=_xlpm.latest,$J468,""),IF($I468&lt;&gt;_xlpm.latest,"(superseded)",IF(_xlpm.res="","Pending",IF(_xlpm.res="Pass","Qualified",IF(AND(_xlpm.res="Fail",$N468&gt;=$F468),"FAILED OUT","Needs Remediation"))))))</f>
        <v/>
      </c>
      <c r="P468" s="15">
        <f>IF($C468="","",IF($O468="FAILED OUT","Yes","No"))</f>
        <v/>
      </c>
      <c r="Q468" s="14" t="n"/>
    </row>
    <row r="469">
      <c r="B469" s="15">
        <f>IF($C469="","",$D469&amp;"-"&amp;$E469&amp;"-"&amp;$I469)</f>
        <v/>
      </c>
      <c r="C469" s="14" t="n"/>
      <c r="D469" s="15">
        <f>IF($C469="","",IFERROR(INDEX(rngCadetPIDs,MATCH($C469,rngCadetNames,0)),"?"))</f>
        <v/>
      </c>
      <c r="E469" s="14" t="n"/>
      <c r="F469" s="15">
        <f>IF($E469="","",IFERROR(INDEX(rngSM_max,MATCH($E469,rngSM_cat,0)),""))</f>
        <v/>
      </c>
      <c r="G469" s="15">
        <f>IF($E469="","",IFERROR(INDEX(rngSM_mode,MATCH($E469,rngSM_cat,0)),""))</f>
        <v/>
      </c>
      <c r="H469" s="15">
        <f>IF($E469="","",IFERROR(INDEX(rngSM_pass,MATCH($E469,rngSM_cat,0)),""))</f>
        <v/>
      </c>
      <c r="I469" s="14" t="n"/>
      <c r="J469" s="14" t="n"/>
      <c r="K469" s="14" t="n"/>
      <c r="L469" s="16" t="n"/>
      <c r="M469" s="14" t="n"/>
      <c r="N469" s="15">
        <f>IF($C469="","",COUNTIFS(nrSK_PID,$D469,nrSK_Cat,$E469))</f>
        <v/>
      </c>
      <c r="O469" s="15">
        <f>IF($C469="","",_xlfn.LET(_xlpm.latest,_xlfn.MAXIFS(nrSK_Att,nrSK_PID,$D469,nrSK_Cat,$E469),_xlpm.res,IF($I469=_xlpm.latest,$J469,""),IF($I469&lt;&gt;_xlpm.latest,"(superseded)",IF(_xlpm.res="","Pending",IF(_xlpm.res="Pass","Qualified",IF(AND(_xlpm.res="Fail",$N469&gt;=$F469),"FAILED OUT","Needs Remediation"))))))</f>
        <v/>
      </c>
      <c r="P469" s="15">
        <f>IF($C469="","",IF($O469="FAILED OUT","Yes","No"))</f>
        <v/>
      </c>
      <c r="Q469" s="14" t="n"/>
    </row>
    <row r="470">
      <c r="B470" s="15">
        <f>IF($C470="","",$D470&amp;"-"&amp;$E470&amp;"-"&amp;$I470)</f>
        <v/>
      </c>
      <c r="C470" s="14" t="n"/>
      <c r="D470" s="15">
        <f>IF($C470="","",IFERROR(INDEX(rngCadetPIDs,MATCH($C470,rngCadetNames,0)),"?"))</f>
        <v/>
      </c>
      <c r="E470" s="14" t="n"/>
      <c r="F470" s="15">
        <f>IF($E470="","",IFERROR(INDEX(rngSM_max,MATCH($E470,rngSM_cat,0)),""))</f>
        <v/>
      </c>
      <c r="G470" s="15">
        <f>IF($E470="","",IFERROR(INDEX(rngSM_mode,MATCH($E470,rngSM_cat,0)),""))</f>
        <v/>
      </c>
      <c r="H470" s="15">
        <f>IF($E470="","",IFERROR(INDEX(rngSM_pass,MATCH($E470,rngSM_cat,0)),""))</f>
        <v/>
      </c>
      <c r="I470" s="14" t="n"/>
      <c r="J470" s="14" t="n"/>
      <c r="K470" s="14" t="n"/>
      <c r="L470" s="16" t="n"/>
      <c r="M470" s="14" t="n"/>
      <c r="N470" s="15">
        <f>IF($C470="","",COUNTIFS(nrSK_PID,$D470,nrSK_Cat,$E470))</f>
        <v/>
      </c>
      <c r="O470" s="15">
        <f>IF($C470="","",_xlfn.LET(_xlpm.latest,_xlfn.MAXIFS(nrSK_Att,nrSK_PID,$D470,nrSK_Cat,$E470),_xlpm.res,IF($I470=_xlpm.latest,$J470,""),IF($I470&lt;&gt;_xlpm.latest,"(superseded)",IF(_xlpm.res="","Pending",IF(_xlpm.res="Pass","Qualified",IF(AND(_xlpm.res="Fail",$N470&gt;=$F470),"FAILED OUT","Needs Remediation"))))))</f>
        <v/>
      </c>
      <c r="P470" s="15">
        <f>IF($C470="","",IF($O470="FAILED OUT","Yes","No"))</f>
        <v/>
      </c>
      <c r="Q470" s="14" t="n"/>
    </row>
    <row r="471">
      <c r="B471" s="15">
        <f>IF($C471="","",$D471&amp;"-"&amp;$E471&amp;"-"&amp;$I471)</f>
        <v/>
      </c>
      <c r="C471" s="14" t="n"/>
      <c r="D471" s="15">
        <f>IF($C471="","",IFERROR(INDEX(rngCadetPIDs,MATCH($C471,rngCadetNames,0)),"?"))</f>
        <v/>
      </c>
      <c r="E471" s="14" t="n"/>
      <c r="F471" s="15">
        <f>IF($E471="","",IFERROR(INDEX(rngSM_max,MATCH($E471,rngSM_cat,0)),""))</f>
        <v/>
      </c>
      <c r="G471" s="15">
        <f>IF($E471="","",IFERROR(INDEX(rngSM_mode,MATCH($E471,rngSM_cat,0)),""))</f>
        <v/>
      </c>
      <c r="H471" s="15">
        <f>IF($E471="","",IFERROR(INDEX(rngSM_pass,MATCH($E471,rngSM_cat,0)),""))</f>
        <v/>
      </c>
      <c r="I471" s="14" t="n"/>
      <c r="J471" s="14" t="n"/>
      <c r="K471" s="14" t="n"/>
      <c r="L471" s="16" t="n"/>
      <c r="M471" s="14" t="n"/>
      <c r="N471" s="15">
        <f>IF($C471="","",COUNTIFS(nrSK_PID,$D471,nrSK_Cat,$E471))</f>
        <v/>
      </c>
      <c r="O471" s="15">
        <f>IF($C471="","",_xlfn.LET(_xlpm.latest,_xlfn.MAXIFS(nrSK_Att,nrSK_PID,$D471,nrSK_Cat,$E471),_xlpm.res,IF($I471=_xlpm.latest,$J471,""),IF($I471&lt;&gt;_xlpm.latest,"(superseded)",IF(_xlpm.res="","Pending",IF(_xlpm.res="Pass","Qualified",IF(AND(_xlpm.res="Fail",$N471&gt;=$F471),"FAILED OUT","Needs Remediation"))))))</f>
        <v/>
      </c>
      <c r="P471" s="15">
        <f>IF($C471="","",IF($O471="FAILED OUT","Yes","No"))</f>
        <v/>
      </c>
      <c r="Q471" s="14" t="n"/>
    </row>
    <row r="472">
      <c r="B472" s="15">
        <f>IF($C472="","",$D472&amp;"-"&amp;$E472&amp;"-"&amp;$I472)</f>
        <v/>
      </c>
      <c r="C472" s="14" t="n"/>
      <c r="D472" s="15">
        <f>IF($C472="","",IFERROR(INDEX(rngCadetPIDs,MATCH($C472,rngCadetNames,0)),"?"))</f>
        <v/>
      </c>
      <c r="E472" s="14" t="n"/>
      <c r="F472" s="15">
        <f>IF($E472="","",IFERROR(INDEX(rngSM_max,MATCH($E472,rngSM_cat,0)),""))</f>
        <v/>
      </c>
      <c r="G472" s="15">
        <f>IF($E472="","",IFERROR(INDEX(rngSM_mode,MATCH($E472,rngSM_cat,0)),""))</f>
        <v/>
      </c>
      <c r="H472" s="15">
        <f>IF($E472="","",IFERROR(INDEX(rngSM_pass,MATCH($E472,rngSM_cat,0)),""))</f>
        <v/>
      </c>
      <c r="I472" s="14" t="n"/>
      <c r="J472" s="14" t="n"/>
      <c r="K472" s="14" t="n"/>
      <c r="L472" s="16" t="n"/>
      <c r="M472" s="14" t="n"/>
      <c r="N472" s="15">
        <f>IF($C472="","",COUNTIFS(nrSK_PID,$D472,nrSK_Cat,$E472))</f>
        <v/>
      </c>
      <c r="O472" s="15">
        <f>IF($C472="","",_xlfn.LET(_xlpm.latest,_xlfn.MAXIFS(nrSK_Att,nrSK_PID,$D472,nrSK_Cat,$E472),_xlpm.res,IF($I472=_xlpm.latest,$J472,""),IF($I472&lt;&gt;_xlpm.latest,"(superseded)",IF(_xlpm.res="","Pending",IF(_xlpm.res="Pass","Qualified",IF(AND(_xlpm.res="Fail",$N472&gt;=$F472),"FAILED OUT","Needs Remediation"))))))</f>
        <v/>
      </c>
      <c r="P472" s="15">
        <f>IF($C472="","",IF($O472="FAILED OUT","Yes","No"))</f>
        <v/>
      </c>
      <c r="Q472" s="14" t="n"/>
    </row>
    <row r="473">
      <c r="B473" s="15">
        <f>IF($C473="","",$D473&amp;"-"&amp;$E473&amp;"-"&amp;$I473)</f>
        <v/>
      </c>
      <c r="C473" s="14" t="n"/>
      <c r="D473" s="15">
        <f>IF($C473="","",IFERROR(INDEX(rngCadetPIDs,MATCH($C473,rngCadetNames,0)),"?"))</f>
        <v/>
      </c>
      <c r="E473" s="14" t="n"/>
      <c r="F473" s="15">
        <f>IF($E473="","",IFERROR(INDEX(rngSM_max,MATCH($E473,rngSM_cat,0)),""))</f>
        <v/>
      </c>
      <c r="G473" s="15">
        <f>IF($E473="","",IFERROR(INDEX(rngSM_mode,MATCH($E473,rngSM_cat,0)),""))</f>
        <v/>
      </c>
      <c r="H473" s="15">
        <f>IF($E473="","",IFERROR(INDEX(rngSM_pass,MATCH($E473,rngSM_cat,0)),""))</f>
        <v/>
      </c>
      <c r="I473" s="14" t="n"/>
      <c r="J473" s="14" t="n"/>
      <c r="K473" s="14" t="n"/>
      <c r="L473" s="16" t="n"/>
      <c r="M473" s="14" t="n"/>
      <c r="N473" s="15">
        <f>IF($C473="","",COUNTIFS(nrSK_PID,$D473,nrSK_Cat,$E473))</f>
        <v/>
      </c>
      <c r="O473" s="15">
        <f>IF($C473="","",_xlfn.LET(_xlpm.latest,_xlfn.MAXIFS(nrSK_Att,nrSK_PID,$D473,nrSK_Cat,$E473),_xlpm.res,IF($I473=_xlpm.latest,$J473,""),IF($I473&lt;&gt;_xlpm.latest,"(superseded)",IF(_xlpm.res="","Pending",IF(_xlpm.res="Pass","Qualified",IF(AND(_xlpm.res="Fail",$N473&gt;=$F473),"FAILED OUT","Needs Remediation"))))))</f>
        <v/>
      </c>
      <c r="P473" s="15">
        <f>IF($C473="","",IF($O473="FAILED OUT","Yes","No"))</f>
        <v/>
      </c>
      <c r="Q473" s="14" t="n"/>
    </row>
    <row r="474">
      <c r="B474" s="15">
        <f>IF($C474="","",$D474&amp;"-"&amp;$E474&amp;"-"&amp;$I474)</f>
        <v/>
      </c>
      <c r="C474" s="14" t="n"/>
      <c r="D474" s="15">
        <f>IF($C474="","",IFERROR(INDEX(rngCadetPIDs,MATCH($C474,rngCadetNames,0)),"?"))</f>
        <v/>
      </c>
      <c r="E474" s="14" t="n"/>
      <c r="F474" s="15">
        <f>IF($E474="","",IFERROR(INDEX(rngSM_max,MATCH($E474,rngSM_cat,0)),""))</f>
        <v/>
      </c>
      <c r="G474" s="15">
        <f>IF($E474="","",IFERROR(INDEX(rngSM_mode,MATCH($E474,rngSM_cat,0)),""))</f>
        <v/>
      </c>
      <c r="H474" s="15">
        <f>IF($E474="","",IFERROR(INDEX(rngSM_pass,MATCH($E474,rngSM_cat,0)),""))</f>
        <v/>
      </c>
      <c r="I474" s="14" t="n"/>
      <c r="J474" s="14" t="n"/>
      <c r="K474" s="14" t="n"/>
      <c r="L474" s="16" t="n"/>
      <c r="M474" s="14" t="n"/>
      <c r="N474" s="15">
        <f>IF($C474="","",COUNTIFS(nrSK_PID,$D474,nrSK_Cat,$E474))</f>
        <v/>
      </c>
      <c r="O474" s="15">
        <f>IF($C474="","",_xlfn.LET(_xlpm.latest,_xlfn.MAXIFS(nrSK_Att,nrSK_PID,$D474,nrSK_Cat,$E474),_xlpm.res,IF($I474=_xlpm.latest,$J474,""),IF($I474&lt;&gt;_xlpm.latest,"(superseded)",IF(_xlpm.res="","Pending",IF(_xlpm.res="Pass","Qualified",IF(AND(_xlpm.res="Fail",$N474&gt;=$F474),"FAILED OUT","Needs Remediation"))))))</f>
        <v/>
      </c>
      <c r="P474" s="15">
        <f>IF($C474="","",IF($O474="FAILED OUT","Yes","No"))</f>
        <v/>
      </c>
      <c r="Q474" s="14" t="n"/>
    </row>
    <row r="475">
      <c r="B475" s="15">
        <f>IF($C475="","",$D475&amp;"-"&amp;$E475&amp;"-"&amp;$I475)</f>
        <v/>
      </c>
      <c r="C475" s="14" t="n"/>
      <c r="D475" s="15">
        <f>IF($C475="","",IFERROR(INDEX(rngCadetPIDs,MATCH($C475,rngCadetNames,0)),"?"))</f>
        <v/>
      </c>
      <c r="E475" s="14" t="n"/>
      <c r="F475" s="15">
        <f>IF($E475="","",IFERROR(INDEX(rngSM_max,MATCH($E475,rngSM_cat,0)),""))</f>
        <v/>
      </c>
      <c r="G475" s="15">
        <f>IF($E475="","",IFERROR(INDEX(rngSM_mode,MATCH($E475,rngSM_cat,0)),""))</f>
        <v/>
      </c>
      <c r="H475" s="15">
        <f>IF($E475="","",IFERROR(INDEX(rngSM_pass,MATCH($E475,rngSM_cat,0)),""))</f>
        <v/>
      </c>
      <c r="I475" s="14" t="n"/>
      <c r="J475" s="14" t="n"/>
      <c r="K475" s="14" t="n"/>
      <c r="L475" s="16" t="n"/>
      <c r="M475" s="14" t="n"/>
      <c r="N475" s="15">
        <f>IF($C475="","",COUNTIFS(nrSK_PID,$D475,nrSK_Cat,$E475))</f>
        <v/>
      </c>
      <c r="O475" s="15">
        <f>IF($C475="","",_xlfn.LET(_xlpm.latest,_xlfn.MAXIFS(nrSK_Att,nrSK_PID,$D475,nrSK_Cat,$E475),_xlpm.res,IF($I475=_xlpm.latest,$J475,""),IF($I475&lt;&gt;_xlpm.latest,"(superseded)",IF(_xlpm.res="","Pending",IF(_xlpm.res="Pass","Qualified",IF(AND(_xlpm.res="Fail",$N475&gt;=$F475),"FAILED OUT","Needs Remediation"))))))</f>
        <v/>
      </c>
      <c r="P475" s="15">
        <f>IF($C475="","",IF($O475="FAILED OUT","Yes","No"))</f>
        <v/>
      </c>
      <c r="Q475" s="14" t="n"/>
    </row>
    <row r="476">
      <c r="B476" s="15">
        <f>IF($C476="","",$D476&amp;"-"&amp;$E476&amp;"-"&amp;$I476)</f>
        <v/>
      </c>
      <c r="C476" s="14" t="n"/>
      <c r="D476" s="15">
        <f>IF($C476="","",IFERROR(INDEX(rngCadetPIDs,MATCH($C476,rngCadetNames,0)),"?"))</f>
        <v/>
      </c>
      <c r="E476" s="14" t="n"/>
      <c r="F476" s="15">
        <f>IF($E476="","",IFERROR(INDEX(rngSM_max,MATCH($E476,rngSM_cat,0)),""))</f>
        <v/>
      </c>
      <c r="G476" s="15">
        <f>IF($E476="","",IFERROR(INDEX(rngSM_mode,MATCH($E476,rngSM_cat,0)),""))</f>
        <v/>
      </c>
      <c r="H476" s="15">
        <f>IF($E476="","",IFERROR(INDEX(rngSM_pass,MATCH($E476,rngSM_cat,0)),""))</f>
        <v/>
      </c>
      <c r="I476" s="14" t="n"/>
      <c r="J476" s="14" t="n"/>
      <c r="K476" s="14" t="n"/>
      <c r="L476" s="16" t="n"/>
      <c r="M476" s="14" t="n"/>
      <c r="N476" s="15">
        <f>IF($C476="","",COUNTIFS(nrSK_PID,$D476,nrSK_Cat,$E476))</f>
        <v/>
      </c>
      <c r="O476" s="15">
        <f>IF($C476="","",_xlfn.LET(_xlpm.latest,_xlfn.MAXIFS(nrSK_Att,nrSK_PID,$D476,nrSK_Cat,$E476),_xlpm.res,IF($I476=_xlpm.latest,$J476,""),IF($I476&lt;&gt;_xlpm.latest,"(superseded)",IF(_xlpm.res="","Pending",IF(_xlpm.res="Pass","Qualified",IF(AND(_xlpm.res="Fail",$N476&gt;=$F476),"FAILED OUT","Needs Remediation"))))))</f>
        <v/>
      </c>
      <c r="P476" s="15">
        <f>IF($C476="","",IF($O476="FAILED OUT","Yes","No"))</f>
        <v/>
      </c>
      <c r="Q476" s="14" t="n"/>
    </row>
    <row r="477">
      <c r="B477" s="15">
        <f>IF($C477="","",$D477&amp;"-"&amp;$E477&amp;"-"&amp;$I477)</f>
        <v/>
      </c>
      <c r="C477" s="14" t="n"/>
      <c r="D477" s="15">
        <f>IF($C477="","",IFERROR(INDEX(rngCadetPIDs,MATCH($C477,rngCadetNames,0)),"?"))</f>
        <v/>
      </c>
      <c r="E477" s="14" t="n"/>
      <c r="F477" s="15">
        <f>IF($E477="","",IFERROR(INDEX(rngSM_max,MATCH($E477,rngSM_cat,0)),""))</f>
        <v/>
      </c>
      <c r="G477" s="15">
        <f>IF($E477="","",IFERROR(INDEX(rngSM_mode,MATCH($E477,rngSM_cat,0)),""))</f>
        <v/>
      </c>
      <c r="H477" s="15">
        <f>IF($E477="","",IFERROR(INDEX(rngSM_pass,MATCH($E477,rngSM_cat,0)),""))</f>
        <v/>
      </c>
      <c r="I477" s="14" t="n"/>
      <c r="J477" s="14" t="n"/>
      <c r="K477" s="14" t="n"/>
      <c r="L477" s="16" t="n"/>
      <c r="M477" s="14" t="n"/>
      <c r="N477" s="15">
        <f>IF($C477="","",COUNTIFS(nrSK_PID,$D477,nrSK_Cat,$E477))</f>
        <v/>
      </c>
      <c r="O477" s="15">
        <f>IF($C477="","",_xlfn.LET(_xlpm.latest,_xlfn.MAXIFS(nrSK_Att,nrSK_PID,$D477,nrSK_Cat,$E477),_xlpm.res,IF($I477=_xlpm.latest,$J477,""),IF($I477&lt;&gt;_xlpm.latest,"(superseded)",IF(_xlpm.res="","Pending",IF(_xlpm.res="Pass","Qualified",IF(AND(_xlpm.res="Fail",$N477&gt;=$F477),"FAILED OUT","Needs Remediation"))))))</f>
        <v/>
      </c>
      <c r="P477" s="15">
        <f>IF($C477="","",IF($O477="FAILED OUT","Yes","No"))</f>
        <v/>
      </c>
      <c r="Q477" s="14" t="n"/>
    </row>
    <row r="478">
      <c r="B478" s="15">
        <f>IF($C478="","",$D478&amp;"-"&amp;$E478&amp;"-"&amp;$I478)</f>
        <v/>
      </c>
      <c r="C478" s="14" t="n"/>
      <c r="D478" s="15">
        <f>IF($C478="","",IFERROR(INDEX(rngCadetPIDs,MATCH($C478,rngCadetNames,0)),"?"))</f>
        <v/>
      </c>
      <c r="E478" s="14" t="n"/>
      <c r="F478" s="15">
        <f>IF($E478="","",IFERROR(INDEX(rngSM_max,MATCH($E478,rngSM_cat,0)),""))</f>
        <v/>
      </c>
      <c r="G478" s="15">
        <f>IF($E478="","",IFERROR(INDEX(rngSM_mode,MATCH($E478,rngSM_cat,0)),""))</f>
        <v/>
      </c>
      <c r="H478" s="15">
        <f>IF($E478="","",IFERROR(INDEX(rngSM_pass,MATCH($E478,rngSM_cat,0)),""))</f>
        <v/>
      </c>
      <c r="I478" s="14" t="n"/>
      <c r="J478" s="14" t="n"/>
      <c r="K478" s="14" t="n"/>
      <c r="L478" s="16" t="n"/>
      <c r="M478" s="14" t="n"/>
      <c r="N478" s="15">
        <f>IF($C478="","",COUNTIFS(nrSK_PID,$D478,nrSK_Cat,$E478))</f>
        <v/>
      </c>
      <c r="O478" s="15">
        <f>IF($C478="","",_xlfn.LET(_xlpm.latest,_xlfn.MAXIFS(nrSK_Att,nrSK_PID,$D478,nrSK_Cat,$E478),_xlpm.res,IF($I478=_xlpm.latest,$J478,""),IF($I478&lt;&gt;_xlpm.latest,"(superseded)",IF(_xlpm.res="","Pending",IF(_xlpm.res="Pass","Qualified",IF(AND(_xlpm.res="Fail",$N478&gt;=$F478),"FAILED OUT","Needs Remediation"))))))</f>
        <v/>
      </c>
      <c r="P478" s="15">
        <f>IF($C478="","",IF($O478="FAILED OUT","Yes","No"))</f>
        <v/>
      </c>
      <c r="Q478" s="14" t="n"/>
    </row>
    <row r="479">
      <c r="B479" s="15">
        <f>IF($C479="","",$D479&amp;"-"&amp;$E479&amp;"-"&amp;$I479)</f>
        <v/>
      </c>
      <c r="C479" s="14" t="n"/>
      <c r="D479" s="15">
        <f>IF($C479="","",IFERROR(INDEX(rngCadetPIDs,MATCH($C479,rngCadetNames,0)),"?"))</f>
        <v/>
      </c>
      <c r="E479" s="14" t="n"/>
      <c r="F479" s="15">
        <f>IF($E479="","",IFERROR(INDEX(rngSM_max,MATCH($E479,rngSM_cat,0)),""))</f>
        <v/>
      </c>
      <c r="G479" s="15">
        <f>IF($E479="","",IFERROR(INDEX(rngSM_mode,MATCH($E479,rngSM_cat,0)),""))</f>
        <v/>
      </c>
      <c r="H479" s="15">
        <f>IF($E479="","",IFERROR(INDEX(rngSM_pass,MATCH($E479,rngSM_cat,0)),""))</f>
        <v/>
      </c>
      <c r="I479" s="14" t="n"/>
      <c r="J479" s="14" t="n"/>
      <c r="K479" s="14" t="n"/>
      <c r="L479" s="16" t="n"/>
      <c r="M479" s="14" t="n"/>
      <c r="N479" s="15">
        <f>IF($C479="","",COUNTIFS(nrSK_PID,$D479,nrSK_Cat,$E479))</f>
        <v/>
      </c>
      <c r="O479" s="15">
        <f>IF($C479="","",_xlfn.LET(_xlpm.latest,_xlfn.MAXIFS(nrSK_Att,nrSK_PID,$D479,nrSK_Cat,$E479),_xlpm.res,IF($I479=_xlpm.latest,$J479,""),IF($I479&lt;&gt;_xlpm.latest,"(superseded)",IF(_xlpm.res="","Pending",IF(_xlpm.res="Pass","Qualified",IF(AND(_xlpm.res="Fail",$N479&gt;=$F479),"FAILED OUT","Needs Remediation"))))))</f>
        <v/>
      </c>
      <c r="P479" s="15">
        <f>IF($C479="","",IF($O479="FAILED OUT","Yes","No"))</f>
        <v/>
      </c>
      <c r="Q479" s="14" t="n"/>
    </row>
    <row r="480">
      <c r="B480" s="15">
        <f>IF($C480="","",$D480&amp;"-"&amp;$E480&amp;"-"&amp;$I480)</f>
        <v/>
      </c>
      <c r="C480" s="14" t="n"/>
      <c r="D480" s="15">
        <f>IF($C480="","",IFERROR(INDEX(rngCadetPIDs,MATCH($C480,rngCadetNames,0)),"?"))</f>
        <v/>
      </c>
      <c r="E480" s="14" t="n"/>
      <c r="F480" s="15">
        <f>IF($E480="","",IFERROR(INDEX(rngSM_max,MATCH($E480,rngSM_cat,0)),""))</f>
        <v/>
      </c>
      <c r="G480" s="15">
        <f>IF($E480="","",IFERROR(INDEX(rngSM_mode,MATCH($E480,rngSM_cat,0)),""))</f>
        <v/>
      </c>
      <c r="H480" s="15">
        <f>IF($E480="","",IFERROR(INDEX(rngSM_pass,MATCH($E480,rngSM_cat,0)),""))</f>
        <v/>
      </c>
      <c r="I480" s="14" t="n"/>
      <c r="J480" s="14" t="n"/>
      <c r="K480" s="14" t="n"/>
      <c r="L480" s="16" t="n"/>
      <c r="M480" s="14" t="n"/>
      <c r="N480" s="15">
        <f>IF($C480="","",COUNTIFS(nrSK_PID,$D480,nrSK_Cat,$E480))</f>
        <v/>
      </c>
      <c r="O480" s="15">
        <f>IF($C480="","",_xlfn.LET(_xlpm.latest,_xlfn.MAXIFS(nrSK_Att,nrSK_PID,$D480,nrSK_Cat,$E480),_xlpm.res,IF($I480=_xlpm.latest,$J480,""),IF($I480&lt;&gt;_xlpm.latest,"(superseded)",IF(_xlpm.res="","Pending",IF(_xlpm.res="Pass","Qualified",IF(AND(_xlpm.res="Fail",$N480&gt;=$F480),"FAILED OUT","Needs Remediation"))))))</f>
        <v/>
      </c>
      <c r="P480" s="15">
        <f>IF($C480="","",IF($O480="FAILED OUT","Yes","No"))</f>
        <v/>
      </c>
      <c r="Q480" s="14" t="n"/>
    </row>
    <row r="481">
      <c r="B481" s="15">
        <f>IF($C481="","",$D481&amp;"-"&amp;$E481&amp;"-"&amp;$I481)</f>
        <v/>
      </c>
      <c r="C481" s="14" t="n"/>
      <c r="D481" s="15">
        <f>IF($C481="","",IFERROR(INDEX(rngCadetPIDs,MATCH($C481,rngCadetNames,0)),"?"))</f>
        <v/>
      </c>
      <c r="E481" s="14" t="n"/>
      <c r="F481" s="15">
        <f>IF($E481="","",IFERROR(INDEX(rngSM_max,MATCH($E481,rngSM_cat,0)),""))</f>
        <v/>
      </c>
      <c r="G481" s="15">
        <f>IF($E481="","",IFERROR(INDEX(rngSM_mode,MATCH($E481,rngSM_cat,0)),""))</f>
        <v/>
      </c>
      <c r="H481" s="15">
        <f>IF($E481="","",IFERROR(INDEX(rngSM_pass,MATCH($E481,rngSM_cat,0)),""))</f>
        <v/>
      </c>
      <c r="I481" s="14" t="n"/>
      <c r="J481" s="14" t="n"/>
      <c r="K481" s="14" t="n"/>
      <c r="L481" s="16" t="n"/>
      <c r="M481" s="14" t="n"/>
      <c r="N481" s="15">
        <f>IF($C481="","",COUNTIFS(nrSK_PID,$D481,nrSK_Cat,$E481))</f>
        <v/>
      </c>
      <c r="O481" s="15">
        <f>IF($C481="","",_xlfn.LET(_xlpm.latest,_xlfn.MAXIFS(nrSK_Att,nrSK_PID,$D481,nrSK_Cat,$E481),_xlpm.res,IF($I481=_xlpm.latest,$J481,""),IF($I481&lt;&gt;_xlpm.latest,"(superseded)",IF(_xlpm.res="","Pending",IF(_xlpm.res="Pass","Qualified",IF(AND(_xlpm.res="Fail",$N481&gt;=$F481),"FAILED OUT","Needs Remediation"))))))</f>
        <v/>
      </c>
      <c r="P481" s="15">
        <f>IF($C481="","",IF($O481="FAILED OUT","Yes","No"))</f>
        <v/>
      </c>
      <c r="Q481" s="14" t="n"/>
    </row>
    <row r="482">
      <c r="B482" s="15">
        <f>IF($C482="","",$D482&amp;"-"&amp;$E482&amp;"-"&amp;$I482)</f>
        <v/>
      </c>
      <c r="C482" s="14" t="n"/>
      <c r="D482" s="15">
        <f>IF($C482="","",IFERROR(INDEX(rngCadetPIDs,MATCH($C482,rngCadetNames,0)),"?"))</f>
        <v/>
      </c>
      <c r="E482" s="14" t="n"/>
      <c r="F482" s="15">
        <f>IF($E482="","",IFERROR(INDEX(rngSM_max,MATCH($E482,rngSM_cat,0)),""))</f>
        <v/>
      </c>
      <c r="G482" s="15">
        <f>IF($E482="","",IFERROR(INDEX(rngSM_mode,MATCH($E482,rngSM_cat,0)),""))</f>
        <v/>
      </c>
      <c r="H482" s="15">
        <f>IF($E482="","",IFERROR(INDEX(rngSM_pass,MATCH($E482,rngSM_cat,0)),""))</f>
        <v/>
      </c>
      <c r="I482" s="14" t="n"/>
      <c r="J482" s="14" t="n"/>
      <c r="K482" s="14" t="n"/>
      <c r="L482" s="16" t="n"/>
      <c r="M482" s="14" t="n"/>
      <c r="N482" s="15">
        <f>IF($C482="","",COUNTIFS(nrSK_PID,$D482,nrSK_Cat,$E482))</f>
        <v/>
      </c>
      <c r="O482" s="15">
        <f>IF($C482="","",_xlfn.LET(_xlpm.latest,_xlfn.MAXIFS(nrSK_Att,nrSK_PID,$D482,nrSK_Cat,$E482),_xlpm.res,IF($I482=_xlpm.latest,$J482,""),IF($I482&lt;&gt;_xlpm.latest,"(superseded)",IF(_xlpm.res="","Pending",IF(_xlpm.res="Pass","Qualified",IF(AND(_xlpm.res="Fail",$N482&gt;=$F482),"FAILED OUT","Needs Remediation"))))))</f>
        <v/>
      </c>
      <c r="P482" s="15">
        <f>IF($C482="","",IF($O482="FAILED OUT","Yes","No"))</f>
        <v/>
      </c>
      <c r="Q482" s="14" t="n"/>
    </row>
    <row r="483">
      <c r="B483" s="15">
        <f>IF($C483="","",$D483&amp;"-"&amp;$E483&amp;"-"&amp;$I483)</f>
        <v/>
      </c>
      <c r="C483" s="14" t="n"/>
      <c r="D483" s="15">
        <f>IF($C483="","",IFERROR(INDEX(rngCadetPIDs,MATCH($C483,rngCadetNames,0)),"?"))</f>
        <v/>
      </c>
      <c r="E483" s="14" t="n"/>
      <c r="F483" s="15">
        <f>IF($E483="","",IFERROR(INDEX(rngSM_max,MATCH($E483,rngSM_cat,0)),""))</f>
        <v/>
      </c>
      <c r="G483" s="15">
        <f>IF($E483="","",IFERROR(INDEX(rngSM_mode,MATCH($E483,rngSM_cat,0)),""))</f>
        <v/>
      </c>
      <c r="H483" s="15">
        <f>IF($E483="","",IFERROR(INDEX(rngSM_pass,MATCH($E483,rngSM_cat,0)),""))</f>
        <v/>
      </c>
      <c r="I483" s="14" t="n"/>
      <c r="J483" s="14" t="n"/>
      <c r="K483" s="14" t="n"/>
      <c r="L483" s="16" t="n"/>
      <c r="M483" s="14" t="n"/>
      <c r="N483" s="15">
        <f>IF($C483="","",COUNTIFS(nrSK_PID,$D483,nrSK_Cat,$E483))</f>
        <v/>
      </c>
      <c r="O483" s="15">
        <f>IF($C483="","",_xlfn.LET(_xlpm.latest,_xlfn.MAXIFS(nrSK_Att,nrSK_PID,$D483,nrSK_Cat,$E483),_xlpm.res,IF($I483=_xlpm.latest,$J483,""),IF($I483&lt;&gt;_xlpm.latest,"(superseded)",IF(_xlpm.res="","Pending",IF(_xlpm.res="Pass","Qualified",IF(AND(_xlpm.res="Fail",$N483&gt;=$F483),"FAILED OUT","Needs Remediation"))))))</f>
        <v/>
      </c>
      <c r="P483" s="15">
        <f>IF($C483="","",IF($O483="FAILED OUT","Yes","No"))</f>
        <v/>
      </c>
      <c r="Q483" s="14" t="n"/>
    </row>
    <row r="484">
      <c r="B484" s="15">
        <f>IF($C484="","",$D484&amp;"-"&amp;$E484&amp;"-"&amp;$I484)</f>
        <v/>
      </c>
      <c r="C484" s="14" t="n"/>
      <c r="D484" s="15">
        <f>IF($C484="","",IFERROR(INDEX(rngCadetPIDs,MATCH($C484,rngCadetNames,0)),"?"))</f>
        <v/>
      </c>
      <c r="E484" s="14" t="n"/>
      <c r="F484" s="15">
        <f>IF($E484="","",IFERROR(INDEX(rngSM_max,MATCH($E484,rngSM_cat,0)),""))</f>
        <v/>
      </c>
      <c r="G484" s="15">
        <f>IF($E484="","",IFERROR(INDEX(rngSM_mode,MATCH($E484,rngSM_cat,0)),""))</f>
        <v/>
      </c>
      <c r="H484" s="15">
        <f>IF($E484="","",IFERROR(INDEX(rngSM_pass,MATCH($E484,rngSM_cat,0)),""))</f>
        <v/>
      </c>
      <c r="I484" s="14" t="n"/>
      <c r="J484" s="14" t="n"/>
      <c r="K484" s="14" t="n"/>
      <c r="L484" s="16" t="n"/>
      <c r="M484" s="14" t="n"/>
      <c r="N484" s="15">
        <f>IF($C484="","",COUNTIFS(nrSK_PID,$D484,nrSK_Cat,$E484))</f>
        <v/>
      </c>
      <c r="O484" s="15">
        <f>IF($C484="","",_xlfn.LET(_xlpm.latest,_xlfn.MAXIFS(nrSK_Att,nrSK_PID,$D484,nrSK_Cat,$E484),_xlpm.res,IF($I484=_xlpm.latest,$J484,""),IF($I484&lt;&gt;_xlpm.latest,"(superseded)",IF(_xlpm.res="","Pending",IF(_xlpm.res="Pass","Qualified",IF(AND(_xlpm.res="Fail",$N484&gt;=$F484),"FAILED OUT","Needs Remediation"))))))</f>
        <v/>
      </c>
      <c r="P484" s="15">
        <f>IF($C484="","",IF($O484="FAILED OUT","Yes","No"))</f>
        <v/>
      </c>
      <c r="Q484" s="14" t="n"/>
    </row>
    <row r="485">
      <c r="B485" s="15">
        <f>IF($C485="","",$D485&amp;"-"&amp;$E485&amp;"-"&amp;$I485)</f>
        <v/>
      </c>
      <c r="C485" s="14" t="n"/>
      <c r="D485" s="15">
        <f>IF($C485="","",IFERROR(INDEX(rngCadetPIDs,MATCH($C485,rngCadetNames,0)),"?"))</f>
        <v/>
      </c>
      <c r="E485" s="14" t="n"/>
      <c r="F485" s="15">
        <f>IF($E485="","",IFERROR(INDEX(rngSM_max,MATCH($E485,rngSM_cat,0)),""))</f>
        <v/>
      </c>
      <c r="G485" s="15">
        <f>IF($E485="","",IFERROR(INDEX(rngSM_mode,MATCH($E485,rngSM_cat,0)),""))</f>
        <v/>
      </c>
      <c r="H485" s="15">
        <f>IF($E485="","",IFERROR(INDEX(rngSM_pass,MATCH($E485,rngSM_cat,0)),""))</f>
        <v/>
      </c>
      <c r="I485" s="14" t="n"/>
      <c r="J485" s="14" t="n"/>
      <c r="K485" s="14" t="n"/>
      <c r="L485" s="16" t="n"/>
      <c r="M485" s="14" t="n"/>
      <c r="N485" s="15">
        <f>IF($C485="","",COUNTIFS(nrSK_PID,$D485,nrSK_Cat,$E485))</f>
        <v/>
      </c>
      <c r="O485" s="15">
        <f>IF($C485="","",_xlfn.LET(_xlpm.latest,_xlfn.MAXIFS(nrSK_Att,nrSK_PID,$D485,nrSK_Cat,$E485),_xlpm.res,IF($I485=_xlpm.latest,$J485,""),IF($I485&lt;&gt;_xlpm.latest,"(superseded)",IF(_xlpm.res="","Pending",IF(_xlpm.res="Pass","Qualified",IF(AND(_xlpm.res="Fail",$N485&gt;=$F485),"FAILED OUT","Needs Remediation"))))))</f>
        <v/>
      </c>
      <c r="P485" s="15">
        <f>IF($C485="","",IF($O485="FAILED OUT","Yes","No"))</f>
        <v/>
      </c>
      <c r="Q485" s="14" t="n"/>
    </row>
    <row r="486">
      <c r="B486" s="15">
        <f>IF($C486="","",$D486&amp;"-"&amp;$E486&amp;"-"&amp;$I486)</f>
        <v/>
      </c>
      <c r="C486" s="14" t="n"/>
      <c r="D486" s="15">
        <f>IF($C486="","",IFERROR(INDEX(rngCadetPIDs,MATCH($C486,rngCadetNames,0)),"?"))</f>
        <v/>
      </c>
      <c r="E486" s="14" t="n"/>
      <c r="F486" s="15">
        <f>IF($E486="","",IFERROR(INDEX(rngSM_max,MATCH($E486,rngSM_cat,0)),""))</f>
        <v/>
      </c>
      <c r="G486" s="15">
        <f>IF($E486="","",IFERROR(INDEX(rngSM_mode,MATCH($E486,rngSM_cat,0)),""))</f>
        <v/>
      </c>
      <c r="H486" s="15">
        <f>IF($E486="","",IFERROR(INDEX(rngSM_pass,MATCH($E486,rngSM_cat,0)),""))</f>
        <v/>
      </c>
      <c r="I486" s="14" t="n"/>
      <c r="J486" s="14" t="n"/>
      <c r="K486" s="14" t="n"/>
      <c r="L486" s="16" t="n"/>
      <c r="M486" s="14" t="n"/>
      <c r="N486" s="15">
        <f>IF($C486="","",COUNTIFS(nrSK_PID,$D486,nrSK_Cat,$E486))</f>
        <v/>
      </c>
      <c r="O486" s="15">
        <f>IF($C486="","",_xlfn.LET(_xlpm.latest,_xlfn.MAXIFS(nrSK_Att,nrSK_PID,$D486,nrSK_Cat,$E486),_xlpm.res,IF($I486=_xlpm.latest,$J486,""),IF($I486&lt;&gt;_xlpm.latest,"(superseded)",IF(_xlpm.res="","Pending",IF(_xlpm.res="Pass","Qualified",IF(AND(_xlpm.res="Fail",$N486&gt;=$F486),"FAILED OUT","Needs Remediation"))))))</f>
        <v/>
      </c>
      <c r="P486" s="15">
        <f>IF($C486="","",IF($O486="FAILED OUT","Yes","No"))</f>
        <v/>
      </c>
      <c r="Q486" s="14" t="n"/>
    </row>
    <row r="487">
      <c r="B487" s="15">
        <f>IF($C487="","",$D487&amp;"-"&amp;$E487&amp;"-"&amp;$I487)</f>
        <v/>
      </c>
      <c r="C487" s="14" t="n"/>
      <c r="D487" s="15">
        <f>IF($C487="","",IFERROR(INDEX(rngCadetPIDs,MATCH($C487,rngCadetNames,0)),"?"))</f>
        <v/>
      </c>
      <c r="E487" s="14" t="n"/>
      <c r="F487" s="15">
        <f>IF($E487="","",IFERROR(INDEX(rngSM_max,MATCH($E487,rngSM_cat,0)),""))</f>
        <v/>
      </c>
      <c r="G487" s="15">
        <f>IF($E487="","",IFERROR(INDEX(rngSM_mode,MATCH($E487,rngSM_cat,0)),""))</f>
        <v/>
      </c>
      <c r="H487" s="15">
        <f>IF($E487="","",IFERROR(INDEX(rngSM_pass,MATCH($E487,rngSM_cat,0)),""))</f>
        <v/>
      </c>
      <c r="I487" s="14" t="n"/>
      <c r="J487" s="14" t="n"/>
      <c r="K487" s="14" t="n"/>
      <c r="L487" s="16" t="n"/>
      <c r="M487" s="14" t="n"/>
      <c r="N487" s="15">
        <f>IF($C487="","",COUNTIFS(nrSK_PID,$D487,nrSK_Cat,$E487))</f>
        <v/>
      </c>
      <c r="O487" s="15">
        <f>IF($C487="","",_xlfn.LET(_xlpm.latest,_xlfn.MAXIFS(nrSK_Att,nrSK_PID,$D487,nrSK_Cat,$E487),_xlpm.res,IF($I487=_xlpm.latest,$J487,""),IF($I487&lt;&gt;_xlpm.latest,"(superseded)",IF(_xlpm.res="","Pending",IF(_xlpm.res="Pass","Qualified",IF(AND(_xlpm.res="Fail",$N487&gt;=$F487),"FAILED OUT","Needs Remediation"))))))</f>
        <v/>
      </c>
      <c r="P487" s="15">
        <f>IF($C487="","",IF($O487="FAILED OUT","Yes","No"))</f>
        <v/>
      </c>
      <c r="Q487" s="14" t="n"/>
    </row>
    <row r="488">
      <c r="B488" s="15">
        <f>IF($C488="","",$D488&amp;"-"&amp;$E488&amp;"-"&amp;$I488)</f>
        <v/>
      </c>
      <c r="C488" s="14" t="n"/>
      <c r="D488" s="15">
        <f>IF($C488="","",IFERROR(INDEX(rngCadetPIDs,MATCH($C488,rngCadetNames,0)),"?"))</f>
        <v/>
      </c>
      <c r="E488" s="14" t="n"/>
      <c r="F488" s="15">
        <f>IF($E488="","",IFERROR(INDEX(rngSM_max,MATCH($E488,rngSM_cat,0)),""))</f>
        <v/>
      </c>
      <c r="G488" s="15">
        <f>IF($E488="","",IFERROR(INDEX(rngSM_mode,MATCH($E488,rngSM_cat,0)),""))</f>
        <v/>
      </c>
      <c r="H488" s="15">
        <f>IF($E488="","",IFERROR(INDEX(rngSM_pass,MATCH($E488,rngSM_cat,0)),""))</f>
        <v/>
      </c>
      <c r="I488" s="14" t="n"/>
      <c r="J488" s="14" t="n"/>
      <c r="K488" s="14" t="n"/>
      <c r="L488" s="16" t="n"/>
      <c r="M488" s="14" t="n"/>
      <c r="N488" s="15">
        <f>IF($C488="","",COUNTIFS(nrSK_PID,$D488,nrSK_Cat,$E488))</f>
        <v/>
      </c>
      <c r="O488" s="15">
        <f>IF($C488="","",_xlfn.LET(_xlpm.latest,_xlfn.MAXIFS(nrSK_Att,nrSK_PID,$D488,nrSK_Cat,$E488),_xlpm.res,IF($I488=_xlpm.latest,$J488,""),IF($I488&lt;&gt;_xlpm.latest,"(superseded)",IF(_xlpm.res="","Pending",IF(_xlpm.res="Pass","Qualified",IF(AND(_xlpm.res="Fail",$N488&gt;=$F488),"FAILED OUT","Needs Remediation"))))))</f>
        <v/>
      </c>
      <c r="P488" s="15">
        <f>IF($C488="","",IF($O488="FAILED OUT","Yes","No"))</f>
        <v/>
      </c>
      <c r="Q488" s="14" t="n"/>
    </row>
    <row r="489">
      <c r="B489" s="15">
        <f>IF($C489="","",$D489&amp;"-"&amp;$E489&amp;"-"&amp;$I489)</f>
        <v/>
      </c>
      <c r="C489" s="14" t="n"/>
      <c r="D489" s="15">
        <f>IF($C489="","",IFERROR(INDEX(rngCadetPIDs,MATCH($C489,rngCadetNames,0)),"?"))</f>
        <v/>
      </c>
      <c r="E489" s="14" t="n"/>
      <c r="F489" s="15">
        <f>IF($E489="","",IFERROR(INDEX(rngSM_max,MATCH($E489,rngSM_cat,0)),""))</f>
        <v/>
      </c>
      <c r="G489" s="15">
        <f>IF($E489="","",IFERROR(INDEX(rngSM_mode,MATCH($E489,rngSM_cat,0)),""))</f>
        <v/>
      </c>
      <c r="H489" s="15">
        <f>IF($E489="","",IFERROR(INDEX(rngSM_pass,MATCH($E489,rngSM_cat,0)),""))</f>
        <v/>
      </c>
      <c r="I489" s="14" t="n"/>
      <c r="J489" s="14" t="n"/>
      <c r="K489" s="14" t="n"/>
      <c r="L489" s="16" t="n"/>
      <c r="M489" s="14" t="n"/>
      <c r="N489" s="15">
        <f>IF($C489="","",COUNTIFS(nrSK_PID,$D489,nrSK_Cat,$E489))</f>
        <v/>
      </c>
      <c r="O489" s="15">
        <f>IF($C489="","",_xlfn.LET(_xlpm.latest,_xlfn.MAXIFS(nrSK_Att,nrSK_PID,$D489,nrSK_Cat,$E489),_xlpm.res,IF($I489=_xlpm.latest,$J489,""),IF($I489&lt;&gt;_xlpm.latest,"(superseded)",IF(_xlpm.res="","Pending",IF(_xlpm.res="Pass","Qualified",IF(AND(_xlpm.res="Fail",$N489&gt;=$F489),"FAILED OUT","Needs Remediation"))))))</f>
        <v/>
      </c>
      <c r="P489" s="15">
        <f>IF($C489="","",IF($O489="FAILED OUT","Yes","No"))</f>
        <v/>
      </c>
      <c r="Q489" s="14" t="n"/>
    </row>
    <row r="490">
      <c r="B490" s="15">
        <f>IF($C490="","",$D490&amp;"-"&amp;$E490&amp;"-"&amp;$I490)</f>
        <v/>
      </c>
      <c r="C490" s="14" t="n"/>
      <c r="D490" s="15">
        <f>IF($C490="","",IFERROR(INDEX(rngCadetPIDs,MATCH($C490,rngCadetNames,0)),"?"))</f>
        <v/>
      </c>
      <c r="E490" s="14" t="n"/>
      <c r="F490" s="15">
        <f>IF($E490="","",IFERROR(INDEX(rngSM_max,MATCH($E490,rngSM_cat,0)),""))</f>
        <v/>
      </c>
      <c r="G490" s="15">
        <f>IF($E490="","",IFERROR(INDEX(rngSM_mode,MATCH($E490,rngSM_cat,0)),""))</f>
        <v/>
      </c>
      <c r="H490" s="15">
        <f>IF($E490="","",IFERROR(INDEX(rngSM_pass,MATCH($E490,rngSM_cat,0)),""))</f>
        <v/>
      </c>
      <c r="I490" s="14" t="n"/>
      <c r="J490" s="14" t="n"/>
      <c r="K490" s="14" t="n"/>
      <c r="L490" s="16" t="n"/>
      <c r="M490" s="14" t="n"/>
      <c r="N490" s="15">
        <f>IF($C490="","",COUNTIFS(nrSK_PID,$D490,nrSK_Cat,$E490))</f>
        <v/>
      </c>
      <c r="O490" s="15">
        <f>IF($C490="","",_xlfn.LET(_xlpm.latest,_xlfn.MAXIFS(nrSK_Att,nrSK_PID,$D490,nrSK_Cat,$E490),_xlpm.res,IF($I490=_xlpm.latest,$J490,""),IF($I490&lt;&gt;_xlpm.latest,"(superseded)",IF(_xlpm.res="","Pending",IF(_xlpm.res="Pass","Qualified",IF(AND(_xlpm.res="Fail",$N490&gt;=$F490),"FAILED OUT","Needs Remediation"))))))</f>
        <v/>
      </c>
      <c r="P490" s="15">
        <f>IF($C490="","",IF($O490="FAILED OUT","Yes","No"))</f>
        <v/>
      </c>
      <c r="Q490" s="14" t="n"/>
    </row>
    <row r="491">
      <c r="B491" s="15">
        <f>IF($C491="","",$D491&amp;"-"&amp;$E491&amp;"-"&amp;$I491)</f>
        <v/>
      </c>
      <c r="C491" s="14" t="n"/>
      <c r="D491" s="15">
        <f>IF($C491="","",IFERROR(INDEX(rngCadetPIDs,MATCH($C491,rngCadetNames,0)),"?"))</f>
        <v/>
      </c>
      <c r="E491" s="14" t="n"/>
      <c r="F491" s="15">
        <f>IF($E491="","",IFERROR(INDEX(rngSM_max,MATCH($E491,rngSM_cat,0)),""))</f>
        <v/>
      </c>
      <c r="G491" s="15">
        <f>IF($E491="","",IFERROR(INDEX(rngSM_mode,MATCH($E491,rngSM_cat,0)),""))</f>
        <v/>
      </c>
      <c r="H491" s="15">
        <f>IF($E491="","",IFERROR(INDEX(rngSM_pass,MATCH($E491,rngSM_cat,0)),""))</f>
        <v/>
      </c>
      <c r="I491" s="14" t="n"/>
      <c r="J491" s="14" t="n"/>
      <c r="K491" s="14" t="n"/>
      <c r="L491" s="16" t="n"/>
      <c r="M491" s="14" t="n"/>
      <c r="N491" s="15">
        <f>IF($C491="","",COUNTIFS(nrSK_PID,$D491,nrSK_Cat,$E491))</f>
        <v/>
      </c>
      <c r="O491" s="15">
        <f>IF($C491="","",_xlfn.LET(_xlpm.latest,_xlfn.MAXIFS(nrSK_Att,nrSK_PID,$D491,nrSK_Cat,$E491),_xlpm.res,IF($I491=_xlpm.latest,$J491,""),IF($I491&lt;&gt;_xlpm.latest,"(superseded)",IF(_xlpm.res="","Pending",IF(_xlpm.res="Pass","Qualified",IF(AND(_xlpm.res="Fail",$N491&gt;=$F491),"FAILED OUT","Needs Remediation"))))))</f>
        <v/>
      </c>
      <c r="P491" s="15">
        <f>IF($C491="","",IF($O491="FAILED OUT","Yes","No"))</f>
        <v/>
      </c>
      <c r="Q491" s="14" t="n"/>
    </row>
    <row r="492">
      <c r="B492" s="15">
        <f>IF($C492="","",$D492&amp;"-"&amp;$E492&amp;"-"&amp;$I492)</f>
        <v/>
      </c>
      <c r="C492" s="14" t="n"/>
      <c r="D492" s="15">
        <f>IF($C492="","",IFERROR(INDEX(rngCadetPIDs,MATCH($C492,rngCadetNames,0)),"?"))</f>
        <v/>
      </c>
      <c r="E492" s="14" t="n"/>
      <c r="F492" s="15">
        <f>IF($E492="","",IFERROR(INDEX(rngSM_max,MATCH($E492,rngSM_cat,0)),""))</f>
        <v/>
      </c>
      <c r="G492" s="15">
        <f>IF($E492="","",IFERROR(INDEX(rngSM_mode,MATCH($E492,rngSM_cat,0)),""))</f>
        <v/>
      </c>
      <c r="H492" s="15">
        <f>IF($E492="","",IFERROR(INDEX(rngSM_pass,MATCH($E492,rngSM_cat,0)),""))</f>
        <v/>
      </c>
      <c r="I492" s="14" t="n"/>
      <c r="J492" s="14" t="n"/>
      <c r="K492" s="14" t="n"/>
      <c r="L492" s="16" t="n"/>
      <c r="M492" s="14" t="n"/>
      <c r="N492" s="15">
        <f>IF($C492="","",COUNTIFS(nrSK_PID,$D492,nrSK_Cat,$E492))</f>
        <v/>
      </c>
      <c r="O492" s="15">
        <f>IF($C492="","",_xlfn.LET(_xlpm.latest,_xlfn.MAXIFS(nrSK_Att,nrSK_PID,$D492,nrSK_Cat,$E492),_xlpm.res,IF($I492=_xlpm.latest,$J492,""),IF($I492&lt;&gt;_xlpm.latest,"(superseded)",IF(_xlpm.res="","Pending",IF(_xlpm.res="Pass","Qualified",IF(AND(_xlpm.res="Fail",$N492&gt;=$F492),"FAILED OUT","Needs Remediation"))))))</f>
        <v/>
      </c>
      <c r="P492" s="15">
        <f>IF($C492="","",IF($O492="FAILED OUT","Yes","No"))</f>
        <v/>
      </c>
      <c r="Q492" s="14" t="n"/>
    </row>
    <row r="493">
      <c r="B493" s="15">
        <f>IF($C493="","",$D493&amp;"-"&amp;$E493&amp;"-"&amp;$I493)</f>
        <v/>
      </c>
      <c r="C493" s="14" t="n"/>
      <c r="D493" s="15">
        <f>IF($C493="","",IFERROR(INDEX(rngCadetPIDs,MATCH($C493,rngCadetNames,0)),"?"))</f>
        <v/>
      </c>
      <c r="E493" s="14" t="n"/>
      <c r="F493" s="15">
        <f>IF($E493="","",IFERROR(INDEX(rngSM_max,MATCH($E493,rngSM_cat,0)),""))</f>
        <v/>
      </c>
      <c r="G493" s="15">
        <f>IF($E493="","",IFERROR(INDEX(rngSM_mode,MATCH($E493,rngSM_cat,0)),""))</f>
        <v/>
      </c>
      <c r="H493" s="15">
        <f>IF($E493="","",IFERROR(INDEX(rngSM_pass,MATCH($E493,rngSM_cat,0)),""))</f>
        <v/>
      </c>
      <c r="I493" s="14" t="n"/>
      <c r="J493" s="14" t="n"/>
      <c r="K493" s="14" t="n"/>
      <c r="L493" s="16" t="n"/>
      <c r="M493" s="14" t="n"/>
      <c r="N493" s="15">
        <f>IF($C493="","",COUNTIFS(nrSK_PID,$D493,nrSK_Cat,$E493))</f>
        <v/>
      </c>
      <c r="O493" s="15">
        <f>IF($C493="","",_xlfn.LET(_xlpm.latest,_xlfn.MAXIFS(nrSK_Att,nrSK_PID,$D493,nrSK_Cat,$E493),_xlpm.res,IF($I493=_xlpm.latest,$J493,""),IF($I493&lt;&gt;_xlpm.latest,"(superseded)",IF(_xlpm.res="","Pending",IF(_xlpm.res="Pass","Qualified",IF(AND(_xlpm.res="Fail",$N493&gt;=$F493),"FAILED OUT","Needs Remediation"))))))</f>
        <v/>
      </c>
      <c r="P493" s="15">
        <f>IF($C493="","",IF($O493="FAILED OUT","Yes","No"))</f>
        <v/>
      </c>
      <c r="Q493" s="14" t="n"/>
    </row>
    <row r="494">
      <c r="B494" s="15">
        <f>IF($C494="","",$D494&amp;"-"&amp;$E494&amp;"-"&amp;$I494)</f>
        <v/>
      </c>
      <c r="C494" s="14" t="n"/>
      <c r="D494" s="15">
        <f>IF($C494="","",IFERROR(INDEX(rngCadetPIDs,MATCH($C494,rngCadetNames,0)),"?"))</f>
        <v/>
      </c>
      <c r="E494" s="14" t="n"/>
      <c r="F494" s="15">
        <f>IF($E494="","",IFERROR(INDEX(rngSM_max,MATCH($E494,rngSM_cat,0)),""))</f>
        <v/>
      </c>
      <c r="G494" s="15">
        <f>IF($E494="","",IFERROR(INDEX(rngSM_mode,MATCH($E494,rngSM_cat,0)),""))</f>
        <v/>
      </c>
      <c r="H494" s="15">
        <f>IF($E494="","",IFERROR(INDEX(rngSM_pass,MATCH($E494,rngSM_cat,0)),""))</f>
        <v/>
      </c>
      <c r="I494" s="14" t="n"/>
      <c r="J494" s="14" t="n"/>
      <c r="K494" s="14" t="n"/>
      <c r="L494" s="16" t="n"/>
      <c r="M494" s="14" t="n"/>
      <c r="N494" s="15">
        <f>IF($C494="","",COUNTIFS(nrSK_PID,$D494,nrSK_Cat,$E494))</f>
        <v/>
      </c>
      <c r="O494" s="15">
        <f>IF($C494="","",_xlfn.LET(_xlpm.latest,_xlfn.MAXIFS(nrSK_Att,nrSK_PID,$D494,nrSK_Cat,$E494),_xlpm.res,IF($I494=_xlpm.latest,$J494,""),IF($I494&lt;&gt;_xlpm.latest,"(superseded)",IF(_xlpm.res="","Pending",IF(_xlpm.res="Pass","Qualified",IF(AND(_xlpm.res="Fail",$N494&gt;=$F494),"FAILED OUT","Needs Remediation"))))))</f>
        <v/>
      </c>
      <c r="P494" s="15">
        <f>IF($C494="","",IF($O494="FAILED OUT","Yes","No"))</f>
        <v/>
      </c>
      <c r="Q494" s="14" t="n"/>
    </row>
    <row r="495">
      <c r="B495" s="15">
        <f>IF($C495="","",$D495&amp;"-"&amp;$E495&amp;"-"&amp;$I495)</f>
        <v/>
      </c>
      <c r="C495" s="14" t="n"/>
      <c r="D495" s="15">
        <f>IF($C495="","",IFERROR(INDEX(rngCadetPIDs,MATCH($C495,rngCadetNames,0)),"?"))</f>
        <v/>
      </c>
      <c r="E495" s="14" t="n"/>
      <c r="F495" s="15">
        <f>IF($E495="","",IFERROR(INDEX(rngSM_max,MATCH($E495,rngSM_cat,0)),""))</f>
        <v/>
      </c>
      <c r="G495" s="15">
        <f>IF($E495="","",IFERROR(INDEX(rngSM_mode,MATCH($E495,rngSM_cat,0)),""))</f>
        <v/>
      </c>
      <c r="H495" s="15">
        <f>IF($E495="","",IFERROR(INDEX(rngSM_pass,MATCH($E495,rngSM_cat,0)),""))</f>
        <v/>
      </c>
      <c r="I495" s="14" t="n"/>
      <c r="J495" s="14" t="n"/>
      <c r="K495" s="14" t="n"/>
      <c r="L495" s="16" t="n"/>
      <c r="M495" s="14" t="n"/>
      <c r="N495" s="15">
        <f>IF($C495="","",COUNTIFS(nrSK_PID,$D495,nrSK_Cat,$E495))</f>
        <v/>
      </c>
      <c r="O495" s="15">
        <f>IF($C495="","",_xlfn.LET(_xlpm.latest,_xlfn.MAXIFS(nrSK_Att,nrSK_PID,$D495,nrSK_Cat,$E495),_xlpm.res,IF($I495=_xlpm.latest,$J495,""),IF($I495&lt;&gt;_xlpm.latest,"(superseded)",IF(_xlpm.res="","Pending",IF(_xlpm.res="Pass","Qualified",IF(AND(_xlpm.res="Fail",$N495&gt;=$F495),"FAILED OUT","Needs Remediation"))))))</f>
        <v/>
      </c>
      <c r="P495" s="15">
        <f>IF($C495="","",IF($O495="FAILED OUT","Yes","No"))</f>
        <v/>
      </c>
      <c r="Q495" s="14" t="n"/>
    </row>
    <row r="496">
      <c r="B496" s="15">
        <f>IF($C496="","",$D496&amp;"-"&amp;$E496&amp;"-"&amp;$I496)</f>
        <v/>
      </c>
      <c r="C496" s="14" t="n"/>
      <c r="D496" s="15">
        <f>IF($C496="","",IFERROR(INDEX(rngCadetPIDs,MATCH($C496,rngCadetNames,0)),"?"))</f>
        <v/>
      </c>
      <c r="E496" s="14" t="n"/>
      <c r="F496" s="15">
        <f>IF($E496="","",IFERROR(INDEX(rngSM_max,MATCH($E496,rngSM_cat,0)),""))</f>
        <v/>
      </c>
      <c r="G496" s="15">
        <f>IF($E496="","",IFERROR(INDEX(rngSM_mode,MATCH($E496,rngSM_cat,0)),""))</f>
        <v/>
      </c>
      <c r="H496" s="15">
        <f>IF($E496="","",IFERROR(INDEX(rngSM_pass,MATCH($E496,rngSM_cat,0)),""))</f>
        <v/>
      </c>
      <c r="I496" s="14" t="n"/>
      <c r="J496" s="14" t="n"/>
      <c r="K496" s="14" t="n"/>
      <c r="L496" s="16" t="n"/>
      <c r="M496" s="14" t="n"/>
      <c r="N496" s="15">
        <f>IF($C496="","",COUNTIFS(nrSK_PID,$D496,nrSK_Cat,$E496))</f>
        <v/>
      </c>
      <c r="O496" s="15">
        <f>IF($C496="","",_xlfn.LET(_xlpm.latest,_xlfn.MAXIFS(nrSK_Att,nrSK_PID,$D496,nrSK_Cat,$E496),_xlpm.res,IF($I496=_xlpm.latest,$J496,""),IF($I496&lt;&gt;_xlpm.latest,"(superseded)",IF(_xlpm.res="","Pending",IF(_xlpm.res="Pass","Qualified",IF(AND(_xlpm.res="Fail",$N496&gt;=$F496),"FAILED OUT","Needs Remediation"))))))</f>
        <v/>
      </c>
      <c r="P496" s="15">
        <f>IF($C496="","",IF($O496="FAILED OUT","Yes","No"))</f>
        <v/>
      </c>
      <c r="Q496" s="14" t="n"/>
    </row>
    <row r="497">
      <c r="B497" s="15">
        <f>IF($C497="","",$D497&amp;"-"&amp;$E497&amp;"-"&amp;$I497)</f>
        <v/>
      </c>
      <c r="C497" s="14" t="n"/>
      <c r="D497" s="15">
        <f>IF($C497="","",IFERROR(INDEX(rngCadetPIDs,MATCH($C497,rngCadetNames,0)),"?"))</f>
        <v/>
      </c>
      <c r="E497" s="14" t="n"/>
      <c r="F497" s="15">
        <f>IF($E497="","",IFERROR(INDEX(rngSM_max,MATCH($E497,rngSM_cat,0)),""))</f>
        <v/>
      </c>
      <c r="G497" s="15">
        <f>IF($E497="","",IFERROR(INDEX(rngSM_mode,MATCH($E497,rngSM_cat,0)),""))</f>
        <v/>
      </c>
      <c r="H497" s="15">
        <f>IF($E497="","",IFERROR(INDEX(rngSM_pass,MATCH($E497,rngSM_cat,0)),""))</f>
        <v/>
      </c>
      <c r="I497" s="14" t="n"/>
      <c r="J497" s="14" t="n"/>
      <c r="K497" s="14" t="n"/>
      <c r="L497" s="16" t="n"/>
      <c r="M497" s="14" t="n"/>
      <c r="N497" s="15">
        <f>IF($C497="","",COUNTIFS(nrSK_PID,$D497,nrSK_Cat,$E497))</f>
        <v/>
      </c>
      <c r="O497" s="15">
        <f>IF($C497="","",_xlfn.LET(_xlpm.latest,_xlfn.MAXIFS(nrSK_Att,nrSK_PID,$D497,nrSK_Cat,$E497),_xlpm.res,IF($I497=_xlpm.latest,$J497,""),IF($I497&lt;&gt;_xlpm.latest,"(superseded)",IF(_xlpm.res="","Pending",IF(_xlpm.res="Pass","Qualified",IF(AND(_xlpm.res="Fail",$N497&gt;=$F497),"FAILED OUT","Needs Remediation"))))))</f>
        <v/>
      </c>
      <c r="P497" s="15">
        <f>IF($C497="","",IF($O497="FAILED OUT","Yes","No"))</f>
        <v/>
      </c>
      <c r="Q497" s="14" t="n"/>
    </row>
    <row r="498">
      <c r="B498" s="15">
        <f>IF($C498="","",$D498&amp;"-"&amp;$E498&amp;"-"&amp;$I498)</f>
        <v/>
      </c>
      <c r="C498" s="14" t="n"/>
      <c r="D498" s="15">
        <f>IF($C498="","",IFERROR(INDEX(rngCadetPIDs,MATCH($C498,rngCadetNames,0)),"?"))</f>
        <v/>
      </c>
      <c r="E498" s="14" t="n"/>
      <c r="F498" s="15">
        <f>IF($E498="","",IFERROR(INDEX(rngSM_max,MATCH($E498,rngSM_cat,0)),""))</f>
        <v/>
      </c>
      <c r="G498" s="15">
        <f>IF($E498="","",IFERROR(INDEX(rngSM_mode,MATCH($E498,rngSM_cat,0)),""))</f>
        <v/>
      </c>
      <c r="H498" s="15">
        <f>IF($E498="","",IFERROR(INDEX(rngSM_pass,MATCH($E498,rngSM_cat,0)),""))</f>
        <v/>
      </c>
      <c r="I498" s="14" t="n"/>
      <c r="J498" s="14" t="n"/>
      <c r="K498" s="14" t="n"/>
      <c r="L498" s="16" t="n"/>
      <c r="M498" s="14" t="n"/>
      <c r="N498" s="15">
        <f>IF($C498="","",COUNTIFS(nrSK_PID,$D498,nrSK_Cat,$E498))</f>
        <v/>
      </c>
      <c r="O498" s="15">
        <f>IF($C498="","",_xlfn.LET(_xlpm.latest,_xlfn.MAXIFS(nrSK_Att,nrSK_PID,$D498,nrSK_Cat,$E498),_xlpm.res,IF($I498=_xlpm.latest,$J498,""),IF($I498&lt;&gt;_xlpm.latest,"(superseded)",IF(_xlpm.res="","Pending",IF(_xlpm.res="Pass","Qualified",IF(AND(_xlpm.res="Fail",$N498&gt;=$F498),"FAILED OUT","Needs Remediation"))))))</f>
        <v/>
      </c>
      <c r="P498" s="15">
        <f>IF($C498="","",IF($O498="FAILED OUT","Yes","No"))</f>
        <v/>
      </c>
      <c r="Q498" s="14" t="n"/>
    </row>
    <row r="499">
      <c r="B499" s="15">
        <f>IF($C499="","",$D499&amp;"-"&amp;$E499&amp;"-"&amp;$I499)</f>
        <v/>
      </c>
      <c r="C499" s="14" t="n"/>
      <c r="D499" s="15">
        <f>IF($C499="","",IFERROR(INDEX(rngCadetPIDs,MATCH($C499,rngCadetNames,0)),"?"))</f>
        <v/>
      </c>
      <c r="E499" s="14" t="n"/>
      <c r="F499" s="15">
        <f>IF($E499="","",IFERROR(INDEX(rngSM_max,MATCH($E499,rngSM_cat,0)),""))</f>
        <v/>
      </c>
      <c r="G499" s="15">
        <f>IF($E499="","",IFERROR(INDEX(rngSM_mode,MATCH($E499,rngSM_cat,0)),""))</f>
        <v/>
      </c>
      <c r="H499" s="15">
        <f>IF($E499="","",IFERROR(INDEX(rngSM_pass,MATCH($E499,rngSM_cat,0)),""))</f>
        <v/>
      </c>
      <c r="I499" s="14" t="n"/>
      <c r="J499" s="14" t="n"/>
      <c r="K499" s="14" t="n"/>
      <c r="L499" s="16" t="n"/>
      <c r="M499" s="14" t="n"/>
      <c r="N499" s="15">
        <f>IF($C499="","",COUNTIFS(nrSK_PID,$D499,nrSK_Cat,$E499))</f>
        <v/>
      </c>
      <c r="O499" s="15">
        <f>IF($C499="","",_xlfn.LET(_xlpm.latest,_xlfn.MAXIFS(nrSK_Att,nrSK_PID,$D499,nrSK_Cat,$E499),_xlpm.res,IF($I499=_xlpm.latest,$J499,""),IF($I499&lt;&gt;_xlpm.latest,"(superseded)",IF(_xlpm.res="","Pending",IF(_xlpm.res="Pass","Qualified",IF(AND(_xlpm.res="Fail",$N499&gt;=$F499),"FAILED OUT","Needs Remediation"))))))</f>
        <v/>
      </c>
      <c r="P499" s="15">
        <f>IF($C499="","",IF($O499="FAILED OUT","Yes","No"))</f>
        <v/>
      </c>
      <c r="Q499" s="14" t="n"/>
    </row>
    <row r="500">
      <c r="B500" s="15">
        <f>IF($C500="","",$D500&amp;"-"&amp;$E500&amp;"-"&amp;$I500)</f>
        <v/>
      </c>
      <c r="C500" s="14" t="n"/>
      <c r="D500" s="15">
        <f>IF($C500="","",IFERROR(INDEX(rngCadetPIDs,MATCH($C500,rngCadetNames,0)),"?"))</f>
        <v/>
      </c>
      <c r="E500" s="14" t="n"/>
      <c r="F500" s="15">
        <f>IF($E500="","",IFERROR(INDEX(rngSM_max,MATCH($E500,rngSM_cat,0)),""))</f>
        <v/>
      </c>
      <c r="G500" s="15">
        <f>IF($E500="","",IFERROR(INDEX(rngSM_mode,MATCH($E500,rngSM_cat,0)),""))</f>
        <v/>
      </c>
      <c r="H500" s="15">
        <f>IF($E500="","",IFERROR(INDEX(rngSM_pass,MATCH($E500,rngSM_cat,0)),""))</f>
        <v/>
      </c>
      <c r="I500" s="14" t="n"/>
      <c r="J500" s="14" t="n"/>
      <c r="K500" s="14" t="n"/>
      <c r="L500" s="16" t="n"/>
      <c r="M500" s="14" t="n"/>
      <c r="N500" s="15">
        <f>IF($C500="","",COUNTIFS(nrSK_PID,$D500,nrSK_Cat,$E500))</f>
        <v/>
      </c>
      <c r="O500" s="15">
        <f>IF($C500="","",_xlfn.LET(_xlpm.latest,_xlfn.MAXIFS(nrSK_Att,nrSK_PID,$D500,nrSK_Cat,$E500),_xlpm.res,IF($I500=_xlpm.latest,$J500,""),IF($I500&lt;&gt;_xlpm.latest,"(superseded)",IF(_xlpm.res="","Pending",IF(_xlpm.res="Pass","Qualified",IF(AND(_xlpm.res="Fail",$N500&gt;=$F500),"FAILED OUT","Needs Remediation"))))))</f>
        <v/>
      </c>
      <c r="P500" s="15">
        <f>IF($C500="","",IF($O500="FAILED OUT","Yes","No"))</f>
        <v/>
      </c>
      <c r="Q500" s="14" t="n"/>
    </row>
    <row r="501">
      <c r="B501" s="15">
        <f>IF($C501="","",$D501&amp;"-"&amp;$E501&amp;"-"&amp;$I501)</f>
        <v/>
      </c>
      <c r="C501" s="14" t="n"/>
      <c r="D501" s="15">
        <f>IF($C501="","",IFERROR(INDEX(rngCadetPIDs,MATCH($C501,rngCadetNames,0)),"?"))</f>
        <v/>
      </c>
      <c r="E501" s="14" t="n"/>
      <c r="F501" s="15">
        <f>IF($E501="","",IFERROR(INDEX(rngSM_max,MATCH($E501,rngSM_cat,0)),""))</f>
        <v/>
      </c>
      <c r="G501" s="15">
        <f>IF($E501="","",IFERROR(INDEX(rngSM_mode,MATCH($E501,rngSM_cat,0)),""))</f>
        <v/>
      </c>
      <c r="H501" s="15">
        <f>IF($E501="","",IFERROR(INDEX(rngSM_pass,MATCH($E501,rngSM_cat,0)),""))</f>
        <v/>
      </c>
      <c r="I501" s="14" t="n"/>
      <c r="J501" s="14" t="n"/>
      <c r="K501" s="14" t="n"/>
      <c r="L501" s="16" t="n"/>
      <c r="M501" s="14" t="n"/>
      <c r="N501" s="15">
        <f>IF($C501="","",COUNTIFS(nrSK_PID,$D501,nrSK_Cat,$E501))</f>
        <v/>
      </c>
      <c r="O501" s="15">
        <f>IF($C501="","",_xlfn.LET(_xlpm.latest,_xlfn.MAXIFS(nrSK_Att,nrSK_PID,$D501,nrSK_Cat,$E501),_xlpm.res,IF($I501=_xlpm.latest,$J501,""),IF($I501&lt;&gt;_xlpm.latest,"(superseded)",IF(_xlpm.res="","Pending",IF(_xlpm.res="Pass","Qualified",IF(AND(_xlpm.res="Fail",$N501&gt;=$F501),"FAILED OUT","Needs Remediation"))))))</f>
        <v/>
      </c>
      <c r="P501" s="15">
        <f>IF($C501="","",IF($O501="FAILED OUT","Yes","No"))</f>
        <v/>
      </c>
      <c r="Q501" s="14" t="n"/>
    </row>
    <row r="502">
      <c r="B502" s="15">
        <f>IF($C502="","",$D502&amp;"-"&amp;$E502&amp;"-"&amp;$I502)</f>
        <v/>
      </c>
      <c r="C502" s="14" t="n"/>
      <c r="D502" s="15">
        <f>IF($C502="","",IFERROR(INDEX(rngCadetPIDs,MATCH($C502,rngCadetNames,0)),"?"))</f>
        <v/>
      </c>
      <c r="E502" s="14" t="n"/>
      <c r="F502" s="15">
        <f>IF($E502="","",IFERROR(INDEX(rngSM_max,MATCH($E502,rngSM_cat,0)),""))</f>
        <v/>
      </c>
      <c r="G502" s="15">
        <f>IF($E502="","",IFERROR(INDEX(rngSM_mode,MATCH($E502,rngSM_cat,0)),""))</f>
        <v/>
      </c>
      <c r="H502" s="15">
        <f>IF($E502="","",IFERROR(INDEX(rngSM_pass,MATCH($E502,rngSM_cat,0)),""))</f>
        <v/>
      </c>
      <c r="I502" s="14" t="n"/>
      <c r="J502" s="14" t="n"/>
      <c r="K502" s="14" t="n"/>
      <c r="L502" s="16" t="n"/>
      <c r="M502" s="14" t="n"/>
      <c r="N502" s="15">
        <f>IF($C502="","",COUNTIFS(nrSK_PID,$D502,nrSK_Cat,$E502))</f>
        <v/>
      </c>
      <c r="O502" s="15">
        <f>IF($C502="","",_xlfn.LET(_xlpm.latest,_xlfn.MAXIFS(nrSK_Att,nrSK_PID,$D502,nrSK_Cat,$E502),_xlpm.res,IF($I502=_xlpm.latest,$J502,""),IF($I502&lt;&gt;_xlpm.latest,"(superseded)",IF(_xlpm.res="","Pending",IF(_xlpm.res="Pass","Qualified",IF(AND(_xlpm.res="Fail",$N502&gt;=$F502),"FAILED OUT","Needs Remediation"))))))</f>
        <v/>
      </c>
      <c r="P502" s="15">
        <f>IF($C502="","",IF($O502="FAILED OUT","Yes","No"))</f>
        <v/>
      </c>
      <c r="Q502" s="14" t="n"/>
    </row>
    <row r="503">
      <c r="B503" s="15">
        <f>IF($C503="","",$D503&amp;"-"&amp;$E503&amp;"-"&amp;$I503)</f>
        <v/>
      </c>
      <c r="C503" s="14" t="n"/>
      <c r="D503" s="15">
        <f>IF($C503="","",IFERROR(INDEX(rngCadetPIDs,MATCH($C503,rngCadetNames,0)),"?"))</f>
        <v/>
      </c>
      <c r="E503" s="14" t="n"/>
      <c r="F503" s="15">
        <f>IF($E503="","",IFERROR(INDEX(rngSM_max,MATCH($E503,rngSM_cat,0)),""))</f>
        <v/>
      </c>
      <c r="G503" s="15">
        <f>IF($E503="","",IFERROR(INDEX(rngSM_mode,MATCH($E503,rngSM_cat,0)),""))</f>
        <v/>
      </c>
      <c r="H503" s="15">
        <f>IF($E503="","",IFERROR(INDEX(rngSM_pass,MATCH($E503,rngSM_cat,0)),""))</f>
        <v/>
      </c>
      <c r="I503" s="14" t="n"/>
      <c r="J503" s="14" t="n"/>
      <c r="K503" s="14" t="n"/>
      <c r="L503" s="16" t="n"/>
      <c r="M503" s="14" t="n"/>
      <c r="N503" s="15">
        <f>IF($C503="","",COUNTIFS(nrSK_PID,$D503,nrSK_Cat,$E503))</f>
        <v/>
      </c>
      <c r="O503" s="15">
        <f>IF($C503="","",_xlfn.LET(_xlpm.latest,_xlfn.MAXIFS(nrSK_Att,nrSK_PID,$D503,nrSK_Cat,$E503),_xlpm.res,IF($I503=_xlpm.latest,$J503,""),IF($I503&lt;&gt;_xlpm.latest,"(superseded)",IF(_xlpm.res="","Pending",IF(_xlpm.res="Pass","Qualified",IF(AND(_xlpm.res="Fail",$N503&gt;=$F503),"FAILED OUT","Needs Remediation"))))))</f>
        <v/>
      </c>
      <c r="P503" s="15">
        <f>IF($C503="","",IF($O503="FAILED OUT","Yes","No"))</f>
        <v/>
      </c>
      <c r="Q503" s="14" t="n"/>
    </row>
    <row r="504">
      <c r="B504" s="15">
        <f>IF($C504="","",$D504&amp;"-"&amp;$E504&amp;"-"&amp;$I504)</f>
        <v/>
      </c>
      <c r="C504" s="14" t="n"/>
      <c r="D504" s="15">
        <f>IF($C504="","",IFERROR(INDEX(rngCadetPIDs,MATCH($C504,rngCadetNames,0)),"?"))</f>
        <v/>
      </c>
      <c r="E504" s="14" t="n"/>
      <c r="F504" s="15">
        <f>IF($E504="","",IFERROR(INDEX(rngSM_max,MATCH($E504,rngSM_cat,0)),""))</f>
        <v/>
      </c>
      <c r="G504" s="15">
        <f>IF($E504="","",IFERROR(INDEX(rngSM_mode,MATCH($E504,rngSM_cat,0)),""))</f>
        <v/>
      </c>
      <c r="H504" s="15">
        <f>IF($E504="","",IFERROR(INDEX(rngSM_pass,MATCH($E504,rngSM_cat,0)),""))</f>
        <v/>
      </c>
      <c r="I504" s="14" t="n"/>
      <c r="J504" s="14" t="n"/>
      <c r="K504" s="14" t="n"/>
      <c r="L504" s="16" t="n"/>
      <c r="M504" s="14" t="n"/>
      <c r="N504" s="15">
        <f>IF($C504="","",COUNTIFS(nrSK_PID,$D504,nrSK_Cat,$E504))</f>
        <v/>
      </c>
      <c r="O504" s="15">
        <f>IF($C504="","",_xlfn.LET(_xlpm.latest,_xlfn.MAXIFS(nrSK_Att,nrSK_PID,$D504,nrSK_Cat,$E504),_xlpm.res,IF($I504=_xlpm.latest,$J504,""),IF($I504&lt;&gt;_xlpm.latest,"(superseded)",IF(_xlpm.res="","Pending",IF(_xlpm.res="Pass","Qualified",IF(AND(_xlpm.res="Fail",$N504&gt;=$F504),"FAILED OUT","Needs Remediation"))))))</f>
        <v/>
      </c>
      <c r="P504" s="15">
        <f>IF($C504="","",IF($O504="FAILED OUT","Yes","No"))</f>
        <v/>
      </c>
      <c r="Q504" s="14" t="n"/>
    </row>
    <row r="505">
      <c r="B505" s="15">
        <f>IF($C505="","",$D505&amp;"-"&amp;$E505&amp;"-"&amp;$I505)</f>
        <v/>
      </c>
      <c r="C505" s="14" t="n"/>
      <c r="D505" s="15">
        <f>IF($C505="","",IFERROR(INDEX(rngCadetPIDs,MATCH($C505,rngCadetNames,0)),"?"))</f>
        <v/>
      </c>
      <c r="E505" s="14" t="n"/>
      <c r="F505" s="15">
        <f>IF($E505="","",IFERROR(INDEX(rngSM_max,MATCH($E505,rngSM_cat,0)),""))</f>
        <v/>
      </c>
      <c r="G505" s="15">
        <f>IF($E505="","",IFERROR(INDEX(rngSM_mode,MATCH($E505,rngSM_cat,0)),""))</f>
        <v/>
      </c>
      <c r="H505" s="15">
        <f>IF($E505="","",IFERROR(INDEX(rngSM_pass,MATCH($E505,rngSM_cat,0)),""))</f>
        <v/>
      </c>
      <c r="I505" s="14" t="n"/>
      <c r="J505" s="14" t="n"/>
      <c r="K505" s="14" t="n"/>
      <c r="L505" s="16" t="n"/>
      <c r="M505" s="14" t="n"/>
      <c r="N505" s="15">
        <f>IF($C505="","",COUNTIFS(nrSK_PID,$D505,nrSK_Cat,$E505))</f>
        <v/>
      </c>
      <c r="O505" s="15">
        <f>IF($C505="","",_xlfn.LET(_xlpm.latest,_xlfn.MAXIFS(nrSK_Att,nrSK_PID,$D505,nrSK_Cat,$E505),_xlpm.res,IF($I505=_xlpm.latest,$J505,""),IF($I505&lt;&gt;_xlpm.latest,"(superseded)",IF(_xlpm.res="","Pending",IF(_xlpm.res="Pass","Qualified",IF(AND(_xlpm.res="Fail",$N505&gt;=$F505),"FAILED OUT","Needs Remediation"))))))</f>
        <v/>
      </c>
      <c r="P505" s="15">
        <f>IF($C505="","",IF($O505="FAILED OUT","Yes","No"))</f>
        <v/>
      </c>
      <c r="Q505" s="14" t="n"/>
    </row>
    <row r="506">
      <c r="B506" s="15">
        <f>IF($C506="","",$D506&amp;"-"&amp;$E506&amp;"-"&amp;$I506)</f>
        <v/>
      </c>
      <c r="C506" s="14" t="n"/>
      <c r="D506" s="15">
        <f>IF($C506="","",IFERROR(INDEX(rngCadetPIDs,MATCH($C506,rngCadetNames,0)),"?"))</f>
        <v/>
      </c>
      <c r="E506" s="14" t="n"/>
      <c r="F506" s="15">
        <f>IF($E506="","",IFERROR(INDEX(rngSM_max,MATCH($E506,rngSM_cat,0)),""))</f>
        <v/>
      </c>
      <c r="G506" s="15">
        <f>IF($E506="","",IFERROR(INDEX(rngSM_mode,MATCH($E506,rngSM_cat,0)),""))</f>
        <v/>
      </c>
      <c r="H506" s="15">
        <f>IF($E506="","",IFERROR(INDEX(rngSM_pass,MATCH($E506,rngSM_cat,0)),""))</f>
        <v/>
      </c>
      <c r="I506" s="14" t="n"/>
      <c r="J506" s="14" t="n"/>
      <c r="K506" s="14" t="n"/>
      <c r="L506" s="16" t="n"/>
      <c r="M506" s="14" t="n"/>
      <c r="N506" s="15">
        <f>IF($C506="","",COUNTIFS(nrSK_PID,$D506,nrSK_Cat,$E506))</f>
        <v/>
      </c>
      <c r="O506" s="15">
        <f>IF($C506="","",_xlfn.LET(_xlpm.latest,_xlfn.MAXIFS(nrSK_Att,nrSK_PID,$D506,nrSK_Cat,$E506),_xlpm.res,IF($I506=_xlpm.latest,$J506,""),IF($I506&lt;&gt;_xlpm.latest,"(superseded)",IF(_xlpm.res="","Pending",IF(_xlpm.res="Pass","Qualified",IF(AND(_xlpm.res="Fail",$N506&gt;=$F506),"FAILED OUT","Needs Remediation"))))))</f>
        <v/>
      </c>
      <c r="P506" s="15">
        <f>IF($C506="","",IF($O506="FAILED OUT","Yes","No"))</f>
        <v/>
      </c>
      <c r="Q506" s="14" t="n"/>
    </row>
    <row r="507">
      <c r="B507" s="15">
        <f>IF($C507="","",$D507&amp;"-"&amp;$E507&amp;"-"&amp;$I507)</f>
        <v/>
      </c>
      <c r="C507" s="14" t="n"/>
      <c r="D507" s="15">
        <f>IF($C507="","",IFERROR(INDEX(rngCadetPIDs,MATCH($C507,rngCadetNames,0)),"?"))</f>
        <v/>
      </c>
      <c r="E507" s="14" t="n"/>
      <c r="F507" s="15">
        <f>IF($E507="","",IFERROR(INDEX(rngSM_max,MATCH($E507,rngSM_cat,0)),""))</f>
        <v/>
      </c>
      <c r="G507" s="15">
        <f>IF($E507="","",IFERROR(INDEX(rngSM_mode,MATCH($E507,rngSM_cat,0)),""))</f>
        <v/>
      </c>
      <c r="H507" s="15">
        <f>IF($E507="","",IFERROR(INDEX(rngSM_pass,MATCH($E507,rngSM_cat,0)),""))</f>
        <v/>
      </c>
      <c r="I507" s="14" t="n"/>
      <c r="J507" s="14" t="n"/>
      <c r="K507" s="14" t="n"/>
      <c r="L507" s="16" t="n"/>
      <c r="M507" s="14" t="n"/>
      <c r="N507" s="15">
        <f>IF($C507="","",COUNTIFS(nrSK_PID,$D507,nrSK_Cat,$E507))</f>
        <v/>
      </c>
      <c r="O507" s="15">
        <f>IF($C507="","",_xlfn.LET(_xlpm.latest,_xlfn.MAXIFS(nrSK_Att,nrSK_PID,$D507,nrSK_Cat,$E507),_xlpm.res,IF($I507=_xlpm.latest,$J507,""),IF($I507&lt;&gt;_xlpm.latest,"(superseded)",IF(_xlpm.res="","Pending",IF(_xlpm.res="Pass","Qualified",IF(AND(_xlpm.res="Fail",$N507&gt;=$F507),"FAILED OUT","Needs Remediation"))))))</f>
        <v/>
      </c>
      <c r="P507" s="15">
        <f>IF($C507="","",IF($O507="FAILED OUT","Yes","No"))</f>
        <v/>
      </c>
      <c r="Q507" s="14" t="n"/>
    </row>
    <row r="508">
      <c r="B508" s="15">
        <f>IF($C508="","",$D508&amp;"-"&amp;$E508&amp;"-"&amp;$I508)</f>
        <v/>
      </c>
      <c r="C508" s="14" t="n"/>
      <c r="D508" s="15">
        <f>IF($C508="","",IFERROR(INDEX(rngCadetPIDs,MATCH($C508,rngCadetNames,0)),"?"))</f>
        <v/>
      </c>
      <c r="E508" s="14" t="n"/>
      <c r="F508" s="15">
        <f>IF($E508="","",IFERROR(INDEX(rngSM_max,MATCH($E508,rngSM_cat,0)),""))</f>
        <v/>
      </c>
      <c r="G508" s="15">
        <f>IF($E508="","",IFERROR(INDEX(rngSM_mode,MATCH($E508,rngSM_cat,0)),""))</f>
        <v/>
      </c>
      <c r="H508" s="15">
        <f>IF($E508="","",IFERROR(INDEX(rngSM_pass,MATCH($E508,rngSM_cat,0)),""))</f>
        <v/>
      </c>
      <c r="I508" s="14" t="n"/>
      <c r="J508" s="14" t="n"/>
      <c r="K508" s="14" t="n"/>
      <c r="L508" s="16" t="n"/>
      <c r="M508" s="14" t="n"/>
      <c r="N508" s="15">
        <f>IF($C508="","",COUNTIFS(nrSK_PID,$D508,nrSK_Cat,$E508))</f>
        <v/>
      </c>
      <c r="O508" s="15">
        <f>IF($C508="","",_xlfn.LET(_xlpm.latest,_xlfn.MAXIFS(nrSK_Att,nrSK_PID,$D508,nrSK_Cat,$E508),_xlpm.res,IF($I508=_xlpm.latest,$J508,""),IF($I508&lt;&gt;_xlpm.latest,"(superseded)",IF(_xlpm.res="","Pending",IF(_xlpm.res="Pass","Qualified",IF(AND(_xlpm.res="Fail",$N508&gt;=$F508),"FAILED OUT","Needs Remediation"))))))</f>
        <v/>
      </c>
      <c r="P508" s="15">
        <f>IF($C508="","",IF($O508="FAILED OUT","Yes","No"))</f>
        <v/>
      </c>
      <c r="Q508" s="14" t="n"/>
    </row>
    <row r="509">
      <c r="B509" s="15">
        <f>IF($C509="","",$D509&amp;"-"&amp;$E509&amp;"-"&amp;$I509)</f>
        <v/>
      </c>
      <c r="C509" s="14" t="n"/>
      <c r="D509" s="15">
        <f>IF($C509="","",IFERROR(INDEX(rngCadetPIDs,MATCH($C509,rngCadetNames,0)),"?"))</f>
        <v/>
      </c>
      <c r="E509" s="14" t="n"/>
      <c r="F509" s="15">
        <f>IF($E509="","",IFERROR(INDEX(rngSM_max,MATCH($E509,rngSM_cat,0)),""))</f>
        <v/>
      </c>
      <c r="G509" s="15">
        <f>IF($E509="","",IFERROR(INDEX(rngSM_mode,MATCH($E509,rngSM_cat,0)),""))</f>
        <v/>
      </c>
      <c r="H509" s="15">
        <f>IF($E509="","",IFERROR(INDEX(rngSM_pass,MATCH($E509,rngSM_cat,0)),""))</f>
        <v/>
      </c>
      <c r="I509" s="14" t="n"/>
      <c r="J509" s="14" t="n"/>
      <c r="K509" s="14" t="n"/>
      <c r="L509" s="16" t="n"/>
      <c r="M509" s="14" t="n"/>
      <c r="N509" s="15">
        <f>IF($C509="","",COUNTIFS(nrSK_PID,$D509,nrSK_Cat,$E509))</f>
        <v/>
      </c>
      <c r="O509" s="15">
        <f>IF($C509="","",_xlfn.LET(_xlpm.latest,_xlfn.MAXIFS(nrSK_Att,nrSK_PID,$D509,nrSK_Cat,$E509),_xlpm.res,IF($I509=_xlpm.latest,$J509,""),IF($I509&lt;&gt;_xlpm.latest,"(superseded)",IF(_xlpm.res="","Pending",IF(_xlpm.res="Pass","Qualified",IF(AND(_xlpm.res="Fail",$N509&gt;=$F509),"FAILED OUT","Needs Remediation"))))))</f>
        <v/>
      </c>
      <c r="P509" s="15">
        <f>IF($C509="","",IF($O509="FAILED OUT","Yes","No"))</f>
        <v/>
      </c>
      <c r="Q509" s="14" t="n"/>
    </row>
    <row r="510">
      <c r="B510" s="15">
        <f>IF($C510="","",$D510&amp;"-"&amp;$E510&amp;"-"&amp;$I510)</f>
        <v/>
      </c>
      <c r="C510" s="14" t="n"/>
      <c r="D510" s="15">
        <f>IF($C510="","",IFERROR(INDEX(rngCadetPIDs,MATCH($C510,rngCadetNames,0)),"?"))</f>
        <v/>
      </c>
      <c r="E510" s="14" t="n"/>
      <c r="F510" s="15">
        <f>IF($E510="","",IFERROR(INDEX(rngSM_max,MATCH($E510,rngSM_cat,0)),""))</f>
        <v/>
      </c>
      <c r="G510" s="15">
        <f>IF($E510="","",IFERROR(INDEX(rngSM_mode,MATCH($E510,rngSM_cat,0)),""))</f>
        <v/>
      </c>
      <c r="H510" s="15">
        <f>IF($E510="","",IFERROR(INDEX(rngSM_pass,MATCH($E510,rngSM_cat,0)),""))</f>
        <v/>
      </c>
      <c r="I510" s="14" t="n"/>
      <c r="J510" s="14" t="n"/>
      <c r="K510" s="14" t="n"/>
      <c r="L510" s="16" t="n"/>
      <c r="M510" s="14" t="n"/>
      <c r="N510" s="15">
        <f>IF($C510="","",COUNTIFS(nrSK_PID,$D510,nrSK_Cat,$E510))</f>
        <v/>
      </c>
      <c r="O510" s="15">
        <f>IF($C510="","",_xlfn.LET(_xlpm.latest,_xlfn.MAXIFS(nrSK_Att,nrSK_PID,$D510,nrSK_Cat,$E510),_xlpm.res,IF($I510=_xlpm.latest,$J510,""),IF($I510&lt;&gt;_xlpm.latest,"(superseded)",IF(_xlpm.res="","Pending",IF(_xlpm.res="Pass","Qualified",IF(AND(_xlpm.res="Fail",$N510&gt;=$F510),"FAILED OUT","Needs Remediation"))))))</f>
        <v/>
      </c>
      <c r="P510" s="15">
        <f>IF($C510="","",IF($O510="FAILED OUT","Yes","No"))</f>
        <v/>
      </c>
      <c r="Q510" s="14" t="n"/>
    </row>
    <row r="511">
      <c r="B511" s="15">
        <f>IF($C511="","",$D511&amp;"-"&amp;$E511&amp;"-"&amp;$I511)</f>
        <v/>
      </c>
      <c r="C511" s="14" t="n"/>
      <c r="D511" s="15">
        <f>IF($C511="","",IFERROR(INDEX(rngCadetPIDs,MATCH($C511,rngCadetNames,0)),"?"))</f>
        <v/>
      </c>
      <c r="E511" s="14" t="n"/>
      <c r="F511" s="15">
        <f>IF($E511="","",IFERROR(INDEX(rngSM_max,MATCH($E511,rngSM_cat,0)),""))</f>
        <v/>
      </c>
      <c r="G511" s="15">
        <f>IF($E511="","",IFERROR(INDEX(rngSM_mode,MATCH($E511,rngSM_cat,0)),""))</f>
        <v/>
      </c>
      <c r="H511" s="15">
        <f>IF($E511="","",IFERROR(INDEX(rngSM_pass,MATCH($E511,rngSM_cat,0)),""))</f>
        <v/>
      </c>
      <c r="I511" s="14" t="n"/>
      <c r="J511" s="14" t="n"/>
      <c r="K511" s="14" t="n"/>
      <c r="L511" s="16" t="n"/>
      <c r="M511" s="14" t="n"/>
      <c r="N511" s="15">
        <f>IF($C511="","",COUNTIFS(nrSK_PID,$D511,nrSK_Cat,$E511))</f>
        <v/>
      </c>
      <c r="O511" s="15">
        <f>IF($C511="","",_xlfn.LET(_xlpm.latest,_xlfn.MAXIFS(nrSK_Att,nrSK_PID,$D511,nrSK_Cat,$E511),_xlpm.res,IF($I511=_xlpm.latest,$J511,""),IF($I511&lt;&gt;_xlpm.latest,"(superseded)",IF(_xlpm.res="","Pending",IF(_xlpm.res="Pass","Qualified",IF(AND(_xlpm.res="Fail",$N511&gt;=$F511),"FAILED OUT","Needs Remediation"))))))</f>
        <v/>
      </c>
      <c r="P511" s="15">
        <f>IF($C511="","",IF($O511="FAILED OUT","Yes","No"))</f>
        <v/>
      </c>
      <c r="Q511" s="14" t="n"/>
    </row>
    <row r="512">
      <c r="B512" s="15">
        <f>IF($C512="","",$D512&amp;"-"&amp;$E512&amp;"-"&amp;$I512)</f>
        <v/>
      </c>
      <c r="C512" s="14" t="n"/>
      <c r="D512" s="15">
        <f>IF($C512="","",IFERROR(INDEX(rngCadetPIDs,MATCH($C512,rngCadetNames,0)),"?"))</f>
        <v/>
      </c>
      <c r="E512" s="14" t="n"/>
      <c r="F512" s="15">
        <f>IF($E512="","",IFERROR(INDEX(rngSM_max,MATCH($E512,rngSM_cat,0)),""))</f>
        <v/>
      </c>
      <c r="G512" s="15">
        <f>IF($E512="","",IFERROR(INDEX(rngSM_mode,MATCH($E512,rngSM_cat,0)),""))</f>
        <v/>
      </c>
      <c r="H512" s="15">
        <f>IF($E512="","",IFERROR(INDEX(rngSM_pass,MATCH($E512,rngSM_cat,0)),""))</f>
        <v/>
      </c>
      <c r="I512" s="14" t="n"/>
      <c r="J512" s="14" t="n"/>
      <c r="K512" s="14" t="n"/>
      <c r="L512" s="16" t="n"/>
      <c r="M512" s="14" t="n"/>
      <c r="N512" s="15">
        <f>IF($C512="","",COUNTIFS(nrSK_PID,$D512,nrSK_Cat,$E512))</f>
        <v/>
      </c>
      <c r="O512" s="15">
        <f>IF($C512="","",_xlfn.LET(_xlpm.latest,_xlfn.MAXIFS(nrSK_Att,nrSK_PID,$D512,nrSK_Cat,$E512),_xlpm.res,IF($I512=_xlpm.latest,$J512,""),IF($I512&lt;&gt;_xlpm.latest,"(superseded)",IF(_xlpm.res="","Pending",IF(_xlpm.res="Pass","Qualified",IF(AND(_xlpm.res="Fail",$N512&gt;=$F512),"FAILED OUT","Needs Remediation"))))))</f>
        <v/>
      </c>
      <c r="P512" s="15">
        <f>IF($C512="","",IF($O512="FAILED OUT","Yes","No"))</f>
        <v/>
      </c>
      <c r="Q512" s="14" t="n"/>
    </row>
    <row r="513">
      <c r="B513" s="15">
        <f>IF($C513="","",$D513&amp;"-"&amp;$E513&amp;"-"&amp;$I513)</f>
        <v/>
      </c>
      <c r="C513" s="14" t="n"/>
      <c r="D513" s="15">
        <f>IF($C513="","",IFERROR(INDEX(rngCadetPIDs,MATCH($C513,rngCadetNames,0)),"?"))</f>
        <v/>
      </c>
      <c r="E513" s="14" t="n"/>
      <c r="F513" s="15">
        <f>IF($E513="","",IFERROR(INDEX(rngSM_max,MATCH($E513,rngSM_cat,0)),""))</f>
        <v/>
      </c>
      <c r="G513" s="15">
        <f>IF($E513="","",IFERROR(INDEX(rngSM_mode,MATCH($E513,rngSM_cat,0)),""))</f>
        <v/>
      </c>
      <c r="H513" s="15">
        <f>IF($E513="","",IFERROR(INDEX(rngSM_pass,MATCH($E513,rngSM_cat,0)),""))</f>
        <v/>
      </c>
      <c r="I513" s="14" t="n"/>
      <c r="J513" s="14" t="n"/>
      <c r="K513" s="14" t="n"/>
      <c r="L513" s="16" t="n"/>
      <c r="M513" s="14" t="n"/>
      <c r="N513" s="15">
        <f>IF($C513="","",COUNTIFS(nrSK_PID,$D513,nrSK_Cat,$E513))</f>
        <v/>
      </c>
      <c r="O513" s="15">
        <f>IF($C513="","",_xlfn.LET(_xlpm.latest,_xlfn.MAXIFS(nrSK_Att,nrSK_PID,$D513,nrSK_Cat,$E513),_xlpm.res,IF($I513=_xlpm.latest,$J513,""),IF($I513&lt;&gt;_xlpm.latest,"(superseded)",IF(_xlpm.res="","Pending",IF(_xlpm.res="Pass","Qualified",IF(AND(_xlpm.res="Fail",$N513&gt;=$F513),"FAILED OUT","Needs Remediation"))))))</f>
        <v/>
      </c>
      <c r="P513" s="15">
        <f>IF($C513="","",IF($O513="FAILED OUT","Yes","No"))</f>
        <v/>
      </c>
      <c r="Q513" s="14" t="n"/>
    </row>
    <row r="514">
      <c r="B514" s="15">
        <f>IF($C514="","",$D514&amp;"-"&amp;$E514&amp;"-"&amp;$I514)</f>
        <v/>
      </c>
      <c r="C514" s="14" t="n"/>
      <c r="D514" s="15">
        <f>IF($C514="","",IFERROR(INDEX(rngCadetPIDs,MATCH($C514,rngCadetNames,0)),"?"))</f>
        <v/>
      </c>
      <c r="E514" s="14" t="n"/>
      <c r="F514" s="15">
        <f>IF($E514="","",IFERROR(INDEX(rngSM_max,MATCH($E514,rngSM_cat,0)),""))</f>
        <v/>
      </c>
      <c r="G514" s="15">
        <f>IF($E514="","",IFERROR(INDEX(rngSM_mode,MATCH($E514,rngSM_cat,0)),""))</f>
        <v/>
      </c>
      <c r="H514" s="15">
        <f>IF($E514="","",IFERROR(INDEX(rngSM_pass,MATCH($E514,rngSM_cat,0)),""))</f>
        <v/>
      </c>
      <c r="I514" s="14" t="n"/>
      <c r="J514" s="14" t="n"/>
      <c r="K514" s="14" t="n"/>
      <c r="L514" s="16" t="n"/>
      <c r="M514" s="14" t="n"/>
      <c r="N514" s="15">
        <f>IF($C514="","",COUNTIFS(nrSK_PID,$D514,nrSK_Cat,$E514))</f>
        <v/>
      </c>
      <c r="O514" s="15">
        <f>IF($C514="","",_xlfn.LET(_xlpm.latest,_xlfn.MAXIFS(nrSK_Att,nrSK_PID,$D514,nrSK_Cat,$E514),_xlpm.res,IF($I514=_xlpm.latest,$J514,""),IF($I514&lt;&gt;_xlpm.latest,"(superseded)",IF(_xlpm.res="","Pending",IF(_xlpm.res="Pass","Qualified",IF(AND(_xlpm.res="Fail",$N514&gt;=$F514),"FAILED OUT","Needs Remediation"))))))</f>
        <v/>
      </c>
      <c r="P514" s="15">
        <f>IF($C514="","",IF($O514="FAILED OUT","Yes","No"))</f>
        <v/>
      </c>
      <c r="Q514" s="14" t="n"/>
    </row>
    <row r="515">
      <c r="B515" s="15">
        <f>IF($C515="","",$D515&amp;"-"&amp;$E515&amp;"-"&amp;$I515)</f>
        <v/>
      </c>
      <c r="C515" s="14" t="n"/>
      <c r="D515" s="15">
        <f>IF($C515="","",IFERROR(INDEX(rngCadetPIDs,MATCH($C515,rngCadetNames,0)),"?"))</f>
        <v/>
      </c>
      <c r="E515" s="14" t="n"/>
      <c r="F515" s="15">
        <f>IF($E515="","",IFERROR(INDEX(rngSM_max,MATCH($E515,rngSM_cat,0)),""))</f>
        <v/>
      </c>
      <c r="G515" s="15">
        <f>IF($E515="","",IFERROR(INDEX(rngSM_mode,MATCH($E515,rngSM_cat,0)),""))</f>
        <v/>
      </c>
      <c r="H515" s="15">
        <f>IF($E515="","",IFERROR(INDEX(rngSM_pass,MATCH($E515,rngSM_cat,0)),""))</f>
        <v/>
      </c>
      <c r="I515" s="14" t="n"/>
      <c r="J515" s="14" t="n"/>
      <c r="K515" s="14" t="n"/>
      <c r="L515" s="16" t="n"/>
      <c r="M515" s="14" t="n"/>
      <c r="N515" s="15">
        <f>IF($C515="","",COUNTIFS(nrSK_PID,$D515,nrSK_Cat,$E515))</f>
        <v/>
      </c>
      <c r="O515" s="15">
        <f>IF($C515="","",_xlfn.LET(_xlpm.latest,_xlfn.MAXIFS(nrSK_Att,nrSK_PID,$D515,nrSK_Cat,$E515),_xlpm.res,IF($I515=_xlpm.latest,$J515,""),IF($I515&lt;&gt;_xlpm.latest,"(superseded)",IF(_xlpm.res="","Pending",IF(_xlpm.res="Pass","Qualified",IF(AND(_xlpm.res="Fail",$N515&gt;=$F515),"FAILED OUT","Needs Remediation"))))))</f>
        <v/>
      </c>
      <c r="P515" s="15">
        <f>IF($C515="","",IF($O515="FAILED OUT","Yes","No"))</f>
        <v/>
      </c>
      <c r="Q515" s="14" t="n"/>
    </row>
    <row r="516">
      <c r="B516" s="15">
        <f>IF($C516="","",$D516&amp;"-"&amp;$E516&amp;"-"&amp;$I516)</f>
        <v/>
      </c>
      <c r="C516" s="14" t="n"/>
      <c r="D516" s="15">
        <f>IF($C516="","",IFERROR(INDEX(rngCadetPIDs,MATCH($C516,rngCadetNames,0)),"?"))</f>
        <v/>
      </c>
      <c r="E516" s="14" t="n"/>
      <c r="F516" s="15">
        <f>IF($E516="","",IFERROR(INDEX(rngSM_max,MATCH($E516,rngSM_cat,0)),""))</f>
        <v/>
      </c>
      <c r="G516" s="15">
        <f>IF($E516="","",IFERROR(INDEX(rngSM_mode,MATCH($E516,rngSM_cat,0)),""))</f>
        <v/>
      </c>
      <c r="H516" s="15">
        <f>IF($E516="","",IFERROR(INDEX(rngSM_pass,MATCH($E516,rngSM_cat,0)),""))</f>
        <v/>
      </c>
      <c r="I516" s="14" t="n"/>
      <c r="J516" s="14" t="n"/>
      <c r="K516" s="14" t="n"/>
      <c r="L516" s="16" t="n"/>
      <c r="M516" s="14" t="n"/>
      <c r="N516" s="15">
        <f>IF($C516="","",COUNTIFS(nrSK_PID,$D516,nrSK_Cat,$E516))</f>
        <v/>
      </c>
      <c r="O516" s="15">
        <f>IF($C516="","",_xlfn.LET(_xlpm.latest,_xlfn.MAXIFS(nrSK_Att,nrSK_PID,$D516,nrSK_Cat,$E516),_xlpm.res,IF($I516=_xlpm.latest,$J516,""),IF($I516&lt;&gt;_xlpm.latest,"(superseded)",IF(_xlpm.res="","Pending",IF(_xlpm.res="Pass","Qualified",IF(AND(_xlpm.res="Fail",$N516&gt;=$F516),"FAILED OUT","Needs Remediation"))))))</f>
        <v/>
      </c>
      <c r="P516" s="15">
        <f>IF($C516="","",IF($O516="FAILED OUT","Yes","No"))</f>
        <v/>
      </c>
      <c r="Q516" s="14" t="n"/>
    </row>
    <row r="517">
      <c r="B517" s="15">
        <f>IF($C517="","",$D517&amp;"-"&amp;$E517&amp;"-"&amp;$I517)</f>
        <v/>
      </c>
      <c r="C517" s="14" t="n"/>
      <c r="D517" s="15">
        <f>IF($C517="","",IFERROR(INDEX(rngCadetPIDs,MATCH($C517,rngCadetNames,0)),"?"))</f>
        <v/>
      </c>
      <c r="E517" s="14" t="n"/>
      <c r="F517" s="15">
        <f>IF($E517="","",IFERROR(INDEX(rngSM_max,MATCH($E517,rngSM_cat,0)),""))</f>
        <v/>
      </c>
      <c r="G517" s="15">
        <f>IF($E517="","",IFERROR(INDEX(rngSM_mode,MATCH($E517,rngSM_cat,0)),""))</f>
        <v/>
      </c>
      <c r="H517" s="15">
        <f>IF($E517="","",IFERROR(INDEX(rngSM_pass,MATCH($E517,rngSM_cat,0)),""))</f>
        <v/>
      </c>
      <c r="I517" s="14" t="n"/>
      <c r="J517" s="14" t="n"/>
      <c r="K517" s="14" t="n"/>
      <c r="L517" s="16" t="n"/>
      <c r="M517" s="14" t="n"/>
      <c r="N517" s="15">
        <f>IF($C517="","",COUNTIFS(nrSK_PID,$D517,nrSK_Cat,$E517))</f>
        <v/>
      </c>
      <c r="O517" s="15">
        <f>IF($C517="","",_xlfn.LET(_xlpm.latest,_xlfn.MAXIFS(nrSK_Att,nrSK_PID,$D517,nrSK_Cat,$E517),_xlpm.res,IF($I517=_xlpm.latest,$J517,""),IF($I517&lt;&gt;_xlpm.latest,"(superseded)",IF(_xlpm.res="","Pending",IF(_xlpm.res="Pass","Qualified",IF(AND(_xlpm.res="Fail",$N517&gt;=$F517),"FAILED OUT","Needs Remediation"))))))</f>
        <v/>
      </c>
      <c r="P517" s="15">
        <f>IF($C517="","",IF($O517="FAILED OUT","Yes","No"))</f>
        <v/>
      </c>
      <c r="Q517" s="14" t="n"/>
    </row>
    <row r="518">
      <c r="B518" s="15">
        <f>IF($C518="","",$D518&amp;"-"&amp;$E518&amp;"-"&amp;$I518)</f>
        <v/>
      </c>
      <c r="C518" s="14" t="n"/>
      <c r="D518" s="15">
        <f>IF($C518="","",IFERROR(INDEX(rngCadetPIDs,MATCH($C518,rngCadetNames,0)),"?"))</f>
        <v/>
      </c>
      <c r="E518" s="14" t="n"/>
      <c r="F518" s="15">
        <f>IF($E518="","",IFERROR(INDEX(rngSM_max,MATCH($E518,rngSM_cat,0)),""))</f>
        <v/>
      </c>
      <c r="G518" s="15">
        <f>IF($E518="","",IFERROR(INDEX(rngSM_mode,MATCH($E518,rngSM_cat,0)),""))</f>
        <v/>
      </c>
      <c r="H518" s="15">
        <f>IF($E518="","",IFERROR(INDEX(rngSM_pass,MATCH($E518,rngSM_cat,0)),""))</f>
        <v/>
      </c>
      <c r="I518" s="14" t="n"/>
      <c r="J518" s="14" t="n"/>
      <c r="K518" s="14" t="n"/>
      <c r="L518" s="16" t="n"/>
      <c r="M518" s="14" t="n"/>
      <c r="N518" s="15">
        <f>IF($C518="","",COUNTIFS(nrSK_PID,$D518,nrSK_Cat,$E518))</f>
        <v/>
      </c>
      <c r="O518" s="15">
        <f>IF($C518="","",_xlfn.LET(_xlpm.latest,_xlfn.MAXIFS(nrSK_Att,nrSK_PID,$D518,nrSK_Cat,$E518),_xlpm.res,IF($I518=_xlpm.latest,$J518,""),IF($I518&lt;&gt;_xlpm.latest,"(superseded)",IF(_xlpm.res="","Pending",IF(_xlpm.res="Pass","Qualified",IF(AND(_xlpm.res="Fail",$N518&gt;=$F518),"FAILED OUT","Needs Remediation"))))))</f>
        <v/>
      </c>
      <c r="P518" s="15">
        <f>IF($C518="","",IF($O518="FAILED OUT","Yes","No"))</f>
        <v/>
      </c>
      <c r="Q518" s="14" t="n"/>
    </row>
    <row r="519">
      <c r="B519" s="15">
        <f>IF($C519="","",$D519&amp;"-"&amp;$E519&amp;"-"&amp;$I519)</f>
        <v/>
      </c>
      <c r="C519" s="14" t="n"/>
      <c r="D519" s="15">
        <f>IF($C519="","",IFERROR(INDEX(rngCadetPIDs,MATCH($C519,rngCadetNames,0)),"?"))</f>
        <v/>
      </c>
      <c r="E519" s="14" t="n"/>
      <c r="F519" s="15">
        <f>IF($E519="","",IFERROR(INDEX(rngSM_max,MATCH($E519,rngSM_cat,0)),""))</f>
        <v/>
      </c>
      <c r="G519" s="15">
        <f>IF($E519="","",IFERROR(INDEX(rngSM_mode,MATCH($E519,rngSM_cat,0)),""))</f>
        <v/>
      </c>
      <c r="H519" s="15">
        <f>IF($E519="","",IFERROR(INDEX(rngSM_pass,MATCH($E519,rngSM_cat,0)),""))</f>
        <v/>
      </c>
      <c r="I519" s="14" t="n"/>
      <c r="J519" s="14" t="n"/>
      <c r="K519" s="14" t="n"/>
      <c r="L519" s="16" t="n"/>
      <c r="M519" s="14" t="n"/>
      <c r="N519" s="15">
        <f>IF($C519="","",COUNTIFS(nrSK_PID,$D519,nrSK_Cat,$E519))</f>
        <v/>
      </c>
      <c r="O519" s="15">
        <f>IF($C519="","",_xlfn.LET(_xlpm.latest,_xlfn.MAXIFS(nrSK_Att,nrSK_PID,$D519,nrSK_Cat,$E519),_xlpm.res,IF($I519=_xlpm.latest,$J519,""),IF($I519&lt;&gt;_xlpm.latest,"(superseded)",IF(_xlpm.res="","Pending",IF(_xlpm.res="Pass","Qualified",IF(AND(_xlpm.res="Fail",$N519&gt;=$F519),"FAILED OUT","Needs Remediation"))))))</f>
        <v/>
      </c>
      <c r="P519" s="15">
        <f>IF($C519="","",IF($O519="FAILED OUT","Yes","No"))</f>
        <v/>
      </c>
      <c r="Q519" s="14" t="n"/>
    </row>
    <row r="520">
      <c r="B520" s="15">
        <f>IF($C520="","",$D520&amp;"-"&amp;$E520&amp;"-"&amp;$I520)</f>
        <v/>
      </c>
      <c r="C520" s="14" t="n"/>
      <c r="D520" s="15">
        <f>IF($C520="","",IFERROR(INDEX(rngCadetPIDs,MATCH($C520,rngCadetNames,0)),"?"))</f>
        <v/>
      </c>
      <c r="E520" s="14" t="n"/>
      <c r="F520" s="15">
        <f>IF($E520="","",IFERROR(INDEX(rngSM_max,MATCH($E520,rngSM_cat,0)),""))</f>
        <v/>
      </c>
      <c r="G520" s="15">
        <f>IF($E520="","",IFERROR(INDEX(rngSM_mode,MATCH($E520,rngSM_cat,0)),""))</f>
        <v/>
      </c>
      <c r="H520" s="15">
        <f>IF($E520="","",IFERROR(INDEX(rngSM_pass,MATCH($E520,rngSM_cat,0)),""))</f>
        <v/>
      </c>
      <c r="I520" s="14" t="n"/>
      <c r="J520" s="14" t="n"/>
      <c r="K520" s="14" t="n"/>
      <c r="L520" s="16" t="n"/>
      <c r="M520" s="14" t="n"/>
      <c r="N520" s="15">
        <f>IF($C520="","",COUNTIFS(nrSK_PID,$D520,nrSK_Cat,$E520))</f>
        <v/>
      </c>
      <c r="O520" s="15">
        <f>IF($C520="","",_xlfn.LET(_xlpm.latest,_xlfn.MAXIFS(nrSK_Att,nrSK_PID,$D520,nrSK_Cat,$E520),_xlpm.res,IF($I520=_xlpm.latest,$J520,""),IF($I520&lt;&gt;_xlpm.latest,"(superseded)",IF(_xlpm.res="","Pending",IF(_xlpm.res="Pass","Qualified",IF(AND(_xlpm.res="Fail",$N520&gt;=$F520),"FAILED OUT","Needs Remediation"))))))</f>
        <v/>
      </c>
      <c r="P520" s="15">
        <f>IF($C520="","",IF($O520="FAILED OUT","Yes","No"))</f>
        <v/>
      </c>
      <c r="Q520" s="14" t="n"/>
    </row>
    <row r="521">
      <c r="B521" s="15">
        <f>IF($C521="","",$D521&amp;"-"&amp;$E521&amp;"-"&amp;$I521)</f>
        <v/>
      </c>
      <c r="C521" s="14" t="n"/>
      <c r="D521" s="15">
        <f>IF($C521="","",IFERROR(INDEX(rngCadetPIDs,MATCH($C521,rngCadetNames,0)),"?"))</f>
        <v/>
      </c>
      <c r="E521" s="14" t="n"/>
      <c r="F521" s="15">
        <f>IF($E521="","",IFERROR(INDEX(rngSM_max,MATCH($E521,rngSM_cat,0)),""))</f>
        <v/>
      </c>
      <c r="G521" s="15">
        <f>IF($E521="","",IFERROR(INDEX(rngSM_mode,MATCH($E521,rngSM_cat,0)),""))</f>
        <v/>
      </c>
      <c r="H521" s="15">
        <f>IF($E521="","",IFERROR(INDEX(rngSM_pass,MATCH($E521,rngSM_cat,0)),""))</f>
        <v/>
      </c>
      <c r="I521" s="14" t="n"/>
      <c r="J521" s="14" t="n"/>
      <c r="K521" s="14" t="n"/>
      <c r="L521" s="16" t="n"/>
      <c r="M521" s="14" t="n"/>
      <c r="N521" s="15">
        <f>IF($C521="","",COUNTIFS(nrSK_PID,$D521,nrSK_Cat,$E521))</f>
        <v/>
      </c>
      <c r="O521" s="15">
        <f>IF($C521="","",_xlfn.LET(_xlpm.latest,_xlfn.MAXIFS(nrSK_Att,nrSK_PID,$D521,nrSK_Cat,$E521),_xlpm.res,IF($I521=_xlpm.latest,$J521,""),IF($I521&lt;&gt;_xlpm.latest,"(superseded)",IF(_xlpm.res="","Pending",IF(_xlpm.res="Pass","Qualified",IF(AND(_xlpm.res="Fail",$N521&gt;=$F521),"FAILED OUT","Needs Remediation"))))))</f>
        <v/>
      </c>
      <c r="P521" s="15">
        <f>IF($C521="","",IF($O521="FAILED OUT","Yes","No"))</f>
        <v/>
      </c>
      <c r="Q521" s="14" t="n"/>
    </row>
    <row r="522">
      <c r="B522" s="15">
        <f>IF($C522="","",$D522&amp;"-"&amp;$E522&amp;"-"&amp;$I522)</f>
        <v/>
      </c>
      <c r="C522" s="14" t="n"/>
      <c r="D522" s="15">
        <f>IF($C522="","",IFERROR(INDEX(rngCadetPIDs,MATCH($C522,rngCadetNames,0)),"?"))</f>
        <v/>
      </c>
      <c r="E522" s="14" t="n"/>
      <c r="F522" s="15">
        <f>IF($E522="","",IFERROR(INDEX(rngSM_max,MATCH($E522,rngSM_cat,0)),""))</f>
        <v/>
      </c>
      <c r="G522" s="15">
        <f>IF($E522="","",IFERROR(INDEX(rngSM_mode,MATCH($E522,rngSM_cat,0)),""))</f>
        <v/>
      </c>
      <c r="H522" s="15">
        <f>IF($E522="","",IFERROR(INDEX(rngSM_pass,MATCH($E522,rngSM_cat,0)),""))</f>
        <v/>
      </c>
      <c r="I522" s="14" t="n"/>
      <c r="J522" s="14" t="n"/>
      <c r="K522" s="14" t="n"/>
      <c r="L522" s="16" t="n"/>
      <c r="M522" s="14" t="n"/>
      <c r="N522" s="15">
        <f>IF($C522="","",COUNTIFS(nrSK_PID,$D522,nrSK_Cat,$E522))</f>
        <v/>
      </c>
      <c r="O522" s="15">
        <f>IF($C522="","",_xlfn.LET(_xlpm.latest,_xlfn.MAXIFS(nrSK_Att,nrSK_PID,$D522,nrSK_Cat,$E522),_xlpm.res,IF($I522=_xlpm.latest,$J522,""),IF($I522&lt;&gt;_xlpm.latest,"(superseded)",IF(_xlpm.res="","Pending",IF(_xlpm.res="Pass","Qualified",IF(AND(_xlpm.res="Fail",$N522&gt;=$F522),"FAILED OUT","Needs Remediation"))))))</f>
        <v/>
      </c>
      <c r="P522" s="15">
        <f>IF($C522="","",IF($O522="FAILED OUT","Yes","No"))</f>
        <v/>
      </c>
      <c r="Q522" s="14" t="n"/>
    </row>
    <row r="523">
      <c r="B523" s="15">
        <f>IF($C523="","",$D523&amp;"-"&amp;$E523&amp;"-"&amp;$I523)</f>
        <v/>
      </c>
      <c r="C523" s="14" t="n"/>
      <c r="D523" s="15">
        <f>IF($C523="","",IFERROR(INDEX(rngCadetPIDs,MATCH($C523,rngCadetNames,0)),"?"))</f>
        <v/>
      </c>
      <c r="E523" s="14" t="n"/>
      <c r="F523" s="15">
        <f>IF($E523="","",IFERROR(INDEX(rngSM_max,MATCH($E523,rngSM_cat,0)),""))</f>
        <v/>
      </c>
      <c r="G523" s="15">
        <f>IF($E523="","",IFERROR(INDEX(rngSM_mode,MATCH($E523,rngSM_cat,0)),""))</f>
        <v/>
      </c>
      <c r="H523" s="15">
        <f>IF($E523="","",IFERROR(INDEX(rngSM_pass,MATCH($E523,rngSM_cat,0)),""))</f>
        <v/>
      </c>
      <c r="I523" s="14" t="n"/>
      <c r="J523" s="14" t="n"/>
      <c r="K523" s="14" t="n"/>
      <c r="L523" s="16" t="n"/>
      <c r="M523" s="14" t="n"/>
      <c r="N523" s="15">
        <f>IF($C523="","",COUNTIFS(nrSK_PID,$D523,nrSK_Cat,$E523))</f>
        <v/>
      </c>
      <c r="O523" s="15">
        <f>IF($C523="","",_xlfn.LET(_xlpm.latest,_xlfn.MAXIFS(nrSK_Att,nrSK_PID,$D523,nrSK_Cat,$E523),_xlpm.res,IF($I523=_xlpm.latest,$J523,""),IF($I523&lt;&gt;_xlpm.latest,"(superseded)",IF(_xlpm.res="","Pending",IF(_xlpm.res="Pass","Qualified",IF(AND(_xlpm.res="Fail",$N523&gt;=$F523),"FAILED OUT","Needs Remediation"))))))</f>
        <v/>
      </c>
      <c r="P523" s="15">
        <f>IF($C523="","",IF($O523="FAILED OUT","Yes","No"))</f>
        <v/>
      </c>
      <c r="Q523" s="14" t="n"/>
    </row>
    <row r="524">
      <c r="B524" s="15">
        <f>IF($C524="","",$D524&amp;"-"&amp;$E524&amp;"-"&amp;$I524)</f>
        <v/>
      </c>
      <c r="C524" s="14" t="n"/>
      <c r="D524" s="15">
        <f>IF($C524="","",IFERROR(INDEX(rngCadetPIDs,MATCH($C524,rngCadetNames,0)),"?"))</f>
        <v/>
      </c>
      <c r="E524" s="14" t="n"/>
      <c r="F524" s="15">
        <f>IF($E524="","",IFERROR(INDEX(rngSM_max,MATCH($E524,rngSM_cat,0)),""))</f>
        <v/>
      </c>
      <c r="G524" s="15">
        <f>IF($E524="","",IFERROR(INDEX(rngSM_mode,MATCH($E524,rngSM_cat,0)),""))</f>
        <v/>
      </c>
      <c r="H524" s="15">
        <f>IF($E524="","",IFERROR(INDEX(rngSM_pass,MATCH($E524,rngSM_cat,0)),""))</f>
        <v/>
      </c>
      <c r="I524" s="14" t="n"/>
      <c r="J524" s="14" t="n"/>
      <c r="K524" s="14" t="n"/>
      <c r="L524" s="16" t="n"/>
      <c r="M524" s="14" t="n"/>
      <c r="N524" s="15">
        <f>IF($C524="","",COUNTIFS(nrSK_PID,$D524,nrSK_Cat,$E524))</f>
        <v/>
      </c>
      <c r="O524" s="15">
        <f>IF($C524="","",_xlfn.LET(_xlpm.latest,_xlfn.MAXIFS(nrSK_Att,nrSK_PID,$D524,nrSK_Cat,$E524),_xlpm.res,IF($I524=_xlpm.latest,$J524,""),IF($I524&lt;&gt;_xlpm.latest,"(superseded)",IF(_xlpm.res="","Pending",IF(_xlpm.res="Pass","Qualified",IF(AND(_xlpm.res="Fail",$N524&gt;=$F524),"FAILED OUT","Needs Remediation"))))))</f>
        <v/>
      </c>
      <c r="P524" s="15">
        <f>IF($C524="","",IF($O524="FAILED OUT","Yes","No"))</f>
        <v/>
      </c>
      <c r="Q524" s="14" t="n"/>
    </row>
    <row r="525">
      <c r="B525" s="15">
        <f>IF($C525="","",$D525&amp;"-"&amp;$E525&amp;"-"&amp;$I525)</f>
        <v/>
      </c>
      <c r="C525" s="14" t="n"/>
      <c r="D525" s="15">
        <f>IF($C525="","",IFERROR(INDEX(rngCadetPIDs,MATCH($C525,rngCadetNames,0)),"?"))</f>
        <v/>
      </c>
      <c r="E525" s="14" t="n"/>
      <c r="F525" s="15">
        <f>IF($E525="","",IFERROR(INDEX(rngSM_max,MATCH($E525,rngSM_cat,0)),""))</f>
        <v/>
      </c>
      <c r="G525" s="15">
        <f>IF($E525="","",IFERROR(INDEX(rngSM_mode,MATCH($E525,rngSM_cat,0)),""))</f>
        <v/>
      </c>
      <c r="H525" s="15">
        <f>IF($E525="","",IFERROR(INDEX(rngSM_pass,MATCH($E525,rngSM_cat,0)),""))</f>
        <v/>
      </c>
      <c r="I525" s="14" t="n"/>
      <c r="J525" s="14" t="n"/>
      <c r="K525" s="14" t="n"/>
      <c r="L525" s="16" t="n"/>
      <c r="M525" s="14" t="n"/>
      <c r="N525" s="15">
        <f>IF($C525="","",COUNTIFS(nrSK_PID,$D525,nrSK_Cat,$E525))</f>
        <v/>
      </c>
      <c r="O525" s="15">
        <f>IF($C525="","",_xlfn.LET(_xlpm.latest,_xlfn.MAXIFS(nrSK_Att,nrSK_PID,$D525,nrSK_Cat,$E525),_xlpm.res,IF($I525=_xlpm.latest,$J525,""),IF($I525&lt;&gt;_xlpm.latest,"(superseded)",IF(_xlpm.res="","Pending",IF(_xlpm.res="Pass","Qualified",IF(AND(_xlpm.res="Fail",$N525&gt;=$F525),"FAILED OUT","Needs Remediation"))))))</f>
        <v/>
      </c>
      <c r="P525" s="15">
        <f>IF($C525="","",IF($O525="FAILED OUT","Yes","No"))</f>
        <v/>
      </c>
      <c r="Q525" s="14" t="n"/>
    </row>
    <row r="526">
      <c r="B526" s="15">
        <f>IF($C526="","",$D526&amp;"-"&amp;$E526&amp;"-"&amp;$I526)</f>
        <v/>
      </c>
      <c r="C526" s="14" t="n"/>
      <c r="D526" s="15">
        <f>IF($C526="","",IFERROR(INDEX(rngCadetPIDs,MATCH($C526,rngCadetNames,0)),"?"))</f>
        <v/>
      </c>
      <c r="E526" s="14" t="n"/>
      <c r="F526" s="15">
        <f>IF($E526="","",IFERROR(INDEX(rngSM_max,MATCH($E526,rngSM_cat,0)),""))</f>
        <v/>
      </c>
      <c r="G526" s="15">
        <f>IF($E526="","",IFERROR(INDEX(rngSM_mode,MATCH($E526,rngSM_cat,0)),""))</f>
        <v/>
      </c>
      <c r="H526" s="15">
        <f>IF($E526="","",IFERROR(INDEX(rngSM_pass,MATCH($E526,rngSM_cat,0)),""))</f>
        <v/>
      </c>
      <c r="I526" s="14" t="n"/>
      <c r="J526" s="14" t="n"/>
      <c r="K526" s="14" t="n"/>
      <c r="L526" s="16" t="n"/>
      <c r="M526" s="14" t="n"/>
      <c r="N526" s="15">
        <f>IF($C526="","",COUNTIFS(nrSK_PID,$D526,nrSK_Cat,$E526))</f>
        <v/>
      </c>
      <c r="O526" s="15">
        <f>IF($C526="","",_xlfn.LET(_xlpm.latest,_xlfn.MAXIFS(nrSK_Att,nrSK_PID,$D526,nrSK_Cat,$E526),_xlpm.res,IF($I526=_xlpm.latest,$J526,""),IF($I526&lt;&gt;_xlpm.latest,"(superseded)",IF(_xlpm.res="","Pending",IF(_xlpm.res="Pass","Qualified",IF(AND(_xlpm.res="Fail",$N526&gt;=$F526),"FAILED OUT","Needs Remediation"))))))</f>
        <v/>
      </c>
      <c r="P526" s="15">
        <f>IF($C526="","",IF($O526="FAILED OUT","Yes","No"))</f>
        <v/>
      </c>
      <c r="Q526" s="14" t="n"/>
    </row>
    <row r="527">
      <c r="B527" s="15">
        <f>IF($C527="","",$D527&amp;"-"&amp;$E527&amp;"-"&amp;$I527)</f>
        <v/>
      </c>
      <c r="C527" s="14" t="n"/>
      <c r="D527" s="15">
        <f>IF($C527="","",IFERROR(INDEX(rngCadetPIDs,MATCH($C527,rngCadetNames,0)),"?"))</f>
        <v/>
      </c>
      <c r="E527" s="14" t="n"/>
      <c r="F527" s="15">
        <f>IF($E527="","",IFERROR(INDEX(rngSM_max,MATCH($E527,rngSM_cat,0)),""))</f>
        <v/>
      </c>
      <c r="G527" s="15">
        <f>IF($E527="","",IFERROR(INDEX(rngSM_mode,MATCH($E527,rngSM_cat,0)),""))</f>
        <v/>
      </c>
      <c r="H527" s="15">
        <f>IF($E527="","",IFERROR(INDEX(rngSM_pass,MATCH($E527,rngSM_cat,0)),""))</f>
        <v/>
      </c>
      <c r="I527" s="14" t="n"/>
      <c r="J527" s="14" t="n"/>
      <c r="K527" s="14" t="n"/>
      <c r="L527" s="16" t="n"/>
      <c r="M527" s="14" t="n"/>
      <c r="N527" s="15">
        <f>IF($C527="","",COUNTIFS(nrSK_PID,$D527,nrSK_Cat,$E527))</f>
        <v/>
      </c>
      <c r="O527" s="15">
        <f>IF($C527="","",_xlfn.LET(_xlpm.latest,_xlfn.MAXIFS(nrSK_Att,nrSK_PID,$D527,nrSK_Cat,$E527),_xlpm.res,IF($I527=_xlpm.latest,$J527,""),IF($I527&lt;&gt;_xlpm.latest,"(superseded)",IF(_xlpm.res="","Pending",IF(_xlpm.res="Pass","Qualified",IF(AND(_xlpm.res="Fail",$N527&gt;=$F527),"FAILED OUT","Needs Remediation"))))))</f>
        <v/>
      </c>
      <c r="P527" s="15">
        <f>IF($C527="","",IF($O527="FAILED OUT","Yes","No"))</f>
        <v/>
      </c>
      <c r="Q527" s="14" t="n"/>
    </row>
    <row r="528">
      <c r="B528" s="15">
        <f>IF($C528="","",$D528&amp;"-"&amp;$E528&amp;"-"&amp;$I528)</f>
        <v/>
      </c>
      <c r="C528" s="14" t="n"/>
      <c r="D528" s="15">
        <f>IF($C528="","",IFERROR(INDEX(rngCadetPIDs,MATCH($C528,rngCadetNames,0)),"?"))</f>
        <v/>
      </c>
      <c r="E528" s="14" t="n"/>
      <c r="F528" s="15">
        <f>IF($E528="","",IFERROR(INDEX(rngSM_max,MATCH($E528,rngSM_cat,0)),""))</f>
        <v/>
      </c>
      <c r="G528" s="15">
        <f>IF($E528="","",IFERROR(INDEX(rngSM_mode,MATCH($E528,rngSM_cat,0)),""))</f>
        <v/>
      </c>
      <c r="H528" s="15">
        <f>IF($E528="","",IFERROR(INDEX(rngSM_pass,MATCH($E528,rngSM_cat,0)),""))</f>
        <v/>
      </c>
      <c r="I528" s="14" t="n"/>
      <c r="J528" s="14" t="n"/>
      <c r="K528" s="14" t="n"/>
      <c r="L528" s="16" t="n"/>
      <c r="M528" s="14" t="n"/>
      <c r="N528" s="15">
        <f>IF($C528="","",COUNTIFS(nrSK_PID,$D528,nrSK_Cat,$E528))</f>
        <v/>
      </c>
      <c r="O528" s="15">
        <f>IF($C528="","",_xlfn.LET(_xlpm.latest,_xlfn.MAXIFS(nrSK_Att,nrSK_PID,$D528,nrSK_Cat,$E528),_xlpm.res,IF($I528=_xlpm.latest,$J528,""),IF($I528&lt;&gt;_xlpm.latest,"(superseded)",IF(_xlpm.res="","Pending",IF(_xlpm.res="Pass","Qualified",IF(AND(_xlpm.res="Fail",$N528&gt;=$F528),"FAILED OUT","Needs Remediation"))))))</f>
        <v/>
      </c>
      <c r="P528" s="15">
        <f>IF($C528="","",IF($O528="FAILED OUT","Yes","No"))</f>
        <v/>
      </c>
      <c r="Q528" s="14" t="n"/>
    </row>
    <row r="529">
      <c r="B529" s="15">
        <f>IF($C529="","",$D529&amp;"-"&amp;$E529&amp;"-"&amp;$I529)</f>
        <v/>
      </c>
      <c r="C529" s="14" t="n"/>
      <c r="D529" s="15">
        <f>IF($C529="","",IFERROR(INDEX(rngCadetPIDs,MATCH($C529,rngCadetNames,0)),"?"))</f>
        <v/>
      </c>
      <c r="E529" s="14" t="n"/>
      <c r="F529" s="15">
        <f>IF($E529="","",IFERROR(INDEX(rngSM_max,MATCH($E529,rngSM_cat,0)),""))</f>
        <v/>
      </c>
      <c r="G529" s="15">
        <f>IF($E529="","",IFERROR(INDEX(rngSM_mode,MATCH($E529,rngSM_cat,0)),""))</f>
        <v/>
      </c>
      <c r="H529" s="15">
        <f>IF($E529="","",IFERROR(INDEX(rngSM_pass,MATCH($E529,rngSM_cat,0)),""))</f>
        <v/>
      </c>
      <c r="I529" s="14" t="n"/>
      <c r="J529" s="14" t="n"/>
      <c r="K529" s="14" t="n"/>
      <c r="L529" s="16" t="n"/>
      <c r="M529" s="14" t="n"/>
      <c r="N529" s="15">
        <f>IF($C529="","",COUNTIFS(nrSK_PID,$D529,nrSK_Cat,$E529))</f>
        <v/>
      </c>
      <c r="O529" s="15">
        <f>IF($C529="","",_xlfn.LET(_xlpm.latest,_xlfn.MAXIFS(nrSK_Att,nrSK_PID,$D529,nrSK_Cat,$E529),_xlpm.res,IF($I529=_xlpm.latest,$J529,""),IF($I529&lt;&gt;_xlpm.latest,"(superseded)",IF(_xlpm.res="","Pending",IF(_xlpm.res="Pass","Qualified",IF(AND(_xlpm.res="Fail",$N529&gt;=$F529),"FAILED OUT","Needs Remediation"))))))</f>
        <v/>
      </c>
      <c r="P529" s="15">
        <f>IF($C529="","",IF($O529="FAILED OUT","Yes","No"))</f>
        <v/>
      </c>
      <c r="Q529" s="14" t="n"/>
    </row>
    <row r="530">
      <c r="B530" s="15">
        <f>IF($C530="","",$D530&amp;"-"&amp;$E530&amp;"-"&amp;$I530)</f>
        <v/>
      </c>
      <c r="C530" s="14" t="n"/>
      <c r="D530" s="15">
        <f>IF($C530="","",IFERROR(INDEX(rngCadetPIDs,MATCH($C530,rngCadetNames,0)),"?"))</f>
        <v/>
      </c>
      <c r="E530" s="14" t="n"/>
      <c r="F530" s="15">
        <f>IF($E530="","",IFERROR(INDEX(rngSM_max,MATCH($E530,rngSM_cat,0)),""))</f>
        <v/>
      </c>
      <c r="G530" s="15">
        <f>IF($E530="","",IFERROR(INDEX(rngSM_mode,MATCH($E530,rngSM_cat,0)),""))</f>
        <v/>
      </c>
      <c r="H530" s="15">
        <f>IF($E530="","",IFERROR(INDEX(rngSM_pass,MATCH($E530,rngSM_cat,0)),""))</f>
        <v/>
      </c>
      <c r="I530" s="14" t="n"/>
      <c r="J530" s="14" t="n"/>
      <c r="K530" s="14" t="n"/>
      <c r="L530" s="16" t="n"/>
      <c r="M530" s="14" t="n"/>
      <c r="N530" s="15">
        <f>IF($C530="","",COUNTIFS(nrSK_PID,$D530,nrSK_Cat,$E530))</f>
        <v/>
      </c>
      <c r="O530" s="15">
        <f>IF($C530="","",_xlfn.LET(_xlpm.latest,_xlfn.MAXIFS(nrSK_Att,nrSK_PID,$D530,nrSK_Cat,$E530),_xlpm.res,IF($I530=_xlpm.latest,$J530,""),IF($I530&lt;&gt;_xlpm.latest,"(superseded)",IF(_xlpm.res="","Pending",IF(_xlpm.res="Pass","Qualified",IF(AND(_xlpm.res="Fail",$N530&gt;=$F530),"FAILED OUT","Needs Remediation"))))))</f>
        <v/>
      </c>
      <c r="P530" s="15">
        <f>IF($C530="","",IF($O530="FAILED OUT","Yes","No"))</f>
        <v/>
      </c>
      <c r="Q530" s="14" t="n"/>
    </row>
    <row r="531">
      <c r="B531" s="15">
        <f>IF($C531="","",$D531&amp;"-"&amp;$E531&amp;"-"&amp;$I531)</f>
        <v/>
      </c>
      <c r="C531" s="14" t="n"/>
      <c r="D531" s="15">
        <f>IF($C531="","",IFERROR(INDEX(rngCadetPIDs,MATCH($C531,rngCadetNames,0)),"?"))</f>
        <v/>
      </c>
      <c r="E531" s="14" t="n"/>
      <c r="F531" s="15">
        <f>IF($E531="","",IFERROR(INDEX(rngSM_max,MATCH($E531,rngSM_cat,0)),""))</f>
        <v/>
      </c>
      <c r="G531" s="15">
        <f>IF($E531="","",IFERROR(INDEX(rngSM_mode,MATCH($E531,rngSM_cat,0)),""))</f>
        <v/>
      </c>
      <c r="H531" s="15">
        <f>IF($E531="","",IFERROR(INDEX(rngSM_pass,MATCH($E531,rngSM_cat,0)),""))</f>
        <v/>
      </c>
      <c r="I531" s="14" t="n"/>
      <c r="J531" s="14" t="n"/>
      <c r="K531" s="14" t="n"/>
      <c r="L531" s="16" t="n"/>
      <c r="M531" s="14" t="n"/>
      <c r="N531" s="15">
        <f>IF($C531="","",COUNTIFS(nrSK_PID,$D531,nrSK_Cat,$E531))</f>
        <v/>
      </c>
      <c r="O531" s="15">
        <f>IF($C531="","",_xlfn.LET(_xlpm.latest,_xlfn.MAXIFS(nrSK_Att,nrSK_PID,$D531,nrSK_Cat,$E531),_xlpm.res,IF($I531=_xlpm.latest,$J531,""),IF($I531&lt;&gt;_xlpm.latest,"(superseded)",IF(_xlpm.res="","Pending",IF(_xlpm.res="Pass","Qualified",IF(AND(_xlpm.res="Fail",$N531&gt;=$F531),"FAILED OUT","Needs Remediation"))))))</f>
        <v/>
      </c>
      <c r="P531" s="15">
        <f>IF($C531="","",IF($O531="FAILED OUT","Yes","No"))</f>
        <v/>
      </c>
      <c r="Q531" s="14" t="n"/>
    </row>
    <row r="532">
      <c r="B532" s="15">
        <f>IF($C532="","",$D532&amp;"-"&amp;$E532&amp;"-"&amp;$I532)</f>
        <v/>
      </c>
      <c r="C532" s="14" t="n"/>
      <c r="D532" s="15">
        <f>IF($C532="","",IFERROR(INDEX(rngCadetPIDs,MATCH($C532,rngCadetNames,0)),"?"))</f>
        <v/>
      </c>
      <c r="E532" s="14" t="n"/>
      <c r="F532" s="15">
        <f>IF($E532="","",IFERROR(INDEX(rngSM_max,MATCH($E532,rngSM_cat,0)),""))</f>
        <v/>
      </c>
      <c r="G532" s="15">
        <f>IF($E532="","",IFERROR(INDEX(rngSM_mode,MATCH($E532,rngSM_cat,0)),""))</f>
        <v/>
      </c>
      <c r="H532" s="15">
        <f>IF($E532="","",IFERROR(INDEX(rngSM_pass,MATCH($E532,rngSM_cat,0)),""))</f>
        <v/>
      </c>
      <c r="I532" s="14" t="n"/>
      <c r="J532" s="14" t="n"/>
      <c r="K532" s="14" t="n"/>
      <c r="L532" s="16" t="n"/>
      <c r="M532" s="14" t="n"/>
      <c r="N532" s="15">
        <f>IF($C532="","",COUNTIFS(nrSK_PID,$D532,nrSK_Cat,$E532))</f>
        <v/>
      </c>
      <c r="O532" s="15">
        <f>IF($C532="","",_xlfn.LET(_xlpm.latest,_xlfn.MAXIFS(nrSK_Att,nrSK_PID,$D532,nrSK_Cat,$E532),_xlpm.res,IF($I532=_xlpm.latest,$J532,""),IF($I532&lt;&gt;_xlpm.latest,"(superseded)",IF(_xlpm.res="","Pending",IF(_xlpm.res="Pass","Qualified",IF(AND(_xlpm.res="Fail",$N532&gt;=$F532),"FAILED OUT","Needs Remediation"))))))</f>
        <v/>
      </c>
      <c r="P532" s="15">
        <f>IF($C532="","",IF($O532="FAILED OUT","Yes","No"))</f>
        <v/>
      </c>
      <c r="Q532" s="14" t="n"/>
    </row>
    <row r="533">
      <c r="B533" s="15">
        <f>IF($C533="","",$D533&amp;"-"&amp;$E533&amp;"-"&amp;$I533)</f>
        <v/>
      </c>
      <c r="C533" s="14" t="n"/>
      <c r="D533" s="15">
        <f>IF($C533="","",IFERROR(INDEX(rngCadetPIDs,MATCH($C533,rngCadetNames,0)),"?"))</f>
        <v/>
      </c>
      <c r="E533" s="14" t="n"/>
      <c r="F533" s="15">
        <f>IF($E533="","",IFERROR(INDEX(rngSM_max,MATCH($E533,rngSM_cat,0)),""))</f>
        <v/>
      </c>
      <c r="G533" s="15">
        <f>IF($E533="","",IFERROR(INDEX(rngSM_mode,MATCH($E533,rngSM_cat,0)),""))</f>
        <v/>
      </c>
      <c r="H533" s="15">
        <f>IF($E533="","",IFERROR(INDEX(rngSM_pass,MATCH($E533,rngSM_cat,0)),""))</f>
        <v/>
      </c>
      <c r="I533" s="14" t="n"/>
      <c r="J533" s="14" t="n"/>
      <c r="K533" s="14" t="n"/>
      <c r="L533" s="16" t="n"/>
      <c r="M533" s="14" t="n"/>
      <c r="N533" s="15">
        <f>IF($C533="","",COUNTIFS(nrSK_PID,$D533,nrSK_Cat,$E533))</f>
        <v/>
      </c>
      <c r="O533" s="15">
        <f>IF($C533="","",_xlfn.LET(_xlpm.latest,_xlfn.MAXIFS(nrSK_Att,nrSK_PID,$D533,nrSK_Cat,$E533),_xlpm.res,IF($I533=_xlpm.latest,$J533,""),IF($I533&lt;&gt;_xlpm.latest,"(superseded)",IF(_xlpm.res="","Pending",IF(_xlpm.res="Pass","Qualified",IF(AND(_xlpm.res="Fail",$N533&gt;=$F533),"FAILED OUT","Needs Remediation"))))))</f>
        <v/>
      </c>
      <c r="P533" s="15">
        <f>IF($C533="","",IF($O533="FAILED OUT","Yes","No"))</f>
        <v/>
      </c>
      <c r="Q533" s="14" t="n"/>
    </row>
    <row r="534">
      <c r="B534" s="15">
        <f>IF($C534="","",$D534&amp;"-"&amp;$E534&amp;"-"&amp;$I534)</f>
        <v/>
      </c>
      <c r="C534" s="14" t="n"/>
      <c r="D534" s="15">
        <f>IF($C534="","",IFERROR(INDEX(rngCadetPIDs,MATCH($C534,rngCadetNames,0)),"?"))</f>
        <v/>
      </c>
      <c r="E534" s="14" t="n"/>
      <c r="F534" s="15">
        <f>IF($E534="","",IFERROR(INDEX(rngSM_max,MATCH($E534,rngSM_cat,0)),""))</f>
        <v/>
      </c>
      <c r="G534" s="15">
        <f>IF($E534="","",IFERROR(INDEX(rngSM_mode,MATCH($E534,rngSM_cat,0)),""))</f>
        <v/>
      </c>
      <c r="H534" s="15">
        <f>IF($E534="","",IFERROR(INDEX(rngSM_pass,MATCH($E534,rngSM_cat,0)),""))</f>
        <v/>
      </c>
      <c r="I534" s="14" t="n"/>
      <c r="J534" s="14" t="n"/>
      <c r="K534" s="14" t="n"/>
      <c r="L534" s="16" t="n"/>
      <c r="M534" s="14" t="n"/>
      <c r="N534" s="15">
        <f>IF($C534="","",COUNTIFS(nrSK_PID,$D534,nrSK_Cat,$E534))</f>
        <v/>
      </c>
      <c r="O534" s="15">
        <f>IF($C534="","",_xlfn.LET(_xlpm.latest,_xlfn.MAXIFS(nrSK_Att,nrSK_PID,$D534,nrSK_Cat,$E534),_xlpm.res,IF($I534=_xlpm.latest,$J534,""),IF($I534&lt;&gt;_xlpm.latest,"(superseded)",IF(_xlpm.res="","Pending",IF(_xlpm.res="Pass","Qualified",IF(AND(_xlpm.res="Fail",$N534&gt;=$F534),"FAILED OUT","Needs Remediation"))))))</f>
        <v/>
      </c>
      <c r="P534" s="15">
        <f>IF($C534="","",IF($O534="FAILED OUT","Yes","No"))</f>
        <v/>
      </c>
      <c r="Q534" s="14" t="n"/>
    </row>
    <row r="535">
      <c r="B535" s="15">
        <f>IF($C535="","",$D535&amp;"-"&amp;$E535&amp;"-"&amp;$I535)</f>
        <v/>
      </c>
      <c r="C535" s="14" t="n"/>
      <c r="D535" s="15">
        <f>IF($C535="","",IFERROR(INDEX(rngCadetPIDs,MATCH($C535,rngCadetNames,0)),"?"))</f>
        <v/>
      </c>
      <c r="E535" s="14" t="n"/>
      <c r="F535" s="15">
        <f>IF($E535="","",IFERROR(INDEX(rngSM_max,MATCH($E535,rngSM_cat,0)),""))</f>
        <v/>
      </c>
      <c r="G535" s="15">
        <f>IF($E535="","",IFERROR(INDEX(rngSM_mode,MATCH($E535,rngSM_cat,0)),""))</f>
        <v/>
      </c>
      <c r="H535" s="15">
        <f>IF($E535="","",IFERROR(INDEX(rngSM_pass,MATCH($E535,rngSM_cat,0)),""))</f>
        <v/>
      </c>
      <c r="I535" s="14" t="n"/>
      <c r="J535" s="14" t="n"/>
      <c r="K535" s="14" t="n"/>
      <c r="L535" s="16" t="n"/>
      <c r="M535" s="14" t="n"/>
      <c r="N535" s="15">
        <f>IF($C535="","",COUNTIFS(nrSK_PID,$D535,nrSK_Cat,$E535))</f>
        <v/>
      </c>
      <c r="O535" s="15">
        <f>IF($C535="","",_xlfn.LET(_xlpm.latest,_xlfn.MAXIFS(nrSK_Att,nrSK_PID,$D535,nrSK_Cat,$E535),_xlpm.res,IF($I535=_xlpm.latest,$J535,""),IF($I535&lt;&gt;_xlpm.latest,"(superseded)",IF(_xlpm.res="","Pending",IF(_xlpm.res="Pass","Qualified",IF(AND(_xlpm.res="Fail",$N535&gt;=$F535),"FAILED OUT","Needs Remediation"))))))</f>
        <v/>
      </c>
      <c r="P535" s="15">
        <f>IF($C535="","",IF($O535="FAILED OUT","Yes","No"))</f>
        <v/>
      </c>
      <c r="Q535" s="14" t="n"/>
    </row>
    <row r="536">
      <c r="B536" s="15">
        <f>IF($C536="","",$D536&amp;"-"&amp;$E536&amp;"-"&amp;$I536)</f>
        <v/>
      </c>
      <c r="C536" s="14" t="n"/>
      <c r="D536" s="15">
        <f>IF($C536="","",IFERROR(INDEX(rngCadetPIDs,MATCH($C536,rngCadetNames,0)),"?"))</f>
        <v/>
      </c>
      <c r="E536" s="14" t="n"/>
      <c r="F536" s="15">
        <f>IF($E536="","",IFERROR(INDEX(rngSM_max,MATCH($E536,rngSM_cat,0)),""))</f>
        <v/>
      </c>
      <c r="G536" s="15">
        <f>IF($E536="","",IFERROR(INDEX(rngSM_mode,MATCH($E536,rngSM_cat,0)),""))</f>
        <v/>
      </c>
      <c r="H536" s="15">
        <f>IF($E536="","",IFERROR(INDEX(rngSM_pass,MATCH($E536,rngSM_cat,0)),""))</f>
        <v/>
      </c>
      <c r="I536" s="14" t="n"/>
      <c r="J536" s="14" t="n"/>
      <c r="K536" s="14" t="n"/>
      <c r="L536" s="16" t="n"/>
      <c r="M536" s="14" t="n"/>
      <c r="N536" s="15">
        <f>IF($C536="","",COUNTIFS(nrSK_PID,$D536,nrSK_Cat,$E536))</f>
        <v/>
      </c>
      <c r="O536" s="15">
        <f>IF($C536="","",_xlfn.LET(_xlpm.latest,_xlfn.MAXIFS(nrSK_Att,nrSK_PID,$D536,nrSK_Cat,$E536),_xlpm.res,IF($I536=_xlpm.latest,$J536,""),IF($I536&lt;&gt;_xlpm.latest,"(superseded)",IF(_xlpm.res="","Pending",IF(_xlpm.res="Pass","Qualified",IF(AND(_xlpm.res="Fail",$N536&gt;=$F536),"FAILED OUT","Needs Remediation"))))))</f>
        <v/>
      </c>
      <c r="P536" s="15">
        <f>IF($C536="","",IF($O536="FAILED OUT","Yes","No"))</f>
        <v/>
      </c>
      <c r="Q536" s="14" t="n"/>
    </row>
    <row r="537">
      <c r="B537" s="15">
        <f>IF($C537="","",$D537&amp;"-"&amp;$E537&amp;"-"&amp;$I537)</f>
        <v/>
      </c>
      <c r="C537" s="14" t="n"/>
      <c r="D537" s="15">
        <f>IF($C537="","",IFERROR(INDEX(rngCadetPIDs,MATCH($C537,rngCadetNames,0)),"?"))</f>
        <v/>
      </c>
      <c r="E537" s="14" t="n"/>
      <c r="F537" s="15">
        <f>IF($E537="","",IFERROR(INDEX(rngSM_max,MATCH($E537,rngSM_cat,0)),""))</f>
        <v/>
      </c>
      <c r="G537" s="15">
        <f>IF($E537="","",IFERROR(INDEX(rngSM_mode,MATCH($E537,rngSM_cat,0)),""))</f>
        <v/>
      </c>
      <c r="H537" s="15">
        <f>IF($E537="","",IFERROR(INDEX(rngSM_pass,MATCH($E537,rngSM_cat,0)),""))</f>
        <v/>
      </c>
      <c r="I537" s="14" t="n"/>
      <c r="J537" s="14" t="n"/>
      <c r="K537" s="14" t="n"/>
      <c r="L537" s="16" t="n"/>
      <c r="M537" s="14" t="n"/>
      <c r="N537" s="15">
        <f>IF($C537="","",COUNTIFS(nrSK_PID,$D537,nrSK_Cat,$E537))</f>
        <v/>
      </c>
      <c r="O537" s="15">
        <f>IF($C537="","",_xlfn.LET(_xlpm.latest,_xlfn.MAXIFS(nrSK_Att,nrSK_PID,$D537,nrSK_Cat,$E537),_xlpm.res,IF($I537=_xlpm.latest,$J537,""),IF($I537&lt;&gt;_xlpm.latest,"(superseded)",IF(_xlpm.res="","Pending",IF(_xlpm.res="Pass","Qualified",IF(AND(_xlpm.res="Fail",$N537&gt;=$F537),"FAILED OUT","Needs Remediation"))))))</f>
        <v/>
      </c>
      <c r="P537" s="15">
        <f>IF($C537="","",IF($O537="FAILED OUT","Yes","No"))</f>
        <v/>
      </c>
      <c r="Q537" s="14" t="n"/>
    </row>
    <row r="538">
      <c r="B538" s="15">
        <f>IF($C538="","",$D538&amp;"-"&amp;$E538&amp;"-"&amp;$I538)</f>
        <v/>
      </c>
      <c r="C538" s="14" t="n"/>
      <c r="D538" s="15">
        <f>IF($C538="","",IFERROR(INDEX(rngCadetPIDs,MATCH($C538,rngCadetNames,0)),"?"))</f>
        <v/>
      </c>
      <c r="E538" s="14" t="n"/>
      <c r="F538" s="15">
        <f>IF($E538="","",IFERROR(INDEX(rngSM_max,MATCH($E538,rngSM_cat,0)),""))</f>
        <v/>
      </c>
      <c r="G538" s="15">
        <f>IF($E538="","",IFERROR(INDEX(rngSM_mode,MATCH($E538,rngSM_cat,0)),""))</f>
        <v/>
      </c>
      <c r="H538" s="15">
        <f>IF($E538="","",IFERROR(INDEX(rngSM_pass,MATCH($E538,rngSM_cat,0)),""))</f>
        <v/>
      </c>
      <c r="I538" s="14" t="n"/>
      <c r="J538" s="14" t="n"/>
      <c r="K538" s="14" t="n"/>
      <c r="L538" s="16" t="n"/>
      <c r="M538" s="14" t="n"/>
      <c r="N538" s="15">
        <f>IF($C538="","",COUNTIFS(nrSK_PID,$D538,nrSK_Cat,$E538))</f>
        <v/>
      </c>
      <c r="O538" s="15">
        <f>IF($C538="","",_xlfn.LET(_xlpm.latest,_xlfn.MAXIFS(nrSK_Att,nrSK_PID,$D538,nrSK_Cat,$E538),_xlpm.res,IF($I538=_xlpm.latest,$J538,""),IF($I538&lt;&gt;_xlpm.latest,"(superseded)",IF(_xlpm.res="","Pending",IF(_xlpm.res="Pass","Qualified",IF(AND(_xlpm.res="Fail",$N538&gt;=$F538),"FAILED OUT","Needs Remediation"))))))</f>
        <v/>
      </c>
      <c r="P538" s="15">
        <f>IF($C538="","",IF($O538="FAILED OUT","Yes","No"))</f>
        <v/>
      </c>
      <c r="Q538" s="14" t="n"/>
    </row>
    <row r="539">
      <c r="B539" s="15">
        <f>IF($C539="","",$D539&amp;"-"&amp;$E539&amp;"-"&amp;$I539)</f>
        <v/>
      </c>
      <c r="C539" s="14" t="n"/>
      <c r="D539" s="15">
        <f>IF($C539="","",IFERROR(INDEX(rngCadetPIDs,MATCH($C539,rngCadetNames,0)),"?"))</f>
        <v/>
      </c>
      <c r="E539" s="14" t="n"/>
      <c r="F539" s="15">
        <f>IF($E539="","",IFERROR(INDEX(rngSM_max,MATCH($E539,rngSM_cat,0)),""))</f>
        <v/>
      </c>
      <c r="G539" s="15">
        <f>IF($E539="","",IFERROR(INDEX(rngSM_mode,MATCH($E539,rngSM_cat,0)),""))</f>
        <v/>
      </c>
      <c r="H539" s="15">
        <f>IF($E539="","",IFERROR(INDEX(rngSM_pass,MATCH($E539,rngSM_cat,0)),""))</f>
        <v/>
      </c>
      <c r="I539" s="14" t="n"/>
      <c r="J539" s="14" t="n"/>
      <c r="K539" s="14" t="n"/>
      <c r="L539" s="16" t="n"/>
      <c r="M539" s="14" t="n"/>
      <c r="N539" s="15">
        <f>IF($C539="","",COUNTIFS(nrSK_PID,$D539,nrSK_Cat,$E539))</f>
        <v/>
      </c>
      <c r="O539" s="15">
        <f>IF($C539="","",_xlfn.LET(_xlpm.latest,_xlfn.MAXIFS(nrSK_Att,nrSK_PID,$D539,nrSK_Cat,$E539),_xlpm.res,IF($I539=_xlpm.latest,$J539,""),IF($I539&lt;&gt;_xlpm.latest,"(superseded)",IF(_xlpm.res="","Pending",IF(_xlpm.res="Pass","Qualified",IF(AND(_xlpm.res="Fail",$N539&gt;=$F539),"FAILED OUT","Needs Remediation"))))))</f>
        <v/>
      </c>
      <c r="P539" s="15">
        <f>IF($C539="","",IF($O539="FAILED OUT","Yes","No"))</f>
        <v/>
      </c>
      <c r="Q539" s="14" t="n"/>
    </row>
    <row r="540">
      <c r="B540" s="15">
        <f>IF($C540="","",$D540&amp;"-"&amp;$E540&amp;"-"&amp;$I540)</f>
        <v/>
      </c>
      <c r="C540" s="14" t="n"/>
      <c r="D540" s="15">
        <f>IF($C540="","",IFERROR(INDEX(rngCadetPIDs,MATCH($C540,rngCadetNames,0)),"?"))</f>
        <v/>
      </c>
      <c r="E540" s="14" t="n"/>
      <c r="F540" s="15">
        <f>IF($E540="","",IFERROR(INDEX(rngSM_max,MATCH($E540,rngSM_cat,0)),""))</f>
        <v/>
      </c>
      <c r="G540" s="15">
        <f>IF($E540="","",IFERROR(INDEX(rngSM_mode,MATCH($E540,rngSM_cat,0)),""))</f>
        <v/>
      </c>
      <c r="H540" s="15">
        <f>IF($E540="","",IFERROR(INDEX(rngSM_pass,MATCH($E540,rngSM_cat,0)),""))</f>
        <v/>
      </c>
      <c r="I540" s="14" t="n"/>
      <c r="J540" s="14" t="n"/>
      <c r="K540" s="14" t="n"/>
      <c r="L540" s="16" t="n"/>
      <c r="M540" s="14" t="n"/>
      <c r="N540" s="15">
        <f>IF($C540="","",COUNTIFS(nrSK_PID,$D540,nrSK_Cat,$E540))</f>
        <v/>
      </c>
      <c r="O540" s="15">
        <f>IF($C540="","",_xlfn.LET(_xlpm.latest,_xlfn.MAXIFS(nrSK_Att,nrSK_PID,$D540,nrSK_Cat,$E540),_xlpm.res,IF($I540=_xlpm.latest,$J540,""),IF($I540&lt;&gt;_xlpm.latest,"(superseded)",IF(_xlpm.res="","Pending",IF(_xlpm.res="Pass","Qualified",IF(AND(_xlpm.res="Fail",$N540&gt;=$F540),"FAILED OUT","Needs Remediation"))))))</f>
        <v/>
      </c>
      <c r="P540" s="15">
        <f>IF($C540="","",IF($O540="FAILED OUT","Yes","No"))</f>
        <v/>
      </c>
      <c r="Q540" s="14" t="n"/>
    </row>
    <row r="541">
      <c r="B541" s="15">
        <f>IF($C541="","",$D541&amp;"-"&amp;$E541&amp;"-"&amp;$I541)</f>
        <v/>
      </c>
      <c r="C541" s="14" t="n"/>
      <c r="D541" s="15">
        <f>IF($C541="","",IFERROR(INDEX(rngCadetPIDs,MATCH($C541,rngCadetNames,0)),"?"))</f>
        <v/>
      </c>
      <c r="E541" s="14" t="n"/>
      <c r="F541" s="15">
        <f>IF($E541="","",IFERROR(INDEX(rngSM_max,MATCH($E541,rngSM_cat,0)),""))</f>
        <v/>
      </c>
      <c r="G541" s="15">
        <f>IF($E541="","",IFERROR(INDEX(rngSM_mode,MATCH($E541,rngSM_cat,0)),""))</f>
        <v/>
      </c>
      <c r="H541" s="15">
        <f>IF($E541="","",IFERROR(INDEX(rngSM_pass,MATCH($E541,rngSM_cat,0)),""))</f>
        <v/>
      </c>
      <c r="I541" s="14" t="n"/>
      <c r="J541" s="14" t="n"/>
      <c r="K541" s="14" t="n"/>
      <c r="L541" s="16" t="n"/>
      <c r="M541" s="14" t="n"/>
      <c r="N541" s="15">
        <f>IF($C541="","",COUNTIFS(nrSK_PID,$D541,nrSK_Cat,$E541))</f>
        <v/>
      </c>
      <c r="O541" s="15">
        <f>IF($C541="","",_xlfn.LET(_xlpm.latest,_xlfn.MAXIFS(nrSK_Att,nrSK_PID,$D541,nrSK_Cat,$E541),_xlpm.res,IF($I541=_xlpm.latest,$J541,""),IF($I541&lt;&gt;_xlpm.latest,"(superseded)",IF(_xlpm.res="","Pending",IF(_xlpm.res="Pass","Qualified",IF(AND(_xlpm.res="Fail",$N541&gt;=$F541),"FAILED OUT","Needs Remediation"))))))</f>
        <v/>
      </c>
      <c r="P541" s="15">
        <f>IF($C541="","",IF($O541="FAILED OUT","Yes","No"))</f>
        <v/>
      </c>
      <c r="Q541" s="14" t="n"/>
    </row>
    <row r="542">
      <c r="B542" s="15">
        <f>IF($C542="","",$D542&amp;"-"&amp;$E542&amp;"-"&amp;$I542)</f>
        <v/>
      </c>
      <c r="C542" s="14" t="n"/>
      <c r="D542" s="15">
        <f>IF($C542="","",IFERROR(INDEX(rngCadetPIDs,MATCH($C542,rngCadetNames,0)),"?"))</f>
        <v/>
      </c>
      <c r="E542" s="14" t="n"/>
      <c r="F542" s="15">
        <f>IF($E542="","",IFERROR(INDEX(rngSM_max,MATCH($E542,rngSM_cat,0)),""))</f>
        <v/>
      </c>
      <c r="G542" s="15">
        <f>IF($E542="","",IFERROR(INDEX(rngSM_mode,MATCH($E542,rngSM_cat,0)),""))</f>
        <v/>
      </c>
      <c r="H542" s="15">
        <f>IF($E542="","",IFERROR(INDEX(rngSM_pass,MATCH($E542,rngSM_cat,0)),""))</f>
        <v/>
      </c>
      <c r="I542" s="14" t="n"/>
      <c r="J542" s="14" t="n"/>
      <c r="K542" s="14" t="n"/>
      <c r="L542" s="16" t="n"/>
      <c r="M542" s="14" t="n"/>
      <c r="N542" s="15">
        <f>IF($C542="","",COUNTIFS(nrSK_PID,$D542,nrSK_Cat,$E542))</f>
        <v/>
      </c>
      <c r="O542" s="15">
        <f>IF($C542="","",_xlfn.LET(_xlpm.latest,_xlfn.MAXIFS(nrSK_Att,nrSK_PID,$D542,nrSK_Cat,$E542),_xlpm.res,IF($I542=_xlpm.latest,$J542,""),IF($I542&lt;&gt;_xlpm.latest,"(superseded)",IF(_xlpm.res="","Pending",IF(_xlpm.res="Pass","Qualified",IF(AND(_xlpm.res="Fail",$N542&gt;=$F542),"FAILED OUT","Needs Remediation"))))))</f>
        <v/>
      </c>
      <c r="P542" s="15">
        <f>IF($C542="","",IF($O542="FAILED OUT","Yes","No"))</f>
        <v/>
      </c>
      <c r="Q542" s="14" t="n"/>
    </row>
    <row r="543">
      <c r="B543" s="15">
        <f>IF($C543="","",$D543&amp;"-"&amp;$E543&amp;"-"&amp;$I543)</f>
        <v/>
      </c>
      <c r="C543" s="14" t="n"/>
      <c r="D543" s="15">
        <f>IF($C543="","",IFERROR(INDEX(rngCadetPIDs,MATCH($C543,rngCadetNames,0)),"?"))</f>
        <v/>
      </c>
      <c r="E543" s="14" t="n"/>
      <c r="F543" s="15">
        <f>IF($E543="","",IFERROR(INDEX(rngSM_max,MATCH($E543,rngSM_cat,0)),""))</f>
        <v/>
      </c>
      <c r="G543" s="15">
        <f>IF($E543="","",IFERROR(INDEX(rngSM_mode,MATCH($E543,rngSM_cat,0)),""))</f>
        <v/>
      </c>
      <c r="H543" s="15">
        <f>IF($E543="","",IFERROR(INDEX(rngSM_pass,MATCH($E543,rngSM_cat,0)),""))</f>
        <v/>
      </c>
      <c r="I543" s="14" t="n"/>
      <c r="J543" s="14" t="n"/>
      <c r="K543" s="14" t="n"/>
      <c r="L543" s="16" t="n"/>
      <c r="M543" s="14" t="n"/>
      <c r="N543" s="15">
        <f>IF($C543="","",COUNTIFS(nrSK_PID,$D543,nrSK_Cat,$E543))</f>
        <v/>
      </c>
      <c r="O543" s="15">
        <f>IF($C543="","",_xlfn.LET(_xlpm.latest,_xlfn.MAXIFS(nrSK_Att,nrSK_PID,$D543,nrSK_Cat,$E543),_xlpm.res,IF($I543=_xlpm.latest,$J543,""),IF($I543&lt;&gt;_xlpm.latest,"(superseded)",IF(_xlpm.res="","Pending",IF(_xlpm.res="Pass","Qualified",IF(AND(_xlpm.res="Fail",$N543&gt;=$F543),"FAILED OUT","Needs Remediation"))))))</f>
        <v/>
      </c>
      <c r="P543" s="15">
        <f>IF($C543="","",IF($O543="FAILED OUT","Yes","No"))</f>
        <v/>
      </c>
      <c r="Q543" s="14" t="n"/>
    </row>
    <row r="544">
      <c r="B544" s="15">
        <f>IF($C544="","",$D544&amp;"-"&amp;$E544&amp;"-"&amp;$I544)</f>
        <v/>
      </c>
      <c r="C544" s="14" t="n"/>
      <c r="D544" s="15">
        <f>IF($C544="","",IFERROR(INDEX(rngCadetPIDs,MATCH($C544,rngCadetNames,0)),"?"))</f>
        <v/>
      </c>
      <c r="E544" s="14" t="n"/>
      <c r="F544" s="15">
        <f>IF($E544="","",IFERROR(INDEX(rngSM_max,MATCH($E544,rngSM_cat,0)),""))</f>
        <v/>
      </c>
      <c r="G544" s="15">
        <f>IF($E544="","",IFERROR(INDEX(rngSM_mode,MATCH($E544,rngSM_cat,0)),""))</f>
        <v/>
      </c>
      <c r="H544" s="15">
        <f>IF($E544="","",IFERROR(INDEX(rngSM_pass,MATCH($E544,rngSM_cat,0)),""))</f>
        <v/>
      </c>
      <c r="I544" s="14" t="n"/>
      <c r="J544" s="14" t="n"/>
      <c r="K544" s="14" t="n"/>
      <c r="L544" s="16" t="n"/>
      <c r="M544" s="14" t="n"/>
      <c r="N544" s="15">
        <f>IF($C544="","",COUNTIFS(nrSK_PID,$D544,nrSK_Cat,$E544))</f>
        <v/>
      </c>
      <c r="O544" s="15">
        <f>IF($C544="","",_xlfn.LET(_xlpm.latest,_xlfn.MAXIFS(nrSK_Att,nrSK_PID,$D544,nrSK_Cat,$E544),_xlpm.res,IF($I544=_xlpm.latest,$J544,""),IF($I544&lt;&gt;_xlpm.latest,"(superseded)",IF(_xlpm.res="","Pending",IF(_xlpm.res="Pass","Qualified",IF(AND(_xlpm.res="Fail",$N544&gt;=$F544),"FAILED OUT","Needs Remediation"))))))</f>
        <v/>
      </c>
      <c r="P544" s="15">
        <f>IF($C544="","",IF($O544="FAILED OUT","Yes","No"))</f>
        <v/>
      </c>
      <c r="Q544" s="14" t="n"/>
    </row>
    <row r="545">
      <c r="B545" s="15">
        <f>IF($C545="","",$D545&amp;"-"&amp;$E545&amp;"-"&amp;$I545)</f>
        <v/>
      </c>
      <c r="C545" s="14" t="n"/>
      <c r="D545" s="15">
        <f>IF($C545="","",IFERROR(INDEX(rngCadetPIDs,MATCH($C545,rngCadetNames,0)),"?"))</f>
        <v/>
      </c>
      <c r="E545" s="14" t="n"/>
      <c r="F545" s="15">
        <f>IF($E545="","",IFERROR(INDEX(rngSM_max,MATCH($E545,rngSM_cat,0)),""))</f>
        <v/>
      </c>
      <c r="G545" s="15">
        <f>IF($E545="","",IFERROR(INDEX(rngSM_mode,MATCH($E545,rngSM_cat,0)),""))</f>
        <v/>
      </c>
      <c r="H545" s="15">
        <f>IF($E545="","",IFERROR(INDEX(rngSM_pass,MATCH($E545,rngSM_cat,0)),""))</f>
        <v/>
      </c>
      <c r="I545" s="14" t="n"/>
      <c r="J545" s="14" t="n"/>
      <c r="K545" s="14" t="n"/>
      <c r="L545" s="16" t="n"/>
      <c r="M545" s="14" t="n"/>
      <c r="N545" s="15">
        <f>IF($C545="","",COUNTIFS(nrSK_PID,$D545,nrSK_Cat,$E545))</f>
        <v/>
      </c>
      <c r="O545" s="15">
        <f>IF($C545="","",_xlfn.LET(_xlpm.latest,_xlfn.MAXIFS(nrSK_Att,nrSK_PID,$D545,nrSK_Cat,$E545),_xlpm.res,IF($I545=_xlpm.latest,$J545,""),IF($I545&lt;&gt;_xlpm.latest,"(superseded)",IF(_xlpm.res="","Pending",IF(_xlpm.res="Pass","Qualified",IF(AND(_xlpm.res="Fail",$N545&gt;=$F545),"FAILED OUT","Needs Remediation"))))))</f>
        <v/>
      </c>
      <c r="P545" s="15">
        <f>IF($C545="","",IF($O545="FAILED OUT","Yes","No"))</f>
        <v/>
      </c>
      <c r="Q545" s="14" t="n"/>
    </row>
    <row r="546">
      <c r="B546" s="15">
        <f>IF($C546="","",$D546&amp;"-"&amp;$E546&amp;"-"&amp;$I546)</f>
        <v/>
      </c>
      <c r="C546" s="14" t="n"/>
      <c r="D546" s="15">
        <f>IF($C546="","",IFERROR(INDEX(rngCadetPIDs,MATCH($C546,rngCadetNames,0)),"?"))</f>
        <v/>
      </c>
      <c r="E546" s="14" t="n"/>
      <c r="F546" s="15">
        <f>IF($E546="","",IFERROR(INDEX(rngSM_max,MATCH($E546,rngSM_cat,0)),""))</f>
        <v/>
      </c>
      <c r="G546" s="15">
        <f>IF($E546="","",IFERROR(INDEX(rngSM_mode,MATCH($E546,rngSM_cat,0)),""))</f>
        <v/>
      </c>
      <c r="H546" s="15">
        <f>IF($E546="","",IFERROR(INDEX(rngSM_pass,MATCH($E546,rngSM_cat,0)),""))</f>
        <v/>
      </c>
      <c r="I546" s="14" t="n"/>
      <c r="J546" s="14" t="n"/>
      <c r="K546" s="14" t="n"/>
      <c r="L546" s="16" t="n"/>
      <c r="M546" s="14" t="n"/>
      <c r="N546" s="15">
        <f>IF($C546="","",COUNTIFS(nrSK_PID,$D546,nrSK_Cat,$E546))</f>
        <v/>
      </c>
      <c r="O546" s="15">
        <f>IF($C546="","",_xlfn.LET(_xlpm.latest,_xlfn.MAXIFS(nrSK_Att,nrSK_PID,$D546,nrSK_Cat,$E546),_xlpm.res,IF($I546=_xlpm.latest,$J546,""),IF($I546&lt;&gt;_xlpm.latest,"(superseded)",IF(_xlpm.res="","Pending",IF(_xlpm.res="Pass","Qualified",IF(AND(_xlpm.res="Fail",$N546&gt;=$F546),"FAILED OUT","Needs Remediation"))))))</f>
        <v/>
      </c>
      <c r="P546" s="15">
        <f>IF($C546="","",IF($O546="FAILED OUT","Yes","No"))</f>
        <v/>
      </c>
      <c r="Q546" s="14" t="n"/>
    </row>
    <row r="547">
      <c r="B547" s="15">
        <f>IF($C547="","",$D547&amp;"-"&amp;$E547&amp;"-"&amp;$I547)</f>
        <v/>
      </c>
      <c r="C547" s="14" t="n"/>
      <c r="D547" s="15">
        <f>IF($C547="","",IFERROR(INDEX(rngCadetPIDs,MATCH($C547,rngCadetNames,0)),"?"))</f>
        <v/>
      </c>
      <c r="E547" s="14" t="n"/>
      <c r="F547" s="15">
        <f>IF($E547="","",IFERROR(INDEX(rngSM_max,MATCH($E547,rngSM_cat,0)),""))</f>
        <v/>
      </c>
      <c r="G547" s="15">
        <f>IF($E547="","",IFERROR(INDEX(rngSM_mode,MATCH($E547,rngSM_cat,0)),""))</f>
        <v/>
      </c>
      <c r="H547" s="15">
        <f>IF($E547="","",IFERROR(INDEX(rngSM_pass,MATCH($E547,rngSM_cat,0)),""))</f>
        <v/>
      </c>
      <c r="I547" s="14" t="n"/>
      <c r="J547" s="14" t="n"/>
      <c r="K547" s="14" t="n"/>
      <c r="L547" s="16" t="n"/>
      <c r="M547" s="14" t="n"/>
      <c r="N547" s="15">
        <f>IF($C547="","",COUNTIFS(nrSK_PID,$D547,nrSK_Cat,$E547))</f>
        <v/>
      </c>
      <c r="O547" s="15">
        <f>IF($C547="","",_xlfn.LET(_xlpm.latest,_xlfn.MAXIFS(nrSK_Att,nrSK_PID,$D547,nrSK_Cat,$E547),_xlpm.res,IF($I547=_xlpm.latest,$J547,""),IF($I547&lt;&gt;_xlpm.latest,"(superseded)",IF(_xlpm.res="","Pending",IF(_xlpm.res="Pass","Qualified",IF(AND(_xlpm.res="Fail",$N547&gt;=$F547),"FAILED OUT","Needs Remediation"))))))</f>
        <v/>
      </c>
      <c r="P547" s="15">
        <f>IF($C547="","",IF($O547="FAILED OUT","Yes","No"))</f>
        <v/>
      </c>
      <c r="Q547" s="14" t="n"/>
    </row>
    <row r="548">
      <c r="B548" s="15">
        <f>IF($C548="","",$D548&amp;"-"&amp;$E548&amp;"-"&amp;$I548)</f>
        <v/>
      </c>
      <c r="C548" s="14" t="n"/>
      <c r="D548" s="15">
        <f>IF($C548="","",IFERROR(INDEX(rngCadetPIDs,MATCH($C548,rngCadetNames,0)),"?"))</f>
        <v/>
      </c>
      <c r="E548" s="14" t="n"/>
      <c r="F548" s="15">
        <f>IF($E548="","",IFERROR(INDEX(rngSM_max,MATCH($E548,rngSM_cat,0)),""))</f>
        <v/>
      </c>
      <c r="G548" s="15">
        <f>IF($E548="","",IFERROR(INDEX(rngSM_mode,MATCH($E548,rngSM_cat,0)),""))</f>
        <v/>
      </c>
      <c r="H548" s="15">
        <f>IF($E548="","",IFERROR(INDEX(rngSM_pass,MATCH($E548,rngSM_cat,0)),""))</f>
        <v/>
      </c>
      <c r="I548" s="14" t="n"/>
      <c r="J548" s="14" t="n"/>
      <c r="K548" s="14" t="n"/>
      <c r="L548" s="16" t="n"/>
      <c r="M548" s="14" t="n"/>
      <c r="N548" s="15">
        <f>IF($C548="","",COUNTIFS(nrSK_PID,$D548,nrSK_Cat,$E548))</f>
        <v/>
      </c>
      <c r="O548" s="15">
        <f>IF($C548="","",_xlfn.LET(_xlpm.latest,_xlfn.MAXIFS(nrSK_Att,nrSK_PID,$D548,nrSK_Cat,$E548),_xlpm.res,IF($I548=_xlpm.latest,$J548,""),IF($I548&lt;&gt;_xlpm.latest,"(superseded)",IF(_xlpm.res="","Pending",IF(_xlpm.res="Pass","Qualified",IF(AND(_xlpm.res="Fail",$N548&gt;=$F548),"FAILED OUT","Needs Remediation"))))))</f>
        <v/>
      </c>
      <c r="P548" s="15">
        <f>IF($C548="","",IF($O548="FAILED OUT","Yes","No"))</f>
        <v/>
      </c>
      <c r="Q548" s="14" t="n"/>
    </row>
    <row r="549">
      <c r="B549" s="15">
        <f>IF($C549="","",$D549&amp;"-"&amp;$E549&amp;"-"&amp;$I549)</f>
        <v/>
      </c>
      <c r="C549" s="14" t="n"/>
      <c r="D549" s="15">
        <f>IF($C549="","",IFERROR(INDEX(rngCadetPIDs,MATCH($C549,rngCadetNames,0)),"?"))</f>
        <v/>
      </c>
      <c r="E549" s="14" t="n"/>
      <c r="F549" s="15">
        <f>IF($E549="","",IFERROR(INDEX(rngSM_max,MATCH($E549,rngSM_cat,0)),""))</f>
        <v/>
      </c>
      <c r="G549" s="15">
        <f>IF($E549="","",IFERROR(INDEX(rngSM_mode,MATCH($E549,rngSM_cat,0)),""))</f>
        <v/>
      </c>
      <c r="H549" s="15">
        <f>IF($E549="","",IFERROR(INDEX(rngSM_pass,MATCH($E549,rngSM_cat,0)),""))</f>
        <v/>
      </c>
      <c r="I549" s="14" t="n"/>
      <c r="J549" s="14" t="n"/>
      <c r="K549" s="14" t="n"/>
      <c r="L549" s="16" t="n"/>
      <c r="M549" s="14" t="n"/>
      <c r="N549" s="15">
        <f>IF($C549="","",COUNTIFS(nrSK_PID,$D549,nrSK_Cat,$E549))</f>
        <v/>
      </c>
      <c r="O549" s="15">
        <f>IF($C549="","",_xlfn.LET(_xlpm.latest,_xlfn.MAXIFS(nrSK_Att,nrSK_PID,$D549,nrSK_Cat,$E549),_xlpm.res,IF($I549=_xlpm.latest,$J549,""),IF($I549&lt;&gt;_xlpm.latest,"(superseded)",IF(_xlpm.res="","Pending",IF(_xlpm.res="Pass","Qualified",IF(AND(_xlpm.res="Fail",$N549&gt;=$F549),"FAILED OUT","Needs Remediation"))))))</f>
        <v/>
      </c>
      <c r="P549" s="15">
        <f>IF($C549="","",IF($O549="FAILED OUT","Yes","No"))</f>
        <v/>
      </c>
      <c r="Q549" s="14" t="n"/>
    </row>
    <row r="550">
      <c r="B550" s="15">
        <f>IF($C550="","",$D550&amp;"-"&amp;$E550&amp;"-"&amp;$I550)</f>
        <v/>
      </c>
      <c r="C550" s="14" t="n"/>
      <c r="D550" s="15">
        <f>IF($C550="","",IFERROR(INDEX(rngCadetPIDs,MATCH($C550,rngCadetNames,0)),"?"))</f>
        <v/>
      </c>
      <c r="E550" s="14" t="n"/>
      <c r="F550" s="15">
        <f>IF($E550="","",IFERROR(INDEX(rngSM_max,MATCH($E550,rngSM_cat,0)),""))</f>
        <v/>
      </c>
      <c r="G550" s="15">
        <f>IF($E550="","",IFERROR(INDEX(rngSM_mode,MATCH($E550,rngSM_cat,0)),""))</f>
        <v/>
      </c>
      <c r="H550" s="15">
        <f>IF($E550="","",IFERROR(INDEX(rngSM_pass,MATCH($E550,rngSM_cat,0)),""))</f>
        <v/>
      </c>
      <c r="I550" s="14" t="n"/>
      <c r="J550" s="14" t="n"/>
      <c r="K550" s="14" t="n"/>
      <c r="L550" s="16" t="n"/>
      <c r="M550" s="14" t="n"/>
      <c r="N550" s="15">
        <f>IF($C550="","",COUNTIFS(nrSK_PID,$D550,nrSK_Cat,$E550))</f>
        <v/>
      </c>
      <c r="O550" s="15">
        <f>IF($C550="","",_xlfn.LET(_xlpm.latest,_xlfn.MAXIFS(nrSK_Att,nrSK_PID,$D550,nrSK_Cat,$E550),_xlpm.res,IF($I550=_xlpm.latest,$J550,""),IF($I550&lt;&gt;_xlpm.latest,"(superseded)",IF(_xlpm.res="","Pending",IF(_xlpm.res="Pass","Qualified",IF(AND(_xlpm.res="Fail",$N550&gt;=$F550),"FAILED OUT","Needs Remediation"))))))</f>
        <v/>
      </c>
      <c r="P550" s="15">
        <f>IF($C550="","",IF($O550="FAILED OUT","Yes","No"))</f>
        <v/>
      </c>
      <c r="Q550" s="14" t="n"/>
    </row>
    <row r="551">
      <c r="B551" s="15">
        <f>IF($C551="","",$D551&amp;"-"&amp;$E551&amp;"-"&amp;$I551)</f>
        <v/>
      </c>
      <c r="C551" s="14" t="n"/>
      <c r="D551" s="15">
        <f>IF($C551="","",IFERROR(INDEX(rngCadetPIDs,MATCH($C551,rngCadetNames,0)),"?"))</f>
        <v/>
      </c>
      <c r="E551" s="14" t="n"/>
      <c r="F551" s="15">
        <f>IF($E551="","",IFERROR(INDEX(rngSM_max,MATCH($E551,rngSM_cat,0)),""))</f>
        <v/>
      </c>
      <c r="G551" s="15">
        <f>IF($E551="","",IFERROR(INDEX(rngSM_mode,MATCH($E551,rngSM_cat,0)),""))</f>
        <v/>
      </c>
      <c r="H551" s="15">
        <f>IF($E551="","",IFERROR(INDEX(rngSM_pass,MATCH($E551,rngSM_cat,0)),""))</f>
        <v/>
      </c>
      <c r="I551" s="14" t="n"/>
      <c r="J551" s="14" t="n"/>
      <c r="K551" s="14" t="n"/>
      <c r="L551" s="16" t="n"/>
      <c r="M551" s="14" t="n"/>
      <c r="N551" s="15">
        <f>IF($C551="","",COUNTIFS(nrSK_PID,$D551,nrSK_Cat,$E551))</f>
        <v/>
      </c>
      <c r="O551" s="15">
        <f>IF($C551="","",_xlfn.LET(_xlpm.latest,_xlfn.MAXIFS(nrSK_Att,nrSK_PID,$D551,nrSK_Cat,$E551),_xlpm.res,IF($I551=_xlpm.latest,$J551,""),IF($I551&lt;&gt;_xlpm.latest,"(superseded)",IF(_xlpm.res="","Pending",IF(_xlpm.res="Pass","Qualified",IF(AND(_xlpm.res="Fail",$N551&gt;=$F551),"FAILED OUT","Needs Remediation"))))))</f>
        <v/>
      </c>
      <c r="P551" s="15">
        <f>IF($C551="","",IF($O551="FAILED OUT","Yes","No"))</f>
        <v/>
      </c>
      <c r="Q551" s="14" t="n"/>
    </row>
    <row r="552">
      <c r="B552" s="15">
        <f>IF($C552="","",$D552&amp;"-"&amp;$E552&amp;"-"&amp;$I552)</f>
        <v/>
      </c>
      <c r="C552" s="14" t="n"/>
      <c r="D552" s="15">
        <f>IF($C552="","",IFERROR(INDEX(rngCadetPIDs,MATCH($C552,rngCadetNames,0)),"?"))</f>
        <v/>
      </c>
      <c r="E552" s="14" t="n"/>
      <c r="F552" s="15">
        <f>IF($E552="","",IFERROR(INDEX(rngSM_max,MATCH($E552,rngSM_cat,0)),""))</f>
        <v/>
      </c>
      <c r="G552" s="15">
        <f>IF($E552="","",IFERROR(INDEX(rngSM_mode,MATCH($E552,rngSM_cat,0)),""))</f>
        <v/>
      </c>
      <c r="H552" s="15">
        <f>IF($E552="","",IFERROR(INDEX(rngSM_pass,MATCH($E552,rngSM_cat,0)),""))</f>
        <v/>
      </c>
      <c r="I552" s="14" t="n"/>
      <c r="J552" s="14" t="n"/>
      <c r="K552" s="14" t="n"/>
      <c r="L552" s="16" t="n"/>
      <c r="M552" s="14" t="n"/>
      <c r="N552" s="15">
        <f>IF($C552="","",COUNTIFS(nrSK_PID,$D552,nrSK_Cat,$E552))</f>
        <v/>
      </c>
      <c r="O552" s="15">
        <f>IF($C552="","",_xlfn.LET(_xlpm.latest,_xlfn.MAXIFS(nrSK_Att,nrSK_PID,$D552,nrSK_Cat,$E552),_xlpm.res,IF($I552=_xlpm.latest,$J552,""),IF($I552&lt;&gt;_xlpm.latest,"(superseded)",IF(_xlpm.res="","Pending",IF(_xlpm.res="Pass","Qualified",IF(AND(_xlpm.res="Fail",$N552&gt;=$F552),"FAILED OUT","Needs Remediation"))))))</f>
        <v/>
      </c>
      <c r="P552" s="15">
        <f>IF($C552="","",IF($O552="FAILED OUT","Yes","No"))</f>
        <v/>
      </c>
      <c r="Q552" s="14" t="n"/>
    </row>
    <row r="553">
      <c r="B553" s="15">
        <f>IF($C553="","",$D553&amp;"-"&amp;$E553&amp;"-"&amp;$I553)</f>
        <v/>
      </c>
      <c r="C553" s="14" t="n"/>
      <c r="D553" s="15">
        <f>IF($C553="","",IFERROR(INDEX(rngCadetPIDs,MATCH($C553,rngCadetNames,0)),"?"))</f>
        <v/>
      </c>
      <c r="E553" s="14" t="n"/>
      <c r="F553" s="15">
        <f>IF($E553="","",IFERROR(INDEX(rngSM_max,MATCH($E553,rngSM_cat,0)),""))</f>
        <v/>
      </c>
      <c r="G553" s="15">
        <f>IF($E553="","",IFERROR(INDEX(rngSM_mode,MATCH($E553,rngSM_cat,0)),""))</f>
        <v/>
      </c>
      <c r="H553" s="15">
        <f>IF($E553="","",IFERROR(INDEX(rngSM_pass,MATCH($E553,rngSM_cat,0)),""))</f>
        <v/>
      </c>
      <c r="I553" s="14" t="n"/>
      <c r="J553" s="14" t="n"/>
      <c r="K553" s="14" t="n"/>
      <c r="L553" s="16" t="n"/>
      <c r="M553" s="14" t="n"/>
      <c r="N553" s="15">
        <f>IF($C553="","",COUNTIFS(nrSK_PID,$D553,nrSK_Cat,$E553))</f>
        <v/>
      </c>
      <c r="O553" s="15">
        <f>IF($C553="","",_xlfn.LET(_xlpm.latest,_xlfn.MAXIFS(nrSK_Att,nrSK_PID,$D553,nrSK_Cat,$E553),_xlpm.res,IF($I553=_xlpm.latest,$J553,""),IF($I553&lt;&gt;_xlpm.latest,"(superseded)",IF(_xlpm.res="","Pending",IF(_xlpm.res="Pass","Qualified",IF(AND(_xlpm.res="Fail",$N553&gt;=$F553),"FAILED OUT","Needs Remediation"))))))</f>
        <v/>
      </c>
      <c r="P553" s="15">
        <f>IF($C553="","",IF($O553="FAILED OUT","Yes","No"))</f>
        <v/>
      </c>
      <c r="Q553" s="14" t="n"/>
    </row>
    <row r="554">
      <c r="B554" s="15">
        <f>IF($C554="","",$D554&amp;"-"&amp;$E554&amp;"-"&amp;$I554)</f>
        <v/>
      </c>
      <c r="C554" s="14" t="n"/>
      <c r="D554" s="15">
        <f>IF($C554="","",IFERROR(INDEX(rngCadetPIDs,MATCH($C554,rngCadetNames,0)),"?"))</f>
        <v/>
      </c>
      <c r="E554" s="14" t="n"/>
      <c r="F554" s="15">
        <f>IF($E554="","",IFERROR(INDEX(rngSM_max,MATCH($E554,rngSM_cat,0)),""))</f>
        <v/>
      </c>
      <c r="G554" s="15">
        <f>IF($E554="","",IFERROR(INDEX(rngSM_mode,MATCH($E554,rngSM_cat,0)),""))</f>
        <v/>
      </c>
      <c r="H554" s="15">
        <f>IF($E554="","",IFERROR(INDEX(rngSM_pass,MATCH($E554,rngSM_cat,0)),""))</f>
        <v/>
      </c>
      <c r="I554" s="14" t="n"/>
      <c r="J554" s="14" t="n"/>
      <c r="K554" s="14" t="n"/>
      <c r="L554" s="16" t="n"/>
      <c r="M554" s="14" t="n"/>
      <c r="N554" s="15">
        <f>IF($C554="","",COUNTIFS(nrSK_PID,$D554,nrSK_Cat,$E554))</f>
        <v/>
      </c>
      <c r="O554" s="15">
        <f>IF($C554="","",_xlfn.LET(_xlpm.latest,_xlfn.MAXIFS(nrSK_Att,nrSK_PID,$D554,nrSK_Cat,$E554),_xlpm.res,IF($I554=_xlpm.latest,$J554,""),IF($I554&lt;&gt;_xlpm.latest,"(superseded)",IF(_xlpm.res="","Pending",IF(_xlpm.res="Pass","Qualified",IF(AND(_xlpm.res="Fail",$N554&gt;=$F554),"FAILED OUT","Needs Remediation"))))))</f>
        <v/>
      </c>
      <c r="P554" s="15">
        <f>IF($C554="","",IF($O554="FAILED OUT","Yes","No"))</f>
        <v/>
      </c>
      <c r="Q554" s="14" t="n"/>
    </row>
    <row r="555">
      <c r="B555" s="15">
        <f>IF($C555="","",$D555&amp;"-"&amp;$E555&amp;"-"&amp;$I555)</f>
        <v/>
      </c>
      <c r="C555" s="14" t="n"/>
      <c r="D555" s="15">
        <f>IF($C555="","",IFERROR(INDEX(rngCadetPIDs,MATCH($C555,rngCadetNames,0)),"?"))</f>
        <v/>
      </c>
      <c r="E555" s="14" t="n"/>
      <c r="F555" s="15">
        <f>IF($E555="","",IFERROR(INDEX(rngSM_max,MATCH($E555,rngSM_cat,0)),""))</f>
        <v/>
      </c>
      <c r="G555" s="15">
        <f>IF($E555="","",IFERROR(INDEX(rngSM_mode,MATCH($E555,rngSM_cat,0)),""))</f>
        <v/>
      </c>
      <c r="H555" s="15">
        <f>IF($E555="","",IFERROR(INDEX(rngSM_pass,MATCH($E555,rngSM_cat,0)),""))</f>
        <v/>
      </c>
      <c r="I555" s="14" t="n"/>
      <c r="J555" s="14" t="n"/>
      <c r="K555" s="14" t="n"/>
      <c r="L555" s="16" t="n"/>
      <c r="M555" s="14" t="n"/>
      <c r="N555" s="15">
        <f>IF($C555="","",COUNTIFS(nrSK_PID,$D555,nrSK_Cat,$E555))</f>
        <v/>
      </c>
      <c r="O555" s="15">
        <f>IF($C555="","",_xlfn.LET(_xlpm.latest,_xlfn.MAXIFS(nrSK_Att,nrSK_PID,$D555,nrSK_Cat,$E555),_xlpm.res,IF($I555=_xlpm.latest,$J555,""),IF($I555&lt;&gt;_xlpm.latest,"(superseded)",IF(_xlpm.res="","Pending",IF(_xlpm.res="Pass","Qualified",IF(AND(_xlpm.res="Fail",$N555&gt;=$F555),"FAILED OUT","Needs Remediation"))))))</f>
        <v/>
      </c>
      <c r="P555" s="15">
        <f>IF($C555="","",IF($O555="FAILED OUT","Yes","No"))</f>
        <v/>
      </c>
      <c r="Q555" s="14" t="n"/>
    </row>
    <row r="556">
      <c r="B556" s="15">
        <f>IF($C556="","",$D556&amp;"-"&amp;$E556&amp;"-"&amp;$I556)</f>
        <v/>
      </c>
      <c r="C556" s="14" t="n"/>
      <c r="D556" s="15">
        <f>IF($C556="","",IFERROR(INDEX(rngCadetPIDs,MATCH($C556,rngCadetNames,0)),"?"))</f>
        <v/>
      </c>
      <c r="E556" s="14" t="n"/>
      <c r="F556" s="15">
        <f>IF($E556="","",IFERROR(INDEX(rngSM_max,MATCH($E556,rngSM_cat,0)),""))</f>
        <v/>
      </c>
      <c r="G556" s="15">
        <f>IF($E556="","",IFERROR(INDEX(rngSM_mode,MATCH($E556,rngSM_cat,0)),""))</f>
        <v/>
      </c>
      <c r="H556" s="15">
        <f>IF($E556="","",IFERROR(INDEX(rngSM_pass,MATCH($E556,rngSM_cat,0)),""))</f>
        <v/>
      </c>
      <c r="I556" s="14" t="n"/>
      <c r="J556" s="14" t="n"/>
      <c r="K556" s="14" t="n"/>
      <c r="L556" s="16" t="n"/>
      <c r="M556" s="14" t="n"/>
      <c r="N556" s="15">
        <f>IF($C556="","",COUNTIFS(nrSK_PID,$D556,nrSK_Cat,$E556))</f>
        <v/>
      </c>
      <c r="O556" s="15">
        <f>IF($C556="","",_xlfn.LET(_xlpm.latest,_xlfn.MAXIFS(nrSK_Att,nrSK_PID,$D556,nrSK_Cat,$E556),_xlpm.res,IF($I556=_xlpm.latest,$J556,""),IF($I556&lt;&gt;_xlpm.latest,"(superseded)",IF(_xlpm.res="","Pending",IF(_xlpm.res="Pass","Qualified",IF(AND(_xlpm.res="Fail",$N556&gt;=$F556),"FAILED OUT","Needs Remediation"))))))</f>
        <v/>
      </c>
      <c r="P556" s="15">
        <f>IF($C556="","",IF($O556="FAILED OUT","Yes","No"))</f>
        <v/>
      </c>
      <c r="Q556" s="14" t="n"/>
    </row>
    <row r="557">
      <c r="B557" s="15">
        <f>IF($C557="","",$D557&amp;"-"&amp;$E557&amp;"-"&amp;$I557)</f>
        <v/>
      </c>
      <c r="C557" s="14" t="n"/>
      <c r="D557" s="15">
        <f>IF($C557="","",IFERROR(INDEX(rngCadetPIDs,MATCH($C557,rngCadetNames,0)),"?"))</f>
        <v/>
      </c>
      <c r="E557" s="14" t="n"/>
      <c r="F557" s="15">
        <f>IF($E557="","",IFERROR(INDEX(rngSM_max,MATCH($E557,rngSM_cat,0)),""))</f>
        <v/>
      </c>
      <c r="G557" s="15">
        <f>IF($E557="","",IFERROR(INDEX(rngSM_mode,MATCH($E557,rngSM_cat,0)),""))</f>
        <v/>
      </c>
      <c r="H557" s="15">
        <f>IF($E557="","",IFERROR(INDEX(rngSM_pass,MATCH($E557,rngSM_cat,0)),""))</f>
        <v/>
      </c>
      <c r="I557" s="14" t="n"/>
      <c r="J557" s="14" t="n"/>
      <c r="K557" s="14" t="n"/>
      <c r="L557" s="16" t="n"/>
      <c r="M557" s="14" t="n"/>
      <c r="N557" s="15">
        <f>IF($C557="","",COUNTIFS(nrSK_PID,$D557,nrSK_Cat,$E557))</f>
        <v/>
      </c>
      <c r="O557" s="15">
        <f>IF($C557="","",_xlfn.LET(_xlpm.latest,_xlfn.MAXIFS(nrSK_Att,nrSK_PID,$D557,nrSK_Cat,$E557),_xlpm.res,IF($I557=_xlpm.latest,$J557,""),IF($I557&lt;&gt;_xlpm.latest,"(superseded)",IF(_xlpm.res="","Pending",IF(_xlpm.res="Pass","Qualified",IF(AND(_xlpm.res="Fail",$N557&gt;=$F557),"FAILED OUT","Needs Remediation"))))))</f>
        <v/>
      </c>
      <c r="P557" s="15">
        <f>IF($C557="","",IF($O557="FAILED OUT","Yes","No"))</f>
        <v/>
      </c>
      <c r="Q557" s="14" t="n"/>
    </row>
    <row r="558">
      <c r="B558" s="15">
        <f>IF($C558="","",$D558&amp;"-"&amp;$E558&amp;"-"&amp;$I558)</f>
        <v/>
      </c>
      <c r="C558" s="14" t="n"/>
      <c r="D558" s="15">
        <f>IF($C558="","",IFERROR(INDEX(rngCadetPIDs,MATCH($C558,rngCadetNames,0)),"?"))</f>
        <v/>
      </c>
      <c r="E558" s="14" t="n"/>
      <c r="F558" s="15">
        <f>IF($E558="","",IFERROR(INDEX(rngSM_max,MATCH($E558,rngSM_cat,0)),""))</f>
        <v/>
      </c>
      <c r="G558" s="15">
        <f>IF($E558="","",IFERROR(INDEX(rngSM_mode,MATCH($E558,rngSM_cat,0)),""))</f>
        <v/>
      </c>
      <c r="H558" s="15">
        <f>IF($E558="","",IFERROR(INDEX(rngSM_pass,MATCH($E558,rngSM_cat,0)),""))</f>
        <v/>
      </c>
      <c r="I558" s="14" t="n"/>
      <c r="J558" s="14" t="n"/>
      <c r="K558" s="14" t="n"/>
      <c r="L558" s="16" t="n"/>
      <c r="M558" s="14" t="n"/>
      <c r="N558" s="15">
        <f>IF($C558="","",COUNTIFS(nrSK_PID,$D558,nrSK_Cat,$E558))</f>
        <v/>
      </c>
      <c r="O558" s="15">
        <f>IF($C558="","",_xlfn.LET(_xlpm.latest,_xlfn.MAXIFS(nrSK_Att,nrSK_PID,$D558,nrSK_Cat,$E558),_xlpm.res,IF($I558=_xlpm.latest,$J558,""),IF($I558&lt;&gt;_xlpm.latest,"(superseded)",IF(_xlpm.res="","Pending",IF(_xlpm.res="Pass","Qualified",IF(AND(_xlpm.res="Fail",$N558&gt;=$F558),"FAILED OUT","Needs Remediation"))))))</f>
        <v/>
      </c>
      <c r="P558" s="15">
        <f>IF($C558="","",IF($O558="FAILED OUT","Yes","No"))</f>
        <v/>
      </c>
      <c r="Q558" s="14" t="n"/>
    </row>
    <row r="559">
      <c r="B559" s="15">
        <f>IF($C559="","",$D559&amp;"-"&amp;$E559&amp;"-"&amp;$I559)</f>
        <v/>
      </c>
      <c r="C559" s="14" t="n"/>
      <c r="D559" s="15">
        <f>IF($C559="","",IFERROR(INDEX(rngCadetPIDs,MATCH($C559,rngCadetNames,0)),"?"))</f>
        <v/>
      </c>
      <c r="E559" s="14" t="n"/>
      <c r="F559" s="15">
        <f>IF($E559="","",IFERROR(INDEX(rngSM_max,MATCH($E559,rngSM_cat,0)),""))</f>
        <v/>
      </c>
      <c r="G559" s="15">
        <f>IF($E559="","",IFERROR(INDEX(rngSM_mode,MATCH($E559,rngSM_cat,0)),""))</f>
        <v/>
      </c>
      <c r="H559" s="15">
        <f>IF($E559="","",IFERROR(INDEX(rngSM_pass,MATCH($E559,rngSM_cat,0)),""))</f>
        <v/>
      </c>
      <c r="I559" s="14" t="n"/>
      <c r="J559" s="14" t="n"/>
      <c r="K559" s="14" t="n"/>
      <c r="L559" s="16" t="n"/>
      <c r="M559" s="14" t="n"/>
      <c r="N559" s="15">
        <f>IF($C559="","",COUNTIFS(nrSK_PID,$D559,nrSK_Cat,$E559))</f>
        <v/>
      </c>
      <c r="O559" s="15">
        <f>IF($C559="","",_xlfn.LET(_xlpm.latest,_xlfn.MAXIFS(nrSK_Att,nrSK_PID,$D559,nrSK_Cat,$E559),_xlpm.res,IF($I559=_xlpm.latest,$J559,""),IF($I559&lt;&gt;_xlpm.latest,"(superseded)",IF(_xlpm.res="","Pending",IF(_xlpm.res="Pass","Qualified",IF(AND(_xlpm.res="Fail",$N559&gt;=$F559),"FAILED OUT","Needs Remediation"))))))</f>
        <v/>
      </c>
      <c r="P559" s="15">
        <f>IF($C559="","",IF($O559="FAILED OUT","Yes","No"))</f>
        <v/>
      </c>
      <c r="Q559" s="14" t="n"/>
    </row>
    <row r="560">
      <c r="B560" s="15">
        <f>IF($C560="","",$D560&amp;"-"&amp;$E560&amp;"-"&amp;$I560)</f>
        <v/>
      </c>
      <c r="C560" s="14" t="n"/>
      <c r="D560" s="15">
        <f>IF($C560="","",IFERROR(INDEX(rngCadetPIDs,MATCH($C560,rngCadetNames,0)),"?"))</f>
        <v/>
      </c>
      <c r="E560" s="14" t="n"/>
      <c r="F560" s="15">
        <f>IF($E560="","",IFERROR(INDEX(rngSM_max,MATCH($E560,rngSM_cat,0)),""))</f>
        <v/>
      </c>
      <c r="G560" s="15">
        <f>IF($E560="","",IFERROR(INDEX(rngSM_mode,MATCH($E560,rngSM_cat,0)),""))</f>
        <v/>
      </c>
      <c r="H560" s="15">
        <f>IF($E560="","",IFERROR(INDEX(rngSM_pass,MATCH($E560,rngSM_cat,0)),""))</f>
        <v/>
      </c>
      <c r="I560" s="14" t="n"/>
      <c r="J560" s="14" t="n"/>
      <c r="K560" s="14" t="n"/>
      <c r="L560" s="16" t="n"/>
      <c r="M560" s="14" t="n"/>
      <c r="N560" s="15">
        <f>IF($C560="","",COUNTIFS(nrSK_PID,$D560,nrSK_Cat,$E560))</f>
        <v/>
      </c>
      <c r="O560" s="15">
        <f>IF($C560="","",_xlfn.LET(_xlpm.latest,_xlfn.MAXIFS(nrSK_Att,nrSK_PID,$D560,nrSK_Cat,$E560),_xlpm.res,IF($I560=_xlpm.latest,$J560,""),IF($I560&lt;&gt;_xlpm.latest,"(superseded)",IF(_xlpm.res="","Pending",IF(_xlpm.res="Pass","Qualified",IF(AND(_xlpm.res="Fail",$N560&gt;=$F560),"FAILED OUT","Needs Remediation"))))))</f>
        <v/>
      </c>
      <c r="P560" s="15">
        <f>IF($C560="","",IF($O560="FAILED OUT","Yes","No"))</f>
        <v/>
      </c>
      <c r="Q560" s="14" t="n"/>
    </row>
    <row r="561">
      <c r="B561" s="15">
        <f>IF($C561="","",$D561&amp;"-"&amp;$E561&amp;"-"&amp;$I561)</f>
        <v/>
      </c>
      <c r="C561" s="14" t="n"/>
      <c r="D561" s="15">
        <f>IF($C561="","",IFERROR(INDEX(rngCadetPIDs,MATCH($C561,rngCadetNames,0)),"?"))</f>
        <v/>
      </c>
      <c r="E561" s="14" t="n"/>
      <c r="F561" s="15">
        <f>IF($E561="","",IFERROR(INDEX(rngSM_max,MATCH($E561,rngSM_cat,0)),""))</f>
        <v/>
      </c>
      <c r="G561" s="15">
        <f>IF($E561="","",IFERROR(INDEX(rngSM_mode,MATCH($E561,rngSM_cat,0)),""))</f>
        <v/>
      </c>
      <c r="H561" s="15">
        <f>IF($E561="","",IFERROR(INDEX(rngSM_pass,MATCH($E561,rngSM_cat,0)),""))</f>
        <v/>
      </c>
      <c r="I561" s="14" t="n"/>
      <c r="J561" s="14" t="n"/>
      <c r="K561" s="14" t="n"/>
      <c r="L561" s="16" t="n"/>
      <c r="M561" s="14" t="n"/>
      <c r="N561" s="15">
        <f>IF($C561="","",COUNTIFS(nrSK_PID,$D561,nrSK_Cat,$E561))</f>
        <v/>
      </c>
      <c r="O561" s="15">
        <f>IF($C561="","",_xlfn.LET(_xlpm.latest,_xlfn.MAXIFS(nrSK_Att,nrSK_PID,$D561,nrSK_Cat,$E561),_xlpm.res,IF($I561=_xlpm.latest,$J561,""),IF($I561&lt;&gt;_xlpm.latest,"(superseded)",IF(_xlpm.res="","Pending",IF(_xlpm.res="Pass","Qualified",IF(AND(_xlpm.res="Fail",$N561&gt;=$F561),"FAILED OUT","Needs Remediation"))))))</f>
        <v/>
      </c>
      <c r="P561" s="15">
        <f>IF($C561="","",IF($O561="FAILED OUT","Yes","No"))</f>
        <v/>
      </c>
      <c r="Q561" s="14" t="n"/>
    </row>
    <row r="562">
      <c r="B562" s="15">
        <f>IF($C562="","",$D562&amp;"-"&amp;$E562&amp;"-"&amp;$I562)</f>
        <v/>
      </c>
      <c r="C562" s="14" t="n"/>
      <c r="D562" s="15">
        <f>IF($C562="","",IFERROR(INDEX(rngCadetPIDs,MATCH($C562,rngCadetNames,0)),"?"))</f>
        <v/>
      </c>
      <c r="E562" s="14" t="n"/>
      <c r="F562" s="15">
        <f>IF($E562="","",IFERROR(INDEX(rngSM_max,MATCH($E562,rngSM_cat,0)),""))</f>
        <v/>
      </c>
      <c r="G562" s="15">
        <f>IF($E562="","",IFERROR(INDEX(rngSM_mode,MATCH($E562,rngSM_cat,0)),""))</f>
        <v/>
      </c>
      <c r="H562" s="15">
        <f>IF($E562="","",IFERROR(INDEX(rngSM_pass,MATCH($E562,rngSM_cat,0)),""))</f>
        <v/>
      </c>
      <c r="I562" s="14" t="n"/>
      <c r="J562" s="14" t="n"/>
      <c r="K562" s="14" t="n"/>
      <c r="L562" s="16" t="n"/>
      <c r="M562" s="14" t="n"/>
      <c r="N562" s="15">
        <f>IF($C562="","",COUNTIFS(nrSK_PID,$D562,nrSK_Cat,$E562))</f>
        <v/>
      </c>
      <c r="O562" s="15">
        <f>IF($C562="","",_xlfn.LET(_xlpm.latest,_xlfn.MAXIFS(nrSK_Att,nrSK_PID,$D562,nrSK_Cat,$E562),_xlpm.res,IF($I562=_xlpm.latest,$J562,""),IF($I562&lt;&gt;_xlpm.latest,"(superseded)",IF(_xlpm.res="","Pending",IF(_xlpm.res="Pass","Qualified",IF(AND(_xlpm.res="Fail",$N562&gt;=$F562),"FAILED OUT","Needs Remediation"))))))</f>
        <v/>
      </c>
      <c r="P562" s="15">
        <f>IF($C562="","",IF($O562="FAILED OUT","Yes","No"))</f>
        <v/>
      </c>
      <c r="Q562" s="14" t="n"/>
    </row>
    <row r="563">
      <c r="B563" s="15">
        <f>IF($C563="","",$D563&amp;"-"&amp;$E563&amp;"-"&amp;$I563)</f>
        <v/>
      </c>
      <c r="C563" s="14" t="n"/>
      <c r="D563" s="15">
        <f>IF($C563="","",IFERROR(INDEX(rngCadetPIDs,MATCH($C563,rngCadetNames,0)),"?"))</f>
        <v/>
      </c>
      <c r="E563" s="14" t="n"/>
      <c r="F563" s="15">
        <f>IF($E563="","",IFERROR(INDEX(rngSM_max,MATCH($E563,rngSM_cat,0)),""))</f>
        <v/>
      </c>
      <c r="G563" s="15">
        <f>IF($E563="","",IFERROR(INDEX(rngSM_mode,MATCH($E563,rngSM_cat,0)),""))</f>
        <v/>
      </c>
      <c r="H563" s="15">
        <f>IF($E563="","",IFERROR(INDEX(rngSM_pass,MATCH($E563,rngSM_cat,0)),""))</f>
        <v/>
      </c>
      <c r="I563" s="14" t="n"/>
      <c r="J563" s="14" t="n"/>
      <c r="K563" s="14" t="n"/>
      <c r="L563" s="16" t="n"/>
      <c r="M563" s="14" t="n"/>
      <c r="N563" s="15">
        <f>IF($C563="","",COUNTIFS(nrSK_PID,$D563,nrSK_Cat,$E563))</f>
        <v/>
      </c>
      <c r="O563" s="15">
        <f>IF($C563="","",_xlfn.LET(_xlpm.latest,_xlfn.MAXIFS(nrSK_Att,nrSK_PID,$D563,nrSK_Cat,$E563),_xlpm.res,IF($I563=_xlpm.latest,$J563,""),IF($I563&lt;&gt;_xlpm.latest,"(superseded)",IF(_xlpm.res="","Pending",IF(_xlpm.res="Pass","Qualified",IF(AND(_xlpm.res="Fail",$N563&gt;=$F563),"FAILED OUT","Needs Remediation"))))))</f>
        <v/>
      </c>
      <c r="P563" s="15">
        <f>IF($C563="","",IF($O563="FAILED OUT","Yes","No"))</f>
        <v/>
      </c>
      <c r="Q563" s="14" t="n"/>
    </row>
    <row r="564">
      <c r="B564" s="15">
        <f>IF($C564="","",$D564&amp;"-"&amp;$E564&amp;"-"&amp;$I564)</f>
        <v/>
      </c>
      <c r="C564" s="14" t="n"/>
      <c r="D564" s="15">
        <f>IF($C564="","",IFERROR(INDEX(rngCadetPIDs,MATCH($C564,rngCadetNames,0)),"?"))</f>
        <v/>
      </c>
      <c r="E564" s="14" t="n"/>
      <c r="F564" s="15">
        <f>IF($E564="","",IFERROR(INDEX(rngSM_max,MATCH($E564,rngSM_cat,0)),""))</f>
        <v/>
      </c>
      <c r="G564" s="15">
        <f>IF($E564="","",IFERROR(INDEX(rngSM_mode,MATCH($E564,rngSM_cat,0)),""))</f>
        <v/>
      </c>
      <c r="H564" s="15">
        <f>IF($E564="","",IFERROR(INDEX(rngSM_pass,MATCH($E564,rngSM_cat,0)),""))</f>
        <v/>
      </c>
      <c r="I564" s="14" t="n"/>
      <c r="J564" s="14" t="n"/>
      <c r="K564" s="14" t="n"/>
      <c r="L564" s="16" t="n"/>
      <c r="M564" s="14" t="n"/>
      <c r="N564" s="15">
        <f>IF($C564="","",COUNTIFS(nrSK_PID,$D564,nrSK_Cat,$E564))</f>
        <v/>
      </c>
      <c r="O564" s="15">
        <f>IF($C564="","",_xlfn.LET(_xlpm.latest,_xlfn.MAXIFS(nrSK_Att,nrSK_PID,$D564,nrSK_Cat,$E564),_xlpm.res,IF($I564=_xlpm.latest,$J564,""),IF($I564&lt;&gt;_xlpm.latest,"(superseded)",IF(_xlpm.res="","Pending",IF(_xlpm.res="Pass","Qualified",IF(AND(_xlpm.res="Fail",$N564&gt;=$F564),"FAILED OUT","Needs Remediation"))))))</f>
        <v/>
      </c>
      <c r="P564" s="15">
        <f>IF($C564="","",IF($O564="FAILED OUT","Yes","No"))</f>
        <v/>
      </c>
      <c r="Q564" s="14" t="n"/>
    </row>
    <row r="565">
      <c r="B565" s="15">
        <f>IF($C565="","",$D565&amp;"-"&amp;$E565&amp;"-"&amp;$I565)</f>
        <v/>
      </c>
      <c r="C565" s="14" t="n"/>
      <c r="D565" s="15">
        <f>IF($C565="","",IFERROR(INDEX(rngCadetPIDs,MATCH($C565,rngCadetNames,0)),"?"))</f>
        <v/>
      </c>
      <c r="E565" s="14" t="n"/>
      <c r="F565" s="15">
        <f>IF($E565="","",IFERROR(INDEX(rngSM_max,MATCH($E565,rngSM_cat,0)),""))</f>
        <v/>
      </c>
      <c r="G565" s="15">
        <f>IF($E565="","",IFERROR(INDEX(rngSM_mode,MATCH($E565,rngSM_cat,0)),""))</f>
        <v/>
      </c>
      <c r="H565" s="15">
        <f>IF($E565="","",IFERROR(INDEX(rngSM_pass,MATCH($E565,rngSM_cat,0)),""))</f>
        <v/>
      </c>
      <c r="I565" s="14" t="n"/>
      <c r="J565" s="14" t="n"/>
      <c r="K565" s="14" t="n"/>
      <c r="L565" s="16" t="n"/>
      <c r="M565" s="14" t="n"/>
      <c r="N565" s="15">
        <f>IF($C565="","",COUNTIFS(nrSK_PID,$D565,nrSK_Cat,$E565))</f>
        <v/>
      </c>
      <c r="O565" s="15">
        <f>IF($C565="","",_xlfn.LET(_xlpm.latest,_xlfn.MAXIFS(nrSK_Att,nrSK_PID,$D565,nrSK_Cat,$E565),_xlpm.res,IF($I565=_xlpm.latest,$J565,""),IF($I565&lt;&gt;_xlpm.latest,"(superseded)",IF(_xlpm.res="","Pending",IF(_xlpm.res="Pass","Qualified",IF(AND(_xlpm.res="Fail",$N565&gt;=$F565),"FAILED OUT","Needs Remediation"))))))</f>
        <v/>
      </c>
      <c r="P565" s="15">
        <f>IF($C565="","",IF($O565="FAILED OUT","Yes","No"))</f>
        <v/>
      </c>
      <c r="Q565" s="14" t="n"/>
    </row>
    <row r="566">
      <c r="B566" s="15">
        <f>IF($C566="","",$D566&amp;"-"&amp;$E566&amp;"-"&amp;$I566)</f>
        <v/>
      </c>
      <c r="C566" s="14" t="n"/>
      <c r="D566" s="15">
        <f>IF($C566="","",IFERROR(INDEX(rngCadetPIDs,MATCH($C566,rngCadetNames,0)),"?"))</f>
        <v/>
      </c>
      <c r="E566" s="14" t="n"/>
      <c r="F566" s="15">
        <f>IF($E566="","",IFERROR(INDEX(rngSM_max,MATCH($E566,rngSM_cat,0)),""))</f>
        <v/>
      </c>
      <c r="G566" s="15">
        <f>IF($E566="","",IFERROR(INDEX(rngSM_mode,MATCH($E566,rngSM_cat,0)),""))</f>
        <v/>
      </c>
      <c r="H566" s="15">
        <f>IF($E566="","",IFERROR(INDEX(rngSM_pass,MATCH($E566,rngSM_cat,0)),""))</f>
        <v/>
      </c>
      <c r="I566" s="14" t="n"/>
      <c r="J566" s="14" t="n"/>
      <c r="K566" s="14" t="n"/>
      <c r="L566" s="16" t="n"/>
      <c r="M566" s="14" t="n"/>
      <c r="N566" s="15">
        <f>IF($C566="","",COUNTIFS(nrSK_PID,$D566,nrSK_Cat,$E566))</f>
        <v/>
      </c>
      <c r="O566" s="15">
        <f>IF($C566="","",_xlfn.LET(_xlpm.latest,_xlfn.MAXIFS(nrSK_Att,nrSK_PID,$D566,nrSK_Cat,$E566),_xlpm.res,IF($I566=_xlpm.latest,$J566,""),IF($I566&lt;&gt;_xlpm.latest,"(superseded)",IF(_xlpm.res="","Pending",IF(_xlpm.res="Pass","Qualified",IF(AND(_xlpm.res="Fail",$N566&gt;=$F566),"FAILED OUT","Needs Remediation"))))))</f>
        <v/>
      </c>
      <c r="P566" s="15">
        <f>IF($C566="","",IF($O566="FAILED OUT","Yes","No"))</f>
        <v/>
      </c>
      <c r="Q566" s="14" t="n"/>
    </row>
    <row r="567">
      <c r="B567" s="15">
        <f>IF($C567="","",$D567&amp;"-"&amp;$E567&amp;"-"&amp;$I567)</f>
        <v/>
      </c>
      <c r="C567" s="14" t="n"/>
      <c r="D567" s="15">
        <f>IF($C567="","",IFERROR(INDEX(rngCadetPIDs,MATCH($C567,rngCadetNames,0)),"?"))</f>
        <v/>
      </c>
      <c r="E567" s="14" t="n"/>
      <c r="F567" s="15">
        <f>IF($E567="","",IFERROR(INDEX(rngSM_max,MATCH($E567,rngSM_cat,0)),""))</f>
        <v/>
      </c>
      <c r="G567" s="15">
        <f>IF($E567="","",IFERROR(INDEX(rngSM_mode,MATCH($E567,rngSM_cat,0)),""))</f>
        <v/>
      </c>
      <c r="H567" s="15">
        <f>IF($E567="","",IFERROR(INDEX(rngSM_pass,MATCH($E567,rngSM_cat,0)),""))</f>
        <v/>
      </c>
      <c r="I567" s="14" t="n"/>
      <c r="J567" s="14" t="n"/>
      <c r="K567" s="14" t="n"/>
      <c r="L567" s="16" t="n"/>
      <c r="M567" s="14" t="n"/>
      <c r="N567" s="15">
        <f>IF($C567="","",COUNTIFS(nrSK_PID,$D567,nrSK_Cat,$E567))</f>
        <v/>
      </c>
      <c r="O567" s="15">
        <f>IF($C567="","",_xlfn.LET(_xlpm.latest,_xlfn.MAXIFS(nrSK_Att,nrSK_PID,$D567,nrSK_Cat,$E567),_xlpm.res,IF($I567=_xlpm.latest,$J567,""),IF($I567&lt;&gt;_xlpm.latest,"(superseded)",IF(_xlpm.res="","Pending",IF(_xlpm.res="Pass","Qualified",IF(AND(_xlpm.res="Fail",$N567&gt;=$F567),"FAILED OUT","Needs Remediation"))))))</f>
        <v/>
      </c>
      <c r="P567" s="15">
        <f>IF($C567="","",IF($O567="FAILED OUT","Yes","No"))</f>
        <v/>
      </c>
      <c r="Q567" s="14" t="n"/>
    </row>
    <row r="568">
      <c r="B568" s="15">
        <f>IF($C568="","",$D568&amp;"-"&amp;$E568&amp;"-"&amp;$I568)</f>
        <v/>
      </c>
      <c r="C568" s="14" t="n"/>
      <c r="D568" s="15">
        <f>IF($C568="","",IFERROR(INDEX(rngCadetPIDs,MATCH($C568,rngCadetNames,0)),"?"))</f>
        <v/>
      </c>
      <c r="E568" s="14" t="n"/>
      <c r="F568" s="15">
        <f>IF($E568="","",IFERROR(INDEX(rngSM_max,MATCH($E568,rngSM_cat,0)),""))</f>
        <v/>
      </c>
      <c r="G568" s="15">
        <f>IF($E568="","",IFERROR(INDEX(rngSM_mode,MATCH($E568,rngSM_cat,0)),""))</f>
        <v/>
      </c>
      <c r="H568" s="15">
        <f>IF($E568="","",IFERROR(INDEX(rngSM_pass,MATCH($E568,rngSM_cat,0)),""))</f>
        <v/>
      </c>
      <c r="I568" s="14" t="n"/>
      <c r="J568" s="14" t="n"/>
      <c r="K568" s="14" t="n"/>
      <c r="L568" s="16" t="n"/>
      <c r="M568" s="14" t="n"/>
      <c r="N568" s="15">
        <f>IF($C568="","",COUNTIFS(nrSK_PID,$D568,nrSK_Cat,$E568))</f>
        <v/>
      </c>
      <c r="O568" s="15">
        <f>IF($C568="","",_xlfn.LET(_xlpm.latest,_xlfn.MAXIFS(nrSK_Att,nrSK_PID,$D568,nrSK_Cat,$E568),_xlpm.res,IF($I568=_xlpm.latest,$J568,""),IF($I568&lt;&gt;_xlpm.latest,"(superseded)",IF(_xlpm.res="","Pending",IF(_xlpm.res="Pass","Qualified",IF(AND(_xlpm.res="Fail",$N568&gt;=$F568),"FAILED OUT","Needs Remediation"))))))</f>
        <v/>
      </c>
      <c r="P568" s="15">
        <f>IF($C568="","",IF($O568="FAILED OUT","Yes","No"))</f>
        <v/>
      </c>
      <c r="Q568" s="14" t="n"/>
    </row>
    <row r="569">
      <c r="B569" s="15">
        <f>IF($C569="","",$D569&amp;"-"&amp;$E569&amp;"-"&amp;$I569)</f>
        <v/>
      </c>
      <c r="C569" s="14" t="n"/>
      <c r="D569" s="15">
        <f>IF($C569="","",IFERROR(INDEX(rngCadetPIDs,MATCH($C569,rngCadetNames,0)),"?"))</f>
        <v/>
      </c>
      <c r="E569" s="14" t="n"/>
      <c r="F569" s="15">
        <f>IF($E569="","",IFERROR(INDEX(rngSM_max,MATCH($E569,rngSM_cat,0)),""))</f>
        <v/>
      </c>
      <c r="G569" s="15">
        <f>IF($E569="","",IFERROR(INDEX(rngSM_mode,MATCH($E569,rngSM_cat,0)),""))</f>
        <v/>
      </c>
      <c r="H569" s="15">
        <f>IF($E569="","",IFERROR(INDEX(rngSM_pass,MATCH($E569,rngSM_cat,0)),""))</f>
        <v/>
      </c>
      <c r="I569" s="14" t="n"/>
      <c r="J569" s="14" t="n"/>
      <c r="K569" s="14" t="n"/>
      <c r="L569" s="16" t="n"/>
      <c r="M569" s="14" t="n"/>
      <c r="N569" s="15">
        <f>IF($C569="","",COUNTIFS(nrSK_PID,$D569,nrSK_Cat,$E569))</f>
        <v/>
      </c>
      <c r="O569" s="15">
        <f>IF($C569="","",_xlfn.LET(_xlpm.latest,_xlfn.MAXIFS(nrSK_Att,nrSK_PID,$D569,nrSK_Cat,$E569),_xlpm.res,IF($I569=_xlpm.latest,$J569,""),IF($I569&lt;&gt;_xlpm.latest,"(superseded)",IF(_xlpm.res="","Pending",IF(_xlpm.res="Pass","Qualified",IF(AND(_xlpm.res="Fail",$N569&gt;=$F569),"FAILED OUT","Needs Remediation"))))))</f>
        <v/>
      </c>
      <c r="P569" s="15">
        <f>IF($C569="","",IF($O569="FAILED OUT","Yes","No"))</f>
        <v/>
      </c>
      <c r="Q569" s="14" t="n"/>
    </row>
    <row r="570">
      <c r="B570" s="15">
        <f>IF($C570="","",$D570&amp;"-"&amp;$E570&amp;"-"&amp;$I570)</f>
        <v/>
      </c>
      <c r="C570" s="14" t="n"/>
      <c r="D570" s="15">
        <f>IF($C570="","",IFERROR(INDEX(rngCadetPIDs,MATCH($C570,rngCadetNames,0)),"?"))</f>
        <v/>
      </c>
      <c r="E570" s="14" t="n"/>
      <c r="F570" s="15">
        <f>IF($E570="","",IFERROR(INDEX(rngSM_max,MATCH($E570,rngSM_cat,0)),""))</f>
        <v/>
      </c>
      <c r="G570" s="15">
        <f>IF($E570="","",IFERROR(INDEX(rngSM_mode,MATCH($E570,rngSM_cat,0)),""))</f>
        <v/>
      </c>
      <c r="H570" s="15">
        <f>IF($E570="","",IFERROR(INDEX(rngSM_pass,MATCH($E570,rngSM_cat,0)),""))</f>
        <v/>
      </c>
      <c r="I570" s="14" t="n"/>
      <c r="J570" s="14" t="n"/>
      <c r="K570" s="14" t="n"/>
      <c r="L570" s="16" t="n"/>
      <c r="M570" s="14" t="n"/>
      <c r="N570" s="15">
        <f>IF($C570="","",COUNTIFS(nrSK_PID,$D570,nrSK_Cat,$E570))</f>
        <v/>
      </c>
      <c r="O570" s="15">
        <f>IF($C570="","",_xlfn.LET(_xlpm.latest,_xlfn.MAXIFS(nrSK_Att,nrSK_PID,$D570,nrSK_Cat,$E570),_xlpm.res,IF($I570=_xlpm.latest,$J570,""),IF($I570&lt;&gt;_xlpm.latest,"(superseded)",IF(_xlpm.res="","Pending",IF(_xlpm.res="Pass","Qualified",IF(AND(_xlpm.res="Fail",$N570&gt;=$F570),"FAILED OUT","Needs Remediation"))))))</f>
        <v/>
      </c>
      <c r="P570" s="15">
        <f>IF($C570="","",IF($O570="FAILED OUT","Yes","No"))</f>
        <v/>
      </c>
      <c r="Q570" s="14" t="n"/>
    </row>
    <row r="571">
      <c r="B571" s="15">
        <f>IF($C571="","",$D571&amp;"-"&amp;$E571&amp;"-"&amp;$I571)</f>
        <v/>
      </c>
      <c r="C571" s="14" t="n"/>
      <c r="D571" s="15">
        <f>IF($C571="","",IFERROR(INDEX(rngCadetPIDs,MATCH($C571,rngCadetNames,0)),"?"))</f>
        <v/>
      </c>
      <c r="E571" s="14" t="n"/>
      <c r="F571" s="15">
        <f>IF($E571="","",IFERROR(INDEX(rngSM_max,MATCH($E571,rngSM_cat,0)),""))</f>
        <v/>
      </c>
      <c r="G571" s="15">
        <f>IF($E571="","",IFERROR(INDEX(rngSM_mode,MATCH($E571,rngSM_cat,0)),""))</f>
        <v/>
      </c>
      <c r="H571" s="15">
        <f>IF($E571="","",IFERROR(INDEX(rngSM_pass,MATCH($E571,rngSM_cat,0)),""))</f>
        <v/>
      </c>
      <c r="I571" s="14" t="n"/>
      <c r="J571" s="14" t="n"/>
      <c r="K571" s="14" t="n"/>
      <c r="L571" s="16" t="n"/>
      <c r="M571" s="14" t="n"/>
      <c r="N571" s="15">
        <f>IF($C571="","",COUNTIFS(nrSK_PID,$D571,nrSK_Cat,$E571))</f>
        <v/>
      </c>
      <c r="O571" s="15">
        <f>IF($C571="","",_xlfn.LET(_xlpm.latest,_xlfn.MAXIFS(nrSK_Att,nrSK_PID,$D571,nrSK_Cat,$E571),_xlpm.res,IF($I571=_xlpm.latest,$J571,""),IF($I571&lt;&gt;_xlpm.latest,"(superseded)",IF(_xlpm.res="","Pending",IF(_xlpm.res="Pass","Qualified",IF(AND(_xlpm.res="Fail",$N571&gt;=$F571),"FAILED OUT","Needs Remediation"))))))</f>
        <v/>
      </c>
      <c r="P571" s="15">
        <f>IF($C571="","",IF($O571="FAILED OUT","Yes","No"))</f>
        <v/>
      </c>
      <c r="Q571" s="14" t="n"/>
    </row>
    <row r="572">
      <c r="B572" s="15">
        <f>IF($C572="","",$D572&amp;"-"&amp;$E572&amp;"-"&amp;$I572)</f>
        <v/>
      </c>
      <c r="C572" s="14" t="n"/>
      <c r="D572" s="15">
        <f>IF($C572="","",IFERROR(INDEX(rngCadetPIDs,MATCH($C572,rngCadetNames,0)),"?"))</f>
        <v/>
      </c>
      <c r="E572" s="14" t="n"/>
      <c r="F572" s="15">
        <f>IF($E572="","",IFERROR(INDEX(rngSM_max,MATCH($E572,rngSM_cat,0)),""))</f>
        <v/>
      </c>
      <c r="G572" s="15">
        <f>IF($E572="","",IFERROR(INDEX(rngSM_mode,MATCH($E572,rngSM_cat,0)),""))</f>
        <v/>
      </c>
      <c r="H572" s="15">
        <f>IF($E572="","",IFERROR(INDEX(rngSM_pass,MATCH($E572,rngSM_cat,0)),""))</f>
        <v/>
      </c>
      <c r="I572" s="14" t="n"/>
      <c r="J572" s="14" t="n"/>
      <c r="K572" s="14" t="n"/>
      <c r="L572" s="16" t="n"/>
      <c r="M572" s="14" t="n"/>
      <c r="N572" s="15">
        <f>IF($C572="","",COUNTIFS(nrSK_PID,$D572,nrSK_Cat,$E572))</f>
        <v/>
      </c>
      <c r="O572" s="15">
        <f>IF($C572="","",_xlfn.LET(_xlpm.latest,_xlfn.MAXIFS(nrSK_Att,nrSK_PID,$D572,nrSK_Cat,$E572),_xlpm.res,IF($I572=_xlpm.latest,$J572,""),IF($I572&lt;&gt;_xlpm.latest,"(superseded)",IF(_xlpm.res="","Pending",IF(_xlpm.res="Pass","Qualified",IF(AND(_xlpm.res="Fail",$N572&gt;=$F572),"FAILED OUT","Needs Remediation"))))))</f>
        <v/>
      </c>
      <c r="P572" s="15">
        <f>IF($C572="","",IF($O572="FAILED OUT","Yes","No"))</f>
        <v/>
      </c>
      <c r="Q572" s="14" t="n"/>
    </row>
    <row r="573">
      <c r="B573" s="15">
        <f>IF($C573="","",$D573&amp;"-"&amp;$E573&amp;"-"&amp;$I573)</f>
        <v/>
      </c>
      <c r="C573" s="14" t="n"/>
      <c r="D573" s="15">
        <f>IF($C573="","",IFERROR(INDEX(rngCadetPIDs,MATCH($C573,rngCadetNames,0)),"?"))</f>
        <v/>
      </c>
      <c r="E573" s="14" t="n"/>
      <c r="F573" s="15">
        <f>IF($E573="","",IFERROR(INDEX(rngSM_max,MATCH($E573,rngSM_cat,0)),""))</f>
        <v/>
      </c>
      <c r="G573" s="15">
        <f>IF($E573="","",IFERROR(INDEX(rngSM_mode,MATCH($E573,rngSM_cat,0)),""))</f>
        <v/>
      </c>
      <c r="H573" s="15">
        <f>IF($E573="","",IFERROR(INDEX(rngSM_pass,MATCH($E573,rngSM_cat,0)),""))</f>
        <v/>
      </c>
      <c r="I573" s="14" t="n"/>
      <c r="J573" s="14" t="n"/>
      <c r="K573" s="14" t="n"/>
      <c r="L573" s="16" t="n"/>
      <c r="M573" s="14" t="n"/>
      <c r="N573" s="15">
        <f>IF($C573="","",COUNTIFS(nrSK_PID,$D573,nrSK_Cat,$E573))</f>
        <v/>
      </c>
      <c r="O573" s="15">
        <f>IF($C573="","",_xlfn.LET(_xlpm.latest,_xlfn.MAXIFS(nrSK_Att,nrSK_PID,$D573,nrSK_Cat,$E573),_xlpm.res,IF($I573=_xlpm.latest,$J573,""),IF($I573&lt;&gt;_xlpm.latest,"(superseded)",IF(_xlpm.res="","Pending",IF(_xlpm.res="Pass","Qualified",IF(AND(_xlpm.res="Fail",$N573&gt;=$F573),"FAILED OUT","Needs Remediation"))))))</f>
        <v/>
      </c>
      <c r="P573" s="15">
        <f>IF($C573="","",IF($O573="FAILED OUT","Yes","No"))</f>
        <v/>
      </c>
      <c r="Q573" s="14" t="n"/>
    </row>
    <row r="574">
      <c r="B574" s="15">
        <f>IF($C574="","",$D574&amp;"-"&amp;$E574&amp;"-"&amp;$I574)</f>
        <v/>
      </c>
      <c r="C574" s="14" t="n"/>
      <c r="D574" s="15">
        <f>IF($C574="","",IFERROR(INDEX(rngCadetPIDs,MATCH($C574,rngCadetNames,0)),"?"))</f>
        <v/>
      </c>
      <c r="E574" s="14" t="n"/>
      <c r="F574" s="15">
        <f>IF($E574="","",IFERROR(INDEX(rngSM_max,MATCH($E574,rngSM_cat,0)),""))</f>
        <v/>
      </c>
      <c r="G574" s="15">
        <f>IF($E574="","",IFERROR(INDEX(rngSM_mode,MATCH($E574,rngSM_cat,0)),""))</f>
        <v/>
      </c>
      <c r="H574" s="15">
        <f>IF($E574="","",IFERROR(INDEX(rngSM_pass,MATCH($E574,rngSM_cat,0)),""))</f>
        <v/>
      </c>
      <c r="I574" s="14" t="n"/>
      <c r="J574" s="14" t="n"/>
      <c r="K574" s="14" t="n"/>
      <c r="L574" s="16" t="n"/>
      <c r="M574" s="14" t="n"/>
      <c r="N574" s="15">
        <f>IF($C574="","",COUNTIFS(nrSK_PID,$D574,nrSK_Cat,$E574))</f>
        <v/>
      </c>
      <c r="O574" s="15">
        <f>IF($C574="","",_xlfn.LET(_xlpm.latest,_xlfn.MAXIFS(nrSK_Att,nrSK_PID,$D574,nrSK_Cat,$E574),_xlpm.res,IF($I574=_xlpm.latest,$J574,""),IF($I574&lt;&gt;_xlpm.latest,"(superseded)",IF(_xlpm.res="","Pending",IF(_xlpm.res="Pass","Qualified",IF(AND(_xlpm.res="Fail",$N574&gt;=$F574),"FAILED OUT","Needs Remediation"))))))</f>
        <v/>
      </c>
      <c r="P574" s="15">
        <f>IF($C574="","",IF($O574="FAILED OUT","Yes","No"))</f>
        <v/>
      </c>
      <c r="Q574" s="14" t="n"/>
    </row>
    <row r="575">
      <c r="B575" s="15">
        <f>IF($C575="","",$D575&amp;"-"&amp;$E575&amp;"-"&amp;$I575)</f>
        <v/>
      </c>
      <c r="C575" s="14" t="n"/>
      <c r="D575" s="15">
        <f>IF($C575="","",IFERROR(INDEX(rngCadetPIDs,MATCH($C575,rngCadetNames,0)),"?"))</f>
        <v/>
      </c>
      <c r="E575" s="14" t="n"/>
      <c r="F575" s="15">
        <f>IF($E575="","",IFERROR(INDEX(rngSM_max,MATCH($E575,rngSM_cat,0)),""))</f>
        <v/>
      </c>
      <c r="G575" s="15">
        <f>IF($E575="","",IFERROR(INDEX(rngSM_mode,MATCH($E575,rngSM_cat,0)),""))</f>
        <v/>
      </c>
      <c r="H575" s="15">
        <f>IF($E575="","",IFERROR(INDEX(rngSM_pass,MATCH($E575,rngSM_cat,0)),""))</f>
        <v/>
      </c>
      <c r="I575" s="14" t="n"/>
      <c r="J575" s="14" t="n"/>
      <c r="K575" s="14" t="n"/>
      <c r="L575" s="16" t="n"/>
      <c r="M575" s="14" t="n"/>
      <c r="N575" s="15">
        <f>IF($C575="","",COUNTIFS(nrSK_PID,$D575,nrSK_Cat,$E575))</f>
        <v/>
      </c>
      <c r="O575" s="15">
        <f>IF($C575="","",_xlfn.LET(_xlpm.latest,_xlfn.MAXIFS(nrSK_Att,nrSK_PID,$D575,nrSK_Cat,$E575),_xlpm.res,IF($I575=_xlpm.latest,$J575,""),IF($I575&lt;&gt;_xlpm.latest,"(superseded)",IF(_xlpm.res="","Pending",IF(_xlpm.res="Pass","Qualified",IF(AND(_xlpm.res="Fail",$N575&gt;=$F575),"FAILED OUT","Needs Remediation"))))))</f>
        <v/>
      </c>
      <c r="P575" s="15">
        <f>IF($C575="","",IF($O575="FAILED OUT","Yes","No"))</f>
        <v/>
      </c>
      <c r="Q575" s="14" t="n"/>
    </row>
    <row r="576">
      <c r="B576" s="15">
        <f>IF($C576="","",$D576&amp;"-"&amp;$E576&amp;"-"&amp;$I576)</f>
        <v/>
      </c>
      <c r="C576" s="14" t="n"/>
      <c r="D576" s="15">
        <f>IF($C576="","",IFERROR(INDEX(rngCadetPIDs,MATCH($C576,rngCadetNames,0)),"?"))</f>
        <v/>
      </c>
      <c r="E576" s="14" t="n"/>
      <c r="F576" s="15">
        <f>IF($E576="","",IFERROR(INDEX(rngSM_max,MATCH($E576,rngSM_cat,0)),""))</f>
        <v/>
      </c>
      <c r="G576" s="15">
        <f>IF($E576="","",IFERROR(INDEX(rngSM_mode,MATCH($E576,rngSM_cat,0)),""))</f>
        <v/>
      </c>
      <c r="H576" s="15">
        <f>IF($E576="","",IFERROR(INDEX(rngSM_pass,MATCH($E576,rngSM_cat,0)),""))</f>
        <v/>
      </c>
      <c r="I576" s="14" t="n"/>
      <c r="J576" s="14" t="n"/>
      <c r="K576" s="14" t="n"/>
      <c r="L576" s="16" t="n"/>
      <c r="M576" s="14" t="n"/>
      <c r="N576" s="15">
        <f>IF($C576="","",COUNTIFS(nrSK_PID,$D576,nrSK_Cat,$E576))</f>
        <v/>
      </c>
      <c r="O576" s="15">
        <f>IF($C576="","",_xlfn.LET(_xlpm.latest,_xlfn.MAXIFS(nrSK_Att,nrSK_PID,$D576,nrSK_Cat,$E576),_xlpm.res,IF($I576=_xlpm.latest,$J576,""),IF($I576&lt;&gt;_xlpm.latest,"(superseded)",IF(_xlpm.res="","Pending",IF(_xlpm.res="Pass","Qualified",IF(AND(_xlpm.res="Fail",$N576&gt;=$F576),"FAILED OUT","Needs Remediation"))))))</f>
        <v/>
      </c>
      <c r="P576" s="15">
        <f>IF($C576="","",IF($O576="FAILED OUT","Yes","No"))</f>
        <v/>
      </c>
      <c r="Q576" s="14" t="n"/>
    </row>
    <row r="577">
      <c r="B577" s="15">
        <f>IF($C577="","",$D577&amp;"-"&amp;$E577&amp;"-"&amp;$I577)</f>
        <v/>
      </c>
      <c r="C577" s="14" t="n"/>
      <c r="D577" s="15">
        <f>IF($C577="","",IFERROR(INDEX(rngCadetPIDs,MATCH($C577,rngCadetNames,0)),"?"))</f>
        <v/>
      </c>
      <c r="E577" s="14" t="n"/>
      <c r="F577" s="15">
        <f>IF($E577="","",IFERROR(INDEX(rngSM_max,MATCH($E577,rngSM_cat,0)),""))</f>
        <v/>
      </c>
      <c r="G577" s="15">
        <f>IF($E577="","",IFERROR(INDEX(rngSM_mode,MATCH($E577,rngSM_cat,0)),""))</f>
        <v/>
      </c>
      <c r="H577" s="15">
        <f>IF($E577="","",IFERROR(INDEX(rngSM_pass,MATCH($E577,rngSM_cat,0)),""))</f>
        <v/>
      </c>
      <c r="I577" s="14" t="n"/>
      <c r="J577" s="14" t="n"/>
      <c r="K577" s="14" t="n"/>
      <c r="L577" s="16" t="n"/>
      <c r="M577" s="14" t="n"/>
      <c r="N577" s="15">
        <f>IF($C577="","",COUNTIFS(nrSK_PID,$D577,nrSK_Cat,$E577))</f>
        <v/>
      </c>
      <c r="O577" s="15">
        <f>IF($C577="","",_xlfn.LET(_xlpm.latest,_xlfn.MAXIFS(nrSK_Att,nrSK_PID,$D577,nrSK_Cat,$E577),_xlpm.res,IF($I577=_xlpm.latest,$J577,""),IF($I577&lt;&gt;_xlpm.latest,"(superseded)",IF(_xlpm.res="","Pending",IF(_xlpm.res="Pass","Qualified",IF(AND(_xlpm.res="Fail",$N577&gt;=$F577),"FAILED OUT","Needs Remediation"))))))</f>
        <v/>
      </c>
      <c r="P577" s="15">
        <f>IF($C577="","",IF($O577="FAILED OUT","Yes","No"))</f>
        <v/>
      </c>
      <c r="Q577" s="14" t="n"/>
    </row>
    <row r="578">
      <c r="B578" s="15">
        <f>IF($C578="","",$D578&amp;"-"&amp;$E578&amp;"-"&amp;$I578)</f>
        <v/>
      </c>
      <c r="C578" s="14" t="n"/>
      <c r="D578" s="15">
        <f>IF($C578="","",IFERROR(INDEX(rngCadetPIDs,MATCH($C578,rngCadetNames,0)),"?"))</f>
        <v/>
      </c>
      <c r="E578" s="14" t="n"/>
      <c r="F578" s="15">
        <f>IF($E578="","",IFERROR(INDEX(rngSM_max,MATCH($E578,rngSM_cat,0)),""))</f>
        <v/>
      </c>
      <c r="G578" s="15">
        <f>IF($E578="","",IFERROR(INDEX(rngSM_mode,MATCH($E578,rngSM_cat,0)),""))</f>
        <v/>
      </c>
      <c r="H578" s="15">
        <f>IF($E578="","",IFERROR(INDEX(rngSM_pass,MATCH($E578,rngSM_cat,0)),""))</f>
        <v/>
      </c>
      <c r="I578" s="14" t="n"/>
      <c r="J578" s="14" t="n"/>
      <c r="K578" s="14" t="n"/>
      <c r="L578" s="16" t="n"/>
      <c r="M578" s="14" t="n"/>
      <c r="N578" s="15">
        <f>IF($C578="","",COUNTIFS(nrSK_PID,$D578,nrSK_Cat,$E578))</f>
        <v/>
      </c>
      <c r="O578" s="15">
        <f>IF($C578="","",_xlfn.LET(_xlpm.latest,_xlfn.MAXIFS(nrSK_Att,nrSK_PID,$D578,nrSK_Cat,$E578),_xlpm.res,IF($I578=_xlpm.latest,$J578,""),IF($I578&lt;&gt;_xlpm.latest,"(superseded)",IF(_xlpm.res="","Pending",IF(_xlpm.res="Pass","Qualified",IF(AND(_xlpm.res="Fail",$N578&gt;=$F578),"FAILED OUT","Needs Remediation"))))))</f>
        <v/>
      </c>
      <c r="P578" s="15">
        <f>IF($C578="","",IF($O578="FAILED OUT","Yes","No"))</f>
        <v/>
      </c>
      <c r="Q578" s="14" t="n"/>
    </row>
    <row r="579">
      <c r="B579" s="15">
        <f>IF($C579="","",$D579&amp;"-"&amp;$E579&amp;"-"&amp;$I579)</f>
        <v/>
      </c>
      <c r="C579" s="14" t="n"/>
      <c r="D579" s="15">
        <f>IF($C579="","",IFERROR(INDEX(rngCadetPIDs,MATCH($C579,rngCadetNames,0)),"?"))</f>
        <v/>
      </c>
      <c r="E579" s="14" t="n"/>
      <c r="F579" s="15">
        <f>IF($E579="","",IFERROR(INDEX(rngSM_max,MATCH($E579,rngSM_cat,0)),""))</f>
        <v/>
      </c>
      <c r="G579" s="15">
        <f>IF($E579="","",IFERROR(INDEX(rngSM_mode,MATCH($E579,rngSM_cat,0)),""))</f>
        <v/>
      </c>
      <c r="H579" s="15">
        <f>IF($E579="","",IFERROR(INDEX(rngSM_pass,MATCH($E579,rngSM_cat,0)),""))</f>
        <v/>
      </c>
      <c r="I579" s="14" t="n"/>
      <c r="J579" s="14" t="n"/>
      <c r="K579" s="14" t="n"/>
      <c r="L579" s="16" t="n"/>
      <c r="M579" s="14" t="n"/>
      <c r="N579" s="15">
        <f>IF($C579="","",COUNTIFS(nrSK_PID,$D579,nrSK_Cat,$E579))</f>
        <v/>
      </c>
      <c r="O579" s="15">
        <f>IF($C579="","",_xlfn.LET(_xlpm.latest,_xlfn.MAXIFS(nrSK_Att,nrSK_PID,$D579,nrSK_Cat,$E579),_xlpm.res,IF($I579=_xlpm.latest,$J579,""),IF($I579&lt;&gt;_xlpm.latest,"(superseded)",IF(_xlpm.res="","Pending",IF(_xlpm.res="Pass","Qualified",IF(AND(_xlpm.res="Fail",$N579&gt;=$F579),"FAILED OUT","Needs Remediation"))))))</f>
        <v/>
      </c>
      <c r="P579" s="15">
        <f>IF($C579="","",IF($O579="FAILED OUT","Yes","No"))</f>
        <v/>
      </c>
      <c r="Q579" s="14" t="n"/>
    </row>
    <row r="580">
      <c r="B580" s="15">
        <f>IF($C580="","",$D580&amp;"-"&amp;$E580&amp;"-"&amp;$I580)</f>
        <v/>
      </c>
      <c r="C580" s="14" t="n"/>
      <c r="D580" s="15">
        <f>IF($C580="","",IFERROR(INDEX(rngCadetPIDs,MATCH($C580,rngCadetNames,0)),"?"))</f>
        <v/>
      </c>
      <c r="E580" s="14" t="n"/>
      <c r="F580" s="15">
        <f>IF($E580="","",IFERROR(INDEX(rngSM_max,MATCH($E580,rngSM_cat,0)),""))</f>
        <v/>
      </c>
      <c r="G580" s="15">
        <f>IF($E580="","",IFERROR(INDEX(rngSM_mode,MATCH($E580,rngSM_cat,0)),""))</f>
        <v/>
      </c>
      <c r="H580" s="15">
        <f>IF($E580="","",IFERROR(INDEX(rngSM_pass,MATCH($E580,rngSM_cat,0)),""))</f>
        <v/>
      </c>
      <c r="I580" s="14" t="n"/>
      <c r="J580" s="14" t="n"/>
      <c r="K580" s="14" t="n"/>
      <c r="L580" s="16" t="n"/>
      <c r="M580" s="14" t="n"/>
      <c r="N580" s="15">
        <f>IF($C580="","",COUNTIFS(nrSK_PID,$D580,nrSK_Cat,$E580))</f>
        <v/>
      </c>
      <c r="O580" s="15">
        <f>IF($C580="","",_xlfn.LET(_xlpm.latest,_xlfn.MAXIFS(nrSK_Att,nrSK_PID,$D580,nrSK_Cat,$E580),_xlpm.res,IF($I580=_xlpm.latest,$J580,""),IF($I580&lt;&gt;_xlpm.latest,"(superseded)",IF(_xlpm.res="","Pending",IF(_xlpm.res="Pass","Qualified",IF(AND(_xlpm.res="Fail",$N580&gt;=$F580),"FAILED OUT","Needs Remediation"))))))</f>
        <v/>
      </c>
      <c r="P580" s="15">
        <f>IF($C580="","",IF($O580="FAILED OUT","Yes","No"))</f>
        <v/>
      </c>
      <c r="Q580" s="14" t="n"/>
    </row>
    <row r="581">
      <c r="B581" s="15">
        <f>IF($C581="","",$D581&amp;"-"&amp;$E581&amp;"-"&amp;$I581)</f>
        <v/>
      </c>
      <c r="C581" s="14" t="n"/>
      <c r="D581" s="15">
        <f>IF($C581="","",IFERROR(INDEX(rngCadetPIDs,MATCH($C581,rngCadetNames,0)),"?"))</f>
        <v/>
      </c>
      <c r="E581" s="14" t="n"/>
      <c r="F581" s="15">
        <f>IF($E581="","",IFERROR(INDEX(rngSM_max,MATCH($E581,rngSM_cat,0)),""))</f>
        <v/>
      </c>
      <c r="G581" s="15">
        <f>IF($E581="","",IFERROR(INDEX(rngSM_mode,MATCH($E581,rngSM_cat,0)),""))</f>
        <v/>
      </c>
      <c r="H581" s="15">
        <f>IF($E581="","",IFERROR(INDEX(rngSM_pass,MATCH($E581,rngSM_cat,0)),""))</f>
        <v/>
      </c>
      <c r="I581" s="14" t="n"/>
      <c r="J581" s="14" t="n"/>
      <c r="K581" s="14" t="n"/>
      <c r="L581" s="16" t="n"/>
      <c r="M581" s="14" t="n"/>
      <c r="N581" s="15">
        <f>IF($C581="","",COUNTIFS(nrSK_PID,$D581,nrSK_Cat,$E581))</f>
        <v/>
      </c>
      <c r="O581" s="15">
        <f>IF($C581="","",_xlfn.LET(_xlpm.latest,_xlfn.MAXIFS(nrSK_Att,nrSK_PID,$D581,nrSK_Cat,$E581),_xlpm.res,IF($I581=_xlpm.latest,$J581,""),IF($I581&lt;&gt;_xlpm.latest,"(superseded)",IF(_xlpm.res="","Pending",IF(_xlpm.res="Pass","Qualified",IF(AND(_xlpm.res="Fail",$N581&gt;=$F581),"FAILED OUT","Needs Remediation"))))))</f>
        <v/>
      </c>
      <c r="P581" s="15">
        <f>IF($C581="","",IF($O581="FAILED OUT","Yes","No"))</f>
        <v/>
      </c>
      <c r="Q581" s="14" t="n"/>
    </row>
    <row r="582">
      <c r="B582" s="15">
        <f>IF($C582="","",$D582&amp;"-"&amp;$E582&amp;"-"&amp;$I582)</f>
        <v/>
      </c>
      <c r="C582" s="14" t="n"/>
      <c r="D582" s="15">
        <f>IF($C582="","",IFERROR(INDEX(rngCadetPIDs,MATCH($C582,rngCadetNames,0)),"?"))</f>
        <v/>
      </c>
      <c r="E582" s="14" t="n"/>
      <c r="F582" s="15">
        <f>IF($E582="","",IFERROR(INDEX(rngSM_max,MATCH($E582,rngSM_cat,0)),""))</f>
        <v/>
      </c>
      <c r="G582" s="15">
        <f>IF($E582="","",IFERROR(INDEX(rngSM_mode,MATCH($E582,rngSM_cat,0)),""))</f>
        <v/>
      </c>
      <c r="H582" s="15">
        <f>IF($E582="","",IFERROR(INDEX(rngSM_pass,MATCH($E582,rngSM_cat,0)),""))</f>
        <v/>
      </c>
      <c r="I582" s="14" t="n"/>
      <c r="J582" s="14" t="n"/>
      <c r="K582" s="14" t="n"/>
      <c r="L582" s="16" t="n"/>
      <c r="M582" s="14" t="n"/>
      <c r="N582" s="15">
        <f>IF($C582="","",COUNTIFS(nrSK_PID,$D582,nrSK_Cat,$E582))</f>
        <v/>
      </c>
      <c r="O582" s="15">
        <f>IF($C582="","",_xlfn.LET(_xlpm.latest,_xlfn.MAXIFS(nrSK_Att,nrSK_PID,$D582,nrSK_Cat,$E582),_xlpm.res,IF($I582=_xlpm.latest,$J582,""),IF($I582&lt;&gt;_xlpm.latest,"(superseded)",IF(_xlpm.res="","Pending",IF(_xlpm.res="Pass","Qualified",IF(AND(_xlpm.res="Fail",$N582&gt;=$F582),"FAILED OUT","Needs Remediation"))))))</f>
        <v/>
      </c>
      <c r="P582" s="15">
        <f>IF($C582="","",IF($O582="FAILED OUT","Yes","No"))</f>
        <v/>
      </c>
      <c r="Q582" s="14" t="n"/>
    </row>
    <row r="583">
      <c r="B583" s="15">
        <f>IF($C583="","",$D583&amp;"-"&amp;$E583&amp;"-"&amp;$I583)</f>
        <v/>
      </c>
      <c r="C583" s="14" t="n"/>
      <c r="D583" s="15">
        <f>IF($C583="","",IFERROR(INDEX(rngCadetPIDs,MATCH($C583,rngCadetNames,0)),"?"))</f>
        <v/>
      </c>
      <c r="E583" s="14" t="n"/>
      <c r="F583" s="15">
        <f>IF($E583="","",IFERROR(INDEX(rngSM_max,MATCH($E583,rngSM_cat,0)),""))</f>
        <v/>
      </c>
      <c r="G583" s="15">
        <f>IF($E583="","",IFERROR(INDEX(rngSM_mode,MATCH($E583,rngSM_cat,0)),""))</f>
        <v/>
      </c>
      <c r="H583" s="15">
        <f>IF($E583="","",IFERROR(INDEX(rngSM_pass,MATCH($E583,rngSM_cat,0)),""))</f>
        <v/>
      </c>
      <c r="I583" s="14" t="n"/>
      <c r="J583" s="14" t="n"/>
      <c r="K583" s="14" t="n"/>
      <c r="L583" s="16" t="n"/>
      <c r="M583" s="14" t="n"/>
      <c r="N583" s="15">
        <f>IF($C583="","",COUNTIFS(nrSK_PID,$D583,nrSK_Cat,$E583))</f>
        <v/>
      </c>
      <c r="O583" s="15">
        <f>IF($C583="","",_xlfn.LET(_xlpm.latest,_xlfn.MAXIFS(nrSK_Att,nrSK_PID,$D583,nrSK_Cat,$E583),_xlpm.res,IF($I583=_xlpm.latest,$J583,""),IF($I583&lt;&gt;_xlpm.latest,"(superseded)",IF(_xlpm.res="","Pending",IF(_xlpm.res="Pass","Qualified",IF(AND(_xlpm.res="Fail",$N583&gt;=$F583),"FAILED OUT","Needs Remediation"))))))</f>
        <v/>
      </c>
      <c r="P583" s="15">
        <f>IF($C583="","",IF($O583="FAILED OUT","Yes","No"))</f>
        <v/>
      </c>
      <c r="Q583" s="14" t="n"/>
    </row>
    <row r="584">
      <c r="B584" s="15">
        <f>IF($C584="","",$D584&amp;"-"&amp;$E584&amp;"-"&amp;$I584)</f>
        <v/>
      </c>
      <c r="C584" s="14" t="n"/>
      <c r="D584" s="15">
        <f>IF($C584="","",IFERROR(INDEX(rngCadetPIDs,MATCH($C584,rngCadetNames,0)),"?"))</f>
        <v/>
      </c>
      <c r="E584" s="14" t="n"/>
      <c r="F584" s="15">
        <f>IF($E584="","",IFERROR(INDEX(rngSM_max,MATCH($E584,rngSM_cat,0)),""))</f>
        <v/>
      </c>
      <c r="G584" s="15">
        <f>IF($E584="","",IFERROR(INDEX(rngSM_mode,MATCH($E584,rngSM_cat,0)),""))</f>
        <v/>
      </c>
      <c r="H584" s="15">
        <f>IF($E584="","",IFERROR(INDEX(rngSM_pass,MATCH($E584,rngSM_cat,0)),""))</f>
        <v/>
      </c>
      <c r="I584" s="14" t="n"/>
      <c r="J584" s="14" t="n"/>
      <c r="K584" s="14" t="n"/>
      <c r="L584" s="16" t="n"/>
      <c r="M584" s="14" t="n"/>
      <c r="N584" s="15">
        <f>IF($C584="","",COUNTIFS(nrSK_PID,$D584,nrSK_Cat,$E584))</f>
        <v/>
      </c>
      <c r="O584" s="15">
        <f>IF($C584="","",_xlfn.LET(_xlpm.latest,_xlfn.MAXIFS(nrSK_Att,nrSK_PID,$D584,nrSK_Cat,$E584),_xlpm.res,IF($I584=_xlpm.latest,$J584,""),IF($I584&lt;&gt;_xlpm.latest,"(superseded)",IF(_xlpm.res="","Pending",IF(_xlpm.res="Pass","Qualified",IF(AND(_xlpm.res="Fail",$N584&gt;=$F584),"FAILED OUT","Needs Remediation"))))))</f>
        <v/>
      </c>
      <c r="P584" s="15">
        <f>IF($C584="","",IF($O584="FAILED OUT","Yes","No"))</f>
        <v/>
      </c>
      <c r="Q584" s="14" t="n"/>
    </row>
    <row r="585">
      <c r="B585" s="15">
        <f>IF($C585="","",$D585&amp;"-"&amp;$E585&amp;"-"&amp;$I585)</f>
        <v/>
      </c>
      <c r="C585" s="14" t="n"/>
      <c r="D585" s="15">
        <f>IF($C585="","",IFERROR(INDEX(rngCadetPIDs,MATCH($C585,rngCadetNames,0)),"?"))</f>
        <v/>
      </c>
      <c r="E585" s="14" t="n"/>
      <c r="F585" s="15">
        <f>IF($E585="","",IFERROR(INDEX(rngSM_max,MATCH($E585,rngSM_cat,0)),""))</f>
        <v/>
      </c>
      <c r="G585" s="15">
        <f>IF($E585="","",IFERROR(INDEX(rngSM_mode,MATCH($E585,rngSM_cat,0)),""))</f>
        <v/>
      </c>
      <c r="H585" s="15">
        <f>IF($E585="","",IFERROR(INDEX(rngSM_pass,MATCH($E585,rngSM_cat,0)),""))</f>
        <v/>
      </c>
      <c r="I585" s="14" t="n"/>
      <c r="J585" s="14" t="n"/>
      <c r="K585" s="14" t="n"/>
      <c r="L585" s="16" t="n"/>
      <c r="M585" s="14" t="n"/>
      <c r="N585" s="15">
        <f>IF($C585="","",COUNTIFS(nrSK_PID,$D585,nrSK_Cat,$E585))</f>
        <v/>
      </c>
      <c r="O585" s="15">
        <f>IF($C585="","",_xlfn.LET(_xlpm.latest,_xlfn.MAXIFS(nrSK_Att,nrSK_PID,$D585,nrSK_Cat,$E585),_xlpm.res,IF($I585=_xlpm.latest,$J585,""),IF($I585&lt;&gt;_xlpm.latest,"(superseded)",IF(_xlpm.res="","Pending",IF(_xlpm.res="Pass","Qualified",IF(AND(_xlpm.res="Fail",$N585&gt;=$F585),"FAILED OUT","Needs Remediation"))))))</f>
        <v/>
      </c>
      <c r="P585" s="15">
        <f>IF($C585="","",IF($O585="FAILED OUT","Yes","No"))</f>
        <v/>
      </c>
      <c r="Q585" s="14" t="n"/>
    </row>
    <row r="586">
      <c r="B586" s="15">
        <f>IF($C586="","",$D586&amp;"-"&amp;$E586&amp;"-"&amp;$I586)</f>
        <v/>
      </c>
      <c r="C586" s="14" t="n"/>
      <c r="D586" s="15">
        <f>IF($C586="","",IFERROR(INDEX(rngCadetPIDs,MATCH($C586,rngCadetNames,0)),"?"))</f>
        <v/>
      </c>
      <c r="E586" s="14" t="n"/>
      <c r="F586" s="15">
        <f>IF($E586="","",IFERROR(INDEX(rngSM_max,MATCH($E586,rngSM_cat,0)),""))</f>
        <v/>
      </c>
      <c r="G586" s="15">
        <f>IF($E586="","",IFERROR(INDEX(rngSM_mode,MATCH($E586,rngSM_cat,0)),""))</f>
        <v/>
      </c>
      <c r="H586" s="15">
        <f>IF($E586="","",IFERROR(INDEX(rngSM_pass,MATCH($E586,rngSM_cat,0)),""))</f>
        <v/>
      </c>
      <c r="I586" s="14" t="n"/>
      <c r="J586" s="14" t="n"/>
      <c r="K586" s="14" t="n"/>
      <c r="L586" s="16" t="n"/>
      <c r="M586" s="14" t="n"/>
      <c r="N586" s="15">
        <f>IF($C586="","",COUNTIFS(nrSK_PID,$D586,nrSK_Cat,$E586))</f>
        <v/>
      </c>
      <c r="O586" s="15">
        <f>IF($C586="","",_xlfn.LET(_xlpm.latest,_xlfn.MAXIFS(nrSK_Att,nrSK_PID,$D586,nrSK_Cat,$E586),_xlpm.res,IF($I586=_xlpm.latest,$J586,""),IF($I586&lt;&gt;_xlpm.latest,"(superseded)",IF(_xlpm.res="","Pending",IF(_xlpm.res="Pass","Qualified",IF(AND(_xlpm.res="Fail",$N586&gt;=$F586),"FAILED OUT","Needs Remediation"))))))</f>
        <v/>
      </c>
      <c r="P586" s="15">
        <f>IF($C586="","",IF($O586="FAILED OUT","Yes","No"))</f>
        <v/>
      </c>
      <c r="Q586" s="14" t="n"/>
    </row>
    <row r="587">
      <c r="B587" s="15">
        <f>IF($C587="","",$D587&amp;"-"&amp;$E587&amp;"-"&amp;$I587)</f>
        <v/>
      </c>
      <c r="C587" s="14" t="n"/>
      <c r="D587" s="15">
        <f>IF($C587="","",IFERROR(INDEX(rngCadetPIDs,MATCH($C587,rngCadetNames,0)),"?"))</f>
        <v/>
      </c>
      <c r="E587" s="14" t="n"/>
      <c r="F587" s="15">
        <f>IF($E587="","",IFERROR(INDEX(rngSM_max,MATCH($E587,rngSM_cat,0)),""))</f>
        <v/>
      </c>
      <c r="G587" s="15">
        <f>IF($E587="","",IFERROR(INDEX(rngSM_mode,MATCH($E587,rngSM_cat,0)),""))</f>
        <v/>
      </c>
      <c r="H587" s="15">
        <f>IF($E587="","",IFERROR(INDEX(rngSM_pass,MATCH($E587,rngSM_cat,0)),""))</f>
        <v/>
      </c>
      <c r="I587" s="14" t="n"/>
      <c r="J587" s="14" t="n"/>
      <c r="K587" s="14" t="n"/>
      <c r="L587" s="16" t="n"/>
      <c r="M587" s="14" t="n"/>
      <c r="N587" s="15">
        <f>IF($C587="","",COUNTIFS(nrSK_PID,$D587,nrSK_Cat,$E587))</f>
        <v/>
      </c>
      <c r="O587" s="15">
        <f>IF($C587="","",_xlfn.LET(_xlpm.latest,_xlfn.MAXIFS(nrSK_Att,nrSK_PID,$D587,nrSK_Cat,$E587),_xlpm.res,IF($I587=_xlpm.latest,$J587,""),IF($I587&lt;&gt;_xlpm.latest,"(superseded)",IF(_xlpm.res="","Pending",IF(_xlpm.res="Pass","Qualified",IF(AND(_xlpm.res="Fail",$N587&gt;=$F587),"FAILED OUT","Needs Remediation"))))))</f>
        <v/>
      </c>
      <c r="P587" s="15">
        <f>IF($C587="","",IF($O587="FAILED OUT","Yes","No"))</f>
        <v/>
      </c>
      <c r="Q587" s="14" t="n"/>
    </row>
    <row r="588">
      <c r="B588" s="15">
        <f>IF($C588="","",$D588&amp;"-"&amp;$E588&amp;"-"&amp;$I588)</f>
        <v/>
      </c>
      <c r="C588" s="14" t="n"/>
      <c r="D588" s="15">
        <f>IF($C588="","",IFERROR(INDEX(rngCadetPIDs,MATCH($C588,rngCadetNames,0)),"?"))</f>
        <v/>
      </c>
      <c r="E588" s="14" t="n"/>
      <c r="F588" s="15">
        <f>IF($E588="","",IFERROR(INDEX(rngSM_max,MATCH($E588,rngSM_cat,0)),""))</f>
        <v/>
      </c>
      <c r="G588" s="15">
        <f>IF($E588="","",IFERROR(INDEX(rngSM_mode,MATCH($E588,rngSM_cat,0)),""))</f>
        <v/>
      </c>
      <c r="H588" s="15">
        <f>IF($E588="","",IFERROR(INDEX(rngSM_pass,MATCH($E588,rngSM_cat,0)),""))</f>
        <v/>
      </c>
      <c r="I588" s="14" t="n"/>
      <c r="J588" s="14" t="n"/>
      <c r="K588" s="14" t="n"/>
      <c r="L588" s="16" t="n"/>
      <c r="M588" s="14" t="n"/>
      <c r="N588" s="15">
        <f>IF($C588="","",COUNTIFS(nrSK_PID,$D588,nrSK_Cat,$E588))</f>
        <v/>
      </c>
      <c r="O588" s="15">
        <f>IF($C588="","",_xlfn.LET(_xlpm.latest,_xlfn.MAXIFS(nrSK_Att,nrSK_PID,$D588,nrSK_Cat,$E588),_xlpm.res,IF($I588=_xlpm.latest,$J588,""),IF($I588&lt;&gt;_xlpm.latest,"(superseded)",IF(_xlpm.res="","Pending",IF(_xlpm.res="Pass","Qualified",IF(AND(_xlpm.res="Fail",$N588&gt;=$F588),"FAILED OUT","Needs Remediation"))))))</f>
        <v/>
      </c>
      <c r="P588" s="15">
        <f>IF($C588="","",IF($O588="FAILED OUT","Yes","No"))</f>
        <v/>
      </c>
      <c r="Q588" s="14" t="n"/>
    </row>
    <row r="589">
      <c r="B589" s="15">
        <f>IF($C589="","",$D589&amp;"-"&amp;$E589&amp;"-"&amp;$I589)</f>
        <v/>
      </c>
      <c r="C589" s="14" t="n"/>
      <c r="D589" s="15">
        <f>IF($C589="","",IFERROR(INDEX(rngCadetPIDs,MATCH($C589,rngCadetNames,0)),"?"))</f>
        <v/>
      </c>
      <c r="E589" s="14" t="n"/>
      <c r="F589" s="15">
        <f>IF($E589="","",IFERROR(INDEX(rngSM_max,MATCH($E589,rngSM_cat,0)),""))</f>
        <v/>
      </c>
      <c r="G589" s="15">
        <f>IF($E589="","",IFERROR(INDEX(rngSM_mode,MATCH($E589,rngSM_cat,0)),""))</f>
        <v/>
      </c>
      <c r="H589" s="15">
        <f>IF($E589="","",IFERROR(INDEX(rngSM_pass,MATCH($E589,rngSM_cat,0)),""))</f>
        <v/>
      </c>
      <c r="I589" s="14" t="n"/>
      <c r="J589" s="14" t="n"/>
      <c r="K589" s="14" t="n"/>
      <c r="L589" s="16" t="n"/>
      <c r="M589" s="14" t="n"/>
      <c r="N589" s="15">
        <f>IF($C589="","",COUNTIFS(nrSK_PID,$D589,nrSK_Cat,$E589))</f>
        <v/>
      </c>
      <c r="O589" s="15">
        <f>IF($C589="","",_xlfn.LET(_xlpm.latest,_xlfn.MAXIFS(nrSK_Att,nrSK_PID,$D589,nrSK_Cat,$E589),_xlpm.res,IF($I589=_xlpm.latest,$J589,""),IF($I589&lt;&gt;_xlpm.latest,"(superseded)",IF(_xlpm.res="","Pending",IF(_xlpm.res="Pass","Qualified",IF(AND(_xlpm.res="Fail",$N589&gt;=$F589),"FAILED OUT","Needs Remediation"))))))</f>
        <v/>
      </c>
      <c r="P589" s="15">
        <f>IF($C589="","",IF($O589="FAILED OUT","Yes","No"))</f>
        <v/>
      </c>
      <c r="Q589" s="14" t="n"/>
    </row>
    <row r="590">
      <c r="B590" s="15">
        <f>IF($C590="","",$D590&amp;"-"&amp;$E590&amp;"-"&amp;$I590)</f>
        <v/>
      </c>
      <c r="C590" s="14" t="n"/>
      <c r="D590" s="15">
        <f>IF($C590="","",IFERROR(INDEX(rngCadetPIDs,MATCH($C590,rngCadetNames,0)),"?"))</f>
        <v/>
      </c>
      <c r="E590" s="14" t="n"/>
      <c r="F590" s="15">
        <f>IF($E590="","",IFERROR(INDEX(rngSM_max,MATCH($E590,rngSM_cat,0)),""))</f>
        <v/>
      </c>
      <c r="G590" s="15">
        <f>IF($E590="","",IFERROR(INDEX(rngSM_mode,MATCH($E590,rngSM_cat,0)),""))</f>
        <v/>
      </c>
      <c r="H590" s="15">
        <f>IF($E590="","",IFERROR(INDEX(rngSM_pass,MATCH($E590,rngSM_cat,0)),""))</f>
        <v/>
      </c>
      <c r="I590" s="14" t="n"/>
      <c r="J590" s="14" t="n"/>
      <c r="K590" s="14" t="n"/>
      <c r="L590" s="16" t="n"/>
      <c r="M590" s="14" t="n"/>
      <c r="N590" s="15">
        <f>IF($C590="","",COUNTIFS(nrSK_PID,$D590,nrSK_Cat,$E590))</f>
        <v/>
      </c>
      <c r="O590" s="15">
        <f>IF($C590="","",_xlfn.LET(_xlpm.latest,_xlfn.MAXIFS(nrSK_Att,nrSK_PID,$D590,nrSK_Cat,$E590),_xlpm.res,IF($I590=_xlpm.latest,$J590,""),IF($I590&lt;&gt;_xlpm.latest,"(superseded)",IF(_xlpm.res="","Pending",IF(_xlpm.res="Pass","Qualified",IF(AND(_xlpm.res="Fail",$N590&gt;=$F590),"FAILED OUT","Needs Remediation"))))))</f>
        <v/>
      </c>
      <c r="P590" s="15">
        <f>IF($C590="","",IF($O590="FAILED OUT","Yes","No"))</f>
        <v/>
      </c>
      <c r="Q590" s="14" t="n"/>
    </row>
    <row r="591">
      <c r="B591" s="15">
        <f>IF($C591="","",$D591&amp;"-"&amp;$E591&amp;"-"&amp;$I591)</f>
        <v/>
      </c>
      <c r="C591" s="14" t="n"/>
      <c r="D591" s="15">
        <f>IF($C591="","",IFERROR(INDEX(rngCadetPIDs,MATCH($C591,rngCadetNames,0)),"?"))</f>
        <v/>
      </c>
      <c r="E591" s="14" t="n"/>
      <c r="F591" s="15">
        <f>IF($E591="","",IFERROR(INDEX(rngSM_max,MATCH($E591,rngSM_cat,0)),""))</f>
        <v/>
      </c>
      <c r="G591" s="15">
        <f>IF($E591="","",IFERROR(INDEX(rngSM_mode,MATCH($E591,rngSM_cat,0)),""))</f>
        <v/>
      </c>
      <c r="H591" s="15">
        <f>IF($E591="","",IFERROR(INDEX(rngSM_pass,MATCH($E591,rngSM_cat,0)),""))</f>
        <v/>
      </c>
      <c r="I591" s="14" t="n"/>
      <c r="J591" s="14" t="n"/>
      <c r="K591" s="14" t="n"/>
      <c r="L591" s="16" t="n"/>
      <c r="M591" s="14" t="n"/>
      <c r="N591" s="15">
        <f>IF($C591="","",COUNTIFS(nrSK_PID,$D591,nrSK_Cat,$E591))</f>
        <v/>
      </c>
      <c r="O591" s="15">
        <f>IF($C591="","",_xlfn.LET(_xlpm.latest,_xlfn.MAXIFS(nrSK_Att,nrSK_PID,$D591,nrSK_Cat,$E591),_xlpm.res,IF($I591=_xlpm.latest,$J591,""),IF($I591&lt;&gt;_xlpm.latest,"(superseded)",IF(_xlpm.res="","Pending",IF(_xlpm.res="Pass","Qualified",IF(AND(_xlpm.res="Fail",$N591&gt;=$F591),"FAILED OUT","Needs Remediation"))))))</f>
        <v/>
      </c>
      <c r="P591" s="15">
        <f>IF($C591="","",IF($O591="FAILED OUT","Yes","No"))</f>
        <v/>
      </c>
      <c r="Q591" s="14" t="n"/>
    </row>
    <row r="592">
      <c r="B592" s="15">
        <f>IF($C592="","",$D592&amp;"-"&amp;$E592&amp;"-"&amp;$I592)</f>
        <v/>
      </c>
      <c r="C592" s="14" t="n"/>
      <c r="D592" s="15">
        <f>IF($C592="","",IFERROR(INDEX(rngCadetPIDs,MATCH($C592,rngCadetNames,0)),"?"))</f>
        <v/>
      </c>
      <c r="E592" s="14" t="n"/>
      <c r="F592" s="15">
        <f>IF($E592="","",IFERROR(INDEX(rngSM_max,MATCH($E592,rngSM_cat,0)),""))</f>
        <v/>
      </c>
      <c r="G592" s="15">
        <f>IF($E592="","",IFERROR(INDEX(rngSM_mode,MATCH($E592,rngSM_cat,0)),""))</f>
        <v/>
      </c>
      <c r="H592" s="15">
        <f>IF($E592="","",IFERROR(INDEX(rngSM_pass,MATCH($E592,rngSM_cat,0)),""))</f>
        <v/>
      </c>
      <c r="I592" s="14" t="n"/>
      <c r="J592" s="14" t="n"/>
      <c r="K592" s="14" t="n"/>
      <c r="L592" s="16" t="n"/>
      <c r="M592" s="14" t="n"/>
      <c r="N592" s="15">
        <f>IF($C592="","",COUNTIFS(nrSK_PID,$D592,nrSK_Cat,$E592))</f>
        <v/>
      </c>
      <c r="O592" s="15">
        <f>IF($C592="","",_xlfn.LET(_xlpm.latest,_xlfn.MAXIFS(nrSK_Att,nrSK_PID,$D592,nrSK_Cat,$E592),_xlpm.res,IF($I592=_xlpm.latest,$J592,""),IF($I592&lt;&gt;_xlpm.latest,"(superseded)",IF(_xlpm.res="","Pending",IF(_xlpm.res="Pass","Qualified",IF(AND(_xlpm.res="Fail",$N592&gt;=$F592),"FAILED OUT","Needs Remediation"))))))</f>
        <v/>
      </c>
      <c r="P592" s="15">
        <f>IF($C592="","",IF($O592="FAILED OUT","Yes","No"))</f>
        <v/>
      </c>
      <c r="Q592" s="14" t="n"/>
    </row>
    <row r="593">
      <c r="B593" s="15">
        <f>IF($C593="","",$D593&amp;"-"&amp;$E593&amp;"-"&amp;$I593)</f>
        <v/>
      </c>
      <c r="C593" s="14" t="n"/>
      <c r="D593" s="15">
        <f>IF($C593="","",IFERROR(INDEX(rngCadetPIDs,MATCH($C593,rngCadetNames,0)),"?"))</f>
        <v/>
      </c>
      <c r="E593" s="14" t="n"/>
      <c r="F593" s="15">
        <f>IF($E593="","",IFERROR(INDEX(rngSM_max,MATCH($E593,rngSM_cat,0)),""))</f>
        <v/>
      </c>
      <c r="G593" s="15">
        <f>IF($E593="","",IFERROR(INDEX(rngSM_mode,MATCH($E593,rngSM_cat,0)),""))</f>
        <v/>
      </c>
      <c r="H593" s="15">
        <f>IF($E593="","",IFERROR(INDEX(rngSM_pass,MATCH($E593,rngSM_cat,0)),""))</f>
        <v/>
      </c>
      <c r="I593" s="14" t="n"/>
      <c r="J593" s="14" t="n"/>
      <c r="K593" s="14" t="n"/>
      <c r="L593" s="16" t="n"/>
      <c r="M593" s="14" t="n"/>
      <c r="N593" s="15">
        <f>IF($C593="","",COUNTIFS(nrSK_PID,$D593,nrSK_Cat,$E593))</f>
        <v/>
      </c>
      <c r="O593" s="15">
        <f>IF($C593="","",_xlfn.LET(_xlpm.latest,_xlfn.MAXIFS(nrSK_Att,nrSK_PID,$D593,nrSK_Cat,$E593),_xlpm.res,IF($I593=_xlpm.latest,$J593,""),IF($I593&lt;&gt;_xlpm.latest,"(superseded)",IF(_xlpm.res="","Pending",IF(_xlpm.res="Pass","Qualified",IF(AND(_xlpm.res="Fail",$N593&gt;=$F593),"FAILED OUT","Needs Remediation"))))))</f>
        <v/>
      </c>
      <c r="P593" s="15">
        <f>IF($C593="","",IF($O593="FAILED OUT","Yes","No"))</f>
        <v/>
      </c>
      <c r="Q593" s="14" t="n"/>
    </row>
    <row r="594">
      <c r="B594" s="15">
        <f>IF($C594="","",$D594&amp;"-"&amp;$E594&amp;"-"&amp;$I594)</f>
        <v/>
      </c>
      <c r="C594" s="14" t="n"/>
      <c r="D594" s="15">
        <f>IF($C594="","",IFERROR(INDEX(rngCadetPIDs,MATCH($C594,rngCadetNames,0)),"?"))</f>
        <v/>
      </c>
      <c r="E594" s="14" t="n"/>
      <c r="F594" s="15">
        <f>IF($E594="","",IFERROR(INDEX(rngSM_max,MATCH($E594,rngSM_cat,0)),""))</f>
        <v/>
      </c>
      <c r="G594" s="15">
        <f>IF($E594="","",IFERROR(INDEX(rngSM_mode,MATCH($E594,rngSM_cat,0)),""))</f>
        <v/>
      </c>
      <c r="H594" s="15">
        <f>IF($E594="","",IFERROR(INDEX(rngSM_pass,MATCH($E594,rngSM_cat,0)),""))</f>
        <v/>
      </c>
      <c r="I594" s="14" t="n"/>
      <c r="J594" s="14" t="n"/>
      <c r="K594" s="14" t="n"/>
      <c r="L594" s="16" t="n"/>
      <c r="M594" s="14" t="n"/>
      <c r="N594" s="15">
        <f>IF($C594="","",COUNTIFS(nrSK_PID,$D594,nrSK_Cat,$E594))</f>
        <v/>
      </c>
      <c r="O594" s="15">
        <f>IF($C594="","",_xlfn.LET(_xlpm.latest,_xlfn.MAXIFS(nrSK_Att,nrSK_PID,$D594,nrSK_Cat,$E594),_xlpm.res,IF($I594=_xlpm.latest,$J594,""),IF($I594&lt;&gt;_xlpm.latest,"(superseded)",IF(_xlpm.res="","Pending",IF(_xlpm.res="Pass","Qualified",IF(AND(_xlpm.res="Fail",$N594&gt;=$F594),"FAILED OUT","Needs Remediation"))))))</f>
        <v/>
      </c>
      <c r="P594" s="15">
        <f>IF($C594="","",IF($O594="FAILED OUT","Yes","No"))</f>
        <v/>
      </c>
      <c r="Q594" s="14" t="n"/>
    </row>
    <row r="595">
      <c r="B595" s="15">
        <f>IF($C595="","",$D595&amp;"-"&amp;$E595&amp;"-"&amp;$I595)</f>
        <v/>
      </c>
      <c r="C595" s="14" t="n"/>
      <c r="D595" s="15">
        <f>IF($C595="","",IFERROR(INDEX(rngCadetPIDs,MATCH($C595,rngCadetNames,0)),"?"))</f>
        <v/>
      </c>
      <c r="E595" s="14" t="n"/>
      <c r="F595" s="15">
        <f>IF($E595="","",IFERROR(INDEX(rngSM_max,MATCH($E595,rngSM_cat,0)),""))</f>
        <v/>
      </c>
      <c r="G595" s="15">
        <f>IF($E595="","",IFERROR(INDEX(rngSM_mode,MATCH($E595,rngSM_cat,0)),""))</f>
        <v/>
      </c>
      <c r="H595" s="15">
        <f>IF($E595="","",IFERROR(INDEX(rngSM_pass,MATCH($E595,rngSM_cat,0)),""))</f>
        <v/>
      </c>
      <c r="I595" s="14" t="n"/>
      <c r="J595" s="14" t="n"/>
      <c r="K595" s="14" t="n"/>
      <c r="L595" s="16" t="n"/>
      <c r="M595" s="14" t="n"/>
      <c r="N595" s="15">
        <f>IF($C595="","",COUNTIFS(nrSK_PID,$D595,nrSK_Cat,$E595))</f>
        <v/>
      </c>
      <c r="O595" s="15">
        <f>IF($C595="","",_xlfn.LET(_xlpm.latest,_xlfn.MAXIFS(nrSK_Att,nrSK_PID,$D595,nrSK_Cat,$E595),_xlpm.res,IF($I595=_xlpm.latest,$J595,""),IF($I595&lt;&gt;_xlpm.latest,"(superseded)",IF(_xlpm.res="","Pending",IF(_xlpm.res="Pass","Qualified",IF(AND(_xlpm.res="Fail",$N595&gt;=$F595),"FAILED OUT","Needs Remediation"))))))</f>
        <v/>
      </c>
      <c r="P595" s="15">
        <f>IF($C595="","",IF($O595="FAILED OUT","Yes","No"))</f>
        <v/>
      </c>
      <c r="Q595" s="14" t="n"/>
    </row>
    <row r="596">
      <c r="B596" s="15">
        <f>IF($C596="","",$D596&amp;"-"&amp;$E596&amp;"-"&amp;$I596)</f>
        <v/>
      </c>
      <c r="C596" s="14" t="n"/>
      <c r="D596" s="15">
        <f>IF($C596="","",IFERROR(INDEX(rngCadetPIDs,MATCH($C596,rngCadetNames,0)),"?"))</f>
        <v/>
      </c>
      <c r="E596" s="14" t="n"/>
      <c r="F596" s="15">
        <f>IF($E596="","",IFERROR(INDEX(rngSM_max,MATCH($E596,rngSM_cat,0)),""))</f>
        <v/>
      </c>
      <c r="G596" s="15">
        <f>IF($E596="","",IFERROR(INDEX(rngSM_mode,MATCH($E596,rngSM_cat,0)),""))</f>
        <v/>
      </c>
      <c r="H596" s="15">
        <f>IF($E596="","",IFERROR(INDEX(rngSM_pass,MATCH($E596,rngSM_cat,0)),""))</f>
        <v/>
      </c>
      <c r="I596" s="14" t="n"/>
      <c r="J596" s="14" t="n"/>
      <c r="K596" s="14" t="n"/>
      <c r="L596" s="16" t="n"/>
      <c r="M596" s="14" t="n"/>
      <c r="N596" s="15">
        <f>IF($C596="","",COUNTIFS(nrSK_PID,$D596,nrSK_Cat,$E596))</f>
        <v/>
      </c>
      <c r="O596" s="15">
        <f>IF($C596="","",_xlfn.LET(_xlpm.latest,_xlfn.MAXIFS(nrSK_Att,nrSK_PID,$D596,nrSK_Cat,$E596),_xlpm.res,IF($I596=_xlpm.latest,$J596,""),IF($I596&lt;&gt;_xlpm.latest,"(superseded)",IF(_xlpm.res="","Pending",IF(_xlpm.res="Pass","Qualified",IF(AND(_xlpm.res="Fail",$N596&gt;=$F596),"FAILED OUT","Needs Remediation"))))))</f>
        <v/>
      </c>
      <c r="P596" s="15">
        <f>IF($C596="","",IF($O596="FAILED OUT","Yes","No"))</f>
        <v/>
      </c>
      <c r="Q596" s="14" t="n"/>
    </row>
    <row r="597">
      <c r="B597" s="15">
        <f>IF($C597="","",$D597&amp;"-"&amp;$E597&amp;"-"&amp;$I597)</f>
        <v/>
      </c>
      <c r="C597" s="14" t="n"/>
      <c r="D597" s="15">
        <f>IF($C597="","",IFERROR(INDEX(rngCadetPIDs,MATCH($C597,rngCadetNames,0)),"?"))</f>
        <v/>
      </c>
      <c r="E597" s="14" t="n"/>
      <c r="F597" s="15">
        <f>IF($E597="","",IFERROR(INDEX(rngSM_max,MATCH($E597,rngSM_cat,0)),""))</f>
        <v/>
      </c>
      <c r="G597" s="15">
        <f>IF($E597="","",IFERROR(INDEX(rngSM_mode,MATCH($E597,rngSM_cat,0)),""))</f>
        <v/>
      </c>
      <c r="H597" s="15">
        <f>IF($E597="","",IFERROR(INDEX(rngSM_pass,MATCH($E597,rngSM_cat,0)),""))</f>
        <v/>
      </c>
      <c r="I597" s="14" t="n"/>
      <c r="J597" s="14" t="n"/>
      <c r="K597" s="14" t="n"/>
      <c r="L597" s="16" t="n"/>
      <c r="M597" s="14" t="n"/>
      <c r="N597" s="15">
        <f>IF($C597="","",COUNTIFS(nrSK_PID,$D597,nrSK_Cat,$E597))</f>
        <v/>
      </c>
      <c r="O597" s="15">
        <f>IF($C597="","",_xlfn.LET(_xlpm.latest,_xlfn.MAXIFS(nrSK_Att,nrSK_PID,$D597,nrSK_Cat,$E597),_xlpm.res,IF($I597=_xlpm.latest,$J597,""),IF($I597&lt;&gt;_xlpm.latest,"(superseded)",IF(_xlpm.res="","Pending",IF(_xlpm.res="Pass","Qualified",IF(AND(_xlpm.res="Fail",$N597&gt;=$F597),"FAILED OUT","Needs Remediation"))))))</f>
        <v/>
      </c>
      <c r="P597" s="15">
        <f>IF($C597="","",IF($O597="FAILED OUT","Yes","No"))</f>
        <v/>
      </c>
      <c r="Q597" s="14" t="n"/>
    </row>
    <row r="598">
      <c r="B598" s="15">
        <f>IF($C598="","",$D598&amp;"-"&amp;$E598&amp;"-"&amp;$I598)</f>
        <v/>
      </c>
      <c r="C598" s="14" t="n"/>
      <c r="D598" s="15">
        <f>IF($C598="","",IFERROR(INDEX(rngCadetPIDs,MATCH($C598,rngCadetNames,0)),"?"))</f>
        <v/>
      </c>
      <c r="E598" s="14" t="n"/>
      <c r="F598" s="15">
        <f>IF($E598="","",IFERROR(INDEX(rngSM_max,MATCH($E598,rngSM_cat,0)),""))</f>
        <v/>
      </c>
      <c r="G598" s="15">
        <f>IF($E598="","",IFERROR(INDEX(rngSM_mode,MATCH($E598,rngSM_cat,0)),""))</f>
        <v/>
      </c>
      <c r="H598" s="15">
        <f>IF($E598="","",IFERROR(INDEX(rngSM_pass,MATCH($E598,rngSM_cat,0)),""))</f>
        <v/>
      </c>
      <c r="I598" s="14" t="n"/>
      <c r="J598" s="14" t="n"/>
      <c r="K598" s="14" t="n"/>
      <c r="L598" s="16" t="n"/>
      <c r="M598" s="14" t="n"/>
      <c r="N598" s="15">
        <f>IF($C598="","",COUNTIFS(nrSK_PID,$D598,nrSK_Cat,$E598))</f>
        <v/>
      </c>
      <c r="O598" s="15">
        <f>IF($C598="","",_xlfn.LET(_xlpm.latest,_xlfn.MAXIFS(nrSK_Att,nrSK_PID,$D598,nrSK_Cat,$E598),_xlpm.res,IF($I598=_xlpm.latest,$J598,""),IF($I598&lt;&gt;_xlpm.latest,"(superseded)",IF(_xlpm.res="","Pending",IF(_xlpm.res="Pass","Qualified",IF(AND(_xlpm.res="Fail",$N598&gt;=$F598),"FAILED OUT","Needs Remediation"))))))</f>
        <v/>
      </c>
      <c r="P598" s="15">
        <f>IF($C598="","",IF($O598="FAILED OUT","Yes","No"))</f>
        <v/>
      </c>
      <c r="Q598" s="14" t="n"/>
    </row>
    <row r="599">
      <c r="B599" s="15">
        <f>IF($C599="","",$D599&amp;"-"&amp;$E599&amp;"-"&amp;$I599)</f>
        <v/>
      </c>
      <c r="C599" s="14" t="n"/>
      <c r="D599" s="15">
        <f>IF($C599="","",IFERROR(INDEX(rngCadetPIDs,MATCH($C599,rngCadetNames,0)),"?"))</f>
        <v/>
      </c>
      <c r="E599" s="14" t="n"/>
      <c r="F599" s="15">
        <f>IF($E599="","",IFERROR(INDEX(rngSM_max,MATCH($E599,rngSM_cat,0)),""))</f>
        <v/>
      </c>
      <c r="G599" s="15">
        <f>IF($E599="","",IFERROR(INDEX(rngSM_mode,MATCH($E599,rngSM_cat,0)),""))</f>
        <v/>
      </c>
      <c r="H599" s="15">
        <f>IF($E599="","",IFERROR(INDEX(rngSM_pass,MATCH($E599,rngSM_cat,0)),""))</f>
        <v/>
      </c>
      <c r="I599" s="14" t="n"/>
      <c r="J599" s="14" t="n"/>
      <c r="K599" s="14" t="n"/>
      <c r="L599" s="16" t="n"/>
      <c r="M599" s="14" t="n"/>
      <c r="N599" s="15">
        <f>IF($C599="","",COUNTIFS(nrSK_PID,$D599,nrSK_Cat,$E599))</f>
        <v/>
      </c>
      <c r="O599" s="15">
        <f>IF($C599="","",_xlfn.LET(_xlpm.latest,_xlfn.MAXIFS(nrSK_Att,nrSK_PID,$D599,nrSK_Cat,$E599),_xlpm.res,IF($I599=_xlpm.latest,$J599,""),IF($I599&lt;&gt;_xlpm.latest,"(superseded)",IF(_xlpm.res="","Pending",IF(_xlpm.res="Pass","Qualified",IF(AND(_xlpm.res="Fail",$N599&gt;=$F599),"FAILED OUT","Needs Remediation"))))))</f>
        <v/>
      </c>
      <c r="P599" s="15">
        <f>IF($C599="","",IF($O599="FAILED OUT","Yes","No"))</f>
        <v/>
      </c>
      <c r="Q599" s="14" t="n"/>
    </row>
    <row r="600">
      <c r="B600" s="15">
        <f>IF($C600="","",$D600&amp;"-"&amp;$E600&amp;"-"&amp;$I600)</f>
        <v/>
      </c>
      <c r="C600" s="14" t="n"/>
      <c r="D600" s="15">
        <f>IF($C600="","",IFERROR(INDEX(rngCadetPIDs,MATCH($C600,rngCadetNames,0)),"?"))</f>
        <v/>
      </c>
      <c r="E600" s="14" t="n"/>
      <c r="F600" s="15">
        <f>IF($E600="","",IFERROR(INDEX(rngSM_max,MATCH($E600,rngSM_cat,0)),""))</f>
        <v/>
      </c>
      <c r="G600" s="15">
        <f>IF($E600="","",IFERROR(INDEX(rngSM_mode,MATCH($E600,rngSM_cat,0)),""))</f>
        <v/>
      </c>
      <c r="H600" s="15">
        <f>IF($E600="","",IFERROR(INDEX(rngSM_pass,MATCH($E600,rngSM_cat,0)),""))</f>
        <v/>
      </c>
      <c r="I600" s="14" t="n"/>
      <c r="J600" s="14" t="n"/>
      <c r="K600" s="14" t="n"/>
      <c r="L600" s="16" t="n"/>
      <c r="M600" s="14" t="n"/>
      <c r="N600" s="15">
        <f>IF($C600="","",COUNTIFS(nrSK_PID,$D600,nrSK_Cat,$E600))</f>
        <v/>
      </c>
      <c r="O600" s="15">
        <f>IF($C600="","",_xlfn.LET(_xlpm.latest,_xlfn.MAXIFS(nrSK_Att,nrSK_PID,$D600,nrSK_Cat,$E600),_xlpm.res,IF($I600=_xlpm.latest,$J600,""),IF($I600&lt;&gt;_xlpm.latest,"(superseded)",IF(_xlpm.res="","Pending",IF(_xlpm.res="Pass","Qualified",IF(AND(_xlpm.res="Fail",$N600&gt;=$F600),"FAILED OUT","Needs Remediation"))))))</f>
        <v/>
      </c>
      <c r="P600" s="15">
        <f>IF($C600="","",IF($O600="FAILED OUT","Yes","No"))</f>
        <v/>
      </c>
      <c r="Q600" s="14" t="n"/>
    </row>
    <row r="601">
      <c r="B601" s="15">
        <f>IF($C601="","",$D601&amp;"-"&amp;$E601&amp;"-"&amp;$I601)</f>
        <v/>
      </c>
      <c r="C601" s="14" t="n"/>
      <c r="D601" s="15">
        <f>IF($C601="","",IFERROR(INDEX(rngCadetPIDs,MATCH($C601,rngCadetNames,0)),"?"))</f>
        <v/>
      </c>
      <c r="E601" s="14" t="n"/>
      <c r="F601" s="15">
        <f>IF($E601="","",IFERROR(INDEX(rngSM_max,MATCH($E601,rngSM_cat,0)),""))</f>
        <v/>
      </c>
      <c r="G601" s="15">
        <f>IF($E601="","",IFERROR(INDEX(rngSM_mode,MATCH($E601,rngSM_cat,0)),""))</f>
        <v/>
      </c>
      <c r="H601" s="15">
        <f>IF($E601="","",IFERROR(INDEX(rngSM_pass,MATCH($E601,rngSM_cat,0)),""))</f>
        <v/>
      </c>
      <c r="I601" s="14" t="n"/>
      <c r="J601" s="14" t="n"/>
      <c r="K601" s="14" t="n"/>
      <c r="L601" s="16" t="n"/>
      <c r="M601" s="14" t="n"/>
      <c r="N601" s="15">
        <f>IF($C601="","",COUNTIFS(nrSK_PID,$D601,nrSK_Cat,$E601))</f>
        <v/>
      </c>
      <c r="O601" s="15">
        <f>IF($C601="","",_xlfn.LET(_xlpm.latest,_xlfn.MAXIFS(nrSK_Att,nrSK_PID,$D601,nrSK_Cat,$E601),_xlpm.res,IF($I601=_xlpm.latest,$J601,""),IF($I601&lt;&gt;_xlpm.latest,"(superseded)",IF(_xlpm.res="","Pending",IF(_xlpm.res="Pass","Qualified",IF(AND(_xlpm.res="Fail",$N601&gt;=$F601),"FAILED OUT","Needs Remediation"))))))</f>
        <v/>
      </c>
      <c r="P601" s="15">
        <f>IF($C601="","",IF($O601="FAILED OUT","Yes","No"))</f>
        <v/>
      </c>
      <c r="Q601" s="14" t="n"/>
    </row>
    <row r="602">
      <c r="B602" s="15">
        <f>IF($C602="","",$D602&amp;"-"&amp;$E602&amp;"-"&amp;$I602)</f>
        <v/>
      </c>
      <c r="C602" s="14" t="n"/>
      <c r="D602" s="15">
        <f>IF($C602="","",IFERROR(INDEX(rngCadetPIDs,MATCH($C602,rngCadetNames,0)),"?"))</f>
        <v/>
      </c>
      <c r="E602" s="14" t="n"/>
      <c r="F602" s="15">
        <f>IF($E602="","",IFERROR(INDEX(rngSM_max,MATCH($E602,rngSM_cat,0)),""))</f>
        <v/>
      </c>
      <c r="G602" s="15">
        <f>IF($E602="","",IFERROR(INDEX(rngSM_mode,MATCH($E602,rngSM_cat,0)),""))</f>
        <v/>
      </c>
      <c r="H602" s="15">
        <f>IF($E602="","",IFERROR(INDEX(rngSM_pass,MATCH($E602,rngSM_cat,0)),""))</f>
        <v/>
      </c>
      <c r="I602" s="14" t="n"/>
      <c r="J602" s="14" t="n"/>
      <c r="K602" s="14" t="n"/>
      <c r="L602" s="16" t="n"/>
      <c r="M602" s="14" t="n"/>
      <c r="N602" s="15">
        <f>IF($C602="","",COUNTIFS(nrSK_PID,$D602,nrSK_Cat,$E602))</f>
        <v/>
      </c>
      <c r="O602" s="15">
        <f>IF($C602="","",_xlfn.LET(_xlpm.latest,_xlfn.MAXIFS(nrSK_Att,nrSK_PID,$D602,nrSK_Cat,$E602),_xlpm.res,IF($I602=_xlpm.latest,$J602,""),IF($I602&lt;&gt;_xlpm.latest,"(superseded)",IF(_xlpm.res="","Pending",IF(_xlpm.res="Pass","Qualified",IF(AND(_xlpm.res="Fail",$N602&gt;=$F602),"FAILED OUT","Needs Remediation"))))))</f>
        <v/>
      </c>
      <c r="P602" s="15">
        <f>IF($C602="","",IF($O602="FAILED OUT","Yes","No"))</f>
        <v/>
      </c>
      <c r="Q602" s="14" t="n"/>
    </row>
    <row r="603">
      <c r="B603" s="15">
        <f>IF($C603="","",$D603&amp;"-"&amp;$E603&amp;"-"&amp;$I603)</f>
        <v/>
      </c>
      <c r="C603" s="14" t="n"/>
      <c r="D603" s="15">
        <f>IF($C603="","",IFERROR(INDEX(rngCadetPIDs,MATCH($C603,rngCadetNames,0)),"?"))</f>
        <v/>
      </c>
      <c r="E603" s="14" t="n"/>
      <c r="F603" s="15">
        <f>IF($E603="","",IFERROR(INDEX(rngSM_max,MATCH($E603,rngSM_cat,0)),""))</f>
        <v/>
      </c>
      <c r="G603" s="15">
        <f>IF($E603="","",IFERROR(INDEX(rngSM_mode,MATCH($E603,rngSM_cat,0)),""))</f>
        <v/>
      </c>
      <c r="H603" s="15">
        <f>IF($E603="","",IFERROR(INDEX(rngSM_pass,MATCH($E603,rngSM_cat,0)),""))</f>
        <v/>
      </c>
      <c r="I603" s="14" t="n"/>
      <c r="J603" s="14" t="n"/>
      <c r="K603" s="14" t="n"/>
      <c r="L603" s="16" t="n"/>
      <c r="M603" s="14" t="n"/>
      <c r="N603" s="15">
        <f>IF($C603="","",COUNTIFS(nrSK_PID,$D603,nrSK_Cat,$E603))</f>
        <v/>
      </c>
      <c r="O603" s="15">
        <f>IF($C603="","",_xlfn.LET(_xlpm.latest,_xlfn.MAXIFS(nrSK_Att,nrSK_PID,$D603,nrSK_Cat,$E603),_xlpm.res,IF($I603=_xlpm.latest,$J603,""),IF($I603&lt;&gt;_xlpm.latest,"(superseded)",IF(_xlpm.res="","Pending",IF(_xlpm.res="Pass","Qualified",IF(AND(_xlpm.res="Fail",$N603&gt;=$F603),"FAILED OUT","Needs Remediation"))))))</f>
        <v/>
      </c>
      <c r="P603" s="15">
        <f>IF($C603="","",IF($O603="FAILED OUT","Yes","No"))</f>
        <v/>
      </c>
      <c r="Q603" s="14" t="n"/>
    </row>
    <row r="604">
      <c r="B604" s="15">
        <f>IF($C604="","",$D604&amp;"-"&amp;$E604&amp;"-"&amp;$I604)</f>
        <v/>
      </c>
      <c r="C604" s="14" t="n"/>
      <c r="D604" s="15">
        <f>IF($C604="","",IFERROR(INDEX(rngCadetPIDs,MATCH($C604,rngCadetNames,0)),"?"))</f>
        <v/>
      </c>
      <c r="E604" s="14" t="n"/>
      <c r="F604" s="15">
        <f>IF($E604="","",IFERROR(INDEX(rngSM_max,MATCH($E604,rngSM_cat,0)),""))</f>
        <v/>
      </c>
      <c r="G604" s="15">
        <f>IF($E604="","",IFERROR(INDEX(rngSM_mode,MATCH($E604,rngSM_cat,0)),""))</f>
        <v/>
      </c>
      <c r="H604" s="15">
        <f>IF($E604="","",IFERROR(INDEX(rngSM_pass,MATCH($E604,rngSM_cat,0)),""))</f>
        <v/>
      </c>
      <c r="I604" s="14" t="n"/>
      <c r="J604" s="14" t="n"/>
      <c r="K604" s="14" t="n"/>
      <c r="L604" s="16" t="n"/>
      <c r="M604" s="14" t="n"/>
      <c r="N604" s="15">
        <f>IF($C604="","",COUNTIFS(nrSK_PID,$D604,nrSK_Cat,$E604))</f>
        <v/>
      </c>
      <c r="O604" s="15">
        <f>IF($C604="","",_xlfn.LET(_xlpm.latest,_xlfn.MAXIFS(nrSK_Att,nrSK_PID,$D604,nrSK_Cat,$E604),_xlpm.res,IF($I604=_xlpm.latest,$J604,""),IF($I604&lt;&gt;_xlpm.latest,"(superseded)",IF(_xlpm.res="","Pending",IF(_xlpm.res="Pass","Qualified",IF(AND(_xlpm.res="Fail",$N604&gt;=$F604),"FAILED OUT","Needs Remediation"))))))</f>
        <v/>
      </c>
      <c r="P604" s="15">
        <f>IF($C604="","",IF($O604="FAILED OUT","Yes","No"))</f>
        <v/>
      </c>
      <c r="Q604" s="14" t="n"/>
    </row>
    <row r="605">
      <c r="B605" s="15">
        <f>IF($C605="","",$D605&amp;"-"&amp;$E605&amp;"-"&amp;$I605)</f>
        <v/>
      </c>
      <c r="C605" s="14" t="n"/>
      <c r="D605" s="15">
        <f>IF($C605="","",IFERROR(INDEX(rngCadetPIDs,MATCH($C605,rngCadetNames,0)),"?"))</f>
        <v/>
      </c>
      <c r="E605" s="14" t="n"/>
      <c r="F605" s="15">
        <f>IF($E605="","",IFERROR(INDEX(rngSM_max,MATCH($E605,rngSM_cat,0)),""))</f>
        <v/>
      </c>
      <c r="G605" s="15">
        <f>IF($E605="","",IFERROR(INDEX(rngSM_mode,MATCH($E605,rngSM_cat,0)),""))</f>
        <v/>
      </c>
      <c r="H605" s="15">
        <f>IF($E605="","",IFERROR(INDEX(rngSM_pass,MATCH($E605,rngSM_cat,0)),""))</f>
        <v/>
      </c>
      <c r="I605" s="14" t="n"/>
      <c r="J605" s="14" t="n"/>
      <c r="K605" s="14" t="n"/>
      <c r="L605" s="16" t="n"/>
      <c r="M605" s="14" t="n"/>
      <c r="N605" s="15">
        <f>IF($C605="","",COUNTIFS(nrSK_PID,$D605,nrSK_Cat,$E605))</f>
        <v/>
      </c>
      <c r="O605" s="15">
        <f>IF($C605="","",_xlfn.LET(_xlpm.latest,_xlfn.MAXIFS(nrSK_Att,nrSK_PID,$D605,nrSK_Cat,$E605),_xlpm.res,IF($I605=_xlpm.latest,$J605,""),IF($I605&lt;&gt;_xlpm.latest,"(superseded)",IF(_xlpm.res="","Pending",IF(_xlpm.res="Pass","Qualified",IF(AND(_xlpm.res="Fail",$N605&gt;=$F605),"FAILED OUT","Needs Remediation"))))))</f>
        <v/>
      </c>
      <c r="P605" s="15">
        <f>IF($C605="","",IF($O605="FAILED OUT","Yes","No"))</f>
        <v/>
      </c>
      <c r="Q605" s="14" t="n"/>
    </row>
  </sheetData>
  <conditionalFormatting sqref="O6:O605">
    <cfRule type="expression" priority="1" dxfId="0">
      <formula>$O6="FAILED OUT"</formula>
    </cfRule>
  </conditionalFormatting>
  <dataValidations count="4">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row r="2"/>
    <row r="3"/>
    <row r="4">
      <c r="B4" s="8" t="inlineStr">
        <is>
          <t>Mark "Yes" when an assignment is received. Red cells are past their computed due date (see WritingMaster). Works exactly like the previous workbook.</t>
        </is>
      </c>
    </row>
    <row r="5" ht="26" customHeight="1">
      <c r="B5" s="9" t="inlineStr">
        <is>
          <t>PID</t>
        </is>
      </c>
      <c r="C5" s="9" t="inlineStr">
        <is>
          <t>Cadet Name</t>
        </is>
      </c>
      <c r="D5" s="9" t="inlineStr">
        <is>
          <t>#1</t>
        </is>
      </c>
      <c r="E5" s="9" t="inlineStr">
        <is>
          <t>#2</t>
        </is>
      </c>
      <c r="F5" s="9" t="inlineStr">
        <is>
          <t>#3</t>
        </is>
      </c>
      <c r="G5" s="9" t="inlineStr">
        <is>
          <t>#4</t>
        </is>
      </c>
      <c r="H5" s="9" t="inlineStr">
        <is>
          <t>#5</t>
        </is>
      </c>
      <c r="I5" s="9" t="inlineStr">
        <is>
          <t>#6</t>
        </is>
      </c>
      <c r="J5" s="9" t="inlineStr">
        <is>
          <t>#7</t>
        </is>
      </c>
      <c r="K5" s="9" t="inlineStr">
        <is>
          <t>#8</t>
        </is>
      </c>
      <c r="L5" s="9" t="inlineStr">
        <is>
          <t>#9</t>
        </is>
      </c>
      <c r="M5" s="9" t="inlineStr">
        <is>
          <t>#10</t>
        </is>
      </c>
      <c r="N5" s="9" t="inlineStr">
        <is>
          <t>#11</t>
        </is>
      </c>
      <c r="O5" s="9" t="inlineStr">
        <is>
          <t>#12</t>
        </is>
      </c>
      <c r="P5" s="9" t="inlineStr">
        <is>
          <t>#13</t>
        </is>
      </c>
      <c r="Q5" s="9" t="inlineStr">
        <is>
          <t>#14</t>
        </is>
      </c>
      <c r="R5" s="9" t="inlineStr">
        <is>
          <t>#15</t>
        </is>
      </c>
      <c r="S5" s="9" t="inlineStr">
        <is>
          <t>#16</t>
        </is>
      </c>
      <c r="T5" s="9" t="inlineStr">
        <is>
          <t>#17</t>
        </is>
      </c>
      <c r="U5" s="9" t="inlineStr">
        <is>
          <t>#18</t>
        </is>
      </c>
      <c r="V5" s="9" t="inlineStr">
        <is>
          <t>#19</t>
        </is>
      </c>
      <c r="W5" s="9" t="inlineStr">
        <is>
          <t>#20</t>
        </is>
      </c>
      <c r="X5" s="9" t="inlineStr">
        <is>
          <t>#21</t>
        </is>
      </c>
      <c r="Y5" s="9" t="inlineStr">
        <is>
          <t>#22</t>
        </is>
      </c>
      <c r="Z5" s="9" t="inlineStr">
        <is>
          <t>#23</t>
        </is>
      </c>
      <c r="AA5" s="9" t="inlineStr">
        <is>
          <t>#24</t>
        </is>
      </c>
      <c r="AB5" s="9" t="inlineStr">
        <is>
          <t>#25</t>
        </is>
      </c>
      <c r="AC5" s="9" t="inlineStr">
        <is>
          <t>#26</t>
        </is>
      </c>
      <c r="AD5" s="9" t="inlineStr">
        <is>
          <t>#27</t>
        </is>
      </c>
      <c r="AE5" s="9" t="inlineStr">
        <is>
          <t>#28</t>
        </is>
      </c>
      <c r="AF5" s="9" t="inlineStr">
        <is>
          <t>#29</t>
        </is>
      </c>
      <c r="AG5" s="9" t="inlineStr">
        <is>
          <t>#30</t>
        </is>
      </c>
      <c r="AH5" s="9" t="inlineStr">
        <is>
          <t>#31</t>
        </is>
      </c>
      <c r="AI5" s="9" t="inlineStr">
        <is>
          <t>#32</t>
        </is>
      </c>
      <c r="AJ5" s="9" t="inlineStr">
        <is>
          <t>#33</t>
        </is>
      </c>
      <c r="AK5" s="9" t="inlineStr">
        <is>
          <t>#34</t>
        </is>
      </c>
      <c r="AL5" s="9" t="inlineStr">
        <is>
          <t>#35</t>
        </is>
      </c>
      <c r="AM5" s="9" t="inlineStr">
        <is>
          <t>#36</t>
        </is>
      </c>
      <c r="AN5" s="9" t="inlineStr">
        <is>
          <t>#37</t>
        </is>
      </c>
      <c r="AO5" s="9" t="inlineStr">
        <is>
          <t>#38</t>
        </is>
      </c>
      <c r="AP5" s="9" t="inlineStr">
        <is>
          <t>#39</t>
        </is>
      </c>
      <c r="AQ5" s="9" t="inlineStr">
        <is>
          <t>#40</t>
        </is>
      </c>
      <c r="AR5" s="9" t="inlineStr">
        <is>
          <t>Complete (of 40)</t>
        </is>
      </c>
      <c r="AS5" s="9" t="inlineStr">
        <is>
          <t>Overdue Missing</t>
        </is>
      </c>
      <c r="AT5" s="9" t="inlineStr">
        <is>
          <t>Writing Current?</t>
        </is>
      </c>
    </row>
    <row r="6">
      <c r="B6" s="15">
        <f>IF(Cadets!$B6="","",Cadets!$B6)</f>
        <v/>
      </c>
      <c r="C6" s="15">
        <f>IF(Cadets!$B6="","",Cadets!$F6)</f>
        <v/>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c r="AA6" s="14" t="n"/>
      <c r="AB6" s="14" t="n"/>
      <c r="AC6" s="14" t="n"/>
      <c r="AD6" s="14" t="n"/>
      <c r="AE6" s="14" t="n"/>
      <c r="AF6" s="14" t="n"/>
      <c r="AG6" s="14" t="n"/>
      <c r="AH6" s="14" t="n"/>
      <c r="AI6" s="14" t="n"/>
      <c r="AJ6" s="14" t="n"/>
      <c r="AK6" s="14" t="n"/>
      <c r="AL6" s="14" t="n"/>
      <c r="AM6" s="14" t="n"/>
      <c r="AN6" s="14" t="n"/>
      <c r="AO6" s="14" t="n"/>
      <c r="AP6" s="14" t="n"/>
      <c r="AQ6" s="14" t="n"/>
      <c r="AR6" s="15">
        <f>IF($B6="","",COUNTIF(D6:AQ6,"Yes"))</f>
        <v/>
      </c>
      <c r="AS6" s="15">
        <f>IF($B6="","",SUMPRODUCT((D6:AQ6&lt;&gt;"Yes")*(TRANSPOSE(rngWMdue)&lt;&gt;"")*(TRANSPOSE(rngWMdue)&lt;TODAY())))</f>
        <v/>
      </c>
      <c r="AT6" s="15">
        <f>IF($B6="","",IF(AS6=0,"Yes","No"))</f>
        <v/>
      </c>
    </row>
    <row r="7">
      <c r="B7" s="15">
        <f>IF(Cadets!$B7="","",Cadets!$B7)</f>
        <v/>
      </c>
      <c r="C7" s="15">
        <f>IF(Cadets!$B7="","",Cadets!$F7)</f>
        <v/>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5">
        <f>IF($B7="","",COUNTIF(D7:AQ7,"Yes"))</f>
        <v/>
      </c>
      <c r="AS7" s="15">
        <f>IF($B7="","",SUMPRODUCT((D7:AQ7&lt;&gt;"Yes")*(TRANSPOSE(rngWMdue)&lt;&gt;"")*(TRANSPOSE(rngWMdue)&lt;TODAY())))</f>
        <v/>
      </c>
      <c r="AT7" s="15">
        <f>IF($B7="","",IF(AS7=0,"Yes","No"))</f>
        <v/>
      </c>
    </row>
    <row r="8">
      <c r="B8" s="15">
        <f>IF(Cadets!$B8="","",Cadets!$B8)</f>
        <v/>
      </c>
      <c r="C8" s="15">
        <f>IF(Cadets!$B8="","",Cadets!$F8)</f>
        <v/>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5">
        <f>IF($B8="","",COUNTIF(D8:AQ8,"Yes"))</f>
        <v/>
      </c>
      <c r="AS8" s="15">
        <f>IF($B8="","",SUMPRODUCT((D8:AQ8&lt;&gt;"Yes")*(TRANSPOSE(rngWMdue)&lt;&gt;"")*(TRANSPOSE(rngWMdue)&lt;TODAY())))</f>
        <v/>
      </c>
      <c r="AT8" s="15">
        <f>IF($B8="","",IF(AS8=0,"Yes","No"))</f>
        <v/>
      </c>
    </row>
    <row r="9">
      <c r="B9" s="15">
        <f>IF(Cadets!$B9="","",Cadets!$B9)</f>
        <v/>
      </c>
      <c r="C9" s="15">
        <f>IF(Cadets!$B9="","",Cadets!$F9)</f>
        <v/>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5">
        <f>IF($B9="","",COUNTIF(D9:AQ9,"Yes"))</f>
        <v/>
      </c>
      <c r="AS9" s="15">
        <f>IF($B9="","",SUMPRODUCT((D9:AQ9&lt;&gt;"Yes")*(TRANSPOSE(rngWMdue)&lt;&gt;"")*(TRANSPOSE(rngWMdue)&lt;TODAY())))</f>
        <v/>
      </c>
      <c r="AT9" s="15">
        <f>IF($B9="","",IF(AS9=0,"Yes","No"))</f>
        <v/>
      </c>
    </row>
    <row r="10">
      <c r="B10" s="15">
        <f>IF(Cadets!$B10="","",Cadets!$B10)</f>
        <v/>
      </c>
      <c r="C10" s="15">
        <f>IF(Cadets!$B10="","",Cadets!$F10)</f>
        <v/>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5">
        <f>IF($B10="","",COUNTIF(D10:AQ10,"Yes"))</f>
        <v/>
      </c>
      <c r="AS10" s="15">
        <f>IF($B10="","",SUMPRODUCT((D10:AQ10&lt;&gt;"Yes")*(TRANSPOSE(rngWMdue)&lt;&gt;"")*(TRANSPOSE(rngWMdue)&lt;TODAY())))</f>
        <v/>
      </c>
      <c r="AT10" s="15">
        <f>IF($B10="","",IF(AS10=0,"Yes","No"))</f>
        <v/>
      </c>
    </row>
    <row r="11">
      <c r="B11" s="15">
        <f>IF(Cadets!$B11="","",Cadets!$B11)</f>
        <v/>
      </c>
      <c r="C11" s="15">
        <f>IF(Cadets!$B11="","",Cadets!$F11)</f>
        <v/>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c r="AH11" s="14" t="n"/>
      <c r="AI11" s="14" t="n"/>
      <c r="AJ11" s="14" t="n"/>
      <c r="AK11" s="14" t="n"/>
      <c r="AL11" s="14" t="n"/>
      <c r="AM11" s="14" t="n"/>
      <c r="AN11" s="14" t="n"/>
      <c r="AO11" s="14" t="n"/>
      <c r="AP11" s="14" t="n"/>
      <c r="AQ11" s="14" t="n"/>
      <c r="AR11" s="15">
        <f>IF($B11="","",COUNTIF(D11:AQ11,"Yes"))</f>
        <v/>
      </c>
      <c r="AS11" s="15">
        <f>IF($B11="","",SUMPRODUCT((D11:AQ11&lt;&gt;"Yes")*(TRANSPOSE(rngWMdue)&lt;&gt;"")*(TRANSPOSE(rngWMdue)&lt;TODAY())))</f>
        <v/>
      </c>
      <c r="AT11" s="15">
        <f>IF($B11="","",IF(AS11=0,"Yes","No"))</f>
        <v/>
      </c>
    </row>
    <row r="12">
      <c r="B12" s="15">
        <f>IF(Cadets!$B12="","",Cadets!$B12)</f>
        <v/>
      </c>
      <c r="C12" s="15">
        <f>IF(Cadets!$B12="","",Cadets!$F12)</f>
        <v/>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c r="AH12" s="14" t="n"/>
      <c r="AI12" s="14" t="n"/>
      <c r="AJ12" s="14" t="n"/>
      <c r="AK12" s="14" t="n"/>
      <c r="AL12" s="14" t="n"/>
      <c r="AM12" s="14" t="n"/>
      <c r="AN12" s="14" t="n"/>
      <c r="AO12" s="14" t="n"/>
      <c r="AP12" s="14" t="n"/>
      <c r="AQ12" s="14" t="n"/>
      <c r="AR12" s="15">
        <f>IF($B12="","",COUNTIF(D12:AQ12,"Yes"))</f>
        <v/>
      </c>
      <c r="AS12" s="15">
        <f>IF($B12="","",SUMPRODUCT((D12:AQ12&lt;&gt;"Yes")*(TRANSPOSE(rngWMdue)&lt;&gt;"")*(TRANSPOSE(rngWMdue)&lt;TODAY())))</f>
        <v/>
      </c>
      <c r="AT12" s="15">
        <f>IF($B12="","",IF(AS12=0,"Yes","No"))</f>
        <v/>
      </c>
    </row>
    <row r="13">
      <c r="B13" s="15">
        <f>IF(Cadets!$B13="","",Cadets!$B13)</f>
        <v/>
      </c>
      <c r="C13" s="15">
        <f>IF(Cadets!$B13="","",Cadets!$F13)</f>
        <v/>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c r="AH13" s="14" t="n"/>
      <c r="AI13" s="14" t="n"/>
      <c r="AJ13" s="14" t="n"/>
      <c r="AK13" s="14" t="n"/>
      <c r="AL13" s="14" t="n"/>
      <c r="AM13" s="14" t="n"/>
      <c r="AN13" s="14" t="n"/>
      <c r="AO13" s="14" t="n"/>
      <c r="AP13" s="14" t="n"/>
      <c r="AQ13" s="14" t="n"/>
      <c r="AR13" s="15">
        <f>IF($B13="","",COUNTIF(D13:AQ13,"Yes"))</f>
        <v/>
      </c>
      <c r="AS13" s="15">
        <f>IF($B13="","",SUMPRODUCT((D13:AQ13&lt;&gt;"Yes")*(TRANSPOSE(rngWMdue)&lt;&gt;"")*(TRANSPOSE(rngWMdue)&lt;TODAY())))</f>
        <v/>
      </c>
      <c r="AT13" s="15">
        <f>IF($B13="","",IF(AS13=0,"Yes","No"))</f>
        <v/>
      </c>
    </row>
    <row r="14">
      <c r="B14" s="15">
        <f>IF(Cadets!$B14="","",Cadets!$B14)</f>
        <v/>
      </c>
      <c r="C14" s="15">
        <f>IF(Cadets!$B14="","",Cadets!$F14)</f>
        <v/>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c r="AH14" s="14" t="n"/>
      <c r="AI14" s="14" t="n"/>
      <c r="AJ14" s="14" t="n"/>
      <c r="AK14" s="14" t="n"/>
      <c r="AL14" s="14" t="n"/>
      <c r="AM14" s="14" t="n"/>
      <c r="AN14" s="14" t="n"/>
      <c r="AO14" s="14" t="n"/>
      <c r="AP14" s="14" t="n"/>
      <c r="AQ14" s="14" t="n"/>
      <c r="AR14" s="15">
        <f>IF($B14="","",COUNTIF(D14:AQ14,"Yes"))</f>
        <v/>
      </c>
      <c r="AS14" s="15">
        <f>IF($B14="","",SUMPRODUCT((D14:AQ14&lt;&gt;"Yes")*(TRANSPOSE(rngWMdue)&lt;&gt;"")*(TRANSPOSE(rngWMdue)&lt;TODAY())))</f>
        <v/>
      </c>
      <c r="AT14" s="15">
        <f>IF($B14="","",IF(AS14=0,"Yes","No"))</f>
        <v/>
      </c>
    </row>
    <row r="15">
      <c r="B15" s="15">
        <f>IF(Cadets!$B15="","",Cadets!$B15)</f>
        <v/>
      </c>
      <c r="C15" s="15">
        <f>IF(Cadets!$B15="","",Cadets!$F15)</f>
        <v/>
      </c>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14" t="n"/>
      <c r="AI15" s="14" t="n"/>
      <c r="AJ15" s="14" t="n"/>
      <c r="AK15" s="14" t="n"/>
      <c r="AL15" s="14" t="n"/>
      <c r="AM15" s="14" t="n"/>
      <c r="AN15" s="14" t="n"/>
      <c r="AO15" s="14" t="n"/>
      <c r="AP15" s="14" t="n"/>
      <c r="AQ15" s="14" t="n"/>
      <c r="AR15" s="15">
        <f>IF($B15="","",COUNTIF(D15:AQ15,"Yes"))</f>
        <v/>
      </c>
      <c r="AS15" s="15">
        <f>IF($B15="","",SUMPRODUCT((D15:AQ15&lt;&gt;"Yes")*(TRANSPOSE(rngWMdue)&lt;&gt;"")*(TRANSPOSE(rngWMdue)&lt;TODAY())))</f>
        <v/>
      </c>
      <c r="AT15" s="15">
        <f>IF($B15="","",IF(AS15=0,"Yes","No"))</f>
        <v/>
      </c>
    </row>
    <row r="16">
      <c r="B16" s="15">
        <f>IF(Cadets!$B16="","",Cadets!$B16)</f>
        <v/>
      </c>
      <c r="C16" s="15">
        <f>IF(Cadets!$B16="","",Cadets!$F16)</f>
        <v/>
      </c>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5">
        <f>IF($B16="","",COUNTIF(D16:AQ16,"Yes"))</f>
        <v/>
      </c>
      <c r="AS16" s="15">
        <f>IF($B16="","",SUMPRODUCT((D16:AQ16&lt;&gt;"Yes")*(TRANSPOSE(rngWMdue)&lt;&gt;"")*(TRANSPOSE(rngWMdue)&lt;TODAY())))</f>
        <v/>
      </c>
      <c r="AT16" s="15">
        <f>IF($B16="","",IF(AS16=0,"Yes","No"))</f>
        <v/>
      </c>
    </row>
    <row r="17">
      <c r="B17" s="15">
        <f>IF(Cadets!$B17="","",Cadets!$B17)</f>
        <v/>
      </c>
      <c r="C17" s="15">
        <f>IF(Cadets!$B17="","",Cadets!$F17)</f>
        <v/>
      </c>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c r="AH17" s="14" t="n"/>
      <c r="AI17" s="14" t="n"/>
      <c r="AJ17" s="14" t="n"/>
      <c r="AK17" s="14" t="n"/>
      <c r="AL17" s="14" t="n"/>
      <c r="AM17" s="14" t="n"/>
      <c r="AN17" s="14" t="n"/>
      <c r="AO17" s="14" t="n"/>
      <c r="AP17" s="14" t="n"/>
      <c r="AQ17" s="14" t="n"/>
      <c r="AR17" s="15">
        <f>IF($B17="","",COUNTIF(D17:AQ17,"Yes"))</f>
        <v/>
      </c>
      <c r="AS17" s="15">
        <f>IF($B17="","",SUMPRODUCT((D17:AQ17&lt;&gt;"Yes")*(TRANSPOSE(rngWMdue)&lt;&gt;"")*(TRANSPOSE(rngWMdue)&lt;TODAY())))</f>
        <v/>
      </c>
      <c r="AT17" s="15">
        <f>IF($B17="","",IF(AS17=0,"Yes","No"))</f>
        <v/>
      </c>
    </row>
    <row r="18">
      <c r="B18" s="15">
        <f>IF(Cadets!$B18="","",Cadets!$B18)</f>
        <v/>
      </c>
      <c r="C18" s="15">
        <f>IF(Cadets!$B18="","",Cadets!$F18)</f>
        <v/>
      </c>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5">
        <f>IF($B18="","",COUNTIF(D18:AQ18,"Yes"))</f>
        <v/>
      </c>
      <c r="AS18" s="15">
        <f>IF($B18="","",SUMPRODUCT((D18:AQ18&lt;&gt;"Yes")*(TRANSPOSE(rngWMdue)&lt;&gt;"")*(TRANSPOSE(rngWMdue)&lt;TODAY())))</f>
        <v/>
      </c>
      <c r="AT18" s="15">
        <f>IF($B18="","",IF(AS18=0,"Yes","No"))</f>
        <v/>
      </c>
    </row>
    <row r="19">
      <c r="B19" s="15">
        <f>IF(Cadets!$B19="","",Cadets!$B19)</f>
        <v/>
      </c>
      <c r="C19" s="15">
        <f>IF(Cadets!$B19="","",Cadets!$F19)</f>
        <v/>
      </c>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5">
        <f>IF($B19="","",COUNTIF(D19:AQ19,"Yes"))</f>
        <v/>
      </c>
      <c r="AS19" s="15">
        <f>IF($B19="","",SUMPRODUCT((D19:AQ19&lt;&gt;"Yes")*(TRANSPOSE(rngWMdue)&lt;&gt;"")*(TRANSPOSE(rngWMdue)&lt;TODAY())))</f>
        <v/>
      </c>
      <c r="AT19" s="15">
        <f>IF($B19="","",IF(AS19=0,"Yes","No"))</f>
        <v/>
      </c>
    </row>
    <row r="20">
      <c r="B20" s="15">
        <f>IF(Cadets!$B20="","",Cadets!$B20)</f>
        <v/>
      </c>
      <c r="C20" s="15">
        <f>IF(Cadets!$B20="","",Cadets!$F20)</f>
        <v/>
      </c>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5">
        <f>IF($B20="","",COUNTIF(D20:AQ20,"Yes"))</f>
        <v/>
      </c>
      <c r="AS20" s="15">
        <f>IF($B20="","",SUMPRODUCT((D20:AQ20&lt;&gt;"Yes")*(TRANSPOSE(rngWMdue)&lt;&gt;"")*(TRANSPOSE(rngWMdue)&lt;TODAY())))</f>
        <v/>
      </c>
      <c r="AT20" s="15">
        <f>IF($B20="","",IF(AS20=0,"Yes","No"))</f>
        <v/>
      </c>
    </row>
    <row r="21">
      <c r="B21" s="15">
        <f>IF(Cadets!$B21="","",Cadets!$B21)</f>
        <v/>
      </c>
      <c r="C21" s="15">
        <f>IF(Cadets!$B21="","",Cadets!$F21)</f>
        <v/>
      </c>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5">
        <f>IF($B21="","",COUNTIF(D21:AQ21,"Yes"))</f>
        <v/>
      </c>
      <c r="AS21" s="15">
        <f>IF($B21="","",SUMPRODUCT((D21:AQ21&lt;&gt;"Yes")*(TRANSPOSE(rngWMdue)&lt;&gt;"")*(TRANSPOSE(rngWMdue)&lt;TODAY())))</f>
        <v/>
      </c>
      <c r="AT21" s="15">
        <f>IF($B21="","",IF(AS21=0,"Yes","No"))</f>
        <v/>
      </c>
    </row>
    <row r="22">
      <c r="B22" s="15">
        <f>IF(Cadets!$B22="","",Cadets!$B22)</f>
        <v/>
      </c>
      <c r="C22" s="15">
        <f>IF(Cadets!$B22="","",Cadets!$F22)</f>
        <v/>
      </c>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5">
        <f>IF($B22="","",COUNTIF(D22:AQ22,"Yes"))</f>
        <v/>
      </c>
      <c r="AS22" s="15">
        <f>IF($B22="","",SUMPRODUCT((D22:AQ22&lt;&gt;"Yes")*(TRANSPOSE(rngWMdue)&lt;&gt;"")*(TRANSPOSE(rngWMdue)&lt;TODAY())))</f>
        <v/>
      </c>
      <c r="AT22" s="15">
        <f>IF($B22="","",IF(AS22=0,"Yes","No"))</f>
        <v/>
      </c>
    </row>
    <row r="23">
      <c r="B23" s="15">
        <f>IF(Cadets!$B23="","",Cadets!$B23)</f>
        <v/>
      </c>
      <c r="C23" s="15">
        <f>IF(Cadets!$B23="","",Cadets!$F23)</f>
        <v/>
      </c>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5">
        <f>IF($B23="","",COUNTIF(D23:AQ23,"Yes"))</f>
        <v/>
      </c>
      <c r="AS23" s="15">
        <f>IF($B23="","",SUMPRODUCT((D23:AQ23&lt;&gt;"Yes")*(TRANSPOSE(rngWMdue)&lt;&gt;"")*(TRANSPOSE(rngWMdue)&lt;TODAY())))</f>
        <v/>
      </c>
      <c r="AT23" s="15">
        <f>IF($B23="","",IF(AS23=0,"Yes","No"))</f>
        <v/>
      </c>
    </row>
    <row r="24">
      <c r="B24" s="15">
        <f>IF(Cadets!$B24="","",Cadets!$B24)</f>
        <v/>
      </c>
      <c r="C24" s="15">
        <f>IF(Cadets!$B24="","",Cadets!$F24)</f>
        <v/>
      </c>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5">
        <f>IF($B24="","",COUNTIF(D24:AQ24,"Yes"))</f>
        <v/>
      </c>
      <c r="AS24" s="15">
        <f>IF($B24="","",SUMPRODUCT((D24:AQ24&lt;&gt;"Yes")*(TRANSPOSE(rngWMdue)&lt;&gt;"")*(TRANSPOSE(rngWMdue)&lt;TODAY())))</f>
        <v/>
      </c>
      <c r="AT24" s="15">
        <f>IF($B24="","",IF(AS24=0,"Yes","No"))</f>
        <v/>
      </c>
    </row>
    <row r="25">
      <c r="B25" s="15">
        <f>IF(Cadets!$B25="","",Cadets!$B25)</f>
        <v/>
      </c>
      <c r="C25" s="15">
        <f>IF(Cadets!$B25="","",Cadets!$F25)</f>
        <v/>
      </c>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5">
        <f>IF($B25="","",COUNTIF(D25:AQ25,"Yes"))</f>
        <v/>
      </c>
      <c r="AS25" s="15">
        <f>IF($B25="","",SUMPRODUCT((D25:AQ25&lt;&gt;"Yes")*(TRANSPOSE(rngWMdue)&lt;&gt;"")*(TRANSPOSE(rngWMdue)&lt;TODAY())))</f>
        <v/>
      </c>
      <c r="AT25" s="15">
        <f>IF($B25="","",IF(AS25=0,"Yes","No"))</f>
        <v/>
      </c>
    </row>
    <row r="26">
      <c r="B26" s="15">
        <f>IF(Cadets!$B26="","",Cadets!$B26)</f>
        <v/>
      </c>
      <c r="C26" s="15">
        <f>IF(Cadets!$B26="","",Cadets!$F26)</f>
        <v/>
      </c>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5">
        <f>IF($B26="","",COUNTIF(D26:AQ26,"Yes"))</f>
        <v/>
      </c>
      <c r="AS26" s="15">
        <f>IF($B26="","",SUMPRODUCT((D26:AQ26&lt;&gt;"Yes")*(TRANSPOSE(rngWMdue)&lt;&gt;"")*(TRANSPOSE(rngWMdue)&lt;TODAY())))</f>
        <v/>
      </c>
      <c r="AT26" s="15">
        <f>IF($B26="","",IF(AS26=0,"Yes","No"))</f>
        <v/>
      </c>
    </row>
    <row r="27">
      <c r="B27" s="15">
        <f>IF(Cadets!$B27="","",Cadets!$B27)</f>
        <v/>
      </c>
      <c r="C27" s="15">
        <f>IF(Cadets!$B27="","",Cadets!$F27)</f>
        <v/>
      </c>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5">
        <f>IF($B27="","",COUNTIF(D27:AQ27,"Yes"))</f>
        <v/>
      </c>
      <c r="AS27" s="15">
        <f>IF($B27="","",SUMPRODUCT((D27:AQ27&lt;&gt;"Yes")*(TRANSPOSE(rngWMdue)&lt;&gt;"")*(TRANSPOSE(rngWMdue)&lt;TODAY())))</f>
        <v/>
      </c>
      <c r="AT27" s="15">
        <f>IF($B27="","",IF(AS27=0,"Yes","No"))</f>
        <v/>
      </c>
    </row>
    <row r="28">
      <c r="B28" s="15">
        <f>IF(Cadets!$B28="","",Cadets!$B28)</f>
        <v/>
      </c>
      <c r="C28" s="15">
        <f>IF(Cadets!$B28="","",Cadets!$F28)</f>
        <v/>
      </c>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5">
        <f>IF($B28="","",COUNTIF(D28:AQ28,"Yes"))</f>
        <v/>
      </c>
      <c r="AS28" s="15">
        <f>IF($B28="","",SUMPRODUCT((D28:AQ28&lt;&gt;"Yes")*(TRANSPOSE(rngWMdue)&lt;&gt;"")*(TRANSPOSE(rngWMdue)&lt;TODAY())))</f>
        <v/>
      </c>
      <c r="AT28" s="15">
        <f>IF($B28="","",IF(AS28=0,"Yes","No"))</f>
        <v/>
      </c>
    </row>
    <row r="29">
      <c r="B29" s="15">
        <f>IF(Cadets!$B29="","",Cadets!$B29)</f>
        <v/>
      </c>
      <c r="C29" s="15">
        <f>IF(Cadets!$B29="","",Cadets!$F29)</f>
        <v/>
      </c>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5">
        <f>IF($B29="","",COUNTIF(D29:AQ29,"Yes"))</f>
        <v/>
      </c>
      <c r="AS29" s="15">
        <f>IF($B29="","",SUMPRODUCT((D29:AQ29&lt;&gt;"Yes")*(TRANSPOSE(rngWMdue)&lt;&gt;"")*(TRANSPOSE(rngWMdue)&lt;TODAY())))</f>
        <v/>
      </c>
      <c r="AT29" s="15">
        <f>IF($B29="","",IF(AS29=0,"Yes","No"))</f>
        <v/>
      </c>
    </row>
    <row r="30">
      <c r="B30" s="15">
        <f>IF(Cadets!$B30="","",Cadets!$B30)</f>
        <v/>
      </c>
      <c r="C30" s="15">
        <f>IF(Cadets!$B30="","",Cadets!$F30)</f>
        <v/>
      </c>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5">
        <f>IF($B30="","",COUNTIF(D30:AQ30,"Yes"))</f>
        <v/>
      </c>
      <c r="AS30" s="15">
        <f>IF($B30="","",SUMPRODUCT((D30:AQ30&lt;&gt;"Yes")*(TRANSPOSE(rngWMdue)&lt;&gt;"")*(TRANSPOSE(rngWMdue)&lt;TODAY())))</f>
        <v/>
      </c>
      <c r="AT30" s="15">
        <f>IF($B30="","",IF(AS30=0,"Yes","No"))</f>
        <v/>
      </c>
    </row>
    <row r="31">
      <c r="B31" s="15">
        <f>IF(Cadets!$B31="","",Cadets!$B31)</f>
        <v/>
      </c>
      <c r="C31" s="15">
        <f>IF(Cadets!$B31="","",Cadets!$F31)</f>
        <v/>
      </c>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5">
        <f>IF($B31="","",COUNTIF(D31:AQ31,"Yes"))</f>
        <v/>
      </c>
      <c r="AS31" s="15">
        <f>IF($B31="","",SUMPRODUCT((D31:AQ31&lt;&gt;"Yes")*(TRANSPOSE(rngWMdue)&lt;&gt;"")*(TRANSPOSE(rngWMdue)&lt;TODAY())))</f>
        <v/>
      </c>
      <c r="AT31" s="15">
        <f>IF($B31="","",IF(AS31=0,"Yes","No"))</f>
        <v/>
      </c>
    </row>
    <row r="32">
      <c r="B32" s="15">
        <f>IF(Cadets!$B32="","",Cadets!$B32)</f>
        <v/>
      </c>
      <c r="C32" s="15">
        <f>IF(Cadets!$B32="","",Cadets!$F32)</f>
        <v/>
      </c>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5">
        <f>IF($B32="","",COUNTIF(D32:AQ32,"Yes"))</f>
        <v/>
      </c>
      <c r="AS32" s="15">
        <f>IF($B32="","",SUMPRODUCT((D32:AQ32&lt;&gt;"Yes")*(TRANSPOSE(rngWMdue)&lt;&gt;"")*(TRANSPOSE(rngWMdue)&lt;TODAY())))</f>
        <v/>
      </c>
      <c r="AT32" s="15">
        <f>IF($B32="","",IF(AS32=0,"Yes","No"))</f>
        <v/>
      </c>
    </row>
    <row r="33">
      <c r="B33" s="15">
        <f>IF(Cadets!$B33="","",Cadets!$B33)</f>
        <v/>
      </c>
      <c r="C33" s="15">
        <f>IF(Cadets!$B33="","",Cadets!$F33)</f>
        <v/>
      </c>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5">
        <f>IF($B33="","",COUNTIF(D33:AQ33,"Yes"))</f>
        <v/>
      </c>
      <c r="AS33" s="15">
        <f>IF($B33="","",SUMPRODUCT((D33:AQ33&lt;&gt;"Yes")*(TRANSPOSE(rngWMdue)&lt;&gt;"")*(TRANSPOSE(rngWMdue)&lt;TODAY())))</f>
        <v/>
      </c>
      <c r="AT33" s="15">
        <f>IF($B33="","",IF(AS33=0,"Yes","No"))</f>
        <v/>
      </c>
    </row>
    <row r="34">
      <c r="B34" s="15">
        <f>IF(Cadets!$B34="","",Cadets!$B34)</f>
        <v/>
      </c>
      <c r="C34" s="15">
        <f>IF(Cadets!$B34="","",Cadets!$F34)</f>
        <v/>
      </c>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5">
        <f>IF($B34="","",COUNTIF(D34:AQ34,"Yes"))</f>
        <v/>
      </c>
      <c r="AS34" s="15">
        <f>IF($B34="","",SUMPRODUCT((D34:AQ34&lt;&gt;"Yes")*(TRANSPOSE(rngWMdue)&lt;&gt;"")*(TRANSPOSE(rngWMdue)&lt;TODAY())))</f>
        <v/>
      </c>
      <c r="AT34" s="15">
        <f>IF($B34="","",IF(AS34=0,"Yes","No"))</f>
        <v/>
      </c>
    </row>
    <row r="35">
      <c r="B35" s="15">
        <f>IF(Cadets!$B35="","",Cadets!$B35)</f>
        <v/>
      </c>
      <c r="C35" s="15">
        <f>IF(Cadets!$B35="","",Cadets!$F35)</f>
        <v/>
      </c>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5">
        <f>IF($B35="","",COUNTIF(D35:AQ35,"Yes"))</f>
        <v/>
      </c>
      <c r="AS35" s="15">
        <f>IF($B35="","",SUMPRODUCT((D35:AQ35&lt;&gt;"Yes")*(TRANSPOSE(rngWMdue)&lt;&gt;"")*(TRANSPOSE(rngWMdue)&lt;TODAY())))</f>
        <v/>
      </c>
      <c r="AT35" s="15">
        <f>IF($B35="","",IF(AS35=0,"Yes","No"))</f>
        <v/>
      </c>
    </row>
    <row r="36">
      <c r="B36" s="15">
        <f>IF(Cadets!$B36="","",Cadets!$B36)</f>
        <v/>
      </c>
      <c r="C36" s="15">
        <f>IF(Cadets!$B36="","",Cadets!$F36)</f>
        <v/>
      </c>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5">
        <f>IF($B36="","",COUNTIF(D36:AQ36,"Yes"))</f>
        <v/>
      </c>
      <c r="AS36" s="15">
        <f>IF($B36="","",SUMPRODUCT((D36:AQ36&lt;&gt;"Yes")*(TRANSPOSE(rngWMdue)&lt;&gt;"")*(TRANSPOSE(rngWMdue)&lt;TODAY())))</f>
        <v/>
      </c>
      <c r="AT36" s="15">
        <f>IF($B36="","",IF(AS36=0,"Yes","No"))</f>
        <v/>
      </c>
    </row>
    <row r="37">
      <c r="B37" s="15">
        <f>IF(Cadets!$B37="","",Cadets!$B37)</f>
        <v/>
      </c>
      <c r="C37" s="15">
        <f>IF(Cadets!$B37="","",Cadets!$F37)</f>
        <v/>
      </c>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5">
        <f>IF($B37="","",COUNTIF(D37:AQ37,"Yes"))</f>
        <v/>
      </c>
      <c r="AS37" s="15">
        <f>IF($B37="","",SUMPRODUCT((D37:AQ37&lt;&gt;"Yes")*(TRANSPOSE(rngWMdue)&lt;&gt;"")*(TRANSPOSE(rngWMdue)&lt;TODAY())))</f>
        <v/>
      </c>
      <c r="AT37" s="15">
        <f>IF($B37="","",IF(AS37=0,"Yes","No"))</f>
        <v/>
      </c>
    </row>
    <row r="38">
      <c r="B38" s="15">
        <f>IF(Cadets!$B38="","",Cadets!$B38)</f>
        <v/>
      </c>
      <c r="C38" s="15">
        <f>IF(Cadets!$B38="","",Cadets!$F38)</f>
        <v/>
      </c>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5">
        <f>IF($B38="","",COUNTIF(D38:AQ38,"Yes"))</f>
        <v/>
      </c>
      <c r="AS38" s="15">
        <f>IF($B38="","",SUMPRODUCT((D38:AQ38&lt;&gt;"Yes")*(TRANSPOSE(rngWMdue)&lt;&gt;"")*(TRANSPOSE(rngWMdue)&lt;TODAY())))</f>
        <v/>
      </c>
      <c r="AT38" s="15">
        <f>IF($B38="","",IF(AS38=0,"Yes","No"))</f>
        <v/>
      </c>
    </row>
    <row r="39">
      <c r="B39" s="15">
        <f>IF(Cadets!$B39="","",Cadets!$B39)</f>
        <v/>
      </c>
      <c r="C39" s="15">
        <f>IF(Cadets!$B39="","",Cadets!$F39)</f>
        <v/>
      </c>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5">
        <f>IF($B39="","",COUNTIF(D39:AQ39,"Yes"))</f>
        <v/>
      </c>
      <c r="AS39" s="15">
        <f>IF($B39="","",SUMPRODUCT((D39:AQ39&lt;&gt;"Yes")*(TRANSPOSE(rngWMdue)&lt;&gt;"")*(TRANSPOSE(rngWMdue)&lt;TODAY())))</f>
        <v/>
      </c>
      <c r="AT39" s="15">
        <f>IF($B39="","",IF(AS39=0,"Yes","No"))</f>
        <v/>
      </c>
    </row>
    <row r="40">
      <c r="B40" s="15">
        <f>IF(Cadets!$B40="","",Cadets!$B40)</f>
        <v/>
      </c>
      <c r="C40" s="15">
        <f>IF(Cadets!$B40="","",Cadets!$F40)</f>
        <v/>
      </c>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5">
        <f>IF($B40="","",COUNTIF(D40:AQ40,"Yes"))</f>
        <v/>
      </c>
      <c r="AS40" s="15">
        <f>IF($B40="","",SUMPRODUCT((D40:AQ40&lt;&gt;"Yes")*(TRANSPOSE(rngWMdue)&lt;&gt;"")*(TRANSPOSE(rngWMdue)&lt;TODAY())))</f>
        <v/>
      </c>
      <c r="AT40" s="15">
        <f>IF($B40="","",IF(AS40=0,"Yes","No"))</f>
        <v/>
      </c>
    </row>
    <row r="41">
      <c r="B41" s="15">
        <f>IF(Cadets!$B41="","",Cadets!$B41)</f>
        <v/>
      </c>
      <c r="C41" s="15">
        <f>IF(Cadets!$B41="","",Cadets!$F41)</f>
        <v/>
      </c>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5">
        <f>IF($B41="","",COUNTIF(D41:AQ41,"Yes"))</f>
        <v/>
      </c>
      <c r="AS41" s="15">
        <f>IF($B41="","",SUMPRODUCT((D41:AQ41&lt;&gt;"Yes")*(TRANSPOSE(rngWMdue)&lt;&gt;"")*(TRANSPOSE(rngWMdue)&lt;TODAY())))</f>
        <v/>
      </c>
      <c r="AT41" s="15">
        <f>IF($B41="","",IF(AS41=0,"Yes","No"))</f>
        <v/>
      </c>
    </row>
    <row r="42">
      <c r="B42" s="15">
        <f>IF(Cadets!$B42="","",Cadets!$B42)</f>
        <v/>
      </c>
      <c r="C42" s="15">
        <f>IF(Cadets!$B42="","",Cadets!$F42)</f>
        <v/>
      </c>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5">
        <f>IF($B42="","",COUNTIF(D42:AQ42,"Yes"))</f>
        <v/>
      </c>
      <c r="AS42" s="15">
        <f>IF($B42="","",SUMPRODUCT((D42:AQ42&lt;&gt;"Yes")*(TRANSPOSE(rngWMdue)&lt;&gt;"")*(TRANSPOSE(rngWMdue)&lt;TODAY())))</f>
        <v/>
      </c>
      <c r="AT42" s="15">
        <f>IF($B42="","",IF(AS42=0,"Yes","No"))</f>
        <v/>
      </c>
    </row>
    <row r="43">
      <c r="B43" s="15">
        <f>IF(Cadets!$B43="","",Cadets!$B43)</f>
        <v/>
      </c>
      <c r="C43" s="15">
        <f>IF(Cadets!$B43="","",Cadets!$F43)</f>
        <v/>
      </c>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5">
        <f>IF($B43="","",COUNTIF(D43:AQ43,"Yes"))</f>
        <v/>
      </c>
      <c r="AS43" s="15">
        <f>IF($B43="","",SUMPRODUCT((D43:AQ43&lt;&gt;"Yes")*(TRANSPOSE(rngWMdue)&lt;&gt;"")*(TRANSPOSE(rngWMdue)&lt;TODAY())))</f>
        <v/>
      </c>
      <c r="AT43" s="15">
        <f>IF($B43="","",IF(AS43=0,"Yes","No"))</f>
        <v/>
      </c>
    </row>
    <row r="44">
      <c r="B44" s="15">
        <f>IF(Cadets!$B44="","",Cadets!$B44)</f>
        <v/>
      </c>
      <c r="C44" s="15">
        <f>IF(Cadets!$B44="","",Cadets!$F44)</f>
        <v/>
      </c>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5">
        <f>IF($B44="","",COUNTIF(D44:AQ44,"Yes"))</f>
        <v/>
      </c>
      <c r="AS44" s="15">
        <f>IF($B44="","",SUMPRODUCT((D44:AQ44&lt;&gt;"Yes")*(TRANSPOSE(rngWMdue)&lt;&gt;"")*(TRANSPOSE(rngWMdue)&lt;TODAY())))</f>
        <v/>
      </c>
      <c r="AT44" s="15">
        <f>IF($B44="","",IF(AS44=0,"Yes","No"))</f>
        <v/>
      </c>
    </row>
    <row r="45">
      <c r="B45" s="15">
        <f>IF(Cadets!$B45="","",Cadets!$B45)</f>
        <v/>
      </c>
      <c r="C45" s="15">
        <f>IF(Cadets!$B45="","",Cadets!$F45)</f>
        <v/>
      </c>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5">
        <f>IF($B45="","",COUNTIF(D45:AQ45,"Yes"))</f>
        <v/>
      </c>
      <c r="AS45" s="15">
        <f>IF($B45="","",SUMPRODUCT((D45:AQ45&lt;&gt;"Yes")*(TRANSPOSE(rngWMdue)&lt;&gt;"")*(TRANSPOSE(rngWMdue)&lt;TODAY())))</f>
        <v/>
      </c>
      <c r="AT45" s="15">
        <f>IF($B45="","",IF(AS45=0,"Yes","No"))</f>
        <v/>
      </c>
    </row>
    <row r="46">
      <c r="B46" s="15">
        <f>IF(Cadets!$B46="","",Cadets!$B46)</f>
        <v/>
      </c>
      <c r="C46" s="15">
        <f>IF(Cadets!$B46="","",Cadets!$F46)</f>
        <v/>
      </c>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5">
        <f>IF($B46="","",COUNTIF(D46:AQ46,"Yes"))</f>
        <v/>
      </c>
      <c r="AS46" s="15">
        <f>IF($B46="","",SUMPRODUCT((D46:AQ46&lt;&gt;"Yes")*(TRANSPOSE(rngWMdue)&lt;&gt;"")*(TRANSPOSE(rngWMdue)&lt;TODAY())))</f>
        <v/>
      </c>
      <c r="AT46" s="15">
        <f>IF($B46="","",IF(AS46=0,"Yes","No"))</f>
        <v/>
      </c>
    </row>
    <row r="47">
      <c r="B47" s="15">
        <f>IF(Cadets!$B47="","",Cadets!$B47)</f>
        <v/>
      </c>
      <c r="C47" s="15">
        <f>IF(Cadets!$B47="","",Cadets!$F47)</f>
        <v/>
      </c>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5">
        <f>IF($B47="","",COUNTIF(D47:AQ47,"Yes"))</f>
        <v/>
      </c>
      <c r="AS47" s="15">
        <f>IF($B47="","",SUMPRODUCT((D47:AQ47&lt;&gt;"Yes")*(TRANSPOSE(rngWMdue)&lt;&gt;"")*(TRANSPOSE(rngWMdue)&lt;TODAY())))</f>
        <v/>
      </c>
      <c r="AT47" s="15">
        <f>IF($B47="","",IF(AS47=0,"Yes","No"))</f>
        <v/>
      </c>
    </row>
    <row r="48">
      <c r="B48" s="15">
        <f>IF(Cadets!$B48="","",Cadets!$B48)</f>
        <v/>
      </c>
      <c r="C48" s="15">
        <f>IF(Cadets!$B48="","",Cadets!$F48)</f>
        <v/>
      </c>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5">
        <f>IF($B48="","",COUNTIF(D48:AQ48,"Yes"))</f>
        <v/>
      </c>
      <c r="AS48" s="15">
        <f>IF($B48="","",SUMPRODUCT((D48:AQ48&lt;&gt;"Yes")*(TRANSPOSE(rngWMdue)&lt;&gt;"")*(TRANSPOSE(rngWMdue)&lt;TODAY())))</f>
        <v/>
      </c>
      <c r="AT48" s="15">
        <f>IF($B48="","",IF(AS48=0,"Yes","No"))</f>
        <v/>
      </c>
    </row>
    <row r="49">
      <c r="B49" s="15">
        <f>IF(Cadets!$B49="","",Cadets!$B49)</f>
        <v/>
      </c>
      <c r="C49" s="15">
        <f>IF(Cadets!$B49="","",Cadets!$F49)</f>
        <v/>
      </c>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5">
        <f>IF($B49="","",COUNTIF(D49:AQ49,"Yes"))</f>
        <v/>
      </c>
      <c r="AS49" s="15">
        <f>IF($B49="","",SUMPRODUCT((D49:AQ49&lt;&gt;"Yes")*(TRANSPOSE(rngWMdue)&lt;&gt;"")*(TRANSPOSE(rngWMdue)&lt;TODAY())))</f>
        <v/>
      </c>
      <c r="AT49" s="15">
        <f>IF($B49="","",IF(AS49=0,"Yes","No"))</f>
        <v/>
      </c>
    </row>
    <row r="50">
      <c r="B50" s="15">
        <f>IF(Cadets!$B50="","",Cadets!$B50)</f>
        <v/>
      </c>
      <c r="C50" s="15">
        <f>IF(Cadets!$B50="","",Cadets!$F50)</f>
        <v/>
      </c>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5">
        <f>IF($B50="","",COUNTIF(D50:AQ50,"Yes"))</f>
        <v/>
      </c>
      <c r="AS50" s="15">
        <f>IF($B50="","",SUMPRODUCT((D50:AQ50&lt;&gt;"Yes")*(TRANSPOSE(rngWMdue)&lt;&gt;"")*(TRANSPOSE(rngWMdue)&lt;TODAY())))</f>
        <v/>
      </c>
      <c r="AT50" s="15">
        <f>IF($B50="","",IF(AS50=0,"Yes","No"))</f>
        <v/>
      </c>
    </row>
    <row r="51">
      <c r="B51" s="15">
        <f>IF(Cadets!$B51="","",Cadets!$B51)</f>
        <v/>
      </c>
      <c r="C51" s="15">
        <f>IF(Cadets!$B51="","",Cadets!$F51)</f>
        <v/>
      </c>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5">
        <f>IF($B51="","",COUNTIF(D51:AQ51,"Yes"))</f>
        <v/>
      </c>
      <c r="AS51" s="15">
        <f>IF($B51="","",SUMPRODUCT((D51:AQ51&lt;&gt;"Yes")*(TRANSPOSE(rngWMdue)&lt;&gt;"")*(TRANSPOSE(rngWMdue)&lt;TODAY())))</f>
        <v/>
      </c>
      <c r="AT51" s="15">
        <f>IF($B51="","",IF(AS51=0,"Yes","No"))</f>
        <v/>
      </c>
    </row>
    <row r="52">
      <c r="B52" s="15">
        <f>IF(Cadets!$B52="","",Cadets!$B52)</f>
        <v/>
      </c>
      <c r="C52" s="15">
        <f>IF(Cadets!$B52="","",Cadets!$F52)</f>
        <v/>
      </c>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5">
        <f>IF($B52="","",COUNTIF(D52:AQ52,"Yes"))</f>
        <v/>
      </c>
      <c r="AS52" s="15">
        <f>IF($B52="","",SUMPRODUCT((D52:AQ52&lt;&gt;"Yes")*(TRANSPOSE(rngWMdue)&lt;&gt;"")*(TRANSPOSE(rngWMdue)&lt;TODAY())))</f>
        <v/>
      </c>
      <c r="AT52" s="15">
        <f>IF($B52="","",IF(AS52=0,"Yes","No"))</f>
        <v/>
      </c>
    </row>
    <row r="53">
      <c r="B53" s="15">
        <f>IF(Cadets!$B53="","",Cadets!$B53)</f>
        <v/>
      </c>
      <c r="C53" s="15">
        <f>IF(Cadets!$B53="","",Cadets!$F53)</f>
        <v/>
      </c>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5">
        <f>IF($B53="","",COUNTIF(D53:AQ53,"Yes"))</f>
        <v/>
      </c>
      <c r="AS53" s="15">
        <f>IF($B53="","",SUMPRODUCT((D53:AQ53&lt;&gt;"Yes")*(TRANSPOSE(rngWMdue)&lt;&gt;"")*(TRANSPOSE(rngWMdue)&lt;TODAY())))</f>
        <v/>
      </c>
      <c r="AT53" s="15">
        <f>IF($B53="","",IF(AS53=0,"Yes","No"))</f>
        <v/>
      </c>
    </row>
    <row r="54">
      <c r="B54" s="15">
        <f>IF(Cadets!$B54="","",Cadets!$B54)</f>
        <v/>
      </c>
      <c r="C54" s="15">
        <f>IF(Cadets!$B54="","",Cadets!$F54)</f>
        <v/>
      </c>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5">
        <f>IF($B54="","",COUNTIF(D54:AQ54,"Yes"))</f>
        <v/>
      </c>
      <c r="AS54" s="15">
        <f>IF($B54="","",SUMPRODUCT((D54:AQ54&lt;&gt;"Yes")*(TRANSPOSE(rngWMdue)&lt;&gt;"")*(TRANSPOSE(rngWMdue)&lt;TODAY())))</f>
        <v/>
      </c>
      <c r="AT54" s="15">
        <f>IF($B54="","",IF(AS54=0,"Yes","No"))</f>
        <v/>
      </c>
    </row>
    <row r="55">
      <c r="B55" s="15">
        <f>IF(Cadets!$B55="","",Cadets!$B55)</f>
        <v/>
      </c>
      <c r="C55" s="15">
        <f>IF(Cadets!$B55="","",Cadets!$F55)</f>
        <v/>
      </c>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5">
        <f>IF($B55="","",COUNTIF(D55:AQ55,"Yes"))</f>
        <v/>
      </c>
      <c r="AS55" s="15">
        <f>IF($B55="","",SUMPRODUCT((D55:AQ55&lt;&gt;"Yes")*(TRANSPOSE(rngWMdue)&lt;&gt;"")*(TRANSPOSE(rngWMdue)&lt;TODAY())))</f>
        <v/>
      </c>
      <c r="AT55" s="15">
        <f>IF($B55="","",IF(AS55=0,"Yes","No"))</f>
        <v/>
      </c>
    </row>
  </sheetData>
  <conditionalFormatting sqref="AT6:AT55">
    <cfRule type="cellIs" priority="1" operator="equal" dxfId="1">
      <formula>"Yes"</formula>
    </cfRule>
    <cfRule type="cellIs" priority="2" operator="equal" dxfId="0">
      <formula>"No"</formula>
    </cfRule>
  </conditionalFormatting>
  <conditionalFormatting sqref="D6:D55">
    <cfRule type="expression" priority="3" dxfId="0">
      <formula>AND($B6&lt;&gt;"",D6&lt;&gt;"Yes",INDEX(rngWMdue,1)&lt;&gt;"",INDEX(rngWMdue,1)&lt;TODAY())</formula>
    </cfRule>
  </conditionalFormatting>
  <conditionalFormatting sqref="E6:E55">
    <cfRule type="expression" priority="4" dxfId="0">
      <formula>AND($B6&lt;&gt;"",E6&lt;&gt;"Yes",INDEX(rngWMdue,2)&lt;&gt;"",INDEX(rngWMdue,2)&lt;TODAY())</formula>
    </cfRule>
  </conditionalFormatting>
  <conditionalFormatting sqref="F6:F55">
    <cfRule type="expression" priority="5" dxfId="0">
      <formula>AND($B6&lt;&gt;"",F6&lt;&gt;"Yes",INDEX(rngWMdue,3)&lt;&gt;"",INDEX(rngWMdue,3)&lt;TODAY())</formula>
    </cfRule>
  </conditionalFormatting>
  <conditionalFormatting sqref="G6:G55">
    <cfRule type="expression" priority="6" dxfId="0">
      <formula>AND($B6&lt;&gt;"",G6&lt;&gt;"Yes",INDEX(rngWMdue,4)&lt;&gt;"",INDEX(rngWMdue,4)&lt;TODAY())</formula>
    </cfRule>
  </conditionalFormatting>
  <conditionalFormatting sqref="H6:H55">
    <cfRule type="expression" priority="7" dxfId="0">
      <formula>AND($B6&lt;&gt;"",H6&lt;&gt;"Yes",INDEX(rngWMdue,5)&lt;&gt;"",INDEX(rngWMdue,5)&lt;TODAY())</formula>
    </cfRule>
  </conditionalFormatting>
  <conditionalFormatting sqref="I6:I55">
    <cfRule type="expression" priority="8" dxfId="0">
      <formula>AND($B6&lt;&gt;"",I6&lt;&gt;"Yes",INDEX(rngWMdue,6)&lt;&gt;"",INDEX(rngWMdue,6)&lt;TODAY())</formula>
    </cfRule>
  </conditionalFormatting>
  <conditionalFormatting sqref="J6:J55">
    <cfRule type="expression" priority="9" dxfId="0">
      <formula>AND($B6&lt;&gt;"",J6&lt;&gt;"Yes",INDEX(rngWMdue,7)&lt;&gt;"",INDEX(rngWMdue,7)&lt;TODAY())</formula>
    </cfRule>
  </conditionalFormatting>
  <conditionalFormatting sqref="K6:K55">
    <cfRule type="expression" priority="10" dxfId="0">
      <formula>AND($B6&lt;&gt;"",K6&lt;&gt;"Yes",INDEX(rngWMdue,8)&lt;&gt;"",INDEX(rngWMdue,8)&lt;TODAY())</formula>
    </cfRule>
  </conditionalFormatting>
  <conditionalFormatting sqref="L6:L55">
    <cfRule type="expression" priority="11" dxfId="0">
      <formula>AND($B6&lt;&gt;"",L6&lt;&gt;"Yes",INDEX(rngWMdue,9)&lt;&gt;"",INDEX(rngWMdue,9)&lt;TODAY())</formula>
    </cfRule>
  </conditionalFormatting>
  <conditionalFormatting sqref="M6:M55">
    <cfRule type="expression" priority="12" dxfId="0">
      <formula>AND($B6&lt;&gt;"",M6&lt;&gt;"Yes",INDEX(rngWMdue,10)&lt;&gt;"",INDEX(rngWMdue,10)&lt;TODAY())</formula>
    </cfRule>
  </conditionalFormatting>
  <conditionalFormatting sqref="N6:N55">
    <cfRule type="expression" priority="13" dxfId="0">
      <formula>AND($B6&lt;&gt;"",N6&lt;&gt;"Yes",INDEX(rngWMdue,11)&lt;&gt;"",INDEX(rngWMdue,11)&lt;TODAY())</formula>
    </cfRule>
  </conditionalFormatting>
  <conditionalFormatting sqref="O6:O55">
    <cfRule type="expression" priority="14" dxfId="0">
      <formula>AND($B6&lt;&gt;"",O6&lt;&gt;"Yes",INDEX(rngWMdue,12)&lt;&gt;"",INDEX(rngWMdue,12)&lt;TODAY())</formula>
    </cfRule>
  </conditionalFormatting>
  <conditionalFormatting sqref="P6:P55">
    <cfRule type="expression" priority="15" dxfId="0">
      <formula>AND($B6&lt;&gt;"",P6&lt;&gt;"Yes",INDEX(rngWMdue,13)&lt;&gt;"",INDEX(rngWMdue,13)&lt;TODAY())</formula>
    </cfRule>
  </conditionalFormatting>
  <conditionalFormatting sqref="Q6:Q55">
    <cfRule type="expression" priority="16" dxfId="0">
      <formula>AND($B6&lt;&gt;"",Q6&lt;&gt;"Yes",INDEX(rngWMdue,14)&lt;&gt;"",INDEX(rngWMdue,14)&lt;TODAY())</formula>
    </cfRule>
  </conditionalFormatting>
  <conditionalFormatting sqref="R6:R55">
    <cfRule type="expression" priority="17" dxfId="0">
      <formula>AND($B6&lt;&gt;"",R6&lt;&gt;"Yes",INDEX(rngWMdue,15)&lt;&gt;"",INDEX(rngWMdue,15)&lt;TODAY())</formula>
    </cfRule>
  </conditionalFormatting>
  <conditionalFormatting sqref="S6:S55">
    <cfRule type="expression" priority="18" dxfId="0">
      <formula>AND($B6&lt;&gt;"",S6&lt;&gt;"Yes",INDEX(rngWMdue,16)&lt;&gt;"",INDEX(rngWMdue,16)&lt;TODAY())</formula>
    </cfRule>
  </conditionalFormatting>
  <conditionalFormatting sqref="T6:T55">
    <cfRule type="expression" priority="19" dxfId="0">
      <formula>AND($B6&lt;&gt;"",T6&lt;&gt;"Yes",INDEX(rngWMdue,17)&lt;&gt;"",INDEX(rngWMdue,17)&lt;TODAY())</formula>
    </cfRule>
  </conditionalFormatting>
  <conditionalFormatting sqref="U6:U55">
    <cfRule type="expression" priority="20" dxfId="0">
      <formula>AND($B6&lt;&gt;"",U6&lt;&gt;"Yes",INDEX(rngWMdue,18)&lt;&gt;"",INDEX(rngWMdue,18)&lt;TODAY())</formula>
    </cfRule>
  </conditionalFormatting>
  <conditionalFormatting sqref="V6:V55">
    <cfRule type="expression" priority="21" dxfId="0">
      <formula>AND($B6&lt;&gt;"",V6&lt;&gt;"Yes",INDEX(rngWMdue,19)&lt;&gt;"",INDEX(rngWMdue,19)&lt;TODAY())</formula>
    </cfRule>
  </conditionalFormatting>
  <conditionalFormatting sqref="W6:W55">
    <cfRule type="expression" priority="22" dxfId="0">
      <formula>AND($B6&lt;&gt;"",W6&lt;&gt;"Yes",INDEX(rngWMdue,20)&lt;&gt;"",INDEX(rngWMdue,20)&lt;TODAY())</formula>
    </cfRule>
  </conditionalFormatting>
  <conditionalFormatting sqref="X6:X55">
    <cfRule type="expression" priority="23" dxfId="0">
      <formula>AND($B6&lt;&gt;"",X6&lt;&gt;"Yes",INDEX(rngWMdue,21)&lt;&gt;"",INDEX(rngWMdue,21)&lt;TODAY())</formula>
    </cfRule>
  </conditionalFormatting>
  <conditionalFormatting sqref="Y6:Y55">
    <cfRule type="expression" priority="24" dxfId="0">
      <formula>AND($B6&lt;&gt;"",Y6&lt;&gt;"Yes",INDEX(rngWMdue,22)&lt;&gt;"",INDEX(rngWMdue,22)&lt;TODAY())</formula>
    </cfRule>
  </conditionalFormatting>
  <conditionalFormatting sqref="Z6:Z55">
    <cfRule type="expression" priority="25" dxfId="0">
      <formula>AND($B6&lt;&gt;"",Z6&lt;&gt;"Yes",INDEX(rngWMdue,23)&lt;&gt;"",INDEX(rngWMdue,23)&lt;TODAY())</formula>
    </cfRule>
  </conditionalFormatting>
  <conditionalFormatting sqref="AA6:AA55">
    <cfRule type="expression" priority="26" dxfId="0">
      <formula>AND($B6&lt;&gt;"",AA6&lt;&gt;"Yes",INDEX(rngWMdue,24)&lt;&gt;"",INDEX(rngWMdue,24)&lt;TODAY())</formula>
    </cfRule>
  </conditionalFormatting>
  <conditionalFormatting sqref="AB6:AB55">
    <cfRule type="expression" priority="27" dxfId="0">
      <formula>AND($B6&lt;&gt;"",AB6&lt;&gt;"Yes",INDEX(rngWMdue,25)&lt;&gt;"",INDEX(rngWMdue,25)&lt;TODAY())</formula>
    </cfRule>
  </conditionalFormatting>
  <conditionalFormatting sqref="AC6:AC55">
    <cfRule type="expression" priority="28" dxfId="0">
      <formula>AND($B6&lt;&gt;"",AC6&lt;&gt;"Yes",INDEX(rngWMdue,26)&lt;&gt;"",INDEX(rngWMdue,26)&lt;TODAY())</formula>
    </cfRule>
  </conditionalFormatting>
  <conditionalFormatting sqref="AD6:AD55">
    <cfRule type="expression" priority="29" dxfId="0">
      <formula>AND($B6&lt;&gt;"",AD6&lt;&gt;"Yes",INDEX(rngWMdue,27)&lt;&gt;"",INDEX(rngWMdue,27)&lt;TODAY())</formula>
    </cfRule>
  </conditionalFormatting>
  <conditionalFormatting sqref="AE6:AE55">
    <cfRule type="expression" priority="30" dxfId="0">
      <formula>AND($B6&lt;&gt;"",AE6&lt;&gt;"Yes",INDEX(rngWMdue,28)&lt;&gt;"",INDEX(rngWMdue,28)&lt;TODAY())</formula>
    </cfRule>
  </conditionalFormatting>
  <conditionalFormatting sqref="AF6:AF55">
    <cfRule type="expression" priority="31" dxfId="0">
      <formula>AND($B6&lt;&gt;"",AF6&lt;&gt;"Yes",INDEX(rngWMdue,29)&lt;&gt;"",INDEX(rngWMdue,29)&lt;TODAY())</formula>
    </cfRule>
  </conditionalFormatting>
  <conditionalFormatting sqref="AG6:AG55">
    <cfRule type="expression" priority="32" dxfId="0">
      <formula>AND($B6&lt;&gt;"",AG6&lt;&gt;"Yes",INDEX(rngWMdue,30)&lt;&gt;"",INDEX(rngWMdue,30)&lt;TODAY())</formula>
    </cfRule>
  </conditionalFormatting>
  <conditionalFormatting sqref="AH6:AH55">
    <cfRule type="expression" priority="33" dxfId="0">
      <formula>AND($B6&lt;&gt;"",AH6&lt;&gt;"Yes",INDEX(rngWMdue,31)&lt;&gt;"",INDEX(rngWMdue,31)&lt;TODAY())</formula>
    </cfRule>
  </conditionalFormatting>
  <conditionalFormatting sqref="AI6:AI55">
    <cfRule type="expression" priority="34" dxfId="0">
      <formula>AND($B6&lt;&gt;"",AI6&lt;&gt;"Yes",INDEX(rngWMdue,32)&lt;&gt;"",INDEX(rngWMdue,32)&lt;TODAY())</formula>
    </cfRule>
  </conditionalFormatting>
  <conditionalFormatting sqref="AJ6:AJ55">
    <cfRule type="expression" priority="35" dxfId="0">
      <formula>AND($B6&lt;&gt;"",AJ6&lt;&gt;"Yes",INDEX(rngWMdue,33)&lt;&gt;"",INDEX(rngWMdue,33)&lt;TODAY())</formula>
    </cfRule>
  </conditionalFormatting>
  <conditionalFormatting sqref="AK6:AK55">
    <cfRule type="expression" priority="36" dxfId="0">
      <formula>AND($B6&lt;&gt;"",AK6&lt;&gt;"Yes",INDEX(rngWMdue,34)&lt;&gt;"",INDEX(rngWMdue,34)&lt;TODAY())</formula>
    </cfRule>
  </conditionalFormatting>
  <conditionalFormatting sqref="AL6:AL55">
    <cfRule type="expression" priority="37" dxfId="0">
      <formula>AND($B6&lt;&gt;"",AL6&lt;&gt;"Yes",INDEX(rngWMdue,35)&lt;&gt;"",INDEX(rngWMdue,35)&lt;TODAY())</formula>
    </cfRule>
  </conditionalFormatting>
  <conditionalFormatting sqref="AM6:AM55">
    <cfRule type="expression" priority="38" dxfId="0">
      <formula>AND($B6&lt;&gt;"",AM6&lt;&gt;"Yes",INDEX(rngWMdue,36)&lt;&gt;"",INDEX(rngWMdue,36)&lt;TODAY())</formula>
    </cfRule>
  </conditionalFormatting>
  <conditionalFormatting sqref="AN6:AN55">
    <cfRule type="expression" priority="39" dxfId="0">
      <formula>AND($B6&lt;&gt;"",AN6&lt;&gt;"Yes",INDEX(rngWMdue,37)&lt;&gt;"",INDEX(rngWMdue,37)&lt;TODAY())</formula>
    </cfRule>
  </conditionalFormatting>
  <conditionalFormatting sqref="AO6:AO55">
    <cfRule type="expression" priority="40" dxfId="0">
      <formula>AND($B6&lt;&gt;"",AO6&lt;&gt;"Yes",INDEX(rngWMdue,38)&lt;&gt;"",INDEX(rngWMdue,38)&lt;TODAY())</formula>
    </cfRule>
  </conditionalFormatting>
  <conditionalFormatting sqref="AP6:AP55">
    <cfRule type="expression" priority="41" dxfId="0">
      <formula>AND($B6&lt;&gt;"",AP6&lt;&gt;"Yes",INDEX(rngWMdue,39)&lt;&gt;"",INDEX(rngWMdue,39)&lt;TODAY())</formula>
    </cfRule>
  </conditionalFormatting>
  <conditionalFormatting sqref="AQ6:AQ55">
    <cfRule type="expression" priority="42" dxfId="0">
      <formula>AND($B6&lt;&gt;"",AQ6&lt;&gt;"Yes",INDEX(rngWMdue,40)&lt;&gt;"",INDEX(rngWMdue,40)&lt;TODAY())</formula>
    </cfRule>
  </conditionalFormatting>
  <dataValidations count="1">
    <dataValidation sqref="D6:AQ55" showDropDown="0" showInputMessage="0" showErrorMessage="1" allowBlank="1" type="list">
      <formula1>=lstYesNo</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row r="2"/>
    <row r="3"/>
    <row r="4">
      <c r="B4" s="8" t="inlineStr">
        <is>
          <t>Positive and negative incidents. Negative Major/Critical trigger chain-of-command review (policy 600).</t>
        </is>
      </c>
    </row>
    <row r="5" ht="26" customHeight="1">
      <c r="B5" s="9" t="inlineStr">
        <is>
          <t>IncidentID</t>
        </is>
      </c>
      <c r="C5" s="9" t="inlineStr">
        <is>
          <t>Date</t>
        </is>
      </c>
      <c r="D5" s="9" t="inlineStr">
        <is>
          <t>Cadet Name</t>
        </is>
      </c>
      <c r="E5" s="9" t="inlineStr">
        <is>
          <t>PID</t>
        </is>
      </c>
      <c r="F5" s="9" t="inlineStr">
        <is>
          <t>Direction</t>
        </is>
      </c>
      <c r="G5" s="9" t="inlineStr">
        <is>
          <t>Severity</t>
        </is>
      </c>
      <c r="H5" s="9" t="inlineStr">
        <is>
          <t>Category</t>
        </is>
      </c>
      <c r="I5" s="9" t="inlineStr">
        <is>
          <t>Description</t>
        </is>
      </c>
      <c r="J5" s="9" t="inlineStr">
        <is>
          <t>Reported By</t>
        </is>
      </c>
      <c r="K5" s="9" t="inlineStr">
        <is>
          <t>Doc Ref</t>
        </is>
      </c>
      <c r="L5" s="9" t="inlineStr">
        <is>
          <t>ChainReview</t>
        </is>
      </c>
      <c r="M5" s="9" t="inlineStr">
        <is>
          <t>Resolution</t>
        </is>
      </c>
      <c r="N5" s="9" t="inlineStr">
        <is>
          <t>Notes</t>
        </is>
      </c>
    </row>
    <row r="6">
      <c r="B6" s="15">
        <f>IF($D6="","","I"&amp;TEXT(ROW()-5,"000"))</f>
        <v/>
      </c>
      <c r="C6" s="16" t="n"/>
      <c r="D6" s="14" t="n"/>
      <c r="E6" s="15">
        <f>IF($D6="","",IFERROR(INDEX(rngCadetPIDs,MATCH($D6,rngCadetNames,0)),"?"))</f>
        <v/>
      </c>
      <c r="F6" s="14" t="n"/>
      <c r="G6" s="14" t="n"/>
      <c r="H6" s="14" t="n"/>
      <c r="I6" s="14" t="n"/>
      <c r="J6" s="14" t="n"/>
      <c r="K6" s="14" t="n"/>
      <c r="L6" s="15">
        <f>IF($D6="","",IF(AND($F6="Negative",OR($G6="Critical",$G6="Major")),"Yes","No"))</f>
        <v/>
      </c>
      <c r="M6" s="14" t="n"/>
      <c r="N6" s="14" t="n"/>
    </row>
    <row r="7">
      <c r="B7" s="15">
        <f>IF($D7="","","I"&amp;TEXT(ROW()-5,"000"))</f>
        <v/>
      </c>
      <c r="C7" s="16" t="n"/>
      <c r="D7" s="14" t="n"/>
      <c r="E7" s="15">
        <f>IF($D7="","",IFERROR(INDEX(rngCadetPIDs,MATCH($D7,rngCadetNames,0)),"?"))</f>
        <v/>
      </c>
      <c r="F7" s="14" t="n"/>
      <c r="G7" s="14" t="n"/>
      <c r="H7" s="14" t="n"/>
      <c r="I7" s="14" t="n"/>
      <c r="J7" s="14" t="n"/>
      <c r="K7" s="14" t="n"/>
      <c r="L7" s="15">
        <f>IF($D7="","",IF(AND($F7="Negative",OR($G7="Critical",$G7="Major")),"Yes","No"))</f>
        <v/>
      </c>
      <c r="M7" s="14" t="n"/>
      <c r="N7" s="14" t="n"/>
    </row>
    <row r="8">
      <c r="B8" s="15">
        <f>IF($D8="","","I"&amp;TEXT(ROW()-5,"000"))</f>
        <v/>
      </c>
      <c r="C8" s="16" t="n"/>
      <c r="D8" s="14" t="n"/>
      <c r="E8" s="15">
        <f>IF($D8="","",IFERROR(INDEX(rngCadetPIDs,MATCH($D8,rngCadetNames,0)),"?"))</f>
        <v/>
      </c>
      <c r="F8" s="14" t="n"/>
      <c r="G8" s="14" t="n"/>
      <c r="H8" s="14" t="n"/>
      <c r="I8" s="14" t="n"/>
      <c r="J8" s="14" t="n"/>
      <c r="K8" s="14" t="n"/>
      <c r="L8" s="15">
        <f>IF($D8="","",IF(AND($F8="Negative",OR($G8="Critical",$G8="Major")),"Yes","No"))</f>
        <v/>
      </c>
      <c r="M8" s="14" t="n"/>
      <c r="N8" s="14" t="n"/>
    </row>
    <row r="9">
      <c r="B9" s="15">
        <f>IF($D9="","","I"&amp;TEXT(ROW()-5,"000"))</f>
        <v/>
      </c>
      <c r="C9" s="16" t="n"/>
      <c r="D9" s="14" t="n"/>
      <c r="E9" s="15">
        <f>IF($D9="","",IFERROR(INDEX(rngCadetPIDs,MATCH($D9,rngCadetNames,0)),"?"))</f>
        <v/>
      </c>
      <c r="F9" s="14" t="n"/>
      <c r="G9" s="14" t="n"/>
      <c r="H9" s="14" t="n"/>
      <c r="I9" s="14" t="n"/>
      <c r="J9" s="14" t="n"/>
      <c r="K9" s="14" t="n"/>
      <c r="L9" s="15">
        <f>IF($D9="","",IF(AND($F9="Negative",OR($G9="Critical",$G9="Major")),"Yes","No"))</f>
        <v/>
      </c>
      <c r="M9" s="14" t="n"/>
      <c r="N9" s="14" t="n"/>
    </row>
    <row r="10">
      <c r="B10" s="15">
        <f>IF($D10="","","I"&amp;TEXT(ROW()-5,"000"))</f>
        <v/>
      </c>
      <c r="C10" s="16" t="n"/>
      <c r="D10" s="14" t="n"/>
      <c r="E10" s="15">
        <f>IF($D10="","",IFERROR(INDEX(rngCadetPIDs,MATCH($D10,rngCadetNames,0)),"?"))</f>
        <v/>
      </c>
      <c r="F10" s="14" t="n"/>
      <c r="G10" s="14" t="n"/>
      <c r="H10" s="14" t="n"/>
      <c r="I10" s="14" t="n"/>
      <c r="J10" s="14" t="n"/>
      <c r="K10" s="14" t="n"/>
      <c r="L10" s="15">
        <f>IF($D10="","",IF(AND($F10="Negative",OR($G10="Critical",$G10="Major")),"Yes","No"))</f>
        <v/>
      </c>
      <c r="M10" s="14" t="n"/>
      <c r="N10" s="14" t="n"/>
    </row>
    <row r="11">
      <c r="B11" s="15">
        <f>IF($D11="","","I"&amp;TEXT(ROW()-5,"000"))</f>
        <v/>
      </c>
      <c r="C11" s="16" t="n"/>
      <c r="D11" s="14" t="n"/>
      <c r="E11" s="15">
        <f>IF($D11="","",IFERROR(INDEX(rngCadetPIDs,MATCH($D11,rngCadetNames,0)),"?"))</f>
        <v/>
      </c>
      <c r="F11" s="14" t="n"/>
      <c r="G11" s="14" t="n"/>
      <c r="H11" s="14" t="n"/>
      <c r="I11" s="14" t="n"/>
      <c r="J11" s="14" t="n"/>
      <c r="K11" s="14" t="n"/>
      <c r="L11" s="15">
        <f>IF($D11="","",IF(AND($F11="Negative",OR($G11="Critical",$G11="Major")),"Yes","No"))</f>
        <v/>
      </c>
      <c r="M11" s="14" t="n"/>
      <c r="N11" s="14" t="n"/>
    </row>
    <row r="12">
      <c r="B12" s="15">
        <f>IF($D12="","","I"&amp;TEXT(ROW()-5,"000"))</f>
        <v/>
      </c>
      <c r="C12" s="16" t="n"/>
      <c r="D12" s="14" t="n"/>
      <c r="E12" s="15">
        <f>IF($D12="","",IFERROR(INDEX(rngCadetPIDs,MATCH($D12,rngCadetNames,0)),"?"))</f>
        <v/>
      </c>
      <c r="F12" s="14" t="n"/>
      <c r="G12" s="14" t="n"/>
      <c r="H12" s="14" t="n"/>
      <c r="I12" s="14" t="n"/>
      <c r="J12" s="14" t="n"/>
      <c r="K12" s="14" t="n"/>
      <c r="L12" s="15">
        <f>IF($D12="","",IF(AND($F12="Negative",OR($G12="Critical",$G12="Major")),"Yes","No"))</f>
        <v/>
      </c>
      <c r="M12" s="14" t="n"/>
      <c r="N12" s="14" t="n"/>
    </row>
    <row r="13">
      <c r="B13" s="15">
        <f>IF($D13="","","I"&amp;TEXT(ROW()-5,"000"))</f>
        <v/>
      </c>
      <c r="C13" s="16" t="n"/>
      <c r="D13" s="14" t="n"/>
      <c r="E13" s="15">
        <f>IF($D13="","",IFERROR(INDEX(rngCadetPIDs,MATCH($D13,rngCadetNames,0)),"?"))</f>
        <v/>
      </c>
      <c r="F13" s="14" t="n"/>
      <c r="G13" s="14" t="n"/>
      <c r="H13" s="14" t="n"/>
      <c r="I13" s="14" t="n"/>
      <c r="J13" s="14" t="n"/>
      <c r="K13" s="14" t="n"/>
      <c r="L13" s="15">
        <f>IF($D13="","",IF(AND($F13="Negative",OR($G13="Critical",$G13="Major")),"Yes","No"))</f>
        <v/>
      </c>
      <c r="M13" s="14" t="n"/>
      <c r="N13" s="14" t="n"/>
    </row>
    <row r="14">
      <c r="B14" s="15">
        <f>IF($D14="","","I"&amp;TEXT(ROW()-5,"000"))</f>
        <v/>
      </c>
      <c r="C14" s="16" t="n"/>
      <c r="D14" s="14" t="n"/>
      <c r="E14" s="15">
        <f>IF($D14="","",IFERROR(INDEX(rngCadetPIDs,MATCH($D14,rngCadetNames,0)),"?"))</f>
        <v/>
      </c>
      <c r="F14" s="14" t="n"/>
      <c r="G14" s="14" t="n"/>
      <c r="H14" s="14" t="n"/>
      <c r="I14" s="14" t="n"/>
      <c r="J14" s="14" t="n"/>
      <c r="K14" s="14" t="n"/>
      <c r="L14" s="15">
        <f>IF($D14="","",IF(AND($F14="Negative",OR($G14="Critical",$G14="Major")),"Yes","No"))</f>
        <v/>
      </c>
      <c r="M14" s="14" t="n"/>
      <c r="N14" s="14" t="n"/>
    </row>
    <row r="15">
      <c r="B15" s="15">
        <f>IF($D15="","","I"&amp;TEXT(ROW()-5,"000"))</f>
        <v/>
      </c>
      <c r="C15" s="16" t="n"/>
      <c r="D15" s="14" t="n"/>
      <c r="E15" s="15">
        <f>IF($D15="","",IFERROR(INDEX(rngCadetPIDs,MATCH($D15,rngCadetNames,0)),"?"))</f>
        <v/>
      </c>
      <c r="F15" s="14" t="n"/>
      <c r="G15" s="14" t="n"/>
      <c r="H15" s="14" t="n"/>
      <c r="I15" s="14" t="n"/>
      <c r="J15" s="14" t="n"/>
      <c r="K15" s="14" t="n"/>
      <c r="L15" s="15">
        <f>IF($D15="","",IF(AND($F15="Negative",OR($G15="Critical",$G15="Major")),"Yes","No"))</f>
        <v/>
      </c>
      <c r="M15" s="14" t="n"/>
      <c r="N15" s="14" t="n"/>
    </row>
    <row r="16">
      <c r="B16" s="15">
        <f>IF($D16="","","I"&amp;TEXT(ROW()-5,"000"))</f>
        <v/>
      </c>
      <c r="C16" s="16" t="n"/>
      <c r="D16" s="14" t="n"/>
      <c r="E16" s="15">
        <f>IF($D16="","",IFERROR(INDEX(rngCadetPIDs,MATCH($D16,rngCadetNames,0)),"?"))</f>
        <v/>
      </c>
      <c r="F16" s="14" t="n"/>
      <c r="G16" s="14" t="n"/>
      <c r="H16" s="14" t="n"/>
      <c r="I16" s="14" t="n"/>
      <c r="J16" s="14" t="n"/>
      <c r="K16" s="14" t="n"/>
      <c r="L16" s="15">
        <f>IF($D16="","",IF(AND($F16="Negative",OR($G16="Critical",$G16="Major")),"Yes","No"))</f>
        <v/>
      </c>
      <c r="M16" s="14" t="n"/>
      <c r="N16" s="14" t="n"/>
    </row>
    <row r="17">
      <c r="B17" s="15">
        <f>IF($D17="","","I"&amp;TEXT(ROW()-5,"000"))</f>
        <v/>
      </c>
      <c r="C17" s="16" t="n"/>
      <c r="D17" s="14" t="n"/>
      <c r="E17" s="15">
        <f>IF($D17="","",IFERROR(INDEX(rngCadetPIDs,MATCH($D17,rngCadetNames,0)),"?"))</f>
        <v/>
      </c>
      <c r="F17" s="14" t="n"/>
      <c r="G17" s="14" t="n"/>
      <c r="H17" s="14" t="n"/>
      <c r="I17" s="14" t="n"/>
      <c r="J17" s="14" t="n"/>
      <c r="K17" s="14" t="n"/>
      <c r="L17" s="15">
        <f>IF($D17="","",IF(AND($F17="Negative",OR($G17="Critical",$G17="Major")),"Yes","No"))</f>
        <v/>
      </c>
      <c r="M17" s="14" t="n"/>
      <c r="N17" s="14" t="n"/>
    </row>
    <row r="18">
      <c r="B18" s="15">
        <f>IF($D18="","","I"&amp;TEXT(ROW()-5,"000"))</f>
        <v/>
      </c>
      <c r="C18" s="16" t="n"/>
      <c r="D18" s="14" t="n"/>
      <c r="E18" s="15">
        <f>IF($D18="","",IFERROR(INDEX(rngCadetPIDs,MATCH($D18,rngCadetNames,0)),"?"))</f>
        <v/>
      </c>
      <c r="F18" s="14" t="n"/>
      <c r="G18" s="14" t="n"/>
      <c r="H18" s="14" t="n"/>
      <c r="I18" s="14" t="n"/>
      <c r="J18" s="14" t="n"/>
      <c r="K18" s="14" t="n"/>
      <c r="L18" s="15">
        <f>IF($D18="","",IF(AND($F18="Negative",OR($G18="Critical",$G18="Major")),"Yes","No"))</f>
        <v/>
      </c>
      <c r="M18" s="14" t="n"/>
      <c r="N18" s="14" t="n"/>
    </row>
    <row r="19">
      <c r="B19" s="15">
        <f>IF($D19="","","I"&amp;TEXT(ROW()-5,"000"))</f>
        <v/>
      </c>
      <c r="C19" s="16" t="n"/>
      <c r="D19" s="14" t="n"/>
      <c r="E19" s="15">
        <f>IF($D19="","",IFERROR(INDEX(rngCadetPIDs,MATCH($D19,rngCadetNames,0)),"?"))</f>
        <v/>
      </c>
      <c r="F19" s="14" t="n"/>
      <c r="G19" s="14" t="n"/>
      <c r="H19" s="14" t="n"/>
      <c r="I19" s="14" t="n"/>
      <c r="J19" s="14" t="n"/>
      <c r="K19" s="14" t="n"/>
      <c r="L19" s="15">
        <f>IF($D19="","",IF(AND($F19="Negative",OR($G19="Critical",$G19="Major")),"Yes","No"))</f>
        <v/>
      </c>
      <c r="M19" s="14" t="n"/>
      <c r="N19" s="14" t="n"/>
    </row>
    <row r="20">
      <c r="B20" s="15">
        <f>IF($D20="","","I"&amp;TEXT(ROW()-5,"000"))</f>
        <v/>
      </c>
      <c r="C20" s="16" t="n"/>
      <c r="D20" s="14" t="n"/>
      <c r="E20" s="15">
        <f>IF($D20="","",IFERROR(INDEX(rngCadetPIDs,MATCH($D20,rngCadetNames,0)),"?"))</f>
        <v/>
      </c>
      <c r="F20" s="14" t="n"/>
      <c r="G20" s="14" t="n"/>
      <c r="H20" s="14" t="n"/>
      <c r="I20" s="14" t="n"/>
      <c r="J20" s="14" t="n"/>
      <c r="K20" s="14" t="n"/>
      <c r="L20" s="15">
        <f>IF($D20="","",IF(AND($F20="Negative",OR($G20="Critical",$G20="Major")),"Yes","No"))</f>
        <v/>
      </c>
      <c r="M20" s="14" t="n"/>
      <c r="N20" s="14" t="n"/>
    </row>
    <row r="21">
      <c r="B21" s="15">
        <f>IF($D21="","","I"&amp;TEXT(ROW()-5,"000"))</f>
        <v/>
      </c>
      <c r="C21" s="16" t="n"/>
      <c r="D21" s="14" t="n"/>
      <c r="E21" s="15">
        <f>IF($D21="","",IFERROR(INDEX(rngCadetPIDs,MATCH($D21,rngCadetNames,0)),"?"))</f>
        <v/>
      </c>
      <c r="F21" s="14" t="n"/>
      <c r="G21" s="14" t="n"/>
      <c r="H21" s="14" t="n"/>
      <c r="I21" s="14" t="n"/>
      <c r="J21" s="14" t="n"/>
      <c r="K21" s="14" t="n"/>
      <c r="L21" s="15">
        <f>IF($D21="","",IF(AND($F21="Negative",OR($G21="Critical",$G21="Major")),"Yes","No"))</f>
        <v/>
      </c>
      <c r="M21" s="14" t="n"/>
      <c r="N21" s="14" t="n"/>
    </row>
    <row r="22">
      <c r="B22" s="15">
        <f>IF($D22="","","I"&amp;TEXT(ROW()-5,"000"))</f>
        <v/>
      </c>
      <c r="C22" s="16" t="n"/>
      <c r="D22" s="14" t="n"/>
      <c r="E22" s="15">
        <f>IF($D22="","",IFERROR(INDEX(rngCadetPIDs,MATCH($D22,rngCadetNames,0)),"?"))</f>
        <v/>
      </c>
      <c r="F22" s="14" t="n"/>
      <c r="G22" s="14" t="n"/>
      <c r="H22" s="14" t="n"/>
      <c r="I22" s="14" t="n"/>
      <c r="J22" s="14" t="n"/>
      <c r="K22" s="14" t="n"/>
      <c r="L22" s="15">
        <f>IF($D22="","",IF(AND($F22="Negative",OR($G22="Critical",$G22="Major")),"Yes","No"))</f>
        <v/>
      </c>
      <c r="M22" s="14" t="n"/>
      <c r="N22" s="14" t="n"/>
    </row>
    <row r="23">
      <c r="B23" s="15">
        <f>IF($D23="","","I"&amp;TEXT(ROW()-5,"000"))</f>
        <v/>
      </c>
      <c r="C23" s="16" t="n"/>
      <c r="D23" s="14" t="n"/>
      <c r="E23" s="15">
        <f>IF($D23="","",IFERROR(INDEX(rngCadetPIDs,MATCH($D23,rngCadetNames,0)),"?"))</f>
        <v/>
      </c>
      <c r="F23" s="14" t="n"/>
      <c r="G23" s="14" t="n"/>
      <c r="H23" s="14" t="n"/>
      <c r="I23" s="14" t="n"/>
      <c r="J23" s="14" t="n"/>
      <c r="K23" s="14" t="n"/>
      <c r="L23" s="15">
        <f>IF($D23="","",IF(AND($F23="Negative",OR($G23="Critical",$G23="Major")),"Yes","No"))</f>
        <v/>
      </c>
      <c r="M23" s="14" t="n"/>
      <c r="N23" s="14" t="n"/>
    </row>
    <row r="24">
      <c r="B24" s="15">
        <f>IF($D24="","","I"&amp;TEXT(ROW()-5,"000"))</f>
        <v/>
      </c>
      <c r="C24" s="16" t="n"/>
      <c r="D24" s="14" t="n"/>
      <c r="E24" s="15">
        <f>IF($D24="","",IFERROR(INDEX(rngCadetPIDs,MATCH($D24,rngCadetNames,0)),"?"))</f>
        <v/>
      </c>
      <c r="F24" s="14" t="n"/>
      <c r="G24" s="14" t="n"/>
      <c r="H24" s="14" t="n"/>
      <c r="I24" s="14" t="n"/>
      <c r="J24" s="14" t="n"/>
      <c r="K24" s="14" t="n"/>
      <c r="L24" s="15">
        <f>IF($D24="","",IF(AND($F24="Negative",OR($G24="Critical",$G24="Major")),"Yes","No"))</f>
        <v/>
      </c>
      <c r="M24" s="14" t="n"/>
      <c r="N24" s="14" t="n"/>
    </row>
    <row r="25">
      <c r="B25" s="15">
        <f>IF($D25="","","I"&amp;TEXT(ROW()-5,"000"))</f>
        <v/>
      </c>
      <c r="C25" s="16" t="n"/>
      <c r="D25" s="14" t="n"/>
      <c r="E25" s="15">
        <f>IF($D25="","",IFERROR(INDEX(rngCadetPIDs,MATCH($D25,rngCadetNames,0)),"?"))</f>
        <v/>
      </c>
      <c r="F25" s="14" t="n"/>
      <c r="G25" s="14" t="n"/>
      <c r="H25" s="14" t="n"/>
      <c r="I25" s="14" t="n"/>
      <c r="J25" s="14" t="n"/>
      <c r="K25" s="14" t="n"/>
      <c r="L25" s="15">
        <f>IF($D25="","",IF(AND($F25="Negative",OR($G25="Critical",$G25="Major")),"Yes","No"))</f>
        <v/>
      </c>
      <c r="M25" s="14" t="n"/>
      <c r="N25" s="14" t="n"/>
    </row>
    <row r="26">
      <c r="B26" s="15">
        <f>IF($D26="","","I"&amp;TEXT(ROW()-5,"000"))</f>
        <v/>
      </c>
      <c r="C26" s="16" t="n"/>
      <c r="D26" s="14" t="n"/>
      <c r="E26" s="15">
        <f>IF($D26="","",IFERROR(INDEX(rngCadetPIDs,MATCH($D26,rngCadetNames,0)),"?"))</f>
        <v/>
      </c>
      <c r="F26" s="14" t="n"/>
      <c r="G26" s="14" t="n"/>
      <c r="H26" s="14" t="n"/>
      <c r="I26" s="14" t="n"/>
      <c r="J26" s="14" t="n"/>
      <c r="K26" s="14" t="n"/>
      <c r="L26" s="15">
        <f>IF($D26="","",IF(AND($F26="Negative",OR($G26="Critical",$G26="Major")),"Yes","No"))</f>
        <v/>
      </c>
      <c r="M26" s="14" t="n"/>
      <c r="N26" s="14" t="n"/>
    </row>
    <row r="27">
      <c r="B27" s="15">
        <f>IF($D27="","","I"&amp;TEXT(ROW()-5,"000"))</f>
        <v/>
      </c>
      <c r="C27" s="16" t="n"/>
      <c r="D27" s="14" t="n"/>
      <c r="E27" s="15">
        <f>IF($D27="","",IFERROR(INDEX(rngCadetPIDs,MATCH($D27,rngCadetNames,0)),"?"))</f>
        <v/>
      </c>
      <c r="F27" s="14" t="n"/>
      <c r="G27" s="14" t="n"/>
      <c r="H27" s="14" t="n"/>
      <c r="I27" s="14" t="n"/>
      <c r="J27" s="14" t="n"/>
      <c r="K27" s="14" t="n"/>
      <c r="L27" s="15">
        <f>IF($D27="","",IF(AND($F27="Negative",OR($G27="Critical",$G27="Major")),"Yes","No"))</f>
        <v/>
      </c>
      <c r="M27" s="14" t="n"/>
      <c r="N27" s="14" t="n"/>
    </row>
    <row r="28">
      <c r="B28" s="15">
        <f>IF($D28="","","I"&amp;TEXT(ROW()-5,"000"))</f>
        <v/>
      </c>
      <c r="C28" s="16" t="n"/>
      <c r="D28" s="14" t="n"/>
      <c r="E28" s="15">
        <f>IF($D28="","",IFERROR(INDEX(rngCadetPIDs,MATCH($D28,rngCadetNames,0)),"?"))</f>
        <v/>
      </c>
      <c r="F28" s="14" t="n"/>
      <c r="G28" s="14" t="n"/>
      <c r="H28" s="14" t="n"/>
      <c r="I28" s="14" t="n"/>
      <c r="J28" s="14" t="n"/>
      <c r="K28" s="14" t="n"/>
      <c r="L28" s="15">
        <f>IF($D28="","",IF(AND($F28="Negative",OR($G28="Critical",$G28="Major")),"Yes","No"))</f>
        <v/>
      </c>
      <c r="M28" s="14" t="n"/>
      <c r="N28" s="14" t="n"/>
    </row>
    <row r="29">
      <c r="B29" s="15">
        <f>IF($D29="","","I"&amp;TEXT(ROW()-5,"000"))</f>
        <v/>
      </c>
      <c r="C29" s="16" t="n"/>
      <c r="D29" s="14" t="n"/>
      <c r="E29" s="15">
        <f>IF($D29="","",IFERROR(INDEX(rngCadetPIDs,MATCH($D29,rngCadetNames,0)),"?"))</f>
        <v/>
      </c>
      <c r="F29" s="14" t="n"/>
      <c r="G29" s="14" t="n"/>
      <c r="H29" s="14" t="n"/>
      <c r="I29" s="14" t="n"/>
      <c r="J29" s="14" t="n"/>
      <c r="K29" s="14" t="n"/>
      <c r="L29" s="15">
        <f>IF($D29="","",IF(AND($F29="Negative",OR($G29="Critical",$G29="Major")),"Yes","No"))</f>
        <v/>
      </c>
      <c r="M29" s="14" t="n"/>
      <c r="N29" s="14" t="n"/>
    </row>
    <row r="30">
      <c r="B30" s="15">
        <f>IF($D30="","","I"&amp;TEXT(ROW()-5,"000"))</f>
        <v/>
      </c>
      <c r="C30" s="16" t="n"/>
      <c r="D30" s="14" t="n"/>
      <c r="E30" s="15">
        <f>IF($D30="","",IFERROR(INDEX(rngCadetPIDs,MATCH($D30,rngCadetNames,0)),"?"))</f>
        <v/>
      </c>
      <c r="F30" s="14" t="n"/>
      <c r="G30" s="14" t="n"/>
      <c r="H30" s="14" t="n"/>
      <c r="I30" s="14" t="n"/>
      <c r="J30" s="14" t="n"/>
      <c r="K30" s="14" t="n"/>
      <c r="L30" s="15">
        <f>IF($D30="","",IF(AND($F30="Negative",OR($G30="Critical",$G30="Major")),"Yes","No"))</f>
        <v/>
      </c>
      <c r="M30" s="14" t="n"/>
      <c r="N30" s="14" t="n"/>
    </row>
    <row r="31">
      <c r="B31" s="15">
        <f>IF($D31="","","I"&amp;TEXT(ROW()-5,"000"))</f>
        <v/>
      </c>
      <c r="C31" s="16" t="n"/>
      <c r="D31" s="14" t="n"/>
      <c r="E31" s="15">
        <f>IF($D31="","",IFERROR(INDEX(rngCadetPIDs,MATCH($D31,rngCadetNames,0)),"?"))</f>
        <v/>
      </c>
      <c r="F31" s="14" t="n"/>
      <c r="G31" s="14" t="n"/>
      <c r="H31" s="14" t="n"/>
      <c r="I31" s="14" t="n"/>
      <c r="J31" s="14" t="n"/>
      <c r="K31" s="14" t="n"/>
      <c r="L31" s="15">
        <f>IF($D31="","",IF(AND($F31="Negative",OR($G31="Critical",$G31="Major")),"Yes","No"))</f>
        <v/>
      </c>
      <c r="M31" s="14" t="n"/>
      <c r="N31" s="14" t="n"/>
    </row>
    <row r="32">
      <c r="B32" s="15">
        <f>IF($D32="","","I"&amp;TEXT(ROW()-5,"000"))</f>
        <v/>
      </c>
      <c r="C32" s="16" t="n"/>
      <c r="D32" s="14" t="n"/>
      <c r="E32" s="15">
        <f>IF($D32="","",IFERROR(INDEX(rngCadetPIDs,MATCH($D32,rngCadetNames,0)),"?"))</f>
        <v/>
      </c>
      <c r="F32" s="14" t="n"/>
      <c r="G32" s="14" t="n"/>
      <c r="H32" s="14" t="n"/>
      <c r="I32" s="14" t="n"/>
      <c r="J32" s="14" t="n"/>
      <c r="K32" s="14" t="n"/>
      <c r="L32" s="15">
        <f>IF($D32="","",IF(AND($F32="Negative",OR($G32="Critical",$G32="Major")),"Yes","No"))</f>
        <v/>
      </c>
      <c r="M32" s="14" t="n"/>
      <c r="N32" s="14" t="n"/>
    </row>
    <row r="33">
      <c r="B33" s="15">
        <f>IF($D33="","","I"&amp;TEXT(ROW()-5,"000"))</f>
        <v/>
      </c>
      <c r="C33" s="16" t="n"/>
      <c r="D33" s="14" t="n"/>
      <c r="E33" s="15">
        <f>IF($D33="","",IFERROR(INDEX(rngCadetPIDs,MATCH($D33,rngCadetNames,0)),"?"))</f>
        <v/>
      </c>
      <c r="F33" s="14" t="n"/>
      <c r="G33" s="14" t="n"/>
      <c r="H33" s="14" t="n"/>
      <c r="I33" s="14" t="n"/>
      <c r="J33" s="14" t="n"/>
      <c r="K33" s="14" t="n"/>
      <c r="L33" s="15">
        <f>IF($D33="","",IF(AND($F33="Negative",OR($G33="Critical",$G33="Major")),"Yes","No"))</f>
        <v/>
      </c>
      <c r="M33" s="14" t="n"/>
      <c r="N33" s="14" t="n"/>
    </row>
    <row r="34">
      <c r="B34" s="15">
        <f>IF($D34="","","I"&amp;TEXT(ROW()-5,"000"))</f>
        <v/>
      </c>
      <c r="C34" s="16" t="n"/>
      <c r="D34" s="14" t="n"/>
      <c r="E34" s="15">
        <f>IF($D34="","",IFERROR(INDEX(rngCadetPIDs,MATCH($D34,rngCadetNames,0)),"?"))</f>
        <v/>
      </c>
      <c r="F34" s="14" t="n"/>
      <c r="G34" s="14" t="n"/>
      <c r="H34" s="14" t="n"/>
      <c r="I34" s="14" t="n"/>
      <c r="J34" s="14" t="n"/>
      <c r="K34" s="14" t="n"/>
      <c r="L34" s="15">
        <f>IF($D34="","",IF(AND($F34="Negative",OR($G34="Critical",$G34="Major")),"Yes","No"))</f>
        <v/>
      </c>
      <c r="M34" s="14" t="n"/>
      <c r="N34" s="14" t="n"/>
    </row>
    <row r="35">
      <c r="B35" s="15">
        <f>IF($D35="","","I"&amp;TEXT(ROW()-5,"000"))</f>
        <v/>
      </c>
      <c r="C35" s="16" t="n"/>
      <c r="D35" s="14" t="n"/>
      <c r="E35" s="15">
        <f>IF($D35="","",IFERROR(INDEX(rngCadetPIDs,MATCH($D35,rngCadetNames,0)),"?"))</f>
        <v/>
      </c>
      <c r="F35" s="14" t="n"/>
      <c r="G35" s="14" t="n"/>
      <c r="H35" s="14" t="n"/>
      <c r="I35" s="14" t="n"/>
      <c r="J35" s="14" t="n"/>
      <c r="K35" s="14" t="n"/>
      <c r="L35" s="15">
        <f>IF($D35="","",IF(AND($F35="Negative",OR($G35="Critical",$G35="Major")),"Yes","No"))</f>
        <v/>
      </c>
      <c r="M35" s="14" t="n"/>
      <c r="N35" s="14" t="n"/>
    </row>
    <row r="36">
      <c r="B36" s="15">
        <f>IF($D36="","","I"&amp;TEXT(ROW()-5,"000"))</f>
        <v/>
      </c>
      <c r="C36" s="16" t="n"/>
      <c r="D36" s="14" t="n"/>
      <c r="E36" s="15">
        <f>IF($D36="","",IFERROR(INDEX(rngCadetPIDs,MATCH($D36,rngCadetNames,0)),"?"))</f>
        <v/>
      </c>
      <c r="F36" s="14" t="n"/>
      <c r="G36" s="14" t="n"/>
      <c r="H36" s="14" t="n"/>
      <c r="I36" s="14" t="n"/>
      <c r="J36" s="14" t="n"/>
      <c r="K36" s="14" t="n"/>
      <c r="L36" s="15">
        <f>IF($D36="","",IF(AND($F36="Negative",OR($G36="Critical",$G36="Major")),"Yes","No"))</f>
        <v/>
      </c>
      <c r="M36" s="14" t="n"/>
      <c r="N36" s="14" t="n"/>
    </row>
    <row r="37">
      <c r="B37" s="15">
        <f>IF($D37="","","I"&amp;TEXT(ROW()-5,"000"))</f>
        <v/>
      </c>
      <c r="C37" s="16" t="n"/>
      <c r="D37" s="14" t="n"/>
      <c r="E37" s="15">
        <f>IF($D37="","",IFERROR(INDEX(rngCadetPIDs,MATCH($D37,rngCadetNames,0)),"?"))</f>
        <v/>
      </c>
      <c r="F37" s="14" t="n"/>
      <c r="G37" s="14" t="n"/>
      <c r="H37" s="14" t="n"/>
      <c r="I37" s="14" t="n"/>
      <c r="J37" s="14" t="n"/>
      <c r="K37" s="14" t="n"/>
      <c r="L37" s="15">
        <f>IF($D37="","",IF(AND($F37="Negative",OR($G37="Critical",$G37="Major")),"Yes","No"))</f>
        <v/>
      </c>
      <c r="M37" s="14" t="n"/>
      <c r="N37" s="14" t="n"/>
    </row>
    <row r="38">
      <c r="B38" s="15">
        <f>IF($D38="","","I"&amp;TEXT(ROW()-5,"000"))</f>
        <v/>
      </c>
      <c r="C38" s="16" t="n"/>
      <c r="D38" s="14" t="n"/>
      <c r="E38" s="15">
        <f>IF($D38="","",IFERROR(INDEX(rngCadetPIDs,MATCH($D38,rngCadetNames,0)),"?"))</f>
        <v/>
      </c>
      <c r="F38" s="14" t="n"/>
      <c r="G38" s="14" t="n"/>
      <c r="H38" s="14" t="n"/>
      <c r="I38" s="14" t="n"/>
      <c r="J38" s="14" t="n"/>
      <c r="K38" s="14" t="n"/>
      <c r="L38" s="15">
        <f>IF($D38="","",IF(AND($F38="Negative",OR($G38="Critical",$G38="Major")),"Yes","No"))</f>
        <v/>
      </c>
      <c r="M38" s="14" t="n"/>
      <c r="N38" s="14" t="n"/>
    </row>
    <row r="39">
      <c r="B39" s="15">
        <f>IF($D39="","","I"&amp;TEXT(ROW()-5,"000"))</f>
        <v/>
      </c>
      <c r="C39" s="16" t="n"/>
      <c r="D39" s="14" t="n"/>
      <c r="E39" s="15">
        <f>IF($D39="","",IFERROR(INDEX(rngCadetPIDs,MATCH($D39,rngCadetNames,0)),"?"))</f>
        <v/>
      </c>
      <c r="F39" s="14" t="n"/>
      <c r="G39" s="14" t="n"/>
      <c r="H39" s="14" t="n"/>
      <c r="I39" s="14" t="n"/>
      <c r="J39" s="14" t="n"/>
      <c r="K39" s="14" t="n"/>
      <c r="L39" s="15">
        <f>IF($D39="","",IF(AND($F39="Negative",OR($G39="Critical",$G39="Major")),"Yes","No"))</f>
        <v/>
      </c>
      <c r="M39" s="14" t="n"/>
      <c r="N39" s="14" t="n"/>
    </row>
    <row r="40">
      <c r="B40" s="15">
        <f>IF($D40="","","I"&amp;TEXT(ROW()-5,"000"))</f>
        <v/>
      </c>
      <c r="C40" s="16" t="n"/>
      <c r="D40" s="14" t="n"/>
      <c r="E40" s="15">
        <f>IF($D40="","",IFERROR(INDEX(rngCadetPIDs,MATCH($D40,rngCadetNames,0)),"?"))</f>
        <v/>
      </c>
      <c r="F40" s="14" t="n"/>
      <c r="G40" s="14" t="n"/>
      <c r="H40" s="14" t="n"/>
      <c r="I40" s="14" t="n"/>
      <c r="J40" s="14" t="n"/>
      <c r="K40" s="14" t="n"/>
      <c r="L40" s="15">
        <f>IF($D40="","",IF(AND($F40="Negative",OR($G40="Critical",$G40="Major")),"Yes","No"))</f>
        <v/>
      </c>
      <c r="M40" s="14" t="n"/>
      <c r="N40" s="14" t="n"/>
    </row>
    <row r="41">
      <c r="B41" s="15">
        <f>IF($D41="","","I"&amp;TEXT(ROW()-5,"000"))</f>
        <v/>
      </c>
      <c r="C41" s="16" t="n"/>
      <c r="D41" s="14" t="n"/>
      <c r="E41" s="15">
        <f>IF($D41="","",IFERROR(INDEX(rngCadetPIDs,MATCH($D41,rngCadetNames,0)),"?"))</f>
        <v/>
      </c>
      <c r="F41" s="14" t="n"/>
      <c r="G41" s="14" t="n"/>
      <c r="H41" s="14" t="n"/>
      <c r="I41" s="14" t="n"/>
      <c r="J41" s="14" t="n"/>
      <c r="K41" s="14" t="n"/>
      <c r="L41" s="15">
        <f>IF($D41="","",IF(AND($F41="Negative",OR($G41="Critical",$G41="Major")),"Yes","No"))</f>
        <v/>
      </c>
      <c r="M41" s="14" t="n"/>
      <c r="N41" s="14" t="n"/>
    </row>
    <row r="42">
      <c r="B42" s="15">
        <f>IF($D42="","","I"&amp;TEXT(ROW()-5,"000"))</f>
        <v/>
      </c>
      <c r="C42" s="16" t="n"/>
      <c r="D42" s="14" t="n"/>
      <c r="E42" s="15">
        <f>IF($D42="","",IFERROR(INDEX(rngCadetPIDs,MATCH($D42,rngCadetNames,0)),"?"))</f>
        <v/>
      </c>
      <c r="F42" s="14" t="n"/>
      <c r="G42" s="14" t="n"/>
      <c r="H42" s="14" t="n"/>
      <c r="I42" s="14" t="n"/>
      <c r="J42" s="14" t="n"/>
      <c r="K42" s="14" t="n"/>
      <c r="L42" s="15">
        <f>IF($D42="","",IF(AND($F42="Negative",OR($G42="Critical",$G42="Major")),"Yes","No"))</f>
        <v/>
      </c>
      <c r="M42" s="14" t="n"/>
      <c r="N42" s="14" t="n"/>
    </row>
    <row r="43">
      <c r="B43" s="15">
        <f>IF($D43="","","I"&amp;TEXT(ROW()-5,"000"))</f>
        <v/>
      </c>
      <c r="C43" s="16" t="n"/>
      <c r="D43" s="14" t="n"/>
      <c r="E43" s="15">
        <f>IF($D43="","",IFERROR(INDEX(rngCadetPIDs,MATCH($D43,rngCadetNames,0)),"?"))</f>
        <v/>
      </c>
      <c r="F43" s="14" t="n"/>
      <c r="G43" s="14" t="n"/>
      <c r="H43" s="14" t="n"/>
      <c r="I43" s="14" t="n"/>
      <c r="J43" s="14" t="n"/>
      <c r="K43" s="14" t="n"/>
      <c r="L43" s="15">
        <f>IF($D43="","",IF(AND($F43="Negative",OR($G43="Critical",$G43="Major")),"Yes","No"))</f>
        <v/>
      </c>
      <c r="M43" s="14" t="n"/>
      <c r="N43" s="14" t="n"/>
    </row>
    <row r="44">
      <c r="B44" s="15">
        <f>IF($D44="","","I"&amp;TEXT(ROW()-5,"000"))</f>
        <v/>
      </c>
      <c r="C44" s="16" t="n"/>
      <c r="D44" s="14" t="n"/>
      <c r="E44" s="15">
        <f>IF($D44="","",IFERROR(INDEX(rngCadetPIDs,MATCH($D44,rngCadetNames,0)),"?"))</f>
        <v/>
      </c>
      <c r="F44" s="14" t="n"/>
      <c r="G44" s="14" t="n"/>
      <c r="H44" s="14" t="n"/>
      <c r="I44" s="14" t="n"/>
      <c r="J44" s="14" t="n"/>
      <c r="K44" s="14" t="n"/>
      <c r="L44" s="15">
        <f>IF($D44="","",IF(AND($F44="Negative",OR($G44="Critical",$G44="Major")),"Yes","No"))</f>
        <v/>
      </c>
      <c r="M44" s="14" t="n"/>
      <c r="N44" s="14" t="n"/>
    </row>
    <row r="45">
      <c r="B45" s="15">
        <f>IF($D45="","","I"&amp;TEXT(ROW()-5,"000"))</f>
        <v/>
      </c>
      <c r="C45" s="16" t="n"/>
      <c r="D45" s="14" t="n"/>
      <c r="E45" s="15">
        <f>IF($D45="","",IFERROR(INDEX(rngCadetPIDs,MATCH($D45,rngCadetNames,0)),"?"))</f>
        <v/>
      </c>
      <c r="F45" s="14" t="n"/>
      <c r="G45" s="14" t="n"/>
      <c r="H45" s="14" t="n"/>
      <c r="I45" s="14" t="n"/>
      <c r="J45" s="14" t="n"/>
      <c r="K45" s="14" t="n"/>
      <c r="L45" s="15">
        <f>IF($D45="","",IF(AND($F45="Negative",OR($G45="Critical",$G45="Major")),"Yes","No"))</f>
        <v/>
      </c>
      <c r="M45" s="14" t="n"/>
      <c r="N45" s="14" t="n"/>
    </row>
    <row r="46">
      <c r="B46" s="15">
        <f>IF($D46="","","I"&amp;TEXT(ROW()-5,"000"))</f>
        <v/>
      </c>
      <c r="C46" s="16" t="n"/>
      <c r="D46" s="14" t="n"/>
      <c r="E46" s="15">
        <f>IF($D46="","",IFERROR(INDEX(rngCadetPIDs,MATCH($D46,rngCadetNames,0)),"?"))</f>
        <v/>
      </c>
      <c r="F46" s="14" t="n"/>
      <c r="G46" s="14" t="n"/>
      <c r="H46" s="14" t="n"/>
      <c r="I46" s="14" t="n"/>
      <c r="J46" s="14" t="n"/>
      <c r="K46" s="14" t="n"/>
      <c r="L46" s="15">
        <f>IF($D46="","",IF(AND($F46="Negative",OR($G46="Critical",$G46="Major")),"Yes","No"))</f>
        <v/>
      </c>
      <c r="M46" s="14" t="n"/>
      <c r="N46" s="14" t="n"/>
    </row>
    <row r="47">
      <c r="B47" s="15">
        <f>IF($D47="","","I"&amp;TEXT(ROW()-5,"000"))</f>
        <v/>
      </c>
      <c r="C47" s="16" t="n"/>
      <c r="D47" s="14" t="n"/>
      <c r="E47" s="15">
        <f>IF($D47="","",IFERROR(INDEX(rngCadetPIDs,MATCH($D47,rngCadetNames,0)),"?"))</f>
        <v/>
      </c>
      <c r="F47" s="14" t="n"/>
      <c r="G47" s="14" t="n"/>
      <c r="H47" s="14" t="n"/>
      <c r="I47" s="14" t="n"/>
      <c r="J47" s="14" t="n"/>
      <c r="K47" s="14" t="n"/>
      <c r="L47" s="15">
        <f>IF($D47="","",IF(AND($F47="Negative",OR($G47="Critical",$G47="Major")),"Yes","No"))</f>
        <v/>
      </c>
      <c r="M47" s="14" t="n"/>
      <c r="N47" s="14" t="n"/>
    </row>
    <row r="48">
      <c r="B48" s="15">
        <f>IF($D48="","","I"&amp;TEXT(ROW()-5,"000"))</f>
        <v/>
      </c>
      <c r="C48" s="16" t="n"/>
      <c r="D48" s="14" t="n"/>
      <c r="E48" s="15">
        <f>IF($D48="","",IFERROR(INDEX(rngCadetPIDs,MATCH($D48,rngCadetNames,0)),"?"))</f>
        <v/>
      </c>
      <c r="F48" s="14" t="n"/>
      <c r="G48" s="14" t="n"/>
      <c r="H48" s="14" t="n"/>
      <c r="I48" s="14" t="n"/>
      <c r="J48" s="14" t="n"/>
      <c r="K48" s="14" t="n"/>
      <c r="L48" s="15">
        <f>IF($D48="","",IF(AND($F48="Negative",OR($G48="Critical",$G48="Major")),"Yes","No"))</f>
        <v/>
      </c>
      <c r="M48" s="14" t="n"/>
      <c r="N48" s="14" t="n"/>
    </row>
    <row r="49">
      <c r="B49" s="15">
        <f>IF($D49="","","I"&amp;TEXT(ROW()-5,"000"))</f>
        <v/>
      </c>
      <c r="C49" s="16" t="n"/>
      <c r="D49" s="14" t="n"/>
      <c r="E49" s="15">
        <f>IF($D49="","",IFERROR(INDEX(rngCadetPIDs,MATCH($D49,rngCadetNames,0)),"?"))</f>
        <v/>
      </c>
      <c r="F49" s="14" t="n"/>
      <c r="G49" s="14" t="n"/>
      <c r="H49" s="14" t="n"/>
      <c r="I49" s="14" t="n"/>
      <c r="J49" s="14" t="n"/>
      <c r="K49" s="14" t="n"/>
      <c r="L49" s="15">
        <f>IF($D49="","",IF(AND($F49="Negative",OR($G49="Critical",$G49="Major")),"Yes","No"))</f>
        <v/>
      </c>
      <c r="M49" s="14" t="n"/>
      <c r="N49" s="14" t="n"/>
    </row>
    <row r="50">
      <c r="B50" s="15">
        <f>IF($D50="","","I"&amp;TEXT(ROW()-5,"000"))</f>
        <v/>
      </c>
      <c r="C50" s="16" t="n"/>
      <c r="D50" s="14" t="n"/>
      <c r="E50" s="15">
        <f>IF($D50="","",IFERROR(INDEX(rngCadetPIDs,MATCH($D50,rngCadetNames,0)),"?"))</f>
        <v/>
      </c>
      <c r="F50" s="14" t="n"/>
      <c r="G50" s="14" t="n"/>
      <c r="H50" s="14" t="n"/>
      <c r="I50" s="14" t="n"/>
      <c r="J50" s="14" t="n"/>
      <c r="K50" s="14" t="n"/>
      <c r="L50" s="15">
        <f>IF($D50="","",IF(AND($F50="Negative",OR($G50="Critical",$G50="Major")),"Yes","No"))</f>
        <v/>
      </c>
      <c r="M50" s="14" t="n"/>
      <c r="N50" s="14" t="n"/>
    </row>
    <row r="51">
      <c r="B51" s="15">
        <f>IF($D51="","","I"&amp;TEXT(ROW()-5,"000"))</f>
        <v/>
      </c>
      <c r="C51" s="16" t="n"/>
      <c r="D51" s="14" t="n"/>
      <c r="E51" s="15">
        <f>IF($D51="","",IFERROR(INDEX(rngCadetPIDs,MATCH($D51,rngCadetNames,0)),"?"))</f>
        <v/>
      </c>
      <c r="F51" s="14" t="n"/>
      <c r="G51" s="14" t="n"/>
      <c r="H51" s="14" t="n"/>
      <c r="I51" s="14" t="n"/>
      <c r="J51" s="14" t="n"/>
      <c r="K51" s="14" t="n"/>
      <c r="L51" s="15">
        <f>IF($D51="","",IF(AND($F51="Negative",OR($G51="Critical",$G51="Major")),"Yes","No"))</f>
        <v/>
      </c>
      <c r="M51" s="14" t="n"/>
      <c r="N51" s="14" t="n"/>
    </row>
    <row r="52">
      <c r="B52" s="15">
        <f>IF($D52="","","I"&amp;TEXT(ROW()-5,"000"))</f>
        <v/>
      </c>
      <c r="C52" s="16" t="n"/>
      <c r="D52" s="14" t="n"/>
      <c r="E52" s="15">
        <f>IF($D52="","",IFERROR(INDEX(rngCadetPIDs,MATCH($D52,rngCadetNames,0)),"?"))</f>
        <v/>
      </c>
      <c r="F52" s="14" t="n"/>
      <c r="G52" s="14" t="n"/>
      <c r="H52" s="14" t="n"/>
      <c r="I52" s="14" t="n"/>
      <c r="J52" s="14" t="n"/>
      <c r="K52" s="14" t="n"/>
      <c r="L52" s="15">
        <f>IF($D52="","",IF(AND($F52="Negative",OR($G52="Critical",$G52="Major")),"Yes","No"))</f>
        <v/>
      </c>
      <c r="M52" s="14" t="n"/>
      <c r="N52" s="14" t="n"/>
    </row>
    <row r="53">
      <c r="B53" s="15">
        <f>IF($D53="","","I"&amp;TEXT(ROW()-5,"000"))</f>
        <v/>
      </c>
      <c r="C53" s="16" t="n"/>
      <c r="D53" s="14" t="n"/>
      <c r="E53" s="15">
        <f>IF($D53="","",IFERROR(INDEX(rngCadetPIDs,MATCH($D53,rngCadetNames,0)),"?"))</f>
        <v/>
      </c>
      <c r="F53" s="14" t="n"/>
      <c r="G53" s="14" t="n"/>
      <c r="H53" s="14" t="n"/>
      <c r="I53" s="14" t="n"/>
      <c r="J53" s="14" t="n"/>
      <c r="K53" s="14" t="n"/>
      <c r="L53" s="15">
        <f>IF($D53="","",IF(AND($F53="Negative",OR($G53="Critical",$G53="Major")),"Yes","No"))</f>
        <v/>
      </c>
      <c r="M53" s="14" t="n"/>
      <c r="N53" s="14" t="n"/>
    </row>
    <row r="54">
      <c r="B54" s="15">
        <f>IF($D54="","","I"&amp;TEXT(ROW()-5,"000"))</f>
        <v/>
      </c>
      <c r="C54" s="16" t="n"/>
      <c r="D54" s="14" t="n"/>
      <c r="E54" s="15">
        <f>IF($D54="","",IFERROR(INDEX(rngCadetPIDs,MATCH($D54,rngCadetNames,0)),"?"))</f>
        <v/>
      </c>
      <c r="F54" s="14" t="n"/>
      <c r="G54" s="14" t="n"/>
      <c r="H54" s="14" t="n"/>
      <c r="I54" s="14" t="n"/>
      <c r="J54" s="14" t="n"/>
      <c r="K54" s="14" t="n"/>
      <c r="L54" s="15">
        <f>IF($D54="","",IF(AND($F54="Negative",OR($G54="Critical",$G54="Major")),"Yes","No"))</f>
        <v/>
      </c>
      <c r="M54" s="14" t="n"/>
      <c r="N54" s="14" t="n"/>
    </row>
    <row r="55">
      <c r="B55" s="15">
        <f>IF($D55="","","I"&amp;TEXT(ROW()-5,"000"))</f>
        <v/>
      </c>
      <c r="C55" s="16" t="n"/>
      <c r="D55" s="14" t="n"/>
      <c r="E55" s="15">
        <f>IF($D55="","",IFERROR(INDEX(rngCadetPIDs,MATCH($D55,rngCadetNames,0)),"?"))</f>
        <v/>
      </c>
      <c r="F55" s="14" t="n"/>
      <c r="G55" s="14" t="n"/>
      <c r="H55" s="14" t="n"/>
      <c r="I55" s="14" t="n"/>
      <c r="J55" s="14" t="n"/>
      <c r="K55" s="14" t="n"/>
      <c r="L55" s="15">
        <f>IF($D55="","",IF(AND($F55="Negative",OR($G55="Critical",$G55="Major")),"Yes","No"))</f>
        <v/>
      </c>
      <c r="M55" s="14" t="n"/>
      <c r="N55" s="14" t="n"/>
    </row>
    <row r="56">
      <c r="B56" s="15">
        <f>IF($D56="","","I"&amp;TEXT(ROW()-5,"000"))</f>
        <v/>
      </c>
      <c r="C56" s="16" t="n"/>
      <c r="D56" s="14" t="n"/>
      <c r="E56" s="15">
        <f>IF($D56="","",IFERROR(INDEX(rngCadetPIDs,MATCH($D56,rngCadetNames,0)),"?"))</f>
        <v/>
      </c>
      <c r="F56" s="14" t="n"/>
      <c r="G56" s="14" t="n"/>
      <c r="H56" s="14" t="n"/>
      <c r="I56" s="14" t="n"/>
      <c r="J56" s="14" t="n"/>
      <c r="K56" s="14" t="n"/>
      <c r="L56" s="15">
        <f>IF($D56="","",IF(AND($F56="Negative",OR($G56="Critical",$G56="Major")),"Yes","No"))</f>
        <v/>
      </c>
      <c r="M56" s="14" t="n"/>
      <c r="N56" s="14" t="n"/>
    </row>
    <row r="57">
      <c r="B57" s="15">
        <f>IF($D57="","","I"&amp;TEXT(ROW()-5,"000"))</f>
        <v/>
      </c>
      <c r="C57" s="16" t="n"/>
      <c r="D57" s="14" t="n"/>
      <c r="E57" s="15">
        <f>IF($D57="","",IFERROR(INDEX(rngCadetPIDs,MATCH($D57,rngCadetNames,0)),"?"))</f>
        <v/>
      </c>
      <c r="F57" s="14" t="n"/>
      <c r="G57" s="14" t="n"/>
      <c r="H57" s="14" t="n"/>
      <c r="I57" s="14" t="n"/>
      <c r="J57" s="14" t="n"/>
      <c r="K57" s="14" t="n"/>
      <c r="L57" s="15">
        <f>IF($D57="","",IF(AND($F57="Negative",OR($G57="Critical",$G57="Major")),"Yes","No"))</f>
        <v/>
      </c>
      <c r="M57" s="14" t="n"/>
      <c r="N57" s="14" t="n"/>
    </row>
    <row r="58">
      <c r="B58" s="15">
        <f>IF($D58="","","I"&amp;TEXT(ROW()-5,"000"))</f>
        <v/>
      </c>
      <c r="C58" s="16" t="n"/>
      <c r="D58" s="14" t="n"/>
      <c r="E58" s="15">
        <f>IF($D58="","",IFERROR(INDEX(rngCadetPIDs,MATCH($D58,rngCadetNames,0)),"?"))</f>
        <v/>
      </c>
      <c r="F58" s="14" t="n"/>
      <c r="G58" s="14" t="n"/>
      <c r="H58" s="14" t="n"/>
      <c r="I58" s="14" t="n"/>
      <c r="J58" s="14" t="n"/>
      <c r="K58" s="14" t="n"/>
      <c r="L58" s="15">
        <f>IF($D58="","",IF(AND($F58="Negative",OR($G58="Critical",$G58="Major")),"Yes","No"))</f>
        <v/>
      </c>
      <c r="M58" s="14" t="n"/>
      <c r="N58" s="14" t="n"/>
    </row>
    <row r="59">
      <c r="B59" s="15">
        <f>IF($D59="","","I"&amp;TEXT(ROW()-5,"000"))</f>
        <v/>
      </c>
      <c r="C59" s="16" t="n"/>
      <c r="D59" s="14" t="n"/>
      <c r="E59" s="15">
        <f>IF($D59="","",IFERROR(INDEX(rngCadetPIDs,MATCH($D59,rngCadetNames,0)),"?"))</f>
        <v/>
      </c>
      <c r="F59" s="14" t="n"/>
      <c r="G59" s="14" t="n"/>
      <c r="H59" s="14" t="n"/>
      <c r="I59" s="14" t="n"/>
      <c r="J59" s="14" t="n"/>
      <c r="K59" s="14" t="n"/>
      <c r="L59" s="15">
        <f>IF($D59="","",IF(AND($F59="Negative",OR($G59="Critical",$G59="Major")),"Yes","No"))</f>
        <v/>
      </c>
      <c r="M59" s="14" t="n"/>
      <c r="N59" s="14" t="n"/>
    </row>
    <row r="60">
      <c r="B60" s="15">
        <f>IF($D60="","","I"&amp;TEXT(ROW()-5,"000"))</f>
        <v/>
      </c>
      <c r="C60" s="16" t="n"/>
      <c r="D60" s="14" t="n"/>
      <c r="E60" s="15">
        <f>IF($D60="","",IFERROR(INDEX(rngCadetPIDs,MATCH($D60,rngCadetNames,0)),"?"))</f>
        <v/>
      </c>
      <c r="F60" s="14" t="n"/>
      <c r="G60" s="14" t="n"/>
      <c r="H60" s="14" t="n"/>
      <c r="I60" s="14" t="n"/>
      <c r="J60" s="14" t="n"/>
      <c r="K60" s="14" t="n"/>
      <c r="L60" s="15">
        <f>IF($D60="","",IF(AND($F60="Negative",OR($G60="Critical",$G60="Major")),"Yes","No"))</f>
        <v/>
      </c>
      <c r="M60" s="14" t="n"/>
      <c r="N60" s="14" t="n"/>
    </row>
    <row r="61">
      <c r="B61" s="15">
        <f>IF($D61="","","I"&amp;TEXT(ROW()-5,"000"))</f>
        <v/>
      </c>
      <c r="C61" s="16" t="n"/>
      <c r="D61" s="14" t="n"/>
      <c r="E61" s="15">
        <f>IF($D61="","",IFERROR(INDEX(rngCadetPIDs,MATCH($D61,rngCadetNames,0)),"?"))</f>
        <v/>
      </c>
      <c r="F61" s="14" t="n"/>
      <c r="G61" s="14" t="n"/>
      <c r="H61" s="14" t="n"/>
      <c r="I61" s="14" t="n"/>
      <c r="J61" s="14" t="n"/>
      <c r="K61" s="14" t="n"/>
      <c r="L61" s="15">
        <f>IF($D61="","",IF(AND($F61="Negative",OR($G61="Critical",$G61="Major")),"Yes","No"))</f>
        <v/>
      </c>
      <c r="M61" s="14" t="n"/>
      <c r="N61" s="14" t="n"/>
    </row>
    <row r="62">
      <c r="B62" s="15">
        <f>IF($D62="","","I"&amp;TEXT(ROW()-5,"000"))</f>
        <v/>
      </c>
      <c r="C62" s="16" t="n"/>
      <c r="D62" s="14" t="n"/>
      <c r="E62" s="15">
        <f>IF($D62="","",IFERROR(INDEX(rngCadetPIDs,MATCH($D62,rngCadetNames,0)),"?"))</f>
        <v/>
      </c>
      <c r="F62" s="14" t="n"/>
      <c r="G62" s="14" t="n"/>
      <c r="H62" s="14" t="n"/>
      <c r="I62" s="14" t="n"/>
      <c r="J62" s="14" t="n"/>
      <c r="K62" s="14" t="n"/>
      <c r="L62" s="15">
        <f>IF($D62="","",IF(AND($F62="Negative",OR($G62="Critical",$G62="Major")),"Yes","No"))</f>
        <v/>
      </c>
      <c r="M62" s="14" t="n"/>
      <c r="N62" s="14" t="n"/>
    </row>
    <row r="63">
      <c r="B63" s="15">
        <f>IF($D63="","","I"&amp;TEXT(ROW()-5,"000"))</f>
        <v/>
      </c>
      <c r="C63" s="16" t="n"/>
      <c r="D63" s="14" t="n"/>
      <c r="E63" s="15">
        <f>IF($D63="","",IFERROR(INDEX(rngCadetPIDs,MATCH($D63,rngCadetNames,0)),"?"))</f>
        <v/>
      </c>
      <c r="F63" s="14" t="n"/>
      <c r="G63" s="14" t="n"/>
      <c r="H63" s="14" t="n"/>
      <c r="I63" s="14" t="n"/>
      <c r="J63" s="14" t="n"/>
      <c r="K63" s="14" t="n"/>
      <c r="L63" s="15">
        <f>IF($D63="","",IF(AND($F63="Negative",OR($G63="Critical",$G63="Major")),"Yes","No"))</f>
        <v/>
      </c>
      <c r="M63" s="14" t="n"/>
      <c r="N63" s="14" t="n"/>
    </row>
    <row r="64">
      <c r="B64" s="15">
        <f>IF($D64="","","I"&amp;TEXT(ROW()-5,"000"))</f>
        <v/>
      </c>
      <c r="C64" s="16" t="n"/>
      <c r="D64" s="14" t="n"/>
      <c r="E64" s="15">
        <f>IF($D64="","",IFERROR(INDEX(rngCadetPIDs,MATCH($D64,rngCadetNames,0)),"?"))</f>
        <v/>
      </c>
      <c r="F64" s="14" t="n"/>
      <c r="G64" s="14" t="n"/>
      <c r="H64" s="14" t="n"/>
      <c r="I64" s="14" t="n"/>
      <c r="J64" s="14" t="n"/>
      <c r="K64" s="14" t="n"/>
      <c r="L64" s="15">
        <f>IF($D64="","",IF(AND($F64="Negative",OR($G64="Critical",$G64="Major")),"Yes","No"))</f>
        <v/>
      </c>
      <c r="M64" s="14" t="n"/>
      <c r="N64" s="14" t="n"/>
    </row>
    <row r="65">
      <c r="B65" s="15">
        <f>IF($D65="","","I"&amp;TEXT(ROW()-5,"000"))</f>
        <v/>
      </c>
      <c r="C65" s="16" t="n"/>
      <c r="D65" s="14" t="n"/>
      <c r="E65" s="15">
        <f>IF($D65="","",IFERROR(INDEX(rngCadetPIDs,MATCH($D65,rngCadetNames,0)),"?"))</f>
        <v/>
      </c>
      <c r="F65" s="14" t="n"/>
      <c r="G65" s="14" t="n"/>
      <c r="H65" s="14" t="n"/>
      <c r="I65" s="14" t="n"/>
      <c r="J65" s="14" t="n"/>
      <c r="K65" s="14" t="n"/>
      <c r="L65" s="15">
        <f>IF($D65="","",IF(AND($F65="Negative",OR($G65="Critical",$G65="Major")),"Yes","No"))</f>
        <v/>
      </c>
      <c r="M65" s="14" t="n"/>
      <c r="N65" s="14" t="n"/>
    </row>
    <row r="66">
      <c r="B66" s="15">
        <f>IF($D66="","","I"&amp;TEXT(ROW()-5,"000"))</f>
        <v/>
      </c>
      <c r="C66" s="16" t="n"/>
      <c r="D66" s="14" t="n"/>
      <c r="E66" s="15">
        <f>IF($D66="","",IFERROR(INDEX(rngCadetPIDs,MATCH($D66,rngCadetNames,0)),"?"))</f>
        <v/>
      </c>
      <c r="F66" s="14" t="n"/>
      <c r="G66" s="14" t="n"/>
      <c r="H66" s="14" t="n"/>
      <c r="I66" s="14" t="n"/>
      <c r="J66" s="14" t="n"/>
      <c r="K66" s="14" t="n"/>
      <c r="L66" s="15">
        <f>IF($D66="","",IF(AND($F66="Negative",OR($G66="Critical",$G66="Major")),"Yes","No"))</f>
        <v/>
      </c>
      <c r="M66" s="14" t="n"/>
      <c r="N66" s="14" t="n"/>
    </row>
    <row r="67">
      <c r="B67" s="15">
        <f>IF($D67="","","I"&amp;TEXT(ROW()-5,"000"))</f>
        <v/>
      </c>
      <c r="C67" s="16" t="n"/>
      <c r="D67" s="14" t="n"/>
      <c r="E67" s="15">
        <f>IF($D67="","",IFERROR(INDEX(rngCadetPIDs,MATCH($D67,rngCadetNames,0)),"?"))</f>
        <v/>
      </c>
      <c r="F67" s="14" t="n"/>
      <c r="G67" s="14" t="n"/>
      <c r="H67" s="14" t="n"/>
      <c r="I67" s="14" t="n"/>
      <c r="J67" s="14" t="n"/>
      <c r="K67" s="14" t="n"/>
      <c r="L67" s="15">
        <f>IF($D67="","",IF(AND($F67="Negative",OR($G67="Critical",$G67="Major")),"Yes","No"))</f>
        <v/>
      </c>
      <c r="M67" s="14" t="n"/>
      <c r="N67" s="14" t="n"/>
    </row>
    <row r="68">
      <c r="B68" s="15">
        <f>IF($D68="","","I"&amp;TEXT(ROW()-5,"000"))</f>
        <v/>
      </c>
      <c r="C68" s="16" t="n"/>
      <c r="D68" s="14" t="n"/>
      <c r="E68" s="15">
        <f>IF($D68="","",IFERROR(INDEX(rngCadetPIDs,MATCH($D68,rngCadetNames,0)),"?"))</f>
        <v/>
      </c>
      <c r="F68" s="14" t="n"/>
      <c r="G68" s="14" t="n"/>
      <c r="H68" s="14" t="n"/>
      <c r="I68" s="14" t="n"/>
      <c r="J68" s="14" t="n"/>
      <c r="K68" s="14" t="n"/>
      <c r="L68" s="15">
        <f>IF($D68="","",IF(AND($F68="Negative",OR($G68="Critical",$G68="Major")),"Yes","No"))</f>
        <v/>
      </c>
      <c r="M68" s="14" t="n"/>
      <c r="N68" s="14" t="n"/>
    </row>
    <row r="69">
      <c r="B69" s="15">
        <f>IF($D69="","","I"&amp;TEXT(ROW()-5,"000"))</f>
        <v/>
      </c>
      <c r="C69" s="16" t="n"/>
      <c r="D69" s="14" t="n"/>
      <c r="E69" s="15">
        <f>IF($D69="","",IFERROR(INDEX(rngCadetPIDs,MATCH($D69,rngCadetNames,0)),"?"))</f>
        <v/>
      </c>
      <c r="F69" s="14" t="n"/>
      <c r="G69" s="14" t="n"/>
      <c r="H69" s="14" t="n"/>
      <c r="I69" s="14" t="n"/>
      <c r="J69" s="14" t="n"/>
      <c r="K69" s="14" t="n"/>
      <c r="L69" s="15">
        <f>IF($D69="","",IF(AND($F69="Negative",OR($G69="Critical",$G69="Major")),"Yes","No"))</f>
        <v/>
      </c>
      <c r="M69" s="14" t="n"/>
      <c r="N69" s="14" t="n"/>
    </row>
    <row r="70">
      <c r="B70" s="15">
        <f>IF($D70="","","I"&amp;TEXT(ROW()-5,"000"))</f>
        <v/>
      </c>
      <c r="C70" s="16" t="n"/>
      <c r="D70" s="14" t="n"/>
      <c r="E70" s="15">
        <f>IF($D70="","",IFERROR(INDEX(rngCadetPIDs,MATCH($D70,rngCadetNames,0)),"?"))</f>
        <v/>
      </c>
      <c r="F70" s="14" t="n"/>
      <c r="G70" s="14" t="n"/>
      <c r="H70" s="14" t="n"/>
      <c r="I70" s="14" t="n"/>
      <c r="J70" s="14" t="n"/>
      <c r="K70" s="14" t="n"/>
      <c r="L70" s="15">
        <f>IF($D70="","",IF(AND($F70="Negative",OR($G70="Critical",$G70="Major")),"Yes","No"))</f>
        <v/>
      </c>
      <c r="M70" s="14" t="n"/>
      <c r="N70" s="14" t="n"/>
    </row>
    <row r="71">
      <c r="B71" s="15">
        <f>IF($D71="","","I"&amp;TEXT(ROW()-5,"000"))</f>
        <v/>
      </c>
      <c r="C71" s="16" t="n"/>
      <c r="D71" s="14" t="n"/>
      <c r="E71" s="15">
        <f>IF($D71="","",IFERROR(INDEX(rngCadetPIDs,MATCH($D71,rngCadetNames,0)),"?"))</f>
        <v/>
      </c>
      <c r="F71" s="14" t="n"/>
      <c r="G71" s="14" t="n"/>
      <c r="H71" s="14" t="n"/>
      <c r="I71" s="14" t="n"/>
      <c r="J71" s="14" t="n"/>
      <c r="K71" s="14" t="n"/>
      <c r="L71" s="15">
        <f>IF($D71="","",IF(AND($F71="Negative",OR($G71="Critical",$G71="Major")),"Yes","No"))</f>
        <v/>
      </c>
      <c r="M71" s="14" t="n"/>
      <c r="N71" s="14" t="n"/>
    </row>
    <row r="72">
      <c r="B72" s="15">
        <f>IF($D72="","","I"&amp;TEXT(ROW()-5,"000"))</f>
        <v/>
      </c>
      <c r="C72" s="16" t="n"/>
      <c r="D72" s="14" t="n"/>
      <c r="E72" s="15">
        <f>IF($D72="","",IFERROR(INDEX(rngCadetPIDs,MATCH($D72,rngCadetNames,0)),"?"))</f>
        <v/>
      </c>
      <c r="F72" s="14" t="n"/>
      <c r="G72" s="14" t="n"/>
      <c r="H72" s="14" t="n"/>
      <c r="I72" s="14" t="n"/>
      <c r="J72" s="14" t="n"/>
      <c r="K72" s="14" t="n"/>
      <c r="L72" s="15">
        <f>IF($D72="","",IF(AND($F72="Negative",OR($G72="Critical",$G72="Major")),"Yes","No"))</f>
        <v/>
      </c>
      <c r="M72" s="14" t="n"/>
      <c r="N72" s="14" t="n"/>
    </row>
    <row r="73">
      <c r="B73" s="15">
        <f>IF($D73="","","I"&amp;TEXT(ROW()-5,"000"))</f>
        <v/>
      </c>
      <c r="C73" s="16" t="n"/>
      <c r="D73" s="14" t="n"/>
      <c r="E73" s="15">
        <f>IF($D73="","",IFERROR(INDEX(rngCadetPIDs,MATCH($D73,rngCadetNames,0)),"?"))</f>
        <v/>
      </c>
      <c r="F73" s="14" t="n"/>
      <c r="G73" s="14" t="n"/>
      <c r="H73" s="14" t="n"/>
      <c r="I73" s="14" t="n"/>
      <c r="J73" s="14" t="n"/>
      <c r="K73" s="14" t="n"/>
      <c r="L73" s="15">
        <f>IF($D73="","",IF(AND($F73="Negative",OR($G73="Critical",$G73="Major")),"Yes","No"))</f>
        <v/>
      </c>
      <c r="M73" s="14" t="n"/>
      <c r="N73" s="14" t="n"/>
    </row>
    <row r="74">
      <c r="B74" s="15">
        <f>IF($D74="","","I"&amp;TEXT(ROW()-5,"000"))</f>
        <v/>
      </c>
      <c r="C74" s="16" t="n"/>
      <c r="D74" s="14" t="n"/>
      <c r="E74" s="15">
        <f>IF($D74="","",IFERROR(INDEX(rngCadetPIDs,MATCH($D74,rngCadetNames,0)),"?"))</f>
        <v/>
      </c>
      <c r="F74" s="14" t="n"/>
      <c r="G74" s="14" t="n"/>
      <c r="H74" s="14" t="n"/>
      <c r="I74" s="14" t="n"/>
      <c r="J74" s="14" t="n"/>
      <c r="K74" s="14" t="n"/>
      <c r="L74" s="15">
        <f>IF($D74="","",IF(AND($F74="Negative",OR($G74="Critical",$G74="Major")),"Yes","No"))</f>
        <v/>
      </c>
      <c r="M74" s="14" t="n"/>
      <c r="N74" s="14" t="n"/>
    </row>
    <row r="75">
      <c r="B75" s="15">
        <f>IF($D75="","","I"&amp;TEXT(ROW()-5,"000"))</f>
        <v/>
      </c>
      <c r="C75" s="16" t="n"/>
      <c r="D75" s="14" t="n"/>
      <c r="E75" s="15">
        <f>IF($D75="","",IFERROR(INDEX(rngCadetPIDs,MATCH($D75,rngCadetNames,0)),"?"))</f>
        <v/>
      </c>
      <c r="F75" s="14" t="n"/>
      <c r="G75" s="14" t="n"/>
      <c r="H75" s="14" t="n"/>
      <c r="I75" s="14" t="n"/>
      <c r="J75" s="14" t="n"/>
      <c r="K75" s="14" t="n"/>
      <c r="L75" s="15">
        <f>IF($D75="","",IF(AND($F75="Negative",OR($G75="Critical",$G75="Major")),"Yes","No"))</f>
        <v/>
      </c>
      <c r="M75" s="14" t="n"/>
      <c r="N75" s="14" t="n"/>
    </row>
    <row r="76">
      <c r="B76" s="15">
        <f>IF($D76="","","I"&amp;TEXT(ROW()-5,"000"))</f>
        <v/>
      </c>
      <c r="C76" s="16" t="n"/>
      <c r="D76" s="14" t="n"/>
      <c r="E76" s="15">
        <f>IF($D76="","",IFERROR(INDEX(rngCadetPIDs,MATCH($D76,rngCadetNames,0)),"?"))</f>
        <v/>
      </c>
      <c r="F76" s="14" t="n"/>
      <c r="G76" s="14" t="n"/>
      <c r="H76" s="14" t="n"/>
      <c r="I76" s="14" t="n"/>
      <c r="J76" s="14" t="n"/>
      <c r="K76" s="14" t="n"/>
      <c r="L76" s="15">
        <f>IF($D76="","",IF(AND($F76="Negative",OR($G76="Critical",$G76="Major")),"Yes","No"))</f>
        <v/>
      </c>
      <c r="M76" s="14" t="n"/>
      <c r="N76" s="14" t="n"/>
    </row>
    <row r="77">
      <c r="B77" s="15">
        <f>IF($D77="","","I"&amp;TEXT(ROW()-5,"000"))</f>
        <v/>
      </c>
      <c r="C77" s="16" t="n"/>
      <c r="D77" s="14" t="n"/>
      <c r="E77" s="15">
        <f>IF($D77="","",IFERROR(INDEX(rngCadetPIDs,MATCH($D77,rngCadetNames,0)),"?"))</f>
        <v/>
      </c>
      <c r="F77" s="14" t="n"/>
      <c r="G77" s="14" t="n"/>
      <c r="H77" s="14" t="n"/>
      <c r="I77" s="14" t="n"/>
      <c r="J77" s="14" t="n"/>
      <c r="K77" s="14" t="n"/>
      <c r="L77" s="15">
        <f>IF($D77="","",IF(AND($F77="Negative",OR($G77="Critical",$G77="Major")),"Yes","No"))</f>
        <v/>
      </c>
      <c r="M77" s="14" t="n"/>
      <c r="N77" s="14" t="n"/>
    </row>
    <row r="78">
      <c r="B78" s="15">
        <f>IF($D78="","","I"&amp;TEXT(ROW()-5,"000"))</f>
        <v/>
      </c>
      <c r="C78" s="16" t="n"/>
      <c r="D78" s="14" t="n"/>
      <c r="E78" s="15">
        <f>IF($D78="","",IFERROR(INDEX(rngCadetPIDs,MATCH($D78,rngCadetNames,0)),"?"))</f>
        <v/>
      </c>
      <c r="F78" s="14" t="n"/>
      <c r="G78" s="14" t="n"/>
      <c r="H78" s="14" t="n"/>
      <c r="I78" s="14" t="n"/>
      <c r="J78" s="14" t="n"/>
      <c r="K78" s="14" t="n"/>
      <c r="L78" s="15">
        <f>IF($D78="","",IF(AND($F78="Negative",OR($G78="Critical",$G78="Major")),"Yes","No"))</f>
        <v/>
      </c>
      <c r="M78" s="14" t="n"/>
      <c r="N78" s="14" t="n"/>
    </row>
    <row r="79">
      <c r="B79" s="15">
        <f>IF($D79="","","I"&amp;TEXT(ROW()-5,"000"))</f>
        <v/>
      </c>
      <c r="C79" s="16" t="n"/>
      <c r="D79" s="14" t="n"/>
      <c r="E79" s="15">
        <f>IF($D79="","",IFERROR(INDEX(rngCadetPIDs,MATCH($D79,rngCadetNames,0)),"?"))</f>
        <v/>
      </c>
      <c r="F79" s="14" t="n"/>
      <c r="G79" s="14" t="n"/>
      <c r="H79" s="14" t="n"/>
      <c r="I79" s="14" t="n"/>
      <c r="J79" s="14" t="n"/>
      <c r="K79" s="14" t="n"/>
      <c r="L79" s="15">
        <f>IF($D79="","",IF(AND($F79="Negative",OR($G79="Critical",$G79="Major")),"Yes","No"))</f>
        <v/>
      </c>
      <c r="M79" s="14" t="n"/>
      <c r="N79" s="14" t="n"/>
    </row>
    <row r="80">
      <c r="B80" s="15">
        <f>IF($D80="","","I"&amp;TEXT(ROW()-5,"000"))</f>
        <v/>
      </c>
      <c r="C80" s="16" t="n"/>
      <c r="D80" s="14" t="n"/>
      <c r="E80" s="15">
        <f>IF($D80="","",IFERROR(INDEX(rngCadetPIDs,MATCH($D80,rngCadetNames,0)),"?"))</f>
        <v/>
      </c>
      <c r="F80" s="14" t="n"/>
      <c r="G80" s="14" t="n"/>
      <c r="H80" s="14" t="n"/>
      <c r="I80" s="14" t="n"/>
      <c r="J80" s="14" t="n"/>
      <c r="K80" s="14" t="n"/>
      <c r="L80" s="15">
        <f>IF($D80="","",IF(AND($F80="Negative",OR($G80="Critical",$G80="Major")),"Yes","No"))</f>
        <v/>
      </c>
      <c r="M80" s="14" t="n"/>
      <c r="N80" s="14" t="n"/>
    </row>
    <row r="81">
      <c r="B81" s="15">
        <f>IF($D81="","","I"&amp;TEXT(ROW()-5,"000"))</f>
        <v/>
      </c>
      <c r="C81" s="16" t="n"/>
      <c r="D81" s="14" t="n"/>
      <c r="E81" s="15">
        <f>IF($D81="","",IFERROR(INDEX(rngCadetPIDs,MATCH($D81,rngCadetNames,0)),"?"))</f>
        <v/>
      </c>
      <c r="F81" s="14" t="n"/>
      <c r="G81" s="14" t="n"/>
      <c r="H81" s="14" t="n"/>
      <c r="I81" s="14" t="n"/>
      <c r="J81" s="14" t="n"/>
      <c r="K81" s="14" t="n"/>
      <c r="L81" s="15">
        <f>IF($D81="","",IF(AND($F81="Negative",OR($G81="Critical",$G81="Major")),"Yes","No"))</f>
        <v/>
      </c>
      <c r="M81" s="14" t="n"/>
      <c r="N81" s="14" t="n"/>
    </row>
    <row r="82">
      <c r="B82" s="15">
        <f>IF($D82="","","I"&amp;TEXT(ROW()-5,"000"))</f>
        <v/>
      </c>
      <c r="C82" s="16" t="n"/>
      <c r="D82" s="14" t="n"/>
      <c r="E82" s="15">
        <f>IF($D82="","",IFERROR(INDEX(rngCadetPIDs,MATCH($D82,rngCadetNames,0)),"?"))</f>
        <v/>
      </c>
      <c r="F82" s="14" t="n"/>
      <c r="G82" s="14" t="n"/>
      <c r="H82" s="14" t="n"/>
      <c r="I82" s="14" t="n"/>
      <c r="J82" s="14" t="n"/>
      <c r="K82" s="14" t="n"/>
      <c r="L82" s="15">
        <f>IF($D82="","",IF(AND($F82="Negative",OR($G82="Critical",$G82="Major")),"Yes","No"))</f>
        <v/>
      </c>
      <c r="M82" s="14" t="n"/>
      <c r="N82" s="14" t="n"/>
    </row>
    <row r="83">
      <c r="B83" s="15">
        <f>IF($D83="","","I"&amp;TEXT(ROW()-5,"000"))</f>
        <v/>
      </c>
      <c r="C83" s="16" t="n"/>
      <c r="D83" s="14" t="n"/>
      <c r="E83" s="15">
        <f>IF($D83="","",IFERROR(INDEX(rngCadetPIDs,MATCH($D83,rngCadetNames,0)),"?"))</f>
        <v/>
      </c>
      <c r="F83" s="14" t="n"/>
      <c r="G83" s="14" t="n"/>
      <c r="H83" s="14" t="n"/>
      <c r="I83" s="14" t="n"/>
      <c r="J83" s="14" t="n"/>
      <c r="K83" s="14" t="n"/>
      <c r="L83" s="15">
        <f>IF($D83="","",IF(AND($F83="Negative",OR($G83="Critical",$G83="Major")),"Yes","No"))</f>
        <v/>
      </c>
      <c r="M83" s="14" t="n"/>
      <c r="N83" s="14" t="n"/>
    </row>
    <row r="84">
      <c r="B84" s="15">
        <f>IF($D84="","","I"&amp;TEXT(ROW()-5,"000"))</f>
        <v/>
      </c>
      <c r="C84" s="16" t="n"/>
      <c r="D84" s="14" t="n"/>
      <c r="E84" s="15">
        <f>IF($D84="","",IFERROR(INDEX(rngCadetPIDs,MATCH($D84,rngCadetNames,0)),"?"))</f>
        <v/>
      </c>
      <c r="F84" s="14" t="n"/>
      <c r="G84" s="14" t="n"/>
      <c r="H84" s="14" t="n"/>
      <c r="I84" s="14" t="n"/>
      <c r="J84" s="14" t="n"/>
      <c r="K84" s="14" t="n"/>
      <c r="L84" s="15">
        <f>IF($D84="","",IF(AND($F84="Negative",OR($G84="Critical",$G84="Major")),"Yes","No"))</f>
        <v/>
      </c>
      <c r="M84" s="14" t="n"/>
      <c r="N84" s="14" t="n"/>
    </row>
    <row r="85">
      <c r="B85" s="15">
        <f>IF($D85="","","I"&amp;TEXT(ROW()-5,"000"))</f>
        <v/>
      </c>
      <c r="C85" s="16" t="n"/>
      <c r="D85" s="14" t="n"/>
      <c r="E85" s="15">
        <f>IF($D85="","",IFERROR(INDEX(rngCadetPIDs,MATCH($D85,rngCadetNames,0)),"?"))</f>
        <v/>
      </c>
      <c r="F85" s="14" t="n"/>
      <c r="G85" s="14" t="n"/>
      <c r="H85" s="14" t="n"/>
      <c r="I85" s="14" t="n"/>
      <c r="J85" s="14" t="n"/>
      <c r="K85" s="14" t="n"/>
      <c r="L85" s="15">
        <f>IF($D85="","",IF(AND($F85="Negative",OR($G85="Critical",$G85="Major")),"Yes","No"))</f>
        <v/>
      </c>
      <c r="M85" s="14" t="n"/>
      <c r="N85" s="14" t="n"/>
    </row>
    <row r="86">
      <c r="B86" s="15">
        <f>IF($D86="","","I"&amp;TEXT(ROW()-5,"000"))</f>
        <v/>
      </c>
      <c r="C86" s="16" t="n"/>
      <c r="D86" s="14" t="n"/>
      <c r="E86" s="15">
        <f>IF($D86="","",IFERROR(INDEX(rngCadetPIDs,MATCH($D86,rngCadetNames,0)),"?"))</f>
        <v/>
      </c>
      <c r="F86" s="14" t="n"/>
      <c r="G86" s="14" t="n"/>
      <c r="H86" s="14" t="n"/>
      <c r="I86" s="14" t="n"/>
      <c r="J86" s="14" t="n"/>
      <c r="K86" s="14" t="n"/>
      <c r="L86" s="15">
        <f>IF($D86="","",IF(AND($F86="Negative",OR($G86="Critical",$G86="Major")),"Yes","No"))</f>
        <v/>
      </c>
      <c r="M86" s="14" t="n"/>
      <c r="N86" s="14" t="n"/>
    </row>
    <row r="87">
      <c r="B87" s="15">
        <f>IF($D87="","","I"&amp;TEXT(ROW()-5,"000"))</f>
        <v/>
      </c>
      <c r="C87" s="16" t="n"/>
      <c r="D87" s="14" t="n"/>
      <c r="E87" s="15">
        <f>IF($D87="","",IFERROR(INDEX(rngCadetPIDs,MATCH($D87,rngCadetNames,0)),"?"))</f>
        <v/>
      </c>
      <c r="F87" s="14" t="n"/>
      <c r="G87" s="14" t="n"/>
      <c r="H87" s="14" t="n"/>
      <c r="I87" s="14" t="n"/>
      <c r="J87" s="14" t="n"/>
      <c r="K87" s="14" t="n"/>
      <c r="L87" s="15">
        <f>IF($D87="","",IF(AND($F87="Negative",OR($G87="Critical",$G87="Major")),"Yes","No"))</f>
        <v/>
      </c>
      <c r="M87" s="14" t="n"/>
      <c r="N87" s="14" t="n"/>
    </row>
    <row r="88">
      <c r="B88" s="15">
        <f>IF($D88="","","I"&amp;TEXT(ROW()-5,"000"))</f>
        <v/>
      </c>
      <c r="C88" s="16" t="n"/>
      <c r="D88" s="14" t="n"/>
      <c r="E88" s="15">
        <f>IF($D88="","",IFERROR(INDEX(rngCadetPIDs,MATCH($D88,rngCadetNames,0)),"?"))</f>
        <v/>
      </c>
      <c r="F88" s="14" t="n"/>
      <c r="G88" s="14" t="n"/>
      <c r="H88" s="14" t="n"/>
      <c r="I88" s="14" t="n"/>
      <c r="J88" s="14" t="n"/>
      <c r="K88" s="14" t="n"/>
      <c r="L88" s="15">
        <f>IF($D88="","",IF(AND($F88="Negative",OR($G88="Critical",$G88="Major")),"Yes","No"))</f>
        <v/>
      </c>
      <c r="M88" s="14" t="n"/>
      <c r="N88" s="14" t="n"/>
    </row>
    <row r="89">
      <c r="B89" s="15">
        <f>IF($D89="","","I"&amp;TEXT(ROW()-5,"000"))</f>
        <v/>
      </c>
      <c r="C89" s="16" t="n"/>
      <c r="D89" s="14" t="n"/>
      <c r="E89" s="15">
        <f>IF($D89="","",IFERROR(INDEX(rngCadetPIDs,MATCH($D89,rngCadetNames,0)),"?"))</f>
        <v/>
      </c>
      <c r="F89" s="14" t="n"/>
      <c r="G89" s="14" t="n"/>
      <c r="H89" s="14" t="n"/>
      <c r="I89" s="14" t="n"/>
      <c r="J89" s="14" t="n"/>
      <c r="K89" s="14" t="n"/>
      <c r="L89" s="15">
        <f>IF($D89="","",IF(AND($F89="Negative",OR($G89="Critical",$G89="Major")),"Yes","No"))</f>
        <v/>
      </c>
      <c r="M89" s="14" t="n"/>
      <c r="N89" s="14" t="n"/>
    </row>
    <row r="90">
      <c r="B90" s="15">
        <f>IF($D90="","","I"&amp;TEXT(ROW()-5,"000"))</f>
        <v/>
      </c>
      <c r="C90" s="16" t="n"/>
      <c r="D90" s="14" t="n"/>
      <c r="E90" s="15">
        <f>IF($D90="","",IFERROR(INDEX(rngCadetPIDs,MATCH($D90,rngCadetNames,0)),"?"))</f>
        <v/>
      </c>
      <c r="F90" s="14" t="n"/>
      <c r="G90" s="14" t="n"/>
      <c r="H90" s="14" t="n"/>
      <c r="I90" s="14" t="n"/>
      <c r="J90" s="14" t="n"/>
      <c r="K90" s="14" t="n"/>
      <c r="L90" s="15">
        <f>IF($D90="","",IF(AND($F90="Negative",OR($G90="Critical",$G90="Major")),"Yes","No"))</f>
        <v/>
      </c>
      <c r="M90" s="14" t="n"/>
      <c r="N90" s="14" t="n"/>
    </row>
    <row r="91">
      <c r="B91" s="15">
        <f>IF($D91="","","I"&amp;TEXT(ROW()-5,"000"))</f>
        <v/>
      </c>
      <c r="C91" s="16" t="n"/>
      <c r="D91" s="14" t="n"/>
      <c r="E91" s="15">
        <f>IF($D91="","",IFERROR(INDEX(rngCadetPIDs,MATCH($D91,rngCadetNames,0)),"?"))</f>
        <v/>
      </c>
      <c r="F91" s="14" t="n"/>
      <c r="G91" s="14" t="n"/>
      <c r="H91" s="14" t="n"/>
      <c r="I91" s="14" t="n"/>
      <c r="J91" s="14" t="n"/>
      <c r="K91" s="14" t="n"/>
      <c r="L91" s="15">
        <f>IF($D91="","",IF(AND($F91="Negative",OR($G91="Critical",$G91="Major")),"Yes","No"))</f>
        <v/>
      </c>
      <c r="M91" s="14" t="n"/>
      <c r="N91" s="14" t="n"/>
    </row>
    <row r="92">
      <c r="B92" s="15">
        <f>IF($D92="","","I"&amp;TEXT(ROW()-5,"000"))</f>
        <v/>
      </c>
      <c r="C92" s="16" t="n"/>
      <c r="D92" s="14" t="n"/>
      <c r="E92" s="15">
        <f>IF($D92="","",IFERROR(INDEX(rngCadetPIDs,MATCH($D92,rngCadetNames,0)),"?"))</f>
        <v/>
      </c>
      <c r="F92" s="14" t="n"/>
      <c r="G92" s="14" t="n"/>
      <c r="H92" s="14" t="n"/>
      <c r="I92" s="14" t="n"/>
      <c r="J92" s="14" t="n"/>
      <c r="K92" s="14" t="n"/>
      <c r="L92" s="15">
        <f>IF($D92="","",IF(AND($F92="Negative",OR($G92="Critical",$G92="Major")),"Yes","No"))</f>
        <v/>
      </c>
      <c r="M92" s="14" t="n"/>
      <c r="N92" s="14" t="n"/>
    </row>
    <row r="93">
      <c r="B93" s="15">
        <f>IF($D93="","","I"&amp;TEXT(ROW()-5,"000"))</f>
        <v/>
      </c>
      <c r="C93" s="16" t="n"/>
      <c r="D93" s="14" t="n"/>
      <c r="E93" s="15">
        <f>IF($D93="","",IFERROR(INDEX(rngCadetPIDs,MATCH($D93,rngCadetNames,0)),"?"))</f>
        <v/>
      </c>
      <c r="F93" s="14" t="n"/>
      <c r="G93" s="14" t="n"/>
      <c r="H93" s="14" t="n"/>
      <c r="I93" s="14" t="n"/>
      <c r="J93" s="14" t="n"/>
      <c r="K93" s="14" t="n"/>
      <c r="L93" s="15">
        <f>IF($D93="","",IF(AND($F93="Negative",OR($G93="Critical",$G93="Major")),"Yes","No"))</f>
        <v/>
      </c>
      <c r="M93" s="14" t="n"/>
      <c r="N93" s="14" t="n"/>
    </row>
    <row r="94">
      <c r="B94" s="15">
        <f>IF($D94="","","I"&amp;TEXT(ROW()-5,"000"))</f>
        <v/>
      </c>
      <c r="C94" s="16" t="n"/>
      <c r="D94" s="14" t="n"/>
      <c r="E94" s="15">
        <f>IF($D94="","",IFERROR(INDEX(rngCadetPIDs,MATCH($D94,rngCadetNames,0)),"?"))</f>
        <v/>
      </c>
      <c r="F94" s="14" t="n"/>
      <c r="G94" s="14" t="n"/>
      <c r="H94" s="14" t="n"/>
      <c r="I94" s="14" t="n"/>
      <c r="J94" s="14" t="n"/>
      <c r="K94" s="14" t="n"/>
      <c r="L94" s="15">
        <f>IF($D94="","",IF(AND($F94="Negative",OR($G94="Critical",$G94="Major")),"Yes","No"))</f>
        <v/>
      </c>
      <c r="M94" s="14" t="n"/>
      <c r="N94" s="14" t="n"/>
    </row>
    <row r="95">
      <c r="B95" s="15">
        <f>IF($D95="","","I"&amp;TEXT(ROW()-5,"000"))</f>
        <v/>
      </c>
      <c r="C95" s="16" t="n"/>
      <c r="D95" s="14" t="n"/>
      <c r="E95" s="15">
        <f>IF($D95="","",IFERROR(INDEX(rngCadetPIDs,MATCH($D95,rngCadetNames,0)),"?"))</f>
        <v/>
      </c>
      <c r="F95" s="14" t="n"/>
      <c r="G95" s="14" t="n"/>
      <c r="H95" s="14" t="n"/>
      <c r="I95" s="14" t="n"/>
      <c r="J95" s="14" t="n"/>
      <c r="K95" s="14" t="n"/>
      <c r="L95" s="15">
        <f>IF($D95="","",IF(AND($F95="Negative",OR($G95="Critical",$G95="Major")),"Yes","No"))</f>
        <v/>
      </c>
      <c r="M95" s="14" t="n"/>
      <c r="N95" s="14" t="n"/>
    </row>
    <row r="96">
      <c r="B96" s="15">
        <f>IF($D96="","","I"&amp;TEXT(ROW()-5,"000"))</f>
        <v/>
      </c>
      <c r="C96" s="16" t="n"/>
      <c r="D96" s="14" t="n"/>
      <c r="E96" s="15">
        <f>IF($D96="","",IFERROR(INDEX(rngCadetPIDs,MATCH($D96,rngCadetNames,0)),"?"))</f>
        <v/>
      </c>
      <c r="F96" s="14" t="n"/>
      <c r="G96" s="14" t="n"/>
      <c r="H96" s="14" t="n"/>
      <c r="I96" s="14" t="n"/>
      <c r="J96" s="14" t="n"/>
      <c r="K96" s="14" t="n"/>
      <c r="L96" s="15">
        <f>IF($D96="","",IF(AND($F96="Negative",OR($G96="Critical",$G96="Major")),"Yes","No"))</f>
        <v/>
      </c>
      <c r="M96" s="14" t="n"/>
      <c r="N96" s="14" t="n"/>
    </row>
    <row r="97">
      <c r="B97" s="15">
        <f>IF($D97="","","I"&amp;TEXT(ROW()-5,"000"))</f>
        <v/>
      </c>
      <c r="C97" s="16" t="n"/>
      <c r="D97" s="14" t="n"/>
      <c r="E97" s="15">
        <f>IF($D97="","",IFERROR(INDEX(rngCadetPIDs,MATCH($D97,rngCadetNames,0)),"?"))</f>
        <v/>
      </c>
      <c r="F97" s="14" t="n"/>
      <c r="G97" s="14" t="n"/>
      <c r="H97" s="14" t="n"/>
      <c r="I97" s="14" t="n"/>
      <c r="J97" s="14" t="n"/>
      <c r="K97" s="14" t="n"/>
      <c r="L97" s="15">
        <f>IF($D97="","",IF(AND($F97="Negative",OR($G97="Critical",$G97="Major")),"Yes","No"))</f>
        <v/>
      </c>
      <c r="M97" s="14" t="n"/>
      <c r="N97" s="14" t="n"/>
    </row>
    <row r="98">
      <c r="B98" s="15">
        <f>IF($D98="","","I"&amp;TEXT(ROW()-5,"000"))</f>
        <v/>
      </c>
      <c r="C98" s="16" t="n"/>
      <c r="D98" s="14" t="n"/>
      <c r="E98" s="15">
        <f>IF($D98="","",IFERROR(INDEX(rngCadetPIDs,MATCH($D98,rngCadetNames,0)),"?"))</f>
        <v/>
      </c>
      <c r="F98" s="14" t="n"/>
      <c r="G98" s="14" t="n"/>
      <c r="H98" s="14" t="n"/>
      <c r="I98" s="14" t="n"/>
      <c r="J98" s="14" t="n"/>
      <c r="K98" s="14" t="n"/>
      <c r="L98" s="15">
        <f>IF($D98="","",IF(AND($F98="Negative",OR($G98="Critical",$G98="Major")),"Yes","No"))</f>
        <v/>
      </c>
      <c r="M98" s="14" t="n"/>
      <c r="N98" s="14" t="n"/>
    </row>
    <row r="99">
      <c r="B99" s="15">
        <f>IF($D99="","","I"&amp;TEXT(ROW()-5,"000"))</f>
        <v/>
      </c>
      <c r="C99" s="16" t="n"/>
      <c r="D99" s="14" t="n"/>
      <c r="E99" s="15">
        <f>IF($D99="","",IFERROR(INDEX(rngCadetPIDs,MATCH($D99,rngCadetNames,0)),"?"))</f>
        <v/>
      </c>
      <c r="F99" s="14" t="n"/>
      <c r="G99" s="14" t="n"/>
      <c r="H99" s="14" t="n"/>
      <c r="I99" s="14" t="n"/>
      <c r="J99" s="14" t="n"/>
      <c r="K99" s="14" t="n"/>
      <c r="L99" s="15">
        <f>IF($D99="","",IF(AND($F99="Negative",OR($G99="Critical",$G99="Major")),"Yes","No"))</f>
        <v/>
      </c>
      <c r="M99" s="14" t="n"/>
      <c r="N99" s="14" t="n"/>
    </row>
    <row r="100">
      <c r="B100" s="15">
        <f>IF($D100="","","I"&amp;TEXT(ROW()-5,"000"))</f>
        <v/>
      </c>
      <c r="C100" s="16" t="n"/>
      <c r="D100" s="14" t="n"/>
      <c r="E100" s="15">
        <f>IF($D100="","",IFERROR(INDEX(rngCadetPIDs,MATCH($D100,rngCadetNames,0)),"?"))</f>
        <v/>
      </c>
      <c r="F100" s="14" t="n"/>
      <c r="G100" s="14" t="n"/>
      <c r="H100" s="14" t="n"/>
      <c r="I100" s="14" t="n"/>
      <c r="J100" s="14" t="n"/>
      <c r="K100" s="14" t="n"/>
      <c r="L100" s="15">
        <f>IF($D100="","",IF(AND($F100="Negative",OR($G100="Critical",$G100="Major")),"Yes","No"))</f>
        <v/>
      </c>
      <c r="M100" s="14" t="n"/>
      <c r="N100" s="14" t="n"/>
    </row>
    <row r="101">
      <c r="B101" s="15">
        <f>IF($D101="","","I"&amp;TEXT(ROW()-5,"000"))</f>
        <v/>
      </c>
      <c r="C101" s="16" t="n"/>
      <c r="D101" s="14" t="n"/>
      <c r="E101" s="15">
        <f>IF($D101="","",IFERROR(INDEX(rngCadetPIDs,MATCH($D101,rngCadetNames,0)),"?"))</f>
        <v/>
      </c>
      <c r="F101" s="14" t="n"/>
      <c r="G101" s="14" t="n"/>
      <c r="H101" s="14" t="n"/>
      <c r="I101" s="14" t="n"/>
      <c r="J101" s="14" t="n"/>
      <c r="K101" s="14" t="n"/>
      <c r="L101" s="15">
        <f>IF($D101="","",IF(AND($F101="Negative",OR($G101="Critical",$G101="Major")),"Yes","No"))</f>
        <v/>
      </c>
      <c r="M101" s="14" t="n"/>
      <c r="N101" s="14" t="n"/>
    </row>
    <row r="102">
      <c r="B102" s="15">
        <f>IF($D102="","","I"&amp;TEXT(ROW()-5,"000"))</f>
        <v/>
      </c>
      <c r="C102" s="16" t="n"/>
      <c r="D102" s="14" t="n"/>
      <c r="E102" s="15">
        <f>IF($D102="","",IFERROR(INDEX(rngCadetPIDs,MATCH($D102,rngCadetNames,0)),"?"))</f>
        <v/>
      </c>
      <c r="F102" s="14" t="n"/>
      <c r="G102" s="14" t="n"/>
      <c r="H102" s="14" t="n"/>
      <c r="I102" s="14" t="n"/>
      <c r="J102" s="14" t="n"/>
      <c r="K102" s="14" t="n"/>
      <c r="L102" s="15">
        <f>IF($D102="","",IF(AND($F102="Negative",OR($G102="Critical",$G102="Major")),"Yes","No"))</f>
        <v/>
      </c>
      <c r="M102" s="14" t="n"/>
      <c r="N102" s="14" t="n"/>
    </row>
    <row r="103">
      <c r="B103" s="15">
        <f>IF($D103="","","I"&amp;TEXT(ROW()-5,"000"))</f>
        <v/>
      </c>
      <c r="C103" s="16" t="n"/>
      <c r="D103" s="14" t="n"/>
      <c r="E103" s="15">
        <f>IF($D103="","",IFERROR(INDEX(rngCadetPIDs,MATCH($D103,rngCadetNames,0)),"?"))</f>
        <v/>
      </c>
      <c r="F103" s="14" t="n"/>
      <c r="G103" s="14" t="n"/>
      <c r="H103" s="14" t="n"/>
      <c r="I103" s="14" t="n"/>
      <c r="J103" s="14" t="n"/>
      <c r="K103" s="14" t="n"/>
      <c r="L103" s="15">
        <f>IF($D103="","",IF(AND($F103="Negative",OR($G103="Critical",$G103="Major")),"Yes","No"))</f>
        <v/>
      </c>
      <c r="M103" s="14" t="n"/>
      <c r="N103" s="14" t="n"/>
    </row>
    <row r="104">
      <c r="B104" s="15">
        <f>IF($D104="","","I"&amp;TEXT(ROW()-5,"000"))</f>
        <v/>
      </c>
      <c r="C104" s="16" t="n"/>
      <c r="D104" s="14" t="n"/>
      <c r="E104" s="15">
        <f>IF($D104="","",IFERROR(INDEX(rngCadetPIDs,MATCH($D104,rngCadetNames,0)),"?"))</f>
        <v/>
      </c>
      <c r="F104" s="14" t="n"/>
      <c r="G104" s="14" t="n"/>
      <c r="H104" s="14" t="n"/>
      <c r="I104" s="14" t="n"/>
      <c r="J104" s="14" t="n"/>
      <c r="K104" s="14" t="n"/>
      <c r="L104" s="15">
        <f>IF($D104="","",IF(AND($F104="Negative",OR($G104="Critical",$G104="Major")),"Yes","No"))</f>
        <v/>
      </c>
      <c r="M104" s="14" t="n"/>
      <c r="N104" s="14" t="n"/>
    </row>
    <row r="105">
      <c r="B105" s="15">
        <f>IF($D105="","","I"&amp;TEXT(ROW()-5,"000"))</f>
        <v/>
      </c>
      <c r="C105" s="16" t="n"/>
      <c r="D105" s="14" t="n"/>
      <c r="E105" s="15">
        <f>IF($D105="","",IFERROR(INDEX(rngCadetPIDs,MATCH($D105,rngCadetNames,0)),"?"))</f>
        <v/>
      </c>
      <c r="F105" s="14" t="n"/>
      <c r="G105" s="14" t="n"/>
      <c r="H105" s="14" t="n"/>
      <c r="I105" s="14" t="n"/>
      <c r="J105" s="14" t="n"/>
      <c r="K105" s="14" t="n"/>
      <c r="L105" s="15">
        <f>IF($D105="","",IF(AND($F105="Negative",OR($G105="Critical",$G105="Major")),"Yes","No"))</f>
        <v/>
      </c>
      <c r="M105" s="14" t="n"/>
      <c r="N105" s="14" t="n"/>
    </row>
    <row r="106">
      <c r="B106" s="15">
        <f>IF($D106="","","I"&amp;TEXT(ROW()-5,"000"))</f>
        <v/>
      </c>
      <c r="C106" s="16" t="n"/>
      <c r="D106" s="14" t="n"/>
      <c r="E106" s="15">
        <f>IF($D106="","",IFERROR(INDEX(rngCadetPIDs,MATCH($D106,rngCadetNames,0)),"?"))</f>
        <v/>
      </c>
      <c r="F106" s="14" t="n"/>
      <c r="G106" s="14" t="n"/>
      <c r="H106" s="14" t="n"/>
      <c r="I106" s="14" t="n"/>
      <c r="J106" s="14" t="n"/>
      <c r="K106" s="14" t="n"/>
      <c r="L106" s="15">
        <f>IF($D106="","",IF(AND($F106="Negative",OR($G106="Critical",$G106="Major")),"Yes","No"))</f>
        <v/>
      </c>
      <c r="M106" s="14" t="n"/>
      <c r="N106" s="14" t="n"/>
    </row>
    <row r="107">
      <c r="B107" s="15">
        <f>IF($D107="","","I"&amp;TEXT(ROW()-5,"000"))</f>
        <v/>
      </c>
      <c r="C107" s="16" t="n"/>
      <c r="D107" s="14" t="n"/>
      <c r="E107" s="15">
        <f>IF($D107="","",IFERROR(INDEX(rngCadetPIDs,MATCH($D107,rngCadetNames,0)),"?"))</f>
        <v/>
      </c>
      <c r="F107" s="14" t="n"/>
      <c r="G107" s="14" t="n"/>
      <c r="H107" s="14" t="n"/>
      <c r="I107" s="14" t="n"/>
      <c r="J107" s="14" t="n"/>
      <c r="K107" s="14" t="n"/>
      <c r="L107" s="15">
        <f>IF($D107="","",IF(AND($F107="Negative",OR($G107="Critical",$G107="Major")),"Yes","No"))</f>
        <v/>
      </c>
      <c r="M107" s="14" t="n"/>
      <c r="N107" s="14" t="n"/>
    </row>
    <row r="108">
      <c r="B108" s="15">
        <f>IF($D108="","","I"&amp;TEXT(ROW()-5,"000"))</f>
        <v/>
      </c>
      <c r="C108" s="16" t="n"/>
      <c r="D108" s="14" t="n"/>
      <c r="E108" s="15">
        <f>IF($D108="","",IFERROR(INDEX(rngCadetPIDs,MATCH($D108,rngCadetNames,0)),"?"))</f>
        <v/>
      </c>
      <c r="F108" s="14" t="n"/>
      <c r="G108" s="14" t="n"/>
      <c r="H108" s="14" t="n"/>
      <c r="I108" s="14" t="n"/>
      <c r="J108" s="14" t="n"/>
      <c r="K108" s="14" t="n"/>
      <c r="L108" s="15">
        <f>IF($D108="","",IF(AND($F108="Negative",OR($G108="Critical",$G108="Major")),"Yes","No"))</f>
        <v/>
      </c>
      <c r="M108" s="14" t="n"/>
      <c r="N108" s="14" t="n"/>
    </row>
    <row r="109">
      <c r="B109" s="15">
        <f>IF($D109="","","I"&amp;TEXT(ROW()-5,"000"))</f>
        <v/>
      </c>
      <c r="C109" s="16" t="n"/>
      <c r="D109" s="14" t="n"/>
      <c r="E109" s="15">
        <f>IF($D109="","",IFERROR(INDEX(rngCadetPIDs,MATCH($D109,rngCadetNames,0)),"?"))</f>
        <v/>
      </c>
      <c r="F109" s="14" t="n"/>
      <c r="G109" s="14" t="n"/>
      <c r="H109" s="14" t="n"/>
      <c r="I109" s="14" t="n"/>
      <c r="J109" s="14" t="n"/>
      <c r="K109" s="14" t="n"/>
      <c r="L109" s="15">
        <f>IF($D109="","",IF(AND($F109="Negative",OR($G109="Critical",$G109="Major")),"Yes","No"))</f>
        <v/>
      </c>
      <c r="M109" s="14" t="n"/>
      <c r="N109" s="14" t="n"/>
    </row>
    <row r="110">
      <c r="B110" s="15">
        <f>IF($D110="","","I"&amp;TEXT(ROW()-5,"000"))</f>
        <v/>
      </c>
      <c r="C110" s="16" t="n"/>
      <c r="D110" s="14" t="n"/>
      <c r="E110" s="15">
        <f>IF($D110="","",IFERROR(INDEX(rngCadetPIDs,MATCH($D110,rngCadetNames,0)),"?"))</f>
        <v/>
      </c>
      <c r="F110" s="14" t="n"/>
      <c r="G110" s="14" t="n"/>
      <c r="H110" s="14" t="n"/>
      <c r="I110" s="14" t="n"/>
      <c r="J110" s="14" t="n"/>
      <c r="K110" s="14" t="n"/>
      <c r="L110" s="15">
        <f>IF($D110="","",IF(AND($F110="Negative",OR($G110="Critical",$G110="Major")),"Yes","No"))</f>
        <v/>
      </c>
      <c r="M110" s="14" t="n"/>
      <c r="N110" s="14" t="n"/>
    </row>
    <row r="111">
      <c r="B111" s="15">
        <f>IF($D111="","","I"&amp;TEXT(ROW()-5,"000"))</f>
        <v/>
      </c>
      <c r="C111" s="16" t="n"/>
      <c r="D111" s="14" t="n"/>
      <c r="E111" s="15">
        <f>IF($D111="","",IFERROR(INDEX(rngCadetPIDs,MATCH($D111,rngCadetNames,0)),"?"))</f>
        <v/>
      </c>
      <c r="F111" s="14" t="n"/>
      <c r="G111" s="14" t="n"/>
      <c r="H111" s="14" t="n"/>
      <c r="I111" s="14" t="n"/>
      <c r="J111" s="14" t="n"/>
      <c r="K111" s="14" t="n"/>
      <c r="L111" s="15">
        <f>IF($D111="","",IF(AND($F111="Negative",OR($G111="Critical",$G111="Major")),"Yes","No"))</f>
        <v/>
      </c>
      <c r="M111" s="14" t="n"/>
      <c r="N111" s="14" t="n"/>
    </row>
    <row r="112">
      <c r="B112" s="15">
        <f>IF($D112="","","I"&amp;TEXT(ROW()-5,"000"))</f>
        <v/>
      </c>
      <c r="C112" s="16" t="n"/>
      <c r="D112" s="14" t="n"/>
      <c r="E112" s="15">
        <f>IF($D112="","",IFERROR(INDEX(rngCadetPIDs,MATCH($D112,rngCadetNames,0)),"?"))</f>
        <v/>
      </c>
      <c r="F112" s="14" t="n"/>
      <c r="G112" s="14" t="n"/>
      <c r="H112" s="14" t="n"/>
      <c r="I112" s="14" t="n"/>
      <c r="J112" s="14" t="n"/>
      <c r="K112" s="14" t="n"/>
      <c r="L112" s="15">
        <f>IF($D112="","",IF(AND($F112="Negative",OR($G112="Critical",$G112="Major")),"Yes","No"))</f>
        <v/>
      </c>
      <c r="M112" s="14" t="n"/>
      <c r="N112" s="14" t="n"/>
    </row>
    <row r="113">
      <c r="B113" s="15">
        <f>IF($D113="","","I"&amp;TEXT(ROW()-5,"000"))</f>
        <v/>
      </c>
      <c r="C113" s="16" t="n"/>
      <c r="D113" s="14" t="n"/>
      <c r="E113" s="15">
        <f>IF($D113="","",IFERROR(INDEX(rngCadetPIDs,MATCH($D113,rngCadetNames,0)),"?"))</f>
        <v/>
      </c>
      <c r="F113" s="14" t="n"/>
      <c r="G113" s="14" t="n"/>
      <c r="H113" s="14" t="n"/>
      <c r="I113" s="14" t="n"/>
      <c r="J113" s="14" t="n"/>
      <c r="K113" s="14" t="n"/>
      <c r="L113" s="15">
        <f>IF($D113="","",IF(AND($F113="Negative",OR($G113="Critical",$G113="Major")),"Yes","No"))</f>
        <v/>
      </c>
      <c r="M113" s="14" t="n"/>
      <c r="N113" s="14" t="n"/>
    </row>
    <row r="114">
      <c r="B114" s="15">
        <f>IF($D114="","","I"&amp;TEXT(ROW()-5,"000"))</f>
        <v/>
      </c>
      <c r="C114" s="16" t="n"/>
      <c r="D114" s="14" t="n"/>
      <c r="E114" s="15">
        <f>IF($D114="","",IFERROR(INDEX(rngCadetPIDs,MATCH($D114,rngCadetNames,0)),"?"))</f>
        <v/>
      </c>
      <c r="F114" s="14" t="n"/>
      <c r="G114" s="14" t="n"/>
      <c r="H114" s="14" t="n"/>
      <c r="I114" s="14" t="n"/>
      <c r="J114" s="14" t="n"/>
      <c r="K114" s="14" t="n"/>
      <c r="L114" s="15">
        <f>IF($D114="","",IF(AND($F114="Negative",OR($G114="Critical",$G114="Major")),"Yes","No"))</f>
        <v/>
      </c>
      <c r="M114" s="14" t="n"/>
      <c r="N114" s="14" t="n"/>
    </row>
    <row r="115">
      <c r="B115" s="15">
        <f>IF($D115="","","I"&amp;TEXT(ROW()-5,"000"))</f>
        <v/>
      </c>
      <c r="C115" s="16" t="n"/>
      <c r="D115" s="14" t="n"/>
      <c r="E115" s="15">
        <f>IF($D115="","",IFERROR(INDEX(rngCadetPIDs,MATCH($D115,rngCadetNames,0)),"?"))</f>
        <v/>
      </c>
      <c r="F115" s="14" t="n"/>
      <c r="G115" s="14" t="n"/>
      <c r="H115" s="14" t="n"/>
      <c r="I115" s="14" t="n"/>
      <c r="J115" s="14" t="n"/>
      <c r="K115" s="14" t="n"/>
      <c r="L115" s="15">
        <f>IF($D115="","",IF(AND($F115="Negative",OR($G115="Critical",$G115="Major")),"Yes","No"))</f>
        <v/>
      </c>
      <c r="M115" s="14" t="n"/>
      <c r="N115" s="14" t="n"/>
    </row>
    <row r="116">
      <c r="B116" s="15">
        <f>IF($D116="","","I"&amp;TEXT(ROW()-5,"000"))</f>
        <v/>
      </c>
      <c r="C116" s="16" t="n"/>
      <c r="D116" s="14" t="n"/>
      <c r="E116" s="15">
        <f>IF($D116="","",IFERROR(INDEX(rngCadetPIDs,MATCH($D116,rngCadetNames,0)),"?"))</f>
        <v/>
      </c>
      <c r="F116" s="14" t="n"/>
      <c r="G116" s="14" t="n"/>
      <c r="H116" s="14" t="n"/>
      <c r="I116" s="14" t="n"/>
      <c r="J116" s="14" t="n"/>
      <c r="K116" s="14" t="n"/>
      <c r="L116" s="15">
        <f>IF($D116="","",IF(AND($F116="Negative",OR($G116="Critical",$G116="Major")),"Yes","No"))</f>
        <v/>
      </c>
      <c r="M116" s="14" t="n"/>
      <c r="N116" s="14" t="n"/>
    </row>
    <row r="117">
      <c r="B117" s="15">
        <f>IF($D117="","","I"&amp;TEXT(ROW()-5,"000"))</f>
        <v/>
      </c>
      <c r="C117" s="16" t="n"/>
      <c r="D117" s="14" t="n"/>
      <c r="E117" s="15">
        <f>IF($D117="","",IFERROR(INDEX(rngCadetPIDs,MATCH($D117,rngCadetNames,0)),"?"))</f>
        <v/>
      </c>
      <c r="F117" s="14" t="n"/>
      <c r="G117" s="14" t="n"/>
      <c r="H117" s="14" t="n"/>
      <c r="I117" s="14" t="n"/>
      <c r="J117" s="14" t="n"/>
      <c r="K117" s="14" t="n"/>
      <c r="L117" s="15">
        <f>IF($D117="","",IF(AND($F117="Negative",OR($G117="Critical",$G117="Major")),"Yes","No"))</f>
        <v/>
      </c>
      <c r="M117" s="14" t="n"/>
      <c r="N117" s="14" t="n"/>
    </row>
    <row r="118">
      <c r="B118" s="15">
        <f>IF($D118="","","I"&amp;TEXT(ROW()-5,"000"))</f>
        <v/>
      </c>
      <c r="C118" s="16" t="n"/>
      <c r="D118" s="14" t="n"/>
      <c r="E118" s="15">
        <f>IF($D118="","",IFERROR(INDEX(rngCadetPIDs,MATCH($D118,rngCadetNames,0)),"?"))</f>
        <v/>
      </c>
      <c r="F118" s="14" t="n"/>
      <c r="G118" s="14" t="n"/>
      <c r="H118" s="14" t="n"/>
      <c r="I118" s="14" t="n"/>
      <c r="J118" s="14" t="n"/>
      <c r="K118" s="14" t="n"/>
      <c r="L118" s="15">
        <f>IF($D118="","",IF(AND($F118="Negative",OR($G118="Critical",$G118="Major")),"Yes","No"))</f>
        <v/>
      </c>
      <c r="M118" s="14" t="n"/>
      <c r="N118" s="14" t="n"/>
    </row>
    <row r="119">
      <c r="B119" s="15">
        <f>IF($D119="","","I"&amp;TEXT(ROW()-5,"000"))</f>
        <v/>
      </c>
      <c r="C119" s="16" t="n"/>
      <c r="D119" s="14" t="n"/>
      <c r="E119" s="15">
        <f>IF($D119="","",IFERROR(INDEX(rngCadetPIDs,MATCH($D119,rngCadetNames,0)),"?"))</f>
        <v/>
      </c>
      <c r="F119" s="14" t="n"/>
      <c r="G119" s="14" t="n"/>
      <c r="H119" s="14" t="n"/>
      <c r="I119" s="14" t="n"/>
      <c r="J119" s="14" t="n"/>
      <c r="K119" s="14" t="n"/>
      <c r="L119" s="15">
        <f>IF($D119="","",IF(AND($F119="Negative",OR($G119="Critical",$G119="Major")),"Yes","No"))</f>
        <v/>
      </c>
      <c r="M119" s="14" t="n"/>
      <c r="N119" s="14" t="n"/>
    </row>
    <row r="120">
      <c r="B120" s="15">
        <f>IF($D120="","","I"&amp;TEXT(ROW()-5,"000"))</f>
        <v/>
      </c>
      <c r="C120" s="16" t="n"/>
      <c r="D120" s="14" t="n"/>
      <c r="E120" s="15">
        <f>IF($D120="","",IFERROR(INDEX(rngCadetPIDs,MATCH($D120,rngCadetNames,0)),"?"))</f>
        <v/>
      </c>
      <c r="F120" s="14" t="n"/>
      <c r="G120" s="14" t="n"/>
      <c r="H120" s="14" t="n"/>
      <c r="I120" s="14" t="n"/>
      <c r="J120" s="14" t="n"/>
      <c r="K120" s="14" t="n"/>
      <c r="L120" s="15">
        <f>IF($D120="","",IF(AND($F120="Negative",OR($G120="Critical",$G120="Major")),"Yes","No"))</f>
        <v/>
      </c>
      <c r="M120" s="14" t="n"/>
      <c r="N120" s="14" t="n"/>
    </row>
    <row r="121">
      <c r="B121" s="15">
        <f>IF($D121="","","I"&amp;TEXT(ROW()-5,"000"))</f>
        <v/>
      </c>
      <c r="C121" s="16" t="n"/>
      <c r="D121" s="14" t="n"/>
      <c r="E121" s="15">
        <f>IF($D121="","",IFERROR(INDEX(rngCadetPIDs,MATCH($D121,rngCadetNames,0)),"?"))</f>
        <v/>
      </c>
      <c r="F121" s="14" t="n"/>
      <c r="G121" s="14" t="n"/>
      <c r="H121" s="14" t="n"/>
      <c r="I121" s="14" t="n"/>
      <c r="J121" s="14" t="n"/>
      <c r="K121" s="14" t="n"/>
      <c r="L121" s="15">
        <f>IF($D121="","",IF(AND($F121="Negative",OR($G121="Critical",$G121="Major")),"Yes","No"))</f>
        <v/>
      </c>
      <c r="M121" s="14" t="n"/>
      <c r="N121" s="14" t="n"/>
    </row>
    <row r="122">
      <c r="B122" s="15">
        <f>IF($D122="","","I"&amp;TEXT(ROW()-5,"000"))</f>
        <v/>
      </c>
      <c r="C122" s="16" t="n"/>
      <c r="D122" s="14" t="n"/>
      <c r="E122" s="15">
        <f>IF($D122="","",IFERROR(INDEX(rngCadetPIDs,MATCH($D122,rngCadetNames,0)),"?"))</f>
        <v/>
      </c>
      <c r="F122" s="14" t="n"/>
      <c r="G122" s="14" t="n"/>
      <c r="H122" s="14" t="n"/>
      <c r="I122" s="14" t="n"/>
      <c r="J122" s="14" t="n"/>
      <c r="K122" s="14" t="n"/>
      <c r="L122" s="15">
        <f>IF($D122="","",IF(AND($F122="Negative",OR($G122="Critical",$G122="Major")),"Yes","No"))</f>
        <v/>
      </c>
      <c r="M122" s="14" t="n"/>
      <c r="N122" s="14" t="n"/>
    </row>
    <row r="123">
      <c r="B123" s="15">
        <f>IF($D123="","","I"&amp;TEXT(ROW()-5,"000"))</f>
        <v/>
      </c>
      <c r="C123" s="16" t="n"/>
      <c r="D123" s="14" t="n"/>
      <c r="E123" s="15">
        <f>IF($D123="","",IFERROR(INDEX(rngCadetPIDs,MATCH($D123,rngCadetNames,0)),"?"))</f>
        <v/>
      </c>
      <c r="F123" s="14" t="n"/>
      <c r="G123" s="14" t="n"/>
      <c r="H123" s="14" t="n"/>
      <c r="I123" s="14" t="n"/>
      <c r="J123" s="14" t="n"/>
      <c r="K123" s="14" t="n"/>
      <c r="L123" s="15">
        <f>IF($D123="","",IF(AND($F123="Negative",OR($G123="Critical",$G123="Major")),"Yes","No"))</f>
        <v/>
      </c>
      <c r="M123" s="14" t="n"/>
      <c r="N123" s="14" t="n"/>
    </row>
    <row r="124">
      <c r="B124" s="15">
        <f>IF($D124="","","I"&amp;TEXT(ROW()-5,"000"))</f>
        <v/>
      </c>
      <c r="C124" s="16" t="n"/>
      <c r="D124" s="14" t="n"/>
      <c r="E124" s="15">
        <f>IF($D124="","",IFERROR(INDEX(rngCadetPIDs,MATCH($D124,rngCadetNames,0)),"?"))</f>
        <v/>
      </c>
      <c r="F124" s="14" t="n"/>
      <c r="G124" s="14" t="n"/>
      <c r="H124" s="14" t="n"/>
      <c r="I124" s="14" t="n"/>
      <c r="J124" s="14" t="n"/>
      <c r="K124" s="14" t="n"/>
      <c r="L124" s="15">
        <f>IF($D124="","",IF(AND($F124="Negative",OR($G124="Critical",$G124="Major")),"Yes","No"))</f>
        <v/>
      </c>
      <c r="M124" s="14" t="n"/>
      <c r="N124" s="14" t="n"/>
    </row>
    <row r="125">
      <c r="B125" s="15">
        <f>IF($D125="","","I"&amp;TEXT(ROW()-5,"000"))</f>
        <v/>
      </c>
      <c r="C125" s="16" t="n"/>
      <c r="D125" s="14" t="n"/>
      <c r="E125" s="15">
        <f>IF($D125="","",IFERROR(INDEX(rngCadetPIDs,MATCH($D125,rngCadetNames,0)),"?"))</f>
        <v/>
      </c>
      <c r="F125" s="14" t="n"/>
      <c r="G125" s="14" t="n"/>
      <c r="H125" s="14" t="n"/>
      <c r="I125" s="14" t="n"/>
      <c r="J125" s="14" t="n"/>
      <c r="K125" s="14" t="n"/>
      <c r="L125" s="15">
        <f>IF($D125="","",IF(AND($F125="Negative",OR($G125="Critical",$G125="Major")),"Yes","No"))</f>
        <v/>
      </c>
      <c r="M125" s="14" t="n"/>
      <c r="N125" s="14" t="n"/>
    </row>
    <row r="126">
      <c r="B126" s="15">
        <f>IF($D126="","","I"&amp;TEXT(ROW()-5,"000"))</f>
        <v/>
      </c>
      <c r="C126" s="16" t="n"/>
      <c r="D126" s="14" t="n"/>
      <c r="E126" s="15">
        <f>IF($D126="","",IFERROR(INDEX(rngCadetPIDs,MATCH($D126,rngCadetNames,0)),"?"))</f>
        <v/>
      </c>
      <c r="F126" s="14" t="n"/>
      <c r="G126" s="14" t="n"/>
      <c r="H126" s="14" t="n"/>
      <c r="I126" s="14" t="n"/>
      <c r="J126" s="14" t="n"/>
      <c r="K126" s="14" t="n"/>
      <c r="L126" s="15">
        <f>IF($D126="","",IF(AND($F126="Negative",OR($G126="Critical",$G126="Major")),"Yes","No"))</f>
        <v/>
      </c>
      <c r="M126" s="14" t="n"/>
      <c r="N126" s="14" t="n"/>
    </row>
    <row r="127">
      <c r="B127" s="15">
        <f>IF($D127="","","I"&amp;TEXT(ROW()-5,"000"))</f>
        <v/>
      </c>
      <c r="C127" s="16" t="n"/>
      <c r="D127" s="14" t="n"/>
      <c r="E127" s="15">
        <f>IF($D127="","",IFERROR(INDEX(rngCadetPIDs,MATCH($D127,rngCadetNames,0)),"?"))</f>
        <v/>
      </c>
      <c r="F127" s="14" t="n"/>
      <c r="G127" s="14" t="n"/>
      <c r="H127" s="14" t="n"/>
      <c r="I127" s="14" t="n"/>
      <c r="J127" s="14" t="n"/>
      <c r="K127" s="14" t="n"/>
      <c r="L127" s="15">
        <f>IF($D127="","",IF(AND($F127="Negative",OR($G127="Critical",$G127="Major")),"Yes","No"))</f>
        <v/>
      </c>
      <c r="M127" s="14" t="n"/>
      <c r="N127" s="14" t="n"/>
    </row>
    <row r="128">
      <c r="B128" s="15">
        <f>IF($D128="","","I"&amp;TEXT(ROW()-5,"000"))</f>
        <v/>
      </c>
      <c r="C128" s="16" t="n"/>
      <c r="D128" s="14" t="n"/>
      <c r="E128" s="15">
        <f>IF($D128="","",IFERROR(INDEX(rngCadetPIDs,MATCH($D128,rngCadetNames,0)),"?"))</f>
        <v/>
      </c>
      <c r="F128" s="14" t="n"/>
      <c r="G128" s="14" t="n"/>
      <c r="H128" s="14" t="n"/>
      <c r="I128" s="14" t="n"/>
      <c r="J128" s="14" t="n"/>
      <c r="K128" s="14" t="n"/>
      <c r="L128" s="15">
        <f>IF($D128="","",IF(AND($F128="Negative",OR($G128="Critical",$G128="Major")),"Yes","No"))</f>
        <v/>
      </c>
      <c r="M128" s="14" t="n"/>
      <c r="N128" s="14" t="n"/>
    </row>
    <row r="129">
      <c r="B129" s="15">
        <f>IF($D129="","","I"&amp;TEXT(ROW()-5,"000"))</f>
        <v/>
      </c>
      <c r="C129" s="16" t="n"/>
      <c r="D129" s="14" t="n"/>
      <c r="E129" s="15">
        <f>IF($D129="","",IFERROR(INDEX(rngCadetPIDs,MATCH($D129,rngCadetNames,0)),"?"))</f>
        <v/>
      </c>
      <c r="F129" s="14" t="n"/>
      <c r="G129" s="14" t="n"/>
      <c r="H129" s="14" t="n"/>
      <c r="I129" s="14" t="n"/>
      <c r="J129" s="14" t="n"/>
      <c r="K129" s="14" t="n"/>
      <c r="L129" s="15">
        <f>IF($D129="","",IF(AND($F129="Negative",OR($G129="Critical",$G129="Major")),"Yes","No"))</f>
        <v/>
      </c>
      <c r="M129" s="14" t="n"/>
      <c r="N129" s="14" t="n"/>
    </row>
    <row r="130">
      <c r="B130" s="15">
        <f>IF($D130="","","I"&amp;TEXT(ROW()-5,"000"))</f>
        <v/>
      </c>
      <c r="C130" s="16" t="n"/>
      <c r="D130" s="14" t="n"/>
      <c r="E130" s="15">
        <f>IF($D130="","",IFERROR(INDEX(rngCadetPIDs,MATCH($D130,rngCadetNames,0)),"?"))</f>
        <v/>
      </c>
      <c r="F130" s="14" t="n"/>
      <c r="G130" s="14" t="n"/>
      <c r="H130" s="14" t="n"/>
      <c r="I130" s="14" t="n"/>
      <c r="J130" s="14" t="n"/>
      <c r="K130" s="14" t="n"/>
      <c r="L130" s="15">
        <f>IF($D130="","",IF(AND($F130="Negative",OR($G130="Critical",$G130="Major")),"Yes","No"))</f>
        <v/>
      </c>
      <c r="M130" s="14" t="n"/>
      <c r="N130" s="14" t="n"/>
    </row>
    <row r="131">
      <c r="B131" s="15">
        <f>IF($D131="","","I"&amp;TEXT(ROW()-5,"000"))</f>
        <v/>
      </c>
      <c r="C131" s="16" t="n"/>
      <c r="D131" s="14" t="n"/>
      <c r="E131" s="15">
        <f>IF($D131="","",IFERROR(INDEX(rngCadetPIDs,MATCH($D131,rngCadetNames,0)),"?"))</f>
        <v/>
      </c>
      <c r="F131" s="14" t="n"/>
      <c r="G131" s="14" t="n"/>
      <c r="H131" s="14" t="n"/>
      <c r="I131" s="14" t="n"/>
      <c r="J131" s="14" t="n"/>
      <c r="K131" s="14" t="n"/>
      <c r="L131" s="15">
        <f>IF($D131="","",IF(AND($F131="Negative",OR($G131="Critical",$G131="Major")),"Yes","No"))</f>
        <v/>
      </c>
      <c r="M131" s="14" t="n"/>
      <c r="N131" s="14" t="n"/>
    </row>
    <row r="132">
      <c r="B132" s="15">
        <f>IF($D132="","","I"&amp;TEXT(ROW()-5,"000"))</f>
        <v/>
      </c>
      <c r="C132" s="16" t="n"/>
      <c r="D132" s="14" t="n"/>
      <c r="E132" s="15">
        <f>IF($D132="","",IFERROR(INDEX(rngCadetPIDs,MATCH($D132,rngCadetNames,0)),"?"))</f>
        <v/>
      </c>
      <c r="F132" s="14" t="n"/>
      <c r="G132" s="14" t="n"/>
      <c r="H132" s="14" t="n"/>
      <c r="I132" s="14" t="n"/>
      <c r="J132" s="14" t="n"/>
      <c r="K132" s="14" t="n"/>
      <c r="L132" s="15">
        <f>IF($D132="","",IF(AND($F132="Negative",OR($G132="Critical",$G132="Major")),"Yes","No"))</f>
        <v/>
      </c>
      <c r="M132" s="14" t="n"/>
      <c r="N132" s="14" t="n"/>
    </row>
    <row r="133">
      <c r="B133" s="15">
        <f>IF($D133="","","I"&amp;TEXT(ROW()-5,"000"))</f>
        <v/>
      </c>
      <c r="C133" s="16" t="n"/>
      <c r="D133" s="14" t="n"/>
      <c r="E133" s="15">
        <f>IF($D133="","",IFERROR(INDEX(rngCadetPIDs,MATCH($D133,rngCadetNames,0)),"?"))</f>
        <v/>
      </c>
      <c r="F133" s="14" t="n"/>
      <c r="G133" s="14" t="n"/>
      <c r="H133" s="14" t="n"/>
      <c r="I133" s="14" t="n"/>
      <c r="J133" s="14" t="n"/>
      <c r="K133" s="14" t="n"/>
      <c r="L133" s="15">
        <f>IF($D133="","",IF(AND($F133="Negative",OR($G133="Critical",$G133="Major")),"Yes","No"))</f>
        <v/>
      </c>
      <c r="M133" s="14" t="n"/>
      <c r="N133" s="14" t="n"/>
    </row>
    <row r="134">
      <c r="B134" s="15">
        <f>IF($D134="","","I"&amp;TEXT(ROW()-5,"000"))</f>
        <v/>
      </c>
      <c r="C134" s="16" t="n"/>
      <c r="D134" s="14" t="n"/>
      <c r="E134" s="15">
        <f>IF($D134="","",IFERROR(INDEX(rngCadetPIDs,MATCH($D134,rngCadetNames,0)),"?"))</f>
        <v/>
      </c>
      <c r="F134" s="14" t="n"/>
      <c r="G134" s="14" t="n"/>
      <c r="H134" s="14" t="n"/>
      <c r="I134" s="14" t="n"/>
      <c r="J134" s="14" t="n"/>
      <c r="K134" s="14" t="n"/>
      <c r="L134" s="15">
        <f>IF($D134="","",IF(AND($F134="Negative",OR($G134="Critical",$G134="Major")),"Yes","No"))</f>
        <v/>
      </c>
      <c r="M134" s="14" t="n"/>
      <c r="N134" s="14" t="n"/>
    </row>
    <row r="135">
      <c r="B135" s="15">
        <f>IF($D135="","","I"&amp;TEXT(ROW()-5,"000"))</f>
        <v/>
      </c>
      <c r="C135" s="16" t="n"/>
      <c r="D135" s="14" t="n"/>
      <c r="E135" s="15">
        <f>IF($D135="","",IFERROR(INDEX(rngCadetPIDs,MATCH($D135,rngCadetNames,0)),"?"))</f>
        <v/>
      </c>
      <c r="F135" s="14" t="n"/>
      <c r="G135" s="14" t="n"/>
      <c r="H135" s="14" t="n"/>
      <c r="I135" s="14" t="n"/>
      <c r="J135" s="14" t="n"/>
      <c r="K135" s="14" t="n"/>
      <c r="L135" s="15">
        <f>IF($D135="","",IF(AND($F135="Negative",OR($G135="Critical",$G135="Major")),"Yes","No"))</f>
        <v/>
      </c>
      <c r="M135" s="14" t="n"/>
      <c r="N135" s="14" t="n"/>
    </row>
    <row r="136">
      <c r="B136" s="15">
        <f>IF($D136="","","I"&amp;TEXT(ROW()-5,"000"))</f>
        <v/>
      </c>
      <c r="C136" s="16" t="n"/>
      <c r="D136" s="14" t="n"/>
      <c r="E136" s="15">
        <f>IF($D136="","",IFERROR(INDEX(rngCadetPIDs,MATCH($D136,rngCadetNames,0)),"?"))</f>
        <v/>
      </c>
      <c r="F136" s="14" t="n"/>
      <c r="G136" s="14" t="n"/>
      <c r="H136" s="14" t="n"/>
      <c r="I136" s="14" t="n"/>
      <c r="J136" s="14" t="n"/>
      <c r="K136" s="14" t="n"/>
      <c r="L136" s="15">
        <f>IF($D136="","",IF(AND($F136="Negative",OR($G136="Critical",$G136="Major")),"Yes","No"))</f>
        <v/>
      </c>
      <c r="M136" s="14" t="n"/>
      <c r="N136" s="14" t="n"/>
    </row>
    <row r="137">
      <c r="B137" s="15">
        <f>IF($D137="","","I"&amp;TEXT(ROW()-5,"000"))</f>
        <v/>
      </c>
      <c r="C137" s="16" t="n"/>
      <c r="D137" s="14" t="n"/>
      <c r="E137" s="15">
        <f>IF($D137="","",IFERROR(INDEX(rngCadetPIDs,MATCH($D137,rngCadetNames,0)),"?"))</f>
        <v/>
      </c>
      <c r="F137" s="14" t="n"/>
      <c r="G137" s="14" t="n"/>
      <c r="H137" s="14" t="n"/>
      <c r="I137" s="14" t="n"/>
      <c r="J137" s="14" t="n"/>
      <c r="K137" s="14" t="n"/>
      <c r="L137" s="15">
        <f>IF($D137="","",IF(AND($F137="Negative",OR($G137="Critical",$G137="Major")),"Yes","No"))</f>
        <v/>
      </c>
      <c r="M137" s="14" t="n"/>
      <c r="N137" s="14" t="n"/>
    </row>
    <row r="138">
      <c r="B138" s="15">
        <f>IF($D138="","","I"&amp;TEXT(ROW()-5,"000"))</f>
        <v/>
      </c>
      <c r="C138" s="16" t="n"/>
      <c r="D138" s="14" t="n"/>
      <c r="E138" s="15">
        <f>IF($D138="","",IFERROR(INDEX(rngCadetPIDs,MATCH($D138,rngCadetNames,0)),"?"))</f>
        <v/>
      </c>
      <c r="F138" s="14" t="n"/>
      <c r="G138" s="14" t="n"/>
      <c r="H138" s="14" t="n"/>
      <c r="I138" s="14" t="n"/>
      <c r="J138" s="14" t="n"/>
      <c r="K138" s="14" t="n"/>
      <c r="L138" s="15">
        <f>IF($D138="","",IF(AND($F138="Negative",OR($G138="Critical",$G138="Major")),"Yes","No"))</f>
        <v/>
      </c>
      <c r="M138" s="14" t="n"/>
      <c r="N138" s="14" t="n"/>
    </row>
    <row r="139">
      <c r="B139" s="15">
        <f>IF($D139="","","I"&amp;TEXT(ROW()-5,"000"))</f>
        <v/>
      </c>
      <c r="C139" s="16" t="n"/>
      <c r="D139" s="14" t="n"/>
      <c r="E139" s="15">
        <f>IF($D139="","",IFERROR(INDEX(rngCadetPIDs,MATCH($D139,rngCadetNames,0)),"?"))</f>
        <v/>
      </c>
      <c r="F139" s="14" t="n"/>
      <c r="G139" s="14" t="n"/>
      <c r="H139" s="14" t="n"/>
      <c r="I139" s="14" t="n"/>
      <c r="J139" s="14" t="n"/>
      <c r="K139" s="14" t="n"/>
      <c r="L139" s="15">
        <f>IF($D139="","",IF(AND($F139="Negative",OR($G139="Critical",$G139="Major")),"Yes","No"))</f>
        <v/>
      </c>
      <c r="M139" s="14" t="n"/>
      <c r="N139" s="14" t="n"/>
    </row>
    <row r="140">
      <c r="B140" s="15">
        <f>IF($D140="","","I"&amp;TEXT(ROW()-5,"000"))</f>
        <v/>
      </c>
      <c r="C140" s="16" t="n"/>
      <c r="D140" s="14" t="n"/>
      <c r="E140" s="15">
        <f>IF($D140="","",IFERROR(INDEX(rngCadetPIDs,MATCH($D140,rngCadetNames,0)),"?"))</f>
        <v/>
      </c>
      <c r="F140" s="14" t="n"/>
      <c r="G140" s="14" t="n"/>
      <c r="H140" s="14" t="n"/>
      <c r="I140" s="14" t="n"/>
      <c r="J140" s="14" t="n"/>
      <c r="K140" s="14" t="n"/>
      <c r="L140" s="15">
        <f>IF($D140="","",IF(AND($F140="Negative",OR($G140="Critical",$G140="Major")),"Yes","No"))</f>
        <v/>
      </c>
      <c r="M140" s="14" t="n"/>
      <c r="N140" s="14" t="n"/>
    </row>
    <row r="141">
      <c r="B141" s="15">
        <f>IF($D141="","","I"&amp;TEXT(ROW()-5,"000"))</f>
        <v/>
      </c>
      <c r="C141" s="16" t="n"/>
      <c r="D141" s="14" t="n"/>
      <c r="E141" s="15">
        <f>IF($D141="","",IFERROR(INDEX(rngCadetPIDs,MATCH($D141,rngCadetNames,0)),"?"))</f>
        <v/>
      </c>
      <c r="F141" s="14" t="n"/>
      <c r="G141" s="14" t="n"/>
      <c r="H141" s="14" t="n"/>
      <c r="I141" s="14" t="n"/>
      <c r="J141" s="14" t="n"/>
      <c r="K141" s="14" t="n"/>
      <c r="L141" s="15">
        <f>IF($D141="","",IF(AND($F141="Negative",OR($G141="Critical",$G141="Major")),"Yes","No"))</f>
        <v/>
      </c>
      <c r="M141" s="14" t="n"/>
      <c r="N141" s="14" t="n"/>
    </row>
    <row r="142">
      <c r="B142" s="15">
        <f>IF($D142="","","I"&amp;TEXT(ROW()-5,"000"))</f>
        <v/>
      </c>
      <c r="C142" s="16" t="n"/>
      <c r="D142" s="14" t="n"/>
      <c r="E142" s="15">
        <f>IF($D142="","",IFERROR(INDEX(rngCadetPIDs,MATCH($D142,rngCadetNames,0)),"?"))</f>
        <v/>
      </c>
      <c r="F142" s="14" t="n"/>
      <c r="G142" s="14" t="n"/>
      <c r="H142" s="14" t="n"/>
      <c r="I142" s="14" t="n"/>
      <c r="J142" s="14" t="n"/>
      <c r="K142" s="14" t="n"/>
      <c r="L142" s="15">
        <f>IF($D142="","",IF(AND($F142="Negative",OR($G142="Critical",$G142="Major")),"Yes","No"))</f>
        <v/>
      </c>
      <c r="M142" s="14" t="n"/>
      <c r="N142" s="14" t="n"/>
    </row>
    <row r="143">
      <c r="B143" s="15">
        <f>IF($D143="","","I"&amp;TEXT(ROW()-5,"000"))</f>
        <v/>
      </c>
      <c r="C143" s="16" t="n"/>
      <c r="D143" s="14" t="n"/>
      <c r="E143" s="15">
        <f>IF($D143="","",IFERROR(INDEX(rngCadetPIDs,MATCH($D143,rngCadetNames,0)),"?"))</f>
        <v/>
      </c>
      <c r="F143" s="14" t="n"/>
      <c r="G143" s="14" t="n"/>
      <c r="H143" s="14" t="n"/>
      <c r="I143" s="14" t="n"/>
      <c r="J143" s="14" t="n"/>
      <c r="K143" s="14" t="n"/>
      <c r="L143" s="15">
        <f>IF($D143="","",IF(AND($F143="Negative",OR($G143="Critical",$G143="Major")),"Yes","No"))</f>
        <v/>
      </c>
      <c r="M143" s="14" t="n"/>
      <c r="N143" s="14" t="n"/>
    </row>
    <row r="144">
      <c r="B144" s="15">
        <f>IF($D144="","","I"&amp;TEXT(ROW()-5,"000"))</f>
        <v/>
      </c>
      <c r="C144" s="16" t="n"/>
      <c r="D144" s="14" t="n"/>
      <c r="E144" s="15">
        <f>IF($D144="","",IFERROR(INDEX(rngCadetPIDs,MATCH($D144,rngCadetNames,0)),"?"))</f>
        <v/>
      </c>
      <c r="F144" s="14" t="n"/>
      <c r="G144" s="14" t="n"/>
      <c r="H144" s="14" t="n"/>
      <c r="I144" s="14" t="n"/>
      <c r="J144" s="14" t="n"/>
      <c r="K144" s="14" t="n"/>
      <c r="L144" s="15">
        <f>IF($D144="","",IF(AND($F144="Negative",OR($G144="Critical",$G144="Major")),"Yes","No"))</f>
        <v/>
      </c>
      <c r="M144" s="14" t="n"/>
      <c r="N144" s="14" t="n"/>
    </row>
    <row r="145">
      <c r="B145" s="15">
        <f>IF($D145="","","I"&amp;TEXT(ROW()-5,"000"))</f>
        <v/>
      </c>
      <c r="C145" s="16" t="n"/>
      <c r="D145" s="14" t="n"/>
      <c r="E145" s="15">
        <f>IF($D145="","",IFERROR(INDEX(rngCadetPIDs,MATCH($D145,rngCadetNames,0)),"?"))</f>
        <v/>
      </c>
      <c r="F145" s="14" t="n"/>
      <c r="G145" s="14" t="n"/>
      <c r="H145" s="14" t="n"/>
      <c r="I145" s="14" t="n"/>
      <c r="J145" s="14" t="n"/>
      <c r="K145" s="14" t="n"/>
      <c r="L145" s="15">
        <f>IF($D145="","",IF(AND($F145="Negative",OR($G145="Critical",$G145="Major")),"Yes","No"))</f>
        <v/>
      </c>
      <c r="M145" s="14" t="n"/>
      <c r="N145" s="14" t="n"/>
    </row>
    <row r="146">
      <c r="B146" s="15">
        <f>IF($D146="","","I"&amp;TEXT(ROW()-5,"000"))</f>
        <v/>
      </c>
      <c r="C146" s="16" t="n"/>
      <c r="D146" s="14" t="n"/>
      <c r="E146" s="15">
        <f>IF($D146="","",IFERROR(INDEX(rngCadetPIDs,MATCH($D146,rngCadetNames,0)),"?"))</f>
        <v/>
      </c>
      <c r="F146" s="14" t="n"/>
      <c r="G146" s="14" t="n"/>
      <c r="H146" s="14" t="n"/>
      <c r="I146" s="14" t="n"/>
      <c r="J146" s="14" t="n"/>
      <c r="K146" s="14" t="n"/>
      <c r="L146" s="15">
        <f>IF($D146="","",IF(AND($F146="Negative",OR($G146="Critical",$G146="Major")),"Yes","No"))</f>
        <v/>
      </c>
      <c r="M146" s="14" t="n"/>
      <c r="N146" s="14" t="n"/>
    </row>
    <row r="147">
      <c r="B147" s="15">
        <f>IF($D147="","","I"&amp;TEXT(ROW()-5,"000"))</f>
        <v/>
      </c>
      <c r="C147" s="16" t="n"/>
      <c r="D147" s="14" t="n"/>
      <c r="E147" s="15">
        <f>IF($D147="","",IFERROR(INDEX(rngCadetPIDs,MATCH($D147,rngCadetNames,0)),"?"))</f>
        <v/>
      </c>
      <c r="F147" s="14" t="n"/>
      <c r="G147" s="14" t="n"/>
      <c r="H147" s="14" t="n"/>
      <c r="I147" s="14" t="n"/>
      <c r="J147" s="14" t="n"/>
      <c r="K147" s="14" t="n"/>
      <c r="L147" s="15">
        <f>IF($D147="","",IF(AND($F147="Negative",OR($G147="Critical",$G147="Major")),"Yes","No"))</f>
        <v/>
      </c>
      <c r="M147" s="14" t="n"/>
      <c r="N147" s="14" t="n"/>
    </row>
    <row r="148">
      <c r="B148" s="15">
        <f>IF($D148="","","I"&amp;TEXT(ROW()-5,"000"))</f>
        <v/>
      </c>
      <c r="C148" s="16" t="n"/>
      <c r="D148" s="14" t="n"/>
      <c r="E148" s="15">
        <f>IF($D148="","",IFERROR(INDEX(rngCadetPIDs,MATCH($D148,rngCadetNames,0)),"?"))</f>
        <v/>
      </c>
      <c r="F148" s="14" t="n"/>
      <c r="G148" s="14" t="n"/>
      <c r="H148" s="14" t="n"/>
      <c r="I148" s="14" t="n"/>
      <c r="J148" s="14" t="n"/>
      <c r="K148" s="14" t="n"/>
      <c r="L148" s="15">
        <f>IF($D148="","",IF(AND($F148="Negative",OR($G148="Critical",$G148="Major")),"Yes","No"))</f>
        <v/>
      </c>
      <c r="M148" s="14" t="n"/>
      <c r="N148" s="14" t="n"/>
    </row>
    <row r="149">
      <c r="B149" s="15">
        <f>IF($D149="","","I"&amp;TEXT(ROW()-5,"000"))</f>
        <v/>
      </c>
      <c r="C149" s="16" t="n"/>
      <c r="D149" s="14" t="n"/>
      <c r="E149" s="15">
        <f>IF($D149="","",IFERROR(INDEX(rngCadetPIDs,MATCH($D149,rngCadetNames,0)),"?"))</f>
        <v/>
      </c>
      <c r="F149" s="14" t="n"/>
      <c r="G149" s="14" t="n"/>
      <c r="H149" s="14" t="n"/>
      <c r="I149" s="14" t="n"/>
      <c r="J149" s="14" t="n"/>
      <c r="K149" s="14" t="n"/>
      <c r="L149" s="15">
        <f>IF($D149="","",IF(AND($F149="Negative",OR($G149="Critical",$G149="Major")),"Yes","No"))</f>
        <v/>
      </c>
      <c r="M149" s="14" t="n"/>
      <c r="N149" s="14" t="n"/>
    </row>
    <row r="150">
      <c r="B150" s="15">
        <f>IF($D150="","","I"&amp;TEXT(ROW()-5,"000"))</f>
        <v/>
      </c>
      <c r="C150" s="16" t="n"/>
      <c r="D150" s="14" t="n"/>
      <c r="E150" s="15">
        <f>IF($D150="","",IFERROR(INDEX(rngCadetPIDs,MATCH($D150,rngCadetNames,0)),"?"))</f>
        <v/>
      </c>
      <c r="F150" s="14" t="n"/>
      <c r="G150" s="14" t="n"/>
      <c r="H150" s="14" t="n"/>
      <c r="I150" s="14" t="n"/>
      <c r="J150" s="14" t="n"/>
      <c r="K150" s="14" t="n"/>
      <c r="L150" s="15">
        <f>IF($D150="","",IF(AND($F150="Negative",OR($G150="Critical",$G150="Major")),"Yes","No"))</f>
        <v/>
      </c>
      <c r="M150" s="14" t="n"/>
      <c r="N150" s="14" t="n"/>
    </row>
    <row r="151">
      <c r="B151" s="15">
        <f>IF($D151="","","I"&amp;TEXT(ROW()-5,"000"))</f>
        <v/>
      </c>
      <c r="C151" s="16" t="n"/>
      <c r="D151" s="14" t="n"/>
      <c r="E151" s="15">
        <f>IF($D151="","",IFERROR(INDEX(rngCadetPIDs,MATCH($D151,rngCadetNames,0)),"?"))</f>
        <v/>
      </c>
      <c r="F151" s="14" t="n"/>
      <c r="G151" s="14" t="n"/>
      <c r="H151" s="14" t="n"/>
      <c r="I151" s="14" t="n"/>
      <c r="J151" s="14" t="n"/>
      <c r="K151" s="14" t="n"/>
      <c r="L151" s="15">
        <f>IF($D151="","",IF(AND($F151="Negative",OR($G151="Critical",$G151="Major")),"Yes","No"))</f>
        <v/>
      </c>
      <c r="M151" s="14" t="n"/>
      <c r="N151" s="14" t="n"/>
    </row>
    <row r="152">
      <c r="B152" s="15">
        <f>IF($D152="","","I"&amp;TEXT(ROW()-5,"000"))</f>
        <v/>
      </c>
      <c r="C152" s="16" t="n"/>
      <c r="D152" s="14" t="n"/>
      <c r="E152" s="15">
        <f>IF($D152="","",IFERROR(INDEX(rngCadetPIDs,MATCH($D152,rngCadetNames,0)),"?"))</f>
        <v/>
      </c>
      <c r="F152" s="14" t="n"/>
      <c r="G152" s="14" t="n"/>
      <c r="H152" s="14" t="n"/>
      <c r="I152" s="14" t="n"/>
      <c r="J152" s="14" t="n"/>
      <c r="K152" s="14" t="n"/>
      <c r="L152" s="15">
        <f>IF($D152="","",IF(AND($F152="Negative",OR($G152="Critical",$G152="Major")),"Yes","No"))</f>
        <v/>
      </c>
      <c r="M152" s="14" t="n"/>
      <c r="N152" s="14" t="n"/>
    </row>
    <row r="153">
      <c r="B153" s="15">
        <f>IF($D153="","","I"&amp;TEXT(ROW()-5,"000"))</f>
        <v/>
      </c>
      <c r="C153" s="16" t="n"/>
      <c r="D153" s="14" t="n"/>
      <c r="E153" s="15">
        <f>IF($D153="","",IFERROR(INDEX(rngCadetPIDs,MATCH($D153,rngCadetNames,0)),"?"))</f>
        <v/>
      </c>
      <c r="F153" s="14" t="n"/>
      <c r="G153" s="14" t="n"/>
      <c r="H153" s="14" t="n"/>
      <c r="I153" s="14" t="n"/>
      <c r="J153" s="14" t="n"/>
      <c r="K153" s="14" t="n"/>
      <c r="L153" s="15">
        <f>IF($D153="","",IF(AND($F153="Negative",OR($G153="Critical",$G153="Major")),"Yes","No"))</f>
        <v/>
      </c>
      <c r="M153" s="14" t="n"/>
      <c r="N153" s="14" t="n"/>
    </row>
    <row r="154">
      <c r="B154" s="15">
        <f>IF($D154="","","I"&amp;TEXT(ROW()-5,"000"))</f>
        <v/>
      </c>
      <c r="C154" s="16" t="n"/>
      <c r="D154" s="14" t="n"/>
      <c r="E154" s="15">
        <f>IF($D154="","",IFERROR(INDEX(rngCadetPIDs,MATCH($D154,rngCadetNames,0)),"?"))</f>
        <v/>
      </c>
      <c r="F154" s="14" t="n"/>
      <c r="G154" s="14" t="n"/>
      <c r="H154" s="14" t="n"/>
      <c r="I154" s="14" t="n"/>
      <c r="J154" s="14" t="n"/>
      <c r="K154" s="14" t="n"/>
      <c r="L154" s="15">
        <f>IF($D154="","",IF(AND($F154="Negative",OR($G154="Critical",$G154="Major")),"Yes","No"))</f>
        <v/>
      </c>
      <c r="M154" s="14" t="n"/>
      <c r="N154" s="14" t="n"/>
    </row>
    <row r="155">
      <c r="B155" s="15">
        <f>IF($D155="","","I"&amp;TEXT(ROW()-5,"000"))</f>
        <v/>
      </c>
      <c r="C155" s="16" t="n"/>
      <c r="D155" s="14" t="n"/>
      <c r="E155" s="15">
        <f>IF($D155="","",IFERROR(INDEX(rngCadetPIDs,MATCH($D155,rngCadetNames,0)),"?"))</f>
        <v/>
      </c>
      <c r="F155" s="14" t="n"/>
      <c r="G155" s="14" t="n"/>
      <c r="H155" s="14" t="n"/>
      <c r="I155" s="14" t="n"/>
      <c r="J155" s="14" t="n"/>
      <c r="K155" s="14" t="n"/>
      <c r="L155" s="15">
        <f>IF($D155="","",IF(AND($F155="Negative",OR($G155="Critical",$G155="Major")),"Yes","No"))</f>
        <v/>
      </c>
      <c r="M155" s="14" t="n"/>
      <c r="N155" s="14" t="n"/>
    </row>
    <row r="156">
      <c r="B156" s="15">
        <f>IF($D156="","","I"&amp;TEXT(ROW()-5,"000"))</f>
        <v/>
      </c>
      <c r="C156" s="16" t="n"/>
      <c r="D156" s="14" t="n"/>
      <c r="E156" s="15">
        <f>IF($D156="","",IFERROR(INDEX(rngCadetPIDs,MATCH($D156,rngCadetNames,0)),"?"))</f>
        <v/>
      </c>
      <c r="F156" s="14" t="n"/>
      <c r="G156" s="14" t="n"/>
      <c r="H156" s="14" t="n"/>
      <c r="I156" s="14" t="n"/>
      <c r="J156" s="14" t="n"/>
      <c r="K156" s="14" t="n"/>
      <c r="L156" s="15">
        <f>IF($D156="","",IF(AND($F156="Negative",OR($G156="Critical",$G156="Major")),"Yes","No"))</f>
        <v/>
      </c>
      <c r="M156" s="14" t="n"/>
      <c r="N156" s="14" t="n"/>
    </row>
    <row r="157">
      <c r="B157" s="15">
        <f>IF($D157="","","I"&amp;TEXT(ROW()-5,"000"))</f>
        <v/>
      </c>
      <c r="C157" s="16" t="n"/>
      <c r="D157" s="14" t="n"/>
      <c r="E157" s="15">
        <f>IF($D157="","",IFERROR(INDEX(rngCadetPIDs,MATCH($D157,rngCadetNames,0)),"?"))</f>
        <v/>
      </c>
      <c r="F157" s="14" t="n"/>
      <c r="G157" s="14" t="n"/>
      <c r="H157" s="14" t="n"/>
      <c r="I157" s="14" t="n"/>
      <c r="J157" s="14" t="n"/>
      <c r="K157" s="14" t="n"/>
      <c r="L157" s="15">
        <f>IF($D157="","",IF(AND($F157="Negative",OR($G157="Critical",$G157="Major")),"Yes","No"))</f>
        <v/>
      </c>
      <c r="M157" s="14" t="n"/>
      <c r="N157" s="14" t="n"/>
    </row>
    <row r="158">
      <c r="B158" s="15">
        <f>IF($D158="","","I"&amp;TEXT(ROW()-5,"000"))</f>
        <v/>
      </c>
      <c r="C158" s="16" t="n"/>
      <c r="D158" s="14" t="n"/>
      <c r="E158" s="15">
        <f>IF($D158="","",IFERROR(INDEX(rngCadetPIDs,MATCH($D158,rngCadetNames,0)),"?"))</f>
        <v/>
      </c>
      <c r="F158" s="14" t="n"/>
      <c r="G158" s="14" t="n"/>
      <c r="H158" s="14" t="n"/>
      <c r="I158" s="14" t="n"/>
      <c r="J158" s="14" t="n"/>
      <c r="K158" s="14" t="n"/>
      <c r="L158" s="15">
        <f>IF($D158="","",IF(AND($F158="Negative",OR($G158="Critical",$G158="Major")),"Yes","No"))</f>
        <v/>
      </c>
      <c r="M158" s="14" t="n"/>
      <c r="N158" s="14" t="n"/>
    </row>
    <row r="159">
      <c r="B159" s="15">
        <f>IF($D159="","","I"&amp;TEXT(ROW()-5,"000"))</f>
        <v/>
      </c>
      <c r="C159" s="16" t="n"/>
      <c r="D159" s="14" t="n"/>
      <c r="E159" s="15">
        <f>IF($D159="","",IFERROR(INDEX(rngCadetPIDs,MATCH($D159,rngCadetNames,0)),"?"))</f>
        <v/>
      </c>
      <c r="F159" s="14" t="n"/>
      <c r="G159" s="14" t="n"/>
      <c r="H159" s="14" t="n"/>
      <c r="I159" s="14" t="n"/>
      <c r="J159" s="14" t="n"/>
      <c r="K159" s="14" t="n"/>
      <c r="L159" s="15">
        <f>IF($D159="","",IF(AND($F159="Negative",OR($G159="Critical",$G159="Major")),"Yes","No"))</f>
        <v/>
      </c>
      <c r="M159" s="14" t="n"/>
      <c r="N159" s="14" t="n"/>
    </row>
    <row r="160">
      <c r="B160" s="15">
        <f>IF($D160="","","I"&amp;TEXT(ROW()-5,"000"))</f>
        <v/>
      </c>
      <c r="C160" s="16" t="n"/>
      <c r="D160" s="14" t="n"/>
      <c r="E160" s="15">
        <f>IF($D160="","",IFERROR(INDEX(rngCadetPIDs,MATCH($D160,rngCadetNames,0)),"?"))</f>
        <v/>
      </c>
      <c r="F160" s="14" t="n"/>
      <c r="G160" s="14" t="n"/>
      <c r="H160" s="14" t="n"/>
      <c r="I160" s="14" t="n"/>
      <c r="J160" s="14" t="n"/>
      <c r="K160" s="14" t="n"/>
      <c r="L160" s="15">
        <f>IF($D160="","",IF(AND($F160="Negative",OR($G160="Critical",$G160="Major")),"Yes","No"))</f>
        <v/>
      </c>
      <c r="M160" s="14" t="n"/>
      <c r="N160" s="14" t="n"/>
    </row>
    <row r="161">
      <c r="B161" s="15">
        <f>IF($D161="","","I"&amp;TEXT(ROW()-5,"000"))</f>
        <v/>
      </c>
      <c r="C161" s="16" t="n"/>
      <c r="D161" s="14" t="n"/>
      <c r="E161" s="15">
        <f>IF($D161="","",IFERROR(INDEX(rngCadetPIDs,MATCH($D161,rngCadetNames,0)),"?"))</f>
        <v/>
      </c>
      <c r="F161" s="14" t="n"/>
      <c r="G161" s="14" t="n"/>
      <c r="H161" s="14" t="n"/>
      <c r="I161" s="14" t="n"/>
      <c r="J161" s="14" t="n"/>
      <c r="K161" s="14" t="n"/>
      <c r="L161" s="15">
        <f>IF($D161="","",IF(AND($F161="Negative",OR($G161="Critical",$G161="Major")),"Yes","No"))</f>
        <v/>
      </c>
      <c r="M161" s="14" t="n"/>
      <c r="N161" s="14" t="n"/>
    </row>
    <row r="162">
      <c r="B162" s="15">
        <f>IF($D162="","","I"&amp;TEXT(ROW()-5,"000"))</f>
        <v/>
      </c>
      <c r="C162" s="16" t="n"/>
      <c r="D162" s="14" t="n"/>
      <c r="E162" s="15">
        <f>IF($D162="","",IFERROR(INDEX(rngCadetPIDs,MATCH($D162,rngCadetNames,0)),"?"))</f>
        <v/>
      </c>
      <c r="F162" s="14" t="n"/>
      <c r="G162" s="14" t="n"/>
      <c r="H162" s="14" t="n"/>
      <c r="I162" s="14" t="n"/>
      <c r="J162" s="14" t="n"/>
      <c r="K162" s="14" t="n"/>
      <c r="L162" s="15">
        <f>IF($D162="","",IF(AND($F162="Negative",OR($G162="Critical",$G162="Major")),"Yes","No"))</f>
        <v/>
      </c>
      <c r="M162" s="14" t="n"/>
      <c r="N162" s="14" t="n"/>
    </row>
    <row r="163">
      <c r="B163" s="15">
        <f>IF($D163="","","I"&amp;TEXT(ROW()-5,"000"))</f>
        <v/>
      </c>
      <c r="C163" s="16" t="n"/>
      <c r="D163" s="14" t="n"/>
      <c r="E163" s="15">
        <f>IF($D163="","",IFERROR(INDEX(rngCadetPIDs,MATCH($D163,rngCadetNames,0)),"?"))</f>
        <v/>
      </c>
      <c r="F163" s="14" t="n"/>
      <c r="G163" s="14" t="n"/>
      <c r="H163" s="14" t="n"/>
      <c r="I163" s="14" t="n"/>
      <c r="J163" s="14" t="n"/>
      <c r="K163" s="14" t="n"/>
      <c r="L163" s="15">
        <f>IF($D163="","",IF(AND($F163="Negative",OR($G163="Critical",$G163="Major")),"Yes","No"))</f>
        <v/>
      </c>
      <c r="M163" s="14" t="n"/>
      <c r="N163" s="14" t="n"/>
    </row>
    <row r="164">
      <c r="B164" s="15">
        <f>IF($D164="","","I"&amp;TEXT(ROW()-5,"000"))</f>
        <v/>
      </c>
      <c r="C164" s="16" t="n"/>
      <c r="D164" s="14" t="n"/>
      <c r="E164" s="15">
        <f>IF($D164="","",IFERROR(INDEX(rngCadetPIDs,MATCH($D164,rngCadetNames,0)),"?"))</f>
        <v/>
      </c>
      <c r="F164" s="14" t="n"/>
      <c r="G164" s="14" t="n"/>
      <c r="H164" s="14" t="n"/>
      <c r="I164" s="14" t="n"/>
      <c r="J164" s="14" t="n"/>
      <c r="K164" s="14" t="n"/>
      <c r="L164" s="15">
        <f>IF($D164="","",IF(AND($F164="Negative",OR($G164="Critical",$G164="Major")),"Yes","No"))</f>
        <v/>
      </c>
      <c r="M164" s="14" t="n"/>
      <c r="N164" s="14" t="n"/>
    </row>
    <row r="165">
      <c r="B165" s="15">
        <f>IF($D165="","","I"&amp;TEXT(ROW()-5,"000"))</f>
        <v/>
      </c>
      <c r="C165" s="16" t="n"/>
      <c r="D165" s="14" t="n"/>
      <c r="E165" s="15">
        <f>IF($D165="","",IFERROR(INDEX(rngCadetPIDs,MATCH($D165,rngCadetNames,0)),"?"))</f>
        <v/>
      </c>
      <c r="F165" s="14" t="n"/>
      <c r="G165" s="14" t="n"/>
      <c r="H165" s="14" t="n"/>
      <c r="I165" s="14" t="n"/>
      <c r="J165" s="14" t="n"/>
      <c r="K165" s="14" t="n"/>
      <c r="L165" s="15">
        <f>IF($D165="","",IF(AND($F165="Negative",OR($G165="Critical",$G165="Major")),"Yes","No"))</f>
        <v/>
      </c>
      <c r="M165" s="14" t="n"/>
      <c r="N165" s="14" t="n"/>
    </row>
    <row r="166">
      <c r="B166" s="15">
        <f>IF($D166="","","I"&amp;TEXT(ROW()-5,"000"))</f>
        <v/>
      </c>
      <c r="C166" s="16" t="n"/>
      <c r="D166" s="14" t="n"/>
      <c r="E166" s="15">
        <f>IF($D166="","",IFERROR(INDEX(rngCadetPIDs,MATCH($D166,rngCadetNames,0)),"?"))</f>
        <v/>
      </c>
      <c r="F166" s="14" t="n"/>
      <c r="G166" s="14" t="n"/>
      <c r="H166" s="14" t="n"/>
      <c r="I166" s="14" t="n"/>
      <c r="J166" s="14" t="n"/>
      <c r="K166" s="14" t="n"/>
      <c r="L166" s="15">
        <f>IF($D166="","",IF(AND($F166="Negative",OR($G166="Critical",$G166="Major")),"Yes","No"))</f>
        <v/>
      </c>
      <c r="M166" s="14" t="n"/>
      <c r="N166" s="14" t="n"/>
    </row>
    <row r="167">
      <c r="B167" s="15">
        <f>IF($D167="","","I"&amp;TEXT(ROW()-5,"000"))</f>
        <v/>
      </c>
      <c r="C167" s="16" t="n"/>
      <c r="D167" s="14" t="n"/>
      <c r="E167" s="15">
        <f>IF($D167="","",IFERROR(INDEX(rngCadetPIDs,MATCH($D167,rngCadetNames,0)),"?"))</f>
        <v/>
      </c>
      <c r="F167" s="14" t="n"/>
      <c r="G167" s="14" t="n"/>
      <c r="H167" s="14" t="n"/>
      <c r="I167" s="14" t="n"/>
      <c r="J167" s="14" t="n"/>
      <c r="K167" s="14" t="n"/>
      <c r="L167" s="15">
        <f>IF($D167="","",IF(AND($F167="Negative",OR($G167="Critical",$G167="Major")),"Yes","No"))</f>
        <v/>
      </c>
      <c r="M167" s="14" t="n"/>
      <c r="N167" s="14" t="n"/>
    </row>
    <row r="168">
      <c r="B168" s="15">
        <f>IF($D168="","","I"&amp;TEXT(ROW()-5,"000"))</f>
        <v/>
      </c>
      <c r="C168" s="16" t="n"/>
      <c r="D168" s="14" t="n"/>
      <c r="E168" s="15">
        <f>IF($D168="","",IFERROR(INDEX(rngCadetPIDs,MATCH($D168,rngCadetNames,0)),"?"))</f>
        <v/>
      </c>
      <c r="F168" s="14" t="n"/>
      <c r="G168" s="14" t="n"/>
      <c r="H168" s="14" t="n"/>
      <c r="I168" s="14" t="n"/>
      <c r="J168" s="14" t="n"/>
      <c r="K168" s="14" t="n"/>
      <c r="L168" s="15">
        <f>IF($D168="","",IF(AND($F168="Negative",OR($G168="Critical",$G168="Major")),"Yes","No"))</f>
        <v/>
      </c>
      <c r="M168" s="14" t="n"/>
      <c r="N168" s="14" t="n"/>
    </row>
    <row r="169">
      <c r="B169" s="15">
        <f>IF($D169="","","I"&amp;TEXT(ROW()-5,"000"))</f>
        <v/>
      </c>
      <c r="C169" s="16" t="n"/>
      <c r="D169" s="14" t="n"/>
      <c r="E169" s="15">
        <f>IF($D169="","",IFERROR(INDEX(rngCadetPIDs,MATCH($D169,rngCadetNames,0)),"?"))</f>
        <v/>
      </c>
      <c r="F169" s="14" t="n"/>
      <c r="G169" s="14" t="n"/>
      <c r="H169" s="14" t="n"/>
      <c r="I169" s="14" t="n"/>
      <c r="J169" s="14" t="n"/>
      <c r="K169" s="14" t="n"/>
      <c r="L169" s="15">
        <f>IF($D169="","",IF(AND($F169="Negative",OR($G169="Critical",$G169="Major")),"Yes","No"))</f>
        <v/>
      </c>
      <c r="M169" s="14" t="n"/>
      <c r="N169" s="14" t="n"/>
    </row>
    <row r="170">
      <c r="B170" s="15">
        <f>IF($D170="","","I"&amp;TEXT(ROW()-5,"000"))</f>
        <v/>
      </c>
      <c r="C170" s="16" t="n"/>
      <c r="D170" s="14" t="n"/>
      <c r="E170" s="15">
        <f>IF($D170="","",IFERROR(INDEX(rngCadetPIDs,MATCH($D170,rngCadetNames,0)),"?"))</f>
        <v/>
      </c>
      <c r="F170" s="14" t="n"/>
      <c r="G170" s="14" t="n"/>
      <c r="H170" s="14" t="n"/>
      <c r="I170" s="14" t="n"/>
      <c r="J170" s="14" t="n"/>
      <c r="K170" s="14" t="n"/>
      <c r="L170" s="15">
        <f>IF($D170="","",IF(AND($F170="Negative",OR($G170="Critical",$G170="Major")),"Yes","No"))</f>
        <v/>
      </c>
      <c r="M170" s="14" t="n"/>
      <c r="N170" s="14" t="n"/>
    </row>
    <row r="171">
      <c r="B171" s="15">
        <f>IF($D171="","","I"&amp;TEXT(ROW()-5,"000"))</f>
        <v/>
      </c>
      <c r="C171" s="16" t="n"/>
      <c r="D171" s="14" t="n"/>
      <c r="E171" s="15">
        <f>IF($D171="","",IFERROR(INDEX(rngCadetPIDs,MATCH($D171,rngCadetNames,0)),"?"))</f>
        <v/>
      </c>
      <c r="F171" s="14" t="n"/>
      <c r="G171" s="14" t="n"/>
      <c r="H171" s="14" t="n"/>
      <c r="I171" s="14" t="n"/>
      <c r="J171" s="14" t="n"/>
      <c r="K171" s="14" t="n"/>
      <c r="L171" s="15">
        <f>IF($D171="","",IF(AND($F171="Negative",OR($G171="Critical",$G171="Major")),"Yes","No"))</f>
        <v/>
      </c>
      <c r="M171" s="14" t="n"/>
      <c r="N171" s="14" t="n"/>
    </row>
    <row r="172">
      <c r="B172" s="15">
        <f>IF($D172="","","I"&amp;TEXT(ROW()-5,"000"))</f>
        <v/>
      </c>
      <c r="C172" s="16" t="n"/>
      <c r="D172" s="14" t="n"/>
      <c r="E172" s="15">
        <f>IF($D172="","",IFERROR(INDEX(rngCadetPIDs,MATCH($D172,rngCadetNames,0)),"?"))</f>
        <v/>
      </c>
      <c r="F172" s="14" t="n"/>
      <c r="G172" s="14" t="n"/>
      <c r="H172" s="14" t="n"/>
      <c r="I172" s="14" t="n"/>
      <c r="J172" s="14" t="n"/>
      <c r="K172" s="14" t="n"/>
      <c r="L172" s="15">
        <f>IF($D172="","",IF(AND($F172="Negative",OR($G172="Critical",$G172="Major")),"Yes","No"))</f>
        <v/>
      </c>
      <c r="M172" s="14" t="n"/>
      <c r="N172" s="14" t="n"/>
    </row>
    <row r="173">
      <c r="B173" s="15">
        <f>IF($D173="","","I"&amp;TEXT(ROW()-5,"000"))</f>
        <v/>
      </c>
      <c r="C173" s="16" t="n"/>
      <c r="D173" s="14" t="n"/>
      <c r="E173" s="15">
        <f>IF($D173="","",IFERROR(INDEX(rngCadetPIDs,MATCH($D173,rngCadetNames,0)),"?"))</f>
        <v/>
      </c>
      <c r="F173" s="14" t="n"/>
      <c r="G173" s="14" t="n"/>
      <c r="H173" s="14" t="n"/>
      <c r="I173" s="14" t="n"/>
      <c r="J173" s="14" t="n"/>
      <c r="K173" s="14" t="n"/>
      <c r="L173" s="15">
        <f>IF($D173="","",IF(AND($F173="Negative",OR($G173="Critical",$G173="Major")),"Yes","No"))</f>
        <v/>
      </c>
      <c r="M173" s="14" t="n"/>
      <c r="N173" s="14" t="n"/>
    </row>
    <row r="174">
      <c r="B174" s="15">
        <f>IF($D174="","","I"&amp;TEXT(ROW()-5,"000"))</f>
        <v/>
      </c>
      <c r="C174" s="16" t="n"/>
      <c r="D174" s="14" t="n"/>
      <c r="E174" s="15">
        <f>IF($D174="","",IFERROR(INDEX(rngCadetPIDs,MATCH($D174,rngCadetNames,0)),"?"))</f>
        <v/>
      </c>
      <c r="F174" s="14" t="n"/>
      <c r="G174" s="14" t="n"/>
      <c r="H174" s="14" t="n"/>
      <c r="I174" s="14" t="n"/>
      <c r="J174" s="14" t="n"/>
      <c r="K174" s="14" t="n"/>
      <c r="L174" s="15">
        <f>IF($D174="","",IF(AND($F174="Negative",OR($G174="Critical",$G174="Major")),"Yes","No"))</f>
        <v/>
      </c>
      <c r="M174" s="14" t="n"/>
      <c r="N174" s="14" t="n"/>
    </row>
    <row r="175">
      <c r="B175" s="15">
        <f>IF($D175="","","I"&amp;TEXT(ROW()-5,"000"))</f>
        <v/>
      </c>
      <c r="C175" s="16" t="n"/>
      <c r="D175" s="14" t="n"/>
      <c r="E175" s="15">
        <f>IF($D175="","",IFERROR(INDEX(rngCadetPIDs,MATCH($D175,rngCadetNames,0)),"?"))</f>
        <v/>
      </c>
      <c r="F175" s="14" t="n"/>
      <c r="G175" s="14" t="n"/>
      <c r="H175" s="14" t="n"/>
      <c r="I175" s="14" t="n"/>
      <c r="J175" s="14" t="n"/>
      <c r="K175" s="14" t="n"/>
      <c r="L175" s="15">
        <f>IF($D175="","",IF(AND($F175="Negative",OR($G175="Critical",$G175="Major")),"Yes","No"))</f>
        <v/>
      </c>
      <c r="M175" s="14" t="n"/>
      <c r="N175" s="14" t="n"/>
    </row>
    <row r="176">
      <c r="B176" s="15">
        <f>IF($D176="","","I"&amp;TEXT(ROW()-5,"000"))</f>
        <v/>
      </c>
      <c r="C176" s="16" t="n"/>
      <c r="D176" s="14" t="n"/>
      <c r="E176" s="15">
        <f>IF($D176="","",IFERROR(INDEX(rngCadetPIDs,MATCH($D176,rngCadetNames,0)),"?"))</f>
        <v/>
      </c>
      <c r="F176" s="14" t="n"/>
      <c r="G176" s="14" t="n"/>
      <c r="H176" s="14" t="n"/>
      <c r="I176" s="14" t="n"/>
      <c r="J176" s="14" t="n"/>
      <c r="K176" s="14" t="n"/>
      <c r="L176" s="15">
        <f>IF($D176="","",IF(AND($F176="Negative",OR($G176="Critical",$G176="Major")),"Yes","No"))</f>
        <v/>
      </c>
      <c r="M176" s="14" t="n"/>
      <c r="N176" s="14" t="n"/>
    </row>
    <row r="177">
      <c r="B177" s="15">
        <f>IF($D177="","","I"&amp;TEXT(ROW()-5,"000"))</f>
        <v/>
      </c>
      <c r="C177" s="16" t="n"/>
      <c r="D177" s="14" t="n"/>
      <c r="E177" s="15">
        <f>IF($D177="","",IFERROR(INDEX(rngCadetPIDs,MATCH($D177,rngCadetNames,0)),"?"))</f>
        <v/>
      </c>
      <c r="F177" s="14" t="n"/>
      <c r="G177" s="14" t="n"/>
      <c r="H177" s="14" t="n"/>
      <c r="I177" s="14" t="n"/>
      <c r="J177" s="14" t="n"/>
      <c r="K177" s="14" t="n"/>
      <c r="L177" s="15">
        <f>IF($D177="","",IF(AND($F177="Negative",OR($G177="Critical",$G177="Major")),"Yes","No"))</f>
        <v/>
      </c>
      <c r="M177" s="14" t="n"/>
      <c r="N177" s="14" t="n"/>
    </row>
    <row r="178">
      <c r="B178" s="15">
        <f>IF($D178="","","I"&amp;TEXT(ROW()-5,"000"))</f>
        <v/>
      </c>
      <c r="C178" s="16" t="n"/>
      <c r="D178" s="14" t="n"/>
      <c r="E178" s="15">
        <f>IF($D178="","",IFERROR(INDEX(rngCadetPIDs,MATCH($D178,rngCadetNames,0)),"?"))</f>
        <v/>
      </c>
      <c r="F178" s="14" t="n"/>
      <c r="G178" s="14" t="n"/>
      <c r="H178" s="14" t="n"/>
      <c r="I178" s="14" t="n"/>
      <c r="J178" s="14" t="n"/>
      <c r="K178" s="14" t="n"/>
      <c r="L178" s="15">
        <f>IF($D178="","",IF(AND($F178="Negative",OR($G178="Critical",$G178="Major")),"Yes","No"))</f>
        <v/>
      </c>
      <c r="M178" s="14" t="n"/>
      <c r="N178" s="14" t="n"/>
    </row>
    <row r="179">
      <c r="B179" s="15">
        <f>IF($D179="","","I"&amp;TEXT(ROW()-5,"000"))</f>
        <v/>
      </c>
      <c r="C179" s="16" t="n"/>
      <c r="D179" s="14" t="n"/>
      <c r="E179" s="15">
        <f>IF($D179="","",IFERROR(INDEX(rngCadetPIDs,MATCH($D179,rngCadetNames,0)),"?"))</f>
        <v/>
      </c>
      <c r="F179" s="14" t="n"/>
      <c r="G179" s="14" t="n"/>
      <c r="H179" s="14" t="n"/>
      <c r="I179" s="14" t="n"/>
      <c r="J179" s="14" t="n"/>
      <c r="K179" s="14" t="n"/>
      <c r="L179" s="15">
        <f>IF($D179="","",IF(AND($F179="Negative",OR($G179="Critical",$G179="Major")),"Yes","No"))</f>
        <v/>
      </c>
      <c r="M179" s="14" t="n"/>
      <c r="N179" s="14" t="n"/>
    </row>
    <row r="180">
      <c r="B180" s="15">
        <f>IF($D180="","","I"&amp;TEXT(ROW()-5,"000"))</f>
        <v/>
      </c>
      <c r="C180" s="16" t="n"/>
      <c r="D180" s="14" t="n"/>
      <c r="E180" s="15">
        <f>IF($D180="","",IFERROR(INDEX(rngCadetPIDs,MATCH($D180,rngCadetNames,0)),"?"))</f>
        <v/>
      </c>
      <c r="F180" s="14" t="n"/>
      <c r="G180" s="14" t="n"/>
      <c r="H180" s="14" t="n"/>
      <c r="I180" s="14" t="n"/>
      <c r="J180" s="14" t="n"/>
      <c r="K180" s="14" t="n"/>
      <c r="L180" s="15">
        <f>IF($D180="","",IF(AND($F180="Negative",OR($G180="Critical",$G180="Major")),"Yes","No"))</f>
        <v/>
      </c>
      <c r="M180" s="14" t="n"/>
      <c r="N180" s="14" t="n"/>
    </row>
    <row r="181">
      <c r="B181" s="15">
        <f>IF($D181="","","I"&amp;TEXT(ROW()-5,"000"))</f>
        <v/>
      </c>
      <c r="C181" s="16" t="n"/>
      <c r="D181" s="14" t="n"/>
      <c r="E181" s="15">
        <f>IF($D181="","",IFERROR(INDEX(rngCadetPIDs,MATCH($D181,rngCadetNames,0)),"?"))</f>
        <v/>
      </c>
      <c r="F181" s="14" t="n"/>
      <c r="G181" s="14" t="n"/>
      <c r="H181" s="14" t="n"/>
      <c r="I181" s="14" t="n"/>
      <c r="J181" s="14" t="n"/>
      <c r="K181" s="14" t="n"/>
      <c r="L181" s="15">
        <f>IF($D181="","",IF(AND($F181="Negative",OR($G181="Critical",$G181="Major")),"Yes","No"))</f>
        <v/>
      </c>
      <c r="M181" s="14" t="n"/>
      <c r="N181" s="14" t="n"/>
    </row>
    <row r="182">
      <c r="B182" s="15">
        <f>IF($D182="","","I"&amp;TEXT(ROW()-5,"000"))</f>
        <v/>
      </c>
      <c r="C182" s="16" t="n"/>
      <c r="D182" s="14" t="n"/>
      <c r="E182" s="15">
        <f>IF($D182="","",IFERROR(INDEX(rngCadetPIDs,MATCH($D182,rngCadetNames,0)),"?"))</f>
        <v/>
      </c>
      <c r="F182" s="14" t="n"/>
      <c r="G182" s="14" t="n"/>
      <c r="H182" s="14" t="n"/>
      <c r="I182" s="14" t="n"/>
      <c r="J182" s="14" t="n"/>
      <c r="K182" s="14" t="n"/>
      <c r="L182" s="15">
        <f>IF($D182="","",IF(AND($F182="Negative",OR($G182="Critical",$G182="Major")),"Yes","No"))</f>
        <v/>
      </c>
      <c r="M182" s="14" t="n"/>
      <c r="N182" s="14" t="n"/>
    </row>
    <row r="183">
      <c r="B183" s="15">
        <f>IF($D183="","","I"&amp;TEXT(ROW()-5,"000"))</f>
        <v/>
      </c>
      <c r="C183" s="16" t="n"/>
      <c r="D183" s="14" t="n"/>
      <c r="E183" s="15">
        <f>IF($D183="","",IFERROR(INDEX(rngCadetPIDs,MATCH($D183,rngCadetNames,0)),"?"))</f>
        <v/>
      </c>
      <c r="F183" s="14" t="n"/>
      <c r="G183" s="14" t="n"/>
      <c r="H183" s="14" t="n"/>
      <c r="I183" s="14" t="n"/>
      <c r="J183" s="14" t="n"/>
      <c r="K183" s="14" t="n"/>
      <c r="L183" s="15">
        <f>IF($D183="","",IF(AND($F183="Negative",OR($G183="Critical",$G183="Major")),"Yes","No"))</f>
        <v/>
      </c>
      <c r="M183" s="14" t="n"/>
      <c r="N183" s="14" t="n"/>
    </row>
    <row r="184">
      <c r="B184" s="15">
        <f>IF($D184="","","I"&amp;TEXT(ROW()-5,"000"))</f>
        <v/>
      </c>
      <c r="C184" s="16" t="n"/>
      <c r="D184" s="14" t="n"/>
      <c r="E184" s="15">
        <f>IF($D184="","",IFERROR(INDEX(rngCadetPIDs,MATCH($D184,rngCadetNames,0)),"?"))</f>
        <v/>
      </c>
      <c r="F184" s="14" t="n"/>
      <c r="G184" s="14" t="n"/>
      <c r="H184" s="14" t="n"/>
      <c r="I184" s="14" t="n"/>
      <c r="J184" s="14" t="n"/>
      <c r="K184" s="14" t="n"/>
      <c r="L184" s="15">
        <f>IF($D184="","",IF(AND($F184="Negative",OR($G184="Critical",$G184="Major")),"Yes","No"))</f>
        <v/>
      </c>
      <c r="M184" s="14" t="n"/>
      <c r="N184" s="14" t="n"/>
    </row>
    <row r="185">
      <c r="B185" s="15">
        <f>IF($D185="","","I"&amp;TEXT(ROW()-5,"000"))</f>
        <v/>
      </c>
      <c r="C185" s="16" t="n"/>
      <c r="D185" s="14" t="n"/>
      <c r="E185" s="15">
        <f>IF($D185="","",IFERROR(INDEX(rngCadetPIDs,MATCH($D185,rngCadetNames,0)),"?"))</f>
        <v/>
      </c>
      <c r="F185" s="14" t="n"/>
      <c r="G185" s="14" t="n"/>
      <c r="H185" s="14" t="n"/>
      <c r="I185" s="14" t="n"/>
      <c r="J185" s="14" t="n"/>
      <c r="K185" s="14" t="n"/>
      <c r="L185" s="15">
        <f>IF($D185="","",IF(AND($F185="Negative",OR($G185="Critical",$G185="Major")),"Yes","No"))</f>
        <v/>
      </c>
      <c r="M185" s="14" t="n"/>
      <c r="N185" s="14" t="n"/>
    </row>
    <row r="186">
      <c r="B186" s="15">
        <f>IF($D186="","","I"&amp;TEXT(ROW()-5,"000"))</f>
        <v/>
      </c>
      <c r="C186" s="16" t="n"/>
      <c r="D186" s="14" t="n"/>
      <c r="E186" s="15">
        <f>IF($D186="","",IFERROR(INDEX(rngCadetPIDs,MATCH($D186,rngCadetNames,0)),"?"))</f>
        <v/>
      </c>
      <c r="F186" s="14" t="n"/>
      <c r="G186" s="14" t="n"/>
      <c r="H186" s="14" t="n"/>
      <c r="I186" s="14" t="n"/>
      <c r="J186" s="14" t="n"/>
      <c r="K186" s="14" t="n"/>
      <c r="L186" s="15">
        <f>IF($D186="","",IF(AND($F186="Negative",OR($G186="Critical",$G186="Major")),"Yes","No"))</f>
        <v/>
      </c>
      <c r="M186" s="14" t="n"/>
      <c r="N186" s="14" t="n"/>
    </row>
    <row r="187">
      <c r="B187" s="15">
        <f>IF($D187="","","I"&amp;TEXT(ROW()-5,"000"))</f>
        <v/>
      </c>
      <c r="C187" s="16" t="n"/>
      <c r="D187" s="14" t="n"/>
      <c r="E187" s="15">
        <f>IF($D187="","",IFERROR(INDEX(rngCadetPIDs,MATCH($D187,rngCadetNames,0)),"?"))</f>
        <v/>
      </c>
      <c r="F187" s="14" t="n"/>
      <c r="G187" s="14" t="n"/>
      <c r="H187" s="14" t="n"/>
      <c r="I187" s="14" t="n"/>
      <c r="J187" s="14" t="n"/>
      <c r="K187" s="14" t="n"/>
      <c r="L187" s="15">
        <f>IF($D187="","",IF(AND($F187="Negative",OR($G187="Critical",$G187="Major")),"Yes","No"))</f>
        <v/>
      </c>
      <c r="M187" s="14" t="n"/>
      <c r="N187" s="14" t="n"/>
    </row>
    <row r="188">
      <c r="B188" s="15">
        <f>IF($D188="","","I"&amp;TEXT(ROW()-5,"000"))</f>
        <v/>
      </c>
      <c r="C188" s="16" t="n"/>
      <c r="D188" s="14" t="n"/>
      <c r="E188" s="15">
        <f>IF($D188="","",IFERROR(INDEX(rngCadetPIDs,MATCH($D188,rngCadetNames,0)),"?"))</f>
        <v/>
      </c>
      <c r="F188" s="14" t="n"/>
      <c r="G188" s="14" t="n"/>
      <c r="H188" s="14" t="n"/>
      <c r="I188" s="14" t="n"/>
      <c r="J188" s="14" t="n"/>
      <c r="K188" s="14" t="n"/>
      <c r="L188" s="15">
        <f>IF($D188="","",IF(AND($F188="Negative",OR($G188="Critical",$G188="Major")),"Yes","No"))</f>
        <v/>
      </c>
      <c r="M188" s="14" t="n"/>
      <c r="N188" s="14" t="n"/>
    </row>
    <row r="189">
      <c r="B189" s="15">
        <f>IF($D189="","","I"&amp;TEXT(ROW()-5,"000"))</f>
        <v/>
      </c>
      <c r="C189" s="16" t="n"/>
      <c r="D189" s="14" t="n"/>
      <c r="E189" s="15">
        <f>IF($D189="","",IFERROR(INDEX(rngCadetPIDs,MATCH($D189,rngCadetNames,0)),"?"))</f>
        <v/>
      </c>
      <c r="F189" s="14" t="n"/>
      <c r="G189" s="14" t="n"/>
      <c r="H189" s="14" t="n"/>
      <c r="I189" s="14" t="n"/>
      <c r="J189" s="14" t="n"/>
      <c r="K189" s="14" t="n"/>
      <c r="L189" s="15">
        <f>IF($D189="","",IF(AND($F189="Negative",OR($G189="Critical",$G189="Major")),"Yes","No"))</f>
        <v/>
      </c>
      <c r="M189" s="14" t="n"/>
      <c r="N189" s="14" t="n"/>
    </row>
    <row r="190">
      <c r="B190" s="15">
        <f>IF($D190="","","I"&amp;TEXT(ROW()-5,"000"))</f>
        <v/>
      </c>
      <c r="C190" s="16" t="n"/>
      <c r="D190" s="14" t="n"/>
      <c r="E190" s="15">
        <f>IF($D190="","",IFERROR(INDEX(rngCadetPIDs,MATCH($D190,rngCadetNames,0)),"?"))</f>
        <v/>
      </c>
      <c r="F190" s="14" t="n"/>
      <c r="G190" s="14" t="n"/>
      <c r="H190" s="14" t="n"/>
      <c r="I190" s="14" t="n"/>
      <c r="J190" s="14" t="n"/>
      <c r="K190" s="14" t="n"/>
      <c r="L190" s="15">
        <f>IF($D190="","",IF(AND($F190="Negative",OR($G190="Critical",$G190="Major")),"Yes","No"))</f>
        <v/>
      </c>
      <c r="M190" s="14" t="n"/>
      <c r="N190" s="14" t="n"/>
    </row>
    <row r="191">
      <c r="B191" s="15">
        <f>IF($D191="","","I"&amp;TEXT(ROW()-5,"000"))</f>
        <v/>
      </c>
      <c r="C191" s="16" t="n"/>
      <c r="D191" s="14" t="n"/>
      <c r="E191" s="15">
        <f>IF($D191="","",IFERROR(INDEX(rngCadetPIDs,MATCH($D191,rngCadetNames,0)),"?"))</f>
        <v/>
      </c>
      <c r="F191" s="14" t="n"/>
      <c r="G191" s="14" t="n"/>
      <c r="H191" s="14" t="n"/>
      <c r="I191" s="14" t="n"/>
      <c r="J191" s="14" t="n"/>
      <c r="K191" s="14" t="n"/>
      <c r="L191" s="15">
        <f>IF($D191="","",IF(AND($F191="Negative",OR($G191="Critical",$G191="Major")),"Yes","No"))</f>
        <v/>
      </c>
      <c r="M191" s="14" t="n"/>
      <c r="N191" s="14" t="n"/>
    </row>
    <row r="192">
      <c r="B192" s="15">
        <f>IF($D192="","","I"&amp;TEXT(ROW()-5,"000"))</f>
        <v/>
      </c>
      <c r="C192" s="16" t="n"/>
      <c r="D192" s="14" t="n"/>
      <c r="E192" s="15">
        <f>IF($D192="","",IFERROR(INDEX(rngCadetPIDs,MATCH($D192,rngCadetNames,0)),"?"))</f>
        <v/>
      </c>
      <c r="F192" s="14" t="n"/>
      <c r="G192" s="14" t="n"/>
      <c r="H192" s="14" t="n"/>
      <c r="I192" s="14" t="n"/>
      <c r="J192" s="14" t="n"/>
      <c r="K192" s="14" t="n"/>
      <c r="L192" s="15">
        <f>IF($D192="","",IF(AND($F192="Negative",OR($G192="Critical",$G192="Major")),"Yes","No"))</f>
        <v/>
      </c>
      <c r="M192" s="14" t="n"/>
      <c r="N192" s="14" t="n"/>
    </row>
    <row r="193">
      <c r="B193" s="15">
        <f>IF($D193="","","I"&amp;TEXT(ROW()-5,"000"))</f>
        <v/>
      </c>
      <c r="C193" s="16" t="n"/>
      <c r="D193" s="14" t="n"/>
      <c r="E193" s="15">
        <f>IF($D193="","",IFERROR(INDEX(rngCadetPIDs,MATCH($D193,rngCadetNames,0)),"?"))</f>
        <v/>
      </c>
      <c r="F193" s="14" t="n"/>
      <c r="G193" s="14" t="n"/>
      <c r="H193" s="14" t="n"/>
      <c r="I193" s="14" t="n"/>
      <c r="J193" s="14" t="n"/>
      <c r="K193" s="14" t="n"/>
      <c r="L193" s="15">
        <f>IF($D193="","",IF(AND($F193="Negative",OR($G193="Critical",$G193="Major")),"Yes","No"))</f>
        <v/>
      </c>
      <c r="M193" s="14" t="n"/>
      <c r="N193" s="14" t="n"/>
    </row>
    <row r="194">
      <c r="B194" s="15">
        <f>IF($D194="","","I"&amp;TEXT(ROW()-5,"000"))</f>
        <v/>
      </c>
      <c r="C194" s="16" t="n"/>
      <c r="D194" s="14" t="n"/>
      <c r="E194" s="15">
        <f>IF($D194="","",IFERROR(INDEX(rngCadetPIDs,MATCH($D194,rngCadetNames,0)),"?"))</f>
        <v/>
      </c>
      <c r="F194" s="14" t="n"/>
      <c r="G194" s="14" t="n"/>
      <c r="H194" s="14" t="n"/>
      <c r="I194" s="14" t="n"/>
      <c r="J194" s="14" t="n"/>
      <c r="K194" s="14" t="n"/>
      <c r="L194" s="15">
        <f>IF($D194="","",IF(AND($F194="Negative",OR($G194="Critical",$G194="Major")),"Yes","No"))</f>
        <v/>
      </c>
      <c r="M194" s="14" t="n"/>
      <c r="N194" s="14" t="n"/>
    </row>
    <row r="195">
      <c r="B195" s="15">
        <f>IF($D195="","","I"&amp;TEXT(ROW()-5,"000"))</f>
        <v/>
      </c>
      <c r="C195" s="16" t="n"/>
      <c r="D195" s="14" t="n"/>
      <c r="E195" s="15">
        <f>IF($D195="","",IFERROR(INDEX(rngCadetPIDs,MATCH($D195,rngCadetNames,0)),"?"))</f>
        <v/>
      </c>
      <c r="F195" s="14" t="n"/>
      <c r="G195" s="14" t="n"/>
      <c r="H195" s="14" t="n"/>
      <c r="I195" s="14" t="n"/>
      <c r="J195" s="14" t="n"/>
      <c r="K195" s="14" t="n"/>
      <c r="L195" s="15">
        <f>IF($D195="","",IF(AND($F195="Negative",OR($G195="Critical",$G195="Major")),"Yes","No"))</f>
        <v/>
      </c>
      <c r="M195" s="14" t="n"/>
      <c r="N195" s="14" t="n"/>
    </row>
    <row r="196">
      <c r="B196" s="15">
        <f>IF($D196="","","I"&amp;TEXT(ROW()-5,"000"))</f>
        <v/>
      </c>
      <c r="C196" s="16" t="n"/>
      <c r="D196" s="14" t="n"/>
      <c r="E196" s="15">
        <f>IF($D196="","",IFERROR(INDEX(rngCadetPIDs,MATCH($D196,rngCadetNames,0)),"?"))</f>
        <v/>
      </c>
      <c r="F196" s="14" t="n"/>
      <c r="G196" s="14" t="n"/>
      <c r="H196" s="14" t="n"/>
      <c r="I196" s="14" t="n"/>
      <c r="J196" s="14" t="n"/>
      <c r="K196" s="14" t="n"/>
      <c r="L196" s="15">
        <f>IF($D196="","",IF(AND($F196="Negative",OR($G196="Critical",$G196="Major")),"Yes","No"))</f>
        <v/>
      </c>
      <c r="M196" s="14" t="n"/>
      <c r="N196" s="14" t="n"/>
    </row>
    <row r="197">
      <c r="B197" s="15">
        <f>IF($D197="","","I"&amp;TEXT(ROW()-5,"000"))</f>
        <v/>
      </c>
      <c r="C197" s="16" t="n"/>
      <c r="D197" s="14" t="n"/>
      <c r="E197" s="15">
        <f>IF($D197="","",IFERROR(INDEX(rngCadetPIDs,MATCH($D197,rngCadetNames,0)),"?"))</f>
        <v/>
      </c>
      <c r="F197" s="14" t="n"/>
      <c r="G197" s="14" t="n"/>
      <c r="H197" s="14" t="n"/>
      <c r="I197" s="14" t="n"/>
      <c r="J197" s="14" t="n"/>
      <c r="K197" s="14" t="n"/>
      <c r="L197" s="15">
        <f>IF($D197="","",IF(AND($F197="Negative",OR($G197="Critical",$G197="Major")),"Yes","No"))</f>
        <v/>
      </c>
      <c r="M197" s="14" t="n"/>
      <c r="N197" s="14" t="n"/>
    </row>
    <row r="198">
      <c r="B198" s="15">
        <f>IF($D198="","","I"&amp;TEXT(ROW()-5,"000"))</f>
        <v/>
      </c>
      <c r="C198" s="16" t="n"/>
      <c r="D198" s="14" t="n"/>
      <c r="E198" s="15">
        <f>IF($D198="","",IFERROR(INDEX(rngCadetPIDs,MATCH($D198,rngCadetNames,0)),"?"))</f>
        <v/>
      </c>
      <c r="F198" s="14" t="n"/>
      <c r="G198" s="14" t="n"/>
      <c r="H198" s="14" t="n"/>
      <c r="I198" s="14" t="n"/>
      <c r="J198" s="14" t="n"/>
      <c r="K198" s="14" t="n"/>
      <c r="L198" s="15">
        <f>IF($D198="","",IF(AND($F198="Negative",OR($G198="Critical",$G198="Major")),"Yes","No"))</f>
        <v/>
      </c>
      <c r="M198" s="14" t="n"/>
      <c r="N198" s="14" t="n"/>
    </row>
    <row r="199">
      <c r="B199" s="15">
        <f>IF($D199="","","I"&amp;TEXT(ROW()-5,"000"))</f>
        <v/>
      </c>
      <c r="C199" s="16" t="n"/>
      <c r="D199" s="14" t="n"/>
      <c r="E199" s="15">
        <f>IF($D199="","",IFERROR(INDEX(rngCadetPIDs,MATCH($D199,rngCadetNames,0)),"?"))</f>
        <v/>
      </c>
      <c r="F199" s="14" t="n"/>
      <c r="G199" s="14" t="n"/>
      <c r="H199" s="14" t="n"/>
      <c r="I199" s="14" t="n"/>
      <c r="J199" s="14" t="n"/>
      <c r="K199" s="14" t="n"/>
      <c r="L199" s="15">
        <f>IF($D199="","",IF(AND($F199="Negative",OR($G199="Critical",$G199="Major")),"Yes","No"))</f>
        <v/>
      </c>
      <c r="M199" s="14" t="n"/>
      <c r="N199" s="14" t="n"/>
    </row>
    <row r="200">
      <c r="B200" s="15">
        <f>IF($D200="","","I"&amp;TEXT(ROW()-5,"000"))</f>
        <v/>
      </c>
      <c r="C200" s="16" t="n"/>
      <c r="D200" s="14" t="n"/>
      <c r="E200" s="15">
        <f>IF($D200="","",IFERROR(INDEX(rngCadetPIDs,MATCH($D200,rngCadetNames,0)),"?"))</f>
        <v/>
      </c>
      <c r="F200" s="14" t="n"/>
      <c r="G200" s="14" t="n"/>
      <c r="H200" s="14" t="n"/>
      <c r="I200" s="14" t="n"/>
      <c r="J200" s="14" t="n"/>
      <c r="K200" s="14" t="n"/>
      <c r="L200" s="15">
        <f>IF($D200="","",IF(AND($F200="Negative",OR($G200="Critical",$G200="Major")),"Yes","No"))</f>
        <v/>
      </c>
      <c r="M200" s="14" t="n"/>
      <c r="N200" s="14" t="n"/>
    </row>
    <row r="201">
      <c r="B201" s="15">
        <f>IF($D201="","","I"&amp;TEXT(ROW()-5,"000"))</f>
        <v/>
      </c>
      <c r="C201" s="16" t="n"/>
      <c r="D201" s="14" t="n"/>
      <c r="E201" s="15">
        <f>IF($D201="","",IFERROR(INDEX(rngCadetPIDs,MATCH($D201,rngCadetNames,0)),"?"))</f>
        <v/>
      </c>
      <c r="F201" s="14" t="n"/>
      <c r="G201" s="14" t="n"/>
      <c r="H201" s="14" t="n"/>
      <c r="I201" s="14" t="n"/>
      <c r="J201" s="14" t="n"/>
      <c r="K201" s="14" t="n"/>
      <c r="L201" s="15">
        <f>IF($D201="","",IF(AND($F201="Negative",OR($G201="Critical",$G201="Major")),"Yes","No"))</f>
        <v/>
      </c>
      <c r="M201" s="14" t="n"/>
      <c r="N201" s="14" t="n"/>
    </row>
    <row r="202">
      <c r="B202" s="15">
        <f>IF($D202="","","I"&amp;TEXT(ROW()-5,"000"))</f>
        <v/>
      </c>
      <c r="C202" s="16" t="n"/>
      <c r="D202" s="14" t="n"/>
      <c r="E202" s="15">
        <f>IF($D202="","",IFERROR(INDEX(rngCadetPIDs,MATCH($D202,rngCadetNames,0)),"?"))</f>
        <v/>
      </c>
      <c r="F202" s="14" t="n"/>
      <c r="G202" s="14" t="n"/>
      <c r="H202" s="14" t="n"/>
      <c r="I202" s="14" t="n"/>
      <c r="J202" s="14" t="n"/>
      <c r="K202" s="14" t="n"/>
      <c r="L202" s="15">
        <f>IF($D202="","",IF(AND($F202="Negative",OR($G202="Critical",$G202="Major")),"Yes","No"))</f>
        <v/>
      </c>
      <c r="M202" s="14" t="n"/>
      <c r="N202" s="14" t="n"/>
    </row>
    <row r="203">
      <c r="B203" s="15">
        <f>IF($D203="","","I"&amp;TEXT(ROW()-5,"000"))</f>
        <v/>
      </c>
      <c r="C203" s="16" t="n"/>
      <c r="D203" s="14" t="n"/>
      <c r="E203" s="15">
        <f>IF($D203="","",IFERROR(INDEX(rngCadetPIDs,MATCH($D203,rngCadetNames,0)),"?"))</f>
        <v/>
      </c>
      <c r="F203" s="14" t="n"/>
      <c r="G203" s="14" t="n"/>
      <c r="H203" s="14" t="n"/>
      <c r="I203" s="14" t="n"/>
      <c r="J203" s="14" t="n"/>
      <c r="K203" s="14" t="n"/>
      <c r="L203" s="15">
        <f>IF($D203="","",IF(AND($F203="Negative",OR($G203="Critical",$G203="Major")),"Yes","No"))</f>
        <v/>
      </c>
      <c r="M203" s="14" t="n"/>
      <c r="N203" s="14" t="n"/>
    </row>
    <row r="204">
      <c r="B204" s="15">
        <f>IF($D204="","","I"&amp;TEXT(ROW()-5,"000"))</f>
        <v/>
      </c>
      <c r="C204" s="16" t="n"/>
      <c r="D204" s="14" t="n"/>
      <c r="E204" s="15">
        <f>IF($D204="","",IFERROR(INDEX(rngCadetPIDs,MATCH($D204,rngCadetNames,0)),"?"))</f>
        <v/>
      </c>
      <c r="F204" s="14" t="n"/>
      <c r="G204" s="14" t="n"/>
      <c r="H204" s="14" t="n"/>
      <c r="I204" s="14" t="n"/>
      <c r="J204" s="14" t="n"/>
      <c r="K204" s="14" t="n"/>
      <c r="L204" s="15">
        <f>IF($D204="","",IF(AND($F204="Negative",OR($G204="Critical",$G204="Major")),"Yes","No"))</f>
        <v/>
      </c>
      <c r="M204" s="14" t="n"/>
      <c r="N204" s="14" t="n"/>
    </row>
    <row r="205">
      <c r="B205" s="15">
        <f>IF($D205="","","I"&amp;TEXT(ROW()-5,"000"))</f>
        <v/>
      </c>
      <c r="C205" s="16" t="n"/>
      <c r="D205" s="14" t="n"/>
      <c r="E205" s="15">
        <f>IF($D205="","",IFERROR(INDEX(rngCadetPIDs,MATCH($D205,rngCadetNames,0)),"?"))</f>
        <v/>
      </c>
      <c r="F205" s="14" t="n"/>
      <c r="G205" s="14" t="n"/>
      <c r="H205" s="14" t="n"/>
      <c r="I205" s="14" t="n"/>
      <c r="J205" s="14" t="n"/>
      <c r="K205" s="14" t="n"/>
      <c r="L205" s="15">
        <f>IF($D205="","",IF(AND($F205="Negative",OR($G205="Critical",$G205="Major")),"Yes","No"))</f>
        <v/>
      </c>
      <c r="M205" s="14" t="n"/>
      <c r="N205" s="14" t="n"/>
    </row>
    <row r="206">
      <c r="B206" s="15">
        <f>IF($D206="","","I"&amp;TEXT(ROW()-5,"000"))</f>
        <v/>
      </c>
      <c r="C206" s="16" t="n"/>
      <c r="D206" s="14" t="n"/>
      <c r="E206" s="15">
        <f>IF($D206="","",IFERROR(INDEX(rngCadetPIDs,MATCH($D206,rngCadetNames,0)),"?"))</f>
        <v/>
      </c>
      <c r="F206" s="14" t="n"/>
      <c r="G206" s="14" t="n"/>
      <c r="H206" s="14" t="n"/>
      <c r="I206" s="14" t="n"/>
      <c r="J206" s="14" t="n"/>
      <c r="K206" s="14" t="n"/>
      <c r="L206" s="15">
        <f>IF($D206="","",IF(AND($F206="Negative",OR($G206="Critical",$G206="Major")),"Yes","No"))</f>
        <v/>
      </c>
      <c r="M206" s="14" t="n"/>
      <c r="N206" s="14" t="n"/>
    </row>
    <row r="207">
      <c r="B207" s="15">
        <f>IF($D207="","","I"&amp;TEXT(ROW()-5,"000"))</f>
        <v/>
      </c>
      <c r="C207" s="16" t="n"/>
      <c r="D207" s="14" t="n"/>
      <c r="E207" s="15">
        <f>IF($D207="","",IFERROR(INDEX(rngCadetPIDs,MATCH($D207,rngCadetNames,0)),"?"))</f>
        <v/>
      </c>
      <c r="F207" s="14" t="n"/>
      <c r="G207" s="14" t="n"/>
      <c r="H207" s="14" t="n"/>
      <c r="I207" s="14" t="n"/>
      <c r="J207" s="14" t="n"/>
      <c r="K207" s="14" t="n"/>
      <c r="L207" s="15">
        <f>IF($D207="","",IF(AND($F207="Negative",OR($G207="Critical",$G207="Major")),"Yes","No"))</f>
        <v/>
      </c>
      <c r="M207" s="14" t="n"/>
      <c r="N207" s="14" t="n"/>
    </row>
    <row r="208">
      <c r="B208" s="15">
        <f>IF($D208="","","I"&amp;TEXT(ROW()-5,"000"))</f>
        <v/>
      </c>
      <c r="C208" s="16" t="n"/>
      <c r="D208" s="14" t="n"/>
      <c r="E208" s="15">
        <f>IF($D208="","",IFERROR(INDEX(rngCadetPIDs,MATCH($D208,rngCadetNames,0)),"?"))</f>
        <v/>
      </c>
      <c r="F208" s="14" t="n"/>
      <c r="G208" s="14" t="n"/>
      <c r="H208" s="14" t="n"/>
      <c r="I208" s="14" t="n"/>
      <c r="J208" s="14" t="n"/>
      <c r="K208" s="14" t="n"/>
      <c r="L208" s="15">
        <f>IF($D208="","",IF(AND($F208="Negative",OR($G208="Critical",$G208="Major")),"Yes","No"))</f>
        <v/>
      </c>
      <c r="M208" s="14" t="n"/>
      <c r="N208" s="14" t="n"/>
    </row>
    <row r="209">
      <c r="B209" s="15">
        <f>IF($D209="","","I"&amp;TEXT(ROW()-5,"000"))</f>
        <v/>
      </c>
      <c r="C209" s="16" t="n"/>
      <c r="D209" s="14" t="n"/>
      <c r="E209" s="15">
        <f>IF($D209="","",IFERROR(INDEX(rngCadetPIDs,MATCH($D209,rngCadetNames,0)),"?"))</f>
        <v/>
      </c>
      <c r="F209" s="14" t="n"/>
      <c r="G209" s="14" t="n"/>
      <c r="H209" s="14" t="n"/>
      <c r="I209" s="14" t="n"/>
      <c r="J209" s="14" t="n"/>
      <c r="K209" s="14" t="n"/>
      <c r="L209" s="15">
        <f>IF($D209="","",IF(AND($F209="Negative",OR($G209="Critical",$G209="Major")),"Yes","No"))</f>
        <v/>
      </c>
      <c r="M209" s="14" t="n"/>
      <c r="N209" s="14" t="n"/>
    </row>
    <row r="210">
      <c r="B210" s="15">
        <f>IF($D210="","","I"&amp;TEXT(ROW()-5,"000"))</f>
        <v/>
      </c>
      <c r="C210" s="16" t="n"/>
      <c r="D210" s="14" t="n"/>
      <c r="E210" s="15">
        <f>IF($D210="","",IFERROR(INDEX(rngCadetPIDs,MATCH($D210,rngCadetNames,0)),"?"))</f>
        <v/>
      </c>
      <c r="F210" s="14" t="n"/>
      <c r="G210" s="14" t="n"/>
      <c r="H210" s="14" t="n"/>
      <c r="I210" s="14" t="n"/>
      <c r="J210" s="14" t="n"/>
      <c r="K210" s="14" t="n"/>
      <c r="L210" s="15">
        <f>IF($D210="","",IF(AND($F210="Negative",OR($G210="Critical",$G210="Major")),"Yes","No"))</f>
        <v/>
      </c>
      <c r="M210" s="14" t="n"/>
      <c r="N210" s="14" t="n"/>
    </row>
    <row r="211">
      <c r="B211" s="15">
        <f>IF($D211="","","I"&amp;TEXT(ROW()-5,"000"))</f>
        <v/>
      </c>
      <c r="C211" s="16" t="n"/>
      <c r="D211" s="14" t="n"/>
      <c r="E211" s="15">
        <f>IF($D211="","",IFERROR(INDEX(rngCadetPIDs,MATCH($D211,rngCadetNames,0)),"?"))</f>
        <v/>
      </c>
      <c r="F211" s="14" t="n"/>
      <c r="G211" s="14" t="n"/>
      <c r="H211" s="14" t="n"/>
      <c r="I211" s="14" t="n"/>
      <c r="J211" s="14" t="n"/>
      <c r="K211" s="14" t="n"/>
      <c r="L211" s="15">
        <f>IF($D211="","",IF(AND($F211="Negative",OR($G211="Critical",$G211="Major")),"Yes","No"))</f>
        <v/>
      </c>
      <c r="M211" s="14" t="n"/>
      <c r="N211" s="14" t="n"/>
    </row>
    <row r="212">
      <c r="B212" s="15">
        <f>IF($D212="","","I"&amp;TEXT(ROW()-5,"000"))</f>
        <v/>
      </c>
      <c r="C212" s="16" t="n"/>
      <c r="D212" s="14" t="n"/>
      <c r="E212" s="15">
        <f>IF($D212="","",IFERROR(INDEX(rngCadetPIDs,MATCH($D212,rngCadetNames,0)),"?"))</f>
        <v/>
      </c>
      <c r="F212" s="14" t="n"/>
      <c r="G212" s="14" t="n"/>
      <c r="H212" s="14" t="n"/>
      <c r="I212" s="14" t="n"/>
      <c r="J212" s="14" t="n"/>
      <c r="K212" s="14" t="n"/>
      <c r="L212" s="15">
        <f>IF($D212="","",IF(AND($F212="Negative",OR($G212="Critical",$G212="Major")),"Yes","No"))</f>
        <v/>
      </c>
      <c r="M212" s="14" t="n"/>
      <c r="N212" s="14" t="n"/>
    </row>
    <row r="213">
      <c r="B213" s="15">
        <f>IF($D213="","","I"&amp;TEXT(ROW()-5,"000"))</f>
        <v/>
      </c>
      <c r="C213" s="16" t="n"/>
      <c r="D213" s="14" t="n"/>
      <c r="E213" s="15">
        <f>IF($D213="","",IFERROR(INDEX(rngCadetPIDs,MATCH($D213,rngCadetNames,0)),"?"))</f>
        <v/>
      </c>
      <c r="F213" s="14" t="n"/>
      <c r="G213" s="14" t="n"/>
      <c r="H213" s="14" t="n"/>
      <c r="I213" s="14" t="n"/>
      <c r="J213" s="14" t="n"/>
      <c r="K213" s="14" t="n"/>
      <c r="L213" s="15">
        <f>IF($D213="","",IF(AND($F213="Negative",OR($G213="Critical",$G213="Major")),"Yes","No"))</f>
        <v/>
      </c>
      <c r="M213" s="14" t="n"/>
      <c r="N213" s="14" t="n"/>
    </row>
    <row r="214">
      <c r="B214" s="15">
        <f>IF($D214="","","I"&amp;TEXT(ROW()-5,"000"))</f>
        <v/>
      </c>
      <c r="C214" s="16" t="n"/>
      <c r="D214" s="14" t="n"/>
      <c r="E214" s="15">
        <f>IF($D214="","",IFERROR(INDEX(rngCadetPIDs,MATCH($D214,rngCadetNames,0)),"?"))</f>
        <v/>
      </c>
      <c r="F214" s="14" t="n"/>
      <c r="G214" s="14" t="n"/>
      <c r="H214" s="14" t="n"/>
      <c r="I214" s="14" t="n"/>
      <c r="J214" s="14" t="n"/>
      <c r="K214" s="14" t="n"/>
      <c r="L214" s="15">
        <f>IF($D214="","",IF(AND($F214="Negative",OR($G214="Critical",$G214="Major")),"Yes","No"))</f>
        <v/>
      </c>
      <c r="M214" s="14" t="n"/>
      <c r="N214" s="14" t="n"/>
    </row>
    <row r="215">
      <c r="B215" s="15">
        <f>IF($D215="","","I"&amp;TEXT(ROW()-5,"000"))</f>
        <v/>
      </c>
      <c r="C215" s="16" t="n"/>
      <c r="D215" s="14" t="n"/>
      <c r="E215" s="15">
        <f>IF($D215="","",IFERROR(INDEX(rngCadetPIDs,MATCH($D215,rngCadetNames,0)),"?"))</f>
        <v/>
      </c>
      <c r="F215" s="14" t="n"/>
      <c r="G215" s="14" t="n"/>
      <c r="H215" s="14" t="n"/>
      <c r="I215" s="14" t="n"/>
      <c r="J215" s="14" t="n"/>
      <c r="K215" s="14" t="n"/>
      <c r="L215" s="15">
        <f>IF($D215="","",IF(AND($F215="Negative",OR($G215="Critical",$G215="Major")),"Yes","No"))</f>
        <v/>
      </c>
      <c r="M215" s="14" t="n"/>
      <c r="N215" s="14" t="n"/>
    </row>
    <row r="216">
      <c r="B216" s="15">
        <f>IF($D216="","","I"&amp;TEXT(ROW()-5,"000"))</f>
        <v/>
      </c>
      <c r="C216" s="16" t="n"/>
      <c r="D216" s="14" t="n"/>
      <c r="E216" s="15">
        <f>IF($D216="","",IFERROR(INDEX(rngCadetPIDs,MATCH($D216,rngCadetNames,0)),"?"))</f>
        <v/>
      </c>
      <c r="F216" s="14" t="n"/>
      <c r="G216" s="14" t="n"/>
      <c r="H216" s="14" t="n"/>
      <c r="I216" s="14" t="n"/>
      <c r="J216" s="14" t="n"/>
      <c r="K216" s="14" t="n"/>
      <c r="L216" s="15">
        <f>IF($D216="","",IF(AND($F216="Negative",OR($G216="Critical",$G216="Major")),"Yes","No"))</f>
        <v/>
      </c>
      <c r="M216" s="14" t="n"/>
      <c r="N216" s="14" t="n"/>
    </row>
    <row r="217">
      <c r="B217" s="15">
        <f>IF($D217="","","I"&amp;TEXT(ROW()-5,"000"))</f>
        <v/>
      </c>
      <c r="C217" s="16" t="n"/>
      <c r="D217" s="14" t="n"/>
      <c r="E217" s="15">
        <f>IF($D217="","",IFERROR(INDEX(rngCadetPIDs,MATCH($D217,rngCadetNames,0)),"?"))</f>
        <v/>
      </c>
      <c r="F217" s="14" t="n"/>
      <c r="G217" s="14" t="n"/>
      <c r="H217" s="14" t="n"/>
      <c r="I217" s="14" t="n"/>
      <c r="J217" s="14" t="n"/>
      <c r="K217" s="14" t="n"/>
      <c r="L217" s="15">
        <f>IF($D217="","",IF(AND($F217="Negative",OR($G217="Critical",$G217="Major")),"Yes","No"))</f>
        <v/>
      </c>
      <c r="M217" s="14" t="n"/>
      <c r="N217" s="14" t="n"/>
    </row>
    <row r="218">
      <c r="B218" s="15">
        <f>IF($D218="","","I"&amp;TEXT(ROW()-5,"000"))</f>
        <v/>
      </c>
      <c r="C218" s="16" t="n"/>
      <c r="D218" s="14" t="n"/>
      <c r="E218" s="15">
        <f>IF($D218="","",IFERROR(INDEX(rngCadetPIDs,MATCH($D218,rngCadetNames,0)),"?"))</f>
        <v/>
      </c>
      <c r="F218" s="14" t="n"/>
      <c r="G218" s="14" t="n"/>
      <c r="H218" s="14" t="n"/>
      <c r="I218" s="14" t="n"/>
      <c r="J218" s="14" t="n"/>
      <c r="K218" s="14" t="n"/>
      <c r="L218" s="15">
        <f>IF($D218="","",IF(AND($F218="Negative",OR($G218="Critical",$G218="Major")),"Yes","No"))</f>
        <v/>
      </c>
      <c r="M218" s="14" t="n"/>
      <c r="N218" s="14" t="n"/>
    </row>
    <row r="219">
      <c r="B219" s="15">
        <f>IF($D219="","","I"&amp;TEXT(ROW()-5,"000"))</f>
        <v/>
      </c>
      <c r="C219" s="16" t="n"/>
      <c r="D219" s="14" t="n"/>
      <c r="E219" s="15">
        <f>IF($D219="","",IFERROR(INDEX(rngCadetPIDs,MATCH($D219,rngCadetNames,0)),"?"))</f>
        <v/>
      </c>
      <c r="F219" s="14" t="n"/>
      <c r="G219" s="14" t="n"/>
      <c r="H219" s="14" t="n"/>
      <c r="I219" s="14" t="n"/>
      <c r="J219" s="14" t="n"/>
      <c r="K219" s="14" t="n"/>
      <c r="L219" s="15">
        <f>IF($D219="","",IF(AND($F219="Negative",OR($G219="Critical",$G219="Major")),"Yes","No"))</f>
        <v/>
      </c>
      <c r="M219" s="14" t="n"/>
      <c r="N219" s="14" t="n"/>
    </row>
    <row r="220">
      <c r="B220" s="15">
        <f>IF($D220="","","I"&amp;TEXT(ROW()-5,"000"))</f>
        <v/>
      </c>
      <c r="C220" s="16" t="n"/>
      <c r="D220" s="14" t="n"/>
      <c r="E220" s="15">
        <f>IF($D220="","",IFERROR(INDEX(rngCadetPIDs,MATCH($D220,rngCadetNames,0)),"?"))</f>
        <v/>
      </c>
      <c r="F220" s="14" t="n"/>
      <c r="G220" s="14" t="n"/>
      <c r="H220" s="14" t="n"/>
      <c r="I220" s="14" t="n"/>
      <c r="J220" s="14" t="n"/>
      <c r="K220" s="14" t="n"/>
      <c r="L220" s="15">
        <f>IF($D220="","",IF(AND($F220="Negative",OR($G220="Critical",$G220="Major")),"Yes","No"))</f>
        <v/>
      </c>
      <c r="M220" s="14" t="n"/>
      <c r="N220" s="14" t="n"/>
    </row>
    <row r="221">
      <c r="B221" s="15">
        <f>IF($D221="","","I"&amp;TEXT(ROW()-5,"000"))</f>
        <v/>
      </c>
      <c r="C221" s="16" t="n"/>
      <c r="D221" s="14" t="n"/>
      <c r="E221" s="15">
        <f>IF($D221="","",IFERROR(INDEX(rngCadetPIDs,MATCH($D221,rngCadetNames,0)),"?"))</f>
        <v/>
      </c>
      <c r="F221" s="14" t="n"/>
      <c r="G221" s="14" t="n"/>
      <c r="H221" s="14" t="n"/>
      <c r="I221" s="14" t="n"/>
      <c r="J221" s="14" t="n"/>
      <c r="K221" s="14" t="n"/>
      <c r="L221" s="15">
        <f>IF($D221="","",IF(AND($F221="Negative",OR($G221="Critical",$G221="Major")),"Yes","No"))</f>
        <v/>
      </c>
      <c r="M221" s="14" t="n"/>
      <c r="N221" s="14" t="n"/>
    </row>
    <row r="222">
      <c r="B222" s="15">
        <f>IF($D222="","","I"&amp;TEXT(ROW()-5,"000"))</f>
        <v/>
      </c>
      <c r="C222" s="16" t="n"/>
      <c r="D222" s="14" t="n"/>
      <c r="E222" s="15">
        <f>IF($D222="","",IFERROR(INDEX(rngCadetPIDs,MATCH($D222,rngCadetNames,0)),"?"))</f>
        <v/>
      </c>
      <c r="F222" s="14" t="n"/>
      <c r="G222" s="14" t="n"/>
      <c r="H222" s="14" t="n"/>
      <c r="I222" s="14" t="n"/>
      <c r="J222" s="14" t="n"/>
      <c r="K222" s="14" t="n"/>
      <c r="L222" s="15">
        <f>IF($D222="","",IF(AND($F222="Negative",OR($G222="Critical",$G222="Major")),"Yes","No"))</f>
        <v/>
      </c>
      <c r="M222" s="14" t="n"/>
      <c r="N222" s="14" t="n"/>
    </row>
    <row r="223">
      <c r="B223" s="15">
        <f>IF($D223="","","I"&amp;TEXT(ROW()-5,"000"))</f>
        <v/>
      </c>
      <c r="C223" s="16" t="n"/>
      <c r="D223" s="14" t="n"/>
      <c r="E223" s="15">
        <f>IF($D223="","",IFERROR(INDEX(rngCadetPIDs,MATCH($D223,rngCadetNames,0)),"?"))</f>
        <v/>
      </c>
      <c r="F223" s="14" t="n"/>
      <c r="G223" s="14" t="n"/>
      <c r="H223" s="14" t="n"/>
      <c r="I223" s="14" t="n"/>
      <c r="J223" s="14" t="n"/>
      <c r="K223" s="14" t="n"/>
      <c r="L223" s="15">
        <f>IF($D223="","",IF(AND($F223="Negative",OR($G223="Critical",$G223="Major")),"Yes","No"))</f>
        <v/>
      </c>
      <c r="M223" s="14" t="n"/>
      <c r="N223" s="14" t="n"/>
    </row>
    <row r="224">
      <c r="B224" s="15">
        <f>IF($D224="","","I"&amp;TEXT(ROW()-5,"000"))</f>
        <v/>
      </c>
      <c r="C224" s="16" t="n"/>
      <c r="D224" s="14" t="n"/>
      <c r="E224" s="15">
        <f>IF($D224="","",IFERROR(INDEX(rngCadetPIDs,MATCH($D224,rngCadetNames,0)),"?"))</f>
        <v/>
      </c>
      <c r="F224" s="14" t="n"/>
      <c r="G224" s="14" t="n"/>
      <c r="H224" s="14" t="n"/>
      <c r="I224" s="14" t="n"/>
      <c r="J224" s="14" t="n"/>
      <c r="K224" s="14" t="n"/>
      <c r="L224" s="15">
        <f>IF($D224="","",IF(AND($F224="Negative",OR($G224="Critical",$G224="Major")),"Yes","No"))</f>
        <v/>
      </c>
      <c r="M224" s="14" t="n"/>
      <c r="N224" s="14" t="n"/>
    </row>
    <row r="225">
      <c r="B225" s="15">
        <f>IF($D225="","","I"&amp;TEXT(ROW()-5,"000"))</f>
        <v/>
      </c>
      <c r="C225" s="16" t="n"/>
      <c r="D225" s="14" t="n"/>
      <c r="E225" s="15">
        <f>IF($D225="","",IFERROR(INDEX(rngCadetPIDs,MATCH($D225,rngCadetNames,0)),"?"))</f>
        <v/>
      </c>
      <c r="F225" s="14" t="n"/>
      <c r="G225" s="14" t="n"/>
      <c r="H225" s="14" t="n"/>
      <c r="I225" s="14" t="n"/>
      <c r="J225" s="14" t="n"/>
      <c r="K225" s="14" t="n"/>
      <c r="L225" s="15">
        <f>IF($D225="","",IF(AND($F225="Negative",OR($G225="Critical",$G225="Major")),"Yes","No"))</f>
        <v/>
      </c>
      <c r="M225" s="14" t="n"/>
      <c r="N225" s="14" t="n"/>
    </row>
    <row r="226">
      <c r="B226" s="15">
        <f>IF($D226="","","I"&amp;TEXT(ROW()-5,"000"))</f>
        <v/>
      </c>
      <c r="C226" s="16" t="n"/>
      <c r="D226" s="14" t="n"/>
      <c r="E226" s="15">
        <f>IF($D226="","",IFERROR(INDEX(rngCadetPIDs,MATCH($D226,rngCadetNames,0)),"?"))</f>
        <v/>
      </c>
      <c r="F226" s="14" t="n"/>
      <c r="G226" s="14" t="n"/>
      <c r="H226" s="14" t="n"/>
      <c r="I226" s="14" t="n"/>
      <c r="J226" s="14" t="n"/>
      <c r="K226" s="14" t="n"/>
      <c r="L226" s="15">
        <f>IF($D226="","",IF(AND($F226="Negative",OR($G226="Critical",$G226="Major")),"Yes","No"))</f>
        <v/>
      </c>
      <c r="M226" s="14" t="n"/>
      <c r="N226" s="14" t="n"/>
    </row>
    <row r="227">
      <c r="B227" s="15">
        <f>IF($D227="","","I"&amp;TEXT(ROW()-5,"000"))</f>
        <v/>
      </c>
      <c r="C227" s="16" t="n"/>
      <c r="D227" s="14" t="n"/>
      <c r="E227" s="15">
        <f>IF($D227="","",IFERROR(INDEX(rngCadetPIDs,MATCH($D227,rngCadetNames,0)),"?"))</f>
        <v/>
      </c>
      <c r="F227" s="14" t="n"/>
      <c r="G227" s="14" t="n"/>
      <c r="H227" s="14" t="n"/>
      <c r="I227" s="14" t="n"/>
      <c r="J227" s="14" t="n"/>
      <c r="K227" s="14" t="n"/>
      <c r="L227" s="15">
        <f>IF($D227="","",IF(AND($F227="Negative",OR($G227="Critical",$G227="Major")),"Yes","No"))</f>
        <v/>
      </c>
      <c r="M227" s="14" t="n"/>
      <c r="N227" s="14" t="n"/>
    </row>
    <row r="228">
      <c r="B228" s="15">
        <f>IF($D228="","","I"&amp;TEXT(ROW()-5,"000"))</f>
        <v/>
      </c>
      <c r="C228" s="16" t="n"/>
      <c r="D228" s="14" t="n"/>
      <c r="E228" s="15">
        <f>IF($D228="","",IFERROR(INDEX(rngCadetPIDs,MATCH($D228,rngCadetNames,0)),"?"))</f>
        <v/>
      </c>
      <c r="F228" s="14" t="n"/>
      <c r="G228" s="14" t="n"/>
      <c r="H228" s="14" t="n"/>
      <c r="I228" s="14" t="n"/>
      <c r="J228" s="14" t="n"/>
      <c r="K228" s="14" t="n"/>
      <c r="L228" s="15">
        <f>IF($D228="","",IF(AND($F228="Negative",OR($G228="Critical",$G228="Major")),"Yes","No"))</f>
        <v/>
      </c>
      <c r="M228" s="14" t="n"/>
      <c r="N228" s="14" t="n"/>
    </row>
    <row r="229">
      <c r="B229" s="15">
        <f>IF($D229="","","I"&amp;TEXT(ROW()-5,"000"))</f>
        <v/>
      </c>
      <c r="C229" s="16" t="n"/>
      <c r="D229" s="14" t="n"/>
      <c r="E229" s="15">
        <f>IF($D229="","",IFERROR(INDEX(rngCadetPIDs,MATCH($D229,rngCadetNames,0)),"?"))</f>
        <v/>
      </c>
      <c r="F229" s="14" t="n"/>
      <c r="G229" s="14" t="n"/>
      <c r="H229" s="14" t="n"/>
      <c r="I229" s="14" t="n"/>
      <c r="J229" s="14" t="n"/>
      <c r="K229" s="14" t="n"/>
      <c r="L229" s="15">
        <f>IF($D229="","",IF(AND($F229="Negative",OR($G229="Critical",$G229="Major")),"Yes","No"))</f>
        <v/>
      </c>
      <c r="M229" s="14" t="n"/>
      <c r="N229" s="14" t="n"/>
    </row>
    <row r="230">
      <c r="B230" s="15">
        <f>IF($D230="","","I"&amp;TEXT(ROW()-5,"000"))</f>
        <v/>
      </c>
      <c r="C230" s="16" t="n"/>
      <c r="D230" s="14" t="n"/>
      <c r="E230" s="15">
        <f>IF($D230="","",IFERROR(INDEX(rngCadetPIDs,MATCH($D230,rngCadetNames,0)),"?"))</f>
        <v/>
      </c>
      <c r="F230" s="14" t="n"/>
      <c r="G230" s="14" t="n"/>
      <c r="H230" s="14" t="n"/>
      <c r="I230" s="14" t="n"/>
      <c r="J230" s="14" t="n"/>
      <c r="K230" s="14" t="n"/>
      <c r="L230" s="15">
        <f>IF($D230="","",IF(AND($F230="Negative",OR($G230="Critical",$G230="Major")),"Yes","No"))</f>
        <v/>
      </c>
      <c r="M230" s="14" t="n"/>
      <c r="N230" s="14" t="n"/>
    </row>
    <row r="231">
      <c r="B231" s="15">
        <f>IF($D231="","","I"&amp;TEXT(ROW()-5,"000"))</f>
        <v/>
      </c>
      <c r="C231" s="16" t="n"/>
      <c r="D231" s="14" t="n"/>
      <c r="E231" s="15">
        <f>IF($D231="","",IFERROR(INDEX(rngCadetPIDs,MATCH($D231,rngCadetNames,0)),"?"))</f>
        <v/>
      </c>
      <c r="F231" s="14" t="n"/>
      <c r="G231" s="14" t="n"/>
      <c r="H231" s="14" t="n"/>
      <c r="I231" s="14" t="n"/>
      <c r="J231" s="14" t="n"/>
      <c r="K231" s="14" t="n"/>
      <c r="L231" s="15">
        <f>IF($D231="","",IF(AND($F231="Negative",OR($G231="Critical",$G231="Major")),"Yes","No"))</f>
        <v/>
      </c>
      <c r="M231" s="14" t="n"/>
      <c r="N231" s="14" t="n"/>
    </row>
    <row r="232">
      <c r="B232" s="15">
        <f>IF($D232="","","I"&amp;TEXT(ROW()-5,"000"))</f>
        <v/>
      </c>
      <c r="C232" s="16" t="n"/>
      <c r="D232" s="14" t="n"/>
      <c r="E232" s="15">
        <f>IF($D232="","",IFERROR(INDEX(rngCadetPIDs,MATCH($D232,rngCadetNames,0)),"?"))</f>
        <v/>
      </c>
      <c r="F232" s="14" t="n"/>
      <c r="G232" s="14" t="n"/>
      <c r="H232" s="14" t="n"/>
      <c r="I232" s="14" t="n"/>
      <c r="J232" s="14" t="n"/>
      <c r="K232" s="14" t="n"/>
      <c r="L232" s="15">
        <f>IF($D232="","",IF(AND($F232="Negative",OR($G232="Critical",$G232="Major")),"Yes","No"))</f>
        <v/>
      </c>
      <c r="M232" s="14" t="n"/>
      <c r="N232" s="14" t="n"/>
    </row>
    <row r="233">
      <c r="B233" s="15">
        <f>IF($D233="","","I"&amp;TEXT(ROW()-5,"000"))</f>
        <v/>
      </c>
      <c r="C233" s="16" t="n"/>
      <c r="D233" s="14" t="n"/>
      <c r="E233" s="15">
        <f>IF($D233="","",IFERROR(INDEX(rngCadetPIDs,MATCH($D233,rngCadetNames,0)),"?"))</f>
        <v/>
      </c>
      <c r="F233" s="14" t="n"/>
      <c r="G233" s="14" t="n"/>
      <c r="H233" s="14" t="n"/>
      <c r="I233" s="14" t="n"/>
      <c r="J233" s="14" t="n"/>
      <c r="K233" s="14" t="n"/>
      <c r="L233" s="15">
        <f>IF($D233="","",IF(AND($F233="Negative",OR($G233="Critical",$G233="Major")),"Yes","No"))</f>
        <v/>
      </c>
      <c r="M233" s="14" t="n"/>
      <c r="N233" s="14" t="n"/>
    </row>
    <row r="234">
      <c r="B234" s="15">
        <f>IF($D234="","","I"&amp;TEXT(ROW()-5,"000"))</f>
        <v/>
      </c>
      <c r="C234" s="16" t="n"/>
      <c r="D234" s="14" t="n"/>
      <c r="E234" s="15">
        <f>IF($D234="","",IFERROR(INDEX(rngCadetPIDs,MATCH($D234,rngCadetNames,0)),"?"))</f>
        <v/>
      </c>
      <c r="F234" s="14" t="n"/>
      <c r="G234" s="14" t="n"/>
      <c r="H234" s="14" t="n"/>
      <c r="I234" s="14" t="n"/>
      <c r="J234" s="14" t="n"/>
      <c r="K234" s="14" t="n"/>
      <c r="L234" s="15">
        <f>IF($D234="","",IF(AND($F234="Negative",OR($G234="Critical",$G234="Major")),"Yes","No"))</f>
        <v/>
      </c>
      <c r="M234" s="14" t="n"/>
      <c r="N234" s="14" t="n"/>
    </row>
    <row r="235">
      <c r="B235" s="15">
        <f>IF($D235="","","I"&amp;TEXT(ROW()-5,"000"))</f>
        <v/>
      </c>
      <c r="C235" s="16" t="n"/>
      <c r="D235" s="14" t="n"/>
      <c r="E235" s="15">
        <f>IF($D235="","",IFERROR(INDEX(rngCadetPIDs,MATCH($D235,rngCadetNames,0)),"?"))</f>
        <v/>
      </c>
      <c r="F235" s="14" t="n"/>
      <c r="G235" s="14" t="n"/>
      <c r="H235" s="14" t="n"/>
      <c r="I235" s="14" t="n"/>
      <c r="J235" s="14" t="n"/>
      <c r="K235" s="14" t="n"/>
      <c r="L235" s="15">
        <f>IF($D235="","",IF(AND($F235="Negative",OR($G235="Critical",$G235="Major")),"Yes","No"))</f>
        <v/>
      </c>
      <c r="M235" s="14" t="n"/>
      <c r="N235" s="14" t="n"/>
    </row>
    <row r="236">
      <c r="B236" s="15">
        <f>IF($D236="","","I"&amp;TEXT(ROW()-5,"000"))</f>
        <v/>
      </c>
      <c r="C236" s="16" t="n"/>
      <c r="D236" s="14" t="n"/>
      <c r="E236" s="15">
        <f>IF($D236="","",IFERROR(INDEX(rngCadetPIDs,MATCH($D236,rngCadetNames,0)),"?"))</f>
        <v/>
      </c>
      <c r="F236" s="14" t="n"/>
      <c r="G236" s="14" t="n"/>
      <c r="H236" s="14" t="n"/>
      <c r="I236" s="14" t="n"/>
      <c r="J236" s="14" t="n"/>
      <c r="K236" s="14" t="n"/>
      <c r="L236" s="15">
        <f>IF($D236="","",IF(AND($F236="Negative",OR($G236="Critical",$G236="Major")),"Yes","No"))</f>
        <v/>
      </c>
      <c r="M236" s="14" t="n"/>
      <c r="N236" s="14" t="n"/>
    </row>
    <row r="237">
      <c r="B237" s="15">
        <f>IF($D237="","","I"&amp;TEXT(ROW()-5,"000"))</f>
        <v/>
      </c>
      <c r="C237" s="16" t="n"/>
      <c r="D237" s="14" t="n"/>
      <c r="E237" s="15">
        <f>IF($D237="","",IFERROR(INDEX(rngCadetPIDs,MATCH($D237,rngCadetNames,0)),"?"))</f>
        <v/>
      </c>
      <c r="F237" s="14" t="n"/>
      <c r="G237" s="14" t="n"/>
      <c r="H237" s="14" t="n"/>
      <c r="I237" s="14" t="n"/>
      <c r="J237" s="14" t="n"/>
      <c r="K237" s="14" t="n"/>
      <c r="L237" s="15">
        <f>IF($D237="","",IF(AND($F237="Negative",OR($G237="Critical",$G237="Major")),"Yes","No"))</f>
        <v/>
      </c>
      <c r="M237" s="14" t="n"/>
      <c r="N237" s="14" t="n"/>
    </row>
    <row r="238">
      <c r="B238" s="15">
        <f>IF($D238="","","I"&amp;TEXT(ROW()-5,"000"))</f>
        <v/>
      </c>
      <c r="C238" s="16" t="n"/>
      <c r="D238" s="14" t="n"/>
      <c r="E238" s="15">
        <f>IF($D238="","",IFERROR(INDEX(rngCadetPIDs,MATCH($D238,rngCadetNames,0)),"?"))</f>
        <v/>
      </c>
      <c r="F238" s="14" t="n"/>
      <c r="G238" s="14" t="n"/>
      <c r="H238" s="14" t="n"/>
      <c r="I238" s="14" t="n"/>
      <c r="J238" s="14" t="n"/>
      <c r="K238" s="14" t="n"/>
      <c r="L238" s="15">
        <f>IF($D238="","",IF(AND($F238="Negative",OR($G238="Critical",$G238="Major")),"Yes","No"))</f>
        <v/>
      </c>
      <c r="M238" s="14" t="n"/>
      <c r="N238" s="14" t="n"/>
    </row>
    <row r="239">
      <c r="B239" s="15">
        <f>IF($D239="","","I"&amp;TEXT(ROW()-5,"000"))</f>
        <v/>
      </c>
      <c r="C239" s="16" t="n"/>
      <c r="D239" s="14" t="n"/>
      <c r="E239" s="15">
        <f>IF($D239="","",IFERROR(INDEX(rngCadetPIDs,MATCH($D239,rngCadetNames,0)),"?"))</f>
        <v/>
      </c>
      <c r="F239" s="14" t="n"/>
      <c r="G239" s="14" t="n"/>
      <c r="H239" s="14" t="n"/>
      <c r="I239" s="14" t="n"/>
      <c r="J239" s="14" t="n"/>
      <c r="K239" s="14" t="n"/>
      <c r="L239" s="15">
        <f>IF($D239="","",IF(AND($F239="Negative",OR($G239="Critical",$G239="Major")),"Yes","No"))</f>
        <v/>
      </c>
      <c r="M239" s="14" t="n"/>
      <c r="N239" s="14" t="n"/>
    </row>
    <row r="240">
      <c r="B240" s="15">
        <f>IF($D240="","","I"&amp;TEXT(ROW()-5,"000"))</f>
        <v/>
      </c>
      <c r="C240" s="16" t="n"/>
      <c r="D240" s="14" t="n"/>
      <c r="E240" s="15">
        <f>IF($D240="","",IFERROR(INDEX(rngCadetPIDs,MATCH($D240,rngCadetNames,0)),"?"))</f>
        <v/>
      </c>
      <c r="F240" s="14" t="n"/>
      <c r="G240" s="14" t="n"/>
      <c r="H240" s="14" t="n"/>
      <c r="I240" s="14" t="n"/>
      <c r="J240" s="14" t="n"/>
      <c r="K240" s="14" t="n"/>
      <c r="L240" s="15">
        <f>IF($D240="","",IF(AND($F240="Negative",OR($G240="Critical",$G240="Major")),"Yes","No"))</f>
        <v/>
      </c>
      <c r="M240" s="14" t="n"/>
      <c r="N240" s="14" t="n"/>
    </row>
    <row r="241">
      <c r="B241" s="15">
        <f>IF($D241="","","I"&amp;TEXT(ROW()-5,"000"))</f>
        <v/>
      </c>
      <c r="C241" s="16" t="n"/>
      <c r="D241" s="14" t="n"/>
      <c r="E241" s="15">
        <f>IF($D241="","",IFERROR(INDEX(rngCadetPIDs,MATCH($D241,rngCadetNames,0)),"?"))</f>
        <v/>
      </c>
      <c r="F241" s="14" t="n"/>
      <c r="G241" s="14" t="n"/>
      <c r="H241" s="14" t="n"/>
      <c r="I241" s="14" t="n"/>
      <c r="J241" s="14" t="n"/>
      <c r="K241" s="14" t="n"/>
      <c r="L241" s="15">
        <f>IF($D241="","",IF(AND($F241="Negative",OR($G241="Critical",$G241="Major")),"Yes","No"))</f>
        <v/>
      </c>
      <c r="M241" s="14" t="n"/>
      <c r="N241" s="14" t="n"/>
    </row>
    <row r="242">
      <c r="B242" s="15">
        <f>IF($D242="","","I"&amp;TEXT(ROW()-5,"000"))</f>
        <v/>
      </c>
      <c r="C242" s="16" t="n"/>
      <c r="D242" s="14" t="n"/>
      <c r="E242" s="15">
        <f>IF($D242="","",IFERROR(INDEX(rngCadetPIDs,MATCH($D242,rngCadetNames,0)),"?"))</f>
        <v/>
      </c>
      <c r="F242" s="14" t="n"/>
      <c r="G242" s="14" t="n"/>
      <c r="H242" s="14" t="n"/>
      <c r="I242" s="14" t="n"/>
      <c r="J242" s="14" t="n"/>
      <c r="K242" s="14" t="n"/>
      <c r="L242" s="15">
        <f>IF($D242="","",IF(AND($F242="Negative",OR($G242="Critical",$G242="Major")),"Yes","No"))</f>
        <v/>
      </c>
      <c r="M242" s="14" t="n"/>
      <c r="N242" s="14" t="n"/>
    </row>
    <row r="243">
      <c r="B243" s="15">
        <f>IF($D243="","","I"&amp;TEXT(ROW()-5,"000"))</f>
        <v/>
      </c>
      <c r="C243" s="16" t="n"/>
      <c r="D243" s="14" t="n"/>
      <c r="E243" s="15">
        <f>IF($D243="","",IFERROR(INDEX(rngCadetPIDs,MATCH($D243,rngCadetNames,0)),"?"))</f>
        <v/>
      </c>
      <c r="F243" s="14" t="n"/>
      <c r="G243" s="14" t="n"/>
      <c r="H243" s="14" t="n"/>
      <c r="I243" s="14" t="n"/>
      <c r="J243" s="14" t="n"/>
      <c r="K243" s="14" t="n"/>
      <c r="L243" s="15">
        <f>IF($D243="","",IF(AND($F243="Negative",OR($G243="Critical",$G243="Major")),"Yes","No"))</f>
        <v/>
      </c>
      <c r="M243" s="14" t="n"/>
      <c r="N243" s="14" t="n"/>
    </row>
    <row r="244">
      <c r="B244" s="15">
        <f>IF($D244="","","I"&amp;TEXT(ROW()-5,"000"))</f>
        <v/>
      </c>
      <c r="C244" s="16" t="n"/>
      <c r="D244" s="14" t="n"/>
      <c r="E244" s="15">
        <f>IF($D244="","",IFERROR(INDEX(rngCadetPIDs,MATCH($D244,rngCadetNames,0)),"?"))</f>
        <v/>
      </c>
      <c r="F244" s="14" t="n"/>
      <c r="G244" s="14" t="n"/>
      <c r="H244" s="14" t="n"/>
      <c r="I244" s="14" t="n"/>
      <c r="J244" s="14" t="n"/>
      <c r="K244" s="14" t="n"/>
      <c r="L244" s="15">
        <f>IF($D244="","",IF(AND($F244="Negative",OR($G244="Critical",$G244="Major")),"Yes","No"))</f>
        <v/>
      </c>
      <c r="M244" s="14" t="n"/>
      <c r="N244" s="14" t="n"/>
    </row>
    <row r="245">
      <c r="B245" s="15">
        <f>IF($D245="","","I"&amp;TEXT(ROW()-5,"000"))</f>
        <v/>
      </c>
      <c r="C245" s="16" t="n"/>
      <c r="D245" s="14" t="n"/>
      <c r="E245" s="15">
        <f>IF($D245="","",IFERROR(INDEX(rngCadetPIDs,MATCH($D245,rngCadetNames,0)),"?"))</f>
        <v/>
      </c>
      <c r="F245" s="14" t="n"/>
      <c r="G245" s="14" t="n"/>
      <c r="H245" s="14" t="n"/>
      <c r="I245" s="14" t="n"/>
      <c r="J245" s="14" t="n"/>
      <c r="K245" s="14" t="n"/>
      <c r="L245" s="15">
        <f>IF($D245="","",IF(AND($F245="Negative",OR($G245="Critical",$G245="Major")),"Yes","No"))</f>
        <v/>
      </c>
      <c r="M245" s="14" t="n"/>
      <c r="N245" s="14" t="n"/>
    </row>
    <row r="246">
      <c r="B246" s="15">
        <f>IF($D246="","","I"&amp;TEXT(ROW()-5,"000"))</f>
        <v/>
      </c>
      <c r="C246" s="16" t="n"/>
      <c r="D246" s="14" t="n"/>
      <c r="E246" s="15">
        <f>IF($D246="","",IFERROR(INDEX(rngCadetPIDs,MATCH($D246,rngCadetNames,0)),"?"))</f>
        <v/>
      </c>
      <c r="F246" s="14" t="n"/>
      <c r="G246" s="14" t="n"/>
      <c r="H246" s="14" t="n"/>
      <c r="I246" s="14" t="n"/>
      <c r="J246" s="14" t="n"/>
      <c r="K246" s="14" t="n"/>
      <c r="L246" s="15">
        <f>IF($D246="","",IF(AND($F246="Negative",OR($G246="Critical",$G246="Major")),"Yes","No"))</f>
        <v/>
      </c>
      <c r="M246" s="14" t="n"/>
      <c r="N246" s="14" t="n"/>
    </row>
    <row r="247">
      <c r="B247" s="15">
        <f>IF($D247="","","I"&amp;TEXT(ROW()-5,"000"))</f>
        <v/>
      </c>
      <c r="C247" s="16" t="n"/>
      <c r="D247" s="14" t="n"/>
      <c r="E247" s="15">
        <f>IF($D247="","",IFERROR(INDEX(rngCadetPIDs,MATCH($D247,rngCadetNames,0)),"?"))</f>
        <v/>
      </c>
      <c r="F247" s="14" t="n"/>
      <c r="G247" s="14" t="n"/>
      <c r="H247" s="14" t="n"/>
      <c r="I247" s="14" t="n"/>
      <c r="J247" s="14" t="n"/>
      <c r="K247" s="14" t="n"/>
      <c r="L247" s="15">
        <f>IF($D247="","",IF(AND($F247="Negative",OR($G247="Critical",$G247="Major")),"Yes","No"))</f>
        <v/>
      </c>
      <c r="M247" s="14" t="n"/>
      <c r="N247" s="14" t="n"/>
    </row>
    <row r="248">
      <c r="B248" s="15">
        <f>IF($D248="","","I"&amp;TEXT(ROW()-5,"000"))</f>
        <v/>
      </c>
      <c r="C248" s="16" t="n"/>
      <c r="D248" s="14" t="n"/>
      <c r="E248" s="15">
        <f>IF($D248="","",IFERROR(INDEX(rngCadetPIDs,MATCH($D248,rngCadetNames,0)),"?"))</f>
        <v/>
      </c>
      <c r="F248" s="14" t="n"/>
      <c r="G248" s="14" t="n"/>
      <c r="H248" s="14" t="n"/>
      <c r="I248" s="14" t="n"/>
      <c r="J248" s="14" t="n"/>
      <c r="K248" s="14" t="n"/>
      <c r="L248" s="15">
        <f>IF($D248="","",IF(AND($F248="Negative",OR($G248="Critical",$G248="Major")),"Yes","No"))</f>
        <v/>
      </c>
      <c r="M248" s="14" t="n"/>
      <c r="N248" s="14" t="n"/>
    </row>
    <row r="249">
      <c r="B249" s="15">
        <f>IF($D249="","","I"&amp;TEXT(ROW()-5,"000"))</f>
        <v/>
      </c>
      <c r="C249" s="16" t="n"/>
      <c r="D249" s="14" t="n"/>
      <c r="E249" s="15">
        <f>IF($D249="","",IFERROR(INDEX(rngCadetPIDs,MATCH($D249,rngCadetNames,0)),"?"))</f>
        <v/>
      </c>
      <c r="F249" s="14" t="n"/>
      <c r="G249" s="14" t="n"/>
      <c r="H249" s="14" t="n"/>
      <c r="I249" s="14" t="n"/>
      <c r="J249" s="14" t="n"/>
      <c r="K249" s="14" t="n"/>
      <c r="L249" s="15">
        <f>IF($D249="","",IF(AND($F249="Negative",OR($G249="Critical",$G249="Major")),"Yes","No"))</f>
        <v/>
      </c>
      <c r="M249" s="14" t="n"/>
      <c r="N249" s="14" t="n"/>
    </row>
    <row r="250">
      <c r="B250" s="15">
        <f>IF($D250="","","I"&amp;TEXT(ROW()-5,"000"))</f>
        <v/>
      </c>
      <c r="C250" s="16" t="n"/>
      <c r="D250" s="14" t="n"/>
      <c r="E250" s="15">
        <f>IF($D250="","",IFERROR(INDEX(rngCadetPIDs,MATCH($D250,rngCadetNames,0)),"?"))</f>
        <v/>
      </c>
      <c r="F250" s="14" t="n"/>
      <c r="G250" s="14" t="n"/>
      <c r="H250" s="14" t="n"/>
      <c r="I250" s="14" t="n"/>
      <c r="J250" s="14" t="n"/>
      <c r="K250" s="14" t="n"/>
      <c r="L250" s="15">
        <f>IF($D250="","",IF(AND($F250="Negative",OR($G250="Critical",$G250="Major")),"Yes","No"))</f>
        <v/>
      </c>
      <c r="M250" s="14" t="n"/>
      <c r="N250" s="14" t="n"/>
    </row>
    <row r="251">
      <c r="B251" s="15">
        <f>IF($D251="","","I"&amp;TEXT(ROW()-5,"000"))</f>
        <v/>
      </c>
      <c r="C251" s="16" t="n"/>
      <c r="D251" s="14" t="n"/>
      <c r="E251" s="15">
        <f>IF($D251="","",IFERROR(INDEX(rngCadetPIDs,MATCH($D251,rngCadetNames,0)),"?"))</f>
        <v/>
      </c>
      <c r="F251" s="14" t="n"/>
      <c r="G251" s="14" t="n"/>
      <c r="H251" s="14" t="n"/>
      <c r="I251" s="14" t="n"/>
      <c r="J251" s="14" t="n"/>
      <c r="K251" s="14" t="n"/>
      <c r="L251" s="15">
        <f>IF($D251="","",IF(AND($F251="Negative",OR($G251="Critical",$G251="Major")),"Yes","No"))</f>
        <v/>
      </c>
      <c r="M251" s="14" t="n"/>
      <c r="N251" s="14" t="n"/>
    </row>
    <row r="252">
      <c r="B252" s="15">
        <f>IF($D252="","","I"&amp;TEXT(ROW()-5,"000"))</f>
        <v/>
      </c>
      <c r="C252" s="16" t="n"/>
      <c r="D252" s="14" t="n"/>
      <c r="E252" s="15">
        <f>IF($D252="","",IFERROR(INDEX(rngCadetPIDs,MATCH($D252,rngCadetNames,0)),"?"))</f>
        <v/>
      </c>
      <c r="F252" s="14" t="n"/>
      <c r="G252" s="14" t="n"/>
      <c r="H252" s="14" t="n"/>
      <c r="I252" s="14" t="n"/>
      <c r="J252" s="14" t="n"/>
      <c r="K252" s="14" t="n"/>
      <c r="L252" s="15">
        <f>IF($D252="","",IF(AND($F252="Negative",OR($G252="Critical",$G252="Major")),"Yes","No"))</f>
        <v/>
      </c>
      <c r="M252" s="14" t="n"/>
      <c r="N252" s="14" t="n"/>
    </row>
    <row r="253">
      <c r="B253" s="15">
        <f>IF($D253="","","I"&amp;TEXT(ROW()-5,"000"))</f>
        <v/>
      </c>
      <c r="C253" s="16" t="n"/>
      <c r="D253" s="14" t="n"/>
      <c r="E253" s="15">
        <f>IF($D253="","",IFERROR(INDEX(rngCadetPIDs,MATCH($D253,rngCadetNames,0)),"?"))</f>
        <v/>
      </c>
      <c r="F253" s="14" t="n"/>
      <c r="G253" s="14" t="n"/>
      <c r="H253" s="14" t="n"/>
      <c r="I253" s="14" t="n"/>
      <c r="J253" s="14" t="n"/>
      <c r="K253" s="14" t="n"/>
      <c r="L253" s="15">
        <f>IF($D253="","",IF(AND($F253="Negative",OR($G253="Critical",$G253="Major")),"Yes","No"))</f>
        <v/>
      </c>
      <c r="M253" s="14" t="n"/>
      <c r="N253" s="14" t="n"/>
    </row>
    <row r="254">
      <c r="B254" s="15">
        <f>IF($D254="","","I"&amp;TEXT(ROW()-5,"000"))</f>
        <v/>
      </c>
      <c r="C254" s="16" t="n"/>
      <c r="D254" s="14" t="n"/>
      <c r="E254" s="15">
        <f>IF($D254="","",IFERROR(INDEX(rngCadetPIDs,MATCH($D254,rngCadetNames,0)),"?"))</f>
        <v/>
      </c>
      <c r="F254" s="14" t="n"/>
      <c r="G254" s="14" t="n"/>
      <c r="H254" s="14" t="n"/>
      <c r="I254" s="14" t="n"/>
      <c r="J254" s="14" t="n"/>
      <c r="K254" s="14" t="n"/>
      <c r="L254" s="15">
        <f>IF($D254="","",IF(AND($F254="Negative",OR($G254="Critical",$G254="Major")),"Yes","No"))</f>
        <v/>
      </c>
      <c r="M254" s="14" t="n"/>
      <c r="N254" s="14" t="n"/>
    </row>
    <row r="255">
      <c r="B255" s="15">
        <f>IF($D255="","","I"&amp;TEXT(ROW()-5,"000"))</f>
        <v/>
      </c>
      <c r="C255" s="16" t="n"/>
      <c r="D255" s="14" t="n"/>
      <c r="E255" s="15">
        <f>IF($D255="","",IFERROR(INDEX(rngCadetPIDs,MATCH($D255,rngCadetNames,0)),"?"))</f>
        <v/>
      </c>
      <c r="F255" s="14" t="n"/>
      <c r="G255" s="14" t="n"/>
      <c r="H255" s="14" t="n"/>
      <c r="I255" s="14" t="n"/>
      <c r="J255" s="14" t="n"/>
      <c r="K255" s="14" t="n"/>
      <c r="L255" s="15">
        <f>IF($D255="","",IF(AND($F255="Negative",OR($G255="Critical",$G255="Major")),"Yes","No"))</f>
        <v/>
      </c>
      <c r="M255" s="14" t="n"/>
      <c r="N255" s="14" t="n"/>
    </row>
    <row r="256">
      <c r="B256" s="15">
        <f>IF($D256="","","I"&amp;TEXT(ROW()-5,"000"))</f>
        <v/>
      </c>
      <c r="C256" s="16" t="n"/>
      <c r="D256" s="14" t="n"/>
      <c r="E256" s="15">
        <f>IF($D256="","",IFERROR(INDEX(rngCadetPIDs,MATCH($D256,rngCadetNames,0)),"?"))</f>
        <v/>
      </c>
      <c r="F256" s="14" t="n"/>
      <c r="G256" s="14" t="n"/>
      <c r="H256" s="14" t="n"/>
      <c r="I256" s="14" t="n"/>
      <c r="J256" s="14" t="n"/>
      <c r="K256" s="14" t="n"/>
      <c r="L256" s="15">
        <f>IF($D256="","",IF(AND($F256="Negative",OR($G256="Critical",$G256="Major")),"Yes","No"))</f>
        <v/>
      </c>
      <c r="M256" s="14" t="n"/>
      <c r="N256" s="14" t="n"/>
    </row>
    <row r="257">
      <c r="B257" s="15">
        <f>IF($D257="","","I"&amp;TEXT(ROW()-5,"000"))</f>
        <v/>
      </c>
      <c r="C257" s="16" t="n"/>
      <c r="D257" s="14" t="n"/>
      <c r="E257" s="15">
        <f>IF($D257="","",IFERROR(INDEX(rngCadetPIDs,MATCH($D257,rngCadetNames,0)),"?"))</f>
        <v/>
      </c>
      <c r="F257" s="14" t="n"/>
      <c r="G257" s="14" t="n"/>
      <c r="H257" s="14" t="n"/>
      <c r="I257" s="14" t="n"/>
      <c r="J257" s="14" t="n"/>
      <c r="K257" s="14" t="n"/>
      <c r="L257" s="15">
        <f>IF($D257="","",IF(AND($F257="Negative",OR($G257="Critical",$G257="Major")),"Yes","No"))</f>
        <v/>
      </c>
      <c r="M257" s="14" t="n"/>
      <c r="N257" s="14" t="n"/>
    </row>
    <row r="258">
      <c r="B258" s="15">
        <f>IF($D258="","","I"&amp;TEXT(ROW()-5,"000"))</f>
        <v/>
      </c>
      <c r="C258" s="16" t="n"/>
      <c r="D258" s="14" t="n"/>
      <c r="E258" s="15">
        <f>IF($D258="","",IFERROR(INDEX(rngCadetPIDs,MATCH($D258,rngCadetNames,0)),"?"))</f>
        <v/>
      </c>
      <c r="F258" s="14" t="n"/>
      <c r="G258" s="14" t="n"/>
      <c r="H258" s="14" t="n"/>
      <c r="I258" s="14" t="n"/>
      <c r="J258" s="14" t="n"/>
      <c r="K258" s="14" t="n"/>
      <c r="L258" s="15">
        <f>IF($D258="","",IF(AND($F258="Negative",OR($G258="Critical",$G258="Major")),"Yes","No"))</f>
        <v/>
      </c>
      <c r="M258" s="14" t="n"/>
      <c r="N258" s="14" t="n"/>
    </row>
    <row r="259">
      <c r="B259" s="15">
        <f>IF($D259="","","I"&amp;TEXT(ROW()-5,"000"))</f>
        <v/>
      </c>
      <c r="C259" s="16" t="n"/>
      <c r="D259" s="14" t="n"/>
      <c r="E259" s="15">
        <f>IF($D259="","",IFERROR(INDEX(rngCadetPIDs,MATCH($D259,rngCadetNames,0)),"?"))</f>
        <v/>
      </c>
      <c r="F259" s="14" t="n"/>
      <c r="G259" s="14" t="n"/>
      <c r="H259" s="14" t="n"/>
      <c r="I259" s="14" t="n"/>
      <c r="J259" s="14" t="n"/>
      <c r="K259" s="14" t="n"/>
      <c r="L259" s="15">
        <f>IF($D259="","",IF(AND($F259="Negative",OR($G259="Critical",$G259="Major")),"Yes","No"))</f>
        <v/>
      </c>
      <c r="M259" s="14" t="n"/>
      <c r="N259" s="14" t="n"/>
    </row>
    <row r="260">
      <c r="B260" s="15">
        <f>IF($D260="","","I"&amp;TEXT(ROW()-5,"000"))</f>
        <v/>
      </c>
      <c r="C260" s="16" t="n"/>
      <c r="D260" s="14" t="n"/>
      <c r="E260" s="15">
        <f>IF($D260="","",IFERROR(INDEX(rngCadetPIDs,MATCH($D260,rngCadetNames,0)),"?"))</f>
        <v/>
      </c>
      <c r="F260" s="14" t="n"/>
      <c r="G260" s="14" t="n"/>
      <c r="H260" s="14" t="n"/>
      <c r="I260" s="14" t="n"/>
      <c r="J260" s="14" t="n"/>
      <c r="K260" s="14" t="n"/>
      <c r="L260" s="15">
        <f>IF($D260="","",IF(AND($F260="Negative",OR($G260="Critical",$G260="Major")),"Yes","No"))</f>
        <v/>
      </c>
      <c r="M260" s="14" t="n"/>
      <c r="N260" s="14" t="n"/>
    </row>
    <row r="261">
      <c r="B261" s="15">
        <f>IF($D261="","","I"&amp;TEXT(ROW()-5,"000"))</f>
        <v/>
      </c>
      <c r="C261" s="16" t="n"/>
      <c r="D261" s="14" t="n"/>
      <c r="E261" s="15">
        <f>IF($D261="","",IFERROR(INDEX(rngCadetPIDs,MATCH($D261,rngCadetNames,0)),"?"))</f>
        <v/>
      </c>
      <c r="F261" s="14" t="n"/>
      <c r="G261" s="14" t="n"/>
      <c r="H261" s="14" t="n"/>
      <c r="I261" s="14" t="n"/>
      <c r="J261" s="14" t="n"/>
      <c r="K261" s="14" t="n"/>
      <c r="L261" s="15">
        <f>IF($D261="","",IF(AND($F261="Negative",OR($G261="Critical",$G261="Major")),"Yes","No"))</f>
        <v/>
      </c>
      <c r="M261" s="14" t="n"/>
      <c r="N261" s="14" t="n"/>
    </row>
    <row r="262">
      <c r="B262" s="15">
        <f>IF($D262="","","I"&amp;TEXT(ROW()-5,"000"))</f>
        <v/>
      </c>
      <c r="C262" s="16" t="n"/>
      <c r="D262" s="14" t="n"/>
      <c r="E262" s="15">
        <f>IF($D262="","",IFERROR(INDEX(rngCadetPIDs,MATCH($D262,rngCadetNames,0)),"?"))</f>
        <v/>
      </c>
      <c r="F262" s="14" t="n"/>
      <c r="G262" s="14" t="n"/>
      <c r="H262" s="14" t="n"/>
      <c r="I262" s="14" t="n"/>
      <c r="J262" s="14" t="n"/>
      <c r="K262" s="14" t="n"/>
      <c r="L262" s="15">
        <f>IF($D262="","",IF(AND($F262="Negative",OR($G262="Critical",$G262="Major")),"Yes","No"))</f>
        <v/>
      </c>
      <c r="M262" s="14" t="n"/>
      <c r="N262" s="14" t="n"/>
    </row>
    <row r="263">
      <c r="B263" s="15">
        <f>IF($D263="","","I"&amp;TEXT(ROW()-5,"000"))</f>
        <v/>
      </c>
      <c r="C263" s="16" t="n"/>
      <c r="D263" s="14" t="n"/>
      <c r="E263" s="15">
        <f>IF($D263="","",IFERROR(INDEX(rngCadetPIDs,MATCH($D263,rngCadetNames,0)),"?"))</f>
        <v/>
      </c>
      <c r="F263" s="14" t="n"/>
      <c r="G263" s="14" t="n"/>
      <c r="H263" s="14" t="n"/>
      <c r="I263" s="14" t="n"/>
      <c r="J263" s="14" t="n"/>
      <c r="K263" s="14" t="n"/>
      <c r="L263" s="15">
        <f>IF($D263="","",IF(AND($F263="Negative",OR($G263="Critical",$G263="Major")),"Yes","No"))</f>
        <v/>
      </c>
      <c r="M263" s="14" t="n"/>
      <c r="N263" s="14" t="n"/>
    </row>
    <row r="264">
      <c r="B264" s="15">
        <f>IF($D264="","","I"&amp;TEXT(ROW()-5,"000"))</f>
        <v/>
      </c>
      <c r="C264" s="16" t="n"/>
      <c r="D264" s="14" t="n"/>
      <c r="E264" s="15">
        <f>IF($D264="","",IFERROR(INDEX(rngCadetPIDs,MATCH($D264,rngCadetNames,0)),"?"))</f>
        <v/>
      </c>
      <c r="F264" s="14" t="n"/>
      <c r="G264" s="14" t="n"/>
      <c r="H264" s="14" t="n"/>
      <c r="I264" s="14" t="n"/>
      <c r="J264" s="14" t="n"/>
      <c r="K264" s="14" t="n"/>
      <c r="L264" s="15">
        <f>IF($D264="","",IF(AND($F264="Negative",OR($G264="Critical",$G264="Major")),"Yes","No"))</f>
        <v/>
      </c>
      <c r="M264" s="14" t="n"/>
      <c r="N264" s="14" t="n"/>
    </row>
    <row r="265">
      <c r="B265" s="15">
        <f>IF($D265="","","I"&amp;TEXT(ROW()-5,"000"))</f>
        <v/>
      </c>
      <c r="C265" s="16" t="n"/>
      <c r="D265" s="14" t="n"/>
      <c r="E265" s="15">
        <f>IF($D265="","",IFERROR(INDEX(rngCadetPIDs,MATCH($D265,rngCadetNames,0)),"?"))</f>
        <v/>
      </c>
      <c r="F265" s="14" t="n"/>
      <c r="G265" s="14" t="n"/>
      <c r="H265" s="14" t="n"/>
      <c r="I265" s="14" t="n"/>
      <c r="J265" s="14" t="n"/>
      <c r="K265" s="14" t="n"/>
      <c r="L265" s="15">
        <f>IF($D265="","",IF(AND($F265="Negative",OR($G265="Critical",$G265="Major")),"Yes","No"))</f>
        <v/>
      </c>
      <c r="M265" s="14" t="n"/>
      <c r="N265" s="14" t="n"/>
    </row>
    <row r="266">
      <c r="B266" s="15">
        <f>IF($D266="","","I"&amp;TEXT(ROW()-5,"000"))</f>
        <v/>
      </c>
      <c r="C266" s="16" t="n"/>
      <c r="D266" s="14" t="n"/>
      <c r="E266" s="15">
        <f>IF($D266="","",IFERROR(INDEX(rngCadetPIDs,MATCH($D266,rngCadetNames,0)),"?"))</f>
        <v/>
      </c>
      <c r="F266" s="14" t="n"/>
      <c r="G266" s="14" t="n"/>
      <c r="H266" s="14" t="n"/>
      <c r="I266" s="14" t="n"/>
      <c r="J266" s="14" t="n"/>
      <c r="K266" s="14" t="n"/>
      <c r="L266" s="15">
        <f>IF($D266="","",IF(AND($F266="Negative",OR($G266="Critical",$G266="Major")),"Yes","No"))</f>
        <v/>
      </c>
      <c r="M266" s="14" t="n"/>
      <c r="N266" s="14" t="n"/>
    </row>
    <row r="267">
      <c r="B267" s="15">
        <f>IF($D267="","","I"&amp;TEXT(ROW()-5,"000"))</f>
        <v/>
      </c>
      <c r="C267" s="16" t="n"/>
      <c r="D267" s="14" t="n"/>
      <c r="E267" s="15">
        <f>IF($D267="","",IFERROR(INDEX(rngCadetPIDs,MATCH($D267,rngCadetNames,0)),"?"))</f>
        <v/>
      </c>
      <c r="F267" s="14" t="n"/>
      <c r="G267" s="14" t="n"/>
      <c r="H267" s="14" t="n"/>
      <c r="I267" s="14" t="n"/>
      <c r="J267" s="14" t="n"/>
      <c r="K267" s="14" t="n"/>
      <c r="L267" s="15">
        <f>IF($D267="","",IF(AND($F267="Negative",OR($G267="Critical",$G267="Major")),"Yes","No"))</f>
        <v/>
      </c>
      <c r="M267" s="14" t="n"/>
      <c r="N267" s="14" t="n"/>
    </row>
    <row r="268">
      <c r="B268" s="15">
        <f>IF($D268="","","I"&amp;TEXT(ROW()-5,"000"))</f>
        <v/>
      </c>
      <c r="C268" s="16" t="n"/>
      <c r="D268" s="14" t="n"/>
      <c r="E268" s="15">
        <f>IF($D268="","",IFERROR(INDEX(rngCadetPIDs,MATCH($D268,rngCadetNames,0)),"?"))</f>
        <v/>
      </c>
      <c r="F268" s="14" t="n"/>
      <c r="G268" s="14" t="n"/>
      <c r="H268" s="14" t="n"/>
      <c r="I268" s="14" t="n"/>
      <c r="J268" s="14" t="n"/>
      <c r="K268" s="14" t="n"/>
      <c r="L268" s="15">
        <f>IF($D268="","",IF(AND($F268="Negative",OR($G268="Critical",$G268="Major")),"Yes","No"))</f>
        <v/>
      </c>
      <c r="M268" s="14" t="n"/>
      <c r="N268" s="14" t="n"/>
    </row>
    <row r="269">
      <c r="B269" s="15">
        <f>IF($D269="","","I"&amp;TEXT(ROW()-5,"000"))</f>
        <v/>
      </c>
      <c r="C269" s="16" t="n"/>
      <c r="D269" s="14" t="n"/>
      <c r="E269" s="15">
        <f>IF($D269="","",IFERROR(INDEX(rngCadetPIDs,MATCH($D269,rngCadetNames,0)),"?"))</f>
        <v/>
      </c>
      <c r="F269" s="14" t="n"/>
      <c r="G269" s="14" t="n"/>
      <c r="H269" s="14" t="n"/>
      <c r="I269" s="14" t="n"/>
      <c r="J269" s="14" t="n"/>
      <c r="K269" s="14" t="n"/>
      <c r="L269" s="15">
        <f>IF($D269="","",IF(AND($F269="Negative",OR($G269="Critical",$G269="Major")),"Yes","No"))</f>
        <v/>
      </c>
      <c r="M269" s="14" t="n"/>
      <c r="N269" s="14" t="n"/>
    </row>
    <row r="270">
      <c r="B270" s="15">
        <f>IF($D270="","","I"&amp;TEXT(ROW()-5,"000"))</f>
        <v/>
      </c>
      <c r="C270" s="16" t="n"/>
      <c r="D270" s="14" t="n"/>
      <c r="E270" s="15">
        <f>IF($D270="","",IFERROR(INDEX(rngCadetPIDs,MATCH($D270,rngCadetNames,0)),"?"))</f>
        <v/>
      </c>
      <c r="F270" s="14" t="n"/>
      <c r="G270" s="14" t="n"/>
      <c r="H270" s="14" t="n"/>
      <c r="I270" s="14" t="n"/>
      <c r="J270" s="14" t="n"/>
      <c r="K270" s="14" t="n"/>
      <c r="L270" s="15">
        <f>IF($D270="","",IF(AND($F270="Negative",OR($G270="Critical",$G270="Major")),"Yes","No"))</f>
        <v/>
      </c>
      <c r="M270" s="14" t="n"/>
      <c r="N270" s="14" t="n"/>
    </row>
    <row r="271">
      <c r="B271" s="15">
        <f>IF($D271="","","I"&amp;TEXT(ROW()-5,"000"))</f>
        <v/>
      </c>
      <c r="C271" s="16" t="n"/>
      <c r="D271" s="14" t="n"/>
      <c r="E271" s="15">
        <f>IF($D271="","",IFERROR(INDEX(rngCadetPIDs,MATCH($D271,rngCadetNames,0)),"?"))</f>
        <v/>
      </c>
      <c r="F271" s="14" t="n"/>
      <c r="G271" s="14" t="n"/>
      <c r="H271" s="14" t="n"/>
      <c r="I271" s="14" t="n"/>
      <c r="J271" s="14" t="n"/>
      <c r="K271" s="14" t="n"/>
      <c r="L271" s="15">
        <f>IF($D271="","",IF(AND($F271="Negative",OR($G271="Critical",$G271="Major")),"Yes","No"))</f>
        <v/>
      </c>
      <c r="M271" s="14" t="n"/>
      <c r="N271" s="14" t="n"/>
    </row>
    <row r="272">
      <c r="B272" s="15">
        <f>IF($D272="","","I"&amp;TEXT(ROW()-5,"000"))</f>
        <v/>
      </c>
      <c r="C272" s="16" t="n"/>
      <c r="D272" s="14" t="n"/>
      <c r="E272" s="15">
        <f>IF($D272="","",IFERROR(INDEX(rngCadetPIDs,MATCH($D272,rngCadetNames,0)),"?"))</f>
        <v/>
      </c>
      <c r="F272" s="14" t="n"/>
      <c r="G272" s="14" t="n"/>
      <c r="H272" s="14" t="n"/>
      <c r="I272" s="14" t="n"/>
      <c r="J272" s="14" t="n"/>
      <c r="K272" s="14" t="n"/>
      <c r="L272" s="15">
        <f>IF($D272="","",IF(AND($F272="Negative",OR($G272="Critical",$G272="Major")),"Yes","No"))</f>
        <v/>
      </c>
      <c r="M272" s="14" t="n"/>
      <c r="N272" s="14" t="n"/>
    </row>
    <row r="273">
      <c r="B273" s="15">
        <f>IF($D273="","","I"&amp;TEXT(ROW()-5,"000"))</f>
        <v/>
      </c>
      <c r="C273" s="16" t="n"/>
      <c r="D273" s="14" t="n"/>
      <c r="E273" s="15">
        <f>IF($D273="","",IFERROR(INDEX(rngCadetPIDs,MATCH($D273,rngCadetNames,0)),"?"))</f>
        <v/>
      </c>
      <c r="F273" s="14" t="n"/>
      <c r="G273" s="14" t="n"/>
      <c r="H273" s="14" t="n"/>
      <c r="I273" s="14" t="n"/>
      <c r="J273" s="14" t="n"/>
      <c r="K273" s="14" t="n"/>
      <c r="L273" s="15">
        <f>IF($D273="","",IF(AND($F273="Negative",OR($G273="Critical",$G273="Major")),"Yes","No"))</f>
        <v/>
      </c>
      <c r="M273" s="14" t="n"/>
      <c r="N273" s="14" t="n"/>
    </row>
    <row r="274">
      <c r="B274" s="15">
        <f>IF($D274="","","I"&amp;TEXT(ROW()-5,"000"))</f>
        <v/>
      </c>
      <c r="C274" s="16" t="n"/>
      <c r="D274" s="14" t="n"/>
      <c r="E274" s="15">
        <f>IF($D274="","",IFERROR(INDEX(rngCadetPIDs,MATCH($D274,rngCadetNames,0)),"?"))</f>
        <v/>
      </c>
      <c r="F274" s="14" t="n"/>
      <c r="G274" s="14" t="n"/>
      <c r="H274" s="14" t="n"/>
      <c r="I274" s="14" t="n"/>
      <c r="J274" s="14" t="n"/>
      <c r="K274" s="14" t="n"/>
      <c r="L274" s="15">
        <f>IF($D274="","",IF(AND($F274="Negative",OR($G274="Critical",$G274="Major")),"Yes","No"))</f>
        <v/>
      </c>
      <c r="M274" s="14" t="n"/>
      <c r="N274" s="14" t="n"/>
    </row>
    <row r="275">
      <c r="B275" s="15">
        <f>IF($D275="","","I"&amp;TEXT(ROW()-5,"000"))</f>
        <v/>
      </c>
      <c r="C275" s="16" t="n"/>
      <c r="D275" s="14" t="n"/>
      <c r="E275" s="15">
        <f>IF($D275="","",IFERROR(INDEX(rngCadetPIDs,MATCH($D275,rngCadetNames,0)),"?"))</f>
        <v/>
      </c>
      <c r="F275" s="14" t="n"/>
      <c r="G275" s="14" t="n"/>
      <c r="H275" s="14" t="n"/>
      <c r="I275" s="14" t="n"/>
      <c r="J275" s="14" t="n"/>
      <c r="K275" s="14" t="n"/>
      <c r="L275" s="15">
        <f>IF($D275="","",IF(AND($F275="Negative",OR($G275="Critical",$G275="Major")),"Yes","No"))</f>
        <v/>
      </c>
      <c r="M275" s="14" t="n"/>
      <c r="N275" s="14" t="n"/>
    </row>
    <row r="276">
      <c r="B276" s="15">
        <f>IF($D276="","","I"&amp;TEXT(ROW()-5,"000"))</f>
        <v/>
      </c>
      <c r="C276" s="16" t="n"/>
      <c r="D276" s="14" t="n"/>
      <c r="E276" s="15">
        <f>IF($D276="","",IFERROR(INDEX(rngCadetPIDs,MATCH($D276,rngCadetNames,0)),"?"))</f>
        <v/>
      </c>
      <c r="F276" s="14" t="n"/>
      <c r="G276" s="14" t="n"/>
      <c r="H276" s="14" t="n"/>
      <c r="I276" s="14" t="n"/>
      <c r="J276" s="14" t="n"/>
      <c r="K276" s="14" t="n"/>
      <c r="L276" s="15">
        <f>IF($D276="","",IF(AND($F276="Negative",OR($G276="Critical",$G276="Major")),"Yes","No"))</f>
        <v/>
      </c>
      <c r="M276" s="14" t="n"/>
      <c r="N276" s="14" t="n"/>
    </row>
    <row r="277">
      <c r="B277" s="15">
        <f>IF($D277="","","I"&amp;TEXT(ROW()-5,"000"))</f>
        <v/>
      </c>
      <c r="C277" s="16" t="n"/>
      <c r="D277" s="14" t="n"/>
      <c r="E277" s="15">
        <f>IF($D277="","",IFERROR(INDEX(rngCadetPIDs,MATCH($D277,rngCadetNames,0)),"?"))</f>
        <v/>
      </c>
      <c r="F277" s="14" t="n"/>
      <c r="G277" s="14" t="n"/>
      <c r="H277" s="14" t="n"/>
      <c r="I277" s="14" t="n"/>
      <c r="J277" s="14" t="n"/>
      <c r="K277" s="14" t="n"/>
      <c r="L277" s="15">
        <f>IF($D277="","",IF(AND($F277="Negative",OR($G277="Critical",$G277="Major")),"Yes","No"))</f>
        <v/>
      </c>
      <c r="M277" s="14" t="n"/>
      <c r="N277" s="14" t="n"/>
    </row>
    <row r="278">
      <c r="B278" s="15">
        <f>IF($D278="","","I"&amp;TEXT(ROW()-5,"000"))</f>
        <v/>
      </c>
      <c r="C278" s="16" t="n"/>
      <c r="D278" s="14" t="n"/>
      <c r="E278" s="15">
        <f>IF($D278="","",IFERROR(INDEX(rngCadetPIDs,MATCH($D278,rngCadetNames,0)),"?"))</f>
        <v/>
      </c>
      <c r="F278" s="14" t="n"/>
      <c r="G278" s="14" t="n"/>
      <c r="H278" s="14" t="n"/>
      <c r="I278" s="14" t="n"/>
      <c r="J278" s="14" t="n"/>
      <c r="K278" s="14" t="n"/>
      <c r="L278" s="15">
        <f>IF($D278="","",IF(AND($F278="Negative",OR($G278="Critical",$G278="Major")),"Yes","No"))</f>
        <v/>
      </c>
      <c r="M278" s="14" t="n"/>
      <c r="N278" s="14" t="n"/>
    </row>
    <row r="279">
      <c r="B279" s="15">
        <f>IF($D279="","","I"&amp;TEXT(ROW()-5,"000"))</f>
        <v/>
      </c>
      <c r="C279" s="16" t="n"/>
      <c r="D279" s="14" t="n"/>
      <c r="E279" s="15">
        <f>IF($D279="","",IFERROR(INDEX(rngCadetPIDs,MATCH($D279,rngCadetNames,0)),"?"))</f>
        <v/>
      </c>
      <c r="F279" s="14" t="n"/>
      <c r="G279" s="14" t="n"/>
      <c r="H279" s="14" t="n"/>
      <c r="I279" s="14" t="n"/>
      <c r="J279" s="14" t="n"/>
      <c r="K279" s="14" t="n"/>
      <c r="L279" s="15">
        <f>IF($D279="","",IF(AND($F279="Negative",OR($G279="Critical",$G279="Major")),"Yes","No"))</f>
        <v/>
      </c>
      <c r="M279" s="14" t="n"/>
      <c r="N279" s="14" t="n"/>
    </row>
    <row r="280">
      <c r="B280" s="15">
        <f>IF($D280="","","I"&amp;TEXT(ROW()-5,"000"))</f>
        <v/>
      </c>
      <c r="C280" s="16" t="n"/>
      <c r="D280" s="14" t="n"/>
      <c r="E280" s="15">
        <f>IF($D280="","",IFERROR(INDEX(rngCadetPIDs,MATCH($D280,rngCadetNames,0)),"?"))</f>
        <v/>
      </c>
      <c r="F280" s="14" t="n"/>
      <c r="G280" s="14" t="n"/>
      <c r="H280" s="14" t="n"/>
      <c r="I280" s="14" t="n"/>
      <c r="J280" s="14" t="n"/>
      <c r="K280" s="14" t="n"/>
      <c r="L280" s="15">
        <f>IF($D280="","",IF(AND($F280="Negative",OR($G280="Critical",$G280="Major")),"Yes","No"))</f>
        <v/>
      </c>
      <c r="M280" s="14" t="n"/>
      <c r="N280" s="14" t="n"/>
    </row>
    <row r="281">
      <c r="B281" s="15">
        <f>IF($D281="","","I"&amp;TEXT(ROW()-5,"000"))</f>
        <v/>
      </c>
      <c r="C281" s="16" t="n"/>
      <c r="D281" s="14" t="n"/>
      <c r="E281" s="15">
        <f>IF($D281="","",IFERROR(INDEX(rngCadetPIDs,MATCH($D281,rngCadetNames,0)),"?"))</f>
        <v/>
      </c>
      <c r="F281" s="14" t="n"/>
      <c r="G281" s="14" t="n"/>
      <c r="H281" s="14" t="n"/>
      <c r="I281" s="14" t="n"/>
      <c r="J281" s="14" t="n"/>
      <c r="K281" s="14" t="n"/>
      <c r="L281" s="15">
        <f>IF($D281="","",IF(AND($F281="Negative",OR($G281="Critical",$G281="Major")),"Yes","No"))</f>
        <v/>
      </c>
      <c r="M281" s="14" t="n"/>
      <c r="N281" s="14" t="n"/>
    </row>
    <row r="282">
      <c r="B282" s="15">
        <f>IF($D282="","","I"&amp;TEXT(ROW()-5,"000"))</f>
        <v/>
      </c>
      <c r="C282" s="16" t="n"/>
      <c r="D282" s="14" t="n"/>
      <c r="E282" s="15">
        <f>IF($D282="","",IFERROR(INDEX(rngCadetPIDs,MATCH($D282,rngCadetNames,0)),"?"))</f>
        <v/>
      </c>
      <c r="F282" s="14" t="n"/>
      <c r="G282" s="14" t="n"/>
      <c r="H282" s="14" t="n"/>
      <c r="I282" s="14" t="n"/>
      <c r="J282" s="14" t="n"/>
      <c r="K282" s="14" t="n"/>
      <c r="L282" s="15">
        <f>IF($D282="","",IF(AND($F282="Negative",OR($G282="Critical",$G282="Major")),"Yes","No"))</f>
        <v/>
      </c>
      <c r="M282" s="14" t="n"/>
      <c r="N282" s="14" t="n"/>
    </row>
    <row r="283">
      <c r="B283" s="15">
        <f>IF($D283="","","I"&amp;TEXT(ROW()-5,"000"))</f>
        <v/>
      </c>
      <c r="C283" s="16" t="n"/>
      <c r="D283" s="14" t="n"/>
      <c r="E283" s="15">
        <f>IF($D283="","",IFERROR(INDEX(rngCadetPIDs,MATCH($D283,rngCadetNames,0)),"?"))</f>
        <v/>
      </c>
      <c r="F283" s="14" t="n"/>
      <c r="G283" s="14" t="n"/>
      <c r="H283" s="14" t="n"/>
      <c r="I283" s="14" t="n"/>
      <c r="J283" s="14" t="n"/>
      <c r="K283" s="14" t="n"/>
      <c r="L283" s="15">
        <f>IF($D283="","",IF(AND($F283="Negative",OR($G283="Critical",$G283="Major")),"Yes","No"))</f>
        <v/>
      </c>
      <c r="M283" s="14" t="n"/>
      <c r="N283" s="14" t="n"/>
    </row>
    <row r="284">
      <c r="B284" s="15">
        <f>IF($D284="","","I"&amp;TEXT(ROW()-5,"000"))</f>
        <v/>
      </c>
      <c r="C284" s="16" t="n"/>
      <c r="D284" s="14" t="n"/>
      <c r="E284" s="15">
        <f>IF($D284="","",IFERROR(INDEX(rngCadetPIDs,MATCH($D284,rngCadetNames,0)),"?"))</f>
        <v/>
      </c>
      <c r="F284" s="14" t="n"/>
      <c r="G284" s="14" t="n"/>
      <c r="H284" s="14" t="n"/>
      <c r="I284" s="14" t="n"/>
      <c r="J284" s="14" t="n"/>
      <c r="K284" s="14" t="n"/>
      <c r="L284" s="15">
        <f>IF($D284="","",IF(AND($F284="Negative",OR($G284="Critical",$G284="Major")),"Yes","No"))</f>
        <v/>
      </c>
      <c r="M284" s="14" t="n"/>
      <c r="N284" s="14" t="n"/>
    </row>
    <row r="285">
      <c r="B285" s="15">
        <f>IF($D285="","","I"&amp;TEXT(ROW()-5,"000"))</f>
        <v/>
      </c>
      <c r="C285" s="16" t="n"/>
      <c r="D285" s="14" t="n"/>
      <c r="E285" s="15">
        <f>IF($D285="","",IFERROR(INDEX(rngCadetPIDs,MATCH($D285,rngCadetNames,0)),"?"))</f>
        <v/>
      </c>
      <c r="F285" s="14" t="n"/>
      <c r="G285" s="14" t="n"/>
      <c r="H285" s="14" t="n"/>
      <c r="I285" s="14" t="n"/>
      <c r="J285" s="14" t="n"/>
      <c r="K285" s="14" t="n"/>
      <c r="L285" s="15">
        <f>IF($D285="","",IF(AND($F285="Negative",OR($G285="Critical",$G285="Major")),"Yes","No"))</f>
        <v/>
      </c>
      <c r="M285" s="14" t="n"/>
      <c r="N285" s="14" t="n"/>
    </row>
    <row r="286">
      <c r="B286" s="15">
        <f>IF($D286="","","I"&amp;TEXT(ROW()-5,"000"))</f>
        <v/>
      </c>
      <c r="C286" s="16" t="n"/>
      <c r="D286" s="14" t="n"/>
      <c r="E286" s="15">
        <f>IF($D286="","",IFERROR(INDEX(rngCadetPIDs,MATCH($D286,rngCadetNames,0)),"?"))</f>
        <v/>
      </c>
      <c r="F286" s="14" t="n"/>
      <c r="G286" s="14" t="n"/>
      <c r="H286" s="14" t="n"/>
      <c r="I286" s="14" t="n"/>
      <c r="J286" s="14" t="n"/>
      <c r="K286" s="14" t="n"/>
      <c r="L286" s="15">
        <f>IF($D286="","",IF(AND($F286="Negative",OR($G286="Critical",$G286="Major")),"Yes","No"))</f>
        <v/>
      </c>
      <c r="M286" s="14" t="n"/>
      <c r="N286" s="14" t="n"/>
    </row>
    <row r="287">
      <c r="B287" s="15">
        <f>IF($D287="","","I"&amp;TEXT(ROW()-5,"000"))</f>
        <v/>
      </c>
      <c r="C287" s="16" t="n"/>
      <c r="D287" s="14" t="n"/>
      <c r="E287" s="15">
        <f>IF($D287="","",IFERROR(INDEX(rngCadetPIDs,MATCH($D287,rngCadetNames,0)),"?"))</f>
        <v/>
      </c>
      <c r="F287" s="14" t="n"/>
      <c r="G287" s="14" t="n"/>
      <c r="H287" s="14" t="n"/>
      <c r="I287" s="14" t="n"/>
      <c r="J287" s="14" t="n"/>
      <c r="K287" s="14" t="n"/>
      <c r="L287" s="15">
        <f>IF($D287="","",IF(AND($F287="Negative",OR($G287="Critical",$G287="Major")),"Yes","No"))</f>
        <v/>
      </c>
      <c r="M287" s="14" t="n"/>
      <c r="N287" s="14" t="n"/>
    </row>
    <row r="288">
      <c r="B288" s="15">
        <f>IF($D288="","","I"&amp;TEXT(ROW()-5,"000"))</f>
        <v/>
      </c>
      <c r="C288" s="16" t="n"/>
      <c r="D288" s="14" t="n"/>
      <c r="E288" s="15">
        <f>IF($D288="","",IFERROR(INDEX(rngCadetPIDs,MATCH($D288,rngCadetNames,0)),"?"))</f>
        <v/>
      </c>
      <c r="F288" s="14" t="n"/>
      <c r="G288" s="14" t="n"/>
      <c r="H288" s="14" t="n"/>
      <c r="I288" s="14" t="n"/>
      <c r="J288" s="14" t="n"/>
      <c r="K288" s="14" t="n"/>
      <c r="L288" s="15">
        <f>IF($D288="","",IF(AND($F288="Negative",OR($G288="Critical",$G288="Major")),"Yes","No"))</f>
        <v/>
      </c>
      <c r="M288" s="14" t="n"/>
      <c r="N288" s="14" t="n"/>
    </row>
    <row r="289">
      <c r="B289" s="15">
        <f>IF($D289="","","I"&amp;TEXT(ROW()-5,"000"))</f>
        <v/>
      </c>
      <c r="C289" s="16" t="n"/>
      <c r="D289" s="14" t="n"/>
      <c r="E289" s="15">
        <f>IF($D289="","",IFERROR(INDEX(rngCadetPIDs,MATCH($D289,rngCadetNames,0)),"?"))</f>
        <v/>
      </c>
      <c r="F289" s="14" t="n"/>
      <c r="G289" s="14" t="n"/>
      <c r="H289" s="14" t="n"/>
      <c r="I289" s="14" t="n"/>
      <c r="J289" s="14" t="n"/>
      <c r="K289" s="14" t="n"/>
      <c r="L289" s="15">
        <f>IF($D289="","",IF(AND($F289="Negative",OR($G289="Critical",$G289="Major")),"Yes","No"))</f>
        <v/>
      </c>
      <c r="M289" s="14" t="n"/>
      <c r="N289" s="14" t="n"/>
    </row>
    <row r="290">
      <c r="B290" s="15">
        <f>IF($D290="","","I"&amp;TEXT(ROW()-5,"000"))</f>
        <v/>
      </c>
      <c r="C290" s="16" t="n"/>
      <c r="D290" s="14" t="n"/>
      <c r="E290" s="15">
        <f>IF($D290="","",IFERROR(INDEX(rngCadetPIDs,MATCH($D290,rngCadetNames,0)),"?"))</f>
        <v/>
      </c>
      <c r="F290" s="14" t="n"/>
      <c r="G290" s="14" t="n"/>
      <c r="H290" s="14" t="n"/>
      <c r="I290" s="14" t="n"/>
      <c r="J290" s="14" t="n"/>
      <c r="K290" s="14" t="n"/>
      <c r="L290" s="15">
        <f>IF($D290="","",IF(AND($F290="Negative",OR($G290="Critical",$G290="Major")),"Yes","No"))</f>
        <v/>
      </c>
      <c r="M290" s="14" t="n"/>
      <c r="N290" s="14" t="n"/>
    </row>
    <row r="291">
      <c r="B291" s="15">
        <f>IF($D291="","","I"&amp;TEXT(ROW()-5,"000"))</f>
        <v/>
      </c>
      <c r="C291" s="16" t="n"/>
      <c r="D291" s="14" t="n"/>
      <c r="E291" s="15">
        <f>IF($D291="","",IFERROR(INDEX(rngCadetPIDs,MATCH($D291,rngCadetNames,0)),"?"))</f>
        <v/>
      </c>
      <c r="F291" s="14" t="n"/>
      <c r="G291" s="14" t="n"/>
      <c r="H291" s="14" t="n"/>
      <c r="I291" s="14" t="n"/>
      <c r="J291" s="14" t="n"/>
      <c r="K291" s="14" t="n"/>
      <c r="L291" s="15">
        <f>IF($D291="","",IF(AND($F291="Negative",OR($G291="Critical",$G291="Major")),"Yes","No"))</f>
        <v/>
      </c>
      <c r="M291" s="14" t="n"/>
      <c r="N291" s="14" t="n"/>
    </row>
    <row r="292">
      <c r="B292" s="15">
        <f>IF($D292="","","I"&amp;TEXT(ROW()-5,"000"))</f>
        <v/>
      </c>
      <c r="C292" s="16" t="n"/>
      <c r="D292" s="14" t="n"/>
      <c r="E292" s="15">
        <f>IF($D292="","",IFERROR(INDEX(rngCadetPIDs,MATCH($D292,rngCadetNames,0)),"?"))</f>
        <v/>
      </c>
      <c r="F292" s="14" t="n"/>
      <c r="G292" s="14" t="n"/>
      <c r="H292" s="14" t="n"/>
      <c r="I292" s="14" t="n"/>
      <c r="J292" s="14" t="n"/>
      <c r="K292" s="14" t="n"/>
      <c r="L292" s="15">
        <f>IF($D292="","",IF(AND($F292="Negative",OR($G292="Critical",$G292="Major")),"Yes","No"))</f>
        <v/>
      </c>
      <c r="M292" s="14" t="n"/>
      <c r="N292" s="14" t="n"/>
    </row>
    <row r="293">
      <c r="B293" s="15">
        <f>IF($D293="","","I"&amp;TEXT(ROW()-5,"000"))</f>
        <v/>
      </c>
      <c r="C293" s="16" t="n"/>
      <c r="D293" s="14" t="n"/>
      <c r="E293" s="15">
        <f>IF($D293="","",IFERROR(INDEX(rngCadetPIDs,MATCH($D293,rngCadetNames,0)),"?"))</f>
        <v/>
      </c>
      <c r="F293" s="14" t="n"/>
      <c r="G293" s="14" t="n"/>
      <c r="H293" s="14" t="n"/>
      <c r="I293" s="14" t="n"/>
      <c r="J293" s="14" t="n"/>
      <c r="K293" s="14" t="n"/>
      <c r="L293" s="15">
        <f>IF($D293="","",IF(AND($F293="Negative",OR($G293="Critical",$G293="Major")),"Yes","No"))</f>
        <v/>
      </c>
      <c r="M293" s="14" t="n"/>
      <c r="N293" s="14" t="n"/>
    </row>
    <row r="294">
      <c r="B294" s="15">
        <f>IF($D294="","","I"&amp;TEXT(ROW()-5,"000"))</f>
        <v/>
      </c>
      <c r="C294" s="16" t="n"/>
      <c r="D294" s="14" t="n"/>
      <c r="E294" s="15">
        <f>IF($D294="","",IFERROR(INDEX(rngCadetPIDs,MATCH($D294,rngCadetNames,0)),"?"))</f>
        <v/>
      </c>
      <c r="F294" s="14" t="n"/>
      <c r="G294" s="14" t="n"/>
      <c r="H294" s="14" t="n"/>
      <c r="I294" s="14" t="n"/>
      <c r="J294" s="14" t="n"/>
      <c r="K294" s="14" t="n"/>
      <c r="L294" s="15">
        <f>IF($D294="","",IF(AND($F294="Negative",OR($G294="Critical",$G294="Major")),"Yes","No"))</f>
        <v/>
      </c>
      <c r="M294" s="14" t="n"/>
      <c r="N294" s="14" t="n"/>
    </row>
    <row r="295">
      <c r="B295" s="15">
        <f>IF($D295="","","I"&amp;TEXT(ROW()-5,"000"))</f>
        <v/>
      </c>
      <c r="C295" s="16" t="n"/>
      <c r="D295" s="14" t="n"/>
      <c r="E295" s="15">
        <f>IF($D295="","",IFERROR(INDEX(rngCadetPIDs,MATCH($D295,rngCadetNames,0)),"?"))</f>
        <v/>
      </c>
      <c r="F295" s="14" t="n"/>
      <c r="G295" s="14" t="n"/>
      <c r="H295" s="14" t="n"/>
      <c r="I295" s="14" t="n"/>
      <c r="J295" s="14" t="n"/>
      <c r="K295" s="14" t="n"/>
      <c r="L295" s="15">
        <f>IF($D295="","",IF(AND($F295="Negative",OR($G295="Critical",$G295="Major")),"Yes","No"))</f>
        <v/>
      </c>
      <c r="M295" s="14" t="n"/>
      <c r="N295" s="14" t="n"/>
    </row>
    <row r="296">
      <c r="B296" s="15">
        <f>IF($D296="","","I"&amp;TEXT(ROW()-5,"000"))</f>
        <v/>
      </c>
      <c r="C296" s="16" t="n"/>
      <c r="D296" s="14" t="n"/>
      <c r="E296" s="15">
        <f>IF($D296="","",IFERROR(INDEX(rngCadetPIDs,MATCH($D296,rngCadetNames,0)),"?"))</f>
        <v/>
      </c>
      <c r="F296" s="14" t="n"/>
      <c r="G296" s="14" t="n"/>
      <c r="H296" s="14" t="n"/>
      <c r="I296" s="14" t="n"/>
      <c r="J296" s="14" t="n"/>
      <c r="K296" s="14" t="n"/>
      <c r="L296" s="15">
        <f>IF($D296="","",IF(AND($F296="Negative",OR($G296="Critical",$G296="Major")),"Yes","No"))</f>
        <v/>
      </c>
      <c r="M296" s="14" t="n"/>
      <c r="N296" s="14" t="n"/>
    </row>
    <row r="297">
      <c r="B297" s="15">
        <f>IF($D297="","","I"&amp;TEXT(ROW()-5,"000"))</f>
        <v/>
      </c>
      <c r="C297" s="16" t="n"/>
      <c r="D297" s="14" t="n"/>
      <c r="E297" s="15">
        <f>IF($D297="","",IFERROR(INDEX(rngCadetPIDs,MATCH($D297,rngCadetNames,0)),"?"))</f>
        <v/>
      </c>
      <c r="F297" s="14" t="n"/>
      <c r="G297" s="14" t="n"/>
      <c r="H297" s="14" t="n"/>
      <c r="I297" s="14" t="n"/>
      <c r="J297" s="14" t="n"/>
      <c r="K297" s="14" t="n"/>
      <c r="L297" s="15">
        <f>IF($D297="","",IF(AND($F297="Negative",OR($G297="Critical",$G297="Major")),"Yes","No"))</f>
        <v/>
      </c>
      <c r="M297" s="14" t="n"/>
      <c r="N297" s="14" t="n"/>
    </row>
    <row r="298">
      <c r="B298" s="15">
        <f>IF($D298="","","I"&amp;TEXT(ROW()-5,"000"))</f>
        <v/>
      </c>
      <c r="C298" s="16" t="n"/>
      <c r="D298" s="14" t="n"/>
      <c r="E298" s="15">
        <f>IF($D298="","",IFERROR(INDEX(rngCadetPIDs,MATCH($D298,rngCadetNames,0)),"?"))</f>
        <v/>
      </c>
      <c r="F298" s="14" t="n"/>
      <c r="G298" s="14" t="n"/>
      <c r="H298" s="14" t="n"/>
      <c r="I298" s="14" t="n"/>
      <c r="J298" s="14" t="n"/>
      <c r="K298" s="14" t="n"/>
      <c r="L298" s="15">
        <f>IF($D298="","",IF(AND($F298="Negative",OR($G298="Critical",$G298="Major")),"Yes","No"))</f>
        <v/>
      </c>
      <c r="M298" s="14" t="n"/>
      <c r="N298" s="14" t="n"/>
    </row>
    <row r="299">
      <c r="B299" s="15">
        <f>IF($D299="","","I"&amp;TEXT(ROW()-5,"000"))</f>
        <v/>
      </c>
      <c r="C299" s="16" t="n"/>
      <c r="D299" s="14" t="n"/>
      <c r="E299" s="15">
        <f>IF($D299="","",IFERROR(INDEX(rngCadetPIDs,MATCH($D299,rngCadetNames,0)),"?"))</f>
        <v/>
      </c>
      <c r="F299" s="14" t="n"/>
      <c r="G299" s="14" t="n"/>
      <c r="H299" s="14" t="n"/>
      <c r="I299" s="14" t="n"/>
      <c r="J299" s="14" t="n"/>
      <c r="K299" s="14" t="n"/>
      <c r="L299" s="15">
        <f>IF($D299="","",IF(AND($F299="Negative",OR($G299="Critical",$G299="Major")),"Yes","No"))</f>
        <v/>
      </c>
      <c r="M299" s="14" t="n"/>
      <c r="N299" s="14" t="n"/>
    </row>
    <row r="300">
      <c r="B300" s="15">
        <f>IF($D300="","","I"&amp;TEXT(ROW()-5,"000"))</f>
        <v/>
      </c>
      <c r="C300" s="16" t="n"/>
      <c r="D300" s="14" t="n"/>
      <c r="E300" s="15">
        <f>IF($D300="","",IFERROR(INDEX(rngCadetPIDs,MATCH($D300,rngCadetNames,0)),"?"))</f>
        <v/>
      </c>
      <c r="F300" s="14" t="n"/>
      <c r="G300" s="14" t="n"/>
      <c r="H300" s="14" t="n"/>
      <c r="I300" s="14" t="n"/>
      <c r="J300" s="14" t="n"/>
      <c r="K300" s="14" t="n"/>
      <c r="L300" s="15">
        <f>IF($D300="","",IF(AND($F300="Negative",OR($G300="Critical",$G300="Major")),"Yes","No"))</f>
        <v/>
      </c>
      <c r="M300" s="14" t="n"/>
      <c r="N300" s="14" t="n"/>
    </row>
    <row r="301">
      <c r="B301" s="15">
        <f>IF($D301="","","I"&amp;TEXT(ROW()-5,"000"))</f>
        <v/>
      </c>
      <c r="C301" s="16" t="n"/>
      <c r="D301" s="14" t="n"/>
      <c r="E301" s="15">
        <f>IF($D301="","",IFERROR(INDEX(rngCadetPIDs,MATCH($D301,rngCadetNames,0)),"?"))</f>
        <v/>
      </c>
      <c r="F301" s="14" t="n"/>
      <c r="G301" s="14" t="n"/>
      <c r="H301" s="14" t="n"/>
      <c r="I301" s="14" t="n"/>
      <c r="J301" s="14" t="n"/>
      <c r="K301" s="14" t="n"/>
      <c r="L301" s="15">
        <f>IF($D301="","",IF(AND($F301="Negative",OR($G301="Critical",$G301="Major")),"Yes","No"))</f>
        <v/>
      </c>
      <c r="M301" s="14" t="n"/>
      <c r="N301" s="14" t="n"/>
    </row>
    <row r="302">
      <c r="B302" s="15">
        <f>IF($D302="","","I"&amp;TEXT(ROW()-5,"000"))</f>
        <v/>
      </c>
      <c r="C302" s="16" t="n"/>
      <c r="D302" s="14" t="n"/>
      <c r="E302" s="15">
        <f>IF($D302="","",IFERROR(INDEX(rngCadetPIDs,MATCH($D302,rngCadetNames,0)),"?"))</f>
        <v/>
      </c>
      <c r="F302" s="14" t="n"/>
      <c r="G302" s="14" t="n"/>
      <c r="H302" s="14" t="n"/>
      <c r="I302" s="14" t="n"/>
      <c r="J302" s="14" t="n"/>
      <c r="K302" s="14" t="n"/>
      <c r="L302" s="15">
        <f>IF($D302="","",IF(AND($F302="Negative",OR($G302="Critical",$G302="Major")),"Yes","No"))</f>
        <v/>
      </c>
      <c r="M302" s="14" t="n"/>
      <c r="N302" s="14" t="n"/>
    </row>
    <row r="303">
      <c r="B303" s="15">
        <f>IF($D303="","","I"&amp;TEXT(ROW()-5,"000"))</f>
        <v/>
      </c>
      <c r="C303" s="16" t="n"/>
      <c r="D303" s="14" t="n"/>
      <c r="E303" s="15">
        <f>IF($D303="","",IFERROR(INDEX(rngCadetPIDs,MATCH($D303,rngCadetNames,0)),"?"))</f>
        <v/>
      </c>
      <c r="F303" s="14" t="n"/>
      <c r="G303" s="14" t="n"/>
      <c r="H303" s="14" t="n"/>
      <c r="I303" s="14" t="n"/>
      <c r="J303" s="14" t="n"/>
      <c r="K303" s="14" t="n"/>
      <c r="L303" s="15">
        <f>IF($D303="","",IF(AND($F303="Negative",OR($G303="Critical",$G303="Major")),"Yes","No"))</f>
        <v/>
      </c>
      <c r="M303" s="14" t="n"/>
      <c r="N303" s="14" t="n"/>
    </row>
    <row r="304">
      <c r="B304" s="15">
        <f>IF($D304="","","I"&amp;TEXT(ROW()-5,"000"))</f>
        <v/>
      </c>
      <c r="C304" s="16" t="n"/>
      <c r="D304" s="14" t="n"/>
      <c r="E304" s="15">
        <f>IF($D304="","",IFERROR(INDEX(rngCadetPIDs,MATCH($D304,rngCadetNames,0)),"?"))</f>
        <v/>
      </c>
      <c r="F304" s="14" t="n"/>
      <c r="G304" s="14" t="n"/>
      <c r="H304" s="14" t="n"/>
      <c r="I304" s="14" t="n"/>
      <c r="J304" s="14" t="n"/>
      <c r="K304" s="14" t="n"/>
      <c r="L304" s="15">
        <f>IF($D304="","",IF(AND($F304="Negative",OR($G304="Critical",$G304="Major")),"Yes","No"))</f>
        <v/>
      </c>
      <c r="M304" s="14" t="n"/>
      <c r="N304" s="14" t="n"/>
    </row>
    <row r="305">
      <c r="B305" s="15">
        <f>IF($D305="","","I"&amp;TEXT(ROW()-5,"000"))</f>
        <v/>
      </c>
      <c r="C305" s="16" t="n"/>
      <c r="D305" s="14" t="n"/>
      <c r="E305" s="15">
        <f>IF($D305="","",IFERROR(INDEX(rngCadetPIDs,MATCH($D305,rngCadetNames,0)),"?"))</f>
        <v/>
      </c>
      <c r="F305" s="14" t="n"/>
      <c r="G305" s="14" t="n"/>
      <c r="H305" s="14" t="n"/>
      <c r="I305" s="14" t="n"/>
      <c r="J305" s="14" t="n"/>
      <c r="K305" s="14" t="n"/>
      <c r="L305" s="15">
        <f>IF($D305="","",IF(AND($F305="Negative",OR($G305="Critical",$G305="Major")),"Yes","No"))</f>
        <v/>
      </c>
      <c r="M305" s="14" t="n"/>
      <c r="N305" s="14" t="n"/>
    </row>
    <row r="306">
      <c r="B306" s="15">
        <f>IF($D306="","","I"&amp;TEXT(ROW()-5,"000"))</f>
        <v/>
      </c>
      <c r="C306" s="16" t="n"/>
      <c r="D306" s="14" t="n"/>
      <c r="E306" s="15">
        <f>IF($D306="","",IFERROR(INDEX(rngCadetPIDs,MATCH($D306,rngCadetNames,0)),"?"))</f>
        <v/>
      </c>
      <c r="F306" s="14" t="n"/>
      <c r="G306" s="14" t="n"/>
      <c r="H306" s="14" t="n"/>
      <c r="I306" s="14" t="n"/>
      <c r="J306" s="14" t="n"/>
      <c r="K306" s="14" t="n"/>
      <c r="L306" s="15">
        <f>IF($D306="","",IF(AND($F306="Negative",OR($G306="Critical",$G306="Major")),"Yes","No"))</f>
        <v/>
      </c>
      <c r="M306" s="14" t="n"/>
      <c r="N306" s="14" t="n"/>
    </row>
    <row r="307">
      <c r="B307" s="15">
        <f>IF($D307="","","I"&amp;TEXT(ROW()-5,"000"))</f>
        <v/>
      </c>
      <c r="C307" s="16" t="n"/>
      <c r="D307" s="14" t="n"/>
      <c r="E307" s="15">
        <f>IF($D307="","",IFERROR(INDEX(rngCadetPIDs,MATCH($D307,rngCadetNames,0)),"?"))</f>
        <v/>
      </c>
      <c r="F307" s="14" t="n"/>
      <c r="G307" s="14" t="n"/>
      <c r="H307" s="14" t="n"/>
      <c r="I307" s="14" t="n"/>
      <c r="J307" s="14" t="n"/>
      <c r="K307" s="14" t="n"/>
      <c r="L307" s="15">
        <f>IF($D307="","",IF(AND($F307="Negative",OR($G307="Critical",$G307="Major")),"Yes","No"))</f>
        <v/>
      </c>
      <c r="M307" s="14" t="n"/>
      <c r="N307" s="14" t="n"/>
    </row>
    <row r="308">
      <c r="B308" s="15">
        <f>IF($D308="","","I"&amp;TEXT(ROW()-5,"000"))</f>
        <v/>
      </c>
      <c r="C308" s="16" t="n"/>
      <c r="D308" s="14" t="n"/>
      <c r="E308" s="15">
        <f>IF($D308="","",IFERROR(INDEX(rngCadetPIDs,MATCH($D308,rngCadetNames,0)),"?"))</f>
        <v/>
      </c>
      <c r="F308" s="14" t="n"/>
      <c r="G308" s="14" t="n"/>
      <c r="H308" s="14" t="n"/>
      <c r="I308" s="14" t="n"/>
      <c r="J308" s="14" t="n"/>
      <c r="K308" s="14" t="n"/>
      <c r="L308" s="15">
        <f>IF($D308="","",IF(AND($F308="Negative",OR($G308="Critical",$G308="Major")),"Yes","No"))</f>
        <v/>
      </c>
      <c r="M308" s="14" t="n"/>
      <c r="N308" s="14" t="n"/>
    </row>
    <row r="309">
      <c r="B309" s="15">
        <f>IF($D309="","","I"&amp;TEXT(ROW()-5,"000"))</f>
        <v/>
      </c>
      <c r="C309" s="16" t="n"/>
      <c r="D309" s="14" t="n"/>
      <c r="E309" s="15">
        <f>IF($D309="","",IFERROR(INDEX(rngCadetPIDs,MATCH($D309,rngCadetNames,0)),"?"))</f>
        <v/>
      </c>
      <c r="F309" s="14" t="n"/>
      <c r="G309" s="14" t="n"/>
      <c r="H309" s="14" t="n"/>
      <c r="I309" s="14" t="n"/>
      <c r="J309" s="14" t="n"/>
      <c r="K309" s="14" t="n"/>
      <c r="L309" s="15">
        <f>IF($D309="","",IF(AND($F309="Negative",OR($G309="Critical",$G309="Major")),"Yes","No"))</f>
        <v/>
      </c>
      <c r="M309" s="14" t="n"/>
      <c r="N309" s="14" t="n"/>
    </row>
    <row r="310">
      <c r="B310" s="15">
        <f>IF($D310="","","I"&amp;TEXT(ROW()-5,"000"))</f>
        <v/>
      </c>
      <c r="C310" s="16" t="n"/>
      <c r="D310" s="14" t="n"/>
      <c r="E310" s="15">
        <f>IF($D310="","",IFERROR(INDEX(rngCadetPIDs,MATCH($D310,rngCadetNames,0)),"?"))</f>
        <v/>
      </c>
      <c r="F310" s="14" t="n"/>
      <c r="G310" s="14" t="n"/>
      <c r="H310" s="14" t="n"/>
      <c r="I310" s="14" t="n"/>
      <c r="J310" s="14" t="n"/>
      <c r="K310" s="14" t="n"/>
      <c r="L310" s="15">
        <f>IF($D310="","",IF(AND($F310="Negative",OR($G310="Critical",$G310="Major")),"Yes","No"))</f>
        <v/>
      </c>
      <c r="M310" s="14" t="n"/>
      <c r="N310" s="14" t="n"/>
    </row>
    <row r="311">
      <c r="B311" s="15">
        <f>IF($D311="","","I"&amp;TEXT(ROW()-5,"000"))</f>
        <v/>
      </c>
      <c r="C311" s="16" t="n"/>
      <c r="D311" s="14" t="n"/>
      <c r="E311" s="15">
        <f>IF($D311="","",IFERROR(INDEX(rngCadetPIDs,MATCH($D311,rngCadetNames,0)),"?"))</f>
        <v/>
      </c>
      <c r="F311" s="14" t="n"/>
      <c r="G311" s="14" t="n"/>
      <c r="H311" s="14" t="n"/>
      <c r="I311" s="14" t="n"/>
      <c r="J311" s="14" t="n"/>
      <c r="K311" s="14" t="n"/>
      <c r="L311" s="15">
        <f>IF($D311="","",IF(AND($F311="Negative",OR($G311="Critical",$G311="Major")),"Yes","No"))</f>
        <v/>
      </c>
      <c r="M311" s="14" t="n"/>
      <c r="N311" s="14" t="n"/>
    </row>
    <row r="312">
      <c r="B312" s="15">
        <f>IF($D312="","","I"&amp;TEXT(ROW()-5,"000"))</f>
        <v/>
      </c>
      <c r="C312" s="16" t="n"/>
      <c r="D312" s="14" t="n"/>
      <c r="E312" s="15">
        <f>IF($D312="","",IFERROR(INDEX(rngCadetPIDs,MATCH($D312,rngCadetNames,0)),"?"))</f>
        <v/>
      </c>
      <c r="F312" s="14" t="n"/>
      <c r="G312" s="14" t="n"/>
      <c r="H312" s="14" t="n"/>
      <c r="I312" s="14" t="n"/>
      <c r="J312" s="14" t="n"/>
      <c r="K312" s="14" t="n"/>
      <c r="L312" s="15">
        <f>IF($D312="","",IF(AND($F312="Negative",OR($G312="Critical",$G312="Major")),"Yes","No"))</f>
        <v/>
      </c>
      <c r="M312" s="14" t="n"/>
      <c r="N312" s="14" t="n"/>
    </row>
    <row r="313">
      <c r="B313" s="15">
        <f>IF($D313="","","I"&amp;TEXT(ROW()-5,"000"))</f>
        <v/>
      </c>
      <c r="C313" s="16" t="n"/>
      <c r="D313" s="14" t="n"/>
      <c r="E313" s="15">
        <f>IF($D313="","",IFERROR(INDEX(rngCadetPIDs,MATCH($D313,rngCadetNames,0)),"?"))</f>
        <v/>
      </c>
      <c r="F313" s="14" t="n"/>
      <c r="G313" s="14" t="n"/>
      <c r="H313" s="14" t="n"/>
      <c r="I313" s="14" t="n"/>
      <c r="J313" s="14" t="n"/>
      <c r="K313" s="14" t="n"/>
      <c r="L313" s="15">
        <f>IF($D313="","",IF(AND($F313="Negative",OR($G313="Critical",$G313="Major")),"Yes","No"))</f>
        <v/>
      </c>
      <c r="M313" s="14" t="n"/>
      <c r="N313" s="14" t="n"/>
    </row>
    <row r="314">
      <c r="B314" s="15">
        <f>IF($D314="","","I"&amp;TEXT(ROW()-5,"000"))</f>
        <v/>
      </c>
      <c r="C314" s="16" t="n"/>
      <c r="D314" s="14" t="n"/>
      <c r="E314" s="15">
        <f>IF($D314="","",IFERROR(INDEX(rngCadetPIDs,MATCH($D314,rngCadetNames,0)),"?"))</f>
        <v/>
      </c>
      <c r="F314" s="14" t="n"/>
      <c r="G314" s="14" t="n"/>
      <c r="H314" s="14" t="n"/>
      <c r="I314" s="14" t="n"/>
      <c r="J314" s="14" t="n"/>
      <c r="K314" s="14" t="n"/>
      <c r="L314" s="15">
        <f>IF($D314="","",IF(AND($F314="Negative",OR($G314="Critical",$G314="Major")),"Yes","No"))</f>
        <v/>
      </c>
      <c r="M314" s="14" t="n"/>
      <c r="N314" s="14" t="n"/>
    </row>
    <row r="315">
      <c r="B315" s="15">
        <f>IF($D315="","","I"&amp;TEXT(ROW()-5,"000"))</f>
        <v/>
      </c>
      <c r="C315" s="16" t="n"/>
      <c r="D315" s="14" t="n"/>
      <c r="E315" s="15">
        <f>IF($D315="","",IFERROR(INDEX(rngCadetPIDs,MATCH($D315,rngCadetNames,0)),"?"))</f>
        <v/>
      </c>
      <c r="F315" s="14" t="n"/>
      <c r="G315" s="14" t="n"/>
      <c r="H315" s="14" t="n"/>
      <c r="I315" s="14" t="n"/>
      <c r="J315" s="14" t="n"/>
      <c r="K315" s="14" t="n"/>
      <c r="L315" s="15">
        <f>IF($D315="","",IF(AND($F315="Negative",OR($G315="Critical",$G315="Major")),"Yes","No"))</f>
        <v/>
      </c>
      <c r="M315" s="14" t="n"/>
      <c r="N315" s="14" t="n"/>
    </row>
    <row r="316">
      <c r="B316" s="15">
        <f>IF($D316="","","I"&amp;TEXT(ROW()-5,"000"))</f>
        <v/>
      </c>
      <c r="C316" s="16" t="n"/>
      <c r="D316" s="14" t="n"/>
      <c r="E316" s="15">
        <f>IF($D316="","",IFERROR(INDEX(rngCadetPIDs,MATCH($D316,rngCadetNames,0)),"?"))</f>
        <v/>
      </c>
      <c r="F316" s="14" t="n"/>
      <c r="G316" s="14" t="n"/>
      <c r="H316" s="14" t="n"/>
      <c r="I316" s="14" t="n"/>
      <c r="J316" s="14" t="n"/>
      <c r="K316" s="14" t="n"/>
      <c r="L316" s="15">
        <f>IF($D316="","",IF(AND($F316="Negative",OR($G316="Critical",$G316="Major")),"Yes","No"))</f>
        <v/>
      </c>
      <c r="M316" s="14" t="n"/>
      <c r="N316" s="14" t="n"/>
    </row>
    <row r="317">
      <c r="B317" s="15">
        <f>IF($D317="","","I"&amp;TEXT(ROW()-5,"000"))</f>
        <v/>
      </c>
      <c r="C317" s="16" t="n"/>
      <c r="D317" s="14" t="n"/>
      <c r="E317" s="15">
        <f>IF($D317="","",IFERROR(INDEX(rngCadetPIDs,MATCH($D317,rngCadetNames,0)),"?"))</f>
        <v/>
      </c>
      <c r="F317" s="14" t="n"/>
      <c r="G317" s="14" t="n"/>
      <c r="H317" s="14" t="n"/>
      <c r="I317" s="14" t="n"/>
      <c r="J317" s="14" t="n"/>
      <c r="K317" s="14" t="n"/>
      <c r="L317" s="15">
        <f>IF($D317="","",IF(AND($F317="Negative",OR($G317="Critical",$G317="Major")),"Yes","No"))</f>
        <v/>
      </c>
      <c r="M317" s="14" t="n"/>
      <c r="N317" s="14" t="n"/>
    </row>
    <row r="318">
      <c r="B318" s="15">
        <f>IF($D318="","","I"&amp;TEXT(ROW()-5,"000"))</f>
        <v/>
      </c>
      <c r="C318" s="16" t="n"/>
      <c r="D318" s="14" t="n"/>
      <c r="E318" s="15">
        <f>IF($D318="","",IFERROR(INDEX(rngCadetPIDs,MATCH($D318,rngCadetNames,0)),"?"))</f>
        <v/>
      </c>
      <c r="F318" s="14" t="n"/>
      <c r="G318" s="14" t="n"/>
      <c r="H318" s="14" t="n"/>
      <c r="I318" s="14" t="n"/>
      <c r="J318" s="14" t="n"/>
      <c r="K318" s="14" t="n"/>
      <c r="L318" s="15">
        <f>IF($D318="","",IF(AND($F318="Negative",OR($G318="Critical",$G318="Major")),"Yes","No"))</f>
        <v/>
      </c>
      <c r="M318" s="14" t="n"/>
      <c r="N318" s="14" t="n"/>
    </row>
    <row r="319">
      <c r="B319" s="15">
        <f>IF($D319="","","I"&amp;TEXT(ROW()-5,"000"))</f>
        <v/>
      </c>
      <c r="C319" s="16" t="n"/>
      <c r="D319" s="14" t="n"/>
      <c r="E319" s="15">
        <f>IF($D319="","",IFERROR(INDEX(rngCadetPIDs,MATCH($D319,rngCadetNames,0)),"?"))</f>
        <v/>
      </c>
      <c r="F319" s="14" t="n"/>
      <c r="G319" s="14" t="n"/>
      <c r="H319" s="14" t="n"/>
      <c r="I319" s="14" t="n"/>
      <c r="J319" s="14" t="n"/>
      <c r="K319" s="14" t="n"/>
      <c r="L319" s="15">
        <f>IF($D319="","",IF(AND($F319="Negative",OR($G319="Critical",$G319="Major")),"Yes","No"))</f>
        <v/>
      </c>
      <c r="M319" s="14" t="n"/>
      <c r="N319" s="14" t="n"/>
    </row>
    <row r="320">
      <c r="B320" s="15">
        <f>IF($D320="","","I"&amp;TEXT(ROW()-5,"000"))</f>
        <v/>
      </c>
      <c r="C320" s="16" t="n"/>
      <c r="D320" s="14" t="n"/>
      <c r="E320" s="15">
        <f>IF($D320="","",IFERROR(INDEX(rngCadetPIDs,MATCH($D320,rngCadetNames,0)),"?"))</f>
        <v/>
      </c>
      <c r="F320" s="14" t="n"/>
      <c r="G320" s="14" t="n"/>
      <c r="H320" s="14" t="n"/>
      <c r="I320" s="14" t="n"/>
      <c r="J320" s="14" t="n"/>
      <c r="K320" s="14" t="n"/>
      <c r="L320" s="15">
        <f>IF($D320="","",IF(AND($F320="Negative",OR($G320="Critical",$G320="Major")),"Yes","No"))</f>
        <v/>
      </c>
      <c r="M320" s="14" t="n"/>
      <c r="N320" s="14" t="n"/>
    </row>
    <row r="321">
      <c r="B321" s="15">
        <f>IF($D321="","","I"&amp;TEXT(ROW()-5,"000"))</f>
        <v/>
      </c>
      <c r="C321" s="16" t="n"/>
      <c r="D321" s="14" t="n"/>
      <c r="E321" s="15">
        <f>IF($D321="","",IFERROR(INDEX(rngCadetPIDs,MATCH($D321,rngCadetNames,0)),"?"))</f>
        <v/>
      </c>
      <c r="F321" s="14" t="n"/>
      <c r="G321" s="14" t="n"/>
      <c r="H321" s="14" t="n"/>
      <c r="I321" s="14" t="n"/>
      <c r="J321" s="14" t="n"/>
      <c r="K321" s="14" t="n"/>
      <c r="L321" s="15">
        <f>IF($D321="","",IF(AND($F321="Negative",OR($G321="Critical",$G321="Major")),"Yes","No"))</f>
        <v/>
      </c>
      <c r="M321" s="14" t="n"/>
      <c r="N321" s="14" t="n"/>
    </row>
    <row r="322">
      <c r="B322" s="15">
        <f>IF($D322="","","I"&amp;TEXT(ROW()-5,"000"))</f>
        <v/>
      </c>
      <c r="C322" s="16" t="n"/>
      <c r="D322" s="14" t="n"/>
      <c r="E322" s="15">
        <f>IF($D322="","",IFERROR(INDEX(rngCadetPIDs,MATCH($D322,rngCadetNames,0)),"?"))</f>
        <v/>
      </c>
      <c r="F322" s="14" t="n"/>
      <c r="G322" s="14" t="n"/>
      <c r="H322" s="14" t="n"/>
      <c r="I322" s="14" t="n"/>
      <c r="J322" s="14" t="n"/>
      <c r="K322" s="14" t="n"/>
      <c r="L322" s="15">
        <f>IF($D322="","",IF(AND($F322="Negative",OR($G322="Critical",$G322="Major")),"Yes","No"))</f>
        <v/>
      </c>
      <c r="M322" s="14" t="n"/>
      <c r="N322" s="14" t="n"/>
    </row>
    <row r="323">
      <c r="B323" s="15">
        <f>IF($D323="","","I"&amp;TEXT(ROW()-5,"000"))</f>
        <v/>
      </c>
      <c r="C323" s="16" t="n"/>
      <c r="D323" s="14" t="n"/>
      <c r="E323" s="15">
        <f>IF($D323="","",IFERROR(INDEX(rngCadetPIDs,MATCH($D323,rngCadetNames,0)),"?"))</f>
        <v/>
      </c>
      <c r="F323" s="14" t="n"/>
      <c r="G323" s="14" t="n"/>
      <c r="H323" s="14" t="n"/>
      <c r="I323" s="14" t="n"/>
      <c r="J323" s="14" t="n"/>
      <c r="K323" s="14" t="n"/>
      <c r="L323" s="15">
        <f>IF($D323="","",IF(AND($F323="Negative",OR($G323="Critical",$G323="Major")),"Yes","No"))</f>
        <v/>
      </c>
      <c r="M323" s="14" t="n"/>
      <c r="N323" s="14" t="n"/>
    </row>
    <row r="324">
      <c r="B324" s="15">
        <f>IF($D324="","","I"&amp;TEXT(ROW()-5,"000"))</f>
        <v/>
      </c>
      <c r="C324" s="16" t="n"/>
      <c r="D324" s="14" t="n"/>
      <c r="E324" s="15">
        <f>IF($D324="","",IFERROR(INDEX(rngCadetPIDs,MATCH($D324,rngCadetNames,0)),"?"))</f>
        <v/>
      </c>
      <c r="F324" s="14" t="n"/>
      <c r="G324" s="14" t="n"/>
      <c r="H324" s="14" t="n"/>
      <c r="I324" s="14" t="n"/>
      <c r="J324" s="14" t="n"/>
      <c r="K324" s="14" t="n"/>
      <c r="L324" s="15">
        <f>IF($D324="","",IF(AND($F324="Negative",OR($G324="Critical",$G324="Major")),"Yes","No"))</f>
        <v/>
      </c>
      <c r="M324" s="14" t="n"/>
      <c r="N324" s="14" t="n"/>
    </row>
    <row r="325">
      <c r="B325" s="15">
        <f>IF($D325="","","I"&amp;TEXT(ROW()-5,"000"))</f>
        <v/>
      </c>
      <c r="C325" s="16" t="n"/>
      <c r="D325" s="14" t="n"/>
      <c r="E325" s="15">
        <f>IF($D325="","",IFERROR(INDEX(rngCadetPIDs,MATCH($D325,rngCadetNames,0)),"?"))</f>
        <v/>
      </c>
      <c r="F325" s="14" t="n"/>
      <c r="G325" s="14" t="n"/>
      <c r="H325" s="14" t="n"/>
      <c r="I325" s="14" t="n"/>
      <c r="J325" s="14" t="n"/>
      <c r="K325" s="14" t="n"/>
      <c r="L325" s="15">
        <f>IF($D325="","",IF(AND($F325="Negative",OR($G325="Critical",$G325="Major")),"Yes","No"))</f>
        <v/>
      </c>
      <c r="M325" s="14" t="n"/>
      <c r="N325" s="14" t="n"/>
    </row>
    <row r="326">
      <c r="B326" s="15">
        <f>IF($D326="","","I"&amp;TEXT(ROW()-5,"000"))</f>
        <v/>
      </c>
      <c r="C326" s="16" t="n"/>
      <c r="D326" s="14" t="n"/>
      <c r="E326" s="15">
        <f>IF($D326="","",IFERROR(INDEX(rngCadetPIDs,MATCH($D326,rngCadetNames,0)),"?"))</f>
        <v/>
      </c>
      <c r="F326" s="14" t="n"/>
      <c r="G326" s="14" t="n"/>
      <c r="H326" s="14" t="n"/>
      <c r="I326" s="14" t="n"/>
      <c r="J326" s="14" t="n"/>
      <c r="K326" s="14" t="n"/>
      <c r="L326" s="15">
        <f>IF($D326="","",IF(AND($F326="Negative",OR($G326="Critical",$G326="Major")),"Yes","No"))</f>
        <v/>
      </c>
      <c r="M326" s="14" t="n"/>
      <c r="N326" s="14" t="n"/>
    </row>
    <row r="327">
      <c r="B327" s="15">
        <f>IF($D327="","","I"&amp;TEXT(ROW()-5,"000"))</f>
        <v/>
      </c>
      <c r="C327" s="16" t="n"/>
      <c r="D327" s="14" t="n"/>
      <c r="E327" s="15">
        <f>IF($D327="","",IFERROR(INDEX(rngCadetPIDs,MATCH($D327,rngCadetNames,0)),"?"))</f>
        <v/>
      </c>
      <c r="F327" s="14" t="n"/>
      <c r="G327" s="14" t="n"/>
      <c r="H327" s="14" t="n"/>
      <c r="I327" s="14" t="n"/>
      <c r="J327" s="14" t="n"/>
      <c r="K327" s="14" t="n"/>
      <c r="L327" s="15">
        <f>IF($D327="","",IF(AND($F327="Negative",OR($G327="Critical",$G327="Major")),"Yes","No"))</f>
        <v/>
      </c>
      <c r="M327" s="14" t="n"/>
      <c r="N327" s="14" t="n"/>
    </row>
    <row r="328">
      <c r="B328" s="15">
        <f>IF($D328="","","I"&amp;TEXT(ROW()-5,"000"))</f>
        <v/>
      </c>
      <c r="C328" s="16" t="n"/>
      <c r="D328" s="14" t="n"/>
      <c r="E328" s="15">
        <f>IF($D328="","",IFERROR(INDEX(rngCadetPIDs,MATCH($D328,rngCadetNames,0)),"?"))</f>
        <v/>
      </c>
      <c r="F328" s="14" t="n"/>
      <c r="G328" s="14" t="n"/>
      <c r="H328" s="14" t="n"/>
      <c r="I328" s="14" t="n"/>
      <c r="J328" s="14" t="n"/>
      <c r="K328" s="14" t="n"/>
      <c r="L328" s="15">
        <f>IF($D328="","",IF(AND($F328="Negative",OR($G328="Critical",$G328="Major")),"Yes","No"))</f>
        <v/>
      </c>
      <c r="M328" s="14" t="n"/>
      <c r="N328" s="14" t="n"/>
    </row>
    <row r="329">
      <c r="B329" s="15">
        <f>IF($D329="","","I"&amp;TEXT(ROW()-5,"000"))</f>
        <v/>
      </c>
      <c r="C329" s="16" t="n"/>
      <c r="D329" s="14" t="n"/>
      <c r="E329" s="15">
        <f>IF($D329="","",IFERROR(INDEX(rngCadetPIDs,MATCH($D329,rngCadetNames,0)),"?"))</f>
        <v/>
      </c>
      <c r="F329" s="14" t="n"/>
      <c r="G329" s="14" t="n"/>
      <c r="H329" s="14" t="n"/>
      <c r="I329" s="14" t="n"/>
      <c r="J329" s="14" t="n"/>
      <c r="K329" s="14" t="n"/>
      <c r="L329" s="15">
        <f>IF($D329="","",IF(AND($F329="Negative",OR($G329="Critical",$G329="Major")),"Yes","No"))</f>
        <v/>
      </c>
      <c r="M329" s="14" t="n"/>
      <c r="N329" s="14" t="n"/>
    </row>
    <row r="330">
      <c r="B330" s="15">
        <f>IF($D330="","","I"&amp;TEXT(ROW()-5,"000"))</f>
        <v/>
      </c>
      <c r="C330" s="16" t="n"/>
      <c r="D330" s="14" t="n"/>
      <c r="E330" s="15">
        <f>IF($D330="","",IFERROR(INDEX(rngCadetPIDs,MATCH($D330,rngCadetNames,0)),"?"))</f>
        <v/>
      </c>
      <c r="F330" s="14" t="n"/>
      <c r="G330" s="14" t="n"/>
      <c r="H330" s="14" t="n"/>
      <c r="I330" s="14" t="n"/>
      <c r="J330" s="14" t="n"/>
      <c r="K330" s="14" t="n"/>
      <c r="L330" s="15">
        <f>IF($D330="","",IF(AND($F330="Negative",OR($G330="Critical",$G330="Major")),"Yes","No"))</f>
        <v/>
      </c>
      <c r="M330" s="14" t="n"/>
      <c r="N330" s="14" t="n"/>
    </row>
    <row r="331">
      <c r="B331" s="15">
        <f>IF($D331="","","I"&amp;TEXT(ROW()-5,"000"))</f>
        <v/>
      </c>
      <c r="C331" s="16" t="n"/>
      <c r="D331" s="14" t="n"/>
      <c r="E331" s="15">
        <f>IF($D331="","",IFERROR(INDEX(rngCadetPIDs,MATCH($D331,rngCadetNames,0)),"?"))</f>
        <v/>
      </c>
      <c r="F331" s="14" t="n"/>
      <c r="G331" s="14" t="n"/>
      <c r="H331" s="14" t="n"/>
      <c r="I331" s="14" t="n"/>
      <c r="J331" s="14" t="n"/>
      <c r="K331" s="14" t="n"/>
      <c r="L331" s="15">
        <f>IF($D331="","",IF(AND($F331="Negative",OR($G331="Critical",$G331="Major")),"Yes","No"))</f>
        <v/>
      </c>
      <c r="M331" s="14" t="n"/>
      <c r="N331" s="14" t="n"/>
    </row>
    <row r="332">
      <c r="B332" s="15">
        <f>IF($D332="","","I"&amp;TEXT(ROW()-5,"000"))</f>
        <v/>
      </c>
      <c r="C332" s="16" t="n"/>
      <c r="D332" s="14" t="n"/>
      <c r="E332" s="15">
        <f>IF($D332="","",IFERROR(INDEX(rngCadetPIDs,MATCH($D332,rngCadetNames,0)),"?"))</f>
        <v/>
      </c>
      <c r="F332" s="14" t="n"/>
      <c r="G332" s="14" t="n"/>
      <c r="H332" s="14" t="n"/>
      <c r="I332" s="14" t="n"/>
      <c r="J332" s="14" t="n"/>
      <c r="K332" s="14" t="n"/>
      <c r="L332" s="15">
        <f>IF($D332="","",IF(AND($F332="Negative",OR($G332="Critical",$G332="Major")),"Yes","No"))</f>
        <v/>
      </c>
      <c r="M332" s="14" t="n"/>
      <c r="N332" s="14" t="n"/>
    </row>
    <row r="333">
      <c r="B333" s="15">
        <f>IF($D333="","","I"&amp;TEXT(ROW()-5,"000"))</f>
        <v/>
      </c>
      <c r="C333" s="16" t="n"/>
      <c r="D333" s="14" t="n"/>
      <c r="E333" s="15">
        <f>IF($D333="","",IFERROR(INDEX(rngCadetPIDs,MATCH($D333,rngCadetNames,0)),"?"))</f>
        <v/>
      </c>
      <c r="F333" s="14" t="n"/>
      <c r="G333" s="14" t="n"/>
      <c r="H333" s="14" t="n"/>
      <c r="I333" s="14" t="n"/>
      <c r="J333" s="14" t="n"/>
      <c r="K333" s="14" t="n"/>
      <c r="L333" s="15">
        <f>IF($D333="","",IF(AND($F333="Negative",OR($G333="Critical",$G333="Major")),"Yes","No"))</f>
        <v/>
      </c>
      <c r="M333" s="14" t="n"/>
      <c r="N333" s="14" t="n"/>
    </row>
    <row r="334">
      <c r="B334" s="15">
        <f>IF($D334="","","I"&amp;TEXT(ROW()-5,"000"))</f>
        <v/>
      </c>
      <c r="C334" s="16" t="n"/>
      <c r="D334" s="14" t="n"/>
      <c r="E334" s="15">
        <f>IF($D334="","",IFERROR(INDEX(rngCadetPIDs,MATCH($D334,rngCadetNames,0)),"?"))</f>
        <v/>
      </c>
      <c r="F334" s="14" t="n"/>
      <c r="G334" s="14" t="n"/>
      <c r="H334" s="14" t="n"/>
      <c r="I334" s="14" t="n"/>
      <c r="J334" s="14" t="n"/>
      <c r="K334" s="14" t="n"/>
      <c r="L334" s="15">
        <f>IF($D334="","",IF(AND($F334="Negative",OR($G334="Critical",$G334="Major")),"Yes","No"))</f>
        <v/>
      </c>
      <c r="M334" s="14" t="n"/>
      <c r="N334" s="14" t="n"/>
    </row>
    <row r="335">
      <c r="B335" s="15">
        <f>IF($D335="","","I"&amp;TEXT(ROW()-5,"000"))</f>
        <v/>
      </c>
      <c r="C335" s="16" t="n"/>
      <c r="D335" s="14" t="n"/>
      <c r="E335" s="15">
        <f>IF($D335="","",IFERROR(INDEX(rngCadetPIDs,MATCH($D335,rngCadetNames,0)),"?"))</f>
        <v/>
      </c>
      <c r="F335" s="14" t="n"/>
      <c r="G335" s="14" t="n"/>
      <c r="H335" s="14" t="n"/>
      <c r="I335" s="14" t="n"/>
      <c r="J335" s="14" t="n"/>
      <c r="K335" s="14" t="n"/>
      <c r="L335" s="15">
        <f>IF($D335="","",IF(AND($F335="Negative",OR($G335="Critical",$G335="Major")),"Yes","No"))</f>
        <v/>
      </c>
      <c r="M335" s="14" t="n"/>
      <c r="N335" s="14" t="n"/>
    </row>
    <row r="336">
      <c r="B336" s="15">
        <f>IF($D336="","","I"&amp;TEXT(ROW()-5,"000"))</f>
        <v/>
      </c>
      <c r="C336" s="16" t="n"/>
      <c r="D336" s="14" t="n"/>
      <c r="E336" s="15">
        <f>IF($D336="","",IFERROR(INDEX(rngCadetPIDs,MATCH($D336,rngCadetNames,0)),"?"))</f>
        <v/>
      </c>
      <c r="F336" s="14" t="n"/>
      <c r="G336" s="14" t="n"/>
      <c r="H336" s="14" t="n"/>
      <c r="I336" s="14" t="n"/>
      <c r="J336" s="14" t="n"/>
      <c r="K336" s="14" t="n"/>
      <c r="L336" s="15">
        <f>IF($D336="","",IF(AND($F336="Negative",OR($G336="Critical",$G336="Major")),"Yes","No"))</f>
        <v/>
      </c>
      <c r="M336" s="14" t="n"/>
      <c r="N336" s="14" t="n"/>
    </row>
    <row r="337">
      <c r="B337" s="15">
        <f>IF($D337="","","I"&amp;TEXT(ROW()-5,"000"))</f>
        <v/>
      </c>
      <c r="C337" s="16" t="n"/>
      <c r="D337" s="14" t="n"/>
      <c r="E337" s="15">
        <f>IF($D337="","",IFERROR(INDEX(rngCadetPIDs,MATCH($D337,rngCadetNames,0)),"?"))</f>
        <v/>
      </c>
      <c r="F337" s="14" t="n"/>
      <c r="G337" s="14" t="n"/>
      <c r="H337" s="14" t="n"/>
      <c r="I337" s="14" t="n"/>
      <c r="J337" s="14" t="n"/>
      <c r="K337" s="14" t="n"/>
      <c r="L337" s="15">
        <f>IF($D337="","",IF(AND($F337="Negative",OR($G337="Critical",$G337="Major")),"Yes","No"))</f>
        <v/>
      </c>
      <c r="M337" s="14" t="n"/>
      <c r="N337" s="14" t="n"/>
    </row>
    <row r="338">
      <c r="B338" s="15">
        <f>IF($D338="","","I"&amp;TEXT(ROW()-5,"000"))</f>
        <v/>
      </c>
      <c r="C338" s="16" t="n"/>
      <c r="D338" s="14" t="n"/>
      <c r="E338" s="15">
        <f>IF($D338="","",IFERROR(INDEX(rngCadetPIDs,MATCH($D338,rngCadetNames,0)),"?"))</f>
        <v/>
      </c>
      <c r="F338" s="14" t="n"/>
      <c r="G338" s="14" t="n"/>
      <c r="H338" s="14" t="n"/>
      <c r="I338" s="14" t="n"/>
      <c r="J338" s="14" t="n"/>
      <c r="K338" s="14" t="n"/>
      <c r="L338" s="15">
        <f>IF($D338="","",IF(AND($F338="Negative",OR($G338="Critical",$G338="Major")),"Yes","No"))</f>
        <v/>
      </c>
      <c r="M338" s="14" t="n"/>
      <c r="N338" s="14" t="n"/>
    </row>
    <row r="339">
      <c r="B339" s="15">
        <f>IF($D339="","","I"&amp;TEXT(ROW()-5,"000"))</f>
        <v/>
      </c>
      <c r="C339" s="16" t="n"/>
      <c r="D339" s="14" t="n"/>
      <c r="E339" s="15">
        <f>IF($D339="","",IFERROR(INDEX(rngCadetPIDs,MATCH($D339,rngCadetNames,0)),"?"))</f>
        <v/>
      </c>
      <c r="F339" s="14" t="n"/>
      <c r="G339" s="14" t="n"/>
      <c r="H339" s="14" t="n"/>
      <c r="I339" s="14" t="n"/>
      <c r="J339" s="14" t="n"/>
      <c r="K339" s="14" t="n"/>
      <c r="L339" s="15">
        <f>IF($D339="","",IF(AND($F339="Negative",OR($G339="Critical",$G339="Major")),"Yes","No"))</f>
        <v/>
      </c>
      <c r="M339" s="14" t="n"/>
      <c r="N339" s="14" t="n"/>
    </row>
    <row r="340">
      <c r="B340" s="15">
        <f>IF($D340="","","I"&amp;TEXT(ROW()-5,"000"))</f>
        <v/>
      </c>
      <c r="C340" s="16" t="n"/>
      <c r="D340" s="14" t="n"/>
      <c r="E340" s="15">
        <f>IF($D340="","",IFERROR(INDEX(rngCadetPIDs,MATCH($D340,rngCadetNames,0)),"?"))</f>
        <v/>
      </c>
      <c r="F340" s="14" t="n"/>
      <c r="G340" s="14" t="n"/>
      <c r="H340" s="14" t="n"/>
      <c r="I340" s="14" t="n"/>
      <c r="J340" s="14" t="n"/>
      <c r="K340" s="14" t="n"/>
      <c r="L340" s="15">
        <f>IF($D340="","",IF(AND($F340="Negative",OR($G340="Critical",$G340="Major")),"Yes","No"))</f>
        <v/>
      </c>
      <c r="M340" s="14" t="n"/>
      <c r="N340" s="14" t="n"/>
    </row>
    <row r="341">
      <c r="B341" s="15">
        <f>IF($D341="","","I"&amp;TEXT(ROW()-5,"000"))</f>
        <v/>
      </c>
      <c r="C341" s="16" t="n"/>
      <c r="D341" s="14" t="n"/>
      <c r="E341" s="15">
        <f>IF($D341="","",IFERROR(INDEX(rngCadetPIDs,MATCH($D341,rngCadetNames,0)),"?"))</f>
        <v/>
      </c>
      <c r="F341" s="14" t="n"/>
      <c r="G341" s="14" t="n"/>
      <c r="H341" s="14" t="n"/>
      <c r="I341" s="14" t="n"/>
      <c r="J341" s="14" t="n"/>
      <c r="K341" s="14" t="n"/>
      <c r="L341" s="15">
        <f>IF($D341="","",IF(AND($F341="Negative",OR($G341="Critical",$G341="Major")),"Yes","No"))</f>
        <v/>
      </c>
      <c r="M341" s="14" t="n"/>
      <c r="N341" s="14" t="n"/>
    </row>
    <row r="342">
      <c r="B342" s="15">
        <f>IF($D342="","","I"&amp;TEXT(ROW()-5,"000"))</f>
        <v/>
      </c>
      <c r="C342" s="16" t="n"/>
      <c r="D342" s="14" t="n"/>
      <c r="E342" s="15">
        <f>IF($D342="","",IFERROR(INDEX(rngCadetPIDs,MATCH($D342,rngCadetNames,0)),"?"))</f>
        <v/>
      </c>
      <c r="F342" s="14" t="n"/>
      <c r="G342" s="14" t="n"/>
      <c r="H342" s="14" t="n"/>
      <c r="I342" s="14" t="n"/>
      <c r="J342" s="14" t="n"/>
      <c r="K342" s="14" t="n"/>
      <c r="L342" s="15">
        <f>IF($D342="","",IF(AND($F342="Negative",OR($G342="Critical",$G342="Major")),"Yes","No"))</f>
        <v/>
      </c>
      <c r="M342" s="14" t="n"/>
      <c r="N342" s="14" t="n"/>
    </row>
    <row r="343">
      <c r="B343" s="15">
        <f>IF($D343="","","I"&amp;TEXT(ROW()-5,"000"))</f>
        <v/>
      </c>
      <c r="C343" s="16" t="n"/>
      <c r="D343" s="14" t="n"/>
      <c r="E343" s="15">
        <f>IF($D343="","",IFERROR(INDEX(rngCadetPIDs,MATCH($D343,rngCadetNames,0)),"?"))</f>
        <v/>
      </c>
      <c r="F343" s="14" t="n"/>
      <c r="G343" s="14" t="n"/>
      <c r="H343" s="14" t="n"/>
      <c r="I343" s="14" t="n"/>
      <c r="J343" s="14" t="n"/>
      <c r="K343" s="14" t="n"/>
      <c r="L343" s="15">
        <f>IF($D343="","",IF(AND($F343="Negative",OR($G343="Critical",$G343="Major")),"Yes","No"))</f>
        <v/>
      </c>
      <c r="M343" s="14" t="n"/>
      <c r="N343" s="14" t="n"/>
    </row>
    <row r="344">
      <c r="B344" s="15">
        <f>IF($D344="","","I"&amp;TEXT(ROW()-5,"000"))</f>
        <v/>
      </c>
      <c r="C344" s="16" t="n"/>
      <c r="D344" s="14" t="n"/>
      <c r="E344" s="15">
        <f>IF($D344="","",IFERROR(INDEX(rngCadetPIDs,MATCH($D344,rngCadetNames,0)),"?"))</f>
        <v/>
      </c>
      <c r="F344" s="14" t="n"/>
      <c r="G344" s="14" t="n"/>
      <c r="H344" s="14" t="n"/>
      <c r="I344" s="14" t="n"/>
      <c r="J344" s="14" t="n"/>
      <c r="K344" s="14" t="n"/>
      <c r="L344" s="15">
        <f>IF($D344="","",IF(AND($F344="Negative",OR($G344="Critical",$G344="Major")),"Yes","No"))</f>
        <v/>
      </c>
      <c r="M344" s="14" t="n"/>
      <c r="N344" s="14" t="n"/>
    </row>
    <row r="345">
      <c r="B345" s="15">
        <f>IF($D345="","","I"&amp;TEXT(ROW()-5,"000"))</f>
        <v/>
      </c>
      <c r="C345" s="16" t="n"/>
      <c r="D345" s="14" t="n"/>
      <c r="E345" s="15">
        <f>IF($D345="","",IFERROR(INDEX(rngCadetPIDs,MATCH($D345,rngCadetNames,0)),"?"))</f>
        <v/>
      </c>
      <c r="F345" s="14" t="n"/>
      <c r="G345" s="14" t="n"/>
      <c r="H345" s="14" t="n"/>
      <c r="I345" s="14" t="n"/>
      <c r="J345" s="14" t="n"/>
      <c r="K345" s="14" t="n"/>
      <c r="L345" s="15">
        <f>IF($D345="","",IF(AND($F345="Negative",OR($G345="Critical",$G345="Major")),"Yes","No"))</f>
        <v/>
      </c>
      <c r="M345" s="14" t="n"/>
      <c r="N345" s="14" t="n"/>
    </row>
    <row r="346">
      <c r="B346" s="15">
        <f>IF($D346="","","I"&amp;TEXT(ROW()-5,"000"))</f>
        <v/>
      </c>
      <c r="C346" s="16" t="n"/>
      <c r="D346" s="14" t="n"/>
      <c r="E346" s="15">
        <f>IF($D346="","",IFERROR(INDEX(rngCadetPIDs,MATCH($D346,rngCadetNames,0)),"?"))</f>
        <v/>
      </c>
      <c r="F346" s="14" t="n"/>
      <c r="G346" s="14" t="n"/>
      <c r="H346" s="14" t="n"/>
      <c r="I346" s="14" t="n"/>
      <c r="J346" s="14" t="n"/>
      <c r="K346" s="14" t="n"/>
      <c r="L346" s="15">
        <f>IF($D346="","",IF(AND($F346="Negative",OR($G346="Critical",$G346="Major")),"Yes","No"))</f>
        <v/>
      </c>
      <c r="M346" s="14" t="n"/>
      <c r="N346" s="14" t="n"/>
    </row>
    <row r="347">
      <c r="B347" s="15">
        <f>IF($D347="","","I"&amp;TEXT(ROW()-5,"000"))</f>
        <v/>
      </c>
      <c r="C347" s="16" t="n"/>
      <c r="D347" s="14" t="n"/>
      <c r="E347" s="15">
        <f>IF($D347="","",IFERROR(INDEX(rngCadetPIDs,MATCH($D347,rngCadetNames,0)),"?"))</f>
        <v/>
      </c>
      <c r="F347" s="14" t="n"/>
      <c r="G347" s="14" t="n"/>
      <c r="H347" s="14" t="n"/>
      <c r="I347" s="14" t="n"/>
      <c r="J347" s="14" t="n"/>
      <c r="K347" s="14" t="n"/>
      <c r="L347" s="15">
        <f>IF($D347="","",IF(AND($F347="Negative",OR($G347="Critical",$G347="Major")),"Yes","No"))</f>
        <v/>
      </c>
      <c r="M347" s="14" t="n"/>
      <c r="N347" s="14" t="n"/>
    </row>
    <row r="348">
      <c r="B348" s="15">
        <f>IF($D348="","","I"&amp;TEXT(ROW()-5,"000"))</f>
        <v/>
      </c>
      <c r="C348" s="16" t="n"/>
      <c r="D348" s="14" t="n"/>
      <c r="E348" s="15">
        <f>IF($D348="","",IFERROR(INDEX(rngCadetPIDs,MATCH($D348,rngCadetNames,0)),"?"))</f>
        <v/>
      </c>
      <c r="F348" s="14" t="n"/>
      <c r="G348" s="14" t="n"/>
      <c r="H348" s="14" t="n"/>
      <c r="I348" s="14" t="n"/>
      <c r="J348" s="14" t="n"/>
      <c r="K348" s="14" t="n"/>
      <c r="L348" s="15">
        <f>IF($D348="","",IF(AND($F348="Negative",OR($G348="Critical",$G348="Major")),"Yes","No"))</f>
        <v/>
      </c>
      <c r="M348" s="14" t="n"/>
      <c r="N348" s="14" t="n"/>
    </row>
    <row r="349">
      <c r="B349" s="15">
        <f>IF($D349="","","I"&amp;TEXT(ROW()-5,"000"))</f>
        <v/>
      </c>
      <c r="C349" s="16" t="n"/>
      <c r="D349" s="14" t="n"/>
      <c r="E349" s="15">
        <f>IF($D349="","",IFERROR(INDEX(rngCadetPIDs,MATCH($D349,rngCadetNames,0)),"?"))</f>
        <v/>
      </c>
      <c r="F349" s="14" t="n"/>
      <c r="G349" s="14" t="n"/>
      <c r="H349" s="14" t="n"/>
      <c r="I349" s="14" t="n"/>
      <c r="J349" s="14" t="n"/>
      <c r="K349" s="14" t="n"/>
      <c r="L349" s="15">
        <f>IF($D349="","",IF(AND($F349="Negative",OR($G349="Critical",$G349="Major")),"Yes","No"))</f>
        <v/>
      </c>
      <c r="M349" s="14" t="n"/>
      <c r="N349" s="14" t="n"/>
    </row>
    <row r="350">
      <c r="B350" s="15">
        <f>IF($D350="","","I"&amp;TEXT(ROW()-5,"000"))</f>
        <v/>
      </c>
      <c r="C350" s="16" t="n"/>
      <c r="D350" s="14" t="n"/>
      <c r="E350" s="15">
        <f>IF($D350="","",IFERROR(INDEX(rngCadetPIDs,MATCH($D350,rngCadetNames,0)),"?"))</f>
        <v/>
      </c>
      <c r="F350" s="14" t="n"/>
      <c r="G350" s="14" t="n"/>
      <c r="H350" s="14" t="n"/>
      <c r="I350" s="14" t="n"/>
      <c r="J350" s="14" t="n"/>
      <c r="K350" s="14" t="n"/>
      <c r="L350" s="15">
        <f>IF($D350="","",IF(AND($F350="Negative",OR($G350="Critical",$G350="Major")),"Yes","No"))</f>
        <v/>
      </c>
      <c r="M350" s="14" t="n"/>
      <c r="N350" s="14" t="n"/>
    </row>
    <row r="351">
      <c r="B351" s="15">
        <f>IF($D351="","","I"&amp;TEXT(ROW()-5,"000"))</f>
        <v/>
      </c>
      <c r="C351" s="16" t="n"/>
      <c r="D351" s="14" t="n"/>
      <c r="E351" s="15">
        <f>IF($D351="","",IFERROR(INDEX(rngCadetPIDs,MATCH($D351,rngCadetNames,0)),"?"))</f>
        <v/>
      </c>
      <c r="F351" s="14" t="n"/>
      <c r="G351" s="14" t="n"/>
      <c r="H351" s="14" t="n"/>
      <c r="I351" s="14" t="n"/>
      <c r="J351" s="14" t="n"/>
      <c r="K351" s="14" t="n"/>
      <c r="L351" s="15">
        <f>IF($D351="","",IF(AND($F351="Negative",OR($G351="Critical",$G351="Major")),"Yes","No"))</f>
        <v/>
      </c>
      <c r="M351" s="14" t="n"/>
      <c r="N351" s="14" t="n"/>
    </row>
    <row r="352">
      <c r="B352" s="15">
        <f>IF($D352="","","I"&amp;TEXT(ROW()-5,"000"))</f>
        <v/>
      </c>
      <c r="C352" s="16" t="n"/>
      <c r="D352" s="14" t="n"/>
      <c r="E352" s="15">
        <f>IF($D352="","",IFERROR(INDEX(rngCadetPIDs,MATCH($D352,rngCadetNames,0)),"?"))</f>
        <v/>
      </c>
      <c r="F352" s="14" t="n"/>
      <c r="G352" s="14" t="n"/>
      <c r="H352" s="14" t="n"/>
      <c r="I352" s="14" t="n"/>
      <c r="J352" s="14" t="n"/>
      <c r="K352" s="14" t="n"/>
      <c r="L352" s="15">
        <f>IF($D352="","",IF(AND($F352="Negative",OR($G352="Critical",$G352="Major")),"Yes","No"))</f>
        <v/>
      </c>
      <c r="M352" s="14" t="n"/>
      <c r="N352" s="14" t="n"/>
    </row>
    <row r="353">
      <c r="B353" s="15">
        <f>IF($D353="","","I"&amp;TEXT(ROW()-5,"000"))</f>
        <v/>
      </c>
      <c r="C353" s="16" t="n"/>
      <c r="D353" s="14" t="n"/>
      <c r="E353" s="15">
        <f>IF($D353="","",IFERROR(INDEX(rngCadetPIDs,MATCH($D353,rngCadetNames,0)),"?"))</f>
        <v/>
      </c>
      <c r="F353" s="14" t="n"/>
      <c r="G353" s="14" t="n"/>
      <c r="H353" s="14" t="n"/>
      <c r="I353" s="14" t="n"/>
      <c r="J353" s="14" t="n"/>
      <c r="K353" s="14" t="n"/>
      <c r="L353" s="15">
        <f>IF($D353="","",IF(AND($F353="Negative",OR($G353="Critical",$G353="Major")),"Yes","No"))</f>
        <v/>
      </c>
      <c r="M353" s="14" t="n"/>
      <c r="N353" s="14" t="n"/>
    </row>
    <row r="354">
      <c r="B354" s="15">
        <f>IF($D354="","","I"&amp;TEXT(ROW()-5,"000"))</f>
        <v/>
      </c>
      <c r="C354" s="16" t="n"/>
      <c r="D354" s="14" t="n"/>
      <c r="E354" s="15">
        <f>IF($D354="","",IFERROR(INDEX(rngCadetPIDs,MATCH($D354,rngCadetNames,0)),"?"))</f>
        <v/>
      </c>
      <c r="F354" s="14" t="n"/>
      <c r="G354" s="14" t="n"/>
      <c r="H354" s="14" t="n"/>
      <c r="I354" s="14" t="n"/>
      <c r="J354" s="14" t="n"/>
      <c r="K354" s="14" t="n"/>
      <c r="L354" s="15">
        <f>IF($D354="","",IF(AND($F354="Negative",OR($G354="Critical",$G354="Major")),"Yes","No"))</f>
        <v/>
      </c>
      <c r="M354" s="14" t="n"/>
      <c r="N354" s="14" t="n"/>
    </row>
    <row r="355">
      <c r="B355" s="15">
        <f>IF($D355="","","I"&amp;TEXT(ROW()-5,"000"))</f>
        <v/>
      </c>
      <c r="C355" s="16" t="n"/>
      <c r="D355" s="14" t="n"/>
      <c r="E355" s="15">
        <f>IF($D355="","",IFERROR(INDEX(rngCadetPIDs,MATCH($D355,rngCadetNames,0)),"?"))</f>
        <v/>
      </c>
      <c r="F355" s="14" t="n"/>
      <c r="G355" s="14" t="n"/>
      <c r="H355" s="14" t="n"/>
      <c r="I355" s="14" t="n"/>
      <c r="J355" s="14" t="n"/>
      <c r="K355" s="14" t="n"/>
      <c r="L355" s="15">
        <f>IF($D355="","",IF(AND($F355="Negative",OR($G355="Critical",$G355="Major")),"Yes","No"))</f>
        <v/>
      </c>
      <c r="M355" s="14" t="n"/>
      <c r="N355" s="14" t="n"/>
    </row>
    <row r="356">
      <c r="B356" s="15">
        <f>IF($D356="","","I"&amp;TEXT(ROW()-5,"000"))</f>
        <v/>
      </c>
      <c r="C356" s="16" t="n"/>
      <c r="D356" s="14" t="n"/>
      <c r="E356" s="15">
        <f>IF($D356="","",IFERROR(INDEX(rngCadetPIDs,MATCH($D356,rngCadetNames,0)),"?"))</f>
        <v/>
      </c>
      <c r="F356" s="14" t="n"/>
      <c r="G356" s="14" t="n"/>
      <c r="H356" s="14" t="n"/>
      <c r="I356" s="14" t="n"/>
      <c r="J356" s="14" t="n"/>
      <c r="K356" s="14" t="n"/>
      <c r="L356" s="15">
        <f>IF($D356="","",IF(AND($F356="Negative",OR($G356="Critical",$G356="Major")),"Yes","No"))</f>
        <v/>
      </c>
      <c r="M356" s="14" t="n"/>
      <c r="N356" s="14" t="n"/>
    </row>
    <row r="357">
      <c r="B357" s="15">
        <f>IF($D357="","","I"&amp;TEXT(ROW()-5,"000"))</f>
        <v/>
      </c>
      <c r="C357" s="16" t="n"/>
      <c r="D357" s="14" t="n"/>
      <c r="E357" s="15">
        <f>IF($D357="","",IFERROR(INDEX(rngCadetPIDs,MATCH($D357,rngCadetNames,0)),"?"))</f>
        <v/>
      </c>
      <c r="F357" s="14" t="n"/>
      <c r="G357" s="14" t="n"/>
      <c r="H357" s="14" t="n"/>
      <c r="I357" s="14" t="n"/>
      <c r="J357" s="14" t="n"/>
      <c r="K357" s="14" t="n"/>
      <c r="L357" s="15">
        <f>IF($D357="","",IF(AND($F357="Negative",OR($G357="Critical",$G357="Major")),"Yes","No"))</f>
        <v/>
      </c>
      <c r="M357" s="14" t="n"/>
      <c r="N357" s="14" t="n"/>
    </row>
    <row r="358">
      <c r="B358" s="15">
        <f>IF($D358="","","I"&amp;TEXT(ROW()-5,"000"))</f>
        <v/>
      </c>
      <c r="C358" s="16" t="n"/>
      <c r="D358" s="14" t="n"/>
      <c r="E358" s="15">
        <f>IF($D358="","",IFERROR(INDEX(rngCadetPIDs,MATCH($D358,rngCadetNames,0)),"?"))</f>
        <v/>
      </c>
      <c r="F358" s="14" t="n"/>
      <c r="G358" s="14" t="n"/>
      <c r="H358" s="14" t="n"/>
      <c r="I358" s="14" t="n"/>
      <c r="J358" s="14" t="n"/>
      <c r="K358" s="14" t="n"/>
      <c r="L358" s="15">
        <f>IF($D358="","",IF(AND($F358="Negative",OR($G358="Critical",$G358="Major")),"Yes","No"))</f>
        <v/>
      </c>
      <c r="M358" s="14" t="n"/>
      <c r="N358" s="14" t="n"/>
    </row>
    <row r="359">
      <c r="B359" s="15">
        <f>IF($D359="","","I"&amp;TEXT(ROW()-5,"000"))</f>
        <v/>
      </c>
      <c r="C359" s="16" t="n"/>
      <c r="D359" s="14" t="n"/>
      <c r="E359" s="15">
        <f>IF($D359="","",IFERROR(INDEX(rngCadetPIDs,MATCH($D359,rngCadetNames,0)),"?"))</f>
        <v/>
      </c>
      <c r="F359" s="14" t="n"/>
      <c r="G359" s="14" t="n"/>
      <c r="H359" s="14" t="n"/>
      <c r="I359" s="14" t="n"/>
      <c r="J359" s="14" t="n"/>
      <c r="K359" s="14" t="n"/>
      <c r="L359" s="15">
        <f>IF($D359="","",IF(AND($F359="Negative",OR($G359="Critical",$G359="Major")),"Yes","No"))</f>
        <v/>
      </c>
      <c r="M359" s="14" t="n"/>
      <c r="N359" s="14" t="n"/>
    </row>
    <row r="360">
      <c r="B360" s="15">
        <f>IF($D360="","","I"&amp;TEXT(ROW()-5,"000"))</f>
        <v/>
      </c>
      <c r="C360" s="16" t="n"/>
      <c r="D360" s="14" t="n"/>
      <c r="E360" s="15">
        <f>IF($D360="","",IFERROR(INDEX(rngCadetPIDs,MATCH($D360,rngCadetNames,0)),"?"))</f>
        <v/>
      </c>
      <c r="F360" s="14" t="n"/>
      <c r="G360" s="14" t="n"/>
      <c r="H360" s="14" t="n"/>
      <c r="I360" s="14" t="n"/>
      <c r="J360" s="14" t="n"/>
      <c r="K360" s="14" t="n"/>
      <c r="L360" s="15">
        <f>IF($D360="","",IF(AND($F360="Negative",OR($G360="Critical",$G360="Major")),"Yes","No"))</f>
        <v/>
      </c>
      <c r="M360" s="14" t="n"/>
      <c r="N360" s="14" t="n"/>
    </row>
    <row r="361">
      <c r="B361" s="15">
        <f>IF($D361="","","I"&amp;TEXT(ROW()-5,"000"))</f>
        <v/>
      </c>
      <c r="C361" s="16" t="n"/>
      <c r="D361" s="14" t="n"/>
      <c r="E361" s="15">
        <f>IF($D361="","",IFERROR(INDEX(rngCadetPIDs,MATCH($D361,rngCadetNames,0)),"?"))</f>
        <v/>
      </c>
      <c r="F361" s="14" t="n"/>
      <c r="G361" s="14" t="n"/>
      <c r="H361" s="14" t="n"/>
      <c r="I361" s="14" t="n"/>
      <c r="J361" s="14" t="n"/>
      <c r="K361" s="14" t="n"/>
      <c r="L361" s="15">
        <f>IF($D361="","",IF(AND($F361="Negative",OR($G361="Critical",$G361="Major")),"Yes","No"))</f>
        <v/>
      </c>
      <c r="M361" s="14" t="n"/>
      <c r="N361" s="14" t="n"/>
    </row>
    <row r="362">
      <c r="B362" s="15">
        <f>IF($D362="","","I"&amp;TEXT(ROW()-5,"000"))</f>
        <v/>
      </c>
      <c r="C362" s="16" t="n"/>
      <c r="D362" s="14" t="n"/>
      <c r="E362" s="15">
        <f>IF($D362="","",IFERROR(INDEX(rngCadetPIDs,MATCH($D362,rngCadetNames,0)),"?"))</f>
        <v/>
      </c>
      <c r="F362" s="14" t="n"/>
      <c r="G362" s="14" t="n"/>
      <c r="H362" s="14" t="n"/>
      <c r="I362" s="14" t="n"/>
      <c r="J362" s="14" t="n"/>
      <c r="K362" s="14" t="n"/>
      <c r="L362" s="15">
        <f>IF($D362="","",IF(AND($F362="Negative",OR($G362="Critical",$G362="Major")),"Yes","No"))</f>
        <v/>
      </c>
      <c r="M362" s="14" t="n"/>
      <c r="N362" s="14" t="n"/>
    </row>
    <row r="363">
      <c r="B363" s="15">
        <f>IF($D363="","","I"&amp;TEXT(ROW()-5,"000"))</f>
        <v/>
      </c>
      <c r="C363" s="16" t="n"/>
      <c r="D363" s="14" t="n"/>
      <c r="E363" s="15">
        <f>IF($D363="","",IFERROR(INDEX(rngCadetPIDs,MATCH($D363,rngCadetNames,0)),"?"))</f>
        <v/>
      </c>
      <c r="F363" s="14" t="n"/>
      <c r="G363" s="14" t="n"/>
      <c r="H363" s="14" t="n"/>
      <c r="I363" s="14" t="n"/>
      <c r="J363" s="14" t="n"/>
      <c r="K363" s="14" t="n"/>
      <c r="L363" s="15">
        <f>IF($D363="","",IF(AND($F363="Negative",OR($G363="Critical",$G363="Major")),"Yes","No"))</f>
        <v/>
      </c>
      <c r="M363" s="14" t="n"/>
      <c r="N363" s="14" t="n"/>
    </row>
    <row r="364">
      <c r="B364" s="15">
        <f>IF($D364="","","I"&amp;TEXT(ROW()-5,"000"))</f>
        <v/>
      </c>
      <c r="C364" s="16" t="n"/>
      <c r="D364" s="14" t="n"/>
      <c r="E364" s="15">
        <f>IF($D364="","",IFERROR(INDEX(rngCadetPIDs,MATCH($D364,rngCadetNames,0)),"?"))</f>
        <v/>
      </c>
      <c r="F364" s="14" t="n"/>
      <c r="G364" s="14" t="n"/>
      <c r="H364" s="14" t="n"/>
      <c r="I364" s="14" t="n"/>
      <c r="J364" s="14" t="n"/>
      <c r="K364" s="14" t="n"/>
      <c r="L364" s="15">
        <f>IF($D364="","",IF(AND($F364="Negative",OR($G364="Critical",$G364="Major")),"Yes","No"))</f>
        <v/>
      </c>
      <c r="M364" s="14" t="n"/>
      <c r="N364" s="14" t="n"/>
    </row>
    <row r="365">
      <c r="B365" s="15">
        <f>IF($D365="","","I"&amp;TEXT(ROW()-5,"000"))</f>
        <v/>
      </c>
      <c r="C365" s="16" t="n"/>
      <c r="D365" s="14" t="n"/>
      <c r="E365" s="15">
        <f>IF($D365="","",IFERROR(INDEX(rngCadetPIDs,MATCH($D365,rngCadetNames,0)),"?"))</f>
        <v/>
      </c>
      <c r="F365" s="14" t="n"/>
      <c r="G365" s="14" t="n"/>
      <c r="H365" s="14" t="n"/>
      <c r="I365" s="14" t="n"/>
      <c r="J365" s="14" t="n"/>
      <c r="K365" s="14" t="n"/>
      <c r="L365" s="15">
        <f>IF($D365="","",IF(AND($F365="Negative",OR($G365="Critical",$G365="Major")),"Yes","No"))</f>
        <v/>
      </c>
      <c r="M365" s="14" t="n"/>
      <c r="N365" s="14" t="n"/>
    </row>
    <row r="366">
      <c r="B366" s="15">
        <f>IF($D366="","","I"&amp;TEXT(ROW()-5,"000"))</f>
        <v/>
      </c>
      <c r="C366" s="16" t="n"/>
      <c r="D366" s="14" t="n"/>
      <c r="E366" s="15">
        <f>IF($D366="","",IFERROR(INDEX(rngCadetPIDs,MATCH($D366,rngCadetNames,0)),"?"))</f>
        <v/>
      </c>
      <c r="F366" s="14" t="n"/>
      <c r="G366" s="14" t="n"/>
      <c r="H366" s="14" t="n"/>
      <c r="I366" s="14" t="n"/>
      <c r="J366" s="14" t="n"/>
      <c r="K366" s="14" t="n"/>
      <c r="L366" s="15">
        <f>IF($D366="","",IF(AND($F366="Negative",OR($G366="Critical",$G366="Major")),"Yes","No"))</f>
        <v/>
      </c>
      <c r="M366" s="14" t="n"/>
      <c r="N366" s="14" t="n"/>
    </row>
    <row r="367">
      <c r="B367" s="15">
        <f>IF($D367="","","I"&amp;TEXT(ROW()-5,"000"))</f>
        <v/>
      </c>
      <c r="C367" s="16" t="n"/>
      <c r="D367" s="14" t="n"/>
      <c r="E367" s="15">
        <f>IF($D367="","",IFERROR(INDEX(rngCadetPIDs,MATCH($D367,rngCadetNames,0)),"?"))</f>
        <v/>
      </c>
      <c r="F367" s="14" t="n"/>
      <c r="G367" s="14" t="n"/>
      <c r="H367" s="14" t="n"/>
      <c r="I367" s="14" t="n"/>
      <c r="J367" s="14" t="n"/>
      <c r="K367" s="14" t="n"/>
      <c r="L367" s="15">
        <f>IF($D367="","",IF(AND($F367="Negative",OR($G367="Critical",$G367="Major")),"Yes","No"))</f>
        <v/>
      </c>
      <c r="M367" s="14" t="n"/>
      <c r="N367" s="14" t="n"/>
    </row>
    <row r="368">
      <c r="B368" s="15">
        <f>IF($D368="","","I"&amp;TEXT(ROW()-5,"000"))</f>
        <v/>
      </c>
      <c r="C368" s="16" t="n"/>
      <c r="D368" s="14" t="n"/>
      <c r="E368" s="15">
        <f>IF($D368="","",IFERROR(INDEX(rngCadetPIDs,MATCH($D368,rngCadetNames,0)),"?"))</f>
        <v/>
      </c>
      <c r="F368" s="14" t="n"/>
      <c r="G368" s="14" t="n"/>
      <c r="H368" s="14" t="n"/>
      <c r="I368" s="14" t="n"/>
      <c r="J368" s="14" t="n"/>
      <c r="K368" s="14" t="n"/>
      <c r="L368" s="15">
        <f>IF($D368="","",IF(AND($F368="Negative",OR($G368="Critical",$G368="Major")),"Yes","No"))</f>
        <v/>
      </c>
      <c r="M368" s="14" t="n"/>
      <c r="N368" s="14" t="n"/>
    </row>
    <row r="369">
      <c r="B369" s="15">
        <f>IF($D369="","","I"&amp;TEXT(ROW()-5,"000"))</f>
        <v/>
      </c>
      <c r="C369" s="16" t="n"/>
      <c r="D369" s="14" t="n"/>
      <c r="E369" s="15">
        <f>IF($D369="","",IFERROR(INDEX(rngCadetPIDs,MATCH($D369,rngCadetNames,0)),"?"))</f>
        <v/>
      </c>
      <c r="F369" s="14" t="n"/>
      <c r="G369" s="14" t="n"/>
      <c r="H369" s="14" t="n"/>
      <c r="I369" s="14" t="n"/>
      <c r="J369" s="14" t="n"/>
      <c r="K369" s="14" t="n"/>
      <c r="L369" s="15">
        <f>IF($D369="","",IF(AND($F369="Negative",OR($G369="Critical",$G369="Major")),"Yes","No"))</f>
        <v/>
      </c>
      <c r="M369" s="14" t="n"/>
      <c r="N369" s="14" t="n"/>
    </row>
    <row r="370">
      <c r="B370" s="15">
        <f>IF($D370="","","I"&amp;TEXT(ROW()-5,"000"))</f>
        <v/>
      </c>
      <c r="C370" s="16" t="n"/>
      <c r="D370" s="14" t="n"/>
      <c r="E370" s="15">
        <f>IF($D370="","",IFERROR(INDEX(rngCadetPIDs,MATCH($D370,rngCadetNames,0)),"?"))</f>
        <v/>
      </c>
      <c r="F370" s="14" t="n"/>
      <c r="G370" s="14" t="n"/>
      <c r="H370" s="14" t="n"/>
      <c r="I370" s="14" t="n"/>
      <c r="J370" s="14" t="n"/>
      <c r="K370" s="14" t="n"/>
      <c r="L370" s="15">
        <f>IF($D370="","",IF(AND($F370="Negative",OR($G370="Critical",$G370="Major")),"Yes","No"))</f>
        <v/>
      </c>
      <c r="M370" s="14" t="n"/>
      <c r="N370" s="14" t="n"/>
    </row>
    <row r="371">
      <c r="B371" s="15">
        <f>IF($D371="","","I"&amp;TEXT(ROW()-5,"000"))</f>
        <v/>
      </c>
      <c r="C371" s="16" t="n"/>
      <c r="D371" s="14" t="n"/>
      <c r="E371" s="15">
        <f>IF($D371="","",IFERROR(INDEX(rngCadetPIDs,MATCH($D371,rngCadetNames,0)),"?"))</f>
        <v/>
      </c>
      <c r="F371" s="14" t="n"/>
      <c r="G371" s="14" t="n"/>
      <c r="H371" s="14" t="n"/>
      <c r="I371" s="14" t="n"/>
      <c r="J371" s="14" t="n"/>
      <c r="K371" s="14" t="n"/>
      <c r="L371" s="15">
        <f>IF($D371="","",IF(AND($F371="Negative",OR($G371="Critical",$G371="Major")),"Yes","No"))</f>
        <v/>
      </c>
      <c r="M371" s="14" t="n"/>
      <c r="N371" s="14" t="n"/>
    </row>
    <row r="372">
      <c r="B372" s="15">
        <f>IF($D372="","","I"&amp;TEXT(ROW()-5,"000"))</f>
        <v/>
      </c>
      <c r="C372" s="16" t="n"/>
      <c r="D372" s="14" t="n"/>
      <c r="E372" s="15">
        <f>IF($D372="","",IFERROR(INDEX(rngCadetPIDs,MATCH($D372,rngCadetNames,0)),"?"))</f>
        <v/>
      </c>
      <c r="F372" s="14" t="n"/>
      <c r="G372" s="14" t="n"/>
      <c r="H372" s="14" t="n"/>
      <c r="I372" s="14" t="n"/>
      <c r="J372" s="14" t="n"/>
      <c r="K372" s="14" t="n"/>
      <c r="L372" s="15">
        <f>IF($D372="","",IF(AND($F372="Negative",OR($G372="Critical",$G372="Major")),"Yes","No"))</f>
        <v/>
      </c>
      <c r="M372" s="14" t="n"/>
      <c r="N372" s="14" t="n"/>
    </row>
    <row r="373">
      <c r="B373" s="15">
        <f>IF($D373="","","I"&amp;TEXT(ROW()-5,"000"))</f>
        <v/>
      </c>
      <c r="C373" s="16" t="n"/>
      <c r="D373" s="14" t="n"/>
      <c r="E373" s="15">
        <f>IF($D373="","",IFERROR(INDEX(rngCadetPIDs,MATCH($D373,rngCadetNames,0)),"?"))</f>
        <v/>
      </c>
      <c r="F373" s="14" t="n"/>
      <c r="G373" s="14" t="n"/>
      <c r="H373" s="14" t="n"/>
      <c r="I373" s="14" t="n"/>
      <c r="J373" s="14" t="n"/>
      <c r="K373" s="14" t="n"/>
      <c r="L373" s="15">
        <f>IF($D373="","",IF(AND($F373="Negative",OR($G373="Critical",$G373="Major")),"Yes","No"))</f>
        <v/>
      </c>
      <c r="M373" s="14" t="n"/>
      <c r="N373" s="14" t="n"/>
    </row>
    <row r="374">
      <c r="B374" s="15">
        <f>IF($D374="","","I"&amp;TEXT(ROW()-5,"000"))</f>
        <v/>
      </c>
      <c r="C374" s="16" t="n"/>
      <c r="D374" s="14" t="n"/>
      <c r="E374" s="15">
        <f>IF($D374="","",IFERROR(INDEX(rngCadetPIDs,MATCH($D374,rngCadetNames,0)),"?"))</f>
        <v/>
      </c>
      <c r="F374" s="14" t="n"/>
      <c r="G374" s="14" t="n"/>
      <c r="H374" s="14" t="n"/>
      <c r="I374" s="14" t="n"/>
      <c r="J374" s="14" t="n"/>
      <c r="K374" s="14" t="n"/>
      <c r="L374" s="15">
        <f>IF($D374="","",IF(AND($F374="Negative",OR($G374="Critical",$G374="Major")),"Yes","No"))</f>
        <v/>
      </c>
      <c r="M374" s="14" t="n"/>
      <c r="N374" s="14" t="n"/>
    </row>
    <row r="375">
      <c r="B375" s="15">
        <f>IF($D375="","","I"&amp;TEXT(ROW()-5,"000"))</f>
        <v/>
      </c>
      <c r="C375" s="16" t="n"/>
      <c r="D375" s="14" t="n"/>
      <c r="E375" s="15">
        <f>IF($D375="","",IFERROR(INDEX(rngCadetPIDs,MATCH($D375,rngCadetNames,0)),"?"))</f>
        <v/>
      </c>
      <c r="F375" s="14" t="n"/>
      <c r="G375" s="14" t="n"/>
      <c r="H375" s="14" t="n"/>
      <c r="I375" s="14" t="n"/>
      <c r="J375" s="14" t="n"/>
      <c r="K375" s="14" t="n"/>
      <c r="L375" s="15">
        <f>IF($D375="","",IF(AND($F375="Negative",OR($G375="Critical",$G375="Major")),"Yes","No"))</f>
        <v/>
      </c>
      <c r="M375" s="14" t="n"/>
      <c r="N375" s="14" t="n"/>
    </row>
    <row r="376">
      <c r="B376" s="15">
        <f>IF($D376="","","I"&amp;TEXT(ROW()-5,"000"))</f>
        <v/>
      </c>
      <c r="C376" s="16" t="n"/>
      <c r="D376" s="14" t="n"/>
      <c r="E376" s="15">
        <f>IF($D376="","",IFERROR(INDEX(rngCadetPIDs,MATCH($D376,rngCadetNames,0)),"?"))</f>
        <v/>
      </c>
      <c r="F376" s="14" t="n"/>
      <c r="G376" s="14" t="n"/>
      <c r="H376" s="14" t="n"/>
      <c r="I376" s="14" t="n"/>
      <c r="J376" s="14" t="n"/>
      <c r="K376" s="14" t="n"/>
      <c r="L376" s="15">
        <f>IF($D376="","",IF(AND($F376="Negative",OR($G376="Critical",$G376="Major")),"Yes","No"))</f>
        <v/>
      </c>
      <c r="M376" s="14" t="n"/>
      <c r="N376" s="14" t="n"/>
    </row>
    <row r="377">
      <c r="B377" s="15">
        <f>IF($D377="","","I"&amp;TEXT(ROW()-5,"000"))</f>
        <v/>
      </c>
      <c r="C377" s="16" t="n"/>
      <c r="D377" s="14" t="n"/>
      <c r="E377" s="15">
        <f>IF($D377="","",IFERROR(INDEX(rngCadetPIDs,MATCH($D377,rngCadetNames,0)),"?"))</f>
        <v/>
      </c>
      <c r="F377" s="14" t="n"/>
      <c r="G377" s="14" t="n"/>
      <c r="H377" s="14" t="n"/>
      <c r="I377" s="14" t="n"/>
      <c r="J377" s="14" t="n"/>
      <c r="K377" s="14" t="n"/>
      <c r="L377" s="15">
        <f>IF($D377="","",IF(AND($F377="Negative",OR($G377="Critical",$G377="Major")),"Yes","No"))</f>
        <v/>
      </c>
      <c r="M377" s="14" t="n"/>
      <c r="N377" s="14" t="n"/>
    </row>
    <row r="378">
      <c r="B378" s="15">
        <f>IF($D378="","","I"&amp;TEXT(ROW()-5,"000"))</f>
        <v/>
      </c>
      <c r="C378" s="16" t="n"/>
      <c r="D378" s="14" t="n"/>
      <c r="E378" s="15">
        <f>IF($D378="","",IFERROR(INDEX(rngCadetPIDs,MATCH($D378,rngCadetNames,0)),"?"))</f>
        <v/>
      </c>
      <c r="F378" s="14" t="n"/>
      <c r="G378" s="14" t="n"/>
      <c r="H378" s="14" t="n"/>
      <c r="I378" s="14" t="n"/>
      <c r="J378" s="14" t="n"/>
      <c r="K378" s="14" t="n"/>
      <c r="L378" s="15">
        <f>IF($D378="","",IF(AND($F378="Negative",OR($G378="Critical",$G378="Major")),"Yes","No"))</f>
        <v/>
      </c>
      <c r="M378" s="14" t="n"/>
      <c r="N378" s="14" t="n"/>
    </row>
    <row r="379">
      <c r="B379" s="15">
        <f>IF($D379="","","I"&amp;TEXT(ROW()-5,"000"))</f>
        <v/>
      </c>
      <c r="C379" s="16" t="n"/>
      <c r="D379" s="14" t="n"/>
      <c r="E379" s="15">
        <f>IF($D379="","",IFERROR(INDEX(rngCadetPIDs,MATCH($D379,rngCadetNames,0)),"?"))</f>
        <v/>
      </c>
      <c r="F379" s="14" t="n"/>
      <c r="G379" s="14" t="n"/>
      <c r="H379" s="14" t="n"/>
      <c r="I379" s="14" t="n"/>
      <c r="J379" s="14" t="n"/>
      <c r="K379" s="14" t="n"/>
      <c r="L379" s="15">
        <f>IF($D379="","",IF(AND($F379="Negative",OR($G379="Critical",$G379="Major")),"Yes","No"))</f>
        <v/>
      </c>
      <c r="M379" s="14" t="n"/>
      <c r="N379" s="14" t="n"/>
    </row>
    <row r="380">
      <c r="B380" s="15">
        <f>IF($D380="","","I"&amp;TEXT(ROW()-5,"000"))</f>
        <v/>
      </c>
      <c r="C380" s="16" t="n"/>
      <c r="D380" s="14" t="n"/>
      <c r="E380" s="15">
        <f>IF($D380="","",IFERROR(INDEX(rngCadetPIDs,MATCH($D380,rngCadetNames,0)),"?"))</f>
        <v/>
      </c>
      <c r="F380" s="14" t="n"/>
      <c r="G380" s="14" t="n"/>
      <c r="H380" s="14" t="n"/>
      <c r="I380" s="14" t="n"/>
      <c r="J380" s="14" t="n"/>
      <c r="K380" s="14" t="n"/>
      <c r="L380" s="15">
        <f>IF($D380="","",IF(AND($F380="Negative",OR($G380="Critical",$G380="Major")),"Yes","No"))</f>
        <v/>
      </c>
      <c r="M380" s="14" t="n"/>
      <c r="N380" s="14" t="n"/>
    </row>
    <row r="381">
      <c r="B381" s="15">
        <f>IF($D381="","","I"&amp;TEXT(ROW()-5,"000"))</f>
        <v/>
      </c>
      <c r="C381" s="16" t="n"/>
      <c r="D381" s="14" t="n"/>
      <c r="E381" s="15">
        <f>IF($D381="","",IFERROR(INDEX(rngCadetPIDs,MATCH($D381,rngCadetNames,0)),"?"))</f>
        <v/>
      </c>
      <c r="F381" s="14" t="n"/>
      <c r="G381" s="14" t="n"/>
      <c r="H381" s="14" t="n"/>
      <c r="I381" s="14" t="n"/>
      <c r="J381" s="14" t="n"/>
      <c r="K381" s="14" t="n"/>
      <c r="L381" s="15">
        <f>IF($D381="","",IF(AND($F381="Negative",OR($G381="Critical",$G381="Major")),"Yes","No"))</f>
        <v/>
      </c>
      <c r="M381" s="14" t="n"/>
      <c r="N381" s="14" t="n"/>
    </row>
    <row r="382">
      <c r="B382" s="15">
        <f>IF($D382="","","I"&amp;TEXT(ROW()-5,"000"))</f>
        <v/>
      </c>
      <c r="C382" s="16" t="n"/>
      <c r="D382" s="14" t="n"/>
      <c r="E382" s="15">
        <f>IF($D382="","",IFERROR(INDEX(rngCadetPIDs,MATCH($D382,rngCadetNames,0)),"?"))</f>
        <v/>
      </c>
      <c r="F382" s="14" t="n"/>
      <c r="G382" s="14" t="n"/>
      <c r="H382" s="14" t="n"/>
      <c r="I382" s="14" t="n"/>
      <c r="J382" s="14" t="n"/>
      <c r="K382" s="14" t="n"/>
      <c r="L382" s="15">
        <f>IF($D382="","",IF(AND($F382="Negative",OR($G382="Critical",$G382="Major")),"Yes","No"))</f>
        <v/>
      </c>
      <c r="M382" s="14" t="n"/>
      <c r="N382" s="14" t="n"/>
    </row>
    <row r="383">
      <c r="B383" s="15">
        <f>IF($D383="","","I"&amp;TEXT(ROW()-5,"000"))</f>
        <v/>
      </c>
      <c r="C383" s="16" t="n"/>
      <c r="D383" s="14" t="n"/>
      <c r="E383" s="15">
        <f>IF($D383="","",IFERROR(INDEX(rngCadetPIDs,MATCH($D383,rngCadetNames,0)),"?"))</f>
        <v/>
      </c>
      <c r="F383" s="14" t="n"/>
      <c r="G383" s="14" t="n"/>
      <c r="H383" s="14" t="n"/>
      <c r="I383" s="14" t="n"/>
      <c r="J383" s="14" t="n"/>
      <c r="K383" s="14" t="n"/>
      <c r="L383" s="15">
        <f>IF($D383="","",IF(AND($F383="Negative",OR($G383="Critical",$G383="Major")),"Yes","No"))</f>
        <v/>
      </c>
      <c r="M383" s="14" t="n"/>
      <c r="N383" s="14" t="n"/>
    </row>
    <row r="384">
      <c r="B384" s="15">
        <f>IF($D384="","","I"&amp;TEXT(ROW()-5,"000"))</f>
        <v/>
      </c>
      <c r="C384" s="16" t="n"/>
      <c r="D384" s="14" t="n"/>
      <c r="E384" s="15">
        <f>IF($D384="","",IFERROR(INDEX(rngCadetPIDs,MATCH($D384,rngCadetNames,0)),"?"))</f>
        <v/>
      </c>
      <c r="F384" s="14" t="n"/>
      <c r="G384" s="14" t="n"/>
      <c r="H384" s="14" t="n"/>
      <c r="I384" s="14" t="n"/>
      <c r="J384" s="14" t="n"/>
      <c r="K384" s="14" t="n"/>
      <c r="L384" s="15">
        <f>IF($D384="","",IF(AND($F384="Negative",OR($G384="Critical",$G384="Major")),"Yes","No"))</f>
        <v/>
      </c>
      <c r="M384" s="14" t="n"/>
      <c r="N384" s="14" t="n"/>
    </row>
    <row r="385">
      <c r="B385" s="15">
        <f>IF($D385="","","I"&amp;TEXT(ROW()-5,"000"))</f>
        <v/>
      </c>
      <c r="C385" s="16" t="n"/>
      <c r="D385" s="14" t="n"/>
      <c r="E385" s="15">
        <f>IF($D385="","",IFERROR(INDEX(rngCadetPIDs,MATCH($D385,rngCadetNames,0)),"?"))</f>
        <v/>
      </c>
      <c r="F385" s="14" t="n"/>
      <c r="G385" s="14" t="n"/>
      <c r="H385" s="14" t="n"/>
      <c r="I385" s="14" t="n"/>
      <c r="J385" s="14" t="n"/>
      <c r="K385" s="14" t="n"/>
      <c r="L385" s="15">
        <f>IF($D385="","",IF(AND($F385="Negative",OR($G385="Critical",$G385="Major")),"Yes","No"))</f>
        <v/>
      </c>
      <c r="M385" s="14" t="n"/>
      <c r="N385" s="14" t="n"/>
    </row>
    <row r="386">
      <c r="B386" s="15">
        <f>IF($D386="","","I"&amp;TEXT(ROW()-5,"000"))</f>
        <v/>
      </c>
      <c r="C386" s="16" t="n"/>
      <c r="D386" s="14" t="n"/>
      <c r="E386" s="15">
        <f>IF($D386="","",IFERROR(INDEX(rngCadetPIDs,MATCH($D386,rngCadetNames,0)),"?"))</f>
        <v/>
      </c>
      <c r="F386" s="14" t="n"/>
      <c r="G386" s="14" t="n"/>
      <c r="H386" s="14" t="n"/>
      <c r="I386" s="14" t="n"/>
      <c r="J386" s="14" t="n"/>
      <c r="K386" s="14" t="n"/>
      <c r="L386" s="15">
        <f>IF($D386="","",IF(AND($F386="Negative",OR($G386="Critical",$G386="Major")),"Yes","No"))</f>
        <v/>
      </c>
      <c r="M386" s="14" t="n"/>
      <c r="N386" s="14" t="n"/>
    </row>
    <row r="387">
      <c r="B387" s="15">
        <f>IF($D387="","","I"&amp;TEXT(ROW()-5,"000"))</f>
        <v/>
      </c>
      <c r="C387" s="16" t="n"/>
      <c r="D387" s="14" t="n"/>
      <c r="E387" s="15">
        <f>IF($D387="","",IFERROR(INDEX(rngCadetPIDs,MATCH($D387,rngCadetNames,0)),"?"))</f>
        <v/>
      </c>
      <c r="F387" s="14" t="n"/>
      <c r="G387" s="14" t="n"/>
      <c r="H387" s="14" t="n"/>
      <c r="I387" s="14" t="n"/>
      <c r="J387" s="14" t="n"/>
      <c r="K387" s="14" t="n"/>
      <c r="L387" s="15">
        <f>IF($D387="","",IF(AND($F387="Negative",OR($G387="Critical",$G387="Major")),"Yes","No"))</f>
        <v/>
      </c>
      <c r="M387" s="14" t="n"/>
      <c r="N387" s="14" t="n"/>
    </row>
    <row r="388">
      <c r="B388" s="15">
        <f>IF($D388="","","I"&amp;TEXT(ROW()-5,"000"))</f>
        <v/>
      </c>
      <c r="C388" s="16" t="n"/>
      <c r="D388" s="14" t="n"/>
      <c r="E388" s="15">
        <f>IF($D388="","",IFERROR(INDEX(rngCadetPIDs,MATCH($D388,rngCadetNames,0)),"?"))</f>
        <v/>
      </c>
      <c r="F388" s="14" t="n"/>
      <c r="G388" s="14" t="n"/>
      <c r="H388" s="14" t="n"/>
      <c r="I388" s="14" t="n"/>
      <c r="J388" s="14" t="n"/>
      <c r="K388" s="14" t="n"/>
      <c r="L388" s="15">
        <f>IF($D388="","",IF(AND($F388="Negative",OR($G388="Critical",$G388="Major")),"Yes","No"))</f>
        <v/>
      </c>
      <c r="M388" s="14" t="n"/>
      <c r="N388" s="14" t="n"/>
    </row>
    <row r="389">
      <c r="B389" s="15">
        <f>IF($D389="","","I"&amp;TEXT(ROW()-5,"000"))</f>
        <v/>
      </c>
      <c r="C389" s="16" t="n"/>
      <c r="D389" s="14" t="n"/>
      <c r="E389" s="15">
        <f>IF($D389="","",IFERROR(INDEX(rngCadetPIDs,MATCH($D389,rngCadetNames,0)),"?"))</f>
        <v/>
      </c>
      <c r="F389" s="14" t="n"/>
      <c r="G389" s="14" t="n"/>
      <c r="H389" s="14" t="n"/>
      <c r="I389" s="14" t="n"/>
      <c r="J389" s="14" t="n"/>
      <c r="K389" s="14" t="n"/>
      <c r="L389" s="15">
        <f>IF($D389="","",IF(AND($F389="Negative",OR($G389="Critical",$G389="Major")),"Yes","No"))</f>
        <v/>
      </c>
      <c r="M389" s="14" t="n"/>
      <c r="N389" s="14" t="n"/>
    </row>
    <row r="390">
      <c r="B390" s="15">
        <f>IF($D390="","","I"&amp;TEXT(ROW()-5,"000"))</f>
        <v/>
      </c>
      <c r="C390" s="16" t="n"/>
      <c r="D390" s="14" t="n"/>
      <c r="E390" s="15">
        <f>IF($D390="","",IFERROR(INDEX(rngCadetPIDs,MATCH($D390,rngCadetNames,0)),"?"))</f>
        <v/>
      </c>
      <c r="F390" s="14" t="n"/>
      <c r="G390" s="14" t="n"/>
      <c r="H390" s="14" t="n"/>
      <c r="I390" s="14" t="n"/>
      <c r="J390" s="14" t="n"/>
      <c r="K390" s="14" t="n"/>
      <c r="L390" s="15">
        <f>IF($D390="","",IF(AND($F390="Negative",OR($G390="Critical",$G390="Major")),"Yes","No"))</f>
        <v/>
      </c>
      <c r="M390" s="14" t="n"/>
      <c r="N390" s="14" t="n"/>
    </row>
    <row r="391">
      <c r="B391" s="15">
        <f>IF($D391="","","I"&amp;TEXT(ROW()-5,"000"))</f>
        <v/>
      </c>
      <c r="C391" s="16" t="n"/>
      <c r="D391" s="14" t="n"/>
      <c r="E391" s="15">
        <f>IF($D391="","",IFERROR(INDEX(rngCadetPIDs,MATCH($D391,rngCadetNames,0)),"?"))</f>
        <v/>
      </c>
      <c r="F391" s="14" t="n"/>
      <c r="G391" s="14" t="n"/>
      <c r="H391" s="14" t="n"/>
      <c r="I391" s="14" t="n"/>
      <c r="J391" s="14" t="n"/>
      <c r="K391" s="14" t="n"/>
      <c r="L391" s="15">
        <f>IF($D391="","",IF(AND($F391="Negative",OR($G391="Critical",$G391="Major")),"Yes","No"))</f>
        <v/>
      </c>
      <c r="M391" s="14" t="n"/>
      <c r="N391" s="14" t="n"/>
    </row>
    <row r="392">
      <c r="B392" s="15">
        <f>IF($D392="","","I"&amp;TEXT(ROW()-5,"000"))</f>
        <v/>
      </c>
      <c r="C392" s="16" t="n"/>
      <c r="D392" s="14" t="n"/>
      <c r="E392" s="15">
        <f>IF($D392="","",IFERROR(INDEX(rngCadetPIDs,MATCH($D392,rngCadetNames,0)),"?"))</f>
        <v/>
      </c>
      <c r="F392" s="14" t="n"/>
      <c r="G392" s="14" t="n"/>
      <c r="H392" s="14" t="n"/>
      <c r="I392" s="14" t="n"/>
      <c r="J392" s="14" t="n"/>
      <c r="K392" s="14" t="n"/>
      <c r="L392" s="15">
        <f>IF($D392="","",IF(AND($F392="Negative",OR($G392="Critical",$G392="Major")),"Yes","No"))</f>
        <v/>
      </c>
      <c r="M392" s="14" t="n"/>
      <c r="N392" s="14" t="n"/>
    </row>
    <row r="393">
      <c r="B393" s="15">
        <f>IF($D393="","","I"&amp;TEXT(ROW()-5,"000"))</f>
        <v/>
      </c>
      <c r="C393" s="16" t="n"/>
      <c r="D393" s="14" t="n"/>
      <c r="E393" s="15">
        <f>IF($D393="","",IFERROR(INDEX(rngCadetPIDs,MATCH($D393,rngCadetNames,0)),"?"))</f>
        <v/>
      </c>
      <c r="F393" s="14" t="n"/>
      <c r="G393" s="14" t="n"/>
      <c r="H393" s="14" t="n"/>
      <c r="I393" s="14" t="n"/>
      <c r="J393" s="14" t="n"/>
      <c r="K393" s="14" t="n"/>
      <c r="L393" s="15">
        <f>IF($D393="","",IF(AND($F393="Negative",OR($G393="Critical",$G393="Major")),"Yes","No"))</f>
        <v/>
      </c>
      <c r="M393" s="14" t="n"/>
      <c r="N393" s="14" t="n"/>
    </row>
    <row r="394">
      <c r="B394" s="15">
        <f>IF($D394="","","I"&amp;TEXT(ROW()-5,"000"))</f>
        <v/>
      </c>
      <c r="C394" s="16" t="n"/>
      <c r="D394" s="14" t="n"/>
      <c r="E394" s="15">
        <f>IF($D394="","",IFERROR(INDEX(rngCadetPIDs,MATCH($D394,rngCadetNames,0)),"?"))</f>
        <v/>
      </c>
      <c r="F394" s="14" t="n"/>
      <c r="G394" s="14" t="n"/>
      <c r="H394" s="14" t="n"/>
      <c r="I394" s="14" t="n"/>
      <c r="J394" s="14" t="n"/>
      <c r="K394" s="14" t="n"/>
      <c r="L394" s="15">
        <f>IF($D394="","",IF(AND($F394="Negative",OR($G394="Critical",$G394="Major")),"Yes","No"))</f>
        <v/>
      </c>
      <c r="M394" s="14" t="n"/>
      <c r="N394" s="14" t="n"/>
    </row>
    <row r="395">
      <c r="B395" s="15">
        <f>IF($D395="","","I"&amp;TEXT(ROW()-5,"000"))</f>
        <v/>
      </c>
      <c r="C395" s="16" t="n"/>
      <c r="D395" s="14" t="n"/>
      <c r="E395" s="15">
        <f>IF($D395="","",IFERROR(INDEX(rngCadetPIDs,MATCH($D395,rngCadetNames,0)),"?"))</f>
        <v/>
      </c>
      <c r="F395" s="14" t="n"/>
      <c r="G395" s="14" t="n"/>
      <c r="H395" s="14" t="n"/>
      <c r="I395" s="14" t="n"/>
      <c r="J395" s="14" t="n"/>
      <c r="K395" s="14" t="n"/>
      <c r="L395" s="15">
        <f>IF($D395="","",IF(AND($F395="Negative",OR($G395="Critical",$G395="Major")),"Yes","No"))</f>
        <v/>
      </c>
      <c r="M395" s="14" t="n"/>
      <c r="N395" s="14" t="n"/>
    </row>
    <row r="396">
      <c r="B396" s="15">
        <f>IF($D396="","","I"&amp;TEXT(ROW()-5,"000"))</f>
        <v/>
      </c>
      <c r="C396" s="16" t="n"/>
      <c r="D396" s="14" t="n"/>
      <c r="E396" s="15">
        <f>IF($D396="","",IFERROR(INDEX(rngCadetPIDs,MATCH($D396,rngCadetNames,0)),"?"))</f>
        <v/>
      </c>
      <c r="F396" s="14" t="n"/>
      <c r="G396" s="14" t="n"/>
      <c r="H396" s="14" t="n"/>
      <c r="I396" s="14" t="n"/>
      <c r="J396" s="14" t="n"/>
      <c r="K396" s="14" t="n"/>
      <c r="L396" s="15">
        <f>IF($D396="","",IF(AND($F396="Negative",OR($G396="Critical",$G396="Major")),"Yes","No"))</f>
        <v/>
      </c>
      <c r="M396" s="14" t="n"/>
      <c r="N396" s="14" t="n"/>
    </row>
    <row r="397">
      <c r="B397" s="15">
        <f>IF($D397="","","I"&amp;TEXT(ROW()-5,"000"))</f>
        <v/>
      </c>
      <c r="C397" s="16" t="n"/>
      <c r="D397" s="14" t="n"/>
      <c r="E397" s="15">
        <f>IF($D397="","",IFERROR(INDEX(rngCadetPIDs,MATCH($D397,rngCadetNames,0)),"?"))</f>
        <v/>
      </c>
      <c r="F397" s="14" t="n"/>
      <c r="G397" s="14" t="n"/>
      <c r="H397" s="14" t="n"/>
      <c r="I397" s="14" t="n"/>
      <c r="J397" s="14" t="n"/>
      <c r="K397" s="14" t="n"/>
      <c r="L397" s="15">
        <f>IF($D397="","",IF(AND($F397="Negative",OR($G397="Critical",$G397="Major")),"Yes","No"))</f>
        <v/>
      </c>
      <c r="M397" s="14" t="n"/>
      <c r="N397" s="14" t="n"/>
    </row>
    <row r="398">
      <c r="B398" s="15">
        <f>IF($D398="","","I"&amp;TEXT(ROW()-5,"000"))</f>
        <v/>
      </c>
      <c r="C398" s="16" t="n"/>
      <c r="D398" s="14" t="n"/>
      <c r="E398" s="15">
        <f>IF($D398="","",IFERROR(INDEX(rngCadetPIDs,MATCH($D398,rngCadetNames,0)),"?"))</f>
        <v/>
      </c>
      <c r="F398" s="14" t="n"/>
      <c r="G398" s="14" t="n"/>
      <c r="H398" s="14" t="n"/>
      <c r="I398" s="14" t="n"/>
      <c r="J398" s="14" t="n"/>
      <c r="K398" s="14" t="n"/>
      <c r="L398" s="15">
        <f>IF($D398="","",IF(AND($F398="Negative",OR($G398="Critical",$G398="Major")),"Yes","No"))</f>
        <v/>
      </c>
      <c r="M398" s="14" t="n"/>
      <c r="N398" s="14" t="n"/>
    </row>
    <row r="399">
      <c r="B399" s="15">
        <f>IF($D399="","","I"&amp;TEXT(ROW()-5,"000"))</f>
        <v/>
      </c>
      <c r="C399" s="16" t="n"/>
      <c r="D399" s="14" t="n"/>
      <c r="E399" s="15">
        <f>IF($D399="","",IFERROR(INDEX(rngCadetPIDs,MATCH($D399,rngCadetNames,0)),"?"))</f>
        <v/>
      </c>
      <c r="F399" s="14" t="n"/>
      <c r="G399" s="14" t="n"/>
      <c r="H399" s="14" t="n"/>
      <c r="I399" s="14" t="n"/>
      <c r="J399" s="14" t="n"/>
      <c r="K399" s="14" t="n"/>
      <c r="L399" s="15">
        <f>IF($D399="","",IF(AND($F399="Negative",OR($G399="Critical",$G399="Major")),"Yes","No"))</f>
        <v/>
      </c>
      <c r="M399" s="14" t="n"/>
      <c r="N399" s="14" t="n"/>
    </row>
    <row r="400">
      <c r="B400" s="15">
        <f>IF($D400="","","I"&amp;TEXT(ROW()-5,"000"))</f>
        <v/>
      </c>
      <c r="C400" s="16" t="n"/>
      <c r="D400" s="14" t="n"/>
      <c r="E400" s="15">
        <f>IF($D400="","",IFERROR(INDEX(rngCadetPIDs,MATCH($D400,rngCadetNames,0)),"?"))</f>
        <v/>
      </c>
      <c r="F400" s="14" t="n"/>
      <c r="G400" s="14" t="n"/>
      <c r="H400" s="14" t="n"/>
      <c r="I400" s="14" t="n"/>
      <c r="J400" s="14" t="n"/>
      <c r="K400" s="14" t="n"/>
      <c r="L400" s="15">
        <f>IF($D400="","",IF(AND($F400="Negative",OR($G400="Critical",$G400="Major")),"Yes","No"))</f>
        <v/>
      </c>
      <c r="M400" s="14" t="n"/>
      <c r="N400" s="14" t="n"/>
    </row>
    <row r="401">
      <c r="B401" s="15">
        <f>IF($D401="","","I"&amp;TEXT(ROW()-5,"000"))</f>
        <v/>
      </c>
      <c r="C401" s="16" t="n"/>
      <c r="D401" s="14" t="n"/>
      <c r="E401" s="15">
        <f>IF($D401="","",IFERROR(INDEX(rngCadetPIDs,MATCH($D401,rngCadetNames,0)),"?"))</f>
        <v/>
      </c>
      <c r="F401" s="14" t="n"/>
      <c r="G401" s="14" t="n"/>
      <c r="H401" s="14" t="n"/>
      <c r="I401" s="14" t="n"/>
      <c r="J401" s="14" t="n"/>
      <c r="K401" s="14" t="n"/>
      <c r="L401" s="15">
        <f>IF($D401="","",IF(AND($F401="Negative",OR($G401="Critical",$G401="Major")),"Yes","No"))</f>
        <v/>
      </c>
      <c r="M401" s="14" t="n"/>
      <c r="N401" s="14" t="n"/>
    </row>
    <row r="402">
      <c r="B402" s="15">
        <f>IF($D402="","","I"&amp;TEXT(ROW()-5,"000"))</f>
        <v/>
      </c>
      <c r="C402" s="16" t="n"/>
      <c r="D402" s="14" t="n"/>
      <c r="E402" s="15">
        <f>IF($D402="","",IFERROR(INDEX(rngCadetPIDs,MATCH($D402,rngCadetNames,0)),"?"))</f>
        <v/>
      </c>
      <c r="F402" s="14" t="n"/>
      <c r="G402" s="14" t="n"/>
      <c r="H402" s="14" t="n"/>
      <c r="I402" s="14" t="n"/>
      <c r="J402" s="14" t="n"/>
      <c r="K402" s="14" t="n"/>
      <c r="L402" s="15">
        <f>IF($D402="","",IF(AND($F402="Negative",OR($G402="Critical",$G402="Major")),"Yes","No"))</f>
        <v/>
      </c>
      <c r="M402" s="14" t="n"/>
      <c r="N402" s="14" t="n"/>
    </row>
    <row r="403">
      <c r="B403" s="15">
        <f>IF($D403="","","I"&amp;TEXT(ROW()-5,"000"))</f>
        <v/>
      </c>
      <c r="C403" s="16" t="n"/>
      <c r="D403" s="14" t="n"/>
      <c r="E403" s="15">
        <f>IF($D403="","",IFERROR(INDEX(rngCadetPIDs,MATCH($D403,rngCadetNames,0)),"?"))</f>
        <v/>
      </c>
      <c r="F403" s="14" t="n"/>
      <c r="G403" s="14" t="n"/>
      <c r="H403" s="14" t="n"/>
      <c r="I403" s="14" t="n"/>
      <c r="J403" s="14" t="n"/>
      <c r="K403" s="14" t="n"/>
      <c r="L403" s="15">
        <f>IF($D403="","",IF(AND($F403="Negative",OR($G403="Critical",$G403="Major")),"Yes","No"))</f>
        <v/>
      </c>
      <c r="M403" s="14" t="n"/>
      <c r="N403" s="14" t="n"/>
    </row>
    <row r="404">
      <c r="B404" s="15">
        <f>IF($D404="","","I"&amp;TEXT(ROW()-5,"000"))</f>
        <v/>
      </c>
      <c r="C404" s="16" t="n"/>
      <c r="D404" s="14" t="n"/>
      <c r="E404" s="15">
        <f>IF($D404="","",IFERROR(INDEX(rngCadetPIDs,MATCH($D404,rngCadetNames,0)),"?"))</f>
        <v/>
      </c>
      <c r="F404" s="14" t="n"/>
      <c r="G404" s="14" t="n"/>
      <c r="H404" s="14" t="n"/>
      <c r="I404" s="14" t="n"/>
      <c r="J404" s="14" t="n"/>
      <c r="K404" s="14" t="n"/>
      <c r="L404" s="15">
        <f>IF($D404="","",IF(AND($F404="Negative",OR($G404="Critical",$G404="Major")),"Yes","No"))</f>
        <v/>
      </c>
      <c r="M404" s="14" t="n"/>
      <c r="N404" s="14" t="n"/>
    </row>
    <row r="405">
      <c r="B405" s="15">
        <f>IF($D405="","","I"&amp;TEXT(ROW()-5,"000"))</f>
        <v/>
      </c>
      <c r="C405" s="16" t="n"/>
      <c r="D405" s="14" t="n"/>
      <c r="E405" s="15">
        <f>IF($D405="","",IFERROR(INDEX(rngCadetPIDs,MATCH($D405,rngCadetNames,0)),"?"))</f>
        <v/>
      </c>
      <c r="F405" s="14" t="n"/>
      <c r="G405" s="14" t="n"/>
      <c r="H405" s="14" t="n"/>
      <c r="I405" s="14" t="n"/>
      <c r="J405" s="14" t="n"/>
      <c r="K405" s="14" t="n"/>
      <c r="L405" s="15">
        <f>IF($D405="","",IF(AND($F405="Negative",OR($G405="Critical",$G405="Major")),"Yes","No"))</f>
        <v/>
      </c>
      <c r="M405" s="14" t="n"/>
      <c r="N405" s="14"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row r="2"/>
    <row r="3"/>
    <row r="4">
      <c r="B4" s="8" t="inlineStr">
        <is>
          <t>Documents every intervention (tutoring, counseling, agency notification, performance plan). This is the early-intervention paper trail policy 300.4.B expects — and it feeds the since-last-email agency digest.</t>
        </is>
      </c>
    </row>
    <row r="5" ht="26" customHeight="1">
      <c r="B5" s="9" t="inlineStr">
        <is>
          <t>EntryID</t>
        </is>
      </c>
      <c r="C5" s="9" t="inlineStr">
        <is>
          <t>Date</t>
        </is>
      </c>
      <c r="D5" s="9" t="inlineStr">
        <is>
          <t>Cadet Name</t>
        </is>
      </c>
      <c r="E5" s="9" t="inlineStr">
        <is>
          <t>PID</t>
        </is>
      </c>
      <c r="F5" s="9" t="inlineStr">
        <is>
          <t>Type</t>
        </is>
      </c>
      <c r="G5" s="9" t="inlineStr">
        <is>
          <t>Trigger / Related Flag</t>
        </is>
      </c>
      <c r="H5" s="9" t="inlineStr">
        <is>
          <t>Description / Plan</t>
        </is>
      </c>
      <c r="I5" s="9" t="inlineStr">
        <is>
          <t>Conducted By</t>
        </is>
      </c>
      <c r="J5" s="9" t="inlineStr">
        <is>
          <t>Agency Notified?</t>
        </is>
      </c>
      <c r="K5" s="9" t="inlineStr">
        <is>
          <t>Notified Date</t>
        </is>
      </c>
      <c r="L5" s="9" t="inlineStr">
        <is>
          <t>Follow-up Date</t>
        </is>
      </c>
      <c r="M5" s="9" t="inlineStr">
        <is>
          <t>Status</t>
        </is>
      </c>
      <c r="N5" s="9" t="inlineStr">
        <is>
          <t>Notes</t>
        </is>
      </c>
    </row>
    <row r="6">
      <c r="B6" s="15">
        <f>IF($D6="","","C"&amp;TEXT(ROW()-5,"000"))</f>
        <v/>
      </c>
      <c r="C6" s="16" t="n"/>
      <c r="D6" s="14" t="n"/>
      <c r="E6" s="15">
        <f>IF($D6="","",IFERROR(INDEX(rngCadetPIDs,MATCH($D6,rngCadetNames,0)),"?"))</f>
        <v/>
      </c>
      <c r="F6" s="14" t="n"/>
      <c r="G6" s="14" t="n"/>
      <c r="H6" s="14" t="n"/>
      <c r="I6" s="14" t="n"/>
      <c r="J6" s="14" t="n"/>
      <c r="K6" s="16" t="n"/>
      <c r="L6" s="16" t="n"/>
      <c r="M6" s="14" t="n"/>
      <c r="N6" s="14" t="n"/>
    </row>
    <row r="7">
      <c r="B7" s="15">
        <f>IF($D7="","","C"&amp;TEXT(ROW()-5,"000"))</f>
        <v/>
      </c>
      <c r="C7" s="16" t="n"/>
      <c r="D7" s="14" t="n"/>
      <c r="E7" s="15">
        <f>IF($D7="","",IFERROR(INDEX(rngCadetPIDs,MATCH($D7,rngCadetNames,0)),"?"))</f>
        <v/>
      </c>
      <c r="F7" s="14" t="n"/>
      <c r="G7" s="14" t="n"/>
      <c r="H7" s="14" t="n"/>
      <c r="I7" s="14" t="n"/>
      <c r="J7" s="14" t="n"/>
      <c r="K7" s="16" t="n"/>
      <c r="L7" s="16" t="n"/>
      <c r="M7" s="14" t="n"/>
      <c r="N7" s="14" t="n"/>
    </row>
    <row r="8">
      <c r="B8" s="15">
        <f>IF($D8="","","C"&amp;TEXT(ROW()-5,"000"))</f>
        <v/>
      </c>
      <c r="C8" s="16" t="n"/>
      <c r="D8" s="14" t="n"/>
      <c r="E8" s="15">
        <f>IF($D8="","",IFERROR(INDEX(rngCadetPIDs,MATCH($D8,rngCadetNames,0)),"?"))</f>
        <v/>
      </c>
      <c r="F8" s="14" t="n"/>
      <c r="G8" s="14" t="n"/>
      <c r="H8" s="14" t="n"/>
      <c r="I8" s="14" t="n"/>
      <c r="J8" s="14" t="n"/>
      <c r="K8" s="16" t="n"/>
      <c r="L8" s="16" t="n"/>
      <c r="M8" s="14" t="n"/>
      <c r="N8" s="14" t="n"/>
    </row>
    <row r="9">
      <c r="B9" s="15">
        <f>IF($D9="","","C"&amp;TEXT(ROW()-5,"000"))</f>
        <v/>
      </c>
      <c r="C9" s="16" t="n"/>
      <c r="D9" s="14" t="n"/>
      <c r="E9" s="15">
        <f>IF($D9="","",IFERROR(INDEX(rngCadetPIDs,MATCH($D9,rngCadetNames,0)),"?"))</f>
        <v/>
      </c>
      <c r="F9" s="14" t="n"/>
      <c r="G9" s="14" t="n"/>
      <c r="H9" s="14" t="n"/>
      <c r="I9" s="14" t="n"/>
      <c r="J9" s="14" t="n"/>
      <c r="K9" s="16" t="n"/>
      <c r="L9" s="16" t="n"/>
      <c r="M9" s="14" t="n"/>
      <c r="N9" s="14" t="n"/>
    </row>
    <row r="10">
      <c r="B10" s="15">
        <f>IF($D10="","","C"&amp;TEXT(ROW()-5,"000"))</f>
        <v/>
      </c>
      <c r="C10" s="16" t="n"/>
      <c r="D10" s="14" t="n"/>
      <c r="E10" s="15">
        <f>IF($D10="","",IFERROR(INDEX(rngCadetPIDs,MATCH($D10,rngCadetNames,0)),"?"))</f>
        <v/>
      </c>
      <c r="F10" s="14" t="n"/>
      <c r="G10" s="14" t="n"/>
      <c r="H10" s="14" t="n"/>
      <c r="I10" s="14" t="n"/>
      <c r="J10" s="14" t="n"/>
      <c r="K10" s="16" t="n"/>
      <c r="L10" s="16" t="n"/>
      <c r="M10" s="14" t="n"/>
      <c r="N10" s="14" t="n"/>
    </row>
    <row r="11">
      <c r="B11" s="15">
        <f>IF($D11="","","C"&amp;TEXT(ROW()-5,"000"))</f>
        <v/>
      </c>
      <c r="C11" s="16" t="n"/>
      <c r="D11" s="14" t="n"/>
      <c r="E11" s="15">
        <f>IF($D11="","",IFERROR(INDEX(rngCadetPIDs,MATCH($D11,rngCadetNames,0)),"?"))</f>
        <v/>
      </c>
      <c r="F11" s="14" t="n"/>
      <c r="G11" s="14" t="n"/>
      <c r="H11" s="14" t="n"/>
      <c r="I11" s="14" t="n"/>
      <c r="J11" s="14" t="n"/>
      <c r="K11" s="16" t="n"/>
      <c r="L11" s="16" t="n"/>
      <c r="M11" s="14" t="n"/>
      <c r="N11" s="14" t="n"/>
    </row>
    <row r="12">
      <c r="B12" s="15">
        <f>IF($D12="","","C"&amp;TEXT(ROW()-5,"000"))</f>
        <v/>
      </c>
      <c r="C12" s="16" t="n"/>
      <c r="D12" s="14" t="n"/>
      <c r="E12" s="15">
        <f>IF($D12="","",IFERROR(INDEX(rngCadetPIDs,MATCH($D12,rngCadetNames,0)),"?"))</f>
        <v/>
      </c>
      <c r="F12" s="14" t="n"/>
      <c r="G12" s="14" t="n"/>
      <c r="H12" s="14" t="n"/>
      <c r="I12" s="14" t="n"/>
      <c r="J12" s="14" t="n"/>
      <c r="K12" s="16" t="n"/>
      <c r="L12" s="16" t="n"/>
      <c r="M12" s="14" t="n"/>
      <c r="N12" s="14" t="n"/>
    </row>
    <row r="13">
      <c r="B13" s="15">
        <f>IF($D13="","","C"&amp;TEXT(ROW()-5,"000"))</f>
        <v/>
      </c>
      <c r="C13" s="16" t="n"/>
      <c r="D13" s="14" t="n"/>
      <c r="E13" s="15">
        <f>IF($D13="","",IFERROR(INDEX(rngCadetPIDs,MATCH($D13,rngCadetNames,0)),"?"))</f>
        <v/>
      </c>
      <c r="F13" s="14" t="n"/>
      <c r="G13" s="14" t="n"/>
      <c r="H13" s="14" t="n"/>
      <c r="I13" s="14" t="n"/>
      <c r="J13" s="14" t="n"/>
      <c r="K13" s="16" t="n"/>
      <c r="L13" s="16" t="n"/>
      <c r="M13" s="14" t="n"/>
      <c r="N13" s="14" t="n"/>
    </row>
    <row r="14">
      <c r="B14" s="15">
        <f>IF($D14="","","C"&amp;TEXT(ROW()-5,"000"))</f>
        <v/>
      </c>
      <c r="C14" s="16" t="n"/>
      <c r="D14" s="14" t="n"/>
      <c r="E14" s="15">
        <f>IF($D14="","",IFERROR(INDEX(rngCadetPIDs,MATCH($D14,rngCadetNames,0)),"?"))</f>
        <v/>
      </c>
      <c r="F14" s="14" t="n"/>
      <c r="G14" s="14" t="n"/>
      <c r="H14" s="14" t="n"/>
      <c r="I14" s="14" t="n"/>
      <c r="J14" s="14" t="n"/>
      <c r="K14" s="16" t="n"/>
      <c r="L14" s="16" t="n"/>
      <c r="M14" s="14" t="n"/>
      <c r="N14" s="14" t="n"/>
    </row>
    <row r="15">
      <c r="B15" s="15">
        <f>IF($D15="","","C"&amp;TEXT(ROW()-5,"000"))</f>
        <v/>
      </c>
      <c r="C15" s="16" t="n"/>
      <c r="D15" s="14" t="n"/>
      <c r="E15" s="15">
        <f>IF($D15="","",IFERROR(INDEX(rngCadetPIDs,MATCH($D15,rngCadetNames,0)),"?"))</f>
        <v/>
      </c>
      <c r="F15" s="14" t="n"/>
      <c r="G15" s="14" t="n"/>
      <c r="H15" s="14" t="n"/>
      <c r="I15" s="14" t="n"/>
      <c r="J15" s="14" t="n"/>
      <c r="K15" s="16" t="n"/>
      <c r="L15" s="16" t="n"/>
      <c r="M15" s="14" t="n"/>
      <c r="N15" s="14" t="n"/>
    </row>
    <row r="16">
      <c r="B16" s="15">
        <f>IF($D16="","","C"&amp;TEXT(ROW()-5,"000"))</f>
        <v/>
      </c>
      <c r="C16" s="16" t="n"/>
      <c r="D16" s="14" t="n"/>
      <c r="E16" s="15">
        <f>IF($D16="","",IFERROR(INDEX(rngCadetPIDs,MATCH($D16,rngCadetNames,0)),"?"))</f>
        <v/>
      </c>
      <c r="F16" s="14" t="n"/>
      <c r="G16" s="14" t="n"/>
      <c r="H16" s="14" t="n"/>
      <c r="I16" s="14" t="n"/>
      <c r="J16" s="14" t="n"/>
      <c r="K16" s="16" t="n"/>
      <c r="L16" s="16" t="n"/>
      <c r="M16" s="14" t="n"/>
      <c r="N16" s="14" t="n"/>
    </row>
    <row r="17">
      <c r="B17" s="15">
        <f>IF($D17="","","C"&amp;TEXT(ROW()-5,"000"))</f>
        <v/>
      </c>
      <c r="C17" s="16" t="n"/>
      <c r="D17" s="14" t="n"/>
      <c r="E17" s="15">
        <f>IF($D17="","",IFERROR(INDEX(rngCadetPIDs,MATCH($D17,rngCadetNames,0)),"?"))</f>
        <v/>
      </c>
      <c r="F17" s="14" t="n"/>
      <c r="G17" s="14" t="n"/>
      <c r="H17" s="14" t="n"/>
      <c r="I17" s="14" t="n"/>
      <c r="J17" s="14" t="n"/>
      <c r="K17" s="16" t="n"/>
      <c r="L17" s="16" t="n"/>
      <c r="M17" s="14" t="n"/>
      <c r="N17" s="14" t="n"/>
    </row>
    <row r="18">
      <c r="B18" s="15">
        <f>IF($D18="","","C"&amp;TEXT(ROW()-5,"000"))</f>
        <v/>
      </c>
      <c r="C18" s="16" t="n"/>
      <c r="D18" s="14" t="n"/>
      <c r="E18" s="15">
        <f>IF($D18="","",IFERROR(INDEX(rngCadetPIDs,MATCH($D18,rngCadetNames,0)),"?"))</f>
        <v/>
      </c>
      <c r="F18" s="14" t="n"/>
      <c r="G18" s="14" t="n"/>
      <c r="H18" s="14" t="n"/>
      <c r="I18" s="14" t="n"/>
      <c r="J18" s="14" t="n"/>
      <c r="K18" s="16" t="n"/>
      <c r="L18" s="16" t="n"/>
      <c r="M18" s="14" t="n"/>
      <c r="N18" s="14" t="n"/>
    </row>
    <row r="19">
      <c r="B19" s="15">
        <f>IF($D19="","","C"&amp;TEXT(ROW()-5,"000"))</f>
        <v/>
      </c>
      <c r="C19" s="16" t="n"/>
      <c r="D19" s="14" t="n"/>
      <c r="E19" s="15">
        <f>IF($D19="","",IFERROR(INDEX(rngCadetPIDs,MATCH($D19,rngCadetNames,0)),"?"))</f>
        <v/>
      </c>
      <c r="F19" s="14" t="n"/>
      <c r="G19" s="14" t="n"/>
      <c r="H19" s="14" t="n"/>
      <c r="I19" s="14" t="n"/>
      <c r="J19" s="14" t="n"/>
      <c r="K19" s="16" t="n"/>
      <c r="L19" s="16" t="n"/>
      <c r="M19" s="14" t="n"/>
      <c r="N19" s="14" t="n"/>
    </row>
    <row r="20">
      <c r="B20" s="15">
        <f>IF($D20="","","C"&amp;TEXT(ROW()-5,"000"))</f>
        <v/>
      </c>
      <c r="C20" s="16" t="n"/>
      <c r="D20" s="14" t="n"/>
      <c r="E20" s="15">
        <f>IF($D20="","",IFERROR(INDEX(rngCadetPIDs,MATCH($D20,rngCadetNames,0)),"?"))</f>
        <v/>
      </c>
      <c r="F20" s="14" t="n"/>
      <c r="G20" s="14" t="n"/>
      <c r="H20" s="14" t="n"/>
      <c r="I20" s="14" t="n"/>
      <c r="J20" s="14" t="n"/>
      <c r="K20" s="16" t="n"/>
      <c r="L20" s="16" t="n"/>
      <c r="M20" s="14" t="n"/>
      <c r="N20" s="14" t="n"/>
    </row>
    <row r="21">
      <c r="B21" s="15">
        <f>IF($D21="","","C"&amp;TEXT(ROW()-5,"000"))</f>
        <v/>
      </c>
      <c r="C21" s="16" t="n"/>
      <c r="D21" s="14" t="n"/>
      <c r="E21" s="15">
        <f>IF($D21="","",IFERROR(INDEX(rngCadetPIDs,MATCH($D21,rngCadetNames,0)),"?"))</f>
        <v/>
      </c>
      <c r="F21" s="14" t="n"/>
      <c r="G21" s="14" t="n"/>
      <c r="H21" s="14" t="n"/>
      <c r="I21" s="14" t="n"/>
      <c r="J21" s="14" t="n"/>
      <c r="K21" s="16" t="n"/>
      <c r="L21" s="16" t="n"/>
      <c r="M21" s="14" t="n"/>
      <c r="N21" s="14" t="n"/>
    </row>
    <row r="22">
      <c r="B22" s="15">
        <f>IF($D22="","","C"&amp;TEXT(ROW()-5,"000"))</f>
        <v/>
      </c>
      <c r="C22" s="16" t="n"/>
      <c r="D22" s="14" t="n"/>
      <c r="E22" s="15">
        <f>IF($D22="","",IFERROR(INDEX(rngCadetPIDs,MATCH($D22,rngCadetNames,0)),"?"))</f>
        <v/>
      </c>
      <c r="F22" s="14" t="n"/>
      <c r="G22" s="14" t="n"/>
      <c r="H22" s="14" t="n"/>
      <c r="I22" s="14" t="n"/>
      <c r="J22" s="14" t="n"/>
      <c r="K22" s="16" t="n"/>
      <c r="L22" s="16" t="n"/>
      <c r="M22" s="14" t="n"/>
      <c r="N22" s="14" t="n"/>
    </row>
    <row r="23">
      <c r="B23" s="15">
        <f>IF($D23="","","C"&amp;TEXT(ROW()-5,"000"))</f>
        <v/>
      </c>
      <c r="C23" s="16" t="n"/>
      <c r="D23" s="14" t="n"/>
      <c r="E23" s="15">
        <f>IF($D23="","",IFERROR(INDEX(rngCadetPIDs,MATCH($D23,rngCadetNames,0)),"?"))</f>
        <v/>
      </c>
      <c r="F23" s="14" t="n"/>
      <c r="G23" s="14" t="n"/>
      <c r="H23" s="14" t="n"/>
      <c r="I23" s="14" t="n"/>
      <c r="J23" s="14" t="n"/>
      <c r="K23" s="16" t="n"/>
      <c r="L23" s="16" t="n"/>
      <c r="M23" s="14" t="n"/>
      <c r="N23" s="14" t="n"/>
    </row>
    <row r="24">
      <c r="B24" s="15">
        <f>IF($D24="","","C"&amp;TEXT(ROW()-5,"000"))</f>
        <v/>
      </c>
      <c r="C24" s="16" t="n"/>
      <c r="D24" s="14" t="n"/>
      <c r="E24" s="15">
        <f>IF($D24="","",IFERROR(INDEX(rngCadetPIDs,MATCH($D24,rngCadetNames,0)),"?"))</f>
        <v/>
      </c>
      <c r="F24" s="14" t="n"/>
      <c r="G24" s="14" t="n"/>
      <c r="H24" s="14" t="n"/>
      <c r="I24" s="14" t="n"/>
      <c r="J24" s="14" t="n"/>
      <c r="K24" s="16" t="n"/>
      <c r="L24" s="16" t="n"/>
      <c r="M24" s="14" t="n"/>
      <c r="N24" s="14" t="n"/>
    </row>
    <row r="25">
      <c r="B25" s="15">
        <f>IF($D25="","","C"&amp;TEXT(ROW()-5,"000"))</f>
        <v/>
      </c>
      <c r="C25" s="16" t="n"/>
      <c r="D25" s="14" t="n"/>
      <c r="E25" s="15">
        <f>IF($D25="","",IFERROR(INDEX(rngCadetPIDs,MATCH($D25,rngCadetNames,0)),"?"))</f>
        <v/>
      </c>
      <c r="F25" s="14" t="n"/>
      <c r="G25" s="14" t="n"/>
      <c r="H25" s="14" t="n"/>
      <c r="I25" s="14" t="n"/>
      <c r="J25" s="14" t="n"/>
      <c r="K25" s="16" t="n"/>
      <c r="L25" s="16" t="n"/>
      <c r="M25" s="14" t="n"/>
      <c r="N25" s="14" t="n"/>
    </row>
    <row r="26">
      <c r="B26" s="15">
        <f>IF($D26="","","C"&amp;TEXT(ROW()-5,"000"))</f>
        <v/>
      </c>
      <c r="C26" s="16" t="n"/>
      <c r="D26" s="14" t="n"/>
      <c r="E26" s="15">
        <f>IF($D26="","",IFERROR(INDEX(rngCadetPIDs,MATCH($D26,rngCadetNames,0)),"?"))</f>
        <v/>
      </c>
      <c r="F26" s="14" t="n"/>
      <c r="G26" s="14" t="n"/>
      <c r="H26" s="14" t="n"/>
      <c r="I26" s="14" t="n"/>
      <c r="J26" s="14" t="n"/>
      <c r="K26" s="16" t="n"/>
      <c r="L26" s="16" t="n"/>
      <c r="M26" s="14" t="n"/>
      <c r="N26" s="14" t="n"/>
    </row>
    <row r="27">
      <c r="B27" s="15">
        <f>IF($D27="","","C"&amp;TEXT(ROW()-5,"000"))</f>
        <v/>
      </c>
      <c r="C27" s="16" t="n"/>
      <c r="D27" s="14" t="n"/>
      <c r="E27" s="15">
        <f>IF($D27="","",IFERROR(INDEX(rngCadetPIDs,MATCH($D27,rngCadetNames,0)),"?"))</f>
        <v/>
      </c>
      <c r="F27" s="14" t="n"/>
      <c r="G27" s="14" t="n"/>
      <c r="H27" s="14" t="n"/>
      <c r="I27" s="14" t="n"/>
      <c r="J27" s="14" t="n"/>
      <c r="K27" s="16" t="n"/>
      <c r="L27" s="16" t="n"/>
      <c r="M27" s="14" t="n"/>
      <c r="N27" s="14" t="n"/>
    </row>
    <row r="28">
      <c r="B28" s="15">
        <f>IF($D28="","","C"&amp;TEXT(ROW()-5,"000"))</f>
        <v/>
      </c>
      <c r="C28" s="16" t="n"/>
      <c r="D28" s="14" t="n"/>
      <c r="E28" s="15">
        <f>IF($D28="","",IFERROR(INDEX(rngCadetPIDs,MATCH($D28,rngCadetNames,0)),"?"))</f>
        <v/>
      </c>
      <c r="F28" s="14" t="n"/>
      <c r="G28" s="14" t="n"/>
      <c r="H28" s="14" t="n"/>
      <c r="I28" s="14" t="n"/>
      <c r="J28" s="14" t="n"/>
      <c r="K28" s="16" t="n"/>
      <c r="L28" s="16" t="n"/>
      <c r="M28" s="14" t="n"/>
      <c r="N28" s="14" t="n"/>
    </row>
    <row r="29">
      <c r="B29" s="15">
        <f>IF($D29="","","C"&amp;TEXT(ROW()-5,"000"))</f>
        <v/>
      </c>
      <c r="C29" s="16" t="n"/>
      <c r="D29" s="14" t="n"/>
      <c r="E29" s="15">
        <f>IF($D29="","",IFERROR(INDEX(rngCadetPIDs,MATCH($D29,rngCadetNames,0)),"?"))</f>
        <v/>
      </c>
      <c r="F29" s="14" t="n"/>
      <c r="G29" s="14" t="n"/>
      <c r="H29" s="14" t="n"/>
      <c r="I29" s="14" t="n"/>
      <c r="J29" s="14" t="n"/>
      <c r="K29" s="16" t="n"/>
      <c r="L29" s="16" t="n"/>
      <c r="M29" s="14" t="n"/>
      <c r="N29" s="14" t="n"/>
    </row>
    <row r="30">
      <c r="B30" s="15">
        <f>IF($D30="","","C"&amp;TEXT(ROW()-5,"000"))</f>
        <v/>
      </c>
      <c r="C30" s="16" t="n"/>
      <c r="D30" s="14" t="n"/>
      <c r="E30" s="15">
        <f>IF($D30="","",IFERROR(INDEX(rngCadetPIDs,MATCH($D30,rngCadetNames,0)),"?"))</f>
        <v/>
      </c>
      <c r="F30" s="14" t="n"/>
      <c r="G30" s="14" t="n"/>
      <c r="H30" s="14" t="n"/>
      <c r="I30" s="14" t="n"/>
      <c r="J30" s="14" t="n"/>
      <c r="K30" s="16" t="n"/>
      <c r="L30" s="16" t="n"/>
      <c r="M30" s="14" t="n"/>
      <c r="N30" s="14" t="n"/>
    </row>
    <row r="31">
      <c r="B31" s="15">
        <f>IF($D31="","","C"&amp;TEXT(ROW()-5,"000"))</f>
        <v/>
      </c>
      <c r="C31" s="16" t="n"/>
      <c r="D31" s="14" t="n"/>
      <c r="E31" s="15">
        <f>IF($D31="","",IFERROR(INDEX(rngCadetPIDs,MATCH($D31,rngCadetNames,0)),"?"))</f>
        <v/>
      </c>
      <c r="F31" s="14" t="n"/>
      <c r="G31" s="14" t="n"/>
      <c r="H31" s="14" t="n"/>
      <c r="I31" s="14" t="n"/>
      <c r="J31" s="14" t="n"/>
      <c r="K31" s="16" t="n"/>
      <c r="L31" s="16" t="n"/>
      <c r="M31" s="14" t="n"/>
      <c r="N31" s="14" t="n"/>
    </row>
    <row r="32">
      <c r="B32" s="15">
        <f>IF($D32="","","C"&amp;TEXT(ROW()-5,"000"))</f>
        <v/>
      </c>
      <c r="C32" s="16" t="n"/>
      <c r="D32" s="14" t="n"/>
      <c r="E32" s="15">
        <f>IF($D32="","",IFERROR(INDEX(rngCadetPIDs,MATCH($D32,rngCadetNames,0)),"?"))</f>
        <v/>
      </c>
      <c r="F32" s="14" t="n"/>
      <c r="G32" s="14" t="n"/>
      <c r="H32" s="14" t="n"/>
      <c r="I32" s="14" t="n"/>
      <c r="J32" s="14" t="n"/>
      <c r="K32" s="16" t="n"/>
      <c r="L32" s="16" t="n"/>
      <c r="M32" s="14" t="n"/>
      <c r="N32" s="14" t="n"/>
    </row>
    <row r="33">
      <c r="B33" s="15">
        <f>IF($D33="","","C"&amp;TEXT(ROW()-5,"000"))</f>
        <v/>
      </c>
      <c r="C33" s="16" t="n"/>
      <c r="D33" s="14" t="n"/>
      <c r="E33" s="15">
        <f>IF($D33="","",IFERROR(INDEX(rngCadetPIDs,MATCH($D33,rngCadetNames,0)),"?"))</f>
        <v/>
      </c>
      <c r="F33" s="14" t="n"/>
      <c r="G33" s="14" t="n"/>
      <c r="H33" s="14" t="n"/>
      <c r="I33" s="14" t="n"/>
      <c r="J33" s="14" t="n"/>
      <c r="K33" s="16" t="n"/>
      <c r="L33" s="16" t="n"/>
      <c r="M33" s="14" t="n"/>
      <c r="N33" s="14" t="n"/>
    </row>
    <row r="34">
      <c r="B34" s="15">
        <f>IF($D34="","","C"&amp;TEXT(ROW()-5,"000"))</f>
        <v/>
      </c>
      <c r="C34" s="16" t="n"/>
      <c r="D34" s="14" t="n"/>
      <c r="E34" s="15">
        <f>IF($D34="","",IFERROR(INDEX(rngCadetPIDs,MATCH($D34,rngCadetNames,0)),"?"))</f>
        <v/>
      </c>
      <c r="F34" s="14" t="n"/>
      <c r="G34" s="14" t="n"/>
      <c r="H34" s="14" t="n"/>
      <c r="I34" s="14" t="n"/>
      <c r="J34" s="14" t="n"/>
      <c r="K34" s="16" t="n"/>
      <c r="L34" s="16" t="n"/>
      <c r="M34" s="14" t="n"/>
      <c r="N34" s="14" t="n"/>
    </row>
    <row r="35">
      <c r="B35" s="15">
        <f>IF($D35="","","C"&amp;TEXT(ROW()-5,"000"))</f>
        <v/>
      </c>
      <c r="C35" s="16" t="n"/>
      <c r="D35" s="14" t="n"/>
      <c r="E35" s="15">
        <f>IF($D35="","",IFERROR(INDEX(rngCadetPIDs,MATCH($D35,rngCadetNames,0)),"?"))</f>
        <v/>
      </c>
      <c r="F35" s="14" t="n"/>
      <c r="G35" s="14" t="n"/>
      <c r="H35" s="14" t="n"/>
      <c r="I35" s="14" t="n"/>
      <c r="J35" s="14" t="n"/>
      <c r="K35" s="16" t="n"/>
      <c r="L35" s="16" t="n"/>
      <c r="M35" s="14" t="n"/>
      <c r="N35" s="14" t="n"/>
    </row>
    <row r="36">
      <c r="B36" s="15">
        <f>IF($D36="","","C"&amp;TEXT(ROW()-5,"000"))</f>
        <v/>
      </c>
      <c r="C36" s="16" t="n"/>
      <c r="D36" s="14" t="n"/>
      <c r="E36" s="15">
        <f>IF($D36="","",IFERROR(INDEX(rngCadetPIDs,MATCH($D36,rngCadetNames,0)),"?"))</f>
        <v/>
      </c>
      <c r="F36" s="14" t="n"/>
      <c r="G36" s="14" t="n"/>
      <c r="H36" s="14" t="n"/>
      <c r="I36" s="14" t="n"/>
      <c r="J36" s="14" t="n"/>
      <c r="K36" s="16" t="n"/>
      <c r="L36" s="16" t="n"/>
      <c r="M36" s="14" t="n"/>
      <c r="N36" s="14" t="n"/>
    </row>
    <row r="37">
      <c r="B37" s="15">
        <f>IF($D37="","","C"&amp;TEXT(ROW()-5,"000"))</f>
        <v/>
      </c>
      <c r="C37" s="16" t="n"/>
      <c r="D37" s="14" t="n"/>
      <c r="E37" s="15">
        <f>IF($D37="","",IFERROR(INDEX(rngCadetPIDs,MATCH($D37,rngCadetNames,0)),"?"))</f>
        <v/>
      </c>
      <c r="F37" s="14" t="n"/>
      <c r="G37" s="14" t="n"/>
      <c r="H37" s="14" t="n"/>
      <c r="I37" s="14" t="n"/>
      <c r="J37" s="14" t="n"/>
      <c r="K37" s="16" t="n"/>
      <c r="L37" s="16" t="n"/>
      <c r="M37" s="14" t="n"/>
      <c r="N37" s="14" t="n"/>
    </row>
    <row r="38">
      <c r="B38" s="15">
        <f>IF($D38="","","C"&amp;TEXT(ROW()-5,"000"))</f>
        <v/>
      </c>
      <c r="C38" s="16" t="n"/>
      <c r="D38" s="14" t="n"/>
      <c r="E38" s="15">
        <f>IF($D38="","",IFERROR(INDEX(rngCadetPIDs,MATCH($D38,rngCadetNames,0)),"?"))</f>
        <v/>
      </c>
      <c r="F38" s="14" t="n"/>
      <c r="G38" s="14" t="n"/>
      <c r="H38" s="14" t="n"/>
      <c r="I38" s="14" t="n"/>
      <c r="J38" s="14" t="n"/>
      <c r="K38" s="16" t="n"/>
      <c r="L38" s="16" t="n"/>
      <c r="M38" s="14" t="n"/>
      <c r="N38" s="14" t="n"/>
    </row>
    <row r="39">
      <c r="B39" s="15">
        <f>IF($D39="","","C"&amp;TEXT(ROW()-5,"000"))</f>
        <v/>
      </c>
      <c r="C39" s="16" t="n"/>
      <c r="D39" s="14" t="n"/>
      <c r="E39" s="15">
        <f>IF($D39="","",IFERROR(INDEX(rngCadetPIDs,MATCH($D39,rngCadetNames,0)),"?"))</f>
        <v/>
      </c>
      <c r="F39" s="14" t="n"/>
      <c r="G39" s="14" t="n"/>
      <c r="H39" s="14" t="n"/>
      <c r="I39" s="14" t="n"/>
      <c r="J39" s="14" t="n"/>
      <c r="K39" s="16" t="n"/>
      <c r="L39" s="16" t="n"/>
      <c r="M39" s="14" t="n"/>
      <c r="N39" s="14" t="n"/>
    </row>
    <row r="40">
      <c r="B40" s="15">
        <f>IF($D40="","","C"&amp;TEXT(ROW()-5,"000"))</f>
        <v/>
      </c>
      <c r="C40" s="16" t="n"/>
      <c r="D40" s="14" t="n"/>
      <c r="E40" s="15">
        <f>IF($D40="","",IFERROR(INDEX(rngCadetPIDs,MATCH($D40,rngCadetNames,0)),"?"))</f>
        <v/>
      </c>
      <c r="F40" s="14" t="n"/>
      <c r="G40" s="14" t="n"/>
      <c r="H40" s="14" t="n"/>
      <c r="I40" s="14" t="n"/>
      <c r="J40" s="14" t="n"/>
      <c r="K40" s="16" t="n"/>
      <c r="L40" s="16" t="n"/>
      <c r="M40" s="14" t="n"/>
      <c r="N40" s="14" t="n"/>
    </row>
    <row r="41">
      <c r="B41" s="15">
        <f>IF($D41="","","C"&amp;TEXT(ROW()-5,"000"))</f>
        <v/>
      </c>
      <c r="C41" s="16" t="n"/>
      <c r="D41" s="14" t="n"/>
      <c r="E41" s="15">
        <f>IF($D41="","",IFERROR(INDEX(rngCadetPIDs,MATCH($D41,rngCadetNames,0)),"?"))</f>
        <v/>
      </c>
      <c r="F41" s="14" t="n"/>
      <c r="G41" s="14" t="n"/>
      <c r="H41" s="14" t="n"/>
      <c r="I41" s="14" t="n"/>
      <c r="J41" s="14" t="n"/>
      <c r="K41" s="16" t="n"/>
      <c r="L41" s="16" t="n"/>
      <c r="M41" s="14" t="n"/>
      <c r="N41" s="14" t="n"/>
    </row>
    <row r="42">
      <c r="B42" s="15">
        <f>IF($D42="","","C"&amp;TEXT(ROW()-5,"000"))</f>
        <v/>
      </c>
      <c r="C42" s="16" t="n"/>
      <c r="D42" s="14" t="n"/>
      <c r="E42" s="15">
        <f>IF($D42="","",IFERROR(INDEX(rngCadetPIDs,MATCH($D42,rngCadetNames,0)),"?"))</f>
        <v/>
      </c>
      <c r="F42" s="14" t="n"/>
      <c r="G42" s="14" t="n"/>
      <c r="H42" s="14" t="n"/>
      <c r="I42" s="14" t="n"/>
      <c r="J42" s="14" t="n"/>
      <c r="K42" s="16" t="n"/>
      <c r="L42" s="16" t="n"/>
      <c r="M42" s="14" t="n"/>
      <c r="N42" s="14" t="n"/>
    </row>
    <row r="43">
      <c r="B43" s="15">
        <f>IF($D43="","","C"&amp;TEXT(ROW()-5,"000"))</f>
        <v/>
      </c>
      <c r="C43" s="16" t="n"/>
      <c r="D43" s="14" t="n"/>
      <c r="E43" s="15">
        <f>IF($D43="","",IFERROR(INDEX(rngCadetPIDs,MATCH($D43,rngCadetNames,0)),"?"))</f>
        <v/>
      </c>
      <c r="F43" s="14" t="n"/>
      <c r="G43" s="14" t="n"/>
      <c r="H43" s="14" t="n"/>
      <c r="I43" s="14" t="n"/>
      <c r="J43" s="14" t="n"/>
      <c r="K43" s="16" t="n"/>
      <c r="L43" s="16" t="n"/>
      <c r="M43" s="14" t="n"/>
      <c r="N43" s="14" t="n"/>
    </row>
    <row r="44">
      <c r="B44" s="15">
        <f>IF($D44="","","C"&amp;TEXT(ROW()-5,"000"))</f>
        <v/>
      </c>
      <c r="C44" s="16" t="n"/>
      <c r="D44" s="14" t="n"/>
      <c r="E44" s="15">
        <f>IF($D44="","",IFERROR(INDEX(rngCadetPIDs,MATCH($D44,rngCadetNames,0)),"?"))</f>
        <v/>
      </c>
      <c r="F44" s="14" t="n"/>
      <c r="G44" s="14" t="n"/>
      <c r="H44" s="14" t="n"/>
      <c r="I44" s="14" t="n"/>
      <c r="J44" s="14" t="n"/>
      <c r="K44" s="16" t="n"/>
      <c r="L44" s="16" t="n"/>
      <c r="M44" s="14" t="n"/>
      <c r="N44" s="14" t="n"/>
    </row>
    <row r="45">
      <c r="B45" s="15">
        <f>IF($D45="","","C"&amp;TEXT(ROW()-5,"000"))</f>
        <v/>
      </c>
      <c r="C45" s="16" t="n"/>
      <c r="D45" s="14" t="n"/>
      <c r="E45" s="15">
        <f>IF($D45="","",IFERROR(INDEX(rngCadetPIDs,MATCH($D45,rngCadetNames,0)),"?"))</f>
        <v/>
      </c>
      <c r="F45" s="14" t="n"/>
      <c r="G45" s="14" t="n"/>
      <c r="H45" s="14" t="n"/>
      <c r="I45" s="14" t="n"/>
      <c r="J45" s="14" t="n"/>
      <c r="K45" s="16" t="n"/>
      <c r="L45" s="16" t="n"/>
      <c r="M45" s="14" t="n"/>
      <c r="N45" s="14" t="n"/>
    </row>
    <row r="46">
      <c r="B46" s="15">
        <f>IF($D46="","","C"&amp;TEXT(ROW()-5,"000"))</f>
        <v/>
      </c>
      <c r="C46" s="16" t="n"/>
      <c r="D46" s="14" t="n"/>
      <c r="E46" s="15">
        <f>IF($D46="","",IFERROR(INDEX(rngCadetPIDs,MATCH($D46,rngCadetNames,0)),"?"))</f>
        <v/>
      </c>
      <c r="F46" s="14" t="n"/>
      <c r="G46" s="14" t="n"/>
      <c r="H46" s="14" t="n"/>
      <c r="I46" s="14" t="n"/>
      <c r="J46" s="14" t="n"/>
      <c r="K46" s="16" t="n"/>
      <c r="L46" s="16" t="n"/>
      <c r="M46" s="14" t="n"/>
      <c r="N46" s="14" t="n"/>
    </row>
    <row r="47">
      <c r="B47" s="15">
        <f>IF($D47="","","C"&amp;TEXT(ROW()-5,"000"))</f>
        <v/>
      </c>
      <c r="C47" s="16" t="n"/>
      <c r="D47" s="14" t="n"/>
      <c r="E47" s="15">
        <f>IF($D47="","",IFERROR(INDEX(rngCadetPIDs,MATCH($D47,rngCadetNames,0)),"?"))</f>
        <v/>
      </c>
      <c r="F47" s="14" t="n"/>
      <c r="G47" s="14" t="n"/>
      <c r="H47" s="14" t="n"/>
      <c r="I47" s="14" t="n"/>
      <c r="J47" s="14" t="n"/>
      <c r="K47" s="16" t="n"/>
      <c r="L47" s="16" t="n"/>
      <c r="M47" s="14" t="n"/>
      <c r="N47" s="14" t="n"/>
    </row>
    <row r="48">
      <c r="B48" s="15">
        <f>IF($D48="","","C"&amp;TEXT(ROW()-5,"000"))</f>
        <v/>
      </c>
      <c r="C48" s="16" t="n"/>
      <c r="D48" s="14" t="n"/>
      <c r="E48" s="15">
        <f>IF($D48="","",IFERROR(INDEX(rngCadetPIDs,MATCH($D48,rngCadetNames,0)),"?"))</f>
        <v/>
      </c>
      <c r="F48" s="14" t="n"/>
      <c r="G48" s="14" t="n"/>
      <c r="H48" s="14" t="n"/>
      <c r="I48" s="14" t="n"/>
      <c r="J48" s="14" t="n"/>
      <c r="K48" s="16" t="n"/>
      <c r="L48" s="16" t="n"/>
      <c r="M48" s="14" t="n"/>
      <c r="N48" s="14" t="n"/>
    </row>
    <row r="49">
      <c r="B49" s="15">
        <f>IF($D49="","","C"&amp;TEXT(ROW()-5,"000"))</f>
        <v/>
      </c>
      <c r="C49" s="16" t="n"/>
      <c r="D49" s="14" t="n"/>
      <c r="E49" s="15">
        <f>IF($D49="","",IFERROR(INDEX(rngCadetPIDs,MATCH($D49,rngCadetNames,0)),"?"))</f>
        <v/>
      </c>
      <c r="F49" s="14" t="n"/>
      <c r="G49" s="14" t="n"/>
      <c r="H49" s="14" t="n"/>
      <c r="I49" s="14" t="n"/>
      <c r="J49" s="14" t="n"/>
      <c r="K49" s="16" t="n"/>
      <c r="L49" s="16" t="n"/>
      <c r="M49" s="14" t="n"/>
      <c r="N49" s="14" t="n"/>
    </row>
    <row r="50">
      <c r="B50" s="15">
        <f>IF($D50="","","C"&amp;TEXT(ROW()-5,"000"))</f>
        <v/>
      </c>
      <c r="C50" s="16" t="n"/>
      <c r="D50" s="14" t="n"/>
      <c r="E50" s="15">
        <f>IF($D50="","",IFERROR(INDEX(rngCadetPIDs,MATCH($D50,rngCadetNames,0)),"?"))</f>
        <v/>
      </c>
      <c r="F50" s="14" t="n"/>
      <c r="G50" s="14" t="n"/>
      <c r="H50" s="14" t="n"/>
      <c r="I50" s="14" t="n"/>
      <c r="J50" s="14" t="n"/>
      <c r="K50" s="16" t="n"/>
      <c r="L50" s="16" t="n"/>
      <c r="M50" s="14" t="n"/>
      <c r="N50" s="14" t="n"/>
    </row>
    <row r="51">
      <c r="B51" s="15">
        <f>IF($D51="","","C"&amp;TEXT(ROW()-5,"000"))</f>
        <v/>
      </c>
      <c r="C51" s="16" t="n"/>
      <c r="D51" s="14" t="n"/>
      <c r="E51" s="15">
        <f>IF($D51="","",IFERROR(INDEX(rngCadetPIDs,MATCH($D51,rngCadetNames,0)),"?"))</f>
        <v/>
      </c>
      <c r="F51" s="14" t="n"/>
      <c r="G51" s="14" t="n"/>
      <c r="H51" s="14" t="n"/>
      <c r="I51" s="14" t="n"/>
      <c r="J51" s="14" t="n"/>
      <c r="K51" s="16" t="n"/>
      <c r="L51" s="16" t="n"/>
      <c r="M51" s="14" t="n"/>
      <c r="N51" s="14" t="n"/>
    </row>
    <row r="52">
      <c r="B52" s="15">
        <f>IF($D52="","","C"&amp;TEXT(ROW()-5,"000"))</f>
        <v/>
      </c>
      <c r="C52" s="16" t="n"/>
      <c r="D52" s="14" t="n"/>
      <c r="E52" s="15">
        <f>IF($D52="","",IFERROR(INDEX(rngCadetPIDs,MATCH($D52,rngCadetNames,0)),"?"))</f>
        <v/>
      </c>
      <c r="F52" s="14" t="n"/>
      <c r="G52" s="14" t="n"/>
      <c r="H52" s="14" t="n"/>
      <c r="I52" s="14" t="n"/>
      <c r="J52" s="14" t="n"/>
      <c r="K52" s="16" t="n"/>
      <c r="L52" s="16" t="n"/>
      <c r="M52" s="14" t="n"/>
      <c r="N52" s="14" t="n"/>
    </row>
    <row r="53">
      <c r="B53" s="15">
        <f>IF($D53="","","C"&amp;TEXT(ROW()-5,"000"))</f>
        <v/>
      </c>
      <c r="C53" s="16" t="n"/>
      <c r="D53" s="14" t="n"/>
      <c r="E53" s="15">
        <f>IF($D53="","",IFERROR(INDEX(rngCadetPIDs,MATCH($D53,rngCadetNames,0)),"?"))</f>
        <v/>
      </c>
      <c r="F53" s="14" t="n"/>
      <c r="G53" s="14" t="n"/>
      <c r="H53" s="14" t="n"/>
      <c r="I53" s="14" t="n"/>
      <c r="J53" s="14" t="n"/>
      <c r="K53" s="16" t="n"/>
      <c r="L53" s="16" t="n"/>
      <c r="M53" s="14" t="n"/>
      <c r="N53" s="14" t="n"/>
    </row>
    <row r="54">
      <c r="B54" s="15">
        <f>IF($D54="","","C"&amp;TEXT(ROW()-5,"000"))</f>
        <v/>
      </c>
      <c r="C54" s="16" t="n"/>
      <c r="D54" s="14" t="n"/>
      <c r="E54" s="15">
        <f>IF($D54="","",IFERROR(INDEX(rngCadetPIDs,MATCH($D54,rngCadetNames,0)),"?"))</f>
        <v/>
      </c>
      <c r="F54" s="14" t="n"/>
      <c r="G54" s="14" t="n"/>
      <c r="H54" s="14" t="n"/>
      <c r="I54" s="14" t="n"/>
      <c r="J54" s="14" t="n"/>
      <c r="K54" s="16" t="n"/>
      <c r="L54" s="16" t="n"/>
      <c r="M54" s="14" t="n"/>
      <c r="N54" s="14" t="n"/>
    </row>
    <row r="55">
      <c r="B55" s="15">
        <f>IF($D55="","","C"&amp;TEXT(ROW()-5,"000"))</f>
        <v/>
      </c>
      <c r="C55" s="16" t="n"/>
      <c r="D55" s="14" t="n"/>
      <c r="E55" s="15">
        <f>IF($D55="","",IFERROR(INDEX(rngCadetPIDs,MATCH($D55,rngCadetNames,0)),"?"))</f>
        <v/>
      </c>
      <c r="F55" s="14" t="n"/>
      <c r="G55" s="14" t="n"/>
      <c r="H55" s="14" t="n"/>
      <c r="I55" s="14" t="n"/>
      <c r="J55" s="14" t="n"/>
      <c r="K55" s="16" t="n"/>
      <c r="L55" s="16" t="n"/>
      <c r="M55" s="14" t="n"/>
      <c r="N55" s="14" t="n"/>
    </row>
    <row r="56">
      <c r="B56" s="15">
        <f>IF($D56="","","C"&amp;TEXT(ROW()-5,"000"))</f>
        <v/>
      </c>
      <c r="C56" s="16" t="n"/>
      <c r="D56" s="14" t="n"/>
      <c r="E56" s="15">
        <f>IF($D56="","",IFERROR(INDEX(rngCadetPIDs,MATCH($D56,rngCadetNames,0)),"?"))</f>
        <v/>
      </c>
      <c r="F56" s="14" t="n"/>
      <c r="G56" s="14" t="n"/>
      <c r="H56" s="14" t="n"/>
      <c r="I56" s="14" t="n"/>
      <c r="J56" s="14" t="n"/>
      <c r="K56" s="16" t="n"/>
      <c r="L56" s="16" t="n"/>
      <c r="M56" s="14" t="n"/>
      <c r="N56" s="14" t="n"/>
    </row>
    <row r="57">
      <c r="B57" s="15">
        <f>IF($D57="","","C"&amp;TEXT(ROW()-5,"000"))</f>
        <v/>
      </c>
      <c r="C57" s="16" t="n"/>
      <c r="D57" s="14" t="n"/>
      <c r="E57" s="15">
        <f>IF($D57="","",IFERROR(INDEX(rngCadetPIDs,MATCH($D57,rngCadetNames,0)),"?"))</f>
        <v/>
      </c>
      <c r="F57" s="14" t="n"/>
      <c r="G57" s="14" t="n"/>
      <c r="H57" s="14" t="n"/>
      <c r="I57" s="14" t="n"/>
      <c r="J57" s="14" t="n"/>
      <c r="K57" s="16" t="n"/>
      <c r="L57" s="16" t="n"/>
      <c r="M57" s="14" t="n"/>
      <c r="N57" s="14" t="n"/>
    </row>
    <row r="58">
      <c r="B58" s="15">
        <f>IF($D58="","","C"&amp;TEXT(ROW()-5,"000"))</f>
        <v/>
      </c>
      <c r="C58" s="16" t="n"/>
      <c r="D58" s="14" t="n"/>
      <c r="E58" s="15">
        <f>IF($D58="","",IFERROR(INDEX(rngCadetPIDs,MATCH($D58,rngCadetNames,0)),"?"))</f>
        <v/>
      </c>
      <c r="F58" s="14" t="n"/>
      <c r="G58" s="14" t="n"/>
      <c r="H58" s="14" t="n"/>
      <c r="I58" s="14" t="n"/>
      <c r="J58" s="14" t="n"/>
      <c r="K58" s="16" t="n"/>
      <c r="L58" s="16" t="n"/>
      <c r="M58" s="14" t="n"/>
      <c r="N58" s="14" t="n"/>
    </row>
    <row r="59">
      <c r="B59" s="15">
        <f>IF($D59="","","C"&amp;TEXT(ROW()-5,"000"))</f>
        <v/>
      </c>
      <c r="C59" s="16" t="n"/>
      <c r="D59" s="14" t="n"/>
      <c r="E59" s="15">
        <f>IF($D59="","",IFERROR(INDEX(rngCadetPIDs,MATCH($D59,rngCadetNames,0)),"?"))</f>
        <v/>
      </c>
      <c r="F59" s="14" t="n"/>
      <c r="G59" s="14" t="n"/>
      <c r="H59" s="14" t="n"/>
      <c r="I59" s="14" t="n"/>
      <c r="J59" s="14" t="n"/>
      <c r="K59" s="16" t="n"/>
      <c r="L59" s="16" t="n"/>
      <c r="M59" s="14" t="n"/>
      <c r="N59" s="14" t="n"/>
    </row>
    <row r="60">
      <c r="B60" s="15">
        <f>IF($D60="","","C"&amp;TEXT(ROW()-5,"000"))</f>
        <v/>
      </c>
      <c r="C60" s="16" t="n"/>
      <c r="D60" s="14" t="n"/>
      <c r="E60" s="15">
        <f>IF($D60="","",IFERROR(INDEX(rngCadetPIDs,MATCH($D60,rngCadetNames,0)),"?"))</f>
        <v/>
      </c>
      <c r="F60" s="14" t="n"/>
      <c r="G60" s="14" t="n"/>
      <c r="H60" s="14" t="n"/>
      <c r="I60" s="14" t="n"/>
      <c r="J60" s="14" t="n"/>
      <c r="K60" s="16" t="n"/>
      <c r="L60" s="16" t="n"/>
      <c r="M60" s="14" t="n"/>
      <c r="N60" s="14" t="n"/>
    </row>
    <row r="61">
      <c r="B61" s="15">
        <f>IF($D61="","","C"&amp;TEXT(ROW()-5,"000"))</f>
        <v/>
      </c>
      <c r="C61" s="16" t="n"/>
      <c r="D61" s="14" t="n"/>
      <c r="E61" s="15">
        <f>IF($D61="","",IFERROR(INDEX(rngCadetPIDs,MATCH($D61,rngCadetNames,0)),"?"))</f>
        <v/>
      </c>
      <c r="F61" s="14" t="n"/>
      <c r="G61" s="14" t="n"/>
      <c r="H61" s="14" t="n"/>
      <c r="I61" s="14" t="n"/>
      <c r="J61" s="14" t="n"/>
      <c r="K61" s="16" t="n"/>
      <c r="L61" s="16" t="n"/>
      <c r="M61" s="14" t="n"/>
      <c r="N61" s="14" t="n"/>
    </row>
    <row r="62">
      <c r="B62" s="15">
        <f>IF($D62="","","C"&amp;TEXT(ROW()-5,"000"))</f>
        <v/>
      </c>
      <c r="C62" s="16" t="n"/>
      <c r="D62" s="14" t="n"/>
      <c r="E62" s="15">
        <f>IF($D62="","",IFERROR(INDEX(rngCadetPIDs,MATCH($D62,rngCadetNames,0)),"?"))</f>
        <v/>
      </c>
      <c r="F62" s="14" t="n"/>
      <c r="G62" s="14" t="n"/>
      <c r="H62" s="14" t="n"/>
      <c r="I62" s="14" t="n"/>
      <c r="J62" s="14" t="n"/>
      <c r="K62" s="16" t="n"/>
      <c r="L62" s="16" t="n"/>
      <c r="M62" s="14" t="n"/>
      <c r="N62" s="14" t="n"/>
    </row>
    <row r="63">
      <c r="B63" s="15">
        <f>IF($D63="","","C"&amp;TEXT(ROW()-5,"000"))</f>
        <v/>
      </c>
      <c r="C63" s="16" t="n"/>
      <c r="D63" s="14" t="n"/>
      <c r="E63" s="15">
        <f>IF($D63="","",IFERROR(INDEX(rngCadetPIDs,MATCH($D63,rngCadetNames,0)),"?"))</f>
        <v/>
      </c>
      <c r="F63" s="14" t="n"/>
      <c r="G63" s="14" t="n"/>
      <c r="H63" s="14" t="n"/>
      <c r="I63" s="14" t="n"/>
      <c r="J63" s="14" t="n"/>
      <c r="K63" s="16" t="n"/>
      <c r="L63" s="16" t="n"/>
      <c r="M63" s="14" t="n"/>
      <c r="N63" s="14" t="n"/>
    </row>
    <row r="64">
      <c r="B64" s="15">
        <f>IF($D64="","","C"&amp;TEXT(ROW()-5,"000"))</f>
        <v/>
      </c>
      <c r="C64" s="16" t="n"/>
      <c r="D64" s="14" t="n"/>
      <c r="E64" s="15">
        <f>IF($D64="","",IFERROR(INDEX(rngCadetPIDs,MATCH($D64,rngCadetNames,0)),"?"))</f>
        <v/>
      </c>
      <c r="F64" s="14" t="n"/>
      <c r="G64" s="14" t="n"/>
      <c r="H64" s="14" t="n"/>
      <c r="I64" s="14" t="n"/>
      <c r="J64" s="14" t="n"/>
      <c r="K64" s="16" t="n"/>
      <c r="L64" s="16" t="n"/>
      <c r="M64" s="14" t="n"/>
      <c r="N64" s="14" t="n"/>
    </row>
    <row r="65">
      <c r="B65" s="15">
        <f>IF($D65="","","C"&amp;TEXT(ROW()-5,"000"))</f>
        <v/>
      </c>
      <c r="C65" s="16" t="n"/>
      <c r="D65" s="14" t="n"/>
      <c r="E65" s="15">
        <f>IF($D65="","",IFERROR(INDEX(rngCadetPIDs,MATCH($D65,rngCadetNames,0)),"?"))</f>
        <v/>
      </c>
      <c r="F65" s="14" t="n"/>
      <c r="G65" s="14" t="n"/>
      <c r="H65" s="14" t="n"/>
      <c r="I65" s="14" t="n"/>
      <c r="J65" s="14" t="n"/>
      <c r="K65" s="16" t="n"/>
      <c r="L65" s="16" t="n"/>
      <c r="M65" s="14" t="n"/>
      <c r="N65" s="14" t="n"/>
    </row>
    <row r="66">
      <c r="B66" s="15">
        <f>IF($D66="","","C"&amp;TEXT(ROW()-5,"000"))</f>
        <v/>
      </c>
      <c r="C66" s="16" t="n"/>
      <c r="D66" s="14" t="n"/>
      <c r="E66" s="15">
        <f>IF($D66="","",IFERROR(INDEX(rngCadetPIDs,MATCH($D66,rngCadetNames,0)),"?"))</f>
        <v/>
      </c>
      <c r="F66" s="14" t="n"/>
      <c r="G66" s="14" t="n"/>
      <c r="H66" s="14" t="n"/>
      <c r="I66" s="14" t="n"/>
      <c r="J66" s="14" t="n"/>
      <c r="K66" s="16" t="n"/>
      <c r="L66" s="16" t="n"/>
      <c r="M66" s="14" t="n"/>
      <c r="N66" s="14" t="n"/>
    </row>
    <row r="67">
      <c r="B67" s="15">
        <f>IF($D67="","","C"&amp;TEXT(ROW()-5,"000"))</f>
        <v/>
      </c>
      <c r="C67" s="16" t="n"/>
      <c r="D67" s="14" t="n"/>
      <c r="E67" s="15">
        <f>IF($D67="","",IFERROR(INDEX(rngCadetPIDs,MATCH($D67,rngCadetNames,0)),"?"))</f>
        <v/>
      </c>
      <c r="F67" s="14" t="n"/>
      <c r="G67" s="14" t="n"/>
      <c r="H67" s="14" t="n"/>
      <c r="I67" s="14" t="n"/>
      <c r="J67" s="14" t="n"/>
      <c r="K67" s="16" t="n"/>
      <c r="L67" s="16" t="n"/>
      <c r="M67" s="14" t="n"/>
      <c r="N67" s="14" t="n"/>
    </row>
    <row r="68">
      <c r="B68" s="15">
        <f>IF($D68="","","C"&amp;TEXT(ROW()-5,"000"))</f>
        <v/>
      </c>
      <c r="C68" s="16" t="n"/>
      <c r="D68" s="14" t="n"/>
      <c r="E68" s="15">
        <f>IF($D68="","",IFERROR(INDEX(rngCadetPIDs,MATCH($D68,rngCadetNames,0)),"?"))</f>
        <v/>
      </c>
      <c r="F68" s="14" t="n"/>
      <c r="G68" s="14" t="n"/>
      <c r="H68" s="14" t="n"/>
      <c r="I68" s="14" t="n"/>
      <c r="J68" s="14" t="n"/>
      <c r="K68" s="16" t="n"/>
      <c r="L68" s="16" t="n"/>
      <c r="M68" s="14" t="n"/>
      <c r="N68" s="14" t="n"/>
    </row>
    <row r="69">
      <c r="B69" s="15">
        <f>IF($D69="","","C"&amp;TEXT(ROW()-5,"000"))</f>
        <v/>
      </c>
      <c r="C69" s="16" t="n"/>
      <c r="D69" s="14" t="n"/>
      <c r="E69" s="15">
        <f>IF($D69="","",IFERROR(INDEX(rngCadetPIDs,MATCH($D69,rngCadetNames,0)),"?"))</f>
        <v/>
      </c>
      <c r="F69" s="14" t="n"/>
      <c r="G69" s="14" t="n"/>
      <c r="H69" s="14" t="n"/>
      <c r="I69" s="14" t="n"/>
      <c r="J69" s="14" t="n"/>
      <c r="K69" s="16" t="n"/>
      <c r="L69" s="16" t="n"/>
      <c r="M69" s="14" t="n"/>
      <c r="N69" s="14" t="n"/>
    </row>
    <row r="70">
      <c r="B70" s="15">
        <f>IF($D70="","","C"&amp;TEXT(ROW()-5,"000"))</f>
        <v/>
      </c>
      <c r="C70" s="16" t="n"/>
      <c r="D70" s="14" t="n"/>
      <c r="E70" s="15">
        <f>IF($D70="","",IFERROR(INDEX(rngCadetPIDs,MATCH($D70,rngCadetNames,0)),"?"))</f>
        <v/>
      </c>
      <c r="F70" s="14" t="n"/>
      <c r="G70" s="14" t="n"/>
      <c r="H70" s="14" t="n"/>
      <c r="I70" s="14" t="n"/>
      <c r="J70" s="14" t="n"/>
      <c r="K70" s="16" t="n"/>
      <c r="L70" s="16" t="n"/>
      <c r="M70" s="14" t="n"/>
      <c r="N70" s="14" t="n"/>
    </row>
    <row r="71">
      <c r="B71" s="15">
        <f>IF($D71="","","C"&amp;TEXT(ROW()-5,"000"))</f>
        <v/>
      </c>
      <c r="C71" s="16" t="n"/>
      <c r="D71" s="14" t="n"/>
      <c r="E71" s="15">
        <f>IF($D71="","",IFERROR(INDEX(rngCadetPIDs,MATCH($D71,rngCadetNames,0)),"?"))</f>
        <v/>
      </c>
      <c r="F71" s="14" t="n"/>
      <c r="G71" s="14" t="n"/>
      <c r="H71" s="14" t="n"/>
      <c r="I71" s="14" t="n"/>
      <c r="J71" s="14" t="n"/>
      <c r="K71" s="16" t="n"/>
      <c r="L71" s="16" t="n"/>
      <c r="M71" s="14" t="n"/>
      <c r="N71" s="14" t="n"/>
    </row>
    <row r="72">
      <c r="B72" s="15">
        <f>IF($D72="","","C"&amp;TEXT(ROW()-5,"000"))</f>
        <v/>
      </c>
      <c r="C72" s="16" t="n"/>
      <c r="D72" s="14" t="n"/>
      <c r="E72" s="15">
        <f>IF($D72="","",IFERROR(INDEX(rngCadetPIDs,MATCH($D72,rngCadetNames,0)),"?"))</f>
        <v/>
      </c>
      <c r="F72" s="14" t="n"/>
      <c r="G72" s="14" t="n"/>
      <c r="H72" s="14" t="n"/>
      <c r="I72" s="14" t="n"/>
      <c r="J72" s="14" t="n"/>
      <c r="K72" s="16" t="n"/>
      <c r="L72" s="16" t="n"/>
      <c r="M72" s="14" t="n"/>
      <c r="N72" s="14" t="n"/>
    </row>
    <row r="73">
      <c r="B73" s="15">
        <f>IF($D73="","","C"&amp;TEXT(ROW()-5,"000"))</f>
        <v/>
      </c>
      <c r="C73" s="16" t="n"/>
      <c r="D73" s="14" t="n"/>
      <c r="E73" s="15">
        <f>IF($D73="","",IFERROR(INDEX(rngCadetPIDs,MATCH($D73,rngCadetNames,0)),"?"))</f>
        <v/>
      </c>
      <c r="F73" s="14" t="n"/>
      <c r="G73" s="14" t="n"/>
      <c r="H73" s="14" t="n"/>
      <c r="I73" s="14" t="n"/>
      <c r="J73" s="14" t="n"/>
      <c r="K73" s="16" t="n"/>
      <c r="L73" s="16" t="n"/>
      <c r="M73" s="14" t="n"/>
      <c r="N73" s="14" t="n"/>
    </row>
    <row r="74">
      <c r="B74" s="15">
        <f>IF($D74="","","C"&amp;TEXT(ROW()-5,"000"))</f>
        <v/>
      </c>
      <c r="C74" s="16" t="n"/>
      <c r="D74" s="14" t="n"/>
      <c r="E74" s="15">
        <f>IF($D74="","",IFERROR(INDEX(rngCadetPIDs,MATCH($D74,rngCadetNames,0)),"?"))</f>
        <v/>
      </c>
      <c r="F74" s="14" t="n"/>
      <c r="G74" s="14" t="n"/>
      <c r="H74" s="14" t="n"/>
      <c r="I74" s="14" t="n"/>
      <c r="J74" s="14" t="n"/>
      <c r="K74" s="16" t="n"/>
      <c r="L74" s="16" t="n"/>
      <c r="M74" s="14" t="n"/>
      <c r="N74" s="14" t="n"/>
    </row>
    <row r="75">
      <c r="B75" s="15">
        <f>IF($D75="","","C"&amp;TEXT(ROW()-5,"000"))</f>
        <v/>
      </c>
      <c r="C75" s="16" t="n"/>
      <c r="D75" s="14" t="n"/>
      <c r="E75" s="15">
        <f>IF($D75="","",IFERROR(INDEX(rngCadetPIDs,MATCH($D75,rngCadetNames,0)),"?"))</f>
        <v/>
      </c>
      <c r="F75" s="14" t="n"/>
      <c r="G75" s="14" t="n"/>
      <c r="H75" s="14" t="n"/>
      <c r="I75" s="14" t="n"/>
      <c r="J75" s="14" t="n"/>
      <c r="K75" s="16" t="n"/>
      <c r="L75" s="16" t="n"/>
      <c r="M75" s="14" t="n"/>
      <c r="N75" s="14" t="n"/>
    </row>
    <row r="76">
      <c r="B76" s="15">
        <f>IF($D76="","","C"&amp;TEXT(ROW()-5,"000"))</f>
        <v/>
      </c>
      <c r="C76" s="16" t="n"/>
      <c r="D76" s="14" t="n"/>
      <c r="E76" s="15">
        <f>IF($D76="","",IFERROR(INDEX(rngCadetPIDs,MATCH($D76,rngCadetNames,0)),"?"))</f>
        <v/>
      </c>
      <c r="F76" s="14" t="n"/>
      <c r="G76" s="14" t="n"/>
      <c r="H76" s="14" t="n"/>
      <c r="I76" s="14" t="n"/>
      <c r="J76" s="14" t="n"/>
      <c r="K76" s="16" t="n"/>
      <c r="L76" s="16" t="n"/>
      <c r="M76" s="14" t="n"/>
      <c r="N76" s="14" t="n"/>
    </row>
    <row r="77">
      <c r="B77" s="15">
        <f>IF($D77="","","C"&amp;TEXT(ROW()-5,"000"))</f>
        <v/>
      </c>
      <c r="C77" s="16" t="n"/>
      <c r="D77" s="14" t="n"/>
      <c r="E77" s="15">
        <f>IF($D77="","",IFERROR(INDEX(rngCadetPIDs,MATCH($D77,rngCadetNames,0)),"?"))</f>
        <v/>
      </c>
      <c r="F77" s="14" t="n"/>
      <c r="G77" s="14" t="n"/>
      <c r="H77" s="14" t="n"/>
      <c r="I77" s="14" t="n"/>
      <c r="J77" s="14" t="n"/>
      <c r="K77" s="16" t="n"/>
      <c r="L77" s="16" t="n"/>
      <c r="M77" s="14" t="n"/>
      <c r="N77" s="14" t="n"/>
    </row>
    <row r="78">
      <c r="B78" s="15">
        <f>IF($D78="","","C"&amp;TEXT(ROW()-5,"000"))</f>
        <v/>
      </c>
      <c r="C78" s="16" t="n"/>
      <c r="D78" s="14" t="n"/>
      <c r="E78" s="15">
        <f>IF($D78="","",IFERROR(INDEX(rngCadetPIDs,MATCH($D78,rngCadetNames,0)),"?"))</f>
        <v/>
      </c>
      <c r="F78" s="14" t="n"/>
      <c r="G78" s="14" t="n"/>
      <c r="H78" s="14" t="n"/>
      <c r="I78" s="14" t="n"/>
      <c r="J78" s="14" t="n"/>
      <c r="K78" s="16" t="n"/>
      <c r="L78" s="16" t="n"/>
      <c r="M78" s="14" t="n"/>
      <c r="N78" s="14" t="n"/>
    </row>
    <row r="79">
      <c r="B79" s="15">
        <f>IF($D79="","","C"&amp;TEXT(ROW()-5,"000"))</f>
        <v/>
      </c>
      <c r="C79" s="16" t="n"/>
      <c r="D79" s="14" t="n"/>
      <c r="E79" s="15">
        <f>IF($D79="","",IFERROR(INDEX(rngCadetPIDs,MATCH($D79,rngCadetNames,0)),"?"))</f>
        <v/>
      </c>
      <c r="F79" s="14" t="n"/>
      <c r="G79" s="14" t="n"/>
      <c r="H79" s="14" t="n"/>
      <c r="I79" s="14" t="n"/>
      <c r="J79" s="14" t="n"/>
      <c r="K79" s="16" t="n"/>
      <c r="L79" s="16" t="n"/>
      <c r="M79" s="14" t="n"/>
      <c r="N79" s="14" t="n"/>
    </row>
    <row r="80">
      <c r="B80" s="15">
        <f>IF($D80="","","C"&amp;TEXT(ROW()-5,"000"))</f>
        <v/>
      </c>
      <c r="C80" s="16" t="n"/>
      <c r="D80" s="14" t="n"/>
      <c r="E80" s="15">
        <f>IF($D80="","",IFERROR(INDEX(rngCadetPIDs,MATCH($D80,rngCadetNames,0)),"?"))</f>
        <v/>
      </c>
      <c r="F80" s="14" t="n"/>
      <c r="G80" s="14" t="n"/>
      <c r="H80" s="14" t="n"/>
      <c r="I80" s="14" t="n"/>
      <c r="J80" s="14" t="n"/>
      <c r="K80" s="16" t="n"/>
      <c r="L80" s="16" t="n"/>
      <c r="M80" s="14" t="n"/>
      <c r="N80" s="14" t="n"/>
    </row>
    <row r="81">
      <c r="B81" s="15">
        <f>IF($D81="","","C"&amp;TEXT(ROW()-5,"000"))</f>
        <v/>
      </c>
      <c r="C81" s="16" t="n"/>
      <c r="D81" s="14" t="n"/>
      <c r="E81" s="15">
        <f>IF($D81="","",IFERROR(INDEX(rngCadetPIDs,MATCH($D81,rngCadetNames,0)),"?"))</f>
        <v/>
      </c>
      <c r="F81" s="14" t="n"/>
      <c r="G81" s="14" t="n"/>
      <c r="H81" s="14" t="n"/>
      <c r="I81" s="14" t="n"/>
      <c r="J81" s="14" t="n"/>
      <c r="K81" s="16" t="n"/>
      <c r="L81" s="16" t="n"/>
      <c r="M81" s="14" t="n"/>
      <c r="N81" s="14" t="n"/>
    </row>
    <row r="82">
      <c r="B82" s="15">
        <f>IF($D82="","","C"&amp;TEXT(ROW()-5,"000"))</f>
        <v/>
      </c>
      <c r="C82" s="16" t="n"/>
      <c r="D82" s="14" t="n"/>
      <c r="E82" s="15">
        <f>IF($D82="","",IFERROR(INDEX(rngCadetPIDs,MATCH($D82,rngCadetNames,0)),"?"))</f>
        <v/>
      </c>
      <c r="F82" s="14" t="n"/>
      <c r="G82" s="14" t="n"/>
      <c r="H82" s="14" t="n"/>
      <c r="I82" s="14" t="n"/>
      <c r="J82" s="14" t="n"/>
      <c r="K82" s="16" t="n"/>
      <c r="L82" s="16" t="n"/>
      <c r="M82" s="14" t="n"/>
      <c r="N82" s="14" t="n"/>
    </row>
    <row r="83">
      <c r="B83" s="15">
        <f>IF($D83="","","C"&amp;TEXT(ROW()-5,"000"))</f>
        <v/>
      </c>
      <c r="C83" s="16" t="n"/>
      <c r="D83" s="14" t="n"/>
      <c r="E83" s="15">
        <f>IF($D83="","",IFERROR(INDEX(rngCadetPIDs,MATCH($D83,rngCadetNames,0)),"?"))</f>
        <v/>
      </c>
      <c r="F83" s="14" t="n"/>
      <c r="G83" s="14" t="n"/>
      <c r="H83" s="14" t="n"/>
      <c r="I83" s="14" t="n"/>
      <c r="J83" s="14" t="n"/>
      <c r="K83" s="16" t="n"/>
      <c r="L83" s="16" t="n"/>
      <c r="M83" s="14" t="n"/>
      <c r="N83" s="14" t="n"/>
    </row>
    <row r="84">
      <c r="B84" s="15">
        <f>IF($D84="","","C"&amp;TEXT(ROW()-5,"000"))</f>
        <v/>
      </c>
      <c r="C84" s="16" t="n"/>
      <c r="D84" s="14" t="n"/>
      <c r="E84" s="15">
        <f>IF($D84="","",IFERROR(INDEX(rngCadetPIDs,MATCH($D84,rngCadetNames,0)),"?"))</f>
        <v/>
      </c>
      <c r="F84" s="14" t="n"/>
      <c r="G84" s="14" t="n"/>
      <c r="H84" s="14" t="n"/>
      <c r="I84" s="14" t="n"/>
      <c r="J84" s="14" t="n"/>
      <c r="K84" s="16" t="n"/>
      <c r="L84" s="16" t="n"/>
      <c r="M84" s="14" t="n"/>
      <c r="N84" s="14" t="n"/>
    </row>
    <row r="85">
      <c r="B85" s="15">
        <f>IF($D85="","","C"&amp;TEXT(ROW()-5,"000"))</f>
        <v/>
      </c>
      <c r="C85" s="16" t="n"/>
      <c r="D85" s="14" t="n"/>
      <c r="E85" s="15">
        <f>IF($D85="","",IFERROR(INDEX(rngCadetPIDs,MATCH($D85,rngCadetNames,0)),"?"))</f>
        <v/>
      </c>
      <c r="F85" s="14" t="n"/>
      <c r="G85" s="14" t="n"/>
      <c r="H85" s="14" t="n"/>
      <c r="I85" s="14" t="n"/>
      <c r="J85" s="14" t="n"/>
      <c r="K85" s="16" t="n"/>
      <c r="L85" s="16" t="n"/>
      <c r="M85" s="14" t="n"/>
      <c r="N85" s="14" t="n"/>
    </row>
    <row r="86">
      <c r="B86" s="15">
        <f>IF($D86="","","C"&amp;TEXT(ROW()-5,"000"))</f>
        <v/>
      </c>
      <c r="C86" s="16" t="n"/>
      <c r="D86" s="14" t="n"/>
      <c r="E86" s="15">
        <f>IF($D86="","",IFERROR(INDEX(rngCadetPIDs,MATCH($D86,rngCadetNames,0)),"?"))</f>
        <v/>
      </c>
      <c r="F86" s="14" t="n"/>
      <c r="G86" s="14" t="n"/>
      <c r="H86" s="14" t="n"/>
      <c r="I86" s="14" t="n"/>
      <c r="J86" s="14" t="n"/>
      <c r="K86" s="16" t="n"/>
      <c r="L86" s="16" t="n"/>
      <c r="M86" s="14" t="n"/>
      <c r="N86" s="14" t="n"/>
    </row>
    <row r="87">
      <c r="B87" s="15">
        <f>IF($D87="","","C"&amp;TEXT(ROW()-5,"000"))</f>
        <v/>
      </c>
      <c r="C87" s="16" t="n"/>
      <c r="D87" s="14" t="n"/>
      <c r="E87" s="15">
        <f>IF($D87="","",IFERROR(INDEX(rngCadetPIDs,MATCH($D87,rngCadetNames,0)),"?"))</f>
        <v/>
      </c>
      <c r="F87" s="14" t="n"/>
      <c r="G87" s="14" t="n"/>
      <c r="H87" s="14" t="n"/>
      <c r="I87" s="14" t="n"/>
      <c r="J87" s="14" t="n"/>
      <c r="K87" s="16" t="n"/>
      <c r="L87" s="16" t="n"/>
      <c r="M87" s="14" t="n"/>
      <c r="N87" s="14" t="n"/>
    </row>
    <row r="88">
      <c r="B88" s="15">
        <f>IF($D88="","","C"&amp;TEXT(ROW()-5,"000"))</f>
        <v/>
      </c>
      <c r="C88" s="16" t="n"/>
      <c r="D88" s="14" t="n"/>
      <c r="E88" s="15">
        <f>IF($D88="","",IFERROR(INDEX(rngCadetPIDs,MATCH($D88,rngCadetNames,0)),"?"))</f>
        <v/>
      </c>
      <c r="F88" s="14" t="n"/>
      <c r="G88" s="14" t="n"/>
      <c r="H88" s="14" t="n"/>
      <c r="I88" s="14" t="n"/>
      <c r="J88" s="14" t="n"/>
      <c r="K88" s="16" t="n"/>
      <c r="L88" s="16" t="n"/>
      <c r="M88" s="14" t="n"/>
      <c r="N88" s="14" t="n"/>
    </row>
    <row r="89">
      <c r="B89" s="15">
        <f>IF($D89="","","C"&amp;TEXT(ROW()-5,"000"))</f>
        <v/>
      </c>
      <c r="C89" s="16" t="n"/>
      <c r="D89" s="14" t="n"/>
      <c r="E89" s="15">
        <f>IF($D89="","",IFERROR(INDEX(rngCadetPIDs,MATCH($D89,rngCadetNames,0)),"?"))</f>
        <v/>
      </c>
      <c r="F89" s="14" t="n"/>
      <c r="G89" s="14" t="n"/>
      <c r="H89" s="14" t="n"/>
      <c r="I89" s="14" t="n"/>
      <c r="J89" s="14" t="n"/>
      <c r="K89" s="16" t="n"/>
      <c r="L89" s="16" t="n"/>
      <c r="M89" s="14" t="n"/>
      <c r="N89" s="14" t="n"/>
    </row>
    <row r="90">
      <c r="B90" s="15">
        <f>IF($D90="","","C"&amp;TEXT(ROW()-5,"000"))</f>
        <v/>
      </c>
      <c r="C90" s="16" t="n"/>
      <c r="D90" s="14" t="n"/>
      <c r="E90" s="15">
        <f>IF($D90="","",IFERROR(INDEX(rngCadetPIDs,MATCH($D90,rngCadetNames,0)),"?"))</f>
        <v/>
      </c>
      <c r="F90" s="14" t="n"/>
      <c r="G90" s="14" t="n"/>
      <c r="H90" s="14" t="n"/>
      <c r="I90" s="14" t="n"/>
      <c r="J90" s="14" t="n"/>
      <c r="K90" s="16" t="n"/>
      <c r="L90" s="16" t="n"/>
      <c r="M90" s="14" t="n"/>
      <c r="N90" s="14" t="n"/>
    </row>
    <row r="91">
      <c r="B91" s="15">
        <f>IF($D91="","","C"&amp;TEXT(ROW()-5,"000"))</f>
        <v/>
      </c>
      <c r="C91" s="16" t="n"/>
      <c r="D91" s="14" t="n"/>
      <c r="E91" s="15">
        <f>IF($D91="","",IFERROR(INDEX(rngCadetPIDs,MATCH($D91,rngCadetNames,0)),"?"))</f>
        <v/>
      </c>
      <c r="F91" s="14" t="n"/>
      <c r="G91" s="14" t="n"/>
      <c r="H91" s="14" t="n"/>
      <c r="I91" s="14" t="n"/>
      <c r="J91" s="14" t="n"/>
      <c r="K91" s="16" t="n"/>
      <c r="L91" s="16" t="n"/>
      <c r="M91" s="14" t="n"/>
      <c r="N91" s="14" t="n"/>
    </row>
    <row r="92">
      <c r="B92" s="15">
        <f>IF($D92="","","C"&amp;TEXT(ROW()-5,"000"))</f>
        <v/>
      </c>
      <c r="C92" s="16" t="n"/>
      <c r="D92" s="14" t="n"/>
      <c r="E92" s="15">
        <f>IF($D92="","",IFERROR(INDEX(rngCadetPIDs,MATCH($D92,rngCadetNames,0)),"?"))</f>
        <v/>
      </c>
      <c r="F92" s="14" t="n"/>
      <c r="G92" s="14" t="n"/>
      <c r="H92" s="14" t="n"/>
      <c r="I92" s="14" t="n"/>
      <c r="J92" s="14" t="n"/>
      <c r="K92" s="16" t="n"/>
      <c r="L92" s="16" t="n"/>
      <c r="M92" s="14" t="n"/>
      <c r="N92" s="14" t="n"/>
    </row>
    <row r="93">
      <c r="B93" s="15">
        <f>IF($D93="","","C"&amp;TEXT(ROW()-5,"000"))</f>
        <v/>
      </c>
      <c r="C93" s="16" t="n"/>
      <c r="D93" s="14" t="n"/>
      <c r="E93" s="15">
        <f>IF($D93="","",IFERROR(INDEX(rngCadetPIDs,MATCH($D93,rngCadetNames,0)),"?"))</f>
        <v/>
      </c>
      <c r="F93" s="14" t="n"/>
      <c r="G93" s="14" t="n"/>
      <c r="H93" s="14" t="n"/>
      <c r="I93" s="14" t="n"/>
      <c r="J93" s="14" t="n"/>
      <c r="K93" s="16" t="n"/>
      <c r="L93" s="16" t="n"/>
      <c r="M93" s="14" t="n"/>
      <c r="N93" s="14" t="n"/>
    </row>
    <row r="94">
      <c r="B94" s="15">
        <f>IF($D94="","","C"&amp;TEXT(ROW()-5,"000"))</f>
        <v/>
      </c>
      <c r="C94" s="16" t="n"/>
      <c r="D94" s="14" t="n"/>
      <c r="E94" s="15">
        <f>IF($D94="","",IFERROR(INDEX(rngCadetPIDs,MATCH($D94,rngCadetNames,0)),"?"))</f>
        <v/>
      </c>
      <c r="F94" s="14" t="n"/>
      <c r="G94" s="14" t="n"/>
      <c r="H94" s="14" t="n"/>
      <c r="I94" s="14" t="n"/>
      <c r="J94" s="14" t="n"/>
      <c r="K94" s="16" t="n"/>
      <c r="L94" s="16" t="n"/>
      <c r="M94" s="14" t="n"/>
      <c r="N94" s="14" t="n"/>
    </row>
    <row r="95">
      <c r="B95" s="15">
        <f>IF($D95="","","C"&amp;TEXT(ROW()-5,"000"))</f>
        <v/>
      </c>
      <c r="C95" s="16" t="n"/>
      <c r="D95" s="14" t="n"/>
      <c r="E95" s="15">
        <f>IF($D95="","",IFERROR(INDEX(rngCadetPIDs,MATCH($D95,rngCadetNames,0)),"?"))</f>
        <v/>
      </c>
      <c r="F95" s="14" t="n"/>
      <c r="G95" s="14" t="n"/>
      <c r="H95" s="14" t="n"/>
      <c r="I95" s="14" t="n"/>
      <c r="J95" s="14" t="n"/>
      <c r="K95" s="16" t="n"/>
      <c r="L95" s="16" t="n"/>
      <c r="M95" s="14" t="n"/>
      <c r="N95" s="14" t="n"/>
    </row>
    <row r="96">
      <c r="B96" s="15">
        <f>IF($D96="","","C"&amp;TEXT(ROW()-5,"000"))</f>
        <v/>
      </c>
      <c r="C96" s="16" t="n"/>
      <c r="D96" s="14" t="n"/>
      <c r="E96" s="15">
        <f>IF($D96="","",IFERROR(INDEX(rngCadetPIDs,MATCH($D96,rngCadetNames,0)),"?"))</f>
        <v/>
      </c>
      <c r="F96" s="14" t="n"/>
      <c r="G96" s="14" t="n"/>
      <c r="H96" s="14" t="n"/>
      <c r="I96" s="14" t="n"/>
      <c r="J96" s="14" t="n"/>
      <c r="K96" s="16" t="n"/>
      <c r="L96" s="16" t="n"/>
      <c r="M96" s="14" t="n"/>
      <c r="N96" s="14" t="n"/>
    </row>
    <row r="97">
      <c r="B97" s="15">
        <f>IF($D97="","","C"&amp;TEXT(ROW()-5,"000"))</f>
        <v/>
      </c>
      <c r="C97" s="16" t="n"/>
      <c r="D97" s="14" t="n"/>
      <c r="E97" s="15">
        <f>IF($D97="","",IFERROR(INDEX(rngCadetPIDs,MATCH($D97,rngCadetNames,0)),"?"))</f>
        <v/>
      </c>
      <c r="F97" s="14" t="n"/>
      <c r="G97" s="14" t="n"/>
      <c r="H97" s="14" t="n"/>
      <c r="I97" s="14" t="n"/>
      <c r="J97" s="14" t="n"/>
      <c r="K97" s="16" t="n"/>
      <c r="L97" s="16" t="n"/>
      <c r="M97" s="14" t="n"/>
      <c r="N97" s="14" t="n"/>
    </row>
    <row r="98">
      <c r="B98" s="15">
        <f>IF($D98="","","C"&amp;TEXT(ROW()-5,"000"))</f>
        <v/>
      </c>
      <c r="C98" s="16" t="n"/>
      <c r="D98" s="14" t="n"/>
      <c r="E98" s="15">
        <f>IF($D98="","",IFERROR(INDEX(rngCadetPIDs,MATCH($D98,rngCadetNames,0)),"?"))</f>
        <v/>
      </c>
      <c r="F98" s="14" t="n"/>
      <c r="G98" s="14" t="n"/>
      <c r="H98" s="14" t="n"/>
      <c r="I98" s="14" t="n"/>
      <c r="J98" s="14" t="n"/>
      <c r="K98" s="16" t="n"/>
      <c r="L98" s="16" t="n"/>
      <c r="M98" s="14" t="n"/>
      <c r="N98" s="14" t="n"/>
    </row>
    <row r="99">
      <c r="B99" s="15">
        <f>IF($D99="","","C"&amp;TEXT(ROW()-5,"000"))</f>
        <v/>
      </c>
      <c r="C99" s="16" t="n"/>
      <c r="D99" s="14" t="n"/>
      <c r="E99" s="15">
        <f>IF($D99="","",IFERROR(INDEX(rngCadetPIDs,MATCH($D99,rngCadetNames,0)),"?"))</f>
        <v/>
      </c>
      <c r="F99" s="14" t="n"/>
      <c r="G99" s="14" t="n"/>
      <c r="H99" s="14" t="n"/>
      <c r="I99" s="14" t="n"/>
      <c r="J99" s="14" t="n"/>
      <c r="K99" s="16" t="n"/>
      <c r="L99" s="16" t="n"/>
      <c r="M99" s="14" t="n"/>
      <c r="N99" s="14" t="n"/>
    </row>
    <row r="100">
      <c r="B100" s="15">
        <f>IF($D100="","","C"&amp;TEXT(ROW()-5,"000"))</f>
        <v/>
      </c>
      <c r="C100" s="16" t="n"/>
      <c r="D100" s="14" t="n"/>
      <c r="E100" s="15">
        <f>IF($D100="","",IFERROR(INDEX(rngCadetPIDs,MATCH($D100,rngCadetNames,0)),"?"))</f>
        <v/>
      </c>
      <c r="F100" s="14" t="n"/>
      <c r="G100" s="14" t="n"/>
      <c r="H100" s="14" t="n"/>
      <c r="I100" s="14" t="n"/>
      <c r="J100" s="14" t="n"/>
      <c r="K100" s="16" t="n"/>
      <c r="L100" s="16" t="n"/>
      <c r="M100" s="14" t="n"/>
      <c r="N100" s="14" t="n"/>
    </row>
    <row r="101">
      <c r="B101" s="15">
        <f>IF($D101="","","C"&amp;TEXT(ROW()-5,"000"))</f>
        <v/>
      </c>
      <c r="C101" s="16" t="n"/>
      <c r="D101" s="14" t="n"/>
      <c r="E101" s="15">
        <f>IF($D101="","",IFERROR(INDEX(rngCadetPIDs,MATCH($D101,rngCadetNames,0)),"?"))</f>
        <v/>
      </c>
      <c r="F101" s="14" t="n"/>
      <c r="G101" s="14" t="n"/>
      <c r="H101" s="14" t="n"/>
      <c r="I101" s="14" t="n"/>
      <c r="J101" s="14" t="n"/>
      <c r="K101" s="16" t="n"/>
      <c r="L101" s="16" t="n"/>
      <c r="M101" s="14" t="n"/>
      <c r="N101" s="14" t="n"/>
    </row>
    <row r="102">
      <c r="B102" s="15">
        <f>IF($D102="","","C"&amp;TEXT(ROW()-5,"000"))</f>
        <v/>
      </c>
      <c r="C102" s="16" t="n"/>
      <c r="D102" s="14" t="n"/>
      <c r="E102" s="15">
        <f>IF($D102="","",IFERROR(INDEX(rngCadetPIDs,MATCH($D102,rngCadetNames,0)),"?"))</f>
        <v/>
      </c>
      <c r="F102" s="14" t="n"/>
      <c r="G102" s="14" t="n"/>
      <c r="H102" s="14" t="n"/>
      <c r="I102" s="14" t="n"/>
      <c r="J102" s="14" t="n"/>
      <c r="K102" s="16" t="n"/>
      <c r="L102" s="16" t="n"/>
      <c r="M102" s="14" t="n"/>
      <c r="N102" s="14" t="n"/>
    </row>
    <row r="103">
      <c r="B103" s="15">
        <f>IF($D103="","","C"&amp;TEXT(ROW()-5,"000"))</f>
        <v/>
      </c>
      <c r="C103" s="16" t="n"/>
      <c r="D103" s="14" t="n"/>
      <c r="E103" s="15">
        <f>IF($D103="","",IFERROR(INDEX(rngCadetPIDs,MATCH($D103,rngCadetNames,0)),"?"))</f>
        <v/>
      </c>
      <c r="F103" s="14" t="n"/>
      <c r="G103" s="14" t="n"/>
      <c r="H103" s="14" t="n"/>
      <c r="I103" s="14" t="n"/>
      <c r="J103" s="14" t="n"/>
      <c r="K103" s="16" t="n"/>
      <c r="L103" s="16" t="n"/>
      <c r="M103" s="14" t="n"/>
      <c r="N103" s="14" t="n"/>
    </row>
    <row r="104">
      <c r="B104" s="15">
        <f>IF($D104="","","C"&amp;TEXT(ROW()-5,"000"))</f>
        <v/>
      </c>
      <c r="C104" s="16" t="n"/>
      <c r="D104" s="14" t="n"/>
      <c r="E104" s="15">
        <f>IF($D104="","",IFERROR(INDEX(rngCadetPIDs,MATCH($D104,rngCadetNames,0)),"?"))</f>
        <v/>
      </c>
      <c r="F104" s="14" t="n"/>
      <c r="G104" s="14" t="n"/>
      <c r="H104" s="14" t="n"/>
      <c r="I104" s="14" t="n"/>
      <c r="J104" s="14" t="n"/>
      <c r="K104" s="16" t="n"/>
      <c r="L104" s="16" t="n"/>
      <c r="M104" s="14" t="n"/>
      <c r="N104" s="14" t="n"/>
    </row>
    <row r="105">
      <c r="B105" s="15">
        <f>IF($D105="","","C"&amp;TEXT(ROW()-5,"000"))</f>
        <v/>
      </c>
      <c r="C105" s="16" t="n"/>
      <c r="D105" s="14" t="n"/>
      <c r="E105" s="15">
        <f>IF($D105="","",IFERROR(INDEX(rngCadetPIDs,MATCH($D105,rngCadetNames,0)),"?"))</f>
        <v/>
      </c>
      <c r="F105" s="14" t="n"/>
      <c r="G105" s="14" t="n"/>
      <c r="H105" s="14" t="n"/>
      <c r="I105" s="14" t="n"/>
      <c r="J105" s="14" t="n"/>
      <c r="K105" s="16" t="n"/>
      <c r="L105" s="16" t="n"/>
      <c r="M105" s="14" t="n"/>
      <c r="N105" s="14" t="n"/>
    </row>
    <row r="106">
      <c r="B106" s="15">
        <f>IF($D106="","","C"&amp;TEXT(ROW()-5,"000"))</f>
        <v/>
      </c>
      <c r="C106" s="16" t="n"/>
      <c r="D106" s="14" t="n"/>
      <c r="E106" s="15">
        <f>IF($D106="","",IFERROR(INDEX(rngCadetPIDs,MATCH($D106,rngCadetNames,0)),"?"))</f>
        <v/>
      </c>
      <c r="F106" s="14" t="n"/>
      <c r="G106" s="14" t="n"/>
      <c r="H106" s="14" t="n"/>
      <c r="I106" s="14" t="n"/>
      <c r="J106" s="14" t="n"/>
      <c r="K106" s="16" t="n"/>
      <c r="L106" s="16" t="n"/>
      <c r="M106" s="14" t="n"/>
      <c r="N106" s="14" t="n"/>
    </row>
    <row r="107">
      <c r="B107" s="15">
        <f>IF($D107="","","C"&amp;TEXT(ROW()-5,"000"))</f>
        <v/>
      </c>
      <c r="C107" s="16" t="n"/>
      <c r="D107" s="14" t="n"/>
      <c r="E107" s="15">
        <f>IF($D107="","",IFERROR(INDEX(rngCadetPIDs,MATCH($D107,rngCadetNames,0)),"?"))</f>
        <v/>
      </c>
      <c r="F107" s="14" t="n"/>
      <c r="G107" s="14" t="n"/>
      <c r="H107" s="14" t="n"/>
      <c r="I107" s="14" t="n"/>
      <c r="J107" s="14" t="n"/>
      <c r="K107" s="16" t="n"/>
      <c r="L107" s="16" t="n"/>
      <c r="M107" s="14" t="n"/>
      <c r="N107" s="14" t="n"/>
    </row>
    <row r="108">
      <c r="B108" s="15">
        <f>IF($D108="","","C"&amp;TEXT(ROW()-5,"000"))</f>
        <v/>
      </c>
      <c r="C108" s="16" t="n"/>
      <c r="D108" s="14" t="n"/>
      <c r="E108" s="15">
        <f>IF($D108="","",IFERROR(INDEX(rngCadetPIDs,MATCH($D108,rngCadetNames,0)),"?"))</f>
        <v/>
      </c>
      <c r="F108" s="14" t="n"/>
      <c r="G108" s="14" t="n"/>
      <c r="H108" s="14" t="n"/>
      <c r="I108" s="14" t="n"/>
      <c r="J108" s="14" t="n"/>
      <c r="K108" s="16" t="n"/>
      <c r="L108" s="16" t="n"/>
      <c r="M108" s="14" t="n"/>
      <c r="N108" s="14" t="n"/>
    </row>
    <row r="109">
      <c r="B109" s="15">
        <f>IF($D109="","","C"&amp;TEXT(ROW()-5,"000"))</f>
        <v/>
      </c>
      <c r="C109" s="16" t="n"/>
      <c r="D109" s="14" t="n"/>
      <c r="E109" s="15">
        <f>IF($D109="","",IFERROR(INDEX(rngCadetPIDs,MATCH($D109,rngCadetNames,0)),"?"))</f>
        <v/>
      </c>
      <c r="F109" s="14" t="n"/>
      <c r="G109" s="14" t="n"/>
      <c r="H109" s="14" t="n"/>
      <c r="I109" s="14" t="n"/>
      <c r="J109" s="14" t="n"/>
      <c r="K109" s="16" t="n"/>
      <c r="L109" s="16" t="n"/>
      <c r="M109" s="14" t="n"/>
      <c r="N109" s="14" t="n"/>
    </row>
    <row r="110">
      <c r="B110" s="15">
        <f>IF($D110="","","C"&amp;TEXT(ROW()-5,"000"))</f>
        <v/>
      </c>
      <c r="C110" s="16" t="n"/>
      <c r="D110" s="14" t="n"/>
      <c r="E110" s="15">
        <f>IF($D110="","",IFERROR(INDEX(rngCadetPIDs,MATCH($D110,rngCadetNames,0)),"?"))</f>
        <v/>
      </c>
      <c r="F110" s="14" t="n"/>
      <c r="G110" s="14" t="n"/>
      <c r="H110" s="14" t="n"/>
      <c r="I110" s="14" t="n"/>
      <c r="J110" s="14" t="n"/>
      <c r="K110" s="16" t="n"/>
      <c r="L110" s="16" t="n"/>
      <c r="M110" s="14" t="n"/>
      <c r="N110" s="14" t="n"/>
    </row>
    <row r="111">
      <c r="B111" s="15">
        <f>IF($D111="","","C"&amp;TEXT(ROW()-5,"000"))</f>
        <v/>
      </c>
      <c r="C111" s="16" t="n"/>
      <c r="D111" s="14" t="n"/>
      <c r="E111" s="15">
        <f>IF($D111="","",IFERROR(INDEX(rngCadetPIDs,MATCH($D111,rngCadetNames,0)),"?"))</f>
        <v/>
      </c>
      <c r="F111" s="14" t="n"/>
      <c r="G111" s="14" t="n"/>
      <c r="H111" s="14" t="n"/>
      <c r="I111" s="14" t="n"/>
      <c r="J111" s="14" t="n"/>
      <c r="K111" s="16" t="n"/>
      <c r="L111" s="16" t="n"/>
      <c r="M111" s="14" t="n"/>
      <c r="N111" s="14" t="n"/>
    </row>
    <row r="112">
      <c r="B112" s="15">
        <f>IF($D112="","","C"&amp;TEXT(ROW()-5,"000"))</f>
        <v/>
      </c>
      <c r="C112" s="16" t="n"/>
      <c r="D112" s="14" t="n"/>
      <c r="E112" s="15">
        <f>IF($D112="","",IFERROR(INDEX(rngCadetPIDs,MATCH($D112,rngCadetNames,0)),"?"))</f>
        <v/>
      </c>
      <c r="F112" s="14" t="n"/>
      <c r="G112" s="14" t="n"/>
      <c r="H112" s="14" t="n"/>
      <c r="I112" s="14" t="n"/>
      <c r="J112" s="14" t="n"/>
      <c r="K112" s="16" t="n"/>
      <c r="L112" s="16" t="n"/>
      <c r="M112" s="14" t="n"/>
      <c r="N112" s="14" t="n"/>
    </row>
    <row r="113">
      <c r="B113" s="15">
        <f>IF($D113="","","C"&amp;TEXT(ROW()-5,"000"))</f>
        <v/>
      </c>
      <c r="C113" s="16" t="n"/>
      <c r="D113" s="14" t="n"/>
      <c r="E113" s="15">
        <f>IF($D113="","",IFERROR(INDEX(rngCadetPIDs,MATCH($D113,rngCadetNames,0)),"?"))</f>
        <v/>
      </c>
      <c r="F113" s="14" t="n"/>
      <c r="G113" s="14" t="n"/>
      <c r="H113" s="14" t="n"/>
      <c r="I113" s="14" t="n"/>
      <c r="J113" s="14" t="n"/>
      <c r="K113" s="16" t="n"/>
      <c r="L113" s="16" t="n"/>
      <c r="M113" s="14" t="n"/>
      <c r="N113" s="14" t="n"/>
    </row>
    <row r="114">
      <c r="B114" s="15">
        <f>IF($D114="","","C"&amp;TEXT(ROW()-5,"000"))</f>
        <v/>
      </c>
      <c r="C114" s="16" t="n"/>
      <c r="D114" s="14" t="n"/>
      <c r="E114" s="15">
        <f>IF($D114="","",IFERROR(INDEX(rngCadetPIDs,MATCH($D114,rngCadetNames,0)),"?"))</f>
        <v/>
      </c>
      <c r="F114" s="14" t="n"/>
      <c r="G114" s="14" t="n"/>
      <c r="H114" s="14" t="n"/>
      <c r="I114" s="14" t="n"/>
      <c r="J114" s="14" t="n"/>
      <c r="K114" s="16" t="n"/>
      <c r="L114" s="16" t="n"/>
      <c r="M114" s="14" t="n"/>
      <c r="N114" s="14" t="n"/>
    </row>
    <row r="115">
      <c r="B115" s="15">
        <f>IF($D115="","","C"&amp;TEXT(ROW()-5,"000"))</f>
        <v/>
      </c>
      <c r="C115" s="16" t="n"/>
      <c r="D115" s="14" t="n"/>
      <c r="E115" s="15">
        <f>IF($D115="","",IFERROR(INDEX(rngCadetPIDs,MATCH($D115,rngCadetNames,0)),"?"))</f>
        <v/>
      </c>
      <c r="F115" s="14" t="n"/>
      <c r="G115" s="14" t="n"/>
      <c r="H115" s="14" t="n"/>
      <c r="I115" s="14" t="n"/>
      <c r="J115" s="14" t="n"/>
      <c r="K115" s="16" t="n"/>
      <c r="L115" s="16" t="n"/>
      <c r="M115" s="14" t="n"/>
      <c r="N115" s="14" t="n"/>
    </row>
    <row r="116">
      <c r="B116" s="15">
        <f>IF($D116="","","C"&amp;TEXT(ROW()-5,"000"))</f>
        <v/>
      </c>
      <c r="C116" s="16" t="n"/>
      <c r="D116" s="14" t="n"/>
      <c r="E116" s="15">
        <f>IF($D116="","",IFERROR(INDEX(rngCadetPIDs,MATCH($D116,rngCadetNames,0)),"?"))</f>
        <v/>
      </c>
      <c r="F116" s="14" t="n"/>
      <c r="G116" s="14" t="n"/>
      <c r="H116" s="14" t="n"/>
      <c r="I116" s="14" t="n"/>
      <c r="J116" s="14" t="n"/>
      <c r="K116" s="16" t="n"/>
      <c r="L116" s="16" t="n"/>
      <c r="M116" s="14" t="n"/>
      <c r="N116" s="14" t="n"/>
    </row>
    <row r="117">
      <c r="B117" s="15">
        <f>IF($D117="","","C"&amp;TEXT(ROW()-5,"000"))</f>
        <v/>
      </c>
      <c r="C117" s="16" t="n"/>
      <c r="D117" s="14" t="n"/>
      <c r="E117" s="15">
        <f>IF($D117="","",IFERROR(INDEX(rngCadetPIDs,MATCH($D117,rngCadetNames,0)),"?"))</f>
        <v/>
      </c>
      <c r="F117" s="14" t="n"/>
      <c r="G117" s="14" t="n"/>
      <c r="H117" s="14" t="n"/>
      <c r="I117" s="14" t="n"/>
      <c r="J117" s="14" t="n"/>
      <c r="K117" s="16" t="n"/>
      <c r="L117" s="16" t="n"/>
      <c r="M117" s="14" t="n"/>
      <c r="N117" s="14" t="n"/>
    </row>
    <row r="118">
      <c r="B118" s="15">
        <f>IF($D118="","","C"&amp;TEXT(ROW()-5,"000"))</f>
        <v/>
      </c>
      <c r="C118" s="16" t="n"/>
      <c r="D118" s="14" t="n"/>
      <c r="E118" s="15">
        <f>IF($D118="","",IFERROR(INDEX(rngCadetPIDs,MATCH($D118,rngCadetNames,0)),"?"))</f>
        <v/>
      </c>
      <c r="F118" s="14" t="n"/>
      <c r="G118" s="14" t="n"/>
      <c r="H118" s="14" t="n"/>
      <c r="I118" s="14" t="n"/>
      <c r="J118" s="14" t="n"/>
      <c r="K118" s="16" t="n"/>
      <c r="L118" s="16" t="n"/>
      <c r="M118" s="14" t="n"/>
      <c r="N118" s="14" t="n"/>
    </row>
    <row r="119">
      <c r="B119" s="15">
        <f>IF($D119="","","C"&amp;TEXT(ROW()-5,"000"))</f>
        <v/>
      </c>
      <c r="C119" s="16" t="n"/>
      <c r="D119" s="14" t="n"/>
      <c r="E119" s="15">
        <f>IF($D119="","",IFERROR(INDEX(rngCadetPIDs,MATCH($D119,rngCadetNames,0)),"?"))</f>
        <v/>
      </c>
      <c r="F119" s="14" t="n"/>
      <c r="G119" s="14" t="n"/>
      <c r="H119" s="14" t="n"/>
      <c r="I119" s="14" t="n"/>
      <c r="J119" s="14" t="n"/>
      <c r="K119" s="16" t="n"/>
      <c r="L119" s="16" t="n"/>
      <c r="M119" s="14" t="n"/>
      <c r="N119" s="14" t="n"/>
    </row>
    <row r="120">
      <c r="B120" s="15">
        <f>IF($D120="","","C"&amp;TEXT(ROW()-5,"000"))</f>
        <v/>
      </c>
      <c r="C120" s="16" t="n"/>
      <c r="D120" s="14" t="n"/>
      <c r="E120" s="15">
        <f>IF($D120="","",IFERROR(INDEX(rngCadetPIDs,MATCH($D120,rngCadetNames,0)),"?"))</f>
        <v/>
      </c>
      <c r="F120" s="14" t="n"/>
      <c r="G120" s="14" t="n"/>
      <c r="H120" s="14" t="n"/>
      <c r="I120" s="14" t="n"/>
      <c r="J120" s="14" t="n"/>
      <c r="K120" s="16" t="n"/>
      <c r="L120" s="16" t="n"/>
      <c r="M120" s="14" t="n"/>
      <c r="N120" s="14" t="n"/>
    </row>
    <row r="121">
      <c r="B121" s="15">
        <f>IF($D121="","","C"&amp;TEXT(ROW()-5,"000"))</f>
        <v/>
      </c>
      <c r="C121" s="16" t="n"/>
      <c r="D121" s="14" t="n"/>
      <c r="E121" s="15">
        <f>IF($D121="","",IFERROR(INDEX(rngCadetPIDs,MATCH($D121,rngCadetNames,0)),"?"))</f>
        <v/>
      </c>
      <c r="F121" s="14" t="n"/>
      <c r="G121" s="14" t="n"/>
      <c r="H121" s="14" t="n"/>
      <c r="I121" s="14" t="n"/>
      <c r="J121" s="14" t="n"/>
      <c r="K121" s="16" t="n"/>
      <c r="L121" s="16" t="n"/>
      <c r="M121" s="14" t="n"/>
      <c r="N121" s="14" t="n"/>
    </row>
    <row r="122">
      <c r="B122" s="15">
        <f>IF($D122="","","C"&amp;TEXT(ROW()-5,"000"))</f>
        <v/>
      </c>
      <c r="C122" s="16" t="n"/>
      <c r="D122" s="14" t="n"/>
      <c r="E122" s="15">
        <f>IF($D122="","",IFERROR(INDEX(rngCadetPIDs,MATCH($D122,rngCadetNames,0)),"?"))</f>
        <v/>
      </c>
      <c r="F122" s="14" t="n"/>
      <c r="G122" s="14" t="n"/>
      <c r="H122" s="14" t="n"/>
      <c r="I122" s="14" t="n"/>
      <c r="J122" s="14" t="n"/>
      <c r="K122" s="16" t="n"/>
      <c r="L122" s="16" t="n"/>
      <c r="M122" s="14" t="n"/>
      <c r="N122" s="14" t="n"/>
    </row>
    <row r="123">
      <c r="B123" s="15">
        <f>IF($D123="","","C"&amp;TEXT(ROW()-5,"000"))</f>
        <v/>
      </c>
      <c r="C123" s="16" t="n"/>
      <c r="D123" s="14" t="n"/>
      <c r="E123" s="15">
        <f>IF($D123="","",IFERROR(INDEX(rngCadetPIDs,MATCH($D123,rngCadetNames,0)),"?"))</f>
        <v/>
      </c>
      <c r="F123" s="14" t="n"/>
      <c r="G123" s="14" t="n"/>
      <c r="H123" s="14" t="n"/>
      <c r="I123" s="14" t="n"/>
      <c r="J123" s="14" t="n"/>
      <c r="K123" s="16" t="n"/>
      <c r="L123" s="16" t="n"/>
      <c r="M123" s="14" t="n"/>
      <c r="N123" s="14" t="n"/>
    </row>
    <row r="124">
      <c r="B124" s="15">
        <f>IF($D124="","","C"&amp;TEXT(ROW()-5,"000"))</f>
        <v/>
      </c>
      <c r="C124" s="16" t="n"/>
      <c r="D124" s="14" t="n"/>
      <c r="E124" s="15">
        <f>IF($D124="","",IFERROR(INDEX(rngCadetPIDs,MATCH($D124,rngCadetNames,0)),"?"))</f>
        <v/>
      </c>
      <c r="F124" s="14" t="n"/>
      <c r="G124" s="14" t="n"/>
      <c r="H124" s="14" t="n"/>
      <c r="I124" s="14" t="n"/>
      <c r="J124" s="14" t="n"/>
      <c r="K124" s="16" t="n"/>
      <c r="L124" s="16" t="n"/>
      <c r="M124" s="14" t="n"/>
      <c r="N124" s="14" t="n"/>
    </row>
    <row r="125">
      <c r="B125" s="15">
        <f>IF($D125="","","C"&amp;TEXT(ROW()-5,"000"))</f>
        <v/>
      </c>
      <c r="C125" s="16" t="n"/>
      <c r="D125" s="14" t="n"/>
      <c r="E125" s="15">
        <f>IF($D125="","",IFERROR(INDEX(rngCadetPIDs,MATCH($D125,rngCadetNames,0)),"?"))</f>
        <v/>
      </c>
      <c r="F125" s="14" t="n"/>
      <c r="G125" s="14" t="n"/>
      <c r="H125" s="14" t="n"/>
      <c r="I125" s="14" t="n"/>
      <c r="J125" s="14" t="n"/>
      <c r="K125" s="16" t="n"/>
      <c r="L125" s="16" t="n"/>
      <c r="M125" s="14" t="n"/>
      <c r="N125" s="14" t="n"/>
    </row>
    <row r="126">
      <c r="B126" s="15">
        <f>IF($D126="","","C"&amp;TEXT(ROW()-5,"000"))</f>
        <v/>
      </c>
      <c r="C126" s="16" t="n"/>
      <c r="D126" s="14" t="n"/>
      <c r="E126" s="15">
        <f>IF($D126="","",IFERROR(INDEX(rngCadetPIDs,MATCH($D126,rngCadetNames,0)),"?"))</f>
        <v/>
      </c>
      <c r="F126" s="14" t="n"/>
      <c r="G126" s="14" t="n"/>
      <c r="H126" s="14" t="n"/>
      <c r="I126" s="14" t="n"/>
      <c r="J126" s="14" t="n"/>
      <c r="K126" s="16" t="n"/>
      <c r="L126" s="16" t="n"/>
      <c r="M126" s="14" t="n"/>
      <c r="N126" s="14" t="n"/>
    </row>
    <row r="127">
      <c r="B127" s="15">
        <f>IF($D127="","","C"&amp;TEXT(ROW()-5,"000"))</f>
        <v/>
      </c>
      <c r="C127" s="16" t="n"/>
      <c r="D127" s="14" t="n"/>
      <c r="E127" s="15">
        <f>IF($D127="","",IFERROR(INDEX(rngCadetPIDs,MATCH($D127,rngCadetNames,0)),"?"))</f>
        <v/>
      </c>
      <c r="F127" s="14" t="n"/>
      <c r="G127" s="14" t="n"/>
      <c r="H127" s="14" t="n"/>
      <c r="I127" s="14" t="n"/>
      <c r="J127" s="14" t="n"/>
      <c r="K127" s="16" t="n"/>
      <c r="L127" s="16" t="n"/>
      <c r="M127" s="14" t="n"/>
      <c r="N127" s="14" t="n"/>
    </row>
    <row r="128">
      <c r="B128" s="15">
        <f>IF($D128="","","C"&amp;TEXT(ROW()-5,"000"))</f>
        <v/>
      </c>
      <c r="C128" s="16" t="n"/>
      <c r="D128" s="14" t="n"/>
      <c r="E128" s="15">
        <f>IF($D128="","",IFERROR(INDEX(rngCadetPIDs,MATCH($D128,rngCadetNames,0)),"?"))</f>
        <v/>
      </c>
      <c r="F128" s="14" t="n"/>
      <c r="G128" s="14" t="n"/>
      <c r="H128" s="14" t="n"/>
      <c r="I128" s="14" t="n"/>
      <c r="J128" s="14" t="n"/>
      <c r="K128" s="16" t="n"/>
      <c r="L128" s="16" t="n"/>
      <c r="M128" s="14" t="n"/>
      <c r="N128" s="14" t="n"/>
    </row>
    <row r="129">
      <c r="B129" s="15">
        <f>IF($D129="","","C"&amp;TEXT(ROW()-5,"000"))</f>
        <v/>
      </c>
      <c r="C129" s="16" t="n"/>
      <c r="D129" s="14" t="n"/>
      <c r="E129" s="15">
        <f>IF($D129="","",IFERROR(INDEX(rngCadetPIDs,MATCH($D129,rngCadetNames,0)),"?"))</f>
        <v/>
      </c>
      <c r="F129" s="14" t="n"/>
      <c r="G129" s="14" t="n"/>
      <c r="H129" s="14" t="n"/>
      <c r="I129" s="14" t="n"/>
      <c r="J129" s="14" t="n"/>
      <c r="K129" s="16" t="n"/>
      <c r="L129" s="16" t="n"/>
      <c r="M129" s="14" t="n"/>
      <c r="N129" s="14" t="n"/>
    </row>
    <row r="130">
      <c r="B130" s="15">
        <f>IF($D130="","","C"&amp;TEXT(ROW()-5,"000"))</f>
        <v/>
      </c>
      <c r="C130" s="16" t="n"/>
      <c r="D130" s="14" t="n"/>
      <c r="E130" s="15">
        <f>IF($D130="","",IFERROR(INDEX(rngCadetPIDs,MATCH($D130,rngCadetNames,0)),"?"))</f>
        <v/>
      </c>
      <c r="F130" s="14" t="n"/>
      <c r="G130" s="14" t="n"/>
      <c r="H130" s="14" t="n"/>
      <c r="I130" s="14" t="n"/>
      <c r="J130" s="14" t="n"/>
      <c r="K130" s="16" t="n"/>
      <c r="L130" s="16" t="n"/>
      <c r="M130" s="14" t="n"/>
      <c r="N130" s="14" t="n"/>
    </row>
    <row r="131">
      <c r="B131" s="15">
        <f>IF($D131="","","C"&amp;TEXT(ROW()-5,"000"))</f>
        <v/>
      </c>
      <c r="C131" s="16" t="n"/>
      <c r="D131" s="14" t="n"/>
      <c r="E131" s="15">
        <f>IF($D131="","",IFERROR(INDEX(rngCadetPIDs,MATCH($D131,rngCadetNames,0)),"?"))</f>
        <v/>
      </c>
      <c r="F131" s="14" t="n"/>
      <c r="G131" s="14" t="n"/>
      <c r="H131" s="14" t="n"/>
      <c r="I131" s="14" t="n"/>
      <c r="J131" s="14" t="n"/>
      <c r="K131" s="16" t="n"/>
      <c r="L131" s="16" t="n"/>
      <c r="M131" s="14" t="n"/>
      <c r="N131" s="14" t="n"/>
    </row>
    <row r="132">
      <c r="B132" s="15">
        <f>IF($D132="","","C"&amp;TEXT(ROW()-5,"000"))</f>
        <v/>
      </c>
      <c r="C132" s="16" t="n"/>
      <c r="D132" s="14" t="n"/>
      <c r="E132" s="15">
        <f>IF($D132="","",IFERROR(INDEX(rngCadetPIDs,MATCH($D132,rngCadetNames,0)),"?"))</f>
        <v/>
      </c>
      <c r="F132" s="14" t="n"/>
      <c r="G132" s="14" t="n"/>
      <c r="H132" s="14" t="n"/>
      <c r="I132" s="14" t="n"/>
      <c r="J132" s="14" t="n"/>
      <c r="K132" s="16" t="n"/>
      <c r="L132" s="16" t="n"/>
      <c r="M132" s="14" t="n"/>
      <c r="N132" s="14" t="n"/>
    </row>
    <row r="133">
      <c r="B133" s="15">
        <f>IF($D133="","","C"&amp;TEXT(ROW()-5,"000"))</f>
        <v/>
      </c>
      <c r="C133" s="16" t="n"/>
      <c r="D133" s="14" t="n"/>
      <c r="E133" s="15">
        <f>IF($D133="","",IFERROR(INDEX(rngCadetPIDs,MATCH($D133,rngCadetNames,0)),"?"))</f>
        <v/>
      </c>
      <c r="F133" s="14" t="n"/>
      <c r="G133" s="14" t="n"/>
      <c r="H133" s="14" t="n"/>
      <c r="I133" s="14" t="n"/>
      <c r="J133" s="14" t="n"/>
      <c r="K133" s="16" t="n"/>
      <c r="L133" s="16" t="n"/>
      <c r="M133" s="14" t="n"/>
      <c r="N133" s="14" t="n"/>
    </row>
    <row r="134">
      <c r="B134" s="15">
        <f>IF($D134="","","C"&amp;TEXT(ROW()-5,"000"))</f>
        <v/>
      </c>
      <c r="C134" s="16" t="n"/>
      <c r="D134" s="14" t="n"/>
      <c r="E134" s="15">
        <f>IF($D134="","",IFERROR(INDEX(rngCadetPIDs,MATCH($D134,rngCadetNames,0)),"?"))</f>
        <v/>
      </c>
      <c r="F134" s="14" t="n"/>
      <c r="G134" s="14" t="n"/>
      <c r="H134" s="14" t="n"/>
      <c r="I134" s="14" t="n"/>
      <c r="J134" s="14" t="n"/>
      <c r="K134" s="16" t="n"/>
      <c r="L134" s="16" t="n"/>
      <c r="M134" s="14" t="n"/>
      <c r="N134" s="14" t="n"/>
    </row>
    <row r="135">
      <c r="B135" s="15">
        <f>IF($D135="","","C"&amp;TEXT(ROW()-5,"000"))</f>
        <v/>
      </c>
      <c r="C135" s="16" t="n"/>
      <c r="D135" s="14" t="n"/>
      <c r="E135" s="15">
        <f>IF($D135="","",IFERROR(INDEX(rngCadetPIDs,MATCH($D135,rngCadetNames,0)),"?"))</f>
        <v/>
      </c>
      <c r="F135" s="14" t="n"/>
      <c r="G135" s="14" t="n"/>
      <c r="H135" s="14" t="n"/>
      <c r="I135" s="14" t="n"/>
      <c r="J135" s="14" t="n"/>
      <c r="K135" s="16" t="n"/>
      <c r="L135" s="16" t="n"/>
      <c r="M135" s="14" t="n"/>
      <c r="N135" s="14" t="n"/>
    </row>
    <row r="136">
      <c r="B136" s="15">
        <f>IF($D136="","","C"&amp;TEXT(ROW()-5,"000"))</f>
        <v/>
      </c>
      <c r="C136" s="16" t="n"/>
      <c r="D136" s="14" t="n"/>
      <c r="E136" s="15">
        <f>IF($D136="","",IFERROR(INDEX(rngCadetPIDs,MATCH($D136,rngCadetNames,0)),"?"))</f>
        <v/>
      </c>
      <c r="F136" s="14" t="n"/>
      <c r="G136" s="14" t="n"/>
      <c r="H136" s="14" t="n"/>
      <c r="I136" s="14" t="n"/>
      <c r="J136" s="14" t="n"/>
      <c r="K136" s="16" t="n"/>
      <c r="L136" s="16" t="n"/>
      <c r="M136" s="14" t="n"/>
      <c r="N136" s="14" t="n"/>
    </row>
    <row r="137">
      <c r="B137" s="15">
        <f>IF($D137="","","C"&amp;TEXT(ROW()-5,"000"))</f>
        <v/>
      </c>
      <c r="C137" s="16" t="n"/>
      <c r="D137" s="14" t="n"/>
      <c r="E137" s="15">
        <f>IF($D137="","",IFERROR(INDEX(rngCadetPIDs,MATCH($D137,rngCadetNames,0)),"?"))</f>
        <v/>
      </c>
      <c r="F137" s="14" t="n"/>
      <c r="G137" s="14" t="n"/>
      <c r="H137" s="14" t="n"/>
      <c r="I137" s="14" t="n"/>
      <c r="J137" s="14" t="n"/>
      <c r="K137" s="16" t="n"/>
      <c r="L137" s="16" t="n"/>
      <c r="M137" s="14" t="n"/>
      <c r="N137" s="14" t="n"/>
    </row>
    <row r="138">
      <c r="B138" s="15">
        <f>IF($D138="","","C"&amp;TEXT(ROW()-5,"000"))</f>
        <v/>
      </c>
      <c r="C138" s="16" t="n"/>
      <c r="D138" s="14" t="n"/>
      <c r="E138" s="15">
        <f>IF($D138="","",IFERROR(INDEX(rngCadetPIDs,MATCH($D138,rngCadetNames,0)),"?"))</f>
        <v/>
      </c>
      <c r="F138" s="14" t="n"/>
      <c r="G138" s="14" t="n"/>
      <c r="H138" s="14" t="n"/>
      <c r="I138" s="14" t="n"/>
      <c r="J138" s="14" t="n"/>
      <c r="K138" s="16" t="n"/>
      <c r="L138" s="16" t="n"/>
      <c r="M138" s="14" t="n"/>
      <c r="N138" s="14" t="n"/>
    </row>
    <row r="139">
      <c r="B139" s="15">
        <f>IF($D139="","","C"&amp;TEXT(ROW()-5,"000"))</f>
        <v/>
      </c>
      <c r="C139" s="16" t="n"/>
      <c r="D139" s="14" t="n"/>
      <c r="E139" s="15">
        <f>IF($D139="","",IFERROR(INDEX(rngCadetPIDs,MATCH($D139,rngCadetNames,0)),"?"))</f>
        <v/>
      </c>
      <c r="F139" s="14" t="n"/>
      <c r="G139" s="14" t="n"/>
      <c r="H139" s="14" t="n"/>
      <c r="I139" s="14" t="n"/>
      <c r="J139" s="14" t="n"/>
      <c r="K139" s="16" t="n"/>
      <c r="L139" s="16" t="n"/>
      <c r="M139" s="14" t="n"/>
      <c r="N139" s="14" t="n"/>
    </row>
    <row r="140">
      <c r="B140" s="15">
        <f>IF($D140="","","C"&amp;TEXT(ROW()-5,"000"))</f>
        <v/>
      </c>
      <c r="C140" s="16" t="n"/>
      <c r="D140" s="14" t="n"/>
      <c r="E140" s="15">
        <f>IF($D140="","",IFERROR(INDEX(rngCadetPIDs,MATCH($D140,rngCadetNames,0)),"?"))</f>
        <v/>
      </c>
      <c r="F140" s="14" t="n"/>
      <c r="G140" s="14" t="n"/>
      <c r="H140" s="14" t="n"/>
      <c r="I140" s="14" t="n"/>
      <c r="J140" s="14" t="n"/>
      <c r="K140" s="16" t="n"/>
      <c r="L140" s="16" t="n"/>
      <c r="M140" s="14" t="n"/>
      <c r="N140" s="14" t="n"/>
    </row>
    <row r="141">
      <c r="B141" s="15">
        <f>IF($D141="","","C"&amp;TEXT(ROW()-5,"000"))</f>
        <v/>
      </c>
      <c r="C141" s="16" t="n"/>
      <c r="D141" s="14" t="n"/>
      <c r="E141" s="15">
        <f>IF($D141="","",IFERROR(INDEX(rngCadetPIDs,MATCH($D141,rngCadetNames,0)),"?"))</f>
        <v/>
      </c>
      <c r="F141" s="14" t="n"/>
      <c r="G141" s="14" t="n"/>
      <c r="H141" s="14" t="n"/>
      <c r="I141" s="14" t="n"/>
      <c r="J141" s="14" t="n"/>
      <c r="K141" s="16" t="n"/>
      <c r="L141" s="16" t="n"/>
      <c r="M141" s="14" t="n"/>
      <c r="N141" s="14" t="n"/>
    </row>
    <row r="142">
      <c r="B142" s="15">
        <f>IF($D142="","","C"&amp;TEXT(ROW()-5,"000"))</f>
        <v/>
      </c>
      <c r="C142" s="16" t="n"/>
      <c r="D142" s="14" t="n"/>
      <c r="E142" s="15">
        <f>IF($D142="","",IFERROR(INDEX(rngCadetPIDs,MATCH($D142,rngCadetNames,0)),"?"))</f>
        <v/>
      </c>
      <c r="F142" s="14" t="n"/>
      <c r="G142" s="14" t="n"/>
      <c r="H142" s="14" t="n"/>
      <c r="I142" s="14" t="n"/>
      <c r="J142" s="14" t="n"/>
      <c r="K142" s="16" t="n"/>
      <c r="L142" s="16" t="n"/>
      <c r="M142" s="14" t="n"/>
      <c r="N142" s="14" t="n"/>
    </row>
    <row r="143">
      <c r="B143" s="15">
        <f>IF($D143="","","C"&amp;TEXT(ROW()-5,"000"))</f>
        <v/>
      </c>
      <c r="C143" s="16" t="n"/>
      <c r="D143" s="14" t="n"/>
      <c r="E143" s="15">
        <f>IF($D143="","",IFERROR(INDEX(rngCadetPIDs,MATCH($D143,rngCadetNames,0)),"?"))</f>
        <v/>
      </c>
      <c r="F143" s="14" t="n"/>
      <c r="G143" s="14" t="n"/>
      <c r="H143" s="14" t="n"/>
      <c r="I143" s="14" t="n"/>
      <c r="J143" s="14" t="n"/>
      <c r="K143" s="16" t="n"/>
      <c r="L143" s="16" t="n"/>
      <c r="M143" s="14" t="n"/>
      <c r="N143" s="14" t="n"/>
    </row>
    <row r="144">
      <c r="B144" s="15">
        <f>IF($D144="","","C"&amp;TEXT(ROW()-5,"000"))</f>
        <v/>
      </c>
      <c r="C144" s="16" t="n"/>
      <c r="D144" s="14" t="n"/>
      <c r="E144" s="15">
        <f>IF($D144="","",IFERROR(INDEX(rngCadetPIDs,MATCH($D144,rngCadetNames,0)),"?"))</f>
        <v/>
      </c>
      <c r="F144" s="14" t="n"/>
      <c r="G144" s="14" t="n"/>
      <c r="H144" s="14" t="n"/>
      <c r="I144" s="14" t="n"/>
      <c r="J144" s="14" t="n"/>
      <c r="K144" s="16" t="n"/>
      <c r="L144" s="16" t="n"/>
      <c r="M144" s="14" t="n"/>
      <c r="N144" s="14" t="n"/>
    </row>
    <row r="145">
      <c r="B145" s="15">
        <f>IF($D145="","","C"&amp;TEXT(ROW()-5,"000"))</f>
        <v/>
      </c>
      <c r="C145" s="16" t="n"/>
      <c r="D145" s="14" t="n"/>
      <c r="E145" s="15">
        <f>IF($D145="","",IFERROR(INDEX(rngCadetPIDs,MATCH($D145,rngCadetNames,0)),"?"))</f>
        <v/>
      </c>
      <c r="F145" s="14" t="n"/>
      <c r="G145" s="14" t="n"/>
      <c r="H145" s="14" t="n"/>
      <c r="I145" s="14" t="n"/>
      <c r="J145" s="14" t="n"/>
      <c r="K145" s="16" t="n"/>
      <c r="L145" s="16" t="n"/>
      <c r="M145" s="14" t="n"/>
      <c r="N145" s="14" t="n"/>
    </row>
    <row r="146">
      <c r="B146" s="15">
        <f>IF($D146="","","C"&amp;TEXT(ROW()-5,"000"))</f>
        <v/>
      </c>
      <c r="C146" s="16" t="n"/>
      <c r="D146" s="14" t="n"/>
      <c r="E146" s="15">
        <f>IF($D146="","",IFERROR(INDEX(rngCadetPIDs,MATCH($D146,rngCadetNames,0)),"?"))</f>
        <v/>
      </c>
      <c r="F146" s="14" t="n"/>
      <c r="G146" s="14" t="n"/>
      <c r="H146" s="14" t="n"/>
      <c r="I146" s="14" t="n"/>
      <c r="J146" s="14" t="n"/>
      <c r="K146" s="16" t="n"/>
      <c r="L146" s="16" t="n"/>
      <c r="M146" s="14" t="n"/>
      <c r="N146" s="14" t="n"/>
    </row>
    <row r="147">
      <c r="B147" s="15">
        <f>IF($D147="","","C"&amp;TEXT(ROW()-5,"000"))</f>
        <v/>
      </c>
      <c r="C147" s="16" t="n"/>
      <c r="D147" s="14" t="n"/>
      <c r="E147" s="15">
        <f>IF($D147="","",IFERROR(INDEX(rngCadetPIDs,MATCH($D147,rngCadetNames,0)),"?"))</f>
        <v/>
      </c>
      <c r="F147" s="14" t="n"/>
      <c r="G147" s="14" t="n"/>
      <c r="H147" s="14" t="n"/>
      <c r="I147" s="14" t="n"/>
      <c r="J147" s="14" t="n"/>
      <c r="K147" s="16" t="n"/>
      <c r="L147" s="16" t="n"/>
      <c r="M147" s="14" t="n"/>
      <c r="N147" s="14" t="n"/>
    </row>
    <row r="148">
      <c r="B148" s="15">
        <f>IF($D148="","","C"&amp;TEXT(ROW()-5,"000"))</f>
        <v/>
      </c>
      <c r="C148" s="16" t="n"/>
      <c r="D148" s="14" t="n"/>
      <c r="E148" s="15">
        <f>IF($D148="","",IFERROR(INDEX(rngCadetPIDs,MATCH($D148,rngCadetNames,0)),"?"))</f>
        <v/>
      </c>
      <c r="F148" s="14" t="n"/>
      <c r="G148" s="14" t="n"/>
      <c r="H148" s="14" t="n"/>
      <c r="I148" s="14" t="n"/>
      <c r="J148" s="14" t="n"/>
      <c r="K148" s="16" t="n"/>
      <c r="L148" s="16" t="n"/>
      <c r="M148" s="14" t="n"/>
      <c r="N148" s="14" t="n"/>
    </row>
    <row r="149">
      <c r="B149" s="15">
        <f>IF($D149="","","C"&amp;TEXT(ROW()-5,"000"))</f>
        <v/>
      </c>
      <c r="C149" s="16" t="n"/>
      <c r="D149" s="14" t="n"/>
      <c r="E149" s="15">
        <f>IF($D149="","",IFERROR(INDEX(rngCadetPIDs,MATCH($D149,rngCadetNames,0)),"?"))</f>
        <v/>
      </c>
      <c r="F149" s="14" t="n"/>
      <c r="G149" s="14" t="n"/>
      <c r="H149" s="14" t="n"/>
      <c r="I149" s="14" t="n"/>
      <c r="J149" s="14" t="n"/>
      <c r="K149" s="16" t="n"/>
      <c r="L149" s="16" t="n"/>
      <c r="M149" s="14" t="n"/>
      <c r="N149" s="14" t="n"/>
    </row>
    <row r="150">
      <c r="B150" s="15">
        <f>IF($D150="","","C"&amp;TEXT(ROW()-5,"000"))</f>
        <v/>
      </c>
      <c r="C150" s="16" t="n"/>
      <c r="D150" s="14" t="n"/>
      <c r="E150" s="15">
        <f>IF($D150="","",IFERROR(INDEX(rngCadetPIDs,MATCH($D150,rngCadetNames,0)),"?"))</f>
        <v/>
      </c>
      <c r="F150" s="14" t="n"/>
      <c r="G150" s="14" t="n"/>
      <c r="H150" s="14" t="n"/>
      <c r="I150" s="14" t="n"/>
      <c r="J150" s="14" t="n"/>
      <c r="K150" s="16" t="n"/>
      <c r="L150" s="16" t="n"/>
      <c r="M150" s="14" t="n"/>
      <c r="N150" s="14" t="n"/>
    </row>
    <row r="151">
      <c r="B151" s="15">
        <f>IF($D151="","","C"&amp;TEXT(ROW()-5,"000"))</f>
        <v/>
      </c>
      <c r="C151" s="16" t="n"/>
      <c r="D151" s="14" t="n"/>
      <c r="E151" s="15">
        <f>IF($D151="","",IFERROR(INDEX(rngCadetPIDs,MATCH($D151,rngCadetNames,0)),"?"))</f>
        <v/>
      </c>
      <c r="F151" s="14" t="n"/>
      <c r="G151" s="14" t="n"/>
      <c r="H151" s="14" t="n"/>
      <c r="I151" s="14" t="n"/>
      <c r="J151" s="14" t="n"/>
      <c r="K151" s="16" t="n"/>
      <c r="L151" s="16" t="n"/>
      <c r="M151" s="14" t="n"/>
      <c r="N151" s="14" t="n"/>
    </row>
    <row r="152">
      <c r="B152" s="15">
        <f>IF($D152="","","C"&amp;TEXT(ROW()-5,"000"))</f>
        <v/>
      </c>
      <c r="C152" s="16" t="n"/>
      <c r="D152" s="14" t="n"/>
      <c r="E152" s="15">
        <f>IF($D152="","",IFERROR(INDEX(rngCadetPIDs,MATCH($D152,rngCadetNames,0)),"?"))</f>
        <v/>
      </c>
      <c r="F152" s="14" t="n"/>
      <c r="G152" s="14" t="n"/>
      <c r="H152" s="14" t="n"/>
      <c r="I152" s="14" t="n"/>
      <c r="J152" s="14" t="n"/>
      <c r="K152" s="16" t="n"/>
      <c r="L152" s="16" t="n"/>
      <c r="M152" s="14" t="n"/>
      <c r="N152" s="14" t="n"/>
    </row>
    <row r="153">
      <c r="B153" s="15">
        <f>IF($D153="","","C"&amp;TEXT(ROW()-5,"000"))</f>
        <v/>
      </c>
      <c r="C153" s="16" t="n"/>
      <c r="D153" s="14" t="n"/>
      <c r="E153" s="15">
        <f>IF($D153="","",IFERROR(INDEX(rngCadetPIDs,MATCH($D153,rngCadetNames,0)),"?"))</f>
        <v/>
      </c>
      <c r="F153" s="14" t="n"/>
      <c r="G153" s="14" t="n"/>
      <c r="H153" s="14" t="n"/>
      <c r="I153" s="14" t="n"/>
      <c r="J153" s="14" t="n"/>
      <c r="K153" s="16" t="n"/>
      <c r="L153" s="16" t="n"/>
      <c r="M153" s="14" t="n"/>
      <c r="N153" s="14" t="n"/>
    </row>
    <row r="154">
      <c r="B154" s="15">
        <f>IF($D154="","","C"&amp;TEXT(ROW()-5,"000"))</f>
        <v/>
      </c>
      <c r="C154" s="16" t="n"/>
      <c r="D154" s="14" t="n"/>
      <c r="E154" s="15">
        <f>IF($D154="","",IFERROR(INDEX(rngCadetPIDs,MATCH($D154,rngCadetNames,0)),"?"))</f>
        <v/>
      </c>
      <c r="F154" s="14" t="n"/>
      <c r="G154" s="14" t="n"/>
      <c r="H154" s="14" t="n"/>
      <c r="I154" s="14" t="n"/>
      <c r="J154" s="14" t="n"/>
      <c r="K154" s="16" t="n"/>
      <c r="L154" s="16" t="n"/>
      <c r="M154" s="14" t="n"/>
      <c r="N154" s="14" t="n"/>
    </row>
    <row r="155">
      <c r="B155" s="15">
        <f>IF($D155="","","C"&amp;TEXT(ROW()-5,"000"))</f>
        <v/>
      </c>
      <c r="C155" s="16" t="n"/>
      <c r="D155" s="14" t="n"/>
      <c r="E155" s="15">
        <f>IF($D155="","",IFERROR(INDEX(rngCadetPIDs,MATCH($D155,rngCadetNames,0)),"?"))</f>
        <v/>
      </c>
      <c r="F155" s="14" t="n"/>
      <c r="G155" s="14" t="n"/>
      <c r="H155" s="14" t="n"/>
      <c r="I155" s="14" t="n"/>
      <c r="J155" s="14" t="n"/>
      <c r="K155" s="16" t="n"/>
      <c r="L155" s="16" t="n"/>
      <c r="M155" s="14" t="n"/>
      <c r="N155" s="14" t="n"/>
    </row>
    <row r="156">
      <c r="B156" s="15">
        <f>IF($D156="","","C"&amp;TEXT(ROW()-5,"000"))</f>
        <v/>
      </c>
      <c r="C156" s="16" t="n"/>
      <c r="D156" s="14" t="n"/>
      <c r="E156" s="15">
        <f>IF($D156="","",IFERROR(INDEX(rngCadetPIDs,MATCH($D156,rngCadetNames,0)),"?"))</f>
        <v/>
      </c>
      <c r="F156" s="14" t="n"/>
      <c r="G156" s="14" t="n"/>
      <c r="H156" s="14" t="n"/>
      <c r="I156" s="14" t="n"/>
      <c r="J156" s="14" t="n"/>
      <c r="K156" s="16" t="n"/>
      <c r="L156" s="16" t="n"/>
      <c r="M156" s="14" t="n"/>
      <c r="N156" s="14" t="n"/>
    </row>
    <row r="157">
      <c r="B157" s="15">
        <f>IF($D157="","","C"&amp;TEXT(ROW()-5,"000"))</f>
        <v/>
      </c>
      <c r="C157" s="16" t="n"/>
      <c r="D157" s="14" t="n"/>
      <c r="E157" s="15">
        <f>IF($D157="","",IFERROR(INDEX(rngCadetPIDs,MATCH($D157,rngCadetNames,0)),"?"))</f>
        <v/>
      </c>
      <c r="F157" s="14" t="n"/>
      <c r="G157" s="14" t="n"/>
      <c r="H157" s="14" t="n"/>
      <c r="I157" s="14" t="n"/>
      <c r="J157" s="14" t="n"/>
      <c r="K157" s="16" t="n"/>
      <c r="L157" s="16" t="n"/>
      <c r="M157" s="14" t="n"/>
      <c r="N157" s="14" t="n"/>
    </row>
    <row r="158">
      <c r="B158" s="15">
        <f>IF($D158="","","C"&amp;TEXT(ROW()-5,"000"))</f>
        <v/>
      </c>
      <c r="C158" s="16" t="n"/>
      <c r="D158" s="14" t="n"/>
      <c r="E158" s="15">
        <f>IF($D158="","",IFERROR(INDEX(rngCadetPIDs,MATCH($D158,rngCadetNames,0)),"?"))</f>
        <v/>
      </c>
      <c r="F158" s="14" t="n"/>
      <c r="G158" s="14" t="n"/>
      <c r="H158" s="14" t="n"/>
      <c r="I158" s="14" t="n"/>
      <c r="J158" s="14" t="n"/>
      <c r="K158" s="16" t="n"/>
      <c r="L158" s="16" t="n"/>
      <c r="M158" s="14" t="n"/>
      <c r="N158" s="14" t="n"/>
    </row>
    <row r="159">
      <c r="B159" s="15">
        <f>IF($D159="","","C"&amp;TEXT(ROW()-5,"000"))</f>
        <v/>
      </c>
      <c r="C159" s="16" t="n"/>
      <c r="D159" s="14" t="n"/>
      <c r="E159" s="15">
        <f>IF($D159="","",IFERROR(INDEX(rngCadetPIDs,MATCH($D159,rngCadetNames,0)),"?"))</f>
        <v/>
      </c>
      <c r="F159" s="14" t="n"/>
      <c r="G159" s="14" t="n"/>
      <c r="H159" s="14" t="n"/>
      <c r="I159" s="14" t="n"/>
      <c r="J159" s="14" t="n"/>
      <c r="K159" s="16" t="n"/>
      <c r="L159" s="16" t="n"/>
      <c r="M159" s="14" t="n"/>
      <c r="N159" s="14" t="n"/>
    </row>
    <row r="160">
      <c r="B160" s="15">
        <f>IF($D160="","","C"&amp;TEXT(ROW()-5,"000"))</f>
        <v/>
      </c>
      <c r="C160" s="16" t="n"/>
      <c r="D160" s="14" t="n"/>
      <c r="E160" s="15">
        <f>IF($D160="","",IFERROR(INDEX(rngCadetPIDs,MATCH($D160,rngCadetNames,0)),"?"))</f>
        <v/>
      </c>
      <c r="F160" s="14" t="n"/>
      <c r="G160" s="14" t="n"/>
      <c r="H160" s="14" t="n"/>
      <c r="I160" s="14" t="n"/>
      <c r="J160" s="14" t="n"/>
      <c r="K160" s="16" t="n"/>
      <c r="L160" s="16" t="n"/>
      <c r="M160" s="14" t="n"/>
      <c r="N160" s="14" t="n"/>
    </row>
    <row r="161">
      <c r="B161" s="15">
        <f>IF($D161="","","C"&amp;TEXT(ROW()-5,"000"))</f>
        <v/>
      </c>
      <c r="C161" s="16" t="n"/>
      <c r="D161" s="14" t="n"/>
      <c r="E161" s="15">
        <f>IF($D161="","",IFERROR(INDEX(rngCadetPIDs,MATCH($D161,rngCadetNames,0)),"?"))</f>
        <v/>
      </c>
      <c r="F161" s="14" t="n"/>
      <c r="G161" s="14" t="n"/>
      <c r="H161" s="14" t="n"/>
      <c r="I161" s="14" t="n"/>
      <c r="J161" s="14" t="n"/>
      <c r="K161" s="16" t="n"/>
      <c r="L161" s="16" t="n"/>
      <c r="M161" s="14" t="n"/>
      <c r="N161" s="14" t="n"/>
    </row>
    <row r="162">
      <c r="B162" s="15">
        <f>IF($D162="","","C"&amp;TEXT(ROW()-5,"000"))</f>
        <v/>
      </c>
      <c r="C162" s="16" t="n"/>
      <c r="D162" s="14" t="n"/>
      <c r="E162" s="15">
        <f>IF($D162="","",IFERROR(INDEX(rngCadetPIDs,MATCH($D162,rngCadetNames,0)),"?"))</f>
        <v/>
      </c>
      <c r="F162" s="14" t="n"/>
      <c r="G162" s="14" t="n"/>
      <c r="H162" s="14" t="n"/>
      <c r="I162" s="14" t="n"/>
      <c r="J162" s="14" t="n"/>
      <c r="K162" s="16" t="n"/>
      <c r="L162" s="16" t="n"/>
      <c r="M162" s="14" t="n"/>
      <c r="N162" s="14" t="n"/>
    </row>
    <row r="163">
      <c r="B163" s="15">
        <f>IF($D163="","","C"&amp;TEXT(ROW()-5,"000"))</f>
        <v/>
      </c>
      <c r="C163" s="16" t="n"/>
      <c r="D163" s="14" t="n"/>
      <c r="E163" s="15">
        <f>IF($D163="","",IFERROR(INDEX(rngCadetPIDs,MATCH($D163,rngCadetNames,0)),"?"))</f>
        <v/>
      </c>
      <c r="F163" s="14" t="n"/>
      <c r="G163" s="14" t="n"/>
      <c r="H163" s="14" t="n"/>
      <c r="I163" s="14" t="n"/>
      <c r="J163" s="14" t="n"/>
      <c r="K163" s="16" t="n"/>
      <c r="L163" s="16" t="n"/>
      <c r="M163" s="14" t="n"/>
      <c r="N163" s="14" t="n"/>
    </row>
    <row r="164">
      <c r="B164" s="15">
        <f>IF($D164="","","C"&amp;TEXT(ROW()-5,"000"))</f>
        <v/>
      </c>
      <c r="C164" s="16" t="n"/>
      <c r="D164" s="14" t="n"/>
      <c r="E164" s="15">
        <f>IF($D164="","",IFERROR(INDEX(rngCadetPIDs,MATCH($D164,rngCadetNames,0)),"?"))</f>
        <v/>
      </c>
      <c r="F164" s="14" t="n"/>
      <c r="G164" s="14" t="n"/>
      <c r="H164" s="14" t="n"/>
      <c r="I164" s="14" t="n"/>
      <c r="J164" s="14" t="n"/>
      <c r="K164" s="16" t="n"/>
      <c r="L164" s="16" t="n"/>
      <c r="M164" s="14" t="n"/>
      <c r="N164" s="14" t="n"/>
    </row>
    <row r="165">
      <c r="B165" s="15">
        <f>IF($D165="","","C"&amp;TEXT(ROW()-5,"000"))</f>
        <v/>
      </c>
      <c r="C165" s="16" t="n"/>
      <c r="D165" s="14" t="n"/>
      <c r="E165" s="15">
        <f>IF($D165="","",IFERROR(INDEX(rngCadetPIDs,MATCH($D165,rngCadetNames,0)),"?"))</f>
        <v/>
      </c>
      <c r="F165" s="14" t="n"/>
      <c r="G165" s="14" t="n"/>
      <c r="H165" s="14" t="n"/>
      <c r="I165" s="14" t="n"/>
      <c r="J165" s="14" t="n"/>
      <c r="K165" s="16" t="n"/>
      <c r="L165" s="16" t="n"/>
      <c r="M165" s="14" t="n"/>
      <c r="N165" s="14" t="n"/>
    </row>
    <row r="166">
      <c r="B166" s="15">
        <f>IF($D166="","","C"&amp;TEXT(ROW()-5,"000"))</f>
        <v/>
      </c>
      <c r="C166" s="16" t="n"/>
      <c r="D166" s="14" t="n"/>
      <c r="E166" s="15">
        <f>IF($D166="","",IFERROR(INDEX(rngCadetPIDs,MATCH($D166,rngCadetNames,0)),"?"))</f>
        <v/>
      </c>
      <c r="F166" s="14" t="n"/>
      <c r="G166" s="14" t="n"/>
      <c r="H166" s="14" t="n"/>
      <c r="I166" s="14" t="n"/>
      <c r="J166" s="14" t="n"/>
      <c r="K166" s="16" t="n"/>
      <c r="L166" s="16" t="n"/>
      <c r="M166" s="14" t="n"/>
      <c r="N166" s="14" t="n"/>
    </row>
    <row r="167">
      <c r="B167" s="15">
        <f>IF($D167="","","C"&amp;TEXT(ROW()-5,"000"))</f>
        <v/>
      </c>
      <c r="C167" s="16" t="n"/>
      <c r="D167" s="14" t="n"/>
      <c r="E167" s="15">
        <f>IF($D167="","",IFERROR(INDEX(rngCadetPIDs,MATCH($D167,rngCadetNames,0)),"?"))</f>
        <v/>
      </c>
      <c r="F167" s="14" t="n"/>
      <c r="G167" s="14" t="n"/>
      <c r="H167" s="14" t="n"/>
      <c r="I167" s="14" t="n"/>
      <c r="J167" s="14" t="n"/>
      <c r="K167" s="16" t="n"/>
      <c r="L167" s="16" t="n"/>
      <c r="M167" s="14" t="n"/>
      <c r="N167" s="14" t="n"/>
    </row>
    <row r="168">
      <c r="B168" s="15">
        <f>IF($D168="","","C"&amp;TEXT(ROW()-5,"000"))</f>
        <v/>
      </c>
      <c r="C168" s="16" t="n"/>
      <c r="D168" s="14" t="n"/>
      <c r="E168" s="15">
        <f>IF($D168="","",IFERROR(INDEX(rngCadetPIDs,MATCH($D168,rngCadetNames,0)),"?"))</f>
        <v/>
      </c>
      <c r="F168" s="14" t="n"/>
      <c r="G168" s="14" t="n"/>
      <c r="H168" s="14" t="n"/>
      <c r="I168" s="14" t="n"/>
      <c r="J168" s="14" t="n"/>
      <c r="K168" s="16" t="n"/>
      <c r="L168" s="16" t="n"/>
      <c r="M168" s="14" t="n"/>
      <c r="N168" s="14" t="n"/>
    </row>
    <row r="169">
      <c r="B169" s="15">
        <f>IF($D169="","","C"&amp;TEXT(ROW()-5,"000"))</f>
        <v/>
      </c>
      <c r="C169" s="16" t="n"/>
      <c r="D169" s="14" t="n"/>
      <c r="E169" s="15">
        <f>IF($D169="","",IFERROR(INDEX(rngCadetPIDs,MATCH($D169,rngCadetNames,0)),"?"))</f>
        <v/>
      </c>
      <c r="F169" s="14" t="n"/>
      <c r="G169" s="14" t="n"/>
      <c r="H169" s="14" t="n"/>
      <c r="I169" s="14" t="n"/>
      <c r="J169" s="14" t="n"/>
      <c r="K169" s="16" t="n"/>
      <c r="L169" s="16" t="n"/>
      <c r="M169" s="14" t="n"/>
      <c r="N169" s="14" t="n"/>
    </row>
    <row r="170">
      <c r="B170" s="15">
        <f>IF($D170="","","C"&amp;TEXT(ROW()-5,"000"))</f>
        <v/>
      </c>
      <c r="C170" s="16" t="n"/>
      <c r="D170" s="14" t="n"/>
      <c r="E170" s="15">
        <f>IF($D170="","",IFERROR(INDEX(rngCadetPIDs,MATCH($D170,rngCadetNames,0)),"?"))</f>
        <v/>
      </c>
      <c r="F170" s="14" t="n"/>
      <c r="G170" s="14" t="n"/>
      <c r="H170" s="14" t="n"/>
      <c r="I170" s="14" t="n"/>
      <c r="J170" s="14" t="n"/>
      <c r="K170" s="16" t="n"/>
      <c r="L170" s="16" t="n"/>
      <c r="M170" s="14" t="n"/>
      <c r="N170" s="14" t="n"/>
    </row>
    <row r="171">
      <c r="B171" s="15">
        <f>IF($D171="","","C"&amp;TEXT(ROW()-5,"000"))</f>
        <v/>
      </c>
      <c r="C171" s="16" t="n"/>
      <c r="D171" s="14" t="n"/>
      <c r="E171" s="15">
        <f>IF($D171="","",IFERROR(INDEX(rngCadetPIDs,MATCH($D171,rngCadetNames,0)),"?"))</f>
        <v/>
      </c>
      <c r="F171" s="14" t="n"/>
      <c r="G171" s="14" t="n"/>
      <c r="H171" s="14" t="n"/>
      <c r="I171" s="14" t="n"/>
      <c r="J171" s="14" t="n"/>
      <c r="K171" s="16" t="n"/>
      <c r="L171" s="16" t="n"/>
      <c r="M171" s="14" t="n"/>
      <c r="N171" s="14" t="n"/>
    </row>
    <row r="172">
      <c r="B172" s="15">
        <f>IF($D172="","","C"&amp;TEXT(ROW()-5,"000"))</f>
        <v/>
      </c>
      <c r="C172" s="16" t="n"/>
      <c r="D172" s="14" t="n"/>
      <c r="E172" s="15">
        <f>IF($D172="","",IFERROR(INDEX(rngCadetPIDs,MATCH($D172,rngCadetNames,0)),"?"))</f>
        <v/>
      </c>
      <c r="F172" s="14" t="n"/>
      <c r="G172" s="14" t="n"/>
      <c r="H172" s="14" t="n"/>
      <c r="I172" s="14" t="n"/>
      <c r="J172" s="14" t="n"/>
      <c r="K172" s="16" t="n"/>
      <c r="L172" s="16" t="n"/>
      <c r="M172" s="14" t="n"/>
      <c r="N172" s="14" t="n"/>
    </row>
    <row r="173">
      <c r="B173" s="15">
        <f>IF($D173="","","C"&amp;TEXT(ROW()-5,"000"))</f>
        <v/>
      </c>
      <c r="C173" s="16" t="n"/>
      <c r="D173" s="14" t="n"/>
      <c r="E173" s="15">
        <f>IF($D173="","",IFERROR(INDEX(rngCadetPIDs,MATCH($D173,rngCadetNames,0)),"?"))</f>
        <v/>
      </c>
      <c r="F173" s="14" t="n"/>
      <c r="G173" s="14" t="n"/>
      <c r="H173" s="14" t="n"/>
      <c r="I173" s="14" t="n"/>
      <c r="J173" s="14" t="n"/>
      <c r="K173" s="16" t="n"/>
      <c r="L173" s="16" t="n"/>
      <c r="M173" s="14" t="n"/>
      <c r="N173" s="14" t="n"/>
    </row>
    <row r="174">
      <c r="B174" s="15">
        <f>IF($D174="","","C"&amp;TEXT(ROW()-5,"000"))</f>
        <v/>
      </c>
      <c r="C174" s="16" t="n"/>
      <c r="D174" s="14" t="n"/>
      <c r="E174" s="15">
        <f>IF($D174="","",IFERROR(INDEX(rngCadetPIDs,MATCH($D174,rngCadetNames,0)),"?"))</f>
        <v/>
      </c>
      <c r="F174" s="14" t="n"/>
      <c r="G174" s="14" t="n"/>
      <c r="H174" s="14" t="n"/>
      <c r="I174" s="14" t="n"/>
      <c r="J174" s="14" t="n"/>
      <c r="K174" s="16" t="n"/>
      <c r="L174" s="16" t="n"/>
      <c r="M174" s="14" t="n"/>
      <c r="N174" s="14" t="n"/>
    </row>
    <row r="175">
      <c r="B175" s="15">
        <f>IF($D175="","","C"&amp;TEXT(ROW()-5,"000"))</f>
        <v/>
      </c>
      <c r="C175" s="16" t="n"/>
      <c r="D175" s="14" t="n"/>
      <c r="E175" s="15">
        <f>IF($D175="","",IFERROR(INDEX(rngCadetPIDs,MATCH($D175,rngCadetNames,0)),"?"))</f>
        <v/>
      </c>
      <c r="F175" s="14" t="n"/>
      <c r="G175" s="14" t="n"/>
      <c r="H175" s="14" t="n"/>
      <c r="I175" s="14" t="n"/>
      <c r="J175" s="14" t="n"/>
      <c r="K175" s="16" t="n"/>
      <c r="L175" s="16" t="n"/>
      <c r="M175" s="14" t="n"/>
      <c r="N175" s="14" t="n"/>
    </row>
    <row r="176">
      <c r="B176" s="15">
        <f>IF($D176="","","C"&amp;TEXT(ROW()-5,"000"))</f>
        <v/>
      </c>
      <c r="C176" s="16" t="n"/>
      <c r="D176" s="14" t="n"/>
      <c r="E176" s="15">
        <f>IF($D176="","",IFERROR(INDEX(rngCadetPIDs,MATCH($D176,rngCadetNames,0)),"?"))</f>
        <v/>
      </c>
      <c r="F176" s="14" t="n"/>
      <c r="G176" s="14" t="n"/>
      <c r="H176" s="14" t="n"/>
      <c r="I176" s="14" t="n"/>
      <c r="J176" s="14" t="n"/>
      <c r="K176" s="16" t="n"/>
      <c r="L176" s="16" t="n"/>
      <c r="M176" s="14" t="n"/>
      <c r="N176" s="14" t="n"/>
    </row>
    <row r="177">
      <c r="B177" s="15">
        <f>IF($D177="","","C"&amp;TEXT(ROW()-5,"000"))</f>
        <v/>
      </c>
      <c r="C177" s="16" t="n"/>
      <c r="D177" s="14" t="n"/>
      <c r="E177" s="15">
        <f>IF($D177="","",IFERROR(INDEX(rngCadetPIDs,MATCH($D177,rngCadetNames,0)),"?"))</f>
        <v/>
      </c>
      <c r="F177" s="14" t="n"/>
      <c r="G177" s="14" t="n"/>
      <c r="H177" s="14" t="n"/>
      <c r="I177" s="14" t="n"/>
      <c r="J177" s="14" t="n"/>
      <c r="K177" s="16" t="n"/>
      <c r="L177" s="16" t="n"/>
      <c r="M177" s="14" t="n"/>
      <c r="N177" s="14" t="n"/>
    </row>
    <row r="178">
      <c r="B178" s="15">
        <f>IF($D178="","","C"&amp;TEXT(ROW()-5,"000"))</f>
        <v/>
      </c>
      <c r="C178" s="16" t="n"/>
      <c r="D178" s="14" t="n"/>
      <c r="E178" s="15">
        <f>IF($D178="","",IFERROR(INDEX(rngCadetPIDs,MATCH($D178,rngCadetNames,0)),"?"))</f>
        <v/>
      </c>
      <c r="F178" s="14" t="n"/>
      <c r="G178" s="14" t="n"/>
      <c r="H178" s="14" t="n"/>
      <c r="I178" s="14" t="n"/>
      <c r="J178" s="14" t="n"/>
      <c r="K178" s="16" t="n"/>
      <c r="L178" s="16" t="n"/>
      <c r="M178" s="14" t="n"/>
      <c r="N178" s="14" t="n"/>
    </row>
    <row r="179">
      <c r="B179" s="15">
        <f>IF($D179="","","C"&amp;TEXT(ROW()-5,"000"))</f>
        <v/>
      </c>
      <c r="C179" s="16" t="n"/>
      <c r="D179" s="14" t="n"/>
      <c r="E179" s="15">
        <f>IF($D179="","",IFERROR(INDEX(rngCadetPIDs,MATCH($D179,rngCadetNames,0)),"?"))</f>
        <v/>
      </c>
      <c r="F179" s="14" t="n"/>
      <c r="G179" s="14" t="n"/>
      <c r="H179" s="14" t="n"/>
      <c r="I179" s="14" t="n"/>
      <c r="J179" s="14" t="n"/>
      <c r="K179" s="16" t="n"/>
      <c r="L179" s="16" t="n"/>
      <c r="M179" s="14" t="n"/>
      <c r="N179" s="14" t="n"/>
    </row>
    <row r="180">
      <c r="B180" s="15">
        <f>IF($D180="","","C"&amp;TEXT(ROW()-5,"000"))</f>
        <v/>
      </c>
      <c r="C180" s="16" t="n"/>
      <c r="D180" s="14" t="n"/>
      <c r="E180" s="15">
        <f>IF($D180="","",IFERROR(INDEX(rngCadetPIDs,MATCH($D180,rngCadetNames,0)),"?"))</f>
        <v/>
      </c>
      <c r="F180" s="14" t="n"/>
      <c r="G180" s="14" t="n"/>
      <c r="H180" s="14" t="n"/>
      <c r="I180" s="14" t="n"/>
      <c r="J180" s="14" t="n"/>
      <c r="K180" s="16" t="n"/>
      <c r="L180" s="16" t="n"/>
      <c r="M180" s="14" t="n"/>
      <c r="N180" s="14" t="n"/>
    </row>
    <row r="181">
      <c r="B181" s="15">
        <f>IF($D181="","","C"&amp;TEXT(ROW()-5,"000"))</f>
        <v/>
      </c>
      <c r="C181" s="16" t="n"/>
      <c r="D181" s="14" t="n"/>
      <c r="E181" s="15">
        <f>IF($D181="","",IFERROR(INDEX(rngCadetPIDs,MATCH($D181,rngCadetNames,0)),"?"))</f>
        <v/>
      </c>
      <c r="F181" s="14" t="n"/>
      <c r="G181" s="14" t="n"/>
      <c r="H181" s="14" t="n"/>
      <c r="I181" s="14" t="n"/>
      <c r="J181" s="14" t="n"/>
      <c r="K181" s="16" t="n"/>
      <c r="L181" s="16" t="n"/>
      <c r="M181" s="14" t="n"/>
      <c r="N181" s="14" t="n"/>
    </row>
    <row r="182">
      <c r="B182" s="15">
        <f>IF($D182="","","C"&amp;TEXT(ROW()-5,"000"))</f>
        <v/>
      </c>
      <c r="C182" s="16" t="n"/>
      <c r="D182" s="14" t="n"/>
      <c r="E182" s="15">
        <f>IF($D182="","",IFERROR(INDEX(rngCadetPIDs,MATCH($D182,rngCadetNames,0)),"?"))</f>
        <v/>
      </c>
      <c r="F182" s="14" t="n"/>
      <c r="G182" s="14" t="n"/>
      <c r="H182" s="14" t="n"/>
      <c r="I182" s="14" t="n"/>
      <c r="J182" s="14" t="n"/>
      <c r="K182" s="16" t="n"/>
      <c r="L182" s="16" t="n"/>
      <c r="M182" s="14" t="n"/>
      <c r="N182" s="14" t="n"/>
    </row>
    <row r="183">
      <c r="B183" s="15">
        <f>IF($D183="","","C"&amp;TEXT(ROW()-5,"000"))</f>
        <v/>
      </c>
      <c r="C183" s="16" t="n"/>
      <c r="D183" s="14" t="n"/>
      <c r="E183" s="15">
        <f>IF($D183="","",IFERROR(INDEX(rngCadetPIDs,MATCH($D183,rngCadetNames,0)),"?"))</f>
        <v/>
      </c>
      <c r="F183" s="14" t="n"/>
      <c r="G183" s="14" t="n"/>
      <c r="H183" s="14" t="n"/>
      <c r="I183" s="14" t="n"/>
      <c r="J183" s="14" t="n"/>
      <c r="K183" s="16" t="n"/>
      <c r="L183" s="16" t="n"/>
      <c r="M183" s="14" t="n"/>
      <c r="N183" s="14" t="n"/>
    </row>
    <row r="184">
      <c r="B184" s="15">
        <f>IF($D184="","","C"&amp;TEXT(ROW()-5,"000"))</f>
        <v/>
      </c>
      <c r="C184" s="16" t="n"/>
      <c r="D184" s="14" t="n"/>
      <c r="E184" s="15">
        <f>IF($D184="","",IFERROR(INDEX(rngCadetPIDs,MATCH($D184,rngCadetNames,0)),"?"))</f>
        <v/>
      </c>
      <c r="F184" s="14" t="n"/>
      <c r="G184" s="14" t="n"/>
      <c r="H184" s="14" t="n"/>
      <c r="I184" s="14" t="n"/>
      <c r="J184" s="14" t="n"/>
      <c r="K184" s="16" t="n"/>
      <c r="L184" s="16" t="n"/>
      <c r="M184" s="14" t="n"/>
      <c r="N184" s="14" t="n"/>
    </row>
    <row r="185">
      <c r="B185" s="15">
        <f>IF($D185="","","C"&amp;TEXT(ROW()-5,"000"))</f>
        <v/>
      </c>
      <c r="C185" s="16" t="n"/>
      <c r="D185" s="14" t="n"/>
      <c r="E185" s="15">
        <f>IF($D185="","",IFERROR(INDEX(rngCadetPIDs,MATCH($D185,rngCadetNames,0)),"?"))</f>
        <v/>
      </c>
      <c r="F185" s="14" t="n"/>
      <c r="G185" s="14" t="n"/>
      <c r="H185" s="14" t="n"/>
      <c r="I185" s="14" t="n"/>
      <c r="J185" s="14" t="n"/>
      <c r="K185" s="16" t="n"/>
      <c r="L185" s="16" t="n"/>
      <c r="M185" s="14" t="n"/>
      <c r="N185" s="14" t="n"/>
    </row>
    <row r="186">
      <c r="B186" s="15">
        <f>IF($D186="","","C"&amp;TEXT(ROW()-5,"000"))</f>
        <v/>
      </c>
      <c r="C186" s="16" t="n"/>
      <c r="D186" s="14" t="n"/>
      <c r="E186" s="15">
        <f>IF($D186="","",IFERROR(INDEX(rngCadetPIDs,MATCH($D186,rngCadetNames,0)),"?"))</f>
        <v/>
      </c>
      <c r="F186" s="14" t="n"/>
      <c r="G186" s="14" t="n"/>
      <c r="H186" s="14" t="n"/>
      <c r="I186" s="14" t="n"/>
      <c r="J186" s="14" t="n"/>
      <c r="K186" s="16" t="n"/>
      <c r="L186" s="16" t="n"/>
      <c r="M186" s="14" t="n"/>
      <c r="N186" s="14" t="n"/>
    </row>
    <row r="187">
      <c r="B187" s="15">
        <f>IF($D187="","","C"&amp;TEXT(ROW()-5,"000"))</f>
        <v/>
      </c>
      <c r="C187" s="16" t="n"/>
      <c r="D187" s="14" t="n"/>
      <c r="E187" s="15">
        <f>IF($D187="","",IFERROR(INDEX(rngCadetPIDs,MATCH($D187,rngCadetNames,0)),"?"))</f>
        <v/>
      </c>
      <c r="F187" s="14" t="n"/>
      <c r="G187" s="14" t="n"/>
      <c r="H187" s="14" t="n"/>
      <c r="I187" s="14" t="n"/>
      <c r="J187" s="14" t="n"/>
      <c r="K187" s="16" t="n"/>
      <c r="L187" s="16" t="n"/>
      <c r="M187" s="14" t="n"/>
      <c r="N187" s="14" t="n"/>
    </row>
    <row r="188">
      <c r="B188" s="15">
        <f>IF($D188="","","C"&amp;TEXT(ROW()-5,"000"))</f>
        <v/>
      </c>
      <c r="C188" s="16" t="n"/>
      <c r="D188" s="14" t="n"/>
      <c r="E188" s="15">
        <f>IF($D188="","",IFERROR(INDEX(rngCadetPIDs,MATCH($D188,rngCadetNames,0)),"?"))</f>
        <v/>
      </c>
      <c r="F188" s="14" t="n"/>
      <c r="G188" s="14" t="n"/>
      <c r="H188" s="14" t="n"/>
      <c r="I188" s="14" t="n"/>
      <c r="J188" s="14" t="n"/>
      <c r="K188" s="16" t="n"/>
      <c r="L188" s="16" t="n"/>
      <c r="M188" s="14" t="n"/>
      <c r="N188" s="14" t="n"/>
    </row>
    <row r="189">
      <c r="B189" s="15">
        <f>IF($D189="","","C"&amp;TEXT(ROW()-5,"000"))</f>
        <v/>
      </c>
      <c r="C189" s="16" t="n"/>
      <c r="D189" s="14" t="n"/>
      <c r="E189" s="15">
        <f>IF($D189="","",IFERROR(INDEX(rngCadetPIDs,MATCH($D189,rngCadetNames,0)),"?"))</f>
        <v/>
      </c>
      <c r="F189" s="14" t="n"/>
      <c r="G189" s="14" t="n"/>
      <c r="H189" s="14" t="n"/>
      <c r="I189" s="14" t="n"/>
      <c r="J189" s="14" t="n"/>
      <c r="K189" s="16" t="n"/>
      <c r="L189" s="16" t="n"/>
      <c r="M189" s="14" t="n"/>
      <c r="N189" s="14" t="n"/>
    </row>
    <row r="190">
      <c r="B190" s="15">
        <f>IF($D190="","","C"&amp;TEXT(ROW()-5,"000"))</f>
        <v/>
      </c>
      <c r="C190" s="16" t="n"/>
      <c r="D190" s="14" t="n"/>
      <c r="E190" s="15">
        <f>IF($D190="","",IFERROR(INDEX(rngCadetPIDs,MATCH($D190,rngCadetNames,0)),"?"))</f>
        <v/>
      </c>
      <c r="F190" s="14" t="n"/>
      <c r="G190" s="14" t="n"/>
      <c r="H190" s="14" t="n"/>
      <c r="I190" s="14" t="n"/>
      <c r="J190" s="14" t="n"/>
      <c r="K190" s="16" t="n"/>
      <c r="L190" s="16" t="n"/>
      <c r="M190" s="14" t="n"/>
      <c r="N190" s="14" t="n"/>
    </row>
    <row r="191">
      <c r="B191" s="15">
        <f>IF($D191="","","C"&amp;TEXT(ROW()-5,"000"))</f>
        <v/>
      </c>
      <c r="C191" s="16" t="n"/>
      <c r="D191" s="14" t="n"/>
      <c r="E191" s="15">
        <f>IF($D191="","",IFERROR(INDEX(rngCadetPIDs,MATCH($D191,rngCadetNames,0)),"?"))</f>
        <v/>
      </c>
      <c r="F191" s="14" t="n"/>
      <c r="G191" s="14" t="n"/>
      <c r="H191" s="14" t="n"/>
      <c r="I191" s="14" t="n"/>
      <c r="J191" s="14" t="n"/>
      <c r="K191" s="16" t="n"/>
      <c r="L191" s="16" t="n"/>
      <c r="M191" s="14" t="n"/>
      <c r="N191" s="14" t="n"/>
    </row>
    <row r="192">
      <c r="B192" s="15">
        <f>IF($D192="","","C"&amp;TEXT(ROW()-5,"000"))</f>
        <v/>
      </c>
      <c r="C192" s="16" t="n"/>
      <c r="D192" s="14" t="n"/>
      <c r="E192" s="15">
        <f>IF($D192="","",IFERROR(INDEX(rngCadetPIDs,MATCH($D192,rngCadetNames,0)),"?"))</f>
        <v/>
      </c>
      <c r="F192" s="14" t="n"/>
      <c r="G192" s="14" t="n"/>
      <c r="H192" s="14" t="n"/>
      <c r="I192" s="14" t="n"/>
      <c r="J192" s="14" t="n"/>
      <c r="K192" s="16" t="n"/>
      <c r="L192" s="16" t="n"/>
      <c r="M192" s="14" t="n"/>
      <c r="N192" s="14" t="n"/>
    </row>
    <row r="193">
      <c r="B193" s="15">
        <f>IF($D193="","","C"&amp;TEXT(ROW()-5,"000"))</f>
        <v/>
      </c>
      <c r="C193" s="16" t="n"/>
      <c r="D193" s="14" t="n"/>
      <c r="E193" s="15">
        <f>IF($D193="","",IFERROR(INDEX(rngCadetPIDs,MATCH($D193,rngCadetNames,0)),"?"))</f>
        <v/>
      </c>
      <c r="F193" s="14" t="n"/>
      <c r="G193" s="14" t="n"/>
      <c r="H193" s="14" t="n"/>
      <c r="I193" s="14" t="n"/>
      <c r="J193" s="14" t="n"/>
      <c r="K193" s="16" t="n"/>
      <c r="L193" s="16" t="n"/>
      <c r="M193" s="14" t="n"/>
      <c r="N193" s="14" t="n"/>
    </row>
    <row r="194">
      <c r="B194" s="15">
        <f>IF($D194="","","C"&amp;TEXT(ROW()-5,"000"))</f>
        <v/>
      </c>
      <c r="C194" s="16" t="n"/>
      <c r="D194" s="14" t="n"/>
      <c r="E194" s="15">
        <f>IF($D194="","",IFERROR(INDEX(rngCadetPIDs,MATCH($D194,rngCadetNames,0)),"?"))</f>
        <v/>
      </c>
      <c r="F194" s="14" t="n"/>
      <c r="G194" s="14" t="n"/>
      <c r="H194" s="14" t="n"/>
      <c r="I194" s="14" t="n"/>
      <c r="J194" s="14" t="n"/>
      <c r="K194" s="16" t="n"/>
      <c r="L194" s="16" t="n"/>
      <c r="M194" s="14" t="n"/>
      <c r="N194" s="14" t="n"/>
    </row>
    <row r="195">
      <c r="B195" s="15">
        <f>IF($D195="","","C"&amp;TEXT(ROW()-5,"000"))</f>
        <v/>
      </c>
      <c r="C195" s="16" t="n"/>
      <c r="D195" s="14" t="n"/>
      <c r="E195" s="15">
        <f>IF($D195="","",IFERROR(INDEX(rngCadetPIDs,MATCH($D195,rngCadetNames,0)),"?"))</f>
        <v/>
      </c>
      <c r="F195" s="14" t="n"/>
      <c r="G195" s="14" t="n"/>
      <c r="H195" s="14" t="n"/>
      <c r="I195" s="14" t="n"/>
      <c r="J195" s="14" t="n"/>
      <c r="K195" s="16" t="n"/>
      <c r="L195" s="16" t="n"/>
      <c r="M195" s="14" t="n"/>
      <c r="N195" s="14" t="n"/>
    </row>
    <row r="196">
      <c r="B196" s="15">
        <f>IF($D196="","","C"&amp;TEXT(ROW()-5,"000"))</f>
        <v/>
      </c>
      <c r="C196" s="16" t="n"/>
      <c r="D196" s="14" t="n"/>
      <c r="E196" s="15">
        <f>IF($D196="","",IFERROR(INDEX(rngCadetPIDs,MATCH($D196,rngCadetNames,0)),"?"))</f>
        <v/>
      </c>
      <c r="F196" s="14" t="n"/>
      <c r="G196" s="14" t="n"/>
      <c r="H196" s="14" t="n"/>
      <c r="I196" s="14" t="n"/>
      <c r="J196" s="14" t="n"/>
      <c r="K196" s="16" t="n"/>
      <c r="L196" s="16" t="n"/>
      <c r="M196" s="14" t="n"/>
      <c r="N196" s="14" t="n"/>
    </row>
    <row r="197">
      <c r="B197" s="15">
        <f>IF($D197="","","C"&amp;TEXT(ROW()-5,"000"))</f>
        <v/>
      </c>
      <c r="C197" s="16" t="n"/>
      <c r="D197" s="14" t="n"/>
      <c r="E197" s="15">
        <f>IF($D197="","",IFERROR(INDEX(rngCadetPIDs,MATCH($D197,rngCadetNames,0)),"?"))</f>
        <v/>
      </c>
      <c r="F197" s="14" t="n"/>
      <c r="G197" s="14" t="n"/>
      <c r="H197" s="14" t="n"/>
      <c r="I197" s="14" t="n"/>
      <c r="J197" s="14" t="n"/>
      <c r="K197" s="16" t="n"/>
      <c r="L197" s="16" t="n"/>
      <c r="M197" s="14" t="n"/>
      <c r="N197" s="14" t="n"/>
    </row>
    <row r="198">
      <c r="B198" s="15">
        <f>IF($D198="","","C"&amp;TEXT(ROW()-5,"000"))</f>
        <v/>
      </c>
      <c r="C198" s="16" t="n"/>
      <c r="D198" s="14" t="n"/>
      <c r="E198" s="15">
        <f>IF($D198="","",IFERROR(INDEX(rngCadetPIDs,MATCH($D198,rngCadetNames,0)),"?"))</f>
        <v/>
      </c>
      <c r="F198" s="14" t="n"/>
      <c r="G198" s="14" t="n"/>
      <c r="H198" s="14" t="n"/>
      <c r="I198" s="14" t="n"/>
      <c r="J198" s="14" t="n"/>
      <c r="K198" s="16" t="n"/>
      <c r="L198" s="16" t="n"/>
      <c r="M198" s="14" t="n"/>
      <c r="N198" s="14" t="n"/>
    </row>
    <row r="199">
      <c r="B199" s="15">
        <f>IF($D199="","","C"&amp;TEXT(ROW()-5,"000"))</f>
        <v/>
      </c>
      <c r="C199" s="16" t="n"/>
      <c r="D199" s="14" t="n"/>
      <c r="E199" s="15">
        <f>IF($D199="","",IFERROR(INDEX(rngCadetPIDs,MATCH($D199,rngCadetNames,0)),"?"))</f>
        <v/>
      </c>
      <c r="F199" s="14" t="n"/>
      <c r="G199" s="14" t="n"/>
      <c r="H199" s="14" t="n"/>
      <c r="I199" s="14" t="n"/>
      <c r="J199" s="14" t="n"/>
      <c r="K199" s="16" t="n"/>
      <c r="L199" s="16" t="n"/>
      <c r="M199" s="14" t="n"/>
      <c r="N199" s="14" t="n"/>
    </row>
    <row r="200">
      <c r="B200" s="15">
        <f>IF($D200="","","C"&amp;TEXT(ROW()-5,"000"))</f>
        <v/>
      </c>
      <c r="C200" s="16" t="n"/>
      <c r="D200" s="14" t="n"/>
      <c r="E200" s="15">
        <f>IF($D200="","",IFERROR(INDEX(rngCadetPIDs,MATCH($D200,rngCadetNames,0)),"?"))</f>
        <v/>
      </c>
      <c r="F200" s="14" t="n"/>
      <c r="G200" s="14" t="n"/>
      <c r="H200" s="14" t="n"/>
      <c r="I200" s="14" t="n"/>
      <c r="J200" s="14" t="n"/>
      <c r="K200" s="16" t="n"/>
      <c r="L200" s="16" t="n"/>
      <c r="M200" s="14" t="n"/>
      <c r="N200" s="14" t="n"/>
    </row>
    <row r="201">
      <c r="B201" s="15">
        <f>IF($D201="","","C"&amp;TEXT(ROW()-5,"000"))</f>
        <v/>
      </c>
      <c r="C201" s="16" t="n"/>
      <c r="D201" s="14" t="n"/>
      <c r="E201" s="15">
        <f>IF($D201="","",IFERROR(INDEX(rngCadetPIDs,MATCH($D201,rngCadetNames,0)),"?"))</f>
        <v/>
      </c>
      <c r="F201" s="14" t="n"/>
      <c r="G201" s="14" t="n"/>
      <c r="H201" s="14" t="n"/>
      <c r="I201" s="14" t="n"/>
      <c r="J201" s="14" t="n"/>
      <c r="K201" s="16" t="n"/>
      <c r="L201" s="16" t="n"/>
      <c r="M201" s="14" t="n"/>
      <c r="N201" s="14" t="n"/>
    </row>
    <row r="202">
      <c r="B202" s="15">
        <f>IF($D202="","","C"&amp;TEXT(ROW()-5,"000"))</f>
        <v/>
      </c>
      <c r="C202" s="16" t="n"/>
      <c r="D202" s="14" t="n"/>
      <c r="E202" s="15">
        <f>IF($D202="","",IFERROR(INDEX(rngCadetPIDs,MATCH($D202,rngCadetNames,0)),"?"))</f>
        <v/>
      </c>
      <c r="F202" s="14" t="n"/>
      <c r="G202" s="14" t="n"/>
      <c r="H202" s="14" t="n"/>
      <c r="I202" s="14" t="n"/>
      <c r="J202" s="14" t="n"/>
      <c r="K202" s="16" t="n"/>
      <c r="L202" s="16" t="n"/>
      <c r="M202" s="14" t="n"/>
      <c r="N202" s="14" t="n"/>
    </row>
    <row r="203">
      <c r="B203" s="15">
        <f>IF($D203="","","C"&amp;TEXT(ROW()-5,"000"))</f>
        <v/>
      </c>
      <c r="C203" s="16" t="n"/>
      <c r="D203" s="14" t="n"/>
      <c r="E203" s="15">
        <f>IF($D203="","",IFERROR(INDEX(rngCadetPIDs,MATCH($D203,rngCadetNames,0)),"?"))</f>
        <v/>
      </c>
      <c r="F203" s="14" t="n"/>
      <c r="G203" s="14" t="n"/>
      <c r="H203" s="14" t="n"/>
      <c r="I203" s="14" t="n"/>
      <c r="J203" s="14" t="n"/>
      <c r="K203" s="16" t="n"/>
      <c r="L203" s="16" t="n"/>
      <c r="M203" s="14" t="n"/>
      <c r="N203" s="14" t="n"/>
    </row>
    <row r="204">
      <c r="B204" s="15">
        <f>IF($D204="","","C"&amp;TEXT(ROW()-5,"000"))</f>
        <v/>
      </c>
      <c r="C204" s="16" t="n"/>
      <c r="D204" s="14" t="n"/>
      <c r="E204" s="15">
        <f>IF($D204="","",IFERROR(INDEX(rngCadetPIDs,MATCH($D204,rngCadetNames,0)),"?"))</f>
        <v/>
      </c>
      <c r="F204" s="14" t="n"/>
      <c r="G204" s="14" t="n"/>
      <c r="H204" s="14" t="n"/>
      <c r="I204" s="14" t="n"/>
      <c r="J204" s="14" t="n"/>
      <c r="K204" s="16" t="n"/>
      <c r="L204" s="16" t="n"/>
      <c r="M204" s="14" t="n"/>
      <c r="N204" s="14" t="n"/>
    </row>
    <row r="205">
      <c r="B205" s="15">
        <f>IF($D205="","","C"&amp;TEXT(ROW()-5,"000"))</f>
        <v/>
      </c>
      <c r="C205" s="16" t="n"/>
      <c r="D205" s="14" t="n"/>
      <c r="E205" s="15">
        <f>IF($D205="","",IFERROR(INDEX(rngCadetPIDs,MATCH($D205,rngCadetNames,0)),"?"))</f>
        <v/>
      </c>
      <c r="F205" s="14" t="n"/>
      <c r="G205" s="14" t="n"/>
      <c r="H205" s="14" t="n"/>
      <c r="I205" s="14" t="n"/>
      <c r="J205" s="14" t="n"/>
      <c r="K205" s="16" t="n"/>
      <c r="L205" s="16" t="n"/>
      <c r="M205" s="14" t="n"/>
      <c r="N205" s="14" t="n"/>
    </row>
    <row r="206">
      <c r="B206" s="15">
        <f>IF($D206="","","C"&amp;TEXT(ROW()-5,"000"))</f>
        <v/>
      </c>
      <c r="C206" s="16" t="n"/>
      <c r="D206" s="14" t="n"/>
      <c r="E206" s="15">
        <f>IF($D206="","",IFERROR(INDEX(rngCadetPIDs,MATCH($D206,rngCadetNames,0)),"?"))</f>
        <v/>
      </c>
      <c r="F206" s="14" t="n"/>
      <c r="G206" s="14" t="n"/>
      <c r="H206" s="14" t="n"/>
      <c r="I206" s="14" t="n"/>
      <c r="J206" s="14" t="n"/>
      <c r="K206" s="16" t="n"/>
      <c r="L206" s="16" t="n"/>
      <c r="M206" s="14" t="n"/>
      <c r="N206" s="14" t="n"/>
    </row>
    <row r="207">
      <c r="B207" s="15">
        <f>IF($D207="","","C"&amp;TEXT(ROW()-5,"000"))</f>
        <v/>
      </c>
      <c r="C207" s="16" t="n"/>
      <c r="D207" s="14" t="n"/>
      <c r="E207" s="15">
        <f>IF($D207="","",IFERROR(INDEX(rngCadetPIDs,MATCH($D207,rngCadetNames,0)),"?"))</f>
        <v/>
      </c>
      <c r="F207" s="14" t="n"/>
      <c r="G207" s="14" t="n"/>
      <c r="H207" s="14" t="n"/>
      <c r="I207" s="14" t="n"/>
      <c r="J207" s="14" t="n"/>
      <c r="K207" s="16" t="n"/>
      <c r="L207" s="16" t="n"/>
      <c r="M207" s="14" t="n"/>
      <c r="N207" s="14" t="n"/>
    </row>
    <row r="208">
      <c r="B208" s="15">
        <f>IF($D208="","","C"&amp;TEXT(ROW()-5,"000"))</f>
        <v/>
      </c>
      <c r="C208" s="16" t="n"/>
      <c r="D208" s="14" t="n"/>
      <c r="E208" s="15">
        <f>IF($D208="","",IFERROR(INDEX(rngCadetPIDs,MATCH($D208,rngCadetNames,0)),"?"))</f>
        <v/>
      </c>
      <c r="F208" s="14" t="n"/>
      <c r="G208" s="14" t="n"/>
      <c r="H208" s="14" t="n"/>
      <c r="I208" s="14" t="n"/>
      <c r="J208" s="14" t="n"/>
      <c r="K208" s="16" t="n"/>
      <c r="L208" s="16" t="n"/>
      <c r="M208" s="14" t="n"/>
      <c r="N208" s="14" t="n"/>
    </row>
    <row r="209">
      <c r="B209" s="15">
        <f>IF($D209="","","C"&amp;TEXT(ROW()-5,"000"))</f>
        <v/>
      </c>
      <c r="C209" s="16" t="n"/>
      <c r="D209" s="14" t="n"/>
      <c r="E209" s="15">
        <f>IF($D209="","",IFERROR(INDEX(rngCadetPIDs,MATCH($D209,rngCadetNames,0)),"?"))</f>
        <v/>
      </c>
      <c r="F209" s="14" t="n"/>
      <c r="G209" s="14" t="n"/>
      <c r="H209" s="14" t="n"/>
      <c r="I209" s="14" t="n"/>
      <c r="J209" s="14" t="n"/>
      <c r="K209" s="16" t="n"/>
      <c r="L209" s="16" t="n"/>
      <c r="M209" s="14" t="n"/>
      <c r="N209" s="14" t="n"/>
    </row>
    <row r="210">
      <c r="B210" s="15">
        <f>IF($D210="","","C"&amp;TEXT(ROW()-5,"000"))</f>
        <v/>
      </c>
      <c r="C210" s="16" t="n"/>
      <c r="D210" s="14" t="n"/>
      <c r="E210" s="15">
        <f>IF($D210="","",IFERROR(INDEX(rngCadetPIDs,MATCH($D210,rngCadetNames,0)),"?"))</f>
        <v/>
      </c>
      <c r="F210" s="14" t="n"/>
      <c r="G210" s="14" t="n"/>
      <c r="H210" s="14" t="n"/>
      <c r="I210" s="14" t="n"/>
      <c r="J210" s="14" t="n"/>
      <c r="K210" s="16" t="n"/>
      <c r="L210" s="16" t="n"/>
      <c r="M210" s="14" t="n"/>
      <c r="N210" s="14" t="n"/>
    </row>
    <row r="211">
      <c r="B211" s="15">
        <f>IF($D211="","","C"&amp;TEXT(ROW()-5,"000"))</f>
        <v/>
      </c>
      <c r="C211" s="16" t="n"/>
      <c r="D211" s="14" t="n"/>
      <c r="E211" s="15">
        <f>IF($D211="","",IFERROR(INDEX(rngCadetPIDs,MATCH($D211,rngCadetNames,0)),"?"))</f>
        <v/>
      </c>
      <c r="F211" s="14" t="n"/>
      <c r="G211" s="14" t="n"/>
      <c r="H211" s="14" t="n"/>
      <c r="I211" s="14" t="n"/>
      <c r="J211" s="14" t="n"/>
      <c r="K211" s="16" t="n"/>
      <c r="L211" s="16" t="n"/>
      <c r="M211" s="14" t="n"/>
      <c r="N211" s="14" t="n"/>
    </row>
    <row r="212">
      <c r="B212" s="15">
        <f>IF($D212="","","C"&amp;TEXT(ROW()-5,"000"))</f>
        <v/>
      </c>
      <c r="C212" s="16" t="n"/>
      <c r="D212" s="14" t="n"/>
      <c r="E212" s="15">
        <f>IF($D212="","",IFERROR(INDEX(rngCadetPIDs,MATCH($D212,rngCadetNames,0)),"?"))</f>
        <v/>
      </c>
      <c r="F212" s="14" t="n"/>
      <c r="G212" s="14" t="n"/>
      <c r="H212" s="14" t="n"/>
      <c r="I212" s="14" t="n"/>
      <c r="J212" s="14" t="n"/>
      <c r="K212" s="16" t="n"/>
      <c r="L212" s="16" t="n"/>
      <c r="M212" s="14" t="n"/>
      <c r="N212" s="14" t="n"/>
    </row>
    <row r="213">
      <c r="B213" s="15">
        <f>IF($D213="","","C"&amp;TEXT(ROW()-5,"000"))</f>
        <v/>
      </c>
      <c r="C213" s="16" t="n"/>
      <c r="D213" s="14" t="n"/>
      <c r="E213" s="15">
        <f>IF($D213="","",IFERROR(INDEX(rngCadetPIDs,MATCH($D213,rngCadetNames,0)),"?"))</f>
        <v/>
      </c>
      <c r="F213" s="14" t="n"/>
      <c r="G213" s="14" t="n"/>
      <c r="H213" s="14" t="n"/>
      <c r="I213" s="14" t="n"/>
      <c r="J213" s="14" t="n"/>
      <c r="K213" s="16" t="n"/>
      <c r="L213" s="16" t="n"/>
      <c r="M213" s="14" t="n"/>
      <c r="N213" s="14" t="n"/>
    </row>
    <row r="214">
      <c r="B214" s="15">
        <f>IF($D214="","","C"&amp;TEXT(ROW()-5,"000"))</f>
        <v/>
      </c>
      <c r="C214" s="16" t="n"/>
      <c r="D214" s="14" t="n"/>
      <c r="E214" s="15">
        <f>IF($D214="","",IFERROR(INDEX(rngCadetPIDs,MATCH($D214,rngCadetNames,0)),"?"))</f>
        <v/>
      </c>
      <c r="F214" s="14" t="n"/>
      <c r="G214" s="14" t="n"/>
      <c r="H214" s="14" t="n"/>
      <c r="I214" s="14" t="n"/>
      <c r="J214" s="14" t="n"/>
      <c r="K214" s="16" t="n"/>
      <c r="L214" s="16" t="n"/>
      <c r="M214" s="14" t="n"/>
      <c r="N214" s="14" t="n"/>
    </row>
    <row r="215">
      <c r="B215" s="15">
        <f>IF($D215="","","C"&amp;TEXT(ROW()-5,"000"))</f>
        <v/>
      </c>
      <c r="C215" s="16" t="n"/>
      <c r="D215" s="14" t="n"/>
      <c r="E215" s="15">
        <f>IF($D215="","",IFERROR(INDEX(rngCadetPIDs,MATCH($D215,rngCadetNames,0)),"?"))</f>
        <v/>
      </c>
      <c r="F215" s="14" t="n"/>
      <c r="G215" s="14" t="n"/>
      <c r="H215" s="14" t="n"/>
      <c r="I215" s="14" t="n"/>
      <c r="J215" s="14" t="n"/>
      <c r="K215" s="16" t="n"/>
      <c r="L215" s="16" t="n"/>
      <c r="M215" s="14" t="n"/>
      <c r="N215" s="14" t="n"/>
    </row>
    <row r="216">
      <c r="B216" s="15">
        <f>IF($D216="","","C"&amp;TEXT(ROW()-5,"000"))</f>
        <v/>
      </c>
      <c r="C216" s="16" t="n"/>
      <c r="D216" s="14" t="n"/>
      <c r="E216" s="15">
        <f>IF($D216="","",IFERROR(INDEX(rngCadetPIDs,MATCH($D216,rngCadetNames,0)),"?"))</f>
        <v/>
      </c>
      <c r="F216" s="14" t="n"/>
      <c r="G216" s="14" t="n"/>
      <c r="H216" s="14" t="n"/>
      <c r="I216" s="14" t="n"/>
      <c r="J216" s="14" t="n"/>
      <c r="K216" s="16" t="n"/>
      <c r="L216" s="16" t="n"/>
      <c r="M216" s="14" t="n"/>
      <c r="N216" s="14" t="n"/>
    </row>
    <row r="217">
      <c r="B217" s="15">
        <f>IF($D217="","","C"&amp;TEXT(ROW()-5,"000"))</f>
        <v/>
      </c>
      <c r="C217" s="16" t="n"/>
      <c r="D217" s="14" t="n"/>
      <c r="E217" s="15">
        <f>IF($D217="","",IFERROR(INDEX(rngCadetPIDs,MATCH($D217,rngCadetNames,0)),"?"))</f>
        <v/>
      </c>
      <c r="F217" s="14" t="n"/>
      <c r="G217" s="14" t="n"/>
      <c r="H217" s="14" t="n"/>
      <c r="I217" s="14" t="n"/>
      <c r="J217" s="14" t="n"/>
      <c r="K217" s="16" t="n"/>
      <c r="L217" s="16" t="n"/>
      <c r="M217" s="14" t="n"/>
      <c r="N217" s="14" t="n"/>
    </row>
    <row r="218">
      <c r="B218" s="15">
        <f>IF($D218="","","C"&amp;TEXT(ROW()-5,"000"))</f>
        <v/>
      </c>
      <c r="C218" s="16" t="n"/>
      <c r="D218" s="14" t="n"/>
      <c r="E218" s="15">
        <f>IF($D218="","",IFERROR(INDEX(rngCadetPIDs,MATCH($D218,rngCadetNames,0)),"?"))</f>
        <v/>
      </c>
      <c r="F218" s="14" t="n"/>
      <c r="G218" s="14" t="n"/>
      <c r="H218" s="14" t="n"/>
      <c r="I218" s="14" t="n"/>
      <c r="J218" s="14" t="n"/>
      <c r="K218" s="16" t="n"/>
      <c r="L218" s="16" t="n"/>
      <c r="M218" s="14" t="n"/>
      <c r="N218" s="14" t="n"/>
    </row>
    <row r="219">
      <c r="B219" s="15">
        <f>IF($D219="","","C"&amp;TEXT(ROW()-5,"000"))</f>
        <v/>
      </c>
      <c r="C219" s="16" t="n"/>
      <c r="D219" s="14" t="n"/>
      <c r="E219" s="15">
        <f>IF($D219="","",IFERROR(INDEX(rngCadetPIDs,MATCH($D219,rngCadetNames,0)),"?"))</f>
        <v/>
      </c>
      <c r="F219" s="14" t="n"/>
      <c r="G219" s="14" t="n"/>
      <c r="H219" s="14" t="n"/>
      <c r="I219" s="14" t="n"/>
      <c r="J219" s="14" t="n"/>
      <c r="K219" s="16" t="n"/>
      <c r="L219" s="16" t="n"/>
      <c r="M219" s="14" t="n"/>
      <c r="N219" s="14" t="n"/>
    </row>
    <row r="220">
      <c r="B220" s="15">
        <f>IF($D220="","","C"&amp;TEXT(ROW()-5,"000"))</f>
        <v/>
      </c>
      <c r="C220" s="16" t="n"/>
      <c r="D220" s="14" t="n"/>
      <c r="E220" s="15">
        <f>IF($D220="","",IFERROR(INDEX(rngCadetPIDs,MATCH($D220,rngCadetNames,0)),"?"))</f>
        <v/>
      </c>
      <c r="F220" s="14" t="n"/>
      <c r="G220" s="14" t="n"/>
      <c r="H220" s="14" t="n"/>
      <c r="I220" s="14" t="n"/>
      <c r="J220" s="14" t="n"/>
      <c r="K220" s="16" t="n"/>
      <c r="L220" s="16" t="n"/>
      <c r="M220" s="14" t="n"/>
      <c r="N220" s="14" t="n"/>
    </row>
    <row r="221">
      <c r="B221" s="15">
        <f>IF($D221="","","C"&amp;TEXT(ROW()-5,"000"))</f>
        <v/>
      </c>
      <c r="C221" s="16" t="n"/>
      <c r="D221" s="14" t="n"/>
      <c r="E221" s="15">
        <f>IF($D221="","",IFERROR(INDEX(rngCadetPIDs,MATCH($D221,rngCadetNames,0)),"?"))</f>
        <v/>
      </c>
      <c r="F221" s="14" t="n"/>
      <c r="G221" s="14" t="n"/>
      <c r="H221" s="14" t="n"/>
      <c r="I221" s="14" t="n"/>
      <c r="J221" s="14" t="n"/>
      <c r="K221" s="16" t="n"/>
      <c r="L221" s="16" t="n"/>
      <c r="M221" s="14" t="n"/>
      <c r="N221" s="14" t="n"/>
    </row>
    <row r="222">
      <c r="B222" s="15">
        <f>IF($D222="","","C"&amp;TEXT(ROW()-5,"000"))</f>
        <v/>
      </c>
      <c r="C222" s="16" t="n"/>
      <c r="D222" s="14" t="n"/>
      <c r="E222" s="15">
        <f>IF($D222="","",IFERROR(INDEX(rngCadetPIDs,MATCH($D222,rngCadetNames,0)),"?"))</f>
        <v/>
      </c>
      <c r="F222" s="14" t="n"/>
      <c r="G222" s="14" t="n"/>
      <c r="H222" s="14" t="n"/>
      <c r="I222" s="14" t="n"/>
      <c r="J222" s="14" t="n"/>
      <c r="K222" s="16" t="n"/>
      <c r="L222" s="16" t="n"/>
      <c r="M222" s="14" t="n"/>
      <c r="N222" s="14" t="n"/>
    </row>
    <row r="223">
      <c r="B223" s="15">
        <f>IF($D223="","","C"&amp;TEXT(ROW()-5,"000"))</f>
        <v/>
      </c>
      <c r="C223" s="16" t="n"/>
      <c r="D223" s="14" t="n"/>
      <c r="E223" s="15">
        <f>IF($D223="","",IFERROR(INDEX(rngCadetPIDs,MATCH($D223,rngCadetNames,0)),"?"))</f>
        <v/>
      </c>
      <c r="F223" s="14" t="n"/>
      <c r="G223" s="14" t="n"/>
      <c r="H223" s="14" t="n"/>
      <c r="I223" s="14" t="n"/>
      <c r="J223" s="14" t="n"/>
      <c r="K223" s="16" t="n"/>
      <c r="L223" s="16" t="n"/>
      <c r="M223" s="14" t="n"/>
      <c r="N223" s="14" t="n"/>
    </row>
    <row r="224">
      <c r="B224" s="15">
        <f>IF($D224="","","C"&amp;TEXT(ROW()-5,"000"))</f>
        <v/>
      </c>
      <c r="C224" s="16" t="n"/>
      <c r="D224" s="14" t="n"/>
      <c r="E224" s="15">
        <f>IF($D224="","",IFERROR(INDEX(rngCadetPIDs,MATCH($D224,rngCadetNames,0)),"?"))</f>
        <v/>
      </c>
      <c r="F224" s="14" t="n"/>
      <c r="G224" s="14" t="n"/>
      <c r="H224" s="14" t="n"/>
      <c r="I224" s="14" t="n"/>
      <c r="J224" s="14" t="n"/>
      <c r="K224" s="16" t="n"/>
      <c r="L224" s="16" t="n"/>
      <c r="M224" s="14" t="n"/>
      <c r="N224" s="14" t="n"/>
    </row>
    <row r="225">
      <c r="B225" s="15">
        <f>IF($D225="","","C"&amp;TEXT(ROW()-5,"000"))</f>
        <v/>
      </c>
      <c r="C225" s="16" t="n"/>
      <c r="D225" s="14" t="n"/>
      <c r="E225" s="15">
        <f>IF($D225="","",IFERROR(INDEX(rngCadetPIDs,MATCH($D225,rngCadetNames,0)),"?"))</f>
        <v/>
      </c>
      <c r="F225" s="14" t="n"/>
      <c r="G225" s="14" t="n"/>
      <c r="H225" s="14" t="n"/>
      <c r="I225" s="14" t="n"/>
      <c r="J225" s="14" t="n"/>
      <c r="K225" s="16" t="n"/>
      <c r="L225" s="16" t="n"/>
      <c r="M225" s="14" t="n"/>
      <c r="N225" s="14" t="n"/>
    </row>
    <row r="226">
      <c r="B226" s="15">
        <f>IF($D226="","","C"&amp;TEXT(ROW()-5,"000"))</f>
        <v/>
      </c>
      <c r="C226" s="16" t="n"/>
      <c r="D226" s="14" t="n"/>
      <c r="E226" s="15">
        <f>IF($D226="","",IFERROR(INDEX(rngCadetPIDs,MATCH($D226,rngCadetNames,0)),"?"))</f>
        <v/>
      </c>
      <c r="F226" s="14" t="n"/>
      <c r="G226" s="14" t="n"/>
      <c r="H226" s="14" t="n"/>
      <c r="I226" s="14" t="n"/>
      <c r="J226" s="14" t="n"/>
      <c r="K226" s="16" t="n"/>
      <c r="L226" s="16" t="n"/>
      <c r="M226" s="14" t="n"/>
      <c r="N226" s="14" t="n"/>
    </row>
    <row r="227">
      <c r="B227" s="15">
        <f>IF($D227="","","C"&amp;TEXT(ROW()-5,"000"))</f>
        <v/>
      </c>
      <c r="C227" s="16" t="n"/>
      <c r="D227" s="14" t="n"/>
      <c r="E227" s="15">
        <f>IF($D227="","",IFERROR(INDEX(rngCadetPIDs,MATCH($D227,rngCadetNames,0)),"?"))</f>
        <v/>
      </c>
      <c r="F227" s="14" t="n"/>
      <c r="G227" s="14" t="n"/>
      <c r="H227" s="14" t="n"/>
      <c r="I227" s="14" t="n"/>
      <c r="J227" s="14" t="n"/>
      <c r="K227" s="16" t="n"/>
      <c r="L227" s="16" t="n"/>
      <c r="M227" s="14" t="n"/>
      <c r="N227" s="14" t="n"/>
    </row>
    <row r="228">
      <c r="B228" s="15">
        <f>IF($D228="","","C"&amp;TEXT(ROW()-5,"000"))</f>
        <v/>
      </c>
      <c r="C228" s="16" t="n"/>
      <c r="D228" s="14" t="n"/>
      <c r="E228" s="15">
        <f>IF($D228="","",IFERROR(INDEX(rngCadetPIDs,MATCH($D228,rngCadetNames,0)),"?"))</f>
        <v/>
      </c>
      <c r="F228" s="14" t="n"/>
      <c r="G228" s="14" t="n"/>
      <c r="H228" s="14" t="n"/>
      <c r="I228" s="14" t="n"/>
      <c r="J228" s="14" t="n"/>
      <c r="K228" s="16" t="n"/>
      <c r="L228" s="16" t="n"/>
      <c r="M228" s="14" t="n"/>
      <c r="N228" s="14" t="n"/>
    </row>
    <row r="229">
      <c r="B229" s="15">
        <f>IF($D229="","","C"&amp;TEXT(ROW()-5,"000"))</f>
        <v/>
      </c>
      <c r="C229" s="16" t="n"/>
      <c r="D229" s="14" t="n"/>
      <c r="E229" s="15">
        <f>IF($D229="","",IFERROR(INDEX(rngCadetPIDs,MATCH($D229,rngCadetNames,0)),"?"))</f>
        <v/>
      </c>
      <c r="F229" s="14" t="n"/>
      <c r="G229" s="14" t="n"/>
      <c r="H229" s="14" t="n"/>
      <c r="I229" s="14" t="n"/>
      <c r="J229" s="14" t="n"/>
      <c r="K229" s="16" t="n"/>
      <c r="L229" s="16" t="n"/>
      <c r="M229" s="14" t="n"/>
      <c r="N229" s="14" t="n"/>
    </row>
    <row r="230">
      <c r="B230" s="15">
        <f>IF($D230="","","C"&amp;TEXT(ROW()-5,"000"))</f>
        <v/>
      </c>
      <c r="C230" s="16" t="n"/>
      <c r="D230" s="14" t="n"/>
      <c r="E230" s="15">
        <f>IF($D230="","",IFERROR(INDEX(rngCadetPIDs,MATCH($D230,rngCadetNames,0)),"?"))</f>
        <v/>
      </c>
      <c r="F230" s="14" t="n"/>
      <c r="G230" s="14" t="n"/>
      <c r="H230" s="14" t="n"/>
      <c r="I230" s="14" t="n"/>
      <c r="J230" s="14" t="n"/>
      <c r="K230" s="16" t="n"/>
      <c r="L230" s="16" t="n"/>
      <c r="M230" s="14" t="n"/>
      <c r="N230" s="14" t="n"/>
    </row>
    <row r="231">
      <c r="B231" s="15">
        <f>IF($D231="","","C"&amp;TEXT(ROW()-5,"000"))</f>
        <v/>
      </c>
      <c r="C231" s="16" t="n"/>
      <c r="D231" s="14" t="n"/>
      <c r="E231" s="15">
        <f>IF($D231="","",IFERROR(INDEX(rngCadetPIDs,MATCH($D231,rngCadetNames,0)),"?"))</f>
        <v/>
      </c>
      <c r="F231" s="14" t="n"/>
      <c r="G231" s="14" t="n"/>
      <c r="H231" s="14" t="n"/>
      <c r="I231" s="14" t="n"/>
      <c r="J231" s="14" t="n"/>
      <c r="K231" s="16" t="n"/>
      <c r="L231" s="16" t="n"/>
      <c r="M231" s="14" t="n"/>
      <c r="N231" s="14" t="n"/>
    </row>
    <row r="232">
      <c r="B232" s="15">
        <f>IF($D232="","","C"&amp;TEXT(ROW()-5,"000"))</f>
        <v/>
      </c>
      <c r="C232" s="16" t="n"/>
      <c r="D232" s="14" t="n"/>
      <c r="E232" s="15">
        <f>IF($D232="","",IFERROR(INDEX(rngCadetPIDs,MATCH($D232,rngCadetNames,0)),"?"))</f>
        <v/>
      </c>
      <c r="F232" s="14" t="n"/>
      <c r="G232" s="14" t="n"/>
      <c r="H232" s="14" t="n"/>
      <c r="I232" s="14" t="n"/>
      <c r="J232" s="14" t="n"/>
      <c r="K232" s="16" t="n"/>
      <c r="L232" s="16" t="n"/>
      <c r="M232" s="14" t="n"/>
      <c r="N232" s="14" t="n"/>
    </row>
    <row r="233">
      <c r="B233" s="15">
        <f>IF($D233="","","C"&amp;TEXT(ROW()-5,"000"))</f>
        <v/>
      </c>
      <c r="C233" s="16" t="n"/>
      <c r="D233" s="14" t="n"/>
      <c r="E233" s="15">
        <f>IF($D233="","",IFERROR(INDEX(rngCadetPIDs,MATCH($D233,rngCadetNames,0)),"?"))</f>
        <v/>
      </c>
      <c r="F233" s="14" t="n"/>
      <c r="G233" s="14" t="n"/>
      <c r="H233" s="14" t="n"/>
      <c r="I233" s="14" t="n"/>
      <c r="J233" s="14" t="n"/>
      <c r="K233" s="16" t="n"/>
      <c r="L233" s="16" t="n"/>
      <c r="M233" s="14" t="n"/>
      <c r="N233" s="14" t="n"/>
    </row>
    <row r="234">
      <c r="B234" s="15">
        <f>IF($D234="","","C"&amp;TEXT(ROW()-5,"000"))</f>
        <v/>
      </c>
      <c r="C234" s="16" t="n"/>
      <c r="D234" s="14" t="n"/>
      <c r="E234" s="15">
        <f>IF($D234="","",IFERROR(INDEX(rngCadetPIDs,MATCH($D234,rngCadetNames,0)),"?"))</f>
        <v/>
      </c>
      <c r="F234" s="14" t="n"/>
      <c r="G234" s="14" t="n"/>
      <c r="H234" s="14" t="n"/>
      <c r="I234" s="14" t="n"/>
      <c r="J234" s="14" t="n"/>
      <c r="K234" s="16" t="n"/>
      <c r="L234" s="16" t="n"/>
      <c r="M234" s="14" t="n"/>
      <c r="N234" s="14" t="n"/>
    </row>
    <row r="235">
      <c r="B235" s="15">
        <f>IF($D235="","","C"&amp;TEXT(ROW()-5,"000"))</f>
        <v/>
      </c>
      <c r="C235" s="16" t="n"/>
      <c r="D235" s="14" t="n"/>
      <c r="E235" s="15">
        <f>IF($D235="","",IFERROR(INDEX(rngCadetPIDs,MATCH($D235,rngCadetNames,0)),"?"))</f>
        <v/>
      </c>
      <c r="F235" s="14" t="n"/>
      <c r="G235" s="14" t="n"/>
      <c r="H235" s="14" t="n"/>
      <c r="I235" s="14" t="n"/>
      <c r="J235" s="14" t="n"/>
      <c r="K235" s="16" t="n"/>
      <c r="L235" s="16" t="n"/>
      <c r="M235" s="14" t="n"/>
      <c r="N235" s="14" t="n"/>
    </row>
    <row r="236">
      <c r="B236" s="15">
        <f>IF($D236="","","C"&amp;TEXT(ROW()-5,"000"))</f>
        <v/>
      </c>
      <c r="C236" s="16" t="n"/>
      <c r="D236" s="14" t="n"/>
      <c r="E236" s="15">
        <f>IF($D236="","",IFERROR(INDEX(rngCadetPIDs,MATCH($D236,rngCadetNames,0)),"?"))</f>
        <v/>
      </c>
      <c r="F236" s="14" t="n"/>
      <c r="G236" s="14" t="n"/>
      <c r="H236" s="14" t="n"/>
      <c r="I236" s="14" t="n"/>
      <c r="J236" s="14" t="n"/>
      <c r="K236" s="16" t="n"/>
      <c r="L236" s="16" t="n"/>
      <c r="M236" s="14" t="n"/>
      <c r="N236" s="14" t="n"/>
    </row>
    <row r="237">
      <c r="B237" s="15">
        <f>IF($D237="","","C"&amp;TEXT(ROW()-5,"000"))</f>
        <v/>
      </c>
      <c r="C237" s="16" t="n"/>
      <c r="D237" s="14" t="n"/>
      <c r="E237" s="15">
        <f>IF($D237="","",IFERROR(INDEX(rngCadetPIDs,MATCH($D237,rngCadetNames,0)),"?"))</f>
        <v/>
      </c>
      <c r="F237" s="14" t="n"/>
      <c r="G237" s="14" t="n"/>
      <c r="H237" s="14" t="n"/>
      <c r="I237" s="14" t="n"/>
      <c r="J237" s="14" t="n"/>
      <c r="K237" s="16" t="n"/>
      <c r="L237" s="16" t="n"/>
      <c r="M237" s="14" t="n"/>
      <c r="N237" s="14" t="n"/>
    </row>
    <row r="238">
      <c r="B238" s="15">
        <f>IF($D238="","","C"&amp;TEXT(ROW()-5,"000"))</f>
        <v/>
      </c>
      <c r="C238" s="16" t="n"/>
      <c r="D238" s="14" t="n"/>
      <c r="E238" s="15">
        <f>IF($D238="","",IFERROR(INDEX(rngCadetPIDs,MATCH($D238,rngCadetNames,0)),"?"))</f>
        <v/>
      </c>
      <c r="F238" s="14" t="n"/>
      <c r="G238" s="14" t="n"/>
      <c r="H238" s="14" t="n"/>
      <c r="I238" s="14" t="n"/>
      <c r="J238" s="14" t="n"/>
      <c r="K238" s="16" t="n"/>
      <c r="L238" s="16" t="n"/>
      <c r="M238" s="14" t="n"/>
      <c r="N238" s="14" t="n"/>
    </row>
    <row r="239">
      <c r="B239" s="15">
        <f>IF($D239="","","C"&amp;TEXT(ROW()-5,"000"))</f>
        <v/>
      </c>
      <c r="C239" s="16" t="n"/>
      <c r="D239" s="14" t="n"/>
      <c r="E239" s="15">
        <f>IF($D239="","",IFERROR(INDEX(rngCadetPIDs,MATCH($D239,rngCadetNames,0)),"?"))</f>
        <v/>
      </c>
      <c r="F239" s="14" t="n"/>
      <c r="G239" s="14" t="n"/>
      <c r="H239" s="14" t="n"/>
      <c r="I239" s="14" t="n"/>
      <c r="J239" s="14" t="n"/>
      <c r="K239" s="16" t="n"/>
      <c r="L239" s="16" t="n"/>
      <c r="M239" s="14" t="n"/>
      <c r="N239" s="14" t="n"/>
    </row>
    <row r="240">
      <c r="B240" s="15">
        <f>IF($D240="","","C"&amp;TEXT(ROW()-5,"000"))</f>
        <v/>
      </c>
      <c r="C240" s="16" t="n"/>
      <c r="D240" s="14" t="n"/>
      <c r="E240" s="15">
        <f>IF($D240="","",IFERROR(INDEX(rngCadetPIDs,MATCH($D240,rngCadetNames,0)),"?"))</f>
        <v/>
      </c>
      <c r="F240" s="14" t="n"/>
      <c r="G240" s="14" t="n"/>
      <c r="H240" s="14" t="n"/>
      <c r="I240" s="14" t="n"/>
      <c r="J240" s="14" t="n"/>
      <c r="K240" s="16" t="n"/>
      <c r="L240" s="16" t="n"/>
      <c r="M240" s="14" t="n"/>
      <c r="N240" s="14" t="n"/>
    </row>
    <row r="241">
      <c r="B241" s="15">
        <f>IF($D241="","","C"&amp;TEXT(ROW()-5,"000"))</f>
        <v/>
      </c>
      <c r="C241" s="16" t="n"/>
      <c r="D241" s="14" t="n"/>
      <c r="E241" s="15">
        <f>IF($D241="","",IFERROR(INDEX(rngCadetPIDs,MATCH($D241,rngCadetNames,0)),"?"))</f>
        <v/>
      </c>
      <c r="F241" s="14" t="n"/>
      <c r="G241" s="14" t="n"/>
      <c r="H241" s="14" t="n"/>
      <c r="I241" s="14" t="n"/>
      <c r="J241" s="14" t="n"/>
      <c r="K241" s="16" t="n"/>
      <c r="L241" s="16" t="n"/>
      <c r="M241" s="14" t="n"/>
      <c r="N241" s="14" t="n"/>
    </row>
    <row r="242">
      <c r="B242" s="15">
        <f>IF($D242="","","C"&amp;TEXT(ROW()-5,"000"))</f>
        <v/>
      </c>
      <c r="C242" s="16" t="n"/>
      <c r="D242" s="14" t="n"/>
      <c r="E242" s="15">
        <f>IF($D242="","",IFERROR(INDEX(rngCadetPIDs,MATCH($D242,rngCadetNames,0)),"?"))</f>
        <v/>
      </c>
      <c r="F242" s="14" t="n"/>
      <c r="G242" s="14" t="n"/>
      <c r="H242" s="14" t="n"/>
      <c r="I242" s="14" t="n"/>
      <c r="J242" s="14" t="n"/>
      <c r="K242" s="16" t="n"/>
      <c r="L242" s="16" t="n"/>
      <c r="M242" s="14" t="n"/>
      <c r="N242" s="14" t="n"/>
    </row>
    <row r="243">
      <c r="B243" s="15">
        <f>IF($D243="","","C"&amp;TEXT(ROW()-5,"000"))</f>
        <v/>
      </c>
      <c r="C243" s="16" t="n"/>
      <c r="D243" s="14" t="n"/>
      <c r="E243" s="15">
        <f>IF($D243="","",IFERROR(INDEX(rngCadetPIDs,MATCH($D243,rngCadetNames,0)),"?"))</f>
        <v/>
      </c>
      <c r="F243" s="14" t="n"/>
      <c r="G243" s="14" t="n"/>
      <c r="H243" s="14" t="n"/>
      <c r="I243" s="14" t="n"/>
      <c r="J243" s="14" t="n"/>
      <c r="K243" s="16" t="n"/>
      <c r="L243" s="16" t="n"/>
      <c r="M243" s="14" t="n"/>
      <c r="N243" s="14" t="n"/>
    </row>
    <row r="244">
      <c r="B244" s="15">
        <f>IF($D244="","","C"&amp;TEXT(ROW()-5,"000"))</f>
        <v/>
      </c>
      <c r="C244" s="16" t="n"/>
      <c r="D244" s="14" t="n"/>
      <c r="E244" s="15">
        <f>IF($D244="","",IFERROR(INDEX(rngCadetPIDs,MATCH($D244,rngCadetNames,0)),"?"))</f>
        <v/>
      </c>
      <c r="F244" s="14" t="n"/>
      <c r="G244" s="14" t="n"/>
      <c r="H244" s="14" t="n"/>
      <c r="I244" s="14" t="n"/>
      <c r="J244" s="14" t="n"/>
      <c r="K244" s="16" t="n"/>
      <c r="L244" s="16" t="n"/>
      <c r="M244" s="14" t="n"/>
      <c r="N244" s="14" t="n"/>
    </row>
    <row r="245">
      <c r="B245" s="15">
        <f>IF($D245="","","C"&amp;TEXT(ROW()-5,"000"))</f>
        <v/>
      </c>
      <c r="C245" s="16" t="n"/>
      <c r="D245" s="14" t="n"/>
      <c r="E245" s="15">
        <f>IF($D245="","",IFERROR(INDEX(rngCadetPIDs,MATCH($D245,rngCadetNames,0)),"?"))</f>
        <v/>
      </c>
      <c r="F245" s="14" t="n"/>
      <c r="G245" s="14" t="n"/>
      <c r="H245" s="14" t="n"/>
      <c r="I245" s="14" t="n"/>
      <c r="J245" s="14" t="n"/>
      <c r="K245" s="16" t="n"/>
      <c r="L245" s="16" t="n"/>
      <c r="M245" s="14" t="n"/>
      <c r="N245" s="14" t="n"/>
    </row>
    <row r="246">
      <c r="B246" s="15">
        <f>IF($D246="","","C"&amp;TEXT(ROW()-5,"000"))</f>
        <v/>
      </c>
      <c r="C246" s="16" t="n"/>
      <c r="D246" s="14" t="n"/>
      <c r="E246" s="15">
        <f>IF($D246="","",IFERROR(INDEX(rngCadetPIDs,MATCH($D246,rngCadetNames,0)),"?"))</f>
        <v/>
      </c>
      <c r="F246" s="14" t="n"/>
      <c r="G246" s="14" t="n"/>
      <c r="H246" s="14" t="n"/>
      <c r="I246" s="14" t="n"/>
      <c r="J246" s="14" t="n"/>
      <c r="K246" s="16" t="n"/>
      <c r="L246" s="16" t="n"/>
      <c r="M246" s="14" t="n"/>
      <c r="N246" s="14" t="n"/>
    </row>
    <row r="247">
      <c r="B247" s="15">
        <f>IF($D247="","","C"&amp;TEXT(ROW()-5,"000"))</f>
        <v/>
      </c>
      <c r="C247" s="16" t="n"/>
      <c r="D247" s="14" t="n"/>
      <c r="E247" s="15">
        <f>IF($D247="","",IFERROR(INDEX(rngCadetPIDs,MATCH($D247,rngCadetNames,0)),"?"))</f>
        <v/>
      </c>
      <c r="F247" s="14" t="n"/>
      <c r="G247" s="14" t="n"/>
      <c r="H247" s="14" t="n"/>
      <c r="I247" s="14" t="n"/>
      <c r="J247" s="14" t="n"/>
      <c r="K247" s="16" t="n"/>
      <c r="L247" s="16" t="n"/>
      <c r="M247" s="14" t="n"/>
      <c r="N247" s="14" t="n"/>
    </row>
    <row r="248">
      <c r="B248" s="15">
        <f>IF($D248="","","C"&amp;TEXT(ROW()-5,"000"))</f>
        <v/>
      </c>
      <c r="C248" s="16" t="n"/>
      <c r="D248" s="14" t="n"/>
      <c r="E248" s="15">
        <f>IF($D248="","",IFERROR(INDEX(rngCadetPIDs,MATCH($D248,rngCadetNames,0)),"?"))</f>
        <v/>
      </c>
      <c r="F248" s="14" t="n"/>
      <c r="G248" s="14" t="n"/>
      <c r="H248" s="14" t="n"/>
      <c r="I248" s="14" t="n"/>
      <c r="J248" s="14" t="n"/>
      <c r="K248" s="16" t="n"/>
      <c r="L248" s="16" t="n"/>
      <c r="M248" s="14" t="n"/>
      <c r="N248" s="14" t="n"/>
    </row>
    <row r="249">
      <c r="B249" s="15">
        <f>IF($D249="","","C"&amp;TEXT(ROW()-5,"000"))</f>
        <v/>
      </c>
      <c r="C249" s="16" t="n"/>
      <c r="D249" s="14" t="n"/>
      <c r="E249" s="15">
        <f>IF($D249="","",IFERROR(INDEX(rngCadetPIDs,MATCH($D249,rngCadetNames,0)),"?"))</f>
        <v/>
      </c>
      <c r="F249" s="14" t="n"/>
      <c r="G249" s="14" t="n"/>
      <c r="H249" s="14" t="n"/>
      <c r="I249" s="14" t="n"/>
      <c r="J249" s="14" t="n"/>
      <c r="K249" s="16" t="n"/>
      <c r="L249" s="16" t="n"/>
      <c r="M249" s="14" t="n"/>
      <c r="N249" s="14" t="n"/>
    </row>
    <row r="250">
      <c r="B250" s="15">
        <f>IF($D250="","","C"&amp;TEXT(ROW()-5,"000"))</f>
        <v/>
      </c>
      <c r="C250" s="16" t="n"/>
      <c r="D250" s="14" t="n"/>
      <c r="E250" s="15">
        <f>IF($D250="","",IFERROR(INDEX(rngCadetPIDs,MATCH($D250,rngCadetNames,0)),"?"))</f>
        <v/>
      </c>
      <c r="F250" s="14" t="n"/>
      <c r="G250" s="14" t="n"/>
      <c r="H250" s="14" t="n"/>
      <c r="I250" s="14" t="n"/>
      <c r="J250" s="14" t="n"/>
      <c r="K250" s="16" t="n"/>
      <c r="L250" s="16" t="n"/>
      <c r="M250" s="14" t="n"/>
      <c r="N250" s="14" t="n"/>
    </row>
    <row r="251">
      <c r="B251" s="15">
        <f>IF($D251="","","C"&amp;TEXT(ROW()-5,"000"))</f>
        <v/>
      </c>
      <c r="C251" s="16" t="n"/>
      <c r="D251" s="14" t="n"/>
      <c r="E251" s="15">
        <f>IF($D251="","",IFERROR(INDEX(rngCadetPIDs,MATCH($D251,rngCadetNames,0)),"?"))</f>
        <v/>
      </c>
      <c r="F251" s="14" t="n"/>
      <c r="G251" s="14" t="n"/>
      <c r="H251" s="14" t="n"/>
      <c r="I251" s="14" t="n"/>
      <c r="J251" s="14" t="n"/>
      <c r="K251" s="16" t="n"/>
      <c r="L251" s="16" t="n"/>
      <c r="M251" s="14" t="n"/>
      <c r="N251" s="14" t="n"/>
    </row>
    <row r="252">
      <c r="B252" s="15">
        <f>IF($D252="","","C"&amp;TEXT(ROW()-5,"000"))</f>
        <v/>
      </c>
      <c r="C252" s="16" t="n"/>
      <c r="D252" s="14" t="n"/>
      <c r="E252" s="15">
        <f>IF($D252="","",IFERROR(INDEX(rngCadetPIDs,MATCH($D252,rngCadetNames,0)),"?"))</f>
        <v/>
      </c>
      <c r="F252" s="14" t="n"/>
      <c r="G252" s="14" t="n"/>
      <c r="H252" s="14" t="n"/>
      <c r="I252" s="14" t="n"/>
      <c r="J252" s="14" t="n"/>
      <c r="K252" s="16" t="n"/>
      <c r="L252" s="16" t="n"/>
      <c r="M252" s="14" t="n"/>
      <c r="N252" s="14" t="n"/>
    </row>
    <row r="253">
      <c r="B253" s="15">
        <f>IF($D253="","","C"&amp;TEXT(ROW()-5,"000"))</f>
        <v/>
      </c>
      <c r="C253" s="16" t="n"/>
      <c r="D253" s="14" t="n"/>
      <c r="E253" s="15">
        <f>IF($D253="","",IFERROR(INDEX(rngCadetPIDs,MATCH($D253,rngCadetNames,0)),"?"))</f>
        <v/>
      </c>
      <c r="F253" s="14" t="n"/>
      <c r="G253" s="14" t="n"/>
      <c r="H253" s="14" t="n"/>
      <c r="I253" s="14" t="n"/>
      <c r="J253" s="14" t="n"/>
      <c r="K253" s="16" t="n"/>
      <c r="L253" s="16" t="n"/>
      <c r="M253" s="14" t="n"/>
      <c r="N253" s="14" t="n"/>
    </row>
    <row r="254">
      <c r="B254" s="15">
        <f>IF($D254="","","C"&amp;TEXT(ROW()-5,"000"))</f>
        <v/>
      </c>
      <c r="C254" s="16" t="n"/>
      <c r="D254" s="14" t="n"/>
      <c r="E254" s="15">
        <f>IF($D254="","",IFERROR(INDEX(rngCadetPIDs,MATCH($D254,rngCadetNames,0)),"?"))</f>
        <v/>
      </c>
      <c r="F254" s="14" t="n"/>
      <c r="G254" s="14" t="n"/>
      <c r="H254" s="14" t="n"/>
      <c r="I254" s="14" t="n"/>
      <c r="J254" s="14" t="n"/>
      <c r="K254" s="16" t="n"/>
      <c r="L254" s="16" t="n"/>
      <c r="M254" s="14" t="n"/>
      <c r="N254" s="14" t="n"/>
    </row>
    <row r="255">
      <c r="B255" s="15">
        <f>IF($D255="","","C"&amp;TEXT(ROW()-5,"000"))</f>
        <v/>
      </c>
      <c r="C255" s="16" t="n"/>
      <c r="D255" s="14" t="n"/>
      <c r="E255" s="15">
        <f>IF($D255="","",IFERROR(INDEX(rngCadetPIDs,MATCH($D255,rngCadetNames,0)),"?"))</f>
        <v/>
      </c>
      <c r="F255" s="14" t="n"/>
      <c r="G255" s="14" t="n"/>
      <c r="H255" s="14" t="n"/>
      <c r="I255" s="14" t="n"/>
      <c r="J255" s="14" t="n"/>
      <c r="K255" s="16" t="n"/>
      <c r="L255" s="16" t="n"/>
      <c r="M255" s="14" t="n"/>
      <c r="N255" s="14" t="n"/>
    </row>
    <row r="256">
      <c r="B256" s="15">
        <f>IF($D256="","","C"&amp;TEXT(ROW()-5,"000"))</f>
        <v/>
      </c>
      <c r="C256" s="16" t="n"/>
      <c r="D256" s="14" t="n"/>
      <c r="E256" s="15">
        <f>IF($D256="","",IFERROR(INDEX(rngCadetPIDs,MATCH($D256,rngCadetNames,0)),"?"))</f>
        <v/>
      </c>
      <c r="F256" s="14" t="n"/>
      <c r="G256" s="14" t="n"/>
      <c r="H256" s="14" t="n"/>
      <c r="I256" s="14" t="n"/>
      <c r="J256" s="14" t="n"/>
      <c r="K256" s="16" t="n"/>
      <c r="L256" s="16" t="n"/>
      <c r="M256" s="14" t="n"/>
      <c r="N256" s="14" t="n"/>
    </row>
    <row r="257">
      <c r="B257" s="15">
        <f>IF($D257="","","C"&amp;TEXT(ROW()-5,"000"))</f>
        <v/>
      </c>
      <c r="C257" s="16" t="n"/>
      <c r="D257" s="14" t="n"/>
      <c r="E257" s="15">
        <f>IF($D257="","",IFERROR(INDEX(rngCadetPIDs,MATCH($D257,rngCadetNames,0)),"?"))</f>
        <v/>
      </c>
      <c r="F257" s="14" t="n"/>
      <c r="G257" s="14" t="n"/>
      <c r="H257" s="14" t="n"/>
      <c r="I257" s="14" t="n"/>
      <c r="J257" s="14" t="n"/>
      <c r="K257" s="16" t="n"/>
      <c r="L257" s="16" t="n"/>
      <c r="M257" s="14" t="n"/>
      <c r="N257" s="14" t="n"/>
    </row>
    <row r="258">
      <c r="B258" s="15">
        <f>IF($D258="","","C"&amp;TEXT(ROW()-5,"000"))</f>
        <v/>
      </c>
      <c r="C258" s="16" t="n"/>
      <c r="D258" s="14" t="n"/>
      <c r="E258" s="15">
        <f>IF($D258="","",IFERROR(INDEX(rngCadetPIDs,MATCH($D258,rngCadetNames,0)),"?"))</f>
        <v/>
      </c>
      <c r="F258" s="14" t="n"/>
      <c r="G258" s="14" t="n"/>
      <c r="H258" s="14" t="n"/>
      <c r="I258" s="14" t="n"/>
      <c r="J258" s="14" t="n"/>
      <c r="K258" s="16" t="n"/>
      <c r="L258" s="16" t="n"/>
      <c r="M258" s="14" t="n"/>
      <c r="N258" s="14" t="n"/>
    </row>
    <row r="259">
      <c r="B259" s="15">
        <f>IF($D259="","","C"&amp;TEXT(ROW()-5,"000"))</f>
        <v/>
      </c>
      <c r="C259" s="16" t="n"/>
      <c r="D259" s="14" t="n"/>
      <c r="E259" s="15">
        <f>IF($D259="","",IFERROR(INDEX(rngCadetPIDs,MATCH($D259,rngCadetNames,0)),"?"))</f>
        <v/>
      </c>
      <c r="F259" s="14" t="n"/>
      <c r="G259" s="14" t="n"/>
      <c r="H259" s="14" t="n"/>
      <c r="I259" s="14" t="n"/>
      <c r="J259" s="14" t="n"/>
      <c r="K259" s="16" t="n"/>
      <c r="L259" s="16" t="n"/>
      <c r="M259" s="14" t="n"/>
      <c r="N259" s="14" t="n"/>
    </row>
    <row r="260">
      <c r="B260" s="15">
        <f>IF($D260="","","C"&amp;TEXT(ROW()-5,"000"))</f>
        <v/>
      </c>
      <c r="C260" s="16" t="n"/>
      <c r="D260" s="14" t="n"/>
      <c r="E260" s="15">
        <f>IF($D260="","",IFERROR(INDEX(rngCadetPIDs,MATCH($D260,rngCadetNames,0)),"?"))</f>
        <v/>
      </c>
      <c r="F260" s="14" t="n"/>
      <c r="G260" s="14" t="n"/>
      <c r="H260" s="14" t="n"/>
      <c r="I260" s="14" t="n"/>
      <c r="J260" s="14" t="n"/>
      <c r="K260" s="16" t="n"/>
      <c r="L260" s="16" t="n"/>
      <c r="M260" s="14" t="n"/>
      <c r="N260" s="14" t="n"/>
    </row>
    <row r="261">
      <c r="B261" s="15">
        <f>IF($D261="","","C"&amp;TEXT(ROW()-5,"000"))</f>
        <v/>
      </c>
      <c r="C261" s="16" t="n"/>
      <c r="D261" s="14" t="n"/>
      <c r="E261" s="15">
        <f>IF($D261="","",IFERROR(INDEX(rngCadetPIDs,MATCH($D261,rngCadetNames,0)),"?"))</f>
        <v/>
      </c>
      <c r="F261" s="14" t="n"/>
      <c r="G261" s="14" t="n"/>
      <c r="H261" s="14" t="n"/>
      <c r="I261" s="14" t="n"/>
      <c r="J261" s="14" t="n"/>
      <c r="K261" s="16" t="n"/>
      <c r="L261" s="16" t="n"/>
      <c r="M261" s="14" t="n"/>
      <c r="N261" s="14" t="n"/>
    </row>
    <row r="262">
      <c r="B262" s="15">
        <f>IF($D262="","","C"&amp;TEXT(ROW()-5,"000"))</f>
        <v/>
      </c>
      <c r="C262" s="16" t="n"/>
      <c r="D262" s="14" t="n"/>
      <c r="E262" s="15">
        <f>IF($D262="","",IFERROR(INDEX(rngCadetPIDs,MATCH($D262,rngCadetNames,0)),"?"))</f>
        <v/>
      </c>
      <c r="F262" s="14" t="n"/>
      <c r="G262" s="14" t="n"/>
      <c r="H262" s="14" t="n"/>
      <c r="I262" s="14" t="n"/>
      <c r="J262" s="14" t="n"/>
      <c r="K262" s="16" t="n"/>
      <c r="L262" s="16" t="n"/>
      <c r="M262" s="14" t="n"/>
      <c r="N262" s="14" t="n"/>
    </row>
    <row r="263">
      <c r="B263" s="15">
        <f>IF($D263="","","C"&amp;TEXT(ROW()-5,"000"))</f>
        <v/>
      </c>
      <c r="C263" s="16" t="n"/>
      <c r="D263" s="14" t="n"/>
      <c r="E263" s="15">
        <f>IF($D263="","",IFERROR(INDEX(rngCadetPIDs,MATCH($D263,rngCadetNames,0)),"?"))</f>
        <v/>
      </c>
      <c r="F263" s="14" t="n"/>
      <c r="G263" s="14" t="n"/>
      <c r="H263" s="14" t="n"/>
      <c r="I263" s="14" t="n"/>
      <c r="J263" s="14" t="n"/>
      <c r="K263" s="16" t="n"/>
      <c r="L263" s="16" t="n"/>
      <c r="M263" s="14" t="n"/>
      <c r="N263" s="14" t="n"/>
    </row>
    <row r="264">
      <c r="B264" s="15">
        <f>IF($D264="","","C"&amp;TEXT(ROW()-5,"000"))</f>
        <v/>
      </c>
      <c r="C264" s="16" t="n"/>
      <c r="D264" s="14" t="n"/>
      <c r="E264" s="15">
        <f>IF($D264="","",IFERROR(INDEX(rngCadetPIDs,MATCH($D264,rngCadetNames,0)),"?"))</f>
        <v/>
      </c>
      <c r="F264" s="14" t="n"/>
      <c r="G264" s="14" t="n"/>
      <c r="H264" s="14" t="n"/>
      <c r="I264" s="14" t="n"/>
      <c r="J264" s="14" t="n"/>
      <c r="K264" s="16" t="n"/>
      <c r="L264" s="16" t="n"/>
      <c r="M264" s="14" t="n"/>
      <c r="N264" s="14" t="n"/>
    </row>
    <row r="265">
      <c r="B265" s="15">
        <f>IF($D265="","","C"&amp;TEXT(ROW()-5,"000"))</f>
        <v/>
      </c>
      <c r="C265" s="16" t="n"/>
      <c r="D265" s="14" t="n"/>
      <c r="E265" s="15">
        <f>IF($D265="","",IFERROR(INDEX(rngCadetPIDs,MATCH($D265,rngCadetNames,0)),"?"))</f>
        <v/>
      </c>
      <c r="F265" s="14" t="n"/>
      <c r="G265" s="14" t="n"/>
      <c r="H265" s="14" t="n"/>
      <c r="I265" s="14" t="n"/>
      <c r="J265" s="14" t="n"/>
      <c r="K265" s="16" t="n"/>
      <c r="L265" s="16" t="n"/>
      <c r="M265" s="14" t="n"/>
      <c r="N265" s="14" t="n"/>
    </row>
    <row r="266">
      <c r="B266" s="15">
        <f>IF($D266="","","C"&amp;TEXT(ROW()-5,"000"))</f>
        <v/>
      </c>
      <c r="C266" s="16" t="n"/>
      <c r="D266" s="14" t="n"/>
      <c r="E266" s="15">
        <f>IF($D266="","",IFERROR(INDEX(rngCadetPIDs,MATCH($D266,rngCadetNames,0)),"?"))</f>
        <v/>
      </c>
      <c r="F266" s="14" t="n"/>
      <c r="G266" s="14" t="n"/>
      <c r="H266" s="14" t="n"/>
      <c r="I266" s="14" t="n"/>
      <c r="J266" s="14" t="n"/>
      <c r="K266" s="16" t="n"/>
      <c r="L266" s="16" t="n"/>
      <c r="M266" s="14" t="n"/>
      <c r="N266" s="14" t="n"/>
    </row>
    <row r="267">
      <c r="B267" s="15">
        <f>IF($D267="","","C"&amp;TEXT(ROW()-5,"000"))</f>
        <v/>
      </c>
      <c r="C267" s="16" t="n"/>
      <c r="D267" s="14" t="n"/>
      <c r="E267" s="15">
        <f>IF($D267="","",IFERROR(INDEX(rngCadetPIDs,MATCH($D267,rngCadetNames,0)),"?"))</f>
        <v/>
      </c>
      <c r="F267" s="14" t="n"/>
      <c r="G267" s="14" t="n"/>
      <c r="H267" s="14" t="n"/>
      <c r="I267" s="14" t="n"/>
      <c r="J267" s="14" t="n"/>
      <c r="K267" s="16" t="n"/>
      <c r="L267" s="16" t="n"/>
      <c r="M267" s="14" t="n"/>
      <c r="N267" s="14" t="n"/>
    </row>
    <row r="268">
      <c r="B268" s="15">
        <f>IF($D268="","","C"&amp;TEXT(ROW()-5,"000"))</f>
        <v/>
      </c>
      <c r="C268" s="16" t="n"/>
      <c r="D268" s="14" t="n"/>
      <c r="E268" s="15">
        <f>IF($D268="","",IFERROR(INDEX(rngCadetPIDs,MATCH($D268,rngCadetNames,0)),"?"))</f>
        <v/>
      </c>
      <c r="F268" s="14" t="n"/>
      <c r="G268" s="14" t="n"/>
      <c r="H268" s="14" t="n"/>
      <c r="I268" s="14" t="n"/>
      <c r="J268" s="14" t="n"/>
      <c r="K268" s="16" t="n"/>
      <c r="L268" s="16" t="n"/>
      <c r="M268" s="14" t="n"/>
      <c r="N268" s="14" t="n"/>
    </row>
    <row r="269">
      <c r="B269" s="15">
        <f>IF($D269="","","C"&amp;TEXT(ROW()-5,"000"))</f>
        <v/>
      </c>
      <c r="C269" s="16" t="n"/>
      <c r="D269" s="14" t="n"/>
      <c r="E269" s="15">
        <f>IF($D269="","",IFERROR(INDEX(rngCadetPIDs,MATCH($D269,rngCadetNames,0)),"?"))</f>
        <v/>
      </c>
      <c r="F269" s="14" t="n"/>
      <c r="G269" s="14" t="n"/>
      <c r="H269" s="14" t="n"/>
      <c r="I269" s="14" t="n"/>
      <c r="J269" s="14" t="n"/>
      <c r="K269" s="16" t="n"/>
      <c r="L269" s="16" t="n"/>
      <c r="M269" s="14" t="n"/>
      <c r="N269" s="14" t="n"/>
    </row>
    <row r="270">
      <c r="B270" s="15">
        <f>IF($D270="","","C"&amp;TEXT(ROW()-5,"000"))</f>
        <v/>
      </c>
      <c r="C270" s="16" t="n"/>
      <c r="D270" s="14" t="n"/>
      <c r="E270" s="15">
        <f>IF($D270="","",IFERROR(INDEX(rngCadetPIDs,MATCH($D270,rngCadetNames,0)),"?"))</f>
        <v/>
      </c>
      <c r="F270" s="14" t="n"/>
      <c r="G270" s="14" t="n"/>
      <c r="H270" s="14" t="n"/>
      <c r="I270" s="14" t="n"/>
      <c r="J270" s="14" t="n"/>
      <c r="K270" s="16" t="n"/>
      <c r="L270" s="16" t="n"/>
      <c r="M270" s="14" t="n"/>
      <c r="N270" s="14" t="n"/>
    </row>
    <row r="271">
      <c r="B271" s="15">
        <f>IF($D271="","","C"&amp;TEXT(ROW()-5,"000"))</f>
        <v/>
      </c>
      <c r="C271" s="16" t="n"/>
      <c r="D271" s="14" t="n"/>
      <c r="E271" s="15">
        <f>IF($D271="","",IFERROR(INDEX(rngCadetPIDs,MATCH($D271,rngCadetNames,0)),"?"))</f>
        <v/>
      </c>
      <c r="F271" s="14" t="n"/>
      <c r="G271" s="14" t="n"/>
      <c r="H271" s="14" t="n"/>
      <c r="I271" s="14" t="n"/>
      <c r="J271" s="14" t="n"/>
      <c r="K271" s="16" t="n"/>
      <c r="L271" s="16" t="n"/>
      <c r="M271" s="14" t="n"/>
      <c r="N271" s="14" t="n"/>
    </row>
    <row r="272">
      <c r="B272" s="15">
        <f>IF($D272="","","C"&amp;TEXT(ROW()-5,"000"))</f>
        <v/>
      </c>
      <c r="C272" s="16" t="n"/>
      <c r="D272" s="14" t="n"/>
      <c r="E272" s="15">
        <f>IF($D272="","",IFERROR(INDEX(rngCadetPIDs,MATCH($D272,rngCadetNames,0)),"?"))</f>
        <v/>
      </c>
      <c r="F272" s="14" t="n"/>
      <c r="G272" s="14" t="n"/>
      <c r="H272" s="14" t="n"/>
      <c r="I272" s="14" t="n"/>
      <c r="J272" s="14" t="n"/>
      <c r="K272" s="16" t="n"/>
      <c r="L272" s="16" t="n"/>
      <c r="M272" s="14" t="n"/>
      <c r="N272" s="14" t="n"/>
    </row>
    <row r="273">
      <c r="B273" s="15">
        <f>IF($D273="","","C"&amp;TEXT(ROW()-5,"000"))</f>
        <v/>
      </c>
      <c r="C273" s="16" t="n"/>
      <c r="D273" s="14" t="n"/>
      <c r="E273" s="15">
        <f>IF($D273="","",IFERROR(INDEX(rngCadetPIDs,MATCH($D273,rngCadetNames,0)),"?"))</f>
        <v/>
      </c>
      <c r="F273" s="14" t="n"/>
      <c r="G273" s="14" t="n"/>
      <c r="H273" s="14" t="n"/>
      <c r="I273" s="14" t="n"/>
      <c r="J273" s="14" t="n"/>
      <c r="K273" s="16" t="n"/>
      <c r="L273" s="16" t="n"/>
      <c r="M273" s="14" t="n"/>
      <c r="N273" s="14" t="n"/>
    </row>
    <row r="274">
      <c r="B274" s="15">
        <f>IF($D274="","","C"&amp;TEXT(ROW()-5,"000"))</f>
        <v/>
      </c>
      <c r="C274" s="16" t="n"/>
      <c r="D274" s="14" t="n"/>
      <c r="E274" s="15">
        <f>IF($D274="","",IFERROR(INDEX(rngCadetPIDs,MATCH($D274,rngCadetNames,0)),"?"))</f>
        <v/>
      </c>
      <c r="F274" s="14" t="n"/>
      <c r="G274" s="14" t="n"/>
      <c r="H274" s="14" t="n"/>
      <c r="I274" s="14" t="n"/>
      <c r="J274" s="14" t="n"/>
      <c r="K274" s="16" t="n"/>
      <c r="L274" s="16" t="n"/>
      <c r="M274" s="14" t="n"/>
      <c r="N274" s="14" t="n"/>
    </row>
    <row r="275">
      <c r="B275" s="15">
        <f>IF($D275="","","C"&amp;TEXT(ROW()-5,"000"))</f>
        <v/>
      </c>
      <c r="C275" s="16" t="n"/>
      <c r="D275" s="14" t="n"/>
      <c r="E275" s="15">
        <f>IF($D275="","",IFERROR(INDEX(rngCadetPIDs,MATCH($D275,rngCadetNames,0)),"?"))</f>
        <v/>
      </c>
      <c r="F275" s="14" t="n"/>
      <c r="G275" s="14" t="n"/>
      <c r="H275" s="14" t="n"/>
      <c r="I275" s="14" t="n"/>
      <c r="J275" s="14" t="n"/>
      <c r="K275" s="16" t="n"/>
      <c r="L275" s="16" t="n"/>
      <c r="M275" s="14" t="n"/>
      <c r="N275" s="14" t="n"/>
    </row>
    <row r="276">
      <c r="B276" s="15">
        <f>IF($D276="","","C"&amp;TEXT(ROW()-5,"000"))</f>
        <v/>
      </c>
      <c r="C276" s="16" t="n"/>
      <c r="D276" s="14" t="n"/>
      <c r="E276" s="15">
        <f>IF($D276="","",IFERROR(INDEX(rngCadetPIDs,MATCH($D276,rngCadetNames,0)),"?"))</f>
        <v/>
      </c>
      <c r="F276" s="14" t="n"/>
      <c r="G276" s="14" t="n"/>
      <c r="H276" s="14" t="n"/>
      <c r="I276" s="14" t="n"/>
      <c r="J276" s="14" t="n"/>
      <c r="K276" s="16" t="n"/>
      <c r="L276" s="16" t="n"/>
      <c r="M276" s="14" t="n"/>
      <c r="N276" s="14" t="n"/>
    </row>
    <row r="277">
      <c r="B277" s="15">
        <f>IF($D277="","","C"&amp;TEXT(ROW()-5,"000"))</f>
        <v/>
      </c>
      <c r="C277" s="16" t="n"/>
      <c r="D277" s="14" t="n"/>
      <c r="E277" s="15">
        <f>IF($D277="","",IFERROR(INDEX(rngCadetPIDs,MATCH($D277,rngCadetNames,0)),"?"))</f>
        <v/>
      </c>
      <c r="F277" s="14" t="n"/>
      <c r="G277" s="14" t="n"/>
      <c r="H277" s="14" t="n"/>
      <c r="I277" s="14" t="n"/>
      <c r="J277" s="14" t="n"/>
      <c r="K277" s="16" t="n"/>
      <c r="L277" s="16" t="n"/>
      <c r="M277" s="14" t="n"/>
      <c r="N277" s="14" t="n"/>
    </row>
    <row r="278">
      <c r="B278" s="15">
        <f>IF($D278="","","C"&amp;TEXT(ROW()-5,"000"))</f>
        <v/>
      </c>
      <c r="C278" s="16" t="n"/>
      <c r="D278" s="14" t="n"/>
      <c r="E278" s="15">
        <f>IF($D278="","",IFERROR(INDEX(rngCadetPIDs,MATCH($D278,rngCadetNames,0)),"?"))</f>
        <v/>
      </c>
      <c r="F278" s="14" t="n"/>
      <c r="G278" s="14" t="n"/>
      <c r="H278" s="14" t="n"/>
      <c r="I278" s="14" t="n"/>
      <c r="J278" s="14" t="n"/>
      <c r="K278" s="16" t="n"/>
      <c r="L278" s="16" t="n"/>
      <c r="M278" s="14" t="n"/>
      <c r="N278" s="14" t="n"/>
    </row>
    <row r="279">
      <c r="B279" s="15">
        <f>IF($D279="","","C"&amp;TEXT(ROW()-5,"000"))</f>
        <v/>
      </c>
      <c r="C279" s="16" t="n"/>
      <c r="D279" s="14" t="n"/>
      <c r="E279" s="15">
        <f>IF($D279="","",IFERROR(INDEX(rngCadetPIDs,MATCH($D279,rngCadetNames,0)),"?"))</f>
        <v/>
      </c>
      <c r="F279" s="14" t="n"/>
      <c r="G279" s="14" t="n"/>
      <c r="H279" s="14" t="n"/>
      <c r="I279" s="14" t="n"/>
      <c r="J279" s="14" t="n"/>
      <c r="K279" s="16" t="n"/>
      <c r="L279" s="16" t="n"/>
      <c r="M279" s="14" t="n"/>
      <c r="N279" s="14" t="n"/>
    </row>
    <row r="280">
      <c r="B280" s="15">
        <f>IF($D280="","","C"&amp;TEXT(ROW()-5,"000"))</f>
        <v/>
      </c>
      <c r="C280" s="16" t="n"/>
      <c r="D280" s="14" t="n"/>
      <c r="E280" s="15">
        <f>IF($D280="","",IFERROR(INDEX(rngCadetPIDs,MATCH($D280,rngCadetNames,0)),"?"))</f>
        <v/>
      </c>
      <c r="F280" s="14" t="n"/>
      <c r="G280" s="14" t="n"/>
      <c r="H280" s="14" t="n"/>
      <c r="I280" s="14" t="n"/>
      <c r="J280" s="14" t="n"/>
      <c r="K280" s="16" t="n"/>
      <c r="L280" s="16" t="n"/>
      <c r="M280" s="14" t="n"/>
      <c r="N280" s="14" t="n"/>
    </row>
    <row r="281">
      <c r="B281" s="15">
        <f>IF($D281="","","C"&amp;TEXT(ROW()-5,"000"))</f>
        <v/>
      </c>
      <c r="C281" s="16" t="n"/>
      <c r="D281" s="14" t="n"/>
      <c r="E281" s="15">
        <f>IF($D281="","",IFERROR(INDEX(rngCadetPIDs,MATCH($D281,rngCadetNames,0)),"?"))</f>
        <v/>
      </c>
      <c r="F281" s="14" t="n"/>
      <c r="G281" s="14" t="n"/>
      <c r="H281" s="14" t="n"/>
      <c r="I281" s="14" t="n"/>
      <c r="J281" s="14" t="n"/>
      <c r="K281" s="16" t="n"/>
      <c r="L281" s="16" t="n"/>
      <c r="M281" s="14" t="n"/>
      <c r="N281" s="14" t="n"/>
    </row>
    <row r="282">
      <c r="B282" s="15">
        <f>IF($D282="","","C"&amp;TEXT(ROW()-5,"000"))</f>
        <v/>
      </c>
      <c r="C282" s="16" t="n"/>
      <c r="D282" s="14" t="n"/>
      <c r="E282" s="15">
        <f>IF($D282="","",IFERROR(INDEX(rngCadetPIDs,MATCH($D282,rngCadetNames,0)),"?"))</f>
        <v/>
      </c>
      <c r="F282" s="14" t="n"/>
      <c r="G282" s="14" t="n"/>
      <c r="H282" s="14" t="n"/>
      <c r="I282" s="14" t="n"/>
      <c r="J282" s="14" t="n"/>
      <c r="K282" s="16" t="n"/>
      <c r="L282" s="16" t="n"/>
      <c r="M282" s="14" t="n"/>
      <c r="N282" s="14" t="n"/>
    </row>
    <row r="283">
      <c r="B283" s="15">
        <f>IF($D283="","","C"&amp;TEXT(ROW()-5,"000"))</f>
        <v/>
      </c>
      <c r="C283" s="16" t="n"/>
      <c r="D283" s="14" t="n"/>
      <c r="E283" s="15">
        <f>IF($D283="","",IFERROR(INDEX(rngCadetPIDs,MATCH($D283,rngCadetNames,0)),"?"))</f>
        <v/>
      </c>
      <c r="F283" s="14" t="n"/>
      <c r="G283" s="14" t="n"/>
      <c r="H283" s="14" t="n"/>
      <c r="I283" s="14" t="n"/>
      <c r="J283" s="14" t="n"/>
      <c r="K283" s="16" t="n"/>
      <c r="L283" s="16" t="n"/>
      <c r="M283" s="14" t="n"/>
      <c r="N283" s="14" t="n"/>
    </row>
    <row r="284">
      <c r="B284" s="15">
        <f>IF($D284="","","C"&amp;TEXT(ROW()-5,"000"))</f>
        <v/>
      </c>
      <c r="C284" s="16" t="n"/>
      <c r="D284" s="14" t="n"/>
      <c r="E284" s="15">
        <f>IF($D284="","",IFERROR(INDEX(rngCadetPIDs,MATCH($D284,rngCadetNames,0)),"?"))</f>
        <v/>
      </c>
      <c r="F284" s="14" t="n"/>
      <c r="G284" s="14" t="n"/>
      <c r="H284" s="14" t="n"/>
      <c r="I284" s="14" t="n"/>
      <c r="J284" s="14" t="n"/>
      <c r="K284" s="16" t="n"/>
      <c r="L284" s="16" t="n"/>
      <c r="M284" s="14" t="n"/>
      <c r="N284" s="14" t="n"/>
    </row>
    <row r="285">
      <c r="B285" s="15">
        <f>IF($D285="","","C"&amp;TEXT(ROW()-5,"000"))</f>
        <v/>
      </c>
      <c r="C285" s="16" t="n"/>
      <c r="D285" s="14" t="n"/>
      <c r="E285" s="15">
        <f>IF($D285="","",IFERROR(INDEX(rngCadetPIDs,MATCH($D285,rngCadetNames,0)),"?"))</f>
        <v/>
      </c>
      <c r="F285" s="14" t="n"/>
      <c r="G285" s="14" t="n"/>
      <c r="H285" s="14" t="n"/>
      <c r="I285" s="14" t="n"/>
      <c r="J285" s="14" t="n"/>
      <c r="K285" s="16" t="n"/>
      <c r="L285" s="16" t="n"/>
      <c r="M285" s="14" t="n"/>
      <c r="N285" s="14" t="n"/>
    </row>
    <row r="286">
      <c r="B286" s="15">
        <f>IF($D286="","","C"&amp;TEXT(ROW()-5,"000"))</f>
        <v/>
      </c>
      <c r="C286" s="16" t="n"/>
      <c r="D286" s="14" t="n"/>
      <c r="E286" s="15">
        <f>IF($D286="","",IFERROR(INDEX(rngCadetPIDs,MATCH($D286,rngCadetNames,0)),"?"))</f>
        <v/>
      </c>
      <c r="F286" s="14" t="n"/>
      <c r="G286" s="14" t="n"/>
      <c r="H286" s="14" t="n"/>
      <c r="I286" s="14" t="n"/>
      <c r="J286" s="14" t="n"/>
      <c r="K286" s="16" t="n"/>
      <c r="L286" s="16" t="n"/>
      <c r="M286" s="14" t="n"/>
      <c r="N286" s="14" t="n"/>
    </row>
    <row r="287">
      <c r="B287" s="15">
        <f>IF($D287="","","C"&amp;TEXT(ROW()-5,"000"))</f>
        <v/>
      </c>
      <c r="C287" s="16" t="n"/>
      <c r="D287" s="14" t="n"/>
      <c r="E287" s="15">
        <f>IF($D287="","",IFERROR(INDEX(rngCadetPIDs,MATCH($D287,rngCadetNames,0)),"?"))</f>
        <v/>
      </c>
      <c r="F287" s="14" t="n"/>
      <c r="G287" s="14" t="n"/>
      <c r="H287" s="14" t="n"/>
      <c r="I287" s="14" t="n"/>
      <c r="J287" s="14" t="n"/>
      <c r="K287" s="16" t="n"/>
      <c r="L287" s="16" t="n"/>
      <c r="M287" s="14" t="n"/>
      <c r="N287" s="14" t="n"/>
    </row>
    <row r="288">
      <c r="B288" s="15">
        <f>IF($D288="","","C"&amp;TEXT(ROW()-5,"000"))</f>
        <v/>
      </c>
      <c r="C288" s="16" t="n"/>
      <c r="D288" s="14" t="n"/>
      <c r="E288" s="15">
        <f>IF($D288="","",IFERROR(INDEX(rngCadetPIDs,MATCH($D288,rngCadetNames,0)),"?"))</f>
        <v/>
      </c>
      <c r="F288" s="14" t="n"/>
      <c r="G288" s="14" t="n"/>
      <c r="H288" s="14" t="n"/>
      <c r="I288" s="14" t="n"/>
      <c r="J288" s="14" t="n"/>
      <c r="K288" s="16" t="n"/>
      <c r="L288" s="16" t="n"/>
      <c r="M288" s="14" t="n"/>
      <c r="N288" s="14" t="n"/>
    </row>
    <row r="289">
      <c r="B289" s="15">
        <f>IF($D289="","","C"&amp;TEXT(ROW()-5,"000"))</f>
        <v/>
      </c>
      <c r="C289" s="16" t="n"/>
      <c r="D289" s="14" t="n"/>
      <c r="E289" s="15">
        <f>IF($D289="","",IFERROR(INDEX(rngCadetPIDs,MATCH($D289,rngCadetNames,0)),"?"))</f>
        <v/>
      </c>
      <c r="F289" s="14" t="n"/>
      <c r="G289" s="14" t="n"/>
      <c r="H289" s="14" t="n"/>
      <c r="I289" s="14" t="n"/>
      <c r="J289" s="14" t="n"/>
      <c r="K289" s="16" t="n"/>
      <c r="L289" s="16" t="n"/>
      <c r="M289" s="14" t="n"/>
      <c r="N289" s="14" t="n"/>
    </row>
    <row r="290">
      <c r="B290" s="15">
        <f>IF($D290="","","C"&amp;TEXT(ROW()-5,"000"))</f>
        <v/>
      </c>
      <c r="C290" s="16" t="n"/>
      <c r="D290" s="14" t="n"/>
      <c r="E290" s="15">
        <f>IF($D290="","",IFERROR(INDEX(rngCadetPIDs,MATCH($D290,rngCadetNames,0)),"?"))</f>
        <v/>
      </c>
      <c r="F290" s="14" t="n"/>
      <c r="G290" s="14" t="n"/>
      <c r="H290" s="14" t="n"/>
      <c r="I290" s="14" t="n"/>
      <c r="J290" s="14" t="n"/>
      <c r="K290" s="16" t="n"/>
      <c r="L290" s="16" t="n"/>
      <c r="M290" s="14" t="n"/>
      <c r="N290" s="14" t="n"/>
    </row>
    <row r="291">
      <c r="B291" s="15">
        <f>IF($D291="","","C"&amp;TEXT(ROW()-5,"000"))</f>
        <v/>
      </c>
      <c r="C291" s="16" t="n"/>
      <c r="D291" s="14" t="n"/>
      <c r="E291" s="15">
        <f>IF($D291="","",IFERROR(INDEX(rngCadetPIDs,MATCH($D291,rngCadetNames,0)),"?"))</f>
        <v/>
      </c>
      <c r="F291" s="14" t="n"/>
      <c r="G291" s="14" t="n"/>
      <c r="H291" s="14" t="n"/>
      <c r="I291" s="14" t="n"/>
      <c r="J291" s="14" t="n"/>
      <c r="K291" s="16" t="n"/>
      <c r="L291" s="16" t="n"/>
      <c r="M291" s="14" t="n"/>
      <c r="N291" s="14" t="n"/>
    </row>
    <row r="292">
      <c r="B292" s="15">
        <f>IF($D292="","","C"&amp;TEXT(ROW()-5,"000"))</f>
        <v/>
      </c>
      <c r="C292" s="16" t="n"/>
      <c r="D292" s="14" t="n"/>
      <c r="E292" s="15">
        <f>IF($D292="","",IFERROR(INDEX(rngCadetPIDs,MATCH($D292,rngCadetNames,0)),"?"))</f>
        <v/>
      </c>
      <c r="F292" s="14" t="n"/>
      <c r="G292" s="14" t="n"/>
      <c r="H292" s="14" t="n"/>
      <c r="I292" s="14" t="n"/>
      <c r="J292" s="14" t="n"/>
      <c r="K292" s="16" t="n"/>
      <c r="L292" s="16" t="n"/>
      <c r="M292" s="14" t="n"/>
      <c r="N292" s="14" t="n"/>
    </row>
    <row r="293">
      <c r="B293" s="15">
        <f>IF($D293="","","C"&amp;TEXT(ROW()-5,"000"))</f>
        <v/>
      </c>
      <c r="C293" s="16" t="n"/>
      <c r="D293" s="14" t="n"/>
      <c r="E293" s="15">
        <f>IF($D293="","",IFERROR(INDEX(rngCadetPIDs,MATCH($D293,rngCadetNames,0)),"?"))</f>
        <v/>
      </c>
      <c r="F293" s="14" t="n"/>
      <c r="G293" s="14" t="n"/>
      <c r="H293" s="14" t="n"/>
      <c r="I293" s="14" t="n"/>
      <c r="J293" s="14" t="n"/>
      <c r="K293" s="16" t="n"/>
      <c r="L293" s="16" t="n"/>
      <c r="M293" s="14" t="n"/>
      <c r="N293" s="14" t="n"/>
    </row>
    <row r="294">
      <c r="B294" s="15">
        <f>IF($D294="","","C"&amp;TEXT(ROW()-5,"000"))</f>
        <v/>
      </c>
      <c r="C294" s="16" t="n"/>
      <c r="D294" s="14" t="n"/>
      <c r="E294" s="15">
        <f>IF($D294="","",IFERROR(INDEX(rngCadetPIDs,MATCH($D294,rngCadetNames,0)),"?"))</f>
        <v/>
      </c>
      <c r="F294" s="14" t="n"/>
      <c r="G294" s="14" t="n"/>
      <c r="H294" s="14" t="n"/>
      <c r="I294" s="14" t="n"/>
      <c r="J294" s="14" t="n"/>
      <c r="K294" s="16" t="n"/>
      <c r="L294" s="16" t="n"/>
      <c r="M294" s="14" t="n"/>
      <c r="N294" s="14" t="n"/>
    </row>
    <row r="295">
      <c r="B295" s="15">
        <f>IF($D295="","","C"&amp;TEXT(ROW()-5,"000"))</f>
        <v/>
      </c>
      <c r="C295" s="16" t="n"/>
      <c r="D295" s="14" t="n"/>
      <c r="E295" s="15">
        <f>IF($D295="","",IFERROR(INDEX(rngCadetPIDs,MATCH($D295,rngCadetNames,0)),"?"))</f>
        <v/>
      </c>
      <c r="F295" s="14" t="n"/>
      <c r="G295" s="14" t="n"/>
      <c r="H295" s="14" t="n"/>
      <c r="I295" s="14" t="n"/>
      <c r="J295" s="14" t="n"/>
      <c r="K295" s="16" t="n"/>
      <c r="L295" s="16" t="n"/>
      <c r="M295" s="14" t="n"/>
      <c r="N295" s="14" t="n"/>
    </row>
    <row r="296">
      <c r="B296" s="15">
        <f>IF($D296="","","C"&amp;TEXT(ROW()-5,"000"))</f>
        <v/>
      </c>
      <c r="C296" s="16" t="n"/>
      <c r="D296" s="14" t="n"/>
      <c r="E296" s="15">
        <f>IF($D296="","",IFERROR(INDEX(rngCadetPIDs,MATCH($D296,rngCadetNames,0)),"?"))</f>
        <v/>
      </c>
      <c r="F296" s="14" t="n"/>
      <c r="G296" s="14" t="n"/>
      <c r="H296" s="14" t="n"/>
      <c r="I296" s="14" t="n"/>
      <c r="J296" s="14" t="n"/>
      <c r="K296" s="16" t="n"/>
      <c r="L296" s="16" t="n"/>
      <c r="M296" s="14" t="n"/>
      <c r="N296" s="14" t="n"/>
    </row>
    <row r="297">
      <c r="B297" s="15">
        <f>IF($D297="","","C"&amp;TEXT(ROW()-5,"000"))</f>
        <v/>
      </c>
      <c r="C297" s="16" t="n"/>
      <c r="D297" s="14" t="n"/>
      <c r="E297" s="15">
        <f>IF($D297="","",IFERROR(INDEX(rngCadetPIDs,MATCH($D297,rngCadetNames,0)),"?"))</f>
        <v/>
      </c>
      <c r="F297" s="14" t="n"/>
      <c r="G297" s="14" t="n"/>
      <c r="H297" s="14" t="n"/>
      <c r="I297" s="14" t="n"/>
      <c r="J297" s="14" t="n"/>
      <c r="K297" s="16" t="n"/>
      <c r="L297" s="16" t="n"/>
      <c r="M297" s="14" t="n"/>
      <c r="N297" s="14" t="n"/>
    </row>
    <row r="298">
      <c r="B298" s="15">
        <f>IF($D298="","","C"&amp;TEXT(ROW()-5,"000"))</f>
        <v/>
      </c>
      <c r="C298" s="16" t="n"/>
      <c r="D298" s="14" t="n"/>
      <c r="E298" s="15">
        <f>IF($D298="","",IFERROR(INDEX(rngCadetPIDs,MATCH($D298,rngCadetNames,0)),"?"))</f>
        <v/>
      </c>
      <c r="F298" s="14" t="n"/>
      <c r="G298" s="14" t="n"/>
      <c r="H298" s="14" t="n"/>
      <c r="I298" s="14" t="n"/>
      <c r="J298" s="14" t="n"/>
      <c r="K298" s="16" t="n"/>
      <c r="L298" s="16" t="n"/>
      <c r="M298" s="14" t="n"/>
      <c r="N298" s="14" t="n"/>
    </row>
    <row r="299">
      <c r="B299" s="15">
        <f>IF($D299="","","C"&amp;TEXT(ROW()-5,"000"))</f>
        <v/>
      </c>
      <c r="C299" s="16" t="n"/>
      <c r="D299" s="14" t="n"/>
      <c r="E299" s="15">
        <f>IF($D299="","",IFERROR(INDEX(rngCadetPIDs,MATCH($D299,rngCadetNames,0)),"?"))</f>
        <v/>
      </c>
      <c r="F299" s="14" t="n"/>
      <c r="G299" s="14" t="n"/>
      <c r="H299" s="14" t="n"/>
      <c r="I299" s="14" t="n"/>
      <c r="J299" s="14" t="n"/>
      <c r="K299" s="16" t="n"/>
      <c r="L299" s="16" t="n"/>
      <c r="M299" s="14" t="n"/>
      <c r="N299" s="14" t="n"/>
    </row>
    <row r="300">
      <c r="B300" s="15">
        <f>IF($D300="","","C"&amp;TEXT(ROW()-5,"000"))</f>
        <v/>
      </c>
      <c r="C300" s="16" t="n"/>
      <c r="D300" s="14" t="n"/>
      <c r="E300" s="15">
        <f>IF($D300="","",IFERROR(INDEX(rngCadetPIDs,MATCH($D300,rngCadetNames,0)),"?"))</f>
        <v/>
      </c>
      <c r="F300" s="14" t="n"/>
      <c r="G300" s="14" t="n"/>
      <c r="H300" s="14" t="n"/>
      <c r="I300" s="14" t="n"/>
      <c r="J300" s="14" t="n"/>
      <c r="K300" s="16" t="n"/>
      <c r="L300" s="16" t="n"/>
      <c r="M300" s="14" t="n"/>
      <c r="N300" s="14" t="n"/>
    </row>
    <row r="301">
      <c r="B301" s="15">
        <f>IF($D301="","","C"&amp;TEXT(ROW()-5,"000"))</f>
        <v/>
      </c>
      <c r="C301" s="16" t="n"/>
      <c r="D301" s="14" t="n"/>
      <c r="E301" s="15">
        <f>IF($D301="","",IFERROR(INDEX(rngCadetPIDs,MATCH($D301,rngCadetNames,0)),"?"))</f>
        <v/>
      </c>
      <c r="F301" s="14" t="n"/>
      <c r="G301" s="14" t="n"/>
      <c r="H301" s="14" t="n"/>
      <c r="I301" s="14" t="n"/>
      <c r="J301" s="14" t="n"/>
      <c r="K301" s="16" t="n"/>
      <c r="L301" s="16" t="n"/>
      <c r="M301" s="14" t="n"/>
      <c r="N301" s="14" t="n"/>
    </row>
    <row r="302">
      <c r="B302" s="15">
        <f>IF($D302="","","C"&amp;TEXT(ROW()-5,"000"))</f>
        <v/>
      </c>
      <c r="C302" s="16" t="n"/>
      <c r="D302" s="14" t="n"/>
      <c r="E302" s="15">
        <f>IF($D302="","",IFERROR(INDEX(rngCadetPIDs,MATCH($D302,rngCadetNames,0)),"?"))</f>
        <v/>
      </c>
      <c r="F302" s="14" t="n"/>
      <c r="G302" s="14" t="n"/>
      <c r="H302" s="14" t="n"/>
      <c r="I302" s="14" t="n"/>
      <c r="J302" s="14" t="n"/>
      <c r="K302" s="16" t="n"/>
      <c r="L302" s="16" t="n"/>
      <c r="M302" s="14" t="n"/>
      <c r="N302" s="14" t="n"/>
    </row>
    <row r="303">
      <c r="B303" s="15">
        <f>IF($D303="","","C"&amp;TEXT(ROW()-5,"000"))</f>
        <v/>
      </c>
      <c r="C303" s="16" t="n"/>
      <c r="D303" s="14" t="n"/>
      <c r="E303" s="15">
        <f>IF($D303="","",IFERROR(INDEX(rngCadetPIDs,MATCH($D303,rngCadetNames,0)),"?"))</f>
        <v/>
      </c>
      <c r="F303" s="14" t="n"/>
      <c r="G303" s="14" t="n"/>
      <c r="H303" s="14" t="n"/>
      <c r="I303" s="14" t="n"/>
      <c r="J303" s="14" t="n"/>
      <c r="K303" s="16" t="n"/>
      <c r="L303" s="16" t="n"/>
      <c r="M303" s="14" t="n"/>
      <c r="N303" s="14" t="n"/>
    </row>
    <row r="304">
      <c r="B304" s="15">
        <f>IF($D304="","","C"&amp;TEXT(ROW()-5,"000"))</f>
        <v/>
      </c>
      <c r="C304" s="16" t="n"/>
      <c r="D304" s="14" t="n"/>
      <c r="E304" s="15">
        <f>IF($D304="","",IFERROR(INDEX(rngCadetPIDs,MATCH($D304,rngCadetNames,0)),"?"))</f>
        <v/>
      </c>
      <c r="F304" s="14" t="n"/>
      <c r="G304" s="14" t="n"/>
      <c r="H304" s="14" t="n"/>
      <c r="I304" s="14" t="n"/>
      <c r="J304" s="14" t="n"/>
      <c r="K304" s="16" t="n"/>
      <c r="L304" s="16" t="n"/>
      <c r="M304" s="14" t="n"/>
      <c r="N304" s="14" t="n"/>
    </row>
    <row r="305">
      <c r="B305" s="15">
        <f>IF($D305="","","C"&amp;TEXT(ROW()-5,"000"))</f>
        <v/>
      </c>
      <c r="C305" s="16" t="n"/>
      <c r="D305" s="14" t="n"/>
      <c r="E305" s="15">
        <f>IF($D305="","",IFERROR(INDEX(rngCadetPIDs,MATCH($D305,rngCadetNames,0)),"?"))</f>
        <v/>
      </c>
      <c r="F305" s="14" t="n"/>
      <c r="G305" s="14" t="n"/>
      <c r="H305" s="14" t="n"/>
      <c r="I305" s="14" t="n"/>
      <c r="J305" s="14" t="n"/>
      <c r="K305" s="16" t="n"/>
      <c r="L305" s="16" t="n"/>
      <c r="M305" s="14" t="n"/>
      <c r="N305" s="14" t="n"/>
    </row>
    <row r="306">
      <c r="B306" s="15">
        <f>IF($D306="","","C"&amp;TEXT(ROW()-5,"000"))</f>
        <v/>
      </c>
      <c r="C306" s="16" t="n"/>
      <c r="D306" s="14" t="n"/>
      <c r="E306" s="15">
        <f>IF($D306="","",IFERROR(INDEX(rngCadetPIDs,MATCH($D306,rngCadetNames,0)),"?"))</f>
        <v/>
      </c>
      <c r="F306" s="14" t="n"/>
      <c r="G306" s="14" t="n"/>
      <c r="H306" s="14" t="n"/>
      <c r="I306" s="14" t="n"/>
      <c r="J306" s="14" t="n"/>
      <c r="K306" s="16" t="n"/>
      <c r="L306" s="16" t="n"/>
      <c r="M306" s="14" t="n"/>
      <c r="N306" s="14" t="n"/>
    </row>
    <row r="307">
      <c r="B307" s="15">
        <f>IF($D307="","","C"&amp;TEXT(ROW()-5,"000"))</f>
        <v/>
      </c>
      <c r="C307" s="16" t="n"/>
      <c r="D307" s="14" t="n"/>
      <c r="E307" s="15">
        <f>IF($D307="","",IFERROR(INDEX(rngCadetPIDs,MATCH($D307,rngCadetNames,0)),"?"))</f>
        <v/>
      </c>
      <c r="F307" s="14" t="n"/>
      <c r="G307" s="14" t="n"/>
      <c r="H307" s="14" t="n"/>
      <c r="I307" s="14" t="n"/>
      <c r="J307" s="14" t="n"/>
      <c r="K307" s="16" t="n"/>
      <c r="L307" s="16" t="n"/>
      <c r="M307" s="14" t="n"/>
      <c r="N307" s="14" t="n"/>
    </row>
    <row r="308">
      <c r="B308" s="15">
        <f>IF($D308="","","C"&amp;TEXT(ROW()-5,"000"))</f>
        <v/>
      </c>
      <c r="C308" s="16" t="n"/>
      <c r="D308" s="14" t="n"/>
      <c r="E308" s="15">
        <f>IF($D308="","",IFERROR(INDEX(rngCadetPIDs,MATCH($D308,rngCadetNames,0)),"?"))</f>
        <v/>
      </c>
      <c r="F308" s="14" t="n"/>
      <c r="G308" s="14" t="n"/>
      <c r="H308" s="14" t="n"/>
      <c r="I308" s="14" t="n"/>
      <c r="J308" s="14" t="n"/>
      <c r="K308" s="16" t="n"/>
      <c r="L308" s="16" t="n"/>
      <c r="M308" s="14" t="n"/>
      <c r="N308" s="14" t="n"/>
    </row>
    <row r="309">
      <c r="B309" s="15">
        <f>IF($D309="","","C"&amp;TEXT(ROW()-5,"000"))</f>
        <v/>
      </c>
      <c r="C309" s="16" t="n"/>
      <c r="D309" s="14" t="n"/>
      <c r="E309" s="15">
        <f>IF($D309="","",IFERROR(INDEX(rngCadetPIDs,MATCH($D309,rngCadetNames,0)),"?"))</f>
        <v/>
      </c>
      <c r="F309" s="14" t="n"/>
      <c r="G309" s="14" t="n"/>
      <c r="H309" s="14" t="n"/>
      <c r="I309" s="14" t="n"/>
      <c r="J309" s="14" t="n"/>
      <c r="K309" s="16" t="n"/>
      <c r="L309" s="16" t="n"/>
      <c r="M309" s="14" t="n"/>
      <c r="N309" s="14" t="n"/>
    </row>
    <row r="310">
      <c r="B310" s="15">
        <f>IF($D310="","","C"&amp;TEXT(ROW()-5,"000"))</f>
        <v/>
      </c>
      <c r="C310" s="16" t="n"/>
      <c r="D310" s="14" t="n"/>
      <c r="E310" s="15">
        <f>IF($D310="","",IFERROR(INDEX(rngCadetPIDs,MATCH($D310,rngCadetNames,0)),"?"))</f>
        <v/>
      </c>
      <c r="F310" s="14" t="n"/>
      <c r="G310" s="14" t="n"/>
      <c r="H310" s="14" t="n"/>
      <c r="I310" s="14" t="n"/>
      <c r="J310" s="14" t="n"/>
      <c r="K310" s="16" t="n"/>
      <c r="L310" s="16" t="n"/>
      <c r="M310" s="14" t="n"/>
      <c r="N310" s="14" t="n"/>
    </row>
    <row r="311">
      <c r="B311" s="15">
        <f>IF($D311="","","C"&amp;TEXT(ROW()-5,"000"))</f>
        <v/>
      </c>
      <c r="C311" s="16" t="n"/>
      <c r="D311" s="14" t="n"/>
      <c r="E311" s="15">
        <f>IF($D311="","",IFERROR(INDEX(rngCadetPIDs,MATCH($D311,rngCadetNames,0)),"?"))</f>
        <v/>
      </c>
      <c r="F311" s="14" t="n"/>
      <c r="G311" s="14" t="n"/>
      <c r="H311" s="14" t="n"/>
      <c r="I311" s="14" t="n"/>
      <c r="J311" s="14" t="n"/>
      <c r="K311" s="16" t="n"/>
      <c r="L311" s="16" t="n"/>
      <c r="M311" s="14" t="n"/>
      <c r="N311" s="14" t="n"/>
    </row>
    <row r="312">
      <c r="B312" s="15">
        <f>IF($D312="","","C"&amp;TEXT(ROW()-5,"000"))</f>
        <v/>
      </c>
      <c r="C312" s="16" t="n"/>
      <c r="D312" s="14" t="n"/>
      <c r="E312" s="15">
        <f>IF($D312="","",IFERROR(INDEX(rngCadetPIDs,MATCH($D312,rngCadetNames,0)),"?"))</f>
        <v/>
      </c>
      <c r="F312" s="14" t="n"/>
      <c r="G312" s="14" t="n"/>
      <c r="H312" s="14" t="n"/>
      <c r="I312" s="14" t="n"/>
      <c r="J312" s="14" t="n"/>
      <c r="K312" s="16" t="n"/>
      <c r="L312" s="16" t="n"/>
      <c r="M312" s="14" t="n"/>
      <c r="N312" s="14" t="n"/>
    </row>
    <row r="313">
      <c r="B313" s="15">
        <f>IF($D313="","","C"&amp;TEXT(ROW()-5,"000"))</f>
        <v/>
      </c>
      <c r="C313" s="16" t="n"/>
      <c r="D313" s="14" t="n"/>
      <c r="E313" s="15">
        <f>IF($D313="","",IFERROR(INDEX(rngCadetPIDs,MATCH($D313,rngCadetNames,0)),"?"))</f>
        <v/>
      </c>
      <c r="F313" s="14" t="n"/>
      <c r="G313" s="14" t="n"/>
      <c r="H313" s="14" t="n"/>
      <c r="I313" s="14" t="n"/>
      <c r="J313" s="14" t="n"/>
      <c r="K313" s="16" t="n"/>
      <c r="L313" s="16" t="n"/>
      <c r="M313" s="14" t="n"/>
      <c r="N313" s="14" t="n"/>
    </row>
    <row r="314">
      <c r="B314" s="15">
        <f>IF($D314="","","C"&amp;TEXT(ROW()-5,"000"))</f>
        <v/>
      </c>
      <c r="C314" s="16" t="n"/>
      <c r="D314" s="14" t="n"/>
      <c r="E314" s="15">
        <f>IF($D314="","",IFERROR(INDEX(rngCadetPIDs,MATCH($D314,rngCadetNames,0)),"?"))</f>
        <v/>
      </c>
      <c r="F314" s="14" t="n"/>
      <c r="G314" s="14" t="n"/>
      <c r="H314" s="14" t="n"/>
      <c r="I314" s="14" t="n"/>
      <c r="J314" s="14" t="n"/>
      <c r="K314" s="16" t="n"/>
      <c r="L314" s="16" t="n"/>
      <c r="M314" s="14" t="n"/>
      <c r="N314" s="14" t="n"/>
    </row>
    <row r="315">
      <c r="B315" s="15">
        <f>IF($D315="","","C"&amp;TEXT(ROW()-5,"000"))</f>
        <v/>
      </c>
      <c r="C315" s="16" t="n"/>
      <c r="D315" s="14" t="n"/>
      <c r="E315" s="15">
        <f>IF($D315="","",IFERROR(INDEX(rngCadetPIDs,MATCH($D315,rngCadetNames,0)),"?"))</f>
        <v/>
      </c>
      <c r="F315" s="14" t="n"/>
      <c r="G315" s="14" t="n"/>
      <c r="H315" s="14" t="n"/>
      <c r="I315" s="14" t="n"/>
      <c r="J315" s="14" t="n"/>
      <c r="K315" s="16" t="n"/>
      <c r="L315" s="16" t="n"/>
      <c r="M315" s="14" t="n"/>
      <c r="N315" s="14" t="n"/>
    </row>
    <row r="316">
      <c r="B316" s="15">
        <f>IF($D316="","","C"&amp;TEXT(ROW()-5,"000"))</f>
        <v/>
      </c>
      <c r="C316" s="16" t="n"/>
      <c r="D316" s="14" t="n"/>
      <c r="E316" s="15">
        <f>IF($D316="","",IFERROR(INDEX(rngCadetPIDs,MATCH($D316,rngCadetNames,0)),"?"))</f>
        <v/>
      </c>
      <c r="F316" s="14" t="n"/>
      <c r="G316" s="14" t="n"/>
      <c r="H316" s="14" t="n"/>
      <c r="I316" s="14" t="n"/>
      <c r="J316" s="14" t="n"/>
      <c r="K316" s="16" t="n"/>
      <c r="L316" s="16" t="n"/>
      <c r="M316" s="14" t="n"/>
      <c r="N316" s="14" t="n"/>
    </row>
    <row r="317">
      <c r="B317" s="15">
        <f>IF($D317="","","C"&amp;TEXT(ROW()-5,"000"))</f>
        <v/>
      </c>
      <c r="C317" s="16" t="n"/>
      <c r="D317" s="14" t="n"/>
      <c r="E317" s="15">
        <f>IF($D317="","",IFERROR(INDEX(rngCadetPIDs,MATCH($D317,rngCadetNames,0)),"?"))</f>
        <v/>
      </c>
      <c r="F317" s="14" t="n"/>
      <c r="G317" s="14" t="n"/>
      <c r="H317" s="14" t="n"/>
      <c r="I317" s="14" t="n"/>
      <c r="J317" s="14" t="n"/>
      <c r="K317" s="16" t="n"/>
      <c r="L317" s="16" t="n"/>
      <c r="M317" s="14" t="n"/>
      <c r="N317" s="14" t="n"/>
    </row>
    <row r="318">
      <c r="B318" s="15">
        <f>IF($D318="","","C"&amp;TEXT(ROW()-5,"000"))</f>
        <v/>
      </c>
      <c r="C318" s="16" t="n"/>
      <c r="D318" s="14" t="n"/>
      <c r="E318" s="15">
        <f>IF($D318="","",IFERROR(INDEX(rngCadetPIDs,MATCH($D318,rngCadetNames,0)),"?"))</f>
        <v/>
      </c>
      <c r="F318" s="14" t="n"/>
      <c r="G318" s="14" t="n"/>
      <c r="H318" s="14" t="n"/>
      <c r="I318" s="14" t="n"/>
      <c r="J318" s="14" t="n"/>
      <c r="K318" s="16" t="n"/>
      <c r="L318" s="16" t="n"/>
      <c r="M318" s="14" t="n"/>
      <c r="N318" s="14" t="n"/>
    </row>
    <row r="319">
      <c r="B319" s="15">
        <f>IF($D319="","","C"&amp;TEXT(ROW()-5,"000"))</f>
        <v/>
      </c>
      <c r="C319" s="16" t="n"/>
      <c r="D319" s="14" t="n"/>
      <c r="E319" s="15">
        <f>IF($D319="","",IFERROR(INDEX(rngCadetPIDs,MATCH($D319,rngCadetNames,0)),"?"))</f>
        <v/>
      </c>
      <c r="F319" s="14" t="n"/>
      <c r="G319" s="14" t="n"/>
      <c r="H319" s="14" t="n"/>
      <c r="I319" s="14" t="n"/>
      <c r="J319" s="14" t="n"/>
      <c r="K319" s="16" t="n"/>
      <c r="L319" s="16" t="n"/>
      <c r="M319" s="14" t="n"/>
      <c r="N319" s="14" t="n"/>
    </row>
    <row r="320">
      <c r="B320" s="15">
        <f>IF($D320="","","C"&amp;TEXT(ROW()-5,"000"))</f>
        <v/>
      </c>
      <c r="C320" s="16" t="n"/>
      <c r="D320" s="14" t="n"/>
      <c r="E320" s="15">
        <f>IF($D320="","",IFERROR(INDEX(rngCadetPIDs,MATCH($D320,rngCadetNames,0)),"?"))</f>
        <v/>
      </c>
      <c r="F320" s="14" t="n"/>
      <c r="G320" s="14" t="n"/>
      <c r="H320" s="14" t="n"/>
      <c r="I320" s="14" t="n"/>
      <c r="J320" s="14" t="n"/>
      <c r="K320" s="16" t="n"/>
      <c r="L320" s="16" t="n"/>
      <c r="M320" s="14" t="n"/>
      <c r="N320" s="14" t="n"/>
    </row>
    <row r="321">
      <c r="B321" s="15">
        <f>IF($D321="","","C"&amp;TEXT(ROW()-5,"000"))</f>
        <v/>
      </c>
      <c r="C321" s="16" t="n"/>
      <c r="D321" s="14" t="n"/>
      <c r="E321" s="15">
        <f>IF($D321="","",IFERROR(INDEX(rngCadetPIDs,MATCH($D321,rngCadetNames,0)),"?"))</f>
        <v/>
      </c>
      <c r="F321" s="14" t="n"/>
      <c r="G321" s="14" t="n"/>
      <c r="H321" s="14" t="n"/>
      <c r="I321" s="14" t="n"/>
      <c r="J321" s="14" t="n"/>
      <c r="K321" s="16" t="n"/>
      <c r="L321" s="16" t="n"/>
      <c r="M321" s="14" t="n"/>
      <c r="N321" s="14" t="n"/>
    </row>
    <row r="322">
      <c r="B322" s="15">
        <f>IF($D322="","","C"&amp;TEXT(ROW()-5,"000"))</f>
        <v/>
      </c>
      <c r="C322" s="16" t="n"/>
      <c r="D322" s="14" t="n"/>
      <c r="E322" s="15">
        <f>IF($D322="","",IFERROR(INDEX(rngCadetPIDs,MATCH($D322,rngCadetNames,0)),"?"))</f>
        <v/>
      </c>
      <c r="F322" s="14" t="n"/>
      <c r="G322" s="14" t="n"/>
      <c r="H322" s="14" t="n"/>
      <c r="I322" s="14" t="n"/>
      <c r="J322" s="14" t="n"/>
      <c r="K322" s="16" t="n"/>
      <c r="L322" s="16" t="n"/>
      <c r="M322" s="14" t="n"/>
      <c r="N322" s="14" t="n"/>
    </row>
    <row r="323">
      <c r="B323" s="15">
        <f>IF($D323="","","C"&amp;TEXT(ROW()-5,"000"))</f>
        <v/>
      </c>
      <c r="C323" s="16" t="n"/>
      <c r="D323" s="14" t="n"/>
      <c r="E323" s="15">
        <f>IF($D323="","",IFERROR(INDEX(rngCadetPIDs,MATCH($D323,rngCadetNames,0)),"?"))</f>
        <v/>
      </c>
      <c r="F323" s="14" t="n"/>
      <c r="G323" s="14" t="n"/>
      <c r="H323" s="14" t="n"/>
      <c r="I323" s="14" t="n"/>
      <c r="J323" s="14" t="n"/>
      <c r="K323" s="16" t="n"/>
      <c r="L323" s="16" t="n"/>
      <c r="M323" s="14" t="n"/>
      <c r="N323" s="14" t="n"/>
    </row>
    <row r="324">
      <c r="B324" s="15">
        <f>IF($D324="","","C"&amp;TEXT(ROW()-5,"000"))</f>
        <v/>
      </c>
      <c r="C324" s="16" t="n"/>
      <c r="D324" s="14" t="n"/>
      <c r="E324" s="15">
        <f>IF($D324="","",IFERROR(INDEX(rngCadetPIDs,MATCH($D324,rngCadetNames,0)),"?"))</f>
        <v/>
      </c>
      <c r="F324" s="14" t="n"/>
      <c r="G324" s="14" t="n"/>
      <c r="H324" s="14" t="n"/>
      <c r="I324" s="14" t="n"/>
      <c r="J324" s="14" t="n"/>
      <c r="K324" s="16" t="n"/>
      <c r="L324" s="16" t="n"/>
      <c r="M324" s="14" t="n"/>
      <c r="N324" s="14" t="n"/>
    </row>
    <row r="325">
      <c r="B325" s="15">
        <f>IF($D325="","","C"&amp;TEXT(ROW()-5,"000"))</f>
        <v/>
      </c>
      <c r="C325" s="16" t="n"/>
      <c r="D325" s="14" t="n"/>
      <c r="E325" s="15">
        <f>IF($D325="","",IFERROR(INDEX(rngCadetPIDs,MATCH($D325,rngCadetNames,0)),"?"))</f>
        <v/>
      </c>
      <c r="F325" s="14" t="n"/>
      <c r="G325" s="14" t="n"/>
      <c r="H325" s="14" t="n"/>
      <c r="I325" s="14" t="n"/>
      <c r="J325" s="14" t="n"/>
      <c r="K325" s="16" t="n"/>
      <c r="L325" s="16" t="n"/>
      <c r="M325" s="14" t="n"/>
      <c r="N325" s="14" t="n"/>
    </row>
    <row r="326">
      <c r="B326" s="15">
        <f>IF($D326="","","C"&amp;TEXT(ROW()-5,"000"))</f>
        <v/>
      </c>
      <c r="C326" s="16" t="n"/>
      <c r="D326" s="14" t="n"/>
      <c r="E326" s="15">
        <f>IF($D326="","",IFERROR(INDEX(rngCadetPIDs,MATCH($D326,rngCadetNames,0)),"?"))</f>
        <v/>
      </c>
      <c r="F326" s="14" t="n"/>
      <c r="G326" s="14" t="n"/>
      <c r="H326" s="14" t="n"/>
      <c r="I326" s="14" t="n"/>
      <c r="J326" s="14" t="n"/>
      <c r="K326" s="16" t="n"/>
      <c r="L326" s="16" t="n"/>
      <c r="M326" s="14" t="n"/>
      <c r="N326" s="14" t="n"/>
    </row>
    <row r="327">
      <c r="B327" s="15">
        <f>IF($D327="","","C"&amp;TEXT(ROW()-5,"000"))</f>
        <v/>
      </c>
      <c r="C327" s="16" t="n"/>
      <c r="D327" s="14" t="n"/>
      <c r="E327" s="15">
        <f>IF($D327="","",IFERROR(INDEX(rngCadetPIDs,MATCH($D327,rngCadetNames,0)),"?"))</f>
        <v/>
      </c>
      <c r="F327" s="14" t="n"/>
      <c r="G327" s="14" t="n"/>
      <c r="H327" s="14" t="n"/>
      <c r="I327" s="14" t="n"/>
      <c r="J327" s="14" t="n"/>
      <c r="K327" s="16" t="n"/>
      <c r="L327" s="16" t="n"/>
      <c r="M327" s="14" t="n"/>
      <c r="N327" s="14" t="n"/>
    </row>
    <row r="328">
      <c r="B328" s="15">
        <f>IF($D328="","","C"&amp;TEXT(ROW()-5,"000"))</f>
        <v/>
      </c>
      <c r="C328" s="16" t="n"/>
      <c r="D328" s="14" t="n"/>
      <c r="E328" s="15">
        <f>IF($D328="","",IFERROR(INDEX(rngCadetPIDs,MATCH($D328,rngCadetNames,0)),"?"))</f>
        <v/>
      </c>
      <c r="F328" s="14" t="n"/>
      <c r="G328" s="14" t="n"/>
      <c r="H328" s="14" t="n"/>
      <c r="I328" s="14" t="n"/>
      <c r="J328" s="14" t="n"/>
      <c r="K328" s="16" t="n"/>
      <c r="L328" s="16" t="n"/>
      <c r="M328" s="14" t="n"/>
      <c r="N328" s="14" t="n"/>
    </row>
    <row r="329">
      <c r="B329" s="15">
        <f>IF($D329="","","C"&amp;TEXT(ROW()-5,"000"))</f>
        <v/>
      </c>
      <c r="C329" s="16" t="n"/>
      <c r="D329" s="14" t="n"/>
      <c r="E329" s="15">
        <f>IF($D329="","",IFERROR(INDEX(rngCadetPIDs,MATCH($D329,rngCadetNames,0)),"?"))</f>
        <v/>
      </c>
      <c r="F329" s="14" t="n"/>
      <c r="G329" s="14" t="n"/>
      <c r="H329" s="14" t="n"/>
      <c r="I329" s="14" t="n"/>
      <c r="J329" s="14" t="n"/>
      <c r="K329" s="16" t="n"/>
      <c r="L329" s="16" t="n"/>
      <c r="M329" s="14" t="n"/>
      <c r="N329" s="14" t="n"/>
    </row>
    <row r="330">
      <c r="B330" s="15">
        <f>IF($D330="","","C"&amp;TEXT(ROW()-5,"000"))</f>
        <v/>
      </c>
      <c r="C330" s="16" t="n"/>
      <c r="D330" s="14" t="n"/>
      <c r="E330" s="15">
        <f>IF($D330="","",IFERROR(INDEX(rngCadetPIDs,MATCH($D330,rngCadetNames,0)),"?"))</f>
        <v/>
      </c>
      <c r="F330" s="14" t="n"/>
      <c r="G330" s="14" t="n"/>
      <c r="H330" s="14" t="n"/>
      <c r="I330" s="14" t="n"/>
      <c r="J330" s="14" t="n"/>
      <c r="K330" s="16" t="n"/>
      <c r="L330" s="16" t="n"/>
      <c r="M330" s="14" t="n"/>
      <c r="N330" s="14" t="n"/>
    </row>
    <row r="331">
      <c r="B331" s="15">
        <f>IF($D331="","","C"&amp;TEXT(ROW()-5,"000"))</f>
        <v/>
      </c>
      <c r="C331" s="16" t="n"/>
      <c r="D331" s="14" t="n"/>
      <c r="E331" s="15">
        <f>IF($D331="","",IFERROR(INDEX(rngCadetPIDs,MATCH($D331,rngCadetNames,0)),"?"))</f>
        <v/>
      </c>
      <c r="F331" s="14" t="n"/>
      <c r="G331" s="14" t="n"/>
      <c r="H331" s="14" t="n"/>
      <c r="I331" s="14" t="n"/>
      <c r="J331" s="14" t="n"/>
      <c r="K331" s="16" t="n"/>
      <c r="L331" s="16" t="n"/>
      <c r="M331" s="14" t="n"/>
      <c r="N331" s="14" t="n"/>
    </row>
    <row r="332">
      <c r="B332" s="15">
        <f>IF($D332="","","C"&amp;TEXT(ROW()-5,"000"))</f>
        <v/>
      </c>
      <c r="C332" s="16" t="n"/>
      <c r="D332" s="14" t="n"/>
      <c r="E332" s="15">
        <f>IF($D332="","",IFERROR(INDEX(rngCadetPIDs,MATCH($D332,rngCadetNames,0)),"?"))</f>
        <v/>
      </c>
      <c r="F332" s="14" t="n"/>
      <c r="G332" s="14" t="n"/>
      <c r="H332" s="14" t="n"/>
      <c r="I332" s="14" t="n"/>
      <c r="J332" s="14" t="n"/>
      <c r="K332" s="16" t="n"/>
      <c r="L332" s="16" t="n"/>
      <c r="M332" s="14" t="n"/>
      <c r="N332" s="14" t="n"/>
    </row>
    <row r="333">
      <c r="B333" s="15">
        <f>IF($D333="","","C"&amp;TEXT(ROW()-5,"000"))</f>
        <v/>
      </c>
      <c r="C333" s="16" t="n"/>
      <c r="D333" s="14" t="n"/>
      <c r="E333" s="15">
        <f>IF($D333="","",IFERROR(INDEX(rngCadetPIDs,MATCH($D333,rngCadetNames,0)),"?"))</f>
        <v/>
      </c>
      <c r="F333" s="14" t="n"/>
      <c r="G333" s="14" t="n"/>
      <c r="H333" s="14" t="n"/>
      <c r="I333" s="14" t="n"/>
      <c r="J333" s="14" t="n"/>
      <c r="K333" s="16" t="n"/>
      <c r="L333" s="16" t="n"/>
      <c r="M333" s="14" t="n"/>
      <c r="N333" s="14" t="n"/>
    </row>
    <row r="334">
      <c r="B334" s="15">
        <f>IF($D334="","","C"&amp;TEXT(ROW()-5,"000"))</f>
        <v/>
      </c>
      <c r="C334" s="16" t="n"/>
      <c r="D334" s="14" t="n"/>
      <c r="E334" s="15">
        <f>IF($D334="","",IFERROR(INDEX(rngCadetPIDs,MATCH($D334,rngCadetNames,0)),"?"))</f>
        <v/>
      </c>
      <c r="F334" s="14" t="n"/>
      <c r="G334" s="14" t="n"/>
      <c r="H334" s="14" t="n"/>
      <c r="I334" s="14" t="n"/>
      <c r="J334" s="14" t="n"/>
      <c r="K334" s="16" t="n"/>
      <c r="L334" s="16" t="n"/>
      <c r="M334" s="14" t="n"/>
      <c r="N334" s="14" t="n"/>
    </row>
    <row r="335">
      <c r="B335" s="15">
        <f>IF($D335="","","C"&amp;TEXT(ROW()-5,"000"))</f>
        <v/>
      </c>
      <c r="C335" s="16" t="n"/>
      <c r="D335" s="14" t="n"/>
      <c r="E335" s="15">
        <f>IF($D335="","",IFERROR(INDEX(rngCadetPIDs,MATCH($D335,rngCadetNames,0)),"?"))</f>
        <v/>
      </c>
      <c r="F335" s="14" t="n"/>
      <c r="G335" s="14" t="n"/>
      <c r="H335" s="14" t="n"/>
      <c r="I335" s="14" t="n"/>
      <c r="J335" s="14" t="n"/>
      <c r="K335" s="16" t="n"/>
      <c r="L335" s="16" t="n"/>
      <c r="M335" s="14" t="n"/>
      <c r="N335" s="14" t="n"/>
    </row>
    <row r="336">
      <c r="B336" s="15">
        <f>IF($D336="","","C"&amp;TEXT(ROW()-5,"000"))</f>
        <v/>
      </c>
      <c r="C336" s="16" t="n"/>
      <c r="D336" s="14" t="n"/>
      <c r="E336" s="15">
        <f>IF($D336="","",IFERROR(INDEX(rngCadetPIDs,MATCH($D336,rngCadetNames,0)),"?"))</f>
        <v/>
      </c>
      <c r="F336" s="14" t="n"/>
      <c r="G336" s="14" t="n"/>
      <c r="H336" s="14" t="n"/>
      <c r="I336" s="14" t="n"/>
      <c r="J336" s="14" t="n"/>
      <c r="K336" s="16" t="n"/>
      <c r="L336" s="16" t="n"/>
      <c r="M336" s="14" t="n"/>
      <c r="N336" s="14" t="n"/>
    </row>
    <row r="337">
      <c r="B337" s="15">
        <f>IF($D337="","","C"&amp;TEXT(ROW()-5,"000"))</f>
        <v/>
      </c>
      <c r="C337" s="16" t="n"/>
      <c r="D337" s="14" t="n"/>
      <c r="E337" s="15">
        <f>IF($D337="","",IFERROR(INDEX(rngCadetPIDs,MATCH($D337,rngCadetNames,0)),"?"))</f>
        <v/>
      </c>
      <c r="F337" s="14" t="n"/>
      <c r="G337" s="14" t="n"/>
      <c r="H337" s="14" t="n"/>
      <c r="I337" s="14" t="n"/>
      <c r="J337" s="14" t="n"/>
      <c r="K337" s="16" t="n"/>
      <c r="L337" s="16" t="n"/>
      <c r="M337" s="14" t="n"/>
      <c r="N337" s="14" t="n"/>
    </row>
    <row r="338">
      <c r="B338" s="15">
        <f>IF($D338="","","C"&amp;TEXT(ROW()-5,"000"))</f>
        <v/>
      </c>
      <c r="C338" s="16" t="n"/>
      <c r="D338" s="14" t="n"/>
      <c r="E338" s="15">
        <f>IF($D338="","",IFERROR(INDEX(rngCadetPIDs,MATCH($D338,rngCadetNames,0)),"?"))</f>
        <v/>
      </c>
      <c r="F338" s="14" t="n"/>
      <c r="G338" s="14" t="n"/>
      <c r="H338" s="14" t="n"/>
      <c r="I338" s="14" t="n"/>
      <c r="J338" s="14" t="n"/>
      <c r="K338" s="16" t="n"/>
      <c r="L338" s="16" t="n"/>
      <c r="M338" s="14" t="n"/>
      <c r="N338" s="14" t="n"/>
    </row>
    <row r="339">
      <c r="B339" s="15">
        <f>IF($D339="","","C"&amp;TEXT(ROW()-5,"000"))</f>
        <v/>
      </c>
      <c r="C339" s="16" t="n"/>
      <c r="D339" s="14" t="n"/>
      <c r="E339" s="15">
        <f>IF($D339="","",IFERROR(INDEX(rngCadetPIDs,MATCH($D339,rngCadetNames,0)),"?"))</f>
        <v/>
      </c>
      <c r="F339" s="14" t="n"/>
      <c r="G339" s="14" t="n"/>
      <c r="H339" s="14" t="n"/>
      <c r="I339" s="14" t="n"/>
      <c r="J339" s="14" t="n"/>
      <c r="K339" s="16" t="n"/>
      <c r="L339" s="16" t="n"/>
      <c r="M339" s="14" t="n"/>
      <c r="N339" s="14" t="n"/>
    </row>
    <row r="340">
      <c r="B340" s="15">
        <f>IF($D340="","","C"&amp;TEXT(ROW()-5,"000"))</f>
        <v/>
      </c>
      <c r="C340" s="16" t="n"/>
      <c r="D340" s="14" t="n"/>
      <c r="E340" s="15">
        <f>IF($D340="","",IFERROR(INDEX(rngCadetPIDs,MATCH($D340,rngCadetNames,0)),"?"))</f>
        <v/>
      </c>
      <c r="F340" s="14" t="n"/>
      <c r="G340" s="14" t="n"/>
      <c r="H340" s="14" t="n"/>
      <c r="I340" s="14" t="n"/>
      <c r="J340" s="14" t="n"/>
      <c r="K340" s="16" t="n"/>
      <c r="L340" s="16" t="n"/>
      <c r="M340" s="14" t="n"/>
      <c r="N340" s="14" t="n"/>
    </row>
    <row r="341">
      <c r="B341" s="15">
        <f>IF($D341="","","C"&amp;TEXT(ROW()-5,"000"))</f>
        <v/>
      </c>
      <c r="C341" s="16" t="n"/>
      <c r="D341" s="14" t="n"/>
      <c r="E341" s="15">
        <f>IF($D341="","",IFERROR(INDEX(rngCadetPIDs,MATCH($D341,rngCadetNames,0)),"?"))</f>
        <v/>
      </c>
      <c r="F341" s="14" t="n"/>
      <c r="G341" s="14" t="n"/>
      <c r="H341" s="14" t="n"/>
      <c r="I341" s="14" t="n"/>
      <c r="J341" s="14" t="n"/>
      <c r="K341" s="16" t="n"/>
      <c r="L341" s="16" t="n"/>
      <c r="M341" s="14" t="n"/>
      <c r="N341" s="14" t="n"/>
    </row>
    <row r="342">
      <c r="B342" s="15">
        <f>IF($D342="","","C"&amp;TEXT(ROW()-5,"000"))</f>
        <v/>
      </c>
      <c r="C342" s="16" t="n"/>
      <c r="D342" s="14" t="n"/>
      <c r="E342" s="15">
        <f>IF($D342="","",IFERROR(INDEX(rngCadetPIDs,MATCH($D342,rngCadetNames,0)),"?"))</f>
        <v/>
      </c>
      <c r="F342" s="14" t="n"/>
      <c r="G342" s="14" t="n"/>
      <c r="H342" s="14" t="n"/>
      <c r="I342" s="14" t="n"/>
      <c r="J342" s="14" t="n"/>
      <c r="K342" s="16" t="n"/>
      <c r="L342" s="16" t="n"/>
      <c r="M342" s="14" t="n"/>
      <c r="N342" s="14" t="n"/>
    </row>
    <row r="343">
      <c r="B343" s="15">
        <f>IF($D343="","","C"&amp;TEXT(ROW()-5,"000"))</f>
        <v/>
      </c>
      <c r="C343" s="16" t="n"/>
      <c r="D343" s="14" t="n"/>
      <c r="E343" s="15">
        <f>IF($D343="","",IFERROR(INDEX(rngCadetPIDs,MATCH($D343,rngCadetNames,0)),"?"))</f>
        <v/>
      </c>
      <c r="F343" s="14" t="n"/>
      <c r="G343" s="14" t="n"/>
      <c r="H343" s="14" t="n"/>
      <c r="I343" s="14" t="n"/>
      <c r="J343" s="14" t="n"/>
      <c r="K343" s="16" t="n"/>
      <c r="L343" s="16" t="n"/>
      <c r="M343" s="14" t="n"/>
      <c r="N343" s="14" t="n"/>
    </row>
    <row r="344">
      <c r="B344" s="15">
        <f>IF($D344="","","C"&amp;TEXT(ROW()-5,"000"))</f>
        <v/>
      </c>
      <c r="C344" s="16" t="n"/>
      <c r="D344" s="14" t="n"/>
      <c r="E344" s="15">
        <f>IF($D344="","",IFERROR(INDEX(rngCadetPIDs,MATCH($D344,rngCadetNames,0)),"?"))</f>
        <v/>
      </c>
      <c r="F344" s="14" t="n"/>
      <c r="G344" s="14" t="n"/>
      <c r="H344" s="14" t="n"/>
      <c r="I344" s="14" t="n"/>
      <c r="J344" s="14" t="n"/>
      <c r="K344" s="16" t="n"/>
      <c r="L344" s="16" t="n"/>
      <c r="M344" s="14" t="n"/>
      <c r="N344" s="14" t="n"/>
    </row>
    <row r="345">
      <c r="B345" s="15">
        <f>IF($D345="","","C"&amp;TEXT(ROW()-5,"000"))</f>
        <v/>
      </c>
      <c r="C345" s="16" t="n"/>
      <c r="D345" s="14" t="n"/>
      <c r="E345" s="15">
        <f>IF($D345="","",IFERROR(INDEX(rngCadetPIDs,MATCH($D345,rngCadetNames,0)),"?"))</f>
        <v/>
      </c>
      <c r="F345" s="14" t="n"/>
      <c r="G345" s="14" t="n"/>
      <c r="H345" s="14" t="n"/>
      <c r="I345" s="14" t="n"/>
      <c r="J345" s="14" t="n"/>
      <c r="K345" s="16" t="n"/>
      <c r="L345" s="16" t="n"/>
      <c r="M345" s="14" t="n"/>
      <c r="N345" s="14" t="n"/>
    </row>
    <row r="346">
      <c r="B346" s="15">
        <f>IF($D346="","","C"&amp;TEXT(ROW()-5,"000"))</f>
        <v/>
      </c>
      <c r="C346" s="16" t="n"/>
      <c r="D346" s="14" t="n"/>
      <c r="E346" s="15">
        <f>IF($D346="","",IFERROR(INDEX(rngCadetPIDs,MATCH($D346,rngCadetNames,0)),"?"))</f>
        <v/>
      </c>
      <c r="F346" s="14" t="n"/>
      <c r="G346" s="14" t="n"/>
      <c r="H346" s="14" t="n"/>
      <c r="I346" s="14" t="n"/>
      <c r="J346" s="14" t="n"/>
      <c r="K346" s="16" t="n"/>
      <c r="L346" s="16" t="n"/>
      <c r="M346" s="14" t="n"/>
      <c r="N346" s="14" t="n"/>
    </row>
    <row r="347">
      <c r="B347" s="15">
        <f>IF($D347="","","C"&amp;TEXT(ROW()-5,"000"))</f>
        <v/>
      </c>
      <c r="C347" s="16" t="n"/>
      <c r="D347" s="14" t="n"/>
      <c r="E347" s="15">
        <f>IF($D347="","",IFERROR(INDEX(rngCadetPIDs,MATCH($D347,rngCadetNames,0)),"?"))</f>
        <v/>
      </c>
      <c r="F347" s="14" t="n"/>
      <c r="G347" s="14" t="n"/>
      <c r="H347" s="14" t="n"/>
      <c r="I347" s="14" t="n"/>
      <c r="J347" s="14" t="n"/>
      <c r="K347" s="16" t="n"/>
      <c r="L347" s="16" t="n"/>
      <c r="M347" s="14" t="n"/>
      <c r="N347" s="14" t="n"/>
    </row>
    <row r="348">
      <c r="B348" s="15">
        <f>IF($D348="","","C"&amp;TEXT(ROW()-5,"000"))</f>
        <v/>
      </c>
      <c r="C348" s="16" t="n"/>
      <c r="D348" s="14" t="n"/>
      <c r="E348" s="15">
        <f>IF($D348="","",IFERROR(INDEX(rngCadetPIDs,MATCH($D348,rngCadetNames,0)),"?"))</f>
        <v/>
      </c>
      <c r="F348" s="14" t="n"/>
      <c r="G348" s="14" t="n"/>
      <c r="H348" s="14" t="n"/>
      <c r="I348" s="14" t="n"/>
      <c r="J348" s="14" t="n"/>
      <c r="K348" s="16" t="n"/>
      <c r="L348" s="16" t="n"/>
      <c r="M348" s="14" t="n"/>
      <c r="N348" s="14" t="n"/>
    </row>
    <row r="349">
      <c r="B349" s="15">
        <f>IF($D349="","","C"&amp;TEXT(ROW()-5,"000"))</f>
        <v/>
      </c>
      <c r="C349" s="16" t="n"/>
      <c r="D349" s="14" t="n"/>
      <c r="E349" s="15">
        <f>IF($D349="","",IFERROR(INDEX(rngCadetPIDs,MATCH($D349,rngCadetNames,0)),"?"))</f>
        <v/>
      </c>
      <c r="F349" s="14" t="n"/>
      <c r="G349" s="14" t="n"/>
      <c r="H349" s="14" t="n"/>
      <c r="I349" s="14" t="n"/>
      <c r="J349" s="14" t="n"/>
      <c r="K349" s="16" t="n"/>
      <c r="L349" s="16" t="n"/>
      <c r="M349" s="14" t="n"/>
      <c r="N349" s="14" t="n"/>
    </row>
    <row r="350">
      <c r="B350" s="15">
        <f>IF($D350="","","C"&amp;TEXT(ROW()-5,"000"))</f>
        <v/>
      </c>
      <c r="C350" s="16" t="n"/>
      <c r="D350" s="14" t="n"/>
      <c r="E350" s="15">
        <f>IF($D350="","",IFERROR(INDEX(rngCadetPIDs,MATCH($D350,rngCadetNames,0)),"?"))</f>
        <v/>
      </c>
      <c r="F350" s="14" t="n"/>
      <c r="G350" s="14" t="n"/>
      <c r="H350" s="14" t="n"/>
      <c r="I350" s="14" t="n"/>
      <c r="J350" s="14" t="n"/>
      <c r="K350" s="16" t="n"/>
      <c r="L350" s="16" t="n"/>
      <c r="M350" s="14" t="n"/>
      <c r="N350" s="14" t="n"/>
    </row>
    <row r="351">
      <c r="B351" s="15">
        <f>IF($D351="","","C"&amp;TEXT(ROW()-5,"000"))</f>
        <v/>
      </c>
      <c r="C351" s="16" t="n"/>
      <c r="D351" s="14" t="n"/>
      <c r="E351" s="15">
        <f>IF($D351="","",IFERROR(INDEX(rngCadetPIDs,MATCH($D351,rngCadetNames,0)),"?"))</f>
        <v/>
      </c>
      <c r="F351" s="14" t="n"/>
      <c r="G351" s="14" t="n"/>
      <c r="H351" s="14" t="n"/>
      <c r="I351" s="14" t="n"/>
      <c r="J351" s="14" t="n"/>
      <c r="K351" s="16" t="n"/>
      <c r="L351" s="16" t="n"/>
      <c r="M351" s="14" t="n"/>
      <c r="N351" s="14" t="n"/>
    </row>
    <row r="352">
      <c r="B352" s="15">
        <f>IF($D352="","","C"&amp;TEXT(ROW()-5,"000"))</f>
        <v/>
      </c>
      <c r="C352" s="16" t="n"/>
      <c r="D352" s="14" t="n"/>
      <c r="E352" s="15">
        <f>IF($D352="","",IFERROR(INDEX(rngCadetPIDs,MATCH($D352,rngCadetNames,0)),"?"))</f>
        <v/>
      </c>
      <c r="F352" s="14" t="n"/>
      <c r="G352" s="14" t="n"/>
      <c r="H352" s="14" t="n"/>
      <c r="I352" s="14" t="n"/>
      <c r="J352" s="14" t="n"/>
      <c r="K352" s="16" t="n"/>
      <c r="L352" s="16" t="n"/>
      <c r="M352" s="14" t="n"/>
      <c r="N352" s="14" t="n"/>
    </row>
    <row r="353">
      <c r="B353" s="15">
        <f>IF($D353="","","C"&amp;TEXT(ROW()-5,"000"))</f>
        <v/>
      </c>
      <c r="C353" s="16" t="n"/>
      <c r="D353" s="14" t="n"/>
      <c r="E353" s="15">
        <f>IF($D353="","",IFERROR(INDEX(rngCadetPIDs,MATCH($D353,rngCadetNames,0)),"?"))</f>
        <v/>
      </c>
      <c r="F353" s="14" t="n"/>
      <c r="G353" s="14" t="n"/>
      <c r="H353" s="14" t="n"/>
      <c r="I353" s="14" t="n"/>
      <c r="J353" s="14" t="n"/>
      <c r="K353" s="16" t="n"/>
      <c r="L353" s="16" t="n"/>
      <c r="M353" s="14" t="n"/>
      <c r="N353" s="14" t="n"/>
    </row>
    <row r="354">
      <c r="B354" s="15">
        <f>IF($D354="","","C"&amp;TEXT(ROW()-5,"000"))</f>
        <v/>
      </c>
      <c r="C354" s="16" t="n"/>
      <c r="D354" s="14" t="n"/>
      <c r="E354" s="15">
        <f>IF($D354="","",IFERROR(INDEX(rngCadetPIDs,MATCH($D354,rngCadetNames,0)),"?"))</f>
        <v/>
      </c>
      <c r="F354" s="14" t="n"/>
      <c r="G354" s="14" t="n"/>
      <c r="H354" s="14" t="n"/>
      <c r="I354" s="14" t="n"/>
      <c r="J354" s="14" t="n"/>
      <c r="K354" s="16" t="n"/>
      <c r="L354" s="16" t="n"/>
      <c r="M354" s="14" t="n"/>
      <c r="N354" s="14" t="n"/>
    </row>
    <row r="355">
      <c r="B355" s="15">
        <f>IF($D355="","","C"&amp;TEXT(ROW()-5,"000"))</f>
        <v/>
      </c>
      <c r="C355" s="16" t="n"/>
      <c r="D355" s="14" t="n"/>
      <c r="E355" s="15">
        <f>IF($D355="","",IFERROR(INDEX(rngCadetPIDs,MATCH($D355,rngCadetNames,0)),"?"))</f>
        <v/>
      </c>
      <c r="F355" s="14" t="n"/>
      <c r="G355" s="14" t="n"/>
      <c r="H355" s="14" t="n"/>
      <c r="I355" s="14" t="n"/>
      <c r="J355" s="14" t="n"/>
      <c r="K355" s="16" t="n"/>
      <c r="L355" s="16" t="n"/>
      <c r="M355" s="14" t="n"/>
      <c r="N355" s="14" t="n"/>
    </row>
    <row r="356">
      <c r="B356" s="15">
        <f>IF($D356="","","C"&amp;TEXT(ROW()-5,"000"))</f>
        <v/>
      </c>
      <c r="C356" s="16" t="n"/>
      <c r="D356" s="14" t="n"/>
      <c r="E356" s="15">
        <f>IF($D356="","",IFERROR(INDEX(rngCadetPIDs,MATCH($D356,rngCadetNames,0)),"?"))</f>
        <v/>
      </c>
      <c r="F356" s="14" t="n"/>
      <c r="G356" s="14" t="n"/>
      <c r="H356" s="14" t="n"/>
      <c r="I356" s="14" t="n"/>
      <c r="J356" s="14" t="n"/>
      <c r="K356" s="16" t="n"/>
      <c r="L356" s="16" t="n"/>
      <c r="M356" s="14" t="n"/>
      <c r="N356" s="14" t="n"/>
    </row>
    <row r="357">
      <c r="B357" s="15">
        <f>IF($D357="","","C"&amp;TEXT(ROW()-5,"000"))</f>
        <v/>
      </c>
      <c r="C357" s="16" t="n"/>
      <c r="D357" s="14" t="n"/>
      <c r="E357" s="15">
        <f>IF($D357="","",IFERROR(INDEX(rngCadetPIDs,MATCH($D357,rngCadetNames,0)),"?"))</f>
        <v/>
      </c>
      <c r="F357" s="14" t="n"/>
      <c r="G357" s="14" t="n"/>
      <c r="H357" s="14" t="n"/>
      <c r="I357" s="14" t="n"/>
      <c r="J357" s="14" t="n"/>
      <c r="K357" s="16" t="n"/>
      <c r="L357" s="16" t="n"/>
      <c r="M357" s="14" t="n"/>
      <c r="N357" s="14" t="n"/>
    </row>
    <row r="358">
      <c r="B358" s="15">
        <f>IF($D358="","","C"&amp;TEXT(ROW()-5,"000"))</f>
        <v/>
      </c>
      <c r="C358" s="16" t="n"/>
      <c r="D358" s="14" t="n"/>
      <c r="E358" s="15">
        <f>IF($D358="","",IFERROR(INDEX(rngCadetPIDs,MATCH($D358,rngCadetNames,0)),"?"))</f>
        <v/>
      </c>
      <c r="F358" s="14" t="n"/>
      <c r="G358" s="14" t="n"/>
      <c r="H358" s="14" t="n"/>
      <c r="I358" s="14" t="n"/>
      <c r="J358" s="14" t="n"/>
      <c r="K358" s="16" t="n"/>
      <c r="L358" s="16" t="n"/>
      <c r="M358" s="14" t="n"/>
      <c r="N358" s="14" t="n"/>
    </row>
    <row r="359">
      <c r="B359" s="15">
        <f>IF($D359="","","C"&amp;TEXT(ROW()-5,"000"))</f>
        <v/>
      </c>
      <c r="C359" s="16" t="n"/>
      <c r="D359" s="14" t="n"/>
      <c r="E359" s="15">
        <f>IF($D359="","",IFERROR(INDEX(rngCadetPIDs,MATCH($D359,rngCadetNames,0)),"?"))</f>
        <v/>
      </c>
      <c r="F359" s="14" t="n"/>
      <c r="G359" s="14" t="n"/>
      <c r="H359" s="14" t="n"/>
      <c r="I359" s="14" t="n"/>
      <c r="J359" s="14" t="n"/>
      <c r="K359" s="16" t="n"/>
      <c r="L359" s="16" t="n"/>
      <c r="M359" s="14" t="n"/>
      <c r="N359" s="14" t="n"/>
    </row>
    <row r="360">
      <c r="B360" s="15">
        <f>IF($D360="","","C"&amp;TEXT(ROW()-5,"000"))</f>
        <v/>
      </c>
      <c r="C360" s="16" t="n"/>
      <c r="D360" s="14" t="n"/>
      <c r="E360" s="15">
        <f>IF($D360="","",IFERROR(INDEX(rngCadetPIDs,MATCH($D360,rngCadetNames,0)),"?"))</f>
        <v/>
      </c>
      <c r="F360" s="14" t="n"/>
      <c r="G360" s="14" t="n"/>
      <c r="H360" s="14" t="n"/>
      <c r="I360" s="14" t="n"/>
      <c r="J360" s="14" t="n"/>
      <c r="K360" s="16" t="n"/>
      <c r="L360" s="16" t="n"/>
      <c r="M360" s="14" t="n"/>
      <c r="N360" s="14" t="n"/>
    </row>
    <row r="361">
      <c r="B361" s="15">
        <f>IF($D361="","","C"&amp;TEXT(ROW()-5,"000"))</f>
        <v/>
      </c>
      <c r="C361" s="16" t="n"/>
      <c r="D361" s="14" t="n"/>
      <c r="E361" s="15">
        <f>IF($D361="","",IFERROR(INDEX(rngCadetPIDs,MATCH($D361,rngCadetNames,0)),"?"))</f>
        <v/>
      </c>
      <c r="F361" s="14" t="n"/>
      <c r="G361" s="14" t="n"/>
      <c r="H361" s="14" t="n"/>
      <c r="I361" s="14" t="n"/>
      <c r="J361" s="14" t="n"/>
      <c r="K361" s="16" t="n"/>
      <c r="L361" s="16" t="n"/>
      <c r="M361" s="14" t="n"/>
      <c r="N361" s="14" t="n"/>
    </row>
    <row r="362">
      <c r="B362" s="15">
        <f>IF($D362="","","C"&amp;TEXT(ROW()-5,"000"))</f>
        <v/>
      </c>
      <c r="C362" s="16" t="n"/>
      <c r="D362" s="14" t="n"/>
      <c r="E362" s="15">
        <f>IF($D362="","",IFERROR(INDEX(rngCadetPIDs,MATCH($D362,rngCadetNames,0)),"?"))</f>
        <v/>
      </c>
      <c r="F362" s="14" t="n"/>
      <c r="G362" s="14" t="n"/>
      <c r="H362" s="14" t="n"/>
      <c r="I362" s="14" t="n"/>
      <c r="J362" s="14" t="n"/>
      <c r="K362" s="16" t="n"/>
      <c r="L362" s="16" t="n"/>
      <c r="M362" s="14" t="n"/>
      <c r="N362" s="14" t="n"/>
    </row>
    <row r="363">
      <c r="B363" s="15">
        <f>IF($D363="","","C"&amp;TEXT(ROW()-5,"000"))</f>
        <v/>
      </c>
      <c r="C363" s="16" t="n"/>
      <c r="D363" s="14" t="n"/>
      <c r="E363" s="15">
        <f>IF($D363="","",IFERROR(INDEX(rngCadetPIDs,MATCH($D363,rngCadetNames,0)),"?"))</f>
        <v/>
      </c>
      <c r="F363" s="14" t="n"/>
      <c r="G363" s="14" t="n"/>
      <c r="H363" s="14" t="n"/>
      <c r="I363" s="14" t="n"/>
      <c r="J363" s="14" t="n"/>
      <c r="K363" s="16" t="n"/>
      <c r="L363" s="16" t="n"/>
      <c r="M363" s="14" t="n"/>
      <c r="N363" s="14" t="n"/>
    </row>
    <row r="364">
      <c r="B364" s="15">
        <f>IF($D364="","","C"&amp;TEXT(ROW()-5,"000"))</f>
        <v/>
      </c>
      <c r="C364" s="16" t="n"/>
      <c r="D364" s="14" t="n"/>
      <c r="E364" s="15">
        <f>IF($D364="","",IFERROR(INDEX(rngCadetPIDs,MATCH($D364,rngCadetNames,0)),"?"))</f>
        <v/>
      </c>
      <c r="F364" s="14" t="n"/>
      <c r="G364" s="14" t="n"/>
      <c r="H364" s="14" t="n"/>
      <c r="I364" s="14" t="n"/>
      <c r="J364" s="14" t="n"/>
      <c r="K364" s="16" t="n"/>
      <c r="L364" s="16" t="n"/>
      <c r="M364" s="14" t="n"/>
      <c r="N364" s="14" t="n"/>
    </row>
    <row r="365">
      <c r="B365" s="15">
        <f>IF($D365="","","C"&amp;TEXT(ROW()-5,"000"))</f>
        <v/>
      </c>
      <c r="C365" s="16" t="n"/>
      <c r="D365" s="14" t="n"/>
      <c r="E365" s="15">
        <f>IF($D365="","",IFERROR(INDEX(rngCadetPIDs,MATCH($D365,rngCadetNames,0)),"?"))</f>
        <v/>
      </c>
      <c r="F365" s="14" t="n"/>
      <c r="G365" s="14" t="n"/>
      <c r="H365" s="14" t="n"/>
      <c r="I365" s="14" t="n"/>
      <c r="J365" s="14" t="n"/>
      <c r="K365" s="16" t="n"/>
      <c r="L365" s="16" t="n"/>
      <c r="M365" s="14" t="n"/>
      <c r="N365" s="14" t="n"/>
    </row>
    <row r="366">
      <c r="B366" s="15">
        <f>IF($D366="","","C"&amp;TEXT(ROW()-5,"000"))</f>
        <v/>
      </c>
      <c r="C366" s="16" t="n"/>
      <c r="D366" s="14" t="n"/>
      <c r="E366" s="15">
        <f>IF($D366="","",IFERROR(INDEX(rngCadetPIDs,MATCH($D366,rngCadetNames,0)),"?"))</f>
        <v/>
      </c>
      <c r="F366" s="14" t="n"/>
      <c r="G366" s="14" t="n"/>
      <c r="H366" s="14" t="n"/>
      <c r="I366" s="14" t="n"/>
      <c r="J366" s="14" t="n"/>
      <c r="K366" s="16" t="n"/>
      <c r="L366" s="16" t="n"/>
      <c r="M366" s="14" t="n"/>
      <c r="N366" s="14" t="n"/>
    </row>
    <row r="367">
      <c r="B367" s="15">
        <f>IF($D367="","","C"&amp;TEXT(ROW()-5,"000"))</f>
        <v/>
      </c>
      <c r="C367" s="16" t="n"/>
      <c r="D367" s="14" t="n"/>
      <c r="E367" s="15">
        <f>IF($D367="","",IFERROR(INDEX(rngCadetPIDs,MATCH($D367,rngCadetNames,0)),"?"))</f>
        <v/>
      </c>
      <c r="F367" s="14" t="n"/>
      <c r="G367" s="14" t="n"/>
      <c r="H367" s="14" t="n"/>
      <c r="I367" s="14" t="n"/>
      <c r="J367" s="14" t="n"/>
      <c r="K367" s="16" t="n"/>
      <c r="L367" s="16" t="n"/>
      <c r="M367" s="14" t="n"/>
      <c r="N367" s="14" t="n"/>
    </row>
    <row r="368">
      <c r="B368" s="15">
        <f>IF($D368="","","C"&amp;TEXT(ROW()-5,"000"))</f>
        <v/>
      </c>
      <c r="C368" s="16" t="n"/>
      <c r="D368" s="14" t="n"/>
      <c r="E368" s="15">
        <f>IF($D368="","",IFERROR(INDEX(rngCadetPIDs,MATCH($D368,rngCadetNames,0)),"?"))</f>
        <v/>
      </c>
      <c r="F368" s="14" t="n"/>
      <c r="G368" s="14" t="n"/>
      <c r="H368" s="14" t="n"/>
      <c r="I368" s="14" t="n"/>
      <c r="J368" s="14" t="n"/>
      <c r="K368" s="16" t="n"/>
      <c r="L368" s="16" t="n"/>
      <c r="M368" s="14" t="n"/>
      <c r="N368" s="14" t="n"/>
    </row>
    <row r="369">
      <c r="B369" s="15">
        <f>IF($D369="","","C"&amp;TEXT(ROW()-5,"000"))</f>
        <v/>
      </c>
      <c r="C369" s="16" t="n"/>
      <c r="D369" s="14" t="n"/>
      <c r="E369" s="15">
        <f>IF($D369="","",IFERROR(INDEX(rngCadetPIDs,MATCH($D369,rngCadetNames,0)),"?"))</f>
        <v/>
      </c>
      <c r="F369" s="14" t="n"/>
      <c r="G369" s="14" t="n"/>
      <c r="H369" s="14" t="n"/>
      <c r="I369" s="14" t="n"/>
      <c r="J369" s="14" t="n"/>
      <c r="K369" s="16" t="n"/>
      <c r="L369" s="16" t="n"/>
      <c r="M369" s="14" t="n"/>
      <c r="N369" s="14" t="n"/>
    </row>
    <row r="370">
      <c r="B370" s="15">
        <f>IF($D370="","","C"&amp;TEXT(ROW()-5,"000"))</f>
        <v/>
      </c>
      <c r="C370" s="16" t="n"/>
      <c r="D370" s="14" t="n"/>
      <c r="E370" s="15">
        <f>IF($D370="","",IFERROR(INDEX(rngCadetPIDs,MATCH($D370,rngCadetNames,0)),"?"))</f>
        <v/>
      </c>
      <c r="F370" s="14" t="n"/>
      <c r="G370" s="14" t="n"/>
      <c r="H370" s="14" t="n"/>
      <c r="I370" s="14" t="n"/>
      <c r="J370" s="14" t="n"/>
      <c r="K370" s="16" t="n"/>
      <c r="L370" s="16" t="n"/>
      <c r="M370" s="14" t="n"/>
      <c r="N370" s="14" t="n"/>
    </row>
    <row r="371">
      <c r="B371" s="15">
        <f>IF($D371="","","C"&amp;TEXT(ROW()-5,"000"))</f>
        <v/>
      </c>
      <c r="C371" s="16" t="n"/>
      <c r="D371" s="14" t="n"/>
      <c r="E371" s="15">
        <f>IF($D371="","",IFERROR(INDEX(rngCadetPIDs,MATCH($D371,rngCadetNames,0)),"?"))</f>
        <v/>
      </c>
      <c r="F371" s="14" t="n"/>
      <c r="G371" s="14" t="n"/>
      <c r="H371" s="14" t="n"/>
      <c r="I371" s="14" t="n"/>
      <c r="J371" s="14" t="n"/>
      <c r="K371" s="16" t="n"/>
      <c r="L371" s="16" t="n"/>
      <c r="M371" s="14" t="n"/>
      <c r="N371" s="14" t="n"/>
    </row>
    <row r="372">
      <c r="B372" s="15">
        <f>IF($D372="","","C"&amp;TEXT(ROW()-5,"000"))</f>
        <v/>
      </c>
      <c r="C372" s="16" t="n"/>
      <c r="D372" s="14" t="n"/>
      <c r="E372" s="15">
        <f>IF($D372="","",IFERROR(INDEX(rngCadetPIDs,MATCH($D372,rngCadetNames,0)),"?"))</f>
        <v/>
      </c>
      <c r="F372" s="14" t="n"/>
      <c r="G372" s="14" t="n"/>
      <c r="H372" s="14" t="n"/>
      <c r="I372" s="14" t="n"/>
      <c r="J372" s="14" t="n"/>
      <c r="K372" s="16" t="n"/>
      <c r="L372" s="16" t="n"/>
      <c r="M372" s="14" t="n"/>
      <c r="N372" s="14" t="n"/>
    </row>
    <row r="373">
      <c r="B373" s="15">
        <f>IF($D373="","","C"&amp;TEXT(ROW()-5,"000"))</f>
        <v/>
      </c>
      <c r="C373" s="16" t="n"/>
      <c r="D373" s="14" t="n"/>
      <c r="E373" s="15">
        <f>IF($D373="","",IFERROR(INDEX(rngCadetPIDs,MATCH($D373,rngCadetNames,0)),"?"))</f>
        <v/>
      </c>
      <c r="F373" s="14" t="n"/>
      <c r="G373" s="14" t="n"/>
      <c r="H373" s="14" t="n"/>
      <c r="I373" s="14" t="n"/>
      <c r="J373" s="14" t="n"/>
      <c r="K373" s="16" t="n"/>
      <c r="L373" s="16" t="n"/>
      <c r="M373" s="14" t="n"/>
      <c r="N373" s="14" t="n"/>
    </row>
    <row r="374">
      <c r="B374" s="15">
        <f>IF($D374="","","C"&amp;TEXT(ROW()-5,"000"))</f>
        <v/>
      </c>
      <c r="C374" s="16" t="n"/>
      <c r="D374" s="14" t="n"/>
      <c r="E374" s="15">
        <f>IF($D374="","",IFERROR(INDEX(rngCadetPIDs,MATCH($D374,rngCadetNames,0)),"?"))</f>
        <v/>
      </c>
      <c r="F374" s="14" t="n"/>
      <c r="G374" s="14" t="n"/>
      <c r="H374" s="14" t="n"/>
      <c r="I374" s="14" t="n"/>
      <c r="J374" s="14" t="n"/>
      <c r="K374" s="16" t="n"/>
      <c r="L374" s="16" t="n"/>
      <c r="M374" s="14" t="n"/>
      <c r="N374" s="14" t="n"/>
    </row>
    <row r="375">
      <c r="B375" s="15">
        <f>IF($D375="","","C"&amp;TEXT(ROW()-5,"000"))</f>
        <v/>
      </c>
      <c r="C375" s="16" t="n"/>
      <c r="D375" s="14" t="n"/>
      <c r="E375" s="15">
        <f>IF($D375="","",IFERROR(INDEX(rngCadetPIDs,MATCH($D375,rngCadetNames,0)),"?"))</f>
        <v/>
      </c>
      <c r="F375" s="14" t="n"/>
      <c r="G375" s="14" t="n"/>
      <c r="H375" s="14" t="n"/>
      <c r="I375" s="14" t="n"/>
      <c r="J375" s="14" t="n"/>
      <c r="K375" s="16" t="n"/>
      <c r="L375" s="16" t="n"/>
      <c r="M375" s="14" t="n"/>
      <c r="N375" s="14" t="n"/>
    </row>
    <row r="376">
      <c r="B376" s="15">
        <f>IF($D376="","","C"&amp;TEXT(ROW()-5,"000"))</f>
        <v/>
      </c>
      <c r="C376" s="16" t="n"/>
      <c r="D376" s="14" t="n"/>
      <c r="E376" s="15">
        <f>IF($D376="","",IFERROR(INDEX(rngCadetPIDs,MATCH($D376,rngCadetNames,0)),"?"))</f>
        <v/>
      </c>
      <c r="F376" s="14" t="n"/>
      <c r="G376" s="14" t="n"/>
      <c r="H376" s="14" t="n"/>
      <c r="I376" s="14" t="n"/>
      <c r="J376" s="14" t="n"/>
      <c r="K376" s="16" t="n"/>
      <c r="L376" s="16" t="n"/>
      <c r="M376" s="14" t="n"/>
      <c r="N376" s="14" t="n"/>
    </row>
    <row r="377">
      <c r="B377" s="15">
        <f>IF($D377="","","C"&amp;TEXT(ROW()-5,"000"))</f>
        <v/>
      </c>
      <c r="C377" s="16" t="n"/>
      <c r="D377" s="14" t="n"/>
      <c r="E377" s="15">
        <f>IF($D377="","",IFERROR(INDEX(rngCadetPIDs,MATCH($D377,rngCadetNames,0)),"?"))</f>
        <v/>
      </c>
      <c r="F377" s="14" t="n"/>
      <c r="G377" s="14" t="n"/>
      <c r="H377" s="14" t="n"/>
      <c r="I377" s="14" t="n"/>
      <c r="J377" s="14" t="n"/>
      <c r="K377" s="16" t="n"/>
      <c r="L377" s="16" t="n"/>
      <c r="M377" s="14" t="n"/>
      <c r="N377" s="14" t="n"/>
    </row>
    <row r="378">
      <c r="B378" s="15">
        <f>IF($D378="","","C"&amp;TEXT(ROW()-5,"000"))</f>
        <v/>
      </c>
      <c r="C378" s="16" t="n"/>
      <c r="D378" s="14" t="n"/>
      <c r="E378" s="15">
        <f>IF($D378="","",IFERROR(INDEX(rngCadetPIDs,MATCH($D378,rngCadetNames,0)),"?"))</f>
        <v/>
      </c>
      <c r="F378" s="14" t="n"/>
      <c r="G378" s="14" t="n"/>
      <c r="H378" s="14" t="n"/>
      <c r="I378" s="14" t="n"/>
      <c r="J378" s="14" t="n"/>
      <c r="K378" s="16" t="n"/>
      <c r="L378" s="16" t="n"/>
      <c r="M378" s="14" t="n"/>
      <c r="N378" s="14" t="n"/>
    </row>
    <row r="379">
      <c r="B379" s="15">
        <f>IF($D379="","","C"&amp;TEXT(ROW()-5,"000"))</f>
        <v/>
      </c>
      <c r="C379" s="16" t="n"/>
      <c r="D379" s="14" t="n"/>
      <c r="E379" s="15">
        <f>IF($D379="","",IFERROR(INDEX(rngCadetPIDs,MATCH($D379,rngCadetNames,0)),"?"))</f>
        <v/>
      </c>
      <c r="F379" s="14" t="n"/>
      <c r="G379" s="14" t="n"/>
      <c r="H379" s="14" t="n"/>
      <c r="I379" s="14" t="n"/>
      <c r="J379" s="14" t="n"/>
      <c r="K379" s="16" t="n"/>
      <c r="L379" s="16" t="n"/>
      <c r="M379" s="14" t="n"/>
      <c r="N379" s="14" t="n"/>
    </row>
    <row r="380">
      <c r="B380" s="15">
        <f>IF($D380="","","C"&amp;TEXT(ROW()-5,"000"))</f>
        <v/>
      </c>
      <c r="C380" s="16" t="n"/>
      <c r="D380" s="14" t="n"/>
      <c r="E380" s="15">
        <f>IF($D380="","",IFERROR(INDEX(rngCadetPIDs,MATCH($D380,rngCadetNames,0)),"?"))</f>
        <v/>
      </c>
      <c r="F380" s="14" t="n"/>
      <c r="G380" s="14" t="n"/>
      <c r="H380" s="14" t="n"/>
      <c r="I380" s="14" t="n"/>
      <c r="J380" s="14" t="n"/>
      <c r="K380" s="16" t="n"/>
      <c r="L380" s="16" t="n"/>
      <c r="M380" s="14" t="n"/>
      <c r="N380" s="14" t="n"/>
    </row>
    <row r="381">
      <c r="B381" s="15">
        <f>IF($D381="","","C"&amp;TEXT(ROW()-5,"000"))</f>
        <v/>
      </c>
      <c r="C381" s="16" t="n"/>
      <c r="D381" s="14" t="n"/>
      <c r="E381" s="15">
        <f>IF($D381="","",IFERROR(INDEX(rngCadetPIDs,MATCH($D381,rngCadetNames,0)),"?"))</f>
        <v/>
      </c>
      <c r="F381" s="14" t="n"/>
      <c r="G381" s="14" t="n"/>
      <c r="H381" s="14" t="n"/>
      <c r="I381" s="14" t="n"/>
      <c r="J381" s="14" t="n"/>
      <c r="K381" s="16" t="n"/>
      <c r="L381" s="16" t="n"/>
      <c r="M381" s="14" t="n"/>
      <c r="N381" s="14" t="n"/>
    </row>
    <row r="382">
      <c r="B382" s="15">
        <f>IF($D382="","","C"&amp;TEXT(ROW()-5,"000"))</f>
        <v/>
      </c>
      <c r="C382" s="16" t="n"/>
      <c r="D382" s="14" t="n"/>
      <c r="E382" s="15">
        <f>IF($D382="","",IFERROR(INDEX(rngCadetPIDs,MATCH($D382,rngCadetNames,0)),"?"))</f>
        <v/>
      </c>
      <c r="F382" s="14" t="n"/>
      <c r="G382" s="14" t="n"/>
      <c r="H382" s="14" t="n"/>
      <c r="I382" s="14" t="n"/>
      <c r="J382" s="14" t="n"/>
      <c r="K382" s="16" t="n"/>
      <c r="L382" s="16" t="n"/>
      <c r="M382" s="14" t="n"/>
      <c r="N382" s="14" t="n"/>
    </row>
    <row r="383">
      <c r="B383" s="15">
        <f>IF($D383="","","C"&amp;TEXT(ROW()-5,"000"))</f>
        <v/>
      </c>
      <c r="C383" s="16" t="n"/>
      <c r="D383" s="14" t="n"/>
      <c r="E383" s="15">
        <f>IF($D383="","",IFERROR(INDEX(rngCadetPIDs,MATCH($D383,rngCadetNames,0)),"?"))</f>
        <v/>
      </c>
      <c r="F383" s="14" t="n"/>
      <c r="G383" s="14" t="n"/>
      <c r="H383" s="14" t="n"/>
      <c r="I383" s="14" t="n"/>
      <c r="J383" s="14" t="n"/>
      <c r="K383" s="16" t="n"/>
      <c r="L383" s="16" t="n"/>
      <c r="M383" s="14" t="n"/>
      <c r="N383" s="14" t="n"/>
    </row>
    <row r="384">
      <c r="B384" s="15">
        <f>IF($D384="","","C"&amp;TEXT(ROW()-5,"000"))</f>
        <v/>
      </c>
      <c r="C384" s="16" t="n"/>
      <c r="D384" s="14" t="n"/>
      <c r="E384" s="15">
        <f>IF($D384="","",IFERROR(INDEX(rngCadetPIDs,MATCH($D384,rngCadetNames,0)),"?"))</f>
        <v/>
      </c>
      <c r="F384" s="14" t="n"/>
      <c r="G384" s="14" t="n"/>
      <c r="H384" s="14" t="n"/>
      <c r="I384" s="14" t="n"/>
      <c r="J384" s="14" t="n"/>
      <c r="K384" s="16" t="n"/>
      <c r="L384" s="16" t="n"/>
      <c r="M384" s="14" t="n"/>
      <c r="N384" s="14" t="n"/>
    </row>
    <row r="385">
      <c r="B385" s="15">
        <f>IF($D385="","","C"&amp;TEXT(ROW()-5,"000"))</f>
        <v/>
      </c>
      <c r="C385" s="16" t="n"/>
      <c r="D385" s="14" t="n"/>
      <c r="E385" s="15">
        <f>IF($D385="","",IFERROR(INDEX(rngCadetPIDs,MATCH($D385,rngCadetNames,0)),"?"))</f>
        <v/>
      </c>
      <c r="F385" s="14" t="n"/>
      <c r="G385" s="14" t="n"/>
      <c r="H385" s="14" t="n"/>
      <c r="I385" s="14" t="n"/>
      <c r="J385" s="14" t="n"/>
      <c r="K385" s="16" t="n"/>
      <c r="L385" s="16" t="n"/>
      <c r="M385" s="14" t="n"/>
      <c r="N385" s="14" t="n"/>
    </row>
    <row r="386">
      <c r="B386" s="15">
        <f>IF($D386="","","C"&amp;TEXT(ROW()-5,"000"))</f>
        <v/>
      </c>
      <c r="C386" s="16" t="n"/>
      <c r="D386" s="14" t="n"/>
      <c r="E386" s="15">
        <f>IF($D386="","",IFERROR(INDEX(rngCadetPIDs,MATCH($D386,rngCadetNames,0)),"?"))</f>
        <v/>
      </c>
      <c r="F386" s="14" t="n"/>
      <c r="G386" s="14" t="n"/>
      <c r="H386" s="14" t="n"/>
      <c r="I386" s="14" t="n"/>
      <c r="J386" s="14" t="n"/>
      <c r="K386" s="16" t="n"/>
      <c r="L386" s="16" t="n"/>
      <c r="M386" s="14" t="n"/>
      <c r="N386" s="14" t="n"/>
    </row>
    <row r="387">
      <c r="B387" s="15">
        <f>IF($D387="","","C"&amp;TEXT(ROW()-5,"000"))</f>
        <v/>
      </c>
      <c r="C387" s="16" t="n"/>
      <c r="D387" s="14" t="n"/>
      <c r="E387" s="15">
        <f>IF($D387="","",IFERROR(INDEX(rngCadetPIDs,MATCH($D387,rngCadetNames,0)),"?"))</f>
        <v/>
      </c>
      <c r="F387" s="14" t="n"/>
      <c r="G387" s="14" t="n"/>
      <c r="H387" s="14" t="n"/>
      <c r="I387" s="14" t="n"/>
      <c r="J387" s="14" t="n"/>
      <c r="K387" s="16" t="n"/>
      <c r="L387" s="16" t="n"/>
      <c r="M387" s="14" t="n"/>
      <c r="N387" s="14" t="n"/>
    </row>
    <row r="388">
      <c r="B388" s="15">
        <f>IF($D388="","","C"&amp;TEXT(ROW()-5,"000"))</f>
        <v/>
      </c>
      <c r="C388" s="16" t="n"/>
      <c r="D388" s="14" t="n"/>
      <c r="E388" s="15">
        <f>IF($D388="","",IFERROR(INDEX(rngCadetPIDs,MATCH($D388,rngCadetNames,0)),"?"))</f>
        <v/>
      </c>
      <c r="F388" s="14" t="n"/>
      <c r="G388" s="14" t="n"/>
      <c r="H388" s="14" t="n"/>
      <c r="I388" s="14" t="n"/>
      <c r="J388" s="14" t="n"/>
      <c r="K388" s="16" t="n"/>
      <c r="L388" s="16" t="n"/>
      <c r="M388" s="14" t="n"/>
      <c r="N388" s="14" t="n"/>
    </row>
    <row r="389">
      <c r="B389" s="15">
        <f>IF($D389="","","C"&amp;TEXT(ROW()-5,"000"))</f>
        <v/>
      </c>
      <c r="C389" s="16" t="n"/>
      <c r="D389" s="14" t="n"/>
      <c r="E389" s="15">
        <f>IF($D389="","",IFERROR(INDEX(rngCadetPIDs,MATCH($D389,rngCadetNames,0)),"?"))</f>
        <v/>
      </c>
      <c r="F389" s="14" t="n"/>
      <c r="G389" s="14" t="n"/>
      <c r="H389" s="14" t="n"/>
      <c r="I389" s="14" t="n"/>
      <c r="J389" s="14" t="n"/>
      <c r="K389" s="16" t="n"/>
      <c r="L389" s="16" t="n"/>
      <c r="M389" s="14" t="n"/>
      <c r="N389" s="14" t="n"/>
    </row>
    <row r="390">
      <c r="B390" s="15">
        <f>IF($D390="","","C"&amp;TEXT(ROW()-5,"000"))</f>
        <v/>
      </c>
      <c r="C390" s="16" t="n"/>
      <c r="D390" s="14" t="n"/>
      <c r="E390" s="15">
        <f>IF($D390="","",IFERROR(INDEX(rngCadetPIDs,MATCH($D390,rngCadetNames,0)),"?"))</f>
        <v/>
      </c>
      <c r="F390" s="14" t="n"/>
      <c r="G390" s="14" t="n"/>
      <c r="H390" s="14" t="n"/>
      <c r="I390" s="14" t="n"/>
      <c r="J390" s="14" t="n"/>
      <c r="K390" s="16" t="n"/>
      <c r="L390" s="16" t="n"/>
      <c r="M390" s="14" t="n"/>
      <c r="N390" s="14" t="n"/>
    </row>
    <row r="391">
      <c r="B391" s="15">
        <f>IF($D391="","","C"&amp;TEXT(ROW()-5,"000"))</f>
        <v/>
      </c>
      <c r="C391" s="16" t="n"/>
      <c r="D391" s="14" t="n"/>
      <c r="E391" s="15">
        <f>IF($D391="","",IFERROR(INDEX(rngCadetPIDs,MATCH($D391,rngCadetNames,0)),"?"))</f>
        <v/>
      </c>
      <c r="F391" s="14" t="n"/>
      <c r="G391" s="14" t="n"/>
      <c r="H391" s="14" t="n"/>
      <c r="I391" s="14" t="n"/>
      <c r="J391" s="14" t="n"/>
      <c r="K391" s="16" t="n"/>
      <c r="L391" s="16" t="n"/>
      <c r="M391" s="14" t="n"/>
      <c r="N391" s="14" t="n"/>
    </row>
    <row r="392">
      <c r="B392" s="15">
        <f>IF($D392="","","C"&amp;TEXT(ROW()-5,"000"))</f>
        <v/>
      </c>
      <c r="C392" s="16" t="n"/>
      <c r="D392" s="14" t="n"/>
      <c r="E392" s="15">
        <f>IF($D392="","",IFERROR(INDEX(rngCadetPIDs,MATCH($D392,rngCadetNames,0)),"?"))</f>
        <v/>
      </c>
      <c r="F392" s="14" t="n"/>
      <c r="G392" s="14" t="n"/>
      <c r="H392" s="14" t="n"/>
      <c r="I392" s="14" t="n"/>
      <c r="J392" s="14" t="n"/>
      <c r="K392" s="16" t="n"/>
      <c r="L392" s="16" t="n"/>
      <c r="M392" s="14" t="n"/>
      <c r="N392" s="14" t="n"/>
    </row>
    <row r="393">
      <c r="B393" s="15">
        <f>IF($D393="","","C"&amp;TEXT(ROW()-5,"000"))</f>
        <v/>
      </c>
      <c r="C393" s="16" t="n"/>
      <c r="D393" s="14" t="n"/>
      <c r="E393" s="15">
        <f>IF($D393="","",IFERROR(INDEX(rngCadetPIDs,MATCH($D393,rngCadetNames,0)),"?"))</f>
        <v/>
      </c>
      <c r="F393" s="14" t="n"/>
      <c r="G393" s="14" t="n"/>
      <c r="H393" s="14" t="n"/>
      <c r="I393" s="14" t="n"/>
      <c r="J393" s="14" t="n"/>
      <c r="K393" s="16" t="n"/>
      <c r="L393" s="16" t="n"/>
      <c r="M393" s="14" t="n"/>
      <c r="N393" s="14" t="n"/>
    </row>
    <row r="394">
      <c r="B394" s="15">
        <f>IF($D394="","","C"&amp;TEXT(ROW()-5,"000"))</f>
        <v/>
      </c>
      <c r="C394" s="16" t="n"/>
      <c r="D394" s="14" t="n"/>
      <c r="E394" s="15">
        <f>IF($D394="","",IFERROR(INDEX(rngCadetPIDs,MATCH($D394,rngCadetNames,0)),"?"))</f>
        <v/>
      </c>
      <c r="F394" s="14" t="n"/>
      <c r="G394" s="14" t="n"/>
      <c r="H394" s="14" t="n"/>
      <c r="I394" s="14" t="n"/>
      <c r="J394" s="14" t="n"/>
      <c r="K394" s="16" t="n"/>
      <c r="L394" s="16" t="n"/>
      <c r="M394" s="14" t="n"/>
      <c r="N394" s="14" t="n"/>
    </row>
    <row r="395">
      <c r="B395" s="15">
        <f>IF($D395="","","C"&amp;TEXT(ROW()-5,"000"))</f>
        <v/>
      </c>
      <c r="C395" s="16" t="n"/>
      <c r="D395" s="14" t="n"/>
      <c r="E395" s="15">
        <f>IF($D395="","",IFERROR(INDEX(rngCadetPIDs,MATCH($D395,rngCadetNames,0)),"?"))</f>
        <v/>
      </c>
      <c r="F395" s="14" t="n"/>
      <c r="G395" s="14" t="n"/>
      <c r="H395" s="14" t="n"/>
      <c r="I395" s="14" t="n"/>
      <c r="J395" s="14" t="n"/>
      <c r="K395" s="16" t="n"/>
      <c r="L395" s="16" t="n"/>
      <c r="M395" s="14" t="n"/>
      <c r="N395" s="14" t="n"/>
    </row>
    <row r="396">
      <c r="B396" s="15">
        <f>IF($D396="","","C"&amp;TEXT(ROW()-5,"000"))</f>
        <v/>
      </c>
      <c r="C396" s="16" t="n"/>
      <c r="D396" s="14" t="n"/>
      <c r="E396" s="15">
        <f>IF($D396="","",IFERROR(INDEX(rngCadetPIDs,MATCH($D396,rngCadetNames,0)),"?"))</f>
        <v/>
      </c>
      <c r="F396" s="14" t="n"/>
      <c r="G396" s="14" t="n"/>
      <c r="H396" s="14" t="n"/>
      <c r="I396" s="14" t="n"/>
      <c r="J396" s="14" t="n"/>
      <c r="K396" s="16" t="n"/>
      <c r="L396" s="16" t="n"/>
      <c r="M396" s="14" t="n"/>
      <c r="N396" s="14" t="n"/>
    </row>
    <row r="397">
      <c r="B397" s="15">
        <f>IF($D397="","","C"&amp;TEXT(ROW()-5,"000"))</f>
        <v/>
      </c>
      <c r="C397" s="16" t="n"/>
      <c r="D397" s="14" t="n"/>
      <c r="E397" s="15">
        <f>IF($D397="","",IFERROR(INDEX(rngCadetPIDs,MATCH($D397,rngCadetNames,0)),"?"))</f>
        <v/>
      </c>
      <c r="F397" s="14" t="n"/>
      <c r="G397" s="14" t="n"/>
      <c r="H397" s="14" t="n"/>
      <c r="I397" s="14" t="n"/>
      <c r="J397" s="14" t="n"/>
      <c r="K397" s="16" t="n"/>
      <c r="L397" s="16" t="n"/>
      <c r="M397" s="14" t="n"/>
      <c r="N397" s="14" t="n"/>
    </row>
    <row r="398">
      <c r="B398" s="15">
        <f>IF($D398="","","C"&amp;TEXT(ROW()-5,"000"))</f>
        <v/>
      </c>
      <c r="C398" s="16" t="n"/>
      <c r="D398" s="14" t="n"/>
      <c r="E398" s="15">
        <f>IF($D398="","",IFERROR(INDEX(rngCadetPIDs,MATCH($D398,rngCadetNames,0)),"?"))</f>
        <v/>
      </c>
      <c r="F398" s="14" t="n"/>
      <c r="G398" s="14" t="n"/>
      <c r="H398" s="14" t="n"/>
      <c r="I398" s="14" t="n"/>
      <c r="J398" s="14" t="n"/>
      <c r="K398" s="16" t="n"/>
      <c r="L398" s="16" t="n"/>
      <c r="M398" s="14" t="n"/>
      <c r="N398" s="14" t="n"/>
    </row>
    <row r="399">
      <c r="B399" s="15">
        <f>IF($D399="","","C"&amp;TEXT(ROW()-5,"000"))</f>
        <v/>
      </c>
      <c r="C399" s="16" t="n"/>
      <c r="D399" s="14" t="n"/>
      <c r="E399" s="15">
        <f>IF($D399="","",IFERROR(INDEX(rngCadetPIDs,MATCH($D399,rngCadetNames,0)),"?"))</f>
        <v/>
      </c>
      <c r="F399" s="14" t="n"/>
      <c r="G399" s="14" t="n"/>
      <c r="H399" s="14" t="n"/>
      <c r="I399" s="14" t="n"/>
      <c r="J399" s="14" t="n"/>
      <c r="K399" s="16" t="n"/>
      <c r="L399" s="16" t="n"/>
      <c r="M399" s="14" t="n"/>
      <c r="N399" s="14" t="n"/>
    </row>
    <row r="400">
      <c r="B400" s="15">
        <f>IF($D400="","","C"&amp;TEXT(ROW()-5,"000"))</f>
        <v/>
      </c>
      <c r="C400" s="16" t="n"/>
      <c r="D400" s="14" t="n"/>
      <c r="E400" s="15">
        <f>IF($D400="","",IFERROR(INDEX(rngCadetPIDs,MATCH($D400,rngCadetNames,0)),"?"))</f>
        <v/>
      </c>
      <c r="F400" s="14" t="n"/>
      <c r="G400" s="14" t="n"/>
      <c r="H400" s="14" t="n"/>
      <c r="I400" s="14" t="n"/>
      <c r="J400" s="14" t="n"/>
      <c r="K400" s="16" t="n"/>
      <c r="L400" s="16" t="n"/>
      <c r="M400" s="14" t="n"/>
      <c r="N400" s="14" t="n"/>
    </row>
    <row r="401">
      <c r="B401" s="15">
        <f>IF($D401="","","C"&amp;TEXT(ROW()-5,"000"))</f>
        <v/>
      </c>
      <c r="C401" s="16" t="n"/>
      <c r="D401" s="14" t="n"/>
      <c r="E401" s="15">
        <f>IF($D401="","",IFERROR(INDEX(rngCadetPIDs,MATCH($D401,rngCadetNames,0)),"?"))</f>
        <v/>
      </c>
      <c r="F401" s="14" t="n"/>
      <c r="G401" s="14" t="n"/>
      <c r="H401" s="14" t="n"/>
      <c r="I401" s="14" t="n"/>
      <c r="J401" s="14" t="n"/>
      <c r="K401" s="16" t="n"/>
      <c r="L401" s="16" t="n"/>
      <c r="M401" s="14" t="n"/>
      <c r="N401" s="14" t="n"/>
    </row>
    <row r="402">
      <c r="B402" s="15">
        <f>IF($D402="","","C"&amp;TEXT(ROW()-5,"000"))</f>
        <v/>
      </c>
      <c r="C402" s="16" t="n"/>
      <c r="D402" s="14" t="n"/>
      <c r="E402" s="15">
        <f>IF($D402="","",IFERROR(INDEX(rngCadetPIDs,MATCH($D402,rngCadetNames,0)),"?"))</f>
        <v/>
      </c>
      <c r="F402" s="14" t="n"/>
      <c r="G402" s="14" t="n"/>
      <c r="H402" s="14" t="n"/>
      <c r="I402" s="14" t="n"/>
      <c r="J402" s="14" t="n"/>
      <c r="K402" s="16" t="n"/>
      <c r="L402" s="16" t="n"/>
      <c r="M402" s="14" t="n"/>
      <c r="N402" s="14" t="n"/>
    </row>
    <row r="403">
      <c r="B403" s="15">
        <f>IF($D403="","","C"&amp;TEXT(ROW()-5,"000"))</f>
        <v/>
      </c>
      <c r="C403" s="16" t="n"/>
      <c r="D403" s="14" t="n"/>
      <c r="E403" s="15">
        <f>IF($D403="","",IFERROR(INDEX(rngCadetPIDs,MATCH($D403,rngCadetNames,0)),"?"))</f>
        <v/>
      </c>
      <c r="F403" s="14" t="n"/>
      <c r="G403" s="14" t="n"/>
      <c r="H403" s="14" t="n"/>
      <c r="I403" s="14" t="n"/>
      <c r="J403" s="14" t="n"/>
      <c r="K403" s="16" t="n"/>
      <c r="L403" s="16" t="n"/>
      <c r="M403" s="14" t="n"/>
      <c r="N403" s="14" t="n"/>
    </row>
    <row r="404">
      <c r="B404" s="15">
        <f>IF($D404="","","C"&amp;TEXT(ROW()-5,"000"))</f>
        <v/>
      </c>
      <c r="C404" s="16" t="n"/>
      <c r="D404" s="14" t="n"/>
      <c r="E404" s="15">
        <f>IF($D404="","",IFERROR(INDEX(rngCadetPIDs,MATCH($D404,rngCadetNames,0)),"?"))</f>
        <v/>
      </c>
      <c r="F404" s="14" t="n"/>
      <c r="G404" s="14" t="n"/>
      <c r="H404" s="14" t="n"/>
      <c r="I404" s="14" t="n"/>
      <c r="J404" s="14" t="n"/>
      <c r="K404" s="16" t="n"/>
      <c r="L404" s="16" t="n"/>
      <c r="M404" s="14" t="n"/>
      <c r="N404" s="14" t="n"/>
    </row>
    <row r="405">
      <c r="B405" s="15">
        <f>IF($D405="","","C"&amp;TEXT(ROW()-5,"000"))</f>
        <v/>
      </c>
      <c r="C405" s="16" t="n"/>
      <c r="D405" s="14" t="n"/>
      <c r="E405" s="15">
        <f>IF($D405="","",IFERROR(INDEX(rngCadetPIDs,MATCH($D405,rngCadetNames,0)),"?"))</f>
        <v/>
      </c>
      <c r="F405" s="14" t="n"/>
      <c r="G405" s="14" t="n"/>
      <c r="H405" s="14" t="n"/>
      <c r="I405" s="14" t="n"/>
      <c r="J405" s="14" t="n"/>
      <c r="K405" s="16" t="n"/>
      <c r="L405" s="16" t="n"/>
      <c r="M405" s="14" t="n"/>
      <c r="N405" s="14"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row r="2"/>
    <row r="3"/>
    <row r="4">
      <c r="B4" s="8"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9" t="inlineStr">
        <is>
          <t>PID</t>
        </is>
      </c>
      <c r="C5" s="9" t="inlineStr">
        <is>
          <t>Cadet Name</t>
        </is>
      </c>
      <c r="D5" s="9" t="inlineStr">
        <is>
          <t>Base Bench</t>
        </is>
      </c>
      <c r="E5" s="9" t="inlineStr">
        <is>
          <t>Base VertJump</t>
        </is>
      </c>
      <c r="F5" s="9" t="inlineStr">
        <is>
          <t>Base Pushups</t>
        </is>
      </c>
      <c r="G5" s="9" t="inlineStr">
        <is>
          <t>Base Situps</t>
        </is>
      </c>
      <c r="H5" s="9" t="inlineStr">
        <is>
          <t>Base Agility</t>
        </is>
      </c>
      <c r="I5" s="9" t="inlineStr">
        <is>
          <t>Base 1.5Mi</t>
        </is>
      </c>
      <c r="J5" s="9" t="inlineStr">
        <is>
          <t>Base 300m</t>
        </is>
      </c>
      <c r="K5" s="9" t="inlineStr">
        <is>
          <t>Baseline Pass?</t>
        </is>
      </c>
      <c r="L5" s="9" t="inlineStr">
        <is>
          <t>Midpoint Done?</t>
        </is>
      </c>
      <c r="M5" s="9" t="inlineStr">
        <is>
          <t>Final Bench</t>
        </is>
      </c>
      <c r="N5" s="9" t="inlineStr">
        <is>
          <t>Final VertJump</t>
        </is>
      </c>
      <c r="O5" s="9" t="inlineStr">
        <is>
          <t>Final Pushups</t>
        </is>
      </c>
      <c r="P5" s="9" t="inlineStr">
        <is>
          <t>Final Situps</t>
        </is>
      </c>
      <c r="Q5" s="9" t="inlineStr">
        <is>
          <t>Final Agility</t>
        </is>
      </c>
      <c r="R5" s="9" t="inlineStr">
        <is>
          <t>Final 1.5Mi</t>
        </is>
      </c>
      <c r="S5" s="9" t="inlineStr">
        <is>
          <t>Final 300m</t>
        </is>
      </c>
      <c r="T5" s="9" t="inlineStr">
        <is>
          <t>Pts Bench</t>
        </is>
      </c>
      <c r="U5" s="9" t="inlineStr">
        <is>
          <t>Pts VertJump</t>
        </is>
      </c>
      <c r="V5" s="9" t="inlineStr">
        <is>
          <t>Pts Pushups</t>
        </is>
      </c>
      <c r="W5" s="9" t="inlineStr">
        <is>
          <t>Pts Situps</t>
        </is>
      </c>
      <c r="X5" s="9" t="inlineStr">
        <is>
          <t>Pts Agility</t>
        </is>
      </c>
      <c r="Y5" s="9" t="inlineStr">
        <is>
          <t>Pts 1.5Mi</t>
        </is>
      </c>
      <c r="Z5" s="9" t="inlineStr">
        <is>
          <t>Pts 300m</t>
        </is>
      </c>
      <c r="AA5" s="9" t="inlineStr">
        <is>
          <t>Final Points</t>
        </is>
      </c>
      <c r="AB5" s="9" t="inlineStr">
        <is>
          <t>Final PT Pass?</t>
        </is>
      </c>
      <c r="AC5" s="9" t="inlineStr">
        <is>
          <t>Improvement Index</t>
        </is>
      </c>
    </row>
    <row r="6">
      <c r="B6" s="15">
        <f>IF(Cadets!$B6="","",Cadets!$B6)</f>
        <v/>
      </c>
      <c r="C6" s="15">
        <f>IF(Cadets!$B6="","",Cadets!$F6)</f>
        <v/>
      </c>
      <c r="D6" s="14" t="n"/>
      <c r="E6" s="14" t="n"/>
      <c r="F6" s="14" t="n"/>
      <c r="G6" s="14" t="n"/>
      <c r="H6" s="14" t="n"/>
      <c r="I6" s="14" t="n"/>
      <c r="J6" s="14" t="n"/>
      <c r="K6" s="14" t="n"/>
      <c r="L6" s="14" t="n"/>
      <c r="M6" s="14" t="n"/>
      <c r="N6" s="14" t="n"/>
      <c r="O6" s="14" t="n"/>
      <c r="P6" s="14" t="n"/>
      <c r="Q6" s="14" t="n"/>
      <c r="R6" s="14" t="n"/>
      <c r="S6" s="14" t="n"/>
      <c r="T6" s="19" t="n"/>
      <c r="U6" s="19" t="n"/>
      <c r="V6" s="19" t="n"/>
      <c r="W6" s="19" t="n"/>
      <c r="X6" s="19" t="n"/>
      <c r="Y6" s="19" t="n"/>
      <c r="Z6" s="19" t="n"/>
      <c r="AA6" s="15">
        <f>IF($B6="","",IF(COUNT(T6:Z6)=0,"",SUM(T6:Z6)))</f>
        <v/>
      </c>
      <c r="AB6" s="15">
        <f>IF($B6="","",IF($AA6="","",IF(cfgPTFinalMinPoints=0,"(rubric pending)",IF($AA6&gt;=cfgPTFinalMinPoints,"Yes","No"))))</f>
        <v/>
      </c>
      <c r="AC6" s="15">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5">
        <f>IF(Cadets!$B7="","",Cadets!$B7)</f>
        <v/>
      </c>
      <c r="C7" s="15">
        <f>IF(Cadets!$B7="","",Cadets!$F7)</f>
        <v/>
      </c>
      <c r="D7" s="14" t="n"/>
      <c r="E7" s="14" t="n"/>
      <c r="F7" s="14" t="n"/>
      <c r="G7" s="14" t="n"/>
      <c r="H7" s="14" t="n"/>
      <c r="I7" s="14" t="n"/>
      <c r="J7" s="14" t="n"/>
      <c r="K7" s="14" t="n"/>
      <c r="L7" s="14" t="n"/>
      <c r="M7" s="14" t="n"/>
      <c r="N7" s="14" t="n"/>
      <c r="O7" s="14" t="n"/>
      <c r="P7" s="14" t="n"/>
      <c r="Q7" s="14" t="n"/>
      <c r="R7" s="14" t="n"/>
      <c r="S7" s="14" t="n"/>
      <c r="T7" s="19" t="n"/>
      <c r="U7" s="19" t="n"/>
      <c r="V7" s="19" t="n"/>
      <c r="W7" s="19" t="n"/>
      <c r="X7" s="19" t="n"/>
      <c r="Y7" s="19" t="n"/>
      <c r="Z7" s="19" t="n"/>
      <c r="AA7" s="15">
        <f>IF($B7="","",IF(COUNT(T7:Z7)=0,"",SUM(T7:Z7)))</f>
        <v/>
      </c>
      <c r="AB7" s="15">
        <f>IF($B7="","",IF($AA7="","",IF(cfgPTFinalMinPoints=0,"(rubric pending)",IF($AA7&gt;=cfgPTFinalMinPoints,"Yes","No"))))</f>
        <v/>
      </c>
      <c r="AC7" s="15">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5">
        <f>IF(Cadets!$B8="","",Cadets!$B8)</f>
        <v/>
      </c>
      <c r="C8" s="15">
        <f>IF(Cadets!$B8="","",Cadets!$F8)</f>
        <v/>
      </c>
      <c r="D8" s="14" t="n"/>
      <c r="E8" s="14" t="n"/>
      <c r="F8" s="14" t="n"/>
      <c r="G8" s="14" t="n"/>
      <c r="H8" s="14" t="n"/>
      <c r="I8" s="14" t="n"/>
      <c r="J8" s="14" t="n"/>
      <c r="K8" s="14" t="n"/>
      <c r="L8" s="14" t="n"/>
      <c r="M8" s="14" t="n"/>
      <c r="N8" s="14" t="n"/>
      <c r="O8" s="14" t="n"/>
      <c r="P8" s="14" t="n"/>
      <c r="Q8" s="14" t="n"/>
      <c r="R8" s="14" t="n"/>
      <c r="S8" s="14" t="n"/>
      <c r="T8" s="19" t="n"/>
      <c r="U8" s="19" t="n"/>
      <c r="V8" s="19" t="n"/>
      <c r="W8" s="19" t="n"/>
      <c r="X8" s="19" t="n"/>
      <c r="Y8" s="19" t="n"/>
      <c r="Z8" s="19" t="n"/>
      <c r="AA8" s="15">
        <f>IF($B8="","",IF(COUNT(T8:Z8)=0,"",SUM(T8:Z8)))</f>
        <v/>
      </c>
      <c r="AB8" s="15">
        <f>IF($B8="","",IF($AA8="","",IF(cfgPTFinalMinPoints=0,"(rubric pending)",IF($AA8&gt;=cfgPTFinalMinPoints,"Yes","No"))))</f>
        <v/>
      </c>
      <c r="AC8" s="15">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5">
        <f>IF(Cadets!$B9="","",Cadets!$B9)</f>
        <v/>
      </c>
      <c r="C9" s="15">
        <f>IF(Cadets!$B9="","",Cadets!$F9)</f>
        <v/>
      </c>
      <c r="D9" s="14" t="n"/>
      <c r="E9" s="14" t="n"/>
      <c r="F9" s="14" t="n"/>
      <c r="G9" s="14" t="n"/>
      <c r="H9" s="14" t="n"/>
      <c r="I9" s="14" t="n"/>
      <c r="J9" s="14" t="n"/>
      <c r="K9" s="14" t="n"/>
      <c r="L9" s="14" t="n"/>
      <c r="M9" s="14" t="n"/>
      <c r="N9" s="14" t="n"/>
      <c r="O9" s="14" t="n"/>
      <c r="P9" s="14" t="n"/>
      <c r="Q9" s="14" t="n"/>
      <c r="R9" s="14" t="n"/>
      <c r="S9" s="14" t="n"/>
      <c r="T9" s="19" t="n"/>
      <c r="U9" s="19" t="n"/>
      <c r="V9" s="19" t="n"/>
      <c r="W9" s="19" t="n"/>
      <c r="X9" s="19" t="n"/>
      <c r="Y9" s="19" t="n"/>
      <c r="Z9" s="19" t="n"/>
      <c r="AA9" s="15">
        <f>IF($B9="","",IF(COUNT(T9:Z9)=0,"",SUM(T9:Z9)))</f>
        <v/>
      </c>
      <c r="AB9" s="15">
        <f>IF($B9="","",IF($AA9="","",IF(cfgPTFinalMinPoints=0,"(rubric pending)",IF($AA9&gt;=cfgPTFinalMinPoints,"Yes","No"))))</f>
        <v/>
      </c>
      <c r="AC9" s="15">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5">
        <f>IF(Cadets!$B10="","",Cadets!$B10)</f>
        <v/>
      </c>
      <c r="C10" s="15">
        <f>IF(Cadets!$B10="","",Cadets!$F10)</f>
        <v/>
      </c>
      <c r="D10" s="14" t="n"/>
      <c r="E10" s="14" t="n"/>
      <c r="F10" s="14" t="n"/>
      <c r="G10" s="14" t="n"/>
      <c r="H10" s="14" t="n"/>
      <c r="I10" s="14" t="n"/>
      <c r="J10" s="14" t="n"/>
      <c r="K10" s="14" t="n"/>
      <c r="L10" s="14" t="n"/>
      <c r="M10" s="14" t="n"/>
      <c r="N10" s="14" t="n"/>
      <c r="O10" s="14" t="n"/>
      <c r="P10" s="14" t="n"/>
      <c r="Q10" s="14" t="n"/>
      <c r="R10" s="14" t="n"/>
      <c r="S10" s="14" t="n"/>
      <c r="T10" s="19" t="n"/>
      <c r="U10" s="19" t="n"/>
      <c r="V10" s="19" t="n"/>
      <c r="W10" s="19" t="n"/>
      <c r="X10" s="19" t="n"/>
      <c r="Y10" s="19" t="n"/>
      <c r="Z10" s="19" t="n"/>
      <c r="AA10" s="15">
        <f>IF($B10="","",IF(COUNT(T10:Z10)=0,"",SUM(T10:Z10)))</f>
        <v/>
      </c>
      <c r="AB10" s="15">
        <f>IF($B10="","",IF($AA10="","",IF(cfgPTFinalMinPoints=0,"(rubric pending)",IF($AA10&gt;=cfgPTFinalMinPoints,"Yes","No"))))</f>
        <v/>
      </c>
      <c r="AC10" s="15">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5">
        <f>IF(Cadets!$B11="","",Cadets!$B11)</f>
        <v/>
      </c>
      <c r="C11" s="15">
        <f>IF(Cadets!$B11="","",Cadets!$F11)</f>
        <v/>
      </c>
      <c r="D11" s="14" t="n"/>
      <c r="E11" s="14" t="n"/>
      <c r="F11" s="14" t="n"/>
      <c r="G11" s="14" t="n"/>
      <c r="H11" s="14" t="n"/>
      <c r="I11" s="14" t="n"/>
      <c r="J11" s="14" t="n"/>
      <c r="K11" s="14" t="n"/>
      <c r="L11" s="14" t="n"/>
      <c r="M11" s="14" t="n"/>
      <c r="N11" s="14" t="n"/>
      <c r="O11" s="14" t="n"/>
      <c r="P11" s="14" t="n"/>
      <c r="Q11" s="14" t="n"/>
      <c r="R11" s="14" t="n"/>
      <c r="S11" s="14" t="n"/>
      <c r="T11" s="19" t="n"/>
      <c r="U11" s="19" t="n"/>
      <c r="V11" s="19" t="n"/>
      <c r="W11" s="19" t="n"/>
      <c r="X11" s="19" t="n"/>
      <c r="Y11" s="19" t="n"/>
      <c r="Z11" s="19" t="n"/>
      <c r="AA11" s="15">
        <f>IF($B11="","",IF(COUNT(T11:Z11)=0,"",SUM(T11:Z11)))</f>
        <v/>
      </c>
      <c r="AB11" s="15">
        <f>IF($B11="","",IF($AA11="","",IF(cfgPTFinalMinPoints=0,"(rubric pending)",IF($AA11&gt;=cfgPTFinalMinPoints,"Yes","No"))))</f>
        <v/>
      </c>
      <c r="AC11" s="15">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5">
        <f>IF(Cadets!$B12="","",Cadets!$B12)</f>
        <v/>
      </c>
      <c r="C12" s="15">
        <f>IF(Cadets!$B12="","",Cadets!$F12)</f>
        <v/>
      </c>
      <c r="D12" s="14" t="n"/>
      <c r="E12" s="14" t="n"/>
      <c r="F12" s="14" t="n"/>
      <c r="G12" s="14" t="n"/>
      <c r="H12" s="14" t="n"/>
      <c r="I12" s="14" t="n"/>
      <c r="J12" s="14" t="n"/>
      <c r="K12" s="14" t="n"/>
      <c r="L12" s="14" t="n"/>
      <c r="M12" s="14" t="n"/>
      <c r="N12" s="14" t="n"/>
      <c r="O12" s="14" t="n"/>
      <c r="P12" s="14" t="n"/>
      <c r="Q12" s="14" t="n"/>
      <c r="R12" s="14" t="n"/>
      <c r="S12" s="14" t="n"/>
      <c r="T12" s="19" t="n"/>
      <c r="U12" s="19" t="n"/>
      <c r="V12" s="19" t="n"/>
      <c r="W12" s="19" t="n"/>
      <c r="X12" s="19" t="n"/>
      <c r="Y12" s="19" t="n"/>
      <c r="Z12" s="19" t="n"/>
      <c r="AA12" s="15">
        <f>IF($B12="","",IF(COUNT(T12:Z12)=0,"",SUM(T12:Z12)))</f>
        <v/>
      </c>
      <c r="AB12" s="15">
        <f>IF($B12="","",IF($AA12="","",IF(cfgPTFinalMinPoints=0,"(rubric pending)",IF($AA12&gt;=cfgPTFinalMinPoints,"Yes","No"))))</f>
        <v/>
      </c>
      <c r="AC12" s="15">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5">
        <f>IF(Cadets!$B13="","",Cadets!$B13)</f>
        <v/>
      </c>
      <c r="C13" s="15">
        <f>IF(Cadets!$B13="","",Cadets!$F13)</f>
        <v/>
      </c>
      <c r="D13" s="14" t="n"/>
      <c r="E13" s="14" t="n"/>
      <c r="F13" s="14" t="n"/>
      <c r="G13" s="14" t="n"/>
      <c r="H13" s="14" t="n"/>
      <c r="I13" s="14" t="n"/>
      <c r="J13" s="14" t="n"/>
      <c r="K13" s="14" t="n"/>
      <c r="L13" s="14" t="n"/>
      <c r="M13" s="14" t="n"/>
      <c r="N13" s="14" t="n"/>
      <c r="O13" s="14" t="n"/>
      <c r="P13" s="14" t="n"/>
      <c r="Q13" s="14" t="n"/>
      <c r="R13" s="14" t="n"/>
      <c r="S13" s="14" t="n"/>
      <c r="T13" s="19" t="n"/>
      <c r="U13" s="19" t="n"/>
      <c r="V13" s="19" t="n"/>
      <c r="W13" s="19" t="n"/>
      <c r="X13" s="19" t="n"/>
      <c r="Y13" s="19" t="n"/>
      <c r="Z13" s="19" t="n"/>
      <c r="AA13" s="15">
        <f>IF($B13="","",IF(COUNT(T13:Z13)=0,"",SUM(T13:Z13)))</f>
        <v/>
      </c>
      <c r="AB13" s="15">
        <f>IF($B13="","",IF($AA13="","",IF(cfgPTFinalMinPoints=0,"(rubric pending)",IF($AA13&gt;=cfgPTFinalMinPoints,"Yes","No"))))</f>
        <v/>
      </c>
      <c r="AC13" s="15">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5">
        <f>IF(Cadets!$B14="","",Cadets!$B14)</f>
        <v/>
      </c>
      <c r="C14" s="15">
        <f>IF(Cadets!$B14="","",Cadets!$F14)</f>
        <v/>
      </c>
      <c r="D14" s="14" t="n"/>
      <c r="E14" s="14" t="n"/>
      <c r="F14" s="14" t="n"/>
      <c r="G14" s="14" t="n"/>
      <c r="H14" s="14" t="n"/>
      <c r="I14" s="14" t="n"/>
      <c r="J14" s="14" t="n"/>
      <c r="K14" s="14" t="n"/>
      <c r="L14" s="14" t="n"/>
      <c r="M14" s="14" t="n"/>
      <c r="N14" s="14" t="n"/>
      <c r="O14" s="14" t="n"/>
      <c r="P14" s="14" t="n"/>
      <c r="Q14" s="14" t="n"/>
      <c r="R14" s="14" t="n"/>
      <c r="S14" s="14" t="n"/>
      <c r="T14" s="19" t="n"/>
      <c r="U14" s="19" t="n"/>
      <c r="V14" s="19" t="n"/>
      <c r="W14" s="19" t="n"/>
      <c r="X14" s="19" t="n"/>
      <c r="Y14" s="19" t="n"/>
      <c r="Z14" s="19" t="n"/>
      <c r="AA14" s="15">
        <f>IF($B14="","",IF(COUNT(T14:Z14)=0,"",SUM(T14:Z14)))</f>
        <v/>
      </c>
      <c r="AB14" s="15">
        <f>IF($B14="","",IF($AA14="","",IF(cfgPTFinalMinPoints=0,"(rubric pending)",IF($AA14&gt;=cfgPTFinalMinPoints,"Yes","No"))))</f>
        <v/>
      </c>
      <c r="AC14" s="15">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5">
        <f>IF(Cadets!$B15="","",Cadets!$B15)</f>
        <v/>
      </c>
      <c r="C15" s="15">
        <f>IF(Cadets!$B15="","",Cadets!$F15)</f>
        <v/>
      </c>
      <c r="D15" s="14" t="n"/>
      <c r="E15" s="14" t="n"/>
      <c r="F15" s="14" t="n"/>
      <c r="G15" s="14" t="n"/>
      <c r="H15" s="14" t="n"/>
      <c r="I15" s="14" t="n"/>
      <c r="J15" s="14" t="n"/>
      <c r="K15" s="14" t="n"/>
      <c r="L15" s="14" t="n"/>
      <c r="M15" s="14" t="n"/>
      <c r="N15" s="14" t="n"/>
      <c r="O15" s="14" t="n"/>
      <c r="P15" s="14" t="n"/>
      <c r="Q15" s="14" t="n"/>
      <c r="R15" s="14" t="n"/>
      <c r="S15" s="14" t="n"/>
      <c r="T15" s="19" t="n"/>
      <c r="U15" s="19" t="n"/>
      <c r="V15" s="19" t="n"/>
      <c r="W15" s="19" t="n"/>
      <c r="X15" s="19" t="n"/>
      <c r="Y15" s="19" t="n"/>
      <c r="Z15" s="19" t="n"/>
      <c r="AA15" s="15">
        <f>IF($B15="","",IF(COUNT(T15:Z15)=0,"",SUM(T15:Z15)))</f>
        <v/>
      </c>
      <c r="AB15" s="15">
        <f>IF($B15="","",IF($AA15="","",IF(cfgPTFinalMinPoints=0,"(rubric pending)",IF($AA15&gt;=cfgPTFinalMinPoints,"Yes","No"))))</f>
        <v/>
      </c>
      <c r="AC15" s="15">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5">
        <f>IF(Cadets!$B16="","",Cadets!$B16)</f>
        <v/>
      </c>
      <c r="C16" s="15">
        <f>IF(Cadets!$B16="","",Cadets!$F16)</f>
        <v/>
      </c>
      <c r="D16" s="14" t="n"/>
      <c r="E16" s="14" t="n"/>
      <c r="F16" s="14" t="n"/>
      <c r="G16" s="14" t="n"/>
      <c r="H16" s="14" t="n"/>
      <c r="I16" s="14" t="n"/>
      <c r="J16" s="14" t="n"/>
      <c r="K16" s="14" t="n"/>
      <c r="L16" s="14" t="n"/>
      <c r="M16" s="14" t="n"/>
      <c r="N16" s="14" t="n"/>
      <c r="O16" s="14" t="n"/>
      <c r="P16" s="14" t="n"/>
      <c r="Q16" s="14" t="n"/>
      <c r="R16" s="14" t="n"/>
      <c r="S16" s="14" t="n"/>
      <c r="T16" s="19" t="n"/>
      <c r="U16" s="19" t="n"/>
      <c r="V16" s="19" t="n"/>
      <c r="W16" s="19" t="n"/>
      <c r="X16" s="19" t="n"/>
      <c r="Y16" s="19" t="n"/>
      <c r="Z16" s="19" t="n"/>
      <c r="AA16" s="15">
        <f>IF($B16="","",IF(COUNT(T16:Z16)=0,"",SUM(T16:Z16)))</f>
        <v/>
      </c>
      <c r="AB16" s="15">
        <f>IF($B16="","",IF($AA16="","",IF(cfgPTFinalMinPoints=0,"(rubric pending)",IF($AA16&gt;=cfgPTFinalMinPoints,"Yes","No"))))</f>
        <v/>
      </c>
      <c r="AC16" s="15">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5">
        <f>IF(Cadets!$B17="","",Cadets!$B17)</f>
        <v/>
      </c>
      <c r="C17" s="15">
        <f>IF(Cadets!$B17="","",Cadets!$F17)</f>
        <v/>
      </c>
      <c r="D17" s="14" t="n"/>
      <c r="E17" s="14" t="n"/>
      <c r="F17" s="14" t="n"/>
      <c r="G17" s="14" t="n"/>
      <c r="H17" s="14" t="n"/>
      <c r="I17" s="14" t="n"/>
      <c r="J17" s="14" t="n"/>
      <c r="K17" s="14" t="n"/>
      <c r="L17" s="14" t="n"/>
      <c r="M17" s="14" t="n"/>
      <c r="N17" s="14" t="n"/>
      <c r="O17" s="14" t="n"/>
      <c r="P17" s="14" t="n"/>
      <c r="Q17" s="14" t="n"/>
      <c r="R17" s="14" t="n"/>
      <c r="S17" s="14" t="n"/>
      <c r="T17" s="19" t="n"/>
      <c r="U17" s="19" t="n"/>
      <c r="V17" s="19" t="n"/>
      <c r="W17" s="19" t="n"/>
      <c r="X17" s="19" t="n"/>
      <c r="Y17" s="19" t="n"/>
      <c r="Z17" s="19" t="n"/>
      <c r="AA17" s="15">
        <f>IF($B17="","",IF(COUNT(T17:Z17)=0,"",SUM(T17:Z17)))</f>
        <v/>
      </c>
      <c r="AB17" s="15">
        <f>IF($B17="","",IF($AA17="","",IF(cfgPTFinalMinPoints=0,"(rubric pending)",IF($AA17&gt;=cfgPTFinalMinPoints,"Yes","No"))))</f>
        <v/>
      </c>
      <c r="AC17" s="15">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5">
        <f>IF(Cadets!$B18="","",Cadets!$B18)</f>
        <v/>
      </c>
      <c r="C18" s="15">
        <f>IF(Cadets!$B18="","",Cadets!$F18)</f>
        <v/>
      </c>
      <c r="D18" s="14" t="n"/>
      <c r="E18" s="14" t="n"/>
      <c r="F18" s="14" t="n"/>
      <c r="G18" s="14" t="n"/>
      <c r="H18" s="14" t="n"/>
      <c r="I18" s="14" t="n"/>
      <c r="J18" s="14" t="n"/>
      <c r="K18" s="14" t="n"/>
      <c r="L18" s="14" t="n"/>
      <c r="M18" s="14" t="n"/>
      <c r="N18" s="14" t="n"/>
      <c r="O18" s="14" t="n"/>
      <c r="P18" s="14" t="n"/>
      <c r="Q18" s="14" t="n"/>
      <c r="R18" s="14" t="n"/>
      <c r="S18" s="14" t="n"/>
      <c r="T18" s="19" t="n"/>
      <c r="U18" s="19" t="n"/>
      <c r="V18" s="19" t="n"/>
      <c r="W18" s="19" t="n"/>
      <c r="X18" s="19" t="n"/>
      <c r="Y18" s="19" t="n"/>
      <c r="Z18" s="19" t="n"/>
      <c r="AA18" s="15">
        <f>IF($B18="","",IF(COUNT(T18:Z18)=0,"",SUM(T18:Z18)))</f>
        <v/>
      </c>
      <c r="AB18" s="15">
        <f>IF($B18="","",IF($AA18="","",IF(cfgPTFinalMinPoints=0,"(rubric pending)",IF($AA18&gt;=cfgPTFinalMinPoints,"Yes","No"))))</f>
        <v/>
      </c>
      <c r="AC18" s="15">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5">
        <f>IF(Cadets!$B19="","",Cadets!$B19)</f>
        <v/>
      </c>
      <c r="C19" s="15">
        <f>IF(Cadets!$B19="","",Cadets!$F19)</f>
        <v/>
      </c>
      <c r="D19" s="14" t="n"/>
      <c r="E19" s="14" t="n"/>
      <c r="F19" s="14" t="n"/>
      <c r="G19" s="14" t="n"/>
      <c r="H19" s="14" t="n"/>
      <c r="I19" s="14" t="n"/>
      <c r="J19" s="14" t="n"/>
      <c r="K19" s="14" t="n"/>
      <c r="L19" s="14" t="n"/>
      <c r="M19" s="14" t="n"/>
      <c r="N19" s="14" t="n"/>
      <c r="O19" s="14" t="n"/>
      <c r="P19" s="14" t="n"/>
      <c r="Q19" s="14" t="n"/>
      <c r="R19" s="14" t="n"/>
      <c r="S19" s="14" t="n"/>
      <c r="T19" s="19" t="n"/>
      <c r="U19" s="19" t="n"/>
      <c r="V19" s="19" t="n"/>
      <c r="W19" s="19" t="n"/>
      <c r="X19" s="19" t="n"/>
      <c r="Y19" s="19" t="n"/>
      <c r="Z19" s="19" t="n"/>
      <c r="AA19" s="15">
        <f>IF($B19="","",IF(COUNT(T19:Z19)=0,"",SUM(T19:Z19)))</f>
        <v/>
      </c>
      <c r="AB19" s="15">
        <f>IF($B19="","",IF($AA19="","",IF(cfgPTFinalMinPoints=0,"(rubric pending)",IF($AA19&gt;=cfgPTFinalMinPoints,"Yes","No"))))</f>
        <v/>
      </c>
      <c r="AC19" s="15">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5">
        <f>IF(Cadets!$B20="","",Cadets!$B20)</f>
        <v/>
      </c>
      <c r="C20" s="15">
        <f>IF(Cadets!$B20="","",Cadets!$F20)</f>
        <v/>
      </c>
      <c r="D20" s="14" t="n"/>
      <c r="E20" s="14" t="n"/>
      <c r="F20" s="14" t="n"/>
      <c r="G20" s="14" t="n"/>
      <c r="H20" s="14" t="n"/>
      <c r="I20" s="14" t="n"/>
      <c r="J20" s="14" t="n"/>
      <c r="K20" s="14" t="n"/>
      <c r="L20" s="14" t="n"/>
      <c r="M20" s="14" t="n"/>
      <c r="N20" s="14" t="n"/>
      <c r="O20" s="14" t="n"/>
      <c r="P20" s="14" t="n"/>
      <c r="Q20" s="14" t="n"/>
      <c r="R20" s="14" t="n"/>
      <c r="S20" s="14" t="n"/>
      <c r="T20" s="19" t="n"/>
      <c r="U20" s="19" t="n"/>
      <c r="V20" s="19" t="n"/>
      <c r="W20" s="19" t="n"/>
      <c r="X20" s="19" t="n"/>
      <c r="Y20" s="19" t="n"/>
      <c r="Z20" s="19" t="n"/>
      <c r="AA20" s="15">
        <f>IF($B20="","",IF(COUNT(T20:Z20)=0,"",SUM(T20:Z20)))</f>
        <v/>
      </c>
      <c r="AB20" s="15">
        <f>IF($B20="","",IF($AA20="","",IF(cfgPTFinalMinPoints=0,"(rubric pending)",IF($AA20&gt;=cfgPTFinalMinPoints,"Yes","No"))))</f>
        <v/>
      </c>
      <c r="AC20" s="15">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5">
        <f>IF(Cadets!$B21="","",Cadets!$B21)</f>
        <v/>
      </c>
      <c r="C21" s="15">
        <f>IF(Cadets!$B21="","",Cadets!$F21)</f>
        <v/>
      </c>
      <c r="D21" s="14" t="n"/>
      <c r="E21" s="14" t="n"/>
      <c r="F21" s="14" t="n"/>
      <c r="G21" s="14" t="n"/>
      <c r="H21" s="14" t="n"/>
      <c r="I21" s="14" t="n"/>
      <c r="J21" s="14" t="n"/>
      <c r="K21" s="14" t="n"/>
      <c r="L21" s="14" t="n"/>
      <c r="M21" s="14" t="n"/>
      <c r="N21" s="14" t="n"/>
      <c r="O21" s="14" t="n"/>
      <c r="P21" s="14" t="n"/>
      <c r="Q21" s="14" t="n"/>
      <c r="R21" s="14" t="n"/>
      <c r="S21" s="14" t="n"/>
      <c r="T21" s="19" t="n"/>
      <c r="U21" s="19" t="n"/>
      <c r="V21" s="19" t="n"/>
      <c r="W21" s="19" t="n"/>
      <c r="X21" s="19" t="n"/>
      <c r="Y21" s="19" t="n"/>
      <c r="Z21" s="19" t="n"/>
      <c r="AA21" s="15">
        <f>IF($B21="","",IF(COUNT(T21:Z21)=0,"",SUM(T21:Z21)))</f>
        <v/>
      </c>
      <c r="AB21" s="15">
        <f>IF($B21="","",IF($AA21="","",IF(cfgPTFinalMinPoints=0,"(rubric pending)",IF($AA21&gt;=cfgPTFinalMinPoints,"Yes","No"))))</f>
        <v/>
      </c>
      <c r="AC21" s="15">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5">
        <f>IF(Cadets!$B22="","",Cadets!$B22)</f>
        <v/>
      </c>
      <c r="C22" s="15">
        <f>IF(Cadets!$B22="","",Cadets!$F22)</f>
        <v/>
      </c>
      <c r="D22" s="14" t="n"/>
      <c r="E22" s="14" t="n"/>
      <c r="F22" s="14" t="n"/>
      <c r="G22" s="14" t="n"/>
      <c r="H22" s="14" t="n"/>
      <c r="I22" s="14" t="n"/>
      <c r="J22" s="14" t="n"/>
      <c r="K22" s="14" t="n"/>
      <c r="L22" s="14" t="n"/>
      <c r="M22" s="14" t="n"/>
      <c r="N22" s="14" t="n"/>
      <c r="O22" s="14" t="n"/>
      <c r="P22" s="14" t="n"/>
      <c r="Q22" s="14" t="n"/>
      <c r="R22" s="14" t="n"/>
      <c r="S22" s="14" t="n"/>
      <c r="T22" s="19" t="n"/>
      <c r="U22" s="19" t="n"/>
      <c r="V22" s="19" t="n"/>
      <c r="W22" s="19" t="n"/>
      <c r="X22" s="19" t="n"/>
      <c r="Y22" s="19" t="n"/>
      <c r="Z22" s="19" t="n"/>
      <c r="AA22" s="15">
        <f>IF($B22="","",IF(COUNT(T22:Z22)=0,"",SUM(T22:Z22)))</f>
        <v/>
      </c>
      <c r="AB22" s="15">
        <f>IF($B22="","",IF($AA22="","",IF(cfgPTFinalMinPoints=0,"(rubric pending)",IF($AA22&gt;=cfgPTFinalMinPoints,"Yes","No"))))</f>
        <v/>
      </c>
      <c r="AC22" s="15">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5">
        <f>IF(Cadets!$B23="","",Cadets!$B23)</f>
        <v/>
      </c>
      <c r="C23" s="15">
        <f>IF(Cadets!$B23="","",Cadets!$F23)</f>
        <v/>
      </c>
      <c r="D23" s="14" t="n"/>
      <c r="E23" s="14" t="n"/>
      <c r="F23" s="14" t="n"/>
      <c r="G23" s="14" t="n"/>
      <c r="H23" s="14" t="n"/>
      <c r="I23" s="14" t="n"/>
      <c r="J23" s="14" t="n"/>
      <c r="K23" s="14" t="n"/>
      <c r="L23" s="14" t="n"/>
      <c r="M23" s="14" t="n"/>
      <c r="N23" s="14" t="n"/>
      <c r="O23" s="14" t="n"/>
      <c r="P23" s="14" t="n"/>
      <c r="Q23" s="14" t="n"/>
      <c r="R23" s="14" t="n"/>
      <c r="S23" s="14" t="n"/>
      <c r="T23" s="19" t="n"/>
      <c r="U23" s="19" t="n"/>
      <c r="V23" s="19" t="n"/>
      <c r="W23" s="19" t="n"/>
      <c r="X23" s="19" t="n"/>
      <c r="Y23" s="19" t="n"/>
      <c r="Z23" s="19" t="n"/>
      <c r="AA23" s="15">
        <f>IF($B23="","",IF(COUNT(T23:Z23)=0,"",SUM(T23:Z23)))</f>
        <v/>
      </c>
      <c r="AB23" s="15">
        <f>IF($B23="","",IF($AA23="","",IF(cfgPTFinalMinPoints=0,"(rubric pending)",IF($AA23&gt;=cfgPTFinalMinPoints,"Yes","No"))))</f>
        <v/>
      </c>
      <c r="AC23" s="15">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5">
        <f>IF(Cadets!$B24="","",Cadets!$B24)</f>
        <v/>
      </c>
      <c r="C24" s="15">
        <f>IF(Cadets!$B24="","",Cadets!$F24)</f>
        <v/>
      </c>
      <c r="D24" s="14" t="n"/>
      <c r="E24" s="14" t="n"/>
      <c r="F24" s="14" t="n"/>
      <c r="G24" s="14" t="n"/>
      <c r="H24" s="14" t="n"/>
      <c r="I24" s="14" t="n"/>
      <c r="J24" s="14" t="n"/>
      <c r="K24" s="14" t="n"/>
      <c r="L24" s="14" t="n"/>
      <c r="M24" s="14" t="n"/>
      <c r="N24" s="14" t="n"/>
      <c r="O24" s="14" t="n"/>
      <c r="P24" s="14" t="n"/>
      <c r="Q24" s="14" t="n"/>
      <c r="R24" s="14" t="n"/>
      <c r="S24" s="14" t="n"/>
      <c r="T24" s="19" t="n"/>
      <c r="U24" s="19" t="n"/>
      <c r="V24" s="19" t="n"/>
      <c r="W24" s="19" t="n"/>
      <c r="X24" s="19" t="n"/>
      <c r="Y24" s="19" t="n"/>
      <c r="Z24" s="19" t="n"/>
      <c r="AA24" s="15">
        <f>IF($B24="","",IF(COUNT(T24:Z24)=0,"",SUM(T24:Z24)))</f>
        <v/>
      </c>
      <c r="AB24" s="15">
        <f>IF($B24="","",IF($AA24="","",IF(cfgPTFinalMinPoints=0,"(rubric pending)",IF($AA24&gt;=cfgPTFinalMinPoints,"Yes","No"))))</f>
        <v/>
      </c>
      <c r="AC24" s="15">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5">
        <f>IF(Cadets!$B25="","",Cadets!$B25)</f>
        <v/>
      </c>
      <c r="C25" s="15">
        <f>IF(Cadets!$B25="","",Cadets!$F25)</f>
        <v/>
      </c>
      <c r="D25" s="14" t="n"/>
      <c r="E25" s="14" t="n"/>
      <c r="F25" s="14" t="n"/>
      <c r="G25" s="14" t="n"/>
      <c r="H25" s="14" t="n"/>
      <c r="I25" s="14" t="n"/>
      <c r="J25" s="14" t="n"/>
      <c r="K25" s="14" t="n"/>
      <c r="L25" s="14" t="n"/>
      <c r="M25" s="14" t="n"/>
      <c r="N25" s="14" t="n"/>
      <c r="O25" s="14" t="n"/>
      <c r="P25" s="14" t="n"/>
      <c r="Q25" s="14" t="n"/>
      <c r="R25" s="14" t="n"/>
      <c r="S25" s="14" t="n"/>
      <c r="T25" s="19" t="n"/>
      <c r="U25" s="19" t="n"/>
      <c r="V25" s="19" t="n"/>
      <c r="W25" s="19" t="n"/>
      <c r="X25" s="19" t="n"/>
      <c r="Y25" s="19" t="n"/>
      <c r="Z25" s="19" t="n"/>
      <c r="AA25" s="15">
        <f>IF($B25="","",IF(COUNT(T25:Z25)=0,"",SUM(T25:Z25)))</f>
        <v/>
      </c>
      <c r="AB25" s="15">
        <f>IF($B25="","",IF($AA25="","",IF(cfgPTFinalMinPoints=0,"(rubric pending)",IF($AA25&gt;=cfgPTFinalMinPoints,"Yes","No"))))</f>
        <v/>
      </c>
      <c r="AC25" s="15">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5">
        <f>IF(Cadets!$B26="","",Cadets!$B26)</f>
        <v/>
      </c>
      <c r="C26" s="15">
        <f>IF(Cadets!$B26="","",Cadets!$F26)</f>
        <v/>
      </c>
      <c r="D26" s="14" t="n"/>
      <c r="E26" s="14" t="n"/>
      <c r="F26" s="14" t="n"/>
      <c r="G26" s="14" t="n"/>
      <c r="H26" s="14" t="n"/>
      <c r="I26" s="14" t="n"/>
      <c r="J26" s="14" t="n"/>
      <c r="K26" s="14" t="n"/>
      <c r="L26" s="14" t="n"/>
      <c r="M26" s="14" t="n"/>
      <c r="N26" s="14" t="n"/>
      <c r="O26" s="14" t="n"/>
      <c r="P26" s="14" t="n"/>
      <c r="Q26" s="14" t="n"/>
      <c r="R26" s="14" t="n"/>
      <c r="S26" s="14" t="n"/>
      <c r="T26" s="19" t="n"/>
      <c r="U26" s="19" t="n"/>
      <c r="V26" s="19" t="n"/>
      <c r="W26" s="19" t="n"/>
      <c r="X26" s="19" t="n"/>
      <c r="Y26" s="19" t="n"/>
      <c r="Z26" s="19" t="n"/>
      <c r="AA26" s="15">
        <f>IF($B26="","",IF(COUNT(T26:Z26)=0,"",SUM(T26:Z26)))</f>
        <v/>
      </c>
      <c r="AB26" s="15">
        <f>IF($B26="","",IF($AA26="","",IF(cfgPTFinalMinPoints=0,"(rubric pending)",IF($AA26&gt;=cfgPTFinalMinPoints,"Yes","No"))))</f>
        <v/>
      </c>
      <c r="AC26" s="15">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5">
        <f>IF(Cadets!$B27="","",Cadets!$B27)</f>
        <v/>
      </c>
      <c r="C27" s="15">
        <f>IF(Cadets!$B27="","",Cadets!$F27)</f>
        <v/>
      </c>
      <c r="D27" s="14" t="n"/>
      <c r="E27" s="14" t="n"/>
      <c r="F27" s="14" t="n"/>
      <c r="G27" s="14" t="n"/>
      <c r="H27" s="14" t="n"/>
      <c r="I27" s="14" t="n"/>
      <c r="J27" s="14" t="n"/>
      <c r="K27" s="14" t="n"/>
      <c r="L27" s="14" t="n"/>
      <c r="M27" s="14" t="n"/>
      <c r="N27" s="14" t="n"/>
      <c r="O27" s="14" t="n"/>
      <c r="P27" s="14" t="n"/>
      <c r="Q27" s="14" t="n"/>
      <c r="R27" s="14" t="n"/>
      <c r="S27" s="14" t="n"/>
      <c r="T27" s="19" t="n"/>
      <c r="U27" s="19" t="n"/>
      <c r="V27" s="19" t="n"/>
      <c r="W27" s="19" t="n"/>
      <c r="X27" s="19" t="n"/>
      <c r="Y27" s="19" t="n"/>
      <c r="Z27" s="19" t="n"/>
      <c r="AA27" s="15">
        <f>IF($B27="","",IF(COUNT(T27:Z27)=0,"",SUM(T27:Z27)))</f>
        <v/>
      </c>
      <c r="AB27" s="15">
        <f>IF($B27="","",IF($AA27="","",IF(cfgPTFinalMinPoints=0,"(rubric pending)",IF($AA27&gt;=cfgPTFinalMinPoints,"Yes","No"))))</f>
        <v/>
      </c>
      <c r="AC27" s="15">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5">
        <f>IF(Cadets!$B28="","",Cadets!$B28)</f>
        <v/>
      </c>
      <c r="C28" s="15">
        <f>IF(Cadets!$B28="","",Cadets!$F28)</f>
        <v/>
      </c>
      <c r="D28" s="14" t="n"/>
      <c r="E28" s="14" t="n"/>
      <c r="F28" s="14" t="n"/>
      <c r="G28" s="14" t="n"/>
      <c r="H28" s="14" t="n"/>
      <c r="I28" s="14" t="n"/>
      <c r="J28" s="14" t="n"/>
      <c r="K28" s="14" t="n"/>
      <c r="L28" s="14" t="n"/>
      <c r="M28" s="14" t="n"/>
      <c r="N28" s="14" t="n"/>
      <c r="O28" s="14" t="n"/>
      <c r="P28" s="14" t="n"/>
      <c r="Q28" s="14" t="n"/>
      <c r="R28" s="14" t="n"/>
      <c r="S28" s="14" t="n"/>
      <c r="T28" s="19" t="n"/>
      <c r="U28" s="19" t="n"/>
      <c r="V28" s="19" t="n"/>
      <c r="W28" s="19" t="n"/>
      <c r="X28" s="19" t="n"/>
      <c r="Y28" s="19" t="n"/>
      <c r="Z28" s="19" t="n"/>
      <c r="AA28" s="15">
        <f>IF($B28="","",IF(COUNT(T28:Z28)=0,"",SUM(T28:Z28)))</f>
        <v/>
      </c>
      <c r="AB28" s="15">
        <f>IF($B28="","",IF($AA28="","",IF(cfgPTFinalMinPoints=0,"(rubric pending)",IF($AA28&gt;=cfgPTFinalMinPoints,"Yes","No"))))</f>
        <v/>
      </c>
      <c r="AC28" s="15">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5">
        <f>IF(Cadets!$B29="","",Cadets!$B29)</f>
        <v/>
      </c>
      <c r="C29" s="15">
        <f>IF(Cadets!$B29="","",Cadets!$F29)</f>
        <v/>
      </c>
      <c r="D29" s="14" t="n"/>
      <c r="E29" s="14" t="n"/>
      <c r="F29" s="14" t="n"/>
      <c r="G29" s="14" t="n"/>
      <c r="H29" s="14" t="n"/>
      <c r="I29" s="14" t="n"/>
      <c r="J29" s="14" t="n"/>
      <c r="K29" s="14" t="n"/>
      <c r="L29" s="14" t="n"/>
      <c r="M29" s="14" t="n"/>
      <c r="N29" s="14" t="n"/>
      <c r="O29" s="14" t="n"/>
      <c r="P29" s="14" t="n"/>
      <c r="Q29" s="14" t="n"/>
      <c r="R29" s="14" t="n"/>
      <c r="S29" s="14" t="n"/>
      <c r="T29" s="19" t="n"/>
      <c r="U29" s="19" t="n"/>
      <c r="V29" s="19" t="n"/>
      <c r="W29" s="19" t="n"/>
      <c r="X29" s="19" t="n"/>
      <c r="Y29" s="19" t="n"/>
      <c r="Z29" s="19" t="n"/>
      <c r="AA29" s="15">
        <f>IF($B29="","",IF(COUNT(T29:Z29)=0,"",SUM(T29:Z29)))</f>
        <v/>
      </c>
      <c r="AB29" s="15">
        <f>IF($B29="","",IF($AA29="","",IF(cfgPTFinalMinPoints=0,"(rubric pending)",IF($AA29&gt;=cfgPTFinalMinPoints,"Yes","No"))))</f>
        <v/>
      </c>
      <c r="AC29" s="15">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5">
        <f>IF(Cadets!$B30="","",Cadets!$B30)</f>
        <v/>
      </c>
      <c r="C30" s="15">
        <f>IF(Cadets!$B30="","",Cadets!$F30)</f>
        <v/>
      </c>
      <c r="D30" s="14" t="n"/>
      <c r="E30" s="14" t="n"/>
      <c r="F30" s="14" t="n"/>
      <c r="G30" s="14" t="n"/>
      <c r="H30" s="14" t="n"/>
      <c r="I30" s="14" t="n"/>
      <c r="J30" s="14" t="n"/>
      <c r="K30" s="14" t="n"/>
      <c r="L30" s="14" t="n"/>
      <c r="M30" s="14" t="n"/>
      <c r="N30" s="14" t="n"/>
      <c r="O30" s="14" t="n"/>
      <c r="P30" s="14" t="n"/>
      <c r="Q30" s="14" t="n"/>
      <c r="R30" s="14" t="n"/>
      <c r="S30" s="14" t="n"/>
      <c r="T30" s="19" t="n"/>
      <c r="U30" s="19" t="n"/>
      <c r="V30" s="19" t="n"/>
      <c r="W30" s="19" t="n"/>
      <c r="X30" s="19" t="n"/>
      <c r="Y30" s="19" t="n"/>
      <c r="Z30" s="19" t="n"/>
      <c r="AA30" s="15">
        <f>IF($B30="","",IF(COUNT(T30:Z30)=0,"",SUM(T30:Z30)))</f>
        <v/>
      </c>
      <c r="AB30" s="15">
        <f>IF($B30="","",IF($AA30="","",IF(cfgPTFinalMinPoints=0,"(rubric pending)",IF($AA30&gt;=cfgPTFinalMinPoints,"Yes","No"))))</f>
        <v/>
      </c>
      <c r="AC30" s="15">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5">
        <f>IF(Cadets!$B31="","",Cadets!$B31)</f>
        <v/>
      </c>
      <c r="C31" s="15">
        <f>IF(Cadets!$B31="","",Cadets!$F31)</f>
        <v/>
      </c>
      <c r="D31" s="14" t="n"/>
      <c r="E31" s="14" t="n"/>
      <c r="F31" s="14" t="n"/>
      <c r="G31" s="14" t="n"/>
      <c r="H31" s="14" t="n"/>
      <c r="I31" s="14" t="n"/>
      <c r="J31" s="14" t="n"/>
      <c r="K31" s="14" t="n"/>
      <c r="L31" s="14" t="n"/>
      <c r="M31" s="14" t="n"/>
      <c r="N31" s="14" t="n"/>
      <c r="O31" s="14" t="n"/>
      <c r="P31" s="14" t="n"/>
      <c r="Q31" s="14" t="n"/>
      <c r="R31" s="14" t="n"/>
      <c r="S31" s="14" t="n"/>
      <c r="T31" s="19" t="n"/>
      <c r="U31" s="19" t="n"/>
      <c r="V31" s="19" t="n"/>
      <c r="W31" s="19" t="n"/>
      <c r="X31" s="19" t="n"/>
      <c r="Y31" s="19" t="n"/>
      <c r="Z31" s="19" t="n"/>
      <c r="AA31" s="15">
        <f>IF($B31="","",IF(COUNT(T31:Z31)=0,"",SUM(T31:Z31)))</f>
        <v/>
      </c>
      <c r="AB31" s="15">
        <f>IF($B31="","",IF($AA31="","",IF(cfgPTFinalMinPoints=0,"(rubric pending)",IF($AA31&gt;=cfgPTFinalMinPoints,"Yes","No"))))</f>
        <v/>
      </c>
      <c r="AC31" s="15">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5">
        <f>IF(Cadets!$B32="","",Cadets!$B32)</f>
        <v/>
      </c>
      <c r="C32" s="15">
        <f>IF(Cadets!$B32="","",Cadets!$F32)</f>
        <v/>
      </c>
      <c r="D32" s="14" t="n"/>
      <c r="E32" s="14" t="n"/>
      <c r="F32" s="14" t="n"/>
      <c r="G32" s="14" t="n"/>
      <c r="H32" s="14" t="n"/>
      <c r="I32" s="14" t="n"/>
      <c r="J32" s="14" t="n"/>
      <c r="K32" s="14" t="n"/>
      <c r="L32" s="14" t="n"/>
      <c r="M32" s="14" t="n"/>
      <c r="N32" s="14" t="n"/>
      <c r="O32" s="14" t="n"/>
      <c r="P32" s="14" t="n"/>
      <c r="Q32" s="14" t="n"/>
      <c r="R32" s="14" t="n"/>
      <c r="S32" s="14" t="n"/>
      <c r="T32" s="19" t="n"/>
      <c r="U32" s="19" t="n"/>
      <c r="V32" s="19" t="n"/>
      <c r="W32" s="19" t="n"/>
      <c r="X32" s="19" t="n"/>
      <c r="Y32" s="19" t="n"/>
      <c r="Z32" s="19" t="n"/>
      <c r="AA32" s="15">
        <f>IF($B32="","",IF(COUNT(T32:Z32)=0,"",SUM(T32:Z32)))</f>
        <v/>
      </c>
      <c r="AB32" s="15">
        <f>IF($B32="","",IF($AA32="","",IF(cfgPTFinalMinPoints=0,"(rubric pending)",IF($AA32&gt;=cfgPTFinalMinPoints,"Yes","No"))))</f>
        <v/>
      </c>
      <c r="AC32" s="15">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5">
        <f>IF(Cadets!$B33="","",Cadets!$B33)</f>
        <v/>
      </c>
      <c r="C33" s="15">
        <f>IF(Cadets!$B33="","",Cadets!$F33)</f>
        <v/>
      </c>
      <c r="D33" s="14" t="n"/>
      <c r="E33" s="14" t="n"/>
      <c r="F33" s="14" t="n"/>
      <c r="G33" s="14" t="n"/>
      <c r="H33" s="14" t="n"/>
      <c r="I33" s="14" t="n"/>
      <c r="J33" s="14" t="n"/>
      <c r="K33" s="14" t="n"/>
      <c r="L33" s="14" t="n"/>
      <c r="M33" s="14" t="n"/>
      <c r="N33" s="14" t="n"/>
      <c r="O33" s="14" t="n"/>
      <c r="P33" s="14" t="n"/>
      <c r="Q33" s="14" t="n"/>
      <c r="R33" s="14" t="n"/>
      <c r="S33" s="14" t="n"/>
      <c r="T33" s="19" t="n"/>
      <c r="U33" s="19" t="n"/>
      <c r="V33" s="19" t="n"/>
      <c r="W33" s="19" t="n"/>
      <c r="X33" s="19" t="n"/>
      <c r="Y33" s="19" t="n"/>
      <c r="Z33" s="19" t="n"/>
      <c r="AA33" s="15">
        <f>IF($B33="","",IF(COUNT(T33:Z33)=0,"",SUM(T33:Z33)))</f>
        <v/>
      </c>
      <c r="AB33" s="15">
        <f>IF($B33="","",IF($AA33="","",IF(cfgPTFinalMinPoints=0,"(rubric pending)",IF($AA33&gt;=cfgPTFinalMinPoints,"Yes","No"))))</f>
        <v/>
      </c>
      <c r="AC33" s="15">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5">
        <f>IF(Cadets!$B34="","",Cadets!$B34)</f>
        <v/>
      </c>
      <c r="C34" s="15">
        <f>IF(Cadets!$B34="","",Cadets!$F34)</f>
        <v/>
      </c>
      <c r="D34" s="14" t="n"/>
      <c r="E34" s="14" t="n"/>
      <c r="F34" s="14" t="n"/>
      <c r="G34" s="14" t="n"/>
      <c r="H34" s="14" t="n"/>
      <c r="I34" s="14" t="n"/>
      <c r="J34" s="14" t="n"/>
      <c r="K34" s="14" t="n"/>
      <c r="L34" s="14" t="n"/>
      <c r="M34" s="14" t="n"/>
      <c r="N34" s="14" t="n"/>
      <c r="O34" s="14" t="n"/>
      <c r="P34" s="14" t="n"/>
      <c r="Q34" s="14" t="n"/>
      <c r="R34" s="14" t="n"/>
      <c r="S34" s="14" t="n"/>
      <c r="T34" s="19" t="n"/>
      <c r="U34" s="19" t="n"/>
      <c r="V34" s="19" t="n"/>
      <c r="W34" s="19" t="n"/>
      <c r="X34" s="19" t="n"/>
      <c r="Y34" s="19" t="n"/>
      <c r="Z34" s="19" t="n"/>
      <c r="AA34" s="15">
        <f>IF($B34="","",IF(COUNT(T34:Z34)=0,"",SUM(T34:Z34)))</f>
        <v/>
      </c>
      <c r="AB34" s="15">
        <f>IF($B34="","",IF($AA34="","",IF(cfgPTFinalMinPoints=0,"(rubric pending)",IF($AA34&gt;=cfgPTFinalMinPoints,"Yes","No"))))</f>
        <v/>
      </c>
      <c r="AC34" s="15">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5">
        <f>IF(Cadets!$B35="","",Cadets!$B35)</f>
        <v/>
      </c>
      <c r="C35" s="15">
        <f>IF(Cadets!$B35="","",Cadets!$F35)</f>
        <v/>
      </c>
      <c r="D35" s="14" t="n"/>
      <c r="E35" s="14" t="n"/>
      <c r="F35" s="14" t="n"/>
      <c r="G35" s="14" t="n"/>
      <c r="H35" s="14" t="n"/>
      <c r="I35" s="14" t="n"/>
      <c r="J35" s="14" t="n"/>
      <c r="K35" s="14" t="n"/>
      <c r="L35" s="14" t="n"/>
      <c r="M35" s="14" t="n"/>
      <c r="N35" s="14" t="n"/>
      <c r="O35" s="14" t="n"/>
      <c r="P35" s="14" t="n"/>
      <c r="Q35" s="14" t="n"/>
      <c r="R35" s="14" t="n"/>
      <c r="S35" s="14" t="n"/>
      <c r="T35" s="19" t="n"/>
      <c r="U35" s="19" t="n"/>
      <c r="V35" s="19" t="n"/>
      <c r="W35" s="19" t="n"/>
      <c r="X35" s="19" t="n"/>
      <c r="Y35" s="19" t="n"/>
      <c r="Z35" s="19" t="n"/>
      <c r="AA35" s="15">
        <f>IF($B35="","",IF(COUNT(T35:Z35)=0,"",SUM(T35:Z35)))</f>
        <v/>
      </c>
      <c r="AB35" s="15">
        <f>IF($B35="","",IF($AA35="","",IF(cfgPTFinalMinPoints=0,"(rubric pending)",IF($AA35&gt;=cfgPTFinalMinPoints,"Yes","No"))))</f>
        <v/>
      </c>
      <c r="AC35" s="15">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5">
        <f>IF(Cadets!$B36="","",Cadets!$B36)</f>
        <v/>
      </c>
      <c r="C36" s="15">
        <f>IF(Cadets!$B36="","",Cadets!$F36)</f>
        <v/>
      </c>
      <c r="D36" s="14" t="n"/>
      <c r="E36" s="14" t="n"/>
      <c r="F36" s="14" t="n"/>
      <c r="G36" s="14" t="n"/>
      <c r="H36" s="14" t="n"/>
      <c r="I36" s="14" t="n"/>
      <c r="J36" s="14" t="n"/>
      <c r="K36" s="14" t="n"/>
      <c r="L36" s="14" t="n"/>
      <c r="M36" s="14" t="n"/>
      <c r="N36" s="14" t="n"/>
      <c r="O36" s="14" t="n"/>
      <c r="P36" s="14" t="n"/>
      <c r="Q36" s="14" t="n"/>
      <c r="R36" s="14" t="n"/>
      <c r="S36" s="14" t="n"/>
      <c r="T36" s="19" t="n"/>
      <c r="U36" s="19" t="n"/>
      <c r="V36" s="19" t="n"/>
      <c r="W36" s="19" t="n"/>
      <c r="X36" s="19" t="n"/>
      <c r="Y36" s="19" t="n"/>
      <c r="Z36" s="19" t="n"/>
      <c r="AA36" s="15">
        <f>IF($B36="","",IF(COUNT(T36:Z36)=0,"",SUM(T36:Z36)))</f>
        <v/>
      </c>
      <c r="AB36" s="15">
        <f>IF($B36="","",IF($AA36="","",IF(cfgPTFinalMinPoints=0,"(rubric pending)",IF($AA36&gt;=cfgPTFinalMinPoints,"Yes","No"))))</f>
        <v/>
      </c>
      <c r="AC36" s="15">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5">
        <f>IF(Cadets!$B37="","",Cadets!$B37)</f>
        <v/>
      </c>
      <c r="C37" s="15">
        <f>IF(Cadets!$B37="","",Cadets!$F37)</f>
        <v/>
      </c>
      <c r="D37" s="14" t="n"/>
      <c r="E37" s="14" t="n"/>
      <c r="F37" s="14" t="n"/>
      <c r="G37" s="14" t="n"/>
      <c r="H37" s="14" t="n"/>
      <c r="I37" s="14" t="n"/>
      <c r="J37" s="14" t="n"/>
      <c r="K37" s="14" t="n"/>
      <c r="L37" s="14" t="n"/>
      <c r="M37" s="14" t="n"/>
      <c r="N37" s="14" t="n"/>
      <c r="O37" s="14" t="n"/>
      <c r="P37" s="14" t="n"/>
      <c r="Q37" s="14" t="n"/>
      <c r="R37" s="14" t="n"/>
      <c r="S37" s="14" t="n"/>
      <c r="T37" s="19" t="n"/>
      <c r="U37" s="19" t="n"/>
      <c r="V37" s="19" t="n"/>
      <c r="W37" s="19" t="n"/>
      <c r="X37" s="19" t="n"/>
      <c r="Y37" s="19" t="n"/>
      <c r="Z37" s="19" t="n"/>
      <c r="AA37" s="15">
        <f>IF($B37="","",IF(COUNT(T37:Z37)=0,"",SUM(T37:Z37)))</f>
        <v/>
      </c>
      <c r="AB37" s="15">
        <f>IF($B37="","",IF($AA37="","",IF(cfgPTFinalMinPoints=0,"(rubric pending)",IF($AA37&gt;=cfgPTFinalMinPoints,"Yes","No"))))</f>
        <v/>
      </c>
      <c r="AC37" s="15">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5">
        <f>IF(Cadets!$B38="","",Cadets!$B38)</f>
        <v/>
      </c>
      <c r="C38" s="15">
        <f>IF(Cadets!$B38="","",Cadets!$F38)</f>
        <v/>
      </c>
      <c r="D38" s="14" t="n"/>
      <c r="E38" s="14" t="n"/>
      <c r="F38" s="14" t="n"/>
      <c r="G38" s="14" t="n"/>
      <c r="H38" s="14" t="n"/>
      <c r="I38" s="14" t="n"/>
      <c r="J38" s="14" t="n"/>
      <c r="K38" s="14" t="n"/>
      <c r="L38" s="14" t="n"/>
      <c r="M38" s="14" t="n"/>
      <c r="N38" s="14" t="n"/>
      <c r="O38" s="14" t="n"/>
      <c r="P38" s="14" t="n"/>
      <c r="Q38" s="14" t="n"/>
      <c r="R38" s="14" t="n"/>
      <c r="S38" s="14" t="n"/>
      <c r="T38" s="19" t="n"/>
      <c r="U38" s="19" t="n"/>
      <c r="V38" s="19" t="n"/>
      <c r="W38" s="19" t="n"/>
      <c r="X38" s="19" t="n"/>
      <c r="Y38" s="19" t="n"/>
      <c r="Z38" s="19" t="n"/>
      <c r="AA38" s="15">
        <f>IF($B38="","",IF(COUNT(T38:Z38)=0,"",SUM(T38:Z38)))</f>
        <v/>
      </c>
      <c r="AB38" s="15">
        <f>IF($B38="","",IF($AA38="","",IF(cfgPTFinalMinPoints=0,"(rubric pending)",IF($AA38&gt;=cfgPTFinalMinPoints,"Yes","No"))))</f>
        <v/>
      </c>
      <c r="AC38" s="15">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5">
        <f>IF(Cadets!$B39="","",Cadets!$B39)</f>
        <v/>
      </c>
      <c r="C39" s="15">
        <f>IF(Cadets!$B39="","",Cadets!$F39)</f>
        <v/>
      </c>
      <c r="D39" s="14" t="n"/>
      <c r="E39" s="14" t="n"/>
      <c r="F39" s="14" t="n"/>
      <c r="G39" s="14" t="n"/>
      <c r="H39" s="14" t="n"/>
      <c r="I39" s="14" t="n"/>
      <c r="J39" s="14" t="n"/>
      <c r="K39" s="14" t="n"/>
      <c r="L39" s="14" t="n"/>
      <c r="M39" s="14" t="n"/>
      <c r="N39" s="14" t="n"/>
      <c r="O39" s="14" t="n"/>
      <c r="P39" s="14" t="n"/>
      <c r="Q39" s="14" t="n"/>
      <c r="R39" s="14" t="n"/>
      <c r="S39" s="14" t="n"/>
      <c r="T39" s="19" t="n"/>
      <c r="U39" s="19" t="n"/>
      <c r="V39" s="19" t="n"/>
      <c r="W39" s="19" t="n"/>
      <c r="X39" s="19" t="n"/>
      <c r="Y39" s="19" t="n"/>
      <c r="Z39" s="19" t="n"/>
      <c r="AA39" s="15">
        <f>IF($B39="","",IF(COUNT(T39:Z39)=0,"",SUM(T39:Z39)))</f>
        <v/>
      </c>
      <c r="AB39" s="15">
        <f>IF($B39="","",IF($AA39="","",IF(cfgPTFinalMinPoints=0,"(rubric pending)",IF($AA39&gt;=cfgPTFinalMinPoints,"Yes","No"))))</f>
        <v/>
      </c>
      <c r="AC39" s="15">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5">
        <f>IF(Cadets!$B40="","",Cadets!$B40)</f>
        <v/>
      </c>
      <c r="C40" s="15">
        <f>IF(Cadets!$B40="","",Cadets!$F40)</f>
        <v/>
      </c>
      <c r="D40" s="14" t="n"/>
      <c r="E40" s="14" t="n"/>
      <c r="F40" s="14" t="n"/>
      <c r="G40" s="14" t="n"/>
      <c r="H40" s="14" t="n"/>
      <c r="I40" s="14" t="n"/>
      <c r="J40" s="14" t="n"/>
      <c r="K40" s="14" t="n"/>
      <c r="L40" s="14" t="n"/>
      <c r="M40" s="14" t="n"/>
      <c r="N40" s="14" t="n"/>
      <c r="O40" s="14" t="n"/>
      <c r="P40" s="14" t="n"/>
      <c r="Q40" s="14" t="n"/>
      <c r="R40" s="14" t="n"/>
      <c r="S40" s="14" t="n"/>
      <c r="T40" s="19" t="n"/>
      <c r="U40" s="19" t="n"/>
      <c r="V40" s="19" t="n"/>
      <c r="W40" s="19" t="n"/>
      <c r="X40" s="19" t="n"/>
      <c r="Y40" s="19" t="n"/>
      <c r="Z40" s="19" t="n"/>
      <c r="AA40" s="15">
        <f>IF($B40="","",IF(COUNT(T40:Z40)=0,"",SUM(T40:Z40)))</f>
        <v/>
      </c>
      <c r="AB40" s="15">
        <f>IF($B40="","",IF($AA40="","",IF(cfgPTFinalMinPoints=0,"(rubric pending)",IF($AA40&gt;=cfgPTFinalMinPoints,"Yes","No"))))</f>
        <v/>
      </c>
      <c r="AC40" s="15">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5">
        <f>IF(Cadets!$B41="","",Cadets!$B41)</f>
        <v/>
      </c>
      <c r="C41" s="15">
        <f>IF(Cadets!$B41="","",Cadets!$F41)</f>
        <v/>
      </c>
      <c r="D41" s="14" t="n"/>
      <c r="E41" s="14" t="n"/>
      <c r="F41" s="14" t="n"/>
      <c r="G41" s="14" t="n"/>
      <c r="H41" s="14" t="n"/>
      <c r="I41" s="14" t="n"/>
      <c r="J41" s="14" t="n"/>
      <c r="K41" s="14" t="n"/>
      <c r="L41" s="14" t="n"/>
      <c r="M41" s="14" t="n"/>
      <c r="N41" s="14" t="n"/>
      <c r="O41" s="14" t="n"/>
      <c r="P41" s="14" t="n"/>
      <c r="Q41" s="14" t="n"/>
      <c r="R41" s="14" t="n"/>
      <c r="S41" s="14" t="n"/>
      <c r="T41" s="19" t="n"/>
      <c r="U41" s="19" t="n"/>
      <c r="V41" s="19" t="n"/>
      <c r="W41" s="19" t="n"/>
      <c r="X41" s="19" t="n"/>
      <c r="Y41" s="19" t="n"/>
      <c r="Z41" s="19" t="n"/>
      <c r="AA41" s="15">
        <f>IF($B41="","",IF(COUNT(T41:Z41)=0,"",SUM(T41:Z41)))</f>
        <v/>
      </c>
      <c r="AB41" s="15">
        <f>IF($B41="","",IF($AA41="","",IF(cfgPTFinalMinPoints=0,"(rubric pending)",IF($AA41&gt;=cfgPTFinalMinPoints,"Yes","No"))))</f>
        <v/>
      </c>
      <c r="AC41" s="15">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5">
        <f>IF(Cadets!$B42="","",Cadets!$B42)</f>
        <v/>
      </c>
      <c r="C42" s="15">
        <f>IF(Cadets!$B42="","",Cadets!$F42)</f>
        <v/>
      </c>
      <c r="D42" s="14" t="n"/>
      <c r="E42" s="14" t="n"/>
      <c r="F42" s="14" t="n"/>
      <c r="G42" s="14" t="n"/>
      <c r="H42" s="14" t="n"/>
      <c r="I42" s="14" t="n"/>
      <c r="J42" s="14" t="n"/>
      <c r="K42" s="14" t="n"/>
      <c r="L42" s="14" t="n"/>
      <c r="M42" s="14" t="n"/>
      <c r="N42" s="14" t="n"/>
      <c r="O42" s="14" t="n"/>
      <c r="P42" s="14" t="n"/>
      <c r="Q42" s="14" t="n"/>
      <c r="R42" s="14" t="n"/>
      <c r="S42" s="14" t="n"/>
      <c r="T42" s="19" t="n"/>
      <c r="U42" s="19" t="n"/>
      <c r="V42" s="19" t="n"/>
      <c r="W42" s="19" t="n"/>
      <c r="X42" s="19" t="n"/>
      <c r="Y42" s="19" t="n"/>
      <c r="Z42" s="19" t="n"/>
      <c r="AA42" s="15">
        <f>IF($B42="","",IF(COUNT(T42:Z42)=0,"",SUM(T42:Z42)))</f>
        <v/>
      </c>
      <c r="AB42" s="15">
        <f>IF($B42="","",IF($AA42="","",IF(cfgPTFinalMinPoints=0,"(rubric pending)",IF($AA42&gt;=cfgPTFinalMinPoints,"Yes","No"))))</f>
        <v/>
      </c>
      <c r="AC42" s="15">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5">
        <f>IF(Cadets!$B43="","",Cadets!$B43)</f>
        <v/>
      </c>
      <c r="C43" s="15">
        <f>IF(Cadets!$B43="","",Cadets!$F43)</f>
        <v/>
      </c>
      <c r="D43" s="14" t="n"/>
      <c r="E43" s="14" t="n"/>
      <c r="F43" s="14" t="n"/>
      <c r="G43" s="14" t="n"/>
      <c r="H43" s="14" t="n"/>
      <c r="I43" s="14" t="n"/>
      <c r="J43" s="14" t="n"/>
      <c r="K43" s="14" t="n"/>
      <c r="L43" s="14" t="n"/>
      <c r="M43" s="14" t="n"/>
      <c r="N43" s="14" t="n"/>
      <c r="O43" s="14" t="n"/>
      <c r="P43" s="14" t="n"/>
      <c r="Q43" s="14" t="n"/>
      <c r="R43" s="14" t="n"/>
      <c r="S43" s="14" t="n"/>
      <c r="T43" s="19" t="n"/>
      <c r="U43" s="19" t="n"/>
      <c r="V43" s="19" t="n"/>
      <c r="W43" s="19" t="n"/>
      <c r="X43" s="19" t="n"/>
      <c r="Y43" s="19" t="n"/>
      <c r="Z43" s="19" t="n"/>
      <c r="AA43" s="15">
        <f>IF($B43="","",IF(COUNT(T43:Z43)=0,"",SUM(T43:Z43)))</f>
        <v/>
      </c>
      <c r="AB43" s="15">
        <f>IF($B43="","",IF($AA43="","",IF(cfgPTFinalMinPoints=0,"(rubric pending)",IF($AA43&gt;=cfgPTFinalMinPoints,"Yes","No"))))</f>
        <v/>
      </c>
      <c r="AC43" s="15">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5">
        <f>IF(Cadets!$B44="","",Cadets!$B44)</f>
        <v/>
      </c>
      <c r="C44" s="15">
        <f>IF(Cadets!$B44="","",Cadets!$F44)</f>
        <v/>
      </c>
      <c r="D44" s="14" t="n"/>
      <c r="E44" s="14" t="n"/>
      <c r="F44" s="14" t="n"/>
      <c r="G44" s="14" t="n"/>
      <c r="H44" s="14" t="n"/>
      <c r="I44" s="14" t="n"/>
      <c r="J44" s="14" t="n"/>
      <c r="K44" s="14" t="n"/>
      <c r="L44" s="14" t="n"/>
      <c r="M44" s="14" t="n"/>
      <c r="N44" s="14" t="n"/>
      <c r="O44" s="14" t="n"/>
      <c r="P44" s="14" t="n"/>
      <c r="Q44" s="14" t="n"/>
      <c r="R44" s="14" t="n"/>
      <c r="S44" s="14" t="n"/>
      <c r="T44" s="19" t="n"/>
      <c r="U44" s="19" t="n"/>
      <c r="V44" s="19" t="n"/>
      <c r="W44" s="19" t="n"/>
      <c r="X44" s="19" t="n"/>
      <c r="Y44" s="19" t="n"/>
      <c r="Z44" s="19" t="n"/>
      <c r="AA44" s="15">
        <f>IF($B44="","",IF(COUNT(T44:Z44)=0,"",SUM(T44:Z44)))</f>
        <v/>
      </c>
      <c r="AB44" s="15">
        <f>IF($B44="","",IF($AA44="","",IF(cfgPTFinalMinPoints=0,"(rubric pending)",IF($AA44&gt;=cfgPTFinalMinPoints,"Yes","No"))))</f>
        <v/>
      </c>
      <c r="AC44" s="15">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5">
        <f>IF(Cadets!$B45="","",Cadets!$B45)</f>
        <v/>
      </c>
      <c r="C45" s="15">
        <f>IF(Cadets!$B45="","",Cadets!$F45)</f>
        <v/>
      </c>
      <c r="D45" s="14" t="n"/>
      <c r="E45" s="14" t="n"/>
      <c r="F45" s="14" t="n"/>
      <c r="G45" s="14" t="n"/>
      <c r="H45" s="14" t="n"/>
      <c r="I45" s="14" t="n"/>
      <c r="J45" s="14" t="n"/>
      <c r="K45" s="14" t="n"/>
      <c r="L45" s="14" t="n"/>
      <c r="M45" s="14" t="n"/>
      <c r="N45" s="14" t="n"/>
      <c r="O45" s="14" t="n"/>
      <c r="P45" s="14" t="n"/>
      <c r="Q45" s="14" t="n"/>
      <c r="R45" s="14" t="n"/>
      <c r="S45" s="14" t="n"/>
      <c r="T45" s="19" t="n"/>
      <c r="U45" s="19" t="n"/>
      <c r="V45" s="19" t="n"/>
      <c r="W45" s="19" t="n"/>
      <c r="X45" s="19" t="n"/>
      <c r="Y45" s="19" t="n"/>
      <c r="Z45" s="19" t="n"/>
      <c r="AA45" s="15">
        <f>IF($B45="","",IF(COUNT(T45:Z45)=0,"",SUM(T45:Z45)))</f>
        <v/>
      </c>
      <c r="AB45" s="15">
        <f>IF($B45="","",IF($AA45="","",IF(cfgPTFinalMinPoints=0,"(rubric pending)",IF($AA45&gt;=cfgPTFinalMinPoints,"Yes","No"))))</f>
        <v/>
      </c>
      <c r="AC45" s="15">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5">
        <f>IF(Cadets!$B46="","",Cadets!$B46)</f>
        <v/>
      </c>
      <c r="C46" s="15">
        <f>IF(Cadets!$B46="","",Cadets!$F46)</f>
        <v/>
      </c>
      <c r="D46" s="14" t="n"/>
      <c r="E46" s="14" t="n"/>
      <c r="F46" s="14" t="n"/>
      <c r="G46" s="14" t="n"/>
      <c r="H46" s="14" t="n"/>
      <c r="I46" s="14" t="n"/>
      <c r="J46" s="14" t="n"/>
      <c r="K46" s="14" t="n"/>
      <c r="L46" s="14" t="n"/>
      <c r="M46" s="14" t="n"/>
      <c r="N46" s="14" t="n"/>
      <c r="O46" s="14" t="n"/>
      <c r="P46" s="14" t="n"/>
      <c r="Q46" s="14" t="n"/>
      <c r="R46" s="14" t="n"/>
      <c r="S46" s="14" t="n"/>
      <c r="T46" s="19" t="n"/>
      <c r="U46" s="19" t="n"/>
      <c r="V46" s="19" t="n"/>
      <c r="W46" s="19" t="n"/>
      <c r="X46" s="19" t="n"/>
      <c r="Y46" s="19" t="n"/>
      <c r="Z46" s="19" t="n"/>
      <c r="AA46" s="15">
        <f>IF($B46="","",IF(COUNT(T46:Z46)=0,"",SUM(T46:Z46)))</f>
        <v/>
      </c>
      <c r="AB46" s="15">
        <f>IF($B46="","",IF($AA46="","",IF(cfgPTFinalMinPoints=0,"(rubric pending)",IF($AA46&gt;=cfgPTFinalMinPoints,"Yes","No"))))</f>
        <v/>
      </c>
      <c r="AC46" s="15">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5">
        <f>IF(Cadets!$B47="","",Cadets!$B47)</f>
        <v/>
      </c>
      <c r="C47" s="15">
        <f>IF(Cadets!$B47="","",Cadets!$F47)</f>
        <v/>
      </c>
      <c r="D47" s="14" t="n"/>
      <c r="E47" s="14" t="n"/>
      <c r="F47" s="14" t="n"/>
      <c r="G47" s="14" t="n"/>
      <c r="H47" s="14" t="n"/>
      <c r="I47" s="14" t="n"/>
      <c r="J47" s="14" t="n"/>
      <c r="K47" s="14" t="n"/>
      <c r="L47" s="14" t="n"/>
      <c r="M47" s="14" t="n"/>
      <c r="N47" s="14" t="n"/>
      <c r="O47" s="14" t="n"/>
      <c r="P47" s="14" t="n"/>
      <c r="Q47" s="14" t="n"/>
      <c r="R47" s="14" t="n"/>
      <c r="S47" s="14" t="n"/>
      <c r="T47" s="19" t="n"/>
      <c r="U47" s="19" t="n"/>
      <c r="V47" s="19" t="n"/>
      <c r="W47" s="19" t="n"/>
      <c r="X47" s="19" t="n"/>
      <c r="Y47" s="19" t="n"/>
      <c r="Z47" s="19" t="n"/>
      <c r="AA47" s="15">
        <f>IF($B47="","",IF(COUNT(T47:Z47)=0,"",SUM(T47:Z47)))</f>
        <v/>
      </c>
      <c r="AB47" s="15">
        <f>IF($B47="","",IF($AA47="","",IF(cfgPTFinalMinPoints=0,"(rubric pending)",IF($AA47&gt;=cfgPTFinalMinPoints,"Yes","No"))))</f>
        <v/>
      </c>
      <c r="AC47" s="15">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5">
        <f>IF(Cadets!$B48="","",Cadets!$B48)</f>
        <v/>
      </c>
      <c r="C48" s="15">
        <f>IF(Cadets!$B48="","",Cadets!$F48)</f>
        <v/>
      </c>
      <c r="D48" s="14" t="n"/>
      <c r="E48" s="14" t="n"/>
      <c r="F48" s="14" t="n"/>
      <c r="G48" s="14" t="n"/>
      <c r="H48" s="14" t="n"/>
      <c r="I48" s="14" t="n"/>
      <c r="J48" s="14" t="n"/>
      <c r="K48" s="14" t="n"/>
      <c r="L48" s="14" t="n"/>
      <c r="M48" s="14" t="n"/>
      <c r="N48" s="14" t="n"/>
      <c r="O48" s="14" t="n"/>
      <c r="P48" s="14" t="n"/>
      <c r="Q48" s="14" t="n"/>
      <c r="R48" s="14" t="n"/>
      <c r="S48" s="14" t="n"/>
      <c r="T48" s="19" t="n"/>
      <c r="U48" s="19" t="n"/>
      <c r="V48" s="19" t="n"/>
      <c r="W48" s="19" t="n"/>
      <c r="X48" s="19" t="n"/>
      <c r="Y48" s="19" t="n"/>
      <c r="Z48" s="19" t="n"/>
      <c r="AA48" s="15">
        <f>IF($B48="","",IF(COUNT(T48:Z48)=0,"",SUM(T48:Z48)))</f>
        <v/>
      </c>
      <c r="AB48" s="15">
        <f>IF($B48="","",IF($AA48="","",IF(cfgPTFinalMinPoints=0,"(rubric pending)",IF($AA48&gt;=cfgPTFinalMinPoints,"Yes","No"))))</f>
        <v/>
      </c>
      <c r="AC48" s="15">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5">
        <f>IF(Cadets!$B49="","",Cadets!$B49)</f>
        <v/>
      </c>
      <c r="C49" s="15">
        <f>IF(Cadets!$B49="","",Cadets!$F49)</f>
        <v/>
      </c>
      <c r="D49" s="14" t="n"/>
      <c r="E49" s="14" t="n"/>
      <c r="F49" s="14" t="n"/>
      <c r="G49" s="14" t="n"/>
      <c r="H49" s="14" t="n"/>
      <c r="I49" s="14" t="n"/>
      <c r="J49" s="14" t="n"/>
      <c r="K49" s="14" t="n"/>
      <c r="L49" s="14" t="n"/>
      <c r="M49" s="14" t="n"/>
      <c r="N49" s="14" t="n"/>
      <c r="O49" s="14" t="n"/>
      <c r="P49" s="14" t="n"/>
      <c r="Q49" s="14" t="n"/>
      <c r="R49" s="14" t="n"/>
      <c r="S49" s="14" t="n"/>
      <c r="T49" s="19" t="n"/>
      <c r="U49" s="19" t="n"/>
      <c r="V49" s="19" t="n"/>
      <c r="W49" s="19" t="n"/>
      <c r="X49" s="19" t="n"/>
      <c r="Y49" s="19" t="n"/>
      <c r="Z49" s="19" t="n"/>
      <c r="AA49" s="15">
        <f>IF($B49="","",IF(COUNT(T49:Z49)=0,"",SUM(T49:Z49)))</f>
        <v/>
      </c>
      <c r="AB49" s="15">
        <f>IF($B49="","",IF($AA49="","",IF(cfgPTFinalMinPoints=0,"(rubric pending)",IF($AA49&gt;=cfgPTFinalMinPoints,"Yes","No"))))</f>
        <v/>
      </c>
      <c r="AC49" s="15">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5">
        <f>IF(Cadets!$B50="","",Cadets!$B50)</f>
        <v/>
      </c>
      <c r="C50" s="15">
        <f>IF(Cadets!$B50="","",Cadets!$F50)</f>
        <v/>
      </c>
      <c r="D50" s="14" t="n"/>
      <c r="E50" s="14" t="n"/>
      <c r="F50" s="14" t="n"/>
      <c r="G50" s="14" t="n"/>
      <c r="H50" s="14" t="n"/>
      <c r="I50" s="14" t="n"/>
      <c r="J50" s="14" t="n"/>
      <c r="K50" s="14" t="n"/>
      <c r="L50" s="14" t="n"/>
      <c r="M50" s="14" t="n"/>
      <c r="N50" s="14" t="n"/>
      <c r="O50" s="14" t="n"/>
      <c r="P50" s="14" t="n"/>
      <c r="Q50" s="14" t="n"/>
      <c r="R50" s="14" t="n"/>
      <c r="S50" s="14" t="n"/>
      <c r="T50" s="19" t="n"/>
      <c r="U50" s="19" t="n"/>
      <c r="V50" s="19" t="n"/>
      <c r="W50" s="19" t="n"/>
      <c r="X50" s="19" t="n"/>
      <c r="Y50" s="19" t="n"/>
      <c r="Z50" s="19" t="n"/>
      <c r="AA50" s="15">
        <f>IF($B50="","",IF(COUNT(T50:Z50)=0,"",SUM(T50:Z50)))</f>
        <v/>
      </c>
      <c r="AB50" s="15">
        <f>IF($B50="","",IF($AA50="","",IF(cfgPTFinalMinPoints=0,"(rubric pending)",IF($AA50&gt;=cfgPTFinalMinPoints,"Yes","No"))))</f>
        <v/>
      </c>
      <c r="AC50" s="15">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5">
        <f>IF(Cadets!$B51="","",Cadets!$B51)</f>
        <v/>
      </c>
      <c r="C51" s="15">
        <f>IF(Cadets!$B51="","",Cadets!$F51)</f>
        <v/>
      </c>
      <c r="D51" s="14" t="n"/>
      <c r="E51" s="14" t="n"/>
      <c r="F51" s="14" t="n"/>
      <c r="G51" s="14" t="n"/>
      <c r="H51" s="14" t="n"/>
      <c r="I51" s="14" t="n"/>
      <c r="J51" s="14" t="n"/>
      <c r="K51" s="14" t="n"/>
      <c r="L51" s="14" t="n"/>
      <c r="M51" s="14" t="n"/>
      <c r="N51" s="14" t="n"/>
      <c r="O51" s="14" t="n"/>
      <c r="P51" s="14" t="n"/>
      <c r="Q51" s="14" t="n"/>
      <c r="R51" s="14" t="n"/>
      <c r="S51" s="14" t="n"/>
      <c r="T51" s="19" t="n"/>
      <c r="U51" s="19" t="n"/>
      <c r="V51" s="19" t="n"/>
      <c r="W51" s="19" t="n"/>
      <c r="X51" s="19" t="n"/>
      <c r="Y51" s="19" t="n"/>
      <c r="Z51" s="19" t="n"/>
      <c r="AA51" s="15">
        <f>IF($B51="","",IF(COUNT(T51:Z51)=0,"",SUM(T51:Z51)))</f>
        <v/>
      </c>
      <c r="AB51" s="15">
        <f>IF($B51="","",IF($AA51="","",IF(cfgPTFinalMinPoints=0,"(rubric pending)",IF($AA51&gt;=cfgPTFinalMinPoints,"Yes","No"))))</f>
        <v/>
      </c>
      <c r="AC51" s="15">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5">
        <f>IF(Cadets!$B52="","",Cadets!$B52)</f>
        <v/>
      </c>
      <c r="C52" s="15">
        <f>IF(Cadets!$B52="","",Cadets!$F52)</f>
        <v/>
      </c>
      <c r="D52" s="14" t="n"/>
      <c r="E52" s="14" t="n"/>
      <c r="F52" s="14" t="n"/>
      <c r="G52" s="14" t="n"/>
      <c r="H52" s="14" t="n"/>
      <c r="I52" s="14" t="n"/>
      <c r="J52" s="14" t="n"/>
      <c r="K52" s="14" t="n"/>
      <c r="L52" s="14" t="n"/>
      <c r="M52" s="14" t="n"/>
      <c r="N52" s="14" t="n"/>
      <c r="O52" s="14" t="n"/>
      <c r="P52" s="14" t="n"/>
      <c r="Q52" s="14" t="n"/>
      <c r="R52" s="14" t="n"/>
      <c r="S52" s="14" t="n"/>
      <c r="T52" s="19" t="n"/>
      <c r="U52" s="19" t="n"/>
      <c r="V52" s="19" t="n"/>
      <c r="W52" s="19" t="n"/>
      <c r="X52" s="19" t="n"/>
      <c r="Y52" s="19" t="n"/>
      <c r="Z52" s="19" t="n"/>
      <c r="AA52" s="15">
        <f>IF($B52="","",IF(COUNT(T52:Z52)=0,"",SUM(T52:Z52)))</f>
        <v/>
      </c>
      <c r="AB52" s="15">
        <f>IF($B52="","",IF($AA52="","",IF(cfgPTFinalMinPoints=0,"(rubric pending)",IF($AA52&gt;=cfgPTFinalMinPoints,"Yes","No"))))</f>
        <v/>
      </c>
      <c r="AC52" s="15">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5">
        <f>IF(Cadets!$B53="","",Cadets!$B53)</f>
        <v/>
      </c>
      <c r="C53" s="15">
        <f>IF(Cadets!$B53="","",Cadets!$F53)</f>
        <v/>
      </c>
      <c r="D53" s="14" t="n"/>
      <c r="E53" s="14" t="n"/>
      <c r="F53" s="14" t="n"/>
      <c r="G53" s="14" t="n"/>
      <c r="H53" s="14" t="n"/>
      <c r="I53" s="14" t="n"/>
      <c r="J53" s="14" t="n"/>
      <c r="K53" s="14" t="n"/>
      <c r="L53" s="14" t="n"/>
      <c r="M53" s="14" t="n"/>
      <c r="N53" s="14" t="n"/>
      <c r="O53" s="14" t="n"/>
      <c r="P53" s="14" t="n"/>
      <c r="Q53" s="14" t="n"/>
      <c r="R53" s="14" t="n"/>
      <c r="S53" s="14" t="n"/>
      <c r="T53" s="19" t="n"/>
      <c r="U53" s="19" t="n"/>
      <c r="V53" s="19" t="n"/>
      <c r="W53" s="19" t="n"/>
      <c r="X53" s="19" t="n"/>
      <c r="Y53" s="19" t="n"/>
      <c r="Z53" s="19" t="n"/>
      <c r="AA53" s="15">
        <f>IF($B53="","",IF(COUNT(T53:Z53)=0,"",SUM(T53:Z53)))</f>
        <v/>
      </c>
      <c r="AB53" s="15">
        <f>IF($B53="","",IF($AA53="","",IF(cfgPTFinalMinPoints=0,"(rubric pending)",IF($AA53&gt;=cfgPTFinalMinPoints,"Yes","No"))))</f>
        <v/>
      </c>
      <c r="AC53" s="15">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5">
        <f>IF(Cadets!$B54="","",Cadets!$B54)</f>
        <v/>
      </c>
      <c r="C54" s="15">
        <f>IF(Cadets!$B54="","",Cadets!$F54)</f>
        <v/>
      </c>
      <c r="D54" s="14" t="n"/>
      <c r="E54" s="14" t="n"/>
      <c r="F54" s="14" t="n"/>
      <c r="G54" s="14" t="n"/>
      <c r="H54" s="14" t="n"/>
      <c r="I54" s="14" t="n"/>
      <c r="J54" s="14" t="n"/>
      <c r="K54" s="14" t="n"/>
      <c r="L54" s="14" t="n"/>
      <c r="M54" s="14" t="n"/>
      <c r="N54" s="14" t="n"/>
      <c r="O54" s="14" t="n"/>
      <c r="P54" s="14" t="n"/>
      <c r="Q54" s="14" t="n"/>
      <c r="R54" s="14" t="n"/>
      <c r="S54" s="14" t="n"/>
      <c r="T54" s="19" t="n"/>
      <c r="U54" s="19" t="n"/>
      <c r="V54" s="19" t="n"/>
      <c r="W54" s="19" t="n"/>
      <c r="X54" s="19" t="n"/>
      <c r="Y54" s="19" t="n"/>
      <c r="Z54" s="19" t="n"/>
      <c r="AA54" s="15">
        <f>IF($B54="","",IF(COUNT(T54:Z54)=0,"",SUM(T54:Z54)))</f>
        <v/>
      </c>
      <c r="AB54" s="15">
        <f>IF($B54="","",IF($AA54="","",IF(cfgPTFinalMinPoints=0,"(rubric pending)",IF($AA54&gt;=cfgPTFinalMinPoints,"Yes","No"))))</f>
        <v/>
      </c>
      <c r="AC54" s="15">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5">
        <f>IF(Cadets!$B55="","",Cadets!$B55)</f>
        <v/>
      </c>
      <c r="C55" s="15">
        <f>IF(Cadets!$B55="","",Cadets!$F55)</f>
        <v/>
      </c>
      <c r="D55" s="14" t="n"/>
      <c r="E55" s="14" t="n"/>
      <c r="F55" s="14" t="n"/>
      <c r="G55" s="14" t="n"/>
      <c r="H55" s="14" t="n"/>
      <c r="I55" s="14" t="n"/>
      <c r="J55" s="14" t="n"/>
      <c r="K55" s="14" t="n"/>
      <c r="L55" s="14" t="n"/>
      <c r="M55" s="14" t="n"/>
      <c r="N55" s="14" t="n"/>
      <c r="O55" s="14" t="n"/>
      <c r="P55" s="14" t="n"/>
      <c r="Q55" s="14" t="n"/>
      <c r="R55" s="14" t="n"/>
      <c r="S55" s="14" t="n"/>
      <c r="T55" s="19" t="n"/>
      <c r="U55" s="19" t="n"/>
      <c r="V55" s="19" t="n"/>
      <c r="W55" s="19" t="n"/>
      <c r="X55" s="19" t="n"/>
      <c r="Y55" s="19" t="n"/>
      <c r="Z55" s="19" t="n"/>
      <c r="AA55" s="15">
        <f>IF($B55="","",IF(COUNT(T55:Z55)=0,"",SUM(T55:Z55)))</f>
        <v/>
      </c>
      <c r="AB55" s="15">
        <f>IF($B55="","",IF($AA55="","",IF(cfgPTFinalMinPoints=0,"(rubric pending)",IF($AA55&gt;=cfgPTFinalMinPoints,"Yes","No"))))</f>
        <v/>
      </c>
      <c r="AC55" s="15">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1">
      <formula>"Yes"</formula>
    </cfRule>
    <cfRule type="cellIs" priority="2" operator="equal" dxfId="0">
      <formula>"No"</formula>
    </cfRule>
  </conditionalFormatting>
  <conditionalFormatting sqref="K6:K55">
    <cfRule type="cellIs" priority="3" operator="equal" dxfId="1">
      <formula>"Yes"</formula>
    </cfRule>
    <cfRule type="cellIs" priority="4" operator="equal" dxfId="0">
      <formula>"No"</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row r="2"/>
    <row r="3"/>
    <row r="4">
      <c r="B4" s="8" t="inlineStr">
        <is>
          <t>Injuries, clearances and restrictions (policy 400.7/500). Modified PT inside a documented restriction is not a missed session when objectives are met — log the restriction here and the PT Modified event on Attendance.</t>
        </is>
      </c>
    </row>
    <row r="5" ht="26" customHeight="1">
      <c r="B5" s="9" t="inlineStr">
        <is>
          <t>EntryID</t>
        </is>
      </c>
      <c r="C5" s="9" t="inlineStr">
        <is>
          <t>Date</t>
        </is>
      </c>
      <c r="D5" s="9" t="inlineStr">
        <is>
          <t>Cadet Name</t>
        </is>
      </c>
      <c r="E5" s="9" t="inlineStr">
        <is>
          <t>PID</t>
        </is>
      </c>
      <c r="F5" s="9" t="inlineStr">
        <is>
          <t>Type</t>
        </is>
      </c>
      <c r="G5" s="9" t="inlineStr">
        <is>
          <t>Description</t>
        </is>
      </c>
      <c r="H5" s="9" t="inlineStr">
        <is>
          <t>Restriction?</t>
        </is>
      </c>
      <c r="I5" s="9" t="inlineStr">
        <is>
          <t>Restriction Start</t>
        </is>
      </c>
      <c r="J5" s="9" t="inlineStr">
        <is>
          <t>Restriction End</t>
        </is>
      </c>
      <c r="K5" s="9" t="inlineStr">
        <is>
          <t>Cleared Date</t>
        </is>
      </c>
      <c r="L5" s="9" t="inlineStr">
        <is>
          <t>Doc Status</t>
        </is>
      </c>
      <c r="M5" s="9" t="inlineStr">
        <is>
          <t>Current Status</t>
        </is>
      </c>
      <c r="N5" s="9" t="inlineStr">
        <is>
          <t>Notes</t>
        </is>
      </c>
    </row>
    <row r="6">
      <c r="B6" s="15">
        <f>IF($D6="","","MD"&amp;TEXT(ROW()-5,"000"))</f>
        <v/>
      </c>
      <c r="C6" s="16" t="n"/>
      <c r="D6" s="14" t="n"/>
      <c r="E6" s="15">
        <f>IF($D6="","",IFERROR(INDEX(rngCadetPIDs,MATCH($D6,rngCadetNames,0)),"?"))</f>
        <v/>
      </c>
      <c r="F6" s="14" t="n"/>
      <c r="G6" s="14" t="n"/>
      <c r="H6" s="14" t="n"/>
      <c r="I6" s="16" t="n"/>
      <c r="J6" s="16" t="n"/>
      <c r="K6" s="16" t="n"/>
      <c r="L6" s="14" t="n"/>
      <c r="M6" s="15">
        <f>IF($D6="","",IF($K6&lt;&gt;"","Cleared "&amp;TEXT($K6,"mm/dd"),IF($H6="Yes",IF(AND($J6&lt;&gt;"",$J6&lt;TODAY()),"RESTRICTION EXPIRED","ACTIVE RESTRICTION"),"Documented")))</f>
        <v/>
      </c>
      <c r="N6" s="14" t="n"/>
    </row>
    <row r="7">
      <c r="B7" s="15">
        <f>IF($D7="","","MD"&amp;TEXT(ROW()-5,"000"))</f>
        <v/>
      </c>
      <c r="C7" s="16" t="n"/>
      <c r="D7" s="14" t="n"/>
      <c r="E7" s="15">
        <f>IF($D7="","",IFERROR(INDEX(rngCadetPIDs,MATCH($D7,rngCadetNames,0)),"?"))</f>
        <v/>
      </c>
      <c r="F7" s="14" t="n"/>
      <c r="G7" s="14" t="n"/>
      <c r="H7" s="14" t="n"/>
      <c r="I7" s="16" t="n"/>
      <c r="J7" s="16" t="n"/>
      <c r="K7" s="16" t="n"/>
      <c r="L7" s="14" t="n"/>
      <c r="M7" s="15">
        <f>IF($D7="","",IF($K7&lt;&gt;"","Cleared "&amp;TEXT($K7,"mm/dd"),IF($H7="Yes",IF(AND($J7&lt;&gt;"",$J7&lt;TODAY()),"RESTRICTION EXPIRED","ACTIVE RESTRICTION"),"Documented")))</f>
        <v/>
      </c>
      <c r="N7" s="14" t="n"/>
    </row>
    <row r="8">
      <c r="B8" s="15">
        <f>IF($D8="","","MD"&amp;TEXT(ROW()-5,"000"))</f>
        <v/>
      </c>
      <c r="C8" s="16" t="n"/>
      <c r="D8" s="14" t="n"/>
      <c r="E8" s="15">
        <f>IF($D8="","",IFERROR(INDEX(rngCadetPIDs,MATCH($D8,rngCadetNames,0)),"?"))</f>
        <v/>
      </c>
      <c r="F8" s="14" t="n"/>
      <c r="G8" s="14" t="n"/>
      <c r="H8" s="14" t="n"/>
      <c r="I8" s="16" t="n"/>
      <c r="J8" s="16" t="n"/>
      <c r="K8" s="16" t="n"/>
      <c r="L8" s="14" t="n"/>
      <c r="M8" s="15">
        <f>IF($D8="","",IF($K8&lt;&gt;"","Cleared "&amp;TEXT($K8,"mm/dd"),IF($H8="Yes",IF(AND($J8&lt;&gt;"",$J8&lt;TODAY()),"RESTRICTION EXPIRED","ACTIVE RESTRICTION"),"Documented")))</f>
        <v/>
      </c>
      <c r="N8" s="14" t="n"/>
    </row>
    <row r="9">
      <c r="B9" s="15">
        <f>IF($D9="","","MD"&amp;TEXT(ROW()-5,"000"))</f>
        <v/>
      </c>
      <c r="C9" s="16" t="n"/>
      <c r="D9" s="14" t="n"/>
      <c r="E9" s="15">
        <f>IF($D9="","",IFERROR(INDEX(rngCadetPIDs,MATCH($D9,rngCadetNames,0)),"?"))</f>
        <v/>
      </c>
      <c r="F9" s="14" t="n"/>
      <c r="G9" s="14" t="n"/>
      <c r="H9" s="14" t="n"/>
      <c r="I9" s="16" t="n"/>
      <c r="J9" s="16" t="n"/>
      <c r="K9" s="16" t="n"/>
      <c r="L9" s="14" t="n"/>
      <c r="M9" s="15">
        <f>IF($D9="","",IF($K9&lt;&gt;"","Cleared "&amp;TEXT($K9,"mm/dd"),IF($H9="Yes",IF(AND($J9&lt;&gt;"",$J9&lt;TODAY()),"RESTRICTION EXPIRED","ACTIVE RESTRICTION"),"Documented")))</f>
        <v/>
      </c>
      <c r="N9" s="14" t="n"/>
    </row>
    <row r="10">
      <c r="B10" s="15">
        <f>IF($D10="","","MD"&amp;TEXT(ROW()-5,"000"))</f>
        <v/>
      </c>
      <c r="C10" s="16" t="n"/>
      <c r="D10" s="14" t="n"/>
      <c r="E10" s="15">
        <f>IF($D10="","",IFERROR(INDEX(rngCadetPIDs,MATCH($D10,rngCadetNames,0)),"?"))</f>
        <v/>
      </c>
      <c r="F10" s="14" t="n"/>
      <c r="G10" s="14" t="n"/>
      <c r="H10" s="14" t="n"/>
      <c r="I10" s="16" t="n"/>
      <c r="J10" s="16" t="n"/>
      <c r="K10" s="16" t="n"/>
      <c r="L10" s="14" t="n"/>
      <c r="M10" s="15">
        <f>IF($D10="","",IF($K10&lt;&gt;"","Cleared "&amp;TEXT($K10,"mm/dd"),IF($H10="Yes",IF(AND($J10&lt;&gt;"",$J10&lt;TODAY()),"RESTRICTION EXPIRED","ACTIVE RESTRICTION"),"Documented")))</f>
        <v/>
      </c>
      <c r="N10" s="14" t="n"/>
    </row>
    <row r="11">
      <c r="B11" s="15">
        <f>IF($D11="","","MD"&amp;TEXT(ROW()-5,"000"))</f>
        <v/>
      </c>
      <c r="C11" s="16" t="n"/>
      <c r="D11" s="14" t="n"/>
      <c r="E11" s="15">
        <f>IF($D11="","",IFERROR(INDEX(rngCadetPIDs,MATCH($D11,rngCadetNames,0)),"?"))</f>
        <v/>
      </c>
      <c r="F11" s="14" t="n"/>
      <c r="G11" s="14" t="n"/>
      <c r="H11" s="14" t="n"/>
      <c r="I11" s="16" t="n"/>
      <c r="J11" s="16" t="n"/>
      <c r="K11" s="16" t="n"/>
      <c r="L11" s="14" t="n"/>
      <c r="M11" s="15">
        <f>IF($D11="","",IF($K11&lt;&gt;"","Cleared "&amp;TEXT($K11,"mm/dd"),IF($H11="Yes",IF(AND($J11&lt;&gt;"",$J11&lt;TODAY()),"RESTRICTION EXPIRED","ACTIVE RESTRICTION"),"Documented")))</f>
        <v/>
      </c>
      <c r="N11" s="14" t="n"/>
    </row>
    <row r="12">
      <c r="B12" s="15">
        <f>IF($D12="","","MD"&amp;TEXT(ROW()-5,"000"))</f>
        <v/>
      </c>
      <c r="C12" s="16" t="n"/>
      <c r="D12" s="14" t="n"/>
      <c r="E12" s="15">
        <f>IF($D12="","",IFERROR(INDEX(rngCadetPIDs,MATCH($D12,rngCadetNames,0)),"?"))</f>
        <v/>
      </c>
      <c r="F12" s="14" t="n"/>
      <c r="G12" s="14" t="n"/>
      <c r="H12" s="14" t="n"/>
      <c r="I12" s="16" t="n"/>
      <c r="J12" s="16" t="n"/>
      <c r="K12" s="16" t="n"/>
      <c r="L12" s="14" t="n"/>
      <c r="M12" s="15">
        <f>IF($D12="","",IF($K12&lt;&gt;"","Cleared "&amp;TEXT($K12,"mm/dd"),IF($H12="Yes",IF(AND($J12&lt;&gt;"",$J12&lt;TODAY()),"RESTRICTION EXPIRED","ACTIVE RESTRICTION"),"Documented")))</f>
        <v/>
      </c>
      <c r="N12" s="14" t="n"/>
    </row>
    <row r="13">
      <c r="B13" s="15">
        <f>IF($D13="","","MD"&amp;TEXT(ROW()-5,"000"))</f>
        <v/>
      </c>
      <c r="C13" s="16" t="n"/>
      <c r="D13" s="14" t="n"/>
      <c r="E13" s="15">
        <f>IF($D13="","",IFERROR(INDEX(rngCadetPIDs,MATCH($D13,rngCadetNames,0)),"?"))</f>
        <v/>
      </c>
      <c r="F13" s="14" t="n"/>
      <c r="G13" s="14" t="n"/>
      <c r="H13" s="14" t="n"/>
      <c r="I13" s="16" t="n"/>
      <c r="J13" s="16" t="n"/>
      <c r="K13" s="16" t="n"/>
      <c r="L13" s="14" t="n"/>
      <c r="M13" s="15">
        <f>IF($D13="","",IF($K13&lt;&gt;"","Cleared "&amp;TEXT($K13,"mm/dd"),IF($H13="Yes",IF(AND($J13&lt;&gt;"",$J13&lt;TODAY()),"RESTRICTION EXPIRED","ACTIVE RESTRICTION"),"Documented")))</f>
        <v/>
      </c>
      <c r="N13" s="14" t="n"/>
    </row>
    <row r="14">
      <c r="B14" s="15">
        <f>IF($D14="","","MD"&amp;TEXT(ROW()-5,"000"))</f>
        <v/>
      </c>
      <c r="C14" s="16" t="n"/>
      <c r="D14" s="14" t="n"/>
      <c r="E14" s="15">
        <f>IF($D14="","",IFERROR(INDEX(rngCadetPIDs,MATCH($D14,rngCadetNames,0)),"?"))</f>
        <v/>
      </c>
      <c r="F14" s="14" t="n"/>
      <c r="G14" s="14" t="n"/>
      <c r="H14" s="14" t="n"/>
      <c r="I14" s="16" t="n"/>
      <c r="J14" s="16" t="n"/>
      <c r="K14" s="16" t="n"/>
      <c r="L14" s="14" t="n"/>
      <c r="M14" s="15">
        <f>IF($D14="","",IF($K14&lt;&gt;"","Cleared "&amp;TEXT($K14,"mm/dd"),IF($H14="Yes",IF(AND($J14&lt;&gt;"",$J14&lt;TODAY()),"RESTRICTION EXPIRED","ACTIVE RESTRICTION"),"Documented")))</f>
        <v/>
      </c>
      <c r="N14" s="14" t="n"/>
    </row>
    <row r="15">
      <c r="B15" s="15">
        <f>IF($D15="","","MD"&amp;TEXT(ROW()-5,"000"))</f>
        <v/>
      </c>
      <c r="C15" s="16" t="n"/>
      <c r="D15" s="14" t="n"/>
      <c r="E15" s="15">
        <f>IF($D15="","",IFERROR(INDEX(rngCadetPIDs,MATCH($D15,rngCadetNames,0)),"?"))</f>
        <v/>
      </c>
      <c r="F15" s="14" t="n"/>
      <c r="G15" s="14" t="n"/>
      <c r="H15" s="14" t="n"/>
      <c r="I15" s="16" t="n"/>
      <c r="J15" s="16" t="n"/>
      <c r="K15" s="16" t="n"/>
      <c r="L15" s="14" t="n"/>
      <c r="M15" s="15">
        <f>IF($D15="","",IF($K15&lt;&gt;"","Cleared "&amp;TEXT($K15,"mm/dd"),IF($H15="Yes",IF(AND($J15&lt;&gt;"",$J15&lt;TODAY()),"RESTRICTION EXPIRED","ACTIVE RESTRICTION"),"Documented")))</f>
        <v/>
      </c>
      <c r="N15" s="14" t="n"/>
    </row>
    <row r="16">
      <c r="B16" s="15">
        <f>IF($D16="","","MD"&amp;TEXT(ROW()-5,"000"))</f>
        <v/>
      </c>
      <c r="C16" s="16" t="n"/>
      <c r="D16" s="14" t="n"/>
      <c r="E16" s="15">
        <f>IF($D16="","",IFERROR(INDEX(rngCadetPIDs,MATCH($D16,rngCadetNames,0)),"?"))</f>
        <v/>
      </c>
      <c r="F16" s="14" t="n"/>
      <c r="G16" s="14" t="n"/>
      <c r="H16" s="14" t="n"/>
      <c r="I16" s="16" t="n"/>
      <c r="J16" s="16" t="n"/>
      <c r="K16" s="16" t="n"/>
      <c r="L16" s="14" t="n"/>
      <c r="M16" s="15">
        <f>IF($D16="","",IF($K16&lt;&gt;"","Cleared "&amp;TEXT($K16,"mm/dd"),IF($H16="Yes",IF(AND($J16&lt;&gt;"",$J16&lt;TODAY()),"RESTRICTION EXPIRED","ACTIVE RESTRICTION"),"Documented")))</f>
        <v/>
      </c>
      <c r="N16" s="14" t="n"/>
    </row>
    <row r="17">
      <c r="B17" s="15">
        <f>IF($D17="","","MD"&amp;TEXT(ROW()-5,"000"))</f>
        <v/>
      </c>
      <c r="C17" s="16" t="n"/>
      <c r="D17" s="14" t="n"/>
      <c r="E17" s="15">
        <f>IF($D17="","",IFERROR(INDEX(rngCadetPIDs,MATCH($D17,rngCadetNames,0)),"?"))</f>
        <v/>
      </c>
      <c r="F17" s="14" t="n"/>
      <c r="G17" s="14" t="n"/>
      <c r="H17" s="14" t="n"/>
      <c r="I17" s="16" t="n"/>
      <c r="J17" s="16" t="n"/>
      <c r="K17" s="16" t="n"/>
      <c r="L17" s="14" t="n"/>
      <c r="M17" s="15">
        <f>IF($D17="","",IF($K17&lt;&gt;"","Cleared "&amp;TEXT($K17,"mm/dd"),IF($H17="Yes",IF(AND($J17&lt;&gt;"",$J17&lt;TODAY()),"RESTRICTION EXPIRED","ACTIVE RESTRICTION"),"Documented")))</f>
        <v/>
      </c>
      <c r="N17" s="14" t="n"/>
    </row>
    <row r="18">
      <c r="B18" s="15">
        <f>IF($D18="","","MD"&amp;TEXT(ROW()-5,"000"))</f>
        <v/>
      </c>
      <c r="C18" s="16" t="n"/>
      <c r="D18" s="14" t="n"/>
      <c r="E18" s="15">
        <f>IF($D18="","",IFERROR(INDEX(rngCadetPIDs,MATCH($D18,rngCadetNames,0)),"?"))</f>
        <v/>
      </c>
      <c r="F18" s="14" t="n"/>
      <c r="G18" s="14" t="n"/>
      <c r="H18" s="14" t="n"/>
      <c r="I18" s="16" t="n"/>
      <c r="J18" s="16" t="n"/>
      <c r="K18" s="16" t="n"/>
      <c r="L18" s="14" t="n"/>
      <c r="M18" s="15">
        <f>IF($D18="","",IF($K18&lt;&gt;"","Cleared "&amp;TEXT($K18,"mm/dd"),IF($H18="Yes",IF(AND($J18&lt;&gt;"",$J18&lt;TODAY()),"RESTRICTION EXPIRED","ACTIVE RESTRICTION"),"Documented")))</f>
        <v/>
      </c>
      <c r="N18" s="14" t="n"/>
    </row>
    <row r="19">
      <c r="B19" s="15">
        <f>IF($D19="","","MD"&amp;TEXT(ROW()-5,"000"))</f>
        <v/>
      </c>
      <c r="C19" s="16" t="n"/>
      <c r="D19" s="14" t="n"/>
      <c r="E19" s="15">
        <f>IF($D19="","",IFERROR(INDEX(rngCadetPIDs,MATCH($D19,rngCadetNames,0)),"?"))</f>
        <v/>
      </c>
      <c r="F19" s="14" t="n"/>
      <c r="G19" s="14" t="n"/>
      <c r="H19" s="14" t="n"/>
      <c r="I19" s="16" t="n"/>
      <c r="J19" s="16" t="n"/>
      <c r="K19" s="16" t="n"/>
      <c r="L19" s="14" t="n"/>
      <c r="M19" s="15">
        <f>IF($D19="","",IF($K19&lt;&gt;"","Cleared "&amp;TEXT($K19,"mm/dd"),IF($H19="Yes",IF(AND($J19&lt;&gt;"",$J19&lt;TODAY()),"RESTRICTION EXPIRED","ACTIVE RESTRICTION"),"Documented")))</f>
        <v/>
      </c>
      <c r="N19" s="14" t="n"/>
    </row>
    <row r="20">
      <c r="B20" s="15">
        <f>IF($D20="","","MD"&amp;TEXT(ROW()-5,"000"))</f>
        <v/>
      </c>
      <c r="C20" s="16" t="n"/>
      <c r="D20" s="14" t="n"/>
      <c r="E20" s="15">
        <f>IF($D20="","",IFERROR(INDEX(rngCadetPIDs,MATCH($D20,rngCadetNames,0)),"?"))</f>
        <v/>
      </c>
      <c r="F20" s="14" t="n"/>
      <c r="G20" s="14" t="n"/>
      <c r="H20" s="14" t="n"/>
      <c r="I20" s="16" t="n"/>
      <c r="J20" s="16" t="n"/>
      <c r="K20" s="16" t="n"/>
      <c r="L20" s="14" t="n"/>
      <c r="M20" s="15">
        <f>IF($D20="","",IF($K20&lt;&gt;"","Cleared "&amp;TEXT($K20,"mm/dd"),IF($H20="Yes",IF(AND($J20&lt;&gt;"",$J20&lt;TODAY()),"RESTRICTION EXPIRED","ACTIVE RESTRICTION"),"Documented")))</f>
        <v/>
      </c>
      <c r="N20" s="14" t="n"/>
    </row>
    <row r="21">
      <c r="B21" s="15">
        <f>IF($D21="","","MD"&amp;TEXT(ROW()-5,"000"))</f>
        <v/>
      </c>
      <c r="C21" s="16" t="n"/>
      <c r="D21" s="14" t="n"/>
      <c r="E21" s="15">
        <f>IF($D21="","",IFERROR(INDEX(rngCadetPIDs,MATCH($D21,rngCadetNames,0)),"?"))</f>
        <v/>
      </c>
      <c r="F21" s="14" t="n"/>
      <c r="G21" s="14" t="n"/>
      <c r="H21" s="14" t="n"/>
      <c r="I21" s="16" t="n"/>
      <c r="J21" s="16" t="n"/>
      <c r="K21" s="16" t="n"/>
      <c r="L21" s="14" t="n"/>
      <c r="M21" s="15">
        <f>IF($D21="","",IF($K21&lt;&gt;"","Cleared "&amp;TEXT($K21,"mm/dd"),IF($H21="Yes",IF(AND($J21&lt;&gt;"",$J21&lt;TODAY()),"RESTRICTION EXPIRED","ACTIVE RESTRICTION"),"Documented")))</f>
        <v/>
      </c>
      <c r="N21" s="14" t="n"/>
    </row>
    <row r="22">
      <c r="B22" s="15">
        <f>IF($D22="","","MD"&amp;TEXT(ROW()-5,"000"))</f>
        <v/>
      </c>
      <c r="C22" s="16" t="n"/>
      <c r="D22" s="14" t="n"/>
      <c r="E22" s="15">
        <f>IF($D22="","",IFERROR(INDEX(rngCadetPIDs,MATCH($D22,rngCadetNames,0)),"?"))</f>
        <v/>
      </c>
      <c r="F22" s="14" t="n"/>
      <c r="G22" s="14" t="n"/>
      <c r="H22" s="14" t="n"/>
      <c r="I22" s="16" t="n"/>
      <c r="J22" s="16" t="n"/>
      <c r="K22" s="16" t="n"/>
      <c r="L22" s="14" t="n"/>
      <c r="M22" s="15">
        <f>IF($D22="","",IF($K22&lt;&gt;"","Cleared "&amp;TEXT($K22,"mm/dd"),IF($H22="Yes",IF(AND($J22&lt;&gt;"",$J22&lt;TODAY()),"RESTRICTION EXPIRED","ACTIVE RESTRICTION"),"Documented")))</f>
        <v/>
      </c>
      <c r="N22" s="14" t="n"/>
    </row>
    <row r="23">
      <c r="B23" s="15">
        <f>IF($D23="","","MD"&amp;TEXT(ROW()-5,"000"))</f>
        <v/>
      </c>
      <c r="C23" s="16" t="n"/>
      <c r="D23" s="14" t="n"/>
      <c r="E23" s="15">
        <f>IF($D23="","",IFERROR(INDEX(rngCadetPIDs,MATCH($D23,rngCadetNames,0)),"?"))</f>
        <v/>
      </c>
      <c r="F23" s="14" t="n"/>
      <c r="G23" s="14" t="n"/>
      <c r="H23" s="14" t="n"/>
      <c r="I23" s="16" t="n"/>
      <c r="J23" s="16" t="n"/>
      <c r="K23" s="16" t="n"/>
      <c r="L23" s="14" t="n"/>
      <c r="M23" s="15">
        <f>IF($D23="","",IF($K23&lt;&gt;"","Cleared "&amp;TEXT($K23,"mm/dd"),IF($H23="Yes",IF(AND($J23&lt;&gt;"",$J23&lt;TODAY()),"RESTRICTION EXPIRED","ACTIVE RESTRICTION"),"Documented")))</f>
        <v/>
      </c>
      <c r="N23" s="14" t="n"/>
    </row>
    <row r="24">
      <c r="B24" s="15">
        <f>IF($D24="","","MD"&amp;TEXT(ROW()-5,"000"))</f>
        <v/>
      </c>
      <c r="C24" s="16" t="n"/>
      <c r="D24" s="14" t="n"/>
      <c r="E24" s="15">
        <f>IF($D24="","",IFERROR(INDEX(rngCadetPIDs,MATCH($D24,rngCadetNames,0)),"?"))</f>
        <v/>
      </c>
      <c r="F24" s="14" t="n"/>
      <c r="G24" s="14" t="n"/>
      <c r="H24" s="14" t="n"/>
      <c r="I24" s="16" t="n"/>
      <c r="J24" s="16" t="n"/>
      <c r="K24" s="16" t="n"/>
      <c r="L24" s="14" t="n"/>
      <c r="M24" s="15">
        <f>IF($D24="","",IF($K24&lt;&gt;"","Cleared "&amp;TEXT($K24,"mm/dd"),IF($H24="Yes",IF(AND($J24&lt;&gt;"",$J24&lt;TODAY()),"RESTRICTION EXPIRED","ACTIVE RESTRICTION"),"Documented")))</f>
        <v/>
      </c>
      <c r="N24" s="14" t="n"/>
    </row>
    <row r="25">
      <c r="B25" s="15">
        <f>IF($D25="","","MD"&amp;TEXT(ROW()-5,"000"))</f>
        <v/>
      </c>
      <c r="C25" s="16" t="n"/>
      <c r="D25" s="14" t="n"/>
      <c r="E25" s="15">
        <f>IF($D25="","",IFERROR(INDEX(rngCadetPIDs,MATCH($D25,rngCadetNames,0)),"?"))</f>
        <v/>
      </c>
      <c r="F25" s="14" t="n"/>
      <c r="G25" s="14" t="n"/>
      <c r="H25" s="14" t="n"/>
      <c r="I25" s="16" t="n"/>
      <c r="J25" s="16" t="n"/>
      <c r="K25" s="16" t="n"/>
      <c r="L25" s="14" t="n"/>
      <c r="M25" s="15">
        <f>IF($D25="","",IF($K25&lt;&gt;"","Cleared "&amp;TEXT($K25,"mm/dd"),IF($H25="Yes",IF(AND($J25&lt;&gt;"",$J25&lt;TODAY()),"RESTRICTION EXPIRED","ACTIVE RESTRICTION"),"Documented")))</f>
        <v/>
      </c>
      <c r="N25" s="14" t="n"/>
    </row>
    <row r="26">
      <c r="B26" s="15">
        <f>IF($D26="","","MD"&amp;TEXT(ROW()-5,"000"))</f>
        <v/>
      </c>
      <c r="C26" s="16" t="n"/>
      <c r="D26" s="14" t="n"/>
      <c r="E26" s="15">
        <f>IF($D26="","",IFERROR(INDEX(rngCadetPIDs,MATCH($D26,rngCadetNames,0)),"?"))</f>
        <v/>
      </c>
      <c r="F26" s="14" t="n"/>
      <c r="G26" s="14" t="n"/>
      <c r="H26" s="14" t="n"/>
      <c r="I26" s="16" t="n"/>
      <c r="J26" s="16" t="n"/>
      <c r="K26" s="16" t="n"/>
      <c r="L26" s="14" t="n"/>
      <c r="M26" s="15">
        <f>IF($D26="","",IF($K26&lt;&gt;"","Cleared "&amp;TEXT($K26,"mm/dd"),IF($H26="Yes",IF(AND($J26&lt;&gt;"",$J26&lt;TODAY()),"RESTRICTION EXPIRED","ACTIVE RESTRICTION"),"Documented")))</f>
        <v/>
      </c>
      <c r="N26" s="14" t="n"/>
    </row>
    <row r="27">
      <c r="B27" s="15">
        <f>IF($D27="","","MD"&amp;TEXT(ROW()-5,"000"))</f>
        <v/>
      </c>
      <c r="C27" s="16" t="n"/>
      <c r="D27" s="14" t="n"/>
      <c r="E27" s="15">
        <f>IF($D27="","",IFERROR(INDEX(rngCadetPIDs,MATCH($D27,rngCadetNames,0)),"?"))</f>
        <v/>
      </c>
      <c r="F27" s="14" t="n"/>
      <c r="G27" s="14" t="n"/>
      <c r="H27" s="14" t="n"/>
      <c r="I27" s="16" t="n"/>
      <c r="J27" s="16" t="n"/>
      <c r="K27" s="16" t="n"/>
      <c r="L27" s="14" t="n"/>
      <c r="M27" s="15">
        <f>IF($D27="","",IF($K27&lt;&gt;"","Cleared "&amp;TEXT($K27,"mm/dd"),IF($H27="Yes",IF(AND($J27&lt;&gt;"",$J27&lt;TODAY()),"RESTRICTION EXPIRED","ACTIVE RESTRICTION"),"Documented")))</f>
        <v/>
      </c>
      <c r="N27" s="14" t="n"/>
    </row>
    <row r="28">
      <c r="B28" s="15">
        <f>IF($D28="","","MD"&amp;TEXT(ROW()-5,"000"))</f>
        <v/>
      </c>
      <c r="C28" s="16" t="n"/>
      <c r="D28" s="14" t="n"/>
      <c r="E28" s="15">
        <f>IF($D28="","",IFERROR(INDEX(rngCadetPIDs,MATCH($D28,rngCadetNames,0)),"?"))</f>
        <v/>
      </c>
      <c r="F28" s="14" t="n"/>
      <c r="G28" s="14" t="n"/>
      <c r="H28" s="14" t="n"/>
      <c r="I28" s="16" t="n"/>
      <c r="J28" s="16" t="n"/>
      <c r="K28" s="16" t="n"/>
      <c r="L28" s="14" t="n"/>
      <c r="M28" s="15">
        <f>IF($D28="","",IF($K28&lt;&gt;"","Cleared "&amp;TEXT($K28,"mm/dd"),IF($H28="Yes",IF(AND($J28&lt;&gt;"",$J28&lt;TODAY()),"RESTRICTION EXPIRED","ACTIVE RESTRICTION"),"Documented")))</f>
        <v/>
      </c>
      <c r="N28" s="14" t="n"/>
    </row>
    <row r="29">
      <c r="B29" s="15">
        <f>IF($D29="","","MD"&amp;TEXT(ROW()-5,"000"))</f>
        <v/>
      </c>
      <c r="C29" s="16" t="n"/>
      <c r="D29" s="14" t="n"/>
      <c r="E29" s="15">
        <f>IF($D29="","",IFERROR(INDEX(rngCadetPIDs,MATCH($D29,rngCadetNames,0)),"?"))</f>
        <v/>
      </c>
      <c r="F29" s="14" t="n"/>
      <c r="G29" s="14" t="n"/>
      <c r="H29" s="14" t="n"/>
      <c r="I29" s="16" t="n"/>
      <c r="J29" s="16" t="n"/>
      <c r="K29" s="16" t="n"/>
      <c r="L29" s="14" t="n"/>
      <c r="M29" s="15">
        <f>IF($D29="","",IF($K29&lt;&gt;"","Cleared "&amp;TEXT($K29,"mm/dd"),IF($H29="Yes",IF(AND($J29&lt;&gt;"",$J29&lt;TODAY()),"RESTRICTION EXPIRED","ACTIVE RESTRICTION"),"Documented")))</f>
        <v/>
      </c>
      <c r="N29" s="14" t="n"/>
    </row>
    <row r="30">
      <c r="B30" s="15">
        <f>IF($D30="","","MD"&amp;TEXT(ROW()-5,"000"))</f>
        <v/>
      </c>
      <c r="C30" s="16" t="n"/>
      <c r="D30" s="14" t="n"/>
      <c r="E30" s="15">
        <f>IF($D30="","",IFERROR(INDEX(rngCadetPIDs,MATCH($D30,rngCadetNames,0)),"?"))</f>
        <v/>
      </c>
      <c r="F30" s="14" t="n"/>
      <c r="G30" s="14" t="n"/>
      <c r="H30" s="14" t="n"/>
      <c r="I30" s="16" t="n"/>
      <c r="J30" s="16" t="n"/>
      <c r="K30" s="16" t="n"/>
      <c r="L30" s="14" t="n"/>
      <c r="M30" s="15">
        <f>IF($D30="","",IF($K30&lt;&gt;"","Cleared "&amp;TEXT($K30,"mm/dd"),IF($H30="Yes",IF(AND($J30&lt;&gt;"",$J30&lt;TODAY()),"RESTRICTION EXPIRED","ACTIVE RESTRICTION"),"Documented")))</f>
        <v/>
      </c>
      <c r="N30" s="14" t="n"/>
    </row>
    <row r="31">
      <c r="B31" s="15">
        <f>IF($D31="","","MD"&amp;TEXT(ROW()-5,"000"))</f>
        <v/>
      </c>
      <c r="C31" s="16" t="n"/>
      <c r="D31" s="14" t="n"/>
      <c r="E31" s="15">
        <f>IF($D31="","",IFERROR(INDEX(rngCadetPIDs,MATCH($D31,rngCadetNames,0)),"?"))</f>
        <v/>
      </c>
      <c r="F31" s="14" t="n"/>
      <c r="G31" s="14" t="n"/>
      <c r="H31" s="14" t="n"/>
      <c r="I31" s="16" t="n"/>
      <c r="J31" s="16" t="n"/>
      <c r="K31" s="16" t="n"/>
      <c r="L31" s="14" t="n"/>
      <c r="M31" s="15">
        <f>IF($D31="","",IF($K31&lt;&gt;"","Cleared "&amp;TEXT($K31,"mm/dd"),IF($H31="Yes",IF(AND($J31&lt;&gt;"",$J31&lt;TODAY()),"RESTRICTION EXPIRED","ACTIVE RESTRICTION"),"Documented")))</f>
        <v/>
      </c>
      <c r="N31" s="14" t="n"/>
    </row>
    <row r="32">
      <c r="B32" s="15">
        <f>IF($D32="","","MD"&amp;TEXT(ROW()-5,"000"))</f>
        <v/>
      </c>
      <c r="C32" s="16" t="n"/>
      <c r="D32" s="14" t="n"/>
      <c r="E32" s="15">
        <f>IF($D32="","",IFERROR(INDEX(rngCadetPIDs,MATCH($D32,rngCadetNames,0)),"?"))</f>
        <v/>
      </c>
      <c r="F32" s="14" t="n"/>
      <c r="G32" s="14" t="n"/>
      <c r="H32" s="14" t="n"/>
      <c r="I32" s="16" t="n"/>
      <c r="J32" s="16" t="n"/>
      <c r="K32" s="16" t="n"/>
      <c r="L32" s="14" t="n"/>
      <c r="M32" s="15">
        <f>IF($D32="","",IF($K32&lt;&gt;"","Cleared "&amp;TEXT($K32,"mm/dd"),IF($H32="Yes",IF(AND($J32&lt;&gt;"",$J32&lt;TODAY()),"RESTRICTION EXPIRED","ACTIVE RESTRICTION"),"Documented")))</f>
        <v/>
      </c>
      <c r="N32" s="14" t="n"/>
    </row>
    <row r="33">
      <c r="B33" s="15">
        <f>IF($D33="","","MD"&amp;TEXT(ROW()-5,"000"))</f>
        <v/>
      </c>
      <c r="C33" s="16" t="n"/>
      <c r="D33" s="14" t="n"/>
      <c r="E33" s="15">
        <f>IF($D33="","",IFERROR(INDEX(rngCadetPIDs,MATCH($D33,rngCadetNames,0)),"?"))</f>
        <v/>
      </c>
      <c r="F33" s="14" t="n"/>
      <c r="G33" s="14" t="n"/>
      <c r="H33" s="14" t="n"/>
      <c r="I33" s="16" t="n"/>
      <c r="J33" s="16" t="n"/>
      <c r="K33" s="16" t="n"/>
      <c r="L33" s="14" t="n"/>
      <c r="M33" s="15">
        <f>IF($D33="","",IF($K33&lt;&gt;"","Cleared "&amp;TEXT($K33,"mm/dd"),IF($H33="Yes",IF(AND($J33&lt;&gt;"",$J33&lt;TODAY()),"RESTRICTION EXPIRED","ACTIVE RESTRICTION"),"Documented")))</f>
        <v/>
      </c>
      <c r="N33" s="14" t="n"/>
    </row>
    <row r="34">
      <c r="B34" s="15">
        <f>IF($D34="","","MD"&amp;TEXT(ROW()-5,"000"))</f>
        <v/>
      </c>
      <c r="C34" s="16" t="n"/>
      <c r="D34" s="14" t="n"/>
      <c r="E34" s="15">
        <f>IF($D34="","",IFERROR(INDEX(rngCadetPIDs,MATCH($D34,rngCadetNames,0)),"?"))</f>
        <v/>
      </c>
      <c r="F34" s="14" t="n"/>
      <c r="G34" s="14" t="n"/>
      <c r="H34" s="14" t="n"/>
      <c r="I34" s="16" t="n"/>
      <c r="J34" s="16" t="n"/>
      <c r="K34" s="16" t="n"/>
      <c r="L34" s="14" t="n"/>
      <c r="M34" s="15">
        <f>IF($D34="","",IF($K34&lt;&gt;"","Cleared "&amp;TEXT($K34,"mm/dd"),IF($H34="Yes",IF(AND($J34&lt;&gt;"",$J34&lt;TODAY()),"RESTRICTION EXPIRED","ACTIVE RESTRICTION"),"Documented")))</f>
        <v/>
      </c>
      <c r="N34" s="14" t="n"/>
    </row>
    <row r="35">
      <c r="B35" s="15">
        <f>IF($D35="","","MD"&amp;TEXT(ROW()-5,"000"))</f>
        <v/>
      </c>
      <c r="C35" s="16" t="n"/>
      <c r="D35" s="14" t="n"/>
      <c r="E35" s="15">
        <f>IF($D35="","",IFERROR(INDEX(rngCadetPIDs,MATCH($D35,rngCadetNames,0)),"?"))</f>
        <v/>
      </c>
      <c r="F35" s="14" t="n"/>
      <c r="G35" s="14" t="n"/>
      <c r="H35" s="14" t="n"/>
      <c r="I35" s="16" t="n"/>
      <c r="J35" s="16" t="n"/>
      <c r="K35" s="16" t="n"/>
      <c r="L35" s="14" t="n"/>
      <c r="M35" s="15">
        <f>IF($D35="","",IF($K35&lt;&gt;"","Cleared "&amp;TEXT($K35,"mm/dd"),IF($H35="Yes",IF(AND($J35&lt;&gt;"",$J35&lt;TODAY()),"RESTRICTION EXPIRED","ACTIVE RESTRICTION"),"Documented")))</f>
        <v/>
      </c>
      <c r="N35" s="14" t="n"/>
    </row>
    <row r="36">
      <c r="B36" s="15">
        <f>IF($D36="","","MD"&amp;TEXT(ROW()-5,"000"))</f>
        <v/>
      </c>
      <c r="C36" s="16" t="n"/>
      <c r="D36" s="14" t="n"/>
      <c r="E36" s="15">
        <f>IF($D36="","",IFERROR(INDEX(rngCadetPIDs,MATCH($D36,rngCadetNames,0)),"?"))</f>
        <v/>
      </c>
      <c r="F36" s="14" t="n"/>
      <c r="G36" s="14" t="n"/>
      <c r="H36" s="14" t="n"/>
      <c r="I36" s="16" t="n"/>
      <c r="J36" s="16" t="n"/>
      <c r="K36" s="16" t="n"/>
      <c r="L36" s="14" t="n"/>
      <c r="M36" s="15">
        <f>IF($D36="","",IF($K36&lt;&gt;"","Cleared "&amp;TEXT($K36,"mm/dd"),IF($H36="Yes",IF(AND($J36&lt;&gt;"",$J36&lt;TODAY()),"RESTRICTION EXPIRED","ACTIVE RESTRICTION"),"Documented")))</f>
        <v/>
      </c>
      <c r="N36" s="14" t="n"/>
    </row>
    <row r="37">
      <c r="B37" s="15">
        <f>IF($D37="","","MD"&amp;TEXT(ROW()-5,"000"))</f>
        <v/>
      </c>
      <c r="C37" s="16" t="n"/>
      <c r="D37" s="14" t="n"/>
      <c r="E37" s="15">
        <f>IF($D37="","",IFERROR(INDEX(rngCadetPIDs,MATCH($D37,rngCadetNames,0)),"?"))</f>
        <v/>
      </c>
      <c r="F37" s="14" t="n"/>
      <c r="G37" s="14" t="n"/>
      <c r="H37" s="14" t="n"/>
      <c r="I37" s="16" t="n"/>
      <c r="J37" s="16" t="n"/>
      <c r="K37" s="16" t="n"/>
      <c r="L37" s="14" t="n"/>
      <c r="M37" s="15">
        <f>IF($D37="","",IF($K37&lt;&gt;"","Cleared "&amp;TEXT($K37,"mm/dd"),IF($H37="Yes",IF(AND($J37&lt;&gt;"",$J37&lt;TODAY()),"RESTRICTION EXPIRED","ACTIVE RESTRICTION"),"Documented")))</f>
        <v/>
      </c>
      <c r="N37" s="14" t="n"/>
    </row>
    <row r="38">
      <c r="B38" s="15">
        <f>IF($D38="","","MD"&amp;TEXT(ROW()-5,"000"))</f>
        <v/>
      </c>
      <c r="C38" s="16" t="n"/>
      <c r="D38" s="14" t="n"/>
      <c r="E38" s="15">
        <f>IF($D38="","",IFERROR(INDEX(rngCadetPIDs,MATCH($D38,rngCadetNames,0)),"?"))</f>
        <v/>
      </c>
      <c r="F38" s="14" t="n"/>
      <c r="G38" s="14" t="n"/>
      <c r="H38" s="14" t="n"/>
      <c r="I38" s="16" t="n"/>
      <c r="J38" s="16" t="n"/>
      <c r="K38" s="16" t="n"/>
      <c r="L38" s="14" t="n"/>
      <c r="M38" s="15">
        <f>IF($D38="","",IF($K38&lt;&gt;"","Cleared "&amp;TEXT($K38,"mm/dd"),IF($H38="Yes",IF(AND($J38&lt;&gt;"",$J38&lt;TODAY()),"RESTRICTION EXPIRED","ACTIVE RESTRICTION"),"Documented")))</f>
        <v/>
      </c>
      <c r="N38" s="14" t="n"/>
    </row>
    <row r="39">
      <c r="B39" s="15">
        <f>IF($D39="","","MD"&amp;TEXT(ROW()-5,"000"))</f>
        <v/>
      </c>
      <c r="C39" s="16" t="n"/>
      <c r="D39" s="14" t="n"/>
      <c r="E39" s="15">
        <f>IF($D39="","",IFERROR(INDEX(rngCadetPIDs,MATCH($D39,rngCadetNames,0)),"?"))</f>
        <v/>
      </c>
      <c r="F39" s="14" t="n"/>
      <c r="G39" s="14" t="n"/>
      <c r="H39" s="14" t="n"/>
      <c r="I39" s="16" t="n"/>
      <c r="J39" s="16" t="n"/>
      <c r="K39" s="16" t="n"/>
      <c r="L39" s="14" t="n"/>
      <c r="M39" s="15">
        <f>IF($D39="","",IF($K39&lt;&gt;"","Cleared "&amp;TEXT($K39,"mm/dd"),IF($H39="Yes",IF(AND($J39&lt;&gt;"",$J39&lt;TODAY()),"RESTRICTION EXPIRED","ACTIVE RESTRICTION"),"Documented")))</f>
        <v/>
      </c>
      <c r="N39" s="14" t="n"/>
    </row>
    <row r="40">
      <c r="B40" s="15">
        <f>IF($D40="","","MD"&amp;TEXT(ROW()-5,"000"))</f>
        <v/>
      </c>
      <c r="C40" s="16" t="n"/>
      <c r="D40" s="14" t="n"/>
      <c r="E40" s="15">
        <f>IF($D40="","",IFERROR(INDEX(rngCadetPIDs,MATCH($D40,rngCadetNames,0)),"?"))</f>
        <v/>
      </c>
      <c r="F40" s="14" t="n"/>
      <c r="G40" s="14" t="n"/>
      <c r="H40" s="14" t="n"/>
      <c r="I40" s="16" t="n"/>
      <c r="J40" s="16" t="n"/>
      <c r="K40" s="16" t="n"/>
      <c r="L40" s="14" t="n"/>
      <c r="M40" s="15">
        <f>IF($D40="","",IF($K40&lt;&gt;"","Cleared "&amp;TEXT($K40,"mm/dd"),IF($H40="Yes",IF(AND($J40&lt;&gt;"",$J40&lt;TODAY()),"RESTRICTION EXPIRED","ACTIVE RESTRICTION"),"Documented")))</f>
        <v/>
      </c>
      <c r="N40" s="14" t="n"/>
    </row>
    <row r="41">
      <c r="B41" s="15">
        <f>IF($D41="","","MD"&amp;TEXT(ROW()-5,"000"))</f>
        <v/>
      </c>
      <c r="C41" s="16" t="n"/>
      <c r="D41" s="14" t="n"/>
      <c r="E41" s="15">
        <f>IF($D41="","",IFERROR(INDEX(rngCadetPIDs,MATCH($D41,rngCadetNames,0)),"?"))</f>
        <v/>
      </c>
      <c r="F41" s="14" t="n"/>
      <c r="G41" s="14" t="n"/>
      <c r="H41" s="14" t="n"/>
      <c r="I41" s="16" t="n"/>
      <c r="J41" s="16" t="n"/>
      <c r="K41" s="16" t="n"/>
      <c r="L41" s="14" t="n"/>
      <c r="M41" s="15">
        <f>IF($D41="","",IF($K41&lt;&gt;"","Cleared "&amp;TEXT($K41,"mm/dd"),IF($H41="Yes",IF(AND($J41&lt;&gt;"",$J41&lt;TODAY()),"RESTRICTION EXPIRED","ACTIVE RESTRICTION"),"Documented")))</f>
        <v/>
      </c>
      <c r="N41" s="14" t="n"/>
    </row>
    <row r="42">
      <c r="B42" s="15">
        <f>IF($D42="","","MD"&amp;TEXT(ROW()-5,"000"))</f>
        <v/>
      </c>
      <c r="C42" s="16" t="n"/>
      <c r="D42" s="14" t="n"/>
      <c r="E42" s="15">
        <f>IF($D42="","",IFERROR(INDEX(rngCadetPIDs,MATCH($D42,rngCadetNames,0)),"?"))</f>
        <v/>
      </c>
      <c r="F42" s="14" t="n"/>
      <c r="G42" s="14" t="n"/>
      <c r="H42" s="14" t="n"/>
      <c r="I42" s="16" t="n"/>
      <c r="J42" s="16" t="n"/>
      <c r="K42" s="16" t="n"/>
      <c r="L42" s="14" t="n"/>
      <c r="M42" s="15">
        <f>IF($D42="","",IF($K42&lt;&gt;"","Cleared "&amp;TEXT($K42,"mm/dd"),IF($H42="Yes",IF(AND($J42&lt;&gt;"",$J42&lt;TODAY()),"RESTRICTION EXPIRED","ACTIVE RESTRICTION"),"Documented")))</f>
        <v/>
      </c>
      <c r="N42" s="14" t="n"/>
    </row>
    <row r="43">
      <c r="B43" s="15">
        <f>IF($D43="","","MD"&amp;TEXT(ROW()-5,"000"))</f>
        <v/>
      </c>
      <c r="C43" s="16" t="n"/>
      <c r="D43" s="14" t="n"/>
      <c r="E43" s="15">
        <f>IF($D43="","",IFERROR(INDEX(rngCadetPIDs,MATCH($D43,rngCadetNames,0)),"?"))</f>
        <v/>
      </c>
      <c r="F43" s="14" t="n"/>
      <c r="G43" s="14" t="n"/>
      <c r="H43" s="14" t="n"/>
      <c r="I43" s="16" t="n"/>
      <c r="J43" s="16" t="n"/>
      <c r="K43" s="16" t="n"/>
      <c r="L43" s="14" t="n"/>
      <c r="M43" s="15">
        <f>IF($D43="","",IF($K43&lt;&gt;"","Cleared "&amp;TEXT($K43,"mm/dd"),IF($H43="Yes",IF(AND($J43&lt;&gt;"",$J43&lt;TODAY()),"RESTRICTION EXPIRED","ACTIVE RESTRICTION"),"Documented")))</f>
        <v/>
      </c>
      <c r="N43" s="14" t="n"/>
    </row>
    <row r="44">
      <c r="B44" s="15">
        <f>IF($D44="","","MD"&amp;TEXT(ROW()-5,"000"))</f>
        <v/>
      </c>
      <c r="C44" s="16" t="n"/>
      <c r="D44" s="14" t="n"/>
      <c r="E44" s="15">
        <f>IF($D44="","",IFERROR(INDEX(rngCadetPIDs,MATCH($D44,rngCadetNames,0)),"?"))</f>
        <v/>
      </c>
      <c r="F44" s="14" t="n"/>
      <c r="G44" s="14" t="n"/>
      <c r="H44" s="14" t="n"/>
      <c r="I44" s="16" t="n"/>
      <c r="J44" s="16" t="n"/>
      <c r="K44" s="16" t="n"/>
      <c r="L44" s="14" t="n"/>
      <c r="M44" s="15">
        <f>IF($D44="","",IF($K44&lt;&gt;"","Cleared "&amp;TEXT($K44,"mm/dd"),IF($H44="Yes",IF(AND($J44&lt;&gt;"",$J44&lt;TODAY()),"RESTRICTION EXPIRED","ACTIVE RESTRICTION"),"Documented")))</f>
        <v/>
      </c>
      <c r="N44" s="14" t="n"/>
    </row>
    <row r="45">
      <c r="B45" s="15">
        <f>IF($D45="","","MD"&amp;TEXT(ROW()-5,"000"))</f>
        <v/>
      </c>
      <c r="C45" s="16" t="n"/>
      <c r="D45" s="14" t="n"/>
      <c r="E45" s="15">
        <f>IF($D45="","",IFERROR(INDEX(rngCadetPIDs,MATCH($D45,rngCadetNames,0)),"?"))</f>
        <v/>
      </c>
      <c r="F45" s="14" t="n"/>
      <c r="G45" s="14" t="n"/>
      <c r="H45" s="14" t="n"/>
      <c r="I45" s="16" t="n"/>
      <c r="J45" s="16" t="n"/>
      <c r="K45" s="16" t="n"/>
      <c r="L45" s="14" t="n"/>
      <c r="M45" s="15">
        <f>IF($D45="","",IF($K45&lt;&gt;"","Cleared "&amp;TEXT($K45,"mm/dd"),IF($H45="Yes",IF(AND($J45&lt;&gt;"",$J45&lt;TODAY()),"RESTRICTION EXPIRED","ACTIVE RESTRICTION"),"Documented")))</f>
        <v/>
      </c>
      <c r="N45" s="14" t="n"/>
    </row>
    <row r="46">
      <c r="B46" s="15">
        <f>IF($D46="","","MD"&amp;TEXT(ROW()-5,"000"))</f>
        <v/>
      </c>
      <c r="C46" s="16" t="n"/>
      <c r="D46" s="14" t="n"/>
      <c r="E46" s="15">
        <f>IF($D46="","",IFERROR(INDEX(rngCadetPIDs,MATCH($D46,rngCadetNames,0)),"?"))</f>
        <v/>
      </c>
      <c r="F46" s="14" t="n"/>
      <c r="G46" s="14" t="n"/>
      <c r="H46" s="14" t="n"/>
      <c r="I46" s="16" t="n"/>
      <c r="J46" s="16" t="n"/>
      <c r="K46" s="16" t="n"/>
      <c r="L46" s="14" t="n"/>
      <c r="M46" s="15">
        <f>IF($D46="","",IF($K46&lt;&gt;"","Cleared "&amp;TEXT($K46,"mm/dd"),IF($H46="Yes",IF(AND($J46&lt;&gt;"",$J46&lt;TODAY()),"RESTRICTION EXPIRED","ACTIVE RESTRICTION"),"Documented")))</f>
        <v/>
      </c>
      <c r="N46" s="14" t="n"/>
    </row>
    <row r="47">
      <c r="B47" s="15">
        <f>IF($D47="","","MD"&amp;TEXT(ROW()-5,"000"))</f>
        <v/>
      </c>
      <c r="C47" s="16" t="n"/>
      <c r="D47" s="14" t="n"/>
      <c r="E47" s="15">
        <f>IF($D47="","",IFERROR(INDEX(rngCadetPIDs,MATCH($D47,rngCadetNames,0)),"?"))</f>
        <v/>
      </c>
      <c r="F47" s="14" t="n"/>
      <c r="G47" s="14" t="n"/>
      <c r="H47" s="14" t="n"/>
      <c r="I47" s="16" t="n"/>
      <c r="J47" s="16" t="n"/>
      <c r="K47" s="16" t="n"/>
      <c r="L47" s="14" t="n"/>
      <c r="M47" s="15">
        <f>IF($D47="","",IF($K47&lt;&gt;"","Cleared "&amp;TEXT($K47,"mm/dd"),IF($H47="Yes",IF(AND($J47&lt;&gt;"",$J47&lt;TODAY()),"RESTRICTION EXPIRED","ACTIVE RESTRICTION"),"Documented")))</f>
        <v/>
      </c>
      <c r="N47" s="14" t="n"/>
    </row>
    <row r="48">
      <c r="B48" s="15">
        <f>IF($D48="","","MD"&amp;TEXT(ROW()-5,"000"))</f>
        <v/>
      </c>
      <c r="C48" s="16" t="n"/>
      <c r="D48" s="14" t="n"/>
      <c r="E48" s="15">
        <f>IF($D48="","",IFERROR(INDEX(rngCadetPIDs,MATCH($D48,rngCadetNames,0)),"?"))</f>
        <v/>
      </c>
      <c r="F48" s="14" t="n"/>
      <c r="G48" s="14" t="n"/>
      <c r="H48" s="14" t="n"/>
      <c r="I48" s="16" t="n"/>
      <c r="J48" s="16" t="n"/>
      <c r="K48" s="16" t="n"/>
      <c r="L48" s="14" t="n"/>
      <c r="M48" s="15">
        <f>IF($D48="","",IF($K48&lt;&gt;"","Cleared "&amp;TEXT($K48,"mm/dd"),IF($H48="Yes",IF(AND($J48&lt;&gt;"",$J48&lt;TODAY()),"RESTRICTION EXPIRED","ACTIVE RESTRICTION"),"Documented")))</f>
        <v/>
      </c>
      <c r="N48" s="14" t="n"/>
    </row>
    <row r="49">
      <c r="B49" s="15">
        <f>IF($D49="","","MD"&amp;TEXT(ROW()-5,"000"))</f>
        <v/>
      </c>
      <c r="C49" s="16" t="n"/>
      <c r="D49" s="14" t="n"/>
      <c r="E49" s="15">
        <f>IF($D49="","",IFERROR(INDEX(rngCadetPIDs,MATCH($D49,rngCadetNames,0)),"?"))</f>
        <v/>
      </c>
      <c r="F49" s="14" t="n"/>
      <c r="G49" s="14" t="n"/>
      <c r="H49" s="14" t="n"/>
      <c r="I49" s="16" t="n"/>
      <c r="J49" s="16" t="n"/>
      <c r="K49" s="16" t="n"/>
      <c r="L49" s="14" t="n"/>
      <c r="M49" s="15">
        <f>IF($D49="","",IF($K49&lt;&gt;"","Cleared "&amp;TEXT($K49,"mm/dd"),IF($H49="Yes",IF(AND($J49&lt;&gt;"",$J49&lt;TODAY()),"RESTRICTION EXPIRED","ACTIVE RESTRICTION"),"Documented")))</f>
        <v/>
      </c>
      <c r="N49" s="14" t="n"/>
    </row>
    <row r="50">
      <c r="B50" s="15">
        <f>IF($D50="","","MD"&amp;TEXT(ROW()-5,"000"))</f>
        <v/>
      </c>
      <c r="C50" s="16" t="n"/>
      <c r="D50" s="14" t="n"/>
      <c r="E50" s="15">
        <f>IF($D50="","",IFERROR(INDEX(rngCadetPIDs,MATCH($D50,rngCadetNames,0)),"?"))</f>
        <v/>
      </c>
      <c r="F50" s="14" t="n"/>
      <c r="G50" s="14" t="n"/>
      <c r="H50" s="14" t="n"/>
      <c r="I50" s="16" t="n"/>
      <c r="J50" s="16" t="n"/>
      <c r="K50" s="16" t="n"/>
      <c r="L50" s="14" t="n"/>
      <c r="M50" s="15">
        <f>IF($D50="","",IF($K50&lt;&gt;"","Cleared "&amp;TEXT($K50,"mm/dd"),IF($H50="Yes",IF(AND($J50&lt;&gt;"",$J50&lt;TODAY()),"RESTRICTION EXPIRED","ACTIVE RESTRICTION"),"Documented")))</f>
        <v/>
      </c>
      <c r="N50" s="14" t="n"/>
    </row>
    <row r="51">
      <c r="B51" s="15">
        <f>IF($D51="","","MD"&amp;TEXT(ROW()-5,"000"))</f>
        <v/>
      </c>
      <c r="C51" s="16" t="n"/>
      <c r="D51" s="14" t="n"/>
      <c r="E51" s="15">
        <f>IF($D51="","",IFERROR(INDEX(rngCadetPIDs,MATCH($D51,rngCadetNames,0)),"?"))</f>
        <v/>
      </c>
      <c r="F51" s="14" t="n"/>
      <c r="G51" s="14" t="n"/>
      <c r="H51" s="14" t="n"/>
      <c r="I51" s="16" t="n"/>
      <c r="J51" s="16" t="n"/>
      <c r="K51" s="16" t="n"/>
      <c r="L51" s="14" t="n"/>
      <c r="M51" s="15">
        <f>IF($D51="","",IF($K51&lt;&gt;"","Cleared "&amp;TEXT($K51,"mm/dd"),IF($H51="Yes",IF(AND($J51&lt;&gt;"",$J51&lt;TODAY()),"RESTRICTION EXPIRED","ACTIVE RESTRICTION"),"Documented")))</f>
        <v/>
      </c>
      <c r="N51" s="14" t="n"/>
    </row>
    <row r="52">
      <c r="B52" s="15">
        <f>IF($D52="","","MD"&amp;TEXT(ROW()-5,"000"))</f>
        <v/>
      </c>
      <c r="C52" s="16" t="n"/>
      <c r="D52" s="14" t="n"/>
      <c r="E52" s="15">
        <f>IF($D52="","",IFERROR(INDEX(rngCadetPIDs,MATCH($D52,rngCadetNames,0)),"?"))</f>
        <v/>
      </c>
      <c r="F52" s="14" t="n"/>
      <c r="G52" s="14" t="n"/>
      <c r="H52" s="14" t="n"/>
      <c r="I52" s="16" t="n"/>
      <c r="J52" s="16" t="n"/>
      <c r="K52" s="16" t="n"/>
      <c r="L52" s="14" t="n"/>
      <c r="M52" s="15">
        <f>IF($D52="","",IF($K52&lt;&gt;"","Cleared "&amp;TEXT($K52,"mm/dd"),IF($H52="Yes",IF(AND($J52&lt;&gt;"",$J52&lt;TODAY()),"RESTRICTION EXPIRED","ACTIVE RESTRICTION"),"Documented")))</f>
        <v/>
      </c>
      <c r="N52" s="14" t="n"/>
    </row>
    <row r="53">
      <c r="B53" s="15">
        <f>IF($D53="","","MD"&amp;TEXT(ROW()-5,"000"))</f>
        <v/>
      </c>
      <c r="C53" s="16" t="n"/>
      <c r="D53" s="14" t="n"/>
      <c r="E53" s="15">
        <f>IF($D53="","",IFERROR(INDEX(rngCadetPIDs,MATCH($D53,rngCadetNames,0)),"?"))</f>
        <v/>
      </c>
      <c r="F53" s="14" t="n"/>
      <c r="G53" s="14" t="n"/>
      <c r="H53" s="14" t="n"/>
      <c r="I53" s="16" t="n"/>
      <c r="J53" s="16" t="n"/>
      <c r="K53" s="16" t="n"/>
      <c r="L53" s="14" t="n"/>
      <c r="M53" s="15">
        <f>IF($D53="","",IF($K53&lt;&gt;"","Cleared "&amp;TEXT($K53,"mm/dd"),IF($H53="Yes",IF(AND($J53&lt;&gt;"",$J53&lt;TODAY()),"RESTRICTION EXPIRED","ACTIVE RESTRICTION"),"Documented")))</f>
        <v/>
      </c>
      <c r="N53" s="14" t="n"/>
    </row>
    <row r="54">
      <c r="B54" s="15">
        <f>IF($D54="","","MD"&amp;TEXT(ROW()-5,"000"))</f>
        <v/>
      </c>
      <c r="C54" s="16" t="n"/>
      <c r="D54" s="14" t="n"/>
      <c r="E54" s="15">
        <f>IF($D54="","",IFERROR(INDEX(rngCadetPIDs,MATCH($D54,rngCadetNames,0)),"?"))</f>
        <v/>
      </c>
      <c r="F54" s="14" t="n"/>
      <c r="G54" s="14" t="n"/>
      <c r="H54" s="14" t="n"/>
      <c r="I54" s="16" t="n"/>
      <c r="J54" s="16" t="n"/>
      <c r="K54" s="16" t="n"/>
      <c r="L54" s="14" t="n"/>
      <c r="M54" s="15">
        <f>IF($D54="","",IF($K54&lt;&gt;"","Cleared "&amp;TEXT($K54,"mm/dd"),IF($H54="Yes",IF(AND($J54&lt;&gt;"",$J54&lt;TODAY()),"RESTRICTION EXPIRED","ACTIVE RESTRICTION"),"Documented")))</f>
        <v/>
      </c>
      <c r="N54" s="14" t="n"/>
    </row>
    <row r="55">
      <c r="B55" s="15">
        <f>IF($D55="","","MD"&amp;TEXT(ROW()-5,"000"))</f>
        <v/>
      </c>
      <c r="C55" s="16" t="n"/>
      <c r="D55" s="14" t="n"/>
      <c r="E55" s="15">
        <f>IF($D55="","",IFERROR(INDEX(rngCadetPIDs,MATCH($D55,rngCadetNames,0)),"?"))</f>
        <v/>
      </c>
      <c r="F55" s="14" t="n"/>
      <c r="G55" s="14" t="n"/>
      <c r="H55" s="14" t="n"/>
      <c r="I55" s="16" t="n"/>
      <c r="J55" s="16" t="n"/>
      <c r="K55" s="16" t="n"/>
      <c r="L55" s="14" t="n"/>
      <c r="M55" s="15">
        <f>IF($D55="","",IF($K55&lt;&gt;"","Cleared "&amp;TEXT($K55,"mm/dd"),IF($H55="Yes",IF(AND($J55&lt;&gt;"",$J55&lt;TODAY()),"RESTRICTION EXPIRED","ACTIVE RESTRICTION"),"Documented")))</f>
        <v/>
      </c>
      <c r="N55" s="14" t="n"/>
    </row>
    <row r="56">
      <c r="B56" s="15">
        <f>IF($D56="","","MD"&amp;TEXT(ROW()-5,"000"))</f>
        <v/>
      </c>
      <c r="C56" s="16" t="n"/>
      <c r="D56" s="14" t="n"/>
      <c r="E56" s="15">
        <f>IF($D56="","",IFERROR(INDEX(rngCadetPIDs,MATCH($D56,rngCadetNames,0)),"?"))</f>
        <v/>
      </c>
      <c r="F56" s="14" t="n"/>
      <c r="G56" s="14" t="n"/>
      <c r="H56" s="14" t="n"/>
      <c r="I56" s="16" t="n"/>
      <c r="J56" s="16" t="n"/>
      <c r="K56" s="16" t="n"/>
      <c r="L56" s="14" t="n"/>
      <c r="M56" s="15">
        <f>IF($D56="","",IF($K56&lt;&gt;"","Cleared "&amp;TEXT($K56,"mm/dd"),IF($H56="Yes",IF(AND($J56&lt;&gt;"",$J56&lt;TODAY()),"RESTRICTION EXPIRED","ACTIVE RESTRICTION"),"Documented")))</f>
        <v/>
      </c>
      <c r="N56" s="14" t="n"/>
    </row>
    <row r="57">
      <c r="B57" s="15">
        <f>IF($D57="","","MD"&amp;TEXT(ROW()-5,"000"))</f>
        <v/>
      </c>
      <c r="C57" s="16" t="n"/>
      <c r="D57" s="14" t="n"/>
      <c r="E57" s="15">
        <f>IF($D57="","",IFERROR(INDEX(rngCadetPIDs,MATCH($D57,rngCadetNames,0)),"?"))</f>
        <v/>
      </c>
      <c r="F57" s="14" t="n"/>
      <c r="G57" s="14" t="n"/>
      <c r="H57" s="14" t="n"/>
      <c r="I57" s="16" t="n"/>
      <c r="J57" s="16" t="n"/>
      <c r="K57" s="16" t="n"/>
      <c r="L57" s="14" t="n"/>
      <c r="M57" s="15">
        <f>IF($D57="","",IF($K57&lt;&gt;"","Cleared "&amp;TEXT($K57,"mm/dd"),IF($H57="Yes",IF(AND($J57&lt;&gt;"",$J57&lt;TODAY()),"RESTRICTION EXPIRED","ACTIVE RESTRICTION"),"Documented")))</f>
        <v/>
      </c>
      <c r="N57" s="14" t="n"/>
    </row>
    <row r="58">
      <c r="B58" s="15">
        <f>IF($D58="","","MD"&amp;TEXT(ROW()-5,"000"))</f>
        <v/>
      </c>
      <c r="C58" s="16" t="n"/>
      <c r="D58" s="14" t="n"/>
      <c r="E58" s="15">
        <f>IF($D58="","",IFERROR(INDEX(rngCadetPIDs,MATCH($D58,rngCadetNames,0)),"?"))</f>
        <v/>
      </c>
      <c r="F58" s="14" t="n"/>
      <c r="G58" s="14" t="n"/>
      <c r="H58" s="14" t="n"/>
      <c r="I58" s="16" t="n"/>
      <c r="J58" s="16" t="n"/>
      <c r="K58" s="16" t="n"/>
      <c r="L58" s="14" t="n"/>
      <c r="M58" s="15">
        <f>IF($D58="","",IF($K58&lt;&gt;"","Cleared "&amp;TEXT($K58,"mm/dd"),IF($H58="Yes",IF(AND($J58&lt;&gt;"",$J58&lt;TODAY()),"RESTRICTION EXPIRED","ACTIVE RESTRICTION"),"Documented")))</f>
        <v/>
      </c>
      <c r="N58" s="14" t="n"/>
    </row>
    <row r="59">
      <c r="B59" s="15">
        <f>IF($D59="","","MD"&amp;TEXT(ROW()-5,"000"))</f>
        <v/>
      </c>
      <c r="C59" s="16" t="n"/>
      <c r="D59" s="14" t="n"/>
      <c r="E59" s="15">
        <f>IF($D59="","",IFERROR(INDEX(rngCadetPIDs,MATCH($D59,rngCadetNames,0)),"?"))</f>
        <v/>
      </c>
      <c r="F59" s="14" t="n"/>
      <c r="G59" s="14" t="n"/>
      <c r="H59" s="14" t="n"/>
      <c r="I59" s="16" t="n"/>
      <c r="J59" s="16" t="n"/>
      <c r="K59" s="16" t="n"/>
      <c r="L59" s="14" t="n"/>
      <c r="M59" s="15">
        <f>IF($D59="","",IF($K59&lt;&gt;"","Cleared "&amp;TEXT($K59,"mm/dd"),IF($H59="Yes",IF(AND($J59&lt;&gt;"",$J59&lt;TODAY()),"RESTRICTION EXPIRED","ACTIVE RESTRICTION"),"Documented")))</f>
        <v/>
      </c>
      <c r="N59" s="14" t="n"/>
    </row>
    <row r="60">
      <c r="B60" s="15">
        <f>IF($D60="","","MD"&amp;TEXT(ROW()-5,"000"))</f>
        <v/>
      </c>
      <c r="C60" s="16" t="n"/>
      <c r="D60" s="14" t="n"/>
      <c r="E60" s="15">
        <f>IF($D60="","",IFERROR(INDEX(rngCadetPIDs,MATCH($D60,rngCadetNames,0)),"?"))</f>
        <v/>
      </c>
      <c r="F60" s="14" t="n"/>
      <c r="G60" s="14" t="n"/>
      <c r="H60" s="14" t="n"/>
      <c r="I60" s="16" t="n"/>
      <c r="J60" s="16" t="n"/>
      <c r="K60" s="16" t="n"/>
      <c r="L60" s="14" t="n"/>
      <c r="M60" s="15">
        <f>IF($D60="","",IF($K60&lt;&gt;"","Cleared "&amp;TEXT($K60,"mm/dd"),IF($H60="Yes",IF(AND($J60&lt;&gt;"",$J60&lt;TODAY()),"RESTRICTION EXPIRED","ACTIVE RESTRICTION"),"Documented")))</f>
        <v/>
      </c>
      <c r="N60" s="14" t="n"/>
    </row>
    <row r="61">
      <c r="B61" s="15">
        <f>IF($D61="","","MD"&amp;TEXT(ROW()-5,"000"))</f>
        <v/>
      </c>
      <c r="C61" s="16" t="n"/>
      <c r="D61" s="14" t="n"/>
      <c r="E61" s="15">
        <f>IF($D61="","",IFERROR(INDEX(rngCadetPIDs,MATCH($D61,rngCadetNames,0)),"?"))</f>
        <v/>
      </c>
      <c r="F61" s="14" t="n"/>
      <c r="G61" s="14" t="n"/>
      <c r="H61" s="14" t="n"/>
      <c r="I61" s="16" t="n"/>
      <c r="J61" s="16" t="n"/>
      <c r="K61" s="16" t="n"/>
      <c r="L61" s="14" t="n"/>
      <c r="M61" s="15">
        <f>IF($D61="","",IF($K61&lt;&gt;"","Cleared "&amp;TEXT($K61,"mm/dd"),IF($H61="Yes",IF(AND($J61&lt;&gt;"",$J61&lt;TODAY()),"RESTRICTION EXPIRED","ACTIVE RESTRICTION"),"Documented")))</f>
        <v/>
      </c>
      <c r="N61" s="14" t="n"/>
    </row>
    <row r="62">
      <c r="B62" s="15">
        <f>IF($D62="","","MD"&amp;TEXT(ROW()-5,"000"))</f>
        <v/>
      </c>
      <c r="C62" s="16" t="n"/>
      <c r="D62" s="14" t="n"/>
      <c r="E62" s="15">
        <f>IF($D62="","",IFERROR(INDEX(rngCadetPIDs,MATCH($D62,rngCadetNames,0)),"?"))</f>
        <v/>
      </c>
      <c r="F62" s="14" t="n"/>
      <c r="G62" s="14" t="n"/>
      <c r="H62" s="14" t="n"/>
      <c r="I62" s="16" t="n"/>
      <c r="J62" s="16" t="n"/>
      <c r="K62" s="16" t="n"/>
      <c r="L62" s="14" t="n"/>
      <c r="M62" s="15">
        <f>IF($D62="","",IF($K62&lt;&gt;"","Cleared "&amp;TEXT($K62,"mm/dd"),IF($H62="Yes",IF(AND($J62&lt;&gt;"",$J62&lt;TODAY()),"RESTRICTION EXPIRED","ACTIVE RESTRICTION"),"Documented")))</f>
        <v/>
      </c>
      <c r="N62" s="14" t="n"/>
    </row>
    <row r="63">
      <c r="B63" s="15">
        <f>IF($D63="","","MD"&amp;TEXT(ROW()-5,"000"))</f>
        <v/>
      </c>
      <c r="C63" s="16" t="n"/>
      <c r="D63" s="14" t="n"/>
      <c r="E63" s="15">
        <f>IF($D63="","",IFERROR(INDEX(rngCadetPIDs,MATCH($D63,rngCadetNames,0)),"?"))</f>
        <v/>
      </c>
      <c r="F63" s="14" t="n"/>
      <c r="G63" s="14" t="n"/>
      <c r="H63" s="14" t="n"/>
      <c r="I63" s="16" t="n"/>
      <c r="J63" s="16" t="n"/>
      <c r="K63" s="16" t="n"/>
      <c r="L63" s="14" t="n"/>
      <c r="M63" s="15">
        <f>IF($D63="","",IF($K63&lt;&gt;"","Cleared "&amp;TEXT($K63,"mm/dd"),IF($H63="Yes",IF(AND($J63&lt;&gt;"",$J63&lt;TODAY()),"RESTRICTION EXPIRED","ACTIVE RESTRICTION"),"Documented")))</f>
        <v/>
      </c>
      <c r="N63" s="14" t="n"/>
    </row>
    <row r="64">
      <c r="B64" s="15">
        <f>IF($D64="","","MD"&amp;TEXT(ROW()-5,"000"))</f>
        <v/>
      </c>
      <c r="C64" s="16" t="n"/>
      <c r="D64" s="14" t="n"/>
      <c r="E64" s="15">
        <f>IF($D64="","",IFERROR(INDEX(rngCadetPIDs,MATCH($D64,rngCadetNames,0)),"?"))</f>
        <v/>
      </c>
      <c r="F64" s="14" t="n"/>
      <c r="G64" s="14" t="n"/>
      <c r="H64" s="14" t="n"/>
      <c r="I64" s="16" t="n"/>
      <c r="J64" s="16" t="n"/>
      <c r="K64" s="16" t="n"/>
      <c r="L64" s="14" t="n"/>
      <c r="M64" s="15">
        <f>IF($D64="","",IF($K64&lt;&gt;"","Cleared "&amp;TEXT($K64,"mm/dd"),IF($H64="Yes",IF(AND($J64&lt;&gt;"",$J64&lt;TODAY()),"RESTRICTION EXPIRED","ACTIVE RESTRICTION"),"Documented")))</f>
        <v/>
      </c>
      <c r="N64" s="14" t="n"/>
    </row>
    <row r="65">
      <c r="B65" s="15">
        <f>IF($D65="","","MD"&amp;TEXT(ROW()-5,"000"))</f>
        <v/>
      </c>
      <c r="C65" s="16" t="n"/>
      <c r="D65" s="14" t="n"/>
      <c r="E65" s="15">
        <f>IF($D65="","",IFERROR(INDEX(rngCadetPIDs,MATCH($D65,rngCadetNames,0)),"?"))</f>
        <v/>
      </c>
      <c r="F65" s="14" t="n"/>
      <c r="G65" s="14" t="n"/>
      <c r="H65" s="14" t="n"/>
      <c r="I65" s="16" t="n"/>
      <c r="J65" s="16" t="n"/>
      <c r="K65" s="16" t="n"/>
      <c r="L65" s="14" t="n"/>
      <c r="M65" s="15">
        <f>IF($D65="","",IF($K65&lt;&gt;"","Cleared "&amp;TEXT($K65,"mm/dd"),IF($H65="Yes",IF(AND($J65&lt;&gt;"",$J65&lt;TODAY()),"RESTRICTION EXPIRED","ACTIVE RESTRICTION"),"Documented")))</f>
        <v/>
      </c>
      <c r="N65" s="14" t="n"/>
    </row>
    <row r="66">
      <c r="B66" s="15">
        <f>IF($D66="","","MD"&amp;TEXT(ROW()-5,"000"))</f>
        <v/>
      </c>
      <c r="C66" s="16" t="n"/>
      <c r="D66" s="14" t="n"/>
      <c r="E66" s="15">
        <f>IF($D66="","",IFERROR(INDEX(rngCadetPIDs,MATCH($D66,rngCadetNames,0)),"?"))</f>
        <v/>
      </c>
      <c r="F66" s="14" t="n"/>
      <c r="G66" s="14" t="n"/>
      <c r="H66" s="14" t="n"/>
      <c r="I66" s="16" t="n"/>
      <c r="J66" s="16" t="n"/>
      <c r="K66" s="16" t="n"/>
      <c r="L66" s="14" t="n"/>
      <c r="M66" s="15">
        <f>IF($D66="","",IF($K66&lt;&gt;"","Cleared "&amp;TEXT($K66,"mm/dd"),IF($H66="Yes",IF(AND($J66&lt;&gt;"",$J66&lt;TODAY()),"RESTRICTION EXPIRED","ACTIVE RESTRICTION"),"Documented")))</f>
        <v/>
      </c>
      <c r="N66" s="14" t="n"/>
    </row>
    <row r="67">
      <c r="B67" s="15">
        <f>IF($D67="","","MD"&amp;TEXT(ROW()-5,"000"))</f>
        <v/>
      </c>
      <c r="C67" s="16" t="n"/>
      <c r="D67" s="14" t="n"/>
      <c r="E67" s="15">
        <f>IF($D67="","",IFERROR(INDEX(rngCadetPIDs,MATCH($D67,rngCadetNames,0)),"?"))</f>
        <v/>
      </c>
      <c r="F67" s="14" t="n"/>
      <c r="G67" s="14" t="n"/>
      <c r="H67" s="14" t="n"/>
      <c r="I67" s="16" t="n"/>
      <c r="J67" s="16" t="n"/>
      <c r="K67" s="16" t="n"/>
      <c r="L67" s="14" t="n"/>
      <c r="M67" s="15">
        <f>IF($D67="","",IF($K67&lt;&gt;"","Cleared "&amp;TEXT($K67,"mm/dd"),IF($H67="Yes",IF(AND($J67&lt;&gt;"",$J67&lt;TODAY()),"RESTRICTION EXPIRED","ACTIVE RESTRICTION"),"Documented")))</f>
        <v/>
      </c>
      <c r="N67" s="14" t="n"/>
    </row>
    <row r="68">
      <c r="B68" s="15">
        <f>IF($D68="","","MD"&amp;TEXT(ROW()-5,"000"))</f>
        <v/>
      </c>
      <c r="C68" s="16" t="n"/>
      <c r="D68" s="14" t="n"/>
      <c r="E68" s="15">
        <f>IF($D68="","",IFERROR(INDEX(rngCadetPIDs,MATCH($D68,rngCadetNames,0)),"?"))</f>
        <v/>
      </c>
      <c r="F68" s="14" t="n"/>
      <c r="G68" s="14" t="n"/>
      <c r="H68" s="14" t="n"/>
      <c r="I68" s="16" t="n"/>
      <c r="J68" s="16" t="n"/>
      <c r="K68" s="16" t="n"/>
      <c r="L68" s="14" t="n"/>
      <c r="M68" s="15">
        <f>IF($D68="","",IF($K68&lt;&gt;"","Cleared "&amp;TEXT($K68,"mm/dd"),IF($H68="Yes",IF(AND($J68&lt;&gt;"",$J68&lt;TODAY()),"RESTRICTION EXPIRED","ACTIVE RESTRICTION"),"Documented")))</f>
        <v/>
      </c>
      <c r="N68" s="14" t="n"/>
    </row>
    <row r="69">
      <c r="B69" s="15">
        <f>IF($D69="","","MD"&amp;TEXT(ROW()-5,"000"))</f>
        <v/>
      </c>
      <c r="C69" s="16" t="n"/>
      <c r="D69" s="14" t="n"/>
      <c r="E69" s="15">
        <f>IF($D69="","",IFERROR(INDEX(rngCadetPIDs,MATCH($D69,rngCadetNames,0)),"?"))</f>
        <v/>
      </c>
      <c r="F69" s="14" t="n"/>
      <c r="G69" s="14" t="n"/>
      <c r="H69" s="14" t="n"/>
      <c r="I69" s="16" t="n"/>
      <c r="J69" s="16" t="n"/>
      <c r="K69" s="16" t="n"/>
      <c r="L69" s="14" t="n"/>
      <c r="M69" s="15">
        <f>IF($D69="","",IF($K69&lt;&gt;"","Cleared "&amp;TEXT($K69,"mm/dd"),IF($H69="Yes",IF(AND($J69&lt;&gt;"",$J69&lt;TODAY()),"RESTRICTION EXPIRED","ACTIVE RESTRICTION"),"Documented")))</f>
        <v/>
      </c>
      <c r="N69" s="14" t="n"/>
    </row>
    <row r="70">
      <c r="B70" s="15">
        <f>IF($D70="","","MD"&amp;TEXT(ROW()-5,"000"))</f>
        <v/>
      </c>
      <c r="C70" s="16" t="n"/>
      <c r="D70" s="14" t="n"/>
      <c r="E70" s="15">
        <f>IF($D70="","",IFERROR(INDEX(rngCadetPIDs,MATCH($D70,rngCadetNames,0)),"?"))</f>
        <v/>
      </c>
      <c r="F70" s="14" t="n"/>
      <c r="G70" s="14" t="n"/>
      <c r="H70" s="14" t="n"/>
      <c r="I70" s="16" t="n"/>
      <c r="J70" s="16" t="n"/>
      <c r="K70" s="16" t="n"/>
      <c r="L70" s="14" t="n"/>
      <c r="M70" s="15">
        <f>IF($D70="","",IF($K70&lt;&gt;"","Cleared "&amp;TEXT($K70,"mm/dd"),IF($H70="Yes",IF(AND($J70&lt;&gt;"",$J70&lt;TODAY()),"RESTRICTION EXPIRED","ACTIVE RESTRICTION"),"Documented")))</f>
        <v/>
      </c>
      <c r="N70" s="14" t="n"/>
    </row>
    <row r="71">
      <c r="B71" s="15">
        <f>IF($D71="","","MD"&amp;TEXT(ROW()-5,"000"))</f>
        <v/>
      </c>
      <c r="C71" s="16" t="n"/>
      <c r="D71" s="14" t="n"/>
      <c r="E71" s="15">
        <f>IF($D71="","",IFERROR(INDEX(rngCadetPIDs,MATCH($D71,rngCadetNames,0)),"?"))</f>
        <v/>
      </c>
      <c r="F71" s="14" t="n"/>
      <c r="G71" s="14" t="n"/>
      <c r="H71" s="14" t="n"/>
      <c r="I71" s="16" t="n"/>
      <c r="J71" s="16" t="n"/>
      <c r="K71" s="16" t="n"/>
      <c r="L71" s="14" t="n"/>
      <c r="M71" s="15">
        <f>IF($D71="","",IF($K71&lt;&gt;"","Cleared "&amp;TEXT($K71,"mm/dd"),IF($H71="Yes",IF(AND($J71&lt;&gt;"",$J71&lt;TODAY()),"RESTRICTION EXPIRED","ACTIVE RESTRICTION"),"Documented")))</f>
        <v/>
      </c>
      <c r="N71" s="14" t="n"/>
    </row>
    <row r="72">
      <c r="B72" s="15">
        <f>IF($D72="","","MD"&amp;TEXT(ROW()-5,"000"))</f>
        <v/>
      </c>
      <c r="C72" s="16" t="n"/>
      <c r="D72" s="14" t="n"/>
      <c r="E72" s="15">
        <f>IF($D72="","",IFERROR(INDEX(rngCadetPIDs,MATCH($D72,rngCadetNames,0)),"?"))</f>
        <v/>
      </c>
      <c r="F72" s="14" t="n"/>
      <c r="G72" s="14" t="n"/>
      <c r="H72" s="14" t="n"/>
      <c r="I72" s="16" t="n"/>
      <c r="J72" s="16" t="n"/>
      <c r="K72" s="16" t="n"/>
      <c r="L72" s="14" t="n"/>
      <c r="M72" s="15">
        <f>IF($D72="","",IF($K72&lt;&gt;"","Cleared "&amp;TEXT($K72,"mm/dd"),IF($H72="Yes",IF(AND($J72&lt;&gt;"",$J72&lt;TODAY()),"RESTRICTION EXPIRED","ACTIVE RESTRICTION"),"Documented")))</f>
        <v/>
      </c>
      <c r="N72" s="14" t="n"/>
    </row>
    <row r="73">
      <c r="B73" s="15">
        <f>IF($D73="","","MD"&amp;TEXT(ROW()-5,"000"))</f>
        <v/>
      </c>
      <c r="C73" s="16" t="n"/>
      <c r="D73" s="14" t="n"/>
      <c r="E73" s="15">
        <f>IF($D73="","",IFERROR(INDEX(rngCadetPIDs,MATCH($D73,rngCadetNames,0)),"?"))</f>
        <v/>
      </c>
      <c r="F73" s="14" t="n"/>
      <c r="G73" s="14" t="n"/>
      <c r="H73" s="14" t="n"/>
      <c r="I73" s="16" t="n"/>
      <c r="J73" s="16" t="n"/>
      <c r="K73" s="16" t="n"/>
      <c r="L73" s="14" t="n"/>
      <c r="M73" s="15">
        <f>IF($D73="","",IF($K73&lt;&gt;"","Cleared "&amp;TEXT($K73,"mm/dd"),IF($H73="Yes",IF(AND($J73&lt;&gt;"",$J73&lt;TODAY()),"RESTRICTION EXPIRED","ACTIVE RESTRICTION"),"Documented")))</f>
        <v/>
      </c>
      <c r="N73" s="14" t="n"/>
    </row>
    <row r="74">
      <c r="B74" s="15">
        <f>IF($D74="","","MD"&amp;TEXT(ROW()-5,"000"))</f>
        <v/>
      </c>
      <c r="C74" s="16" t="n"/>
      <c r="D74" s="14" t="n"/>
      <c r="E74" s="15">
        <f>IF($D74="","",IFERROR(INDEX(rngCadetPIDs,MATCH($D74,rngCadetNames,0)),"?"))</f>
        <v/>
      </c>
      <c r="F74" s="14" t="n"/>
      <c r="G74" s="14" t="n"/>
      <c r="H74" s="14" t="n"/>
      <c r="I74" s="16" t="n"/>
      <c r="J74" s="16" t="n"/>
      <c r="K74" s="16" t="n"/>
      <c r="L74" s="14" t="n"/>
      <c r="M74" s="15">
        <f>IF($D74="","",IF($K74&lt;&gt;"","Cleared "&amp;TEXT($K74,"mm/dd"),IF($H74="Yes",IF(AND($J74&lt;&gt;"",$J74&lt;TODAY()),"RESTRICTION EXPIRED","ACTIVE RESTRICTION"),"Documented")))</f>
        <v/>
      </c>
      <c r="N74" s="14" t="n"/>
    </row>
    <row r="75">
      <c r="B75" s="15">
        <f>IF($D75="","","MD"&amp;TEXT(ROW()-5,"000"))</f>
        <v/>
      </c>
      <c r="C75" s="16" t="n"/>
      <c r="D75" s="14" t="n"/>
      <c r="E75" s="15">
        <f>IF($D75="","",IFERROR(INDEX(rngCadetPIDs,MATCH($D75,rngCadetNames,0)),"?"))</f>
        <v/>
      </c>
      <c r="F75" s="14" t="n"/>
      <c r="G75" s="14" t="n"/>
      <c r="H75" s="14" t="n"/>
      <c r="I75" s="16" t="n"/>
      <c r="J75" s="16" t="n"/>
      <c r="K75" s="16" t="n"/>
      <c r="L75" s="14" t="n"/>
      <c r="M75" s="15">
        <f>IF($D75="","",IF($K75&lt;&gt;"","Cleared "&amp;TEXT($K75,"mm/dd"),IF($H75="Yes",IF(AND($J75&lt;&gt;"",$J75&lt;TODAY()),"RESTRICTION EXPIRED","ACTIVE RESTRICTION"),"Documented")))</f>
        <v/>
      </c>
      <c r="N75" s="14" t="n"/>
    </row>
    <row r="76">
      <c r="B76" s="15">
        <f>IF($D76="","","MD"&amp;TEXT(ROW()-5,"000"))</f>
        <v/>
      </c>
      <c r="C76" s="16" t="n"/>
      <c r="D76" s="14" t="n"/>
      <c r="E76" s="15">
        <f>IF($D76="","",IFERROR(INDEX(rngCadetPIDs,MATCH($D76,rngCadetNames,0)),"?"))</f>
        <v/>
      </c>
      <c r="F76" s="14" t="n"/>
      <c r="G76" s="14" t="n"/>
      <c r="H76" s="14" t="n"/>
      <c r="I76" s="16" t="n"/>
      <c r="J76" s="16" t="n"/>
      <c r="K76" s="16" t="n"/>
      <c r="L76" s="14" t="n"/>
      <c r="M76" s="15">
        <f>IF($D76="","",IF($K76&lt;&gt;"","Cleared "&amp;TEXT($K76,"mm/dd"),IF($H76="Yes",IF(AND($J76&lt;&gt;"",$J76&lt;TODAY()),"RESTRICTION EXPIRED","ACTIVE RESTRICTION"),"Documented")))</f>
        <v/>
      </c>
      <c r="N76" s="14" t="n"/>
    </row>
    <row r="77">
      <c r="B77" s="15">
        <f>IF($D77="","","MD"&amp;TEXT(ROW()-5,"000"))</f>
        <v/>
      </c>
      <c r="C77" s="16" t="n"/>
      <c r="D77" s="14" t="n"/>
      <c r="E77" s="15">
        <f>IF($D77="","",IFERROR(INDEX(rngCadetPIDs,MATCH($D77,rngCadetNames,0)),"?"))</f>
        <v/>
      </c>
      <c r="F77" s="14" t="n"/>
      <c r="G77" s="14" t="n"/>
      <c r="H77" s="14" t="n"/>
      <c r="I77" s="16" t="n"/>
      <c r="J77" s="16" t="n"/>
      <c r="K77" s="16" t="n"/>
      <c r="L77" s="14" t="n"/>
      <c r="M77" s="15">
        <f>IF($D77="","",IF($K77&lt;&gt;"","Cleared "&amp;TEXT($K77,"mm/dd"),IF($H77="Yes",IF(AND($J77&lt;&gt;"",$J77&lt;TODAY()),"RESTRICTION EXPIRED","ACTIVE RESTRICTION"),"Documented")))</f>
        <v/>
      </c>
      <c r="N77" s="14" t="n"/>
    </row>
    <row r="78">
      <c r="B78" s="15">
        <f>IF($D78="","","MD"&amp;TEXT(ROW()-5,"000"))</f>
        <v/>
      </c>
      <c r="C78" s="16" t="n"/>
      <c r="D78" s="14" t="n"/>
      <c r="E78" s="15">
        <f>IF($D78="","",IFERROR(INDEX(rngCadetPIDs,MATCH($D78,rngCadetNames,0)),"?"))</f>
        <v/>
      </c>
      <c r="F78" s="14" t="n"/>
      <c r="G78" s="14" t="n"/>
      <c r="H78" s="14" t="n"/>
      <c r="I78" s="16" t="n"/>
      <c r="J78" s="16" t="n"/>
      <c r="K78" s="16" t="n"/>
      <c r="L78" s="14" t="n"/>
      <c r="M78" s="15">
        <f>IF($D78="","",IF($K78&lt;&gt;"","Cleared "&amp;TEXT($K78,"mm/dd"),IF($H78="Yes",IF(AND($J78&lt;&gt;"",$J78&lt;TODAY()),"RESTRICTION EXPIRED","ACTIVE RESTRICTION"),"Documented")))</f>
        <v/>
      </c>
      <c r="N78" s="14" t="n"/>
    </row>
    <row r="79">
      <c r="B79" s="15">
        <f>IF($D79="","","MD"&amp;TEXT(ROW()-5,"000"))</f>
        <v/>
      </c>
      <c r="C79" s="16" t="n"/>
      <c r="D79" s="14" t="n"/>
      <c r="E79" s="15">
        <f>IF($D79="","",IFERROR(INDEX(rngCadetPIDs,MATCH($D79,rngCadetNames,0)),"?"))</f>
        <v/>
      </c>
      <c r="F79" s="14" t="n"/>
      <c r="G79" s="14" t="n"/>
      <c r="H79" s="14" t="n"/>
      <c r="I79" s="16" t="n"/>
      <c r="J79" s="16" t="n"/>
      <c r="K79" s="16" t="n"/>
      <c r="L79" s="14" t="n"/>
      <c r="M79" s="15">
        <f>IF($D79="","",IF($K79&lt;&gt;"","Cleared "&amp;TEXT($K79,"mm/dd"),IF($H79="Yes",IF(AND($J79&lt;&gt;"",$J79&lt;TODAY()),"RESTRICTION EXPIRED","ACTIVE RESTRICTION"),"Documented")))</f>
        <v/>
      </c>
      <c r="N79" s="14" t="n"/>
    </row>
    <row r="80">
      <c r="B80" s="15">
        <f>IF($D80="","","MD"&amp;TEXT(ROW()-5,"000"))</f>
        <v/>
      </c>
      <c r="C80" s="16" t="n"/>
      <c r="D80" s="14" t="n"/>
      <c r="E80" s="15">
        <f>IF($D80="","",IFERROR(INDEX(rngCadetPIDs,MATCH($D80,rngCadetNames,0)),"?"))</f>
        <v/>
      </c>
      <c r="F80" s="14" t="n"/>
      <c r="G80" s="14" t="n"/>
      <c r="H80" s="14" t="n"/>
      <c r="I80" s="16" t="n"/>
      <c r="J80" s="16" t="n"/>
      <c r="K80" s="16" t="n"/>
      <c r="L80" s="14" t="n"/>
      <c r="M80" s="15">
        <f>IF($D80="","",IF($K80&lt;&gt;"","Cleared "&amp;TEXT($K80,"mm/dd"),IF($H80="Yes",IF(AND($J80&lt;&gt;"",$J80&lt;TODAY()),"RESTRICTION EXPIRED","ACTIVE RESTRICTION"),"Documented")))</f>
        <v/>
      </c>
      <c r="N80" s="14" t="n"/>
    </row>
    <row r="81">
      <c r="B81" s="15">
        <f>IF($D81="","","MD"&amp;TEXT(ROW()-5,"000"))</f>
        <v/>
      </c>
      <c r="C81" s="16" t="n"/>
      <c r="D81" s="14" t="n"/>
      <c r="E81" s="15">
        <f>IF($D81="","",IFERROR(INDEX(rngCadetPIDs,MATCH($D81,rngCadetNames,0)),"?"))</f>
        <v/>
      </c>
      <c r="F81" s="14" t="n"/>
      <c r="G81" s="14" t="n"/>
      <c r="H81" s="14" t="n"/>
      <c r="I81" s="16" t="n"/>
      <c r="J81" s="16" t="n"/>
      <c r="K81" s="16" t="n"/>
      <c r="L81" s="14" t="n"/>
      <c r="M81" s="15">
        <f>IF($D81="","",IF($K81&lt;&gt;"","Cleared "&amp;TEXT($K81,"mm/dd"),IF($H81="Yes",IF(AND($J81&lt;&gt;"",$J81&lt;TODAY()),"RESTRICTION EXPIRED","ACTIVE RESTRICTION"),"Documented")))</f>
        <v/>
      </c>
      <c r="N81" s="14" t="n"/>
    </row>
    <row r="82">
      <c r="B82" s="15">
        <f>IF($D82="","","MD"&amp;TEXT(ROW()-5,"000"))</f>
        <v/>
      </c>
      <c r="C82" s="16" t="n"/>
      <c r="D82" s="14" t="n"/>
      <c r="E82" s="15">
        <f>IF($D82="","",IFERROR(INDEX(rngCadetPIDs,MATCH($D82,rngCadetNames,0)),"?"))</f>
        <v/>
      </c>
      <c r="F82" s="14" t="n"/>
      <c r="G82" s="14" t="n"/>
      <c r="H82" s="14" t="n"/>
      <c r="I82" s="16" t="n"/>
      <c r="J82" s="16" t="n"/>
      <c r="K82" s="16" t="n"/>
      <c r="L82" s="14" t="n"/>
      <c r="M82" s="15">
        <f>IF($D82="","",IF($K82&lt;&gt;"","Cleared "&amp;TEXT($K82,"mm/dd"),IF($H82="Yes",IF(AND($J82&lt;&gt;"",$J82&lt;TODAY()),"RESTRICTION EXPIRED","ACTIVE RESTRICTION"),"Documented")))</f>
        <v/>
      </c>
      <c r="N82" s="14" t="n"/>
    </row>
    <row r="83">
      <c r="B83" s="15">
        <f>IF($D83="","","MD"&amp;TEXT(ROW()-5,"000"))</f>
        <v/>
      </c>
      <c r="C83" s="16" t="n"/>
      <c r="D83" s="14" t="n"/>
      <c r="E83" s="15">
        <f>IF($D83="","",IFERROR(INDEX(rngCadetPIDs,MATCH($D83,rngCadetNames,0)),"?"))</f>
        <v/>
      </c>
      <c r="F83" s="14" t="n"/>
      <c r="G83" s="14" t="n"/>
      <c r="H83" s="14" t="n"/>
      <c r="I83" s="16" t="n"/>
      <c r="J83" s="16" t="n"/>
      <c r="K83" s="16" t="n"/>
      <c r="L83" s="14" t="n"/>
      <c r="M83" s="15">
        <f>IF($D83="","",IF($K83&lt;&gt;"","Cleared "&amp;TEXT($K83,"mm/dd"),IF($H83="Yes",IF(AND($J83&lt;&gt;"",$J83&lt;TODAY()),"RESTRICTION EXPIRED","ACTIVE RESTRICTION"),"Documented")))</f>
        <v/>
      </c>
      <c r="N83" s="14" t="n"/>
    </row>
    <row r="84">
      <c r="B84" s="15">
        <f>IF($D84="","","MD"&amp;TEXT(ROW()-5,"000"))</f>
        <v/>
      </c>
      <c r="C84" s="16" t="n"/>
      <c r="D84" s="14" t="n"/>
      <c r="E84" s="15">
        <f>IF($D84="","",IFERROR(INDEX(rngCadetPIDs,MATCH($D84,rngCadetNames,0)),"?"))</f>
        <v/>
      </c>
      <c r="F84" s="14" t="n"/>
      <c r="G84" s="14" t="n"/>
      <c r="H84" s="14" t="n"/>
      <c r="I84" s="16" t="n"/>
      <c r="J84" s="16" t="n"/>
      <c r="K84" s="16" t="n"/>
      <c r="L84" s="14" t="n"/>
      <c r="M84" s="15">
        <f>IF($D84="","",IF($K84&lt;&gt;"","Cleared "&amp;TEXT($K84,"mm/dd"),IF($H84="Yes",IF(AND($J84&lt;&gt;"",$J84&lt;TODAY()),"RESTRICTION EXPIRED","ACTIVE RESTRICTION"),"Documented")))</f>
        <v/>
      </c>
      <c r="N84" s="14" t="n"/>
    </row>
    <row r="85">
      <c r="B85" s="15">
        <f>IF($D85="","","MD"&amp;TEXT(ROW()-5,"000"))</f>
        <v/>
      </c>
      <c r="C85" s="16" t="n"/>
      <c r="D85" s="14" t="n"/>
      <c r="E85" s="15">
        <f>IF($D85="","",IFERROR(INDEX(rngCadetPIDs,MATCH($D85,rngCadetNames,0)),"?"))</f>
        <v/>
      </c>
      <c r="F85" s="14" t="n"/>
      <c r="G85" s="14" t="n"/>
      <c r="H85" s="14" t="n"/>
      <c r="I85" s="16" t="n"/>
      <c r="J85" s="16" t="n"/>
      <c r="K85" s="16" t="n"/>
      <c r="L85" s="14" t="n"/>
      <c r="M85" s="15">
        <f>IF($D85="","",IF($K85&lt;&gt;"","Cleared "&amp;TEXT($K85,"mm/dd"),IF($H85="Yes",IF(AND($J85&lt;&gt;"",$J85&lt;TODAY()),"RESTRICTION EXPIRED","ACTIVE RESTRICTION"),"Documented")))</f>
        <v/>
      </c>
      <c r="N85" s="14" t="n"/>
    </row>
    <row r="86">
      <c r="B86" s="15">
        <f>IF($D86="","","MD"&amp;TEXT(ROW()-5,"000"))</f>
        <v/>
      </c>
      <c r="C86" s="16" t="n"/>
      <c r="D86" s="14" t="n"/>
      <c r="E86" s="15">
        <f>IF($D86="","",IFERROR(INDEX(rngCadetPIDs,MATCH($D86,rngCadetNames,0)),"?"))</f>
        <v/>
      </c>
      <c r="F86" s="14" t="n"/>
      <c r="G86" s="14" t="n"/>
      <c r="H86" s="14" t="n"/>
      <c r="I86" s="16" t="n"/>
      <c r="J86" s="16" t="n"/>
      <c r="K86" s="16" t="n"/>
      <c r="L86" s="14" t="n"/>
      <c r="M86" s="15">
        <f>IF($D86="","",IF($K86&lt;&gt;"","Cleared "&amp;TEXT($K86,"mm/dd"),IF($H86="Yes",IF(AND($J86&lt;&gt;"",$J86&lt;TODAY()),"RESTRICTION EXPIRED","ACTIVE RESTRICTION"),"Documented")))</f>
        <v/>
      </c>
      <c r="N86" s="14" t="n"/>
    </row>
    <row r="87">
      <c r="B87" s="15">
        <f>IF($D87="","","MD"&amp;TEXT(ROW()-5,"000"))</f>
        <v/>
      </c>
      <c r="C87" s="16" t="n"/>
      <c r="D87" s="14" t="n"/>
      <c r="E87" s="15">
        <f>IF($D87="","",IFERROR(INDEX(rngCadetPIDs,MATCH($D87,rngCadetNames,0)),"?"))</f>
        <v/>
      </c>
      <c r="F87" s="14" t="n"/>
      <c r="G87" s="14" t="n"/>
      <c r="H87" s="14" t="n"/>
      <c r="I87" s="16" t="n"/>
      <c r="J87" s="16" t="n"/>
      <c r="K87" s="16" t="n"/>
      <c r="L87" s="14" t="n"/>
      <c r="M87" s="15">
        <f>IF($D87="","",IF($K87&lt;&gt;"","Cleared "&amp;TEXT($K87,"mm/dd"),IF($H87="Yes",IF(AND($J87&lt;&gt;"",$J87&lt;TODAY()),"RESTRICTION EXPIRED","ACTIVE RESTRICTION"),"Documented")))</f>
        <v/>
      </c>
      <c r="N87" s="14" t="n"/>
    </row>
    <row r="88">
      <c r="B88" s="15">
        <f>IF($D88="","","MD"&amp;TEXT(ROW()-5,"000"))</f>
        <v/>
      </c>
      <c r="C88" s="16" t="n"/>
      <c r="D88" s="14" t="n"/>
      <c r="E88" s="15">
        <f>IF($D88="","",IFERROR(INDEX(rngCadetPIDs,MATCH($D88,rngCadetNames,0)),"?"))</f>
        <v/>
      </c>
      <c r="F88" s="14" t="n"/>
      <c r="G88" s="14" t="n"/>
      <c r="H88" s="14" t="n"/>
      <c r="I88" s="16" t="n"/>
      <c r="J88" s="16" t="n"/>
      <c r="K88" s="16" t="n"/>
      <c r="L88" s="14" t="n"/>
      <c r="M88" s="15">
        <f>IF($D88="","",IF($K88&lt;&gt;"","Cleared "&amp;TEXT($K88,"mm/dd"),IF($H88="Yes",IF(AND($J88&lt;&gt;"",$J88&lt;TODAY()),"RESTRICTION EXPIRED","ACTIVE RESTRICTION"),"Documented")))</f>
        <v/>
      </c>
      <c r="N88" s="14" t="n"/>
    </row>
    <row r="89">
      <c r="B89" s="15">
        <f>IF($D89="","","MD"&amp;TEXT(ROW()-5,"000"))</f>
        <v/>
      </c>
      <c r="C89" s="16" t="n"/>
      <c r="D89" s="14" t="n"/>
      <c r="E89" s="15">
        <f>IF($D89="","",IFERROR(INDEX(rngCadetPIDs,MATCH($D89,rngCadetNames,0)),"?"))</f>
        <v/>
      </c>
      <c r="F89" s="14" t="n"/>
      <c r="G89" s="14" t="n"/>
      <c r="H89" s="14" t="n"/>
      <c r="I89" s="16" t="n"/>
      <c r="J89" s="16" t="n"/>
      <c r="K89" s="16" t="n"/>
      <c r="L89" s="14" t="n"/>
      <c r="M89" s="15">
        <f>IF($D89="","",IF($K89&lt;&gt;"","Cleared "&amp;TEXT($K89,"mm/dd"),IF($H89="Yes",IF(AND($J89&lt;&gt;"",$J89&lt;TODAY()),"RESTRICTION EXPIRED","ACTIVE RESTRICTION"),"Documented")))</f>
        <v/>
      </c>
      <c r="N89" s="14" t="n"/>
    </row>
    <row r="90">
      <c r="B90" s="15">
        <f>IF($D90="","","MD"&amp;TEXT(ROW()-5,"000"))</f>
        <v/>
      </c>
      <c r="C90" s="16" t="n"/>
      <c r="D90" s="14" t="n"/>
      <c r="E90" s="15">
        <f>IF($D90="","",IFERROR(INDEX(rngCadetPIDs,MATCH($D90,rngCadetNames,0)),"?"))</f>
        <v/>
      </c>
      <c r="F90" s="14" t="n"/>
      <c r="G90" s="14" t="n"/>
      <c r="H90" s="14" t="n"/>
      <c r="I90" s="16" t="n"/>
      <c r="J90" s="16" t="n"/>
      <c r="K90" s="16" t="n"/>
      <c r="L90" s="14" t="n"/>
      <c r="M90" s="15">
        <f>IF($D90="","",IF($K90&lt;&gt;"","Cleared "&amp;TEXT($K90,"mm/dd"),IF($H90="Yes",IF(AND($J90&lt;&gt;"",$J90&lt;TODAY()),"RESTRICTION EXPIRED","ACTIVE RESTRICTION"),"Documented")))</f>
        <v/>
      </c>
      <c r="N90" s="14" t="n"/>
    </row>
    <row r="91">
      <c r="B91" s="15">
        <f>IF($D91="","","MD"&amp;TEXT(ROW()-5,"000"))</f>
        <v/>
      </c>
      <c r="C91" s="16" t="n"/>
      <c r="D91" s="14" t="n"/>
      <c r="E91" s="15">
        <f>IF($D91="","",IFERROR(INDEX(rngCadetPIDs,MATCH($D91,rngCadetNames,0)),"?"))</f>
        <v/>
      </c>
      <c r="F91" s="14" t="n"/>
      <c r="G91" s="14" t="n"/>
      <c r="H91" s="14" t="n"/>
      <c r="I91" s="16" t="n"/>
      <c r="J91" s="16" t="n"/>
      <c r="K91" s="16" t="n"/>
      <c r="L91" s="14" t="n"/>
      <c r="M91" s="15">
        <f>IF($D91="","",IF($K91&lt;&gt;"","Cleared "&amp;TEXT($K91,"mm/dd"),IF($H91="Yes",IF(AND($J91&lt;&gt;"",$J91&lt;TODAY()),"RESTRICTION EXPIRED","ACTIVE RESTRICTION"),"Documented")))</f>
        <v/>
      </c>
      <c r="N91" s="14" t="n"/>
    </row>
    <row r="92">
      <c r="B92" s="15">
        <f>IF($D92="","","MD"&amp;TEXT(ROW()-5,"000"))</f>
        <v/>
      </c>
      <c r="C92" s="16" t="n"/>
      <c r="D92" s="14" t="n"/>
      <c r="E92" s="15">
        <f>IF($D92="","",IFERROR(INDEX(rngCadetPIDs,MATCH($D92,rngCadetNames,0)),"?"))</f>
        <v/>
      </c>
      <c r="F92" s="14" t="n"/>
      <c r="G92" s="14" t="n"/>
      <c r="H92" s="14" t="n"/>
      <c r="I92" s="16" t="n"/>
      <c r="J92" s="16" t="n"/>
      <c r="K92" s="16" t="n"/>
      <c r="L92" s="14" t="n"/>
      <c r="M92" s="15">
        <f>IF($D92="","",IF($K92&lt;&gt;"","Cleared "&amp;TEXT($K92,"mm/dd"),IF($H92="Yes",IF(AND($J92&lt;&gt;"",$J92&lt;TODAY()),"RESTRICTION EXPIRED","ACTIVE RESTRICTION"),"Documented")))</f>
        <v/>
      </c>
      <c r="N92" s="14" t="n"/>
    </row>
    <row r="93">
      <c r="B93" s="15">
        <f>IF($D93="","","MD"&amp;TEXT(ROW()-5,"000"))</f>
        <v/>
      </c>
      <c r="C93" s="16" t="n"/>
      <c r="D93" s="14" t="n"/>
      <c r="E93" s="15">
        <f>IF($D93="","",IFERROR(INDEX(rngCadetPIDs,MATCH($D93,rngCadetNames,0)),"?"))</f>
        <v/>
      </c>
      <c r="F93" s="14" t="n"/>
      <c r="G93" s="14" t="n"/>
      <c r="H93" s="14" t="n"/>
      <c r="I93" s="16" t="n"/>
      <c r="J93" s="16" t="n"/>
      <c r="K93" s="16" t="n"/>
      <c r="L93" s="14" t="n"/>
      <c r="M93" s="15">
        <f>IF($D93="","",IF($K93&lt;&gt;"","Cleared "&amp;TEXT($K93,"mm/dd"),IF($H93="Yes",IF(AND($J93&lt;&gt;"",$J93&lt;TODAY()),"RESTRICTION EXPIRED","ACTIVE RESTRICTION"),"Documented")))</f>
        <v/>
      </c>
      <c r="N93" s="14" t="n"/>
    </row>
    <row r="94">
      <c r="B94" s="15">
        <f>IF($D94="","","MD"&amp;TEXT(ROW()-5,"000"))</f>
        <v/>
      </c>
      <c r="C94" s="16" t="n"/>
      <c r="D94" s="14" t="n"/>
      <c r="E94" s="15">
        <f>IF($D94="","",IFERROR(INDEX(rngCadetPIDs,MATCH($D94,rngCadetNames,0)),"?"))</f>
        <v/>
      </c>
      <c r="F94" s="14" t="n"/>
      <c r="G94" s="14" t="n"/>
      <c r="H94" s="14" t="n"/>
      <c r="I94" s="16" t="n"/>
      <c r="J94" s="16" t="n"/>
      <c r="K94" s="16" t="n"/>
      <c r="L94" s="14" t="n"/>
      <c r="M94" s="15">
        <f>IF($D94="","",IF($K94&lt;&gt;"","Cleared "&amp;TEXT($K94,"mm/dd"),IF($H94="Yes",IF(AND($J94&lt;&gt;"",$J94&lt;TODAY()),"RESTRICTION EXPIRED","ACTIVE RESTRICTION"),"Documented")))</f>
        <v/>
      </c>
      <c r="N94" s="14" t="n"/>
    </row>
    <row r="95">
      <c r="B95" s="15">
        <f>IF($D95="","","MD"&amp;TEXT(ROW()-5,"000"))</f>
        <v/>
      </c>
      <c r="C95" s="16" t="n"/>
      <c r="D95" s="14" t="n"/>
      <c r="E95" s="15">
        <f>IF($D95="","",IFERROR(INDEX(rngCadetPIDs,MATCH($D95,rngCadetNames,0)),"?"))</f>
        <v/>
      </c>
      <c r="F95" s="14" t="n"/>
      <c r="G95" s="14" t="n"/>
      <c r="H95" s="14" t="n"/>
      <c r="I95" s="16" t="n"/>
      <c r="J95" s="16" t="n"/>
      <c r="K95" s="16" t="n"/>
      <c r="L95" s="14" t="n"/>
      <c r="M95" s="15">
        <f>IF($D95="","",IF($K95&lt;&gt;"","Cleared "&amp;TEXT($K95,"mm/dd"),IF($H95="Yes",IF(AND($J95&lt;&gt;"",$J95&lt;TODAY()),"RESTRICTION EXPIRED","ACTIVE RESTRICTION"),"Documented")))</f>
        <v/>
      </c>
      <c r="N95" s="14" t="n"/>
    </row>
    <row r="96">
      <c r="B96" s="15">
        <f>IF($D96="","","MD"&amp;TEXT(ROW()-5,"000"))</f>
        <v/>
      </c>
      <c r="C96" s="16" t="n"/>
      <c r="D96" s="14" t="n"/>
      <c r="E96" s="15">
        <f>IF($D96="","",IFERROR(INDEX(rngCadetPIDs,MATCH($D96,rngCadetNames,0)),"?"))</f>
        <v/>
      </c>
      <c r="F96" s="14" t="n"/>
      <c r="G96" s="14" t="n"/>
      <c r="H96" s="14" t="n"/>
      <c r="I96" s="16" t="n"/>
      <c r="J96" s="16" t="n"/>
      <c r="K96" s="16" t="n"/>
      <c r="L96" s="14" t="n"/>
      <c r="M96" s="15">
        <f>IF($D96="","",IF($K96&lt;&gt;"","Cleared "&amp;TEXT($K96,"mm/dd"),IF($H96="Yes",IF(AND($J96&lt;&gt;"",$J96&lt;TODAY()),"RESTRICTION EXPIRED","ACTIVE RESTRICTION"),"Documented")))</f>
        <v/>
      </c>
      <c r="N96" s="14" t="n"/>
    </row>
    <row r="97">
      <c r="B97" s="15">
        <f>IF($D97="","","MD"&amp;TEXT(ROW()-5,"000"))</f>
        <v/>
      </c>
      <c r="C97" s="16" t="n"/>
      <c r="D97" s="14" t="n"/>
      <c r="E97" s="15">
        <f>IF($D97="","",IFERROR(INDEX(rngCadetPIDs,MATCH($D97,rngCadetNames,0)),"?"))</f>
        <v/>
      </c>
      <c r="F97" s="14" t="n"/>
      <c r="G97" s="14" t="n"/>
      <c r="H97" s="14" t="n"/>
      <c r="I97" s="16" t="n"/>
      <c r="J97" s="16" t="n"/>
      <c r="K97" s="16" t="n"/>
      <c r="L97" s="14" t="n"/>
      <c r="M97" s="15">
        <f>IF($D97="","",IF($K97&lt;&gt;"","Cleared "&amp;TEXT($K97,"mm/dd"),IF($H97="Yes",IF(AND($J97&lt;&gt;"",$J97&lt;TODAY()),"RESTRICTION EXPIRED","ACTIVE RESTRICTION"),"Documented")))</f>
        <v/>
      </c>
      <c r="N97" s="14" t="n"/>
    </row>
    <row r="98">
      <c r="B98" s="15">
        <f>IF($D98="","","MD"&amp;TEXT(ROW()-5,"000"))</f>
        <v/>
      </c>
      <c r="C98" s="16" t="n"/>
      <c r="D98" s="14" t="n"/>
      <c r="E98" s="15">
        <f>IF($D98="","",IFERROR(INDEX(rngCadetPIDs,MATCH($D98,rngCadetNames,0)),"?"))</f>
        <v/>
      </c>
      <c r="F98" s="14" t="n"/>
      <c r="G98" s="14" t="n"/>
      <c r="H98" s="14" t="n"/>
      <c r="I98" s="16" t="n"/>
      <c r="J98" s="16" t="n"/>
      <c r="K98" s="16" t="n"/>
      <c r="L98" s="14" t="n"/>
      <c r="M98" s="15">
        <f>IF($D98="","",IF($K98&lt;&gt;"","Cleared "&amp;TEXT($K98,"mm/dd"),IF($H98="Yes",IF(AND($J98&lt;&gt;"",$J98&lt;TODAY()),"RESTRICTION EXPIRED","ACTIVE RESTRICTION"),"Documented")))</f>
        <v/>
      </c>
      <c r="N98" s="14" t="n"/>
    </row>
    <row r="99">
      <c r="B99" s="15">
        <f>IF($D99="","","MD"&amp;TEXT(ROW()-5,"000"))</f>
        <v/>
      </c>
      <c r="C99" s="16" t="n"/>
      <c r="D99" s="14" t="n"/>
      <c r="E99" s="15">
        <f>IF($D99="","",IFERROR(INDEX(rngCadetPIDs,MATCH($D99,rngCadetNames,0)),"?"))</f>
        <v/>
      </c>
      <c r="F99" s="14" t="n"/>
      <c r="G99" s="14" t="n"/>
      <c r="H99" s="14" t="n"/>
      <c r="I99" s="16" t="n"/>
      <c r="J99" s="16" t="n"/>
      <c r="K99" s="16" t="n"/>
      <c r="L99" s="14" t="n"/>
      <c r="M99" s="15">
        <f>IF($D99="","",IF($K99&lt;&gt;"","Cleared "&amp;TEXT($K99,"mm/dd"),IF($H99="Yes",IF(AND($J99&lt;&gt;"",$J99&lt;TODAY()),"RESTRICTION EXPIRED","ACTIVE RESTRICTION"),"Documented")))</f>
        <v/>
      </c>
      <c r="N99" s="14" t="n"/>
    </row>
    <row r="100">
      <c r="B100" s="15">
        <f>IF($D100="","","MD"&amp;TEXT(ROW()-5,"000"))</f>
        <v/>
      </c>
      <c r="C100" s="16" t="n"/>
      <c r="D100" s="14" t="n"/>
      <c r="E100" s="15">
        <f>IF($D100="","",IFERROR(INDEX(rngCadetPIDs,MATCH($D100,rngCadetNames,0)),"?"))</f>
        <v/>
      </c>
      <c r="F100" s="14" t="n"/>
      <c r="G100" s="14" t="n"/>
      <c r="H100" s="14" t="n"/>
      <c r="I100" s="16" t="n"/>
      <c r="J100" s="16" t="n"/>
      <c r="K100" s="16" t="n"/>
      <c r="L100" s="14" t="n"/>
      <c r="M100" s="15">
        <f>IF($D100="","",IF($K100&lt;&gt;"","Cleared "&amp;TEXT($K100,"mm/dd"),IF($H100="Yes",IF(AND($J100&lt;&gt;"",$J100&lt;TODAY()),"RESTRICTION EXPIRED","ACTIVE RESTRICTION"),"Documented")))</f>
        <v/>
      </c>
      <c r="N100" s="14" t="n"/>
    </row>
    <row r="101">
      <c r="B101" s="15">
        <f>IF($D101="","","MD"&amp;TEXT(ROW()-5,"000"))</f>
        <v/>
      </c>
      <c r="C101" s="16" t="n"/>
      <c r="D101" s="14" t="n"/>
      <c r="E101" s="15">
        <f>IF($D101="","",IFERROR(INDEX(rngCadetPIDs,MATCH($D101,rngCadetNames,0)),"?"))</f>
        <v/>
      </c>
      <c r="F101" s="14" t="n"/>
      <c r="G101" s="14" t="n"/>
      <c r="H101" s="14" t="n"/>
      <c r="I101" s="16" t="n"/>
      <c r="J101" s="16" t="n"/>
      <c r="K101" s="16" t="n"/>
      <c r="L101" s="14" t="n"/>
      <c r="M101" s="15">
        <f>IF($D101="","",IF($K101&lt;&gt;"","Cleared "&amp;TEXT($K101,"mm/dd"),IF($H101="Yes",IF(AND($J101&lt;&gt;"",$J101&lt;TODAY()),"RESTRICTION EXPIRED","ACTIVE RESTRICTION"),"Documented")))</f>
        <v/>
      </c>
      <c r="N101" s="14" t="n"/>
    </row>
    <row r="102">
      <c r="B102" s="15">
        <f>IF($D102="","","MD"&amp;TEXT(ROW()-5,"000"))</f>
        <v/>
      </c>
      <c r="C102" s="16" t="n"/>
      <c r="D102" s="14" t="n"/>
      <c r="E102" s="15">
        <f>IF($D102="","",IFERROR(INDEX(rngCadetPIDs,MATCH($D102,rngCadetNames,0)),"?"))</f>
        <v/>
      </c>
      <c r="F102" s="14" t="n"/>
      <c r="G102" s="14" t="n"/>
      <c r="H102" s="14" t="n"/>
      <c r="I102" s="16" t="n"/>
      <c r="J102" s="16" t="n"/>
      <c r="K102" s="16" t="n"/>
      <c r="L102" s="14" t="n"/>
      <c r="M102" s="15">
        <f>IF($D102="","",IF($K102&lt;&gt;"","Cleared "&amp;TEXT($K102,"mm/dd"),IF($H102="Yes",IF(AND($J102&lt;&gt;"",$J102&lt;TODAY()),"RESTRICTION EXPIRED","ACTIVE RESTRICTION"),"Documented")))</f>
        <v/>
      </c>
      <c r="N102" s="14" t="n"/>
    </row>
    <row r="103">
      <c r="B103" s="15">
        <f>IF($D103="","","MD"&amp;TEXT(ROW()-5,"000"))</f>
        <v/>
      </c>
      <c r="C103" s="16" t="n"/>
      <c r="D103" s="14" t="n"/>
      <c r="E103" s="15">
        <f>IF($D103="","",IFERROR(INDEX(rngCadetPIDs,MATCH($D103,rngCadetNames,0)),"?"))</f>
        <v/>
      </c>
      <c r="F103" s="14" t="n"/>
      <c r="G103" s="14" t="n"/>
      <c r="H103" s="14" t="n"/>
      <c r="I103" s="16" t="n"/>
      <c r="J103" s="16" t="n"/>
      <c r="K103" s="16" t="n"/>
      <c r="L103" s="14" t="n"/>
      <c r="M103" s="15">
        <f>IF($D103="","",IF($K103&lt;&gt;"","Cleared "&amp;TEXT($K103,"mm/dd"),IF($H103="Yes",IF(AND($J103&lt;&gt;"",$J103&lt;TODAY()),"RESTRICTION EXPIRED","ACTIVE RESTRICTION"),"Documented")))</f>
        <v/>
      </c>
      <c r="N103" s="14" t="n"/>
    </row>
    <row r="104">
      <c r="B104" s="15">
        <f>IF($D104="","","MD"&amp;TEXT(ROW()-5,"000"))</f>
        <v/>
      </c>
      <c r="C104" s="16" t="n"/>
      <c r="D104" s="14" t="n"/>
      <c r="E104" s="15">
        <f>IF($D104="","",IFERROR(INDEX(rngCadetPIDs,MATCH($D104,rngCadetNames,0)),"?"))</f>
        <v/>
      </c>
      <c r="F104" s="14" t="n"/>
      <c r="G104" s="14" t="n"/>
      <c r="H104" s="14" t="n"/>
      <c r="I104" s="16" t="n"/>
      <c r="J104" s="16" t="n"/>
      <c r="K104" s="16" t="n"/>
      <c r="L104" s="14" t="n"/>
      <c r="M104" s="15">
        <f>IF($D104="","",IF($K104&lt;&gt;"","Cleared "&amp;TEXT($K104,"mm/dd"),IF($H104="Yes",IF(AND($J104&lt;&gt;"",$J104&lt;TODAY()),"RESTRICTION EXPIRED","ACTIVE RESTRICTION"),"Documented")))</f>
        <v/>
      </c>
      <c r="N104" s="14" t="n"/>
    </row>
    <row r="105">
      <c r="B105" s="15">
        <f>IF($D105="","","MD"&amp;TEXT(ROW()-5,"000"))</f>
        <v/>
      </c>
      <c r="C105" s="16" t="n"/>
      <c r="D105" s="14" t="n"/>
      <c r="E105" s="15">
        <f>IF($D105="","",IFERROR(INDEX(rngCadetPIDs,MATCH($D105,rngCadetNames,0)),"?"))</f>
        <v/>
      </c>
      <c r="F105" s="14" t="n"/>
      <c r="G105" s="14" t="n"/>
      <c r="H105" s="14" t="n"/>
      <c r="I105" s="16" t="n"/>
      <c r="J105" s="16" t="n"/>
      <c r="K105" s="16" t="n"/>
      <c r="L105" s="14" t="n"/>
      <c r="M105" s="15">
        <f>IF($D105="","",IF($K105&lt;&gt;"","Cleared "&amp;TEXT($K105,"mm/dd"),IF($H105="Yes",IF(AND($J105&lt;&gt;"",$J105&lt;TODAY()),"RESTRICTION EXPIRED","ACTIVE RESTRICTION"),"Documented")))</f>
        <v/>
      </c>
      <c r="N105" s="14" t="n"/>
    </row>
    <row r="106">
      <c r="B106" s="15">
        <f>IF($D106="","","MD"&amp;TEXT(ROW()-5,"000"))</f>
        <v/>
      </c>
      <c r="C106" s="16" t="n"/>
      <c r="D106" s="14" t="n"/>
      <c r="E106" s="15">
        <f>IF($D106="","",IFERROR(INDEX(rngCadetPIDs,MATCH($D106,rngCadetNames,0)),"?"))</f>
        <v/>
      </c>
      <c r="F106" s="14" t="n"/>
      <c r="G106" s="14" t="n"/>
      <c r="H106" s="14" t="n"/>
      <c r="I106" s="16" t="n"/>
      <c r="J106" s="16" t="n"/>
      <c r="K106" s="16" t="n"/>
      <c r="L106" s="14" t="n"/>
      <c r="M106" s="15">
        <f>IF($D106="","",IF($K106&lt;&gt;"","Cleared "&amp;TEXT($K106,"mm/dd"),IF($H106="Yes",IF(AND($J106&lt;&gt;"",$J106&lt;TODAY()),"RESTRICTION EXPIRED","ACTIVE RESTRICTION"),"Documented")))</f>
        <v/>
      </c>
      <c r="N106" s="14" t="n"/>
    </row>
    <row r="107">
      <c r="B107" s="15">
        <f>IF($D107="","","MD"&amp;TEXT(ROW()-5,"000"))</f>
        <v/>
      </c>
      <c r="C107" s="16" t="n"/>
      <c r="D107" s="14" t="n"/>
      <c r="E107" s="15">
        <f>IF($D107="","",IFERROR(INDEX(rngCadetPIDs,MATCH($D107,rngCadetNames,0)),"?"))</f>
        <v/>
      </c>
      <c r="F107" s="14" t="n"/>
      <c r="G107" s="14" t="n"/>
      <c r="H107" s="14" t="n"/>
      <c r="I107" s="16" t="n"/>
      <c r="J107" s="16" t="n"/>
      <c r="K107" s="16" t="n"/>
      <c r="L107" s="14" t="n"/>
      <c r="M107" s="15">
        <f>IF($D107="","",IF($K107&lt;&gt;"","Cleared "&amp;TEXT($K107,"mm/dd"),IF($H107="Yes",IF(AND($J107&lt;&gt;"",$J107&lt;TODAY()),"RESTRICTION EXPIRED","ACTIVE RESTRICTION"),"Documented")))</f>
        <v/>
      </c>
      <c r="N107" s="14" t="n"/>
    </row>
    <row r="108">
      <c r="B108" s="15">
        <f>IF($D108="","","MD"&amp;TEXT(ROW()-5,"000"))</f>
        <v/>
      </c>
      <c r="C108" s="16" t="n"/>
      <c r="D108" s="14" t="n"/>
      <c r="E108" s="15">
        <f>IF($D108="","",IFERROR(INDEX(rngCadetPIDs,MATCH($D108,rngCadetNames,0)),"?"))</f>
        <v/>
      </c>
      <c r="F108" s="14" t="n"/>
      <c r="G108" s="14" t="n"/>
      <c r="H108" s="14" t="n"/>
      <c r="I108" s="16" t="n"/>
      <c r="J108" s="16" t="n"/>
      <c r="K108" s="16" t="n"/>
      <c r="L108" s="14" t="n"/>
      <c r="M108" s="15">
        <f>IF($D108="","",IF($K108&lt;&gt;"","Cleared "&amp;TEXT($K108,"mm/dd"),IF($H108="Yes",IF(AND($J108&lt;&gt;"",$J108&lt;TODAY()),"RESTRICTION EXPIRED","ACTIVE RESTRICTION"),"Documented")))</f>
        <v/>
      </c>
      <c r="N108" s="14" t="n"/>
    </row>
    <row r="109">
      <c r="B109" s="15">
        <f>IF($D109="","","MD"&amp;TEXT(ROW()-5,"000"))</f>
        <v/>
      </c>
      <c r="C109" s="16" t="n"/>
      <c r="D109" s="14" t="n"/>
      <c r="E109" s="15">
        <f>IF($D109="","",IFERROR(INDEX(rngCadetPIDs,MATCH($D109,rngCadetNames,0)),"?"))</f>
        <v/>
      </c>
      <c r="F109" s="14" t="n"/>
      <c r="G109" s="14" t="n"/>
      <c r="H109" s="14" t="n"/>
      <c r="I109" s="16" t="n"/>
      <c r="J109" s="16" t="n"/>
      <c r="K109" s="16" t="n"/>
      <c r="L109" s="14" t="n"/>
      <c r="M109" s="15">
        <f>IF($D109="","",IF($K109&lt;&gt;"","Cleared "&amp;TEXT($K109,"mm/dd"),IF($H109="Yes",IF(AND($J109&lt;&gt;"",$J109&lt;TODAY()),"RESTRICTION EXPIRED","ACTIVE RESTRICTION"),"Documented")))</f>
        <v/>
      </c>
      <c r="N109" s="14" t="n"/>
    </row>
    <row r="110">
      <c r="B110" s="15">
        <f>IF($D110="","","MD"&amp;TEXT(ROW()-5,"000"))</f>
        <v/>
      </c>
      <c r="C110" s="16" t="n"/>
      <c r="D110" s="14" t="n"/>
      <c r="E110" s="15">
        <f>IF($D110="","",IFERROR(INDEX(rngCadetPIDs,MATCH($D110,rngCadetNames,0)),"?"))</f>
        <v/>
      </c>
      <c r="F110" s="14" t="n"/>
      <c r="G110" s="14" t="n"/>
      <c r="H110" s="14" t="n"/>
      <c r="I110" s="16" t="n"/>
      <c r="J110" s="16" t="n"/>
      <c r="K110" s="16" t="n"/>
      <c r="L110" s="14" t="n"/>
      <c r="M110" s="15">
        <f>IF($D110="","",IF($K110&lt;&gt;"","Cleared "&amp;TEXT($K110,"mm/dd"),IF($H110="Yes",IF(AND($J110&lt;&gt;"",$J110&lt;TODAY()),"RESTRICTION EXPIRED","ACTIVE RESTRICTION"),"Documented")))</f>
        <v/>
      </c>
      <c r="N110" s="14" t="n"/>
    </row>
    <row r="111">
      <c r="B111" s="15">
        <f>IF($D111="","","MD"&amp;TEXT(ROW()-5,"000"))</f>
        <v/>
      </c>
      <c r="C111" s="16" t="n"/>
      <c r="D111" s="14" t="n"/>
      <c r="E111" s="15">
        <f>IF($D111="","",IFERROR(INDEX(rngCadetPIDs,MATCH($D111,rngCadetNames,0)),"?"))</f>
        <v/>
      </c>
      <c r="F111" s="14" t="n"/>
      <c r="G111" s="14" t="n"/>
      <c r="H111" s="14" t="n"/>
      <c r="I111" s="16" t="n"/>
      <c r="J111" s="16" t="n"/>
      <c r="K111" s="16" t="n"/>
      <c r="L111" s="14" t="n"/>
      <c r="M111" s="15">
        <f>IF($D111="","",IF($K111&lt;&gt;"","Cleared "&amp;TEXT($K111,"mm/dd"),IF($H111="Yes",IF(AND($J111&lt;&gt;"",$J111&lt;TODAY()),"RESTRICTION EXPIRED","ACTIVE RESTRICTION"),"Documented")))</f>
        <v/>
      </c>
      <c r="N111" s="14" t="n"/>
    </row>
    <row r="112">
      <c r="B112" s="15">
        <f>IF($D112="","","MD"&amp;TEXT(ROW()-5,"000"))</f>
        <v/>
      </c>
      <c r="C112" s="16" t="n"/>
      <c r="D112" s="14" t="n"/>
      <c r="E112" s="15">
        <f>IF($D112="","",IFERROR(INDEX(rngCadetPIDs,MATCH($D112,rngCadetNames,0)),"?"))</f>
        <v/>
      </c>
      <c r="F112" s="14" t="n"/>
      <c r="G112" s="14" t="n"/>
      <c r="H112" s="14" t="n"/>
      <c r="I112" s="16" t="n"/>
      <c r="J112" s="16" t="n"/>
      <c r="K112" s="16" t="n"/>
      <c r="L112" s="14" t="n"/>
      <c r="M112" s="15">
        <f>IF($D112="","",IF($K112&lt;&gt;"","Cleared "&amp;TEXT($K112,"mm/dd"),IF($H112="Yes",IF(AND($J112&lt;&gt;"",$J112&lt;TODAY()),"RESTRICTION EXPIRED","ACTIVE RESTRICTION"),"Documented")))</f>
        <v/>
      </c>
      <c r="N112" s="14" t="n"/>
    </row>
    <row r="113">
      <c r="B113" s="15">
        <f>IF($D113="","","MD"&amp;TEXT(ROW()-5,"000"))</f>
        <v/>
      </c>
      <c r="C113" s="16" t="n"/>
      <c r="D113" s="14" t="n"/>
      <c r="E113" s="15">
        <f>IF($D113="","",IFERROR(INDEX(rngCadetPIDs,MATCH($D113,rngCadetNames,0)),"?"))</f>
        <v/>
      </c>
      <c r="F113" s="14" t="n"/>
      <c r="G113" s="14" t="n"/>
      <c r="H113" s="14" t="n"/>
      <c r="I113" s="16" t="n"/>
      <c r="J113" s="16" t="n"/>
      <c r="K113" s="16" t="n"/>
      <c r="L113" s="14" t="n"/>
      <c r="M113" s="15">
        <f>IF($D113="","",IF($K113&lt;&gt;"","Cleared "&amp;TEXT($K113,"mm/dd"),IF($H113="Yes",IF(AND($J113&lt;&gt;"",$J113&lt;TODAY()),"RESTRICTION EXPIRED","ACTIVE RESTRICTION"),"Documented")))</f>
        <v/>
      </c>
      <c r="N113" s="14" t="n"/>
    </row>
    <row r="114">
      <c r="B114" s="15">
        <f>IF($D114="","","MD"&amp;TEXT(ROW()-5,"000"))</f>
        <v/>
      </c>
      <c r="C114" s="16" t="n"/>
      <c r="D114" s="14" t="n"/>
      <c r="E114" s="15">
        <f>IF($D114="","",IFERROR(INDEX(rngCadetPIDs,MATCH($D114,rngCadetNames,0)),"?"))</f>
        <v/>
      </c>
      <c r="F114" s="14" t="n"/>
      <c r="G114" s="14" t="n"/>
      <c r="H114" s="14" t="n"/>
      <c r="I114" s="16" t="n"/>
      <c r="J114" s="16" t="n"/>
      <c r="K114" s="16" t="n"/>
      <c r="L114" s="14" t="n"/>
      <c r="M114" s="15">
        <f>IF($D114="","",IF($K114&lt;&gt;"","Cleared "&amp;TEXT($K114,"mm/dd"),IF($H114="Yes",IF(AND($J114&lt;&gt;"",$J114&lt;TODAY()),"RESTRICTION EXPIRED","ACTIVE RESTRICTION"),"Documented")))</f>
        <v/>
      </c>
      <c r="N114" s="14" t="n"/>
    </row>
    <row r="115">
      <c r="B115" s="15">
        <f>IF($D115="","","MD"&amp;TEXT(ROW()-5,"000"))</f>
        <v/>
      </c>
      <c r="C115" s="16" t="n"/>
      <c r="D115" s="14" t="n"/>
      <c r="E115" s="15">
        <f>IF($D115="","",IFERROR(INDEX(rngCadetPIDs,MATCH($D115,rngCadetNames,0)),"?"))</f>
        <v/>
      </c>
      <c r="F115" s="14" t="n"/>
      <c r="G115" s="14" t="n"/>
      <c r="H115" s="14" t="n"/>
      <c r="I115" s="16" t="n"/>
      <c r="J115" s="16" t="n"/>
      <c r="K115" s="16" t="n"/>
      <c r="L115" s="14" t="n"/>
      <c r="M115" s="15">
        <f>IF($D115="","",IF($K115&lt;&gt;"","Cleared "&amp;TEXT($K115,"mm/dd"),IF($H115="Yes",IF(AND($J115&lt;&gt;"",$J115&lt;TODAY()),"RESTRICTION EXPIRED","ACTIVE RESTRICTION"),"Documented")))</f>
        <v/>
      </c>
      <c r="N115" s="14" t="n"/>
    </row>
    <row r="116">
      <c r="B116" s="15">
        <f>IF($D116="","","MD"&amp;TEXT(ROW()-5,"000"))</f>
        <v/>
      </c>
      <c r="C116" s="16" t="n"/>
      <c r="D116" s="14" t="n"/>
      <c r="E116" s="15">
        <f>IF($D116="","",IFERROR(INDEX(rngCadetPIDs,MATCH($D116,rngCadetNames,0)),"?"))</f>
        <v/>
      </c>
      <c r="F116" s="14" t="n"/>
      <c r="G116" s="14" t="n"/>
      <c r="H116" s="14" t="n"/>
      <c r="I116" s="16" t="n"/>
      <c r="J116" s="16" t="n"/>
      <c r="K116" s="16" t="n"/>
      <c r="L116" s="14" t="n"/>
      <c r="M116" s="15">
        <f>IF($D116="","",IF($K116&lt;&gt;"","Cleared "&amp;TEXT($K116,"mm/dd"),IF($H116="Yes",IF(AND($J116&lt;&gt;"",$J116&lt;TODAY()),"RESTRICTION EXPIRED","ACTIVE RESTRICTION"),"Documented")))</f>
        <v/>
      </c>
      <c r="N116" s="14" t="n"/>
    </row>
    <row r="117">
      <c r="B117" s="15">
        <f>IF($D117="","","MD"&amp;TEXT(ROW()-5,"000"))</f>
        <v/>
      </c>
      <c r="C117" s="16" t="n"/>
      <c r="D117" s="14" t="n"/>
      <c r="E117" s="15">
        <f>IF($D117="","",IFERROR(INDEX(rngCadetPIDs,MATCH($D117,rngCadetNames,0)),"?"))</f>
        <v/>
      </c>
      <c r="F117" s="14" t="n"/>
      <c r="G117" s="14" t="n"/>
      <c r="H117" s="14" t="n"/>
      <c r="I117" s="16" t="n"/>
      <c r="J117" s="16" t="n"/>
      <c r="K117" s="16" t="n"/>
      <c r="L117" s="14" t="n"/>
      <c r="M117" s="15">
        <f>IF($D117="","",IF($K117&lt;&gt;"","Cleared "&amp;TEXT($K117,"mm/dd"),IF($H117="Yes",IF(AND($J117&lt;&gt;"",$J117&lt;TODAY()),"RESTRICTION EXPIRED","ACTIVE RESTRICTION"),"Documented")))</f>
        <v/>
      </c>
      <c r="N117" s="14" t="n"/>
    </row>
    <row r="118">
      <c r="B118" s="15">
        <f>IF($D118="","","MD"&amp;TEXT(ROW()-5,"000"))</f>
        <v/>
      </c>
      <c r="C118" s="16" t="n"/>
      <c r="D118" s="14" t="n"/>
      <c r="E118" s="15">
        <f>IF($D118="","",IFERROR(INDEX(rngCadetPIDs,MATCH($D118,rngCadetNames,0)),"?"))</f>
        <v/>
      </c>
      <c r="F118" s="14" t="n"/>
      <c r="G118" s="14" t="n"/>
      <c r="H118" s="14" t="n"/>
      <c r="I118" s="16" t="n"/>
      <c r="J118" s="16" t="n"/>
      <c r="K118" s="16" t="n"/>
      <c r="L118" s="14" t="n"/>
      <c r="M118" s="15">
        <f>IF($D118="","",IF($K118&lt;&gt;"","Cleared "&amp;TEXT($K118,"mm/dd"),IF($H118="Yes",IF(AND($J118&lt;&gt;"",$J118&lt;TODAY()),"RESTRICTION EXPIRED","ACTIVE RESTRICTION"),"Documented")))</f>
        <v/>
      </c>
      <c r="N118" s="14" t="n"/>
    </row>
    <row r="119">
      <c r="B119" s="15">
        <f>IF($D119="","","MD"&amp;TEXT(ROW()-5,"000"))</f>
        <v/>
      </c>
      <c r="C119" s="16" t="n"/>
      <c r="D119" s="14" t="n"/>
      <c r="E119" s="15">
        <f>IF($D119="","",IFERROR(INDEX(rngCadetPIDs,MATCH($D119,rngCadetNames,0)),"?"))</f>
        <v/>
      </c>
      <c r="F119" s="14" t="n"/>
      <c r="G119" s="14" t="n"/>
      <c r="H119" s="14" t="n"/>
      <c r="I119" s="16" t="n"/>
      <c r="J119" s="16" t="n"/>
      <c r="K119" s="16" t="n"/>
      <c r="L119" s="14" t="n"/>
      <c r="M119" s="15">
        <f>IF($D119="","",IF($K119&lt;&gt;"","Cleared "&amp;TEXT($K119,"mm/dd"),IF($H119="Yes",IF(AND($J119&lt;&gt;"",$J119&lt;TODAY()),"RESTRICTION EXPIRED","ACTIVE RESTRICTION"),"Documented")))</f>
        <v/>
      </c>
      <c r="N119" s="14" t="n"/>
    </row>
    <row r="120">
      <c r="B120" s="15">
        <f>IF($D120="","","MD"&amp;TEXT(ROW()-5,"000"))</f>
        <v/>
      </c>
      <c r="C120" s="16" t="n"/>
      <c r="D120" s="14" t="n"/>
      <c r="E120" s="15">
        <f>IF($D120="","",IFERROR(INDEX(rngCadetPIDs,MATCH($D120,rngCadetNames,0)),"?"))</f>
        <v/>
      </c>
      <c r="F120" s="14" t="n"/>
      <c r="G120" s="14" t="n"/>
      <c r="H120" s="14" t="n"/>
      <c r="I120" s="16" t="n"/>
      <c r="J120" s="16" t="n"/>
      <c r="K120" s="16" t="n"/>
      <c r="L120" s="14" t="n"/>
      <c r="M120" s="15">
        <f>IF($D120="","",IF($K120&lt;&gt;"","Cleared "&amp;TEXT($K120,"mm/dd"),IF($H120="Yes",IF(AND($J120&lt;&gt;"",$J120&lt;TODAY()),"RESTRICTION EXPIRED","ACTIVE RESTRICTION"),"Documented")))</f>
        <v/>
      </c>
      <c r="N120" s="14" t="n"/>
    </row>
    <row r="121">
      <c r="B121" s="15">
        <f>IF($D121="","","MD"&amp;TEXT(ROW()-5,"000"))</f>
        <v/>
      </c>
      <c r="C121" s="16" t="n"/>
      <c r="D121" s="14" t="n"/>
      <c r="E121" s="15">
        <f>IF($D121="","",IFERROR(INDEX(rngCadetPIDs,MATCH($D121,rngCadetNames,0)),"?"))</f>
        <v/>
      </c>
      <c r="F121" s="14" t="n"/>
      <c r="G121" s="14" t="n"/>
      <c r="H121" s="14" t="n"/>
      <c r="I121" s="16" t="n"/>
      <c r="J121" s="16" t="n"/>
      <c r="K121" s="16" t="n"/>
      <c r="L121" s="14" t="n"/>
      <c r="M121" s="15">
        <f>IF($D121="","",IF($K121&lt;&gt;"","Cleared "&amp;TEXT($K121,"mm/dd"),IF($H121="Yes",IF(AND($J121&lt;&gt;"",$J121&lt;TODAY()),"RESTRICTION EXPIRED","ACTIVE RESTRICTION"),"Documented")))</f>
        <v/>
      </c>
      <c r="N121" s="14" t="n"/>
    </row>
    <row r="122">
      <c r="B122" s="15">
        <f>IF($D122="","","MD"&amp;TEXT(ROW()-5,"000"))</f>
        <v/>
      </c>
      <c r="C122" s="16" t="n"/>
      <c r="D122" s="14" t="n"/>
      <c r="E122" s="15">
        <f>IF($D122="","",IFERROR(INDEX(rngCadetPIDs,MATCH($D122,rngCadetNames,0)),"?"))</f>
        <v/>
      </c>
      <c r="F122" s="14" t="n"/>
      <c r="G122" s="14" t="n"/>
      <c r="H122" s="14" t="n"/>
      <c r="I122" s="16" t="n"/>
      <c r="J122" s="16" t="n"/>
      <c r="K122" s="16" t="n"/>
      <c r="L122" s="14" t="n"/>
      <c r="M122" s="15">
        <f>IF($D122="","",IF($K122&lt;&gt;"","Cleared "&amp;TEXT($K122,"mm/dd"),IF($H122="Yes",IF(AND($J122&lt;&gt;"",$J122&lt;TODAY()),"RESTRICTION EXPIRED","ACTIVE RESTRICTION"),"Documented")))</f>
        <v/>
      </c>
      <c r="N122" s="14" t="n"/>
    </row>
    <row r="123">
      <c r="B123" s="15">
        <f>IF($D123="","","MD"&amp;TEXT(ROW()-5,"000"))</f>
        <v/>
      </c>
      <c r="C123" s="16" t="n"/>
      <c r="D123" s="14" t="n"/>
      <c r="E123" s="15">
        <f>IF($D123="","",IFERROR(INDEX(rngCadetPIDs,MATCH($D123,rngCadetNames,0)),"?"))</f>
        <v/>
      </c>
      <c r="F123" s="14" t="n"/>
      <c r="G123" s="14" t="n"/>
      <c r="H123" s="14" t="n"/>
      <c r="I123" s="16" t="n"/>
      <c r="J123" s="16" t="n"/>
      <c r="K123" s="16" t="n"/>
      <c r="L123" s="14" t="n"/>
      <c r="M123" s="15">
        <f>IF($D123="","",IF($K123&lt;&gt;"","Cleared "&amp;TEXT($K123,"mm/dd"),IF($H123="Yes",IF(AND($J123&lt;&gt;"",$J123&lt;TODAY()),"RESTRICTION EXPIRED","ACTIVE RESTRICTION"),"Documented")))</f>
        <v/>
      </c>
      <c r="N123" s="14" t="n"/>
    </row>
    <row r="124">
      <c r="B124" s="15">
        <f>IF($D124="","","MD"&amp;TEXT(ROW()-5,"000"))</f>
        <v/>
      </c>
      <c r="C124" s="16" t="n"/>
      <c r="D124" s="14" t="n"/>
      <c r="E124" s="15">
        <f>IF($D124="","",IFERROR(INDEX(rngCadetPIDs,MATCH($D124,rngCadetNames,0)),"?"))</f>
        <v/>
      </c>
      <c r="F124" s="14" t="n"/>
      <c r="G124" s="14" t="n"/>
      <c r="H124" s="14" t="n"/>
      <c r="I124" s="16" t="n"/>
      <c r="J124" s="16" t="n"/>
      <c r="K124" s="16" t="n"/>
      <c r="L124" s="14" t="n"/>
      <c r="M124" s="15">
        <f>IF($D124="","",IF($K124&lt;&gt;"","Cleared "&amp;TEXT($K124,"mm/dd"),IF($H124="Yes",IF(AND($J124&lt;&gt;"",$J124&lt;TODAY()),"RESTRICTION EXPIRED","ACTIVE RESTRICTION"),"Documented")))</f>
        <v/>
      </c>
      <c r="N124" s="14" t="n"/>
    </row>
    <row r="125">
      <c r="B125" s="15">
        <f>IF($D125="","","MD"&amp;TEXT(ROW()-5,"000"))</f>
        <v/>
      </c>
      <c r="C125" s="16" t="n"/>
      <c r="D125" s="14" t="n"/>
      <c r="E125" s="15">
        <f>IF($D125="","",IFERROR(INDEX(rngCadetPIDs,MATCH($D125,rngCadetNames,0)),"?"))</f>
        <v/>
      </c>
      <c r="F125" s="14" t="n"/>
      <c r="G125" s="14" t="n"/>
      <c r="H125" s="14" t="n"/>
      <c r="I125" s="16" t="n"/>
      <c r="J125" s="16" t="n"/>
      <c r="K125" s="16" t="n"/>
      <c r="L125" s="14" t="n"/>
      <c r="M125" s="15">
        <f>IF($D125="","",IF($K125&lt;&gt;"","Cleared "&amp;TEXT($K125,"mm/dd"),IF($H125="Yes",IF(AND($J125&lt;&gt;"",$J125&lt;TODAY()),"RESTRICTION EXPIRED","ACTIVE RESTRICTION"),"Documented")))</f>
        <v/>
      </c>
      <c r="N125" s="14" t="n"/>
    </row>
    <row r="126">
      <c r="B126" s="15">
        <f>IF($D126="","","MD"&amp;TEXT(ROW()-5,"000"))</f>
        <v/>
      </c>
      <c r="C126" s="16" t="n"/>
      <c r="D126" s="14" t="n"/>
      <c r="E126" s="15">
        <f>IF($D126="","",IFERROR(INDEX(rngCadetPIDs,MATCH($D126,rngCadetNames,0)),"?"))</f>
        <v/>
      </c>
      <c r="F126" s="14" t="n"/>
      <c r="G126" s="14" t="n"/>
      <c r="H126" s="14" t="n"/>
      <c r="I126" s="16" t="n"/>
      <c r="J126" s="16" t="n"/>
      <c r="K126" s="16" t="n"/>
      <c r="L126" s="14" t="n"/>
      <c r="M126" s="15">
        <f>IF($D126="","",IF($K126&lt;&gt;"","Cleared "&amp;TEXT($K126,"mm/dd"),IF($H126="Yes",IF(AND($J126&lt;&gt;"",$J126&lt;TODAY()),"RESTRICTION EXPIRED","ACTIVE RESTRICTION"),"Documented")))</f>
        <v/>
      </c>
      <c r="N126" s="14" t="n"/>
    </row>
    <row r="127">
      <c r="B127" s="15">
        <f>IF($D127="","","MD"&amp;TEXT(ROW()-5,"000"))</f>
        <v/>
      </c>
      <c r="C127" s="16" t="n"/>
      <c r="D127" s="14" t="n"/>
      <c r="E127" s="15">
        <f>IF($D127="","",IFERROR(INDEX(rngCadetPIDs,MATCH($D127,rngCadetNames,0)),"?"))</f>
        <v/>
      </c>
      <c r="F127" s="14" t="n"/>
      <c r="G127" s="14" t="n"/>
      <c r="H127" s="14" t="n"/>
      <c r="I127" s="16" t="n"/>
      <c r="J127" s="16" t="n"/>
      <c r="K127" s="16" t="n"/>
      <c r="L127" s="14" t="n"/>
      <c r="M127" s="15">
        <f>IF($D127="","",IF($K127&lt;&gt;"","Cleared "&amp;TEXT($K127,"mm/dd"),IF($H127="Yes",IF(AND($J127&lt;&gt;"",$J127&lt;TODAY()),"RESTRICTION EXPIRED","ACTIVE RESTRICTION"),"Documented")))</f>
        <v/>
      </c>
      <c r="N127" s="14" t="n"/>
    </row>
    <row r="128">
      <c r="B128" s="15">
        <f>IF($D128="","","MD"&amp;TEXT(ROW()-5,"000"))</f>
        <v/>
      </c>
      <c r="C128" s="16" t="n"/>
      <c r="D128" s="14" t="n"/>
      <c r="E128" s="15">
        <f>IF($D128="","",IFERROR(INDEX(rngCadetPIDs,MATCH($D128,rngCadetNames,0)),"?"))</f>
        <v/>
      </c>
      <c r="F128" s="14" t="n"/>
      <c r="G128" s="14" t="n"/>
      <c r="H128" s="14" t="n"/>
      <c r="I128" s="16" t="n"/>
      <c r="J128" s="16" t="n"/>
      <c r="K128" s="16" t="n"/>
      <c r="L128" s="14" t="n"/>
      <c r="M128" s="15">
        <f>IF($D128="","",IF($K128&lt;&gt;"","Cleared "&amp;TEXT($K128,"mm/dd"),IF($H128="Yes",IF(AND($J128&lt;&gt;"",$J128&lt;TODAY()),"RESTRICTION EXPIRED","ACTIVE RESTRICTION"),"Documented")))</f>
        <v/>
      </c>
      <c r="N128" s="14" t="n"/>
    </row>
    <row r="129">
      <c r="B129" s="15">
        <f>IF($D129="","","MD"&amp;TEXT(ROW()-5,"000"))</f>
        <v/>
      </c>
      <c r="C129" s="16" t="n"/>
      <c r="D129" s="14" t="n"/>
      <c r="E129" s="15">
        <f>IF($D129="","",IFERROR(INDEX(rngCadetPIDs,MATCH($D129,rngCadetNames,0)),"?"))</f>
        <v/>
      </c>
      <c r="F129" s="14" t="n"/>
      <c r="G129" s="14" t="n"/>
      <c r="H129" s="14" t="n"/>
      <c r="I129" s="16" t="n"/>
      <c r="J129" s="16" t="n"/>
      <c r="K129" s="16" t="n"/>
      <c r="L129" s="14" t="n"/>
      <c r="M129" s="15">
        <f>IF($D129="","",IF($K129&lt;&gt;"","Cleared "&amp;TEXT($K129,"mm/dd"),IF($H129="Yes",IF(AND($J129&lt;&gt;"",$J129&lt;TODAY()),"RESTRICTION EXPIRED","ACTIVE RESTRICTION"),"Documented")))</f>
        <v/>
      </c>
      <c r="N129" s="14" t="n"/>
    </row>
    <row r="130">
      <c r="B130" s="15">
        <f>IF($D130="","","MD"&amp;TEXT(ROW()-5,"000"))</f>
        <v/>
      </c>
      <c r="C130" s="16" t="n"/>
      <c r="D130" s="14" t="n"/>
      <c r="E130" s="15">
        <f>IF($D130="","",IFERROR(INDEX(rngCadetPIDs,MATCH($D130,rngCadetNames,0)),"?"))</f>
        <v/>
      </c>
      <c r="F130" s="14" t="n"/>
      <c r="G130" s="14" t="n"/>
      <c r="H130" s="14" t="n"/>
      <c r="I130" s="16" t="n"/>
      <c r="J130" s="16" t="n"/>
      <c r="K130" s="16" t="n"/>
      <c r="L130" s="14" t="n"/>
      <c r="M130" s="15">
        <f>IF($D130="","",IF($K130&lt;&gt;"","Cleared "&amp;TEXT($K130,"mm/dd"),IF($H130="Yes",IF(AND($J130&lt;&gt;"",$J130&lt;TODAY()),"RESTRICTION EXPIRED","ACTIVE RESTRICTION"),"Documented")))</f>
        <v/>
      </c>
      <c r="N130" s="14" t="n"/>
    </row>
    <row r="131">
      <c r="B131" s="15">
        <f>IF($D131="","","MD"&amp;TEXT(ROW()-5,"000"))</f>
        <v/>
      </c>
      <c r="C131" s="16" t="n"/>
      <c r="D131" s="14" t="n"/>
      <c r="E131" s="15">
        <f>IF($D131="","",IFERROR(INDEX(rngCadetPIDs,MATCH($D131,rngCadetNames,0)),"?"))</f>
        <v/>
      </c>
      <c r="F131" s="14" t="n"/>
      <c r="G131" s="14" t="n"/>
      <c r="H131" s="14" t="n"/>
      <c r="I131" s="16" t="n"/>
      <c r="J131" s="16" t="n"/>
      <c r="K131" s="16" t="n"/>
      <c r="L131" s="14" t="n"/>
      <c r="M131" s="15">
        <f>IF($D131="","",IF($K131&lt;&gt;"","Cleared "&amp;TEXT($K131,"mm/dd"),IF($H131="Yes",IF(AND($J131&lt;&gt;"",$J131&lt;TODAY()),"RESTRICTION EXPIRED","ACTIVE RESTRICTION"),"Documented")))</f>
        <v/>
      </c>
      <c r="N131" s="14" t="n"/>
    </row>
    <row r="132">
      <c r="B132" s="15">
        <f>IF($D132="","","MD"&amp;TEXT(ROW()-5,"000"))</f>
        <v/>
      </c>
      <c r="C132" s="16" t="n"/>
      <c r="D132" s="14" t="n"/>
      <c r="E132" s="15">
        <f>IF($D132="","",IFERROR(INDEX(rngCadetPIDs,MATCH($D132,rngCadetNames,0)),"?"))</f>
        <v/>
      </c>
      <c r="F132" s="14" t="n"/>
      <c r="G132" s="14" t="n"/>
      <c r="H132" s="14" t="n"/>
      <c r="I132" s="16" t="n"/>
      <c r="J132" s="16" t="n"/>
      <c r="K132" s="16" t="n"/>
      <c r="L132" s="14" t="n"/>
      <c r="M132" s="15">
        <f>IF($D132="","",IF($K132&lt;&gt;"","Cleared "&amp;TEXT($K132,"mm/dd"),IF($H132="Yes",IF(AND($J132&lt;&gt;"",$J132&lt;TODAY()),"RESTRICTION EXPIRED","ACTIVE RESTRICTION"),"Documented")))</f>
        <v/>
      </c>
      <c r="N132" s="14" t="n"/>
    </row>
    <row r="133">
      <c r="B133" s="15">
        <f>IF($D133="","","MD"&amp;TEXT(ROW()-5,"000"))</f>
        <v/>
      </c>
      <c r="C133" s="16" t="n"/>
      <c r="D133" s="14" t="n"/>
      <c r="E133" s="15">
        <f>IF($D133="","",IFERROR(INDEX(rngCadetPIDs,MATCH($D133,rngCadetNames,0)),"?"))</f>
        <v/>
      </c>
      <c r="F133" s="14" t="n"/>
      <c r="G133" s="14" t="n"/>
      <c r="H133" s="14" t="n"/>
      <c r="I133" s="16" t="n"/>
      <c r="J133" s="16" t="n"/>
      <c r="K133" s="16" t="n"/>
      <c r="L133" s="14" t="n"/>
      <c r="M133" s="15">
        <f>IF($D133="","",IF($K133&lt;&gt;"","Cleared "&amp;TEXT($K133,"mm/dd"),IF($H133="Yes",IF(AND($J133&lt;&gt;"",$J133&lt;TODAY()),"RESTRICTION EXPIRED","ACTIVE RESTRICTION"),"Documented")))</f>
        <v/>
      </c>
      <c r="N133" s="14" t="n"/>
    </row>
    <row r="134">
      <c r="B134" s="15">
        <f>IF($D134="","","MD"&amp;TEXT(ROW()-5,"000"))</f>
        <v/>
      </c>
      <c r="C134" s="16" t="n"/>
      <c r="D134" s="14" t="n"/>
      <c r="E134" s="15">
        <f>IF($D134="","",IFERROR(INDEX(rngCadetPIDs,MATCH($D134,rngCadetNames,0)),"?"))</f>
        <v/>
      </c>
      <c r="F134" s="14" t="n"/>
      <c r="G134" s="14" t="n"/>
      <c r="H134" s="14" t="n"/>
      <c r="I134" s="16" t="n"/>
      <c r="J134" s="16" t="n"/>
      <c r="K134" s="16" t="n"/>
      <c r="L134" s="14" t="n"/>
      <c r="M134" s="15">
        <f>IF($D134="","",IF($K134&lt;&gt;"","Cleared "&amp;TEXT($K134,"mm/dd"),IF($H134="Yes",IF(AND($J134&lt;&gt;"",$J134&lt;TODAY()),"RESTRICTION EXPIRED","ACTIVE RESTRICTION"),"Documented")))</f>
        <v/>
      </c>
      <c r="N134" s="14" t="n"/>
    </row>
    <row r="135">
      <c r="B135" s="15">
        <f>IF($D135="","","MD"&amp;TEXT(ROW()-5,"000"))</f>
        <v/>
      </c>
      <c r="C135" s="16" t="n"/>
      <c r="D135" s="14" t="n"/>
      <c r="E135" s="15">
        <f>IF($D135="","",IFERROR(INDEX(rngCadetPIDs,MATCH($D135,rngCadetNames,0)),"?"))</f>
        <v/>
      </c>
      <c r="F135" s="14" t="n"/>
      <c r="G135" s="14" t="n"/>
      <c r="H135" s="14" t="n"/>
      <c r="I135" s="16" t="n"/>
      <c r="J135" s="16" t="n"/>
      <c r="K135" s="16" t="n"/>
      <c r="L135" s="14" t="n"/>
      <c r="M135" s="15">
        <f>IF($D135="","",IF($K135&lt;&gt;"","Cleared "&amp;TEXT($K135,"mm/dd"),IF($H135="Yes",IF(AND($J135&lt;&gt;"",$J135&lt;TODAY()),"RESTRICTION EXPIRED","ACTIVE RESTRICTION"),"Documented")))</f>
        <v/>
      </c>
      <c r="N135" s="14" t="n"/>
    </row>
    <row r="136">
      <c r="B136" s="15">
        <f>IF($D136="","","MD"&amp;TEXT(ROW()-5,"000"))</f>
        <v/>
      </c>
      <c r="C136" s="16" t="n"/>
      <c r="D136" s="14" t="n"/>
      <c r="E136" s="15">
        <f>IF($D136="","",IFERROR(INDEX(rngCadetPIDs,MATCH($D136,rngCadetNames,0)),"?"))</f>
        <v/>
      </c>
      <c r="F136" s="14" t="n"/>
      <c r="G136" s="14" t="n"/>
      <c r="H136" s="14" t="n"/>
      <c r="I136" s="16" t="n"/>
      <c r="J136" s="16" t="n"/>
      <c r="K136" s="16" t="n"/>
      <c r="L136" s="14" t="n"/>
      <c r="M136" s="15">
        <f>IF($D136="","",IF($K136&lt;&gt;"","Cleared "&amp;TEXT($K136,"mm/dd"),IF($H136="Yes",IF(AND($J136&lt;&gt;"",$J136&lt;TODAY()),"RESTRICTION EXPIRED","ACTIVE RESTRICTION"),"Documented")))</f>
        <v/>
      </c>
      <c r="N136" s="14" t="n"/>
    </row>
    <row r="137">
      <c r="B137" s="15">
        <f>IF($D137="","","MD"&amp;TEXT(ROW()-5,"000"))</f>
        <v/>
      </c>
      <c r="C137" s="16" t="n"/>
      <c r="D137" s="14" t="n"/>
      <c r="E137" s="15">
        <f>IF($D137="","",IFERROR(INDEX(rngCadetPIDs,MATCH($D137,rngCadetNames,0)),"?"))</f>
        <v/>
      </c>
      <c r="F137" s="14" t="n"/>
      <c r="G137" s="14" t="n"/>
      <c r="H137" s="14" t="n"/>
      <c r="I137" s="16" t="n"/>
      <c r="J137" s="16" t="n"/>
      <c r="K137" s="16" t="n"/>
      <c r="L137" s="14" t="n"/>
      <c r="M137" s="15">
        <f>IF($D137="","",IF($K137&lt;&gt;"","Cleared "&amp;TEXT($K137,"mm/dd"),IF($H137="Yes",IF(AND($J137&lt;&gt;"",$J137&lt;TODAY()),"RESTRICTION EXPIRED","ACTIVE RESTRICTION"),"Documented")))</f>
        <v/>
      </c>
      <c r="N137" s="14" t="n"/>
    </row>
    <row r="138">
      <c r="B138" s="15">
        <f>IF($D138="","","MD"&amp;TEXT(ROW()-5,"000"))</f>
        <v/>
      </c>
      <c r="C138" s="16" t="n"/>
      <c r="D138" s="14" t="n"/>
      <c r="E138" s="15">
        <f>IF($D138="","",IFERROR(INDEX(rngCadetPIDs,MATCH($D138,rngCadetNames,0)),"?"))</f>
        <v/>
      </c>
      <c r="F138" s="14" t="n"/>
      <c r="G138" s="14" t="n"/>
      <c r="H138" s="14" t="n"/>
      <c r="I138" s="16" t="n"/>
      <c r="J138" s="16" t="n"/>
      <c r="K138" s="16" t="n"/>
      <c r="L138" s="14" t="n"/>
      <c r="M138" s="15">
        <f>IF($D138="","",IF($K138&lt;&gt;"","Cleared "&amp;TEXT($K138,"mm/dd"),IF($H138="Yes",IF(AND($J138&lt;&gt;"",$J138&lt;TODAY()),"RESTRICTION EXPIRED","ACTIVE RESTRICTION"),"Documented")))</f>
        <v/>
      </c>
      <c r="N138" s="14" t="n"/>
    </row>
    <row r="139">
      <c r="B139" s="15">
        <f>IF($D139="","","MD"&amp;TEXT(ROW()-5,"000"))</f>
        <v/>
      </c>
      <c r="C139" s="16" t="n"/>
      <c r="D139" s="14" t="n"/>
      <c r="E139" s="15">
        <f>IF($D139="","",IFERROR(INDEX(rngCadetPIDs,MATCH($D139,rngCadetNames,0)),"?"))</f>
        <v/>
      </c>
      <c r="F139" s="14" t="n"/>
      <c r="G139" s="14" t="n"/>
      <c r="H139" s="14" t="n"/>
      <c r="I139" s="16" t="n"/>
      <c r="J139" s="16" t="n"/>
      <c r="K139" s="16" t="n"/>
      <c r="L139" s="14" t="n"/>
      <c r="M139" s="15">
        <f>IF($D139="","",IF($K139&lt;&gt;"","Cleared "&amp;TEXT($K139,"mm/dd"),IF($H139="Yes",IF(AND($J139&lt;&gt;"",$J139&lt;TODAY()),"RESTRICTION EXPIRED","ACTIVE RESTRICTION"),"Documented")))</f>
        <v/>
      </c>
      <c r="N139" s="14" t="n"/>
    </row>
    <row r="140">
      <c r="B140" s="15">
        <f>IF($D140="","","MD"&amp;TEXT(ROW()-5,"000"))</f>
        <v/>
      </c>
      <c r="C140" s="16" t="n"/>
      <c r="D140" s="14" t="n"/>
      <c r="E140" s="15">
        <f>IF($D140="","",IFERROR(INDEX(rngCadetPIDs,MATCH($D140,rngCadetNames,0)),"?"))</f>
        <v/>
      </c>
      <c r="F140" s="14" t="n"/>
      <c r="G140" s="14" t="n"/>
      <c r="H140" s="14" t="n"/>
      <c r="I140" s="16" t="n"/>
      <c r="J140" s="16" t="n"/>
      <c r="K140" s="16" t="n"/>
      <c r="L140" s="14" t="n"/>
      <c r="M140" s="15">
        <f>IF($D140="","",IF($K140&lt;&gt;"","Cleared "&amp;TEXT($K140,"mm/dd"),IF($H140="Yes",IF(AND($J140&lt;&gt;"",$J140&lt;TODAY()),"RESTRICTION EXPIRED","ACTIVE RESTRICTION"),"Documented")))</f>
        <v/>
      </c>
      <c r="N140" s="14" t="n"/>
    </row>
    <row r="141">
      <c r="B141" s="15">
        <f>IF($D141="","","MD"&amp;TEXT(ROW()-5,"000"))</f>
        <v/>
      </c>
      <c r="C141" s="16" t="n"/>
      <c r="D141" s="14" t="n"/>
      <c r="E141" s="15">
        <f>IF($D141="","",IFERROR(INDEX(rngCadetPIDs,MATCH($D141,rngCadetNames,0)),"?"))</f>
        <v/>
      </c>
      <c r="F141" s="14" t="n"/>
      <c r="G141" s="14" t="n"/>
      <c r="H141" s="14" t="n"/>
      <c r="I141" s="16" t="n"/>
      <c r="J141" s="16" t="n"/>
      <c r="K141" s="16" t="n"/>
      <c r="L141" s="14" t="n"/>
      <c r="M141" s="15">
        <f>IF($D141="","",IF($K141&lt;&gt;"","Cleared "&amp;TEXT($K141,"mm/dd"),IF($H141="Yes",IF(AND($J141&lt;&gt;"",$J141&lt;TODAY()),"RESTRICTION EXPIRED","ACTIVE RESTRICTION"),"Documented")))</f>
        <v/>
      </c>
      <c r="N141" s="14" t="n"/>
    </row>
    <row r="142">
      <c r="B142" s="15">
        <f>IF($D142="","","MD"&amp;TEXT(ROW()-5,"000"))</f>
        <v/>
      </c>
      <c r="C142" s="16" t="n"/>
      <c r="D142" s="14" t="n"/>
      <c r="E142" s="15">
        <f>IF($D142="","",IFERROR(INDEX(rngCadetPIDs,MATCH($D142,rngCadetNames,0)),"?"))</f>
        <v/>
      </c>
      <c r="F142" s="14" t="n"/>
      <c r="G142" s="14" t="n"/>
      <c r="H142" s="14" t="n"/>
      <c r="I142" s="16" t="n"/>
      <c r="J142" s="16" t="n"/>
      <c r="K142" s="16" t="n"/>
      <c r="L142" s="14" t="n"/>
      <c r="M142" s="15">
        <f>IF($D142="","",IF($K142&lt;&gt;"","Cleared "&amp;TEXT($K142,"mm/dd"),IF($H142="Yes",IF(AND($J142&lt;&gt;"",$J142&lt;TODAY()),"RESTRICTION EXPIRED","ACTIVE RESTRICTION"),"Documented")))</f>
        <v/>
      </c>
      <c r="N142" s="14" t="n"/>
    </row>
    <row r="143">
      <c r="B143" s="15">
        <f>IF($D143="","","MD"&amp;TEXT(ROW()-5,"000"))</f>
        <v/>
      </c>
      <c r="C143" s="16" t="n"/>
      <c r="D143" s="14" t="n"/>
      <c r="E143" s="15">
        <f>IF($D143="","",IFERROR(INDEX(rngCadetPIDs,MATCH($D143,rngCadetNames,0)),"?"))</f>
        <v/>
      </c>
      <c r="F143" s="14" t="n"/>
      <c r="G143" s="14" t="n"/>
      <c r="H143" s="14" t="n"/>
      <c r="I143" s="16" t="n"/>
      <c r="J143" s="16" t="n"/>
      <c r="K143" s="16" t="n"/>
      <c r="L143" s="14" t="n"/>
      <c r="M143" s="15">
        <f>IF($D143="","",IF($K143&lt;&gt;"","Cleared "&amp;TEXT($K143,"mm/dd"),IF($H143="Yes",IF(AND($J143&lt;&gt;"",$J143&lt;TODAY()),"RESTRICTION EXPIRED","ACTIVE RESTRICTION"),"Documented")))</f>
        <v/>
      </c>
      <c r="N143" s="14" t="n"/>
    </row>
    <row r="144">
      <c r="B144" s="15">
        <f>IF($D144="","","MD"&amp;TEXT(ROW()-5,"000"))</f>
        <v/>
      </c>
      <c r="C144" s="16" t="n"/>
      <c r="D144" s="14" t="n"/>
      <c r="E144" s="15">
        <f>IF($D144="","",IFERROR(INDEX(rngCadetPIDs,MATCH($D144,rngCadetNames,0)),"?"))</f>
        <v/>
      </c>
      <c r="F144" s="14" t="n"/>
      <c r="G144" s="14" t="n"/>
      <c r="H144" s="14" t="n"/>
      <c r="I144" s="16" t="n"/>
      <c r="J144" s="16" t="n"/>
      <c r="K144" s="16" t="n"/>
      <c r="L144" s="14" t="n"/>
      <c r="M144" s="15">
        <f>IF($D144="","",IF($K144&lt;&gt;"","Cleared "&amp;TEXT($K144,"mm/dd"),IF($H144="Yes",IF(AND($J144&lt;&gt;"",$J144&lt;TODAY()),"RESTRICTION EXPIRED","ACTIVE RESTRICTION"),"Documented")))</f>
        <v/>
      </c>
      <c r="N144" s="14" t="n"/>
    </row>
    <row r="145">
      <c r="B145" s="15">
        <f>IF($D145="","","MD"&amp;TEXT(ROW()-5,"000"))</f>
        <v/>
      </c>
      <c r="C145" s="16" t="n"/>
      <c r="D145" s="14" t="n"/>
      <c r="E145" s="15">
        <f>IF($D145="","",IFERROR(INDEX(rngCadetPIDs,MATCH($D145,rngCadetNames,0)),"?"))</f>
        <v/>
      </c>
      <c r="F145" s="14" t="n"/>
      <c r="G145" s="14" t="n"/>
      <c r="H145" s="14" t="n"/>
      <c r="I145" s="16" t="n"/>
      <c r="J145" s="16" t="n"/>
      <c r="K145" s="16" t="n"/>
      <c r="L145" s="14" t="n"/>
      <c r="M145" s="15">
        <f>IF($D145="","",IF($K145&lt;&gt;"","Cleared "&amp;TEXT($K145,"mm/dd"),IF($H145="Yes",IF(AND($J145&lt;&gt;"",$J145&lt;TODAY()),"RESTRICTION EXPIRED","ACTIVE RESTRICTION"),"Documented")))</f>
        <v/>
      </c>
      <c r="N145" s="14" t="n"/>
    </row>
    <row r="146">
      <c r="B146" s="15">
        <f>IF($D146="","","MD"&amp;TEXT(ROW()-5,"000"))</f>
        <v/>
      </c>
      <c r="C146" s="16" t="n"/>
      <c r="D146" s="14" t="n"/>
      <c r="E146" s="15">
        <f>IF($D146="","",IFERROR(INDEX(rngCadetPIDs,MATCH($D146,rngCadetNames,0)),"?"))</f>
        <v/>
      </c>
      <c r="F146" s="14" t="n"/>
      <c r="G146" s="14" t="n"/>
      <c r="H146" s="14" t="n"/>
      <c r="I146" s="16" t="n"/>
      <c r="J146" s="16" t="n"/>
      <c r="K146" s="16" t="n"/>
      <c r="L146" s="14" t="n"/>
      <c r="M146" s="15">
        <f>IF($D146="","",IF($K146&lt;&gt;"","Cleared "&amp;TEXT($K146,"mm/dd"),IF($H146="Yes",IF(AND($J146&lt;&gt;"",$J146&lt;TODAY()),"RESTRICTION EXPIRED","ACTIVE RESTRICTION"),"Documented")))</f>
        <v/>
      </c>
      <c r="N146" s="14" t="n"/>
    </row>
    <row r="147">
      <c r="B147" s="15">
        <f>IF($D147="","","MD"&amp;TEXT(ROW()-5,"000"))</f>
        <v/>
      </c>
      <c r="C147" s="16" t="n"/>
      <c r="D147" s="14" t="n"/>
      <c r="E147" s="15">
        <f>IF($D147="","",IFERROR(INDEX(rngCadetPIDs,MATCH($D147,rngCadetNames,0)),"?"))</f>
        <v/>
      </c>
      <c r="F147" s="14" t="n"/>
      <c r="G147" s="14" t="n"/>
      <c r="H147" s="14" t="n"/>
      <c r="I147" s="16" t="n"/>
      <c r="J147" s="16" t="n"/>
      <c r="K147" s="16" t="n"/>
      <c r="L147" s="14" t="n"/>
      <c r="M147" s="15">
        <f>IF($D147="","",IF($K147&lt;&gt;"","Cleared "&amp;TEXT($K147,"mm/dd"),IF($H147="Yes",IF(AND($J147&lt;&gt;"",$J147&lt;TODAY()),"RESTRICTION EXPIRED","ACTIVE RESTRICTION"),"Documented")))</f>
        <v/>
      </c>
      <c r="N147" s="14" t="n"/>
    </row>
    <row r="148">
      <c r="B148" s="15">
        <f>IF($D148="","","MD"&amp;TEXT(ROW()-5,"000"))</f>
        <v/>
      </c>
      <c r="C148" s="16" t="n"/>
      <c r="D148" s="14" t="n"/>
      <c r="E148" s="15">
        <f>IF($D148="","",IFERROR(INDEX(rngCadetPIDs,MATCH($D148,rngCadetNames,0)),"?"))</f>
        <v/>
      </c>
      <c r="F148" s="14" t="n"/>
      <c r="G148" s="14" t="n"/>
      <c r="H148" s="14" t="n"/>
      <c r="I148" s="16" t="n"/>
      <c r="J148" s="16" t="n"/>
      <c r="K148" s="16" t="n"/>
      <c r="L148" s="14" t="n"/>
      <c r="M148" s="15">
        <f>IF($D148="","",IF($K148&lt;&gt;"","Cleared "&amp;TEXT($K148,"mm/dd"),IF($H148="Yes",IF(AND($J148&lt;&gt;"",$J148&lt;TODAY()),"RESTRICTION EXPIRED","ACTIVE RESTRICTION"),"Documented")))</f>
        <v/>
      </c>
      <c r="N148" s="14" t="n"/>
    </row>
    <row r="149">
      <c r="B149" s="15">
        <f>IF($D149="","","MD"&amp;TEXT(ROW()-5,"000"))</f>
        <v/>
      </c>
      <c r="C149" s="16" t="n"/>
      <c r="D149" s="14" t="n"/>
      <c r="E149" s="15">
        <f>IF($D149="","",IFERROR(INDEX(rngCadetPIDs,MATCH($D149,rngCadetNames,0)),"?"))</f>
        <v/>
      </c>
      <c r="F149" s="14" t="n"/>
      <c r="G149" s="14" t="n"/>
      <c r="H149" s="14" t="n"/>
      <c r="I149" s="16" t="n"/>
      <c r="J149" s="16" t="n"/>
      <c r="K149" s="16" t="n"/>
      <c r="L149" s="14" t="n"/>
      <c r="M149" s="15">
        <f>IF($D149="","",IF($K149&lt;&gt;"","Cleared "&amp;TEXT($K149,"mm/dd"),IF($H149="Yes",IF(AND($J149&lt;&gt;"",$J149&lt;TODAY()),"RESTRICTION EXPIRED","ACTIVE RESTRICTION"),"Documented")))</f>
        <v/>
      </c>
      <c r="N149" s="14" t="n"/>
    </row>
    <row r="150">
      <c r="B150" s="15">
        <f>IF($D150="","","MD"&amp;TEXT(ROW()-5,"000"))</f>
        <v/>
      </c>
      <c r="C150" s="16" t="n"/>
      <c r="D150" s="14" t="n"/>
      <c r="E150" s="15">
        <f>IF($D150="","",IFERROR(INDEX(rngCadetPIDs,MATCH($D150,rngCadetNames,0)),"?"))</f>
        <v/>
      </c>
      <c r="F150" s="14" t="n"/>
      <c r="G150" s="14" t="n"/>
      <c r="H150" s="14" t="n"/>
      <c r="I150" s="16" t="n"/>
      <c r="J150" s="16" t="n"/>
      <c r="K150" s="16" t="n"/>
      <c r="L150" s="14" t="n"/>
      <c r="M150" s="15">
        <f>IF($D150="","",IF($K150&lt;&gt;"","Cleared "&amp;TEXT($K150,"mm/dd"),IF($H150="Yes",IF(AND($J150&lt;&gt;"",$J150&lt;TODAY()),"RESTRICTION EXPIRED","ACTIVE RESTRICTION"),"Documented")))</f>
        <v/>
      </c>
      <c r="N150" s="14" t="n"/>
    </row>
    <row r="151">
      <c r="B151" s="15">
        <f>IF($D151="","","MD"&amp;TEXT(ROW()-5,"000"))</f>
        <v/>
      </c>
      <c r="C151" s="16" t="n"/>
      <c r="D151" s="14" t="n"/>
      <c r="E151" s="15">
        <f>IF($D151="","",IFERROR(INDEX(rngCadetPIDs,MATCH($D151,rngCadetNames,0)),"?"))</f>
        <v/>
      </c>
      <c r="F151" s="14" t="n"/>
      <c r="G151" s="14" t="n"/>
      <c r="H151" s="14" t="n"/>
      <c r="I151" s="16" t="n"/>
      <c r="J151" s="16" t="n"/>
      <c r="K151" s="16" t="n"/>
      <c r="L151" s="14" t="n"/>
      <c r="M151" s="15">
        <f>IF($D151="","",IF($K151&lt;&gt;"","Cleared "&amp;TEXT($K151,"mm/dd"),IF($H151="Yes",IF(AND($J151&lt;&gt;"",$J151&lt;TODAY()),"RESTRICTION EXPIRED","ACTIVE RESTRICTION"),"Documented")))</f>
        <v/>
      </c>
      <c r="N151" s="14" t="n"/>
    </row>
    <row r="152">
      <c r="B152" s="15">
        <f>IF($D152="","","MD"&amp;TEXT(ROW()-5,"000"))</f>
        <v/>
      </c>
      <c r="C152" s="16" t="n"/>
      <c r="D152" s="14" t="n"/>
      <c r="E152" s="15">
        <f>IF($D152="","",IFERROR(INDEX(rngCadetPIDs,MATCH($D152,rngCadetNames,0)),"?"))</f>
        <v/>
      </c>
      <c r="F152" s="14" t="n"/>
      <c r="G152" s="14" t="n"/>
      <c r="H152" s="14" t="n"/>
      <c r="I152" s="16" t="n"/>
      <c r="J152" s="16" t="n"/>
      <c r="K152" s="16" t="n"/>
      <c r="L152" s="14" t="n"/>
      <c r="M152" s="15">
        <f>IF($D152="","",IF($K152&lt;&gt;"","Cleared "&amp;TEXT($K152,"mm/dd"),IF($H152="Yes",IF(AND($J152&lt;&gt;"",$J152&lt;TODAY()),"RESTRICTION EXPIRED","ACTIVE RESTRICTION"),"Documented")))</f>
        <v/>
      </c>
      <c r="N152" s="14" t="n"/>
    </row>
    <row r="153">
      <c r="B153" s="15">
        <f>IF($D153="","","MD"&amp;TEXT(ROW()-5,"000"))</f>
        <v/>
      </c>
      <c r="C153" s="16" t="n"/>
      <c r="D153" s="14" t="n"/>
      <c r="E153" s="15">
        <f>IF($D153="","",IFERROR(INDEX(rngCadetPIDs,MATCH($D153,rngCadetNames,0)),"?"))</f>
        <v/>
      </c>
      <c r="F153" s="14" t="n"/>
      <c r="G153" s="14" t="n"/>
      <c r="H153" s="14" t="n"/>
      <c r="I153" s="16" t="n"/>
      <c r="J153" s="16" t="n"/>
      <c r="K153" s="16" t="n"/>
      <c r="L153" s="14" t="n"/>
      <c r="M153" s="15">
        <f>IF($D153="","",IF($K153&lt;&gt;"","Cleared "&amp;TEXT($K153,"mm/dd"),IF($H153="Yes",IF(AND($J153&lt;&gt;"",$J153&lt;TODAY()),"RESTRICTION EXPIRED","ACTIVE RESTRICTION"),"Documented")))</f>
        <v/>
      </c>
      <c r="N153" s="14" t="n"/>
    </row>
    <row r="154">
      <c r="B154" s="15">
        <f>IF($D154="","","MD"&amp;TEXT(ROW()-5,"000"))</f>
        <v/>
      </c>
      <c r="C154" s="16" t="n"/>
      <c r="D154" s="14" t="n"/>
      <c r="E154" s="15">
        <f>IF($D154="","",IFERROR(INDEX(rngCadetPIDs,MATCH($D154,rngCadetNames,0)),"?"))</f>
        <v/>
      </c>
      <c r="F154" s="14" t="n"/>
      <c r="G154" s="14" t="n"/>
      <c r="H154" s="14" t="n"/>
      <c r="I154" s="16" t="n"/>
      <c r="J154" s="16" t="n"/>
      <c r="K154" s="16" t="n"/>
      <c r="L154" s="14" t="n"/>
      <c r="M154" s="15">
        <f>IF($D154="","",IF($K154&lt;&gt;"","Cleared "&amp;TEXT($K154,"mm/dd"),IF($H154="Yes",IF(AND($J154&lt;&gt;"",$J154&lt;TODAY()),"RESTRICTION EXPIRED","ACTIVE RESTRICTION"),"Documented")))</f>
        <v/>
      </c>
      <c r="N154" s="14" t="n"/>
    </row>
    <row r="155">
      <c r="B155" s="15">
        <f>IF($D155="","","MD"&amp;TEXT(ROW()-5,"000"))</f>
        <v/>
      </c>
      <c r="C155" s="16" t="n"/>
      <c r="D155" s="14" t="n"/>
      <c r="E155" s="15">
        <f>IF($D155="","",IFERROR(INDEX(rngCadetPIDs,MATCH($D155,rngCadetNames,0)),"?"))</f>
        <v/>
      </c>
      <c r="F155" s="14" t="n"/>
      <c r="G155" s="14" t="n"/>
      <c r="H155" s="14" t="n"/>
      <c r="I155" s="16" t="n"/>
      <c r="J155" s="16" t="n"/>
      <c r="K155" s="16" t="n"/>
      <c r="L155" s="14" t="n"/>
      <c r="M155" s="15">
        <f>IF($D155="","",IF($K155&lt;&gt;"","Cleared "&amp;TEXT($K155,"mm/dd"),IF($H155="Yes",IF(AND($J155&lt;&gt;"",$J155&lt;TODAY()),"RESTRICTION EXPIRED","ACTIVE RESTRICTION"),"Documented")))</f>
        <v/>
      </c>
      <c r="N155" s="14" t="n"/>
    </row>
    <row r="156">
      <c r="B156" s="15">
        <f>IF($D156="","","MD"&amp;TEXT(ROW()-5,"000"))</f>
        <v/>
      </c>
      <c r="C156" s="16" t="n"/>
      <c r="D156" s="14" t="n"/>
      <c r="E156" s="15">
        <f>IF($D156="","",IFERROR(INDEX(rngCadetPIDs,MATCH($D156,rngCadetNames,0)),"?"))</f>
        <v/>
      </c>
      <c r="F156" s="14" t="n"/>
      <c r="G156" s="14" t="n"/>
      <c r="H156" s="14" t="n"/>
      <c r="I156" s="16" t="n"/>
      <c r="J156" s="16" t="n"/>
      <c r="K156" s="16" t="n"/>
      <c r="L156" s="14" t="n"/>
      <c r="M156" s="15">
        <f>IF($D156="","",IF($K156&lt;&gt;"","Cleared "&amp;TEXT($K156,"mm/dd"),IF($H156="Yes",IF(AND($J156&lt;&gt;"",$J156&lt;TODAY()),"RESTRICTION EXPIRED","ACTIVE RESTRICTION"),"Documented")))</f>
        <v/>
      </c>
      <c r="N156" s="14" t="n"/>
    </row>
    <row r="157">
      <c r="B157" s="15">
        <f>IF($D157="","","MD"&amp;TEXT(ROW()-5,"000"))</f>
        <v/>
      </c>
      <c r="C157" s="16" t="n"/>
      <c r="D157" s="14" t="n"/>
      <c r="E157" s="15">
        <f>IF($D157="","",IFERROR(INDEX(rngCadetPIDs,MATCH($D157,rngCadetNames,0)),"?"))</f>
        <v/>
      </c>
      <c r="F157" s="14" t="n"/>
      <c r="G157" s="14" t="n"/>
      <c r="H157" s="14" t="n"/>
      <c r="I157" s="16" t="n"/>
      <c r="J157" s="16" t="n"/>
      <c r="K157" s="16" t="n"/>
      <c r="L157" s="14" t="n"/>
      <c r="M157" s="15">
        <f>IF($D157="","",IF($K157&lt;&gt;"","Cleared "&amp;TEXT($K157,"mm/dd"),IF($H157="Yes",IF(AND($J157&lt;&gt;"",$J157&lt;TODAY()),"RESTRICTION EXPIRED","ACTIVE RESTRICTION"),"Documented")))</f>
        <v/>
      </c>
      <c r="N157" s="14" t="n"/>
    </row>
    <row r="158">
      <c r="B158" s="15">
        <f>IF($D158="","","MD"&amp;TEXT(ROW()-5,"000"))</f>
        <v/>
      </c>
      <c r="C158" s="16" t="n"/>
      <c r="D158" s="14" t="n"/>
      <c r="E158" s="15">
        <f>IF($D158="","",IFERROR(INDEX(rngCadetPIDs,MATCH($D158,rngCadetNames,0)),"?"))</f>
        <v/>
      </c>
      <c r="F158" s="14" t="n"/>
      <c r="G158" s="14" t="n"/>
      <c r="H158" s="14" t="n"/>
      <c r="I158" s="16" t="n"/>
      <c r="J158" s="16" t="n"/>
      <c r="K158" s="16" t="n"/>
      <c r="L158" s="14" t="n"/>
      <c r="M158" s="15">
        <f>IF($D158="","",IF($K158&lt;&gt;"","Cleared "&amp;TEXT($K158,"mm/dd"),IF($H158="Yes",IF(AND($J158&lt;&gt;"",$J158&lt;TODAY()),"RESTRICTION EXPIRED","ACTIVE RESTRICTION"),"Documented")))</f>
        <v/>
      </c>
      <c r="N158" s="14" t="n"/>
    </row>
    <row r="159">
      <c r="B159" s="15">
        <f>IF($D159="","","MD"&amp;TEXT(ROW()-5,"000"))</f>
        <v/>
      </c>
      <c r="C159" s="16" t="n"/>
      <c r="D159" s="14" t="n"/>
      <c r="E159" s="15">
        <f>IF($D159="","",IFERROR(INDEX(rngCadetPIDs,MATCH($D159,rngCadetNames,0)),"?"))</f>
        <v/>
      </c>
      <c r="F159" s="14" t="n"/>
      <c r="G159" s="14" t="n"/>
      <c r="H159" s="14" t="n"/>
      <c r="I159" s="16" t="n"/>
      <c r="J159" s="16" t="n"/>
      <c r="K159" s="16" t="n"/>
      <c r="L159" s="14" t="n"/>
      <c r="M159" s="15">
        <f>IF($D159="","",IF($K159&lt;&gt;"","Cleared "&amp;TEXT($K159,"mm/dd"),IF($H159="Yes",IF(AND($J159&lt;&gt;"",$J159&lt;TODAY()),"RESTRICTION EXPIRED","ACTIVE RESTRICTION"),"Documented")))</f>
        <v/>
      </c>
      <c r="N159" s="14" t="n"/>
    </row>
    <row r="160">
      <c r="B160" s="15">
        <f>IF($D160="","","MD"&amp;TEXT(ROW()-5,"000"))</f>
        <v/>
      </c>
      <c r="C160" s="16" t="n"/>
      <c r="D160" s="14" t="n"/>
      <c r="E160" s="15">
        <f>IF($D160="","",IFERROR(INDEX(rngCadetPIDs,MATCH($D160,rngCadetNames,0)),"?"))</f>
        <v/>
      </c>
      <c r="F160" s="14" t="n"/>
      <c r="G160" s="14" t="n"/>
      <c r="H160" s="14" t="n"/>
      <c r="I160" s="16" t="n"/>
      <c r="J160" s="16" t="n"/>
      <c r="K160" s="16" t="n"/>
      <c r="L160" s="14" t="n"/>
      <c r="M160" s="15">
        <f>IF($D160="","",IF($K160&lt;&gt;"","Cleared "&amp;TEXT($K160,"mm/dd"),IF($H160="Yes",IF(AND($J160&lt;&gt;"",$J160&lt;TODAY()),"RESTRICTION EXPIRED","ACTIVE RESTRICTION"),"Documented")))</f>
        <v/>
      </c>
      <c r="N160" s="14" t="n"/>
    </row>
    <row r="161">
      <c r="B161" s="15">
        <f>IF($D161="","","MD"&amp;TEXT(ROW()-5,"000"))</f>
        <v/>
      </c>
      <c r="C161" s="16" t="n"/>
      <c r="D161" s="14" t="n"/>
      <c r="E161" s="15">
        <f>IF($D161="","",IFERROR(INDEX(rngCadetPIDs,MATCH($D161,rngCadetNames,0)),"?"))</f>
        <v/>
      </c>
      <c r="F161" s="14" t="n"/>
      <c r="G161" s="14" t="n"/>
      <c r="H161" s="14" t="n"/>
      <c r="I161" s="16" t="n"/>
      <c r="J161" s="16" t="n"/>
      <c r="K161" s="16" t="n"/>
      <c r="L161" s="14" t="n"/>
      <c r="M161" s="15">
        <f>IF($D161="","",IF($K161&lt;&gt;"","Cleared "&amp;TEXT($K161,"mm/dd"),IF($H161="Yes",IF(AND($J161&lt;&gt;"",$J161&lt;TODAY()),"RESTRICTION EXPIRED","ACTIVE RESTRICTION"),"Documented")))</f>
        <v/>
      </c>
      <c r="N161" s="14" t="n"/>
    </row>
    <row r="162">
      <c r="B162" s="15">
        <f>IF($D162="","","MD"&amp;TEXT(ROW()-5,"000"))</f>
        <v/>
      </c>
      <c r="C162" s="16" t="n"/>
      <c r="D162" s="14" t="n"/>
      <c r="E162" s="15">
        <f>IF($D162="","",IFERROR(INDEX(rngCadetPIDs,MATCH($D162,rngCadetNames,0)),"?"))</f>
        <v/>
      </c>
      <c r="F162" s="14" t="n"/>
      <c r="G162" s="14" t="n"/>
      <c r="H162" s="14" t="n"/>
      <c r="I162" s="16" t="n"/>
      <c r="J162" s="16" t="n"/>
      <c r="K162" s="16" t="n"/>
      <c r="L162" s="14" t="n"/>
      <c r="M162" s="15">
        <f>IF($D162="","",IF($K162&lt;&gt;"","Cleared "&amp;TEXT($K162,"mm/dd"),IF($H162="Yes",IF(AND($J162&lt;&gt;"",$J162&lt;TODAY()),"RESTRICTION EXPIRED","ACTIVE RESTRICTION"),"Documented")))</f>
        <v/>
      </c>
      <c r="N162" s="14" t="n"/>
    </row>
    <row r="163">
      <c r="B163" s="15">
        <f>IF($D163="","","MD"&amp;TEXT(ROW()-5,"000"))</f>
        <v/>
      </c>
      <c r="C163" s="16" t="n"/>
      <c r="D163" s="14" t="n"/>
      <c r="E163" s="15">
        <f>IF($D163="","",IFERROR(INDEX(rngCadetPIDs,MATCH($D163,rngCadetNames,0)),"?"))</f>
        <v/>
      </c>
      <c r="F163" s="14" t="n"/>
      <c r="G163" s="14" t="n"/>
      <c r="H163" s="14" t="n"/>
      <c r="I163" s="16" t="n"/>
      <c r="J163" s="16" t="n"/>
      <c r="K163" s="16" t="n"/>
      <c r="L163" s="14" t="n"/>
      <c r="M163" s="15">
        <f>IF($D163="","",IF($K163&lt;&gt;"","Cleared "&amp;TEXT($K163,"mm/dd"),IF($H163="Yes",IF(AND($J163&lt;&gt;"",$J163&lt;TODAY()),"RESTRICTION EXPIRED","ACTIVE RESTRICTION"),"Documented")))</f>
        <v/>
      </c>
      <c r="N163" s="14" t="n"/>
    </row>
    <row r="164">
      <c r="B164" s="15">
        <f>IF($D164="","","MD"&amp;TEXT(ROW()-5,"000"))</f>
        <v/>
      </c>
      <c r="C164" s="16" t="n"/>
      <c r="D164" s="14" t="n"/>
      <c r="E164" s="15">
        <f>IF($D164="","",IFERROR(INDEX(rngCadetPIDs,MATCH($D164,rngCadetNames,0)),"?"))</f>
        <v/>
      </c>
      <c r="F164" s="14" t="n"/>
      <c r="G164" s="14" t="n"/>
      <c r="H164" s="14" t="n"/>
      <c r="I164" s="16" t="n"/>
      <c r="J164" s="16" t="n"/>
      <c r="K164" s="16" t="n"/>
      <c r="L164" s="14" t="n"/>
      <c r="M164" s="15">
        <f>IF($D164="","",IF($K164&lt;&gt;"","Cleared "&amp;TEXT($K164,"mm/dd"),IF($H164="Yes",IF(AND($J164&lt;&gt;"",$J164&lt;TODAY()),"RESTRICTION EXPIRED","ACTIVE RESTRICTION"),"Documented")))</f>
        <v/>
      </c>
      <c r="N164" s="14" t="n"/>
    </row>
    <row r="165">
      <c r="B165" s="15">
        <f>IF($D165="","","MD"&amp;TEXT(ROW()-5,"000"))</f>
        <v/>
      </c>
      <c r="C165" s="16" t="n"/>
      <c r="D165" s="14" t="n"/>
      <c r="E165" s="15">
        <f>IF($D165="","",IFERROR(INDEX(rngCadetPIDs,MATCH($D165,rngCadetNames,0)),"?"))</f>
        <v/>
      </c>
      <c r="F165" s="14" t="n"/>
      <c r="G165" s="14" t="n"/>
      <c r="H165" s="14" t="n"/>
      <c r="I165" s="16" t="n"/>
      <c r="J165" s="16" t="n"/>
      <c r="K165" s="16" t="n"/>
      <c r="L165" s="14" t="n"/>
      <c r="M165" s="15">
        <f>IF($D165="","",IF($K165&lt;&gt;"","Cleared "&amp;TEXT($K165,"mm/dd"),IF($H165="Yes",IF(AND($J165&lt;&gt;"",$J165&lt;TODAY()),"RESTRICTION EXPIRED","ACTIVE RESTRICTION"),"Documented")))</f>
        <v/>
      </c>
      <c r="N165" s="14" t="n"/>
    </row>
    <row r="166">
      <c r="B166" s="15">
        <f>IF($D166="","","MD"&amp;TEXT(ROW()-5,"000"))</f>
        <v/>
      </c>
      <c r="C166" s="16" t="n"/>
      <c r="D166" s="14" t="n"/>
      <c r="E166" s="15">
        <f>IF($D166="","",IFERROR(INDEX(rngCadetPIDs,MATCH($D166,rngCadetNames,0)),"?"))</f>
        <v/>
      </c>
      <c r="F166" s="14" t="n"/>
      <c r="G166" s="14" t="n"/>
      <c r="H166" s="14" t="n"/>
      <c r="I166" s="16" t="n"/>
      <c r="J166" s="16" t="n"/>
      <c r="K166" s="16" t="n"/>
      <c r="L166" s="14" t="n"/>
      <c r="M166" s="15">
        <f>IF($D166="","",IF($K166&lt;&gt;"","Cleared "&amp;TEXT($K166,"mm/dd"),IF($H166="Yes",IF(AND($J166&lt;&gt;"",$J166&lt;TODAY()),"RESTRICTION EXPIRED","ACTIVE RESTRICTION"),"Documented")))</f>
        <v/>
      </c>
      <c r="N166" s="14" t="n"/>
    </row>
    <row r="167">
      <c r="B167" s="15">
        <f>IF($D167="","","MD"&amp;TEXT(ROW()-5,"000"))</f>
        <v/>
      </c>
      <c r="C167" s="16" t="n"/>
      <c r="D167" s="14" t="n"/>
      <c r="E167" s="15">
        <f>IF($D167="","",IFERROR(INDEX(rngCadetPIDs,MATCH($D167,rngCadetNames,0)),"?"))</f>
        <v/>
      </c>
      <c r="F167" s="14" t="n"/>
      <c r="G167" s="14" t="n"/>
      <c r="H167" s="14" t="n"/>
      <c r="I167" s="16" t="n"/>
      <c r="J167" s="16" t="n"/>
      <c r="K167" s="16" t="n"/>
      <c r="L167" s="14" t="n"/>
      <c r="M167" s="15">
        <f>IF($D167="","",IF($K167&lt;&gt;"","Cleared "&amp;TEXT($K167,"mm/dd"),IF($H167="Yes",IF(AND($J167&lt;&gt;"",$J167&lt;TODAY()),"RESTRICTION EXPIRED","ACTIVE RESTRICTION"),"Documented")))</f>
        <v/>
      </c>
      <c r="N167" s="14" t="n"/>
    </row>
    <row r="168">
      <c r="B168" s="15">
        <f>IF($D168="","","MD"&amp;TEXT(ROW()-5,"000"))</f>
        <v/>
      </c>
      <c r="C168" s="16" t="n"/>
      <c r="D168" s="14" t="n"/>
      <c r="E168" s="15">
        <f>IF($D168="","",IFERROR(INDEX(rngCadetPIDs,MATCH($D168,rngCadetNames,0)),"?"))</f>
        <v/>
      </c>
      <c r="F168" s="14" t="n"/>
      <c r="G168" s="14" t="n"/>
      <c r="H168" s="14" t="n"/>
      <c r="I168" s="16" t="n"/>
      <c r="J168" s="16" t="n"/>
      <c r="K168" s="16" t="n"/>
      <c r="L168" s="14" t="n"/>
      <c r="M168" s="15">
        <f>IF($D168="","",IF($K168&lt;&gt;"","Cleared "&amp;TEXT($K168,"mm/dd"),IF($H168="Yes",IF(AND($J168&lt;&gt;"",$J168&lt;TODAY()),"RESTRICTION EXPIRED","ACTIVE RESTRICTION"),"Documented")))</f>
        <v/>
      </c>
      <c r="N168" s="14" t="n"/>
    </row>
    <row r="169">
      <c r="B169" s="15">
        <f>IF($D169="","","MD"&amp;TEXT(ROW()-5,"000"))</f>
        <v/>
      </c>
      <c r="C169" s="16" t="n"/>
      <c r="D169" s="14" t="n"/>
      <c r="E169" s="15">
        <f>IF($D169="","",IFERROR(INDEX(rngCadetPIDs,MATCH($D169,rngCadetNames,0)),"?"))</f>
        <v/>
      </c>
      <c r="F169" s="14" t="n"/>
      <c r="G169" s="14" t="n"/>
      <c r="H169" s="14" t="n"/>
      <c r="I169" s="16" t="n"/>
      <c r="J169" s="16" t="n"/>
      <c r="K169" s="16" t="n"/>
      <c r="L169" s="14" t="n"/>
      <c r="M169" s="15">
        <f>IF($D169="","",IF($K169&lt;&gt;"","Cleared "&amp;TEXT($K169,"mm/dd"),IF($H169="Yes",IF(AND($J169&lt;&gt;"",$J169&lt;TODAY()),"RESTRICTION EXPIRED","ACTIVE RESTRICTION"),"Documented")))</f>
        <v/>
      </c>
      <c r="N169" s="14" t="n"/>
    </row>
    <row r="170">
      <c r="B170" s="15">
        <f>IF($D170="","","MD"&amp;TEXT(ROW()-5,"000"))</f>
        <v/>
      </c>
      <c r="C170" s="16" t="n"/>
      <c r="D170" s="14" t="n"/>
      <c r="E170" s="15">
        <f>IF($D170="","",IFERROR(INDEX(rngCadetPIDs,MATCH($D170,rngCadetNames,0)),"?"))</f>
        <v/>
      </c>
      <c r="F170" s="14" t="n"/>
      <c r="G170" s="14" t="n"/>
      <c r="H170" s="14" t="n"/>
      <c r="I170" s="16" t="n"/>
      <c r="J170" s="16" t="n"/>
      <c r="K170" s="16" t="n"/>
      <c r="L170" s="14" t="n"/>
      <c r="M170" s="15">
        <f>IF($D170="","",IF($K170&lt;&gt;"","Cleared "&amp;TEXT($K170,"mm/dd"),IF($H170="Yes",IF(AND($J170&lt;&gt;"",$J170&lt;TODAY()),"RESTRICTION EXPIRED","ACTIVE RESTRICTION"),"Documented")))</f>
        <v/>
      </c>
      <c r="N170" s="14" t="n"/>
    </row>
    <row r="171">
      <c r="B171" s="15">
        <f>IF($D171="","","MD"&amp;TEXT(ROW()-5,"000"))</f>
        <v/>
      </c>
      <c r="C171" s="16" t="n"/>
      <c r="D171" s="14" t="n"/>
      <c r="E171" s="15">
        <f>IF($D171="","",IFERROR(INDEX(rngCadetPIDs,MATCH($D171,rngCadetNames,0)),"?"))</f>
        <v/>
      </c>
      <c r="F171" s="14" t="n"/>
      <c r="G171" s="14" t="n"/>
      <c r="H171" s="14" t="n"/>
      <c r="I171" s="16" t="n"/>
      <c r="J171" s="16" t="n"/>
      <c r="K171" s="16" t="n"/>
      <c r="L171" s="14" t="n"/>
      <c r="M171" s="15">
        <f>IF($D171="","",IF($K171&lt;&gt;"","Cleared "&amp;TEXT($K171,"mm/dd"),IF($H171="Yes",IF(AND($J171&lt;&gt;"",$J171&lt;TODAY()),"RESTRICTION EXPIRED","ACTIVE RESTRICTION"),"Documented")))</f>
        <v/>
      </c>
      <c r="N171" s="14" t="n"/>
    </row>
    <row r="172">
      <c r="B172" s="15">
        <f>IF($D172="","","MD"&amp;TEXT(ROW()-5,"000"))</f>
        <v/>
      </c>
      <c r="C172" s="16" t="n"/>
      <c r="D172" s="14" t="n"/>
      <c r="E172" s="15">
        <f>IF($D172="","",IFERROR(INDEX(rngCadetPIDs,MATCH($D172,rngCadetNames,0)),"?"))</f>
        <v/>
      </c>
      <c r="F172" s="14" t="n"/>
      <c r="G172" s="14" t="n"/>
      <c r="H172" s="14" t="n"/>
      <c r="I172" s="16" t="n"/>
      <c r="J172" s="16" t="n"/>
      <c r="K172" s="16" t="n"/>
      <c r="L172" s="14" t="n"/>
      <c r="M172" s="15">
        <f>IF($D172="","",IF($K172&lt;&gt;"","Cleared "&amp;TEXT($K172,"mm/dd"),IF($H172="Yes",IF(AND($J172&lt;&gt;"",$J172&lt;TODAY()),"RESTRICTION EXPIRED","ACTIVE RESTRICTION"),"Documented")))</f>
        <v/>
      </c>
      <c r="N172" s="14" t="n"/>
    </row>
    <row r="173">
      <c r="B173" s="15">
        <f>IF($D173="","","MD"&amp;TEXT(ROW()-5,"000"))</f>
        <v/>
      </c>
      <c r="C173" s="16" t="n"/>
      <c r="D173" s="14" t="n"/>
      <c r="E173" s="15">
        <f>IF($D173="","",IFERROR(INDEX(rngCadetPIDs,MATCH($D173,rngCadetNames,0)),"?"))</f>
        <v/>
      </c>
      <c r="F173" s="14" t="n"/>
      <c r="G173" s="14" t="n"/>
      <c r="H173" s="14" t="n"/>
      <c r="I173" s="16" t="n"/>
      <c r="J173" s="16" t="n"/>
      <c r="K173" s="16" t="n"/>
      <c r="L173" s="14" t="n"/>
      <c r="M173" s="15">
        <f>IF($D173="","",IF($K173&lt;&gt;"","Cleared "&amp;TEXT($K173,"mm/dd"),IF($H173="Yes",IF(AND($J173&lt;&gt;"",$J173&lt;TODAY()),"RESTRICTION EXPIRED","ACTIVE RESTRICTION"),"Documented")))</f>
        <v/>
      </c>
      <c r="N173" s="14" t="n"/>
    </row>
    <row r="174">
      <c r="B174" s="15">
        <f>IF($D174="","","MD"&amp;TEXT(ROW()-5,"000"))</f>
        <v/>
      </c>
      <c r="C174" s="16" t="n"/>
      <c r="D174" s="14" t="n"/>
      <c r="E174" s="15">
        <f>IF($D174="","",IFERROR(INDEX(rngCadetPIDs,MATCH($D174,rngCadetNames,0)),"?"))</f>
        <v/>
      </c>
      <c r="F174" s="14" t="n"/>
      <c r="G174" s="14" t="n"/>
      <c r="H174" s="14" t="n"/>
      <c r="I174" s="16" t="n"/>
      <c r="J174" s="16" t="n"/>
      <c r="K174" s="16" t="n"/>
      <c r="L174" s="14" t="n"/>
      <c r="M174" s="15">
        <f>IF($D174="","",IF($K174&lt;&gt;"","Cleared "&amp;TEXT($K174,"mm/dd"),IF($H174="Yes",IF(AND($J174&lt;&gt;"",$J174&lt;TODAY()),"RESTRICTION EXPIRED","ACTIVE RESTRICTION"),"Documented")))</f>
        <v/>
      </c>
      <c r="N174" s="14" t="n"/>
    </row>
    <row r="175">
      <c r="B175" s="15">
        <f>IF($D175="","","MD"&amp;TEXT(ROW()-5,"000"))</f>
        <v/>
      </c>
      <c r="C175" s="16" t="n"/>
      <c r="D175" s="14" t="n"/>
      <c r="E175" s="15">
        <f>IF($D175="","",IFERROR(INDEX(rngCadetPIDs,MATCH($D175,rngCadetNames,0)),"?"))</f>
        <v/>
      </c>
      <c r="F175" s="14" t="n"/>
      <c r="G175" s="14" t="n"/>
      <c r="H175" s="14" t="n"/>
      <c r="I175" s="16" t="n"/>
      <c r="J175" s="16" t="n"/>
      <c r="K175" s="16" t="n"/>
      <c r="L175" s="14" t="n"/>
      <c r="M175" s="15">
        <f>IF($D175="","",IF($K175&lt;&gt;"","Cleared "&amp;TEXT($K175,"mm/dd"),IF($H175="Yes",IF(AND($J175&lt;&gt;"",$J175&lt;TODAY()),"RESTRICTION EXPIRED","ACTIVE RESTRICTION"),"Documented")))</f>
        <v/>
      </c>
      <c r="N175" s="14" t="n"/>
    </row>
    <row r="176">
      <c r="B176" s="15">
        <f>IF($D176="","","MD"&amp;TEXT(ROW()-5,"000"))</f>
        <v/>
      </c>
      <c r="C176" s="16" t="n"/>
      <c r="D176" s="14" t="n"/>
      <c r="E176" s="15">
        <f>IF($D176="","",IFERROR(INDEX(rngCadetPIDs,MATCH($D176,rngCadetNames,0)),"?"))</f>
        <v/>
      </c>
      <c r="F176" s="14" t="n"/>
      <c r="G176" s="14" t="n"/>
      <c r="H176" s="14" t="n"/>
      <c r="I176" s="16" t="n"/>
      <c r="J176" s="16" t="n"/>
      <c r="K176" s="16" t="n"/>
      <c r="L176" s="14" t="n"/>
      <c r="M176" s="15">
        <f>IF($D176="","",IF($K176&lt;&gt;"","Cleared "&amp;TEXT($K176,"mm/dd"),IF($H176="Yes",IF(AND($J176&lt;&gt;"",$J176&lt;TODAY()),"RESTRICTION EXPIRED","ACTIVE RESTRICTION"),"Documented")))</f>
        <v/>
      </c>
      <c r="N176" s="14" t="n"/>
    </row>
    <row r="177">
      <c r="B177" s="15">
        <f>IF($D177="","","MD"&amp;TEXT(ROW()-5,"000"))</f>
        <v/>
      </c>
      <c r="C177" s="16" t="n"/>
      <c r="D177" s="14" t="n"/>
      <c r="E177" s="15">
        <f>IF($D177="","",IFERROR(INDEX(rngCadetPIDs,MATCH($D177,rngCadetNames,0)),"?"))</f>
        <v/>
      </c>
      <c r="F177" s="14" t="n"/>
      <c r="G177" s="14" t="n"/>
      <c r="H177" s="14" t="n"/>
      <c r="I177" s="16" t="n"/>
      <c r="J177" s="16" t="n"/>
      <c r="K177" s="16" t="n"/>
      <c r="L177" s="14" t="n"/>
      <c r="M177" s="15">
        <f>IF($D177="","",IF($K177&lt;&gt;"","Cleared "&amp;TEXT($K177,"mm/dd"),IF($H177="Yes",IF(AND($J177&lt;&gt;"",$J177&lt;TODAY()),"RESTRICTION EXPIRED","ACTIVE RESTRICTION"),"Documented")))</f>
        <v/>
      </c>
      <c r="N177" s="14" t="n"/>
    </row>
    <row r="178">
      <c r="B178" s="15">
        <f>IF($D178="","","MD"&amp;TEXT(ROW()-5,"000"))</f>
        <v/>
      </c>
      <c r="C178" s="16" t="n"/>
      <c r="D178" s="14" t="n"/>
      <c r="E178" s="15">
        <f>IF($D178="","",IFERROR(INDEX(rngCadetPIDs,MATCH($D178,rngCadetNames,0)),"?"))</f>
        <v/>
      </c>
      <c r="F178" s="14" t="n"/>
      <c r="G178" s="14" t="n"/>
      <c r="H178" s="14" t="n"/>
      <c r="I178" s="16" t="n"/>
      <c r="J178" s="16" t="n"/>
      <c r="K178" s="16" t="n"/>
      <c r="L178" s="14" t="n"/>
      <c r="M178" s="15">
        <f>IF($D178="","",IF($K178&lt;&gt;"","Cleared "&amp;TEXT($K178,"mm/dd"),IF($H178="Yes",IF(AND($J178&lt;&gt;"",$J178&lt;TODAY()),"RESTRICTION EXPIRED","ACTIVE RESTRICTION"),"Documented")))</f>
        <v/>
      </c>
      <c r="N178" s="14" t="n"/>
    </row>
    <row r="179">
      <c r="B179" s="15">
        <f>IF($D179="","","MD"&amp;TEXT(ROW()-5,"000"))</f>
        <v/>
      </c>
      <c r="C179" s="16" t="n"/>
      <c r="D179" s="14" t="n"/>
      <c r="E179" s="15">
        <f>IF($D179="","",IFERROR(INDEX(rngCadetPIDs,MATCH($D179,rngCadetNames,0)),"?"))</f>
        <v/>
      </c>
      <c r="F179" s="14" t="n"/>
      <c r="G179" s="14" t="n"/>
      <c r="H179" s="14" t="n"/>
      <c r="I179" s="16" t="n"/>
      <c r="J179" s="16" t="n"/>
      <c r="K179" s="16" t="n"/>
      <c r="L179" s="14" t="n"/>
      <c r="M179" s="15">
        <f>IF($D179="","",IF($K179&lt;&gt;"","Cleared "&amp;TEXT($K179,"mm/dd"),IF($H179="Yes",IF(AND($J179&lt;&gt;"",$J179&lt;TODAY()),"RESTRICTION EXPIRED","ACTIVE RESTRICTION"),"Documented")))</f>
        <v/>
      </c>
      <c r="N179" s="14" t="n"/>
    </row>
    <row r="180">
      <c r="B180" s="15">
        <f>IF($D180="","","MD"&amp;TEXT(ROW()-5,"000"))</f>
        <v/>
      </c>
      <c r="C180" s="16" t="n"/>
      <c r="D180" s="14" t="n"/>
      <c r="E180" s="15">
        <f>IF($D180="","",IFERROR(INDEX(rngCadetPIDs,MATCH($D180,rngCadetNames,0)),"?"))</f>
        <v/>
      </c>
      <c r="F180" s="14" t="n"/>
      <c r="G180" s="14" t="n"/>
      <c r="H180" s="14" t="n"/>
      <c r="I180" s="16" t="n"/>
      <c r="J180" s="16" t="n"/>
      <c r="K180" s="16" t="n"/>
      <c r="L180" s="14" t="n"/>
      <c r="M180" s="15">
        <f>IF($D180="","",IF($K180&lt;&gt;"","Cleared "&amp;TEXT($K180,"mm/dd"),IF($H180="Yes",IF(AND($J180&lt;&gt;"",$J180&lt;TODAY()),"RESTRICTION EXPIRED","ACTIVE RESTRICTION"),"Documented")))</f>
        <v/>
      </c>
      <c r="N180" s="14" t="n"/>
    </row>
    <row r="181">
      <c r="B181" s="15">
        <f>IF($D181="","","MD"&amp;TEXT(ROW()-5,"000"))</f>
        <v/>
      </c>
      <c r="C181" s="16" t="n"/>
      <c r="D181" s="14" t="n"/>
      <c r="E181" s="15">
        <f>IF($D181="","",IFERROR(INDEX(rngCadetPIDs,MATCH($D181,rngCadetNames,0)),"?"))</f>
        <v/>
      </c>
      <c r="F181" s="14" t="n"/>
      <c r="G181" s="14" t="n"/>
      <c r="H181" s="14" t="n"/>
      <c r="I181" s="16" t="n"/>
      <c r="J181" s="16" t="n"/>
      <c r="K181" s="16" t="n"/>
      <c r="L181" s="14" t="n"/>
      <c r="M181" s="15">
        <f>IF($D181="","",IF($K181&lt;&gt;"","Cleared "&amp;TEXT($K181,"mm/dd"),IF($H181="Yes",IF(AND($J181&lt;&gt;"",$J181&lt;TODAY()),"RESTRICTION EXPIRED","ACTIVE RESTRICTION"),"Documented")))</f>
        <v/>
      </c>
      <c r="N181" s="14" t="n"/>
    </row>
    <row r="182">
      <c r="B182" s="15">
        <f>IF($D182="","","MD"&amp;TEXT(ROW()-5,"000"))</f>
        <v/>
      </c>
      <c r="C182" s="16" t="n"/>
      <c r="D182" s="14" t="n"/>
      <c r="E182" s="15">
        <f>IF($D182="","",IFERROR(INDEX(rngCadetPIDs,MATCH($D182,rngCadetNames,0)),"?"))</f>
        <v/>
      </c>
      <c r="F182" s="14" t="n"/>
      <c r="G182" s="14" t="n"/>
      <c r="H182" s="14" t="n"/>
      <c r="I182" s="16" t="n"/>
      <c r="J182" s="16" t="n"/>
      <c r="K182" s="16" t="n"/>
      <c r="L182" s="14" t="n"/>
      <c r="M182" s="15">
        <f>IF($D182="","",IF($K182&lt;&gt;"","Cleared "&amp;TEXT($K182,"mm/dd"),IF($H182="Yes",IF(AND($J182&lt;&gt;"",$J182&lt;TODAY()),"RESTRICTION EXPIRED","ACTIVE RESTRICTION"),"Documented")))</f>
        <v/>
      </c>
      <c r="N182" s="14" t="n"/>
    </row>
    <row r="183">
      <c r="B183" s="15">
        <f>IF($D183="","","MD"&amp;TEXT(ROW()-5,"000"))</f>
        <v/>
      </c>
      <c r="C183" s="16" t="n"/>
      <c r="D183" s="14" t="n"/>
      <c r="E183" s="15">
        <f>IF($D183="","",IFERROR(INDEX(rngCadetPIDs,MATCH($D183,rngCadetNames,0)),"?"))</f>
        <v/>
      </c>
      <c r="F183" s="14" t="n"/>
      <c r="G183" s="14" t="n"/>
      <c r="H183" s="14" t="n"/>
      <c r="I183" s="16" t="n"/>
      <c r="J183" s="16" t="n"/>
      <c r="K183" s="16" t="n"/>
      <c r="L183" s="14" t="n"/>
      <c r="M183" s="15">
        <f>IF($D183="","",IF($K183&lt;&gt;"","Cleared "&amp;TEXT($K183,"mm/dd"),IF($H183="Yes",IF(AND($J183&lt;&gt;"",$J183&lt;TODAY()),"RESTRICTION EXPIRED","ACTIVE RESTRICTION"),"Documented")))</f>
        <v/>
      </c>
      <c r="N183" s="14" t="n"/>
    </row>
    <row r="184">
      <c r="B184" s="15">
        <f>IF($D184="","","MD"&amp;TEXT(ROW()-5,"000"))</f>
        <v/>
      </c>
      <c r="C184" s="16" t="n"/>
      <c r="D184" s="14" t="n"/>
      <c r="E184" s="15">
        <f>IF($D184="","",IFERROR(INDEX(rngCadetPIDs,MATCH($D184,rngCadetNames,0)),"?"))</f>
        <v/>
      </c>
      <c r="F184" s="14" t="n"/>
      <c r="G184" s="14" t="n"/>
      <c r="H184" s="14" t="n"/>
      <c r="I184" s="16" t="n"/>
      <c r="J184" s="16" t="n"/>
      <c r="K184" s="16" t="n"/>
      <c r="L184" s="14" t="n"/>
      <c r="M184" s="15">
        <f>IF($D184="","",IF($K184&lt;&gt;"","Cleared "&amp;TEXT($K184,"mm/dd"),IF($H184="Yes",IF(AND($J184&lt;&gt;"",$J184&lt;TODAY()),"RESTRICTION EXPIRED","ACTIVE RESTRICTION"),"Documented")))</f>
        <v/>
      </c>
      <c r="N184" s="14" t="n"/>
    </row>
    <row r="185">
      <c r="B185" s="15">
        <f>IF($D185="","","MD"&amp;TEXT(ROW()-5,"000"))</f>
        <v/>
      </c>
      <c r="C185" s="16" t="n"/>
      <c r="D185" s="14" t="n"/>
      <c r="E185" s="15">
        <f>IF($D185="","",IFERROR(INDEX(rngCadetPIDs,MATCH($D185,rngCadetNames,0)),"?"))</f>
        <v/>
      </c>
      <c r="F185" s="14" t="n"/>
      <c r="G185" s="14" t="n"/>
      <c r="H185" s="14" t="n"/>
      <c r="I185" s="16" t="n"/>
      <c r="J185" s="16" t="n"/>
      <c r="K185" s="16" t="n"/>
      <c r="L185" s="14" t="n"/>
      <c r="M185" s="15">
        <f>IF($D185="","",IF($K185&lt;&gt;"","Cleared "&amp;TEXT($K185,"mm/dd"),IF($H185="Yes",IF(AND($J185&lt;&gt;"",$J185&lt;TODAY()),"RESTRICTION EXPIRED","ACTIVE RESTRICTION"),"Documented")))</f>
        <v/>
      </c>
      <c r="N185" s="14" t="n"/>
    </row>
    <row r="186">
      <c r="B186" s="15">
        <f>IF($D186="","","MD"&amp;TEXT(ROW()-5,"000"))</f>
        <v/>
      </c>
      <c r="C186" s="16" t="n"/>
      <c r="D186" s="14" t="n"/>
      <c r="E186" s="15">
        <f>IF($D186="","",IFERROR(INDEX(rngCadetPIDs,MATCH($D186,rngCadetNames,0)),"?"))</f>
        <v/>
      </c>
      <c r="F186" s="14" t="n"/>
      <c r="G186" s="14" t="n"/>
      <c r="H186" s="14" t="n"/>
      <c r="I186" s="16" t="n"/>
      <c r="J186" s="16" t="n"/>
      <c r="K186" s="16" t="n"/>
      <c r="L186" s="14" t="n"/>
      <c r="M186" s="15">
        <f>IF($D186="","",IF($K186&lt;&gt;"","Cleared "&amp;TEXT($K186,"mm/dd"),IF($H186="Yes",IF(AND($J186&lt;&gt;"",$J186&lt;TODAY()),"RESTRICTION EXPIRED","ACTIVE RESTRICTION"),"Documented")))</f>
        <v/>
      </c>
      <c r="N186" s="14" t="n"/>
    </row>
    <row r="187">
      <c r="B187" s="15">
        <f>IF($D187="","","MD"&amp;TEXT(ROW()-5,"000"))</f>
        <v/>
      </c>
      <c r="C187" s="16" t="n"/>
      <c r="D187" s="14" t="n"/>
      <c r="E187" s="15">
        <f>IF($D187="","",IFERROR(INDEX(rngCadetPIDs,MATCH($D187,rngCadetNames,0)),"?"))</f>
        <v/>
      </c>
      <c r="F187" s="14" t="n"/>
      <c r="G187" s="14" t="n"/>
      <c r="H187" s="14" t="n"/>
      <c r="I187" s="16" t="n"/>
      <c r="J187" s="16" t="n"/>
      <c r="K187" s="16" t="n"/>
      <c r="L187" s="14" t="n"/>
      <c r="M187" s="15">
        <f>IF($D187="","",IF($K187&lt;&gt;"","Cleared "&amp;TEXT($K187,"mm/dd"),IF($H187="Yes",IF(AND($J187&lt;&gt;"",$J187&lt;TODAY()),"RESTRICTION EXPIRED","ACTIVE RESTRICTION"),"Documented")))</f>
        <v/>
      </c>
      <c r="N187" s="14" t="n"/>
    </row>
    <row r="188">
      <c r="B188" s="15">
        <f>IF($D188="","","MD"&amp;TEXT(ROW()-5,"000"))</f>
        <v/>
      </c>
      <c r="C188" s="16" t="n"/>
      <c r="D188" s="14" t="n"/>
      <c r="E188" s="15">
        <f>IF($D188="","",IFERROR(INDEX(rngCadetPIDs,MATCH($D188,rngCadetNames,0)),"?"))</f>
        <v/>
      </c>
      <c r="F188" s="14" t="n"/>
      <c r="G188" s="14" t="n"/>
      <c r="H188" s="14" t="n"/>
      <c r="I188" s="16" t="n"/>
      <c r="J188" s="16" t="n"/>
      <c r="K188" s="16" t="n"/>
      <c r="L188" s="14" t="n"/>
      <c r="M188" s="15">
        <f>IF($D188="","",IF($K188&lt;&gt;"","Cleared "&amp;TEXT($K188,"mm/dd"),IF($H188="Yes",IF(AND($J188&lt;&gt;"",$J188&lt;TODAY()),"RESTRICTION EXPIRED","ACTIVE RESTRICTION"),"Documented")))</f>
        <v/>
      </c>
      <c r="N188" s="14" t="n"/>
    </row>
    <row r="189">
      <c r="B189" s="15">
        <f>IF($D189="","","MD"&amp;TEXT(ROW()-5,"000"))</f>
        <v/>
      </c>
      <c r="C189" s="16" t="n"/>
      <c r="D189" s="14" t="n"/>
      <c r="E189" s="15">
        <f>IF($D189="","",IFERROR(INDEX(rngCadetPIDs,MATCH($D189,rngCadetNames,0)),"?"))</f>
        <v/>
      </c>
      <c r="F189" s="14" t="n"/>
      <c r="G189" s="14" t="n"/>
      <c r="H189" s="14" t="n"/>
      <c r="I189" s="16" t="n"/>
      <c r="J189" s="16" t="n"/>
      <c r="K189" s="16" t="n"/>
      <c r="L189" s="14" t="n"/>
      <c r="M189" s="15">
        <f>IF($D189="","",IF($K189&lt;&gt;"","Cleared "&amp;TEXT($K189,"mm/dd"),IF($H189="Yes",IF(AND($J189&lt;&gt;"",$J189&lt;TODAY()),"RESTRICTION EXPIRED","ACTIVE RESTRICTION"),"Documented")))</f>
        <v/>
      </c>
      <c r="N189" s="14" t="n"/>
    </row>
    <row r="190">
      <c r="B190" s="15">
        <f>IF($D190="","","MD"&amp;TEXT(ROW()-5,"000"))</f>
        <v/>
      </c>
      <c r="C190" s="16" t="n"/>
      <c r="D190" s="14" t="n"/>
      <c r="E190" s="15">
        <f>IF($D190="","",IFERROR(INDEX(rngCadetPIDs,MATCH($D190,rngCadetNames,0)),"?"))</f>
        <v/>
      </c>
      <c r="F190" s="14" t="n"/>
      <c r="G190" s="14" t="n"/>
      <c r="H190" s="14" t="n"/>
      <c r="I190" s="16" t="n"/>
      <c r="J190" s="16" t="n"/>
      <c r="K190" s="16" t="n"/>
      <c r="L190" s="14" t="n"/>
      <c r="M190" s="15">
        <f>IF($D190="","",IF($K190&lt;&gt;"","Cleared "&amp;TEXT($K190,"mm/dd"),IF($H190="Yes",IF(AND($J190&lt;&gt;"",$J190&lt;TODAY()),"RESTRICTION EXPIRED","ACTIVE RESTRICTION"),"Documented")))</f>
        <v/>
      </c>
      <c r="N190" s="14" t="n"/>
    </row>
    <row r="191">
      <c r="B191" s="15">
        <f>IF($D191="","","MD"&amp;TEXT(ROW()-5,"000"))</f>
        <v/>
      </c>
      <c r="C191" s="16" t="n"/>
      <c r="D191" s="14" t="n"/>
      <c r="E191" s="15">
        <f>IF($D191="","",IFERROR(INDEX(rngCadetPIDs,MATCH($D191,rngCadetNames,0)),"?"))</f>
        <v/>
      </c>
      <c r="F191" s="14" t="n"/>
      <c r="G191" s="14" t="n"/>
      <c r="H191" s="14" t="n"/>
      <c r="I191" s="16" t="n"/>
      <c r="J191" s="16" t="n"/>
      <c r="K191" s="16" t="n"/>
      <c r="L191" s="14" t="n"/>
      <c r="M191" s="15">
        <f>IF($D191="","",IF($K191&lt;&gt;"","Cleared "&amp;TEXT($K191,"mm/dd"),IF($H191="Yes",IF(AND($J191&lt;&gt;"",$J191&lt;TODAY()),"RESTRICTION EXPIRED","ACTIVE RESTRICTION"),"Documented")))</f>
        <v/>
      </c>
      <c r="N191" s="14" t="n"/>
    </row>
    <row r="192">
      <c r="B192" s="15">
        <f>IF($D192="","","MD"&amp;TEXT(ROW()-5,"000"))</f>
        <v/>
      </c>
      <c r="C192" s="16" t="n"/>
      <c r="D192" s="14" t="n"/>
      <c r="E192" s="15">
        <f>IF($D192="","",IFERROR(INDEX(rngCadetPIDs,MATCH($D192,rngCadetNames,0)),"?"))</f>
        <v/>
      </c>
      <c r="F192" s="14" t="n"/>
      <c r="G192" s="14" t="n"/>
      <c r="H192" s="14" t="n"/>
      <c r="I192" s="16" t="n"/>
      <c r="J192" s="16" t="n"/>
      <c r="K192" s="16" t="n"/>
      <c r="L192" s="14" t="n"/>
      <c r="M192" s="15">
        <f>IF($D192="","",IF($K192&lt;&gt;"","Cleared "&amp;TEXT($K192,"mm/dd"),IF($H192="Yes",IF(AND($J192&lt;&gt;"",$J192&lt;TODAY()),"RESTRICTION EXPIRED","ACTIVE RESTRICTION"),"Documented")))</f>
        <v/>
      </c>
      <c r="N192" s="14" t="n"/>
    </row>
    <row r="193">
      <c r="B193" s="15">
        <f>IF($D193="","","MD"&amp;TEXT(ROW()-5,"000"))</f>
        <v/>
      </c>
      <c r="C193" s="16" t="n"/>
      <c r="D193" s="14" t="n"/>
      <c r="E193" s="15">
        <f>IF($D193="","",IFERROR(INDEX(rngCadetPIDs,MATCH($D193,rngCadetNames,0)),"?"))</f>
        <v/>
      </c>
      <c r="F193" s="14" t="n"/>
      <c r="G193" s="14" t="n"/>
      <c r="H193" s="14" t="n"/>
      <c r="I193" s="16" t="n"/>
      <c r="J193" s="16" t="n"/>
      <c r="K193" s="16" t="n"/>
      <c r="L193" s="14" t="n"/>
      <c r="M193" s="15">
        <f>IF($D193="","",IF($K193&lt;&gt;"","Cleared "&amp;TEXT($K193,"mm/dd"),IF($H193="Yes",IF(AND($J193&lt;&gt;"",$J193&lt;TODAY()),"RESTRICTION EXPIRED","ACTIVE RESTRICTION"),"Documented")))</f>
        <v/>
      </c>
      <c r="N193" s="14" t="n"/>
    </row>
    <row r="194">
      <c r="B194" s="15">
        <f>IF($D194="","","MD"&amp;TEXT(ROW()-5,"000"))</f>
        <v/>
      </c>
      <c r="C194" s="16" t="n"/>
      <c r="D194" s="14" t="n"/>
      <c r="E194" s="15">
        <f>IF($D194="","",IFERROR(INDEX(rngCadetPIDs,MATCH($D194,rngCadetNames,0)),"?"))</f>
        <v/>
      </c>
      <c r="F194" s="14" t="n"/>
      <c r="G194" s="14" t="n"/>
      <c r="H194" s="14" t="n"/>
      <c r="I194" s="16" t="n"/>
      <c r="J194" s="16" t="n"/>
      <c r="K194" s="16" t="n"/>
      <c r="L194" s="14" t="n"/>
      <c r="M194" s="15">
        <f>IF($D194="","",IF($K194&lt;&gt;"","Cleared "&amp;TEXT($K194,"mm/dd"),IF($H194="Yes",IF(AND($J194&lt;&gt;"",$J194&lt;TODAY()),"RESTRICTION EXPIRED","ACTIVE RESTRICTION"),"Documented")))</f>
        <v/>
      </c>
      <c r="N194" s="14" t="n"/>
    </row>
    <row r="195">
      <c r="B195" s="15">
        <f>IF($D195="","","MD"&amp;TEXT(ROW()-5,"000"))</f>
        <v/>
      </c>
      <c r="C195" s="16" t="n"/>
      <c r="D195" s="14" t="n"/>
      <c r="E195" s="15">
        <f>IF($D195="","",IFERROR(INDEX(rngCadetPIDs,MATCH($D195,rngCadetNames,0)),"?"))</f>
        <v/>
      </c>
      <c r="F195" s="14" t="n"/>
      <c r="G195" s="14" t="n"/>
      <c r="H195" s="14" t="n"/>
      <c r="I195" s="16" t="n"/>
      <c r="J195" s="16" t="n"/>
      <c r="K195" s="16" t="n"/>
      <c r="L195" s="14" t="n"/>
      <c r="M195" s="15">
        <f>IF($D195="","",IF($K195&lt;&gt;"","Cleared "&amp;TEXT($K195,"mm/dd"),IF($H195="Yes",IF(AND($J195&lt;&gt;"",$J195&lt;TODAY()),"RESTRICTION EXPIRED","ACTIVE RESTRICTION"),"Documented")))</f>
        <v/>
      </c>
      <c r="N195" s="14" t="n"/>
    </row>
    <row r="196">
      <c r="B196" s="15">
        <f>IF($D196="","","MD"&amp;TEXT(ROW()-5,"000"))</f>
        <v/>
      </c>
      <c r="C196" s="16" t="n"/>
      <c r="D196" s="14" t="n"/>
      <c r="E196" s="15">
        <f>IF($D196="","",IFERROR(INDEX(rngCadetPIDs,MATCH($D196,rngCadetNames,0)),"?"))</f>
        <v/>
      </c>
      <c r="F196" s="14" t="n"/>
      <c r="G196" s="14" t="n"/>
      <c r="H196" s="14" t="n"/>
      <c r="I196" s="16" t="n"/>
      <c r="J196" s="16" t="n"/>
      <c r="K196" s="16" t="n"/>
      <c r="L196" s="14" t="n"/>
      <c r="M196" s="15">
        <f>IF($D196="","",IF($K196&lt;&gt;"","Cleared "&amp;TEXT($K196,"mm/dd"),IF($H196="Yes",IF(AND($J196&lt;&gt;"",$J196&lt;TODAY()),"RESTRICTION EXPIRED","ACTIVE RESTRICTION"),"Documented")))</f>
        <v/>
      </c>
      <c r="N196" s="14" t="n"/>
    </row>
    <row r="197">
      <c r="B197" s="15">
        <f>IF($D197="","","MD"&amp;TEXT(ROW()-5,"000"))</f>
        <v/>
      </c>
      <c r="C197" s="16" t="n"/>
      <c r="D197" s="14" t="n"/>
      <c r="E197" s="15">
        <f>IF($D197="","",IFERROR(INDEX(rngCadetPIDs,MATCH($D197,rngCadetNames,0)),"?"))</f>
        <v/>
      </c>
      <c r="F197" s="14" t="n"/>
      <c r="G197" s="14" t="n"/>
      <c r="H197" s="14" t="n"/>
      <c r="I197" s="16" t="n"/>
      <c r="J197" s="16" t="n"/>
      <c r="K197" s="16" t="n"/>
      <c r="L197" s="14" t="n"/>
      <c r="M197" s="15">
        <f>IF($D197="","",IF($K197&lt;&gt;"","Cleared "&amp;TEXT($K197,"mm/dd"),IF($H197="Yes",IF(AND($J197&lt;&gt;"",$J197&lt;TODAY()),"RESTRICTION EXPIRED","ACTIVE RESTRICTION"),"Documented")))</f>
        <v/>
      </c>
      <c r="N197" s="14" t="n"/>
    </row>
    <row r="198">
      <c r="B198" s="15">
        <f>IF($D198="","","MD"&amp;TEXT(ROW()-5,"000"))</f>
        <v/>
      </c>
      <c r="C198" s="16" t="n"/>
      <c r="D198" s="14" t="n"/>
      <c r="E198" s="15">
        <f>IF($D198="","",IFERROR(INDEX(rngCadetPIDs,MATCH($D198,rngCadetNames,0)),"?"))</f>
        <v/>
      </c>
      <c r="F198" s="14" t="n"/>
      <c r="G198" s="14" t="n"/>
      <c r="H198" s="14" t="n"/>
      <c r="I198" s="16" t="n"/>
      <c r="J198" s="16" t="n"/>
      <c r="K198" s="16" t="n"/>
      <c r="L198" s="14" t="n"/>
      <c r="M198" s="15">
        <f>IF($D198="","",IF($K198&lt;&gt;"","Cleared "&amp;TEXT($K198,"mm/dd"),IF($H198="Yes",IF(AND($J198&lt;&gt;"",$J198&lt;TODAY()),"RESTRICTION EXPIRED","ACTIVE RESTRICTION"),"Documented")))</f>
        <v/>
      </c>
      <c r="N198" s="14" t="n"/>
    </row>
    <row r="199">
      <c r="B199" s="15">
        <f>IF($D199="","","MD"&amp;TEXT(ROW()-5,"000"))</f>
        <v/>
      </c>
      <c r="C199" s="16" t="n"/>
      <c r="D199" s="14" t="n"/>
      <c r="E199" s="15">
        <f>IF($D199="","",IFERROR(INDEX(rngCadetPIDs,MATCH($D199,rngCadetNames,0)),"?"))</f>
        <v/>
      </c>
      <c r="F199" s="14" t="n"/>
      <c r="G199" s="14" t="n"/>
      <c r="H199" s="14" t="n"/>
      <c r="I199" s="16" t="n"/>
      <c r="J199" s="16" t="n"/>
      <c r="K199" s="16" t="n"/>
      <c r="L199" s="14" t="n"/>
      <c r="M199" s="15">
        <f>IF($D199="","",IF($K199&lt;&gt;"","Cleared "&amp;TEXT($K199,"mm/dd"),IF($H199="Yes",IF(AND($J199&lt;&gt;"",$J199&lt;TODAY()),"RESTRICTION EXPIRED","ACTIVE RESTRICTION"),"Documented")))</f>
        <v/>
      </c>
      <c r="N199" s="14" t="n"/>
    </row>
    <row r="200">
      <c r="B200" s="15">
        <f>IF($D200="","","MD"&amp;TEXT(ROW()-5,"000"))</f>
        <v/>
      </c>
      <c r="C200" s="16" t="n"/>
      <c r="D200" s="14" t="n"/>
      <c r="E200" s="15">
        <f>IF($D200="","",IFERROR(INDEX(rngCadetPIDs,MATCH($D200,rngCadetNames,0)),"?"))</f>
        <v/>
      </c>
      <c r="F200" s="14" t="n"/>
      <c r="G200" s="14" t="n"/>
      <c r="H200" s="14" t="n"/>
      <c r="I200" s="16" t="n"/>
      <c r="J200" s="16" t="n"/>
      <c r="K200" s="16" t="n"/>
      <c r="L200" s="14" t="n"/>
      <c r="M200" s="15">
        <f>IF($D200="","",IF($K200&lt;&gt;"","Cleared "&amp;TEXT($K200,"mm/dd"),IF($H200="Yes",IF(AND($J200&lt;&gt;"",$J200&lt;TODAY()),"RESTRICTION EXPIRED","ACTIVE RESTRICTION"),"Documented")))</f>
        <v/>
      </c>
      <c r="N200" s="14" t="n"/>
    </row>
    <row r="201">
      <c r="B201" s="15">
        <f>IF($D201="","","MD"&amp;TEXT(ROW()-5,"000"))</f>
        <v/>
      </c>
      <c r="C201" s="16" t="n"/>
      <c r="D201" s="14" t="n"/>
      <c r="E201" s="15">
        <f>IF($D201="","",IFERROR(INDEX(rngCadetPIDs,MATCH($D201,rngCadetNames,0)),"?"))</f>
        <v/>
      </c>
      <c r="F201" s="14" t="n"/>
      <c r="G201" s="14" t="n"/>
      <c r="H201" s="14" t="n"/>
      <c r="I201" s="16" t="n"/>
      <c r="J201" s="16" t="n"/>
      <c r="K201" s="16" t="n"/>
      <c r="L201" s="14" t="n"/>
      <c r="M201" s="15">
        <f>IF($D201="","",IF($K201&lt;&gt;"","Cleared "&amp;TEXT($K201,"mm/dd"),IF($H201="Yes",IF(AND($J201&lt;&gt;"",$J201&lt;TODAY()),"RESTRICTION EXPIRED","ACTIVE RESTRICTION"),"Documented")))</f>
        <v/>
      </c>
      <c r="N201" s="14" t="n"/>
    </row>
    <row r="202">
      <c r="B202" s="15">
        <f>IF($D202="","","MD"&amp;TEXT(ROW()-5,"000"))</f>
        <v/>
      </c>
      <c r="C202" s="16" t="n"/>
      <c r="D202" s="14" t="n"/>
      <c r="E202" s="15">
        <f>IF($D202="","",IFERROR(INDEX(rngCadetPIDs,MATCH($D202,rngCadetNames,0)),"?"))</f>
        <v/>
      </c>
      <c r="F202" s="14" t="n"/>
      <c r="G202" s="14" t="n"/>
      <c r="H202" s="14" t="n"/>
      <c r="I202" s="16" t="n"/>
      <c r="J202" s="16" t="n"/>
      <c r="K202" s="16" t="n"/>
      <c r="L202" s="14" t="n"/>
      <c r="M202" s="15">
        <f>IF($D202="","",IF($K202&lt;&gt;"","Cleared "&amp;TEXT($K202,"mm/dd"),IF($H202="Yes",IF(AND($J202&lt;&gt;"",$J202&lt;TODAY()),"RESTRICTION EXPIRED","ACTIVE RESTRICTION"),"Documented")))</f>
        <v/>
      </c>
      <c r="N202" s="14" t="n"/>
    </row>
    <row r="203">
      <c r="B203" s="15">
        <f>IF($D203="","","MD"&amp;TEXT(ROW()-5,"000"))</f>
        <v/>
      </c>
      <c r="C203" s="16" t="n"/>
      <c r="D203" s="14" t="n"/>
      <c r="E203" s="15">
        <f>IF($D203="","",IFERROR(INDEX(rngCadetPIDs,MATCH($D203,rngCadetNames,0)),"?"))</f>
        <v/>
      </c>
      <c r="F203" s="14" t="n"/>
      <c r="G203" s="14" t="n"/>
      <c r="H203" s="14" t="n"/>
      <c r="I203" s="16" t="n"/>
      <c r="J203" s="16" t="n"/>
      <c r="K203" s="16" t="n"/>
      <c r="L203" s="14" t="n"/>
      <c r="M203" s="15">
        <f>IF($D203="","",IF($K203&lt;&gt;"","Cleared "&amp;TEXT($K203,"mm/dd"),IF($H203="Yes",IF(AND($J203&lt;&gt;"",$J203&lt;TODAY()),"RESTRICTION EXPIRED","ACTIVE RESTRICTION"),"Documented")))</f>
        <v/>
      </c>
      <c r="N203" s="14" t="n"/>
    </row>
    <row r="204">
      <c r="B204" s="15">
        <f>IF($D204="","","MD"&amp;TEXT(ROW()-5,"000"))</f>
        <v/>
      </c>
      <c r="C204" s="16" t="n"/>
      <c r="D204" s="14" t="n"/>
      <c r="E204" s="15">
        <f>IF($D204="","",IFERROR(INDEX(rngCadetPIDs,MATCH($D204,rngCadetNames,0)),"?"))</f>
        <v/>
      </c>
      <c r="F204" s="14" t="n"/>
      <c r="G204" s="14" t="n"/>
      <c r="H204" s="14" t="n"/>
      <c r="I204" s="16" t="n"/>
      <c r="J204" s="16" t="n"/>
      <c r="K204" s="16" t="n"/>
      <c r="L204" s="14" t="n"/>
      <c r="M204" s="15">
        <f>IF($D204="","",IF($K204&lt;&gt;"","Cleared "&amp;TEXT($K204,"mm/dd"),IF($H204="Yes",IF(AND($J204&lt;&gt;"",$J204&lt;TODAY()),"RESTRICTION EXPIRED","ACTIVE RESTRICTION"),"Documented")))</f>
        <v/>
      </c>
      <c r="N204" s="14" t="n"/>
    </row>
    <row r="205">
      <c r="B205" s="15">
        <f>IF($D205="","","MD"&amp;TEXT(ROW()-5,"000"))</f>
        <v/>
      </c>
      <c r="C205" s="16" t="n"/>
      <c r="D205" s="14" t="n"/>
      <c r="E205" s="15">
        <f>IF($D205="","",IFERROR(INDEX(rngCadetPIDs,MATCH($D205,rngCadetNames,0)),"?"))</f>
        <v/>
      </c>
      <c r="F205" s="14" t="n"/>
      <c r="G205" s="14" t="n"/>
      <c r="H205" s="14" t="n"/>
      <c r="I205" s="16" t="n"/>
      <c r="J205" s="16" t="n"/>
      <c r="K205" s="16" t="n"/>
      <c r="L205" s="14" t="n"/>
      <c r="M205" s="15">
        <f>IF($D205="","",IF($K205&lt;&gt;"","Cleared "&amp;TEXT($K205,"mm/dd"),IF($H205="Yes",IF(AND($J205&lt;&gt;"",$J205&lt;TODAY()),"RESTRICTION EXPIRED","ACTIVE RESTRICTION"),"Documented")))</f>
        <v/>
      </c>
      <c r="N205" s="14" t="n"/>
    </row>
  </sheetData>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row r="2"/>
    <row r="3"/>
    <row r="4">
      <c r="B4" s="8" t="inlineStr">
        <is>
          <t>Formal record of every dismissal/academic/conduct review: trigger, decision, Assistant-Chief approval (policy 600.2.E) and agency notification. This is the file TCOLE/legal asks for.</t>
        </is>
      </c>
    </row>
    <row r="5" ht="26" customHeight="1">
      <c r="B5" s="9" t="inlineStr">
        <is>
          <t>ReviewID</t>
        </is>
      </c>
      <c r="C5" s="9" t="inlineStr">
        <is>
          <t>Cadet Name</t>
        </is>
      </c>
      <c r="D5" s="9" t="inlineStr">
        <is>
          <t>PID</t>
        </is>
      </c>
      <c r="E5" s="9" t="inlineStr">
        <is>
          <t>Review Type</t>
        </is>
      </c>
      <c r="F5" s="9" t="inlineStr">
        <is>
          <t>Trigger</t>
        </is>
      </c>
      <c r="G5" s="9" t="inlineStr">
        <is>
          <t>Opened</t>
        </is>
      </c>
      <c r="H5" s="9" t="inlineStr">
        <is>
          <t>Board/Reviewer</t>
        </is>
      </c>
      <c r="I5" s="9" t="inlineStr">
        <is>
          <t>Decision Date</t>
        </is>
      </c>
      <c r="J5" s="9" t="inlineStr">
        <is>
          <t>Outcome</t>
        </is>
      </c>
      <c r="K5" s="9" t="inlineStr">
        <is>
          <t>Asst. Chief Approval</t>
        </is>
      </c>
      <c r="L5" s="9" t="inlineStr">
        <is>
          <t>Approval Date</t>
        </is>
      </c>
      <c r="M5" s="9" t="inlineStr">
        <is>
          <t>Agency Notified</t>
        </is>
      </c>
      <c r="N5" s="9" t="inlineStr">
        <is>
          <t>Docs Ref</t>
        </is>
      </c>
      <c r="O5" s="9" t="inlineStr">
        <is>
          <t>Notes</t>
        </is>
      </c>
    </row>
    <row r="6">
      <c r="B6" s="15">
        <f>IF($C6="","","R"&amp;TEXT(ROW()-5,"000"))</f>
        <v/>
      </c>
      <c r="C6" s="14" t="n"/>
      <c r="D6" s="15">
        <f>IF($C6="","",IFERROR(INDEX(rngCadetPIDs,MATCH($C6,rngCadetNames,0)),"?"))</f>
        <v/>
      </c>
      <c r="E6" s="14" t="n"/>
      <c r="F6" s="14" t="n"/>
      <c r="G6" s="16" t="n"/>
      <c r="H6" s="14" t="n"/>
      <c r="I6" s="16" t="n"/>
      <c r="J6" s="14" t="n"/>
      <c r="K6" s="14" t="n"/>
      <c r="L6" s="16" t="n"/>
      <c r="M6" s="14" t="n"/>
      <c r="N6" s="14" t="n"/>
      <c r="O6" s="14" t="n"/>
    </row>
    <row r="7">
      <c r="B7" s="15">
        <f>IF($C7="","","R"&amp;TEXT(ROW()-5,"000"))</f>
        <v/>
      </c>
      <c r="C7" s="14" t="n"/>
      <c r="D7" s="15">
        <f>IF($C7="","",IFERROR(INDEX(rngCadetPIDs,MATCH($C7,rngCadetNames,0)),"?"))</f>
        <v/>
      </c>
      <c r="E7" s="14" t="n"/>
      <c r="F7" s="14" t="n"/>
      <c r="G7" s="16" t="n"/>
      <c r="H7" s="14" t="n"/>
      <c r="I7" s="16" t="n"/>
      <c r="J7" s="14" t="n"/>
      <c r="K7" s="14" t="n"/>
      <c r="L7" s="16" t="n"/>
      <c r="M7" s="14" t="n"/>
      <c r="N7" s="14" t="n"/>
      <c r="O7" s="14" t="n"/>
    </row>
    <row r="8">
      <c r="B8" s="15">
        <f>IF($C8="","","R"&amp;TEXT(ROW()-5,"000"))</f>
        <v/>
      </c>
      <c r="C8" s="14" t="n"/>
      <c r="D8" s="15">
        <f>IF($C8="","",IFERROR(INDEX(rngCadetPIDs,MATCH($C8,rngCadetNames,0)),"?"))</f>
        <v/>
      </c>
      <c r="E8" s="14" t="n"/>
      <c r="F8" s="14" t="n"/>
      <c r="G8" s="16" t="n"/>
      <c r="H8" s="14" t="n"/>
      <c r="I8" s="16" t="n"/>
      <c r="J8" s="14" t="n"/>
      <c r="K8" s="14" t="n"/>
      <c r="L8" s="16" t="n"/>
      <c r="M8" s="14" t="n"/>
      <c r="N8" s="14" t="n"/>
      <c r="O8" s="14" t="n"/>
    </row>
    <row r="9">
      <c r="B9" s="15">
        <f>IF($C9="","","R"&amp;TEXT(ROW()-5,"000"))</f>
        <v/>
      </c>
      <c r="C9" s="14" t="n"/>
      <c r="D9" s="15">
        <f>IF($C9="","",IFERROR(INDEX(rngCadetPIDs,MATCH($C9,rngCadetNames,0)),"?"))</f>
        <v/>
      </c>
      <c r="E9" s="14" t="n"/>
      <c r="F9" s="14" t="n"/>
      <c r="G9" s="16" t="n"/>
      <c r="H9" s="14" t="n"/>
      <c r="I9" s="16" t="n"/>
      <c r="J9" s="14" t="n"/>
      <c r="K9" s="14" t="n"/>
      <c r="L9" s="16" t="n"/>
      <c r="M9" s="14" t="n"/>
      <c r="N9" s="14" t="n"/>
      <c r="O9" s="14" t="n"/>
    </row>
    <row r="10">
      <c r="B10" s="15">
        <f>IF($C10="","","R"&amp;TEXT(ROW()-5,"000"))</f>
        <v/>
      </c>
      <c r="C10" s="14" t="n"/>
      <c r="D10" s="15">
        <f>IF($C10="","",IFERROR(INDEX(rngCadetPIDs,MATCH($C10,rngCadetNames,0)),"?"))</f>
        <v/>
      </c>
      <c r="E10" s="14" t="n"/>
      <c r="F10" s="14" t="n"/>
      <c r="G10" s="16" t="n"/>
      <c r="H10" s="14" t="n"/>
      <c r="I10" s="16" t="n"/>
      <c r="J10" s="14" t="n"/>
      <c r="K10" s="14" t="n"/>
      <c r="L10" s="16" t="n"/>
      <c r="M10" s="14" t="n"/>
      <c r="N10" s="14" t="n"/>
      <c r="O10" s="14" t="n"/>
    </row>
    <row r="11">
      <c r="B11" s="15">
        <f>IF($C11="","","R"&amp;TEXT(ROW()-5,"000"))</f>
        <v/>
      </c>
      <c r="C11" s="14" t="n"/>
      <c r="D11" s="15">
        <f>IF($C11="","",IFERROR(INDEX(rngCadetPIDs,MATCH($C11,rngCadetNames,0)),"?"))</f>
        <v/>
      </c>
      <c r="E11" s="14" t="n"/>
      <c r="F11" s="14" t="n"/>
      <c r="G11" s="16" t="n"/>
      <c r="H11" s="14" t="n"/>
      <c r="I11" s="16" t="n"/>
      <c r="J11" s="14" t="n"/>
      <c r="K11" s="14" t="n"/>
      <c r="L11" s="16" t="n"/>
      <c r="M11" s="14" t="n"/>
      <c r="N11" s="14" t="n"/>
      <c r="O11" s="14" t="n"/>
    </row>
    <row r="12">
      <c r="B12" s="15">
        <f>IF($C12="","","R"&amp;TEXT(ROW()-5,"000"))</f>
        <v/>
      </c>
      <c r="C12" s="14" t="n"/>
      <c r="D12" s="15">
        <f>IF($C12="","",IFERROR(INDEX(rngCadetPIDs,MATCH($C12,rngCadetNames,0)),"?"))</f>
        <v/>
      </c>
      <c r="E12" s="14" t="n"/>
      <c r="F12" s="14" t="n"/>
      <c r="G12" s="16" t="n"/>
      <c r="H12" s="14" t="n"/>
      <c r="I12" s="16" t="n"/>
      <c r="J12" s="14" t="n"/>
      <c r="K12" s="14" t="n"/>
      <c r="L12" s="16" t="n"/>
      <c r="M12" s="14" t="n"/>
      <c r="N12" s="14" t="n"/>
      <c r="O12" s="14" t="n"/>
    </row>
    <row r="13">
      <c r="B13" s="15">
        <f>IF($C13="","","R"&amp;TEXT(ROW()-5,"000"))</f>
        <v/>
      </c>
      <c r="C13" s="14" t="n"/>
      <c r="D13" s="15">
        <f>IF($C13="","",IFERROR(INDEX(rngCadetPIDs,MATCH($C13,rngCadetNames,0)),"?"))</f>
        <v/>
      </c>
      <c r="E13" s="14" t="n"/>
      <c r="F13" s="14" t="n"/>
      <c r="G13" s="16" t="n"/>
      <c r="H13" s="14" t="n"/>
      <c r="I13" s="16" t="n"/>
      <c r="J13" s="14" t="n"/>
      <c r="K13" s="14" t="n"/>
      <c r="L13" s="16" t="n"/>
      <c r="M13" s="14" t="n"/>
      <c r="N13" s="14" t="n"/>
      <c r="O13" s="14" t="n"/>
    </row>
    <row r="14">
      <c r="B14" s="15">
        <f>IF($C14="","","R"&amp;TEXT(ROW()-5,"000"))</f>
        <v/>
      </c>
      <c r="C14" s="14" t="n"/>
      <c r="D14" s="15">
        <f>IF($C14="","",IFERROR(INDEX(rngCadetPIDs,MATCH($C14,rngCadetNames,0)),"?"))</f>
        <v/>
      </c>
      <c r="E14" s="14" t="n"/>
      <c r="F14" s="14" t="n"/>
      <c r="G14" s="16" t="n"/>
      <c r="H14" s="14" t="n"/>
      <c r="I14" s="16" t="n"/>
      <c r="J14" s="14" t="n"/>
      <c r="K14" s="14" t="n"/>
      <c r="L14" s="16" t="n"/>
      <c r="M14" s="14" t="n"/>
      <c r="N14" s="14" t="n"/>
      <c r="O14" s="14" t="n"/>
    </row>
    <row r="15">
      <c r="B15" s="15">
        <f>IF($C15="","","R"&amp;TEXT(ROW()-5,"000"))</f>
        <v/>
      </c>
      <c r="C15" s="14" t="n"/>
      <c r="D15" s="15">
        <f>IF($C15="","",IFERROR(INDEX(rngCadetPIDs,MATCH($C15,rngCadetNames,0)),"?"))</f>
        <v/>
      </c>
      <c r="E15" s="14" t="n"/>
      <c r="F15" s="14" t="n"/>
      <c r="G15" s="16" t="n"/>
      <c r="H15" s="14" t="n"/>
      <c r="I15" s="16" t="n"/>
      <c r="J15" s="14" t="n"/>
      <c r="K15" s="14" t="n"/>
      <c r="L15" s="16" t="n"/>
      <c r="M15" s="14" t="n"/>
      <c r="N15" s="14" t="n"/>
      <c r="O15" s="14" t="n"/>
    </row>
    <row r="16">
      <c r="B16" s="15">
        <f>IF($C16="","","R"&amp;TEXT(ROW()-5,"000"))</f>
        <v/>
      </c>
      <c r="C16" s="14" t="n"/>
      <c r="D16" s="15">
        <f>IF($C16="","",IFERROR(INDEX(rngCadetPIDs,MATCH($C16,rngCadetNames,0)),"?"))</f>
        <v/>
      </c>
      <c r="E16" s="14" t="n"/>
      <c r="F16" s="14" t="n"/>
      <c r="G16" s="16" t="n"/>
      <c r="H16" s="14" t="n"/>
      <c r="I16" s="16" t="n"/>
      <c r="J16" s="14" t="n"/>
      <c r="K16" s="14" t="n"/>
      <c r="L16" s="16" t="n"/>
      <c r="M16" s="14" t="n"/>
      <c r="N16" s="14" t="n"/>
      <c r="O16" s="14" t="n"/>
    </row>
    <row r="17">
      <c r="B17" s="15">
        <f>IF($C17="","","R"&amp;TEXT(ROW()-5,"000"))</f>
        <v/>
      </c>
      <c r="C17" s="14" t="n"/>
      <c r="D17" s="15">
        <f>IF($C17="","",IFERROR(INDEX(rngCadetPIDs,MATCH($C17,rngCadetNames,0)),"?"))</f>
        <v/>
      </c>
      <c r="E17" s="14" t="n"/>
      <c r="F17" s="14" t="n"/>
      <c r="G17" s="16" t="n"/>
      <c r="H17" s="14" t="n"/>
      <c r="I17" s="16" t="n"/>
      <c r="J17" s="14" t="n"/>
      <c r="K17" s="14" t="n"/>
      <c r="L17" s="16" t="n"/>
      <c r="M17" s="14" t="n"/>
      <c r="N17" s="14" t="n"/>
      <c r="O17" s="14" t="n"/>
    </row>
    <row r="18">
      <c r="B18" s="15">
        <f>IF($C18="","","R"&amp;TEXT(ROW()-5,"000"))</f>
        <v/>
      </c>
      <c r="C18" s="14" t="n"/>
      <c r="D18" s="15">
        <f>IF($C18="","",IFERROR(INDEX(rngCadetPIDs,MATCH($C18,rngCadetNames,0)),"?"))</f>
        <v/>
      </c>
      <c r="E18" s="14" t="n"/>
      <c r="F18" s="14" t="n"/>
      <c r="G18" s="16" t="n"/>
      <c r="H18" s="14" t="n"/>
      <c r="I18" s="16" t="n"/>
      <c r="J18" s="14" t="n"/>
      <c r="K18" s="14" t="n"/>
      <c r="L18" s="16" t="n"/>
      <c r="M18" s="14" t="n"/>
      <c r="N18" s="14" t="n"/>
      <c r="O18" s="14" t="n"/>
    </row>
    <row r="19">
      <c r="B19" s="15">
        <f>IF($C19="","","R"&amp;TEXT(ROW()-5,"000"))</f>
        <v/>
      </c>
      <c r="C19" s="14" t="n"/>
      <c r="D19" s="15">
        <f>IF($C19="","",IFERROR(INDEX(rngCadetPIDs,MATCH($C19,rngCadetNames,0)),"?"))</f>
        <v/>
      </c>
      <c r="E19" s="14" t="n"/>
      <c r="F19" s="14" t="n"/>
      <c r="G19" s="16" t="n"/>
      <c r="H19" s="14" t="n"/>
      <c r="I19" s="16" t="n"/>
      <c r="J19" s="14" t="n"/>
      <c r="K19" s="14" t="n"/>
      <c r="L19" s="16" t="n"/>
      <c r="M19" s="14" t="n"/>
      <c r="N19" s="14" t="n"/>
      <c r="O19" s="14" t="n"/>
    </row>
    <row r="20">
      <c r="B20" s="15">
        <f>IF($C20="","","R"&amp;TEXT(ROW()-5,"000"))</f>
        <v/>
      </c>
      <c r="C20" s="14" t="n"/>
      <c r="D20" s="15">
        <f>IF($C20="","",IFERROR(INDEX(rngCadetPIDs,MATCH($C20,rngCadetNames,0)),"?"))</f>
        <v/>
      </c>
      <c r="E20" s="14" t="n"/>
      <c r="F20" s="14" t="n"/>
      <c r="G20" s="16" t="n"/>
      <c r="H20" s="14" t="n"/>
      <c r="I20" s="16" t="n"/>
      <c r="J20" s="14" t="n"/>
      <c r="K20" s="14" t="n"/>
      <c r="L20" s="16" t="n"/>
      <c r="M20" s="14" t="n"/>
      <c r="N20" s="14" t="n"/>
      <c r="O20" s="14" t="n"/>
    </row>
    <row r="21">
      <c r="B21" s="15">
        <f>IF($C21="","","R"&amp;TEXT(ROW()-5,"000"))</f>
        <v/>
      </c>
      <c r="C21" s="14" t="n"/>
      <c r="D21" s="15">
        <f>IF($C21="","",IFERROR(INDEX(rngCadetPIDs,MATCH($C21,rngCadetNames,0)),"?"))</f>
        <v/>
      </c>
      <c r="E21" s="14" t="n"/>
      <c r="F21" s="14" t="n"/>
      <c r="G21" s="16" t="n"/>
      <c r="H21" s="14" t="n"/>
      <c r="I21" s="16" t="n"/>
      <c r="J21" s="14" t="n"/>
      <c r="K21" s="14" t="n"/>
      <c r="L21" s="16" t="n"/>
      <c r="M21" s="14" t="n"/>
      <c r="N21" s="14" t="n"/>
      <c r="O21" s="14" t="n"/>
    </row>
    <row r="22">
      <c r="B22" s="15">
        <f>IF($C22="","","R"&amp;TEXT(ROW()-5,"000"))</f>
        <v/>
      </c>
      <c r="C22" s="14" t="n"/>
      <c r="D22" s="15">
        <f>IF($C22="","",IFERROR(INDEX(rngCadetPIDs,MATCH($C22,rngCadetNames,0)),"?"))</f>
        <v/>
      </c>
      <c r="E22" s="14" t="n"/>
      <c r="F22" s="14" t="n"/>
      <c r="G22" s="16" t="n"/>
      <c r="H22" s="14" t="n"/>
      <c r="I22" s="16" t="n"/>
      <c r="J22" s="14" t="n"/>
      <c r="K22" s="14" t="n"/>
      <c r="L22" s="16" t="n"/>
      <c r="M22" s="14" t="n"/>
      <c r="N22" s="14" t="n"/>
      <c r="O22" s="14" t="n"/>
    </row>
    <row r="23">
      <c r="B23" s="15">
        <f>IF($C23="","","R"&amp;TEXT(ROW()-5,"000"))</f>
        <v/>
      </c>
      <c r="C23" s="14" t="n"/>
      <c r="D23" s="15">
        <f>IF($C23="","",IFERROR(INDEX(rngCadetPIDs,MATCH($C23,rngCadetNames,0)),"?"))</f>
        <v/>
      </c>
      <c r="E23" s="14" t="n"/>
      <c r="F23" s="14" t="n"/>
      <c r="G23" s="16" t="n"/>
      <c r="H23" s="14" t="n"/>
      <c r="I23" s="16" t="n"/>
      <c r="J23" s="14" t="n"/>
      <c r="K23" s="14" t="n"/>
      <c r="L23" s="16" t="n"/>
      <c r="M23" s="14" t="n"/>
      <c r="N23" s="14" t="n"/>
      <c r="O23" s="14" t="n"/>
    </row>
    <row r="24">
      <c r="B24" s="15">
        <f>IF($C24="","","R"&amp;TEXT(ROW()-5,"000"))</f>
        <v/>
      </c>
      <c r="C24" s="14" t="n"/>
      <c r="D24" s="15">
        <f>IF($C24="","",IFERROR(INDEX(rngCadetPIDs,MATCH($C24,rngCadetNames,0)),"?"))</f>
        <v/>
      </c>
      <c r="E24" s="14" t="n"/>
      <c r="F24" s="14" t="n"/>
      <c r="G24" s="16" t="n"/>
      <c r="H24" s="14" t="n"/>
      <c r="I24" s="16" t="n"/>
      <c r="J24" s="14" t="n"/>
      <c r="K24" s="14" t="n"/>
      <c r="L24" s="16" t="n"/>
      <c r="M24" s="14" t="n"/>
      <c r="N24" s="14" t="n"/>
      <c r="O24" s="14" t="n"/>
    </row>
    <row r="25">
      <c r="B25" s="15">
        <f>IF($C25="","","R"&amp;TEXT(ROW()-5,"000"))</f>
        <v/>
      </c>
      <c r="C25" s="14" t="n"/>
      <c r="D25" s="15">
        <f>IF($C25="","",IFERROR(INDEX(rngCadetPIDs,MATCH($C25,rngCadetNames,0)),"?"))</f>
        <v/>
      </c>
      <c r="E25" s="14" t="n"/>
      <c r="F25" s="14" t="n"/>
      <c r="G25" s="16" t="n"/>
      <c r="H25" s="14" t="n"/>
      <c r="I25" s="16" t="n"/>
      <c r="J25" s="14" t="n"/>
      <c r="K25" s="14" t="n"/>
      <c r="L25" s="16" t="n"/>
      <c r="M25" s="14" t="n"/>
      <c r="N25" s="14" t="n"/>
      <c r="O25" s="14" t="n"/>
    </row>
    <row r="26">
      <c r="B26" s="15">
        <f>IF($C26="","","R"&amp;TEXT(ROW()-5,"000"))</f>
        <v/>
      </c>
      <c r="C26" s="14" t="n"/>
      <c r="D26" s="15">
        <f>IF($C26="","",IFERROR(INDEX(rngCadetPIDs,MATCH($C26,rngCadetNames,0)),"?"))</f>
        <v/>
      </c>
      <c r="E26" s="14" t="n"/>
      <c r="F26" s="14" t="n"/>
      <c r="G26" s="16" t="n"/>
      <c r="H26" s="14" t="n"/>
      <c r="I26" s="16" t="n"/>
      <c r="J26" s="14" t="n"/>
      <c r="K26" s="14" t="n"/>
      <c r="L26" s="16" t="n"/>
      <c r="M26" s="14" t="n"/>
      <c r="N26" s="14" t="n"/>
      <c r="O26" s="14" t="n"/>
    </row>
    <row r="27">
      <c r="B27" s="15">
        <f>IF($C27="","","R"&amp;TEXT(ROW()-5,"000"))</f>
        <v/>
      </c>
      <c r="C27" s="14" t="n"/>
      <c r="D27" s="15">
        <f>IF($C27="","",IFERROR(INDEX(rngCadetPIDs,MATCH($C27,rngCadetNames,0)),"?"))</f>
        <v/>
      </c>
      <c r="E27" s="14" t="n"/>
      <c r="F27" s="14" t="n"/>
      <c r="G27" s="16" t="n"/>
      <c r="H27" s="14" t="n"/>
      <c r="I27" s="16" t="n"/>
      <c r="J27" s="14" t="n"/>
      <c r="K27" s="14" t="n"/>
      <c r="L27" s="16" t="n"/>
      <c r="M27" s="14" t="n"/>
      <c r="N27" s="14" t="n"/>
      <c r="O27" s="14" t="n"/>
    </row>
    <row r="28">
      <c r="B28" s="15">
        <f>IF($C28="","","R"&amp;TEXT(ROW()-5,"000"))</f>
        <v/>
      </c>
      <c r="C28" s="14" t="n"/>
      <c r="D28" s="15">
        <f>IF($C28="","",IFERROR(INDEX(rngCadetPIDs,MATCH($C28,rngCadetNames,0)),"?"))</f>
        <v/>
      </c>
      <c r="E28" s="14" t="n"/>
      <c r="F28" s="14" t="n"/>
      <c r="G28" s="16" t="n"/>
      <c r="H28" s="14" t="n"/>
      <c r="I28" s="16" t="n"/>
      <c r="J28" s="14" t="n"/>
      <c r="K28" s="14" t="n"/>
      <c r="L28" s="16" t="n"/>
      <c r="M28" s="14" t="n"/>
      <c r="N28" s="14" t="n"/>
      <c r="O28" s="14" t="n"/>
    </row>
    <row r="29">
      <c r="B29" s="15">
        <f>IF($C29="","","R"&amp;TEXT(ROW()-5,"000"))</f>
        <v/>
      </c>
      <c r="C29" s="14" t="n"/>
      <c r="D29" s="15">
        <f>IF($C29="","",IFERROR(INDEX(rngCadetPIDs,MATCH($C29,rngCadetNames,0)),"?"))</f>
        <v/>
      </c>
      <c r="E29" s="14" t="n"/>
      <c r="F29" s="14" t="n"/>
      <c r="G29" s="16" t="n"/>
      <c r="H29" s="14" t="n"/>
      <c r="I29" s="16" t="n"/>
      <c r="J29" s="14" t="n"/>
      <c r="K29" s="14" t="n"/>
      <c r="L29" s="16" t="n"/>
      <c r="M29" s="14" t="n"/>
      <c r="N29" s="14" t="n"/>
      <c r="O29" s="14" t="n"/>
    </row>
    <row r="30">
      <c r="B30" s="15">
        <f>IF($C30="","","R"&amp;TEXT(ROW()-5,"000"))</f>
        <v/>
      </c>
      <c r="C30" s="14" t="n"/>
      <c r="D30" s="15">
        <f>IF($C30="","",IFERROR(INDEX(rngCadetPIDs,MATCH($C30,rngCadetNames,0)),"?"))</f>
        <v/>
      </c>
      <c r="E30" s="14" t="n"/>
      <c r="F30" s="14" t="n"/>
      <c r="G30" s="16" t="n"/>
      <c r="H30" s="14" t="n"/>
      <c r="I30" s="16" t="n"/>
      <c r="J30" s="14" t="n"/>
      <c r="K30" s="14" t="n"/>
      <c r="L30" s="16" t="n"/>
      <c r="M30" s="14" t="n"/>
      <c r="N30" s="14" t="n"/>
      <c r="O30" s="14" t="n"/>
    </row>
    <row r="31">
      <c r="B31" s="15">
        <f>IF($C31="","","R"&amp;TEXT(ROW()-5,"000"))</f>
        <v/>
      </c>
      <c r="C31" s="14" t="n"/>
      <c r="D31" s="15">
        <f>IF($C31="","",IFERROR(INDEX(rngCadetPIDs,MATCH($C31,rngCadetNames,0)),"?"))</f>
        <v/>
      </c>
      <c r="E31" s="14" t="n"/>
      <c r="F31" s="14" t="n"/>
      <c r="G31" s="16" t="n"/>
      <c r="H31" s="14" t="n"/>
      <c r="I31" s="16" t="n"/>
      <c r="J31" s="14" t="n"/>
      <c r="K31" s="14" t="n"/>
      <c r="L31" s="16" t="n"/>
      <c r="M31" s="14" t="n"/>
      <c r="N31" s="14" t="n"/>
      <c r="O31" s="14" t="n"/>
    </row>
    <row r="32">
      <c r="B32" s="15">
        <f>IF($C32="","","R"&amp;TEXT(ROW()-5,"000"))</f>
        <v/>
      </c>
      <c r="C32" s="14" t="n"/>
      <c r="D32" s="15">
        <f>IF($C32="","",IFERROR(INDEX(rngCadetPIDs,MATCH($C32,rngCadetNames,0)),"?"))</f>
        <v/>
      </c>
      <c r="E32" s="14" t="n"/>
      <c r="F32" s="14" t="n"/>
      <c r="G32" s="16" t="n"/>
      <c r="H32" s="14" t="n"/>
      <c r="I32" s="16" t="n"/>
      <c r="J32" s="14" t="n"/>
      <c r="K32" s="14" t="n"/>
      <c r="L32" s="16" t="n"/>
      <c r="M32" s="14" t="n"/>
      <c r="N32" s="14" t="n"/>
      <c r="O32" s="14" t="n"/>
    </row>
    <row r="33">
      <c r="B33" s="15">
        <f>IF($C33="","","R"&amp;TEXT(ROW()-5,"000"))</f>
        <v/>
      </c>
      <c r="C33" s="14" t="n"/>
      <c r="D33" s="15">
        <f>IF($C33="","",IFERROR(INDEX(rngCadetPIDs,MATCH($C33,rngCadetNames,0)),"?"))</f>
        <v/>
      </c>
      <c r="E33" s="14" t="n"/>
      <c r="F33" s="14" t="n"/>
      <c r="G33" s="16" t="n"/>
      <c r="H33" s="14" t="n"/>
      <c r="I33" s="16" t="n"/>
      <c r="J33" s="14" t="n"/>
      <c r="K33" s="14" t="n"/>
      <c r="L33" s="16" t="n"/>
      <c r="M33" s="14" t="n"/>
      <c r="N33" s="14" t="n"/>
      <c r="O33" s="14" t="n"/>
    </row>
    <row r="34">
      <c r="B34" s="15">
        <f>IF($C34="","","R"&amp;TEXT(ROW()-5,"000"))</f>
        <v/>
      </c>
      <c r="C34" s="14" t="n"/>
      <c r="D34" s="15">
        <f>IF($C34="","",IFERROR(INDEX(rngCadetPIDs,MATCH($C34,rngCadetNames,0)),"?"))</f>
        <v/>
      </c>
      <c r="E34" s="14" t="n"/>
      <c r="F34" s="14" t="n"/>
      <c r="G34" s="16" t="n"/>
      <c r="H34" s="14" t="n"/>
      <c r="I34" s="16" t="n"/>
      <c r="J34" s="14" t="n"/>
      <c r="K34" s="14" t="n"/>
      <c r="L34" s="16" t="n"/>
      <c r="M34" s="14" t="n"/>
      <c r="N34" s="14" t="n"/>
      <c r="O34" s="14" t="n"/>
    </row>
    <row r="35">
      <c r="B35" s="15">
        <f>IF($C35="","","R"&amp;TEXT(ROW()-5,"000"))</f>
        <v/>
      </c>
      <c r="C35" s="14" t="n"/>
      <c r="D35" s="15">
        <f>IF($C35="","",IFERROR(INDEX(rngCadetPIDs,MATCH($C35,rngCadetNames,0)),"?"))</f>
        <v/>
      </c>
      <c r="E35" s="14" t="n"/>
      <c r="F35" s="14" t="n"/>
      <c r="G35" s="16" t="n"/>
      <c r="H35" s="14" t="n"/>
      <c r="I35" s="16" t="n"/>
      <c r="J35" s="14" t="n"/>
      <c r="K35" s="14" t="n"/>
      <c r="L35" s="16" t="n"/>
      <c r="M35" s="14" t="n"/>
      <c r="N35" s="14" t="n"/>
      <c r="O35" s="14" t="n"/>
    </row>
    <row r="36">
      <c r="B36" s="15">
        <f>IF($C36="","","R"&amp;TEXT(ROW()-5,"000"))</f>
        <v/>
      </c>
      <c r="C36" s="14" t="n"/>
      <c r="D36" s="15">
        <f>IF($C36="","",IFERROR(INDEX(rngCadetPIDs,MATCH($C36,rngCadetNames,0)),"?"))</f>
        <v/>
      </c>
      <c r="E36" s="14" t="n"/>
      <c r="F36" s="14" t="n"/>
      <c r="G36" s="16" t="n"/>
      <c r="H36" s="14" t="n"/>
      <c r="I36" s="16" t="n"/>
      <c r="J36" s="14" t="n"/>
      <c r="K36" s="14" t="n"/>
      <c r="L36" s="16" t="n"/>
      <c r="M36" s="14" t="n"/>
      <c r="N36" s="14" t="n"/>
      <c r="O36" s="14" t="n"/>
    </row>
    <row r="37">
      <c r="B37" s="15">
        <f>IF($C37="","","R"&amp;TEXT(ROW()-5,"000"))</f>
        <v/>
      </c>
      <c r="C37" s="14" t="n"/>
      <c r="D37" s="15">
        <f>IF($C37="","",IFERROR(INDEX(rngCadetPIDs,MATCH($C37,rngCadetNames,0)),"?"))</f>
        <v/>
      </c>
      <c r="E37" s="14" t="n"/>
      <c r="F37" s="14" t="n"/>
      <c r="G37" s="16" t="n"/>
      <c r="H37" s="14" t="n"/>
      <c r="I37" s="16" t="n"/>
      <c r="J37" s="14" t="n"/>
      <c r="K37" s="14" t="n"/>
      <c r="L37" s="16" t="n"/>
      <c r="M37" s="14" t="n"/>
      <c r="N37" s="14" t="n"/>
      <c r="O37" s="14" t="n"/>
    </row>
    <row r="38">
      <c r="B38" s="15">
        <f>IF($C38="","","R"&amp;TEXT(ROW()-5,"000"))</f>
        <v/>
      </c>
      <c r="C38" s="14" t="n"/>
      <c r="D38" s="15">
        <f>IF($C38="","",IFERROR(INDEX(rngCadetPIDs,MATCH($C38,rngCadetNames,0)),"?"))</f>
        <v/>
      </c>
      <c r="E38" s="14" t="n"/>
      <c r="F38" s="14" t="n"/>
      <c r="G38" s="16" t="n"/>
      <c r="H38" s="14" t="n"/>
      <c r="I38" s="16" t="n"/>
      <c r="J38" s="14" t="n"/>
      <c r="K38" s="14" t="n"/>
      <c r="L38" s="16" t="n"/>
      <c r="M38" s="14" t="n"/>
      <c r="N38" s="14" t="n"/>
      <c r="O38" s="14" t="n"/>
    </row>
    <row r="39">
      <c r="B39" s="15">
        <f>IF($C39="","","R"&amp;TEXT(ROW()-5,"000"))</f>
        <v/>
      </c>
      <c r="C39" s="14" t="n"/>
      <c r="D39" s="15">
        <f>IF($C39="","",IFERROR(INDEX(rngCadetPIDs,MATCH($C39,rngCadetNames,0)),"?"))</f>
        <v/>
      </c>
      <c r="E39" s="14" t="n"/>
      <c r="F39" s="14" t="n"/>
      <c r="G39" s="16" t="n"/>
      <c r="H39" s="14" t="n"/>
      <c r="I39" s="16" t="n"/>
      <c r="J39" s="14" t="n"/>
      <c r="K39" s="14" t="n"/>
      <c r="L39" s="16" t="n"/>
      <c r="M39" s="14" t="n"/>
      <c r="N39" s="14" t="n"/>
      <c r="O39" s="14" t="n"/>
    </row>
    <row r="40">
      <c r="B40" s="15">
        <f>IF($C40="","","R"&amp;TEXT(ROW()-5,"000"))</f>
        <v/>
      </c>
      <c r="C40" s="14" t="n"/>
      <c r="D40" s="15">
        <f>IF($C40="","",IFERROR(INDEX(rngCadetPIDs,MATCH($C40,rngCadetNames,0)),"?"))</f>
        <v/>
      </c>
      <c r="E40" s="14" t="n"/>
      <c r="F40" s="14" t="n"/>
      <c r="G40" s="16" t="n"/>
      <c r="H40" s="14" t="n"/>
      <c r="I40" s="16" t="n"/>
      <c r="J40" s="14" t="n"/>
      <c r="K40" s="14" t="n"/>
      <c r="L40" s="16" t="n"/>
      <c r="M40" s="14" t="n"/>
      <c r="N40" s="14" t="n"/>
      <c r="O40" s="14" t="n"/>
    </row>
    <row r="41">
      <c r="B41" s="15">
        <f>IF($C41="","","R"&amp;TEXT(ROW()-5,"000"))</f>
        <v/>
      </c>
      <c r="C41" s="14" t="n"/>
      <c r="D41" s="15">
        <f>IF($C41="","",IFERROR(INDEX(rngCadetPIDs,MATCH($C41,rngCadetNames,0)),"?"))</f>
        <v/>
      </c>
      <c r="E41" s="14" t="n"/>
      <c r="F41" s="14" t="n"/>
      <c r="G41" s="16" t="n"/>
      <c r="H41" s="14" t="n"/>
      <c r="I41" s="16" t="n"/>
      <c r="J41" s="14" t="n"/>
      <c r="K41" s="14" t="n"/>
      <c r="L41" s="16" t="n"/>
      <c r="M41" s="14" t="n"/>
      <c r="N41" s="14" t="n"/>
      <c r="O41" s="14" t="n"/>
    </row>
    <row r="42">
      <c r="B42" s="15">
        <f>IF($C42="","","R"&amp;TEXT(ROW()-5,"000"))</f>
        <v/>
      </c>
      <c r="C42" s="14" t="n"/>
      <c r="D42" s="15">
        <f>IF($C42="","",IFERROR(INDEX(rngCadetPIDs,MATCH($C42,rngCadetNames,0)),"?"))</f>
        <v/>
      </c>
      <c r="E42" s="14" t="n"/>
      <c r="F42" s="14" t="n"/>
      <c r="G42" s="16" t="n"/>
      <c r="H42" s="14" t="n"/>
      <c r="I42" s="16" t="n"/>
      <c r="J42" s="14" t="n"/>
      <c r="K42" s="14" t="n"/>
      <c r="L42" s="16" t="n"/>
      <c r="M42" s="14" t="n"/>
      <c r="N42" s="14" t="n"/>
      <c r="O42" s="14" t="n"/>
    </row>
    <row r="43">
      <c r="B43" s="15">
        <f>IF($C43="","","R"&amp;TEXT(ROW()-5,"000"))</f>
        <v/>
      </c>
      <c r="C43" s="14" t="n"/>
      <c r="D43" s="15">
        <f>IF($C43="","",IFERROR(INDEX(rngCadetPIDs,MATCH($C43,rngCadetNames,0)),"?"))</f>
        <v/>
      </c>
      <c r="E43" s="14" t="n"/>
      <c r="F43" s="14" t="n"/>
      <c r="G43" s="16" t="n"/>
      <c r="H43" s="14" t="n"/>
      <c r="I43" s="16" t="n"/>
      <c r="J43" s="14" t="n"/>
      <c r="K43" s="14" t="n"/>
      <c r="L43" s="16" t="n"/>
      <c r="M43" s="14" t="n"/>
      <c r="N43" s="14" t="n"/>
      <c r="O43" s="14" t="n"/>
    </row>
    <row r="44">
      <c r="B44" s="15">
        <f>IF($C44="","","R"&amp;TEXT(ROW()-5,"000"))</f>
        <v/>
      </c>
      <c r="C44" s="14" t="n"/>
      <c r="D44" s="15">
        <f>IF($C44="","",IFERROR(INDEX(rngCadetPIDs,MATCH($C44,rngCadetNames,0)),"?"))</f>
        <v/>
      </c>
      <c r="E44" s="14" t="n"/>
      <c r="F44" s="14" t="n"/>
      <c r="G44" s="16" t="n"/>
      <c r="H44" s="14" t="n"/>
      <c r="I44" s="16" t="n"/>
      <c r="J44" s="14" t="n"/>
      <c r="K44" s="14" t="n"/>
      <c r="L44" s="16" t="n"/>
      <c r="M44" s="14" t="n"/>
      <c r="N44" s="14" t="n"/>
      <c r="O44" s="14" t="n"/>
    </row>
    <row r="45">
      <c r="B45" s="15">
        <f>IF($C45="","","R"&amp;TEXT(ROW()-5,"000"))</f>
        <v/>
      </c>
      <c r="C45" s="14" t="n"/>
      <c r="D45" s="15">
        <f>IF($C45="","",IFERROR(INDEX(rngCadetPIDs,MATCH($C45,rngCadetNames,0)),"?"))</f>
        <v/>
      </c>
      <c r="E45" s="14" t="n"/>
      <c r="F45" s="14" t="n"/>
      <c r="G45" s="16" t="n"/>
      <c r="H45" s="14" t="n"/>
      <c r="I45" s="16" t="n"/>
      <c r="J45" s="14" t="n"/>
      <c r="K45" s="14" t="n"/>
      <c r="L45" s="16" t="n"/>
      <c r="M45" s="14" t="n"/>
      <c r="N45" s="14" t="n"/>
      <c r="O45" s="14" t="n"/>
    </row>
    <row r="46">
      <c r="B46" s="15">
        <f>IF($C46="","","R"&amp;TEXT(ROW()-5,"000"))</f>
        <v/>
      </c>
      <c r="C46" s="14" t="n"/>
      <c r="D46" s="15">
        <f>IF($C46="","",IFERROR(INDEX(rngCadetPIDs,MATCH($C46,rngCadetNames,0)),"?"))</f>
        <v/>
      </c>
      <c r="E46" s="14" t="n"/>
      <c r="F46" s="14" t="n"/>
      <c r="G46" s="16" t="n"/>
      <c r="H46" s="14" t="n"/>
      <c r="I46" s="16" t="n"/>
      <c r="J46" s="14" t="n"/>
      <c r="K46" s="14" t="n"/>
      <c r="L46" s="16" t="n"/>
      <c r="M46" s="14" t="n"/>
      <c r="N46" s="14" t="n"/>
      <c r="O46" s="14" t="n"/>
    </row>
    <row r="47">
      <c r="B47" s="15">
        <f>IF($C47="","","R"&amp;TEXT(ROW()-5,"000"))</f>
        <v/>
      </c>
      <c r="C47" s="14" t="n"/>
      <c r="D47" s="15">
        <f>IF($C47="","",IFERROR(INDEX(rngCadetPIDs,MATCH($C47,rngCadetNames,0)),"?"))</f>
        <v/>
      </c>
      <c r="E47" s="14" t="n"/>
      <c r="F47" s="14" t="n"/>
      <c r="G47" s="16" t="n"/>
      <c r="H47" s="14" t="n"/>
      <c r="I47" s="16" t="n"/>
      <c r="J47" s="14" t="n"/>
      <c r="K47" s="14" t="n"/>
      <c r="L47" s="16" t="n"/>
      <c r="M47" s="14" t="n"/>
      <c r="N47" s="14" t="n"/>
      <c r="O47" s="14" t="n"/>
    </row>
    <row r="48">
      <c r="B48" s="15">
        <f>IF($C48="","","R"&amp;TEXT(ROW()-5,"000"))</f>
        <v/>
      </c>
      <c r="C48" s="14" t="n"/>
      <c r="D48" s="15">
        <f>IF($C48="","",IFERROR(INDEX(rngCadetPIDs,MATCH($C48,rngCadetNames,0)),"?"))</f>
        <v/>
      </c>
      <c r="E48" s="14" t="n"/>
      <c r="F48" s="14" t="n"/>
      <c r="G48" s="16" t="n"/>
      <c r="H48" s="14" t="n"/>
      <c r="I48" s="16" t="n"/>
      <c r="J48" s="14" t="n"/>
      <c r="K48" s="14" t="n"/>
      <c r="L48" s="16" t="n"/>
      <c r="M48" s="14" t="n"/>
      <c r="N48" s="14" t="n"/>
      <c r="O48" s="14" t="n"/>
    </row>
    <row r="49">
      <c r="B49" s="15">
        <f>IF($C49="","","R"&amp;TEXT(ROW()-5,"000"))</f>
        <v/>
      </c>
      <c r="C49" s="14" t="n"/>
      <c r="D49" s="15">
        <f>IF($C49="","",IFERROR(INDEX(rngCadetPIDs,MATCH($C49,rngCadetNames,0)),"?"))</f>
        <v/>
      </c>
      <c r="E49" s="14" t="n"/>
      <c r="F49" s="14" t="n"/>
      <c r="G49" s="16" t="n"/>
      <c r="H49" s="14" t="n"/>
      <c r="I49" s="16" t="n"/>
      <c r="J49" s="14" t="n"/>
      <c r="K49" s="14" t="n"/>
      <c r="L49" s="16" t="n"/>
      <c r="M49" s="14" t="n"/>
      <c r="N49" s="14" t="n"/>
      <c r="O49" s="14" t="n"/>
    </row>
    <row r="50">
      <c r="B50" s="15">
        <f>IF($C50="","","R"&amp;TEXT(ROW()-5,"000"))</f>
        <v/>
      </c>
      <c r="C50" s="14" t="n"/>
      <c r="D50" s="15">
        <f>IF($C50="","",IFERROR(INDEX(rngCadetPIDs,MATCH($C50,rngCadetNames,0)),"?"))</f>
        <v/>
      </c>
      <c r="E50" s="14" t="n"/>
      <c r="F50" s="14" t="n"/>
      <c r="G50" s="16" t="n"/>
      <c r="H50" s="14" t="n"/>
      <c r="I50" s="16" t="n"/>
      <c r="J50" s="14" t="n"/>
      <c r="K50" s="14" t="n"/>
      <c r="L50" s="16" t="n"/>
      <c r="M50" s="14" t="n"/>
      <c r="N50" s="14" t="n"/>
      <c r="O50" s="14" t="n"/>
    </row>
    <row r="51">
      <c r="B51" s="15">
        <f>IF($C51="","","R"&amp;TEXT(ROW()-5,"000"))</f>
        <v/>
      </c>
      <c r="C51" s="14" t="n"/>
      <c r="D51" s="15">
        <f>IF($C51="","",IFERROR(INDEX(rngCadetPIDs,MATCH($C51,rngCadetNames,0)),"?"))</f>
        <v/>
      </c>
      <c r="E51" s="14" t="n"/>
      <c r="F51" s="14" t="n"/>
      <c r="G51" s="16" t="n"/>
      <c r="H51" s="14" t="n"/>
      <c r="I51" s="16" t="n"/>
      <c r="J51" s="14" t="n"/>
      <c r="K51" s="14" t="n"/>
      <c r="L51" s="16" t="n"/>
      <c r="M51" s="14" t="n"/>
      <c r="N51" s="14" t="n"/>
      <c r="O51" s="14" t="n"/>
    </row>
    <row r="52">
      <c r="B52" s="15">
        <f>IF($C52="","","R"&amp;TEXT(ROW()-5,"000"))</f>
        <v/>
      </c>
      <c r="C52" s="14" t="n"/>
      <c r="D52" s="15">
        <f>IF($C52="","",IFERROR(INDEX(rngCadetPIDs,MATCH($C52,rngCadetNames,0)),"?"))</f>
        <v/>
      </c>
      <c r="E52" s="14" t="n"/>
      <c r="F52" s="14" t="n"/>
      <c r="G52" s="16" t="n"/>
      <c r="H52" s="14" t="n"/>
      <c r="I52" s="16" t="n"/>
      <c r="J52" s="14" t="n"/>
      <c r="K52" s="14" t="n"/>
      <c r="L52" s="16" t="n"/>
      <c r="M52" s="14" t="n"/>
      <c r="N52" s="14" t="n"/>
      <c r="O52" s="14" t="n"/>
    </row>
    <row r="53">
      <c r="B53" s="15">
        <f>IF($C53="","","R"&amp;TEXT(ROW()-5,"000"))</f>
        <v/>
      </c>
      <c r="C53" s="14" t="n"/>
      <c r="D53" s="15">
        <f>IF($C53="","",IFERROR(INDEX(rngCadetPIDs,MATCH($C53,rngCadetNames,0)),"?"))</f>
        <v/>
      </c>
      <c r="E53" s="14" t="n"/>
      <c r="F53" s="14" t="n"/>
      <c r="G53" s="16" t="n"/>
      <c r="H53" s="14" t="n"/>
      <c r="I53" s="16" t="n"/>
      <c r="J53" s="14" t="n"/>
      <c r="K53" s="14" t="n"/>
      <c r="L53" s="16" t="n"/>
      <c r="M53" s="14" t="n"/>
      <c r="N53" s="14" t="n"/>
      <c r="O53" s="14" t="n"/>
    </row>
    <row r="54">
      <c r="B54" s="15">
        <f>IF($C54="","","R"&amp;TEXT(ROW()-5,"000"))</f>
        <v/>
      </c>
      <c r="C54" s="14" t="n"/>
      <c r="D54" s="15">
        <f>IF($C54="","",IFERROR(INDEX(rngCadetPIDs,MATCH($C54,rngCadetNames,0)),"?"))</f>
        <v/>
      </c>
      <c r="E54" s="14" t="n"/>
      <c r="F54" s="14" t="n"/>
      <c r="G54" s="16" t="n"/>
      <c r="H54" s="14" t="n"/>
      <c r="I54" s="16" t="n"/>
      <c r="J54" s="14" t="n"/>
      <c r="K54" s="14" t="n"/>
      <c r="L54" s="16" t="n"/>
      <c r="M54" s="14" t="n"/>
      <c r="N54" s="14" t="n"/>
      <c r="O54" s="14" t="n"/>
    </row>
    <row r="55">
      <c r="B55" s="15">
        <f>IF($C55="","","R"&amp;TEXT(ROW()-5,"000"))</f>
        <v/>
      </c>
      <c r="C55" s="14" t="n"/>
      <c r="D55" s="15">
        <f>IF($C55="","",IFERROR(INDEX(rngCadetPIDs,MATCH($C55,rngCadetNames,0)),"?"))</f>
        <v/>
      </c>
      <c r="E55" s="14" t="n"/>
      <c r="F55" s="14" t="n"/>
      <c r="G55" s="16" t="n"/>
      <c r="H55" s="14" t="n"/>
      <c r="I55" s="16" t="n"/>
      <c r="J55" s="14" t="n"/>
      <c r="K55" s="14" t="n"/>
      <c r="L55" s="16" t="n"/>
      <c r="M55" s="14" t="n"/>
      <c r="N55" s="14" t="n"/>
      <c r="O55" s="14" t="n"/>
    </row>
    <row r="56">
      <c r="B56" s="15">
        <f>IF($C56="","","R"&amp;TEXT(ROW()-5,"000"))</f>
        <v/>
      </c>
      <c r="C56" s="14" t="n"/>
      <c r="D56" s="15">
        <f>IF($C56="","",IFERROR(INDEX(rngCadetPIDs,MATCH($C56,rngCadetNames,0)),"?"))</f>
        <v/>
      </c>
      <c r="E56" s="14" t="n"/>
      <c r="F56" s="14" t="n"/>
      <c r="G56" s="16" t="n"/>
      <c r="H56" s="14" t="n"/>
      <c r="I56" s="16" t="n"/>
      <c r="J56" s="14" t="n"/>
      <c r="K56" s="14" t="n"/>
      <c r="L56" s="16" t="n"/>
      <c r="M56" s="14" t="n"/>
      <c r="N56" s="14" t="n"/>
      <c r="O56" s="14" t="n"/>
    </row>
    <row r="57">
      <c r="B57" s="15">
        <f>IF($C57="","","R"&amp;TEXT(ROW()-5,"000"))</f>
        <v/>
      </c>
      <c r="C57" s="14" t="n"/>
      <c r="D57" s="15">
        <f>IF($C57="","",IFERROR(INDEX(rngCadetPIDs,MATCH($C57,rngCadetNames,0)),"?"))</f>
        <v/>
      </c>
      <c r="E57" s="14" t="n"/>
      <c r="F57" s="14" t="n"/>
      <c r="G57" s="16" t="n"/>
      <c r="H57" s="14" t="n"/>
      <c r="I57" s="16" t="n"/>
      <c r="J57" s="14" t="n"/>
      <c r="K57" s="14" t="n"/>
      <c r="L57" s="16" t="n"/>
      <c r="M57" s="14" t="n"/>
      <c r="N57" s="14" t="n"/>
      <c r="O57" s="14" t="n"/>
    </row>
    <row r="58">
      <c r="B58" s="15">
        <f>IF($C58="","","R"&amp;TEXT(ROW()-5,"000"))</f>
        <v/>
      </c>
      <c r="C58" s="14" t="n"/>
      <c r="D58" s="15">
        <f>IF($C58="","",IFERROR(INDEX(rngCadetPIDs,MATCH($C58,rngCadetNames,0)),"?"))</f>
        <v/>
      </c>
      <c r="E58" s="14" t="n"/>
      <c r="F58" s="14" t="n"/>
      <c r="G58" s="16" t="n"/>
      <c r="H58" s="14" t="n"/>
      <c r="I58" s="16" t="n"/>
      <c r="J58" s="14" t="n"/>
      <c r="K58" s="14" t="n"/>
      <c r="L58" s="16" t="n"/>
      <c r="M58" s="14" t="n"/>
      <c r="N58" s="14" t="n"/>
      <c r="O58" s="14" t="n"/>
    </row>
    <row r="59">
      <c r="B59" s="15">
        <f>IF($C59="","","R"&amp;TEXT(ROW()-5,"000"))</f>
        <v/>
      </c>
      <c r="C59" s="14" t="n"/>
      <c r="D59" s="15">
        <f>IF($C59="","",IFERROR(INDEX(rngCadetPIDs,MATCH($C59,rngCadetNames,0)),"?"))</f>
        <v/>
      </c>
      <c r="E59" s="14" t="n"/>
      <c r="F59" s="14" t="n"/>
      <c r="G59" s="16" t="n"/>
      <c r="H59" s="14" t="n"/>
      <c r="I59" s="16" t="n"/>
      <c r="J59" s="14" t="n"/>
      <c r="K59" s="14" t="n"/>
      <c r="L59" s="16" t="n"/>
      <c r="M59" s="14" t="n"/>
      <c r="N59" s="14" t="n"/>
      <c r="O59" s="14" t="n"/>
    </row>
    <row r="60">
      <c r="B60" s="15">
        <f>IF($C60="","","R"&amp;TEXT(ROW()-5,"000"))</f>
        <v/>
      </c>
      <c r="C60" s="14" t="n"/>
      <c r="D60" s="15">
        <f>IF($C60="","",IFERROR(INDEX(rngCadetPIDs,MATCH($C60,rngCadetNames,0)),"?"))</f>
        <v/>
      </c>
      <c r="E60" s="14" t="n"/>
      <c r="F60" s="14" t="n"/>
      <c r="G60" s="16" t="n"/>
      <c r="H60" s="14" t="n"/>
      <c r="I60" s="16" t="n"/>
      <c r="J60" s="14" t="n"/>
      <c r="K60" s="14" t="n"/>
      <c r="L60" s="16" t="n"/>
      <c r="M60" s="14" t="n"/>
      <c r="N60" s="14" t="n"/>
      <c r="O60" s="14" t="n"/>
    </row>
    <row r="61">
      <c r="B61" s="15">
        <f>IF($C61="","","R"&amp;TEXT(ROW()-5,"000"))</f>
        <v/>
      </c>
      <c r="C61" s="14" t="n"/>
      <c r="D61" s="15">
        <f>IF($C61="","",IFERROR(INDEX(rngCadetPIDs,MATCH($C61,rngCadetNames,0)),"?"))</f>
        <v/>
      </c>
      <c r="E61" s="14" t="n"/>
      <c r="F61" s="14" t="n"/>
      <c r="G61" s="16" t="n"/>
      <c r="H61" s="14" t="n"/>
      <c r="I61" s="16" t="n"/>
      <c r="J61" s="14" t="n"/>
      <c r="K61" s="14" t="n"/>
      <c r="L61" s="16" t="n"/>
      <c r="M61" s="14" t="n"/>
      <c r="N61" s="14" t="n"/>
      <c r="O61" s="14" t="n"/>
    </row>
    <row r="62">
      <c r="B62" s="15">
        <f>IF($C62="","","R"&amp;TEXT(ROW()-5,"000"))</f>
        <v/>
      </c>
      <c r="C62" s="14" t="n"/>
      <c r="D62" s="15">
        <f>IF($C62="","",IFERROR(INDEX(rngCadetPIDs,MATCH($C62,rngCadetNames,0)),"?"))</f>
        <v/>
      </c>
      <c r="E62" s="14" t="n"/>
      <c r="F62" s="14" t="n"/>
      <c r="G62" s="16" t="n"/>
      <c r="H62" s="14" t="n"/>
      <c r="I62" s="16" t="n"/>
      <c r="J62" s="14" t="n"/>
      <c r="K62" s="14" t="n"/>
      <c r="L62" s="16" t="n"/>
      <c r="M62" s="14" t="n"/>
      <c r="N62" s="14" t="n"/>
      <c r="O62" s="14" t="n"/>
    </row>
    <row r="63">
      <c r="B63" s="15">
        <f>IF($C63="","","R"&amp;TEXT(ROW()-5,"000"))</f>
        <v/>
      </c>
      <c r="C63" s="14" t="n"/>
      <c r="D63" s="15">
        <f>IF($C63="","",IFERROR(INDEX(rngCadetPIDs,MATCH($C63,rngCadetNames,0)),"?"))</f>
        <v/>
      </c>
      <c r="E63" s="14" t="n"/>
      <c r="F63" s="14" t="n"/>
      <c r="G63" s="16" t="n"/>
      <c r="H63" s="14" t="n"/>
      <c r="I63" s="16" t="n"/>
      <c r="J63" s="14" t="n"/>
      <c r="K63" s="14" t="n"/>
      <c r="L63" s="16" t="n"/>
      <c r="M63" s="14" t="n"/>
      <c r="N63" s="14" t="n"/>
      <c r="O63" s="14" t="n"/>
    </row>
    <row r="64">
      <c r="B64" s="15">
        <f>IF($C64="","","R"&amp;TEXT(ROW()-5,"000"))</f>
        <v/>
      </c>
      <c r="C64" s="14" t="n"/>
      <c r="D64" s="15">
        <f>IF($C64="","",IFERROR(INDEX(rngCadetPIDs,MATCH($C64,rngCadetNames,0)),"?"))</f>
        <v/>
      </c>
      <c r="E64" s="14" t="n"/>
      <c r="F64" s="14" t="n"/>
      <c r="G64" s="16" t="n"/>
      <c r="H64" s="14" t="n"/>
      <c r="I64" s="16" t="n"/>
      <c r="J64" s="14" t="n"/>
      <c r="K64" s="14" t="n"/>
      <c r="L64" s="16" t="n"/>
      <c r="M64" s="14" t="n"/>
      <c r="N64" s="14" t="n"/>
      <c r="O64" s="14" t="n"/>
    </row>
    <row r="65">
      <c r="B65" s="15">
        <f>IF($C65="","","R"&amp;TEXT(ROW()-5,"000"))</f>
        <v/>
      </c>
      <c r="C65" s="14" t="n"/>
      <c r="D65" s="15">
        <f>IF($C65="","",IFERROR(INDEX(rngCadetPIDs,MATCH($C65,rngCadetNames,0)),"?"))</f>
        <v/>
      </c>
      <c r="E65" s="14" t="n"/>
      <c r="F65" s="14" t="n"/>
      <c r="G65" s="16" t="n"/>
      <c r="H65" s="14" t="n"/>
      <c r="I65" s="16" t="n"/>
      <c r="J65" s="14" t="n"/>
      <c r="K65" s="14" t="n"/>
      <c r="L65" s="16" t="n"/>
      <c r="M65" s="14" t="n"/>
      <c r="N65" s="14" t="n"/>
      <c r="O65" s="14" t="n"/>
    </row>
    <row r="66">
      <c r="B66" s="15">
        <f>IF($C66="","","R"&amp;TEXT(ROW()-5,"000"))</f>
        <v/>
      </c>
      <c r="C66" s="14" t="n"/>
      <c r="D66" s="15">
        <f>IF($C66="","",IFERROR(INDEX(rngCadetPIDs,MATCH($C66,rngCadetNames,0)),"?"))</f>
        <v/>
      </c>
      <c r="E66" s="14" t="n"/>
      <c r="F66" s="14" t="n"/>
      <c r="G66" s="16" t="n"/>
      <c r="H66" s="14" t="n"/>
      <c r="I66" s="16" t="n"/>
      <c r="J66" s="14" t="n"/>
      <c r="K66" s="14" t="n"/>
      <c r="L66" s="16" t="n"/>
      <c r="M66" s="14" t="n"/>
      <c r="N66" s="14" t="n"/>
      <c r="O66" s="14" t="n"/>
    </row>
    <row r="67">
      <c r="B67" s="15">
        <f>IF($C67="","","R"&amp;TEXT(ROW()-5,"000"))</f>
        <v/>
      </c>
      <c r="C67" s="14" t="n"/>
      <c r="D67" s="15">
        <f>IF($C67="","",IFERROR(INDEX(rngCadetPIDs,MATCH($C67,rngCadetNames,0)),"?"))</f>
        <v/>
      </c>
      <c r="E67" s="14" t="n"/>
      <c r="F67" s="14" t="n"/>
      <c r="G67" s="16" t="n"/>
      <c r="H67" s="14" t="n"/>
      <c r="I67" s="16" t="n"/>
      <c r="J67" s="14" t="n"/>
      <c r="K67" s="14" t="n"/>
      <c r="L67" s="16" t="n"/>
      <c r="M67" s="14" t="n"/>
      <c r="N67" s="14" t="n"/>
      <c r="O67" s="14" t="n"/>
    </row>
    <row r="68">
      <c r="B68" s="15">
        <f>IF($C68="","","R"&amp;TEXT(ROW()-5,"000"))</f>
        <v/>
      </c>
      <c r="C68" s="14" t="n"/>
      <c r="D68" s="15">
        <f>IF($C68="","",IFERROR(INDEX(rngCadetPIDs,MATCH($C68,rngCadetNames,0)),"?"))</f>
        <v/>
      </c>
      <c r="E68" s="14" t="n"/>
      <c r="F68" s="14" t="n"/>
      <c r="G68" s="16" t="n"/>
      <c r="H68" s="14" t="n"/>
      <c r="I68" s="16" t="n"/>
      <c r="J68" s="14" t="n"/>
      <c r="K68" s="14" t="n"/>
      <c r="L68" s="16" t="n"/>
      <c r="M68" s="14" t="n"/>
      <c r="N68" s="14" t="n"/>
      <c r="O68" s="14" t="n"/>
    </row>
    <row r="69">
      <c r="B69" s="15">
        <f>IF($C69="","","R"&amp;TEXT(ROW()-5,"000"))</f>
        <v/>
      </c>
      <c r="C69" s="14" t="n"/>
      <c r="D69" s="15">
        <f>IF($C69="","",IFERROR(INDEX(rngCadetPIDs,MATCH($C69,rngCadetNames,0)),"?"))</f>
        <v/>
      </c>
      <c r="E69" s="14" t="n"/>
      <c r="F69" s="14" t="n"/>
      <c r="G69" s="16" t="n"/>
      <c r="H69" s="14" t="n"/>
      <c r="I69" s="16" t="n"/>
      <c r="J69" s="14" t="n"/>
      <c r="K69" s="14" t="n"/>
      <c r="L69" s="16" t="n"/>
      <c r="M69" s="14" t="n"/>
      <c r="N69" s="14" t="n"/>
      <c r="O69" s="14" t="n"/>
    </row>
    <row r="70">
      <c r="B70" s="15">
        <f>IF($C70="","","R"&amp;TEXT(ROW()-5,"000"))</f>
        <v/>
      </c>
      <c r="C70" s="14" t="n"/>
      <c r="D70" s="15">
        <f>IF($C70="","",IFERROR(INDEX(rngCadetPIDs,MATCH($C70,rngCadetNames,0)),"?"))</f>
        <v/>
      </c>
      <c r="E70" s="14" t="n"/>
      <c r="F70" s="14" t="n"/>
      <c r="G70" s="16" t="n"/>
      <c r="H70" s="14" t="n"/>
      <c r="I70" s="16" t="n"/>
      <c r="J70" s="14" t="n"/>
      <c r="K70" s="14" t="n"/>
      <c r="L70" s="16" t="n"/>
      <c r="M70" s="14" t="n"/>
      <c r="N70" s="14" t="n"/>
      <c r="O70" s="14" t="n"/>
    </row>
    <row r="71">
      <c r="B71" s="15">
        <f>IF($C71="","","R"&amp;TEXT(ROW()-5,"000"))</f>
        <v/>
      </c>
      <c r="C71" s="14" t="n"/>
      <c r="D71" s="15">
        <f>IF($C71="","",IFERROR(INDEX(rngCadetPIDs,MATCH($C71,rngCadetNames,0)),"?"))</f>
        <v/>
      </c>
      <c r="E71" s="14" t="n"/>
      <c r="F71" s="14" t="n"/>
      <c r="G71" s="16" t="n"/>
      <c r="H71" s="14" t="n"/>
      <c r="I71" s="16" t="n"/>
      <c r="J71" s="14" t="n"/>
      <c r="K71" s="14" t="n"/>
      <c r="L71" s="16" t="n"/>
      <c r="M71" s="14" t="n"/>
      <c r="N71" s="14" t="n"/>
      <c r="O71" s="14" t="n"/>
    </row>
    <row r="72">
      <c r="B72" s="15">
        <f>IF($C72="","","R"&amp;TEXT(ROW()-5,"000"))</f>
        <v/>
      </c>
      <c r="C72" s="14" t="n"/>
      <c r="D72" s="15">
        <f>IF($C72="","",IFERROR(INDEX(rngCadetPIDs,MATCH($C72,rngCadetNames,0)),"?"))</f>
        <v/>
      </c>
      <c r="E72" s="14" t="n"/>
      <c r="F72" s="14" t="n"/>
      <c r="G72" s="16" t="n"/>
      <c r="H72" s="14" t="n"/>
      <c r="I72" s="16" t="n"/>
      <c r="J72" s="14" t="n"/>
      <c r="K72" s="14" t="n"/>
      <c r="L72" s="16" t="n"/>
      <c r="M72" s="14" t="n"/>
      <c r="N72" s="14" t="n"/>
      <c r="O72" s="14" t="n"/>
    </row>
    <row r="73">
      <c r="B73" s="15">
        <f>IF($C73="","","R"&amp;TEXT(ROW()-5,"000"))</f>
        <v/>
      </c>
      <c r="C73" s="14" t="n"/>
      <c r="D73" s="15">
        <f>IF($C73="","",IFERROR(INDEX(rngCadetPIDs,MATCH($C73,rngCadetNames,0)),"?"))</f>
        <v/>
      </c>
      <c r="E73" s="14" t="n"/>
      <c r="F73" s="14" t="n"/>
      <c r="G73" s="16" t="n"/>
      <c r="H73" s="14" t="n"/>
      <c r="I73" s="16" t="n"/>
      <c r="J73" s="14" t="n"/>
      <c r="K73" s="14" t="n"/>
      <c r="L73" s="16" t="n"/>
      <c r="M73" s="14" t="n"/>
      <c r="N73" s="14" t="n"/>
      <c r="O73" s="14" t="n"/>
    </row>
    <row r="74">
      <c r="B74" s="15">
        <f>IF($C74="","","R"&amp;TEXT(ROW()-5,"000"))</f>
        <v/>
      </c>
      <c r="C74" s="14" t="n"/>
      <c r="D74" s="15">
        <f>IF($C74="","",IFERROR(INDEX(rngCadetPIDs,MATCH($C74,rngCadetNames,0)),"?"))</f>
        <v/>
      </c>
      <c r="E74" s="14" t="n"/>
      <c r="F74" s="14" t="n"/>
      <c r="G74" s="16" t="n"/>
      <c r="H74" s="14" t="n"/>
      <c r="I74" s="16" t="n"/>
      <c r="J74" s="14" t="n"/>
      <c r="K74" s="14" t="n"/>
      <c r="L74" s="16" t="n"/>
      <c r="M74" s="14" t="n"/>
      <c r="N74" s="14" t="n"/>
      <c r="O74" s="14" t="n"/>
    </row>
    <row r="75">
      <c r="B75" s="15">
        <f>IF($C75="","","R"&amp;TEXT(ROW()-5,"000"))</f>
        <v/>
      </c>
      <c r="C75" s="14" t="n"/>
      <c r="D75" s="15">
        <f>IF($C75="","",IFERROR(INDEX(rngCadetPIDs,MATCH($C75,rngCadetNames,0)),"?"))</f>
        <v/>
      </c>
      <c r="E75" s="14" t="n"/>
      <c r="F75" s="14" t="n"/>
      <c r="G75" s="16" t="n"/>
      <c r="H75" s="14" t="n"/>
      <c r="I75" s="16" t="n"/>
      <c r="J75" s="14" t="n"/>
      <c r="K75" s="14" t="n"/>
      <c r="L75" s="16" t="n"/>
      <c r="M75" s="14" t="n"/>
      <c r="N75" s="14" t="n"/>
      <c r="O75" s="14" t="n"/>
    </row>
    <row r="76">
      <c r="B76" s="15">
        <f>IF($C76="","","R"&amp;TEXT(ROW()-5,"000"))</f>
        <v/>
      </c>
      <c r="C76" s="14" t="n"/>
      <c r="D76" s="15">
        <f>IF($C76="","",IFERROR(INDEX(rngCadetPIDs,MATCH($C76,rngCadetNames,0)),"?"))</f>
        <v/>
      </c>
      <c r="E76" s="14" t="n"/>
      <c r="F76" s="14" t="n"/>
      <c r="G76" s="16" t="n"/>
      <c r="H76" s="14" t="n"/>
      <c r="I76" s="16" t="n"/>
      <c r="J76" s="14" t="n"/>
      <c r="K76" s="14" t="n"/>
      <c r="L76" s="16" t="n"/>
      <c r="M76" s="14" t="n"/>
      <c r="N76" s="14" t="n"/>
      <c r="O76" s="14" t="n"/>
    </row>
    <row r="77">
      <c r="B77" s="15">
        <f>IF($C77="","","R"&amp;TEXT(ROW()-5,"000"))</f>
        <v/>
      </c>
      <c r="C77" s="14" t="n"/>
      <c r="D77" s="15">
        <f>IF($C77="","",IFERROR(INDEX(rngCadetPIDs,MATCH($C77,rngCadetNames,0)),"?"))</f>
        <v/>
      </c>
      <c r="E77" s="14" t="n"/>
      <c r="F77" s="14" t="n"/>
      <c r="G77" s="16" t="n"/>
      <c r="H77" s="14" t="n"/>
      <c r="I77" s="16" t="n"/>
      <c r="J77" s="14" t="n"/>
      <c r="K77" s="14" t="n"/>
      <c r="L77" s="16" t="n"/>
      <c r="M77" s="14" t="n"/>
      <c r="N77" s="14" t="n"/>
      <c r="O77" s="14" t="n"/>
    </row>
    <row r="78">
      <c r="B78" s="15">
        <f>IF($C78="","","R"&amp;TEXT(ROW()-5,"000"))</f>
        <v/>
      </c>
      <c r="C78" s="14" t="n"/>
      <c r="D78" s="15">
        <f>IF($C78="","",IFERROR(INDEX(rngCadetPIDs,MATCH($C78,rngCadetNames,0)),"?"))</f>
        <v/>
      </c>
      <c r="E78" s="14" t="n"/>
      <c r="F78" s="14" t="n"/>
      <c r="G78" s="16" t="n"/>
      <c r="H78" s="14" t="n"/>
      <c r="I78" s="16" t="n"/>
      <c r="J78" s="14" t="n"/>
      <c r="K78" s="14" t="n"/>
      <c r="L78" s="16" t="n"/>
      <c r="M78" s="14" t="n"/>
      <c r="N78" s="14" t="n"/>
      <c r="O78" s="14" t="n"/>
    </row>
    <row r="79">
      <c r="B79" s="15">
        <f>IF($C79="","","R"&amp;TEXT(ROW()-5,"000"))</f>
        <v/>
      </c>
      <c r="C79" s="14" t="n"/>
      <c r="D79" s="15">
        <f>IF($C79="","",IFERROR(INDEX(rngCadetPIDs,MATCH($C79,rngCadetNames,0)),"?"))</f>
        <v/>
      </c>
      <c r="E79" s="14" t="n"/>
      <c r="F79" s="14" t="n"/>
      <c r="G79" s="16" t="n"/>
      <c r="H79" s="14" t="n"/>
      <c r="I79" s="16" t="n"/>
      <c r="J79" s="14" t="n"/>
      <c r="K79" s="14" t="n"/>
      <c r="L79" s="16" t="n"/>
      <c r="M79" s="14" t="n"/>
      <c r="N79" s="14" t="n"/>
      <c r="O79" s="14" t="n"/>
    </row>
    <row r="80">
      <c r="B80" s="15">
        <f>IF($C80="","","R"&amp;TEXT(ROW()-5,"000"))</f>
        <v/>
      </c>
      <c r="C80" s="14" t="n"/>
      <c r="D80" s="15">
        <f>IF($C80="","",IFERROR(INDEX(rngCadetPIDs,MATCH($C80,rngCadetNames,0)),"?"))</f>
        <v/>
      </c>
      <c r="E80" s="14" t="n"/>
      <c r="F80" s="14" t="n"/>
      <c r="G80" s="16" t="n"/>
      <c r="H80" s="14" t="n"/>
      <c r="I80" s="16" t="n"/>
      <c r="J80" s="14" t="n"/>
      <c r="K80" s="14" t="n"/>
      <c r="L80" s="16" t="n"/>
      <c r="M80" s="14" t="n"/>
      <c r="N80" s="14" t="n"/>
      <c r="O80" s="14" t="n"/>
    </row>
    <row r="81">
      <c r="B81" s="15">
        <f>IF($C81="","","R"&amp;TEXT(ROW()-5,"000"))</f>
        <v/>
      </c>
      <c r="C81" s="14" t="n"/>
      <c r="D81" s="15">
        <f>IF($C81="","",IFERROR(INDEX(rngCadetPIDs,MATCH($C81,rngCadetNames,0)),"?"))</f>
        <v/>
      </c>
      <c r="E81" s="14" t="n"/>
      <c r="F81" s="14" t="n"/>
      <c r="G81" s="16" t="n"/>
      <c r="H81" s="14" t="n"/>
      <c r="I81" s="16" t="n"/>
      <c r="J81" s="14" t="n"/>
      <c r="K81" s="14" t="n"/>
      <c r="L81" s="16" t="n"/>
      <c r="M81" s="14" t="n"/>
      <c r="N81" s="14" t="n"/>
      <c r="O81" s="14" t="n"/>
    </row>
    <row r="82">
      <c r="B82" s="15">
        <f>IF($C82="","","R"&amp;TEXT(ROW()-5,"000"))</f>
        <v/>
      </c>
      <c r="C82" s="14" t="n"/>
      <c r="D82" s="15">
        <f>IF($C82="","",IFERROR(INDEX(rngCadetPIDs,MATCH($C82,rngCadetNames,0)),"?"))</f>
        <v/>
      </c>
      <c r="E82" s="14" t="n"/>
      <c r="F82" s="14" t="n"/>
      <c r="G82" s="16" t="n"/>
      <c r="H82" s="14" t="n"/>
      <c r="I82" s="16" t="n"/>
      <c r="J82" s="14" t="n"/>
      <c r="K82" s="14" t="n"/>
      <c r="L82" s="16" t="n"/>
      <c r="M82" s="14" t="n"/>
      <c r="N82" s="14" t="n"/>
      <c r="O82" s="14" t="n"/>
    </row>
    <row r="83">
      <c r="B83" s="15">
        <f>IF($C83="","","R"&amp;TEXT(ROW()-5,"000"))</f>
        <v/>
      </c>
      <c r="C83" s="14" t="n"/>
      <c r="D83" s="15">
        <f>IF($C83="","",IFERROR(INDEX(rngCadetPIDs,MATCH($C83,rngCadetNames,0)),"?"))</f>
        <v/>
      </c>
      <c r="E83" s="14" t="n"/>
      <c r="F83" s="14" t="n"/>
      <c r="G83" s="16" t="n"/>
      <c r="H83" s="14" t="n"/>
      <c r="I83" s="16" t="n"/>
      <c r="J83" s="14" t="n"/>
      <c r="K83" s="14" t="n"/>
      <c r="L83" s="16" t="n"/>
      <c r="M83" s="14" t="n"/>
      <c r="N83" s="14" t="n"/>
      <c r="O83" s="14" t="n"/>
    </row>
    <row r="84">
      <c r="B84" s="15">
        <f>IF($C84="","","R"&amp;TEXT(ROW()-5,"000"))</f>
        <v/>
      </c>
      <c r="C84" s="14" t="n"/>
      <c r="D84" s="15">
        <f>IF($C84="","",IFERROR(INDEX(rngCadetPIDs,MATCH($C84,rngCadetNames,0)),"?"))</f>
        <v/>
      </c>
      <c r="E84" s="14" t="n"/>
      <c r="F84" s="14" t="n"/>
      <c r="G84" s="16" t="n"/>
      <c r="H84" s="14" t="n"/>
      <c r="I84" s="16" t="n"/>
      <c r="J84" s="14" t="n"/>
      <c r="K84" s="14" t="n"/>
      <c r="L84" s="16" t="n"/>
      <c r="M84" s="14" t="n"/>
      <c r="N84" s="14" t="n"/>
      <c r="O84" s="14" t="n"/>
    </row>
    <row r="85">
      <c r="B85" s="15">
        <f>IF($C85="","","R"&amp;TEXT(ROW()-5,"000"))</f>
        <v/>
      </c>
      <c r="C85" s="14" t="n"/>
      <c r="D85" s="15">
        <f>IF($C85="","",IFERROR(INDEX(rngCadetPIDs,MATCH($C85,rngCadetNames,0)),"?"))</f>
        <v/>
      </c>
      <c r="E85" s="14" t="n"/>
      <c r="F85" s="14" t="n"/>
      <c r="G85" s="16" t="n"/>
      <c r="H85" s="14" t="n"/>
      <c r="I85" s="16" t="n"/>
      <c r="J85" s="14" t="n"/>
      <c r="K85" s="14" t="n"/>
      <c r="L85" s="16" t="n"/>
      <c r="M85" s="14" t="n"/>
      <c r="N85" s="14" t="n"/>
      <c r="O85" s="14" t="n"/>
    </row>
    <row r="86">
      <c r="B86" s="15">
        <f>IF($C86="","","R"&amp;TEXT(ROW()-5,"000"))</f>
        <v/>
      </c>
      <c r="C86" s="14" t="n"/>
      <c r="D86" s="15">
        <f>IF($C86="","",IFERROR(INDEX(rngCadetPIDs,MATCH($C86,rngCadetNames,0)),"?"))</f>
        <v/>
      </c>
      <c r="E86" s="14" t="n"/>
      <c r="F86" s="14" t="n"/>
      <c r="G86" s="16" t="n"/>
      <c r="H86" s="14" t="n"/>
      <c r="I86" s="16" t="n"/>
      <c r="J86" s="14" t="n"/>
      <c r="K86" s="14" t="n"/>
      <c r="L86" s="16" t="n"/>
      <c r="M86" s="14" t="n"/>
      <c r="N86" s="14" t="n"/>
      <c r="O86" s="14" t="n"/>
    </row>
    <row r="87">
      <c r="B87" s="15">
        <f>IF($C87="","","R"&amp;TEXT(ROW()-5,"000"))</f>
        <v/>
      </c>
      <c r="C87" s="14" t="n"/>
      <c r="D87" s="15">
        <f>IF($C87="","",IFERROR(INDEX(rngCadetPIDs,MATCH($C87,rngCadetNames,0)),"?"))</f>
        <v/>
      </c>
      <c r="E87" s="14" t="n"/>
      <c r="F87" s="14" t="n"/>
      <c r="G87" s="16" t="n"/>
      <c r="H87" s="14" t="n"/>
      <c r="I87" s="16" t="n"/>
      <c r="J87" s="14" t="n"/>
      <c r="K87" s="14" t="n"/>
      <c r="L87" s="16" t="n"/>
      <c r="M87" s="14" t="n"/>
      <c r="N87" s="14" t="n"/>
      <c r="O87" s="14" t="n"/>
    </row>
    <row r="88">
      <c r="B88" s="15">
        <f>IF($C88="","","R"&amp;TEXT(ROW()-5,"000"))</f>
        <v/>
      </c>
      <c r="C88" s="14" t="n"/>
      <c r="D88" s="15">
        <f>IF($C88="","",IFERROR(INDEX(rngCadetPIDs,MATCH($C88,rngCadetNames,0)),"?"))</f>
        <v/>
      </c>
      <c r="E88" s="14" t="n"/>
      <c r="F88" s="14" t="n"/>
      <c r="G88" s="16" t="n"/>
      <c r="H88" s="14" t="n"/>
      <c r="I88" s="16" t="n"/>
      <c r="J88" s="14" t="n"/>
      <c r="K88" s="14" t="n"/>
      <c r="L88" s="16" t="n"/>
      <c r="M88" s="14" t="n"/>
      <c r="N88" s="14" t="n"/>
      <c r="O88" s="14" t="n"/>
    </row>
    <row r="89">
      <c r="B89" s="15">
        <f>IF($C89="","","R"&amp;TEXT(ROW()-5,"000"))</f>
        <v/>
      </c>
      <c r="C89" s="14" t="n"/>
      <c r="D89" s="15">
        <f>IF($C89="","",IFERROR(INDEX(rngCadetPIDs,MATCH($C89,rngCadetNames,0)),"?"))</f>
        <v/>
      </c>
      <c r="E89" s="14" t="n"/>
      <c r="F89" s="14" t="n"/>
      <c r="G89" s="16" t="n"/>
      <c r="H89" s="14" t="n"/>
      <c r="I89" s="16" t="n"/>
      <c r="J89" s="14" t="n"/>
      <c r="K89" s="14" t="n"/>
      <c r="L89" s="16" t="n"/>
      <c r="M89" s="14" t="n"/>
      <c r="N89" s="14" t="n"/>
      <c r="O89" s="14" t="n"/>
    </row>
    <row r="90">
      <c r="B90" s="15">
        <f>IF($C90="","","R"&amp;TEXT(ROW()-5,"000"))</f>
        <v/>
      </c>
      <c r="C90" s="14" t="n"/>
      <c r="D90" s="15">
        <f>IF($C90="","",IFERROR(INDEX(rngCadetPIDs,MATCH($C90,rngCadetNames,0)),"?"))</f>
        <v/>
      </c>
      <c r="E90" s="14" t="n"/>
      <c r="F90" s="14" t="n"/>
      <c r="G90" s="16" t="n"/>
      <c r="H90" s="14" t="n"/>
      <c r="I90" s="16" t="n"/>
      <c r="J90" s="14" t="n"/>
      <c r="K90" s="14" t="n"/>
      <c r="L90" s="16" t="n"/>
      <c r="M90" s="14" t="n"/>
      <c r="N90" s="14" t="n"/>
      <c r="O90" s="14" t="n"/>
    </row>
    <row r="91">
      <c r="B91" s="15">
        <f>IF($C91="","","R"&amp;TEXT(ROW()-5,"000"))</f>
        <v/>
      </c>
      <c r="C91" s="14" t="n"/>
      <c r="D91" s="15">
        <f>IF($C91="","",IFERROR(INDEX(rngCadetPIDs,MATCH($C91,rngCadetNames,0)),"?"))</f>
        <v/>
      </c>
      <c r="E91" s="14" t="n"/>
      <c r="F91" s="14" t="n"/>
      <c r="G91" s="16" t="n"/>
      <c r="H91" s="14" t="n"/>
      <c r="I91" s="16" t="n"/>
      <c r="J91" s="14" t="n"/>
      <c r="K91" s="14" t="n"/>
      <c r="L91" s="16" t="n"/>
      <c r="M91" s="14" t="n"/>
      <c r="N91" s="14" t="n"/>
      <c r="O91" s="14" t="n"/>
    </row>
    <row r="92">
      <c r="B92" s="15">
        <f>IF($C92="","","R"&amp;TEXT(ROW()-5,"000"))</f>
        <v/>
      </c>
      <c r="C92" s="14" t="n"/>
      <c r="D92" s="15">
        <f>IF($C92="","",IFERROR(INDEX(rngCadetPIDs,MATCH($C92,rngCadetNames,0)),"?"))</f>
        <v/>
      </c>
      <c r="E92" s="14" t="n"/>
      <c r="F92" s="14" t="n"/>
      <c r="G92" s="16" t="n"/>
      <c r="H92" s="14" t="n"/>
      <c r="I92" s="16" t="n"/>
      <c r="J92" s="14" t="n"/>
      <c r="K92" s="14" t="n"/>
      <c r="L92" s="16" t="n"/>
      <c r="M92" s="14" t="n"/>
      <c r="N92" s="14" t="n"/>
      <c r="O92" s="14" t="n"/>
    </row>
    <row r="93">
      <c r="B93" s="15">
        <f>IF($C93="","","R"&amp;TEXT(ROW()-5,"000"))</f>
        <v/>
      </c>
      <c r="C93" s="14" t="n"/>
      <c r="D93" s="15">
        <f>IF($C93="","",IFERROR(INDEX(rngCadetPIDs,MATCH($C93,rngCadetNames,0)),"?"))</f>
        <v/>
      </c>
      <c r="E93" s="14" t="n"/>
      <c r="F93" s="14" t="n"/>
      <c r="G93" s="16" t="n"/>
      <c r="H93" s="14" t="n"/>
      <c r="I93" s="16" t="n"/>
      <c r="J93" s="14" t="n"/>
      <c r="K93" s="14" t="n"/>
      <c r="L93" s="16" t="n"/>
      <c r="M93" s="14" t="n"/>
      <c r="N93" s="14" t="n"/>
      <c r="O93" s="14" t="n"/>
    </row>
    <row r="94">
      <c r="B94" s="15">
        <f>IF($C94="","","R"&amp;TEXT(ROW()-5,"000"))</f>
        <v/>
      </c>
      <c r="C94" s="14" t="n"/>
      <c r="D94" s="15">
        <f>IF($C94="","",IFERROR(INDEX(rngCadetPIDs,MATCH($C94,rngCadetNames,0)),"?"))</f>
        <v/>
      </c>
      <c r="E94" s="14" t="n"/>
      <c r="F94" s="14" t="n"/>
      <c r="G94" s="16" t="n"/>
      <c r="H94" s="14" t="n"/>
      <c r="I94" s="16" t="n"/>
      <c r="J94" s="14" t="n"/>
      <c r="K94" s="14" t="n"/>
      <c r="L94" s="16" t="n"/>
      <c r="M94" s="14" t="n"/>
      <c r="N94" s="14" t="n"/>
      <c r="O94" s="14" t="n"/>
    </row>
    <row r="95">
      <c r="B95" s="15">
        <f>IF($C95="","","R"&amp;TEXT(ROW()-5,"000"))</f>
        <v/>
      </c>
      <c r="C95" s="14" t="n"/>
      <c r="D95" s="15">
        <f>IF($C95="","",IFERROR(INDEX(rngCadetPIDs,MATCH($C95,rngCadetNames,0)),"?"))</f>
        <v/>
      </c>
      <c r="E95" s="14" t="n"/>
      <c r="F95" s="14" t="n"/>
      <c r="G95" s="16" t="n"/>
      <c r="H95" s="14" t="n"/>
      <c r="I95" s="16" t="n"/>
      <c r="J95" s="14" t="n"/>
      <c r="K95" s="14" t="n"/>
      <c r="L95" s="16" t="n"/>
      <c r="M95" s="14" t="n"/>
      <c r="N95" s="14" t="n"/>
      <c r="O95" s="14" t="n"/>
    </row>
    <row r="96">
      <c r="B96" s="15">
        <f>IF($C96="","","R"&amp;TEXT(ROW()-5,"000"))</f>
        <v/>
      </c>
      <c r="C96" s="14" t="n"/>
      <c r="D96" s="15">
        <f>IF($C96="","",IFERROR(INDEX(rngCadetPIDs,MATCH($C96,rngCadetNames,0)),"?"))</f>
        <v/>
      </c>
      <c r="E96" s="14" t="n"/>
      <c r="F96" s="14" t="n"/>
      <c r="G96" s="16" t="n"/>
      <c r="H96" s="14" t="n"/>
      <c r="I96" s="16" t="n"/>
      <c r="J96" s="14" t="n"/>
      <c r="K96" s="14" t="n"/>
      <c r="L96" s="16" t="n"/>
      <c r="M96" s="14" t="n"/>
      <c r="N96" s="14" t="n"/>
      <c r="O96" s="14" t="n"/>
    </row>
    <row r="97">
      <c r="B97" s="15">
        <f>IF($C97="","","R"&amp;TEXT(ROW()-5,"000"))</f>
        <v/>
      </c>
      <c r="C97" s="14" t="n"/>
      <c r="D97" s="15">
        <f>IF($C97="","",IFERROR(INDEX(rngCadetPIDs,MATCH($C97,rngCadetNames,0)),"?"))</f>
        <v/>
      </c>
      <c r="E97" s="14" t="n"/>
      <c r="F97" s="14" t="n"/>
      <c r="G97" s="16" t="n"/>
      <c r="H97" s="14" t="n"/>
      <c r="I97" s="16" t="n"/>
      <c r="J97" s="14" t="n"/>
      <c r="K97" s="14" t="n"/>
      <c r="L97" s="16" t="n"/>
      <c r="M97" s="14" t="n"/>
      <c r="N97" s="14" t="n"/>
      <c r="O97" s="14" t="n"/>
    </row>
    <row r="98">
      <c r="B98" s="15">
        <f>IF($C98="","","R"&amp;TEXT(ROW()-5,"000"))</f>
        <v/>
      </c>
      <c r="C98" s="14" t="n"/>
      <c r="D98" s="15">
        <f>IF($C98="","",IFERROR(INDEX(rngCadetPIDs,MATCH($C98,rngCadetNames,0)),"?"))</f>
        <v/>
      </c>
      <c r="E98" s="14" t="n"/>
      <c r="F98" s="14" t="n"/>
      <c r="G98" s="16" t="n"/>
      <c r="H98" s="14" t="n"/>
      <c r="I98" s="16" t="n"/>
      <c r="J98" s="14" t="n"/>
      <c r="K98" s="14" t="n"/>
      <c r="L98" s="16" t="n"/>
      <c r="M98" s="14" t="n"/>
      <c r="N98" s="14" t="n"/>
      <c r="O98" s="14" t="n"/>
    </row>
    <row r="99">
      <c r="B99" s="15">
        <f>IF($C99="","","R"&amp;TEXT(ROW()-5,"000"))</f>
        <v/>
      </c>
      <c r="C99" s="14" t="n"/>
      <c r="D99" s="15">
        <f>IF($C99="","",IFERROR(INDEX(rngCadetPIDs,MATCH($C99,rngCadetNames,0)),"?"))</f>
        <v/>
      </c>
      <c r="E99" s="14" t="n"/>
      <c r="F99" s="14" t="n"/>
      <c r="G99" s="16" t="n"/>
      <c r="H99" s="14" t="n"/>
      <c r="I99" s="16" t="n"/>
      <c r="J99" s="14" t="n"/>
      <c r="K99" s="14" t="n"/>
      <c r="L99" s="16" t="n"/>
      <c r="M99" s="14" t="n"/>
      <c r="N99" s="14" t="n"/>
      <c r="O99" s="14" t="n"/>
    </row>
    <row r="100">
      <c r="B100" s="15">
        <f>IF($C100="","","R"&amp;TEXT(ROW()-5,"000"))</f>
        <v/>
      </c>
      <c r="C100" s="14" t="n"/>
      <c r="D100" s="15">
        <f>IF($C100="","",IFERROR(INDEX(rngCadetPIDs,MATCH($C100,rngCadetNames,0)),"?"))</f>
        <v/>
      </c>
      <c r="E100" s="14" t="n"/>
      <c r="F100" s="14" t="n"/>
      <c r="G100" s="16" t="n"/>
      <c r="H100" s="14" t="n"/>
      <c r="I100" s="16" t="n"/>
      <c r="J100" s="14" t="n"/>
      <c r="K100" s="14" t="n"/>
      <c r="L100" s="16" t="n"/>
      <c r="M100" s="14" t="n"/>
      <c r="N100" s="14" t="n"/>
      <c r="O100" s="14" t="n"/>
    </row>
    <row r="101">
      <c r="B101" s="15">
        <f>IF($C101="","","R"&amp;TEXT(ROW()-5,"000"))</f>
        <v/>
      </c>
      <c r="C101" s="14" t="n"/>
      <c r="D101" s="15">
        <f>IF($C101="","",IFERROR(INDEX(rngCadetPIDs,MATCH($C101,rngCadetNames,0)),"?"))</f>
        <v/>
      </c>
      <c r="E101" s="14" t="n"/>
      <c r="F101" s="14" t="n"/>
      <c r="G101" s="16" t="n"/>
      <c r="H101" s="14" t="n"/>
      <c r="I101" s="16" t="n"/>
      <c r="J101" s="14" t="n"/>
      <c r="K101" s="14" t="n"/>
      <c r="L101" s="16" t="n"/>
      <c r="M101" s="14" t="n"/>
      <c r="N101" s="14" t="n"/>
      <c r="O101" s="14" t="n"/>
    </row>
    <row r="102">
      <c r="B102" s="15">
        <f>IF($C102="","","R"&amp;TEXT(ROW()-5,"000"))</f>
        <v/>
      </c>
      <c r="C102" s="14" t="n"/>
      <c r="D102" s="15">
        <f>IF($C102="","",IFERROR(INDEX(rngCadetPIDs,MATCH($C102,rngCadetNames,0)),"?"))</f>
        <v/>
      </c>
      <c r="E102" s="14" t="n"/>
      <c r="F102" s="14" t="n"/>
      <c r="G102" s="16" t="n"/>
      <c r="H102" s="14" t="n"/>
      <c r="I102" s="16" t="n"/>
      <c r="J102" s="14" t="n"/>
      <c r="K102" s="14" t="n"/>
      <c r="L102" s="16" t="n"/>
      <c r="M102" s="14" t="n"/>
      <c r="N102" s="14" t="n"/>
      <c r="O102" s="14" t="n"/>
    </row>
    <row r="103">
      <c r="B103" s="15">
        <f>IF($C103="","","R"&amp;TEXT(ROW()-5,"000"))</f>
        <v/>
      </c>
      <c r="C103" s="14" t="n"/>
      <c r="D103" s="15">
        <f>IF($C103="","",IFERROR(INDEX(rngCadetPIDs,MATCH($C103,rngCadetNames,0)),"?"))</f>
        <v/>
      </c>
      <c r="E103" s="14" t="n"/>
      <c r="F103" s="14" t="n"/>
      <c r="G103" s="16" t="n"/>
      <c r="H103" s="14" t="n"/>
      <c r="I103" s="16" t="n"/>
      <c r="J103" s="14" t="n"/>
      <c r="K103" s="14" t="n"/>
      <c r="L103" s="16" t="n"/>
      <c r="M103" s="14" t="n"/>
      <c r="N103" s="14" t="n"/>
      <c r="O103" s="14" t="n"/>
    </row>
    <row r="104">
      <c r="B104" s="15">
        <f>IF($C104="","","R"&amp;TEXT(ROW()-5,"000"))</f>
        <v/>
      </c>
      <c r="C104" s="14" t="n"/>
      <c r="D104" s="15">
        <f>IF($C104="","",IFERROR(INDEX(rngCadetPIDs,MATCH($C104,rngCadetNames,0)),"?"))</f>
        <v/>
      </c>
      <c r="E104" s="14" t="n"/>
      <c r="F104" s="14" t="n"/>
      <c r="G104" s="16" t="n"/>
      <c r="H104" s="14" t="n"/>
      <c r="I104" s="16" t="n"/>
      <c r="J104" s="14" t="n"/>
      <c r="K104" s="14" t="n"/>
      <c r="L104" s="16" t="n"/>
      <c r="M104" s="14" t="n"/>
      <c r="N104" s="14" t="n"/>
      <c r="O104" s="14" t="n"/>
    </row>
    <row r="105">
      <c r="B105" s="15">
        <f>IF($C105="","","R"&amp;TEXT(ROW()-5,"000"))</f>
        <v/>
      </c>
      <c r="C105" s="14" t="n"/>
      <c r="D105" s="15">
        <f>IF($C105="","",IFERROR(INDEX(rngCadetPIDs,MATCH($C105,rngCadetNames,0)),"?"))</f>
        <v/>
      </c>
      <c r="E105" s="14" t="n"/>
      <c r="F105" s="14" t="n"/>
      <c r="G105" s="16" t="n"/>
      <c r="H105" s="14" t="n"/>
      <c r="I105" s="16" t="n"/>
      <c r="J105" s="14" t="n"/>
      <c r="K105" s="14" t="n"/>
      <c r="L105" s="16" t="n"/>
      <c r="M105" s="14" t="n"/>
      <c r="N105" s="14" t="n"/>
      <c r="O105" s="14"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row r="2"/>
    <row r="3"/>
    <row r="4">
      <c r="B4" s="8" t="inlineStr">
        <is>
          <t>Recorded score of each exam's final attempt (retest cap applied). Red = below 70.</t>
        </is>
      </c>
    </row>
    <row r="5" ht="26" customHeight="1">
      <c r="B5" s="9" t="inlineStr">
        <is>
          <t>PID</t>
        </is>
      </c>
      <c r="C5" s="9" t="inlineStr">
        <is>
          <t>Cadet Name</t>
        </is>
      </c>
      <c r="D5" s="9">
        <f>IF(INDEX(rngEPcode,1)="","",INDEX(rngEPcode,1))</f>
        <v/>
      </c>
      <c r="E5" s="9">
        <f>IF(INDEX(rngEPcode,2)="","",INDEX(rngEPcode,2))</f>
        <v/>
      </c>
      <c r="F5" s="9">
        <f>IF(INDEX(rngEPcode,3)="","",INDEX(rngEPcode,3))</f>
        <v/>
      </c>
      <c r="G5" s="9">
        <f>IF(INDEX(rngEPcode,4)="","",INDEX(rngEPcode,4))</f>
        <v/>
      </c>
      <c r="H5" s="9">
        <f>IF(INDEX(rngEPcode,5)="","",INDEX(rngEPcode,5))</f>
        <v/>
      </c>
      <c r="I5" s="9">
        <f>IF(INDEX(rngEPcode,6)="","",INDEX(rngEPcode,6))</f>
        <v/>
      </c>
      <c r="J5" s="9">
        <f>IF(INDEX(rngEPcode,7)="","",INDEX(rngEPcode,7))</f>
        <v/>
      </c>
      <c r="K5" s="9">
        <f>IF(INDEX(rngEPcode,8)="","",INDEX(rngEPcode,8))</f>
        <v/>
      </c>
      <c r="L5" s="9">
        <f>IF(INDEX(rngEPcode,9)="","",INDEX(rngEPcode,9))</f>
        <v/>
      </c>
      <c r="M5" s="9">
        <f>IF(INDEX(rngEPcode,10)="","",INDEX(rngEPcode,10))</f>
        <v/>
      </c>
      <c r="N5" s="9">
        <f>IF(INDEX(rngEPcode,11)="","",INDEX(rngEPcode,11))</f>
        <v/>
      </c>
      <c r="O5" s="9">
        <f>IF(INDEX(rngEPcode,12)="","",INDEX(rngEPcode,12))</f>
        <v/>
      </c>
      <c r="P5" s="9">
        <f>IF(INDEX(rngEPcode,13)="","",INDEX(rngEPcode,13))</f>
        <v/>
      </c>
      <c r="Q5" s="9">
        <f>IF(INDEX(rngEPcode,14)="","",INDEX(rngEPcode,14))</f>
        <v/>
      </c>
      <c r="R5" s="9">
        <f>IF(INDEX(rngEPcode,15)="","",INDEX(rngEPcode,15))</f>
        <v/>
      </c>
      <c r="S5" s="9">
        <f>IF(INDEX(rngEPcode,16)="","",INDEX(rngEPcode,16))</f>
        <v/>
      </c>
      <c r="T5" s="9">
        <f>IF(INDEX(rngEPcode,17)="","",INDEX(rngEPcode,17))</f>
        <v/>
      </c>
      <c r="U5" s="9">
        <f>IF(INDEX(rngEPcode,18)="","",INDEX(rngEPcode,18))</f>
        <v/>
      </c>
      <c r="V5" s="9">
        <f>IF(INDEX(rngEPcode,19)="","",INDEX(rngEPcode,19))</f>
        <v/>
      </c>
      <c r="W5" s="9">
        <f>IF(INDEX(rngEPcode,20)="","",INDEX(rngEPcode,20))</f>
        <v/>
      </c>
      <c r="X5" s="9">
        <f>IF(INDEX(rngEPcode,21)="","",INDEX(rngEPcode,21))</f>
        <v/>
      </c>
      <c r="Y5" s="9">
        <f>IF(INDEX(rngEPcode,22)="","",INDEX(rngEPcode,22))</f>
        <v/>
      </c>
      <c r="Z5" s="9">
        <f>IF(INDEX(rngEPcode,23)="","",INDEX(rngEPcode,23))</f>
        <v/>
      </c>
      <c r="AA5" s="9">
        <f>IF(INDEX(rngEPcode,24)="","",INDEX(rngEPcode,24))</f>
        <v/>
      </c>
      <c r="AB5" s="9">
        <f>IF(INDEX(rngEPcode,25)="","",INDEX(rngEPcode,25))</f>
        <v/>
      </c>
      <c r="AC5" s="9" t="inlineStr">
        <is>
          <t>Current Grade</t>
        </is>
      </c>
      <c r="AD5" s="9" t="inlineStr">
        <is>
          <t>Rank</t>
        </is>
      </c>
    </row>
    <row r="6">
      <c r="B6" s="15">
        <f>IF(Cadets!$B6="","",Cadets!$B6)</f>
        <v/>
      </c>
      <c r="C6" s="15">
        <f>IF($B6="","",Cadets!$F6)</f>
        <v/>
      </c>
      <c r="D6" s="15">
        <f>IF(OR($B6="",D$5=""),"",IFERROR(SUMIFS(nrES_Rec,nrES_PID,$B6,nrES_Code,D$5,nrES_Final,"Yes"),""))</f>
        <v/>
      </c>
      <c r="E6" s="15">
        <f>IF(OR($B6="",E$5=""),"",IFERROR(SUMIFS(nrES_Rec,nrES_PID,$B6,nrES_Code,E$5,nrES_Final,"Yes"),""))</f>
        <v/>
      </c>
      <c r="F6" s="15">
        <f>IF(OR($B6="",F$5=""),"",IFERROR(SUMIFS(nrES_Rec,nrES_PID,$B6,nrES_Code,F$5,nrES_Final,"Yes"),""))</f>
        <v/>
      </c>
      <c r="G6" s="15">
        <f>IF(OR($B6="",G$5=""),"",IFERROR(SUMIFS(nrES_Rec,nrES_PID,$B6,nrES_Code,G$5,nrES_Final,"Yes"),""))</f>
        <v/>
      </c>
      <c r="H6" s="15">
        <f>IF(OR($B6="",H$5=""),"",IFERROR(SUMIFS(nrES_Rec,nrES_PID,$B6,nrES_Code,H$5,nrES_Final,"Yes"),""))</f>
        <v/>
      </c>
      <c r="I6" s="15">
        <f>IF(OR($B6="",I$5=""),"",IFERROR(SUMIFS(nrES_Rec,nrES_PID,$B6,nrES_Code,I$5,nrES_Final,"Yes"),""))</f>
        <v/>
      </c>
      <c r="J6" s="15">
        <f>IF(OR($B6="",J$5=""),"",IFERROR(SUMIFS(nrES_Rec,nrES_PID,$B6,nrES_Code,J$5,nrES_Final,"Yes"),""))</f>
        <v/>
      </c>
      <c r="K6" s="15">
        <f>IF(OR($B6="",K$5=""),"",IFERROR(SUMIFS(nrES_Rec,nrES_PID,$B6,nrES_Code,K$5,nrES_Final,"Yes"),""))</f>
        <v/>
      </c>
      <c r="L6" s="15">
        <f>IF(OR($B6="",L$5=""),"",IFERROR(SUMIFS(nrES_Rec,nrES_PID,$B6,nrES_Code,L$5,nrES_Final,"Yes"),""))</f>
        <v/>
      </c>
      <c r="M6" s="15">
        <f>IF(OR($B6="",M$5=""),"",IFERROR(SUMIFS(nrES_Rec,nrES_PID,$B6,nrES_Code,M$5,nrES_Final,"Yes"),""))</f>
        <v/>
      </c>
      <c r="N6" s="15">
        <f>IF(OR($B6="",N$5=""),"",IFERROR(SUMIFS(nrES_Rec,nrES_PID,$B6,nrES_Code,N$5,nrES_Final,"Yes"),""))</f>
        <v/>
      </c>
      <c r="O6" s="15">
        <f>IF(OR($B6="",O$5=""),"",IFERROR(SUMIFS(nrES_Rec,nrES_PID,$B6,nrES_Code,O$5,nrES_Final,"Yes"),""))</f>
        <v/>
      </c>
      <c r="P6" s="15">
        <f>IF(OR($B6="",P$5=""),"",IFERROR(SUMIFS(nrES_Rec,nrES_PID,$B6,nrES_Code,P$5,nrES_Final,"Yes"),""))</f>
        <v/>
      </c>
      <c r="Q6" s="15">
        <f>IF(OR($B6="",Q$5=""),"",IFERROR(SUMIFS(nrES_Rec,nrES_PID,$B6,nrES_Code,Q$5,nrES_Final,"Yes"),""))</f>
        <v/>
      </c>
      <c r="R6" s="15">
        <f>IF(OR($B6="",R$5=""),"",IFERROR(SUMIFS(nrES_Rec,nrES_PID,$B6,nrES_Code,R$5,nrES_Final,"Yes"),""))</f>
        <v/>
      </c>
      <c r="S6" s="15">
        <f>IF(OR($B6="",S$5=""),"",IFERROR(SUMIFS(nrES_Rec,nrES_PID,$B6,nrES_Code,S$5,nrES_Final,"Yes"),""))</f>
        <v/>
      </c>
      <c r="T6" s="15">
        <f>IF(OR($B6="",T$5=""),"",IFERROR(SUMIFS(nrES_Rec,nrES_PID,$B6,nrES_Code,T$5,nrES_Final,"Yes"),""))</f>
        <v/>
      </c>
      <c r="U6" s="15">
        <f>IF(OR($B6="",U$5=""),"",IFERROR(SUMIFS(nrES_Rec,nrES_PID,$B6,nrES_Code,U$5,nrES_Final,"Yes"),""))</f>
        <v/>
      </c>
      <c r="V6" s="15">
        <f>IF(OR($B6="",V$5=""),"",IFERROR(SUMIFS(nrES_Rec,nrES_PID,$B6,nrES_Code,V$5,nrES_Final,"Yes"),""))</f>
        <v/>
      </c>
      <c r="W6" s="15">
        <f>IF(OR($B6="",W$5=""),"",IFERROR(SUMIFS(nrES_Rec,nrES_PID,$B6,nrES_Code,W$5,nrES_Final,"Yes"),""))</f>
        <v/>
      </c>
      <c r="X6" s="15">
        <f>IF(OR($B6="",X$5=""),"",IFERROR(SUMIFS(nrES_Rec,nrES_PID,$B6,nrES_Code,X$5,nrES_Final,"Yes"),""))</f>
        <v/>
      </c>
      <c r="Y6" s="15">
        <f>IF(OR($B6="",Y$5=""),"",IFERROR(SUMIFS(nrES_Rec,nrES_PID,$B6,nrES_Code,Y$5,nrES_Final,"Yes"),""))</f>
        <v/>
      </c>
      <c r="Z6" s="15">
        <f>IF(OR($B6="",Z$5=""),"",IFERROR(SUMIFS(nrES_Rec,nrES_PID,$B6,nrES_Code,Z$5,nrES_Final,"Yes"),""))</f>
        <v/>
      </c>
      <c r="AA6" s="15">
        <f>IF(OR($B6="",AA$5=""),"",IFERROR(SUMIFS(nrES_Rec,nrES_PID,$B6,nrES_Code,AA$5,nrES_Final,"Yes"),""))</f>
        <v/>
      </c>
      <c r="AB6" s="15">
        <f>IF(OR($B6="",AB$5=""),"",IFERROR(SUMIFS(nrES_Rec,nrES_PID,$B6,nrES_Code,AB$5,nrES_Final,"Yes"),""))</f>
        <v/>
      </c>
      <c r="AC6" s="15">
        <f>IF($B6="","",sysGrades!$M6)</f>
        <v/>
      </c>
      <c r="AD6" s="15">
        <f>IF($B6="","",IFERROR(sysGrades!$U6,""))</f>
        <v/>
      </c>
    </row>
    <row r="7">
      <c r="B7" s="15">
        <f>IF(Cadets!$B7="","",Cadets!$B7)</f>
        <v/>
      </c>
      <c r="C7" s="15">
        <f>IF($B7="","",Cadets!$F7)</f>
        <v/>
      </c>
      <c r="D7" s="15">
        <f>IF(OR($B7="",D$5=""),"",IFERROR(SUMIFS(nrES_Rec,nrES_PID,$B7,nrES_Code,D$5,nrES_Final,"Yes"),""))</f>
        <v/>
      </c>
      <c r="E7" s="15">
        <f>IF(OR($B7="",E$5=""),"",IFERROR(SUMIFS(nrES_Rec,nrES_PID,$B7,nrES_Code,E$5,nrES_Final,"Yes"),""))</f>
        <v/>
      </c>
      <c r="F7" s="15">
        <f>IF(OR($B7="",F$5=""),"",IFERROR(SUMIFS(nrES_Rec,nrES_PID,$B7,nrES_Code,F$5,nrES_Final,"Yes"),""))</f>
        <v/>
      </c>
      <c r="G7" s="15">
        <f>IF(OR($B7="",G$5=""),"",IFERROR(SUMIFS(nrES_Rec,nrES_PID,$B7,nrES_Code,G$5,nrES_Final,"Yes"),""))</f>
        <v/>
      </c>
      <c r="H7" s="15">
        <f>IF(OR($B7="",H$5=""),"",IFERROR(SUMIFS(nrES_Rec,nrES_PID,$B7,nrES_Code,H$5,nrES_Final,"Yes"),""))</f>
        <v/>
      </c>
      <c r="I7" s="15">
        <f>IF(OR($B7="",I$5=""),"",IFERROR(SUMIFS(nrES_Rec,nrES_PID,$B7,nrES_Code,I$5,nrES_Final,"Yes"),""))</f>
        <v/>
      </c>
      <c r="J7" s="15">
        <f>IF(OR($B7="",J$5=""),"",IFERROR(SUMIFS(nrES_Rec,nrES_PID,$B7,nrES_Code,J$5,nrES_Final,"Yes"),""))</f>
        <v/>
      </c>
      <c r="K7" s="15">
        <f>IF(OR($B7="",K$5=""),"",IFERROR(SUMIFS(nrES_Rec,nrES_PID,$B7,nrES_Code,K$5,nrES_Final,"Yes"),""))</f>
        <v/>
      </c>
      <c r="L7" s="15">
        <f>IF(OR($B7="",L$5=""),"",IFERROR(SUMIFS(nrES_Rec,nrES_PID,$B7,nrES_Code,L$5,nrES_Final,"Yes"),""))</f>
        <v/>
      </c>
      <c r="M7" s="15">
        <f>IF(OR($B7="",M$5=""),"",IFERROR(SUMIFS(nrES_Rec,nrES_PID,$B7,nrES_Code,M$5,nrES_Final,"Yes"),""))</f>
        <v/>
      </c>
      <c r="N7" s="15">
        <f>IF(OR($B7="",N$5=""),"",IFERROR(SUMIFS(nrES_Rec,nrES_PID,$B7,nrES_Code,N$5,nrES_Final,"Yes"),""))</f>
        <v/>
      </c>
      <c r="O7" s="15">
        <f>IF(OR($B7="",O$5=""),"",IFERROR(SUMIFS(nrES_Rec,nrES_PID,$B7,nrES_Code,O$5,nrES_Final,"Yes"),""))</f>
        <v/>
      </c>
      <c r="P7" s="15">
        <f>IF(OR($B7="",P$5=""),"",IFERROR(SUMIFS(nrES_Rec,nrES_PID,$B7,nrES_Code,P$5,nrES_Final,"Yes"),""))</f>
        <v/>
      </c>
      <c r="Q7" s="15">
        <f>IF(OR($B7="",Q$5=""),"",IFERROR(SUMIFS(nrES_Rec,nrES_PID,$B7,nrES_Code,Q$5,nrES_Final,"Yes"),""))</f>
        <v/>
      </c>
      <c r="R7" s="15">
        <f>IF(OR($B7="",R$5=""),"",IFERROR(SUMIFS(nrES_Rec,nrES_PID,$B7,nrES_Code,R$5,nrES_Final,"Yes"),""))</f>
        <v/>
      </c>
      <c r="S7" s="15">
        <f>IF(OR($B7="",S$5=""),"",IFERROR(SUMIFS(nrES_Rec,nrES_PID,$B7,nrES_Code,S$5,nrES_Final,"Yes"),""))</f>
        <v/>
      </c>
      <c r="T7" s="15">
        <f>IF(OR($B7="",T$5=""),"",IFERROR(SUMIFS(nrES_Rec,nrES_PID,$B7,nrES_Code,T$5,nrES_Final,"Yes"),""))</f>
        <v/>
      </c>
      <c r="U7" s="15">
        <f>IF(OR($B7="",U$5=""),"",IFERROR(SUMIFS(nrES_Rec,nrES_PID,$B7,nrES_Code,U$5,nrES_Final,"Yes"),""))</f>
        <v/>
      </c>
      <c r="V7" s="15">
        <f>IF(OR($B7="",V$5=""),"",IFERROR(SUMIFS(nrES_Rec,nrES_PID,$B7,nrES_Code,V$5,nrES_Final,"Yes"),""))</f>
        <v/>
      </c>
      <c r="W7" s="15">
        <f>IF(OR($B7="",W$5=""),"",IFERROR(SUMIFS(nrES_Rec,nrES_PID,$B7,nrES_Code,W$5,nrES_Final,"Yes"),""))</f>
        <v/>
      </c>
      <c r="X7" s="15">
        <f>IF(OR($B7="",X$5=""),"",IFERROR(SUMIFS(nrES_Rec,nrES_PID,$B7,nrES_Code,X$5,nrES_Final,"Yes"),""))</f>
        <v/>
      </c>
      <c r="Y7" s="15">
        <f>IF(OR($B7="",Y$5=""),"",IFERROR(SUMIFS(nrES_Rec,nrES_PID,$B7,nrES_Code,Y$5,nrES_Final,"Yes"),""))</f>
        <v/>
      </c>
      <c r="Z7" s="15">
        <f>IF(OR($B7="",Z$5=""),"",IFERROR(SUMIFS(nrES_Rec,nrES_PID,$B7,nrES_Code,Z$5,nrES_Final,"Yes"),""))</f>
        <v/>
      </c>
      <c r="AA7" s="15">
        <f>IF(OR($B7="",AA$5=""),"",IFERROR(SUMIFS(nrES_Rec,nrES_PID,$B7,nrES_Code,AA$5,nrES_Final,"Yes"),""))</f>
        <v/>
      </c>
      <c r="AB7" s="15">
        <f>IF(OR($B7="",AB$5=""),"",IFERROR(SUMIFS(nrES_Rec,nrES_PID,$B7,nrES_Code,AB$5,nrES_Final,"Yes"),""))</f>
        <v/>
      </c>
      <c r="AC7" s="15">
        <f>IF($B7="","",sysGrades!$M7)</f>
        <v/>
      </c>
      <c r="AD7" s="15">
        <f>IF($B7="","",IFERROR(sysGrades!$U7,""))</f>
        <v/>
      </c>
    </row>
    <row r="8">
      <c r="B8" s="15">
        <f>IF(Cadets!$B8="","",Cadets!$B8)</f>
        <v/>
      </c>
      <c r="C8" s="15">
        <f>IF($B8="","",Cadets!$F8)</f>
        <v/>
      </c>
      <c r="D8" s="15">
        <f>IF(OR($B8="",D$5=""),"",IFERROR(SUMIFS(nrES_Rec,nrES_PID,$B8,nrES_Code,D$5,nrES_Final,"Yes"),""))</f>
        <v/>
      </c>
      <c r="E8" s="15">
        <f>IF(OR($B8="",E$5=""),"",IFERROR(SUMIFS(nrES_Rec,nrES_PID,$B8,nrES_Code,E$5,nrES_Final,"Yes"),""))</f>
        <v/>
      </c>
      <c r="F8" s="15">
        <f>IF(OR($B8="",F$5=""),"",IFERROR(SUMIFS(nrES_Rec,nrES_PID,$B8,nrES_Code,F$5,nrES_Final,"Yes"),""))</f>
        <v/>
      </c>
      <c r="G8" s="15">
        <f>IF(OR($B8="",G$5=""),"",IFERROR(SUMIFS(nrES_Rec,nrES_PID,$B8,nrES_Code,G$5,nrES_Final,"Yes"),""))</f>
        <v/>
      </c>
      <c r="H8" s="15">
        <f>IF(OR($B8="",H$5=""),"",IFERROR(SUMIFS(nrES_Rec,nrES_PID,$B8,nrES_Code,H$5,nrES_Final,"Yes"),""))</f>
        <v/>
      </c>
      <c r="I8" s="15">
        <f>IF(OR($B8="",I$5=""),"",IFERROR(SUMIFS(nrES_Rec,nrES_PID,$B8,nrES_Code,I$5,nrES_Final,"Yes"),""))</f>
        <v/>
      </c>
      <c r="J8" s="15">
        <f>IF(OR($B8="",J$5=""),"",IFERROR(SUMIFS(nrES_Rec,nrES_PID,$B8,nrES_Code,J$5,nrES_Final,"Yes"),""))</f>
        <v/>
      </c>
      <c r="K8" s="15">
        <f>IF(OR($B8="",K$5=""),"",IFERROR(SUMIFS(nrES_Rec,nrES_PID,$B8,nrES_Code,K$5,nrES_Final,"Yes"),""))</f>
        <v/>
      </c>
      <c r="L8" s="15">
        <f>IF(OR($B8="",L$5=""),"",IFERROR(SUMIFS(nrES_Rec,nrES_PID,$B8,nrES_Code,L$5,nrES_Final,"Yes"),""))</f>
        <v/>
      </c>
      <c r="M8" s="15">
        <f>IF(OR($B8="",M$5=""),"",IFERROR(SUMIFS(nrES_Rec,nrES_PID,$B8,nrES_Code,M$5,nrES_Final,"Yes"),""))</f>
        <v/>
      </c>
      <c r="N8" s="15">
        <f>IF(OR($B8="",N$5=""),"",IFERROR(SUMIFS(nrES_Rec,nrES_PID,$B8,nrES_Code,N$5,nrES_Final,"Yes"),""))</f>
        <v/>
      </c>
      <c r="O8" s="15">
        <f>IF(OR($B8="",O$5=""),"",IFERROR(SUMIFS(nrES_Rec,nrES_PID,$B8,nrES_Code,O$5,nrES_Final,"Yes"),""))</f>
        <v/>
      </c>
      <c r="P8" s="15">
        <f>IF(OR($B8="",P$5=""),"",IFERROR(SUMIFS(nrES_Rec,nrES_PID,$B8,nrES_Code,P$5,nrES_Final,"Yes"),""))</f>
        <v/>
      </c>
      <c r="Q8" s="15">
        <f>IF(OR($B8="",Q$5=""),"",IFERROR(SUMIFS(nrES_Rec,nrES_PID,$B8,nrES_Code,Q$5,nrES_Final,"Yes"),""))</f>
        <v/>
      </c>
      <c r="R8" s="15">
        <f>IF(OR($B8="",R$5=""),"",IFERROR(SUMIFS(nrES_Rec,nrES_PID,$B8,nrES_Code,R$5,nrES_Final,"Yes"),""))</f>
        <v/>
      </c>
      <c r="S8" s="15">
        <f>IF(OR($B8="",S$5=""),"",IFERROR(SUMIFS(nrES_Rec,nrES_PID,$B8,nrES_Code,S$5,nrES_Final,"Yes"),""))</f>
        <v/>
      </c>
      <c r="T8" s="15">
        <f>IF(OR($B8="",T$5=""),"",IFERROR(SUMIFS(nrES_Rec,nrES_PID,$B8,nrES_Code,T$5,nrES_Final,"Yes"),""))</f>
        <v/>
      </c>
      <c r="U8" s="15">
        <f>IF(OR($B8="",U$5=""),"",IFERROR(SUMIFS(nrES_Rec,nrES_PID,$B8,nrES_Code,U$5,nrES_Final,"Yes"),""))</f>
        <v/>
      </c>
      <c r="V8" s="15">
        <f>IF(OR($B8="",V$5=""),"",IFERROR(SUMIFS(nrES_Rec,nrES_PID,$B8,nrES_Code,V$5,nrES_Final,"Yes"),""))</f>
        <v/>
      </c>
      <c r="W8" s="15">
        <f>IF(OR($B8="",W$5=""),"",IFERROR(SUMIFS(nrES_Rec,nrES_PID,$B8,nrES_Code,W$5,nrES_Final,"Yes"),""))</f>
        <v/>
      </c>
      <c r="X8" s="15">
        <f>IF(OR($B8="",X$5=""),"",IFERROR(SUMIFS(nrES_Rec,nrES_PID,$B8,nrES_Code,X$5,nrES_Final,"Yes"),""))</f>
        <v/>
      </c>
      <c r="Y8" s="15">
        <f>IF(OR($B8="",Y$5=""),"",IFERROR(SUMIFS(nrES_Rec,nrES_PID,$B8,nrES_Code,Y$5,nrES_Final,"Yes"),""))</f>
        <v/>
      </c>
      <c r="Z8" s="15">
        <f>IF(OR($B8="",Z$5=""),"",IFERROR(SUMIFS(nrES_Rec,nrES_PID,$B8,nrES_Code,Z$5,nrES_Final,"Yes"),""))</f>
        <v/>
      </c>
      <c r="AA8" s="15">
        <f>IF(OR($B8="",AA$5=""),"",IFERROR(SUMIFS(nrES_Rec,nrES_PID,$B8,nrES_Code,AA$5,nrES_Final,"Yes"),""))</f>
        <v/>
      </c>
      <c r="AB8" s="15">
        <f>IF(OR($B8="",AB$5=""),"",IFERROR(SUMIFS(nrES_Rec,nrES_PID,$B8,nrES_Code,AB$5,nrES_Final,"Yes"),""))</f>
        <v/>
      </c>
      <c r="AC8" s="15">
        <f>IF($B8="","",sysGrades!$M8)</f>
        <v/>
      </c>
      <c r="AD8" s="15">
        <f>IF($B8="","",IFERROR(sysGrades!$U8,""))</f>
        <v/>
      </c>
    </row>
    <row r="9">
      <c r="B9" s="15">
        <f>IF(Cadets!$B9="","",Cadets!$B9)</f>
        <v/>
      </c>
      <c r="C9" s="15">
        <f>IF($B9="","",Cadets!$F9)</f>
        <v/>
      </c>
      <c r="D9" s="15">
        <f>IF(OR($B9="",D$5=""),"",IFERROR(SUMIFS(nrES_Rec,nrES_PID,$B9,nrES_Code,D$5,nrES_Final,"Yes"),""))</f>
        <v/>
      </c>
      <c r="E9" s="15">
        <f>IF(OR($B9="",E$5=""),"",IFERROR(SUMIFS(nrES_Rec,nrES_PID,$B9,nrES_Code,E$5,nrES_Final,"Yes"),""))</f>
        <v/>
      </c>
      <c r="F9" s="15">
        <f>IF(OR($B9="",F$5=""),"",IFERROR(SUMIFS(nrES_Rec,nrES_PID,$B9,nrES_Code,F$5,nrES_Final,"Yes"),""))</f>
        <v/>
      </c>
      <c r="G9" s="15">
        <f>IF(OR($B9="",G$5=""),"",IFERROR(SUMIFS(nrES_Rec,nrES_PID,$B9,nrES_Code,G$5,nrES_Final,"Yes"),""))</f>
        <v/>
      </c>
      <c r="H9" s="15">
        <f>IF(OR($B9="",H$5=""),"",IFERROR(SUMIFS(nrES_Rec,nrES_PID,$B9,nrES_Code,H$5,nrES_Final,"Yes"),""))</f>
        <v/>
      </c>
      <c r="I9" s="15">
        <f>IF(OR($B9="",I$5=""),"",IFERROR(SUMIFS(nrES_Rec,nrES_PID,$B9,nrES_Code,I$5,nrES_Final,"Yes"),""))</f>
        <v/>
      </c>
      <c r="J9" s="15">
        <f>IF(OR($B9="",J$5=""),"",IFERROR(SUMIFS(nrES_Rec,nrES_PID,$B9,nrES_Code,J$5,nrES_Final,"Yes"),""))</f>
        <v/>
      </c>
      <c r="K9" s="15">
        <f>IF(OR($B9="",K$5=""),"",IFERROR(SUMIFS(nrES_Rec,nrES_PID,$B9,nrES_Code,K$5,nrES_Final,"Yes"),""))</f>
        <v/>
      </c>
      <c r="L9" s="15">
        <f>IF(OR($B9="",L$5=""),"",IFERROR(SUMIFS(nrES_Rec,nrES_PID,$B9,nrES_Code,L$5,nrES_Final,"Yes"),""))</f>
        <v/>
      </c>
      <c r="M9" s="15">
        <f>IF(OR($B9="",M$5=""),"",IFERROR(SUMIFS(nrES_Rec,nrES_PID,$B9,nrES_Code,M$5,nrES_Final,"Yes"),""))</f>
        <v/>
      </c>
      <c r="N9" s="15">
        <f>IF(OR($B9="",N$5=""),"",IFERROR(SUMIFS(nrES_Rec,nrES_PID,$B9,nrES_Code,N$5,nrES_Final,"Yes"),""))</f>
        <v/>
      </c>
      <c r="O9" s="15">
        <f>IF(OR($B9="",O$5=""),"",IFERROR(SUMIFS(nrES_Rec,nrES_PID,$B9,nrES_Code,O$5,nrES_Final,"Yes"),""))</f>
        <v/>
      </c>
      <c r="P9" s="15">
        <f>IF(OR($B9="",P$5=""),"",IFERROR(SUMIFS(nrES_Rec,nrES_PID,$B9,nrES_Code,P$5,nrES_Final,"Yes"),""))</f>
        <v/>
      </c>
      <c r="Q9" s="15">
        <f>IF(OR($B9="",Q$5=""),"",IFERROR(SUMIFS(nrES_Rec,nrES_PID,$B9,nrES_Code,Q$5,nrES_Final,"Yes"),""))</f>
        <v/>
      </c>
      <c r="R9" s="15">
        <f>IF(OR($B9="",R$5=""),"",IFERROR(SUMIFS(nrES_Rec,nrES_PID,$B9,nrES_Code,R$5,nrES_Final,"Yes"),""))</f>
        <v/>
      </c>
      <c r="S9" s="15">
        <f>IF(OR($B9="",S$5=""),"",IFERROR(SUMIFS(nrES_Rec,nrES_PID,$B9,nrES_Code,S$5,nrES_Final,"Yes"),""))</f>
        <v/>
      </c>
      <c r="T9" s="15">
        <f>IF(OR($B9="",T$5=""),"",IFERROR(SUMIFS(nrES_Rec,nrES_PID,$B9,nrES_Code,T$5,nrES_Final,"Yes"),""))</f>
        <v/>
      </c>
      <c r="U9" s="15">
        <f>IF(OR($B9="",U$5=""),"",IFERROR(SUMIFS(nrES_Rec,nrES_PID,$B9,nrES_Code,U$5,nrES_Final,"Yes"),""))</f>
        <v/>
      </c>
      <c r="V9" s="15">
        <f>IF(OR($B9="",V$5=""),"",IFERROR(SUMIFS(nrES_Rec,nrES_PID,$B9,nrES_Code,V$5,nrES_Final,"Yes"),""))</f>
        <v/>
      </c>
      <c r="W9" s="15">
        <f>IF(OR($B9="",W$5=""),"",IFERROR(SUMIFS(nrES_Rec,nrES_PID,$B9,nrES_Code,W$5,nrES_Final,"Yes"),""))</f>
        <v/>
      </c>
      <c r="X9" s="15">
        <f>IF(OR($B9="",X$5=""),"",IFERROR(SUMIFS(nrES_Rec,nrES_PID,$B9,nrES_Code,X$5,nrES_Final,"Yes"),""))</f>
        <v/>
      </c>
      <c r="Y9" s="15">
        <f>IF(OR($B9="",Y$5=""),"",IFERROR(SUMIFS(nrES_Rec,nrES_PID,$B9,nrES_Code,Y$5,nrES_Final,"Yes"),""))</f>
        <v/>
      </c>
      <c r="Z9" s="15">
        <f>IF(OR($B9="",Z$5=""),"",IFERROR(SUMIFS(nrES_Rec,nrES_PID,$B9,nrES_Code,Z$5,nrES_Final,"Yes"),""))</f>
        <v/>
      </c>
      <c r="AA9" s="15">
        <f>IF(OR($B9="",AA$5=""),"",IFERROR(SUMIFS(nrES_Rec,nrES_PID,$B9,nrES_Code,AA$5,nrES_Final,"Yes"),""))</f>
        <v/>
      </c>
      <c r="AB9" s="15">
        <f>IF(OR($B9="",AB$5=""),"",IFERROR(SUMIFS(nrES_Rec,nrES_PID,$B9,nrES_Code,AB$5,nrES_Final,"Yes"),""))</f>
        <v/>
      </c>
      <c r="AC9" s="15">
        <f>IF($B9="","",sysGrades!$M9)</f>
        <v/>
      </c>
      <c r="AD9" s="15">
        <f>IF($B9="","",IFERROR(sysGrades!$U9,""))</f>
        <v/>
      </c>
    </row>
    <row r="10">
      <c r="B10" s="15">
        <f>IF(Cadets!$B10="","",Cadets!$B10)</f>
        <v/>
      </c>
      <c r="C10" s="15">
        <f>IF($B10="","",Cadets!$F10)</f>
        <v/>
      </c>
      <c r="D10" s="15">
        <f>IF(OR($B10="",D$5=""),"",IFERROR(SUMIFS(nrES_Rec,nrES_PID,$B10,nrES_Code,D$5,nrES_Final,"Yes"),""))</f>
        <v/>
      </c>
      <c r="E10" s="15">
        <f>IF(OR($B10="",E$5=""),"",IFERROR(SUMIFS(nrES_Rec,nrES_PID,$B10,nrES_Code,E$5,nrES_Final,"Yes"),""))</f>
        <v/>
      </c>
      <c r="F10" s="15">
        <f>IF(OR($B10="",F$5=""),"",IFERROR(SUMIFS(nrES_Rec,nrES_PID,$B10,nrES_Code,F$5,nrES_Final,"Yes"),""))</f>
        <v/>
      </c>
      <c r="G10" s="15">
        <f>IF(OR($B10="",G$5=""),"",IFERROR(SUMIFS(nrES_Rec,nrES_PID,$B10,nrES_Code,G$5,nrES_Final,"Yes"),""))</f>
        <v/>
      </c>
      <c r="H10" s="15">
        <f>IF(OR($B10="",H$5=""),"",IFERROR(SUMIFS(nrES_Rec,nrES_PID,$B10,nrES_Code,H$5,nrES_Final,"Yes"),""))</f>
        <v/>
      </c>
      <c r="I10" s="15">
        <f>IF(OR($B10="",I$5=""),"",IFERROR(SUMIFS(nrES_Rec,nrES_PID,$B10,nrES_Code,I$5,nrES_Final,"Yes"),""))</f>
        <v/>
      </c>
      <c r="J10" s="15">
        <f>IF(OR($B10="",J$5=""),"",IFERROR(SUMIFS(nrES_Rec,nrES_PID,$B10,nrES_Code,J$5,nrES_Final,"Yes"),""))</f>
        <v/>
      </c>
      <c r="K10" s="15">
        <f>IF(OR($B10="",K$5=""),"",IFERROR(SUMIFS(nrES_Rec,nrES_PID,$B10,nrES_Code,K$5,nrES_Final,"Yes"),""))</f>
        <v/>
      </c>
      <c r="L10" s="15">
        <f>IF(OR($B10="",L$5=""),"",IFERROR(SUMIFS(nrES_Rec,nrES_PID,$B10,nrES_Code,L$5,nrES_Final,"Yes"),""))</f>
        <v/>
      </c>
      <c r="M10" s="15">
        <f>IF(OR($B10="",M$5=""),"",IFERROR(SUMIFS(nrES_Rec,nrES_PID,$B10,nrES_Code,M$5,nrES_Final,"Yes"),""))</f>
        <v/>
      </c>
      <c r="N10" s="15">
        <f>IF(OR($B10="",N$5=""),"",IFERROR(SUMIFS(nrES_Rec,nrES_PID,$B10,nrES_Code,N$5,nrES_Final,"Yes"),""))</f>
        <v/>
      </c>
      <c r="O10" s="15">
        <f>IF(OR($B10="",O$5=""),"",IFERROR(SUMIFS(nrES_Rec,nrES_PID,$B10,nrES_Code,O$5,nrES_Final,"Yes"),""))</f>
        <v/>
      </c>
      <c r="P10" s="15">
        <f>IF(OR($B10="",P$5=""),"",IFERROR(SUMIFS(nrES_Rec,nrES_PID,$B10,nrES_Code,P$5,nrES_Final,"Yes"),""))</f>
        <v/>
      </c>
      <c r="Q10" s="15">
        <f>IF(OR($B10="",Q$5=""),"",IFERROR(SUMIFS(nrES_Rec,nrES_PID,$B10,nrES_Code,Q$5,nrES_Final,"Yes"),""))</f>
        <v/>
      </c>
      <c r="R10" s="15">
        <f>IF(OR($B10="",R$5=""),"",IFERROR(SUMIFS(nrES_Rec,nrES_PID,$B10,nrES_Code,R$5,nrES_Final,"Yes"),""))</f>
        <v/>
      </c>
      <c r="S10" s="15">
        <f>IF(OR($B10="",S$5=""),"",IFERROR(SUMIFS(nrES_Rec,nrES_PID,$B10,nrES_Code,S$5,nrES_Final,"Yes"),""))</f>
        <v/>
      </c>
      <c r="T10" s="15">
        <f>IF(OR($B10="",T$5=""),"",IFERROR(SUMIFS(nrES_Rec,nrES_PID,$B10,nrES_Code,T$5,nrES_Final,"Yes"),""))</f>
        <v/>
      </c>
      <c r="U10" s="15">
        <f>IF(OR($B10="",U$5=""),"",IFERROR(SUMIFS(nrES_Rec,nrES_PID,$B10,nrES_Code,U$5,nrES_Final,"Yes"),""))</f>
        <v/>
      </c>
      <c r="V10" s="15">
        <f>IF(OR($B10="",V$5=""),"",IFERROR(SUMIFS(nrES_Rec,nrES_PID,$B10,nrES_Code,V$5,nrES_Final,"Yes"),""))</f>
        <v/>
      </c>
      <c r="W10" s="15">
        <f>IF(OR($B10="",W$5=""),"",IFERROR(SUMIFS(nrES_Rec,nrES_PID,$B10,nrES_Code,W$5,nrES_Final,"Yes"),""))</f>
        <v/>
      </c>
      <c r="X10" s="15">
        <f>IF(OR($B10="",X$5=""),"",IFERROR(SUMIFS(nrES_Rec,nrES_PID,$B10,nrES_Code,X$5,nrES_Final,"Yes"),""))</f>
        <v/>
      </c>
      <c r="Y10" s="15">
        <f>IF(OR($B10="",Y$5=""),"",IFERROR(SUMIFS(nrES_Rec,nrES_PID,$B10,nrES_Code,Y$5,nrES_Final,"Yes"),""))</f>
        <v/>
      </c>
      <c r="Z10" s="15">
        <f>IF(OR($B10="",Z$5=""),"",IFERROR(SUMIFS(nrES_Rec,nrES_PID,$B10,nrES_Code,Z$5,nrES_Final,"Yes"),""))</f>
        <v/>
      </c>
      <c r="AA10" s="15">
        <f>IF(OR($B10="",AA$5=""),"",IFERROR(SUMIFS(nrES_Rec,nrES_PID,$B10,nrES_Code,AA$5,nrES_Final,"Yes"),""))</f>
        <v/>
      </c>
      <c r="AB10" s="15">
        <f>IF(OR($B10="",AB$5=""),"",IFERROR(SUMIFS(nrES_Rec,nrES_PID,$B10,nrES_Code,AB$5,nrES_Final,"Yes"),""))</f>
        <v/>
      </c>
      <c r="AC10" s="15">
        <f>IF($B10="","",sysGrades!$M10)</f>
        <v/>
      </c>
      <c r="AD10" s="15">
        <f>IF($B10="","",IFERROR(sysGrades!$U10,""))</f>
        <v/>
      </c>
    </row>
    <row r="11">
      <c r="B11" s="15">
        <f>IF(Cadets!$B11="","",Cadets!$B11)</f>
        <v/>
      </c>
      <c r="C11" s="15">
        <f>IF($B11="","",Cadets!$F11)</f>
        <v/>
      </c>
      <c r="D11" s="15">
        <f>IF(OR($B11="",D$5=""),"",IFERROR(SUMIFS(nrES_Rec,nrES_PID,$B11,nrES_Code,D$5,nrES_Final,"Yes"),""))</f>
        <v/>
      </c>
      <c r="E11" s="15">
        <f>IF(OR($B11="",E$5=""),"",IFERROR(SUMIFS(nrES_Rec,nrES_PID,$B11,nrES_Code,E$5,nrES_Final,"Yes"),""))</f>
        <v/>
      </c>
      <c r="F11" s="15">
        <f>IF(OR($B11="",F$5=""),"",IFERROR(SUMIFS(nrES_Rec,nrES_PID,$B11,nrES_Code,F$5,nrES_Final,"Yes"),""))</f>
        <v/>
      </c>
      <c r="G11" s="15">
        <f>IF(OR($B11="",G$5=""),"",IFERROR(SUMIFS(nrES_Rec,nrES_PID,$B11,nrES_Code,G$5,nrES_Final,"Yes"),""))</f>
        <v/>
      </c>
      <c r="H11" s="15">
        <f>IF(OR($B11="",H$5=""),"",IFERROR(SUMIFS(nrES_Rec,nrES_PID,$B11,nrES_Code,H$5,nrES_Final,"Yes"),""))</f>
        <v/>
      </c>
      <c r="I11" s="15">
        <f>IF(OR($B11="",I$5=""),"",IFERROR(SUMIFS(nrES_Rec,nrES_PID,$B11,nrES_Code,I$5,nrES_Final,"Yes"),""))</f>
        <v/>
      </c>
      <c r="J11" s="15">
        <f>IF(OR($B11="",J$5=""),"",IFERROR(SUMIFS(nrES_Rec,nrES_PID,$B11,nrES_Code,J$5,nrES_Final,"Yes"),""))</f>
        <v/>
      </c>
      <c r="K11" s="15">
        <f>IF(OR($B11="",K$5=""),"",IFERROR(SUMIFS(nrES_Rec,nrES_PID,$B11,nrES_Code,K$5,nrES_Final,"Yes"),""))</f>
        <v/>
      </c>
      <c r="L11" s="15">
        <f>IF(OR($B11="",L$5=""),"",IFERROR(SUMIFS(nrES_Rec,nrES_PID,$B11,nrES_Code,L$5,nrES_Final,"Yes"),""))</f>
        <v/>
      </c>
      <c r="M11" s="15">
        <f>IF(OR($B11="",M$5=""),"",IFERROR(SUMIFS(nrES_Rec,nrES_PID,$B11,nrES_Code,M$5,nrES_Final,"Yes"),""))</f>
        <v/>
      </c>
      <c r="N11" s="15">
        <f>IF(OR($B11="",N$5=""),"",IFERROR(SUMIFS(nrES_Rec,nrES_PID,$B11,nrES_Code,N$5,nrES_Final,"Yes"),""))</f>
        <v/>
      </c>
      <c r="O11" s="15">
        <f>IF(OR($B11="",O$5=""),"",IFERROR(SUMIFS(nrES_Rec,nrES_PID,$B11,nrES_Code,O$5,nrES_Final,"Yes"),""))</f>
        <v/>
      </c>
      <c r="P11" s="15">
        <f>IF(OR($B11="",P$5=""),"",IFERROR(SUMIFS(nrES_Rec,nrES_PID,$B11,nrES_Code,P$5,nrES_Final,"Yes"),""))</f>
        <v/>
      </c>
      <c r="Q11" s="15">
        <f>IF(OR($B11="",Q$5=""),"",IFERROR(SUMIFS(nrES_Rec,nrES_PID,$B11,nrES_Code,Q$5,nrES_Final,"Yes"),""))</f>
        <v/>
      </c>
      <c r="R11" s="15">
        <f>IF(OR($B11="",R$5=""),"",IFERROR(SUMIFS(nrES_Rec,nrES_PID,$B11,nrES_Code,R$5,nrES_Final,"Yes"),""))</f>
        <v/>
      </c>
      <c r="S11" s="15">
        <f>IF(OR($B11="",S$5=""),"",IFERROR(SUMIFS(nrES_Rec,nrES_PID,$B11,nrES_Code,S$5,nrES_Final,"Yes"),""))</f>
        <v/>
      </c>
      <c r="T11" s="15">
        <f>IF(OR($B11="",T$5=""),"",IFERROR(SUMIFS(nrES_Rec,nrES_PID,$B11,nrES_Code,T$5,nrES_Final,"Yes"),""))</f>
        <v/>
      </c>
      <c r="U11" s="15">
        <f>IF(OR($B11="",U$5=""),"",IFERROR(SUMIFS(nrES_Rec,nrES_PID,$B11,nrES_Code,U$5,nrES_Final,"Yes"),""))</f>
        <v/>
      </c>
      <c r="V11" s="15">
        <f>IF(OR($B11="",V$5=""),"",IFERROR(SUMIFS(nrES_Rec,nrES_PID,$B11,nrES_Code,V$5,nrES_Final,"Yes"),""))</f>
        <v/>
      </c>
      <c r="W11" s="15">
        <f>IF(OR($B11="",W$5=""),"",IFERROR(SUMIFS(nrES_Rec,nrES_PID,$B11,nrES_Code,W$5,nrES_Final,"Yes"),""))</f>
        <v/>
      </c>
      <c r="X11" s="15">
        <f>IF(OR($B11="",X$5=""),"",IFERROR(SUMIFS(nrES_Rec,nrES_PID,$B11,nrES_Code,X$5,nrES_Final,"Yes"),""))</f>
        <v/>
      </c>
      <c r="Y11" s="15">
        <f>IF(OR($B11="",Y$5=""),"",IFERROR(SUMIFS(nrES_Rec,nrES_PID,$B11,nrES_Code,Y$5,nrES_Final,"Yes"),""))</f>
        <v/>
      </c>
      <c r="Z11" s="15">
        <f>IF(OR($B11="",Z$5=""),"",IFERROR(SUMIFS(nrES_Rec,nrES_PID,$B11,nrES_Code,Z$5,nrES_Final,"Yes"),""))</f>
        <v/>
      </c>
      <c r="AA11" s="15">
        <f>IF(OR($B11="",AA$5=""),"",IFERROR(SUMIFS(nrES_Rec,nrES_PID,$B11,nrES_Code,AA$5,nrES_Final,"Yes"),""))</f>
        <v/>
      </c>
      <c r="AB11" s="15">
        <f>IF(OR($B11="",AB$5=""),"",IFERROR(SUMIFS(nrES_Rec,nrES_PID,$B11,nrES_Code,AB$5,nrES_Final,"Yes"),""))</f>
        <v/>
      </c>
      <c r="AC11" s="15">
        <f>IF($B11="","",sysGrades!$M11)</f>
        <v/>
      </c>
      <c r="AD11" s="15">
        <f>IF($B11="","",IFERROR(sysGrades!$U11,""))</f>
        <v/>
      </c>
    </row>
    <row r="12">
      <c r="B12" s="15">
        <f>IF(Cadets!$B12="","",Cadets!$B12)</f>
        <v/>
      </c>
      <c r="C12" s="15">
        <f>IF($B12="","",Cadets!$F12)</f>
        <v/>
      </c>
      <c r="D12" s="15">
        <f>IF(OR($B12="",D$5=""),"",IFERROR(SUMIFS(nrES_Rec,nrES_PID,$B12,nrES_Code,D$5,nrES_Final,"Yes"),""))</f>
        <v/>
      </c>
      <c r="E12" s="15">
        <f>IF(OR($B12="",E$5=""),"",IFERROR(SUMIFS(nrES_Rec,nrES_PID,$B12,nrES_Code,E$5,nrES_Final,"Yes"),""))</f>
        <v/>
      </c>
      <c r="F12" s="15">
        <f>IF(OR($B12="",F$5=""),"",IFERROR(SUMIFS(nrES_Rec,nrES_PID,$B12,nrES_Code,F$5,nrES_Final,"Yes"),""))</f>
        <v/>
      </c>
      <c r="G12" s="15">
        <f>IF(OR($B12="",G$5=""),"",IFERROR(SUMIFS(nrES_Rec,nrES_PID,$B12,nrES_Code,G$5,nrES_Final,"Yes"),""))</f>
        <v/>
      </c>
      <c r="H12" s="15">
        <f>IF(OR($B12="",H$5=""),"",IFERROR(SUMIFS(nrES_Rec,nrES_PID,$B12,nrES_Code,H$5,nrES_Final,"Yes"),""))</f>
        <v/>
      </c>
      <c r="I12" s="15">
        <f>IF(OR($B12="",I$5=""),"",IFERROR(SUMIFS(nrES_Rec,nrES_PID,$B12,nrES_Code,I$5,nrES_Final,"Yes"),""))</f>
        <v/>
      </c>
      <c r="J12" s="15">
        <f>IF(OR($B12="",J$5=""),"",IFERROR(SUMIFS(nrES_Rec,nrES_PID,$B12,nrES_Code,J$5,nrES_Final,"Yes"),""))</f>
        <v/>
      </c>
      <c r="K12" s="15">
        <f>IF(OR($B12="",K$5=""),"",IFERROR(SUMIFS(nrES_Rec,nrES_PID,$B12,nrES_Code,K$5,nrES_Final,"Yes"),""))</f>
        <v/>
      </c>
      <c r="L12" s="15">
        <f>IF(OR($B12="",L$5=""),"",IFERROR(SUMIFS(nrES_Rec,nrES_PID,$B12,nrES_Code,L$5,nrES_Final,"Yes"),""))</f>
        <v/>
      </c>
      <c r="M12" s="15">
        <f>IF(OR($B12="",M$5=""),"",IFERROR(SUMIFS(nrES_Rec,nrES_PID,$B12,nrES_Code,M$5,nrES_Final,"Yes"),""))</f>
        <v/>
      </c>
      <c r="N12" s="15">
        <f>IF(OR($B12="",N$5=""),"",IFERROR(SUMIFS(nrES_Rec,nrES_PID,$B12,nrES_Code,N$5,nrES_Final,"Yes"),""))</f>
        <v/>
      </c>
      <c r="O12" s="15">
        <f>IF(OR($B12="",O$5=""),"",IFERROR(SUMIFS(nrES_Rec,nrES_PID,$B12,nrES_Code,O$5,nrES_Final,"Yes"),""))</f>
        <v/>
      </c>
      <c r="P12" s="15">
        <f>IF(OR($B12="",P$5=""),"",IFERROR(SUMIFS(nrES_Rec,nrES_PID,$B12,nrES_Code,P$5,nrES_Final,"Yes"),""))</f>
        <v/>
      </c>
      <c r="Q12" s="15">
        <f>IF(OR($B12="",Q$5=""),"",IFERROR(SUMIFS(nrES_Rec,nrES_PID,$B12,nrES_Code,Q$5,nrES_Final,"Yes"),""))</f>
        <v/>
      </c>
      <c r="R12" s="15">
        <f>IF(OR($B12="",R$5=""),"",IFERROR(SUMIFS(nrES_Rec,nrES_PID,$B12,nrES_Code,R$5,nrES_Final,"Yes"),""))</f>
        <v/>
      </c>
      <c r="S12" s="15">
        <f>IF(OR($B12="",S$5=""),"",IFERROR(SUMIFS(nrES_Rec,nrES_PID,$B12,nrES_Code,S$5,nrES_Final,"Yes"),""))</f>
        <v/>
      </c>
      <c r="T12" s="15">
        <f>IF(OR($B12="",T$5=""),"",IFERROR(SUMIFS(nrES_Rec,nrES_PID,$B12,nrES_Code,T$5,nrES_Final,"Yes"),""))</f>
        <v/>
      </c>
      <c r="U12" s="15">
        <f>IF(OR($B12="",U$5=""),"",IFERROR(SUMIFS(nrES_Rec,nrES_PID,$B12,nrES_Code,U$5,nrES_Final,"Yes"),""))</f>
        <v/>
      </c>
      <c r="V12" s="15">
        <f>IF(OR($B12="",V$5=""),"",IFERROR(SUMIFS(nrES_Rec,nrES_PID,$B12,nrES_Code,V$5,nrES_Final,"Yes"),""))</f>
        <v/>
      </c>
      <c r="W12" s="15">
        <f>IF(OR($B12="",W$5=""),"",IFERROR(SUMIFS(nrES_Rec,nrES_PID,$B12,nrES_Code,W$5,nrES_Final,"Yes"),""))</f>
        <v/>
      </c>
      <c r="X12" s="15">
        <f>IF(OR($B12="",X$5=""),"",IFERROR(SUMIFS(nrES_Rec,nrES_PID,$B12,nrES_Code,X$5,nrES_Final,"Yes"),""))</f>
        <v/>
      </c>
      <c r="Y12" s="15">
        <f>IF(OR($B12="",Y$5=""),"",IFERROR(SUMIFS(nrES_Rec,nrES_PID,$B12,nrES_Code,Y$5,nrES_Final,"Yes"),""))</f>
        <v/>
      </c>
      <c r="Z12" s="15">
        <f>IF(OR($B12="",Z$5=""),"",IFERROR(SUMIFS(nrES_Rec,nrES_PID,$B12,nrES_Code,Z$5,nrES_Final,"Yes"),""))</f>
        <v/>
      </c>
      <c r="AA12" s="15">
        <f>IF(OR($B12="",AA$5=""),"",IFERROR(SUMIFS(nrES_Rec,nrES_PID,$B12,nrES_Code,AA$5,nrES_Final,"Yes"),""))</f>
        <v/>
      </c>
      <c r="AB12" s="15">
        <f>IF(OR($B12="",AB$5=""),"",IFERROR(SUMIFS(nrES_Rec,nrES_PID,$B12,nrES_Code,AB$5,nrES_Final,"Yes"),""))</f>
        <v/>
      </c>
      <c r="AC12" s="15">
        <f>IF($B12="","",sysGrades!$M12)</f>
        <v/>
      </c>
      <c r="AD12" s="15">
        <f>IF($B12="","",IFERROR(sysGrades!$U12,""))</f>
        <v/>
      </c>
    </row>
    <row r="13">
      <c r="B13" s="15">
        <f>IF(Cadets!$B13="","",Cadets!$B13)</f>
        <v/>
      </c>
      <c r="C13" s="15">
        <f>IF($B13="","",Cadets!$F13)</f>
        <v/>
      </c>
      <c r="D13" s="15">
        <f>IF(OR($B13="",D$5=""),"",IFERROR(SUMIFS(nrES_Rec,nrES_PID,$B13,nrES_Code,D$5,nrES_Final,"Yes"),""))</f>
        <v/>
      </c>
      <c r="E13" s="15">
        <f>IF(OR($B13="",E$5=""),"",IFERROR(SUMIFS(nrES_Rec,nrES_PID,$B13,nrES_Code,E$5,nrES_Final,"Yes"),""))</f>
        <v/>
      </c>
      <c r="F13" s="15">
        <f>IF(OR($B13="",F$5=""),"",IFERROR(SUMIFS(nrES_Rec,nrES_PID,$B13,nrES_Code,F$5,nrES_Final,"Yes"),""))</f>
        <v/>
      </c>
      <c r="G13" s="15">
        <f>IF(OR($B13="",G$5=""),"",IFERROR(SUMIFS(nrES_Rec,nrES_PID,$B13,nrES_Code,G$5,nrES_Final,"Yes"),""))</f>
        <v/>
      </c>
      <c r="H13" s="15">
        <f>IF(OR($B13="",H$5=""),"",IFERROR(SUMIFS(nrES_Rec,nrES_PID,$B13,nrES_Code,H$5,nrES_Final,"Yes"),""))</f>
        <v/>
      </c>
      <c r="I13" s="15">
        <f>IF(OR($B13="",I$5=""),"",IFERROR(SUMIFS(nrES_Rec,nrES_PID,$B13,nrES_Code,I$5,nrES_Final,"Yes"),""))</f>
        <v/>
      </c>
      <c r="J13" s="15">
        <f>IF(OR($B13="",J$5=""),"",IFERROR(SUMIFS(nrES_Rec,nrES_PID,$B13,nrES_Code,J$5,nrES_Final,"Yes"),""))</f>
        <v/>
      </c>
      <c r="K13" s="15">
        <f>IF(OR($B13="",K$5=""),"",IFERROR(SUMIFS(nrES_Rec,nrES_PID,$B13,nrES_Code,K$5,nrES_Final,"Yes"),""))</f>
        <v/>
      </c>
      <c r="L13" s="15">
        <f>IF(OR($B13="",L$5=""),"",IFERROR(SUMIFS(nrES_Rec,nrES_PID,$B13,nrES_Code,L$5,nrES_Final,"Yes"),""))</f>
        <v/>
      </c>
      <c r="M13" s="15">
        <f>IF(OR($B13="",M$5=""),"",IFERROR(SUMIFS(nrES_Rec,nrES_PID,$B13,nrES_Code,M$5,nrES_Final,"Yes"),""))</f>
        <v/>
      </c>
      <c r="N13" s="15">
        <f>IF(OR($B13="",N$5=""),"",IFERROR(SUMIFS(nrES_Rec,nrES_PID,$B13,nrES_Code,N$5,nrES_Final,"Yes"),""))</f>
        <v/>
      </c>
      <c r="O13" s="15">
        <f>IF(OR($B13="",O$5=""),"",IFERROR(SUMIFS(nrES_Rec,nrES_PID,$B13,nrES_Code,O$5,nrES_Final,"Yes"),""))</f>
        <v/>
      </c>
      <c r="P13" s="15">
        <f>IF(OR($B13="",P$5=""),"",IFERROR(SUMIFS(nrES_Rec,nrES_PID,$B13,nrES_Code,P$5,nrES_Final,"Yes"),""))</f>
        <v/>
      </c>
      <c r="Q13" s="15">
        <f>IF(OR($B13="",Q$5=""),"",IFERROR(SUMIFS(nrES_Rec,nrES_PID,$B13,nrES_Code,Q$5,nrES_Final,"Yes"),""))</f>
        <v/>
      </c>
      <c r="R13" s="15">
        <f>IF(OR($B13="",R$5=""),"",IFERROR(SUMIFS(nrES_Rec,nrES_PID,$B13,nrES_Code,R$5,nrES_Final,"Yes"),""))</f>
        <v/>
      </c>
      <c r="S13" s="15">
        <f>IF(OR($B13="",S$5=""),"",IFERROR(SUMIFS(nrES_Rec,nrES_PID,$B13,nrES_Code,S$5,nrES_Final,"Yes"),""))</f>
        <v/>
      </c>
      <c r="T13" s="15">
        <f>IF(OR($B13="",T$5=""),"",IFERROR(SUMIFS(nrES_Rec,nrES_PID,$B13,nrES_Code,T$5,nrES_Final,"Yes"),""))</f>
        <v/>
      </c>
      <c r="U13" s="15">
        <f>IF(OR($B13="",U$5=""),"",IFERROR(SUMIFS(nrES_Rec,nrES_PID,$B13,nrES_Code,U$5,nrES_Final,"Yes"),""))</f>
        <v/>
      </c>
      <c r="V13" s="15">
        <f>IF(OR($B13="",V$5=""),"",IFERROR(SUMIFS(nrES_Rec,nrES_PID,$B13,nrES_Code,V$5,nrES_Final,"Yes"),""))</f>
        <v/>
      </c>
      <c r="W13" s="15">
        <f>IF(OR($B13="",W$5=""),"",IFERROR(SUMIFS(nrES_Rec,nrES_PID,$B13,nrES_Code,W$5,nrES_Final,"Yes"),""))</f>
        <v/>
      </c>
      <c r="X13" s="15">
        <f>IF(OR($B13="",X$5=""),"",IFERROR(SUMIFS(nrES_Rec,nrES_PID,$B13,nrES_Code,X$5,nrES_Final,"Yes"),""))</f>
        <v/>
      </c>
      <c r="Y13" s="15">
        <f>IF(OR($B13="",Y$5=""),"",IFERROR(SUMIFS(nrES_Rec,nrES_PID,$B13,nrES_Code,Y$5,nrES_Final,"Yes"),""))</f>
        <v/>
      </c>
      <c r="Z13" s="15">
        <f>IF(OR($B13="",Z$5=""),"",IFERROR(SUMIFS(nrES_Rec,nrES_PID,$B13,nrES_Code,Z$5,nrES_Final,"Yes"),""))</f>
        <v/>
      </c>
      <c r="AA13" s="15">
        <f>IF(OR($B13="",AA$5=""),"",IFERROR(SUMIFS(nrES_Rec,nrES_PID,$B13,nrES_Code,AA$5,nrES_Final,"Yes"),""))</f>
        <v/>
      </c>
      <c r="AB13" s="15">
        <f>IF(OR($B13="",AB$5=""),"",IFERROR(SUMIFS(nrES_Rec,nrES_PID,$B13,nrES_Code,AB$5,nrES_Final,"Yes"),""))</f>
        <v/>
      </c>
      <c r="AC13" s="15">
        <f>IF($B13="","",sysGrades!$M13)</f>
        <v/>
      </c>
      <c r="AD13" s="15">
        <f>IF($B13="","",IFERROR(sysGrades!$U13,""))</f>
        <v/>
      </c>
    </row>
    <row r="14">
      <c r="B14" s="15">
        <f>IF(Cadets!$B14="","",Cadets!$B14)</f>
        <v/>
      </c>
      <c r="C14" s="15">
        <f>IF($B14="","",Cadets!$F14)</f>
        <v/>
      </c>
      <c r="D14" s="15">
        <f>IF(OR($B14="",D$5=""),"",IFERROR(SUMIFS(nrES_Rec,nrES_PID,$B14,nrES_Code,D$5,nrES_Final,"Yes"),""))</f>
        <v/>
      </c>
      <c r="E14" s="15">
        <f>IF(OR($B14="",E$5=""),"",IFERROR(SUMIFS(nrES_Rec,nrES_PID,$B14,nrES_Code,E$5,nrES_Final,"Yes"),""))</f>
        <v/>
      </c>
      <c r="F14" s="15">
        <f>IF(OR($B14="",F$5=""),"",IFERROR(SUMIFS(nrES_Rec,nrES_PID,$B14,nrES_Code,F$5,nrES_Final,"Yes"),""))</f>
        <v/>
      </c>
      <c r="G14" s="15">
        <f>IF(OR($B14="",G$5=""),"",IFERROR(SUMIFS(nrES_Rec,nrES_PID,$B14,nrES_Code,G$5,nrES_Final,"Yes"),""))</f>
        <v/>
      </c>
      <c r="H14" s="15">
        <f>IF(OR($B14="",H$5=""),"",IFERROR(SUMIFS(nrES_Rec,nrES_PID,$B14,nrES_Code,H$5,nrES_Final,"Yes"),""))</f>
        <v/>
      </c>
      <c r="I14" s="15">
        <f>IF(OR($B14="",I$5=""),"",IFERROR(SUMIFS(nrES_Rec,nrES_PID,$B14,nrES_Code,I$5,nrES_Final,"Yes"),""))</f>
        <v/>
      </c>
      <c r="J14" s="15">
        <f>IF(OR($B14="",J$5=""),"",IFERROR(SUMIFS(nrES_Rec,nrES_PID,$B14,nrES_Code,J$5,nrES_Final,"Yes"),""))</f>
        <v/>
      </c>
      <c r="K14" s="15">
        <f>IF(OR($B14="",K$5=""),"",IFERROR(SUMIFS(nrES_Rec,nrES_PID,$B14,nrES_Code,K$5,nrES_Final,"Yes"),""))</f>
        <v/>
      </c>
      <c r="L14" s="15">
        <f>IF(OR($B14="",L$5=""),"",IFERROR(SUMIFS(nrES_Rec,nrES_PID,$B14,nrES_Code,L$5,nrES_Final,"Yes"),""))</f>
        <v/>
      </c>
      <c r="M14" s="15">
        <f>IF(OR($B14="",M$5=""),"",IFERROR(SUMIFS(nrES_Rec,nrES_PID,$B14,nrES_Code,M$5,nrES_Final,"Yes"),""))</f>
        <v/>
      </c>
      <c r="N14" s="15">
        <f>IF(OR($B14="",N$5=""),"",IFERROR(SUMIFS(nrES_Rec,nrES_PID,$B14,nrES_Code,N$5,nrES_Final,"Yes"),""))</f>
        <v/>
      </c>
      <c r="O14" s="15">
        <f>IF(OR($B14="",O$5=""),"",IFERROR(SUMIFS(nrES_Rec,nrES_PID,$B14,nrES_Code,O$5,nrES_Final,"Yes"),""))</f>
        <v/>
      </c>
      <c r="P14" s="15">
        <f>IF(OR($B14="",P$5=""),"",IFERROR(SUMIFS(nrES_Rec,nrES_PID,$B14,nrES_Code,P$5,nrES_Final,"Yes"),""))</f>
        <v/>
      </c>
      <c r="Q14" s="15">
        <f>IF(OR($B14="",Q$5=""),"",IFERROR(SUMIFS(nrES_Rec,nrES_PID,$B14,nrES_Code,Q$5,nrES_Final,"Yes"),""))</f>
        <v/>
      </c>
      <c r="R14" s="15">
        <f>IF(OR($B14="",R$5=""),"",IFERROR(SUMIFS(nrES_Rec,nrES_PID,$B14,nrES_Code,R$5,nrES_Final,"Yes"),""))</f>
        <v/>
      </c>
      <c r="S14" s="15">
        <f>IF(OR($B14="",S$5=""),"",IFERROR(SUMIFS(nrES_Rec,nrES_PID,$B14,nrES_Code,S$5,nrES_Final,"Yes"),""))</f>
        <v/>
      </c>
      <c r="T14" s="15">
        <f>IF(OR($B14="",T$5=""),"",IFERROR(SUMIFS(nrES_Rec,nrES_PID,$B14,nrES_Code,T$5,nrES_Final,"Yes"),""))</f>
        <v/>
      </c>
      <c r="U14" s="15">
        <f>IF(OR($B14="",U$5=""),"",IFERROR(SUMIFS(nrES_Rec,nrES_PID,$B14,nrES_Code,U$5,nrES_Final,"Yes"),""))</f>
        <v/>
      </c>
      <c r="V14" s="15">
        <f>IF(OR($B14="",V$5=""),"",IFERROR(SUMIFS(nrES_Rec,nrES_PID,$B14,nrES_Code,V$5,nrES_Final,"Yes"),""))</f>
        <v/>
      </c>
      <c r="W14" s="15">
        <f>IF(OR($B14="",W$5=""),"",IFERROR(SUMIFS(nrES_Rec,nrES_PID,$B14,nrES_Code,W$5,nrES_Final,"Yes"),""))</f>
        <v/>
      </c>
      <c r="X14" s="15">
        <f>IF(OR($B14="",X$5=""),"",IFERROR(SUMIFS(nrES_Rec,nrES_PID,$B14,nrES_Code,X$5,nrES_Final,"Yes"),""))</f>
        <v/>
      </c>
      <c r="Y14" s="15">
        <f>IF(OR($B14="",Y$5=""),"",IFERROR(SUMIFS(nrES_Rec,nrES_PID,$B14,nrES_Code,Y$5,nrES_Final,"Yes"),""))</f>
        <v/>
      </c>
      <c r="Z14" s="15">
        <f>IF(OR($B14="",Z$5=""),"",IFERROR(SUMIFS(nrES_Rec,nrES_PID,$B14,nrES_Code,Z$5,nrES_Final,"Yes"),""))</f>
        <v/>
      </c>
      <c r="AA14" s="15">
        <f>IF(OR($B14="",AA$5=""),"",IFERROR(SUMIFS(nrES_Rec,nrES_PID,$B14,nrES_Code,AA$5,nrES_Final,"Yes"),""))</f>
        <v/>
      </c>
      <c r="AB14" s="15">
        <f>IF(OR($B14="",AB$5=""),"",IFERROR(SUMIFS(nrES_Rec,nrES_PID,$B14,nrES_Code,AB$5,nrES_Final,"Yes"),""))</f>
        <v/>
      </c>
      <c r="AC14" s="15">
        <f>IF($B14="","",sysGrades!$M14)</f>
        <v/>
      </c>
      <c r="AD14" s="15">
        <f>IF($B14="","",IFERROR(sysGrades!$U14,""))</f>
        <v/>
      </c>
    </row>
    <row r="15">
      <c r="B15" s="15">
        <f>IF(Cadets!$B15="","",Cadets!$B15)</f>
        <v/>
      </c>
      <c r="C15" s="15">
        <f>IF($B15="","",Cadets!$F15)</f>
        <v/>
      </c>
      <c r="D15" s="15">
        <f>IF(OR($B15="",D$5=""),"",IFERROR(SUMIFS(nrES_Rec,nrES_PID,$B15,nrES_Code,D$5,nrES_Final,"Yes"),""))</f>
        <v/>
      </c>
      <c r="E15" s="15">
        <f>IF(OR($B15="",E$5=""),"",IFERROR(SUMIFS(nrES_Rec,nrES_PID,$B15,nrES_Code,E$5,nrES_Final,"Yes"),""))</f>
        <v/>
      </c>
      <c r="F15" s="15">
        <f>IF(OR($B15="",F$5=""),"",IFERROR(SUMIFS(nrES_Rec,nrES_PID,$B15,nrES_Code,F$5,nrES_Final,"Yes"),""))</f>
        <v/>
      </c>
      <c r="G15" s="15">
        <f>IF(OR($B15="",G$5=""),"",IFERROR(SUMIFS(nrES_Rec,nrES_PID,$B15,nrES_Code,G$5,nrES_Final,"Yes"),""))</f>
        <v/>
      </c>
      <c r="H15" s="15">
        <f>IF(OR($B15="",H$5=""),"",IFERROR(SUMIFS(nrES_Rec,nrES_PID,$B15,nrES_Code,H$5,nrES_Final,"Yes"),""))</f>
        <v/>
      </c>
      <c r="I15" s="15">
        <f>IF(OR($B15="",I$5=""),"",IFERROR(SUMIFS(nrES_Rec,nrES_PID,$B15,nrES_Code,I$5,nrES_Final,"Yes"),""))</f>
        <v/>
      </c>
      <c r="J15" s="15">
        <f>IF(OR($B15="",J$5=""),"",IFERROR(SUMIFS(nrES_Rec,nrES_PID,$B15,nrES_Code,J$5,nrES_Final,"Yes"),""))</f>
        <v/>
      </c>
      <c r="K15" s="15">
        <f>IF(OR($B15="",K$5=""),"",IFERROR(SUMIFS(nrES_Rec,nrES_PID,$B15,nrES_Code,K$5,nrES_Final,"Yes"),""))</f>
        <v/>
      </c>
      <c r="L15" s="15">
        <f>IF(OR($B15="",L$5=""),"",IFERROR(SUMIFS(nrES_Rec,nrES_PID,$B15,nrES_Code,L$5,nrES_Final,"Yes"),""))</f>
        <v/>
      </c>
      <c r="M15" s="15">
        <f>IF(OR($B15="",M$5=""),"",IFERROR(SUMIFS(nrES_Rec,nrES_PID,$B15,nrES_Code,M$5,nrES_Final,"Yes"),""))</f>
        <v/>
      </c>
      <c r="N15" s="15">
        <f>IF(OR($B15="",N$5=""),"",IFERROR(SUMIFS(nrES_Rec,nrES_PID,$B15,nrES_Code,N$5,nrES_Final,"Yes"),""))</f>
        <v/>
      </c>
      <c r="O15" s="15">
        <f>IF(OR($B15="",O$5=""),"",IFERROR(SUMIFS(nrES_Rec,nrES_PID,$B15,nrES_Code,O$5,nrES_Final,"Yes"),""))</f>
        <v/>
      </c>
      <c r="P15" s="15">
        <f>IF(OR($B15="",P$5=""),"",IFERROR(SUMIFS(nrES_Rec,nrES_PID,$B15,nrES_Code,P$5,nrES_Final,"Yes"),""))</f>
        <v/>
      </c>
      <c r="Q15" s="15">
        <f>IF(OR($B15="",Q$5=""),"",IFERROR(SUMIFS(nrES_Rec,nrES_PID,$B15,nrES_Code,Q$5,nrES_Final,"Yes"),""))</f>
        <v/>
      </c>
      <c r="R15" s="15">
        <f>IF(OR($B15="",R$5=""),"",IFERROR(SUMIFS(nrES_Rec,nrES_PID,$B15,nrES_Code,R$5,nrES_Final,"Yes"),""))</f>
        <v/>
      </c>
      <c r="S15" s="15">
        <f>IF(OR($B15="",S$5=""),"",IFERROR(SUMIFS(nrES_Rec,nrES_PID,$B15,nrES_Code,S$5,nrES_Final,"Yes"),""))</f>
        <v/>
      </c>
      <c r="T15" s="15">
        <f>IF(OR($B15="",T$5=""),"",IFERROR(SUMIFS(nrES_Rec,nrES_PID,$B15,nrES_Code,T$5,nrES_Final,"Yes"),""))</f>
        <v/>
      </c>
      <c r="U15" s="15">
        <f>IF(OR($B15="",U$5=""),"",IFERROR(SUMIFS(nrES_Rec,nrES_PID,$B15,nrES_Code,U$5,nrES_Final,"Yes"),""))</f>
        <v/>
      </c>
      <c r="V15" s="15">
        <f>IF(OR($B15="",V$5=""),"",IFERROR(SUMIFS(nrES_Rec,nrES_PID,$B15,nrES_Code,V$5,nrES_Final,"Yes"),""))</f>
        <v/>
      </c>
      <c r="W15" s="15">
        <f>IF(OR($B15="",W$5=""),"",IFERROR(SUMIFS(nrES_Rec,nrES_PID,$B15,nrES_Code,W$5,nrES_Final,"Yes"),""))</f>
        <v/>
      </c>
      <c r="X15" s="15">
        <f>IF(OR($B15="",X$5=""),"",IFERROR(SUMIFS(nrES_Rec,nrES_PID,$B15,nrES_Code,X$5,nrES_Final,"Yes"),""))</f>
        <v/>
      </c>
      <c r="Y15" s="15">
        <f>IF(OR($B15="",Y$5=""),"",IFERROR(SUMIFS(nrES_Rec,nrES_PID,$B15,nrES_Code,Y$5,nrES_Final,"Yes"),""))</f>
        <v/>
      </c>
      <c r="Z15" s="15">
        <f>IF(OR($B15="",Z$5=""),"",IFERROR(SUMIFS(nrES_Rec,nrES_PID,$B15,nrES_Code,Z$5,nrES_Final,"Yes"),""))</f>
        <v/>
      </c>
      <c r="AA15" s="15">
        <f>IF(OR($B15="",AA$5=""),"",IFERROR(SUMIFS(nrES_Rec,nrES_PID,$B15,nrES_Code,AA$5,nrES_Final,"Yes"),""))</f>
        <v/>
      </c>
      <c r="AB15" s="15">
        <f>IF(OR($B15="",AB$5=""),"",IFERROR(SUMIFS(nrES_Rec,nrES_PID,$B15,nrES_Code,AB$5,nrES_Final,"Yes"),""))</f>
        <v/>
      </c>
      <c r="AC15" s="15">
        <f>IF($B15="","",sysGrades!$M15)</f>
        <v/>
      </c>
      <c r="AD15" s="15">
        <f>IF($B15="","",IFERROR(sysGrades!$U15,""))</f>
        <v/>
      </c>
    </row>
    <row r="16">
      <c r="B16" s="15">
        <f>IF(Cadets!$B16="","",Cadets!$B16)</f>
        <v/>
      </c>
      <c r="C16" s="15">
        <f>IF($B16="","",Cadets!$F16)</f>
        <v/>
      </c>
      <c r="D16" s="15">
        <f>IF(OR($B16="",D$5=""),"",IFERROR(SUMIFS(nrES_Rec,nrES_PID,$B16,nrES_Code,D$5,nrES_Final,"Yes"),""))</f>
        <v/>
      </c>
      <c r="E16" s="15">
        <f>IF(OR($B16="",E$5=""),"",IFERROR(SUMIFS(nrES_Rec,nrES_PID,$B16,nrES_Code,E$5,nrES_Final,"Yes"),""))</f>
        <v/>
      </c>
      <c r="F16" s="15">
        <f>IF(OR($B16="",F$5=""),"",IFERROR(SUMIFS(nrES_Rec,nrES_PID,$B16,nrES_Code,F$5,nrES_Final,"Yes"),""))</f>
        <v/>
      </c>
      <c r="G16" s="15">
        <f>IF(OR($B16="",G$5=""),"",IFERROR(SUMIFS(nrES_Rec,nrES_PID,$B16,nrES_Code,G$5,nrES_Final,"Yes"),""))</f>
        <v/>
      </c>
      <c r="H16" s="15">
        <f>IF(OR($B16="",H$5=""),"",IFERROR(SUMIFS(nrES_Rec,nrES_PID,$B16,nrES_Code,H$5,nrES_Final,"Yes"),""))</f>
        <v/>
      </c>
      <c r="I16" s="15">
        <f>IF(OR($B16="",I$5=""),"",IFERROR(SUMIFS(nrES_Rec,nrES_PID,$B16,nrES_Code,I$5,nrES_Final,"Yes"),""))</f>
        <v/>
      </c>
      <c r="J16" s="15">
        <f>IF(OR($B16="",J$5=""),"",IFERROR(SUMIFS(nrES_Rec,nrES_PID,$B16,nrES_Code,J$5,nrES_Final,"Yes"),""))</f>
        <v/>
      </c>
      <c r="K16" s="15">
        <f>IF(OR($B16="",K$5=""),"",IFERROR(SUMIFS(nrES_Rec,nrES_PID,$B16,nrES_Code,K$5,nrES_Final,"Yes"),""))</f>
        <v/>
      </c>
      <c r="L16" s="15">
        <f>IF(OR($B16="",L$5=""),"",IFERROR(SUMIFS(nrES_Rec,nrES_PID,$B16,nrES_Code,L$5,nrES_Final,"Yes"),""))</f>
        <v/>
      </c>
      <c r="M16" s="15">
        <f>IF(OR($B16="",M$5=""),"",IFERROR(SUMIFS(nrES_Rec,nrES_PID,$B16,nrES_Code,M$5,nrES_Final,"Yes"),""))</f>
        <v/>
      </c>
      <c r="N16" s="15">
        <f>IF(OR($B16="",N$5=""),"",IFERROR(SUMIFS(nrES_Rec,nrES_PID,$B16,nrES_Code,N$5,nrES_Final,"Yes"),""))</f>
        <v/>
      </c>
      <c r="O16" s="15">
        <f>IF(OR($B16="",O$5=""),"",IFERROR(SUMIFS(nrES_Rec,nrES_PID,$B16,nrES_Code,O$5,nrES_Final,"Yes"),""))</f>
        <v/>
      </c>
      <c r="P16" s="15">
        <f>IF(OR($B16="",P$5=""),"",IFERROR(SUMIFS(nrES_Rec,nrES_PID,$B16,nrES_Code,P$5,nrES_Final,"Yes"),""))</f>
        <v/>
      </c>
      <c r="Q16" s="15">
        <f>IF(OR($B16="",Q$5=""),"",IFERROR(SUMIFS(nrES_Rec,nrES_PID,$B16,nrES_Code,Q$5,nrES_Final,"Yes"),""))</f>
        <v/>
      </c>
      <c r="R16" s="15">
        <f>IF(OR($B16="",R$5=""),"",IFERROR(SUMIFS(nrES_Rec,nrES_PID,$B16,nrES_Code,R$5,nrES_Final,"Yes"),""))</f>
        <v/>
      </c>
      <c r="S16" s="15">
        <f>IF(OR($B16="",S$5=""),"",IFERROR(SUMIFS(nrES_Rec,nrES_PID,$B16,nrES_Code,S$5,nrES_Final,"Yes"),""))</f>
        <v/>
      </c>
      <c r="T16" s="15">
        <f>IF(OR($B16="",T$5=""),"",IFERROR(SUMIFS(nrES_Rec,nrES_PID,$B16,nrES_Code,T$5,nrES_Final,"Yes"),""))</f>
        <v/>
      </c>
      <c r="U16" s="15">
        <f>IF(OR($B16="",U$5=""),"",IFERROR(SUMIFS(nrES_Rec,nrES_PID,$B16,nrES_Code,U$5,nrES_Final,"Yes"),""))</f>
        <v/>
      </c>
      <c r="V16" s="15">
        <f>IF(OR($B16="",V$5=""),"",IFERROR(SUMIFS(nrES_Rec,nrES_PID,$B16,nrES_Code,V$5,nrES_Final,"Yes"),""))</f>
        <v/>
      </c>
      <c r="W16" s="15">
        <f>IF(OR($B16="",W$5=""),"",IFERROR(SUMIFS(nrES_Rec,nrES_PID,$B16,nrES_Code,W$5,nrES_Final,"Yes"),""))</f>
        <v/>
      </c>
      <c r="X16" s="15">
        <f>IF(OR($B16="",X$5=""),"",IFERROR(SUMIFS(nrES_Rec,nrES_PID,$B16,nrES_Code,X$5,nrES_Final,"Yes"),""))</f>
        <v/>
      </c>
      <c r="Y16" s="15">
        <f>IF(OR($B16="",Y$5=""),"",IFERROR(SUMIFS(nrES_Rec,nrES_PID,$B16,nrES_Code,Y$5,nrES_Final,"Yes"),""))</f>
        <v/>
      </c>
      <c r="Z16" s="15">
        <f>IF(OR($B16="",Z$5=""),"",IFERROR(SUMIFS(nrES_Rec,nrES_PID,$B16,nrES_Code,Z$5,nrES_Final,"Yes"),""))</f>
        <v/>
      </c>
      <c r="AA16" s="15">
        <f>IF(OR($B16="",AA$5=""),"",IFERROR(SUMIFS(nrES_Rec,nrES_PID,$B16,nrES_Code,AA$5,nrES_Final,"Yes"),""))</f>
        <v/>
      </c>
      <c r="AB16" s="15">
        <f>IF(OR($B16="",AB$5=""),"",IFERROR(SUMIFS(nrES_Rec,nrES_PID,$B16,nrES_Code,AB$5,nrES_Final,"Yes"),""))</f>
        <v/>
      </c>
      <c r="AC16" s="15">
        <f>IF($B16="","",sysGrades!$M16)</f>
        <v/>
      </c>
      <c r="AD16" s="15">
        <f>IF($B16="","",IFERROR(sysGrades!$U16,""))</f>
        <v/>
      </c>
    </row>
    <row r="17">
      <c r="B17" s="15">
        <f>IF(Cadets!$B17="","",Cadets!$B17)</f>
        <v/>
      </c>
      <c r="C17" s="15">
        <f>IF($B17="","",Cadets!$F17)</f>
        <v/>
      </c>
      <c r="D17" s="15">
        <f>IF(OR($B17="",D$5=""),"",IFERROR(SUMIFS(nrES_Rec,nrES_PID,$B17,nrES_Code,D$5,nrES_Final,"Yes"),""))</f>
        <v/>
      </c>
      <c r="E17" s="15">
        <f>IF(OR($B17="",E$5=""),"",IFERROR(SUMIFS(nrES_Rec,nrES_PID,$B17,nrES_Code,E$5,nrES_Final,"Yes"),""))</f>
        <v/>
      </c>
      <c r="F17" s="15">
        <f>IF(OR($B17="",F$5=""),"",IFERROR(SUMIFS(nrES_Rec,nrES_PID,$B17,nrES_Code,F$5,nrES_Final,"Yes"),""))</f>
        <v/>
      </c>
      <c r="G17" s="15">
        <f>IF(OR($B17="",G$5=""),"",IFERROR(SUMIFS(nrES_Rec,nrES_PID,$B17,nrES_Code,G$5,nrES_Final,"Yes"),""))</f>
        <v/>
      </c>
      <c r="H17" s="15">
        <f>IF(OR($B17="",H$5=""),"",IFERROR(SUMIFS(nrES_Rec,nrES_PID,$B17,nrES_Code,H$5,nrES_Final,"Yes"),""))</f>
        <v/>
      </c>
      <c r="I17" s="15">
        <f>IF(OR($B17="",I$5=""),"",IFERROR(SUMIFS(nrES_Rec,nrES_PID,$B17,nrES_Code,I$5,nrES_Final,"Yes"),""))</f>
        <v/>
      </c>
      <c r="J17" s="15">
        <f>IF(OR($B17="",J$5=""),"",IFERROR(SUMIFS(nrES_Rec,nrES_PID,$B17,nrES_Code,J$5,nrES_Final,"Yes"),""))</f>
        <v/>
      </c>
      <c r="K17" s="15">
        <f>IF(OR($B17="",K$5=""),"",IFERROR(SUMIFS(nrES_Rec,nrES_PID,$B17,nrES_Code,K$5,nrES_Final,"Yes"),""))</f>
        <v/>
      </c>
      <c r="L17" s="15">
        <f>IF(OR($B17="",L$5=""),"",IFERROR(SUMIFS(nrES_Rec,nrES_PID,$B17,nrES_Code,L$5,nrES_Final,"Yes"),""))</f>
        <v/>
      </c>
      <c r="M17" s="15">
        <f>IF(OR($B17="",M$5=""),"",IFERROR(SUMIFS(nrES_Rec,nrES_PID,$B17,nrES_Code,M$5,nrES_Final,"Yes"),""))</f>
        <v/>
      </c>
      <c r="N17" s="15">
        <f>IF(OR($B17="",N$5=""),"",IFERROR(SUMIFS(nrES_Rec,nrES_PID,$B17,nrES_Code,N$5,nrES_Final,"Yes"),""))</f>
        <v/>
      </c>
      <c r="O17" s="15">
        <f>IF(OR($B17="",O$5=""),"",IFERROR(SUMIFS(nrES_Rec,nrES_PID,$B17,nrES_Code,O$5,nrES_Final,"Yes"),""))</f>
        <v/>
      </c>
      <c r="P17" s="15">
        <f>IF(OR($B17="",P$5=""),"",IFERROR(SUMIFS(nrES_Rec,nrES_PID,$B17,nrES_Code,P$5,nrES_Final,"Yes"),""))</f>
        <v/>
      </c>
      <c r="Q17" s="15">
        <f>IF(OR($B17="",Q$5=""),"",IFERROR(SUMIFS(nrES_Rec,nrES_PID,$B17,nrES_Code,Q$5,nrES_Final,"Yes"),""))</f>
        <v/>
      </c>
      <c r="R17" s="15">
        <f>IF(OR($B17="",R$5=""),"",IFERROR(SUMIFS(nrES_Rec,nrES_PID,$B17,nrES_Code,R$5,nrES_Final,"Yes"),""))</f>
        <v/>
      </c>
      <c r="S17" s="15">
        <f>IF(OR($B17="",S$5=""),"",IFERROR(SUMIFS(nrES_Rec,nrES_PID,$B17,nrES_Code,S$5,nrES_Final,"Yes"),""))</f>
        <v/>
      </c>
      <c r="T17" s="15">
        <f>IF(OR($B17="",T$5=""),"",IFERROR(SUMIFS(nrES_Rec,nrES_PID,$B17,nrES_Code,T$5,nrES_Final,"Yes"),""))</f>
        <v/>
      </c>
      <c r="U17" s="15">
        <f>IF(OR($B17="",U$5=""),"",IFERROR(SUMIFS(nrES_Rec,nrES_PID,$B17,nrES_Code,U$5,nrES_Final,"Yes"),""))</f>
        <v/>
      </c>
      <c r="V17" s="15">
        <f>IF(OR($B17="",V$5=""),"",IFERROR(SUMIFS(nrES_Rec,nrES_PID,$B17,nrES_Code,V$5,nrES_Final,"Yes"),""))</f>
        <v/>
      </c>
      <c r="W17" s="15">
        <f>IF(OR($B17="",W$5=""),"",IFERROR(SUMIFS(nrES_Rec,nrES_PID,$B17,nrES_Code,W$5,nrES_Final,"Yes"),""))</f>
        <v/>
      </c>
      <c r="X17" s="15">
        <f>IF(OR($B17="",X$5=""),"",IFERROR(SUMIFS(nrES_Rec,nrES_PID,$B17,nrES_Code,X$5,nrES_Final,"Yes"),""))</f>
        <v/>
      </c>
      <c r="Y17" s="15">
        <f>IF(OR($B17="",Y$5=""),"",IFERROR(SUMIFS(nrES_Rec,nrES_PID,$B17,nrES_Code,Y$5,nrES_Final,"Yes"),""))</f>
        <v/>
      </c>
      <c r="Z17" s="15">
        <f>IF(OR($B17="",Z$5=""),"",IFERROR(SUMIFS(nrES_Rec,nrES_PID,$B17,nrES_Code,Z$5,nrES_Final,"Yes"),""))</f>
        <v/>
      </c>
      <c r="AA17" s="15">
        <f>IF(OR($B17="",AA$5=""),"",IFERROR(SUMIFS(nrES_Rec,nrES_PID,$B17,nrES_Code,AA$5,nrES_Final,"Yes"),""))</f>
        <v/>
      </c>
      <c r="AB17" s="15">
        <f>IF(OR($B17="",AB$5=""),"",IFERROR(SUMIFS(nrES_Rec,nrES_PID,$B17,nrES_Code,AB$5,nrES_Final,"Yes"),""))</f>
        <v/>
      </c>
      <c r="AC17" s="15">
        <f>IF($B17="","",sysGrades!$M17)</f>
        <v/>
      </c>
      <c r="AD17" s="15">
        <f>IF($B17="","",IFERROR(sysGrades!$U17,""))</f>
        <v/>
      </c>
    </row>
    <row r="18">
      <c r="B18" s="15">
        <f>IF(Cadets!$B18="","",Cadets!$B18)</f>
        <v/>
      </c>
      <c r="C18" s="15">
        <f>IF($B18="","",Cadets!$F18)</f>
        <v/>
      </c>
      <c r="D18" s="15">
        <f>IF(OR($B18="",D$5=""),"",IFERROR(SUMIFS(nrES_Rec,nrES_PID,$B18,nrES_Code,D$5,nrES_Final,"Yes"),""))</f>
        <v/>
      </c>
      <c r="E18" s="15">
        <f>IF(OR($B18="",E$5=""),"",IFERROR(SUMIFS(nrES_Rec,nrES_PID,$B18,nrES_Code,E$5,nrES_Final,"Yes"),""))</f>
        <v/>
      </c>
      <c r="F18" s="15">
        <f>IF(OR($B18="",F$5=""),"",IFERROR(SUMIFS(nrES_Rec,nrES_PID,$B18,nrES_Code,F$5,nrES_Final,"Yes"),""))</f>
        <v/>
      </c>
      <c r="G18" s="15">
        <f>IF(OR($B18="",G$5=""),"",IFERROR(SUMIFS(nrES_Rec,nrES_PID,$B18,nrES_Code,G$5,nrES_Final,"Yes"),""))</f>
        <v/>
      </c>
      <c r="H18" s="15">
        <f>IF(OR($B18="",H$5=""),"",IFERROR(SUMIFS(nrES_Rec,nrES_PID,$B18,nrES_Code,H$5,nrES_Final,"Yes"),""))</f>
        <v/>
      </c>
      <c r="I18" s="15">
        <f>IF(OR($B18="",I$5=""),"",IFERROR(SUMIFS(nrES_Rec,nrES_PID,$B18,nrES_Code,I$5,nrES_Final,"Yes"),""))</f>
        <v/>
      </c>
      <c r="J18" s="15">
        <f>IF(OR($B18="",J$5=""),"",IFERROR(SUMIFS(nrES_Rec,nrES_PID,$B18,nrES_Code,J$5,nrES_Final,"Yes"),""))</f>
        <v/>
      </c>
      <c r="K18" s="15">
        <f>IF(OR($B18="",K$5=""),"",IFERROR(SUMIFS(nrES_Rec,nrES_PID,$B18,nrES_Code,K$5,nrES_Final,"Yes"),""))</f>
        <v/>
      </c>
      <c r="L18" s="15">
        <f>IF(OR($B18="",L$5=""),"",IFERROR(SUMIFS(nrES_Rec,nrES_PID,$B18,nrES_Code,L$5,nrES_Final,"Yes"),""))</f>
        <v/>
      </c>
      <c r="M18" s="15">
        <f>IF(OR($B18="",M$5=""),"",IFERROR(SUMIFS(nrES_Rec,nrES_PID,$B18,nrES_Code,M$5,nrES_Final,"Yes"),""))</f>
        <v/>
      </c>
      <c r="N18" s="15">
        <f>IF(OR($B18="",N$5=""),"",IFERROR(SUMIFS(nrES_Rec,nrES_PID,$B18,nrES_Code,N$5,nrES_Final,"Yes"),""))</f>
        <v/>
      </c>
      <c r="O18" s="15">
        <f>IF(OR($B18="",O$5=""),"",IFERROR(SUMIFS(nrES_Rec,nrES_PID,$B18,nrES_Code,O$5,nrES_Final,"Yes"),""))</f>
        <v/>
      </c>
      <c r="P18" s="15">
        <f>IF(OR($B18="",P$5=""),"",IFERROR(SUMIFS(nrES_Rec,nrES_PID,$B18,nrES_Code,P$5,nrES_Final,"Yes"),""))</f>
        <v/>
      </c>
      <c r="Q18" s="15">
        <f>IF(OR($B18="",Q$5=""),"",IFERROR(SUMIFS(nrES_Rec,nrES_PID,$B18,nrES_Code,Q$5,nrES_Final,"Yes"),""))</f>
        <v/>
      </c>
      <c r="R18" s="15">
        <f>IF(OR($B18="",R$5=""),"",IFERROR(SUMIFS(nrES_Rec,nrES_PID,$B18,nrES_Code,R$5,nrES_Final,"Yes"),""))</f>
        <v/>
      </c>
      <c r="S18" s="15">
        <f>IF(OR($B18="",S$5=""),"",IFERROR(SUMIFS(nrES_Rec,nrES_PID,$B18,nrES_Code,S$5,nrES_Final,"Yes"),""))</f>
        <v/>
      </c>
      <c r="T18" s="15">
        <f>IF(OR($B18="",T$5=""),"",IFERROR(SUMIFS(nrES_Rec,nrES_PID,$B18,nrES_Code,T$5,nrES_Final,"Yes"),""))</f>
        <v/>
      </c>
      <c r="U18" s="15">
        <f>IF(OR($B18="",U$5=""),"",IFERROR(SUMIFS(nrES_Rec,nrES_PID,$B18,nrES_Code,U$5,nrES_Final,"Yes"),""))</f>
        <v/>
      </c>
      <c r="V18" s="15">
        <f>IF(OR($B18="",V$5=""),"",IFERROR(SUMIFS(nrES_Rec,nrES_PID,$B18,nrES_Code,V$5,nrES_Final,"Yes"),""))</f>
        <v/>
      </c>
      <c r="W18" s="15">
        <f>IF(OR($B18="",W$5=""),"",IFERROR(SUMIFS(nrES_Rec,nrES_PID,$B18,nrES_Code,W$5,nrES_Final,"Yes"),""))</f>
        <v/>
      </c>
      <c r="X18" s="15">
        <f>IF(OR($B18="",X$5=""),"",IFERROR(SUMIFS(nrES_Rec,nrES_PID,$B18,nrES_Code,X$5,nrES_Final,"Yes"),""))</f>
        <v/>
      </c>
      <c r="Y18" s="15">
        <f>IF(OR($B18="",Y$5=""),"",IFERROR(SUMIFS(nrES_Rec,nrES_PID,$B18,nrES_Code,Y$5,nrES_Final,"Yes"),""))</f>
        <v/>
      </c>
      <c r="Z18" s="15">
        <f>IF(OR($B18="",Z$5=""),"",IFERROR(SUMIFS(nrES_Rec,nrES_PID,$B18,nrES_Code,Z$5,nrES_Final,"Yes"),""))</f>
        <v/>
      </c>
      <c r="AA18" s="15">
        <f>IF(OR($B18="",AA$5=""),"",IFERROR(SUMIFS(nrES_Rec,nrES_PID,$B18,nrES_Code,AA$5,nrES_Final,"Yes"),""))</f>
        <v/>
      </c>
      <c r="AB18" s="15">
        <f>IF(OR($B18="",AB$5=""),"",IFERROR(SUMIFS(nrES_Rec,nrES_PID,$B18,nrES_Code,AB$5,nrES_Final,"Yes"),""))</f>
        <v/>
      </c>
      <c r="AC18" s="15">
        <f>IF($B18="","",sysGrades!$M18)</f>
        <v/>
      </c>
      <c r="AD18" s="15">
        <f>IF($B18="","",IFERROR(sysGrades!$U18,""))</f>
        <v/>
      </c>
    </row>
    <row r="19">
      <c r="B19" s="15">
        <f>IF(Cadets!$B19="","",Cadets!$B19)</f>
        <v/>
      </c>
      <c r="C19" s="15">
        <f>IF($B19="","",Cadets!$F19)</f>
        <v/>
      </c>
      <c r="D19" s="15">
        <f>IF(OR($B19="",D$5=""),"",IFERROR(SUMIFS(nrES_Rec,nrES_PID,$B19,nrES_Code,D$5,nrES_Final,"Yes"),""))</f>
        <v/>
      </c>
      <c r="E19" s="15">
        <f>IF(OR($B19="",E$5=""),"",IFERROR(SUMIFS(nrES_Rec,nrES_PID,$B19,nrES_Code,E$5,nrES_Final,"Yes"),""))</f>
        <v/>
      </c>
      <c r="F19" s="15">
        <f>IF(OR($B19="",F$5=""),"",IFERROR(SUMIFS(nrES_Rec,nrES_PID,$B19,nrES_Code,F$5,nrES_Final,"Yes"),""))</f>
        <v/>
      </c>
      <c r="G19" s="15">
        <f>IF(OR($B19="",G$5=""),"",IFERROR(SUMIFS(nrES_Rec,nrES_PID,$B19,nrES_Code,G$5,nrES_Final,"Yes"),""))</f>
        <v/>
      </c>
      <c r="H19" s="15">
        <f>IF(OR($B19="",H$5=""),"",IFERROR(SUMIFS(nrES_Rec,nrES_PID,$B19,nrES_Code,H$5,nrES_Final,"Yes"),""))</f>
        <v/>
      </c>
      <c r="I19" s="15">
        <f>IF(OR($B19="",I$5=""),"",IFERROR(SUMIFS(nrES_Rec,nrES_PID,$B19,nrES_Code,I$5,nrES_Final,"Yes"),""))</f>
        <v/>
      </c>
      <c r="J19" s="15">
        <f>IF(OR($B19="",J$5=""),"",IFERROR(SUMIFS(nrES_Rec,nrES_PID,$B19,nrES_Code,J$5,nrES_Final,"Yes"),""))</f>
        <v/>
      </c>
      <c r="K19" s="15">
        <f>IF(OR($B19="",K$5=""),"",IFERROR(SUMIFS(nrES_Rec,nrES_PID,$B19,nrES_Code,K$5,nrES_Final,"Yes"),""))</f>
        <v/>
      </c>
      <c r="L19" s="15">
        <f>IF(OR($B19="",L$5=""),"",IFERROR(SUMIFS(nrES_Rec,nrES_PID,$B19,nrES_Code,L$5,nrES_Final,"Yes"),""))</f>
        <v/>
      </c>
      <c r="M19" s="15">
        <f>IF(OR($B19="",M$5=""),"",IFERROR(SUMIFS(nrES_Rec,nrES_PID,$B19,nrES_Code,M$5,nrES_Final,"Yes"),""))</f>
        <v/>
      </c>
      <c r="N19" s="15">
        <f>IF(OR($B19="",N$5=""),"",IFERROR(SUMIFS(nrES_Rec,nrES_PID,$B19,nrES_Code,N$5,nrES_Final,"Yes"),""))</f>
        <v/>
      </c>
      <c r="O19" s="15">
        <f>IF(OR($B19="",O$5=""),"",IFERROR(SUMIFS(nrES_Rec,nrES_PID,$B19,nrES_Code,O$5,nrES_Final,"Yes"),""))</f>
        <v/>
      </c>
      <c r="P19" s="15">
        <f>IF(OR($B19="",P$5=""),"",IFERROR(SUMIFS(nrES_Rec,nrES_PID,$B19,nrES_Code,P$5,nrES_Final,"Yes"),""))</f>
        <v/>
      </c>
      <c r="Q19" s="15">
        <f>IF(OR($B19="",Q$5=""),"",IFERROR(SUMIFS(nrES_Rec,nrES_PID,$B19,nrES_Code,Q$5,nrES_Final,"Yes"),""))</f>
        <v/>
      </c>
      <c r="R19" s="15">
        <f>IF(OR($B19="",R$5=""),"",IFERROR(SUMIFS(nrES_Rec,nrES_PID,$B19,nrES_Code,R$5,nrES_Final,"Yes"),""))</f>
        <v/>
      </c>
      <c r="S19" s="15">
        <f>IF(OR($B19="",S$5=""),"",IFERROR(SUMIFS(nrES_Rec,nrES_PID,$B19,nrES_Code,S$5,nrES_Final,"Yes"),""))</f>
        <v/>
      </c>
      <c r="T19" s="15">
        <f>IF(OR($B19="",T$5=""),"",IFERROR(SUMIFS(nrES_Rec,nrES_PID,$B19,nrES_Code,T$5,nrES_Final,"Yes"),""))</f>
        <v/>
      </c>
      <c r="U19" s="15">
        <f>IF(OR($B19="",U$5=""),"",IFERROR(SUMIFS(nrES_Rec,nrES_PID,$B19,nrES_Code,U$5,nrES_Final,"Yes"),""))</f>
        <v/>
      </c>
      <c r="V19" s="15">
        <f>IF(OR($B19="",V$5=""),"",IFERROR(SUMIFS(nrES_Rec,nrES_PID,$B19,nrES_Code,V$5,nrES_Final,"Yes"),""))</f>
        <v/>
      </c>
      <c r="W19" s="15">
        <f>IF(OR($B19="",W$5=""),"",IFERROR(SUMIFS(nrES_Rec,nrES_PID,$B19,nrES_Code,W$5,nrES_Final,"Yes"),""))</f>
        <v/>
      </c>
      <c r="X19" s="15">
        <f>IF(OR($B19="",X$5=""),"",IFERROR(SUMIFS(nrES_Rec,nrES_PID,$B19,nrES_Code,X$5,nrES_Final,"Yes"),""))</f>
        <v/>
      </c>
      <c r="Y19" s="15">
        <f>IF(OR($B19="",Y$5=""),"",IFERROR(SUMIFS(nrES_Rec,nrES_PID,$B19,nrES_Code,Y$5,nrES_Final,"Yes"),""))</f>
        <v/>
      </c>
      <c r="Z19" s="15">
        <f>IF(OR($B19="",Z$5=""),"",IFERROR(SUMIFS(nrES_Rec,nrES_PID,$B19,nrES_Code,Z$5,nrES_Final,"Yes"),""))</f>
        <v/>
      </c>
      <c r="AA19" s="15">
        <f>IF(OR($B19="",AA$5=""),"",IFERROR(SUMIFS(nrES_Rec,nrES_PID,$B19,nrES_Code,AA$5,nrES_Final,"Yes"),""))</f>
        <v/>
      </c>
      <c r="AB19" s="15">
        <f>IF(OR($B19="",AB$5=""),"",IFERROR(SUMIFS(nrES_Rec,nrES_PID,$B19,nrES_Code,AB$5,nrES_Final,"Yes"),""))</f>
        <v/>
      </c>
      <c r="AC19" s="15">
        <f>IF($B19="","",sysGrades!$M19)</f>
        <v/>
      </c>
      <c r="AD19" s="15">
        <f>IF($B19="","",IFERROR(sysGrades!$U19,""))</f>
        <v/>
      </c>
    </row>
    <row r="20">
      <c r="B20" s="15">
        <f>IF(Cadets!$B20="","",Cadets!$B20)</f>
        <v/>
      </c>
      <c r="C20" s="15">
        <f>IF($B20="","",Cadets!$F20)</f>
        <v/>
      </c>
      <c r="D20" s="15">
        <f>IF(OR($B20="",D$5=""),"",IFERROR(SUMIFS(nrES_Rec,nrES_PID,$B20,nrES_Code,D$5,nrES_Final,"Yes"),""))</f>
        <v/>
      </c>
      <c r="E20" s="15">
        <f>IF(OR($B20="",E$5=""),"",IFERROR(SUMIFS(nrES_Rec,nrES_PID,$B20,nrES_Code,E$5,nrES_Final,"Yes"),""))</f>
        <v/>
      </c>
      <c r="F20" s="15">
        <f>IF(OR($B20="",F$5=""),"",IFERROR(SUMIFS(nrES_Rec,nrES_PID,$B20,nrES_Code,F$5,nrES_Final,"Yes"),""))</f>
        <v/>
      </c>
      <c r="G20" s="15">
        <f>IF(OR($B20="",G$5=""),"",IFERROR(SUMIFS(nrES_Rec,nrES_PID,$B20,nrES_Code,G$5,nrES_Final,"Yes"),""))</f>
        <v/>
      </c>
      <c r="H20" s="15">
        <f>IF(OR($B20="",H$5=""),"",IFERROR(SUMIFS(nrES_Rec,nrES_PID,$B20,nrES_Code,H$5,nrES_Final,"Yes"),""))</f>
        <v/>
      </c>
      <c r="I20" s="15">
        <f>IF(OR($B20="",I$5=""),"",IFERROR(SUMIFS(nrES_Rec,nrES_PID,$B20,nrES_Code,I$5,nrES_Final,"Yes"),""))</f>
        <v/>
      </c>
      <c r="J20" s="15">
        <f>IF(OR($B20="",J$5=""),"",IFERROR(SUMIFS(nrES_Rec,nrES_PID,$B20,nrES_Code,J$5,nrES_Final,"Yes"),""))</f>
        <v/>
      </c>
      <c r="K20" s="15">
        <f>IF(OR($B20="",K$5=""),"",IFERROR(SUMIFS(nrES_Rec,nrES_PID,$B20,nrES_Code,K$5,nrES_Final,"Yes"),""))</f>
        <v/>
      </c>
      <c r="L20" s="15">
        <f>IF(OR($B20="",L$5=""),"",IFERROR(SUMIFS(nrES_Rec,nrES_PID,$B20,nrES_Code,L$5,nrES_Final,"Yes"),""))</f>
        <v/>
      </c>
      <c r="M20" s="15">
        <f>IF(OR($B20="",M$5=""),"",IFERROR(SUMIFS(nrES_Rec,nrES_PID,$B20,nrES_Code,M$5,nrES_Final,"Yes"),""))</f>
        <v/>
      </c>
      <c r="N20" s="15">
        <f>IF(OR($B20="",N$5=""),"",IFERROR(SUMIFS(nrES_Rec,nrES_PID,$B20,nrES_Code,N$5,nrES_Final,"Yes"),""))</f>
        <v/>
      </c>
      <c r="O20" s="15">
        <f>IF(OR($B20="",O$5=""),"",IFERROR(SUMIFS(nrES_Rec,nrES_PID,$B20,nrES_Code,O$5,nrES_Final,"Yes"),""))</f>
        <v/>
      </c>
      <c r="P20" s="15">
        <f>IF(OR($B20="",P$5=""),"",IFERROR(SUMIFS(nrES_Rec,nrES_PID,$B20,nrES_Code,P$5,nrES_Final,"Yes"),""))</f>
        <v/>
      </c>
      <c r="Q20" s="15">
        <f>IF(OR($B20="",Q$5=""),"",IFERROR(SUMIFS(nrES_Rec,nrES_PID,$B20,nrES_Code,Q$5,nrES_Final,"Yes"),""))</f>
        <v/>
      </c>
      <c r="R20" s="15">
        <f>IF(OR($B20="",R$5=""),"",IFERROR(SUMIFS(nrES_Rec,nrES_PID,$B20,nrES_Code,R$5,nrES_Final,"Yes"),""))</f>
        <v/>
      </c>
      <c r="S20" s="15">
        <f>IF(OR($B20="",S$5=""),"",IFERROR(SUMIFS(nrES_Rec,nrES_PID,$B20,nrES_Code,S$5,nrES_Final,"Yes"),""))</f>
        <v/>
      </c>
      <c r="T20" s="15">
        <f>IF(OR($B20="",T$5=""),"",IFERROR(SUMIFS(nrES_Rec,nrES_PID,$B20,nrES_Code,T$5,nrES_Final,"Yes"),""))</f>
        <v/>
      </c>
      <c r="U20" s="15">
        <f>IF(OR($B20="",U$5=""),"",IFERROR(SUMIFS(nrES_Rec,nrES_PID,$B20,nrES_Code,U$5,nrES_Final,"Yes"),""))</f>
        <v/>
      </c>
      <c r="V20" s="15">
        <f>IF(OR($B20="",V$5=""),"",IFERROR(SUMIFS(nrES_Rec,nrES_PID,$B20,nrES_Code,V$5,nrES_Final,"Yes"),""))</f>
        <v/>
      </c>
      <c r="W20" s="15">
        <f>IF(OR($B20="",W$5=""),"",IFERROR(SUMIFS(nrES_Rec,nrES_PID,$B20,nrES_Code,W$5,nrES_Final,"Yes"),""))</f>
        <v/>
      </c>
      <c r="X20" s="15">
        <f>IF(OR($B20="",X$5=""),"",IFERROR(SUMIFS(nrES_Rec,nrES_PID,$B20,nrES_Code,X$5,nrES_Final,"Yes"),""))</f>
        <v/>
      </c>
      <c r="Y20" s="15">
        <f>IF(OR($B20="",Y$5=""),"",IFERROR(SUMIFS(nrES_Rec,nrES_PID,$B20,nrES_Code,Y$5,nrES_Final,"Yes"),""))</f>
        <v/>
      </c>
      <c r="Z20" s="15">
        <f>IF(OR($B20="",Z$5=""),"",IFERROR(SUMIFS(nrES_Rec,nrES_PID,$B20,nrES_Code,Z$5,nrES_Final,"Yes"),""))</f>
        <v/>
      </c>
      <c r="AA20" s="15">
        <f>IF(OR($B20="",AA$5=""),"",IFERROR(SUMIFS(nrES_Rec,nrES_PID,$B20,nrES_Code,AA$5,nrES_Final,"Yes"),""))</f>
        <v/>
      </c>
      <c r="AB20" s="15">
        <f>IF(OR($B20="",AB$5=""),"",IFERROR(SUMIFS(nrES_Rec,nrES_PID,$B20,nrES_Code,AB$5,nrES_Final,"Yes"),""))</f>
        <v/>
      </c>
      <c r="AC20" s="15">
        <f>IF($B20="","",sysGrades!$M20)</f>
        <v/>
      </c>
      <c r="AD20" s="15">
        <f>IF($B20="","",IFERROR(sysGrades!$U20,""))</f>
        <v/>
      </c>
    </row>
    <row r="21">
      <c r="B21" s="15">
        <f>IF(Cadets!$B21="","",Cadets!$B21)</f>
        <v/>
      </c>
      <c r="C21" s="15">
        <f>IF($B21="","",Cadets!$F21)</f>
        <v/>
      </c>
      <c r="D21" s="15">
        <f>IF(OR($B21="",D$5=""),"",IFERROR(SUMIFS(nrES_Rec,nrES_PID,$B21,nrES_Code,D$5,nrES_Final,"Yes"),""))</f>
        <v/>
      </c>
      <c r="E21" s="15">
        <f>IF(OR($B21="",E$5=""),"",IFERROR(SUMIFS(nrES_Rec,nrES_PID,$B21,nrES_Code,E$5,nrES_Final,"Yes"),""))</f>
        <v/>
      </c>
      <c r="F21" s="15">
        <f>IF(OR($B21="",F$5=""),"",IFERROR(SUMIFS(nrES_Rec,nrES_PID,$B21,nrES_Code,F$5,nrES_Final,"Yes"),""))</f>
        <v/>
      </c>
      <c r="G21" s="15">
        <f>IF(OR($B21="",G$5=""),"",IFERROR(SUMIFS(nrES_Rec,nrES_PID,$B21,nrES_Code,G$5,nrES_Final,"Yes"),""))</f>
        <v/>
      </c>
      <c r="H21" s="15">
        <f>IF(OR($B21="",H$5=""),"",IFERROR(SUMIFS(nrES_Rec,nrES_PID,$B21,nrES_Code,H$5,nrES_Final,"Yes"),""))</f>
        <v/>
      </c>
      <c r="I21" s="15">
        <f>IF(OR($B21="",I$5=""),"",IFERROR(SUMIFS(nrES_Rec,nrES_PID,$B21,nrES_Code,I$5,nrES_Final,"Yes"),""))</f>
        <v/>
      </c>
      <c r="J21" s="15">
        <f>IF(OR($B21="",J$5=""),"",IFERROR(SUMIFS(nrES_Rec,nrES_PID,$B21,nrES_Code,J$5,nrES_Final,"Yes"),""))</f>
        <v/>
      </c>
      <c r="K21" s="15">
        <f>IF(OR($B21="",K$5=""),"",IFERROR(SUMIFS(nrES_Rec,nrES_PID,$B21,nrES_Code,K$5,nrES_Final,"Yes"),""))</f>
        <v/>
      </c>
      <c r="L21" s="15">
        <f>IF(OR($B21="",L$5=""),"",IFERROR(SUMIFS(nrES_Rec,nrES_PID,$B21,nrES_Code,L$5,nrES_Final,"Yes"),""))</f>
        <v/>
      </c>
      <c r="M21" s="15">
        <f>IF(OR($B21="",M$5=""),"",IFERROR(SUMIFS(nrES_Rec,nrES_PID,$B21,nrES_Code,M$5,nrES_Final,"Yes"),""))</f>
        <v/>
      </c>
      <c r="N21" s="15">
        <f>IF(OR($B21="",N$5=""),"",IFERROR(SUMIFS(nrES_Rec,nrES_PID,$B21,nrES_Code,N$5,nrES_Final,"Yes"),""))</f>
        <v/>
      </c>
      <c r="O21" s="15">
        <f>IF(OR($B21="",O$5=""),"",IFERROR(SUMIFS(nrES_Rec,nrES_PID,$B21,nrES_Code,O$5,nrES_Final,"Yes"),""))</f>
        <v/>
      </c>
      <c r="P21" s="15">
        <f>IF(OR($B21="",P$5=""),"",IFERROR(SUMIFS(nrES_Rec,nrES_PID,$B21,nrES_Code,P$5,nrES_Final,"Yes"),""))</f>
        <v/>
      </c>
      <c r="Q21" s="15">
        <f>IF(OR($B21="",Q$5=""),"",IFERROR(SUMIFS(nrES_Rec,nrES_PID,$B21,nrES_Code,Q$5,nrES_Final,"Yes"),""))</f>
        <v/>
      </c>
      <c r="R21" s="15">
        <f>IF(OR($B21="",R$5=""),"",IFERROR(SUMIFS(nrES_Rec,nrES_PID,$B21,nrES_Code,R$5,nrES_Final,"Yes"),""))</f>
        <v/>
      </c>
      <c r="S21" s="15">
        <f>IF(OR($B21="",S$5=""),"",IFERROR(SUMIFS(nrES_Rec,nrES_PID,$B21,nrES_Code,S$5,nrES_Final,"Yes"),""))</f>
        <v/>
      </c>
      <c r="T21" s="15">
        <f>IF(OR($B21="",T$5=""),"",IFERROR(SUMIFS(nrES_Rec,nrES_PID,$B21,nrES_Code,T$5,nrES_Final,"Yes"),""))</f>
        <v/>
      </c>
      <c r="U21" s="15">
        <f>IF(OR($B21="",U$5=""),"",IFERROR(SUMIFS(nrES_Rec,nrES_PID,$B21,nrES_Code,U$5,nrES_Final,"Yes"),""))</f>
        <v/>
      </c>
      <c r="V21" s="15">
        <f>IF(OR($B21="",V$5=""),"",IFERROR(SUMIFS(nrES_Rec,nrES_PID,$B21,nrES_Code,V$5,nrES_Final,"Yes"),""))</f>
        <v/>
      </c>
      <c r="W21" s="15">
        <f>IF(OR($B21="",W$5=""),"",IFERROR(SUMIFS(nrES_Rec,nrES_PID,$B21,nrES_Code,W$5,nrES_Final,"Yes"),""))</f>
        <v/>
      </c>
      <c r="X21" s="15">
        <f>IF(OR($B21="",X$5=""),"",IFERROR(SUMIFS(nrES_Rec,nrES_PID,$B21,nrES_Code,X$5,nrES_Final,"Yes"),""))</f>
        <v/>
      </c>
      <c r="Y21" s="15">
        <f>IF(OR($B21="",Y$5=""),"",IFERROR(SUMIFS(nrES_Rec,nrES_PID,$B21,nrES_Code,Y$5,nrES_Final,"Yes"),""))</f>
        <v/>
      </c>
      <c r="Z21" s="15">
        <f>IF(OR($B21="",Z$5=""),"",IFERROR(SUMIFS(nrES_Rec,nrES_PID,$B21,nrES_Code,Z$5,nrES_Final,"Yes"),""))</f>
        <v/>
      </c>
      <c r="AA21" s="15">
        <f>IF(OR($B21="",AA$5=""),"",IFERROR(SUMIFS(nrES_Rec,nrES_PID,$B21,nrES_Code,AA$5,nrES_Final,"Yes"),""))</f>
        <v/>
      </c>
      <c r="AB21" s="15">
        <f>IF(OR($B21="",AB$5=""),"",IFERROR(SUMIFS(nrES_Rec,nrES_PID,$B21,nrES_Code,AB$5,nrES_Final,"Yes"),""))</f>
        <v/>
      </c>
      <c r="AC21" s="15">
        <f>IF($B21="","",sysGrades!$M21)</f>
        <v/>
      </c>
      <c r="AD21" s="15">
        <f>IF($B21="","",IFERROR(sysGrades!$U21,""))</f>
        <v/>
      </c>
    </row>
    <row r="22">
      <c r="B22" s="15">
        <f>IF(Cadets!$B22="","",Cadets!$B22)</f>
        <v/>
      </c>
      <c r="C22" s="15">
        <f>IF($B22="","",Cadets!$F22)</f>
        <v/>
      </c>
      <c r="D22" s="15">
        <f>IF(OR($B22="",D$5=""),"",IFERROR(SUMIFS(nrES_Rec,nrES_PID,$B22,nrES_Code,D$5,nrES_Final,"Yes"),""))</f>
        <v/>
      </c>
      <c r="E22" s="15">
        <f>IF(OR($B22="",E$5=""),"",IFERROR(SUMIFS(nrES_Rec,nrES_PID,$B22,nrES_Code,E$5,nrES_Final,"Yes"),""))</f>
        <v/>
      </c>
      <c r="F22" s="15">
        <f>IF(OR($B22="",F$5=""),"",IFERROR(SUMIFS(nrES_Rec,nrES_PID,$B22,nrES_Code,F$5,nrES_Final,"Yes"),""))</f>
        <v/>
      </c>
      <c r="G22" s="15">
        <f>IF(OR($B22="",G$5=""),"",IFERROR(SUMIFS(nrES_Rec,nrES_PID,$B22,nrES_Code,G$5,nrES_Final,"Yes"),""))</f>
        <v/>
      </c>
      <c r="H22" s="15">
        <f>IF(OR($B22="",H$5=""),"",IFERROR(SUMIFS(nrES_Rec,nrES_PID,$B22,nrES_Code,H$5,nrES_Final,"Yes"),""))</f>
        <v/>
      </c>
      <c r="I22" s="15">
        <f>IF(OR($B22="",I$5=""),"",IFERROR(SUMIFS(nrES_Rec,nrES_PID,$B22,nrES_Code,I$5,nrES_Final,"Yes"),""))</f>
        <v/>
      </c>
      <c r="J22" s="15">
        <f>IF(OR($B22="",J$5=""),"",IFERROR(SUMIFS(nrES_Rec,nrES_PID,$B22,nrES_Code,J$5,nrES_Final,"Yes"),""))</f>
        <v/>
      </c>
      <c r="K22" s="15">
        <f>IF(OR($B22="",K$5=""),"",IFERROR(SUMIFS(nrES_Rec,nrES_PID,$B22,nrES_Code,K$5,nrES_Final,"Yes"),""))</f>
        <v/>
      </c>
      <c r="L22" s="15">
        <f>IF(OR($B22="",L$5=""),"",IFERROR(SUMIFS(nrES_Rec,nrES_PID,$B22,nrES_Code,L$5,nrES_Final,"Yes"),""))</f>
        <v/>
      </c>
      <c r="M22" s="15">
        <f>IF(OR($B22="",M$5=""),"",IFERROR(SUMIFS(nrES_Rec,nrES_PID,$B22,nrES_Code,M$5,nrES_Final,"Yes"),""))</f>
        <v/>
      </c>
      <c r="N22" s="15">
        <f>IF(OR($B22="",N$5=""),"",IFERROR(SUMIFS(nrES_Rec,nrES_PID,$B22,nrES_Code,N$5,nrES_Final,"Yes"),""))</f>
        <v/>
      </c>
      <c r="O22" s="15">
        <f>IF(OR($B22="",O$5=""),"",IFERROR(SUMIFS(nrES_Rec,nrES_PID,$B22,nrES_Code,O$5,nrES_Final,"Yes"),""))</f>
        <v/>
      </c>
      <c r="P22" s="15">
        <f>IF(OR($B22="",P$5=""),"",IFERROR(SUMIFS(nrES_Rec,nrES_PID,$B22,nrES_Code,P$5,nrES_Final,"Yes"),""))</f>
        <v/>
      </c>
      <c r="Q22" s="15">
        <f>IF(OR($B22="",Q$5=""),"",IFERROR(SUMIFS(nrES_Rec,nrES_PID,$B22,nrES_Code,Q$5,nrES_Final,"Yes"),""))</f>
        <v/>
      </c>
      <c r="R22" s="15">
        <f>IF(OR($B22="",R$5=""),"",IFERROR(SUMIFS(nrES_Rec,nrES_PID,$B22,nrES_Code,R$5,nrES_Final,"Yes"),""))</f>
        <v/>
      </c>
      <c r="S22" s="15">
        <f>IF(OR($B22="",S$5=""),"",IFERROR(SUMIFS(nrES_Rec,nrES_PID,$B22,nrES_Code,S$5,nrES_Final,"Yes"),""))</f>
        <v/>
      </c>
      <c r="T22" s="15">
        <f>IF(OR($B22="",T$5=""),"",IFERROR(SUMIFS(nrES_Rec,nrES_PID,$B22,nrES_Code,T$5,nrES_Final,"Yes"),""))</f>
        <v/>
      </c>
      <c r="U22" s="15">
        <f>IF(OR($B22="",U$5=""),"",IFERROR(SUMIFS(nrES_Rec,nrES_PID,$B22,nrES_Code,U$5,nrES_Final,"Yes"),""))</f>
        <v/>
      </c>
      <c r="V22" s="15">
        <f>IF(OR($B22="",V$5=""),"",IFERROR(SUMIFS(nrES_Rec,nrES_PID,$B22,nrES_Code,V$5,nrES_Final,"Yes"),""))</f>
        <v/>
      </c>
      <c r="W22" s="15">
        <f>IF(OR($B22="",W$5=""),"",IFERROR(SUMIFS(nrES_Rec,nrES_PID,$B22,nrES_Code,W$5,nrES_Final,"Yes"),""))</f>
        <v/>
      </c>
      <c r="X22" s="15">
        <f>IF(OR($B22="",X$5=""),"",IFERROR(SUMIFS(nrES_Rec,nrES_PID,$B22,nrES_Code,X$5,nrES_Final,"Yes"),""))</f>
        <v/>
      </c>
      <c r="Y22" s="15">
        <f>IF(OR($B22="",Y$5=""),"",IFERROR(SUMIFS(nrES_Rec,nrES_PID,$B22,nrES_Code,Y$5,nrES_Final,"Yes"),""))</f>
        <v/>
      </c>
      <c r="Z22" s="15">
        <f>IF(OR($B22="",Z$5=""),"",IFERROR(SUMIFS(nrES_Rec,nrES_PID,$B22,nrES_Code,Z$5,nrES_Final,"Yes"),""))</f>
        <v/>
      </c>
      <c r="AA22" s="15">
        <f>IF(OR($B22="",AA$5=""),"",IFERROR(SUMIFS(nrES_Rec,nrES_PID,$B22,nrES_Code,AA$5,nrES_Final,"Yes"),""))</f>
        <v/>
      </c>
      <c r="AB22" s="15">
        <f>IF(OR($B22="",AB$5=""),"",IFERROR(SUMIFS(nrES_Rec,nrES_PID,$B22,nrES_Code,AB$5,nrES_Final,"Yes"),""))</f>
        <v/>
      </c>
      <c r="AC22" s="15">
        <f>IF($B22="","",sysGrades!$M22)</f>
        <v/>
      </c>
      <c r="AD22" s="15">
        <f>IF($B22="","",IFERROR(sysGrades!$U22,""))</f>
        <v/>
      </c>
    </row>
    <row r="23">
      <c r="B23" s="15">
        <f>IF(Cadets!$B23="","",Cadets!$B23)</f>
        <v/>
      </c>
      <c r="C23" s="15">
        <f>IF($B23="","",Cadets!$F23)</f>
        <v/>
      </c>
      <c r="D23" s="15">
        <f>IF(OR($B23="",D$5=""),"",IFERROR(SUMIFS(nrES_Rec,nrES_PID,$B23,nrES_Code,D$5,nrES_Final,"Yes"),""))</f>
        <v/>
      </c>
      <c r="E23" s="15">
        <f>IF(OR($B23="",E$5=""),"",IFERROR(SUMIFS(nrES_Rec,nrES_PID,$B23,nrES_Code,E$5,nrES_Final,"Yes"),""))</f>
        <v/>
      </c>
      <c r="F23" s="15">
        <f>IF(OR($B23="",F$5=""),"",IFERROR(SUMIFS(nrES_Rec,nrES_PID,$B23,nrES_Code,F$5,nrES_Final,"Yes"),""))</f>
        <v/>
      </c>
      <c r="G23" s="15">
        <f>IF(OR($B23="",G$5=""),"",IFERROR(SUMIFS(nrES_Rec,nrES_PID,$B23,nrES_Code,G$5,nrES_Final,"Yes"),""))</f>
        <v/>
      </c>
      <c r="H23" s="15">
        <f>IF(OR($B23="",H$5=""),"",IFERROR(SUMIFS(nrES_Rec,nrES_PID,$B23,nrES_Code,H$5,nrES_Final,"Yes"),""))</f>
        <v/>
      </c>
      <c r="I23" s="15">
        <f>IF(OR($B23="",I$5=""),"",IFERROR(SUMIFS(nrES_Rec,nrES_PID,$B23,nrES_Code,I$5,nrES_Final,"Yes"),""))</f>
        <v/>
      </c>
      <c r="J23" s="15">
        <f>IF(OR($B23="",J$5=""),"",IFERROR(SUMIFS(nrES_Rec,nrES_PID,$B23,nrES_Code,J$5,nrES_Final,"Yes"),""))</f>
        <v/>
      </c>
      <c r="K23" s="15">
        <f>IF(OR($B23="",K$5=""),"",IFERROR(SUMIFS(nrES_Rec,nrES_PID,$B23,nrES_Code,K$5,nrES_Final,"Yes"),""))</f>
        <v/>
      </c>
      <c r="L23" s="15">
        <f>IF(OR($B23="",L$5=""),"",IFERROR(SUMIFS(nrES_Rec,nrES_PID,$B23,nrES_Code,L$5,nrES_Final,"Yes"),""))</f>
        <v/>
      </c>
      <c r="M23" s="15">
        <f>IF(OR($B23="",M$5=""),"",IFERROR(SUMIFS(nrES_Rec,nrES_PID,$B23,nrES_Code,M$5,nrES_Final,"Yes"),""))</f>
        <v/>
      </c>
      <c r="N23" s="15">
        <f>IF(OR($B23="",N$5=""),"",IFERROR(SUMIFS(nrES_Rec,nrES_PID,$B23,nrES_Code,N$5,nrES_Final,"Yes"),""))</f>
        <v/>
      </c>
      <c r="O23" s="15">
        <f>IF(OR($B23="",O$5=""),"",IFERROR(SUMIFS(nrES_Rec,nrES_PID,$B23,nrES_Code,O$5,nrES_Final,"Yes"),""))</f>
        <v/>
      </c>
      <c r="P23" s="15">
        <f>IF(OR($B23="",P$5=""),"",IFERROR(SUMIFS(nrES_Rec,nrES_PID,$B23,nrES_Code,P$5,nrES_Final,"Yes"),""))</f>
        <v/>
      </c>
      <c r="Q23" s="15">
        <f>IF(OR($B23="",Q$5=""),"",IFERROR(SUMIFS(nrES_Rec,nrES_PID,$B23,nrES_Code,Q$5,nrES_Final,"Yes"),""))</f>
        <v/>
      </c>
      <c r="R23" s="15">
        <f>IF(OR($B23="",R$5=""),"",IFERROR(SUMIFS(nrES_Rec,nrES_PID,$B23,nrES_Code,R$5,nrES_Final,"Yes"),""))</f>
        <v/>
      </c>
      <c r="S23" s="15">
        <f>IF(OR($B23="",S$5=""),"",IFERROR(SUMIFS(nrES_Rec,nrES_PID,$B23,nrES_Code,S$5,nrES_Final,"Yes"),""))</f>
        <v/>
      </c>
      <c r="T23" s="15">
        <f>IF(OR($B23="",T$5=""),"",IFERROR(SUMIFS(nrES_Rec,nrES_PID,$B23,nrES_Code,T$5,nrES_Final,"Yes"),""))</f>
        <v/>
      </c>
      <c r="U23" s="15">
        <f>IF(OR($B23="",U$5=""),"",IFERROR(SUMIFS(nrES_Rec,nrES_PID,$B23,nrES_Code,U$5,nrES_Final,"Yes"),""))</f>
        <v/>
      </c>
      <c r="V23" s="15">
        <f>IF(OR($B23="",V$5=""),"",IFERROR(SUMIFS(nrES_Rec,nrES_PID,$B23,nrES_Code,V$5,nrES_Final,"Yes"),""))</f>
        <v/>
      </c>
      <c r="W23" s="15">
        <f>IF(OR($B23="",W$5=""),"",IFERROR(SUMIFS(nrES_Rec,nrES_PID,$B23,nrES_Code,W$5,nrES_Final,"Yes"),""))</f>
        <v/>
      </c>
      <c r="X23" s="15">
        <f>IF(OR($B23="",X$5=""),"",IFERROR(SUMIFS(nrES_Rec,nrES_PID,$B23,nrES_Code,X$5,nrES_Final,"Yes"),""))</f>
        <v/>
      </c>
      <c r="Y23" s="15">
        <f>IF(OR($B23="",Y$5=""),"",IFERROR(SUMIFS(nrES_Rec,nrES_PID,$B23,nrES_Code,Y$5,nrES_Final,"Yes"),""))</f>
        <v/>
      </c>
      <c r="Z23" s="15">
        <f>IF(OR($B23="",Z$5=""),"",IFERROR(SUMIFS(nrES_Rec,nrES_PID,$B23,nrES_Code,Z$5,nrES_Final,"Yes"),""))</f>
        <v/>
      </c>
      <c r="AA23" s="15">
        <f>IF(OR($B23="",AA$5=""),"",IFERROR(SUMIFS(nrES_Rec,nrES_PID,$B23,nrES_Code,AA$5,nrES_Final,"Yes"),""))</f>
        <v/>
      </c>
      <c r="AB23" s="15">
        <f>IF(OR($B23="",AB$5=""),"",IFERROR(SUMIFS(nrES_Rec,nrES_PID,$B23,nrES_Code,AB$5,nrES_Final,"Yes"),""))</f>
        <v/>
      </c>
      <c r="AC23" s="15">
        <f>IF($B23="","",sysGrades!$M23)</f>
        <v/>
      </c>
      <c r="AD23" s="15">
        <f>IF($B23="","",IFERROR(sysGrades!$U23,""))</f>
        <v/>
      </c>
    </row>
    <row r="24">
      <c r="B24" s="15">
        <f>IF(Cadets!$B24="","",Cadets!$B24)</f>
        <v/>
      </c>
      <c r="C24" s="15">
        <f>IF($B24="","",Cadets!$F24)</f>
        <v/>
      </c>
      <c r="D24" s="15">
        <f>IF(OR($B24="",D$5=""),"",IFERROR(SUMIFS(nrES_Rec,nrES_PID,$B24,nrES_Code,D$5,nrES_Final,"Yes"),""))</f>
        <v/>
      </c>
      <c r="E24" s="15">
        <f>IF(OR($B24="",E$5=""),"",IFERROR(SUMIFS(nrES_Rec,nrES_PID,$B24,nrES_Code,E$5,nrES_Final,"Yes"),""))</f>
        <v/>
      </c>
      <c r="F24" s="15">
        <f>IF(OR($B24="",F$5=""),"",IFERROR(SUMIFS(nrES_Rec,nrES_PID,$B24,nrES_Code,F$5,nrES_Final,"Yes"),""))</f>
        <v/>
      </c>
      <c r="G24" s="15">
        <f>IF(OR($B24="",G$5=""),"",IFERROR(SUMIFS(nrES_Rec,nrES_PID,$B24,nrES_Code,G$5,nrES_Final,"Yes"),""))</f>
        <v/>
      </c>
      <c r="H24" s="15">
        <f>IF(OR($B24="",H$5=""),"",IFERROR(SUMIFS(nrES_Rec,nrES_PID,$B24,nrES_Code,H$5,nrES_Final,"Yes"),""))</f>
        <v/>
      </c>
      <c r="I24" s="15">
        <f>IF(OR($B24="",I$5=""),"",IFERROR(SUMIFS(nrES_Rec,nrES_PID,$B24,nrES_Code,I$5,nrES_Final,"Yes"),""))</f>
        <v/>
      </c>
      <c r="J24" s="15">
        <f>IF(OR($B24="",J$5=""),"",IFERROR(SUMIFS(nrES_Rec,nrES_PID,$B24,nrES_Code,J$5,nrES_Final,"Yes"),""))</f>
        <v/>
      </c>
      <c r="K24" s="15">
        <f>IF(OR($B24="",K$5=""),"",IFERROR(SUMIFS(nrES_Rec,nrES_PID,$B24,nrES_Code,K$5,nrES_Final,"Yes"),""))</f>
        <v/>
      </c>
      <c r="L24" s="15">
        <f>IF(OR($B24="",L$5=""),"",IFERROR(SUMIFS(nrES_Rec,nrES_PID,$B24,nrES_Code,L$5,nrES_Final,"Yes"),""))</f>
        <v/>
      </c>
      <c r="M24" s="15">
        <f>IF(OR($B24="",M$5=""),"",IFERROR(SUMIFS(nrES_Rec,nrES_PID,$B24,nrES_Code,M$5,nrES_Final,"Yes"),""))</f>
        <v/>
      </c>
      <c r="N24" s="15">
        <f>IF(OR($B24="",N$5=""),"",IFERROR(SUMIFS(nrES_Rec,nrES_PID,$B24,nrES_Code,N$5,nrES_Final,"Yes"),""))</f>
        <v/>
      </c>
      <c r="O24" s="15">
        <f>IF(OR($B24="",O$5=""),"",IFERROR(SUMIFS(nrES_Rec,nrES_PID,$B24,nrES_Code,O$5,nrES_Final,"Yes"),""))</f>
        <v/>
      </c>
      <c r="P24" s="15">
        <f>IF(OR($B24="",P$5=""),"",IFERROR(SUMIFS(nrES_Rec,nrES_PID,$B24,nrES_Code,P$5,nrES_Final,"Yes"),""))</f>
        <v/>
      </c>
      <c r="Q24" s="15">
        <f>IF(OR($B24="",Q$5=""),"",IFERROR(SUMIFS(nrES_Rec,nrES_PID,$B24,nrES_Code,Q$5,nrES_Final,"Yes"),""))</f>
        <v/>
      </c>
      <c r="R24" s="15">
        <f>IF(OR($B24="",R$5=""),"",IFERROR(SUMIFS(nrES_Rec,nrES_PID,$B24,nrES_Code,R$5,nrES_Final,"Yes"),""))</f>
        <v/>
      </c>
      <c r="S24" s="15">
        <f>IF(OR($B24="",S$5=""),"",IFERROR(SUMIFS(nrES_Rec,nrES_PID,$B24,nrES_Code,S$5,nrES_Final,"Yes"),""))</f>
        <v/>
      </c>
      <c r="T24" s="15">
        <f>IF(OR($B24="",T$5=""),"",IFERROR(SUMIFS(nrES_Rec,nrES_PID,$B24,nrES_Code,T$5,nrES_Final,"Yes"),""))</f>
        <v/>
      </c>
      <c r="U24" s="15">
        <f>IF(OR($B24="",U$5=""),"",IFERROR(SUMIFS(nrES_Rec,nrES_PID,$B24,nrES_Code,U$5,nrES_Final,"Yes"),""))</f>
        <v/>
      </c>
      <c r="V24" s="15">
        <f>IF(OR($B24="",V$5=""),"",IFERROR(SUMIFS(nrES_Rec,nrES_PID,$B24,nrES_Code,V$5,nrES_Final,"Yes"),""))</f>
        <v/>
      </c>
      <c r="W24" s="15">
        <f>IF(OR($B24="",W$5=""),"",IFERROR(SUMIFS(nrES_Rec,nrES_PID,$B24,nrES_Code,W$5,nrES_Final,"Yes"),""))</f>
        <v/>
      </c>
      <c r="X24" s="15">
        <f>IF(OR($B24="",X$5=""),"",IFERROR(SUMIFS(nrES_Rec,nrES_PID,$B24,nrES_Code,X$5,nrES_Final,"Yes"),""))</f>
        <v/>
      </c>
      <c r="Y24" s="15">
        <f>IF(OR($B24="",Y$5=""),"",IFERROR(SUMIFS(nrES_Rec,nrES_PID,$B24,nrES_Code,Y$5,nrES_Final,"Yes"),""))</f>
        <v/>
      </c>
      <c r="Z24" s="15">
        <f>IF(OR($B24="",Z$5=""),"",IFERROR(SUMIFS(nrES_Rec,nrES_PID,$B24,nrES_Code,Z$5,nrES_Final,"Yes"),""))</f>
        <v/>
      </c>
      <c r="AA24" s="15">
        <f>IF(OR($B24="",AA$5=""),"",IFERROR(SUMIFS(nrES_Rec,nrES_PID,$B24,nrES_Code,AA$5,nrES_Final,"Yes"),""))</f>
        <v/>
      </c>
      <c r="AB24" s="15">
        <f>IF(OR($B24="",AB$5=""),"",IFERROR(SUMIFS(nrES_Rec,nrES_PID,$B24,nrES_Code,AB$5,nrES_Final,"Yes"),""))</f>
        <v/>
      </c>
      <c r="AC24" s="15">
        <f>IF($B24="","",sysGrades!$M24)</f>
        <v/>
      </c>
      <c r="AD24" s="15">
        <f>IF($B24="","",IFERROR(sysGrades!$U24,""))</f>
        <v/>
      </c>
    </row>
    <row r="25">
      <c r="B25" s="15">
        <f>IF(Cadets!$B25="","",Cadets!$B25)</f>
        <v/>
      </c>
      <c r="C25" s="15">
        <f>IF($B25="","",Cadets!$F25)</f>
        <v/>
      </c>
      <c r="D25" s="15">
        <f>IF(OR($B25="",D$5=""),"",IFERROR(SUMIFS(nrES_Rec,nrES_PID,$B25,nrES_Code,D$5,nrES_Final,"Yes"),""))</f>
        <v/>
      </c>
      <c r="E25" s="15">
        <f>IF(OR($B25="",E$5=""),"",IFERROR(SUMIFS(nrES_Rec,nrES_PID,$B25,nrES_Code,E$5,nrES_Final,"Yes"),""))</f>
        <v/>
      </c>
      <c r="F25" s="15">
        <f>IF(OR($B25="",F$5=""),"",IFERROR(SUMIFS(nrES_Rec,nrES_PID,$B25,nrES_Code,F$5,nrES_Final,"Yes"),""))</f>
        <v/>
      </c>
      <c r="G25" s="15">
        <f>IF(OR($B25="",G$5=""),"",IFERROR(SUMIFS(nrES_Rec,nrES_PID,$B25,nrES_Code,G$5,nrES_Final,"Yes"),""))</f>
        <v/>
      </c>
      <c r="H25" s="15">
        <f>IF(OR($B25="",H$5=""),"",IFERROR(SUMIFS(nrES_Rec,nrES_PID,$B25,nrES_Code,H$5,nrES_Final,"Yes"),""))</f>
        <v/>
      </c>
      <c r="I25" s="15">
        <f>IF(OR($B25="",I$5=""),"",IFERROR(SUMIFS(nrES_Rec,nrES_PID,$B25,nrES_Code,I$5,nrES_Final,"Yes"),""))</f>
        <v/>
      </c>
      <c r="J25" s="15">
        <f>IF(OR($B25="",J$5=""),"",IFERROR(SUMIFS(nrES_Rec,nrES_PID,$B25,nrES_Code,J$5,nrES_Final,"Yes"),""))</f>
        <v/>
      </c>
      <c r="K25" s="15">
        <f>IF(OR($B25="",K$5=""),"",IFERROR(SUMIFS(nrES_Rec,nrES_PID,$B25,nrES_Code,K$5,nrES_Final,"Yes"),""))</f>
        <v/>
      </c>
      <c r="L25" s="15">
        <f>IF(OR($B25="",L$5=""),"",IFERROR(SUMIFS(nrES_Rec,nrES_PID,$B25,nrES_Code,L$5,nrES_Final,"Yes"),""))</f>
        <v/>
      </c>
      <c r="M25" s="15">
        <f>IF(OR($B25="",M$5=""),"",IFERROR(SUMIFS(nrES_Rec,nrES_PID,$B25,nrES_Code,M$5,nrES_Final,"Yes"),""))</f>
        <v/>
      </c>
      <c r="N25" s="15">
        <f>IF(OR($B25="",N$5=""),"",IFERROR(SUMIFS(nrES_Rec,nrES_PID,$B25,nrES_Code,N$5,nrES_Final,"Yes"),""))</f>
        <v/>
      </c>
      <c r="O25" s="15">
        <f>IF(OR($B25="",O$5=""),"",IFERROR(SUMIFS(nrES_Rec,nrES_PID,$B25,nrES_Code,O$5,nrES_Final,"Yes"),""))</f>
        <v/>
      </c>
      <c r="P25" s="15">
        <f>IF(OR($B25="",P$5=""),"",IFERROR(SUMIFS(nrES_Rec,nrES_PID,$B25,nrES_Code,P$5,nrES_Final,"Yes"),""))</f>
        <v/>
      </c>
      <c r="Q25" s="15">
        <f>IF(OR($B25="",Q$5=""),"",IFERROR(SUMIFS(nrES_Rec,nrES_PID,$B25,nrES_Code,Q$5,nrES_Final,"Yes"),""))</f>
        <v/>
      </c>
      <c r="R25" s="15">
        <f>IF(OR($B25="",R$5=""),"",IFERROR(SUMIFS(nrES_Rec,nrES_PID,$B25,nrES_Code,R$5,nrES_Final,"Yes"),""))</f>
        <v/>
      </c>
      <c r="S25" s="15">
        <f>IF(OR($B25="",S$5=""),"",IFERROR(SUMIFS(nrES_Rec,nrES_PID,$B25,nrES_Code,S$5,nrES_Final,"Yes"),""))</f>
        <v/>
      </c>
      <c r="T25" s="15">
        <f>IF(OR($B25="",T$5=""),"",IFERROR(SUMIFS(nrES_Rec,nrES_PID,$B25,nrES_Code,T$5,nrES_Final,"Yes"),""))</f>
        <v/>
      </c>
      <c r="U25" s="15">
        <f>IF(OR($B25="",U$5=""),"",IFERROR(SUMIFS(nrES_Rec,nrES_PID,$B25,nrES_Code,U$5,nrES_Final,"Yes"),""))</f>
        <v/>
      </c>
      <c r="V25" s="15">
        <f>IF(OR($B25="",V$5=""),"",IFERROR(SUMIFS(nrES_Rec,nrES_PID,$B25,nrES_Code,V$5,nrES_Final,"Yes"),""))</f>
        <v/>
      </c>
      <c r="W25" s="15">
        <f>IF(OR($B25="",W$5=""),"",IFERROR(SUMIFS(nrES_Rec,nrES_PID,$B25,nrES_Code,W$5,nrES_Final,"Yes"),""))</f>
        <v/>
      </c>
      <c r="X25" s="15">
        <f>IF(OR($B25="",X$5=""),"",IFERROR(SUMIFS(nrES_Rec,nrES_PID,$B25,nrES_Code,X$5,nrES_Final,"Yes"),""))</f>
        <v/>
      </c>
      <c r="Y25" s="15">
        <f>IF(OR($B25="",Y$5=""),"",IFERROR(SUMIFS(nrES_Rec,nrES_PID,$B25,nrES_Code,Y$5,nrES_Final,"Yes"),""))</f>
        <v/>
      </c>
      <c r="Z25" s="15">
        <f>IF(OR($B25="",Z$5=""),"",IFERROR(SUMIFS(nrES_Rec,nrES_PID,$B25,nrES_Code,Z$5,nrES_Final,"Yes"),""))</f>
        <v/>
      </c>
      <c r="AA25" s="15">
        <f>IF(OR($B25="",AA$5=""),"",IFERROR(SUMIFS(nrES_Rec,nrES_PID,$B25,nrES_Code,AA$5,nrES_Final,"Yes"),""))</f>
        <v/>
      </c>
      <c r="AB25" s="15">
        <f>IF(OR($B25="",AB$5=""),"",IFERROR(SUMIFS(nrES_Rec,nrES_PID,$B25,nrES_Code,AB$5,nrES_Final,"Yes"),""))</f>
        <v/>
      </c>
      <c r="AC25" s="15">
        <f>IF($B25="","",sysGrades!$M25)</f>
        <v/>
      </c>
      <c r="AD25" s="15">
        <f>IF($B25="","",IFERROR(sysGrades!$U25,""))</f>
        <v/>
      </c>
    </row>
    <row r="26">
      <c r="B26" s="15">
        <f>IF(Cadets!$B26="","",Cadets!$B26)</f>
        <v/>
      </c>
      <c r="C26" s="15">
        <f>IF($B26="","",Cadets!$F26)</f>
        <v/>
      </c>
      <c r="D26" s="15">
        <f>IF(OR($B26="",D$5=""),"",IFERROR(SUMIFS(nrES_Rec,nrES_PID,$B26,nrES_Code,D$5,nrES_Final,"Yes"),""))</f>
        <v/>
      </c>
      <c r="E26" s="15">
        <f>IF(OR($B26="",E$5=""),"",IFERROR(SUMIFS(nrES_Rec,nrES_PID,$B26,nrES_Code,E$5,nrES_Final,"Yes"),""))</f>
        <v/>
      </c>
      <c r="F26" s="15">
        <f>IF(OR($B26="",F$5=""),"",IFERROR(SUMIFS(nrES_Rec,nrES_PID,$B26,nrES_Code,F$5,nrES_Final,"Yes"),""))</f>
        <v/>
      </c>
      <c r="G26" s="15">
        <f>IF(OR($B26="",G$5=""),"",IFERROR(SUMIFS(nrES_Rec,nrES_PID,$B26,nrES_Code,G$5,nrES_Final,"Yes"),""))</f>
        <v/>
      </c>
      <c r="H26" s="15">
        <f>IF(OR($B26="",H$5=""),"",IFERROR(SUMIFS(nrES_Rec,nrES_PID,$B26,nrES_Code,H$5,nrES_Final,"Yes"),""))</f>
        <v/>
      </c>
      <c r="I26" s="15">
        <f>IF(OR($B26="",I$5=""),"",IFERROR(SUMIFS(nrES_Rec,nrES_PID,$B26,nrES_Code,I$5,nrES_Final,"Yes"),""))</f>
        <v/>
      </c>
      <c r="J26" s="15">
        <f>IF(OR($B26="",J$5=""),"",IFERROR(SUMIFS(nrES_Rec,nrES_PID,$B26,nrES_Code,J$5,nrES_Final,"Yes"),""))</f>
        <v/>
      </c>
      <c r="K26" s="15">
        <f>IF(OR($B26="",K$5=""),"",IFERROR(SUMIFS(nrES_Rec,nrES_PID,$B26,nrES_Code,K$5,nrES_Final,"Yes"),""))</f>
        <v/>
      </c>
      <c r="L26" s="15">
        <f>IF(OR($B26="",L$5=""),"",IFERROR(SUMIFS(nrES_Rec,nrES_PID,$B26,nrES_Code,L$5,nrES_Final,"Yes"),""))</f>
        <v/>
      </c>
      <c r="M26" s="15">
        <f>IF(OR($B26="",M$5=""),"",IFERROR(SUMIFS(nrES_Rec,nrES_PID,$B26,nrES_Code,M$5,nrES_Final,"Yes"),""))</f>
        <v/>
      </c>
      <c r="N26" s="15">
        <f>IF(OR($B26="",N$5=""),"",IFERROR(SUMIFS(nrES_Rec,nrES_PID,$B26,nrES_Code,N$5,nrES_Final,"Yes"),""))</f>
        <v/>
      </c>
      <c r="O26" s="15">
        <f>IF(OR($B26="",O$5=""),"",IFERROR(SUMIFS(nrES_Rec,nrES_PID,$B26,nrES_Code,O$5,nrES_Final,"Yes"),""))</f>
        <v/>
      </c>
      <c r="P26" s="15">
        <f>IF(OR($B26="",P$5=""),"",IFERROR(SUMIFS(nrES_Rec,nrES_PID,$B26,nrES_Code,P$5,nrES_Final,"Yes"),""))</f>
        <v/>
      </c>
      <c r="Q26" s="15">
        <f>IF(OR($B26="",Q$5=""),"",IFERROR(SUMIFS(nrES_Rec,nrES_PID,$B26,nrES_Code,Q$5,nrES_Final,"Yes"),""))</f>
        <v/>
      </c>
      <c r="R26" s="15">
        <f>IF(OR($B26="",R$5=""),"",IFERROR(SUMIFS(nrES_Rec,nrES_PID,$B26,nrES_Code,R$5,nrES_Final,"Yes"),""))</f>
        <v/>
      </c>
      <c r="S26" s="15">
        <f>IF(OR($B26="",S$5=""),"",IFERROR(SUMIFS(nrES_Rec,nrES_PID,$B26,nrES_Code,S$5,nrES_Final,"Yes"),""))</f>
        <v/>
      </c>
      <c r="T26" s="15">
        <f>IF(OR($B26="",T$5=""),"",IFERROR(SUMIFS(nrES_Rec,nrES_PID,$B26,nrES_Code,T$5,nrES_Final,"Yes"),""))</f>
        <v/>
      </c>
      <c r="U26" s="15">
        <f>IF(OR($B26="",U$5=""),"",IFERROR(SUMIFS(nrES_Rec,nrES_PID,$B26,nrES_Code,U$5,nrES_Final,"Yes"),""))</f>
        <v/>
      </c>
      <c r="V26" s="15">
        <f>IF(OR($B26="",V$5=""),"",IFERROR(SUMIFS(nrES_Rec,nrES_PID,$B26,nrES_Code,V$5,nrES_Final,"Yes"),""))</f>
        <v/>
      </c>
      <c r="W26" s="15">
        <f>IF(OR($B26="",W$5=""),"",IFERROR(SUMIFS(nrES_Rec,nrES_PID,$B26,nrES_Code,W$5,nrES_Final,"Yes"),""))</f>
        <v/>
      </c>
      <c r="X26" s="15">
        <f>IF(OR($B26="",X$5=""),"",IFERROR(SUMIFS(nrES_Rec,nrES_PID,$B26,nrES_Code,X$5,nrES_Final,"Yes"),""))</f>
        <v/>
      </c>
      <c r="Y26" s="15">
        <f>IF(OR($B26="",Y$5=""),"",IFERROR(SUMIFS(nrES_Rec,nrES_PID,$B26,nrES_Code,Y$5,nrES_Final,"Yes"),""))</f>
        <v/>
      </c>
      <c r="Z26" s="15">
        <f>IF(OR($B26="",Z$5=""),"",IFERROR(SUMIFS(nrES_Rec,nrES_PID,$B26,nrES_Code,Z$5,nrES_Final,"Yes"),""))</f>
        <v/>
      </c>
      <c r="AA26" s="15">
        <f>IF(OR($B26="",AA$5=""),"",IFERROR(SUMIFS(nrES_Rec,nrES_PID,$B26,nrES_Code,AA$5,nrES_Final,"Yes"),""))</f>
        <v/>
      </c>
      <c r="AB26" s="15">
        <f>IF(OR($B26="",AB$5=""),"",IFERROR(SUMIFS(nrES_Rec,nrES_PID,$B26,nrES_Code,AB$5,nrES_Final,"Yes"),""))</f>
        <v/>
      </c>
      <c r="AC26" s="15">
        <f>IF($B26="","",sysGrades!$M26)</f>
        <v/>
      </c>
      <c r="AD26" s="15">
        <f>IF($B26="","",IFERROR(sysGrades!$U26,""))</f>
        <v/>
      </c>
    </row>
    <row r="27">
      <c r="B27" s="15">
        <f>IF(Cadets!$B27="","",Cadets!$B27)</f>
        <v/>
      </c>
      <c r="C27" s="15">
        <f>IF($B27="","",Cadets!$F27)</f>
        <v/>
      </c>
      <c r="D27" s="15">
        <f>IF(OR($B27="",D$5=""),"",IFERROR(SUMIFS(nrES_Rec,nrES_PID,$B27,nrES_Code,D$5,nrES_Final,"Yes"),""))</f>
        <v/>
      </c>
      <c r="E27" s="15">
        <f>IF(OR($B27="",E$5=""),"",IFERROR(SUMIFS(nrES_Rec,nrES_PID,$B27,nrES_Code,E$5,nrES_Final,"Yes"),""))</f>
        <v/>
      </c>
      <c r="F27" s="15">
        <f>IF(OR($B27="",F$5=""),"",IFERROR(SUMIFS(nrES_Rec,nrES_PID,$B27,nrES_Code,F$5,nrES_Final,"Yes"),""))</f>
        <v/>
      </c>
      <c r="G27" s="15">
        <f>IF(OR($B27="",G$5=""),"",IFERROR(SUMIFS(nrES_Rec,nrES_PID,$B27,nrES_Code,G$5,nrES_Final,"Yes"),""))</f>
        <v/>
      </c>
      <c r="H27" s="15">
        <f>IF(OR($B27="",H$5=""),"",IFERROR(SUMIFS(nrES_Rec,nrES_PID,$B27,nrES_Code,H$5,nrES_Final,"Yes"),""))</f>
        <v/>
      </c>
      <c r="I27" s="15">
        <f>IF(OR($B27="",I$5=""),"",IFERROR(SUMIFS(nrES_Rec,nrES_PID,$B27,nrES_Code,I$5,nrES_Final,"Yes"),""))</f>
        <v/>
      </c>
      <c r="J27" s="15">
        <f>IF(OR($B27="",J$5=""),"",IFERROR(SUMIFS(nrES_Rec,nrES_PID,$B27,nrES_Code,J$5,nrES_Final,"Yes"),""))</f>
        <v/>
      </c>
      <c r="K27" s="15">
        <f>IF(OR($B27="",K$5=""),"",IFERROR(SUMIFS(nrES_Rec,nrES_PID,$B27,nrES_Code,K$5,nrES_Final,"Yes"),""))</f>
        <v/>
      </c>
      <c r="L27" s="15">
        <f>IF(OR($B27="",L$5=""),"",IFERROR(SUMIFS(nrES_Rec,nrES_PID,$B27,nrES_Code,L$5,nrES_Final,"Yes"),""))</f>
        <v/>
      </c>
      <c r="M27" s="15">
        <f>IF(OR($B27="",M$5=""),"",IFERROR(SUMIFS(nrES_Rec,nrES_PID,$B27,nrES_Code,M$5,nrES_Final,"Yes"),""))</f>
        <v/>
      </c>
      <c r="N27" s="15">
        <f>IF(OR($B27="",N$5=""),"",IFERROR(SUMIFS(nrES_Rec,nrES_PID,$B27,nrES_Code,N$5,nrES_Final,"Yes"),""))</f>
        <v/>
      </c>
      <c r="O27" s="15">
        <f>IF(OR($B27="",O$5=""),"",IFERROR(SUMIFS(nrES_Rec,nrES_PID,$B27,nrES_Code,O$5,nrES_Final,"Yes"),""))</f>
        <v/>
      </c>
      <c r="P27" s="15">
        <f>IF(OR($B27="",P$5=""),"",IFERROR(SUMIFS(nrES_Rec,nrES_PID,$B27,nrES_Code,P$5,nrES_Final,"Yes"),""))</f>
        <v/>
      </c>
      <c r="Q27" s="15">
        <f>IF(OR($B27="",Q$5=""),"",IFERROR(SUMIFS(nrES_Rec,nrES_PID,$B27,nrES_Code,Q$5,nrES_Final,"Yes"),""))</f>
        <v/>
      </c>
      <c r="R27" s="15">
        <f>IF(OR($B27="",R$5=""),"",IFERROR(SUMIFS(nrES_Rec,nrES_PID,$B27,nrES_Code,R$5,nrES_Final,"Yes"),""))</f>
        <v/>
      </c>
      <c r="S27" s="15">
        <f>IF(OR($B27="",S$5=""),"",IFERROR(SUMIFS(nrES_Rec,nrES_PID,$B27,nrES_Code,S$5,nrES_Final,"Yes"),""))</f>
        <v/>
      </c>
      <c r="T27" s="15">
        <f>IF(OR($B27="",T$5=""),"",IFERROR(SUMIFS(nrES_Rec,nrES_PID,$B27,nrES_Code,T$5,nrES_Final,"Yes"),""))</f>
        <v/>
      </c>
      <c r="U27" s="15">
        <f>IF(OR($B27="",U$5=""),"",IFERROR(SUMIFS(nrES_Rec,nrES_PID,$B27,nrES_Code,U$5,nrES_Final,"Yes"),""))</f>
        <v/>
      </c>
      <c r="V27" s="15">
        <f>IF(OR($B27="",V$5=""),"",IFERROR(SUMIFS(nrES_Rec,nrES_PID,$B27,nrES_Code,V$5,nrES_Final,"Yes"),""))</f>
        <v/>
      </c>
      <c r="W27" s="15">
        <f>IF(OR($B27="",W$5=""),"",IFERROR(SUMIFS(nrES_Rec,nrES_PID,$B27,nrES_Code,W$5,nrES_Final,"Yes"),""))</f>
        <v/>
      </c>
      <c r="X27" s="15">
        <f>IF(OR($B27="",X$5=""),"",IFERROR(SUMIFS(nrES_Rec,nrES_PID,$B27,nrES_Code,X$5,nrES_Final,"Yes"),""))</f>
        <v/>
      </c>
      <c r="Y27" s="15">
        <f>IF(OR($B27="",Y$5=""),"",IFERROR(SUMIFS(nrES_Rec,nrES_PID,$B27,nrES_Code,Y$5,nrES_Final,"Yes"),""))</f>
        <v/>
      </c>
      <c r="Z27" s="15">
        <f>IF(OR($B27="",Z$5=""),"",IFERROR(SUMIFS(nrES_Rec,nrES_PID,$B27,nrES_Code,Z$5,nrES_Final,"Yes"),""))</f>
        <v/>
      </c>
      <c r="AA27" s="15">
        <f>IF(OR($B27="",AA$5=""),"",IFERROR(SUMIFS(nrES_Rec,nrES_PID,$B27,nrES_Code,AA$5,nrES_Final,"Yes"),""))</f>
        <v/>
      </c>
      <c r="AB27" s="15">
        <f>IF(OR($B27="",AB$5=""),"",IFERROR(SUMIFS(nrES_Rec,nrES_PID,$B27,nrES_Code,AB$5,nrES_Final,"Yes"),""))</f>
        <v/>
      </c>
      <c r="AC27" s="15">
        <f>IF($B27="","",sysGrades!$M27)</f>
        <v/>
      </c>
      <c r="AD27" s="15">
        <f>IF($B27="","",IFERROR(sysGrades!$U27,""))</f>
        <v/>
      </c>
    </row>
    <row r="28">
      <c r="B28" s="15">
        <f>IF(Cadets!$B28="","",Cadets!$B28)</f>
        <v/>
      </c>
      <c r="C28" s="15">
        <f>IF($B28="","",Cadets!$F28)</f>
        <v/>
      </c>
      <c r="D28" s="15">
        <f>IF(OR($B28="",D$5=""),"",IFERROR(SUMIFS(nrES_Rec,nrES_PID,$B28,nrES_Code,D$5,nrES_Final,"Yes"),""))</f>
        <v/>
      </c>
      <c r="E28" s="15">
        <f>IF(OR($B28="",E$5=""),"",IFERROR(SUMIFS(nrES_Rec,nrES_PID,$B28,nrES_Code,E$5,nrES_Final,"Yes"),""))</f>
        <v/>
      </c>
      <c r="F28" s="15">
        <f>IF(OR($B28="",F$5=""),"",IFERROR(SUMIFS(nrES_Rec,nrES_PID,$B28,nrES_Code,F$5,nrES_Final,"Yes"),""))</f>
        <v/>
      </c>
      <c r="G28" s="15">
        <f>IF(OR($B28="",G$5=""),"",IFERROR(SUMIFS(nrES_Rec,nrES_PID,$B28,nrES_Code,G$5,nrES_Final,"Yes"),""))</f>
        <v/>
      </c>
      <c r="H28" s="15">
        <f>IF(OR($B28="",H$5=""),"",IFERROR(SUMIFS(nrES_Rec,nrES_PID,$B28,nrES_Code,H$5,nrES_Final,"Yes"),""))</f>
        <v/>
      </c>
      <c r="I28" s="15">
        <f>IF(OR($B28="",I$5=""),"",IFERROR(SUMIFS(nrES_Rec,nrES_PID,$B28,nrES_Code,I$5,nrES_Final,"Yes"),""))</f>
        <v/>
      </c>
      <c r="J28" s="15">
        <f>IF(OR($B28="",J$5=""),"",IFERROR(SUMIFS(nrES_Rec,nrES_PID,$B28,nrES_Code,J$5,nrES_Final,"Yes"),""))</f>
        <v/>
      </c>
      <c r="K28" s="15">
        <f>IF(OR($B28="",K$5=""),"",IFERROR(SUMIFS(nrES_Rec,nrES_PID,$B28,nrES_Code,K$5,nrES_Final,"Yes"),""))</f>
        <v/>
      </c>
      <c r="L28" s="15">
        <f>IF(OR($B28="",L$5=""),"",IFERROR(SUMIFS(nrES_Rec,nrES_PID,$B28,nrES_Code,L$5,nrES_Final,"Yes"),""))</f>
        <v/>
      </c>
      <c r="M28" s="15">
        <f>IF(OR($B28="",M$5=""),"",IFERROR(SUMIFS(nrES_Rec,nrES_PID,$B28,nrES_Code,M$5,nrES_Final,"Yes"),""))</f>
        <v/>
      </c>
      <c r="N28" s="15">
        <f>IF(OR($B28="",N$5=""),"",IFERROR(SUMIFS(nrES_Rec,nrES_PID,$B28,nrES_Code,N$5,nrES_Final,"Yes"),""))</f>
        <v/>
      </c>
      <c r="O28" s="15">
        <f>IF(OR($B28="",O$5=""),"",IFERROR(SUMIFS(nrES_Rec,nrES_PID,$B28,nrES_Code,O$5,nrES_Final,"Yes"),""))</f>
        <v/>
      </c>
      <c r="P28" s="15">
        <f>IF(OR($B28="",P$5=""),"",IFERROR(SUMIFS(nrES_Rec,nrES_PID,$B28,nrES_Code,P$5,nrES_Final,"Yes"),""))</f>
        <v/>
      </c>
      <c r="Q28" s="15">
        <f>IF(OR($B28="",Q$5=""),"",IFERROR(SUMIFS(nrES_Rec,nrES_PID,$B28,nrES_Code,Q$5,nrES_Final,"Yes"),""))</f>
        <v/>
      </c>
      <c r="R28" s="15">
        <f>IF(OR($B28="",R$5=""),"",IFERROR(SUMIFS(nrES_Rec,nrES_PID,$B28,nrES_Code,R$5,nrES_Final,"Yes"),""))</f>
        <v/>
      </c>
      <c r="S28" s="15">
        <f>IF(OR($B28="",S$5=""),"",IFERROR(SUMIFS(nrES_Rec,nrES_PID,$B28,nrES_Code,S$5,nrES_Final,"Yes"),""))</f>
        <v/>
      </c>
      <c r="T28" s="15">
        <f>IF(OR($B28="",T$5=""),"",IFERROR(SUMIFS(nrES_Rec,nrES_PID,$B28,nrES_Code,T$5,nrES_Final,"Yes"),""))</f>
        <v/>
      </c>
      <c r="U28" s="15">
        <f>IF(OR($B28="",U$5=""),"",IFERROR(SUMIFS(nrES_Rec,nrES_PID,$B28,nrES_Code,U$5,nrES_Final,"Yes"),""))</f>
        <v/>
      </c>
      <c r="V28" s="15">
        <f>IF(OR($B28="",V$5=""),"",IFERROR(SUMIFS(nrES_Rec,nrES_PID,$B28,nrES_Code,V$5,nrES_Final,"Yes"),""))</f>
        <v/>
      </c>
      <c r="W28" s="15">
        <f>IF(OR($B28="",W$5=""),"",IFERROR(SUMIFS(nrES_Rec,nrES_PID,$B28,nrES_Code,W$5,nrES_Final,"Yes"),""))</f>
        <v/>
      </c>
      <c r="X28" s="15">
        <f>IF(OR($B28="",X$5=""),"",IFERROR(SUMIFS(nrES_Rec,nrES_PID,$B28,nrES_Code,X$5,nrES_Final,"Yes"),""))</f>
        <v/>
      </c>
      <c r="Y28" s="15">
        <f>IF(OR($B28="",Y$5=""),"",IFERROR(SUMIFS(nrES_Rec,nrES_PID,$B28,nrES_Code,Y$5,nrES_Final,"Yes"),""))</f>
        <v/>
      </c>
      <c r="Z28" s="15">
        <f>IF(OR($B28="",Z$5=""),"",IFERROR(SUMIFS(nrES_Rec,nrES_PID,$B28,nrES_Code,Z$5,nrES_Final,"Yes"),""))</f>
        <v/>
      </c>
      <c r="AA28" s="15">
        <f>IF(OR($B28="",AA$5=""),"",IFERROR(SUMIFS(nrES_Rec,nrES_PID,$B28,nrES_Code,AA$5,nrES_Final,"Yes"),""))</f>
        <v/>
      </c>
      <c r="AB28" s="15">
        <f>IF(OR($B28="",AB$5=""),"",IFERROR(SUMIFS(nrES_Rec,nrES_PID,$B28,nrES_Code,AB$5,nrES_Final,"Yes"),""))</f>
        <v/>
      </c>
      <c r="AC28" s="15">
        <f>IF($B28="","",sysGrades!$M28)</f>
        <v/>
      </c>
      <c r="AD28" s="15">
        <f>IF($B28="","",IFERROR(sysGrades!$U28,""))</f>
        <v/>
      </c>
    </row>
    <row r="29">
      <c r="B29" s="15">
        <f>IF(Cadets!$B29="","",Cadets!$B29)</f>
        <v/>
      </c>
      <c r="C29" s="15">
        <f>IF($B29="","",Cadets!$F29)</f>
        <v/>
      </c>
      <c r="D29" s="15">
        <f>IF(OR($B29="",D$5=""),"",IFERROR(SUMIFS(nrES_Rec,nrES_PID,$B29,nrES_Code,D$5,nrES_Final,"Yes"),""))</f>
        <v/>
      </c>
      <c r="E29" s="15">
        <f>IF(OR($B29="",E$5=""),"",IFERROR(SUMIFS(nrES_Rec,nrES_PID,$B29,nrES_Code,E$5,nrES_Final,"Yes"),""))</f>
        <v/>
      </c>
      <c r="F29" s="15">
        <f>IF(OR($B29="",F$5=""),"",IFERROR(SUMIFS(nrES_Rec,nrES_PID,$B29,nrES_Code,F$5,nrES_Final,"Yes"),""))</f>
        <v/>
      </c>
      <c r="G29" s="15">
        <f>IF(OR($B29="",G$5=""),"",IFERROR(SUMIFS(nrES_Rec,nrES_PID,$B29,nrES_Code,G$5,nrES_Final,"Yes"),""))</f>
        <v/>
      </c>
      <c r="H29" s="15">
        <f>IF(OR($B29="",H$5=""),"",IFERROR(SUMIFS(nrES_Rec,nrES_PID,$B29,nrES_Code,H$5,nrES_Final,"Yes"),""))</f>
        <v/>
      </c>
      <c r="I29" s="15">
        <f>IF(OR($B29="",I$5=""),"",IFERROR(SUMIFS(nrES_Rec,nrES_PID,$B29,nrES_Code,I$5,nrES_Final,"Yes"),""))</f>
        <v/>
      </c>
      <c r="J29" s="15">
        <f>IF(OR($B29="",J$5=""),"",IFERROR(SUMIFS(nrES_Rec,nrES_PID,$B29,nrES_Code,J$5,nrES_Final,"Yes"),""))</f>
        <v/>
      </c>
      <c r="K29" s="15">
        <f>IF(OR($B29="",K$5=""),"",IFERROR(SUMIFS(nrES_Rec,nrES_PID,$B29,nrES_Code,K$5,nrES_Final,"Yes"),""))</f>
        <v/>
      </c>
      <c r="L29" s="15">
        <f>IF(OR($B29="",L$5=""),"",IFERROR(SUMIFS(nrES_Rec,nrES_PID,$B29,nrES_Code,L$5,nrES_Final,"Yes"),""))</f>
        <v/>
      </c>
      <c r="M29" s="15">
        <f>IF(OR($B29="",M$5=""),"",IFERROR(SUMIFS(nrES_Rec,nrES_PID,$B29,nrES_Code,M$5,nrES_Final,"Yes"),""))</f>
        <v/>
      </c>
      <c r="N29" s="15">
        <f>IF(OR($B29="",N$5=""),"",IFERROR(SUMIFS(nrES_Rec,nrES_PID,$B29,nrES_Code,N$5,nrES_Final,"Yes"),""))</f>
        <v/>
      </c>
      <c r="O29" s="15">
        <f>IF(OR($B29="",O$5=""),"",IFERROR(SUMIFS(nrES_Rec,nrES_PID,$B29,nrES_Code,O$5,nrES_Final,"Yes"),""))</f>
        <v/>
      </c>
      <c r="P29" s="15">
        <f>IF(OR($B29="",P$5=""),"",IFERROR(SUMIFS(nrES_Rec,nrES_PID,$B29,nrES_Code,P$5,nrES_Final,"Yes"),""))</f>
        <v/>
      </c>
      <c r="Q29" s="15">
        <f>IF(OR($B29="",Q$5=""),"",IFERROR(SUMIFS(nrES_Rec,nrES_PID,$B29,nrES_Code,Q$5,nrES_Final,"Yes"),""))</f>
        <v/>
      </c>
      <c r="R29" s="15">
        <f>IF(OR($B29="",R$5=""),"",IFERROR(SUMIFS(nrES_Rec,nrES_PID,$B29,nrES_Code,R$5,nrES_Final,"Yes"),""))</f>
        <v/>
      </c>
      <c r="S29" s="15">
        <f>IF(OR($B29="",S$5=""),"",IFERROR(SUMIFS(nrES_Rec,nrES_PID,$B29,nrES_Code,S$5,nrES_Final,"Yes"),""))</f>
        <v/>
      </c>
      <c r="T29" s="15">
        <f>IF(OR($B29="",T$5=""),"",IFERROR(SUMIFS(nrES_Rec,nrES_PID,$B29,nrES_Code,T$5,nrES_Final,"Yes"),""))</f>
        <v/>
      </c>
      <c r="U29" s="15">
        <f>IF(OR($B29="",U$5=""),"",IFERROR(SUMIFS(nrES_Rec,nrES_PID,$B29,nrES_Code,U$5,nrES_Final,"Yes"),""))</f>
        <v/>
      </c>
      <c r="V29" s="15">
        <f>IF(OR($B29="",V$5=""),"",IFERROR(SUMIFS(nrES_Rec,nrES_PID,$B29,nrES_Code,V$5,nrES_Final,"Yes"),""))</f>
        <v/>
      </c>
      <c r="W29" s="15">
        <f>IF(OR($B29="",W$5=""),"",IFERROR(SUMIFS(nrES_Rec,nrES_PID,$B29,nrES_Code,W$5,nrES_Final,"Yes"),""))</f>
        <v/>
      </c>
      <c r="X29" s="15">
        <f>IF(OR($B29="",X$5=""),"",IFERROR(SUMIFS(nrES_Rec,nrES_PID,$B29,nrES_Code,X$5,nrES_Final,"Yes"),""))</f>
        <v/>
      </c>
      <c r="Y29" s="15">
        <f>IF(OR($B29="",Y$5=""),"",IFERROR(SUMIFS(nrES_Rec,nrES_PID,$B29,nrES_Code,Y$5,nrES_Final,"Yes"),""))</f>
        <v/>
      </c>
      <c r="Z29" s="15">
        <f>IF(OR($B29="",Z$5=""),"",IFERROR(SUMIFS(nrES_Rec,nrES_PID,$B29,nrES_Code,Z$5,nrES_Final,"Yes"),""))</f>
        <v/>
      </c>
      <c r="AA29" s="15">
        <f>IF(OR($B29="",AA$5=""),"",IFERROR(SUMIFS(nrES_Rec,nrES_PID,$B29,nrES_Code,AA$5,nrES_Final,"Yes"),""))</f>
        <v/>
      </c>
      <c r="AB29" s="15">
        <f>IF(OR($B29="",AB$5=""),"",IFERROR(SUMIFS(nrES_Rec,nrES_PID,$B29,nrES_Code,AB$5,nrES_Final,"Yes"),""))</f>
        <v/>
      </c>
      <c r="AC29" s="15">
        <f>IF($B29="","",sysGrades!$M29)</f>
        <v/>
      </c>
      <c r="AD29" s="15">
        <f>IF($B29="","",IFERROR(sysGrades!$U29,""))</f>
        <v/>
      </c>
    </row>
    <row r="30">
      <c r="B30" s="15">
        <f>IF(Cadets!$B30="","",Cadets!$B30)</f>
        <v/>
      </c>
      <c r="C30" s="15">
        <f>IF($B30="","",Cadets!$F30)</f>
        <v/>
      </c>
      <c r="D30" s="15">
        <f>IF(OR($B30="",D$5=""),"",IFERROR(SUMIFS(nrES_Rec,nrES_PID,$B30,nrES_Code,D$5,nrES_Final,"Yes"),""))</f>
        <v/>
      </c>
      <c r="E30" s="15">
        <f>IF(OR($B30="",E$5=""),"",IFERROR(SUMIFS(nrES_Rec,nrES_PID,$B30,nrES_Code,E$5,nrES_Final,"Yes"),""))</f>
        <v/>
      </c>
      <c r="F30" s="15">
        <f>IF(OR($B30="",F$5=""),"",IFERROR(SUMIFS(nrES_Rec,nrES_PID,$B30,nrES_Code,F$5,nrES_Final,"Yes"),""))</f>
        <v/>
      </c>
      <c r="G30" s="15">
        <f>IF(OR($B30="",G$5=""),"",IFERROR(SUMIFS(nrES_Rec,nrES_PID,$B30,nrES_Code,G$5,nrES_Final,"Yes"),""))</f>
        <v/>
      </c>
      <c r="H30" s="15">
        <f>IF(OR($B30="",H$5=""),"",IFERROR(SUMIFS(nrES_Rec,nrES_PID,$B30,nrES_Code,H$5,nrES_Final,"Yes"),""))</f>
        <v/>
      </c>
      <c r="I30" s="15">
        <f>IF(OR($B30="",I$5=""),"",IFERROR(SUMIFS(nrES_Rec,nrES_PID,$B30,nrES_Code,I$5,nrES_Final,"Yes"),""))</f>
        <v/>
      </c>
      <c r="J30" s="15">
        <f>IF(OR($B30="",J$5=""),"",IFERROR(SUMIFS(nrES_Rec,nrES_PID,$B30,nrES_Code,J$5,nrES_Final,"Yes"),""))</f>
        <v/>
      </c>
      <c r="K30" s="15">
        <f>IF(OR($B30="",K$5=""),"",IFERROR(SUMIFS(nrES_Rec,nrES_PID,$B30,nrES_Code,K$5,nrES_Final,"Yes"),""))</f>
        <v/>
      </c>
      <c r="L30" s="15">
        <f>IF(OR($B30="",L$5=""),"",IFERROR(SUMIFS(nrES_Rec,nrES_PID,$B30,nrES_Code,L$5,nrES_Final,"Yes"),""))</f>
        <v/>
      </c>
      <c r="M30" s="15">
        <f>IF(OR($B30="",M$5=""),"",IFERROR(SUMIFS(nrES_Rec,nrES_PID,$B30,nrES_Code,M$5,nrES_Final,"Yes"),""))</f>
        <v/>
      </c>
      <c r="N30" s="15">
        <f>IF(OR($B30="",N$5=""),"",IFERROR(SUMIFS(nrES_Rec,nrES_PID,$B30,nrES_Code,N$5,nrES_Final,"Yes"),""))</f>
        <v/>
      </c>
      <c r="O30" s="15">
        <f>IF(OR($B30="",O$5=""),"",IFERROR(SUMIFS(nrES_Rec,nrES_PID,$B30,nrES_Code,O$5,nrES_Final,"Yes"),""))</f>
        <v/>
      </c>
      <c r="P30" s="15">
        <f>IF(OR($B30="",P$5=""),"",IFERROR(SUMIFS(nrES_Rec,nrES_PID,$B30,nrES_Code,P$5,nrES_Final,"Yes"),""))</f>
        <v/>
      </c>
      <c r="Q30" s="15">
        <f>IF(OR($B30="",Q$5=""),"",IFERROR(SUMIFS(nrES_Rec,nrES_PID,$B30,nrES_Code,Q$5,nrES_Final,"Yes"),""))</f>
        <v/>
      </c>
      <c r="R30" s="15">
        <f>IF(OR($B30="",R$5=""),"",IFERROR(SUMIFS(nrES_Rec,nrES_PID,$B30,nrES_Code,R$5,nrES_Final,"Yes"),""))</f>
        <v/>
      </c>
      <c r="S30" s="15">
        <f>IF(OR($B30="",S$5=""),"",IFERROR(SUMIFS(nrES_Rec,nrES_PID,$B30,nrES_Code,S$5,nrES_Final,"Yes"),""))</f>
        <v/>
      </c>
      <c r="T30" s="15">
        <f>IF(OR($B30="",T$5=""),"",IFERROR(SUMIFS(nrES_Rec,nrES_PID,$B30,nrES_Code,T$5,nrES_Final,"Yes"),""))</f>
        <v/>
      </c>
      <c r="U30" s="15">
        <f>IF(OR($B30="",U$5=""),"",IFERROR(SUMIFS(nrES_Rec,nrES_PID,$B30,nrES_Code,U$5,nrES_Final,"Yes"),""))</f>
        <v/>
      </c>
      <c r="V30" s="15">
        <f>IF(OR($B30="",V$5=""),"",IFERROR(SUMIFS(nrES_Rec,nrES_PID,$B30,nrES_Code,V$5,nrES_Final,"Yes"),""))</f>
        <v/>
      </c>
      <c r="W30" s="15">
        <f>IF(OR($B30="",W$5=""),"",IFERROR(SUMIFS(nrES_Rec,nrES_PID,$B30,nrES_Code,W$5,nrES_Final,"Yes"),""))</f>
        <v/>
      </c>
      <c r="X30" s="15">
        <f>IF(OR($B30="",X$5=""),"",IFERROR(SUMIFS(nrES_Rec,nrES_PID,$B30,nrES_Code,X$5,nrES_Final,"Yes"),""))</f>
        <v/>
      </c>
      <c r="Y30" s="15">
        <f>IF(OR($B30="",Y$5=""),"",IFERROR(SUMIFS(nrES_Rec,nrES_PID,$B30,nrES_Code,Y$5,nrES_Final,"Yes"),""))</f>
        <v/>
      </c>
      <c r="Z30" s="15">
        <f>IF(OR($B30="",Z$5=""),"",IFERROR(SUMIFS(nrES_Rec,nrES_PID,$B30,nrES_Code,Z$5,nrES_Final,"Yes"),""))</f>
        <v/>
      </c>
      <c r="AA30" s="15">
        <f>IF(OR($B30="",AA$5=""),"",IFERROR(SUMIFS(nrES_Rec,nrES_PID,$B30,nrES_Code,AA$5,nrES_Final,"Yes"),""))</f>
        <v/>
      </c>
      <c r="AB30" s="15">
        <f>IF(OR($B30="",AB$5=""),"",IFERROR(SUMIFS(nrES_Rec,nrES_PID,$B30,nrES_Code,AB$5,nrES_Final,"Yes"),""))</f>
        <v/>
      </c>
      <c r="AC30" s="15">
        <f>IF($B30="","",sysGrades!$M30)</f>
        <v/>
      </c>
      <c r="AD30" s="15">
        <f>IF($B30="","",IFERROR(sysGrades!$U30,""))</f>
        <v/>
      </c>
    </row>
    <row r="31">
      <c r="B31" s="15">
        <f>IF(Cadets!$B31="","",Cadets!$B31)</f>
        <v/>
      </c>
      <c r="C31" s="15">
        <f>IF($B31="","",Cadets!$F31)</f>
        <v/>
      </c>
      <c r="D31" s="15">
        <f>IF(OR($B31="",D$5=""),"",IFERROR(SUMIFS(nrES_Rec,nrES_PID,$B31,nrES_Code,D$5,nrES_Final,"Yes"),""))</f>
        <v/>
      </c>
      <c r="E31" s="15">
        <f>IF(OR($B31="",E$5=""),"",IFERROR(SUMIFS(nrES_Rec,nrES_PID,$B31,nrES_Code,E$5,nrES_Final,"Yes"),""))</f>
        <v/>
      </c>
      <c r="F31" s="15">
        <f>IF(OR($B31="",F$5=""),"",IFERROR(SUMIFS(nrES_Rec,nrES_PID,$B31,nrES_Code,F$5,nrES_Final,"Yes"),""))</f>
        <v/>
      </c>
      <c r="G31" s="15">
        <f>IF(OR($B31="",G$5=""),"",IFERROR(SUMIFS(nrES_Rec,nrES_PID,$B31,nrES_Code,G$5,nrES_Final,"Yes"),""))</f>
        <v/>
      </c>
      <c r="H31" s="15">
        <f>IF(OR($B31="",H$5=""),"",IFERROR(SUMIFS(nrES_Rec,nrES_PID,$B31,nrES_Code,H$5,nrES_Final,"Yes"),""))</f>
        <v/>
      </c>
      <c r="I31" s="15">
        <f>IF(OR($B31="",I$5=""),"",IFERROR(SUMIFS(nrES_Rec,nrES_PID,$B31,nrES_Code,I$5,nrES_Final,"Yes"),""))</f>
        <v/>
      </c>
      <c r="J31" s="15">
        <f>IF(OR($B31="",J$5=""),"",IFERROR(SUMIFS(nrES_Rec,nrES_PID,$B31,nrES_Code,J$5,nrES_Final,"Yes"),""))</f>
        <v/>
      </c>
      <c r="K31" s="15">
        <f>IF(OR($B31="",K$5=""),"",IFERROR(SUMIFS(nrES_Rec,nrES_PID,$B31,nrES_Code,K$5,nrES_Final,"Yes"),""))</f>
        <v/>
      </c>
      <c r="L31" s="15">
        <f>IF(OR($B31="",L$5=""),"",IFERROR(SUMIFS(nrES_Rec,nrES_PID,$B31,nrES_Code,L$5,nrES_Final,"Yes"),""))</f>
        <v/>
      </c>
      <c r="M31" s="15">
        <f>IF(OR($B31="",M$5=""),"",IFERROR(SUMIFS(nrES_Rec,nrES_PID,$B31,nrES_Code,M$5,nrES_Final,"Yes"),""))</f>
        <v/>
      </c>
      <c r="N31" s="15">
        <f>IF(OR($B31="",N$5=""),"",IFERROR(SUMIFS(nrES_Rec,nrES_PID,$B31,nrES_Code,N$5,nrES_Final,"Yes"),""))</f>
        <v/>
      </c>
      <c r="O31" s="15">
        <f>IF(OR($B31="",O$5=""),"",IFERROR(SUMIFS(nrES_Rec,nrES_PID,$B31,nrES_Code,O$5,nrES_Final,"Yes"),""))</f>
        <v/>
      </c>
      <c r="P31" s="15">
        <f>IF(OR($B31="",P$5=""),"",IFERROR(SUMIFS(nrES_Rec,nrES_PID,$B31,nrES_Code,P$5,nrES_Final,"Yes"),""))</f>
        <v/>
      </c>
      <c r="Q31" s="15">
        <f>IF(OR($B31="",Q$5=""),"",IFERROR(SUMIFS(nrES_Rec,nrES_PID,$B31,nrES_Code,Q$5,nrES_Final,"Yes"),""))</f>
        <v/>
      </c>
      <c r="R31" s="15">
        <f>IF(OR($B31="",R$5=""),"",IFERROR(SUMIFS(nrES_Rec,nrES_PID,$B31,nrES_Code,R$5,nrES_Final,"Yes"),""))</f>
        <v/>
      </c>
      <c r="S31" s="15">
        <f>IF(OR($B31="",S$5=""),"",IFERROR(SUMIFS(nrES_Rec,nrES_PID,$B31,nrES_Code,S$5,nrES_Final,"Yes"),""))</f>
        <v/>
      </c>
      <c r="T31" s="15">
        <f>IF(OR($B31="",T$5=""),"",IFERROR(SUMIFS(nrES_Rec,nrES_PID,$B31,nrES_Code,T$5,nrES_Final,"Yes"),""))</f>
        <v/>
      </c>
      <c r="U31" s="15">
        <f>IF(OR($B31="",U$5=""),"",IFERROR(SUMIFS(nrES_Rec,nrES_PID,$B31,nrES_Code,U$5,nrES_Final,"Yes"),""))</f>
        <v/>
      </c>
      <c r="V31" s="15">
        <f>IF(OR($B31="",V$5=""),"",IFERROR(SUMIFS(nrES_Rec,nrES_PID,$B31,nrES_Code,V$5,nrES_Final,"Yes"),""))</f>
        <v/>
      </c>
      <c r="W31" s="15">
        <f>IF(OR($B31="",W$5=""),"",IFERROR(SUMIFS(nrES_Rec,nrES_PID,$B31,nrES_Code,W$5,nrES_Final,"Yes"),""))</f>
        <v/>
      </c>
      <c r="X31" s="15">
        <f>IF(OR($B31="",X$5=""),"",IFERROR(SUMIFS(nrES_Rec,nrES_PID,$B31,nrES_Code,X$5,nrES_Final,"Yes"),""))</f>
        <v/>
      </c>
      <c r="Y31" s="15">
        <f>IF(OR($B31="",Y$5=""),"",IFERROR(SUMIFS(nrES_Rec,nrES_PID,$B31,nrES_Code,Y$5,nrES_Final,"Yes"),""))</f>
        <v/>
      </c>
      <c r="Z31" s="15">
        <f>IF(OR($B31="",Z$5=""),"",IFERROR(SUMIFS(nrES_Rec,nrES_PID,$B31,nrES_Code,Z$5,nrES_Final,"Yes"),""))</f>
        <v/>
      </c>
      <c r="AA31" s="15">
        <f>IF(OR($B31="",AA$5=""),"",IFERROR(SUMIFS(nrES_Rec,nrES_PID,$B31,nrES_Code,AA$5,nrES_Final,"Yes"),""))</f>
        <v/>
      </c>
      <c r="AB31" s="15">
        <f>IF(OR($B31="",AB$5=""),"",IFERROR(SUMIFS(nrES_Rec,nrES_PID,$B31,nrES_Code,AB$5,nrES_Final,"Yes"),""))</f>
        <v/>
      </c>
      <c r="AC31" s="15">
        <f>IF($B31="","",sysGrades!$M31)</f>
        <v/>
      </c>
      <c r="AD31" s="15">
        <f>IF($B31="","",IFERROR(sysGrades!$U31,""))</f>
        <v/>
      </c>
    </row>
    <row r="32">
      <c r="B32" s="15">
        <f>IF(Cadets!$B32="","",Cadets!$B32)</f>
        <v/>
      </c>
      <c r="C32" s="15">
        <f>IF($B32="","",Cadets!$F32)</f>
        <v/>
      </c>
      <c r="D32" s="15">
        <f>IF(OR($B32="",D$5=""),"",IFERROR(SUMIFS(nrES_Rec,nrES_PID,$B32,nrES_Code,D$5,nrES_Final,"Yes"),""))</f>
        <v/>
      </c>
      <c r="E32" s="15">
        <f>IF(OR($B32="",E$5=""),"",IFERROR(SUMIFS(nrES_Rec,nrES_PID,$B32,nrES_Code,E$5,nrES_Final,"Yes"),""))</f>
        <v/>
      </c>
      <c r="F32" s="15">
        <f>IF(OR($B32="",F$5=""),"",IFERROR(SUMIFS(nrES_Rec,nrES_PID,$B32,nrES_Code,F$5,nrES_Final,"Yes"),""))</f>
        <v/>
      </c>
      <c r="G32" s="15">
        <f>IF(OR($B32="",G$5=""),"",IFERROR(SUMIFS(nrES_Rec,nrES_PID,$B32,nrES_Code,G$5,nrES_Final,"Yes"),""))</f>
        <v/>
      </c>
      <c r="H32" s="15">
        <f>IF(OR($B32="",H$5=""),"",IFERROR(SUMIFS(nrES_Rec,nrES_PID,$B32,nrES_Code,H$5,nrES_Final,"Yes"),""))</f>
        <v/>
      </c>
      <c r="I32" s="15">
        <f>IF(OR($B32="",I$5=""),"",IFERROR(SUMIFS(nrES_Rec,nrES_PID,$B32,nrES_Code,I$5,nrES_Final,"Yes"),""))</f>
        <v/>
      </c>
      <c r="J32" s="15">
        <f>IF(OR($B32="",J$5=""),"",IFERROR(SUMIFS(nrES_Rec,nrES_PID,$B32,nrES_Code,J$5,nrES_Final,"Yes"),""))</f>
        <v/>
      </c>
      <c r="K32" s="15">
        <f>IF(OR($B32="",K$5=""),"",IFERROR(SUMIFS(nrES_Rec,nrES_PID,$B32,nrES_Code,K$5,nrES_Final,"Yes"),""))</f>
        <v/>
      </c>
      <c r="L32" s="15">
        <f>IF(OR($B32="",L$5=""),"",IFERROR(SUMIFS(nrES_Rec,nrES_PID,$B32,nrES_Code,L$5,nrES_Final,"Yes"),""))</f>
        <v/>
      </c>
      <c r="M32" s="15">
        <f>IF(OR($B32="",M$5=""),"",IFERROR(SUMIFS(nrES_Rec,nrES_PID,$B32,nrES_Code,M$5,nrES_Final,"Yes"),""))</f>
        <v/>
      </c>
      <c r="N32" s="15">
        <f>IF(OR($B32="",N$5=""),"",IFERROR(SUMIFS(nrES_Rec,nrES_PID,$B32,nrES_Code,N$5,nrES_Final,"Yes"),""))</f>
        <v/>
      </c>
      <c r="O32" s="15">
        <f>IF(OR($B32="",O$5=""),"",IFERROR(SUMIFS(nrES_Rec,nrES_PID,$B32,nrES_Code,O$5,nrES_Final,"Yes"),""))</f>
        <v/>
      </c>
      <c r="P32" s="15">
        <f>IF(OR($B32="",P$5=""),"",IFERROR(SUMIFS(nrES_Rec,nrES_PID,$B32,nrES_Code,P$5,nrES_Final,"Yes"),""))</f>
        <v/>
      </c>
      <c r="Q32" s="15">
        <f>IF(OR($B32="",Q$5=""),"",IFERROR(SUMIFS(nrES_Rec,nrES_PID,$B32,nrES_Code,Q$5,nrES_Final,"Yes"),""))</f>
        <v/>
      </c>
      <c r="R32" s="15">
        <f>IF(OR($B32="",R$5=""),"",IFERROR(SUMIFS(nrES_Rec,nrES_PID,$B32,nrES_Code,R$5,nrES_Final,"Yes"),""))</f>
        <v/>
      </c>
      <c r="S32" s="15">
        <f>IF(OR($B32="",S$5=""),"",IFERROR(SUMIFS(nrES_Rec,nrES_PID,$B32,nrES_Code,S$5,nrES_Final,"Yes"),""))</f>
        <v/>
      </c>
      <c r="T32" s="15">
        <f>IF(OR($B32="",T$5=""),"",IFERROR(SUMIFS(nrES_Rec,nrES_PID,$B32,nrES_Code,T$5,nrES_Final,"Yes"),""))</f>
        <v/>
      </c>
      <c r="U32" s="15">
        <f>IF(OR($B32="",U$5=""),"",IFERROR(SUMIFS(nrES_Rec,nrES_PID,$B32,nrES_Code,U$5,nrES_Final,"Yes"),""))</f>
        <v/>
      </c>
      <c r="V32" s="15">
        <f>IF(OR($B32="",V$5=""),"",IFERROR(SUMIFS(nrES_Rec,nrES_PID,$B32,nrES_Code,V$5,nrES_Final,"Yes"),""))</f>
        <v/>
      </c>
      <c r="W32" s="15">
        <f>IF(OR($B32="",W$5=""),"",IFERROR(SUMIFS(nrES_Rec,nrES_PID,$B32,nrES_Code,W$5,nrES_Final,"Yes"),""))</f>
        <v/>
      </c>
      <c r="X32" s="15">
        <f>IF(OR($B32="",X$5=""),"",IFERROR(SUMIFS(nrES_Rec,nrES_PID,$B32,nrES_Code,X$5,nrES_Final,"Yes"),""))</f>
        <v/>
      </c>
      <c r="Y32" s="15">
        <f>IF(OR($B32="",Y$5=""),"",IFERROR(SUMIFS(nrES_Rec,nrES_PID,$B32,nrES_Code,Y$5,nrES_Final,"Yes"),""))</f>
        <v/>
      </c>
      <c r="Z32" s="15">
        <f>IF(OR($B32="",Z$5=""),"",IFERROR(SUMIFS(nrES_Rec,nrES_PID,$B32,nrES_Code,Z$5,nrES_Final,"Yes"),""))</f>
        <v/>
      </c>
      <c r="AA32" s="15">
        <f>IF(OR($B32="",AA$5=""),"",IFERROR(SUMIFS(nrES_Rec,nrES_PID,$B32,nrES_Code,AA$5,nrES_Final,"Yes"),""))</f>
        <v/>
      </c>
      <c r="AB32" s="15">
        <f>IF(OR($B32="",AB$5=""),"",IFERROR(SUMIFS(nrES_Rec,nrES_PID,$B32,nrES_Code,AB$5,nrES_Final,"Yes"),""))</f>
        <v/>
      </c>
      <c r="AC32" s="15">
        <f>IF($B32="","",sysGrades!$M32)</f>
        <v/>
      </c>
      <c r="AD32" s="15">
        <f>IF($B32="","",IFERROR(sysGrades!$U32,""))</f>
        <v/>
      </c>
    </row>
    <row r="33">
      <c r="B33" s="15">
        <f>IF(Cadets!$B33="","",Cadets!$B33)</f>
        <v/>
      </c>
      <c r="C33" s="15">
        <f>IF($B33="","",Cadets!$F33)</f>
        <v/>
      </c>
      <c r="D33" s="15">
        <f>IF(OR($B33="",D$5=""),"",IFERROR(SUMIFS(nrES_Rec,nrES_PID,$B33,nrES_Code,D$5,nrES_Final,"Yes"),""))</f>
        <v/>
      </c>
      <c r="E33" s="15">
        <f>IF(OR($B33="",E$5=""),"",IFERROR(SUMIFS(nrES_Rec,nrES_PID,$B33,nrES_Code,E$5,nrES_Final,"Yes"),""))</f>
        <v/>
      </c>
      <c r="F33" s="15">
        <f>IF(OR($B33="",F$5=""),"",IFERROR(SUMIFS(nrES_Rec,nrES_PID,$B33,nrES_Code,F$5,nrES_Final,"Yes"),""))</f>
        <v/>
      </c>
      <c r="G33" s="15">
        <f>IF(OR($B33="",G$5=""),"",IFERROR(SUMIFS(nrES_Rec,nrES_PID,$B33,nrES_Code,G$5,nrES_Final,"Yes"),""))</f>
        <v/>
      </c>
      <c r="H33" s="15">
        <f>IF(OR($B33="",H$5=""),"",IFERROR(SUMIFS(nrES_Rec,nrES_PID,$B33,nrES_Code,H$5,nrES_Final,"Yes"),""))</f>
        <v/>
      </c>
      <c r="I33" s="15">
        <f>IF(OR($B33="",I$5=""),"",IFERROR(SUMIFS(nrES_Rec,nrES_PID,$B33,nrES_Code,I$5,nrES_Final,"Yes"),""))</f>
        <v/>
      </c>
      <c r="J33" s="15">
        <f>IF(OR($B33="",J$5=""),"",IFERROR(SUMIFS(nrES_Rec,nrES_PID,$B33,nrES_Code,J$5,nrES_Final,"Yes"),""))</f>
        <v/>
      </c>
      <c r="K33" s="15">
        <f>IF(OR($B33="",K$5=""),"",IFERROR(SUMIFS(nrES_Rec,nrES_PID,$B33,nrES_Code,K$5,nrES_Final,"Yes"),""))</f>
        <v/>
      </c>
      <c r="L33" s="15">
        <f>IF(OR($B33="",L$5=""),"",IFERROR(SUMIFS(nrES_Rec,nrES_PID,$B33,nrES_Code,L$5,nrES_Final,"Yes"),""))</f>
        <v/>
      </c>
      <c r="M33" s="15">
        <f>IF(OR($B33="",M$5=""),"",IFERROR(SUMIFS(nrES_Rec,nrES_PID,$B33,nrES_Code,M$5,nrES_Final,"Yes"),""))</f>
        <v/>
      </c>
      <c r="N33" s="15">
        <f>IF(OR($B33="",N$5=""),"",IFERROR(SUMIFS(nrES_Rec,nrES_PID,$B33,nrES_Code,N$5,nrES_Final,"Yes"),""))</f>
        <v/>
      </c>
      <c r="O33" s="15">
        <f>IF(OR($B33="",O$5=""),"",IFERROR(SUMIFS(nrES_Rec,nrES_PID,$B33,nrES_Code,O$5,nrES_Final,"Yes"),""))</f>
        <v/>
      </c>
      <c r="P33" s="15">
        <f>IF(OR($B33="",P$5=""),"",IFERROR(SUMIFS(nrES_Rec,nrES_PID,$B33,nrES_Code,P$5,nrES_Final,"Yes"),""))</f>
        <v/>
      </c>
      <c r="Q33" s="15">
        <f>IF(OR($B33="",Q$5=""),"",IFERROR(SUMIFS(nrES_Rec,nrES_PID,$B33,nrES_Code,Q$5,nrES_Final,"Yes"),""))</f>
        <v/>
      </c>
      <c r="R33" s="15">
        <f>IF(OR($B33="",R$5=""),"",IFERROR(SUMIFS(nrES_Rec,nrES_PID,$B33,nrES_Code,R$5,nrES_Final,"Yes"),""))</f>
        <v/>
      </c>
      <c r="S33" s="15">
        <f>IF(OR($B33="",S$5=""),"",IFERROR(SUMIFS(nrES_Rec,nrES_PID,$B33,nrES_Code,S$5,nrES_Final,"Yes"),""))</f>
        <v/>
      </c>
      <c r="T33" s="15">
        <f>IF(OR($B33="",T$5=""),"",IFERROR(SUMIFS(nrES_Rec,nrES_PID,$B33,nrES_Code,T$5,nrES_Final,"Yes"),""))</f>
        <v/>
      </c>
      <c r="U33" s="15">
        <f>IF(OR($B33="",U$5=""),"",IFERROR(SUMIFS(nrES_Rec,nrES_PID,$B33,nrES_Code,U$5,nrES_Final,"Yes"),""))</f>
        <v/>
      </c>
      <c r="V33" s="15">
        <f>IF(OR($B33="",V$5=""),"",IFERROR(SUMIFS(nrES_Rec,nrES_PID,$B33,nrES_Code,V$5,nrES_Final,"Yes"),""))</f>
        <v/>
      </c>
      <c r="W33" s="15">
        <f>IF(OR($B33="",W$5=""),"",IFERROR(SUMIFS(nrES_Rec,nrES_PID,$B33,nrES_Code,W$5,nrES_Final,"Yes"),""))</f>
        <v/>
      </c>
      <c r="X33" s="15">
        <f>IF(OR($B33="",X$5=""),"",IFERROR(SUMIFS(nrES_Rec,nrES_PID,$B33,nrES_Code,X$5,nrES_Final,"Yes"),""))</f>
        <v/>
      </c>
      <c r="Y33" s="15">
        <f>IF(OR($B33="",Y$5=""),"",IFERROR(SUMIFS(nrES_Rec,nrES_PID,$B33,nrES_Code,Y$5,nrES_Final,"Yes"),""))</f>
        <v/>
      </c>
      <c r="Z33" s="15">
        <f>IF(OR($B33="",Z$5=""),"",IFERROR(SUMIFS(nrES_Rec,nrES_PID,$B33,nrES_Code,Z$5,nrES_Final,"Yes"),""))</f>
        <v/>
      </c>
      <c r="AA33" s="15">
        <f>IF(OR($B33="",AA$5=""),"",IFERROR(SUMIFS(nrES_Rec,nrES_PID,$B33,nrES_Code,AA$5,nrES_Final,"Yes"),""))</f>
        <v/>
      </c>
      <c r="AB33" s="15">
        <f>IF(OR($B33="",AB$5=""),"",IFERROR(SUMIFS(nrES_Rec,nrES_PID,$B33,nrES_Code,AB$5,nrES_Final,"Yes"),""))</f>
        <v/>
      </c>
      <c r="AC33" s="15">
        <f>IF($B33="","",sysGrades!$M33)</f>
        <v/>
      </c>
      <c r="AD33" s="15">
        <f>IF($B33="","",IFERROR(sysGrades!$U33,""))</f>
        <v/>
      </c>
    </row>
    <row r="34">
      <c r="B34" s="15">
        <f>IF(Cadets!$B34="","",Cadets!$B34)</f>
        <v/>
      </c>
      <c r="C34" s="15">
        <f>IF($B34="","",Cadets!$F34)</f>
        <v/>
      </c>
      <c r="D34" s="15">
        <f>IF(OR($B34="",D$5=""),"",IFERROR(SUMIFS(nrES_Rec,nrES_PID,$B34,nrES_Code,D$5,nrES_Final,"Yes"),""))</f>
        <v/>
      </c>
      <c r="E34" s="15">
        <f>IF(OR($B34="",E$5=""),"",IFERROR(SUMIFS(nrES_Rec,nrES_PID,$B34,nrES_Code,E$5,nrES_Final,"Yes"),""))</f>
        <v/>
      </c>
      <c r="F34" s="15">
        <f>IF(OR($B34="",F$5=""),"",IFERROR(SUMIFS(nrES_Rec,nrES_PID,$B34,nrES_Code,F$5,nrES_Final,"Yes"),""))</f>
        <v/>
      </c>
      <c r="G34" s="15">
        <f>IF(OR($B34="",G$5=""),"",IFERROR(SUMIFS(nrES_Rec,nrES_PID,$B34,nrES_Code,G$5,nrES_Final,"Yes"),""))</f>
        <v/>
      </c>
      <c r="H34" s="15">
        <f>IF(OR($B34="",H$5=""),"",IFERROR(SUMIFS(nrES_Rec,nrES_PID,$B34,nrES_Code,H$5,nrES_Final,"Yes"),""))</f>
        <v/>
      </c>
      <c r="I34" s="15">
        <f>IF(OR($B34="",I$5=""),"",IFERROR(SUMIFS(nrES_Rec,nrES_PID,$B34,nrES_Code,I$5,nrES_Final,"Yes"),""))</f>
        <v/>
      </c>
      <c r="J34" s="15">
        <f>IF(OR($B34="",J$5=""),"",IFERROR(SUMIFS(nrES_Rec,nrES_PID,$B34,nrES_Code,J$5,nrES_Final,"Yes"),""))</f>
        <v/>
      </c>
      <c r="K34" s="15">
        <f>IF(OR($B34="",K$5=""),"",IFERROR(SUMIFS(nrES_Rec,nrES_PID,$B34,nrES_Code,K$5,nrES_Final,"Yes"),""))</f>
        <v/>
      </c>
      <c r="L34" s="15">
        <f>IF(OR($B34="",L$5=""),"",IFERROR(SUMIFS(nrES_Rec,nrES_PID,$B34,nrES_Code,L$5,nrES_Final,"Yes"),""))</f>
        <v/>
      </c>
      <c r="M34" s="15">
        <f>IF(OR($B34="",M$5=""),"",IFERROR(SUMIFS(nrES_Rec,nrES_PID,$B34,nrES_Code,M$5,nrES_Final,"Yes"),""))</f>
        <v/>
      </c>
      <c r="N34" s="15">
        <f>IF(OR($B34="",N$5=""),"",IFERROR(SUMIFS(nrES_Rec,nrES_PID,$B34,nrES_Code,N$5,nrES_Final,"Yes"),""))</f>
        <v/>
      </c>
      <c r="O34" s="15">
        <f>IF(OR($B34="",O$5=""),"",IFERROR(SUMIFS(nrES_Rec,nrES_PID,$B34,nrES_Code,O$5,nrES_Final,"Yes"),""))</f>
        <v/>
      </c>
      <c r="P34" s="15">
        <f>IF(OR($B34="",P$5=""),"",IFERROR(SUMIFS(nrES_Rec,nrES_PID,$B34,nrES_Code,P$5,nrES_Final,"Yes"),""))</f>
        <v/>
      </c>
      <c r="Q34" s="15">
        <f>IF(OR($B34="",Q$5=""),"",IFERROR(SUMIFS(nrES_Rec,nrES_PID,$B34,nrES_Code,Q$5,nrES_Final,"Yes"),""))</f>
        <v/>
      </c>
      <c r="R34" s="15">
        <f>IF(OR($B34="",R$5=""),"",IFERROR(SUMIFS(nrES_Rec,nrES_PID,$B34,nrES_Code,R$5,nrES_Final,"Yes"),""))</f>
        <v/>
      </c>
      <c r="S34" s="15">
        <f>IF(OR($B34="",S$5=""),"",IFERROR(SUMIFS(nrES_Rec,nrES_PID,$B34,nrES_Code,S$5,nrES_Final,"Yes"),""))</f>
        <v/>
      </c>
      <c r="T34" s="15">
        <f>IF(OR($B34="",T$5=""),"",IFERROR(SUMIFS(nrES_Rec,nrES_PID,$B34,nrES_Code,T$5,nrES_Final,"Yes"),""))</f>
        <v/>
      </c>
      <c r="U34" s="15">
        <f>IF(OR($B34="",U$5=""),"",IFERROR(SUMIFS(nrES_Rec,nrES_PID,$B34,nrES_Code,U$5,nrES_Final,"Yes"),""))</f>
        <v/>
      </c>
      <c r="V34" s="15">
        <f>IF(OR($B34="",V$5=""),"",IFERROR(SUMIFS(nrES_Rec,nrES_PID,$B34,nrES_Code,V$5,nrES_Final,"Yes"),""))</f>
        <v/>
      </c>
      <c r="W34" s="15">
        <f>IF(OR($B34="",W$5=""),"",IFERROR(SUMIFS(nrES_Rec,nrES_PID,$B34,nrES_Code,W$5,nrES_Final,"Yes"),""))</f>
        <v/>
      </c>
      <c r="X34" s="15">
        <f>IF(OR($B34="",X$5=""),"",IFERROR(SUMIFS(nrES_Rec,nrES_PID,$B34,nrES_Code,X$5,nrES_Final,"Yes"),""))</f>
        <v/>
      </c>
      <c r="Y34" s="15">
        <f>IF(OR($B34="",Y$5=""),"",IFERROR(SUMIFS(nrES_Rec,nrES_PID,$B34,nrES_Code,Y$5,nrES_Final,"Yes"),""))</f>
        <v/>
      </c>
      <c r="Z34" s="15">
        <f>IF(OR($B34="",Z$5=""),"",IFERROR(SUMIFS(nrES_Rec,nrES_PID,$B34,nrES_Code,Z$5,nrES_Final,"Yes"),""))</f>
        <v/>
      </c>
      <c r="AA34" s="15">
        <f>IF(OR($B34="",AA$5=""),"",IFERROR(SUMIFS(nrES_Rec,nrES_PID,$B34,nrES_Code,AA$5,nrES_Final,"Yes"),""))</f>
        <v/>
      </c>
      <c r="AB34" s="15">
        <f>IF(OR($B34="",AB$5=""),"",IFERROR(SUMIFS(nrES_Rec,nrES_PID,$B34,nrES_Code,AB$5,nrES_Final,"Yes"),""))</f>
        <v/>
      </c>
      <c r="AC34" s="15">
        <f>IF($B34="","",sysGrades!$M34)</f>
        <v/>
      </c>
      <c r="AD34" s="15">
        <f>IF($B34="","",IFERROR(sysGrades!$U34,""))</f>
        <v/>
      </c>
    </row>
    <row r="35">
      <c r="B35" s="15">
        <f>IF(Cadets!$B35="","",Cadets!$B35)</f>
        <v/>
      </c>
      <c r="C35" s="15">
        <f>IF($B35="","",Cadets!$F35)</f>
        <v/>
      </c>
      <c r="D35" s="15">
        <f>IF(OR($B35="",D$5=""),"",IFERROR(SUMIFS(nrES_Rec,nrES_PID,$B35,nrES_Code,D$5,nrES_Final,"Yes"),""))</f>
        <v/>
      </c>
      <c r="E35" s="15">
        <f>IF(OR($B35="",E$5=""),"",IFERROR(SUMIFS(nrES_Rec,nrES_PID,$B35,nrES_Code,E$5,nrES_Final,"Yes"),""))</f>
        <v/>
      </c>
      <c r="F35" s="15">
        <f>IF(OR($B35="",F$5=""),"",IFERROR(SUMIFS(nrES_Rec,nrES_PID,$B35,nrES_Code,F$5,nrES_Final,"Yes"),""))</f>
        <v/>
      </c>
      <c r="G35" s="15">
        <f>IF(OR($B35="",G$5=""),"",IFERROR(SUMIFS(nrES_Rec,nrES_PID,$B35,nrES_Code,G$5,nrES_Final,"Yes"),""))</f>
        <v/>
      </c>
      <c r="H35" s="15">
        <f>IF(OR($B35="",H$5=""),"",IFERROR(SUMIFS(nrES_Rec,nrES_PID,$B35,nrES_Code,H$5,nrES_Final,"Yes"),""))</f>
        <v/>
      </c>
      <c r="I35" s="15">
        <f>IF(OR($B35="",I$5=""),"",IFERROR(SUMIFS(nrES_Rec,nrES_PID,$B35,nrES_Code,I$5,nrES_Final,"Yes"),""))</f>
        <v/>
      </c>
      <c r="J35" s="15">
        <f>IF(OR($B35="",J$5=""),"",IFERROR(SUMIFS(nrES_Rec,nrES_PID,$B35,nrES_Code,J$5,nrES_Final,"Yes"),""))</f>
        <v/>
      </c>
      <c r="K35" s="15">
        <f>IF(OR($B35="",K$5=""),"",IFERROR(SUMIFS(nrES_Rec,nrES_PID,$B35,nrES_Code,K$5,nrES_Final,"Yes"),""))</f>
        <v/>
      </c>
      <c r="L35" s="15">
        <f>IF(OR($B35="",L$5=""),"",IFERROR(SUMIFS(nrES_Rec,nrES_PID,$B35,nrES_Code,L$5,nrES_Final,"Yes"),""))</f>
        <v/>
      </c>
      <c r="M35" s="15">
        <f>IF(OR($B35="",M$5=""),"",IFERROR(SUMIFS(nrES_Rec,nrES_PID,$B35,nrES_Code,M$5,nrES_Final,"Yes"),""))</f>
        <v/>
      </c>
      <c r="N35" s="15">
        <f>IF(OR($B35="",N$5=""),"",IFERROR(SUMIFS(nrES_Rec,nrES_PID,$B35,nrES_Code,N$5,nrES_Final,"Yes"),""))</f>
        <v/>
      </c>
      <c r="O35" s="15">
        <f>IF(OR($B35="",O$5=""),"",IFERROR(SUMIFS(nrES_Rec,nrES_PID,$B35,nrES_Code,O$5,nrES_Final,"Yes"),""))</f>
        <v/>
      </c>
      <c r="P35" s="15">
        <f>IF(OR($B35="",P$5=""),"",IFERROR(SUMIFS(nrES_Rec,nrES_PID,$B35,nrES_Code,P$5,nrES_Final,"Yes"),""))</f>
        <v/>
      </c>
      <c r="Q35" s="15">
        <f>IF(OR($B35="",Q$5=""),"",IFERROR(SUMIFS(nrES_Rec,nrES_PID,$B35,nrES_Code,Q$5,nrES_Final,"Yes"),""))</f>
        <v/>
      </c>
      <c r="R35" s="15">
        <f>IF(OR($B35="",R$5=""),"",IFERROR(SUMIFS(nrES_Rec,nrES_PID,$B35,nrES_Code,R$5,nrES_Final,"Yes"),""))</f>
        <v/>
      </c>
      <c r="S35" s="15">
        <f>IF(OR($B35="",S$5=""),"",IFERROR(SUMIFS(nrES_Rec,nrES_PID,$B35,nrES_Code,S$5,nrES_Final,"Yes"),""))</f>
        <v/>
      </c>
      <c r="T35" s="15">
        <f>IF(OR($B35="",T$5=""),"",IFERROR(SUMIFS(nrES_Rec,nrES_PID,$B35,nrES_Code,T$5,nrES_Final,"Yes"),""))</f>
        <v/>
      </c>
      <c r="U35" s="15">
        <f>IF(OR($B35="",U$5=""),"",IFERROR(SUMIFS(nrES_Rec,nrES_PID,$B35,nrES_Code,U$5,nrES_Final,"Yes"),""))</f>
        <v/>
      </c>
      <c r="V35" s="15">
        <f>IF(OR($B35="",V$5=""),"",IFERROR(SUMIFS(nrES_Rec,nrES_PID,$B35,nrES_Code,V$5,nrES_Final,"Yes"),""))</f>
        <v/>
      </c>
      <c r="W35" s="15">
        <f>IF(OR($B35="",W$5=""),"",IFERROR(SUMIFS(nrES_Rec,nrES_PID,$B35,nrES_Code,W$5,nrES_Final,"Yes"),""))</f>
        <v/>
      </c>
      <c r="X35" s="15">
        <f>IF(OR($B35="",X$5=""),"",IFERROR(SUMIFS(nrES_Rec,nrES_PID,$B35,nrES_Code,X$5,nrES_Final,"Yes"),""))</f>
        <v/>
      </c>
      <c r="Y35" s="15">
        <f>IF(OR($B35="",Y$5=""),"",IFERROR(SUMIFS(nrES_Rec,nrES_PID,$B35,nrES_Code,Y$5,nrES_Final,"Yes"),""))</f>
        <v/>
      </c>
      <c r="Z35" s="15">
        <f>IF(OR($B35="",Z$5=""),"",IFERROR(SUMIFS(nrES_Rec,nrES_PID,$B35,nrES_Code,Z$5,nrES_Final,"Yes"),""))</f>
        <v/>
      </c>
      <c r="AA35" s="15">
        <f>IF(OR($B35="",AA$5=""),"",IFERROR(SUMIFS(nrES_Rec,nrES_PID,$B35,nrES_Code,AA$5,nrES_Final,"Yes"),""))</f>
        <v/>
      </c>
      <c r="AB35" s="15">
        <f>IF(OR($B35="",AB$5=""),"",IFERROR(SUMIFS(nrES_Rec,nrES_PID,$B35,nrES_Code,AB$5,nrES_Final,"Yes"),""))</f>
        <v/>
      </c>
      <c r="AC35" s="15">
        <f>IF($B35="","",sysGrades!$M35)</f>
        <v/>
      </c>
      <c r="AD35" s="15">
        <f>IF($B35="","",IFERROR(sysGrades!$U35,""))</f>
        <v/>
      </c>
    </row>
    <row r="36">
      <c r="B36" s="15">
        <f>IF(Cadets!$B36="","",Cadets!$B36)</f>
        <v/>
      </c>
      <c r="C36" s="15">
        <f>IF($B36="","",Cadets!$F36)</f>
        <v/>
      </c>
      <c r="D36" s="15">
        <f>IF(OR($B36="",D$5=""),"",IFERROR(SUMIFS(nrES_Rec,nrES_PID,$B36,nrES_Code,D$5,nrES_Final,"Yes"),""))</f>
        <v/>
      </c>
      <c r="E36" s="15">
        <f>IF(OR($B36="",E$5=""),"",IFERROR(SUMIFS(nrES_Rec,nrES_PID,$B36,nrES_Code,E$5,nrES_Final,"Yes"),""))</f>
        <v/>
      </c>
      <c r="F36" s="15">
        <f>IF(OR($B36="",F$5=""),"",IFERROR(SUMIFS(nrES_Rec,nrES_PID,$B36,nrES_Code,F$5,nrES_Final,"Yes"),""))</f>
        <v/>
      </c>
      <c r="G36" s="15">
        <f>IF(OR($B36="",G$5=""),"",IFERROR(SUMIFS(nrES_Rec,nrES_PID,$B36,nrES_Code,G$5,nrES_Final,"Yes"),""))</f>
        <v/>
      </c>
      <c r="H36" s="15">
        <f>IF(OR($B36="",H$5=""),"",IFERROR(SUMIFS(nrES_Rec,nrES_PID,$B36,nrES_Code,H$5,nrES_Final,"Yes"),""))</f>
        <v/>
      </c>
      <c r="I36" s="15">
        <f>IF(OR($B36="",I$5=""),"",IFERROR(SUMIFS(nrES_Rec,nrES_PID,$B36,nrES_Code,I$5,nrES_Final,"Yes"),""))</f>
        <v/>
      </c>
      <c r="J36" s="15">
        <f>IF(OR($B36="",J$5=""),"",IFERROR(SUMIFS(nrES_Rec,nrES_PID,$B36,nrES_Code,J$5,nrES_Final,"Yes"),""))</f>
        <v/>
      </c>
      <c r="K36" s="15">
        <f>IF(OR($B36="",K$5=""),"",IFERROR(SUMIFS(nrES_Rec,nrES_PID,$B36,nrES_Code,K$5,nrES_Final,"Yes"),""))</f>
        <v/>
      </c>
      <c r="L36" s="15">
        <f>IF(OR($B36="",L$5=""),"",IFERROR(SUMIFS(nrES_Rec,nrES_PID,$B36,nrES_Code,L$5,nrES_Final,"Yes"),""))</f>
        <v/>
      </c>
      <c r="M36" s="15">
        <f>IF(OR($B36="",M$5=""),"",IFERROR(SUMIFS(nrES_Rec,nrES_PID,$B36,nrES_Code,M$5,nrES_Final,"Yes"),""))</f>
        <v/>
      </c>
      <c r="N36" s="15">
        <f>IF(OR($B36="",N$5=""),"",IFERROR(SUMIFS(nrES_Rec,nrES_PID,$B36,nrES_Code,N$5,nrES_Final,"Yes"),""))</f>
        <v/>
      </c>
      <c r="O36" s="15">
        <f>IF(OR($B36="",O$5=""),"",IFERROR(SUMIFS(nrES_Rec,nrES_PID,$B36,nrES_Code,O$5,nrES_Final,"Yes"),""))</f>
        <v/>
      </c>
      <c r="P36" s="15">
        <f>IF(OR($B36="",P$5=""),"",IFERROR(SUMIFS(nrES_Rec,nrES_PID,$B36,nrES_Code,P$5,nrES_Final,"Yes"),""))</f>
        <v/>
      </c>
      <c r="Q36" s="15">
        <f>IF(OR($B36="",Q$5=""),"",IFERROR(SUMIFS(nrES_Rec,nrES_PID,$B36,nrES_Code,Q$5,nrES_Final,"Yes"),""))</f>
        <v/>
      </c>
      <c r="R36" s="15">
        <f>IF(OR($B36="",R$5=""),"",IFERROR(SUMIFS(nrES_Rec,nrES_PID,$B36,nrES_Code,R$5,nrES_Final,"Yes"),""))</f>
        <v/>
      </c>
      <c r="S36" s="15">
        <f>IF(OR($B36="",S$5=""),"",IFERROR(SUMIFS(nrES_Rec,nrES_PID,$B36,nrES_Code,S$5,nrES_Final,"Yes"),""))</f>
        <v/>
      </c>
      <c r="T36" s="15">
        <f>IF(OR($B36="",T$5=""),"",IFERROR(SUMIFS(nrES_Rec,nrES_PID,$B36,nrES_Code,T$5,nrES_Final,"Yes"),""))</f>
        <v/>
      </c>
      <c r="U36" s="15">
        <f>IF(OR($B36="",U$5=""),"",IFERROR(SUMIFS(nrES_Rec,nrES_PID,$B36,nrES_Code,U$5,nrES_Final,"Yes"),""))</f>
        <v/>
      </c>
      <c r="V36" s="15">
        <f>IF(OR($B36="",V$5=""),"",IFERROR(SUMIFS(nrES_Rec,nrES_PID,$B36,nrES_Code,V$5,nrES_Final,"Yes"),""))</f>
        <v/>
      </c>
      <c r="W36" s="15">
        <f>IF(OR($B36="",W$5=""),"",IFERROR(SUMIFS(nrES_Rec,nrES_PID,$B36,nrES_Code,W$5,nrES_Final,"Yes"),""))</f>
        <v/>
      </c>
      <c r="X36" s="15">
        <f>IF(OR($B36="",X$5=""),"",IFERROR(SUMIFS(nrES_Rec,nrES_PID,$B36,nrES_Code,X$5,nrES_Final,"Yes"),""))</f>
        <v/>
      </c>
      <c r="Y36" s="15">
        <f>IF(OR($B36="",Y$5=""),"",IFERROR(SUMIFS(nrES_Rec,nrES_PID,$B36,nrES_Code,Y$5,nrES_Final,"Yes"),""))</f>
        <v/>
      </c>
      <c r="Z36" s="15">
        <f>IF(OR($B36="",Z$5=""),"",IFERROR(SUMIFS(nrES_Rec,nrES_PID,$B36,nrES_Code,Z$5,nrES_Final,"Yes"),""))</f>
        <v/>
      </c>
      <c r="AA36" s="15">
        <f>IF(OR($B36="",AA$5=""),"",IFERROR(SUMIFS(nrES_Rec,nrES_PID,$B36,nrES_Code,AA$5,nrES_Final,"Yes"),""))</f>
        <v/>
      </c>
      <c r="AB36" s="15">
        <f>IF(OR($B36="",AB$5=""),"",IFERROR(SUMIFS(nrES_Rec,nrES_PID,$B36,nrES_Code,AB$5,nrES_Final,"Yes"),""))</f>
        <v/>
      </c>
      <c r="AC36" s="15">
        <f>IF($B36="","",sysGrades!$M36)</f>
        <v/>
      </c>
      <c r="AD36" s="15">
        <f>IF($B36="","",IFERROR(sysGrades!$U36,""))</f>
        <v/>
      </c>
    </row>
    <row r="37">
      <c r="B37" s="15">
        <f>IF(Cadets!$B37="","",Cadets!$B37)</f>
        <v/>
      </c>
      <c r="C37" s="15">
        <f>IF($B37="","",Cadets!$F37)</f>
        <v/>
      </c>
      <c r="D37" s="15">
        <f>IF(OR($B37="",D$5=""),"",IFERROR(SUMIFS(nrES_Rec,nrES_PID,$B37,nrES_Code,D$5,nrES_Final,"Yes"),""))</f>
        <v/>
      </c>
      <c r="E37" s="15">
        <f>IF(OR($B37="",E$5=""),"",IFERROR(SUMIFS(nrES_Rec,nrES_PID,$B37,nrES_Code,E$5,nrES_Final,"Yes"),""))</f>
        <v/>
      </c>
      <c r="F37" s="15">
        <f>IF(OR($B37="",F$5=""),"",IFERROR(SUMIFS(nrES_Rec,nrES_PID,$B37,nrES_Code,F$5,nrES_Final,"Yes"),""))</f>
        <v/>
      </c>
      <c r="G37" s="15">
        <f>IF(OR($B37="",G$5=""),"",IFERROR(SUMIFS(nrES_Rec,nrES_PID,$B37,nrES_Code,G$5,nrES_Final,"Yes"),""))</f>
        <v/>
      </c>
      <c r="H37" s="15">
        <f>IF(OR($B37="",H$5=""),"",IFERROR(SUMIFS(nrES_Rec,nrES_PID,$B37,nrES_Code,H$5,nrES_Final,"Yes"),""))</f>
        <v/>
      </c>
      <c r="I37" s="15">
        <f>IF(OR($B37="",I$5=""),"",IFERROR(SUMIFS(nrES_Rec,nrES_PID,$B37,nrES_Code,I$5,nrES_Final,"Yes"),""))</f>
        <v/>
      </c>
      <c r="J37" s="15">
        <f>IF(OR($B37="",J$5=""),"",IFERROR(SUMIFS(nrES_Rec,nrES_PID,$B37,nrES_Code,J$5,nrES_Final,"Yes"),""))</f>
        <v/>
      </c>
      <c r="K37" s="15">
        <f>IF(OR($B37="",K$5=""),"",IFERROR(SUMIFS(nrES_Rec,nrES_PID,$B37,nrES_Code,K$5,nrES_Final,"Yes"),""))</f>
        <v/>
      </c>
      <c r="L37" s="15">
        <f>IF(OR($B37="",L$5=""),"",IFERROR(SUMIFS(nrES_Rec,nrES_PID,$B37,nrES_Code,L$5,nrES_Final,"Yes"),""))</f>
        <v/>
      </c>
      <c r="M37" s="15">
        <f>IF(OR($B37="",M$5=""),"",IFERROR(SUMIFS(nrES_Rec,nrES_PID,$B37,nrES_Code,M$5,nrES_Final,"Yes"),""))</f>
        <v/>
      </c>
      <c r="N37" s="15">
        <f>IF(OR($B37="",N$5=""),"",IFERROR(SUMIFS(nrES_Rec,nrES_PID,$B37,nrES_Code,N$5,nrES_Final,"Yes"),""))</f>
        <v/>
      </c>
      <c r="O37" s="15">
        <f>IF(OR($B37="",O$5=""),"",IFERROR(SUMIFS(nrES_Rec,nrES_PID,$B37,nrES_Code,O$5,nrES_Final,"Yes"),""))</f>
        <v/>
      </c>
      <c r="P37" s="15">
        <f>IF(OR($B37="",P$5=""),"",IFERROR(SUMIFS(nrES_Rec,nrES_PID,$B37,nrES_Code,P$5,nrES_Final,"Yes"),""))</f>
        <v/>
      </c>
      <c r="Q37" s="15">
        <f>IF(OR($B37="",Q$5=""),"",IFERROR(SUMIFS(nrES_Rec,nrES_PID,$B37,nrES_Code,Q$5,nrES_Final,"Yes"),""))</f>
        <v/>
      </c>
      <c r="R37" s="15">
        <f>IF(OR($B37="",R$5=""),"",IFERROR(SUMIFS(nrES_Rec,nrES_PID,$B37,nrES_Code,R$5,nrES_Final,"Yes"),""))</f>
        <v/>
      </c>
      <c r="S37" s="15">
        <f>IF(OR($B37="",S$5=""),"",IFERROR(SUMIFS(nrES_Rec,nrES_PID,$B37,nrES_Code,S$5,nrES_Final,"Yes"),""))</f>
        <v/>
      </c>
      <c r="T37" s="15">
        <f>IF(OR($B37="",T$5=""),"",IFERROR(SUMIFS(nrES_Rec,nrES_PID,$B37,nrES_Code,T$5,nrES_Final,"Yes"),""))</f>
        <v/>
      </c>
      <c r="U37" s="15">
        <f>IF(OR($B37="",U$5=""),"",IFERROR(SUMIFS(nrES_Rec,nrES_PID,$B37,nrES_Code,U$5,nrES_Final,"Yes"),""))</f>
        <v/>
      </c>
      <c r="V37" s="15">
        <f>IF(OR($B37="",V$5=""),"",IFERROR(SUMIFS(nrES_Rec,nrES_PID,$B37,nrES_Code,V$5,nrES_Final,"Yes"),""))</f>
        <v/>
      </c>
      <c r="W37" s="15">
        <f>IF(OR($B37="",W$5=""),"",IFERROR(SUMIFS(nrES_Rec,nrES_PID,$B37,nrES_Code,W$5,nrES_Final,"Yes"),""))</f>
        <v/>
      </c>
      <c r="X37" s="15">
        <f>IF(OR($B37="",X$5=""),"",IFERROR(SUMIFS(nrES_Rec,nrES_PID,$B37,nrES_Code,X$5,nrES_Final,"Yes"),""))</f>
        <v/>
      </c>
      <c r="Y37" s="15">
        <f>IF(OR($B37="",Y$5=""),"",IFERROR(SUMIFS(nrES_Rec,nrES_PID,$B37,nrES_Code,Y$5,nrES_Final,"Yes"),""))</f>
        <v/>
      </c>
      <c r="Z37" s="15">
        <f>IF(OR($B37="",Z$5=""),"",IFERROR(SUMIFS(nrES_Rec,nrES_PID,$B37,nrES_Code,Z$5,nrES_Final,"Yes"),""))</f>
        <v/>
      </c>
      <c r="AA37" s="15">
        <f>IF(OR($B37="",AA$5=""),"",IFERROR(SUMIFS(nrES_Rec,nrES_PID,$B37,nrES_Code,AA$5,nrES_Final,"Yes"),""))</f>
        <v/>
      </c>
      <c r="AB37" s="15">
        <f>IF(OR($B37="",AB$5=""),"",IFERROR(SUMIFS(nrES_Rec,nrES_PID,$B37,nrES_Code,AB$5,nrES_Final,"Yes"),""))</f>
        <v/>
      </c>
      <c r="AC37" s="15">
        <f>IF($B37="","",sysGrades!$M37)</f>
        <v/>
      </c>
      <c r="AD37" s="15">
        <f>IF($B37="","",IFERROR(sysGrades!$U37,""))</f>
        <v/>
      </c>
    </row>
    <row r="38">
      <c r="B38" s="15">
        <f>IF(Cadets!$B38="","",Cadets!$B38)</f>
        <v/>
      </c>
      <c r="C38" s="15">
        <f>IF($B38="","",Cadets!$F38)</f>
        <v/>
      </c>
      <c r="D38" s="15">
        <f>IF(OR($B38="",D$5=""),"",IFERROR(SUMIFS(nrES_Rec,nrES_PID,$B38,nrES_Code,D$5,nrES_Final,"Yes"),""))</f>
        <v/>
      </c>
      <c r="E38" s="15">
        <f>IF(OR($B38="",E$5=""),"",IFERROR(SUMIFS(nrES_Rec,nrES_PID,$B38,nrES_Code,E$5,nrES_Final,"Yes"),""))</f>
        <v/>
      </c>
      <c r="F38" s="15">
        <f>IF(OR($B38="",F$5=""),"",IFERROR(SUMIFS(nrES_Rec,nrES_PID,$B38,nrES_Code,F$5,nrES_Final,"Yes"),""))</f>
        <v/>
      </c>
      <c r="G38" s="15">
        <f>IF(OR($B38="",G$5=""),"",IFERROR(SUMIFS(nrES_Rec,nrES_PID,$B38,nrES_Code,G$5,nrES_Final,"Yes"),""))</f>
        <v/>
      </c>
      <c r="H38" s="15">
        <f>IF(OR($B38="",H$5=""),"",IFERROR(SUMIFS(nrES_Rec,nrES_PID,$B38,nrES_Code,H$5,nrES_Final,"Yes"),""))</f>
        <v/>
      </c>
      <c r="I38" s="15">
        <f>IF(OR($B38="",I$5=""),"",IFERROR(SUMIFS(nrES_Rec,nrES_PID,$B38,nrES_Code,I$5,nrES_Final,"Yes"),""))</f>
        <v/>
      </c>
      <c r="J38" s="15">
        <f>IF(OR($B38="",J$5=""),"",IFERROR(SUMIFS(nrES_Rec,nrES_PID,$B38,nrES_Code,J$5,nrES_Final,"Yes"),""))</f>
        <v/>
      </c>
      <c r="K38" s="15">
        <f>IF(OR($B38="",K$5=""),"",IFERROR(SUMIFS(nrES_Rec,nrES_PID,$B38,nrES_Code,K$5,nrES_Final,"Yes"),""))</f>
        <v/>
      </c>
      <c r="L38" s="15">
        <f>IF(OR($B38="",L$5=""),"",IFERROR(SUMIFS(nrES_Rec,nrES_PID,$B38,nrES_Code,L$5,nrES_Final,"Yes"),""))</f>
        <v/>
      </c>
      <c r="M38" s="15">
        <f>IF(OR($B38="",M$5=""),"",IFERROR(SUMIFS(nrES_Rec,nrES_PID,$B38,nrES_Code,M$5,nrES_Final,"Yes"),""))</f>
        <v/>
      </c>
      <c r="N38" s="15">
        <f>IF(OR($B38="",N$5=""),"",IFERROR(SUMIFS(nrES_Rec,nrES_PID,$B38,nrES_Code,N$5,nrES_Final,"Yes"),""))</f>
        <v/>
      </c>
      <c r="O38" s="15">
        <f>IF(OR($B38="",O$5=""),"",IFERROR(SUMIFS(nrES_Rec,nrES_PID,$B38,nrES_Code,O$5,nrES_Final,"Yes"),""))</f>
        <v/>
      </c>
      <c r="P38" s="15">
        <f>IF(OR($B38="",P$5=""),"",IFERROR(SUMIFS(nrES_Rec,nrES_PID,$B38,nrES_Code,P$5,nrES_Final,"Yes"),""))</f>
        <v/>
      </c>
      <c r="Q38" s="15">
        <f>IF(OR($B38="",Q$5=""),"",IFERROR(SUMIFS(nrES_Rec,nrES_PID,$B38,nrES_Code,Q$5,nrES_Final,"Yes"),""))</f>
        <v/>
      </c>
      <c r="R38" s="15">
        <f>IF(OR($B38="",R$5=""),"",IFERROR(SUMIFS(nrES_Rec,nrES_PID,$B38,nrES_Code,R$5,nrES_Final,"Yes"),""))</f>
        <v/>
      </c>
      <c r="S38" s="15">
        <f>IF(OR($B38="",S$5=""),"",IFERROR(SUMIFS(nrES_Rec,nrES_PID,$B38,nrES_Code,S$5,nrES_Final,"Yes"),""))</f>
        <v/>
      </c>
      <c r="T38" s="15">
        <f>IF(OR($B38="",T$5=""),"",IFERROR(SUMIFS(nrES_Rec,nrES_PID,$B38,nrES_Code,T$5,nrES_Final,"Yes"),""))</f>
        <v/>
      </c>
      <c r="U38" s="15">
        <f>IF(OR($B38="",U$5=""),"",IFERROR(SUMIFS(nrES_Rec,nrES_PID,$B38,nrES_Code,U$5,nrES_Final,"Yes"),""))</f>
        <v/>
      </c>
      <c r="V38" s="15">
        <f>IF(OR($B38="",V$5=""),"",IFERROR(SUMIFS(nrES_Rec,nrES_PID,$B38,nrES_Code,V$5,nrES_Final,"Yes"),""))</f>
        <v/>
      </c>
      <c r="W38" s="15">
        <f>IF(OR($B38="",W$5=""),"",IFERROR(SUMIFS(nrES_Rec,nrES_PID,$B38,nrES_Code,W$5,nrES_Final,"Yes"),""))</f>
        <v/>
      </c>
      <c r="X38" s="15">
        <f>IF(OR($B38="",X$5=""),"",IFERROR(SUMIFS(nrES_Rec,nrES_PID,$B38,nrES_Code,X$5,nrES_Final,"Yes"),""))</f>
        <v/>
      </c>
      <c r="Y38" s="15">
        <f>IF(OR($B38="",Y$5=""),"",IFERROR(SUMIFS(nrES_Rec,nrES_PID,$B38,nrES_Code,Y$5,nrES_Final,"Yes"),""))</f>
        <v/>
      </c>
      <c r="Z38" s="15">
        <f>IF(OR($B38="",Z$5=""),"",IFERROR(SUMIFS(nrES_Rec,nrES_PID,$B38,nrES_Code,Z$5,nrES_Final,"Yes"),""))</f>
        <v/>
      </c>
      <c r="AA38" s="15">
        <f>IF(OR($B38="",AA$5=""),"",IFERROR(SUMIFS(nrES_Rec,nrES_PID,$B38,nrES_Code,AA$5,nrES_Final,"Yes"),""))</f>
        <v/>
      </c>
      <c r="AB38" s="15">
        <f>IF(OR($B38="",AB$5=""),"",IFERROR(SUMIFS(nrES_Rec,nrES_PID,$B38,nrES_Code,AB$5,nrES_Final,"Yes"),""))</f>
        <v/>
      </c>
      <c r="AC38" s="15">
        <f>IF($B38="","",sysGrades!$M38)</f>
        <v/>
      </c>
      <c r="AD38" s="15">
        <f>IF($B38="","",IFERROR(sysGrades!$U38,""))</f>
        <v/>
      </c>
    </row>
    <row r="39">
      <c r="B39" s="15">
        <f>IF(Cadets!$B39="","",Cadets!$B39)</f>
        <v/>
      </c>
      <c r="C39" s="15">
        <f>IF($B39="","",Cadets!$F39)</f>
        <v/>
      </c>
      <c r="D39" s="15">
        <f>IF(OR($B39="",D$5=""),"",IFERROR(SUMIFS(nrES_Rec,nrES_PID,$B39,nrES_Code,D$5,nrES_Final,"Yes"),""))</f>
        <v/>
      </c>
      <c r="E39" s="15">
        <f>IF(OR($B39="",E$5=""),"",IFERROR(SUMIFS(nrES_Rec,nrES_PID,$B39,nrES_Code,E$5,nrES_Final,"Yes"),""))</f>
        <v/>
      </c>
      <c r="F39" s="15">
        <f>IF(OR($B39="",F$5=""),"",IFERROR(SUMIFS(nrES_Rec,nrES_PID,$B39,nrES_Code,F$5,nrES_Final,"Yes"),""))</f>
        <v/>
      </c>
      <c r="G39" s="15">
        <f>IF(OR($B39="",G$5=""),"",IFERROR(SUMIFS(nrES_Rec,nrES_PID,$B39,nrES_Code,G$5,nrES_Final,"Yes"),""))</f>
        <v/>
      </c>
      <c r="H39" s="15">
        <f>IF(OR($B39="",H$5=""),"",IFERROR(SUMIFS(nrES_Rec,nrES_PID,$B39,nrES_Code,H$5,nrES_Final,"Yes"),""))</f>
        <v/>
      </c>
      <c r="I39" s="15">
        <f>IF(OR($B39="",I$5=""),"",IFERROR(SUMIFS(nrES_Rec,nrES_PID,$B39,nrES_Code,I$5,nrES_Final,"Yes"),""))</f>
        <v/>
      </c>
      <c r="J39" s="15">
        <f>IF(OR($B39="",J$5=""),"",IFERROR(SUMIFS(nrES_Rec,nrES_PID,$B39,nrES_Code,J$5,nrES_Final,"Yes"),""))</f>
        <v/>
      </c>
      <c r="K39" s="15">
        <f>IF(OR($B39="",K$5=""),"",IFERROR(SUMIFS(nrES_Rec,nrES_PID,$B39,nrES_Code,K$5,nrES_Final,"Yes"),""))</f>
        <v/>
      </c>
      <c r="L39" s="15">
        <f>IF(OR($B39="",L$5=""),"",IFERROR(SUMIFS(nrES_Rec,nrES_PID,$B39,nrES_Code,L$5,nrES_Final,"Yes"),""))</f>
        <v/>
      </c>
      <c r="M39" s="15">
        <f>IF(OR($B39="",M$5=""),"",IFERROR(SUMIFS(nrES_Rec,nrES_PID,$B39,nrES_Code,M$5,nrES_Final,"Yes"),""))</f>
        <v/>
      </c>
      <c r="N39" s="15">
        <f>IF(OR($B39="",N$5=""),"",IFERROR(SUMIFS(nrES_Rec,nrES_PID,$B39,nrES_Code,N$5,nrES_Final,"Yes"),""))</f>
        <v/>
      </c>
      <c r="O39" s="15">
        <f>IF(OR($B39="",O$5=""),"",IFERROR(SUMIFS(nrES_Rec,nrES_PID,$B39,nrES_Code,O$5,nrES_Final,"Yes"),""))</f>
        <v/>
      </c>
      <c r="P39" s="15">
        <f>IF(OR($B39="",P$5=""),"",IFERROR(SUMIFS(nrES_Rec,nrES_PID,$B39,nrES_Code,P$5,nrES_Final,"Yes"),""))</f>
        <v/>
      </c>
      <c r="Q39" s="15">
        <f>IF(OR($B39="",Q$5=""),"",IFERROR(SUMIFS(nrES_Rec,nrES_PID,$B39,nrES_Code,Q$5,nrES_Final,"Yes"),""))</f>
        <v/>
      </c>
      <c r="R39" s="15">
        <f>IF(OR($B39="",R$5=""),"",IFERROR(SUMIFS(nrES_Rec,nrES_PID,$B39,nrES_Code,R$5,nrES_Final,"Yes"),""))</f>
        <v/>
      </c>
      <c r="S39" s="15">
        <f>IF(OR($B39="",S$5=""),"",IFERROR(SUMIFS(nrES_Rec,nrES_PID,$B39,nrES_Code,S$5,nrES_Final,"Yes"),""))</f>
        <v/>
      </c>
      <c r="T39" s="15">
        <f>IF(OR($B39="",T$5=""),"",IFERROR(SUMIFS(nrES_Rec,nrES_PID,$B39,nrES_Code,T$5,nrES_Final,"Yes"),""))</f>
        <v/>
      </c>
      <c r="U39" s="15">
        <f>IF(OR($B39="",U$5=""),"",IFERROR(SUMIFS(nrES_Rec,nrES_PID,$B39,nrES_Code,U$5,nrES_Final,"Yes"),""))</f>
        <v/>
      </c>
      <c r="V39" s="15">
        <f>IF(OR($B39="",V$5=""),"",IFERROR(SUMIFS(nrES_Rec,nrES_PID,$B39,nrES_Code,V$5,nrES_Final,"Yes"),""))</f>
        <v/>
      </c>
      <c r="W39" s="15">
        <f>IF(OR($B39="",W$5=""),"",IFERROR(SUMIFS(nrES_Rec,nrES_PID,$B39,nrES_Code,W$5,nrES_Final,"Yes"),""))</f>
        <v/>
      </c>
      <c r="X39" s="15">
        <f>IF(OR($B39="",X$5=""),"",IFERROR(SUMIFS(nrES_Rec,nrES_PID,$B39,nrES_Code,X$5,nrES_Final,"Yes"),""))</f>
        <v/>
      </c>
      <c r="Y39" s="15">
        <f>IF(OR($B39="",Y$5=""),"",IFERROR(SUMIFS(nrES_Rec,nrES_PID,$B39,nrES_Code,Y$5,nrES_Final,"Yes"),""))</f>
        <v/>
      </c>
      <c r="Z39" s="15">
        <f>IF(OR($B39="",Z$5=""),"",IFERROR(SUMIFS(nrES_Rec,nrES_PID,$B39,nrES_Code,Z$5,nrES_Final,"Yes"),""))</f>
        <v/>
      </c>
      <c r="AA39" s="15">
        <f>IF(OR($B39="",AA$5=""),"",IFERROR(SUMIFS(nrES_Rec,nrES_PID,$B39,nrES_Code,AA$5,nrES_Final,"Yes"),""))</f>
        <v/>
      </c>
      <c r="AB39" s="15">
        <f>IF(OR($B39="",AB$5=""),"",IFERROR(SUMIFS(nrES_Rec,nrES_PID,$B39,nrES_Code,AB$5,nrES_Final,"Yes"),""))</f>
        <v/>
      </c>
      <c r="AC39" s="15">
        <f>IF($B39="","",sysGrades!$M39)</f>
        <v/>
      </c>
      <c r="AD39" s="15">
        <f>IF($B39="","",IFERROR(sysGrades!$U39,""))</f>
        <v/>
      </c>
    </row>
    <row r="40">
      <c r="B40" s="15">
        <f>IF(Cadets!$B40="","",Cadets!$B40)</f>
        <v/>
      </c>
      <c r="C40" s="15">
        <f>IF($B40="","",Cadets!$F40)</f>
        <v/>
      </c>
      <c r="D40" s="15">
        <f>IF(OR($B40="",D$5=""),"",IFERROR(SUMIFS(nrES_Rec,nrES_PID,$B40,nrES_Code,D$5,nrES_Final,"Yes"),""))</f>
        <v/>
      </c>
      <c r="E40" s="15">
        <f>IF(OR($B40="",E$5=""),"",IFERROR(SUMIFS(nrES_Rec,nrES_PID,$B40,nrES_Code,E$5,nrES_Final,"Yes"),""))</f>
        <v/>
      </c>
      <c r="F40" s="15">
        <f>IF(OR($B40="",F$5=""),"",IFERROR(SUMIFS(nrES_Rec,nrES_PID,$B40,nrES_Code,F$5,nrES_Final,"Yes"),""))</f>
        <v/>
      </c>
      <c r="G40" s="15">
        <f>IF(OR($B40="",G$5=""),"",IFERROR(SUMIFS(nrES_Rec,nrES_PID,$B40,nrES_Code,G$5,nrES_Final,"Yes"),""))</f>
        <v/>
      </c>
      <c r="H40" s="15">
        <f>IF(OR($B40="",H$5=""),"",IFERROR(SUMIFS(nrES_Rec,nrES_PID,$B40,nrES_Code,H$5,nrES_Final,"Yes"),""))</f>
        <v/>
      </c>
      <c r="I40" s="15">
        <f>IF(OR($B40="",I$5=""),"",IFERROR(SUMIFS(nrES_Rec,nrES_PID,$B40,nrES_Code,I$5,nrES_Final,"Yes"),""))</f>
        <v/>
      </c>
      <c r="J40" s="15">
        <f>IF(OR($B40="",J$5=""),"",IFERROR(SUMIFS(nrES_Rec,nrES_PID,$B40,nrES_Code,J$5,nrES_Final,"Yes"),""))</f>
        <v/>
      </c>
      <c r="K40" s="15">
        <f>IF(OR($B40="",K$5=""),"",IFERROR(SUMIFS(nrES_Rec,nrES_PID,$B40,nrES_Code,K$5,nrES_Final,"Yes"),""))</f>
        <v/>
      </c>
      <c r="L40" s="15">
        <f>IF(OR($B40="",L$5=""),"",IFERROR(SUMIFS(nrES_Rec,nrES_PID,$B40,nrES_Code,L$5,nrES_Final,"Yes"),""))</f>
        <v/>
      </c>
      <c r="M40" s="15">
        <f>IF(OR($B40="",M$5=""),"",IFERROR(SUMIFS(nrES_Rec,nrES_PID,$B40,nrES_Code,M$5,nrES_Final,"Yes"),""))</f>
        <v/>
      </c>
      <c r="N40" s="15">
        <f>IF(OR($B40="",N$5=""),"",IFERROR(SUMIFS(nrES_Rec,nrES_PID,$B40,nrES_Code,N$5,nrES_Final,"Yes"),""))</f>
        <v/>
      </c>
      <c r="O40" s="15">
        <f>IF(OR($B40="",O$5=""),"",IFERROR(SUMIFS(nrES_Rec,nrES_PID,$B40,nrES_Code,O$5,nrES_Final,"Yes"),""))</f>
        <v/>
      </c>
      <c r="P40" s="15">
        <f>IF(OR($B40="",P$5=""),"",IFERROR(SUMIFS(nrES_Rec,nrES_PID,$B40,nrES_Code,P$5,nrES_Final,"Yes"),""))</f>
        <v/>
      </c>
      <c r="Q40" s="15">
        <f>IF(OR($B40="",Q$5=""),"",IFERROR(SUMIFS(nrES_Rec,nrES_PID,$B40,nrES_Code,Q$5,nrES_Final,"Yes"),""))</f>
        <v/>
      </c>
      <c r="R40" s="15">
        <f>IF(OR($B40="",R$5=""),"",IFERROR(SUMIFS(nrES_Rec,nrES_PID,$B40,nrES_Code,R$5,nrES_Final,"Yes"),""))</f>
        <v/>
      </c>
      <c r="S40" s="15">
        <f>IF(OR($B40="",S$5=""),"",IFERROR(SUMIFS(nrES_Rec,nrES_PID,$B40,nrES_Code,S$5,nrES_Final,"Yes"),""))</f>
        <v/>
      </c>
      <c r="T40" s="15">
        <f>IF(OR($B40="",T$5=""),"",IFERROR(SUMIFS(nrES_Rec,nrES_PID,$B40,nrES_Code,T$5,nrES_Final,"Yes"),""))</f>
        <v/>
      </c>
      <c r="U40" s="15">
        <f>IF(OR($B40="",U$5=""),"",IFERROR(SUMIFS(nrES_Rec,nrES_PID,$B40,nrES_Code,U$5,nrES_Final,"Yes"),""))</f>
        <v/>
      </c>
      <c r="V40" s="15">
        <f>IF(OR($B40="",V$5=""),"",IFERROR(SUMIFS(nrES_Rec,nrES_PID,$B40,nrES_Code,V$5,nrES_Final,"Yes"),""))</f>
        <v/>
      </c>
      <c r="W40" s="15">
        <f>IF(OR($B40="",W$5=""),"",IFERROR(SUMIFS(nrES_Rec,nrES_PID,$B40,nrES_Code,W$5,nrES_Final,"Yes"),""))</f>
        <v/>
      </c>
      <c r="X40" s="15">
        <f>IF(OR($B40="",X$5=""),"",IFERROR(SUMIFS(nrES_Rec,nrES_PID,$B40,nrES_Code,X$5,nrES_Final,"Yes"),""))</f>
        <v/>
      </c>
      <c r="Y40" s="15">
        <f>IF(OR($B40="",Y$5=""),"",IFERROR(SUMIFS(nrES_Rec,nrES_PID,$B40,nrES_Code,Y$5,nrES_Final,"Yes"),""))</f>
        <v/>
      </c>
      <c r="Z40" s="15">
        <f>IF(OR($B40="",Z$5=""),"",IFERROR(SUMIFS(nrES_Rec,nrES_PID,$B40,nrES_Code,Z$5,nrES_Final,"Yes"),""))</f>
        <v/>
      </c>
      <c r="AA40" s="15">
        <f>IF(OR($B40="",AA$5=""),"",IFERROR(SUMIFS(nrES_Rec,nrES_PID,$B40,nrES_Code,AA$5,nrES_Final,"Yes"),""))</f>
        <v/>
      </c>
      <c r="AB40" s="15">
        <f>IF(OR($B40="",AB$5=""),"",IFERROR(SUMIFS(nrES_Rec,nrES_PID,$B40,nrES_Code,AB$5,nrES_Final,"Yes"),""))</f>
        <v/>
      </c>
      <c r="AC40" s="15">
        <f>IF($B40="","",sysGrades!$M40)</f>
        <v/>
      </c>
      <c r="AD40" s="15">
        <f>IF($B40="","",IFERROR(sysGrades!$U40,""))</f>
        <v/>
      </c>
    </row>
    <row r="41">
      <c r="B41" s="15">
        <f>IF(Cadets!$B41="","",Cadets!$B41)</f>
        <v/>
      </c>
      <c r="C41" s="15">
        <f>IF($B41="","",Cadets!$F41)</f>
        <v/>
      </c>
      <c r="D41" s="15">
        <f>IF(OR($B41="",D$5=""),"",IFERROR(SUMIFS(nrES_Rec,nrES_PID,$B41,nrES_Code,D$5,nrES_Final,"Yes"),""))</f>
        <v/>
      </c>
      <c r="E41" s="15">
        <f>IF(OR($B41="",E$5=""),"",IFERROR(SUMIFS(nrES_Rec,nrES_PID,$B41,nrES_Code,E$5,nrES_Final,"Yes"),""))</f>
        <v/>
      </c>
      <c r="F41" s="15">
        <f>IF(OR($B41="",F$5=""),"",IFERROR(SUMIFS(nrES_Rec,nrES_PID,$B41,nrES_Code,F$5,nrES_Final,"Yes"),""))</f>
        <v/>
      </c>
      <c r="G41" s="15">
        <f>IF(OR($B41="",G$5=""),"",IFERROR(SUMIFS(nrES_Rec,nrES_PID,$B41,nrES_Code,G$5,nrES_Final,"Yes"),""))</f>
        <v/>
      </c>
      <c r="H41" s="15">
        <f>IF(OR($B41="",H$5=""),"",IFERROR(SUMIFS(nrES_Rec,nrES_PID,$B41,nrES_Code,H$5,nrES_Final,"Yes"),""))</f>
        <v/>
      </c>
      <c r="I41" s="15">
        <f>IF(OR($B41="",I$5=""),"",IFERROR(SUMIFS(nrES_Rec,nrES_PID,$B41,nrES_Code,I$5,nrES_Final,"Yes"),""))</f>
        <v/>
      </c>
      <c r="J41" s="15">
        <f>IF(OR($B41="",J$5=""),"",IFERROR(SUMIFS(nrES_Rec,nrES_PID,$B41,nrES_Code,J$5,nrES_Final,"Yes"),""))</f>
        <v/>
      </c>
      <c r="K41" s="15">
        <f>IF(OR($B41="",K$5=""),"",IFERROR(SUMIFS(nrES_Rec,nrES_PID,$B41,nrES_Code,K$5,nrES_Final,"Yes"),""))</f>
        <v/>
      </c>
      <c r="L41" s="15">
        <f>IF(OR($B41="",L$5=""),"",IFERROR(SUMIFS(nrES_Rec,nrES_PID,$B41,nrES_Code,L$5,nrES_Final,"Yes"),""))</f>
        <v/>
      </c>
      <c r="M41" s="15">
        <f>IF(OR($B41="",M$5=""),"",IFERROR(SUMIFS(nrES_Rec,nrES_PID,$B41,nrES_Code,M$5,nrES_Final,"Yes"),""))</f>
        <v/>
      </c>
      <c r="N41" s="15">
        <f>IF(OR($B41="",N$5=""),"",IFERROR(SUMIFS(nrES_Rec,nrES_PID,$B41,nrES_Code,N$5,nrES_Final,"Yes"),""))</f>
        <v/>
      </c>
      <c r="O41" s="15">
        <f>IF(OR($B41="",O$5=""),"",IFERROR(SUMIFS(nrES_Rec,nrES_PID,$B41,nrES_Code,O$5,nrES_Final,"Yes"),""))</f>
        <v/>
      </c>
      <c r="P41" s="15">
        <f>IF(OR($B41="",P$5=""),"",IFERROR(SUMIFS(nrES_Rec,nrES_PID,$B41,nrES_Code,P$5,nrES_Final,"Yes"),""))</f>
        <v/>
      </c>
      <c r="Q41" s="15">
        <f>IF(OR($B41="",Q$5=""),"",IFERROR(SUMIFS(nrES_Rec,nrES_PID,$B41,nrES_Code,Q$5,nrES_Final,"Yes"),""))</f>
        <v/>
      </c>
      <c r="R41" s="15">
        <f>IF(OR($B41="",R$5=""),"",IFERROR(SUMIFS(nrES_Rec,nrES_PID,$B41,nrES_Code,R$5,nrES_Final,"Yes"),""))</f>
        <v/>
      </c>
      <c r="S41" s="15">
        <f>IF(OR($B41="",S$5=""),"",IFERROR(SUMIFS(nrES_Rec,nrES_PID,$B41,nrES_Code,S$5,nrES_Final,"Yes"),""))</f>
        <v/>
      </c>
      <c r="T41" s="15">
        <f>IF(OR($B41="",T$5=""),"",IFERROR(SUMIFS(nrES_Rec,nrES_PID,$B41,nrES_Code,T$5,nrES_Final,"Yes"),""))</f>
        <v/>
      </c>
      <c r="U41" s="15">
        <f>IF(OR($B41="",U$5=""),"",IFERROR(SUMIFS(nrES_Rec,nrES_PID,$B41,nrES_Code,U$5,nrES_Final,"Yes"),""))</f>
        <v/>
      </c>
      <c r="V41" s="15">
        <f>IF(OR($B41="",V$5=""),"",IFERROR(SUMIFS(nrES_Rec,nrES_PID,$B41,nrES_Code,V$5,nrES_Final,"Yes"),""))</f>
        <v/>
      </c>
      <c r="W41" s="15">
        <f>IF(OR($B41="",W$5=""),"",IFERROR(SUMIFS(nrES_Rec,nrES_PID,$B41,nrES_Code,W$5,nrES_Final,"Yes"),""))</f>
        <v/>
      </c>
      <c r="X41" s="15">
        <f>IF(OR($B41="",X$5=""),"",IFERROR(SUMIFS(nrES_Rec,nrES_PID,$B41,nrES_Code,X$5,nrES_Final,"Yes"),""))</f>
        <v/>
      </c>
      <c r="Y41" s="15">
        <f>IF(OR($B41="",Y$5=""),"",IFERROR(SUMIFS(nrES_Rec,nrES_PID,$B41,nrES_Code,Y$5,nrES_Final,"Yes"),""))</f>
        <v/>
      </c>
      <c r="Z41" s="15">
        <f>IF(OR($B41="",Z$5=""),"",IFERROR(SUMIFS(nrES_Rec,nrES_PID,$B41,nrES_Code,Z$5,nrES_Final,"Yes"),""))</f>
        <v/>
      </c>
      <c r="AA41" s="15">
        <f>IF(OR($B41="",AA$5=""),"",IFERROR(SUMIFS(nrES_Rec,nrES_PID,$B41,nrES_Code,AA$5,nrES_Final,"Yes"),""))</f>
        <v/>
      </c>
      <c r="AB41" s="15">
        <f>IF(OR($B41="",AB$5=""),"",IFERROR(SUMIFS(nrES_Rec,nrES_PID,$B41,nrES_Code,AB$5,nrES_Final,"Yes"),""))</f>
        <v/>
      </c>
      <c r="AC41" s="15">
        <f>IF($B41="","",sysGrades!$M41)</f>
        <v/>
      </c>
      <c r="AD41" s="15">
        <f>IF($B41="","",IFERROR(sysGrades!$U41,""))</f>
        <v/>
      </c>
    </row>
    <row r="42">
      <c r="B42" s="15">
        <f>IF(Cadets!$B42="","",Cadets!$B42)</f>
        <v/>
      </c>
      <c r="C42" s="15">
        <f>IF($B42="","",Cadets!$F42)</f>
        <v/>
      </c>
      <c r="D42" s="15">
        <f>IF(OR($B42="",D$5=""),"",IFERROR(SUMIFS(nrES_Rec,nrES_PID,$B42,nrES_Code,D$5,nrES_Final,"Yes"),""))</f>
        <v/>
      </c>
      <c r="E42" s="15">
        <f>IF(OR($B42="",E$5=""),"",IFERROR(SUMIFS(nrES_Rec,nrES_PID,$B42,nrES_Code,E$5,nrES_Final,"Yes"),""))</f>
        <v/>
      </c>
      <c r="F42" s="15">
        <f>IF(OR($B42="",F$5=""),"",IFERROR(SUMIFS(nrES_Rec,nrES_PID,$B42,nrES_Code,F$5,nrES_Final,"Yes"),""))</f>
        <v/>
      </c>
      <c r="G42" s="15">
        <f>IF(OR($B42="",G$5=""),"",IFERROR(SUMIFS(nrES_Rec,nrES_PID,$B42,nrES_Code,G$5,nrES_Final,"Yes"),""))</f>
        <v/>
      </c>
      <c r="H42" s="15">
        <f>IF(OR($B42="",H$5=""),"",IFERROR(SUMIFS(nrES_Rec,nrES_PID,$B42,nrES_Code,H$5,nrES_Final,"Yes"),""))</f>
        <v/>
      </c>
      <c r="I42" s="15">
        <f>IF(OR($B42="",I$5=""),"",IFERROR(SUMIFS(nrES_Rec,nrES_PID,$B42,nrES_Code,I$5,nrES_Final,"Yes"),""))</f>
        <v/>
      </c>
      <c r="J42" s="15">
        <f>IF(OR($B42="",J$5=""),"",IFERROR(SUMIFS(nrES_Rec,nrES_PID,$B42,nrES_Code,J$5,nrES_Final,"Yes"),""))</f>
        <v/>
      </c>
      <c r="K42" s="15">
        <f>IF(OR($B42="",K$5=""),"",IFERROR(SUMIFS(nrES_Rec,nrES_PID,$B42,nrES_Code,K$5,nrES_Final,"Yes"),""))</f>
        <v/>
      </c>
      <c r="L42" s="15">
        <f>IF(OR($B42="",L$5=""),"",IFERROR(SUMIFS(nrES_Rec,nrES_PID,$B42,nrES_Code,L$5,nrES_Final,"Yes"),""))</f>
        <v/>
      </c>
      <c r="M42" s="15">
        <f>IF(OR($B42="",M$5=""),"",IFERROR(SUMIFS(nrES_Rec,nrES_PID,$B42,nrES_Code,M$5,nrES_Final,"Yes"),""))</f>
        <v/>
      </c>
      <c r="N42" s="15">
        <f>IF(OR($B42="",N$5=""),"",IFERROR(SUMIFS(nrES_Rec,nrES_PID,$B42,nrES_Code,N$5,nrES_Final,"Yes"),""))</f>
        <v/>
      </c>
      <c r="O42" s="15">
        <f>IF(OR($B42="",O$5=""),"",IFERROR(SUMIFS(nrES_Rec,nrES_PID,$B42,nrES_Code,O$5,nrES_Final,"Yes"),""))</f>
        <v/>
      </c>
      <c r="P42" s="15">
        <f>IF(OR($B42="",P$5=""),"",IFERROR(SUMIFS(nrES_Rec,nrES_PID,$B42,nrES_Code,P$5,nrES_Final,"Yes"),""))</f>
        <v/>
      </c>
      <c r="Q42" s="15">
        <f>IF(OR($B42="",Q$5=""),"",IFERROR(SUMIFS(nrES_Rec,nrES_PID,$B42,nrES_Code,Q$5,nrES_Final,"Yes"),""))</f>
        <v/>
      </c>
      <c r="R42" s="15">
        <f>IF(OR($B42="",R$5=""),"",IFERROR(SUMIFS(nrES_Rec,nrES_PID,$B42,nrES_Code,R$5,nrES_Final,"Yes"),""))</f>
        <v/>
      </c>
      <c r="S42" s="15">
        <f>IF(OR($B42="",S$5=""),"",IFERROR(SUMIFS(nrES_Rec,nrES_PID,$B42,nrES_Code,S$5,nrES_Final,"Yes"),""))</f>
        <v/>
      </c>
      <c r="T42" s="15">
        <f>IF(OR($B42="",T$5=""),"",IFERROR(SUMIFS(nrES_Rec,nrES_PID,$B42,nrES_Code,T$5,nrES_Final,"Yes"),""))</f>
        <v/>
      </c>
      <c r="U42" s="15">
        <f>IF(OR($B42="",U$5=""),"",IFERROR(SUMIFS(nrES_Rec,nrES_PID,$B42,nrES_Code,U$5,nrES_Final,"Yes"),""))</f>
        <v/>
      </c>
      <c r="V42" s="15">
        <f>IF(OR($B42="",V$5=""),"",IFERROR(SUMIFS(nrES_Rec,nrES_PID,$B42,nrES_Code,V$5,nrES_Final,"Yes"),""))</f>
        <v/>
      </c>
      <c r="W42" s="15">
        <f>IF(OR($B42="",W$5=""),"",IFERROR(SUMIFS(nrES_Rec,nrES_PID,$B42,nrES_Code,W$5,nrES_Final,"Yes"),""))</f>
        <v/>
      </c>
      <c r="X42" s="15">
        <f>IF(OR($B42="",X$5=""),"",IFERROR(SUMIFS(nrES_Rec,nrES_PID,$B42,nrES_Code,X$5,nrES_Final,"Yes"),""))</f>
        <v/>
      </c>
      <c r="Y42" s="15">
        <f>IF(OR($B42="",Y$5=""),"",IFERROR(SUMIFS(nrES_Rec,nrES_PID,$B42,nrES_Code,Y$5,nrES_Final,"Yes"),""))</f>
        <v/>
      </c>
      <c r="Z42" s="15">
        <f>IF(OR($B42="",Z$5=""),"",IFERROR(SUMIFS(nrES_Rec,nrES_PID,$B42,nrES_Code,Z$5,nrES_Final,"Yes"),""))</f>
        <v/>
      </c>
      <c r="AA42" s="15">
        <f>IF(OR($B42="",AA$5=""),"",IFERROR(SUMIFS(nrES_Rec,nrES_PID,$B42,nrES_Code,AA$5,nrES_Final,"Yes"),""))</f>
        <v/>
      </c>
      <c r="AB42" s="15">
        <f>IF(OR($B42="",AB$5=""),"",IFERROR(SUMIFS(nrES_Rec,nrES_PID,$B42,nrES_Code,AB$5,nrES_Final,"Yes"),""))</f>
        <v/>
      </c>
      <c r="AC42" s="15">
        <f>IF($B42="","",sysGrades!$M42)</f>
        <v/>
      </c>
      <c r="AD42" s="15">
        <f>IF($B42="","",IFERROR(sysGrades!$U42,""))</f>
        <v/>
      </c>
    </row>
    <row r="43">
      <c r="B43" s="15">
        <f>IF(Cadets!$B43="","",Cadets!$B43)</f>
        <v/>
      </c>
      <c r="C43" s="15">
        <f>IF($B43="","",Cadets!$F43)</f>
        <v/>
      </c>
      <c r="D43" s="15">
        <f>IF(OR($B43="",D$5=""),"",IFERROR(SUMIFS(nrES_Rec,nrES_PID,$B43,nrES_Code,D$5,nrES_Final,"Yes"),""))</f>
        <v/>
      </c>
      <c r="E43" s="15">
        <f>IF(OR($B43="",E$5=""),"",IFERROR(SUMIFS(nrES_Rec,nrES_PID,$B43,nrES_Code,E$5,nrES_Final,"Yes"),""))</f>
        <v/>
      </c>
      <c r="F43" s="15">
        <f>IF(OR($B43="",F$5=""),"",IFERROR(SUMIFS(nrES_Rec,nrES_PID,$B43,nrES_Code,F$5,nrES_Final,"Yes"),""))</f>
        <v/>
      </c>
      <c r="G43" s="15">
        <f>IF(OR($B43="",G$5=""),"",IFERROR(SUMIFS(nrES_Rec,nrES_PID,$B43,nrES_Code,G$5,nrES_Final,"Yes"),""))</f>
        <v/>
      </c>
      <c r="H43" s="15">
        <f>IF(OR($B43="",H$5=""),"",IFERROR(SUMIFS(nrES_Rec,nrES_PID,$B43,nrES_Code,H$5,nrES_Final,"Yes"),""))</f>
        <v/>
      </c>
      <c r="I43" s="15">
        <f>IF(OR($B43="",I$5=""),"",IFERROR(SUMIFS(nrES_Rec,nrES_PID,$B43,nrES_Code,I$5,nrES_Final,"Yes"),""))</f>
        <v/>
      </c>
      <c r="J43" s="15">
        <f>IF(OR($B43="",J$5=""),"",IFERROR(SUMIFS(nrES_Rec,nrES_PID,$B43,nrES_Code,J$5,nrES_Final,"Yes"),""))</f>
        <v/>
      </c>
      <c r="K43" s="15">
        <f>IF(OR($B43="",K$5=""),"",IFERROR(SUMIFS(nrES_Rec,nrES_PID,$B43,nrES_Code,K$5,nrES_Final,"Yes"),""))</f>
        <v/>
      </c>
      <c r="L43" s="15">
        <f>IF(OR($B43="",L$5=""),"",IFERROR(SUMIFS(nrES_Rec,nrES_PID,$B43,nrES_Code,L$5,nrES_Final,"Yes"),""))</f>
        <v/>
      </c>
      <c r="M43" s="15">
        <f>IF(OR($B43="",M$5=""),"",IFERROR(SUMIFS(nrES_Rec,nrES_PID,$B43,nrES_Code,M$5,nrES_Final,"Yes"),""))</f>
        <v/>
      </c>
      <c r="N43" s="15">
        <f>IF(OR($B43="",N$5=""),"",IFERROR(SUMIFS(nrES_Rec,nrES_PID,$B43,nrES_Code,N$5,nrES_Final,"Yes"),""))</f>
        <v/>
      </c>
      <c r="O43" s="15">
        <f>IF(OR($B43="",O$5=""),"",IFERROR(SUMIFS(nrES_Rec,nrES_PID,$B43,nrES_Code,O$5,nrES_Final,"Yes"),""))</f>
        <v/>
      </c>
      <c r="P43" s="15">
        <f>IF(OR($B43="",P$5=""),"",IFERROR(SUMIFS(nrES_Rec,nrES_PID,$B43,nrES_Code,P$5,nrES_Final,"Yes"),""))</f>
        <v/>
      </c>
      <c r="Q43" s="15">
        <f>IF(OR($B43="",Q$5=""),"",IFERROR(SUMIFS(nrES_Rec,nrES_PID,$B43,nrES_Code,Q$5,nrES_Final,"Yes"),""))</f>
        <v/>
      </c>
      <c r="R43" s="15">
        <f>IF(OR($B43="",R$5=""),"",IFERROR(SUMIFS(nrES_Rec,nrES_PID,$B43,nrES_Code,R$5,nrES_Final,"Yes"),""))</f>
        <v/>
      </c>
      <c r="S43" s="15">
        <f>IF(OR($B43="",S$5=""),"",IFERROR(SUMIFS(nrES_Rec,nrES_PID,$B43,nrES_Code,S$5,nrES_Final,"Yes"),""))</f>
        <v/>
      </c>
      <c r="T43" s="15">
        <f>IF(OR($B43="",T$5=""),"",IFERROR(SUMIFS(nrES_Rec,nrES_PID,$B43,nrES_Code,T$5,nrES_Final,"Yes"),""))</f>
        <v/>
      </c>
      <c r="U43" s="15">
        <f>IF(OR($B43="",U$5=""),"",IFERROR(SUMIFS(nrES_Rec,nrES_PID,$B43,nrES_Code,U$5,nrES_Final,"Yes"),""))</f>
        <v/>
      </c>
      <c r="V43" s="15">
        <f>IF(OR($B43="",V$5=""),"",IFERROR(SUMIFS(nrES_Rec,nrES_PID,$B43,nrES_Code,V$5,nrES_Final,"Yes"),""))</f>
        <v/>
      </c>
      <c r="W43" s="15">
        <f>IF(OR($B43="",W$5=""),"",IFERROR(SUMIFS(nrES_Rec,nrES_PID,$B43,nrES_Code,W$5,nrES_Final,"Yes"),""))</f>
        <v/>
      </c>
      <c r="X43" s="15">
        <f>IF(OR($B43="",X$5=""),"",IFERROR(SUMIFS(nrES_Rec,nrES_PID,$B43,nrES_Code,X$5,nrES_Final,"Yes"),""))</f>
        <v/>
      </c>
      <c r="Y43" s="15">
        <f>IF(OR($B43="",Y$5=""),"",IFERROR(SUMIFS(nrES_Rec,nrES_PID,$B43,nrES_Code,Y$5,nrES_Final,"Yes"),""))</f>
        <v/>
      </c>
      <c r="Z43" s="15">
        <f>IF(OR($B43="",Z$5=""),"",IFERROR(SUMIFS(nrES_Rec,nrES_PID,$B43,nrES_Code,Z$5,nrES_Final,"Yes"),""))</f>
        <v/>
      </c>
      <c r="AA43" s="15">
        <f>IF(OR($B43="",AA$5=""),"",IFERROR(SUMIFS(nrES_Rec,nrES_PID,$B43,nrES_Code,AA$5,nrES_Final,"Yes"),""))</f>
        <v/>
      </c>
      <c r="AB43" s="15">
        <f>IF(OR($B43="",AB$5=""),"",IFERROR(SUMIFS(nrES_Rec,nrES_PID,$B43,nrES_Code,AB$5,nrES_Final,"Yes"),""))</f>
        <v/>
      </c>
      <c r="AC43" s="15">
        <f>IF($B43="","",sysGrades!$M43)</f>
        <v/>
      </c>
      <c r="AD43" s="15">
        <f>IF($B43="","",IFERROR(sysGrades!$U43,""))</f>
        <v/>
      </c>
    </row>
    <row r="44">
      <c r="B44" s="15">
        <f>IF(Cadets!$B44="","",Cadets!$B44)</f>
        <v/>
      </c>
      <c r="C44" s="15">
        <f>IF($B44="","",Cadets!$F44)</f>
        <v/>
      </c>
      <c r="D44" s="15">
        <f>IF(OR($B44="",D$5=""),"",IFERROR(SUMIFS(nrES_Rec,nrES_PID,$B44,nrES_Code,D$5,nrES_Final,"Yes"),""))</f>
        <v/>
      </c>
      <c r="E44" s="15">
        <f>IF(OR($B44="",E$5=""),"",IFERROR(SUMIFS(nrES_Rec,nrES_PID,$B44,nrES_Code,E$5,nrES_Final,"Yes"),""))</f>
        <v/>
      </c>
      <c r="F44" s="15">
        <f>IF(OR($B44="",F$5=""),"",IFERROR(SUMIFS(nrES_Rec,nrES_PID,$B44,nrES_Code,F$5,nrES_Final,"Yes"),""))</f>
        <v/>
      </c>
      <c r="G44" s="15">
        <f>IF(OR($B44="",G$5=""),"",IFERROR(SUMIFS(nrES_Rec,nrES_PID,$B44,nrES_Code,G$5,nrES_Final,"Yes"),""))</f>
        <v/>
      </c>
      <c r="H44" s="15">
        <f>IF(OR($B44="",H$5=""),"",IFERROR(SUMIFS(nrES_Rec,nrES_PID,$B44,nrES_Code,H$5,nrES_Final,"Yes"),""))</f>
        <v/>
      </c>
      <c r="I44" s="15">
        <f>IF(OR($B44="",I$5=""),"",IFERROR(SUMIFS(nrES_Rec,nrES_PID,$B44,nrES_Code,I$5,nrES_Final,"Yes"),""))</f>
        <v/>
      </c>
      <c r="J44" s="15">
        <f>IF(OR($B44="",J$5=""),"",IFERROR(SUMIFS(nrES_Rec,nrES_PID,$B44,nrES_Code,J$5,nrES_Final,"Yes"),""))</f>
        <v/>
      </c>
      <c r="K44" s="15">
        <f>IF(OR($B44="",K$5=""),"",IFERROR(SUMIFS(nrES_Rec,nrES_PID,$B44,nrES_Code,K$5,nrES_Final,"Yes"),""))</f>
        <v/>
      </c>
      <c r="L44" s="15">
        <f>IF(OR($B44="",L$5=""),"",IFERROR(SUMIFS(nrES_Rec,nrES_PID,$B44,nrES_Code,L$5,nrES_Final,"Yes"),""))</f>
        <v/>
      </c>
      <c r="M44" s="15">
        <f>IF(OR($B44="",M$5=""),"",IFERROR(SUMIFS(nrES_Rec,nrES_PID,$B44,nrES_Code,M$5,nrES_Final,"Yes"),""))</f>
        <v/>
      </c>
      <c r="N44" s="15">
        <f>IF(OR($B44="",N$5=""),"",IFERROR(SUMIFS(nrES_Rec,nrES_PID,$B44,nrES_Code,N$5,nrES_Final,"Yes"),""))</f>
        <v/>
      </c>
      <c r="O44" s="15">
        <f>IF(OR($B44="",O$5=""),"",IFERROR(SUMIFS(nrES_Rec,nrES_PID,$B44,nrES_Code,O$5,nrES_Final,"Yes"),""))</f>
        <v/>
      </c>
      <c r="P44" s="15">
        <f>IF(OR($B44="",P$5=""),"",IFERROR(SUMIFS(nrES_Rec,nrES_PID,$B44,nrES_Code,P$5,nrES_Final,"Yes"),""))</f>
        <v/>
      </c>
      <c r="Q44" s="15">
        <f>IF(OR($B44="",Q$5=""),"",IFERROR(SUMIFS(nrES_Rec,nrES_PID,$B44,nrES_Code,Q$5,nrES_Final,"Yes"),""))</f>
        <v/>
      </c>
      <c r="R44" s="15">
        <f>IF(OR($B44="",R$5=""),"",IFERROR(SUMIFS(nrES_Rec,nrES_PID,$B44,nrES_Code,R$5,nrES_Final,"Yes"),""))</f>
        <v/>
      </c>
      <c r="S44" s="15">
        <f>IF(OR($B44="",S$5=""),"",IFERROR(SUMIFS(nrES_Rec,nrES_PID,$B44,nrES_Code,S$5,nrES_Final,"Yes"),""))</f>
        <v/>
      </c>
      <c r="T44" s="15">
        <f>IF(OR($B44="",T$5=""),"",IFERROR(SUMIFS(nrES_Rec,nrES_PID,$B44,nrES_Code,T$5,nrES_Final,"Yes"),""))</f>
        <v/>
      </c>
      <c r="U44" s="15">
        <f>IF(OR($B44="",U$5=""),"",IFERROR(SUMIFS(nrES_Rec,nrES_PID,$B44,nrES_Code,U$5,nrES_Final,"Yes"),""))</f>
        <v/>
      </c>
      <c r="V44" s="15">
        <f>IF(OR($B44="",V$5=""),"",IFERROR(SUMIFS(nrES_Rec,nrES_PID,$B44,nrES_Code,V$5,nrES_Final,"Yes"),""))</f>
        <v/>
      </c>
      <c r="W44" s="15">
        <f>IF(OR($B44="",W$5=""),"",IFERROR(SUMIFS(nrES_Rec,nrES_PID,$B44,nrES_Code,W$5,nrES_Final,"Yes"),""))</f>
        <v/>
      </c>
      <c r="X44" s="15">
        <f>IF(OR($B44="",X$5=""),"",IFERROR(SUMIFS(nrES_Rec,nrES_PID,$B44,nrES_Code,X$5,nrES_Final,"Yes"),""))</f>
        <v/>
      </c>
      <c r="Y44" s="15">
        <f>IF(OR($B44="",Y$5=""),"",IFERROR(SUMIFS(nrES_Rec,nrES_PID,$B44,nrES_Code,Y$5,nrES_Final,"Yes"),""))</f>
        <v/>
      </c>
      <c r="Z44" s="15">
        <f>IF(OR($B44="",Z$5=""),"",IFERROR(SUMIFS(nrES_Rec,nrES_PID,$B44,nrES_Code,Z$5,nrES_Final,"Yes"),""))</f>
        <v/>
      </c>
      <c r="AA44" s="15">
        <f>IF(OR($B44="",AA$5=""),"",IFERROR(SUMIFS(nrES_Rec,nrES_PID,$B44,nrES_Code,AA$5,nrES_Final,"Yes"),""))</f>
        <v/>
      </c>
      <c r="AB44" s="15">
        <f>IF(OR($B44="",AB$5=""),"",IFERROR(SUMIFS(nrES_Rec,nrES_PID,$B44,nrES_Code,AB$5,nrES_Final,"Yes"),""))</f>
        <v/>
      </c>
      <c r="AC44" s="15">
        <f>IF($B44="","",sysGrades!$M44)</f>
        <v/>
      </c>
      <c r="AD44" s="15">
        <f>IF($B44="","",IFERROR(sysGrades!$U44,""))</f>
        <v/>
      </c>
    </row>
    <row r="45">
      <c r="B45" s="15">
        <f>IF(Cadets!$B45="","",Cadets!$B45)</f>
        <v/>
      </c>
      <c r="C45" s="15">
        <f>IF($B45="","",Cadets!$F45)</f>
        <v/>
      </c>
      <c r="D45" s="15">
        <f>IF(OR($B45="",D$5=""),"",IFERROR(SUMIFS(nrES_Rec,nrES_PID,$B45,nrES_Code,D$5,nrES_Final,"Yes"),""))</f>
        <v/>
      </c>
      <c r="E45" s="15">
        <f>IF(OR($B45="",E$5=""),"",IFERROR(SUMIFS(nrES_Rec,nrES_PID,$B45,nrES_Code,E$5,nrES_Final,"Yes"),""))</f>
        <v/>
      </c>
      <c r="F45" s="15">
        <f>IF(OR($B45="",F$5=""),"",IFERROR(SUMIFS(nrES_Rec,nrES_PID,$B45,nrES_Code,F$5,nrES_Final,"Yes"),""))</f>
        <v/>
      </c>
      <c r="G45" s="15">
        <f>IF(OR($B45="",G$5=""),"",IFERROR(SUMIFS(nrES_Rec,nrES_PID,$B45,nrES_Code,G$5,nrES_Final,"Yes"),""))</f>
        <v/>
      </c>
      <c r="H45" s="15">
        <f>IF(OR($B45="",H$5=""),"",IFERROR(SUMIFS(nrES_Rec,nrES_PID,$B45,nrES_Code,H$5,nrES_Final,"Yes"),""))</f>
        <v/>
      </c>
      <c r="I45" s="15">
        <f>IF(OR($B45="",I$5=""),"",IFERROR(SUMIFS(nrES_Rec,nrES_PID,$B45,nrES_Code,I$5,nrES_Final,"Yes"),""))</f>
        <v/>
      </c>
      <c r="J45" s="15">
        <f>IF(OR($B45="",J$5=""),"",IFERROR(SUMIFS(nrES_Rec,nrES_PID,$B45,nrES_Code,J$5,nrES_Final,"Yes"),""))</f>
        <v/>
      </c>
      <c r="K45" s="15">
        <f>IF(OR($B45="",K$5=""),"",IFERROR(SUMIFS(nrES_Rec,nrES_PID,$B45,nrES_Code,K$5,nrES_Final,"Yes"),""))</f>
        <v/>
      </c>
      <c r="L45" s="15">
        <f>IF(OR($B45="",L$5=""),"",IFERROR(SUMIFS(nrES_Rec,nrES_PID,$B45,nrES_Code,L$5,nrES_Final,"Yes"),""))</f>
        <v/>
      </c>
      <c r="M45" s="15">
        <f>IF(OR($B45="",M$5=""),"",IFERROR(SUMIFS(nrES_Rec,nrES_PID,$B45,nrES_Code,M$5,nrES_Final,"Yes"),""))</f>
        <v/>
      </c>
      <c r="N45" s="15">
        <f>IF(OR($B45="",N$5=""),"",IFERROR(SUMIFS(nrES_Rec,nrES_PID,$B45,nrES_Code,N$5,nrES_Final,"Yes"),""))</f>
        <v/>
      </c>
      <c r="O45" s="15">
        <f>IF(OR($B45="",O$5=""),"",IFERROR(SUMIFS(nrES_Rec,nrES_PID,$B45,nrES_Code,O$5,nrES_Final,"Yes"),""))</f>
        <v/>
      </c>
      <c r="P45" s="15">
        <f>IF(OR($B45="",P$5=""),"",IFERROR(SUMIFS(nrES_Rec,nrES_PID,$B45,nrES_Code,P$5,nrES_Final,"Yes"),""))</f>
        <v/>
      </c>
      <c r="Q45" s="15">
        <f>IF(OR($B45="",Q$5=""),"",IFERROR(SUMIFS(nrES_Rec,nrES_PID,$B45,nrES_Code,Q$5,nrES_Final,"Yes"),""))</f>
        <v/>
      </c>
      <c r="R45" s="15">
        <f>IF(OR($B45="",R$5=""),"",IFERROR(SUMIFS(nrES_Rec,nrES_PID,$B45,nrES_Code,R$5,nrES_Final,"Yes"),""))</f>
        <v/>
      </c>
      <c r="S45" s="15">
        <f>IF(OR($B45="",S$5=""),"",IFERROR(SUMIFS(nrES_Rec,nrES_PID,$B45,nrES_Code,S$5,nrES_Final,"Yes"),""))</f>
        <v/>
      </c>
      <c r="T45" s="15">
        <f>IF(OR($B45="",T$5=""),"",IFERROR(SUMIFS(nrES_Rec,nrES_PID,$B45,nrES_Code,T$5,nrES_Final,"Yes"),""))</f>
        <v/>
      </c>
      <c r="U45" s="15">
        <f>IF(OR($B45="",U$5=""),"",IFERROR(SUMIFS(nrES_Rec,nrES_PID,$B45,nrES_Code,U$5,nrES_Final,"Yes"),""))</f>
        <v/>
      </c>
      <c r="V45" s="15">
        <f>IF(OR($B45="",V$5=""),"",IFERROR(SUMIFS(nrES_Rec,nrES_PID,$B45,nrES_Code,V$5,nrES_Final,"Yes"),""))</f>
        <v/>
      </c>
      <c r="W45" s="15">
        <f>IF(OR($B45="",W$5=""),"",IFERROR(SUMIFS(nrES_Rec,nrES_PID,$B45,nrES_Code,W$5,nrES_Final,"Yes"),""))</f>
        <v/>
      </c>
      <c r="X45" s="15">
        <f>IF(OR($B45="",X$5=""),"",IFERROR(SUMIFS(nrES_Rec,nrES_PID,$B45,nrES_Code,X$5,nrES_Final,"Yes"),""))</f>
        <v/>
      </c>
      <c r="Y45" s="15">
        <f>IF(OR($B45="",Y$5=""),"",IFERROR(SUMIFS(nrES_Rec,nrES_PID,$B45,nrES_Code,Y$5,nrES_Final,"Yes"),""))</f>
        <v/>
      </c>
      <c r="Z45" s="15">
        <f>IF(OR($B45="",Z$5=""),"",IFERROR(SUMIFS(nrES_Rec,nrES_PID,$B45,nrES_Code,Z$5,nrES_Final,"Yes"),""))</f>
        <v/>
      </c>
      <c r="AA45" s="15">
        <f>IF(OR($B45="",AA$5=""),"",IFERROR(SUMIFS(nrES_Rec,nrES_PID,$B45,nrES_Code,AA$5,nrES_Final,"Yes"),""))</f>
        <v/>
      </c>
      <c r="AB45" s="15">
        <f>IF(OR($B45="",AB$5=""),"",IFERROR(SUMIFS(nrES_Rec,nrES_PID,$B45,nrES_Code,AB$5,nrES_Final,"Yes"),""))</f>
        <v/>
      </c>
      <c r="AC45" s="15">
        <f>IF($B45="","",sysGrades!$M45)</f>
        <v/>
      </c>
      <c r="AD45" s="15">
        <f>IF($B45="","",IFERROR(sysGrades!$U45,""))</f>
        <v/>
      </c>
    </row>
    <row r="46">
      <c r="B46" s="15">
        <f>IF(Cadets!$B46="","",Cadets!$B46)</f>
        <v/>
      </c>
      <c r="C46" s="15">
        <f>IF($B46="","",Cadets!$F46)</f>
        <v/>
      </c>
      <c r="D46" s="15">
        <f>IF(OR($B46="",D$5=""),"",IFERROR(SUMIFS(nrES_Rec,nrES_PID,$B46,nrES_Code,D$5,nrES_Final,"Yes"),""))</f>
        <v/>
      </c>
      <c r="E46" s="15">
        <f>IF(OR($B46="",E$5=""),"",IFERROR(SUMIFS(nrES_Rec,nrES_PID,$B46,nrES_Code,E$5,nrES_Final,"Yes"),""))</f>
        <v/>
      </c>
      <c r="F46" s="15">
        <f>IF(OR($B46="",F$5=""),"",IFERROR(SUMIFS(nrES_Rec,nrES_PID,$B46,nrES_Code,F$5,nrES_Final,"Yes"),""))</f>
        <v/>
      </c>
      <c r="G46" s="15">
        <f>IF(OR($B46="",G$5=""),"",IFERROR(SUMIFS(nrES_Rec,nrES_PID,$B46,nrES_Code,G$5,nrES_Final,"Yes"),""))</f>
        <v/>
      </c>
      <c r="H46" s="15">
        <f>IF(OR($B46="",H$5=""),"",IFERROR(SUMIFS(nrES_Rec,nrES_PID,$B46,nrES_Code,H$5,nrES_Final,"Yes"),""))</f>
        <v/>
      </c>
      <c r="I46" s="15">
        <f>IF(OR($B46="",I$5=""),"",IFERROR(SUMIFS(nrES_Rec,nrES_PID,$B46,nrES_Code,I$5,nrES_Final,"Yes"),""))</f>
        <v/>
      </c>
      <c r="J46" s="15">
        <f>IF(OR($B46="",J$5=""),"",IFERROR(SUMIFS(nrES_Rec,nrES_PID,$B46,nrES_Code,J$5,nrES_Final,"Yes"),""))</f>
        <v/>
      </c>
      <c r="K46" s="15">
        <f>IF(OR($B46="",K$5=""),"",IFERROR(SUMIFS(nrES_Rec,nrES_PID,$B46,nrES_Code,K$5,nrES_Final,"Yes"),""))</f>
        <v/>
      </c>
      <c r="L46" s="15">
        <f>IF(OR($B46="",L$5=""),"",IFERROR(SUMIFS(nrES_Rec,nrES_PID,$B46,nrES_Code,L$5,nrES_Final,"Yes"),""))</f>
        <v/>
      </c>
      <c r="M46" s="15">
        <f>IF(OR($B46="",M$5=""),"",IFERROR(SUMIFS(nrES_Rec,nrES_PID,$B46,nrES_Code,M$5,nrES_Final,"Yes"),""))</f>
        <v/>
      </c>
      <c r="N46" s="15">
        <f>IF(OR($B46="",N$5=""),"",IFERROR(SUMIFS(nrES_Rec,nrES_PID,$B46,nrES_Code,N$5,nrES_Final,"Yes"),""))</f>
        <v/>
      </c>
      <c r="O46" s="15">
        <f>IF(OR($B46="",O$5=""),"",IFERROR(SUMIFS(nrES_Rec,nrES_PID,$B46,nrES_Code,O$5,nrES_Final,"Yes"),""))</f>
        <v/>
      </c>
      <c r="P46" s="15">
        <f>IF(OR($B46="",P$5=""),"",IFERROR(SUMIFS(nrES_Rec,nrES_PID,$B46,nrES_Code,P$5,nrES_Final,"Yes"),""))</f>
        <v/>
      </c>
      <c r="Q46" s="15">
        <f>IF(OR($B46="",Q$5=""),"",IFERROR(SUMIFS(nrES_Rec,nrES_PID,$B46,nrES_Code,Q$5,nrES_Final,"Yes"),""))</f>
        <v/>
      </c>
      <c r="R46" s="15">
        <f>IF(OR($B46="",R$5=""),"",IFERROR(SUMIFS(nrES_Rec,nrES_PID,$B46,nrES_Code,R$5,nrES_Final,"Yes"),""))</f>
        <v/>
      </c>
      <c r="S46" s="15">
        <f>IF(OR($B46="",S$5=""),"",IFERROR(SUMIFS(nrES_Rec,nrES_PID,$B46,nrES_Code,S$5,nrES_Final,"Yes"),""))</f>
        <v/>
      </c>
      <c r="T46" s="15">
        <f>IF(OR($B46="",T$5=""),"",IFERROR(SUMIFS(nrES_Rec,nrES_PID,$B46,nrES_Code,T$5,nrES_Final,"Yes"),""))</f>
        <v/>
      </c>
      <c r="U46" s="15">
        <f>IF(OR($B46="",U$5=""),"",IFERROR(SUMIFS(nrES_Rec,nrES_PID,$B46,nrES_Code,U$5,nrES_Final,"Yes"),""))</f>
        <v/>
      </c>
      <c r="V46" s="15">
        <f>IF(OR($B46="",V$5=""),"",IFERROR(SUMIFS(nrES_Rec,nrES_PID,$B46,nrES_Code,V$5,nrES_Final,"Yes"),""))</f>
        <v/>
      </c>
      <c r="W46" s="15">
        <f>IF(OR($B46="",W$5=""),"",IFERROR(SUMIFS(nrES_Rec,nrES_PID,$B46,nrES_Code,W$5,nrES_Final,"Yes"),""))</f>
        <v/>
      </c>
      <c r="X46" s="15">
        <f>IF(OR($B46="",X$5=""),"",IFERROR(SUMIFS(nrES_Rec,nrES_PID,$B46,nrES_Code,X$5,nrES_Final,"Yes"),""))</f>
        <v/>
      </c>
      <c r="Y46" s="15">
        <f>IF(OR($B46="",Y$5=""),"",IFERROR(SUMIFS(nrES_Rec,nrES_PID,$B46,nrES_Code,Y$5,nrES_Final,"Yes"),""))</f>
        <v/>
      </c>
      <c r="Z46" s="15">
        <f>IF(OR($B46="",Z$5=""),"",IFERROR(SUMIFS(nrES_Rec,nrES_PID,$B46,nrES_Code,Z$5,nrES_Final,"Yes"),""))</f>
        <v/>
      </c>
      <c r="AA46" s="15">
        <f>IF(OR($B46="",AA$5=""),"",IFERROR(SUMIFS(nrES_Rec,nrES_PID,$B46,nrES_Code,AA$5,nrES_Final,"Yes"),""))</f>
        <v/>
      </c>
      <c r="AB46" s="15">
        <f>IF(OR($B46="",AB$5=""),"",IFERROR(SUMIFS(nrES_Rec,nrES_PID,$B46,nrES_Code,AB$5,nrES_Final,"Yes"),""))</f>
        <v/>
      </c>
      <c r="AC46" s="15">
        <f>IF($B46="","",sysGrades!$M46)</f>
        <v/>
      </c>
      <c r="AD46" s="15">
        <f>IF($B46="","",IFERROR(sysGrades!$U46,""))</f>
        <v/>
      </c>
    </row>
    <row r="47">
      <c r="B47" s="15">
        <f>IF(Cadets!$B47="","",Cadets!$B47)</f>
        <v/>
      </c>
      <c r="C47" s="15">
        <f>IF($B47="","",Cadets!$F47)</f>
        <v/>
      </c>
      <c r="D47" s="15">
        <f>IF(OR($B47="",D$5=""),"",IFERROR(SUMIFS(nrES_Rec,nrES_PID,$B47,nrES_Code,D$5,nrES_Final,"Yes"),""))</f>
        <v/>
      </c>
      <c r="E47" s="15">
        <f>IF(OR($B47="",E$5=""),"",IFERROR(SUMIFS(nrES_Rec,nrES_PID,$B47,nrES_Code,E$5,nrES_Final,"Yes"),""))</f>
        <v/>
      </c>
      <c r="F47" s="15">
        <f>IF(OR($B47="",F$5=""),"",IFERROR(SUMIFS(nrES_Rec,nrES_PID,$B47,nrES_Code,F$5,nrES_Final,"Yes"),""))</f>
        <v/>
      </c>
      <c r="G47" s="15">
        <f>IF(OR($B47="",G$5=""),"",IFERROR(SUMIFS(nrES_Rec,nrES_PID,$B47,nrES_Code,G$5,nrES_Final,"Yes"),""))</f>
        <v/>
      </c>
      <c r="H47" s="15">
        <f>IF(OR($B47="",H$5=""),"",IFERROR(SUMIFS(nrES_Rec,nrES_PID,$B47,nrES_Code,H$5,nrES_Final,"Yes"),""))</f>
        <v/>
      </c>
      <c r="I47" s="15">
        <f>IF(OR($B47="",I$5=""),"",IFERROR(SUMIFS(nrES_Rec,nrES_PID,$B47,nrES_Code,I$5,nrES_Final,"Yes"),""))</f>
        <v/>
      </c>
      <c r="J47" s="15">
        <f>IF(OR($B47="",J$5=""),"",IFERROR(SUMIFS(nrES_Rec,nrES_PID,$B47,nrES_Code,J$5,nrES_Final,"Yes"),""))</f>
        <v/>
      </c>
      <c r="K47" s="15">
        <f>IF(OR($B47="",K$5=""),"",IFERROR(SUMIFS(nrES_Rec,nrES_PID,$B47,nrES_Code,K$5,nrES_Final,"Yes"),""))</f>
        <v/>
      </c>
      <c r="L47" s="15">
        <f>IF(OR($B47="",L$5=""),"",IFERROR(SUMIFS(nrES_Rec,nrES_PID,$B47,nrES_Code,L$5,nrES_Final,"Yes"),""))</f>
        <v/>
      </c>
      <c r="M47" s="15">
        <f>IF(OR($B47="",M$5=""),"",IFERROR(SUMIFS(nrES_Rec,nrES_PID,$B47,nrES_Code,M$5,nrES_Final,"Yes"),""))</f>
        <v/>
      </c>
      <c r="N47" s="15">
        <f>IF(OR($B47="",N$5=""),"",IFERROR(SUMIFS(nrES_Rec,nrES_PID,$B47,nrES_Code,N$5,nrES_Final,"Yes"),""))</f>
        <v/>
      </c>
      <c r="O47" s="15">
        <f>IF(OR($B47="",O$5=""),"",IFERROR(SUMIFS(nrES_Rec,nrES_PID,$B47,nrES_Code,O$5,nrES_Final,"Yes"),""))</f>
        <v/>
      </c>
      <c r="P47" s="15">
        <f>IF(OR($B47="",P$5=""),"",IFERROR(SUMIFS(nrES_Rec,nrES_PID,$B47,nrES_Code,P$5,nrES_Final,"Yes"),""))</f>
        <v/>
      </c>
      <c r="Q47" s="15">
        <f>IF(OR($B47="",Q$5=""),"",IFERROR(SUMIFS(nrES_Rec,nrES_PID,$B47,nrES_Code,Q$5,nrES_Final,"Yes"),""))</f>
        <v/>
      </c>
      <c r="R47" s="15">
        <f>IF(OR($B47="",R$5=""),"",IFERROR(SUMIFS(nrES_Rec,nrES_PID,$B47,nrES_Code,R$5,nrES_Final,"Yes"),""))</f>
        <v/>
      </c>
      <c r="S47" s="15">
        <f>IF(OR($B47="",S$5=""),"",IFERROR(SUMIFS(nrES_Rec,nrES_PID,$B47,nrES_Code,S$5,nrES_Final,"Yes"),""))</f>
        <v/>
      </c>
      <c r="T47" s="15">
        <f>IF(OR($B47="",T$5=""),"",IFERROR(SUMIFS(nrES_Rec,nrES_PID,$B47,nrES_Code,T$5,nrES_Final,"Yes"),""))</f>
        <v/>
      </c>
      <c r="U47" s="15">
        <f>IF(OR($B47="",U$5=""),"",IFERROR(SUMIFS(nrES_Rec,nrES_PID,$B47,nrES_Code,U$5,nrES_Final,"Yes"),""))</f>
        <v/>
      </c>
      <c r="V47" s="15">
        <f>IF(OR($B47="",V$5=""),"",IFERROR(SUMIFS(nrES_Rec,nrES_PID,$B47,nrES_Code,V$5,nrES_Final,"Yes"),""))</f>
        <v/>
      </c>
      <c r="W47" s="15">
        <f>IF(OR($B47="",W$5=""),"",IFERROR(SUMIFS(nrES_Rec,nrES_PID,$B47,nrES_Code,W$5,nrES_Final,"Yes"),""))</f>
        <v/>
      </c>
      <c r="X47" s="15">
        <f>IF(OR($B47="",X$5=""),"",IFERROR(SUMIFS(nrES_Rec,nrES_PID,$B47,nrES_Code,X$5,nrES_Final,"Yes"),""))</f>
        <v/>
      </c>
      <c r="Y47" s="15">
        <f>IF(OR($B47="",Y$5=""),"",IFERROR(SUMIFS(nrES_Rec,nrES_PID,$B47,nrES_Code,Y$5,nrES_Final,"Yes"),""))</f>
        <v/>
      </c>
      <c r="Z47" s="15">
        <f>IF(OR($B47="",Z$5=""),"",IFERROR(SUMIFS(nrES_Rec,nrES_PID,$B47,nrES_Code,Z$5,nrES_Final,"Yes"),""))</f>
        <v/>
      </c>
      <c r="AA47" s="15">
        <f>IF(OR($B47="",AA$5=""),"",IFERROR(SUMIFS(nrES_Rec,nrES_PID,$B47,nrES_Code,AA$5,nrES_Final,"Yes"),""))</f>
        <v/>
      </c>
      <c r="AB47" s="15">
        <f>IF(OR($B47="",AB$5=""),"",IFERROR(SUMIFS(nrES_Rec,nrES_PID,$B47,nrES_Code,AB$5,nrES_Final,"Yes"),""))</f>
        <v/>
      </c>
      <c r="AC47" s="15">
        <f>IF($B47="","",sysGrades!$M47)</f>
        <v/>
      </c>
      <c r="AD47" s="15">
        <f>IF($B47="","",IFERROR(sysGrades!$U47,""))</f>
        <v/>
      </c>
    </row>
    <row r="48">
      <c r="B48" s="15">
        <f>IF(Cadets!$B48="","",Cadets!$B48)</f>
        <v/>
      </c>
      <c r="C48" s="15">
        <f>IF($B48="","",Cadets!$F48)</f>
        <v/>
      </c>
      <c r="D48" s="15">
        <f>IF(OR($B48="",D$5=""),"",IFERROR(SUMIFS(nrES_Rec,nrES_PID,$B48,nrES_Code,D$5,nrES_Final,"Yes"),""))</f>
        <v/>
      </c>
      <c r="E48" s="15">
        <f>IF(OR($B48="",E$5=""),"",IFERROR(SUMIFS(nrES_Rec,nrES_PID,$B48,nrES_Code,E$5,nrES_Final,"Yes"),""))</f>
        <v/>
      </c>
      <c r="F48" s="15">
        <f>IF(OR($B48="",F$5=""),"",IFERROR(SUMIFS(nrES_Rec,nrES_PID,$B48,nrES_Code,F$5,nrES_Final,"Yes"),""))</f>
        <v/>
      </c>
      <c r="G48" s="15">
        <f>IF(OR($B48="",G$5=""),"",IFERROR(SUMIFS(nrES_Rec,nrES_PID,$B48,nrES_Code,G$5,nrES_Final,"Yes"),""))</f>
        <v/>
      </c>
      <c r="H48" s="15">
        <f>IF(OR($B48="",H$5=""),"",IFERROR(SUMIFS(nrES_Rec,nrES_PID,$B48,nrES_Code,H$5,nrES_Final,"Yes"),""))</f>
        <v/>
      </c>
      <c r="I48" s="15">
        <f>IF(OR($B48="",I$5=""),"",IFERROR(SUMIFS(nrES_Rec,nrES_PID,$B48,nrES_Code,I$5,nrES_Final,"Yes"),""))</f>
        <v/>
      </c>
      <c r="J48" s="15">
        <f>IF(OR($B48="",J$5=""),"",IFERROR(SUMIFS(nrES_Rec,nrES_PID,$B48,nrES_Code,J$5,nrES_Final,"Yes"),""))</f>
        <v/>
      </c>
      <c r="K48" s="15">
        <f>IF(OR($B48="",K$5=""),"",IFERROR(SUMIFS(nrES_Rec,nrES_PID,$B48,nrES_Code,K$5,nrES_Final,"Yes"),""))</f>
        <v/>
      </c>
      <c r="L48" s="15">
        <f>IF(OR($B48="",L$5=""),"",IFERROR(SUMIFS(nrES_Rec,nrES_PID,$B48,nrES_Code,L$5,nrES_Final,"Yes"),""))</f>
        <v/>
      </c>
      <c r="M48" s="15">
        <f>IF(OR($B48="",M$5=""),"",IFERROR(SUMIFS(nrES_Rec,nrES_PID,$B48,nrES_Code,M$5,nrES_Final,"Yes"),""))</f>
        <v/>
      </c>
      <c r="N48" s="15">
        <f>IF(OR($B48="",N$5=""),"",IFERROR(SUMIFS(nrES_Rec,nrES_PID,$B48,nrES_Code,N$5,nrES_Final,"Yes"),""))</f>
        <v/>
      </c>
      <c r="O48" s="15">
        <f>IF(OR($B48="",O$5=""),"",IFERROR(SUMIFS(nrES_Rec,nrES_PID,$B48,nrES_Code,O$5,nrES_Final,"Yes"),""))</f>
        <v/>
      </c>
      <c r="P48" s="15">
        <f>IF(OR($B48="",P$5=""),"",IFERROR(SUMIFS(nrES_Rec,nrES_PID,$B48,nrES_Code,P$5,nrES_Final,"Yes"),""))</f>
        <v/>
      </c>
      <c r="Q48" s="15">
        <f>IF(OR($B48="",Q$5=""),"",IFERROR(SUMIFS(nrES_Rec,nrES_PID,$B48,nrES_Code,Q$5,nrES_Final,"Yes"),""))</f>
        <v/>
      </c>
      <c r="R48" s="15">
        <f>IF(OR($B48="",R$5=""),"",IFERROR(SUMIFS(nrES_Rec,nrES_PID,$B48,nrES_Code,R$5,nrES_Final,"Yes"),""))</f>
        <v/>
      </c>
      <c r="S48" s="15">
        <f>IF(OR($B48="",S$5=""),"",IFERROR(SUMIFS(nrES_Rec,nrES_PID,$B48,nrES_Code,S$5,nrES_Final,"Yes"),""))</f>
        <v/>
      </c>
      <c r="T48" s="15">
        <f>IF(OR($B48="",T$5=""),"",IFERROR(SUMIFS(nrES_Rec,nrES_PID,$B48,nrES_Code,T$5,nrES_Final,"Yes"),""))</f>
        <v/>
      </c>
      <c r="U48" s="15">
        <f>IF(OR($B48="",U$5=""),"",IFERROR(SUMIFS(nrES_Rec,nrES_PID,$B48,nrES_Code,U$5,nrES_Final,"Yes"),""))</f>
        <v/>
      </c>
      <c r="V48" s="15">
        <f>IF(OR($B48="",V$5=""),"",IFERROR(SUMIFS(nrES_Rec,nrES_PID,$B48,nrES_Code,V$5,nrES_Final,"Yes"),""))</f>
        <v/>
      </c>
      <c r="W48" s="15">
        <f>IF(OR($B48="",W$5=""),"",IFERROR(SUMIFS(nrES_Rec,nrES_PID,$B48,nrES_Code,W$5,nrES_Final,"Yes"),""))</f>
        <v/>
      </c>
      <c r="X48" s="15">
        <f>IF(OR($B48="",X$5=""),"",IFERROR(SUMIFS(nrES_Rec,nrES_PID,$B48,nrES_Code,X$5,nrES_Final,"Yes"),""))</f>
        <v/>
      </c>
      <c r="Y48" s="15">
        <f>IF(OR($B48="",Y$5=""),"",IFERROR(SUMIFS(nrES_Rec,nrES_PID,$B48,nrES_Code,Y$5,nrES_Final,"Yes"),""))</f>
        <v/>
      </c>
      <c r="Z48" s="15">
        <f>IF(OR($B48="",Z$5=""),"",IFERROR(SUMIFS(nrES_Rec,nrES_PID,$B48,nrES_Code,Z$5,nrES_Final,"Yes"),""))</f>
        <v/>
      </c>
      <c r="AA48" s="15">
        <f>IF(OR($B48="",AA$5=""),"",IFERROR(SUMIFS(nrES_Rec,nrES_PID,$B48,nrES_Code,AA$5,nrES_Final,"Yes"),""))</f>
        <v/>
      </c>
      <c r="AB48" s="15">
        <f>IF(OR($B48="",AB$5=""),"",IFERROR(SUMIFS(nrES_Rec,nrES_PID,$B48,nrES_Code,AB$5,nrES_Final,"Yes"),""))</f>
        <v/>
      </c>
      <c r="AC48" s="15">
        <f>IF($B48="","",sysGrades!$M48)</f>
        <v/>
      </c>
      <c r="AD48" s="15">
        <f>IF($B48="","",IFERROR(sysGrades!$U48,""))</f>
        <v/>
      </c>
    </row>
    <row r="49">
      <c r="B49" s="15">
        <f>IF(Cadets!$B49="","",Cadets!$B49)</f>
        <v/>
      </c>
      <c r="C49" s="15">
        <f>IF($B49="","",Cadets!$F49)</f>
        <v/>
      </c>
      <c r="D49" s="15">
        <f>IF(OR($B49="",D$5=""),"",IFERROR(SUMIFS(nrES_Rec,nrES_PID,$B49,nrES_Code,D$5,nrES_Final,"Yes"),""))</f>
        <v/>
      </c>
      <c r="E49" s="15">
        <f>IF(OR($B49="",E$5=""),"",IFERROR(SUMIFS(nrES_Rec,nrES_PID,$B49,nrES_Code,E$5,nrES_Final,"Yes"),""))</f>
        <v/>
      </c>
      <c r="F49" s="15">
        <f>IF(OR($B49="",F$5=""),"",IFERROR(SUMIFS(nrES_Rec,nrES_PID,$B49,nrES_Code,F$5,nrES_Final,"Yes"),""))</f>
        <v/>
      </c>
      <c r="G49" s="15">
        <f>IF(OR($B49="",G$5=""),"",IFERROR(SUMIFS(nrES_Rec,nrES_PID,$B49,nrES_Code,G$5,nrES_Final,"Yes"),""))</f>
        <v/>
      </c>
      <c r="H49" s="15">
        <f>IF(OR($B49="",H$5=""),"",IFERROR(SUMIFS(nrES_Rec,nrES_PID,$B49,nrES_Code,H$5,nrES_Final,"Yes"),""))</f>
        <v/>
      </c>
      <c r="I49" s="15">
        <f>IF(OR($B49="",I$5=""),"",IFERROR(SUMIFS(nrES_Rec,nrES_PID,$B49,nrES_Code,I$5,nrES_Final,"Yes"),""))</f>
        <v/>
      </c>
      <c r="J49" s="15">
        <f>IF(OR($B49="",J$5=""),"",IFERROR(SUMIFS(nrES_Rec,nrES_PID,$B49,nrES_Code,J$5,nrES_Final,"Yes"),""))</f>
        <v/>
      </c>
      <c r="K49" s="15">
        <f>IF(OR($B49="",K$5=""),"",IFERROR(SUMIFS(nrES_Rec,nrES_PID,$B49,nrES_Code,K$5,nrES_Final,"Yes"),""))</f>
        <v/>
      </c>
      <c r="L49" s="15">
        <f>IF(OR($B49="",L$5=""),"",IFERROR(SUMIFS(nrES_Rec,nrES_PID,$B49,nrES_Code,L$5,nrES_Final,"Yes"),""))</f>
        <v/>
      </c>
      <c r="M49" s="15">
        <f>IF(OR($B49="",M$5=""),"",IFERROR(SUMIFS(nrES_Rec,nrES_PID,$B49,nrES_Code,M$5,nrES_Final,"Yes"),""))</f>
        <v/>
      </c>
      <c r="N49" s="15">
        <f>IF(OR($B49="",N$5=""),"",IFERROR(SUMIFS(nrES_Rec,nrES_PID,$B49,nrES_Code,N$5,nrES_Final,"Yes"),""))</f>
        <v/>
      </c>
      <c r="O49" s="15">
        <f>IF(OR($B49="",O$5=""),"",IFERROR(SUMIFS(nrES_Rec,nrES_PID,$B49,nrES_Code,O$5,nrES_Final,"Yes"),""))</f>
        <v/>
      </c>
      <c r="P49" s="15">
        <f>IF(OR($B49="",P$5=""),"",IFERROR(SUMIFS(nrES_Rec,nrES_PID,$B49,nrES_Code,P$5,nrES_Final,"Yes"),""))</f>
        <v/>
      </c>
      <c r="Q49" s="15">
        <f>IF(OR($B49="",Q$5=""),"",IFERROR(SUMIFS(nrES_Rec,nrES_PID,$B49,nrES_Code,Q$5,nrES_Final,"Yes"),""))</f>
        <v/>
      </c>
      <c r="R49" s="15">
        <f>IF(OR($B49="",R$5=""),"",IFERROR(SUMIFS(nrES_Rec,nrES_PID,$B49,nrES_Code,R$5,nrES_Final,"Yes"),""))</f>
        <v/>
      </c>
      <c r="S49" s="15">
        <f>IF(OR($B49="",S$5=""),"",IFERROR(SUMIFS(nrES_Rec,nrES_PID,$B49,nrES_Code,S$5,nrES_Final,"Yes"),""))</f>
        <v/>
      </c>
      <c r="T49" s="15">
        <f>IF(OR($B49="",T$5=""),"",IFERROR(SUMIFS(nrES_Rec,nrES_PID,$B49,nrES_Code,T$5,nrES_Final,"Yes"),""))</f>
        <v/>
      </c>
      <c r="U49" s="15">
        <f>IF(OR($B49="",U$5=""),"",IFERROR(SUMIFS(nrES_Rec,nrES_PID,$B49,nrES_Code,U$5,nrES_Final,"Yes"),""))</f>
        <v/>
      </c>
      <c r="V49" s="15">
        <f>IF(OR($B49="",V$5=""),"",IFERROR(SUMIFS(nrES_Rec,nrES_PID,$B49,nrES_Code,V$5,nrES_Final,"Yes"),""))</f>
        <v/>
      </c>
      <c r="W49" s="15">
        <f>IF(OR($B49="",W$5=""),"",IFERROR(SUMIFS(nrES_Rec,nrES_PID,$B49,nrES_Code,W$5,nrES_Final,"Yes"),""))</f>
        <v/>
      </c>
      <c r="X49" s="15">
        <f>IF(OR($B49="",X$5=""),"",IFERROR(SUMIFS(nrES_Rec,nrES_PID,$B49,nrES_Code,X$5,nrES_Final,"Yes"),""))</f>
        <v/>
      </c>
      <c r="Y49" s="15">
        <f>IF(OR($B49="",Y$5=""),"",IFERROR(SUMIFS(nrES_Rec,nrES_PID,$B49,nrES_Code,Y$5,nrES_Final,"Yes"),""))</f>
        <v/>
      </c>
      <c r="Z49" s="15">
        <f>IF(OR($B49="",Z$5=""),"",IFERROR(SUMIFS(nrES_Rec,nrES_PID,$B49,nrES_Code,Z$5,nrES_Final,"Yes"),""))</f>
        <v/>
      </c>
      <c r="AA49" s="15">
        <f>IF(OR($B49="",AA$5=""),"",IFERROR(SUMIFS(nrES_Rec,nrES_PID,$B49,nrES_Code,AA$5,nrES_Final,"Yes"),""))</f>
        <v/>
      </c>
      <c r="AB49" s="15">
        <f>IF(OR($B49="",AB$5=""),"",IFERROR(SUMIFS(nrES_Rec,nrES_PID,$B49,nrES_Code,AB$5,nrES_Final,"Yes"),""))</f>
        <v/>
      </c>
      <c r="AC49" s="15">
        <f>IF($B49="","",sysGrades!$M49)</f>
        <v/>
      </c>
      <c r="AD49" s="15">
        <f>IF($B49="","",IFERROR(sysGrades!$U49,""))</f>
        <v/>
      </c>
    </row>
    <row r="50">
      <c r="B50" s="15">
        <f>IF(Cadets!$B50="","",Cadets!$B50)</f>
        <v/>
      </c>
      <c r="C50" s="15">
        <f>IF($B50="","",Cadets!$F50)</f>
        <v/>
      </c>
      <c r="D50" s="15">
        <f>IF(OR($B50="",D$5=""),"",IFERROR(SUMIFS(nrES_Rec,nrES_PID,$B50,nrES_Code,D$5,nrES_Final,"Yes"),""))</f>
        <v/>
      </c>
      <c r="E50" s="15">
        <f>IF(OR($B50="",E$5=""),"",IFERROR(SUMIFS(nrES_Rec,nrES_PID,$B50,nrES_Code,E$5,nrES_Final,"Yes"),""))</f>
        <v/>
      </c>
      <c r="F50" s="15">
        <f>IF(OR($B50="",F$5=""),"",IFERROR(SUMIFS(nrES_Rec,nrES_PID,$B50,nrES_Code,F$5,nrES_Final,"Yes"),""))</f>
        <v/>
      </c>
      <c r="G50" s="15">
        <f>IF(OR($B50="",G$5=""),"",IFERROR(SUMIFS(nrES_Rec,nrES_PID,$B50,nrES_Code,G$5,nrES_Final,"Yes"),""))</f>
        <v/>
      </c>
      <c r="H50" s="15">
        <f>IF(OR($B50="",H$5=""),"",IFERROR(SUMIFS(nrES_Rec,nrES_PID,$B50,nrES_Code,H$5,nrES_Final,"Yes"),""))</f>
        <v/>
      </c>
      <c r="I50" s="15">
        <f>IF(OR($B50="",I$5=""),"",IFERROR(SUMIFS(nrES_Rec,nrES_PID,$B50,nrES_Code,I$5,nrES_Final,"Yes"),""))</f>
        <v/>
      </c>
      <c r="J50" s="15">
        <f>IF(OR($B50="",J$5=""),"",IFERROR(SUMIFS(nrES_Rec,nrES_PID,$B50,nrES_Code,J$5,nrES_Final,"Yes"),""))</f>
        <v/>
      </c>
      <c r="K50" s="15">
        <f>IF(OR($B50="",K$5=""),"",IFERROR(SUMIFS(nrES_Rec,nrES_PID,$B50,nrES_Code,K$5,nrES_Final,"Yes"),""))</f>
        <v/>
      </c>
      <c r="L50" s="15">
        <f>IF(OR($B50="",L$5=""),"",IFERROR(SUMIFS(nrES_Rec,nrES_PID,$B50,nrES_Code,L$5,nrES_Final,"Yes"),""))</f>
        <v/>
      </c>
      <c r="M50" s="15">
        <f>IF(OR($B50="",M$5=""),"",IFERROR(SUMIFS(nrES_Rec,nrES_PID,$B50,nrES_Code,M$5,nrES_Final,"Yes"),""))</f>
        <v/>
      </c>
      <c r="N50" s="15">
        <f>IF(OR($B50="",N$5=""),"",IFERROR(SUMIFS(nrES_Rec,nrES_PID,$B50,nrES_Code,N$5,nrES_Final,"Yes"),""))</f>
        <v/>
      </c>
      <c r="O50" s="15">
        <f>IF(OR($B50="",O$5=""),"",IFERROR(SUMIFS(nrES_Rec,nrES_PID,$B50,nrES_Code,O$5,nrES_Final,"Yes"),""))</f>
        <v/>
      </c>
      <c r="P50" s="15">
        <f>IF(OR($B50="",P$5=""),"",IFERROR(SUMIFS(nrES_Rec,nrES_PID,$B50,nrES_Code,P$5,nrES_Final,"Yes"),""))</f>
        <v/>
      </c>
      <c r="Q50" s="15">
        <f>IF(OR($B50="",Q$5=""),"",IFERROR(SUMIFS(nrES_Rec,nrES_PID,$B50,nrES_Code,Q$5,nrES_Final,"Yes"),""))</f>
        <v/>
      </c>
      <c r="R50" s="15">
        <f>IF(OR($B50="",R$5=""),"",IFERROR(SUMIFS(nrES_Rec,nrES_PID,$B50,nrES_Code,R$5,nrES_Final,"Yes"),""))</f>
        <v/>
      </c>
      <c r="S50" s="15">
        <f>IF(OR($B50="",S$5=""),"",IFERROR(SUMIFS(nrES_Rec,nrES_PID,$B50,nrES_Code,S$5,nrES_Final,"Yes"),""))</f>
        <v/>
      </c>
      <c r="T50" s="15">
        <f>IF(OR($B50="",T$5=""),"",IFERROR(SUMIFS(nrES_Rec,nrES_PID,$B50,nrES_Code,T$5,nrES_Final,"Yes"),""))</f>
        <v/>
      </c>
      <c r="U50" s="15">
        <f>IF(OR($B50="",U$5=""),"",IFERROR(SUMIFS(nrES_Rec,nrES_PID,$B50,nrES_Code,U$5,nrES_Final,"Yes"),""))</f>
        <v/>
      </c>
      <c r="V50" s="15">
        <f>IF(OR($B50="",V$5=""),"",IFERROR(SUMIFS(nrES_Rec,nrES_PID,$B50,nrES_Code,V$5,nrES_Final,"Yes"),""))</f>
        <v/>
      </c>
      <c r="W50" s="15">
        <f>IF(OR($B50="",W$5=""),"",IFERROR(SUMIFS(nrES_Rec,nrES_PID,$B50,nrES_Code,W$5,nrES_Final,"Yes"),""))</f>
        <v/>
      </c>
      <c r="X50" s="15">
        <f>IF(OR($B50="",X$5=""),"",IFERROR(SUMIFS(nrES_Rec,nrES_PID,$B50,nrES_Code,X$5,nrES_Final,"Yes"),""))</f>
        <v/>
      </c>
      <c r="Y50" s="15">
        <f>IF(OR($B50="",Y$5=""),"",IFERROR(SUMIFS(nrES_Rec,nrES_PID,$B50,nrES_Code,Y$5,nrES_Final,"Yes"),""))</f>
        <v/>
      </c>
      <c r="Z50" s="15">
        <f>IF(OR($B50="",Z$5=""),"",IFERROR(SUMIFS(nrES_Rec,nrES_PID,$B50,nrES_Code,Z$5,nrES_Final,"Yes"),""))</f>
        <v/>
      </c>
      <c r="AA50" s="15">
        <f>IF(OR($B50="",AA$5=""),"",IFERROR(SUMIFS(nrES_Rec,nrES_PID,$B50,nrES_Code,AA$5,nrES_Final,"Yes"),""))</f>
        <v/>
      </c>
      <c r="AB50" s="15">
        <f>IF(OR($B50="",AB$5=""),"",IFERROR(SUMIFS(nrES_Rec,nrES_PID,$B50,nrES_Code,AB$5,nrES_Final,"Yes"),""))</f>
        <v/>
      </c>
      <c r="AC50" s="15">
        <f>IF($B50="","",sysGrades!$M50)</f>
        <v/>
      </c>
      <c r="AD50" s="15">
        <f>IF($B50="","",IFERROR(sysGrades!$U50,""))</f>
        <v/>
      </c>
    </row>
    <row r="51">
      <c r="B51" s="15">
        <f>IF(Cadets!$B51="","",Cadets!$B51)</f>
        <v/>
      </c>
      <c r="C51" s="15">
        <f>IF($B51="","",Cadets!$F51)</f>
        <v/>
      </c>
      <c r="D51" s="15">
        <f>IF(OR($B51="",D$5=""),"",IFERROR(SUMIFS(nrES_Rec,nrES_PID,$B51,nrES_Code,D$5,nrES_Final,"Yes"),""))</f>
        <v/>
      </c>
      <c r="E51" s="15">
        <f>IF(OR($B51="",E$5=""),"",IFERROR(SUMIFS(nrES_Rec,nrES_PID,$B51,nrES_Code,E$5,nrES_Final,"Yes"),""))</f>
        <v/>
      </c>
      <c r="F51" s="15">
        <f>IF(OR($B51="",F$5=""),"",IFERROR(SUMIFS(nrES_Rec,nrES_PID,$B51,nrES_Code,F$5,nrES_Final,"Yes"),""))</f>
        <v/>
      </c>
      <c r="G51" s="15">
        <f>IF(OR($B51="",G$5=""),"",IFERROR(SUMIFS(nrES_Rec,nrES_PID,$B51,nrES_Code,G$5,nrES_Final,"Yes"),""))</f>
        <v/>
      </c>
      <c r="H51" s="15">
        <f>IF(OR($B51="",H$5=""),"",IFERROR(SUMIFS(nrES_Rec,nrES_PID,$B51,nrES_Code,H$5,nrES_Final,"Yes"),""))</f>
        <v/>
      </c>
      <c r="I51" s="15">
        <f>IF(OR($B51="",I$5=""),"",IFERROR(SUMIFS(nrES_Rec,nrES_PID,$B51,nrES_Code,I$5,nrES_Final,"Yes"),""))</f>
        <v/>
      </c>
      <c r="J51" s="15">
        <f>IF(OR($B51="",J$5=""),"",IFERROR(SUMIFS(nrES_Rec,nrES_PID,$B51,nrES_Code,J$5,nrES_Final,"Yes"),""))</f>
        <v/>
      </c>
      <c r="K51" s="15">
        <f>IF(OR($B51="",K$5=""),"",IFERROR(SUMIFS(nrES_Rec,nrES_PID,$B51,nrES_Code,K$5,nrES_Final,"Yes"),""))</f>
        <v/>
      </c>
      <c r="L51" s="15">
        <f>IF(OR($B51="",L$5=""),"",IFERROR(SUMIFS(nrES_Rec,nrES_PID,$B51,nrES_Code,L$5,nrES_Final,"Yes"),""))</f>
        <v/>
      </c>
      <c r="M51" s="15">
        <f>IF(OR($B51="",M$5=""),"",IFERROR(SUMIFS(nrES_Rec,nrES_PID,$B51,nrES_Code,M$5,nrES_Final,"Yes"),""))</f>
        <v/>
      </c>
      <c r="N51" s="15">
        <f>IF(OR($B51="",N$5=""),"",IFERROR(SUMIFS(nrES_Rec,nrES_PID,$B51,nrES_Code,N$5,nrES_Final,"Yes"),""))</f>
        <v/>
      </c>
      <c r="O51" s="15">
        <f>IF(OR($B51="",O$5=""),"",IFERROR(SUMIFS(nrES_Rec,nrES_PID,$B51,nrES_Code,O$5,nrES_Final,"Yes"),""))</f>
        <v/>
      </c>
      <c r="P51" s="15">
        <f>IF(OR($B51="",P$5=""),"",IFERROR(SUMIFS(nrES_Rec,nrES_PID,$B51,nrES_Code,P$5,nrES_Final,"Yes"),""))</f>
        <v/>
      </c>
      <c r="Q51" s="15">
        <f>IF(OR($B51="",Q$5=""),"",IFERROR(SUMIFS(nrES_Rec,nrES_PID,$B51,nrES_Code,Q$5,nrES_Final,"Yes"),""))</f>
        <v/>
      </c>
      <c r="R51" s="15">
        <f>IF(OR($B51="",R$5=""),"",IFERROR(SUMIFS(nrES_Rec,nrES_PID,$B51,nrES_Code,R$5,nrES_Final,"Yes"),""))</f>
        <v/>
      </c>
      <c r="S51" s="15">
        <f>IF(OR($B51="",S$5=""),"",IFERROR(SUMIFS(nrES_Rec,nrES_PID,$B51,nrES_Code,S$5,nrES_Final,"Yes"),""))</f>
        <v/>
      </c>
      <c r="T51" s="15">
        <f>IF(OR($B51="",T$5=""),"",IFERROR(SUMIFS(nrES_Rec,nrES_PID,$B51,nrES_Code,T$5,nrES_Final,"Yes"),""))</f>
        <v/>
      </c>
      <c r="U51" s="15">
        <f>IF(OR($B51="",U$5=""),"",IFERROR(SUMIFS(nrES_Rec,nrES_PID,$B51,nrES_Code,U$5,nrES_Final,"Yes"),""))</f>
        <v/>
      </c>
      <c r="V51" s="15">
        <f>IF(OR($B51="",V$5=""),"",IFERROR(SUMIFS(nrES_Rec,nrES_PID,$B51,nrES_Code,V$5,nrES_Final,"Yes"),""))</f>
        <v/>
      </c>
      <c r="W51" s="15">
        <f>IF(OR($B51="",W$5=""),"",IFERROR(SUMIFS(nrES_Rec,nrES_PID,$B51,nrES_Code,W$5,nrES_Final,"Yes"),""))</f>
        <v/>
      </c>
      <c r="X51" s="15">
        <f>IF(OR($B51="",X$5=""),"",IFERROR(SUMIFS(nrES_Rec,nrES_PID,$B51,nrES_Code,X$5,nrES_Final,"Yes"),""))</f>
        <v/>
      </c>
      <c r="Y51" s="15">
        <f>IF(OR($B51="",Y$5=""),"",IFERROR(SUMIFS(nrES_Rec,nrES_PID,$B51,nrES_Code,Y$5,nrES_Final,"Yes"),""))</f>
        <v/>
      </c>
      <c r="Z51" s="15">
        <f>IF(OR($B51="",Z$5=""),"",IFERROR(SUMIFS(nrES_Rec,nrES_PID,$B51,nrES_Code,Z$5,nrES_Final,"Yes"),""))</f>
        <v/>
      </c>
      <c r="AA51" s="15">
        <f>IF(OR($B51="",AA$5=""),"",IFERROR(SUMIFS(nrES_Rec,nrES_PID,$B51,nrES_Code,AA$5,nrES_Final,"Yes"),""))</f>
        <v/>
      </c>
      <c r="AB51" s="15">
        <f>IF(OR($B51="",AB$5=""),"",IFERROR(SUMIFS(nrES_Rec,nrES_PID,$B51,nrES_Code,AB$5,nrES_Final,"Yes"),""))</f>
        <v/>
      </c>
      <c r="AC51" s="15">
        <f>IF($B51="","",sysGrades!$M51)</f>
        <v/>
      </c>
      <c r="AD51" s="15">
        <f>IF($B51="","",IFERROR(sysGrades!$U51,""))</f>
        <v/>
      </c>
    </row>
    <row r="52">
      <c r="B52" s="15">
        <f>IF(Cadets!$B52="","",Cadets!$B52)</f>
        <v/>
      </c>
      <c r="C52" s="15">
        <f>IF($B52="","",Cadets!$F52)</f>
        <v/>
      </c>
      <c r="D52" s="15">
        <f>IF(OR($B52="",D$5=""),"",IFERROR(SUMIFS(nrES_Rec,nrES_PID,$B52,nrES_Code,D$5,nrES_Final,"Yes"),""))</f>
        <v/>
      </c>
      <c r="E52" s="15">
        <f>IF(OR($B52="",E$5=""),"",IFERROR(SUMIFS(nrES_Rec,nrES_PID,$B52,nrES_Code,E$5,nrES_Final,"Yes"),""))</f>
        <v/>
      </c>
      <c r="F52" s="15">
        <f>IF(OR($B52="",F$5=""),"",IFERROR(SUMIFS(nrES_Rec,nrES_PID,$B52,nrES_Code,F$5,nrES_Final,"Yes"),""))</f>
        <v/>
      </c>
      <c r="G52" s="15">
        <f>IF(OR($B52="",G$5=""),"",IFERROR(SUMIFS(nrES_Rec,nrES_PID,$B52,nrES_Code,G$5,nrES_Final,"Yes"),""))</f>
        <v/>
      </c>
      <c r="H52" s="15">
        <f>IF(OR($B52="",H$5=""),"",IFERROR(SUMIFS(nrES_Rec,nrES_PID,$B52,nrES_Code,H$5,nrES_Final,"Yes"),""))</f>
        <v/>
      </c>
      <c r="I52" s="15">
        <f>IF(OR($B52="",I$5=""),"",IFERROR(SUMIFS(nrES_Rec,nrES_PID,$B52,nrES_Code,I$5,nrES_Final,"Yes"),""))</f>
        <v/>
      </c>
      <c r="J52" s="15">
        <f>IF(OR($B52="",J$5=""),"",IFERROR(SUMIFS(nrES_Rec,nrES_PID,$B52,nrES_Code,J$5,nrES_Final,"Yes"),""))</f>
        <v/>
      </c>
      <c r="K52" s="15">
        <f>IF(OR($B52="",K$5=""),"",IFERROR(SUMIFS(nrES_Rec,nrES_PID,$B52,nrES_Code,K$5,nrES_Final,"Yes"),""))</f>
        <v/>
      </c>
      <c r="L52" s="15">
        <f>IF(OR($B52="",L$5=""),"",IFERROR(SUMIFS(nrES_Rec,nrES_PID,$B52,nrES_Code,L$5,nrES_Final,"Yes"),""))</f>
        <v/>
      </c>
      <c r="M52" s="15">
        <f>IF(OR($B52="",M$5=""),"",IFERROR(SUMIFS(nrES_Rec,nrES_PID,$B52,nrES_Code,M$5,nrES_Final,"Yes"),""))</f>
        <v/>
      </c>
      <c r="N52" s="15">
        <f>IF(OR($B52="",N$5=""),"",IFERROR(SUMIFS(nrES_Rec,nrES_PID,$B52,nrES_Code,N$5,nrES_Final,"Yes"),""))</f>
        <v/>
      </c>
      <c r="O52" s="15">
        <f>IF(OR($B52="",O$5=""),"",IFERROR(SUMIFS(nrES_Rec,nrES_PID,$B52,nrES_Code,O$5,nrES_Final,"Yes"),""))</f>
        <v/>
      </c>
      <c r="P52" s="15">
        <f>IF(OR($B52="",P$5=""),"",IFERROR(SUMIFS(nrES_Rec,nrES_PID,$B52,nrES_Code,P$5,nrES_Final,"Yes"),""))</f>
        <v/>
      </c>
      <c r="Q52" s="15">
        <f>IF(OR($B52="",Q$5=""),"",IFERROR(SUMIFS(nrES_Rec,nrES_PID,$B52,nrES_Code,Q$5,nrES_Final,"Yes"),""))</f>
        <v/>
      </c>
      <c r="R52" s="15">
        <f>IF(OR($B52="",R$5=""),"",IFERROR(SUMIFS(nrES_Rec,nrES_PID,$B52,nrES_Code,R$5,nrES_Final,"Yes"),""))</f>
        <v/>
      </c>
      <c r="S52" s="15">
        <f>IF(OR($B52="",S$5=""),"",IFERROR(SUMIFS(nrES_Rec,nrES_PID,$B52,nrES_Code,S$5,nrES_Final,"Yes"),""))</f>
        <v/>
      </c>
      <c r="T52" s="15">
        <f>IF(OR($B52="",T$5=""),"",IFERROR(SUMIFS(nrES_Rec,nrES_PID,$B52,nrES_Code,T$5,nrES_Final,"Yes"),""))</f>
        <v/>
      </c>
      <c r="U52" s="15">
        <f>IF(OR($B52="",U$5=""),"",IFERROR(SUMIFS(nrES_Rec,nrES_PID,$B52,nrES_Code,U$5,nrES_Final,"Yes"),""))</f>
        <v/>
      </c>
      <c r="V52" s="15">
        <f>IF(OR($B52="",V$5=""),"",IFERROR(SUMIFS(nrES_Rec,nrES_PID,$B52,nrES_Code,V$5,nrES_Final,"Yes"),""))</f>
        <v/>
      </c>
      <c r="W52" s="15">
        <f>IF(OR($B52="",W$5=""),"",IFERROR(SUMIFS(nrES_Rec,nrES_PID,$B52,nrES_Code,W$5,nrES_Final,"Yes"),""))</f>
        <v/>
      </c>
      <c r="X52" s="15">
        <f>IF(OR($B52="",X$5=""),"",IFERROR(SUMIFS(nrES_Rec,nrES_PID,$B52,nrES_Code,X$5,nrES_Final,"Yes"),""))</f>
        <v/>
      </c>
      <c r="Y52" s="15">
        <f>IF(OR($B52="",Y$5=""),"",IFERROR(SUMIFS(nrES_Rec,nrES_PID,$B52,nrES_Code,Y$5,nrES_Final,"Yes"),""))</f>
        <v/>
      </c>
      <c r="Z52" s="15">
        <f>IF(OR($B52="",Z$5=""),"",IFERROR(SUMIFS(nrES_Rec,nrES_PID,$B52,nrES_Code,Z$5,nrES_Final,"Yes"),""))</f>
        <v/>
      </c>
      <c r="AA52" s="15">
        <f>IF(OR($B52="",AA$5=""),"",IFERROR(SUMIFS(nrES_Rec,nrES_PID,$B52,nrES_Code,AA$5,nrES_Final,"Yes"),""))</f>
        <v/>
      </c>
      <c r="AB52" s="15">
        <f>IF(OR($B52="",AB$5=""),"",IFERROR(SUMIFS(nrES_Rec,nrES_PID,$B52,nrES_Code,AB$5,nrES_Final,"Yes"),""))</f>
        <v/>
      </c>
      <c r="AC52" s="15">
        <f>IF($B52="","",sysGrades!$M52)</f>
        <v/>
      </c>
      <c r="AD52" s="15">
        <f>IF($B52="","",IFERROR(sysGrades!$U52,""))</f>
        <v/>
      </c>
    </row>
    <row r="53">
      <c r="B53" s="15">
        <f>IF(Cadets!$B53="","",Cadets!$B53)</f>
        <v/>
      </c>
      <c r="C53" s="15">
        <f>IF($B53="","",Cadets!$F53)</f>
        <v/>
      </c>
      <c r="D53" s="15">
        <f>IF(OR($B53="",D$5=""),"",IFERROR(SUMIFS(nrES_Rec,nrES_PID,$B53,nrES_Code,D$5,nrES_Final,"Yes"),""))</f>
        <v/>
      </c>
      <c r="E53" s="15">
        <f>IF(OR($B53="",E$5=""),"",IFERROR(SUMIFS(nrES_Rec,nrES_PID,$B53,nrES_Code,E$5,nrES_Final,"Yes"),""))</f>
        <v/>
      </c>
      <c r="F53" s="15">
        <f>IF(OR($B53="",F$5=""),"",IFERROR(SUMIFS(nrES_Rec,nrES_PID,$B53,nrES_Code,F$5,nrES_Final,"Yes"),""))</f>
        <v/>
      </c>
      <c r="G53" s="15">
        <f>IF(OR($B53="",G$5=""),"",IFERROR(SUMIFS(nrES_Rec,nrES_PID,$B53,nrES_Code,G$5,nrES_Final,"Yes"),""))</f>
        <v/>
      </c>
      <c r="H53" s="15">
        <f>IF(OR($B53="",H$5=""),"",IFERROR(SUMIFS(nrES_Rec,nrES_PID,$B53,nrES_Code,H$5,nrES_Final,"Yes"),""))</f>
        <v/>
      </c>
      <c r="I53" s="15">
        <f>IF(OR($B53="",I$5=""),"",IFERROR(SUMIFS(nrES_Rec,nrES_PID,$B53,nrES_Code,I$5,nrES_Final,"Yes"),""))</f>
        <v/>
      </c>
      <c r="J53" s="15">
        <f>IF(OR($B53="",J$5=""),"",IFERROR(SUMIFS(nrES_Rec,nrES_PID,$B53,nrES_Code,J$5,nrES_Final,"Yes"),""))</f>
        <v/>
      </c>
      <c r="K53" s="15">
        <f>IF(OR($B53="",K$5=""),"",IFERROR(SUMIFS(nrES_Rec,nrES_PID,$B53,nrES_Code,K$5,nrES_Final,"Yes"),""))</f>
        <v/>
      </c>
      <c r="L53" s="15">
        <f>IF(OR($B53="",L$5=""),"",IFERROR(SUMIFS(nrES_Rec,nrES_PID,$B53,nrES_Code,L$5,nrES_Final,"Yes"),""))</f>
        <v/>
      </c>
      <c r="M53" s="15">
        <f>IF(OR($B53="",M$5=""),"",IFERROR(SUMIFS(nrES_Rec,nrES_PID,$B53,nrES_Code,M$5,nrES_Final,"Yes"),""))</f>
        <v/>
      </c>
      <c r="N53" s="15">
        <f>IF(OR($B53="",N$5=""),"",IFERROR(SUMIFS(nrES_Rec,nrES_PID,$B53,nrES_Code,N$5,nrES_Final,"Yes"),""))</f>
        <v/>
      </c>
      <c r="O53" s="15">
        <f>IF(OR($B53="",O$5=""),"",IFERROR(SUMIFS(nrES_Rec,nrES_PID,$B53,nrES_Code,O$5,nrES_Final,"Yes"),""))</f>
        <v/>
      </c>
      <c r="P53" s="15">
        <f>IF(OR($B53="",P$5=""),"",IFERROR(SUMIFS(nrES_Rec,nrES_PID,$B53,nrES_Code,P$5,nrES_Final,"Yes"),""))</f>
        <v/>
      </c>
      <c r="Q53" s="15">
        <f>IF(OR($B53="",Q$5=""),"",IFERROR(SUMIFS(nrES_Rec,nrES_PID,$B53,nrES_Code,Q$5,nrES_Final,"Yes"),""))</f>
        <v/>
      </c>
      <c r="R53" s="15">
        <f>IF(OR($B53="",R$5=""),"",IFERROR(SUMIFS(nrES_Rec,nrES_PID,$B53,nrES_Code,R$5,nrES_Final,"Yes"),""))</f>
        <v/>
      </c>
      <c r="S53" s="15">
        <f>IF(OR($B53="",S$5=""),"",IFERROR(SUMIFS(nrES_Rec,nrES_PID,$B53,nrES_Code,S$5,nrES_Final,"Yes"),""))</f>
        <v/>
      </c>
      <c r="T53" s="15">
        <f>IF(OR($B53="",T$5=""),"",IFERROR(SUMIFS(nrES_Rec,nrES_PID,$B53,nrES_Code,T$5,nrES_Final,"Yes"),""))</f>
        <v/>
      </c>
      <c r="U53" s="15">
        <f>IF(OR($B53="",U$5=""),"",IFERROR(SUMIFS(nrES_Rec,nrES_PID,$B53,nrES_Code,U$5,nrES_Final,"Yes"),""))</f>
        <v/>
      </c>
      <c r="V53" s="15">
        <f>IF(OR($B53="",V$5=""),"",IFERROR(SUMIFS(nrES_Rec,nrES_PID,$B53,nrES_Code,V$5,nrES_Final,"Yes"),""))</f>
        <v/>
      </c>
      <c r="W53" s="15">
        <f>IF(OR($B53="",W$5=""),"",IFERROR(SUMIFS(nrES_Rec,nrES_PID,$B53,nrES_Code,W$5,nrES_Final,"Yes"),""))</f>
        <v/>
      </c>
      <c r="X53" s="15">
        <f>IF(OR($B53="",X$5=""),"",IFERROR(SUMIFS(nrES_Rec,nrES_PID,$B53,nrES_Code,X$5,nrES_Final,"Yes"),""))</f>
        <v/>
      </c>
      <c r="Y53" s="15">
        <f>IF(OR($B53="",Y$5=""),"",IFERROR(SUMIFS(nrES_Rec,nrES_PID,$B53,nrES_Code,Y$5,nrES_Final,"Yes"),""))</f>
        <v/>
      </c>
      <c r="Z53" s="15">
        <f>IF(OR($B53="",Z$5=""),"",IFERROR(SUMIFS(nrES_Rec,nrES_PID,$B53,nrES_Code,Z$5,nrES_Final,"Yes"),""))</f>
        <v/>
      </c>
      <c r="AA53" s="15">
        <f>IF(OR($B53="",AA$5=""),"",IFERROR(SUMIFS(nrES_Rec,nrES_PID,$B53,nrES_Code,AA$5,nrES_Final,"Yes"),""))</f>
        <v/>
      </c>
      <c r="AB53" s="15">
        <f>IF(OR($B53="",AB$5=""),"",IFERROR(SUMIFS(nrES_Rec,nrES_PID,$B53,nrES_Code,AB$5,nrES_Final,"Yes"),""))</f>
        <v/>
      </c>
      <c r="AC53" s="15">
        <f>IF($B53="","",sysGrades!$M53)</f>
        <v/>
      </c>
      <c r="AD53" s="15">
        <f>IF($B53="","",IFERROR(sysGrades!$U53,""))</f>
        <v/>
      </c>
    </row>
    <row r="54">
      <c r="B54" s="15">
        <f>IF(Cadets!$B54="","",Cadets!$B54)</f>
        <v/>
      </c>
      <c r="C54" s="15">
        <f>IF($B54="","",Cadets!$F54)</f>
        <v/>
      </c>
      <c r="D54" s="15">
        <f>IF(OR($B54="",D$5=""),"",IFERROR(SUMIFS(nrES_Rec,nrES_PID,$B54,nrES_Code,D$5,nrES_Final,"Yes"),""))</f>
        <v/>
      </c>
      <c r="E54" s="15">
        <f>IF(OR($B54="",E$5=""),"",IFERROR(SUMIFS(nrES_Rec,nrES_PID,$B54,nrES_Code,E$5,nrES_Final,"Yes"),""))</f>
        <v/>
      </c>
      <c r="F54" s="15">
        <f>IF(OR($B54="",F$5=""),"",IFERROR(SUMIFS(nrES_Rec,nrES_PID,$B54,nrES_Code,F$5,nrES_Final,"Yes"),""))</f>
        <v/>
      </c>
      <c r="G54" s="15">
        <f>IF(OR($B54="",G$5=""),"",IFERROR(SUMIFS(nrES_Rec,nrES_PID,$B54,nrES_Code,G$5,nrES_Final,"Yes"),""))</f>
        <v/>
      </c>
      <c r="H54" s="15">
        <f>IF(OR($B54="",H$5=""),"",IFERROR(SUMIFS(nrES_Rec,nrES_PID,$B54,nrES_Code,H$5,nrES_Final,"Yes"),""))</f>
        <v/>
      </c>
      <c r="I54" s="15">
        <f>IF(OR($B54="",I$5=""),"",IFERROR(SUMIFS(nrES_Rec,nrES_PID,$B54,nrES_Code,I$5,nrES_Final,"Yes"),""))</f>
        <v/>
      </c>
      <c r="J54" s="15">
        <f>IF(OR($B54="",J$5=""),"",IFERROR(SUMIFS(nrES_Rec,nrES_PID,$B54,nrES_Code,J$5,nrES_Final,"Yes"),""))</f>
        <v/>
      </c>
      <c r="K54" s="15">
        <f>IF(OR($B54="",K$5=""),"",IFERROR(SUMIFS(nrES_Rec,nrES_PID,$B54,nrES_Code,K$5,nrES_Final,"Yes"),""))</f>
        <v/>
      </c>
      <c r="L54" s="15">
        <f>IF(OR($B54="",L$5=""),"",IFERROR(SUMIFS(nrES_Rec,nrES_PID,$B54,nrES_Code,L$5,nrES_Final,"Yes"),""))</f>
        <v/>
      </c>
      <c r="M54" s="15">
        <f>IF(OR($B54="",M$5=""),"",IFERROR(SUMIFS(nrES_Rec,nrES_PID,$B54,nrES_Code,M$5,nrES_Final,"Yes"),""))</f>
        <v/>
      </c>
      <c r="N54" s="15">
        <f>IF(OR($B54="",N$5=""),"",IFERROR(SUMIFS(nrES_Rec,nrES_PID,$B54,nrES_Code,N$5,nrES_Final,"Yes"),""))</f>
        <v/>
      </c>
      <c r="O54" s="15">
        <f>IF(OR($B54="",O$5=""),"",IFERROR(SUMIFS(nrES_Rec,nrES_PID,$B54,nrES_Code,O$5,nrES_Final,"Yes"),""))</f>
        <v/>
      </c>
      <c r="P54" s="15">
        <f>IF(OR($B54="",P$5=""),"",IFERROR(SUMIFS(nrES_Rec,nrES_PID,$B54,nrES_Code,P$5,nrES_Final,"Yes"),""))</f>
        <v/>
      </c>
      <c r="Q54" s="15">
        <f>IF(OR($B54="",Q$5=""),"",IFERROR(SUMIFS(nrES_Rec,nrES_PID,$B54,nrES_Code,Q$5,nrES_Final,"Yes"),""))</f>
        <v/>
      </c>
      <c r="R54" s="15">
        <f>IF(OR($B54="",R$5=""),"",IFERROR(SUMIFS(nrES_Rec,nrES_PID,$B54,nrES_Code,R$5,nrES_Final,"Yes"),""))</f>
        <v/>
      </c>
      <c r="S54" s="15">
        <f>IF(OR($B54="",S$5=""),"",IFERROR(SUMIFS(nrES_Rec,nrES_PID,$B54,nrES_Code,S$5,nrES_Final,"Yes"),""))</f>
        <v/>
      </c>
      <c r="T54" s="15">
        <f>IF(OR($B54="",T$5=""),"",IFERROR(SUMIFS(nrES_Rec,nrES_PID,$B54,nrES_Code,T$5,nrES_Final,"Yes"),""))</f>
        <v/>
      </c>
      <c r="U54" s="15">
        <f>IF(OR($B54="",U$5=""),"",IFERROR(SUMIFS(nrES_Rec,nrES_PID,$B54,nrES_Code,U$5,nrES_Final,"Yes"),""))</f>
        <v/>
      </c>
      <c r="V54" s="15">
        <f>IF(OR($B54="",V$5=""),"",IFERROR(SUMIFS(nrES_Rec,nrES_PID,$B54,nrES_Code,V$5,nrES_Final,"Yes"),""))</f>
        <v/>
      </c>
      <c r="W54" s="15">
        <f>IF(OR($B54="",W$5=""),"",IFERROR(SUMIFS(nrES_Rec,nrES_PID,$B54,nrES_Code,W$5,nrES_Final,"Yes"),""))</f>
        <v/>
      </c>
      <c r="X54" s="15">
        <f>IF(OR($B54="",X$5=""),"",IFERROR(SUMIFS(nrES_Rec,nrES_PID,$B54,nrES_Code,X$5,nrES_Final,"Yes"),""))</f>
        <v/>
      </c>
      <c r="Y54" s="15">
        <f>IF(OR($B54="",Y$5=""),"",IFERROR(SUMIFS(nrES_Rec,nrES_PID,$B54,nrES_Code,Y$5,nrES_Final,"Yes"),""))</f>
        <v/>
      </c>
      <c r="Z54" s="15">
        <f>IF(OR($B54="",Z$5=""),"",IFERROR(SUMIFS(nrES_Rec,nrES_PID,$B54,nrES_Code,Z$5,nrES_Final,"Yes"),""))</f>
        <v/>
      </c>
      <c r="AA54" s="15">
        <f>IF(OR($B54="",AA$5=""),"",IFERROR(SUMIFS(nrES_Rec,nrES_PID,$B54,nrES_Code,AA$5,nrES_Final,"Yes"),""))</f>
        <v/>
      </c>
      <c r="AB54" s="15">
        <f>IF(OR($B54="",AB$5=""),"",IFERROR(SUMIFS(nrES_Rec,nrES_PID,$B54,nrES_Code,AB$5,nrES_Final,"Yes"),""))</f>
        <v/>
      </c>
      <c r="AC54" s="15">
        <f>IF($B54="","",sysGrades!$M54)</f>
        <v/>
      </c>
      <c r="AD54" s="15">
        <f>IF($B54="","",IFERROR(sysGrades!$U54,""))</f>
        <v/>
      </c>
    </row>
    <row r="55">
      <c r="B55" s="15">
        <f>IF(Cadets!$B55="","",Cadets!$B55)</f>
        <v/>
      </c>
      <c r="C55" s="15">
        <f>IF($B55="","",Cadets!$F55)</f>
        <v/>
      </c>
      <c r="D55" s="15">
        <f>IF(OR($B55="",D$5=""),"",IFERROR(SUMIFS(nrES_Rec,nrES_PID,$B55,nrES_Code,D$5,nrES_Final,"Yes"),""))</f>
        <v/>
      </c>
      <c r="E55" s="15">
        <f>IF(OR($B55="",E$5=""),"",IFERROR(SUMIFS(nrES_Rec,nrES_PID,$B55,nrES_Code,E$5,nrES_Final,"Yes"),""))</f>
        <v/>
      </c>
      <c r="F55" s="15">
        <f>IF(OR($B55="",F$5=""),"",IFERROR(SUMIFS(nrES_Rec,nrES_PID,$B55,nrES_Code,F$5,nrES_Final,"Yes"),""))</f>
        <v/>
      </c>
      <c r="G55" s="15">
        <f>IF(OR($B55="",G$5=""),"",IFERROR(SUMIFS(nrES_Rec,nrES_PID,$B55,nrES_Code,G$5,nrES_Final,"Yes"),""))</f>
        <v/>
      </c>
      <c r="H55" s="15">
        <f>IF(OR($B55="",H$5=""),"",IFERROR(SUMIFS(nrES_Rec,nrES_PID,$B55,nrES_Code,H$5,nrES_Final,"Yes"),""))</f>
        <v/>
      </c>
      <c r="I55" s="15">
        <f>IF(OR($B55="",I$5=""),"",IFERROR(SUMIFS(nrES_Rec,nrES_PID,$B55,nrES_Code,I$5,nrES_Final,"Yes"),""))</f>
        <v/>
      </c>
      <c r="J55" s="15">
        <f>IF(OR($B55="",J$5=""),"",IFERROR(SUMIFS(nrES_Rec,nrES_PID,$B55,nrES_Code,J$5,nrES_Final,"Yes"),""))</f>
        <v/>
      </c>
      <c r="K55" s="15">
        <f>IF(OR($B55="",K$5=""),"",IFERROR(SUMIFS(nrES_Rec,nrES_PID,$B55,nrES_Code,K$5,nrES_Final,"Yes"),""))</f>
        <v/>
      </c>
      <c r="L55" s="15">
        <f>IF(OR($B55="",L$5=""),"",IFERROR(SUMIFS(nrES_Rec,nrES_PID,$B55,nrES_Code,L$5,nrES_Final,"Yes"),""))</f>
        <v/>
      </c>
      <c r="M55" s="15">
        <f>IF(OR($B55="",M$5=""),"",IFERROR(SUMIFS(nrES_Rec,nrES_PID,$B55,nrES_Code,M$5,nrES_Final,"Yes"),""))</f>
        <v/>
      </c>
      <c r="N55" s="15">
        <f>IF(OR($B55="",N$5=""),"",IFERROR(SUMIFS(nrES_Rec,nrES_PID,$B55,nrES_Code,N$5,nrES_Final,"Yes"),""))</f>
        <v/>
      </c>
      <c r="O55" s="15">
        <f>IF(OR($B55="",O$5=""),"",IFERROR(SUMIFS(nrES_Rec,nrES_PID,$B55,nrES_Code,O$5,nrES_Final,"Yes"),""))</f>
        <v/>
      </c>
      <c r="P55" s="15">
        <f>IF(OR($B55="",P$5=""),"",IFERROR(SUMIFS(nrES_Rec,nrES_PID,$B55,nrES_Code,P$5,nrES_Final,"Yes"),""))</f>
        <v/>
      </c>
      <c r="Q55" s="15">
        <f>IF(OR($B55="",Q$5=""),"",IFERROR(SUMIFS(nrES_Rec,nrES_PID,$B55,nrES_Code,Q$5,nrES_Final,"Yes"),""))</f>
        <v/>
      </c>
      <c r="R55" s="15">
        <f>IF(OR($B55="",R$5=""),"",IFERROR(SUMIFS(nrES_Rec,nrES_PID,$B55,nrES_Code,R$5,nrES_Final,"Yes"),""))</f>
        <v/>
      </c>
      <c r="S55" s="15">
        <f>IF(OR($B55="",S$5=""),"",IFERROR(SUMIFS(nrES_Rec,nrES_PID,$B55,nrES_Code,S$5,nrES_Final,"Yes"),""))</f>
        <v/>
      </c>
      <c r="T55" s="15">
        <f>IF(OR($B55="",T$5=""),"",IFERROR(SUMIFS(nrES_Rec,nrES_PID,$B55,nrES_Code,T$5,nrES_Final,"Yes"),""))</f>
        <v/>
      </c>
      <c r="U55" s="15">
        <f>IF(OR($B55="",U$5=""),"",IFERROR(SUMIFS(nrES_Rec,nrES_PID,$B55,nrES_Code,U$5,nrES_Final,"Yes"),""))</f>
        <v/>
      </c>
      <c r="V55" s="15">
        <f>IF(OR($B55="",V$5=""),"",IFERROR(SUMIFS(nrES_Rec,nrES_PID,$B55,nrES_Code,V$5,nrES_Final,"Yes"),""))</f>
        <v/>
      </c>
      <c r="W55" s="15">
        <f>IF(OR($B55="",W$5=""),"",IFERROR(SUMIFS(nrES_Rec,nrES_PID,$B55,nrES_Code,W$5,nrES_Final,"Yes"),""))</f>
        <v/>
      </c>
      <c r="X55" s="15">
        <f>IF(OR($B55="",X$5=""),"",IFERROR(SUMIFS(nrES_Rec,nrES_PID,$B55,nrES_Code,X$5,nrES_Final,"Yes"),""))</f>
        <v/>
      </c>
      <c r="Y55" s="15">
        <f>IF(OR($B55="",Y$5=""),"",IFERROR(SUMIFS(nrES_Rec,nrES_PID,$B55,nrES_Code,Y$5,nrES_Final,"Yes"),""))</f>
        <v/>
      </c>
      <c r="Z55" s="15">
        <f>IF(OR($B55="",Z$5=""),"",IFERROR(SUMIFS(nrES_Rec,nrES_PID,$B55,nrES_Code,Z$5,nrES_Final,"Yes"),""))</f>
        <v/>
      </c>
      <c r="AA55" s="15">
        <f>IF(OR($B55="",AA$5=""),"",IFERROR(SUMIFS(nrES_Rec,nrES_PID,$B55,nrES_Code,AA$5,nrES_Final,"Yes"),""))</f>
        <v/>
      </c>
      <c r="AB55" s="15">
        <f>IF(OR($B55="",AB$5=""),"",IFERROR(SUMIFS(nrES_Rec,nrES_PID,$B55,nrES_Code,AB$5,nrES_Final,"Yes"),""))</f>
        <v/>
      </c>
      <c r="AC55" s="15">
        <f>IF($B55="","",sysGrades!$M55)</f>
        <v/>
      </c>
      <c r="AD55" s="15">
        <f>IF($B55="","",IFERROR(sysGrades!$U55,""))</f>
        <v/>
      </c>
    </row>
    <row r="56"/>
    <row r="57">
      <c r="C57" s="10" t="inlineStr">
        <is>
          <t>Class average:</t>
        </is>
      </c>
      <c r="D57" s="18">
        <f>IF(D5="","",IFERROR(ROUND(AVERAGEIF(D6:D55,"&lt;&gt;"),1),""))</f>
        <v/>
      </c>
      <c r="E57" s="18">
        <f>IF(E5="","",IFERROR(ROUND(AVERAGEIF(E6:E55,"&lt;&gt;"),1),""))</f>
        <v/>
      </c>
      <c r="F57" s="18">
        <f>IF(F5="","",IFERROR(ROUND(AVERAGEIF(F6:F55,"&lt;&gt;"),1),""))</f>
        <v/>
      </c>
      <c r="G57" s="18">
        <f>IF(G5="","",IFERROR(ROUND(AVERAGEIF(G6:G55,"&lt;&gt;"),1),""))</f>
        <v/>
      </c>
      <c r="H57" s="18">
        <f>IF(H5="","",IFERROR(ROUND(AVERAGEIF(H6:H55,"&lt;&gt;"),1),""))</f>
        <v/>
      </c>
      <c r="I57" s="18">
        <f>IF(I5="","",IFERROR(ROUND(AVERAGEIF(I6:I55,"&lt;&gt;"),1),""))</f>
        <v/>
      </c>
      <c r="J57" s="18">
        <f>IF(J5="","",IFERROR(ROUND(AVERAGEIF(J6:J55,"&lt;&gt;"),1),""))</f>
        <v/>
      </c>
      <c r="K57" s="18">
        <f>IF(K5="","",IFERROR(ROUND(AVERAGEIF(K6:K55,"&lt;&gt;"),1),""))</f>
        <v/>
      </c>
      <c r="L57" s="18">
        <f>IF(L5="","",IFERROR(ROUND(AVERAGEIF(L6:L55,"&lt;&gt;"),1),""))</f>
        <v/>
      </c>
      <c r="M57" s="18">
        <f>IF(M5="","",IFERROR(ROUND(AVERAGEIF(M6:M55,"&lt;&gt;"),1),""))</f>
        <v/>
      </c>
      <c r="N57" s="18">
        <f>IF(N5="","",IFERROR(ROUND(AVERAGEIF(N6:N55,"&lt;&gt;"),1),""))</f>
        <v/>
      </c>
      <c r="O57" s="18">
        <f>IF(O5="","",IFERROR(ROUND(AVERAGEIF(O6:O55,"&lt;&gt;"),1),""))</f>
        <v/>
      </c>
      <c r="P57" s="18">
        <f>IF(P5="","",IFERROR(ROUND(AVERAGEIF(P6:P55,"&lt;&gt;"),1),""))</f>
        <v/>
      </c>
      <c r="Q57" s="18">
        <f>IF(Q5="","",IFERROR(ROUND(AVERAGEIF(Q6:Q55,"&lt;&gt;"),1),""))</f>
        <v/>
      </c>
      <c r="R57" s="18">
        <f>IF(R5="","",IFERROR(ROUND(AVERAGEIF(R6:R55,"&lt;&gt;"),1),""))</f>
        <v/>
      </c>
      <c r="S57" s="18">
        <f>IF(S5="","",IFERROR(ROUND(AVERAGEIF(S6:S55,"&lt;&gt;"),1),""))</f>
        <v/>
      </c>
      <c r="T57" s="18">
        <f>IF(T5="","",IFERROR(ROUND(AVERAGEIF(T6:T55,"&lt;&gt;"),1),""))</f>
        <v/>
      </c>
      <c r="U57" s="18">
        <f>IF(U5="","",IFERROR(ROUND(AVERAGEIF(U6:U55,"&lt;&gt;"),1),""))</f>
        <v/>
      </c>
      <c r="V57" s="18">
        <f>IF(V5="","",IFERROR(ROUND(AVERAGEIF(V6:V55,"&lt;&gt;"),1),""))</f>
        <v/>
      </c>
      <c r="W57" s="18">
        <f>IF(W5="","",IFERROR(ROUND(AVERAGEIF(W6:W55,"&lt;&gt;"),1),""))</f>
        <v/>
      </c>
      <c r="X57" s="18">
        <f>IF(X5="","",IFERROR(ROUND(AVERAGEIF(X6:X55,"&lt;&gt;"),1),""))</f>
        <v/>
      </c>
      <c r="Y57" s="18">
        <f>IF(Y5="","",IFERROR(ROUND(AVERAGEIF(Y6:Y55,"&lt;&gt;"),1),""))</f>
        <v/>
      </c>
      <c r="Z57" s="18">
        <f>IF(Z5="","",IFERROR(ROUND(AVERAGEIF(Z6:Z55,"&lt;&gt;"),1),""))</f>
        <v/>
      </c>
      <c r="AA57" s="18">
        <f>IF(AA5="","",IFERROR(ROUND(AVERAGEIF(AA6:AA55,"&lt;&gt;"),1),""))</f>
        <v/>
      </c>
      <c r="AB57" s="18">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AND(D6&lt;&gt;"",ISNUMBER(D6),D6&lt;cfgPassingScore)</formula>
    </cfRule>
  </conditionalFormatting>
  <pageMargins left="0.75" right="0.75" top="1" bottom="1" header="0.5" footer="0.5"/>
</worksheet>
</file>

<file path=xl/worksheets/sheet17.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row r="2"/>
    <row r="3"/>
    <row r="4">
      <c r="B4" s="8" t="inlineStr">
        <is>
          <t>Live class ranking (dismissal-review, failed-out and separated cadets are unranked per policy).</t>
        </is>
      </c>
    </row>
    <row r="5" ht="26" customHeight="1">
      <c r="B5" s="9" t="inlineStr">
        <is>
          <t>Rank</t>
        </is>
      </c>
      <c r="C5" s="9" t="inlineStr">
        <is>
          <t>Cadet</t>
        </is>
      </c>
      <c r="D5" s="9" t="inlineStr">
        <is>
          <t>Agency</t>
        </is>
      </c>
      <c r="E5" s="9" t="inlineStr">
        <is>
          <t>Current Grade</t>
        </is>
      </c>
      <c r="F5" s="9" t="inlineStr">
        <is>
          <t>Major Avg</t>
        </is>
      </c>
      <c r="G5" s="9" t="inlineStr">
        <is>
          <t>Minor Avg</t>
        </is>
      </c>
      <c r="H5" s="9" t="inlineStr">
        <is>
          <t>Spelling Avg</t>
        </is>
      </c>
      <c r="I5" s="9" t="inlineStr">
        <is>
          <t>Final</t>
        </is>
      </c>
      <c r="J5" s="9"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18.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row r="2"/>
    <row r="3"/>
    <row r="4">
      <c r="B4" s="8" t="inlineStr">
        <is>
          <t>Every threshold is adjustable on Settings. Document your response on the Counseling log — that's the early-intervention record policy 300.4.B expects.</t>
        </is>
      </c>
    </row>
    <row r="5" ht="26" customHeight="1">
      <c r="B5" s="9" t="inlineStr">
        <is>
          <t>Cadet</t>
        </is>
      </c>
      <c r="C5" s="9" t="inlineStr">
        <is>
          <t>Agency</t>
        </is>
      </c>
      <c r="D5" s="9" t="inlineStr">
        <is>
          <t>Flags</t>
        </is>
      </c>
      <c r="E5" s="9" t="inlineStr">
        <is>
          <t>Reasons</t>
        </is>
      </c>
      <c r="F5" s="9" t="inlineStr">
        <is>
          <t>Current Grade</t>
        </is>
      </c>
      <c r="G5" s="9" t="inlineStr">
        <is>
          <t>Attendance Cl%</t>
        </is>
      </c>
      <c r="H5" s="9" t="inlineStr">
        <is>
          <t>Overdue Writing</t>
        </is>
      </c>
      <c r="I5" s="9"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19.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row r="2"/>
    <row r="3"/>
    <row r="4">
      <c r="B4" s="8" t="inlineStr">
        <is>
          <t>Pick a cadet, print (Print Center button or File &gt; Print). Everything on one page for agency calls and review boards.</t>
        </is>
      </c>
    </row>
    <row r="5">
      <c r="B5" s="10" t="inlineStr">
        <is>
          <t>Cadet:</t>
        </is>
      </c>
      <c r="C5" s="20" t="n"/>
      <c r="D5" s="21" t="n"/>
      <c r="E5" s="22" t="n"/>
      <c r="G5" s="2">
        <f>cfgAcademyClass&amp;" — Cadet Profile — "&amp;TEXT(TODAY(),"mm/dd/yyyy")</f>
        <v/>
      </c>
    </row>
    <row r="6"/>
    <row r="7" ht="16" customHeight="1">
      <c r="B7" s="6" t="inlineStr">
        <is>
          <t>Identity &amp; standing</t>
        </is>
      </c>
      <c r="C7" s="7" t="n"/>
      <c r="D7" s="7" t="n"/>
      <c r="E7" s="7" t="n"/>
      <c r="F7" s="7" t="n"/>
      <c r="G7" s="7" t="n"/>
      <c r="H7" s="7" t="n"/>
      <c r="I7" s="7" t="n"/>
      <c r="J7" s="7" t="n"/>
    </row>
    <row r="8">
      <c r="B8" s="10" t="inlineStr">
        <is>
          <t>PID</t>
        </is>
      </c>
      <c r="C8" s="12">
        <f>_xlfn.XLOOKUP(cfgProfileCadet,rngCadetNames,rngCadetPIDs,"")</f>
        <v/>
      </c>
      <c r="E8" s="10" t="inlineStr">
        <is>
          <t>Agency</t>
        </is>
      </c>
      <c r="F8" s="12">
        <f>_xlfn.XLOOKUP(cfgProfileCadet,rngCadetNames,nrCadetAgency,"")</f>
        <v/>
      </c>
      <c r="H8" s="10" t="inlineStr">
        <is>
          <t>Status</t>
        </is>
      </c>
      <c r="I8" s="12">
        <f>_xlfn.XLOOKUP(cfgProfileCadet,rngCadetNames,nrCadetStatus,"")</f>
        <v/>
      </c>
    </row>
    <row r="9">
      <c r="B9" s="10" t="inlineStr">
        <is>
          <t>Current grade</t>
        </is>
      </c>
      <c r="C9" s="12">
        <f>_xlfn.XLOOKUP(cfgProfileCadet,rngCadetNames,nrGRcurrent,"")</f>
        <v/>
      </c>
      <c r="E9" s="10" t="inlineStr">
        <is>
          <t>Rank</t>
        </is>
      </c>
      <c r="F9" s="12">
        <f>IFERROR(_xlfn.XLOOKUP(cfgProfileCadet,rngCadetNames,nrGRrank),"unranked")</f>
        <v/>
      </c>
      <c r="H9" s="10" t="inlineStr">
        <is>
          <t>Grad eligible</t>
        </is>
      </c>
      <c r="I9" s="12">
        <f>_xlfn.XLOOKUP(cfgProfileCadet,rngCadetNames,nrCKgradElig,"")</f>
        <v/>
      </c>
    </row>
    <row r="10">
      <c r="B10" s="10" t="inlineStr">
        <is>
          <t>Blocking issues</t>
        </is>
      </c>
      <c r="C10" s="12">
        <f>_xlfn.XLOOKUP(cfgProfileCadet,rngCadetNames,nrCKblocking,"")</f>
        <v/>
      </c>
    </row>
    <row r="11"/>
    <row r="12" ht="16" customHeight="1">
      <c r="B12" s="6" t="inlineStr">
        <is>
          <t>Academics (pass = 70 in each category)</t>
        </is>
      </c>
      <c r="C12" s="7" t="n"/>
      <c r="D12" s="7" t="n"/>
      <c r="E12" s="7" t="n"/>
      <c r="F12" s="7" t="n"/>
      <c r="G12" s="7" t="n"/>
      <c r="H12" s="7" t="n"/>
      <c r="I12" s="7" t="n"/>
      <c r="J12" s="7" t="n"/>
    </row>
    <row r="13">
      <c r="B13" s="10" t="inlineStr">
        <is>
          <t>Major avg</t>
        </is>
      </c>
      <c r="C13" s="12">
        <f>_xlfn.XLOOKUP(cfgProfileCadet,rngCadetNames,nrGRmajavg,"—")</f>
        <v/>
      </c>
      <c r="E13" s="10" t="inlineStr">
        <is>
          <t>Needs on remaining Major</t>
        </is>
      </c>
      <c r="F13" s="12">
        <f>_xlfn.XLOOKUP(cfgProfileCadet,rngCadetNames,sysGrades!$W$6:$W$55,"—")</f>
        <v/>
      </c>
      <c r="H13" s="10" t="inlineStr">
        <is>
          <t>Spelling flag</t>
        </is>
      </c>
      <c r="I13" s="12">
        <f>_xlfn.XLOOKUP(cfgProfileCadet,rngCadetNames,nrSpellFlag,"—")</f>
        <v/>
      </c>
    </row>
    <row r="14">
      <c r="B14" s="10" t="inlineStr">
        <is>
          <t>Minor avg</t>
        </is>
      </c>
      <c r="C14" s="12">
        <f>_xlfn.XLOOKUP(cfgProfileCadet,rngCadetNames,sysGrades!$J$6:$J$55,"—")</f>
        <v/>
      </c>
      <c r="E14" s="10" t="inlineStr">
        <is>
          <t>Needs on remaining Minor</t>
        </is>
      </c>
      <c r="F14" s="12">
        <f>_xlfn.XLOOKUP(cfgProfileCadet,rngCadetNames,sysGrades!$X$6:$X$55,"—")</f>
        <v/>
      </c>
      <c r="H14" s="10" t="inlineStr">
        <is>
          <t>Last vs prev score</t>
        </is>
      </c>
      <c r="I14" s="12">
        <f>_xlfn.XLOOKUP(cfgProfileCadet,rngCadetNames,sysGrades!$Z$6:$Z$55,"—")&amp;" / "&amp;_xlfn.XLOOKUP(cfgProfileCadet,rngCadetNames,sysGrades!$AA$6:$AA$55,"—")</f>
        <v/>
      </c>
    </row>
    <row r="15">
      <c r="B15" s="10" t="inlineStr">
        <is>
          <t>Spelling avg</t>
        </is>
      </c>
      <c r="C15" s="12">
        <f>_xlfn.XLOOKUP(cfgProfileCadet,rngCadetNames,sysGrades!$K$6:$K$55,"—")</f>
        <v/>
      </c>
      <c r="E15" s="10" t="inlineStr">
        <is>
          <t>Retakes used</t>
        </is>
      </c>
      <c r="F15" s="12">
        <f>_xlfn.XLOOKUP(cfgProfileCadet,rngCadetNames,nrGRretakes,"—")</f>
        <v/>
      </c>
    </row>
    <row r="16">
      <c r="B16" s="10" t="inlineStr">
        <is>
          <t>Final</t>
        </is>
      </c>
      <c r="C16" s="12">
        <f>_xlfn.XLOOKUP(cfgProfileCadet,rngCadetNames,nrGRfinal,"—")</f>
        <v/>
      </c>
      <c r="E16" s="10" t="inlineStr">
        <is>
          <t>Consecutive fails</t>
        </is>
      </c>
      <c r="F16" s="12">
        <f>_xlfn.XLOOKUP(cfgProfileCadet,rngCadetNames,nrGRconsec,"—")</f>
        <v/>
      </c>
    </row>
    <row r="17"/>
    <row r="18" ht="16" customHeight="1">
      <c r="B18" s="6" t="inlineStr">
        <is>
          <t>Attendance / PT / Skills / Writing</t>
        </is>
      </c>
      <c r="C18" s="7" t="n"/>
      <c r="D18" s="7" t="n"/>
      <c r="E18" s="7" t="n"/>
      <c r="F18" s="7" t="n"/>
      <c r="G18" s="7" t="n"/>
      <c r="H18" s="7" t="n"/>
      <c r="I18" s="7" t="n"/>
      <c r="J18" s="7" t="n"/>
    </row>
    <row r="19">
      <c r="B19" s="10" t="inlineStr">
        <is>
          <t>Classroom missed (net min)</t>
        </is>
      </c>
      <c r="C19" s="12">
        <f>_xlfn.XLOOKUP(cfgProfileCadet,rngCadetNames,sysAttendance!$G$6:$G$55,"—")</f>
        <v/>
      </c>
      <c r="E19" s="10" t="inlineStr">
        <is>
          <t>Tier</t>
        </is>
      </c>
      <c r="F19" s="12">
        <f>_xlfn.XLOOKUP(cfgProfileCadet,rngCadetNames,nrATTclTier,"—")</f>
        <v/>
      </c>
      <c r="H19" s="10" t="inlineStr">
        <is>
          <t>Makeup owed (min)</t>
        </is>
      </c>
      <c r="I19" s="12">
        <f>_xlfn.XLOOKUP(cfgProfileCadet,rngCadetNames,nrATTclOwed,"—")</f>
        <v/>
      </c>
    </row>
    <row r="20">
      <c r="B20" s="10" t="inlineStr">
        <is>
          <t>PT sessions missed (net)</t>
        </is>
      </c>
      <c r="C20" s="12">
        <f>_xlfn.XLOOKUP(cfgProfileCadet,rngCadetNames,sysAttendance!$O$6:$O$55,"—")</f>
        <v/>
      </c>
      <c r="E20" s="10" t="inlineStr">
        <is>
          <t>PT tier</t>
        </is>
      </c>
      <c r="F20" s="12">
        <f>_xlfn.XLOOKUP(cfgProfileCadet,rngCadetNames,nrATTptTier,"—")</f>
        <v/>
      </c>
      <c r="H20" s="10" t="inlineStr">
        <is>
          <t>Final PT</t>
        </is>
      </c>
      <c r="I20" s="12">
        <f>_xlfn.XLOOKUP(cfgProfileCadet,rngCadetNames,nrPT_FinalPass,"—")</f>
        <v/>
      </c>
    </row>
    <row r="21">
      <c r="B21" s="10" t="inlineStr">
        <is>
          <t>Skills status</t>
        </is>
      </c>
      <c r="C21" s="12">
        <f>IF(_xlfn.XLOOKUP(cfgProfileCadet,rngCadetNames,nrSKfailedout,"—")="Yes","FAILED OUT",IF(_xlfn.XLOOKUP(cfgProfileCadet,rngCadetNames,nrSKelig,"—")="Yes","On track","Remediation"))</f>
        <v/>
      </c>
      <c r="E21" s="10" t="inlineStr">
        <is>
          <t>Firearms avg</t>
        </is>
      </c>
      <c r="F21" s="12">
        <f>_xlfn.XLOOKUP(cfgProfileCadet,rngCadetNames,nrSKfirearmsAvg,"—")</f>
        <v/>
      </c>
      <c r="H21" s="10" t="inlineStr">
        <is>
          <t>Writing current</t>
        </is>
      </c>
      <c r="I21" s="12">
        <f>_xlfn.XLOOKUP(cfgProfileCadet,rngCadetNames,nrWRcurrent,"—")&amp;" ("&amp;_xlfn.XLOOKUP(cfgProfileCadet,rngCadetNames,nrWRoverdue,"0")&amp;" overdue)"</f>
        <v/>
      </c>
    </row>
    <row r="22"/>
    <row r="23" ht="16" customHeight="1">
      <c r="B23" s="6" t="inlineStr">
        <is>
          <t>Flags</t>
        </is>
      </c>
      <c r="C23" s="7" t="n"/>
      <c r="D23" s="7" t="n"/>
      <c r="E23" s="7" t="n"/>
      <c r="F23" s="7" t="n"/>
      <c r="G23" s="7" t="n"/>
      <c r="H23" s="7" t="n"/>
      <c r="I23" s="7" t="n"/>
      <c r="J23" s="7" t="n"/>
    </row>
    <row r="24">
      <c r="B24" s="10" t="inlineStr">
        <is>
          <t>Flag reasons</t>
        </is>
      </c>
      <c r="C24" s="12">
        <f>_xlfn.XLOOKUP(cfgProfileCadet,rngCadetNames,nrFLreasons,"none")</f>
        <v/>
      </c>
    </row>
    <row r="25"/>
    <row r="26" ht="16" customHeight="1">
      <c r="B26" s="6" t="inlineStr">
        <is>
          <t>Recent incidents &amp; counseling (10 latest)</t>
        </is>
      </c>
      <c r="C26" s="7" t="n"/>
      <c r="D26" s="7" t="n"/>
      <c r="E26" s="7" t="n"/>
      <c r="F26" s="7" t="n"/>
      <c r="G26" s="7" t="n"/>
      <c r="H26" s="7" t="n"/>
      <c r="I26" s="7" t="n"/>
      <c r="J26" s="7"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0.xml><?xml version="1.0" encoding="utf-8"?>
<worksheet xmlns="http://schemas.openxmlformats.org/spreadsheetml/2006/main">
  <sheetPr>
    <tabColor rgb="001E7145"/>
    <outlinePr summaryBelow="1" summaryRight="1"/>
    <pageSetUpPr fitToPage="1"/>
  </sheetPr>
  <dimension ref="A1:J56"/>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row r="2"/>
    <row r="3"/>
    <row r="4">
      <c r="B4" s="8" t="inlineStr">
        <is>
          <t>The end-of-academy deliverable per cadet — print one per cadet for the agency packet.</t>
        </is>
      </c>
    </row>
    <row r="5">
      <c r="B5" s="10" t="inlineStr">
        <is>
          <t>Cadet:</t>
        </is>
      </c>
      <c r="C5" s="20" t="n"/>
      <c r="D5" s="21" t="n"/>
      <c r="E5" s="22" t="n"/>
      <c r="G5" s="10">
        <f>"TYLER POLICE ACADEMY — "&amp;cfgAcademyClass&amp;" — OFFICIAL TRANSCRIPT"</f>
        <v/>
      </c>
    </row>
    <row r="6"/>
    <row r="7">
      <c r="B7" s="10" t="inlineStr">
        <is>
          <t>PID</t>
        </is>
      </c>
      <c r="C7" s="12">
        <f>_xlfn.XLOOKUP(cfgTranscriptCadet,rngCadetNames,rngCadetPIDs,"")</f>
        <v/>
      </c>
      <c r="E7" s="10" t="inlineStr">
        <is>
          <t>Agency</t>
        </is>
      </c>
      <c r="F7" s="12">
        <f>_xlfn.XLOOKUP(cfgTranscriptCadet,rngCadetNames,nrCadetAgency,"")</f>
        <v/>
      </c>
      <c r="H7" s="10" t="inlineStr">
        <is>
          <t>Status</t>
        </is>
      </c>
      <c r="I7" s="12">
        <f>_xlfn.XLOOKUP(cfgTranscriptCadet,rngCadetNames,nrCadetStatus,"")</f>
        <v/>
      </c>
    </row>
    <row r="8">
      <c r="B8" s="10" t="inlineStr">
        <is>
          <t>Academy dates</t>
        </is>
      </c>
      <c r="C8" s="12">
        <f>TEXT(cfgStartDate,"mm/dd/yyyy")&amp;" – "&amp;TEXT(cfgEndDate,"mm/dd/yyyy")</f>
        <v/>
      </c>
      <c r="E8" s="10" t="inlineStr">
        <is>
          <t>Final grade</t>
        </is>
      </c>
      <c r="F8" s="12">
        <f>_xlfn.XLOOKUP(cfgTranscriptCadet,rngCadetNames,nrGRfinal,"—")</f>
        <v/>
      </c>
      <c r="H8" s="10" t="inlineStr">
        <is>
          <t>Class rank</t>
        </is>
      </c>
      <c r="I8" s="12">
        <f>IFERROR(_xlfn.XLOOKUP(cfgTranscriptCadet,rngCadetNames,nrGRrank),"—")</f>
        <v/>
      </c>
    </row>
    <row r="9"/>
    <row r="10" ht="16" customHeight="1">
      <c r="B10" s="6" t="inlineStr">
        <is>
          <t>Category averages (70 required in each)</t>
        </is>
      </c>
      <c r="C10" s="7" t="n"/>
      <c r="D10" s="7" t="n"/>
      <c r="E10" s="7" t="n"/>
      <c r="F10" s="7" t="n"/>
      <c r="G10" s="7" t="n"/>
      <c r="H10" s="7" t="n"/>
      <c r="I10" s="7" t="n"/>
      <c r="J10" s="7" t="n"/>
    </row>
    <row r="11">
      <c r="B11" s="10" t="inlineStr">
        <is>
          <t>Major (40%)</t>
        </is>
      </c>
      <c r="C11" s="12">
        <f>_xlfn.XLOOKUP(cfgTranscriptCadet,rngCadetNames,nrGRmajavg,"—")</f>
        <v/>
      </c>
    </row>
    <row r="12">
      <c r="B12" s="10" t="inlineStr">
        <is>
          <t>Minor (30%)</t>
        </is>
      </c>
      <c r="C12" s="12">
        <f>_xlfn.XLOOKUP(cfgTranscriptCadet,rngCadetNames,sysGrades!$J$6:$J$55,"—")</f>
        <v/>
      </c>
    </row>
    <row r="13">
      <c r="B13" s="10" t="inlineStr">
        <is>
          <t>Spelling (10%)</t>
        </is>
      </c>
      <c r="C13" s="12">
        <f>_xlfn.XLOOKUP(cfgTranscriptCadet,rngCadetNames,sysGrades!$K$6:$K$55,"—")</f>
        <v/>
      </c>
    </row>
    <row r="14">
      <c r="B14" s="10" t="inlineStr">
        <is>
          <t>Final Exam (20%)</t>
        </is>
      </c>
      <c r="C14" s="12">
        <f>_xlfn.XLOOKUP(cfgTranscriptCadet,rngCadetNames,nrGRfinal,"—")</f>
        <v/>
      </c>
    </row>
    <row r="15"/>
    <row r="16" ht="16" customHeight="1">
      <c r="B16" s="6" t="inlineStr">
        <is>
          <t>Exam record (recorded scores, final attempts)</t>
        </is>
      </c>
      <c r="C16" s="7" t="n"/>
      <c r="D16" s="7" t="n"/>
      <c r="E16" s="7" t="n"/>
      <c r="F16" s="7" t="n"/>
      <c r="G16" s="7" t="n"/>
      <c r="H16" s="7" t="n"/>
      <c r="I16" s="7" t="n"/>
      <c r="J16" s="7"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6" t="inlineStr">
        <is>
          <t>Attendance / Skills / PT / Writing / Conduct</t>
        </is>
      </c>
      <c r="C43" s="7" t="n"/>
      <c r="D43" s="7" t="n"/>
      <c r="E43" s="7" t="n"/>
      <c r="F43" s="7" t="n"/>
      <c r="G43" s="7" t="n"/>
      <c r="H43" s="7" t="n"/>
      <c r="I43" s="7" t="n"/>
      <c r="J43" s="7" t="n"/>
    </row>
    <row r="44">
      <c r="B44" s="10" t="inlineStr">
        <is>
          <t>Classroom minutes missed (net)</t>
        </is>
      </c>
      <c r="C44" s="12">
        <f>_xlfn.XLOOKUP(cfgTranscriptCadet,rngCadetNames,sysAttendance!$G$6:$G$55,"0")&amp;" of "&amp;cfgClassroomCapMinutes&amp;" cap"</f>
        <v/>
      </c>
    </row>
    <row r="45">
      <c r="B45" s="10" t="inlineStr">
        <is>
          <t>PT sessions missed (net)</t>
        </is>
      </c>
      <c r="C45" s="12">
        <f>_xlfn.XLOOKUP(cfgTranscriptCadet,rngCadetNames,sysAttendance!$O$6:$O$55,"0")&amp;" of "&amp;cfgPTCapSessions&amp;" cap"</f>
        <v/>
      </c>
    </row>
    <row r="46">
      <c r="B46" s="10" t="inlineStr">
        <is>
          <t>Makeup complete</t>
        </is>
      </c>
      <c r="C46" s="12">
        <f>_xlfn.XLOOKUP(cfgTranscriptCadet,rngCadetNames,nrATTmakeupOK,"—")</f>
        <v/>
      </c>
    </row>
    <row r="47">
      <c r="B47" s="10" t="inlineStr">
        <is>
          <t>Skills</t>
        </is>
      </c>
      <c r="C47" s="12">
        <f>IF(_xlfn.XLOOKUP(cfgTranscriptCadet,rngCadetNames,nrSKfailedout,"—")="Yes","FAILED OUT","Qualified/on record — see Skills log")</f>
        <v/>
      </c>
    </row>
    <row r="48">
      <c r="B48" s="10" t="inlineStr">
        <is>
          <t>Firearms average</t>
        </is>
      </c>
      <c r="C48" s="12">
        <f>_xlfn.XLOOKUP(cfgTranscriptCadet,rngCadetNames,nrSKfirearmsAvg,"—")</f>
        <v/>
      </c>
    </row>
    <row r="49">
      <c r="B49" s="10" t="inlineStr">
        <is>
          <t>Final PT assessment</t>
        </is>
      </c>
      <c r="C49" s="12">
        <f>_xlfn.XLOOKUP(cfgTranscriptCadet,rngCadetNames,nrPT_FinalPass,"—")&amp;" ("&amp;_xlfn.XLOOKUP(cfgTranscriptCadet,rngCadetNames,nrPT_FinalPts,"—")&amp;" pts)"</f>
        <v/>
      </c>
    </row>
    <row r="50">
      <c r="B50" s="10" t="inlineStr">
        <is>
          <t>Writing assignments complete</t>
        </is>
      </c>
      <c r="C50" s="12">
        <f>_xlfn.XLOOKUP(cfgTranscriptCadet,rngCadetNames,nrWRcomplete,"0")&amp;" of 40"</f>
        <v/>
      </c>
    </row>
    <row r="51">
      <c r="B51" s="10" t="inlineStr">
        <is>
          <t>Incidents (neg/pos)</t>
        </is>
      </c>
      <c r="C51" s="12">
        <f>_xlfn.XLOOKUP(cfgTranscriptCadet,rngCadetNames,sysIncidents!$F$6:$F$55,"0")&amp;" / "&amp;_xlfn.XLOOKUP(cfgTranscriptCadet,rngCadetNames,sysIncidents!$G$6:$G$55,"0")</f>
        <v/>
      </c>
    </row>
    <row r="52">
      <c r="B52" s="10" t="inlineStr">
        <is>
          <t>Awards</t>
        </is>
      </c>
      <c r="C52" s="12">
        <f>IFERROR(_xlfn.TEXTJOIN(", ",TRUE,IF(nrAWfinal=cfgTranscriptCadet,nrAWnames,"")),"")</f>
        <v/>
      </c>
    </row>
    <row r="53"/>
    <row r="54">
      <c r="B54" s="10" t="inlineStr">
        <is>
          <t>Training Coordinator:</t>
        </is>
      </c>
      <c r="E54" s="12" t="inlineStr">
        <is>
          <t>_______________________</t>
        </is>
      </c>
      <c r="G54" s="10" t="inlineStr">
        <is>
          <t>Date:</t>
        </is>
      </c>
      <c r="H54" s="12" t="inlineStr">
        <is>
          <t>____________</t>
        </is>
      </c>
    </row>
    <row r="55"/>
    <row r="56">
      <c r="B56"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3">
    <mergeCell ref="C52:F52"/>
    <mergeCell ref="C48:F48"/>
    <mergeCell ref="C14:D14"/>
    <mergeCell ref="F7:G7"/>
    <mergeCell ref="B10:J10"/>
    <mergeCell ref="C49:F49"/>
    <mergeCell ref="I7:J7"/>
    <mergeCell ref="F8:G8"/>
    <mergeCell ref="C12:D12"/>
    <mergeCell ref="C45:F45"/>
    <mergeCell ref="C11:D11"/>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O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44" customWidth="1" min="15" max="15"/>
  </cols>
  <sheetData>
    <row r="1"/>
    <row r="2"/>
    <row r="3"/>
    <row r="4">
      <c r="B4" s="8" t="inlineStr">
        <is>
          <t>The final gate before the ceremony — every column must be Yes.</t>
        </is>
      </c>
    </row>
    <row r="5" ht="26" customHeight="1">
      <c r="B5" s="9" t="inlineStr">
        <is>
          <t>PID</t>
        </is>
      </c>
      <c r="C5" s="9" t="inlineStr">
        <is>
          <t>Cadet</t>
        </is>
      </c>
      <c r="D5" s="9" t="inlineStr">
        <is>
          <t>Agency</t>
        </is>
      </c>
      <c r="E5" s="9" t="inlineStr">
        <is>
          <t>Academic</t>
        </is>
      </c>
      <c r="F5" s="9" t="inlineStr">
        <is>
          <t>Classroom</t>
        </is>
      </c>
      <c r="G5" s="9" t="inlineStr">
        <is>
          <t>PT Sessions</t>
        </is>
      </c>
      <c r="H5" s="9" t="inlineStr">
        <is>
          <t>Skills</t>
        </is>
      </c>
      <c r="I5" s="9" t="inlineStr">
        <is>
          <t>Incidents</t>
        </is>
      </c>
      <c r="J5" s="9" t="inlineStr">
        <is>
          <t>Writing</t>
        </is>
      </c>
      <c r="K5" s="9" t="inlineStr">
        <is>
          <t>Makeup</t>
        </is>
      </c>
      <c r="L5" s="9" t="inlineStr">
        <is>
          <t>Final PT</t>
        </is>
      </c>
      <c r="M5" s="9" t="inlineStr">
        <is>
          <t>No Dismiss Rev</t>
        </is>
      </c>
      <c r="N5" s="9" t="inlineStr">
        <is>
          <t>ELIGIBLE</t>
        </is>
      </c>
      <c r="O5" s="9" t="inlineStr">
        <is>
          <t>Blocking Issues</t>
        </is>
      </c>
    </row>
    <row r="6">
      <c r="B6" s="15">
        <f>IF(Cadets!$B6="","",Cadets!$B6)</f>
        <v/>
      </c>
      <c r="C6" s="15">
        <f>IF($B6="","",Cadets!$F6)</f>
        <v/>
      </c>
      <c r="D6" s="15">
        <f>IF($B6="","",Cadets!$H6)</f>
        <v/>
      </c>
      <c r="E6" s="15">
        <f>IF($B6="","",sysChecks!$E6)</f>
        <v/>
      </c>
      <c r="F6" s="15">
        <f>IF($B6="","",sysChecks!$F6)</f>
        <v/>
      </c>
      <c r="G6" s="15">
        <f>IF($B6="","",sysChecks!$G6)</f>
        <v/>
      </c>
      <c r="H6" s="15">
        <f>IF($B6="","",sysChecks!$H6)</f>
        <v/>
      </c>
      <c r="I6" s="15">
        <f>IF($B6="","",sysChecks!$I6)</f>
        <v/>
      </c>
      <c r="J6" s="15">
        <f>IF($B6="","",sysChecks!$J6)</f>
        <v/>
      </c>
      <c r="K6" s="15">
        <f>IF($B6="","",sysChecks!$K6)</f>
        <v/>
      </c>
      <c r="L6" s="15">
        <f>IF($B6="","",sysChecks!$L6)</f>
        <v/>
      </c>
      <c r="M6" s="15">
        <f>IF($B6="","",IF(sysChecks!$M6="Yes","No","Yes"))</f>
        <v/>
      </c>
      <c r="N6" s="15">
        <f>IF($B6="","",sysChecks!$N6)</f>
        <v/>
      </c>
      <c r="O6" s="15">
        <f>IF($B6="","",sysChecks!$O6)</f>
        <v/>
      </c>
    </row>
    <row r="7">
      <c r="B7" s="15">
        <f>IF(Cadets!$B7="","",Cadets!$B7)</f>
        <v/>
      </c>
      <c r="C7" s="15">
        <f>IF($B7="","",Cadets!$F7)</f>
        <v/>
      </c>
      <c r="D7" s="15">
        <f>IF($B7="","",Cadets!$H7)</f>
        <v/>
      </c>
      <c r="E7" s="15">
        <f>IF($B7="","",sysChecks!$E7)</f>
        <v/>
      </c>
      <c r="F7" s="15">
        <f>IF($B7="","",sysChecks!$F7)</f>
        <v/>
      </c>
      <c r="G7" s="15">
        <f>IF($B7="","",sysChecks!$G7)</f>
        <v/>
      </c>
      <c r="H7" s="15">
        <f>IF($B7="","",sysChecks!$H7)</f>
        <v/>
      </c>
      <c r="I7" s="15">
        <f>IF($B7="","",sysChecks!$I7)</f>
        <v/>
      </c>
      <c r="J7" s="15">
        <f>IF($B7="","",sysChecks!$J7)</f>
        <v/>
      </c>
      <c r="K7" s="15">
        <f>IF($B7="","",sysChecks!$K7)</f>
        <v/>
      </c>
      <c r="L7" s="15">
        <f>IF($B7="","",sysChecks!$L7)</f>
        <v/>
      </c>
      <c r="M7" s="15">
        <f>IF($B7="","",IF(sysChecks!$M7="Yes","No","Yes"))</f>
        <v/>
      </c>
      <c r="N7" s="15">
        <f>IF($B7="","",sysChecks!$N7)</f>
        <v/>
      </c>
      <c r="O7" s="15">
        <f>IF($B7="","",sysChecks!$O7)</f>
        <v/>
      </c>
    </row>
    <row r="8">
      <c r="B8" s="15">
        <f>IF(Cadets!$B8="","",Cadets!$B8)</f>
        <v/>
      </c>
      <c r="C8" s="15">
        <f>IF($B8="","",Cadets!$F8)</f>
        <v/>
      </c>
      <c r="D8" s="15">
        <f>IF($B8="","",Cadets!$H8)</f>
        <v/>
      </c>
      <c r="E8" s="15">
        <f>IF($B8="","",sysChecks!$E8)</f>
        <v/>
      </c>
      <c r="F8" s="15">
        <f>IF($B8="","",sysChecks!$F8)</f>
        <v/>
      </c>
      <c r="G8" s="15">
        <f>IF($B8="","",sysChecks!$G8)</f>
        <v/>
      </c>
      <c r="H8" s="15">
        <f>IF($B8="","",sysChecks!$H8)</f>
        <v/>
      </c>
      <c r="I8" s="15">
        <f>IF($B8="","",sysChecks!$I8)</f>
        <v/>
      </c>
      <c r="J8" s="15">
        <f>IF($B8="","",sysChecks!$J8)</f>
        <v/>
      </c>
      <c r="K8" s="15">
        <f>IF($B8="","",sysChecks!$K8)</f>
        <v/>
      </c>
      <c r="L8" s="15">
        <f>IF($B8="","",sysChecks!$L8)</f>
        <v/>
      </c>
      <c r="M8" s="15">
        <f>IF($B8="","",IF(sysChecks!$M8="Yes","No","Yes"))</f>
        <v/>
      </c>
      <c r="N8" s="15">
        <f>IF($B8="","",sysChecks!$N8)</f>
        <v/>
      </c>
      <c r="O8" s="15">
        <f>IF($B8="","",sysChecks!$O8)</f>
        <v/>
      </c>
    </row>
    <row r="9">
      <c r="B9" s="15">
        <f>IF(Cadets!$B9="","",Cadets!$B9)</f>
        <v/>
      </c>
      <c r="C9" s="15">
        <f>IF($B9="","",Cadets!$F9)</f>
        <v/>
      </c>
      <c r="D9" s="15">
        <f>IF($B9="","",Cadets!$H9)</f>
        <v/>
      </c>
      <c r="E9" s="15">
        <f>IF($B9="","",sysChecks!$E9)</f>
        <v/>
      </c>
      <c r="F9" s="15">
        <f>IF($B9="","",sysChecks!$F9)</f>
        <v/>
      </c>
      <c r="G9" s="15">
        <f>IF($B9="","",sysChecks!$G9)</f>
        <v/>
      </c>
      <c r="H9" s="15">
        <f>IF($B9="","",sysChecks!$H9)</f>
        <v/>
      </c>
      <c r="I9" s="15">
        <f>IF($B9="","",sysChecks!$I9)</f>
        <v/>
      </c>
      <c r="J9" s="15">
        <f>IF($B9="","",sysChecks!$J9)</f>
        <v/>
      </c>
      <c r="K9" s="15">
        <f>IF($B9="","",sysChecks!$K9)</f>
        <v/>
      </c>
      <c r="L9" s="15">
        <f>IF($B9="","",sysChecks!$L9)</f>
        <v/>
      </c>
      <c r="M9" s="15">
        <f>IF($B9="","",IF(sysChecks!$M9="Yes","No","Yes"))</f>
        <v/>
      </c>
      <c r="N9" s="15">
        <f>IF($B9="","",sysChecks!$N9)</f>
        <v/>
      </c>
      <c r="O9" s="15">
        <f>IF($B9="","",sysChecks!$O9)</f>
        <v/>
      </c>
    </row>
    <row r="10">
      <c r="B10" s="15">
        <f>IF(Cadets!$B10="","",Cadets!$B10)</f>
        <v/>
      </c>
      <c r="C10" s="15">
        <f>IF($B10="","",Cadets!$F10)</f>
        <v/>
      </c>
      <c r="D10" s="15">
        <f>IF($B10="","",Cadets!$H10)</f>
        <v/>
      </c>
      <c r="E10" s="15">
        <f>IF($B10="","",sysChecks!$E10)</f>
        <v/>
      </c>
      <c r="F10" s="15">
        <f>IF($B10="","",sysChecks!$F10)</f>
        <v/>
      </c>
      <c r="G10" s="15">
        <f>IF($B10="","",sysChecks!$G10)</f>
        <v/>
      </c>
      <c r="H10" s="15">
        <f>IF($B10="","",sysChecks!$H10)</f>
        <v/>
      </c>
      <c r="I10" s="15">
        <f>IF($B10="","",sysChecks!$I10)</f>
        <v/>
      </c>
      <c r="J10" s="15">
        <f>IF($B10="","",sysChecks!$J10)</f>
        <v/>
      </c>
      <c r="K10" s="15">
        <f>IF($B10="","",sysChecks!$K10)</f>
        <v/>
      </c>
      <c r="L10" s="15">
        <f>IF($B10="","",sysChecks!$L10)</f>
        <v/>
      </c>
      <c r="M10" s="15">
        <f>IF($B10="","",IF(sysChecks!$M10="Yes","No","Yes"))</f>
        <v/>
      </c>
      <c r="N10" s="15">
        <f>IF($B10="","",sysChecks!$N10)</f>
        <v/>
      </c>
      <c r="O10" s="15">
        <f>IF($B10="","",sysChecks!$O10)</f>
        <v/>
      </c>
    </row>
    <row r="11">
      <c r="B11" s="15">
        <f>IF(Cadets!$B11="","",Cadets!$B11)</f>
        <v/>
      </c>
      <c r="C11" s="15">
        <f>IF($B11="","",Cadets!$F11)</f>
        <v/>
      </c>
      <c r="D11" s="15">
        <f>IF($B11="","",Cadets!$H11)</f>
        <v/>
      </c>
      <c r="E11" s="15">
        <f>IF($B11="","",sysChecks!$E11)</f>
        <v/>
      </c>
      <c r="F11" s="15">
        <f>IF($B11="","",sysChecks!$F11)</f>
        <v/>
      </c>
      <c r="G11" s="15">
        <f>IF($B11="","",sysChecks!$G11)</f>
        <v/>
      </c>
      <c r="H11" s="15">
        <f>IF($B11="","",sysChecks!$H11)</f>
        <v/>
      </c>
      <c r="I11" s="15">
        <f>IF($B11="","",sysChecks!$I11)</f>
        <v/>
      </c>
      <c r="J11" s="15">
        <f>IF($B11="","",sysChecks!$J11)</f>
        <v/>
      </c>
      <c r="K11" s="15">
        <f>IF($B11="","",sysChecks!$K11)</f>
        <v/>
      </c>
      <c r="L11" s="15">
        <f>IF($B11="","",sysChecks!$L11)</f>
        <v/>
      </c>
      <c r="M11" s="15">
        <f>IF($B11="","",IF(sysChecks!$M11="Yes","No","Yes"))</f>
        <v/>
      </c>
      <c r="N11" s="15">
        <f>IF($B11="","",sysChecks!$N11)</f>
        <v/>
      </c>
      <c r="O11" s="15">
        <f>IF($B11="","",sysChecks!$O11)</f>
        <v/>
      </c>
    </row>
    <row r="12">
      <c r="B12" s="15">
        <f>IF(Cadets!$B12="","",Cadets!$B12)</f>
        <v/>
      </c>
      <c r="C12" s="15">
        <f>IF($B12="","",Cadets!$F12)</f>
        <v/>
      </c>
      <c r="D12" s="15">
        <f>IF($B12="","",Cadets!$H12)</f>
        <v/>
      </c>
      <c r="E12" s="15">
        <f>IF($B12="","",sysChecks!$E12)</f>
        <v/>
      </c>
      <c r="F12" s="15">
        <f>IF($B12="","",sysChecks!$F12)</f>
        <v/>
      </c>
      <c r="G12" s="15">
        <f>IF($B12="","",sysChecks!$G12)</f>
        <v/>
      </c>
      <c r="H12" s="15">
        <f>IF($B12="","",sysChecks!$H12)</f>
        <v/>
      </c>
      <c r="I12" s="15">
        <f>IF($B12="","",sysChecks!$I12)</f>
        <v/>
      </c>
      <c r="J12" s="15">
        <f>IF($B12="","",sysChecks!$J12)</f>
        <v/>
      </c>
      <c r="K12" s="15">
        <f>IF($B12="","",sysChecks!$K12)</f>
        <v/>
      </c>
      <c r="L12" s="15">
        <f>IF($B12="","",sysChecks!$L12)</f>
        <v/>
      </c>
      <c r="M12" s="15">
        <f>IF($B12="","",IF(sysChecks!$M12="Yes","No","Yes"))</f>
        <v/>
      </c>
      <c r="N12" s="15">
        <f>IF($B12="","",sysChecks!$N12)</f>
        <v/>
      </c>
      <c r="O12" s="15">
        <f>IF($B12="","",sysChecks!$O12)</f>
        <v/>
      </c>
    </row>
    <row r="13">
      <c r="B13" s="15">
        <f>IF(Cadets!$B13="","",Cadets!$B13)</f>
        <v/>
      </c>
      <c r="C13" s="15">
        <f>IF($B13="","",Cadets!$F13)</f>
        <v/>
      </c>
      <c r="D13" s="15">
        <f>IF($B13="","",Cadets!$H13)</f>
        <v/>
      </c>
      <c r="E13" s="15">
        <f>IF($B13="","",sysChecks!$E13)</f>
        <v/>
      </c>
      <c r="F13" s="15">
        <f>IF($B13="","",sysChecks!$F13)</f>
        <v/>
      </c>
      <c r="G13" s="15">
        <f>IF($B13="","",sysChecks!$G13)</f>
        <v/>
      </c>
      <c r="H13" s="15">
        <f>IF($B13="","",sysChecks!$H13)</f>
        <v/>
      </c>
      <c r="I13" s="15">
        <f>IF($B13="","",sysChecks!$I13)</f>
        <v/>
      </c>
      <c r="J13" s="15">
        <f>IF($B13="","",sysChecks!$J13)</f>
        <v/>
      </c>
      <c r="K13" s="15">
        <f>IF($B13="","",sysChecks!$K13)</f>
        <v/>
      </c>
      <c r="L13" s="15">
        <f>IF($B13="","",sysChecks!$L13)</f>
        <v/>
      </c>
      <c r="M13" s="15">
        <f>IF($B13="","",IF(sysChecks!$M13="Yes","No","Yes"))</f>
        <v/>
      </c>
      <c r="N13" s="15">
        <f>IF($B13="","",sysChecks!$N13)</f>
        <v/>
      </c>
      <c r="O13" s="15">
        <f>IF($B13="","",sysChecks!$O13)</f>
        <v/>
      </c>
    </row>
    <row r="14">
      <c r="B14" s="15">
        <f>IF(Cadets!$B14="","",Cadets!$B14)</f>
        <v/>
      </c>
      <c r="C14" s="15">
        <f>IF($B14="","",Cadets!$F14)</f>
        <v/>
      </c>
      <c r="D14" s="15">
        <f>IF($B14="","",Cadets!$H14)</f>
        <v/>
      </c>
      <c r="E14" s="15">
        <f>IF($B14="","",sysChecks!$E14)</f>
        <v/>
      </c>
      <c r="F14" s="15">
        <f>IF($B14="","",sysChecks!$F14)</f>
        <v/>
      </c>
      <c r="G14" s="15">
        <f>IF($B14="","",sysChecks!$G14)</f>
        <v/>
      </c>
      <c r="H14" s="15">
        <f>IF($B14="","",sysChecks!$H14)</f>
        <v/>
      </c>
      <c r="I14" s="15">
        <f>IF($B14="","",sysChecks!$I14)</f>
        <v/>
      </c>
      <c r="J14" s="15">
        <f>IF($B14="","",sysChecks!$J14)</f>
        <v/>
      </c>
      <c r="K14" s="15">
        <f>IF($B14="","",sysChecks!$K14)</f>
        <v/>
      </c>
      <c r="L14" s="15">
        <f>IF($B14="","",sysChecks!$L14)</f>
        <v/>
      </c>
      <c r="M14" s="15">
        <f>IF($B14="","",IF(sysChecks!$M14="Yes","No","Yes"))</f>
        <v/>
      </c>
      <c r="N14" s="15">
        <f>IF($B14="","",sysChecks!$N14)</f>
        <v/>
      </c>
      <c r="O14" s="15">
        <f>IF($B14="","",sysChecks!$O14)</f>
        <v/>
      </c>
    </row>
    <row r="15">
      <c r="B15" s="15">
        <f>IF(Cadets!$B15="","",Cadets!$B15)</f>
        <v/>
      </c>
      <c r="C15" s="15">
        <f>IF($B15="","",Cadets!$F15)</f>
        <v/>
      </c>
      <c r="D15" s="15">
        <f>IF($B15="","",Cadets!$H15)</f>
        <v/>
      </c>
      <c r="E15" s="15">
        <f>IF($B15="","",sysChecks!$E15)</f>
        <v/>
      </c>
      <c r="F15" s="15">
        <f>IF($B15="","",sysChecks!$F15)</f>
        <v/>
      </c>
      <c r="G15" s="15">
        <f>IF($B15="","",sysChecks!$G15)</f>
        <v/>
      </c>
      <c r="H15" s="15">
        <f>IF($B15="","",sysChecks!$H15)</f>
        <v/>
      </c>
      <c r="I15" s="15">
        <f>IF($B15="","",sysChecks!$I15)</f>
        <v/>
      </c>
      <c r="J15" s="15">
        <f>IF($B15="","",sysChecks!$J15)</f>
        <v/>
      </c>
      <c r="K15" s="15">
        <f>IF($B15="","",sysChecks!$K15)</f>
        <v/>
      </c>
      <c r="L15" s="15">
        <f>IF($B15="","",sysChecks!$L15)</f>
        <v/>
      </c>
      <c r="M15" s="15">
        <f>IF($B15="","",IF(sysChecks!$M15="Yes","No","Yes"))</f>
        <v/>
      </c>
      <c r="N15" s="15">
        <f>IF($B15="","",sysChecks!$N15)</f>
        <v/>
      </c>
      <c r="O15" s="15">
        <f>IF($B15="","",sysChecks!$O15)</f>
        <v/>
      </c>
    </row>
    <row r="16">
      <c r="B16" s="15">
        <f>IF(Cadets!$B16="","",Cadets!$B16)</f>
        <v/>
      </c>
      <c r="C16" s="15">
        <f>IF($B16="","",Cadets!$F16)</f>
        <v/>
      </c>
      <c r="D16" s="15">
        <f>IF($B16="","",Cadets!$H16)</f>
        <v/>
      </c>
      <c r="E16" s="15">
        <f>IF($B16="","",sysChecks!$E16)</f>
        <v/>
      </c>
      <c r="F16" s="15">
        <f>IF($B16="","",sysChecks!$F16)</f>
        <v/>
      </c>
      <c r="G16" s="15">
        <f>IF($B16="","",sysChecks!$G16)</f>
        <v/>
      </c>
      <c r="H16" s="15">
        <f>IF($B16="","",sysChecks!$H16)</f>
        <v/>
      </c>
      <c r="I16" s="15">
        <f>IF($B16="","",sysChecks!$I16)</f>
        <v/>
      </c>
      <c r="J16" s="15">
        <f>IF($B16="","",sysChecks!$J16)</f>
        <v/>
      </c>
      <c r="K16" s="15">
        <f>IF($B16="","",sysChecks!$K16)</f>
        <v/>
      </c>
      <c r="L16" s="15">
        <f>IF($B16="","",sysChecks!$L16)</f>
        <v/>
      </c>
      <c r="M16" s="15">
        <f>IF($B16="","",IF(sysChecks!$M16="Yes","No","Yes"))</f>
        <v/>
      </c>
      <c r="N16" s="15">
        <f>IF($B16="","",sysChecks!$N16)</f>
        <v/>
      </c>
      <c r="O16" s="15">
        <f>IF($B16="","",sysChecks!$O16)</f>
        <v/>
      </c>
    </row>
    <row r="17">
      <c r="B17" s="15">
        <f>IF(Cadets!$B17="","",Cadets!$B17)</f>
        <v/>
      </c>
      <c r="C17" s="15">
        <f>IF($B17="","",Cadets!$F17)</f>
        <v/>
      </c>
      <c r="D17" s="15">
        <f>IF($B17="","",Cadets!$H17)</f>
        <v/>
      </c>
      <c r="E17" s="15">
        <f>IF($B17="","",sysChecks!$E17)</f>
        <v/>
      </c>
      <c r="F17" s="15">
        <f>IF($B17="","",sysChecks!$F17)</f>
        <v/>
      </c>
      <c r="G17" s="15">
        <f>IF($B17="","",sysChecks!$G17)</f>
        <v/>
      </c>
      <c r="H17" s="15">
        <f>IF($B17="","",sysChecks!$H17)</f>
        <v/>
      </c>
      <c r="I17" s="15">
        <f>IF($B17="","",sysChecks!$I17)</f>
        <v/>
      </c>
      <c r="J17" s="15">
        <f>IF($B17="","",sysChecks!$J17)</f>
        <v/>
      </c>
      <c r="K17" s="15">
        <f>IF($B17="","",sysChecks!$K17)</f>
        <v/>
      </c>
      <c r="L17" s="15">
        <f>IF($B17="","",sysChecks!$L17)</f>
        <v/>
      </c>
      <c r="M17" s="15">
        <f>IF($B17="","",IF(sysChecks!$M17="Yes","No","Yes"))</f>
        <v/>
      </c>
      <c r="N17" s="15">
        <f>IF($B17="","",sysChecks!$N17)</f>
        <v/>
      </c>
      <c r="O17" s="15">
        <f>IF($B17="","",sysChecks!$O17)</f>
        <v/>
      </c>
    </row>
    <row r="18">
      <c r="B18" s="15">
        <f>IF(Cadets!$B18="","",Cadets!$B18)</f>
        <v/>
      </c>
      <c r="C18" s="15">
        <f>IF($B18="","",Cadets!$F18)</f>
        <v/>
      </c>
      <c r="D18" s="15">
        <f>IF($B18="","",Cadets!$H18)</f>
        <v/>
      </c>
      <c r="E18" s="15">
        <f>IF($B18="","",sysChecks!$E18)</f>
        <v/>
      </c>
      <c r="F18" s="15">
        <f>IF($B18="","",sysChecks!$F18)</f>
        <v/>
      </c>
      <c r="G18" s="15">
        <f>IF($B18="","",sysChecks!$G18)</f>
        <v/>
      </c>
      <c r="H18" s="15">
        <f>IF($B18="","",sysChecks!$H18)</f>
        <v/>
      </c>
      <c r="I18" s="15">
        <f>IF($B18="","",sysChecks!$I18)</f>
        <v/>
      </c>
      <c r="J18" s="15">
        <f>IF($B18="","",sysChecks!$J18)</f>
        <v/>
      </c>
      <c r="K18" s="15">
        <f>IF($B18="","",sysChecks!$K18)</f>
        <v/>
      </c>
      <c r="L18" s="15">
        <f>IF($B18="","",sysChecks!$L18)</f>
        <v/>
      </c>
      <c r="M18" s="15">
        <f>IF($B18="","",IF(sysChecks!$M18="Yes","No","Yes"))</f>
        <v/>
      </c>
      <c r="N18" s="15">
        <f>IF($B18="","",sysChecks!$N18)</f>
        <v/>
      </c>
      <c r="O18" s="15">
        <f>IF($B18="","",sysChecks!$O18)</f>
        <v/>
      </c>
    </row>
    <row r="19">
      <c r="B19" s="15">
        <f>IF(Cadets!$B19="","",Cadets!$B19)</f>
        <v/>
      </c>
      <c r="C19" s="15">
        <f>IF($B19="","",Cadets!$F19)</f>
        <v/>
      </c>
      <c r="D19" s="15">
        <f>IF($B19="","",Cadets!$H19)</f>
        <v/>
      </c>
      <c r="E19" s="15">
        <f>IF($B19="","",sysChecks!$E19)</f>
        <v/>
      </c>
      <c r="F19" s="15">
        <f>IF($B19="","",sysChecks!$F19)</f>
        <v/>
      </c>
      <c r="G19" s="15">
        <f>IF($B19="","",sysChecks!$G19)</f>
        <v/>
      </c>
      <c r="H19" s="15">
        <f>IF($B19="","",sysChecks!$H19)</f>
        <v/>
      </c>
      <c r="I19" s="15">
        <f>IF($B19="","",sysChecks!$I19)</f>
        <v/>
      </c>
      <c r="J19" s="15">
        <f>IF($B19="","",sysChecks!$J19)</f>
        <v/>
      </c>
      <c r="K19" s="15">
        <f>IF($B19="","",sysChecks!$K19)</f>
        <v/>
      </c>
      <c r="L19" s="15">
        <f>IF($B19="","",sysChecks!$L19)</f>
        <v/>
      </c>
      <c r="M19" s="15">
        <f>IF($B19="","",IF(sysChecks!$M19="Yes","No","Yes"))</f>
        <v/>
      </c>
      <c r="N19" s="15">
        <f>IF($B19="","",sysChecks!$N19)</f>
        <v/>
      </c>
      <c r="O19" s="15">
        <f>IF($B19="","",sysChecks!$O19)</f>
        <v/>
      </c>
    </row>
    <row r="20">
      <c r="B20" s="15">
        <f>IF(Cadets!$B20="","",Cadets!$B20)</f>
        <v/>
      </c>
      <c r="C20" s="15">
        <f>IF($B20="","",Cadets!$F20)</f>
        <v/>
      </c>
      <c r="D20" s="15">
        <f>IF($B20="","",Cadets!$H20)</f>
        <v/>
      </c>
      <c r="E20" s="15">
        <f>IF($B20="","",sysChecks!$E20)</f>
        <v/>
      </c>
      <c r="F20" s="15">
        <f>IF($B20="","",sysChecks!$F20)</f>
        <v/>
      </c>
      <c r="G20" s="15">
        <f>IF($B20="","",sysChecks!$G20)</f>
        <v/>
      </c>
      <c r="H20" s="15">
        <f>IF($B20="","",sysChecks!$H20)</f>
        <v/>
      </c>
      <c r="I20" s="15">
        <f>IF($B20="","",sysChecks!$I20)</f>
        <v/>
      </c>
      <c r="J20" s="15">
        <f>IF($B20="","",sysChecks!$J20)</f>
        <v/>
      </c>
      <c r="K20" s="15">
        <f>IF($B20="","",sysChecks!$K20)</f>
        <v/>
      </c>
      <c r="L20" s="15">
        <f>IF($B20="","",sysChecks!$L20)</f>
        <v/>
      </c>
      <c r="M20" s="15">
        <f>IF($B20="","",IF(sysChecks!$M20="Yes","No","Yes"))</f>
        <v/>
      </c>
      <c r="N20" s="15">
        <f>IF($B20="","",sysChecks!$N20)</f>
        <v/>
      </c>
      <c r="O20" s="15">
        <f>IF($B20="","",sysChecks!$O20)</f>
        <v/>
      </c>
    </row>
    <row r="21">
      <c r="B21" s="15">
        <f>IF(Cadets!$B21="","",Cadets!$B21)</f>
        <v/>
      </c>
      <c r="C21" s="15">
        <f>IF($B21="","",Cadets!$F21)</f>
        <v/>
      </c>
      <c r="D21" s="15">
        <f>IF($B21="","",Cadets!$H21)</f>
        <v/>
      </c>
      <c r="E21" s="15">
        <f>IF($B21="","",sysChecks!$E21)</f>
        <v/>
      </c>
      <c r="F21" s="15">
        <f>IF($B21="","",sysChecks!$F21)</f>
        <v/>
      </c>
      <c r="G21" s="15">
        <f>IF($B21="","",sysChecks!$G21)</f>
        <v/>
      </c>
      <c r="H21" s="15">
        <f>IF($B21="","",sysChecks!$H21)</f>
        <v/>
      </c>
      <c r="I21" s="15">
        <f>IF($B21="","",sysChecks!$I21)</f>
        <v/>
      </c>
      <c r="J21" s="15">
        <f>IF($B21="","",sysChecks!$J21)</f>
        <v/>
      </c>
      <c r="K21" s="15">
        <f>IF($B21="","",sysChecks!$K21)</f>
        <v/>
      </c>
      <c r="L21" s="15">
        <f>IF($B21="","",sysChecks!$L21)</f>
        <v/>
      </c>
      <c r="M21" s="15">
        <f>IF($B21="","",IF(sysChecks!$M21="Yes","No","Yes"))</f>
        <v/>
      </c>
      <c r="N21" s="15">
        <f>IF($B21="","",sysChecks!$N21)</f>
        <v/>
      </c>
      <c r="O21" s="15">
        <f>IF($B21="","",sysChecks!$O21)</f>
        <v/>
      </c>
    </row>
    <row r="22">
      <c r="B22" s="15">
        <f>IF(Cadets!$B22="","",Cadets!$B22)</f>
        <v/>
      </c>
      <c r="C22" s="15">
        <f>IF($B22="","",Cadets!$F22)</f>
        <v/>
      </c>
      <c r="D22" s="15">
        <f>IF($B22="","",Cadets!$H22)</f>
        <v/>
      </c>
      <c r="E22" s="15">
        <f>IF($B22="","",sysChecks!$E22)</f>
        <v/>
      </c>
      <c r="F22" s="15">
        <f>IF($B22="","",sysChecks!$F22)</f>
        <v/>
      </c>
      <c r="G22" s="15">
        <f>IF($B22="","",sysChecks!$G22)</f>
        <v/>
      </c>
      <c r="H22" s="15">
        <f>IF($B22="","",sysChecks!$H22)</f>
        <v/>
      </c>
      <c r="I22" s="15">
        <f>IF($B22="","",sysChecks!$I22)</f>
        <v/>
      </c>
      <c r="J22" s="15">
        <f>IF($B22="","",sysChecks!$J22)</f>
        <v/>
      </c>
      <c r="K22" s="15">
        <f>IF($B22="","",sysChecks!$K22)</f>
        <v/>
      </c>
      <c r="L22" s="15">
        <f>IF($B22="","",sysChecks!$L22)</f>
        <v/>
      </c>
      <c r="M22" s="15">
        <f>IF($B22="","",IF(sysChecks!$M22="Yes","No","Yes"))</f>
        <v/>
      </c>
      <c r="N22" s="15">
        <f>IF($B22="","",sysChecks!$N22)</f>
        <v/>
      </c>
      <c r="O22" s="15">
        <f>IF($B22="","",sysChecks!$O22)</f>
        <v/>
      </c>
    </row>
    <row r="23">
      <c r="B23" s="15">
        <f>IF(Cadets!$B23="","",Cadets!$B23)</f>
        <v/>
      </c>
      <c r="C23" s="15">
        <f>IF($B23="","",Cadets!$F23)</f>
        <v/>
      </c>
      <c r="D23" s="15">
        <f>IF($B23="","",Cadets!$H23)</f>
        <v/>
      </c>
      <c r="E23" s="15">
        <f>IF($B23="","",sysChecks!$E23)</f>
        <v/>
      </c>
      <c r="F23" s="15">
        <f>IF($B23="","",sysChecks!$F23)</f>
        <v/>
      </c>
      <c r="G23" s="15">
        <f>IF($B23="","",sysChecks!$G23)</f>
        <v/>
      </c>
      <c r="H23" s="15">
        <f>IF($B23="","",sysChecks!$H23)</f>
        <v/>
      </c>
      <c r="I23" s="15">
        <f>IF($B23="","",sysChecks!$I23)</f>
        <v/>
      </c>
      <c r="J23" s="15">
        <f>IF($B23="","",sysChecks!$J23)</f>
        <v/>
      </c>
      <c r="K23" s="15">
        <f>IF($B23="","",sysChecks!$K23)</f>
        <v/>
      </c>
      <c r="L23" s="15">
        <f>IF($B23="","",sysChecks!$L23)</f>
        <v/>
      </c>
      <c r="M23" s="15">
        <f>IF($B23="","",IF(sysChecks!$M23="Yes","No","Yes"))</f>
        <v/>
      </c>
      <c r="N23" s="15">
        <f>IF($B23="","",sysChecks!$N23)</f>
        <v/>
      </c>
      <c r="O23" s="15">
        <f>IF($B23="","",sysChecks!$O23)</f>
        <v/>
      </c>
    </row>
    <row r="24">
      <c r="B24" s="15">
        <f>IF(Cadets!$B24="","",Cadets!$B24)</f>
        <v/>
      </c>
      <c r="C24" s="15">
        <f>IF($B24="","",Cadets!$F24)</f>
        <v/>
      </c>
      <c r="D24" s="15">
        <f>IF($B24="","",Cadets!$H24)</f>
        <v/>
      </c>
      <c r="E24" s="15">
        <f>IF($B24="","",sysChecks!$E24)</f>
        <v/>
      </c>
      <c r="F24" s="15">
        <f>IF($B24="","",sysChecks!$F24)</f>
        <v/>
      </c>
      <c r="G24" s="15">
        <f>IF($B24="","",sysChecks!$G24)</f>
        <v/>
      </c>
      <c r="H24" s="15">
        <f>IF($B24="","",sysChecks!$H24)</f>
        <v/>
      </c>
      <c r="I24" s="15">
        <f>IF($B24="","",sysChecks!$I24)</f>
        <v/>
      </c>
      <c r="J24" s="15">
        <f>IF($B24="","",sysChecks!$J24)</f>
        <v/>
      </c>
      <c r="K24" s="15">
        <f>IF($B24="","",sysChecks!$K24)</f>
        <v/>
      </c>
      <c r="L24" s="15">
        <f>IF($B24="","",sysChecks!$L24)</f>
        <v/>
      </c>
      <c r="M24" s="15">
        <f>IF($B24="","",IF(sysChecks!$M24="Yes","No","Yes"))</f>
        <v/>
      </c>
      <c r="N24" s="15">
        <f>IF($B24="","",sysChecks!$N24)</f>
        <v/>
      </c>
      <c r="O24" s="15">
        <f>IF($B24="","",sysChecks!$O24)</f>
        <v/>
      </c>
    </row>
    <row r="25">
      <c r="B25" s="15">
        <f>IF(Cadets!$B25="","",Cadets!$B25)</f>
        <v/>
      </c>
      <c r="C25" s="15">
        <f>IF($B25="","",Cadets!$F25)</f>
        <v/>
      </c>
      <c r="D25" s="15">
        <f>IF($B25="","",Cadets!$H25)</f>
        <v/>
      </c>
      <c r="E25" s="15">
        <f>IF($B25="","",sysChecks!$E25)</f>
        <v/>
      </c>
      <c r="F25" s="15">
        <f>IF($B25="","",sysChecks!$F25)</f>
        <v/>
      </c>
      <c r="G25" s="15">
        <f>IF($B25="","",sysChecks!$G25)</f>
        <v/>
      </c>
      <c r="H25" s="15">
        <f>IF($B25="","",sysChecks!$H25)</f>
        <v/>
      </c>
      <c r="I25" s="15">
        <f>IF($B25="","",sysChecks!$I25)</f>
        <v/>
      </c>
      <c r="J25" s="15">
        <f>IF($B25="","",sysChecks!$J25)</f>
        <v/>
      </c>
      <c r="K25" s="15">
        <f>IF($B25="","",sysChecks!$K25)</f>
        <v/>
      </c>
      <c r="L25" s="15">
        <f>IF($B25="","",sysChecks!$L25)</f>
        <v/>
      </c>
      <c r="M25" s="15">
        <f>IF($B25="","",IF(sysChecks!$M25="Yes","No","Yes"))</f>
        <v/>
      </c>
      <c r="N25" s="15">
        <f>IF($B25="","",sysChecks!$N25)</f>
        <v/>
      </c>
      <c r="O25" s="15">
        <f>IF($B25="","",sysChecks!$O25)</f>
        <v/>
      </c>
    </row>
    <row r="26">
      <c r="B26" s="15">
        <f>IF(Cadets!$B26="","",Cadets!$B26)</f>
        <v/>
      </c>
      <c r="C26" s="15">
        <f>IF($B26="","",Cadets!$F26)</f>
        <v/>
      </c>
      <c r="D26" s="15">
        <f>IF($B26="","",Cadets!$H26)</f>
        <v/>
      </c>
      <c r="E26" s="15">
        <f>IF($B26="","",sysChecks!$E26)</f>
        <v/>
      </c>
      <c r="F26" s="15">
        <f>IF($B26="","",sysChecks!$F26)</f>
        <v/>
      </c>
      <c r="G26" s="15">
        <f>IF($B26="","",sysChecks!$G26)</f>
        <v/>
      </c>
      <c r="H26" s="15">
        <f>IF($B26="","",sysChecks!$H26)</f>
        <v/>
      </c>
      <c r="I26" s="15">
        <f>IF($B26="","",sysChecks!$I26)</f>
        <v/>
      </c>
      <c r="J26" s="15">
        <f>IF($B26="","",sysChecks!$J26)</f>
        <v/>
      </c>
      <c r="K26" s="15">
        <f>IF($B26="","",sysChecks!$K26)</f>
        <v/>
      </c>
      <c r="L26" s="15">
        <f>IF($B26="","",sysChecks!$L26)</f>
        <v/>
      </c>
      <c r="M26" s="15">
        <f>IF($B26="","",IF(sysChecks!$M26="Yes","No","Yes"))</f>
        <v/>
      </c>
      <c r="N26" s="15">
        <f>IF($B26="","",sysChecks!$N26)</f>
        <v/>
      </c>
      <c r="O26" s="15">
        <f>IF($B26="","",sysChecks!$O26)</f>
        <v/>
      </c>
    </row>
    <row r="27">
      <c r="B27" s="15">
        <f>IF(Cadets!$B27="","",Cadets!$B27)</f>
        <v/>
      </c>
      <c r="C27" s="15">
        <f>IF($B27="","",Cadets!$F27)</f>
        <v/>
      </c>
      <c r="D27" s="15">
        <f>IF($B27="","",Cadets!$H27)</f>
        <v/>
      </c>
      <c r="E27" s="15">
        <f>IF($B27="","",sysChecks!$E27)</f>
        <v/>
      </c>
      <c r="F27" s="15">
        <f>IF($B27="","",sysChecks!$F27)</f>
        <v/>
      </c>
      <c r="G27" s="15">
        <f>IF($B27="","",sysChecks!$G27)</f>
        <v/>
      </c>
      <c r="H27" s="15">
        <f>IF($B27="","",sysChecks!$H27)</f>
        <v/>
      </c>
      <c r="I27" s="15">
        <f>IF($B27="","",sysChecks!$I27)</f>
        <v/>
      </c>
      <c r="J27" s="15">
        <f>IF($B27="","",sysChecks!$J27)</f>
        <v/>
      </c>
      <c r="K27" s="15">
        <f>IF($B27="","",sysChecks!$K27)</f>
        <v/>
      </c>
      <c r="L27" s="15">
        <f>IF($B27="","",sysChecks!$L27)</f>
        <v/>
      </c>
      <c r="M27" s="15">
        <f>IF($B27="","",IF(sysChecks!$M27="Yes","No","Yes"))</f>
        <v/>
      </c>
      <c r="N27" s="15">
        <f>IF($B27="","",sysChecks!$N27)</f>
        <v/>
      </c>
      <c r="O27" s="15">
        <f>IF($B27="","",sysChecks!$O27)</f>
        <v/>
      </c>
    </row>
    <row r="28">
      <c r="B28" s="15">
        <f>IF(Cadets!$B28="","",Cadets!$B28)</f>
        <v/>
      </c>
      <c r="C28" s="15">
        <f>IF($B28="","",Cadets!$F28)</f>
        <v/>
      </c>
      <c r="D28" s="15">
        <f>IF($B28="","",Cadets!$H28)</f>
        <v/>
      </c>
      <c r="E28" s="15">
        <f>IF($B28="","",sysChecks!$E28)</f>
        <v/>
      </c>
      <c r="F28" s="15">
        <f>IF($B28="","",sysChecks!$F28)</f>
        <v/>
      </c>
      <c r="G28" s="15">
        <f>IF($B28="","",sysChecks!$G28)</f>
        <v/>
      </c>
      <c r="H28" s="15">
        <f>IF($B28="","",sysChecks!$H28)</f>
        <v/>
      </c>
      <c r="I28" s="15">
        <f>IF($B28="","",sysChecks!$I28)</f>
        <v/>
      </c>
      <c r="J28" s="15">
        <f>IF($B28="","",sysChecks!$J28)</f>
        <v/>
      </c>
      <c r="K28" s="15">
        <f>IF($B28="","",sysChecks!$K28)</f>
        <v/>
      </c>
      <c r="L28" s="15">
        <f>IF($B28="","",sysChecks!$L28)</f>
        <v/>
      </c>
      <c r="M28" s="15">
        <f>IF($B28="","",IF(sysChecks!$M28="Yes","No","Yes"))</f>
        <v/>
      </c>
      <c r="N28" s="15">
        <f>IF($B28="","",sysChecks!$N28)</f>
        <v/>
      </c>
      <c r="O28" s="15">
        <f>IF($B28="","",sysChecks!$O28)</f>
        <v/>
      </c>
    </row>
    <row r="29">
      <c r="B29" s="15">
        <f>IF(Cadets!$B29="","",Cadets!$B29)</f>
        <v/>
      </c>
      <c r="C29" s="15">
        <f>IF($B29="","",Cadets!$F29)</f>
        <v/>
      </c>
      <c r="D29" s="15">
        <f>IF($B29="","",Cadets!$H29)</f>
        <v/>
      </c>
      <c r="E29" s="15">
        <f>IF($B29="","",sysChecks!$E29)</f>
        <v/>
      </c>
      <c r="F29" s="15">
        <f>IF($B29="","",sysChecks!$F29)</f>
        <v/>
      </c>
      <c r="G29" s="15">
        <f>IF($B29="","",sysChecks!$G29)</f>
        <v/>
      </c>
      <c r="H29" s="15">
        <f>IF($B29="","",sysChecks!$H29)</f>
        <v/>
      </c>
      <c r="I29" s="15">
        <f>IF($B29="","",sysChecks!$I29)</f>
        <v/>
      </c>
      <c r="J29" s="15">
        <f>IF($B29="","",sysChecks!$J29)</f>
        <v/>
      </c>
      <c r="K29" s="15">
        <f>IF($B29="","",sysChecks!$K29)</f>
        <v/>
      </c>
      <c r="L29" s="15">
        <f>IF($B29="","",sysChecks!$L29)</f>
        <v/>
      </c>
      <c r="M29" s="15">
        <f>IF($B29="","",IF(sysChecks!$M29="Yes","No","Yes"))</f>
        <v/>
      </c>
      <c r="N29" s="15">
        <f>IF($B29="","",sysChecks!$N29)</f>
        <v/>
      </c>
      <c r="O29" s="15">
        <f>IF($B29="","",sysChecks!$O29)</f>
        <v/>
      </c>
    </row>
    <row r="30">
      <c r="B30" s="15">
        <f>IF(Cadets!$B30="","",Cadets!$B30)</f>
        <v/>
      </c>
      <c r="C30" s="15">
        <f>IF($B30="","",Cadets!$F30)</f>
        <v/>
      </c>
      <c r="D30" s="15">
        <f>IF($B30="","",Cadets!$H30)</f>
        <v/>
      </c>
      <c r="E30" s="15">
        <f>IF($B30="","",sysChecks!$E30)</f>
        <v/>
      </c>
      <c r="F30" s="15">
        <f>IF($B30="","",sysChecks!$F30)</f>
        <v/>
      </c>
      <c r="G30" s="15">
        <f>IF($B30="","",sysChecks!$G30)</f>
        <v/>
      </c>
      <c r="H30" s="15">
        <f>IF($B30="","",sysChecks!$H30)</f>
        <v/>
      </c>
      <c r="I30" s="15">
        <f>IF($B30="","",sysChecks!$I30)</f>
        <v/>
      </c>
      <c r="J30" s="15">
        <f>IF($B30="","",sysChecks!$J30)</f>
        <v/>
      </c>
      <c r="K30" s="15">
        <f>IF($B30="","",sysChecks!$K30)</f>
        <v/>
      </c>
      <c r="L30" s="15">
        <f>IF($B30="","",sysChecks!$L30)</f>
        <v/>
      </c>
      <c r="M30" s="15">
        <f>IF($B30="","",IF(sysChecks!$M30="Yes","No","Yes"))</f>
        <v/>
      </c>
      <c r="N30" s="15">
        <f>IF($B30="","",sysChecks!$N30)</f>
        <v/>
      </c>
      <c r="O30" s="15">
        <f>IF($B30="","",sysChecks!$O30)</f>
        <v/>
      </c>
    </row>
    <row r="31">
      <c r="B31" s="15">
        <f>IF(Cadets!$B31="","",Cadets!$B31)</f>
        <v/>
      </c>
      <c r="C31" s="15">
        <f>IF($B31="","",Cadets!$F31)</f>
        <v/>
      </c>
      <c r="D31" s="15">
        <f>IF($B31="","",Cadets!$H31)</f>
        <v/>
      </c>
      <c r="E31" s="15">
        <f>IF($B31="","",sysChecks!$E31)</f>
        <v/>
      </c>
      <c r="F31" s="15">
        <f>IF($B31="","",sysChecks!$F31)</f>
        <v/>
      </c>
      <c r="G31" s="15">
        <f>IF($B31="","",sysChecks!$G31)</f>
        <v/>
      </c>
      <c r="H31" s="15">
        <f>IF($B31="","",sysChecks!$H31)</f>
        <v/>
      </c>
      <c r="I31" s="15">
        <f>IF($B31="","",sysChecks!$I31)</f>
        <v/>
      </c>
      <c r="J31" s="15">
        <f>IF($B31="","",sysChecks!$J31)</f>
        <v/>
      </c>
      <c r="K31" s="15">
        <f>IF($B31="","",sysChecks!$K31)</f>
        <v/>
      </c>
      <c r="L31" s="15">
        <f>IF($B31="","",sysChecks!$L31)</f>
        <v/>
      </c>
      <c r="M31" s="15">
        <f>IF($B31="","",IF(sysChecks!$M31="Yes","No","Yes"))</f>
        <v/>
      </c>
      <c r="N31" s="15">
        <f>IF($B31="","",sysChecks!$N31)</f>
        <v/>
      </c>
      <c r="O31" s="15">
        <f>IF($B31="","",sysChecks!$O31)</f>
        <v/>
      </c>
    </row>
    <row r="32">
      <c r="B32" s="15">
        <f>IF(Cadets!$B32="","",Cadets!$B32)</f>
        <v/>
      </c>
      <c r="C32" s="15">
        <f>IF($B32="","",Cadets!$F32)</f>
        <v/>
      </c>
      <c r="D32" s="15">
        <f>IF($B32="","",Cadets!$H32)</f>
        <v/>
      </c>
      <c r="E32" s="15">
        <f>IF($B32="","",sysChecks!$E32)</f>
        <v/>
      </c>
      <c r="F32" s="15">
        <f>IF($B32="","",sysChecks!$F32)</f>
        <v/>
      </c>
      <c r="G32" s="15">
        <f>IF($B32="","",sysChecks!$G32)</f>
        <v/>
      </c>
      <c r="H32" s="15">
        <f>IF($B32="","",sysChecks!$H32)</f>
        <v/>
      </c>
      <c r="I32" s="15">
        <f>IF($B32="","",sysChecks!$I32)</f>
        <v/>
      </c>
      <c r="J32" s="15">
        <f>IF($B32="","",sysChecks!$J32)</f>
        <v/>
      </c>
      <c r="K32" s="15">
        <f>IF($B32="","",sysChecks!$K32)</f>
        <v/>
      </c>
      <c r="L32" s="15">
        <f>IF($B32="","",sysChecks!$L32)</f>
        <v/>
      </c>
      <c r="M32" s="15">
        <f>IF($B32="","",IF(sysChecks!$M32="Yes","No","Yes"))</f>
        <v/>
      </c>
      <c r="N32" s="15">
        <f>IF($B32="","",sysChecks!$N32)</f>
        <v/>
      </c>
      <c r="O32" s="15">
        <f>IF($B32="","",sysChecks!$O32)</f>
        <v/>
      </c>
    </row>
    <row r="33">
      <c r="B33" s="15">
        <f>IF(Cadets!$B33="","",Cadets!$B33)</f>
        <v/>
      </c>
      <c r="C33" s="15">
        <f>IF($B33="","",Cadets!$F33)</f>
        <v/>
      </c>
      <c r="D33" s="15">
        <f>IF($B33="","",Cadets!$H33)</f>
        <v/>
      </c>
      <c r="E33" s="15">
        <f>IF($B33="","",sysChecks!$E33)</f>
        <v/>
      </c>
      <c r="F33" s="15">
        <f>IF($B33="","",sysChecks!$F33)</f>
        <v/>
      </c>
      <c r="G33" s="15">
        <f>IF($B33="","",sysChecks!$G33)</f>
        <v/>
      </c>
      <c r="H33" s="15">
        <f>IF($B33="","",sysChecks!$H33)</f>
        <v/>
      </c>
      <c r="I33" s="15">
        <f>IF($B33="","",sysChecks!$I33)</f>
        <v/>
      </c>
      <c r="J33" s="15">
        <f>IF($B33="","",sysChecks!$J33)</f>
        <v/>
      </c>
      <c r="K33" s="15">
        <f>IF($B33="","",sysChecks!$K33)</f>
        <v/>
      </c>
      <c r="L33" s="15">
        <f>IF($B33="","",sysChecks!$L33)</f>
        <v/>
      </c>
      <c r="M33" s="15">
        <f>IF($B33="","",IF(sysChecks!$M33="Yes","No","Yes"))</f>
        <v/>
      </c>
      <c r="N33" s="15">
        <f>IF($B33="","",sysChecks!$N33)</f>
        <v/>
      </c>
      <c r="O33" s="15">
        <f>IF($B33="","",sysChecks!$O33)</f>
        <v/>
      </c>
    </row>
    <row r="34">
      <c r="B34" s="15">
        <f>IF(Cadets!$B34="","",Cadets!$B34)</f>
        <v/>
      </c>
      <c r="C34" s="15">
        <f>IF($B34="","",Cadets!$F34)</f>
        <v/>
      </c>
      <c r="D34" s="15">
        <f>IF($B34="","",Cadets!$H34)</f>
        <v/>
      </c>
      <c r="E34" s="15">
        <f>IF($B34="","",sysChecks!$E34)</f>
        <v/>
      </c>
      <c r="F34" s="15">
        <f>IF($B34="","",sysChecks!$F34)</f>
        <v/>
      </c>
      <c r="G34" s="15">
        <f>IF($B34="","",sysChecks!$G34)</f>
        <v/>
      </c>
      <c r="H34" s="15">
        <f>IF($B34="","",sysChecks!$H34)</f>
        <v/>
      </c>
      <c r="I34" s="15">
        <f>IF($B34="","",sysChecks!$I34)</f>
        <v/>
      </c>
      <c r="J34" s="15">
        <f>IF($B34="","",sysChecks!$J34)</f>
        <v/>
      </c>
      <c r="K34" s="15">
        <f>IF($B34="","",sysChecks!$K34)</f>
        <v/>
      </c>
      <c r="L34" s="15">
        <f>IF($B34="","",sysChecks!$L34)</f>
        <v/>
      </c>
      <c r="M34" s="15">
        <f>IF($B34="","",IF(sysChecks!$M34="Yes","No","Yes"))</f>
        <v/>
      </c>
      <c r="N34" s="15">
        <f>IF($B34="","",sysChecks!$N34)</f>
        <v/>
      </c>
      <c r="O34" s="15">
        <f>IF($B34="","",sysChecks!$O34)</f>
        <v/>
      </c>
    </row>
    <row r="35">
      <c r="B35" s="15">
        <f>IF(Cadets!$B35="","",Cadets!$B35)</f>
        <v/>
      </c>
      <c r="C35" s="15">
        <f>IF($B35="","",Cadets!$F35)</f>
        <v/>
      </c>
      <c r="D35" s="15">
        <f>IF($B35="","",Cadets!$H35)</f>
        <v/>
      </c>
      <c r="E35" s="15">
        <f>IF($B35="","",sysChecks!$E35)</f>
        <v/>
      </c>
      <c r="F35" s="15">
        <f>IF($B35="","",sysChecks!$F35)</f>
        <v/>
      </c>
      <c r="G35" s="15">
        <f>IF($B35="","",sysChecks!$G35)</f>
        <v/>
      </c>
      <c r="H35" s="15">
        <f>IF($B35="","",sysChecks!$H35)</f>
        <v/>
      </c>
      <c r="I35" s="15">
        <f>IF($B35="","",sysChecks!$I35)</f>
        <v/>
      </c>
      <c r="J35" s="15">
        <f>IF($B35="","",sysChecks!$J35)</f>
        <v/>
      </c>
      <c r="K35" s="15">
        <f>IF($B35="","",sysChecks!$K35)</f>
        <v/>
      </c>
      <c r="L35" s="15">
        <f>IF($B35="","",sysChecks!$L35)</f>
        <v/>
      </c>
      <c r="M35" s="15">
        <f>IF($B35="","",IF(sysChecks!$M35="Yes","No","Yes"))</f>
        <v/>
      </c>
      <c r="N35" s="15">
        <f>IF($B35="","",sysChecks!$N35)</f>
        <v/>
      </c>
      <c r="O35" s="15">
        <f>IF($B35="","",sysChecks!$O35)</f>
        <v/>
      </c>
    </row>
    <row r="36">
      <c r="B36" s="15">
        <f>IF(Cadets!$B36="","",Cadets!$B36)</f>
        <v/>
      </c>
      <c r="C36" s="15">
        <f>IF($B36="","",Cadets!$F36)</f>
        <v/>
      </c>
      <c r="D36" s="15">
        <f>IF($B36="","",Cadets!$H36)</f>
        <v/>
      </c>
      <c r="E36" s="15">
        <f>IF($B36="","",sysChecks!$E36)</f>
        <v/>
      </c>
      <c r="F36" s="15">
        <f>IF($B36="","",sysChecks!$F36)</f>
        <v/>
      </c>
      <c r="G36" s="15">
        <f>IF($B36="","",sysChecks!$G36)</f>
        <v/>
      </c>
      <c r="H36" s="15">
        <f>IF($B36="","",sysChecks!$H36)</f>
        <v/>
      </c>
      <c r="I36" s="15">
        <f>IF($B36="","",sysChecks!$I36)</f>
        <v/>
      </c>
      <c r="J36" s="15">
        <f>IF($B36="","",sysChecks!$J36)</f>
        <v/>
      </c>
      <c r="K36" s="15">
        <f>IF($B36="","",sysChecks!$K36)</f>
        <v/>
      </c>
      <c r="L36" s="15">
        <f>IF($B36="","",sysChecks!$L36)</f>
        <v/>
      </c>
      <c r="M36" s="15">
        <f>IF($B36="","",IF(sysChecks!$M36="Yes","No","Yes"))</f>
        <v/>
      </c>
      <c r="N36" s="15">
        <f>IF($B36="","",sysChecks!$N36)</f>
        <v/>
      </c>
      <c r="O36" s="15">
        <f>IF($B36="","",sysChecks!$O36)</f>
        <v/>
      </c>
    </row>
    <row r="37">
      <c r="B37" s="15">
        <f>IF(Cadets!$B37="","",Cadets!$B37)</f>
        <v/>
      </c>
      <c r="C37" s="15">
        <f>IF($B37="","",Cadets!$F37)</f>
        <v/>
      </c>
      <c r="D37" s="15">
        <f>IF($B37="","",Cadets!$H37)</f>
        <v/>
      </c>
      <c r="E37" s="15">
        <f>IF($B37="","",sysChecks!$E37)</f>
        <v/>
      </c>
      <c r="F37" s="15">
        <f>IF($B37="","",sysChecks!$F37)</f>
        <v/>
      </c>
      <c r="G37" s="15">
        <f>IF($B37="","",sysChecks!$G37)</f>
        <v/>
      </c>
      <c r="H37" s="15">
        <f>IF($B37="","",sysChecks!$H37)</f>
        <v/>
      </c>
      <c r="I37" s="15">
        <f>IF($B37="","",sysChecks!$I37)</f>
        <v/>
      </c>
      <c r="J37" s="15">
        <f>IF($B37="","",sysChecks!$J37)</f>
        <v/>
      </c>
      <c r="K37" s="15">
        <f>IF($B37="","",sysChecks!$K37)</f>
        <v/>
      </c>
      <c r="L37" s="15">
        <f>IF($B37="","",sysChecks!$L37)</f>
        <v/>
      </c>
      <c r="M37" s="15">
        <f>IF($B37="","",IF(sysChecks!$M37="Yes","No","Yes"))</f>
        <v/>
      </c>
      <c r="N37" s="15">
        <f>IF($B37="","",sysChecks!$N37)</f>
        <v/>
      </c>
      <c r="O37" s="15">
        <f>IF($B37="","",sysChecks!$O37)</f>
        <v/>
      </c>
    </row>
    <row r="38">
      <c r="B38" s="15">
        <f>IF(Cadets!$B38="","",Cadets!$B38)</f>
        <v/>
      </c>
      <c r="C38" s="15">
        <f>IF($B38="","",Cadets!$F38)</f>
        <v/>
      </c>
      <c r="D38" s="15">
        <f>IF($B38="","",Cadets!$H38)</f>
        <v/>
      </c>
      <c r="E38" s="15">
        <f>IF($B38="","",sysChecks!$E38)</f>
        <v/>
      </c>
      <c r="F38" s="15">
        <f>IF($B38="","",sysChecks!$F38)</f>
        <v/>
      </c>
      <c r="G38" s="15">
        <f>IF($B38="","",sysChecks!$G38)</f>
        <v/>
      </c>
      <c r="H38" s="15">
        <f>IF($B38="","",sysChecks!$H38)</f>
        <v/>
      </c>
      <c r="I38" s="15">
        <f>IF($B38="","",sysChecks!$I38)</f>
        <v/>
      </c>
      <c r="J38" s="15">
        <f>IF($B38="","",sysChecks!$J38)</f>
        <v/>
      </c>
      <c r="K38" s="15">
        <f>IF($B38="","",sysChecks!$K38)</f>
        <v/>
      </c>
      <c r="L38" s="15">
        <f>IF($B38="","",sysChecks!$L38)</f>
        <v/>
      </c>
      <c r="M38" s="15">
        <f>IF($B38="","",IF(sysChecks!$M38="Yes","No","Yes"))</f>
        <v/>
      </c>
      <c r="N38" s="15">
        <f>IF($B38="","",sysChecks!$N38)</f>
        <v/>
      </c>
      <c r="O38" s="15">
        <f>IF($B38="","",sysChecks!$O38)</f>
        <v/>
      </c>
    </row>
    <row r="39">
      <c r="B39" s="15">
        <f>IF(Cadets!$B39="","",Cadets!$B39)</f>
        <v/>
      </c>
      <c r="C39" s="15">
        <f>IF($B39="","",Cadets!$F39)</f>
        <v/>
      </c>
      <c r="D39" s="15">
        <f>IF($B39="","",Cadets!$H39)</f>
        <v/>
      </c>
      <c r="E39" s="15">
        <f>IF($B39="","",sysChecks!$E39)</f>
        <v/>
      </c>
      <c r="F39" s="15">
        <f>IF($B39="","",sysChecks!$F39)</f>
        <v/>
      </c>
      <c r="G39" s="15">
        <f>IF($B39="","",sysChecks!$G39)</f>
        <v/>
      </c>
      <c r="H39" s="15">
        <f>IF($B39="","",sysChecks!$H39)</f>
        <v/>
      </c>
      <c r="I39" s="15">
        <f>IF($B39="","",sysChecks!$I39)</f>
        <v/>
      </c>
      <c r="J39" s="15">
        <f>IF($B39="","",sysChecks!$J39)</f>
        <v/>
      </c>
      <c r="K39" s="15">
        <f>IF($B39="","",sysChecks!$K39)</f>
        <v/>
      </c>
      <c r="L39" s="15">
        <f>IF($B39="","",sysChecks!$L39)</f>
        <v/>
      </c>
      <c r="M39" s="15">
        <f>IF($B39="","",IF(sysChecks!$M39="Yes","No","Yes"))</f>
        <v/>
      </c>
      <c r="N39" s="15">
        <f>IF($B39="","",sysChecks!$N39)</f>
        <v/>
      </c>
      <c r="O39" s="15">
        <f>IF($B39="","",sysChecks!$O39)</f>
        <v/>
      </c>
    </row>
    <row r="40">
      <c r="B40" s="15">
        <f>IF(Cadets!$B40="","",Cadets!$B40)</f>
        <v/>
      </c>
      <c r="C40" s="15">
        <f>IF($B40="","",Cadets!$F40)</f>
        <v/>
      </c>
      <c r="D40" s="15">
        <f>IF($B40="","",Cadets!$H40)</f>
        <v/>
      </c>
      <c r="E40" s="15">
        <f>IF($B40="","",sysChecks!$E40)</f>
        <v/>
      </c>
      <c r="F40" s="15">
        <f>IF($B40="","",sysChecks!$F40)</f>
        <v/>
      </c>
      <c r="G40" s="15">
        <f>IF($B40="","",sysChecks!$G40)</f>
        <v/>
      </c>
      <c r="H40" s="15">
        <f>IF($B40="","",sysChecks!$H40)</f>
        <v/>
      </c>
      <c r="I40" s="15">
        <f>IF($B40="","",sysChecks!$I40)</f>
        <v/>
      </c>
      <c r="J40" s="15">
        <f>IF($B40="","",sysChecks!$J40)</f>
        <v/>
      </c>
      <c r="K40" s="15">
        <f>IF($B40="","",sysChecks!$K40)</f>
        <v/>
      </c>
      <c r="L40" s="15">
        <f>IF($B40="","",sysChecks!$L40)</f>
        <v/>
      </c>
      <c r="M40" s="15">
        <f>IF($B40="","",IF(sysChecks!$M40="Yes","No","Yes"))</f>
        <v/>
      </c>
      <c r="N40" s="15">
        <f>IF($B40="","",sysChecks!$N40)</f>
        <v/>
      </c>
      <c r="O40" s="15">
        <f>IF($B40="","",sysChecks!$O40)</f>
        <v/>
      </c>
    </row>
    <row r="41">
      <c r="B41" s="15">
        <f>IF(Cadets!$B41="","",Cadets!$B41)</f>
        <v/>
      </c>
      <c r="C41" s="15">
        <f>IF($B41="","",Cadets!$F41)</f>
        <v/>
      </c>
      <c r="D41" s="15">
        <f>IF($B41="","",Cadets!$H41)</f>
        <v/>
      </c>
      <c r="E41" s="15">
        <f>IF($B41="","",sysChecks!$E41)</f>
        <v/>
      </c>
      <c r="F41" s="15">
        <f>IF($B41="","",sysChecks!$F41)</f>
        <v/>
      </c>
      <c r="G41" s="15">
        <f>IF($B41="","",sysChecks!$G41)</f>
        <v/>
      </c>
      <c r="H41" s="15">
        <f>IF($B41="","",sysChecks!$H41)</f>
        <v/>
      </c>
      <c r="I41" s="15">
        <f>IF($B41="","",sysChecks!$I41)</f>
        <v/>
      </c>
      <c r="J41" s="15">
        <f>IF($B41="","",sysChecks!$J41)</f>
        <v/>
      </c>
      <c r="K41" s="15">
        <f>IF($B41="","",sysChecks!$K41)</f>
        <v/>
      </c>
      <c r="L41" s="15">
        <f>IF($B41="","",sysChecks!$L41)</f>
        <v/>
      </c>
      <c r="M41" s="15">
        <f>IF($B41="","",IF(sysChecks!$M41="Yes","No","Yes"))</f>
        <v/>
      </c>
      <c r="N41" s="15">
        <f>IF($B41="","",sysChecks!$N41)</f>
        <v/>
      </c>
      <c r="O41" s="15">
        <f>IF($B41="","",sysChecks!$O41)</f>
        <v/>
      </c>
    </row>
    <row r="42">
      <c r="B42" s="15">
        <f>IF(Cadets!$B42="","",Cadets!$B42)</f>
        <v/>
      </c>
      <c r="C42" s="15">
        <f>IF($B42="","",Cadets!$F42)</f>
        <v/>
      </c>
      <c r="D42" s="15">
        <f>IF($B42="","",Cadets!$H42)</f>
        <v/>
      </c>
      <c r="E42" s="15">
        <f>IF($B42="","",sysChecks!$E42)</f>
        <v/>
      </c>
      <c r="F42" s="15">
        <f>IF($B42="","",sysChecks!$F42)</f>
        <v/>
      </c>
      <c r="G42" s="15">
        <f>IF($B42="","",sysChecks!$G42)</f>
        <v/>
      </c>
      <c r="H42" s="15">
        <f>IF($B42="","",sysChecks!$H42)</f>
        <v/>
      </c>
      <c r="I42" s="15">
        <f>IF($B42="","",sysChecks!$I42)</f>
        <v/>
      </c>
      <c r="J42" s="15">
        <f>IF($B42="","",sysChecks!$J42)</f>
        <v/>
      </c>
      <c r="K42" s="15">
        <f>IF($B42="","",sysChecks!$K42)</f>
        <v/>
      </c>
      <c r="L42" s="15">
        <f>IF($B42="","",sysChecks!$L42)</f>
        <v/>
      </c>
      <c r="M42" s="15">
        <f>IF($B42="","",IF(sysChecks!$M42="Yes","No","Yes"))</f>
        <v/>
      </c>
      <c r="N42" s="15">
        <f>IF($B42="","",sysChecks!$N42)</f>
        <v/>
      </c>
      <c r="O42" s="15">
        <f>IF($B42="","",sysChecks!$O42)</f>
        <v/>
      </c>
    </row>
    <row r="43">
      <c r="B43" s="15">
        <f>IF(Cadets!$B43="","",Cadets!$B43)</f>
        <v/>
      </c>
      <c r="C43" s="15">
        <f>IF($B43="","",Cadets!$F43)</f>
        <v/>
      </c>
      <c r="D43" s="15">
        <f>IF($B43="","",Cadets!$H43)</f>
        <v/>
      </c>
      <c r="E43" s="15">
        <f>IF($B43="","",sysChecks!$E43)</f>
        <v/>
      </c>
      <c r="F43" s="15">
        <f>IF($B43="","",sysChecks!$F43)</f>
        <v/>
      </c>
      <c r="G43" s="15">
        <f>IF($B43="","",sysChecks!$G43)</f>
        <v/>
      </c>
      <c r="H43" s="15">
        <f>IF($B43="","",sysChecks!$H43)</f>
        <v/>
      </c>
      <c r="I43" s="15">
        <f>IF($B43="","",sysChecks!$I43)</f>
        <v/>
      </c>
      <c r="J43" s="15">
        <f>IF($B43="","",sysChecks!$J43)</f>
        <v/>
      </c>
      <c r="K43" s="15">
        <f>IF($B43="","",sysChecks!$K43)</f>
        <v/>
      </c>
      <c r="L43" s="15">
        <f>IF($B43="","",sysChecks!$L43)</f>
        <v/>
      </c>
      <c r="M43" s="15">
        <f>IF($B43="","",IF(sysChecks!$M43="Yes","No","Yes"))</f>
        <v/>
      </c>
      <c r="N43" s="15">
        <f>IF($B43="","",sysChecks!$N43)</f>
        <v/>
      </c>
      <c r="O43" s="15">
        <f>IF($B43="","",sysChecks!$O43)</f>
        <v/>
      </c>
    </row>
    <row r="44">
      <c r="B44" s="15">
        <f>IF(Cadets!$B44="","",Cadets!$B44)</f>
        <v/>
      </c>
      <c r="C44" s="15">
        <f>IF($B44="","",Cadets!$F44)</f>
        <v/>
      </c>
      <c r="D44" s="15">
        <f>IF($B44="","",Cadets!$H44)</f>
        <v/>
      </c>
      <c r="E44" s="15">
        <f>IF($B44="","",sysChecks!$E44)</f>
        <v/>
      </c>
      <c r="F44" s="15">
        <f>IF($B44="","",sysChecks!$F44)</f>
        <v/>
      </c>
      <c r="G44" s="15">
        <f>IF($B44="","",sysChecks!$G44)</f>
        <v/>
      </c>
      <c r="H44" s="15">
        <f>IF($B44="","",sysChecks!$H44)</f>
        <v/>
      </c>
      <c r="I44" s="15">
        <f>IF($B44="","",sysChecks!$I44)</f>
        <v/>
      </c>
      <c r="J44" s="15">
        <f>IF($B44="","",sysChecks!$J44)</f>
        <v/>
      </c>
      <c r="K44" s="15">
        <f>IF($B44="","",sysChecks!$K44)</f>
        <v/>
      </c>
      <c r="L44" s="15">
        <f>IF($B44="","",sysChecks!$L44)</f>
        <v/>
      </c>
      <c r="M44" s="15">
        <f>IF($B44="","",IF(sysChecks!$M44="Yes","No","Yes"))</f>
        <v/>
      </c>
      <c r="N44" s="15">
        <f>IF($B44="","",sysChecks!$N44)</f>
        <v/>
      </c>
      <c r="O44" s="15">
        <f>IF($B44="","",sysChecks!$O44)</f>
        <v/>
      </c>
    </row>
    <row r="45">
      <c r="B45" s="15">
        <f>IF(Cadets!$B45="","",Cadets!$B45)</f>
        <v/>
      </c>
      <c r="C45" s="15">
        <f>IF($B45="","",Cadets!$F45)</f>
        <v/>
      </c>
      <c r="D45" s="15">
        <f>IF($B45="","",Cadets!$H45)</f>
        <v/>
      </c>
      <c r="E45" s="15">
        <f>IF($B45="","",sysChecks!$E45)</f>
        <v/>
      </c>
      <c r="F45" s="15">
        <f>IF($B45="","",sysChecks!$F45)</f>
        <v/>
      </c>
      <c r="G45" s="15">
        <f>IF($B45="","",sysChecks!$G45)</f>
        <v/>
      </c>
      <c r="H45" s="15">
        <f>IF($B45="","",sysChecks!$H45)</f>
        <v/>
      </c>
      <c r="I45" s="15">
        <f>IF($B45="","",sysChecks!$I45)</f>
        <v/>
      </c>
      <c r="J45" s="15">
        <f>IF($B45="","",sysChecks!$J45)</f>
        <v/>
      </c>
      <c r="K45" s="15">
        <f>IF($B45="","",sysChecks!$K45)</f>
        <v/>
      </c>
      <c r="L45" s="15">
        <f>IF($B45="","",sysChecks!$L45)</f>
        <v/>
      </c>
      <c r="M45" s="15">
        <f>IF($B45="","",IF(sysChecks!$M45="Yes","No","Yes"))</f>
        <v/>
      </c>
      <c r="N45" s="15">
        <f>IF($B45="","",sysChecks!$N45)</f>
        <v/>
      </c>
      <c r="O45" s="15">
        <f>IF($B45="","",sysChecks!$O45)</f>
        <v/>
      </c>
    </row>
    <row r="46">
      <c r="B46" s="15">
        <f>IF(Cadets!$B46="","",Cadets!$B46)</f>
        <v/>
      </c>
      <c r="C46" s="15">
        <f>IF($B46="","",Cadets!$F46)</f>
        <v/>
      </c>
      <c r="D46" s="15">
        <f>IF($B46="","",Cadets!$H46)</f>
        <v/>
      </c>
      <c r="E46" s="15">
        <f>IF($B46="","",sysChecks!$E46)</f>
        <v/>
      </c>
      <c r="F46" s="15">
        <f>IF($B46="","",sysChecks!$F46)</f>
        <v/>
      </c>
      <c r="G46" s="15">
        <f>IF($B46="","",sysChecks!$G46)</f>
        <v/>
      </c>
      <c r="H46" s="15">
        <f>IF($B46="","",sysChecks!$H46)</f>
        <v/>
      </c>
      <c r="I46" s="15">
        <f>IF($B46="","",sysChecks!$I46)</f>
        <v/>
      </c>
      <c r="J46" s="15">
        <f>IF($B46="","",sysChecks!$J46)</f>
        <v/>
      </c>
      <c r="K46" s="15">
        <f>IF($B46="","",sysChecks!$K46)</f>
        <v/>
      </c>
      <c r="L46" s="15">
        <f>IF($B46="","",sysChecks!$L46)</f>
        <v/>
      </c>
      <c r="M46" s="15">
        <f>IF($B46="","",IF(sysChecks!$M46="Yes","No","Yes"))</f>
        <v/>
      </c>
      <c r="N46" s="15">
        <f>IF($B46="","",sysChecks!$N46)</f>
        <v/>
      </c>
      <c r="O46" s="15">
        <f>IF($B46="","",sysChecks!$O46)</f>
        <v/>
      </c>
    </row>
    <row r="47">
      <c r="B47" s="15">
        <f>IF(Cadets!$B47="","",Cadets!$B47)</f>
        <v/>
      </c>
      <c r="C47" s="15">
        <f>IF($B47="","",Cadets!$F47)</f>
        <v/>
      </c>
      <c r="D47" s="15">
        <f>IF($B47="","",Cadets!$H47)</f>
        <v/>
      </c>
      <c r="E47" s="15">
        <f>IF($B47="","",sysChecks!$E47)</f>
        <v/>
      </c>
      <c r="F47" s="15">
        <f>IF($B47="","",sysChecks!$F47)</f>
        <v/>
      </c>
      <c r="G47" s="15">
        <f>IF($B47="","",sysChecks!$G47)</f>
        <v/>
      </c>
      <c r="H47" s="15">
        <f>IF($B47="","",sysChecks!$H47)</f>
        <v/>
      </c>
      <c r="I47" s="15">
        <f>IF($B47="","",sysChecks!$I47)</f>
        <v/>
      </c>
      <c r="J47" s="15">
        <f>IF($B47="","",sysChecks!$J47)</f>
        <v/>
      </c>
      <c r="K47" s="15">
        <f>IF($B47="","",sysChecks!$K47)</f>
        <v/>
      </c>
      <c r="L47" s="15">
        <f>IF($B47="","",sysChecks!$L47)</f>
        <v/>
      </c>
      <c r="M47" s="15">
        <f>IF($B47="","",IF(sysChecks!$M47="Yes","No","Yes"))</f>
        <v/>
      </c>
      <c r="N47" s="15">
        <f>IF($B47="","",sysChecks!$N47)</f>
        <v/>
      </c>
      <c r="O47" s="15">
        <f>IF($B47="","",sysChecks!$O47)</f>
        <v/>
      </c>
    </row>
    <row r="48">
      <c r="B48" s="15">
        <f>IF(Cadets!$B48="","",Cadets!$B48)</f>
        <v/>
      </c>
      <c r="C48" s="15">
        <f>IF($B48="","",Cadets!$F48)</f>
        <v/>
      </c>
      <c r="D48" s="15">
        <f>IF($B48="","",Cadets!$H48)</f>
        <v/>
      </c>
      <c r="E48" s="15">
        <f>IF($B48="","",sysChecks!$E48)</f>
        <v/>
      </c>
      <c r="F48" s="15">
        <f>IF($B48="","",sysChecks!$F48)</f>
        <v/>
      </c>
      <c r="G48" s="15">
        <f>IF($B48="","",sysChecks!$G48)</f>
        <v/>
      </c>
      <c r="H48" s="15">
        <f>IF($B48="","",sysChecks!$H48)</f>
        <v/>
      </c>
      <c r="I48" s="15">
        <f>IF($B48="","",sysChecks!$I48)</f>
        <v/>
      </c>
      <c r="J48" s="15">
        <f>IF($B48="","",sysChecks!$J48)</f>
        <v/>
      </c>
      <c r="K48" s="15">
        <f>IF($B48="","",sysChecks!$K48)</f>
        <v/>
      </c>
      <c r="L48" s="15">
        <f>IF($B48="","",sysChecks!$L48)</f>
        <v/>
      </c>
      <c r="M48" s="15">
        <f>IF($B48="","",IF(sysChecks!$M48="Yes","No","Yes"))</f>
        <v/>
      </c>
      <c r="N48" s="15">
        <f>IF($B48="","",sysChecks!$N48)</f>
        <v/>
      </c>
      <c r="O48" s="15">
        <f>IF($B48="","",sysChecks!$O48)</f>
        <v/>
      </c>
    </row>
    <row r="49">
      <c r="B49" s="15">
        <f>IF(Cadets!$B49="","",Cadets!$B49)</f>
        <v/>
      </c>
      <c r="C49" s="15">
        <f>IF($B49="","",Cadets!$F49)</f>
        <v/>
      </c>
      <c r="D49" s="15">
        <f>IF($B49="","",Cadets!$H49)</f>
        <v/>
      </c>
      <c r="E49" s="15">
        <f>IF($B49="","",sysChecks!$E49)</f>
        <v/>
      </c>
      <c r="F49" s="15">
        <f>IF($B49="","",sysChecks!$F49)</f>
        <v/>
      </c>
      <c r="G49" s="15">
        <f>IF($B49="","",sysChecks!$G49)</f>
        <v/>
      </c>
      <c r="H49" s="15">
        <f>IF($B49="","",sysChecks!$H49)</f>
        <v/>
      </c>
      <c r="I49" s="15">
        <f>IF($B49="","",sysChecks!$I49)</f>
        <v/>
      </c>
      <c r="J49" s="15">
        <f>IF($B49="","",sysChecks!$J49)</f>
        <v/>
      </c>
      <c r="K49" s="15">
        <f>IF($B49="","",sysChecks!$K49)</f>
        <v/>
      </c>
      <c r="L49" s="15">
        <f>IF($B49="","",sysChecks!$L49)</f>
        <v/>
      </c>
      <c r="M49" s="15">
        <f>IF($B49="","",IF(sysChecks!$M49="Yes","No","Yes"))</f>
        <v/>
      </c>
      <c r="N49" s="15">
        <f>IF($B49="","",sysChecks!$N49)</f>
        <v/>
      </c>
      <c r="O49" s="15">
        <f>IF($B49="","",sysChecks!$O49)</f>
        <v/>
      </c>
    </row>
    <row r="50">
      <c r="B50" s="15">
        <f>IF(Cadets!$B50="","",Cadets!$B50)</f>
        <v/>
      </c>
      <c r="C50" s="15">
        <f>IF($B50="","",Cadets!$F50)</f>
        <v/>
      </c>
      <c r="D50" s="15">
        <f>IF($B50="","",Cadets!$H50)</f>
        <v/>
      </c>
      <c r="E50" s="15">
        <f>IF($B50="","",sysChecks!$E50)</f>
        <v/>
      </c>
      <c r="F50" s="15">
        <f>IF($B50="","",sysChecks!$F50)</f>
        <v/>
      </c>
      <c r="G50" s="15">
        <f>IF($B50="","",sysChecks!$G50)</f>
        <v/>
      </c>
      <c r="H50" s="15">
        <f>IF($B50="","",sysChecks!$H50)</f>
        <v/>
      </c>
      <c r="I50" s="15">
        <f>IF($B50="","",sysChecks!$I50)</f>
        <v/>
      </c>
      <c r="J50" s="15">
        <f>IF($B50="","",sysChecks!$J50)</f>
        <v/>
      </c>
      <c r="K50" s="15">
        <f>IF($B50="","",sysChecks!$K50)</f>
        <v/>
      </c>
      <c r="L50" s="15">
        <f>IF($B50="","",sysChecks!$L50)</f>
        <v/>
      </c>
      <c r="M50" s="15">
        <f>IF($B50="","",IF(sysChecks!$M50="Yes","No","Yes"))</f>
        <v/>
      </c>
      <c r="N50" s="15">
        <f>IF($B50="","",sysChecks!$N50)</f>
        <v/>
      </c>
      <c r="O50" s="15">
        <f>IF($B50="","",sysChecks!$O50)</f>
        <v/>
      </c>
    </row>
    <row r="51">
      <c r="B51" s="15">
        <f>IF(Cadets!$B51="","",Cadets!$B51)</f>
        <v/>
      </c>
      <c r="C51" s="15">
        <f>IF($B51="","",Cadets!$F51)</f>
        <v/>
      </c>
      <c r="D51" s="15">
        <f>IF($B51="","",Cadets!$H51)</f>
        <v/>
      </c>
      <c r="E51" s="15">
        <f>IF($B51="","",sysChecks!$E51)</f>
        <v/>
      </c>
      <c r="F51" s="15">
        <f>IF($B51="","",sysChecks!$F51)</f>
        <v/>
      </c>
      <c r="G51" s="15">
        <f>IF($B51="","",sysChecks!$G51)</f>
        <v/>
      </c>
      <c r="H51" s="15">
        <f>IF($B51="","",sysChecks!$H51)</f>
        <v/>
      </c>
      <c r="I51" s="15">
        <f>IF($B51="","",sysChecks!$I51)</f>
        <v/>
      </c>
      <c r="J51" s="15">
        <f>IF($B51="","",sysChecks!$J51)</f>
        <v/>
      </c>
      <c r="K51" s="15">
        <f>IF($B51="","",sysChecks!$K51)</f>
        <v/>
      </c>
      <c r="L51" s="15">
        <f>IF($B51="","",sysChecks!$L51)</f>
        <v/>
      </c>
      <c r="M51" s="15">
        <f>IF($B51="","",IF(sysChecks!$M51="Yes","No","Yes"))</f>
        <v/>
      </c>
      <c r="N51" s="15">
        <f>IF($B51="","",sysChecks!$N51)</f>
        <v/>
      </c>
      <c r="O51" s="15">
        <f>IF($B51="","",sysChecks!$O51)</f>
        <v/>
      </c>
    </row>
    <row r="52">
      <c r="B52" s="15">
        <f>IF(Cadets!$B52="","",Cadets!$B52)</f>
        <v/>
      </c>
      <c r="C52" s="15">
        <f>IF($B52="","",Cadets!$F52)</f>
        <v/>
      </c>
      <c r="D52" s="15">
        <f>IF($B52="","",Cadets!$H52)</f>
        <v/>
      </c>
      <c r="E52" s="15">
        <f>IF($B52="","",sysChecks!$E52)</f>
        <v/>
      </c>
      <c r="F52" s="15">
        <f>IF($B52="","",sysChecks!$F52)</f>
        <v/>
      </c>
      <c r="G52" s="15">
        <f>IF($B52="","",sysChecks!$G52)</f>
        <v/>
      </c>
      <c r="H52" s="15">
        <f>IF($B52="","",sysChecks!$H52)</f>
        <v/>
      </c>
      <c r="I52" s="15">
        <f>IF($B52="","",sysChecks!$I52)</f>
        <v/>
      </c>
      <c r="J52" s="15">
        <f>IF($B52="","",sysChecks!$J52)</f>
        <v/>
      </c>
      <c r="K52" s="15">
        <f>IF($B52="","",sysChecks!$K52)</f>
        <v/>
      </c>
      <c r="L52" s="15">
        <f>IF($B52="","",sysChecks!$L52)</f>
        <v/>
      </c>
      <c r="M52" s="15">
        <f>IF($B52="","",IF(sysChecks!$M52="Yes","No","Yes"))</f>
        <v/>
      </c>
      <c r="N52" s="15">
        <f>IF($B52="","",sysChecks!$N52)</f>
        <v/>
      </c>
      <c r="O52" s="15">
        <f>IF($B52="","",sysChecks!$O52)</f>
        <v/>
      </c>
    </row>
    <row r="53">
      <c r="B53" s="15">
        <f>IF(Cadets!$B53="","",Cadets!$B53)</f>
        <v/>
      </c>
      <c r="C53" s="15">
        <f>IF($B53="","",Cadets!$F53)</f>
        <v/>
      </c>
      <c r="D53" s="15">
        <f>IF($B53="","",Cadets!$H53)</f>
        <v/>
      </c>
      <c r="E53" s="15">
        <f>IF($B53="","",sysChecks!$E53)</f>
        <v/>
      </c>
      <c r="F53" s="15">
        <f>IF($B53="","",sysChecks!$F53)</f>
        <v/>
      </c>
      <c r="G53" s="15">
        <f>IF($B53="","",sysChecks!$G53)</f>
        <v/>
      </c>
      <c r="H53" s="15">
        <f>IF($B53="","",sysChecks!$H53)</f>
        <v/>
      </c>
      <c r="I53" s="15">
        <f>IF($B53="","",sysChecks!$I53)</f>
        <v/>
      </c>
      <c r="J53" s="15">
        <f>IF($B53="","",sysChecks!$J53)</f>
        <v/>
      </c>
      <c r="K53" s="15">
        <f>IF($B53="","",sysChecks!$K53)</f>
        <v/>
      </c>
      <c r="L53" s="15">
        <f>IF($B53="","",sysChecks!$L53)</f>
        <v/>
      </c>
      <c r="M53" s="15">
        <f>IF($B53="","",IF(sysChecks!$M53="Yes","No","Yes"))</f>
        <v/>
      </c>
      <c r="N53" s="15">
        <f>IF($B53="","",sysChecks!$N53)</f>
        <v/>
      </c>
      <c r="O53" s="15">
        <f>IF($B53="","",sysChecks!$O53)</f>
        <v/>
      </c>
    </row>
    <row r="54">
      <c r="B54" s="15">
        <f>IF(Cadets!$B54="","",Cadets!$B54)</f>
        <v/>
      </c>
      <c r="C54" s="15">
        <f>IF($B54="","",Cadets!$F54)</f>
        <v/>
      </c>
      <c r="D54" s="15">
        <f>IF($B54="","",Cadets!$H54)</f>
        <v/>
      </c>
      <c r="E54" s="15">
        <f>IF($B54="","",sysChecks!$E54)</f>
        <v/>
      </c>
      <c r="F54" s="15">
        <f>IF($B54="","",sysChecks!$F54)</f>
        <v/>
      </c>
      <c r="G54" s="15">
        <f>IF($B54="","",sysChecks!$G54)</f>
        <v/>
      </c>
      <c r="H54" s="15">
        <f>IF($B54="","",sysChecks!$H54)</f>
        <v/>
      </c>
      <c r="I54" s="15">
        <f>IF($B54="","",sysChecks!$I54)</f>
        <v/>
      </c>
      <c r="J54" s="15">
        <f>IF($B54="","",sysChecks!$J54)</f>
        <v/>
      </c>
      <c r="K54" s="15">
        <f>IF($B54="","",sysChecks!$K54)</f>
        <v/>
      </c>
      <c r="L54" s="15">
        <f>IF($B54="","",sysChecks!$L54)</f>
        <v/>
      </c>
      <c r="M54" s="15">
        <f>IF($B54="","",IF(sysChecks!$M54="Yes","No","Yes"))</f>
        <v/>
      </c>
      <c r="N54" s="15">
        <f>IF($B54="","",sysChecks!$N54)</f>
        <v/>
      </c>
      <c r="O54" s="15">
        <f>IF($B54="","",sysChecks!$O54)</f>
        <v/>
      </c>
    </row>
    <row r="55">
      <c r="B55" s="15">
        <f>IF(Cadets!$B55="","",Cadets!$B55)</f>
        <v/>
      </c>
      <c r="C55" s="15">
        <f>IF($B55="","",Cadets!$F55)</f>
        <v/>
      </c>
      <c r="D55" s="15">
        <f>IF($B55="","",Cadets!$H55)</f>
        <v/>
      </c>
      <c r="E55" s="15">
        <f>IF($B55="","",sysChecks!$E55)</f>
        <v/>
      </c>
      <c r="F55" s="15">
        <f>IF($B55="","",sysChecks!$F55)</f>
        <v/>
      </c>
      <c r="G55" s="15">
        <f>IF($B55="","",sysChecks!$G55)</f>
        <v/>
      </c>
      <c r="H55" s="15">
        <f>IF($B55="","",sysChecks!$H55)</f>
        <v/>
      </c>
      <c r="I55" s="15">
        <f>IF($B55="","",sysChecks!$I55)</f>
        <v/>
      </c>
      <c r="J55" s="15">
        <f>IF($B55="","",sysChecks!$J55)</f>
        <v/>
      </c>
      <c r="K55" s="15">
        <f>IF($B55="","",sysChecks!$K55)</f>
        <v/>
      </c>
      <c r="L55" s="15">
        <f>IF($B55="","",sysChecks!$L55)</f>
        <v/>
      </c>
      <c r="M55" s="15">
        <f>IF($B55="","",IF(sysChecks!$M55="Yes","No","Yes"))</f>
        <v/>
      </c>
      <c r="N55" s="15">
        <f>IF($B55="","",sysChecks!$N55)</f>
        <v/>
      </c>
      <c r="O55" s="15">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N55">
    <cfRule type="cellIs" priority="1" operator="equal" dxfId="1">
      <formula>"Yes"</formula>
    </cfRule>
    <cfRule type="cellIs" priority="2" operator="equal" dxfId="0">
      <formula>"No"</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I87"/>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row r="2"/>
    <row r="3"/>
    <row r="4">
      <c r="B4" s="8"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6" t="inlineStr">
        <is>
          <t>Program checks (live from the engine)</t>
        </is>
      </c>
      <c r="C7" s="7" t="n"/>
      <c r="D7" s="7" t="n"/>
      <c r="E7" s="7" t="n"/>
      <c r="F7" s="7" t="n"/>
      <c r="G7" s="7" t="n"/>
      <c r="H7" s="7" t="n"/>
    </row>
    <row r="8" ht="26" customHeight="1">
      <c r="B8" s="9" t="inlineStr">
        <is>
          <t>Check</t>
        </is>
      </c>
      <c r="C8" s="9" t="inlineStr">
        <is>
          <t>Value</t>
        </is>
      </c>
      <c r="D8" s="9" t="inlineStr">
        <is>
          <t>Target</t>
        </is>
      </c>
      <c r="E8" s="9" t="inlineStr">
        <is>
          <t>Status</t>
        </is>
      </c>
      <c r="F8" s="9" t="inlineStr">
        <is>
          <t>Detail</t>
        </is>
      </c>
    </row>
    <row r="9">
      <c r="B9" s="12">
        <f>sysAudit!$B$6</f>
        <v/>
      </c>
      <c r="C9" s="18">
        <f>sysAudit!$C$6</f>
        <v/>
      </c>
      <c r="D9" s="18">
        <f>sysAudit!$D$6</f>
        <v/>
      </c>
      <c r="E9" s="10">
        <f>sysAudit!$E$6</f>
        <v/>
      </c>
      <c r="F9" s="2">
        <f>sysAudit!$F$6</f>
        <v/>
      </c>
    </row>
    <row r="10">
      <c r="B10" s="12">
        <f>sysAudit!$B$7</f>
        <v/>
      </c>
      <c r="C10" s="18">
        <f>sysAudit!$C$7</f>
        <v/>
      </c>
      <c r="D10" s="18">
        <f>sysAudit!$D$7</f>
        <v/>
      </c>
      <c r="E10" s="10">
        <f>sysAudit!$E$7</f>
        <v/>
      </c>
      <c r="F10" s="2">
        <f>sysAudit!$F$7</f>
        <v/>
      </c>
    </row>
    <row r="11">
      <c r="B11" s="12">
        <f>sysAudit!$B$8</f>
        <v/>
      </c>
      <c r="C11" s="18">
        <f>sysAudit!$C$8</f>
        <v/>
      </c>
      <c r="D11" s="18">
        <f>sysAudit!$D$8</f>
        <v/>
      </c>
      <c r="E11" s="10">
        <f>sysAudit!$E$8</f>
        <v/>
      </c>
      <c r="F11" s="2">
        <f>sysAudit!$F$8</f>
        <v/>
      </c>
    </row>
    <row r="12">
      <c r="B12" s="12">
        <f>sysAudit!$B$9</f>
        <v/>
      </c>
      <c r="C12" s="18">
        <f>sysAudit!$C$9</f>
        <v/>
      </c>
      <c r="D12" s="18">
        <f>sysAudit!$D$9</f>
        <v/>
      </c>
      <c r="E12" s="10">
        <f>sysAudit!$E$9</f>
        <v/>
      </c>
      <c r="F12" s="2">
        <f>sysAudit!$F$9</f>
        <v/>
      </c>
    </row>
    <row r="13">
      <c r="B13" s="12">
        <f>sysAudit!$B$10</f>
        <v/>
      </c>
      <c r="C13" s="18">
        <f>sysAudit!$C$10</f>
        <v/>
      </c>
      <c r="D13" s="18">
        <f>sysAudit!$D$10</f>
        <v/>
      </c>
      <c r="E13" s="10">
        <f>sysAudit!$E$10</f>
        <v/>
      </c>
      <c r="F13" s="2">
        <f>sysAudit!$F$10</f>
        <v/>
      </c>
    </row>
    <row r="14">
      <c r="B14" s="12">
        <f>sysAudit!$B$11</f>
        <v/>
      </c>
      <c r="C14" s="18">
        <f>sysAudit!$C$11</f>
        <v/>
      </c>
      <c r="D14" s="18">
        <f>sysAudit!$D$11</f>
        <v/>
      </c>
      <c r="E14" s="10">
        <f>sysAudit!$E$11</f>
        <v/>
      </c>
      <c r="F14" s="2">
        <f>sysAudit!$F$11</f>
        <v/>
      </c>
    </row>
    <row r="15">
      <c r="B15" s="12">
        <f>sysAudit!$B$12</f>
        <v/>
      </c>
      <c r="C15" s="18">
        <f>sysAudit!$C$12</f>
        <v/>
      </c>
      <c r="D15" s="18">
        <f>sysAudit!$D$12</f>
        <v/>
      </c>
      <c r="E15" s="10">
        <f>sysAudit!$E$12</f>
        <v/>
      </c>
      <c r="F15" s="2">
        <f>sysAudit!$F$12</f>
        <v/>
      </c>
    </row>
    <row r="16">
      <c r="B16" s="12">
        <f>sysAudit!$B$13</f>
        <v/>
      </c>
      <c r="C16" s="18">
        <f>sysAudit!$C$13</f>
        <v/>
      </c>
      <c r="D16" s="18">
        <f>sysAudit!$D$13</f>
        <v/>
      </c>
      <c r="E16" s="10">
        <f>sysAudit!$E$13</f>
        <v/>
      </c>
      <c r="F16" s="2">
        <f>sysAudit!$F$13</f>
        <v/>
      </c>
    </row>
    <row r="17">
      <c r="B17" s="12">
        <f>sysAudit!$B$14</f>
        <v/>
      </c>
      <c r="C17" s="18">
        <f>sysAudit!$C$14</f>
        <v/>
      </c>
      <c r="D17" s="18">
        <f>sysAudit!$D$14</f>
        <v/>
      </c>
      <c r="E17" s="10">
        <f>sysAudit!$E$14</f>
        <v/>
      </c>
      <c r="F17" s="2">
        <f>sysAudit!$F$14</f>
        <v/>
      </c>
    </row>
    <row r="18">
      <c r="B18" s="12">
        <f>sysAudit!$B$15</f>
        <v/>
      </c>
      <c r="C18" s="18">
        <f>sysAudit!$C$15</f>
        <v/>
      </c>
      <c r="D18" s="18">
        <f>sysAudit!$D$15</f>
        <v/>
      </c>
      <c r="E18" s="10">
        <f>sysAudit!$E$15</f>
        <v/>
      </c>
      <c r="F18" s="2">
        <f>sysAudit!$F$15</f>
        <v/>
      </c>
    </row>
    <row r="19">
      <c r="B19" s="12">
        <f>sysAudit!$B$16</f>
        <v/>
      </c>
      <c r="C19" s="18">
        <f>sysAudit!$C$16</f>
        <v/>
      </c>
      <c r="D19" s="18">
        <f>sysAudit!$D$16</f>
        <v/>
      </c>
      <c r="E19" s="10">
        <f>sysAudit!$E$16</f>
        <v/>
      </c>
      <c r="F19" s="2">
        <f>sysAudit!$F$16</f>
        <v/>
      </c>
    </row>
    <row r="20"/>
    <row r="21" ht="16" customHeight="1">
      <c r="B21" s="6" t="inlineStr">
        <is>
          <t>Requirement sources — what is TCOLE rule vs Academy policy</t>
        </is>
      </c>
      <c r="C21" s="7" t="n"/>
      <c r="D21" s="7" t="n"/>
      <c r="E21" s="7" t="n"/>
      <c r="F21" s="7" t="n"/>
      <c r="G21" s="7" t="n"/>
      <c r="H21" s="7" t="n"/>
    </row>
    <row r="22" ht="26" customHeight="1">
      <c r="B22" s="13" t="inlineStr">
        <is>
          <t>• TCOLE Rule (Ch. 215/218/219): course #1000736 minimum hours per chapter, licensed/SME instructors, course records retention, exam security, student enrollment standards (L2/L3, medical), attendance records.</t>
        </is>
      </c>
    </row>
    <row r="23" ht="26" customHeight="1">
      <c r="B23" s="13" t="inlineStr">
        <is>
          <t>• Academy Policy (May 2026 manual): weighted grading (40/30/10/20), 70-in-each-category rule, weekly spelling tests + 75% intervention, 40 writing assignments, PT program and caps, awards.</t>
        </is>
      </c>
    </row>
    <row r="24"/>
    <row r="25" ht="16" customHeight="1">
      <c r="B25" s="6" t="inlineStr">
        <is>
          <t>Program-level TCOLE requirements (mark Yes when satisfied)</t>
        </is>
      </c>
      <c r="C25" s="7" t="n"/>
      <c r="D25" s="7" t="n"/>
      <c r="E25" s="7" t="n"/>
      <c r="F25" s="7" t="n"/>
      <c r="G25" s="7" t="n"/>
      <c r="H25" s="7" t="n"/>
    </row>
    <row r="26" ht="26" customHeight="1">
      <c r="B26" s="9" t="inlineStr">
        <is>
          <t>Requirement</t>
        </is>
      </c>
      <c r="C26" s="23" t="n"/>
      <c r="D26" s="23" t="n"/>
      <c r="E26" s="24" t="n"/>
      <c r="F26" s="9" t="inlineStr">
        <is>
          <t>Met?</t>
        </is>
      </c>
      <c r="G26" s="9" t="inlineStr">
        <is>
          <t>Notes</t>
        </is>
      </c>
    </row>
    <row r="27" ht="26" customHeight="1">
      <c r="B27" s="11" t="inlineStr">
        <is>
          <t>Commission Rules distributed to all students (Rule 215.9) — Copies of current TCOLE rules given to every student admitted</t>
        </is>
      </c>
      <c r="F27" s="14" t="n"/>
      <c r="G27" s="14" t="n"/>
    </row>
    <row r="28" ht="26" customHeight="1">
      <c r="B28" s="11" t="inlineStr">
        <is>
          <t>Required rule review conducted (215.9) — Reviewed 211.33, 221.1, 223.1, 223.3, 223.15, 223.17, 223.19 in class</t>
        </is>
      </c>
      <c r="F28" s="14" t="n"/>
      <c r="G28" s="14" t="n"/>
    </row>
    <row r="29" ht="26" customHeight="1">
      <c r="B29" s="11" t="inlineStr">
        <is>
          <t>Approved TCLEDDS roster on file — Required element of the training file</t>
        </is>
      </c>
      <c r="F29" s="14" t="n"/>
      <c r="G29" s="14" t="n"/>
    </row>
    <row r="30" ht="26" customHeight="1">
      <c r="B30" s="11" t="inlineStr">
        <is>
          <t>Course reported at exactly 736 hours — Excess hours reported under Addendum to BPOC (course #101), never inside the 736</t>
        </is>
      </c>
      <c r="F30" s="14" t="n"/>
      <c r="G30" s="14" t="n"/>
    </row>
    <row r="31" ht="26" customHeight="1">
      <c r="B31" s="11" t="inlineStr">
        <is>
          <t>Non-BPOC classes reported separately within 30 days — Any additional classes the academy teaches</t>
        </is>
      </c>
      <c r="F31" s="14" t="n"/>
      <c r="G31" s="14" t="n"/>
    </row>
    <row r="32" ht="26" customHeight="1">
      <c r="B32" s="11" t="inlineStr">
        <is>
          <t>Facility standards met (in-person, scenario/skills adequate) — Classroom supports role-play, defensive tactics, firearms demonstration</t>
        </is>
      </c>
      <c r="F32" s="14" t="n"/>
      <c r="G32" s="14" t="n"/>
    </row>
    <row r="33" ht="26" customHeight="1">
      <c r="B33" s="11" t="inlineStr">
        <is>
          <t>Assessments document mastery of all objectives — Learners are never passed on attendance alone</t>
        </is>
      </c>
      <c r="F33" s="14" t="n"/>
      <c r="G33" s="14" t="n"/>
    </row>
    <row r="34" ht="26" customHeight="1">
      <c r="B34" s="11" t="inlineStr">
        <is>
          <t>State exam plan communicated (250 Q, 70%, 3 attempts max) — Third failure requires enrolling in a new BPOC</t>
        </is>
      </c>
      <c r="F34" s="14" t="n"/>
      <c r="G34" s="14" t="n"/>
    </row>
    <row r="35"/>
    <row r="36" ht="16" customHeight="1">
      <c r="B36" s="6" t="inlineStr">
        <is>
          <t>Per-cadet enrollment documents (mark Yes when on file)</t>
        </is>
      </c>
      <c r="C36" s="7" t="n"/>
      <c r="D36" s="7" t="n"/>
      <c r="E36" s="7" t="n"/>
      <c r="F36" s="7" t="n"/>
      <c r="G36" s="7" t="n"/>
      <c r="H36" s="7" t="n"/>
    </row>
    <row r="37" ht="26" customHeight="1">
      <c r="B37" s="9" t="inlineStr">
        <is>
          <t>Cadet</t>
        </is>
      </c>
      <c r="C37" s="9" t="inlineStr">
        <is>
          <t>Enroll App</t>
        </is>
      </c>
      <c r="D37" s="9" t="inlineStr">
        <is>
          <t>TCLEDDS L1</t>
        </is>
      </c>
      <c r="E37" s="9" t="inlineStr">
        <is>
          <t>Medical (L2)</t>
        </is>
      </c>
      <c r="F37" s="9" t="inlineStr">
        <is>
          <t>Psych (L3)</t>
        </is>
      </c>
      <c r="G37" s="9" t="inlineStr">
        <is>
          <t>Background</t>
        </is>
      </c>
      <c r="H37" s="9" t="inlineStr">
        <is>
          <t>Photo ID/DL</t>
        </is>
      </c>
      <c r="I37" s="9" t="inlineStr">
        <is>
          <t>All Docs?</t>
        </is>
      </c>
    </row>
    <row r="38">
      <c r="B38" s="18">
        <f>IF(Cadets!$B6="","",Cadets!$F6)</f>
        <v/>
      </c>
      <c r="C38" s="14" t="n"/>
      <c r="D38" s="14" t="n"/>
      <c r="E38" s="14" t="n"/>
      <c r="F38" s="14" t="n"/>
      <c r="G38" s="14" t="n"/>
      <c r="H38" s="14" t="n"/>
      <c r="I38" s="18">
        <f>IF($B38="","",IF(COUNTIF(C38:H38,"Yes")=6,"Yes","No"))</f>
        <v/>
      </c>
    </row>
    <row r="39">
      <c r="B39" s="18">
        <f>IF(Cadets!$B7="","",Cadets!$F7)</f>
        <v/>
      </c>
      <c r="C39" s="14" t="n"/>
      <c r="D39" s="14" t="n"/>
      <c r="E39" s="14" t="n"/>
      <c r="F39" s="14" t="n"/>
      <c r="G39" s="14" t="n"/>
      <c r="H39" s="14" t="n"/>
      <c r="I39" s="18">
        <f>IF($B39="","",IF(COUNTIF(C39:H39,"Yes")=6,"Yes","No"))</f>
        <v/>
      </c>
    </row>
    <row r="40">
      <c r="B40" s="18">
        <f>IF(Cadets!$B8="","",Cadets!$F8)</f>
        <v/>
      </c>
      <c r="C40" s="14" t="n"/>
      <c r="D40" s="14" t="n"/>
      <c r="E40" s="14" t="n"/>
      <c r="F40" s="14" t="n"/>
      <c r="G40" s="14" t="n"/>
      <c r="H40" s="14" t="n"/>
      <c r="I40" s="18">
        <f>IF($B40="","",IF(COUNTIF(C40:H40,"Yes")=6,"Yes","No"))</f>
        <v/>
      </c>
    </row>
    <row r="41">
      <c r="B41" s="18">
        <f>IF(Cadets!$B9="","",Cadets!$F9)</f>
        <v/>
      </c>
      <c r="C41" s="14" t="n"/>
      <c r="D41" s="14" t="n"/>
      <c r="E41" s="14" t="n"/>
      <c r="F41" s="14" t="n"/>
      <c r="G41" s="14" t="n"/>
      <c r="H41" s="14" t="n"/>
      <c r="I41" s="18">
        <f>IF($B41="","",IF(COUNTIF(C41:H41,"Yes")=6,"Yes","No"))</f>
        <v/>
      </c>
    </row>
    <row r="42">
      <c r="B42" s="18">
        <f>IF(Cadets!$B10="","",Cadets!$F10)</f>
        <v/>
      </c>
      <c r="C42" s="14" t="n"/>
      <c r="D42" s="14" t="n"/>
      <c r="E42" s="14" t="n"/>
      <c r="F42" s="14" t="n"/>
      <c r="G42" s="14" t="n"/>
      <c r="H42" s="14" t="n"/>
      <c r="I42" s="18">
        <f>IF($B42="","",IF(COUNTIF(C42:H42,"Yes")=6,"Yes","No"))</f>
        <v/>
      </c>
    </row>
    <row r="43">
      <c r="B43" s="18">
        <f>IF(Cadets!$B11="","",Cadets!$F11)</f>
        <v/>
      </c>
      <c r="C43" s="14" t="n"/>
      <c r="D43" s="14" t="n"/>
      <c r="E43" s="14" t="n"/>
      <c r="F43" s="14" t="n"/>
      <c r="G43" s="14" t="n"/>
      <c r="H43" s="14" t="n"/>
      <c r="I43" s="18">
        <f>IF($B43="","",IF(COUNTIF(C43:H43,"Yes")=6,"Yes","No"))</f>
        <v/>
      </c>
    </row>
    <row r="44">
      <c r="B44" s="18">
        <f>IF(Cadets!$B12="","",Cadets!$F12)</f>
        <v/>
      </c>
      <c r="C44" s="14" t="n"/>
      <c r="D44" s="14" t="n"/>
      <c r="E44" s="14" t="n"/>
      <c r="F44" s="14" t="n"/>
      <c r="G44" s="14" t="n"/>
      <c r="H44" s="14" t="n"/>
      <c r="I44" s="18">
        <f>IF($B44="","",IF(COUNTIF(C44:H44,"Yes")=6,"Yes","No"))</f>
        <v/>
      </c>
    </row>
    <row r="45">
      <c r="B45" s="18">
        <f>IF(Cadets!$B13="","",Cadets!$F13)</f>
        <v/>
      </c>
      <c r="C45" s="14" t="n"/>
      <c r="D45" s="14" t="n"/>
      <c r="E45" s="14" t="n"/>
      <c r="F45" s="14" t="n"/>
      <c r="G45" s="14" t="n"/>
      <c r="H45" s="14" t="n"/>
      <c r="I45" s="18">
        <f>IF($B45="","",IF(COUNTIF(C45:H45,"Yes")=6,"Yes","No"))</f>
        <v/>
      </c>
    </row>
    <row r="46">
      <c r="B46" s="18">
        <f>IF(Cadets!$B14="","",Cadets!$F14)</f>
        <v/>
      </c>
      <c r="C46" s="14" t="n"/>
      <c r="D46" s="14" t="n"/>
      <c r="E46" s="14" t="n"/>
      <c r="F46" s="14" t="n"/>
      <c r="G46" s="14" t="n"/>
      <c r="H46" s="14" t="n"/>
      <c r="I46" s="18">
        <f>IF($B46="","",IF(COUNTIF(C46:H46,"Yes")=6,"Yes","No"))</f>
        <v/>
      </c>
    </row>
    <row r="47">
      <c r="B47" s="18">
        <f>IF(Cadets!$B15="","",Cadets!$F15)</f>
        <v/>
      </c>
      <c r="C47" s="14" t="n"/>
      <c r="D47" s="14" t="n"/>
      <c r="E47" s="14" t="n"/>
      <c r="F47" s="14" t="n"/>
      <c r="G47" s="14" t="n"/>
      <c r="H47" s="14" t="n"/>
      <c r="I47" s="18">
        <f>IF($B47="","",IF(COUNTIF(C47:H47,"Yes")=6,"Yes","No"))</f>
        <v/>
      </c>
    </row>
    <row r="48">
      <c r="B48" s="18">
        <f>IF(Cadets!$B16="","",Cadets!$F16)</f>
        <v/>
      </c>
      <c r="C48" s="14" t="n"/>
      <c r="D48" s="14" t="n"/>
      <c r="E48" s="14" t="n"/>
      <c r="F48" s="14" t="n"/>
      <c r="G48" s="14" t="n"/>
      <c r="H48" s="14" t="n"/>
      <c r="I48" s="18">
        <f>IF($B48="","",IF(COUNTIF(C48:H48,"Yes")=6,"Yes","No"))</f>
        <v/>
      </c>
    </row>
    <row r="49">
      <c r="B49" s="18">
        <f>IF(Cadets!$B17="","",Cadets!$F17)</f>
        <v/>
      </c>
      <c r="C49" s="14" t="n"/>
      <c r="D49" s="14" t="n"/>
      <c r="E49" s="14" t="n"/>
      <c r="F49" s="14" t="n"/>
      <c r="G49" s="14" t="n"/>
      <c r="H49" s="14" t="n"/>
      <c r="I49" s="18">
        <f>IF($B49="","",IF(COUNTIF(C49:H49,"Yes")=6,"Yes","No"))</f>
        <v/>
      </c>
    </row>
    <row r="50">
      <c r="B50" s="18">
        <f>IF(Cadets!$B18="","",Cadets!$F18)</f>
        <v/>
      </c>
      <c r="C50" s="14" t="n"/>
      <c r="D50" s="14" t="n"/>
      <c r="E50" s="14" t="n"/>
      <c r="F50" s="14" t="n"/>
      <c r="G50" s="14" t="n"/>
      <c r="H50" s="14" t="n"/>
      <c r="I50" s="18">
        <f>IF($B50="","",IF(COUNTIF(C50:H50,"Yes")=6,"Yes","No"))</f>
        <v/>
      </c>
    </row>
    <row r="51">
      <c r="B51" s="18">
        <f>IF(Cadets!$B19="","",Cadets!$F19)</f>
        <v/>
      </c>
      <c r="C51" s="14" t="n"/>
      <c r="D51" s="14" t="n"/>
      <c r="E51" s="14" t="n"/>
      <c r="F51" s="14" t="n"/>
      <c r="G51" s="14" t="n"/>
      <c r="H51" s="14" t="n"/>
      <c r="I51" s="18">
        <f>IF($B51="","",IF(COUNTIF(C51:H51,"Yes")=6,"Yes","No"))</f>
        <v/>
      </c>
    </row>
    <row r="52">
      <c r="B52" s="18">
        <f>IF(Cadets!$B20="","",Cadets!$F20)</f>
        <v/>
      </c>
      <c r="C52" s="14" t="n"/>
      <c r="D52" s="14" t="n"/>
      <c r="E52" s="14" t="n"/>
      <c r="F52" s="14" t="n"/>
      <c r="G52" s="14" t="n"/>
      <c r="H52" s="14" t="n"/>
      <c r="I52" s="18">
        <f>IF($B52="","",IF(COUNTIF(C52:H52,"Yes")=6,"Yes","No"))</f>
        <v/>
      </c>
    </row>
    <row r="53">
      <c r="B53" s="18">
        <f>IF(Cadets!$B21="","",Cadets!$F21)</f>
        <v/>
      </c>
      <c r="C53" s="14" t="n"/>
      <c r="D53" s="14" t="n"/>
      <c r="E53" s="14" t="n"/>
      <c r="F53" s="14" t="n"/>
      <c r="G53" s="14" t="n"/>
      <c r="H53" s="14" t="n"/>
      <c r="I53" s="18">
        <f>IF($B53="","",IF(COUNTIF(C53:H53,"Yes")=6,"Yes","No"))</f>
        <v/>
      </c>
    </row>
    <row r="54">
      <c r="B54" s="18">
        <f>IF(Cadets!$B22="","",Cadets!$F22)</f>
        <v/>
      </c>
      <c r="C54" s="14" t="n"/>
      <c r="D54" s="14" t="n"/>
      <c r="E54" s="14" t="n"/>
      <c r="F54" s="14" t="n"/>
      <c r="G54" s="14" t="n"/>
      <c r="H54" s="14" t="n"/>
      <c r="I54" s="18">
        <f>IF($B54="","",IF(COUNTIF(C54:H54,"Yes")=6,"Yes","No"))</f>
        <v/>
      </c>
    </row>
    <row r="55">
      <c r="B55" s="18">
        <f>IF(Cadets!$B23="","",Cadets!$F23)</f>
        <v/>
      </c>
      <c r="C55" s="14" t="n"/>
      <c r="D55" s="14" t="n"/>
      <c r="E55" s="14" t="n"/>
      <c r="F55" s="14" t="n"/>
      <c r="G55" s="14" t="n"/>
      <c r="H55" s="14" t="n"/>
      <c r="I55" s="18">
        <f>IF($B55="","",IF(COUNTIF(C55:H55,"Yes")=6,"Yes","No"))</f>
        <v/>
      </c>
    </row>
    <row r="56">
      <c r="B56" s="18">
        <f>IF(Cadets!$B24="","",Cadets!$F24)</f>
        <v/>
      </c>
      <c r="C56" s="14" t="n"/>
      <c r="D56" s="14" t="n"/>
      <c r="E56" s="14" t="n"/>
      <c r="F56" s="14" t="n"/>
      <c r="G56" s="14" t="n"/>
      <c r="H56" s="14" t="n"/>
      <c r="I56" s="18">
        <f>IF($B56="","",IF(COUNTIF(C56:H56,"Yes")=6,"Yes","No"))</f>
        <v/>
      </c>
    </row>
    <row r="57">
      <c r="B57" s="18">
        <f>IF(Cadets!$B25="","",Cadets!$F25)</f>
        <v/>
      </c>
      <c r="C57" s="14" t="n"/>
      <c r="D57" s="14" t="n"/>
      <c r="E57" s="14" t="n"/>
      <c r="F57" s="14" t="n"/>
      <c r="G57" s="14" t="n"/>
      <c r="H57" s="14" t="n"/>
      <c r="I57" s="18">
        <f>IF($B57="","",IF(COUNTIF(C57:H57,"Yes")=6,"Yes","No"))</f>
        <v/>
      </c>
    </row>
    <row r="58">
      <c r="B58" s="18">
        <f>IF(Cadets!$B26="","",Cadets!$F26)</f>
        <v/>
      </c>
      <c r="C58" s="14" t="n"/>
      <c r="D58" s="14" t="n"/>
      <c r="E58" s="14" t="n"/>
      <c r="F58" s="14" t="n"/>
      <c r="G58" s="14" t="n"/>
      <c r="H58" s="14" t="n"/>
      <c r="I58" s="18">
        <f>IF($B58="","",IF(COUNTIF(C58:H58,"Yes")=6,"Yes","No"))</f>
        <v/>
      </c>
    </row>
    <row r="59">
      <c r="B59" s="18">
        <f>IF(Cadets!$B27="","",Cadets!$F27)</f>
        <v/>
      </c>
      <c r="C59" s="14" t="n"/>
      <c r="D59" s="14" t="n"/>
      <c r="E59" s="14" t="n"/>
      <c r="F59" s="14" t="n"/>
      <c r="G59" s="14" t="n"/>
      <c r="H59" s="14" t="n"/>
      <c r="I59" s="18">
        <f>IF($B59="","",IF(COUNTIF(C59:H59,"Yes")=6,"Yes","No"))</f>
        <v/>
      </c>
    </row>
    <row r="60">
      <c r="B60" s="18">
        <f>IF(Cadets!$B28="","",Cadets!$F28)</f>
        <v/>
      </c>
      <c r="C60" s="14" t="n"/>
      <c r="D60" s="14" t="n"/>
      <c r="E60" s="14" t="n"/>
      <c r="F60" s="14" t="n"/>
      <c r="G60" s="14" t="n"/>
      <c r="H60" s="14" t="n"/>
      <c r="I60" s="18">
        <f>IF($B60="","",IF(COUNTIF(C60:H60,"Yes")=6,"Yes","No"))</f>
        <v/>
      </c>
    </row>
    <row r="61">
      <c r="B61" s="18">
        <f>IF(Cadets!$B29="","",Cadets!$F29)</f>
        <v/>
      </c>
      <c r="C61" s="14" t="n"/>
      <c r="D61" s="14" t="n"/>
      <c r="E61" s="14" t="n"/>
      <c r="F61" s="14" t="n"/>
      <c r="G61" s="14" t="n"/>
      <c r="H61" s="14" t="n"/>
      <c r="I61" s="18">
        <f>IF($B61="","",IF(COUNTIF(C61:H61,"Yes")=6,"Yes","No"))</f>
        <v/>
      </c>
    </row>
    <row r="62">
      <c r="B62" s="18">
        <f>IF(Cadets!$B30="","",Cadets!$F30)</f>
        <v/>
      </c>
      <c r="C62" s="14" t="n"/>
      <c r="D62" s="14" t="n"/>
      <c r="E62" s="14" t="n"/>
      <c r="F62" s="14" t="n"/>
      <c r="G62" s="14" t="n"/>
      <c r="H62" s="14" t="n"/>
      <c r="I62" s="18">
        <f>IF($B62="","",IF(COUNTIF(C62:H62,"Yes")=6,"Yes","No"))</f>
        <v/>
      </c>
    </row>
    <row r="63">
      <c r="B63" s="18">
        <f>IF(Cadets!$B31="","",Cadets!$F31)</f>
        <v/>
      </c>
      <c r="C63" s="14" t="n"/>
      <c r="D63" s="14" t="n"/>
      <c r="E63" s="14" t="n"/>
      <c r="F63" s="14" t="n"/>
      <c r="G63" s="14" t="n"/>
      <c r="H63" s="14" t="n"/>
      <c r="I63" s="18">
        <f>IF($B63="","",IF(COUNTIF(C63:H63,"Yes")=6,"Yes","No"))</f>
        <v/>
      </c>
    </row>
    <row r="64">
      <c r="B64" s="18">
        <f>IF(Cadets!$B32="","",Cadets!$F32)</f>
        <v/>
      </c>
      <c r="C64" s="14" t="n"/>
      <c r="D64" s="14" t="n"/>
      <c r="E64" s="14" t="n"/>
      <c r="F64" s="14" t="n"/>
      <c r="G64" s="14" t="n"/>
      <c r="H64" s="14" t="n"/>
      <c r="I64" s="18">
        <f>IF($B64="","",IF(COUNTIF(C64:H64,"Yes")=6,"Yes","No"))</f>
        <v/>
      </c>
    </row>
    <row r="65">
      <c r="B65" s="18">
        <f>IF(Cadets!$B33="","",Cadets!$F33)</f>
        <v/>
      </c>
      <c r="C65" s="14" t="n"/>
      <c r="D65" s="14" t="n"/>
      <c r="E65" s="14" t="n"/>
      <c r="F65" s="14" t="n"/>
      <c r="G65" s="14" t="n"/>
      <c r="H65" s="14" t="n"/>
      <c r="I65" s="18">
        <f>IF($B65="","",IF(COUNTIF(C65:H65,"Yes")=6,"Yes","No"))</f>
        <v/>
      </c>
    </row>
    <row r="66">
      <c r="B66" s="18">
        <f>IF(Cadets!$B34="","",Cadets!$F34)</f>
        <v/>
      </c>
      <c r="C66" s="14" t="n"/>
      <c r="D66" s="14" t="n"/>
      <c r="E66" s="14" t="n"/>
      <c r="F66" s="14" t="n"/>
      <c r="G66" s="14" t="n"/>
      <c r="H66" s="14" t="n"/>
      <c r="I66" s="18">
        <f>IF($B66="","",IF(COUNTIF(C66:H66,"Yes")=6,"Yes","No"))</f>
        <v/>
      </c>
    </row>
    <row r="67">
      <c r="B67" s="18">
        <f>IF(Cadets!$B35="","",Cadets!$F35)</f>
        <v/>
      </c>
      <c r="C67" s="14" t="n"/>
      <c r="D67" s="14" t="n"/>
      <c r="E67" s="14" t="n"/>
      <c r="F67" s="14" t="n"/>
      <c r="G67" s="14" t="n"/>
      <c r="H67" s="14" t="n"/>
      <c r="I67" s="18">
        <f>IF($B67="","",IF(COUNTIF(C67:H67,"Yes")=6,"Yes","No"))</f>
        <v/>
      </c>
    </row>
    <row r="68">
      <c r="B68" s="18">
        <f>IF(Cadets!$B36="","",Cadets!$F36)</f>
        <v/>
      </c>
      <c r="C68" s="14" t="n"/>
      <c r="D68" s="14" t="n"/>
      <c r="E68" s="14" t="n"/>
      <c r="F68" s="14" t="n"/>
      <c r="G68" s="14" t="n"/>
      <c r="H68" s="14" t="n"/>
      <c r="I68" s="18">
        <f>IF($B68="","",IF(COUNTIF(C68:H68,"Yes")=6,"Yes","No"))</f>
        <v/>
      </c>
    </row>
    <row r="69">
      <c r="B69" s="18">
        <f>IF(Cadets!$B37="","",Cadets!$F37)</f>
        <v/>
      </c>
      <c r="C69" s="14" t="n"/>
      <c r="D69" s="14" t="n"/>
      <c r="E69" s="14" t="n"/>
      <c r="F69" s="14" t="n"/>
      <c r="G69" s="14" t="n"/>
      <c r="H69" s="14" t="n"/>
      <c r="I69" s="18">
        <f>IF($B69="","",IF(COUNTIF(C69:H69,"Yes")=6,"Yes","No"))</f>
        <v/>
      </c>
    </row>
    <row r="70">
      <c r="B70" s="18">
        <f>IF(Cadets!$B38="","",Cadets!$F38)</f>
        <v/>
      </c>
      <c r="C70" s="14" t="n"/>
      <c r="D70" s="14" t="n"/>
      <c r="E70" s="14" t="n"/>
      <c r="F70" s="14" t="n"/>
      <c r="G70" s="14" t="n"/>
      <c r="H70" s="14" t="n"/>
      <c r="I70" s="18">
        <f>IF($B70="","",IF(COUNTIF(C70:H70,"Yes")=6,"Yes","No"))</f>
        <v/>
      </c>
    </row>
    <row r="71">
      <c r="B71" s="18">
        <f>IF(Cadets!$B39="","",Cadets!$F39)</f>
        <v/>
      </c>
      <c r="C71" s="14" t="n"/>
      <c r="D71" s="14" t="n"/>
      <c r="E71" s="14" t="n"/>
      <c r="F71" s="14" t="n"/>
      <c r="G71" s="14" t="n"/>
      <c r="H71" s="14" t="n"/>
      <c r="I71" s="18">
        <f>IF($B71="","",IF(COUNTIF(C71:H71,"Yes")=6,"Yes","No"))</f>
        <v/>
      </c>
    </row>
    <row r="72">
      <c r="B72" s="18">
        <f>IF(Cadets!$B40="","",Cadets!$F40)</f>
        <v/>
      </c>
      <c r="C72" s="14" t="n"/>
      <c r="D72" s="14" t="n"/>
      <c r="E72" s="14" t="n"/>
      <c r="F72" s="14" t="n"/>
      <c r="G72" s="14" t="n"/>
      <c r="H72" s="14" t="n"/>
      <c r="I72" s="18">
        <f>IF($B72="","",IF(COUNTIF(C72:H72,"Yes")=6,"Yes","No"))</f>
        <v/>
      </c>
    </row>
    <row r="73">
      <c r="B73" s="18">
        <f>IF(Cadets!$B41="","",Cadets!$F41)</f>
        <v/>
      </c>
      <c r="C73" s="14" t="n"/>
      <c r="D73" s="14" t="n"/>
      <c r="E73" s="14" t="n"/>
      <c r="F73" s="14" t="n"/>
      <c r="G73" s="14" t="n"/>
      <c r="H73" s="14" t="n"/>
      <c r="I73" s="18">
        <f>IF($B73="","",IF(COUNTIF(C73:H73,"Yes")=6,"Yes","No"))</f>
        <v/>
      </c>
    </row>
    <row r="74">
      <c r="B74" s="18">
        <f>IF(Cadets!$B42="","",Cadets!$F42)</f>
        <v/>
      </c>
      <c r="C74" s="14" t="n"/>
      <c r="D74" s="14" t="n"/>
      <c r="E74" s="14" t="n"/>
      <c r="F74" s="14" t="n"/>
      <c r="G74" s="14" t="n"/>
      <c r="H74" s="14" t="n"/>
      <c r="I74" s="18">
        <f>IF($B74="","",IF(COUNTIF(C74:H74,"Yes")=6,"Yes","No"))</f>
        <v/>
      </c>
    </row>
    <row r="75">
      <c r="B75" s="18">
        <f>IF(Cadets!$B43="","",Cadets!$F43)</f>
        <v/>
      </c>
      <c r="C75" s="14" t="n"/>
      <c r="D75" s="14" t="n"/>
      <c r="E75" s="14" t="n"/>
      <c r="F75" s="14" t="n"/>
      <c r="G75" s="14" t="n"/>
      <c r="H75" s="14" t="n"/>
      <c r="I75" s="18">
        <f>IF($B75="","",IF(COUNTIF(C75:H75,"Yes")=6,"Yes","No"))</f>
        <v/>
      </c>
    </row>
    <row r="76">
      <c r="B76" s="18">
        <f>IF(Cadets!$B44="","",Cadets!$F44)</f>
        <v/>
      </c>
      <c r="C76" s="14" t="n"/>
      <c r="D76" s="14" t="n"/>
      <c r="E76" s="14" t="n"/>
      <c r="F76" s="14" t="n"/>
      <c r="G76" s="14" t="n"/>
      <c r="H76" s="14" t="n"/>
      <c r="I76" s="18">
        <f>IF($B76="","",IF(COUNTIF(C76:H76,"Yes")=6,"Yes","No"))</f>
        <v/>
      </c>
    </row>
    <row r="77">
      <c r="B77" s="18">
        <f>IF(Cadets!$B45="","",Cadets!$F45)</f>
        <v/>
      </c>
      <c r="C77" s="14" t="n"/>
      <c r="D77" s="14" t="n"/>
      <c r="E77" s="14" t="n"/>
      <c r="F77" s="14" t="n"/>
      <c r="G77" s="14" t="n"/>
      <c r="H77" s="14" t="n"/>
      <c r="I77" s="18">
        <f>IF($B77="","",IF(COUNTIF(C77:H77,"Yes")=6,"Yes","No"))</f>
        <v/>
      </c>
    </row>
    <row r="78">
      <c r="B78" s="18">
        <f>IF(Cadets!$B46="","",Cadets!$F46)</f>
        <v/>
      </c>
      <c r="C78" s="14" t="n"/>
      <c r="D78" s="14" t="n"/>
      <c r="E78" s="14" t="n"/>
      <c r="F78" s="14" t="n"/>
      <c r="G78" s="14" t="n"/>
      <c r="H78" s="14" t="n"/>
      <c r="I78" s="18">
        <f>IF($B78="","",IF(COUNTIF(C78:H78,"Yes")=6,"Yes","No"))</f>
        <v/>
      </c>
    </row>
    <row r="79">
      <c r="B79" s="18">
        <f>IF(Cadets!$B47="","",Cadets!$F47)</f>
        <v/>
      </c>
      <c r="C79" s="14" t="n"/>
      <c r="D79" s="14" t="n"/>
      <c r="E79" s="14" t="n"/>
      <c r="F79" s="14" t="n"/>
      <c r="G79" s="14" t="n"/>
      <c r="H79" s="14" t="n"/>
      <c r="I79" s="18">
        <f>IF($B79="","",IF(COUNTIF(C79:H79,"Yes")=6,"Yes","No"))</f>
        <v/>
      </c>
    </row>
    <row r="80">
      <c r="B80" s="18">
        <f>IF(Cadets!$B48="","",Cadets!$F48)</f>
        <v/>
      </c>
      <c r="C80" s="14" t="n"/>
      <c r="D80" s="14" t="n"/>
      <c r="E80" s="14" t="n"/>
      <c r="F80" s="14" t="n"/>
      <c r="G80" s="14" t="n"/>
      <c r="H80" s="14" t="n"/>
      <c r="I80" s="18">
        <f>IF($B80="","",IF(COUNTIF(C80:H80,"Yes")=6,"Yes","No"))</f>
        <v/>
      </c>
    </row>
    <row r="81">
      <c r="B81" s="18">
        <f>IF(Cadets!$B49="","",Cadets!$F49)</f>
        <v/>
      </c>
      <c r="C81" s="14" t="n"/>
      <c r="D81" s="14" t="n"/>
      <c r="E81" s="14" t="n"/>
      <c r="F81" s="14" t="n"/>
      <c r="G81" s="14" t="n"/>
      <c r="H81" s="14" t="n"/>
      <c r="I81" s="18">
        <f>IF($B81="","",IF(COUNTIF(C81:H81,"Yes")=6,"Yes","No"))</f>
        <v/>
      </c>
    </row>
    <row r="82">
      <c r="B82" s="18">
        <f>IF(Cadets!$B50="","",Cadets!$F50)</f>
        <v/>
      </c>
      <c r="C82" s="14" t="n"/>
      <c r="D82" s="14" t="n"/>
      <c r="E82" s="14" t="n"/>
      <c r="F82" s="14" t="n"/>
      <c r="G82" s="14" t="n"/>
      <c r="H82" s="14" t="n"/>
      <c r="I82" s="18">
        <f>IF($B82="","",IF(COUNTIF(C82:H82,"Yes")=6,"Yes","No"))</f>
        <v/>
      </c>
    </row>
    <row r="83">
      <c r="B83" s="18">
        <f>IF(Cadets!$B51="","",Cadets!$F51)</f>
        <v/>
      </c>
      <c r="C83" s="14" t="n"/>
      <c r="D83" s="14" t="n"/>
      <c r="E83" s="14" t="n"/>
      <c r="F83" s="14" t="n"/>
      <c r="G83" s="14" t="n"/>
      <c r="H83" s="14" t="n"/>
      <c r="I83" s="18">
        <f>IF($B83="","",IF(COUNTIF(C83:H83,"Yes")=6,"Yes","No"))</f>
        <v/>
      </c>
    </row>
    <row r="84">
      <c r="B84" s="18">
        <f>IF(Cadets!$B52="","",Cadets!$F52)</f>
        <v/>
      </c>
      <c r="C84" s="14" t="n"/>
      <c r="D84" s="14" t="n"/>
      <c r="E84" s="14" t="n"/>
      <c r="F84" s="14" t="n"/>
      <c r="G84" s="14" t="n"/>
      <c r="H84" s="14" t="n"/>
      <c r="I84" s="18">
        <f>IF($B84="","",IF(COUNTIF(C84:H84,"Yes")=6,"Yes","No"))</f>
        <v/>
      </c>
    </row>
    <row r="85">
      <c r="B85" s="18">
        <f>IF(Cadets!$B53="","",Cadets!$F53)</f>
        <v/>
      </c>
      <c r="C85" s="14" t="n"/>
      <c r="D85" s="14" t="n"/>
      <c r="E85" s="14" t="n"/>
      <c r="F85" s="14" t="n"/>
      <c r="G85" s="14" t="n"/>
      <c r="H85" s="14" t="n"/>
      <c r="I85" s="18">
        <f>IF($B85="","",IF(COUNTIF(C85:H85,"Yes")=6,"Yes","No"))</f>
        <v/>
      </c>
    </row>
    <row r="86">
      <c r="B86" s="18">
        <f>IF(Cadets!$B54="","",Cadets!$F54)</f>
        <v/>
      </c>
      <c r="C86" s="14" t="n"/>
      <c r="D86" s="14" t="n"/>
      <c r="E86" s="14" t="n"/>
      <c r="F86" s="14" t="n"/>
      <c r="G86" s="14" t="n"/>
      <c r="H86" s="14" t="n"/>
      <c r="I86" s="18">
        <f>IF($B86="","",IF(COUNTIF(C86:H86,"Yes")=6,"Yes","No"))</f>
        <v/>
      </c>
    </row>
    <row r="87">
      <c r="B87" s="18">
        <f>IF(Cadets!$B55="","",Cadets!$F55)</f>
        <v/>
      </c>
      <c r="C87" s="14" t="n"/>
      <c r="D87" s="14" t="n"/>
      <c r="E87" s="14" t="n"/>
      <c r="F87" s="14" t="n"/>
      <c r="G87" s="14" t="n"/>
      <c r="H87" s="14" t="n"/>
      <c r="I87" s="18">
        <f>IF($B87="","",IF(COUNTIF(C87:H87,"Yes")=6,"Yes","No"))</f>
        <v/>
      </c>
    </row>
  </sheetData>
  <mergeCells count="15">
    <mergeCell ref="B22:H22"/>
    <mergeCell ref="B26:E26"/>
    <mergeCell ref="B27:E27"/>
    <mergeCell ref="B31:E31"/>
    <mergeCell ref="B36:H36"/>
    <mergeCell ref="B21:H21"/>
    <mergeCell ref="B34:E34"/>
    <mergeCell ref="B30:E30"/>
    <mergeCell ref="B32:E32"/>
    <mergeCell ref="B29:E29"/>
    <mergeCell ref="B33:E33"/>
    <mergeCell ref="B7:H7"/>
    <mergeCell ref="B25:H25"/>
    <mergeCell ref="B28:E28"/>
    <mergeCell ref="B23:H23"/>
  </mergeCells>
  <conditionalFormatting sqref="E9:E19">
    <cfRule type="expression" priority="1" dxfId="0">
      <formula>AND($E9&lt;&gt;"OK",$E9&lt;&gt;"")</formula>
    </cfRule>
    <cfRule type="expression" priority="2" dxfId="1">
      <formula>$E9="OK"</formula>
    </cfRule>
  </conditionalFormatting>
  <conditionalFormatting sqref="F27:F34">
    <cfRule type="expression" priority="3" dxfId="0">
      <formula>AND($B27&lt;&gt;"",$F27&lt;&gt;"Yes",$F27&lt;&gt;"N/A")</formula>
    </cfRule>
  </conditionalFormatting>
  <conditionalFormatting sqref="I38:I87">
    <cfRule type="cellIs" priority="4" operator="equal" dxfId="1">
      <formula>"Yes"</formula>
    </cfRule>
    <cfRule type="cellIs" priority="5" operator="equal" dxfId="0">
      <formula>"No"</formula>
    </cfRule>
  </conditionalFormatting>
  <dataValidations count="2">
    <dataValidation sqref="F27:F34" showDropDown="0" showInputMessage="0" showErrorMessage="1" allowBlank="1" type="list">
      <formula1>"Yes,No,N/A"</formula1>
    </dataValidation>
    <dataValidation sqref="C38:H87"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row r="2"/>
    <row r="3"/>
    <row r="4">
      <c r="B4" s="8" t="inlineStr">
        <is>
          <t>Enter the date, print, collect signatures — this is the daily paper attendance record for the TCOLE file. Exceptions still go on the Attendance log.</t>
        </is>
      </c>
    </row>
    <row r="5">
      <c r="B5" s="10" t="inlineStr">
        <is>
          <t>Sign-in date:</t>
        </is>
      </c>
      <c r="C5" s="25" t="n"/>
      <c r="E5" s="10">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6" t="inlineStr">
        <is>
          <t>Instruction scheduled this date</t>
        </is>
      </c>
      <c r="C9" s="7" t="n"/>
      <c r="D9" s="7" t="n"/>
      <c r="E9" s="7" t="n"/>
      <c r="F9" s="7" t="n"/>
      <c r="G9" s="7" t="n"/>
      <c r="H9" s="7" t="n"/>
      <c r="I9" s="7"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6" t="inlineStr">
        <is>
          <t>Cadet sign-in</t>
        </is>
      </c>
      <c r="C19" s="7" t="n"/>
      <c r="D19" s="7" t="n"/>
      <c r="E19" s="7" t="n"/>
      <c r="F19" s="7" t="n"/>
      <c r="G19" s="7" t="n"/>
      <c r="H19" s="7" t="n"/>
      <c r="I19" s="7" t="n"/>
    </row>
    <row r="20" ht="26" customHeight="1">
      <c r="B20" s="9" t="inlineStr">
        <is>
          <t>#</t>
        </is>
      </c>
      <c r="C20" s="9" t="inlineStr">
        <is>
          <t>Cadet</t>
        </is>
      </c>
      <c r="D20" s="9" t="inlineStr">
        <is>
          <t>PID</t>
        </is>
      </c>
      <c r="E20" s="9" t="inlineStr">
        <is>
          <t>Agency</t>
        </is>
      </c>
      <c r="F20" s="9" t="inlineStr">
        <is>
          <t>AM Signature</t>
        </is>
      </c>
      <c r="G20" s="9" t="inlineStr">
        <is>
          <t>PM Signature</t>
        </is>
      </c>
      <c r="H20" s="9" t="inlineStr">
        <is>
          <t>Remarks</t>
        </is>
      </c>
    </row>
    <row r="21" ht="20" customHeight="1">
      <c r="B21" s="26">
        <f>IF(Cadets!$B6="","",ROW()-20)</f>
        <v/>
      </c>
      <c r="C21" s="27">
        <f>IF(Cadets!$B6="","",IF(Cadets!$I6&lt;&gt;"Active","",Cadets!$F6))</f>
        <v/>
      </c>
      <c r="D21" s="27">
        <f>IF(C21="","",Cadets!$B6)</f>
        <v/>
      </c>
      <c r="E21" s="27">
        <f>IF(C21="","",Cadets!$H6)</f>
        <v/>
      </c>
      <c r="F21" s="28" t="n"/>
      <c r="G21" s="28" t="n"/>
      <c r="H21" s="28" t="n"/>
    </row>
    <row r="22" ht="20" customHeight="1">
      <c r="B22" s="26">
        <f>IF(Cadets!$B7="","",ROW()-20)</f>
        <v/>
      </c>
      <c r="C22" s="27">
        <f>IF(Cadets!$B7="","",IF(Cadets!$I7&lt;&gt;"Active","",Cadets!$F7))</f>
        <v/>
      </c>
      <c r="D22" s="27">
        <f>IF(C22="","",Cadets!$B7)</f>
        <v/>
      </c>
      <c r="E22" s="27">
        <f>IF(C22="","",Cadets!$H7)</f>
        <v/>
      </c>
      <c r="F22" s="28" t="n"/>
      <c r="G22" s="28" t="n"/>
      <c r="H22" s="28" t="n"/>
    </row>
    <row r="23" ht="20" customHeight="1">
      <c r="B23" s="26">
        <f>IF(Cadets!$B8="","",ROW()-20)</f>
        <v/>
      </c>
      <c r="C23" s="27">
        <f>IF(Cadets!$B8="","",IF(Cadets!$I8&lt;&gt;"Active","",Cadets!$F8))</f>
        <v/>
      </c>
      <c r="D23" s="27">
        <f>IF(C23="","",Cadets!$B8)</f>
        <v/>
      </c>
      <c r="E23" s="27">
        <f>IF(C23="","",Cadets!$H8)</f>
        <v/>
      </c>
      <c r="F23" s="28" t="n"/>
      <c r="G23" s="28" t="n"/>
      <c r="H23" s="28" t="n"/>
    </row>
    <row r="24" ht="20" customHeight="1">
      <c r="B24" s="26">
        <f>IF(Cadets!$B9="","",ROW()-20)</f>
        <v/>
      </c>
      <c r="C24" s="27">
        <f>IF(Cadets!$B9="","",IF(Cadets!$I9&lt;&gt;"Active","",Cadets!$F9))</f>
        <v/>
      </c>
      <c r="D24" s="27">
        <f>IF(C24="","",Cadets!$B9)</f>
        <v/>
      </c>
      <c r="E24" s="27">
        <f>IF(C24="","",Cadets!$H9)</f>
        <v/>
      </c>
      <c r="F24" s="28" t="n"/>
      <c r="G24" s="28" t="n"/>
      <c r="H24" s="28" t="n"/>
    </row>
    <row r="25" ht="20" customHeight="1">
      <c r="B25" s="26">
        <f>IF(Cadets!$B10="","",ROW()-20)</f>
        <v/>
      </c>
      <c r="C25" s="27">
        <f>IF(Cadets!$B10="","",IF(Cadets!$I10&lt;&gt;"Active","",Cadets!$F10))</f>
        <v/>
      </c>
      <c r="D25" s="27">
        <f>IF(C25="","",Cadets!$B10)</f>
        <v/>
      </c>
      <c r="E25" s="27">
        <f>IF(C25="","",Cadets!$H10)</f>
        <v/>
      </c>
      <c r="F25" s="28" t="n"/>
      <c r="G25" s="28" t="n"/>
      <c r="H25" s="28" t="n"/>
    </row>
    <row r="26" ht="20" customHeight="1">
      <c r="B26" s="26">
        <f>IF(Cadets!$B11="","",ROW()-20)</f>
        <v/>
      </c>
      <c r="C26" s="27">
        <f>IF(Cadets!$B11="","",IF(Cadets!$I11&lt;&gt;"Active","",Cadets!$F11))</f>
        <v/>
      </c>
      <c r="D26" s="27">
        <f>IF(C26="","",Cadets!$B11)</f>
        <v/>
      </c>
      <c r="E26" s="27">
        <f>IF(C26="","",Cadets!$H11)</f>
        <v/>
      </c>
      <c r="F26" s="28" t="n"/>
      <c r="G26" s="28" t="n"/>
      <c r="H26" s="28" t="n"/>
    </row>
    <row r="27" ht="20" customHeight="1">
      <c r="B27" s="26">
        <f>IF(Cadets!$B12="","",ROW()-20)</f>
        <v/>
      </c>
      <c r="C27" s="27">
        <f>IF(Cadets!$B12="","",IF(Cadets!$I12&lt;&gt;"Active","",Cadets!$F12))</f>
        <v/>
      </c>
      <c r="D27" s="27">
        <f>IF(C27="","",Cadets!$B12)</f>
        <v/>
      </c>
      <c r="E27" s="27">
        <f>IF(C27="","",Cadets!$H12)</f>
        <v/>
      </c>
      <c r="F27" s="28" t="n"/>
      <c r="G27" s="28" t="n"/>
      <c r="H27" s="28" t="n"/>
    </row>
    <row r="28" ht="20" customHeight="1">
      <c r="B28" s="26">
        <f>IF(Cadets!$B13="","",ROW()-20)</f>
        <v/>
      </c>
      <c r="C28" s="27">
        <f>IF(Cadets!$B13="","",IF(Cadets!$I13&lt;&gt;"Active","",Cadets!$F13))</f>
        <v/>
      </c>
      <c r="D28" s="27">
        <f>IF(C28="","",Cadets!$B13)</f>
        <v/>
      </c>
      <c r="E28" s="27">
        <f>IF(C28="","",Cadets!$H13)</f>
        <v/>
      </c>
      <c r="F28" s="28" t="n"/>
      <c r="G28" s="28" t="n"/>
      <c r="H28" s="28" t="n"/>
    </row>
    <row r="29" ht="20" customHeight="1">
      <c r="B29" s="26">
        <f>IF(Cadets!$B14="","",ROW()-20)</f>
        <v/>
      </c>
      <c r="C29" s="27">
        <f>IF(Cadets!$B14="","",IF(Cadets!$I14&lt;&gt;"Active","",Cadets!$F14))</f>
        <v/>
      </c>
      <c r="D29" s="27">
        <f>IF(C29="","",Cadets!$B14)</f>
        <v/>
      </c>
      <c r="E29" s="27">
        <f>IF(C29="","",Cadets!$H14)</f>
        <v/>
      </c>
      <c r="F29" s="28" t="n"/>
      <c r="G29" s="28" t="n"/>
      <c r="H29" s="28" t="n"/>
    </row>
    <row r="30" ht="20" customHeight="1">
      <c r="B30" s="26">
        <f>IF(Cadets!$B15="","",ROW()-20)</f>
        <v/>
      </c>
      <c r="C30" s="27">
        <f>IF(Cadets!$B15="","",IF(Cadets!$I15&lt;&gt;"Active","",Cadets!$F15))</f>
        <v/>
      </c>
      <c r="D30" s="27">
        <f>IF(C30="","",Cadets!$B15)</f>
        <v/>
      </c>
      <c r="E30" s="27">
        <f>IF(C30="","",Cadets!$H15)</f>
        <v/>
      </c>
      <c r="F30" s="28" t="n"/>
      <c r="G30" s="28" t="n"/>
      <c r="H30" s="28" t="n"/>
    </row>
    <row r="31" ht="20" customHeight="1">
      <c r="B31" s="26">
        <f>IF(Cadets!$B16="","",ROW()-20)</f>
        <v/>
      </c>
      <c r="C31" s="27">
        <f>IF(Cadets!$B16="","",IF(Cadets!$I16&lt;&gt;"Active","",Cadets!$F16))</f>
        <v/>
      </c>
      <c r="D31" s="27">
        <f>IF(C31="","",Cadets!$B16)</f>
        <v/>
      </c>
      <c r="E31" s="27">
        <f>IF(C31="","",Cadets!$H16)</f>
        <v/>
      </c>
      <c r="F31" s="28" t="n"/>
      <c r="G31" s="28" t="n"/>
      <c r="H31" s="28" t="n"/>
    </row>
    <row r="32" ht="20" customHeight="1">
      <c r="B32" s="26">
        <f>IF(Cadets!$B17="","",ROW()-20)</f>
        <v/>
      </c>
      <c r="C32" s="27">
        <f>IF(Cadets!$B17="","",IF(Cadets!$I17&lt;&gt;"Active","",Cadets!$F17))</f>
        <v/>
      </c>
      <c r="D32" s="27">
        <f>IF(C32="","",Cadets!$B17)</f>
        <v/>
      </c>
      <c r="E32" s="27">
        <f>IF(C32="","",Cadets!$H17)</f>
        <v/>
      </c>
      <c r="F32" s="28" t="n"/>
      <c r="G32" s="28" t="n"/>
      <c r="H32" s="28" t="n"/>
    </row>
    <row r="33" ht="20" customHeight="1">
      <c r="B33" s="26">
        <f>IF(Cadets!$B18="","",ROW()-20)</f>
        <v/>
      </c>
      <c r="C33" s="27">
        <f>IF(Cadets!$B18="","",IF(Cadets!$I18&lt;&gt;"Active","",Cadets!$F18))</f>
        <v/>
      </c>
      <c r="D33" s="27">
        <f>IF(C33="","",Cadets!$B18)</f>
        <v/>
      </c>
      <c r="E33" s="27">
        <f>IF(C33="","",Cadets!$H18)</f>
        <v/>
      </c>
      <c r="F33" s="28" t="n"/>
      <c r="G33" s="28" t="n"/>
      <c r="H33" s="28" t="n"/>
    </row>
    <row r="34" ht="20" customHeight="1">
      <c r="B34" s="26">
        <f>IF(Cadets!$B19="","",ROW()-20)</f>
        <v/>
      </c>
      <c r="C34" s="27">
        <f>IF(Cadets!$B19="","",IF(Cadets!$I19&lt;&gt;"Active","",Cadets!$F19))</f>
        <v/>
      </c>
      <c r="D34" s="27">
        <f>IF(C34="","",Cadets!$B19)</f>
        <v/>
      </c>
      <c r="E34" s="27">
        <f>IF(C34="","",Cadets!$H19)</f>
        <v/>
      </c>
      <c r="F34" s="28" t="n"/>
      <c r="G34" s="28" t="n"/>
      <c r="H34" s="28" t="n"/>
    </row>
    <row r="35" ht="20" customHeight="1">
      <c r="B35" s="26">
        <f>IF(Cadets!$B20="","",ROW()-20)</f>
        <v/>
      </c>
      <c r="C35" s="27">
        <f>IF(Cadets!$B20="","",IF(Cadets!$I20&lt;&gt;"Active","",Cadets!$F20))</f>
        <v/>
      </c>
      <c r="D35" s="27">
        <f>IF(C35="","",Cadets!$B20)</f>
        <v/>
      </c>
      <c r="E35" s="27">
        <f>IF(C35="","",Cadets!$H20)</f>
        <v/>
      </c>
      <c r="F35" s="28" t="n"/>
      <c r="G35" s="28" t="n"/>
      <c r="H35" s="28" t="n"/>
    </row>
    <row r="36" ht="20" customHeight="1">
      <c r="B36" s="26">
        <f>IF(Cadets!$B21="","",ROW()-20)</f>
        <v/>
      </c>
      <c r="C36" s="27">
        <f>IF(Cadets!$B21="","",IF(Cadets!$I21&lt;&gt;"Active","",Cadets!$F21))</f>
        <v/>
      </c>
      <c r="D36" s="27">
        <f>IF(C36="","",Cadets!$B21)</f>
        <v/>
      </c>
      <c r="E36" s="27">
        <f>IF(C36="","",Cadets!$H21)</f>
        <v/>
      </c>
      <c r="F36" s="28" t="n"/>
      <c r="G36" s="28" t="n"/>
      <c r="H36" s="28" t="n"/>
    </row>
    <row r="37" ht="20" customHeight="1">
      <c r="B37" s="26">
        <f>IF(Cadets!$B22="","",ROW()-20)</f>
        <v/>
      </c>
      <c r="C37" s="27">
        <f>IF(Cadets!$B22="","",IF(Cadets!$I22&lt;&gt;"Active","",Cadets!$F22))</f>
        <v/>
      </c>
      <c r="D37" s="27">
        <f>IF(C37="","",Cadets!$B22)</f>
        <v/>
      </c>
      <c r="E37" s="27">
        <f>IF(C37="","",Cadets!$H22)</f>
        <v/>
      </c>
      <c r="F37" s="28" t="n"/>
      <c r="G37" s="28" t="n"/>
      <c r="H37" s="28" t="n"/>
    </row>
    <row r="38" ht="20" customHeight="1">
      <c r="B38" s="26">
        <f>IF(Cadets!$B23="","",ROW()-20)</f>
        <v/>
      </c>
      <c r="C38" s="27">
        <f>IF(Cadets!$B23="","",IF(Cadets!$I23&lt;&gt;"Active","",Cadets!$F23))</f>
        <v/>
      </c>
      <c r="D38" s="27">
        <f>IF(C38="","",Cadets!$B23)</f>
        <v/>
      </c>
      <c r="E38" s="27">
        <f>IF(C38="","",Cadets!$H23)</f>
        <v/>
      </c>
      <c r="F38" s="28" t="n"/>
      <c r="G38" s="28" t="n"/>
      <c r="H38" s="28" t="n"/>
    </row>
    <row r="39" ht="20" customHeight="1">
      <c r="B39" s="26">
        <f>IF(Cadets!$B24="","",ROW()-20)</f>
        <v/>
      </c>
      <c r="C39" s="27">
        <f>IF(Cadets!$B24="","",IF(Cadets!$I24&lt;&gt;"Active","",Cadets!$F24))</f>
        <v/>
      </c>
      <c r="D39" s="27">
        <f>IF(C39="","",Cadets!$B24)</f>
        <v/>
      </c>
      <c r="E39" s="27">
        <f>IF(C39="","",Cadets!$H24)</f>
        <v/>
      </c>
      <c r="F39" s="28" t="n"/>
      <c r="G39" s="28" t="n"/>
      <c r="H39" s="28" t="n"/>
    </row>
    <row r="40" ht="20" customHeight="1">
      <c r="B40" s="26">
        <f>IF(Cadets!$B25="","",ROW()-20)</f>
        <v/>
      </c>
      <c r="C40" s="27">
        <f>IF(Cadets!$B25="","",IF(Cadets!$I25&lt;&gt;"Active","",Cadets!$F25))</f>
        <v/>
      </c>
      <c r="D40" s="27">
        <f>IF(C40="","",Cadets!$B25)</f>
        <v/>
      </c>
      <c r="E40" s="27">
        <f>IF(C40="","",Cadets!$H25)</f>
        <v/>
      </c>
      <c r="F40" s="28" t="n"/>
      <c r="G40" s="28" t="n"/>
      <c r="H40" s="28" t="n"/>
    </row>
    <row r="41" ht="20" customHeight="1">
      <c r="B41" s="26">
        <f>IF(Cadets!$B26="","",ROW()-20)</f>
        <v/>
      </c>
      <c r="C41" s="27">
        <f>IF(Cadets!$B26="","",IF(Cadets!$I26&lt;&gt;"Active","",Cadets!$F26))</f>
        <v/>
      </c>
      <c r="D41" s="27">
        <f>IF(C41="","",Cadets!$B26)</f>
        <v/>
      </c>
      <c r="E41" s="27">
        <f>IF(C41="","",Cadets!$H26)</f>
        <v/>
      </c>
      <c r="F41" s="28" t="n"/>
      <c r="G41" s="28" t="n"/>
      <c r="H41" s="28" t="n"/>
    </row>
    <row r="42" ht="20" customHeight="1">
      <c r="B42" s="26">
        <f>IF(Cadets!$B27="","",ROW()-20)</f>
        <v/>
      </c>
      <c r="C42" s="27">
        <f>IF(Cadets!$B27="","",IF(Cadets!$I27&lt;&gt;"Active","",Cadets!$F27))</f>
        <v/>
      </c>
      <c r="D42" s="27">
        <f>IF(C42="","",Cadets!$B27)</f>
        <v/>
      </c>
      <c r="E42" s="27">
        <f>IF(C42="","",Cadets!$H27)</f>
        <v/>
      </c>
      <c r="F42" s="28" t="n"/>
      <c r="G42" s="28" t="n"/>
      <c r="H42" s="28" t="n"/>
    </row>
    <row r="43" ht="20" customHeight="1">
      <c r="B43" s="26">
        <f>IF(Cadets!$B28="","",ROW()-20)</f>
        <v/>
      </c>
      <c r="C43" s="27">
        <f>IF(Cadets!$B28="","",IF(Cadets!$I28&lt;&gt;"Active","",Cadets!$F28))</f>
        <v/>
      </c>
      <c r="D43" s="27">
        <f>IF(C43="","",Cadets!$B28)</f>
        <v/>
      </c>
      <c r="E43" s="27">
        <f>IF(C43="","",Cadets!$H28)</f>
        <v/>
      </c>
      <c r="F43" s="28" t="n"/>
      <c r="G43" s="28" t="n"/>
      <c r="H43" s="28" t="n"/>
    </row>
    <row r="44" ht="20" customHeight="1">
      <c r="B44" s="26">
        <f>IF(Cadets!$B29="","",ROW()-20)</f>
        <v/>
      </c>
      <c r="C44" s="27">
        <f>IF(Cadets!$B29="","",IF(Cadets!$I29&lt;&gt;"Active","",Cadets!$F29))</f>
        <v/>
      </c>
      <c r="D44" s="27">
        <f>IF(C44="","",Cadets!$B29)</f>
        <v/>
      </c>
      <c r="E44" s="27">
        <f>IF(C44="","",Cadets!$H29)</f>
        <v/>
      </c>
      <c r="F44" s="28" t="n"/>
      <c r="G44" s="28" t="n"/>
      <c r="H44" s="28" t="n"/>
    </row>
    <row r="45" ht="20" customHeight="1">
      <c r="B45" s="26">
        <f>IF(Cadets!$B30="","",ROW()-20)</f>
        <v/>
      </c>
      <c r="C45" s="27">
        <f>IF(Cadets!$B30="","",IF(Cadets!$I30&lt;&gt;"Active","",Cadets!$F30))</f>
        <v/>
      </c>
      <c r="D45" s="27">
        <f>IF(C45="","",Cadets!$B30)</f>
        <v/>
      </c>
      <c r="E45" s="27">
        <f>IF(C45="","",Cadets!$H30)</f>
        <v/>
      </c>
      <c r="F45" s="28" t="n"/>
      <c r="G45" s="28" t="n"/>
      <c r="H45" s="28" t="n"/>
    </row>
    <row r="46" ht="20" customHeight="1">
      <c r="B46" s="26">
        <f>IF(Cadets!$B31="","",ROW()-20)</f>
        <v/>
      </c>
      <c r="C46" s="27">
        <f>IF(Cadets!$B31="","",IF(Cadets!$I31&lt;&gt;"Active","",Cadets!$F31))</f>
        <v/>
      </c>
      <c r="D46" s="27">
        <f>IF(C46="","",Cadets!$B31)</f>
        <v/>
      </c>
      <c r="E46" s="27">
        <f>IF(C46="","",Cadets!$H31)</f>
        <v/>
      </c>
      <c r="F46" s="28" t="n"/>
      <c r="G46" s="28" t="n"/>
      <c r="H46" s="28" t="n"/>
    </row>
    <row r="47" ht="20" customHeight="1">
      <c r="B47" s="26">
        <f>IF(Cadets!$B32="","",ROW()-20)</f>
        <v/>
      </c>
      <c r="C47" s="27">
        <f>IF(Cadets!$B32="","",IF(Cadets!$I32&lt;&gt;"Active","",Cadets!$F32))</f>
        <v/>
      </c>
      <c r="D47" s="27">
        <f>IF(C47="","",Cadets!$B32)</f>
        <v/>
      </c>
      <c r="E47" s="27">
        <f>IF(C47="","",Cadets!$H32)</f>
        <v/>
      </c>
      <c r="F47" s="28" t="n"/>
      <c r="G47" s="28" t="n"/>
      <c r="H47" s="28" t="n"/>
    </row>
    <row r="48" ht="20" customHeight="1">
      <c r="B48" s="26">
        <f>IF(Cadets!$B33="","",ROW()-20)</f>
        <v/>
      </c>
      <c r="C48" s="27">
        <f>IF(Cadets!$B33="","",IF(Cadets!$I33&lt;&gt;"Active","",Cadets!$F33))</f>
        <v/>
      </c>
      <c r="D48" s="27">
        <f>IF(C48="","",Cadets!$B33)</f>
        <v/>
      </c>
      <c r="E48" s="27">
        <f>IF(C48="","",Cadets!$H33)</f>
        <v/>
      </c>
      <c r="F48" s="28" t="n"/>
      <c r="G48" s="28" t="n"/>
      <c r="H48" s="28" t="n"/>
    </row>
    <row r="49" ht="20" customHeight="1">
      <c r="B49" s="26">
        <f>IF(Cadets!$B34="","",ROW()-20)</f>
        <v/>
      </c>
      <c r="C49" s="27">
        <f>IF(Cadets!$B34="","",IF(Cadets!$I34&lt;&gt;"Active","",Cadets!$F34))</f>
        <v/>
      </c>
      <c r="D49" s="27">
        <f>IF(C49="","",Cadets!$B34)</f>
        <v/>
      </c>
      <c r="E49" s="27">
        <f>IF(C49="","",Cadets!$H34)</f>
        <v/>
      </c>
      <c r="F49" s="28" t="n"/>
      <c r="G49" s="28" t="n"/>
      <c r="H49" s="28" t="n"/>
    </row>
    <row r="50" ht="20" customHeight="1">
      <c r="B50" s="26">
        <f>IF(Cadets!$B35="","",ROW()-20)</f>
        <v/>
      </c>
      <c r="C50" s="27">
        <f>IF(Cadets!$B35="","",IF(Cadets!$I35&lt;&gt;"Active","",Cadets!$F35))</f>
        <v/>
      </c>
      <c r="D50" s="27">
        <f>IF(C50="","",Cadets!$B35)</f>
        <v/>
      </c>
      <c r="E50" s="27">
        <f>IF(C50="","",Cadets!$H35)</f>
        <v/>
      </c>
      <c r="F50" s="28" t="n"/>
      <c r="G50" s="28" t="n"/>
      <c r="H50" s="28" t="n"/>
    </row>
    <row r="51" ht="20" customHeight="1">
      <c r="B51" s="26">
        <f>IF(Cadets!$B36="","",ROW()-20)</f>
        <v/>
      </c>
      <c r="C51" s="27">
        <f>IF(Cadets!$B36="","",IF(Cadets!$I36&lt;&gt;"Active","",Cadets!$F36))</f>
        <v/>
      </c>
      <c r="D51" s="27">
        <f>IF(C51="","",Cadets!$B36)</f>
        <v/>
      </c>
      <c r="E51" s="27">
        <f>IF(C51="","",Cadets!$H36)</f>
        <v/>
      </c>
      <c r="F51" s="28" t="n"/>
      <c r="G51" s="28" t="n"/>
      <c r="H51" s="28" t="n"/>
    </row>
    <row r="52" ht="20" customHeight="1">
      <c r="B52" s="26">
        <f>IF(Cadets!$B37="","",ROW()-20)</f>
        <v/>
      </c>
      <c r="C52" s="27">
        <f>IF(Cadets!$B37="","",IF(Cadets!$I37&lt;&gt;"Active","",Cadets!$F37))</f>
        <v/>
      </c>
      <c r="D52" s="27">
        <f>IF(C52="","",Cadets!$B37)</f>
        <v/>
      </c>
      <c r="E52" s="27">
        <f>IF(C52="","",Cadets!$H37)</f>
        <v/>
      </c>
      <c r="F52" s="28" t="n"/>
      <c r="G52" s="28" t="n"/>
      <c r="H52" s="28" t="n"/>
    </row>
    <row r="53" ht="20" customHeight="1">
      <c r="B53" s="26">
        <f>IF(Cadets!$B38="","",ROW()-20)</f>
        <v/>
      </c>
      <c r="C53" s="27">
        <f>IF(Cadets!$B38="","",IF(Cadets!$I38&lt;&gt;"Active","",Cadets!$F38))</f>
        <v/>
      </c>
      <c r="D53" s="27">
        <f>IF(C53="","",Cadets!$B38)</f>
        <v/>
      </c>
      <c r="E53" s="27">
        <f>IF(C53="","",Cadets!$H38)</f>
        <v/>
      </c>
      <c r="F53" s="28" t="n"/>
      <c r="G53" s="28" t="n"/>
      <c r="H53" s="28" t="n"/>
    </row>
    <row r="54" ht="20" customHeight="1">
      <c r="B54" s="26">
        <f>IF(Cadets!$B39="","",ROW()-20)</f>
        <v/>
      </c>
      <c r="C54" s="27">
        <f>IF(Cadets!$B39="","",IF(Cadets!$I39&lt;&gt;"Active","",Cadets!$F39))</f>
        <v/>
      </c>
      <c r="D54" s="27">
        <f>IF(C54="","",Cadets!$B39)</f>
        <v/>
      </c>
      <c r="E54" s="27">
        <f>IF(C54="","",Cadets!$H39)</f>
        <v/>
      </c>
      <c r="F54" s="28" t="n"/>
      <c r="G54" s="28" t="n"/>
      <c r="H54" s="28" t="n"/>
    </row>
    <row r="55" ht="20" customHeight="1">
      <c r="B55" s="26">
        <f>IF(Cadets!$B40="","",ROW()-20)</f>
        <v/>
      </c>
      <c r="C55" s="27">
        <f>IF(Cadets!$B40="","",IF(Cadets!$I40&lt;&gt;"Active","",Cadets!$F40))</f>
        <v/>
      </c>
      <c r="D55" s="27">
        <f>IF(C55="","",Cadets!$B40)</f>
        <v/>
      </c>
      <c r="E55" s="27">
        <f>IF(C55="","",Cadets!$H40)</f>
        <v/>
      </c>
      <c r="F55" s="28" t="n"/>
      <c r="G55" s="28" t="n"/>
      <c r="H55" s="28" t="n"/>
    </row>
    <row r="56" ht="20" customHeight="1">
      <c r="B56" s="26">
        <f>IF(Cadets!$B41="","",ROW()-20)</f>
        <v/>
      </c>
      <c r="C56" s="27">
        <f>IF(Cadets!$B41="","",IF(Cadets!$I41&lt;&gt;"Active","",Cadets!$F41))</f>
        <v/>
      </c>
      <c r="D56" s="27">
        <f>IF(C56="","",Cadets!$B41)</f>
        <v/>
      </c>
      <c r="E56" s="27">
        <f>IF(C56="","",Cadets!$H41)</f>
        <v/>
      </c>
      <c r="F56" s="28" t="n"/>
      <c r="G56" s="28" t="n"/>
      <c r="H56" s="28" t="n"/>
    </row>
    <row r="57" ht="20" customHeight="1">
      <c r="B57" s="26">
        <f>IF(Cadets!$B42="","",ROW()-20)</f>
        <v/>
      </c>
      <c r="C57" s="27">
        <f>IF(Cadets!$B42="","",IF(Cadets!$I42&lt;&gt;"Active","",Cadets!$F42))</f>
        <v/>
      </c>
      <c r="D57" s="27">
        <f>IF(C57="","",Cadets!$B42)</f>
        <v/>
      </c>
      <c r="E57" s="27">
        <f>IF(C57="","",Cadets!$H42)</f>
        <v/>
      </c>
      <c r="F57" s="28" t="n"/>
      <c r="G57" s="28" t="n"/>
      <c r="H57" s="28" t="n"/>
    </row>
    <row r="58" ht="20" customHeight="1">
      <c r="B58" s="26">
        <f>IF(Cadets!$B43="","",ROW()-20)</f>
        <v/>
      </c>
      <c r="C58" s="27">
        <f>IF(Cadets!$B43="","",IF(Cadets!$I43&lt;&gt;"Active","",Cadets!$F43))</f>
        <v/>
      </c>
      <c r="D58" s="27">
        <f>IF(C58="","",Cadets!$B43)</f>
        <v/>
      </c>
      <c r="E58" s="27">
        <f>IF(C58="","",Cadets!$H43)</f>
        <v/>
      </c>
      <c r="F58" s="28" t="n"/>
      <c r="G58" s="28" t="n"/>
      <c r="H58" s="28" t="n"/>
    </row>
    <row r="59" ht="20" customHeight="1">
      <c r="B59" s="26">
        <f>IF(Cadets!$B44="","",ROW()-20)</f>
        <v/>
      </c>
      <c r="C59" s="27">
        <f>IF(Cadets!$B44="","",IF(Cadets!$I44&lt;&gt;"Active","",Cadets!$F44))</f>
        <v/>
      </c>
      <c r="D59" s="27">
        <f>IF(C59="","",Cadets!$B44)</f>
        <v/>
      </c>
      <c r="E59" s="27">
        <f>IF(C59="","",Cadets!$H44)</f>
        <v/>
      </c>
      <c r="F59" s="28" t="n"/>
      <c r="G59" s="28" t="n"/>
      <c r="H59" s="28" t="n"/>
    </row>
    <row r="60" ht="20" customHeight="1">
      <c r="B60" s="26">
        <f>IF(Cadets!$B45="","",ROW()-20)</f>
        <v/>
      </c>
      <c r="C60" s="27">
        <f>IF(Cadets!$B45="","",IF(Cadets!$I45&lt;&gt;"Active","",Cadets!$F45))</f>
        <v/>
      </c>
      <c r="D60" s="27">
        <f>IF(C60="","",Cadets!$B45)</f>
        <v/>
      </c>
      <c r="E60" s="27">
        <f>IF(C60="","",Cadets!$H45)</f>
        <v/>
      </c>
      <c r="F60" s="28" t="n"/>
      <c r="G60" s="28" t="n"/>
      <c r="H60" s="28" t="n"/>
    </row>
    <row r="61" ht="20" customHeight="1">
      <c r="B61" s="26">
        <f>IF(Cadets!$B46="","",ROW()-20)</f>
        <v/>
      </c>
      <c r="C61" s="27">
        <f>IF(Cadets!$B46="","",IF(Cadets!$I46&lt;&gt;"Active","",Cadets!$F46))</f>
        <v/>
      </c>
      <c r="D61" s="27">
        <f>IF(C61="","",Cadets!$B46)</f>
        <v/>
      </c>
      <c r="E61" s="27">
        <f>IF(C61="","",Cadets!$H46)</f>
        <v/>
      </c>
      <c r="F61" s="28" t="n"/>
      <c r="G61" s="28" t="n"/>
      <c r="H61" s="28" t="n"/>
    </row>
    <row r="62" ht="20" customHeight="1">
      <c r="B62" s="26">
        <f>IF(Cadets!$B47="","",ROW()-20)</f>
        <v/>
      </c>
      <c r="C62" s="27">
        <f>IF(Cadets!$B47="","",IF(Cadets!$I47&lt;&gt;"Active","",Cadets!$F47))</f>
        <v/>
      </c>
      <c r="D62" s="27">
        <f>IF(C62="","",Cadets!$B47)</f>
        <v/>
      </c>
      <c r="E62" s="27">
        <f>IF(C62="","",Cadets!$H47)</f>
        <v/>
      </c>
      <c r="F62" s="28" t="n"/>
      <c r="G62" s="28" t="n"/>
      <c r="H62" s="28" t="n"/>
    </row>
    <row r="63" ht="20" customHeight="1">
      <c r="B63" s="26">
        <f>IF(Cadets!$B48="","",ROW()-20)</f>
        <v/>
      </c>
      <c r="C63" s="27">
        <f>IF(Cadets!$B48="","",IF(Cadets!$I48&lt;&gt;"Active","",Cadets!$F48))</f>
        <v/>
      </c>
      <c r="D63" s="27">
        <f>IF(C63="","",Cadets!$B48)</f>
        <v/>
      </c>
      <c r="E63" s="27">
        <f>IF(C63="","",Cadets!$H48)</f>
        <v/>
      </c>
      <c r="F63" s="28" t="n"/>
      <c r="G63" s="28" t="n"/>
      <c r="H63" s="28" t="n"/>
    </row>
    <row r="64" ht="20" customHeight="1">
      <c r="B64" s="26">
        <f>IF(Cadets!$B49="","",ROW()-20)</f>
        <v/>
      </c>
      <c r="C64" s="27">
        <f>IF(Cadets!$B49="","",IF(Cadets!$I49&lt;&gt;"Active","",Cadets!$F49))</f>
        <v/>
      </c>
      <c r="D64" s="27">
        <f>IF(C64="","",Cadets!$B49)</f>
        <v/>
      </c>
      <c r="E64" s="27">
        <f>IF(C64="","",Cadets!$H49)</f>
        <v/>
      </c>
      <c r="F64" s="28" t="n"/>
      <c r="G64" s="28" t="n"/>
      <c r="H64" s="28" t="n"/>
    </row>
    <row r="65" ht="20" customHeight="1">
      <c r="B65" s="26">
        <f>IF(Cadets!$B50="","",ROW()-20)</f>
        <v/>
      </c>
      <c r="C65" s="27">
        <f>IF(Cadets!$B50="","",IF(Cadets!$I50&lt;&gt;"Active","",Cadets!$F50))</f>
        <v/>
      </c>
      <c r="D65" s="27">
        <f>IF(C65="","",Cadets!$B50)</f>
        <v/>
      </c>
      <c r="E65" s="27">
        <f>IF(C65="","",Cadets!$H50)</f>
        <v/>
      </c>
      <c r="F65" s="28" t="n"/>
      <c r="G65" s="28" t="n"/>
      <c r="H65" s="28" t="n"/>
    </row>
    <row r="66" ht="20" customHeight="1">
      <c r="B66" s="26">
        <f>IF(Cadets!$B51="","",ROW()-20)</f>
        <v/>
      </c>
      <c r="C66" s="27">
        <f>IF(Cadets!$B51="","",IF(Cadets!$I51&lt;&gt;"Active","",Cadets!$F51))</f>
        <v/>
      </c>
      <c r="D66" s="27">
        <f>IF(C66="","",Cadets!$B51)</f>
        <v/>
      </c>
      <c r="E66" s="27">
        <f>IF(C66="","",Cadets!$H51)</f>
        <v/>
      </c>
      <c r="F66" s="28" t="n"/>
      <c r="G66" s="28" t="n"/>
      <c r="H66" s="28" t="n"/>
    </row>
    <row r="67" ht="20" customHeight="1">
      <c r="B67" s="26">
        <f>IF(Cadets!$B52="","",ROW()-20)</f>
        <v/>
      </c>
      <c r="C67" s="27">
        <f>IF(Cadets!$B52="","",IF(Cadets!$I52&lt;&gt;"Active","",Cadets!$F52))</f>
        <v/>
      </c>
      <c r="D67" s="27">
        <f>IF(C67="","",Cadets!$B52)</f>
        <v/>
      </c>
      <c r="E67" s="27">
        <f>IF(C67="","",Cadets!$H52)</f>
        <v/>
      </c>
      <c r="F67" s="28" t="n"/>
      <c r="G67" s="28" t="n"/>
      <c r="H67" s="28" t="n"/>
    </row>
    <row r="68" ht="20" customHeight="1">
      <c r="B68" s="26">
        <f>IF(Cadets!$B53="","",ROW()-20)</f>
        <v/>
      </c>
      <c r="C68" s="27">
        <f>IF(Cadets!$B53="","",IF(Cadets!$I53&lt;&gt;"Active","",Cadets!$F53))</f>
        <v/>
      </c>
      <c r="D68" s="27">
        <f>IF(C68="","",Cadets!$B53)</f>
        <v/>
      </c>
      <c r="E68" s="27">
        <f>IF(C68="","",Cadets!$H53)</f>
        <v/>
      </c>
      <c r="F68" s="28" t="n"/>
      <c r="G68" s="28" t="n"/>
      <c r="H68" s="28" t="n"/>
    </row>
    <row r="69" ht="20" customHeight="1">
      <c r="B69" s="26">
        <f>IF(Cadets!$B54="","",ROW()-20)</f>
        <v/>
      </c>
      <c r="C69" s="27">
        <f>IF(Cadets!$B54="","",IF(Cadets!$I54&lt;&gt;"Active","",Cadets!$F54))</f>
        <v/>
      </c>
      <c r="D69" s="27">
        <f>IF(C69="","",Cadets!$B54)</f>
        <v/>
      </c>
      <c r="E69" s="27">
        <f>IF(C69="","",Cadets!$H54)</f>
        <v/>
      </c>
      <c r="F69" s="28" t="n"/>
      <c r="G69" s="28" t="n"/>
      <c r="H69" s="28" t="n"/>
    </row>
    <row r="70" ht="20" customHeight="1">
      <c r="B70" s="26">
        <f>IF(Cadets!$B55="","",ROW()-20)</f>
        <v/>
      </c>
      <c r="C70" s="27">
        <f>IF(Cadets!$B55="","",IF(Cadets!$I55&lt;&gt;"Active","",Cadets!$F55))</f>
        <v/>
      </c>
      <c r="D70" s="27">
        <f>IF(C70="","",Cadets!$B55)</f>
        <v/>
      </c>
      <c r="E70" s="27">
        <f>IF(C70="","",Cadets!$H55)</f>
        <v/>
      </c>
      <c r="F70" s="28" t="n"/>
      <c r="G70" s="28" t="n"/>
      <c r="H70" s="28" t="n"/>
    </row>
    <row r="71"/>
    <row r="72">
      <c r="B72" s="12"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row r="2"/>
    <row r="3"/>
    <row r="4">
      <c r="B4" s="8" t="inlineStr">
        <is>
          <t>Modernized replica of the existing critique form. Pick a chapter — course, instructor and dates fill from the schedule. Print one per cadet (Print Center does stacks).</t>
        </is>
      </c>
    </row>
    <row r="5">
      <c r="B5" s="10" t="inlineStr">
        <is>
          <t>Chapter:</t>
        </is>
      </c>
      <c r="C5" s="2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10" t="inlineStr">
        <is>
          <t>CLASS EVALUATION AND ASSESSMENT</t>
        </is>
      </c>
    </row>
    <row r="11">
      <c r="B11" s="2" t="inlineStr">
        <is>
          <t>Check the appropriate box — 1 (lowest) to 5 (highest) — for each question.</t>
        </is>
      </c>
    </row>
    <row r="12"/>
    <row r="13">
      <c r="B13" s="10" t="inlineStr">
        <is>
          <t>Course</t>
        </is>
      </c>
      <c r="C13" s="12">
        <f>cfgAcademyClass&amp;" — Ch. "&amp;cfgEvalChapter&amp;" "&amp;IFERROR(_xlfn.XLOOKUP(cfgEvalChapter,nrCHnum,nrCHname),"")</f>
        <v/>
      </c>
    </row>
    <row r="14">
      <c r="B14" s="10" t="inlineStr">
        <is>
          <t>Instructor</t>
        </is>
      </c>
      <c r="C14" s="12">
        <f>IFERROR(_xlfn.XLOOKUP(cfgEvalChapter,nrCHnum,nrCHinstr),"")</f>
        <v/>
      </c>
      <c r="F14" s="10" t="inlineStr">
        <is>
          <t>Date(s)</t>
        </is>
      </c>
      <c r="G14" s="12">
        <f>IFERROR(TEXT(_xlfn.XLOOKUP(cfgEvalChapter,nrCHnum,nrCHfirst),"mm/dd")&amp;" – "&amp;TEXT(_xlfn.MAXIFS(nrSCH_Date,nrSCH_ChNum,cfgEvalChapter),"mm/dd/yyyy"),"")</f>
        <v/>
      </c>
    </row>
    <row r="15"/>
    <row r="16" ht="26" customHeight="1">
      <c r="B16" s="9" t="inlineStr">
        <is>
          <t>#</t>
        </is>
      </c>
      <c r="C16" s="9" t="inlineStr">
        <is>
          <t>Question</t>
        </is>
      </c>
      <c r="D16" s="9" t="inlineStr">
        <is>
          <t>1</t>
        </is>
      </c>
      <c r="E16" s="9" t="inlineStr">
        <is>
          <t>2</t>
        </is>
      </c>
      <c r="F16" s="9" t="inlineStr">
        <is>
          <t>3</t>
        </is>
      </c>
      <c r="G16" s="9" t="inlineStr">
        <is>
          <t>4</t>
        </is>
      </c>
      <c r="H16" s="9" t="inlineStr">
        <is>
          <t>5</t>
        </is>
      </c>
    </row>
    <row r="17" ht="26" customHeight="1">
      <c r="B17" s="27" t="n">
        <v>1</v>
      </c>
      <c r="C17" s="29" t="inlineStr">
        <is>
          <t>Were the goals and objectives for the course provided at the beginning of the class?</t>
        </is>
      </c>
      <c r="D17" s="28" t="n"/>
      <c r="E17" s="28" t="n"/>
      <c r="F17" s="28" t="n"/>
      <c r="G17" s="28" t="n"/>
      <c r="H17" s="28" t="n"/>
    </row>
    <row r="18" ht="26" customHeight="1">
      <c r="B18" s="27" t="n">
        <v>2</v>
      </c>
      <c r="C18" s="29" t="inlineStr">
        <is>
          <t>Was the material presented in a logical order?</t>
        </is>
      </c>
      <c r="D18" s="28" t="n"/>
      <c r="E18" s="28" t="n"/>
      <c r="F18" s="28" t="n"/>
      <c r="G18" s="28" t="n"/>
      <c r="H18" s="28" t="n"/>
    </row>
    <row r="19" ht="26" customHeight="1">
      <c r="B19" s="27" t="n">
        <v>3</v>
      </c>
      <c r="C19" s="29" t="inlineStr">
        <is>
          <t>Was the course related to your job needs?</t>
        </is>
      </c>
      <c r="D19" s="28" t="n"/>
      <c r="E19" s="28" t="n"/>
      <c r="F19" s="28" t="n"/>
      <c r="G19" s="28" t="n"/>
      <c r="H19" s="28" t="n"/>
    </row>
    <row r="20" ht="26" customHeight="1">
      <c r="B20" s="27" t="n">
        <v>4</v>
      </c>
      <c r="C20" s="29" t="inlineStr">
        <is>
          <t>Were real-life examples or situations used to relate the material?</t>
        </is>
      </c>
      <c r="D20" s="28" t="n"/>
      <c r="E20" s="28" t="n"/>
      <c r="F20" s="28" t="n"/>
      <c r="G20" s="28" t="n"/>
      <c r="H20" s="28" t="n"/>
    </row>
    <row r="21" ht="26" customHeight="1">
      <c r="B21" s="27" t="n">
        <v>5</v>
      </c>
      <c r="C21" s="29" t="inlineStr">
        <is>
          <t>Will this course improve your job performance?</t>
        </is>
      </c>
      <c r="D21" s="28" t="n"/>
      <c r="E21" s="28" t="n"/>
      <c r="F21" s="28" t="n"/>
      <c r="G21" s="28" t="n"/>
      <c r="H21" s="28" t="n"/>
    </row>
    <row r="22" ht="26" customHeight="1">
      <c r="B22" s="27" t="n">
        <v>6</v>
      </c>
      <c r="C22" s="29" t="inlineStr">
        <is>
          <t>Were the teaching aids, demonstrations, and handout materials of adequate quality?</t>
        </is>
      </c>
      <c r="D22" s="28" t="n"/>
      <c r="E22" s="28" t="n"/>
      <c r="F22" s="28" t="n"/>
      <c r="G22" s="28" t="n"/>
      <c r="H22" s="28" t="n"/>
    </row>
    <row r="23" ht="26" customHeight="1">
      <c r="B23" s="27" t="n">
        <v>7</v>
      </c>
      <c r="C23" s="29" t="inlineStr">
        <is>
          <t>Was the instructor knowledgeable about the course material?</t>
        </is>
      </c>
      <c r="D23" s="28" t="n"/>
      <c r="E23" s="28" t="n"/>
      <c r="F23" s="28" t="n"/>
      <c r="G23" s="28" t="n"/>
      <c r="H23" s="28" t="n"/>
    </row>
    <row r="24" ht="26" customHeight="1">
      <c r="B24" s="27" t="n">
        <v>8</v>
      </c>
      <c r="C24" s="29" t="inlineStr">
        <is>
          <t>Did the instructor present the information in a clear and understandable way?</t>
        </is>
      </c>
      <c r="D24" s="28" t="n"/>
      <c r="E24" s="28" t="n"/>
      <c r="F24" s="28" t="n"/>
      <c r="G24" s="28" t="n"/>
      <c r="H24" s="28" t="n"/>
    </row>
    <row r="25" ht="26" customHeight="1">
      <c r="B25" s="27" t="n">
        <v>9</v>
      </c>
      <c r="C25" s="29" t="inlineStr">
        <is>
          <t>Did the instructor give you an opportunity to interact with the class or ask questions?</t>
        </is>
      </c>
      <c r="D25" s="28" t="n"/>
      <c r="E25" s="28" t="n"/>
      <c r="F25" s="28" t="n"/>
      <c r="G25" s="28" t="n"/>
      <c r="H25" s="28" t="n"/>
    </row>
    <row r="26" ht="26" customHeight="1">
      <c r="B26" s="27" t="n">
        <v>10</v>
      </c>
      <c r="C26" s="29" t="inlineStr">
        <is>
          <t>Did you get satisfactory answers to your questions about the material?</t>
        </is>
      </c>
      <c r="D26" s="28" t="n"/>
      <c r="E26" s="28" t="n"/>
      <c r="F26" s="28" t="n"/>
      <c r="G26" s="28" t="n"/>
      <c r="H26" s="28" t="n"/>
    </row>
    <row r="27" ht="26" customHeight="1">
      <c r="B27" s="27" t="n">
        <v>11</v>
      </c>
      <c r="C27" s="29" t="inlineStr">
        <is>
          <t>Would you recommend this course to others?</t>
        </is>
      </c>
      <c r="D27" s="28" t="n"/>
      <c r="E27" s="28" t="n"/>
      <c r="F27" s="28" t="n"/>
      <c r="G27" s="28" t="n"/>
      <c r="H27" s="28" t="n"/>
    </row>
    <row r="28"/>
    <row r="29">
      <c r="B29" s="10" t="inlineStr">
        <is>
          <t>ADDITIONAL COMMENTS</t>
        </is>
      </c>
    </row>
    <row r="30" ht="20" customHeight="1">
      <c r="B30" s="30" t="n"/>
    </row>
    <row r="31" ht="20" customHeight="1">
      <c r="B31" s="30" t="n"/>
    </row>
    <row r="32" ht="20" customHeight="1">
      <c r="B32" s="30" t="n"/>
    </row>
    <row r="33" ht="20" customHeight="1">
      <c r="B33" s="30" t="n"/>
    </row>
    <row r="34" ht="20" customHeight="1">
      <c r="B34" s="30" t="n"/>
    </row>
    <row r="35" ht="20" customHeight="1">
      <c r="B35" s="30" t="n"/>
    </row>
    <row r="36" ht="28" customHeight="1">
      <c r="B36" s="13"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row r="2"/>
    <row r="3"/>
    <row r="4">
      <c r="B4" s="8" t="inlineStr">
        <is>
          <t>Pick test # and Test/Key mode; print. Words come from SpellingMaster.</t>
        </is>
      </c>
    </row>
    <row r="5">
      <c r="B5" s="10" t="inlineStr">
        <is>
          <t>Test #:</t>
        </is>
      </c>
      <c r="C5" s="20" t="n">
        <v>1</v>
      </c>
      <c r="D5" s="31" t="inlineStr">
        <is>
          <t>Mode:</t>
        </is>
      </c>
      <c r="E5" s="20" t="inlineStr">
        <is>
          <t>Test</t>
        </is>
      </c>
    </row>
    <row r="6"/>
    <row r="7">
      <c r="B7" s="1" t="inlineStr">
        <is>
          <t>TYLER POLICE DEPARTMENT ACADEMY</t>
        </is>
      </c>
    </row>
    <row r="8">
      <c r="B8" s="10">
        <f>"Spelling Test #"&amp;cfgSpellPrintNum&amp;IF(cfgSpellPrintMode="Key"," — KEY","")</f>
        <v/>
      </c>
    </row>
    <row r="9"/>
    <row r="10">
      <c r="B10" s="12" t="inlineStr">
        <is>
          <t>Name: ______________________    Date: ____________    Score: ________</t>
        </is>
      </c>
    </row>
    <row r="11"/>
    <row r="12" ht="24" customHeight="1">
      <c r="B12" s="12" t="inlineStr">
        <is>
          <t>1.</t>
        </is>
      </c>
      <c r="C12" s="12">
        <f>IF(cfgSpellPrintMode="Key",INDEX(nrSpellWords,1,cfgSpellPrintNum),"_______________________")</f>
        <v/>
      </c>
      <c r="E12" s="12" t="inlineStr">
        <is>
          <t>14.</t>
        </is>
      </c>
      <c r="F12" s="12">
        <f>IF(cfgSpellPrintMode="Key",INDEX(nrSpellWords,14,cfgSpellPrintNum),"_______________________")</f>
        <v/>
      </c>
    </row>
    <row r="13" ht="24" customHeight="1">
      <c r="B13" s="12" t="inlineStr">
        <is>
          <t>2.</t>
        </is>
      </c>
      <c r="C13" s="12">
        <f>IF(cfgSpellPrintMode="Key",INDEX(nrSpellWords,2,cfgSpellPrintNum),"_______________________")</f>
        <v/>
      </c>
      <c r="E13" s="12" t="inlineStr">
        <is>
          <t>15.</t>
        </is>
      </c>
      <c r="F13" s="12">
        <f>IF(cfgSpellPrintMode="Key",INDEX(nrSpellWords,15,cfgSpellPrintNum),"_______________________")</f>
        <v/>
      </c>
    </row>
    <row r="14" ht="24" customHeight="1">
      <c r="B14" s="12" t="inlineStr">
        <is>
          <t>3.</t>
        </is>
      </c>
      <c r="C14" s="12">
        <f>IF(cfgSpellPrintMode="Key",INDEX(nrSpellWords,3,cfgSpellPrintNum),"_______________________")</f>
        <v/>
      </c>
      <c r="E14" s="12" t="inlineStr">
        <is>
          <t>16.</t>
        </is>
      </c>
      <c r="F14" s="12">
        <f>IF(cfgSpellPrintMode="Key",INDEX(nrSpellWords,16,cfgSpellPrintNum),"_______________________")</f>
        <v/>
      </c>
    </row>
    <row r="15" ht="24" customHeight="1">
      <c r="B15" s="12" t="inlineStr">
        <is>
          <t>4.</t>
        </is>
      </c>
      <c r="C15" s="12">
        <f>IF(cfgSpellPrintMode="Key",INDEX(nrSpellWords,4,cfgSpellPrintNum),"_______________________")</f>
        <v/>
      </c>
      <c r="E15" s="12" t="inlineStr">
        <is>
          <t>17.</t>
        </is>
      </c>
      <c r="F15" s="12">
        <f>IF(cfgSpellPrintMode="Key",INDEX(nrSpellWords,17,cfgSpellPrintNum),"_______________________")</f>
        <v/>
      </c>
    </row>
    <row r="16" ht="24" customHeight="1">
      <c r="B16" s="12" t="inlineStr">
        <is>
          <t>5.</t>
        </is>
      </c>
      <c r="C16" s="12">
        <f>IF(cfgSpellPrintMode="Key",INDEX(nrSpellWords,5,cfgSpellPrintNum),"_______________________")</f>
        <v/>
      </c>
      <c r="E16" s="12" t="inlineStr">
        <is>
          <t>18.</t>
        </is>
      </c>
      <c r="F16" s="12">
        <f>IF(cfgSpellPrintMode="Key",INDEX(nrSpellWords,18,cfgSpellPrintNum),"_______________________")</f>
        <v/>
      </c>
    </row>
    <row r="17" ht="24" customHeight="1">
      <c r="B17" s="12" t="inlineStr">
        <is>
          <t>6.</t>
        </is>
      </c>
      <c r="C17" s="12">
        <f>IF(cfgSpellPrintMode="Key",INDEX(nrSpellWords,6,cfgSpellPrintNum),"_______________________")</f>
        <v/>
      </c>
      <c r="E17" s="12" t="inlineStr">
        <is>
          <t>19.</t>
        </is>
      </c>
      <c r="F17" s="12">
        <f>IF(cfgSpellPrintMode="Key",INDEX(nrSpellWords,19,cfgSpellPrintNum),"_______________________")</f>
        <v/>
      </c>
    </row>
    <row r="18" ht="24" customHeight="1">
      <c r="B18" s="12" t="inlineStr">
        <is>
          <t>7.</t>
        </is>
      </c>
      <c r="C18" s="12">
        <f>IF(cfgSpellPrintMode="Key",INDEX(nrSpellWords,7,cfgSpellPrintNum),"_______________________")</f>
        <v/>
      </c>
      <c r="E18" s="12" t="inlineStr">
        <is>
          <t>20.</t>
        </is>
      </c>
      <c r="F18" s="12">
        <f>IF(cfgSpellPrintMode="Key",INDEX(nrSpellWords,20,cfgSpellPrintNum),"_______________________")</f>
        <v/>
      </c>
    </row>
    <row r="19" ht="24" customHeight="1">
      <c r="B19" s="12" t="inlineStr">
        <is>
          <t>8.</t>
        </is>
      </c>
      <c r="C19" s="12">
        <f>IF(cfgSpellPrintMode="Key",INDEX(nrSpellWords,8,cfgSpellPrintNum),"_______________________")</f>
        <v/>
      </c>
      <c r="E19" s="12" t="inlineStr">
        <is>
          <t>21.</t>
        </is>
      </c>
      <c r="F19" s="12">
        <f>IF(cfgSpellPrintMode="Key",INDEX(nrSpellWords,21,cfgSpellPrintNum),"_______________________")</f>
        <v/>
      </c>
    </row>
    <row r="20" ht="24" customHeight="1">
      <c r="B20" s="12" t="inlineStr">
        <is>
          <t>9.</t>
        </is>
      </c>
      <c r="C20" s="12">
        <f>IF(cfgSpellPrintMode="Key",INDEX(nrSpellWords,9,cfgSpellPrintNum),"_______________________")</f>
        <v/>
      </c>
      <c r="E20" s="12" t="inlineStr">
        <is>
          <t>22.</t>
        </is>
      </c>
      <c r="F20" s="12">
        <f>IF(cfgSpellPrintMode="Key",INDEX(nrSpellWords,22,cfgSpellPrintNum),"_______________________")</f>
        <v/>
      </c>
    </row>
    <row r="21" ht="24" customHeight="1">
      <c r="B21" s="12" t="inlineStr">
        <is>
          <t>10.</t>
        </is>
      </c>
      <c r="C21" s="12">
        <f>IF(cfgSpellPrintMode="Key",INDEX(nrSpellWords,10,cfgSpellPrintNum),"_______________________")</f>
        <v/>
      </c>
      <c r="E21" s="12" t="inlineStr">
        <is>
          <t>23.</t>
        </is>
      </c>
      <c r="F21" s="12">
        <f>IF(cfgSpellPrintMode="Key",INDEX(nrSpellWords,23,cfgSpellPrintNum),"_______________________")</f>
        <v/>
      </c>
    </row>
    <row r="22" ht="24" customHeight="1">
      <c r="B22" s="12" t="inlineStr">
        <is>
          <t>11.</t>
        </is>
      </c>
      <c r="C22" s="12">
        <f>IF(cfgSpellPrintMode="Key",INDEX(nrSpellWords,11,cfgSpellPrintNum),"_______________________")</f>
        <v/>
      </c>
      <c r="E22" s="12" t="inlineStr">
        <is>
          <t>24.</t>
        </is>
      </c>
      <c r="F22" s="12">
        <f>IF(cfgSpellPrintMode="Key",INDEX(nrSpellWords,24,cfgSpellPrintNum),"_______________________")</f>
        <v/>
      </c>
    </row>
    <row r="23" ht="24" customHeight="1">
      <c r="B23" s="12" t="inlineStr">
        <is>
          <t>12.</t>
        </is>
      </c>
      <c r="C23" s="12">
        <f>IF(cfgSpellPrintMode="Key",INDEX(nrSpellWords,12,cfgSpellPrintNum),"_______________________")</f>
        <v/>
      </c>
      <c r="E23" s="12" t="inlineStr">
        <is>
          <t>25.</t>
        </is>
      </c>
      <c r="F23" s="12">
        <f>IF(cfgSpellPrintMode="Key",INDEX(nrSpellWords,25,cfgSpellPrintNum),"_______________________")</f>
        <v/>
      </c>
    </row>
    <row r="24" ht="24" customHeight="1">
      <c r="B24" s="12" t="inlineStr">
        <is>
          <t>13.</t>
        </is>
      </c>
      <c r="C24" s="12">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row r="2"/>
    <row r="3"/>
    <row r="4">
      <c r="B4" s="8" t="inlineStr">
        <is>
          <t>Pick an academy week; assignments whose computed assigned date falls in that week appear with their prompts.</t>
        </is>
      </c>
    </row>
    <row r="5">
      <c r="B5" s="10" t="inlineStr">
        <is>
          <t>Week #:</t>
        </is>
      </c>
      <c r="C5" s="20" t="n">
        <v>1</v>
      </c>
    </row>
    <row r="6"/>
    <row r="7">
      <c r="B7" s="1">
        <f>"TYLER POLICE ACADEMY — "&amp;cfgAcademyClass&amp;" — WRITING ASSIGNMENTS — WEEK "&amp;cfgHandoutWeek</f>
        <v/>
      </c>
    </row>
    <row r="8" ht="28" customHeight="1">
      <c r="B8" s="13"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9" t="inlineStr">
        <is>
          <t>#</t>
        </is>
      </c>
      <c r="C10" s="9" t="inlineStr">
        <is>
          <t>Title</t>
        </is>
      </c>
      <c r="D10" s="9" t="inlineStr">
        <is>
          <t>Assigned</t>
        </is>
      </c>
      <c r="E10" s="9" t="inlineStr">
        <is>
          <t>Due (1700)</t>
        </is>
      </c>
      <c r="F10" s="9" t="inlineStr">
        <is>
          <t>Prompt</t>
        </is>
      </c>
    </row>
    <row r="11" ht="60" customHeight="1">
      <c r="B11" s="32">
        <f>IFERROR(_xlfn._xlws.FILTER(_xlfn.HSTACK(rngWMnum,rngWMtitle,TEXT(rngWMassigned,"mm/dd"),TEXT(rngWMdue,"mm/dd"),rngWMprompt),IFERROR(_xlfn.XLOOKUP(rngWMassigned,nrCDdate,nrCDweek),0)=cfgHandoutWeek),"— no assignments start this week —")</f>
        <v/>
      </c>
      <c r="C11" s="32" t="n"/>
      <c r="D11" s="32" t="n"/>
      <c r="E11" s="32" t="n"/>
      <c r="F11" s="32" t="n"/>
      <c r="G11" s="32" t="n"/>
      <c r="H11" s="32" t="n"/>
    </row>
    <row r="12" ht="60" customHeight="1">
      <c r="B12" s="32" t="n"/>
      <c r="C12" s="32" t="n"/>
      <c r="D12" s="32" t="n"/>
      <c r="E12" s="32" t="n"/>
      <c r="F12" s="32" t="n"/>
      <c r="G12" s="32" t="n"/>
      <c r="H12" s="32" t="n"/>
    </row>
    <row r="13" ht="60" customHeight="1">
      <c r="B13" s="32" t="n"/>
      <c r="C13" s="32" t="n"/>
      <c r="D13" s="32" t="n"/>
      <c r="E13" s="32" t="n"/>
      <c r="F13" s="32" t="n"/>
      <c r="G13" s="32" t="n"/>
      <c r="H13" s="32" t="n"/>
    </row>
    <row r="14" ht="60" customHeight="1">
      <c r="B14" s="32" t="n"/>
      <c r="C14" s="32" t="n"/>
      <c r="D14" s="32" t="n"/>
      <c r="E14" s="32" t="n"/>
      <c r="F14" s="32" t="n"/>
      <c r="G14" s="32" t="n"/>
      <c r="H14" s="32" t="n"/>
    </row>
    <row r="15" ht="60" customHeight="1">
      <c r="B15" s="32" t="n"/>
      <c r="C15" s="32" t="n"/>
      <c r="D15" s="32" t="n"/>
      <c r="E15" s="32" t="n"/>
      <c r="F15" s="32" t="n"/>
      <c r="G15" s="32" t="n"/>
      <c r="H15" s="32" t="n"/>
    </row>
    <row r="16" ht="60" customHeight="1">
      <c r="B16" s="32" t="n"/>
      <c r="C16" s="32" t="n"/>
      <c r="D16" s="32" t="n"/>
      <c r="E16" s="32" t="n"/>
      <c r="F16" s="32" t="n"/>
      <c r="G16" s="32" t="n"/>
      <c r="H16" s="32" t="n"/>
    </row>
    <row r="17" ht="60" customHeight="1">
      <c r="B17" s="32" t="n"/>
      <c r="C17" s="32" t="n"/>
      <c r="D17" s="32" t="n"/>
      <c r="E17" s="32" t="n"/>
      <c r="F17" s="32" t="n"/>
      <c r="G17" s="32" t="n"/>
      <c r="H17" s="32" t="n"/>
    </row>
    <row r="18" ht="60" customHeight="1">
      <c r="B18" s="32" t="n"/>
      <c r="C18" s="32" t="n"/>
      <c r="D18" s="32" t="n"/>
      <c r="E18" s="32" t="n"/>
      <c r="F18" s="32" t="n"/>
      <c r="G18" s="32" t="n"/>
      <c r="H18" s="32"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row r="2"/>
    <row r="3"/>
    <row r="4">
      <c r="B4" s="8" t="inlineStr">
        <is>
          <t>Preview of exactly what the Outlook draft will contain. Buttons on Print Center / Dashboard build the drafts — for review, never auto-sent.</t>
        </is>
      </c>
    </row>
    <row r="5">
      <c r="B5" s="10" t="inlineStr">
        <is>
          <t>Agency:</t>
        </is>
      </c>
      <c r="C5" s="20"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6" t="inlineStr">
        <is>
          <t>Cadet results (as the email will report them)</t>
        </is>
      </c>
      <c r="C7" s="7" t="n"/>
      <c r="D7" s="7" t="n"/>
      <c r="E7" s="7" t="n"/>
      <c r="F7" s="7" t="n"/>
      <c r="G7" s="7" t="n"/>
      <c r="H7" s="7" t="n"/>
      <c r="I7" s="7" t="n"/>
      <c r="J7" s="7" t="n"/>
      <c r="K7" s="7" t="n"/>
      <c r="L7" s="7" t="n"/>
    </row>
    <row r="8" ht="26" customHeight="1">
      <c r="B8" s="9" t="inlineStr">
        <is>
          <t>Cadet</t>
        </is>
      </c>
      <c r="C8" s="9" t="inlineStr">
        <is>
          <t>Score</t>
        </is>
      </c>
      <c r="D8" s="9" t="inlineStr">
        <is>
          <t>Class Avg</t>
        </is>
      </c>
      <c r="E8" s="9" t="inlineStr">
        <is>
          <t>Retake?</t>
        </is>
      </c>
      <c r="F8" s="9" t="inlineStr">
        <is>
          <t>Spelling Avg</t>
        </is>
      </c>
      <c r="G8" s="9" t="inlineStr">
        <is>
          <t>Spelling Flag</t>
        </is>
      </c>
      <c r="H8" s="9" t="inlineStr">
        <is>
          <t>Attendance</t>
        </is>
      </c>
      <c r="I8" s="9" t="inlineStr">
        <is>
          <t>Writing Current</t>
        </is>
      </c>
      <c r="J8" s="9" t="inlineStr">
        <is>
          <t>Open Flags</t>
        </is>
      </c>
    </row>
    <row r="9">
      <c r="B9" s="18">
        <f>IF(IF(OR(Cadets!$B6="",Cadets!$I6&lt;&gt;"Active"),FALSE,OR(cfgPreviewAgency=cfgHomeAgency,Cadets!$G6=cfgPreviewAgency)),Cadets!$F6,"")</f>
        <v/>
      </c>
      <c r="C9" s="18">
        <f>IF($B9="","",IFERROR(SUMIFS(nrES_Rec,nrES_PID,Cadets!$B6,nrES_Seq,cfgCurrentExamNum,nrES_Final,"Yes"),""))</f>
        <v/>
      </c>
      <c r="D9" s="18">
        <f>IF($B9="","",IFERROR(ROUND(AVERAGEIFS(nrES_Rec,nrES_Seq,cfgCurrentExamNum,nrES_Final,"Yes"),1),""))</f>
        <v/>
      </c>
      <c r="E9" s="18">
        <f>IF($B9="","",IF(COUNTIFS(nrES_PID,Cadets!$B6,nrES_Seq,cfgCurrentExamNum,nrES_Att,2)&gt;0,"RETEST (cap 70)",""))</f>
        <v/>
      </c>
      <c r="F9" s="18">
        <f>IF($B9="","",IF(cfgCurrentSpellingNum&lt;cfgCurrentExamNum,"(omitted)",Spelling!$P6))</f>
        <v/>
      </c>
      <c r="G9" s="18">
        <f>IF($B9="","",IF(Spelling!$R6="INTERVENTION","BELOW 75 — intervention",""))</f>
        <v/>
      </c>
      <c r="H9" s="18">
        <f>IF($B9="","",sysAttendance!$J6&amp;" / PT "&amp;sysAttendance!$R6)</f>
        <v/>
      </c>
      <c r="I9" s="18">
        <f>IF($B9="","",Writing!$AT6&amp;" ("&amp;Writing!$AS6&amp;" overdue)")</f>
        <v/>
      </c>
      <c r="J9" s="18">
        <f>IF($B9="","",sysFlags!$P6)</f>
        <v/>
      </c>
    </row>
    <row r="10">
      <c r="B10" s="18">
        <f>IF(IF(OR(Cadets!$B7="",Cadets!$I7&lt;&gt;"Active"),FALSE,OR(cfgPreviewAgency=cfgHomeAgency,Cadets!$G7=cfgPreviewAgency)),Cadets!$F7,"")</f>
        <v/>
      </c>
      <c r="C10" s="18">
        <f>IF($B10="","",IFERROR(SUMIFS(nrES_Rec,nrES_PID,Cadets!$B7,nrES_Seq,cfgCurrentExamNum,nrES_Final,"Yes"),""))</f>
        <v/>
      </c>
      <c r="D10" s="18">
        <f>IF($B10="","",IFERROR(ROUND(AVERAGEIFS(nrES_Rec,nrES_Seq,cfgCurrentExamNum,nrES_Final,"Yes"),1),""))</f>
        <v/>
      </c>
      <c r="E10" s="18">
        <f>IF($B10="","",IF(COUNTIFS(nrES_PID,Cadets!$B7,nrES_Seq,cfgCurrentExamNum,nrES_Att,2)&gt;0,"RETEST (cap 70)",""))</f>
        <v/>
      </c>
      <c r="F10" s="18">
        <f>IF($B10="","",IF(cfgCurrentSpellingNum&lt;cfgCurrentExamNum,"(omitted)",Spelling!$P7))</f>
        <v/>
      </c>
      <c r="G10" s="18">
        <f>IF($B10="","",IF(Spelling!$R7="INTERVENTION","BELOW 75 — intervention",""))</f>
        <v/>
      </c>
      <c r="H10" s="18">
        <f>IF($B10="","",sysAttendance!$J7&amp;" / PT "&amp;sysAttendance!$R7)</f>
        <v/>
      </c>
      <c r="I10" s="18">
        <f>IF($B10="","",Writing!$AT7&amp;" ("&amp;Writing!$AS7&amp;" overdue)")</f>
        <v/>
      </c>
      <c r="J10" s="18">
        <f>IF($B10="","",sysFlags!$P7)</f>
        <v/>
      </c>
    </row>
    <row r="11">
      <c r="B11" s="18">
        <f>IF(IF(OR(Cadets!$B8="",Cadets!$I8&lt;&gt;"Active"),FALSE,OR(cfgPreviewAgency=cfgHomeAgency,Cadets!$G8=cfgPreviewAgency)),Cadets!$F8,"")</f>
        <v/>
      </c>
      <c r="C11" s="18">
        <f>IF($B11="","",IFERROR(SUMIFS(nrES_Rec,nrES_PID,Cadets!$B8,nrES_Seq,cfgCurrentExamNum,nrES_Final,"Yes"),""))</f>
        <v/>
      </c>
      <c r="D11" s="18">
        <f>IF($B11="","",IFERROR(ROUND(AVERAGEIFS(nrES_Rec,nrES_Seq,cfgCurrentExamNum,nrES_Final,"Yes"),1),""))</f>
        <v/>
      </c>
      <c r="E11" s="18">
        <f>IF($B11="","",IF(COUNTIFS(nrES_PID,Cadets!$B8,nrES_Seq,cfgCurrentExamNum,nrES_Att,2)&gt;0,"RETEST (cap 70)",""))</f>
        <v/>
      </c>
      <c r="F11" s="18">
        <f>IF($B11="","",IF(cfgCurrentSpellingNum&lt;cfgCurrentExamNum,"(omitted)",Spelling!$P8))</f>
        <v/>
      </c>
      <c r="G11" s="18">
        <f>IF($B11="","",IF(Spelling!$R8="INTERVENTION","BELOW 75 — intervention",""))</f>
        <v/>
      </c>
      <c r="H11" s="18">
        <f>IF($B11="","",sysAttendance!$J8&amp;" / PT "&amp;sysAttendance!$R8)</f>
        <v/>
      </c>
      <c r="I11" s="18">
        <f>IF($B11="","",Writing!$AT8&amp;" ("&amp;Writing!$AS8&amp;" overdue)")</f>
        <v/>
      </c>
      <c r="J11" s="18">
        <f>IF($B11="","",sysFlags!$P8)</f>
        <v/>
      </c>
    </row>
    <row r="12">
      <c r="B12" s="18">
        <f>IF(IF(OR(Cadets!$B9="",Cadets!$I9&lt;&gt;"Active"),FALSE,OR(cfgPreviewAgency=cfgHomeAgency,Cadets!$G9=cfgPreviewAgency)),Cadets!$F9,"")</f>
        <v/>
      </c>
      <c r="C12" s="18">
        <f>IF($B12="","",IFERROR(SUMIFS(nrES_Rec,nrES_PID,Cadets!$B9,nrES_Seq,cfgCurrentExamNum,nrES_Final,"Yes"),""))</f>
        <v/>
      </c>
      <c r="D12" s="18">
        <f>IF($B12="","",IFERROR(ROUND(AVERAGEIFS(nrES_Rec,nrES_Seq,cfgCurrentExamNum,nrES_Final,"Yes"),1),""))</f>
        <v/>
      </c>
      <c r="E12" s="18">
        <f>IF($B12="","",IF(COUNTIFS(nrES_PID,Cadets!$B9,nrES_Seq,cfgCurrentExamNum,nrES_Att,2)&gt;0,"RETEST (cap 70)",""))</f>
        <v/>
      </c>
      <c r="F12" s="18">
        <f>IF($B12="","",IF(cfgCurrentSpellingNum&lt;cfgCurrentExamNum,"(omitted)",Spelling!$P9))</f>
        <v/>
      </c>
      <c r="G12" s="18">
        <f>IF($B12="","",IF(Spelling!$R9="INTERVENTION","BELOW 75 — intervention",""))</f>
        <v/>
      </c>
      <c r="H12" s="18">
        <f>IF($B12="","",sysAttendance!$J9&amp;" / PT "&amp;sysAttendance!$R9)</f>
        <v/>
      </c>
      <c r="I12" s="18">
        <f>IF($B12="","",Writing!$AT9&amp;" ("&amp;Writing!$AS9&amp;" overdue)")</f>
        <v/>
      </c>
      <c r="J12" s="18">
        <f>IF($B12="","",sysFlags!$P9)</f>
        <v/>
      </c>
    </row>
    <row r="13">
      <c r="B13" s="18">
        <f>IF(IF(OR(Cadets!$B10="",Cadets!$I10&lt;&gt;"Active"),FALSE,OR(cfgPreviewAgency=cfgHomeAgency,Cadets!$G10=cfgPreviewAgency)),Cadets!$F10,"")</f>
        <v/>
      </c>
      <c r="C13" s="18">
        <f>IF($B13="","",IFERROR(SUMIFS(nrES_Rec,nrES_PID,Cadets!$B10,nrES_Seq,cfgCurrentExamNum,nrES_Final,"Yes"),""))</f>
        <v/>
      </c>
      <c r="D13" s="18">
        <f>IF($B13="","",IFERROR(ROUND(AVERAGEIFS(nrES_Rec,nrES_Seq,cfgCurrentExamNum,nrES_Final,"Yes"),1),""))</f>
        <v/>
      </c>
      <c r="E13" s="18">
        <f>IF($B13="","",IF(COUNTIFS(nrES_PID,Cadets!$B10,nrES_Seq,cfgCurrentExamNum,nrES_Att,2)&gt;0,"RETEST (cap 70)",""))</f>
        <v/>
      </c>
      <c r="F13" s="18">
        <f>IF($B13="","",IF(cfgCurrentSpellingNum&lt;cfgCurrentExamNum,"(omitted)",Spelling!$P10))</f>
        <v/>
      </c>
      <c r="G13" s="18">
        <f>IF($B13="","",IF(Spelling!$R10="INTERVENTION","BELOW 75 — intervention",""))</f>
        <v/>
      </c>
      <c r="H13" s="18">
        <f>IF($B13="","",sysAttendance!$J10&amp;" / PT "&amp;sysAttendance!$R10)</f>
        <v/>
      </c>
      <c r="I13" s="18">
        <f>IF($B13="","",Writing!$AT10&amp;" ("&amp;Writing!$AS10&amp;" overdue)")</f>
        <v/>
      </c>
      <c r="J13" s="18">
        <f>IF($B13="","",sysFlags!$P10)</f>
        <v/>
      </c>
    </row>
    <row r="14">
      <c r="B14" s="18">
        <f>IF(IF(OR(Cadets!$B11="",Cadets!$I11&lt;&gt;"Active"),FALSE,OR(cfgPreviewAgency=cfgHomeAgency,Cadets!$G11=cfgPreviewAgency)),Cadets!$F11,"")</f>
        <v/>
      </c>
      <c r="C14" s="18">
        <f>IF($B14="","",IFERROR(SUMIFS(nrES_Rec,nrES_PID,Cadets!$B11,nrES_Seq,cfgCurrentExamNum,nrES_Final,"Yes"),""))</f>
        <v/>
      </c>
      <c r="D14" s="18">
        <f>IF($B14="","",IFERROR(ROUND(AVERAGEIFS(nrES_Rec,nrES_Seq,cfgCurrentExamNum,nrES_Final,"Yes"),1),""))</f>
        <v/>
      </c>
      <c r="E14" s="18">
        <f>IF($B14="","",IF(COUNTIFS(nrES_PID,Cadets!$B11,nrES_Seq,cfgCurrentExamNum,nrES_Att,2)&gt;0,"RETEST (cap 70)",""))</f>
        <v/>
      </c>
      <c r="F14" s="18">
        <f>IF($B14="","",IF(cfgCurrentSpellingNum&lt;cfgCurrentExamNum,"(omitted)",Spelling!$P11))</f>
        <v/>
      </c>
      <c r="G14" s="18">
        <f>IF($B14="","",IF(Spelling!$R11="INTERVENTION","BELOW 75 — intervention",""))</f>
        <v/>
      </c>
      <c r="H14" s="18">
        <f>IF($B14="","",sysAttendance!$J11&amp;" / PT "&amp;sysAttendance!$R11)</f>
        <v/>
      </c>
      <c r="I14" s="18">
        <f>IF($B14="","",Writing!$AT11&amp;" ("&amp;Writing!$AS11&amp;" overdue)")</f>
        <v/>
      </c>
      <c r="J14" s="18">
        <f>IF($B14="","",sysFlags!$P11)</f>
        <v/>
      </c>
    </row>
    <row r="15">
      <c r="B15" s="18">
        <f>IF(IF(OR(Cadets!$B12="",Cadets!$I12&lt;&gt;"Active"),FALSE,OR(cfgPreviewAgency=cfgHomeAgency,Cadets!$G12=cfgPreviewAgency)),Cadets!$F12,"")</f>
        <v/>
      </c>
      <c r="C15" s="18">
        <f>IF($B15="","",IFERROR(SUMIFS(nrES_Rec,nrES_PID,Cadets!$B12,nrES_Seq,cfgCurrentExamNum,nrES_Final,"Yes"),""))</f>
        <v/>
      </c>
      <c r="D15" s="18">
        <f>IF($B15="","",IFERROR(ROUND(AVERAGEIFS(nrES_Rec,nrES_Seq,cfgCurrentExamNum,nrES_Final,"Yes"),1),""))</f>
        <v/>
      </c>
      <c r="E15" s="18">
        <f>IF($B15="","",IF(COUNTIFS(nrES_PID,Cadets!$B12,nrES_Seq,cfgCurrentExamNum,nrES_Att,2)&gt;0,"RETEST (cap 70)",""))</f>
        <v/>
      </c>
      <c r="F15" s="18">
        <f>IF($B15="","",IF(cfgCurrentSpellingNum&lt;cfgCurrentExamNum,"(omitted)",Spelling!$P12))</f>
        <v/>
      </c>
      <c r="G15" s="18">
        <f>IF($B15="","",IF(Spelling!$R12="INTERVENTION","BELOW 75 — intervention",""))</f>
        <v/>
      </c>
      <c r="H15" s="18">
        <f>IF($B15="","",sysAttendance!$J12&amp;" / PT "&amp;sysAttendance!$R12)</f>
        <v/>
      </c>
      <c r="I15" s="18">
        <f>IF($B15="","",Writing!$AT12&amp;" ("&amp;Writing!$AS12&amp;" overdue)")</f>
        <v/>
      </c>
      <c r="J15" s="18">
        <f>IF($B15="","",sysFlags!$P12)</f>
        <v/>
      </c>
    </row>
    <row r="16">
      <c r="B16" s="18">
        <f>IF(IF(OR(Cadets!$B13="",Cadets!$I13&lt;&gt;"Active"),FALSE,OR(cfgPreviewAgency=cfgHomeAgency,Cadets!$G13=cfgPreviewAgency)),Cadets!$F13,"")</f>
        <v/>
      </c>
      <c r="C16" s="18">
        <f>IF($B16="","",IFERROR(SUMIFS(nrES_Rec,nrES_PID,Cadets!$B13,nrES_Seq,cfgCurrentExamNum,nrES_Final,"Yes"),""))</f>
        <v/>
      </c>
      <c r="D16" s="18">
        <f>IF($B16="","",IFERROR(ROUND(AVERAGEIFS(nrES_Rec,nrES_Seq,cfgCurrentExamNum,nrES_Final,"Yes"),1),""))</f>
        <v/>
      </c>
      <c r="E16" s="18">
        <f>IF($B16="","",IF(COUNTIFS(nrES_PID,Cadets!$B13,nrES_Seq,cfgCurrentExamNum,nrES_Att,2)&gt;0,"RETEST (cap 70)",""))</f>
        <v/>
      </c>
      <c r="F16" s="18">
        <f>IF($B16="","",IF(cfgCurrentSpellingNum&lt;cfgCurrentExamNum,"(omitted)",Spelling!$P13))</f>
        <v/>
      </c>
      <c r="G16" s="18">
        <f>IF($B16="","",IF(Spelling!$R13="INTERVENTION","BELOW 75 — intervention",""))</f>
        <v/>
      </c>
      <c r="H16" s="18">
        <f>IF($B16="","",sysAttendance!$J13&amp;" / PT "&amp;sysAttendance!$R13)</f>
        <v/>
      </c>
      <c r="I16" s="18">
        <f>IF($B16="","",Writing!$AT13&amp;" ("&amp;Writing!$AS13&amp;" overdue)")</f>
        <v/>
      </c>
      <c r="J16" s="18">
        <f>IF($B16="","",sysFlags!$P13)</f>
        <v/>
      </c>
    </row>
    <row r="17">
      <c r="B17" s="18">
        <f>IF(IF(OR(Cadets!$B14="",Cadets!$I14&lt;&gt;"Active"),FALSE,OR(cfgPreviewAgency=cfgHomeAgency,Cadets!$G14=cfgPreviewAgency)),Cadets!$F14,"")</f>
        <v/>
      </c>
      <c r="C17" s="18">
        <f>IF($B17="","",IFERROR(SUMIFS(nrES_Rec,nrES_PID,Cadets!$B14,nrES_Seq,cfgCurrentExamNum,nrES_Final,"Yes"),""))</f>
        <v/>
      </c>
      <c r="D17" s="18">
        <f>IF($B17="","",IFERROR(ROUND(AVERAGEIFS(nrES_Rec,nrES_Seq,cfgCurrentExamNum,nrES_Final,"Yes"),1),""))</f>
        <v/>
      </c>
      <c r="E17" s="18">
        <f>IF($B17="","",IF(COUNTIFS(nrES_PID,Cadets!$B14,nrES_Seq,cfgCurrentExamNum,nrES_Att,2)&gt;0,"RETEST (cap 70)",""))</f>
        <v/>
      </c>
      <c r="F17" s="18">
        <f>IF($B17="","",IF(cfgCurrentSpellingNum&lt;cfgCurrentExamNum,"(omitted)",Spelling!$P14))</f>
        <v/>
      </c>
      <c r="G17" s="18">
        <f>IF($B17="","",IF(Spelling!$R14="INTERVENTION","BELOW 75 — intervention",""))</f>
        <v/>
      </c>
      <c r="H17" s="18">
        <f>IF($B17="","",sysAttendance!$J14&amp;" / PT "&amp;sysAttendance!$R14)</f>
        <v/>
      </c>
      <c r="I17" s="18">
        <f>IF($B17="","",Writing!$AT14&amp;" ("&amp;Writing!$AS14&amp;" overdue)")</f>
        <v/>
      </c>
      <c r="J17" s="18">
        <f>IF($B17="","",sysFlags!$P14)</f>
        <v/>
      </c>
    </row>
    <row r="18">
      <c r="B18" s="18">
        <f>IF(IF(OR(Cadets!$B15="",Cadets!$I15&lt;&gt;"Active"),FALSE,OR(cfgPreviewAgency=cfgHomeAgency,Cadets!$G15=cfgPreviewAgency)),Cadets!$F15,"")</f>
        <v/>
      </c>
      <c r="C18" s="18">
        <f>IF($B18="","",IFERROR(SUMIFS(nrES_Rec,nrES_PID,Cadets!$B15,nrES_Seq,cfgCurrentExamNum,nrES_Final,"Yes"),""))</f>
        <v/>
      </c>
      <c r="D18" s="18">
        <f>IF($B18="","",IFERROR(ROUND(AVERAGEIFS(nrES_Rec,nrES_Seq,cfgCurrentExamNum,nrES_Final,"Yes"),1),""))</f>
        <v/>
      </c>
      <c r="E18" s="18">
        <f>IF($B18="","",IF(COUNTIFS(nrES_PID,Cadets!$B15,nrES_Seq,cfgCurrentExamNum,nrES_Att,2)&gt;0,"RETEST (cap 70)",""))</f>
        <v/>
      </c>
      <c r="F18" s="18">
        <f>IF($B18="","",IF(cfgCurrentSpellingNum&lt;cfgCurrentExamNum,"(omitted)",Spelling!$P15))</f>
        <v/>
      </c>
      <c r="G18" s="18">
        <f>IF($B18="","",IF(Spelling!$R15="INTERVENTION","BELOW 75 — intervention",""))</f>
        <v/>
      </c>
      <c r="H18" s="18">
        <f>IF($B18="","",sysAttendance!$J15&amp;" / PT "&amp;sysAttendance!$R15)</f>
        <v/>
      </c>
      <c r="I18" s="18">
        <f>IF($B18="","",Writing!$AT15&amp;" ("&amp;Writing!$AS15&amp;" overdue)")</f>
        <v/>
      </c>
      <c r="J18" s="18">
        <f>IF($B18="","",sysFlags!$P15)</f>
        <v/>
      </c>
    </row>
    <row r="19">
      <c r="B19" s="18">
        <f>IF(IF(OR(Cadets!$B16="",Cadets!$I16&lt;&gt;"Active"),FALSE,OR(cfgPreviewAgency=cfgHomeAgency,Cadets!$G16=cfgPreviewAgency)),Cadets!$F16,"")</f>
        <v/>
      </c>
      <c r="C19" s="18">
        <f>IF($B19="","",IFERROR(SUMIFS(nrES_Rec,nrES_PID,Cadets!$B16,nrES_Seq,cfgCurrentExamNum,nrES_Final,"Yes"),""))</f>
        <v/>
      </c>
      <c r="D19" s="18">
        <f>IF($B19="","",IFERROR(ROUND(AVERAGEIFS(nrES_Rec,nrES_Seq,cfgCurrentExamNum,nrES_Final,"Yes"),1),""))</f>
        <v/>
      </c>
      <c r="E19" s="18">
        <f>IF($B19="","",IF(COUNTIFS(nrES_PID,Cadets!$B16,nrES_Seq,cfgCurrentExamNum,nrES_Att,2)&gt;0,"RETEST (cap 70)",""))</f>
        <v/>
      </c>
      <c r="F19" s="18">
        <f>IF($B19="","",IF(cfgCurrentSpellingNum&lt;cfgCurrentExamNum,"(omitted)",Spelling!$P16))</f>
        <v/>
      </c>
      <c r="G19" s="18">
        <f>IF($B19="","",IF(Spelling!$R16="INTERVENTION","BELOW 75 — intervention",""))</f>
        <v/>
      </c>
      <c r="H19" s="18">
        <f>IF($B19="","",sysAttendance!$J16&amp;" / PT "&amp;sysAttendance!$R16)</f>
        <v/>
      </c>
      <c r="I19" s="18">
        <f>IF($B19="","",Writing!$AT16&amp;" ("&amp;Writing!$AS16&amp;" overdue)")</f>
        <v/>
      </c>
      <c r="J19" s="18">
        <f>IF($B19="","",sysFlags!$P16)</f>
        <v/>
      </c>
    </row>
    <row r="20">
      <c r="B20" s="18">
        <f>IF(IF(OR(Cadets!$B17="",Cadets!$I17&lt;&gt;"Active"),FALSE,OR(cfgPreviewAgency=cfgHomeAgency,Cadets!$G17=cfgPreviewAgency)),Cadets!$F17,"")</f>
        <v/>
      </c>
      <c r="C20" s="18">
        <f>IF($B20="","",IFERROR(SUMIFS(nrES_Rec,nrES_PID,Cadets!$B17,nrES_Seq,cfgCurrentExamNum,nrES_Final,"Yes"),""))</f>
        <v/>
      </c>
      <c r="D20" s="18">
        <f>IF($B20="","",IFERROR(ROUND(AVERAGEIFS(nrES_Rec,nrES_Seq,cfgCurrentExamNum,nrES_Final,"Yes"),1),""))</f>
        <v/>
      </c>
      <c r="E20" s="18">
        <f>IF($B20="","",IF(COUNTIFS(nrES_PID,Cadets!$B17,nrES_Seq,cfgCurrentExamNum,nrES_Att,2)&gt;0,"RETEST (cap 70)",""))</f>
        <v/>
      </c>
      <c r="F20" s="18">
        <f>IF($B20="","",IF(cfgCurrentSpellingNum&lt;cfgCurrentExamNum,"(omitted)",Spelling!$P17))</f>
        <v/>
      </c>
      <c r="G20" s="18">
        <f>IF($B20="","",IF(Spelling!$R17="INTERVENTION","BELOW 75 — intervention",""))</f>
        <v/>
      </c>
      <c r="H20" s="18">
        <f>IF($B20="","",sysAttendance!$J17&amp;" / PT "&amp;sysAttendance!$R17)</f>
        <v/>
      </c>
      <c r="I20" s="18">
        <f>IF($B20="","",Writing!$AT17&amp;" ("&amp;Writing!$AS17&amp;" overdue)")</f>
        <v/>
      </c>
      <c r="J20" s="18">
        <f>IF($B20="","",sysFlags!$P17)</f>
        <v/>
      </c>
    </row>
    <row r="21">
      <c r="B21" s="18">
        <f>IF(IF(OR(Cadets!$B18="",Cadets!$I18&lt;&gt;"Active"),FALSE,OR(cfgPreviewAgency=cfgHomeAgency,Cadets!$G18=cfgPreviewAgency)),Cadets!$F18,"")</f>
        <v/>
      </c>
      <c r="C21" s="18">
        <f>IF($B21="","",IFERROR(SUMIFS(nrES_Rec,nrES_PID,Cadets!$B18,nrES_Seq,cfgCurrentExamNum,nrES_Final,"Yes"),""))</f>
        <v/>
      </c>
      <c r="D21" s="18">
        <f>IF($B21="","",IFERROR(ROUND(AVERAGEIFS(nrES_Rec,nrES_Seq,cfgCurrentExamNum,nrES_Final,"Yes"),1),""))</f>
        <v/>
      </c>
      <c r="E21" s="18">
        <f>IF($B21="","",IF(COUNTIFS(nrES_PID,Cadets!$B18,nrES_Seq,cfgCurrentExamNum,nrES_Att,2)&gt;0,"RETEST (cap 70)",""))</f>
        <v/>
      </c>
      <c r="F21" s="18">
        <f>IF($B21="","",IF(cfgCurrentSpellingNum&lt;cfgCurrentExamNum,"(omitted)",Spelling!$P18))</f>
        <v/>
      </c>
      <c r="G21" s="18">
        <f>IF($B21="","",IF(Spelling!$R18="INTERVENTION","BELOW 75 — intervention",""))</f>
        <v/>
      </c>
      <c r="H21" s="18">
        <f>IF($B21="","",sysAttendance!$J18&amp;" / PT "&amp;sysAttendance!$R18)</f>
        <v/>
      </c>
      <c r="I21" s="18">
        <f>IF($B21="","",Writing!$AT18&amp;" ("&amp;Writing!$AS18&amp;" overdue)")</f>
        <v/>
      </c>
      <c r="J21" s="18">
        <f>IF($B21="","",sysFlags!$P18)</f>
        <v/>
      </c>
    </row>
    <row r="22">
      <c r="B22" s="18">
        <f>IF(IF(OR(Cadets!$B19="",Cadets!$I19&lt;&gt;"Active"),FALSE,OR(cfgPreviewAgency=cfgHomeAgency,Cadets!$G19=cfgPreviewAgency)),Cadets!$F19,"")</f>
        <v/>
      </c>
      <c r="C22" s="18">
        <f>IF($B22="","",IFERROR(SUMIFS(nrES_Rec,nrES_PID,Cadets!$B19,nrES_Seq,cfgCurrentExamNum,nrES_Final,"Yes"),""))</f>
        <v/>
      </c>
      <c r="D22" s="18">
        <f>IF($B22="","",IFERROR(ROUND(AVERAGEIFS(nrES_Rec,nrES_Seq,cfgCurrentExamNum,nrES_Final,"Yes"),1),""))</f>
        <v/>
      </c>
      <c r="E22" s="18">
        <f>IF($B22="","",IF(COUNTIFS(nrES_PID,Cadets!$B19,nrES_Seq,cfgCurrentExamNum,nrES_Att,2)&gt;0,"RETEST (cap 70)",""))</f>
        <v/>
      </c>
      <c r="F22" s="18">
        <f>IF($B22="","",IF(cfgCurrentSpellingNum&lt;cfgCurrentExamNum,"(omitted)",Spelling!$P19))</f>
        <v/>
      </c>
      <c r="G22" s="18">
        <f>IF($B22="","",IF(Spelling!$R19="INTERVENTION","BELOW 75 — intervention",""))</f>
        <v/>
      </c>
      <c r="H22" s="18">
        <f>IF($B22="","",sysAttendance!$J19&amp;" / PT "&amp;sysAttendance!$R19)</f>
        <v/>
      </c>
      <c r="I22" s="18">
        <f>IF($B22="","",Writing!$AT19&amp;" ("&amp;Writing!$AS19&amp;" overdue)")</f>
        <v/>
      </c>
      <c r="J22" s="18">
        <f>IF($B22="","",sysFlags!$P19)</f>
        <v/>
      </c>
    </row>
    <row r="23">
      <c r="B23" s="18">
        <f>IF(IF(OR(Cadets!$B20="",Cadets!$I20&lt;&gt;"Active"),FALSE,OR(cfgPreviewAgency=cfgHomeAgency,Cadets!$G20=cfgPreviewAgency)),Cadets!$F20,"")</f>
        <v/>
      </c>
      <c r="C23" s="18">
        <f>IF($B23="","",IFERROR(SUMIFS(nrES_Rec,nrES_PID,Cadets!$B20,nrES_Seq,cfgCurrentExamNum,nrES_Final,"Yes"),""))</f>
        <v/>
      </c>
      <c r="D23" s="18">
        <f>IF($B23="","",IFERROR(ROUND(AVERAGEIFS(nrES_Rec,nrES_Seq,cfgCurrentExamNum,nrES_Final,"Yes"),1),""))</f>
        <v/>
      </c>
      <c r="E23" s="18">
        <f>IF($B23="","",IF(COUNTIFS(nrES_PID,Cadets!$B20,nrES_Seq,cfgCurrentExamNum,nrES_Att,2)&gt;0,"RETEST (cap 70)",""))</f>
        <v/>
      </c>
      <c r="F23" s="18">
        <f>IF($B23="","",IF(cfgCurrentSpellingNum&lt;cfgCurrentExamNum,"(omitted)",Spelling!$P20))</f>
        <v/>
      </c>
      <c r="G23" s="18">
        <f>IF($B23="","",IF(Spelling!$R20="INTERVENTION","BELOW 75 — intervention",""))</f>
        <v/>
      </c>
      <c r="H23" s="18">
        <f>IF($B23="","",sysAttendance!$J20&amp;" / PT "&amp;sysAttendance!$R20)</f>
        <v/>
      </c>
      <c r="I23" s="18">
        <f>IF($B23="","",Writing!$AT20&amp;" ("&amp;Writing!$AS20&amp;" overdue)")</f>
        <v/>
      </c>
      <c r="J23" s="18">
        <f>IF($B23="","",sysFlags!$P20)</f>
        <v/>
      </c>
    </row>
    <row r="24">
      <c r="B24" s="18">
        <f>IF(IF(OR(Cadets!$B21="",Cadets!$I21&lt;&gt;"Active"),FALSE,OR(cfgPreviewAgency=cfgHomeAgency,Cadets!$G21=cfgPreviewAgency)),Cadets!$F21,"")</f>
        <v/>
      </c>
      <c r="C24" s="18">
        <f>IF($B24="","",IFERROR(SUMIFS(nrES_Rec,nrES_PID,Cadets!$B21,nrES_Seq,cfgCurrentExamNum,nrES_Final,"Yes"),""))</f>
        <v/>
      </c>
      <c r="D24" s="18">
        <f>IF($B24="","",IFERROR(ROUND(AVERAGEIFS(nrES_Rec,nrES_Seq,cfgCurrentExamNum,nrES_Final,"Yes"),1),""))</f>
        <v/>
      </c>
      <c r="E24" s="18">
        <f>IF($B24="","",IF(COUNTIFS(nrES_PID,Cadets!$B21,nrES_Seq,cfgCurrentExamNum,nrES_Att,2)&gt;0,"RETEST (cap 70)",""))</f>
        <v/>
      </c>
      <c r="F24" s="18">
        <f>IF($B24="","",IF(cfgCurrentSpellingNum&lt;cfgCurrentExamNum,"(omitted)",Spelling!$P21))</f>
        <v/>
      </c>
      <c r="G24" s="18">
        <f>IF($B24="","",IF(Spelling!$R21="INTERVENTION","BELOW 75 — intervention",""))</f>
        <v/>
      </c>
      <c r="H24" s="18">
        <f>IF($B24="","",sysAttendance!$J21&amp;" / PT "&amp;sysAttendance!$R21)</f>
        <v/>
      </c>
      <c r="I24" s="18">
        <f>IF($B24="","",Writing!$AT21&amp;" ("&amp;Writing!$AS21&amp;" overdue)")</f>
        <v/>
      </c>
      <c r="J24" s="18">
        <f>IF($B24="","",sysFlags!$P21)</f>
        <v/>
      </c>
    </row>
    <row r="25">
      <c r="B25" s="18">
        <f>IF(IF(OR(Cadets!$B22="",Cadets!$I22&lt;&gt;"Active"),FALSE,OR(cfgPreviewAgency=cfgHomeAgency,Cadets!$G22=cfgPreviewAgency)),Cadets!$F22,"")</f>
        <v/>
      </c>
      <c r="C25" s="18">
        <f>IF($B25="","",IFERROR(SUMIFS(nrES_Rec,nrES_PID,Cadets!$B22,nrES_Seq,cfgCurrentExamNum,nrES_Final,"Yes"),""))</f>
        <v/>
      </c>
      <c r="D25" s="18">
        <f>IF($B25="","",IFERROR(ROUND(AVERAGEIFS(nrES_Rec,nrES_Seq,cfgCurrentExamNum,nrES_Final,"Yes"),1),""))</f>
        <v/>
      </c>
      <c r="E25" s="18">
        <f>IF($B25="","",IF(COUNTIFS(nrES_PID,Cadets!$B22,nrES_Seq,cfgCurrentExamNum,nrES_Att,2)&gt;0,"RETEST (cap 70)",""))</f>
        <v/>
      </c>
      <c r="F25" s="18">
        <f>IF($B25="","",IF(cfgCurrentSpellingNum&lt;cfgCurrentExamNum,"(omitted)",Spelling!$P22))</f>
        <v/>
      </c>
      <c r="G25" s="18">
        <f>IF($B25="","",IF(Spelling!$R22="INTERVENTION","BELOW 75 — intervention",""))</f>
        <v/>
      </c>
      <c r="H25" s="18">
        <f>IF($B25="","",sysAttendance!$J22&amp;" / PT "&amp;sysAttendance!$R22)</f>
        <v/>
      </c>
      <c r="I25" s="18">
        <f>IF($B25="","",Writing!$AT22&amp;" ("&amp;Writing!$AS22&amp;" overdue)")</f>
        <v/>
      </c>
      <c r="J25" s="18">
        <f>IF($B25="","",sysFlags!$P22)</f>
        <v/>
      </c>
    </row>
    <row r="26">
      <c r="B26" s="18">
        <f>IF(IF(OR(Cadets!$B23="",Cadets!$I23&lt;&gt;"Active"),FALSE,OR(cfgPreviewAgency=cfgHomeAgency,Cadets!$G23=cfgPreviewAgency)),Cadets!$F23,"")</f>
        <v/>
      </c>
      <c r="C26" s="18">
        <f>IF($B26="","",IFERROR(SUMIFS(nrES_Rec,nrES_PID,Cadets!$B23,nrES_Seq,cfgCurrentExamNum,nrES_Final,"Yes"),""))</f>
        <v/>
      </c>
      <c r="D26" s="18">
        <f>IF($B26="","",IFERROR(ROUND(AVERAGEIFS(nrES_Rec,nrES_Seq,cfgCurrentExamNum,nrES_Final,"Yes"),1),""))</f>
        <v/>
      </c>
      <c r="E26" s="18">
        <f>IF($B26="","",IF(COUNTIFS(nrES_PID,Cadets!$B23,nrES_Seq,cfgCurrentExamNum,nrES_Att,2)&gt;0,"RETEST (cap 70)",""))</f>
        <v/>
      </c>
      <c r="F26" s="18">
        <f>IF($B26="","",IF(cfgCurrentSpellingNum&lt;cfgCurrentExamNum,"(omitted)",Spelling!$P23))</f>
        <v/>
      </c>
      <c r="G26" s="18">
        <f>IF($B26="","",IF(Spelling!$R23="INTERVENTION","BELOW 75 — intervention",""))</f>
        <v/>
      </c>
      <c r="H26" s="18">
        <f>IF($B26="","",sysAttendance!$J23&amp;" / PT "&amp;sysAttendance!$R23)</f>
        <v/>
      </c>
      <c r="I26" s="18">
        <f>IF($B26="","",Writing!$AT23&amp;" ("&amp;Writing!$AS23&amp;" overdue)")</f>
        <v/>
      </c>
      <c r="J26" s="18">
        <f>IF($B26="","",sysFlags!$P23)</f>
        <v/>
      </c>
    </row>
    <row r="27">
      <c r="B27" s="18">
        <f>IF(IF(OR(Cadets!$B24="",Cadets!$I24&lt;&gt;"Active"),FALSE,OR(cfgPreviewAgency=cfgHomeAgency,Cadets!$G24=cfgPreviewAgency)),Cadets!$F24,"")</f>
        <v/>
      </c>
      <c r="C27" s="18">
        <f>IF($B27="","",IFERROR(SUMIFS(nrES_Rec,nrES_PID,Cadets!$B24,nrES_Seq,cfgCurrentExamNum,nrES_Final,"Yes"),""))</f>
        <v/>
      </c>
      <c r="D27" s="18">
        <f>IF($B27="","",IFERROR(ROUND(AVERAGEIFS(nrES_Rec,nrES_Seq,cfgCurrentExamNum,nrES_Final,"Yes"),1),""))</f>
        <v/>
      </c>
      <c r="E27" s="18">
        <f>IF($B27="","",IF(COUNTIFS(nrES_PID,Cadets!$B24,nrES_Seq,cfgCurrentExamNum,nrES_Att,2)&gt;0,"RETEST (cap 70)",""))</f>
        <v/>
      </c>
      <c r="F27" s="18">
        <f>IF($B27="","",IF(cfgCurrentSpellingNum&lt;cfgCurrentExamNum,"(omitted)",Spelling!$P24))</f>
        <v/>
      </c>
      <c r="G27" s="18">
        <f>IF($B27="","",IF(Spelling!$R24="INTERVENTION","BELOW 75 — intervention",""))</f>
        <v/>
      </c>
      <c r="H27" s="18">
        <f>IF($B27="","",sysAttendance!$J24&amp;" / PT "&amp;sysAttendance!$R24)</f>
        <v/>
      </c>
      <c r="I27" s="18">
        <f>IF($B27="","",Writing!$AT24&amp;" ("&amp;Writing!$AS24&amp;" overdue)")</f>
        <v/>
      </c>
      <c r="J27" s="18">
        <f>IF($B27="","",sysFlags!$P24)</f>
        <v/>
      </c>
    </row>
    <row r="28">
      <c r="B28" s="18">
        <f>IF(IF(OR(Cadets!$B25="",Cadets!$I25&lt;&gt;"Active"),FALSE,OR(cfgPreviewAgency=cfgHomeAgency,Cadets!$G25=cfgPreviewAgency)),Cadets!$F25,"")</f>
        <v/>
      </c>
      <c r="C28" s="18">
        <f>IF($B28="","",IFERROR(SUMIFS(nrES_Rec,nrES_PID,Cadets!$B25,nrES_Seq,cfgCurrentExamNum,nrES_Final,"Yes"),""))</f>
        <v/>
      </c>
      <c r="D28" s="18">
        <f>IF($B28="","",IFERROR(ROUND(AVERAGEIFS(nrES_Rec,nrES_Seq,cfgCurrentExamNum,nrES_Final,"Yes"),1),""))</f>
        <v/>
      </c>
      <c r="E28" s="18">
        <f>IF($B28="","",IF(COUNTIFS(nrES_PID,Cadets!$B25,nrES_Seq,cfgCurrentExamNum,nrES_Att,2)&gt;0,"RETEST (cap 70)",""))</f>
        <v/>
      </c>
      <c r="F28" s="18">
        <f>IF($B28="","",IF(cfgCurrentSpellingNum&lt;cfgCurrentExamNum,"(omitted)",Spelling!$P25))</f>
        <v/>
      </c>
      <c r="G28" s="18">
        <f>IF($B28="","",IF(Spelling!$R25="INTERVENTION","BELOW 75 — intervention",""))</f>
        <v/>
      </c>
      <c r="H28" s="18">
        <f>IF($B28="","",sysAttendance!$J25&amp;" / PT "&amp;sysAttendance!$R25)</f>
        <v/>
      </c>
      <c r="I28" s="18">
        <f>IF($B28="","",Writing!$AT25&amp;" ("&amp;Writing!$AS25&amp;" overdue)")</f>
        <v/>
      </c>
      <c r="J28" s="18">
        <f>IF($B28="","",sysFlags!$P25)</f>
        <v/>
      </c>
    </row>
    <row r="29">
      <c r="B29" s="18">
        <f>IF(IF(OR(Cadets!$B26="",Cadets!$I26&lt;&gt;"Active"),FALSE,OR(cfgPreviewAgency=cfgHomeAgency,Cadets!$G26=cfgPreviewAgency)),Cadets!$F26,"")</f>
        <v/>
      </c>
      <c r="C29" s="18">
        <f>IF($B29="","",IFERROR(SUMIFS(nrES_Rec,nrES_PID,Cadets!$B26,nrES_Seq,cfgCurrentExamNum,nrES_Final,"Yes"),""))</f>
        <v/>
      </c>
      <c r="D29" s="18">
        <f>IF($B29="","",IFERROR(ROUND(AVERAGEIFS(nrES_Rec,nrES_Seq,cfgCurrentExamNum,nrES_Final,"Yes"),1),""))</f>
        <v/>
      </c>
      <c r="E29" s="18">
        <f>IF($B29="","",IF(COUNTIFS(nrES_PID,Cadets!$B26,nrES_Seq,cfgCurrentExamNum,nrES_Att,2)&gt;0,"RETEST (cap 70)",""))</f>
        <v/>
      </c>
      <c r="F29" s="18">
        <f>IF($B29="","",IF(cfgCurrentSpellingNum&lt;cfgCurrentExamNum,"(omitted)",Spelling!$P26))</f>
        <v/>
      </c>
      <c r="G29" s="18">
        <f>IF($B29="","",IF(Spelling!$R26="INTERVENTION","BELOW 75 — intervention",""))</f>
        <v/>
      </c>
      <c r="H29" s="18">
        <f>IF($B29="","",sysAttendance!$J26&amp;" / PT "&amp;sysAttendance!$R26)</f>
        <v/>
      </c>
      <c r="I29" s="18">
        <f>IF($B29="","",Writing!$AT26&amp;" ("&amp;Writing!$AS26&amp;" overdue)")</f>
        <v/>
      </c>
      <c r="J29" s="18">
        <f>IF($B29="","",sysFlags!$P26)</f>
        <v/>
      </c>
    </row>
    <row r="30">
      <c r="B30" s="18">
        <f>IF(IF(OR(Cadets!$B27="",Cadets!$I27&lt;&gt;"Active"),FALSE,OR(cfgPreviewAgency=cfgHomeAgency,Cadets!$G27=cfgPreviewAgency)),Cadets!$F27,"")</f>
        <v/>
      </c>
      <c r="C30" s="18">
        <f>IF($B30="","",IFERROR(SUMIFS(nrES_Rec,nrES_PID,Cadets!$B27,nrES_Seq,cfgCurrentExamNum,nrES_Final,"Yes"),""))</f>
        <v/>
      </c>
      <c r="D30" s="18">
        <f>IF($B30="","",IFERROR(ROUND(AVERAGEIFS(nrES_Rec,nrES_Seq,cfgCurrentExamNum,nrES_Final,"Yes"),1),""))</f>
        <v/>
      </c>
      <c r="E30" s="18">
        <f>IF($B30="","",IF(COUNTIFS(nrES_PID,Cadets!$B27,nrES_Seq,cfgCurrentExamNum,nrES_Att,2)&gt;0,"RETEST (cap 70)",""))</f>
        <v/>
      </c>
      <c r="F30" s="18">
        <f>IF($B30="","",IF(cfgCurrentSpellingNum&lt;cfgCurrentExamNum,"(omitted)",Spelling!$P27))</f>
        <v/>
      </c>
      <c r="G30" s="18">
        <f>IF($B30="","",IF(Spelling!$R27="INTERVENTION","BELOW 75 — intervention",""))</f>
        <v/>
      </c>
      <c r="H30" s="18">
        <f>IF($B30="","",sysAttendance!$J27&amp;" / PT "&amp;sysAttendance!$R27)</f>
        <v/>
      </c>
      <c r="I30" s="18">
        <f>IF($B30="","",Writing!$AT27&amp;" ("&amp;Writing!$AS27&amp;" overdue)")</f>
        <v/>
      </c>
      <c r="J30" s="18">
        <f>IF($B30="","",sysFlags!$P27)</f>
        <v/>
      </c>
    </row>
    <row r="31">
      <c r="B31" s="18">
        <f>IF(IF(OR(Cadets!$B28="",Cadets!$I28&lt;&gt;"Active"),FALSE,OR(cfgPreviewAgency=cfgHomeAgency,Cadets!$G28=cfgPreviewAgency)),Cadets!$F28,"")</f>
        <v/>
      </c>
      <c r="C31" s="18">
        <f>IF($B31="","",IFERROR(SUMIFS(nrES_Rec,nrES_PID,Cadets!$B28,nrES_Seq,cfgCurrentExamNum,nrES_Final,"Yes"),""))</f>
        <v/>
      </c>
      <c r="D31" s="18">
        <f>IF($B31="","",IFERROR(ROUND(AVERAGEIFS(nrES_Rec,nrES_Seq,cfgCurrentExamNum,nrES_Final,"Yes"),1),""))</f>
        <v/>
      </c>
      <c r="E31" s="18">
        <f>IF($B31="","",IF(COUNTIFS(nrES_PID,Cadets!$B28,nrES_Seq,cfgCurrentExamNum,nrES_Att,2)&gt;0,"RETEST (cap 70)",""))</f>
        <v/>
      </c>
      <c r="F31" s="18">
        <f>IF($B31="","",IF(cfgCurrentSpellingNum&lt;cfgCurrentExamNum,"(omitted)",Spelling!$P28))</f>
        <v/>
      </c>
      <c r="G31" s="18">
        <f>IF($B31="","",IF(Spelling!$R28="INTERVENTION","BELOW 75 — intervention",""))</f>
        <v/>
      </c>
      <c r="H31" s="18">
        <f>IF($B31="","",sysAttendance!$J28&amp;" / PT "&amp;sysAttendance!$R28)</f>
        <v/>
      </c>
      <c r="I31" s="18">
        <f>IF($B31="","",Writing!$AT28&amp;" ("&amp;Writing!$AS28&amp;" overdue)")</f>
        <v/>
      </c>
      <c r="J31" s="18">
        <f>IF($B31="","",sysFlags!$P28)</f>
        <v/>
      </c>
    </row>
    <row r="32">
      <c r="B32" s="18">
        <f>IF(IF(OR(Cadets!$B29="",Cadets!$I29&lt;&gt;"Active"),FALSE,OR(cfgPreviewAgency=cfgHomeAgency,Cadets!$G29=cfgPreviewAgency)),Cadets!$F29,"")</f>
        <v/>
      </c>
      <c r="C32" s="18">
        <f>IF($B32="","",IFERROR(SUMIFS(nrES_Rec,nrES_PID,Cadets!$B29,nrES_Seq,cfgCurrentExamNum,nrES_Final,"Yes"),""))</f>
        <v/>
      </c>
      <c r="D32" s="18">
        <f>IF($B32="","",IFERROR(ROUND(AVERAGEIFS(nrES_Rec,nrES_Seq,cfgCurrentExamNum,nrES_Final,"Yes"),1),""))</f>
        <v/>
      </c>
      <c r="E32" s="18">
        <f>IF($B32="","",IF(COUNTIFS(nrES_PID,Cadets!$B29,nrES_Seq,cfgCurrentExamNum,nrES_Att,2)&gt;0,"RETEST (cap 70)",""))</f>
        <v/>
      </c>
      <c r="F32" s="18">
        <f>IF($B32="","",IF(cfgCurrentSpellingNum&lt;cfgCurrentExamNum,"(omitted)",Spelling!$P29))</f>
        <v/>
      </c>
      <c r="G32" s="18">
        <f>IF($B32="","",IF(Spelling!$R29="INTERVENTION","BELOW 75 — intervention",""))</f>
        <v/>
      </c>
      <c r="H32" s="18">
        <f>IF($B32="","",sysAttendance!$J29&amp;" / PT "&amp;sysAttendance!$R29)</f>
        <v/>
      </c>
      <c r="I32" s="18">
        <f>IF($B32="","",Writing!$AT29&amp;" ("&amp;Writing!$AS29&amp;" overdue)")</f>
        <v/>
      </c>
      <c r="J32" s="18">
        <f>IF($B32="","",sysFlags!$P29)</f>
        <v/>
      </c>
    </row>
    <row r="33">
      <c r="B33" s="18">
        <f>IF(IF(OR(Cadets!$B30="",Cadets!$I30&lt;&gt;"Active"),FALSE,OR(cfgPreviewAgency=cfgHomeAgency,Cadets!$G30=cfgPreviewAgency)),Cadets!$F30,"")</f>
        <v/>
      </c>
      <c r="C33" s="18">
        <f>IF($B33="","",IFERROR(SUMIFS(nrES_Rec,nrES_PID,Cadets!$B30,nrES_Seq,cfgCurrentExamNum,nrES_Final,"Yes"),""))</f>
        <v/>
      </c>
      <c r="D33" s="18">
        <f>IF($B33="","",IFERROR(ROUND(AVERAGEIFS(nrES_Rec,nrES_Seq,cfgCurrentExamNum,nrES_Final,"Yes"),1),""))</f>
        <v/>
      </c>
      <c r="E33" s="18">
        <f>IF($B33="","",IF(COUNTIFS(nrES_PID,Cadets!$B30,nrES_Seq,cfgCurrentExamNum,nrES_Att,2)&gt;0,"RETEST (cap 70)",""))</f>
        <v/>
      </c>
      <c r="F33" s="18">
        <f>IF($B33="","",IF(cfgCurrentSpellingNum&lt;cfgCurrentExamNum,"(omitted)",Spelling!$P30))</f>
        <v/>
      </c>
      <c r="G33" s="18">
        <f>IF($B33="","",IF(Spelling!$R30="INTERVENTION","BELOW 75 — intervention",""))</f>
        <v/>
      </c>
      <c r="H33" s="18">
        <f>IF($B33="","",sysAttendance!$J30&amp;" / PT "&amp;sysAttendance!$R30)</f>
        <v/>
      </c>
      <c r="I33" s="18">
        <f>IF($B33="","",Writing!$AT30&amp;" ("&amp;Writing!$AS30&amp;" overdue)")</f>
        <v/>
      </c>
      <c r="J33" s="18">
        <f>IF($B33="","",sysFlags!$P30)</f>
        <v/>
      </c>
    </row>
    <row r="34">
      <c r="B34" s="18">
        <f>IF(IF(OR(Cadets!$B31="",Cadets!$I31&lt;&gt;"Active"),FALSE,OR(cfgPreviewAgency=cfgHomeAgency,Cadets!$G31=cfgPreviewAgency)),Cadets!$F31,"")</f>
        <v/>
      </c>
      <c r="C34" s="18">
        <f>IF($B34="","",IFERROR(SUMIFS(nrES_Rec,nrES_PID,Cadets!$B31,nrES_Seq,cfgCurrentExamNum,nrES_Final,"Yes"),""))</f>
        <v/>
      </c>
      <c r="D34" s="18">
        <f>IF($B34="","",IFERROR(ROUND(AVERAGEIFS(nrES_Rec,nrES_Seq,cfgCurrentExamNum,nrES_Final,"Yes"),1),""))</f>
        <v/>
      </c>
      <c r="E34" s="18">
        <f>IF($B34="","",IF(COUNTIFS(nrES_PID,Cadets!$B31,nrES_Seq,cfgCurrentExamNum,nrES_Att,2)&gt;0,"RETEST (cap 70)",""))</f>
        <v/>
      </c>
      <c r="F34" s="18">
        <f>IF($B34="","",IF(cfgCurrentSpellingNum&lt;cfgCurrentExamNum,"(omitted)",Spelling!$P31))</f>
        <v/>
      </c>
      <c r="G34" s="18">
        <f>IF($B34="","",IF(Spelling!$R31="INTERVENTION","BELOW 75 — intervention",""))</f>
        <v/>
      </c>
      <c r="H34" s="18">
        <f>IF($B34="","",sysAttendance!$J31&amp;" / PT "&amp;sysAttendance!$R31)</f>
        <v/>
      </c>
      <c r="I34" s="18">
        <f>IF($B34="","",Writing!$AT31&amp;" ("&amp;Writing!$AS31&amp;" overdue)")</f>
        <v/>
      </c>
      <c r="J34" s="18">
        <f>IF($B34="","",sysFlags!$P31)</f>
        <v/>
      </c>
    </row>
    <row r="35">
      <c r="B35" s="18">
        <f>IF(IF(OR(Cadets!$B32="",Cadets!$I32&lt;&gt;"Active"),FALSE,OR(cfgPreviewAgency=cfgHomeAgency,Cadets!$G32=cfgPreviewAgency)),Cadets!$F32,"")</f>
        <v/>
      </c>
      <c r="C35" s="18">
        <f>IF($B35="","",IFERROR(SUMIFS(nrES_Rec,nrES_PID,Cadets!$B32,nrES_Seq,cfgCurrentExamNum,nrES_Final,"Yes"),""))</f>
        <v/>
      </c>
      <c r="D35" s="18">
        <f>IF($B35="","",IFERROR(ROUND(AVERAGEIFS(nrES_Rec,nrES_Seq,cfgCurrentExamNum,nrES_Final,"Yes"),1),""))</f>
        <v/>
      </c>
      <c r="E35" s="18">
        <f>IF($B35="","",IF(COUNTIFS(nrES_PID,Cadets!$B32,nrES_Seq,cfgCurrentExamNum,nrES_Att,2)&gt;0,"RETEST (cap 70)",""))</f>
        <v/>
      </c>
      <c r="F35" s="18">
        <f>IF($B35="","",IF(cfgCurrentSpellingNum&lt;cfgCurrentExamNum,"(omitted)",Spelling!$P32))</f>
        <v/>
      </c>
      <c r="G35" s="18">
        <f>IF($B35="","",IF(Spelling!$R32="INTERVENTION","BELOW 75 — intervention",""))</f>
        <v/>
      </c>
      <c r="H35" s="18">
        <f>IF($B35="","",sysAttendance!$J32&amp;" / PT "&amp;sysAttendance!$R32)</f>
        <v/>
      </c>
      <c r="I35" s="18">
        <f>IF($B35="","",Writing!$AT32&amp;" ("&amp;Writing!$AS32&amp;" overdue)")</f>
        <v/>
      </c>
      <c r="J35" s="18">
        <f>IF($B35="","",sysFlags!$P32)</f>
        <v/>
      </c>
    </row>
    <row r="36">
      <c r="B36" s="18">
        <f>IF(IF(OR(Cadets!$B33="",Cadets!$I33&lt;&gt;"Active"),FALSE,OR(cfgPreviewAgency=cfgHomeAgency,Cadets!$G33=cfgPreviewAgency)),Cadets!$F33,"")</f>
        <v/>
      </c>
      <c r="C36" s="18">
        <f>IF($B36="","",IFERROR(SUMIFS(nrES_Rec,nrES_PID,Cadets!$B33,nrES_Seq,cfgCurrentExamNum,nrES_Final,"Yes"),""))</f>
        <v/>
      </c>
      <c r="D36" s="18">
        <f>IF($B36="","",IFERROR(ROUND(AVERAGEIFS(nrES_Rec,nrES_Seq,cfgCurrentExamNum,nrES_Final,"Yes"),1),""))</f>
        <v/>
      </c>
      <c r="E36" s="18">
        <f>IF($B36="","",IF(COUNTIFS(nrES_PID,Cadets!$B33,nrES_Seq,cfgCurrentExamNum,nrES_Att,2)&gt;0,"RETEST (cap 70)",""))</f>
        <v/>
      </c>
      <c r="F36" s="18">
        <f>IF($B36="","",IF(cfgCurrentSpellingNum&lt;cfgCurrentExamNum,"(omitted)",Spelling!$P33))</f>
        <v/>
      </c>
      <c r="G36" s="18">
        <f>IF($B36="","",IF(Spelling!$R33="INTERVENTION","BELOW 75 — intervention",""))</f>
        <v/>
      </c>
      <c r="H36" s="18">
        <f>IF($B36="","",sysAttendance!$J33&amp;" / PT "&amp;sysAttendance!$R33)</f>
        <v/>
      </c>
      <c r="I36" s="18">
        <f>IF($B36="","",Writing!$AT33&amp;" ("&amp;Writing!$AS33&amp;" overdue)")</f>
        <v/>
      </c>
      <c r="J36" s="18">
        <f>IF($B36="","",sysFlags!$P33)</f>
        <v/>
      </c>
    </row>
    <row r="37">
      <c r="B37" s="18">
        <f>IF(IF(OR(Cadets!$B34="",Cadets!$I34&lt;&gt;"Active"),FALSE,OR(cfgPreviewAgency=cfgHomeAgency,Cadets!$G34=cfgPreviewAgency)),Cadets!$F34,"")</f>
        <v/>
      </c>
      <c r="C37" s="18">
        <f>IF($B37="","",IFERROR(SUMIFS(nrES_Rec,nrES_PID,Cadets!$B34,nrES_Seq,cfgCurrentExamNum,nrES_Final,"Yes"),""))</f>
        <v/>
      </c>
      <c r="D37" s="18">
        <f>IF($B37="","",IFERROR(ROUND(AVERAGEIFS(nrES_Rec,nrES_Seq,cfgCurrentExamNum,nrES_Final,"Yes"),1),""))</f>
        <v/>
      </c>
      <c r="E37" s="18">
        <f>IF($B37="","",IF(COUNTIFS(nrES_PID,Cadets!$B34,nrES_Seq,cfgCurrentExamNum,nrES_Att,2)&gt;0,"RETEST (cap 70)",""))</f>
        <v/>
      </c>
      <c r="F37" s="18">
        <f>IF($B37="","",IF(cfgCurrentSpellingNum&lt;cfgCurrentExamNum,"(omitted)",Spelling!$P34))</f>
        <v/>
      </c>
      <c r="G37" s="18">
        <f>IF($B37="","",IF(Spelling!$R34="INTERVENTION","BELOW 75 — intervention",""))</f>
        <v/>
      </c>
      <c r="H37" s="18">
        <f>IF($B37="","",sysAttendance!$J34&amp;" / PT "&amp;sysAttendance!$R34)</f>
        <v/>
      </c>
      <c r="I37" s="18">
        <f>IF($B37="","",Writing!$AT34&amp;" ("&amp;Writing!$AS34&amp;" overdue)")</f>
        <v/>
      </c>
      <c r="J37" s="18">
        <f>IF($B37="","",sysFlags!$P34)</f>
        <v/>
      </c>
    </row>
    <row r="38">
      <c r="B38" s="18">
        <f>IF(IF(OR(Cadets!$B35="",Cadets!$I35&lt;&gt;"Active"),FALSE,OR(cfgPreviewAgency=cfgHomeAgency,Cadets!$G35=cfgPreviewAgency)),Cadets!$F35,"")</f>
        <v/>
      </c>
      <c r="C38" s="18">
        <f>IF($B38="","",IFERROR(SUMIFS(nrES_Rec,nrES_PID,Cadets!$B35,nrES_Seq,cfgCurrentExamNum,nrES_Final,"Yes"),""))</f>
        <v/>
      </c>
      <c r="D38" s="18">
        <f>IF($B38="","",IFERROR(ROUND(AVERAGEIFS(nrES_Rec,nrES_Seq,cfgCurrentExamNum,nrES_Final,"Yes"),1),""))</f>
        <v/>
      </c>
      <c r="E38" s="18">
        <f>IF($B38="","",IF(COUNTIFS(nrES_PID,Cadets!$B35,nrES_Seq,cfgCurrentExamNum,nrES_Att,2)&gt;0,"RETEST (cap 70)",""))</f>
        <v/>
      </c>
      <c r="F38" s="18">
        <f>IF($B38="","",IF(cfgCurrentSpellingNum&lt;cfgCurrentExamNum,"(omitted)",Spelling!$P35))</f>
        <v/>
      </c>
      <c r="G38" s="18">
        <f>IF($B38="","",IF(Spelling!$R35="INTERVENTION","BELOW 75 — intervention",""))</f>
        <v/>
      </c>
      <c r="H38" s="18">
        <f>IF($B38="","",sysAttendance!$J35&amp;" / PT "&amp;sysAttendance!$R35)</f>
        <v/>
      </c>
      <c r="I38" s="18">
        <f>IF($B38="","",Writing!$AT35&amp;" ("&amp;Writing!$AS35&amp;" overdue)")</f>
        <v/>
      </c>
      <c r="J38" s="18">
        <f>IF($B38="","",sysFlags!$P35)</f>
        <v/>
      </c>
    </row>
    <row r="39">
      <c r="B39" s="18">
        <f>IF(IF(OR(Cadets!$B36="",Cadets!$I36&lt;&gt;"Active"),FALSE,OR(cfgPreviewAgency=cfgHomeAgency,Cadets!$G36=cfgPreviewAgency)),Cadets!$F36,"")</f>
        <v/>
      </c>
      <c r="C39" s="18">
        <f>IF($B39="","",IFERROR(SUMIFS(nrES_Rec,nrES_PID,Cadets!$B36,nrES_Seq,cfgCurrentExamNum,nrES_Final,"Yes"),""))</f>
        <v/>
      </c>
      <c r="D39" s="18">
        <f>IF($B39="","",IFERROR(ROUND(AVERAGEIFS(nrES_Rec,nrES_Seq,cfgCurrentExamNum,nrES_Final,"Yes"),1),""))</f>
        <v/>
      </c>
      <c r="E39" s="18">
        <f>IF($B39="","",IF(COUNTIFS(nrES_PID,Cadets!$B36,nrES_Seq,cfgCurrentExamNum,nrES_Att,2)&gt;0,"RETEST (cap 70)",""))</f>
        <v/>
      </c>
      <c r="F39" s="18">
        <f>IF($B39="","",IF(cfgCurrentSpellingNum&lt;cfgCurrentExamNum,"(omitted)",Spelling!$P36))</f>
        <v/>
      </c>
      <c r="G39" s="18">
        <f>IF($B39="","",IF(Spelling!$R36="INTERVENTION","BELOW 75 — intervention",""))</f>
        <v/>
      </c>
      <c r="H39" s="18">
        <f>IF($B39="","",sysAttendance!$J36&amp;" / PT "&amp;sysAttendance!$R36)</f>
        <v/>
      </c>
      <c r="I39" s="18">
        <f>IF($B39="","",Writing!$AT36&amp;" ("&amp;Writing!$AS36&amp;" overdue)")</f>
        <v/>
      </c>
      <c r="J39" s="18">
        <f>IF($B39="","",sysFlags!$P36)</f>
        <v/>
      </c>
    </row>
    <row r="40">
      <c r="B40" s="18">
        <f>IF(IF(OR(Cadets!$B37="",Cadets!$I37&lt;&gt;"Active"),FALSE,OR(cfgPreviewAgency=cfgHomeAgency,Cadets!$G37=cfgPreviewAgency)),Cadets!$F37,"")</f>
        <v/>
      </c>
      <c r="C40" s="18">
        <f>IF($B40="","",IFERROR(SUMIFS(nrES_Rec,nrES_PID,Cadets!$B37,nrES_Seq,cfgCurrentExamNum,nrES_Final,"Yes"),""))</f>
        <v/>
      </c>
      <c r="D40" s="18">
        <f>IF($B40="","",IFERROR(ROUND(AVERAGEIFS(nrES_Rec,nrES_Seq,cfgCurrentExamNum,nrES_Final,"Yes"),1),""))</f>
        <v/>
      </c>
      <c r="E40" s="18">
        <f>IF($B40="","",IF(COUNTIFS(nrES_PID,Cadets!$B37,nrES_Seq,cfgCurrentExamNum,nrES_Att,2)&gt;0,"RETEST (cap 70)",""))</f>
        <v/>
      </c>
      <c r="F40" s="18">
        <f>IF($B40="","",IF(cfgCurrentSpellingNum&lt;cfgCurrentExamNum,"(omitted)",Spelling!$P37))</f>
        <v/>
      </c>
      <c r="G40" s="18">
        <f>IF($B40="","",IF(Spelling!$R37="INTERVENTION","BELOW 75 — intervention",""))</f>
        <v/>
      </c>
      <c r="H40" s="18">
        <f>IF($B40="","",sysAttendance!$J37&amp;" / PT "&amp;sysAttendance!$R37)</f>
        <v/>
      </c>
      <c r="I40" s="18">
        <f>IF($B40="","",Writing!$AT37&amp;" ("&amp;Writing!$AS37&amp;" overdue)")</f>
        <v/>
      </c>
      <c r="J40" s="18">
        <f>IF($B40="","",sysFlags!$P37)</f>
        <v/>
      </c>
    </row>
    <row r="41">
      <c r="B41" s="18">
        <f>IF(IF(OR(Cadets!$B38="",Cadets!$I38&lt;&gt;"Active"),FALSE,OR(cfgPreviewAgency=cfgHomeAgency,Cadets!$G38=cfgPreviewAgency)),Cadets!$F38,"")</f>
        <v/>
      </c>
      <c r="C41" s="18">
        <f>IF($B41="","",IFERROR(SUMIFS(nrES_Rec,nrES_PID,Cadets!$B38,nrES_Seq,cfgCurrentExamNum,nrES_Final,"Yes"),""))</f>
        <v/>
      </c>
      <c r="D41" s="18">
        <f>IF($B41="","",IFERROR(ROUND(AVERAGEIFS(nrES_Rec,nrES_Seq,cfgCurrentExamNum,nrES_Final,"Yes"),1),""))</f>
        <v/>
      </c>
      <c r="E41" s="18">
        <f>IF($B41="","",IF(COUNTIFS(nrES_PID,Cadets!$B38,nrES_Seq,cfgCurrentExamNum,nrES_Att,2)&gt;0,"RETEST (cap 70)",""))</f>
        <v/>
      </c>
      <c r="F41" s="18">
        <f>IF($B41="","",IF(cfgCurrentSpellingNum&lt;cfgCurrentExamNum,"(omitted)",Spelling!$P38))</f>
        <v/>
      </c>
      <c r="G41" s="18">
        <f>IF($B41="","",IF(Spelling!$R38="INTERVENTION","BELOW 75 — intervention",""))</f>
        <v/>
      </c>
      <c r="H41" s="18">
        <f>IF($B41="","",sysAttendance!$J38&amp;" / PT "&amp;sysAttendance!$R38)</f>
        <v/>
      </c>
      <c r="I41" s="18">
        <f>IF($B41="","",Writing!$AT38&amp;" ("&amp;Writing!$AS38&amp;" overdue)")</f>
        <v/>
      </c>
      <c r="J41" s="18">
        <f>IF($B41="","",sysFlags!$P38)</f>
        <v/>
      </c>
    </row>
    <row r="42">
      <c r="B42" s="18">
        <f>IF(IF(OR(Cadets!$B39="",Cadets!$I39&lt;&gt;"Active"),FALSE,OR(cfgPreviewAgency=cfgHomeAgency,Cadets!$G39=cfgPreviewAgency)),Cadets!$F39,"")</f>
        <v/>
      </c>
      <c r="C42" s="18">
        <f>IF($B42="","",IFERROR(SUMIFS(nrES_Rec,nrES_PID,Cadets!$B39,nrES_Seq,cfgCurrentExamNum,nrES_Final,"Yes"),""))</f>
        <v/>
      </c>
      <c r="D42" s="18">
        <f>IF($B42="","",IFERROR(ROUND(AVERAGEIFS(nrES_Rec,nrES_Seq,cfgCurrentExamNum,nrES_Final,"Yes"),1),""))</f>
        <v/>
      </c>
      <c r="E42" s="18">
        <f>IF($B42="","",IF(COUNTIFS(nrES_PID,Cadets!$B39,nrES_Seq,cfgCurrentExamNum,nrES_Att,2)&gt;0,"RETEST (cap 70)",""))</f>
        <v/>
      </c>
      <c r="F42" s="18">
        <f>IF($B42="","",IF(cfgCurrentSpellingNum&lt;cfgCurrentExamNum,"(omitted)",Spelling!$P39))</f>
        <v/>
      </c>
      <c r="G42" s="18">
        <f>IF($B42="","",IF(Spelling!$R39="INTERVENTION","BELOW 75 — intervention",""))</f>
        <v/>
      </c>
      <c r="H42" s="18">
        <f>IF($B42="","",sysAttendance!$J39&amp;" / PT "&amp;sysAttendance!$R39)</f>
        <v/>
      </c>
      <c r="I42" s="18">
        <f>IF($B42="","",Writing!$AT39&amp;" ("&amp;Writing!$AS39&amp;" overdue)")</f>
        <v/>
      </c>
      <c r="J42" s="18">
        <f>IF($B42="","",sysFlags!$P39)</f>
        <v/>
      </c>
    </row>
    <row r="43">
      <c r="B43" s="18">
        <f>IF(IF(OR(Cadets!$B40="",Cadets!$I40&lt;&gt;"Active"),FALSE,OR(cfgPreviewAgency=cfgHomeAgency,Cadets!$G40=cfgPreviewAgency)),Cadets!$F40,"")</f>
        <v/>
      </c>
      <c r="C43" s="18">
        <f>IF($B43="","",IFERROR(SUMIFS(nrES_Rec,nrES_PID,Cadets!$B40,nrES_Seq,cfgCurrentExamNum,nrES_Final,"Yes"),""))</f>
        <v/>
      </c>
      <c r="D43" s="18">
        <f>IF($B43="","",IFERROR(ROUND(AVERAGEIFS(nrES_Rec,nrES_Seq,cfgCurrentExamNum,nrES_Final,"Yes"),1),""))</f>
        <v/>
      </c>
      <c r="E43" s="18">
        <f>IF($B43="","",IF(COUNTIFS(nrES_PID,Cadets!$B40,nrES_Seq,cfgCurrentExamNum,nrES_Att,2)&gt;0,"RETEST (cap 70)",""))</f>
        <v/>
      </c>
      <c r="F43" s="18">
        <f>IF($B43="","",IF(cfgCurrentSpellingNum&lt;cfgCurrentExamNum,"(omitted)",Spelling!$P40))</f>
        <v/>
      </c>
      <c r="G43" s="18">
        <f>IF($B43="","",IF(Spelling!$R40="INTERVENTION","BELOW 75 — intervention",""))</f>
        <v/>
      </c>
      <c r="H43" s="18">
        <f>IF($B43="","",sysAttendance!$J40&amp;" / PT "&amp;sysAttendance!$R40)</f>
        <v/>
      </c>
      <c r="I43" s="18">
        <f>IF($B43="","",Writing!$AT40&amp;" ("&amp;Writing!$AS40&amp;" overdue)")</f>
        <v/>
      </c>
      <c r="J43" s="18">
        <f>IF($B43="","",sysFlags!$P40)</f>
        <v/>
      </c>
    </row>
    <row r="44">
      <c r="B44" s="18">
        <f>IF(IF(OR(Cadets!$B41="",Cadets!$I41&lt;&gt;"Active"),FALSE,OR(cfgPreviewAgency=cfgHomeAgency,Cadets!$G41=cfgPreviewAgency)),Cadets!$F41,"")</f>
        <v/>
      </c>
      <c r="C44" s="18">
        <f>IF($B44="","",IFERROR(SUMIFS(nrES_Rec,nrES_PID,Cadets!$B41,nrES_Seq,cfgCurrentExamNum,nrES_Final,"Yes"),""))</f>
        <v/>
      </c>
      <c r="D44" s="18">
        <f>IF($B44="","",IFERROR(ROUND(AVERAGEIFS(nrES_Rec,nrES_Seq,cfgCurrentExamNum,nrES_Final,"Yes"),1),""))</f>
        <v/>
      </c>
      <c r="E44" s="18">
        <f>IF($B44="","",IF(COUNTIFS(nrES_PID,Cadets!$B41,nrES_Seq,cfgCurrentExamNum,nrES_Att,2)&gt;0,"RETEST (cap 70)",""))</f>
        <v/>
      </c>
      <c r="F44" s="18">
        <f>IF($B44="","",IF(cfgCurrentSpellingNum&lt;cfgCurrentExamNum,"(omitted)",Spelling!$P41))</f>
        <v/>
      </c>
      <c r="G44" s="18">
        <f>IF($B44="","",IF(Spelling!$R41="INTERVENTION","BELOW 75 — intervention",""))</f>
        <v/>
      </c>
      <c r="H44" s="18">
        <f>IF($B44="","",sysAttendance!$J41&amp;" / PT "&amp;sysAttendance!$R41)</f>
        <v/>
      </c>
      <c r="I44" s="18">
        <f>IF($B44="","",Writing!$AT41&amp;" ("&amp;Writing!$AS41&amp;" overdue)")</f>
        <v/>
      </c>
      <c r="J44" s="18">
        <f>IF($B44="","",sysFlags!$P41)</f>
        <v/>
      </c>
    </row>
    <row r="45">
      <c r="B45" s="18">
        <f>IF(IF(OR(Cadets!$B42="",Cadets!$I42&lt;&gt;"Active"),FALSE,OR(cfgPreviewAgency=cfgHomeAgency,Cadets!$G42=cfgPreviewAgency)),Cadets!$F42,"")</f>
        <v/>
      </c>
      <c r="C45" s="18">
        <f>IF($B45="","",IFERROR(SUMIFS(nrES_Rec,nrES_PID,Cadets!$B42,nrES_Seq,cfgCurrentExamNum,nrES_Final,"Yes"),""))</f>
        <v/>
      </c>
      <c r="D45" s="18">
        <f>IF($B45="","",IFERROR(ROUND(AVERAGEIFS(nrES_Rec,nrES_Seq,cfgCurrentExamNum,nrES_Final,"Yes"),1),""))</f>
        <v/>
      </c>
      <c r="E45" s="18">
        <f>IF($B45="","",IF(COUNTIFS(nrES_PID,Cadets!$B42,nrES_Seq,cfgCurrentExamNum,nrES_Att,2)&gt;0,"RETEST (cap 70)",""))</f>
        <v/>
      </c>
      <c r="F45" s="18">
        <f>IF($B45="","",IF(cfgCurrentSpellingNum&lt;cfgCurrentExamNum,"(omitted)",Spelling!$P42))</f>
        <v/>
      </c>
      <c r="G45" s="18">
        <f>IF($B45="","",IF(Spelling!$R42="INTERVENTION","BELOW 75 — intervention",""))</f>
        <v/>
      </c>
      <c r="H45" s="18">
        <f>IF($B45="","",sysAttendance!$J42&amp;" / PT "&amp;sysAttendance!$R42)</f>
        <v/>
      </c>
      <c r="I45" s="18">
        <f>IF($B45="","",Writing!$AT42&amp;" ("&amp;Writing!$AS42&amp;" overdue)")</f>
        <v/>
      </c>
      <c r="J45" s="18">
        <f>IF($B45="","",sysFlags!$P42)</f>
        <v/>
      </c>
    </row>
    <row r="46">
      <c r="B46" s="18">
        <f>IF(IF(OR(Cadets!$B43="",Cadets!$I43&lt;&gt;"Active"),FALSE,OR(cfgPreviewAgency=cfgHomeAgency,Cadets!$G43=cfgPreviewAgency)),Cadets!$F43,"")</f>
        <v/>
      </c>
      <c r="C46" s="18">
        <f>IF($B46="","",IFERROR(SUMIFS(nrES_Rec,nrES_PID,Cadets!$B43,nrES_Seq,cfgCurrentExamNum,nrES_Final,"Yes"),""))</f>
        <v/>
      </c>
      <c r="D46" s="18">
        <f>IF($B46="","",IFERROR(ROUND(AVERAGEIFS(nrES_Rec,nrES_Seq,cfgCurrentExamNum,nrES_Final,"Yes"),1),""))</f>
        <v/>
      </c>
      <c r="E46" s="18">
        <f>IF($B46="","",IF(COUNTIFS(nrES_PID,Cadets!$B43,nrES_Seq,cfgCurrentExamNum,nrES_Att,2)&gt;0,"RETEST (cap 70)",""))</f>
        <v/>
      </c>
      <c r="F46" s="18">
        <f>IF($B46="","",IF(cfgCurrentSpellingNum&lt;cfgCurrentExamNum,"(omitted)",Spelling!$P43))</f>
        <v/>
      </c>
      <c r="G46" s="18">
        <f>IF($B46="","",IF(Spelling!$R43="INTERVENTION","BELOW 75 — intervention",""))</f>
        <v/>
      </c>
      <c r="H46" s="18">
        <f>IF($B46="","",sysAttendance!$J43&amp;" / PT "&amp;sysAttendance!$R43)</f>
        <v/>
      </c>
      <c r="I46" s="18">
        <f>IF($B46="","",Writing!$AT43&amp;" ("&amp;Writing!$AS43&amp;" overdue)")</f>
        <v/>
      </c>
      <c r="J46" s="18">
        <f>IF($B46="","",sysFlags!$P43)</f>
        <v/>
      </c>
    </row>
    <row r="47">
      <c r="B47" s="18">
        <f>IF(IF(OR(Cadets!$B44="",Cadets!$I44&lt;&gt;"Active"),FALSE,OR(cfgPreviewAgency=cfgHomeAgency,Cadets!$G44=cfgPreviewAgency)),Cadets!$F44,"")</f>
        <v/>
      </c>
      <c r="C47" s="18">
        <f>IF($B47="","",IFERROR(SUMIFS(nrES_Rec,nrES_PID,Cadets!$B44,nrES_Seq,cfgCurrentExamNum,nrES_Final,"Yes"),""))</f>
        <v/>
      </c>
      <c r="D47" s="18">
        <f>IF($B47="","",IFERROR(ROUND(AVERAGEIFS(nrES_Rec,nrES_Seq,cfgCurrentExamNum,nrES_Final,"Yes"),1),""))</f>
        <v/>
      </c>
      <c r="E47" s="18">
        <f>IF($B47="","",IF(COUNTIFS(nrES_PID,Cadets!$B44,nrES_Seq,cfgCurrentExamNum,nrES_Att,2)&gt;0,"RETEST (cap 70)",""))</f>
        <v/>
      </c>
      <c r="F47" s="18">
        <f>IF($B47="","",IF(cfgCurrentSpellingNum&lt;cfgCurrentExamNum,"(omitted)",Spelling!$P44))</f>
        <v/>
      </c>
      <c r="G47" s="18">
        <f>IF($B47="","",IF(Spelling!$R44="INTERVENTION","BELOW 75 — intervention",""))</f>
        <v/>
      </c>
      <c r="H47" s="18">
        <f>IF($B47="","",sysAttendance!$J44&amp;" / PT "&amp;sysAttendance!$R44)</f>
        <v/>
      </c>
      <c r="I47" s="18">
        <f>IF($B47="","",Writing!$AT44&amp;" ("&amp;Writing!$AS44&amp;" overdue)")</f>
        <v/>
      </c>
      <c r="J47" s="18">
        <f>IF($B47="","",sysFlags!$P44)</f>
        <v/>
      </c>
    </row>
    <row r="48">
      <c r="B48" s="18">
        <f>IF(IF(OR(Cadets!$B45="",Cadets!$I45&lt;&gt;"Active"),FALSE,OR(cfgPreviewAgency=cfgHomeAgency,Cadets!$G45=cfgPreviewAgency)),Cadets!$F45,"")</f>
        <v/>
      </c>
      <c r="C48" s="18">
        <f>IF($B48="","",IFERROR(SUMIFS(nrES_Rec,nrES_PID,Cadets!$B45,nrES_Seq,cfgCurrentExamNum,nrES_Final,"Yes"),""))</f>
        <v/>
      </c>
      <c r="D48" s="18">
        <f>IF($B48="","",IFERROR(ROUND(AVERAGEIFS(nrES_Rec,nrES_Seq,cfgCurrentExamNum,nrES_Final,"Yes"),1),""))</f>
        <v/>
      </c>
      <c r="E48" s="18">
        <f>IF($B48="","",IF(COUNTIFS(nrES_PID,Cadets!$B45,nrES_Seq,cfgCurrentExamNum,nrES_Att,2)&gt;0,"RETEST (cap 70)",""))</f>
        <v/>
      </c>
      <c r="F48" s="18">
        <f>IF($B48="","",IF(cfgCurrentSpellingNum&lt;cfgCurrentExamNum,"(omitted)",Spelling!$P45))</f>
        <v/>
      </c>
      <c r="G48" s="18">
        <f>IF($B48="","",IF(Spelling!$R45="INTERVENTION","BELOW 75 — intervention",""))</f>
        <v/>
      </c>
      <c r="H48" s="18">
        <f>IF($B48="","",sysAttendance!$J45&amp;" / PT "&amp;sysAttendance!$R45)</f>
        <v/>
      </c>
      <c r="I48" s="18">
        <f>IF($B48="","",Writing!$AT45&amp;" ("&amp;Writing!$AS45&amp;" overdue)")</f>
        <v/>
      </c>
      <c r="J48" s="18">
        <f>IF($B48="","",sysFlags!$P45)</f>
        <v/>
      </c>
    </row>
    <row r="49">
      <c r="B49" s="18">
        <f>IF(IF(OR(Cadets!$B46="",Cadets!$I46&lt;&gt;"Active"),FALSE,OR(cfgPreviewAgency=cfgHomeAgency,Cadets!$G46=cfgPreviewAgency)),Cadets!$F46,"")</f>
        <v/>
      </c>
      <c r="C49" s="18">
        <f>IF($B49="","",IFERROR(SUMIFS(nrES_Rec,nrES_PID,Cadets!$B46,nrES_Seq,cfgCurrentExamNum,nrES_Final,"Yes"),""))</f>
        <v/>
      </c>
      <c r="D49" s="18">
        <f>IF($B49="","",IFERROR(ROUND(AVERAGEIFS(nrES_Rec,nrES_Seq,cfgCurrentExamNum,nrES_Final,"Yes"),1),""))</f>
        <v/>
      </c>
      <c r="E49" s="18">
        <f>IF($B49="","",IF(COUNTIFS(nrES_PID,Cadets!$B46,nrES_Seq,cfgCurrentExamNum,nrES_Att,2)&gt;0,"RETEST (cap 70)",""))</f>
        <v/>
      </c>
      <c r="F49" s="18">
        <f>IF($B49="","",IF(cfgCurrentSpellingNum&lt;cfgCurrentExamNum,"(omitted)",Spelling!$P46))</f>
        <v/>
      </c>
      <c r="G49" s="18">
        <f>IF($B49="","",IF(Spelling!$R46="INTERVENTION","BELOW 75 — intervention",""))</f>
        <v/>
      </c>
      <c r="H49" s="18">
        <f>IF($B49="","",sysAttendance!$J46&amp;" / PT "&amp;sysAttendance!$R46)</f>
        <v/>
      </c>
      <c r="I49" s="18">
        <f>IF($B49="","",Writing!$AT46&amp;" ("&amp;Writing!$AS46&amp;" overdue)")</f>
        <v/>
      </c>
      <c r="J49" s="18">
        <f>IF($B49="","",sysFlags!$P46)</f>
        <v/>
      </c>
    </row>
    <row r="50">
      <c r="B50" s="18">
        <f>IF(IF(OR(Cadets!$B47="",Cadets!$I47&lt;&gt;"Active"),FALSE,OR(cfgPreviewAgency=cfgHomeAgency,Cadets!$G47=cfgPreviewAgency)),Cadets!$F47,"")</f>
        <v/>
      </c>
      <c r="C50" s="18">
        <f>IF($B50="","",IFERROR(SUMIFS(nrES_Rec,nrES_PID,Cadets!$B47,nrES_Seq,cfgCurrentExamNum,nrES_Final,"Yes"),""))</f>
        <v/>
      </c>
      <c r="D50" s="18">
        <f>IF($B50="","",IFERROR(ROUND(AVERAGEIFS(nrES_Rec,nrES_Seq,cfgCurrentExamNum,nrES_Final,"Yes"),1),""))</f>
        <v/>
      </c>
      <c r="E50" s="18">
        <f>IF($B50="","",IF(COUNTIFS(nrES_PID,Cadets!$B47,nrES_Seq,cfgCurrentExamNum,nrES_Att,2)&gt;0,"RETEST (cap 70)",""))</f>
        <v/>
      </c>
      <c r="F50" s="18">
        <f>IF($B50="","",IF(cfgCurrentSpellingNum&lt;cfgCurrentExamNum,"(omitted)",Spelling!$P47))</f>
        <v/>
      </c>
      <c r="G50" s="18">
        <f>IF($B50="","",IF(Spelling!$R47="INTERVENTION","BELOW 75 — intervention",""))</f>
        <v/>
      </c>
      <c r="H50" s="18">
        <f>IF($B50="","",sysAttendance!$J47&amp;" / PT "&amp;sysAttendance!$R47)</f>
        <v/>
      </c>
      <c r="I50" s="18">
        <f>IF($B50="","",Writing!$AT47&amp;" ("&amp;Writing!$AS47&amp;" overdue)")</f>
        <v/>
      </c>
      <c r="J50" s="18">
        <f>IF($B50="","",sysFlags!$P47)</f>
        <v/>
      </c>
    </row>
    <row r="51">
      <c r="B51" s="18">
        <f>IF(IF(OR(Cadets!$B48="",Cadets!$I48&lt;&gt;"Active"),FALSE,OR(cfgPreviewAgency=cfgHomeAgency,Cadets!$G48=cfgPreviewAgency)),Cadets!$F48,"")</f>
        <v/>
      </c>
      <c r="C51" s="18">
        <f>IF($B51="","",IFERROR(SUMIFS(nrES_Rec,nrES_PID,Cadets!$B48,nrES_Seq,cfgCurrentExamNum,nrES_Final,"Yes"),""))</f>
        <v/>
      </c>
      <c r="D51" s="18">
        <f>IF($B51="","",IFERROR(ROUND(AVERAGEIFS(nrES_Rec,nrES_Seq,cfgCurrentExamNum,nrES_Final,"Yes"),1),""))</f>
        <v/>
      </c>
      <c r="E51" s="18">
        <f>IF($B51="","",IF(COUNTIFS(nrES_PID,Cadets!$B48,nrES_Seq,cfgCurrentExamNum,nrES_Att,2)&gt;0,"RETEST (cap 70)",""))</f>
        <v/>
      </c>
      <c r="F51" s="18">
        <f>IF($B51="","",IF(cfgCurrentSpellingNum&lt;cfgCurrentExamNum,"(omitted)",Spelling!$P48))</f>
        <v/>
      </c>
      <c r="G51" s="18">
        <f>IF($B51="","",IF(Spelling!$R48="INTERVENTION","BELOW 75 — intervention",""))</f>
        <v/>
      </c>
      <c r="H51" s="18">
        <f>IF($B51="","",sysAttendance!$J48&amp;" / PT "&amp;sysAttendance!$R48)</f>
        <v/>
      </c>
      <c r="I51" s="18">
        <f>IF($B51="","",Writing!$AT48&amp;" ("&amp;Writing!$AS48&amp;" overdue)")</f>
        <v/>
      </c>
      <c r="J51" s="18">
        <f>IF($B51="","",sysFlags!$P48)</f>
        <v/>
      </c>
    </row>
    <row r="52">
      <c r="B52" s="18">
        <f>IF(IF(OR(Cadets!$B49="",Cadets!$I49&lt;&gt;"Active"),FALSE,OR(cfgPreviewAgency=cfgHomeAgency,Cadets!$G49=cfgPreviewAgency)),Cadets!$F49,"")</f>
        <v/>
      </c>
      <c r="C52" s="18">
        <f>IF($B52="","",IFERROR(SUMIFS(nrES_Rec,nrES_PID,Cadets!$B49,nrES_Seq,cfgCurrentExamNum,nrES_Final,"Yes"),""))</f>
        <v/>
      </c>
      <c r="D52" s="18">
        <f>IF($B52="","",IFERROR(ROUND(AVERAGEIFS(nrES_Rec,nrES_Seq,cfgCurrentExamNum,nrES_Final,"Yes"),1),""))</f>
        <v/>
      </c>
      <c r="E52" s="18">
        <f>IF($B52="","",IF(COUNTIFS(nrES_PID,Cadets!$B49,nrES_Seq,cfgCurrentExamNum,nrES_Att,2)&gt;0,"RETEST (cap 70)",""))</f>
        <v/>
      </c>
      <c r="F52" s="18">
        <f>IF($B52="","",IF(cfgCurrentSpellingNum&lt;cfgCurrentExamNum,"(omitted)",Spelling!$P49))</f>
        <v/>
      </c>
      <c r="G52" s="18">
        <f>IF($B52="","",IF(Spelling!$R49="INTERVENTION","BELOW 75 — intervention",""))</f>
        <v/>
      </c>
      <c r="H52" s="18">
        <f>IF($B52="","",sysAttendance!$J49&amp;" / PT "&amp;sysAttendance!$R49)</f>
        <v/>
      </c>
      <c r="I52" s="18">
        <f>IF($B52="","",Writing!$AT49&amp;" ("&amp;Writing!$AS49&amp;" overdue)")</f>
        <v/>
      </c>
      <c r="J52" s="18">
        <f>IF($B52="","",sysFlags!$P49)</f>
        <v/>
      </c>
    </row>
    <row r="53">
      <c r="B53" s="18">
        <f>IF(IF(OR(Cadets!$B50="",Cadets!$I50&lt;&gt;"Active"),FALSE,OR(cfgPreviewAgency=cfgHomeAgency,Cadets!$G50=cfgPreviewAgency)),Cadets!$F50,"")</f>
        <v/>
      </c>
      <c r="C53" s="18">
        <f>IF($B53="","",IFERROR(SUMIFS(nrES_Rec,nrES_PID,Cadets!$B50,nrES_Seq,cfgCurrentExamNum,nrES_Final,"Yes"),""))</f>
        <v/>
      </c>
      <c r="D53" s="18">
        <f>IF($B53="","",IFERROR(ROUND(AVERAGEIFS(nrES_Rec,nrES_Seq,cfgCurrentExamNum,nrES_Final,"Yes"),1),""))</f>
        <v/>
      </c>
      <c r="E53" s="18">
        <f>IF($B53="","",IF(COUNTIFS(nrES_PID,Cadets!$B50,nrES_Seq,cfgCurrentExamNum,nrES_Att,2)&gt;0,"RETEST (cap 70)",""))</f>
        <v/>
      </c>
      <c r="F53" s="18">
        <f>IF($B53="","",IF(cfgCurrentSpellingNum&lt;cfgCurrentExamNum,"(omitted)",Spelling!$P50))</f>
        <v/>
      </c>
      <c r="G53" s="18">
        <f>IF($B53="","",IF(Spelling!$R50="INTERVENTION","BELOW 75 — intervention",""))</f>
        <v/>
      </c>
      <c r="H53" s="18">
        <f>IF($B53="","",sysAttendance!$J50&amp;" / PT "&amp;sysAttendance!$R50)</f>
        <v/>
      </c>
      <c r="I53" s="18">
        <f>IF($B53="","",Writing!$AT50&amp;" ("&amp;Writing!$AS50&amp;" overdue)")</f>
        <v/>
      </c>
      <c r="J53" s="18">
        <f>IF($B53="","",sysFlags!$P50)</f>
        <v/>
      </c>
    </row>
    <row r="54">
      <c r="B54" s="18">
        <f>IF(IF(OR(Cadets!$B51="",Cadets!$I51&lt;&gt;"Active"),FALSE,OR(cfgPreviewAgency=cfgHomeAgency,Cadets!$G51=cfgPreviewAgency)),Cadets!$F51,"")</f>
        <v/>
      </c>
      <c r="C54" s="18">
        <f>IF($B54="","",IFERROR(SUMIFS(nrES_Rec,nrES_PID,Cadets!$B51,nrES_Seq,cfgCurrentExamNum,nrES_Final,"Yes"),""))</f>
        <v/>
      </c>
      <c r="D54" s="18">
        <f>IF($B54="","",IFERROR(ROUND(AVERAGEIFS(nrES_Rec,nrES_Seq,cfgCurrentExamNum,nrES_Final,"Yes"),1),""))</f>
        <v/>
      </c>
      <c r="E54" s="18">
        <f>IF($B54="","",IF(COUNTIFS(nrES_PID,Cadets!$B51,nrES_Seq,cfgCurrentExamNum,nrES_Att,2)&gt;0,"RETEST (cap 70)",""))</f>
        <v/>
      </c>
      <c r="F54" s="18">
        <f>IF($B54="","",IF(cfgCurrentSpellingNum&lt;cfgCurrentExamNum,"(omitted)",Spelling!$P51))</f>
        <v/>
      </c>
      <c r="G54" s="18">
        <f>IF($B54="","",IF(Spelling!$R51="INTERVENTION","BELOW 75 — intervention",""))</f>
        <v/>
      </c>
      <c r="H54" s="18">
        <f>IF($B54="","",sysAttendance!$J51&amp;" / PT "&amp;sysAttendance!$R51)</f>
        <v/>
      </c>
      <c r="I54" s="18">
        <f>IF($B54="","",Writing!$AT51&amp;" ("&amp;Writing!$AS51&amp;" overdue)")</f>
        <v/>
      </c>
      <c r="J54" s="18">
        <f>IF($B54="","",sysFlags!$P51)</f>
        <v/>
      </c>
    </row>
    <row r="55">
      <c r="B55" s="18">
        <f>IF(IF(OR(Cadets!$B52="",Cadets!$I52&lt;&gt;"Active"),FALSE,OR(cfgPreviewAgency=cfgHomeAgency,Cadets!$G52=cfgPreviewAgency)),Cadets!$F52,"")</f>
        <v/>
      </c>
      <c r="C55" s="18">
        <f>IF($B55="","",IFERROR(SUMIFS(nrES_Rec,nrES_PID,Cadets!$B52,nrES_Seq,cfgCurrentExamNum,nrES_Final,"Yes"),""))</f>
        <v/>
      </c>
      <c r="D55" s="18">
        <f>IF($B55="","",IFERROR(ROUND(AVERAGEIFS(nrES_Rec,nrES_Seq,cfgCurrentExamNum,nrES_Final,"Yes"),1),""))</f>
        <v/>
      </c>
      <c r="E55" s="18">
        <f>IF($B55="","",IF(COUNTIFS(nrES_PID,Cadets!$B52,nrES_Seq,cfgCurrentExamNum,nrES_Att,2)&gt;0,"RETEST (cap 70)",""))</f>
        <v/>
      </c>
      <c r="F55" s="18">
        <f>IF($B55="","",IF(cfgCurrentSpellingNum&lt;cfgCurrentExamNum,"(omitted)",Spelling!$P52))</f>
        <v/>
      </c>
      <c r="G55" s="18">
        <f>IF($B55="","",IF(Spelling!$R52="INTERVENTION","BELOW 75 — intervention",""))</f>
        <v/>
      </c>
      <c r="H55" s="18">
        <f>IF($B55="","",sysAttendance!$J52&amp;" / PT "&amp;sysAttendance!$R52)</f>
        <v/>
      </c>
      <c r="I55" s="18">
        <f>IF($B55="","",Writing!$AT52&amp;" ("&amp;Writing!$AS52&amp;" overdue)")</f>
        <v/>
      </c>
      <c r="J55" s="18">
        <f>IF($B55="","",sysFlags!$P52)</f>
        <v/>
      </c>
    </row>
    <row r="56">
      <c r="B56" s="18">
        <f>IF(IF(OR(Cadets!$B53="",Cadets!$I53&lt;&gt;"Active"),FALSE,OR(cfgPreviewAgency=cfgHomeAgency,Cadets!$G53=cfgPreviewAgency)),Cadets!$F53,"")</f>
        <v/>
      </c>
      <c r="C56" s="18">
        <f>IF($B56="","",IFERROR(SUMIFS(nrES_Rec,nrES_PID,Cadets!$B53,nrES_Seq,cfgCurrentExamNum,nrES_Final,"Yes"),""))</f>
        <v/>
      </c>
      <c r="D56" s="18">
        <f>IF($B56="","",IFERROR(ROUND(AVERAGEIFS(nrES_Rec,nrES_Seq,cfgCurrentExamNum,nrES_Final,"Yes"),1),""))</f>
        <v/>
      </c>
      <c r="E56" s="18">
        <f>IF($B56="","",IF(COUNTIFS(nrES_PID,Cadets!$B53,nrES_Seq,cfgCurrentExamNum,nrES_Att,2)&gt;0,"RETEST (cap 70)",""))</f>
        <v/>
      </c>
      <c r="F56" s="18">
        <f>IF($B56="","",IF(cfgCurrentSpellingNum&lt;cfgCurrentExamNum,"(omitted)",Spelling!$P53))</f>
        <v/>
      </c>
      <c r="G56" s="18">
        <f>IF($B56="","",IF(Spelling!$R53="INTERVENTION","BELOW 75 — intervention",""))</f>
        <v/>
      </c>
      <c r="H56" s="18">
        <f>IF($B56="","",sysAttendance!$J53&amp;" / PT "&amp;sysAttendance!$R53)</f>
        <v/>
      </c>
      <c r="I56" s="18">
        <f>IF($B56="","",Writing!$AT53&amp;" ("&amp;Writing!$AS53&amp;" overdue)")</f>
        <v/>
      </c>
      <c r="J56" s="18">
        <f>IF($B56="","",sysFlags!$P53)</f>
        <v/>
      </c>
    </row>
    <row r="57">
      <c r="B57" s="18">
        <f>IF(IF(OR(Cadets!$B54="",Cadets!$I54&lt;&gt;"Active"),FALSE,OR(cfgPreviewAgency=cfgHomeAgency,Cadets!$G54=cfgPreviewAgency)),Cadets!$F54,"")</f>
        <v/>
      </c>
      <c r="C57" s="18">
        <f>IF($B57="","",IFERROR(SUMIFS(nrES_Rec,nrES_PID,Cadets!$B54,nrES_Seq,cfgCurrentExamNum,nrES_Final,"Yes"),""))</f>
        <v/>
      </c>
      <c r="D57" s="18">
        <f>IF($B57="","",IFERROR(ROUND(AVERAGEIFS(nrES_Rec,nrES_Seq,cfgCurrentExamNum,nrES_Final,"Yes"),1),""))</f>
        <v/>
      </c>
      <c r="E57" s="18">
        <f>IF($B57="","",IF(COUNTIFS(nrES_PID,Cadets!$B54,nrES_Seq,cfgCurrentExamNum,nrES_Att,2)&gt;0,"RETEST (cap 70)",""))</f>
        <v/>
      </c>
      <c r="F57" s="18">
        <f>IF($B57="","",IF(cfgCurrentSpellingNum&lt;cfgCurrentExamNum,"(omitted)",Spelling!$P54))</f>
        <v/>
      </c>
      <c r="G57" s="18">
        <f>IF($B57="","",IF(Spelling!$R54="INTERVENTION","BELOW 75 — intervention",""))</f>
        <v/>
      </c>
      <c r="H57" s="18">
        <f>IF($B57="","",sysAttendance!$J54&amp;" / PT "&amp;sysAttendance!$R54)</f>
        <v/>
      </c>
      <c r="I57" s="18">
        <f>IF($B57="","",Writing!$AT54&amp;" ("&amp;Writing!$AS54&amp;" overdue)")</f>
        <v/>
      </c>
      <c r="J57" s="18">
        <f>IF($B57="","",sysFlags!$P54)</f>
        <v/>
      </c>
    </row>
    <row r="58">
      <c r="B58" s="18">
        <f>IF(IF(OR(Cadets!$B55="",Cadets!$I55&lt;&gt;"Active"),FALSE,OR(cfgPreviewAgency=cfgHomeAgency,Cadets!$G55=cfgPreviewAgency)),Cadets!$F55,"")</f>
        <v/>
      </c>
      <c r="C58" s="18">
        <f>IF($B58="","",IFERROR(SUMIFS(nrES_Rec,nrES_PID,Cadets!$B55,nrES_Seq,cfgCurrentExamNum,nrES_Final,"Yes"),""))</f>
        <v/>
      </c>
      <c r="D58" s="18">
        <f>IF($B58="","",IFERROR(ROUND(AVERAGEIFS(nrES_Rec,nrES_Seq,cfgCurrentExamNum,nrES_Final,"Yes"),1),""))</f>
        <v/>
      </c>
      <c r="E58" s="18">
        <f>IF($B58="","",IF(COUNTIFS(nrES_PID,Cadets!$B55,nrES_Seq,cfgCurrentExamNum,nrES_Att,2)&gt;0,"RETEST (cap 70)",""))</f>
        <v/>
      </c>
      <c r="F58" s="18">
        <f>IF($B58="","",IF(cfgCurrentSpellingNum&lt;cfgCurrentExamNum,"(omitted)",Spelling!$P55))</f>
        <v/>
      </c>
      <c r="G58" s="18">
        <f>IF($B58="","",IF(Spelling!$R55="INTERVENTION","BELOW 75 — intervention",""))</f>
        <v/>
      </c>
      <c r="H58" s="18">
        <f>IF($B58="","",sysAttendance!$J55&amp;" / PT "&amp;sysAttendance!$R55)</f>
        <v/>
      </c>
      <c r="I58" s="18">
        <f>IF($B58="","",Writing!$AT55&amp;" ("&amp;Writing!$AS55&amp;" overdue)")</f>
        <v/>
      </c>
      <c r="J58" s="18">
        <f>IF($B58="","",sysFlags!$P55)</f>
        <v/>
      </c>
    </row>
    <row r="59"/>
    <row r="60" ht="16" customHeight="1">
      <c r="B60" s="6" t="inlineStr">
        <is>
          <t>Discipline &amp; counseling since last email to this agency</t>
        </is>
      </c>
      <c r="C60" s="7" t="n"/>
      <c r="D60" s="7" t="n"/>
      <c r="E60" s="7" t="n"/>
      <c r="F60" s="7" t="n"/>
      <c r="G60" s="7" t="n"/>
      <c r="H60" s="7" t="n"/>
      <c r="I60" s="7" t="n"/>
      <c r="J60" s="7" t="n"/>
      <c r="K60" s="7" t="n"/>
      <c r="L60" s="7" t="n"/>
    </row>
    <row r="61" ht="26" customHeight="1">
      <c r="B61" s="9" t="inlineStr">
        <is>
          <t>Date</t>
        </is>
      </c>
      <c r="C61" s="9" t="inlineStr">
        <is>
          <t>Cadet</t>
        </is>
      </c>
      <c r="D61" s="9" t="inlineStr">
        <is>
          <t>Type</t>
        </is>
      </c>
      <c r="E61" s="9" t="inlineStr">
        <is>
          <t>Severity/Kind</t>
        </is>
      </c>
      <c r="F61" s="9"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28.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row r="2"/>
    <row r="3"/>
    <row r="4">
      <c r="B4" s="8" t="inlineStr">
        <is>
          <t>Appended automatically by the email macro (one row per agency draft). 'Last Email Sent' on Agencies and the since-last-email digest read from here.</t>
        </is>
      </c>
    </row>
    <row r="5" ht="26" customHeight="1">
      <c r="B5" s="9" t="inlineStr">
        <is>
          <t>Date</t>
        </is>
      </c>
      <c r="C5" s="9" t="inlineStr">
        <is>
          <t>AgencyID</t>
        </is>
      </c>
      <c r="D5" s="9" t="inlineStr">
        <is>
          <t>Exam #</t>
        </is>
      </c>
      <c r="E5" s="9" t="inlineStr">
        <is>
          <t>Spelling #</t>
        </is>
      </c>
      <c r="F5" s="9" t="inlineStr">
        <is>
          <t>Cadets</t>
        </is>
      </c>
      <c r="G5" s="9" t="inlineStr">
        <is>
          <t>Included Discipline Since</t>
        </is>
      </c>
      <c r="H5" s="9" t="inlineStr">
        <is>
          <t>Drafted By</t>
        </is>
      </c>
      <c r="I5" s="9" t="inlineStr">
        <is>
          <t>Notes</t>
        </is>
      </c>
    </row>
    <row r="6">
      <c r="B6" s="16" t="n"/>
      <c r="C6" s="14" t="n"/>
      <c r="D6" s="14" t="n"/>
      <c r="E6" s="14" t="n"/>
      <c r="F6" s="14" t="n"/>
      <c r="G6" s="14" t="n"/>
      <c r="H6" s="14" t="n"/>
      <c r="I6" s="14" t="n"/>
    </row>
    <row r="7">
      <c r="B7" s="16" t="n"/>
      <c r="C7" s="14" t="n"/>
      <c r="D7" s="14" t="n"/>
      <c r="E7" s="14" t="n"/>
      <c r="F7" s="14" t="n"/>
      <c r="G7" s="14" t="n"/>
      <c r="H7" s="14" t="n"/>
      <c r="I7" s="14" t="n"/>
    </row>
    <row r="8">
      <c r="B8" s="16" t="n"/>
      <c r="C8" s="14" t="n"/>
      <c r="D8" s="14" t="n"/>
      <c r="E8" s="14" t="n"/>
      <c r="F8" s="14" t="n"/>
      <c r="G8" s="14" t="n"/>
      <c r="H8" s="14" t="n"/>
      <c r="I8" s="14" t="n"/>
    </row>
    <row r="9">
      <c r="B9" s="16" t="n"/>
      <c r="C9" s="14" t="n"/>
      <c r="D9" s="14" t="n"/>
      <c r="E9" s="14" t="n"/>
      <c r="F9" s="14" t="n"/>
      <c r="G9" s="14" t="n"/>
      <c r="H9" s="14" t="n"/>
      <c r="I9" s="14" t="n"/>
    </row>
    <row r="10">
      <c r="B10" s="16" t="n"/>
      <c r="C10" s="14" t="n"/>
      <c r="D10" s="14" t="n"/>
      <c r="E10" s="14" t="n"/>
      <c r="F10" s="14" t="n"/>
      <c r="G10" s="14" t="n"/>
      <c r="H10" s="14" t="n"/>
      <c r="I10" s="14" t="n"/>
    </row>
    <row r="11">
      <c r="B11" s="16" t="n"/>
      <c r="C11" s="14" t="n"/>
      <c r="D11" s="14" t="n"/>
      <c r="E11" s="14" t="n"/>
      <c r="F11" s="14" t="n"/>
      <c r="G11" s="14" t="n"/>
      <c r="H11" s="14" t="n"/>
      <c r="I11" s="14" t="n"/>
    </row>
    <row r="12">
      <c r="B12" s="16" t="n"/>
      <c r="C12" s="14" t="n"/>
      <c r="D12" s="14" t="n"/>
      <c r="E12" s="14" t="n"/>
      <c r="F12" s="14" t="n"/>
      <c r="G12" s="14" t="n"/>
      <c r="H12" s="14" t="n"/>
      <c r="I12" s="14" t="n"/>
    </row>
    <row r="13">
      <c r="B13" s="16" t="n"/>
      <c r="C13" s="14" t="n"/>
      <c r="D13" s="14" t="n"/>
      <c r="E13" s="14" t="n"/>
      <c r="F13" s="14" t="n"/>
      <c r="G13" s="14" t="n"/>
      <c r="H13" s="14" t="n"/>
      <c r="I13" s="14" t="n"/>
    </row>
    <row r="14">
      <c r="B14" s="16" t="n"/>
      <c r="C14" s="14" t="n"/>
      <c r="D14" s="14" t="n"/>
      <c r="E14" s="14" t="n"/>
      <c r="F14" s="14" t="n"/>
      <c r="G14" s="14" t="n"/>
      <c r="H14" s="14" t="n"/>
      <c r="I14" s="14" t="n"/>
    </row>
    <row r="15">
      <c r="B15" s="16" t="n"/>
      <c r="C15" s="14" t="n"/>
      <c r="D15" s="14" t="n"/>
      <c r="E15" s="14" t="n"/>
      <c r="F15" s="14" t="n"/>
      <c r="G15" s="14" t="n"/>
      <c r="H15" s="14" t="n"/>
      <c r="I15" s="14" t="n"/>
    </row>
    <row r="16">
      <c r="B16" s="16" t="n"/>
      <c r="C16" s="14" t="n"/>
      <c r="D16" s="14" t="n"/>
      <c r="E16" s="14" t="n"/>
      <c r="F16" s="14" t="n"/>
      <c r="G16" s="14" t="n"/>
      <c r="H16" s="14" t="n"/>
      <c r="I16" s="14" t="n"/>
    </row>
    <row r="17">
      <c r="B17" s="16" t="n"/>
      <c r="C17" s="14" t="n"/>
      <c r="D17" s="14" t="n"/>
      <c r="E17" s="14" t="n"/>
      <c r="F17" s="14" t="n"/>
      <c r="G17" s="14" t="n"/>
      <c r="H17" s="14" t="n"/>
      <c r="I17" s="14" t="n"/>
    </row>
    <row r="18">
      <c r="B18" s="16" t="n"/>
      <c r="C18" s="14" t="n"/>
      <c r="D18" s="14" t="n"/>
      <c r="E18" s="14" t="n"/>
      <c r="F18" s="14" t="n"/>
      <c r="G18" s="14" t="n"/>
      <c r="H18" s="14" t="n"/>
      <c r="I18" s="14" t="n"/>
    </row>
    <row r="19">
      <c r="B19" s="16" t="n"/>
      <c r="C19" s="14" t="n"/>
      <c r="D19" s="14" t="n"/>
      <c r="E19" s="14" t="n"/>
      <c r="F19" s="14" t="n"/>
      <c r="G19" s="14" t="n"/>
      <c r="H19" s="14" t="n"/>
      <c r="I19" s="14" t="n"/>
    </row>
    <row r="20">
      <c r="B20" s="16" t="n"/>
      <c r="C20" s="14" t="n"/>
      <c r="D20" s="14" t="n"/>
      <c r="E20" s="14" t="n"/>
      <c r="F20" s="14" t="n"/>
      <c r="G20" s="14" t="n"/>
      <c r="H20" s="14" t="n"/>
      <c r="I20" s="14" t="n"/>
    </row>
    <row r="21">
      <c r="B21" s="16" t="n"/>
      <c r="C21" s="14" t="n"/>
      <c r="D21" s="14" t="n"/>
      <c r="E21" s="14" t="n"/>
      <c r="F21" s="14" t="n"/>
      <c r="G21" s="14" t="n"/>
      <c r="H21" s="14" t="n"/>
      <c r="I21" s="14" t="n"/>
    </row>
    <row r="22">
      <c r="B22" s="16" t="n"/>
      <c r="C22" s="14" t="n"/>
      <c r="D22" s="14" t="n"/>
      <c r="E22" s="14" t="n"/>
      <c r="F22" s="14" t="n"/>
      <c r="G22" s="14" t="n"/>
      <c r="H22" s="14" t="n"/>
      <c r="I22" s="14" t="n"/>
    </row>
    <row r="23">
      <c r="B23" s="16" t="n"/>
      <c r="C23" s="14" t="n"/>
      <c r="D23" s="14" t="n"/>
      <c r="E23" s="14" t="n"/>
      <c r="F23" s="14" t="n"/>
      <c r="G23" s="14" t="n"/>
      <c r="H23" s="14" t="n"/>
      <c r="I23" s="14" t="n"/>
    </row>
    <row r="24">
      <c r="B24" s="16" t="n"/>
      <c r="C24" s="14" t="n"/>
      <c r="D24" s="14" t="n"/>
      <c r="E24" s="14" t="n"/>
      <c r="F24" s="14" t="n"/>
      <c r="G24" s="14" t="n"/>
      <c r="H24" s="14" t="n"/>
      <c r="I24" s="14" t="n"/>
    </row>
    <row r="25">
      <c r="B25" s="16" t="n"/>
      <c r="C25" s="14" t="n"/>
      <c r="D25" s="14" t="n"/>
      <c r="E25" s="14" t="n"/>
      <c r="F25" s="14" t="n"/>
      <c r="G25" s="14" t="n"/>
      <c r="H25" s="14" t="n"/>
      <c r="I25" s="14" t="n"/>
    </row>
    <row r="26">
      <c r="B26" s="16" t="n"/>
      <c r="C26" s="14" t="n"/>
      <c r="D26" s="14" t="n"/>
      <c r="E26" s="14" t="n"/>
      <c r="F26" s="14" t="n"/>
      <c r="G26" s="14" t="n"/>
      <c r="H26" s="14" t="n"/>
      <c r="I26" s="14" t="n"/>
    </row>
    <row r="27">
      <c r="B27" s="16" t="n"/>
      <c r="C27" s="14" t="n"/>
      <c r="D27" s="14" t="n"/>
      <c r="E27" s="14" t="n"/>
      <c r="F27" s="14" t="n"/>
      <c r="G27" s="14" t="n"/>
      <c r="H27" s="14" t="n"/>
      <c r="I27" s="14" t="n"/>
    </row>
    <row r="28">
      <c r="B28" s="16" t="n"/>
      <c r="C28" s="14" t="n"/>
      <c r="D28" s="14" t="n"/>
      <c r="E28" s="14" t="n"/>
      <c r="F28" s="14" t="n"/>
      <c r="G28" s="14" t="n"/>
      <c r="H28" s="14" t="n"/>
      <c r="I28" s="14" t="n"/>
    </row>
    <row r="29">
      <c r="B29" s="16" t="n"/>
      <c r="C29" s="14" t="n"/>
      <c r="D29" s="14" t="n"/>
      <c r="E29" s="14" t="n"/>
      <c r="F29" s="14" t="n"/>
      <c r="G29" s="14" t="n"/>
      <c r="H29" s="14" t="n"/>
      <c r="I29" s="14" t="n"/>
    </row>
    <row r="30">
      <c r="B30" s="16" t="n"/>
      <c r="C30" s="14" t="n"/>
      <c r="D30" s="14" t="n"/>
      <c r="E30" s="14" t="n"/>
      <c r="F30" s="14" t="n"/>
      <c r="G30" s="14" t="n"/>
      <c r="H30" s="14" t="n"/>
      <c r="I30" s="14" t="n"/>
    </row>
    <row r="31">
      <c r="B31" s="16" t="n"/>
      <c r="C31" s="14" t="n"/>
      <c r="D31" s="14" t="n"/>
      <c r="E31" s="14" t="n"/>
      <c r="F31" s="14" t="n"/>
      <c r="G31" s="14" t="n"/>
      <c r="H31" s="14" t="n"/>
      <c r="I31" s="14" t="n"/>
    </row>
    <row r="32">
      <c r="B32" s="16" t="n"/>
      <c r="C32" s="14" t="n"/>
      <c r="D32" s="14" t="n"/>
      <c r="E32" s="14" t="n"/>
      <c r="F32" s="14" t="n"/>
      <c r="G32" s="14" t="n"/>
      <c r="H32" s="14" t="n"/>
      <c r="I32" s="14" t="n"/>
    </row>
    <row r="33">
      <c r="B33" s="16" t="n"/>
      <c r="C33" s="14" t="n"/>
      <c r="D33" s="14" t="n"/>
      <c r="E33" s="14" t="n"/>
      <c r="F33" s="14" t="n"/>
      <c r="G33" s="14" t="n"/>
      <c r="H33" s="14" t="n"/>
      <c r="I33" s="14" t="n"/>
    </row>
    <row r="34">
      <c r="B34" s="16" t="n"/>
      <c r="C34" s="14" t="n"/>
      <c r="D34" s="14" t="n"/>
      <c r="E34" s="14" t="n"/>
      <c r="F34" s="14" t="n"/>
      <c r="G34" s="14" t="n"/>
      <c r="H34" s="14" t="n"/>
      <c r="I34" s="14" t="n"/>
    </row>
    <row r="35">
      <c r="B35" s="16" t="n"/>
      <c r="C35" s="14" t="n"/>
      <c r="D35" s="14" t="n"/>
      <c r="E35" s="14" t="n"/>
      <c r="F35" s="14" t="n"/>
      <c r="G35" s="14" t="n"/>
      <c r="H35" s="14" t="n"/>
      <c r="I35" s="14" t="n"/>
    </row>
    <row r="36">
      <c r="B36" s="16" t="n"/>
      <c r="C36" s="14" t="n"/>
      <c r="D36" s="14" t="n"/>
      <c r="E36" s="14" t="n"/>
      <c r="F36" s="14" t="n"/>
      <c r="G36" s="14" t="n"/>
      <c r="H36" s="14" t="n"/>
      <c r="I36" s="14" t="n"/>
    </row>
    <row r="37">
      <c r="B37" s="16" t="n"/>
      <c r="C37" s="14" t="n"/>
      <c r="D37" s="14" t="n"/>
      <c r="E37" s="14" t="n"/>
      <c r="F37" s="14" t="n"/>
      <c r="G37" s="14" t="n"/>
      <c r="H37" s="14" t="n"/>
      <c r="I37" s="14" t="n"/>
    </row>
    <row r="38">
      <c r="B38" s="16" t="n"/>
      <c r="C38" s="14" t="n"/>
      <c r="D38" s="14" t="n"/>
      <c r="E38" s="14" t="n"/>
      <c r="F38" s="14" t="n"/>
      <c r="G38" s="14" t="n"/>
      <c r="H38" s="14" t="n"/>
      <c r="I38" s="14" t="n"/>
    </row>
    <row r="39">
      <c r="B39" s="16" t="n"/>
      <c r="C39" s="14" t="n"/>
      <c r="D39" s="14" t="n"/>
      <c r="E39" s="14" t="n"/>
      <c r="F39" s="14" t="n"/>
      <c r="G39" s="14" t="n"/>
      <c r="H39" s="14" t="n"/>
      <c r="I39" s="14" t="n"/>
    </row>
    <row r="40">
      <c r="B40" s="16" t="n"/>
      <c r="C40" s="14" t="n"/>
      <c r="D40" s="14" t="n"/>
      <c r="E40" s="14" t="n"/>
      <c r="F40" s="14" t="n"/>
      <c r="G40" s="14" t="n"/>
      <c r="H40" s="14" t="n"/>
      <c r="I40" s="14" t="n"/>
    </row>
    <row r="41">
      <c r="B41" s="16" t="n"/>
      <c r="C41" s="14" t="n"/>
      <c r="D41" s="14" t="n"/>
      <c r="E41" s="14" t="n"/>
      <c r="F41" s="14" t="n"/>
      <c r="G41" s="14" t="n"/>
      <c r="H41" s="14" t="n"/>
      <c r="I41" s="14" t="n"/>
    </row>
    <row r="42">
      <c r="B42" s="16" t="n"/>
      <c r="C42" s="14" t="n"/>
      <c r="D42" s="14" t="n"/>
      <c r="E42" s="14" t="n"/>
      <c r="F42" s="14" t="n"/>
      <c r="G42" s="14" t="n"/>
      <c r="H42" s="14" t="n"/>
      <c r="I42" s="14" t="n"/>
    </row>
    <row r="43">
      <c r="B43" s="16" t="n"/>
      <c r="C43" s="14" t="n"/>
      <c r="D43" s="14" t="n"/>
      <c r="E43" s="14" t="n"/>
      <c r="F43" s="14" t="n"/>
      <c r="G43" s="14" t="n"/>
      <c r="H43" s="14" t="n"/>
      <c r="I43" s="14" t="n"/>
    </row>
    <row r="44">
      <c r="B44" s="16" t="n"/>
      <c r="C44" s="14" t="n"/>
      <c r="D44" s="14" t="n"/>
      <c r="E44" s="14" t="n"/>
      <c r="F44" s="14" t="n"/>
      <c r="G44" s="14" t="n"/>
      <c r="H44" s="14" t="n"/>
      <c r="I44" s="14" t="n"/>
    </row>
    <row r="45">
      <c r="B45" s="16" t="n"/>
      <c r="C45" s="14" t="n"/>
      <c r="D45" s="14" t="n"/>
      <c r="E45" s="14" t="n"/>
      <c r="F45" s="14" t="n"/>
      <c r="G45" s="14" t="n"/>
      <c r="H45" s="14" t="n"/>
      <c r="I45" s="14" t="n"/>
    </row>
    <row r="46">
      <c r="B46" s="16" t="n"/>
      <c r="C46" s="14" t="n"/>
      <c r="D46" s="14" t="n"/>
      <c r="E46" s="14" t="n"/>
      <c r="F46" s="14" t="n"/>
      <c r="G46" s="14" t="n"/>
      <c r="H46" s="14" t="n"/>
      <c r="I46" s="14" t="n"/>
    </row>
    <row r="47">
      <c r="B47" s="16" t="n"/>
      <c r="C47" s="14" t="n"/>
      <c r="D47" s="14" t="n"/>
      <c r="E47" s="14" t="n"/>
      <c r="F47" s="14" t="n"/>
      <c r="G47" s="14" t="n"/>
      <c r="H47" s="14" t="n"/>
      <c r="I47" s="14" t="n"/>
    </row>
    <row r="48">
      <c r="B48" s="16" t="n"/>
      <c r="C48" s="14" t="n"/>
      <c r="D48" s="14" t="n"/>
      <c r="E48" s="14" t="n"/>
      <c r="F48" s="14" t="n"/>
      <c r="G48" s="14" t="n"/>
      <c r="H48" s="14" t="n"/>
      <c r="I48" s="14" t="n"/>
    </row>
    <row r="49">
      <c r="B49" s="16" t="n"/>
      <c r="C49" s="14" t="n"/>
      <c r="D49" s="14" t="n"/>
      <c r="E49" s="14" t="n"/>
      <c r="F49" s="14" t="n"/>
      <c r="G49" s="14" t="n"/>
      <c r="H49" s="14" t="n"/>
      <c r="I49" s="14" t="n"/>
    </row>
    <row r="50">
      <c r="B50" s="16" t="n"/>
      <c r="C50" s="14" t="n"/>
      <c r="D50" s="14" t="n"/>
      <c r="E50" s="14" t="n"/>
      <c r="F50" s="14" t="n"/>
      <c r="G50" s="14" t="n"/>
      <c r="H50" s="14" t="n"/>
      <c r="I50" s="14" t="n"/>
    </row>
    <row r="51">
      <c r="B51" s="16" t="n"/>
      <c r="C51" s="14" t="n"/>
      <c r="D51" s="14" t="n"/>
      <c r="E51" s="14" t="n"/>
      <c r="F51" s="14" t="n"/>
      <c r="G51" s="14" t="n"/>
      <c r="H51" s="14" t="n"/>
      <c r="I51" s="14" t="n"/>
    </row>
    <row r="52">
      <c r="B52" s="16" t="n"/>
      <c r="C52" s="14" t="n"/>
      <c r="D52" s="14" t="n"/>
      <c r="E52" s="14" t="n"/>
      <c r="F52" s="14" t="n"/>
      <c r="G52" s="14" t="n"/>
      <c r="H52" s="14" t="n"/>
      <c r="I52" s="14" t="n"/>
    </row>
    <row r="53">
      <c r="B53" s="16" t="n"/>
      <c r="C53" s="14" t="n"/>
      <c r="D53" s="14" t="n"/>
      <c r="E53" s="14" t="n"/>
      <c r="F53" s="14" t="n"/>
      <c r="G53" s="14" t="n"/>
      <c r="H53" s="14" t="n"/>
      <c r="I53" s="14" t="n"/>
    </row>
    <row r="54">
      <c r="B54" s="16" t="n"/>
      <c r="C54" s="14" t="n"/>
      <c r="D54" s="14" t="n"/>
      <c r="E54" s="14" t="n"/>
      <c r="F54" s="14" t="n"/>
      <c r="G54" s="14" t="n"/>
      <c r="H54" s="14" t="n"/>
      <c r="I54" s="14" t="n"/>
    </row>
    <row r="55">
      <c r="B55" s="16" t="n"/>
      <c r="C55" s="14" t="n"/>
      <c r="D55" s="14" t="n"/>
      <c r="E55" s="14" t="n"/>
      <c r="F55" s="14" t="n"/>
      <c r="G55" s="14" t="n"/>
      <c r="H55" s="14" t="n"/>
      <c r="I55" s="14" t="n"/>
    </row>
    <row r="56">
      <c r="B56" s="16" t="n"/>
      <c r="C56" s="14" t="n"/>
      <c r="D56" s="14" t="n"/>
      <c r="E56" s="14" t="n"/>
      <c r="F56" s="14" t="n"/>
      <c r="G56" s="14" t="n"/>
      <c r="H56" s="14" t="n"/>
      <c r="I56" s="14" t="n"/>
    </row>
    <row r="57">
      <c r="B57" s="16" t="n"/>
      <c r="C57" s="14" t="n"/>
      <c r="D57" s="14" t="n"/>
      <c r="E57" s="14" t="n"/>
      <c r="F57" s="14" t="n"/>
      <c r="G57" s="14" t="n"/>
      <c r="H57" s="14" t="n"/>
      <c r="I57" s="14" t="n"/>
    </row>
    <row r="58">
      <c r="B58" s="16" t="n"/>
      <c r="C58" s="14" t="n"/>
      <c r="D58" s="14" t="n"/>
      <c r="E58" s="14" t="n"/>
      <c r="F58" s="14" t="n"/>
      <c r="G58" s="14" t="n"/>
      <c r="H58" s="14" t="n"/>
      <c r="I58" s="14" t="n"/>
    </row>
    <row r="59">
      <c r="B59" s="16" t="n"/>
      <c r="C59" s="14" t="n"/>
      <c r="D59" s="14" t="n"/>
      <c r="E59" s="14" t="n"/>
      <c r="F59" s="14" t="n"/>
      <c r="G59" s="14" t="n"/>
      <c r="H59" s="14" t="n"/>
      <c r="I59" s="14" t="n"/>
    </row>
    <row r="60">
      <c r="B60" s="16" t="n"/>
      <c r="C60" s="14" t="n"/>
      <c r="D60" s="14" t="n"/>
      <c r="E60" s="14" t="n"/>
      <c r="F60" s="14" t="n"/>
      <c r="G60" s="14" t="n"/>
      <c r="H60" s="14" t="n"/>
      <c r="I60" s="14" t="n"/>
    </row>
    <row r="61">
      <c r="B61" s="16" t="n"/>
      <c r="C61" s="14" t="n"/>
      <c r="D61" s="14" t="n"/>
      <c r="E61" s="14" t="n"/>
      <c r="F61" s="14" t="n"/>
      <c r="G61" s="14" t="n"/>
      <c r="H61" s="14" t="n"/>
      <c r="I61" s="14" t="n"/>
    </row>
    <row r="62">
      <c r="B62" s="16" t="n"/>
      <c r="C62" s="14" t="n"/>
      <c r="D62" s="14" t="n"/>
      <c r="E62" s="14" t="n"/>
      <c r="F62" s="14" t="n"/>
      <c r="G62" s="14" t="n"/>
      <c r="H62" s="14" t="n"/>
      <c r="I62" s="14" t="n"/>
    </row>
    <row r="63">
      <c r="B63" s="16" t="n"/>
      <c r="C63" s="14" t="n"/>
      <c r="D63" s="14" t="n"/>
      <c r="E63" s="14" t="n"/>
      <c r="F63" s="14" t="n"/>
      <c r="G63" s="14" t="n"/>
      <c r="H63" s="14" t="n"/>
      <c r="I63" s="14" t="n"/>
    </row>
    <row r="64">
      <c r="B64" s="16" t="n"/>
      <c r="C64" s="14" t="n"/>
      <c r="D64" s="14" t="n"/>
      <c r="E64" s="14" t="n"/>
      <c r="F64" s="14" t="n"/>
      <c r="G64" s="14" t="n"/>
      <c r="H64" s="14" t="n"/>
      <c r="I64" s="14" t="n"/>
    </row>
    <row r="65">
      <c r="B65" s="16" t="n"/>
      <c r="C65" s="14" t="n"/>
      <c r="D65" s="14" t="n"/>
      <c r="E65" s="14" t="n"/>
      <c r="F65" s="14" t="n"/>
      <c r="G65" s="14" t="n"/>
      <c r="H65" s="14" t="n"/>
      <c r="I65" s="14" t="n"/>
    </row>
    <row r="66">
      <c r="B66" s="16" t="n"/>
      <c r="C66" s="14" t="n"/>
      <c r="D66" s="14" t="n"/>
      <c r="E66" s="14" t="n"/>
      <c r="F66" s="14" t="n"/>
      <c r="G66" s="14" t="n"/>
      <c r="H66" s="14" t="n"/>
      <c r="I66" s="14" t="n"/>
    </row>
    <row r="67">
      <c r="B67" s="16" t="n"/>
      <c r="C67" s="14" t="n"/>
      <c r="D67" s="14" t="n"/>
      <c r="E67" s="14" t="n"/>
      <c r="F67" s="14" t="n"/>
      <c r="G67" s="14" t="n"/>
      <c r="H67" s="14" t="n"/>
      <c r="I67" s="14" t="n"/>
    </row>
    <row r="68">
      <c r="B68" s="16" t="n"/>
      <c r="C68" s="14" t="n"/>
      <c r="D68" s="14" t="n"/>
      <c r="E68" s="14" t="n"/>
      <c r="F68" s="14" t="n"/>
      <c r="G68" s="14" t="n"/>
      <c r="H68" s="14" t="n"/>
      <c r="I68" s="14" t="n"/>
    </row>
    <row r="69">
      <c r="B69" s="16" t="n"/>
      <c r="C69" s="14" t="n"/>
      <c r="D69" s="14" t="n"/>
      <c r="E69" s="14" t="n"/>
      <c r="F69" s="14" t="n"/>
      <c r="G69" s="14" t="n"/>
      <c r="H69" s="14" t="n"/>
      <c r="I69" s="14" t="n"/>
    </row>
    <row r="70">
      <c r="B70" s="16" t="n"/>
      <c r="C70" s="14" t="n"/>
      <c r="D70" s="14" t="n"/>
      <c r="E70" s="14" t="n"/>
      <c r="F70" s="14" t="n"/>
      <c r="G70" s="14" t="n"/>
      <c r="H70" s="14" t="n"/>
      <c r="I70" s="14" t="n"/>
    </row>
    <row r="71">
      <c r="B71" s="16" t="n"/>
      <c r="C71" s="14" t="n"/>
      <c r="D71" s="14" t="n"/>
      <c r="E71" s="14" t="n"/>
      <c r="F71" s="14" t="n"/>
      <c r="G71" s="14" t="n"/>
      <c r="H71" s="14" t="n"/>
      <c r="I71" s="14" t="n"/>
    </row>
    <row r="72">
      <c r="B72" s="16" t="n"/>
      <c r="C72" s="14" t="n"/>
      <c r="D72" s="14" t="n"/>
      <c r="E72" s="14" t="n"/>
      <c r="F72" s="14" t="n"/>
      <c r="G72" s="14" t="n"/>
      <c r="H72" s="14" t="n"/>
      <c r="I72" s="14" t="n"/>
    </row>
    <row r="73">
      <c r="B73" s="16" t="n"/>
      <c r="C73" s="14" t="n"/>
      <c r="D73" s="14" t="n"/>
      <c r="E73" s="14" t="n"/>
      <c r="F73" s="14" t="n"/>
      <c r="G73" s="14" t="n"/>
      <c r="H73" s="14" t="n"/>
      <c r="I73" s="14" t="n"/>
    </row>
    <row r="74">
      <c r="B74" s="16" t="n"/>
      <c r="C74" s="14" t="n"/>
      <c r="D74" s="14" t="n"/>
      <c r="E74" s="14" t="n"/>
      <c r="F74" s="14" t="n"/>
      <c r="G74" s="14" t="n"/>
      <c r="H74" s="14" t="n"/>
      <c r="I74" s="14" t="n"/>
    </row>
    <row r="75">
      <c r="B75" s="16" t="n"/>
      <c r="C75" s="14" t="n"/>
      <c r="D75" s="14" t="n"/>
      <c r="E75" s="14" t="n"/>
      <c r="F75" s="14" t="n"/>
      <c r="G75" s="14" t="n"/>
      <c r="H75" s="14" t="n"/>
      <c r="I75" s="14" t="n"/>
    </row>
    <row r="76">
      <c r="B76" s="16" t="n"/>
      <c r="C76" s="14" t="n"/>
      <c r="D76" s="14" t="n"/>
      <c r="E76" s="14" t="n"/>
      <c r="F76" s="14" t="n"/>
      <c r="G76" s="14" t="n"/>
      <c r="H76" s="14" t="n"/>
      <c r="I76" s="14" t="n"/>
    </row>
    <row r="77">
      <c r="B77" s="16" t="n"/>
      <c r="C77" s="14" t="n"/>
      <c r="D77" s="14" t="n"/>
      <c r="E77" s="14" t="n"/>
      <c r="F77" s="14" t="n"/>
      <c r="G77" s="14" t="n"/>
      <c r="H77" s="14" t="n"/>
      <c r="I77" s="14" t="n"/>
    </row>
    <row r="78">
      <c r="B78" s="16" t="n"/>
      <c r="C78" s="14" t="n"/>
      <c r="D78" s="14" t="n"/>
      <c r="E78" s="14" t="n"/>
      <c r="F78" s="14" t="n"/>
      <c r="G78" s="14" t="n"/>
      <c r="H78" s="14" t="n"/>
      <c r="I78" s="14" t="n"/>
    </row>
    <row r="79">
      <c r="B79" s="16" t="n"/>
      <c r="C79" s="14" t="n"/>
      <c r="D79" s="14" t="n"/>
      <c r="E79" s="14" t="n"/>
      <c r="F79" s="14" t="n"/>
      <c r="G79" s="14" t="n"/>
      <c r="H79" s="14" t="n"/>
      <c r="I79" s="14" t="n"/>
    </row>
    <row r="80">
      <c r="B80" s="16" t="n"/>
      <c r="C80" s="14" t="n"/>
      <c r="D80" s="14" t="n"/>
      <c r="E80" s="14" t="n"/>
      <c r="F80" s="14" t="n"/>
      <c r="G80" s="14" t="n"/>
      <c r="H80" s="14" t="n"/>
      <c r="I80" s="14" t="n"/>
    </row>
    <row r="81">
      <c r="B81" s="16" t="n"/>
      <c r="C81" s="14" t="n"/>
      <c r="D81" s="14" t="n"/>
      <c r="E81" s="14" t="n"/>
      <c r="F81" s="14" t="n"/>
      <c r="G81" s="14" t="n"/>
      <c r="H81" s="14" t="n"/>
      <c r="I81" s="14" t="n"/>
    </row>
    <row r="82">
      <c r="B82" s="16" t="n"/>
      <c r="C82" s="14" t="n"/>
      <c r="D82" s="14" t="n"/>
      <c r="E82" s="14" t="n"/>
      <c r="F82" s="14" t="n"/>
      <c r="G82" s="14" t="n"/>
      <c r="H82" s="14" t="n"/>
      <c r="I82" s="14" t="n"/>
    </row>
    <row r="83">
      <c r="B83" s="16" t="n"/>
      <c r="C83" s="14" t="n"/>
      <c r="D83" s="14" t="n"/>
      <c r="E83" s="14" t="n"/>
      <c r="F83" s="14" t="n"/>
      <c r="G83" s="14" t="n"/>
      <c r="H83" s="14" t="n"/>
      <c r="I83" s="14" t="n"/>
    </row>
    <row r="84">
      <c r="B84" s="16" t="n"/>
      <c r="C84" s="14" t="n"/>
      <c r="D84" s="14" t="n"/>
      <c r="E84" s="14" t="n"/>
      <c r="F84" s="14" t="n"/>
      <c r="G84" s="14" t="n"/>
      <c r="H84" s="14" t="n"/>
      <c r="I84" s="14" t="n"/>
    </row>
    <row r="85">
      <c r="B85" s="16" t="n"/>
      <c r="C85" s="14" t="n"/>
      <c r="D85" s="14" t="n"/>
      <c r="E85" s="14" t="n"/>
      <c r="F85" s="14" t="n"/>
      <c r="G85" s="14" t="n"/>
      <c r="H85" s="14" t="n"/>
      <c r="I85" s="14" t="n"/>
    </row>
    <row r="86">
      <c r="B86" s="16" t="n"/>
      <c r="C86" s="14" t="n"/>
      <c r="D86" s="14" t="n"/>
      <c r="E86" s="14" t="n"/>
      <c r="F86" s="14" t="n"/>
      <c r="G86" s="14" t="n"/>
      <c r="H86" s="14" t="n"/>
      <c r="I86" s="14" t="n"/>
    </row>
    <row r="87">
      <c r="B87" s="16" t="n"/>
      <c r="C87" s="14" t="n"/>
      <c r="D87" s="14" t="n"/>
      <c r="E87" s="14" t="n"/>
      <c r="F87" s="14" t="n"/>
      <c r="G87" s="14" t="n"/>
      <c r="H87" s="14" t="n"/>
      <c r="I87" s="14" t="n"/>
    </row>
    <row r="88">
      <c r="B88" s="16" t="n"/>
      <c r="C88" s="14" t="n"/>
      <c r="D88" s="14" t="n"/>
      <c r="E88" s="14" t="n"/>
      <c r="F88" s="14" t="n"/>
      <c r="G88" s="14" t="n"/>
      <c r="H88" s="14" t="n"/>
      <c r="I88" s="14" t="n"/>
    </row>
    <row r="89">
      <c r="B89" s="16" t="n"/>
      <c r="C89" s="14" t="n"/>
      <c r="D89" s="14" t="n"/>
      <c r="E89" s="14" t="n"/>
      <c r="F89" s="14" t="n"/>
      <c r="G89" s="14" t="n"/>
      <c r="H89" s="14" t="n"/>
      <c r="I89" s="14" t="n"/>
    </row>
    <row r="90">
      <c r="B90" s="16" t="n"/>
      <c r="C90" s="14" t="n"/>
      <c r="D90" s="14" t="n"/>
      <c r="E90" s="14" t="n"/>
      <c r="F90" s="14" t="n"/>
      <c r="G90" s="14" t="n"/>
      <c r="H90" s="14" t="n"/>
      <c r="I90" s="14" t="n"/>
    </row>
    <row r="91">
      <c r="B91" s="16" t="n"/>
      <c r="C91" s="14" t="n"/>
      <c r="D91" s="14" t="n"/>
      <c r="E91" s="14" t="n"/>
      <c r="F91" s="14" t="n"/>
      <c r="G91" s="14" t="n"/>
      <c r="H91" s="14" t="n"/>
      <c r="I91" s="14" t="n"/>
    </row>
    <row r="92">
      <c r="B92" s="16" t="n"/>
      <c r="C92" s="14" t="n"/>
      <c r="D92" s="14" t="n"/>
      <c r="E92" s="14" t="n"/>
      <c r="F92" s="14" t="n"/>
      <c r="G92" s="14" t="n"/>
      <c r="H92" s="14" t="n"/>
      <c r="I92" s="14" t="n"/>
    </row>
    <row r="93">
      <c r="B93" s="16" t="n"/>
      <c r="C93" s="14" t="n"/>
      <c r="D93" s="14" t="n"/>
      <c r="E93" s="14" t="n"/>
      <c r="F93" s="14" t="n"/>
      <c r="G93" s="14" t="n"/>
      <c r="H93" s="14" t="n"/>
      <c r="I93" s="14" t="n"/>
    </row>
    <row r="94">
      <c r="B94" s="16" t="n"/>
      <c r="C94" s="14" t="n"/>
      <c r="D94" s="14" t="n"/>
      <c r="E94" s="14" t="n"/>
      <c r="F94" s="14" t="n"/>
      <c r="G94" s="14" t="n"/>
      <c r="H94" s="14" t="n"/>
      <c r="I94" s="14" t="n"/>
    </row>
    <row r="95">
      <c r="B95" s="16" t="n"/>
      <c r="C95" s="14" t="n"/>
      <c r="D95" s="14" t="n"/>
      <c r="E95" s="14" t="n"/>
      <c r="F95" s="14" t="n"/>
      <c r="G95" s="14" t="n"/>
      <c r="H95" s="14" t="n"/>
      <c r="I95" s="14" t="n"/>
    </row>
    <row r="96">
      <c r="B96" s="16" t="n"/>
      <c r="C96" s="14" t="n"/>
      <c r="D96" s="14" t="n"/>
      <c r="E96" s="14" t="n"/>
      <c r="F96" s="14" t="n"/>
      <c r="G96" s="14" t="n"/>
      <c r="H96" s="14" t="n"/>
      <c r="I96" s="14" t="n"/>
    </row>
    <row r="97">
      <c r="B97" s="16" t="n"/>
      <c r="C97" s="14" t="n"/>
      <c r="D97" s="14" t="n"/>
      <c r="E97" s="14" t="n"/>
      <c r="F97" s="14" t="n"/>
      <c r="G97" s="14" t="n"/>
      <c r="H97" s="14" t="n"/>
      <c r="I97" s="14" t="n"/>
    </row>
    <row r="98">
      <c r="B98" s="16" t="n"/>
      <c r="C98" s="14" t="n"/>
      <c r="D98" s="14" t="n"/>
      <c r="E98" s="14" t="n"/>
      <c r="F98" s="14" t="n"/>
      <c r="G98" s="14" t="n"/>
      <c r="H98" s="14" t="n"/>
      <c r="I98" s="14" t="n"/>
    </row>
    <row r="99">
      <c r="B99" s="16" t="n"/>
      <c r="C99" s="14" t="n"/>
      <c r="D99" s="14" t="n"/>
      <c r="E99" s="14" t="n"/>
      <c r="F99" s="14" t="n"/>
      <c r="G99" s="14" t="n"/>
      <c r="H99" s="14" t="n"/>
      <c r="I99" s="14" t="n"/>
    </row>
    <row r="100">
      <c r="B100" s="16" t="n"/>
      <c r="C100" s="14" t="n"/>
      <c r="D100" s="14" t="n"/>
      <c r="E100" s="14" t="n"/>
      <c r="F100" s="14" t="n"/>
      <c r="G100" s="14" t="n"/>
      <c r="H100" s="14" t="n"/>
      <c r="I100" s="14" t="n"/>
    </row>
    <row r="101">
      <c r="B101" s="16" t="n"/>
      <c r="C101" s="14" t="n"/>
      <c r="D101" s="14" t="n"/>
      <c r="E101" s="14" t="n"/>
      <c r="F101" s="14" t="n"/>
      <c r="G101" s="14" t="n"/>
      <c r="H101" s="14" t="n"/>
      <c r="I101" s="14" t="n"/>
    </row>
    <row r="102">
      <c r="B102" s="16" t="n"/>
      <c r="C102" s="14" t="n"/>
      <c r="D102" s="14" t="n"/>
      <c r="E102" s="14" t="n"/>
      <c r="F102" s="14" t="n"/>
      <c r="G102" s="14" t="n"/>
      <c r="H102" s="14" t="n"/>
      <c r="I102" s="14" t="n"/>
    </row>
    <row r="103">
      <c r="B103" s="16" t="n"/>
      <c r="C103" s="14" t="n"/>
      <c r="D103" s="14" t="n"/>
      <c r="E103" s="14" t="n"/>
      <c r="F103" s="14" t="n"/>
      <c r="G103" s="14" t="n"/>
      <c r="H103" s="14" t="n"/>
      <c r="I103" s="14" t="n"/>
    </row>
    <row r="104">
      <c r="B104" s="16" t="n"/>
      <c r="C104" s="14" t="n"/>
      <c r="D104" s="14" t="n"/>
      <c r="E104" s="14" t="n"/>
      <c r="F104" s="14" t="n"/>
      <c r="G104" s="14" t="n"/>
      <c r="H104" s="14" t="n"/>
      <c r="I104" s="14" t="n"/>
    </row>
    <row r="105">
      <c r="B105" s="16" t="n"/>
      <c r="C105" s="14" t="n"/>
      <c r="D105" s="14" t="n"/>
      <c r="E105" s="14" t="n"/>
      <c r="F105" s="14" t="n"/>
      <c r="G105" s="14" t="n"/>
      <c r="H105" s="14" t="n"/>
      <c r="I105" s="14" t="n"/>
    </row>
    <row r="106">
      <c r="B106" s="16" t="n"/>
      <c r="C106" s="14" t="n"/>
      <c r="D106" s="14" t="n"/>
      <c r="E106" s="14" t="n"/>
      <c r="F106" s="14" t="n"/>
      <c r="G106" s="14" t="n"/>
      <c r="H106" s="14" t="n"/>
      <c r="I106" s="14" t="n"/>
    </row>
    <row r="107">
      <c r="B107" s="16" t="n"/>
      <c r="C107" s="14" t="n"/>
      <c r="D107" s="14" t="n"/>
      <c r="E107" s="14" t="n"/>
      <c r="F107" s="14" t="n"/>
      <c r="G107" s="14" t="n"/>
      <c r="H107" s="14" t="n"/>
      <c r="I107" s="14" t="n"/>
    </row>
    <row r="108">
      <c r="B108" s="16" t="n"/>
      <c r="C108" s="14" t="n"/>
      <c r="D108" s="14" t="n"/>
      <c r="E108" s="14" t="n"/>
      <c r="F108" s="14" t="n"/>
      <c r="G108" s="14" t="n"/>
      <c r="H108" s="14" t="n"/>
      <c r="I108" s="14" t="n"/>
    </row>
    <row r="109">
      <c r="B109" s="16" t="n"/>
      <c r="C109" s="14" t="n"/>
      <c r="D109" s="14" t="n"/>
      <c r="E109" s="14" t="n"/>
      <c r="F109" s="14" t="n"/>
      <c r="G109" s="14" t="n"/>
      <c r="H109" s="14" t="n"/>
      <c r="I109" s="14" t="n"/>
    </row>
    <row r="110">
      <c r="B110" s="16" t="n"/>
      <c r="C110" s="14" t="n"/>
      <c r="D110" s="14" t="n"/>
      <c r="E110" s="14" t="n"/>
      <c r="F110" s="14" t="n"/>
      <c r="G110" s="14" t="n"/>
      <c r="H110" s="14" t="n"/>
      <c r="I110" s="14" t="n"/>
    </row>
    <row r="111">
      <c r="B111" s="16" t="n"/>
      <c r="C111" s="14" t="n"/>
      <c r="D111" s="14" t="n"/>
      <c r="E111" s="14" t="n"/>
      <c r="F111" s="14" t="n"/>
      <c r="G111" s="14" t="n"/>
      <c r="H111" s="14" t="n"/>
      <c r="I111" s="14" t="n"/>
    </row>
    <row r="112">
      <c r="B112" s="16" t="n"/>
      <c r="C112" s="14" t="n"/>
      <c r="D112" s="14" t="n"/>
      <c r="E112" s="14" t="n"/>
      <c r="F112" s="14" t="n"/>
      <c r="G112" s="14" t="n"/>
      <c r="H112" s="14" t="n"/>
      <c r="I112" s="14" t="n"/>
    </row>
    <row r="113">
      <c r="B113" s="16" t="n"/>
      <c r="C113" s="14" t="n"/>
      <c r="D113" s="14" t="n"/>
      <c r="E113" s="14" t="n"/>
      <c r="F113" s="14" t="n"/>
      <c r="G113" s="14" t="n"/>
      <c r="H113" s="14" t="n"/>
      <c r="I113" s="14" t="n"/>
    </row>
    <row r="114">
      <c r="B114" s="16" t="n"/>
      <c r="C114" s="14" t="n"/>
      <c r="D114" s="14" t="n"/>
      <c r="E114" s="14" t="n"/>
      <c r="F114" s="14" t="n"/>
      <c r="G114" s="14" t="n"/>
      <c r="H114" s="14" t="n"/>
      <c r="I114" s="14" t="n"/>
    </row>
    <row r="115">
      <c r="B115" s="16" t="n"/>
      <c r="C115" s="14" t="n"/>
      <c r="D115" s="14" t="n"/>
      <c r="E115" s="14" t="n"/>
      <c r="F115" s="14" t="n"/>
      <c r="G115" s="14" t="n"/>
      <c r="H115" s="14" t="n"/>
      <c r="I115" s="14" t="n"/>
    </row>
    <row r="116">
      <c r="B116" s="16" t="n"/>
      <c r="C116" s="14" t="n"/>
      <c r="D116" s="14" t="n"/>
      <c r="E116" s="14" t="n"/>
      <c r="F116" s="14" t="n"/>
      <c r="G116" s="14" t="n"/>
      <c r="H116" s="14" t="n"/>
      <c r="I116" s="14" t="n"/>
    </row>
    <row r="117">
      <c r="B117" s="16" t="n"/>
      <c r="C117" s="14" t="n"/>
      <c r="D117" s="14" t="n"/>
      <c r="E117" s="14" t="n"/>
      <c r="F117" s="14" t="n"/>
      <c r="G117" s="14" t="n"/>
      <c r="H117" s="14" t="n"/>
      <c r="I117" s="14" t="n"/>
    </row>
    <row r="118">
      <c r="B118" s="16" t="n"/>
      <c r="C118" s="14" t="n"/>
      <c r="D118" s="14" t="n"/>
      <c r="E118" s="14" t="n"/>
      <c r="F118" s="14" t="n"/>
      <c r="G118" s="14" t="n"/>
      <c r="H118" s="14" t="n"/>
      <c r="I118" s="14" t="n"/>
    </row>
    <row r="119">
      <c r="B119" s="16" t="n"/>
      <c r="C119" s="14" t="n"/>
      <c r="D119" s="14" t="n"/>
      <c r="E119" s="14" t="n"/>
      <c r="F119" s="14" t="n"/>
      <c r="G119" s="14" t="n"/>
      <c r="H119" s="14" t="n"/>
      <c r="I119" s="14" t="n"/>
    </row>
    <row r="120">
      <c r="B120" s="16" t="n"/>
      <c r="C120" s="14" t="n"/>
      <c r="D120" s="14" t="n"/>
      <c r="E120" s="14" t="n"/>
      <c r="F120" s="14" t="n"/>
      <c r="G120" s="14" t="n"/>
      <c r="H120" s="14" t="n"/>
      <c r="I120" s="14" t="n"/>
    </row>
    <row r="121">
      <c r="B121" s="16" t="n"/>
      <c r="C121" s="14" t="n"/>
      <c r="D121" s="14" t="n"/>
      <c r="E121" s="14" t="n"/>
      <c r="F121" s="14" t="n"/>
      <c r="G121" s="14" t="n"/>
      <c r="H121" s="14" t="n"/>
      <c r="I121" s="14" t="n"/>
    </row>
    <row r="122">
      <c r="B122" s="16" t="n"/>
      <c r="C122" s="14" t="n"/>
      <c r="D122" s="14" t="n"/>
      <c r="E122" s="14" t="n"/>
      <c r="F122" s="14" t="n"/>
      <c r="G122" s="14" t="n"/>
      <c r="H122" s="14" t="n"/>
      <c r="I122" s="14" t="n"/>
    </row>
    <row r="123">
      <c r="B123" s="16" t="n"/>
      <c r="C123" s="14" t="n"/>
      <c r="D123" s="14" t="n"/>
      <c r="E123" s="14" t="n"/>
      <c r="F123" s="14" t="n"/>
      <c r="G123" s="14" t="n"/>
      <c r="H123" s="14" t="n"/>
      <c r="I123" s="14" t="n"/>
    </row>
    <row r="124">
      <c r="B124" s="16" t="n"/>
      <c r="C124" s="14" t="n"/>
      <c r="D124" s="14" t="n"/>
      <c r="E124" s="14" t="n"/>
      <c r="F124" s="14" t="n"/>
      <c r="G124" s="14" t="n"/>
      <c r="H124" s="14" t="n"/>
      <c r="I124" s="14" t="n"/>
    </row>
    <row r="125">
      <c r="B125" s="16" t="n"/>
      <c r="C125" s="14" t="n"/>
      <c r="D125" s="14" t="n"/>
      <c r="E125" s="14" t="n"/>
      <c r="F125" s="14" t="n"/>
      <c r="G125" s="14" t="n"/>
      <c r="H125" s="14" t="n"/>
      <c r="I125" s="14" t="n"/>
    </row>
    <row r="126">
      <c r="B126" s="16" t="n"/>
      <c r="C126" s="14" t="n"/>
      <c r="D126" s="14" t="n"/>
      <c r="E126" s="14" t="n"/>
      <c r="F126" s="14" t="n"/>
      <c r="G126" s="14" t="n"/>
      <c r="H126" s="14" t="n"/>
      <c r="I126" s="14" t="n"/>
    </row>
    <row r="127">
      <c r="B127" s="16" t="n"/>
      <c r="C127" s="14" t="n"/>
      <c r="D127" s="14" t="n"/>
      <c r="E127" s="14" t="n"/>
      <c r="F127" s="14" t="n"/>
      <c r="G127" s="14" t="n"/>
      <c r="H127" s="14" t="n"/>
      <c r="I127" s="14" t="n"/>
    </row>
    <row r="128">
      <c r="B128" s="16" t="n"/>
      <c r="C128" s="14" t="n"/>
      <c r="D128" s="14" t="n"/>
      <c r="E128" s="14" t="n"/>
      <c r="F128" s="14" t="n"/>
      <c r="G128" s="14" t="n"/>
      <c r="H128" s="14" t="n"/>
      <c r="I128" s="14" t="n"/>
    </row>
    <row r="129">
      <c r="B129" s="16" t="n"/>
      <c r="C129" s="14" t="n"/>
      <c r="D129" s="14" t="n"/>
      <c r="E129" s="14" t="n"/>
      <c r="F129" s="14" t="n"/>
      <c r="G129" s="14" t="n"/>
      <c r="H129" s="14" t="n"/>
      <c r="I129" s="14" t="n"/>
    </row>
    <row r="130">
      <c r="B130" s="16" t="n"/>
      <c r="C130" s="14" t="n"/>
      <c r="D130" s="14" t="n"/>
      <c r="E130" s="14" t="n"/>
      <c r="F130" s="14" t="n"/>
      <c r="G130" s="14" t="n"/>
      <c r="H130" s="14" t="n"/>
      <c r="I130" s="14" t="n"/>
    </row>
    <row r="131">
      <c r="B131" s="16" t="n"/>
      <c r="C131" s="14" t="n"/>
      <c r="D131" s="14" t="n"/>
      <c r="E131" s="14" t="n"/>
      <c r="F131" s="14" t="n"/>
      <c r="G131" s="14" t="n"/>
      <c r="H131" s="14" t="n"/>
      <c r="I131" s="14" t="n"/>
    </row>
    <row r="132">
      <c r="B132" s="16" t="n"/>
      <c r="C132" s="14" t="n"/>
      <c r="D132" s="14" t="n"/>
      <c r="E132" s="14" t="n"/>
      <c r="F132" s="14" t="n"/>
      <c r="G132" s="14" t="n"/>
      <c r="H132" s="14" t="n"/>
      <c r="I132" s="14" t="n"/>
    </row>
    <row r="133">
      <c r="B133" s="16" t="n"/>
      <c r="C133" s="14" t="n"/>
      <c r="D133" s="14" t="n"/>
      <c r="E133" s="14" t="n"/>
      <c r="F133" s="14" t="n"/>
      <c r="G133" s="14" t="n"/>
      <c r="H133" s="14" t="n"/>
      <c r="I133" s="14" t="n"/>
    </row>
    <row r="134">
      <c r="B134" s="16" t="n"/>
      <c r="C134" s="14" t="n"/>
      <c r="D134" s="14" t="n"/>
      <c r="E134" s="14" t="n"/>
      <c r="F134" s="14" t="n"/>
      <c r="G134" s="14" t="n"/>
      <c r="H134" s="14" t="n"/>
      <c r="I134" s="14" t="n"/>
    </row>
    <row r="135">
      <c r="B135" s="16" t="n"/>
      <c r="C135" s="14" t="n"/>
      <c r="D135" s="14" t="n"/>
      <c r="E135" s="14" t="n"/>
      <c r="F135" s="14" t="n"/>
      <c r="G135" s="14" t="n"/>
      <c r="H135" s="14" t="n"/>
      <c r="I135" s="14" t="n"/>
    </row>
    <row r="136">
      <c r="B136" s="16" t="n"/>
      <c r="C136" s="14" t="n"/>
      <c r="D136" s="14" t="n"/>
      <c r="E136" s="14" t="n"/>
      <c r="F136" s="14" t="n"/>
      <c r="G136" s="14" t="n"/>
      <c r="H136" s="14" t="n"/>
      <c r="I136" s="14" t="n"/>
    </row>
    <row r="137">
      <c r="B137" s="16" t="n"/>
      <c r="C137" s="14" t="n"/>
      <c r="D137" s="14" t="n"/>
      <c r="E137" s="14" t="n"/>
      <c r="F137" s="14" t="n"/>
      <c r="G137" s="14" t="n"/>
      <c r="H137" s="14" t="n"/>
      <c r="I137" s="14" t="n"/>
    </row>
    <row r="138">
      <c r="B138" s="16" t="n"/>
      <c r="C138" s="14" t="n"/>
      <c r="D138" s="14" t="n"/>
      <c r="E138" s="14" t="n"/>
      <c r="F138" s="14" t="n"/>
      <c r="G138" s="14" t="n"/>
      <c r="H138" s="14" t="n"/>
      <c r="I138" s="14" t="n"/>
    </row>
    <row r="139">
      <c r="B139" s="16" t="n"/>
      <c r="C139" s="14" t="n"/>
      <c r="D139" s="14" t="n"/>
      <c r="E139" s="14" t="n"/>
      <c r="F139" s="14" t="n"/>
      <c r="G139" s="14" t="n"/>
      <c r="H139" s="14" t="n"/>
      <c r="I139" s="14" t="n"/>
    </row>
    <row r="140">
      <c r="B140" s="16" t="n"/>
      <c r="C140" s="14" t="n"/>
      <c r="D140" s="14" t="n"/>
      <c r="E140" s="14" t="n"/>
      <c r="F140" s="14" t="n"/>
      <c r="G140" s="14" t="n"/>
      <c r="H140" s="14" t="n"/>
      <c r="I140" s="14" t="n"/>
    </row>
    <row r="141">
      <c r="B141" s="16" t="n"/>
      <c r="C141" s="14" t="n"/>
      <c r="D141" s="14" t="n"/>
      <c r="E141" s="14" t="n"/>
      <c r="F141" s="14" t="n"/>
      <c r="G141" s="14" t="n"/>
      <c r="H141" s="14" t="n"/>
      <c r="I141" s="14" t="n"/>
    </row>
    <row r="142">
      <c r="B142" s="16" t="n"/>
      <c r="C142" s="14" t="n"/>
      <c r="D142" s="14" t="n"/>
      <c r="E142" s="14" t="n"/>
      <c r="F142" s="14" t="n"/>
      <c r="G142" s="14" t="n"/>
      <c r="H142" s="14" t="n"/>
      <c r="I142" s="14" t="n"/>
    </row>
    <row r="143">
      <c r="B143" s="16" t="n"/>
      <c r="C143" s="14" t="n"/>
      <c r="D143" s="14" t="n"/>
      <c r="E143" s="14" t="n"/>
      <c r="F143" s="14" t="n"/>
      <c r="G143" s="14" t="n"/>
      <c r="H143" s="14" t="n"/>
      <c r="I143" s="14" t="n"/>
    </row>
    <row r="144">
      <c r="B144" s="16" t="n"/>
      <c r="C144" s="14" t="n"/>
      <c r="D144" s="14" t="n"/>
      <c r="E144" s="14" t="n"/>
      <c r="F144" s="14" t="n"/>
      <c r="G144" s="14" t="n"/>
      <c r="H144" s="14" t="n"/>
      <c r="I144" s="14" t="n"/>
    </row>
    <row r="145">
      <c r="B145" s="16" t="n"/>
      <c r="C145" s="14" t="n"/>
      <c r="D145" s="14" t="n"/>
      <c r="E145" s="14" t="n"/>
      <c r="F145" s="14" t="n"/>
      <c r="G145" s="14" t="n"/>
      <c r="H145" s="14" t="n"/>
      <c r="I145" s="14" t="n"/>
    </row>
    <row r="146">
      <c r="B146" s="16" t="n"/>
      <c r="C146" s="14" t="n"/>
      <c r="D146" s="14" t="n"/>
      <c r="E146" s="14" t="n"/>
      <c r="F146" s="14" t="n"/>
      <c r="G146" s="14" t="n"/>
      <c r="H146" s="14" t="n"/>
      <c r="I146" s="14" t="n"/>
    </row>
    <row r="147">
      <c r="B147" s="16" t="n"/>
      <c r="C147" s="14" t="n"/>
      <c r="D147" s="14" t="n"/>
      <c r="E147" s="14" t="n"/>
      <c r="F147" s="14" t="n"/>
      <c r="G147" s="14" t="n"/>
      <c r="H147" s="14" t="n"/>
      <c r="I147" s="14" t="n"/>
    </row>
    <row r="148">
      <c r="B148" s="16" t="n"/>
      <c r="C148" s="14" t="n"/>
      <c r="D148" s="14" t="n"/>
      <c r="E148" s="14" t="n"/>
      <c r="F148" s="14" t="n"/>
      <c r="G148" s="14" t="n"/>
      <c r="H148" s="14" t="n"/>
      <c r="I148" s="14" t="n"/>
    </row>
    <row r="149">
      <c r="B149" s="16" t="n"/>
      <c r="C149" s="14" t="n"/>
      <c r="D149" s="14" t="n"/>
      <c r="E149" s="14" t="n"/>
      <c r="F149" s="14" t="n"/>
      <c r="G149" s="14" t="n"/>
      <c r="H149" s="14" t="n"/>
      <c r="I149" s="14" t="n"/>
    </row>
    <row r="150">
      <c r="B150" s="16" t="n"/>
      <c r="C150" s="14" t="n"/>
      <c r="D150" s="14" t="n"/>
      <c r="E150" s="14" t="n"/>
      <c r="F150" s="14" t="n"/>
      <c r="G150" s="14" t="n"/>
      <c r="H150" s="14" t="n"/>
      <c r="I150" s="14" t="n"/>
    </row>
    <row r="151">
      <c r="B151" s="16" t="n"/>
      <c r="C151" s="14" t="n"/>
      <c r="D151" s="14" t="n"/>
      <c r="E151" s="14" t="n"/>
      <c r="F151" s="14" t="n"/>
      <c r="G151" s="14" t="n"/>
      <c r="H151" s="14" t="n"/>
      <c r="I151" s="14" t="n"/>
    </row>
    <row r="152">
      <c r="B152" s="16" t="n"/>
      <c r="C152" s="14" t="n"/>
      <c r="D152" s="14" t="n"/>
      <c r="E152" s="14" t="n"/>
      <c r="F152" s="14" t="n"/>
      <c r="G152" s="14" t="n"/>
      <c r="H152" s="14" t="n"/>
      <c r="I152" s="14" t="n"/>
    </row>
    <row r="153">
      <c r="B153" s="16" t="n"/>
      <c r="C153" s="14" t="n"/>
      <c r="D153" s="14" t="n"/>
      <c r="E153" s="14" t="n"/>
      <c r="F153" s="14" t="n"/>
      <c r="G153" s="14" t="n"/>
      <c r="H153" s="14" t="n"/>
      <c r="I153" s="14" t="n"/>
    </row>
    <row r="154">
      <c r="B154" s="16" t="n"/>
      <c r="C154" s="14" t="n"/>
      <c r="D154" s="14" t="n"/>
      <c r="E154" s="14" t="n"/>
      <c r="F154" s="14" t="n"/>
      <c r="G154" s="14" t="n"/>
      <c r="H154" s="14" t="n"/>
      <c r="I154" s="14" t="n"/>
    </row>
    <row r="155">
      <c r="B155" s="16" t="n"/>
      <c r="C155" s="14" t="n"/>
      <c r="D155" s="14" t="n"/>
      <c r="E155" s="14" t="n"/>
      <c r="F155" s="14" t="n"/>
      <c r="G155" s="14" t="n"/>
      <c r="H155" s="14" t="n"/>
      <c r="I155" s="14" t="n"/>
    </row>
    <row r="156">
      <c r="B156" s="16" t="n"/>
      <c r="C156" s="14" t="n"/>
      <c r="D156" s="14" t="n"/>
      <c r="E156" s="14" t="n"/>
      <c r="F156" s="14" t="n"/>
      <c r="G156" s="14" t="n"/>
      <c r="H156" s="14" t="n"/>
      <c r="I156" s="14" t="n"/>
    </row>
    <row r="157">
      <c r="B157" s="16" t="n"/>
      <c r="C157" s="14" t="n"/>
      <c r="D157" s="14" t="n"/>
      <c r="E157" s="14" t="n"/>
      <c r="F157" s="14" t="n"/>
      <c r="G157" s="14" t="n"/>
      <c r="H157" s="14" t="n"/>
      <c r="I157" s="14" t="n"/>
    </row>
    <row r="158">
      <c r="B158" s="16" t="n"/>
      <c r="C158" s="14" t="n"/>
      <c r="D158" s="14" t="n"/>
      <c r="E158" s="14" t="n"/>
      <c r="F158" s="14" t="n"/>
      <c r="G158" s="14" t="n"/>
      <c r="H158" s="14" t="n"/>
      <c r="I158" s="14" t="n"/>
    </row>
    <row r="159">
      <c r="B159" s="16" t="n"/>
      <c r="C159" s="14" t="n"/>
      <c r="D159" s="14" t="n"/>
      <c r="E159" s="14" t="n"/>
      <c r="F159" s="14" t="n"/>
      <c r="G159" s="14" t="n"/>
      <c r="H159" s="14" t="n"/>
      <c r="I159" s="14" t="n"/>
    </row>
    <row r="160">
      <c r="B160" s="16" t="n"/>
      <c r="C160" s="14" t="n"/>
      <c r="D160" s="14" t="n"/>
      <c r="E160" s="14" t="n"/>
      <c r="F160" s="14" t="n"/>
      <c r="G160" s="14" t="n"/>
      <c r="H160" s="14" t="n"/>
      <c r="I160" s="14" t="n"/>
    </row>
    <row r="161">
      <c r="B161" s="16" t="n"/>
      <c r="C161" s="14" t="n"/>
      <c r="D161" s="14" t="n"/>
      <c r="E161" s="14" t="n"/>
      <c r="F161" s="14" t="n"/>
      <c r="G161" s="14" t="n"/>
      <c r="H161" s="14" t="n"/>
      <c r="I161" s="14" t="n"/>
    </row>
    <row r="162">
      <c r="B162" s="16" t="n"/>
      <c r="C162" s="14" t="n"/>
      <c r="D162" s="14" t="n"/>
      <c r="E162" s="14" t="n"/>
      <c r="F162" s="14" t="n"/>
      <c r="G162" s="14" t="n"/>
      <c r="H162" s="14" t="n"/>
      <c r="I162" s="14" t="n"/>
    </row>
    <row r="163">
      <c r="B163" s="16" t="n"/>
      <c r="C163" s="14" t="n"/>
      <c r="D163" s="14" t="n"/>
      <c r="E163" s="14" t="n"/>
      <c r="F163" s="14" t="n"/>
      <c r="G163" s="14" t="n"/>
      <c r="H163" s="14" t="n"/>
      <c r="I163" s="14" t="n"/>
    </row>
    <row r="164">
      <c r="B164" s="16" t="n"/>
      <c r="C164" s="14" t="n"/>
      <c r="D164" s="14" t="n"/>
      <c r="E164" s="14" t="n"/>
      <c r="F164" s="14" t="n"/>
      <c r="G164" s="14" t="n"/>
      <c r="H164" s="14" t="n"/>
      <c r="I164" s="14" t="n"/>
    </row>
    <row r="165">
      <c r="B165" s="16" t="n"/>
      <c r="C165" s="14" t="n"/>
      <c r="D165" s="14" t="n"/>
      <c r="E165" s="14" t="n"/>
      <c r="F165" s="14" t="n"/>
      <c r="G165" s="14" t="n"/>
      <c r="H165" s="14" t="n"/>
      <c r="I165" s="14" t="n"/>
    </row>
    <row r="166">
      <c r="B166" s="16" t="n"/>
      <c r="C166" s="14" t="n"/>
      <c r="D166" s="14" t="n"/>
      <c r="E166" s="14" t="n"/>
      <c r="F166" s="14" t="n"/>
      <c r="G166" s="14" t="n"/>
      <c r="H166" s="14" t="n"/>
      <c r="I166" s="14" t="n"/>
    </row>
    <row r="167">
      <c r="B167" s="16" t="n"/>
      <c r="C167" s="14" t="n"/>
      <c r="D167" s="14" t="n"/>
      <c r="E167" s="14" t="n"/>
      <c r="F167" s="14" t="n"/>
      <c r="G167" s="14" t="n"/>
      <c r="H167" s="14" t="n"/>
      <c r="I167" s="14" t="n"/>
    </row>
    <row r="168">
      <c r="B168" s="16" t="n"/>
      <c r="C168" s="14" t="n"/>
      <c r="D168" s="14" t="n"/>
      <c r="E168" s="14" t="n"/>
      <c r="F168" s="14" t="n"/>
      <c r="G168" s="14" t="n"/>
      <c r="H168" s="14" t="n"/>
      <c r="I168" s="14" t="n"/>
    </row>
    <row r="169">
      <c r="B169" s="16" t="n"/>
      <c r="C169" s="14" t="n"/>
      <c r="D169" s="14" t="n"/>
      <c r="E169" s="14" t="n"/>
      <c r="F169" s="14" t="n"/>
      <c r="G169" s="14" t="n"/>
      <c r="H169" s="14" t="n"/>
      <c r="I169" s="14" t="n"/>
    </row>
    <row r="170">
      <c r="B170" s="16" t="n"/>
      <c r="C170" s="14" t="n"/>
      <c r="D170" s="14" t="n"/>
      <c r="E170" s="14" t="n"/>
      <c r="F170" s="14" t="n"/>
      <c r="G170" s="14" t="n"/>
      <c r="H170" s="14" t="n"/>
      <c r="I170" s="14" t="n"/>
    </row>
    <row r="171">
      <c r="B171" s="16" t="n"/>
      <c r="C171" s="14" t="n"/>
      <c r="D171" s="14" t="n"/>
      <c r="E171" s="14" t="n"/>
      <c r="F171" s="14" t="n"/>
      <c r="G171" s="14" t="n"/>
      <c r="H171" s="14" t="n"/>
      <c r="I171" s="14" t="n"/>
    </row>
    <row r="172">
      <c r="B172" s="16" t="n"/>
      <c r="C172" s="14" t="n"/>
      <c r="D172" s="14" t="n"/>
      <c r="E172" s="14" t="n"/>
      <c r="F172" s="14" t="n"/>
      <c r="G172" s="14" t="n"/>
      <c r="H172" s="14" t="n"/>
      <c r="I172" s="14" t="n"/>
    </row>
    <row r="173">
      <c r="B173" s="16" t="n"/>
      <c r="C173" s="14" t="n"/>
      <c r="D173" s="14" t="n"/>
      <c r="E173" s="14" t="n"/>
      <c r="F173" s="14" t="n"/>
      <c r="G173" s="14" t="n"/>
      <c r="H173" s="14" t="n"/>
      <c r="I173" s="14" t="n"/>
    </row>
    <row r="174">
      <c r="B174" s="16" t="n"/>
      <c r="C174" s="14" t="n"/>
      <c r="D174" s="14" t="n"/>
      <c r="E174" s="14" t="n"/>
      <c r="F174" s="14" t="n"/>
      <c r="G174" s="14" t="n"/>
      <c r="H174" s="14" t="n"/>
      <c r="I174" s="14" t="n"/>
    </row>
    <row r="175">
      <c r="B175" s="16" t="n"/>
      <c r="C175" s="14" t="n"/>
      <c r="D175" s="14" t="n"/>
      <c r="E175" s="14" t="n"/>
      <c r="F175" s="14" t="n"/>
      <c r="G175" s="14" t="n"/>
      <c r="H175" s="14" t="n"/>
      <c r="I175" s="14" t="n"/>
    </row>
    <row r="176">
      <c r="B176" s="16" t="n"/>
      <c r="C176" s="14" t="n"/>
      <c r="D176" s="14" t="n"/>
      <c r="E176" s="14" t="n"/>
      <c r="F176" s="14" t="n"/>
      <c r="G176" s="14" t="n"/>
      <c r="H176" s="14" t="n"/>
      <c r="I176" s="14" t="n"/>
    </row>
    <row r="177">
      <c r="B177" s="16" t="n"/>
      <c r="C177" s="14" t="n"/>
      <c r="D177" s="14" t="n"/>
      <c r="E177" s="14" t="n"/>
      <c r="F177" s="14" t="n"/>
      <c r="G177" s="14" t="n"/>
      <c r="H177" s="14" t="n"/>
      <c r="I177" s="14" t="n"/>
    </row>
    <row r="178">
      <c r="B178" s="16" t="n"/>
      <c r="C178" s="14" t="n"/>
      <c r="D178" s="14" t="n"/>
      <c r="E178" s="14" t="n"/>
      <c r="F178" s="14" t="n"/>
      <c r="G178" s="14" t="n"/>
      <c r="H178" s="14" t="n"/>
      <c r="I178" s="14" t="n"/>
    </row>
    <row r="179">
      <c r="B179" s="16" t="n"/>
      <c r="C179" s="14" t="n"/>
      <c r="D179" s="14" t="n"/>
      <c r="E179" s="14" t="n"/>
      <c r="F179" s="14" t="n"/>
      <c r="G179" s="14" t="n"/>
      <c r="H179" s="14" t="n"/>
      <c r="I179" s="14" t="n"/>
    </row>
    <row r="180">
      <c r="B180" s="16" t="n"/>
      <c r="C180" s="14" t="n"/>
      <c r="D180" s="14" t="n"/>
      <c r="E180" s="14" t="n"/>
      <c r="F180" s="14" t="n"/>
      <c r="G180" s="14" t="n"/>
      <c r="H180" s="14" t="n"/>
      <c r="I180" s="14" t="n"/>
    </row>
    <row r="181">
      <c r="B181" s="16" t="n"/>
      <c r="C181" s="14" t="n"/>
      <c r="D181" s="14" t="n"/>
      <c r="E181" s="14" t="n"/>
      <c r="F181" s="14" t="n"/>
      <c r="G181" s="14" t="n"/>
      <c r="H181" s="14" t="n"/>
      <c r="I181" s="14" t="n"/>
    </row>
    <row r="182">
      <c r="B182" s="16" t="n"/>
      <c r="C182" s="14" t="n"/>
      <c r="D182" s="14" t="n"/>
      <c r="E182" s="14" t="n"/>
      <c r="F182" s="14" t="n"/>
      <c r="G182" s="14" t="n"/>
      <c r="H182" s="14" t="n"/>
      <c r="I182" s="14" t="n"/>
    </row>
    <row r="183">
      <c r="B183" s="16" t="n"/>
      <c r="C183" s="14" t="n"/>
      <c r="D183" s="14" t="n"/>
      <c r="E183" s="14" t="n"/>
      <c r="F183" s="14" t="n"/>
      <c r="G183" s="14" t="n"/>
      <c r="H183" s="14" t="n"/>
      <c r="I183" s="14" t="n"/>
    </row>
    <row r="184">
      <c r="B184" s="16" t="n"/>
      <c r="C184" s="14" t="n"/>
      <c r="D184" s="14" t="n"/>
      <c r="E184" s="14" t="n"/>
      <c r="F184" s="14" t="n"/>
      <c r="G184" s="14" t="n"/>
      <c r="H184" s="14" t="n"/>
      <c r="I184" s="14" t="n"/>
    </row>
    <row r="185">
      <c r="B185" s="16" t="n"/>
      <c r="C185" s="14" t="n"/>
      <c r="D185" s="14" t="n"/>
      <c r="E185" s="14" t="n"/>
      <c r="F185" s="14" t="n"/>
      <c r="G185" s="14" t="n"/>
      <c r="H185" s="14" t="n"/>
      <c r="I185" s="14" t="n"/>
    </row>
    <row r="186">
      <c r="B186" s="16" t="n"/>
      <c r="C186" s="14" t="n"/>
      <c r="D186" s="14" t="n"/>
      <c r="E186" s="14" t="n"/>
      <c r="F186" s="14" t="n"/>
      <c r="G186" s="14" t="n"/>
      <c r="H186" s="14" t="n"/>
      <c r="I186" s="14" t="n"/>
    </row>
    <row r="187">
      <c r="B187" s="16" t="n"/>
      <c r="C187" s="14" t="n"/>
      <c r="D187" s="14" t="n"/>
      <c r="E187" s="14" t="n"/>
      <c r="F187" s="14" t="n"/>
      <c r="G187" s="14" t="n"/>
      <c r="H187" s="14" t="n"/>
      <c r="I187" s="14" t="n"/>
    </row>
    <row r="188">
      <c r="B188" s="16" t="n"/>
      <c r="C188" s="14" t="n"/>
      <c r="D188" s="14" t="n"/>
      <c r="E188" s="14" t="n"/>
      <c r="F188" s="14" t="n"/>
      <c r="G188" s="14" t="n"/>
      <c r="H188" s="14" t="n"/>
      <c r="I188" s="14" t="n"/>
    </row>
    <row r="189">
      <c r="B189" s="16" t="n"/>
      <c r="C189" s="14" t="n"/>
      <c r="D189" s="14" t="n"/>
      <c r="E189" s="14" t="n"/>
      <c r="F189" s="14" t="n"/>
      <c r="G189" s="14" t="n"/>
      <c r="H189" s="14" t="n"/>
      <c r="I189" s="14" t="n"/>
    </row>
    <row r="190">
      <c r="B190" s="16" t="n"/>
      <c r="C190" s="14" t="n"/>
      <c r="D190" s="14" t="n"/>
      <c r="E190" s="14" t="n"/>
      <c r="F190" s="14" t="n"/>
      <c r="G190" s="14" t="n"/>
      <c r="H190" s="14" t="n"/>
      <c r="I190" s="14" t="n"/>
    </row>
    <row r="191">
      <c r="B191" s="16" t="n"/>
      <c r="C191" s="14" t="n"/>
      <c r="D191" s="14" t="n"/>
      <c r="E191" s="14" t="n"/>
      <c r="F191" s="14" t="n"/>
      <c r="G191" s="14" t="n"/>
      <c r="H191" s="14" t="n"/>
      <c r="I191" s="14" t="n"/>
    </row>
    <row r="192">
      <c r="B192" s="16" t="n"/>
      <c r="C192" s="14" t="n"/>
      <c r="D192" s="14" t="n"/>
      <c r="E192" s="14" t="n"/>
      <c r="F192" s="14" t="n"/>
      <c r="G192" s="14" t="n"/>
      <c r="H192" s="14" t="n"/>
      <c r="I192" s="14" t="n"/>
    </row>
    <row r="193">
      <c r="B193" s="16" t="n"/>
      <c r="C193" s="14" t="n"/>
      <c r="D193" s="14" t="n"/>
      <c r="E193" s="14" t="n"/>
      <c r="F193" s="14" t="n"/>
      <c r="G193" s="14" t="n"/>
      <c r="H193" s="14" t="n"/>
      <c r="I193" s="14" t="n"/>
    </row>
    <row r="194">
      <c r="B194" s="16" t="n"/>
      <c r="C194" s="14" t="n"/>
      <c r="D194" s="14" t="n"/>
      <c r="E194" s="14" t="n"/>
      <c r="F194" s="14" t="n"/>
      <c r="G194" s="14" t="n"/>
      <c r="H194" s="14" t="n"/>
      <c r="I194" s="14" t="n"/>
    </row>
    <row r="195">
      <c r="B195" s="16" t="n"/>
      <c r="C195" s="14" t="n"/>
      <c r="D195" s="14" t="n"/>
      <c r="E195" s="14" t="n"/>
      <c r="F195" s="14" t="n"/>
      <c r="G195" s="14" t="n"/>
      <c r="H195" s="14" t="n"/>
      <c r="I195" s="14" t="n"/>
    </row>
    <row r="196">
      <c r="B196" s="16" t="n"/>
      <c r="C196" s="14" t="n"/>
      <c r="D196" s="14" t="n"/>
      <c r="E196" s="14" t="n"/>
      <c r="F196" s="14" t="n"/>
      <c r="G196" s="14" t="n"/>
      <c r="H196" s="14" t="n"/>
      <c r="I196" s="14" t="n"/>
    </row>
    <row r="197">
      <c r="B197" s="16" t="n"/>
      <c r="C197" s="14" t="n"/>
      <c r="D197" s="14" t="n"/>
      <c r="E197" s="14" t="n"/>
      <c r="F197" s="14" t="n"/>
      <c r="G197" s="14" t="n"/>
      <c r="H197" s="14" t="n"/>
      <c r="I197" s="14" t="n"/>
    </row>
    <row r="198">
      <c r="B198" s="16" t="n"/>
      <c r="C198" s="14" t="n"/>
      <c r="D198" s="14" t="n"/>
      <c r="E198" s="14" t="n"/>
      <c r="F198" s="14" t="n"/>
      <c r="G198" s="14" t="n"/>
      <c r="H198" s="14" t="n"/>
      <c r="I198" s="14" t="n"/>
    </row>
    <row r="199">
      <c r="B199" s="16" t="n"/>
      <c r="C199" s="14" t="n"/>
      <c r="D199" s="14" t="n"/>
      <c r="E199" s="14" t="n"/>
      <c r="F199" s="14" t="n"/>
      <c r="G199" s="14" t="n"/>
      <c r="H199" s="14" t="n"/>
      <c r="I199" s="14" t="n"/>
    </row>
    <row r="200">
      <c r="B200" s="16" t="n"/>
      <c r="C200" s="14" t="n"/>
      <c r="D200" s="14" t="n"/>
      <c r="E200" s="14" t="n"/>
      <c r="F200" s="14" t="n"/>
      <c r="G200" s="14" t="n"/>
      <c r="H200" s="14" t="n"/>
      <c r="I200" s="14" t="n"/>
    </row>
    <row r="201">
      <c r="B201" s="16" t="n"/>
      <c r="C201" s="14" t="n"/>
      <c r="D201" s="14" t="n"/>
      <c r="E201" s="14" t="n"/>
      <c r="F201" s="14" t="n"/>
      <c r="G201" s="14" t="n"/>
      <c r="H201" s="14" t="n"/>
      <c r="I201" s="14" t="n"/>
    </row>
    <row r="202">
      <c r="B202" s="16" t="n"/>
      <c r="C202" s="14" t="n"/>
      <c r="D202" s="14" t="n"/>
      <c r="E202" s="14" t="n"/>
      <c r="F202" s="14" t="n"/>
      <c r="G202" s="14" t="n"/>
      <c r="H202" s="14" t="n"/>
      <c r="I202" s="14" t="n"/>
    </row>
    <row r="203">
      <c r="B203" s="16" t="n"/>
      <c r="C203" s="14" t="n"/>
      <c r="D203" s="14" t="n"/>
      <c r="E203" s="14" t="n"/>
      <c r="F203" s="14" t="n"/>
      <c r="G203" s="14" t="n"/>
      <c r="H203" s="14" t="n"/>
      <c r="I203" s="14" t="n"/>
    </row>
    <row r="204">
      <c r="B204" s="16" t="n"/>
      <c r="C204" s="14" t="n"/>
      <c r="D204" s="14" t="n"/>
      <c r="E204" s="14" t="n"/>
      <c r="F204" s="14" t="n"/>
      <c r="G204" s="14" t="n"/>
      <c r="H204" s="14" t="n"/>
      <c r="I204" s="14" t="n"/>
    </row>
    <row r="205">
      <c r="B205" s="16" t="n"/>
      <c r="C205" s="14" t="n"/>
      <c r="D205" s="14" t="n"/>
      <c r="E205" s="14" t="n"/>
      <c r="F205" s="14" t="n"/>
      <c r="G205" s="14" t="n"/>
      <c r="H205" s="14" t="n"/>
      <c r="I205" s="14" t="n"/>
    </row>
    <row r="206">
      <c r="B206" s="16" t="n"/>
      <c r="C206" s="14" t="n"/>
      <c r="D206" s="14" t="n"/>
      <c r="E206" s="14" t="n"/>
      <c r="F206" s="14" t="n"/>
      <c r="G206" s="14" t="n"/>
      <c r="H206" s="14" t="n"/>
      <c r="I206" s="14" t="n"/>
    </row>
    <row r="207">
      <c r="B207" s="16" t="n"/>
      <c r="C207" s="14" t="n"/>
      <c r="D207" s="14" t="n"/>
      <c r="E207" s="14" t="n"/>
      <c r="F207" s="14" t="n"/>
      <c r="G207" s="14" t="n"/>
      <c r="H207" s="14" t="n"/>
      <c r="I207" s="14" t="n"/>
    </row>
    <row r="208">
      <c r="B208" s="16" t="n"/>
      <c r="C208" s="14" t="n"/>
      <c r="D208" s="14" t="n"/>
      <c r="E208" s="14" t="n"/>
      <c r="F208" s="14" t="n"/>
      <c r="G208" s="14" t="n"/>
      <c r="H208" s="14" t="n"/>
      <c r="I208" s="14" t="n"/>
    </row>
    <row r="209">
      <c r="B209" s="16" t="n"/>
      <c r="C209" s="14" t="n"/>
      <c r="D209" s="14" t="n"/>
      <c r="E209" s="14" t="n"/>
      <c r="F209" s="14" t="n"/>
      <c r="G209" s="14" t="n"/>
      <c r="H209" s="14" t="n"/>
      <c r="I209" s="14" t="n"/>
    </row>
    <row r="210">
      <c r="B210" s="16" t="n"/>
      <c r="C210" s="14" t="n"/>
      <c r="D210" s="14" t="n"/>
      <c r="E210" s="14" t="n"/>
      <c r="F210" s="14" t="n"/>
      <c r="G210" s="14" t="n"/>
      <c r="H210" s="14" t="n"/>
      <c r="I210" s="14" t="n"/>
    </row>
    <row r="211">
      <c r="B211" s="16" t="n"/>
      <c r="C211" s="14" t="n"/>
      <c r="D211" s="14" t="n"/>
      <c r="E211" s="14" t="n"/>
      <c r="F211" s="14" t="n"/>
      <c r="G211" s="14" t="n"/>
      <c r="H211" s="14" t="n"/>
      <c r="I211" s="14" t="n"/>
    </row>
    <row r="212">
      <c r="B212" s="16" t="n"/>
      <c r="C212" s="14" t="n"/>
      <c r="D212" s="14" t="n"/>
      <c r="E212" s="14" t="n"/>
      <c r="F212" s="14" t="n"/>
      <c r="G212" s="14" t="n"/>
      <c r="H212" s="14" t="n"/>
      <c r="I212" s="14" t="n"/>
    </row>
    <row r="213">
      <c r="B213" s="16" t="n"/>
      <c r="C213" s="14" t="n"/>
      <c r="D213" s="14" t="n"/>
      <c r="E213" s="14" t="n"/>
      <c r="F213" s="14" t="n"/>
      <c r="G213" s="14" t="n"/>
      <c r="H213" s="14" t="n"/>
      <c r="I213" s="14" t="n"/>
    </row>
    <row r="214">
      <c r="B214" s="16" t="n"/>
      <c r="C214" s="14" t="n"/>
      <c r="D214" s="14" t="n"/>
      <c r="E214" s="14" t="n"/>
      <c r="F214" s="14" t="n"/>
      <c r="G214" s="14" t="n"/>
      <c r="H214" s="14" t="n"/>
      <c r="I214" s="14" t="n"/>
    </row>
    <row r="215">
      <c r="B215" s="16" t="n"/>
      <c r="C215" s="14" t="n"/>
      <c r="D215" s="14" t="n"/>
      <c r="E215" s="14" t="n"/>
      <c r="F215" s="14" t="n"/>
      <c r="G215" s="14" t="n"/>
      <c r="H215" s="14" t="n"/>
      <c r="I215" s="14" t="n"/>
    </row>
    <row r="216">
      <c r="B216" s="16" t="n"/>
      <c r="C216" s="14" t="n"/>
      <c r="D216" s="14" t="n"/>
      <c r="E216" s="14" t="n"/>
      <c r="F216" s="14" t="n"/>
      <c r="G216" s="14" t="n"/>
      <c r="H216" s="14" t="n"/>
      <c r="I216" s="14" t="n"/>
    </row>
    <row r="217">
      <c r="B217" s="16" t="n"/>
      <c r="C217" s="14" t="n"/>
      <c r="D217" s="14" t="n"/>
      <c r="E217" s="14" t="n"/>
      <c r="F217" s="14" t="n"/>
      <c r="G217" s="14" t="n"/>
      <c r="H217" s="14" t="n"/>
      <c r="I217" s="14" t="n"/>
    </row>
    <row r="218">
      <c r="B218" s="16" t="n"/>
      <c r="C218" s="14" t="n"/>
      <c r="D218" s="14" t="n"/>
      <c r="E218" s="14" t="n"/>
      <c r="F218" s="14" t="n"/>
      <c r="G218" s="14" t="n"/>
      <c r="H218" s="14" t="n"/>
      <c r="I218" s="14" t="n"/>
    </row>
    <row r="219">
      <c r="B219" s="16" t="n"/>
      <c r="C219" s="14" t="n"/>
      <c r="D219" s="14" t="n"/>
      <c r="E219" s="14" t="n"/>
      <c r="F219" s="14" t="n"/>
      <c r="G219" s="14" t="n"/>
      <c r="H219" s="14" t="n"/>
      <c r="I219" s="14" t="n"/>
    </row>
    <row r="220">
      <c r="B220" s="16" t="n"/>
      <c r="C220" s="14" t="n"/>
      <c r="D220" s="14" t="n"/>
      <c r="E220" s="14" t="n"/>
      <c r="F220" s="14" t="n"/>
      <c r="G220" s="14" t="n"/>
      <c r="H220" s="14" t="n"/>
      <c r="I220" s="14" t="n"/>
    </row>
    <row r="221">
      <c r="B221" s="16" t="n"/>
      <c r="C221" s="14" t="n"/>
      <c r="D221" s="14" t="n"/>
      <c r="E221" s="14" t="n"/>
      <c r="F221" s="14" t="n"/>
      <c r="G221" s="14" t="n"/>
      <c r="H221" s="14" t="n"/>
      <c r="I221" s="14" t="n"/>
    </row>
    <row r="222">
      <c r="B222" s="16" t="n"/>
      <c r="C222" s="14" t="n"/>
      <c r="D222" s="14" t="n"/>
      <c r="E222" s="14" t="n"/>
      <c r="F222" s="14" t="n"/>
      <c r="G222" s="14" t="n"/>
      <c r="H222" s="14" t="n"/>
      <c r="I222" s="14" t="n"/>
    </row>
    <row r="223">
      <c r="B223" s="16" t="n"/>
      <c r="C223" s="14" t="n"/>
      <c r="D223" s="14" t="n"/>
      <c r="E223" s="14" t="n"/>
      <c r="F223" s="14" t="n"/>
      <c r="G223" s="14" t="n"/>
      <c r="H223" s="14" t="n"/>
      <c r="I223" s="14" t="n"/>
    </row>
    <row r="224">
      <c r="B224" s="16" t="n"/>
      <c r="C224" s="14" t="n"/>
      <c r="D224" s="14" t="n"/>
      <c r="E224" s="14" t="n"/>
      <c r="F224" s="14" t="n"/>
      <c r="G224" s="14" t="n"/>
      <c r="H224" s="14" t="n"/>
      <c r="I224" s="14" t="n"/>
    </row>
    <row r="225">
      <c r="B225" s="16" t="n"/>
      <c r="C225" s="14" t="n"/>
      <c r="D225" s="14" t="n"/>
      <c r="E225" s="14" t="n"/>
      <c r="F225" s="14" t="n"/>
      <c r="G225" s="14" t="n"/>
      <c r="H225" s="14" t="n"/>
      <c r="I225" s="14" t="n"/>
    </row>
    <row r="226">
      <c r="B226" s="16" t="n"/>
      <c r="C226" s="14" t="n"/>
      <c r="D226" s="14" t="n"/>
      <c r="E226" s="14" t="n"/>
      <c r="F226" s="14" t="n"/>
      <c r="G226" s="14" t="n"/>
      <c r="H226" s="14" t="n"/>
      <c r="I226" s="14" t="n"/>
    </row>
    <row r="227">
      <c r="B227" s="16" t="n"/>
      <c r="C227" s="14" t="n"/>
      <c r="D227" s="14" t="n"/>
      <c r="E227" s="14" t="n"/>
      <c r="F227" s="14" t="n"/>
      <c r="G227" s="14" t="n"/>
      <c r="H227" s="14" t="n"/>
      <c r="I227" s="14" t="n"/>
    </row>
    <row r="228">
      <c r="B228" s="16" t="n"/>
      <c r="C228" s="14" t="n"/>
      <c r="D228" s="14" t="n"/>
      <c r="E228" s="14" t="n"/>
      <c r="F228" s="14" t="n"/>
      <c r="G228" s="14" t="n"/>
      <c r="H228" s="14" t="n"/>
      <c r="I228" s="14" t="n"/>
    </row>
    <row r="229">
      <c r="B229" s="16" t="n"/>
      <c r="C229" s="14" t="n"/>
      <c r="D229" s="14" t="n"/>
      <c r="E229" s="14" t="n"/>
      <c r="F229" s="14" t="n"/>
      <c r="G229" s="14" t="n"/>
      <c r="H229" s="14" t="n"/>
      <c r="I229" s="14" t="n"/>
    </row>
    <row r="230">
      <c r="B230" s="16" t="n"/>
      <c r="C230" s="14" t="n"/>
      <c r="D230" s="14" t="n"/>
      <c r="E230" s="14" t="n"/>
      <c r="F230" s="14" t="n"/>
      <c r="G230" s="14" t="n"/>
      <c r="H230" s="14" t="n"/>
      <c r="I230" s="14" t="n"/>
    </row>
    <row r="231">
      <c r="B231" s="16" t="n"/>
      <c r="C231" s="14" t="n"/>
      <c r="D231" s="14" t="n"/>
      <c r="E231" s="14" t="n"/>
      <c r="F231" s="14" t="n"/>
      <c r="G231" s="14" t="n"/>
      <c r="H231" s="14" t="n"/>
      <c r="I231" s="14" t="n"/>
    </row>
    <row r="232">
      <c r="B232" s="16" t="n"/>
      <c r="C232" s="14" t="n"/>
      <c r="D232" s="14" t="n"/>
      <c r="E232" s="14" t="n"/>
      <c r="F232" s="14" t="n"/>
      <c r="G232" s="14" t="n"/>
      <c r="H232" s="14" t="n"/>
      <c r="I232" s="14" t="n"/>
    </row>
    <row r="233">
      <c r="B233" s="16" t="n"/>
      <c r="C233" s="14" t="n"/>
      <c r="D233" s="14" t="n"/>
      <c r="E233" s="14" t="n"/>
      <c r="F233" s="14" t="n"/>
      <c r="G233" s="14" t="n"/>
      <c r="H233" s="14" t="n"/>
      <c r="I233" s="14" t="n"/>
    </row>
    <row r="234">
      <c r="B234" s="16" t="n"/>
      <c r="C234" s="14" t="n"/>
      <c r="D234" s="14" t="n"/>
      <c r="E234" s="14" t="n"/>
      <c r="F234" s="14" t="n"/>
      <c r="G234" s="14" t="n"/>
      <c r="H234" s="14" t="n"/>
      <c r="I234" s="14" t="n"/>
    </row>
    <row r="235">
      <c r="B235" s="16" t="n"/>
      <c r="C235" s="14" t="n"/>
      <c r="D235" s="14" t="n"/>
      <c r="E235" s="14" t="n"/>
      <c r="F235" s="14" t="n"/>
      <c r="G235" s="14" t="n"/>
      <c r="H235" s="14" t="n"/>
      <c r="I235" s="14" t="n"/>
    </row>
    <row r="236">
      <c r="B236" s="16" t="n"/>
      <c r="C236" s="14" t="n"/>
      <c r="D236" s="14" t="n"/>
      <c r="E236" s="14" t="n"/>
      <c r="F236" s="14" t="n"/>
      <c r="G236" s="14" t="n"/>
      <c r="H236" s="14" t="n"/>
      <c r="I236" s="14" t="n"/>
    </row>
    <row r="237">
      <c r="B237" s="16" t="n"/>
      <c r="C237" s="14" t="n"/>
      <c r="D237" s="14" t="n"/>
      <c r="E237" s="14" t="n"/>
      <c r="F237" s="14" t="n"/>
      <c r="G237" s="14" t="n"/>
      <c r="H237" s="14" t="n"/>
      <c r="I237" s="14" t="n"/>
    </row>
    <row r="238">
      <c r="B238" s="16" t="n"/>
      <c r="C238" s="14" t="n"/>
      <c r="D238" s="14" t="n"/>
      <c r="E238" s="14" t="n"/>
      <c r="F238" s="14" t="n"/>
      <c r="G238" s="14" t="n"/>
      <c r="H238" s="14" t="n"/>
      <c r="I238" s="14" t="n"/>
    </row>
    <row r="239">
      <c r="B239" s="16" t="n"/>
      <c r="C239" s="14" t="n"/>
      <c r="D239" s="14" t="n"/>
      <c r="E239" s="14" t="n"/>
      <c r="F239" s="14" t="n"/>
      <c r="G239" s="14" t="n"/>
      <c r="H239" s="14" t="n"/>
      <c r="I239" s="14" t="n"/>
    </row>
    <row r="240">
      <c r="B240" s="16" t="n"/>
      <c r="C240" s="14" t="n"/>
      <c r="D240" s="14" t="n"/>
      <c r="E240" s="14" t="n"/>
      <c r="F240" s="14" t="n"/>
      <c r="G240" s="14" t="n"/>
      <c r="H240" s="14" t="n"/>
      <c r="I240" s="14" t="n"/>
    </row>
    <row r="241">
      <c r="B241" s="16" t="n"/>
      <c r="C241" s="14" t="n"/>
      <c r="D241" s="14" t="n"/>
      <c r="E241" s="14" t="n"/>
      <c r="F241" s="14" t="n"/>
      <c r="G241" s="14" t="n"/>
      <c r="H241" s="14" t="n"/>
      <c r="I241" s="14" t="n"/>
    </row>
    <row r="242">
      <c r="B242" s="16" t="n"/>
      <c r="C242" s="14" t="n"/>
      <c r="D242" s="14" t="n"/>
      <c r="E242" s="14" t="n"/>
      <c r="F242" s="14" t="n"/>
      <c r="G242" s="14" t="n"/>
      <c r="H242" s="14" t="n"/>
      <c r="I242" s="14" t="n"/>
    </row>
    <row r="243">
      <c r="B243" s="16" t="n"/>
      <c r="C243" s="14" t="n"/>
      <c r="D243" s="14" t="n"/>
      <c r="E243" s="14" t="n"/>
      <c r="F243" s="14" t="n"/>
      <c r="G243" s="14" t="n"/>
      <c r="H243" s="14" t="n"/>
      <c r="I243" s="14" t="n"/>
    </row>
    <row r="244">
      <c r="B244" s="16" t="n"/>
      <c r="C244" s="14" t="n"/>
      <c r="D244" s="14" t="n"/>
      <c r="E244" s="14" t="n"/>
      <c r="F244" s="14" t="n"/>
      <c r="G244" s="14" t="n"/>
      <c r="H244" s="14" t="n"/>
      <c r="I244" s="14" t="n"/>
    </row>
    <row r="245">
      <c r="B245" s="16" t="n"/>
      <c r="C245" s="14" t="n"/>
      <c r="D245" s="14" t="n"/>
      <c r="E245" s="14" t="n"/>
      <c r="F245" s="14" t="n"/>
      <c r="G245" s="14" t="n"/>
      <c r="H245" s="14" t="n"/>
      <c r="I245" s="14" t="n"/>
    </row>
    <row r="246">
      <c r="B246" s="16" t="n"/>
      <c r="C246" s="14" t="n"/>
      <c r="D246" s="14" t="n"/>
      <c r="E246" s="14" t="n"/>
      <c r="F246" s="14" t="n"/>
      <c r="G246" s="14" t="n"/>
      <c r="H246" s="14" t="n"/>
      <c r="I246" s="14" t="n"/>
    </row>
    <row r="247">
      <c r="B247" s="16" t="n"/>
      <c r="C247" s="14" t="n"/>
      <c r="D247" s="14" t="n"/>
      <c r="E247" s="14" t="n"/>
      <c r="F247" s="14" t="n"/>
      <c r="G247" s="14" t="n"/>
      <c r="H247" s="14" t="n"/>
      <c r="I247" s="14" t="n"/>
    </row>
    <row r="248">
      <c r="B248" s="16" t="n"/>
      <c r="C248" s="14" t="n"/>
      <c r="D248" s="14" t="n"/>
      <c r="E248" s="14" t="n"/>
      <c r="F248" s="14" t="n"/>
      <c r="G248" s="14" t="n"/>
      <c r="H248" s="14" t="n"/>
      <c r="I248" s="14" t="n"/>
    </row>
    <row r="249">
      <c r="B249" s="16" t="n"/>
      <c r="C249" s="14" t="n"/>
      <c r="D249" s="14" t="n"/>
      <c r="E249" s="14" t="n"/>
      <c r="F249" s="14" t="n"/>
      <c r="G249" s="14" t="n"/>
      <c r="H249" s="14" t="n"/>
      <c r="I249" s="14" t="n"/>
    </row>
    <row r="250">
      <c r="B250" s="16" t="n"/>
      <c r="C250" s="14" t="n"/>
      <c r="D250" s="14" t="n"/>
      <c r="E250" s="14" t="n"/>
      <c r="F250" s="14" t="n"/>
      <c r="G250" s="14" t="n"/>
      <c r="H250" s="14" t="n"/>
      <c r="I250" s="14" t="n"/>
    </row>
    <row r="251">
      <c r="B251" s="16" t="n"/>
      <c r="C251" s="14" t="n"/>
      <c r="D251" s="14" t="n"/>
      <c r="E251" s="14" t="n"/>
      <c r="F251" s="14" t="n"/>
      <c r="G251" s="14" t="n"/>
      <c r="H251" s="14" t="n"/>
      <c r="I251" s="14" t="n"/>
    </row>
    <row r="252">
      <c r="B252" s="16" t="n"/>
      <c r="C252" s="14" t="n"/>
      <c r="D252" s="14" t="n"/>
      <c r="E252" s="14" t="n"/>
      <c r="F252" s="14" t="n"/>
      <c r="G252" s="14" t="n"/>
      <c r="H252" s="14" t="n"/>
      <c r="I252" s="14" t="n"/>
    </row>
    <row r="253">
      <c r="B253" s="16" t="n"/>
      <c r="C253" s="14" t="n"/>
      <c r="D253" s="14" t="n"/>
      <c r="E253" s="14" t="n"/>
      <c r="F253" s="14" t="n"/>
      <c r="G253" s="14" t="n"/>
      <c r="H253" s="14" t="n"/>
      <c r="I253" s="14" t="n"/>
    </row>
    <row r="254">
      <c r="B254" s="16" t="n"/>
      <c r="C254" s="14" t="n"/>
      <c r="D254" s="14" t="n"/>
      <c r="E254" s="14" t="n"/>
      <c r="F254" s="14" t="n"/>
      <c r="G254" s="14" t="n"/>
      <c r="H254" s="14" t="n"/>
      <c r="I254" s="14" t="n"/>
    </row>
    <row r="255">
      <c r="B255" s="16" t="n"/>
      <c r="C255" s="14" t="n"/>
      <c r="D255" s="14" t="n"/>
      <c r="E255" s="14" t="n"/>
      <c r="F255" s="14" t="n"/>
      <c r="G255" s="14" t="n"/>
      <c r="H255" s="14" t="n"/>
      <c r="I255" s="14" t="n"/>
    </row>
    <row r="256">
      <c r="B256" s="16" t="n"/>
      <c r="C256" s="14" t="n"/>
      <c r="D256" s="14" t="n"/>
      <c r="E256" s="14" t="n"/>
      <c r="F256" s="14" t="n"/>
      <c r="G256" s="14" t="n"/>
      <c r="H256" s="14" t="n"/>
      <c r="I256" s="14" t="n"/>
    </row>
    <row r="257">
      <c r="B257" s="16" t="n"/>
      <c r="C257" s="14" t="n"/>
      <c r="D257" s="14" t="n"/>
      <c r="E257" s="14" t="n"/>
      <c r="F257" s="14" t="n"/>
      <c r="G257" s="14" t="n"/>
      <c r="H257" s="14" t="n"/>
      <c r="I257" s="14" t="n"/>
    </row>
    <row r="258">
      <c r="B258" s="16" t="n"/>
      <c r="C258" s="14" t="n"/>
      <c r="D258" s="14" t="n"/>
      <c r="E258" s="14" t="n"/>
      <c r="F258" s="14" t="n"/>
      <c r="G258" s="14" t="n"/>
      <c r="H258" s="14" t="n"/>
      <c r="I258" s="14" t="n"/>
    </row>
    <row r="259">
      <c r="B259" s="16" t="n"/>
      <c r="C259" s="14" t="n"/>
      <c r="D259" s="14" t="n"/>
      <c r="E259" s="14" t="n"/>
      <c r="F259" s="14" t="n"/>
      <c r="G259" s="14" t="n"/>
      <c r="H259" s="14" t="n"/>
      <c r="I259" s="14" t="n"/>
    </row>
    <row r="260">
      <c r="B260" s="16" t="n"/>
      <c r="C260" s="14" t="n"/>
      <c r="D260" s="14" t="n"/>
      <c r="E260" s="14" t="n"/>
      <c r="F260" s="14" t="n"/>
      <c r="G260" s="14" t="n"/>
      <c r="H260" s="14" t="n"/>
      <c r="I260" s="14" t="n"/>
    </row>
    <row r="261">
      <c r="B261" s="16" t="n"/>
      <c r="C261" s="14" t="n"/>
      <c r="D261" s="14" t="n"/>
      <c r="E261" s="14" t="n"/>
      <c r="F261" s="14" t="n"/>
      <c r="G261" s="14" t="n"/>
      <c r="H261" s="14" t="n"/>
      <c r="I261" s="14" t="n"/>
    </row>
    <row r="262">
      <c r="B262" s="16" t="n"/>
      <c r="C262" s="14" t="n"/>
      <c r="D262" s="14" t="n"/>
      <c r="E262" s="14" t="n"/>
      <c r="F262" s="14" t="n"/>
      <c r="G262" s="14" t="n"/>
      <c r="H262" s="14" t="n"/>
      <c r="I262" s="14" t="n"/>
    </row>
    <row r="263">
      <c r="B263" s="16" t="n"/>
      <c r="C263" s="14" t="n"/>
      <c r="D263" s="14" t="n"/>
      <c r="E263" s="14" t="n"/>
      <c r="F263" s="14" t="n"/>
      <c r="G263" s="14" t="n"/>
      <c r="H263" s="14" t="n"/>
      <c r="I263" s="14" t="n"/>
    </row>
    <row r="264">
      <c r="B264" s="16" t="n"/>
      <c r="C264" s="14" t="n"/>
      <c r="D264" s="14" t="n"/>
      <c r="E264" s="14" t="n"/>
      <c r="F264" s="14" t="n"/>
      <c r="G264" s="14" t="n"/>
      <c r="H264" s="14" t="n"/>
      <c r="I264" s="14" t="n"/>
    </row>
    <row r="265">
      <c r="B265" s="16" t="n"/>
      <c r="C265" s="14" t="n"/>
      <c r="D265" s="14" t="n"/>
      <c r="E265" s="14" t="n"/>
      <c r="F265" s="14" t="n"/>
      <c r="G265" s="14" t="n"/>
      <c r="H265" s="14" t="n"/>
      <c r="I265" s="14" t="n"/>
    </row>
    <row r="266">
      <c r="B266" s="16" t="n"/>
      <c r="C266" s="14" t="n"/>
      <c r="D266" s="14" t="n"/>
      <c r="E266" s="14" t="n"/>
      <c r="F266" s="14" t="n"/>
      <c r="G266" s="14" t="n"/>
      <c r="H266" s="14" t="n"/>
      <c r="I266" s="14" t="n"/>
    </row>
    <row r="267">
      <c r="B267" s="16" t="n"/>
      <c r="C267" s="14" t="n"/>
      <c r="D267" s="14" t="n"/>
      <c r="E267" s="14" t="n"/>
      <c r="F267" s="14" t="n"/>
      <c r="G267" s="14" t="n"/>
      <c r="H267" s="14" t="n"/>
      <c r="I267" s="14" t="n"/>
    </row>
    <row r="268">
      <c r="B268" s="16" t="n"/>
      <c r="C268" s="14" t="n"/>
      <c r="D268" s="14" t="n"/>
      <c r="E268" s="14" t="n"/>
      <c r="F268" s="14" t="n"/>
      <c r="G268" s="14" t="n"/>
      <c r="H268" s="14" t="n"/>
      <c r="I268" s="14" t="n"/>
    </row>
    <row r="269">
      <c r="B269" s="16" t="n"/>
      <c r="C269" s="14" t="n"/>
      <c r="D269" s="14" t="n"/>
      <c r="E269" s="14" t="n"/>
      <c r="F269" s="14" t="n"/>
      <c r="G269" s="14" t="n"/>
      <c r="H269" s="14" t="n"/>
      <c r="I269" s="14" t="n"/>
    </row>
    <row r="270">
      <c r="B270" s="16" t="n"/>
      <c r="C270" s="14" t="n"/>
      <c r="D270" s="14" t="n"/>
      <c r="E270" s="14" t="n"/>
      <c r="F270" s="14" t="n"/>
      <c r="G270" s="14" t="n"/>
      <c r="H270" s="14" t="n"/>
      <c r="I270" s="14" t="n"/>
    </row>
    <row r="271">
      <c r="B271" s="16" t="n"/>
      <c r="C271" s="14" t="n"/>
      <c r="D271" s="14" t="n"/>
      <c r="E271" s="14" t="n"/>
      <c r="F271" s="14" t="n"/>
      <c r="G271" s="14" t="n"/>
      <c r="H271" s="14" t="n"/>
      <c r="I271" s="14" t="n"/>
    </row>
    <row r="272">
      <c r="B272" s="16" t="n"/>
      <c r="C272" s="14" t="n"/>
      <c r="D272" s="14" t="n"/>
      <c r="E272" s="14" t="n"/>
      <c r="F272" s="14" t="n"/>
      <c r="G272" s="14" t="n"/>
      <c r="H272" s="14" t="n"/>
      <c r="I272" s="14" t="n"/>
    </row>
    <row r="273">
      <c r="B273" s="16" t="n"/>
      <c r="C273" s="14" t="n"/>
      <c r="D273" s="14" t="n"/>
      <c r="E273" s="14" t="n"/>
      <c r="F273" s="14" t="n"/>
      <c r="G273" s="14" t="n"/>
      <c r="H273" s="14" t="n"/>
      <c r="I273" s="14" t="n"/>
    </row>
    <row r="274">
      <c r="B274" s="16" t="n"/>
      <c r="C274" s="14" t="n"/>
      <c r="D274" s="14" t="n"/>
      <c r="E274" s="14" t="n"/>
      <c r="F274" s="14" t="n"/>
      <c r="G274" s="14" t="n"/>
      <c r="H274" s="14" t="n"/>
      <c r="I274" s="14" t="n"/>
    </row>
    <row r="275">
      <c r="B275" s="16" t="n"/>
      <c r="C275" s="14" t="n"/>
      <c r="D275" s="14" t="n"/>
      <c r="E275" s="14" t="n"/>
      <c r="F275" s="14" t="n"/>
      <c r="G275" s="14" t="n"/>
      <c r="H275" s="14" t="n"/>
      <c r="I275" s="14" t="n"/>
    </row>
    <row r="276">
      <c r="B276" s="16" t="n"/>
      <c r="C276" s="14" t="n"/>
      <c r="D276" s="14" t="n"/>
      <c r="E276" s="14" t="n"/>
      <c r="F276" s="14" t="n"/>
      <c r="G276" s="14" t="n"/>
      <c r="H276" s="14" t="n"/>
      <c r="I276" s="14" t="n"/>
    </row>
    <row r="277">
      <c r="B277" s="16" t="n"/>
      <c r="C277" s="14" t="n"/>
      <c r="D277" s="14" t="n"/>
      <c r="E277" s="14" t="n"/>
      <c r="F277" s="14" t="n"/>
      <c r="G277" s="14" t="n"/>
      <c r="H277" s="14" t="n"/>
      <c r="I277" s="14" t="n"/>
    </row>
    <row r="278">
      <c r="B278" s="16" t="n"/>
      <c r="C278" s="14" t="n"/>
      <c r="D278" s="14" t="n"/>
      <c r="E278" s="14" t="n"/>
      <c r="F278" s="14" t="n"/>
      <c r="G278" s="14" t="n"/>
      <c r="H278" s="14" t="n"/>
      <c r="I278" s="14" t="n"/>
    </row>
    <row r="279">
      <c r="B279" s="16" t="n"/>
      <c r="C279" s="14" t="n"/>
      <c r="D279" s="14" t="n"/>
      <c r="E279" s="14" t="n"/>
      <c r="F279" s="14" t="n"/>
      <c r="G279" s="14" t="n"/>
      <c r="H279" s="14" t="n"/>
      <c r="I279" s="14" t="n"/>
    </row>
    <row r="280">
      <c r="B280" s="16" t="n"/>
      <c r="C280" s="14" t="n"/>
      <c r="D280" s="14" t="n"/>
      <c r="E280" s="14" t="n"/>
      <c r="F280" s="14" t="n"/>
      <c r="G280" s="14" t="n"/>
      <c r="H280" s="14" t="n"/>
      <c r="I280" s="14" t="n"/>
    </row>
    <row r="281">
      <c r="B281" s="16" t="n"/>
      <c r="C281" s="14" t="n"/>
      <c r="D281" s="14" t="n"/>
      <c r="E281" s="14" t="n"/>
      <c r="F281" s="14" t="n"/>
      <c r="G281" s="14" t="n"/>
      <c r="H281" s="14" t="n"/>
      <c r="I281" s="14" t="n"/>
    </row>
    <row r="282">
      <c r="B282" s="16" t="n"/>
      <c r="C282" s="14" t="n"/>
      <c r="D282" s="14" t="n"/>
      <c r="E282" s="14" t="n"/>
      <c r="F282" s="14" t="n"/>
      <c r="G282" s="14" t="n"/>
      <c r="H282" s="14" t="n"/>
      <c r="I282" s="14" t="n"/>
    </row>
    <row r="283">
      <c r="B283" s="16" t="n"/>
      <c r="C283" s="14" t="n"/>
      <c r="D283" s="14" t="n"/>
      <c r="E283" s="14" t="n"/>
      <c r="F283" s="14" t="n"/>
      <c r="G283" s="14" t="n"/>
      <c r="H283" s="14" t="n"/>
      <c r="I283" s="14" t="n"/>
    </row>
    <row r="284">
      <c r="B284" s="16" t="n"/>
      <c r="C284" s="14" t="n"/>
      <c r="D284" s="14" t="n"/>
      <c r="E284" s="14" t="n"/>
      <c r="F284" s="14" t="n"/>
      <c r="G284" s="14" t="n"/>
      <c r="H284" s="14" t="n"/>
      <c r="I284" s="14" t="n"/>
    </row>
    <row r="285">
      <c r="B285" s="16" t="n"/>
      <c r="C285" s="14" t="n"/>
      <c r="D285" s="14" t="n"/>
      <c r="E285" s="14" t="n"/>
      <c r="F285" s="14" t="n"/>
      <c r="G285" s="14" t="n"/>
      <c r="H285" s="14" t="n"/>
      <c r="I285" s="14" t="n"/>
    </row>
    <row r="286">
      <c r="B286" s="16" t="n"/>
      <c r="C286" s="14" t="n"/>
      <c r="D286" s="14" t="n"/>
      <c r="E286" s="14" t="n"/>
      <c r="F286" s="14" t="n"/>
      <c r="G286" s="14" t="n"/>
      <c r="H286" s="14" t="n"/>
      <c r="I286" s="14" t="n"/>
    </row>
    <row r="287">
      <c r="B287" s="16" t="n"/>
      <c r="C287" s="14" t="n"/>
      <c r="D287" s="14" t="n"/>
      <c r="E287" s="14" t="n"/>
      <c r="F287" s="14" t="n"/>
      <c r="G287" s="14" t="n"/>
      <c r="H287" s="14" t="n"/>
      <c r="I287" s="14" t="n"/>
    </row>
    <row r="288">
      <c r="B288" s="16" t="n"/>
      <c r="C288" s="14" t="n"/>
      <c r="D288" s="14" t="n"/>
      <c r="E288" s="14" t="n"/>
      <c r="F288" s="14" t="n"/>
      <c r="G288" s="14" t="n"/>
      <c r="H288" s="14" t="n"/>
      <c r="I288" s="14" t="n"/>
    </row>
    <row r="289">
      <c r="B289" s="16" t="n"/>
      <c r="C289" s="14" t="n"/>
      <c r="D289" s="14" t="n"/>
      <c r="E289" s="14" t="n"/>
      <c r="F289" s="14" t="n"/>
      <c r="G289" s="14" t="n"/>
      <c r="H289" s="14" t="n"/>
      <c r="I289" s="14" t="n"/>
    </row>
    <row r="290">
      <c r="B290" s="16" t="n"/>
      <c r="C290" s="14" t="n"/>
      <c r="D290" s="14" t="n"/>
      <c r="E290" s="14" t="n"/>
      <c r="F290" s="14" t="n"/>
      <c r="G290" s="14" t="n"/>
      <c r="H290" s="14" t="n"/>
      <c r="I290" s="14" t="n"/>
    </row>
    <row r="291">
      <c r="B291" s="16" t="n"/>
      <c r="C291" s="14" t="n"/>
      <c r="D291" s="14" t="n"/>
      <c r="E291" s="14" t="n"/>
      <c r="F291" s="14" t="n"/>
      <c r="G291" s="14" t="n"/>
      <c r="H291" s="14" t="n"/>
      <c r="I291" s="14" t="n"/>
    </row>
    <row r="292">
      <c r="B292" s="16" t="n"/>
      <c r="C292" s="14" t="n"/>
      <c r="D292" s="14" t="n"/>
      <c r="E292" s="14" t="n"/>
      <c r="F292" s="14" t="n"/>
      <c r="G292" s="14" t="n"/>
      <c r="H292" s="14" t="n"/>
      <c r="I292" s="14" t="n"/>
    </row>
    <row r="293">
      <c r="B293" s="16" t="n"/>
      <c r="C293" s="14" t="n"/>
      <c r="D293" s="14" t="n"/>
      <c r="E293" s="14" t="n"/>
      <c r="F293" s="14" t="n"/>
      <c r="G293" s="14" t="n"/>
      <c r="H293" s="14" t="n"/>
      <c r="I293" s="14" t="n"/>
    </row>
    <row r="294">
      <c r="B294" s="16" t="n"/>
      <c r="C294" s="14" t="n"/>
      <c r="D294" s="14" t="n"/>
      <c r="E294" s="14" t="n"/>
      <c r="F294" s="14" t="n"/>
      <c r="G294" s="14" t="n"/>
      <c r="H294" s="14" t="n"/>
      <c r="I294" s="14" t="n"/>
    </row>
    <row r="295">
      <c r="B295" s="16" t="n"/>
      <c r="C295" s="14" t="n"/>
      <c r="D295" s="14" t="n"/>
      <c r="E295" s="14" t="n"/>
      <c r="F295" s="14" t="n"/>
      <c r="G295" s="14" t="n"/>
      <c r="H295" s="14" t="n"/>
      <c r="I295" s="14" t="n"/>
    </row>
    <row r="296">
      <c r="B296" s="16" t="n"/>
      <c r="C296" s="14" t="n"/>
      <c r="D296" s="14" t="n"/>
      <c r="E296" s="14" t="n"/>
      <c r="F296" s="14" t="n"/>
      <c r="G296" s="14" t="n"/>
      <c r="H296" s="14" t="n"/>
      <c r="I296" s="14" t="n"/>
    </row>
    <row r="297">
      <c r="B297" s="16" t="n"/>
      <c r="C297" s="14" t="n"/>
      <c r="D297" s="14" t="n"/>
      <c r="E297" s="14" t="n"/>
      <c r="F297" s="14" t="n"/>
      <c r="G297" s="14" t="n"/>
      <c r="H297" s="14" t="n"/>
      <c r="I297" s="14" t="n"/>
    </row>
    <row r="298">
      <c r="B298" s="16" t="n"/>
      <c r="C298" s="14" t="n"/>
      <c r="D298" s="14" t="n"/>
      <c r="E298" s="14" t="n"/>
      <c r="F298" s="14" t="n"/>
      <c r="G298" s="14" t="n"/>
      <c r="H298" s="14" t="n"/>
      <c r="I298" s="14" t="n"/>
    </row>
    <row r="299">
      <c r="B299" s="16" t="n"/>
      <c r="C299" s="14" t="n"/>
      <c r="D299" s="14" t="n"/>
      <c r="E299" s="14" t="n"/>
      <c r="F299" s="14" t="n"/>
      <c r="G299" s="14" t="n"/>
      <c r="H299" s="14" t="n"/>
      <c r="I299" s="14" t="n"/>
    </row>
    <row r="300">
      <c r="B300" s="16" t="n"/>
      <c r="C300" s="14" t="n"/>
      <c r="D300" s="14" t="n"/>
      <c r="E300" s="14" t="n"/>
      <c r="F300" s="14" t="n"/>
      <c r="G300" s="14" t="n"/>
      <c r="H300" s="14" t="n"/>
      <c r="I300" s="14" t="n"/>
    </row>
    <row r="301">
      <c r="B301" s="16" t="n"/>
      <c r="C301" s="14" t="n"/>
      <c r="D301" s="14" t="n"/>
      <c r="E301" s="14" t="n"/>
      <c r="F301" s="14" t="n"/>
      <c r="G301" s="14" t="n"/>
      <c r="H301" s="14" t="n"/>
      <c r="I301" s="14" t="n"/>
    </row>
    <row r="302">
      <c r="B302" s="16" t="n"/>
      <c r="C302" s="14" t="n"/>
      <c r="D302" s="14" t="n"/>
      <c r="E302" s="14" t="n"/>
      <c r="F302" s="14" t="n"/>
      <c r="G302" s="14" t="n"/>
      <c r="H302" s="14" t="n"/>
      <c r="I302" s="14" t="n"/>
    </row>
    <row r="303">
      <c r="B303" s="16" t="n"/>
      <c r="C303" s="14" t="n"/>
      <c r="D303" s="14" t="n"/>
      <c r="E303" s="14" t="n"/>
      <c r="F303" s="14" t="n"/>
      <c r="G303" s="14" t="n"/>
      <c r="H303" s="14" t="n"/>
      <c r="I303" s="14" t="n"/>
    </row>
    <row r="304">
      <c r="B304" s="16" t="n"/>
      <c r="C304" s="14" t="n"/>
      <c r="D304" s="14" t="n"/>
      <c r="E304" s="14" t="n"/>
      <c r="F304" s="14" t="n"/>
      <c r="G304" s="14" t="n"/>
      <c r="H304" s="14" t="n"/>
      <c r="I304" s="14" t="n"/>
    </row>
    <row r="305">
      <c r="B305" s="16" t="n"/>
      <c r="C305" s="14" t="n"/>
      <c r="D305" s="14" t="n"/>
      <c r="E305" s="14" t="n"/>
      <c r="F305" s="14" t="n"/>
      <c r="G305" s="14" t="n"/>
      <c r="H305" s="14" t="n"/>
      <c r="I305" s="14" t="n"/>
    </row>
    <row r="306">
      <c r="B306" s="16" t="n"/>
      <c r="C306" s="14" t="n"/>
      <c r="D306" s="14" t="n"/>
      <c r="E306" s="14" t="n"/>
      <c r="F306" s="14" t="n"/>
      <c r="G306" s="14" t="n"/>
      <c r="H306" s="14" t="n"/>
      <c r="I306" s="14" t="n"/>
    </row>
    <row r="307">
      <c r="B307" s="16" t="n"/>
      <c r="C307" s="14" t="n"/>
      <c r="D307" s="14" t="n"/>
      <c r="E307" s="14" t="n"/>
      <c r="F307" s="14" t="n"/>
      <c r="G307" s="14" t="n"/>
      <c r="H307" s="14" t="n"/>
      <c r="I307" s="14" t="n"/>
    </row>
    <row r="308">
      <c r="B308" s="16" t="n"/>
      <c r="C308" s="14" t="n"/>
      <c r="D308" s="14" t="n"/>
      <c r="E308" s="14" t="n"/>
      <c r="F308" s="14" t="n"/>
      <c r="G308" s="14" t="n"/>
      <c r="H308" s="14" t="n"/>
      <c r="I308" s="14" t="n"/>
    </row>
    <row r="309">
      <c r="B309" s="16" t="n"/>
      <c r="C309" s="14" t="n"/>
      <c r="D309" s="14" t="n"/>
      <c r="E309" s="14" t="n"/>
      <c r="F309" s="14" t="n"/>
      <c r="G309" s="14" t="n"/>
      <c r="H309" s="14" t="n"/>
      <c r="I309" s="14" t="n"/>
    </row>
    <row r="310">
      <c r="B310" s="16" t="n"/>
      <c r="C310" s="14" t="n"/>
      <c r="D310" s="14" t="n"/>
      <c r="E310" s="14" t="n"/>
      <c r="F310" s="14" t="n"/>
      <c r="G310" s="14" t="n"/>
      <c r="H310" s="14" t="n"/>
      <c r="I310" s="14" t="n"/>
    </row>
    <row r="311">
      <c r="B311" s="16" t="n"/>
      <c r="C311" s="14" t="n"/>
      <c r="D311" s="14" t="n"/>
      <c r="E311" s="14" t="n"/>
      <c r="F311" s="14" t="n"/>
      <c r="G311" s="14" t="n"/>
      <c r="H311" s="14" t="n"/>
      <c r="I311" s="14" t="n"/>
    </row>
    <row r="312">
      <c r="B312" s="16" t="n"/>
      <c r="C312" s="14" t="n"/>
      <c r="D312" s="14" t="n"/>
      <c r="E312" s="14" t="n"/>
      <c r="F312" s="14" t="n"/>
      <c r="G312" s="14" t="n"/>
      <c r="H312" s="14" t="n"/>
      <c r="I312" s="14" t="n"/>
    </row>
    <row r="313">
      <c r="B313" s="16" t="n"/>
      <c r="C313" s="14" t="n"/>
      <c r="D313" s="14" t="n"/>
      <c r="E313" s="14" t="n"/>
      <c r="F313" s="14" t="n"/>
      <c r="G313" s="14" t="n"/>
      <c r="H313" s="14" t="n"/>
      <c r="I313" s="14" t="n"/>
    </row>
    <row r="314">
      <c r="B314" s="16" t="n"/>
      <c r="C314" s="14" t="n"/>
      <c r="D314" s="14" t="n"/>
      <c r="E314" s="14" t="n"/>
      <c r="F314" s="14" t="n"/>
      <c r="G314" s="14" t="n"/>
      <c r="H314" s="14" t="n"/>
      <c r="I314" s="14" t="n"/>
    </row>
    <row r="315">
      <c r="B315" s="16" t="n"/>
      <c r="C315" s="14" t="n"/>
      <c r="D315" s="14" t="n"/>
      <c r="E315" s="14" t="n"/>
      <c r="F315" s="14" t="n"/>
      <c r="G315" s="14" t="n"/>
      <c r="H315" s="14" t="n"/>
      <c r="I315" s="14" t="n"/>
    </row>
    <row r="316">
      <c r="B316" s="16" t="n"/>
      <c r="C316" s="14" t="n"/>
      <c r="D316" s="14" t="n"/>
      <c r="E316" s="14" t="n"/>
      <c r="F316" s="14" t="n"/>
      <c r="G316" s="14" t="n"/>
      <c r="H316" s="14" t="n"/>
      <c r="I316" s="14" t="n"/>
    </row>
    <row r="317">
      <c r="B317" s="16" t="n"/>
      <c r="C317" s="14" t="n"/>
      <c r="D317" s="14" t="n"/>
      <c r="E317" s="14" t="n"/>
      <c r="F317" s="14" t="n"/>
      <c r="G317" s="14" t="n"/>
      <c r="H317" s="14" t="n"/>
      <c r="I317" s="14" t="n"/>
    </row>
    <row r="318">
      <c r="B318" s="16" t="n"/>
      <c r="C318" s="14" t="n"/>
      <c r="D318" s="14" t="n"/>
      <c r="E318" s="14" t="n"/>
      <c r="F318" s="14" t="n"/>
      <c r="G318" s="14" t="n"/>
      <c r="H318" s="14" t="n"/>
      <c r="I318" s="14" t="n"/>
    </row>
    <row r="319">
      <c r="B319" s="16" t="n"/>
      <c r="C319" s="14" t="n"/>
      <c r="D319" s="14" t="n"/>
      <c r="E319" s="14" t="n"/>
      <c r="F319" s="14" t="n"/>
      <c r="G319" s="14" t="n"/>
      <c r="H319" s="14" t="n"/>
      <c r="I319" s="14" t="n"/>
    </row>
    <row r="320">
      <c r="B320" s="16" t="n"/>
      <c r="C320" s="14" t="n"/>
      <c r="D320" s="14" t="n"/>
      <c r="E320" s="14" t="n"/>
      <c r="F320" s="14" t="n"/>
      <c r="G320" s="14" t="n"/>
      <c r="H320" s="14" t="n"/>
      <c r="I320" s="14" t="n"/>
    </row>
    <row r="321">
      <c r="B321" s="16" t="n"/>
      <c r="C321" s="14" t="n"/>
      <c r="D321" s="14" t="n"/>
      <c r="E321" s="14" t="n"/>
      <c r="F321" s="14" t="n"/>
      <c r="G321" s="14" t="n"/>
      <c r="H321" s="14" t="n"/>
      <c r="I321" s="14" t="n"/>
    </row>
    <row r="322">
      <c r="B322" s="16" t="n"/>
      <c r="C322" s="14" t="n"/>
      <c r="D322" s="14" t="n"/>
      <c r="E322" s="14" t="n"/>
      <c r="F322" s="14" t="n"/>
      <c r="G322" s="14" t="n"/>
      <c r="H322" s="14" t="n"/>
      <c r="I322" s="14" t="n"/>
    </row>
    <row r="323">
      <c r="B323" s="16" t="n"/>
      <c r="C323" s="14" t="n"/>
      <c r="D323" s="14" t="n"/>
      <c r="E323" s="14" t="n"/>
      <c r="F323" s="14" t="n"/>
      <c r="G323" s="14" t="n"/>
      <c r="H323" s="14" t="n"/>
      <c r="I323" s="14" t="n"/>
    </row>
    <row r="324">
      <c r="B324" s="16" t="n"/>
      <c r="C324" s="14" t="n"/>
      <c r="D324" s="14" t="n"/>
      <c r="E324" s="14" t="n"/>
      <c r="F324" s="14" t="n"/>
      <c r="G324" s="14" t="n"/>
      <c r="H324" s="14" t="n"/>
      <c r="I324" s="14" t="n"/>
    </row>
    <row r="325">
      <c r="B325" s="16" t="n"/>
      <c r="C325" s="14" t="n"/>
      <c r="D325" s="14" t="n"/>
      <c r="E325" s="14" t="n"/>
      <c r="F325" s="14" t="n"/>
      <c r="G325" s="14" t="n"/>
      <c r="H325" s="14" t="n"/>
      <c r="I325" s="14" t="n"/>
    </row>
    <row r="326">
      <c r="B326" s="16" t="n"/>
      <c r="C326" s="14" t="n"/>
      <c r="D326" s="14" t="n"/>
      <c r="E326" s="14" t="n"/>
      <c r="F326" s="14" t="n"/>
      <c r="G326" s="14" t="n"/>
      <c r="H326" s="14" t="n"/>
      <c r="I326" s="14" t="n"/>
    </row>
    <row r="327">
      <c r="B327" s="16" t="n"/>
      <c r="C327" s="14" t="n"/>
      <c r="D327" s="14" t="n"/>
      <c r="E327" s="14" t="n"/>
      <c r="F327" s="14" t="n"/>
      <c r="G327" s="14" t="n"/>
      <c r="H327" s="14" t="n"/>
      <c r="I327" s="14" t="n"/>
    </row>
    <row r="328">
      <c r="B328" s="16" t="n"/>
      <c r="C328" s="14" t="n"/>
      <c r="D328" s="14" t="n"/>
      <c r="E328" s="14" t="n"/>
      <c r="F328" s="14" t="n"/>
      <c r="G328" s="14" t="n"/>
      <c r="H328" s="14" t="n"/>
      <c r="I328" s="14" t="n"/>
    </row>
    <row r="329">
      <c r="B329" s="16" t="n"/>
      <c r="C329" s="14" t="n"/>
      <c r="D329" s="14" t="n"/>
      <c r="E329" s="14" t="n"/>
      <c r="F329" s="14" t="n"/>
      <c r="G329" s="14" t="n"/>
      <c r="H329" s="14" t="n"/>
      <c r="I329" s="14" t="n"/>
    </row>
    <row r="330">
      <c r="B330" s="16" t="n"/>
      <c r="C330" s="14" t="n"/>
      <c r="D330" s="14" t="n"/>
      <c r="E330" s="14" t="n"/>
      <c r="F330" s="14" t="n"/>
      <c r="G330" s="14" t="n"/>
      <c r="H330" s="14" t="n"/>
      <c r="I330" s="14" t="n"/>
    </row>
    <row r="331">
      <c r="B331" s="16" t="n"/>
      <c r="C331" s="14" t="n"/>
      <c r="D331" s="14" t="n"/>
      <c r="E331" s="14" t="n"/>
      <c r="F331" s="14" t="n"/>
      <c r="G331" s="14" t="n"/>
      <c r="H331" s="14" t="n"/>
      <c r="I331" s="14" t="n"/>
    </row>
    <row r="332">
      <c r="B332" s="16" t="n"/>
      <c r="C332" s="14" t="n"/>
      <c r="D332" s="14" t="n"/>
      <c r="E332" s="14" t="n"/>
      <c r="F332" s="14" t="n"/>
      <c r="G332" s="14" t="n"/>
      <c r="H332" s="14" t="n"/>
      <c r="I332" s="14" t="n"/>
    </row>
    <row r="333">
      <c r="B333" s="16" t="n"/>
      <c r="C333" s="14" t="n"/>
      <c r="D333" s="14" t="n"/>
      <c r="E333" s="14" t="n"/>
      <c r="F333" s="14" t="n"/>
      <c r="G333" s="14" t="n"/>
      <c r="H333" s="14" t="n"/>
      <c r="I333" s="14" t="n"/>
    </row>
    <row r="334">
      <c r="B334" s="16" t="n"/>
      <c r="C334" s="14" t="n"/>
      <c r="D334" s="14" t="n"/>
      <c r="E334" s="14" t="n"/>
      <c r="F334" s="14" t="n"/>
      <c r="G334" s="14" t="n"/>
      <c r="H334" s="14" t="n"/>
      <c r="I334" s="14" t="n"/>
    </row>
    <row r="335">
      <c r="B335" s="16" t="n"/>
      <c r="C335" s="14" t="n"/>
      <c r="D335" s="14" t="n"/>
      <c r="E335" s="14" t="n"/>
      <c r="F335" s="14" t="n"/>
      <c r="G335" s="14" t="n"/>
      <c r="H335" s="14" t="n"/>
      <c r="I335" s="14" t="n"/>
    </row>
    <row r="336">
      <c r="B336" s="16" t="n"/>
      <c r="C336" s="14" t="n"/>
      <c r="D336" s="14" t="n"/>
      <c r="E336" s="14" t="n"/>
      <c r="F336" s="14" t="n"/>
      <c r="G336" s="14" t="n"/>
      <c r="H336" s="14" t="n"/>
      <c r="I336" s="14" t="n"/>
    </row>
    <row r="337">
      <c r="B337" s="16" t="n"/>
      <c r="C337" s="14" t="n"/>
      <c r="D337" s="14" t="n"/>
      <c r="E337" s="14" t="n"/>
      <c r="F337" s="14" t="n"/>
      <c r="G337" s="14" t="n"/>
      <c r="H337" s="14" t="n"/>
      <c r="I337" s="14" t="n"/>
    </row>
    <row r="338">
      <c r="B338" s="16" t="n"/>
      <c r="C338" s="14" t="n"/>
      <c r="D338" s="14" t="n"/>
      <c r="E338" s="14" t="n"/>
      <c r="F338" s="14" t="n"/>
      <c r="G338" s="14" t="n"/>
      <c r="H338" s="14" t="n"/>
      <c r="I338" s="14" t="n"/>
    </row>
    <row r="339">
      <c r="B339" s="16" t="n"/>
      <c r="C339" s="14" t="n"/>
      <c r="D339" s="14" t="n"/>
      <c r="E339" s="14" t="n"/>
      <c r="F339" s="14" t="n"/>
      <c r="G339" s="14" t="n"/>
      <c r="H339" s="14" t="n"/>
      <c r="I339" s="14" t="n"/>
    </row>
    <row r="340">
      <c r="B340" s="16" t="n"/>
      <c r="C340" s="14" t="n"/>
      <c r="D340" s="14" t="n"/>
      <c r="E340" s="14" t="n"/>
      <c r="F340" s="14" t="n"/>
      <c r="G340" s="14" t="n"/>
      <c r="H340" s="14" t="n"/>
      <c r="I340" s="14" t="n"/>
    </row>
    <row r="341">
      <c r="B341" s="16" t="n"/>
      <c r="C341" s="14" t="n"/>
      <c r="D341" s="14" t="n"/>
      <c r="E341" s="14" t="n"/>
      <c r="F341" s="14" t="n"/>
      <c r="G341" s="14" t="n"/>
      <c r="H341" s="14" t="n"/>
      <c r="I341" s="14" t="n"/>
    </row>
    <row r="342">
      <c r="B342" s="16" t="n"/>
      <c r="C342" s="14" t="n"/>
      <c r="D342" s="14" t="n"/>
      <c r="E342" s="14" t="n"/>
      <c r="F342" s="14" t="n"/>
      <c r="G342" s="14" t="n"/>
      <c r="H342" s="14" t="n"/>
      <c r="I342" s="14" t="n"/>
    </row>
    <row r="343">
      <c r="B343" s="16" t="n"/>
      <c r="C343" s="14" t="n"/>
      <c r="D343" s="14" t="n"/>
      <c r="E343" s="14" t="n"/>
      <c r="F343" s="14" t="n"/>
      <c r="G343" s="14" t="n"/>
      <c r="H343" s="14" t="n"/>
      <c r="I343" s="14" t="n"/>
    </row>
    <row r="344">
      <c r="B344" s="16" t="n"/>
      <c r="C344" s="14" t="n"/>
      <c r="D344" s="14" t="n"/>
      <c r="E344" s="14" t="n"/>
      <c r="F344" s="14" t="n"/>
      <c r="G344" s="14" t="n"/>
      <c r="H344" s="14" t="n"/>
      <c r="I344" s="14" t="n"/>
    </row>
    <row r="345">
      <c r="B345" s="16" t="n"/>
      <c r="C345" s="14" t="n"/>
      <c r="D345" s="14" t="n"/>
      <c r="E345" s="14" t="n"/>
      <c r="F345" s="14" t="n"/>
      <c r="G345" s="14" t="n"/>
      <c r="H345" s="14" t="n"/>
      <c r="I345" s="14" t="n"/>
    </row>
    <row r="346">
      <c r="B346" s="16" t="n"/>
      <c r="C346" s="14" t="n"/>
      <c r="D346" s="14" t="n"/>
      <c r="E346" s="14" t="n"/>
      <c r="F346" s="14" t="n"/>
      <c r="G346" s="14" t="n"/>
      <c r="H346" s="14" t="n"/>
      <c r="I346" s="14" t="n"/>
    </row>
    <row r="347">
      <c r="B347" s="16" t="n"/>
      <c r="C347" s="14" t="n"/>
      <c r="D347" s="14" t="n"/>
      <c r="E347" s="14" t="n"/>
      <c r="F347" s="14" t="n"/>
      <c r="G347" s="14" t="n"/>
      <c r="H347" s="14" t="n"/>
      <c r="I347" s="14" t="n"/>
    </row>
    <row r="348">
      <c r="B348" s="16" t="n"/>
      <c r="C348" s="14" t="n"/>
      <c r="D348" s="14" t="n"/>
      <c r="E348" s="14" t="n"/>
      <c r="F348" s="14" t="n"/>
      <c r="G348" s="14" t="n"/>
      <c r="H348" s="14" t="n"/>
      <c r="I348" s="14" t="n"/>
    </row>
    <row r="349">
      <c r="B349" s="16" t="n"/>
      <c r="C349" s="14" t="n"/>
      <c r="D349" s="14" t="n"/>
      <c r="E349" s="14" t="n"/>
      <c r="F349" s="14" t="n"/>
      <c r="G349" s="14" t="n"/>
      <c r="H349" s="14" t="n"/>
      <c r="I349" s="14" t="n"/>
    </row>
    <row r="350">
      <c r="B350" s="16" t="n"/>
      <c r="C350" s="14" t="n"/>
      <c r="D350" s="14" t="n"/>
      <c r="E350" s="14" t="n"/>
      <c r="F350" s="14" t="n"/>
      <c r="G350" s="14" t="n"/>
      <c r="H350" s="14" t="n"/>
      <c r="I350" s="14" t="n"/>
    </row>
    <row r="351">
      <c r="B351" s="16" t="n"/>
      <c r="C351" s="14" t="n"/>
      <c r="D351" s="14" t="n"/>
      <c r="E351" s="14" t="n"/>
      <c r="F351" s="14" t="n"/>
      <c r="G351" s="14" t="n"/>
      <c r="H351" s="14" t="n"/>
      <c r="I351" s="14" t="n"/>
    </row>
    <row r="352">
      <c r="B352" s="16" t="n"/>
      <c r="C352" s="14" t="n"/>
      <c r="D352" s="14" t="n"/>
      <c r="E352" s="14" t="n"/>
      <c r="F352" s="14" t="n"/>
      <c r="G352" s="14" t="n"/>
      <c r="H352" s="14" t="n"/>
      <c r="I352" s="14" t="n"/>
    </row>
    <row r="353">
      <c r="B353" s="16" t="n"/>
      <c r="C353" s="14" t="n"/>
      <c r="D353" s="14" t="n"/>
      <c r="E353" s="14" t="n"/>
      <c r="F353" s="14" t="n"/>
      <c r="G353" s="14" t="n"/>
      <c r="H353" s="14" t="n"/>
      <c r="I353" s="14" t="n"/>
    </row>
    <row r="354">
      <c r="B354" s="16" t="n"/>
      <c r="C354" s="14" t="n"/>
      <c r="D354" s="14" t="n"/>
      <c r="E354" s="14" t="n"/>
      <c r="F354" s="14" t="n"/>
      <c r="G354" s="14" t="n"/>
      <c r="H354" s="14" t="n"/>
      <c r="I354" s="14" t="n"/>
    </row>
    <row r="355">
      <c r="B355" s="16" t="n"/>
      <c r="C355" s="14" t="n"/>
      <c r="D355" s="14" t="n"/>
      <c r="E355" s="14" t="n"/>
      <c r="F355" s="14" t="n"/>
      <c r="G355" s="14" t="n"/>
      <c r="H355" s="14" t="n"/>
      <c r="I355" s="14" t="n"/>
    </row>
    <row r="356">
      <c r="B356" s="16" t="n"/>
      <c r="C356" s="14" t="n"/>
      <c r="D356" s="14" t="n"/>
      <c r="E356" s="14" t="n"/>
      <c r="F356" s="14" t="n"/>
      <c r="G356" s="14" t="n"/>
      <c r="H356" s="14" t="n"/>
      <c r="I356" s="14" t="n"/>
    </row>
    <row r="357">
      <c r="B357" s="16" t="n"/>
      <c r="C357" s="14" t="n"/>
      <c r="D357" s="14" t="n"/>
      <c r="E357" s="14" t="n"/>
      <c r="F357" s="14" t="n"/>
      <c r="G357" s="14" t="n"/>
      <c r="H357" s="14" t="n"/>
      <c r="I357" s="14" t="n"/>
    </row>
    <row r="358">
      <c r="B358" s="16" t="n"/>
      <c r="C358" s="14" t="n"/>
      <c r="D358" s="14" t="n"/>
      <c r="E358" s="14" t="n"/>
      <c r="F358" s="14" t="n"/>
      <c r="G358" s="14" t="n"/>
      <c r="H358" s="14" t="n"/>
      <c r="I358" s="14" t="n"/>
    </row>
    <row r="359">
      <c r="B359" s="16" t="n"/>
      <c r="C359" s="14" t="n"/>
      <c r="D359" s="14" t="n"/>
      <c r="E359" s="14" t="n"/>
      <c r="F359" s="14" t="n"/>
      <c r="G359" s="14" t="n"/>
      <c r="H359" s="14" t="n"/>
      <c r="I359" s="14" t="n"/>
    </row>
    <row r="360">
      <c r="B360" s="16" t="n"/>
      <c r="C360" s="14" t="n"/>
      <c r="D360" s="14" t="n"/>
      <c r="E360" s="14" t="n"/>
      <c r="F360" s="14" t="n"/>
      <c r="G360" s="14" t="n"/>
      <c r="H360" s="14" t="n"/>
      <c r="I360" s="14" t="n"/>
    </row>
    <row r="361">
      <c r="B361" s="16" t="n"/>
      <c r="C361" s="14" t="n"/>
      <c r="D361" s="14" t="n"/>
      <c r="E361" s="14" t="n"/>
      <c r="F361" s="14" t="n"/>
      <c r="G361" s="14" t="n"/>
      <c r="H361" s="14" t="n"/>
      <c r="I361" s="14" t="n"/>
    </row>
    <row r="362">
      <c r="B362" s="16" t="n"/>
      <c r="C362" s="14" t="n"/>
      <c r="D362" s="14" t="n"/>
      <c r="E362" s="14" t="n"/>
      <c r="F362" s="14" t="n"/>
      <c r="G362" s="14" t="n"/>
      <c r="H362" s="14" t="n"/>
      <c r="I362" s="14" t="n"/>
    </row>
    <row r="363">
      <c r="B363" s="16" t="n"/>
      <c r="C363" s="14" t="n"/>
      <c r="D363" s="14" t="n"/>
      <c r="E363" s="14" t="n"/>
      <c r="F363" s="14" t="n"/>
      <c r="G363" s="14" t="n"/>
      <c r="H363" s="14" t="n"/>
      <c r="I363" s="14" t="n"/>
    </row>
    <row r="364">
      <c r="B364" s="16" t="n"/>
      <c r="C364" s="14" t="n"/>
      <c r="D364" s="14" t="n"/>
      <c r="E364" s="14" t="n"/>
      <c r="F364" s="14" t="n"/>
      <c r="G364" s="14" t="n"/>
      <c r="H364" s="14" t="n"/>
      <c r="I364" s="14" t="n"/>
    </row>
    <row r="365">
      <c r="B365" s="16" t="n"/>
      <c r="C365" s="14" t="n"/>
      <c r="D365" s="14" t="n"/>
      <c r="E365" s="14" t="n"/>
      <c r="F365" s="14" t="n"/>
      <c r="G365" s="14" t="n"/>
      <c r="H365" s="14" t="n"/>
      <c r="I365" s="14" t="n"/>
    </row>
    <row r="366">
      <c r="B366" s="16" t="n"/>
      <c r="C366" s="14" t="n"/>
      <c r="D366" s="14" t="n"/>
      <c r="E366" s="14" t="n"/>
      <c r="F366" s="14" t="n"/>
      <c r="G366" s="14" t="n"/>
      <c r="H366" s="14" t="n"/>
      <c r="I366" s="14" t="n"/>
    </row>
    <row r="367">
      <c r="B367" s="16" t="n"/>
      <c r="C367" s="14" t="n"/>
      <c r="D367" s="14" t="n"/>
      <c r="E367" s="14" t="n"/>
      <c r="F367" s="14" t="n"/>
      <c r="G367" s="14" t="n"/>
      <c r="H367" s="14" t="n"/>
      <c r="I367" s="14" t="n"/>
    </row>
    <row r="368">
      <c r="B368" s="16" t="n"/>
      <c r="C368" s="14" t="n"/>
      <c r="D368" s="14" t="n"/>
      <c r="E368" s="14" t="n"/>
      <c r="F368" s="14" t="n"/>
      <c r="G368" s="14" t="n"/>
      <c r="H368" s="14" t="n"/>
      <c r="I368" s="14" t="n"/>
    </row>
    <row r="369">
      <c r="B369" s="16" t="n"/>
      <c r="C369" s="14" t="n"/>
      <c r="D369" s="14" t="n"/>
      <c r="E369" s="14" t="n"/>
      <c r="F369" s="14" t="n"/>
      <c r="G369" s="14" t="n"/>
      <c r="H369" s="14" t="n"/>
      <c r="I369" s="14" t="n"/>
    </row>
    <row r="370">
      <c r="B370" s="16" t="n"/>
      <c r="C370" s="14" t="n"/>
      <c r="D370" s="14" t="n"/>
      <c r="E370" s="14" t="n"/>
      <c r="F370" s="14" t="n"/>
      <c r="G370" s="14" t="n"/>
      <c r="H370" s="14" t="n"/>
      <c r="I370" s="14" t="n"/>
    </row>
    <row r="371">
      <c r="B371" s="16" t="n"/>
      <c r="C371" s="14" t="n"/>
      <c r="D371" s="14" t="n"/>
      <c r="E371" s="14" t="n"/>
      <c r="F371" s="14" t="n"/>
      <c r="G371" s="14" t="n"/>
      <c r="H371" s="14" t="n"/>
      <c r="I371" s="14" t="n"/>
    </row>
    <row r="372">
      <c r="B372" s="16" t="n"/>
      <c r="C372" s="14" t="n"/>
      <c r="D372" s="14" t="n"/>
      <c r="E372" s="14" t="n"/>
      <c r="F372" s="14" t="n"/>
      <c r="G372" s="14" t="n"/>
      <c r="H372" s="14" t="n"/>
      <c r="I372" s="14" t="n"/>
    </row>
    <row r="373">
      <c r="B373" s="16" t="n"/>
      <c r="C373" s="14" t="n"/>
      <c r="D373" s="14" t="n"/>
      <c r="E373" s="14" t="n"/>
      <c r="F373" s="14" t="n"/>
      <c r="G373" s="14" t="n"/>
      <c r="H373" s="14" t="n"/>
      <c r="I373" s="14" t="n"/>
    </row>
    <row r="374">
      <c r="B374" s="16" t="n"/>
      <c r="C374" s="14" t="n"/>
      <c r="D374" s="14" t="n"/>
      <c r="E374" s="14" t="n"/>
      <c r="F374" s="14" t="n"/>
      <c r="G374" s="14" t="n"/>
      <c r="H374" s="14" t="n"/>
      <c r="I374" s="14" t="n"/>
    </row>
    <row r="375">
      <c r="B375" s="16" t="n"/>
      <c r="C375" s="14" t="n"/>
      <c r="D375" s="14" t="n"/>
      <c r="E375" s="14" t="n"/>
      <c r="F375" s="14" t="n"/>
      <c r="G375" s="14" t="n"/>
      <c r="H375" s="14" t="n"/>
      <c r="I375" s="14" t="n"/>
    </row>
    <row r="376">
      <c r="B376" s="16" t="n"/>
      <c r="C376" s="14" t="n"/>
      <c r="D376" s="14" t="n"/>
      <c r="E376" s="14" t="n"/>
      <c r="F376" s="14" t="n"/>
      <c r="G376" s="14" t="n"/>
      <c r="H376" s="14" t="n"/>
      <c r="I376" s="14" t="n"/>
    </row>
    <row r="377">
      <c r="B377" s="16" t="n"/>
      <c r="C377" s="14" t="n"/>
      <c r="D377" s="14" t="n"/>
      <c r="E377" s="14" t="n"/>
      <c r="F377" s="14" t="n"/>
      <c r="G377" s="14" t="n"/>
      <c r="H377" s="14" t="n"/>
      <c r="I377" s="14" t="n"/>
    </row>
    <row r="378">
      <c r="B378" s="16" t="n"/>
      <c r="C378" s="14" t="n"/>
      <c r="D378" s="14" t="n"/>
      <c r="E378" s="14" t="n"/>
      <c r="F378" s="14" t="n"/>
      <c r="G378" s="14" t="n"/>
      <c r="H378" s="14" t="n"/>
      <c r="I378" s="14" t="n"/>
    </row>
    <row r="379">
      <c r="B379" s="16" t="n"/>
      <c r="C379" s="14" t="n"/>
      <c r="D379" s="14" t="n"/>
      <c r="E379" s="14" t="n"/>
      <c r="F379" s="14" t="n"/>
      <c r="G379" s="14" t="n"/>
      <c r="H379" s="14" t="n"/>
      <c r="I379" s="14" t="n"/>
    </row>
    <row r="380">
      <c r="B380" s="16" t="n"/>
      <c r="C380" s="14" t="n"/>
      <c r="D380" s="14" t="n"/>
      <c r="E380" s="14" t="n"/>
      <c r="F380" s="14" t="n"/>
      <c r="G380" s="14" t="n"/>
      <c r="H380" s="14" t="n"/>
      <c r="I380" s="14" t="n"/>
    </row>
    <row r="381">
      <c r="B381" s="16" t="n"/>
      <c r="C381" s="14" t="n"/>
      <c r="D381" s="14" t="n"/>
      <c r="E381" s="14" t="n"/>
      <c r="F381" s="14" t="n"/>
      <c r="G381" s="14" t="n"/>
      <c r="H381" s="14" t="n"/>
      <c r="I381" s="14" t="n"/>
    </row>
    <row r="382">
      <c r="B382" s="16" t="n"/>
      <c r="C382" s="14" t="n"/>
      <c r="D382" s="14" t="n"/>
      <c r="E382" s="14" t="n"/>
      <c r="F382" s="14" t="n"/>
      <c r="G382" s="14" t="n"/>
      <c r="H382" s="14" t="n"/>
      <c r="I382" s="14" t="n"/>
    </row>
    <row r="383">
      <c r="B383" s="16" t="n"/>
      <c r="C383" s="14" t="n"/>
      <c r="D383" s="14" t="n"/>
      <c r="E383" s="14" t="n"/>
      <c r="F383" s="14" t="n"/>
      <c r="G383" s="14" t="n"/>
      <c r="H383" s="14" t="n"/>
      <c r="I383" s="14" t="n"/>
    </row>
    <row r="384">
      <c r="B384" s="16" t="n"/>
      <c r="C384" s="14" t="n"/>
      <c r="D384" s="14" t="n"/>
      <c r="E384" s="14" t="n"/>
      <c r="F384" s="14" t="n"/>
      <c r="G384" s="14" t="n"/>
      <c r="H384" s="14" t="n"/>
      <c r="I384" s="14" t="n"/>
    </row>
    <row r="385">
      <c r="B385" s="16" t="n"/>
      <c r="C385" s="14" t="n"/>
      <c r="D385" s="14" t="n"/>
      <c r="E385" s="14" t="n"/>
      <c r="F385" s="14" t="n"/>
      <c r="G385" s="14" t="n"/>
      <c r="H385" s="14" t="n"/>
      <c r="I385" s="14" t="n"/>
    </row>
    <row r="386">
      <c r="B386" s="16" t="n"/>
      <c r="C386" s="14" t="n"/>
      <c r="D386" s="14" t="n"/>
      <c r="E386" s="14" t="n"/>
      <c r="F386" s="14" t="n"/>
      <c r="G386" s="14" t="n"/>
      <c r="H386" s="14" t="n"/>
      <c r="I386" s="14" t="n"/>
    </row>
    <row r="387">
      <c r="B387" s="16" t="n"/>
      <c r="C387" s="14" t="n"/>
      <c r="D387" s="14" t="n"/>
      <c r="E387" s="14" t="n"/>
      <c r="F387" s="14" t="n"/>
      <c r="G387" s="14" t="n"/>
      <c r="H387" s="14" t="n"/>
      <c r="I387" s="14" t="n"/>
    </row>
    <row r="388">
      <c r="B388" s="16" t="n"/>
      <c r="C388" s="14" t="n"/>
      <c r="D388" s="14" t="n"/>
      <c r="E388" s="14" t="n"/>
      <c r="F388" s="14" t="n"/>
      <c r="G388" s="14" t="n"/>
      <c r="H388" s="14" t="n"/>
      <c r="I388" s="14" t="n"/>
    </row>
    <row r="389">
      <c r="B389" s="16" t="n"/>
      <c r="C389" s="14" t="n"/>
      <c r="D389" s="14" t="n"/>
      <c r="E389" s="14" t="n"/>
      <c r="F389" s="14" t="n"/>
      <c r="G389" s="14" t="n"/>
      <c r="H389" s="14" t="n"/>
      <c r="I389" s="14" t="n"/>
    </row>
    <row r="390">
      <c r="B390" s="16" t="n"/>
      <c r="C390" s="14" t="n"/>
      <c r="D390" s="14" t="n"/>
      <c r="E390" s="14" t="n"/>
      <c r="F390" s="14" t="n"/>
      <c r="G390" s="14" t="n"/>
      <c r="H390" s="14" t="n"/>
      <c r="I390" s="14" t="n"/>
    </row>
    <row r="391">
      <c r="B391" s="16" t="n"/>
      <c r="C391" s="14" t="n"/>
      <c r="D391" s="14" t="n"/>
      <c r="E391" s="14" t="n"/>
      <c r="F391" s="14" t="n"/>
      <c r="G391" s="14" t="n"/>
      <c r="H391" s="14" t="n"/>
      <c r="I391" s="14" t="n"/>
    </row>
    <row r="392">
      <c r="B392" s="16" t="n"/>
      <c r="C392" s="14" t="n"/>
      <c r="D392" s="14" t="n"/>
      <c r="E392" s="14" t="n"/>
      <c r="F392" s="14" t="n"/>
      <c r="G392" s="14" t="n"/>
      <c r="H392" s="14" t="n"/>
      <c r="I392" s="14" t="n"/>
    </row>
    <row r="393">
      <c r="B393" s="16" t="n"/>
      <c r="C393" s="14" t="n"/>
      <c r="D393" s="14" t="n"/>
      <c r="E393" s="14" t="n"/>
      <c r="F393" s="14" t="n"/>
      <c r="G393" s="14" t="n"/>
      <c r="H393" s="14" t="n"/>
      <c r="I393" s="14" t="n"/>
    </row>
    <row r="394">
      <c r="B394" s="16" t="n"/>
      <c r="C394" s="14" t="n"/>
      <c r="D394" s="14" t="n"/>
      <c r="E394" s="14" t="n"/>
      <c r="F394" s="14" t="n"/>
      <c r="G394" s="14" t="n"/>
      <c r="H394" s="14" t="n"/>
      <c r="I394" s="14" t="n"/>
    </row>
    <row r="395">
      <c r="B395" s="16" t="n"/>
      <c r="C395" s="14" t="n"/>
      <c r="D395" s="14" t="n"/>
      <c r="E395" s="14" t="n"/>
      <c r="F395" s="14" t="n"/>
      <c r="G395" s="14" t="n"/>
      <c r="H395" s="14" t="n"/>
      <c r="I395" s="14" t="n"/>
    </row>
    <row r="396">
      <c r="B396" s="16" t="n"/>
      <c r="C396" s="14" t="n"/>
      <c r="D396" s="14" t="n"/>
      <c r="E396" s="14" t="n"/>
      <c r="F396" s="14" t="n"/>
      <c r="G396" s="14" t="n"/>
      <c r="H396" s="14" t="n"/>
      <c r="I396" s="14" t="n"/>
    </row>
    <row r="397">
      <c r="B397" s="16" t="n"/>
      <c r="C397" s="14" t="n"/>
      <c r="D397" s="14" t="n"/>
      <c r="E397" s="14" t="n"/>
      <c r="F397" s="14" t="n"/>
      <c r="G397" s="14" t="n"/>
      <c r="H397" s="14" t="n"/>
      <c r="I397" s="14" t="n"/>
    </row>
    <row r="398">
      <c r="B398" s="16" t="n"/>
      <c r="C398" s="14" t="n"/>
      <c r="D398" s="14" t="n"/>
      <c r="E398" s="14" t="n"/>
      <c r="F398" s="14" t="n"/>
      <c r="G398" s="14" t="n"/>
      <c r="H398" s="14" t="n"/>
      <c r="I398" s="14" t="n"/>
    </row>
    <row r="399">
      <c r="B399" s="16" t="n"/>
      <c r="C399" s="14" t="n"/>
      <c r="D399" s="14" t="n"/>
      <c r="E399" s="14" t="n"/>
      <c r="F399" s="14" t="n"/>
      <c r="G399" s="14" t="n"/>
      <c r="H399" s="14" t="n"/>
      <c r="I399" s="14" t="n"/>
    </row>
    <row r="400">
      <c r="B400" s="16" t="n"/>
      <c r="C400" s="14" t="n"/>
      <c r="D400" s="14" t="n"/>
      <c r="E400" s="14" t="n"/>
      <c r="F400" s="14" t="n"/>
      <c r="G400" s="14" t="n"/>
      <c r="H400" s="14" t="n"/>
      <c r="I400" s="14" t="n"/>
    </row>
    <row r="401">
      <c r="B401" s="16" t="n"/>
      <c r="C401" s="14" t="n"/>
      <c r="D401" s="14" t="n"/>
      <c r="E401" s="14" t="n"/>
      <c r="F401" s="14" t="n"/>
      <c r="G401" s="14" t="n"/>
      <c r="H401" s="14" t="n"/>
      <c r="I401" s="14" t="n"/>
    </row>
    <row r="402">
      <c r="B402" s="16" t="n"/>
      <c r="C402" s="14" t="n"/>
      <c r="D402" s="14" t="n"/>
      <c r="E402" s="14" t="n"/>
      <c r="F402" s="14" t="n"/>
      <c r="G402" s="14" t="n"/>
      <c r="H402" s="14" t="n"/>
      <c r="I402" s="14" t="n"/>
    </row>
    <row r="403">
      <c r="B403" s="16" t="n"/>
      <c r="C403" s="14" t="n"/>
      <c r="D403" s="14" t="n"/>
      <c r="E403" s="14" t="n"/>
      <c r="F403" s="14" t="n"/>
      <c r="G403" s="14" t="n"/>
      <c r="H403" s="14" t="n"/>
      <c r="I403" s="14" t="n"/>
    </row>
    <row r="404">
      <c r="B404" s="16" t="n"/>
      <c r="C404" s="14" t="n"/>
      <c r="D404" s="14" t="n"/>
      <c r="E404" s="14" t="n"/>
      <c r="F404" s="14" t="n"/>
      <c r="G404" s="14" t="n"/>
      <c r="H404" s="14" t="n"/>
      <c r="I404" s="14" t="n"/>
    </row>
    <row r="405">
      <c r="B405" s="16" t="n"/>
      <c r="C405" s="14" t="n"/>
      <c r="D405" s="14" t="n"/>
      <c r="E405" s="14" t="n"/>
      <c r="F405" s="14" t="n"/>
      <c r="G405" s="14" t="n"/>
      <c r="H405" s="14" t="n"/>
      <c r="I405" s="14" t="n"/>
    </row>
    <row r="406">
      <c r="B406" s="16" t="n"/>
      <c r="C406" s="14" t="n"/>
      <c r="D406" s="14" t="n"/>
      <c r="E406" s="14" t="n"/>
      <c r="F406" s="14" t="n"/>
      <c r="G406" s="14" t="n"/>
      <c r="H406" s="14" t="n"/>
      <c r="I406" s="14" t="n"/>
    </row>
    <row r="407">
      <c r="B407" s="16" t="n"/>
      <c r="C407" s="14" t="n"/>
      <c r="D407" s="14" t="n"/>
      <c r="E407" s="14" t="n"/>
      <c r="F407" s="14" t="n"/>
      <c r="G407" s="14" t="n"/>
      <c r="H407" s="14" t="n"/>
      <c r="I407" s="14" t="n"/>
    </row>
    <row r="408">
      <c r="B408" s="16" t="n"/>
      <c r="C408" s="14" t="n"/>
      <c r="D408" s="14" t="n"/>
      <c r="E408" s="14" t="n"/>
      <c r="F408" s="14" t="n"/>
      <c r="G408" s="14" t="n"/>
      <c r="H408" s="14" t="n"/>
      <c r="I408" s="14" t="n"/>
    </row>
    <row r="409">
      <c r="B409" s="16" t="n"/>
      <c r="C409" s="14" t="n"/>
      <c r="D409" s="14" t="n"/>
      <c r="E409" s="14" t="n"/>
      <c r="F409" s="14" t="n"/>
      <c r="G409" s="14" t="n"/>
      <c r="H409" s="14" t="n"/>
      <c r="I409" s="14" t="n"/>
    </row>
    <row r="410">
      <c r="B410" s="16" t="n"/>
      <c r="C410" s="14" t="n"/>
      <c r="D410" s="14" t="n"/>
      <c r="E410" s="14" t="n"/>
      <c r="F410" s="14" t="n"/>
      <c r="G410" s="14" t="n"/>
      <c r="H410" s="14" t="n"/>
      <c r="I410" s="14" t="n"/>
    </row>
    <row r="411">
      <c r="B411" s="16" t="n"/>
      <c r="C411" s="14" t="n"/>
      <c r="D411" s="14" t="n"/>
      <c r="E411" s="14" t="n"/>
      <c r="F411" s="14" t="n"/>
      <c r="G411" s="14" t="n"/>
      <c r="H411" s="14" t="n"/>
      <c r="I411" s="14" t="n"/>
    </row>
    <row r="412">
      <c r="B412" s="16" t="n"/>
      <c r="C412" s="14" t="n"/>
      <c r="D412" s="14" t="n"/>
      <c r="E412" s="14" t="n"/>
      <c r="F412" s="14" t="n"/>
      <c r="G412" s="14" t="n"/>
      <c r="H412" s="14" t="n"/>
      <c r="I412" s="14" t="n"/>
    </row>
    <row r="413">
      <c r="B413" s="16" t="n"/>
      <c r="C413" s="14" t="n"/>
      <c r="D413" s="14" t="n"/>
      <c r="E413" s="14" t="n"/>
      <c r="F413" s="14" t="n"/>
      <c r="G413" s="14" t="n"/>
      <c r="H413" s="14" t="n"/>
      <c r="I413" s="14" t="n"/>
    </row>
    <row r="414">
      <c r="B414" s="16" t="n"/>
      <c r="C414" s="14" t="n"/>
      <c r="D414" s="14" t="n"/>
      <c r="E414" s="14" t="n"/>
      <c r="F414" s="14" t="n"/>
      <c r="G414" s="14" t="n"/>
      <c r="H414" s="14" t="n"/>
      <c r="I414" s="14" t="n"/>
    </row>
    <row r="415">
      <c r="B415" s="16" t="n"/>
      <c r="C415" s="14" t="n"/>
      <c r="D415" s="14" t="n"/>
      <c r="E415" s="14" t="n"/>
      <c r="F415" s="14" t="n"/>
      <c r="G415" s="14" t="n"/>
      <c r="H415" s="14" t="n"/>
      <c r="I415" s="14" t="n"/>
    </row>
    <row r="416">
      <c r="B416" s="16" t="n"/>
      <c r="C416" s="14" t="n"/>
      <c r="D416" s="14" t="n"/>
      <c r="E416" s="14" t="n"/>
      <c r="F416" s="14" t="n"/>
      <c r="G416" s="14" t="n"/>
      <c r="H416" s="14" t="n"/>
      <c r="I416" s="14" t="n"/>
    </row>
    <row r="417">
      <c r="B417" s="16" t="n"/>
      <c r="C417" s="14" t="n"/>
      <c r="D417" s="14" t="n"/>
      <c r="E417" s="14" t="n"/>
      <c r="F417" s="14" t="n"/>
      <c r="G417" s="14" t="n"/>
      <c r="H417" s="14" t="n"/>
      <c r="I417" s="14" t="n"/>
    </row>
    <row r="418">
      <c r="B418" s="16" t="n"/>
      <c r="C418" s="14" t="n"/>
      <c r="D418" s="14" t="n"/>
      <c r="E418" s="14" t="n"/>
      <c r="F418" s="14" t="n"/>
      <c r="G418" s="14" t="n"/>
      <c r="H418" s="14" t="n"/>
      <c r="I418" s="14" t="n"/>
    </row>
    <row r="419">
      <c r="B419" s="16" t="n"/>
      <c r="C419" s="14" t="n"/>
      <c r="D419" s="14" t="n"/>
      <c r="E419" s="14" t="n"/>
      <c r="F419" s="14" t="n"/>
      <c r="G419" s="14" t="n"/>
      <c r="H419" s="14" t="n"/>
      <c r="I419" s="14" t="n"/>
    </row>
    <row r="420">
      <c r="B420" s="16" t="n"/>
      <c r="C420" s="14" t="n"/>
      <c r="D420" s="14" t="n"/>
      <c r="E420" s="14" t="n"/>
      <c r="F420" s="14" t="n"/>
      <c r="G420" s="14" t="n"/>
      <c r="H420" s="14" t="n"/>
      <c r="I420" s="14" t="n"/>
    </row>
    <row r="421">
      <c r="B421" s="16" t="n"/>
      <c r="C421" s="14" t="n"/>
      <c r="D421" s="14" t="n"/>
      <c r="E421" s="14" t="n"/>
      <c r="F421" s="14" t="n"/>
      <c r="G421" s="14" t="n"/>
      <c r="H421" s="14" t="n"/>
      <c r="I421" s="14" t="n"/>
    </row>
    <row r="422">
      <c r="B422" s="16" t="n"/>
      <c r="C422" s="14" t="n"/>
      <c r="D422" s="14" t="n"/>
      <c r="E422" s="14" t="n"/>
      <c r="F422" s="14" t="n"/>
      <c r="G422" s="14" t="n"/>
      <c r="H422" s="14" t="n"/>
      <c r="I422" s="14" t="n"/>
    </row>
    <row r="423">
      <c r="B423" s="16" t="n"/>
      <c r="C423" s="14" t="n"/>
      <c r="D423" s="14" t="n"/>
      <c r="E423" s="14" t="n"/>
      <c r="F423" s="14" t="n"/>
      <c r="G423" s="14" t="n"/>
      <c r="H423" s="14" t="n"/>
      <c r="I423" s="14" t="n"/>
    </row>
    <row r="424">
      <c r="B424" s="16" t="n"/>
      <c r="C424" s="14" t="n"/>
      <c r="D424" s="14" t="n"/>
      <c r="E424" s="14" t="n"/>
      <c r="F424" s="14" t="n"/>
      <c r="G424" s="14" t="n"/>
      <c r="H424" s="14" t="n"/>
      <c r="I424" s="14" t="n"/>
    </row>
    <row r="425">
      <c r="B425" s="16" t="n"/>
      <c r="C425" s="14" t="n"/>
      <c r="D425" s="14" t="n"/>
      <c r="E425" s="14" t="n"/>
      <c r="F425" s="14" t="n"/>
      <c r="G425" s="14" t="n"/>
      <c r="H425" s="14" t="n"/>
      <c r="I425" s="14" t="n"/>
    </row>
    <row r="426">
      <c r="B426" s="16" t="n"/>
      <c r="C426" s="14" t="n"/>
      <c r="D426" s="14" t="n"/>
      <c r="E426" s="14" t="n"/>
      <c r="F426" s="14" t="n"/>
      <c r="G426" s="14" t="n"/>
      <c r="H426" s="14" t="n"/>
      <c r="I426" s="14" t="n"/>
    </row>
    <row r="427">
      <c r="B427" s="16" t="n"/>
      <c r="C427" s="14" t="n"/>
      <c r="D427" s="14" t="n"/>
      <c r="E427" s="14" t="n"/>
      <c r="F427" s="14" t="n"/>
      <c r="G427" s="14" t="n"/>
      <c r="H427" s="14" t="n"/>
      <c r="I427" s="14" t="n"/>
    </row>
    <row r="428">
      <c r="B428" s="16" t="n"/>
      <c r="C428" s="14" t="n"/>
      <c r="D428" s="14" t="n"/>
      <c r="E428" s="14" t="n"/>
      <c r="F428" s="14" t="n"/>
      <c r="G428" s="14" t="n"/>
      <c r="H428" s="14" t="n"/>
      <c r="I428" s="14" t="n"/>
    </row>
    <row r="429">
      <c r="B429" s="16" t="n"/>
      <c r="C429" s="14" t="n"/>
      <c r="D429" s="14" t="n"/>
      <c r="E429" s="14" t="n"/>
      <c r="F429" s="14" t="n"/>
      <c r="G429" s="14" t="n"/>
      <c r="H429" s="14" t="n"/>
      <c r="I429" s="14" t="n"/>
    </row>
    <row r="430">
      <c r="B430" s="16" t="n"/>
      <c r="C430" s="14" t="n"/>
      <c r="D430" s="14" t="n"/>
      <c r="E430" s="14" t="n"/>
      <c r="F430" s="14" t="n"/>
      <c r="G430" s="14" t="n"/>
      <c r="H430" s="14" t="n"/>
      <c r="I430" s="14" t="n"/>
    </row>
    <row r="431">
      <c r="B431" s="16" t="n"/>
      <c r="C431" s="14" t="n"/>
      <c r="D431" s="14" t="n"/>
      <c r="E431" s="14" t="n"/>
      <c r="F431" s="14" t="n"/>
      <c r="G431" s="14" t="n"/>
      <c r="H431" s="14" t="n"/>
      <c r="I431" s="14" t="n"/>
    </row>
    <row r="432">
      <c r="B432" s="16" t="n"/>
      <c r="C432" s="14" t="n"/>
      <c r="D432" s="14" t="n"/>
      <c r="E432" s="14" t="n"/>
      <c r="F432" s="14" t="n"/>
      <c r="G432" s="14" t="n"/>
      <c r="H432" s="14" t="n"/>
      <c r="I432" s="14" t="n"/>
    </row>
    <row r="433">
      <c r="B433" s="16" t="n"/>
      <c r="C433" s="14" t="n"/>
      <c r="D433" s="14" t="n"/>
      <c r="E433" s="14" t="n"/>
      <c r="F433" s="14" t="n"/>
      <c r="G433" s="14" t="n"/>
      <c r="H433" s="14" t="n"/>
      <c r="I433" s="14" t="n"/>
    </row>
    <row r="434">
      <c r="B434" s="16" t="n"/>
      <c r="C434" s="14" t="n"/>
      <c r="D434" s="14" t="n"/>
      <c r="E434" s="14" t="n"/>
      <c r="F434" s="14" t="n"/>
      <c r="G434" s="14" t="n"/>
      <c r="H434" s="14" t="n"/>
      <c r="I434" s="14" t="n"/>
    </row>
    <row r="435">
      <c r="B435" s="16" t="n"/>
      <c r="C435" s="14" t="n"/>
      <c r="D435" s="14" t="n"/>
      <c r="E435" s="14" t="n"/>
      <c r="F435" s="14" t="n"/>
      <c r="G435" s="14" t="n"/>
      <c r="H435" s="14" t="n"/>
      <c r="I435" s="14" t="n"/>
    </row>
    <row r="436">
      <c r="B436" s="16" t="n"/>
      <c r="C436" s="14" t="n"/>
      <c r="D436" s="14" t="n"/>
      <c r="E436" s="14" t="n"/>
      <c r="F436" s="14" t="n"/>
      <c r="G436" s="14" t="n"/>
      <c r="H436" s="14" t="n"/>
      <c r="I436" s="14" t="n"/>
    </row>
    <row r="437">
      <c r="B437" s="16" t="n"/>
      <c r="C437" s="14" t="n"/>
      <c r="D437" s="14" t="n"/>
      <c r="E437" s="14" t="n"/>
      <c r="F437" s="14" t="n"/>
      <c r="G437" s="14" t="n"/>
      <c r="H437" s="14" t="n"/>
      <c r="I437" s="14" t="n"/>
    </row>
    <row r="438">
      <c r="B438" s="16" t="n"/>
      <c r="C438" s="14" t="n"/>
      <c r="D438" s="14" t="n"/>
      <c r="E438" s="14" t="n"/>
      <c r="F438" s="14" t="n"/>
      <c r="G438" s="14" t="n"/>
      <c r="H438" s="14" t="n"/>
      <c r="I438" s="14" t="n"/>
    </row>
    <row r="439">
      <c r="B439" s="16" t="n"/>
      <c r="C439" s="14" t="n"/>
      <c r="D439" s="14" t="n"/>
      <c r="E439" s="14" t="n"/>
      <c r="F439" s="14" t="n"/>
      <c r="G439" s="14" t="n"/>
      <c r="H439" s="14" t="n"/>
      <c r="I439" s="14" t="n"/>
    </row>
    <row r="440">
      <c r="B440" s="16" t="n"/>
      <c r="C440" s="14" t="n"/>
      <c r="D440" s="14" t="n"/>
      <c r="E440" s="14" t="n"/>
      <c r="F440" s="14" t="n"/>
      <c r="G440" s="14" t="n"/>
      <c r="H440" s="14" t="n"/>
      <c r="I440" s="14" t="n"/>
    </row>
    <row r="441">
      <c r="B441" s="16" t="n"/>
      <c r="C441" s="14" t="n"/>
      <c r="D441" s="14" t="n"/>
      <c r="E441" s="14" t="n"/>
      <c r="F441" s="14" t="n"/>
      <c r="G441" s="14" t="n"/>
      <c r="H441" s="14" t="n"/>
      <c r="I441" s="14" t="n"/>
    </row>
    <row r="442">
      <c r="B442" s="16" t="n"/>
      <c r="C442" s="14" t="n"/>
      <c r="D442" s="14" t="n"/>
      <c r="E442" s="14" t="n"/>
      <c r="F442" s="14" t="n"/>
      <c r="G442" s="14" t="n"/>
      <c r="H442" s="14" t="n"/>
      <c r="I442" s="14" t="n"/>
    </row>
    <row r="443">
      <c r="B443" s="16" t="n"/>
      <c r="C443" s="14" t="n"/>
      <c r="D443" s="14" t="n"/>
      <c r="E443" s="14" t="n"/>
      <c r="F443" s="14" t="n"/>
      <c r="G443" s="14" t="n"/>
      <c r="H443" s="14" t="n"/>
      <c r="I443" s="14" t="n"/>
    </row>
    <row r="444">
      <c r="B444" s="16" t="n"/>
      <c r="C444" s="14" t="n"/>
      <c r="D444" s="14" t="n"/>
      <c r="E444" s="14" t="n"/>
      <c r="F444" s="14" t="n"/>
      <c r="G444" s="14" t="n"/>
      <c r="H444" s="14" t="n"/>
      <c r="I444" s="14" t="n"/>
    </row>
    <row r="445">
      <c r="B445" s="16" t="n"/>
      <c r="C445" s="14" t="n"/>
      <c r="D445" s="14" t="n"/>
      <c r="E445" s="14" t="n"/>
      <c r="F445" s="14" t="n"/>
      <c r="G445" s="14" t="n"/>
      <c r="H445" s="14" t="n"/>
      <c r="I445" s="14" t="n"/>
    </row>
    <row r="446">
      <c r="B446" s="16" t="n"/>
      <c r="C446" s="14" t="n"/>
      <c r="D446" s="14" t="n"/>
      <c r="E446" s="14" t="n"/>
      <c r="F446" s="14" t="n"/>
      <c r="G446" s="14" t="n"/>
      <c r="H446" s="14" t="n"/>
      <c r="I446" s="14" t="n"/>
    </row>
    <row r="447">
      <c r="B447" s="16" t="n"/>
      <c r="C447" s="14" t="n"/>
      <c r="D447" s="14" t="n"/>
      <c r="E447" s="14" t="n"/>
      <c r="F447" s="14" t="n"/>
      <c r="G447" s="14" t="n"/>
      <c r="H447" s="14" t="n"/>
      <c r="I447" s="14" t="n"/>
    </row>
    <row r="448">
      <c r="B448" s="16" t="n"/>
      <c r="C448" s="14" t="n"/>
      <c r="D448" s="14" t="n"/>
      <c r="E448" s="14" t="n"/>
      <c r="F448" s="14" t="n"/>
      <c r="G448" s="14" t="n"/>
      <c r="H448" s="14" t="n"/>
      <c r="I448" s="14" t="n"/>
    </row>
    <row r="449">
      <c r="B449" s="16" t="n"/>
      <c r="C449" s="14" t="n"/>
      <c r="D449" s="14" t="n"/>
      <c r="E449" s="14" t="n"/>
      <c r="F449" s="14" t="n"/>
      <c r="G449" s="14" t="n"/>
      <c r="H449" s="14" t="n"/>
      <c r="I449" s="14" t="n"/>
    </row>
    <row r="450">
      <c r="B450" s="16" t="n"/>
      <c r="C450" s="14" t="n"/>
      <c r="D450" s="14" t="n"/>
      <c r="E450" s="14" t="n"/>
      <c r="F450" s="14" t="n"/>
      <c r="G450" s="14" t="n"/>
      <c r="H450" s="14" t="n"/>
      <c r="I450" s="14" t="n"/>
    </row>
    <row r="451">
      <c r="B451" s="16" t="n"/>
      <c r="C451" s="14" t="n"/>
      <c r="D451" s="14" t="n"/>
      <c r="E451" s="14" t="n"/>
      <c r="F451" s="14" t="n"/>
      <c r="G451" s="14" t="n"/>
      <c r="H451" s="14" t="n"/>
      <c r="I451" s="14" t="n"/>
    </row>
    <row r="452">
      <c r="B452" s="16" t="n"/>
      <c r="C452" s="14" t="n"/>
      <c r="D452" s="14" t="n"/>
      <c r="E452" s="14" t="n"/>
      <c r="F452" s="14" t="n"/>
      <c r="G452" s="14" t="n"/>
      <c r="H452" s="14" t="n"/>
      <c r="I452" s="14" t="n"/>
    </row>
    <row r="453">
      <c r="B453" s="16" t="n"/>
      <c r="C453" s="14" t="n"/>
      <c r="D453" s="14" t="n"/>
      <c r="E453" s="14" t="n"/>
      <c r="F453" s="14" t="n"/>
      <c r="G453" s="14" t="n"/>
      <c r="H453" s="14" t="n"/>
      <c r="I453" s="14" t="n"/>
    </row>
    <row r="454">
      <c r="B454" s="16" t="n"/>
      <c r="C454" s="14" t="n"/>
      <c r="D454" s="14" t="n"/>
      <c r="E454" s="14" t="n"/>
      <c r="F454" s="14" t="n"/>
      <c r="G454" s="14" t="n"/>
      <c r="H454" s="14" t="n"/>
      <c r="I454" s="14" t="n"/>
    </row>
    <row r="455">
      <c r="B455" s="16" t="n"/>
      <c r="C455" s="14" t="n"/>
      <c r="D455" s="14" t="n"/>
      <c r="E455" s="14" t="n"/>
      <c r="F455" s="14" t="n"/>
      <c r="G455" s="14" t="n"/>
      <c r="H455" s="14" t="n"/>
      <c r="I455" s="14" t="n"/>
    </row>
    <row r="456">
      <c r="B456" s="16" t="n"/>
      <c r="C456" s="14" t="n"/>
      <c r="D456" s="14" t="n"/>
      <c r="E456" s="14" t="n"/>
      <c r="F456" s="14" t="n"/>
      <c r="G456" s="14" t="n"/>
      <c r="H456" s="14" t="n"/>
      <c r="I456" s="14" t="n"/>
    </row>
    <row r="457">
      <c r="B457" s="16" t="n"/>
      <c r="C457" s="14" t="n"/>
      <c r="D457" s="14" t="n"/>
      <c r="E457" s="14" t="n"/>
      <c r="F457" s="14" t="n"/>
      <c r="G457" s="14" t="n"/>
      <c r="H457" s="14" t="n"/>
      <c r="I457" s="14" t="n"/>
    </row>
    <row r="458">
      <c r="B458" s="16" t="n"/>
      <c r="C458" s="14" t="n"/>
      <c r="D458" s="14" t="n"/>
      <c r="E458" s="14" t="n"/>
      <c r="F458" s="14" t="n"/>
      <c r="G458" s="14" t="n"/>
      <c r="H458" s="14" t="n"/>
      <c r="I458" s="14" t="n"/>
    </row>
    <row r="459">
      <c r="B459" s="16" t="n"/>
      <c r="C459" s="14" t="n"/>
      <c r="D459" s="14" t="n"/>
      <c r="E459" s="14" t="n"/>
      <c r="F459" s="14" t="n"/>
      <c r="G459" s="14" t="n"/>
      <c r="H459" s="14" t="n"/>
      <c r="I459" s="14" t="n"/>
    </row>
    <row r="460">
      <c r="B460" s="16" t="n"/>
      <c r="C460" s="14" t="n"/>
      <c r="D460" s="14" t="n"/>
      <c r="E460" s="14" t="n"/>
      <c r="F460" s="14" t="n"/>
      <c r="G460" s="14" t="n"/>
      <c r="H460" s="14" t="n"/>
      <c r="I460" s="14" t="n"/>
    </row>
    <row r="461">
      <c r="B461" s="16" t="n"/>
      <c r="C461" s="14" t="n"/>
      <c r="D461" s="14" t="n"/>
      <c r="E461" s="14" t="n"/>
      <c r="F461" s="14" t="n"/>
      <c r="G461" s="14" t="n"/>
      <c r="H461" s="14" t="n"/>
      <c r="I461" s="14" t="n"/>
    </row>
    <row r="462">
      <c r="B462" s="16" t="n"/>
      <c r="C462" s="14" t="n"/>
      <c r="D462" s="14" t="n"/>
      <c r="E462" s="14" t="n"/>
      <c r="F462" s="14" t="n"/>
      <c r="G462" s="14" t="n"/>
      <c r="H462" s="14" t="n"/>
      <c r="I462" s="14" t="n"/>
    </row>
    <row r="463">
      <c r="B463" s="16" t="n"/>
      <c r="C463" s="14" t="n"/>
      <c r="D463" s="14" t="n"/>
      <c r="E463" s="14" t="n"/>
      <c r="F463" s="14" t="n"/>
      <c r="G463" s="14" t="n"/>
      <c r="H463" s="14" t="n"/>
      <c r="I463" s="14" t="n"/>
    </row>
    <row r="464">
      <c r="B464" s="16" t="n"/>
      <c r="C464" s="14" t="n"/>
      <c r="D464" s="14" t="n"/>
      <c r="E464" s="14" t="n"/>
      <c r="F464" s="14" t="n"/>
      <c r="G464" s="14" t="n"/>
      <c r="H464" s="14" t="n"/>
      <c r="I464" s="14" t="n"/>
    </row>
    <row r="465">
      <c r="B465" s="16" t="n"/>
      <c r="C465" s="14" t="n"/>
      <c r="D465" s="14" t="n"/>
      <c r="E465" s="14" t="n"/>
      <c r="F465" s="14" t="n"/>
      <c r="G465" s="14" t="n"/>
      <c r="H465" s="14" t="n"/>
      <c r="I465" s="14" t="n"/>
    </row>
    <row r="466">
      <c r="B466" s="16" t="n"/>
      <c r="C466" s="14" t="n"/>
      <c r="D466" s="14" t="n"/>
      <c r="E466" s="14" t="n"/>
      <c r="F466" s="14" t="n"/>
      <c r="G466" s="14" t="n"/>
      <c r="H466" s="14" t="n"/>
      <c r="I466" s="14" t="n"/>
    </row>
    <row r="467">
      <c r="B467" s="16" t="n"/>
      <c r="C467" s="14" t="n"/>
      <c r="D467" s="14" t="n"/>
      <c r="E467" s="14" t="n"/>
      <c r="F467" s="14" t="n"/>
      <c r="G467" s="14" t="n"/>
      <c r="H467" s="14" t="n"/>
      <c r="I467" s="14" t="n"/>
    </row>
    <row r="468">
      <c r="B468" s="16" t="n"/>
      <c r="C468" s="14" t="n"/>
      <c r="D468" s="14" t="n"/>
      <c r="E468" s="14" t="n"/>
      <c r="F468" s="14" t="n"/>
      <c r="G468" s="14" t="n"/>
      <c r="H468" s="14" t="n"/>
      <c r="I468" s="14" t="n"/>
    </row>
    <row r="469">
      <c r="B469" s="16" t="n"/>
      <c r="C469" s="14" t="n"/>
      <c r="D469" s="14" t="n"/>
      <c r="E469" s="14" t="n"/>
      <c r="F469" s="14" t="n"/>
      <c r="G469" s="14" t="n"/>
      <c r="H469" s="14" t="n"/>
      <c r="I469" s="14" t="n"/>
    </row>
    <row r="470">
      <c r="B470" s="16" t="n"/>
      <c r="C470" s="14" t="n"/>
      <c r="D470" s="14" t="n"/>
      <c r="E470" s="14" t="n"/>
      <c r="F470" s="14" t="n"/>
      <c r="G470" s="14" t="n"/>
      <c r="H470" s="14" t="n"/>
      <c r="I470" s="14" t="n"/>
    </row>
    <row r="471">
      <c r="B471" s="16" t="n"/>
      <c r="C471" s="14" t="n"/>
      <c r="D471" s="14" t="n"/>
      <c r="E471" s="14" t="n"/>
      <c r="F471" s="14" t="n"/>
      <c r="G471" s="14" t="n"/>
      <c r="H471" s="14" t="n"/>
      <c r="I471" s="14" t="n"/>
    </row>
    <row r="472">
      <c r="B472" s="16" t="n"/>
      <c r="C472" s="14" t="n"/>
      <c r="D472" s="14" t="n"/>
      <c r="E472" s="14" t="n"/>
      <c r="F472" s="14" t="n"/>
      <c r="G472" s="14" t="n"/>
      <c r="H472" s="14" t="n"/>
      <c r="I472" s="14" t="n"/>
    </row>
    <row r="473">
      <c r="B473" s="16" t="n"/>
      <c r="C473" s="14" t="n"/>
      <c r="D473" s="14" t="n"/>
      <c r="E473" s="14" t="n"/>
      <c r="F473" s="14" t="n"/>
      <c r="G473" s="14" t="n"/>
      <c r="H473" s="14" t="n"/>
      <c r="I473" s="14" t="n"/>
    </row>
    <row r="474">
      <c r="B474" s="16" t="n"/>
      <c r="C474" s="14" t="n"/>
      <c r="D474" s="14" t="n"/>
      <c r="E474" s="14" t="n"/>
      <c r="F474" s="14" t="n"/>
      <c r="G474" s="14" t="n"/>
      <c r="H474" s="14" t="n"/>
      <c r="I474" s="14" t="n"/>
    </row>
    <row r="475">
      <c r="B475" s="16" t="n"/>
      <c r="C475" s="14" t="n"/>
      <c r="D475" s="14" t="n"/>
      <c r="E475" s="14" t="n"/>
      <c r="F475" s="14" t="n"/>
      <c r="G475" s="14" t="n"/>
      <c r="H475" s="14" t="n"/>
      <c r="I475" s="14" t="n"/>
    </row>
    <row r="476">
      <c r="B476" s="16" t="n"/>
      <c r="C476" s="14" t="n"/>
      <c r="D476" s="14" t="n"/>
      <c r="E476" s="14" t="n"/>
      <c r="F476" s="14" t="n"/>
      <c r="G476" s="14" t="n"/>
      <c r="H476" s="14" t="n"/>
      <c r="I476" s="14" t="n"/>
    </row>
    <row r="477">
      <c r="B477" s="16" t="n"/>
      <c r="C477" s="14" t="n"/>
      <c r="D477" s="14" t="n"/>
      <c r="E477" s="14" t="n"/>
      <c r="F477" s="14" t="n"/>
      <c r="G477" s="14" t="n"/>
      <c r="H477" s="14" t="n"/>
      <c r="I477" s="14" t="n"/>
    </row>
    <row r="478">
      <c r="B478" s="16" t="n"/>
      <c r="C478" s="14" t="n"/>
      <c r="D478" s="14" t="n"/>
      <c r="E478" s="14" t="n"/>
      <c r="F478" s="14" t="n"/>
      <c r="G478" s="14" t="n"/>
      <c r="H478" s="14" t="n"/>
      <c r="I478" s="14" t="n"/>
    </row>
    <row r="479">
      <c r="B479" s="16" t="n"/>
      <c r="C479" s="14" t="n"/>
      <c r="D479" s="14" t="n"/>
      <c r="E479" s="14" t="n"/>
      <c r="F479" s="14" t="n"/>
      <c r="G479" s="14" t="n"/>
      <c r="H479" s="14" t="n"/>
      <c r="I479" s="14" t="n"/>
    </row>
    <row r="480">
      <c r="B480" s="16" t="n"/>
      <c r="C480" s="14" t="n"/>
      <c r="D480" s="14" t="n"/>
      <c r="E480" s="14" t="n"/>
      <c r="F480" s="14" t="n"/>
      <c r="G480" s="14" t="n"/>
      <c r="H480" s="14" t="n"/>
      <c r="I480" s="14" t="n"/>
    </row>
    <row r="481">
      <c r="B481" s="16" t="n"/>
      <c r="C481" s="14" t="n"/>
      <c r="D481" s="14" t="n"/>
      <c r="E481" s="14" t="n"/>
      <c r="F481" s="14" t="n"/>
      <c r="G481" s="14" t="n"/>
      <c r="H481" s="14" t="n"/>
      <c r="I481" s="14" t="n"/>
    </row>
    <row r="482">
      <c r="B482" s="16" t="n"/>
      <c r="C482" s="14" t="n"/>
      <c r="D482" s="14" t="n"/>
      <c r="E482" s="14" t="n"/>
      <c r="F482" s="14" t="n"/>
      <c r="G482" s="14" t="n"/>
      <c r="H482" s="14" t="n"/>
      <c r="I482" s="14" t="n"/>
    </row>
    <row r="483">
      <c r="B483" s="16" t="n"/>
      <c r="C483" s="14" t="n"/>
      <c r="D483" s="14" t="n"/>
      <c r="E483" s="14" t="n"/>
      <c r="F483" s="14" t="n"/>
      <c r="G483" s="14" t="n"/>
      <c r="H483" s="14" t="n"/>
      <c r="I483" s="14" t="n"/>
    </row>
    <row r="484">
      <c r="B484" s="16" t="n"/>
      <c r="C484" s="14" t="n"/>
      <c r="D484" s="14" t="n"/>
      <c r="E484" s="14" t="n"/>
      <c r="F484" s="14" t="n"/>
      <c r="G484" s="14" t="n"/>
      <c r="H484" s="14" t="n"/>
      <c r="I484" s="14" t="n"/>
    </row>
    <row r="485">
      <c r="B485" s="16" t="n"/>
      <c r="C485" s="14" t="n"/>
      <c r="D485" s="14" t="n"/>
      <c r="E485" s="14" t="n"/>
      <c r="F485" s="14" t="n"/>
      <c r="G485" s="14" t="n"/>
      <c r="H485" s="14" t="n"/>
      <c r="I485" s="14" t="n"/>
    </row>
    <row r="486">
      <c r="B486" s="16" t="n"/>
      <c r="C486" s="14" t="n"/>
      <c r="D486" s="14" t="n"/>
      <c r="E486" s="14" t="n"/>
      <c r="F486" s="14" t="n"/>
      <c r="G486" s="14" t="n"/>
      <c r="H486" s="14" t="n"/>
      <c r="I486" s="14" t="n"/>
    </row>
    <row r="487">
      <c r="B487" s="16" t="n"/>
      <c r="C487" s="14" t="n"/>
      <c r="D487" s="14" t="n"/>
      <c r="E487" s="14" t="n"/>
      <c r="F487" s="14" t="n"/>
      <c r="G487" s="14" t="n"/>
      <c r="H487" s="14" t="n"/>
      <c r="I487" s="14" t="n"/>
    </row>
    <row r="488">
      <c r="B488" s="16" t="n"/>
      <c r="C488" s="14" t="n"/>
      <c r="D488" s="14" t="n"/>
      <c r="E488" s="14" t="n"/>
      <c r="F488" s="14" t="n"/>
      <c r="G488" s="14" t="n"/>
      <c r="H488" s="14" t="n"/>
      <c r="I488" s="14" t="n"/>
    </row>
    <row r="489">
      <c r="B489" s="16" t="n"/>
      <c r="C489" s="14" t="n"/>
      <c r="D489" s="14" t="n"/>
      <c r="E489" s="14" t="n"/>
      <c r="F489" s="14" t="n"/>
      <c r="G489" s="14" t="n"/>
      <c r="H489" s="14" t="n"/>
      <c r="I489" s="14" t="n"/>
    </row>
    <row r="490">
      <c r="B490" s="16" t="n"/>
      <c r="C490" s="14" t="n"/>
      <c r="D490" s="14" t="n"/>
      <c r="E490" s="14" t="n"/>
      <c r="F490" s="14" t="n"/>
      <c r="G490" s="14" t="n"/>
      <c r="H490" s="14" t="n"/>
      <c r="I490" s="14" t="n"/>
    </row>
    <row r="491">
      <c r="B491" s="16" t="n"/>
      <c r="C491" s="14" t="n"/>
      <c r="D491" s="14" t="n"/>
      <c r="E491" s="14" t="n"/>
      <c r="F491" s="14" t="n"/>
      <c r="G491" s="14" t="n"/>
      <c r="H491" s="14" t="n"/>
      <c r="I491" s="14" t="n"/>
    </row>
    <row r="492">
      <c r="B492" s="16" t="n"/>
      <c r="C492" s="14" t="n"/>
      <c r="D492" s="14" t="n"/>
      <c r="E492" s="14" t="n"/>
      <c r="F492" s="14" t="n"/>
      <c r="G492" s="14" t="n"/>
      <c r="H492" s="14" t="n"/>
      <c r="I492" s="14" t="n"/>
    </row>
    <row r="493">
      <c r="B493" s="16" t="n"/>
      <c r="C493" s="14" t="n"/>
      <c r="D493" s="14" t="n"/>
      <c r="E493" s="14" t="n"/>
      <c r="F493" s="14" t="n"/>
      <c r="G493" s="14" t="n"/>
      <c r="H493" s="14" t="n"/>
      <c r="I493" s="14" t="n"/>
    </row>
    <row r="494">
      <c r="B494" s="16" t="n"/>
      <c r="C494" s="14" t="n"/>
      <c r="D494" s="14" t="n"/>
      <c r="E494" s="14" t="n"/>
      <c r="F494" s="14" t="n"/>
      <c r="G494" s="14" t="n"/>
      <c r="H494" s="14" t="n"/>
      <c r="I494" s="14" t="n"/>
    </row>
    <row r="495">
      <c r="B495" s="16" t="n"/>
      <c r="C495" s="14" t="n"/>
      <c r="D495" s="14" t="n"/>
      <c r="E495" s="14" t="n"/>
      <c r="F495" s="14" t="n"/>
      <c r="G495" s="14" t="n"/>
      <c r="H495" s="14" t="n"/>
      <c r="I495" s="14" t="n"/>
    </row>
    <row r="496">
      <c r="B496" s="16" t="n"/>
      <c r="C496" s="14" t="n"/>
      <c r="D496" s="14" t="n"/>
      <c r="E496" s="14" t="n"/>
      <c r="F496" s="14" t="n"/>
      <c r="G496" s="14" t="n"/>
      <c r="H496" s="14" t="n"/>
      <c r="I496" s="14" t="n"/>
    </row>
    <row r="497">
      <c r="B497" s="16" t="n"/>
      <c r="C497" s="14" t="n"/>
      <c r="D497" s="14" t="n"/>
      <c r="E497" s="14" t="n"/>
      <c r="F497" s="14" t="n"/>
      <c r="G497" s="14" t="n"/>
      <c r="H497" s="14" t="n"/>
      <c r="I497" s="14" t="n"/>
    </row>
    <row r="498">
      <c r="B498" s="16" t="n"/>
      <c r="C498" s="14" t="n"/>
      <c r="D498" s="14" t="n"/>
      <c r="E498" s="14" t="n"/>
      <c r="F498" s="14" t="n"/>
      <c r="G498" s="14" t="n"/>
      <c r="H498" s="14" t="n"/>
      <c r="I498" s="14" t="n"/>
    </row>
    <row r="499">
      <c r="B499" s="16" t="n"/>
      <c r="C499" s="14" t="n"/>
      <c r="D499" s="14" t="n"/>
      <c r="E499" s="14" t="n"/>
      <c r="F499" s="14" t="n"/>
      <c r="G499" s="14" t="n"/>
      <c r="H499" s="14" t="n"/>
      <c r="I499" s="14" t="n"/>
    </row>
    <row r="500">
      <c r="B500" s="16" t="n"/>
      <c r="C500" s="14" t="n"/>
      <c r="D500" s="14" t="n"/>
      <c r="E500" s="14" t="n"/>
      <c r="F500" s="14" t="n"/>
      <c r="G500" s="14" t="n"/>
      <c r="H500" s="14" t="n"/>
      <c r="I500" s="14" t="n"/>
    </row>
    <row r="501">
      <c r="B501" s="16" t="n"/>
      <c r="C501" s="14" t="n"/>
      <c r="D501" s="14" t="n"/>
      <c r="E501" s="14" t="n"/>
      <c r="F501" s="14" t="n"/>
      <c r="G501" s="14" t="n"/>
      <c r="H501" s="14" t="n"/>
      <c r="I501" s="14" t="n"/>
    </row>
    <row r="502">
      <c r="B502" s="16" t="n"/>
      <c r="C502" s="14" t="n"/>
      <c r="D502" s="14" t="n"/>
      <c r="E502" s="14" t="n"/>
      <c r="F502" s="14" t="n"/>
      <c r="G502" s="14" t="n"/>
      <c r="H502" s="14" t="n"/>
      <c r="I502" s="14" t="n"/>
    </row>
    <row r="503">
      <c r="B503" s="16" t="n"/>
      <c r="C503" s="14" t="n"/>
      <c r="D503" s="14" t="n"/>
      <c r="E503" s="14" t="n"/>
      <c r="F503" s="14" t="n"/>
      <c r="G503" s="14" t="n"/>
      <c r="H503" s="14" t="n"/>
      <c r="I503" s="14" t="n"/>
    </row>
    <row r="504">
      <c r="B504" s="16" t="n"/>
      <c r="C504" s="14" t="n"/>
      <c r="D504" s="14" t="n"/>
      <c r="E504" s="14" t="n"/>
      <c r="F504" s="14" t="n"/>
      <c r="G504" s="14" t="n"/>
      <c r="H504" s="14" t="n"/>
      <c r="I504" s="14" t="n"/>
    </row>
    <row r="505">
      <c r="B505" s="16" t="n"/>
      <c r="C505" s="14" t="n"/>
      <c r="D505" s="14" t="n"/>
      <c r="E505" s="14" t="n"/>
      <c r="F505" s="14" t="n"/>
      <c r="G505" s="14" t="n"/>
      <c r="H505" s="14" t="n"/>
      <c r="I505" s="14" t="n"/>
    </row>
  </sheetData>
  <pageMargins left="0.75" right="0.75" top="1" bottom="1" header="0.5" footer="0.5"/>
</worksheet>
</file>

<file path=xl/worksheets/sheet29.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row r="2"/>
    <row r="3"/>
    <row r="4">
      <c r="B4" s="8" t="inlineStr">
        <is>
          <t>Blue = edit per academy. Yellow = pending data (PT rubric from the other coordinator). Gray = calculated. Internal names must not change.</t>
        </is>
      </c>
    </row>
    <row r="5" ht="26" customHeight="1">
      <c r="B5" s="9" t="inlineStr">
        <is>
          <t>Setting</t>
        </is>
      </c>
      <c r="C5" s="9" t="inlineStr">
        <is>
          <t>Value</t>
        </is>
      </c>
      <c r="D5" s="9" t="inlineStr">
        <is>
          <t>Notes</t>
        </is>
      </c>
      <c r="E5" s="9" t="inlineStr">
        <is>
          <t>Internal name</t>
        </is>
      </c>
      <c r="F5" s="9" t="inlineStr">
        <is>
          <t>Detected from data</t>
        </is>
      </c>
      <c r="G5" s="9" t="inlineStr">
        <is>
          <t>Check</t>
        </is>
      </c>
    </row>
    <row r="6">
      <c r="B6" s="10" t="inlineStr">
        <is>
          <t>Academy Class</t>
        </is>
      </c>
      <c r="C6" s="14" t="inlineStr">
        <is>
          <t>BPOC-2026-01</t>
        </is>
      </c>
      <c r="D6" s="2" t="inlineStr">
        <is>
          <t>Label shown on reports</t>
        </is>
      </c>
      <c r="E6" s="2" t="inlineStr">
        <is>
          <t>cfgAcademyClass</t>
        </is>
      </c>
    </row>
    <row r="7">
      <c r="B7" s="10" t="inlineStr">
        <is>
          <t>Start Date</t>
        </is>
      </c>
      <c r="C7" s="16" t="n">
        <v>46153</v>
      </c>
      <c r="D7" s="2" t="inlineStr">
        <is>
          <t>First day of academy</t>
        </is>
      </c>
      <c r="E7" s="2" t="inlineStr">
        <is>
          <t>cfgStartDate</t>
        </is>
      </c>
    </row>
    <row r="8">
      <c r="B8" s="10" t="inlineStr">
        <is>
          <t>End Date</t>
        </is>
      </c>
      <c r="C8" s="16" t="n">
        <v>46332</v>
      </c>
      <c r="D8" s="2" t="inlineStr">
        <is>
          <t>Scheduled graduation date</t>
        </is>
      </c>
      <c r="E8" s="2" t="inlineStr">
        <is>
          <t>cfgEndDate</t>
        </is>
      </c>
    </row>
    <row r="9">
      <c r="B9" s="10" t="inlineStr">
        <is>
          <t>Total Scheduled Minutes</t>
        </is>
      </c>
      <c r="C9" s="33" t="n">
        <v>145800</v>
      </c>
      <c r="D9" s="2" t="inlineStr">
        <is>
          <t>Academy length in minutes</t>
        </is>
      </c>
      <c r="E9" s="2" t="inlineStr">
        <is>
          <t>cfgTotalScheduledMinutes</t>
        </is>
      </c>
    </row>
    <row r="10">
      <c r="B10" s="10" t="inlineStr">
        <is>
          <t>Passing Score</t>
        </is>
      </c>
      <c r="C10" s="14" t="n">
        <v>70</v>
      </c>
      <c r="D10" s="2" t="inlineStr">
        <is>
          <t>Minimum passing score for exams</t>
        </is>
      </c>
      <c r="E10" s="2" t="inlineStr">
        <is>
          <t>cfgPassingScore</t>
        </is>
      </c>
    </row>
    <row r="11">
      <c r="B11" s="10" t="inlineStr">
        <is>
          <t>Pass Threshold Score</t>
        </is>
      </c>
      <c r="C11" s="14" t="n">
        <v>70</v>
      </c>
      <c r="D11" s="2" t="inlineStr">
        <is>
          <t>Category-average threshold</t>
        </is>
      </c>
      <c r="E11" s="2" t="inlineStr">
        <is>
          <t>cfgThresholdScore</t>
        </is>
      </c>
    </row>
    <row r="12">
      <c r="B12" s="10" t="inlineStr">
        <is>
          <t>Retake Recorded Cap</t>
        </is>
      </c>
      <c r="C12" s="14" t="n">
        <v>70</v>
      </c>
      <c r="D12" s="2" t="inlineStr">
        <is>
          <t>Recorded score after a passed retest</t>
        </is>
      </c>
      <c r="E12" s="2" t="inlineStr">
        <is>
          <t>cfgRetakeRecordedCap</t>
        </is>
      </c>
    </row>
    <row r="13">
      <c r="B13" s="10" t="inlineStr">
        <is>
          <t>Threshold After Exam #</t>
        </is>
      </c>
      <c r="C13" s="14" t="n">
        <v>4</v>
      </c>
      <c r="D13" s="2" t="inlineStr">
        <is>
          <t>Category avg enforced after this many exams</t>
        </is>
      </c>
      <c r="E13" s="2" t="inlineStr">
        <is>
          <t>cfgThresholdAfterExam</t>
        </is>
      </c>
    </row>
    <row r="14">
      <c r="B14" s="10" t="inlineStr">
        <is>
          <t>Retest Within (class days)</t>
        </is>
      </c>
      <c r="C14" s="14" t="n">
        <v>5</v>
      </c>
      <c r="D14" s="2" t="inlineStr">
        <is>
          <t>Policy 300.5 retest window</t>
        </is>
      </c>
      <c r="E14" s="2" t="inlineStr">
        <is>
          <t>cfgRetestClassDays</t>
        </is>
      </c>
    </row>
    <row r="15">
      <c r="B15" s="10" t="inlineStr">
        <is>
          <t>Weight: Major</t>
        </is>
      </c>
      <c r="C15" s="34" t="n">
        <v>0.4</v>
      </c>
      <c r="D15" s="2" t="inlineStr">
        <is>
          <t>Major exams weight</t>
        </is>
      </c>
      <c r="E15" s="2" t="inlineStr">
        <is>
          <t>cfgWeightMajor</t>
        </is>
      </c>
    </row>
    <row r="16">
      <c r="B16" s="10" t="inlineStr">
        <is>
          <t>Weight: Minor</t>
        </is>
      </c>
      <c r="C16" s="34" t="n">
        <v>0.3</v>
      </c>
      <c r="D16" s="2" t="inlineStr">
        <is>
          <t>Minor exams weight</t>
        </is>
      </c>
      <c r="E16" s="2" t="inlineStr">
        <is>
          <t>cfgWeightMinor</t>
        </is>
      </c>
    </row>
    <row r="17">
      <c r="B17" s="10" t="inlineStr">
        <is>
          <t>Weight: Spelling</t>
        </is>
      </c>
      <c r="C17" s="34" t="n">
        <v>0.1</v>
      </c>
      <c r="D17" s="2" t="inlineStr">
        <is>
          <t>Spelling weight</t>
        </is>
      </c>
      <c r="E17" s="2" t="inlineStr">
        <is>
          <t>cfgWeightSpelling</t>
        </is>
      </c>
    </row>
    <row r="18">
      <c r="B18" s="10" t="inlineStr">
        <is>
          <t>Weight: Final</t>
        </is>
      </c>
      <c r="C18" s="34" t="n">
        <v>0.2</v>
      </c>
      <c r="D18" s="2" t="inlineStr">
        <is>
          <t>Final exam weight</t>
        </is>
      </c>
      <c r="E18" s="2" t="inlineStr">
        <is>
          <t>cfgWeightFinal</t>
        </is>
      </c>
    </row>
    <row r="19">
      <c r="B19" s="10" t="inlineStr">
        <is>
          <t>Spelling Intervention Avg</t>
        </is>
      </c>
      <c r="C19" s="14" t="n">
        <v>75</v>
      </c>
      <c r="D19" s="2" t="inlineStr">
        <is>
          <t>Below this spelling avg = early intervention (300.4.B)</t>
        </is>
      </c>
      <c r="E19" s="2" t="inlineStr">
        <is>
          <t>cfgSpellInterventionAvg</t>
        </is>
      </c>
    </row>
    <row r="20">
      <c r="B20" s="10" t="inlineStr">
        <is>
          <t>Classroom Cap %</t>
        </is>
      </c>
      <c r="C20" s="35" t="n">
        <v>0.05</v>
      </c>
      <c r="D20" s="2" t="inlineStr">
        <is>
          <t>Attendance cap as % of total minutes</t>
        </is>
      </c>
      <c r="E20" s="2" t="inlineStr">
        <is>
          <t>cfgClassroomCapPct</t>
        </is>
      </c>
    </row>
    <row r="21">
      <c r="B21" s="10" t="inlineStr">
        <is>
          <t>PT Cap (sessions)</t>
        </is>
      </c>
      <c r="C21" s="14" t="n">
        <v>5</v>
      </c>
      <c r="D21" s="2" t="inlineStr">
        <is>
          <t>Max PT sessions missed</t>
        </is>
      </c>
      <c r="E21" s="2" t="inlineStr">
        <is>
          <t>cfgPTCapSessions</t>
        </is>
      </c>
    </row>
    <row r="22">
      <c r="B22" s="10" t="inlineStr">
        <is>
          <t>Attendance Advisory %</t>
        </is>
      </c>
      <c r="C22" s="34" t="n">
        <v>0.6</v>
      </c>
      <c r="D22" s="2" t="inlineStr">
        <is>
          <t>Tier 1 warning at this % of cap</t>
        </is>
      </c>
      <c r="E22" s="2" t="inlineStr">
        <is>
          <t>cfgAttendanceAdvisoryPct</t>
        </is>
      </c>
    </row>
    <row r="23">
      <c r="B23" s="10" t="inlineStr">
        <is>
          <t>Attendance Critical %</t>
        </is>
      </c>
      <c r="C23" s="34" t="n">
        <v>0.8</v>
      </c>
      <c r="D23" s="2" t="inlineStr">
        <is>
          <t>Tier 2 warning at this % of cap</t>
        </is>
      </c>
      <c r="E23" s="2" t="inlineStr">
        <is>
          <t>cfgAttendanceCriticalPct</t>
        </is>
      </c>
    </row>
    <row r="24">
      <c r="B24" s="10" t="inlineStr">
        <is>
          <t>Home Agency (gets all cadets)</t>
        </is>
      </c>
      <c r="C24" s="14" t="inlineStr">
        <is>
          <t>TPD</t>
        </is>
      </c>
      <c r="D24" s="2" t="inlineStr">
        <is>
          <t>Agency code whose email includes every cadet</t>
        </is>
      </c>
      <c r="E24" s="2" t="inlineStr">
        <is>
          <t>cfgHomeAgency</t>
        </is>
      </c>
    </row>
    <row r="25">
      <c r="B25" s="10" t="inlineStr">
        <is>
          <t>Current Exam # (for emails)</t>
        </is>
      </c>
      <c r="C25" s="14" t="n">
        <v>1</v>
      </c>
      <c r="D25" s="2" t="inlineStr">
        <is>
          <t>Sequence # of the exam to email</t>
        </is>
      </c>
      <c r="E25" s="2" t="inlineStr">
        <is>
          <t>cfgCurrentExamNum</t>
        </is>
      </c>
      <c r="F25" s="18">
        <f>IFERROR(MAX(_xlfn._xlws.FILTER(nrES_Seq,(nrES_Rec&lt;&gt;"")*(nrES_Seq&lt;&gt;""))),0)</f>
        <v/>
      </c>
      <c r="G25" s="2">
        <f>IF($F$25=0,"No exam scores posted yet",IF($C$25&gt;$F$25,"CHECK - set to Test "&amp;$C$25&amp;" but data only has Test "&amp;$F$25,IF($F$25&gt;$C$25,"CHECK - data shows Test "&amp;$F$25,"OK")))</f>
        <v/>
      </c>
    </row>
    <row r="26">
      <c r="B26" s="10" t="inlineStr">
        <is>
          <t>Current Spelling # (for emails)</t>
        </is>
      </c>
      <c r="C26" s="14" t="n">
        <v>1</v>
      </c>
      <c r="D26" s="2" t="inlineStr">
        <is>
          <t>Highest spelling test # administered</t>
        </is>
      </c>
      <c r="E26" s="2" t="inlineStr">
        <is>
          <t>cfgCurrentSpellingNum</t>
        </is>
      </c>
      <c r="F26" s="18">
        <f>MAX(SUMPRODUCT(MAX((nrSpellTaken&gt;0)*COLUMN(nrSpellTaken)))-COLUMN(Spelling!$D$1)+1,0)</f>
        <v/>
      </c>
      <c r="G26" s="2">
        <f>IF($C$26&lt;cfgCurrentExamNum,"CHECK - spelling will be OMITTED this run",IF($F$26&gt;$C$26,"CHECK - data shows Spelling "&amp;$F$26,"OK"))</f>
        <v/>
      </c>
    </row>
    <row r="27">
      <c r="B27" s="10" t="inlineStr">
        <is>
          <t>Writing Due Time</t>
        </is>
      </c>
      <c r="C27" s="14" t="inlineStr">
        <is>
          <t>1700</t>
        </is>
      </c>
      <c r="D27" s="2" t="inlineStr">
        <is>
          <t>Due time shown on handouts</t>
        </is>
      </c>
      <c r="E27" s="2" t="inlineStr">
        <is>
          <t>cfgWritingDueTime</t>
        </is>
      </c>
    </row>
    <row r="28">
      <c r="B28" s="10" t="inlineStr">
        <is>
          <t>PT Final Min Points</t>
        </is>
      </c>
      <c r="C28" s="14" t="n">
        <v>0</v>
      </c>
      <c r="D28" s="2" t="inlineStr">
        <is>
          <t>Minimum points to pass final PT (set when rubric arrives)</t>
        </is>
      </c>
      <c r="E28" s="2" t="inlineStr">
        <is>
          <t>cfgPTFinalMinPoints</t>
        </is>
      </c>
    </row>
    <row r="29">
      <c r="B29" s="10" t="inlineStr">
        <is>
          <t>Flag: consecutive exam fails</t>
        </is>
      </c>
      <c r="C29" s="14" t="n">
        <v>2</v>
      </c>
      <c r="D29" s="2" t="inlineStr">
        <is>
          <t>Consecutive graded-exam scores below passing</t>
        </is>
      </c>
      <c r="E29" s="2" t="inlineStr">
        <is>
          <t>cfgFlagConsecFails</t>
        </is>
      </c>
    </row>
    <row r="30">
      <c r="B30" s="10" t="inlineStr">
        <is>
          <t>Flag: grade drop (points)</t>
        </is>
      </c>
      <c r="C30" s="14" t="n">
        <v>10</v>
      </c>
      <c r="D30" s="2" t="inlineStr">
        <is>
          <t>Drop in recorded score vs cadet's prior exam</t>
        </is>
      </c>
      <c r="E30" s="2" t="inlineStr">
        <is>
          <t>cfgFlagGradeDrop</t>
        </is>
      </c>
    </row>
    <row r="31">
      <c r="B31" s="10" t="inlineStr">
        <is>
          <t>Flag: category margin</t>
        </is>
      </c>
      <c r="C31" s="14" t="n">
        <v>5</v>
      </c>
      <c r="D31" s="2" t="inlineStr">
        <is>
          <t>Category avg within this many points of 70</t>
        </is>
      </c>
      <c r="E31" s="2" t="inlineStr">
        <is>
          <t>cfgFlagCategoryMargin</t>
        </is>
      </c>
    </row>
    <row r="32">
      <c r="B32" s="10" t="inlineStr">
        <is>
          <t>Flag: attendance % of cap</t>
        </is>
      </c>
      <c r="C32" s="34" t="n">
        <v>0.6</v>
      </c>
      <c r="D32" s="2" t="inlineStr">
        <is>
          <t>Classroom or PT usage at/over this % of cap</t>
        </is>
      </c>
      <c r="E32" s="2" t="inlineStr">
        <is>
          <t>cfgFlagAttendancePct</t>
        </is>
      </c>
    </row>
    <row r="33">
      <c r="B33" s="10" t="inlineStr">
        <is>
          <t>Flag: open negative incidents</t>
        </is>
      </c>
      <c r="C33" s="14" t="n">
        <v>2</v>
      </c>
      <c r="D33" s="2" t="inlineStr">
        <is>
          <t>Open negative incidents at/above this count</t>
        </is>
      </c>
      <c r="E33" s="2" t="inlineStr">
        <is>
          <t>cfgFlagOpenIncidents</t>
        </is>
      </c>
    </row>
    <row r="34">
      <c r="B34" s="10" t="inlineStr">
        <is>
          <t>Flag: overdue writing</t>
        </is>
      </c>
      <c r="C34" s="14" t="n">
        <v>1</v>
      </c>
      <c r="D34" s="2" t="inlineStr">
        <is>
          <t>Overdue writing assignments at/above this count</t>
        </is>
      </c>
      <c r="E34" s="2" t="inlineStr">
        <is>
          <t>cfgFlagOverdueWriting</t>
        </is>
      </c>
    </row>
    <row r="35">
      <c r="B35" s="10" t="inlineStr">
        <is>
          <t>Classroom Cap (minutes)</t>
        </is>
      </c>
      <c r="C35" s="36">
        <f>ROUND(cfgTotalScheduledMinutes*cfgClassroomCapPct,0)</f>
        <v/>
      </c>
      <c r="D35" s="2" t="inlineStr">
        <is>
          <t>CALCULATED</t>
        </is>
      </c>
      <c r="E35" s="2" t="inlineStr">
        <is>
          <t>cfgClassroomCapMinutes</t>
        </is>
      </c>
    </row>
    <row r="36">
      <c r="B36" s="10" t="inlineStr">
        <is>
          <t>Weights total (must = 100%)</t>
        </is>
      </c>
      <c r="C36" s="37">
        <f>cfgWeightMajor+cfgWeightMinor+cfgWeightSpelling+cfgWeightFinal</f>
        <v/>
      </c>
      <c r="D36" s="2" t="inlineStr">
        <is>
          <t>CALCULATED</t>
        </is>
      </c>
      <c r="E36" s="2" t="inlineStr">
        <is>
          <t>cfgWeightsTotal</t>
        </is>
      </c>
    </row>
    <row r="37"/>
    <row r="38">
      <c r="B38" s="10" t="inlineStr">
        <is>
          <t>Weights check:</t>
        </is>
      </c>
      <c r="C38" s="18">
        <f>IF(ROUND(cfgWeightsTotal,4)=1,"OK","FIX: weights must total 100%")</f>
        <v/>
      </c>
    </row>
    <row r="39"/>
    <row r="40" ht="16" customHeight="1">
      <c r="B40" s="6" t="inlineStr">
        <is>
          <t>Final PT Assessment — Points Rubric (enter the approved chart when received; engine uses it as soon as points are present)</t>
        </is>
      </c>
      <c r="C40" s="7" t="n"/>
      <c r="D40" s="7" t="n"/>
      <c r="E40" s="7" t="n"/>
      <c r="F40" s="7" t="n"/>
      <c r="G40" s="7" t="n"/>
      <c r="H40" s="7" t="n"/>
      <c r="I40" s="7" t="n"/>
    </row>
    <row r="41" ht="26" customHeight="1">
      <c r="B41" s="9" t="inlineStr">
        <is>
          <t>Event</t>
        </is>
      </c>
      <c r="C41" s="9" t="inlineStr">
        <is>
          <t>Standard (baseline)</t>
        </is>
      </c>
      <c r="D41" s="9" t="inlineStr">
        <is>
          <t>Level 1 pts</t>
        </is>
      </c>
      <c r="E41" s="9" t="inlineStr">
        <is>
          <t>Level 2 pts</t>
        </is>
      </c>
      <c r="F41" s="9" t="inlineStr">
        <is>
          <t>Level 3 pts</t>
        </is>
      </c>
      <c r="G41" s="9" t="inlineStr">
        <is>
          <t>Level 4 pts</t>
        </is>
      </c>
      <c r="H41" s="9" t="inlineStr">
        <is>
          <t>Level 5 pts</t>
        </is>
      </c>
      <c r="I41" s="9" t="inlineStr">
        <is>
          <t>Level thresholds (notes)</t>
        </is>
      </c>
    </row>
    <row r="42">
      <c r="B42" s="10" t="inlineStr">
        <is>
          <t>Bench Press</t>
        </is>
      </c>
      <c r="C42" s="2" t="inlineStr">
        <is>
          <t>62% of body weight (1 rep)</t>
        </is>
      </c>
      <c r="D42" s="19" t="n"/>
      <c r="E42" s="19" t="n"/>
      <c r="F42" s="19" t="n"/>
      <c r="G42" s="19" t="n"/>
      <c r="H42" s="19" t="n"/>
      <c r="I42" s="19" t="n"/>
    </row>
    <row r="43">
      <c r="B43" s="10" t="inlineStr">
        <is>
          <t>Vertical Jump</t>
        </is>
      </c>
      <c r="C43" s="2" t="inlineStr">
        <is>
          <t>14.5 inches</t>
        </is>
      </c>
      <c r="D43" s="19" t="n"/>
      <c r="E43" s="19" t="n"/>
      <c r="F43" s="19" t="n"/>
      <c r="G43" s="19" t="n"/>
      <c r="H43" s="19" t="n"/>
      <c r="I43" s="19" t="n"/>
    </row>
    <row r="44">
      <c r="B44" s="10" t="inlineStr">
        <is>
          <t>Push-ups (1 min)</t>
        </is>
      </c>
      <c r="C44" s="2" t="inlineStr">
        <is>
          <t>18 reps</t>
        </is>
      </c>
      <c r="D44" s="19" t="n"/>
      <c r="E44" s="19" t="n"/>
      <c r="F44" s="19" t="n"/>
      <c r="G44" s="19" t="n"/>
      <c r="H44" s="19" t="n"/>
      <c r="I44" s="19" t="n"/>
    </row>
    <row r="45">
      <c r="B45" s="10" t="inlineStr">
        <is>
          <t>Sit-ups (1 min)</t>
        </is>
      </c>
      <c r="C45" s="2" t="inlineStr">
        <is>
          <t>16 reps</t>
        </is>
      </c>
      <c r="D45" s="19" t="n"/>
      <c r="E45" s="19" t="n"/>
      <c r="F45" s="19" t="n"/>
      <c r="G45" s="19" t="n"/>
      <c r="H45" s="19" t="n"/>
      <c r="I45" s="19" t="n"/>
    </row>
    <row r="46">
      <c r="B46" s="10" t="inlineStr">
        <is>
          <t>Illinois Agility</t>
        </is>
      </c>
      <c r="C46" s="2" t="inlineStr">
        <is>
          <t>under 22.0 seconds</t>
        </is>
      </c>
      <c r="D46" s="19" t="n"/>
      <c r="E46" s="19" t="n"/>
      <c r="F46" s="19" t="n"/>
      <c r="G46" s="19" t="n"/>
      <c r="H46" s="19" t="n"/>
      <c r="I46" s="19" t="n"/>
    </row>
    <row r="47">
      <c r="B47" s="10" t="inlineStr">
        <is>
          <t>1.5 Mile Run</t>
        </is>
      </c>
      <c r="C47" s="2" t="inlineStr">
        <is>
          <t>18:48 or less</t>
        </is>
      </c>
      <c r="D47" s="19" t="n"/>
      <c r="E47" s="19" t="n"/>
      <c r="F47" s="19" t="n"/>
      <c r="G47" s="19" t="n"/>
      <c r="H47" s="19" t="n"/>
      <c r="I47" s="19" t="n"/>
    </row>
    <row r="48">
      <c r="B48" s="10" t="inlineStr">
        <is>
          <t>300 Meter Run</t>
        </is>
      </c>
      <c r="C48" s="2" t="inlineStr">
        <is>
          <t>76 seconds or less</t>
        </is>
      </c>
      <c r="D48" s="19" t="n"/>
      <c r="E48" s="19" t="n"/>
      <c r="F48" s="19" t="n"/>
      <c r="G48" s="19" t="n"/>
      <c r="H48" s="19" t="n"/>
      <c r="I48" s="19" t="n"/>
    </row>
  </sheetData>
  <mergeCells count="1">
    <mergeCell ref="B40:I40"/>
  </mergeCells>
  <pageMargins left="0.75" right="0.75" top="1" bottom="1" header="0.5" footer="0.5"/>
</worksheet>
</file>

<file path=xl/worksheets/sheet30.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row r="2"/>
    <row r="3"/>
    <row r="4">
      <c r="B4" s="8" t="inlineStr">
        <is>
          <t>These feed every dropdown. Add items at the bottom of a column, then extend the named range (Formulas &gt; Name Manager) if you exceed the seeded rows.</t>
        </is>
      </c>
    </row>
    <row r="5" ht="26" customHeight="1">
      <c r="B5" s="9" t="inlineStr">
        <is>
          <t>Yes/No</t>
        </is>
      </c>
      <c r="C5" s="9" t="inlineStr">
        <is>
          <t>Cadet Status</t>
        </is>
      </c>
      <c r="D5" s="9" t="inlineStr">
        <is>
          <t>Exam Type</t>
        </is>
      </c>
      <c r="E5" s="9" t="inlineStr">
        <is>
          <t>Attendance Event</t>
        </is>
      </c>
      <c r="F5" s="9" t="inlineStr">
        <is>
          <t>Reason</t>
        </is>
      </c>
      <c r="G5" s="9" t="inlineStr">
        <is>
          <t>Documentation</t>
        </is>
      </c>
      <c r="H5" s="9" t="inlineStr">
        <is>
          <t>Excused?</t>
        </is>
      </c>
      <c r="I5" s="9" t="inlineStr">
        <is>
          <t>Makeup Type</t>
        </is>
      </c>
      <c r="J5" s="9" t="inlineStr">
        <is>
          <t>Scoring Mode</t>
        </is>
      </c>
      <c r="K5" s="9" t="inlineStr">
        <is>
          <t>Skill Result</t>
        </is>
      </c>
      <c r="L5" s="9" t="inlineStr">
        <is>
          <t>Incident Direction</t>
        </is>
      </c>
      <c r="M5" s="9" t="inlineStr">
        <is>
          <t>Severity</t>
        </is>
      </c>
      <c r="N5" s="9" t="inlineStr">
        <is>
          <t>Resolution</t>
        </is>
      </c>
      <c r="O5" s="9" t="inlineStr">
        <is>
          <t>Assignment Type</t>
        </is>
      </c>
      <c r="P5" s="9" t="inlineStr">
        <is>
          <t>Submission</t>
        </is>
      </c>
      <c r="Q5" s="9" t="inlineStr">
        <is>
          <t>Attempt #</t>
        </is>
      </c>
      <c r="R5" s="9" t="inlineStr">
        <is>
          <t>IssueType</t>
        </is>
      </c>
      <c r="S5" s="9" t="inlineStr">
        <is>
          <t>Counseling Type</t>
        </is>
      </c>
      <c r="T5" s="9" t="inlineStr">
        <is>
          <t>Medical Status</t>
        </is>
      </c>
      <c r="U5" s="9" t="inlineStr">
        <is>
          <t>PT Session</t>
        </is>
      </c>
      <c r="V5" s="9" t="inlineStr">
        <is>
          <t>Award</t>
        </is>
      </c>
      <c r="W5" s="9" t="inlineStr">
        <is>
          <t>Instructor Type</t>
        </is>
      </c>
      <c r="X5" s="9" t="inlineStr">
        <is>
          <t>Materials Status</t>
        </is>
      </c>
      <c r="Y5" s="9" t="inlineStr">
        <is>
          <t>Requirement Source</t>
        </is>
      </c>
      <c r="Z5" s="9" t="inlineStr">
        <is>
          <t>Review Type</t>
        </is>
      </c>
      <c r="AA5" s="9" t="inlineStr">
        <is>
          <t>Review Outcome</t>
        </is>
      </c>
    </row>
    <row r="6">
      <c r="B6" s="14" t="inlineStr">
        <is>
          <t>Yes</t>
        </is>
      </c>
      <c r="C6" s="14" t="inlineStr">
        <is>
          <t>Active</t>
        </is>
      </c>
      <c r="D6" s="14" t="inlineStr">
        <is>
          <t>Major</t>
        </is>
      </c>
      <c r="E6" s="14" t="inlineStr">
        <is>
          <t>Tardy</t>
        </is>
      </c>
      <c r="F6" s="14" t="inlineStr">
        <is>
          <t>LE Work</t>
        </is>
      </c>
      <c r="G6" s="14" t="inlineStr">
        <is>
          <t>Not Required</t>
        </is>
      </c>
      <c r="H6" s="14" t="inlineStr">
        <is>
          <t>Counted</t>
        </is>
      </c>
      <c r="I6" s="14" t="inlineStr">
        <is>
          <t>Classroom</t>
        </is>
      </c>
      <c r="J6" s="14" t="inlineStr">
        <is>
          <t>Score</t>
        </is>
      </c>
      <c r="K6" s="14" t="inlineStr">
        <is>
          <t>Pass</t>
        </is>
      </c>
      <c r="L6" s="14" t="inlineStr">
        <is>
          <t>Positive</t>
        </is>
      </c>
      <c r="M6" s="14" t="inlineStr">
        <is>
          <t>Informational</t>
        </is>
      </c>
      <c r="N6" s="14" t="inlineStr">
        <is>
          <t>Open</t>
        </is>
      </c>
      <c r="O6" s="14" t="inlineStr">
        <is>
          <t>Report</t>
        </is>
      </c>
      <c r="P6" s="14" t="inlineStr">
        <is>
          <t>Not Submitted</t>
        </is>
      </c>
      <c r="Q6" s="14" t="inlineStr">
        <is>
          <t>1</t>
        </is>
      </c>
      <c r="R6" s="14" t="inlineStr">
        <is>
          <t>Absence</t>
        </is>
      </c>
      <c r="S6" s="14" t="inlineStr">
        <is>
          <t>Verbal Counseling</t>
        </is>
      </c>
      <c r="T6" s="14" t="inlineStr">
        <is>
          <t>Cleared - Full Duty</t>
        </is>
      </c>
      <c r="U6" s="14" t="inlineStr">
        <is>
          <t>Baseline</t>
        </is>
      </c>
      <c r="V6" s="14" t="inlineStr">
        <is>
          <t>Valedictorian</t>
        </is>
      </c>
      <c r="W6" s="14" t="inlineStr">
        <is>
          <t>TCOLE Instructor</t>
        </is>
      </c>
      <c r="X6" s="14" t="inlineStr">
        <is>
          <t>On File</t>
        </is>
      </c>
      <c r="Y6" s="14" t="inlineStr">
        <is>
          <t>TCOLE Rule</t>
        </is>
      </c>
      <c r="Z6" s="14" t="inlineStr">
        <is>
          <t>Dismissal Review</t>
        </is>
      </c>
      <c r="AA6" s="14" t="inlineStr">
        <is>
          <t>Pending</t>
        </is>
      </c>
    </row>
    <row r="7">
      <c r="B7" s="14" t="inlineStr">
        <is>
          <t>No</t>
        </is>
      </c>
      <c r="C7" s="14" t="inlineStr">
        <is>
          <t>Separated</t>
        </is>
      </c>
      <c r="D7" s="14" t="inlineStr">
        <is>
          <t>Minor</t>
        </is>
      </c>
      <c r="E7" s="14" t="inlineStr">
        <is>
          <t>Early Departure</t>
        </is>
      </c>
      <c r="F7" s="14" t="inlineStr">
        <is>
          <t>Personal</t>
        </is>
      </c>
      <c r="G7" s="14" t="inlineStr">
        <is>
          <t>Pending</t>
        </is>
      </c>
      <c r="H7" s="14" t="inlineStr">
        <is>
          <t>Excused</t>
        </is>
      </c>
      <c r="I7" s="14" t="inlineStr">
        <is>
          <t>PT</t>
        </is>
      </c>
      <c r="J7" s="14" t="inlineStr">
        <is>
          <t>Pass/Fail</t>
        </is>
      </c>
      <c r="K7" s="14" t="inlineStr">
        <is>
          <t>Fail</t>
        </is>
      </c>
      <c r="L7" s="14" t="inlineStr">
        <is>
          <t>Negative</t>
        </is>
      </c>
      <c r="M7" s="14" t="inlineStr">
        <is>
          <t>Minor</t>
        </is>
      </c>
      <c r="N7" s="14" t="inlineStr">
        <is>
          <t>In Review</t>
        </is>
      </c>
      <c r="O7" s="14" t="inlineStr">
        <is>
          <t>Memo</t>
        </is>
      </c>
      <c r="P7" s="14" t="inlineStr">
        <is>
          <t>Submitted</t>
        </is>
      </c>
      <c r="Q7" s="14" t="inlineStr">
        <is>
          <t>2</t>
        </is>
      </c>
      <c r="R7" s="14" t="inlineStr">
        <is>
          <t>Failure to Train</t>
        </is>
      </c>
      <c r="S7" s="14" t="inlineStr">
        <is>
          <t>Written Counseling</t>
        </is>
      </c>
      <c r="T7" s="14" t="inlineStr">
        <is>
          <t>Restricted</t>
        </is>
      </c>
      <c r="U7" s="14" t="inlineStr">
        <is>
          <t>Midpoint</t>
        </is>
      </c>
      <c r="V7" s="14" t="inlineStr">
        <is>
          <t>Physical Fitness</t>
        </is>
      </c>
      <c r="W7" s="14" t="inlineStr">
        <is>
          <t>SME (Letter on File)</t>
        </is>
      </c>
      <c r="X7" s="14" t="inlineStr">
        <is>
          <t>Requested</t>
        </is>
      </c>
      <c r="Y7" s="14" t="inlineStr">
        <is>
          <t>Academy Policy</t>
        </is>
      </c>
      <c r="Z7" s="14" t="inlineStr">
        <is>
          <t>Academic Review</t>
        </is>
      </c>
      <c r="AA7" s="14" t="inlineStr">
        <is>
          <t>Retained</t>
        </is>
      </c>
    </row>
    <row r="8">
      <c r="C8" s="14" t="inlineStr">
        <is>
          <t>Graduated</t>
        </is>
      </c>
      <c r="D8" s="14" t="inlineStr">
        <is>
          <t>Spelling</t>
        </is>
      </c>
      <c r="E8" s="14" t="inlineStr">
        <is>
          <t>Late Arrival</t>
        </is>
      </c>
      <c r="F8" s="14" t="inlineStr">
        <is>
          <t>Medical</t>
        </is>
      </c>
      <c r="G8" s="14" t="inlineStr">
        <is>
          <t>Received</t>
        </is>
      </c>
      <c r="I8" s="14" t="inlineStr">
        <is>
          <t>Skills</t>
        </is>
      </c>
      <c r="K8" s="14" t="inlineStr">
        <is>
          <t>Pending</t>
        </is>
      </c>
      <c r="L8" s="14" t="inlineStr">
        <is>
          <t>Informational</t>
        </is>
      </c>
      <c r="M8" s="14" t="inlineStr">
        <is>
          <t>Moderate</t>
        </is>
      </c>
      <c r="N8" s="14" t="inlineStr">
        <is>
          <t>Resolved</t>
        </is>
      </c>
      <c r="O8" s="14" t="inlineStr">
        <is>
          <t>Essay</t>
        </is>
      </c>
      <c r="P8" s="14" t="inlineStr">
        <is>
          <t>Late</t>
        </is>
      </c>
      <c r="Q8" s="14" t="inlineStr">
        <is>
          <t>3</t>
        </is>
      </c>
      <c r="R8" s="14" t="inlineStr">
        <is>
          <t>Deficiency</t>
        </is>
      </c>
      <c r="S8" s="14" t="inlineStr">
        <is>
          <t>Tutoring</t>
        </is>
      </c>
      <c r="T8" s="14" t="inlineStr">
        <is>
          <t>Pending Eval</t>
        </is>
      </c>
      <c r="U8" s="14" t="inlineStr">
        <is>
          <t>Final</t>
        </is>
      </c>
      <c r="V8" s="14" t="inlineStr">
        <is>
          <t>Top Gun</t>
        </is>
      </c>
      <c r="W8" s="14" t="inlineStr">
        <is>
          <t>SME (Letter Needed)</t>
        </is>
      </c>
      <c r="X8" s="14" t="inlineStr">
        <is>
          <t>Missing</t>
        </is>
      </c>
      <c r="Z8" s="14" t="inlineStr">
        <is>
          <t>Conduct Review</t>
        </is>
      </c>
      <c r="AA8" s="14" t="inlineStr">
        <is>
          <t>Separated</t>
        </is>
      </c>
    </row>
    <row r="9">
      <c r="C9" s="14" t="inlineStr">
        <is>
          <t>On Leave</t>
        </is>
      </c>
      <c r="D9" s="14" t="inlineStr">
        <is>
          <t>Final</t>
        </is>
      </c>
      <c r="E9" s="14" t="inlineStr">
        <is>
          <t>Removed From Class</t>
        </is>
      </c>
      <c r="F9" s="14" t="inlineStr">
        <is>
          <t>Military</t>
        </is>
      </c>
      <c r="I9" s="14" t="inlineStr">
        <is>
          <t>Admin Approved</t>
        </is>
      </c>
      <c r="M9" s="14" t="inlineStr">
        <is>
          <t>Major</t>
        </is>
      </c>
      <c r="N9" s="14" t="inlineStr">
        <is>
          <t>Closed</t>
        </is>
      </c>
      <c r="O9" s="14" t="inlineStr">
        <is>
          <t>Affidavit</t>
        </is>
      </c>
      <c r="P9" s="14" t="inlineStr">
        <is>
          <t>Resubmitted</t>
        </is>
      </c>
      <c r="Q9" s="14" t="inlineStr">
        <is>
          <t>4</t>
        </is>
      </c>
      <c r="R9" s="14" t="inlineStr">
        <is>
          <t>Conduct</t>
        </is>
      </c>
      <c r="S9" s="14" t="inlineStr">
        <is>
          <t>Remedial Training</t>
        </is>
      </c>
      <c r="T9" s="14" t="inlineStr">
        <is>
          <t>Expired</t>
        </is>
      </c>
      <c r="V9" s="14" t="inlineStr">
        <is>
          <t>Grit</t>
        </is>
      </c>
      <c r="W9" s="14" t="inlineStr">
        <is>
          <t>Guest/Outside</t>
        </is>
      </c>
      <c r="X9" s="14" t="inlineStr">
        <is>
          <t>N/A</t>
        </is>
      </c>
      <c r="AA9" s="14" t="inlineStr">
        <is>
          <t>Retained w/ Plan</t>
        </is>
      </c>
    </row>
    <row r="10">
      <c r="E10" s="14" t="inlineStr">
        <is>
          <t>Absent Full Day</t>
        </is>
      </c>
      <c r="F10" s="14" t="inlineStr">
        <is>
          <t>Disciplinary</t>
        </is>
      </c>
      <c r="M10" s="14" t="inlineStr">
        <is>
          <t>Critical</t>
        </is>
      </c>
      <c r="O10" s="14" t="inlineStr">
        <is>
          <t>Other</t>
        </is>
      </c>
      <c r="Q10" s="14" t="inlineStr">
        <is>
          <t>5</t>
        </is>
      </c>
      <c r="R10" s="14" t="inlineStr">
        <is>
          <t>Injury</t>
        </is>
      </c>
      <c r="S10" s="14" t="inlineStr">
        <is>
          <t>Agency Notification</t>
        </is>
      </c>
    </row>
    <row r="11">
      <c r="E11" s="14" t="inlineStr">
        <is>
          <t>Absent Partial Day</t>
        </is>
      </c>
      <c r="F11" s="14" t="inlineStr">
        <is>
          <t>Other</t>
        </is>
      </c>
      <c r="R11" s="14" t="inlineStr">
        <is>
          <t>Equipment</t>
        </is>
      </c>
      <c r="S11" s="14" t="inlineStr">
        <is>
          <t>Performance Plan</t>
        </is>
      </c>
    </row>
    <row r="12">
      <c r="E12" s="14" t="inlineStr">
        <is>
          <t>PT Missed</t>
        </is>
      </c>
      <c r="R12" s="14" t="inlineStr">
        <is>
          <t>Other</t>
        </is>
      </c>
      <c r="S12" s="14" t="inlineStr">
        <is>
          <t>Commendation</t>
        </is>
      </c>
    </row>
    <row r="13">
      <c r="E13" s="14" t="inlineStr">
        <is>
          <t>PT Modified</t>
        </is>
      </c>
      <c r="S13" s="14" t="inlineStr">
        <is>
          <t>Other</t>
        </is>
      </c>
    </row>
    <row r="14">
      <c r="E14" s="14" t="inlineStr">
        <is>
          <t>PT Refused</t>
        </is>
      </c>
    </row>
  </sheetData>
  <pageMargins left="0.75" right="0.75" top="1" bottom="1" header="0.5" footer="0.5"/>
</worksheet>
</file>

<file path=xl/worksheets/sheet31.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row r="2"/>
    <row r="3"/>
    <row r="4">
      <c r="B4" s="8" t="inlineStr">
        <is>
          <t>AgencyID is the short code used on Cadets. 'Last Email Sent' is calculated from EmailLog and drives the since-last-email discipline digest.</t>
        </is>
      </c>
    </row>
    <row r="5" ht="26" customHeight="1">
      <c r="B5" s="9" t="inlineStr">
        <is>
          <t>AgencyID</t>
        </is>
      </c>
      <c r="C5" s="9" t="inlineStr">
        <is>
          <t>AgencyName</t>
        </is>
      </c>
      <c r="D5" s="9" t="inlineStr">
        <is>
          <t>Primary Contact</t>
        </is>
      </c>
      <c r="E5" s="9" t="inlineStr">
        <is>
          <t>Email</t>
        </is>
      </c>
      <c r="F5" s="9" t="inlineStr">
        <is>
          <t>Phone</t>
        </is>
      </c>
      <c r="G5" s="9" t="inlineStr">
        <is>
          <t>Mailing Address</t>
        </is>
      </c>
      <c r="H5" s="9" t="inlineStr">
        <is>
          <t>ActiveYN</t>
        </is>
      </c>
      <c r="I5" s="9" t="inlineStr">
        <is>
          <t>Last Email Sent</t>
        </is>
      </c>
    </row>
    <row r="6">
      <c r="B6" s="14" t="inlineStr">
        <is>
          <t>TPD</t>
        </is>
      </c>
      <c r="C6" s="14" t="inlineStr">
        <is>
          <t>Tyler PD</t>
        </is>
      </c>
      <c r="D6" s="14" t="inlineStr">
        <is>
          <t>Eddie Sheffield</t>
        </is>
      </c>
      <c r="E6" s="14" t="inlineStr">
        <is>
          <t>esheffield@tylertexas.com; dshafer@tylertexas.com; blockhart@tylertexas.com; jmoore@tylertexas.com</t>
        </is>
      </c>
      <c r="F6" s="14" t="inlineStr">
        <is>
          <t>903-531-1090</t>
        </is>
      </c>
      <c r="G6" s="14" t="inlineStr">
        <is>
          <t>711 W Ferguson St, Tyler TX</t>
        </is>
      </c>
      <c r="H6" s="14" t="inlineStr">
        <is>
          <t>Yes</t>
        </is>
      </c>
      <c r="I6" s="17">
        <f>IF($B6="","",IFERROR(_xlfn.MAXIFS(nrELdate,nrELagency,$B6),""))</f>
        <v/>
      </c>
    </row>
    <row r="7">
      <c r="B7" s="14" t="inlineStr">
        <is>
          <t>TFD</t>
        </is>
      </c>
      <c r="C7" s="14" t="inlineStr">
        <is>
          <t>Tyler Fire Marshal</t>
        </is>
      </c>
      <c r="D7" s="14" t="inlineStr">
        <is>
          <t>Joey Hooten</t>
        </is>
      </c>
      <c r="E7" s="14" t="inlineStr">
        <is>
          <t>jhooton@tylertexas.com</t>
        </is>
      </c>
      <c r="F7" s="14" t="inlineStr"/>
      <c r="G7" s="14" t="inlineStr">
        <is>
          <t>227 N Spring Ave, Tyler TX</t>
        </is>
      </c>
      <c r="H7" s="14" t="inlineStr">
        <is>
          <t>No</t>
        </is>
      </c>
      <c r="I7" s="17">
        <f>IF($B7="","",IFERROR(_xlfn.MAXIFS(nrELdate,nrELagency,$B7),""))</f>
        <v/>
      </c>
    </row>
    <row r="8">
      <c r="B8" s="14" t="inlineStr">
        <is>
          <t>APD</t>
        </is>
      </c>
      <c r="C8" s="14" t="inlineStr">
        <is>
          <t>Athens PD</t>
        </is>
      </c>
      <c r="D8" s="14" t="inlineStr">
        <is>
          <t>B. Lee</t>
        </is>
      </c>
      <c r="E8" s="14" t="inlineStr">
        <is>
          <t>blee@athenstx.gov</t>
        </is>
      </c>
      <c r="F8" s="14" t="inlineStr"/>
      <c r="G8" s="14" t="inlineStr">
        <is>
          <t>110 Wildcat Dr, Whitehouse TX</t>
        </is>
      </c>
      <c r="H8" s="14" t="inlineStr">
        <is>
          <t>Yes</t>
        </is>
      </c>
      <c r="I8" s="17">
        <f>IF($B8="","",IFERROR(_xlfn.MAXIFS(nrELdate,nrELagency,$B8),""))</f>
        <v/>
      </c>
    </row>
    <row r="9">
      <c r="B9" s="14" t="inlineStr">
        <is>
          <t>JPD</t>
        </is>
      </c>
      <c r="C9" s="14" t="inlineStr">
        <is>
          <t>Jacksonville PD</t>
        </is>
      </c>
      <c r="D9" s="14" t="inlineStr">
        <is>
          <t>Steven Markasky</t>
        </is>
      </c>
      <c r="E9" s="14" t="inlineStr">
        <is>
          <t>steven.markasky@jacksonvilletx.org</t>
        </is>
      </c>
      <c r="F9" s="14" t="inlineStr"/>
      <c r="G9" s="14" t="inlineStr"/>
      <c r="H9" s="14" t="inlineStr">
        <is>
          <t>Yes</t>
        </is>
      </c>
      <c r="I9" s="17">
        <f>IF($B9="","",IFERROR(_xlfn.MAXIFS(nrELdate,nrELagency,$B9),""))</f>
        <v/>
      </c>
    </row>
    <row r="10">
      <c r="B10" s="14" t="inlineStr">
        <is>
          <t>LPD</t>
        </is>
      </c>
      <c r="C10" s="14" t="inlineStr">
        <is>
          <t>Longview PD</t>
        </is>
      </c>
      <c r="D10" s="14" t="inlineStr">
        <is>
          <t>Shannon Purdon</t>
        </is>
      </c>
      <c r="E10" s="14" t="inlineStr">
        <is>
          <t>Jpurdon@longviewtexas.com</t>
        </is>
      </c>
      <c r="F10" s="14" t="inlineStr"/>
      <c r="G10" s="14" t="inlineStr"/>
      <c r="H10" s="14" t="inlineStr">
        <is>
          <t>Yes</t>
        </is>
      </c>
      <c r="I10" s="17">
        <f>IF($B10="","",IFERROR(_xlfn.MAXIFS(nrELdate,nrELagency,$B10),""))</f>
        <v/>
      </c>
    </row>
    <row r="11">
      <c r="B11" s="14" t="inlineStr">
        <is>
          <t>TJCPD</t>
        </is>
      </c>
      <c r="C11" s="14" t="inlineStr">
        <is>
          <t>TJC PD</t>
        </is>
      </c>
      <c r="D11" s="14" t="inlineStr">
        <is>
          <t>Michael Seale</t>
        </is>
      </c>
      <c r="E11" s="14" t="inlineStr">
        <is>
          <t>michael.seale@tjc.edu</t>
        </is>
      </c>
      <c r="F11" s="14" t="inlineStr"/>
      <c r="G11" s="14" t="inlineStr"/>
      <c r="H11" s="14" t="inlineStr">
        <is>
          <t>No</t>
        </is>
      </c>
      <c r="I11" s="17">
        <f>IF($B11="","",IFERROR(_xlfn.MAXIFS(nrELdate,nrELagency,$B11),""))</f>
        <v/>
      </c>
    </row>
    <row r="12">
      <c r="B12" s="14" t="inlineStr">
        <is>
          <t>WPD</t>
        </is>
      </c>
      <c r="C12" s="14" t="inlineStr">
        <is>
          <t>Whitehouse PD</t>
        </is>
      </c>
      <c r="D12" s="14" t="inlineStr">
        <is>
          <t>Brian Tomlin</t>
        </is>
      </c>
      <c r="E12" s="14" t="inlineStr">
        <is>
          <t>btomlin@whitehousetx.org</t>
        </is>
      </c>
      <c r="F12" s="14" t="inlineStr"/>
      <c r="G12" s="14" t="inlineStr"/>
      <c r="H12" s="14" t="inlineStr">
        <is>
          <t>Yes</t>
        </is>
      </c>
      <c r="I12" s="17">
        <f>IF($B12="","",IFERROR(_xlfn.MAXIFS(nrELdate,nrELagency,$B12),""))</f>
        <v/>
      </c>
    </row>
    <row r="13">
      <c r="B13" s="14" t="inlineStr">
        <is>
          <t>ArpPD</t>
        </is>
      </c>
      <c r="C13" s="14" t="inlineStr">
        <is>
          <t>Arp PD</t>
        </is>
      </c>
      <c r="D13" s="14" t="inlineStr"/>
      <c r="E13" s="14" t="inlineStr"/>
      <c r="F13" s="14" t="inlineStr"/>
      <c r="G13" s="14" t="inlineStr">
        <is>
          <t>105 Cannery Row, Lindale TX</t>
        </is>
      </c>
      <c r="H13" s="14" t="inlineStr">
        <is>
          <t>No</t>
        </is>
      </c>
      <c r="I13" s="17">
        <f>IF($B13="","",IFERROR(_xlfn.MAXIFS(nrELdate,nrELagency,$B13),""))</f>
        <v/>
      </c>
    </row>
    <row r="14">
      <c r="B14" s="14" t="n"/>
      <c r="C14" s="14" t="n"/>
      <c r="D14" s="14" t="n"/>
      <c r="E14" s="14" t="n"/>
      <c r="F14" s="14" t="n"/>
      <c r="G14" s="14" t="n"/>
      <c r="H14" s="14" t="n"/>
      <c r="I14" s="17">
        <f>IF($B14="","",IFERROR(_xlfn.MAXIFS(nrELdate,nrELagency,$B14),""))</f>
        <v/>
      </c>
    </row>
    <row r="15">
      <c r="B15" s="14" t="n"/>
      <c r="C15" s="14" t="n"/>
      <c r="D15" s="14" t="n"/>
      <c r="E15" s="14" t="n"/>
      <c r="F15" s="14" t="n"/>
      <c r="G15" s="14" t="n"/>
      <c r="H15" s="14" t="n"/>
      <c r="I15" s="17">
        <f>IF($B15="","",IFERROR(_xlfn.MAXIFS(nrELdate,nrELagency,$B15),""))</f>
        <v/>
      </c>
    </row>
    <row r="16">
      <c r="B16" s="14" t="n"/>
      <c r="C16" s="14" t="n"/>
      <c r="D16" s="14" t="n"/>
      <c r="E16" s="14" t="n"/>
      <c r="F16" s="14" t="n"/>
      <c r="G16" s="14" t="n"/>
      <c r="H16" s="14" t="n"/>
      <c r="I16" s="17">
        <f>IF($B16="","",IFERROR(_xlfn.MAXIFS(nrELdate,nrELagency,$B16),""))</f>
        <v/>
      </c>
    </row>
    <row r="17">
      <c r="B17" s="14" t="n"/>
      <c r="C17" s="14" t="n"/>
      <c r="D17" s="14" t="n"/>
      <c r="E17" s="14" t="n"/>
      <c r="F17" s="14" t="n"/>
      <c r="G17" s="14" t="n"/>
      <c r="H17" s="14" t="n"/>
      <c r="I17" s="17">
        <f>IF($B17="","",IFERROR(_xlfn.MAXIFS(nrELdate,nrELagency,$B17),""))</f>
        <v/>
      </c>
    </row>
    <row r="18">
      <c r="B18" s="14" t="n"/>
      <c r="C18" s="14" t="n"/>
      <c r="D18" s="14" t="n"/>
      <c r="E18" s="14" t="n"/>
      <c r="F18" s="14" t="n"/>
      <c r="G18" s="14" t="n"/>
      <c r="H18" s="14" t="n"/>
      <c r="I18" s="17">
        <f>IF($B18="","",IFERROR(_xlfn.MAXIFS(nrELdate,nrELagency,$B18),""))</f>
        <v/>
      </c>
    </row>
    <row r="19">
      <c r="B19" s="14" t="n"/>
      <c r="C19" s="14" t="n"/>
      <c r="D19" s="14" t="n"/>
      <c r="E19" s="14" t="n"/>
      <c r="F19" s="14" t="n"/>
      <c r="G19" s="14" t="n"/>
      <c r="H19" s="14" t="n"/>
      <c r="I19" s="17">
        <f>IF($B19="","",IFERROR(_xlfn.MAXIFS(nrELdate,nrELagency,$B19),""))</f>
        <v/>
      </c>
    </row>
    <row r="20">
      <c r="B20" s="14" t="n"/>
      <c r="C20" s="14" t="n"/>
      <c r="D20" s="14" t="n"/>
      <c r="E20" s="14" t="n"/>
      <c r="F20" s="14" t="n"/>
      <c r="G20" s="14" t="n"/>
      <c r="H20" s="14" t="n"/>
      <c r="I20" s="17">
        <f>IF($B20="","",IFERROR(_xlfn.MAXIFS(nrELdate,nrELagency,$B20),""))</f>
        <v/>
      </c>
    </row>
    <row r="21">
      <c r="B21" s="14" t="n"/>
      <c r="C21" s="14" t="n"/>
      <c r="D21" s="14" t="n"/>
      <c r="E21" s="14" t="n"/>
      <c r="F21" s="14" t="n"/>
      <c r="G21" s="14" t="n"/>
      <c r="H21" s="14" t="n"/>
      <c r="I21" s="17">
        <f>IF($B21="","",IFERROR(_xlfn.MAXIFS(nrELdate,nrELagency,$B21),""))</f>
        <v/>
      </c>
    </row>
    <row r="22">
      <c r="B22" s="14" t="n"/>
      <c r="C22" s="14" t="n"/>
      <c r="D22" s="14" t="n"/>
      <c r="E22" s="14" t="n"/>
      <c r="F22" s="14" t="n"/>
      <c r="G22" s="14" t="n"/>
      <c r="H22" s="14" t="n"/>
      <c r="I22" s="17">
        <f>IF($B22="","",IFERROR(_xlfn.MAXIFS(nrELdate,nrELagency,$B22),""))</f>
        <v/>
      </c>
    </row>
    <row r="23">
      <c r="B23" s="14" t="n"/>
      <c r="C23" s="14" t="n"/>
      <c r="D23" s="14" t="n"/>
      <c r="E23" s="14" t="n"/>
      <c r="F23" s="14" t="n"/>
      <c r="G23" s="14" t="n"/>
      <c r="H23" s="14" t="n"/>
      <c r="I23" s="17">
        <f>IF($B23="","",IFERROR(_xlfn.MAXIFS(nrELdate,nrELagency,$B23),""))</f>
        <v/>
      </c>
    </row>
    <row r="24">
      <c r="B24" s="14" t="n"/>
      <c r="C24" s="14" t="n"/>
      <c r="D24" s="14" t="n"/>
      <c r="E24" s="14" t="n"/>
      <c r="F24" s="14" t="n"/>
      <c r="G24" s="14" t="n"/>
      <c r="H24" s="14" t="n"/>
      <c r="I24" s="17">
        <f>IF($B24="","",IFERROR(_xlfn.MAXIFS(nrELdate,nrELagency,$B24),""))</f>
        <v/>
      </c>
    </row>
    <row r="25">
      <c r="B25" s="14" t="n"/>
      <c r="C25" s="14" t="n"/>
      <c r="D25" s="14" t="n"/>
      <c r="E25" s="14" t="n"/>
      <c r="F25" s="14" t="n"/>
      <c r="G25" s="14" t="n"/>
      <c r="H25" s="14" t="n"/>
      <c r="I25" s="17">
        <f>IF($B25="","",IFERROR(_xlfn.MAXIFS(nrELdate,nrELagency,$B25),""))</f>
        <v/>
      </c>
    </row>
    <row r="26">
      <c r="B26" s="14" t="n"/>
      <c r="C26" s="14" t="n"/>
      <c r="D26" s="14" t="n"/>
      <c r="E26" s="14" t="n"/>
      <c r="F26" s="14" t="n"/>
      <c r="G26" s="14" t="n"/>
      <c r="H26" s="14" t="n"/>
      <c r="I26" s="17">
        <f>IF($B26="","",IFERROR(_xlfn.MAXIFS(nrELdate,nrELagency,$B26),""))</f>
        <v/>
      </c>
    </row>
    <row r="27">
      <c r="B27" s="14" t="n"/>
      <c r="C27" s="14" t="n"/>
      <c r="D27" s="14" t="n"/>
      <c r="E27" s="14" t="n"/>
      <c r="F27" s="14" t="n"/>
      <c r="G27" s="14" t="n"/>
      <c r="H27" s="14" t="n"/>
      <c r="I27" s="17">
        <f>IF($B27="","",IFERROR(_xlfn.MAXIFS(nrELdate,nrELagency,$B27),""))</f>
        <v/>
      </c>
    </row>
    <row r="28">
      <c r="B28" s="14" t="n"/>
      <c r="C28" s="14" t="n"/>
      <c r="D28" s="14" t="n"/>
      <c r="E28" s="14" t="n"/>
      <c r="F28" s="14" t="n"/>
      <c r="G28" s="14" t="n"/>
      <c r="H28" s="14" t="n"/>
      <c r="I28" s="17">
        <f>IF($B28="","",IFERROR(_xlfn.MAXIFS(nrELdate,nrELagency,$B28),""))</f>
        <v/>
      </c>
    </row>
    <row r="29">
      <c r="B29" s="14" t="n"/>
      <c r="C29" s="14" t="n"/>
      <c r="D29" s="14" t="n"/>
      <c r="E29" s="14" t="n"/>
      <c r="F29" s="14" t="n"/>
      <c r="G29" s="14" t="n"/>
      <c r="H29" s="14" t="n"/>
      <c r="I29" s="17">
        <f>IF($B29="","",IFERROR(_xlfn.MAXIFS(nrELdate,nrELagency,$B29),""))</f>
        <v/>
      </c>
    </row>
    <row r="30">
      <c r="B30" s="14" t="n"/>
      <c r="C30" s="14" t="n"/>
      <c r="D30" s="14" t="n"/>
      <c r="E30" s="14" t="n"/>
      <c r="F30" s="14" t="n"/>
      <c r="G30" s="14" t="n"/>
      <c r="H30" s="14" t="n"/>
      <c r="I30" s="17">
        <f>IF($B30="","",IFERROR(_xlfn.MAXIFS(nrELdate,nrELagency,$B30),""))</f>
        <v/>
      </c>
    </row>
    <row r="31">
      <c r="B31" s="14" t="n"/>
      <c r="C31" s="14" t="n"/>
      <c r="D31" s="14" t="n"/>
      <c r="E31" s="14" t="n"/>
      <c r="F31" s="14" t="n"/>
      <c r="G31" s="14" t="n"/>
      <c r="H31" s="14" t="n"/>
      <c r="I31" s="17">
        <f>IF($B31="","",IFERROR(_xlfn.MAXIFS(nrELdate,nrELagency,$B31),""))</f>
        <v/>
      </c>
    </row>
    <row r="32">
      <c r="B32" s="14" t="n"/>
      <c r="C32" s="14" t="n"/>
      <c r="D32" s="14" t="n"/>
      <c r="E32" s="14" t="n"/>
      <c r="F32" s="14" t="n"/>
      <c r="G32" s="14" t="n"/>
      <c r="H32" s="14" t="n"/>
      <c r="I32" s="17">
        <f>IF($B32="","",IFERROR(_xlfn.MAXIFS(nrELdate,nrELagency,$B32),""))</f>
        <v/>
      </c>
    </row>
    <row r="33">
      <c r="B33" s="14" t="n"/>
      <c r="C33" s="14" t="n"/>
      <c r="D33" s="14" t="n"/>
      <c r="E33" s="14" t="n"/>
      <c r="F33" s="14" t="n"/>
      <c r="G33" s="14" t="n"/>
      <c r="H33" s="14" t="n"/>
      <c r="I33" s="17">
        <f>IF($B33="","",IFERROR(_xlfn.MAXIFS(nrELdate,nrELagency,$B33),""))</f>
        <v/>
      </c>
    </row>
    <row r="34">
      <c r="B34" s="14" t="n"/>
      <c r="C34" s="14" t="n"/>
      <c r="D34" s="14" t="n"/>
      <c r="E34" s="14" t="n"/>
      <c r="F34" s="14" t="n"/>
      <c r="G34" s="14" t="n"/>
      <c r="H34" s="14" t="n"/>
      <c r="I34" s="17">
        <f>IF($B34="","",IFERROR(_xlfn.MAXIFS(nrELdate,nrELagency,$B34),""))</f>
        <v/>
      </c>
    </row>
    <row r="35">
      <c r="B35" s="14" t="n"/>
      <c r="C35" s="14" t="n"/>
      <c r="D35" s="14" t="n"/>
      <c r="E35" s="14" t="n"/>
      <c r="F35" s="14" t="n"/>
      <c r="G35" s="14" t="n"/>
      <c r="H35" s="14" t="n"/>
      <c r="I35" s="17">
        <f>IF($B35="","",IFERROR(_xlfn.MAXIFS(nrELdate,nrELagency,$B35),""))</f>
        <v/>
      </c>
    </row>
    <row r="36">
      <c r="B36" s="14" t="n"/>
      <c r="C36" s="14" t="n"/>
      <c r="D36" s="14" t="n"/>
      <c r="E36" s="14" t="n"/>
      <c r="F36" s="14" t="n"/>
      <c r="G36" s="14" t="n"/>
      <c r="H36" s="14" t="n"/>
      <c r="I36" s="17">
        <f>IF($B36="","",IFERROR(_xlfn.MAXIFS(nrELdate,nrELagency,$B36),""))</f>
        <v/>
      </c>
    </row>
    <row r="37">
      <c r="B37" s="14" t="n"/>
      <c r="C37" s="14" t="n"/>
      <c r="D37" s="14" t="n"/>
      <c r="E37" s="14" t="n"/>
      <c r="F37" s="14" t="n"/>
      <c r="G37" s="14" t="n"/>
      <c r="H37" s="14" t="n"/>
      <c r="I37" s="17">
        <f>IF($B37="","",IFERROR(_xlfn.MAXIFS(nrELdate,nrELagency,$B37),""))</f>
        <v/>
      </c>
    </row>
    <row r="38">
      <c r="B38" s="14" t="n"/>
      <c r="C38" s="14" t="n"/>
      <c r="D38" s="14" t="n"/>
      <c r="E38" s="14" t="n"/>
      <c r="F38" s="14" t="n"/>
      <c r="G38" s="14" t="n"/>
      <c r="H38" s="14" t="n"/>
      <c r="I38" s="17">
        <f>IF($B38="","",IFERROR(_xlfn.MAXIFS(nrELdate,nrELagency,$B38),""))</f>
        <v/>
      </c>
    </row>
    <row r="39">
      <c r="B39" s="14" t="n"/>
      <c r="C39" s="14" t="n"/>
      <c r="D39" s="14" t="n"/>
      <c r="E39" s="14" t="n"/>
      <c r="F39" s="14" t="n"/>
      <c r="G39" s="14" t="n"/>
      <c r="H39" s="14" t="n"/>
      <c r="I39" s="17">
        <f>IF($B39="","",IFERROR(_xlfn.MAXIFS(nrELdate,nrELagency,$B39),""))</f>
        <v/>
      </c>
    </row>
    <row r="40">
      <c r="B40" s="14" t="n"/>
      <c r="C40" s="14" t="n"/>
      <c r="D40" s="14" t="n"/>
      <c r="E40" s="14" t="n"/>
      <c r="F40" s="14" t="n"/>
      <c r="G40" s="14" t="n"/>
      <c r="H40" s="14" t="n"/>
      <c r="I40" s="17">
        <f>IF($B40="","",IFERROR(_xlfn.MAXIFS(nrELdate,nrELagency,$B40),""))</f>
        <v/>
      </c>
    </row>
    <row r="41">
      <c r="B41" s="14" t="n"/>
      <c r="C41" s="14" t="n"/>
      <c r="D41" s="14" t="n"/>
      <c r="E41" s="14" t="n"/>
      <c r="F41" s="14" t="n"/>
      <c r="G41" s="14" t="n"/>
      <c r="H41" s="14" t="n"/>
      <c r="I41" s="17">
        <f>IF($B41="","",IFERROR(_xlfn.MAXIFS(nrELdate,nrELagency,$B41),""))</f>
        <v/>
      </c>
    </row>
    <row r="42">
      <c r="B42" s="14" t="n"/>
      <c r="C42" s="14" t="n"/>
      <c r="D42" s="14" t="n"/>
      <c r="E42" s="14" t="n"/>
      <c r="F42" s="14" t="n"/>
      <c r="G42" s="14" t="n"/>
      <c r="H42" s="14" t="n"/>
      <c r="I42" s="17">
        <f>IF($B42="","",IFERROR(_xlfn.MAXIFS(nrELdate,nrELagency,$B42),""))</f>
        <v/>
      </c>
    </row>
    <row r="43">
      <c r="B43" s="14" t="n"/>
      <c r="C43" s="14" t="n"/>
      <c r="D43" s="14" t="n"/>
      <c r="E43" s="14" t="n"/>
      <c r="F43" s="14" t="n"/>
      <c r="G43" s="14" t="n"/>
      <c r="H43" s="14" t="n"/>
      <c r="I43" s="17">
        <f>IF($B43="","",IFERROR(_xlfn.MAXIFS(nrELdate,nrELagency,$B43),""))</f>
        <v/>
      </c>
    </row>
    <row r="44">
      <c r="B44" s="14" t="n"/>
      <c r="C44" s="14" t="n"/>
      <c r="D44" s="14" t="n"/>
      <c r="E44" s="14" t="n"/>
      <c r="F44" s="14" t="n"/>
      <c r="G44" s="14" t="n"/>
      <c r="H44" s="14" t="n"/>
      <c r="I44" s="17">
        <f>IF($B44="","",IFERROR(_xlfn.MAXIFS(nrELdate,nrELagency,$B44),""))</f>
        <v/>
      </c>
    </row>
    <row r="45">
      <c r="B45" s="14" t="n"/>
      <c r="C45" s="14" t="n"/>
      <c r="D45" s="14" t="n"/>
      <c r="E45" s="14" t="n"/>
      <c r="F45" s="14" t="n"/>
      <c r="G45" s="14" t="n"/>
      <c r="H45" s="14" t="n"/>
      <c r="I45" s="17">
        <f>IF($B45="","",IFERROR(_xlfn.MAXIFS(nrELdate,nrELagency,$B45),""))</f>
        <v/>
      </c>
    </row>
    <row r="46">
      <c r="B46" s="14" t="n"/>
      <c r="C46" s="14" t="n"/>
      <c r="D46" s="14" t="n"/>
      <c r="E46" s="14" t="n"/>
      <c r="F46" s="14" t="n"/>
      <c r="G46" s="14" t="n"/>
      <c r="H46" s="14" t="n"/>
      <c r="I46" s="17">
        <f>IF($B46="","",IFERROR(_xlfn.MAXIFS(nrELdate,nrELagency,$B46),""))</f>
        <v/>
      </c>
    </row>
    <row r="47">
      <c r="B47" s="14" t="n"/>
      <c r="C47" s="14" t="n"/>
      <c r="D47" s="14" t="n"/>
      <c r="E47" s="14" t="n"/>
      <c r="F47" s="14" t="n"/>
      <c r="G47" s="14" t="n"/>
      <c r="H47" s="14" t="n"/>
      <c r="I47" s="17">
        <f>IF($B47="","",IFERROR(_xlfn.MAXIFS(nrELdate,nrELagency,$B47),""))</f>
        <v/>
      </c>
    </row>
    <row r="48">
      <c r="B48" s="14" t="n"/>
      <c r="C48" s="14" t="n"/>
      <c r="D48" s="14" t="n"/>
      <c r="E48" s="14" t="n"/>
      <c r="F48" s="14" t="n"/>
      <c r="G48" s="14" t="n"/>
      <c r="H48" s="14" t="n"/>
      <c r="I48" s="17">
        <f>IF($B48="","",IFERROR(_xlfn.MAXIFS(nrELdate,nrELagency,$B48),""))</f>
        <v/>
      </c>
    </row>
    <row r="49">
      <c r="B49" s="14" t="n"/>
      <c r="C49" s="14" t="n"/>
      <c r="D49" s="14" t="n"/>
      <c r="E49" s="14" t="n"/>
      <c r="F49" s="14" t="n"/>
      <c r="G49" s="14" t="n"/>
      <c r="H49" s="14" t="n"/>
      <c r="I49" s="17">
        <f>IF($B49="","",IFERROR(_xlfn.MAXIFS(nrELdate,nrELagency,$B49),""))</f>
        <v/>
      </c>
    </row>
    <row r="50">
      <c r="B50" s="14" t="n"/>
      <c r="C50" s="14" t="n"/>
      <c r="D50" s="14" t="n"/>
      <c r="E50" s="14" t="n"/>
      <c r="F50" s="14" t="n"/>
      <c r="G50" s="14" t="n"/>
      <c r="H50" s="14" t="n"/>
      <c r="I50" s="17">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2.xml><?xml version="1.0" encoding="utf-8"?>
<worksheet xmlns="http://schemas.openxmlformats.org/spreadsheetml/2006/main">
  <sheetPr>
    <tabColor rgb="00C8A24B"/>
    <outlinePr summaryBelow="1" summaryRight="1"/>
    <pageSetUpPr/>
  </sheetPr>
  <dimension ref="A1:J8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4" customWidth="1" min="6" max="6"/>
    <col width="13" customWidth="1" min="7" max="7"/>
    <col width="13" customWidth="1" min="8" max="8"/>
    <col width="40" customWidth="1" min="9" max="9"/>
    <col width="11" customWidth="1" min="10" max="10"/>
  </cols>
  <sheetData>
    <row r="1"/>
    <row r="2"/>
    <row r="3"/>
    <row r="4">
      <c r="B4" s="8" t="inlineStr">
        <is>
          <t>TCOLE audits verify instructors were qualified for what they taught. Non-TCOLE instructors need an SME letter from the Training Sgt ('SME Letter' = On File).</t>
        </is>
      </c>
    </row>
    <row r="5" ht="26" customHeight="1">
      <c r="B5" s="9" t="inlineStr">
        <is>
          <t>Instructor Name</t>
        </is>
      </c>
      <c r="C5" s="9" t="inlineStr">
        <is>
          <t>Agency / Unit</t>
        </is>
      </c>
      <c r="D5" s="9" t="inlineStr">
        <is>
          <t>TCOLE PID</t>
        </is>
      </c>
      <c r="E5" s="9" t="inlineStr">
        <is>
          <t>Instructor Type</t>
        </is>
      </c>
      <c r="F5" s="9" t="inlineStr">
        <is>
          <t>Certificates (list)</t>
        </is>
      </c>
      <c r="G5" s="9" t="inlineStr">
        <is>
          <t>Cert Expiration</t>
        </is>
      </c>
      <c r="H5" s="9" t="inlineStr">
        <is>
          <t>SME Letter</t>
        </is>
      </c>
      <c r="I5" s="9" t="inlineStr">
        <is>
          <t>Bio / Notes</t>
        </is>
      </c>
      <c r="J5" s="9" t="inlineStr">
        <is>
          <t>Audit Ready?</t>
        </is>
      </c>
    </row>
    <row r="6">
      <c r="B6" s="14" t="inlineStr">
        <is>
          <t>Tyler Pride</t>
        </is>
      </c>
      <c r="C6" s="14" t="n"/>
      <c r="D6" s="14" t="n"/>
      <c r="E6" s="14" t="n"/>
      <c r="F6" s="14" t="n"/>
      <c r="G6" s="16" t="n"/>
      <c r="H6" s="14" t="n"/>
      <c r="I6" s="14" t="n"/>
      <c r="J6" s="15">
        <f>IF($B6="","",IF(OR($E6="TCOLE Instructor",AND(LEFT($E6,3)="SME",$H6="On File")),"Yes","No"))</f>
        <v/>
      </c>
    </row>
    <row r="7">
      <c r="B7" s="14" t="inlineStr">
        <is>
          <t>Trey Edwards</t>
        </is>
      </c>
      <c r="C7" s="14" t="n"/>
      <c r="D7" s="14" t="n"/>
      <c r="E7" s="14" t="n"/>
      <c r="F7" s="14" t="n"/>
      <c r="G7" s="16" t="n"/>
      <c r="H7" s="14" t="n"/>
      <c r="I7" s="14" t="n"/>
      <c r="J7" s="15">
        <f>IF($B7="","",IF(OR($E7="TCOLE Instructor",AND(LEFT($E7,3)="SME",$H7="On File")),"Yes","No"))</f>
        <v/>
      </c>
    </row>
    <row r="8">
      <c r="B8" s="14" t="inlineStr">
        <is>
          <t>Judson Moore</t>
        </is>
      </c>
      <c r="C8" s="14" t="n"/>
      <c r="D8" s="14" t="n"/>
      <c r="E8" s="14" t="n"/>
      <c r="F8" s="14" t="n"/>
      <c r="G8" s="16" t="n"/>
      <c r="H8" s="14" t="n"/>
      <c r="I8" s="14" t="n"/>
      <c r="J8" s="15">
        <f>IF($B8="","",IF(OR($E8="TCOLE Instructor",AND(LEFT($E8,3)="SME",$H8="On File")),"Yes","No"))</f>
        <v/>
      </c>
    </row>
    <row r="9">
      <c r="B9" s="14" t="inlineStr">
        <is>
          <t>Keven Fite</t>
        </is>
      </c>
      <c r="C9" s="14" t="n"/>
      <c r="D9" s="14" t="n"/>
      <c r="E9" s="14" t="n"/>
      <c r="F9" s="14" t="n"/>
      <c r="G9" s="16" t="n"/>
      <c r="H9" s="14" t="n"/>
      <c r="I9" s="14" t="n"/>
      <c r="J9" s="15">
        <f>IF($B9="","",IF(OR($E9="TCOLE Instructor",AND(LEFT($E9,3)="SME",$H9="On File")),"Yes","No"))</f>
        <v/>
      </c>
    </row>
    <row r="10">
      <c r="B10" s="14" t="inlineStr">
        <is>
          <t>Alejandra Flowers</t>
        </is>
      </c>
      <c r="C10" s="14" t="n"/>
      <c r="D10" s="14" t="n"/>
      <c r="E10" s="14" t="n"/>
      <c r="F10" s="14" t="n"/>
      <c r="G10" s="16" t="n"/>
      <c r="H10" s="14" t="n"/>
      <c r="I10" s="14" t="n"/>
      <c r="J10" s="15">
        <f>IF($B10="","",IF(OR($E10="TCOLE Instructor",AND(LEFT($E10,3)="SME",$H10="On File")),"Yes","No"))</f>
        <v/>
      </c>
    </row>
    <row r="11">
      <c r="B11" s="14" t="inlineStr">
        <is>
          <t>Reggie Johnson</t>
        </is>
      </c>
      <c r="C11" s="14" t="n"/>
      <c r="D11" s="14" t="n"/>
      <c r="E11" s="14" t="n"/>
      <c r="F11" s="14" t="n"/>
      <c r="G11" s="16" t="n"/>
      <c r="H11" s="14" t="n"/>
      <c r="I11" s="14" t="n"/>
      <c r="J11" s="15">
        <f>IF($B11="","",IF(OR($E11="TCOLE Instructor",AND(LEFT($E11,3)="SME",$H11="On File")),"Yes","No"))</f>
        <v/>
      </c>
    </row>
    <row r="12">
      <c r="B12" s="14" t="inlineStr">
        <is>
          <t>Mike Malone</t>
        </is>
      </c>
      <c r="C12" s="14" t="n"/>
      <c r="D12" s="14" t="n"/>
      <c r="E12" s="14" t="n"/>
      <c r="F12" s="14" t="n"/>
      <c r="G12" s="16" t="n"/>
      <c r="H12" s="14" t="n"/>
      <c r="I12" s="14" t="n"/>
      <c r="J12" s="15">
        <f>IF($B12="","",IF(OR($E12="TCOLE Instructor",AND(LEFT($E12,3)="SME",$H12="On File")),"Yes","No"))</f>
        <v/>
      </c>
    </row>
    <row r="13">
      <c r="B13" s="14" t="inlineStr">
        <is>
          <t>Jessica Doughten</t>
        </is>
      </c>
      <c r="C13" s="14" t="n"/>
      <c r="D13" s="14" t="n"/>
      <c r="E13" s="14" t="n"/>
      <c r="F13" s="14" t="n"/>
      <c r="G13" s="16" t="n"/>
      <c r="H13" s="14" t="n"/>
      <c r="I13" s="14" t="n"/>
      <c r="J13" s="15">
        <f>IF($B13="","",IF(OR($E13="TCOLE Instructor",AND(LEFT($E13,3)="SME",$H13="On File")),"Yes","No"))</f>
        <v/>
      </c>
    </row>
    <row r="14">
      <c r="B14" s="14" t="inlineStr">
        <is>
          <t>Caleb Westbrook</t>
        </is>
      </c>
      <c r="C14" s="14" t="n"/>
      <c r="D14" s="14" t="n"/>
      <c r="E14" s="14" t="n"/>
      <c r="F14" s="14" t="n"/>
      <c r="G14" s="16" t="n"/>
      <c r="H14" s="14" t="n"/>
      <c r="I14" s="14" t="n"/>
      <c r="J14" s="15">
        <f>IF($B14="","",IF(OR($E14="TCOLE Instructor",AND(LEFT($E14,3)="SME",$H14="On File")),"Yes","No"))</f>
        <v/>
      </c>
    </row>
    <row r="15">
      <c r="B15" s="14" t="inlineStr">
        <is>
          <t>April Molina</t>
        </is>
      </c>
      <c r="C15" s="14" t="n"/>
      <c r="D15" s="14" t="n"/>
      <c r="E15" s="14" t="n"/>
      <c r="F15" s="14" t="n"/>
      <c r="G15" s="16" t="n"/>
      <c r="H15" s="14" t="n"/>
      <c r="I15" s="14" t="n"/>
      <c r="J15" s="15">
        <f>IF($B15="","",IF(OR($E15="TCOLE Instructor",AND(LEFT($E15,3)="SME",$H15="On File")),"Yes","No"))</f>
        <v/>
      </c>
    </row>
    <row r="16">
      <c r="B16" s="14" t="inlineStr">
        <is>
          <t>James Goodman</t>
        </is>
      </c>
      <c r="C16" s="14" t="n"/>
      <c r="D16" s="14" t="n"/>
      <c r="E16" s="14" t="n"/>
      <c r="F16" s="14" t="n"/>
      <c r="G16" s="16" t="n"/>
      <c r="H16" s="14" t="n"/>
      <c r="I16" s="14" t="n"/>
      <c r="J16" s="15">
        <f>IF($B16="","",IF(OR($E16="TCOLE Instructor",AND(LEFT($E16,3)="SME",$H16="On File")),"Yes","No"))</f>
        <v/>
      </c>
    </row>
    <row r="17">
      <c r="B17" s="14" t="inlineStr">
        <is>
          <t>Rebekah Hutson</t>
        </is>
      </c>
      <c r="C17" s="14" t="n"/>
      <c r="D17" s="14" t="n"/>
      <c r="E17" s="14" t="n"/>
      <c r="F17" s="14" t="n"/>
      <c r="G17" s="16" t="n"/>
      <c r="H17" s="14" t="n"/>
      <c r="I17" s="14" t="n"/>
      <c r="J17" s="15">
        <f>IF($B17="","",IF(OR($E17="TCOLE Instructor",AND(LEFT($E17,3)="SME",$H17="On File")),"Yes","No"))</f>
        <v/>
      </c>
    </row>
    <row r="18">
      <c r="B18" s="14" t="inlineStr">
        <is>
          <t>Ethan Johnson</t>
        </is>
      </c>
      <c r="C18" s="14" t="n"/>
      <c r="D18" s="14" t="n"/>
      <c r="E18" s="14" t="n"/>
      <c r="F18" s="14" t="n"/>
      <c r="G18" s="16" t="n"/>
      <c r="H18" s="14" t="n"/>
      <c r="I18" s="14" t="n"/>
      <c r="J18" s="15">
        <f>IF($B18="","",IF(OR($E18="TCOLE Instructor",AND(LEFT($E18,3)="SME",$H18="On File")),"Yes","No"))</f>
        <v/>
      </c>
    </row>
    <row r="19">
      <c r="B19" s="14" t="inlineStr">
        <is>
          <t>Garrett Martin</t>
        </is>
      </c>
      <c r="C19" s="14" t="n"/>
      <c r="D19" s="14" t="n"/>
      <c r="E19" s="14" t="n"/>
      <c r="F19" s="14" t="n"/>
      <c r="G19" s="16" t="n"/>
      <c r="H19" s="14" t="n"/>
      <c r="I19" s="14" t="n"/>
      <c r="J19" s="15">
        <f>IF($B19="","",IF(OR($E19="TCOLE Instructor",AND(LEFT($E19,3)="SME",$H19="On File")),"Yes","No"))</f>
        <v/>
      </c>
    </row>
    <row r="20">
      <c r="B20" s="14" t="inlineStr">
        <is>
          <t>Magnolia Custer</t>
        </is>
      </c>
      <c r="C20" s="14" t="n"/>
      <c r="D20" s="14" t="n"/>
      <c r="E20" s="14" t="n"/>
      <c r="F20" s="14" t="n"/>
      <c r="G20" s="16" t="n"/>
      <c r="H20" s="14" t="n"/>
      <c r="I20" s="14" t="n"/>
      <c r="J20" s="15">
        <f>IF($B20="","",IF(OR($E20="TCOLE Instructor",AND(LEFT($E20,3)="SME",$H20="On File")),"Yes","No"))</f>
        <v/>
      </c>
    </row>
    <row r="21">
      <c r="B21" s="14" t="inlineStr">
        <is>
          <t>Stephen Thomas</t>
        </is>
      </c>
      <c r="C21" s="14" t="n"/>
      <c r="D21" s="14" t="n"/>
      <c r="E21" s="14" t="n"/>
      <c r="F21" s="14" t="n"/>
      <c r="G21" s="16" t="n"/>
      <c r="H21" s="14" t="n"/>
      <c r="I21" s="14" t="n"/>
      <c r="J21" s="15">
        <f>IF($B21="","",IF(OR($E21="TCOLE Instructor",AND(LEFT($E21,3)="SME",$H21="On File")),"Yes","No"))</f>
        <v/>
      </c>
    </row>
    <row r="22">
      <c r="B22" s="14" t="inlineStr">
        <is>
          <t>Tommy Guerrero</t>
        </is>
      </c>
      <c r="C22" s="14" t="n"/>
      <c r="D22" s="14" t="n"/>
      <c r="E22" s="14" t="n"/>
      <c r="F22" s="14" t="n"/>
      <c r="G22" s="16" t="n"/>
      <c r="H22" s="14" t="n"/>
      <c r="I22" s="14" t="n"/>
      <c r="J22" s="15">
        <f>IF($B22="","",IF(OR($E22="TCOLE Instructor",AND(LEFT($E22,3)="SME",$H22="On File")),"Yes","No"))</f>
        <v/>
      </c>
    </row>
    <row r="23">
      <c r="B23" s="14" t="inlineStr">
        <is>
          <t>Israel Camarena</t>
        </is>
      </c>
      <c r="C23" s="14" t="n"/>
      <c r="D23" s="14" t="n"/>
      <c r="E23" s="14" t="n"/>
      <c r="F23" s="14" t="n"/>
      <c r="G23" s="16" t="n"/>
      <c r="H23" s="14" t="n"/>
      <c r="I23" s="14" t="n"/>
      <c r="J23" s="15">
        <f>IF($B23="","",IF(OR($E23="TCOLE Instructor",AND(LEFT($E23,3)="SME",$H23="On File")),"Yes","No"))</f>
        <v/>
      </c>
    </row>
    <row r="24">
      <c r="B24" s="14" t="inlineStr">
        <is>
          <t>Andy Erbaugh</t>
        </is>
      </c>
      <c r="C24" s="14" t="n"/>
      <c r="D24" s="14" t="n"/>
      <c r="E24" s="14" t="n"/>
      <c r="F24" s="14" t="n"/>
      <c r="G24" s="16" t="n"/>
      <c r="H24" s="14" t="n"/>
      <c r="I24" s="14" t="n"/>
      <c r="J24" s="15">
        <f>IF($B24="","",IF(OR($E24="TCOLE Instructor",AND(LEFT($E24,3)="SME",$H24="On File")),"Yes","No"))</f>
        <v/>
      </c>
    </row>
    <row r="25">
      <c r="B25" s="14" t="inlineStr">
        <is>
          <t>JH Burge</t>
        </is>
      </c>
      <c r="C25" s="14" t="n"/>
      <c r="D25" s="14" t="n"/>
      <c r="E25" s="14" t="n"/>
      <c r="F25" s="14" t="n"/>
      <c r="G25" s="16" t="n"/>
      <c r="H25" s="14" t="n"/>
      <c r="I25" s="14" t="n"/>
      <c r="J25" s="15">
        <f>IF($B25="","",IF(OR($E25="TCOLE Instructor",AND(LEFT($E25,3)="SME",$H25="On File")),"Yes","No"))</f>
        <v/>
      </c>
    </row>
    <row r="26">
      <c r="B26" s="14" t="inlineStr">
        <is>
          <t>Brandon Crawley</t>
        </is>
      </c>
      <c r="C26" s="14" t="n"/>
      <c r="D26" s="14" t="n"/>
      <c r="E26" s="14" t="n"/>
      <c r="F26" s="14" t="n"/>
      <c r="G26" s="16" t="n"/>
      <c r="H26" s="14" t="n"/>
      <c r="I26" s="14" t="n"/>
      <c r="J26" s="15">
        <f>IF($B26="","",IF(OR($E26="TCOLE Instructor",AND(LEFT($E26,3)="SME",$H26="On File")),"Yes","No"))</f>
        <v/>
      </c>
    </row>
    <row r="27">
      <c r="B27" s="14" t="inlineStr">
        <is>
          <t>Jim Holt</t>
        </is>
      </c>
      <c r="C27" s="14" t="n"/>
      <c r="D27" s="14" t="n"/>
      <c r="E27" s="14" t="n"/>
      <c r="F27" s="14" t="n"/>
      <c r="G27" s="16" t="n"/>
      <c r="H27" s="14" t="n"/>
      <c r="I27" s="14" t="n"/>
      <c r="J27" s="15">
        <f>IF($B27="","",IF(OR($E27="TCOLE Instructor",AND(LEFT($E27,3)="SME",$H27="On File")),"Yes","No"))</f>
        <v/>
      </c>
    </row>
    <row r="28">
      <c r="B28" s="14" t="inlineStr">
        <is>
          <t>Blake Lockhart</t>
        </is>
      </c>
      <c r="C28" s="14" t="n"/>
      <c r="D28" s="14" t="n"/>
      <c r="E28" s="14" t="n"/>
      <c r="F28" s="14" t="n"/>
      <c r="G28" s="16" t="n"/>
      <c r="H28" s="14" t="n"/>
      <c r="I28" s="14" t="n"/>
      <c r="J28" s="15">
        <f>IF($B28="","",IF(OR($E28="TCOLE Instructor",AND(LEFT($E28,3)="SME",$H28="On File")),"Yes","No"))</f>
        <v/>
      </c>
    </row>
    <row r="29">
      <c r="B29" s="14" t="inlineStr">
        <is>
          <t>Luke Shafer</t>
        </is>
      </c>
      <c r="C29" s="14" t="n"/>
      <c r="D29" s="14" t="n"/>
      <c r="E29" s="14" t="n"/>
      <c r="F29" s="14" t="n"/>
      <c r="G29" s="16" t="n"/>
      <c r="H29" s="14" t="n"/>
      <c r="I29" s="14" t="n"/>
      <c r="J29" s="15">
        <f>IF($B29="","",IF(OR($E29="TCOLE Instructor",AND(LEFT($E29,3)="SME",$H29="On File")),"Yes","No"))</f>
        <v/>
      </c>
    </row>
    <row r="30">
      <c r="B30" s="14" t="inlineStr">
        <is>
          <t>Luis Aparicio</t>
        </is>
      </c>
      <c r="C30" s="14" t="n"/>
      <c r="D30" s="14" t="n"/>
      <c r="E30" s="14" t="n"/>
      <c r="F30" s="14" t="n"/>
      <c r="G30" s="16" t="n"/>
      <c r="H30" s="14" t="n"/>
      <c r="I30" s="14" t="n"/>
      <c r="J30" s="15">
        <f>IF($B30="","",IF(OR($E30="TCOLE Instructor",AND(LEFT($E30,3)="SME",$H30="On File")),"Yes","No"))</f>
        <v/>
      </c>
    </row>
    <row r="31">
      <c r="B31" s="14" t="inlineStr">
        <is>
          <t>David Alexander</t>
        </is>
      </c>
      <c r="C31" s="14" t="n"/>
      <c r="D31" s="14" t="n"/>
      <c r="E31" s="14" t="n"/>
      <c r="F31" s="14" t="n"/>
      <c r="G31" s="16" t="n"/>
      <c r="H31" s="14" t="n"/>
      <c r="I31" s="14" t="n"/>
      <c r="J31" s="15">
        <f>IF($B31="","",IF(OR($E31="TCOLE Instructor",AND(LEFT($E31,3)="SME",$H31="On File")),"Yes","No"))</f>
        <v/>
      </c>
    </row>
    <row r="32">
      <c r="B32" s="14" t="inlineStr">
        <is>
          <t>James Reeves</t>
        </is>
      </c>
      <c r="C32" s="14" t="n"/>
      <c r="D32" s="14" t="n"/>
      <c r="E32" s="14" t="n"/>
      <c r="F32" s="14" t="n"/>
      <c r="G32" s="16" t="n"/>
      <c r="H32" s="14" t="n"/>
      <c r="I32" s="14" t="n"/>
      <c r="J32" s="15">
        <f>IF($B32="","",IF(OR($E32="TCOLE Instructor",AND(LEFT($E32,3)="SME",$H32="On File")),"Yes","No"))</f>
        <v/>
      </c>
    </row>
    <row r="33">
      <c r="B33" s="14" t="inlineStr">
        <is>
          <t>Jon Phillips</t>
        </is>
      </c>
      <c r="C33" s="14" t="n"/>
      <c r="D33" s="14" t="n"/>
      <c r="E33" s="14" t="n"/>
      <c r="F33" s="14" t="n"/>
      <c r="G33" s="16" t="n"/>
      <c r="H33" s="14" t="n"/>
      <c r="I33" s="14" t="n"/>
      <c r="J33" s="15">
        <f>IF($B33="","",IF(OR($E33="TCOLE Instructor",AND(LEFT($E33,3)="SME",$H33="On File")),"Yes","No"))</f>
        <v/>
      </c>
    </row>
    <row r="34">
      <c r="B34" s="14" t="inlineStr">
        <is>
          <t>Matthew Dahl</t>
        </is>
      </c>
      <c r="C34" s="14" t="n"/>
      <c r="D34" s="14" t="n"/>
      <c r="E34" s="14" t="n"/>
      <c r="F34" s="14" t="n"/>
      <c r="G34" s="16" t="n"/>
      <c r="H34" s="14" t="n"/>
      <c r="I34" s="14" t="n"/>
      <c r="J34" s="15">
        <f>IF($B34="","",IF(OR($E34="TCOLE Instructor",AND(LEFT($E34,3)="SME",$H34="On File")),"Yes","No"))</f>
        <v/>
      </c>
    </row>
    <row r="35">
      <c r="B35" s="14" t="inlineStr">
        <is>
          <t>Elliott Patterson</t>
        </is>
      </c>
      <c r="C35" s="14" t="n"/>
      <c r="D35" s="14" t="n"/>
      <c r="E35" s="14" t="n"/>
      <c r="F35" s="14" t="n"/>
      <c r="G35" s="16" t="n"/>
      <c r="H35" s="14" t="n"/>
      <c r="I35" s="14" t="n"/>
      <c r="J35" s="15">
        <f>IF($B35="","",IF(OR($E35="TCOLE Instructor",AND(LEFT($E35,3)="SME",$H35="On File")),"Yes","No"))</f>
        <v/>
      </c>
    </row>
    <row r="36">
      <c r="B36" s="14" t="inlineStr">
        <is>
          <t>Bianca Smedley</t>
        </is>
      </c>
      <c r="C36" s="14" t="n"/>
      <c r="D36" s="14" t="n"/>
      <c r="E36" s="14" t="n"/>
      <c r="F36" s="14" t="n"/>
      <c r="G36" s="16" t="n"/>
      <c r="H36" s="14" t="n"/>
      <c r="I36" s="14" t="n"/>
      <c r="J36" s="15">
        <f>IF($B36="","",IF(OR($E36="TCOLE Instructor",AND(LEFT($E36,3)="SME",$H36="On File")),"Yes","No"))</f>
        <v/>
      </c>
    </row>
    <row r="37">
      <c r="B37" s="14" t="inlineStr">
        <is>
          <t>James Freeman</t>
        </is>
      </c>
      <c r="C37" s="14" t="n"/>
      <c r="D37" s="14" t="n"/>
      <c r="E37" s="14" t="n"/>
      <c r="F37" s="14" t="n"/>
      <c r="G37" s="16" t="n"/>
      <c r="H37" s="14" t="n"/>
      <c r="I37" s="14" t="n"/>
      <c r="J37" s="15">
        <f>IF($B37="","",IF(OR($E37="TCOLE Instructor",AND(LEFT($E37,3)="SME",$H37="On File")),"Yes","No"))</f>
        <v/>
      </c>
    </row>
    <row r="38">
      <c r="B38" s="14" t="inlineStr">
        <is>
          <t>Kyle Liggitt</t>
        </is>
      </c>
      <c r="C38" s="14" t="n"/>
      <c r="D38" s="14" t="n"/>
      <c r="E38" s="14" t="n"/>
      <c r="F38" s="14" t="n"/>
      <c r="G38" s="16" t="n"/>
      <c r="H38" s="14" t="n"/>
      <c r="I38" s="14" t="n"/>
      <c r="J38" s="15">
        <f>IF($B38="","",IF(OR($E38="TCOLE Instructor",AND(LEFT($E38,3)="SME",$H38="On File")),"Yes","No"))</f>
        <v/>
      </c>
    </row>
    <row r="39">
      <c r="B39" s="14" t="inlineStr">
        <is>
          <t>Ryan Caldwell</t>
        </is>
      </c>
      <c r="C39" s="14" t="n"/>
      <c r="D39" s="14" t="n"/>
      <c r="E39" s="14" t="n"/>
      <c r="F39" s="14" t="n"/>
      <c r="G39" s="16" t="n"/>
      <c r="H39" s="14" t="n"/>
      <c r="I39" s="14" t="n"/>
      <c r="J39" s="15">
        <f>IF($B39="","",IF(OR($E39="TCOLE Instructor",AND(LEFT($E39,3)="SME",$H39="On File")),"Yes","No"))</f>
        <v/>
      </c>
    </row>
    <row r="40">
      <c r="B40" s="14" t="inlineStr">
        <is>
          <t>Justin Lambert</t>
        </is>
      </c>
      <c r="C40" s="14" t="n"/>
      <c r="D40" s="14" t="n"/>
      <c r="E40" s="14" t="n"/>
      <c r="F40" s="14" t="n"/>
      <c r="G40" s="16" t="n"/>
      <c r="H40" s="14" t="n"/>
      <c r="I40" s="14" t="n"/>
      <c r="J40" s="15">
        <f>IF($B40="","",IF(OR($E40="TCOLE Instructor",AND(LEFT($E40,3)="SME",$H40="On File")),"Yes","No"))</f>
        <v/>
      </c>
    </row>
    <row r="41">
      <c r="B41" s="14" t="inlineStr">
        <is>
          <t>Chuck Boyce</t>
        </is>
      </c>
      <c r="C41" s="14" t="n"/>
      <c r="D41" s="14" t="n"/>
      <c r="E41" s="14" t="n"/>
      <c r="F41" s="14" t="n"/>
      <c r="G41" s="16" t="n"/>
      <c r="H41" s="14" t="n"/>
      <c r="I41" s="14" t="n"/>
      <c r="J41" s="15">
        <f>IF($B41="","",IF(OR($E41="TCOLE Instructor",AND(LEFT($E41,3)="SME",$H41="On File")),"Yes","No"))</f>
        <v/>
      </c>
    </row>
    <row r="42">
      <c r="B42" s="14" t="inlineStr">
        <is>
          <t>Adam Riggle</t>
        </is>
      </c>
      <c r="C42" s="14" t="n"/>
      <c r="D42" s="14" t="n"/>
      <c r="E42" s="14" t="n"/>
      <c r="F42" s="14" t="n"/>
      <c r="G42" s="16" t="n"/>
      <c r="H42" s="14" t="n"/>
      <c r="I42" s="14" t="n"/>
      <c r="J42" s="15">
        <f>IF($B42="","",IF(OR($E42="TCOLE Instructor",AND(LEFT($E42,3)="SME",$H42="On File")),"Yes","No"))</f>
        <v/>
      </c>
    </row>
    <row r="43">
      <c r="B43" s="14" t="inlineStr">
        <is>
          <t>Adam Tarrant</t>
        </is>
      </c>
      <c r="C43" s="14" t="n"/>
      <c r="D43" s="14" t="n"/>
      <c r="E43" s="14" t="n"/>
      <c r="F43" s="14" t="n"/>
      <c r="G43" s="16" t="n"/>
      <c r="H43" s="14" t="n"/>
      <c r="I43" s="14" t="n"/>
      <c r="J43" s="15">
        <f>IF($B43="","",IF(OR($E43="TCOLE Instructor",AND(LEFT($E43,3)="SME",$H43="On File")),"Yes","No"))</f>
        <v/>
      </c>
    </row>
    <row r="44">
      <c r="B44" s="14" t="inlineStr">
        <is>
          <t>Spencer McGregor</t>
        </is>
      </c>
      <c r="C44" s="14" t="n"/>
      <c r="D44" s="14" t="n"/>
      <c r="E44" s="14" t="n"/>
      <c r="F44" s="14" t="n"/>
      <c r="G44" s="16" t="n"/>
      <c r="H44" s="14" t="n"/>
      <c r="I44" s="14" t="n"/>
      <c r="J44" s="15">
        <f>IF($B44="","",IF(OR($E44="TCOLE Instructor",AND(LEFT($E44,3)="SME",$H44="On File")),"Yes","No"))</f>
        <v/>
      </c>
    </row>
    <row r="45">
      <c r="B45" s="14" t="inlineStr">
        <is>
          <t>Josh Allen</t>
        </is>
      </c>
      <c r="C45" s="14" t="n"/>
      <c r="D45" s="14" t="n"/>
      <c r="E45" s="14" t="n"/>
      <c r="F45" s="14" t="n"/>
      <c r="G45" s="16" t="n"/>
      <c r="H45" s="14" t="n"/>
      <c r="I45" s="14" t="n"/>
      <c r="J45" s="15">
        <f>IF($B45="","",IF(OR($E45="TCOLE Instructor",AND(LEFT($E45,3)="SME",$H45="On File")),"Yes","No"))</f>
        <v/>
      </c>
    </row>
    <row r="46">
      <c r="B46" s="14" t="inlineStr">
        <is>
          <t>Gavin Kirkhart</t>
        </is>
      </c>
      <c r="C46" s="14" t="n"/>
      <c r="D46" s="14" t="n"/>
      <c r="E46" s="14" t="n"/>
      <c r="F46" s="14" t="n"/>
      <c r="G46" s="16" t="n"/>
      <c r="H46" s="14" t="n"/>
      <c r="I46" s="14" t="n"/>
      <c r="J46" s="15">
        <f>IF($B46="","",IF(OR($E46="TCOLE Instructor",AND(LEFT($E46,3)="SME",$H46="On File")),"Yes","No"))</f>
        <v/>
      </c>
    </row>
    <row r="47">
      <c r="B47" s="14" t="inlineStr">
        <is>
          <t>Jimmy Turner</t>
        </is>
      </c>
      <c r="C47" s="14" t="n"/>
      <c r="D47" s="14" t="n"/>
      <c r="E47" s="14" t="n"/>
      <c r="F47" s="14" t="n"/>
      <c r="G47" s="16" t="n"/>
      <c r="H47" s="14" t="n"/>
      <c r="I47" s="14" t="n"/>
      <c r="J47" s="15">
        <f>IF($B47="","",IF(OR($E47="TCOLE Instructor",AND(LEFT($E47,3)="SME",$H47="On File")),"Yes","No"))</f>
        <v/>
      </c>
    </row>
    <row r="48">
      <c r="B48" s="14" t="inlineStr">
        <is>
          <t>Ken Gardner</t>
        </is>
      </c>
      <c r="C48" s="14" t="n"/>
      <c r="D48" s="14" t="n"/>
      <c r="E48" s="14" t="n"/>
      <c r="F48" s="14" t="n"/>
      <c r="G48" s="16" t="n"/>
      <c r="H48" s="14" t="n"/>
      <c r="I48" s="14" t="n"/>
      <c r="J48" s="15">
        <f>IF($B48="","",IF(OR($E48="TCOLE Instructor",AND(LEFT($E48,3)="SME",$H48="On File")),"Yes","No"))</f>
        <v/>
      </c>
    </row>
    <row r="49">
      <c r="B49" s="14" t="inlineStr">
        <is>
          <t>Will Sinclair</t>
        </is>
      </c>
      <c r="C49" s="14" t="n"/>
      <c r="D49" s="14" t="n"/>
      <c r="E49" s="14" t="n"/>
      <c r="F49" s="14" t="n"/>
      <c r="G49" s="16" t="n"/>
      <c r="H49" s="14" t="n"/>
      <c r="I49" s="14" t="n"/>
      <c r="J49" s="15">
        <f>IF($B49="","",IF(OR($E49="TCOLE Instructor",AND(LEFT($E49,3)="SME",$H49="On File")),"Yes","No"))</f>
        <v/>
      </c>
    </row>
    <row r="50">
      <c r="B50" s="14" t="inlineStr">
        <is>
          <t>Eddie Zapata</t>
        </is>
      </c>
      <c r="C50" s="14" t="n"/>
      <c r="D50" s="14" t="n"/>
      <c r="E50" s="14" t="n"/>
      <c r="F50" s="14" t="n"/>
      <c r="G50" s="16" t="n"/>
      <c r="H50" s="14" t="n"/>
      <c r="I50" s="14" t="n"/>
      <c r="J50" s="15">
        <f>IF($B50="","",IF(OR($E50="TCOLE Instructor",AND(LEFT($E50,3)="SME",$H50="On File")),"Yes","No"))</f>
        <v/>
      </c>
    </row>
    <row r="51">
      <c r="B51" s="14" t="inlineStr">
        <is>
          <t>Jordan Hill</t>
        </is>
      </c>
      <c r="C51" s="14" t="n"/>
      <c r="D51" s="14" t="n"/>
      <c r="E51" s="14" t="n"/>
      <c r="F51" s="14" t="n"/>
      <c r="G51" s="16" t="n"/>
      <c r="H51" s="14" t="n"/>
      <c r="I51" s="14" t="n"/>
      <c r="J51" s="15">
        <f>IF($B51="","",IF(OR($E51="TCOLE Instructor",AND(LEFT($E51,3)="SME",$H51="On File")),"Yes","No"))</f>
        <v/>
      </c>
    </row>
    <row r="52">
      <c r="B52" s="14" t="inlineStr">
        <is>
          <t>Chris Mackey</t>
        </is>
      </c>
      <c r="C52" s="14" t="n"/>
      <c r="D52" s="14" t="n"/>
      <c r="E52" s="14" t="n"/>
      <c r="F52" s="14" t="n"/>
      <c r="G52" s="16" t="n"/>
      <c r="H52" s="14" t="n"/>
      <c r="I52" s="14" t="n"/>
      <c r="J52" s="15">
        <f>IF($B52="","",IF(OR($E52="TCOLE Instructor",AND(LEFT($E52,3)="SME",$H52="On File")),"Yes","No"))</f>
        <v/>
      </c>
    </row>
    <row r="53">
      <c r="B53" s="14" t="inlineStr">
        <is>
          <t>Braden Barns</t>
        </is>
      </c>
      <c r="C53" s="14" t="n"/>
      <c r="D53" s="14" t="n"/>
      <c r="E53" s="14" t="n"/>
      <c r="F53" s="14" t="n"/>
      <c r="G53" s="16" t="n"/>
      <c r="H53" s="14" t="n"/>
      <c r="I53" s="14" t="n"/>
      <c r="J53" s="15">
        <f>IF($B53="","",IF(OR($E53="TCOLE Instructor",AND(LEFT($E53,3)="SME",$H53="On File")),"Yes","No"))</f>
        <v/>
      </c>
    </row>
    <row r="54">
      <c r="B54" s="14" t="inlineStr">
        <is>
          <t>John Hebert</t>
        </is>
      </c>
      <c r="C54" s="14" t="n"/>
      <c r="D54" s="14" t="n"/>
      <c r="E54" s="14" t="n"/>
      <c r="F54" s="14" t="n"/>
      <c r="G54" s="16" t="n"/>
      <c r="H54" s="14" t="n"/>
      <c r="I54" s="14" t="n"/>
      <c r="J54" s="15">
        <f>IF($B54="","",IF(OR($E54="TCOLE Instructor",AND(LEFT($E54,3)="SME",$H54="On File")),"Yes","No"))</f>
        <v/>
      </c>
    </row>
    <row r="55">
      <c r="B55" s="14" t="inlineStr">
        <is>
          <t>DJ Schick</t>
        </is>
      </c>
      <c r="C55" s="14" t="n"/>
      <c r="D55" s="14" t="n"/>
      <c r="E55" s="14" t="n"/>
      <c r="F55" s="14" t="n"/>
      <c r="G55" s="16" t="n"/>
      <c r="H55" s="14" t="n"/>
      <c r="I55" s="14" t="n"/>
      <c r="J55" s="15">
        <f>IF($B55="","",IF(OR($E55="TCOLE Instructor",AND(LEFT($E55,3)="SME",$H55="On File")),"Yes","No"))</f>
        <v/>
      </c>
    </row>
    <row r="56">
      <c r="B56" s="14" t="inlineStr">
        <is>
          <t>Brandon Lott</t>
        </is>
      </c>
      <c r="C56" s="14" t="n"/>
      <c r="D56" s="14" t="n"/>
      <c r="E56" s="14" t="n"/>
      <c r="F56" s="14" t="n"/>
      <c r="G56" s="16" t="n"/>
      <c r="H56" s="14" t="n"/>
      <c r="I56" s="14" t="n"/>
      <c r="J56" s="15">
        <f>IF($B56="","",IF(OR($E56="TCOLE Instructor",AND(LEFT($E56,3)="SME",$H56="On File")),"Yes","No"))</f>
        <v/>
      </c>
    </row>
    <row r="57">
      <c r="B57" s="14" t="inlineStr">
        <is>
          <t>Ryan Tack</t>
        </is>
      </c>
      <c r="C57" s="14" t="n"/>
      <c r="D57" s="14" t="n"/>
      <c r="E57" s="14" t="n"/>
      <c r="F57" s="14" t="n"/>
      <c r="G57" s="16" t="n"/>
      <c r="H57" s="14" t="n"/>
      <c r="I57" s="14" t="n"/>
      <c r="J57" s="15">
        <f>IF($B57="","",IF(OR($E57="TCOLE Instructor",AND(LEFT($E57,3)="SME",$H57="On File")),"Yes","No"))</f>
        <v/>
      </c>
    </row>
    <row r="58">
      <c r="B58" s="14" t="inlineStr">
        <is>
          <t>Amanda Cook</t>
        </is>
      </c>
      <c r="C58" s="14" t="n"/>
      <c r="D58" s="14" t="n"/>
      <c r="E58" s="14" t="n"/>
      <c r="F58" s="14" t="n"/>
      <c r="G58" s="16" t="n"/>
      <c r="H58" s="14" t="n"/>
      <c r="I58" s="14" t="n"/>
      <c r="J58" s="15">
        <f>IF($B58="","",IF(OR($E58="TCOLE Instructor",AND(LEFT($E58,3)="SME",$H58="On File")),"Yes","No"))</f>
        <v/>
      </c>
    </row>
    <row r="59">
      <c r="B59" s="14" t="inlineStr">
        <is>
          <t>Teressa Dell</t>
        </is>
      </c>
      <c r="C59" s="14" t="n"/>
      <c r="D59" s="14" t="n"/>
      <c r="E59" s="14" t="n"/>
      <c r="F59" s="14" t="n"/>
      <c r="G59" s="16" t="n"/>
      <c r="H59" s="14" t="n"/>
      <c r="I59" s="14" t="n"/>
      <c r="J59" s="15">
        <f>IF($B59="","",IF(OR($E59="TCOLE Instructor",AND(LEFT($E59,3)="SME",$H59="On File")),"Yes","No"))</f>
        <v/>
      </c>
    </row>
    <row r="60">
      <c r="B60" s="14" t="inlineStr">
        <is>
          <t>Steve Black</t>
        </is>
      </c>
      <c r="C60" s="14" t="n"/>
      <c r="D60" s="14" t="n"/>
      <c r="E60" s="14" t="n"/>
      <c r="F60" s="14" t="n"/>
      <c r="G60" s="16" t="n"/>
      <c r="H60" s="14" t="n"/>
      <c r="I60" s="14" t="n"/>
      <c r="J60" s="15">
        <f>IF($B60="","",IF(OR($E60="TCOLE Instructor",AND(LEFT($E60,3)="SME",$H60="On File")),"Yes","No"))</f>
        <v/>
      </c>
    </row>
    <row r="61">
      <c r="B61" s="14" t="inlineStr">
        <is>
          <t>Chad Homer</t>
        </is>
      </c>
      <c r="C61" s="14" t="n"/>
      <c r="D61" s="14" t="n"/>
      <c r="E61" s="14" t="n"/>
      <c r="F61" s="14" t="n"/>
      <c r="G61" s="16" t="n"/>
      <c r="H61" s="14" t="n"/>
      <c r="I61" s="14" t="n"/>
      <c r="J61" s="15">
        <f>IF($B61="","",IF(OR($E61="TCOLE Instructor",AND(LEFT($E61,3)="SME",$H61="On File")),"Yes","No"))</f>
        <v/>
      </c>
    </row>
    <row r="62">
      <c r="B62" s="14" t="inlineStr">
        <is>
          <t>Mike Saxion</t>
        </is>
      </c>
      <c r="C62" s="14" t="n"/>
      <c r="D62" s="14" t="n"/>
      <c r="E62" s="14" t="n"/>
      <c r="F62" s="14" t="n"/>
      <c r="G62" s="16" t="n"/>
      <c r="H62" s="14" t="n"/>
      <c r="I62" s="14" t="n"/>
      <c r="J62" s="15">
        <f>IF($B62="","",IF(OR($E62="TCOLE Instructor",AND(LEFT($E62,3)="SME",$H62="On File")),"Yes","No"))</f>
        <v/>
      </c>
    </row>
    <row r="63">
      <c r="B63" s="14" t="inlineStr">
        <is>
          <t>Justin Utley</t>
        </is>
      </c>
      <c r="C63" s="14" t="n"/>
      <c r="D63" s="14" t="n"/>
      <c r="E63" s="14" t="n"/>
      <c r="F63" s="14" t="n"/>
      <c r="G63" s="16" t="n"/>
      <c r="H63" s="14" t="n"/>
      <c r="I63" s="14" t="n"/>
      <c r="J63" s="15">
        <f>IF($B63="","",IF(OR($E63="TCOLE Instructor",AND(LEFT($E63,3)="SME",$H63="On File")),"Yes","No"))</f>
        <v/>
      </c>
    </row>
    <row r="64">
      <c r="B64" s="14" t="inlineStr">
        <is>
          <t>Jason Burton</t>
        </is>
      </c>
      <c r="C64" s="14" t="n"/>
      <c r="D64" s="14" t="n"/>
      <c r="E64" s="14" t="n"/>
      <c r="F64" s="14" t="n"/>
      <c r="G64" s="16" t="n"/>
      <c r="H64" s="14" t="n"/>
      <c r="I64" s="14" t="n"/>
      <c r="J64" s="15">
        <f>IF($B64="","",IF(OR($E64="TCOLE Instructor",AND(LEFT($E64,3)="SME",$H64="On File")),"Yes","No"))</f>
        <v/>
      </c>
    </row>
    <row r="65">
      <c r="B65" s="14" t="n"/>
      <c r="C65" s="14" t="n"/>
      <c r="D65" s="14" t="n"/>
      <c r="E65" s="14" t="n"/>
      <c r="F65" s="14" t="n"/>
      <c r="G65" s="16" t="n"/>
      <c r="H65" s="14" t="n"/>
      <c r="I65" s="14" t="n"/>
      <c r="J65" s="15">
        <f>IF($B65="","",IF(OR($E65="TCOLE Instructor",AND(LEFT($E65,3)="SME",$H65="On File")),"Yes","No"))</f>
        <v/>
      </c>
    </row>
    <row r="66">
      <c r="B66" s="14" t="n"/>
      <c r="C66" s="14" t="n"/>
      <c r="D66" s="14" t="n"/>
      <c r="E66" s="14" t="n"/>
      <c r="F66" s="14" t="n"/>
      <c r="G66" s="16" t="n"/>
      <c r="H66" s="14" t="n"/>
      <c r="I66" s="14" t="n"/>
      <c r="J66" s="15">
        <f>IF($B66="","",IF(OR($E66="TCOLE Instructor",AND(LEFT($E66,3)="SME",$H66="On File")),"Yes","No"))</f>
        <v/>
      </c>
    </row>
    <row r="67">
      <c r="B67" s="14" t="n"/>
      <c r="C67" s="14" t="n"/>
      <c r="D67" s="14" t="n"/>
      <c r="E67" s="14" t="n"/>
      <c r="F67" s="14" t="n"/>
      <c r="G67" s="16" t="n"/>
      <c r="H67" s="14" t="n"/>
      <c r="I67" s="14" t="n"/>
      <c r="J67" s="15">
        <f>IF($B67="","",IF(OR($E67="TCOLE Instructor",AND(LEFT($E67,3)="SME",$H67="On File")),"Yes","No"))</f>
        <v/>
      </c>
    </row>
    <row r="68">
      <c r="B68" s="14" t="n"/>
      <c r="C68" s="14" t="n"/>
      <c r="D68" s="14" t="n"/>
      <c r="E68" s="14" t="n"/>
      <c r="F68" s="14" t="n"/>
      <c r="G68" s="16" t="n"/>
      <c r="H68" s="14" t="n"/>
      <c r="I68" s="14" t="n"/>
      <c r="J68" s="15">
        <f>IF($B68="","",IF(OR($E68="TCOLE Instructor",AND(LEFT($E68,3)="SME",$H68="On File")),"Yes","No"))</f>
        <v/>
      </c>
    </row>
    <row r="69">
      <c r="B69" s="14" t="n"/>
      <c r="C69" s="14" t="n"/>
      <c r="D69" s="14" t="n"/>
      <c r="E69" s="14" t="n"/>
      <c r="F69" s="14" t="n"/>
      <c r="G69" s="16" t="n"/>
      <c r="H69" s="14" t="n"/>
      <c r="I69" s="14" t="n"/>
      <c r="J69" s="15">
        <f>IF($B69="","",IF(OR($E69="TCOLE Instructor",AND(LEFT($E69,3)="SME",$H69="On File")),"Yes","No"))</f>
        <v/>
      </c>
    </row>
    <row r="70">
      <c r="B70" s="14" t="n"/>
      <c r="C70" s="14" t="n"/>
      <c r="D70" s="14" t="n"/>
      <c r="E70" s="14" t="n"/>
      <c r="F70" s="14" t="n"/>
      <c r="G70" s="16" t="n"/>
      <c r="H70" s="14" t="n"/>
      <c r="I70" s="14" t="n"/>
      <c r="J70" s="15">
        <f>IF($B70="","",IF(OR($E70="TCOLE Instructor",AND(LEFT($E70,3)="SME",$H70="On File")),"Yes","No"))</f>
        <v/>
      </c>
    </row>
    <row r="71">
      <c r="B71" s="14" t="n"/>
      <c r="C71" s="14" t="n"/>
      <c r="D71" s="14" t="n"/>
      <c r="E71" s="14" t="n"/>
      <c r="F71" s="14" t="n"/>
      <c r="G71" s="16" t="n"/>
      <c r="H71" s="14" t="n"/>
      <c r="I71" s="14" t="n"/>
      <c r="J71" s="15">
        <f>IF($B71="","",IF(OR($E71="TCOLE Instructor",AND(LEFT($E71,3)="SME",$H71="On File")),"Yes","No"))</f>
        <v/>
      </c>
    </row>
    <row r="72">
      <c r="B72" s="14" t="n"/>
      <c r="C72" s="14" t="n"/>
      <c r="D72" s="14" t="n"/>
      <c r="E72" s="14" t="n"/>
      <c r="F72" s="14" t="n"/>
      <c r="G72" s="16" t="n"/>
      <c r="H72" s="14" t="n"/>
      <c r="I72" s="14" t="n"/>
      <c r="J72" s="15">
        <f>IF($B72="","",IF(OR($E72="TCOLE Instructor",AND(LEFT($E72,3)="SME",$H72="On File")),"Yes","No"))</f>
        <v/>
      </c>
    </row>
    <row r="73">
      <c r="B73" s="14" t="n"/>
      <c r="C73" s="14" t="n"/>
      <c r="D73" s="14" t="n"/>
      <c r="E73" s="14" t="n"/>
      <c r="F73" s="14" t="n"/>
      <c r="G73" s="16" t="n"/>
      <c r="H73" s="14" t="n"/>
      <c r="I73" s="14" t="n"/>
      <c r="J73" s="15">
        <f>IF($B73="","",IF(OR($E73="TCOLE Instructor",AND(LEFT($E73,3)="SME",$H73="On File")),"Yes","No"))</f>
        <v/>
      </c>
    </row>
    <row r="74">
      <c r="B74" s="14" t="n"/>
      <c r="C74" s="14" t="n"/>
      <c r="D74" s="14" t="n"/>
      <c r="E74" s="14" t="n"/>
      <c r="F74" s="14" t="n"/>
      <c r="G74" s="16" t="n"/>
      <c r="H74" s="14" t="n"/>
      <c r="I74" s="14" t="n"/>
      <c r="J74" s="15">
        <f>IF($B74="","",IF(OR($E74="TCOLE Instructor",AND(LEFT($E74,3)="SME",$H74="On File")),"Yes","No"))</f>
        <v/>
      </c>
    </row>
    <row r="75">
      <c r="B75" s="14" t="n"/>
      <c r="C75" s="14" t="n"/>
      <c r="D75" s="14" t="n"/>
      <c r="E75" s="14" t="n"/>
      <c r="F75" s="14" t="n"/>
      <c r="G75" s="16" t="n"/>
      <c r="H75" s="14" t="n"/>
      <c r="I75" s="14" t="n"/>
      <c r="J75" s="15">
        <f>IF($B75="","",IF(OR($E75="TCOLE Instructor",AND(LEFT($E75,3)="SME",$H75="On File")),"Yes","No"))</f>
        <v/>
      </c>
    </row>
    <row r="76">
      <c r="B76" s="14" t="n"/>
      <c r="C76" s="14" t="n"/>
      <c r="D76" s="14" t="n"/>
      <c r="E76" s="14" t="n"/>
      <c r="F76" s="14" t="n"/>
      <c r="G76" s="16" t="n"/>
      <c r="H76" s="14" t="n"/>
      <c r="I76" s="14" t="n"/>
      <c r="J76" s="15">
        <f>IF($B76="","",IF(OR($E76="TCOLE Instructor",AND(LEFT($E76,3)="SME",$H76="On File")),"Yes","No"))</f>
        <v/>
      </c>
    </row>
    <row r="77">
      <c r="B77" s="14" t="n"/>
      <c r="C77" s="14" t="n"/>
      <c r="D77" s="14" t="n"/>
      <c r="E77" s="14" t="n"/>
      <c r="F77" s="14" t="n"/>
      <c r="G77" s="16" t="n"/>
      <c r="H77" s="14" t="n"/>
      <c r="I77" s="14" t="n"/>
      <c r="J77" s="15">
        <f>IF($B77="","",IF(OR($E77="TCOLE Instructor",AND(LEFT($E77,3)="SME",$H77="On File")),"Yes","No"))</f>
        <v/>
      </c>
    </row>
    <row r="78">
      <c r="B78" s="14" t="n"/>
      <c r="C78" s="14" t="n"/>
      <c r="D78" s="14" t="n"/>
      <c r="E78" s="14" t="n"/>
      <c r="F78" s="14" t="n"/>
      <c r="G78" s="16" t="n"/>
      <c r="H78" s="14" t="n"/>
      <c r="I78" s="14" t="n"/>
      <c r="J78" s="15">
        <f>IF($B78="","",IF(OR($E78="TCOLE Instructor",AND(LEFT($E78,3)="SME",$H78="On File")),"Yes","No"))</f>
        <v/>
      </c>
    </row>
    <row r="79">
      <c r="B79" s="14" t="n"/>
      <c r="C79" s="14" t="n"/>
      <c r="D79" s="14" t="n"/>
      <c r="E79" s="14" t="n"/>
      <c r="F79" s="14" t="n"/>
      <c r="G79" s="16" t="n"/>
      <c r="H79" s="14" t="n"/>
      <c r="I79" s="14" t="n"/>
      <c r="J79" s="15">
        <f>IF($B79="","",IF(OR($E79="TCOLE Instructor",AND(LEFT($E79,3)="SME",$H79="On File")),"Yes","No"))</f>
        <v/>
      </c>
    </row>
    <row r="80">
      <c r="B80" s="14" t="n"/>
      <c r="C80" s="14" t="n"/>
      <c r="D80" s="14" t="n"/>
      <c r="E80" s="14" t="n"/>
      <c r="F80" s="14" t="n"/>
      <c r="G80" s="16" t="n"/>
      <c r="H80" s="14" t="n"/>
      <c r="I80" s="14" t="n"/>
      <c r="J80" s="15">
        <f>IF($B80="","",IF(OR($E80="TCOLE Instructor",AND(LEFT($E80,3)="SME",$H80="On File")),"Yes","No"))</f>
        <v/>
      </c>
    </row>
    <row r="81">
      <c r="B81" s="14" t="n"/>
      <c r="C81" s="14" t="n"/>
      <c r="D81" s="14" t="n"/>
      <c r="E81" s="14" t="n"/>
      <c r="F81" s="14" t="n"/>
      <c r="G81" s="16" t="n"/>
      <c r="H81" s="14" t="n"/>
      <c r="I81" s="14" t="n"/>
      <c r="J81" s="15">
        <f>IF($B81="","",IF(OR($E81="TCOLE Instructor",AND(LEFT($E81,3)="SME",$H81="On File")),"Yes","No"))</f>
        <v/>
      </c>
    </row>
    <row r="82">
      <c r="B82" s="14" t="n"/>
      <c r="C82" s="14" t="n"/>
      <c r="D82" s="14" t="n"/>
      <c r="E82" s="14" t="n"/>
      <c r="F82" s="14" t="n"/>
      <c r="G82" s="16" t="n"/>
      <c r="H82" s="14" t="n"/>
      <c r="I82" s="14" t="n"/>
      <c r="J82" s="15">
        <f>IF($B82="","",IF(OR($E82="TCOLE Instructor",AND(LEFT($E82,3)="SME",$H82="On File")),"Yes","No"))</f>
        <v/>
      </c>
    </row>
    <row r="83">
      <c r="B83" s="14" t="n"/>
      <c r="C83" s="14" t="n"/>
      <c r="D83" s="14" t="n"/>
      <c r="E83" s="14" t="n"/>
      <c r="F83" s="14" t="n"/>
      <c r="G83" s="16" t="n"/>
      <c r="H83" s="14" t="n"/>
      <c r="I83" s="14" t="n"/>
      <c r="J83" s="15">
        <f>IF($B83="","",IF(OR($E83="TCOLE Instructor",AND(LEFT($E83,3)="SME",$H83="On File")),"Yes","No"))</f>
        <v/>
      </c>
    </row>
    <row r="84">
      <c r="B84" s="14" t="n"/>
      <c r="C84" s="14" t="n"/>
      <c r="D84" s="14" t="n"/>
      <c r="E84" s="14" t="n"/>
      <c r="F84" s="14" t="n"/>
      <c r="G84" s="16" t="n"/>
      <c r="H84" s="14" t="n"/>
      <c r="I84" s="14" t="n"/>
      <c r="J84" s="15">
        <f>IF($B84="","",IF(OR($E84="TCOLE Instructor",AND(LEFT($E84,3)="SME",$H84="On File")),"Yes","No"))</f>
        <v/>
      </c>
    </row>
    <row r="85">
      <c r="B85" s="14" t="n"/>
      <c r="C85" s="14" t="n"/>
      <c r="D85" s="14" t="n"/>
      <c r="E85" s="14" t="n"/>
      <c r="F85" s="14" t="n"/>
      <c r="G85" s="16" t="n"/>
      <c r="H85" s="14" t="n"/>
      <c r="I85" s="14" t="n"/>
      <c r="J85" s="15">
        <f>IF($B85="","",IF(OR($E85="TCOLE Instructor",AND(LEFT($E85,3)="SME",$H85="On File")),"Yes","No"))</f>
        <v/>
      </c>
    </row>
  </sheetData>
  <conditionalFormatting sqref="J6:J85">
    <cfRule type="cellIs" priority="1" operator="equal" dxfId="1">
      <formula>"Yes"</formula>
    </cfRule>
    <cfRule type="cellIs" priority="2" operator="equal" dxfId="0">
      <formula>"No"</formula>
    </cfRule>
  </conditionalFormatting>
  <dataValidations count="2">
    <dataValidation sqref="E6:E85" showDropDown="0" showInputMessage="0" showErrorMessage="1" allowBlank="1" type="list">
      <formula1>=lstInstructorType</formula1>
    </dataValidation>
    <dataValidation sqref="H6:H85" showDropDown="0" showInputMessage="0" showErrorMessage="1" allowBlank="1" type="list">
      <formula1>=lstMaterialsStatus</formula1>
    </dataValidation>
  </dataValidations>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U52"/>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row r="2"/>
    <row r="3"/>
    <row r="4">
      <c r="B4" s="8"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9" t="inlineStr">
        <is>
          <t>Module</t>
        </is>
      </c>
      <c r="C5" s="9" t="inlineStr">
        <is>
          <t>Ch #</t>
        </is>
      </c>
      <c r="D5" s="9" t="inlineStr">
        <is>
          <t>Chapter Name</t>
        </is>
      </c>
      <c r="E5" s="9" t="inlineStr">
        <is>
          <t>TCOLE Min Hrs</t>
        </is>
      </c>
      <c r="F5" s="9" t="inlineStr">
        <is>
          <t>Planned Hrs</t>
        </is>
      </c>
      <c r="G5" s="9" t="inlineStr">
        <is>
          <t>Delivered Hrs</t>
        </is>
      </c>
      <c r="H5" s="9" t="inlineStr">
        <is>
          <t>vs TCOLE Min</t>
        </is>
      </c>
      <c r="I5" s="9" t="inlineStr">
        <is>
          <t>First Taught</t>
        </is>
      </c>
      <c r="J5" s="9" t="inlineStr">
        <is>
          <t>Last Taught</t>
        </is>
      </c>
      <c r="K5" s="9" t="inlineStr">
        <is>
          <t>Default Instructor</t>
        </is>
      </c>
      <c r="L5" s="9" t="inlineStr">
        <is>
          <t>Lesson Plan (SME)</t>
        </is>
      </c>
      <c r="M5" s="9" t="inlineStr">
        <is>
          <t>Instructor Bio</t>
        </is>
      </c>
      <c r="N5" s="9" t="inlineStr">
        <is>
          <t>Sign-In Sheets</t>
        </is>
      </c>
      <c r="O5" s="9" t="inlineStr">
        <is>
          <t>Assessment</t>
        </is>
      </c>
      <c r="P5" s="9" t="inlineStr">
        <is>
          <t>Grade Sheet</t>
        </is>
      </c>
      <c r="Q5" s="9" t="inlineStr">
        <is>
          <t>Evals Collected</t>
        </is>
      </c>
      <c r="R5" s="9" t="inlineStr">
        <is>
          <t>Handouts/PPT (opt.)</t>
        </is>
      </c>
      <c r="S5" s="9" t="inlineStr">
        <is>
          <t>Special TCOLE Requirement</t>
        </is>
      </c>
      <c r="T5" s="9" t="inlineStr">
        <is>
          <t>Special Req Met?</t>
        </is>
      </c>
      <c r="U5" s="9" t="inlineStr">
        <is>
          <t>File Complete?</t>
        </is>
      </c>
    </row>
    <row r="6">
      <c r="B6" s="14" t="inlineStr">
        <is>
          <t>A</t>
        </is>
      </c>
      <c r="C6" s="14" t="inlineStr">
        <is>
          <t>0</t>
        </is>
      </c>
      <c r="D6" s="14" t="inlineStr">
        <is>
          <t>Administrative/Departmental Overview</t>
        </is>
      </c>
      <c r="E6" s="14" t="n">
        <v>0</v>
      </c>
      <c r="F6" s="14" t="n">
        <v>0</v>
      </c>
      <c r="G6" s="15">
        <f>IF($D6="","",ROUND(SUMIFS(nrSCH_Hrs,nrSCH_Act,$D6),2))</f>
        <v/>
      </c>
      <c r="H6" s="15">
        <f>IF($D6="","",IF($G6=0,"",$G6-$E6))</f>
        <v/>
      </c>
      <c r="I6" s="17">
        <f>IF($D6="","",IFERROR(IF(_xlfn.MINIFS(nrSCH_Date,nrSCH_Act,$D6)=0,"",_xlfn.MINIFS(nrSCH_Date,nrSCH_Act,$D6)),""))</f>
        <v/>
      </c>
      <c r="J6" s="17">
        <f>IF($D6="","",IFERROR(IF(_xlfn.MAXIFS(nrSCH_Date,nrSCH_Act,$D6)=0,"",_xlfn.MAXIFS(nrSCH_Date,nrSCH_Act,$D6)),""))</f>
        <v/>
      </c>
      <c r="K6" s="14" t="n"/>
      <c r="L6" s="14" t="n"/>
      <c r="M6" s="14" t="n"/>
      <c r="N6" s="14" t="n"/>
      <c r="O6" s="14" t="n"/>
      <c r="P6" s="14" t="n"/>
      <c r="Q6" s="14" t="n"/>
      <c r="R6" s="14" t="n"/>
      <c r="S6" s="38" t="n"/>
      <c r="T6" s="14" t="n"/>
      <c r="U6" s="15">
        <f>IF($D6="","",IF(AND(COUNTIF(L6:P6,"On File")+COUNTIF(L6:P6,"N/A")=5,OR($Q6="On File",$Q6="N/A"),OR($S6="",$T6="Yes",$T6="N/A")),"Yes","No"))</f>
        <v/>
      </c>
    </row>
    <row r="7">
      <c r="B7" s="14" t="inlineStr">
        <is>
          <t>B</t>
        </is>
      </c>
      <c r="C7" s="14" t="inlineStr">
        <is>
          <t>1</t>
        </is>
      </c>
      <c r="D7" s="14" t="inlineStr">
        <is>
          <t>Professionalism and Ethics</t>
        </is>
      </c>
      <c r="E7" s="14" t="n">
        <v>12</v>
      </c>
      <c r="F7" s="14" t="n">
        <v>12</v>
      </c>
      <c r="G7" s="15">
        <f>IF($D7="","",ROUND(SUMIFS(nrSCH_Hrs,nrSCH_Act,$D7),2))</f>
        <v/>
      </c>
      <c r="H7" s="15">
        <f>IF($D7="","",IF($G7=0,"",$G7-$E7))</f>
        <v/>
      </c>
      <c r="I7" s="17">
        <f>IF($D7="","",IFERROR(IF(_xlfn.MINIFS(nrSCH_Date,nrSCH_Act,$D7)=0,"",_xlfn.MINIFS(nrSCH_Date,nrSCH_Act,$D7)),""))</f>
        <v/>
      </c>
      <c r="J7" s="17">
        <f>IF($D7="","",IFERROR(IF(_xlfn.MAXIFS(nrSCH_Date,nrSCH_Act,$D7)=0,"",_xlfn.MAXIFS(nrSCH_Date,nrSCH_Act,$D7)),""))</f>
        <v/>
      </c>
      <c r="K7" s="14" t="n"/>
      <c r="L7" s="14" t="n"/>
      <c r="M7" s="14" t="n"/>
      <c r="N7" s="14" t="n"/>
      <c r="O7" s="14" t="n"/>
      <c r="P7" s="14" t="n"/>
      <c r="Q7" s="14" t="n"/>
      <c r="R7" s="14" t="n"/>
      <c r="S7" s="38" t="n"/>
      <c r="T7" s="14" t="n"/>
      <c r="U7" s="15">
        <f>IF($D7="","",IF(AND(COUNTIF(L7:P7,"On File")+COUNTIF(L7:P7,"N/A")=5,OR($Q7="On File",$Q7="N/A"),OR($S7="",$T7="Yes",$T7="N/A")),"Yes","No"))</f>
        <v/>
      </c>
    </row>
    <row r="8">
      <c r="B8" s="14" t="inlineStr">
        <is>
          <t>B</t>
        </is>
      </c>
      <c r="C8" s="14" t="inlineStr">
        <is>
          <t>2</t>
        </is>
      </c>
      <c r="D8" s="14" t="inlineStr">
        <is>
          <t>Professional Policing</t>
        </is>
      </c>
      <c r="E8" s="14" t="n">
        <v>12</v>
      </c>
      <c r="F8" s="14" t="n">
        <v>12</v>
      </c>
      <c r="G8" s="15">
        <f>IF($D8="","",ROUND(SUMIFS(nrSCH_Hrs,nrSCH_Act,$D8),2))</f>
        <v/>
      </c>
      <c r="H8" s="15">
        <f>IF($D8="","",IF($G8=0,"",$G8-$E8))</f>
        <v/>
      </c>
      <c r="I8" s="17">
        <f>IF($D8="","",IFERROR(IF(_xlfn.MINIFS(nrSCH_Date,nrSCH_Act,$D8)=0,"",_xlfn.MINIFS(nrSCH_Date,nrSCH_Act,$D8)),""))</f>
        <v/>
      </c>
      <c r="J8" s="17">
        <f>IF($D8="","",IFERROR(IF(_xlfn.MAXIFS(nrSCH_Date,nrSCH_Act,$D8)=0,"",_xlfn.MAXIFS(nrSCH_Date,nrSCH_Act,$D8)),""))</f>
        <v/>
      </c>
      <c r="K8" s="14" t="n"/>
      <c r="L8" s="14" t="n"/>
      <c r="M8" s="14" t="n"/>
      <c r="N8" s="14" t="n"/>
      <c r="O8" s="14" t="n"/>
      <c r="P8" s="14" t="n"/>
      <c r="Q8" s="14" t="n"/>
      <c r="R8" s="14" t="n"/>
      <c r="S8" s="38" t="inlineStr">
        <is>
          <t>Crime Stoppers Texas Course #22911 delivered here (not reported separately)</t>
        </is>
      </c>
      <c r="T8" s="14" t="n"/>
      <c r="U8" s="15">
        <f>IF($D8="","",IF(AND(COUNTIF(L8:P8,"On File")+COUNTIF(L8:P8,"N/A")=5,OR($Q8="On File",$Q8="N/A"),OR($S8="",$T8="Yes",$T8="N/A")),"Yes","No"))</f>
        <v/>
      </c>
    </row>
    <row r="9">
      <c r="B9" s="14" t="inlineStr">
        <is>
          <t>B</t>
        </is>
      </c>
      <c r="C9" s="14" t="inlineStr">
        <is>
          <t>3</t>
        </is>
      </c>
      <c r="D9" s="14" t="inlineStr">
        <is>
          <t>Fitness, Wellness, and Stress Management</t>
        </is>
      </c>
      <c r="E9" s="14" t="n">
        <v>16</v>
      </c>
      <c r="F9" s="14" t="n">
        <v>16</v>
      </c>
      <c r="G9" s="15">
        <f>IF($D9="","",ROUND(SUMIFS(nrSCH_Hrs,nrSCH_Act,$D9),2))</f>
        <v/>
      </c>
      <c r="H9" s="15">
        <f>IF($D9="","",IF($G9=0,"",$G9-$E9))</f>
        <v/>
      </c>
      <c r="I9" s="17">
        <f>IF($D9="","",IFERROR(IF(_xlfn.MINIFS(nrSCH_Date,nrSCH_Act,$D9)=0,"",_xlfn.MINIFS(nrSCH_Date,nrSCH_Act,$D9)),""))</f>
        <v/>
      </c>
      <c r="J9" s="17">
        <f>IF($D9="","",IFERROR(IF(_xlfn.MAXIFS(nrSCH_Date,nrSCH_Act,$D9)=0,"",_xlfn.MAXIFS(nrSCH_Date,nrSCH_Act,$D9)),""))</f>
        <v/>
      </c>
      <c r="K9" s="14" t="n"/>
      <c r="L9" s="14" t="n"/>
      <c r="M9" s="14" t="n"/>
      <c r="N9" s="14" t="n"/>
      <c r="O9" s="14" t="n"/>
      <c r="P9" s="14" t="n"/>
      <c r="Q9" s="14" t="n"/>
      <c r="R9" s="14" t="n"/>
      <c r="S9" s="38" t="n"/>
      <c r="T9" s="14" t="n"/>
      <c r="U9" s="15">
        <f>IF($D9="","",IF(AND(COUNTIF(L9:P9,"On File")+COUNTIF(L9:P9,"N/A")=5,OR($Q9="On File",$Q9="N/A"),OR($S9="",$T9="Yes",$T9="N/A")),"Yes","No"))</f>
        <v/>
      </c>
    </row>
    <row r="10">
      <c r="B10" s="14" t="inlineStr">
        <is>
          <t>B</t>
        </is>
      </c>
      <c r="C10" s="14" t="inlineStr">
        <is>
          <t>4</t>
        </is>
      </c>
      <c r="D10" s="14" t="inlineStr">
        <is>
          <t>TCOLE Rules</t>
        </is>
      </c>
      <c r="E10" s="14" t="n">
        <v>4</v>
      </c>
      <c r="F10" s="14" t="n">
        <v>4</v>
      </c>
      <c r="G10" s="15">
        <f>IF($D10="","",ROUND(SUMIFS(nrSCH_Hrs,nrSCH_Act,$D10),2))</f>
        <v/>
      </c>
      <c r="H10" s="15">
        <f>IF($D10="","",IF($G10=0,"",$G10-$E10))</f>
        <v/>
      </c>
      <c r="I10" s="17">
        <f>IF($D10="","",IFERROR(IF(_xlfn.MINIFS(nrSCH_Date,nrSCH_Act,$D10)=0,"",_xlfn.MINIFS(nrSCH_Date,nrSCH_Act,$D10)),""))</f>
        <v/>
      </c>
      <c r="J10" s="17">
        <f>IF($D10="","",IFERROR(IF(_xlfn.MAXIFS(nrSCH_Date,nrSCH_Act,$D10)=0,"",_xlfn.MAXIFS(nrSCH_Date,nrSCH_Act,$D10)),""))</f>
        <v/>
      </c>
      <c r="K10" s="14" t="n"/>
      <c r="L10" s="14" t="n"/>
      <c r="M10" s="14" t="n"/>
      <c r="N10" s="14" t="n"/>
      <c r="O10" s="14" t="n"/>
      <c r="P10" s="14" t="n"/>
      <c r="Q10" s="14" t="n"/>
      <c r="R10" s="14" t="n"/>
      <c r="S10" s="38" t="n"/>
      <c r="T10" s="14" t="n"/>
      <c r="U10" s="15">
        <f>IF($D10="","",IF(AND(COUNTIF(L10:P10,"On File")+COUNTIF(L10:P10,"N/A")=5,OR($Q10="On File",$Q10="N/A"),OR($S10="",$T10="Yes",$T10="N/A")),"Yes","No"))</f>
        <v/>
      </c>
    </row>
    <row r="11">
      <c r="B11" s="14" t="inlineStr">
        <is>
          <t>B</t>
        </is>
      </c>
      <c r="C11" s="14" t="inlineStr">
        <is>
          <t>5</t>
        </is>
      </c>
      <c r="D11" s="14" t="inlineStr">
        <is>
          <t>Multiculturalism and Human Relations</t>
        </is>
      </c>
      <c r="E11" s="14" t="n">
        <v>8</v>
      </c>
      <c r="F11" s="14" t="n">
        <v>8</v>
      </c>
      <c r="G11" s="15">
        <f>IF($D11="","",ROUND(SUMIFS(nrSCH_Hrs,nrSCH_Act,$D11),2))</f>
        <v/>
      </c>
      <c r="H11" s="15">
        <f>IF($D11="","",IF($G11=0,"",$G11-$E11))</f>
        <v/>
      </c>
      <c r="I11" s="17">
        <f>IF($D11="","",IFERROR(IF(_xlfn.MINIFS(nrSCH_Date,nrSCH_Act,$D11)=0,"",_xlfn.MINIFS(nrSCH_Date,nrSCH_Act,$D11)),""))</f>
        <v/>
      </c>
      <c r="J11" s="17">
        <f>IF($D11="","",IFERROR(IF(_xlfn.MAXIFS(nrSCH_Date,nrSCH_Act,$D11)=0,"",_xlfn.MAXIFS(nrSCH_Date,nrSCH_Act,$D11)),""))</f>
        <v/>
      </c>
      <c r="K11" s="14" t="n"/>
      <c r="L11" s="14" t="n"/>
      <c r="M11" s="14" t="n"/>
      <c r="N11" s="14" t="n"/>
      <c r="O11" s="14" t="n"/>
      <c r="P11" s="14" t="n"/>
      <c r="Q11" s="14" t="n"/>
      <c r="R11" s="14" t="n"/>
      <c r="S11" s="38" t="n"/>
      <c r="T11" s="14" t="n"/>
      <c r="U11" s="15">
        <f>IF($D11="","",IF(AND(COUNTIF(L11:P11,"On File")+COUNTIF(L11:P11,"N/A")=5,OR($Q11="On File",$Q11="N/A"),OR($S11="",$T11="Yes",$T11="N/A")),"Yes","No"))</f>
        <v/>
      </c>
    </row>
    <row r="12">
      <c r="B12" s="14" t="inlineStr">
        <is>
          <t>B</t>
        </is>
      </c>
      <c r="C12" s="14" t="inlineStr">
        <is>
          <t>6</t>
        </is>
      </c>
      <c r="D12" s="14" t="inlineStr">
        <is>
          <t>Racial Profiling</t>
        </is>
      </c>
      <c r="E12" s="14" t="n">
        <v>4</v>
      </c>
      <c r="F12" s="14" t="n">
        <v>4</v>
      </c>
      <c r="G12" s="15">
        <f>IF($D12="","",ROUND(SUMIFS(nrSCH_Hrs,nrSCH_Act,$D12),2))</f>
        <v/>
      </c>
      <c r="H12" s="15">
        <f>IF($D12="","",IF($G12=0,"",$G12-$E12))</f>
        <v/>
      </c>
      <c r="I12" s="17">
        <f>IF($D12="","",IFERROR(IF(_xlfn.MINIFS(nrSCH_Date,nrSCH_Act,$D12)=0,"",_xlfn.MINIFS(nrSCH_Date,nrSCH_Act,$D12)),""))</f>
        <v/>
      </c>
      <c r="J12" s="17">
        <f>IF($D12="","",IFERROR(IF(_xlfn.MAXIFS(nrSCH_Date,nrSCH_Act,$D12)=0,"",_xlfn.MAXIFS(nrSCH_Date,nrSCH_Act,$D12)),""))</f>
        <v/>
      </c>
      <c r="K12" s="14" t="n"/>
      <c r="L12" s="14" t="n"/>
      <c r="M12" s="14" t="n"/>
      <c r="N12" s="14" t="n"/>
      <c r="O12" s="14" t="n"/>
      <c r="P12" s="14" t="n"/>
      <c r="Q12" s="14" t="n"/>
      <c r="R12" s="14" t="n"/>
      <c r="S12" s="38" t="n"/>
      <c r="T12" s="14" t="n"/>
      <c r="U12" s="15">
        <f>IF($D12="","",IF(AND(COUNTIF(L12:P12,"On File")+COUNTIF(L12:P12,"N/A")=5,OR($Q12="On File",$Q12="N/A"),OR($S12="",$T12="Yes",$T12="N/A")),"Yes","No"))</f>
        <v/>
      </c>
    </row>
    <row r="13">
      <c r="B13" s="14" t="inlineStr">
        <is>
          <t>C</t>
        </is>
      </c>
      <c r="C13" s="14" t="inlineStr">
        <is>
          <t>7</t>
        </is>
      </c>
      <c r="D13" s="14" t="inlineStr">
        <is>
          <t>US, Texas Constitution and Rights</t>
        </is>
      </c>
      <c r="E13" s="14" t="n">
        <v>10</v>
      </c>
      <c r="F13" s="14" t="n">
        <v>10</v>
      </c>
      <c r="G13" s="15">
        <f>IF($D13="","",ROUND(SUMIFS(nrSCH_Hrs,nrSCH_Act,$D13),2))</f>
        <v/>
      </c>
      <c r="H13" s="15">
        <f>IF($D13="","",IF($G13=0,"",$G13-$E13))</f>
        <v/>
      </c>
      <c r="I13" s="17">
        <f>IF($D13="","",IFERROR(IF(_xlfn.MINIFS(nrSCH_Date,nrSCH_Act,$D13)=0,"",_xlfn.MINIFS(nrSCH_Date,nrSCH_Act,$D13)),""))</f>
        <v/>
      </c>
      <c r="J13" s="17">
        <f>IF($D13="","",IFERROR(IF(_xlfn.MAXIFS(nrSCH_Date,nrSCH_Act,$D13)=0,"",_xlfn.MAXIFS(nrSCH_Date,nrSCH_Act,$D13)),""))</f>
        <v/>
      </c>
      <c r="K13" s="14" t="n"/>
      <c r="L13" s="14" t="n"/>
      <c r="M13" s="14" t="n"/>
      <c r="N13" s="14" t="n"/>
      <c r="O13" s="14" t="n"/>
      <c r="P13" s="14" t="n"/>
      <c r="Q13" s="14" t="n"/>
      <c r="R13" s="14" t="n"/>
      <c r="S13" s="38" t="n"/>
      <c r="T13" s="14" t="n"/>
      <c r="U13" s="15">
        <f>IF($D13="","",IF(AND(COUNTIF(L13:P13,"On File")+COUNTIF(L13:P13,"N/A")=5,OR($Q13="On File",$Q13="N/A"),OR($S13="",$T13="Yes",$T13="N/A")),"Yes","No"))</f>
        <v/>
      </c>
    </row>
    <row r="14">
      <c r="B14" s="14" t="inlineStr">
        <is>
          <t>C</t>
        </is>
      </c>
      <c r="C14" s="14" t="inlineStr">
        <is>
          <t>8</t>
        </is>
      </c>
      <c r="D14" s="14" t="inlineStr">
        <is>
          <t>Penal Code</t>
        </is>
      </c>
      <c r="E14" s="14" t="n">
        <v>50</v>
      </c>
      <c r="F14" s="14" t="n">
        <v>60</v>
      </c>
      <c r="G14" s="15">
        <f>IF($D14="","",ROUND(SUMIFS(nrSCH_Hrs,nrSCH_Act,$D14),2))</f>
        <v/>
      </c>
      <c r="H14" s="15">
        <f>IF($D14="","",IF($G14=0,"",$G14-$E14))</f>
        <v/>
      </c>
      <c r="I14" s="17">
        <f>IF($D14="","",IFERROR(IF(_xlfn.MINIFS(nrSCH_Date,nrSCH_Act,$D14)=0,"",_xlfn.MINIFS(nrSCH_Date,nrSCH_Act,$D14)),""))</f>
        <v/>
      </c>
      <c r="J14" s="17">
        <f>IF($D14="","",IFERROR(IF(_xlfn.MAXIFS(nrSCH_Date,nrSCH_Act,$D14)=0,"",_xlfn.MAXIFS(nrSCH_Date,nrSCH_Act,$D14)),""))</f>
        <v/>
      </c>
      <c r="K14" s="14" t="n"/>
      <c r="L14" s="14" t="n"/>
      <c r="M14" s="14" t="n"/>
      <c r="N14" s="14" t="n"/>
      <c r="O14" s="14" t="n"/>
      <c r="P14" s="14" t="n"/>
      <c r="Q14" s="14" t="n"/>
      <c r="R14" s="14" t="n"/>
      <c r="S14" s="38" t="n"/>
      <c r="T14" s="14" t="n"/>
      <c r="U14" s="15">
        <f>IF($D14="","",IF(AND(COUNTIF(L14:P14,"On File")+COUNTIF(L14:P14,"N/A")=5,OR($Q14="On File",$Q14="N/A"),OR($S14="",$T14="Yes",$T14="N/A")),"Yes","No"))</f>
        <v/>
      </c>
    </row>
    <row r="15">
      <c r="B15" s="14" t="inlineStr">
        <is>
          <t>C</t>
        </is>
      </c>
      <c r="C15" s="14" t="inlineStr">
        <is>
          <t>9</t>
        </is>
      </c>
      <c r="D15" s="14" t="inlineStr">
        <is>
          <t>Code of Criminal Procedure</t>
        </is>
      </c>
      <c r="E15" s="14" t="n">
        <v>12</v>
      </c>
      <c r="F15" s="14" t="n">
        <v>12</v>
      </c>
      <c r="G15" s="15">
        <f>IF($D15="","",ROUND(SUMIFS(nrSCH_Hrs,nrSCH_Act,$D15),2))</f>
        <v/>
      </c>
      <c r="H15" s="15">
        <f>IF($D15="","",IF($G15=0,"",$G15-$E15))</f>
        <v/>
      </c>
      <c r="I15" s="17">
        <f>IF($D15="","",IFERROR(IF(_xlfn.MINIFS(nrSCH_Date,nrSCH_Act,$D15)=0,"",_xlfn.MINIFS(nrSCH_Date,nrSCH_Act,$D15)),""))</f>
        <v/>
      </c>
      <c r="J15" s="17">
        <f>IF($D15="","",IFERROR(IF(_xlfn.MAXIFS(nrSCH_Date,nrSCH_Act,$D15)=0,"",_xlfn.MAXIFS(nrSCH_Date,nrSCH_Act,$D15)),""))</f>
        <v/>
      </c>
      <c r="K15" s="14" t="n"/>
      <c r="L15" s="14" t="n"/>
      <c r="M15" s="14" t="n"/>
      <c r="N15" s="14" t="n"/>
      <c r="O15" s="14" t="n"/>
      <c r="P15" s="14" t="n"/>
      <c r="Q15" s="14" t="n"/>
      <c r="R15" s="14" t="n"/>
      <c r="S15" s="38" t="n"/>
      <c r="T15" s="14" t="n"/>
      <c r="U15" s="15">
        <f>IF($D15="","",IF(AND(COUNTIF(L15:P15,"On File")+COUNTIF(L15:P15,"N/A")=5,OR($Q15="On File",$Q15="N/A"),OR($S15="",$T15="Yes",$T15="N/A")),"Yes","No"))</f>
        <v/>
      </c>
    </row>
    <row r="16">
      <c r="B16" s="14" t="inlineStr">
        <is>
          <t>C</t>
        </is>
      </c>
      <c r="C16" s="14" t="inlineStr">
        <is>
          <t>10</t>
        </is>
      </c>
      <c r="D16" s="14" t="inlineStr">
        <is>
          <t>Arrest, Search, and Seizure</t>
        </is>
      </c>
      <c r="E16" s="14" t="n">
        <v>40</v>
      </c>
      <c r="F16" s="14" t="n">
        <v>46</v>
      </c>
      <c r="G16" s="15">
        <f>IF($D16="","",ROUND(SUMIFS(nrSCH_Hrs,nrSCH_Act,$D16),2))</f>
        <v/>
      </c>
      <c r="H16" s="15">
        <f>IF($D16="","",IF($G16=0,"",$G16-$E16))</f>
        <v/>
      </c>
      <c r="I16" s="17">
        <f>IF($D16="","",IFERROR(IF(_xlfn.MINIFS(nrSCH_Date,nrSCH_Act,$D16)=0,"",_xlfn.MINIFS(nrSCH_Date,nrSCH_Act,$D16)),""))</f>
        <v/>
      </c>
      <c r="J16" s="17">
        <f>IF($D16="","",IFERROR(IF(_xlfn.MAXIFS(nrSCH_Date,nrSCH_Act,$D16)=0,"",_xlfn.MAXIFS(nrSCH_Date,nrSCH_Act,$D16)),""))</f>
        <v/>
      </c>
      <c r="K16" s="14" t="n"/>
      <c r="L16" s="14" t="n"/>
      <c r="M16" s="14" t="n"/>
      <c r="N16" s="14" t="n"/>
      <c r="O16" s="14" t="n"/>
      <c r="P16" s="14" t="n"/>
      <c r="Q16" s="14" t="n"/>
      <c r="R16" s="14" t="n"/>
      <c r="S16" s="38" t="n"/>
      <c r="T16" s="14" t="n"/>
      <c r="U16" s="15">
        <f>IF($D16="","",IF(AND(COUNTIF(L16:P16,"On File")+COUNTIF(L16:P16,"N/A")=5,OR($Q16="On File",$Q16="N/A"),OR($S16="",$T16="Yes",$T16="N/A")),"Yes","No"))</f>
        <v/>
      </c>
    </row>
    <row r="17">
      <c r="B17" s="14" t="inlineStr">
        <is>
          <t>C</t>
        </is>
      </c>
      <c r="C17" s="14" t="inlineStr">
        <is>
          <t>11</t>
        </is>
      </c>
      <c r="D17" s="14" t="inlineStr">
        <is>
          <t>Asset Forfeiture</t>
        </is>
      </c>
      <c r="E17" s="14" t="n">
        <v>4</v>
      </c>
      <c r="F17" s="14" t="n">
        <v>5</v>
      </c>
      <c r="G17" s="15">
        <f>IF($D17="","",ROUND(SUMIFS(nrSCH_Hrs,nrSCH_Act,$D17),2))</f>
        <v/>
      </c>
      <c r="H17" s="15">
        <f>IF($D17="","",IF($G17=0,"",$G17-$E17))</f>
        <v/>
      </c>
      <c r="I17" s="17">
        <f>IF($D17="","",IFERROR(IF(_xlfn.MINIFS(nrSCH_Date,nrSCH_Act,$D17)=0,"",_xlfn.MINIFS(nrSCH_Date,nrSCH_Act,$D17)),""))</f>
        <v/>
      </c>
      <c r="J17" s="17">
        <f>IF($D17="","",IFERROR(IF(_xlfn.MAXIFS(nrSCH_Date,nrSCH_Act,$D17)=0,"",_xlfn.MAXIFS(nrSCH_Date,nrSCH_Act,$D17)),""))</f>
        <v/>
      </c>
      <c r="K17" s="14" t="n"/>
      <c r="L17" s="14" t="n"/>
      <c r="M17" s="14" t="n"/>
      <c r="N17" s="14" t="n"/>
      <c r="O17" s="14" t="n"/>
      <c r="P17" s="14" t="n"/>
      <c r="Q17" s="14" t="n"/>
      <c r="R17" s="14" t="n"/>
      <c r="S17" s="38" t="n"/>
      <c r="T17" s="14" t="n"/>
      <c r="U17" s="15">
        <f>IF($D17="","",IF(AND(COUNTIF(L17:P17,"On File")+COUNTIF(L17:P17,"N/A")=5,OR($Q17="On File",$Q17="N/A"),OR($S17="",$T17="Yes",$T17="N/A")),"Yes","No"))</f>
        <v/>
      </c>
    </row>
    <row r="18">
      <c r="B18" s="14" t="inlineStr">
        <is>
          <t>C</t>
        </is>
      </c>
      <c r="C18" s="14" t="inlineStr">
        <is>
          <t>12</t>
        </is>
      </c>
      <c r="D18" s="14" t="inlineStr">
        <is>
          <t>Identity Crimes</t>
        </is>
      </c>
      <c r="E18" s="14" t="n">
        <v>4</v>
      </c>
      <c r="F18" s="14" t="n">
        <v>4</v>
      </c>
      <c r="G18" s="15">
        <f>IF($D18="","",ROUND(SUMIFS(nrSCH_Hrs,nrSCH_Act,$D18),2))</f>
        <v/>
      </c>
      <c r="H18" s="15">
        <f>IF($D18="","",IF($G18=0,"",$G18-$E18))</f>
        <v/>
      </c>
      <c r="I18" s="17">
        <f>IF($D18="","",IFERROR(IF(_xlfn.MINIFS(nrSCH_Date,nrSCH_Act,$D18)=0,"",_xlfn.MINIFS(nrSCH_Date,nrSCH_Act,$D18)),""))</f>
        <v/>
      </c>
      <c r="J18" s="17">
        <f>IF($D18="","",IFERROR(IF(_xlfn.MAXIFS(nrSCH_Date,nrSCH_Act,$D18)=0,"",_xlfn.MAXIFS(nrSCH_Date,nrSCH_Act,$D18)),""))</f>
        <v/>
      </c>
      <c r="K18" s="14" t="n"/>
      <c r="L18" s="14" t="n"/>
      <c r="M18" s="14" t="n"/>
      <c r="N18" s="14" t="n"/>
      <c r="O18" s="14" t="n"/>
      <c r="P18" s="14" t="n"/>
      <c r="Q18" s="14" t="n"/>
      <c r="R18" s="14" t="n"/>
      <c r="S18" s="38" t="n"/>
      <c r="T18" s="14" t="n"/>
      <c r="U18" s="15">
        <f>IF($D18="","",IF(AND(COUNTIF(L18:P18,"On File")+COUNTIF(L18:P18,"N/A")=5,OR($Q18="On File",$Q18="N/A"),OR($S18="",$T18="Yes",$T18="N/A")),"Yes","No"))</f>
        <v/>
      </c>
    </row>
    <row r="19">
      <c r="B19" s="14" t="inlineStr">
        <is>
          <t>C</t>
        </is>
      </c>
      <c r="C19" s="14" t="inlineStr">
        <is>
          <t>13</t>
        </is>
      </c>
      <c r="D19" s="14" t="inlineStr">
        <is>
          <t>Consular Notification</t>
        </is>
      </c>
      <c r="E19" s="14" t="n">
        <v>1</v>
      </c>
      <c r="F19" s="14" t="n">
        <v>1</v>
      </c>
      <c r="G19" s="15">
        <f>IF($D19="","",ROUND(SUMIFS(nrSCH_Hrs,nrSCH_Act,$D19),2))</f>
        <v/>
      </c>
      <c r="H19" s="15">
        <f>IF($D19="","",IF($G19=0,"",$G19-$E19))</f>
        <v/>
      </c>
      <c r="I19" s="17">
        <f>IF($D19="","",IFERROR(IF(_xlfn.MINIFS(nrSCH_Date,nrSCH_Act,$D19)=0,"",_xlfn.MINIFS(nrSCH_Date,nrSCH_Act,$D19)),""))</f>
        <v/>
      </c>
      <c r="J19" s="17">
        <f>IF($D19="","",IFERROR(IF(_xlfn.MAXIFS(nrSCH_Date,nrSCH_Act,$D19)=0,"",_xlfn.MAXIFS(nrSCH_Date,nrSCH_Act,$D19)),""))</f>
        <v/>
      </c>
      <c r="K19" s="14" t="n"/>
      <c r="L19" s="14" t="n"/>
      <c r="M19" s="14" t="n"/>
      <c r="N19" s="14" t="n"/>
      <c r="O19" s="14" t="n"/>
      <c r="P19" s="14" t="n"/>
      <c r="Q19" s="14" t="n"/>
      <c r="R19" s="14" t="n"/>
      <c r="S19" s="38" t="n"/>
      <c r="T19" s="14" t="n"/>
      <c r="U19" s="15">
        <f>IF($D19="","",IF(AND(COUNTIF(L19:P19,"On File")+COUNTIF(L19:P19,"N/A")=5,OR($Q19="On File",$Q19="N/A"),OR($S19="",$T19="Yes",$T19="N/A")),"Yes","No"))</f>
        <v/>
      </c>
    </row>
    <row r="20">
      <c r="B20" s="14" t="inlineStr">
        <is>
          <t>C</t>
        </is>
      </c>
      <c r="C20" s="14" t="inlineStr">
        <is>
          <t>14</t>
        </is>
      </c>
      <c r="D20" s="14" t="inlineStr">
        <is>
          <t>Civil Process</t>
        </is>
      </c>
      <c r="E20" s="14" t="n">
        <v>4</v>
      </c>
      <c r="F20" s="14" t="n">
        <v>4</v>
      </c>
      <c r="G20" s="15">
        <f>IF($D20="","",ROUND(SUMIFS(nrSCH_Hrs,nrSCH_Act,$D20),2))</f>
        <v/>
      </c>
      <c r="H20" s="15">
        <f>IF($D20="","",IF($G20=0,"",$G20-$E20))</f>
        <v/>
      </c>
      <c r="I20" s="17">
        <f>IF($D20="","",IFERROR(IF(_xlfn.MINIFS(nrSCH_Date,nrSCH_Act,$D20)=0,"",_xlfn.MINIFS(nrSCH_Date,nrSCH_Act,$D20)),""))</f>
        <v/>
      </c>
      <c r="J20" s="17">
        <f>IF($D20="","",IFERROR(IF(_xlfn.MAXIFS(nrSCH_Date,nrSCH_Act,$D20)=0,"",_xlfn.MAXIFS(nrSCH_Date,nrSCH_Act,$D20)),""))</f>
        <v/>
      </c>
      <c r="K20" s="14" t="n"/>
      <c r="L20" s="14" t="n"/>
      <c r="M20" s="14" t="n"/>
      <c r="N20" s="14" t="n"/>
      <c r="O20" s="14" t="n"/>
      <c r="P20" s="14" t="n"/>
      <c r="Q20" s="14" t="n"/>
      <c r="R20" s="14" t="n"/>
      <c r="S20" s="38" t="n"/>
      <c r="T20" s="14" t="n"/>
      <c r="U20" s="15">
        <f>IF($D20="","",IF(AND(COUNTIF(L20:P20,"On File")+COUNTIF(L20:P20,"N/A")=5,OR($Q20="On File",$Q20="N/A"),OR($S20="",$T20="Yes",$T20="N/A")),"Yes","No"))</f>
        <v/>
      </c>
    </row>
    <row r="21">
      <c r="B21" s="14" t="inlineStr">
        <is>
          <t>D</t>
        </is>
      </c>
      <c r="C21" s="14" t="inlineStr">
        <is>
          <t>15</t>
        </is>
      </c>
      <c r="D21" s="14" t="inlineStr">
        <is>
          <t>Health and Safety Code and Controlled Substance Act</t>
        </is>
      </c>
      <c r="E21" s="14" t="n">
        <v>12</v>
      </c>
      <c r="F21" s="14" t="n">
        <v>12</v>
      </c>
      <c r="G21" s="15">
        <f>IF($D21="","",ROUND(SUMIFS(nrSCH_Hrs,nrSCH_Act,$D21),2))</f>
        <v/>
      </c>
      <c r="H21" s="15">
        <f>IF($D21="","",IF($G21=0,"",$G21-$E21))</f>
        <v/>
      </c>
      <c r="I21" s="17">
        <f>IF($D21="","",IFERROR(IF(_xlfn.MINIFS(nrSCH_Date,nrSCH_Act,$D21)=0,"",_xlfn.MINIFS(nrSCH_Date,nrSCH_Act,$D21)),""))</f>
        <v/>
      </c>
      <c r="J21" s="17">
        <f>IF($D21="","",IFERROR(IF(_xlfn.MAXIFS(nrSCH_Date,nrSCH_Act,$D21)=0,"",_xlfn.MAXIFS(nrSCH_Date,nrSCH_Act,$D21)),""))</f>
        <v/>
      </c>
      <c r="K21" s="14" t="n"/>
      <c r="L21" s="14" t="n"/>
      <c r="M21" s="14" t="n"/>
      <c r="N21" s="14" t="n"/>
      <c r="O21" s="14" t="n"/>
      <c r="P21" s="14" t="n"/>
      <c r="Q21" s="14" t="n"/>
      <c r="R21" s="14" t="n"/>
      <c r="S21" s="38" t="n"/>
      <c r="T21" s="14" t="n"/>
      <c r="U21" s="15">
        <f>IF($D21="","",IF(AND(COUNTIF(L21:P21,"On File")+COUNTIF(L21:P21,"N/A")=5,OR($Q21="On File",$Q21="N/A"),OR($S21="",$T21="Yes",$T21="N/A")),"Yes","No"))</f>
        <v/>
      </c>
    </row>
    <row r="22">
      <c r="B22" s="14" t="inlineStr">
        <is>
          <t>D</t>
        </is>
      </c>
      <c r="C22" s="14" t="inlineStr">
        <is>
          <t>16</t>
        </is>
      </c>
      <c r="D22" s="14" t="inlineStr">
        <is>
          <t>Alcoholic Beverage Code</t>
        </is>
      </c>
      <c r="E22" s="14" t="n">
        <v>4</v>
      </c>
      <c r="F22" s="14" t="n">
        <v>5</v>
      </c>
      <c r="G22" s="15">
        <f>IF($D22="","",ROUND(SUMIFS(nrSCH_Hrs,nrSCH_Act,$D22),2))</f>
        <v/>
      </c>
      <c r="H22" s="15">
        <f>IF($D22="","",IF($G22=0,"",$G22-$E22))</f>
        <v/>
      </c>
      <c r="I22" s="17">
        <f>IF($D22="","",IFERROR(IF(_xlfn.MINIFS(nrSCH_Date,nrSCH_Act,$D22)=0,"",_xlfn.MINIFS(nrSCH_Date,nrSCH_Act,$D22)),""))</f>
        <v/>
      </c>
      <c r="J22" s="17">
        <f>IF($D22="","",IFERROR(IF(_xlfn.MAXIFS(nrSCH_Date,nrSCH_Act,$D22)=0,"",_xlfn.MAXIFS(nrSCH_Date,nrSCH_Act,$D22)),""))</f>
        <v/>
      </c>
      <c r="K22" s="14" t="n"/>
      <c r="L22" s="14" t="n"/>
      <c r="M22" s="14" t="n"/>
      <c r="N22" s="14" t="n"/>
      <c r="O22" s="14" t="n"/>
      <c r="P22" s="14" t="n"/>
      <c r="Q22" s="14" t="n"/>
      <c r="R22" s="14" t="n"/>
      <c r="S22" s="38" t="n"/>
      <c r="T22" s="14" t="n"/>
      <c r="U22" s="15">
        <f>IF($D22="","",IF(AND(COUNTIF(L22:P22,"On File")+COUNTIF(L22:P22,"N/A")=5,OR($Q22="On File",$Q22="N/A"),OR($S22="",$T22="Yes",$T22="N/A")),"Yes","No"))</f>
        <v/>
      </c>
    </row>
    <row r="23">
      <c r="B23" s="14" t="inlineStr">
        <is>
          <t>E</t>
        </is>
      </c>
      <c r="C23" s="14" t="inlineStr">
        <is>
          <t>17</t>
        </is>
      </c>
      <c r="D23" s="14" t="inlineStr">
        <is>
          <t>Sexual Assault and Family Violence</t>
        </is>
      </c>
      <c r="E23" s="14" t="n">
        <v>12</v>
      </c>
      <c r="F23" s="14" t="n">
        <v>12</v>
      </c>
      <c r="G23" s="15">
        <f>IF($D23="","",ROUND(SUMIFS(nrSCH_Hrs,nrSCH_Act,$D23),2))</f>
        <v/>
      </c>
      <c r="H23" s="15">
        <f>IF($D23="","",IF($G23=0,"",$G23-$E23))</f>
        <v/>
      </c>
      <c r="I23" s="17">
        <f>IF($D23="","",IFERROR(IF(_xlfn.MINIFS(nrSCH_Date,nrSCH_Act,$D23)=0,"",_xlfn.MINIFS(nrSCH_Date,nrSCH_Act,$D23)),""))</f>
        <v/>
      </c>
      <c r="J23" s="17">
        <f>IF($D23="","",IFERROR(IF(_xlfn.MAXIFS(nrSCH_Date,nrSCH_Act,$D23)=0,"",_xlfn.MAXIFS(nrSCH_Date,nrSCH_Act,$D23)),""))</f>
        <v/>
      </c>
      <c r="K23" s="14" t="n"/>
      <c r="L23" s="14" t="n"/>
      <c r="M23" s="14" t="n"/>
      <c r="N23" s="14" t="n"/>
      <c r="O23" s="14" t="n"/>
      <c r="P23" s="14" t="n"/>
      <c r="Q23" s="14" t="n"/>
      <c r="R23" s="14" t="n"/>
      <c r="S23" s="38" t="n"/>
      <c r="T23" s="14" t="n"/>
      <c r="U23" s="15">
        <f>IF($D23="","",IF(AND(COUNTIF(L23:P23,"On File")+COUNTIF(L23:P23,"N/A")=5,OR($Q23="On File",$Q23="N/A"),OR($S23="",$T23="Yes",$T23="N/A")),"Yes","No"))</f>
        <v/>
      </c>
    </row>
    <row r="24">
      <c r="B24" s="14" t="inlineStr">
        <is>
          <t>E</t>
        </is>
      </c>
      <c r="C24" s="14" t="inlineStr">
        <is>
          <t>18</t>
        </is>
      </c>
      <c r="D24" s="14" t="inlineStr">
        <is>
          <t>Missing and Exploited Children</t>
        </is>
      </c>
      <c r="E24" s="14" t="n">
        <v>8</v>
      </c>
      <c r="F24" s="14" t="n">
        <v>8</v>
      </c>
      <c r="G24" s="15">
        <f>IF($D24="","",ROUND(SUMIFS(nrSCH_Hrs,nrSCH_Act,$D24),2))</f>
        <v/>
      </c>
      <c r="H24" s="15">
        <f>IF($D24="","",IF($G24=0,"",$G24-$E24))</f>
        <v/>
      </c>
      <c r="I24" s="17">
        <f>IF($D24="","",IFERROR(IF(_xlfn.MINIFS(nrSCH_Date,nrSCH_Act,$D24)=0,"",_xlfn.MINIFS(nrSCH_Date,nrSCH_Act,$D24)),""))</f>
        <v/>
      </c>
      <c r="J24" s="17">
        <f>IF($D24="","",IFERROR(IF(_xlfn.MAXIFS(nrSCH_Date,nrSCH_Act,$D24)=0,"",_xlfn.MAXIFS(nrSCH_Date,nrSCH_Act,$D24)),""))</f>
        <v/>
      </c>
      <c r="K24" s="14" t="n"/>
      <c r="L24" s="14" t="n"/>
      <c r="M24" s="14" t="n"/>
      <c r="N24" s="14" t="n"/>
      <c r="O24" s="14" t="n"/>
      <c r="P24" s="14" t="n"/>
      <c r="Q24" s="14" t="n"/>
      <c r="R24" s="14" t="n"/>
      <c r="S24" s="38" t="n"/>
      <c r="T24" s="14" t="n"/>
      <c r="U24" s="15">
        <f>IF($D24="","",IF(AND(COUNTIF(L24:P24,"On File")+COUNTIF(L24:P24,"N/A")=5,OR($Q24="On File",$Q24="N/A"),OR($S24="",$T24="Yes",$T24="N/A")),"Yes","No"))</f>
        <v/>
      </c>
    </row>
    <row r="25">
      <c r="B25" s="14" t="inlineStr">
        <is>
          <t>E</t>
        </is>
      </c>
      <c r="C25" s="14" t="inlineStr">
        <is>
          <t>19</t>
        </is>
      </c>
      <c r="D25" s="14" t="inlineStr">
        <is>
          <t>Child Safety Check Alert List</t>
        </is>
      </c>
      <c r="E25" s="14" t="n">
        <v>1</v>
      </c>
      <c r="F25" s="14" t="n">
        <v>1</v>
      </c>
      <c r="G25" s="15">
        <f>IF($D25="","",ROUND(SUMIFS(nrSCH_Hrs,nrSCH_Act,$D25),2))</f>
        <v/>
      </c>
      <c r="H25" s="15">
        <f>IF($D25="","",IF($G25=0,"",$G25-$E25))</f>
        <v/>
      </c>
      <c r="I25" s="17">
        <f>IF($D25="","",IFERROR(IF(_xlfn.MINIFS(nrSCH_Date,nrSCH_Act,$D25)=0,"",_xlfn.MINIFS(nrSCH_Date,nrSCH_Act,$D25)),""))</f>
        <v/>
      </c>
      <c r="J25" s="17">
        <f>IF($D25="","",IFERROR(IF(_xlfn.MAXIFS(nrSCH_Date,nrSCH_Act,$D25)=0,"",_xlfn.MAXIFS(nrSCH_Date,nrSCH_Act,$D25)),""))</f>
        <v/>
      </c>
      <c r="K25" s="14" t="n"/>
      <c r="L25" s="14" t="n"/>
      <c r="M25" s="14" t="n"/>
      <c r="N25" s="14" t="n"/>
      <c r="O25" s="14" t="n"/>
      <c r="P25" s="14" t="n"/>
      <c r="Q25" s="14" t="n"/>
      <c r="R25" s="14" t="n"/>
      <c r="S25" s="38" t="n"/>
      <c r="T25" s="14" t="n"/>
      <c r="U25" s="15">
        <f>IF($D25="","",IF(AND(COUNTIF(L25:P25,"On File")+COUNTIF(L25:P25,"N/A")=5,OR($Q25="On File",$Q25="N/A"),OR($S25="",$T25="Yes",$T25="N/A")),"Yes","No"))</f>
        <v/>
      </c>
    </row>
    <row r="26">
      <c r="B26" s="14" t="inlineStr">
        <is>
          <t>E</t>
        </is>
      </c>
      <c r="C26" s="14" t="inlineStr">
        <is>
          <t>20</t>
        </is>
      </c>
      <c r="D26" s="14" t="inlineStr">
        <is>
          <t>Victims of Crime</t>
        </is>
      </c>
      <c r="E26" s="14" t="n">
        <v>10</v>
      </c>
      <c r="F26" s="14" t="n">
        <v>11</v>
      </c>
      <c r="G26" s="15">
        <f>IF($D26="","",ROUND(SUMIFS(nrSCH_Hrs,nrSCH_Act,$D26),2))</f>
        <v/>
      </c>
      <c r="H26" s="15">
        <f>IF($D26="","",IF($G26=0,"",$G26-$E26))</f>
        <v/>
      </c>
      <c r="I26" s="17">
        <f>IF($D26="","",IFERROR(IF(_xlfn.MINIFS(nrSCH_Date,nrSCH_Act,$D26)=0,"",_xlfn.MINIFS(nrSCH_Date,nrSCH_Act,$D26)),""))</f>
        <v/>
      </c>
      <c r="J26" s="17">
        <f>IF($D26="","",IFERROR(IF(_xlfn.MAXIFS(nrSCH_Date,nrSCH_Act,$D26)=0,"",_xlfn.MAXIFS(nrSCH_Date,nrSCH_Act,$D26)),""))</f>
        <v/>
      </c>
      <c r="K26" s="14" t="n"/>
      <c r="L26" s="14" t="n"/>
      <c r="M26" s="14" t="n"/>
      <c r="N26" s="14" t="n"/>
      <c r="O26" s="14" t="n"/>
      <c r="P26" s="14" t="n"/>
      <c r="Q26" s="14" t="n"/>
      <c r="R26" s="14" t="n"/>
      <c r="S26" s="38" t="n"/>
      <c r="T26" s="14" t="n"/>
      <c r="U26" s="15">
        <f>IF($D26="","",IF(AND(COUNTIF(L26:P26,"On File")+COUNTIF(L26:P26,"N/A")=5,OR($Q26="On File",$Q26="N/A"),OR($S26="",$T26="Yes",$T26="N/A")),"Yes","No"))</f>
        <v/>
      </c>
    </row>
    <row r="27">
      <c r="B27" s="14" t="inlineStr">
        <is>
          <t>E</t>
        </is>
      </c>
      <c r="C27" s="14" t="inlineStr">
        <is>
          <t>21</t>
        </is>
      </c>
      <c r="D27" s="14" t="inlineStr">
        <is>
          <t>Human Trafficking</t>
        </is>
      </c>
      <c r="E27" s="14" t="n">
        <v>4</v>
      </c>
      <c r="F27" s="14" t="n">
        <v>4</v>
      </c>
      <c r="G27" s="15">
        <f>IF($D27="","",ROUND(SUMIFS(nrSCH_Hrs,nrSCH_Act,$D27),2))</f>
        <v/>
      </c>
      <c r="H27" s="15">
        <f>IF($D27="","",IF($G27=0,"",$G27-$E27))</f>
        <v/>
      </c>
      <c r="I27" s="17">
        <f>IF($D27="","",IFERROR(IF(_xlfn.MINIFS(nrSCH_Date,nrSCH_Act,$D27)=0,"",_xlfn.MINIFS(nrSCH_Date,nrSCH_Act,$D27)),""))</f>
        <v/>
      </c>
      <c r="J27" s="17">
        <f>IF($D27="","",IFERROR(IF(_xlfn.MAXIFS(nrSCH_Date,nrSCH_Act,$D27)=0,"",_xlfn.MAXIFS(nrSCH_Date,nrSCH_Act,$D27)),""))</f>
        <v/>
      </c>
      <c r="K27" s="14" t="n"/>
      <c r="L27" s="14" t="n"/>
      <c r="M27" s="14" t="n"/>
      <c r="N27" s="14" t="n"/>
      <c r="O27" s="14" t="n"/>
      <c r="P27" s="14" t="n"/>
      <c r="Q27" s="14" t="n"/>
      <c r="R27" s="14" t="n"/>
      <c r="S27" s="38" t="n"/>
      <c r="T27" s="14" t="n"/>
      <c r="U27" s="15">
        <f>IF($D27="","",IF(AND(COUNTIF(L27:P27,"On File")+COUNTIF(L27:P27,"N/A")=5,OR($Q27="On File",$Q27="N/A"),OR($S27="",$T27="Yes",$T27="N/A")),"Yes","No"))</f>
        <v/>
      </c>
    </row>
    <row r="28">
      <c r="B28" s="14" t="inlineStr">
        <is>
          <t>F</t>
        </is>
      </c>
      <c r="C28" s="14" t="inlineStr">
        <is>
          <t>22</t>
        </is>
      </c>
      <c r="D28" s="14" t="inlineStr">
        <is>
          <t>Traffic Code / Crash Investigation / TIM</t>
        </is>
      </c>
      <c r="E28" s="14" t="n">
        <v>74</v>
      </c>
      <c r="F28" s="14" t="n">
        <v>74</v>
      </c>
      <c r="G28" s="15">
        <f>IF($D28="","",ROUND(SUMIFS(nrSCH_Hrs,nrSCH_Act,$D28),2))</f>
        <v/>
      </c>
      <c r="H28" s="15">
        <f>IF($D28="","",IF($G28=0,"",$G28-$E28))</f>
        <v/>
      </c>
      <c r="I28" s="17">
        <f>IF($D28="","",IFERROR(IF(_xlfn.MINIFS(nrSCH_Date,nrSCH_Act,$D28)=0,"",_xlfn.MINIFS(nrSCH_Date,nrSCH_Act,$D28)),""))</f>
        <v/>
      </c>
      <c r="J28" s="17">
        <f>IF($D28="","",IFERROR(IF(_xlfn.MAXIFS(nrSCH_Date,nrSCH_Act,$D28)=0,"",_xlfn.MAXIFS(nrSCH_Date,nrSCH_Act,$D28)),""))</f>
        <v/>
      </c>
      <c r="K28" s="14" t="n"/>
      <c r="L28" s="14" t="n"/>
      <c r="M28" s="14" t="n"/>
      <c r="N28" s="14" t="n"/>
      <c r="O28" s="14" t="n"/>
      <c r="P28" s="14" t="n"/>
      <c r="Q28" s="14" t="n"/>
      <c r="R28" s="14" t="n"/>
      <c r="S28" s="38" t="inlineStr">
        <is>
          <t>Students complete 4-hr National TIM Responder course; instructor holds TIM Instructor</t>
        </is>
      </c>
      <c r="T28" s="14" t="n"/>
      <c r="U28" s="15">
        <f>IF($D28="","",IF(AND(COUNTIF(L28:P28,"On File")+COUNTIF(L28:P28,"N/A")=5,OR($Q28="On File",$Q28="N/A"),OR($S28="",$T28="Yes",$T28="N/A")),"Yes","No"))</f>
        <v/>
      </c>
    </row>
    <row r="29">
      <c r="B29" s="14" t="inlineStr">
        <is>
          <t>F</t>
        </is>
      </c>
      <c r="C29" s="14" t="inlineStr">
        <is>
          <t>23</t>
        </is>
      </c>
      <c r="D29" s="14" t="inlineStr">
        <is>
          <t>Intoxicated Driver (SFST)</t>
        </is>
      </c>
      <c r="E29" s="14" t="n">
        <v>24</v>
      </c>
      <c r="F29" s="14" t="n">
        <v>34</v>
      </c>
      <c r="G29" s="15">
        <f>IF($D29="","",ROUND(SUMIFS(nrSCH_Hrs,nrSCH_Act,$D29),2))</f>
        <v/>
      </c>
      <c r="H29" s="15">
        <f>IF($D29="","",IF($G29=0,"",$G29-$E29))</f>
        <v/>
      </c>
      <c r="I29" s="17">
        <f>IF($D29="","",IFERROR(IF(_xlfn.MINIFS(nrSCH_Date,nrSCH_Act,$D29)=0,"",_xlfn.MINIFS(nrSCH_Date,nrSCH_Act,$D29)),""))</f>
        <v/>
      </c>
      <c r="J29" s="17">
        <f>IF($D29="","",IFERROR(IF(_xlfn.MAXIFS(nrSCH_Date,nrSCH_Act,$D29)=0,"",_xlfn.MAXIFS(nrSCH_Date,nrSCH_Act,$D29)),""))</f>
        <v/>
      </c>
      <c r="K29" s="14" t="n"/>
      <c r="L29" s="14" t="n"/>
      <c r="M29" s="14" t="n"/>
      <c r="N29" s="14" t="n"/>
      <c r="O29" s="14" t="n"/>
      <c r="P29" s="14" t="n"/>
      <c r="Q29" s="14" t="n"/>
      <c r="R29" s="14" t="n"/>
      <c r="S29" s="38" t="inlineStr">
        <is>
          <t>Instructor: NHTSA SFST Instructor (1016) + TCOLE SFST Instructor Cert; students complete NHTSA SFST course</t>
        </is>
      </c>
      <c r="T29" s="14" t="n"/>
      <c r="U29" s="15">
        <f>IF($D29="","",IF(AND(COUNTIF(L29:P29,"On File")+COUNTIF(L29:P29,"N/A")=5,OR($Q29="On File",$Q29="N/A"),OR($S29="",$T29="Yes",$T29="N/A")),"Yes","No"))</f>
        <v/>
      </c>
    </row>
    <row r="30">
      <c r="B30" s="14" t="inlineStr">
        <is>
          <t>G</t>
        </is>
      </c>
      <c r="C30" s="14" t="inlineStr">
        <is>
          <t>24</t>
        </is>
      </c>
      <c r="D30" s="14" t="inlineStr">
        <is>
          <t>Written Communication</t>
        </is>
      </c>
      <c r="E30" s="14" t="n">
        <v>16</v>
      </c>
      <c r="F30" s="14" t="n">
        <v>16</v>
      </c>
      <c r="G30" s="15">
        <f>IF($D30="","",ROUND(SUMIFS(nrSCH_Hrs,nrSCH_Act,$D30),2))</f>
        <v/>
      </c>
      <c r="H30" s="15">
        <f>IF($D30="","",IF($G30=0,"",$G30-$E30))</f>
        <v/>
      </c>
      <c r="I30" s="17">
        <f>IF($D30="","",IFERROR(IF(_xlfn.MINIFS(nrSCH_Date,nrSCH_Act,$D30)=0,"",_xlfn.MINIFS(nrSCH_Date,nrSCH_Act,$D30)),""))</f>
        <v/>
      </c>
      <c r="J30" s="17">
        <f>IF($D30="","",IFERROR(IF(_xlfn.MAXIFS(nrSCH_Date,nrSCH_Act,$D30)=0,"",_xlfn.MAXIFS(nrSCH_Date,nrSCH_Act,$D30)),""))</f>
        <v/>
      </c>
      <c r="K30" s="14" t="n"/>
      <c r="L30" s="14" t="n"/>
      <c r="M30" s="14" t="n"/>
      <c r="N30" s="14" t="n"/>
      <c r="O30" s="14" t="n"/>
      <c r="P30" s="14" t="n"/>
      <c r="Q30" s="14" t="n"/>
      <c r="R30" s="14" t="n"/>
      <c r="S30" s="38" t="n"/>
      <c r="T30" s="14" t="n"/>
      <c r="U30" s="15">
        <f>IF($D30="","",IF(AND(COUNTIF(L30:P30,"On File")+COUNTIF(L30:P30,"N/A")=5,OR($Q30="On File",$Q30="N/A"),OR($S30="",$T30="Yes",$T30="N/A")),"Yes","No"))</f>
        <v/>
      </c>
    </row>
    <row r="31">
      <c r="B31" s="14" t="inlineStr">
        <is>
          <t>G</t>
        </is>
      </c>
      <c r="C31" s="14" t="inlineStr">
        <is>
          <t>25</t>
        </is>
      </c>
      <c r="D31" s="14" t="inlineStr">
        <is>
          <t>Verbal Communication/Public Interaction</t>
        </is>
      </c>
      <c r="E31" s="14" t="n">
        <v>16</v>
      </c>
      <c r="F31" s="14" t="n">
        <v>16</v>
      </c>
      <c r="G31" s="15">
        <f>IF($D31="","",ROUND(SUMIFS(nrSCH_Hrs,nrSCH_Act,$D31),2))</f>
        <v/>
      </c>
      <c r="H31" s="15">
        <f>IF($D31="","",IF($G31=0,"",$G31-$E31))</f>
        <v/>
      </c>
      <c r="I31" s="17">
        <f>IF($D31="","",IFERROR(IF(_xlfn.MINIFS(nrSCH_Date,nrSCH_Act,$D31)=0,"",_xlfn.MINIFS(nrSCH_Date,nrSCH_Act,$D31)),""))</f>
        <v/>
      </c>
      <c r="J31" s="17">
        <f>IF($D31="","",IFERROR(IF(_xlfn.MAXIFS(nrSCH_Date,nrSCH_Act,$D31)=0,"",_xlfn.MAXIFS(nrSCH_Date,nrSCH_Act,$D31)),""))</f>
        <v/>
      </c>
      <c r="K31" s="14" t="n"/>
      <c r="L31" s="14" t="n"/>
      <c r="M31" s="14" t="n"/>
      <c r="N31" s="14" t="n"/>
      <c r="O31" s="14" t="n"/>
      <c r="P31" s="14" t="n"/>
      <c r="Q31" s="14" t="n"/>
      <c r="R31" s="14" t="n"/>
      <c r="S31" s="38" t="n"/>
      <c r="T31" s="14" t="n"/>
      <c r="U31" s="15">
        <f>IF($D31="","",IF(AND(COUNTIF(L31:P31,"On File")+COUNTIF(L31:P31,"N/A")=5,OR($Q31="On File",$Q31="N/A"),OR($S31="",$T31="Yes",$T31="N/A")),"Yes","No"))</f>
        <v/>
      </c>
    </row>
    <row r="32">
      <c r="B32" s="14" t="inlineStr">
        <is>
          <t>G</t>
        </is>
      </c>
      <c r="C32" s="14" t="inlineStr">
        <is>
          <t>26</t>
        </is>
      </c>
      <c r="D32" s="14" t="inlineStr">
        <is>
          <t>Spanish</t>
        </is>
      </c>
      <c r="E32" s="14" t="n">
        <v>16</v>
      </c>
      <c r="F32" s="14" t="n">
        <v>16</v>
      </c>
      <c r="G32" s="15">
        <f>IF($D32="","",ROUND(SUMIFS(nrSCH_Hrs,nrSCH_Act,$D32),2))</f>
        <v/>
      </c>
      <c r="H32" s="15">
        <f>IF($D32="","",IF($G32=0,"",$G32-$E32))</f>
        <v/>
      </c>
      <c r="I32" s="17">
        <f>IF($D32="","",IFERROR(IF(_xlfn.MINIFS(nrSCH_Date,nrSCH_Act,$D32)=0,"",_xlfn.MINIFS(nrSCH_Date,nrSCH_Act,$D32)),""))</f>
        <v/>
      </c>
      <c r="J32" s="17">
        <f>IF($D32="","",IFERROR(IF(_xlfn.MAXIFS(nrSCH_Date,nrSCH_Act,$D32)=0,"",_xlfn.MAXIFS(nrSCH_Date,nrSCH_Act,$D32)),""))</f>
        <v/>
      </c>
      <c r="K32" s="14" t="n"/>
      <c r="L32" s="14" t="n"/>
      <c r="M32" s="14" t="n"/>
      <c r="N32" s="14" t="n"/>
      <c r="O32" s="14" t="n"/>
      <c r="P32" s="14" t="n"/>
      <c r="Q32" s="14" t="n"/>
      <c r="R32" s="14" t="n"/>
      <c r="S32" s="38" t="n"/>
      <c r="T32" s="14" t="n"/>
      <c r="U32" s="15">
        <f>IF($D32="","",IF(AND(COUNTIF(L32:P32,"On File")+COUNTIF(L32:P32,"N/A")=5,OR($Q32="On File",$Q32="N/A"),OR($S32="",$T32="Yes",$T32="N/A")),"Yes","No"))</f>
        <v/>
      </c>
    </row>
    <row r="33">
      <c r="B33" s="14" t="inlineStr">
        <is>
          <t>H</t>
        </is>
      </c>
      <c r="C33" s="14" t="inlineStr">
        <is>
          <t>27</t>
        </is>
      </c>
      <c r="D33" s="14" t="inlineStr">
        <is>
          <t>De-escalation Strategies</t>
        </is>
      </c>
      <c r="E33" s="14" t="n">
        <v>8</v>
      </c>
      <c r="F33" s="14" t="n">
        <v>16</v>
      </c>
      <c r="G33" s="15">
        <f>IF($D33="","",ROUND(SUMIFS(nrSCH_Hrs,nrSCH_Act,$D33),2))</f>
        <v/>
      </c>
      <c r="H33" s="15">
        <f>IF($D33="","",IF($G33=0,"",$G33-$E33))</f>
        <v/>
      </c>
      <c r="I33" s="17">
        <f>IF($D33="","",IFERROR(IF(_xlfn.MINIFS(nrSCH_Date,nrSCH_Act,$D33)=0,"",_xlfn.MINIFS(nrSCH_Date,nrSCH_Act,$D33)),""))</f>
        <v/>
      </c>
      <c r="J33" s="17">
        <f>IF($D33="","",IFERROR(IF(_xlfn.MAXIFS(nrSCH_Date,nrSCH_Act,$D33)=0,"",_xlfn.MAXIFS(nrSCH_Date,nrSCH_Act,$D33)),""))</f>
        <v/>
      </c>
      <c r="K33" s="14" t="n"/>
      <c r="L33" s="14" t="n"/>
      <c r="M33" s="14" t="n"/>
      <c r="N33" s="14" t="n"/>
      <c r="O33" s="14" t="n"/>
      <c r="P33" s="14" t="n"/>
      <c r="Q33" s="14" t="n"/>
      <c r="R33" s="14" t="n"/>
      <c r="S33" s="38" t="n"/>
      <c r="T33" s="14" t="n"/>
      <c r="U33" s="15">
        <f>IF($D33="","",IF(AND(COUNTIF(L33:P33,"On File")+COUNTIF(L33:P33,"N/A")=5,OR($Q33="On File",$Q33="N/A"),OR($S33="",$T33="Yes",$T33="N/A")),"Yes","No"))</f>
        <v/>
      </c>
    </row>
    <row r="34">
      <c r="B34" s="14" t="inlineStr">
        <is>
          <t>J</t>
        </is>
      </c>
      <c r="C34" s="14" t="inlineStr">
        <is>
          <t>28</t>
        </is>
      </c>
      <c r="D34" s="14" t="inlineStr">
        <is>
          <t>Force Options Theory</t>
        </is>
      </c>
      <c r="E34" s="14" t="n">
        <v>28</v>
      </c>
      <c r="F34" s="14" t="n">
        <v>28</v>
      </c>
      <c r="G34" s="15">
        <f>IF($D34="","",ROUND(SUMIFS(nrSCH_Hrs,nrSCH_Act,$D34),2))</f>
        <v/>
      </c>
      <c r="H34" s="15">
        <f>IF($D34="","",IF($G34=0,"",$G34-$E34))</f>
        <v/>
      </c>
      <c r="I34" s="17">
        <f>IF($D34="","",IFERROR(IF(_xlfn.MINIFS(nrSCH_Date,nrSCH_Act,$D34)=0,"",_xlfn.MINIFS(nrSCH_Date,nrSCH_Act,$D34)),""))</f>
        <v/>
      </c>
      <c r="J34" s="17">
        <f>IF($D34="","",IFERROR(IF(_xlfn.MAXIFS(nrSCH_Date,nrSCH_Act,$D34)=0,"",_xlfn.MAXIFS(nrSCH_Date,nrSCH_Act,$D34)),""))</f>
        <v/>
      </c>
      <c r="K34" s="14" t="n"/>
      <c r="L34" s="14" t="n"/>
      <c r="M34" s="14" t="n"/>
      <c r="N34" s="14" t="n"/>
      <c r="O34" s="14" t="n"/>
      <c r="P34" s="14" t="n"/>
      <c r="Q34" s="14" t="n"/>
      <c r="R34" s="14" t="n"/>
      <c r="S34" s="38" t="n"/>
      <c r="T34" s="14" t="n"/>
      <c r="U34" s="15">
        <f>IF($D34="","",IF(AND(COUNTIF(L34:P34,"On File")+COUNTIF(L34:P34,"N/A")=5,OR($Q34="On File",$Q34="N/A"),OR($S34="",$T34="Yes",$T34="N/A")),"Yes","No"))</f>
        <v/>
      </c>
    </row>
    <row r="35">
      <c r="B35" s="14" t="inlineStr">
        <is>
          <t>I</t>
        </is>
      </c>
      <c r="C35" s="14" t="inlineStr">
        <is>
          <t>29</t>
        </is>
      </c>
      <c r="D35" s="14" t="inlineStr">
        <is>
          <t>Crisis Intervention Training</t>
        </is>
      </c>
      <c r="E35" s="14" t="n">
        <v>40</v>
      </c>
      <c r="F35" s="14" t="n">
        <v>40</v>
      </c>
      <c r="G35" s="15">
        <f>IF($D35="","",ROUND(SUMIFS(nrSCH_Hrs,nrSCH_Act,$D35),2))</f>
        <v/>
      </c>
      <c r="H35" s="15">
        <f>IF($D35="","",IF($G35=0,"",$G35-$E35))</f>
        <v/>
      </c>
      <c r="I35" s="17">
        <f>IF($D35="","",IFERROR(IF(_xlfn.MINIFS(nrSCH_Date,nrSCH_Act,$D35)=0,"",_xlfn.MINIFS(nrSCH_Date,nrSCH_Act,$D35)),""))</f>
        <v/>
      </c>
      <c r="J35" s="17">
        <f>IF($D35="","",IFERROR(IF(_xlfn.MAXIFS(nrSCH_Date,nrSCH_Act,$D35)=0,"",_xlfn.MAXIFS(nrSCH_Date,nrSCH_Act,$D35)),""))</f>
        <v/>
      </c>
      <c r="K35" s="14" t="n"/>
      <c r="L35" s="14" t="n"/>
      <c r="M35" s="14" t="n"/>
      <c r="N35" s="14" t="n"/>
      <c r="O35" s="14" t="n"/>
      <c r="P35" s="14" t="n"/>
      <c r="Q35" s="14" t="n"/>
      <c r="R35" s="14" t="n"/>
      <c r="S35" s="38" t="inlineStr">
        <is>
          <t>Lead instructor: 2+ yrs as Mental Health Officer or CIT member</t>
        </is>
      </c>
      <c r="T35" s="14" t="n"/>
      <c r="U35" s="15">
        <f>IF($D35="","",IF(AND(COUNTIF(L35:P35,"On File")+COUNTIF(L35:P35,"N/A")=5,OR($Q35="On File",$Q35="N/A"),OR($S35="",$T35="Yes",$T35="N/A")),"Yes","No"))</f>
        <v/>
      </c>
    </row>
    <row r="36">
      <c r="B36" s="14" t="inlineStr">
        <is>
          <t>I</t>
        </is>
      </c>
      <c r="C36" s="14" t="inlineStr">
        <is>
          <t>30</t>
        </is>
      </c>
      <c r="D36" s="14" t="inlineStr">
        <is>
          <t>Traumatic Brain Injury</t>
        </is>
      </c>
      <c r="E36" s="14" t="n">
        <v>2</v>
      </c>
      <c r="F36" s="14" t="n">
        <v>2</v>
      </c>
      <c r="G36" s="15">
        <f>IF($D36="","",ROUND(SUMIFS(nrSCH_Hrs,nrSCH_Act,$D36),2))</f>
        <v/>
      </c>
      <c r="H36" s="15">
        <f>IF($D36="","",IF($G36=0,"",$G36-$E36))</f>
        <v/>
      </c>
      <c r="I36" s="17">
        <f>IF($D36="","",IFERROR(IF(_xlfn.MINIFS(nrSCH_Date,nrSCH_Act,$D36)=0,"",_xlfn.MINIFS(nrSCH_Date,nrSCH_Act,$D36)),""))</f>
        <v/>
      </c>
      <c r="J36" s="17">
        <f>IF($D36="","",IFERROR(IF(_xlfn.MAXIFS(nrSCH_Date,nrSCH_Act,$D36)=0,"",_xlfn.MAXIFS(nrSCH_Date,nrSCH_Act,$D36)),""))</f>
        <v/>
      </c>
      <c r="K36" s="14" t="n"/>
      <c r="L36" s="14" t="n"/>
      <c r="M36" s="14" t="n"/>
      <c r="N36" s="14" t="n"/>
      <c r="O36" s="14" t="n"/>
      <c r="P36" s="14" t="n"/>
      <c r="Q36" s="14" t="n"/>
      <c r="R36" s="14" t="n"/>
      <c r="S36" s="38" t="n"/>
      <c r="T36" s="14" t="n"/>
      <c r="U36" s="15">
        <f>IF($D36="","",IF(AND(COUNTIF(L36:P36,"On File")+COUNTIF(L36:P36,"N/A")=5,OR($Q36="On File",$Q36="N/A"),OR($S36="",$T36="Yes",$T36="N/A")),"Yes","No"))</f>
        <v/>
      </c>
    </row>
    <row r="37">
      <c r="B37" s="14" t="inlineStr">
        <is>
          <t>J</t>
        </is>
      </c>
      <c r="C37" s="14" t="inlineStr">
        <is>
          <t>31</t>
        </is>
      </c>
      <c r="D37" s="14" t="inlineStr">
        <is>
          <t>Arrest and Control</t>
        </is>
      </c>
      <c r="E37" s="14" t="n">
        <v>40</v>
      </c>
      <c r="F37" s="14" t="n">
        <v>48</v>
      </c>
      <c r="G37" s="15">
        <f>IF($D37="","",ROUND(SUMIFS(nrSCH_Hrs,nrSCH_Act,$D37),2))</f>
        <v/>
      </c>
      <c r="H37" s="15">
        <f>IF($D37="","",IF($G37=0,"",$G37-$E37))</f>
        <v/>
      </c>
      <c r="I37" s="17">
        <f>IF($D37="","",IFERROR(IF(_xlfn.MINIFS(nrSCH_Date,nrSCH_Act,$D37)=0,"",_xlfn.MINIFS(nrSCH_Date,nrSCH_Act,$D37)),""))</f>
        <v/>
      </c>
      <c r="J37" s="17">
        <f>IF($D37="","",IFERROR(IF(_xlfn.MAXIFS(nrSCH_Date,nrSCH_Act,$D37)=0,"",_xlfn.MAXIFS(nrSCH_Date,nrSCH_Act,$D37)),""))</f>
        <v/>
      </c>
      <c r="K37" s="14" t="n"/>
      <c r="L37" s="14" t="n"/>
      <c r="M37" s="14" t="n"/>
      <c r="N37" s="14" t="n"/>
      <c r="O37" s="14" t="n"/>
      <c r="P37" s="14" t="n"/>
      <c r="Q37" s="14" t="n"/>
      <c r="R37" s="14" t="n"/>
      <c r="S37" s="38" t="n"/>
      <c r="T37" s="14" t="n"/>
      <c r="U37" s="15">
        <f>IF($D37="","",IF(AND(COUNTIF(L37:P37,"On File")+COUNTIF(L37:P37,"N/A")=5,OR($Q37="On File",$Q37="N/A"),OR($S37="",$T37="Yes",$T37="N/A")),"Yes","No"))</f>
        <v/>
      </c>
    </row>
    <row r="38">
      <c r="B38" s="14" t="inlineStr">
        <is>
          <t>K</t>
        </is>
      </c>
      <c r="C38" s="14" t="inlineStr">
        <is>
          <t>32</t>
        </is>
      </c>
      <c r="D38" s="14" t="inlineStr">
        <is>
          <t>Criminal Investigations</t>
        </is>
      </c>
      <c r="E38" s="14" t="n">
        <v>40</v>
      </c>
      <c r="F38" s="14" t="n">
        <v>48</v>
      </c>
      <c r="G38" s="15">
        <f>IF($D38="","",ROUND(SUMIFS(nrSCH_Hrs,nrSCH_Act,$D38),2))</f>
        <v/>
      </c>
      <c r="H38" s="15">
        <f>IF($D38="","",IF($G38=0,"",$G38-$E38))</f>
        <v/>
      </c>
      <c r="I38" s="17">
        <f>IF($D38="","",IFERROR(IF(_xlfn.MINIFS(nrSCH_Date,nrSCH_Act,$D38)=0,"",_xlfn.MINIFS(nrSCH_Date,nrSCH_Act,$D38)),""))</f>
        <v/>
      </c>
      <c r="J38" s="17">
        <f>IF($D38="","",IFERROR(IF(_xlfn.MAXIFS(nrSCH_Date,nrSCH_Act,$D38)=0,"",_xlfn.MAXIFS(nrSCH_Date,nrSCH_Act,$D38)),""))</f>
        <v/>
      </c>
      <c r="K38" s="14" t="n"/>
      <c r="L38" s="14" t="n"/>
      <c r="M38" s="14" t="n"/>
      <c r="N38" s="14" t="n"/>
      <c r="O38" s="14" t="n"/>
      <c r="P38" s="14" t="n"/>
      <c r="Q38" s="14" t="n"/>
      <c r="R38" s="14" t="n"/>
      <c r="S38" s="38" t="inlineStr">
        <is>
          <t>Course 3232 Special Investigative Topics content (Occ. Code 1701.352)</t>
        </is>
      </c>
      <c r="T38" s="14" t="n"/>
      <c r="U38" s="15">
        <f>IF($D38="","",IF(AND(COUNTIF(L38:P38,"On File")+COUNTIF(L38:P38,"N/A")=5,OR($Q38="On File",$Q38="N/A"),OR($S38="",$T38="Yes",$T38="N/A")),"Yes","No"))</f>
        <v/>
      </c>
    </row>
    <row r="39">
      <c r="B39" s="14" t="inlineStr">
        <is>
          <t>K</t>
        </is>
      </c>
      <c r="C39" s="14" t="inlineStr">
        <is>
          <t>33</t>
        </is>
      </c>
      <c r="D39" s="14" t="inlineStr">
        <is>
          <t>Juvenile Offenders</t>
        </is>
      </c>
      <c r="E39" s="14" t="n">
        <v>10</v>
      </c>
      <c r="F39" s="14" t="n">
        <v>11</v>
      </c>
      <c r="G39" s="15">
        <f>IF($D39="","",ROUND(SUMIFS(nrSCH_Hrs,nrSCH_Act,$D39),2))</f>
        <v/>
      </c>
      <c r="H39" s="15">
        <f>IF($D39="","",IF($G39=0,"",$G39-$E39))</f>
        <v/>
      </c>
      <c r="I39" s="17">
        <f>IF($D39="","",IFERROR(IF(_xlfn.MINIFS(nrSCH_Date,nrSCH_Act,$D39)=0,"",_xlfn.MINIFS(nrSCH_Date,nrSCH_Act,$D39)),""))</f>
        <v/>
      </c>
      <c r="J39" s="17">
        <f>IF($D39="","",IFERROR(IF(_xlfn.MAXIFS(nrSCH_Date,nrSCH_Act,$D39)=0,"",_xlfn.MAXIFS(nrSCH_Date,nrSCH_Act,$D39)),""))</f>
        <v/>
      </c>
      <c r="K39" s="14" t="n"/>
      <c r="L39" s="14" t="n"/>
      <c r="M39" s="14" t="n"/>
      <c r="N39" s="14" t="n"/>
      <c r="O39" s="14" t="n"/>
      <c r="P39" s="14" t="n"/>
      <c r="Q39" s="14" t="n"/>
      <c r="R39" s="14" t="n"/>
      <c r="S39" s="38" t="n"/>
      <c r="T39" s="14" t="n"/>
      <c r="U39" s="15">
        <f>IF($D39="","",IF(AND(COUNTIF(L39:P39,"On File")+COUNTIF(L39:P39,"N/A")=5,OR($Q39="On File",$Q39="N/A"),OR($S39="",$T39="Yes",$T39="N/A")),"Yes","No"))</f>
        <v/>
      </c>
    </row>
    <row r="40">
      <c r="B40" s="14" t="inlineStr">
        <is>
          <t>L</t>
        </is>
      </c>
      <c r="C40" s="14" t="inlineStr">
        <is>
          <t>34</t>
        </is>
      </c>
      <c r="D40" s="14" t="inlineStr">
        <is>
          <t>Professional Police Driving</t>
        </is>
      </c>
      <c r="E40" s="14" t="n">
        <v>32</v>
      </c>
      <c r="F40" s="14" t="n">
        <v>51</v>
      </c>
      <c r="G40" s="15">
        <f>IF($D40="","",ROUND(SUMIFS(nrSCH_Hrs,nrSCH_Act,$D40),2))</f>
        <v/>
      </c>
      <c r="H40" s="15">
        <f>IF($D40="","",IF($G40=0,"",$G40-$E40))</f>
        <v/>
      </c>
      <c r="I40" s="17">
        <f>IF($D40="","",IFERROR(IF(_xlfn.MINIFS(nrSCH_Date,nrSCH_Act,$D40)=0,"",_xlfn.MINIFS(nrSCH_Date,nrSCH_Act,$D40)),""))</f>
        <v/>
      </c>
      <c r="J40" s="17">
        <f>IF($D40="","",IFERROR(IF(_xlfn.MAXIFS(nrSCH_Date,nrSCH_Act,$D40)=0,"",_xlfn.MAXIFS(nrSCH_Date,nrSCH_Act,$D40)),""))</f>
        <v/>
      </c>
      <c r="K40" s="14" t="n"/>
      <c r="L40" s="14" t="n"/>
      <c r="M40" s="14" t="n"/>
      <c r="N40" s="14" t="n"/>
      <c r="O40" s="14" t="n"/>
      <c r="P40" s="14" t="n"/>
      <c r="Q40" s="14" t="n"/>
      <c r="R40" s="14" t="n"/>
      <c r="S40" s="38" t="n"/>
      <c r="T40" s="14" t="n"/>
      <c r="U40" s="15">
        <f>IF($D40="","",IF(AND(COUNTIF(L40:P40,"On File")+COUNTIF(L40:P40,"N/A")=5,OR($Q40="On File",$Q40="N/A"),OR($S40="",$T40="Yes",$T40="N/A")),"Yes","No"))</f>
        <v/>
      </c>
    </row>
    <row r="41">
      <c r="B41" s="14" t="inlineStr">
        <is>
          <t>M</t>
        </is>
      </c>
      <c r="C41" s="14" t="inlineStr">
        <is>
          <t>35</t>
        </is>
      </c>
      <c r="D41" s="14" t="inlineStr">
        <is>
          <t>Patrol Skills/Traffic Stops</t>
        </is>
      </c>
      <c r="E41" s="14" t="n">
        <v>46</v>
      </c>
      <c r="F41" s="14" t="n">
        <v>62</v>
      </c>
      <c r="G41" s="15">
        <f>IF($D41="","",ROUND(SUMIFS(nrSCH_Hrs,nrSCH_Act,$D41),2))</f>
        <v/>
      </c>
      <c r="H41" s="15">
        <f>IF($D41="","",IF($G41=0,"",$G41-$E41))</f>
        <v/>
      </c>
      <c r="I41" s="17">
        <f>IF($D41="","",IFERROR(IF(_xlfn.MINIFS(nrSCH_Date,nrSCH_Act,$D41)=0,"",_xlfn.MINIFS(nrSCH_Date,nrSCH_Act,$D41)),""))</f>
        <v/>
      </c>
      <c r="J41" s="17">
        <f>IF($D41="","",IFERROR(IF(_xlfn.MAXIFS(nrSCH_Date,nrSCH_Act,$D41)=0,"",_xlfn.MAXIFS(nrSCH_Date,nrSCH_Act,$D41)),""))</f>
        <v/>
      </c>
      <c r="K41" s="14" t="n"/>
      <c r="L41" s="14" t="n"/>
      <c r="M41" s="14" t="n"/>
      <c r="N41" s="14" t="n"/>
      <c r="O41" s="14" t="n"/>
      <c r="P41" s="14" t="n"/>
      <c r="Q41" s="14" t="n"/>
      <c r="R41" s="14" t="n"/>
      <c r="S41" s="38" t="n"/>
      <c r="T41" s="14" t="n"/>
      <c r="U41" s="15">
        <f>IF($D41="","",IF(AND(COUNTIF(L41:P41,"On File")+COUNTIF(L41:P41,"N/A")=5,OR($Q41="On File",$Q41="N/A"),OR($S41="",$T41="Yes",$T41="N/A")),"Yes","No"))</f>
        <v/>
      </c>
    </row>
    <row r="42">
      <c r="B42" s="14" t="inlineStr">
        <is>
          <t>M</t>
        </is>
      </c>
      <c r="C42" s="14" t="inlineStr">
        <is>
          <t>36</t>
        </is>
      </c>
      <c r="D42" s="14" t="inlineStr">
        <is>
          <t>Radio Communications /Amber-Silver Alert / TCIC-TLETS</t>
        </is>
      </c>
      <c r="E42" s="14" t="n">
        <v>16</v>
      </c>
      <c r="F42" s="14" t="n">
        <v>16</v>
      </c>
      <c r="G42" s="15">
        <f>IF($D42="","",ROUND(SUMIFS(nrSCH_Hrs,nrSCH_Act,$D42),2))</f>
        <v/>
      </c>
      <c r="H42" s="15">
        <f>IF($D42="","",IF($G42=0,"",$G42-$E42))</f>
        <v/>
      </c>
      <c r="I42" s="17">
        <f>IF($D42="","",IFERROR(IF(_xlfn.MINIFS(nrSCH_Date,nrSCH_Act,$D42)=0,"",_xlfn.MINIFS(nrSCH_Date,nrSCH_Act,$D42)),""))</f>
        <v/>
      </c>
      <c r="J42" s="17">
        <f>IF($D42="","",IFERROR(IF(_xlfn.MAXIFS(nrSCH_Date,nrSCH_Act,$D42)=0,"",_xlfn.MAXIFS(nrSCH_Date,nrSCH_Act,$D42)),""))</f>
        <v/>
      </c>
      <c r="K42" s="14" t="n"/>
      <c r="L42" s="14" t="n"/>
      <c r="M42" s="14" t="n"/>
      <c r="N42" s="14" t="n"/>
      <c r="O42" s="14" t="n"/>
      <c r="P42" s="14" t="n"/>
      <c r="Q42" s="14" t="n"/>
      <c r="R42" s="14" t="n"/>
      <c r="S42" s="38" t="inlineStr">
        <is>
          <t>DPS NCIC/TCIC Course #4800 completed, DPS-approved trainers (not reported separately)</t>
        </is>
      </c>
      <c r="T42" s="14" t="n"/>
      <c r="U42" s="15">
        <f>IF($D42="","",IF(AND(COUNTIF(L42:P42,"On File")+COUNTIF(L42:P42,"N/A")=5,OR($Q42="On File",$Q42="N/A"),OR($S42="",$T42="Yes",$T42="N/A")),"Yes","No"))</f>
        <v/>
      </c>
    </row>
    <row r="43">
      <c r="B43" s="14" t="inlineStr">
        <is>
          <t>M</t>
        </is>
      </c>
      <c r="C43" s="14" t="inlineStr">
        <is>
          <t>37</t>
        </is>
      </c>
      <c r="D43" s="14" t="inlineStr">
        <is>
          <t>Civilian Interaction Training</t>
        </is>
      </c>
      <c r="E43" s="14" t="n">
        <v>2</v>
      </c>
      <c r="F43" s="14" t="n">
        <v>2</v>
      </c>
      <c r="G43" s="15">
        <f>IF($D43="","",ROUND(SUMIFS(nrSCH_Hrs,nrSCH_Act,$D43),2))</f>
        <v/>
      </c>
      <c r="H43" s="15">
        <f>IF($D43="","",IF($G43=0,"",$G43-$E43))</f>
        <v/>
      </c>
      <c r="I43" s="17">
        <f>IF($D43="","",IFERROR(IF(_xlfn.MINIFS(nrSCH_Date,nrSCH_Act,$D43)=0,"",_xlfn.MINIFS(nrSCH_Date,nrSCH_Act,$D43)),""))</f>
        <v/>
      </c>
      <c r="J43" s="17">
        <f>IF($D43="","",IFERROR(IF(_xlfn.MAXIFS(nrSCH_Date,nrSCH_Act,$D43)=0,"",_xlfn.MAXIFS(nrSCH_Date,nrSCH_Act,$D43)),""))</f>
        <v/>
      </c>
      <c r="K43" s="14" t="n"/>
      <c r="L43" s="14" t="n"/>
      <c r="M43" s="14" t="n"/>
      <c r="N43" s="14" t="n"/>
      <c r="O43" s="14" t="n"/>
      <c r="P43" s="14" t="n"/>
      <c r="Q43" s="14" t="n"/>
      <c r="R43" s="14" t="n"/>
      <c r="S43" s="38" t="inlineStr">
        <is>
          <t>Seven Step Violator Contact method must be taught</t>
        </is>
      </c>
      <c r="T43" s="14" t="n"/>
      <c r="U43" s="15">
        <f>IF($D43="","",IF(AND(COUNTIF(L43:P43,"On File")+COUNTIF(L43:P43,"N/A")=5,OR($Q43="On File",$Q43="N/A"),OR($S43="",$T43="Yes",$T43="N/A")),"Yes","No"))</f>
        <v/>
      </c>
    </row>
    <row r="44">
      <c r="B44" s="14" t="inlineStr">
        <is>
          <t>M</t>
        </is>
      </c>
      <c r="C44" s="14" t="inlineStr">
        <is>
          <t>38</t>
        </is>
      </c>
      <c r="D44" s="14" t="inlineStr">
        <is>
          <t>Interacting with Deaf and Hard of Hearing</t>
        </is>
      </c>
      <c r="E44" s="14" t="n">
        <v>4</v>
      </c>
      <c r="F44" s="14" t="n">
        <v>4</v>
      </c>
      <c r="G44" s="15">
        <f>IF($D44="","",ROUND(SUMIFS(nrSCH_Hrs,nrSCH_Act,$D44),2))</f>
        <v/>
      </c>
      <c r="H44" s="15">
        <f>IF($D44="","",IF($G44=0,"",$G44-$E44))</f>
        <v/>
      </c>
      <c r="I44" s="17">
        <f>IF($D44="","",IFERROR(IF(_xlfn.MINIFS(nrSCH_Date,nrSCH_Act,$D44)=0,"",_xlfn.MINIFS(nrSCH_Date,nrSCH_Act,$D44)),""))</f>
        <v/>
      </c>
      <c r="J44" s="17">
        <f>IF($D44="","",IFERROR(IF(_xlfn.MAXIFS(nrSCH_Date,nrSCH_Act,$D44)=0,"",_xlfn.MAXIFS(nrSCH_Date,nrSCH_Act,$D44)),""))</f>
        <v/>
      </c>
      <c r="K44" s="14" t="n"/>
      <c r="L44" s="14" t="n"/>
      <c r="M44" s="14" t="n"/>
      <c r="N44" s="14" t="n"/>
      <c r="O44" s="14" t="n"/>
      <c r="P44" s="14" t="n"/>
      <c r="Q44" s="14" t="n"/>
      <c r="R44" s="14" t="n"/>
      <c r="S44" s="38" t="n"/>
      <c r="T44" s="14" t="n"/>
      <c r="U44" s="15">
        <f>IF($D44="","",IF(AND(COUNTIF(L44:P44,"On File")+COUNTIF(L44:P44,"N/A")=5,OR($Q44="On File",$Q44="N/A"),OR($S44="",$T44="Yes",$T44="N/A")),"Yes","No"))</f>
        <v/>
      </c>
    </row>
    <row r="45">
      <c r="B45" s="14" t="inlineStr">
        <is>
          <t>M</t>
        </is>
      </c>
      <c r="C45" s="14" t="inlineStr">
        <is>
          <t>39</t>
        </is>
      </c>
      <c r="D45" s="14" t="inlineStr">
        <is>
          <t>Canine Encounters</t>
        </is>
      </c>
      <c r="E45" s="14" t="n">
        <v>4</v>
      </c>
      <c r="F45" s="14" t="n">
        <v>4</v>
      </c>
      <c r="G45" s="15">
        <f>IF($D45="","",ROUND(SUMIFS(nrSCH_Hrs,nrSCH_Act,$D45),2))</f>
        <v/>
      </c>
      <c r="H45" s="15">
        <f>IF($D45="","",IF($G45=0,"",$G45-$E45))</f>
        <v/>
      </c>
      <c r="I45" s="17">
        <f>IF($D45="","",IFERROR(IF(_xlfn.MINIFS(nrSCH_Date,nrSCH_Act,$D45)=0,"",_xlfn.MINIFS(nrSCH_Date,nrSCH_Act,$D45)),""))</f>
        <v/>
      </c>
      <c r="J45" s="17">
        <f>IF($D45="","",IFERROR(IF(_xlfn.MAXIFS(nrSCH_Date,nrSCH_Act,$D45)=0,"",_xlfn.MAXIFS(nrSCH_Date,nrSCH_Act,$D45)),""))</f>
        <v/>
      </c>
      <c r="K45" s="14" t="n"/>
      <c r="L45" s="14" t="n"/>
      <c r="M45" s="14" t="n"/>
      <c r="N45" s="14" t="n"/>
      <c r="O45" s="14" t="n"/>
      <c r="P45" s="14" t="n"/>
      <c r="Q45" s="14" t="n"/>
      <c r="R45" s="14" t="n"/>
      <c r="S45" s="38" t="inlineStr">
        <is>
          <t>Practical role-play scenarios required for LOs 39.14/39.16/39.18/39.22</t>
        </is>
      </c>
      <c r="T45" s="14" t="n"/>
      <c r="U45" s="15">
        <f>IF($D45="","",IF(AND(COUNTIF(L45:P45,"On File")+COUNTIF(L45:P45,"N/A")=5,OR($Q45="On File",$Q45="N/A"),OR($S45="",$T45="Yes",$T45="N/A")),"Yes","No"))</f>
        <v/>
      </c>
    </row>
    <row r="46">
      <c r="B46" s="14" t="inlineStr">
        <is>
          <t>N</t>
        </is>
      </c>
      <c r="C46" s="14" t="inlineStr">
        <is>
          <t>40</t>
        </is>
      </c>
      <c r="D46" s="14" t="inlineStr">
        <is>
          <t>Emergency Medical Assistance</t>
        </is>
      </c>
      <c r="E46" s="14" t="n">
        <v>16</v>
      </c>
      <c r="F46" s="14" t="n">
        <v>16</v>
      </c>
      <c r="G46" s="15">
        <f>IF($D46="","",ROUND(SUMIFS(nrSCH_Hrs,nrSCH_Act,$D46),2))</f>
        <v/>
      </c>
      <c r="H46" s="15">
        <f>IF($D46="","",IF($G46=0,"",$G46-$E46))</f>
        <v/>
      </c>
      <c r="I46" s="17">
        <f>IF($D46="","",IFERROR(IF(_xlfn.MINIFS(nrSCH_Date,nrSCH_Act,$D46)=0,"",_xlfn.MINIFS(nrSCH_Date,nrSCH_Act,$D46)),""))</f>
        <v/>
      </c>
      <c r="J46" s="17">
        <f>IF($D46="","",IFERROR(IF(_xlfn.MAXIFS(nrSCH_Date,nrSCH_Act,$D46)=0,"",_xlfn.MAXIFS(nrSCH_Date,nrSCH_Act,$D46)),""))</f>
        <v/>
      </c>
      <c r="K46" s="14" t="n"/>
      <c r="L46" s="14" t="n"/>
      <c r="M46" s="14" t="n"/>
      <c r="N46" s="14" t="n"/>
      <c r="O46" s="14" t="n"/>
      <c r="P46" s="14" t="n"/>
      <c r="Q46" s="14" t="n"/>
      <c r="R46" s="14" t="n"/>
      <c r="S46" s="38" t="inlineStr">
        <is>
          <t>Full nationally accredited CPR/AED course (AHA Heartsaver or ARC) incl. Adult/Child/Infant</t>
        </is>
      </c>
      <c r="T46" s="14" t="n"/>
      <c r="U46" s="15">
        <f>IF($D46="","",IF(AND(COUNTIF(L46:P46,"On File")+COUNTIF(L46:P46,"N/A")=5,OR($Q46="On File",$Q46="N/A"),OR($S46="",$T46="Yes",$T46="N/A")),"Yes","No"))</f>
        <v/>
      </c>
    </row>
    <row r="47">
      <c r="B47" s="14" t="inlineStr">
        <is>
          <t>O</t>
        </is>
      </c>
      <c r="C47" s="14" t="inlineStr">
        <is>
          <t>41</t>
        </is>
      </c>
      <c r="D47" s="14" t="inlineStr">
        <is>
          <t>Firearms</t>
        </is>
      </c>
      <c r="E47" s="14" t="n">
        <v>48</v>
      </c>
      <c r="F47" s="14" t="n">
        <v>48</v>
      </c>
      <c r="G47" s="15">
        <f>IF($D47="","",ROUND(SUMIFS(nrSCH_Hrs,nrSCH_Act,$D47),2))</f>
        <v/>
      </c>
      <c r="H47" s="15">
        <f>IF($D47="","",IF($G47=0,"",$G47-$E47))</f>
        <v/>
      </c>
      <c r="I47" s="17">
        <f>IF($D47="","",IFERROR(IF(_xlfn.MINIFS(nrSCH_Date,nrSCH_Act,$D47)=0,"",_xlfn.MINIFS(nrSCH_Date,nrSCH_Act,$D47)),""))</f>
        <v/>
      </c>
      <c r="J47" s="17">
        <f>IF($D47="","",IFERROR(IF(_xlfn.MAXIFS(nrSCH_Date,nrSCH_Act,$D47)=0,"",_xlfn.MAXIFS(nrSCH_Date,nrSCH_Act,$D47)),""))</f>
        <v/>
      </c>
      <c r="K47" s="14" t="n"/>
      <c r="L47" s="14" t="n"/>
      <c r="M47" s="14" t="n"/>
      <c r="N47" s="14" t="n"/>
      <c r="O47" s="14" t="n"/>
      <c r="P47" s="14" t="n"/>
      <c r="Q47" s="14" t="n"/>
      <c r="R47" s="14" t="n"/>
      <c r="S47" s="38" t="inlineStr">
        <is>
          <t>48-hr minimum; 70% minimum on BOTH courses of fire</t>
        </is>
      </c>
      <c r="T47" s="14" t="n"/>
      <c r="U47" s="15">
        <f>IF($D47="","",IF(AND(COUNTIF(L47:P47,"On File")+COUNTIF(L47:P47,"N/A")=5,OR($Q47="On File",$Q47="N/A"),OR($S47="",$T47="Yes",$T47="N/A")),"Yes","No"))</f>
        <v/>
      </c>
    </row>
    <row r="48">
      <c r="B48" s="14" t="inlineStr">
        <is>
          <t>P</t>
        </is>
      </c>
      <c r="C48" s="14" t="inlineStr">
        <is>
          <t>42</t>
        </is>
      </c>
      <c r="D48" s="14" t="inlineStr">
        <is>
          <t>HazMat Awareness / ICS</t>
        </is>
      </c>
      <c r="E48" s="14" t="n">
        <v>4</v>
      </c>
      <c r="F48" s="14" t="n">
        <v>4</v>
      </c>
      <c r="G48" s="15">
        <f>IF($D48="","",ROUND(SUMIFS(nrSCH_Hrs,nrSCH_Act,$D48),2))</f>
        <v/>
      </c>
      <c r="H48" s="15">
        <f>IF($D48="","",IF($G48=0,"",$G48-$E48))</f>
        <v/>
      </c>
      <c r="I48" s="17">
        <f>IF($D48="","",IFERROR(IF(_xlfn.MINIFS(nrSCH_Date,nrSCH_Act,$D48)=0,"",_xlfn.MINIFS(nrSCH_Date,nrSCH_Act,$D48)),""))</f>
        <v/>
      </c>
      <c r="J48" s="17">
        <f>IF($D48="","",IFERROR(IF(_xlfn.MAXIFS(nrSCH_Date,nrSCH_Act,$D48)=0,"",_xlfn.MAXIFS(nrSCH_Date,nrSCH_Act,$D48)),""))</f>
        <v/>
      </c>
      <c r="K48" s="14" t="n"/>
      <c r="L48" s="14" t="n"/>
      <c r="M48" s="14" t="n"/>
      <c r="N48" s="14" t="n"/>
      <c r="O48" s="14" t="n"/>
      <c r="P48" s="14" t="n"/>
      <c r="Q48" s="14" t="n"/>
      <c r="R48" s="14" t="n"/>
      <c r="S48" s="38" t="n"/>
      <c r="T48" s="14" t="n"/>
      <c r="U48" s="15">
        <f>IF($D48="","",IF(AND(COUNTIF(L48:P48,"On File")+COUNTIF(L48:P48,"N/A")=5,OR($Q48="On File",$Q48="N/A"),OR($S48="",$T48="Yes",$T48="N/A")),"Yes","No"))</f>
        <v/>
      </c>
    </row>
    <row r="49">
      <c r="B49" s="14" t="inlineStr">
        <is>
          <t>Q</t>
        </is>
      </c>
      <c r="C49" s="14" t="inlineStr">
        <is>
          <t>43</t>
        </is>
      </c>
      <c r="D49" s="14" t="inlineStr">
        <is>
          <t>ALERRT Level 1</t>
        </is>
      </c>
      <c r="E49" s="14" t="n">
        <v>16</v>
      </c>
      <c r="F49" s="14" t="n">
        <v>16</v>
      </c>
      <c r="G49" s="15">
        <f>IF($D49="","",ROUND(SUMIFS(nrSCH_Hrs,nrSCH_Act,$D49),2))</f>
        <v/>
      </c>
      <c r="H49" s="15">
        <f>IF($D49="","",IF($G49=0,"",$G49-$E49))</f>
        <v/>
      </c>
      <c r="I49" s="17">
        <f>IF($D49="","",IFERROR(IF(_xlfn.MINIFS(nrSCH_Date,nrSCH_Act,$D49)=0,"",_xlfn.MINIFS(nrSCH_Date,nrSCH_Act,$D49)),""))</f>
        <v/>
      </c>
      <c r="J49" s="17">
        <f>IF($D49="","",IFERROR(IF(_xlfn.MAXIFS(nrSCH_Date,nrSCH_Act,$D49)=0,"",_xlfn.MAXIFS(nrSCH_Date,nrSCH_Act,$D49)),""))</f>
        <v/>
      </c>
      <c r="K49" s="14" t="n"/>
      <c r="L49" s="14" t="n"/>
      <c r="M49" s="14" t="n"/>
      <c r="N49" s="14" t="n"/>
      <c r="O49" s="14" t="n"/>
      <c r="P49" s="14" t="n"/>
      <c r="Q49" s="14" t="n"/>
      <c r="R49" s="14" t="n"/>
      <c r="S49" s="38" t="inlineStr">
        <is>
          <t>ALERRT Level 1 (16 hrs, SB 1852) by certified ALERRT instructors (TtT 3315 + current cert)</t>
        </is>
      </c>
      <c r="T49" s="14" t="n"/>
      <c r="U49" s="15">
        <f>IF($D49="","",IF(AND(COUNTIF(L49:P49,"On File")+COUNTIF(L49:P49,"N/A")=5,OR($Q49="On File",$Q49="N/A"),OR($S49="",$T49="Yes",$T49="N/A")),"Yes","No"))</f>
        <v/>
      </c>
    </row>
    <row r="50"/>
    <row r="51">
      <c r="D51" s="10" t="inlineStr">
        <is>
          <t>Totals:</t>
        </is>
      </c>
      <c r="E51" s="18">
        <f>SUM(E6:E49)</f>
        <v/>
      </c>
      <c r="F51" s="18">
        <f>SUM(F6:F49)</f>
        <v/>
      </c>
      <c r="G51" s="18">
        <f>SUM(G6:G49)</f>
        <v/>
      </c>
    </row>
    <row r="52">
      <c r="D52" s="10" t="inlineStr">
        <is>
          <t>Required TCOLE hours (exact):</t>
        </is>
      </c>
      <c r="E52" s="18" t="n">
        <v>736</v>
      </c>
      <c r="F52" s="2" t="inlineStr">
        <is>
          <t>Report the BPOC at exactly 736; excess goes to Addendum course #101</t>
        </is>
      </c>
    </row>
  </sheetData>
  <conditionalFormatting sqref="H6:H49">
    <cfRule type="expression" priority="1" dxfId="0">
      <formula>AND($H6&lt;&gt;"",$H6&lt;0)</formula>
    </cfRule>
  </conditionalFormatting>
  <conditionalFormatting sqref="U6:U49">
    <cfRule type="cellIs" priority="2" operator="equal" dxfId="1">
      <formula>"Yes"</formula>
    </cfRule>
    <cfRule type="cellIs" priority="3" operator="equal" dxfId="0">
      <formula>"No"</formula>
    </cfRule>
  </conditionalFormatting>
  <dataValidations count="3">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row r="2"/>
    <row r="3"/>
    <row r="4">
      <c r="B4" s="8" t="inlineStr">
        <is>
          <t>Library of all possible exams. ExamPlan picks which ones THIS academy uses.</t>
        </is>
      </c>
    </row>
    <row r="5" ht="26" customHeight="1">
      <c r="B5" s="9" t="inlineStr">
        <is>
          <t>ExamCode</t>
        </is>
      </c>
      <c r="C5" s="9" t="inlineStr">
        <is>
          <t>Exam Name</t>
        </is>
      </c>
      <c r="D5" s="9" t="inlineStr">
        <is>
          <t>Default Type</t>
        </is>
      </c>
      <c r="E5" s="9" t="inlineStr">
        <is>
          <t>Default Passing</t>
        </is>
      </c>
      <c r="F5" s="9" t="inlineStr">
        <is>
          <t>Default Seq</t>
        </is>
      </c>
    </row>
    <row r="6">
      <c r="B6" s="14" t="inlineStr">
        <is>
          <t>E01</t>
        </is>
      </c>
      <c r="C6" s="14" t="inlineStr">
        <is>
          <t>Professionalism &amp; Ethics</t>
        </is>
      </c>
      <c r="D6" s="14" t="inlineStr">
        <is>
          <t>Minor</t>
        </is>
      </c>
      <c r="E6" s="14" t="n">
        <v>70</v>
      </c>
      <c r="F6" s="14" t="n">
        <v>1</v>
      </c>
    </row>
    <row r="7">
      <c r="B7" s="14" t="inlineStr">
        <is>
          <t>E02</t>
        </is>
      </c>
      <c r="C7" s="14" t="inlineStr">
        <is>
          <t>Constitutional Law</t>
        </is>
      </c>
      <c r="D7" s="14" t="inlineStr">
        <is>
          <t>Major</t>
        </is>
      </c>
      <c r="E7" s="14" t="n">
        <v>70</v>
      </c>
      <c r="F7" s="14" t="n">
        <v>2</v>
      </c>
    </row>
    <row r="8">
      <c r="B8" s="14" t="inlineStr">
        <is>
          <t>E03</t>
        </is>
      </c>
      <c r="C8" s="14" t="inlineStr">
        <is>
          <t>Penal Code</t>
        </is>
      </c>
      <c r="D8" s="14" t="inlineStr">
        <is>
          <t>Major</t>
        </is>
      </c>
      <c r="E8" s="14" t="n">
        <v>70</v>
      </c>
      <c r="F8" s="14" t="n">
        <v>3</v>
      </c>
    </row>
    <row r="9">
      <c r="B9" s="14" t="inlineStr">
        <is>
          <t>E04</t>
        </is>
      </c>
      <c r="C9" s="14" t="inlineStr">
        <is>
          <t>Code of Criminal Procedure</t>
        </is>
      </c>
      <c r="D9" s="14" t="inlineStr">
        <is>
          <t>Major</t>
        </is>
      </c>
      <c r="E9" s="14" t="n">
        <v>70</v>
      </c>
      <c r="F9" s="14" t="n">
        <v>4</v>
      </c>
    </row>
    <row r="10">
      <c r="B10" s="14" t="inlineStr">
        <is>
          <t>E05</t>
        </is>
      </c>
      <c r="C10" s="14" t="inlineStr">
        <is>
          <t>Arrest, Search &amp; Seizure</t>
        </is>
      </c>
      <c r="D10" s="14" t="inlineStr">
        <is>
          <t>Major</t>
        </is>
      </c>
      <c r="E10" s="14" t="n">
        <v>70</v>
      </c>
      <c r="F10" s="14" t="n">
        <v>5</v>
      </c>
    </row>
    <row r="11">
      <c r="B11" s="14" t="inlineStr">
        <is>
          <t>E06</t>
        </is>
      </c>
      <c r="C11" s="14" t="inlineStr">
        <is>
          <t>Health &amp; Safety Code</t>
        </is>
      </c>
      <c r="D11" s="14" t="inlineStr">
        <is>
          <t>Minor</t>
        </is>
      </c>
      <c r="E11" s="14" t="n">
        <v>70</v>
      </c>
      <c r="F11" s="14" t="n">
        <v>6</v>
      </c>
    </row>
    <row r="12">
      <c r="B12" s="14" t="inlineStr">
        <is>
          <t>E07</t>
        </is>
      </c>
      <c r="C12" s="14" t="inlineStr">
        <is>
          <t>Family Violence</t>
        </is>
      </c>
      <c r="D12" s="14" t="inlineStr">
        <is>
          <t>Minor</t>
        </is>
      </c>
      <c r="E12" s="14" t="n">
        <v>70</v>
      </c>
      <c r="F12" s="14" t="n">
        <v>7</v>
      </c>
    </row>
    <row r="13">
      <c r="B13" s="14" t="inlineStr">
        <is>
          <t>E08</t>
        </is>
      </c>
      <c r="C13" s="14" t="inlineStr">
        <is>
          <t>Victims of Crime &amp; Human Trafficking</t>
        </is>
      </c>
      <c r="D13" s="14" t="inlineStr">
        <is>
          <t>Minor</t>
        </is>
      </c>
      <c r="E13" s="14" t="n">
        <v>70</v>
      </c>
      <c r="F13" s="14" t="n">
        <v>8</v>
      </c>
    </row>
    <row r="14">
      <c r="B14" s="14" t="inlineStr">
        <is>
          <t>E09</t>
        </is>
      </c>
      <c r="C14" s="14" t="inlineStr">
        <is>
          <t>Transportation Code</t>
        </is>
      </c>
      <c r="D14" s="14" t="inlineStr">
        <is>
          <t>Minor</t>
        </is>
      </c>
      <c r="E14" s="14" t="n">
        <v>70</v>
      </c>
      <c r="F14" s="14" t="n">
        <v>9</v>
      </c>
    </row>
    <row r="15">
      <c r="B15" s="14" t="inlineStr">
        <is>
          <t>E10</t>
        </is>
      </c>
      <c r="C15" s="14" t="inlineStr">
        <is>
          <t>Crash, TIM &amp; SFST</t>
        </is>
      </c>
      <c r="D15" s="14" t="inlineStr">
        <is>
          <t>Major</t>
        </is>
      </c>
      <c r="E15" s="14" t="n">
        <v>70</v>
      </c>
      <c r="F15" s="14" t="n">
        <v>10</v>
      </c>
    </row>
    <row r="16">
      <c r="B16" s="14" t="inlineStr">
        <is>
          <t>E11</t>
        </is>
      </c>
      <c r="C16" s="14" t="inlineStr">
        <is>
          <t>Communications</t>
        </is>
      </c>
      <c r="D16" s="14" t="inlineStr">
        <is>
          <t>Minor</t>
        </is>
      </c>
      <c r="E16" s="14" t="n">
        <v>70</v>
      </c>
      <c r="F16" s="14" t="n">
        <v>11</v>
      </c>
    </row>
    <row r="17">
      <c r="B17" s="14" t="inlineStr">
        <is>
          <t>E12</t>
        </is>
      </c>
      <c r="C17" s="14" t="inlineStr">
        <is>
          <t>Spanish &amp; De-Escalation</t>
        </is>
      </c>
      <c r="D17" s="14" t="inlineStr">
        <is>
          <t>Minor</t>
        </is>
      </c>
      <c r="E17" s="14" t="n">
        <v>70</v>
      </c>
      <c r="F17" s="14" t="n">
        <v>12</v>
      </c>
    </row>
    <row r="18">
      <c r="B18" s="14" t="inlineStr">
        <is>
          <t>E13</t>
        </is>
      </c>
      <c r="C18" s="14" t="inlineStr">
        <is>
          <t>Force Options</t>
        </is>
      </c>
      <c r="D18" s="14" t="inlineStr">
        <is>
          <t>Major</t>
        </is>
      </c>
      <c r="E18" s="14" t="n">
        <v>70</v>
      </c>
      <c r="F18" s="14" t="n">
        <v>13</v>
      </c>
    </row>
    <row r="19">
      <c r="B19" s="14" t="inlineStr">
        <is>
          <t>E14</t>
        </is>
      </c>
      <c r="C19" s="14" t="inlineStr">
        <is>
          <t>Crisis Intervention</t>
        </is>
      </c>
      <c r="D19" s="14" t="inlineStr">
        <is>
          <t>Major</t>
        </is>
      </c>
      <c r="E19" s="14" t="n">
        <v>70</v>
      </c>
      <c r="F19" s="14" t="n">
        <v>14</v>
      </c>
    </row>
    <row r="20">
      <c r="B20" s="14" t="inlineStr">
        <is>
          <t>E15</t>
        </is>
      </c>
      <c r="C20" s="14" t="inlineStr">
        <is>
          <t>Criminal Investigations</t>
        </is>
      </c>
      <c r="D20" s="14" t="inlineStr">
        <is>
          <t>Minor</t>
        </is>
      </c>
      <c r="E20" s="14" t="n">
        <v>70</v>
      </c>
      <c r="F20" s="14" t="n">
        <v>15</v>
      </c>
    </row>
    <row r="21">
      <c r="B21" s="14" t="inlineStr">
        <is>
          <t>E16</t>
        </is>
      </c>
      <c r="C21" s="14" t="inlineStr">
        <is>
          <t>Professional Police Driving</t>
        </is>
      </c>
      <c r="D21" s="14" t="inlineStr">
        <is>
          <t>Major</t>
        </is>
      </c>
      <c r="E21" s="14" t="n">
        <v>70</v>
      </c>
      <c r="F21" s="14" t="n">
        <v>16</v>
      </c>
    </row>
    <row r="22">
      <c r="B22" s="14" t="inlineStr">
        <is>
          <t>E17</t>
        </is>
      </c>
      <c r="C22" s="14" t="inlineStr">
        <is>
          <t>Emergency Medical, Radio Comms, K9, Deaf &amp; Hard of Hearing</t>
        </is>
      </c>
      <c r="D22" s="14" t="inlineStr">
        <is>
          <t>Minor</t>
        </is>
      </c>
      <c r="E22" s="14" t="n">
        <v>70</v>
      </c>
      <c r="F22" s="14" t="n">
        <v>17</v>
      </c>
    </row>
    <row r="23">
      <c r="B23" s="14" t="inlineStr">
        <is>
          <t>FIN</t>
        </is>
      </c>
      <c r="C23" s="14" t="inlineStr">
        <is>
          <t>Final Comprehensive Exam</t>
        </is>
      </c>
      <c r="D23" s="14" t="inlineStr">
        <is>
          <t>Final</t>
        </is>
      </c>
      <c r="E23" s="14" t="n">
        <v>70</v>
      </c>
      <c r="F23" s="14" t="n">
        <v>20</v>
      </c>
    </row>
    <row r="24">
      <c r="B24" s="14" t="n"/>
      <c r="C24" s="14" t="n"/>
      <c r="D24" s="14" t="n"/>
      <c r="E24" s="14" t="n"/>
      <c r="F24" s="14" t="n"/>
    </row>
    <row r="25">
      <c r="B25" s="14" t="n"/>
      <c r="C25" s="14" t="n"/>
      <c r="D25" s="14" t="n"/>
      <c r="E25" s="14" t="n"/>
      <c r="F25" s="14" t="n"/>
    </row>
    <row r="26">
      <c r="B26" s="14" t="n"/>
      <c r="C26" s="14" t="n"/>
      <c r="D26" s="14" t="n"/>
      <c r="E26" s="14" t="n"/>
      <c r="F26" s="14" t="n"/>
    </row>
    <row r="27">
      <c r="B27" s="14" t="n"/>
      <c r="C27" s="14" t="n"/>
      <c r="D27" s="14" t="n"/>
      <c r="E27" s="14" t="n"/>
      <c r="F27" s="14" t="n"/>
    </row>
    <row r="28">
      <c r="B28" s="14" t="n"/>
      <c r="C28" s="14" t="n"/>
      <c r="D28" s="14" t="n"/>
      <c r="E28" s="14" t="n"/>
      <c r="F28" s="14" t="n"/>
    </row>
    <row r="29">
      <c r="B29" s="14" t="n"/>
      <c r="C29" s="14" t="n"/>
      <c r="D29" s="14" t="n"/>
      <c r="E29" s="14" t="n"/>
      <c r="F29" s="14" t="n"/>
    </row>
    <row r="30">
      <c r="B30" s="14" t="n"/>
      <c r="C30" s="14" t="n"/>
      <c r="D30" s="14" t="n"/>
      <c r="E30" s="14" t="n"/>
      <c r="F30" s="14"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row r="2"/>
    <row r="3"/>
    <row r="4">
      <c r="B4" s="8" t="inlineStr">
        <is>
          <t>Linked Ch # ties each exam to its chapter; 'Exam Date' estimates from the last scheduled day of that chapter (informational — retest deadlines run off actual score dates).</t>
        </is>
      </c>
    </row>
    <row r="5" ht="26" customHeight="1">
      <c r="B5" s="9" t="inlineStr">
        <is>
          <t>Use?</t>
        </is>
      </c>
      <c r="C5" s="9" t="inlineStr">
        <is>
          <t>ExamCode</t>
        </is>
      </c>
      <c r="D5" s="9" t="inlineStr">
        <is>
          <t>Exam Name</t>
        </is>
      </c>
      <c r="E5" s="9" t="inlineStr">
        <is>
          <t>Type</t>
        </is>
      </c>
      <c r="F5" s="9" t="inlineStr">
        <is>
          <t>Passing</t>
        </is>
      </c>
      <c r="G5" s="9" t="inlineStr">
        <is>
          <t>Seq</t>
        </is>
      </c>
      <c r="H5" s="9" t="inlineStr">
        <is>
          <t>Linked Ch #</t>
        </is>
      </c>
      <c r="I5" s="9" t="inlineStr">
        <is>
          <t>Exam Date</t>
        </is>
      </c>
    </row>
    <row r="6">
      <c r="B6" s="14" t="inlineStr">
        <is>
          <t>Yes</t>
        </is>
      </c>
      <c r="C6" s="14" t="inlineStr">
        <is>
          <t>E01</t>
        </is>
      </c>
      <c r="D6" s="15">
        <f>IF($C6="","",IFERROR(INDEX(rngEMname,MATCH($C6,rngEMcode,0)),"?"))</f>
        <v/>
      </c>
      <c r="E6" s="15">
        <f>IF($C6="","",IFERROR(INDEX(rngEMtype,MATCH($C6,rngEMcode,0)),"?"))</f>
        <v/>
      </c>
      <c r="F6" s="15">
        <f>IF($C6="","",IFERROR(INDEX(rngEMpass,MATCH($C6,rngEMcode,0)),cfgPassingScore))</f>
        <v/>
      </c>
      <c r="G6" s="15">
        <f>IF($C6="","",IFERROR(INDEX(rngEMseq,MATCH($C6,rngEMcode,0)),""))</f>
        <v/>
      </c>
      <c r="H6" s="14" t="inlineStr">
        <is>
          <t>1</t>
        </is>
      </c>
      <c r="I6" s="17">
        <f>IF(OR($C6="",$H6=""),"",IFERROR(IF(_xlfn.MAXIFS(nrSCH_Date,nrSCH_ChNum,$H6)=0,"",_xlfn.MAXIFS(nrSCH_Date,nrSCH_ChNum,$H6)),""))</f>
        <v/>
      </c>
    </row>
    <row r="7">
      <c r="B7" s="14" t="inlineStr">
        <is>
          <t>Yes</t>
        </is>
      </c>
      <c r="C7" s="14" t="inlineStr">
        <is>
          <t>E02</t>
        </is>
      </c>
      <c r="D7" s="15">
        <f>IF($C7="","",IFERROR(INDEX(rngEMname,MATCH($C7,rngEMcode,0)),"?"))</f>
        <v/>
      </c>
      <c r="E7" s="15">
        <f>IF($C7="","",IFERROR(INDEX(rngEMtype,MATCH($C7,rngEMcode,0)),"?"))</f>
        <v/>
      </c>
      <c r="F7" s="15">
        <f>IF($C7="","",IFERROR(INDEX(rngEMpass,MATCH($C7,rngEMcode,0)),cfgPassingScore))</f>
        <v/>
      </c>
      <c r="G7" s="15">
        <f>IF($C7="","",IFERROR(INDEX(rngEMseq,MATCH($C7,rngEMcode,0)),""))</f>
        <v/>
      </c>
      <c r="H7" s="14" t="inlineStr">
        <is>
          <t>7</t>
        </is>
      </c>
      <c r="I7" s="17">
        <f>IF(OR($C7="",$H7=""),"",IFERROR(IF(_xlfn.MAXIFS(nrSCH_Date,nrSCH_ChNum,$H7)=0,"",_xlfn.MAXIFS(nrSCH_Date,nrSCH_ChNum,$H7)),""))</f>
        <v/>
      </c>
    </row>
    <row r="8">
      <c r="B8" s="14" t="inlineStr">
        <is>
          <t>Yes</t>
        </is>
      </c>
      <c r="C8" s="14" t="inlineStr">
        <is>
          <t>E03</t>
        </is>
      </c>
      <c r="D8" s="15">
        <f>IF($C8="","",IFERROR(INDEX(rngEMname,MATCH($C8,rngEMcode,0)),"?"))</f>
        <v/>
      </c>
      <c r="E8" s="15">
        <f>IF($C8="","",IFERROR(INDEX(rngEMtype,MATCH($C8,rngEMcode,0)),"?"))</f>
        <v/>
      </c>
      <c r="F8" s="15">
        <f>IF($C8="","",IFERROR(INDEX(rngEMpass,MATCH($C8,rngEMcode,0)),cfgPassingScore))</f>
        <v/>
      </c>
      <c r="G8" s="15">
        <f>IF($C8="","",IFERROR(INDEX(rngEMseq,MATCH($C8,rngEMcode,0)),""))</f>
        <v/>
      </c>
      <c r="H8" s="14" t="inlineStr">
        <is>
          <t>8</t>
        </is>
      </c>
      <c r="I8" s="17">
        <f>IF(OR($C8="",$H8=""),"",IFERROR(IF(_xlfn.MAXIFS(nrSCH_Date,nrSCH_ChNum,$H8)=0,"",_xlfn.MAXIFS(nrSCH_Date,nrSCH_ChNum,$H8)),""))</f>
        <v/>
      </c>
    </row>
    <row r="9">
      <c r="B9" s="14" t="inlineStr">
        <is>
          <t>Yes</t>
        </is>
      </c>
      <c r="C9" s="14" t="inlineStr">
        <is>
          <t>E04</t>
        </is>
      </c>
      <c r="D9" s="15">
        <f>IF($C9="","",IFERROR(INDEX(rngEMname,MATCH($C9,rngEMcode,0)),"?"))</f>
        <v/>
      </c>
      <c r="E9" s="15">
        <f>IF($C9="","",IFERROR(INDEX(rngEMtype,MATCH($C9,rngEMcode,0)),"?"))</f>
        <v/>
      </c>
      <c r="F9" s="15">
        <f>IF($C9="","",IFERROR(INDEX(rngEMpass,MATCH($C9,rngEMcode,0)),cfgPassingScore))</f>
        <v/>
      </c>
      <c r="G9" s="15">
        <f>IF($C9="","",IFERROR(INDEX(rngEMseq,MATCH($C9,rngEMcode,0)),""))</f>
        <v/>
      </c>
      <c r="H9" s="14" t="inlineStr">
        <is>
          <t>9</t>
        </is>
      </c>
      <c r="I9" s="17">
        <f>IF(OR($C9="",$H9=""),"",IFERROR(IF(_xlfn.MAXIFS(nrSCH_Date,nrSCH_ChNum,$H9)=0,"",_xlfn.MAXIFS(nrSCH_Date,nrSCH_ChNum,$H9)),""))</f>
        <v/>
      </c>
    </row>
    <row r="10">
      <c r="B10" s="14" t="inlineStr">
        <is>
          <t>Yes</t>
        </is>
      </c>
      <c r="C10" s="14" t="inlineStr">
        <is>
          <t>E05</t>
        </is>
      </c>
      <c r="D10" s="15">
        <f>IF($C10="","",IFERROR(INDEX(rngEMname,MATCH($C10,rngEMcode,0)),"?"))</f>
        <v/>
      </c>
      <c r="E10" s="15">
        <f>IF($C10="","",IFERROR(INDEX(rngEMtype,MATCH($C10,rngEMcode,0)),"?"))</f>
        <v/>
      </c>
      <c r="F10" s="15">
        <f>IF($C10="","",IFERROR(INDEX(rngEMpass,MATCH($C10,rngEMcode,0)),cfgPassingScore))</f>
        <v/>
      </c>
      <c r="G10" s="15">
        <f>IF($C10="","",IFERROR(INDEX(rngEMseq,MATCH($C10,rngEMcode,0)),""))</f>
        <v/>
      </c>
      <c r="H10" s="14" t="inlineStr">
        <is>
          <t>10</t>
        </is>
      </c>
      <c r="I10" s="17">
        <f>IF(OR($C10="",$H10=""),"",IFERROR(IF(_xlfn.MAXIFS(nrSCH_Date,nrSCH_ChNum,$H10)=0,"",_xlfn.MAXIFS(nrSCH_Date,nrSCH_ChNum,$H10)),""))</f>
        <v/>
      </c>
    </row>
    <row r="11">
      <c r="B11" s="14" t="inlineStr">
        <is>
          <t>Yes</t>
        </is>
      </c>
      <c r="C11" s="14" t="inlineStr">
        <is>
          <t>E06</t>
        </is>
      </c>
      <c r="D11" s="15">
        <f>IF($C11="","",IFERROR(INDEX(rngEMname,MATCH($C11,rngEMcode,0)),"?"))</f>
        <v/>
      </c>
      <c r="E11" s="15">
        <f>IF($C11="","",IFERROR(INDEX(rngEMtype,MATCH($C11,rngEMcode,0)),"?"))</f>
        <v/>
      </c>
      <c r="F11" s="15">
        <f>IF($C11="","",IFERROR(INDEX(rngEMpass,MATCH($C11,rngEMcode,0)),cfgPassingScore))</f>
        <v/>
      </c>
      <c r="G11" s="15">
        <f>IF($C11="","",IFERROR(INDEX(rngEMseq,MATCH($C11,rngEMcode,0)),""))</f>
        <v/>
      </c>
      <c r="H11" s="14" t="inlineStr">
        <is>
          <t>15</t>
        </is>
      </c>
      <c r="I11" s="17">
        <f>IF(OR($C11="",$H11=""),"",IFERROR(IF(_xlfn.MAXIFS(nrSCH_Date,nrSCH_ChNum,$H11)=0,"",_xlfn.MAXIFS(nrSCH_Date,nrSCH_ChNum,$H11)),""))</f>
        <v/>
      </c>
    </row>
    <row r="12">
      <c r="B12" s="14" t="inlineStr">
        <is>
          <t>Yes</t>
        </is>
      </c>
      <c r="C12" s="14" t="inlineStr">
        <is>
          <t>E07</t>
        </is>
      </c>
      <c r="D12" s="15">
        <f>IF($C12="","",IFERROR(INDEX(rngEMname,MATCH($C12,rngEMcode,0)),"?"))</f>
        <v/>
      </c>
      <c r="E12" s="15">
        <f>IF($C12="","",IFERROR(INDEX(rngEMtype,MATCH($C12,rngEMcode,0)),"?"))</f>
        <v/>
      </c>
      <c r="F12" s="15">
        <f>IF($C12="","",IFERROR(INDEX(rngEMpass,MATCH($C12,rngEMcode,0)),cfgPassingScore))</f>
        <v/>
      </c>
      <c r="G12" s="15">
        <f>IF($C12="","",IFERROR(INDEX(rngEMseq,MATCH($C12,rngEMcode,0)),""))</f>
        <v/>
      </c>
      <c r="H12" s="14" t="inlineStr">
        <is>
          <t>17</t>
        </is>
      </c>
      <c r="I12" s="17">
        <f>IF(OR($C12="",$H12=""),"",IFERROR(IF(_xlfn.MAXIFS(nrSCH_Date,nrSCH_ChNum,$H12)=0,"",_xlfn.MAXIFS(nrSCH_Date,nrSCH_ChNum,$H12)),""))</f>
        <v/>
      </c>
    </row>
    <row r="13">
      <c r="B13" s="14" t="inlineStr">
        <is>
          <t>Yes</t>
        </is>
      </c>
      <c r="C13" s="14" t="inlineStr">
        <is>
          <t>E08</t>
        </is>
      </c>
      <c r="D13" s="15">
        <f>IF($C13="","",IFERROR(INDEX(rngEMname,MATCH($C13,rngEMcode,0)),"?"))</f>
        <v/>
      </c>
      <c r="E13" s="15">
        <f>IF($C13="","",IFERROR(INDEX(rngEMtype,MATCH($C13,rngEMcode,0)),"?"))</f>
        <v/>
      </c>
      <c r="F13" s="15">
        <f>IF($C13="","",IFERROR(INDEX(rngEMpass,MATCH($C13,rngEMcode,0)),cfgPassingScore))</f>
        <v/>
      </c>
      <c r="G13" s="15">
        <f>IF($C13="","",IFERROR(INDEX(rngEMseq,MATCH($C13,rngEMcode,0)),""))</f>
        <v/>
      </c>
      <c r="H13" s="14" t="inlineStr">
        <is>
          <t>20</t>
        </is>
      </c>
      <c r="I13" s="17">
        <f>IF(OR($C13="",$H13=""),"",IFERROR(IF(_xlfn.MAXIFS(nrSCH_Date,nrSCH_ChNum,$H13)=0,"",_xlfn.MAXIFS(nrSCH_Date,nrSCH_ChNum,$H13)),""))</f>
        <v/>
      </c>
    </row>
    <row r="14">
      <c r="B14" s="14" t="inlineStr">
        <is>
          <t>Yes</t>
        </is>
      </c>
      <c r="C14" s="14" t="inlineStr">
        <is>
          <t>E09</t>
        </is>
      </c>
      <c r="D14" s="15">
        <f>IF($C14="","",IFERROR(INDEX(rngEMname,MATCH($C14,rngEMcode,0)),"?"))</f>
        <v/>
      </c>
      <c r="E14" s="15">
        <f>IF($C14="","",IFERROR(INDEX(rngEMtype,MATCH($C14,rngEMcode,0)),"?"))</f>
        <v/>
      </c>
      <c r="F14" s="15">
        <f>IF($C14="","",IFERROR(INDEX(rngEMpass,MATCH($C14,rngEMcode,0)),cfgPassingScore))</f>
        <v/>
      </c>
      <c r="G14" s="15">
        <f>IF($C14="","",IFERROR(INDEX(rngEMseq,MATCH($C14,rngEMcode,0)),""))</f>
        <v/>
      </c>
      <c r="H14" s="14" t="inlineStr">
        <is>
          <t>22</t>
        </is>
      </c>
      <c r="I14" s="17">
        <f>IF(OR($C14="",$H14=""),"",IFERROR(IF(_xlfn.MAXIFS(nrSCH_Date,nrSCH_ChNum,$H14)=0,"",_xlfn.MAXIFS(nrSCH_Date,nrSCH_ChNum,$H14)),""))</f>
        <v/>
      </c>
    </row>
    <row r="15">
      <c r="B15" s="14" t="inlineStr">
        <is>
          <t>Yes</t>
        </is>
      </c>
      <c r="C15" s="14" t="inlineStr">
        <is>
          <t>E10</t>
        </is>
      </c>
      <c r="D15" s="15">
        <f>IF($C15="","",IFERROR(INDEX(rngEMname,MATCH($C15,rngEMcode,0)),"?"))</f>
        <v/>
      </c>
      <c r="E15" s="15">
        <f>IF($C15="","",IFERROR(INDEX(rngEMtype,MATCH($C15,rngEMcode,0)),"?"))</f>
        <v/>
      </c>
      <c r="F15" s="15">
        <f>IF($C15="","",IFERROR(INDEX(rngEMpass,MATCH($C15,rngEMcode,0)),cfgPassingScore))</f>
        <v/>
      </c>
      <c r="G15" s="15">
        <f>IF($C15="","",IFERROR(INDEX(rngEMseq,MATCH($C15,rngEMcode,0)),""))</f>
        <v/>
      </c>
      <c r="H15" s="14" t="inlineStr">
        <is>
          <t>23</t>
        </is>
      </c>
      <c r="I15" s="17">
        <f>IF(OR($C15="",$H15=""),"",IFERROR(IF(_xlfn.MAXIFS(nrSCH_Date,nrSCH_ChNum,$H15)=0,"",_xlfn.MAXIFS(nrSCH_Date,nrSCH_ChNum,$H15)),""))</f>
        <v/>
      </c>
    </row>
    <row r="16">
      <c r="B16" s="14" t="inlineStr">
        <is>
          <t>Yes</t>
        </is>
      </c>
      <c r="C16" s="14" t="inlineStr">
        <is>
          <t>E11</t>
        </is>
      </c>
      <c r="D16" s="15">
        <f>IF($C16="","",IFERROR(INDEX(rngEMname,MATCH($C16,rngEMcode,0)),"?"))</f>
        <v/>
      </c>
      <c r="E16" s="15">
        <f>IF($C16="","",IFERROR(INDEX(rngEMtype,MATCH($C16,rngEMcode,0)),"?"))</f>
        <v/>
      </c>
      <c r="F16" s="15">
        <f>IF($C16="","",IFERROR(INDEX(rngEMpass,MATCH($C16,rngEMcode,0)),cfgPassingScore))</f>
        <v/>
      </c>
      <c r="G16" s="15">
        <f>IF($C16="","",IFERROR(INDEX(rngEMseq,MATCH($C16,rngEMcode,0)),""))</f>
        <v/>
      </c>
      <c r="H16" s="14" t="inlineStr">
        <is>
          <t>25</t>
        </is>
      </c>
      <c r="I16" s="17">
        <f>IF(OR($C16="",$H16=""),"",IFERROR(IF(_xlfn.MAXIFS(nrSCH_Date,nrSCH_ChNum,$H16)=0,"",_xlfn.MAXIFS(nrSCH_Date,nrSCH_ChNum,$H16)),""))</f>
        <v/>
      </c>
    </row>
    <row r="17">
      <c r="B17" s="14" t="inlineStr">
        <is>
          <t>Yes</t>
        </is>
      </c>
      <c r="C17" s="14" t="inlineStr">
        <is>
          <t>E12</t>
        </is>
      </c>
      <c r="D17" s="15">
        <f>IF($C17="","",IFERROR(INDEX(rngEMname,MATCH($C17,rngEMcode,0)),"?"))</f>
        <v/>
      </c>
      <c r="E17" s="15">
        <f>IF($C17="","",IFERROR(INDEX(rngEMtype,MATCH($C17,rngEMcode,0)),"?"))</f>
        <v/>
      </c>
      <c r="F17" s="15">
        <f>IF($C17="","",IFERROR(INDEX(rngEMpass,MATCH($C17,rngEMcode,0)),cfgPassingScore))</f>
        <v/>
      </c>
      <c r="G17" s="15">
        <f>IF($C17="","",IFERROR(INDEX(rngEMseq,MATCH($C17,rngEMcode,0)),""))</f>
        <v/>
      </c>
      <c r="H17" s="14" t="inlineStr">
        <is>
          <t>26</t>
        </is>
      </c>
      <c r="I17" s="17">
        <f>IF(OR($C17="",$H17=""),"",IFERROR(IF(_xlfn.MAXIFS(nrSCH_Date,nrSCH_ChNum,$H17)=0,"",_xlfn.MAXIFS(nrSCH_Date,nrSCH_ChNum,$H17)),""))</f>
        <v/>
      </c>
    </row>
    <row r="18">
      <c r="B18" s="14" t="inlineStr">
        <is>
          <t>Yes</t>
        </is>
      </c>
      <c r="C18" s="14" t="inlineStr">
        <is>
          <t>E13</t>
        </is>
      </c>
      <c r="D18" s="15">
        <f>IF($C18="","",IFERROR(INDEX(rngEMname,MATCH($C18,rngEMcode,0)),"?"))</f>
        <v/>
      </c>
      <c r="E18" s="15">
        <f>IF($C18="","",IFERROR(INDEX(rngEMtype,MATCH($C18,rngEMcode,0)),"?"))</f>
        <v/>
      </c>
      <c r="F18" s="15">
        <f>IF($C18="","",IFERROR(INDEX(rngEMpass,MATCH($C18,rngEMcode,0)),cfgPassingScore))</f>
        <v/>
      </c>
      <c r="G18" s="15">
        <f>IF($C18="","",IFERROR(INDEX(rngEMseq,MATCH($C18,rngEMcode,0)),""))</f>
        <v/>
      </c>
      <c r="H18" s="14" t="inlineStr">
        <is>
          <t>28</t>
        </is>
      </c>
      <c r="I18" s="17">
        <f>IF(OR($C18="",$H18=""),"",IFERROR(IF(_xlfn.MAXIFS(nrSCH_Date,nrSCH_ChNum,$H18)=0,"",_xlfn.MAXIFS(nrSCH_Date,nrSCH_ChNum,$H18)),""))</f>
        <v/>
      </c>
    </row>
    <row r="19">
      <c r="B19" s="14" t="inlineStr">
        <is>
          <t>Yes</t>
        </is>
      </c>
      <c r="C19" s="14" t="inlineStr">
        <is>
          <t>E14</t>
        </is>
      </c>
      <c r="D19" s="15">
        <f>IF($C19="","",IFERROR(INDEX(rngEMname,MATCH($C19,rngEMcode,0)),"?"))</f>
        <v/>
      </c>
      <c r="E19" s="15">
        <f>IF($C19="","",IFERROR(INDEX(rngEMtype,MATCH($C19,rngEMcode,0)),"?"))</f>
        <v/>
      </c>
      <c r="F19" s="15">
        <f>IF($C19="","",IFERROR(INDEX(rngEMpass,MATCH($C19,rngEMcode,0)),cfgPassingScore))</f>
        <v/>
      </c>
      <c r="G19" s="15">
        <f>IF($C19="","",IFERROR(INDEX(rngEMseq,MATCH($C19,rngEMcode,0)),""))</f>
        <v/>
      </c>
      <c r="H19" s="14" t="inlineStr">
        <is>
          <t>29</t>
        </is>
      </c>
      <c r="I19" s="17">
        <f>IF(OR($C19="",$H19=""),"",IFERROR(IF(_xlfn.MAXIFS(nrSCH_Date,nrSCH_ChNum,$H19)=0,"",_xlfn.MAXIFS(nrSCH_Date,nrSCH_ChNum,$H19)),""))</f>
        <v/>
      </c>
    </row>
    <row r="20">
      <c r="B20" s="14" t="inlineStr">
        <is>
          <t>Yes</t>
        </is>
      </c>
      <c r="C20" s="14" t="inlineStr">
        <is>
          <t>E15</t>
        </is>
      </c>
      <c r="D20" s="15">
        <f>IF($C20="","",IFERROR(INDEX(rngEMname,MATCH($C20,rngEMcode,0)),"?"))</f>
        <v/>
      </c>
      <c r="E20" s="15">
        <f>IF($C20="","",IFERROR(INDEX(rngEMtype,MATCH($C20,rngEMcode,0)),"?"))</f>
        <v/>
      </c>
      <c r="F20" s="15">
        <f>IF($C20="","",IFERROR(INDEX(rngEMpass,MATCH($C20,rngEMcode,0)),cfgPassingScore))</f>
        <v/>
      </c>
      <c r="G20" s="15">
        <f>IF($C20="","",IFERROR(INDEX(rngEMseq,MATCH($C20,rngEMcode,0)),""))</f>
        <v/>
      </c>
      <c r="H20" s="14" t="inlineStr">
        <is>
          <t>32</t>
        </is>
      </c>
      <c r="I20" s="17">
        <f>IF(OR($C20="",$H20=""),"",IFERROR(IF(_xlfn.MAXIFS(nrSCH_Date,nrSCH_ChNum,$H20)=0,"",_xlfn.MAXIFS(nrSCH_Date,nrSCH_ChNum,$H20)),""))</f>
        <v/>
      </c>
    </row>
    <row r="21">
      <c r="B21" s="14" t="inlineStr">
        <is>
          <t>Yes</t>
        </is>
      </c>
      <c r="C21" s="14" t="inlineStr">
        <is>
          <t>E16</t>
        </is>
      </c>
      <c r="D21" s="15">
        <f>IF($C21="","",IFERROR(INDEX(rngEMname,MATCH($C21,rngEMcode,0)),"?"))</f>
        <v/>
      </c>
      <c r="E21" s="15">
        <f>IF($C21="","",IFERROR(INDEX(rngEMtype,MATCH($C21,rngEMcode,0)),"?"))</f>
        <v/>
      </c>
      <c r="F21" s="15">
        <f>IF($C21="","",IFERROR(INDEX(rngEMpass,MATCH($C21,rngEMcode,0)),cfgPassingScore))</f>
        <v/>
      </c>
      <c r="G21" s="15">
        <f>IF($C21="","",IFERROR(INDEX(rngEMseq,MATCH($C21,rngEMcode,0)),""))</f>
        <v/>
      </c>
      <c r="H21" s="14" t="inlineStr">
        <is>
          <t>34</t>
        </is>
      </c>
      <c r="I21" s="17">
        <f>IF(OR($C21="",$H21=""),"",IFERROR(IF(_xlfn.MAXIFS(nrSCH_Date,nrSCH_ChNum,$H21)=0,"",_xlfn.MAXIFS(nrSCH_Date,nrSCH_ChNum,$H21)),""))</f>
        <v/>
      </c>
    </row>
    <row r="22">
      <c r="B22" s="14" t="inlineStr">
        <is>
          <t>Yes</t>
        </is>
      </c>
      <c r="C22" s="14" t="inlineStr">
        <is>
          <t>E17</t>
        </is>
      </c>
      <c r="D22" s="15">
        <f>IF($C22="","",IFERROR(INDEX(rngEMname,MATCH($C22,rngEMcode,0)),"?"))</f>
        <v/>
      </c>
      <c r="E22" s="15">
        <f>IF($C22="","",IFERROR(INDEX(rngEMtype,MATCH($C22,rngEMcode,0)),"?"))</f>
        <v/>
      </c>
      <c r="F22" s="15">
        <f>IF($C22="","",IFERROR(INDEX(rngEMpass,MATCH($C22,rngEMcode,0)),cfgPassingScore))</f>
        <v/>
      </c>
      <c r="G22" s="15">
        <f>IF($C22="","",IFERROR(INDEX(rngEMseq,MATCH($C22,rngEMcode,0)),""))</f>
        <v/>
      </c>
      <c r="H22" s="14" t="inlineStr">
        <is>
          <t>40</t>
        </is>
      </c>
      <c r="I22" s="17">
        <f>IF(OR($C22="",$H22=""),"",IFERROR(IF(_xlfn.MAXIFS(nrSCH_Date,nrSCH_ChNum,$H22)=0,"",_xlfn.MAXIFS(nrSCH_Date,nrSCH_ChNum,$H22)),""))</f>
        <v/>
      </c>
    </row>
    <row r="23">
      <c r="B23" s="14" t="inlineStr">
        <is>
          <t>Yes</t>
        </is>
      </c>
      <c r="C23" s="14" t="inlineStr">
        <is>
          <t>FIN</t>
        </is>
      </c>
      <c r="D23" s="15">
        <f>IF($C23="","",IFERROR(INDEX(rngEMname,MATCH($C23,rngEMcode,0)),"?"))</f>
        <v/>
      </c>
      <c r="E23" s="15">
        <f>IF($C23="","",IFERROR(INDEX(rngEMtype,MATCH($C23,rngEMcode,0)),"?"))</f>
        <v/>
      </c>
      <c r="F23" s="15">
        <f>IF($C23="","",IFERROR(INDEX(rngEMpass,MATCH($C23,rngEMcode,0)),cfgPassingScore))</f>
        <v/>
      </c>
      <c r="G23" s="15">
        <f>IF($C23="","",IFERROR(INDEX(rngEMseq,MATCH($C23,rngEMcode,0)),""))</f>
        <v/>
      </c>
      <c r="H23" s="14" t="inlineStr"/>
      <c r="I23" s="17">
        <f>IF(OR($C23="",$H23=""),"",IFERROR(IF(_xlfn.MAXIFS(nrSCH_Date,nrSCH_ChNum,$H23)=0,"",_xlfn.MAXIFS(nrSCH_Date,nrSCH_ChNum,$H23)),""))</f>
        <v/>
      </c>
    </row>
    <row r="24">
      <c r="B24" s="14" t="n"/>
      <c r="C24" s="14" t="n"/>
      <c r="D24" s="15">
        <f>IF($C24="","",IFERROR(INDEX(rngEMname,MATCH($C24,rngEMcode,0)),"?"))</f>
        <v/>
      </c>
      <c r="E24" s="15">
        <f>IF($C24="","",IFERROR(INDEX(rngEMtype,MATCH($C24,rngEMcode,0)),"?"))</f>
        <v/>
      </c>
      <c r="F24" s="15">
        <f>IF($C24="","",IFERROR(INDEX(rngEMpass,MATCH($C24,rngEMcode,0)),cfgPassingScore))</f>
        <v/>
      </c>
      <c r="G24" s="15">
        <f>IF($C24="","",IFERROR(INDEX(rngEMseq,MATCH($C24,rngEMcode,0)),""))</f>
        <v/>
      </c>
      <c r="H24" s="14" t="n"/>
      <c r="I24" s="17">
        <f>IF(OR($C24="",$H24=""),"",IFERROR(IF(_xlfn.MAXIFS(nrSCH_Date,nrSCH_ChNum,$H24)=0,"",_xlfn.MAXIFS(nrSCH_Date,nrSCH_ChNum,$H24)),""))</f>
        <v/>
      </c>
    </row>
    <row r="25">
      <c r="B25" s="14" t="n"/>
      <c r="C25" s="14" t="n"/>
      <c r="D25" s="15">
        <f>IF($C25="","",IFERROR(INDEX(rngEMname,MATCH($C25,rngEMcode,0)),"?"))</f>
        <v/>
      </c>
      <c r="E25" s="15">
        <f>IF($C25="","",IFERROR(INDEX(rngEMtype,MATCH($C25,rngEMcode,0)),"?"))</f>
        <v/>
      </c>
      <c r="F25" s="15">
        <f>IF($C25="","",IFERROR(INDEX(rngEMpass,MATCH($C25,rngEMcode,0)),cfgPassingScore))</f>
        <v/>
      </c>
      <c r="G25" s="15">
        <f>IF($C25="","",IFERROR(INDEX(rngEMseq,MATCH($C25,rngEMcode,0)),""))</f>
        <v/>
      </c>
      <c r="H25" s="14" t="n"/>
      <c r="I25" s="17">
        <f>IF(OR($C25="",$H25=""),"",IFERROR(IF(_xlfn.MAXIFS(nrSCH_Date,nrSCH_ChNum,$H25)=0,"",_xlfn.MAXIFS(nrSCH_Date,nrSCH_ChNum,$H25)),""))</f>
        <v/>
      </c>
    </row>
    <row r="26">
      <c r="B26" s="14" t="n"/>
      <c r="C26" s="14" t="n"/>
      <c r="D26" s="15">
        <f>IF($C26="","",IFERROR(INDEX(rngEMname,MATCH($C26,rngEMcode,0)),"?"))</f>
        <v/>
      </c>
      <c r="E26" s="15">
        <f>IF($C26="","",IFERROR(INDEX(rngEMtype,MATCH($C26,rngEMcode,0)),"?"))</f>
        <v/>
      </c>
      <c r="F26" s="15">
        <f>IF($C26="","",IFERROR(INDEX(rngEMpass,MATCH($C26,rngEMcode,0)),cfgPassingScore))</f>
        <v/>
      </c>
      <c r="G26" s="15">
        <f>IF($C26="","",IFERROR(INDEX(rngEMseq,MATCH($C26,rngEMcode,0)),""))</f>
        <v/>
      </c>
      <c r="H26" s="14" t="n"/>
      <c r="I26" s="17">
        <f>IF(OR($C26="",$H26=""),"",IFERROR(IF(_xlfn.MAXIFS(nrSCH_Date,nrSCH_ChNum,$H26)=0,"",_xlfn.MAXIFS(nrSCH_Date,nrSCH_ChNum,$H26)),""))</f>
        <v/>
      </c>
    </row>
    <row r="27">
      <c r="B27" s="14" t="n"/>
      <c r="C27" s="14" t="n"/>
      <c r="D27" s="15">
        <f>IF($C27="","",IFERROR(INDEX(rngEMname,MATCH($C27,rngEMcode,0)),"?"))</f>
        <v/>
      </c>
      <c r="E27" s="15">
        <f>IF($C27="","",IFERROR(INDEX(rngEMtype,MATCH($C27,rngEMcode,0)),"?"))</f>
        <v/>
      </c>
      <c r="F27" s="15">
        <f>IF($C27="","",IFERROR(INDEX(rngEMpass,MATCH($C27,rngEMcode,0)),cfgPassingScore))</f>
        <v/>
      </c>
      <c r="G27" s="15">
        <f>IF($C27="","",IFERROR(INDEX(rngEMseq,MATCH($C27,rngEMcode,0)),""))</f>
        <v/>
      </c>
      <c r="H27" s="14" t="n"/>
      <c r="I27" s="17">
        <f>IF(OR($C27="",$H27=""),"",IFERROR(IF(_xlfn.MAXIFS(nrSCH_Date,nrSCH_ChNum,$H27)=0,"",_xlfn.MAXIFS(nrSCH_Date,nrSCH_ChNum,$H27)),""))</f>
        <v/>
      </c>
    </row>
    <row r="28">
      <c r="B28" s="14" t="n"/>
      <c r="C28" s="14" t="n"/>
      <c r="D28" s="15">
        <f>IF($C28="","",IFERROR(INDEX(rngEMname,MATCH($C28,rngEMcode,0)),"?"))</f>
        <v/>
      </c>
      <c r="E28" s="15">
        <f>IF($C28="","",IFERROR(INDEX(rngEMtype,MATCH($C28,rngEMcode,0)),"?"))</f>
        <v/>
      </c>
      <c r="F28" s="15">
        <f>IF($C28="","",IFERROR(INDEX(rngEMpass,MATCH($C28,rngEMcode,0)),cfgPassingScore))</f>
        <v/>
      </c>
      <c r="G28" s="15">
        <f>IF($C28="","",IFERROR(INDEX(rngEMseq,MATCH($C28,rngEMcode,0)),""))</f>
        <v/>
      </c>
      <c r="H28" s="14" t="n"/>
      <c r="I28" s="17">
        <f>IF(OR($C28="",$H28=""),"",IFERROR(IF(_xlfn.MAXIFS(nrSCH_Date,nrSCH_ChNum,$H28)=0,"",_xlfn.MAXIFS(nrSCH_Date,nrSCH_ChNum,$H28)),""))</f>
        <v/>
      </c>
    </row>
    <row r="29">
      <c r="B29" s="14" t="n"/>
      <c r="C29" s="14" t="n"/>
      <c r="D29" s="15">
        <f>IF($C29="","",IFERROR(INDEX(rngEMname,MATCH($C29,rngEMcode,0)),"?"))</f>
        <v/>
      </c>
      <c r="E29" s="15">
        <f>IF($C29="","",IFERROR(INDEX(rngEMtype,MATCH($C29,rngEMcode,0)),"?"))</f>
        <v/>
      </c>
      <c r="F29" s="15">
        <f>IF($C29="","",IFERROR(INDEX(rngEMpass,MATCH($C29,rngEMcode,0)),cfgPassingScore))</f>
        <v/>
      </c>
      <c r="G29" s="15">
        <f>IF($C29="","",IFERROR(INDEX(rngEMseq,MATCH($C29,rngEMcode,0)),""))</f>
        <v/>
      </c>
      <c r="H29" s="14" t="n"/>
      <c r="I29" s="17">
        <f>IF(OR($C29="",$H29=""),"",IFERROR(IF(_xlfn.MAXIFS(nrSCH_Date,nrSCH_ChNum,$H29)=0,"",_xlfn.MAXIFS(nrSCH_Date,nrSCH_ChNum,$H29)),""))</f>
        <v/>
      </c>
    </row>
    <row r="30">
      <c r="B30" s="14" t="n"/>
      <c r="C30" s="14" t="n"/>
      <c r="D30" s="15">
        <f>IF($C30="","",IFERROR(INDEX(rngEMname,MATCH($C30,rngEMcode,0)),"?"))</f>
        <v/>
      </c>
      <c r="E30" s="15">
        <f>IF($C30="","",IFERROR(INDEX(rngEMtype,MATCH($C30,rngEMcode,0)),"?"))</f>
        <v/>
      </c>
      <c r="F30" s="15">
        <f>IF($C30="","",IFERROR(INDEX(rngEMpass,MATCH($C30,rngEMcode,0)),cfgPassingScore))</f>
        <v/>
      </c>
      <c r="G30" s="15">
        <f>IF($C30="","",IFERROR(INDEX(rngEMseq,MATCH($C30,rngEMcode,0)),""))</f>
        <v/>
      </c>
      <c r="H30" s="14" t="n"/>
      <c r="I30" s="17">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row r="2"/>
    <row r="3"/>
    <row r="4">
      <c r="B4" s="8" t="inlineStr">
        <is>
          <t>Attempt limits per policy 300.7/600: exhausting attempts = separation. Firearms scored; others pass/fail.</t>
        </is>
      </c>
    </row>
    <row r="5" ht="26" customHeight="1">
      <c r="B5" s="9" t="inlineStr">
        <is>
          <t>Category</t>
        </is>
      </c>
      <c r="C5" s="9" t="inlineStr">
        <is>
          <t>Max Attempts</t>
        </is>
      </c>
      <c r="D5" s="9" t="inlineStr">
        <is>
          <t>Scoring Mode</t>
        </is>
      </c>
      <c r="E5" s="9" t="inlineStr">
        <is>
          <t>Passing Score</t>
        </is>
      </c>
    </row>
    <row r="6">
      <c r="B6" s="14" t="inlineStr">
        <is>
          <t>Firearms</t>
        </is>
      </c>
      <c r="C6" s="14" t="n">
        <v>3</v>
      </c>
      <c r="D6" s="14" t="inlineStr">
        <is>
          <t>Score</t>
        </is>
      </c>
      <c r="E6" s="14" t="n">
        <v>70</v>
      </c>
    </row>
    <row r="7">
      <c r="B7" s="14" t="inlineStr">
        <is>
          <t>Driving</t>
        </is>
      </c>
      <c r="C7" s="14" t="n">
        <v>5</v>
      </c>
      <c r="D7" s="14" t="inlineStr">
        <is>
          <t>Pass/Fail</t>
        </is>
      </c>
      <c r="E7" s="14" t="n"/>
    </row>
    <row r="8">
      <c r="B8" s="14" t="inlineStr">
        <is>
          <t>MOA</t>
        </is>
      </c>
      <c r="C8" s="14" t="n">
        <v>3</v>
      </c>
      <c r="D8" s="14" t="inlineStr">
        <is>
          <t>Pass/Fail</t>
        </is>
      </c>
      <c r="E8" s="14" t="n"/>
    </row>
    <row r="9">
      <c r="B9" s="14" t="inlineStr">
        <is>
          <t>OC</t>
        </is>
      </c>
      <c r="C9" s="14" t="n">
        <v>1</v>
      </c>
      <c r="D9" s="14" t="inlineStr">
        <is>
          <t>Pass/Fail</t>
        </is>
      </c>
      <c r="E9" s="14" t="n"/>
    </row>
    <row r="10">
      <c r="B10" s="14" t="inlineStr">
        <is>
          <t>SFST</t>
        </is>
      </c>
      <c r="C10" s="14" t="n">
        <v>3</v>
      </c>
      <c r="D10" s="14" t="inlineStr">
        <is>
          <t>Pass/Fail</t>
        </is>
      </c>
      <c r="E10" s="14" t="n"/>
    </row>
    <row r="11">
      <c r="B11" s="14" t="inlineStr">
        <is>
          <t>Medical</t>
        </is>
      </c>
      <c r="C11" s="14" t="n">
        <v>3</v>
      </c>
      <c r="D11" s="14" t="inlineStr">
        <is>
          <t>Pass/Fail</t>
        </is>
      </c>
      <c r="E11" s="14" t="n"/>
    </row>
    <row r="12">
      <c r="B12" s="14" t="n"/>
      <c r="C12" s="14" t="n"/>
      <c r="D12" s="14" t="n"/>
      <c r="E12" s="14" t="n"/>
    </row>
    <row r="13">
      <c r="B13" s="14" t="n"/>
      <c r="C13" s="14" t="n"/>
      <c r="D13" s="14" t="n"/>
      <c r="E13" s="14" t="n"/>
    </row>
    <row r="14">
      <c r="B14" s="14" t="n"/>
      <c r="C14" s="14" t="n"/>
      <c r="D14" s="14" t="n"/>
      <c r="E14" s="14" t="n"/>
    </row>
    <row r="15">
      <c r="B15" s="14" t="n"/>
      <c r="C15" s="14" t="n"/>
      <c r="D15" s="14" t="n"/>
      <c r="E15" s="14"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row r="2"/>
    <row r="3"/>
    <row r="4">
      <c r="B4" s="8" t="inlineStr">
        <is>
          <t>Word lists print from Print Center (test sheet or key). Edit words here to change future academies.</t>
        </is>
      </c>
    </row>
    <row r="5" ht="26" customHeight="1">
      <c r="B5" s="9" t="inlineStr">
        <is>
          <t>Word #</t>
        </is>
      </c>
      <c r="C5" s="9" t="inlineStr">
        <is>
          <t>Test 1</t>
        </is>
      </c>
      <c r="D5" s="9" t="inlineStr">
        <is>
          <t>Test 2</t>
        </is>
      </c>
      <c r="E5" s="9" t="inlineStr">
        <is>
          <t>Test 3</t>
        </is>
      </c>
      <c r="F5" s="9" t="inlineStr">
        <is>
          <t>Test 4</t>
        </is>
      </c>
      <c r="G5" s="9" t="inlineStr">
        <is>
          <t>Test 5</t>
        </is>
      </c>
      <c r="H5" s="9" t="inlineStr">
        <is>
          <t>Test 6</t>
        </is>
      </c>
      <c r="I5" s="9" t="inlineStr">
        <is>
          <t>Test 7</t>
        </is>
      </c>
      <c r="J5" s="9" t="inlineStr">
        <is>
          <t>Test 8</t>
        </is>
      </c>
      <c r="K5" s="9" t="inlineStr">
        <is>
          <t>Test 9</t>
        </is>
      </c>
      <c r="L5" s="9" t="inlineStr">
        <is>
          <t>Test 10</t>
        </is>
      </c>
      <c r="M5" s="9" t="inlineStr">
        <is>
          <t>Test 11</t>
        </is>
      </c>
      <c r="N5" s="9" t="inlineStr">
        <is>
          <t>Test 12</t>
        </is>
      </c>
    </row>
    <row r="6">
      <c r="B6" s="10" t="n">
        <v>1</v>
      </c>
      <c r="C6" s="14" t="inlineStr">
        <is>
          <t>Abandon</t>
        </is>
      </c>
      <c r="D6" s="14" t="inlineStr">
        <is>
          <t>Children</t>
        </is>
      </c>
      <c r="E6" s="14" t="inlineStr">
        <is>
          <t>Bicycle</t>
        </is>
      </c>
      <c r="F6" s="14" t="inlineStr">
        <is>
          <t>Blood</t>
        </is>
      </c>
      <c r="G6" s="14" t="inlineStr">
        <is>
          <t>Expiration</t>
        </is>
      </c>
      <c r="H6" s="14" t="inlineStr">
        <is>
          <t>Flammable</t>
        </is>
      </c>
      <c r="I6" s="14" t="inlineStr">
        <is>
          <t>Foreign</t>
        </is>
      </c>
      <c r="J6" s="14" t="inlineStr">
        <is>
          <t>Minimum</t>
        </is>
      </c>
      <c r="K6" s="14" t="inlineStr">
        <is>
          <t>Habitual</t>
        </is>
      </c>
      <c r="L6" s="14" t="inlineStr">
        <is>
          <t>Reasonable</t>
        </is>
      </c>
      <c r="M6" s="14" t="inlineStr">
        <is>
          <t>Requirements</t>
        </is>
      </c>
      <c r="N6" s="14" t="inlineStr">
        <is>
          <t>Resisting</t>
        </is>
      </c>
    </row>
    <row r="7">
      <c r="B7" s="10" t="n">
        <v>2</v>
      </c>
      <c r="C7" s="14" t="inlineStr">
        <is>
          <t>Accountability</t>
        </is>
      </c>
      <c r="D7" s="14" t="inlineStr">
        <is>
          <t>Commercial</t>
        </is>
      </c>
      <c r="E7" s="14" t="inlineStr">
        <is>
          <t>Bridge</t>
        </is>
      </c>
      <c r="F7" s="14" t="inlineStr">
        <is>
          <t>Building</t>
        </is>
      </c>
      <c r="G7" s="14" t="inlineStr">
        <is>
          <t>Federal</t>
        </is>
      </c>
      <c r="H7" s="14" t="inlineStr">
        <is>
          <t>Frisk</t>
        </is>
      </c>
      <c r="I7" s="14" t="inlineStr">
        <is>
          <t>Force</t>
        </is>
      </c>
      <c r="J7" s="14" t="inlineStr">
        <is>
          <t>Habitation</t>
        </is>
      </c>
      <c r="K7" s="14" t="inlineStr">
        <is>
          <t>Highway</t>
        </is>
      </c>
      <c r="L7" s="14" t="inlineStr">
        <is>
          <t>Restaurants</t>
        </is>
      </c>
      <c r="M7" s="14" t="inlineStr">
        <is>
          <t>Revolver</t>
        </is>
      </c>
      <c r="N7" s="14" t="inlineStr">
        <is>
          <t>Seizure</t>
        </is>
      </c>
    </row>
    <row r="8">
      <c r="B8" s="10" t="n">
        <v>3</v>
      </c>
      <c r="C8" s="14" t="inlineStr">
        <is>
          <t>Accounting</t>
        </is>
      </c>
      <c r="D8" s="14" t="inlineStr">
        <is>
          <t>Coroner</t>
        </is>
      </c>
      <c r="E8" s="14" t="inlineStr">
        <is>
          <t>Business</t>
        </is>
      </c>
      <c r="F8" s="14" t="inlineStr">
        <is>
          <t>Cemeteries</t>
        </is>
      </c>
      <c r="G8" s="14" t="inlineStr">
        <is>
          <t>Forgery</t>
        </is>
      </c>
      <c r="H8" s="14" t="inlineStr">
        <is>
          <t>Government</t>
        </is>
      </c>
      <c r="I8" s="14" t="inlineStr">
        <is>
          <t>Habeas Corpus</t>
        </is>
      </c>
      <c r="J8" s="14" t="inlineStr">
        <is>
          <t>Handicapped</t>
        </is>
      </c>
      <c r="K8" s="14" t="inlineStr">
        <is>
          <t>Illicit</t>
        </is>
      </c>
      <c r="L8" s="14" t="inlineStr">
        <is>
          <t>Search</t>
        </is>
      </c>
      <c r="M8" s="14" t="inlineStr">
        <is>
          <t>Signature</t>
        </is>
      </c>
      <c r="N8" s="14" t="inlineStr">
        <is>
          <t>Spouse</t>
        </is>
      </c>
    </row>
    <row r="9">
      <c r="B9" s="10" t="n">
        <v>4</v>
      </c>
      <c r="C9" s="14" t="inlineStr">
        <is>
          <t>Aggravated</t>
        </is>
      </c>
      <c r="D9" s="14" t="inlineStr">
        <is>
          <t>Confrontation</t>
        </is>
      </c>
      <c r="E9" s="14" t="inlineStr">
        <is>
          <t>Bruise</t>
        </is>
      </c>
      <c r="F9" s="14" t="inlineStr">
        <is>
          <t>Citation</t>
        </is>
      </c>
      <c r="G9" s="14" t="inlineStr">
        <is>
          <t>Flexibility</t>
        </is>
      </c>
      <c r="H9" s="14" t="inlineStr">
        <is>
          <t>Guilty</t>
        </is>
      </c>
      <c r="I9" s="14" t="inlineStr">
        <is>
          <t>Harboring</t>
        </is>
      </c>
      <c r="J9" s="14" t="inlineStr">
        <is>
          <t>Hazardous</t>
        </is>
      </c>
      <c r="K9" s="14" t="inlineStr">
        <is>
          <t>Individual</t>
        </is>
      </c>
      <c r="L9" s="14" t="inlineStr">
        <is>
          <t>Statement</t>
        </is>
      </c>
      <c r="M9" s="14" t="inlineStr">
        <is>
          <t>Summons</t>
        </is>
      </c>
      <c r="N9" s="14" t="inlineStr">
        <is>
          <t>Subpoena</t>
        </is>
      </c>
    </row>
    <row r="10">
      <c r="B10" s="10" t="n">
        <v>5</v>
      </c>
      <c r="C10" s="14" t="inlineStr">
        <is>
          <t>Amendments</t>
        </is>
      </c>
      <c r="D10" s="14" t="inlineStr">
        <is>
          <t>Abduct</t>
        </is>
      </c>
      <c r="E10" s="14" t="inlineStr">
        <is>
          <t>Commission</t>
        </is>
      </c>
      <c r="F10" s="14" t="inlineStr">
        <is>
          <t>Contraband</t>
        </is>
      </c>
      <c r="G10" s="14" t="inlineStr">
        <is>
          <t>Guardian</t>
        </is>
      </c>
      <c r="H10" s="14" t="inlineStr">
        <is>
          <t>Construction</t>
        </is>
      </c>
      <c r="I10" s="14" t="inlineStr">
        <is>
          <t>Identification</t>
        </is>
      </c>
      <c r="J10" s="14" t="inlineStr">
        <is>
          <t>Illegal</t>
        </is>
      </c>
      <c r="K10" s="14" t="inlineStr">
        <is>
          <t>Insurance</t>
        </is>
      </c>
      <c r="L10" s="14" t="inlineStr">
        <is>
          <t>Suspended</t>
        </is>
      </c>
      <c r="M10" s="14" t="inlineStr">
        <is>
          <t>Testimony</t>
        </is>
      </c>
      <c r="N10" s="14" t="inlineStr">
        <is>
          <t>Suspect</t>
        </is>
      </c>
    </row>
    <row r="11">
      <c r="B11" s="10" t="n">
        <v>6</v>
      </c>
      <c r="C11" s="14" t="inlineStr">
        <is>
          <t>Arrest</t>
        </is>
      </c>
      <c r="D11" s="14" t="inlineStr">
        <is>
          <t>Accused</t>
        </is>
      </c>
      <c r="E11" s="14" t="inlineStr">
        <is>
          <t>Concealed</t>
        </is>
      </c>
      <c r="F11" s="14" t="inlineStr">
        <is>
          <t>Confession</t>
        </is>
      </c>
      <c r="G11" s="14" t="inlineStr">
        <is>
          <t>Constitution</t>
        </is>
      </c>
      <c r="H11" s="14" t="inlineStr">
        <is>
          <t>Criminal</t>
        </is>
      </c>
      <c r="I11" s="14" t="inlineStr">
        <is>
          <t>Indecency</t>
        </is>
      </c>
      <c r="J11" s="14" t="inlineStr">
        <is>
          <t>Indictment</t>
        </is>
      </c>
      <c r="K11" s="14" t="inlineStr">
        <is>
          <t>Intimidation</t>
        </is>
      </c>
      <c r="L11" s="14" t="inlineStr">
        <is>
          <t>Terroristic</t>
        </is>
      </c>
      <c r="M11" s="14" t="inlineStr">
        <is>
          <t>Uniform</t>
        </is>
      </c>
      <c r="N11" s="14" t="inlineStr">
        <is>
          <t>Temporary</t>
        </is>
      </c>
    </row>
    <row r="12">
      <c r="B12" s="10" t="n">
        <v>7</v>
      </c>
      <c r="C12" s="14" t="inlineStr">
        <is>
          <t>Automobile</t>
        </is>
      </c>
      <c r="D12" s="14" t="inlineStr">
        <is>
          <t>Alcohol</t>
        </is>
      </c>
      <c r="E12" s="14" t="inlineStr">
        <is>
          <t>Consent</t>
        </is>
      </c>
      <c r="F12" s="14" t="inlineStr">
        <is>
          <t>Conspiracy</t>
        </is>
      </c>
      <c r="G12" s="14" t="inlineStr">
        <is>
          <t>Counterfeit</t>
        </is>
      </c>
      <c r="H12" s="14" t="inlineStr">
        <is>
          <t>Compliance</t>
        </is>
      </c>
      <c r="I12" s="14" t="inlineStr">
        <is>
          <t>Instruments</t>
        </is>
      </c>
      <c r="J12" s="14" t="inlineStr">
        <is>
          <t>Insufficient</t>
        </is>
      </c>
      <c r="K12" s="14" t="inlineStr">
        <is>
          <t>Length</t>
        </is>
      </c>
      <c r="L12" s="14" t="inlineStr">
        <is>
          <t>Truancy</t>
        </is>
      </c>
      <c r="M12" s="14" t="inlineStr">
        <is>
          <t>Offense</t>
        </is>
      </c>
      <c r="N12" s="14" t="inlineStr">
        <is>
          <t>Tobacco</t>
        </is>
      </c>
    </row>
    <row r="13">
      <c r="B13" s="10" t="n">
        <v>8</v>
      </c>
      <c r="C13" s="14" t="inlineStr">
        <is>
          <t>Badge</t>
        </is>
      </c>
      <c r="D13" s="14" t="inlineStr">
        <is>
          <t>Ammunition</t>
        </is>
      </c>
      <c r="E13" s="14" t="inlineStr">
        <is>
          <t>Abuse</t>
        </is>
      </c>
      <c r="F13" s="14" t="inlineStr">
        <is>
          <t>Constables</t>
        </is>
      </c>
      <c r="G13" s="14" t="inlineStr">
        <is>
          <t>Controlled</t>
        </is>
      </c>
      <c r="H13" s="14" t="inlineStr">
        <is>
          <t>Delivery</t>
        </is>
      </c>
      <c r="I13" s="14" t="inlineStr">
        <is>
          <t>Interrogation</t>
        </is>
      </c>
      <c r="J13" s="14" t="inlineStr">
        <is>
          <t>Intoxication</t>
        </is>
      </c>
      <c r="K13" s="14" t="inlineStr">
        <is>
          <t>Location</t>
        </is>
      </c>
      <c r="L13" s="14" t="inlineStr">
        <is>
          <t>Odometer</t>
        </is>
      </c>
      <c r="M13" s="14" t="inlineStr">
        <is>
          <t>Parent</t>
        </is>
      </c>
      <c r="N13" s="14" t="inlineStr">
        <is>
          <t>Trespass</t>
        </is>
      </c>
    </row>
    <row r="14">
      <c r="B14" s="10" t="n">
        <v>9</v>
      </c>
      <c r="C14" s="14" t="inlineStr">
        <is>
          <t>Battery</t>
        </is>
      </c>
      <c r="D14" s="14" t="inlineStr">
        <is>
          <t>Assault</t>
        </is>
      </c>
      <c r="E14" s="14" t="inlineStr">
        <is>
          <t>Addiction</t>
        </is>
      </c>
      <c r="F14" s="14" t="inlineStr">
        <is>
          <t>Credibility</t>
        </is>
      </c>
      <c r="G14" s="14" t="inlineStr">
        <is>
          <t>Delinquent</t>
        </is>
      </c>
      <c r="H14" s="14" t="inlineStr">
        <is>
          <t>Disability</t>
        </is>
      </c>
      <c r="I14" s="14" t="inlineStr">
        <is>
          <t>Investigation</t>
        </is>
      </c>
      <c r="J14" s="14" t="inlineStr">
        <is>
          <t>Juvenile</t>
        </is>
      </c>
      <c r="K14" s="14" t="inlineStr">
        <is>
          <t>Manufacture</t>
        </is>
      </c>
      <c r="L14" s="14" t="inlineStr">
        <is>
          <t>Paraphernalia</t>
        </is>
      </c>
      <c r="M14" s="14" t="inlineStr">
        <is>
          <t>Photographs</t>
        </is>
      </c>
      <c r="N14" s="14" t="inlineStr">
        <is>
          <t>Unlawful</t>
        </is>
      </c>
    </row>
    <row r="15">
      <c r="B15" s="10" t="n">
        <v>10</v>
      </c>
      <c r="C15" s="14" t="inlineStr">
        <is>
          <t>Beverage</t>
        </is>
      </c>
      <c r="D15" s="14" t="inlineStr">
        <is>
          <t>Autopsy</t>
        </is>
      </c>
      <c r="E15" s="14" t="inlineStr">
        <is>
          <t>Alcoholic</t>
        </is>
      </c>
      <c r="F15" s="14" t="inlineStr">
        <is>
          <t>Coordination</t>
        </is>
      </c>
      <c r="G15" s="14" t="inlineStr">
        <is>
          <t>Diesel</t>
        </is>
      </c>
      <c r="H15" s="14" t="inlineStr">
        <is>
          <t>Disturbance</t>
        </is>
      </c>
      <c r="I15" s="14" t="inlineStr">
        <is>
          <t>Kidnapping</t>
        </is>
      </c>
      <c r="J15" s="14" t="inlineStr">
        <is>
          <t>Knife</t>
        </is>
      </c>
      <c r="K15" s="14" t="inlineStr">
        <is>
          <t>Misdemeanor</t>
        </is>
      </c>
      <c r="L15" s="14" t="inlineStr">
        <is>
          <t>Perjury</t>
        </is>
      </c>
      <c r="M15" s="14" t="inlineStr">
        <is>
          <t>Premises</t>
        </is>
      </c>
      <c r="N15" s="14" t="inlineStr">
        <is>
          <t>Possession</t>
        </is>
      </c>
    </row>
    <row r="16">
      <c r="B16" s="10" t="n">
        <v>11</v>
      </c>
      <c r="C16" s="14" t="inlineStr">
        <is>
          <t>Burglary</t>
        </is>
      </c>
      <c r="D16" s="14" t="inlineStr">
        <is>
          <t>Articles</t>
        </is>
      </c>
      <c r="E16" s="14" t="inlineStr">
        <is>
          <t>Appeals</t>
        </is>
      </c>
      <c r="F16" s="14" t="inlineStr">
        <is>
          <t>Defense</t>
        </is>
      </c>
      <c r="G16" s="14" t="inlineStr">
        <is>
          <t>Disorderly</t>
        </is>
      </c>
      <c r="H16" s="14" t="inlineStr">
        <is>
          <t>Denial</t>
        </is>
      </c>
      <c r="I16" s="14" t="inlineStr">
        <is>
          <t>Lewdness</t>
        </is>
      </c>
      <c r="J16" s="14" t="inlineStr">
        <is>
          <t>Lawyer</t>
        </is>
      </c>
      <c r="K16" s="14" t="inlineStr">
        <is>
          <t>Harassment</t>
        </is>
      </c>
      <c r="L16" s="14" t="inlineStr">
        <is>
          <t>Prejudice</t>
        </is>
      </c>
      <c r="M16" s="14" t="inlineStr">
        <is>
          <t>Probation</t>
        </is>
      </c>
      <c r="N16" s="14" t="inlineStr">
        <is>
          <t>Prisoner</t>
        </is>
      </c>
    </row>
    <row r="17">
      <c r="B17" s="10" t="n">
        <v>12</v>
      </c>
      <c r="C17" s="14" t="inlineStr">
        <is>
          <t>Certificate</t>
        </is>
      </c>
      <c r="D17" s="14" t="inlineStr">
        <is>
          <t>Bail</t>
        </is>
      </c>
      <c r="E17" s="14" t="inlineStr">
        <is>
          <t>Attempt</t>
        </is>
      </c>
      <c r="F17" s="14" t="inlineStr">
        <is>
          <t>Devices</t>
        </is>
      </c>
      <c r="G17" s="14" t="inlineStr">
        <is>
          <t>Deprivation</t>
        </is>
      </c>
      <c r="H17" s="14" t="inlineStr">
        <is>
          <t>Enhancement</t>
        </is>
      </c>
      <c r="I17" s="14" t="inlineStr">
        <is>
          <t>Machinery</t>
        </is>
      </c>
      <c r="J17" s="14" t="inlineStr">
        <is>
          <t>Liability</t>
        </is>
      </c>
      <c r="K17" s="14" t="inlineStr">
        <is>
          <t>Household</t>
        </is>
      </c>
      <c r="L17" s="14" t="inlineStr">
        <is>
          <t>Probable</t>
        </is>
      </c>
      <c r="M17" s="14" t="inlineStr">
        <is>
          <t>Receipt</t>
        </is>
      </c>
      <c r="N17" s="14" t="inlineStr">
        <is>
          <t>Prohibited</t>
        </is>
      </c>
    </row>
    <row r="18">
      <c r="B18" s="10" t="n">
        <v>13</v>
      </c>
      <c r="C18" s="14" t="inlineStr">
        <is>
          <t>Citizen</t>
        </is>
      </c>
      <c r="D18" s="14" t="inlineStr">
        <is>
          <t>Brakes</t>
        </is>
      </c>
      <c r="E18" s="14" t="inlineStr">
        <is>
          <t>Alias</t>
        </is>
      </c>
      <c r="F18" s="14" t="inlineStr">
        <is>
          <t>Disease</t>
        </is>
      </c>
      <c r="G18" s="14" t="inlineStr">
        <is>
          <t>Enforcement</t>
        </is>
      </c>
      <c r="H18" s="14" t="inlineStr">
        <is>
          <t>Exposure</t>
        </is>
      </c>
      <c r="I18" s="14" t="inlineStr">
        <is>
          <t>Marriage</t>
        </is>
      </c>
      <c r="J18" s="14" t="inlineStr">
        <is>
          <t>Liquor</t>
        </is>
      </c>
      <c r="K18" s="14" t="inlineStr">
        <is>
          <t>Incident</t>
        </is>
      </c>
      <c r="L18" s="14" t="inlineStr">
        <is>
          <t>Prostitution</t>
        </is>
      </c>
      <c r="M18" s="14" t="inlineStr">
        <is>
          <t>Restrain</t>
        </is>
      </c>
      <c r="N18" s="14" t="inlineStr">
        <is>
          <t>Retaliation</t>
        </is>
      </c>
    </row>
    <row r="19">
      <c r="B19" s="10" t="n">
        <v>14</v>
      </c>
      <c r="C19" s="14" t="inlineStr">
        <is>
          <t>Community</t>
        </is>
      </c>
      <c r="D19" s="14" t="inlineStr">
        <is>
          <t>Backup</t>
        </is>
      </c>
      <c r="E19" s="14" t="inlineStr">
        <is>
          <t>Administer</t>
        </is>
      </c>
      <c r="F19" s="14" t="inlineStr">
        <is>
          <t>Dwelling</t>
        </is>
      </c>
      <c r="G19" s="14" t="inlineStr">
        <is>
          <t>Explosives</t>
        </is>
      </c>
      <c r="H19" s="14" t="inlineStr">
        <is>
          <t>Fictitious</t>
        </is>
      </c>
      <c r="I19" s="14" t="inlineStr">
        <is>
          <t>Motorcycles</t>
        </is>
      </c>
      <c r="J19" s="14" t="inlineStr">
        <is>
          <t>Manslaughter</t>
        </is>
      </c>
      <c r="K19" s="14" t="inlineStr">
        <is>
          <t>Inquest</t>
        </is>
      </c>
      <c r="L19" s="14" t="inlineStr">
        <is>
          <t>Registration</t>
        </is>
      </c>
      <c r="M19" s="14" t="inlineStr">
        <is>
          <t>Security</t>
        </is>
      </c>
      <c r="N19" s="14" t="inlineStr">
        <is>
          <t>Recidivism</t>
        </is>
      </c>
    </row>
    <row r="20">
      <c r="B20" s="10" t="n">
        <v>15</v>
      </c>
      <c r="C20" s="14" t="inlineStr">
        <is>
          <t>Confidential</t>
        </is>
      </c>
      <c r="D20" s="14" t="inlineStr">
        <is>
          <t>Booking</t>
        </is>
      </c>
      <c r="E20" s="14" t="inlineStr">
        <is>
          <t>Barricade</t>
        </is>
      </c>
      <c r="F20" s="14" t="inlineStr">
        <is>
          <t>Education</t>
        </is>
      </c>
      <c r="G20" s="14" t="inlineStr">
        <is>
          <t>Felony</t>
        </is>
      </c>
      <c r="H20" s="14" t="inlineStr">
        <is>
          <t>Fugitive</t>
        </is>
      </c>
      <c r="I20" s="14" t="inlineStr">
        <is>
          <t>Narcotic</t>
        </is>
      </c>
      <c r="J20" s="14" t="inlineStr">
        <is>
          <t>Medication</t>
        </is>
      </c>
      <c r="K20" s="14" t="inlineStr">
        <is>
          <t>Interpreter</t>
        </is>
      </c>
      <c r="L20" s="14" t="inlineStr">
        <is>
          <t>Revocation</t>
        </is>
      </c>
      <c r="M20" s="14" t="inlineStr">
        <is>
          <t>Statutes</t>
        </is>
      </c>
      <c r="N20" s="14" t="inlineStr">
        <is>
          <t>Respiratory</t>
        </is>
      </c>
    </row>
    <row r="21">
      <c r="B21" s="10" t="n">
        <v>16</v>
      </c>
      <c r="C21" s="14" t="inlineStr">
        <is>
          <t>Abrasion</t>
        </is>
      </c>
      <c r="D21" s="14" t="inlineStr">
        <is>
          <t>Capital</t>
        </is>
      </c>
      <c r="E21" s="14" t="inlineStr">
        <is>
          <t>Breach</t>
        </is>
      </c>
      <c r="F21" s="14" t="inlineStr">
        <is>
          <t>Equipment</t>
        </is>
      </c>
      <c r="G21" s="14" t="inlineStr">
        <is>
          <t>Fraud</t>
        </is>
      </c>
      <c r="H21" s="14" t="inlineStr">
        <is>
          <t>Fitness</t>
        </is>
      </c>
      <c r="I21" s="14" t="inlineStr">
        <is>
          <t>Conviction</t>
        </is>
      </c>
      <c r="J21" s="14" t="inlineStr">
        <is>
          <t>Minor</t>
        </is>
      </c>
      <c r="K21" s="14" t="inlineStr">
        <is>
          <t>Inventory</t>
        </is>
      </c>
      <c r="L21" s="14" t="inlineStr">
        <is>
          <t>Shotgun</t>
        </is>
      </c>
      <c r="M21" s="14" t="inlineStr">
        <is>
          <t>Telephone</t>
        </is>
      </c>
      <c r="N21" s="14" t="inlineStr">
        <is>
          <t>Recommendation</t>
        </is>
      </c>
    </row>
    <row r="22">
      <c r="B22" s="10" t="n">
        <v>17</v>
      </c>
      <c r="C22" s="14" t="inlineStr">
        <is>
          <t>Aerosol</t>
        </is>
      </c>
      <c r="D22" s="14" t="inlineStr">
        <is>
          <t>Complainant</t>
        </is>
      </c>
      <c r="E22" s="14" t="inlineStr">
        <is>
          <t>Chemical</t>
        </is>
      </c>
      <c r="F22" s="14" t="inlineStr">
        <is>
          <t>Ethical</t>
        </is>
      </c>
      <c r="G22" s="14" t="inlineStr">
        <is>
          <t>Falsification</t>
        </is>
      </c>
      <c r="H22" s="14" t="inlineStr">
        <is>
          <t>Graffiti</t>
        </is>
      </c>
      <c r="I22" s="14" t="inlineStr">
        <is>
          <t>Handgun</t>
        </is>
      </c>
      <c r="J22" s="14" t="inlineStr">
        <is>
          <t>Motorist</t>
        </is>
      </c>
      <c r="K22" s="14" t="inlineStr">
        <is>
          <t>License</t>
        </is>
      </c>
      <c r="L22" s="14" t="inlineStr">
        <is>
          <t>Suicide</t>
        </is>
      </c>
      <c r="M22" s="14" t="inlineStr">
        <is>
          <t>Transportation</t>
        </is>
      </c>
      <c r="N22" s="14" t="inlineStr">
        <is>
          <t>Appropriate</t>
        </is>
      </c>
    </row>
    <row r="23">
      <c r="B23" s="10" t="n">
        <v>18</v>
      </c>
      <c r="C23" s="14" t="inlineStr">
        <is>
          <t>Acknowledge</t>
        </is>
      </c>
      <c r="D23" s="14" t="inlineStr">
        <is>
          <t>Confiscate</t>
        </is>
      </c>
      <c r="E23" s="14" t="inlineStr">
        <is>
          <t>College</t>
        </is>
      </c>
      <c r="F23" s="14" t="inlineStr">
        <is>
          <t>Fingerprints</t>
        </is>
      </c>
      <c r="G23" s="14" t="inlineStr">
        <is>
          <t>Guards</t>
        </is>
      </c>
      <c r="H23" s="14" t="inlineStr">
        <is>
          <t>Contempt</t>
        </is>
      </c>
      <c r="I23" s="14" t="inlineStr">
        <is>
          <t>Homicide</t>
        </is>
      </c>
      <c r="J23" s="14" t="inlineStr">
        <is>
          <t>Negligence</t>
        </is>
      </c>
      <c r="K23" s="14" t="inlineStr">
        <is>
          <t>Magistrate</t>
        </is>
      </c>
      <c r="L23" s="14" t="inlineStr">
        <is>
          <t>Communication</t>
        </is>
      </c>
      <c r="M23" s="14" t="inlineStr">
        <is>
          <t>Vehicle</t>
        </is>
      </c>
      <c r="N23" s="14" t="inlineStr">
        <is>
          <t>Articulate</t>
        </is>
      </c>
    </row>
    <row r="24">
      <c r="B24" s="10" t="n">
        <v>19</v>
      </c>
      <c r="C24" s="14" t="inlineStr">
        <is>
          <t>Alley</t>
        </is>
      </c>
      <c r="D24" s="14" t="inlineStr">
        <is>
          <t>Accident</t>
        </is>
      </c>
      <c r="E24" s="14" t="inlineStr">
        <is>
          <t>Complaint</t>
        </is>
      </c>
      <c r="F24" s="14" t="inlineStr">
        <is>
          <t>Fatigue</t>
        </is>
      </c>
      <c r="G24" s="14" t="inlineStr">
        <is>
          <t>Contaminated</t>
        </is>
      </c>
      <c r="H24" s="14" t="inlineStr">
        <is>
          <t>Custody</t>
        </is>
      </c>
      <c r="I24" s="14" t="inlineStr">
        <is>
          <t>Immediate</t>
        </is>
      </c>
      <c r="J24" s="14" t="inlineStr">
        <is>
          <t>Nuisance</t>
        </is>
      </c>
      <c r="K24" s="14" t="inlineStr">
        <is>
          <t>Mileage</t>
        </is>
      </c>
      <c r="L24" s="14" t="inlineStr">
        <is>
          <t>Traffic</t>
        </is>
      </c>
      <c r="M24" s="14" t="inlineStr">
        <is>
          <t>Occupation</t>
        </is>
      </c>
      <c r="N24" s="14" t="inlineStr">
        <is>
          <t>Consciousness</t>
        </is>
      </c>
    </row>
    <row r="25">
      <c r="B25" s="10" t="n">
        <v>20</v>
      </c>
      <c r="C25" s="14" t="inlineStr">
        <is>
          <t>Appearance</t>
        </is>
      </c>
      <c r="D25" s="14" t="inlineStr">
        <is>
          <t>Affidavit</t>
        </is>
      </c>
      <c r="E25" s="14" t="inlineStr">
        <is>
          <t>Conflict</t>
        </is>
      </c>
      <c r="F25" s="14" t="inlineStr">
        <is>
          <t>Gambling</t>
        </is>
      </c>
      <c r="G25" s="14" t="inlineStr">
        <is>
          <t>Curfew</t>
        </is>
      </c>
      <c r="H25" s="14" t="inlineStr">
        <is>
          <t>Defendant</t>
        </is>
      </c>
      <c r="I25" s="14" t="inlineStr">
        <is>
          <t>Inhalant</t>
        </is>
      </c>
      <c r="J25" s="14" t="inlineStr">
        <is>
          <t>Jurisdiction</t>
        </is>
      </c>
      <c r="K25" s="14" t="inlineStr">
        <is>
          <t>Municipal</t>
        </is>
      </c>
      <c r="L25" s="14" t="inlineStr">
        <is>
          <t>Unauthorized</t>
        </is>
      </c>
      <c r="M25" s="14" t="inlineStr">
        <is>
          <t>Officers</t>
        </is>
      </c>
      <c r="N25" s="14" t="inlineStr">
        <is>
          <t>Dehydration</t>
        </is>
      </c>
    </row>
    <row r="26">
      <c r="B26" s="10" t="n">
        <v>21</v>
      </c>
      <c r="C26" s="14" t="inlineStr">
        <is>
          <t>Attorney</t>
        </is>
      </c>
      <c r="D26" s="14" t="inlineStr">
        <is>
          <t>Altered</t>
        </is>
      </c>
      <c r="E26" s="14" t="inlineStr">
        <is>
          <t>Agency</t>
        </is>
      </c>
      <c r="F26" s="14" t="inlineStr">
        <is>
          <t>Critical</t>
        </is>
      </c>
      <c r="G26" s="14" t="inlineStr">
        <is>
          <t>Deceptive</t>
        </is>
      </c>
      <c r="H26" s="14" t="inlineStr">
        <is>
          <t>Detention</t>
        </is>
      </c>
      <c r="I26" s="14" t="inlineStr">
        <is>
          <t>Intentional</t>
        </is>
      </c>
      <c r="J26" s="14" t="inlineStr">
        <is>
          <t>Surveillance</t>
        </is>
      </c>
      <c r="K26" s="14" t="inlineStr">
        <is>
          <t>Obscenity</t>
        </is>
      </c>
      <c r="L26" s="14" t="inlineStr">
        <is>
          <t>Obstructing</t>
        </is>
      </c>
      <c r="M26" s="14" t="inlineStr">
        <is>
          <t>Parole</t>
        </is>
      </c>
      <c r="N26" s="14" t="inlineStr">
        <is>
          <t>Discipline</t>
        </is>
      </c>
    </row>
    <row r="27">
      <c r="B27" s="10" t="n">
        <v>22</v>
      </c>
      <c r="C27" s="14" t="inlineStr">
        <is>
          <t>According</t>
        </is>
      </c>
      <c r="D27" s="14" t="inlineStr">
        <is>
          <t>Apprehension</t>
        </is>
      </c>
      <c r="E27" s="14" t="inlineStr">
        <is>
          <t>Ambulance</t>
        </is>
      </c>
      <c r="F27" s="14" t="inlineStr">
        <is>
          <t>Dangerous</t>
        </is>
      </c>
      <c r="G27" s="14" t="inlineStr">
        <is>
          <t>Detained</t>
        </is>
      </c>
      <c r="H27" s="14" t="inlineStr">
        <is>
          <t>Discrimination</t>
        </is>
      </c>
      <c r="I27" s="14" t="inlineStr">
        <is>
          <t>Intoxicated</t>
        </is>
      </c>
      <c r="J27" s="14" t="inlineStr">
        <is>
          <t>Victim</t>
        </is>
      </c>
      <c r="K27" s="14" t="inlineStr">
        <is>
          <t>Ordinances</t>
        </is>
      </c>
      <c r="L27" s="14" t="inlineStr">
        <is>
          <t>Organized</t>
        </is>
      </c>
      <c r="M27" s="14" t="inlineStr">
        <is>
          <t>Penalty</t>
        </is>
      </c>
      <c r="N27" s="14" t="inlineStr">
        <is>
          <t>Necessary</t>
        </is>
      </c>
    </row>
    <row r="28">
      <c r="B28" s="10" t="n">
        <v>23</v>
      </c>
      <c r="C28" s="14" t="inlineStr">
        <is>
          <t>Bodily</t>
        </is>
      </c>
      <c r="D28" s="14" t="inlineStr">
        <is>
          <t>Authority</t>
        </is>
      </c>
      <c r="E28" s="14" t="inlineStr">
        <is>
          <t>Argument</t>
        </is>
      </c>
      <c r="F28" s="14" t="inlineStr">
        <is>
          <t>Destruction</t>
        </is>
      </c>
      <c r="G28" s="14" t="inlineStr">
        <is>
          <t>Discharge</t>
        </is>
      </c>
      <c r="H28" s="14" t="inlineStr">
        <is>
          <t>Domestic</t>
        </is>
      </c>
      <c r="I28" s="14" t="inlineStr">
        <is>
          <t>Judge</t>
        </is>
      </c>
      <c r="J28" s="14" t="inlineStr">
        <is>
          <t>Hospital</t>
        </is>
      </c>
      <c r="K28" s="14" t="inlineStr">
        <is>
          <t>Passenger</t>
        </is>
      </c>
      <c r="L28" s="14" t="inlineStr">
        <is>
          <t>Pedestrian</t>
        </is>
      </c>
      <c r="M28" s="14" t="inlineStr">
        <is>
          <t>Physical</t>
        </is>
      </c>
      <c r="N28" s="14" t="inlineStr">
        <is>
          <t>Occurred</t>
        </is>
      </c>
    </row>
    <row r="29">
      <c r="B29" s="10" t="n">
        <v>24</v>
      </c>
      <c r="C29" s="14" t="inlineStr">
        <is>
          <t>Bribery</t>
        </is>
      </c>
      <c r="D29" s="14" t="inlineStr">
        <is>
          <t>Accuracy</t>
        </is>
      </c>
      <c r="E29" s="14" t="inlineStr">
        <is>
          <t>Authorized</t>
        </is>
      </c>
      <c r="F29" s="14" t="inlineStr">
        <is>
          <t>Disables</t>
        </is>
      </c>
      <c r="G29" s="14" t="inlineStr">
        <is>
          <t>Documents</t>
        </is>
      </c>
      <c r="H29" s="14" t="inlineStr">
        <is>
          <t>Emergency</t>
        </is>
      </c>
      <c r="I29" s="14" t="inlineStr">
        <is>
          <t>Language</t>
        </is>
      </c>
      <c r="J29" s="14" t="inlineStr">
        <is>
          <t>Improper</t>
        </is>
      </c>
      <c r="K29" s="14" t="inlineStr">
        <is>
          <t>Physician</t>
        </is>
      </c>
      <c r="L29" s="14" t="inlineStr">
        <is>
          <t>Pornography</t>
        </is>
      </c>
      <c r="M29" s="14" t="inlineStr">
        <is>
          <t>Prescription</t>
        </is>
      </c>
      <c r="N29" s="14" t="inlineStr">
        <is>
          <t>Privilege</t>
        </is>
      </c>
    </row>
    <row r="30">
      <c r="B30" s="10" t="n">
        <v>25</v>
      </c>
      <c r="C30" s="14" t="inlineStr">
        <is>
          <t>Biased</t>
        </is>
      </c>
      <c r="D30" s="14" t="inlineStr">
        <is>
          <t>Anxiety</t>
        </is>
      </c>
      <c r="E30" s="14" t="inlineStr">
        <is>
          <t>Aerobics</t>
        </is>
      </c>
      <c r="F30" s="14" t="inlineStr">
        <is>
          <t>Depression</t>
        </is>
      </c>
      <c r="G30" s="14" t="inlineStr">
        <is>
          <t>Effect</t>
        </is>
      </c>
      <c r="H30" s="14" t="inlineStr">
        <is>
          <t>Examination</t>
        </is>
      </c>
      <c r="I30" s="14" t="inlineStr">
        <is>
          <t>Lieutenant</t>
        </is>
      </c>
      <c r="J30" s="14" t="inlineStr">
        <is>
          <t>Injury</t>
        </is>
      </c>
      <c r="K30" s="14" t="inlineStr">
        <is>
          <t>Presence</t>
        </is>
      </c>
      <c r="L30" s="14" t="inlineStr">
        <is>
          <t>Prevention</t>
        </is>
      </c>
      <c r="M30" s="14" t="inlineStr">
        <is>
          <t>Procedures</t>
        </is>
      </c>
      <c r="N30" s="14" t="inlineStr">
        <is>
          <t>Sergeant</t>
        </is>
      </c>
    </row>
    <row r="31"/>
    <row r="32">
      <c r="B32" s="2" t="inlineStr">
        <is>
          <t>Each word is worth 4 points (25 words x 4 = 100).</t>
        </is>
      </c>
    </row>
  </sheetData>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row r="2"/>
    <row r="3"/>
    <row r="4">
      <c r="B4" s="8" t="inlineStr">
        <is>
          <t>Dates COMPUTE from the Schedule: assigned = first class day of the week the linked chapter is first taught (+ delay); due = last class day of the due week, 1700. Override columns always win.</t>
        </is>
      </c>
    </row>
    <row r="5" ht="26" customHeight="1">
      <c r="B5" s="9" t="inlineStr">
        <is>
          <t>#</t>
        </is>
      </c>
      <c r="C5" s="9" t="inlineStr">
        <is>
          <t>Assignment Title</t>
        </is>
      </c>
      <c r="D5" s="9" t="inlineStr">
        <is>
          <t>Linked Ch #</t>
        </is>
      </c>
      <c r="E5" s="9" t="inlineStr">
        <is>
          <t>Assign Delay (wks)</t>
        </is>
      </c>
      <c r="F5" s="9" t="inlineStr">
        <is>
          <t>Due Offset (wks)</t>
        </is>
      </c>
      <c r="G5" s="9" t="inlineStr">
        <is>
          <t>Computed Assigned</t>
        </is>
      </c>
      <c r="H5" s="9" t="inlineStr">
        <is>
          <t>Computed Due</t>
        </is>
      </c>
      <c r="I5" s="9" t="inlineStr">
        <is>
          <t>Override Assigned</t>
        </is>
      </c>
      <c r="J5" s="9" t="inlineStr">
        <is>
          <t>Override Due</t>
        </is>
      </c>
      <c r="K5" s="9" t="inlineStr">
        <is>
          <t>Assigned</t>
        </is>
      </c>
      <c r="L5" s="9" t="inlineStr">
        <is>
          <t>Due</t>
        </is>
      </c>
      <c r="M5" s="9" t="inlineStr">
        <is>
          <t>Prompt</t>
        </is>
      </c>
    </row>
    <row r="6" ht="42" customHeight="1">
      <c r="B6" s="14" t="n">
        <v>1</v>
      </c>
      <c r="C6" s="14" t="inlineStr">
        <is>
          <t>Code of Ethics</t>
        </is>
      </c>
      <c r="D6" s="14" t="inlineStr">
        <is>
          <t>1</t>
        </is>
      </c>
      <c r="E6" s="14" t="n">
        <v>0</v>
      </c>
      <c r="F6" s="14" t="n">
        <v>0</v>
      </c>
      <c r="G6" s="17">
        <f>IF($D6="","",_xlfn.LET(_xlpm.f,IFERROR(_xlfn.XLOOKUP($D6,nrCHnum,nrCHfirst),""),IF(OR(_xlpm.f="",_xlpm.f=0),"",_xlfn.LET(_xlpm.wkstart,_xlpm.f-WEEKDAY(_xlpm.f,2)+1+$E6*7,IFERROR(_xlfn.MINIFS(nrCDdate,nrCDdate,"&gt;="&amp;_xlpm.wkstart),"")))))</f>
        <v/>
      </c>
      <c r="H6" s="17">
        <f>IF($G6="","",_xlfn.LET(_xlpm.a,$G6,_xlpm.ws2,_xlpm.a-WEEKDAY(_xlpm.a,2)+1+$F6*7,_xlpm.d,_xlfn.MAXIFS(nrCDdate,nrCDdate,"&gt;="&amp;_xlpm.ws2,nrCDdate,"&lt;"&amp;(_xlpm.ws2+7)),IF(_xlpm.d=0,"",_xlpm.d)))</f>
        <v/>
      </c>
      <c r="I6" s="16" t="n"/>
      <c r="J6" s="16" t="n"/>
      <c r="K6" s="17">
        <f>IF($B6="","",IF($I6&lt;&gt;"",$I6,$G6))</f>
        <v/>
      </c>
      <c r="L6" s="17">
        <f>IF($B6="","",IF($J6&lt;&gt;"",$J6,$H6))</f>
        <v/>
      </c>
      <c r="M6" s="38" t="inlineStr">
        <is>
          <t>Discuss the ways the Code of Ethics affects the items posted on or to an Officer's social media sites.</t>
        </is>
      </c>
    </row>
    <row r="7" ht="42" customHeight="1">
      <c r="B7" s="14" t="n">
        <v>2</v>
      </c>
      <c r="C7" s="14" t="inlineStr">
        <is>
          <t>Professional Policing</t>
        </is>
      </c>
      <c r="D7" s="14" t="inlineStr">
        <is>
          <t>2</t>
        </is>
      </c>
      <c r="E7" s="14" t="n">
        <v>0</v>
      </c>
      <c r="F7" s="14" t="n">
        <v>0</v>
      </c>
      <c r="G7" s="17">
        <f>IF($D7="","",_xlfn.LET(_xlpm.f,IFERROR(_xlfn.XLOOKUP($D7,nrCHnum,nrCHfirst),""),IF(OR(_xlpm.f="",_xlpm.f=0),"",_xlfn.LET(_xlpm.wkstart,_xlpm.f-WEEKDAY(_xlpm.f,2)+1+$E7*7,IFERROR(_xlfn.MINIFS(nrCDdate,nrCDdate,"&gt;="&amp;_xlpm.wkstart),"")))))</f>
        <v/>
      </c>
      <c r="H7" s="17">
        <f>IF($G7="","",_xlfn.LET(_xlpm.a,$G7,_xlpm.ws2,_xlpm.a-WEEKDAY(_xlpm.a,2)+1+$F7*7,_xlpm.d,_xlfn.MAXIFS(nrCDdate,nrCDdate,"&gt;="&amp;_xlpm.ws2,nrCDdate,"&lt;"&amp;(_xlpm.ws2+7)),IF(_xlpm.d=0,"",_xlpm.d)))</f>
        <v/>
      </c>
      <c r="I7" s="16" t="n"/>
      <c r="J7" s="16" t="n"/>
      <c r="K7" s="17">
        <f>IF($B7="","",IF($I7&lt;&gt;"",$I7,$G7))</f>
        <v/>
      </c>
      <c r="L7" s="17">
        <f>IF($B7="","",IF($J7&lt;&gt;"",$J7,$H7))</f>
        <v/>
      </c>
      <c r="M7" s="38" t="inlineStr">
        <is>
          <t>Discuss previous experiences with law enforcement, how the interaction correlates to the police models discussed, and how that interaction affected the quest for a law enforcement career.</t>
        </is>
      </c>
    </row>
    <row r="8" ht="42" customHeight="1">
      <c r="B8" s="14" t="n">
        <v>3</v>
      </c>
      <c r="C8" s="14" t="inlineStr">
        <is>
          <t>Professional Policing — TCOLE</t>
        </is>
      </c>
      <c r="D8" s="14" t="inlineStr">
        <is>
          <t>4</t>
        </is>
      </c>
      <c r="E8" s="14" t="n">
        <v>0</v>
      </c>
      <c r="F8" s="14" t="n">
        <v>0</v>
      </c>
      <c r="G8" s="17">
        <f>IF($D8="","",_xlfn.LET(_xlpm.f,IFERROR(_xlfn.XLOOKUP($D8,nrCHnum,nrCHfirst),""),IF(OR(_xlpm.f="",_xlpm.f=0),"",_xlfn.LET(_xlpm.wkstart,_xlpm.f-WEEKDAY(_xlpm.f,2)+1+$E8*7,IFERROR(_xlfn.MINIFS(nrCDdate,nrCDdate,"&gt;="&amp;_xlpm.wkstart),"")))))</f>
        <v/>
      </c>
      <c r="H8" s="17">
        <f>IF($G8="","",_xlfn.LET(_xlpm.a,$G8,_xlpm.ws2,_xlpm.a-WEEKDAY(_xlpm.a,2)+1+$F8*7,_xlpm.d,_xlfn.MAXIFS(nrCDdate,nrCDdate,"&gt;="&amp;_xlpm.ws2,nrCDdate,"&lt;"&amp;(_xlpm.ws2+7)),IF(_xlpm.d=0,"",_xlpm.d)))</f>
        <v/>
      </c>
      <c r="I8" s="16" t="n"/>
      <c r="J8" s="16" t="n"/>
      <c r="K8" s="17">
        <f>IF($B8="","",IF($I8&lt;&gt;"",$I8,$G8))</f>
        <v/>
      </c>
      <c r="L8" s="17">
        <f>IF($B8="","",IF($J8&lt;&gt;"",$J8,$H8))</f>
        <v/>
      </c>
      <c r="M8" s="38" t="inlineStr">
        <is>
          <t>Discuss how TCOLE's role in policing supports the information discussed in Professional Policing.</t>
        </is>
      </c>
    </row>
    <row r="9" ht="42" customHeight="1">
      <c r="B9" s="14" t="n">
        <v>4</v>
      </c>
      <c r="C9" s="14" t="inlineStr">
        <is>
          <t>Multiculturalism / Racial Profiling</t>
        </is>
      </c>
      <c r="D9" s="14" t="inlineStr">
        <is>
          <t>6</t>
        </is>
      </c>
      <c r="E9" s="14" t="n">
        <v>0</v>
      </c>
      <c r="F9" s="14" t="n">
        <v>0</v>
      </c>
      <c r="G9" s="17">
        <f>IF($D9="","",_xlfn.LET(_xlpm.f,IFERROR(_xlfn.XLOOKUP($D9,nrCHnum,nrCHfirst),""),IF(OR(_xlpm.f="",_xlpm.f=0),"",_xlfn.LET(_xlpm.wkstart,_xlpm.f-WEEKDAY(_xlpm.f,2)+1+$E9*7,IFERROR(_xlfn.MINIFS(nrCDdate,nrCDdate,"&gt;="&amp;_xlpm.wkstart),"")))))</f>
        <v/>
      </c>
      <c r="H9" s="17">
        <f>IF($G9="","",_xlfn.LET(_xlpm.a,$G9,_xlpm.ws2,_xlpm.a-WEEKDAY(_xlpm.a,2)+1+$F9*7,_xlpm.d,_xlfn.MAXIFS(nrCDdate,nrCDdate,"&gt;="&amp;_xlpm.ws2,nrCDdate,"&lt;"&amp;(_xlpm.ws2+7)),IF(_xlpm.d=0,"",_xlpm.d)))</f>
        <v/>
      </c>
      <c r="I9" s="16" t="n"/>
      <c r="J9" s="16" t="n"/>
      <c r="K9" s="17">
        <f>IF($B9="","",IF($I9&lt;&gt;"",$I9,$G9))</f>
        <v/>
      </c>
      <c r="L9" s="17">
        <f>IF($B9="","",IF($J9&lt;&gt;"",$J9,$H9))</f>
        <v/>
      </c>
      <c r="M9" s="38"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4" t="n">
        <v>5</v>
      </c>
      <c r="C10" s="14" t="inlineStr">
        <is>
          <t>U.S. &amp; Texas Constitution — Criminal Justice System</t>
        </is>
      </c>
      <c r="D10" s="14" t="inlineStr">
        <is>
          <t>7</t>
        </is>
      </c>
      <c r="E10" s="14" t="n">
        <v>0</v>
      </c>
      <c r="F10" s="14" t="n">
        <v>0</v>
      </c>
      <c r="G10" s="17">
        <f>IF($D10="","",_xlfn.LET(_xlpm.f,IFERROR(_xlfn.XLOOKUP($D10,nrCHnum,nrCHfirst),""),IF(OR(_xlpm.f="",_xlpm.f=0),"",_xlfn.LET(_xlpm.wkstart,_xlpm.f-WEEKDAY(_xlpm.f,2)+1+$E10*7,IFERROR(_xlfn.MINIFS(nrCDdate,nrCDdate,"&gt;="&amp;_xlpm.wkstart),"")))))</f>
        <v/>
      </c>
      <c r="H10" s="17">
        <f>IF($G10="","",_xlfn.LET(_xlpm.a,$G10,_xlpm.ws2,_xlpm.a-WEEKDAY(_xlpm.a,2)+1+$F10*7,_xlpm.d,_xlfn.MAXIFS(nrCDdate,nrCDdate,"&gt;="&amp;_xlpm.ws2,nrCDdate,"&lt;"&amp;(_xlpm.ws2+7)),IF(_xlpm.d=0,"",_xlpm.d)))</f>
        <v/>
      </c>
      <c r="I10" s="16" t="n"/>
      <c r="J10" s="16" t="n"/>
      <c r="K10" s="17">
        <f>IF($B10="","",IF($I10&lt;&gt;"",$I10,$G10))</f>
        <v/>
      </c>
      <c r="L10" s="17">
        <f>IF($B10="","",IF($J10&lt;&gt;"",$J10,$H10))</f>
        <v/>
      </c>
      <c r="M10" s="38" t="inlineStr">
        <is>
          <t>Identify all the courts within your jurisdiction, the Judges and the types of cases heard in the court. (local to highest court)</t>
        </is>
      </c>
    </row>
    <row r="11" ht="42" customHeight="1">
      <c r="B11" s="14" t="n">
        <v>6</v>
      </c>
      <c r="C11" s="14" t="inlineStr">
        <is>
          <t>Penal Code</t>
        </is>
      </c>
      <c r="D11" s="14" t="inlineStr">
        <is>
          <t>8</t>
        </is>
      </c>
      <c r="E11" s="14" t="n">
        <v>0</v>
      </c>
      <c r="F11" s="14" t="n">
        <v>0</v>
      </c>
      <c r="G11" s="17">
        <f>IF($D11="","",_xlfn.LET(_xlpm.f,IFERROR(_xlfn.XLOOKUP($D11,nrCHnum,nrCHfirst),""),IF(OR(_xlpm.f="",_xlpm.f=0),"",_xlfn.LET(_xlpm.wkstart,_xlpm.f-WEEKDAY(_xlpm.f,2)+1+$E11*7,IFERROR(_xlfn.MINIFS(nrCDdate,nrCDdate,"&gt;="&amp;_xlpm.wkstart),"")))))</f>
        <v/>
      </c>
      <c r="H11" s="17">
        <f>IF($G11="","",_xlfn.LET(_xlpm.a,$G11,_xlpm.ws2,_xlpm.a-WEEKDAY(_xlpm.a,2)+1+$F11*7,_xlpm.d,_xlfn.MAXIFS(nrCDdate,nrCDdate,"&gt;="&amp;_xlpm.ws2,nrCDdate,"&lt;"&amp;(_xlpm.ws2+7)),IF(_xlpm.d=0,"",_xlpm.d)))</f>
        <v/>
      </c>
      <c r="I11" s="16" t="n"/>
      <c r="J11" s="16" t="n"/>
      <c r="K11" s="17">
        <f>IF($B11="","",IF($I11&lt;&gt;"",$I11,$G11))</f>
        <v/>
      </c>
      <c r="L11" s="17">
        <f>IF($B11="","",IF($J11&lt;&gt;"",$J11,$H11))</f>
        <v/>
      </c>
      <c r="M11" s="38" t="inlineStr">
        <is>
          <t>Create a scenario that meets the lowest culpable mental state. Add a fact or two that supports the next culpable mental state. Continue this progression until all the culpable mental states are covered.</t>
        </is>
      </c>
    </row>
    <row r="12" ht="42" customHeight="1">
      <c r="B12" s="14" t="n">
        <v>7</v>
      </c>
      <c r="C12" s="14" t="inlineStr">
        <is>
          <t>Courts &amp; Offenses — A</t>
        </is>
      </c>
      <c r="D12" s="14" t="inlineStr">
        <is>
          <t>8</t>
        </is>
      </c>
      <c r="E12" s="14" t="n">
        <v>1</v>
      </c>
      <c r="F12" s="14" t="n">
        <v>0</v>
      </c>
      <c r="G12" s="17">
        <f>IF($D12="","",_xlfn.LET(_xlpm.f,IFERROR(_xlfn.XLOOKUP($D12,nrCHnum,nrCHfirst),""),IF(OR(_xlpm.f="",_xlpm.f=0),"",_xlfn.LET(_xlpm.wkstart,_xlpm.f-WEEKDAY(_xlpm.f,2)+1+$E12*7,IFERROR(_xlfn.MINIFS(nrCDdate,nrCDdate,"&gt;="&amp;_xlpm.wkstart),"")))))</f>
        <v/>
      </c>
      <c r="H12" s="17">
        <f>IF($G12="","",_xlfn.LET(_xlpm.a,$G12,_xlpm.ws2,_xlpm.a-WEEKDAY(_xlpm.a,2)+1+$F12*7,_xlpm.d,_xlfn.MAXIFS(nrCDdate,nrCDdate,"&gt;="&amp;_xlpm.ws2,nrCDdate,"&lt;"&amp;(_xlpm.ws2+7)),IF(_xlpm.d=0,"",_xlpm.d)))</f>
        <v/>
      </c>
      <c r="I12" s="16" t="n"/>
      <c r="J12" s="16" t="n"/>
      <c r="K12" s="17">
        <f>IF($B12="","",IF($I12&lt;&gt;"",$I12,$G12))</f>
        <v/>
      </c>
      <c r="L12" s="17">
        <f>IF($B12="","",IF($J12&lt;&gt;"",$J12,$H12))</f>
        <v/>
      </c>
      <c r="M12" s="38"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4" t="n">
        <v>8</v>
      </c>
      <c r="C13" s="14" t="inlineStr">
        <is>
          <t>Courts &amp; Offenses — B</t>
        </is>
      </c>
      <c r="D13" s="14" t="inlineStr">
        <is>
          <t>8</t>
        </is>
      </c>
      <c r="E13" s="14" t="n">
        <v>1</v>
      </c>
      <c r="F13" s="14" t="n">
        <v>0</v>
      </c>
      <c r="G13" s="17">
        <f>IF($D13="","",_xlfn.LET(_xlpm.f,IFERROR(_xlfn.XLOOKUP($D13,nrCHnum,nrCHfirst),""),IF(OR(_xlpm.f="",_xlpm.f=0),"",_xlfn.LET(_xlpm.wkstart,_xlpm.f-WEEKDAY(_xlpm.f,2)+1+$E13*7,IFERROR(_xlfn.MINIFS(nrCDdate,nrCDdate,"&gt;="&amp;_xlpm.wkstart),"")))))</f>
        <v/>
      </c>
      <c r="H13" s="17">
        <f>IF($G13="","",_xlfn.LET(_xlpm.a,$G13,_xlpm.ws2,_xlpm.a-WEEKDAY(_xlpm.a,2)+1+$F13*7,_xlpm.d,_xlfn.MAXIFS(nrCDdate,nrCDdate,"&gt;="&amp;_xlpm.ws2,nrCDdate,"&lt;"&amp;(_xlpm.ws2+7)),IF(_xlpm.d=0,"",_xlpm.d)))</f>
        <v/>
      </c>
      <c r="I13" s="16" t="n"/>
      <c r="J13" s="16" t="n"/>
      <c r="K13" s="17">
        <f>IF($B13="","",IF($I13&lt;&gt;"",$I13,$G13))</f>
        <v/>
      </c>
      <c r="L13" s="17">
        <f>IF($B13="","",IF($J13&lt;&gt;"",$J13,$H13))</f>
        <v/>
      </c>
      <c r="M13" s="38"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4" t="n">
        <v>9</v>
      </c>
      <c r="C14" s="14" t="inlineStr">
        <is>
          <t>Arrest, Search, and Seizure — A</t>
        </is>
      </c>
      <c r="D14" s="14" t="inlineStr">
        <is>
          <t>10</t>
        </is>
      </c>
      <c r="E14" s="14" t="n">
        <v>0</v>
      </c>
      <c r="F14" s="14" t="n">
        <v>0</v>
      </c>
      <c r="G14" s="17">
        <f>IF($D14="","",_xlfn.LET(_xlpm.f,IFERROR(_xlfn.XLOOKUP($D14,nrCHnum,nrCHfirst),""),IF(OR(_xlpm.f="",_xlpm.f=0),"",_xlfn.LET(_xlpm.wkstart,_xlpm.f-WEEKDAY(_xlpm.f,2)+1+$E14*7,IFERROR(_xlfn.MINIFS(nrCDdate,nrCDdate,"&gt;="&amp;_xlpm.wkstart),"")))))</f>
        <v/>
      </c>
      <c r="H14" s="17">
        <f>IF($G14="","",_xlfn.LET(_xlpm.a,$G14,_xlpm.ws2,_xlpm.a-WEEKDAY(_xlpm.a,2)+1+$F14*7,_xlpm.d,_xlfn.MAXIFS(nrCDdate,nrCDdate,"&gt;="&amp;_xlpm.ws2,nrCDdate,"&lt;"&amp;(_xlpm.ws2+7)),IF(_xlpm.d=0,"",_xlpm.d)))</f>
        <v/>
      </c>
      <c r="I14" s="16" t="n"/>
      <c r="J14" s="16" t="n"/>
      <c r="K14" s="17">
        <f>IF($B14="","",IF($I14&lt;&gt;"",$I14,$G14))</f>
        <v/>
      </c>
      <c r="L14" s="17">
        <f>IF($B14="","",IF($J14&lt;&gt;"",$J14,$H14))</f>
        <v/>
      </c>
      <c r="M14" s="38"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4" t="n">
        <v>10</v>
      </c>
      <c r="C15" s="14" t="inlineStr">
        <is>
          <t>Arrest, Search, and Seizure — B</t>
        </is>
      </c>
      <c r="D15" s="14" t="inlineStr">
        <is>
          <t>10</t>
        </is>
      </c>
      <c r="E15" s="14" t="n">
        <v>0</v>
      </c>
      <c r="F15" s="14" t="n">
        <v>0</v>
      </c>
      <c r="G15" s="17">
        <f>IF($D15="","",_xlfn.LET(_xlpm.f,IFERROR(_xlfn.XLOOKUP($D15,nrCHnum,nrCHfirst),""),IF(OR(_xlpm.f="",_xlpm.f=0),"",_xlfn.LET(_xlpm.wkstart,_xlpm.f-WEEKDAY(_xlpm.f,2)+1+$E15*7,IFERROR(_xlfn.MINIFS(nrCDdate,nrCDdate,"&gt;="&amp;_xlpm.wkstart),"")))))</f>
        <v/>
      </c>
      <c r="H15" s="17">
        <f>IF($G15="","",_xlfn.LET(_xlpm.a,$G15,_xlpm.ws2,_xlpm.a-WEEKDAY(_xlpm.a,2)+1+$F15*7,_xlpm.d,_xlfn.MAXIFS(nrCDdate,nrCDdate,"&gt;="&amp;_xlpm.ws2,nrCDdate,"&lt;"&amp;(_xlpm.ws2+7)),IF(_xlpm.d=0,"",_xlpm.d)))</f>
        <v/>
      </c>
      <c r="I15" s="16" t="n"/>
      <c r="J15" s="16" t="n"/>
      <c r="K15" s="17">
        <f>IF($B15="","",IF($I15&lt;&gt;"",$I15,$G15))</f>
        <v/>
      </c>
      <c r="L15" s="17">
        <f>IF($B15="","",IF($J15&lt;&gt;"",$J15,$H15))</f>
        <v/>
      </c>
      <c r="M15" s="38"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4" t="n">
        <v>11</v>
      </c>
      <c r="C16" s="14" t="inlineStr">
        <is>
          <t>Arrest, Search, and Seizure — C</t>
        </is>
      </c>
      <c r="D16" s="14" t="inlineStr">
        <is>
          <t>10</t>
        </is>
      </c>
      <c r="E16" s="14" t="n">
        <v>1</v>
      </c>
      <c r="F16" s="14" t="n">
        <v>0</v>
      </c>
      <c r="G16" s="17">
        <f>IF($D16="","",_xlfn.LET(_xlpm.f,IFERROR(_xlfn.XLOOKUP($D16,nrCHnum,nrCHfirst),""),IF(OR(_xlpm.f="",_xlpm.f=0),"",_xlfn.LET(_xlpm.wkstart,_xlpm.f-WEEKDAY(_xlpm.f,2)+1+$E16*7,IFERROR(_xlfn.MINIFS(nrCDdate,nrCDdate,"&gt;="&amp;_xlpm.wkstart),"")))))</f>
        <v/>
      </c>
      <c r="H16" s="17">
        <f>IF($G16="","",_xlfn.LET(_xlpm.a,$G16,_xlpm.ws2,_xlpm.a-WEEKDAY(_xlpm.a,2)+1+$F16*7,_xlpm.d,_xlfn.MAXIFS(nrCDdate,nrCDdate,"&gt;="&amp;_xlpm.ws2,nrCDdate,"&lt;"&amp;(_xlpm.ws2+7)),IF(_xlpm.d=0,"",_xlpm.d)))</f>
        <v/>
      </c>
      <c r="I16" s="16" t="n"/>
      <c r="J16" s="16" t="n"/>
      <c r="K16" s="17">
        <f>IF($B16="","",IF($I16&lt;&gt;"",$I16,$G16))</f>
        <v/>
      </c>
      <c r="L16" s="17">
        <f>IF($B16="","",IF($J16&lt;&gt;"",$J16,$H16))</f>
        <v/>
      </c>
      <c r="M16" s="38"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4" t="n">
        <v>12</v>
      </c>
      <c r="C17" s="14" t="inlineStr">
        <is>
          <t>Arrest, Search, and Seizure — D</t>
        </is>
      </c>
      <c r="D17" s="14" t="inlineStr">
        <is>
          <t>10</t>
        </is>
      </c>
      <c r="E17" s="14" t="n">
        <v>1</v>
      </c>
      <c r="F17" s="14" t="n">
        <v>0</v>
      </c>
      <c r="G17" s="17">
        <f>IF($D17="","",_xlfn.LET(_xlpm.f,IFERROR(_xlfn.XLOOKUP($D17,nrCHnum,nrCHfirst),""),IF(OR(_xlpm.f="",_xlpm.f=0),"",_xlfn.LET(_xlpm.wkstart,_xlpm.f-WEEKDAY(_xlpm.f,2)+1+$E17*7,IFERROR(_xlfn.MINIFS(nrCDdate,nrCDdate,"&gt;="&amp;_xlpm.wkstart),"")))))</f>
        <v/>
      </c>
      <c r="H17" s="17">
        <f>IF($G17="","",_xlfn.LET(_xlpm.a,$G17,_xlpm.ws2,_xlpm.a-WEEKDAY(_xlpm.a,2)+1+$F17*7,_xlpm.d,_xlfn.MAXIFS(nrCDdate,nrCDdate,"&gt;="&amp;_xlpm.ws2,nrCDdate,"&lt;"&amp;(_xlpm.ws2+7)),IF(_xlpm.d=0,"",_xlpm.d)))</f>
        <v/>
      </c>
      <c r="I17" s="16" t="n"/>
      <c r="J17" s="16" t="n"/>
      <c r="K17" s="17">
        <f>IF($B17="","",IF($I17&lt;&gt;"",$I17,$G17))</f>
        <v/>
      </c>
      <c r="L17" s="17">
        <f>IF($B17="","",IF($J17&lt;&gt;"",$J17,$H17))</f>
        <v/>
      </c>
      <c r="M17" s="38"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4" t="n">
        <v>13</v>
      </c>
      <c r="C18" s="14" t="inlineStr">
        <is>
          <t>Arrest, Search, and Seizure — E</t>
        </is>
      </c>
      <c r="D18" s="14" t="inlineStr">
        <is>
          <t>10</t>
        </is>
      </c>
      <c r="E18" s="14" t="n">
        <v>2</v>
      </c>
      <c r="F18" s="14" t="n">
        <v>0</v>
      </c>
      <c r="G18" s="17">
        <f>IF($D18="","",_xlfn.LET(_xlpm.f,IFERROR(_xlfn.XLOOKUP($D18,nrCHnum,nrCHfirst),""),IF(OR(_xlpm.f="",_xlpm.f=0),"",_xlfn.LET(_xlpm.wkstart,_xlpm.f-WEEKDAY(_xlpm.f,2)+1+$E18*7,IFERROR(_xlfn.MINIFS(nrCDdate,nrCDdate,"&gt;="&amp;_xlpm.wkstart),"")))))</f>
        <v/>
      </c>
      <c r="H18" s="17">
        <f>IF($G18="","",_xlfn.LET(_xlpm.a,$G18,_xlpm.ws2,_xlpm.a-WEEKDAY(_xlpm.a,2)+1+$F18*7,_xlpm.d,_xlfn.MAXIFS(nrCDdate,nrCDdate,"&gt;="&amp;_xlpm.ws2,nrCDdate,"&lt;"&amp;(_xlpm.ws2+7)),IF(_xlpm.d=0,"",_xlpm.d)))</f>
        <v/>
      </c>
      <c r="I18" s="16" t="n"/>
      <c r="J18" s="16" t="n"/>
      <c r="K18" s="17">
        <f>IF($B18="","",IF($I18&lt;&gt;"",$I18,$G18))</f>
        <v/>
      </c>
      <c r="L18" s="17">
        <f>IF($B18="","",IF($J18&lt;&gt;"",$J18,$H18))</f>
        <v/>
      </c>
      <c r="M18" s="38"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4" t="n">
        <v>14</v>
      </c>
      <c r="C19" s="14" t="inlineStr">
        <is>
          <t>Arrest, Search, and Seizure — F</t>
        </is>
      </c>
      <c r="D19" s="14" t="inlineStr">
        <is>
          <t>10</t>
        </is>
      </c>
      <c r="E19" s="14" t="n">
        <v>2</v>
      </c>
      <c r="F19" s="14" t="n">
        <v>0</v>
      </c>
      <c r="G19" s="17">
        <f>IF($D19="","",_xlfn.LET(_xlpm.f,IFERROR(_xlfn.XLOOKUP($D19,nrCHnum,nrCHfirst),""),IF(OR(_xlpm.f="",_xlpm.f=0),"",_xlfn.LET(_xlpm.wkstart,_xlpm.f-WEEKDAY(_xlpm.f,2)+1+$E19*7,IFERROR(_xlfn.MINIFS(nrCDdate,nrCDdate,"&gt;="&amp;_xlpm.wkstart),"")))))</f>
        <v/>
      </c>
      <c r="H19" s="17">
        <f>IF($G19="","",_xlfn.LET(_xlpm.a,$G19,_xlpm.ws2,_xlpm.a-WEEKDAY(_xlpm.a,2)+1+$F19*7,_xlpm.d,_xlfn.MAXIFS(nrCDdate,nrCDdate,"&gt;="&amp;_xlpm.ws2,nrCDdate,"&lt;"&amp;(_xlpm.ws2+7)),IF(_xlpm.d=0,"",_xlpm.d)))</f>
        <v/>
      </c>
      <c r="I19" s="16" t="n"/>
      <c r="J19" s="16" t="n"/>
      <c r="K19" s="17">
        <f>IF($B19="","",IF($I19&lt;&gt;"",$I19,$G19))</f>
        <v/>
      </c>
      <c r="L19" s="17">
        <f>IF($B19="","",IF($J19&lt;&gt;"",$J19,$H19))</f>
        <v/>
      </c>
      <c r="M19" s="38"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4" t="n">
        <v>15</v>
      </c>
      <c r="C20" s="14" t="inlineStr">
        <is>
          <t>Traffic / Crash — A</t>
        </is>
      </c>
      <c r="D20" s="14" t="inlineStr">
        <is>
          <t>22</t>
        </is>
      </c>
      <c r="E20" s="14" t="n">
        <v>0</v>
      </c>
      <c r="F20" s="14" t="n">
        <v>0</v>
      </c>
      <c r="G20" s="17">
        <f>IF($D20="","",_xlfn.LET(_xlpm.f,IFERROR(_xlfn.XLOOKUP($D20,nrCHnum,nrCHfirst),""),IF(OR(_xlpm.f="",_xlpm.f=0),"",_xlfn.LET(_xlpm.wkstart,_xlpm.f-WEEKDAY(_xlpm.f,2)+1+$E20*7,IFERROR(_xlfn.MINIFS(nrCDdate,nrCDdate,"&gt;="&amp;_xlpm.wkstart),"")))))</f>
        <v/>
      </c>
      <c r="H20" s="17">
        <f>IF($G20="","",_xlfn.LET(_xlpm.a,$G20,_xlpm.ws2,_xlpm.a-WEEKDAY(_xlpm.a,2)+1+$F20*7,_xlpm.d,_xlfn.MAXIFS(nrCDdate,nrCDdate,"&gt;="&amp;_xlpm.ws2,nrCDdate,"&lt;"&amp;(_xlpm.ws2+7)),IF(_xlpm.d=0,"",_xlpm.d)))</f>
        <v/>
      </c>
      <c r="I20" s="16" t="n"/>
      <c r="J20" s="16" t="n"/>
      <c r="K20" s="17">
        <f>IF($B20="","",IF($I20&lt;&gt;"",$I20,$G20))</f>
        <v/>
      </c>
      <c r="L20" s="17">
        <f>IF($B20="","",IF($J20&lt;&gt;"",$J20,$H20))</f>
        <v/>
      </c>
      <c r="M20" s="38" t="inlineStr">
        <is>
          <t>Interview drivers/witnesses in a vehicle collision. Write a narrative about the collision.</t>
        </is>
      </c>
    </row>
    <row r="21" ht="42" customHeight="1">
      <c r="B21" s="14" t="n">
        <v>16</v>
      </c>
      <c r="C21" s="14" t="inlineStr">
        <is>
          <t>Traffic / Crash — B</t>
        </is>
      </c>
      <c r="D21" s="14" t="inlineStr">
        <is>
          <t>22</t>
        </is>
      </c>
      <c r="E21" s="14" t="n">
        <v>0</v>
      </c>
      <c r="F21" s="14" t="n">
        <v>0</v>
      </c>
      <c r="G21" s="17">
        <f>IF($D21="","",_xlfn.LET(_xlpm.f,IFERROR(_xlfn.XLOOKUP($D21,nrCHnum,nrCHfirst),""),IF(OR(_xlpm.f="",_xlpm.f=0),"",_xlfn.LET(_xlpm.wkstart,_xlpm.f-WEEKDAY(_xlpm.f,2)+1+$E21*7,IFERROR(_xlfn.MINIFS(nrCDdate,nrCDdate,"&gt;="&amp;_xlpm.wkstart),"")))))</f>
        <v/>
      </c>
      <c r="H21" s="17">
        <f>IF($G21="","",_xlfn.LET(_xlpm.a,$G21,_xlpm.ws2,_xlpm.a-WEEKDAY(_xlpm.a,2)+1+$F21*7,_xlpm.d,_xlfn.MAXIFS(nrCDdate,nrCDdate,"&gt;="&amp;_xlpm.ws2,nrCDdate,"&lt;"&amp;(_xlpm.ws2+7)),IF(_xlpm.d=0,"",_xlpm.d)))</f>
        <v/>
      </c>
      <c r="I21" s="16" t="n"/>
      <c r="J21" s="16" t="n"/>
      <c r="K21" s="17">
        <f>IF($B21="","",IF($I21&lt;&gt;"",$I21,$G21))</f>
        <v/>
      </c>
      <c r="L21" s="17">
        <f>IF($B21="","",IF($J21&lt;&gt;"",$J21,$H21))</f>
        <v/>
      </c>
      <c r="M21" s="38" t="inlineStr">
        <is>
          <t>Pick a traffic violation that you have observed. Write a detailed narrative about the violation.</t>
        </is>
      </c>
    </row>
    <row r="22" ht="42" customHeight="1">
      <c r="B22" s="14" t="n">
        <v>17</v>
      </c>
      <c r="C22" s="14" t="inlineStr">
        <is>
          <t>Traffic / Crash — C</t>
        </is>
      </c>
      <c r="D22" s="14" t="inlineStr">
        <is>
          <t>22</t>
        </is>
      </c>
      <c r="E22" s="14" t="n">
        <v>0</v>
      </c>
      <c r="F22" s="14" t="n">
        <v>0</v>
      </c>
      <c r="G22" s="17">
        <f>IF($D22="","",_xlfn.LET(_xlpm.f,IFERROR(_xlfn.XLOOKUP($D22,nrCHnum,nrCHfirst),""),IF(OR(_xlpm.f="",_xlpm.f=0),"",_xlfn.LET(_xlpm.wkstart,_xlpm.f-WEEKDAY(_xlpm.f,2)+1+$E22*7,IFERROR(_xlfn.MINIFS(nrCDdate,nrCDdate,"&gt;="&amp;_xlpm.wkstart),"")))))</f>
        <v/>
      </c>
      <c r="H22" s="17">
        <f>IF($G22="","",_xlfn.LET(_xlpm.a,$G22,_xlpm.ws2,_xlpm.a-WEEKDAY(_xlpm.a,2)+1+$F22*7,_xlpm.d,_xlfn.MAXIFS(nrCDdate,nrCDdate,"&gt;="&amp;_xlpm.ws2,nrCDdate,"&lt;"&amp;(_xlpm.ws2+7)),IF(_xlpm.d=0,"",_xlpm.d)))</f>
        <v/>
      </c>
      <c r="I22" s="16" t="n"/>
      <c r="J22" s="16" t="n"/>
      <c r="K22" s="17">
        <f>IF($B22="","",IF($I22&lt;&gt;"",$I22,$G22))</f>
        <v/>
      </c>
      <c r="L22" s="17">
        <f>IF($B22="","",IF($J22&lt;&gt;"",$J22,$H22))</f>
        <v/>
      </c>
      <c r="M22" s="38" t="inlineStr">
        <is>
          <t>Prepare an arrest warrant affidavit (probable cause narrative) for a subject that you were unable to capture in a pursuit.</t>
        </is>
      </c>
    </row>
    <row r="23" ht="42" customHeight="1">
      <c r="B23" s="14" t="n">
        <v>18</v>
      </c>
      <c r="C23" s="14" t="inlineStr">
        <is>
          <t>Traffic / Crash — D</t>
        </is>
      </c>
      <c r="D23" s="14" t="inlineStr">
        <is>
          <t>22</t>
        </is>
      </c>
      <c r="E23" s="14" t="n">
        <v>0</v>
      </c>
      <c r="F23" s="14" t="n">
        <v>0</v>
      </c>
      <c r="G23" s="17">
        <f>IF($D23="","",_xlfn.LET(_xlpm.f,IFERROR(_xlfn.XLOOKUP($D23,nrCHnum,nrCHfirst),""),IF(OR(_xlpm.f="",_xlpm.f=0),"",_xlfn.LET(_xlpm.wkstart,_xlpm.f-WEEKDAY(_xlpm.f,2)+1+$E23*7,IFERROR(_xlfn.MINIFS(nrCDdate,nrCDdate,"&gt;="&amp;_xlpm.wkstart),"")))))</f>
        <v/>
      </c>
      <c r="H23" s="17">
        <f>IF($G23="","",_xlfn.LET(_xlpm.a,$G23,_xlpm.ws2,_xlpm.a-WEEKDAY(_xlpm.a,2)+1+$F23*7,_xlpm.d,_xlfn.MAXIFS(nrCDdate,nrCDdate,"&gt;="&amp;_xlpm.ws2,nrCDdate,"&lt;"&amp;(_xlpm.ws2+7)),IF(_xlpm.d=0,"",_xlpm.d)))</f>
        <v/>
      </c>
      <c r="I23" s="16" t="n"/>
      <c r="J23" s="16" t="n"/>
      <c r="K23" s="17">
        <f>IF($B23="","",IF($I23&lt;&gt;"",$I23,$G23))</f>
        <v/>
      </c>
      <c r="L23" s="17">
        <f>IF($B23="","",IF($J23&lt;&gt;"",$J23,$H23))</f>
        <v/>
      </c>
      <c r="M23" s="38" t="inlineStr">
        <is>
          <t>Prepare a search warrant affidavit (probable cause narrative) for a vehicle involved in a failure to stop and render aid collision.</t>
        </is>
      </c>
    </row>
    <row r="24" ht="42" customHeight="1">
      <c r="B24" s="14" t="n">
        <v>19</v>
      </c>
      <c r="C24" s="14" t="inlineStr">
        <is>
          <t>SFST</t>
        </is>
      </c>
      <c r="D24" s="14" t="inlineStr">
        <is>
          <t>23</t>
        </is>
      </c>
      <c r="E24" s="14" t="n">
        <v>0</v>
      </c>
      <c r="F24" s="14" t="n">
        <v>1</v>
      </c>
      <c r="G24" s="17">
        <f>IF($D24="","",_xlfn.LET(_xlpm.f,IFERROR(_xlfn.XLOOKUP($D24,nrCHnum,nrCHfirst),""),IF(OR(_xlpm.f="",_xlpm.f=0),"",_xlfn.LET(_xlpm.wkstart,_xlpm.f-WEEKDAY(_xlpm.f,2)+1+$E24*7,IFERROR(_xlfn.MINIFS(nrCDdate,nrCDdate,"&gt;="&amp;_xlpm.wkstart),"")))))</f>
        <v/>
      </c>
      <c r="H24" s="17">
        <f>IF($G24="","",_xlfn.LET(_xlpm.a,$G24,_xlpm.ws2,_xlpm.a-WEEKDAY(_xlpm.a,2)+1+$F24*7,_xlpm.d,_xlfn.MAXIFS(nrCDdate,nrCDdate,"&gt;="&amp;_xlpm.ws2,nrCDdate,"&lt;"&amp;(_xlpm.ws2+7)),IF(_xlpm.d=0,"",_xlpm.d)))</f>
        <v/>
      </c>
      <c r="I24" s="16" t="n"/>
      <c r="J24" s="16" t="n"/>
      <c r="K24" s="17">
        <f>IF($B24="","",IF($I24&lt;&gt;"",$I24,$G24))</f>
        <v/>
      </c>
      <c r="L24" s="17">
        <f>IF($B24="","",IF($J24&lt;&gt;"",$J24,$H24))</f>
        <v/>
      </c>
      <c r="M24" s="38" t="inlineStr">
        <is>
          <t>Prepare a case narrative, based on a wet lab test subject, for a DWI arrest. Complete all DPS forms (DIC-23, DIC-24, DIC-25, DIC-54, and DIC-55). NOTE: Assigned after wet lab. Wet lab must be completed before writing this narrative.</t>
        </is>
      </c>
    </row>
    <row r="25" ht="42" customHeight="1">
      <c r="B25" s="14" t="n">
        <v>20</v>
      </c>
      <c r="C25" s="14" t="inlineStr">
        <is>
          <t>Written Communication — A</t>
        </is>
      </c>
      <c r="D25" s="14" t="inlineStr">
        <is>
          <t>24</t>
        </is>
      </c>
      <c r="E25" s="14" t="n">
        <v>0</v>
      </c>
      <c r="F25" s="14" t="n">
        <v>1</v>
      </c>
      <c r="G25" s="17">
        <f>IF($D25="","",_xlfn.LET(_xlpm.f,IFERROR(_xlfn.XLOOKUP($D25,nrCHnum,nrCHfirst),""),IF(OR(_xlpm.f="",_xlpm.f=0),"",_xlfn.LET(_xlpm.wkstart,_xlpm.f-WEEKDAY(_xlpm.f,2)+1+$E25*7,IFERROR(_xlfn.MINIFS(nrCDdate,nrCDdate,"&gt;="&amp;_xlpm.wkstart),"")))))</f>
        <v/>
      </c>
      <c r="H25" s="17">
        <f>IF($G25="","",_xlfn.LET(_xlpm.a,$G25,_xlpm.ws2,_xlpm.a-WEEKDAY(_xlpm.a,2)+1+$F25*7,_xlpm.d,_xlfn.MAXIFS(nrCDdate,nrCDdate,"&gt;="&amp;_xlpm.ws2,nrCDdate,"&lt;"&amp;(_xlpm.ws2+7)),IF(_xlpm.d=0,"",_xlpm.d)))</f>
        <v/>
      </c>
      <c r="I25" s="16" t="n"/>
      <c r="J25" s="16" t="n"/>
      <c r="K25" s="17">
        <f>IF($B25="","",IF($I25&lt;&gt;"",$I25,$G25))</f>
        <v/>
      </c>
      <c r="L25" s="17">
        <f>IF($B25="","",IF($J25&lt;&gt;"",$J25,$H25))</f>
        <v/>
      </c>
      <c r="M25" s="38" t="inlineStr">
        <is>
          <t>Submit an offense report narrative from the "Night Watch" painting.</t>
        </is>
      </c>
    </row>
    <row r="26" ht="42" customHeight="1">
      <c r="B26" s="14" t="n">
        <v>21</v>
      </c>
      <c r="C26" s="14" t="inlineStr">
        <is>
          <t>Written Communication — B</t>
        </is>
      </c>
      <c r="D26" s="14" t="inlineStr">
        <is>
          <t>24</t>
        </is>
      </c>
      <c r="E26" s="14" t="n">
        <v>0</v>
      </c>
      <c r="F26" s="14" t="n">
        <v>1</v>
      </c>
      <c r="G26" s="17">
        <f>IF($D26="","",_xlfn.LET(_xlpm.f,IFERROR(_xlfn.XLOOKUP($D26,nrCHnum,nrCHfirst),""),IF(OR(_xlpm.f="",_xlpm.f=0),"",_xlfn.LET(_xlpm.wkstart,_xlpm.f-WEEKDAY(_xlpm.f,2)+1+$E26*7,IFERROR(_xlfn.MINIFS(nrCDdate,nrCDdate,"&gt;="&amp;_xlpm.wkstart),"")))))</f>
        <v/>
      </c>
      <c r="H26" s="17">
        <f>IF($G26="","",_xlfn.LET(_xlpm.a,$G26,_xlpm.ws2,_xlpm.a-WEEKDAY(_xlpm.a,2)+1+$F26*7,_xlpm.d,_xlfn.MAXIFS(nrCDdate,nrCDdate,"&gt;="&amp;_xlpm.ws2,nrCDdate,"&lt;"&amp;(_xlpm.ws2+7)),IF(_xlpm.d=0,"",_xlpm.d)))</f>
        <v/>
      </c>
      <c r="I26" s="16" t="n"/>
      <c r="J26" s="16" t="n"/>
      <c r="K26" s="17">
        <f>IF($B26="","",IF($I26&lt;&gt;"",$I26,$G26))</f>
        <v/>
      </c>
      <c r="L26" s="17">
        <f>IF($B26="","",IF($J26&lt;&gt;"",$J26,$H26))</f>
        <v/>
      </c>
      <c r="M26" s="38" t="inlineStr">
        <is>
          <t>Prepare a full narrative on how to make a peanut butter and jelly sandwich.</t>
        </is>
      </c>
    </row>
    <row r="27" ht="42" customHeight="1">
      <c r="B27" s="14" t="n">
        <v>22</v>
      </c>
      <c r="C27" s="14" t="inlineStr">
        <is>
          <t>Written Communication — C</t>
        </is>
      </c>
      <c r="D27" s="14" t="inlineStr">
        <is>
          <t>24</t>
        </is>
      </c>
      <c r="E27" s="14" t="n">
        <v>0</v>
      </c>
      <c r="F27" s="14" t="n">
        <v>1</v>
      </c>
      <c r="G27" s="17">
        <f>IF($D27="","",_xlfn.LET(_xlpm.f,IFERROR(_xlfn.XLOOKUP($D27,nrCHnum,nrCHfirst),""),IF(OR(_xlpm.f="",_xlpm.f=0),"",_xlfn.LET(_xlpm.wkstart,_xlpm.f-WEEKDAY(_xlpm.f,2)+1+$E27*7,IFERROR(_xlfn.MINIFS(nrCDdate,nrCDdate,"&gt;="&amp;_xlpm.wkstart),"")))))</f>
        <v/>
      </c>
      <c r="H27" s="17">
        <f>IF($G27="","",_xlfn.LET(_xlpm.a,$G27,_xlpm.ws2,_xlpm.a-WEEKDAY(_xlpm.a,2)+1+$F27*7,_xlpm.d,_xlfn.MAXIFS(nrCDdate,nrCDdate,"&gt;="&amp;_xlpm.ws2,nrCDdate,"&lt;"&amp;(_xlpm.ws2+7)),IF(_xlpm.d=0,"",_xlpm.d)))</f>
        <v/>
      </c>
      <c r="I27" s="16" t="n"/>
      <c r="J27" s="16" t="n"/>
      <c r="K27" s="17">
        <f>IF($B27="","",IF($I27&lt;&gt;"",$I27,$G27))</f>
        <v/>
      </c>
      <c r="L27" s="17">
        <f>IF($B27="","",IF($J27&lt;&gt;"",$J27,$H27))</f>
        <v/>
      </c>
      <c r="M27" s="38" t="inlineStr">
        <is>
          <t>Interview witnesses of a shooting (Clint Eastwood). Write a detailed narrative for a case report on the shooting.</t>
        </is>
      </c>
    </row>
    <row r="28" ht="42" customHeight="1">
      <c r="B28" s="14" t="n">
        <v>23</v>
      </c>
      <c r="C28" s="14" t="inlineStr">
        <is>
          <t>Spanish</t>
        </is>
      </c>
      <c r="D28" s="14" t="inlineStr">
        <is>
          <t>26</t>
        </is>
      </c>
      <c r="E28" s="14" t="n">
        <v>0</v>
      </c>
      <c r="F28" s="14" t="n">
        <v>1</v>
      </c>
      <c r="G28" s="17">
        <f>IF($D28="","",_xlfn.LET(_xlpm.f,IFERROR(_xlfn.XLOOKUP($D28,nrCHnum,nrCHfirst),""),IF(OR(_xlpm.f="",_xlpm.f=0),"",_xlfn.LET(_xlpm.wkstart,_xlpm.f-WEEKDAY(_xlpm.f,2)+1+$E28*7,IFERROR(_xlfn.MINIFS(nrCDdate,nrCDdate,"&gt;="&amp;_xlpm.wkstart),"")))))</f>
        <v/>
      </c>
      <c r="H28" s="17">
        <f>IF($G28="","",_xlfn.LET(_xlpm.a,$G28,_xlpm.ws2,_xlpm.a-WEEKDAY(_xlpm.a,2)+1+$F28*7,_xlpm.d,_xlfn.MAXIFS(nrCDdate,nrCDdate,"&gt;="&amp;_xlpm.ws2,nrCDdate,"&lt;"&amp;(_xlpm.ws2+7)),IF(_xlpm.d=0,"",_xlpm.d)))</f>
        <v/>
      </c>
      <c r="I28" s="16" t="n"/>
      <c r="J28" s="16" t="n"/>
      <c r="K28" s="17">
        <f>IF($B28="","",IF($I28&lt;&gt;"",$I28,$G28))</f>
        <v/>
      </c>
      <c r="L28" s="17">
        <f>IF($B28="","",IF($J28&lt;&gt;"",$J28,$H28))</f>
        <v/>
      </c>
      <c r="M28" s="38" t="inlineStr">
        <is>
          <t>Complete a casual contact of a Spanish speaking individual. Document the contact on a Field Information form.</t>
        </is>
      </c>
    </row>
    <row r="29" ht="42" customHeight="1">
      <c r="B29" s="14" t="n">
        <v>24</v>
      </c>
      <c r="C29" s="14" t="inlineStr">
        <is>
          <t>De-escalation</t>
        </is>
      </c>
      <c r="D29" s="14" t="inlineStr">
        <is>
          <t>27</t>
        </is>
      </c>
      <c r="E29" s="14" t="n">
        <v>0</v>
      </c>
      <c r="F29" s="14" t="n">
        <v>1</v>
      </c>
      <c r="G29" s="17">
        <f>IF($D29="","",_xlfn.LET(_xlpm.f,IFERROR(_xlfn.XLOOKUP($D29,nrCHnum,nrCHfirst),""),IF(OR(_xlpm.f="",_xlpm.f=0),"",_xlfn.LET(_xlpm.wkstart,_xlpm.f-WEEKDAY(_xlpm.f,2)+1+$E29*7,IFERROR(_xlfn.MINIFS(nrCDdate,nrCDdate,"&gt;="&amp;_xlpm.wkstart),"")))))</f>
        <v/>
      </c>
      <c r="H29" s="17">
        <f>IF($G29="","",_xlfn.LET(_xlpm.a,$G29,_xlpm.ws2,_xlpm.a-WEEKDAY(_xlpm.a,2)+1+$F29*7,_xlpm.d,_xlfn.MAXIFS(nrCDdate,nrCDdate,"&gt;="&amp;_xlpm.ws2,nrCDdate,"&lt;"&amp;(_xlpm.ws2+7)),IF(_xlpm.d=0,"",_xlpm.d)))</f>
        <v/>
      </c>
      <c r="I29" s="16" t="n"/>
      <c r="J29" s="16" t="n"/>
      <c r="K29" s="17">
        <f>IF($B29="","",IF($I29&lt;&gt;"",$I29,$G29))</f>
        <v/>
      </c>
      <c r="L29" s="17">
        <f>IF($B29="","",IF($J29&lt;&gt;"",$J29,$H29))</f>
        <v/>
      </c>
      <c r="M29" s="38" t="inlineStr">
        <is>
          <t>Review the article at https://www.calibrepress.com/2020/04/new-study-expert-vs-novice-use-of-force-decision-making/ — Discuss techniques in the article that correlate with the information taught during this portion of the academy.</t>
        </is>
      </c>
    </row>
    <row r="30" ht="42" customHeight="1">
      <c r="B30" s="14" t="n">
        <v>25</v>
      </c>
      <c r="C30" s="14" t="inlineStr">
        <is>
          <t>Use of Force — A</t>
        </is>
      </c>
      <c r="D30" s="14" t="inlineStr">
        <is>
          <t>28</t>
        </is>
      </c>
      <c r="E30" s="14" t="n">
        <v>0</v>
      </c>
      <c r="F30" s="14" t="n">
        <v>1</v>
      </c>
      <c r="G30" s="17">
        <f>IF($D30="","",_xlfn.LET(_xlpm.f,IFERROR(_xlfn.XLOOKUP($D30,nrCHnum,nrCHfirst),""),IF(OR(_xlpm.f="",_xlpm.f=0),"",_xlfn.LET(_xlpm.wkstart,_xlpm.f-WEEKDAY(_xlpm.f,2)+1+$E30*7,IFERROR(_xlfn.MINIFS(nrCDdate,nrCDdate,"&gt;="&amp;_xlpm.wkstart),"")))))</f>
        <v/>
      </c>
      <c r="H30" s="17">
        <f>IF($G30="","",_xlfn.LET(_xlpm.a,$G30,_xlpm.ws2,_xlpm.a-WEEKDAY(_xlpm.a,2)+1+$F30*7,_xlpm.d,_xlfn.MAXIFS(nrCDdate,nrCDdate,"&gt;="&amp;_xlpm.ws2,nrCDdate,"&lt;"&amp;(_xlpm.ws2+7)),IF(_xlpm.d=0,"",_xlpm.d)))</f>
        <v/>
      </c>
      <c r="I30" s="16" t="n"/>
      <c r="J30" s="16" t="n"/>
      <c r="K30" s="17">
        <f>IF($B30="","",IF($I30&lt;&gt;"",$I30,$G30))</f>
        <v/>
      </c>
      <c r="L30" s="17">
        <f>IF($B30="","",IF($J30&lt;&gt;"",$J30,$H30))</f>
        <v/>
      </c>
      <c r="M30" s="38" t="inlineStr">
        <is>
          <t>Watch video. Submit a use of force / subject resistance report.</t>
        </is>
      </c>
    </row>
    <row r="31" ht="42" customHeight="1">
      <c r="B31" s="14" t="n">
        <v>26</v>
      </c>
      <c r="C31" s="14" t="inlineStr">
        <is>
          <t>Use of Force — B</t>
        </is>
      </c>
      <c r="D31" s="14" t="inlineStr">
        <is>
          <t>28</t>
        </is>
      </c>
      <c r="E31" s="14" t="n">
        <v>0</v>
      </c>
      <c r="F31" s="14" t="n">
        <v>1</v>
      </c>
      <c r="G31" s="17">
        <f>IF($D31="","",_xlfn.LET(_xlpm.f,IFERROR(_xlfn.XLOOKUP($D31,nrCHnum,nrCHfirst),""),IF(OR(_xlpm.f="",_xlpm.f=0),"",_xlfn.LET(_xlpm.wkstart,_xlpm.f-WEEKDAY(_xlpm.f,2)+1+$E31*7,IFERROR(_xlfn.MINIFS(nrCDdate,nrCDdate,"&gt;="&amp;_xlpm.wkstart),"")))))</f>
        <v/>
      </c>
      <c r="H31" s="17">
        <f>IF($G31="","",_xlfn.LET(_xlpm.a,$G31,_xlpm.ws2,_xlpm.a-WEEKDAY(_xlpm.a,2)+1+$F31*7,_xlpm.d,_xlfn.MAXIFS(nrCDdate,nrCDdate,"&gt;="&amp;_xlpm.ws2,nrCDdate,"&lt;"&amp;(_xlpm.ws2+7)),IF(_xlpm.d=0,"",_xlpm.d)))</f>
        <v/>
      </c>
      <c r="I31" s="16" t="n"/>
      <c r="J31" s="16" t="n"/>
      <c r="K31" s="17">
        <f>IF($B31="","",IF($I31&lt;&gt;"",$I31,$G31))</f>
        <v/>
      </c>
      <c r="L31" s="17">
        <f>IF($B31="","",IF($J31&lt;&gt;"",$J31,$H31))</f>
        <v/>
      </c>
      <c r="M31" s="38"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4" t="n">
        <v>27</v>
      </c>
      <c r="C32" s="14" t="inlineStr">
        <is>
          <t>Crisis Intervention</t>
        </is>
      </c>
      <c r="D32" s="14" t="inlineStr">
        <is>
          <t>29</t>
        </is>
      </c>
      <c r="E32" s="14" t="n">
        <v>0</v>
      </c>
      <c r="F32" s="14" t="n">
        <v>1</v>
      </c>
      <c r="G32" s="17">
        <f>IF($D32="","",_xlfn.LET(_xlpm.f,IFERROR(_xlfn.XLOOKUP($D32,nrCHnum,nrCHfirst),""),IF(OR(_xlpm.f="",_xlpm.f=0),"",_xlfn.LET(_xlpm.wkstart,_xlpm.f-WEEKDAY(_xlpm.f,2)+1+$E32*7,IFERROR(_xlfn.MINIFS(nrCDdate,nrCDdate,"&gt;="&amp;_xlpm.wkstart),"")))))</f>
        <v/>
      </c>
      <c r="H32" s="17">
        <f>IF($G32="","",_xlfn.LET(_xlpm.a,$G32,_xlpm.ws2,_xlpm.a-WEEKDAY(_xlpm.a,2)+1+$F32*7,_xlpm.d,_xlfn.MAXIFS(nrCDdate,nrCDdate,"&gt;="&amp;_xlpm.ws2,nrCDdate,"&lt;"&amp;(_xlpm.ws2+7)),IF(_xlpm.d=0,"",_xlpm.d)))</f>
        <v/>
      </c>
      <c r="I32" s="16" t="n"/>
      <c r="J32" s="16" t="n"/>
      <c r="K32" s="17">
        <f>IF($B32="","",IF($I32&lt;&gt;"",$I32,$G32))</f>
        <v/>
      </c>
      <c r="L32" s="17">
        <f>IF($B32="","",IF($J32&lt;&gt;"",$J32,$H32))</f>
        <v/>
      </c>
      <c r="M32" s="38" t="inlineStr">
        <is>
          <t>Complete a Peace Officer Emergency Detention form.</t>
        </is>
      </c>
    </row>
    <row r="33" ht="42" customHeight="1">
      <c r="B33" s="14" t="n">
        <v>28</v>
      </c>
      <c r="C33" s="14" t="inlineStr">
        <is>
          <t>Arrest and Control — A</t>
        </is>
      </c>
      <c r="D33" s="14" t="inlineStr">
        <is>
          <t>31</t>
        </is>
      </c>
      <c r="E33" s="14" t="n">
        <v>0</v>
      </c>
      <c r="F33" s="14" t="n">
        <v>1</v>
      </c>
      <c r="G33" s="17">
        <f>IF($D33="","",_xlfn.LET(_xlpm.f,IFERROR(_xlfn.XLOOKUP($D33,nrCHnum,nrCHfirst),""),IF(OR(_xlpm.f="",_xlpm.f=0),"",_xlfn.LET(_xlpm.wkstart,_xlpm.f-WEEKDAY(_xlpm.f,2)+1+$E33*7,IFERROR(_xlfn.MINIFS(nrCDdate,nrCDdate,"&gt;="&amp;_xlpm.wkstart),"")))))</f>
        <v/>
      </c>
      <c r="H33" s="17">
        <f>IF($G33="","",_xlfn.LET(_xlpm.a,$G33,_xlpm.ws2,_xlpm.a-WEEKDAY(_xlpm.a,2)+1+$F33*7,_xlpm.d,_xlfn.MAXIFS(nrCDdate,nrCDdate,"&gt;="&amp;_xlpm.ws2,nrCDdate,"&lt;"&amp;(_xlpm.ws2+7)),IF(_xlpm.d=0,"",_xlpm.d)))</f>
        <v/>
      </c>
      <c r="I33" s="16" t="n"/>
      <c r="J33" s="16" t="n"/>
      <c r="K33" s="17">
        <f>IF($B33="","",IF($I33&lt;&gt;"",$I33,$G33))</f>
        <v/>
      </c>
      <c r="L33" s="17">
        <f>IF($B33="","",IF($J33&lt;&gt;"",$J33,$H33))</f>
        <v/>
      </c>
      <c r="M33" s="38"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4" t="n">
        <v>29</v>
      </c>
      <c r="C34" s="14" t="inlineStr">
        <is>
          <t>Arrest and Control — B (ICS certificates)</t>
        </is>
      </c>
      <c r="D34" s="14" t="inlineStr">
        <is>
          <t>31</t>
        </is>
      </c>
      <c r="E34" s="14" t="n">
        <v>1</v>
      </c>
      <c r="F34" s="14" t="n">
        <v>1</v>
      </c>
      <c r="G34" s="17">
        <f>IF($D34="","",_xlfn.LET(_xlpm.f,IFERROR(_xlfn.XLOOKUP($D34,nrCHnum,nrCHfirst),""),IF(OR(_xlpm.f="",_xlpm.f=0),"",_xlfn.LET(_xlpm.wkstart,_xlpm.f-WEEKDAY(_xlpm.f,2)+1+$E34*7,IFERROR(_xlfn.MINIFS(nrCDdate,nrCDdate,"&gt;="&amp;_xlpm.wkstart),"")))))</f>
        <v/>
      </c>
      <c r="H34" s="17">
        <f>IF($G34="","",_xlfn.LET(_xlpm.a,$G34,_xlpm.ws2,_xlpm.a-WEEKDAY(_xlpm.a,2)+1+$F34*7,_xlpm.d,_xlfn.MAXIFS(nrCDdate,nrCDdate,"&gt;="&amp;_xlpm.ws2,nrCDdate,"&lt;"&amp;(_xlpm.ws2+7)),IF(_xlpm.d=0,"",_xlpm.d)))</f>
        <v/>
      </c>
      <c r="I34" s="16" t="n"/>
      <c r="J34" s="16" t="n"/>
      <c r="K34" s="17">
        <f>IF($B34="","",IF($I34&lt;&gt;"",$I34,$G34))</f>
        <v/>
      </c>
      <c r="L34" s="17">
        <f>IF($B34="","",IF($J34&lt;&gt;"",$J34,$H34))</f>
        <v/>
      </c>
      <c r="M34" s="38" t="inlineStr">
        <is>
          <t>Complete the following FEMA online courses and submit your completion certificates: ICS 100, ICS 200, and ICS 700 (training.fema.gov).</t>
        </is>
      </c>
    </row>
    <row r="35" ht="42" customHeight="1">
      <c r="B35" s="14" t="n">
        <v>30</v>
      </c>
      <c r="C35" s="14" t="inlineStr">
        <is>
          <t>Booking Procedures</t>
        </is>
      </c>
      <c r="D35" s="14" t="inlineStr">
        <is>
          <t>32</t>
        </is>
      </c>
      <c r="E35" s="14" t="n">
        <v>0</v>
      </c>
      <c r="F35" s="14" t="n">
        <v>1</v>
      </c>
      <c r="G35" s="17">
        <f>IF($D35="","",_xlfn.LET(_xlpm.f,IFERROR(_xlfn.XLOOKUP($D35,nrCHnum,nrCHfirst),""),IF(OR(_xlpm.f="",_xlpm.f=0),"",_xlfn.LET(_xlpm.wkstart,_xlpm.f-WEEKDAY(_xlpm.f,2)+1+$E35*7,IFERROR(_xlfn.MINIFS(nrCDdate,nrCDdate,"&gt;="&amp;_xlpm.wkstart),"")))))</f>
        <v/>
      </c>
      <c r="H35" s="17">
        <f>IF($G35="","",_xlfn.LET(_xlpm.a,$G35,_xlpm.ws2,_xlpm.a-WEEKDAY(_xlpm.a,2)+1+$F35*7,_xlpm.d,_xlfn.MAXIFS(nrCDdate,nrCDdate,"&gt;="&amp;_xlpm.ws2,nrCDdate,"&lt;"&amp;(_xlpm.ws2+7)),IF(_xlpm.d=0,"",_xlpm.d)))</f>
        <v/>
      </c>
      <c r="I35" s="16" t="n"/>
      <c r="J35" s="16" t="n"/>
      <c r="K35" s="17">
        <f>IF($B35="","",IF($I35&lt;&gt;"",$I35,$G35))</f>
        <v/>
      </c>
      <c r="L35" s="17">
        <f>IF($B35="","",IF($J35&lt;&gt;"",$J35,$H35))</f>
        <v/>
      </c>
      <c r="M35" s="38" t="inlineStr">
        <is>
          <t>Complete a booking form.</t>
        </is>
      </c>
    </row>
    <row r="36" ht="42" customHeight="1">
      <c r="B36" s="14" t="n">
        <v>31</v>
      </c>
      <c r="C36" s="14" t="inlineStr">
        <is>
          <t>Interview</t>
        </is>
      </c>
      <c r="D36" s="14" t="inlineStr">
        <is>
          <t>32</t>
        </is>
      </c>
      <c r="E36" s="14" t="n">
        <v>1</v>
      </c>
      <c r="F36" s="14" t="n">
        <v>2</v>
      </c>
      <c r="G36" s="17">
        <f>IF($D36="","",_xlfn.LET(_xlpm.f,IFERROR(_xlfn.XLOOKUP($D36,nrCHnum,nrCHfirst),""),IF(OR(_xlpm.f="",_xlpm.f=0),"",_xlfn.LET(_xlpm.wkstart,_xlpm.f-WEEKDAY(_xlpm.f,2)+1+$E36*7,IFERROR(_xlfn.MINIFS(nrCDdate,nrCDdate,"&gt;="&amp;_xlpm.wkstart),"")))))</f>
        <v/>
      </c>
      <c r="H36" s="17">
        <f>IF($G36="","",_xlfn.LET(_xlpm.a,$G36,_xlpm.ws2,_xlpm.a-WEEKDAY(_xlpm.a,2)+1+$F36*7,_xlpm.d,_xlfn.MAXIFS(nrCDdate,nrCDdate,"&gt;="&amp;_xlpm.ws2,nrCDdate,"&lt;"&amp;(_xlpm.ws2+7)),IF(_xlpm.d=0,"",_xlpm.d)))</f>
        <v/>
      </c>
      <c r="I36" s="16" t="n"/>
      <c r="J36" s="16" t="n"/>
      <c r="K36" s="17">
        <f>IF($B36="","",IF($I36&lt;&gt;"",$I36,$G36))</f>
        <v/>
      </c>
      <c r="L36" s="17">
        <f>IF($B36="","",IF($J36&lt;&gt;"",$J36,$H36))</f>
        <v/>
      </c>
      <c r="M36" s="38"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4" t="n">
        <v>32</v>
      </c>
      <c r="C37" s="14" t="inlineStr">
        <is>
          <t>Crime Scene Investigation — A</t>
        </is>
      </c>
      <c r="D37" s="14" t="inlineStr">
        <is>
          <t>32</t>
        </is>
      </c>
      <c r="E37" s="14" t="n">
        <v>1</v>
      </c>
      <c r="F37" s="14" t="n">
        <v>2</v>
      </c>
      <c r="G37" s="17">
        <f>IF($D37="","",_xlfn.LET(_xlpm.f,IFERROR(_xlfn.XLOOKUP($D37,nrCHnum,nrCHfirst),""),IF(OR(_xlpm.f="",_xlpm.f=0),"",_xlfn.LET(_xlpm.wkstart,_xlpm.f-WEEKDAY(_xlpm.f,2)+1+$E37*7,IFERROR(_xlfn.MINIFS(nrCDdate,nrCDdate,"&gt;="&amp;_xlpm.wkstart),"")))))</f>
        <v/>
      </c>
      <c r="H37" s="17">
        <f>IF($G37="","",_xlfn.LET(_xlpm.a,$G37,_xlpm.ws2,_xlpm.a-WEEKDAY(_xlpm.a,2)+1+$F37*7,_xlpm.d,_xlfn.MAXIFS(nrCDdate,nrCDdate,"&gt;="&amp;_xlpm.ws2,nrCDdate,"&lt;"&amp;(_xlpm.ws2+7)),IF(_xlpm.d=0,"",_xlpm.d)))</f>
        <v/>
      </c>
      <c r="I37" s="16" t="n"/>
      <c r="J37" s="16" t="n"/>
      <c r="K37" s="17">
        <f>IF($B37="","",IF($I37&lt;&gt;"",$I37,$G37))</f>
        <v/>
      </c>
      <c r="L37" s="17">
        <f>IF($B37="","",IF($J37&lt;&gt;"",$J37,$H37))</f>
        <v/>
      </c>
      <c r="M37" s="38"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4" t="n">
        <v>33</v>
      </c>
      <c r="C38" s="14" t="inlineStr">
        <is>
          <t>Crime Scene Investigation — B</t>
        </is>
      </c>
      <c r="D38" s="14" t="inlineStr">
        <is>
          <t>32</t>
        </is>
      </c>
      <c r="E38" s="14" t="n">
        <v>2</v>
      </c>
      <c r="F38" s="14" t="n">
        <v>1</v>
      </c>
      <c r="G38" s="17">
        <f>IF($D38="","",_xlfn.LET(_xlpm.f,IFERROR(_xlfn.XLOOKUP($D38,nrCHnum,nrCHfirst),""),IF(OR(_xlpm.f="",_xlpm.f=0),"",_xlfn.LET(_xlpm.wkstart,_xlpm.f-WEEKDAY(_xlpm.f,2)+1+$E38*7,IFERROR(_xlfn.MINIFS(nrCDdate,nrCDdate,"&gt;="&amp;_xlpm.wkstart),"")))))</f>
        <v/>
      </c>
      <c r="H38" s="17">
        <f>IF($G38="","",_xlfn.LET(_xlpm.a,$G38,_xlpm.ws2,_xlpm.a-WEEKDAY(_xlpm.a,2)+1+$F38*7,_xlpm.d,_xlfn.MAXIFS(nrCDdate,nrCDdate,"&gt;="&amp;_xlpm.ws2,nrCDdate,"&lt;"&amp;(_xlpm.ws2+7)),IF(_xlpm.d=0,"",_xlpm.d)))</f>
        <v/>
      </c>
      <c r="I38" s="16" t="n"/>
      <c r="J38" s="16" t="n"/>
      <c r="K38" s="17">
        <f>IF($B38="","",IF($I38&lt;&gt;"",$I38,$G38))</f>
        <v/>
      </c>
      <c r="L38" s="17">
        <f>IF($B38="","",IF($J38&lt;&gt;"",$J38,$H38))</f>
        <v/>
      </c>
      <c r="M38" s="38" t="inlineStr">
        <is>
          <t>Complete a crime scene sketch/inventory.</t>
        </is>
      </c>
    </row>
    <row r="39" ht="42" customHeight="1">
      <c r="B39" s="14" t="n">
        <v>34</v>
      </c>
      <c r="C39" s="14" t="inlineStr">
        <is>
          <t>Professional Police Driving — A</t>
        </is>
      </c>
      <c r="D39" s="14" t="inlineStr">
        <is>
          <t>34</t>
        </is>
      </c>
      <c r="E39" s="14" t="n">
        <v>0</v>
      </c>
      <c r="F39" s="14" t="n">
        <v>3</v>
      </c>
      <c r="G39" s="17">
        <f>IF($D39="","",_xlfn.LET(_xlpm.f,IFERROR(_xlfn.XLOOKUP($D39,nrCHnum,nrCHfirst),""),IF(OR(_xlpm.f="",_xlpm.f=0),"",_xlfn.LET(_xlpm.wkstart,_xlpm.f-WEEKDAY(_xlpm.f,2)+1+$E39*7,IFERROR(_xlfn.MINIFS(nrCDdate,nrCDdate,"&gt;="&amp;_xlpm.wkstart),"")))))</f>
        <v/>
      </c>
      <c r="H39" s="17">
        <f>IF($G39="","",_xlfn.LET(_xlpm.a,$G39,_xlpm.ws2,_xlpm.a-WEEKDAY(_xlpm.a,2)+1+$F39*7,_xlpm.d,_xlfn.MAXIFS(nrCDdate,nrCDdate,"&gt;="&amp;_xlpm.ws2,nrCDdate,"&lt;"&amp;(_xlpm.ws2+7)),IF(_xlpm.d=0,"",_xlpm.d)))</f>
        <v/>
      </c>
      <c r="I39" s="16" t="n"/>
      <c r="J39" s="16" t="n"/>
      <c r="K39" s="17">
        <f>IF($B39="","",IF($I39&lt;&gt;"",$I39,$G39))</f>
        <v/>
      </c>
      <c r="L39" s="17">
        <f>IF($B39="","",IF($J39&lt;&gt;"",$J39,$H39))</f>
        <v/>
      </c>
      <c r="M39" s="38"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4" t="n">
        <v>35</v>
      </c>
      <c r="C40" s="14" t="inlineStr">
        <is>
          <t>Professional Police Driving — B</t>
        </is>
      </c>
      <c r="D40" s="14" t="inlineStr">
        <is>
          <t>34</t>
        </is>
      </c>
      <c r="E40" s="14" t="n">
        <v>1</v>
      </c>
      <c r="F40" s="14" t="n">
        <v>2</v>
      </c>
      <c r="G40" s="17">
        <f>IF($D40="","",_xlfn.LET(_xlpm.f,IFERROR(_xlfn.XLOOKUP($D40,nrCHnum,nrCHfirst),""),IF(OR(_xlpm.f="",_xlpm.f=0),"",_xlfn.LET(_xlpm.wkstart,_xlpm.f-WEEKDAY(_xlpm.f,2)+1+$E40*7,IFERROR(_xlfn.MINIFS(nrCDdate,nrCDdate,"&gt;="&amp;_xlpm.wkstart),"")))))</f>
        <v/>
      </c>
      <c r="H40" s="17">
        <f>IF($G40="","",_xlfn.LET(_xlpm.a,$G40,_xlpm.ws2,_xlpm.a-WEEKDAY(_xlpm.a,2)+1+$F40*7,_xlpm.d,_xlfn.MAXIFS(nrCDdate,nrCDdate,"&gt;="&amp;_xlpm.ws2,nrCDdate,"&lt;"&amp;(_xlpm.ws2+7)),IF(_xlpm.d=0,"",_xlpm.d)))</f>
        <v/>
      </c>
      <c r="I40" s="16" t="n"/>
      <c r="J40" s="16" t="n"/>
      <c r="K40" s="17">
        <f>IF($B40="","",IF($I40&lt;&gt;"",$I40,$G40))</f>
        <v/>
      </c>
      <c r="L40" s="17">
        <f>IF($B40="","",IF($J40&lt;&gt;"",$J40,$H40))</f>
        <v/>
      </c>
      <c r="M40" s="38"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4" t="n">
        <v>36</v>
      </c>
      <c r="C41" s="14" t="inlineStr">
        <is>
          <t>Patrol Skills — A</t>
        </is>
      </c>
      <c r="D41" s="14" t="inlineStr">
        <is>
          <t>35</t>
        </is>
      </c>
      <c r="E41" s="14" t="n">
        <v>0</v>
      </c>
      <c r="F41" s="14" t="n">
        <v>2</v>
      </c>
      <c r="G41" s="17">
        <f>IF($D41="","",_xlfn.LET(_xlpm.f,IFERROR(_xlfn.XLOOKUP($D41,nrCHnum,nrCHfirst),""),IF(OR(_xlpm.f="",_xlpm.f=0),"",_xlfn.LET(_xlpm.wkstart,_xlpm.f-WEEKDAY(_xlpm.f,2)+1+$E41*7,IFERROR(_xlfn.MINIFS(nrCDdate,nrCDdate,"&gt;="&amp;_xlpm.wkstart),"")))))</f>
        <v/>
      </c>
      <c r="H41" s="17">
        <f>IF($G41="","",_xlfn.LET(_xlpm.a,$G41,_xlpm.ws2,_xlpm.a-WEEKDAY(_xlpm.a,2)+1+$F41*7,_xlpm.d,_xlfn.MAXIFS(nrCDdate,nrCDdate,"&gt;="&amp;_xlpm.ws2,nrCDdate,"&lt;"&amp;(_xlpm.ws2+7)),IF(_xlpm.d=0,"",_xlpm.d)))</f>
        <v/>
      </c>
      <c r="I41" s="16" t="n"/>
      <c r="J41" s="16" t="n"/>
      <c r="K41" s="17">
        <f>IF($B41="","",IF($I41&lt;&gt;"",$I41,$G41))</f>
        <v/>
      </c>
      <c r="L41" s="17">
        <f>IF($B41="","",IF($J41&lt;&gt;"",$J41,$H41))</f>
        <v/>
      </c>
      <c r="M41" s="38" t="inlineStr">
        <is>
          <t>Discuss the police style used by your agency, the patrol modes of your agency and patrol methods of your agency. Provide examples of how these items are used to provide effective police services.</t>
        </is>
      </c>
    </row>
    <row r="42" ht="42" customHeight="1">
      <c r="B42" s="14" t="n">
        <v>37</v>
      </c>
      <c r="C42" s="14" t="inlineStr">
        <is>
          <t>Patrol Skills — B</t>
        </is>
      </c>
      <c r="D42" s="14" t="inlineStr">
        <is>
          <t>35</t>
        </is>
      </c>
      <c r="E42" s="14" t="n">
        <v>1</v>
      </c>
      <c r="F42" s="14" t="n">
        <v>1</v>
      </c>
      <c r="G42" s="17">
        <f>IF($D42="","",_xlfn.LET(_xlpm.f,IFERROR(_xlfn.XLOOKUP($D42,nrCHnum,nrCHfirst),""),IF(OR(_xlpm.f="",_xlpm.f=0),"",_xlfn.LET(_xlpm.wkstart,_xlpm.f-WEEKDAY(_xlpm.f,2)+1+$E42*7,IFERROR(_xlfn.MINIFS(nrCDdate,nrCDdate,"&gt;="&amp;_xlpm.wkstart),"")))))</f>
        <v/>
      </c>
      <c r="H42" s="17">
        <f>IF($G42="","",_xlfn.LET(_xlpm.a,$G42,_xlpm.ws2,_xlpm.a-WEEKDAY(_xlpm.a,2)+1+$F42*7,_xlpm.d,_xlfn.MAXIFS(nrCDdate,nrCDdate,"&gt;="&amp;_xlpm.ws2,nrCDdate,"&lt;"&amp;(_xlpm.ws2+7)),IF(_xlpm.d=0,"",_xlpm.d)))</f>
        <v/>
      </c>
      <c r="I42" s="16" t="n"/>
      <c r="J42" s="16" t="n"/>
      <c r="K42" s="17">
        <f>IF($B42="","",IF($I42&lt;&gt;"",$I42,$G42))</f>
        <v/>
      </c>
      <c r="L42" s="17">
        <f>IF($B42="","",IF($J42&lt;&gt;"",$J42,$H42))</f>
        <v/>
      </c>
      <c r="M42" s="38" t="inlineStr">
        <is>
          <t>Complete a residential/business security survey.</t>
        </is>
      </c>
    </row>
    <row r="43" ht="42" customHeight="1">
      <c r="B43" s="14" t="n">
        <v>38</v>
      </c>
      <c r="C43" s="14" t="inlineStr">
        <is>
          <t>Radio Communications</t>
        </is>
      </c>
      <c r="D43" s="14" t="inlineStr">
        <is>
          <t>36</t>
        </is>
      </c>
      <c r="E43" s="14" t="n">
        <v>0</v>
      </c>
      <c r="F43" s="14" t="n">
        <v>1</v>
      </c>
      <c r="G43" s="17">
        <f>IF($D43="","",_xlfn.LET(_xlpm.f,IFERROR(_xlfn.XLOOKUP($D43,nrCHnum,nrCHfirst),""),IF(OR(_xlpm.f="",_xlpm.f=0),"",_xlfn.LET(_xlpm.wkstart,_xlpm.f-WEEKDAY(_xlpm.f,2)+1+$E43*7,IFERROR(_xlfn.MINIFS(nrCDdate,nrCDdate,"&gt;="&amp;_xlpm.wkstart),"")))))</f>
        <v/>
      </c>
      <c r="H43" s="17">
        <f>IF($G43="","",_xlfn.LET(_xlpm.a,$G43,_xlpm.ws2,_xlpm.a-WEEKDAY(_xlpm.a,2)+1+$F43*7,_xlpm.d,_xlfn.MAXIFS(nrCDdate,nrCDdate,"&gt;="&amp;_xlpm.ws2,nrCDdate,"&lt;"&amp;(_xlpm.ws2+7)),IF(_xlpm.d=0,"",_xlpm.d)))</f>
        <v/>
      </c>
      <c r="I43" s="16" t="n"/>
      <c r="J43" s="16" t="n"/>
      <c r="K43" s="17">
        <f>IF($B43="","",IF($I43&lt;&gt;"",$I43,$G43))</f>
        <v/>
      </c>
      <c r="L43" s="17">
        <f>IF($B43="","",IF($J43&lt;&gt;"",$J43,$H43))</f>
        <v/>
      </c>
      <c r="M43" s="38" t="inlineStr">
        <is>
          <t>Complete an Amber Alert request form or a Silver Alert request form.</t>
        </is>
      </c>
    </row>
    <row r="44" ht="42" customHeight="1">
      <c r="B44" s="14" t="n">
        <v>39</v>
      </c>
      <c r="C44" s="14" t="inlineStr">
        <is>
          <t>Emergency Medical Assistance</t>
        </is>
      </c>
      <c r="D44" s="14" t="inlineStr">
        <is>
          <t>40</t>
        </is>
      </c>
      <c r="E44" s="14" t="n">
        <v>0</v>
      </c>
      <c r="F44" s="14" t="n">
        <v>3</v>
      </c>
      <c r="G44" s="17">
        <f>IF($D44="","",_xlfn.LET(_xlpm.f,IFERROR(_xlfn.XLOOKUP($D44,nrCHnum,nrCHfirst),""),IF(OR(_xlpm.f="",_xlpm.f=0),"",_xlfn.LET(_xlpm.wkstart,_xlpm.f-WEEKDAY(_xlpm.f,2)+1+$E44*7,IFERROR(_xlfn.MINIFS(nrCDdate,nrCDdate,"&gt;="&amp;_xlpm.wkstart),"")))))</f>
        <v/>
      </c>
      <c r="H44" s="17">
        <f>IF($G44="","",_xlfn.LET(_xlpm.a,$G44,_xlpm.ws2,_xlpm.a-WEEKDAY(_xlpm.a,2)+1+$F44*7,_xlpm.d,_xlfn.MAXIFS(nrCDdate,nrCDdate,"&gt;="&amp;_xlpm.ws2,nrCDdate,"&lt;"&amp;(_xlpm.ws2+7)),IF(_xlpm.d=0,"",_xlpm.d)))</f>
        <v/>
      </c>
      <c r="I44" s="16" t="n"/>
      <c r="J44" s="16" t="n"/>
      <c r="K44" s="17">
        <f>IF($B44="","",IF($I44&lt;&gt;"",$I44,$G44))</f>
        <v/>
      </c>
      <c r="L44" s="17">
        <f>IF($B44="","",IF($J44&lt;&gt;"",$J44,$H44))</f>
        <v/>
      </c>
      <c r="M44" s="38" t="inlineStr">
        <is>
          <t>Complete an emergency action plan that could be employed during the firearms training.</t>
        </is>
      </c>
    </row>
    <row r="45" ht="42" customHeight="1">
      <c r="B45" s="14" t="n">
        <v>40</v>
      </c>
      <c r="C45" s="14" t="inlineStr">
        <is>
          <t>Firearms</t>
        </is>
      </c>
      <c r="D45" s="14" t="inlineStr">
        <is>
          <t>41</t>
        </is>
      </c>
      <c r="E45" s="14" t="n">
        <v>0</v>
      </c>
      <c r="F45" s="14" t="n">
        <v>3</v>
      </c>
      <c r="G45" s="17">
        <f>IF($D45="","",_xlfn.LET(_xlpm.f,IFERROR(_xlfn.XLOOKUP($D45,nrCHnum,nrCHfirst),""),IF(OR(_xlpm.f="",_xlpm.f=0),"",_xlfn.LET(_xlpm.wkstart,_xlpm.f-WEEKDAY(_xlpm.f,2)+1+$E45*7,IFERROR(_xlfn.MINIFS(nrCDdate,nrCDdate,"&gt;="&amp;_xlpm.wkstart),"")))))</f>
        <v/>
      </c>
      <c r="H45" s="17">
        <f>IF($G45="","",_xlfn.LET(_xlpm.a,$G45,_xlpm.ws2,_xlpm.a-WEEKDAY(_xlpm.a,2)+1+$F45*7,_xlpm.d,_xlfn.MAXIFS(nrCDdate,nrCDdate,"&gt;="&amp;_xlpm.ws2,nrCDdate,"&lt;"&amp;(_xlpm.ws2+7)),IF(_xlpm.d=0,"",_xlpm.d)))</f>
        <v/>
      </c>
      <c r="I45" s="16" t="n"/>
      <c r="J45" s="16" t="n"/>
      <c r="K45" s="17">
        <f>IF($B45="","",IF($I45&lt;&gt;"",$I45,$G45))</f>
        <v/>
      </c>
      <c r="L45" s="17">
        <f>IF($B45="","",IF($J45&lt;&gt;"",$J45,$H45))</f>
        <v/>
      </c>
      <c r="M45" s="38"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10" t="inlineStr">
        <is>
          <t>Requirements:</t>
        </is>
      </c>
      <c r="C47" s="13"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row r="2"/>
    <row r="3"/>
    <row r="4">
      <c r="B4" s="8" t="inlineStr">
        <is>
          <t>Class days = Mon-Fri from Start Date, skipping observed holidays and any Extra Closure Dates you add. Retest deadlines, writing dates and sign-in sheets all key off this calendar.</t>
        </is>
      </c>
    </row>
    <row r="5" ht="26" customHeight="1">
      <c r="B5" s="9" t="inlineStr">
        <is>
          <t>Holiday</t>
        </is>
      </c>
      <c r="C5" s="9" t="inlineStr">
        <is>
          <t>Observed (Yr 1)</t>
        </is>
      </c>
      <c r="D5" s="9" t="inlineStr">
        <is>
          <t>Observed (Yr 2)</t>
        </is>
      </c>
      <c r="E5" s="9" t="n"/>
      <c r="F5" s="9" t="inlineStr">
        <is>
          <t>Extra Closure Dates</t>
        </is>
      </c>
      <c r="G5" s="9" t="n"/>
      <c r="H5" s="9" t="inlineStr">
        <is>
          <t>Day #</t>
        </is>
      </c>
      <c r="I5" s="9" t="inlineStr">
        <is>
          <t>Class Date</t>
        </is>
      </c>
      <c r="J5" s="9" t="inlineStr">
        <is>
          <t>Week #</t>
        </is>
      </c>
      <c r="K5" s="9" t="inlineStr">
        <is>
          <t>In Session?</t>
        </is>
      </c>
      <c r="M5" s="2" t="inlineStr">
        <is>
          <t>AllClosures</t>
        </is>
      </c>
    </row>
    <row r="6">
      <c r="B6" s="10" t="inlineStr">
        <is>
          <t>New Year's Day</t>
        </is>
      </c>
      <c r="C6" s="17">
        <f>IF(WEEKDAY(DATE(YEAR(cfgStartDate),1,1),2)=6,DATE(YEAR(cfgStartDate),1,1)-1,IF(WEEKDAY(DATE(YEAR(cfgStartDate),1,1),2)=7,DATE(YEAR(cfgStartDate),1,1)+1,DATE(YEAR(cfgStartDate),1,1)))</f>
        <v/>
      </c>
      <c r="D6" s="17">
        <f>IF(WEEKDAY(DATE(YEAR(cfgStartDate)+1,1,1),2)=6,DATE(YEAR(cfgStartDate)+1,1,1)-1,IF(WEEKDAY(DATE(YEAR(cfgStartDate)+1,1,1),2)=7,DATE(YEAR(cfgStartDate)+1,1,1)+1,DATE(YEAR(cfgStartDate)+1,1,1)))</f>
        <v/>
      </c>
      <c r="F6" s="16" t="n"/>
      <c r="H6" s="15" t="n">
        <v>1</v>
      </c>
      <c r="I6" s="17">
        <f>IF($H6="","",_xlfn.WORKDAY.INTL(cfgStartDate-1,$H6,"0000011",nrAllClosures))</f>
        <v/>
      </c>
      <c r="J6" s="15">
        <f>IF($H6="","",INT(($I6-(cfgStartDate-WEEKDAY(cfgStartDate,2)+1))/7)+1)</f>
        <v/>
      </c>
      <c r="K6" s="15">
        <f>IF($H6="","",IF($I6&lt;=cfgEndDate,"Yes","No"))</f>
        <v/>
      </c>
      <c r="M6" s="39">
        <f>C6</f>
        <v/>
      </c>
    </row>
    <row r="7">
      <c r="B7" s="10" t="inlineStr">
        <is>
          <t>Martin Luther King Jr. Day</t>
        </is>
      </c>
      <c r="C7" s="17">
        <f>DATE(YEAR(cfgStartDate),1,1)+MOD(8-WEEKDAY(DATE(YEAR(cfgStartDate),1,1),2),7)+14</f>
        <v/>
      </c>
      <c r="D7" s="17">
        <f>DATE(YEAR(cfgStartDate)+1,1,1)+MOD(8-WEEKDAY(DATE(YEAR(cfgStartDate)+1,1,1),2),7)+14</f>
        <v/>
      </c>
      <c r="F7" s="16" t="n"/>
      <c r="H7" s="15" t="n">
        <v>2</v>
      </c>
      <c r="I7" s="17">
        <f>IF($H7="","",_xlfn.WORKDAY.INTL(cfgStartDate-1,$H7,"0000011",nrAllClosures))</f>
        <v/>
      </c>
      <c r="J7" s="15">
        <f>IF($H7="","",INT(($I7-(cfgStartDate-WEEKDAY(cfgStartDate,2)+1))/7)+1)</f>
        <v/>
      </c>
      <c r="K7" s="15">
        <f>IF($H7="","",IF($I7&lt;=cfgEndDate,"Yes","No"))</f>
        <v/>
      </c>
      <c r="M7" s="39">
        <f>C7</f>
        <v/>
      </c>
    </row>
    <row r="8">
      <c r="B8" s="10" t="inlineStr">
        <is>
          <t>Good Friday</t>
        </is>
      </c>
      <c r="C8" s="17">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7">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6" t="n"/>
      <c r="H8" s="15" t="n">
        <v>3</v>
      </c>
      <c r="I8" s="17">
        <f>IF($H8="","",_xlfn.WORKDAY.INTL(cfgStartDate-1,$H8,"0000011",nrAllClosures))</f>
        <v/>
      </c>
      <c r="J8" s="15">
        <f>IF($H8="","",INT(($I8-(cfgStartDate-WEEKDAY(cfgStartDate,2)+1))/7)+1)</f>
        <v/>
      </c>
      <c r="K8" s="15">
        <f>IF($H8="","",IF($I8&lt;=cfgEndDate,"Yes","No"))</f>
        <v/>
      </c>
      <c r="M8" s="39">
        <f>C8</f>
        <v/>
      </c>
    </row>
    <row r="9">
      <c r="B9" s="10" t="inlineStr">
        <is>
          <t>Memorial Day</t>
        </is>
      </c>
      <c r="C9" s="17">
        <f>DATE(YEAR(cfgStartDate),6,0)-MOD(WEEKDAY(DATE(YEAR(cfgStartDate),6,0),2)-1,7)</f>
        <v/>
      </c>
      <c r="D9" s="17">
        <f>DATE(YEAR(cfgStartDate)+1,6,0)-MOD(WEEKDAY(DATE(YEAR(cfgStartDate)+1,6,0),2)-1,7)</f>
        <v/>
      </c>
      <c r="F9" s="16" t="n"/>
      <c r="H9" s="15" t="n">
        <v>4</v>
      </c>
      <c r="I9" s="17">
        <f>IF($H9="","",_xlfn.WORKDAY.INTL(cfgStartDate-1,$H9,"0000011",nrAllClosures))</f>
        <v/>
      </c>
      <c r="J9" s="15">
        <f>IF($H9="","",INT(($I9-(cfgStartDate-WEEKDAY(cfgStartDate,2)+1))/7)+1)</f>
        <v/>
      </c>
      <c r="K9" s="15">
        <f>IF($H9="","",IF($I9&lt;=cfgEndDate,"Yes","No"))</f>
        <v/>
      </c>
      <c r="M9" s="39">
        <f>C9</f>
        <v/>
      </c>
    </row>
    <row r="10">
      <c r="B10" s="10" t="inlineStr">
        <is>
          <t>Juneteenth</t>
        </is>
      </c>
      <c r="C10" s="17">
        <f>IF(WEEKDAY(DATE(YEAR(cfgStartDate),6,19),2)=6,DATE(YEAR(cfgStartDate),6,19)-1,IF(WEEKDAY(DATE(YEAR(cfgStartDate),6,19),2)=7,DATE(YEAR(cfgStartDate),6,19)+1,DATE(YEAR(cfgStartDate),6,19)))</f>
        <v/>
      </c>
      <c r="D10" s="17">
        <f>IF(WEEKDAY(DATE(YEAR(cfgStartDate)+1,6,19),2)=6,DATE(YEAR(cfgStartDate)+1,6,19)-1,IF(WEEKDAY(DATE(YEAR(cfgStartDate)+1,6,19),2)=7,DATE(YEAR(cfgStartDate)+1,6,19)+1,DATE(YEAR(cfgStartDate)+1,6,19)))</f>
        <v/>
      </c>
      <c r="F10" s="16" t="n"/>
      <c r="H10" s="15" t="n">
        <v>5</v>
      </c>
      <c r="I10" s="17">
        <f>IF($H10="","",_xlfn.WORKDAY.INTL(cfgStartDate-1,$H10,"0000011",nrAllClosures))</f>
        <v/>
      </c>
      <c r="J10" s="15">
        <f>IF($H10="","",INT(($I10-(cfgStartDate-WEEKDAY(cfgStartDate,2)+1))/7)+1)</f>
        <v/>
      </c>
      <c r="K10" s="15">
        <f>IF($H10="","",IF($I10&lt;=cfgEndDate,"Yes","No"))</f>
        <v/>
      </c>
      <c r="M10" s="39">
        <f>C10</f>
        <v/>
      </c>
    </row>
    <row r="11">
      <c r="B11" s="10" t="inlineStr">
        <is>
          <t>Independence Day</t>
        </is>
      </c>
      <c r="C11" s="17">
        <f>IF(WEEKDAY(DATE(YEAR(cfgStartDate),7,4),2)=6,DATE(YEAR(cfgStartDate),7,4)-1,IF(WEEKDAY(DATE(YEAR(cfgStartDate),7,4),2)=7,DATE(YEAR(cfgStartDate),7,4)+1,DATE(YEAR(cfgStartDate),7,4)))</f>
        <v/>
      </c>
      <c r="D11" s="17">
        <f>IF(WEEKDAY(DATE(YEAR(cfgStartDate)+1,7,4),2)=6,DATE(YEAR(cfgStartDate)+1,7,4)-1,IF(WEEKDAY(DATE(YEAR(cfgStartDate)+1,7,4),2)=7,DATE(YEAR(cfgStartDate)+1,7,4)+1,DATE(YEAR(cfgStartDate)+1,7,4)))</f>
        <v/>
      </c>
      <c r="F11" s="16" t="n"/>
      <c r="H11" s="15" t="n">
        <v>6</v>
      </c>
      <c r="I11" s="17">
        <f>IF($H11="","",_xlfn.WORKDAY.INTL(cfgStartDate-1,$H11,"0000011",nrAllClosures))</f>
        <v/>
      </c>
      <c r="J11" s="15">
        <f>IF($H11="","",INT(($I11-(cfgStartDate-WEEKDAY(cfgStartDate,2)+1))/7)+1)</f>
        <v/>
      </c>
      <c r="K11" s="15">
        <f>IF($H11="","",IF($I11&lt;=cfgEndDate,"Yes","No"))</f>
        <v/>
      </c>
      <c r="M11" s="39">
        <f>C11</f>
        <v/>
      </c>
    </row>
    <row r="12">
      <c r="B12" s="10" t="inlineStr">
        <is>
          <t>Labor Day</t>
        </is>
      </c>
      <c r="C12" s="17">
        <f>DATE(YEAR(cfgStartDate),9,1)+MOD(8-WEEKDAY(DATE(YEAR(cfgStartDate),9,1),2),7)</f>
        <v/>
      </c>
      <c r="D12" s="17">
        <f>DATE(YEAR(cfgStartDate)+1,9,1)+MOD(8-WEEKDAY(DATE(YEAR(cfgStartDate)+1,9,1),2),7)</f>
        <v/>
      </c>
      <c r="F12" s="16" t="n"/>
      <c r="H12" s="15" t="n">
        <v>7</v>
      </c>
      <c r="I12" s="17">
        <f>IF($H12="","",_xlfn.WORKDAY.INTL(cfgStartDate-1,$H12,"0000011",nrAllClosures))</f>
        <v/>
      </c>
      <c r="J12" s="15">
        <f>IF($H12="","",INT(($I12-(cfgStartDate-WEEKDAY(cfgStartDate,2)+1))/7)+1)</f>
        <v/>
      </c>
      <c r="K12" s="15">
        <f>IF($H12="","",IF($I12&lt;=cfgEndDate,"Yes","No"))</f>
        <v/>
      </c>
      <c r="M12" s="39">
        <f>C12</f>
        <v/>
      </c>
    </row>
    <row r="13">
      <c r="B13" s="10" t="inlineStr">
        <is>
          <t>Thanksgiving</t>
        </is>
      </c>
      <c r="C13" s="17">
        <f>DATE(YEAR(cfgStartDate),11,1)+MOD(11-WEEKDAY(DATE(YEAR(cfgStartDate),11,1),2),7)+21</f>
        <v/>
      </c>
      <c r="D13" s="17">
        <f>DATE(YEAR(cfgStartDate)+1,11,1)+MOD(11-WEEKDAY(DATE(YEAR(cfgStartDate)+1,11,1),2),7)+21</f>
        <v/>
      </c>
      <c r="F13" s="16" t="n"/>
      <c r="H13" s="15" t="n">
        <v>8</v>
      </c>
      <c r="I13" s="17">
        <f>IF($H13="","",_xlfn.WORKDAY.INTL(cfgStartDate-1,$H13,"0000011",nrAllClosures))</f>
        <v/>
      </c>
      <c r="J13" s="15">
        <f>IF($H13="","",INT(($I13-(cfgStartDate-WEEKDAY(cfgStartDate,2)+1))/7)+1)</f>
        <v/>
      </c>
      <c r="K13" s="15">
        <f>IF($H13="","",IF($I13&lt;=cfgEndDate,"Yes","No"))</f>
        <v/>
      </c>
      <c r="M13" s="39">
        <f>C13</f>
        <v/>
      </c>
    </row>
    <row r="14">
      <c r="B14" s="10" t="inlineStr">
        <is>
          <t>Black Friday</t>
        </is>
      </c>
      <c r="C14" s="17">
        <f>DATE(YEAR(cfgStartDate),11,1)+MOD(11-WEEKDAY(DATE(YEAR(cfgStartDate),11,1),2),7)+22</f>
        <v/>
      </c>
      <c r="D14" s="17">
        <f>DATE(YEAR(cfgStartDate)+1,11,1)+MOD(11-WEEKDAY(DATE(YEAR(cfgStartDate)+1,11,1),2),7)+22</f>
        <v/>
      </c>
      <c r="F14" s="16" t="n"/>
      <c r="H14" s="15" t="n">
        <v>9</v>
      </c>
      <c r="I14" s="17">
        <f>IF($H14="","",_xlfn.WORKDAY.INTL(cfgStartDate-1,$H14,"0000011",nrAllClosures))</f>
        <v/>
      </c>
      <c r="J14" s="15">
        <f>IF($H14="","",INT(($I14-(cfgStartDate-WEEKDAY(cfgStartDate,2)+1))/7)+1)</f>
        <v/>
      </c>
      <c r="K14" s="15">
        <f>IF($H14="","",IF($I14&lt;=cfgEndDate,"Yes","No"))</f>
        <v/>
      </c>
      <c r="M14" s="39">
        <f>C14</f>
        <v/>
      </c>
    </row>
    <row r="15">
      <c r="B15" s="10" t="inlineStr">
        <is>
          <t>Christmas Eve</t>
        </is>
      </c>
      <c r="C15" s="17">
        <f>IF(WEEKDAY(DATE(YEAR(cfgStartDate),12,24),2)=6,DATE(YEAR(cfgStartDate),12,24)-1,IF(WEEKDAY(DATE(YEAR(cfgStartDate),12,24),2)=7,DATE(YEAR(cfgStartDate),12,24)+1,DATE(YEAR(cfgStartDate),12,24)))</f>
        <v/>
      </c>
      <c r="D15" s="17">
        <f>IF(WEEKDAY(DATE(YEAR(cfgStartDate)+1,12,24),2)=6,DATE(YEAR(cfgStartDate)+1,12,24)-1,IF(WEEKDAY(DATE(YEAR(cfgStartDate)+1,12,24),2)=7,DATE(YEAR(cfgStartDate)+1,12,24)+1,DATE(YEAR(cfgStartDate)+1,12,24)))</f>
        <v/>
      </c>
      <c r="F15" s="16" t="n"/>
      <c r="H15" s="15" t="n">
        <v>10</v>
      </c>
      <c r="I15" s="17">
        <f>IF($H15="","",_xlfn.WORKDAY.INTL(cfgStartDate-1,$H15,"0000011",nrAllClosures))</f>
        <v/>
      </c>
      <c r="J15" s="15">
        <f>IF($H15="","",INT(($I15-(cfgStartDate-WEEKDAY(cfgStartDate,2)+1))/7)+1)</f>
        <v/>
      </c>
      <c r="K15" s="15">
        <f>IF($H15="","",IF($I15&lt;=cfgEndDate,"Yes","No"))</f>
        <v/>
      </c>
      <c r="M15" s="39">
        <f>C15</f>
        <v/>
      </c>
    </row>
    <row r="16">
      <c r="B16" s="10" t="inlineStr">
        <is>
          <t>Christmas Day</t>
        </is>
      </c>
      <c r="C16" s="17">
        <f>IF(WEEKDAY(DATE(YEAR(cfgStartDate),12,25),2)=6,DATE(YEAR(cfgStartDate),12,25)-1,IF(WEEKDAY(DATE(YEAR(cfgStartDate),12,25),2)=7,DATE(YEAR(cfgStartDate),12,25)+1,DATE(YEAR(cfgStartDate),12,25)))</f>
        <v/>
      </c>
      <c r="D16" s="17">
        <f>IF(WEEKDAY(DATE(YEAR(cfgStartDate)+1,12,25),2)=6,DATE(YEAR(cfgStartDate)+1,12,25)-1,IF(WEEKDAY(DATE(YEAR(cfgStartDate)+1,12,25),2)=7,DATE(YEAR(cfgStartDate)+1,12,25)+1,DATE(YEAR(cfgStartDate)+1,12,25)))</f>
        <v/>
      </c>
      <c r="F16" s="16" t="n"/>
      <c r="H16" s="15" t="n">
        <v>11</v>
      </c>
      <c r="I16" s="17">
        <f>IF($H16="","",_xlfn.WORKDAY.INTL(cfgStartDate-1,$H16,"0000011",nrAllClosures))</f>
        <v/>
      </c>
      <c r="J16" s="15">
        <f>IF($H16="","",INT(($I16-(cfgStartDate-WEEKDAY(cfgStartDate,2)+1))/7)+1)</f>
        <v/>
      </c>
      <c r="K16" s="15">
        <f>IF($H16="","",IF($I16&lt;=cfgEndDate,"Yes","No"))</f>
        <v/>
      </c>
      <c r="M16" s="39">
        <f>C16</f>
        <v/>
      </c>
    </row>
    <row r="17">
      <c r="F17" s="16" t="n"/>
      <c r="H17" s="15" t="n">
        <v>12</v>
      </c>
      <c r="I17" s="17">
        <f>IF($H17="","",_xlfn.WORKDAY.INTL(cfgStartDate-1,$H17,"0000011",nrAllClosures))</f>
        <v/>
      </c>
      <c r="J17" s="15">
        <f>IF($H17="","",INT(($I17-(cfgStartDate-WEEKDAY(cfgStartDate,2)+1))/7)+1)</f>
        <v/>
      </c>
      <c r="K17" s="15">
        <f>IF($H17="","",IF($I17&lt;=cfgEndDate,"Yes","No"))</f>
        <v/>
      </c>
      <c r="M17" s="39">
        <f>D6</f>
        <v/>
      </c>
    </row>
    <row r="18">
      <c r="F18" s="16" t="n"/>
      <c r="H18" s="15" t="n">
        <v>13</v>
      </c>
      <c r="I18" s="17">
        <f>IF($H18="","",_xlfn.WORKDAY.INTL(cfgStartDate-1,$H18,"0000011",nrAllClosures))</f>
        <v/>
      </c>
      <c r="J18" s="15">
        <f>IF($H18="","",INT(($I18-(cfgStartDate-WEEKDAY(cfgStartDate,2)+1))/7)+1)</f>
        <v/>
      </c>
      <c r="K18" s="15">
        <f>IF($H18="","",IF($I18&lt;=cfgEndDate,"Yes","No"))</f>
        <v/>
      </c>
      <c r="M18" s="39">
        <f>D7</f>
        <v/>
      </c>
    </row>
    <row r="19">
      <c r="F19" s="16" t="n"/>
      <c r="H19" s="15" t="n">
        <v>14</v>
      </c>
      <c r="I19" s="17">
        <f>IF($H19="","",_xlfn.WORKDAY.INTL(cfgStartDate-1,$H19,"0000011",nrAllClosures))</f>
        <v/>
      </c>
      <c r="J19" s="15">
        <f>IF($H19="","",INT(($I19-(cfgStartDate-WEEKDAY(cfgStartDate,2)+1))/7)+1)</f>
        <v/>
      </c>
      <c r="K19" s="15">
        <f>IF($H19="","",IF($I19&lt;=cfgEndDate,"Yes","No"))</f>
        <v/>
      </c>
      <c r="M19" s="39">
        <f>D8</f>
        <v/>
      </c>
    </row>
    <row r="20">
      <c r="F20" s="16" t="n"/>
      <c r="H20" s="15" t="n">
        <v>15</v>
      </c>
      <c r="I20" s="17">
        <f>IF($H20="","",_xlfn.WORKDAY.INTL(cfgStartDate-1,$H20,"0000011",nrAllClosures))</f>
        <v/>
      </c>
      <c r="J20" s="15">
        <f>IF($H20="","",INT(($I20-(cfgStartDate-WEEKDAY(cfgStartDate,2)+1))/7)+1)</f>
        <v/>
      </c>
      <c r="K20" s="15">
        <f>IF($H20="","",IF($I20&lt;=cfgEndDate,"Yes","No"))</f>
        <v/>
      </c>
      <c r="M20" s="39">
        <f>D9</f>
        <v/>
      </c>
    </row>
    <row r="21">
      <c r="H21" s="15" t="n">
        <v>16</v>
      </c>
      <c r="I21" s="17">
        <f>IF($H21="","",_xlfn.WORKDAY.INTL(cfgStartDate-1,$H21,"0000011",nrAllClosures))</f>
        <v/>
      </c>
      <c r="J21" s="15">
        <f>IF($H21="","",INT(($I21-(cfgStartDate-WEEKDAY(cfgStartDate,2)+1))/7)+1)</f>
        <v/>
      </c>
      <c r="K21" s="15">
        <f>IF($H21="","",IF($I21&lt;=cfgEndDate,"Yes","No"))</f>
        <v/>
      </c>
      <c r="M21" s="39">
        <f>D10</f>
        <v/>
      </c>
    </row>
    <row r="22">
      <c r="H22" s="15" t="n">
        <v>17</v>
      </c>
      <c r="I22" s="17">
        <f>IF($H22="","",_xlfn.WORKDAY.INTL(cfgStartDate-1,$H22,"0000011",nrAllClosures))</f>
        <v/>
      </c>
      <c r="J22" s="15">
        <f>IF($H22="","",INT(($I22-(cfgStartDate-WEEKDAY(cfgStartDate,2)+1))/7)+1)</f>
        <v/>
      </c>
      <c r="K22" s="15">
        <f>IF($H22="","",IF($I22&lt;=cfgEndDate,"Yes","No"))</f>
        <v/>
      </c>
      <c r="M22" s="39">
        <f>D11</f>
        <v/>
      </c>
    </row>
    <row r="23">
      <c r="H23" s="15" t="n">
        <v>18</v>
      </c>
      <c r="I23" s="17">
        <f>IF($H23="","",_xlfn.WORKDAY.INTL(cfgStartDate-1,$H23,"0000011",nrAllClosures))</f>
        <v/>
      </c>
      <c r="J23" s="15">
        <f>IF($H23="","",INT(($I23-(cfgStartDate-WEEKDAY(cfgStartDate,2)+1))/7)+1)</f>
        <v/>
      </c>
      <c r="K23" s="15">
        <f>IF($H23="","",IF($I23&lt;=cfgEndDate,"Yes","No"))</f>
        <v/>
      </c>
      <c r="M23" s="39">
        <f>D12</f>
        <v/>
      </c>
    </row>
    <row r="24">
      <c r="H24" s="15" t="n">
        <v>19</v>
      </c>
      <c r="I24" s="17">
        <f>IF($H24="","",_xlfn.WORKDAY.INTL(cfgStartDate-1,$H24,"0000011",nrAllClosures))</f>
        <v/>
      </c>
      <c r="J24" s="15">
        <f>IF($H24="","",INT(($I24-(cfgStartDate-WEEKDAY(cfgStartDate,2)+1))/7)+1)</f>
        <v/>
      </c>
      <c r="K24" s="15">
        <f>IF($H24="","",IF($I24&lt;=cfgEndDate,"Yes","No"))</f>
        <v/>
      </c>
      <c r="M24" s="39">
        <f>D13</f>
        <v/>
      </c>
    </row>
    <row r="25">
      <c r="H25" s="15" t="n">
        <v>20</v>
      </c>
      <c r="I25" s="17">
        <f>IF($H25="","",_xlfn.WORKDAY.INTL(cfgStartDate-1,$H25,"0000011",nrAllClosures))</f>
        <v/>
      </c>
      <c r="J25" s="15">
        <f>IF($H25="","",INT(($I25-(cfgStartDate-WEEKDAY(cfgStartDate,2)+1))/7)+1)</f>
        <v/>
      </c>
      <c r="K25" s="15">
        <f>IF($H25="","",IF($I25&lt;=cfgEndDate,"Yes","No"))</f>
        <v/>
      </c>
      <c r="M25" s="39">
        <f>D14</f>
        <v/>
      </c>
    </row>
    <row r="26">
      <c r="H26" s="15" t="n">
        <v>21</v>
      </c>
      <c r="I26" s="17">
        <f>IF($H26="","",_xlfn.WORKDAY.INTL(cfgStartDate-1,$H26,"0000011",nrAllClosures))</f>
        <v/>
      </c>
      <c r="J26" s="15">
        <f>IF($H26="","",INT(($I26-(cfgStartDate-WEEKDAY(cfgStartDate,2)+1))/7)+1)</f>
        <v/>
      </c>
      <c r="K26" s="15">
        <f>IF($H26="","",IF($I26&lt;=cfgEndDate,"Yes","No"))</f>
        <v/>
      </c>
      <c r="M26" s="39">
        <f>D15</f>
        <v/>
      </c>
    </row>
    <row r="27">
      <c r="H27" s="15" t="n">
        <v>22</v>
      </c>
      <c r="I27" s="17">
        <f>IF($H27="","",_xlfn.WORKDAY.INTL(cfgStartDate-1,$H27,"0000011",nrAllClosures))</f>
        <v/>
      </c>
      <c r="J27" s="15">
        <f>IF($H27="","",INT(($I27-(cfgStartDate-WEEKDAY(cfgStartDate,2)+1))/7)+1)</f>
        <v/>
      </c>
      <c r="K27" s="15">
        <f>IF($H27="","",IF($I27&lt;=cfgEndDate,"Yes","No"))</f>
        <v/>
      </c>
      <c r="M27" s="39">
        <f>D16</f>
        <v/>
      </c>
    </row>
    <row r="28">
      <c r="H28" s="15" t="n">
        <v>23</v>
      </c>
      <c r="I28" s="17">
        <f>IF($H28="","",_xlfn.WORKDAY.INTL(cfgStartDate-1,$H28,"0000011",nrAllClosures))</f>
        <v/>
      </c>
      <c r="J28" s="15">
        <f>IF($H28="","",INT(($I28-(cfgStartDate-WEEKDAY(cfgStartDate,2)+1))/7)+1)</f>
        <v/>
      </c>
      <c r="K28" s="15">
        <f>IF($H28="","",IF($I28&lt;=cfgEndDate,"Yes","No"))</f>
        <v/>
      </c>
      <c r="M28" s="39">
        <f>IF(F6="",DATE(1900,1,1),F6)</f>
        <v/>
      </c>
    </row>
    <row r="29">
      <c r="H29" s="15" t="n">
        <v>24</v>
      </c>
      <c r="I29" s="17">
        <f>IF($H29="","",_xlfn.WORKDAY.INTL(cfgStartDate-1,$H29,"0000011",nrAllClosures))</f>
        <v/>
      </c>
      <c r="J29" s="15">
        <f>IF($H29="","",INT(($I29-(cfgStartDate-WEEKDAY(cfgStartDate,2)+1))/7)+1)</f>
        <v/>
      </c>
      <c r="K29" s="15">
        <f>IF($H29="","",IF($I29&lt;=cfgEndDate,"Yes","No"))</f>
        <v/>
      </c>
      <c r="M29" s="39">
        <f>IF(F7="",DATE(1900,1,1),F7)</f>
        <v/>
      </c>
    </row>
    <row r="30">
      <c r="H30" s="15" t="n">
        <v>25</v>
      </c>
      <c r="I30" s="17">
        <f>IF($H30="","",_xlfn.WORKDAY.INTL(cfgStartDate-1,$H30,"0000011",nrAllClosures))</f>
        <v/>
      </c>
      <c r="J30" s="15">
        <f>IF($H30="","",INT(($I30-(cfgStartDate-WEEKDAY(cfgStartDate,2)+1))/7)+1)</f>
        <v/>
      </c>
      <c r="K30" s="15">
        <f>IF($H30="","",IF($I30&lt;=cfgEndDate,"Yes","No"))</f>
        <v/>
      </c>
      <c r="M30" s="39">
        <f>IF(F8="",DATE(1900,1,1),F8)</f>
        <v/>
      </c>
    </row>
    <row r="31">
      <c r="H31" s="15" t="n">
        <v>26</v>
      </c>
      <c r="I31" s="17">
        <f>IF($H31="","",_xlfn.WORKDAY.INTL(cfgStartDate-1,$H31,"0000011",nrAllClosures))</f>
        <v/>
      </c>
      <c r="J31" s="15">
        <f>IF($H31="","",INT(($I31-(cfgStartDate-WEEKDAY(cfgStartDate,2)+1))/7)+1)</f>
        <v/>
      </c>
      <c r="K31" s="15">
        <f>IF($H31="","",IF($I31&lt;=cfgEndDate,"Yes","No"))</f>
        <v/>
      </c>
      <c r="M31" s="39">
        <f>IF(F9="",DATE(1900,1,1),F9)</f>
        <v/>
      </c>
    </row>
    <row r="32">
      <c r="H32" s="15" t="n">
        <v>27</v>
      </c>
      <c r="I32" s="17">
        <f>IF($H32="","",_xlfn.WORKDAY.INTL(cfgStartDate-1,$H32,"0000011",nrAllClosures))</f>
        <v/>
      </c>
      <c r="J32" s="15">
        <f>IF($H32="","",INT(($I32-(cfgStartDate-WEEKDAY(cfgStartDate,2)+1))/7)+1)</f>
        <v/>
      </c>
      <c r="K32" s="15">
        <f>IF($H32="","",IF($I32&lt;=cfgEndDate,"Yes","No"))</f>
        <v/>
      </c>
      <c r="M32" s="39">
        <f>IF(F10="",DATE(1900,1,1),F10)</f>
        <v/>
      </c>
    </row>
    <row r="33">
      <c r="H33" s="15" t="n">
        <v>28</v>
      </c>
      <c r="I33" s="17">
        <f>IF($H33="","",_xlfn.WORKDAY.INTL(cfgStartDate-1,$H33,"0000011",nrAllClosures))</f>
        <v/>
      </c>
      <c r="J33" s="15">
        <f>IF($H33="","",INT(($I33-(cfgStartDate-WEEKDAY(cfgStartDate,2)+1))/7)+1)</f>
        <v/>
      </c>
      <c r="K33" s="15">
        <f>IF($H33="","",IF($I33&lt;=cfgEndDate,"Yes","No"))</f>
        <v/>
      </c>
      <c r="M33" s="39">
        <f>IF(F11="",DATE(1900,1,1),F11)</f>
        <v/>
      </c>
    </row>
    <row r="34">
      <c r="H34" s="15" t="n">
        <v>29</v>
      </c>
      <c r="I34" s="17">
        <f>IF($H34="","",_xlfn.WORKDAY.INTL(cfgStartDate-1,$H34,"0000011",nrAllClosures))</f>
        <v/>
      </c>
      <c r="J34" s="15">
        <f>IF($H34="","",INT(($I34-(cfgStartDate-WEEKDAY(cfgStartDate,2)+1))/7)+1)</f>
        <v/>
      </c>
      <c r="K34" s="15">
        <f>IF($H34="","",IF($I34&lt;=cfgEndDate,"Yes","No"))</f>
        <v/>
      </c>
      <c r="M34" s="39">
        <f>IF(F12="",DATE(1900,1,1),F12)</f>
        <v/>
      </c>
    </row>
    <row r="35">
      <c r="H35" s="15" t="n">
        <v>30</v>
      </c>
      <c r="I35" s="17">
        <f>IF($H35="","",_xlfn.WORKDAY.INTL(cfgStartDate-1,$H35,"0000011",nrAllClosures))</f>
        <v/>
      </c>
      <c r="J35" s="15">
        <f>IF($H35="","",INT(($I35-(cfgStartDate-WEEKDAY(cfgStartDate,2)+1))/7)+1)</f>
        <v/>
      </c>
      <c r="K35" s="15">
        <f>IF($H35="","",IF($I35&lt;=cfgEndDate,"Yes","No"))</f>
        <v/>
      </c>
      <c r="M35" s="39">
        <f>IF(F13="",DATE(1900,1,1),F13)</f>
        <v/>
      </c>
    </row>
    <row r="36">
      <c r="H36" s="15" t="n">
        <v>31</v>
      </c>
      <c r="I36" s="17">
        <f>IF($H36="","",_xlfn.WORKDAY.INTL(cfgStartDate-1,$H36,"0000011",nrAllClosures))</f>
        <v/>
      </c>
      <c r="J36" s="15">
        <f>IF($H36="","",INT(($I36-(cfgStartDate-WEEKDAY(cfgStartDate,2)+1))/7)+1)</f>
        <v/>
      </c>
      <c r="K36" s="15">
        <f>IF($H36="","",IF($I36&lt;=cfgEndDate,"Yes","No"))</f>
        <v/>
      </c>
      <c r="M36" s="39">
        <f>IF(F14="",DATE(1900,1,1),F14)</f>
        <v/>
      </c>
    </row>
    <row r="37">
      <c r="H37" s="15" t="n">
        <v>32</v>
      </c>
      <c r="I37" s="17">
        <f>IF($H37="","",_xlfn.WORKDAY.INTL(cfgStartDate-1,$H37,"0000011",nrAllClosures))</f>
        <v/>
      </c>
      <c r="J37" s="15">
        <f>IF($H37="","",INT(($I37-(cfgStartDate-WEEKDAY(cfgStartDate,2)+1))/7)+1)</f>
        <v/>
      </c>
      <c r="K37" s="15">
        <f>IF($H37="","",IF($I37&lt;=cfgEndDate,"Yes","No"))</f>
        <v/>
      </c>
      <c r="M37" s="39">
        <f>IF(F15="",DATE(1900,1,1),F15)</f>
        <v/>
      </c>
    </row>
    <row r="38">
      <c r="H38" s="15" t="n">
        <v>33</v>
      </c>
      <c r="I38" s="17">
        <f>IF($H38="","",_xlfn.WORKDAY.INTL(cfgStartDate-1,$H38,"0000011",nrAllClosures))</f>
        <v/>
      </c>
      <c r="J38" s="15">
        <f>IF($H38="","",INT(($I38-(cfgStartDate-WEEKDAY(cfgStartDate,2)+1))/7)+1)</f>
        <v/>
      </c>
      <c r="K38" s="15">
        <f>IF($H38="","",IF($I38&lt;=cfgEndDate,"Yes","No"))</f>
        <v/>
      </c>
      <c r="M38" s="39">
        <f>IF(F16="",DATE(1900,1,1),F16)</f>
        <v/>
      </c>
    </row>
    <row r="39">
      <c r="H39" s="15" t="n">
        <v>34</v>
      </c>
      <c r="I39" s="17">
        <f>IF($H39="","",_xlfn.WORKDAY.INTL(cfgStartDate-1,$H39,"0000011",nrAllClosures))</f>
        <v/>
      </c>
      <c r="J39" s="15">
        <f>IF($H39="","",INT(($I39-(cfgStartDate-WEEKDAY(cfgStartDate,2)+1))/7)+1)</f>
        <v/>
      </c>
      <c r="K39" s="15">
        <f>IF($H39="","",IF($I39&lt;=cfgEndDate,"Yes","No"))</f>
        <v/>
      </c>
      <c r="M39" s="39">
        <f>IF(F17="",DATE(1900,1,1),F17)</f>
        <v/>
      </c>
    </row>
    <row r="40">
      <c r="H40" s="15" t="n">
        <v>35</v>
      </c>
      <c r="I40" s="17">
        <f>IF($H40="","",_xlfn.WORKDAY.INTL(cfgStartDate-1,$H40,"0000011",nrAllClosures))</f>
        <v/>
      </c>
      <c r="J40" s="15">
        <f>IF($H40="","",INT(($I40-(cfgStartDate-WEEKDAY(cfgStartDate,2)+1))/7)+1)</f>
        <v/>
      </c>
      <c r="K40" s="15">
        <f>IF($H40="","",IF($I40&lt;=cfgEndDate,"Yes","No"))</f>
        <v/>
      </c>
      <c r="M40" s="39">
        <f>IF(F18="",DATE(1900,1,1),F18)</f>
        <v/>
      </c>
    </row>
    <row r="41">
      <c r="H41" s="15" t="n">
        <v>36</v>
      </c>
      <c r="I41" s="17">
        <f>IF($H41="","",_xlfn.WORKDAY.INTL(cfgStartDate-1,$H41,"0000011",nrAllClosures))</f>
        <v/>
      </c>
      <c r="J41" s="15">
        <f>IF($H41="","",INT(($I41-(cfgStartDate-WEEKDAY(cfgStartDate,2)+1))/7)+1)</f>
        <v/>
      </c>
      <c r="K41" s="15">
        <f>IF($H41="","",IF($I41&lt;=cfgEndDate,"Yes","No"))</f>
        <v/>
      </c>
      <c r="M41" s="39">
        <f>IF(F19="",DATE(1900,1,1),F19)</f>
        <v/>
      </c>
    </row>
    <row r="42">
      <c r="H42" s="15" t="n">
        <v>37</v>
      </c>
      <c r="I42" s="17">
        <f>IF($H42="","",_xlfn.WORKDAY.INTL(cfgStartDate-1,$H42,"0000011",nrAllClosures))</f>
        <v/>
      </c>
      <c r="J42" s="15">
        <f>IF($H42="","",INT(($I42-(cfgStartDate-WEEKDAY(cfgStartDate,2)+1))/7)+1)</f>
        <v/>
      </c>
      <c r="K42" s="15">
        <f>IF($H42="","",IF($I42&lt;=cfgEndDate,"Yes","No"))</f>
        <v/>
      </c>
      <c r="M42" s="39">
        <f>IF(F20="",DATE(1900,1,1),F20)</f>
        <v/>
      </c>
    </row>
    <row r="43">
      <c r="H43" s="15" t="n">
        <v>38</v>
      </c>
      <c r="I43" s="17">
        <f>IF($H43="","",_xlfn.WORKDAY.INTL(cfgStartDate-1,$H43,"0000011",nrAllClosures))</f>
        <v/>
      </c>
      <c r="J43" s="15">
        <f>IF($H43="","",INT(($I43-(cfgStartDate-WEEKDAY(cfgStartDate,2)+1))/7)+1)</f>
        <v/>
      </c>
      <c r="K43" s="15">
        <f>IF($H43="","",IF($I43&lt;=cfgEndDate,"Yes","No"))</f>
        <v/>
      </c>
    </row>
    <row r="44">
      <c r="H44" s="15" t="n">
        <v>39</v>
      </c>
      <c r="I44" s="17">
        <f>IF($H44="","",_xlfn.WORKDAY.INTL(cfgStartDate-1,$H44,"0000011",nrAllClosures))</f>
        <v/>
      </c>
      <c r="J44" s="15">
        <f>IF($H44="","",INT(($I44-(cfgStartDate-WEEKDAY(cfgStartDate,2)+1))/7)+1)</f>
        <v/>
      </c>
      <c r="K44" s="15">
        <f>IF($H44="","",IF($I44&lt;=cfgEndDate,"Yes","No"))</f>
        <v/>
      </c>
    </row>
    <row r="45">
      <c r="H45" s="15" t="n">
        <v>40</v>
      </c>
      <c r="I45" s="17">
        <f>IF($H45="","",_xlfn.WORKDAY.INTL(cfgStartDate-1,$H45,"0000011",nrAllClosures))</f>
        <v/>
      </c>
      <c r="J45" s="15">
        <f>IF($H45="","",INT(($I45-(cfgStartDate-WEEKDAY(cfgStartDate,2)+1))/7)+1)</f>
        <v/>
      </c>
      <c r="K45" s="15">
        <f>IF($H45="","",IF($I45&lt;=cfgEndDate,"Yes","No"))</f>
        <v/>
      </c>
    </row>
    <row r="46">
      <c r="H46" s="15" t="n">
        <v>41</v>
      </c>
      <c r="I46" s="17">
        <f>IF($H46="","",_xlfn.WORKDAY.INTL(cfgStartDate-1,$H46,"0000011",nrAllClosures))</f>
        <v/>
      </c>
      <c r="J46" s="15">
        <f>IF($H46="","",INT(($I46-(cfgStartDate-WEEKDAY(cfgStartDate,2)+1))/7)+1)</f>
        <v/>
      </c>
      <c r="K46" s="15">
        <f>IF($H46="","",IF($I46&lt;=cfgEndDate,"Yes","No"))</f>
        <v/>
      </c>
    </row>
    <row r="47">
      <c r="H47" s="15" t="n">
        <v>42</v>
      </c>
      <c r="I47" s="17">
        <f>IF($H47="","",_xlfn.WORKDAY.INTL(cfgStartDate-1,$H47,"0000011",nrAllClosures))</f>
        <v/>
      </c>
      <c r="J47" s="15">
        <f>IF($H47="","",INT(($I47-(cfgStartDate-WEEKDAY(cfgStartDate,2)+1))/7)+1)</f>
        <v/>
      </c>
      <c r="K47" s="15">
        <f>IF($H47="","",IF($I47&lt;=cfgEndDate,"Yes","No"))</f>
        <v/>
      </c>
    </row>
    <row r="48">
      <c r="H48" s="15" t="n">
        <v>43</v>
      </c>
      <c r="I48" s="17">
        <f>IF($H48="","",_xlfn.WORKDAY.INTL(cfgStartDate-1,$H48,"0000011",nrAllClosures))</f>
        <v/>
      </c>
      <c r="J48" s="15">
        <f>IF($H48="","",INT(($I48-(cfgStartDate-WEEKDAY(cfgStartDate,2)+1))/7)+1)</f>
        <v/>
      </c>
      <c r="K48" s="15">
        <f>IF($H48="","",IF($I48&lt;=cfgEndDate,"Yes","No"))</f>
        <v/>
      </c>
    </row>
    <row r="49">
      <c r="H49" s="15" t="n">
        <v>44</v>
      </c>
      <c r="I49" s="17">
        <f>IF($H49="","",_xlfn.WORKDAY.INTL(cfgStartDate-1,$H49,"0000011",nrAllClosures))</f>
        <v/>
      </c>
      <c r="J49" s="15">
        <f>IF($H49="","",INT(($I49-(cfgStartDate-WEEKDAY(cfgStartDate,2)+1))/7)+1)</f>
        <v/>
      </c>
      <c r="K49" s="15">
        <f>IF($H49="","",IF($I49&lt;=cfgEndDate,"Yes","No"))</f>
        <v/>
      </c>
    </row>
    <row r="50">
      <c r="H50" s="15" t="n">
        <v>45</v>
      </c>
      <c r="I50" s="17">
        <f>IF($H50="","",_xlfn.WORKDAY.INTL(cfgStartDate-1,$H50,"0000011",nrAllClosures))</f>
        <v/>
      </c>
      <c r="J50" s="15">
        <f>IF($H50="","",INT(($I50-(cfgStartDate-WEEKDAY(cfgStartDate,2)+1))/7)+1)</f>
        <v/>
      </c>
      <c r="K50" s="15">
        <f>IF($H50="","",IF($I50&lt;=cfgEndDate,"Yes","No"))</f>
        <v/>
      </c>
    </row>
    <row r="51">
      <c r="H51" s="15" t="n">
        <v>46</v>
      </c>
      <c r="I51" s="17">
        <f>IF($H51="","",_xlfn.WORKDAY.INTL(cfgStartDate-1,$H51,"0000011",nrAllClosures))</f>
        <v/>
      </c>
      <c r="J51" s="15">
        <f>IF($H51="","",INT(($I51-(cfgStartDate-WEEKDAY(cfgStartDate,2)+1))/7)+1)</f>
        <v/>
      </c>
      <c r="K51" s="15">
        <f>IF($H51="","",IF($I51&lt;=cfgEndDate,"Yes","No"))</f>
        <v/>
      </c>
    </row>
    <row r="52">
      <c r="H52" s="15" t="n">
        <v>47</v>
      </c>
      <c r="I52" s="17">
        <f>IF($H52="","",_xlfn.WORKDAY.INTL(cfgStartDate-1,$H52,"0000011",nrAllClosures))</f>
        <v/>
      </c>
      <c r="J52" s="15">
        <f>IF($H52="","",INT(($I52-(cfgStartDate-WEEKDAY(cfgStartDate,2)+1))/7)+1)</f>
        <v/>
      </c>
      <c r="K52" s="15">
        <f>IF($H52="","",IF($I52&lt;=cfgEndDate,"Yes","No"))</f>
        <v/>
      </c>
    </row>
    <row r="53">
      <c r="H53" s="15" t="n">
        <v>48</v>
      </c>
      <c r="I53" s="17">
        <f>IF($H53="","",_xlfn.WORKDAY.INTL(cfgStartDate-1,$H53,"0000011",nrAllClosures))</f>
        <v/>
      </c>
      <c r="J53" s="15">
        <f>IF($H53="","",INT(($I53-(cfgStartDate-WEEKDAY(cfgStartDate,2)+1))/7)+1)</f>
        <v/>
      </c>
      <c r="K53" s="15">
        <f>IF($H53="","",IF($I53&lt;=cfgEndDate,"Yes","No"))</f>
        <v/>
      </c>
    </row>
    <row r="54">
      <c r="H54" s="15" t="n">
        <v>49</v>
      </c>
      <c r="I54" s="17">
        <f>IF($H54="","",_xlfn.WORKDAY.INTL(cfgStartDate-1,$H54,"0000011",nrAllClosures))</f>
        <v/>
      </c>
      <c r="J54" s="15">
        <f>IF($H54="","",INT(($I54-(cfgStartDate-WEEKDAY(cfgStartDate,2)+1))/7)+1)</f>
        <v/>
      </c>
      <c r="K54" s="15">
        <f>IF($H54="","",IF($I54&lt;=cfgEndDate,"Yes","No"))</f>
        <v/>
      </c>
    </row>
    <row r="55">
      <c r="H55" s="15" t="n">
        <v>50</v>
      </c>
      <c r="I55" s="17">
        <f>IF($H55="","",_xlfn.WORKDAY.INTL(cfgStartDate-1,$H55,"0000011",nrAllClosures))</f>
        <v/>
      </c>
      <c r="J55" s="15">
        <f>IF($H55="","",INT(($I55-(cfgStartDate-WEEKDAY(cfgStartDate,2)+1))/7)+1)</f>
        <v/>
      </c>
      <c r="K55" s="15">
        <f>IF($H55="","",IF($I55&lt;=cfgEndDate,"Yes","No"))</f>
        <v/>
      </c>
    </row>
    <row r="56">
      <c r="H56" s="15" t="n">
        <v>51</v>
      </c>
      <c r="I56" s="17">
        <f>IF($H56="","",_xlfn.WORKDAY.INTL(cfgStartDate-1,$H56,"0000011",nrAllClosures))</f>
        <v/>
      </c>
      <c r="J56" s="15">
        <f>IF($H56="","",INT(($I56-(cfgStartDate-WEEKDAY(cfgStartDate,2)+1))/7)+1)</f>
        <v/>
      </c>
      <c r="K56" s="15">
        <f>IF($H56="","",IF($I56&lt;=cfgEndDate,"Yes","No"))</f>
        <v/>
      </c>
    </row>
    <row r="57">
      <c r="H57" s="15" t="n">
        <v>52</v>
      </c>
      <c r="I57" s="17">
        <f>IF($H57="","",_xlfn.WORKDAY.INTL(cfgStartDate-1,$H57,"0000011",nrAllClosures))</f>
        <v/>
      </c>
      <c r="J57" s="15">
        <f>IF($H57="","",INT(($I57-(cfgStartDate-WEEKDAY(cfgStartDate,2)+1))/7)+1)</f>
        <v/>
      </c>
      <c r="K57" s="15">
        <f>IF($H57="","",IF($I57&lt;=cfgEndDate,"Yes","No"))</f>
        <v/>
      </c>
    </row>
    <row r="58">
      <c r="H58" s="15" t="n">
        <v>53</v>
      </c>
      <c r="I58" s="17">
        <f>IF($H58="","",_xlfn.WORKDAY.INTL(cfgStartDate-1,$H58,"0000011",nrAllClosures))</f>
        <v/>
      </c>
      <c r="J58" s="15">
        <f>IF($H58="","",INT(($I58-(cfgStartDate-WEEKDAY(cfgStartDate,2)+1))/7)+1)</f>
        <v/>
      </c>
      <c r="K58" s="15">
        <f>IF($H58="","",IF($I58&lt;=cfgEndDate,"Yes","No"))</f>
        <v/>
      </c>
    </row>
    <row r="59">
      <c r="H59" s="15" t="n">
        <v>54</v>
      </c>
      <c r="I59" s="17">
        <f>IF($H59="","",_xlfn.WORKDAY.INTL(cfgStartDate-1,$H59,"0000011",nrAllClosures))</f>
        <v/>
      </c>
      <c r="J59" s="15">
        <f>IF($H59="","",INT(($I59-(cfgStartDate-WEEKDAY(cfgStartDate,2)+1))/7)+1)</f>
        <v/>
      </c>
      <c r="K59" s="15">
        <f>IF($H59="","",IF($I59&lt;=cfgEndDate,"Yes","No"))</f>
        <v/>
      </c>
    </row>
    <row r="60">
      <c r="H60" s="15" t="n">
        <v>55</v>
      </c>
      <c r="I60" s="17">
        <f>IF($H60="","",_xlfn.WORKDAY.INTL(cfgStartDate-1,$H60,"0000011",nrAllClosures))</f>
        <v/>
      </c>
      <c r="J60" s="15">
        <f>IF($H60="","",INT(($I60-(cfgStartDate-WEEKDAY(cfgStartDate,2)+1))/7)+1)</f>
        <v/>
      </c>
      <c r="K60" s="15">
        <f>IF($H60="","",IF($I60&lt;=cfgEndDate,"Yes","No"))</f>
        <v/>
      </c>
    </row>
    <row r="61">
      <c r="H61" s="15" t="n">
        <v>56</v>
      </c>
      <c r="I61" s="17">
        <f>IF($H61="","",_xlfn.WORKDAY.INTL(cfgStartDate-1,$H61,"0000011",nrAllClosures))</f>
        <v/>
      </c>
      <c r="J61" s="15">
        <f>IF($H61="","",INT(($I61-(cfgStartDate-WEEKDAY(cfgStartDate,2)+1))/7)+1)</f>
        <v/>
      </c>
      <c r="K61" s="15">
        <f>IF($H61="","",IF($I61&lt;=cfgEndDate,"Yes","No"))</f>
        <v/>
      </c>
    </row>
    <row r="62">
      <c r="H62" s="15" t="n">
        <v>57</v>
      </c>
      <c r="I62" s="17">
        <f>IF($H62="","",_xlfn.WORKDAY.INTL(cfgStartDate-1,$H62,"0000011",nrAllClosures))</f>
        <v/>
      </c>
      <c r="J62" s="15">
        <f>IF($H62="","",INT(($I62-(cfgStartDate-WEEKDAY(cfgStartDate,2)+1))/7)+1)</f>
        <v/>
      </c>
      <c r="K62" s="15">
        <f>IF($H62="","",IF($I62&lt;=cfgEndDate,"Yes","No"))</f>
        <v/>
      </c>
    </row>
    <row r="63">
      <c r="H63" s="15" t="n">
        <v>58</v>
      </c>
      <c r="I63" s="17">
        <f>IF($H63="","",_xlfn.WORKDAY.INTL(cfgStartDate-1,$H63,"0000011",nrAllClosures))</f>
        <v/>
      </c>
      <c r="J63" s="15">
        <f>IF($H63="","",INT(($I63-(cfgStartDate-WEEKDAY(cfgStartDate,2)+1))/7)+1)</f>
        <v/>
      </c>
      <c r="K63" s="15">
        <f>IF($H63="","",IF($I63&lt;=cfgEndDate,"Yes","No"))</f>
        <v/>
      </c>
    </row>
    <row r="64">
      <c r="H64" s="15" t="n">
        <v>59</v>
      </c>
      <c r="I64" s="17">
        <f>IF($H64="","",_xlfn.WORKDAY.INTL(cfgStartDate-1,$H64,"0000011",nrAllClosures))</f>
        <v/>
      </c>
      <c r="J64" s="15">
        <f>IF($H64="","",INT(($I64-(cfgStartDate-WEEKDAY(cfgStartDate,2)+1))/7)+1)</f>
        <v/>
      </c>
      <c r="K64" s="15">
        <f>IF($H64="","",IF($I64&lt;=cfgEndDate,"Yes","No"))</f>
        <v/>
      </c>
    </row>
    <row r="65">
      <c r="H65" s="15" t="n">
        <v>60</v>
      </c>
      <c r="I65" s="17">
        <f>IF($H65="","",_xlfn.WORKDAY.INTL(cfgStartDate-1,$H65,"0000011",nrAllClosures))</f>
        <v/>
      </c>
      <c r="J65" s="15">
        <f>IF($H65="","",INT(($I65-(cfgStartDate-WEEKDAY(cfgStartDate,2)+1))/7)+1)</f>
        <v/>
      </c>
      <c r="K65" s="15">
        <f>IF($H65="","",IF($I65&lt;=cfgEndDate,"Yes","No"))</f>
        <v/>
      </c>
    </row>
    <row r="66">
      <c r="H66" s="15" t="n">
        <v>61</v>
      </c>
      <c r="I66" s="17">
        <f>IF($H66="","",_xlfn.WORKDAY.INTL(cfgStartDate-1,$H66,"0000011",nrAllClosures))</f>
        <v/>
      </c>
      <c r="J66" s="15">
        <f>IF($H66="","",INT(($I66-(cfgStartDate-WEEKDAY(cfgStartDate,2)+1))/7)+1)</f>
        <v/>
      </c>
      <c r="K66" s="15">
        <f>IF($H66="","",IF($I66&lt;=cfgEndDate,"Yes","No"))</f>
        <v/>
      </c>
    </row>
    <row r="67">
      <c r="H67" s="15" t="n">
        <v>62</v>
      </c>
      <c r="I67" s="17">
        <f>IF($H67="","",_xlfn.WORKDAY.INTL(cfgStartDate-1,$H67,"0000011",nrAllClosures))</f>
        <v/>
      </c>
      <c r="J67" s="15">
        <f>IF($H67="","",INT(($I67-(cfgStartDate-WEEKDAY(cfgStartDate,2)+1))/7)+1)</f>
        <v/>
      </c>
      <c r="K67" s="15">
        <f>IF($H67="","",IF($I67&lt;=cfgEndDate,"Yes","No"))</f>
        <v/>
      </c>
    </row>
    <row r="68">
      <c r="H68" s="15" t="n">
        <v>63</v>
      </c>
      <c r="I68" s="17">
        <f>IF($H68="","",_xlfn.WORKDAY.INTL(cfgStartDate-1,$H68,"0000011",nrAllClosures))</f>
        <v/>
      </c>
      <c r="J68" s="15">
        <f>IF($H68="","",INT(($I68-(cfgStartDate-WEEKDAY(cfgStartDate,2)+1))/7)+1)</f>
        <v/>
      </c>
      <c r="K68" s="15">
        <f>IF($H68="","",IF($I68&lt;=cfgEndDate,"Yes","No"))</f>
        <v/>
      </c>
    </row>
    <row r="69">
      <c r="H69" s="15" t="n">
        <v>64</v>
      </c>
      <c r="I69" s="17">
        <f>IF($H69="","",_xlfn.WORKDAY.INTL(cfgStartDate-1,$H69,"0000011",nrAllClosures))</f>
        <v/>
      </c>
      <c r="J69" s="15">
        <f>IF($H69="","",INT(($I69-(cfgStartDate-WEEKDAY(cfgStartDate,2)+1))/7)+1)</f>
        <v/>
      </c>
      <c r="K69" s="15">
        <f>IF($H69="","",IF($I69&lt;=cfgEndDate,"Yes","No"))</f>
        <v/>
      </c>
    </row>
    <row r="70">
      <c r="H70" s="15" t="n">
        <v>65</v>
      </c>
      <c r="I70" s="17">
        <f>IF($H70="","",_xlfn.WORKDAY.INTL(cfgStartDate-1,$H70,"0000011",nrAllClosures))</f>
        <v/>
      </c>
      <c r="J70" s="15">
        <f>IF($H70="","",INT(($I70-(cfgStartDate-WEEKDAY(cfgStartDate,2)+1))/7)+1)</f>
        <v/>
      </c>
      <c r="K70" s="15">
        <f>IF($H70="","",IF($I70&lt;=cfgEndDate,"Yes","No"))</f>
        <v/>
      </c>
    </row>
    <row r="71">
      <c r="H71" s="15" t="n">
        <v>66</v>
      </c>
      <c r="I71" s="17">
        <f>IF($H71="","",_xlfn.WORKDAY.INTL(cfgStartDate-1,$H71,"0000011",nrAllClosures))</f>
        <v/>
      </c>
      <c r="J71" s="15">
        <f>IF($H71="","",INT(($I71-(cfgStartDate-WEEKDAY(cfgStartDate,2)+1))/7)+1)</f>
        <v/>
      </c>
      <c r="K71" s="15">
        <f>IF($H71="","",IF($I71&lt;=cfgEndDate,"Yes","No"))</f>
        <v/>
      </c>
    </row>
    <row r="72">
      <c r="H72" s="15" t="n">
        <v>67</v>
      </c>
      <c r="I72" s="17">
        <f>IF($H72="","",_xlfn.WORKDAY.INTL(cfgStartDate-1,$H72,"0000011",nrAllClosures))</f>
        <v/>
      </c>
      <c r="J72" s="15">
        <f>IF($H72="","",INT(($I72-(cfgStartDate-WEEKDAY(cfgStartDate,2)+1))/7)+1)</f>
        <v/>
      </c>
      <c r="K72" s="15">
        <f>IF($H72="","",IF($I72&lt;=cfgEndDate,"Yes","No"))</f>
        <v/>
      </c>
    </row>
    <row r="73">
      <c r="H73" s="15" t="n">
        <v>68</v>
      </c>
      <c r="I73" s="17">
        <f>IF($H73="","",_xlfn.WORKDAY.INTL(cfgStartDate-1,$H73,"0000011",nrAllClosures))</f>
        <v/>
      </c>
      <c r="J73" s="15">
        <f>IF($H73="","",INT(($I73-(cfgStartDate-WEEKDAY(cfgStartDate,2)+1))/7)+1)</f>
        <v/>
      </c>
      <c r="K73" s="15">
        <f>IF($H73="","",IF($I73&lt;=cfgEndDate,"Yes","No"))</f>
        <v/>
      </c>
    </row>
    <row r="74">
      <c r="H74" s="15" t="n">
        <v>69</v>
      </c>
      <c r="I74" s="17">
        <f>IF($H74="","",_xlfn.WORKDAY.INTL(cfgStartDate-1,$H74,"0000011",nrAllClosures))</f>
        <v/>
      </c>
      <c r="J74" s="15">
        <f>IF($H74="","",INT(($I74-(cfgStartDate-WEEKDAY(cfgStartDate,2)+1))/7)+1)</f>
        <v/>
      </c>
      <c r="K74" s="15">
        <f>IF($H74="","",IF($I74&lt;=cfgEndDate,"Yes","No"))</f>
        <v/>
      </c>
    </row>
    <row r="75">
      <c r="H75" s="15" t="n">
        <v>70</v>
      </c>
      <c r="I75" s="17">
        <f>IF($H75="","",_xlfn.WORKDAY.INTL(cfgStartDate-1,$H75,"0000011",nrAllClosures))</f>
        <v/>
      </c>
      <c r="J75" s="15">
        <f>IF($H75="","",INT(($I75-(cfgStartDate-WEEKDAY(cfgStartDate,2)+1))/7)+1)</f>
        <v/>
      </c>
      <c r="K75" s="15">
        <f>IF($H75="","",IF($I75&lt;=cfgEndDate,"Yes","No"))</f>
        <v/>
      </c>
    </row>
    <row r="76">
      <c r="H76" s="15" t="n">
        <v>71</v>
      </c>
      <c r="I76" s="17">
        <f>IF($H76="","",_xlfn.WORKDAY.INTL(cfgStartDate-1,$H76,"0000011",nrAllClosures))</f>
        <v/>
      </c>
      <c r="J76" s="15">
        <f>IF($H76="","",INT(($I76-(cfgStartDate-WEEKDAY(cfgStartDate,2)+1))/7)+1)</f>
        <v/>
      </c>
      <c r="K76" s="15">
        <f>IF($H76="","",IF($I76&lt;=cfgEndDate,"Yes","No"))</f>
        <v/>
      </c>
    </row>
    <row r="77">
      <c r="H77" s="15" t="n">
        <v>72</v>
      </c>
      <c r="I77" s="17">
        <f>IF($H77="","",_xlfn.WORKDAY.INTL(cfgStartDate-1,$H77,"0000011",nrAllClosures))</f>
        <v/>
      </c>
      <c r="J77" s="15">
        <f>IF($H77="","",INT(($I77-(cfgStartDate-WEEKDAY(cfgStartDate,2)+1))/7)+1)</f>
        <v/>
      </c>
      <c r="K77" s="15">
        <f>IF($H77="","",IF($I77&lt;=cfgEndDate,"Yes","No"))</f>
        <v/>
      </c>
    </row>
    <row r="78">
      <c r="H78" s="15" t="n">
        <v>73</v>
      </c>
      <c r="I78" s="17">
        <f>IF($H78="","",_xlfn.WORKDAY.INTL(cfgStartDate-1,$H78,"0000011",nrAllClosures))</f>
        <v/>
      </c>
      <c r="J78" s="15">
        <f>IF($H78="","",INT(($I78-(cfgStartDate-WEEKDAY(cfgStartDate,2)+1))/7)+1)</f>
        <v/>
      </c>
      <c r="K78" s="15">
        <f>IF($H78="","",IF($I78&lt;=cfgEndDate,"Yes","No"))</f>
        <v/>
      </c>
    </row>
    <row r="79">
      <c r="H79" s="15" t="n">
        <v>74</v>
      </c>
      <c r="I79" s="17">
        <f>IF($H79="","",_xlfn.WORKDAY.INTL(cfgStartDate-1,$H79,"0000011",nrAllClosures))</f>
        <v/>
      </c>
      <c r="J79" s="15">
        <f>IF($H79="","",INT(($I79-(cfgStartDate-WEEKDAY(cfgStartDate,2)+1))/7)+1)</f>
        <v/>
      </c>
      <c r="K79" s="15">
        <f>IF($H79="","",IF($I79&lt;=cfgEndDate,"Yes","No"))</f>
        <v/>
      </c>
    </row>
    <row r="80">
      <c r="H80" s="15" t="n">
        <v>75</v>
      </c>
      <c r="I80" s="17">
        <f>IF($H80="","",_xlfn.WORKDAY.INTL(cfgStartDate-1,$H80,"0000011",nrAllClosures))</f>
        <v/>
      </c>
      <c r="J80" s="15">
        <f>IF($H80="","",INT(($I80-(cfgStartDate-WEEKDAY(cfgStartDate,2)+1))/7)+1)</f>
        <v/>
      </c>
      <c r="K80" s="15">
        <f>IF($H80="","",IF($I80&lt;=cfgEndDate,"Yes","No"))</f>
        <v/>
      </c>
    </row>
    <row r="81">
      <c r="H81" s="15" t="n">
        <v>76</v>
      </c>
      <c r="I81" s="17">
        <f>IF($H81="","",_xlfn.WORKDAY.INTL(cfgStartDate-1,$H81,"0000011",nrAllClosures))</f>
        <v/>
      </c>
      <c r="J81" s="15">
        <f>IF($H81="","",INT(($I81-(cfgStartDate-WEEKDAY(cfgStartDate,2)+1))/7)+1)</f>
        <v/>
      </c>
      <c r="K81" s="15">
        <f>IF($H81="","",IF($I81&lt;=cfgEndDate,"Yes","No"))</f>
        <v/>
      </c>
    </row>
    <row r="82">
      <c r="H82" s="15" t="n">
        <v>77</v>
      </c>
      <c r="I82" s="17">
        <f>IF($H82="","",_xlfn.WORKDAY.INTL(cfgStartDate-1,$H82,"0000011",nrAllClosures))</f>
        <v/>
      </c>
      <c r="J82" s="15">
        <f>IF($H82="","",INT(($I82-(cfgStartDate-WEEKDAY(cfgStartDate,2)+1))/7)+1)</f>
        <v/>
      </c>
      <c r="K82" s="15">
        <f>IF($H82="","",IF($I82&lt;=cfgEndDate,"Yes","No"))</f>
        <v/>
      </c>
    </row>
    <row r="83">
      <c r="H83" s="15" t="n">
        <v>78</v>
      </c>
      <c r="I83" s="17">
        <f>IF($H83="","",_xlfn.WORKDAY.INTL(cfgStartDate-1,$H83,"0000011",nrAllClosures))</f>
        <v/>
      </c>
      <c r="J83" s="15">
        <f>IF($H83="","",INT(($I83-(cfgStartDate-WEEKDAY(cfgStartDate,2)+1))/7)+1)</f>
        <v/>
      </c>
      <c r="K83" s="15">
        <f>IF($H83="","",IF($I83&lt;=cfgEndDate,"Yes","No"))</f>
        <v/>
      </c>
    </row>
    <row r="84">
      <c r="H84" s="15" t="n">
        <v>79</v>
      </c>
      <c r="I84" s="17">
        <f>IF($H84="","",_xlfn.WORKDAY.INTL(cfgStartDate-1,$H84,"0000011",nrAllClosures))</f>
        <v/>
      </c>
      <c r="J84" s="15">
        <f>IF($H84="","",INT(($I84-(cfgStartDate-WEEKDAY(cfgStartDate,2)+1))/7)+1)</f>
        <v/>
      </c>
      <c r="K84" s="15">
        <f>IF($H84="","",IF($I84&lt;=cfgEndDate,"Yes","No"))</f>
        <v/>
      </c>
    </row>
    <row r="85">
      <c r="H85" s="15" t="n">
        <v>80</v>
      </c>
      <c r="I85" s="17">
        <f>IF($H85="","",_xlfn.WORKDAY.INTL(cfgStartDate-1,$H85,"0000011",nrAllClosures))</f>
        <v/>
      </c>
      <c r="J85" s="15">
        <f>IF($H85="","",INT(($I85-(cfgStartDate-WEEKDAY(cfgStartDate,2)+1))/7)+1)</f>
        <v/>
      </c>
      <c r="K85" s="15">
        <f>IF($H85="","",IF($I85&lt;=cfgEndDate,"Yes","No"))</f>
        <v/>
      </c>
    </row>
    <row r="86">
      <c r="H86" s="15" t="n">
        <v>81</v>
      </c>
      <c r="I86" s="17">
        <f>IF($H86="","",_xlfn.WORKDAY.INTL(cfgStartDate-1,$H86,"0000011",nrAllClosures))</f>
        <v/>
      </c>
      <c r="J86" s="15">
        <f>IF($H86="","",INT(($I86-(cfgStartDate-WEEKDAY(cfgStartDate,2)+1))/7)+1)</f>
        <v/>
      </c>
      <c r="K86" s="15">
        <f>IF($H86="","",IF($I86&lt;=cfgEndDate,"Yes","No"))</f>
        <v/>
      </c>
    </row>
    <row r="87">
      <c r="H87" s="15" t="n">
        <v>82</v>
      </c>
      <c r="I87" s="17">
        <f>IF($H87="","",_xlfn.WORKDAY.INTL(cfgStartDate-1,$H87,"0000011",nrAllClosures))</f>
        <v/>
      </c>
      <c r="J87" s="15">
        <f>IF($H87="","",INT(($I87-(cfgStartDate-WEEKDAY(cfgStartDate,2)+1))/7)+1)</f>
        <v/>
      </c>
      <c r="K87" s="15">
        <f>IF($H87="","",IF($I87&lt;=cfgEndDate,"Yes","No"))</f>
        <v/>
      </c>
    </row>
    <row r="88">
      <c r="H88" s="15" t="n">
        <v>83</v>
      </c>
      <c r="I88" s="17">
        <f>IF($H88="","",_xlfn.WORKDAY.INTL(cfgStartDate-1,$H88,"0000011",nrAllClosures))</f>
        <v/>
      </c>
      <c r="J88" s="15">
        <f>IF($H88="","",INT(($I88-(cfgStartDate-WEEKDAY(cfgStartDate,2)+1))/7)+1)</f>
        <v/>
      </c>
      <c r="K88" s="15">
        <f>IF($H88="","",IF($I88&lt;=cfgEndDate,"Yes","No"))</f>
        <v/>
      </c>
    </row>
    <row r="89">
      <c r="H89" s="15" t="n">
        <v>84</v>
      </c>
      <c r="I89" s="17">
        <f>IF($H89="","",_xlfn.WORKDAY.INTL(cfgStartDate-1,$H89,"0000011",nrAllClosures))</f>
        <v/>
      </c>
      <c r="J89" s="15">
        <f>IF($H89="","",INT(($I89-(cfgStartDate-WEEKDAY(cfgStartDate,2)+1))/7)+1)</f>
        <v/>
      </c>
      <c r="K89" s="15">
        <f>IF($H89="","",IF($I89&lt;=cfgEndDate,"Yes","No"))</f>
        <v/>
      </c>
    </row>
    <row r="90">
      <c r="H90" s="15" t="n">
        <v>85</v>
      </c>
      <c r="I90" s="17">
        <f>IF($H90="","",_xlfn.WORKDAY.INTL(cfgStartDate-1,$H90,"0000011",nrAllClosures))</f>
        <v/>
      </c>
      <c r="J90" s="15">
        <f>IF($H90="","",INT(($I90-(cfgStartDate-WEEKDAY(cfgStartDate,2)+1))/7)+1)</f>
        <v/>
      </c>
      <c r="K90" s="15">
        <f>IF($H90="","",IF($I90&lt;=cfgEndDate,"Yes","No"))</f>
        <v/>
      </c>
    </row>
    <row r="91">
      <c r="H91" s="15" t="n">
        <v>86</v>
      </c>
      <c r="I91" s="17">
        <f>IF($H91="","",_xlfn.WORKDAY.INTL(cfgStartDate-1,$H91,"0000011",nrAllClosures))</f>
        <v/>
      </c>
      <c r="J91" s="15">
        <f>IF($H91="","",INT(($I91-(cfgStartDate-WEEKDAY(cfgStartDate,2)+1))/7)+1)</f>
        <v/>
      </c>
      <c r="K91" s="15">
        <f>IF($H91="","",IF($I91&lt;=cfgEndDate,"Yes","No"))</f>
        <v/>
      </c>
    </row>
    <row r="92">
      <c r="H92" s="15" t="n">
        <v>87</v>
      </c>
      <c r="I92" s="17">
        <f>IF($H92="","",_xlfn.WORKDAY.INTL(cfgStartDate-1,$H92,"0000011",nrAllClosures))</f>
        <v/>
      </c>
      <c r="J92" s="15">
        <f>IF($H92="","",INT(($I92-(cfgStartDate-WEEKDAY(cfgStartDate,2)+1))/7)+1)</f>
        <v/>
      </c>
      <c r="K92" s="15">
        <f>IF($H92="","",IF($I92&lt;=cfgEndDate,"Yes","No"))</f>
        <v/>
      </c>
    </row>
    <row r="93">
      <c r="H93" s="15" t="n">
        <v>88</v>
      </c>
      <c r="I93" s="17">
        <f>IF($H93="","",_xlfn.WORKDAY.INTL(cfgStartDate-1,$H93,"0000011",nrAllClosures))</f>
        <v/>
      </c>
      <c r="J93" s="15">
        <f>IF($H93="","",INT(($I93-(cfgStartDate-WEEKDAY(cfgStartDate,2)+1))/7)+1)</f>
        <v/>
      </c>
      <c r="K93" s="15">
        <f>IF($H93="","",IF($I93&lt;=cfgEndDate,"Yes","No"))</f>
        <v/>
      </c>
    </row>
    <row r="94">
      <c r="H94" s="15" t="n">
        <v>89</v>
      </c>
      <c r="I94" s="17">
        <f>IF($H94="","",_xlfn.WORKDAY.INTL(cfgStartDate-1,$H94,"0000011",nrAllClosures))</f>
        <v/>
      </c>
      <c r="J94" s="15">
        <f>IF($H94="","",INT(($I94-(cfgStartDate-WEEKDAY(cfgStartDate,2)+1))/7)+1)</f>
        <v/>
      </c>
      <c r="K94" s="15">
        <f>IF($H94="","",IF($I94&lt;=cfgEndDate,"Yes","No"))</f>
        <v/>
      </c>
    </row>
    <row r="95">
      <c r="H95" s="15" t="n">
        <v>90</v>
      </c>
      <c r="I95" s="17">
        <f>IF($H95="","",_xlfn.WORKDAY.INTL(cfgStartDate-1,$H95,"0000011",nrAllClosures))</f>
        <v/>
      </c>
      <c r="J95" s="15">
        <f>IF($H95="","",INT(($I95-(cfgStartDate-WEEKDAY(cfgStartDate,2)+1))/7)+1)</f>
        <v/>
      </c>
      <c r="K95" s="15">
        <f>IF($H95="","",IF($I95&lt;=cfgEndDate,"Yes","No"))</f>
        <v/>
      </c>
    </row>
    <row r="96">
      <c r="H96" s="15" t="n">
        <v>91</v>
      </c>
      <c r="I96" s="17">
        <f>IF($H96="","",_xlfn.WORKDAY.INTL(cfgStartDate-1,$H96,"0000011",nrAllClosures))</f>
        <v/>
      </c>
      <c r="J96" s="15">
        <f>IF($H96="","",INT(($I96-(cfgStartDate-WEEKDAY(cfgStartDate,2)+1))/7)+1)</f>
        <v/>
      </c>
      <c r="K96" s="15">
        <f>IF($H96="","",IF($I96&lt;=cfgEndDate,"Yes","No"))</f>
        <v/>
      </c>
    </row>
    <row r="97">
      <c r="H97" s="15" t="n">
        <v>92</v>
      </c>
      <c r="I97" s="17">
        <f>IF($H97="","",_xlfn.WORKDAY.INTL(cfgStartDate-1,$H97,"0000011",nrAllClosures))</f>
        <v/>
      </c>
      <c r="J97" s="15">
        <f>IF($H97="","",INT(($I97-(cfgStartDate-WEEKDAY(cfgStartDate,2)+1))/7)+1)</f>
        <v/>
      </c>
      <c r="K97" s="15">
        <f>IF($H97="","",IF($I97&lt;=cfgEndDate,"Yes","No"))</f>
        <v/>
      </c>
    </row>
    <row r="98">
      <c r="H98" s="15" t="n">
        <v>93</v>
      </c>
      <c r="I98" s="17">
        <f>IF($H98="","",_xlfn.WORKDAY.INTL(cfgStartDate-1,$H98,"0000011",nrAllClosures))</f>
        <v/>
      </c>
      <c r="J98" s="15">
        <f>IF($H98="","",INT(($I98-(cfgStartDate-WEEKDAY(cfgStartDate,2)+1))/7)+1)</f>
        <v/>
      </c>
      <c r="K98" s="15">
        <f>IF($H98="","",IF($I98&lt;=cfgEndDate,"Yes","No"))</f>
        <v/>
      </c>
    </row>
    <row r="99">
      <c r="H99" s="15" t="n">
        <v>94</v>
      </c>
      <c r="I99" s="17">
        <f>IF($H99="","",_xlfn.WORKDAY.INTL(cfgStartDate-1,$H99,"0000011",nrAllClosures))</f>
        <v/>
      </c>
      <c r="J99" s="15">
        <f>IF($H99="","",INT(($I99-(cfgStartDate-WEEKDAY(cfgStartDate,2)+1))/7)+1)</f>
        <v/>
      </c>
      <c r="K99" s="15">
        <f>IF($H99="","",IF($I99&lt;=cfgEndDate,"Yes","No"))</f>
        <v/>
      </c>
    </row>
    <row r="100">
      <c r="H100" s="15" t="n">
        <v>95</v>
      </c>
      <c r="I100" s="17">
        <f>IF($H100="","",_xlfn.WORKDAY.INTL(cfgStartDate-1,$H100,"0000011",nrAllClosures))</f>
        <v/>
      </c>
      <c r="J100" s="15">
        <f>IF($H100="","",INT(($I100-(cfgStartDate-WEEKDAY(cfgStartDate,2)+1))/7)+1)</f>
        <v/>
      </c>
      <c r="K100" s="15">
        <f>IF($H100="","",IF($I100&lt;=cfgEndDate,"Yes","No"))</f>
        <v/>
      </c>
    </row>
    <row r="101">
      <c r="H101" s="15" t="n">
        <v>96</v>
      </c>
      <c r="I101" s="17">
        <f>IF($H101="","",_xlfn.WORKDAY.INTL(cfgStartDate-1,$H101,"0000011",nrAllClosures))</f>
        <v/>
      </c>
      <c r="J101" s="15">
        <f>IF($H101="","",INT(($I101-(cfgStartDate-WEEKDAY(cfgStartDate,2)+1))/7)+1)</f>
        <v/>
      </c>
      <c r="K101" s="15">
        <f>IF($H101="","",IF($I101&lt;=cfgEndDate,"Yes","No"))</f>
        <v/>
      </c>
    </row>
    <row r="102">
      <c r="H102" s="15" t="n">
        <v>97</v>
      </c>
      <c r="I102" s="17">
        <f>IF($H102="","",_xlfn.WORKDAY.INTL(cfgStartDate-1,$H102,"0000011",nrAllClosures))</f>
        <v/>
      </c>
      <c r="J102" s="15">
        <f>IF($H102="","",INT(($I102-(cfgStartDate-WEEKDAY(cfgStartDate,2)+1))/7)+1)</f>
        <v/>
      </c>
      <c r="K102" s="15">
        <f>IF($H102="","",IF($I102&lt;=cfgEndDate,"Yes","No"))</f>
        <v/>
      </c>
    </row>
    <row r="103">
      <c r="H103" s="15" t="n">
        <v>98</v>
      </c>
      <c r="I103" s="17">
        <f>IF($H103="","",_xlfn.WORKDAY.INTL(cfgStartDate-1,$H103,"0000011",nrAllClosures))</f>
        <v/>
      </c>
      <c r="J103" s="15">
        <f>IF($H103="","",INT(($I103-(cfgStartDate-WEEKDAY(cfgStartDate,2)+1))/7)+1)</f>
        <v/>
      </c>
      <c r="K103" s="15">
        <f>IF($H103="","",IF($I103&lt;=cfgEndDate,"Yes","No"))</f>
        <v/>
      </c>
    </row>
    <row r="104">
      <c r="H104" s="15" t="n">
        <v>99</v>
      </c>
      <c r="I104" s="17">
        <f>IF($H104="","",_xlfn.WORKDAY.INTL(cfgStartDate-1,$H104,"0000011",nrAllClosures))</f>
        <v/>
      </c>
      <c r="J104" s="15">
        <f>IF($H104="","",INT(($I104-(cfgStartDate-WEEKDAY(cfgStartDate,2)+1))/7)+1)</f>
        <v/>
      </c>
      <c r="K104" s="15">
        <f>IF($H104="","",IF($I104&lt;=cfgEndDate,"Yes","No"))</f>
        <v/>
      </c>
    </row>
    <row r="105">
      <c r="H105" s="15" t="n">
        <v>100</v>
      </c>
      <c r="I105" s="17">
        <f>IF($H105="","",_xlfn.WORKDAY.INTL(cfgStartDate-1,$H105,"0000011",nrAllClosures))</f>
        <v/>
      </c>
      <c r="J105" s="15">
        <f>IF($H105="","",INT(($I105-(cfgStartDate-WEEKDAY(cfgStartDate,2)+1))/7)+1)</f>
        <v/>
      </c>
      <c r="K105" s="15">
        <f>IF($H105="","",IF($I105&lt;=cfgEndDate,"Yes","No"))</f>
        <v/>
      </c>
    </row>
    <row r="106">
      <c r="H106" s="15" t="n">
        <v>101</v>
      </c>
      <c r="I106" s="17">
        <f>IF($H106="","",_xlfn.WORKDAY.INTL(cfgStartDate-1,$H106,"0000011",nrAllClosures))</f>
        <v/>
      </c>
      <c r="J106" s="15">
        <f>IF($H106="","",INT(($I106-(cfgStartDate-WEEKDAY(cfgStartDate,2)+1))/7)+1)</f>
        <v/>
      </c>
      <c r="K106" s="15">
        <f>IF($H106="","",IF($I106&lt;=cfgEndDate,"Yes","No"))</f>
        <v/>
      </c>
    </row>
    <row r="107">
      <c r="H107" s="15" t="n">
        <v>102</v>
      </c>
      <c r="I107" s="17">
        <f>IF($H107="","",_xlfn.WORKDAY.INTL(cfgStartDate-1,$H107,"0000011",nrAllClosures))</f>
        <v/>
      </c>
      <c r="J107" s="15">
        <f>IF($H107="","",INT(($I107-(cfgStartDate-WEEKDAY(cfgStartDate,2)+1))/7)+1)</f>
        <v/>
      </c>
      <c r="K107" s="15">
        <f>IF($H107="","",IF($I107&lt;=cfgEndDate,"Yes","No"))</f>
        <v/>
      </c>
    </row>
    <row r="108">
      <c r="H108" s="15" t="n">
        <v>103</v>
      </c>
      <c r="I108" s="17">
        <f>IF($H108="","",_xlfn.WORKDAY.INTL(cfgStartDate-1,$H108,"0000011",nrAllClosures))</f>
        <v/>
      </c>
      <c r="J108" s="15">
        <f>IF($H108="","",INT(($I108-(cfgStartDate-WEEKDAY(cfgStartDate,2)+1))/7)+1)</f>
        <v/>
      </c>
      <c r="K108" s="15">
        <f>IF($H108="","",IF($I108&lt;=cfgEndDate,"Yes","No"))</f>
        <v/>
      </c>
    </row>
    <row r="109">
      <c r="H109" s="15" t="n">
        <v>104</v>
      </c>
      <c r="I109" s="17">
        <f>IF($H109="","",_xlfn.WORKDAY.INTL(cfgStartDate-1,$H109,"0000011",nrAllClosures))</f>
        <v/>
      </c>
      <c r="J109" s="15">
        <f>IF($H109="","",INT(($I109-(cfgStartDate-WEEKDAY(cfgStartDate,2)+1))/7)+1)</f>
        <v/>
      </c>
      <c r="K109" s="15">
        <f>IF($H109="","",IF($I109&lt;=cfgEndDate,"Yes","No"))</f>
        <v/>
      </c>
    </row>
    <row r="110">
      <c r="H110" s="15" t="n">
        <v>105</v>
      </c>
      <c r="I110" s="17">
        <f>IF($H110="","",_xlfn.WORKDAY.INTL(cfgStartDate-1,$H110,"0000011",nrAllClosures))</f>
        <v/>
      </c>
      <c r="J110" s="15">
        <f>IF($H110="","",INT(($I110-(cfgStartDate-WEEKDAY(cfgStartDate,2)+1))/7)+1)</f>
        <v/>
      </c>
      <c r="K110" s="15">
        <f>IF($H110="","",IF($I110&lt;=cfgEndDate,"Yes","No"))</f>
        <v/>
      </c>
    </row>
    <row r="111">
      <c r="H111" s="15" t="n">
        <v>106</v>
      </c>
      <c r="I111" s="17">
        <f>IF($H111="","",_xlfn.WORKDAY.INTL(cfgStartDate-1,$H111,"0000011",nrAllClosures))</f>
        <v/>
      </c>
      <c r="J111" s="15">
        <f>IF($H111="","",INT(($I111-(cfgStartDate-WEEKDAY(cfgStartDate,2)+1))/7)+1)</f>
        <v/>
      </c>
      <c r="K111" s="15">
        <f>IF($H111="","",IF($I111&lt;=cfgEndDate,"Yes","No"))</f>
        <v/>
      </c>
    </row>
    <row r="112">
      <c r="H112" s="15" t="n">
        <v>107</v>
      </c>
      <c r="I112" s="17">
        <f>IF($H112="","",_xlfn.WORKDAY.INTL(cfgStartDate-1,$H112,"0000011",nrAllClosures))</f>
        <v/>
      </c>
      <c r="J112" s="15">
        <f>IF($H112="","",INT(($I112-(cfgStartDate-WEEKDAY(cfgStartDate,2)+1))/7)+1)</f>
        <v/>
      </c>
      <c r="K112" s="15">
        <f>IF($H112="","",IF($I112&lt;=cfgEndDate,"Yes","No"))</f>
        <v/>
      </c>
    </row>
    <row r="113">
      <c r="H113" s="15" t="n">
        <v>108</v>
      </c>
      <c r="I113" s="17">
        <f>IF($H113="","",_xlfn.WORKDAY.INTL(cfgStartDate-1,$H113,"0000011",nrAllClosures))</f>
        <v/>
      </c>
      <c r="J113" s="15">
        <f>IF($H113="","",INT(($I113-(cfgStartDate-WEEKDAY(cfgStartDate,2)+1))/7)+1)</f>
        <v/>
      </c>
      <c r="K113" s="15">
        <f>IF($H113="","",IF($I113&lt;=cfgEndDate,"Yes","No"))</f>
        <v/>
      </c>
    </row>
    <row r="114">
      <c r="H114" s="15" t="n">
        <v>109</v>
      </c>
      <c r="I114" s="17">
        <f>IF($H114="","",_xlfn.WORKDAY.INTL(cfgStartDate-1,$H114,"0000011",nrAllClosures))</f>
        <v/>
      </c>
      <c r="J114" s="15">
        <f>IF($H114="","",INT(($I114-(cfgStartDate-WEEKDAY(cfgStartDate,2)+1))/7)+1)</f>
        <v/>
      </c>
      <c r="K114" s="15">
        <f>IF($H114="","",IF($I114&lt;=cfgEndDate,"Yes","No"))</f>
        <v/>
      </c>
    </row>
    <row r="115">
      <c r="H115" s="15" t="n">
        <v>110</v>
      </c>
      <c r="I115" s="17">
        <f>IF($H115="","",_xlfn.WORKDAY.INTL(cfgStartDate-1,$H115,"0000011",nrAllClosures))</f>
        <v/>
      </c>
      <c r="J115" s="15">
        <f>IF($H115="","",INT(($I115-(cfgStartDate-WEEKDAY(cfgStartDate,2)+1))/7)+1)</f>
        <v/>
      </c>
      <c r="K115" s="15">
        <f>IF($H115="","",IF($I115&lt;=cfgEndDate,"Yes","No"))</f>
        <v/>
      </c>
    </row>
    <row r="116">
      <c r="H116" s="15" t="n">
        <v>111</v>
      </c>
      <c r="I116" s="17">
        <f>IF($H116="","",_xlfn.WORKDAY.INTL(cfgStartDate-1,$H116,"0000011",nrAllClosures))</f>
        <v/>
      </c>
      <c r="J116" s="15">
        <f>IF($H116="","",INT(($I116-(cfgStartDate-WEEKDAY(cfgStartDate,2)+1))/7)+1)</f>
        <v/>
      </c>
      <c r="K116" s="15">
        <f>IF($H116="","",IF($I116&lt;=cfgEndDate,"Yes","No"))</f>
        <v/>
      </c>
    </row>
    <row r="117">
      <c r="H117" s="15" t="n">
        <v>112</v>
      </c>
      <c r="I117" s="17">
        <f>IF($H117="","",_xlfn.WORKDAY.INTL(cfgStartDate-1,$H117,"0000011",nrAllClosures))</f>
        <v/>
      </c>
      <c r="J117" s="15">
        <f>IF($H117="","",INT(($I117-(cfgStartDate-WEEKDAY(cfgStartDate,2)+1))/7)+1)</f>
        <v/>
      </c>
      <c r="K117" s="15">
        <f>IF($H117="","",IF($I117&lt;=cfgEndDate,"Yes","No"))</f>
        <v/>
      </c>
    </row>
    <row r="118">
      <c r="H118" s="15" t="n">
        <v>113</v>
      </c>
      <c r="I118" s="17">
        <f>IF($H118="","",_xlfn.WORKDAY.INTL(cfgStartDate-1,$H118,"0000011",nrAllClosures))</f>
        <v/>
      </c>
      <c r="J118" s="15">
        <f>IF($H118="","",INT(($I118-(cfgStartDate-WEEKDAY(cfgStartDate,2)+1))/7)+1)</f>
        <v/>
      </c>
      <c r="K118" s="15">
        <f>IF($H118="","",IF($I118&lt;=cfgEndDate,"Yes","No"))</f>
        <v/>
      </c>
    </row>
    <row r="119">
      <c r="H119" s="15" t="n">
        <v>114</v>
      </c>
      <c r="I119" s="17">
        <f>IF($H119="","",_xlfn.WORKDAY.INTL(cfgStartDate-1,$H119,"0000011",nrAllClosures))</f>
        <v/>
      </c>
      <c r="J119" s="15">
        <f>IF($H119="","",INT(($I119-(cfgStartDate-WEEKDAY(cfgStartDate,2)+1))/7)+1)</f>
        <v/>
      </c>
      <c r="K119" s="15">
        <f>IF($H119="","",IF($I119&lt;=cfgEndDate,"Yes","No"))</f>
        <v/>
      </c>
    </row>
    <row r="120">
      <c r="H120" s="15" t="n">
        <v>115</v>
      </c>
      <c r="I120" s="17">
        <f>IF($H120="","",_xlfn.WORKDAY.INTL(cfgStartDate-1,$H120,"0000011",nrAllClosures))</f>
        <v/>
      </c>
      <c r="J120" s="15">
        <f>IF($H120="","",INT(($I120-(cfgStartDate-WEEKDAY(cfgStartDate,2)+1))/7)+1)</f>
        <v/>
      </c>
      <c r="K120" s="15">
        <f>IF($H120="","",IF($I120&lt;=cfgEndDate,"Yes","No"))</f>
        <v/>
      </c>
    </row>
    <row r="121">
      <c r="H121" s="15" t="n">
        <v>116</v>
      </c>
      <c r="I121" s="17">
        <f>IF($H121="","",_xlfn.WORKDAY.INTL(cfgStartDate-1,$H121,"0000011",nrAllClosures))</f>
        <v/>
      </c>
      <c r="J121" s="15">
        <f>IF($H121="","",INT(($I121-(cfgStartDate-WEEKDAY(cfgStartDate,2)+1))/7)+1)</f>
        <v/>
      </c>
      <c r="K121" s="15">
        <f>IF($H121="","",IF($I121&lt;=cfgEndDate,"Yes","No"))</f>
        <v/>
      </c>
    </row>
    <row r="122">
      <c r="H122" s="15" t="n">
        <v>117</v>
      </c>
      <c r="I122" s="17">
        <f>IF($H122="","",_xlfn.WORKDAY.INTL(cfgStartDate-1,$H122,"0000011",nrAllClosures))</f>
        <v/>
      </c>
      <c r="J122" s="15">
        <f>IF($H122="","",INT(($I122-(cfgStartDate-WEEKDAY(cfgStartDate,2)+1))/7)+1)</f>
        <v/>
      </c>
      <c r="K122" s="15">
        <f>IF($H122="","",IF($I122&lt;=cfgEndDate,"Yes","No"))</f>
        <v/>
      </c>
    </row>
    <row r="123">
      <c r="H123" s="15" t="n">
        <v>118</v>
      </c>
      <c r="I123" s="17">
        <f>IF($H123="","",_xlfn.WORKDAY.INTL(cfgStartDate-1,$H123,"0000011",nrAllClosures))</f>
        <v/>
      </c>
      <c r="J123" s="15">
        <f>IF($H123="","",INT(($I123-(cfgStartDate-WEEKDAY(cfgStartDate,2)+1))/7)+1)</f>
        <v/>
      </c>
      <c r="K123" s="15">
        <f>IF($H123="","",IF($I123&lt;=cfgEndDate,"Yes","No"))</f>
        <v/>
      </c>
    </row>
    <row r="124">
      <c r="H124" s="15" t="n">
        <v>119</v>
      </c>
      <c r="I124" s="17">
        <f>IF($H124="","",_xlfn.WORKDAY.INTL(cfgStartDate-1,$H124,"0000011",nrAllClosures))</f>
        <v/>
      </c>
      <c r="J124" s="15">
        <f>IF($H124="","",INT(($I124-(cfgStartDate-WEEKDAY(cfgStartDate,2)+1))/7)+1)</f>
        <v/>
      </c>
      <c r="K124" s="15">
        <f>IF($H124="","",IF($I124&lt;=cfgEndDate,"Yes","No"))</f>
        <v/>
      </c>
    </row>
    <row r="125">
      <c r="H125" s="15" t="n">
        <v>120</v>
      </c>
      <c r="I125" s="17">
        <f>IF($H125="","",_xlfn.WORKDAY.INTL(cfgStartDate-1,$H125,"0000011",nrAllClosures))</f>
        <v/>
      </c>
      <c r="J125" s="15">
        <f>IF($H125="","",INT(($I125-(cfgStartDate-WEEKDAY(cfgStartDate,2)+1))/7)+1)</f>
        <v/>
      </c>
      <c r="K125" s="15">
        <f>IF($H125="","",IF($I125&lt;=cfgEndDate,"Yes","No"))</f>
        <v/>
      </c>
    </row>
    <row r="126">
      <c r="H126" s="15" t="n">
        <v>121</v>
      </c>
      <c r="I126" s="17">
        <f>IF($H126="","",_xlfn.WORKDAY.INTL(cfgStartDate-1,$H126,"0000011",nrAllClosures))</f>
        <v/>
      </c>
      <c r="J126" s="15">
        <f>IF($H126="","",INT(($I126-(cfgStartDate-WEEKDAY(cfgStartDate,2)+1))/7)+1)</f>
        <v/>
      </c>
      <c r="K126" s="15">
        <f>IF($H126="","",IF($I126&lt;=cfgEndDate,"Yes","No"))</f>
        <v/>
      </c>
    </row>
    <row r="127">
      <c r="H127" s="15" t="n">
        <v>122</v>
      </c>
      <c r="I127" s="17">
        <f>IF($H127="","",_xlfn.WORKDAY.INTL(cfgStartDate-1,$H127,"0000011",nrAllClosures))</f>
        <v/>
      </c>
      <c r="J127" s="15">
        <f>IF($H127="","",INT(($I127-(cfgStartDate-WEEKDAY(cfgStartDate,2)+1))/7)+1)</f>
        <v/>
      </c>
      <c r="K127" s="15">
        <f>IF($H127="","",IF($I127&lt;=cfgEndDate,"Yes","No"))</f>
        <v/>
      </c>
    </row>
    <row r="128">
      <c r="H128" s="15" t="n">
        <v>123</v>
      </c>
      <c r="I128" s="17">
        <f>IF($H128="","",_xlfn.WORKDAY.INTL(cfgStartDate-1,$H128,"0000011",nrAllClosures))</f>
        <v/>
      </c>
      <c r="J128" s="15">
        <f>IF($H128="","",INT(($I128-(cfgStartDate-WEEKDAY(cfgStartDate,2)+1))/7)+1)</f>
        <v/>
      </c>
      <c r="K128" s="15">
        <f>IF($H128="","",IF($I128&lt;=cfgEndDate,"Yes","No"))</f>
        <v/>
      </c>
    </row>
    <row r="129">
      <c r="H129" s="15" t="n">
        <v>124</v>
      </c>
      <c r="I129" s="17">
        <f>IF($H129="","",_xlfn.WORKDAY.INTL(cfgStartDate-1,$H129,"0000011",nrAllClosures))</f>
        <v/>
      </c>
      <c r="J129" s="15">
        <f>IF($H129="","",INT(($I129-(cfgStartDate-WEEKDAY(cfgStartDate,2)+1))/7)+1)</f>
        <v/>
      </c>
      <c r="K129" s="15">
        <f>IF($H129="","",IF($I129&lt;=cfgEndDate,"Yes","No"))</f>
        <v/>
      </c>
    </row>
    <row r="130">
      <c r="H130" s="15" t="n">
        <v>125</v>
      </c>
      <c r="I130" s="17">
        <f>IF($H130="","",_xlfn.WORKDAY.INTL(cfgStartDate-1,$H130,"0000011",nrAllClosures))</f>
        <v/>
      </c>
      <c r="J130" s="15">
        <f>IF($H130="","",INT(($I130-(cfgStartDate-WEEKDAY(cfgStartDate,2)+1))/7)+1)</f>
        <v/>
      </c>
      <c r="K130" s="15">
        <f>IF($H130="","",IF($I130&lt;=cfgEndDate,"Yes","No"))</f>
        <v/>
      </c>
    </row>
    <row r="131">
      <c r="H131" s="15" t="n">
        <v>126</v>
      </c>
      <c r="I131" s="17">
        <f>IF($H131="","",_xlfn.WORKDAY.INTL(cfgStartDate-1,$H131,"0000011",nrAllClosures))</f>
        <v/>
      </c>
      <c r="J131" s="15">
        <f>IF($H131="","",INT(($I131-(cfgStartDate-WEEKDAY(cfgStartDate,2)+1))/7)+1)</f>
        <v/>
      </c>
      <c r="K131" s="15">
        <f>IF($H131="","",IF($I131&lt;=cfgEndDate,"Yes","No"))</f>
        <v/>
      </c>
    </row>
    <row r="132">
      <c r="H132" s="15" t="n">
        <v>127</v>
      </c>
      <c r="I132" s="17">
        <f>IF($H132="","",_xlfn.WORKDAY.INTL(cfgStartDate-1,$H132,"0000011",nrAllClosures))</f>
        <v/>
      </c>
      <c r="J132" s="15">
        <f>IF($H132="","",INT(($I132-(cfgStartDate-WEEKDAY(cfgStartDate,2)+1))/7)+1)</f>
        <v/>
      </c>
      <c r="K132" s="15">
        <f>IF($H132="","",IF($I132&lt;=cfgEndDate,"Yes","No"))</f>
        <v/>
      </c>
    </row>
    <row r="133">
      <c r="H133" s="15" t="n">
        <v>128</v>
      </c>
      <c r="I133" s="17">
        <f>IF($H133="","",_xlfn.WORKDAY.INTL(cfgStartDate-1,$H133,"0000011",nrAllClosures))</f>
        <v/>
      </c>
      <c r="J133" s="15">
        <f>IF($H133="","",INT(($I133-(cfgStartDate-WEEKDAY(cfgStartDate,2)+1))/7)+1)</f>
        <v/>
      </c>
      <c r="K133" s="15">
        <f>IF($H133="","",IF($I133&lt;=cfgEndDate,"Yes","No"))</f>
        <v/>
      </c>
    </row>
    <row r="134">
      <c r="H134" s="15" t="n">
        <v>129</v>
      </c>
      <c r="I134" s="17">
        <f>IF($H134="","",_xlfn.WORKDAY.INTL(cfgStartDate-1,$H134,"0000011",nrAllClosures))</f>
        <v/>
      </c>
      <c r="J134" s="15">
        <f>IF($H134="","",INT(($I134-(cfgStartDate-WEEKDAY(cfgStartDate,2)+1))/7)+1)</f>
        <v/>
      </c>
      <c r="K134" s="15">
        <f>IF($H134="","",IF($I134&lt;=cfgEndDate,"Yes","No"))</f>
        <v/>
      </c>
    </row>
    <row r="135">
      <c r="H135" s="15" t="n">
        <v>130</v>
      </c>
      <c r="I135" s="17">
        <f>IF($H135="","",_xlfn.WORKDAY.INTL(cfgStartDate-1,$H135,"0000011",nrAllClosures))</f>
        <v/>
      </c>
      <c r="J135" s="15">
        <f>IF($H135="","",INT(($I135-(cfgStartDate-WEEKDAY(cfgStartDate,2)+1))/7)+1)</f>
        <v/>
      </c>
      <c r="K135" s="15">
        <f>IF($H135="","",IF($I135&lt;=cfgEndDate,"Yes","No"))</f>
        <v/>
      </c>
    </row>
    <row r="136">
      <c r="H136" s="15" t="n">
        <v>131</v>
      </c>
      <c r="I136" s="17">
        <f>IF($H136="","",_xlfn.WORKDAY.INTL(cfgStartDate-1,$H136,"0000011",nrAllClosures))</f>
        <v/>
      </c>
      <c r="J136" s="15">
        <f>IF($H136="","",INT(($I136-(cfgStartDate-WEEKDAY(cfgStartDate,2)+1))/7)+1)</f>
        <v/>
      </c>
      <c r="K136" s="15">
        <f>IF($H136="","",IF($I136&lt;=cfgEndDate,"Yes","No"))</f>
        <v/>
      </c>
    </row>
    <row r="137">
      <c r="H137" s="15" t="n">
        <v>132</v>
      </c>
      <c r="I137" s="17">
        <f>IF($H137="","",_xlfn.WORKDAY.INTL(cfgStartDate-1,$H137,"0000011",nrAllClosures))</f>
        <v/>
      </c>
      <c r="J137" s="15">
        <f>IF($H137="","",INT(($I137-(cfgStartDate-WEEKDAY(cfgStartDate,2)+1))/7)+1)</f>
        <v/>
      </c>
      <c r="K137" s="15">
        <f>IF($H137="","",IF($I137&lt;=cfgEndDate,"Yes","No"))</f>
        <v/>
      </c>
    </row>
    <row r="138">
      <c r="H138" s="15" t="n">
        <v>133</v>
      </c>
      <c r="I138" s="17">
        <f>IF($H138="","",_xlfn.WORKDAY.INTL(cfgStartDate-1,$H138,"0000011",nrAllClosures))</f>
        <v/>
      </c>
      <c r="J138" s="15">
        <f>IF($H138="","",INT(($I138-(cfgStartDate-WEEKDAY(cfgStartDate,2)+1))/7)+1)</f>
        <v/>
      </c>
      <c r="K138" s="15">
        <f>IF($H138="","",IF($I138&lt;=cfgEndDate,"Yes","No"))</f>
        <v/>
      </c>
    </row>
    <row r="139">
      <c r="H139" s="15" t="n">
        <v>134</v>
      </c>
      <c r="I139" s="17">
        <f>IF($H139="","",_xlfn.WORKDAY.INTL(cfgStartDate-1,$H139,"0000011",nrAllClosures))</f>
        <v/>
      </c>
      <c r="J139" s="15">
        <f>IF($H139="","",INT(($I139-(cfgStartDate-WEEKDAY(cfgStartDate,2)+1))/7)+1)</f>
        <v/>
      </c>
      <c r="K139" s="15">
        <f>IF($H139="","",IF($I139&lt;=cfgEndDate,"Yes","No"))</f>
        <v/>
      </c>
    </row>
    <row r="140">
      <c r="H140" s="15" t="n">
        <v>135</v>
      </c>
      <c r="I140" s="17">
        <f>IF($H140="","",_xlfn.WORKDAY.INTL(cfgStartDate-1,$H140,"0000011",nrAllClosures))</f>
        <v/>
      </c>
      <c r="J140" s="15">
        <f>IF($H140="","",INT(($I140-(cfgStartDate-WEEKDAY(cfgStartDate,2)+1))/7)+1)</f>
        <v/>
      </c>
      <c r="K140" s="15">
        <f>IF($H140="","",IF($I140&lt;=cfgEndDate,"Yes","No"))</f>
        <v/>
      </c>
    </row>
    <row r="141">
      <c r="H141" s="15" t="n">
        <v>136</v>
      </c>
      <c r="I141" s="17">
        <f>IF($H141="","",_xlfn.WORKDAY.INTL(cfgStartDate-1,$H141,"0000011",nrAllClosures))</f>
        <v/>
      </c>
      <c r="J141" s="15">
        <f>IF($H141="","",INT(($I141-(cfgStartDate-WEEKDAY(cfgStartDate,2)+1))/7)+1)</f>
        <v/>
      </c>
      <c r="K141" s="15">
        <f>IF($H141="","",IF($I141&lt;=cfgEndDate,"Yes","No"))</f>
        <v/>
      </c>
    </row>
    <row r="142">
      <c r="H142" s="15" t="n">
        <v>137</v>
      </c>
      <c r="I142" s="17">
        <f>IF($H142="","",_xlfn.WORKDAY.INTL(cfgStartDate-1,$H142,"0000011",nrAllClosures))</f>
        <v/>
      </c>
      <c r="J142" s="15">
        <f>IF($H142="","",INT(($I142-(cfgStartDate-WEEKDAY(cfgStartDate,2)+1))/7)+1)</f>
        <v/>
      </c>
      <c r="K142" s="15">
        <f>IF($H142="","",IF($I142&lt;=cfgEndDate,"Yes","No"))</f>
        <v/>
      </c>
    </row>
    <row r="143">
      <c r="H143" s="15" t="n">
        <v>138</v>
      </c>
      <c r="I143" s="17">
        <f>IF($H143="","",_xlfn.WORKDAY.INTL(cfgStartDate-1,$H143,"0000011",nrAllClosures))</f>
        <v/>
      </c>
      <c r="J143" s="15">
        <f>IF($H143="","",INT(($I143-(cfgStartDate-WEEKDAY(cfgStartDate,2)+1))/7)+1)</f>
        <v/>
      </c>
      <c r="K143" s="15">
        <f>IF($H143="","",IF($I143&lt;=cfgEndDate,"Yes","No"))</f>
        <v/>
      </c>
    </row>
    <row r="144">
      <c r="H144" s="15" t="n">
        <v>139</v>
      </c>
      <c r="I144" s="17">
        <f>IF($H144="","",_xlfn.WORKDAY.INTL(cfgStartDate-1,$H144,"0000011",nrAllClosures))</f>
        <v/>
      </c>
      <c r="J144" s="15">
        <f>IF($H144="","",INT(($I144-(cfgStartDate-WEEKDAY(cfgStartDate,2)+1))/7)+1)</f>
        <v/>
      </c>
      <c r="K144" s="15">
        <f>IF($H144="","",IF($I144&lt;=cfgEndDate,"Yes","No"))</f>
        <v/>
      </c>
    </row>
    <row r="145">
      <c r="H145" s="15" t="n">
        <v>140</v>
      </c>
      <c r="I145" s="17">
        <f>IF($H145="","",_xlfn.WORKDAY.INTL(cfgStartDate-1,$H145,"0000011",nrAllClosures))</f>
        <v/>
      </c>
      <c r="J145" s="15">
        <f>IF($H145="","",INT(($I145-(cfgStartDate-WEEKDAY(cfgStartDate,2)+1))/7)+1)</f>
        <v/>
      </c>
      <c r="K145" s="15">
        <f>IF($H145="","",IF($I145&lt;=cfgEndDate,"Yes","No"))</f>
        <v/>
      </c>
    </row>
    <row r="146">
      <c r="H146" s="15" t="n">
        <v>141</v>
      </c>
      <c r="I146" s="17">
        <f>IF($H146="","",_xlfn.WORKDAY.INTL(cfgStartDate-1,$H146,"0000011",nrAllClosures))</f>
        <v/>
      </c>
      <c r="J146" s="15">
        <f>IF($H146="","",INT(($I146-(cfgStartDate-WEEKDAY(cfgStartDate,2)+1))/7)+1)</f>
        <v/>
      </c>
      <c r="K146" s="15">
        <f>IF($H146="","",IF($I146&lt;=cfgEndDate,"Yes","No"))</f>
        <v/>
      </c>
    </row>
    <row r="147">
      <c r="H147" s="15" t="n">
        <v>142</v>
      </c>
      <c r="I147" s="17">
        <f>IF($H147="","",_xlfn.WORKDAY.INTL(cfgStartDate-1,$H147,"0000011",nrAllClosures))</f>
        <v/>
      </c>
      <c r="J147" s="15">
        <f>IF($H147="","",INT(($I147-(cfgStartDate-WEEKDAY(cfgStartDate,2)+1))/7)+1)</f>
        <v/>
      </c>
      <c r="K147" s="15">
        <f>IF($H147="","",IF($I147&lt;=cfgEndDate,"Yes","No"))</f>
        <v/>
      </c>
    </row>
    <row r="148">
      <c r="H148" s="15" t="n">
        <v>143</v>
      </c>
      <c r="I148" s="17">
        <f>IF($H148="","",_xlfn.WORKDAY.INTL(cfgStartDate-1,$H148,"0000011",nrAllClosures))</f>
        <v/>
      </c>
      <c r="J148" s="15">
        <f>IF($H148="","",INT(($I148-(cfgStartDate-WEEKDAY(cfgStartDate,2)+1))/7)+1)</f>
        <v/>
      </c>
      <c r="K148" s="15">
        <f>IF($H148="","",IF($I148&lt;=cfgEndDate,"Yes","No"))</f>
        <v/>
      </c>
    </row>
    <row r="149">
      <c r="H149" s="15" t="n">
        <v>144</v>
      </c>
      <c r="I149" s="17">
        <f>IF($H149="","",_xlfn.WORKDAY.INTL(cfgStartDate-1,$H149,"0000011",nrAllClosures))</f>
        <v/>
      </c>
      <c r="J149" s="15">
        <f>IF($H149="","",INT(($I149-(cfgStartDate-WEEKDAY(cfgStartDate,2)+1))/7)+1)</f>
        <v/>
      </c>
      <c r="K149" s="15">
        <f>IF($H149="","",IF($I149&lt;=cfgEndDate,"Yes","No"))</f>
        <v/>
      </c>
    </row>
    <row r="150">
      <c r="H150" s="15" t="n">
        <v>145</v>
      </c>
      <c r="I150" s="17">
        <f>IF($H150="","",_xlfn.WORKDAY.INTL(cfgStartDate-1,$H150,"0000011",nrAllClosures))</f>
        <v/>
      </c>
      <c r="J150" s="15">
        <f>IF($H150="","",INT(($I150-(cfgStartDate-WEEKDAY(cfgStartDate,2)+1))/7)+1)</f>
        <v/>
      </c>
      <c r="K150" s="15">
        <f>IF($H150="","",IF($I150&lt;=cfgEndDate,"Yes","No"))</f>
        <v/>
      </c>
    </row>
    <row r="151">
      <c r="H151" s="15" t="n">
        <v>146</v>
      </c>
      <c r="I151" s="17">
        <f>IF($H151="","",_xlfn.WORKDAY.INTL(cfgStartDate-1,$H151,"0000011",nrAllClosures))</f>
        <v/>
      </c>
      <c r="J151" s="15">
        <f>IF($H151="","",INT(($I151-(cfgStartDate-WEEKDAY(cfgStartDate,2)+1))/7)+1)</f>
        <v/>
      </c>
      <c r="K151" s="15">
        <f>IF($H151="","",IF($I151&lt;=cfgEndDate,"Yes","No"))</f>
        <v/>
      </c>
    </row>
    <row r="152">
      <c r="H152" s="15" t="n">
        <v>147</v>
      </c>
      <c r="I152" s="17">
        <f>IF($H152="","",_xlfn.WORKDAY.INTL(cfgStartDate-1,$H152,"0000011",nrAllClosures))</f>
        <v/>
      </c>
      <c r="J152" s="15">
        <f>IF($H152="","",INT(($I152-(cfgStartDate-WEEKDAY(cfgStartDate,2)+1))/7)+1)</f>
        <v/>
      </c>
      <c r="K152" s="15">
        <f>IF($H152="","",IF($I152&lt;=cfgEndDate,"Yes","No"))</f>
        <v/>
      </c>
    </row>
    <row r="153">
      <c r="H153" s="15" t="n">
        <v>148</v>
      </c>
      <c r="I153" s="17">
        <f>IF($H153="","",_xlfn.WORKDAY.INTL(cfgStartDate-1,$H153,"0000011",nrAllClosures))</f>
        <v/>
      </c>
      <c r="J153" s="15">
        <f>IF($H153="","",INT(($I153-(cfgStartDate-WEEKDAY(cfgStartDate,2)+1))/7)+1)</f>
        <v/>
      </c>
      <c r="K153" s="15">
        <f>IF($H153="","",IF($I153&lt;=cfgEndDate,"Yes","No"))</f>
        <v/>
      </c>
    </row>
    <row r="154">
      <c r="H154" s="15" t="n">
        <v>149</v>
      </c>
      <c r="I154" s="17">
        <f>IF($H154="","",_xlfn.WORKDAY.INTL(cfgStartDate-1,$H154,"0000011",nrAllClosures))</f>
        <v/>
      </c>
      <c r="J154" s="15">
        <f>IF($H154="","",INT(($I154-(cfgStartDate-WEEKDAY(cfgStartDate,2)+1))/7)+1)</f>
        <v/>
      </c>
      <c r="K154" s="15">
        <f>IF($H154="","",IF($I154&lt;=cfgEndDate,"Yes","No"))</f>
        <v/>
      </c>
    </row>
    <row r="155">
      <c r="H155" s="15" t="n">
        <v>150</v>
      </c>
      <c r="I155" s="17">
        <f>IF($H155="","",_xlfn.WORKDAY.INTL(cfgStartDate-1,$H155,"0000011",nrAllClosures))</f>
        <v/>
      </c>
      <c r="J155" s="15">
        <f>IF($H155="","",INT(($I155-(cfgStartDate-WEEKDAY(cfgStartDate,2)+1))/7)+1)</f>
        <v/>
      </c>
      <c r="K155" s="15">
        <f>IF($H155="","",IF($I155&lt;=cfgEndDate,"Yes","No"))</f>
        <v/>
      </c>
    </row>
    <row r="156">
      <c r="H156" s="15" t="n">
        <v>151</v>
      </c>
      <c r="I156" s="17">
        <f>IF($H156="","",_xlfn.WORKDAY.INTL(cfgStartDate-1,$H156,"0000011",nrAllClosures))</f>
        <v/>
      </c>
      <c r="J156" s="15">
        <f>IF($H156="","",INT(($I156-(cfgStartDate-WEEKDAY(cfgStartDate,2)+1))/7)+1)</f>
        <v/>
      </c>
      <c r="K156" s="15">
        <f>IF($H156="","",IF($I156&lt;=cfgEndDate,"Yes","No"))</f>
        <v/>
      </c>
    </row>
    <row r="157">
      <c r="H157" s="15" t="n">
        <v>152</v>
      </c>
      <c r="I157" s="17">
        <f>IF($H157="","",_xlfn.WORKDAY.INTL(cfgStartDate-1,$H157,"0000011",nrAllClosures))</f>
        <v/>
      </c>
      <c r="J157" s="15">
        <f>IF($H157="","",INT(($I157-(cfgStartDate-WEEKDAY(cfgStartDate,2)+1))/7)+1)</f>
        <v/>
      </c>
      <c r="K157" s="15">
        <f>IF($H157="","",IF($I157&lt;=cfgEndDate,"Yes","No"))</f>
        <v/>
      </c>
    </row>
    <row r="158">
      <c r="H158" s="15" t="n">
        <v>153</v>
      </c>
      <c r="I158" s="17">
        <f>IF($H158="","",_xlfn.WORKDAY.INTL(cfgStartDate-1,$H158,"0000011",nrAllClosures))</f>
        <v/>
      </c>
      <c r="J158" s="15">
        <f>IF($H158="","",INT(($I158-(cfgStartDate-WEEKDAY(cfgStartDate,2)+1))/7)+1)</f>
        <v/>
      </c>
      <c r="K158" s="15">
        <f>IF($H158="","",IF($I158&lt;=cfgEndDate,"Yes","No"))</f>
        <v/>
      </c>
    </row>
    <row r="159">
      <c r="H159" s="15" t="n">
        <v>154</v>
      </c>
      <c r="I159" s="17">
        <f>IF($H159="","",_xlfn.WORKDAY.INTL(cfgStartDate-1,$H159,"0000011",nrAllClosures))</f>
        <v/>
      </c>
      <c r="J159" s="15">
        <f>IF($H159="","",INT(($I159-(cfgStartDate-WEEKDAY(cfgStartDate,2)+1))/7)+1)</f>
        <v/>
      </c>
      <c r="K159" s="15">
        <f>IF($H159="","",IF($I159&lt;=cfgEndDate,"Yes","No"))</f>
        <v/>
      </c>
    </row>
    <row r="160">
      <c r="H160" s="15" t="n">
        <v>155</v>
      </c>
      <c r="I160" s="17">
        <f>IF($H160="","",_xlfn.WORKDAY.INTL(cfgStartDate-1,$H160,"0000011",nrAllClosures))</f>
        <v/>
      </c>
      <c r="J160" s="15">
        <f>IF($H160="","",INT(($I160-(cfgStartDate-WEEKDAY(cfgStartDate,2)+1))/7)+1)</f>
        <v/>
      </c>
      <c r="K160" s="15">
        <f>IF($H160="","",IF($I160&lt;=cfgEndDate,"Yes","No"))</f>
        <v/>
      </c>
    </row>
    <row r="161">
      <c r="H161" s="15" t="n">
        <v>156</v>
      </c>
      <c r="I161" s="17">
        <f>IF($H161="","",_xlfn.WORKDAY.INTL(cfgStartDate-1,$H161,"0000011",nrAllClosures))</f>
        <v/>
      </c>
      <c r="J161" s="15">
        <f>IF($H161="","",INT(($I161-(cfgStartDate-WEEKDAY(cfgStartDate,2)+1))/7)+1)</f>
        <v/>
      </c>
      <c r="K161" s="15">
        <f>IF($H161="","",IF($I161&lt;=cfgEndDate,"Yes","No"))</f>
        <v/>
      </c>
    </row>
    <row r="162">
      <c r="H162" s="15" t="n">
        <v>157</v>
      </c>
      <c r="I162" s="17">
        <f>IF($H162="","",_xlfn.WORKDAY.INTL(cfgStartDate-1,$H162,"0000011",nrAllClosures))</f>
        <v/>
      </c>
      <c r="J162" s="15">
        <f>IF($H162="","",INT(($I162-(cfgStartDate-WEEKDAY(cfgStartDate,2)+1))/7)+1)</f>
        <v/>
      </c>
      <c r="K162" s="15">
        <f>IF($H162="","",IF($I162&lt;=cfgEndDate,"Yes","No"))</f>
        <v/>
      </c>
    </row>
    <row r="163">
      <c r="H163" s="15" t="n">
        <v>158</v>
      </c>
      <c r="I163" s="17">
        <f>IF($H163="","",_xlfn.WORKDAY.INTL(cfgStartDate-1,$H163,"0000011",nrAllClosures))</f>
        <v/>
      </c>
      <c r="J163" s="15">
        <f>IF($H163="","",INT(($I163-(cfgStartDate-WEEKDAY(cfgStartDate,2)+1))/7)+1)</f>
        <v/>
      </c>
      <c r="K163" s="15">
        <f>IF($H163="","",IF($I163&lt;=cfgEndDate,"Yes","No"))</f>
        <v/>
      </c>
    </row>
    <row r="164">
      <c r="H164" s="15" t="n">
        <v>159</v>
      </c>
      <c r="I164" s="17">
        <f>IF($H164="","",_xlfn.WORKDAY.INTL(cfgStartDate-1,$H164,"0000011",nrAllClosures))</f>
        <v/>
      </c>
      <c r="J164" s="15">
        <f>IF($H164="","",INT(($I164-(cfgStartDate-WEEKDAY(cfgStartDate,2)+1))/7)+1)</f>
        <v/>
      </c>
      <c r="K164" s="15">
        <f>IF($H164="","",IF($I164&lt;=cfgEndDate,"Yes","No"))</f>
        <v/>
      </c>
    </row>
    <row r="165">
      <c r="H165" s="15" t="n">
        <v>160</v>
      </c>
      <c r="I165" s="17">
        <f>IF($H165="","",_xlfn.WORKDAY.INTL(cfgStartDate-1,$H165,"0000011",nrAllClosures))</f>
        <v/>
      </c>
      <c r="J165" s="15">
        <f>IF($H165="","",INT(($I165-(cfgStartDate-WEEKDAY(cfgStartDate,2)+1))/7)+1)</f>
        <v/>
      </c>
      <c r="K165" s="15">
        <f>IF($H165="","",IF($I165&lt;=cfgEndDate,"Yes","No"))</f>
        <v/>
      </c>
    </row>
    <row r="166">
      <c r="H166" s="15" t="n">
        <v>161</v>
      </c>
      <c r="I166" s="17">
        <f>IF($H166="","",_xlfn.WORKDAY.INTL(cfgStartDate-1,$H166,"0000011",nrAllClosures))</f>
        <v/>
      </c>
      <c r="J166" s="15">
        <f>IF($H166="","",INT(($I166-(cfgStartDate-WEEKDAY(cfgStartDate,2)+1))/7)+1)</f>
        <v/>
      </c>
      <c r="K166" s="15">
        <f>IF($H166="","",IF($I166&lt;=cfgEndDate,"Yes","No"))</f>
        <v/>
      </c>
    </row>
    <row r="167">
      <c r="H167" s="15" t="n">
        <v>162</v>
      </c>
      <c r="I167" s="17">
        <f>IF($H167="","",_xlfn.WORKDAY.INTL(cfgStartDate-1,$H167,"0000011",nrAllClosures))</f>
        <v/>
      </c>
      <c r="J167" s="15">
        <f>IF($H167="","",INT(($I167-(cfgStartDate-WEEKDAY(cfgStartDate,2)+1))/7)+1)</f>
        <v/>
      </c>
      <c r="K167" s="15">
        <f>IF($H167="","",IF($I167&lt;=cfgEndDate,"Yes","No"))</f>
        <v/>
      </c>
    </row>
    <row r="168">
      <c r="H168" s="15" t="n">
        <v>163</v>
      </c>
      <c r="I168" s="17">
        <f>IF($H168="","",_xlfn.WORKDAY.INTL(cfgStartDate-1,$H168,"0000011",nrAllClosures))</f>
        <v/>
      </c>
      <c r="J168" s="15">
        <f>IF($H168="","",INT(($I168-(cfgStartDate-WEEKDAY(cfgStartDate,2)+1))/7)+1)</f>
        <v/>
      </c>
      <c r="K168" s="15">
        <f>IF($H168="","",IF($I168&lt;=cfgEndDate,"Yes","No"))</f>
        <v/>
      </c>
    </row>
    <row r="169">
      <c r="H169" s="15" t="n">
        <v>164</v>
      </c>
      <c r="I169" s="17">
        <f>IF($H169="","",_xlfn.WORKDAY.INTL(cfgStartDate-1,$H169,"0000011",nrAllClosures))</f>
        <v/>
      </c>
      <c r="J169" s="15">
        <f>IF($H169="","",INT(($I169-(cfgStartDate-WEEKDAY(cfgStartDate,2)+1))/7)+1)</f>
        <v/>
      </c>
      <c r="K169" s="15">
        <f>IF($H169="","",IF($I169&lt;=cfgEndDate,"Yes","No"))</f>
        <v/>
      </c>
    </row>
    <row r="170">
      <c r="H170" s="15" t="n">
        <v>165</v>
      </c>
      <c r="I170" s="17">
        <f>IF($H170="","",_xlfn.WORKDAY.INTL(cfgStartDate-1,$H170,"0000011",nrAllClosures))</f>
        <v/>
      </c>
      <c r="J170" s="15">
        <f>IF($H170="","",INT(($I170-(cfgStartDate-WEEKDAY(cfgStartDate,2)+1))/7)+1)</f>
        <v/>
      </c>
      <c r="K170" s="15">
        <f>IF($H170="","",IF($I170&lt;=cfgEndDate,"Yes","No"))</f>
        <v/>
      </c>
    </row>
    <row r="171">
      <c r="H171" s="15" t="n">
        <v>166</v>
      </c>
      <c r="I171" s="17">
        <f>IF($H171="","",_xlfn.WORKDAY.INTL(cfgStartDate-1,$H171,"0000011",nrAllClosures))</f>
        <v/>
      </c>
      <c r="J171" s="15">
        <f>IF($H171="","",INT(($I171-(cfgStartDate-WEEKDAY(cfgStartDate,2)+1))/7)+1)</f>
        <v/>
      </c>
      <c r="K171" s="15">
        <f>IF($H171="","",IF($I171&lt;=cfgEndDate,"Yes","No"))</f>
        <v/>
      </c>
    </row>
    <row r="172">
      <c r="H172" s="15" t="n">
        <v>167</v>
      </c>
      <c r="I172" s="17">
        <f>IF($H172="","",_xlfn.WORKDAY.INTL(cfgStartDate-1,$H172,"0000011",nrAllClosures))</f>
        <v/>
      </c>
      <c r="J172" s="15">
        <f>IF($H172="","",INT(($I172-(cfgStartDate-WEEKDAY(cfgStartDate,2)+1))/7)+1)</f>
        <v/>
      </c>
      <c r="K172" s="15">
        <f>IF($H172="","",IF($I172&lt;=cfgEndDate,"Yes","No"))</f>
        <v/>
      </c>
    </row>
    <row r="173">
      <c r="H173" s="15" t="n">
        <v>168</v>
      </c>
      <c r="I173" s="17">
        <f>IF($H173="","",_xlfn.WORKDAY.INTL(cfgStartDate-1,$H173,"0000011",nrAllClosures))</f>
        <v/>
      </c>
      <c r="J173" s="15">
        <f>IF($H173="","",INT(($I173-(cfgStartDate-WEEKDAY(cfgStartDate,2)+1))/7)+1)</f>
        <v/>
      </c>
      <c r="K173" s="15">
        <f>IF($H173="","",IF($I173&lt;=cfgEndDate,"Yes","No"))</f>
        <v/>
      </c>
    </row>
    <row r="174">
      <c r="H174" s="15" t="n">
        <v>169</v>
      </c>
      <c r="I174" s="17">
        <f>IF($H174="","",_xlfn.WORKDAY.INTL(cfgStartDate-1,$H174,"0000011",nrAllClosures))</f>
        <v/>
      </c>
      <c r="J174" s="15">
        <f>IF($H174="","",INT(($I174-(cfgStartDate-WEEKDAY(cfgStartDate,2)+1))/7)+1)</f>
        <v/>
      </c>
      <c r="K174" s="15">
        <f>IF($H174="","",IF($I174&lt;=cfgEndDate,"Yes","No"))</f>
        <v/>
      </c>
    </row>
    <row r="175">
      <c r="H175" s="15" t="n">
        <v>170</v>
      </c>
      <c r="I175" s="17">
        <f>IF($H175="","",_xlfn.WORKDAY.INTL(cfgStartDate-1,$H175,"0000011",nrAllClosures))</f>
        <v/>
      </c>
      <c r="J175" s="15">
        <f>IF($H175="","",INT(($I175-(cfgStartDate-WEEKDAY(cfgStartDate,2)+1))/7)+1)</f>
        <v/>
      </c>
      <c r="K175" s="15">
        <f>IF($H175="","",IF($I175&lt;=cfgEndDate,"Yes","No"))</f>
        <v/>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fitToPage="1"/>
  </sheetPr>
  <dimension ref="A1:M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s>
  <sheetData>
    <row r="1"/>
    <row r="2"/>
    <row r="3"/>
    <row r="4">
      <c r="B4" s="8" t="inlineStr">
        <is>
          <t>One row per time block (a day usually has several). Hours, chapter reconciliation, sign-in sheets, writing dates and eval headers all read from here. Printable as-is (File &gt; Print).</t>
        </is>
      </c>
    </row>
    <row r="5" ht="26" customHeight="1">
      <c r="B5" s="9" t="inlineStr">
        <is>
          <t>Date</t>
        </is>
      </c>
      <c r="C5" s="9" t="inlineStr">
        <is>
          <t>Day</t>
        </is>
      </c>
      <c r="D5" s="9" t="inlineStr">
        <is>
          <t>Start</t>
        </is>
      </c>
      <c r="E5" s="9" t="inlineStr">
        <is>
          <t>End</t>
        </is>
      </c>
      <c r="F5" s="9" t="inlineStr">
        <is>
          <t>Hours</t>
        </is>
      </c>
      <c r="G5" s="9" t="inlineStr">
        <is>
          <t>Chapter / Activity</t>
        </is>
      </c>
      <c r="H5" s="9" t="inlineStr">
        <is>
          <t>Ch #</t>
        </is>
      </c>
      <c r="I5" s="9" t="inlineStr">
        <is>
          <t>Instructor</t>
        </is>
      </c>
      <c r="J5" s="9" t="inlineStr">
        <is>
          <t>Location</t>
        </is>
      </c>
      <c r="K5" s="9" t="inlineStr">
        <is>
          <t>Week #</t>
        </is>
      </c>
      <c r="L5" s="9" t="inlineStr">
        <is>
          <t>Day #</t>
        </is>
      </c>
      <c r="M5" s="9" t="inlineStr">
        <is>
          <t>Notes</t>
        </is>
      </c>
    </row>
    <row r="6">
      <c r="B6" s="16" t="n"/>
      <c r="C6" s="15">
        <f>IF($B6="","",TEXT($B6,"ddd"))</f>
        <v/>
      </c>
      <c r="D6" s="40" t="n"/>
      <c r="E6" s="40" t="n"/>
      <c r="F6" s="15">
        <f>IF(OR($B6="",$D6="",$E6=""),"",ROUND(($E6-$D6)*24,2))</f>
        <v/>
      </c>
      <c r="G6" s="14" t="n"/>
      <c r="H6" s="15">
        <f>IF($G6="","",IFERROR(_xlfn.XLOOKUP($G6,nrCHname,nrCHnum),""))</f>
        <v/>
      </c>
      <c r="I6" s="14" t="n"/>
      <c r="J6" s="14" t="n"/>
      <c r="K6" s="15">
        <f>IF($B6="","",IFERROR(_xlfn.XLOOKUP($B6,nrCDdate,nrCDweek),""))</f>
        <v/>
      </c>
      <c r="L6" s="15">
        <f>IF($B6="","",IFERROR(_xlfn.XLOOKUP($B6,nrCDdate,nrCDnum),""))</f>
        <v/>
      </c>
      <c r="M6" s="14" t="n"/>
    </row>
    <row r="7">
      <c r="B7" s="16" t="n"/>
      <c r="C7" s="15">
        <f>IF($B7="","",TEXT($B7,"ddd"))</f>
        <v/>
      </c>
      <c r="D7" s="40" t="n"/>
      <c r="E7" s="40" t="n"/>
      <c r="F7" s="15">
        <f>IF(OR($B7="",$D7="",$E7=""),"",ROUND(($E7-$D7)*24,2))</f>
        <v/>
      </c>
      <c r="G7" s="14" t="n"/>
      <c r="H7" s="15">
        <f>IF($G7="","",IFERROR(_xlfn.XLOOKUP($G7,nrCHname,nrCHnum),""))</f>
        <v/>
      </c>
      <c r="I7" s="14" t="n"/>
      <c r="J7" s="14" t="n"/>
      <c r="K7" s="15">
        <f>IF($B7="","",IFERROR(_xlfn.XLOOKUP($B7,nrCDdate,nrCDweek),""))</f>
        <v/>
      </c>
      <c r="L7" s="15">
        <f>IF($B7="","",IFERROR(_xlfn.XLOOKUP($B7,nrCDdate,nrCDnum),""))</f>
        <v/>
      </c>
      <c r="M7" s="14" t="n"/>
    </row>
    <row r="8">
      <c r="B8" s="16" t="n"/>
      <c r="C8" s="15">
        <f>IF($B8="","",TEXT($B8,"ddd"))</f>
        <v/>
      </c>
      <c r="D8" s="40" t="n"/>
      <c r="E8" s="40" t="n"/>
      <c r="F8" s="15">
        <f>IF(OR($B8="",$D8="",$E8=""),"",ROUND(($E8-$D8)*24,2))</f>
        <v/>
      </c>
      <c r="G8" s="14" t="n"/>
      <c r="H8" s="15">
        <f>IF($G8="","",IFERROR(_xlfn.XLOOKUP($G8,nrCHname,nrCHnum),""))</f>
        <v/>
      </c>
      <c r="I8" s="14" t="n"/>
      <c r="J8" s="14" t="n"/>
      <c r="K8" s="15">
        <f>IF($B8="","",IFERROR(_xlfn.XLOOKUP($B8,nrCDdate,nrCDweek),""))</f>
        <v/>
      </c>
      <c r="L8" s="15">
        <f>IF($B8="","",IFERROR(_xlfn.XLOOKUP($B8,nrCDdate,nrCDnum),""))</f>
        <v/>
      </c>
      <c r="M8" s="14" t="n"/>
    </row>
    <row r="9">
      <c r="B9" s="16" t="n"/>
      <c r="C9" s="15">
        <f>IF($B9="","",TEXT($B9,"ddd"))</f>
        <v/>
      </c>
      <c r="D9" s="40" t="n"/>
      <c r="E9" s="40" t="n"/>
      <c r="F9" s="15">
        <f>IF(OR($B9="",$D9="",$E9=""),"",ROUND(($E9-$D9)*24,2))</f>
        <v/>
      </c>
      <c r="G9" s="14" t="n"/>
      <c r="H9" s="15">
        <f>IF($G9="","",IFERROR(_xlfn.XLOOKUP($G9,nrCHname,nrCHnum),""))</f>
        <v/>
      </c>
      <c r="I9" s="14" t="n"/>
      <c r="J9" s="14" t="n"/>
      <c r="K9" s="15">
        <f>IF($B9="","",IFERROR(_xlfn.XLOOKUP($B9,nrCDdate,nrCDweek),""))</f>
        <v/>
      </c>
      <c r="L9" s="15">
        <f>IF($B9="","",IFERROR(_xlfn.XLOOKUP($B9,nrCDdate,nrCDnum),""))</f>
        <v/>
      </c>
      <c r="M9" s="14" t="n"/>
    </row>
    <row r="10">
      <c r="B10" s="16" t="n"/>
      <c r="C10" s="15">
        <f>IF($B10="","",TEXT($B10,"ddd"))</f>
        <v/>
      </c>
      <c r="D10" s="40" t="n"/>
      <c r="E10" s="40" t="n"/>
      <c r="F10" s="15">
        <f>IF(OR($B10="",$D10="",$E10=""),"",ROUND(($E10-$D10)*24,2))</f>
        <v/>
      </c>
      <c r="G10" s="14" t="n"/>
      <c r="H10" s="15">
        <f>IF($G10="","",IFERROR(_xlfn.XLOOKUP($G10,nrCHname,nrCHnum),""))</f>
        <v/>
      </c>
      <c r="I10" s="14" t="n"/>
      <c r="J10" s="14" t="n"/>
      <c r="K10" s="15">
        <f>IF($B10="","",IFERROR(_xlfn.XLOOKUP($B10,nrCDdate,nrCDweek),""))</f>
        <v/>
      </c>
      <c r="L10" s="15">
        <f>IF($B10="","",IFERROR(_xlfn.XLOOKUP($B10,nrCDdate,nrCDnum),""))</f>
        <v/>
      </c>
      <c r="M10" s="14" t="n"/>
    </row>
    <row r="11">
      <c r="B11" s="16" t="n"/>
      <c r="C11" s="15">
        <f>IF($B11="","",TEXT($B11,"ddd"))</f>
        <v/>
      </c>
      <c r="D11" s="40" t="n"/>
      <c r="E11" s="40" t="n"/>
      <c r="F11" s="15">
        <f>IF(OR($B11="",$D11="",$E11=""),"",ROUND(($E11-$D11)*24,2))</f>
        <v/>
      </c>
      <c r="G11" s="14" t="n"/>
      <c r="H11" s="15">
        <f>IF($G11="","",IFERROR(_xlfn.XLOOKUP($G11,nrCHname,nrCHnum),""))</f>
        <v/>
      </c>
      <c r="I11" s="14" t="n"/>
      <c r="J11" s="14" t="n"/>
      <c r="K11" s="15">
        <f>IF($B11="","",IFERROR(_xlfn.XLOOKUP($B11,nrCDdate,nrCDweek),""))</f>
        <v/>
      </c>
      <c r="L11" s="15">
        <f>IF($B11="","",IFERROR(_xlfn.XLOOKUP($B11,nrCDdate,nrCDnum),""))</f>
        <v/>
      </c>
      <c r="M11" s="14" t="n"/>
    </row>
    <row r="12">
      <c r="B12" s="16" t="n"/>
      <c r="C12" s="15">
        <f>IF($B12="","",TEXT($B12,"ddd"))</f>
        <v/>
      </c>
      <c r="D12" s="40" t="n"/>
      <c r="E12" s="40" t="n"/>
      <c r="F12" s="15">
        <f>IF(OR($B12="",$D12="",$E12=""),"",ROUND(($E12-$D12)*24,2))</f>
        <v/>
      </c>
      <c r="G12" s="14" t="n"/>
      <c r="H12" s="15">
        <f>IF($G12="","",IFERROR(_xlfn.XLOOKUP($G12,nrCHname,nrCHnum),""))</f>
        <v/>
      </c>
      <c r="I12" s="14" t="n"/>
      <c r="J12" s="14" t="n"/>
      <c r="K12" s="15">
        <f>IF($B12="","",IFERROR(_xlfn.XLOOKUP($B12,nrCDdate,nrCDweek),""))</f>
        <v/>
      </c>
      <c r="L12" s="15">
        <f>IF($B12="","",IFERROR(_xlfn.XLOOKUP($B12,nrCDdate,nrCDnum),""))</f>
        <v/>
      </c>
      <c r="M12" s="14" t="n"/>
    </row>
    <row r="13">
      <c r="B13" s="16" t="n"/>
      <c r="C13" s="15">
        <f>IF($B13="","",TEXT($B13,"ddd"))</f>
        <v/>
      </c>
      <c r="D13" s="40" t="n"/>
      <c r="E13" s="40" t="n"/>
      <c r="F13" s="15">
        <f>IF(OR($B13="",$D13="",$E13=""),"",ROUND(($E13-$D13)*24,2))</f>
        <v/>
      </c>
      <c r="G13" s="14" t="n"/>
      <c r="H13" s="15">
        <f>IF($G13="","",IFERROR(_xlfn.XLOOKUP($G13,nrCHname,nrCHnum),""))</f>
        <v/>
      </c>
      <c r="I13" s="14" t="n"/>
      <c r="J13" s="14" t="n"/>
      <c r="K13" s="15">
        <f>IF($B13="","",IFERROR(_xlfn.XLOOKUP($B13,nrCDdate,nrCDweek),""))</f>
        <v/>
      </c>
      <c r="L13" s="15">
        <f>IF($B13="","",IFERROR(_xlfn.XLOOKUP($B13,nrCDdate,nrCDnum),""))</f>
        <v/>
      </c>
      <c r="M13" s="14" t="n"/>
    </row>
    <row r="14">
      <c r="B14" s="16" t="n"/>
      <c r="C14" s="15">
        <f>IF($B14="","",TEXT($B14,"ddd"))</f>
        <v/>
      </c>
      <c r="D14" s="40" t="n"/>
      <c r="E14" s="40" t="n"/>
      <c r="F14" s="15">
        <f>IF(OR($B14="",$D14="",$E14=""),"",ROUND(($E14-$D14)*24,2))</f>
        <v/>
      </c>
      <c r="G14" s="14" t="n"/>
      <c r="H14" s="15">
        <f>IF($G14="","",IFERROR(_xlfn.XLOOKUP($G14,nrCHname,nrCHnum),""))</f>
        <v/>
      </c>
      <c r="I14" s="14" t="n"/>
      <c r="J14" s="14" t="n"/>
      <c r="K14" s="15">
        <f>IF($B14="","",IFERROR(_xlfn.XLOOKUP($B14,nrCDdate,nrCDweek),""))</f>
        <v/>
      </c>
      <c r="L14" s="15">
        <f>IF($B14="","",IFERROR(_xlfn.XLOOKUP($B14,nrCDdate,nrCDnum),""))</f>
        <v/>
      </c>
      <c r="M14" s="14" t="n"/>
    </row>
    <row r="15">
      <c r="B15" s="16" t="n"/>
      <c r="C15" s="15">
        <f>IF($B15="","",TEXT($B15,"ddd"))</f>
        <v/>
      </c>
      <c r="D15" s="40" t="n"/>
      <c r="E15" s="40" t="n"/>
      <c r="F15" s="15">
        <f>IF(OR($B15="",$D15="",$E15=""),"",ROUND(($E15-$D15)*24,2))</f>
        <v/>
      </c>
      <c r="G15" s="14" t="n"/>
      <c r="H15" s="15">
        <f>IF($G15="","",IFERROR(_xlfn.XLOOKUP($G15,nrCHname,nrCHnum),""))</f>
        <v/>
      </c>
      <c r="I15" s="14" t="n"/>
      <c r="J15" s="14" t="n"/>
      <c r="K15" s="15">
        <f>IF($B15="","",IFERROR(_xlfn.XLOOKUP($B15,nrCDdate,nrCDweek),""))</f>
        <v/>
      </c>
      <c r="L15" s="15">
        <f>IF($B15="","",IFERROR(_xlfn.XLOOKUP($B15,nrCDdate,nrCDnum),""))</f>
        <v/>
      </c>
      <c r="M15" s="14" t="n"/>
    </row>
    <row r="16">
      <c r="B16" s="16" t="n"/>
      <c r="C16" s="15">
        <f>IF($B16="","",TEXT($B16,"ddd"))</f>
        <v/>
      </c>
      <c r="D16" s="40" t="n"/>
      <c r="E16" s="40" t="n"/>
      <c r="F16" s="15">
        <f>IF(OR($B16="",$D16="",$E16=""),"",ROUND(($E16-$D16)*24,2))</f>
        <v/>
      </c>
      <c r="G16" s="14" t="n"/>
      <c r="H16" s="15">
        <f>IF($G16="","",IFERROR(_xlfn.XLOOKUP($G16,nrCHname,nrCHnum),""))</f>
        <v/>
      </c>
      <c r="I16" s="14" t="n"/>
      <c r="J16" s="14" t="n"/>
      <c r="K16" s="15">
        <f>IF($B16="","",IFERROR(_xlfn.XLOOKUP($B16,nrCDdate,nrCDweek),""))</f>
        <v/>
      </c>
      <c r="L16" s="15">
        <f>IF($B16="","",IFERROR(_xlfn.XLOOKUP($B16,nrCDdate,nrCDnum),""))</f>
        <v/>
      </c>
      <c r="M16" s="14" t="n"/>
    </row>
    <row r="17">
      <c r="B17" s="16" t="n"/>
      <c r="C17" s="15">
        <f>IF($B17="","",TEXT($B17,"ddd"))</f>
        <v/>
      </c>
      <c r="D17" s="40" t="n"/>
      <c r="E17" s="40" t="n"/>
      <c r="F17" s="15">
        <f>IF(OR($B17="",$D17="",$E17=""),"",ROUND(($E17-$D17)*24,2))</f>
        <v/>
      </c>
      <c r="G17" s="14" t="n"/>
      <c r="H17" s="15">
        <f>IF($G17="","",IFERROR(_xlfn.XLOOKUP($G17,nrCHname,nrCHnum),""))</f>
        <v/>
      </c>
      <c r="I17" s="14" t="n"/>
      <c r="J17" s="14" t="n"/>
      <c r="K17" s="15">
        <f>IF($B17="","",IFERROR(_xlfn.XLOOKUP($B17,nrCDdate,nrCDweek),""))</f>
        <v/>
      </c>
      <c r="L17" s="15">
        <f>IF($B17="","",IFERROR(_xlfn.XLOOKUP($B17,nrCDdate,nrCDnum),""))</f>
        <v/>
      </c>
      <c r="M17" s="14" t="n"/>
    </row>
    <row r="18">
      <c r="B18" s="16" t="n"/>
      <c r="C18" s="15">
        <f>IF($B18="","",TEXT($B18,"ddd"))</f>
        <v/>
      </c>
      <c r="D18" s="40" t="n"/>
      <c r="E18" s="40" t="n"/>
      <c r="F18" s="15">
        <f>IF(OR($B18="",$D18="",$E18=""),"",ROUND(($E18-$D18)*24,2))</f>
        <v/>
      </c>
      <c r="G18" s="14" t="n"/>
      <c r="H18" s="15">
        <f>IF($G18="","",IFERROR(_xlfn.XLOOKUP($G18,nrCHname,nrCHnum),""))</f>
        <v/>
      </c>
      <c r="I18" s="14" t="n"/>
      <c r="J18" s="14" t="n"/>
      <c r="K18" s="15">
        <f>IF($B18="","",IFERROR(_xlfn.XLOOKUP($B18,nrCDdate,nrCDweek),""))</f>
        <v/>
      </c>
      <c r="L18" s="15">
        <f>IF($B18="","",IFERROR(_xlfn.XLOOKUP($B18,nrCDdate,nrCDnum),""))</f>
        <v/>
      </c>
      <c r="M18" s="14" t="n"/>
    </row>
    <row r="19">
      <c r="B19" s="16" t="n"/>
      <c r="C19" s="15">
        <f>IF($B19="","",TEXT($B19,"ddd"))</f>
        <v/>
      </c>
      <c r="D19" s="40" t="n"/>
      <c r="E19" s="40" t="n"/>
      <c r="F19" s="15">
        <f>IF(OR($B19="",$D19="",$E19=""),"",ROUND(($E19-$D19)*24,2))</f>
        <v/>
      </c>
      <c r="G19" s="14" t="n"/>
      <c r="H19" s="15">
        <f>IF($G19="","",IFERROR(_xlfn.XLOOKUP($G19,nrCHname,nrCHnum),""))</f>
        <v/>
      </c>
      <c r="I19" s="14" t="n"/>
      <c r="J19" s="14" t="n"/>
      <c r="K19" s="15">
        <f>IF($B19="","",IFERROR(_xlfn.XLOOKUP($B19,nrCDdate,nrCDweek),""))</f>
        <v/>
      </c>
      <c r="L19" s="15">
        <f>IF($B19="","",IFERROR(_xlfn.XLOOKUP($B19,nrCDdate,nrCDnum),""))</f>
        <v/>
      </c>
      <c r="M19" s="14" t="n"/>
    </row>
    <row r="20">
      <c r="B20" s="16" t="n"/>
      <c r="C20" s="15">
        <f>IF($B20="","",TEXT($B20,"ddd"))</f>
        <v/>
      </c>
      <c r="D20" s="40" t="n"/>
      <c r="E20" s="40" t="n"/>
      <c r="F20" s="15">
        <f>IF(OR($B20="",$D20="",$E20=""),"",ROUND(($E20-$D20)*24,2))</f>
        <v/>
      </c>
      <c r="G20" s="14" t="n"/>
      <c r="H20" s="15">
        <f>IF($G20="","",IFERROR(_xlfn.XLOOKUP($G20,nrCHname,nrCHnum),""))</f>
        <v/>
      </c>
      <c r="I20" s="14" t="n"/>
      <c r="J20" s="14" t="n"/>
      <c r="K20" s="15">
        <f>IF($B20="","",IFERROR(_xlfn.XLOOKUP($B20,nrCDdate,nrCDweek),""))</f>
        <v/>
      </c>
      <c r="L20" s="15">
        <f>IF($B20="","",IFERROR(_xlfn.XLOOKUP($B20,nrCDdate,nrCDnum),""))</f>
        <v/>
      </c>
      <c r="M20" s="14" t="n"/>
    </row>
    <row r="21">
      <c r="B21" s="16" t="n"/>
      <c r="C21" s="15">
        <f>IF($B21="","",TEXT($B21,"ddd"))</f>
        <v/>
      </c>
      <c r="D21" s="40" t="n"/>
      <c r="E21" s="40" t="n"/>
      <c r="F21" s="15">
        <f>IF(OR($B21="",$D21="",$E21=""),"",ROUND(($E21-$D21)*24,2))</f>
        <v/>
      </c>
      <c r="G21" s="14" t="n"/>
      <c r="H21" s="15">
        <f>IF($G21="","",IFERROR(_xlfn.XLOOKUP($G21,nrCHname,nrCHnum),""))</f>
        <v/>
      </c>
      <c r="I21" s="14" t="n"/>
      <c r="J21" s="14" t="n"/>
      <c r="K21" s="15">
        <f>IF($B21="","",IFERROR(_xlfn.XLOOKUP($B21,nrCDdate,nrCDweek),""))</f>
        <v/>
      </c>
      <c r="L21" s="15">
        <f>IF($B21="","",IFERROR(_xlfn.XLOOKUP($B21,nrCDdate,nrCDnum),""))</f>
        <v/>
      </c>
      <c r="M21" s="14" t="n"/>
    </row>
    <row r="22">
      <c r="B22" s="16" t="n"/>
      <c r="C22" s="15">
        <f>IF($B22="","",TEXT($B22,"ddd"))</f>
        <v/>
      </c>
      <c r="D22" s="40" t="n"/>
      <c r="E22" s="40" t="n"/>
      <c r="F22" s="15">
        <f>IF(OR($B22="",$D22="",$E22=""),"",ROUND(($E22-$D22)*24,2))</f>
        <v/>
      </c>
      <c r="G22" s="14" t="n"/>
      <c r="H22" s="15">
        <f>IF($G22="","",IFERROR(_xlfn.XLOOKUP($G22,nrCHname,nrCHnum),""))</f>
        <v/>
      </c>
      <c r="I22" s="14" t="n"/>
      <c r="J22" s="14" t="n"/>
      <c r="K22" s="15">
        <f>IF($B22="","",IFERROR(_xlfn.XLOOKUP($B22,nrCDdate,nrCDweek),""))</f>
        <v/>
      </c>
      <c r="L22" s="15">
        <f>IF($B22="","",IFERROR(_xlfn.XLOOKUP($B22,nrCDdate,nrCDnum),""))</f>
        <v/>
      </c>
      <c r="M22" s="14" t="n"/>
    </row>
    <row r="23">
      <c r="B23" s="16" t="n"/>
      <c r="C23" s="15">
        <f>IF($B23="","",TEXT($B23,"ddd"))</f>
        <v/>
      </c>
      <c r="D23" s="40" t="n"/>
      <c r="E23" s="40" t="n"/>
      <c r="F23" s="15">
        <f>IF(OR($B23="",$D23="",$E23=""),"",ROUND(($E23-$D23)*24,2))</f>
        <v/>
      </c>
      <c r="G23" s="14" t="n"/>
      <c r="H23" s="15">
        <f>IF($G23="","",IFERROR(_xlfn.XLOOKUP($G23,nrCHname,nrCHnum),""))</f>
        <v/>
      </c>
      <c r="I23" s="14" t="n"/>
      <c r="J23" s="14" t="n"/>
      <c r="K23" s="15">
        <f>IF($B23="","",IFERROR(_xlfn.XLOOKUP($B23,nrCDdate,nrCDweek),""))</f>
        <v/>
      </c>
      <c r="L23" s="15">
        <f>IF($B23="","",IFERROR(_xlfn.XLOOKUP($B23,nrCDdate,nrCDnum),""))</f>
        <v/>
      </c>
      <c r="M23" s="14" t="n"/>
    </row>
    <row r="24">
      <c r="B24" s="16" t="n"/>
      <c r="C24" s="15">
        <f>IF($B24="","",TEXT($B24,"ddd"))</f>
        <v/>
      </c>
      <c r="D24" s="40" t="n"/>
      <c r="E24" s="40" t="n"/>
      <c r="F24" s="15">
        <f>IF(OR($B24="",$D24="",$E24=""),"",ROUND(($E24-$D24)*24,2))</f>
        <v/>
      </c>
      <c r="G24" s="14" t="n"/>
      <c r="H24" s="15">
        <f>IF($G24="","",IFERROR(_xlfn.XLOOKUP($G24,nrCHname,nrCHnum),""))</f>
        <v/>
      </c>
      <c r="I24" s="14" t="n"/>
      <c r="J24" s="14" t="n"/>
      <c r="K24" s="15">
        <f>IF($B24="","",IFERROR(_xlfn.XLOOKUP($B24,nrCDdate,nrCDweek),""))</f>
        <v/>
      </c>
      <c r="L24" s="15">
        <f>IF($B24="","",IFERROR(_xlfn.XLOOKUP($B24,nrCDdate,nrCDnum),""))</f>
        <v/>
      </c>
      <c r="M24" s="14" t="n"/>
    </row>
    <row r="25">
      <c r="B25" s="16" t="n"/>
      <c r="C25" s="15">
        <f>IF($B25="","",TEXT($B25,"ddd"))</f>
        <v/>
      </c>
      <c r="D25" s="40" t="n"/>
      <c r="E25" s="40" t="n"/>
      <c r="F25" s="15">
        <f>IF(OR($B25="",$D25="",$E25=""),"",ROUND(($E25-$D25)*24,2))</f>
        <v/>
      </c>
      <c r="G25" s="14" t="n"/>
      <c r="H25" s="15">
        <f>IF($G25="","",IFERROR(_xlfn.XLOOKUP($G25,nrCHname,nrCHnum),""))</f>
        <v/>
      </c>
      <c r="I25" s="14" t="n"/>
      <c r="J25" s="14" t="n"/>
      <c r="K25" s="15">
        <f>IF($B25="","",IFERROR(_xlfn.XLOOKUP($B25,nrCDdate,nrCDweek),""))</f>
        <v/>
      </c>
      <c r="L25" s="15">
        <f>IF($B25="","",IFERROR(_xlfn.XLOOKUP($B25,nrCDdate,nrCDnum),""))</f>
        <v/>
      </c>
      <c r="M25" s="14" t="n"/>
    </row>
    <row r="26">
      <c r="B26" s="16" t="n"/>
      <c r="C26" s="15">
        <f>IF($B26="","",TEXT($B26,"ddd"))</f>
        <v/>
      </c>
      <c r="D26" s="40" t="n"/>
      <c r="E26" s="40" t="n"/>
      <c r="F26" s="15">
        <f>IF(OR($B26="",$D26="",$E26=""),"",ROUND(($E26-$D26)*24,2))</f>
        <v/>
      </c>
      <c r="G26" s="14" t="n"/>
      <c r="H26" s="15">
        <f>IF($G26="","",IFERROR(_xlfn.XLOOKUP($G26,nrCHname,nrCHnum),""))</f>
        <v/>
      </c>
      <c r="I26" s="14" t="n"/>
      <c r="J26" s="14" t="n"/>
      <c r="K26" s="15">
        <f>IF($B26="","",IFERROR(_xlfn.XLOOKUP($B26,nrCDdate,nrCDweek),""))</f>
        <v/>
      </c>
      <c r="L26" s="15">
        <f>IF($B26="","",IFERROR(_xlfn.XLOOKUP($B26,nrCDdate,nrCDnum),""))</f>
        <v/>
      </c>
      <c r="M26" s="14" t="n"/>
    </row>
    <row r="27">
      <c r="B27" s="16" t="n"/>
      <c r="C27" s="15">
        <f>IF($B27="","",TEXT($B27,"ddd"))</f>
        <v/>
      </c>
      <c r="D27" s="40" t="n"/>
      <c r="E27" s="40" t="n"/>
      <c r="F27" s="15">
        <f>IF(OR($B27="",$D27="",$E27=""),"",ROUND(($E27-$D27)*24,2))</f>
        <v/>
      </c>
      <c r="G27" s="14" t="n"/>
      <c r="H27" s="15">
        <f>IF($G27="","",IFERROR(_xlfn.XLOOKUP($G27,nrCHname,nrCHnum),""))</f>
        <v/>
      </c>
      <c r="I27" s="14" t="n"/>
      <c r="J27" s="14" t="n"/>
      <c r="K27" s="15">
        <f>IF($B27="","",IFERROR(_xlfn.XLOOKUP($B27,nrCDdate,nrCDweek),""))</f>
        <v/>
      </c>
      <c r="L27" s="15">
        <f>IF($B27="","",IFERROR(_xlfn.XLOOKUP($B27,nrCDdate,nrCDnum),""))</f>
        <v/>
      </c>
      <c r="M27" s="14" t="n"/>
    </row>
    <row r="28">
      <c r="B28" s="16" t="n"/>
      <c r="C28" s="15">
        <f>IF($B28="","",TEXT($B28,"ddd"))</f>
        <v/>
      </c>
      <c r="D28" s="40" t="n"/>
      <c r="E28" s="40" t="n"/>
      <c r="F28" s="15">
        <f>IF(OR($B28="",$D28="",$E28=""),"",ROUND(($E28-$D28)*24,2))</f>
        <v/>
      </c>
      <c r="G28" s="14" t="n"/>
      <c r="H28" s="15">
        <f>IF($G28="","",IFERROR(_xlfn.XLOOKUP($G28,nrCHname,nrCHnum),""))</f>
        <v/>
      </c>
      <c r="I28" s="14" t="n"/>
      <c r="J28" s="14" t="n"/>
      <c r="K28" s="15">
        <f>IF($B28="","",IFERROR(_xlfn.XLOOKUP($B28,nrCDdate,nrCDweek),""))</f>
        <v/>
      </c>
      <c r="L28" s="15">
        <f>IF($B28="","",IFERROR(_xlfn.XLOOKUP($B28,nrCDdate,nrCDnum),""))</f>
        <v/>
      </c>
      <c r="M28" s="14" t="n"/>
    </row>
    <row r="29">
      <c r="B29" s="16" t="n"/>
      <c r="C29" s="15">
        <f>IF($B29="","",TEXT($B29,"ddd"))</f>
        <v/>
      </c>
      <c r="D29" s="40" t="n"/>
      <c r="E29" s="40" t="n"/>
      <c r="F29" s="15">
        <f>IF(OR($B29="",$D29="",$E29=""),"",ROUND(($E29-$D29)*24,2))</f>
        <v/>
      </c>
      <c r="G29" s="14" t="n"/>
      <c r="H29" s="15">
        <f>IF($G29="","",IFERROR(_xlfn.XLOOKUP($G29,nrCHname,nrCHnum),""))</f>
        <v/>
      </c>
      <c r="I29" s="14" t="n"/>
      <c r="J29" s="14" t="n"/>
      <c r="K29" s="15">
        <f>IF($B29="","",IFERROR(_xlfn.XLOOKUP($B29,nrCDdate,nrCDweek),""))</f>
        <v/>
      </c>
      <c r="L29" s="15">
        <f>IF($B29="","",IFERROR(_xlfn.XLOOKUP($B29,nrCDdate,nrCDnum),""))</f>
        <v/>
      </c>
      <c r="M29" s="14" t="n"/>
    </row>
    <row r="30">
      <c r="B30" s="16" t="n"/>
      <c r="C30" s="15">
        <f>IF($B30="","",TEXT($B30,"ddd"))</f>
        <v/>
      </c>
      <c r="D30" s="40" t="n"/>
      <c r="E30" s="40" t="n"/>
      <c r="F30" s="15">
        <f>IF(OR($B30="",$D30="",$E30=""),"",ROUND(($E30-$D30)*24,2))</f>
        <v/>
      </c>
      <c r="G30" s="14" t="n"/>
      <c r="H30" s="15">
        <f>IF($G30="","",IFERROR(_xlfn.XLOOKUP($G30,nrCHname,nrCHnum),""))</f>
        <v/>
      </c>
      <c r="I30" s="14" t="n"/>
      <c r="J30" s="14" t="n"/>
      <c r="K30" s="15">
        <f>IF($B30="","",IFERROR(_xlfn.XLOOKUP($B30,nrCDdate,nrCDweek),""))</f>
        <v/>
      </c>
      <c r="L30" s="15">
        <f>IF($B30="","",IFERROR(_xlfn.XLOOKUP($B30,nrCDdate,nrCDnum),""))</f>
        <v/>
      </c>
      <c r="M30" s="14" t="n"/>
    </row>
    <row r="31">
      <c r="B31" s="16" t="n"/>
      <c r="C31" s="15">
        <f>IF($B31="","",TEXT($B31,"ddd"))</f>
        <v/>
      </c>
      <c r="D31" s="40" t="n"/>
      <c r="E31" s="40" t="n"/>
      <c r="F31" s="15">
        <f>IF(OR($B31="",$D31="",$E31=""),"",ROUND(($E31-$D31)*24,2))</f>
        <v/>
      </c>
      <c r="G31" s="14" t="n"/>
      <c r="H31" s="15">
        <f>IF($G31="","",IFERROR(_xlfn.XLOOKUP($G31,nrCHname,nrCHnum),""))</f>
        <v/>
      </c>
      <c r="I31" s="14" t="n"/>
      <c r="J31" s="14" t="n"/>
      <c r="K31" s="15">
        <f>IF($B31="","",IFERROR(_xlfn.XLOOKUP($B31,nrCDdate,nrCDweek),""))</f>
        <v/>
      </c>
      <c r="L31" s="15">
        <f>IF($B31="","",IFERROR(_xlfn.XLOOKUP($B31,nrCDdate,nrCDnum),""))</f>
        <v/>
      </c>
      <c r="M31" s="14" t="n"/>
    </row>
    <row r="32">
      <c r="B32" s="16" t="n"/>
      <c r="C32" s="15">
        <f>IF($B32="","",TEXT($B32,"ddd"))</f>
        <v/>
      </c>
      <c r="D32" s="40" t="n"/>
      <c r="E32" s="40" t="n"/>
      <c r="F32" s="15">
        <f>IF(OR($B32="",$D32="",$E32=""),"",ROUND(($E32-$D32)*24,2))</f>
        <v/>
      </c>
      <c r="G32" s="14" t="n"/>
      <c r="H32" s="15">
        <f>IF($G32="","",IFERROR(_xlfn.XLOOKUP($G32,nrCHname,nrCHnum),""))</f>
        <v/>
      </c>
      <c r="I32" s="14" t="n"/>
      <c r="J32" s="14" t="n"/>
      <c r="K32" s="15">
        <f>IF($B32="","",IFERROR(_xlfn.XLOOKUP($B32,nrCDdate,nrCDweek),""))</f>
        <v/>
      </c>
      <c r="L32" s="15">
        <f>IF($B32="","",IFERROR(_xlfn.XLOOKUP($B32,nrCDdate,nrCDnum),""))</f>
        <v/>
      </c>
      <c r="M32" s="14" t="n"/>
    </row>
    <row r="33">
      <c r="B33" s="16" t="n"/>
      <c r="C33" s="15">
        <f>IF($B33="","",TEXT($B33,"ddd"))</f>
        <v/>
      </c>
      <c r="D33" s="40" t="n"/>
      <c r="E33" s="40" t="n"/>
      <c r="F33" s="15">
        <f>IF(OR($B33="",$D33="",$E33=""),"",ROUND(($E33-$D33)*24,2))</f>
        <v/>
      </c>
      <c r="G33" s="14" t="n"/>
      <c r="H33" s="15">
        <f>IF($G33="","",IFERROR(_xlfn.XLOOKUP($G33,nrCHname,nrCHnum),""))</f>
        <v/>
      </c>
      <c r="I33" s="14" t="n"/>
      <c r="J33" s="14" t="n"/>
      <c r="K33" s="15">
        <f>IF($B33="","",IFERROR(_xlfn.XLOOKUP($B33,nrCDdate,nrCDweek),""))</f>
        <v/>
      </c>
      <c r="L33" s="15">
        <f>IF($B33="","",IFERROR(_xlfn.XLOOKUP($B33,nrCDdate,nrCDnum),""))</f>
        <v/>
      </c>
      <c r="M33" s="14" t="n"/>
    </row>
    <row r="34">
      <c r="B34" s="16" t="n"/>
      <c r="C34" s="15">
        <f>IF($B34="","",TEXT($B34,"ddd"))</f>
        <v/>
      </c>
      <c r="D34" s="40" t="n"/>
      <c r="E34" s="40" t="n"/>
      <c r="F34" s="15">
        <f>IF(OR($B34="",$D34="",$E34=""),"",ROUND(($E34-$D34)*24,2))</f>
        <v/>
      </c>
      <c r="G34" s="14" t="n"/>
      <c r="H34" s="15">
        <f>IF($G34="","",IFERROR(_xlfn.XLOOKUP($G34,nrCHname,nrCHnum),""))</f>
        <v/>
      </c>
      <c r="I34" s="14" t="n"/>
      <c r="J34" s="14" t="n"/>
      <c r="K34" s="15">
        <f>IF($B34="","",IFERROR(_xlfn.XLOOKUP($B34,nrCDdate,nrCDweek),""))</f>
        <v/>
      </c>
      <c r="L34" s="15">
        <f>IF($B34="","",IFERROR(_xlfn.XLOOKUP($B34,nrCDdate,nrCDnum),""))</f>
        <v/>
      </c>
      <c r="M34" s="14" t="n"/>
    </row>
    <row r="35">
      <c r="B35" s="16" t="n"/>
      <c r="C35" s="15">
        <f>IF($B35="","",TEXT($B35,"ddd"))</f>
        <v/>
      </c>
      <c r="D35" s="40" t="n"/>
      <c r="E35" s="40" t="n"/>
      <c r="F35" s="15">
        <f>IF(OR($B35="",$D35="",$E35=""),"",ROUND(($E35-$D35)*24,2))</f>
        <v/>
      </c>
      <c r="G35" s="14" t="n"/>
      <c r="H35" s="15">
        <f>IF($G35="","",IFERROR(_xlfn.XLOOKUP($G35,nrCHname,nrCHnum),""))</f>
        <v/>
      </c>
      <c r="I35" s="14" t="n"/>
      <c r="J35" s="14" t="n"/>
      <c r="K35" s="15">
        <f>IF($B35="","",IFERROR(_xlfn.XLOOKUP($B35,nrCDdate,nrCDweek),""))</f>
        <v/>
      </c>
      <c r="L35" s="15">
        <f>IF($B35="","",IFERROR(_xlfn.XLOOKUP($B35,nrCDdate,nrCDnum),""))</f>
        <v/>
      </c>
      <c r="M35" s="14" t="n"/>
    </row>
    <row r="36">
      <c r="B36" s="16" t="n"/>
      <c r="C36" s="15">
        <f>IF($B36="","",TEXT($B36,"ddd"))</f>
        <v/>
      </c>
      <c r="D36" s="40" t="n"/>
      <c r="E36" s="40" t="n"/>
      <c r="F36" s="15">
        <f>IF(OR($B36="",$D36="",$E36=""),"",ROUND(($E36-$D36)*24,2))</f>
        <v/>
      </c>
      <c r="G36" s="14" t="n"/>
      <c r="H36" s="15">
        <f>IF($G36="","",IFERROR(_xlfn.XLOOKUP($G36,nrCHname,nrCHnum),""))</f>
        <v/>
      </c>
      <c r="I36" s="14" t="n"/>
      <c r="J36" s="14" t="n"/>
      <c r="K36" s="15">
        <f>IF($B36="","",IFERROR(_xlfn.XLOOKUP($B36,nrCDdate,nrCDweek),""))</f>
        <v/>
      </c>
      <c r="L36" s="15">
        <f>IF($B36="","",IFERROR(_xlfn.XLOOKUP($B36,nrCDdate,nrCDnum),""))</f>
        <v/>
      </c>
      <c r="M36" s="14" t="n"/>
    </row>
    <row r="37">
      <c r="B37" s="16" t="n"/>
      <c r="C37" s="15">
        <f>IF($B37="","",TEXT($B37,"ddd"))</f>
        <v/>
      </c>
      <c r="D37" s="40" t="n"/>
      <c r="E37" s="40" t="n"/>
      <c r="F37" s="15">
        <f>IF(OR($B37="",$D37="",$E37=""),"",ROUND(($E37-$D37)*24,2))</f>
        <v/>
      </c>
      <c r="G37" s="14" t="n"/>
      <c r="H37" s="15">
        <f>IF($G37="","",IFERROR(_xlfn.XLOOKUP($G37,nrCHname,nrCHnum),""))</f>
        <v/>
      </c>
      <c r="I37" s="14" t="n"/>
      <c r="J37" s="14" t="n"/>
      <c r="K37" s="15">
        <f>IF($B37="","",IFERROR(_xlfn.XLOOKUP($B37,nrCDdate,nrCDweek),""))</f>
        <v/>
      </c>
      <c r="L37" s="15">
        <f>IF($B37="","",IFERROR(_xlfn.XLOOKUP($B37,nrCDdate,nrCDnum),""))</f>
        <v/>
      </c>
      <c r="M37" s="14" t="n"/>
    </row>
    <row r="38">
      <c r="B38" s="16" t="n"/>
      <c r="C38" s="15">
        <f>IF($B38="","",TEXT($B38,"ddd"))</f>
        <v/>
      </c>
      <c r="D38" s="40" t="n"/>
      <c r="E38" s="40" t="n"/>
      <c r="F38" s="15">
        <f>IF(OR($B38="",$D38="",$E38=""),"",ROUND(($E38-$D38)*24,2))</f>
        <v/>
      </c>
      <c r="G38" s="14" t="n"/>
      <c r="H38" s="15">
        <f>IF($G38="","",IFERROR(_xlfn.XLOOKUP($G38,nrCHname,nrCHnum),""))</f>
        <v/>
      </c>
      <c r="I38" s="14" t="n"/>
      <c r="J38" s="14" t="n"/>
      <c r="K38" s="15">
        <f>IF($B38="","",IFERROR(_xlfn.XLOOKUP($B38,nrCDdate,nrCDweek),""))</f>
        <v/>
      </c>
      <c r="L38" s="15">
        <f>IF($B38="","",IFERROR(_xlfn.XLOOKUP($B38,nrCDdate,nrCDnum),""))</f>
        <v/>
      </c>
      <c r="M38" s="14" t="n"/>
    </row>
    <row r="39">
      <c r="B39" s="16" t="n"/>
      <c r="C39" s="15">
        <f>IF($B39="","",TEXT($B39,"ddd"))</f>
        <v/>
      </c>
      <c r="D39" s="40" t="n"/>
      <c r="E39" s="40" t="n"/>
      <c r="F39" s="15">
        <f>IF(OR($B39="",$D39="",$E39=""),"",ROUND(($E39-$D39)*24,2))</f>
        <v/>
      </c>
      <c r="G39" s="14" t="n"/>
      <c r="H39" s="15">
        <f>IF($G39="","",IFERROR(_xlfn.XLOOKUP($G39,nrCHname,nrCHnum),""))</f>
        <v/>
      </c>
      <c r="I39" s="14" t="n"/>
      <c r="J39" s="14" t="n"/>
      <c r="K39" s="15">
        <f>IF($B39="","",IFERROR(_xlfn.XLOOKUP($B39,nrCDdate,nrCDweek),""))</f>
        <v/>
      </c>
      <c r="L39" s="15">
        <f>IF($B39="","",IFERROR(_xlfn.XLOOKUP($B39,nrCDdate,nrCDnum),""))</f>
        <v/>
      </c>
      <c r="M39" s="14" t="n"/>
    </row>
    <row r="40">
      <c r="B40" s="16" t="n"/>
      <c r="C40" s="15">
        <f>IF($B40="","",TEXT($B40,"ddd"))</f>
        <v/>
      </c>
      <c r="D40" s="40" t="n"/>
      <c r="E40" s="40" t="n"/>
      <c r="F40" s="15">
        <f>IF(OR($B40="",$D40="",$E40=""),"",ROUND(($E40-$D40)*24,2))</f>
        <v/>
      </c>
      <c r="G40" s="14" t="n"/>
      <c r="H40" s="15">
        <f>IF($G40="","",IFERROR(_xlfn.XLOOKUP($G40,nrCHname,nrCHnum),""))</f>
        <v/>
      </c>
      <c r="I40" s="14" t="n"/>
      <c r="J40" s="14" t="n"/>
      <c r="K40" s="15">
        <f>IF($B40="","",IFERROR(_xlfn.XLOOKUP($B40,nrCDdate,nrCDweek),""))</f>
        <v/>
      </c>
      <c r="L40" s="15">
        <f>IF($B40="","",IFERROR(_xlfn.XLOOKUP($B40,nrCDdate,nrCDnum),""))</f>
        <v/>
      </c>
      <c r="M40" s="14" t="n"/>
    </row>
    <row r="41">
      <c r="B41" s="16" t="n"/>
      <c r="C41" s="15">
        <f>IF($B41="","",TEXT($B41,"ddd"))</f>
        <v/>
      </c>
      <c r="D41" s="40" t="n"/>
      <c r="E41" s="40" t="n"/>
      <c r="F41" s="15">
        <f>IF(OR($B41="",$D41="",$E41=""),"",ROUND(($E41-$D41)*24,2))</f>
        <v/>
      </c>
      <c r="G41" s="14" t="n"/>
      <c r="H41" s="15">
        <f>IF($G41="","",IFERROR(_xlfn.XLOOKUP($G41,nrCHname,nrCHnum),""))</f>
        <v/>
      </c>
      <c r="I41" s="14" t="n"/>
      <c r="J41" s="14" t="n"/>
      <c r="K41" s="15">
        <f>IF($B41="","",IFERROR(_xlfn.XLOOKUP($B41,nrCDdate,nrCDweek),""))</f>
        <v/>
      </c>
      <c r="L41" s="15">
        <f>IF($B41="","",IFERROR(_xlfn.XLOOKUP($B41,nrCDdate,nrCDnum),""))</f>
        <v/>
      </c>
      <c r="M41" s="14" t="n"/>
    </row>
    <row r="42">
      <c r="B42" s="16" t="n"/>
      <c r="C42" s="15">
        <f>IF($B42="","",TEXT($B42,"ddd"))</f>
        <v/>
      </c>
      <c r="D42" s="40" t="n"/>
      <c r="E42" s="40" t="n"/>
      <c r="F42" s="15">
        <f>IF(OR($B42="",$D42="",$E42=""),"",ROUND(($E42-$D42)*24,2))</f>
        <v/>
      </c>
      <c r="G42" s="14" t="n"/>
      <c r="H42" s="15">
        <f>IF($G42="","",IFERROR(_xlfn.XLOOKUP($G42,nrCHname,nrCHnum),""))</f>
        <v/>
      </c>
      <c r="I42" s="14" t="n"/>
      <c r="J42" s="14" t="n"/>
      <c r="K42" s="15">
        <f>IF($B42="","",IFERROR(_xlfn.XLOOKUP($B42,nrCDdate,nrCDweek),""))</f>
        <v/>
      </c>
      <c r="L42" s="15">
        <f>IF($B42="","",IFERROR(_xlfn.XLOOKUP($B42,nrCDdate,nrCDnum),""))</f>
        <v/>
      </c>
      <c r="M42" s="14" t="n"/>
    </row>
    <row r="43">
      <c r="B43" s="16" t="n"/>
      <c r="C43" s="15">
        <f>IF($B43="","",TEXT($B43,"ddd"))</f>
        <v/>
      </c>
      <c r="D43" s="40" t="n"/>
      <c r="E43" s="40" t="n"/>
      <c r="F43" s="15">
        <f>IF(OR($B43="",$D43="",$E43=""),"",ROUND(($E43-$D43)*24,2))</f>
        <v/>
      </c>
      <c r="G43" s="14" t="n"/>
      <c r="H43" s="15">
        <f>IF($G43="","",IFERROR(_xlfn.XLOOKUP($G43,nrCHname,nrCHnum),""))</f>
        <v/>
      </c>
      <c r="I43" s="14" t="n"/>
      <c r="J43" s="14" t="n"/>
      <c r="K43" s="15">
        <f>IF($B43="","",IFERROR(_xlfn.XLOOKUP($B43,nrCDdate,nrCDweek),""))</f>
        <v/>
      </c>
      <c r="L43" s="15">
        <f>IF($B43="","",IFERROR(_xlfn.XLOOKUP($B43,nrCDdate,nrCDnum),""))</f>
        <v/>
      </c>
      <c r="M43" s="14" t="n"/>
    </row>
    <row r="44">
      <c r="B44" s="16" t="n"/>
      <c r="C44" s="15">
        <f>IF($B44="","",TEXT($B44,"ddd"))</f>
        <v/>
      </c>
      <c r="D44" s="40" t="n"/>
      <c r="E44" s="40" t="n"/>
      <c r="F44" s="15">
        <f>IF(OR($B44="",$D44="",$E44=""),"",ROUND(($E44-$D44)*24,2))</f>
        <v/>
      </c>
      <c r="G44" s="14" t="n"/>
      <c r="H44" s="15">
        <f>IF($G44="","",IFERROR(_xlfn.XLOOKUP($G44,nrCHname,nrCHnum),""))</f>
        <v/>
      </c>
      <c r="I44" s="14" t="n"/>
      <c r="J44" s="14" t="n"/>
      <c r="K44" s="15">
        <f>IF($B44="","",IFERROR(_xlfn.XLOOKUP($B44,nrCDdate,nrCDweek),""))</f>
        <v/>
      </c>
      <c r="L44" s="15">
        <f>IF($B44="","",IFERROR(_xlfn.XLOOKUP($B44,nrCDdate,nrCDnum),""))</f>
        <v/>
      </c>
      <c r="M44" s="14" t="n"/>
    </row>
    <row r="45">
      <c r="B45" s="16" t="n"/>
      <c r="C45" s="15">
        <f>IF($B45="","",TEXT($B45,"ddd"))</f>
        <v/>
      </c>
      <c r="D45" s="40" t="n"/>
      <c r="E45" s="40" t="n"/>
      <c r="F45" s="15">
        <f>IF(OR($B45="",$D45="",$E45=""),"",ROUND(($E45-$D45)*24,2))</f>
        <v/>
      </c>
      <c r="G45" s="14" t="n"/>
      <c r="H45" s="15">
        <f>IF($G45="","",IFERROR(_xlfn.XLOOKUP($G45,nrCHname,nrCHnum),""))</f>
        <v/>
      </c>
      <c r="I45" s="14" t="n"/>
      <c r="J45" s="14" t="n"/>
      <c r="K45" s="15">
        <f>IF($B45="","",IFERROR(_xlfn.XLOOKUP($B45,nrCDdate,nrCDweek),""))</f>
        <v/>
      </c>
      <c r="L45" s="15">
        <f>IF($B45="","",IFERROR(_xlfn.XLOOKUP($B45,nrCDdate,nrCDnum),""))</f>
        <v/>
      </c>
      <c r="M45" s="14" t="n"/>
    </row>
    <row r="46">
      <c r="B46" s="16" t="n"/>
      <c r="C46" s="15">
        <f>IF($B46="","",TEXT($B46,"ddd"))</f>
        <v/>
      </c>
      <c r="D46" s="40" t="n"/>
      <c r="E46" s="40" t="n"/>
      <c r="F46" s="15">
        <f>IF(OR($B46="",$D46="",$E46=""),"",ROUND(($E46-$D46)*24,2))</f>
        <v/>
      </c>
      <c r="G46" s="14" t="n"/>
      <c r="H46" s="15">
        <f>IF($G46="","",IFERROR(_xlfn.XLOOKUP($G46,nrCHname,nrCHnum),""))</f>
        <v/>
      </c>
      <c r="I46" s="14" t="n"/>
      <c r="J46" s="14" t="n"/>
      <c r="K46" s="15">
        <f>IF($B46="","",IFERROR(_xlfn.XLOOKUP($B46,nrCDdate,nrCDweek),""))</f>
        <v/>
      </c>
      <c r="L46" s="15">
        <f>IF($B46="","",IFERROR(_xlfn.XLOOKUP($B46,nrCDdate,nrCDnum),""))</f>
        <v/>
      </c>
      <c r="M46" s="14" t="n"/>
    </row>
    <row r="47">
      <c r="B47" s="16" t="n"/>
      <c r="C47" s="15">
        <f>IF($B47="","",TEXT($B47,"ddd"))</f>
        <v/>
      </c>
      <c r="D47" s="40" t="n"/>
      <c r="E47" s="40" t="n"/>
      <c r="F47" s="15">
        <f>IF(OR($B47="",$D47="",$E47=""),"",ROUND(($E47-$D47)*24,2))</f>
        <v/>
      </c>
      <c r="G47" s="14" t="n"/>
      <c r="H47" s="15">
        <f>IF($G47="","",IFERROR(_xlfn.XLOOKUP($G47,nrCHname,nrCHnum),""))</f>
        <v/>
      </c>
      <c r="I47" s="14" t="n"/>
      <c r="J47" s="14" t="n"/>
      <c r="K47" s="15">
        <f>IF($B47="","",IFERROR(_xlfn.XLOOKUP($B47,nrCDdate,nrCDweek),""))</f>
        <v/>
      </c>
      <c r="L47" s="15">
        <f>IF($B47="","",IFERROR(_xlfn.XLOOKUP($B47,nrCDdate,nrCDnum),""))</f>
        <v/>
      </c>
      <c r="M47" s="14" t="n"/>
    </row>
    <row r="48">
      <c r="B48" s="16" t="n"/>
      <c r="C48" s="15">
        <f>IF($B48="","",TEXT($B48,"ddd"))</f>
        <v/>
      </c>
      <c r="D48" s="40" t="n"/>
      <c r="E48" s="40" t="n"/>
      <c r="F48" s="15">
        <f>IF(OR($B48="",$D48="",$E48=""),"",ROUND(($E48-$D48)*24,2))</f>
        <v/>
      </c>
      <c r="G48" s="14" t="n"/>
      <c r="H48" s="15">
        <f>IF($G48="","",IFERROR(_xlfn.XLOOKUP($G48,nrCHname,nrCHnum),""))</f>
        <v/>
      </c>
      <c r="I48" s="14" t="n"/>
      <c r="J48" s="14" t="n"/>
      <c r="K48" s="15">
        <f>IF($B48="","",IFERROR(_xlfn.XLOOKUP($B48,nrCDdate,nrCDweek),""))</f>
        <v/>
      </c>
      <c r="L48" s="15">
        <f>IF($B48="","",IFERROR(_xlfn.XLOOKUP($B48,nrCDdate,nrCDnum),""))</f>
        <v/>
      </c>
      <c r="M48" s="14" t="n"/>
    </row>
    <row r="49">
      <c r="B49" s="16" t="n"/>
      <c r="C49" s="15">
        <f>IF($B49="","",TEXT($B49,"ddd"))</f>
        <v/>
      </c>
      <c r="D49" s="40" t="n"/>
      <c r="E49" s="40" t="n"/>
      <c r="F49" s="15">
        <f>IF(OR($B49="",$D49="",$E49=""),"",ROUND(($E49-$D49)*24,2))</f>
        <v/>
      </c>
      <c r="G49" s="14" t="n"/>
      <c r="H49" s="15">
        <f>IF($G49="","",IFERROR(_xlfn.XLOOKUP($G49,nrCHname,nrCHnum),""))</f>
        <v/>
      </c>
      <c r="I49" s="14" t="n"/>
      <c r="J49" s="14" t="n"/>
      <c r="K49" s="15">
        <f>IF($B49="","",IFERROR(_xlfn.XLOOKUP($B49,nrCDdate,nrCDweek),""))</f>
        <v/>
      </c>
      <c r="L49" s="15">
        <f>IF($B49="","",IFERROR(_xlfn.XLOOKUP($B49,nrCDdate,nrCDnum),""))</f>
        <v/>
      </c>
      <c r="M49" s="14" t="n"/>
    </row>
    <row r="50">
      <c r="B50" s="16" t="n"/>
      <c r="C50" s="15">
        <f>IF($B50="","",TEXT($B50,"ddd"))</f>
        <v/>
      </c>
      <c r="D50" s="40" t="n"/>
      <c r="E50" s="40" t="n"/>
      <c r="F50" s="15">
        <f>IF(OR($B50="",$D50="",$E50=""),"",ROUND(($E50-$D50)*24,2))</f>
        <v/>
      </c>
      <c r="G50" s="14" t="n"/>
      <c r="H50" s="15">
        <f>IF($G50="","",IFERROR(_xlfn.XLOOKUP($G50,nrCHname,nrCHnum),""))</f>
        <v/>
      </c>
      <c r="I50" s="14" t="n"/>
      <c r="J50" s="14" t="n"/>
      <c r="K50" s="15">
        <f>IF($B50="","",IFERROR(_xlfn.XLOOKUP($B50,nrCDdate,nrCDweek),""))</f>
        <v/>
      </c>
      <c r="L50" s="15">
        <f>IF($B50="","",IFERROR(_xlfn.XLOOKUP($B50,nrCDdate,nrCDnum),""))</f>
        <v/>
      </c>
      <c r="M50" s="14" t="n"/>
    </row>
    <row r="51">
      <c r="B51" s="16" t="n"/>
      <c r="C51" s="15">
        <f>IF($B51="","",TEXT($B51,"ddd"))</f>
        <v/>
      </c>
      <c r="D51" s="40" t="n"/>
      <c r="E51" s="40" t="n"/>
      <c r="F51" s="15">
        <f>IF(OR($B51="",$D51="",$E51=""),"",ROUND(($E51-$D51)*24,2))</f>
        <v/>
      </c>
      <c r="G51" s="14" t="n"/>
      <c r="H51" s="15">
        <f>IF($G51="","",IFERROR(_xlfn.XLOOKUP($G51,nrCHname,nrCHnum),""))</f>
        <v/>
      </c>
      <c r="I51" s="14" t="n"/>
      <c r="J51" s="14" t="n"/>
      <c r="K51" s="15">
        <f>IF($B51="","",IFERROR(_xlfn.XLOOKUP($B51,nrCDdate,nrCDweek),""))</f>
        <v/>
      </c>
      <c r="L51" s="15">
        <f>IF($B51="","",IFERROR(_xlfn.XLOOKUP($B51,nrCDdate,nrCDnum),""))</f>
        <v/>
      </c>
      <c r="M51" s="14" t="n"/>
    </row>
    <row r="52">
      <c r="B52" s="16" t="n"/>
      <c r="C52" s="15">
        <f>IF($B52="","",TEXT($B52,"ddd"))</f>
        <v/>
      </c>
      <c r="D52" s="40" t="n"/>
      <c r="E52" s="40" t="n"/>
      <c r="F52" s="15">
        <f>IF(OR($B52="",$D52="",$E52=""),"",ROUND(($E52-$D52)*24,2))</f>
        <v/>
      </c>
      <c r="G52" s="14" t="n"/>
      <c r="H52" s="15">
        <f>IF($G52="","",IFERROR(_xlfn.XLOOKUP($G52,nrCHname,nrCHnum),""))</f>
        <v/>
      </c>
      <c r="I52" s="14" t="n"/>
      <c r="J52" s="14" t="n"/>
      <c r="K52" s="15">
        <f>IF($B52="","",IFERROR(_xlfn.XLOOKUP($B52,nrCDdate,nrCDweek),""))</f>
        <v/>
      </c>
      <c r="L52" s="15">
        <f>IF($B52="","",IFERROR(_xlfn.XLOOKUP($B52,nrCDdate,nrCDnum),""))</f>
        <v/>
      </c>
      <c r="M52" s="14" t="n"/>
    </row>
    <row r="53">
      <c r="B53" s="16" t="n"/>
      <c r="C53" s="15">
        <f>IF($B53="","",TEXT($B53,"ddd"))</f>
        <v/>
      </c>
      <c r="D53" s="40" t="n"/>
      <c r="E53" s="40" t="n"/>
      <c r="F53" s="15">
        <f>IF(OR($B53="",$D53="",$E53=""),"",ROUND(($E53-$D53)*24,2))</f>
        <v/>
      </c>
      <c r="G53" s="14" t="n"/>
      <c r="H53" s="15">
        <f>IF($G53="","",IFERROR(_xlfn.XLOOKUP($G53,nrCHname,nrCHnum),""))</f>
        <v/>
      </c>
      <c r="I53" s="14" t="n"/>
      <c r="J53" s="14" t="n"/>
      <c r="K53" s="15">
        <f>IF($B53="","",IFERROR(_xlfn.XLOOKUP($B53,nrCDdate,nrCDweek),""))</f>
        <v/>
      </c>
      <c r="L53" s="15">
        <f>IF($B53="","",IFERROR(_xlfn.XLOOKUP($B53,nrCDdate,nrCDnum),""))</f>
        <v/>
      </c>
      <c r="M53" s="14" t="n"/>
    </row>
    <row r="54">
      <c r="B54" s="16" t="n"/>
      <c r="C54" s="15">
        <f>IF($B54="","",TEXT($B54,"ddd"))</f>
        <v/>
      </c>
      <c r="D54" s="40" t="n"/>
      <c r="E54" s="40" t="n"/>
      <c r="F54" s="15">
        <f>IF(OR($B54="",$D54="",$E54=""),"",ROUND(($E54-$D54)*24,2))</f>
        <v/>
      </c>
      <c r="G54" s="14" t="n"/>
      <c r="H54" s="15">
        <f>IF($G54="","",IFERROR(_xlfn.XLOOKUP($G54,nrCHname,nrCHnum),""))</f>
        <v/>
      </c>
      <c r="I54" s="14" t="n"/>
      <c r="J54" s="14" t="n"/>
      <c r="K54" s="15">
        <f>IF($B54="","",IFERROR(_xlfn.XLOOKUP($B54,nrCDdate,nrCDweek),""))</f>
        <v/>
      </c>
      <c r="L54" s="15">
        <f>IF($B54="","",IFERROR(_xlfn.XLOOKUP($B54,nrCDdate,nrCDnum),""))</f>
        <v/>
      </c>
      <c r="M54" s="14" t="n"/>
    </row>
    <row r="55">
      <c r="B55" s="16" t="n"/>
      <c r="C55" s="15">
        <f>IF($B55="","",TEXT($B55,"ddd"))</f>
        <v/>
      </c>
      <c r="D55" s="40" t="n"/>
      <c r="E55" s="40" t="n"/>
      <c r="F55" s="15">
        <f>IF(OR($B55="",$D55="",$E55=""),"",ROUND(($E55-$D55)*24,2))</f>
        <v/>
      </c>
      <c r="G55" s="14" t="n"/>
      <c r="H55" s="15">
        <f>IF($G55="","",IFERROR(_xlfn.XLOOKUP($G55,nrCHname,nrCHnum),""))</f>
        <v/>
      </c>
      <c r="I55" s="14" t="n"/>
      <c r="J55" s="14" t="n"/>
      <c r="K55" s="15">
        <f>IF($B55="","",IFERROR(_xlfn.XLOOKUP($B55,nrCDdate,nrCDweek),""))</f>
        <v/>
      </c>
      <c r="L55" s="15">
        <f>IF($B55="","",IFERROR(_xlfn.XLOOKUP($B55,nrCDdate,nrCDnum),""))</f>
        <v/>
      </c>
      <c r="M55" s="14" t="n"/>
    </row>
    <row r="56">
      <c r="B56" s="16" t="n"/>
      <c r="C56" s="15">
        <f>IF($B56="","",TEXT($B56,"ddd"))</f>
        <v/>
      </c>
      <c r="D56" s="40" t="n"/>
      <c r="E56" s="40" t="n"/>
      <c r="F56" s="15">
        <f>IF(OR($B56="",$D56="",$E56=""),"",ROUND(($E56-$D56)*24,2))</f>
        <v/>
      </c>
      <c r="G56" s="14" t="n"/>
      <c r="H56" s="15">
        <f>IF($G56="","",IFERROR(_xlfn.XLOOKUP($G56,nrCHname,nrCHnum),""))</f>
        <v/>
      </c>
      <c r="I56" s="14" t="n"/>
      <c r="J56" s="14" t="n"/>
      <c r="K56" s="15">
        <f>IF($B56="","",IFERROR(_xlfn.XLOOKUP($B56,nrCDdate,nrCDweek),""))</f>
        <v/>
      </c>
      <c r="L56" s="15">
        <f>IF($B56="","",IFERROR(_xlfn.XLOOKUP($B56,nrCDdate,nrCDnum),""))</f>
        <v/>
      </c>
      <c r="M56" s="14" t="n"/>
    </row>
    <row r="57">
      <c r="B57" s="16" t="n"/>
      <c r="C57" s="15">
        <f>IF($B57="","",TEXT($B57,"ddd"))</f>
        <v/>
      </c>
      <c r="D57" s="40" t="n"/>
      <c r="E57" s="40" t="n"/>
      <c r="F57" s="15">
        <f>IF(OR($B57="",$D57="",$E57=""),"",ROUND(($E57-$D57)*24,2))</f>
        <v/>
      </c>
      <c r="G57" s="14" t="n"/>
      <c r="H57" s="15">
        <f>IF($G57="","",IFERROR(_xlfn.XLOOKUP($G57,nrCHname,nrCHnum),""))</f>
        <v/>
      </c>
      <c r="I57" s="14" t="n"/>
      <c r="J57" s="14" t="n"/>
      <c r="K57" s="15">
        <f>IF($B57="","",IFERROR(_xlfn.XLOOKUP($B57,nrCDdate,nrCDweek),""))</f>
        <v/>
      </c>
      <c r="L57" s="15">
        <f>IF($B57="","",IFERROR(_xlfn.XLOOKUP($B57,nrCDdate,nrCDnum),""))</f>
        <v/>
      </c>
      <c r="M57" s="14" t="n"/>
    </row>
    <row r="58">
      <c r="B58" s="16" t="n"/>
      <c r="C58" s="15">
        <f>IF($B58="","",TEXT($B58,"ddd"))</f>
        <v/>
      </c>
      <c r="D58" s="40" t="n"/>
      <c r="E58" s="40" t="n"/>
      <c r="F58" s="15">
        <f>IF(OR($B58="",$D58="",$E58=""),"",ROUND(($E58-$D58)*24,2))</f>
        <v/>
      </c>
      <c r="G58" s="14" t="n"/>
      <c r="H58" s="15">
        <f>IF($G58="","",IFERROR(_xlfn.XLOOKUP($G58,nrCHname,nrCHnum),""))</f>
        <v/>
      </c>
      <c r="I58" s="14" t="n"/>
      <c r="J58" s="14" t="n"/>
      <c r="K58" s="15">
        <f>IF($B58="","",IFERROR(_xlfn.XLOOKUP($B58,nrCDdate,nrCDweek),""))</f>
        <v/>
      </c>
      <c r="L58" s="15">
        <f>IF($B58="","",IFERROR(_xlfn.XLOOKUP($B58,nrCDdate,nrCDnum),""))</f>
        <v/>
      </c>
      <c r="M58" s="14" t="n"/>
    </row>
    <row r="59">
      <c r="B59" s="16" t="n"/>
      <c r="C59" s="15">
        <f>IF($B59="","",TEXT($B59,"ddd"))</f>
        <v/>
      </c>
      <c r="D59" s="40" t="n"/>
      <c r="E59" s="40" t="n"/>
      <c r="F59" s="15">
        <f>IF(OR($B59="",$D59="",$E59=""),"",ROUND(($E59-$D59)*24,2))</f>
        <v/>
      </c>
      <c r="G59" s="14" t="n"/>
      <c r="H59" s="15">
        <f>IF($G59="","",IFERROR(_xlfn.XLOOKUP($G59,nrCHname,nrCHnum),""))</f>
        <v/>
      </c>
      <c r="I59" s="14" t="n"/>
      <c r="J59" s="14" t="n"/>
      <c r="K59" s="15">
        <f>IF($B59="","",IFERROR(_xlfn.XLOOKUP($B59,nrCDdate,nrCDweek),""))</f>
        <v/>
      </c>
      <c r="L59" s="15">
        <f>IF($B59="","",IFERROR(_xlfn.XLOOKUP($B59,nrCDdate,nrCDnum),""))</f>
        <v/>
      </c>
      <c r="M59" s="14" t="n"/>
    </row>
    <row r="60">
      <c r="B60" s="16" t="n"/>
      <c r="C60" s="15">
        <f>IF($B60="","",TEXT($B60,"ddd"))</f>
        <v/>
      </c>
      <c r="D60" s="40" t="n"/>
      <c r="E60" s="40" t="n"/>
      <c r="F60" s="15">
        <f>IF(OR($B60="",$D60="",$E60=""),"",ROUND(($E60-$D60)*24,2))</f>
        <v/>
      </c>
      <c r="G60" s="14" t="n"/>
      <c r="H60" s="15">
        <f>IF($G60="","",IFERROR(_xlfn.XLOOKUP($G60,nrCHname,nrCHnum),""))</f>
        <v/>
      </c>
      <c r="I60" s="14" t="n"/>
      <c r="J60" s="14" t="n"/>
      <c r="K60" s="15">
        <f>IF($B60="","",IFERROR(_xlfn.XLOOKUP($B60,nrCDdate,nrCDweek),""))</f>
        <v/>
      </c>
      <c r="L60" s="15">
        <f>IF($B60="","",IFERROR(_xlfn.XLOOKUP($B60,nrCDdate,nrCDnum),""))</f>
        <v/>
      </c>
      <c r="M60" s="14" t="n"/>
    </row>
    <row r="61">
      <c r="B61" s="16" t="n"/>
      <c r="C61" s="15">
        <f>IF($B61="","",TEXT($B61,"ddd"))</f>
        <v/>
      </c>
      <c r="D61" s="40" t="n"/>
      <c r="E61" s="40" t="n"/>
      <c r="F61" s="15">
        <f>IF(OR($B61="",$D61="",$E61=""),"",ROUND(($E61-$D61)*24,2))</f>
        <v/>
      </c>
      <c r="G61" s="14" t="n"/>
      <c r="H61" s="15">
        <f>IF($G61="","",IFERROR(_xlfn.XLOOKUP($G61,nrCHname,nrCHnum),""))</f>
        <v/>
      </c>
      <c r="I61" s="14" t="n"/>
      <c r="J61" s="14" t="n"/>
      <c r="K61" s="15">
        <f>IF($B61="","",IFERROR(_xlfn.XLOOKUP($B61,nrCDdate,nrCDweek),""))</f>
        <v/>
      </c>
      <c r="L61" s="15">
        <f>IF($B61="","",IFERROR(_xlfn.XLOOKUP($B61,nrCDdate,nrCDnum),""))</f>
        <v/>
      </c>
      <c r="M61" s="14" t="n"/>
    </row>
    <row r="62">
      <c r="B62" s="16" t="n"/>
      <c r="C62" s="15">
        <f>IF($B62="","",TEXT($B62,"ddd"))</f>
        <v/>
      </c>
      <c r="D62" s="40" t="n"/>
      <c r="E62" s="40" t="n"/>
      <c r="F62" s="15">
        <f>IF(OR($B62="",$D62="",$E62=""),"",ROUND(($E62-$D62)*24,2))</f>
        <v/>
      </c>
      <c r="G62" s="14" t="n"/>
      <c r="H62" s="15">
        <f>IF($G62="","",IFERROR(_xlfn.XLOOKUP($G62,nrCHname,nrCHnum),""))</f>
        <v/>
      </c>
      <c r="I62" s="14" t="n"/>
      <c r="J62" s="14" t="n"/>
      <c r="K62" s="15">
        <f>IF($B62="","",IFERROR(_xlfn.XLOOKUP($B62,nrCDdate,nrCDweek),""))</f>
        <v/>
      </c>
      <c r="L62" s="15">
        <f>IF($B62="","",IFERROR(_xlfn.XLOOKUP($B62,nrCDdate,nrCDnum),""))</f>
        <v/>
      </c>
      <c r="M62" s="14" t="n"/>
    </row>
    <row r="63">
      <c r="B63" s="16" t="n"/>
      <c r="C63" s="15">
        <f>IF($B63="","",TEXT($B63,"ddd"))</f>
        <v/>
      </c>
      <c r="D63" s="40" t="n"/>
      <c r="E63" s="40" t="n"/>
      <c r="F63" s="15">
        <f>IF(OR($B63="",$D63="",$E63=""),"",ROUND(($E63-$D63)*24,2))</f>
        <v/>
      </c>
      <c r="G63" s="14" t="n"/>
      <c r="H63" s="15">
        <f>IF($G63="","",IFERROR(_xlfn.XLOOKUP($G63,nrCHname,nrCHnum),""))</f>
        <v/>
      </c>
      <c r="I63" s="14" t="n"/>
      <c r="J63" s="14" t="n"/>
      <c r="K63" s="15">
        <f>IF($B63="","",IFERROR(_xlfn.XLOOKUP($B63,nrCDdate,nrCDweek),""))</f>
        <v/>
      </c>
      <c r="L63" s="15">
        <f>IF($B63="","",IFERROR(_xlfn.XLOOKUP($B63,nrCDdate,nrCDnum),""))</f>
        <v/>
      </c>
      <c r="M63" s="14" t="n"/>
    </row>
    <row r="64">
      <c r="B64" s="16" t="n"/>
      <c r="C64" s="15">
        <f>IF($B64="","",TEXT($B64,"ddd"))</f>
        <v/>
      </c>
      <c r="D64" s="40" t="n"/>
      <c r="E64" s="40" t="n"/>
      <c r="F64" s="15">
        <f>IF(OR($B64="",$D64="",$E64=""),"",ROUND(($E64-$D64)*24,2))</f>
        <v/>
      </c>
      <c r="G64" s="14" t="n"/>
      <c r="H64" s="15">
        <f>IF($G64="","",IFERROR(_xlfn.XLOOKUP($G64,nrCHname,nrCHnum),""))</f>
        <v/>
      </c>
      <c r="I64" s="14" t="n"/>
      <c r="J64" s="14" t="n"/>
      <c r="K64" s="15">
        <f>IF($B64="","",IFERROR(_xlfn.XLOOKUP($B64,nrCDdate,nrCDweek),""))</f>
        <v/>
      </c>
      <c r="L64" s="15">
        <f>IF($B64="","",IFERROR(_xlfn.XLOOKUP($B64,nrCDdate,nrCDnum),""))</f>
        <v/>
      </c>
      <c r="M64" s="14" t="n"/>
    </row>
    <row r="65">
      <c r="B65" s="16" t="n"/>
      <c r="C65" s="15">
        <f>IF($B65="","",TEXT($B65,"ddd"))</f>
        <v/>
      </c>
      <c r="D65" s="40" t="n"/>
      <c r="E65" s="40" t="n"/>
      <c r="F65" s="15">
        <f>IF(OR($B65="",$D65="",$E65=""),"",ROUND(($E65-$D65)*24,2))</f>
        <v/>
      </c>
      <c r="G65" s="14" t="n"/>
      <c r="H65" s="15">
        <f>IF($G65="","",IFERROR(_xlfn.XLOOKUP($G65,nrCHname,nrCHnum),""))</f>
        <v/>
      </c>
      <c r="I65" s="14" t="n"/>
      <c r="J65" s="14" t="n"/>
      <c r="K65" s="15">
        <f>IF($B65="","",IFERROR(_xlfn.XLOOKUP($B65,nrCDdate,nrCDweek),""))</f>
        <v/>
      </c>
      <c r="L65" s="15">
        <f>IF($B65="","",IFERROR(_xlfn.XLOOKUP($B65,nrCDdate,nrCDnum),""))</f>
        <v/>
      </c>
      <c r="M65" s="14" t="n"/>
    </row>
    <row r="66">
      <c r="B66" s="16" t="n"/>
      <c r="C66" s="15">
        <f>IF($B66="","",TEXT($B66,"ddd"))</f>
        <v/>
      </c>
      <c r="D66" s="40" t="n"/>
      <c r="E66" s="40" t="n"/>
      <c r="F66" s="15">
        <f>IF(OR($B66="",$D66="",$E66=""),"",ROUND(($E66-$D66)*24,2))</f>
        <v/>
      </c>
      <c r="G66" s="14" t="n"/>
      <c r="H66" s="15">
        <f>IF($G66="","",IFERROR(_xlfn.XLOOKUP($G66,nrCHname,nrCHnum),""))</f>
        <v/>
      </c>
      <c r="I66" s="14" t="n"/>
      <c r="J66" s="14" t="n"/>
      <c r="K66" s="15">
        <f>IF($B66="","",IFERROR(_xlfn.XLOOKUP($B66,nrCDdate,nrCDweek),""))</f>
        <v/>
      </c>
      <c r="L66" s="15">
        <f>IF($B66="","",IFERROR(_xlfn.XLOOKUP($B66,nrCDdate,nrCDnum),""))</f>
        <v/>
      </c>
      <c r="M66" s="14" t="n"/>
    </row>
    <row r="67">
      <c r="B67" s="16" t="n"/>
      <c r="C67" s="15">
        <f>IF($B67="","",TEXT($B67,"ddd"))</f>
        <v/>
      </c>
      <c r="D67" s="40" t="n"/>
      <c r="E67" s="40" t="n"/>
      <c r="F67" s="15">
        <f>IF(OR($B67="",$D67="",$E67=""),"",ROUND(($E67-$D67)*24,2))</f>
        <v/>
      </c>
      <c r="G67" s="14" t="n"/>
      <c r="H67" s="15">
        <f>IF($G67="","",IFERROR(_xlfn.XLOOKUP($G67,nrCHname,nrCHnum),""))</f>
        <v/>
      </c>
      <c r="I67" s="14" t="n"/>
      <c r="J67" s="14" t="n"/>
      <c r="K67" s="15">
        <f>IF($B67="","",IFERROR(_xlfn.XLOOKUP($B67,nrCDdate,nrCDweek),""))</f>
        <v/>
      </c>
      <c r="L67" s="15">
        <f>IF($B67="","",IFERROR(_xlfn.XLOOKUP($B67,nrCDdate,nrCDnum),""))</f>
        <v/>
      </c>
      <c r="M67" s="14" t="n"/>
    </row>
    <row r="68">
      <c r="B68" s="16" t="n"/>
      <c r="C68" s="15">
        <f>IF($B68="","",TEXT($B68,"ddd"))</f>
        <v/>
      </c>
      <c r="D68" s="40" t="n"/>
      <c r="E68" s="40" t="n"/>
      <c r="F68" s="15">
        <f>IF(OR($B68="",$D68="",$E68=""),"",ROUND(($E68-$D68)*24,2))</f>
        <v/>
      </c>
      <c r="G68" s="14" t="n"/>
      <c r="H68" s="15">
        <f>IF($G68="","",IFERROR(_xlfn.XLOOKUP($G68,nrCHname,nrCHnum),""))</f>
        <v/>
      </c>
      <c r="I68" s="14" t="n"/>
      <c r="J68" s="14" t="n"/>
      <c r="K68" s="15">
        <f>IF($B68="","",IFERROR(_xlfn.XLOOKUP($B68,nrCDdate,nrCDweek),""))</f>
        <v/>
      </c>
      <c r="L68" s="15">
        <f>IF($B68="","",IFERROR(_xlfn.XLOOKUP($B68,nrCDdate,nrCDnum),""))</f>
        <v/>
      </c>
      <c r="M68" s="14" t="n"/>
    </row>
    <row r="69">
      <c r="B69" s="16" t="n"/>
      <c r="C69" s="15">
        <f>IF($B69="","",TEXT($B69,"ddd"))</f>
        <v/>
      </c>
      <c r="D69" s="40" t="n"/>
      <c r="E69" s="40" t="n"/>
      <c r="F69" s="15">
        <f>IF(OR($B69="",$D69="",$E69=""),"",ROUND(($E69-$D69)*24,2))</f>
        <v/>
      </c>
      <c r="G69" s="14" t="n"/>
      <c r="H69" s="15">
        <f>IF($G69="","",IFERROR(_xlfn.XLOOKUP($G69,nrCHname,nrCHnum),""))</f>
        <v/>
      </c>
      <c r="I69" s="14" t="n"/>
      <c r="J69" s="14" t="n"/>
      <c r="K69" s="15">
        <f>IF($B69="","",IFERROR(_xlfn.XLOOKUP($B69,nrCDdate,nrCDweek),""))</f>
        <v/>
      </c>
      <c r="L69" s="15">
        <f>IF($B69="","",IFERROR(_xlfn.XLOOKUP($B69,nrCDdate,nrCDnum),""))</f>
        <v/>
      </c>
      <c r="M69" s="14" t="n"/>
    </row>
    <row r="70">
      <c r="B70" s="16" t="n"/>
      <c r="C70" s="15">
        <f>IF($B70="","",TEXT($B70,"ddd"))</f>
        <v/>
      </c>
      <c r="D70" s="40" t="n"/>
      <c r="E70" s="40" t="n"/>
      <c r="F70" s="15">
        <f>IF(OR($B70="",$D70="",$E70=""),"",ROUND(($E70-$D70)*24,2))</f>
        <v/>
      </c>
      <c r="G70" s="14" t="n"/>
      <c r="H70" s="15">
        <f>IF($G70="","",IFERROR(_xlfn.XLOOKUP($G70,nrCHname,nrCHnum),""))</f>
        <v/>
      </c>
      <c r="I70" s="14" t="n"/>
      <c r="J70" s="14" t="n"/>
      <c r="K70" s="15">
        <f>IF($B70="","",IFERROR(_xlfn.XLOOKUP($B70,nrCDdate,nrCDweek),""))</f>
        <v/>
      </c>
      <c r="L70" s="15">
        <f>IF($B70="","",IFERROR(_xlfn.XLOOKUP($B70,nrCDdate,nrCDnum),""))</f>
        <v/>
      </c>
      <c r="M70" s="14" t="n"/>
    </row>
    <row r="71">
      <c r="B71" s="16" t="n"/>
      <c r="C71" s="15">
        <f>IF($B71="","",TEXT($B71,"ddd"))</f>
        <v/>
      </c>
      <c r="D71" s="40" t="n"/>
      <c r="E71" s="40" t="n"/>
      <c r="F71" s="15">
        <f>IF(OR($B71="",$D71="",$E71=""),"",ROUND(($E71-$D71)*24,2))</f>
        <v/>
      </c>
      <c r="G71" s="14" t="n"/>
      <c r="H71" s="15">
        <f>IF($G71="","",IFERROR(_xlfn.XLOOKUP($G71,nrCHname,nrCHnum),""))</f>
        <v/>
      </c>
      <c r="I71" s="14" t="n"/>
      <c r="J71" s="14" t="n"/>
      <c r="K71" s="15">
        <f>IF($B71="","",IFERROR(_xlfn.XLOOKUP($B71,nrCDdate,nrCDweek),""))</f>
        <v/>
      </c>
      <c r="L71" s="15">
        <f>IF($B71="","",IFERROR(_xlfn.XLOOKUP($B71,nrCDdate,nrCDnum),""))</f>
        <v/>
      </c>
      <c r="M71" s="14" t="n"/>
    </row>
    <row r="72">
      <c r="B72" s="16" t="n"/>
      <c r="C72" s="15">
        <f>IF($B72="","",TEXT($B72,"ddd"))</f>
        <v/>
      </c>
      <c r="D72" s="40" t="n"/>
      <c r="E72" s="40" t="n"/>
      <c r="F72" s="15">
        <f>IF(OR($B72="",$D72="",$E72=""),"",ROUND(($E72-$D72)*24,2))</f>
        <v/>
      </c>
      <c r="G72" s="14" t="n"/>
      <c r="H72" s="15">
        <f>IF($G72="","",IFERROR(_xlfn.XLOOKUP($G72,nrCHname,nrCHnum),""))</f>
        <v/>
      </c>
      <c r="I72" s="14" t="n"/>
      <c r="J72" s="14" t="n"/>
      <c r="K72" s="15">
        <f>IF($B72="","",IFERROR(_xlfn.XLOOKUP($B72,nrCDdate,nrCDweek),""))</f>
        <v/>
      </c>
      <c r="L72" s="15">
        <f>IF($B72="","",IFERROR(_xlfn.XLOOKUP($B72,nrCDdate,nrCDnum),""))</f>
        <v/>
      </c>
      <c r="M72" s="14" t="n"/>
    </row>
    <row r="73">
      <c r="B73" s="16" t="n"/>
      <c r="C73" s="15">
        <f>IF($B73="","",TEXT($B73,"ddd"))</f>
        <v/>
      </c>
      <c r="D73" s="40" t="n"/>
      <c r="E73" s="40" t="n"/>
      <c r="F73" s="15">
        <f>IF(OR($B73="",$D73="",$E73=""),"",ROUND(($E73-$D73)*24,2))</f>
        <v/>
      </c>
      <c r="G73" s="14" t="n"/>
      <c r="H73" s="15">
        <f>IF($G73="","",IFERROR(_xlfn.XLOOKUP($G73,nrCHname,nrCHnum),""))</f>
        <v/>
      </c>
      <c r="I73" s="14" t="n"/>
      <c r="J73" s="14" t="n"/>
      <c r="K73" s="15">
        <f>IF($B73="","",IFERROR(_xlfn.XLOOKUP($B73,nrCDdate,nrCDweek),""))</f>
        <v/>
      </c>
      <c r="L73" s="15">
        <f>IF($B73="","",IFERROR(_xlfn.XLOOKUP($B73,nrCDdate,nrCDnum),""))</f>
        <v/>
      </c>
      <c r="M73" s="14" t="n"/>
    </row>
    <row r="74">
      <c r="B74" s="16" t="n"/>
      <c r="C74" s="15">
        <f>IF($B74="","",TEXT($B74,"ddd"))</f>
        <v/>
      </c>
      <c r="D74" s="40" t="n"/>
      <c r="E74" s="40" t="n"/>
      <c r="F74" s="15">
        <f>IF(OR($B74="",$D74="",$E74=""),"",ROUND(($E74-$D74)*24,2))</f>
        <v/>
      </c>
      <c r="G74" s="14" t="n"/>
      <c r="H74" s="15">
        <f>IF($G74="","",IFERROR(_xlfn.XLOOKUP($G74,nrCHname,nrCHnum),""))</f>
        <v/>
      </c>
      <c r="I74" s="14" t="n"/>
      <c r="J74" s="14" t="n"/>
      <c r="K74" s="15">
        <f>IF($B74="","",IFERROR(_xlfn.XLOOKUP($B74,nrCDdate,nrCDweek),""))</f>
        <v/>
      </c>
      <c r="L74" s="15">
        <f>IF($B74="","",IFERROR(_xlfn.XLOOKUP($B74,nrCDdate,nrCDnum),""))</f>
        <v/>
      </c>
      <c r="M74" s="14" t="n"/>
    </row>
    <row r="75">
      <c r="B75" s="16" t="n"/>
      <c r="C75" s="15">
        <f>IF($B75="","",TEXT($B75,"ddd"))</f>
        <v/>
      </c>
      <c r="D75" s="40" t="n"/>
      <c r="E75" s="40" t="n"/>
      <c r="F75" s="15">
        <f>IF(OR($B75="",$D75="",$E75=""),"",ROUND(($E75-$D75)*24,2))</f>
        <v/>
      </c>
      <c r="G75" s="14" t="n"/>
      <c r="H75" s="15">
        <f>IF($G75="","",IFERROR(_xlfn.XLOOKUP($G75,nrCHname,nrCHnum),""))</f>
        <v/>
      </c>
      <c r="I75" s="14" t="n"/>
      <c r="J75" s="14" t="n"/>
      <c r="K75" s="15">
        <f>IF($B75="","",IFERROR(_xlfn.XLOOKUP($B75,nrCDdate,nrCDweek),""))</f>
        <v/>
      </c>
      <c r="L75" s="15">
        <f>IF($B75="","",IFERROR(_xlfn.XLOOKUP($B75,nrCDdate,nrCDnum),""))</f>
        <v/>
      </c>
      <c r="M75" s="14" t="n"/>
    </row>
    <row r="76">
      <c r="B76" s="16" t="n"/>
      <c r="C76" s="15">
        <f>IF($B76="","",TEXT($B76,"ddd"))</f>
        <v/>
      </c>
      <c r="D76" s="40" t="n"/>
      <c r="E76" s="40" t="n"/>
      <c r="F76" s="15">
        <f>IF(OR($B76="",$D76="",$E76=""),"",ROUND(($E76-$D76)*24,2))</f>
        <v/>
      </c>
      <c r="G76" s="14" t="n"/>
      <c r="H76" s="15">
        <f>IF($G76="","",IFERROR(_xlfn.XLOOKUP($G76,nrCHname,nrCHnum),""))</f>
        <v/>
      </c>
      <c r="I76" s="14" t="n"/>
      <c r="J76" s="14" t="n"/>
      <c r="K76" s="15">
        <f>IF($B76="","",IFERROR(_xlfn.XLOOKUP($B76,nrCDdate,nrCDweek),""))</f>
        <v/>
      </c>
      <c r="L76" s="15">
        <f>IF($B76="","",IFERROR(_xlfn.XLOOKUP($B76,nrCDdate,nrCDnum),""))</f>
        <v/>
      </c>
      <c r="M76" s="14" t="n"/>
    </row>
    <row r="77">
      <c r="B77" s="16" t="n"/>
      <c r="C77" s="15">
        <f>IF($B77="","",TEXT($B77,"ddd"))</f>
        <v/>
      </c>
      <c r="D77" s="40" t="n"/>
      <c r="E77" s="40" t="n"/>
      <c r="F77" s="15">
        <f>IF(OR($B77="",$D77="",$E77=""),"",ROUND(($E77-$D77)*24,2))</f>
        <v/>
      </c>
      <c r="G77" s="14" t="n"/>
      <c r="H77" s="15">
        <f>IF($G77="","",IFERROR(_xlfn.XLOOKUP($G77,nrCHname,nrCHnum),""))</f>
        <v/>
      </c>
      <c r="I77" s="14" t="n"/>
      <c r="J77" s="14" t="n"/>
      <c r="K77" s="15">
        <f>IF($B77="","",IFERROR(_xlfn.XLOOKUP($B77,nrCDdate,nrCDweek),""))</f>
        <v/>
      </c>
      <c r="L77" s="15">
        <f>IF($B77="","",IFERROR(_xlfn.XLOOKUP($B77,nrCDdate,nrCDnum),""))</f>
        <v/>
      </c>
      <c r="M77" s="14" t="n"/>
    </row>
    <row r="78">
      <c r="B78" s="16" t="n"/>
      <c r="C78" s="15">
        <f>IF($B78="","",TEXT($B78,"ddd"))</f>
        <v/>
      </c>
      <c r="D78" s="40" t="n"/>
      <c r="E78" s="40" t="n"/>
      <c r="F78" s="15">
        <f>IF(OR($B78="",$D78="",$E78=""),"",ROUND(($E78-$D78)*24,2))</f>
        <v/>
      </c>
      <c r="G78" s="14" t="n"/>
      <c r="H78" s="15">
        <f>IF($G78="","",IFERROR(_xlfn.XLOOKUP($G78,nrCHname,nrCHnum),""))</f>
        <v/>
      </c>
      <c r="I78" s="14" t="n"/>
      <c r="J78" s="14" t="n"/>
      <c r="K78" s="15">
        <f>IF($B78="","",IFERROR(_xlfn.XLOOKUP($B78,nrCDdate,nrCDweek),""))</f>
        <v/>
      </c>
      <c r="L78" s="15">
        <f>IF($B78="","",IFERROR(_xlfn.XLOOKUP($B78,nrCDdate,nrCDnum),""))</f>
        <v/>
      </c>
      <c r="M78" s="14" t="n"/>
    </row>
    <row r="79">
      <c r="B79" s="16" t="n"/>
      <c r="C79" s="15">
        <f>IF($B79="","",TEXT($B79,"ddd"))</f>
        <v/>
      </c>
      <c r="D79" s="40" t="n"/>
      <c r="E79" s="40" t="n"/>
      <c r="F79" s="15">
        <f>IF(OR($B79="",$D79="",$E79=""),"",ROUND(($E79-$D79)*24,2))</f>
        <v/>
      </c>
      <c r="G79" s="14" t="n"/>
      <c r="H79" s="15">
        <f>IF($G79="","",IFERROR(_xlfn.XLOOKUP($G79,nrCHname,nrCHnum),""))</f>
        <v/>
      </c>
      <c r="I79" s="14" t="n"/>
      <c r="J79" s="14" t="n"/>
      <c r="K79" s="15">
        <f>IF($B79="","",IFERROR(_xlfn.XLOOKUP($B79,nrCDdate,nrCDweek),""))</f>
        <v/>
      </c>
      <c r="L79" s="15">
        <f>IF($B79="","",IFERROR(_xlfn.XLOOKUP($B79,nrCDdate,nrCDnum),""))</f>
        <v/>
      </c>
      <c r="M79" s="14" t="n"/>
    </row>
    <row r="80">
      <c r="B80" s="16" t="n"/>
      <c r="C80" s="15">
        <f>IF($B80="","",TEXT($B80,"ddd"))</f>
        <v/>
      </c>
      <c r="D80" s="40" t="n"/>
      <c r="E80" s="40" t="n"/>
      <c r="F80" s="15">
        <f>IF(OR($B80="",$D80="",$E80=""),"",ROUND(($E80-$D80)*24,2))</f>
        <v/>
      </c>
      <c r="G80" s="14" t="n"/>
      <c r="H80" s="15">
        <f>IF($G80="","",IFERROR(_xlfn.XLOOKUP($G80,nrCHname,nrCHnum),""))</f>
        <v/>
      </c>
      <c r="I80" s="14" t="n"/>
      <c r="J80" s="14" t="n"/>
      <c r="K80" s="15">
        <f>IF($B80="","",IFERROR(_xlfn.XLOOKUP($B80,nrCDdate,nrCDweek),""))</f>
        <v/>
      </c>
      <c r="L80" s="15">
        <f>IF($B80="","",IFERROR(_xlfn.XLOOKUP($B80,nrCDdate,nrCDnum),""))</f>
        <v/>
      </c>
      <c r="M80" s="14" t="n"/>
    </row>
    <row r="81">
      <c r="B81" s="16" t="n"/>
      <c r="C81" s="15">
        <f>IF($B81="","",TEXT($B81,"ddd"))</f>
        <v/>
      </c>
      <c r="D81" s="40" t="n"/>
      <c r="E81" s="40" t="n"/>
      <c r="F81" s="15">
        <f>IF(OR($B81="",$D81="",$E81=""),"",ROUND(($E81-$D81)*24,2))</f>
        <v/>
      </c>
      <c r="G81" s="14" t="n"/>
      <c r="H81" s="15">
        <f>IF($G81="","",IFERROR(_xlfn.XLOOKUP($G81,nrCHname,nrCHnum),""))</f>
        <v/>
      </c>
      <c r="I81" s="14" t="n"/>
      <c r="J81" s="14" t="n"/>
      <c r="K81" s="15">
        <f>IF($B81="","",IFERROR(_xlfn.XLOOKUP($B81,nrCDdate,nrCDweek),""))</f>
        <v/>
      </c>
      <c r="L81" s="15">
        <f>IF($B81="","",IFERROR(_xlfn.XLOOKUP($B81,nrCDdate,nrCDnum),""))</f>
        <v/>
      </c>
      <c r="M81" s="14" t="n"/>
    </row>
    <row r="82">
      <c r="B82" s="16" t="n"/>
      <c r="C82" s="15">
        <f>IF($B82="","",TEXT($B82,"ddd"))</f>
        <v/>
      </c>
      <c r="D82" s="40" t="n"/>
      <c r="E82" s="40" t="n"/>
      <c r="F82" s="15">
        <f>IF(OR($B82="",$D82="",$E82=""),"",ROUND(($E82-$D82)*24,2))</f>
        <v/>
      </c>
      <c r="G82" s="14" t="n"/>
      <c r="H82" s="15">
        <f>IF($G82="","",IFERROR(_xlfn.XLOOKUP($G82,nrCHname,nrCHnum),""))</f>
        <v/>
      </c>
      <c r="I82" s="14" t="n"/>
      <c r="J82" s="14" t="n"/>
      <c r="K82" s="15">
        <f>IF($B82="","",IFERROR(_xlfn.XLOOKUP($B82,nrCDdate,nrCDweek),""))</f>
        <v/>
      </c>
      <c r="L82" s="15">
        <f>IF($B82="","",IFERROR(_xlfn.XLOOKUP($B82,nrCDdate,nrCDnum),""))</f>
        <v/>
      </c>
      <c r="M82" s="14" t="n"/>
    </row>
    <row r="83">
      <c r="B83" s="16" t="n"/>
      <c r="C83" s="15">
        <f>IF($B83="","",TEXT($B83,"ddd"))</f>
        <v/>
      </c>
      <c r="D83" s="40" t="n"/>
      <c r="E83" s="40" t="n"/>
      <c r="F83" s="15">
        <f>IF(OR($B83="",$D83="",$E83=""),"",ROUND(($E83-$D83)*24,2))</f>
        <v/>
      </c>
      <c r="G83" s="14" t="n"/>
      <c r="H83" s="15">
        <f>IF($G83="","",IFERROR(_xlfn.XLOOKUP($G83,nrCHname,nrCHnum),""))</f>
        <v/>
      </c>
      <c r="I83" s="14" t="n"/>
      <c r="J83" s="14" t="n"/>
      <c r="K83" s="15">
        <f>IF($B83="","",IFERROR(_xlfn.XLOOKUP($B83,nrCDdate,nrCDweek),""))</f>
        <v/>
      </c>
      <c r="L83" s="15">
        <f>IF($B83="","",IFERROR(_xlfn.XLOOKUP($B83,nrCDdate,nrCDnum),""))</f>
        <v/>
      </c>
      <c r="M83" s="14" t="n"/>
    </row>
    <row r="84">
      <c r="B84" s="16" t="n"/>
      <c r="C84" s="15">
        <f>IF($B84="","",TEXT($B84,"ddd"))</f>
        <v/>
      </c>
      <c r="D84" s="40" t="n"/>
      <c r="E84" s="40" t="n"/>
      <c r="F84" s="15">
        <f>IF(OR($B84="",$D84="",$E84=""),"",ROUND(($E84-$D84)*24,2))</f>
        <v/>
      </c>
      <c r="G84" s="14" t="n"/>
      <c r="H84" s="15">
        <f>IF($G84="","",IFERROR(_xlfn.XLOOKUP($G84,nrCHname,nrCHnum),""))</f>
        <v/>
      </c>
      <c r="I84" s="14" t="n"/>
      <c r="J84" s="14" t="n"/>
      <c r="K84" s="15">
        <f>IF($B84="","",IFERROR(_xlfn.XLOOKUP($B84,nrCDdate,nrCDweek),""))</f>
        <v/>
      </c>
      <c r="L84" s="15">
        <f>IF($B84="","",IFERROR(_xlfn.XLOOKUP($B84,nrCDdate,nrCDnum),""))</f>
        <v/>
      </c>
      <c r="M84" s="14" t="n"/>
    </row>
    <row r="85">
      <c r="B85" s="16" t="n"/>
      <c r="C85" s="15">
        <f>IF($B85="","",TEXT($B85,"ddd"))</f>
        <v/>
      </c>
      <c r="D85" s="40" t="n"/>
      <c r="E85" s="40" t="n"/>
      <c r="F85" s="15">
        <f>IF(OR($B85="",$D85="",$E85=""),"",ROUND(($E85-$D85)*24,2))</f>
        <v/>
      </c>
      <c r="G85" s="14" t="n"/>
      <c r="H85" s="15">
        <f>IF($G85="","",IFERROR(_xlfn.XLOOKUP($G85,nrCHname,nrCHnum),""))</f>
        <v/>
      </c>
      <c r="I85" s="14" t="n"/>
      <c r="J85" s="14" t="n"/>
      <c r="K85" s="15">
        <f>IF($B85="","",IFERROR(_xlfn.XLOOKUP($B85,nrCDdate,nrCDweek),""))</f>
        <v/>
      </c>
      <c r="L85" s="15">
        <f>IF($B85="","",IFERROR(_xlfn.XLOOKUP($B85,nrCDdate,nrCDnum),""))</f>
        <v/>
      </c>
      <c r="M85" s="14" t="n"/>
    </row>
    <row r="86">
      <c r="B86" s="16" t="n"/>
      <c r="C86" s="15">
        <f>IF($B86="","",TEXT($B86,"ddd"))</f>
        <v/>
      </c>
      <c r="D86" s="40" t="n"/>
      <c r="E86" s="40" t="n"/>
      <c r="F86" s="15">
        <f>IF(OR($B86="",$D86="",$E86=""),"",ROUND(($E86-$D86)*24,2))</f>
        <v/>
      </c>
      <c r="G86" s="14" t="n"/>
      <c r="H86" s="15">
        <f>IF($G86="","",IFERROR(_xlfn.XLOOKUP($G86,nrCHname,nrCHnum),""))</f>
        <v/>
      </c>
      <c r="I86" s="14" t="n"/>
      <c r="J86" s="14" t="n"/>
      <c r="K86" s="15">
        <f>IF($B86="","",IFERROR(_xlfn.XLOOKUP($B86,nrCDdate,nrCDweek),""))</f>
        <v/>
      </c>
      <c r="L86" s="15">
        <f>IF($B86="","",IFERROR(_xlfn.XLOOKUP($B86,nrCDdate,nrCDnum),""))</f>
        <v/>
      </c>
      <c r="M86" s="14" t="n"/>
    </row>
    <row r="87">
      <c r="B87" s="16" t="n"/>
      <c r="C87" s="15">
        <f>IF($B87="","",TEXT($B87,"ddd"))</f>
        <v/>
      </c>
      <c r="D87" s="40" t="n"/>
      <c r="E87" s="40" t="n"/>
      <c r="F87" s="15">
        <f>IF(OR($B87="",$D87="",$E87=""),"",ROUND(($E87-$D87)*24,2))</f>
        <v/>
      </c>
      <c r="G87" s="14" t="n"/>
      <c r="H87" s="15">
        <f>IF($G87="","",IFERROR(_xlfn.XLOOKUP($G87,nrCHname,nrCHnum),""))</f>
        <v/>
      </c>
      <c r="I87" s="14" t="n"/>
      <c r="J87" s="14" t="n"/>
      <c r="K87" s="15">
        <f>IF($B87="","",IFERROR(_xlfn.XLOOKUP($B87,nrCDdate,nrCDweek),""))</f>
        <v/>
      </c>
      <c r="L87" s="15">
        <f>IF($B87="","",IFERROR(_xlfn.XLOOKUP($B87,nrCDdate,nrCDnum),""))</f>
        <v/>
      </c>
      <c r="M87" s="14" t="n"/>
    </row>
    <row r="88">
      <c r="B88" s="16" t="n"/>
      <c r="C88" s="15">
        <f>IF($B88="","",TEXT($B88,"ddd"))</f>
        <v/>
      </c>
      <c r="D88" s="40" t="n"/>
      <c r="E88" s="40" t="n"/>
      <c r="F88" s="15">
        <f>IF(OR($B88="",$D88="",$E88=""),"",ROUND(($E88-$D88)*24,2))</f>
        <v/>
      </c>
      <c r="G88" s="14" t="n"/>
      <c r="H88" s="15">
        <f>IF($G88="","",IFERROR(_xlfn.XLOOKUP($G88,nrCHname,nrCHnum),""))</f>
        <v/>
      </c>
      <c r="I88" s="14" t="n"/>
      <c r="J88" s="14" t="n"/>
      <c r="K88" s="15">
        <f>IF($B88="","",IFERROR(_xlfn.XLOOKUP($B88,nrCDdate,nrCDweek),""))</f>
        <v/>
      </c>
      <c r="L88" s="15">
        <f>IF($B88="","",IFERROR(_xlfn.XLOOKUP($B88,nrCDdate,nrCDnum),""))</f>
        <v/>
      </c>
      <c r="M88" s="14" t="n"/>
    </row>
    <row r="89">
      <c r="B89" s="16" t="n"/>
      <c r="C89" s="15">
        <f>IF($B89="","",TEXT($B89,"ddd"))</f>
        <v/>
      </c>
      <c r="D89" s="40" t="n"/>
      <c r="E89" s="40" t="n"/>
      <c r="F89" s="15">
        <f>IF(OR($B89="",$D89="",$E89=""),"",ROUND(($E89-$D89)*24,2))</f>
        <v/>
      </c>
      <c r="G89" s="14" t="n"/>
      <c r="H89" s="15">
        <f>IF($G89="","",IFERROR(_xlfn.XLOOKUP($G89,nrCHname,nrCHnum),""))</f>
        <v/>
      </c>
      <c r="I89" s="14" t="n"/>
      <c r="J89" s="14" t="n"/>
      <c r="K89" s="15">
        <f>IF($B89="","",IFERROR(_xlfn.XLOOKUP($B89,nrCDdate,nrCDweek),""))</f>
        <v/>
      </c>
      <c r="L89" s="15">
        <f>IF($B89="","",IFERROR(_xlfn.XLOOKUP($B89,nrCDdate,nrCDnum),""))</f>
        <v/>
      </c>
      <c r="M89" s="14" t="n"/>
    </row>
    <row r="90">
      <c r="B90" s="16" t="n"/>
      <c r="C90" s="15">
        <f>IF($B90="","",TEXT($B90,"ddd"))</f>
        <v/>
      </c>
      <c r="D90" s="40" t="n"/>
      <c r="E90" s="40" t="n"/>
      <c r="F90" s="15">
        <f>IF(OR($B90="",$D90="",$E90=""),"",ROUND(($E90-$D90)*24,2))</f>
        <v/>
      </c>
      <c r="G90" s="14" t="n"/>
      <c r="H90" s="15">
        <f>IF($G90="","",IFERROR(_xlfn.XLOOKUP($G90,nrCHname,nrCHnum),""))</f>
        <v/>
      </c>
      <c r="I90" s="14" t="n"/>
      <c r="J90" s="14" t="n"/>
      <c r="K90" s="15">
        <f>IF($B90="","",IFERROR(_xlfn.XLOOKUP($B90,nrCDdate,nrCDweek),""))</f>
        <v/>
      </c>
      <c r="L90" s="15">
        <f>IF($B90="","",IFERROR(_xlfn.XLOOKUP($B90,nrCDdate,nrCDnum),""))</f>
        <v/>
      </c>
      <c r="M90" s="14" t="n"/>
    </row>
    <row r="91">
      <c r="B91" s="16" t="n"/>
      <c r="C91" s="15">
        <f>IF($B91="","",TEXT($B91,"ddd"))</f>
        <v/>
      </c>
      <c r="D91" s="40" t="n"/>
      <c r="E91" s="40" t="n"/>
      <c r="F91" s="15">
        <f>IF(OR($B91="",$D91="",$E91=""),"",ROUND(($E91-$D91)*24,2))</f>
        <v/>
      </c>
      <c r="G91" s="14" t="n"/>
      <c r="H91" s="15">
        <f>IF($G91="","",IFERROR(_xlfn.XLOOKUP($G91,nrCHname,nrCHnum),""))</f>
        <v/>
      </c>
      <c r="I91" s="14" t="n"/>
      <c r="J91" s="14" t="n"/>
      <c r="K91" s="15">
        <f>IF($B91="","",IFERROR(_xlfn.XLOOKUP($B91,nrCDdate,nrCDweek),""))</f>
        <v/>
      </c>
      <c r="L91" s="15">
        <f>IF($B91="","",IFERROR(_xlfn.XLOOKUP($B91,nrCDdate,nrCDnum),""))</f>
        <v/>
      </c>
      <c r="M91" s="14" t="n"/>
    </row>
    <row r="92">
      <c r="B92" s="16" t="n"/>
      <c r="C92" s="15">
        <f>IF($B92="","",TEXT($B92,"ddd"))</f>
        <v/>
      </c>
      <c r="D92" s="40" t="n"/>
      <c r="E92" s="40" t="n"/>
      <c r="F92" s="15">
        <f>IF(OR($B92="",$D92="",$E92=""),"",ROUND(($E92-$D92)*24,2))</f>
        <v/>
      </c>
      <c r="G92" s="14" t="n"/>
      <c r="H92" s="15">
        <f>IF($G92="","",IFERROR(_xlfn.XLOOKUP($G92,nrCHname,nrCHnum),""))</f>
        <v/>
      </c>
      <c r="I92" s="14" t="n"/>
      <c r="J92" s="14" t="n"/>
      <c r="K92" s="15">
        <f>IF($B92="","",IFERROR(_xlfn.XLOOKUP($B92,nrCDdate,nrCDweek),""))</f>
        <v/>
      </c>
      <c r="L92" s="15">
        <f>IF($B92="","",IFERROR(_xlfn.XLOOKUP($B92,nrCDdate,nrCDnum),""))</f>
        <v/>
      </c>
      <c r="M92" s="14" t="n"/>
    </row>
    <row r="93">
      <c r="B93" s="16" t="n"/>
      <c r="C93" s="15">
        <f>IF($B93="","",TEXT($B93,"ddd"))</f>
        <v/>
      </c>
      <c r="D93" s="40" t="n"/>
      <c r="E93" s="40" t="n"/>
      <c r="F93" s="15">
        <f>IF(OR($B93="",$D93="",$E93=""),"",ROUND(($E93-$D93)*24,2))</f>
        <v/>
      </c>
      <c r="G93" s="14" t="n"/>
      <c r="H93" s="15">
        <f>IF($G93="","",IFERROR(_xlfn.XLOOKUP($G93,nrCHname,nrCHnum),""))</f>
        <v/>
      </c>
      <c r="I93" s="14" t="n"/>
      <c r="J93" s="14" t="n"/>
      <c r="K93" s="15">
        <f>IF($B93="","",IFERROR(_xlfn.XLOOKUP($B93,nrCDdate,nrCDweek),""))</f>
        <v/>
      </c>
      <c r="L93" s="15">
        <f>IF($B93="","",IFERROR(_xlfn.XLOOKUP($B93,nrCDdate,nrCDnum),""))</f>
        <v/>
      </c>
      <c r="M93" s="14" t="n"/>
    </row>
    <row r="94">
      <c r="B94" s="16" t="n"/>
      <c r="C94" s="15">
        <f>IF($B94="","",TEXT($B94,"ddd"))</f>
        <v/>
      </c>
      <c r="D94" s="40" t="n"/>
      <c r="E94" s="40" t="n"/>
      <c r="F94" s="15">
        <f>IF(OR($B94="",$D94="",$E94=""),"",ROUND(($E94-$D94)*24,2))</f>
        <v/>
      </c>
      <c r="G94" s="14" t="n"/>
      <c r="H94" s="15">
        <f>IF($G94="","",IFERROR(_xlfn.XLOOKUP($G94,nrCHname,nrCHnum),""))</f>
        <v/>
      </c>
      <c r="I94" s="14" t="n"/>
      <c r="J94" s="14" t="n"/>
      <c r="K94" s="15">
        <f>IF($B94="","",IFERROR(_xlfn.XLOOKUP($B94,nrCDdate,nrCDweek),""))</f>
        <v/>
      </c>
      <c r="L94" s="15">
        <f>IF($B94="","",IFERROR(_xlfn.XLOOKUP($B94,nrCDdate,nrCDnum),""))</f>
        <v/>
      </c>
      <c r="M94" s="14" t="n"/>
    </row>
    <row r="95">
      <c r="B95" s="16" t="n"/>
      <c r="C95" s="15">
        <f>IF($B95="","",TEXT($B95,"ddd"))</f>
        <v/>
      </c>
      <c r="D95" s="40" t="n"/>
      <c r="E95" s="40" t="n"/>
      <c r="F95" s="15">
        <f>IF(OR($B95="",$D95="",$E95=""),"",ROUND(($E95-$D95)*24,2))</f>
        <v/>
      </c>
      <c r="G95" s="14" t="n"/>
      <c r="H95" s="15">
        <f>IF($G95="","",IFERROR(_xlfn.XLOOKUP($G95,nrCHname,nrCHnum),""))</f>
        <v/>
      </c>
      <c r="I95" s="14" t="n"/>
      <c r="J95" s="14" t="n"/>
      <c r="K95" s="15">
        <f>IF($B95="","",IFERROR(_xlfn.XLOOKUP($B95,nrCDdate,nrCDweek),""))</f>
        <v/>
      </c>
      <c r="L95" s="15">
        <f>IF($B95="","",IFERROR(_xlfn.XLOOKUP($B95,nrCDdate,nrCDnum),""))</f>
        <v/>
      </c>
      <c r="M95" s="14" t="n"/>
    </row>
    <row r="96">
      <c r="B96" s="16" t="n"/>
      <c r="C96" s="15">
        <f>IF($B96="","",TEXT($B96,"ddd"))</f>
        <v/>
      </c>
      <c r="D96" s="40" t="n"/>
      <c r="E96" s="40" t="n"/>
      <c r="F96" s="15">
        <f>IF(OR($B96="",$D96="",$E96=""),"",ROUND(($E96-$D96)*24,2))</f>
        <v/>
      </c>
      <c r="G96" s="14" t="n"/>
      <c r="H96" s="15">
        <f>IF($G96="","",IFERROR(_xlfn.XLOOKUP($G96,nrCHname,nrCHnum),""))</f>
        <v/>
      </c>
      <c r="I96" s="14" t="n"/>
      <c r="J96" s="14" t="n"/>
      <c r="K96" s="15">
        <f>IF($B96="","",IFERROR(_xlfn.XLOOKUP($B96,nrCDdate,nrCDweek),""))</f>
        <v/>
      </c>
      <c r="L96" s="15">
        <f>IF($B96="","",IFERROR(_xlfn.XLOOKUP($B96,nrCDdate,nrCDnum),""))</f>
        <v/>
      </c>
      <c r="M96" s="14" t="n"/>
    </row>
    <row r="97">
      <c r="B97" s="16" t="n"/>
      <c r="C97" s="15">
        <f>IF($B97="","",TEXT($B97,"ddd"))</f>
        <v/>
      </c>
      <c r="D97" s="40" t="n"/>
      <c r="E97" s="40" t="n"/>
      <c r="F97" s="15">
        <f>IF(OR($B97="",$D97="",$E97=""),"",ROUND(($E97-$D97)*24,2))</f>
        <v/>
      </c>
      <c r="G97" s="14" t="n"/>
      <c r="H97" s="15">
        <f>IF($G97="","",IFERROR(_xlfn.XLOOKUP($G97,nrCHname,nrCHnum),""))</f>
        <v/>
      </c>
      <c r="I97" s="14" t="n"/>
      <c r="J97" s="14" t="n"/>
      <c r="K97" s="15">
        <f>IF($B97="","",IFERROR(_xlfn.XLOOKUP($B97,nrCDdate,nrCDweek),""))</f>
        <v/>
      </c>
      <c r="L97" s="15">
        <f>IF($B97="","",IFERROR(_xlfn.XLOOKUP($B97,nrCDdate,nrCDnum),""))</f>
        <v/>
      </c>
      <c r="M97" s="14" t="n"/>
    </row>
    <row r="98">
      <c r="B98" s="16" t="n"/>
      <c r="C98" s="15">
        <f>IF($B98="","",TEXT($B98,"ddd"))</f>
        <v/>
      </c>
      <c r="D98" s="40" t="n"/>
      <c r="E98" s="40" t="n"/>
      <c r="F98" s="15">
        <f>IF(OR($B98="",$D98="",$E98=""),"",ROUND(($E98-$D98)*24,2))</f>
        <v/>
      </c>
      <c r="G98" s="14" t="n"/>
      <c r="H98" s="15">
        <f>IF($G98="","",IFERROR(_xlfn.XLOOKUP($G98,nrCHname,nrCHnum),""))</f>
        <v/>
      </c>
      <c r="I98" s="14" t="n"/>
      <c r="J98" s="14" t="n"/>
      <c r="K98" s="15">
        <f>IF($B98="","",IFERROR(_xlfn.XLOOKUP($B98,nrCDdate,nrCDweek),""))</f>
        <v/>
      </c>
      <c r="L98" s="15">
        <f>IF($B98="","",IFERROR(_xlfn.XLOOKUP($B98,nrCDdate,nrCDnum),""))</f>
        <v/>
      </c>
      <c r="M98" s="14" t="n"/>
    </row>
    <row r="99">
      <c r="B99" s="16" t="n"/>
      <c r="C99" s="15">
        <f>IF($B99="","",TEXT($B99,"ddd"))</f>
        <v/>
      </c>
      <c r="D99" s="40" t="n"/>
      <c r="E99" s="40" t="n"/>
      <c r="F99" s="15">
        <f>IF(OR($B99="",$D99="",$E99=""),"",ROUND(($E99-$D99)*24,2))</f>
        <v/>
      </c>
      <c r="G99" s="14" t="n"/>
      <c r="H99" s="15">
        <f>IF($G99="","",IFERROR(_xlfn.XLOOKUP($G99,nrCHname,nrCHnum),""))</f>
        <v/>
      </c>
      <c r="I99" s="14" t="n"/>
      <c r="J99" s="14" t="n"/>
      <c r="K99" s="15">
        <f>IF($B99="","",IFERROR(_xlfn.XLOOKUP($B99,nrCDdate,nrCDweek),""))</f>
        <v/>
      </c>
      <c r="L99" s="15">
        <f>IF($B99="","",IFERROR(_xlfn.XLOOKUP($B99,nrCDdate,nrCDnum),""))</f>
        <v/>
      </c>
      <c r="M99" s="14" t="n"/>
    </row>
    <row r="100">
      <c r="B100" s="16" t="n"/>
      <c r="C100" s="15">
        <f>IF($B100="","",TEXT($B100,"ddd"))</f>
        <v/>
      </c>
      <c r="D100" s="40" t="n"/>
      <c r="E100" s="40" t="n"/>
      <c r="F100" s="15">
        <f>IF(OR($B100="",$D100="",$E100=""),"",ROUND(($E100-$D100)*24,2))</f>
        <v/>
      </c>
      <c r="G100" s="14" t="n"/>
      <c r="H100" s="15">
        <f>IF($G100="","",IFERROR(_xlfn.XLOOKUP($G100,nrCHname,nrCHnum),""))</f>
        <v/>
      </c>
      <c r="I100" s="14" t="n"/>
      <c r="J100" s="14" t="n"/>
      <c r="K100" s="15">
        <f>IF($B100="","",IFERROR(_xlfn.XLOOKUP($B100,nrCDdate,nrCDweek),""))</f>
        <v/>
      </c>
      <c r="L100" s="15">
        <f>IF($B100="","",IFERROR(_xlfn.XLOOKUP($B100,nrCDdate,nrCDnum),""))</f>
        <v/>
      </c>
      <c r="M100" s="14" t="n"/>
    </row>
    <row r="101">
      <c r="B101" s="16" t="n"/>
      <c r="C101" s="15">
        <f>IF($B101="","",TEXT($B101,"ddd"))</f>
        <v/>
      </c>
      <c r="D101" s="40" t="n"/>
      <c r="E101" s="40" t="n"/>
      <c r="F101" s="15">
        <f>IF(OR($B101="",$D101="",$E101=""),"",ROUND(($E101-$D101)*24,2))</f>
        <v/>
      </c>
      <c r="G101" s="14" t="n"/>
      <c r="H101" s="15">
        <f>IF($G101="","",IFERROR(_xlfn.XLOOKUP($G101,nrCHname,nrCHnum),""))</f>
        <v/>
      </c>
      <c r="I101" s="14" t="n"/>
      <c r="J101" s="14" t="n"/>
      <c r="K101" s="15">
        <f>IF($B101="","",IFERROR(_xlfn.XLOOKUP($B101,nrCDdate,nrCDweek),""))</f>
        <v/>
      </c>
      <c r="L101" s="15">
        <f>IF($B101="","",IFERROR(_xlfn.XLOOKUP($B101,nrCDdate,nrCDnum),""))</f>
        <v/>
      </c>
      <c r="M101" s="14" t="n"/>
    </row>
    <row r="102">
      <c r="B102" s="16" t="n"/>
      <c r="C102" s="15">
        <f>IF($B102="","",TEXT($B102,"ddd"))</f>
        <v/>
      </c>
      <c r="D102" s="40" t="n"/>
      <c r="E102" s="40" t="n"/>
      <c r="F102" s="15">
        <f>IF(OR($B102="",$D102="",$E102=""),"",ROUND(($E102-$D102)*24,2))</f>
        <v/>
      </c>
      <c r="G102" s="14" t="n"/>
      <c r="H102" s="15">
        <f>IF($G102="","",IFERROR(_xlfn.XLOOKUP($G102,nrCHname,nrCHnum),""))</f>
        <v/>
      </c>
      <c r="I102" s="14" t="n"/>
      <c r="J102" s="14" t="n"/>
      <c r="K102" s="15">
        <f>IF($B102="","",IFERROR(_xlfn.XLOOKUP($B102,nrCDdate,nrCDweek),""))</f>
        <v/>
      </c>
      <c r="L102" s="15">
        <f>IF($B102="","",IFERROR(_xlfn.XLOOKUP($B102,nrCDdate,nrCDnum),""))</f>
        <v/>
      </c>
      <c r="M102" s="14" t="n"/>
    </row>
    <row r="103">
      <c r="B103" s="16" t="n"/>
      <c r="C103" s="15">
        <f>IF($B103="","",TEXT($B103,"ddd"))</f>
        <v/>
      </c>
      <c r="D103" s="40" t="n"/>
      <c r="E103" s="40" t="n"/>
      <c r="F103" s="15">
        <f>IF(OR($B103="",$D103="",$E103=""),"",ROUND(($E103-$D103)*24,2))</f>
        <v/>
      </c>
      <c r="G103" s="14" t="n"/>
      <c r="H103" s="15">
        <f>IF($G103="","",IFERROR(_xlfn.XLOOKUP($G103,nrCHname,nrCHnum),""))</f>
        <v/>
      </c>
      <c r="I103" s="14" t="n"/>
      <c r="J103" s="14" t="n"/>
      <c r="K103" s="15">
        <f>IF($B103="","",IFERROR(_xlfn.XLOOKUP($B103,nrCDdate,nrCDweek),""))</f>
        <v/>
      </c>
      <c r="L103" s="15">
        <f>IF($B103="","",IFERROR(_xlfn.XLOOKUP($B103,nrCDdate,nrCDnum),""))</f>
        <v/>
      </c>
      <c r="M103" s="14" t="n"/>
    </row>
    <row r="104">
      <c r="B104" s="16" t="n"/>
      <c r="C104" s="15">
        <f>IF($B104="","",TEXT($B104,"ddd"))</f>
        <v/>
      </c>
      <c r="D104" s="40" t="n"/>
      <c r="E104" s="40" t="n"/>
      <c r="F104" s="15">
        <f>IF(OR($B104="",$D104="",$E104=""),"",ROUND(($E104-$D104)*24,2))</f>
        <v/>
      </c>
      <c r="G104" s="14" t="n"/>
      <c r="H104" s="15">
        <f>IF($G104="","",IFERROR(_xlfn.XLOOKUP($G104,nrCHname,nrCHnum),""))</f>
        <v/>
      </c>
      <c r="I104" s="14" t="n"/>
      <c r="J104" s="14" t="n"/>
      <c r="K104" s="15">
        <f>IF($B104="","",IFERROR(_xlfn.XLOOKUP($B104,nrCDdate,nrCDweek),""))</f>
        <v/>
      </c>
      <c r="L104" s="15">
        <f>IF($B104="","",IFERROR(_xlfn.XLOOKUP($B104,nrCDdate,nrCDnum),""))</f>
        <v/>
      </c>
      <c r="M104" s="14" t="n"/>
    </row>
    <row r="105">
      <c r="B105" s="16" t="n"/>
      <c r="C105" s="15">
        <f>IF($B105="","",TEXT($B105,"ddd"))</f>
        <v/>
      </c>
      <c r="D105" s="40" t="n"/>
      <c r="E105" s="40" t="n"/>
      <c r="F105" s="15">
        <f>IF(OR($B105="",$D105="",$E105=""),"",ROUND(($E105-$D105)*24,2))</f>
        <v/>
      </c>
      <c r="G105" s="14" t="n"/>
      <c r="H105" s="15">
        <f>IF($G105="","",IFERROR(_xlfn.XLOOKUP($G105,nrCHname,nrCHnum),""))</f>
        <v/>
      </c>
      <c r="I105" s="14" t="n"/>
      <c r="J105" s="14" t="n"/>
      <c r="K105" s="15">
        <f>IF($B105="","",IFERROR(_xlfn.XLOOKUP($B105,nrCDdate,nrCDweek),""))</f>
        <v/>
      </c>
      <c r="L105" s="15">
        <f>IF($B105="","",IFERROR(_xlfn.XLOOKUP($B105,nrCDdate,nrCDnum),""))</f>
        <v/>
      </c>
      <c r="M105" s="14" t="n"/>
    </row>
    <row r="106">
      <c r="B106" s="16" t="n"/>
      <c r="C106" s="15">
        <f>IF($B106="","",TEXT($B106,"ddd"))</f>
        <v/>
      </c>
      <c r="D106" s="40" t="n"/>
      <c r="E106" s="40" t="n"/>
      <c r="F106" s="15">
        <f>IF(OR($B106="",$D106="",$E106=""),"",ROUND(($E106-$D106)*24,2))</f>
        <v/>
      </c>
      <c r="G106" s="14" t="n"/>
      <c r="H106" s="15">
        <f>IF($G106="","",IFERROR(_xlfn.XLOOKUP($G106,nrCHname,nrCHnum),""))</f>
        <v/>
      </c>
      <c r="I106" s="14" t="n"/>
      <c r="J106" s="14" t="n"/>
      <c r="K106" s="15">
        <f>IF($B106="","",IFERROR(_xlfn.XLOOKUP($B106,nrCDdate,nrCDweek),""))</f>
        <v/>
      </c>
      <c r="L106" s="15">
        <f>IF($B106="","",IFERROR(_xlfn.XLOOKUP($B106,nrCDdate,nrCDnum),""))</f>
        <v/>
      </c>
      <c r="M106" s="14" t="n"/>
    </row>
    <row r="107">
      <c r="B107" s="16" t="n"/>
      <c r="C107" s="15">
        <f>IF($B107="","",TEXT($B107,"ddd"))</f>
        <v/>
      </c>
      <c r="D107" s="40" t="n"/>
      <c r="E107" s="40" t="n"/>
      <c r="F107" s="15">
        <f>IF(OR($B107="",$D107="",$E107=""),"",ROUND(($E107-$D107)*24,2))</f>
        <v/>
      </c>
      <c r="G107" s="14" t="n"/>
      <c r="H107" s="15">
        <f>IF($G107="","",IFERROR(_xlfn.XLOOKUP($G107,nrCHname,nrCHnum),""))</f>
        <v/>
      </c>
      <c r="I107" s="14" t="n"/>
      <c r="J107" s="14" t="n"/>
      <c r="K107" s="15">
        <f>IF($B107="","",IFERROR(_xlfn.XLOOKUP($B107,nrCDdate,nrCDweek),""))</f>
        <v/>
      </c>
      <c r="L107" s="15">
        <f>IF($B107="","",IFERROR(_xlfn.XLOOKUP($B107,nrCDdate,nrCDnum),""))</f>
        <v/>
      </c>
      <c r="M107" s="14" t="n"/>
    </row>
    <row r="108">
      <c r="B108" s="16" t="n"/>
      <c r="C108" s="15">
        <f>IF($B108="","",TEXT($B108,"ddd"))</f>
        <v/>
      </c>
      <c r="D108" s="40" t="n"/>
      <c r="E108" s="40" t="n"/>
      <c r="F108" s="15">
        <f>IF(OR($B108="",$D108="",$E108=""),"",ROUND(($E108-$D108)*24,2))</f>
        <v/>
      </c>
      <c r="G108" s="14" t="n"/>
      <c r="H108" s="15">
        <f>IF($G108="","",IFERROR(_xlfn.XLOOKUP($G108,nrCHname,nrCHnum),""))</f>
        <v/>
      </c>
      <c r="I108" s="14" t="n"/>
      <c r="J108" s="14" t="n"/>
      <c r="K108" s="15">
        <f>IF($B108="","",IFERROR(_xlfn.XLOOKUP($B108,nrCDdate,nrCDweek),""))</f>
        <v/>
      </c>
      <c r="L108" s="15">
        <f>IF($B108="","",IFERROR(_xlfn.XLOOKUP($B108,nrCDdate,nrCDnum),""))</f>
        <v/>
      </c>
      <c r="M108" s="14" t="n"/>
    </row>
    <row r="109">
      <c r="B109" s="16" t="n"/>
      <c r="C109" s="15">
        <f>IF($B109="","",TEXT($B109,"ddd"))</f>
        <v/>
      </c>
      <c r="D109" s="40" t="n"/>
      <c r="E109" s="40" t="n"/>
      <c r="F109" s="15">
        <f>IF(OR($B109="",$D109="",$E109=""),"",ROUND(($E109-$D109)*24,2))</f>
        <v/>
      </c>
      <c r="G109" s="14" t="n"/>
      <c r="H109" s="15">
        <f>IF($G109="","",IFERROR(_xlfn.XLOOKUP($G109,nrCHname,nrCHnum),""))</f>
        <v/>
      </c>
      <c r="I109" s="14" t="n"/>
      <c r="J109" s="14" t="n"/>
      <c r="K109" s="15">
        <f>IF($B109="","",IFERROR(_xlfn.XLOOKUP($B109,nrCDdate,nrCDweek),""))</f>
        <v/>
      </c>
      <c r="L109" s="15">
        <f>IF($B109="","",IFERROR(_xlfn.XLOOKUP($B109,nrCDdate,nrCDnum),""))</f>
        <v/>
      </c>
      <c r="M109" s="14" t="n"/>
    </row>
    <row r="110">
      <c r="B110" s="16" t="n"/>
      <c r="C110" s="15">
        <f>IF($B110="","",TEXT($B110,"ddd"))</f>
        <v/>
      </c>
      <c r="D110" s="40" t="n"/>
      <c r="E110" s="40" t="n"/>
      <c r="F110" s="15">
        <f>IF(OR($B110="",$D110="",$E110=""),"",ROUND(($E110-$D110)*24,2))</f>
        <v/>
      </c>
      <c r="G110" s="14" t="n"/>
      <c r="H110" s="15">
        <f>IF($G110="","",IFERROR(_xlfn.XLOOKUP($G110,nrCHname,nrCHnum),""))</f>
        <v/>
      </c>
      <c r="I110" s="14" t="n"/>
      <c r="J110" s="14" t="n"/>
      <c r="K110" s="15">
        <f>IF($B110="","",IFERROR(_xlfn.XLOOKUP($B110,nrCDdate,nrCDweek),""))</f>
        <v/>
      </c>
      <c r="L110" s="15">
        <f>IF($B110="","",IFERROR(_xlfn.XLOOKUP($B110,nrCDdate,nrCDnum),""))</f>
        <v/>
      </c>
      <c r="M110" s="14" t="n"/>
    </row>
    <row r="111">
      <c r="B111" s="16" t="n"/>
      <c r="C111" s="15">
        <f>IF($B111="","",TEXT($B111,"ddd"))</f>
        <v/>
      </c>
      <c r="D111" s="40" t="n"/>
      <c r="E111" s="40" t="n"/>
      <c r="F111" s="15">
        <f>IF(OR($B111="",$D111="",$E111=""),"",ROUND(($E111-$D111)*24,2))</f>
        <v/>
      </c>
      <c r="G111" s="14" t="n"/>
      <c r="H111" s="15">
        <f>IF($G111="","",IFERROR(_xlfn.XLOOKUP($G111,nrCHname,nrCHnum),""))</f>
        <v/>
      </c>
      <c r="I111" s="14" t="n"/>
      <c r="J111" s="14" t="n"/>
      <c r="K111" s="15">
        <f>IF($B111="","",IFERROR(_xlfn.XLOOKUP($B111,nrCDdate,nrCDweek),""))</f>
        <v/>
      </c>
      <c r="L111" s="15">
        <f>IF($B111="","",IFERROR(_xlfn.XLOOKUP($B111,nrCDdate,nrCDnum),""))</f>
        <v/>
      </c>
      <c r="M111" s="14" t="n"/>
    </row>
    <row r="112">
      <c r="B112" s="16" t="n"/>
      <c r="C112" s="15">
        <f>IF($B112="","",TEXT($B112,"ddd"))</f>
        <v/>
      </c>
      <c r="D112" s="40" t="n"/>
      <c r="E112" s="40" t="n"/>
      <c r="F112" s="15">
        <f>IF(OR($B112="",$D112="",$E112=""),"",ROUND(($E112-$D112)*24,2))</f>
        <v/>
      </c>
      <c r="G112" s="14" t="n"/>
      <c r="H112" s="15">
        <f>IF($G112="","",IFERROR(_xlfn.XLOOKUP($G112,nrCHname,nrCHnum),""))</f>
        <v/>
      </c>
      <c r="I112" s="14" t="n"/>
      <c r="J112" s="14" t="n"/>
      <c r="K112" s="15">
        <f>IF($B112="","",IFERROR(_xlfn.XLOOKUP($B112,nrCDdate,nrCDweek),""))</f>
        <v/>
      </c>
      <c r="L112" s="15">
        <f>IF($B112="","",IFERROR(_xlfn.XLOOKUP($B112,nrCDdate,nrCDnum),""))</f>
        <v/>
      </c>
      <c r="M112" s="14" t="n"/>
    </row>
    <row r="113">
      <c r="B113" s="16" t="n"/>
      <c r="C113" s="15">
        <f>IF($B113="","",TEXT($B113,"ddd"))</f>
        <v/>
      </c>
      <c r="D113" s="40" t="n"/>
      <c r="E113" s="40" t="n"/>
      <c r="F113" s="15">
        <f>IF(OR($B113="",$D113="",$E113=""),"",ROUND(($E113-$D113)*24,2))</f>
        <v/>
      </c>
      <c r="G113" s="14" t="n"/>
      <c r="H113" s="15">
        <f>IF($G113="","",IFERROR(_xlfn.XLOOKUP($G113,nrCHname,nrCHnum),""))</f>
        <v/>
      </c>
      <c r="I113" s="14" t="n"/>
      <c r="J113" s="14" t="n"/>
      <c r="K113" s="15">
        <f>IF($B113="","",IFERROR(_xlfn.XLOOKUP($B113,nrCDdate,nrCDweek),""))</f>
        <v/>
      </c>
      <c r="L113" s="15">
        <f>IF($B113="","",IFERROR(_xlfn.XLOOKUP($B113,nrCDdate,nrCDnum),""))</f>
        <v/>
      </c>
      <c r="M113" s="14" t="n"/>
    </row>
    <row r="114">
      <c r="B114" s="16" t="n"/>
      <c r="C114" s="15">
        <f>IF($B114="","",TEXT($B114,"ddd"))</f>
        <v/>
      </c>
      <c r="D114" s="40" t="n"/>
      <c r="E114" s="40" t="n"/>
      <c r="F114" s="15">
        <f>IF(OR($B114="",$D114="",$E114=""),"",ROUND(($E114-$D114)*24,2))</f>
        <v/>
      </c>
      <c r="G114" s="14" t="n"/>
      <c r="H114" s="15">
        <f>IF($G114="","",IFERROR(_xlfn.XLOOKUP($G114,nrCHname,nrCHnum),""))</f>
        <v/>
      </c>
      <c r="I114" s="14" t="n"/>
      <c r="J114" s="14" t="n"/>
      <c r="K114" s="15">
        <f>IF($B114="","",IFERROR(_xlfn.XLOOKUP($B114,nrCDdate,nrCDweek),""))</f>
        <v/>
      </c>
      <c r="L114" s="15">
        <f>IF($B114="","",IFERROR(_xlfn.XLOOKUP($B114,nrCDdate,nrCDnum),""))</f>
        <v/>
      </c>
      <c r="M114" s="14" t="n"/>
    </row>
    <row r="115">
      <c r="B115" s="16" t="n"/>
      <c r="C115" s="15">
        <f>IF($B115="","",TEXT($B115,"ddd"))</f>
        <v/>
      </c>
      <c r="D115" s="40" t="n"/>
      <c r="E115" s="40" t="n"/>
      <c r="F115" s="15">
        <f>IF(OR($B115="",$D115="",$E115=""),"",ROUND(($E115-$D115)*24,2))</f>
        <v/>
      </c>
      <c r="G115" s="14" t="n"/>
      <c r="H115" s="15">
        <f>IF($G115="","",IFERROR(_xlfn.XLOOKUP($G115,nrCHname,nrCHnum),""))</f>
        <v/>
      </c>
      <c r="I115" s="14" t="n"/>
      <c r="J115" s="14" t="n"/>
      <c r="K115" s="15">
        <f>IF($B115="","",IFERROR(_xlfn.XLOOKUP($B115,nrCDdate,nrCDweek),""))</f>
        <v/>
      </c>
      <c r="L115" s="15">
        <f>IF($B115="","",IFERROR(_xlfn.XLOOKUP($B115,nrCDdate,nrCDnum),""))</f>
        <v/>
      </c>
      <c r="M115" s="14" t="n"/>
    </row>
    <row r="116">
      <c r="B116" s="16" t="n"/>
      <c r="C116" s="15">
        <f>IF($B116="","",TEXT($B116,"ddd"))</f>
        <v/>
      </c>
      <c r="D116" s="40" t="n"/>
      <c r="E116" s="40" t="n"/>
      <c r="F116" s="15">
        <f>IF(OR($B116="",$D116="",$E116=""),"",ROUND(($E116-$D116)*24,2))</f>
        <v/>
      </c>
      <c r="G116" s="14" t="n"/>
      <c r="H116" s="15">
        <f>IF($G116="","",IFERROR(_xlfn.XLOOKUP($G116,nrCHname,nrCHnum),""))</f>
        <v/>
      </c>
      <c r="I116" s="14" t="n"/>
      <c r="J116" s="14" t="n"/>
      <c r="K116" s="15">
        <f>IF($B116="","",IFERROR(_xlfn.XLOOKUP($B116,nrCDdate,nrCDweek),""))</f>
        <v/>
      </c>
      <c r="L116" s="15">
        <f>IF($B116="","",IFERROR(_xlfn.XLOOKUP($B116,nrCDdate,nrCDnum),""))</f>
        <v/>
      </c>
      <c r="M116" s="14" t="n"/>
    </row>
    <row r="117">
      <c r="B117" s="16" t="n"/>
      <c r="C117" s="15">
        <f>IF($B117="","",TEXT($B117,"ddd"))</f>
        <v/>
      </c>
      <c r="D117" s="40" t="n"/>
      <c r="E117" s="40" t="n"/>
      <c r="F117" s="15">
        <f>IF(OR($B117="",$D117="",$E117=""),"",ROUND(($E117-$D117)*24,2))</f>
        <v/>
      </c>
      <c r="G117" s="14" t="n"/>
      <c r="H117" s="15">
        <f>IF($G117="","",IFERROR(_xlfn.XLOOKUP($G117,nrCHname,nrCHnum),""))</f>
        <v/>
      </c>
      <c r="I117" s="14" t="n"/>
      <c r="J117" s="14" t="n"/>
      <c r="K117" s="15">
        <f>IF($B117="","",IFERROR(_xlfn.XLOOKUP($B117,nrCDdate,nrCDweek),""))</f>
        <v/>
      </c>
      <c r="L117" s="15">
        <f>IF($B117="","",IFERROR(_xlfn.XLOOKUP($B117,nrCDdate,nrCDnum),""))</f>
        <v/>
      </c>
      <c r="M117" s="14" t="n"/>
    </row>
    <row r="118">
      <c r="B118" s="16" t="n"/>
      <c r="C118" s="15">
        <f>IF($B118="","",TEXT($B118,"ddd"))</f>
        <v/>
      </c>
      <c r="D118" s="40" t="n"/>
      <c r="E118" s="40" t="n"/>
      <c r="F118" s="15">
        <f>IF(OR($B118="",$D118="",$E118=""),"",ROUND(($E118-$D118)*24,2))</f>
        <v/>
      </c>
      <c r="G118" s="14" t="n"/>
      <c r="H118" s="15">
        <f>IF($G118="","",IFERROR(_xlfn.XLOOKUP($G118,nrCHname,nrCHnum),""))</f>
        <v/>
      </c>
      <c r="I118" s="14" t="n"/>
      <c r="J118" s="14" t="n"/>
      <c r="K118" s="15">
        <f>IF($B118="","",IFERROR(_xlfn.XLOOKUP($B118,nrCDdate,nrCDweek),""))</f>
        <v/>
      </c>
      <c r="L118" s="15">
        <f>IF($B118="","",IFERROR(_xlfn.XLOOKUP($B118,nrCDdate,nrCDnum),""))</f>
        <v/>
      </c>
      <c r="M118" s="14" t="n"/>
    </row>
    <row r="119">
      <c r="B119" s="16" t="n"/>
      <c r="C119" s="15">
        <f>IF($B119="","",TEXT($B119,"ddd"))</f>
        <v/>
      </c>
      <c r="D119" s="40" t="n"/>
      <c r="E119" s="40" t="n"/>
      <c r="F119" s="15">
        <f>IF(OR($B119="",$D119="",$E119=""),"",ROUND(($E119-$D119)*24,2))</f>
        <v/>
      </c>
      <c r="G119" s="14" t="n"/>
      <c r="H119" s="15">
        <f>IF($G119="","",IFERROR(_xlfn.XLOOKUP($G119,nrCHname,nrCHnum),""))</f>
        <v/>
      </c>
      <c r="I119" s="14" t="n"/>
      <c r="J119" s="14" t="n"/>
      <c r="K119" s="15">
        <f>IF($B119="","",IFERROR(_xlfn.XLOOKUP($B119,nrCDdate,nrCDweek),""))</f>
        <v/>
      </c>
      <c r="L119" s="15">
        <f>IF($B119="","",IFERROR(_xlfn.XLOOKUP($B119,nrCDdate,nrCDnum),""))</f>
        <v/>
      </c>
      <c r="M119" s="14" t="n"/>
    </row>
    <row r="120">
      <c r="B120" s="16" t="n"/>
      <c r="C120" s="15">
        <f>IF($B120="","",TEXT($B120,"ddd"))</f>
        <v/>
      </c>
      <c r="D120" s="40" t="n"/>
      <c r="E120" s="40" t="n"/>
      <c r="F120" s="15">
        <f>IF(OR($B120="",$D120="",$E120=""),"",ROUND(($E120-$D120)*24,2))</f>
        <v/>
      </c>
      <c r="G120" s="14" t="n"/>
      <c r="H120" s="15">
        <f>IF($G120="","",IFERROR(_xlfn.XLOOKUP($G120,nrCHname,nrCHnum),""))</f>
        <v/>
      </c>
      <c r="I120" s="14" t="n"/>
      <c r="J120" s="14" t="n"/>
      <c r="K120" s="15">
        <f>IF($B120="","",IFERROR(_xlfn.XLOOKUP($B120,nrCDdate,nrCDweek),""))</f>
        <v/>
      </c>
      <c r="L120" s="15">
        <f>IF($B120="","",IFERROR(_xlfn.XLOOKUP($B120,nrCDdate,nrCDnum),""))</f>
        <v/>
      </c>
      <c r="M120" s="14" t="n"/>
    </row>
    <row r="121">
      <c r="B121" s="16" t="n"/>
      <c r="C121" s="15">
        <f>IF($B121="","",TEXT($B121,"ddd"))</f>
        <v/>
      </c>
      <c r="D121" s="40" t="n"/>
      <c r="E121" s="40" t="n"/>
      <c r="F121" s="15">
        <f>IF(OR($B121="",$D121="",$E121=""),"",ROUND(($E121-$D121)*24,2))</f>
        <v/>
      </c>
      <c r="G121" s="14" t="n"/>
      <c r="H121" s="15">
        <f>IF($G121="","",IFERROR(_xlfn.XLOOKUP($G121,nrCHname,nrCHnum),""))</f>
        <v/>
      </c>
      <c r="I121" s="14" t="n"/>
      <c r="J121" s="14" t="n"/>
      <c r="K121" s="15">
        <f>IF($B121="","",IFERROR(_xlfn.XLOOKUP($B121,nrCDdate,nrCDweek),""))</f>
        <v/>
      </c>
      <c r="L121" s="15">
        <f>IF($B121="","",IFERROR(_xlfn.XLOOKUP($B121,nrCDdate,nrCDnum),""))</f>
        <v/>
      </c>
      <c r="M121" s="14" t="n"/>
    </row>
    <row r="122">
      <c r="B122" s="16" t="n"/>
      <c r="C122" s="15">
        <f>IF($B122="","",TEXT($B122,"ddd"))</f>
        <v/>
      </c>
      <c r="D122" s="40" t="n"/>
      <c r="E122" s="40" t="n"/>
      <c r="F122" s="15">
        <f>IF(OR($B122="",$D122="",$E122=""),"",ROUND(($E122-$D122)*24,2))</f>
        <v/>
      </c>
      <c r="G122" s="14" t="n"/>
      <c r="H122" s="15">
        <f>IF($G122="","",IFERROR(_xlfn.XLOOKUP($G122,nrCHname,nrCHnum),""))</f>
        <v/>
      </c>
      <c r="I122" s="14" t="n"/>
      <c r="J122" s="14" t="n"/>
      <c r="K122" s="15">
        <f>IF($B122="","",IFERROR(_xlfn.XLOOKUP($B122,nrCDdate,nrCDweek),""))</f>
        <v/>
      </c>
      <c r="L122" s="15">
        <f>IF($B122="","",IFERROR(_xlfn.XLOOKUP($B122,nrCDdate,nrCDnum),""))</f>
        <v/>
      </c>
      <c r="M122" s="14" t="n"/>
    </row>
    <row r="123">
      <c r="B123" s="16" t="n"/>
      <c r="C123" s="15">
        <f>IF($B123="","",TEXT($B123,"ddd"))</f>
        <v/>
      </c>
      <c r="D123" s="40" t="n"/>
      <c r="E123" s="40" t="n"/>
      <c r="F123" s="15">
        <f>IF(OR($B123="",$D123="",$E123=""),"",ROUND(($E123-$D123)*24,2))</f>
        <v/>
      </c>
      <c r="G123" s="14" t="n"/>
      <c r="H123" s="15">
        <f>IF($G123="","",IFERROR(_xlfn.XLOOKUP($G123,nrCHname,nrCHnum),""))</f>
        <v/>
      </c>
      <c r="I123" s="14" t="n"/>
      <c r="J123" s="14" t="n"/>
      <c r="K123" s="15">
        <f>IF($B123="","",IFERROR(_xlfn.XLOOKUP($B123,nrCDdate,nrCDweek),""))</f>
        <v/>
      </c>
      <c r="L123" s="15">
        <f>IF($B123="","",IFERROR(_xlfn.XLOOKUP($B123,nrCDdate,nrCDnum),""))</f>
        <v/>
      </c>
      <c r="M123" s="14" t="n"/>
    </row>
    <row r="124">
      <c r="B124" s="16" t="n"/>
      <c r="C124" s="15">
        <f>IF($B124="","",TEXT($B124,"ddd"))</f>
        <v/>
      </c>
      <c r="D124" s="40" t="n"/>
      <c r="E124" s="40" t="n"/>
      <c r="F124" s="15">
        <f>IF(OR($B124="",$D124="",$E124=""),"",ROUND(($E124-$D124)*24,2))</f>
        <v/>
      </c>
      <c r="G124" s="14" t="n"/>
      <c r="H124" s="15">
        <f>IF($G124="","",IFERROR(_xlfn.XLOOKUP($G124,nrCHname,nrCHnum),""))</f>
        <v/>
      </c>
      <c r="I124" s="14" t="n"/>
      <c r="J124" s="14" t="n"/>
      <c r="K124" s="15">
        <f>IF($B124="","",IFERROR(_xlfn.XLOOKUP($B124,nrCDdate,nrCDweek),""))</f>
        <v/>
      </c>
      <c r="L124" s="15">
        <f>IF($B124="","",IFERROR(_xlfn.XLOOKUP($B124,nrCDdate,nrCDnum),""))</f>
        <v/>
      </c>
      <c r="M124" s="14" t="n"/>
    </row>
    <row r="125">
      <c r="B125" s="16" t="n"/>
      <c r="C125" s="15">
        <f>IF($B125="","",TEXT($B125,"ddd"))</f>
        <v/>
      </c>
      <c r="D125" s="40" t="n"/>
      <c r="E125" s="40" t="n"/>
      <c r="F125" s="15">
        <f>IF(OR($B125="",$D125="",$E125=""),"",ROUND(($E125-$D125)*24,2))</f>
        <v/>
      </c>
      <c r="G125" s="14" t="n"/>
      <c r="H125" s="15">
        <f>IF($G125="","",IFERROR(_xlfn.XLOOKUP($G125,nrCHname,nrCHnum),""))</f>
        <v/>
      </c>
      <c r="I125" s="14" t="n"/>
      <c r="J125" s="14" t="n"/>
      <c r="K125" s="15">
        <f>IF($B125="","",IFERROR(_xlfn.XLOOKUP($B125,nrCDdate,nrCDweek),""))</f>
        <v/>
      </c>
      <c r="L125" s="15">
        <f>IF($B125="","",IFERROR(_xlfn.XLOOKUP($B125,nrCDdate,nrCDnum),""))</f>
        <v/>
      </c>
      <c r="M125" s="14" t="n"/>
    </row>
    <row r="126">
      <c r="B126" s="16" t="n"/>
      <c r="C126" s="15">
        <f>IF($B126="","",TEXT($B126,"ddd"))</f>
        <v/>
      </c>
      <c r="D126" s="40" t="n"/>
      <c r="E126" s="40" t="n"/>
      <c r="F126" s="15">
        <f>IF(OR($B126="",$D126="",$E126=""),"",ROUND(($E126-$D126)*24,2))</f>
        <v/>
      </c>
      <c r="G126" s="14" t="n"/>
      <c r="H126" s="15">
        <f>IF($G126="","",IFERROR(_xlfn.XLOOKUP($G126,nrCHname,nrCHnum),""))</f>
        <v/>
      </c>
      <c r="I126" s="14" t="n"/>
      <c r="J126" s="14" t="n"/>
      <c r="K126" s="15">
        <f>IF($B126="","",IFERROR(_xlfn.XLOOKUP($B126,nrCDdate,nrCDweek),""))</f>
        <v/>
      </c>
      <c r="L126" s="15">
        <f>IF($B126="","",IFERROR(_xlfn.XLOOKUP($B126,nrCDdate,nrCDnum),""))</f>
        <v/>
      </c>
      <c r="M126" s="14" t="n"/>
    </row>
    <row r="127">
      <c r="B127" s="16" t="n"/>
      <c r="C127" s="15">
        <f>IF($B127="","",TEXT($B127,"ddd"))</f>
        <v/>
      </c>
      <c r="D127" s="40" t="n"/>
      <c r="E127" s="40" t="n"/>
      <c r="F127" s="15">
        <f>IF(OR($B127="",$D127="",$E127=""),"",ROUND(($E127-$D127)*24,2))</f>
        <v/>
      </c>
      <c r="G127" s="14" t="n"/>
      <c r="H127" s="15">
        <f>IF($G127="","",IFERROR(_xlfn.XLOOKUP($G127,nrCHname,nrCHnum),""))</f>
        <v/>
      </c>
      <c r="I127" s="14" t="n"/>
      <c r="J127" s="14" t="n"/>
      <c r="K127" s="15">
        <f>IF($B127="","",IFERROR(_xlfn.XLOOKUP($B127,nrCDdate,nrCDweek),""))</f>
        <v/>
      </c>
      <c r="L127" s="15">
        <f>IF($B127="","",IFERROR(_xlfn.XLOOKUP($B127,nrCDdate,nrCDnum),""))</f>
        <v/>
      </c>
      <c r="M127" s="14" t="n"/>
    </row>
    <row r="128">
      <c r="B128" s="16" t="n"/>
      <c r="C128" s="15">
        <f>IF($B128="","",TEXT($B128,"ddd"))</f>
        <v/>
      </c>
      <c r="D128" s="40" t="n"/>
      <c r="E128" s="40" t="n"/>
      <c r="F128" s="15">
        <f>IF(OR($B128="",$D128="",$E128=""),"",ROUND(($E128-$D128)*24,2))</f>
        <v/>
      </c>
      <c r="G128" s="14" t="n"/>
      <c r="H128" s="15">
        <f>IF($G128="","",IFERROR(_xlfn.XLOOKUP($G128,nrCHname,nrCHnum),""))</f>
        <v/>
      </c>
      <c r="I128" s="14" t="n"/>
      <c r="J128" s="14" t="n"/>
      <c r="K128" s="15">
        <f>IF($B128="","",IFERROR(_xlfn.XLOOKUP($B128,nrCDdate,nrCDweek),""))</f>
        <v/>
      </c>
      <c r="L128" s="15">
        <f>IF($B128="","",IFERROR(_xlfn.XLOOKUP($B128,nrCDdate,nrCDnum),""))</f>
        <v/>
      </c>
      <c r="M128" s="14" t="n"/>
    </row>
    <row r="129">
      <c r="B129" s="16" t="n"/>
      <c r="C129" s="15">
        <f>IF($B129="","",TEXT($B129,"ddd"))</f>
        <v/>
      </c>
      <c r="D129" s="40" t="n"/>
      <c r="E129" s="40" t="n"/>
      <c r="F129" s="15">
        <f>IF(OR($B129="",$D129="",$E129=""),"",ROUND(($E129-$D129)*24,2))</f>
        <v/>
      </c>
      <c r="G129" s="14" t="n"/>
      <c r="H129" s="15">
        <f>IF($G129="","",IFERROR(_xlfn.XLOOKUP($G129,nrCHname,nrCHnum),""))</f>
        <v/>
      </c>
      <c r="I129" s="14" t="n"/>
      <c r="J129" s="14" t="n"/>
      <c r="K129" s="15">
        <f>IF($B129="","",IFERROR(_xlfn.XLOOKUP($B129,nrCDdate,nrCDweek),""))</f>
        <v/>
      </c>
      <c r="L129" s="15">
        <f>IF($B129="","",IFERROR(_xlfn.XLOOKUP($B129,nrCDdate,nrCDnum),""))</f>
        <v/>
      </c>
      <c r="M129" s="14" t="n"/>
    </row>
    <row r="130">
      <c r="B130" s="16" t="n"/>
      <c r="C130" s="15">
        <f>IF($B130="","",TEXT($B130,"ddd"))</f>
        <v/>
      </c>
      <c r="D130" s="40" t="n"/>
      <c r="E130" s="40" t="n"/>
      <c r="F130" s="15">
        <f>IF(OR($B130="",$D130="",$E130=""),"",ROUND(($E130-$D130)*24,2))</f>
        <v/>
      </c>
      <c r="G130" s="14" t="n"/>
      <c r="H130" s="15">
        <f>IF($G130="","",IFERROR(_xlfn.XLOOKUP($G130,nrCHname,nrCHnum),""))</f>
        <v/>
      </c>
      <c r="I130" s="14" t="n"/>
      <c r="J130" s="14" t="n"/>
      <c r="K130" s="15">
        <f>IF($B130="","",IFERROR(_xlfn.XLOOKUP($B130,nrCDdate,nrCDweek),""))</f>
        <v/>
      </c>
      <c r="L130" s="15">
        <f>IF($B130="","",IFERROR(_xlfn.XLOOKUP($B130,nrCDdate,nrCDnum),""))</f>
        <v/>
      </c>
      <c r="M130" s="14" t="n"/>
    </row>
    <row r="131">
      <c r="B131" s="16" t="n"/>
      <c r="C131" s="15">
        <f>IF($B131="","",TEXT($B131,"ddd"))</f>
        <v/>
      </c>
      <c r="D131" s="40" t="n"/>
      <c r="E131" s="40" t="n"/>
      <c r="F131" s="15">
        <f>IF(OR($B131="",$D131="",$E131=""),"",ROUND(($E131-$D131)*24,2))</f>
        <v/>
      </c>
      <c r="G131" s="14" t="n"/>
      <c r="H131" s="15">
        <f>IF($G131="","",IFERROR(_xlfn.XLOOKUP($G131,nrCHname,nrCHnum),""))</f>
        <v/>
      </c>
      <c r="I131" s="14" t="n"/>
      <c r="J131" s="14" t="n"/>
      <c r="K131" s="15">
        <f>IF($B131="","",IFERROR(_xlfn.XLOOKUP($B131,nrCDdate,nrCDweek),""))</f>
        <v/>
      </c>
      <c r="L131" s="15">
        <f>IF($B131="","",IFERROR(_xlfn.XLOOKUP($B131,nrCDdate,nrCDnum),""))</f>
        <v/>
      </c>
      <c r="M131" s="14" t="n"/>
    </row>
    <row r="132">
      <c r="B132" s="16" t="n"/>
      <c r="C132" s="15">
        <f>IF($B132="","",TEXT($B132,"ddd"))</f>
        <v/>
      </c>
      <c r="D132" s="40" t="n"/>
      <c r="E132" s="40" t="n"/>
      <c r="F132" s="15">
        <f>IF(OR($B132="",$D132="",$E132=""),"",ROUND(($E132-$D132)*24,2))</f>
        <v/>
      </c>
      <c r="G132" s="14" t="n"/>
      <c r="H132" s="15">
        <f>IF($G132="","",IFERROR(_xlfn.XLOOKUP($G132,nrCHname,nrCHnum),""))</f>
        <v/>
      </c>
      <c r="I132" s="14" t="n"/>
      <c r="J132" s="14" t="n"/>
      <c r="K132" s="15">
        <f>IF($B132="","",IFERROR(_xlfn.XLOOKUP($B132,nrCDdate,nrCDweek),""))</f>
        <v/>
      </c>
      <c r="L132" s="15">
        <f>IF($B132="","",IFERROR(_xlfn.XLOOKUP($B132,nrCDdate,nrCDnum),""))</f>
        <v/>
      </c>
      <c r="M132" s="14" t="n"/>
    </row>
    <row r="133">
      <c r="B133" s="16" t="n"/>
      <c r="C133" s="15">
        <f>IF($B133="","",TEXT($B133,"ddd"))</f>
        <v/>
      </c>
      <c r="D133" s="40" t="n"/>
      <c r="E133" s="40" t="n"/>
      <c r="F133" s="15">
        <f>IF(OR($B133="",$D133="",$E133=""),"",ROUND(($E133-$D133)*24,2))</f>
        <v/>
      </c>
      <c r="G133" s="14" t="n"/>
      <c r="H133" s="15">
        <f>IF($G133="","",IFERROR(_xlfn.XLOOKUP($G133,nrCHname,nrCHnum),""))</f>
        <v/>
      </c>
      <c r="I133" s="14" t="n"/>
      <c r="J133" s="14" t="n"/>
      <c r="K133" s="15">
        <f>IF($B133="","",IFERROR(_xlfn.XLOOKUP($B133,nrCDdate,nrCDweek),""))</f>
        <v/>
      </c>
      <c r="L133" s="15">
        <f>IF($B133="","",IFERROR(_xlfn.XLOOKUP($B133,nrCDdate,nrCDnum),""))</f>
        <v/>
      </c>
      <c r="M133" s="14" t="n"/>
    </row>
    <row r="134">
      <c r="B134" s="16" t="n"/>
      <c r="C134" s="15">
        <f>IF($B134="","",TEXT($B134,"ddd"))</f>
        <v/>
      </c>
      <c r="D134" s="40" t="n"/>
      <c r="E134" s="40" t="n"/>
      <c r="F134" s="15">
        <f>IF(OR($B134="",$D134="",$E134=""),"",ROUND(($E134-$D134)*24,2))</f>
        <v/>
      </c>
      <c r="G134" s="14" t="n"/>
      <c r="H134" s="15">
        <f>IF($G134="","",IFERROR(_xlfn.XLOOKUP($G134,nrCHname,nrCHnum),""))</f>
        <v/>
      </c>
      <c r="I134" s="14" t="n"/>
      <c r="J134" s="14" t="n"/>
      <c r="K134" s="15">
        <f>IF($B134="","",IFERROR(_xlfn.XLOOKUP($B134,nrCDdate,nrCDweek),""))</f>
        <v/>
      </c>
      <c r="L134" s="15">
        <f>IF($B134="","",IFERROR(_xlfn.XLOOKUP($B134,nrCDdate,nrCDnum),""))</f>
        <v/>
      </c>
      <c r="M134" s="14" t="n"/>
    </row>
    <row r="135">
      <c r="B135" s="16" t="n"/>
      <c r="C135" s="15">
        <f>IF($B135="","",TEXT($B135,"ddd"))</f>
        <v/>
      </c>
      <c r="D135" s="40" t="n"/>
      <c r="E135" s="40" t="n"/>
      <c r="F135" s="15">
        <f>IF(OR($B135="",$D135="",$E135=""),"",ROUND(($E135-$D135)*24,2))</f>
        <v/>
      </c>
      <c r="G135" s="14" t="n"/>
      <c r="H135" s="15">
        <f>IF($G135="","",IFERROR(_xlfn.XLOOKUP($G135,nrCHname,nrCHnum),""))</f>
        <v/>
      </c>
      <c r="I135" s="14" t="n"/>
      <c r="J135" s="14" t="n"/>
      <c r="K135" s="15">
        <f>IF($B135="","",IFERROR(_xlfn.XLOOKUP($B135,nrCDdate,nrCDweek),""))</f>
        <v/>
      </c>
      <c r="L135" s="15">
        <f>IF($B135="","",IFERROR(_xlfn.XLOOKUP($B135,nrCDdate,nrCDnum),""))</f>
        <v/>
      </c>
      <c r="M135" s="14" t="n"/>
    </row>
    <row r="136">
      <c r="B136" s="16" t="n"/>
      <c r="C136" s="15">
        <f>IF($B136="","",TEXT($B136,"ddd"))</f>
        <v/>
      </c>
      <c r="D136" s="40" t="n"/>
      <c r="E136" s="40" t="n"/>
      <c r="F136" s="15">
        <f>IF(OR($B136="",$D136="",$E136=""),"",ROUND(($E136-$D136)*24,2))</f>
        <v/>
      </c>
      <c r="G136" s="14" t="n"/>
      <c r="H136" s="15">
        <f>IF($G136="","",IFERROR(_xlfn.XLOOKUP($G136,nrCHname,nrCHnum),""))</f>
        <v/>
      </c>
      <c r="I136" s="14" t="n"/>
      <c r="J136" s="14" t="n"/>
      <c r="K136" s="15">
        <f>IF($B136="","",IFERROR(_xlfn.XLOOKUP($B136,nrCDdate,nrCDweek),""))</f>
        <v/>
      </c>
      <c r="L136" s="15">
        <f>IF($B136="","",IFERROR(_xlfn.XLOOKUP($B136,nrCDdate,nrCDnum),""))</f>
        <v/>
      </c>
      <c r="M136" s="14" t="n"/>
    </row>
    <row r="137">
      <c r="B137" s="16" t="n"/>
      <c r="C137" s="15">
        <f>IF($B137="","",TEXT($B137,"ddd"))</f>
        <v/>
      </c>
      <c r="D137" s="40" t="n"/>
      <c r="E137" s="40" t="n"/>
      <c r="F137" s="15">
        <f>IF(OR($B137="",$D137="",$E137=""),"",ROUND(($E137-$D137)*24,2))</f>
        <v/>
      </c>
      <c r="G137" s="14" t="n"/>
      <c r="H137" s="15">
        <f>IF($G137="","",IFERROR(_xlfn.XLOOKUP($G137,nrCHname,nrCHnum),""))</f>
        <v/>
      </c>
      <c r="I137" s="14" t="n"/>
      <c r="J137" s="14" t="n"/>
      <c r="K137" s="15">
        <f>IF($B137="","",IFERROR(_xlfn.XLOOKUP($B137,nrCDdate,nrCDweek),""))</f>
        <v/>
      </c>
      <c r="L137" s="15">
        <f>IF($B137="","",IFERROR(_xlfn.XLOOKUP($B137,nrCDdate,nrCDnum),""))</f>
        <v/>
      </c>
      <c r="M137" s="14" t="n"/>
    </row>
    <row r="138">
      <c r="B138" s="16" t="n"/>
      <c r="C138" s="15">
        <f>IF($B138="","",TEXT($B138,"ddd"))</f>
        <v/>
      </c>
      <c r="D138" s="40" t="n"/>
      <c r="E138" s="40" t="n"/>
      <c r="F138" s="15">
        <f>IF(OR($B138="",$D138="",$E138=""),"",ROUND(($E138-$D138)*24,2))</f>
        <v/>
      </c>
      <c r="G138" s="14" t="n"/>
      <c r="H138" s="15">
        <f>IF($G138="","",IFERROR(_xlfn.XLOOKUP($G138,nrCHname,nrCHnum),""))</f>
        <v/>
      </c>
      <c r="I138" s="14" t="n"/>
      <c r="J138" s="14" t="n"/>
      <c r="K138" s="15">
        <f>IF($B138="","",IFERROR(_xlfn.XLOOKUP($B138,nrCDdate,nrCDweek),""))</f>
        <v/>
      </c>
      <c r="L138" s="15">
        <f>IF($B138="","",IFERROR(_xlfn.XLOOKUP($B138,nrCDdate,nrCDnum),""))</f>
        <v/>
      </c>
      <c r="M138" s="14" t="n"/>
    </row>
    <row r="139">
      <c r="B139" s="16" t="n"/>
      <c r="C139" s="15">
        <f>IF($B139="","",TEXT($B139,"ddd"))</f>
        <v/>
      </c>
      <c r="D139" s="40" t="n"/>
      <c r="E139" s="40" t="n"/>
      <c r="F139" s="15">
        <f>IF(OR($B139="",$D139="",$E139=""),"",ROUND(($E139-$D139)*24,2))</f>
        <v/>
      </c>
      <c r="G139" s="14" t="n"/>
      <c r="H139" s="15">
        <f>IF($G139="","",IFERROR(_xlfn.XLOOKUP($G139,nrCHname,nrCHnum),""))</f>
        <v/>
      </c>
      <c r="I139" s="14" t="n"/>
      <c r="J139" s="14" t="n"/>
      <c r="K139" s="15">
        <f>IF($B139="","",IFERROR(_xlfn.XLOOKUP($B139,nrCDdate,nrCDweek),""))</f>
        <v/>
      </c>
      <c r="L139" s="15">
        <f>IF($B139="","",IFERROR(_xlfn.XLOOKUP($B139,nrCDdate,nrCDnum),""))</f>
        <v/>
      </c>
      <c r="M139" s="14" t="n"/>
    </row>
    <row r="140">
      <c r="B140" s="16" t="n"/>
      <c r="C140" s="15">
        <f>IF($B140="","",TEXT($B140,"ddd"))</f>
        <v/>
      </c>
      <c r="D140" s="40" t="n"/>
      <c r="E140" s="40" t="n"/>
      <c r="F140" s="15">
        <f>IF(OR($B140="",$D140="",$E140=""),"",ROUND(($E140-$D140)*24,2))</f>
        <v/>
      </c>
      <c r="G140" s="14" t="n"/>
      <c r="H140" s="15">
        <f>IF($G140="","",IFERROR(_xlfn.XLOOKUP($G140,nrCHname,nrCHnum),""))</f>
        <v/>
      </c>
      <c r="I140" s="14" t="n"/>
      <c r="J140" s="14" t="n"/>
      <c r="K140" s="15">
        <f>IF($B140="","",IFERROR(_xlfn.XLOOKUP($B140,nrCDdate,nrCDweek),""))</f>
        <v/>
      </c>
      <c r="L140" s="15">
        <f>IF($B140="","",IFERROR(_xlfn.XLOOKUP($B140,nrCDdate,nrCDnum),""))</f>
        <v/>
      </c>
      <c r="M140" s="14" t="n"/>
    </row>
    <row r="141">
      <c r="B141" s="16" t="n"/>
      <c r="C141" s="15">
        <f>IF($B141="","",TEXT($B141,"ddd"))</f>
        <v/>
      </c>
      <c r="D141" s="40" t="n"/>
      <c r="E141" s="40" t="n"/>
      <c r="F141" s="15">
        <f>IF(OR($B141="",$D141="",$E141=""),"",ROUND(($E141-$D141)*24,2))</f>
        <v/>
      </c>
      <c r="G141" s="14" t="n"/>
      <c r="H141" s="15">
        <f>IF($G141="","",IFERROR(_xlfn.XLOOKUP($G141,nrCHname,nrCHnum),""))</f>
        <v/>
      </c>
      <c r="I141" s="14" t="n"/>
      <c r="J141" s="14" t="n"/>
      <c r="K141" s="15">
        <f>IF($B141="","",IFERROR(_xlfn.XLOOKUP($B141,nrCDdate,nrCDweek),""))</f>
        <v/>
      </c>
      <c r="L141" s="15">
        <f>IF($B141="","",IFERROR(_xlfn.XLOOKUP($B141,nrCDdate,nrCDnum),""))</f>
        <v/>
      </c>
      <c r="M141" s="14" t="n"/>
    </row>
    <row r="142">
      <c r="B142" s="16" t="n"/>
      <c r="C142" s="15">
        <f>IF($B142="","",TEXT($B142,"ddd"))</f>
        <v/>
      </c>
      <c r="D142" s="40" t="n"/>
      <c r="E142" s="40" t="n"/>
      <c r="F142" s="15">
        <f>IF(OR($B142="",$D142="",$E142=""),"",ROUND(($E142-$D142)*24,2))</f>
        <v/>
      </c>
      <c r="G142" s="14" t="n"/>
      <c r="H142" s="15">
        <f>IF($G142="","",IFERROR(_xlfn.XLOOKUP($G142,nrCHname,nrCHnum),""))</f>
        <v/>
      </c>
      <c r="I142" s="14" t="n"/>
      <c r="J142" s="14" t="n"/>
      <c r="K142" s="15">
        <f>IF($B142="","",IFERROR(_xlfn.XLOOKUP($B142,nrCDdate,nrCDweek),""))</f>
        <v/>
      </c>
      <c r="L142" s="15">
        <f>IF($B142="","",IFERROR(_xlfn.XLOOKUP($B142,nrCDdate,nrCDnum),""))</f>
        <v/>
      </c>
      <c r="M142" s="14" t="n"/>
    </row>
    <row r="143">
      <c r="B143" s="16" t="n"/>
      <c r="C143" s="15">
        <f>IF($B143="","",TEXT($B143,"ddd"))</f>
        <v/>
      </c>
      <c r="D143" s="40" t="n"/>
      <c r="E143" s="40" t="n"/>
      <c r="F143" s="15">
        <f>IF(OR($B143="",$D143="",$E143=""),"",ROUND(($E143-$D143)*24,2))</f>
        <v/>
      </c>
      <c r="G143" s="14" t="n"/>
      <c r="H143" s="15">
        <f>IF($G143="","",IFERROR(_xlfn.XLOOKUP($G143,nrCHname,nrCHnum),""))</f>
        <v/>
      </c>
      <c r="I143" s="14" t="n"/>
      <c r="J143" s="14" t="n"/>
      <c r="K143" s="15">
        <f>IF($B143="","",IFERROR(_xlfn.XLOOKUP($B143,nrCDdate,nrCDweek),""))</f>
        <v/>
      </c>
      <c r="L143" s="15">
        <f>IF($B143="","",IFERROR(_xlfn.XLOOKUP($B143,nrCDdate,nrCDnum),""))</f>
        <v/>
      </c>
      <c r="M143" s="14" t="n"/>
    </row>
    <row r="144">
      <c r="B144" s="16" t="n"/>
      <c r="C144" s="15">
        <f>IF($B144="","",TEXT($B144,"ddd"))</f>
        <v/>
      </c>
      <c r="D144" s="40" t="n"/>
      <c r="E144" s="40" t="n"/>
      <c r="F144" s="15">
        <f>IF(OR($B144="",$D144="",$E144=""),"",ROUND(($E144-$D144)*24,2))</f>
        <v/>
      </c>
      <c r="G144" s="14" t="n"/>
      <c r="H144" s="15">
        <f>IF($G144="","",IFERROR(_xlfn.XLOOKUP($G144,nrCHname,nrCHnum),""))</f>
        <v/>
      </c>
      <c r="I144" s="14" t="n"/>
      <c r="J144" s="14" t="n"/>
      <c r="K144" s="15">
        <f>IF($B144="","",IFERROR(_xlfn.XLOOKUP($B144,nrCDdate,nrCDweek),""))</f>
        <v/>
      </c>
      <c r="L144" s="15">
        <f>IF($B144="","",IFERROR(_xlfn.XLOOKUP($B144,nrCDdate,nrCDnum),""))</f>
        <v/>
      </c>
      <c r="M144" s="14" t="n"/>
    </row>
    <row r="145">
      <c r="B145" s="16" t="n"/>
      <c r="C145" s="15">
        <f>IF($B145="","",TEXT($B145,"ddd"))</f>
        <v/>
      </c>
      <c r="D145" s="40" t="n"/>
      <c r="E145" s="40" t="n"/>
      <c r="F145" s="15">
        <f>IF(OR($B145="",$D145="",$E145=""),"",ROUND(($E145-$D145)*24,2))</f>
        <v/>
      </c>
      <c r="G145" s="14" t="n"/>
      <c r="H145" s="15">
        <f>IF($G145="","",IFERROR(_xlfn.XLOOKUP($G145,nrCHname,nrCHnum),""))</f>
        <v/>
      </c>
      <c r="I145" s="14" t="n"/>
      <c r="J145" s="14" t="n"/>
      <c r="K145" s="15">
        <f>IF($B145="","",IFERROR(_xlfn.XLOOKUP($B145,nrCDdate,nrCDweek),""))</f>
        <v/>
      </c>
      <c r="L145" s="15">
        <f>IF($B145="","",IFERROR(_xlfn.XLOOKUP($B145,nrCDdate,nrCDnum),""))</f>
        <v/>
      </c>
      <c r="M145" s="14" t="n"/>
    </row>
    <row r="146">
      <c r="B146" s="16" t="n"/>
      <c r="C146" s="15">
        <f>IF($B146="","",TEXT($B146,"ddd"))</f>
        <v/>
      </c>
      <c r="D146" s="40" t="n"/>
      <c r="E146" s="40" t="n"/>
      <c r="F146" s="15">
        <f>IF(OR($B146="",$D146="",$E146=""),"",ROUND(($E146-$D146)*24,2))</f>
        <v/>
      </c>
      <c r="G146" s="14" t="n"/>
      <c r="H146" s="15">
        <f>IF($G146="","",IFERROR(_xlfn.XLOOKUP($G146,nrCHname,nrCHnum),""))</f>
        <v/>
      </c>
      <c r="I146" s="14" t="n"/>
      <c r="J146" s="14" t="n"/>
      <c r="K146" s="15">
        <f>IF($B146="","",IFERROR(_xlfn.XLOOKUP($B146,nrCDdate,nrCDweek),""))</f>
        <v/>
      </c>
      <c r="L146" s="15">
        <f>IF($B146="","",IFERROR(_xlfn.XLOOKUP($B146,nrCDdate,nrCDnum),""))</f>
        <v/>
      </c>
      <c r="M146" s="14" t="n"/>
    </row>
    <row r="147">
      <c r="B147" s="16" t="n"/>
      <c r="C147" s="15">
        <f>IF($B147="","",TEXT($B147,"ddd"))</f>
        <v/>
      </c>
      <c r="D147" s="40" t="n"/>
      <c r="E147" s="40" t="n"/>
      <c r="F147" s="15">
        <f>IF(OR($B147="",$D147="",$E147=""),"",ROUND(($E147-$D147)*24,2))</f>
        <v/>
      </c>
      <c r="G147" s="14" t="n"/>
      <c r="H147" s="15">
        <f>IF($G147="","",IFERROR(_xlfn.XLOOKUP($G147,nrCHname,nrCHnum),""))</f>
        <v/>
      </c>
      <c r="I147" s="14" t="n"/>
      <c r="J147" s="14" t="n"/>
      <c r="K147" s="15">
        <f>IF($B147="","",IFERROR(_xlfn.XLOOKUP($B147,nrCDdate,nrCDweek),""))</f>
        <v/>
      </c>
      <c r="L147" s="15">
        <f>IF($B147="","",IFERROR(_xlfn.XLOOKUP($B147,nrCDdate,nrCDnum),""))</f>
        <v/>
      </c>
      <c r="M147" s="14" t="n"/>
    </row>
    <row r="148">
      <c r="B148" s="16" t="n"/>
      <c r="C148" s="15">
        <f>IF($B148="","",TEXT($B148,"ddd"))</f>
        <v/>
      </c>
      <c r="D148" s="40" t="n"/>
      <c r="E148" s="40" t="n"/>
      <c r="F148" s="15">
        <f>IF(OR($B148="",$D148="",$E148=""),"",ROUND(($E148-$D148)*24,2))</f>
        <v/>
      </c>
      <c r="G148" s="14" t="n"/>
      <c r="H148" s="15">
        <f>IF($G148="","",IFERROR(_xlfn.XLOOKUP($G148,nrCHname,nrCHnum),""))</f>
        <v/>
      </c>
      <c r="I148" s="14" t="n"/>
      <c r="J148" s="14" t="n"/>
      <c r="K148" s="15">
        <f>IF($B148="","",IFERROR(_xlfn.XLOOKUP($B148,nrCDdate,nrCDweek),""))</f>
        <v/>
      </c>
      <c r="L148" s="15">
        <f>IF($B148="","",IFERROR(_xlfn.XLOOKUP($B148,nrCDdate,nrCDnum),""))</f>
        <v/>
      </c>
      <c r="M148" s="14" t="n"/>
    </row>
    <row r="149">
      <c r="B149" s="16" t="n"/>
      <c r="C149" s="15">
        <f>IF($B149="","",TEXT($B149,"ddd"))</f>
        <v/>
      </c>
      <c r="D149" s="40" t="n"/>
      <c r="E149" s="40" t="n"/>
      <c r="F149" s="15">
        <f>IF(OR($B149="",$D149="",$E149=""),"",ROUND(($E149-$D149)*24,2))</f>
        <v/>
      </c>
      <c r="G149" s="14" t="n"/>
      <c r="H149" s="15">
        <f>IF($G149="","",IFERROR(_xlfn.XLOOKUP($G149,nrCHname,nrCHnum),""))</f>
        <v/>
      </c>
      <c r="I149" s="14" t="n"/>
      <c r="J149" s="14" t="n"/>
      <c r="K149" s="15">
        <f>IF($B149="","",IFERROR(_xlfn.XLOOKUP($B149,nrCDdate,nrCDweek),""))</f>
        <v/>
      </c>
      <c r="L149" s="15">
        <f>IF($B149="","",IFERROR(_xlfn.XLOOKUP($B149,nrCDdate,nrCDnum),""))</f>
        <v/>
      </c>
      <c r="M149" s="14" t="n"/>
    </row>
    <row r="150">
      <c r="B150" s="16" t="n"/>
      <c r="C150" s="15">
        <f>IF($B150="","",TEXT($B150,"ddd"))</f>
        <v/>
      </c>
      <c r="D150" s="40" t="n"/>
      <c r="E150" s="40" t="n"/>
      <c r="F150" s="15">
        <f>IF(OR($B150="",$D150="",$E150=""),"",ROUND(($E150-$D150)*24,2))</f>
        <v/>
      </c>
      <c r="G150" s="14" t="n"/>
      <c r="H150" s="15">
        <f>IF($G150="","",IFERROR(_xlfn.XLOOKUP($G150,nrCHname,nrCHnum),""))</f>
        <v/>
      </c>
      <c r="I150" s="14" t="n"/>
      <c r="J150" s="14" t="n"/>
      <c r="K150" s="15">
        <f>IF($B150="","",IFERROR(_xlfn.XLOOKUP($B150,nrCDdate,nrCDweek),""))</f>
        <v/>
      </c>
      <c r="L150" s="15">
        <f>IF($B150="","",IFERROR(_xlfn.XLOOKUP($B150,nrCDdate,nrCDnum),""))</f>
        <v/>
      </c>
      <c r="M150" s="14" t="n"/>
    </row>
    <row r="151">
      <c r="B151" s="16" t="n"/>
      <c r="C151" s="15">
        <f>IF($B151="","",TEXT($B151,"ddd"))</f>
        <v/>
      </c>
      <c r="D151" s="40" t="n"/>
      <c r="E151" s="40" t="n"/>
      <c r="F151" s="15">
        <f>IF(OR($B151="",$D151="",$E151=""),"",ROUND(($E151-$D151)*24,2))</f>
        <v/>
      </c>
      <c r="G151" s="14" t="n"/>
      <c r="H151" s="15">
        <f>IF($G151="","",IFERROR(_xlfn.XLOOKUP($G151,nrCHname,nrCHnum),""))</f>
        <v/>
      </c>
      <c r="I151" s="14" t="n"/>
      <c r="J151" s="14" t="n"/>
      <c r="K151" s="15">
        <f>IF($B151="","",IFERROR(_xlfn.XLOOKUP($B151,nrCDdate,nrCDweek),""))</f>
        <v/>
      </c>
      <c r="L151" s="15">
        <f>IF($B151="","",IFERROR(_xlfn.XLOOKUP($B151,nrCDdate,nrCDnum),""))</f>
        <v/>
      </c>
      <c r="M151" s="14" t="n"/>
    </row>
    <row r="152">
      <c r="B152" s="16" t="n"/>
      <c r="C152" s="15">
        <f>IF($B152="","",TEXT($B152,"ddd"))</f>
        <v/>
      </c>
      <c r="D152" s="40" t="n"/>
      <c r="E152" s="40" t="n"/>
      <c r="F152" s="15">
        <f>IF(OR($B152="",$D152="",$E152=""),"",ROUND(($E152-$D152)*24,2))</f>
        <v/>
      </c>
      <c r="G152" s="14" t="n"/>
      <c r="H152" s="15">
        <f>IF($G152="","",IFERROR(_xlfn.XLOOKUP($G152,nrCHname,nrCHnum),""))</f>
        <v/>
      </c>
      <c r="I152" s="14" t="n"/>
      <c r="J152" s="14" t="n"/>
      <c r="K152" s="15">
        <f>IF($B152="","",IFERROR(_xlfn.XLOOKUP($B152,nrCDdate,nrCDweek),""))</f>
        <v/>
      </c>
      <c r="L152" s="15">
        <f>IF($B152="","",IFERROR(_xlfn.XLOOKUP($B152,nrCDdate,nrCDnum),""))</f>
        <v/>
      </c>
      <c r="M152" s="14" t="n"/>
    </row>
    <row r="153">
      <c r="B153" s="16" t="n"/>
      <c r="C153" s="15">
        <f>IF($B153="","",TEXT($B153,"ddd"))</f>
        <v/>
      </c>
      <c r="D153" s="40" t="n"/>
      <c r="E153" s="40" t="n"/>
      <c r="F153" s="15">
        <f>IF(OR($B153="",$D153="",$E153=""),"",ROUND(($E153-$D153)*24,2))</f>
        <v/>
      </c>
      <c r="G153" s="14" t="n"/>
      <c r="H153" s="15">
        <f>IF($G153="","",IFERROR(_xlfn.XLOOKUP($G153,nrCHname,nrCHnum),""))</f>
        <v/>
      </c>
      <c r="I153" s="14" t="n"/>
      <c r="J153" s="14" t="n"/>
      <c r="K153" s="15">
        <f>IF($B153="","",IFERROR(_xlfn.XLOOKUP($B153,nrCDdate,nrCDweek),""))</f>
        <v/>
      </c>
      <c r="L153" s="15">
        <f>IF($B153="","",IFERROR(_xlfn.XLOOKUP($B153,nrCDdate,nrCDnum),""))</f>
        <v/>
      </c>
      <c r="M153" s="14" t="n"/>
    </row>
    <row r="154">
      <c r="B154" s="16" t="n"/>
      <c r="C154" s="15">
        <f>IF($B154="","",TEXT($B154,"ddd"))</f>
        <v/>
      </c>
      <c r="D154" s="40" t="n"/>
      <c r="E154" s="40" t="n"/>
      <c r="F154" s="15">
        <f>IF(OR($B154="",$D154="",$E154=""),"",ROUND(($E154-$D154)*24,2))</f>
        <v/>
      </c>
      <c r="G154" s="14" t="n"/>
      <c r="H154" s="15">
        <f>IF($G154="","",IFERROR(_xlfn.XLOOKUP($G154,nrCHname,nrCHnum),""))</f>
        <v/>
      </c>
      <c r="I154" s="14" t="n"/>
      <c r="J154" s="14" t="n"/>
      <c r="K154" s="15">
        <f>IF($B154="","",IFERROR(_xlfn.XLOOKUP($B154,nrCDdate,nrCDweek),""))</f>
        <v/>
      </c>
      <c r="L154" s="15">
        <f>IF($B154="","",IFERROR(_xlfn.XLOOKUP($B154,nrCDdate,nrCDnum),""))</f>
        <v/>
      </c>
      <c r="M154" s="14" t="n"/>
    </row>
    <row r="155">
      <c r="B155" s="16" t="n"/>
      <c r="C155" s="15">
        <f>IF($B155="","",TEXT($B155,"ddd"))</f>
        <v/>
      </c>
      <c r="D155" s="40" t="n"/>
      <c r="E155" s="40" t="n"/>
      <c r="F155" s="15">
        <f>IF(OR($B155="",$D155="",$E155=""),"",ROUND(($E155-$D155)*24,2))</f>
        <v/>
      </c>
      <c r="G155" s="14" t="n"/>
      <c r="H155" s="15">
        <f>IF($G155="","",IFERROR(_xlfn.XLOOKUP($G155,nrCHname,nrCHnum),""))</f>
        <v/>
      </c>
      <c r="I155" s="14" t="n"/>
      <c r="J155" s="14" t="n"/>
      <c r="K155" s="15">
        <f>IF($B155="","",IFERROR(_xlfn.XLOOKUP($B155,nrCDdate,nrCDweek),""))</f>
        <v/>
      </c>
      <c r="L155" s="15">
        <f>IF($B155="","",IFERROR(_xlfn.XLOOKUP($B155,nrCDdate,nrCDnum),""))</f>
        <v/>
      </c>
      <c r="M155" s="14" t="n"/>
    </row>
    <row r="156">
      <c r="B156" s="16" t="n"/>
      <c r="C156" s="15">
        <f>IF($B156="","",TEXT($B156,"ddd"))</f>
        <v/>
      </c>
      <c r="D156" s="40" t="n"/>
      <c r="E156" s="40" t="n"/>
      <c r="F156" s="15">
        <f>IF(OR($B156="",$D156="",$E156=""),"",ROUND(($E156-$D156)*24,2))</f>
        <v/>
      </c>
      <c r="G156" s="14" t="n"/>
      <c r="H156" s="15">
        <f>IF($G156="","",IFERROR(_xlfn.XLOOKUP($G156,nrCHname,nrCHnum),""))</f>
        <v/>
      </c>
      <c r="I156" s="14" t="n"/>
      <c r="J156" s="14" t="n"/>
      <c r="K156" s="15">
        <f>IF($B156="","",IFERROR(_xlfn.XLOOKUP($B156,nrCDdate,nrCDweek),""))</f>
        <v/>
      </c>
      <c r="L156" s="15">
        <f>IF($B156="","",IFERROR(_xlfn.XLOOKUP($B156,nrCDdate,nrCDnum),""))</f>
        <v/>
      </c>
      <c r="M156" s="14" t="n"/>
    </row>
    <row r="157">
      <c r="B157" s="16" t="n"/>
      <c r="C157" s="15">
        <f>IF($B157="","",TEXT($B157,"ddd"))</f>
        <v/>
      </c>
      <c r="D157" s="40" t="n"/>
      <c r="E157" s="40" t="n"/>
      <c r="F157" s="15">
        <f>IF(OR($B157="",$D157="",$E157=""),"",ROUND(($E157-$D157)*24,2))</f>
        <v/>
      </c>
      <c r="G157" s="14" t="n"/>
      <c r="H157" s="15">
        <f>IF($G157="","",IFERROR(_xlfn.XLOOKUP($G157,nrCHname,nrCHnum),""))</f>
        <v/>
      </c>
      <c r="I157" s="14" t="n"/>
      <c r="J157" s="14" t="n"/>
      <c r="K157" s="15">
        <f>IF($B157="","",IFERROR(_xlfn.XLOOKUP($B157,nrCDdate,nrCDweek),""))</f>
        <v/>
      </c>
      <c r="L157" s="15">
        <f>IF($B157="","",IFERROR(_xlfn.XLOOKUP($B157,nrCDdate,nrCDnum),""))</f>
        <v/>
      </c>
      <c r="M157" s="14" t="n"/>
    </row>
    <row r="158">
      <c r="B158" s="16" t="n"/>
      <c r="C158" s="15">
        <f>IF($B158="","",TEXT($B158,"ddd"))</f>
        <v/>
      </c>
      <c r="D158" s="40" t="n"/>
      <c r="E158" s="40" t="n"/>
      <c r="F158" s="15">
        <f>IF(OR($B158="",$D158="",$E158=""),"",ROUND(($E158-$D158)*24,2))</f>
        <v/>
      </c>
      <c r="G158" s="14" t="n"/>
      <c r="H158" s="15">
        <f>IF($G158="","",IFERROR(_xlfn.XLOOKUP($G158,nrCHname,nrCHnum),""))</f>
        <v/>
      </c>
      <c r="I158" s="14" t="n"/>
      <c r="J158" s="14" t="n"/>
      <c r="K158" s="15">
        <f>IF($B158="","",IFERROR(_xlfn.XLOOKUP($B158,nrCDdate,nrCDweek),""))</f>
        <v/>
      </c>
      <c r="L158" s="15">
        <f>IF($B158="","",IFERROR(_xlfn.XLOOKUP($B158,nrCDdate,nrCDnum),""))</f>
        <v/>
      </c>
      <c r="M158" s="14" t="n"/>
    </row>
    <row r="159">
      <c r="B159" s="16" t="n"/>
      <c r="C159" s="15">
        <f>IF($B159="","",TEXT($B159,"ddd"))</f>
        <v/>
      </c>
      <c r="D159" s="40" t="n"/>
      <c r="E159" s="40" t="n"/>
      <c r="F159" s="15">
        <f>IF(OR($B159="",$D159="",$E159=""),"",ROUND(($E159-$D159)*24,2))</f>
        <v/>
      </c>
      <c r="G159" s="14" t="n"/>
      <c r="H159" s="15">
        <f>IF($G159="","",IFERROR(_xlfn.XLOOKUP($G159,nrCHname,nrCHnum),""))</f>
        <v/>
      </c>
      <c r="I159" s="14" t="n"/>
      <c r="J159" s="14" t="n"/>
      <c r="K159" s="15">
        <f>IF($B159="","",IFERROR(_xlfn.XLOOKUP($B159,nrCDdate,nrCDweek),""))</f>
        <v/>
      </c>
      <c r="L159" s="15">
        <f>IF($B159="","",IFERROR(_xlfn.XLOOKUP($B159,nrCDdate,nrCDnum),""))</f>
        <v/>
      </c>
      <c r="M159" s="14" t="n"/>
    </row>
    <row r="160">
      <c r="B160" s="16" t="n"/>
      <c r="C160" s="15">
        <f>IF($B160="","",TEXT($B160,"ddd"))</f>
        <v/>
      </c>
      <c r="D160" s="40" t="n"/>
      <c r="E160" s="40" t="n"/>
      <c r="F160" s="15">
        <f>IF(OR($B160="",$D160="",$E160=""),"",ROUND(($E160-$D160)*24,2))</f>
        <v/>
      </c>
      <c r="G160" s="14" t="n"/>
      <c r="H160" s="15">
        <f>IF($G160="","",IFERROR(_xlfn.XLOOKUP($G160,nrCHname,nrCHnum),""))</f>
        <v/>
      </c>
      <c r="I160" s="14" t="n"/>
      <c r="J160" s="14" t="n"/>
      <c r="K160" s="15">
        <f>IF($B160="","",IFERROR(_xlfn.XLOOKUP($B160,nrCDdate,nrCDweek),""))</f>
        <v/>
      </c>
      <c r="L160" s="15">
        <f>IF($B160="","",IFERROR(_xlfn.XLOOKUP($B160,nrCDdate,nrCDnum),""))</f>
        <v/>
      </c>
      <c r="M160" s="14" t="n"/>
    </row>
    <row r="161">
      <c r="B161" s="16" t="n"/>
      <c r="C161" s="15">
        <f>IF($B161="","",TEXT($B161,"ddd"))</f>
        <v/>
      </c>
      <c r="D161" s="40" t="n"/>
      <c r="E161" s="40" t="n"/>
      <c r="F161" s="15">
        <f>IF(OR($B161="",$D161="",$E161=""),"",ROUND(($E161-$D161)*24,2))</f>
        <v/>
      </c>
      <c r="G161" s="14" t="n"/>
      <c r="H161" s="15">
        <f>IF($G161="","",IFERROR(_xlfn.XLOOKUP($G161,nrCHname,nrCHnum),""))</f>
        <v/>
      </c>
      <c r="I161" s="14" t="n"/>
      <c r="J161" s="14" t="n"/>
      <c r="K161" s="15">
        <f>IF($B161="","",IFERROR(_xlfn.XLOOKUP($B161,nrCDdate,nrCDweek),""))</f>
        <v/>
      </c>
      <c r="L161" s="15">
        <f>IF($B161="","",IFERROR(_xlfn.XLOOKUP($B161,nrCDdate,nrCDnum),""))</f>
        <v/>
      </c>
      <c r="M161" s="14" t="n"/>
    </row>
    <row r="162">
      <c r="B162" s="16" t="n"/>
      <c r="C162" s="15">
        <f>IF($B162="","",TEXT($B162,"ddd"))</f>
        <v/>
      </c>
      <c r="D162" s="40" t="n"/>
      <c r="E162" s="40" t="n"/>
      <c r="F162" s="15">
        <f>IF(OR($B162="",$D162="",$E162=""),"",ROUND(($E162-$D162)*24,2))</f>
        <v/>
      </c>
      <c r="G162" s="14" t="n"/>
      <c r="H162" s="15">
        <f>IF($G162="","",IFERROR(_xlfn.XLOOKUP($G162,nrCHname,nrCHnum),""))</f>
        <v/>
      </c>
      <c r="I162" s="14" t="n"/>
      <c r="J162" s="14" t="n"/>
      <c r="K162" s="15">
        <f>IF($B162="","",IFERROR(_xlfn.XLOOKUP($B162,nrCDdate,nrCDweek),""))</f>
        <v/>
      </c>
      <c r="L162" s="15">
        <f>IF($B162="","",IFERROR(_xlfn.XLOOKUP($B162,nrCDdate,nrCDnum),""))</f>
        <v/>
      </c>
      <c r="M162" s="14" t="n"/>
    </row>
    <row r="163">
      <c r="B163" s="16" t="n"/>
      <c r="C163" s="15">
        <f>IF($B163="","",TEXT($B163,"ddd"))</f>
        <v/>
      </c>
      <c r="D163" s="40" t="n"/>
      <c r="E163" s="40" t="n"/>
      <c r="F163" s="15">
        <f>IF(OR($B163="",$D163="",$E163=""),"",ROUND(($E163-$D163)*24,2))</f>
        <v/>
      </c>
      <c r="G163" s="14" t="n"/>
      <c r="H163" s="15">
        <f>IF($G163="","",IFERROR(_xlfn.XLOOKUP($G163,nrCHname,nrCHnum),""))</f>
        <v/>
      </c>
      <c r="I163" s="14" t="n"/>
      <c r="J163" s="14" t="n"/>
      <c r="K163" s="15">
        <f>IF($B163="","",IFERROR(_xlfn.XLOOKUP($B163,nrCDdate,nrCDweek),""))</f>
        <v/>
      </c>
      <c r="L163" s="15">
        <f>IF($B163="","",IFERROR(_xlfn.XLOOKUP($B163,nrCDdate,nrCDnum),""))</f>
        <v/>
      </c>
      <c r="M163" s="14" t="n"/>
    </row>
    <row r="164">
      <c r="B164" s="16" t="n"/>
      <c r="C164" s="15">
        <f>IF($B164="","",TEXT($B164,"ddd"))</f>
        <v/>
      </c>
      <c r="D164" s="40" t="n"/>
      <c r="E164" s="40" t="n"/>
      <c r="F164" s="15">
        <f>IF(OR($B164="",$D164="",$E164=""),"",ROUND(($E164-$D164)*24,2))</f>
        <v/>
      </c>
      <c r="G164" s="14" t="n"/>
      <c r="H164" s="15">
        <f>IF($G164="","",IFERROR(_xlfn.XLOOKUP($G164,nrCHname,nrCHnum),""))</f>
        <v/>
      </c>
      <c r="I164" s="14" t="n"/>
      <c r="J164" s="14" t="n"/>
      <c r="K164" s="15">
        <f>IF($B164="","",IFERROR(_xlfn.XLOOKUP($B164,nrCDdate,nrCDweek),""))</f>
        <v/>
      </c>
      <c r="L164" s="15">
        <f>IF($B164="","",IFERROR(_xlfn.XLOOKUP($B164,nrCDdate,nrCDnum),""))</f>
        <v/>
      </c>
      <c r="M164" s="14" t="n"/>
    </row>
    <row r="165">
      <c r="B165" s="16" t="n"/>
      <c r="C165" s="15">
        <f>IF($B165="","",TEXT($B165,"ddd"))</f>
        <v/>
      </c>
      <c r="D165" s="40" t="n"/>
      <c r="E165" s="40" t="n"/>
      <c r="F165" s="15">
        <f>IF(OR($B165="",$D165="",$E165=""),"",ROUND(($E165-$D165)*24,2))</f>
        <v/>
      </c>
      <c r="G165" s="14" t="n"/>
      <c r="H165" s="15">
        <f>IF($G165="","",IFERROR(_xlfn.XLOOKUP($G165,nrCHname,nrCHnum),""))</f>
        <v/>
      </c>
      <c r="I165" s="14" t="n"/>
      <c r="J165" s="14" t="n"/>
      <c r="K165" s="15">
        <f>IF($B165="","",IFERROR(_xlfn.XLOOKUP($B165,nrCDdate,nrCDweek),""))</f>
        <v/>
      </c>
      <c r="L165" s="15">
        <f>IF($B165="","",IFERROR(_xlfn.XLOOKUP($B165,nrCDdate,nrCDnum),""))</f>
        <v/>
      </c>
      <c r="M165" s="14" t="n"/>
    </row>
    <row r="166">
      <c r="B166" s="16" t="n"/>
      <c r="C166" s="15">
        <f>IF($B166="","",TEXT($B166,"ddd"))</f>
        <v/>
      </c>
      <c r="D166" s="40" t="n"/>
      <c r="E166" s="40" t="n"/>
      <c r="F166" s="15">
        <f>IF(OR($B166="",$D166="",$E166=""),"",ROUND(($E166-$D166)*24,2))</f>
        <v/>
      </c>
      <c r="G166" s="14" t="n"/>
      <c r="H166" s="15">
        <f>IF($G166="","",IFERROR(_xlfn.XLOOKUP($G166,nrCHname,nrCHnum),""))</f>
        <v/>
      </c>
      <c r="I166" s="14" t="n"/>
      <c r="J166" s="14" t="n"/>
      <c r="K166" s="15">
        <f>IF($B166="","",IFERROR(_xlfn.XLOOKUP($B166,nrCDdate,nrCDweek),""))</f>
        <v/>
      </c>
      <c r="L166" s="15">
        <f>IF($B166="","",IFERROR(_xlfn.XLOOKUP($B166,nrCDdate,nrCDnum),""))</f>
        <v/>
      </c>
      <c r="M166" s="14" t="n"/>
    </row>
    <row r="167">
      <c r="B167" s="16" t="n"/>
      <c r="C167" s="15">
        <f>IF($B167="","",TEXT($B167,"ddd"))</f>
        <v/>
      </c>
      <c r="D167" s="40" t="n"/>
      <c r="E167" s="40" t="n"/>
      <c r="F167" s="15">
        <f>IF(OR($B167="",$D167="",$E167=""),"",ROUND(($E167-$D167)*24,2))</f>
        <v/>
      </c>
      <c r="G167" s="14" t="n"/>
      <c r="H167" s="15">
        <f>IF($G167="","",IFERROR(_xlfn.XLOOKUP($G167,nrCHname,nrCHnum),""))</f>
        <v/>
      </c>
      <c r="I167" s="14" t="n"/>
      <c r="J167" s="14" t="n"/>
      <c r="K167" s="15">
        <f>IF($B167="","",IFERROR(_xlfn.XLOOKUP($B167,nrCDdate,nrCDweek),""))</f>
        <v/>
      </c>
      <c r="L167" s="15">
        <f>IF($B167="","",IFERROR(_xlfn.XLOOKUP($B167,nrCDdate,nrCDnum),""))</f>
        <v/>
      </c>
      <c r="M167" s="14" t="n"/>
    </row>
    <row r="168">
      <c r="B168" s="16" t="n"/>
      <c r="C168" s="15">
        <f>IF($B168="","",TEXT($B168,"ddd"))</f>
        <v/>
      </c>
      <c r="D168" s="40" t="n"/>
      <c r="E168" s="40" t="n"/>
      <c r="F168" s="15">
        <f>IF(OR($B168="",$D168="",$E168=""),"",ROUND(($E168-$D168)*24,2))</f>
        <v/>
      </c>
      <c r="G168" s="14" t="n"/>
      <c r="H168" s="15">
        <f>IF($G168="","",IFERROR(_xlfn.XLOOKUP($G168,nrCHname,nrCHnum),""))</f>
        <v/>
      </c>
      <c r="I168" s="14" t="n"/>
      <c r="J168" s="14" t="n"/>
      <c r="K168" s="15">
        <f>IF($B168="","",IFERROR(_xlfn.XLOOKUP($B168,nrCDdate,nrCDweek),""))</f>
        <v/>
      </c>
      <c r="L168" s="15">
        <f>IF($B168="","",IFERROR(_xlfn.XLOOKUP($B168,nrCDdate,nrCDnum),""))</f>
        <v/>
      </c>
      <c r="M168" s="14" t="n"/>
    </row>
    <row r="169">
      <c r="B169" s="16" t="n"/>
      <c r="C169" s="15">
        <f>IF($B169="","",TEXT($B169,"ddd"))</f>
        <v/>
      </c>
      <c r="D169" s="40" t="n"/>
      <c r="E169" s="40" t="n"/>
      <c r="F169" s="15">
        <f>IF(OR($B169="",$D169="",$E169=""),"",ROUND(($E169-$D169)*24,2))</f>
        <v/>
      </c>
      <c r="G169" s="14" t="n"/>
      <c r="H169" s="15">
        <f>IF($G169="","",IFERROR(_xlfn.XLOOKUP($G169,nrCHname,nrCHnum),""))</f>
        <v/>
      </c>
      <c r="I169" s="14" t="n"/>
      <c r="J169" s="14" t="n"/>
      <c r="K169" s="15">
        <f>IF($B169="","",IFERROR(_xlfn.XLOOKUP($B169,nrCDdate,nrCDweek),""))</f>
        <v/>
      </c>
      <c r="L169" s="15">
        <f>IF($B169="","",IFERROR(_xlfn.XLOOKUP($B169,nrCDdate,nrCDnum),""))</f>
        <v/>
      </c>
      <c r="M169" s="14" t="n"/>
    </row>
    <row r="170">
      <c r="B170" s="16" t="n"/>
      <c r="C170" s="15">
        <f>IF($B170="","",TEXT($B170,"ddd"))</f>
        <v/>
      </c>
      <c r="D170" s="40" t="n"/>
      <c r="E170" s="40" t="n"/>
      <c r="F170" s="15">
        <f>IF(OR($B170="",$D170="",$E170=""),"",ROUND(($E170-$D170)*24,2))</f>
        <v/>
      </c>
      <c r="G170" s="14" t="n"/>
      <c r="H170" s="15">
        <f>IF($G170="","",IFERROR(_xlfn.XLOOKUP($G170,nrCHname,nrCHnum),""))</f>
        <v/>
      </c>
      <c r="I170" s="14" t="n"/>
      <c r="J170" s="14" t="n"/>
      <c r="K170" s="15">
        <f>IF($B170="","",IFERROR(_xlfn.XLOOKUP($B170,nrCDdate,nrCDweek),""))</f>
        <v/>
      </c>
      <c r="L170" s="15">
        <f>IF($B170="","",IFERROR(_xlfn.XLOOKUP($B170,nrCDdate,nrCDnum),""))</f>
        <v/>
      </c>
      <c r="M170" s="14" t="n"/>
    </row>
    <row r="171">
      <c r="B171" s="16" t="n"/>
      <c r="C171" s="15">
        <f>IF($B171="","",TEXT($B171,"ddd"))</f>
        <v/>
      </c>
      <c r="D171" s="40" t="n"/>
      <c r="E171" s="40" t="n"/>
      <c r="F171" s="15">
        <f>IF(OR($B171="",$D171="",$E171=""),"",ROUND(($E171-$D171)*24,2))</f>
        <v/>
      </c>
      <c r="G171" s="14" t="n"/>
      <c r="H171" s="15">
        <f>IF($G171="","",IFERROR(_xlfn.XLOOKUP($G171,nrCHname,nrCHnum),""))</f>
        <v/>
      </c>
      <c r="I171" s="14" t="n"/>
      <c r="J171" s="14" t="n"/>
      <c r="K171" s="15">
        <f>IF($B171="","",IFERROR(_xlfn.XLOOKUP($B171,nrCDdate,nrCDweek),""))</f>
        <v/>
      </c>
      <c r="L171" s="15">
        <f>IF($B171="","",IFERROR(_xlfn.XLOOKUP($B171,nrCDdate,nrCDnum),""))</f>
        <v/>
      </c>
      <c r="M171" s="14" t="n"/>
    </row>
    <row r="172">
      <c r="B172" s="16" t="n"/>
      <c r="C172" s="15">
        <f>IF($B172="","",TEXT($B172,"ddd"))</f>
        <v/>
      </c>
      <c r="D172" s="40" t="n"/>
      <c r="E172" s="40" t="n"/>
      <c r="F172" s="15">
        <f>IF(OR($B172="",$D172="",$E172=""),"",ROUND(($E172-$D172)*24,2))</f>
        <v/>
      </c>
      <c r="G172" s="14" t="n"/>
      <c r="H172" s="15">
        <f>IF($G172="","",IFERROR(_xlfn.XLOOKUP($G172,nrCHname,nrCHnum),""))</f>
        <v/>
      </c>
      <c r="I172" s="14" t="n"/>
      <c r="J172" s="14" t="n"/>
      <c r="K172" s="15">
        <f>IF($B172="","",IFERROR(_xlfn.XLOOKUP($B172,nrCDdate,nrCDweek),""))</f>
        <v/>
      </c>
      <c r="L172" s="15">
        <f>IF($B172="","",IFERROR(_xlfn.XLOOKUP($B172,nrCDdate,nrCDnum),""))</f>
        <v/>
      </c>
      <c r="M172" s="14" t="n"/>
    </row>
    <row r="173">
      <c r="B173" s="16" t="n"/>
      <c r="C173" s="15">
        <f>IF($B173="","",TEXT($B173,"ddd"))</f>
        <v/>
      </c>
      <c r="D173" s="40" t="n"/>
      <c r="E173" s="40" t="n"/>
      <c r="F173" s="15">
        <f>IF(OR($B173="",$D173="",$E173=""),"",ROUND(($E173-$D173)*24,2))</f>
        <v/>
      </c>
      <c r="G173" s="14" t="n"/>
      <c r="H173" s="15">
        <f>IF($G173="","",IFERROR(_xlfn.XLOOKUP($G173,nrCHname,nrCHnum),""))</f>
        <v/>
      </c>
      <c r="I173" s="14" t="n"/>
      <c r="J173" s="14" t="n"/>
      <c r="K173" s="15">
        <f>IF($B173="","",IFERROR(_xlfn.XLOOKUP($B173,nrCDdate,nrCDweek),""))</f>
        <v/>
      </c>
      <c r="L173" s="15">
        <f>IF($B173="","",IFERROR(_xlfn.XLOOKUP($B173,nrCDdate,nrCDnum),""))</f>
        <v/>
      </c>
      <c r="M173" s="14" t="n"/>
    </row>
    <row r="174">
      <c r="B174" s="16" t="n"/>
      <c r="C174" s="15">
        <f>IF($B174="","",TEXT($B174,"ddd"))</f>
        <v/>
      </c>
      <c r="D174" s="40" t="n"/>
      <c r="E174" s="40" t="n"/>
      <c r="F174" s="15">
        <f>IF(OR($B174="",$D174="",$E174=""),"",ROUND(($E174-$D174)*24,2))</f>
        <v/>
      </c>
      <c r="G174" s="14" t="n"/>
      <c r="H174" s="15">
        <f>IF($G174="","",IFERROR(_xlfn.XLOOKUP($G174,nrCHname,nrCHnum),""))</f>
        <v/>
      </c>
      <c r="I174" s="14" t="n"/>
      <c r="J174" s="14" t="n"/>
      <c r="K174" s="15">
        <f>IF($B174="","",IFERROR(_xlfn.XLOOKUP($B174,nrCDdate,nrCDweek),""))</f>
        <v/>
      </c>
      <c r="L174" s="15">
        <f>IF($B174="","",IFERROR(_xlfn.XLOOKUP($B174,nrCDdate,nrCDnum),""))</f>
        <v/>
      </c>
      <c r="M174" s="14" t="n"/>
    </row>
    <row r="175">
      <c r="B175" s="16" t="n"/>
      <c r="C175" s="15">
        <f>IF($B175="","",TEXT($B175,"ddd"))</f>
        <v/>
      </c>
      <c r="D175" s="40" t="n"/>
      <c r="E175" s="40" t="n"/>
      <c r="F175" s="15">
        <f>IF(OR($B175="",$D175="",$E175=""),"",ROUND(($E175-$D175)*24,2))</f>
        <v/>
      </c>
      <c r="G175" s="14" t="n"/>
      <c r="H175" s="15">
        <f>IF($G175="","",IFERROR(_xlfn.XLOOKUP($G175,nrCHname,nrCHnum),""))</f>
        <v/>
      </c>
      <c r="I175" s="14" t="n"/>
      <c r="J175" s="14" t="n"/>
      <c r="K175" s="15">
        <f>IF($B175="","",IFERROR(_xlfn.XLOOKUP($B175,nrCDdate,nrCDweek),""))</f>
        <v/>
      </c>
      <c r="L175" s="15">
        <f>IF($B175="","",IFERROR(_xlfn.XLOOKUP($B175,nrCDdate,nrCDnum),""))</f>
        <v/>
      </c>
      <c r="M175" s="14" t="n"/>
    </row>
    <row r="176">
      <c r="B176" s="16" t="n"/>
      <c r="C176" s="15">
        <f>IF($B176="","",TEXT($B176,"ddd"))</f>
        <v/>
      </c>
      <c r="D176" s="40" t="n"/>
      <c r="E176" s="40" t="n"/>
      <c r="F176" s="15">
        <f>IF(OR($B176="",$D176="",$E176=""),"",ROUND(($E176-$D176)*24,2))</f>
        <v/>
      </c>
      <c r="G176" s="14" t="n"/>
      <c r="H176" s="15">
        <f>IF($G176="","",IFERROR(_xlfn.XLOOKUP($G176,nrCHname,nrCHnum),""))</f>
        <v/>
      </c>
      <c r="I176" s="14" t="n"/>
      <c r="J176" s="14" t="n"/>
      <c r="K176" s="15">
        <f>IF($B176="","",IFERROR(_xlfn.XLOOKUP($B176,nrCDdate,nrCDweek),""))</f>
        <v/>
      </c>
      <c r="L176" s="15">
        <f>IF($B176="","",IFERROR(_xlfn.XLOOKUP($B176,nrCDdate,nrCDnum),""))</f>
        <v/>
      </c>
      <c r="M176" s="14" t="n"/>
    </row>
    <row r="177">
      <c r="B177" s="16" t="n"/>
      <c r="C177" s="15">
        <f>IF($B177="","",TEXT($B177,"ddd"))</f>
        <v/>
      </c>
      <c r="D177" s="40" t="n"/>
      <c r="E177" s="40" t="n"/>
      <c r="F177" s="15">
        <f>IF(OR($B177="",$D177="",$E177=""),"",ROUND(($E177-$D177)*24,2))</f>
        <v/>
      </c>
      <c r="G177" s="14" t="n"/>
      <c r="H177" s="15">
        <f>IF($G177="","",IFERROR(_xlfn.XLOOKUP($G177,nrCHname,nrCHnum),""))</f>
        <v/>
      </c>
      <c r="I177" s="14" t="n"/>
      <c r="J177" s="14" t="n"/>
      <c r="K177" s="15">
        <f>IF($B177="","",IFERROR(_xlfn.XLOOKUP($B177,nrCDdate,nrCDweek),""))</f>
        <v/>
      </c>
      <c r="L177" s="15">
        <f>IF($B177="","",IFERROR(_xlfn.XLOOKUP($B177,nrCDdate,nrCDnum),""))</f>
        <v/>
      </c>
      <c r="M177" s="14" t="n"/>
    </row>
    <row r="178">
      <c r="B178" s="16" t="n"/>
      <c r="C178" s="15">
        <f>IF($B178="","",TEXT($B178,"ddd"))</f>
        <v/>
      </c>
      <c r="D178" s="40" t="n"/>
      <c r="E178" s="40" t="n"/>
      <c r="F178" s="15">
        <f>IF(OR($B178="",$D178="",$E178=""),"",ROUND(($E178-$D178)*24,2))</f>
        <v/>
      </c>
      <c r="G178" s="14" t="n"/>
      <c r="H178" s="15">
        <f>IF($G178="","",IFERROR(_xlfn.XLOOKUP($G178,nrCHname,nrCHnum),""))</f>
        <v/>
      </c>
      <c r="I178" s="14" t="n"/>
      <c r="J178" s="14" t="n"/>
      <c r="K178" s="15">
        <f>IF($B178="","",IFERROR(_xlfn.XLOOKUP($B178,nrCDdate,nrCDweek),""))</f>
        <v/>
      </c>
      <c r="L178" s="15">
        <f>IF($B178="","",IFERROR(_xlfn.XLOOKUP($B178,nrCDdate,nrCDnum),""))</f>
        <v/>
      </c>
      <c r="M178" s="14" t="n"/>
    </row>
    <row r="179">
      <c r="B179" s="16" t="n"/>
      <c r="C179" s="15">
        <f>IF($B179="","",TEXT($B179,"ddd"))</f>
        <v/>
      </c>
      <c r="D179" s="40" t="n"/>
      <c r="E179" s="40" t="n"/>
      <c r="F179" s="15">
        <f>IF(OR($B179="",$D179="",$E179=""),"",ROUND(($E179-$D179)*24,2))</f>
        <v/>
      </c>
      <c r="G179" s="14" t="n"/>
      <c r="H179" s="15">
        <f>IF($G179="","",IFERROR(_xlfn.XLOOKUP($G179,nrCHname,nrCHnum),""))</f>
        <v/>
      </c>
      <c r="I179" s="14" t="n"/>
      <c r="J179" s="14" t="n"/>
      <c r="K179" s="15">
        <f>IF($B179="","",IFERROR(_xlfn.XLOOKUP($B179,nrCDdate,nrCDweek),""))</f>
        <v/>
      </c>
      <c r="L179" s="15">
        <f>IF($B179="","",IFERROR(_xlfn.XLOOKUP($B179,nrCDdate,nrCDnum),""))</f>
        <v/>
      </c>
      <c r="M179" s="14" t="n"/>
    </row>
    <row r="180">
      <c r="B180" s="16" t="n"/>
      <c r="C180" s="15">
        <f>IF($B180="","",TEXT($B180,"ddd"))</f>
        <v/>
      </c>
      <c r="D180" s="40" t="n"/>
      <c r="E180" s="40" t="n"/>
      <c r="F180" s="15">
        <f>IF(OR($B180="",$D180="",$E180=""),"",ROUND(($E180-$D180)*24,2))</f>
        <v/>
      </c>
      <c r="G180" s="14" t="n"/>
      <c r="H180" s="15">
        <f>IF($G180="","",IFERROR(_xlfn.XLOOKUP($G180,nrCHname,nrCHnum),""))</f>
        <v/>
      </c>
      <c r="I180" s="14" t="n"/>
      <c r="J180" s="14" t="n"/>
      <c r="K180" s="15">
        <f>IF($B180="","",IFERROR(_xlfn.XLOOKUP($B180,nrCDdate,nrCDweek),""))</f>
        <v/>
      </c>
      <c r="L180" s="15">
        <f>IF($B180="","",IFERROR(_xlfn.XLOOKUP($B180,nrCDdate,nrCDnum),""))</f>
        <v/>
      </c>
      <c r="M180" s="14" t="n"/>
    </row>
    <row r="181">
      <c r="B181" s="16" t="n"/>
      <c r="C181" s="15">
        <f>IF($B181="","",TEXT($B181,"ddd"))</f>
        <v/>
      </c>
      <c r="D181" s="40" t="n"/>
      <c r="E181" s="40" t="n"/>
      <c r="F181" s="15">
        <f>IF(OR($B181="",$D181="",$E181=""),"",ROUND(($E181-$D181)*24,2))</f>
        <v/>
      </c>
      <c r="G181" s="14" t="n"/>
      <c r="H181" s="15">
        <f>IF($G181="","",IFERROR(_xlfn.XLOOKUP($G181,nrCHname,nrCHnum),""))</f>
        <v/>
      </c>
      <c r="I181" s="14" t="n"/>
      <c r="J181" s="14" t="n"/>
      <c r="K181" s="15">
        <f>IF($B181="","",IFERROR(_xlfn.XLOOKUP($B181,nrCDdate,nrCDweek),""))</f>
        <v/>
      </c>
      <c r="L181" s="15">
        <f>IF($B181="","",IFERROR(_xlfn.XLOOKUP($B181,nrCDdate,nrCDnum),""))</f>
        <v/>
      </c>
      <c r="M181" s="14" t="n"/>
    </row>
    <row r="182">
      <c r="B182" s="16" t="n"/>
      <c r="C182" s="15">
        <f>IF($B182="","",TEXT($B182,"ddd"))</f>
        <v/>
      </c>
      <c r="D182" s="40" t="n"/>
      <c r="E182" s="40" t="n"/>
      <c r="F182" s="15">
        <f>IF(OR($B182="",$D182="",$E182=""),"",ROUND(($E182-$D182)*24,2))</f>
        <v/>
      </c>
      <c r="G182" s="14" t="n"/>
      <c r="H182" s="15">
        <f>IF($G182="","",IFERROR(_xlfn.XLOOKUP($G182,nrCHname,nrCHnum),""))</f>
        <v/>
      </c>
      <c r="I182" s="14" t="n"/>
      <c r="J182" s="14" t="n"/>
      <c r="K182" s="15">
        <f>IF($B182="","",IFERROR(_xlfn.XLOOKUP($B182,nrCDdate,nrCDweek),""))</f>
        <v/>
      </c>
      <c r="L182" s="15">
        <f>IF($B182="","",IFERROR(_xlfn.XLOOKUP($B182,nrCDdate,nrCDnum),""))</f>
        <v/>
      </c>
      <c r="M182" s="14" t="n"/>
    </row>
    <row r="183">
      <c r="B183" s="16" t="n"/>
      <c r="C183" s="15">
        <f>IF($B183="","",TEXT($B183,"ddd"))</f>
        <v/>
      </c>
      <c r="D183" s="40" t="n"/>
      <c r="E183" s="40" t="n"/>
      <c r="F183" s="15">
        <f>IF(OR($B183="",$D183="",$E183=""),"",ROUND(($E183-$D183)*24,2))</f>
        <v/>
      </c>
      <c r="G183" s="14" t="n"/>
      <c r="H183" s="15">
        <f>IF($G183="","",IFERROR(_xlfn.XLOOKUP($G183,nrCHname,nrCHnum),""))</f>
        <v/>
      </c>
      <c r="I183" s="14" t="n"/>
      <c r="J183" s="14" t="n"/>
      <c r="K183" s="15">
        <f>IF($B183="","",IFERROR(_xlfn.XLOOKUP($B183,nrCDdate,nrCDweek),""))</f>
        <v/>
      </c>
      <c r="L183" s="15">
        <f>IF($B183="","",IFERROR(_xlfn.XLOOKUP($B183,nrCDdate,nrCDnum),""))</f>
        <v/>
      </c>
      <c r="M183" s="14" t="n"/>
    </row>
    <row r="184">
      <c r="B184" s="16" t="n"/>
      <c r="C184" s="15">
        <f>IF($B184="","",TEXT($B184,"ddd"))</f>
        <v/>
      </c>
      <c r="D184" s="40" t="n"/>
      <c r="E184" s="40" t="n"/>
      <c r="F184" s="15">
        <f>IF(OR($B184="",$D184="",$E184=""),"",ROUND(($E184-$D184)*24,2))</f>
        <v/>
      </c>
      <c r="G184" s="14" t="n"/>
      <c r="H184" s="15">
        <f>IF($G184="","",IFERROR(_xlfn.XLOOKUP($G184,nrCHname,nrCHnum),""))</f>
        <v/>
      </c>
      <c r="I184" s="14" t="n"/>
      <c r="J184" s="14" t="n"/>
      <c r="K184" s="15">
        <f>IF($B184="","",IFERROR(_xlfn.XLOOKUP($B184,nrCDdate,nrCDweek),""))</f>
        <v/>
      </c>
      <c r="L184" s="15">
        <f>IF($B184="","",IFERROR(_xlfn.XLOOKUP($B184,nrCDdate,nrCDnum),""))</f>
        <v/>
      </c>
      <c r="M184" s="14" t="n"/>
    </row>
    <row r="185">
      <c r="B185" s="16" t="n"/>
      <c r="C185" s="15">
        <f>IF($B185="","",TEXT($B185,"ddd"))</f>
        <v/>
      </c>
      <c r="D185" s="40" t="n"/>
      <c r="E185" s="40" t="n"/>
      <c r="F185" s="15">
        <f>IF(OR($B185="",$D185="",$E185=""),"",ROUND(($E185-$D185)*24,2))</f>
        <v/>
      </c>
      <c r="G185" s="14" t="n"/>
      <c r="H185" s="15">
        <f>IF($G185="","",IFERROR(_xlfn.XLOOKUP($G185,nrCHname,nrCHnum),""))</f>
        <v/>
      </c>
      <c r="I185" s="14" t="n"/>
      <c r="J185" s="14" t="n"/>
      <c r="K185" s="15">
        <f>IF($B185="","",IFERROR(_xlfn.XLOOKUP($B185,nrCDdate,nrCDweek),""))</f>
        <v/>
      </c>
      <c r="L185" s="15">
        <f>IF($B185="","",IFERROR(_xlfn.XLOOKUP($B185,nrCDdate,nrCDnum),""))</f>
        <v/>
      </c>
      <c r="M185" s="14" t="n"/>
    </row>
    <row r="186">
      <c r="B186" s="16" t="n"/>
      <c r="C186" s="15">
        <f>IF($B186="","",TEXT($B186,"ddd"))</f>
        <v/>
      </c>
      <c r="D186" s="40" t="n"/>
      <c r="E186" s="40" t="n"/>
      <c r="F186" s="15">
        <f>IF(OR($B186="",$D186="",$E186=""),"",ROUND(($E186-$D186)*24,2))</f>
        <v/>
      </c>
      <c r="G186" s="14" t="n"/>
      <c r="H186" s="15">
        <f>IF($G186="","",IFERROR(_xlfn.XLOOKUP($G186,nrCHname,nrCHnum),""))</f>
        <v/>
      </c>
      <c r="I186" s="14" t="n"/>
      <c r="J186" s="14" t="n"/>
      <c r="K186" s="15">
        <f>IF($B186="","",IFERROR(_xlfn.XLOOKUP($B186,nrCDdate,nrCDweek),""))</f>
        <v/>
      </c>
      <c r="L186" s="15">
        <f>IF($B186="","",IFERROR(_xlfn.XLOOKUP($B186,nrCDdate,nrCDnum),""))</f>
        <v/>
      </c>
      <c r="M186" s="14" t="n"/>
    </row>
    <row r="187">
      <c r="B187" s="16" t="n"/>
      <c r="C187" s="15">
        <f>IF($B187="","",TEXT($B187,"ddd"))</f>
        <v/>
      </c>
      <c r="D187" s="40" t="n"/>
      <c r="E187" s="40" t="n"/>
      <c r="F187" s="15">
        <f>IF(OR($B187="",$D187="",$E187=""),"",ROUND(($E187-$D187)*24,2))</f>
        <v/>
      </c>
      <c r="G187" s="14" t="n"/>
      <c r="H187" s="15">
        <f>IF($G187="","",IFERROR(_xlfn.XLOOKUP($G187,nrCHname,nrCHnum),""))</f>
        <v/>
      </c>
      <c r="I187" s="14" t="n"/>
      <c r="J187" s="14" t="n"/>
      <c r="K187" s="15">
        <f>IF($B187="","",IFERROR(_xlfn.XLOOKUP($B187,nrCDdate,nrCDweek),""))</f>
        <v/>
      </c>
      <c r="L187" s="15">
        <f>IF($B187="","",IFERROR(_xlfn.XLOOKUP($B187,nrCDdate,nrCDnum),""))</f>
        <v/>
      </c>
      <c r="M187" s="14" t="n"/>
    </row>
    <row r="188">
      <c r="B188" s="16" t="n"/>
      <c r="C188" s="15">
        <f>IF($B188="","",TEXT($B188,"ddd"))</f>
        <v/>
      </c>
      <c r="D188" s="40" t="n"/>
      <c r="E188" s="40" t="n"/>
      <c r="F188" s="15">
        <f>IF(OR($B188="",$D188="",$E188=""),"",ROUND(($E188-$D188)*24,2))</f>
        <v/>
      </c>
      <c r="G188" s="14" t="n"/>
      <c r="H188" s="15">
        <f>IF($G188="","",IFERROR(_xlfn.XLOOKUP($G188,nrCHname,nrCHnum),""))</f>
        <v/>
      </c>
      <c r="I188" s="14" t="n"/>
      <c r="J188" s="14" t="n"/>
      <c r="K188" s="15">
        <f>IF($B188="","",IFERROR(_xlfn.XLOOKUP($B188,nrCDdate,nrCDweek),""))</f>
        <v/>
      </c>
      <c r="L188" s="15">
        <f>IF($B188="","",IFERROR(_xlfn.XLOOKUP($B188,nrCDdate,nrCDnum),""))</f>
        <v/>
      </c>
      <c r="M188" s="14" t="n"/>
    </row>
    <row r="189">
      <c r="B189" s="16" t="n"/>
      <c r="C189" s="15">
        <f>IF($B189="","",TEXT($B189,"ddd"))</f>
        <v/>
      </c>
      <c r="D189" s="40" t="n"/>
      <c r="E189" s="40" t="n"/>
      <c r="F189" s="15">
        <f>IF(OR($B189="",$D189="",$E189=""),"",ROUND(($E189-$D189)*24,2))</f>
        <v/>
      </c>
      <c r="G189" s="14" t="n"/>
      <c r="H189" s="15">
        <f>IF($G189="","",IFERROR(_xlfn.XLOOKUP($G189,nrCHname,nrCHnum),""))</f>
        <v/>
      </c>
      <c r="I189" s="14" t="n"/>
      <c r="J189" s="14" t="n"/>
      <c r="K189" s="15">
        <f>IF($B189="","",IFERROR(_xlfn.XLOOKUP($B189,nrCDdate,nrCDweek),""))</f>
        <v/>
      </c>
      <c r="L189" s="15">
        <f>IF($B189="","",IFERROR(_xlfn.XLOOKUP($B189,nrCDdate,nrCDnum),""))</f>
        <v/>
      </c>
      <c r="M189" s="14" t="n"/>
    </row>
    <row r="190">
      <c r="B190" s="16" t="n"/>
      <c r="C190" s="15">
        <f>IF($B190="","",TEXT($B190,"ddd"))</f>
        <v/>
      </c>
      <c r="D190" s="40" t="n"/>
      <c r="E190" s="40" t="n"/>
      <c r="F190" s="15">
        <f>IF(OR($B190="",$D190="",$E190=""),"",ROUND(($E190-$D190)*24,2))</f>
        <v/>
      </c>
      <c r="G190" s="14" t="n"/>
      <c r="H190" s="15">
        <f>IF($G190="","",IFERROR(_xlfn.XLOOKUP($G190,nrCHname,nrCHnum),""))</f>
        <v/>
      </c>
      <c r="I190" s="14" t="n"/>
      <c r="J190" s="14" t="n"/>
      <c r="K190" s="15">
        <f>IF($B190="","",IFERROR(_xlfn.XLOOKUP($B190,nrCDdate,nrCDweek),""))</f>
        <v/>
      </c>
      <c r="L190" s="15">
        <f>IF($B190="","",IFERROR(_xlfn.XLOOKUP($B190,nrCDdate,nrCDnum),""))</f>
        <v/>
      </c>
      <c r="M190" s="14" t="n"/>
    </row>
    <row r="191">
      <c r="B191" s="16" t="n"/>
      <c r="C191" s="15">
        <f>IF($B191="","",TEXT($B191,"ddd"))</f>
        <v/>
      </c>
      <c r="D191" s="40" t="n"/>
      <c r="E191" s="40" t="n"/>
      <c r="F191" s="15">
        <f>IF(OR($B191="",$D191="",$E191=""),"",ROUND(($E191-$D191)*24,2))</f>
        <v/>
      </c>
      <c r="G191" s="14" t="n"/>
      <c r="H191" s="15">
        <f>IF($G191="","",IFERROR(_xlfn.XLOOKUP($G191,nrCHname,nrCHnum),""))</f>
        <v/>
      </c>
      <c r="I191" s="14" t="n"/>
      <c r="J191" s="14" t="n"/>
      <c r="K191" s="15">
        <f>IF($B191="","",IFERROR(_xlfn.XLOOKUP($B191,nrCDdate,nrCDweek),""))</f>
        <v/>
      </c>
      <c r="L191" s="15">
        <f>IF($B191="","",IFERROR(_xlfn.XLOOKUP($B191,nrCDdate,nrCDnum),""))</f>
        <v/>
      </c>
      <c r="M191" s="14" t="n"/>
    </row>
    <row r="192">
      <c r="B192" s="16" t="n"/>
      <c r="C192" s="15">
        <f>IF($B192="","",TEXT($B192,"ddd"))</f>
        <v/>
      </c>
      <c r="D192" s="40" t="n"/>
      <c r="E192" s="40" t="n"/>
      <c r="F192" s="15">
        <f>IF(OR($B192="",$D192="",$E192=""),"",ROUND(($E192-$D192)*24,2))</f>
        <v/>
      </c>
      <c r="G192" s="14" t="n"/>
      <c r="H192" s="15">
        <f>IF($G192="","",IFERROR(_xlfn.XLOOKUP($G192,nrCHname,nrCHnum),""))</f>
        <v/>
      </c>
      <c r="I192" s="14" t="n"/>
      <c r="J192" s="14" t="n"/>
      <c r="K192" s="15">
        <f>IF($B192="","",IFERROR(_xlfn.XLOOKUP($B192,nrCDdate,nrCDweek),""))</f>
        <v/>
      </c>
      <c r="L192" s="15">
        <f>IF($B192="","",IFERROR(_xlfn.XLOOKUP($B192,nrCDdate,nrCDnum),""))</f>
        <v/>
      </c>
      <c r="M192" s="14" t="n"/>
    </row>
    <row r="193">
      <c r="B193" s="16" t="n"/>
      <c r="C193" s="15">
        <f>IF($B193="","",TEXT($B193,"ddd"))</f>
        <v/>
      </c>
      <c r="D193" s="40" t="n"/>
      <c r="E193" s="40" t="n"/>
      <c r="F193" s="15">
        <f>IF(OR($B193="",$D193="",$E193=""),"",ROUND(($E193-$D193)*24,2))</f>
        <v/>
      </c>
      <c r="G193" s="14" t="n"/>
      <c r="H193" s="15">
        <f>IF($G193="","",IFERROR(_xlfn.XLOOKUP($G193,nrCHname,nrCHnum),""))</f>
        <v/>
      </c>
      <c r="I193" s="14" t="n"/>
      <c r="J193" s="14" t="n"/>
      <c r="K193" s="15">
        <f>IF($B193="","",IFERROR(_xlfn.XLOOKUP($B193,nrCDdate,nrCDweek),""))</f>
        <v/>
      </c>
      <c r="L193" s="15">
        <f>IF($B193="","",IFERROR(_xlfn.XLOOKUP($B193,nrCDdate,nrCDnum),""))</f>
        <v/>
      </c>
      <c r="M193" s="14" t="n"/>
    </row>
    <row r="194">
      <c r="B194" s="16" t="n"/>
      <c r="C194" s="15">
        <f>IF($B194="","",TEXT($B194,"ddd"))</f>
        <v/>
      </c>
      <c r="D194" s="40" t="n"/>
      <c r="E194" s="40" t="n"/>
      <c r="F194" s="15">
        <f>IF(OR($B194="",$D194="",$E194=""),"",ROUND(($E194-$D194)*24,2))</f>
        <v/>
      </c>
      <c r="G194" s="14" t="n"/>
      <c r="H194" s="15">
        <f>IF($G194="","",IFERROR(_xlfn.XLOOKUP($G194,nrCHname,nrCHnum),""))</f>
        <v/>
      </c>
      <c r="I194" s="14" t="n"/>
      <c r="J194" s="14" t="n"/>
      <c r="K194" s="15">
        <f>IF($B194="","",IFERROR(_xlfn.XLOOKUP($B194,nrCDdate,nrCDweek),""))</f>
        <v/>
      </c>
      <c r="L194" s="15">
        <f>IF($B194="","",IFERROR(_xlfn.XLOOKUP($B194,nrCDdate,nrCDnum),""))</f>
        <v/>
      </c>
      <c r="M194" s="14" t="n"/>
    </row>
    <row r="195">
      <c r="B195" s="16" t="n"/>
      <c r="C195" s="15">
        <f>IF($B195="","",TEXT($B195,"ddd"))</f>
        <v/>
      </c>
      <c r="D195" s="40" t="n"/>
      <c r="E195" s="40" t="n"/>
      <c r="F195" s="15">
        <f>IF(OR($B195="",$D195="",$E195=""),"",ROUND(($E195-$D195)*24,2))</f>
        <v/>
      </c>
      <c r="G195" s="14" t="n"/>
      <c r="H195" s="15">
        <f>IF($G195="","",IFERROR(_xlfn.XLOOKUP($G195,nrCHname,nrCHnum),""))</f>
        <v/>
      </c>
      <c r="I195" s="14" t="n"/>
      <c r="J195" s="14" t="n"/>
      <c r="K195" s="15">
        <f>IF($B195="","",IFERROR(_xlfn.XLOOKUP($B195,nrCDdate,nrCDweek),""))</f>
        <v/>
      </c>
      <c r="L195" s="15">
        <f>IF($B195="","",IFERROR(_xlfn.XLOOKUP($B195,nrCDdate,nrCDnum),""))</f>
        <v/>
      </c>
      <c r="M195" s="14" t="n"/>
    </row>
    <row r="196">
      <c r="B196" s="16" t="n"/>
      <c r="C196" s="15">
        <f>IF($B196="","",TEXT($B196,"ddd"))</f>
        <v/>
      </c>
      <c r="D196" s="40" t="n"/>
      <c r="E196" s="40" t="n"/>
      <c r="F196" s="15">
        <f>IF(OR($B196="",$D196="",$E196=""),"",ROUND(($E196-$D196)*24,2))</f>
        <v/>
      </c>
      <c r="G196" s="14" t="n"/>
      <c r="H196" s="15">
        <f>IF($G196="","",IFERROR(_xlfn.XLOOKUP($G196,nrCHname,nrCHnum),""))</f>
        <v/>
      </c>
      <c r="I196" s="14" t="n"/>
      <c r="J196" s="14" t="n"/>
      <c r="K196" s="15">
        <f>IF($B196="","",IFERROR(_xlfn.XLOOKUP($B196,nrCDdate,nrCDweek),""))</f>
        <v/>
      </c>
      <c r="L196" s="15">
        <f>IF($B196="","",IFERROR(_xlfn.XLOOKUP($B196,nrCDdate,nrCDnum),""))</f>
        <v/>
      </c>
      <c r="M196" s="14" t="n"/>
    </row>
    <row r="197">
      <c r="B197" s="16" t="n"/>
      <c r="C197" s="15">
        <f>IF($B197="","",TEXT($B197,"ddd"))</f>
        <v/>
      </c>
      <c r="D197" s="40" t="n"/>
      <c r="E197" s="40" t="n"/>
      <c r="F197" s="15">
        <f>IF(OR($B197="",$D197="",$E197=""),"",ROUND(($E197-$D197)*24,2))</f>
        <v/>
      </c>
      <c r="G197" s="14" t="n"/>
      <c r="H197" s="15">
        <f>IF($G197="","",IFERROR(_xlfn.XLOOKUP($G197,nrCHname,nrCHnum),""))</f>
        <v/>
      </c>
      <c r="I197" s="14" t="n"/>
      <c r="J197" s="14" t="n"/>
      <c r="K197" s="15">
        <f>IF($B197="","",IFERROR(_xlfn.XLOOKUP($B197,nrCDdate,nrCDweek),""))</f>
        <v/>
      </c>
      <c r="L197" s="15">
        <f>IF($B197="","",IFERROR(_xlfn.XLOOKUP($B197,nrCDdate,nrCDnum),""))</f>
        <v/>
      </c>
      <c r="M197" s="14" t="n"/>
    </row>
    <row r="198">
      <c r="B198" s="16" t="n"/>
      <c r="C198" s="15">
        <f>IF($B198="","",TEXT($B198,"ddd"))</f>
        <v/>
      </c>
      <c r="D198" s="40" t="n"/>
      <c r="E198" s="40" t="n"/>
      <c r="F198" s="15">
        <f>IF(OR($B198="",$D198="",$E198=""),"",ROUND(($E198-$D198)*24,2))</f>
        <v/>
      </c>
      <c r="G198" s="14" t="n"/>
      <c r="H198" s="15">
        <f>IF($G198="","",IFERROR(_xlfn.XLOOKUP($G198,nrCHname,nrCHnum),""))</f>
        <v/>
      </c>
      <c r="I198" s="14" t="n"/>
      <c r="J198" s="14" t="n"/>
      <c r="K198" s="15">
        <f>IF($B198="","",IFERROR(_xlfn.XLOOKUP($B198,nrCDdate,nrCDweek),""))</f>
        <v/>
      </c>
      <c r="L198" s="15">
        <f>IF($B198="","",IFERROR(_xlfn.XLOOKUP($B198,nrCDdate,nrCDnum),""))</f>
        <v/>
      </c>
      <c r="M198" s="14" t="n"/>
    </row>
    <row r="199">
      <c r="B199" s="16" t="n"/>
      <c r="C199" s="15">
        <f>IF($B199="","",TEXT($B199,"ddd"))</f>
        <v/>
      </c>
      <c r="D199" s="40" t="n"/>
      <c r="E199" s="40" t="n"/>
      <c r="F199" s="15">
        <f>IF(OR($B199="",$D199="",$E199=""),"",ROUND(($E199-$D199)*24,2))</f>
        <v/>
      </c>
      <c r="G199" s="14" t="n"/>
      <c r="H199" s="15">
        <f>IF($G199="","",IFERROR(_xlfn.XLOOKUP($G199,nrCHname,nrCHnum),""))</f>
        <v/>
      </c>
      <c r="I199" s="14" t="n"/>
      <c r="J199" s="14" t="n"/>
      <c r="K199" s="15">
        <f>IF($B199="","",IFERROR(_xlfn.XLOOKUP($B199,nrCDdate,nrCDweek),""))</f>
        <v/>
      </c>
      <c r="L199" s="15">
        <f>IF($B199="","",IFERROR(_xlfn.XLOOKUP($B199,nrCDdate,nrCDnum),""))</f>
        <v/>
      </c>
      <c r="M199" s="14" t="n"/>
    </row>
    <row r="200">
      <c r="B200" s="16" t="n"/>
      <c r="C200" s="15">
        <f>IF($B200="","",TEXT($B200,"ddd"))</f>
        <v/>
      </c>
      <c r="D200" s="40" t="n"/>
      <c r="E200" s="40" t="n"/>
      <c r="F200" s="15">
        <f>IF(OR($B200="",$D200="",$E200=""),"",ROUND(($E200-$D200)*24,2))</f>
        <v/>
      </c>
      <c r="G200" s="14" t="n"/>
      <c r="H200" s="15">
        <f>IF($G200="","",IFERROR(_xlfn.XLOOKUP($G200,nrCHname,nrCHnum),""))</f>
        <v/>
      </c>
      <c r="I200" s="14" t="n"/>
      <c r="J200" s="14" t="n"/>
      <c r="K200" s="15">
        <f>IF($B200="","",IFERROR(_xlfn.XLOOKUP($B200,nrCDdate,nrCDweek),""))</f>
        <v/>
      </c>
      <c r="L200" s="15">
        <f>IF($B200="","",IFERROR(_xlfn.XLOOKUP($B200,nrCDdate,nrCDnum),""))</f>
        <v/>
      </c>
      <c r="M200" s="14" t="n"/>
    </row>
    <row r="201">
      <c r="B201" s="16" t="n"/>
      <c r="C201" s="15">
        <f>IF($B201="","",TEXT($B201,"ddd"))</f>
        <v/>
      </c>
      <c r="D201" s="40" t="n"/>
      <c r="E201" s="40" t="n"/>
      <c r="F201" s="15">
        <f>IF(OR($B201="",$D201="",$E201=""),"",ROUND(($E201-$D201)*24,2))</f>
        <v/>
      </c>
      <c r="G201" s="14" t="n"/>
      <c r="H201" s="15">
        <f>IF($G201="","",IFERROR(_xlfn.XLOOKUP($G201,nrCHname,nrCHnum),""))</f>
        <v/>
      </c>
      <c r="I201" s="14" t="n"/>
      <c r="J201" s="14" t="n"/>
      <c r="K201" s="15">
        <f>IF($B201="","",IFERROR(_xlfn.XLOOKUP($B201,nrCDdate,nrCDweek),""))</f>
        <v/>
      </c>
      <c r="L201" s="15">
        <f>IF($B201="","",IFERROR(_xlfn.XLOOKUP($B201,nrCDdate,nrCDnum),""))</f>
        <v/>
      </c>
      <c r="M201" s="14" t="n"/>
    </row>
    <row r="202">
      <c r="B202" s="16" t="n"/>
      <c r="C202" s="15">
        <f>IF($B202="","",TEXT($B202,"ddd"))</f>
        <v/>
      </c>
      <c r="D202" s="40" t="n"/>
      <c r="E202" s="40" t="n"/>
      <c r="F202" s="15">
        <f>IF(OR($B202="",$D202="",$E202=""),"",ROUND(($E202-$D202)*24,2))</f>
        <v/>
      </c>
      <c r="G202" s="14" t="n"/>
      <c r="H202" s="15">
        <f>IF($G202="","",IFERROR(_xlfn.XLOOKUP($G202,nrCHname,nrCHnum),""))</f>
        <v/>
      </c>
      <c r="I202" s="14" t="n"/>
      <c r="J202" s="14" t="n"/>
      <c r="K202" s="15">
        <f>IF($B202="","",IFERROR(_xlfn.XLOOKUP($B202,nrCDdate,nrCDweek),""))</f>
        <v/>
      </c>
      <c r="L202" s="15">
        <f>IF($B202="","",IFERROR(_xlfn.XLOOKUP($B202,nrCDdate,nrCDnum),""))</f>
        <v/>
      </c>
      <c r="M202" s="14" t="n"/>
    </row>
    <row r="203">
      <c r="B203" s="16" t="n"/>
      <c r="C203" s="15">
        <f>IF($B203="","",TEXT($B203,"ddd"))</f>
        <v/>
      </c>
      <c r="D203" s="40" t="n"/>
      <c r="E203" s="40" t="n"/>
      <c r="F203" s="15">
        <f>IF(OR($B203="",$D203="",$E203=""),"",ROUND(($E203-$D203)*24,2))</f>
        <v/>
      </c>
      <c r="G203" s="14" t="n"/>
      <c r="H203" s="15">
        <f>IF($G203="","",IFERROR(_xlfn.XLOOKUP($G203,nrCHname,nrCHnum),""))</f>
        <v/>
      </c>
      <c r="I203" s="14" t="n"/>
      <c r="J203" s="14" t="n"/>
      <c r="K203" s="15">
        <f>IF($B203="","",IFERROR(_xlfn.XLOOKUP($B203,nrCDdate,nrCDweek),""))</f>
        <v/>
      </c>
      <c r="L203" s="15">
        <f>IF($B203="","",IFERROR(_xlfn.XLOOKUP($B203,nrCDdate,nrCDnum),""))</f>
        <v/>
      </c>
      <c r="M203" s="14" t="n"/>
    </row>
    <row r="204">
      <c r="B204" s="16" t="n"/>
      <c r="C204" s="15">
        <f>IF($B204="","",TEXT($B204,"ddd"))</f>
        <v/>
      </c>
      <c r="D204" s="40" t="n"/>
      <c r="E204" s="40" t="n"/>
      <c r="F204" s="15">
        <f>IF(OR($B204="",$D204="",$E204=""),"",ROUND(($E204-$D204)*24,2))</f>
        <v/>
      </c>
      <c r="G204" s="14" t="n"/>
      <c r="H204" s="15">
        <f>IF($G204="","",IFERROR(_xlfn.XLOOKUP($G204,nrCHname,nrCHnum),""))</f>
        <v/>
      </c>
      <c r="I204" s="14" t="n"/>
      <c r="J204" s="14" t="n"/>
      <c r="K204" s="15">
        <f>IF($B204="","",IFERROR(_xlfn.XLOOKUP($B204,nrCDdate,nrCDweek),""))</f>
        <v/>
      </c>
      <c r="L204" s="15">
        <f>IF($B204="","",IFERROR(_xlfn.XLOOKUP($B204,nrCDdate,nrCDnum),""))</f>
        <v/>
      </c>
      <c r="M204" s="14" t="n"/>
    </row>
    <row r="205">
      <c r="B205" s="16" t="n"/>
      <c r="C205" s="15">
        <f>IF($B205="","",TEXT($B205,"ddd"))</f>
        <v/>
      </c>
      <c r="D205" s="40" t="n"/>
      <c r="E205" s="40" t="n"/>
      <c r="F205" s="15">
        <f>IF(OR($B205="",$D205="",$E205=""),"",ROUND(($E205-$D205)*24,2))</f>
        <v/>
      </c>
      <c r="G205" s="14" t="n"/>
      <c r="H205" s="15">
        <f>IF($G205="","",IFERROR(_xlfn.XLOOKUP($G205,nrCHname,nrCHnum),""))</f>
        <v/>
      </c>
      <c r="I205" s="14" t="n"/>
      <c r="J205" s="14" t="n"/>
      <c r="K205" s="15">
        <f>IF($B205="","",IFERROR(_xlfn.XLOOKUP($B205,nrCDdate,nrCDweek),""))</f>
        <v/>
      </c>
      <c r="L205" s="15">
        <f>IF($B205="","",IFERROR(_xlfn.XLOOKUP($B205,nrCDdate,nrCDnum),""))</f>
        <v/>
      </c>
      <c r="M205" s="14" t="n"/>
    </row>
    <row r="206">
      <c r="B206" s="16" t="n"/>
      <c r="C206" s="15">
        <f>IF($B206="","",TEXT($B206,"ddd"))</f>
        <v/>
      </c>
      <c r="D206" s="40" t="n"/>
      <c r="E206" s="40" t="n"/>
      <c r="F206" s="15">
        <f>IF(OR($B206="",$D206="",$E206=""),"",ROUND(($E206-$D206)*24,2))</f>
        <v/>
      </c>
      <c r="G206" s="14" t="n"/>
      <c r="H206" s="15">
        <f>IF($G206="","",IFERROR(_xlfn.XLOOKUP($G206,nrCHname,nrCHnum),""))</f>
        <v/>
      </c>
      <c r="I206" s="14" t="n"/>
      <c r="J206" s="14" t="n"/>
      <c r="K206" s="15">
        <f>IF($B206="","",IFERROR(_xlfn.XLOOKUP($B206,nrCDdate,nrCDweek),""))</f>
        <v/>
      </c>
      <c r="L206" s="15">
        <f>IF($B206="","",IFERROR(_xlfn.XLOOKUP($B206,nrCDdate,nrCDnum),""))</f>
        <v/>
      </c>
      <c r="M206" s="14" t="n"/>
    </row>
    <row r="207">
      <c r="B207" s="16" t="n"/>
      <c r="C207" s="15">
        <f>IF($B207="","",TEXT($B207,"ddd"))</f>
        <v/>
      </c>
      <c r="D207" s="40" t="n"/>
      <c r="E207" s="40" t="n"/>
      <c r="F207" s="15">
        <f>IF(OR($B207="",$D207="",$E207=""),"",ROUND(($E207-$D207)*24,2))</f>
        <v/>
      </c>
      <c r="G207" s="14" t="n"/>
      <c r="H207" s="15">
        <f>IF($G207="","",IFERROR(_xlfn.XLOOKUP($G207,nrCHname,nrCHnum),""))</f>
        <v/>
      </c>
      <c r="I207" s="14" t="n"/>
      <c r="J207" s="14" t="n"/>
      <c r="K207" s="15">
        <f>IF($B207="","",IFERROR(_xlfn.XLOOKUP($B207,nrCDdate,nrCDweek),""))</f>
        <v/>
      </c>
      <c r="L207" s="15">
        <f>IF($B207="","",IFERROR(_xlfn.XLOOKUP($B207,nrCDdate,nrCDnum),""))</f>
        <v/>
      </c>
      <c r="M207" s="14" t="n"/>
    </row>
    <row r="208">
      <c r="B208" s="16" t="n"/>
      <c r="C208" s="15">
        <f>IF($B208="","",TEXT($B208,"ddd"))</f>
        <v/>
      </c>
      <c r="D208" s="40" t="n"/>
      <c r="E208" s="40" t="n"/>
      <c r="F208" s="15">
        <f>IF(OR($B208="",$D208="",$E208=""),"",ROUND(($E208-$D208)*24,2))</f>
        <v/>
      </c>
      <c r="G208" s="14" t="n"/>
      <c r="H208" s="15">
        <f>IF($G208="","",IFERROR(_xlfn.XLOOKUP($G208,nrCHname,nrCHnum),""))</f>
        <v/>
      </c>
      <c r="I208" s="14" t="n"/>
      <c r="J208" s="14" t="n"/>
      <c r="K208" s="15">
        <f>IF($B208="","",IFERROR(_xlfn.XLOOKUP($B208,nrCDdate,nrCDweek),""))</f>
        <v/>
      </c>
      <c r="L208" s="15">
        <f>IF($B208="","",IFERROR(_xlfn.XLOOKUP($B208,nrCDdate,nrCDnum),""))</f>
        <v/>
      </c>
      <c r="M208" s="14" t="n"/>
    </row>
    <row r="209">
      <c r="B209" s="16" t="n"/>
      <c r="C209" s="15">
        <f>IF($B209="","",TEXT($B209,"ddd"))</f>
        <v/>
      </c>
      <c r="D209" s="40" t="n"/>
      <c r="E209" s="40" t="n"/>
      <c r="F209" s="15">
        <f>IF(OR($B209="",$D209="",$E209=""),"",ROUND(($E209-$D209)*24,2))</f>
        <v/>
      </c>
      <c r="G209" s="14" t="n"/>
      <c r="H209" s="15">
        <f>IF($G209="","",IFERROR(_xlfn.XLOOKUP($G209,nrCHname,nrCHnum),""))</f>
        <v/>
      </c>
      <c r="I209" s="14" t="n"/>
      <c r="J209" s="14" t="n"/>
      <c r="K209" s="15">
        <f>IF($B209="","",IFERROR(_xlfn.XLOOKUP($B209,nrCDdate,nrCDweek),""))</f>
        <v/>
      </c>
      <c r="L209" s="15">
        <f>IF($B209="","",IFERROR(_xlfn.XLOOKUP($B209,nrCDdate,nrCDnum),""))</f>
        <v/>
      </c>
      <c r="M209" s="14" t="n"/>
    </row>
    <row r="210">
      <c r="B210" s="16" t="n"/>
      <c r="C210" s="15">
        <f>IF($B210="","",TEXT($B210,"ddd"))</f>
        <v/>
      </c>
      <c r="D210" s="40" t="n"/>
      <c r="E210" s="40" t="n"/>
      <c r="F210" s="15">
        <f>IF(OR($B210="",$D210="",$E210=""),"",ROUND(($E210-$D210)*24,2))</f>
        <v/>
      </c>
      <c r="G210" s="14" t="n"/>
      <c r="H210" s="15">
        <f>IF($G210="","",IFERROR(_xlfn.XLOOKUP($G210,nrCHname,nrCHnum),""))</f>
        <v/>
      </c>
      <c r="I210" s="14" t="n"/>
      <c r="J210" s="14" t="n"/>
      <c r="K210" s="15">
        <f>IF($B210="","",IFERROR(_xlfn.XLOOKUP($B210,nrCDdate,nrCDweek),""))</f>
        <v/>
      </c>
      <c r="L210" s="15">
        <f>IF($B210="","",IFERROR(_xlfn.XLOOKUP($B210,nrCDdate,nrCDnum),""))</f>
        <v/>
      </c>
      <c r="M210" s="14" t="n"/>
    </row>
    <row r="211">
      <c r="B211" s="16" t="n"/>
      <c r="C211" s="15">
        <f>IF($B211="","",TEXT($B211,"ddd"))</f>
        <v/>
      </c>
      <c r="D211" s="40" t="n"/>
      <c r="E211" s="40" t="n"/>
      <c r="F211" s="15">
        <f>IF(OR($B211="",$D211="",$E211=""),"",ROUND(($E211-$D211)*24,2))</f>
        <v/>
      </c>
      <c r="G211" s="14" t="n"/>
      <c r="H211" s="15">
        <f>IF($G211="","",IFERROR(_xlfn.XLOOKUP($G211,nrCHname,nrCHnum),""))</f>
        <v/>
      </c>
      <c r="I211" s="14" t="n"/>
      <c r="J211" s="14" t="n"/>
      <c r="K211" s="15">
        <f>IF($B211="","",IFERROR(_xlfn.XLOOKUP($B211,nrCDdate,nrCDweek),""))</f>
        <v/>
      </c>
      <c r="L211" s="15">
        <f>IF($B211="","",IFERROR(_xlfn.XLOOKUP($B211,nrCDdate,nrCDnum),""))</f>
        <v/>
      </c>
      <c r="M211" s="14" t="n"/>
    </row>
    <row r="212">
      <c r="B212" s="16" t="n"/>
      <c r="C212" s="15">
        <f>IF($B212="","",TEXT($B212,"ddd"))</f>
        <v/>
      </c>
      <c r="D212" s="40" t="n"/>
      <c r="E212" s="40" t="n"/>
      <c r="F212" s="15">
        <f>IF(OR($B212="",$D212="",$E212=""),"",ROUND(($E212-$D212)*24,2))</f>
        <v/>
      </c>
      <c r="G212" s="14" t="n"/>
      <c r="H212" s="15">
        <f>IF($G212="","",IFERROR(_xlfn.XLOOKUP($G212,nrCHname,nrCHnum),""))</f>
        <v/>
      </c>
      <c r="I212" s="14" t="n"/>
      <c r="J212" s="14" t="n"/>
      <c r="K212" s="15">
        <f>IF($B212="","",IFERROR(_xlfn.XLOOKUP($B212,nrCDdate,nrCDweek),""))</f>
        <v/>
      </c>
      <c r="L212" s="15">
        <f>IF($B212="","",IFERROR(_xlfn.XLOOKUP($B212,nrCDdate,nrCDnum),""))</f>
        <v/>
      </c>
      <c r="M212" s="14" t="n"/>
    </row>
    <row r="213">
      <c r="B213" s="16" t="n"/>
      <c r="C213" s="15">
        <f>IF($B213="","",TEXT($B213,"ddd"))</f>
        <v/>
      </c>
      <c r="D213" s="40" t="n"/>
      <c r="E213" s="40" t="n"/>
      <c r="F213" s="15">
        <f>IF(OR($B213="",$D213="",$E213=""),"",ROUND(($E213-$D213)*24,2))</f>
        <v/>
      </c>
      <c r="G213" s="14" t="n"/>
      <c r="H213" s="15">
        <f>IF($G213="","",IFERROR(_xlfn.XLOOKUP($G213,nrCHname,nrCHnum),""))</f>
        <v/>
      </c>
      <c r="I213" s="14" t="n"/>
      <c r="J213" s="14" t="n"/>
      <c r="K213" s="15">
        <f>IF($B213="","",IFERROR(_xlfn.XLOOKUP($B213,nrCDdate,nrCDweek),""))</f>
        <v/>
      </c>
      <c r="L213" s="15">
        <f>IF($B213="","",IFERROR(_xlfn.XLOOKUP($B213,nrCDdate,nrCDnum),""))</f>
        <v/>
      </c>
      <c r="M213" s="14" t="n"/>
    </row>
    <row r="214">
      <c r="B214" s="16" t="n"/>
      <c r="C214" s="15">
        <f>IF($B214="","",TEXT($B214,"ddd"))</f>
        <v/>
      </c>
      <c r="D214" s="40" t="n"/>
      <c r="E214" s="40" t="n"/>
      <c r="F214" s="15">
        <f>IF(OR($B214="",$D214="",$E214=""),"",ROUND(($E214-$D214)*24,2))</f>
        <v/>
      </c>
      <c r="G214" s="14" t="n"/>
      <c r="H214" s="15">
        <f>IF($G214="","",IFERROR(_xlfn.XLOOKUP($G214,nrCHname,nrCHnum),""))</f>
        <v/>
      </c>
      <c r="I214" s="14" t="n"/>
      <c r="J214" s="14" t="n"/>
      <c r="K214" s="15">
        <f>IF($B214="","",IFERROR(_xlfn.XLOOKUP($B214,nrCDdate,nrCDweek),""))</f>
        <v/>
      </c>
      <c r="L214" s="15">
        <f>IF($B214="","",IFERROR(_xlfn.XLOOKUP($B214,nrCDdate,nrCDnum),""))</f>
        <v/>
      </c>
      <c r="M214" s="14" t="n"/>
    </row>
    <row r="215">
      <c r="B215" s="16" t="n"/>
      <c r="C215" s="15">
        <f>IF($B215="","",TEXT($B215,"ddd"))</f>
        <v/>
      </c>
      <c r="D215" s="40" t="n"/>
      <c r="E215" s="40" t="n"/>
      <c r="F215" s="15">
        <f>IF(OR($B215="",$D215="",$E215=""),"",ROUND(($E215-$D215)*24,2))</f>
        <v/>
      </c>
      <c r="G215" s="14" t="n"/>
      <c r="H215" s="15">
        <f>IF($G215="","",IFERROR(_xlfn.XLOOKUP($G215,nrCHname,nrCHnum),""))</f>
        <v/>
      </c>
      <c r="I215" s="14" t="n"/>
      <c r="J215" s="14" t="n"/>
      <c r="K215" s="15">
        <f>IF($B215="","",IFERROR(_xlfn.XLOOKUP($B215,nrCDdate,nrCDweek),""))</f>
        <v/>
      </c>
      <c r="L215" s="15">
        <f>IF($B215="","",IFERROR(_xlfn.XLOOKUP($B215,nrCDdate,nrCDnum),""))</f>
        <v/>
      </c>
      <c r="M215" s="14" t="n"/>
    </row>
    <row r="216">
      <c r="B216" s="16" t="n"/>
      <c r="C216" s="15">
        <f>IF($B216="","",TEXT($B216,"ddd"))</f>
        <v/>
      </c>
      <c r="D216" s="40" t="n"/>
      <c r="E216" s="40" t="n"/>
      <c r="F216" s="15">
        <f>IF(OR($B216="",$D216="",$E216=""),"",ROUND(($E216-$D216)*24,2))</f>
        <v/>
      </c>
      <c r="G216" s="14" t="n"/>
      <c r="H216" s="15">
        <f>IF($G216="","",IFERROR(_xlfn.XLOOKUP($G216,nrCHname,nrCHnum),""))</f>
        <v/>
      </c>
      <c r="I216" s="14" t="n"/>
      <c r="J216" s="14" t="n"/>
      <c r="K216" s="15">
        <f>IF($B216="","",IFERROR(_xlfn.XLOOKUP($B216,nrCDdate,nrCDweek),""))</f>
        <v/>
      </c>
      <c r="L216" s="15">
        <f>IF($B216="","",IFERROR(_xlfn.XLOOKUP($B216,nrCDdate,nrCDnum),""))</f>
        <v/>
      </c>
      <c r="M216" s="14" t="n"/>
    </row>
    <row r="217">
      <c r="B217" s="16" t="n"/>
      <c r="C217" s="15">
        <f>IF($B217="","",TEXT($B217,"ddd"))</f>
        <v/>
      </c>
      <c r="D217" s="40" t="n"/>
      <c r="E217" s="40" t="n"/>
      <c r="F217" s="15">
        <f>IF(OR($B217="",$D217="",$E217=""),"",ROUND(($E217-$D217)*24,2))</f>
        <v/>
      </c>
      <c r="G217" s="14" t="n"/>
      <c r="H217" s="15">
        <f>IF($G217="","",IFERROR(_xlfn.XLOOKUP($G217,nrCHname,nrCHnum),""))</f>
        <v/>
      </c>
      <c r="I217" s="14" t="n"/>
      <c r="J217" s="14" t="n"/>
      <c r="K217" s="15">
        <f>IF($B217="","",IFERROR(_xlfn.XLOOKUP($B217,nrCDdate,nrCDweek),""))</f>
        <v/>
      </c>
      <c r="L217" s="15">
        <f>IF($B217="","",IFERROR(_xlfn.XLOOKUP($B217,nrCDdate,nrCDnum),""))</f>
        <v/>
      </c>
      <c r="M217" s="14" t="n"/>
    </row>
    <row r="218">
      <c r="B218" s="16" t="n"/>
      <c r="C218" s="15">
        <f>IF($B218="","",TEXT($B218,"ddd"))</f>
        <v/>
      </c>
      <c r="D218" s="40" t="n"/>
      <c r="E218" s="40" t="n"/>
      <c r="F218" s="15">
        <f>IF(OR($B218="",$D218="",$E218=""),"",ROUND(($E218-$D218)*24,2))</f>
        <v/>
      </c>
      <c r="G218" s="14" t="n"/>
      <c r="H218" s="15">
        <f>IF($G218="","",IFERROR(_xlfn.XLOOKUP($G218,nrCHname,nrCHnum),""))</f>
        <v/>
      </c>
      <c r="I218" s="14" t="n"/>
      <c r="J218" s="14" t="n"/>
      <c r="K218" s="15">
        <f>IF($B218="","",IFERROR(_xlfn.XLOOKUP($B218,nrCDdate,nrCDweek),""))</f>
        <v/>
      </c>
      <c r="L218" s="15">
        <f>IF($B218="","",IFERROR(_xlfn.XLOOKUP($B218,nrCDdate,nrCDnum),""))</f>
        <v/>
      </c>
      <c r="M218" s="14" t="n"/>
    </row>
    <row r="219">
      <c r="B219" s="16" t="n"/>
      <c r="C219" s="15">
        <f>IF($B219="","",TEXT($B219,"ddd"))</f>
        <v/>
      </c>
      <c r="D219" s="40" t="n"/>
      <c r="E219" s="40" t="n"/>
      <c r="F219" s="15">
        <f>IF(OR($B219="",$D219="",$E219=""),"",ROUND(($E219-$D219)*24,2))</f>
        <v/>
      </c>
      <c r="G219" s="14" t="n"/>
      <c r="H219" s="15">
        <f>IF($G219="","",IFERROR(_xlfn.XLOOKUP($G219,nrCHname,nrCHnum),""))</f>
        <v/>
      </c>
      <c r="I219" s="14" t="n"/>
      <c r="J219" s="14" t="n"/>
      <c r="K219" s="15">
        <f>IF($B219="","",IFERROR(_xlfn.XLOOKUP($B219,nrCDdate,nrCDweek),""))</f>
        <v/>
      </c>
      <c r="L219" s="15">
        <f>IF($B219="","",IFERROR(_xlfn.XLOOKUP($B219,nrCDdate,nrCDnum),""))</f>
        <v/>
      </c>
      <c r="M219" s="14" t="n"/>
    </row>
    <row r="220">
      <c r="B220" s="16" t="n"/>
      <c r="C220" s="15">
        <f>IF($B220="","",TEXT($B220,"ddd"))</f>
        <v/>
      </c>
      <c r="D220" s="40" t="n"/>
      <c r="E220" s="40" t="n"/>
      <c r="F220" s="15">
        <f>IF(OR($B220="",$D220="",$E220=""),"",ROUND(($E220-$D220)*24,2))</f>
        <v/>
      </c>
      <c r="G220" s="14" t="n"/>
      <c r="H220" s="15">
        <f>IF($G220="","",IFERROR(_xlfn.XLOOKUP($G220,nrCHname,nrCHnum),""))</f>
        <v/>
      </c>
      <c r="I220" s="14" t="n"/>
      <c r="J220" s="14" t="n"/>
      <c r="K220" s="15">
        <f>IF($B220="","",IFERROR(_xlfn.XLOOKUP($B220,nrCDdate,nrCDweek),""))</f>
        <v/>
      </c>
      <c r="L220" s="15">
        <f>IF($B220="","",IFERROR(_xlfn.XLOOKUP($B220,nrCDdate,nrCDnum),""))</f>
        <v/>
      </c>
      <c r="M220" s="14" t="n"/>
    </row>
    <row r="221">
      <c r="B221" s="16" t="n"/>
      <c r="C221" s="15">
        <f>IF($B221="","",TEXT($B221,"ddd"))</f>
        <v/>
      </c>
      <c r="D221" s="40" t="n"/>
      <c r="E221" s="40" t="n"/>
      <c r="F221" s="15">
        <f>IF(OR($B221="",$D221="",$E221=""),"",ROUND(($E221-$D221)*24,2))</f>
        <v/>
      </c>
      <c r="G221" s="14" t="n"/>
      <c r="H221" s="15">
        <f>IF($G221="","",IFERROR(_xlfn.XLOOKUP($G221,nrCHname,nrCHnum),""))</f>
        <v/>
      </c>
      <c r="I221" s="14" t="n"/>
      <c r="J221" s="14" t="n"/>
      <c r="K221" s="15">
        <f>IF($B221="","",IFERROR(_xlfn.XLOOKUP($B221,nrCDdate,nrCDweek),""))</f>
        <v/>
      </c>
      <c r="L221" s="15">
        <f>IF($B221="","",IFERROR(_xlfn.XLOOKUP($B221,nrCDdate,nrCDnum),""))</f>
        <v/>
      </c>
      <c r="M221" s="14" t="n"/>
    </row>
    <row r="222">
      <c r="B222" s="16" t="n"/>
      <c r="C222" s="15">
        <f>IF($B222="","",TEXT($B222,"ddd"))</f>
        <v/>
      </c>
      <c r="D222" s="40" t="n"/>
      <c r="E222" s="40" t="n"/>
      <c r="F222" s="15">
        <f>IF(OR($B222="",$D222="",$E222=""),"",ROUND(($E222-$D222)*24,2))</f>
        <v/>
      </c>
      <c r="G222" s="14" t="n"/>
      <c r="H222" s="15">
        <f>IF($G222="","",IFERROR(_xlfn.XLOOKUP($G222,nrCHname,nrCHnum),""))</f>
        <v/>
      </c>
      <c r="I222" s="14" t="n"/>
      <c r="J222" s="14" t="n"/>
      <c r="K222" s="15">
        <f>IF($B222="","",IFERROR(_xlfn.XLOOKUP($B222,nrCDdate,nrCDweek),""))</f>
        <v/>
      </c>
      <c r="L222" s="15">
        <f>IF($B222="","",IFERROR(_xlfn.XLOOKUP($B222,nrCDdate,nrCDnum),""))</f>
        <v/>
      </c>
      <c r="M222" s="14" t="n"/>
    </row>
    <row r="223">
      <c r="B223" s="16" t="n"/>
      <c r="C223" s="15">
        <f>IF($B223="","",TEXT($B223,"ddd"))</f>
        <v/>
      </c>
      <c r="D223" s="40" t="n"/>
      <c r="E223" s="40" t="n"/>
      <c r="F223" s="15">
        <f>IF(OR($B223="",$D223="",$E223=""),"",ROUND(($E223-$D223)*24,2))</f>
        <v/>
      </c>
      <c r="G223" s="14" t="n"/>
      <c r="H223" s="15">
        <f>IF($G223="","",IFERROR(_xlfn.XLOOKUP($G223,nrCHname,nrCHnum),""))</f>
        <v/>
      </c>
      <c r="I223" s="14" t="n"/>
      <c r="J223" s="14" t="n"/>
      <c r="K223" s="15">
        <f>IF($B223="","",IFERROR(_xlfn.XLOOKUP($B223,nrCDdate,nrCDweek),""))</f>
        <v/>
      </c>
      <c r="L223" s="15">
        <f>IF($B223="","",IFERROR(_xlfn.XLOOKUP($B223,nrCDdate,nrCDnum),""))</f>
        <v/>
      </c>
      <c r="M223" s="14" t="n"/>
    </row>
    <row r="224">
      <c r="B224" s="16" t="n"/>
      <c r="C224" s="15">
        <f>IF($B224="","",TEXT($B224,"ddd"))</f>
        <v/>
      </c>
      <c r="D224" s="40" t="n"/>
      <c r="E224" s="40" t="n"/>
      <c r="F224" s="15">
        <f>IF(OR($B224="",$D224="",$E224=""),"",ROUND(($E224-$D224)*24,2))</f>
        <v/>
      </c>
      <c r="G224" s="14" t="n"/>
      <c r="H224" s="15">
        <f>IF($G224="","",IFERROR(_xlfn.XLOOKUP($G224,nrCHname,nrCHnum),""))</f>
        <v/>
      </c>
      <c r="I224" s="14" t="n"/>
      <c r="J224" s="14" t="n"/>
      <c r="K224" s="15">
        <f>IF($B224="","",IFERROR(_xlfn.XLOOKUP($B224,nrCDdate,nrCDweek),""))</f>
        <v/>
      </c>
      <c r="L224" s="15">
        <f>IF($B224="","",IFERROR(_xlfn.XLOOKUP($B224,nrCDdate,nrCDnum),""))</f>
        <v/>
      </c>
      <c r="M224" s="14" t="n"/>
    </row>
    <row r="225">
      <c r="B225" s="16" t="n"/>
      <c r="C225" s="15">
        <f>IF($B225="","",TEXT($B225,"ddd"))</f>
        <v/>
      </c>
      <c r="D225" s="40" t="n"/>
      <c r="E225" s="40" t="n"/>
      <c r="F225" s="15">
        <f>IF(OR($B225="",$D225="",$E225=""),"",ROUND(($E225-$D225)*24,2))</f>
        <v/>
      </c>
      <c r="G225" s="14" t="n"/>
      <c r="H225" s="15">
        <f>IF($G225="","",IFERROR(_xlfn.XLOOKUP($G225,nrCHname,nrCHnum),""))</f>
        <v/>
      </c>
      <c r="I225" s="14" t="n"/>
      <c r="J225" s="14" t="n"/>
      <c r="K225" s="15">
        <f>IF($B225="","",IFERROR(_xlfn.XLOOKUP($B225,nrCDdate,nrCDweek),""))</f>
        <v/>
      </c>
      <c r="L225" s="15">
        <f>IF($B225="","",IFERROR(_xlfn.XLOOKUP($B225,nrCDdate,nrCDnum),""))</f>
        <v/>
      </c>
      <c r="M225" s="14" t="n"/>
    </row>
    <row r="226">
      <c r="B226" s="16" t="n"/>
      <c r="C226" s="15">
        <f>IF($B226="","",TEXT($B226,"ddd"))</f>
        <v/>
      </c>
      <c r="D226" s="40" t="n"/>
      <c r="E226" s="40" t="n"/>
      <c r="F226" s="15">
        <f>IF(OR($B226="",$D226="",$E226=""),"",ROUND(($E226-$D226)*24,2))</f>
        <v/>
      </c>
      <c r="G226" s="14" t="n"/>
      <c r="H226" s="15">
        <f>IF($G226="","",IFERROR(_xlfn.XLOOKUP($G226,nrCHname,nrCHnum),""))</f>
        <v/>
      </c>
      <c r="I226" s="14" t="n"/>
      <c r="J226" s="14" t="n"/>
      <c r="K226" s="15">
        <f>IF($B226="","",IFERROR(_xlfn.XLOOKUP($B226,nrCDdate,nrCDweek),""))</f>
        <v/>
      </c>
      <c r="L226" s="15">
        <f>IF($B226="","",IFERROR(_xlfn.XLOOKUP($B226,nrCDdate,nrCDnum),""))</f>
        <v/>
      </c>
      <c r="M226" s="14" t="n"/>
    </row>
    <row r="227">
      <c r="B227" s="16" t="n"/>
      <c r="C227" s="15">
        <f>IF($B227="","",TEXT($B227,"ddd"))</f>
        <v/>
      </c>
      <c r="D227" s="40" t="n"/>
      <c r="E227" s="40" t="n"/>
      <c r="F227" s="15">
        <f>IF(OR($B227="",$D227="",$E227=""),"",ROUND(($E227-$D227)*24,2))</f>
        <v/>
      </c>
      <c r="G227" s="14" t="n"/>
      <c r="H227" s="15">
        <f>IF($G227="","",IFERROR(_xlfn.XLOOKUP($G227,nrCHname,nrCHnum),""))</f>
        <v/>
      </c>
      <c r="I227" s="14" t="n"/>
      <c r="J227" s="14" t="n"/>
      <c r="K227" s="15">
        <f>IF($B227="","",IFERROR(_xlfn.XLOOKUP($B227,nrCDdate,nrCDweek),""))</f>
        <v/>
      </c>
      <c r="L227" s="15">
        <f>IF($B227="","",IFERROR(_xlfn.XLOOKUP($B227,nrCDdate,nrCDnum),""))</f>
        <v/>
      </c>
      <c r="M227" s="14" t="n"/>
    </row>
    <row r="228">
      <c r="B228" s="16" t="n"/>
      <c r="C228" s="15">
        <f>IF($B228="","",TEXT($B228,"ddd"))</f>
        <v/>
      </c>
      <c r="D228" s="40" t="n"/>
      <c r="E228" s="40" t="n"/>
      <c r="F228" s="15">
        <f>IF(OR($B228="",$D228="",$E228=""),"",ROUND(($E228-$D228)*24,2))</f>
        <v/>
      </c>
      <c r="G228" s="14" t="n"/>
      <c r="H228" s="15">
        <f>IF($G228="","",IFERROR(_xlfn.XLOOKUP($G228,nrCHname,nrCHnum),""))</f>
        <v/>
      </c>
      <c r="I228" s="14" t="n"/>
      <c r="J228" s="14" t="n"/>
      <c r="K228" s="15">
        <f>IF($B228="","",IFERROR(_xlfn.XLOOKUP($B228,nrCDdate,nrCDweek),""))</f>
        <v/>
      </c>
      <c r="L228" s="15">
        <f>IF($B228="","",IFERROR(_xlfn.XLOOKUP($B228,nrCDdate,nrCDnum),""))</f>
        <v/>
      </c>
      <c r="M228" s="14" t="n"/>
    </row>
    <row r="229">
      <c r="B229" s="16" t="n"/>
      <c r="C229" s="15">
        <f>IF($B229="","",TEXT($B229,"ddd"))</f>
        <v/>
      </c>
      <c r="D229" s="40" t="n"/>
      <c r="E229" s="40" t="n"/>
      <c r="F229" s="15">
        <f>IF(OR($B229="",$D229="",$E229=""),"",ROUND(($E229-$D229)*24,2))</f>
        <v/>
      </c>
      <c r="G229" s="14" t="n"/>
      <c r="H229" s="15">
        <f>IF($G229="","",IFERROR(_xlfn.XLOOKUP($G229,nrCHname,nrCHnum),""))</f>
        <v/>
      </c>
      <c r="I229" s="14" t="n"/>
      <c r="J229" s="14" t="n"/>
      <c r="K229" s="15">
        <f>IF($B229="","",IFERROR(_xlfn.XLOOKUP($B229,nrCDdate,nrCDweek),""))</f>
        <v/>
      </c>
      <c r="L229" s="15">
        <f>IF($B229="","",IFERROR(_xlfn.XLOOKUP($B229,nrCDdate,nrCDnum),""))</f>
        <v/>
      </c>
      <c r="M229" s="14" t="n"/>
    </row>
    <row r="230">
      <c r="B230" s="16" t="n"/>
      <c r="C230" s="15">
        <f>IF($B230="","",TEXT($B230,"ddd"))</f>
        <v/>
      </c>
      <c r="D230" s="40" t="n"/>
      <c r="E230" s="40" t="n"/>
      <c r="F230" s="15">
        <f>IF(OR($B230="",$D230="",$E230=""),"",ROUND(($E230-$D230)*24,2))</f>
        <v/>
      </c>
      <c r="G230" s="14" t="n"/>
      <c r="H230" s="15">
        <f>IF($G230="","",IFERROR(_xlfn.XLOOKUP($G230,nrCHname,nrCHnum),""))</f>
        <v/>
      </c>
      <c r="I230" s="14" t="n"/>
      <c r="J230" s="14" t="n"/>
      <c r="K230" s="15">
        <f>IF($B230="","",IFERROR(_xlfn.XLOOKUP($B230,nrCDdate,nrCDweek),""))</f>
        <v/>
      </c>
      <c r="L230" s="15">
        <f>IF($B230="","",IFERROR(_xlfn.XLOOKUP($B230,nrCDdate,nrCDnum),""))</f>
        <v/>
      </c>
      <c r="M230" s="14" t="n"/>
    </row>
    <row r="231">
      <c r="B231" s="16" t="n"/>
      <c r="C231" s="15">
        <f>IF($B231="","",TEXT($B231,"ddd"))</f>
        <v/>
      </c>
      <c r="D231" s="40" t="n"/>
      <c r="E231" s="40" t="n"/>
      <c r="F231" s="15">
        <f>IF(OR($B231="",$D231="",$E231=""),"",ROUND(($E231-$D231)*24,2))</f>
        <v/>
      </c>
      <c r="G231" s="14" t="n"/>
      <c r="H231" s="15">
        <f>IF($G231="","",IFERROR(_xlfn.XLOOKUP($G231,nrCHname,nrCHnum),""))</f>
        <v/>
      </c>
      <c r="I231" s="14" t="n"/>
      <c r="J231" s="14" t="n"/>
      <c r="K231" s="15">
        <f>IF($B231="","",IFERROR(_xlfn.XLOOKUP($B231,nrCDdate,nrCDweek),""))</f>
        <v/>
      </c>
      <c r="L231" s="15">
        <f>IF($B231="","",IFERROR(_xlfn.XLOOKUP($B231,nrCDdate,nrCDnum),""))</f>
        <v/>
      </c>
      <c r="M231" s="14" t="n"/>
    </row>
    <row r="232">
      <c r="B232" s="16" t="n"/>
      <c r="C232" s="15">
        <f>IF($B232="","",TEXT($B232,"ddd"))</f>
        <v/>
      </c>
      <c r="D232" s="40" t="n"/>
      <c r="E232" s="40" t="n"/>
      <c r="F232" s="15">
        <f>IF(OR($B232="",$D232="",$E232=""),"",ROUND(($E232-$D232)*24,2))</f>
        <v/>
      </c>
      <c r="G232" s="14" t="n"/>
      <c r="H232" s="15">
        <f>IF($G232="","",IFERROR(_xlfn.XLOOKUP($G232,nrCHname,nrCHnum),""))</f>
        <v/>
      </c>
      <c r="I232" s="14" t="n"/>
      <c r="J232" s="14" t="n"/>
      <c r="K232" s="15">
        <f>IF($B232="","",IFERROR(_xlfn.XLOOKUP($B232,nrCDdate,nrCDweek),""))</f>
        <v/>
      </c>
      <c r="L232" s="15">
        <f>IF($B232="","",IFERROR(_xlfn.XLOOKUP($B232,nrCDdate,nrCDnum),""))</f>
        <v/>
      </c>
      <c r="M232" s="14" t="n"/>
    </row>
    <row r="233">
      <c r="B233" s="16" t="n"/>
      <c r="C233" s="15">
        <f>IF($B233="","",TEXT($B233,"ddd"))</f>
        <v/>
      </c>
      <c r="D233" s="40" t="n"/>
      <c r="E233" s="40" t="n"/>
      <c r="F233" s="15">
        <f>IF(OR($B233="",$D233="",$E233=""),"",ROUND(($E233-$D233)*24,2))</f>
        <v/>
      </c>
      <c r="G233" s="14" t="n"/>
      <c r="H233" s="15">
        <f>IF($G233="","",IFERROR(_xlfn.XLOOKUP($G233,nrCHname,nrCHnum),""))</f>
        <v/>
      </c>
      <c r="I233" s="14" t="n"/>
      <c r="J233" s="14" t="n"/>
      <c r="K233" s="15">
        <f>IF($B233="","",IFERROR(_xlfn.XLOOKUP($B233,nrCDdate,nrCDweek),""))</f>
        <v/>
      </c>
      <c r="L233" s="15">
        <f>IF($B233="","",IFERROR(_xlfn.XLOOKUP($B233,nrCDdate,nrCDnum),""))</f>
        <v/>
      </c>
      <c r="M233" s="14" t="n"/>
    </row>
    <row r="234">
      <c r="B234" s="16" t="n"/>
      <c r="C234" s="15">
        <f>IF($B234="","",TEXT($B234,"ddd"))</f>
        <v/>
      </c>
      <c r="D234" s="40" t="n"/>
      <c r="E234" s="40" t="n"/>
      <c r="F234" s="15">
        <f>IF(OR($B234="",$D234="",$E234=""),"",ROUND(($E234-$D234)*24,2))</f>
        <v/>
      </c>
      <c r="G234" s="14" t="n"/>
      <c r="H234" s="15">
        <f>IF($G234="","",IFERROR(_xlfn.XLOOKUP($G234,nrCHname,nrCHnum),""))</f>
        <v/>
      </c>
      <c r="I234" s="14" t="n"/>
      <c r="J234" s="14" t="n"/>
      <c r="K234" s="15">
        <f>IF($B234="","",IFERROR(_xlfn.XLOOKUP($B234,nrCDdate,nrCDweek),""))</f>
        <v/>
      </c>
      <c r="L234" s="15">
        <f>IF($B234="","",IFERROR(_xlfn.XLOOKUP($B234,nrCDdate,nrCDnum),""))</f>
        <v/>
      </c>
      <c r="M234" s="14" t="n"/>
    </row>
    <row r="235">
      <c r="B235" s="16" t="n"/>
      <c r="C235" s="15">
        <f>IF($B235="","",TEXT($B235,"ddd"))</f>
        <v/>
      </c>
      <c r="D235" s="40" t="n"/>
      <c r="E235" s="40" t="n"/>
      <c r="F235" s="15">
        <f>IF(OR($B235="",$D235="",$E235=""),"",ROUND(($E235-$D235)*24,2))</f>
        <v/>
      </c>
      <c r="G235" s="14" t="n"/>
      <c r="H235" s="15">
        <f>IF($G235="","",IFERROR(_xlfn.XLOOKUP($G235,nrCHname,nrCHnum),""))</f>
        <v/>
      </c>
      <c r="I235" s="14" t="n"/>
      <c r="J235" s="14" t="n"/>
      <c r="K235" s="15">
        <f>IF($B235="","",IFERROR(_xlfn.XLOOKUP($B235,nrCDdate,nrCDweek),""))</f>
        <v/>
      </c>
      <c r="L235" s="15">
        <f>IF($B235="","",IFERROR(_xlfn.XLOOKUP($B235,nrCDdate,nrCDnum),""))</f>
        <v/>
      </c>
      <c r="M235" s="14" t="n"/>
    </row>
    <row r="236">
      <c r="B236" s="16" t="n"/>
      <c r="C236" s="15">
        <f>IF($B236="","",TEXT($B236,"ddd"))</f>
        <v/>
      </c>
      <c r="D236" s="40" t="n"/>
      <c r="E236" s="40" t="n"/>
      <c r="F236" s="15">
        <f>IF(OR($B236="",$D236="",$E236=""),"",ROUND(($E236-$D236)*24,2))</f>
        <v/>
      </c>
      <c r="G236" s="14" t="n"/>
      <c r="H236" s="15">
        <f>IF($G236="","",IFERROR(_xlfn.XLOOKUP($G236,nrCHname,nrCHnum),""))</f>
        <v/>
      </c>
      <c r="I236" s="14" t="n"/>
      <c r="J236" s="14" t="n"/>
      <c r="K236" s="15">
        <f>IF($B236="","",IFERROR(_xlfn.XLOOKUP($B236,nrCDdate,nrCDweek),""))</f>
        <v/>
      </c>
      <c r="L236" s="15">
        <f>IF($B236="","",IFERROR(_xlfn.XLOOKUP($B236,nrCDdate,nrCDnum),""))</f>
        <v/>
      </c>
      <c r="M236" s="14" t="n"/>
    </row>
    <row r="237">
      <c r="B237" s="16" t="n"/>
      <c r="C237" s="15">
        <f>IF($B237="","",TEXT($B237,"ddd"))</f>
        <v/>
      </c>
      <c r="D237" s="40" t="n"/>
      <c r="E237" s="40" t="n"/>
      <c r="F237" s="15">
        <f>IF(OR($B237="",$D237="",$E237=""),"",ROUND(($E237-$D237)*24,2))</f>
        <v/>
      </c>
      <c r="G237" s="14" t="n"/>
      <c r="H237" s="15">
        <f>IF($G237="","",IFERROR(_xlfn.XLOOKUP($G237,nrCHname,nrCHnum),""))</f>
        <v/>
      </c>
      <c r="I237" s="14" t="n"/>
      <c r="J237" s="14" t="n"/>
      <c r="K237" s="15">
        <f>IF($B237="","",IFERROR(_xlfn.XLOOKUP($B237,nrCDdate,nrCDweek),""))</f>
        <v/>
      </c>
      <c r="L237" s="15">
        <f>IF($B237="","",IFERROR(_xlfn.XLOOKUP($B237,nrCDdate,nrCDnum),""))</f>
        <v/>
      </c>
      <c r="M237" s="14" t="n"/>
    </row>
    <row r="238">
      <c r="B238" s="16" t="n"/>
      <c r="C238" s="15">
        <f>IF($B238="","",TEXT($B238,"ddd"))</f>
        <v/>
      </c>
      <c r="D238" s="40" t="n"/>
      <c r="E238" s="40" t="n"/>
      <c r="F238" s="15">
        <f>IF(OR($B238="",$D238="",$E238=""),"",ROUND(($E238-$D238)*24,2))</f>
        <v/>
      </c>
      <c r="G238" s="14" t="n"/>
      <c r="H238" s="15">
        <f>IF($G238="","",IFERROR(_xlfn.XLOOKUP($G238,nrCHname,nrCHnum),""))</f>
        <v/>
      </c>
      <c r="I238" s="14" t="n"/>
      <c r="J238" s="14" t="n"/>
      <c r="K238" s="15">
        <f>IF($B238="","",IFERROR(_xlfn.XLOOKUP($B238,nrCDdate,nrCDweek),""))</f>
        <v/>
      </c>
      <c r="L238" s="15">
        <f>IF($B238="","",IFERROR(_xlfn.XLOOKUP($B238,nrCDdate,nrCDnum),""))</f>
        <v/>
      </c>
      <c r="M238" s="14" t="n"/>
    </row>
    <row r="239">
      <c r="B239" s="16" t="n"/>
      <c r="C239" s="15">
        <f>IF($B239="","",TEXT($B239,"ddd"))</f>
        <v/>
      </c>
      <c r="D239" s="40" t="n"/>
      <c r="E239" s="40" t="n"/>
      <c r="F239" s="15">
        <f>IF(OR($B239="",$D239="",$E239=""),"",ROUND(($E239-$D239)*24,2))</f>
        <v/>
      </c>
      <c r="G239" s="14" t="n"/>
      <c r="H239" s="15">
        <f>IF($G239="","",IFERROR(_xlfn.XLOOKUP($G239,nrCHname,nrCHnum),""))</f>
        <v/>
      </c>
      <c r="I239" s="14" t="n"/>
      <c r="J239" s="14" t="n"/>
      <c r="K239" s="15">
        <f>IF($B239="","",IFERROR(_xlfn.XLOOKUP($B239,nrCDdate,nrCDweek),""))</f>
        <v/>
      </c>
      <c r="L239" s="15">
        <f>IF($B239="","",IFERROR(_xlfn.XLOOKUP($B239,nrCDdate,nrCDnum),""))</f>
        <v/>
      </c>
      <c r="M239" s="14" t="n"/>
    </row>
    <row r="240">
      <c r="B240" s="16" t="n"/>
      <c r="C240" s="15">
        <f>IF($B240="","",TEXT($B240,"ddd"))</f>
        <v/>
      </c>
      <c r="D240" s="40" t="n"/>
      <c r="E240" s="40" t="n"/>
      <c r="F240" s="15">
        <f>IF(OR($B240="",$D240="",$E240=""),"",ROUND(($E240-$D240)*24,2))</f>
        <v/>
      </c>
      <c r="G240" s="14" t="n"/>
      <c r="H240" s="15">
        <f>IF($G240="","",IFERROR(_xlfn.XLOOKUP($G240,nrCHname,nrCHnum),""))</f>
        <v/>
      </c>
      <c r="I240" s="14" t="n"/>
      <c r="J240" s="14" t="n"/>
      <c r="K240" s="15">
        <f>IF($B240="","",IFERROR(_xlfn.XLOOKUP($B240,nrCDdate,nrCDweek),""))</f>
        <v/>
      </c>
      <c r="L240" s="15">
        <f>IF($B240="","",IFERROR(_xlfn.XLOOKUP($B240,nrCDdate,nrCDnum),""))</f>
        <v/>
      </c>
      <c r="M240" s="14" t="n"/>
    </row>
    <row r="241">
      <c r="B241" s="16" t="n"/>
      <c r="C241" s="15">
        <f>IF($B241="","",TEXT($B241,"ddd"))</f>
        <v/>
      </c>
      <c r="D241" s="40" t="n"/>
      <c r="E241" s="40" t="n"/>
      <c r="F241" s="15">
        <f>IF(OR($B241="",$D241="",$E241=""),"",ROUND(($E241-$D241)*24,2))</f>
        <v/>
      </c>
      <c r="G241" s="14" t="n"/>
      <c r="H241" s="15">
        <f>IF($G241="","",IFERROR(_xlfn.XLOOKUP($G241,nrCHname,nrCHnum),""))</f>
        <v/>
      </c>
      <c r="I241" s="14" t="n"/>
      <c r="J241" s="14" t="n"/>
      <c r="K241" s="15">
        <f>IF($B241="","",IFERROR(_xlfn.XLOOKUP($B241,nrCDdate,nrCDweek),""))</f>
        <v/>
      </c>
      <c r="L241" s="15">
        <f>IF($B241="","",IFERROR(_xlfn.XLOOKUP($B241,nrCDdate,nrCDnum),""))</f>
        <v/>
      </c>
      <c r="M241" s="14" t="n"/>
    </row>
    <row r="242">
      <c r="B242" s="16" t="n"/>
      <c r="C242" s="15">
        <f>IF($B242="","",TEXT($B242,"ddd"))</f>
        <v/>
      </c>
      <c r="D242" s="40" t="n"/>
      <c r="E242" s="40" t="n"/>
      <c r="F242" s="15">
        <f>IF(OR($B242="",$D242="",$E242=""),"",ROUND(($E242-$D242)*24,2))</f>
        <v/>
      </c>
      <c r="G242" s="14" t="n"/>
      <c r="H242" s="15">
        <f>IF($G242="","",IFERROR(_xlfn.XLOOKUP($G242,nrCHname,nrCHnum),""))</f>
        <v/>
      </c>
      <c r="I242" s="14" t="n"/>
      <c r="J242" s="14" t="n"/>
      <c r="K242" s="15">
        <f>IF($B242="","",IFERROR(_xlfn.XLOOKUP($B242,nrCDdate,nrCDweek),""))</f>
        <v/>
      </c>
      <c r="L242" s="15">
        <f>IF($B242="","",IFERROR(_xlfn.XLOOKUP($B242,nrCDdate,nrCDnum),""))</f>
        <v/>
      </c>
      <c r="M242" s="14" t="n"/>
    </row>
    <row r="243">
      <c r="B243" s="16" t="n"/>
      <c r="C243" s="15">
        <f>IF($B243="","",TEXT($B243,"ddd"))</f>
        <v/>
      </c>
      <c r="D243" s="40" t="n"/>
      <c r="E243" s="40" t="n"/>
      <c r="F243" s="15">
        <f>IF(OR($B243="",$D243="",$E243=""),"",ROUND(($E243-$D243)*24,2))</f>
        <v/>
      </c>
      <c r="G243" s="14" t="n"/>
      <c r="H243" s="15">
        <f>IF($G243="","",IFERROR(_xlfn.XLOOKUP($G243,nrCHname,nrCHnum),""))</f>
        <v/>
      </c>
      <c r="I243" s="14" t="n"/>
      <c r="J243" s="14" t="n"/>
      <c r="K243" s="15">
        <f>IF($B243="","",IFERROR(_xlfn.XLOOKUP($B243,nrCDdate,nrCDweek),""))</f>
        <v/>
      </c>
      <c r="L243" s="15">
        <f>IF($B243="","",IFERROR(_xlfn.XLOOKUP($B243,nrCDdate,nrCDnum),""))</f>
        <v/>
      </c>
      <c r="M243" s="14" t="n"/>
    </row>
    <row r="244">
      <c r="B244" s="16" t="n"/>
      <c r="C244" s="15">
        <f>IF($B244="","",TEXT($B244,"ddd"))</f>
        <v/>
      </c>
      <c r="D244" s="40" t="n"/>
      <c r="E244" s="40" t="n"/>
      <c r="F244" s="15">
        <f>IF(OR($B244="",$D244="",$E244=""),"",ROUND(($E244-$D244)*24,2))</f>
        <v/>
      </c>
      <c r="G244" s="14" t="n"/>
      <c r="H244" s="15">
        <f>IF($G244="","",IFERROR(_xlfn.XLOOKUP($G244,nrCHname,nrCHnum),""))</f>
        <v/>
      </c>
      <c r="I244" s="14" t="n"/>
      <c r="J244" s="14" t="n"/>
      <c r="K244" s="15">
        <f>IF($B244="","",IFERROR(_xlfn.XLOOKUP($B244,nrCDdate,nrCDweek),""))</f>
        <v/>
      </c>
      <c r="L244" s="15">
        <f>IF($B244="","",IFERROR(_xlfn.XLOOKUP($B244,nrCDdate,nrCDnum),""))</f>
        <v/>
      </c>
      <c r="M244" s="14" t="n"/>
    </row>
    <row r="245">
      <c r="B245" s="16" t="n"/>
      <c r="C245" s="15">
        <f>IF($B245="","",TEXT($B245,"ddd"))</f>
        <v/>
      </c>
      <c r="D245" s="40" t="n"/>
      <c r="E245" s="40" t="n"/>
      <c r="F245" s="15">
        <f>IF(OR($B245="",$D245="",$E245=""),"",ROUND(($E245-$D245)*24,2))</f>
        <v/>
      </c>
      <c r="G245" s="14" t="n"/>
      <c r="H245" s="15">
        <f>IF($G245="","",IFERROR(_xlfn.XLOOKUP($G245,nrCHname,nrCHnum),""))</f>
        <v/>
      </c>
      <c r="I245" s="14" t="n"/>
      <c r="J245" s="14" t="n"/>
      <c r="K245" s="15">
        <f>IF($B245="","",IFERROR(_xlfn.XLOOKUP($B245,nrCDdate,nrCDweek),""))</f>
        <v/>
      </c>
      <c r="L245" s="15">
        <f>IF($B245="","",IFERROR(_xlfn.XLOOKUP($B245,nrCDdate,nrCDnum),""))</f>
        <v/>
      </c>
      <c r="M245" s="14" t="n"/>
    </row>
    <row r="246">
      <c r="B246" s="16" t="n"/>
      <c r="C246" s="15">
        <f>IF($B246="","",TEXT($B246,"ddd"))</f>
        <v/>
      </c>
      <c r="D246" s="40" t="n"/>
      <c r="E246" s="40" t="n"/>
      <c r="F246" s="15">
        <f>IF(OR($B246="",$D246="",$E246=""),"",ROUND(($E246-$D246)*24,2))</f>
        <v/>
      </c>
      <c r="G246" s="14" t="n"/>
      <c r="H246" s="15">
        <f>IF($G246="","",IFERROR(_xlfn.XLOOKUP($G246,nrCHname,nrCHnum),""))</f>
        <v/>
      </c>
      <c r="I246" s="14" t="n"/>
      <c r="J246" s="14" t="n"/>
      <c r="K246" s="15">
        <f>IF($B246="","",IFERROR(_xlfn.XLOOKUP($B246,nrCDdate,nrCDweek),""))</f>
        <v/>
      </c>
      <c r="L246" s="15">
        <f>IF($B246="","",IFERROR(_xlfn.XLOOKUP($B246,nrCDdate,nrCDnum),""))</f>
        <v/>
      </c>
      <c r="M246" s="14" t="n"/>
    </row>
    <row r="247">
      <c r="B247" s="16" t="n"/>
      <c r="C247" s="15">
        <f>IF($B247="","",TEXT($B247,"ddd"))</f>
        <v/>
      </c>
      <c r="D247" s="40" t="n"/>
      <c r="E247" s="40" t="n"/>
      <c r="F247" s="15">
        <f>IF(OR($B247="",$D247="",$E247=""),"",ROUND(($E247-$D247)*24,2))</f>
        <v/>
      </c>
      <c r="G247" s="14" t="n"/>
      <c r="H247" s="15">
        <f>IF($G247="","",IFERROR(_xlfn.XLOOKUP($G247,nrCHname,nrCHnum),""))</f>
        <v/>
      </c>
      <c r="I247" s="14" t="n"/>
      <c r="J247" s="14" t="n"/>
      <c r="K247" s="15">
        <f>IF($B247="","",IFERROR(_xlfn.XLOOKUP($B247,nrCDdate,nrCDweek),""))</f>
        <v/>
      </c>
      <c r="L247" s="15">
        <f>IF($B247="","",IFERROR(_xlfn.XLOOKUP($B247,nrCDdate,nrCDnum),""))</f>
        <v/>
      </c>
      <c r="M247" s="14" t="n"/>
    </row>
    <row r="248">
      <c r="B248" s="16" t="n"/>
      <c r="C248" s="15">
        <f>IF($B248="","",TEXT($B248,"ddd"))</f>
        <v/>
      </c>
      <c r="D248" s="40" t="n"/>
      <c r="E248" s="40" t="n"/>
      <c r="F248" s="15">
        <f>IF(OR($B248="",$D248="",$E248=""),"",ROUND(($E248-$D248)*24,2))</f>
        <v/>
      </c>
      <c r="G248" s="14" t="n"/>
      <c r="H248" s="15">
        <f>IF($G248="","",IFERROR(_xlfn.XLOOKUP($G248,nrCHname,nrCHnum),""))</f>
        <v/>
      </c>
      <c r="I248" s="14" t="n"/>
      <c r="J248" s="14" t="n"/>
      <c r="K248" s="15">
        <f>IF($B248="","",IFERROR(_xlfn.XLOOKUP($B248,nrCDdate,nrCDweek),""))</f>
        <v/>
      </c>
      <c r="L248" s="15">
        <f>IF($B248="","",IFERROR(_xlfn.XLOOKUP($B248,nrCDdate,nrCDnum),""))</f>
        <v/>
      </c>
      <c r="M248" s="14" t="n"/>
    </row>
    <row r="249">
      <c r="B249" s="16" t="n"/>
      <c r="C249" s="15">
        <f>IF($B249="","",TEXT($B249,"ddd"))</f>
        <v/>
      </c>
      <c r="D249" s="40" t="n"/>
      <c r="E249" s="40" t="n"/>
      <c r="F249" s="15">
        <f>IF(OR($B249="",$D249="",$E249=""),"",ROUND(($E249-$D249)*24,2))</f>
        <v/>
      </c>
      <c r="G249" s="14" t="n"/>
      <c r="H249" s="15">
        <f>IF($G249="","",IFERROR(_xlfn.XLOOKUP($G249,nrCHname,nrCHnum),""))</f>
        <v/>
      </c>
      <c r="I249" s="14" t="n"/>
      <c r="J249" s="14" t="n"/>
      <c r="K249" s="15">
        <f>IF($B249="","",IFERROR(_xlfn.XLOOKUP($B249,nrCDdate,nrCDweek),""))</f>
        <v/>
      </c>
      <c r="L249" s="15">
        <f>IF($B249="","",IFERROR(_xlfn.XLOOKUP($B249,nrCDdate,nrCDnum),""))</f>
        <v/>
      </c>
      <c r="M249" s="14" t="n"/>
    </row>
    <row r="250">
      <c r="B250" s="16" t="n"/>
      <c r="C250" s="15">
        <f>IF($B250="","",TEXT($B250,"ddd"))</f>
        <v/>
      </c>
      <c r="D250" s="40" t="n"/>
      <c r="E250" s="40" t="n"/>
      <c r="F250" s="15">
        <f>IF(OR($B250="",$D250="",$E250=""),"",ROUND(($E250-$D250)*24,2))</f>
        <v/>
      </c>
      <c r="G250" s="14" t="n"/>
      <c r="H250" s="15">
        <f>IF($G250="","",IFERROR(_xlfn.XLOOKUP($G250,nrCHname,nrCHnum),""))</f>
        <v/>
      </c>
      <c r="I250" s="14" t="n"/>
      <c r="J250" s="14" t="n"/>
      <c r="K250" s="15">
        <f>IF($B250="","",IFERROR(_xlfn.XLOOKUP($B250,nrCDdate,nrCDweek),""))</f>
        <v/>
      </c>
      <c r="L250" s="15">
        <f>IF($B250="","",IFERROR(_xlfn.XLOOKUP($B250,nrCDdate,nrCDnum),""))</f>
        <v/>
      </c>
      <c r="M250" s="14" t="n"/>
    </row>
    <row r="251">
      <c r="B251" s="16" t="n"/>
      <c r="C251" s="15">
        <f>IF($B251="","",TEXT($B251,"ddd"))</f>
        <v/>
      </c>
      <c r="D251" s="40" t="n"/>
      <c r="E251" s="40" t="n"/>
      <c r="F251" s="15">
        <f>IF(OR($B251="",$D251="",$E251=""),"",ROUND(($E251-$D251)*24,2))</f>
        <v/>
      </c>
      <c r="G251" s="14" t="n"/>
      <c r="H251" s="15">
        <f>IF($G251="","",IFERROR(_xlfn.XLOOKUP($G251,nrCHname,nrCHnum),""))</f>
        <v/>
      </c>
      <c r="I251" s="14" t="n"/>
      <c r="J251" s="14" t="n"/>
      <c r="K251" s="15">
        <f>IF($B251="","",IFERROR(_xlfn.XLOOKUP($B251,nrCDdate,nrCDweek),""))</f>
        <v/>
      </c>
      <c r="L251" s="15">
        <f>IF($B251="","",IFERROR(_xlfn.XLOOKUP($B251,nrCDdate,nrCDnum),""))</f>
        <v/>
      </c>
      <c r="M251" s="14" t="n"/>
    </row>
    <row r="252">
      <c r="B252" s="16" t="n"/>
      <c r="C252" s="15">
        <f>IF($B252="","",TEXT($B252,"ddd"))</f>
        <v/>
      </c>
      <c r="D252" s="40" t="n"/>
      <c r="E252" s="40" t="n"/>
      <c r="F252" s="15">
        <f>IF(OR($B252="",$D252="",$E252=""),"",ROUND(($E252-$D252)*24,2))</f>
        <v/>
      </c>
      <c r="G252" s="14" t="n"/>
      <c r="H252" s="15">
        <f>IF($G252="","",IFERROR(_xlfn.XLOOKUP($G252,nrCHname,nrCHnum),""))</f>
        <v/>
      </c>
      <c r="I252" s="14" t="n"/>
      <c r="J252" s="14" t="n"/>
      <c r="K252" s="15">
        <f>IF($B252="","",IFERROR(_xlfn.XLOOKUP($B252,nrCDdate,nrCDweek),""))</f>
        <v/>
      </c>
      <c r="L252" s="15">
        <f>IF($B252="","",IFERROR(_xlfn.XLOOKUP($B252,nrCDdate,nrCDnum),""))</f>
        <v/>
      </c>
      <c r="M252" s="14" t="n"/>
    </row>
    <row r="253">
      <c r="B253" s="16" t="n"/>
      <c r="C253" s="15">
        <f>IF($B253="","",TEXT($B253,"ddd"))</f>
        <v/>
      </c>
      <c r="D253" s="40" t="n"/>
      <c r="E253" s="40" t="n"/>
      <c r="F253" s="15">
        <f>IF(OR($B253="",$D253="",$E253=""),"",ROUND(($E253-$D253)*24,2))</f>
        <v/>
      </c>
      <c r="G253" s="14" t="n"/>
      <c r="H253" s="15">
        <f>IF($G253="","",IFERROR(_xlfn.XLOOKUP($G253,nrCHname,nrCHnum),""))</f>
        <v/>
      </c>
      <c r="I253" s="14" t="n"/>
      <c r="J253" s="14" t="n"/>
      <c r="K253" s="15">
        <f>IF($B253="","",IFERROR(_xlfn.XLOOKUP($B253,nrCDdate,nrCDweek),""))</f>
        <v/>
      </c>
      <c r="L253" s="15">
        <f>IF($B253="","",IFERROR(_xlfn.XLOOKUP($B253,nrCDdate,nrCDnum),""))</f>
        <v/>
      </c>
      <c r="M253" s="14" t="n"/>
    </row>
    <row r="254">
      <c r="B254" s="16" t="n"/>
      <c r="C254" s="15">
        <f>IF($B254="","",TEXT($B254,"ddd"))</f>
        <v/>
      </c>
      <c r="D254" s="40" t="n"/>
      <c r="E254" s="40" t="n"/>
      <c r="F254" s="15">
        <f>IF(OR($B254="",$D254="",$E254=""),"",ROUND(($E254-$D254)*24,2))</f>
        <v/>
      </c>
      <c r="G254" s="14" t="n"/>
      <c r="H254" s="15">
        <f>IF($G254="","",IFERROR(_xlfn.XLOOKUP($G254,nrCHname,nrCHnum),""))</f>
        <v/>
      </c>
      <c r="I254" s="14" t="n"/>
      <c r="J254" s="14" t="n"/>
      <c r="K254" s="15">
        <f>IF($B254="","",IFERROR(_xlfn.XLOOKUP($B254,nrCDdate,nrCDweek),""))</f>
        <v/>
      </c>
      <c r="L254" s="15">
        <f>IF($B254="","",IFERROR(_xlfn.XLOOKUP($B254,nrCDdate,nrCDnum),""))</f>
        <v/>
      </c>
      <c r="M254" s="14" t="n"/>
    </row>
    <row r="255">
      <c r="B255" s="16" t="n"/>
      <c r="C255" s="15">
        <f>IF($B255="","",TEXT($B255,"ddd"))</f>
        <v/>
      </c>
      <c r="D255" s="40" t="n"/>
      <c r="E255" s="40" t="n"/>
      <c r="F255" s="15">
        <f>IF(OR($B255="",$D255="",$E255=""),"",ROUND(($E255-$D255)*24,2))</f>
        <v/>
      </c>
      <c r="G255" s="14" t="n"/>
      <c r="H255" s="15">
        <f>IF($G255="","",IFERROR(_xlfn.XLOOKUP($G255,nrCHname,nrCHnum),""))</f>
        <v/>
      </c>
      <c r="I255" s="14" t="n"/>
      <c r="J255" s="14" t="n"/>
      <c r="K255" s="15">
        <f>IF($B255="","",IFERROR(_xlfn.XLOOKUP($B255,nrCDdate,nrCDweek),""))</f>
        <v/>
      </c>
      <c r="L255" s="15">
        <f>IF($B255="","",IFERROR(_xlfn.XLOOKUP($B255,nrCDdate,nrCDnum),""))</f>
        <v/>
      </c>
      <c r="M255" s="14" t="n"/>
    </row>
    <row r="256">
      <c r="B256" s="16" t="n"/>
      <c r="C256" s="15">
        <f>IF($B256="","",TEXT($B256,"ddd"))</f>
        <v/>
      </c>
      <c r="D256" s="40" t="n"/>
      <c r="E256" s="40" t="n"/>
      <c r="F256" s="15">
        <f>IF(OR($B256="",$D256="",$E256=""),"",ROUND(($E256-$D256)*24,2))</f>
        <v/>
      </c>
      <c r="G256" s="14" t="n"/>
      <c r="H256" s="15">
        <f>IF($G256="","",IFERROR(_xlfn.XLOOKUP($G256,nrCHname,nrCHnum),""))</f>
        <v/>
      </c>
      <c r="I256" s="14" t="n"/>
      <c r="J256" s="14" t="n"/>
      <c r="K256" s="15">
        <f>IF($B256="","",IFERROR(_xlfn.XLOOKUP($B256,nrCDdate,nrCDweek),""))</f>
        <v/>
      </c>
      <c r="L256" s="15">
        <f>IF($B256="","",IFERROR(_xlfn.XLOOKUP($B256,nrCDdate,nrCDnum),""))</f>
        <v/>
      </c>
      <c r="M256" s="14" t="n"/>
    </row>
    <row r="257">
      <c r="B257" s="16" t="n"/>
      <c r="C257" s="15">
        <f>IF($B257="","",TEXT($B257,"ddd"))</f>
        <v/>
      </c>
      <c r="D257" s="40" t="n"/>
      <c r="E257" s="40" t="n"/>
      <c r="F257" s="15">
        <f>IF(OR($B257="",$D257="",$E257=""),"",ROUND(($E257-$D257)*24,2))</f>
        <v/>
      </c>
      <c r="G257" s="14" t="n"/>
      <c r="H257" s="15">
        <f>IF($G257="","",IFERROR(_xlfn.XLOOKUP($G257,nrCHname,nrCHnum),""))</f>
        <v/>
      </c>
      <c r="I257" s="14" t="n"/>
      <c r="J257" s="14" t="n"/>
      <c r="K257" s="15">
        <f>IF($B257="","",IFERROR(_xlfn.XLOOKUP($B257,nrCDdate,nrCDweek),""))</f>
        <v/>
      </c>
      <c r="L257" s="15">
        <f>IF($B257="","",IFERROR(_xlfn.XLOOKUP($B257,nrCDdate,nrCDnum),""))</f>
        <v/>
      </c>
      <c r="M257" s="14" t="n"/>
    </row>
    <row r="258">
      <c r="B258" s="16" t="n"/>
      <c r="C258" s="15">
        <f>IF($B258="","",TEXT($B258,"ddd"))</f>
        <v/>
      </c>
      <c r="D258" s="40" t="n"/>
      <c r="E258" s="40" t="n"/>
      <c r="F258" s="15">
        <f>IF(OR($B258="",$D258="",$E258=""),"",ROUND(($E258-$D258)*24,2))</f>
        <v/>
      </c>
      <c r="G258" s="14" t="n"/>
      <c r="H258" s="15">
        <f>IF($G258="","",IFERROR(_xlfn.XLOOKUP($G258,nrCHname,nrCHnum),""))</f>
        <v/>
      </c>
      <c r="I258" s="14" t="n"/>
      <c r="J258" s="14" t="n"/>
      <c r="K258" s="15">
        <f>IF($B258="","",IFERROR(_xlfn.XLOOKUP($B258,nrCDdate,nrCDweek),""))</f>
        <v/>
      </c>
      <c r="L258" s="15">
        <f>IF($B258="","",IFERROR(_xlfn.XLOOKUP($B258,nrCDdate,nrCDnum),""))</f>
        <v/>
      </c>
      <c r="M258" s="14" t="n"/>
    </row>
    <row r="259">
      <c r="B259" s="16" t="n"/>
      <c r="C259" s="15">
        <f>IF($B259="","",TEXT($B259,"ddd"))</f>
        <v/>
      </c>
      <c r="D259" s="40" t="n"/>
      <c r="E259" s="40" t="n"/>
      <c r="F259" s="15">
        <f>IF(OR($B259="",$D259="",$E259=""),"",ROUND(($E259-$D259)*24,2))</f>
        <v/>
      </c>
      <c r="G259" s="14" t="n"/>
      <c r="H259" s="15">
        <f>IF($G259="","",IFERROR(_xlfn.XLOOKUP($G259,nrCHname,nrCHnum),""))</f>
        <v/>
      </c>
      <c r="I259" s="14" t="n"/>
      <c r="J259" s="14" t="n"/>
      <c r="K259" s="15">
        <f>IF($B259="","",IFERROR(_xlfn.XLOOKUP($B259,nrCDdate,nrCDweek),""))</f>
        <v/>
      </c>
      <c r="L259" s="15">
        <f>IF($B259="","",IFERROR(_xlfn.XLOOKUP($B259,nrCDdate,nrCDnum),""))</f>
        <v/>
      </c>
      <c r="M259" s="14" t="n"/>
    </row>
    <row r="260">
      <c r="B260" s="16" t="n"/>
      <c r="C260" s="15">
        <f>IF($B260="","",TEXT($B260,"ddd"))</f>
        <v/>
      </c>
      <c r="D260" s="40" t="n"/>
      <c r="E260" s="40" t="n"/>
      <c r="F260" s="15">
        <f>IF(OR($B260="",$D260="",$E260=""),"",ROUND(($E260-$D260)*24,2))</f>
        <v/>
      </c>
      <c r="G260" s="14" t="n"/>
      <c r="H260" s="15">
        <f>IF($G260="","",IFERROR(_xlfn.XLOOKUP($G260,nrCHname,nrCHnum),""))</f>
        <v/>
      </c>
      <c r="I260" s="14" t="n"/>
      <c r="J260" s="14" t="n"/>
      <c r="K260" s="15">
        <f>IF($B260="","",IFERROR(_xlfn.XLOOKUP($B260,nrCDdate,nrCDweek),""))</f>
        <v/>
      </c>
      <c r="L260" s="15">
        <f>IF($B260="","",IFERROR(_xlfn.XLOOKUP($B260,nrCDdate,nrCDnum),""))</f>
        <v/>
      </c>
      <c r="M260" s="14" t="n"/>
    </row>
    <row r="261">
      <c r="B261" s="16" t="n"/>
      <c r="C261" s="15">
        <f>IF($B261="","",TEXT($B261,"ddd"))</f>
        <v/>
      </c>
      <c r="D261" s="40" t="n"/>
      <c r="E261" s="40" t="n"/>
      <c r="F261" s="15">
        <f>IF(OR($B261="",$D261="",$E261=""),"",ROUND(($E261-$D261)*24,2))</f>
        <v/>
      </c>
      <c r="G261" s="14" t="n"/>
      <c r="H261" s="15">
        <f>IF($G261="","",IFERROR(_xlfn.XLOOKUP($G261,nrCHname,nrCHnum),""))</f>
        <v/>
      </c>
      <c r="I261" s="14" t="n"/>
      <c r="J261" s="14" t="n"/>
      <c r="K261" s="15">
        <f>IF($B261="","",IFERROR(_xlfn.XLOOKUP($B261,nrCDdate,nrCDweek),""))</f>
        <v/>
      </c>
      <c r="L261" s="15">
        <f>IF($B261="","",IFERROR(_xlfn.XLOOKUP($B261,nrCDdate,nrCDnum),""))</f>
        <v/>
      </c>
      <c r="M261" s="14" t="n"/>
    </row>
    <row r="262">
      <c r="B262" s="16" t="n"/>
      <c r="C262" s="15">
        <f>IF($B262="","",TEXT($B262,"ddd"))</f>
        <v/>
      </c>
      <c r="D262" s="40" t="n"/>
      <c r="E262" s="40" t="n"/>
      <c r="F262" s="15">
        <f>IF(OR($B262="",$D262="",$E262=""),"",ROUND(($E262-$D262)*24,2))</f>
        <v/>
      </c>
      <c r="G262" s="14" t="n"/>
      <c r="H262" s="15">
        <f>IF($G262="","",IFERROR(_xlfn.XLOOKUP($G262,nrCHname,nrCHnum),""))</f>
        <v/>
      </c>
      <c r="I262" s="14" t="n"/>
      <c r="J262" s="14" t="n"/>
      <c r="K262" s="15">
        <f>IF($B262="","",IFERROR(_xlfn.XLOOKUP($B262,nrCDdate,nrCDweek),""))</f>
        <v/>
      </c>
      <c r="L262" s="15">
        <f>IF($B262="","",IFERROR(_xlfn.XLOOKUP($B262,nrCDdate,nrCDnum),""))</f>
        <v/>
      </c>
      <c r="M262" s="14" t="n"/>
    </row>
    <row r="263">
      <c r="B263" s="16" t="n"/>
      <c r="C263" s="15">
        <f>IF($B263="","",TEXT($B263,"ddd"))</f>
        <v/>
      </c>
      <c r="D263" s="40" t="n"/>
      <c r="E263" s="40" t="n"/>
      <c r="F263" s="15">
        <f>IF(OR($B263="",$D263="",$E263=""),"",ROUND(($E263-$D263)*24,2))</f>
        <v/>
      </c>
      <c r="G263" s="14" t="n"/>
      <c r="H263" s="15">
        <f>IF($G263="","",IFERROR(_xlfn.XLOOKUP($G263,nrCHname,nrCHnum),""))</f>
        <v/>
      </c>
      <c r="I263" s="14" t="n"/>
      <c r="J263" s="14" t="n"/>
      <c r="K263" s="15">
        <f>IF($B263="","",IFERROR(_xlfn.XLOOKUP($B263,nrCDdate,nrCDweek),""))</f>
        <v/>
      </c>
      <c r="L263" s="15">
        <f>IF($B263="","",IFERROR(_xlfn.XLOOKUP($B263,nrCDdate,nrCDnum),""))</f>
        <v/>
      </c>
      <c r="M263" s="14" t="n"/>
    </row>
    <row r="264">
      <c r="B264" s="16" t="n"/>
      <c r="C264" s="15">
        <f>IF($B264="","",TEXT($B264,"ddd"))</f>
        <v/>
      </c>
      <c r="D264" s="40" t="n"/>
      <c r="E264" s="40" t="n"/>
      <c r="F264" s="15">
        <f>IF(OR($B264="",$D264="",$E264=""),"",ROUND(($E264-$D264)*24,2))</f>
        <v/>
      </c>
      <c r="G264" s="14" t="n"/>
      <c r="H264" s="15">
        <f>IF($G264="","",IFERROR(_xlfn.XLOOKUP($G264,nrCHname,nrCHnum),""))</f>
        <v/>
      </c>
      <c r="I264" s="14" t="n"/>
      <c r="J264" s="14" t="n"/>
      <c r="K264" s="15">
        <f>IF($B264="","",IFERROR(_xlfn.XLOOKUP($B264,nrCDdate,nrCDweek),""))</f>
        <v/>
      </c>
      <c r="L264" s="15">
        <f>IF($B264="","",IFERROR(_xlfn.XLOOKUP($B264,nrCDdate,nrCDnum),""))</f>
        <v/>
      </c>
      <c r="M264" s="14" t="n"/>
    </row>
    <row r="265">
      <c r="B265" s="16" t="n"/>
      <c r="C265" s="15">
        <f>IF($B265="","",TEXT($B265,"ddd"))</f>
        <v/>
      </c>
      <c r="D265" s="40" t="n"/>
      <c r="E265" s="40" t="n"/>
      <c r="F265" s="15">
        <f>IF(OR($B265="",$D265="",$E265=""),"",ROUND(($E265-$D265)*24,2))</f>
        <v/>
      </c>
      <c r="G265" s="14" t="n"/>
      <c r="H265" s="15">
        <f>IF($G265="","",IFERROR(_xlfn.XLOOKUP($G265,nrCHname,nrCHnum),""))</f>
        <v/>
      </c>
      <c r="I265" s="14" t="n"/>
      <c r="J265" s="14" t="n"/>
      <c r="K265" s="15">
        <f>IF($B265="","",IFERROR(_xlfn.XLOOKUP($B265,nrCDdate,nrCDweek),""))</f>
        <v/>
      </c>
      <c r="L265" s="15">
        <f>IF($B265="","",IFERROR(_xlfn.XLOOKUP($B265,nrCDdate,nrCDnum),""))</f>
        <v/>
      </c>
      <c r="M265" s="14" t="n"/>
    </row>
    <row r="266">
      <c r="B266" s="16" t="n"/>
      <c r="C266" s="15">
        <f>IF($B266="","",TEXT($B266,"ddd"))</f>
        <v/>
      </c>
      <c r="D266" s="40" t="n"/>
      <c r="E266" s="40" t="n"/>
      <c r="F266" s="15">
        <f>IF(OR($B266="",$D266="",$E266=""),"",ROUND(($E266-$D266)*24,2))</f>
        <v/>
      </c>
      <c r="G266" s="14" t="n"/>
      <c r="H266" s="15">
        <f>IF($G266="","",IFERROR(_xlfn.XLOOKUP($G266,nrCHname,nrCHnum),""))</f>
        <v/>
      </c>
      <c r="I266" s="14" t="n"/>
      <c r="J266" s="14" t="n"/>
      <c r="K266" s="15">
        <f>IF($B266="","",IFERROR(_xlfn.XLOOKUP($B266,nrCDdate,nrCDweek),""))</f>
        <v/>
      </c>
      <c r="L266" s="15">
        <f>IF($B266="","",IFERROR(_xlfn.XLOOKUP($B266,nrCDdate,nrCDnum),""))</f>
        <v/>
      </c>
      <c r="M266" s="14" t="n"/>
    </row>
    <row r="267">
      <c r="B267" s="16" t="n"/>
      <c r="C267" s="15">
        <f>IF($B267="","",TEXT($B267,"ddd"))</f>
        <v/>
      </c>
      <c r="D267" s="40" t="n"/>
      <c r="E267" s="40" t="n"/>
      <c r="F267" s="15">
        <f>IF(OR($B267="",$D267="",$E267=""),"",ROUND(($E267-$D267)*24,2))</f>
        <v/>
      </c>
      <c r="G267" s="14" t="n"/>
      <c r="H267" s="15">
        <f>IF($G267="","",IFERROR(_xlfn.XLOOKUP($G267,nrCHname,nrCHnum),""))</f>
        <v/>
      </c>
      <c r="I267" s="14" t="n"/>
      <c r="J267" s="14" t="n"/>
      <c r="K267" s="15">
        <f>IF($B267="","",IFERROR(_xlfn.XLOOKUP($B267,nrCDdate,nrCDweek),""))</f>
        <v/>
      </c>
      <c r="L267" s="15">
        <f>IF($B267="","",IFERROR(_xlfn.XLOOKUP($B267,nrCDdate,nrCDnum),""))</f>
        <v/>
      </c>
      <c r="M267" s="14" t="n"/>
    </row>
    <row r="268">
      <c r="B268" s="16" t="n"/>
      <c r="C268" s="15">
        <f>IF($B268="","",TEXT($B268,"ddd"))</f>
        <v/>
      </c>
      <c r="D268" s="40" t="n"/>
      <c r="E268" s="40" t="n"/>
      <c r="F268" s="15">
        <f>IF(OR($B268="",$D268="",$E268=""),"",ROUND(($E268-$D268)*24,2))</f>
        <v/>
      </c>
      <c r="G268" s="14" t="n"/>
      <c r="H268" s="15">
        <f>IF($G268="","",IFERROR(_xlfn.XLOOKUP($G268,nrCHname,nrCHnum),""))</f>
        <v/>
      </c>
      <c r="I268" s="14" t="n"/>
      <c r="J268" s="14" t="n"/>
      <c r="K268" s="15">
        <f>IF($B268="","",IFERROR(_xlfn.XLOOKUP($B268,nrCDdate,nrCDweek),""))</f>
        <v/>
      </c>
      <c r="L268" s="15">
        <f>IF($B268="","",IFERROR(_xlfn.XLOOKUP($B268,nrCDdate,nrCDnum),""))</f>
        <v/>
      </c>
      <c r="M268" s="14" t="n"/>
    </row>
    <row r="269">
      <c r="B269" s="16" t="n"/>
      <c r="C269" s="15">
        <f>IF($B269="","",TEXT($B269,"ddd"))</f>
        <v/>
      </c>
      <c r="D269" s="40" t="n"/>
      <c r="E269" s="40" t="n"/>
      <c r="F269" s="15">
        <f>IF(OR($B269="",$D269="",$E269=""),"",ROUND(($E269-$D269)*24,2))</f>
        <v/>
      </c>
      <c r="G269" s="14" t="n"/>
      <c r="H269" s="15">
        <f>IF($G269="","",IFERROR(_xlfn.XLOOKUP($G269,nrCHname,nrCHnum),""))</f>
        <v/>
      </c>
      <c r="I269" s="14" t="n"/>
      <c r="J269" s="14" t="n"/>
      <c r="K269" s="15">
        <f>IF($B269="","",IFERROR(_xlfn.XLOOKUP($B269,nrCDdate,nrCDweek),""))</f>
        <v/>
      </c>
      <c r="L269" s="15">
        <f>IF($B269="","",IFERROR(_xlfn.XLOOKUP($B269,nrCDdate,nrCDnum),""))</f>
        <v/>
      </c>
      <c r="M269" s="14" t="n"/>
    </row>
    <row r="270">
      <c r="B270" s="16" t="n"/>
      <c r="C270" s="15">
        <f>IF($B270="","",TEXT($B270,"ddd"))</f>
        <v/>
      </c>
      <c r="D270" s="40" t="n"/>
      <c r="E270" s="40" t="n"/>
      <c r="F270" s="15">
        <f>IF(OR($B270="",$D270="",$E270=""),"",ROUND(($E270-$D270)*24,2))</f>
        <v/>
      </c>
      <c r="G270" s="14" t="n"/>
      <c r="H270" s="15">
        <f>IF($G270="","",IFERROR(_xlfn.XLOOKUP($G270,nrCHname,nrCHnum),""))</f>
        <v/>
      </c>
      <c r="I270" s="14" t="n"/>
      <c r="J270" s="14" t="n"/>
      <c r="K270" s="15">
        <f>IF($B270="","",IFERROR(_xlfn.XLOOKUP($B270,nrCDdate,nrCDweek),""))</f>
        <v/>
      </c>
      <c r="L270" s="15">
        <f>IF($B270="","",IFERROR(_xlfn.XLOOKUP($B270,nrCDdate,nrCDnum),""))</f>
        <v/>
      </c>
      <c r="M270" s="14" t="n"/>
    </row>
    <row r="271">
      <c r="B271" s="16" t="n"/>
      <c r="C271" s="15">
        <f>IF($B271="","",TEXT($B271,"ddd"))</f>
        <v/>
      </c>
      <c r="D271" s="40" t="n"/>
      <c r="E271" s="40" t="n"/>
      <c r="F271" s="15">
        <f>IF(OR($B271="",$D271="",$E271=""),"",ROUND(($E271-$D271)*24,2))</f>
        <v/>
      </c>
      <c r="G271" s="14" t="n"/>
      <c r="H271" s="15">
        <f>IF($G271="","",IFERROR(_xlfn.XLOOKUP($G271,nrCHname,nrCHnum),""))</f>
        <v/>
      </c>
      <c r="I271" s="14" t="n"/>
      <c r="J271" s="14" t="n"/>
      <c r="K271" s="15">
        <f>IF($B271="","",IFERROR(_xlfn.XLOOKUP($B271,nrCDdate,nrCDweek),""))</f>
        <v/>
      </c>
      <c r="L271" s="15">
        <f>IF($B271="","",IFERROR(_xlfn.XLOOKUP($B271,nrCDdate,nrCDnum),""))</f>
        <v/>
      </c>
      <c r="M271" s="14" t="n"/>
    </row>
    <row r="272">
      <c r="B272" s="16" t="n"/>
      <c r="C272" s="15">
        <f>IF($B272="","",TEXT($B272,"ddd"))</f>
        <v/>
      </c>
      <c r="D272" s="40" t="n"/>
      <c r="E272" s="40" t="n"/>
      <c r="F272" s="15">
        <f>IF(OR($B272="",$D272="",$E272=""),"",ROUND(($E272-$D272)*24,2))</f>
        <v/>
      </c>
      <c r="G272" s="14" t="n"/>
      <c r="H272" s="15">
        <f>IF($G272="","",IFERROR(_xlfn.XLOOKUP($G272,nrCHname,nrCHnum),""))</f>
        <v/>
      </c>
      <c r="I272" s="14" t="n"/>
      <c r="J272" s="14" t="n"/>
      <c r="K272" s="15">
        <f>IF($B272="","",IFERROR(_xlfn.XLOOKUP($B272,nrCDdate,nrCDweek),""))</f>
        <v/>
      </c>
      <c r="L272" s="15">
        <f>IF($B272="","",IFERROR(_xlfn.XLOOKUP($B272,nrCDdate,nrCDnum),""))</f>
        <v/>
      </c>
      <c r="M272" s="14" t="n"/>
    </row>
    <row r="273">
      <c r="B273" s="16" t="n"/>
      <c r="C273" s="15">
        <f>IF($B273="","",TEXT($B273,"ddd"))</f>
        <v/>
      </c>
      <c r="D273" s="40" t="n"/>
      <c r="E273" s="40" t="n"/>
      <c r="F273" s="15">
        <f>IF(OR($B273="",$D273="",$E273=""),"",ROUND(($E273-$D273)*24,2))</f>
        <v/>
      </c>
      <c r="G273" s="14" t="n"/>
      <c r="H273" s="15">
        <f>IF($G273="","",IFERROR(_xlfn.XLOOKUP($G273,nrCHname,nrCHnum),""))</f>
        <v/>
      </c>
      <c r="I273" s="14" t="n"/>
      <c r="J273" s="14" t="n"/>
      <c r="K273" s="15">
        <f>IF($B273="","",IFERROR(_xlfn.XLOOKUP($B273,nrCDdate,nrCDweek),""))</f>
        <v/>
      </c>
      <c r="L273" s="15">
        <f>IF($B273="","",IFERROR(_xlfn.XLOOKUP($B273,nrCDdate,nrCDnum),""))</f>
        <v/>
      </c>
      <c r="M273" s="14" t="n"/>
    </row>
    <row r="274">
      <c r="B274" s="16" t="n"/>
      <c r="C274" s="15">
        <f>IF($B274="","",TEXT($B274,"ddd"))</f>
        <v/>
      </c>
      <c r="D274" s="40" t="n"/>
      <c r="E274" s="40" t="n"/>
      <c r="F274" s="15">
        <f>IF(OR($B274="",$D274="",$E274=""),"",ROUND(($E274-$D274)*24,2))</f>
        <v/>
      </c>
      <c r="G274" s="14" t="n"/>
      <c r="H274" s="15">
        <f>IF($G274="","",IFERROR(_xlfn.XLOOKUP($G274,nrCHname,nrCHnum),""))</f>
        <v/>
      </c>
      <c r="I274" s="14" t="n"/>
      <c r="J274" s="14" t="n"/>
      <c r="K274" s="15">
        <f>IF($B274="","",IFERROR(_xlfn.XLOOKUP($B274,nrCDdate,nrCDweek),""))</f>
        <v/>
      </c>
      <c r="L274" s="15">
        <f>IF($B274="","",IFERROR(_xlfn.XLOOKUP($B274,nrCDdate,nrCDnum),""))</f>
        <v/>
      </c>
      <c r="M274" s="14" t="n"/>
    </row>
    <row r="275">
      <c r="B275" s="16" t="n"/>
      <c r="C275" s="15">
        <f>IF($B275="","",TEXT($B275,"ddd"))</f>
        <v/>
      </c>
      <c r="D275" s="40" t="n"/>
      <c r="E275" s="40" t="n"/>
      <c r="F275" s="15">
        <f>IF(OR($B275="",$D275="",$E275=""),"",ROUND(($E275-$D275)*24,2))</f>
        <v/>
      </c>
      <c r="G275" s="14" t="n"/>
      <c r="H275" s="15">
        <f>IF($G275="","",IFERROR(_xlfn.XLOOKUP($G275,nrCHname,nrCHnum),""))</f>
        <v/>
      </c>
      <c r="I275" s="14" t="n"/>
      <c r="J275" s="14" t="n"/>
      <c r="K275" s="15">
        <f>IF($B275="","",IFERROR(_xlfn.XLOOKUP($B275,nrCDdate,nrCDweek),""))</f>
        <v/>
      </c>
      <c r="L275" s="15">
        <f>IF($B275="","",IFERROR(_xlfn.XLOOKUP($B275,nrCDdate,nrCDnum),""))</f>
        <v/>
      </c>
      <c r="M275" s="14" t="n"/>
    </row>
    <row r="276">
      <c r="B276" s="16" t="n"/>
      <c r="C276" s="15">
        <f>IF($B276="","",TEXT($B276,"ddd"))</f>
        <v/>
      </c>
      <c r="D276" s="40" t="n"/>
      <c r="E276" s="40" t="n"/>
      <c r="F276" s="15">
        <f>IF(OR($B276="",$D276="",$E276=""),"",ROUND(($E276-$D276)*24,2))</f>
        <v/>
      </c>
      <c r="G276" s="14" t="n"/>
      <c r="H276" s="15">
        <f>IF($G276="","",IFERROR(_xlfn.XLOOKUP($G276,nrCHname,nrCHnum),""))</f>
        <v/>
      </c>
      <c r="I276" s="14" t="n"/>
      <c r="J276" s="14" t="n"/>
      <c r="K276" s="15">
        <f>IF($B276="","",IFERROR(_xlfn.XLOOKUP($B276,nrCDdate,nrCDweek),""))</f>
        <v/>
      </c>
      <c r="L276" s="15">
        <f>IF($B276="","",IFERROR(_xlfn.XLOOKUP($B276,nrCDdate,nrCDnum),""))</f>
        <v/>
      </c>
      <c r="M276" s="14" t="n"/>
    </row>
    <row r="277">
      <c r="B277" s="16" t="n"/>
      <c r="C277" s="15">
        <f>IF($B277="","",TEXT($B277,"ddd"))</f>
        <v/>
      </c>
      <c r="D277" s="40" t="n"/>
      <c r="E277" s="40" t="n"/>
      <c r="F277" s="15">
        <f>IF(OR($B277="",$D277="",$E277=""),"",ROUND(($E277-$D277)*24,2))</f>
        <v/>
      </c>
      <c r="G277" s="14" t="n"/>
      <c r="H277" s="15">
        <f>IF($G277="","",IFERROR(_xlfn.XLOOKUP($G277,nrCHname,nrCHnum),""))</f>
        <v/>
      </c>
      <c r="I277" s="14" t="n"/>
      <c r="J277" s="14" t="n"/>
      <c r="K277" s="15">
        <f>IF($B277="","",IFERROR(_xlfn.XLOOKUP($B277,nrCDdate,nrCDweek),""))</f>
        <v/>
      </c>
      <c r="L277" s="15">
        <f>IF($B277="","",IFERROR(_xlfn.XLOOKUP($B277,nrCDdate,nrCDnum),""))</f>
        <v/>
      </c>
      <c r="M277" s="14" t="n"/>
    </row>
    <row r="278">
      <c r="B278" s="16" t="n"/>
      <c r="C278" s="15">
        <f>IF($B278="","",TEXT($B278,"ddd"))</f>
        <v/>
      </c>
      <c r="D278" s="40" t="n"/>
      <c r="E278" s="40" t="n"/>
      <c r="F278" s="15">
        <f>IF(OR($B278="",$D278="",$E278=""),"",ROUND(($E278-$D278)*24,2))</f>
        <v/>
      </c>
      <c r="G278" s="14" t="n"/>
      <c r="H278" s="15">
        <f>IF($G278="","",IFERROR(_xlfn.XLOOKUP($G278,nrCHname,nrCHnum),""))</f>
        <v/>
      </c>
      <c r="I278" s="14" t="n"/>
      <c r="J278" s="14" t="n"/>
      <c r="K278" s="15">
        <f>IF($B278="","",IFERROR(_xlfn.XLOOKUP($B278,nrCDdate,nrCDweek),""))</f>
        <v/>
      </c>
      <c r="L278" s="15">
        <f>IF($B278="","",IFERROR(_xlfn.XLOOKUP($B278,nrCDdate,nrCDnum),""))</f>
        <v/>
      </c>
      <c r="M278" s="14" t="n"/>
    </row>
    <row r="279">
      <c r="B279" s="16" t="n"/>
      <c r="C279" s="15">
        <f>IF($B279="","",TEXT($B279,"ddd"))</f>
        <v/>
      </c>
      <c r="D279" s="40" t="n"/>
      <c r="E279" s="40" t="n"/>
      <c r="F279" s="15">
        <f>IF(OR($B279="",$D279="",$E279=""),"",ROUND(($E279-$D279)*24,2))</f>
        <v/>
      </c>
      <c r="G279" s="14" t="n"/>
      <c r="H279" s="15">
        <f>IF($G279="","",IFERROR(_xlfn.XLOOKUP($G279,nrCHname,nrCHnum),""))</f>
        <v/>
      </c>
      <c r="I279" s="14" t="n"/>
      <c r="J279" s="14" t="n"/>
      <c r="K279" s="15">
        <f>IF($B279="","",IFERROR(_xlfn.XLOOKUP($B279,nrCDdate,nrCDweek),""))</f>
        <v/>
      </c>
      <c r="L279" s="15">
        <f>IF($B279="","",IFERROR(_xlfn.XLOOKUP($B279,nrCDdate,nrCDnum),""))</f>
        <v/>
      </c>
      <c r="M279" s="14" t="n"/>
    </row>
    <row r="280">
      <c r="B280" s="16" t="n"/>
      <c r="C280" s="15">
        <f>IF($B280="","",TEXT($B280,"ddd"))</f>
        <v/>
      </c>
      <c r="D280" s="40" t="n"/>
      <c r="E280" s="40" t="n"/>
      <c r="F280" s="15">
        <f>IF(OR($B280="",$D280="",$E280=""),"",ROUND(($E280-$D280)*24,2))</f>
        <v/>
      </c>
      <c r="G280" s="14" t="n"/>
      <c r="H280" s="15">
        <f>IF($G280="","",IFERROR(_xlfn.XLOOKUP($G280,nrCHname,nrCHnum),""))</f>
        <v/>
      </c>
      <c r="I280" s="14" t="n"/>
      <c r="J280" s="14" t="n"/>
      <c r="K280" s="15">
        <f>IF($B280="","",IFERROR(_xlfn.XLOOKUP($B280,nrCDdate,nrCDweek),""))</f>
        <v/>
      </c>
      <c r="L280" s="15">
        <f>IF($B280="","",IFERROR(_xlfn.XLOOKUP($B280,nrCDdate,nrCDnum),""))</f>
        <v/>
      </c>
      <c r="M280" s="14" t="n"/>
    </row>
    <row r="281">
      <c r="B281" s="16" t="n"/>
      <c r="C281" s="15">
        <f>IF($B281="","",TEXT($B281,"ddd"))</f>
        <v/>
      </c>
      <c r="D281" s="40" t="n"/>
      <c r="E281" s="40" t="n"/>
      <c r="F281" s="15">
        <f>IF(OR($B281="",$D281="",$E281=""),"",ROUND(($E281-$D281)*24,2))</f>
        <v/>
      </c>
      <c r="G281" s="14" t="n"/>
      <c r="H281" s="15">
        <f>IF($G281="","",IFERROR(_xlfn.XLOOKUP($G281,nrCHname,nrCHnum),""))</f>
        <v/>
      </c>
      <c r="I281" s="14" t="n"/>
      <c r="J281" s="14" t="n"/>
      <c r="K281" s="15">
        <f>IF($B281="","",IFERROR(_xlfn.XLOOKUP($B281,nrCDdate,nrCDweek),""))</f>
        <v/>
      </c>
      <c r="L281" s="15">
        <f>IF($B281="","",IFERROR(_xlfn.XLOOKUP($B281,nrCDdate,nrCDnum),""))</f>
        <v/>
      </c>
      <c r="M281" s="14" t="n"/>
    </row>
    <row r="282">
      <c r="B282" s="16" t="n"/>
      <c r="C282" s="15">
        <f>IF($B282="","",TEXT($B282,"ddd"))</f>
        <v/>
      </c>
      <c r="D282" s="40" t="n"/>
      <c r="E282" s="40" t="n"/>
      <c r="F282" s="15">
        <f>IF(OR($B282="",$D282="",$E282=""),"",ROUND(($E282-$D282)*24,2))</f>
        <v/>
      </c>
      <c r="G282" s="14" t="n"/>
      <c r="H282" s="15">
        <f>IF($G282="","",IFERROR(_xlfn.XLOOKUP($G282,nrCHname,nrCHnum),""))</f>
        <v/>
      </c>
      <c r="I282" s="14" t="n"/>
      <c r="J282" s="14" t="n"/>
      <c r="K282" s="15">
        <f>IF($B282="","",IFERROR(_xlfn.XLOOKUP($B282,nrCDdate,nrCDweek),""))</f>
        <v/>
      </c>
      <c r="L282" s="15">
        <f>IF($B282="","",IFERROR(_xlfn.XLOOKUP($B282,nrCDdate,nrCDnum),""))</f>
        <v/>
      </c>
      <c r="M282" s="14" t="n"/>
    </row>
    <row r="283">
      <c r="B283" s="16" t="n"/>
      <c r="C283" s="15">
        <f>IF($B283="","",TEXT($B283,"ddd"))</f>
        <v/>
      </c>
      <c r="D283" s="40" t="n"/>
      <c r="E283" s="40" t="n"/>
      <c r="F283" s="15">
        <f>IF(OR($B283="",$D283="",$E283=""),"",ROUND(($E283-$D283)*24,2))</f>
        <v/>
      </c>
      <c r="G283" s="14" t="n"/>
      <c r="H283" s="15">
        <f>IF($G283="","",IFERROR(_xlfn.XLOOKUP($G283,nrCHname,nrCHnum),""))</f>
        <v/>
      </c>
      <c r="I283" s="14" t="n"/>
      <c r="J283" s="14" t="n"/>
      <c r="K283" s="15">
        <f>IF($B283="","",IFERROR(_xlfn.XLOOKUP($B283,nrCDdate,nrCDweek),""))</f>
        <v/>
      </c>
      <c r="L283" s="15">
        <f>IF($B283="","",IFERROR(_xlfn.XLOOKUP($B283,nrCDdate,nrCDnum),""))</f>
        <v/>
      </c>
      <c r="M283" s="14" t="n"/>
    </row>
    <row r="284">
      <c r="B284" s="16" t="n"/>
      <c r="C284" s="15">
        <f>IF($B284="","",TEXT($B284,"ddd"))</f>
        <v/>
      </c>
      <c r="D284" s="40" t="n"/>
      <c r="E284" s="40" t="n"/>
      <c r="F284" s="15">
        <f>IF(OR($B284="",$D284="",$E284=""),"",ROUND(($E284-$D284)*24,2))</f>
        <v/>
      </c>
      <c r="G284" s="14" t="n"/>
      <c r="H284" s="15">
        <f>IF($G284="","",IFERROR(_xlfn.XLOOKUP($G284,nrCHname,nrCHnum),""))</f>
        <v/>
      </c>
      <c r="I284" s="14" t="n"/>
      <c r="J284" s="14" t="n"/>
      <c r="K284" s="15">
        <f>IF($B284="","",IFERROR(_xlfn.XLOOKUP($B284,nrCDdate,nrCDweek),""))</f>
        <v/>
      </c>
      <c r="L284" s="15">
        <f>IF($B284="","",IFERROR(_xlfn.XLOOKUP($B284,nrCDdate,nrCDnum),""))</f>
        <v/>
      </c>
      <c r="M284" s="14" t="n"/>
    </row>
    <row r="285">
      <c r="B285" s="16" t="n"/>
      <c r="C285" s="15">
        <f>IF($B285="","",TEXT($B285,"ddd"))</f>
        <v/>
      </c>
      <c r="D285" s="40" t="n"/>
      <c r="E285" s="40" t="n"/>
      <c r="F285" s="15">
        <f>IF(OR($B285="",$D285="",$E285=""),"",ROUND(($E285-$D285)*24,2))</f>
        <v/>
      </c>
      <c r="G285" s="14" t="n"/>
      <c r="H285" s="15">
        <f>IF($G285="","",IFERROR(_xlfn.XLOOKUP($G285,nrCHname,nrCHnum),""))</f>
        <v/>
      </c>
      <c r="I285" s="14" t="n"/>
      <c r="J285" s="14" t="n"/>
      <c r="K285" s="15">
        <f>IF($B285="","",IFERROR(_xlfn.XLOOKUP($B285,nrCDdate,nrCDweek),""))</f>
        <v/>
      </c>
      <c r="L285" s="15">
        <f>IF($B285="","",IFERROR(_xlfn.XLOOKUP($B285,nrCDdate,nrCDnum),""))</f>
        <v/>
      </c>
      <c r="M285" s="14" t="n"/>
    </row>
    <row r="286">
      <c r="B286" s="16" t="n"/>
      <c r="C286" s="15">
        <f>IF($B286="","",TEXT($B286,"ddd"))</f>
        <v/>
      </c>
      <c r="D286" s="40" t="n"/>
      <c r="E286" s="40" t="n"/>
      <c r="F286" s="15">
        <f>IF(OR($B286="",$D286="",$E286=""),"",ROUND(($E286-$D286)*24,2))</f>
        <v/>
      </c>
      <c r="G286" s="14" t="n"/>
      <c r="H286" s="15">
        <f>IF($G286="","",IFERROR(_xlfn.XLOOKUP($G286,nrCHname,nrCHnum),""))</f>
        <v/>
      </c>
      <c r="I286" s="14" t="n"/>
      <c r="J286" s="14" t="n"/>
      <c r="K286" s="15">
        <f>IF($B286="","",IFERROR(_xlfn.XLOOKUP($B286,nrCDdate,nrCDweek),""))</f>
        <v/>
      </c>
      <c r="L286" s="15">
        <f>IF($B286="","",IFERROR(_xlfn.XLOOKUP($B286,nrCDdate,nrCDnum),""))</f>
        <v/>
      </c>
      <c r="M286" s="14" t="n"/>
    </row>
    <row r="287">
      <c r="B287" s="16" t="n"/>
      <c r="C287" s="15">
        <f>IF($B287="","",TEXT($B287,"ddd"))</f>
        <v/>
      </c>
      <c r="D287" s="40" t="n"/>
      <c r="E287" s="40" t="n"/>
      <c r="F287" s="15">
        <f>IF(OR($B287="",$D287="",$E287=""),"",ROUND(($E287-$D287)*24,2))</f>
        <v/>
      </c>
      <c r="G287" s="14" t="n"/>
      <c r="H287" s="15">
        <f>IF($G287="","",IFERROR(_xlfn.XLOOKUP($G287,nrCHname,nrCHnum),""))</f>
        <v/>
      </c>
      <c r="I287" s="14" t="n"/>
      <c r="J287" s="14" t="n"/>
      <c r="K287" s="15">
        <f>IF($B287="","",IFERROR(_xlfn.XLOOKUP($B287,nrCDdate,nrCDweek),""))</f>
        <v/>
      </c>
      <c r="L287" s="15">
        <f>IF($B287="","",IFERROR(_xlfn.XLOOKUP($B287,nrCDdate,nrCDnum),""))</f>
        <v/>
      </c>
      <c r="M287" s="14" t="n"/>
    </row>
    <row r="288">
      <c r="B288" s="16" t="n"/>
      <c r="C288" s="15">
        <f>IF($B288="","",TEXT($B288,"ddd"))</f>
        <v/>
      </c>
      <c r="D288" s="40" t="n"/>
      <c r="E288" s="40" t="n"/>
      <c r="F288" s="15">
        <f>IF(OR($B288="",$D288="",$E288=""),"",ROUND(($E288-$D288)*24,2))</f>
        <v/>
      </c>
      <c r="G288" s="14" t="n"/>
      <c r="H288" s="15">
        <f>IF($G288="","",IFERROR(_xlfn.XLOOKUP($G288,nrCHname,nrCHnum),""))</f>
        <v/>
      </c>
      <c r="I288" s="14" t="n"/>
      <c r="J288" s="14" t="n"/>
      <c r="K288" s="15">
        <f>IF($B288="","",IFERROR(_xlfn.XLOOKUP($B288,nrCDdate,nrCDweek),""))</f>
        <v/>
      </c>
      <c r="L288" s="15">
        <f>IF($B288="","",IFERROR(_xlfn.XLOOKUP($B288,nrCDdate,nrCDnum),""))</f>
        <v/>
      </c>
      <c r="M288" s="14" t="n"/>
    </row>
    <row r="289">
      <c r="B289" s="16" t="n"/>
      <c r="C289" s="15">
        <f>IF($B289="","",TEXT($B289,"ddd"))</f>
        <v/>
      </c>
      <c r="D289" s="40" t="n"/>
      <c r="E289" s="40" t="n"/>
      <c r="F289" s="15">
        <f>IF(OR($B289="",$D289="",$E289=""),"",ROUND(($E289-$D289)*24,2))</f>
        <v/>
      </c>
      <c r="G289" s="14" t="n"/>
      <c r="H289" s="15">
        <f>IF($G289="","",IFERROR(_xlfn.XLOOKUP($G289,nrCHname,nrCHnum),""))</f>
        <v/>
      </c>
      <c r="I289" s="14" t="n"/>
      <c r="J289" s="14" t="n"/>
      <c r="K289" s="15">
        <f>IF($B289="","",IFERROR(_xlfn.XLOOKUP($B289,nrCDdate,nrCDweek),""))</f>
        <v/>
      </c>
      <c r="L289" s="15">
        <f>IF($B289="","",IFERROR(_xlfn.XLOOKUP($B289,nrCDdate,nrCDnum),""))</f>
        <v/>
      </c>
      <c r="M289" s="14" t="n"/>
    </row>
    <row r="290">
      <c r="B290" s="16" t="n"/>
      <c r="C290" s="15">
        <f>IF($B290="","",TEXT($B290,"ddd"))</f>
        <v/>
      </c>
      <c r="D290" s="40" t="n"/>
      <c r="E290" s="40" t="n"/>
      <c r="F290" s="15">
        <f>IF(OR($B290="",$D290="",$E290=""),"",ROUND(($E290-$D290)*24,2))</f>
        <v/>
      </c>
      <c r="G290" s="14" t="n"/>
      <c r="H290" s="15">
        <f>IF($G290="","",IFERROR(_xlfn.XLOOKUP($G290,nrCHname,nrCHnum),""))</f>
        <v/>
      </c>
      <c r="I290" s="14" t="n"/>
      <c r="J290" s="14" t="n"/>
      <c r="K290" s="15">
        <f>IF($B290="","",IFERROR(_xlfn.XLOOKUP($B290,nrCDdate,nrCDweek),""))</f>
        <v/>
      </c>
      <c r="L290" s="15">
        <f>IF($B290="","",IFERROR(_xlfn.XLOOKUP($B290,nrCDdate,nrCDnum),""))</f>
        <v/>
      </c>
      <c r="M290" s="14" t="n"/>
    </row>
    <row r="291">
      <c r="B291" s="16" t="n"/>
      <c r="C291" s="15">
        <f>IF($B291="","",TEXT($B291,"ddd"))</f>
        <v/>
      </c>
      <c r="D291" s="40" t="n"/>
      <c r="E291" s="40" t="n"/>
      <c r="F291" s="15">
        <f>IF(OR($B291="",$D291="",$E291=""),"",ROUND(($E291-$D291)*24,2))</f>
        <v/>
      </c>
      <c r="G291" s="14" t="n"/>
      <c r="H291" s="15">
        <f>IF($G291="","",IFERROR(_xlfn.XLOOKUP($G291,nrCHname,nrCHnum),""))</f>
        <v/>
      </c>
      <c r="I291" s="14" t="n"/>
      <c r="J291" s="14" t="n"/>
      <c r="K291" s="15">
        <f>IF($B291="","",IFERROR(_xlfn.XLOOKUP($B291,nrCDdate,nrCDweek),""))</f>
        <v/>
      </c>
      <c r="L291" s="15">
        <f>IF($B291="","",IFERROR(_xlfn.XLOOKUP($B291,nrCDdate,nrCDnum),""))</f>
        <v/>
      </c>
      <c r="M291" s="14" t="n"/>
    </row>
    <row r="292">
      <c r="B292" s="16" t="n"/>
      <c r="C292" s="15">
        <f>IF($B292="","",TEXT($B292,"ddd"))</f>
        <v/>
      </c>
      <c r="D292" s="40" t="n"/>
      <c r="E292" s="40" t="n"/>
      <c r="F292" s="15">
        <f>IF(OR($B292="",$D292="",$E292=""),"",ROUND(($E292-$D292)*24,2))</f>
        <v/>
      </c>
      <c r="G292" s="14" t="n"/>
      <c r="H292" s="15">
        <f>IF($G292="","",IFERROR(_xlfn.XLOOKUP($G292,nrCHname,nrCHnum),""))</f>
        <v/>
      </c>
      <c r="I292" s="14" t="n"/>
      <c r="J292" s="14" t="n"/>
      <c r="K292" s="15">
        <f>IF($B292="","",IFERROR(_xlfn.XLOOKUP($B292,nrCDdate,nrCDweek),""))</f>
        <v/>
      </c>
      <c r="L292" s="15">
        <f>IF($B292="","",IFERROR(_xlfn.XLOOKUP($B292,nrCDdate,nrCDnum),""))</f>
        <v/>
      </c>
      <c r="M292" s="14" t="n"/>
    </row>
    <row r="293">
      <c r="B293" s="16" t="n"/>
      <c r="C293" s="15">
        <f>IF($B293="","",TEXT($B293,"ddd"))</f>
        <v/>
      </c>
      <c r="D293" s="40" t="n"/>
      <c r="E293" s="40" t="n"/>
      <c r="F293" s="15">
        <f>IF(OR($B293="",$D293="",$E293=""),"",ROUND(($E293-$D293)*24,2))</f>
        <v/>
      </c>
      <c r="G293" s="14" t="n"/>
      <c r="H293" s="15">
        <f>IF($G293="","",IFERROR(_xlfn.XLOOKUP($G293,nrCHname,nrCHnum),""))</f>
        <v/>
      </c>
      <c r="I293" s="14" t="n"/>
      <c r="J293" s="14" t="n"/>
      <c r="K293" s="15">
        <f>IF($B293="","",IFERROR(_xlfn.XLOOKUP($B293,nrCDdate,nrCDweek),""))</f>
        <v/>
      </c>
      <c r="L293" s="15">
        <f>IF($B293="","",IFERROR(_xlfn.XLOOKUP($B293,nrCDdate,nrCDnum),""))</f>
        <v/>
      </c>
      <c r="M293" s="14" t="n"/>
    </row>
    <row r="294">
      <c r="B294" s="16" t="n"/>
      <c r="C294" s="15">
        <f>IF($B294="","",TEXT($B294,"ddd"))</f>
        <v/>
      </c>
      <c r="D294" s="40" t="n"/>
      <c r="E294" s="40" t="n"/>
      <c r="F294" s="15">
        <f>IF(OR($B294="",$D294="",$E294=""),"",ROUND(($E294-$D294)*24,2))</f>
        <v/>
      </c>
      <c r="G294" s="14" t="n"/>
      <c r="H294" s="15">
        <f>IF($G294="","",IFERROR(_xlfn.XLOOKUP($G294,nrCHname,nrCHnum),""))</f>
        <v/>
      </c>
      <c r="I294" s="14" t="n"/>
      <c r="J294" s="14" t="n"/>
      <c r="K294" s="15">
        <f>IF($B294="","",IFERROR(_xlfn.XLOOKUP($B294,nrCDdate,nrCDweek),""))</f>
        <v/>
      </c>
      <c r="L294" s="15">
        <f>IF($B294="","",IFERROR(_xlfn.XLOOKUP($B294,nrCDdate,nrCDnum),""))</f>
        <v/>
      </c>
      <c r="M294" s="14" t="n"/>
    </row>
    <row r="295">
      <c r="B295" s="16" t="n"/>
      <c r="C295" s="15">
        <f>IF($B295="","",TEXT($B295,"ddd"))</f>
        <v/>
      </c>
      <c r="D295" s="40" t="n"/>
      <c r="E295" s="40" t="n"/>
      <c r="F295" s="15">
        <f>IF(OR($B295="",$D295="",$E295=""),"",ROUND(($E295-$D295)*24,2))</f>
        <v/>
      </c>
      <c r="G295" s="14" t="n"/>
      <c r="H295" s="15">
        <f>IF($G295="","",IFERROR(_xlfn.XLOOKUP($G295,nrCHname,nrCHnum),""))</f>
        <v/>
      </c>
      <c r="I295" s="14" t="n"/>
      <c r="J295" s="14" t="n"/>
      <c r="K295" s="15">
        <f>IF($B295="","",IFERROR(_xlfn.XLOOKUP($B295,nrCDdate,nrCDweek),""))</f>
        <v/>
      </c>
      <c r="L295" s="15">
        <f>IF($B295="","",IFERROR(_xlfn.XLOOKUP($B295,nrCDdate,nrCDnum),""))</f>
        <v/>
      </c>
      <c r="M295" s="14" t="n"/>
    </row>
    <row r="296">
      <c r="B296" s="16" t="n"/>
      <c r="C296" s="15">
        <f>IF($B296="","",TEXT($B296,"ddd"))</f>
        <v/>
      </c>
      <c r="D296" s="40" t="n"/>
      <c r="E296" s="40" t="n"/>
      <c r="F296" s="15">
        <f>IF(OR($B296="",$D296="",$E296=""),"",ROUND(($E296-$D296)*24,2))</f>
        <v/>
      </c>
      <c r="G296" s="14" t="n"/>
      <c r="H296" s="15">
        <f>IF($G296="","",IFERROR(_xlfn.XLOOKUP($G296,nrCHname,nrCHnum),""))</f>
        <v/>
      </c>
      <c r="I296" s="14" t="n"/>
      <c r="J296" s="14" t="n"/>
      <c r="K296" s="15">
        <f>IF($B296="","",IFERROR(_xlfn.XLOOKUP($B296,nrCDdate,nrCDweek),""))</f>
        <v/>
      </c>
      <c r="L296" s="15">
        <f>IF($B296="","",IFERROR(_xlfn.XLOOKUP($B296,nrCDdate,nrCDnum),""))</f>
        <v/>
      </c>
      <c r="M296" s="14" t="n"/>
    </row>
    <row r="297">
      <c r="B297" s="16" t="n"/>
      <c r="C297" s="15">
        <f>IF($B297="","",TEXT($B297,"ddd"))</f>
        <v/>
      </c>
      <c r="D297" s="40" t="n"/>
      <c r="E297" s="40" t="n"/>
      <c r="F297" s="15">
        <f>IF(OR($B297="",$D297="",$E297=""),"",ROUND(($E297-$D297)*24,2))</f>
        <v/>
      </c>
      <c r="G297" s="14" t="n"/>
      <c r="H297" s="15">
        <f>IF($G297="","",IFERROR(_xlfn.XLOOKUP($G297,nrCHname,nrCHnum),""))</f>
        <v/>
      </c>
      <c r="I297" s="14" t="n"/>
      <c r="J297" s="14" t="n"/>
      <c r="K297" s="15">
        <f>IF($B297="","",IFERROR(_xlfn.XLOOKUP($B297,nrCDdate,nrCDweek),""))</f>
        <v/>
      </c>
      <c r="L297" s="15">
        <f>IF($B297="","",IFERROR(_xlfn.XLOOKUP($B297,nrCDdate,nrCDnum),""))</f>
        <v/>
      </c>
      <c r="M297" s="14" t="n"/>
    </row>
    <row r="298">
      <c r="B298" s="16" t="n"/>
      <c r="C298" s="15">
        <f>IF($B298="","",TEXT($B298,"ddd"))</f>
        <v/>
      </c>
      <c r="D298" s="40" t="n"/>
      <c r="E298" s="40" t="n"/>
      <c r="F298" s="15">
        <f>IF(OR($B298="",$D298="",$E298=""),"",ROUND(($E298-$D298)*24,2))</f>
        <v/>
      </c>
      <c r="G298" s="14" t="n"/>
      <c r="H298" s="15">
        <f>IF($G298="","",IFERROR(_xlfn.XLOOKUP($G298,nrCHname,nrCHnum),""))</f>
        <v/>
      </c>
      <c r="I298" s="14" t="n"/>
      <c r="J298" s="14" t="n"/>
      <c r="K298" s="15">
        <f>IF($B298="","",IFERROR(_xlfn.XLOOKUP($B298,nrCDdate,nrCDweek),""))</f>
        <v/>
      </c>
      <c r="L298" s="15">
        <f>IF($B298="","",IFERROR(_xlfn.XLOOKUP($B298,nrCDdate,nrCDnum),""))</f>
        <v/>
      </c>
      <c r="M298" s="14" t="n"/>
    </row>
    <row r="299">
      <c r="B299" s="16" t="n"/>
      <c r="C299" s="15">
        <f>IF($B299="","",TEXT($B299,"ddd"))</f>
        <v/>
      </c>
      <c r="D299" s="40" t="n"/>
      <c r="E299" s="40" t="n"/>
      <c r="F299" s="15">
        <f>IF(OR($B299="",$D299="",$E299=""),"",ROUND(($E299-$D299)*24,2))</f>
        <v/>
      </c>
      <c r="G299" s="14" t="n"/>
      <c r="H299" s="15">
        <f>IF($G299="","",IFERROR(_xlfn.XLOOKUP($G299,nrCHname,nrCHnum),""))</f>
        <v/>
      </c>
      <c r="I299" s="14" t="n"/>
      <c r="J299" s="14" t="n"/>
      <c r="K299" s="15">
        <f>IF($B299="","",IFERROR(_xlfn.XLOOKUP($B299,nrCDdate,nrCDweek),""))</f>
        <v/>
      </c>
      <c r="L299" s="15">
        <f>IF($B299="","",IFERROR(_xlfn.XLOOKUP($B299,nrCDdate,nrCDnum),""))</f>
        <v/>
      </c>
      <c r="M299" s="14" t="n"/>
    </row>
    <row r="300">
      <c r="B300" s="16" t="n"/>
      <c r="C300" s="15">
        <f>IF($B300="","",TEXT($B300,"ddd"))</f>
        <v/>
      </c>
      <c r="D300" s="40" t="n"/>
      <c r="E300" s="40" t="n"/>
      <c r="F300" s="15">
        <f>IF(OR($B300="",$D300="",$E300=""),"",ROUND(($E300-$D300)*24,2))</f>
        <v/>
      </c>
      <c r="G300" s="14" t="n"/>
      <c r="H300" s="15">
        <f>IF($G300="","",IFERROR(_xlfn.XLOOKUP($G300,nrCHname,nrCHnum),""))</f>
        <v/>
      </c>
      <c r="I300" s="14" t="n"/>
      <c r="J300" s="14" t="n"/>
      <c r="K300" s="15">
        <f>IF($B300="","",IFERROR(_xlfn.XLOOKUP($B300,nrCDdate,nrCDweek),""))</f>
        <v/>
      </c>
      <c r="L300" s="15">
        <f>IF($B300="","",IFERROR(_xlfn.XLOOKUP($B300,nrCDdate,nrCDnum),""))</f>
        <v/>
      </c>
      <c r="M300" s="14" t="n"/>
    </row>
    <row r="301">
      <c r="B301" s="16" t="n"/>
      <c r="C301" s="15">
        <f>IF($B301="","",TEXT($B301,"ddd"))</f>
        <v/>
      </c>
      <c r="D301" s="40" t="n"/>
      <c r="E301" s="40" t="n"/>
      <c r="F301" s="15">
        <f>IF(OR($B301="",$D301="",$E301=""),"",ROUND(($E301-$D301)*24,2))</f>
        <v/>
      </c>
      <c r="G301" s="14" t="n"/>
      <c r="H301" s="15">
        <f>IF($G301="","",IFERROR(_xlfn.XLOOKUP($G301,nrCHname,nrCHnum),""))</f>
        <v/>
      </c>
      <c r="I301" s="14" t="n"/>
      <c r="J301" s="14" t="n"/>
      <c r="K301" s="15">
        <f>IF($B301="","",IFERROR(_xlfn.XLOOKUP($B301,nrCDdate,nrCDweek),""))</f>
        <v/>
      </c>
      <c r="L301" s="15">
        <f>IF($B301="","",IFERROR(_xlfn.XLOOKUP($B301,nrCDdate,nrCDnum),""))</f>
        <v/>
      </c>
      <c r="M301" s="14" t="n"/>
    </row>
    <row r="302">
      <c r="B302" s="16" t="n"/>
      <c r="C302" s="15">
        <f>IF($B302="","",TEXT($B302,"ddd"))</f>
        <v/>
      </c>
      <c r="D302" s="40" t="n"/>
      <c r="E302" s="40" t="n"/>
      <c r="F302" s="15">
        <f>IF(OR($B302="",$D302="",$E302=""),"",ROUND(($E302-$D302)*24,2))</f>
        <v/>
      </c>
      <c r="G302" s="14" t="n"/>
      <c r="H302" s="15">
        <f>IF($G302="","",IFERROR(_xlfn.XLOOKUP($G302,nrCHname,nrCHnum),""))</f>
        <v/>
      </c>
      <c r="I302" s="14" t="n"/>
      <c r="J302" s="14" t="n"/>
      <c r="K302" s="15">
        <f>IF($B302="","",IFERROR(_xlfn.XLOOKUP($B302,nrCDdate,nrCDweek),""))</f>
        <v/>
      </c>
      <c r="L302" s="15">
        <f>IF($B302="","",IFERROR(_xlfn.XLOOKUP($B302,nrCDdate,nrCDnum),""))</f>
        <v/>
      </c>
      <c r="M302" s="14" t="n"/>
    </row>
    <row r="303">
      <c r="B303" s="16" t="n"/>
      <c r="C303" s="15">
        <f>IF($B303="","",TEXT($B303,"ddd"))</f>
        <v/>
      </c>
      <c r="D303" s="40" t="n"/>
      <c r="E303" s="40" t="n"/>
      <c r="F303" s="15">
        <f>IF(OR($B303="",$D303="",$E303=""),"",ROUND(($E303-$D303)*24,2))</f>
        <v/>
      </c>
      <c r="G303" s="14" t="n"/>
      <c r="H303" s="15">
        <f>IF($G303="","",IFERROR(_xlfn.XLOOKUP($G303,nrCHname,nrCHnum),""))</f>
        <v/>
      </c>
      <c r="I303" s="14" t="n"/>
      <c r="J303" s="14" t="n"/>
      <c r="K303" s="15">
        <f>IF($B303="","",IFERROR(_xlfn.XLOOKUP($B303,nrCDdate,nrCDweek),""))</f>
        <v/>
      </c>
      <c r="L303" s="15">
        <f>IF($B303="","",IFERROR(_xlfn.XLOOKUP($B303,nrCDdate,nrCDnum),""))</f>
        <v/>
      </c>
      <c r="M303" s="14" t="n"/>
    </row>
    <row r="304">
      <c r="B304" s="16" t="n"/>
      <c r="C304" s="15">
        <f>IF($B304="","",TEXT($B304,"ddd"))</f>
        <v/>
      </c>
      <c r="D304" s="40" t="n"/>
      <c r="E304" s="40" t="n"/>
      <c r="F304" s="15">
        <f>IF(OR($B304="",$D304="",$E304=""),"",ROUND(($E304-$D304)*24,2))</f>
        <v/>
      </c>
      <c r="G304" s="14" t="n"/>
      <c r="H304" s="15">
        <f>IF($G304="","",IFERROR(_xlfn.XLOOKUP($G304,nrCHname,nrCHnum),""))</f>
        <v/>
      </c>
      <c r="I304" s="14" t="n"/>
      <c r="J304" s="14" t="n"/>
      <c r="K304" s="15">
        <f>IF($B304="","",IFERROR(_xlfn.XLOOKUP($B304,nrCDdate,nrCDweek),""))</f>
        <v/>
      </c>
      <c r="L304" s="15">
        <f>IF($B304="","",IFERROR(_xlfn.XLOOKUP($B304,nrCDdate,nrCDnum),""))</f>
        <v/>
      </c>
      <c r="M304" s="14" t="n"/>
    </row>
    <row r="305">
      <c r="B305" s="16" t="n"/>
      <c r="C305" s="15">
        <f>IF($B305="","",TEXT($B305,"ddd"))</f>
        <v/>
      </c>
      <c r="D305" s="40" t="n"/>
      <c r="E305" s="40" t="n"/>
      <c r="F305" s="15">
        <f>IF(OR($B305="",$D305="",$E305=""),"",ROUND(($E305-$D305)*24,2))</f>
        <v/>
      </c>
      <c r="G305" s="14" t="n"/>
      <c r="H305" s="15">
        <f>IF($G305="","",IFERROR(_xlfn.XLOOKUP($G305,nrCHname,nrCHnum),""))</f>
        <v/>
      </c>
      <c r="I305" s="14" t="n"/>
      <c r="J305" s="14" t="n"/>
      <c r="K305" s="15">
        <f>IF($B305="","",IFERROR(_xlfn.XLOOKUP($B305,nrCDdate,nrCDweek),""))</f>
        <v/>
      </c>
      <c r="L305" s="15">
        <f>IF($B305="","",IFERROR(_xlfn.XLOOKUP($B305,nrCDdate,nrCDnum),""))</f>
        <v/>
      </c>
      <c r="M305" s="14" t="n"/>
    </row>
    <row r="306">
      <c r="B306" s="16" t="n"/>
      <c r="C306" s="15">
        <f>IF($B306="","",TEXT($B306,"ddd"))</f>
        <v/>
      </c>
      <c r="D306" s="40" t="n"/>
      <c r="E306" s="40" t="n"/>
      <c r="F306" s="15">
        <f>IF(OR($B306="",$D306="",$E306=""),"",ROUND(($E306-$D306)*24,2))</f>
        <v/>
      </c>
      <c r="G306" s="14" t="n"/>
      <c r="H306" s="15">
        <f>IF($G306="","",IFERROR(_xlfn.XLOOKUP($G306,nrCHname,nrCHnum),""))</f>
        <v/>
      </c>
      <c r="I306" s="14" t="n"/>
      <c r="J306" s="14" t="n"/>
      <c r="K306" s="15">
        <f>IF($B306="","",IFERROR(_xlfn.XLOOKUP($B306,nrCDdate,nrCDweek),""))</f>
        <v/>
      </c>
      <c r="L306" s="15">
        <f>IF($B306="","",IFERROR(_xlfn.XLOOKUP($B306,nrCDdate,nrCDnum),""))</f>
        <v/>
      </c>
      <c r="M306" s="14" t="n"/>
    </row>
    <row r="307">
      <c r="B307" s="16" t="n"/>
      <c r="C307" s="15">
        <f>IF($B307="","",TEXT($B307,"ddd"))</f>
        <v/>
      </c>
      <c r="D307" s="40" t="n"/>
      <c r="E307" s="40" t="n"/>
      <c r="F307" s="15">
        <f>IF(OR($B307="",$D307="",$E307=""),"",ROUND(($E307-$D307)*24,2))</f>
        <v/>
      </c>
      <c r="G307" s="14" t="n"/>
      <c r="H307" s="15">
        <f>IF($G307="","",IFERROR(_xlfn.XLOOKUP($G307,nrCHname,nrCHnum),""))</f>
        <v/>
      </c>
      <c r="I307" s="14" t="n"/>
      <c r="J307" s="14" t="n"/>
      <c r="K307" s="15">
        <f>IF($B307="","",IFERROR(_xlfn.XLOOKUP($B307,nrCDdate,nrCDweek),""))</f>
        <v/>
      </c>
      <c r="L307" s="15">
        <f>IF($B307="","",IFERROR(_xlfn.XLOOKUP($B307,nrCDdate,nrCDnum),""))</f>
        <v/>
      </c>
      <c r="M307" s="14" t="n"/>
    </row>
    <row r="308">
      <c r="B308" s="16" t="n"/>
      <c r="C308" s="15">
        <f>IF($B308="","",TEXT($B308,"ddd"))</f>
        <v/>
      </c>
      <c r="D308" s="40" t="n"/>
      <c r="E308" s="40" t="n"/>
      <c r="F308" s="15">
        <f>IF(OR($B308="",$D308="",$E308=""),"",ROUND(($E308-$D308)*24,2))</f>
        <v/>
      </c>
      <c r="G308" s="14" t="n"/>
      <c r="H308" s="15">
        <f>IF($G308="","",IFERROR(_xlfn.XLOOKUP($G308,nrCHname,nrCHnum),""))</f>
        <v/>
      </c>
      <c r="I308" s="14" t="n"/>
      <c r="J308" s="14" t="n"/>
      <c r="K308" s="15">
        <f>IF($B308="","",IFERROR(_xlfn.XLOOKUP($B308,nrCDdate,nrCDweek),""))</f>
        <v/>
      </c>
      <c r="L308" s="15">
        <f>IF($B308="","",IFERROR(_xlfn.XLOOKUP($B308,nrCDdate,nrCDnum),""))</f>
        <v/>
      </c>
      <c r="M308" s="14" t="n"/>
    </row>
    <row r="309">
      <c r="B309" s="16" t="n"/>
      <c r="C309" s="15">
        <f>IF($B309="","",TEXT($B309,"ddd"))</f>
        <v/>
      </c>
      <c r="D309" s="40" t="n"/>
      <c r="E309" s="40" t="n"/>
      <c r="F309" s="15">
        <f>IF(OR($B309="",$D309="",$E309=""),"",ROUND(($E309-$D309)*24,2))</f>
        <v/>
      </c>
      <c r="G309" s="14" t="n"/>
      <c r="H309" s="15">
        <f>IF($G309="","",IFERROR(_xlfn.XLOOKUP($G309,nrCHname,nrCHnum),""))</f>
        <v/>
      </c>
      <c r="I309" s="14" t="n"/>
      <c r="J309" s="14" t="n"/>
      <c r="K309" s="15">
        <f>IF($B309="","",IFERROR(_xlfn.XLOOKUP($B309,nrCDdate,nrCDweek),""))</f>
        <v/>
      </c>
      <c r="L309" s="15">
        <f>IF($B309="","",IFERROR(_xlfn.XLOOKUP($B309,nrCDdate,nrCDnum),""))</f>
        <v/>
      </c>
      <c r="M309" s="14" t="n"/>
    </row>
    <row r="310">
      <c r="B310" s="16" t="n"/>
      <c r="C310" s="15">
        <f>IF($B310="","",TEXT($B310,"ddd"))</f>
        <v/>
      </c>
      <c r="D310" s="40" t="n"/>
      <c r="E310" s="40" t="n"/>
      <c r="F310" s="15">
        <f>IF(OR($B310="",$D310="",$E310=""),"",ROUND(($E310-$D310)*24,2))</f>
        <v/>
      </c>
      <c r="G310" s="14" t="n"/>
      <c r="H310" s="15">
        <f>IF($G310="","",IFERROR(_xlfn.XLOOKUP($G310,nrCHname,nrCHnum),""))</f>
        <v/>
      </c>
      <c r="I310" s="14" t="n"/>
      <c r="J310" s="14" t="n"/>
      <c r="K310" s="15">
        <f>IF($B310="","",IFERROR(_xlfn.XLOOKUP($B310,nrCDdate,nrCDweek),""))</f>
        <v/>
      </c>
      <c r="L310" s="15">
        <f>IF($B310="","",IFERROR(_xlfn.XLOOKUP($B310,nrCDdate,nrCDnum),""))</f>
        <v/>
      </c>
      <c r="M310" s="14" t="n"/>
    </row>
    <row r="311">
      <c r="B311" s="16" t="n"/>
      <c r="C311" s="15">
        <f>IF($B311="","",TEXT($B311,"ddd"))</f>
        <v/>
      </c>
      <c r="D311" s="40" t="n"/>
      <c r="E311" s="40" t="n"/>
      <c r="F311" s="15">
        <f>IF(OR($B311="",$D311="",$E311=""),"",ROUND(($E311-$D311)*24,2))</f>
        <v/>
      </c>
      <c r="G311" s="14" t="n"/>
      <c r="H311" s="15">
        <f>IF($G311="","",IFERROR(_xlfn.XLOOKUP($G311,nrCHname,nrCHnum),""))</f>
        <v/>
      </c>
      <c r="I311" s="14" t="n"/>
      <c r="J311" s="14" t="n"/>
      <c r="K311" s="15">
        <f>IF($B311="","",IFERROR(_xlfn.XLOOKUP($B311,nrCDdate,nrCDweek),""))</f>
        <v/>
      </c>
      <c r="L311" s="15">
        <f>IF($B311="","",IFERROR(_xlfn.XLOOKUP($B311,nrCDdate,nrCDnum),""))</f>
        <v/>
      </c>
      <c r="M311" s="14" t="n"/>
    </row>
    <row r="312">
      <c r="B312" s="16" t="n"/>
      <c r="C312" s="15">
        <f>IF($B312="","",TEXT($B312,"ddd"))</f>
        <v/>
      </c>
      <c r="D312" s="40" t="n"/>
      <c r="E312" s="40" t="n"/>
      <c r="F312" s="15">
        <f>IF(OR($B312="",$D312="",$E312=""),"",ROUND(($E312-$D312)*24,2))</f>
        <v/>
      </c>
      <c r="G312" s="14" t="n"/>
      <c r="H312" s="15">
        <f>IF($G312="","",IFERROR(_xlfn.XLOOKUP($G312,nrCHname,nrCHnum),""))</f>
        <v/>
      </c>
      <c r="I312" s="14" t="n"/>
      <c r="J312" s="14" t="n"/>
      <c r="K312" s="15">
        <f>IF($B312="","",IFERROR(_xlfn.XLOOKUP($B312,nrCDdate,nrCDweek),""))</f>
        <v/>
      </c>
      <c r="L312" s="15">
        <f>IF($B312="","",IFERROR(_xlfn.XLOOKUP($B312,nrCDdate,nrCDnum),""))</f>
        <v/>
      </c>
      <c r="M312" s="14" t="n"/>
    </row>
    <row r="313">
      <c r="B313" s="16" t="n"/>
      <c r="C313" s="15">
        <f>IF($B313="","",TEXT($B313,"ddd"))</f>
        <v/>
      </c>
      <c r="D313" s="40" t="n"/>
      <c r="E313" s="40" t="n"/>
      <c r="F313" s="15">
        <f>IF(OR($B313="",$D313="",$E313=""),"",ROUND(($E313-$D313)*24,2))</f>
        <v/>
      </c>
      <c r="G313" s="14" t="n"/>
      <c r="H313" s="15">
        <f>IF($G313="","",IFERROR(_xlfn.XLOOKUP($G313,nrCHname,nrCHnum),""))</f>
        <v/>
      </c>
      <c r="I313" s="14" t="n"/>
      <c r="J313" s="14" t="n"/>
      <c r="K313" s="15">
        <f>IF($B313="","",IFERROR(_xlfn.XLOOKUP($B313,nrCDdate,nrCDweek),""))</f>
        <v/>
      </c>
      <c r="L313" s="15">
        <f>IF($B313="","",IFERROR(_xlfn.XLOOKUP($B313,nrCDdate,nrCDnum),""))</f>
        <v/>
      </c>
      <c r="M313" s="14" t="n"/>
    </row>
    <row r="314">
      <c r="B314" s="16" t="n"/>
      <c r="C314" s="15">
        <f>IF($B314="","",TEXT($B314,"ddd"))</f>
        <v/>
      </c>
      <c r="D314" s="40" t="n"/>
      <c r="E314" s="40" t="n"/>
      <c r="F314" s="15">
        <f>IF(OR($B314="",$D314="",$E314=""),"",ROUND(($E314-$D314)*24,2))</f>
        <v/>
      </c>
      <c r="G314" s="14" t="n"/>
      <c r="H314" s="15">
        <f>IF($G314="","",IFERROR(_xlfn.XLOOKUP($G314,nrCHname,nrCHnum),""))</f>
        <v/>
      </c>
      <c r="I314" s="14" t="n"/>
      <c r="J314" s="14" t="n"/>
      <c r="K314" s="15">
        <f>IF($B314="","",IFERROR(_xlfn.XLOOKUP($B314,nrCDdate,nrCDweek),""))</f>
        <v/>
      </c>
      <c r="L314" s="15">
        <f>IF($B314="","",IFERROR(_xlfn.XLOOKUP($B314,nrCDdate,nrCDnum),""))</f>
        <v/>
      </c>
      <c r="M314" s="14" t="n"/>
    </row>
    <row r="315">
      <c r="B315" s="16" t="n"/>
      <c r="C315" s="15">
        <f>IF($B315="","",TEXT($B315,"ddd"))</f>
        <v/>
      </c>
      <c r="D315" s="40" t="n"/>
      <c r="E315" s="40" t="n"/>
      <c r="F315" s="15">
        <f>IF(OR($B315="",$D315="",$E315=""),"",ROUND(($E315-$D315)*24,2))</f>
        <v/>
      </c>
      <c r="G315" s="14" t="n"/>
      <c r="H315" s="15">
        <f>IF($G315="","",IFERROR(_xlfn.XLOOKUP($G315,nrCHname,nrCHnum),""))</f>
        <v/>
      </c>
      <c r="I315" s="14" t="n"/>
      <c r="J315" s="14" t="n"/>
      <c r="K315" s="15">
        <f>IF($B315="","",IFERROR(_xlfn.XLOOKUP($B315,nrCDdate,nrCDweek),""))</f>
        <v/>
      </c>
      <c r="L315" s="15">
        <f>IF($B315="","",IFERROR(_xlfn.XLOOKUP($B315,nrCDdate,nrCDnum),""))</f>
        <v/>
      </c>
      <c r="M315" s="14" t="n"/>
    </row>
    <row r="316">
      <c r="B316" s="16" t="n"/>
      <c r="C316" s="15">
        <f>IF($B316="","",TEXT($B316,"ddd"))</f>
        <v/>
      </c>
      <c r="D316" s="40" t="n"/>
      <c r="E316" s="40" t="n"/>
      <c r="F316" s="15">
        <f>IF(OR($B316="",$D316="",$E316=""),"",ROUND(($E316-$D316)*24,2))</f>
        <v/>
      </c>
      <c r="G316" s="14" t="n"/>
      <c r="H316" s="15">
        <f>IF($G316="","",IFERROR(_xlfn.XLOOKUP($G316,nrCHname,nrCHnum),""))</f>
        <v/>
      </c>
      <c r="I316" s="14" t="n"/>
      <c r="J316" s="14" t="n"/>
      <c r="K316" s="15">
        <f>IF($B316="","",IFERROR(_xlfn.XLOOKUP($B316,nrCDdate,nrCDweek),""))</f>
        <v/>
      </c>
      <c r="L316" s="15">
        <f>IF($B316="","",IFERROR(_xlfn.XLOOKUP($B316,nrCDdate,nrCDnum),""))</f>
        <v/>
      </c>
      <c r="M316" s="14" t="n"/>
    </row>
    <row r="317">
      <c r="B317" s="16" t="n"/>
      <c r="C317" s="15">
        <f>IF($B317="","",TEXT($B317,"ddd"))</f>
        <v/>
      </c>
      <c r="D317" s="40" t="n"/>
      <c r="E317" s="40" t="n"/>
      <c r="F317" s="15">
        <f>IF(OR($B317="",$D317="",$E317=""),"",ROUND(($E317-$D317)*24,2))</f>
        <v/>
      </c>
      <c r="G317" s="14" t="n"/>
      <c r="H317" s="15">
        <f>IF($G317="","",IFERROR(_xlfn.XLOOKUP($G317,nrCHname,nrCHnum),""))</f>
        <v/>
      </c>
      <c r="I317" s="14" t="n"/>
      <c r="J317" s="14" t="n"/>
      <c r="K317" s="15">
        <f>IF($B317="","",IFERROR(_xlfn.XLOOKUP($B317,nrCDdate,nrCDweek),""))</f>
        <v/>
      </c>
      <c r="L317" s="15">
        <f>IF($B317="","",IFERROR(_xlfn.XLOOKUP($B317,nrCDdate,nrCDnum),""))</f>
        <v/>
      </c>
      <c r="M317" s="14" t="n"/>
    </row>
    <row r="318">
      <c r="B318" s="16" t="n"/>
      <c r="C318" s="15">
        <f>IF($B318="","",TEXT($B318,"ddd"))</f>
        <v/>
      </c>
      <c r="D318" s="40" t="n"/>
      <c r="E318" s="40" t="n"/>
      <c r="F318" s="15">
        <f>IF(OR($B318="",$D318="",$E318=""),"",ROUND(($E318-$D318)*24,2))</f>
        <v/>
      </c>
      <c r="G318" s="14" t="n"/>
      <c r="H318" s="15">
        <f>IF($G318="","",IFERROR(_xlfn.XLOOKUP($G318,nrCHname,nrCHnum),""))</f>
        <v/>
      </c>
      <c r="I318" s="14" t="n"/>
      <c r="J318" s="14" t="n"/>
      <c r="K318" s="15">
        <f>IF($B318="","",IFERROR(_xlfn.XLOOKUP($B318,nrCDdate,nrCDweek),""))</f>
        <v/>
      </c>
      <c r="L318" s="15">
        <f>IF($B318="","",IFERROR(_xlfn.XLOOKUP($B318,nrCDdate,nrCDnum),""))</f>
        <v/>
      </c>
      <c r="M318" s="14" t="n"/>
    </row>
    <row r="319">
      <c r="B319" s="16" t="n"/>
      <c r="C319" s="15">
        <f>IF($B319="","",TEXT($B319,"ddd"))</f>
        <v/>
      </c>
      <c r="D319" s="40" t="n"/>
      <c r="E319" s="40" t="n"/>
      <c r="F319" s="15">
        <f>IF(OR($B319="",$D319="",$E319=""),"",ROUND(($E319-$D319)*24,2))</f>
        <v/>
      </c>
      <c r="G319" s="14" t="n"/>
      <c r="H319" s="15">
        <f>IF($G319="","",IFERROR(_xlfn.XLOOKUP($G319,nrCHname,nrCHnum),""))</f>
        <v/>
      </c>
      <c r="I319" s="14" t="n"/>
      <c r="J319" s="14" t="n"/>
      <c r="K319" s="15">
        <f>IF($B319="","",IFERROR(_xlfn.XLOOKUP($B319,nrCDdate,nrCDweek),""))</f>
        <v/>
      </c>
      <c r="L319" s="15">
        <f>IF($B319="","",IFERROR(_xlfn.XLOOKUP($B319,nrCDdate,nrCDnum),""))</f>
        <v/>
      </c>
      <c r="M319" s="14" t="n"/>
    </row>
    <row r="320">
      <c r="B320" s="16" t="n"/>
      <c r="C320" s="15">
        <f>IF($B320="","",TEXT($B320,"ddd"))</f>
        <v/>
      </c>
      <c r="D320" s="40" t="n"/>
      <c r="E320" s="40" t="n"/>
      <c r="F320" s="15">
        <f>IF(OR($B320="",$D320="",$E320=""),"",ROUND(($E320-$D320)*24,2))</f>
        <v/>
      </c>
      <c r="G320" s="14" t="n"/>
      <c r="H320" s="15">
        <f>IF($G320="","",IFERROR(_xlfn.XLOOKUP($G320,nrCHname,nrCHnum),""))</f>
        <v/>
      </c>
      <c r="I320" s="14" t="n"/>
      <c r="J320" s="14" t="n"/>
      <c r="K320" s="15">
        <f>IF($B320="","",IFERROR(_xlfn.XLOOKUP($B320,nrCDdate,nrCDweek),""))</f>
        <v/>
      </c>
      <c r="L320" s="15">
        <f>IF($B320="","",IFERROR(_xlfn.XLOOKUP($B320,nrCDdate,nrCDnum),""))</f>
        <v/>
      </c>
      <c r="M320" s="14" t="n"/>
    </row>
    <row r="321">
      <c r="B321" s="16" t="n"/>
      <c r="C321" s="15">
        <f>IF($B321="","",TEXT($B321,"ddd"))</f>
        <v/>
      </c>
      <c r="D321" s="40" t="n"/>
      <c r="E321" s="40" t="n"/>
      <c r="F321" s="15">
        <f>IF(OR($B321="",$D321="",$E321=""),"",ROUND(($E321-$D321)*24,2))</f>
        <v/>
      </c>
      <c r="G321" s="14" t="n"/>
      <c r="H321" s="15">
        <f>IF($G321="","",IFERROR(_xlfn.XLOOKUP($G321,nrCHname,nrCHnum),""))</f>
        <v/>
      </c>
      <c r="I321" s="14" t="n"/>
      <c r="J321" s="14" t="n"/>
      <c r="K321" s="15">
        <f>IF($B321="","",IFERROR(_xlfn.XLOOKUP($B321,nrCDdate,nrCDweek),""))</f>
        <v/>
      </c>
      <c r="L321" s="15">
        <f>IF($B321="","",IFERROR(_xlfn.XLOOKUP($B321,nrCDdate,nrCDnum),""))</f>
        <v/>
      </c>
      <c r="M321" s="14" t="n"/>
    </row>
    <row r="322">
      <c r="B322" s="16" t="n"/>
      <c r="C322" s="15">
        <f>IF($B322="","",TEXT($B322,"ddd"))</f>
        <v/>
      </c>
      <c r="D322" s="40" t="n"/>
      <c r="E322" s="40" t="n"/>
      <c r="F322" s="15">
        <f>IF(OR($B322="",$D322="",$E322=""),"",ROUND(($E322-$D322)*24,2))</f>
        <v/>
      </c>
      <c r="G322" s="14" t="n"/>
      <c r="H322" s="15">
        <f>IF($G322="","",IFERROR(_xlfn.XLOOKUP($G322,nrCHname,nrCHnum),""))</f>
        <v/>
      </c>
      <c r="I322" s="14" t="n"/>
      <c r="J322" s="14" t="n"/>
      <c r="K322" s="15">
        <f>IF($B322="","",IFERROR(_xlfn.XLOOKUP($B322,nrCDdate,nrCDweek),""))</f>
        <v/>
      </c>
      <c r="L322" s="15">
        <f>IF($B322="","",IFERROR(_xlfn.XLOOKUP($B322,nrCDdate,nrCDnum),""))</f>
        <v/>
      </c>
      <c r="M322" s="14" t="n"/>
    </row>
    <row r="323">
      <c r="B323" s="16" t="n"/>
      <c r="C323" s="15">
        <f>IF($B323="","",TEXT($B323,"ddd"))</f>
        <v/>
      </c>
      <c r="D323" s="40" t="n"/>
      <c r="E323" s="40" t="n"/>
      <c r="F323" s="15">
        <f>IF(OR($B323="",$D323="",$E323=""),"",ROUND(($E323-$D323)*24,2))</f>
        <v/>
      </c>
      <c r="G323" s="14" t="n"/>
      <c r="H323" s="15">
        <f>IF($G323="","",IFERROR(_xlfn.XLOOKUP($G323,nrCHname,nrCHnum),""))</f>
        <v/>
      </c>
      <c r="I323" s="14" t="n"/>
      <c r="J323" s="14" t="n"/>
      <c r="K323" s="15">
        <f>IF($B323="","",IFERROR(_xlfn.XLOOKUP($B323,nrCDdate,nrCDweek),""))</f>
        <v/>
      </c>
      <c r="L323" s="15">
        <f>IF($B323="","",IFERROR(_xlfn.XLOOKUP($B323,nrCDdate,nrCDnum),""))</f>
        <v/>
      </c>
      <c r="M323" s="14" t="n"/>
    </row>
    <row r="324">
      <c r="B324" s="16" t="n"/>
      <c r="C324" s="15">
        <f>IF($B324="","",TEXT($B324,"ddd"))</f>
        <v/>
      </c>
      <c r="D324" s="40" t="n"/>
      <c r="E324" s="40" t="n"/>
      <c r="F324" s="15">
        <f>IF(OR($B324="",$D324="",$E324=""),"",ROUND(($E324-$D324)*24,2))</f>
        <v/>
      </c>
      <c r="G324" s="14" t="n"/>
      <c r="H324" s="15">
        <f>IF($G324="","",IFERROR(_xlfn.XLOOKUP($G324,nrCHname,nrCHnum),""))</f>
        <v/>
      </c>
      <c r="I324" s="14" t="n"/>
      <c r="J324" s="14" t="n"/>
      <c r="K324" s="15">
        <f>IF($B324="","",IFERROR(_xlfn.XLOOKUP($B324,nrCDdate,nrCDweek),""))</f>
        <v/>
      </c>
      <c r="L324" s="15">
        <f>IF($B324="","",IFERROR(_xlfn.XLOOKUP($B324,nrCDdate,nrCDnum),""))</f>
        <v/>
      </c>
      <c r="M324" s="14" t="n"/>
    </row>
    <row r="325">
      <c r="B325" s="16" t="n"/>
      <c r="C325" s="15">
        <f>IF($B325="","",TEXT($B325,"ddd"))</f>
        <v/>
      </c>
      <c r="D325" s="40" t="n"/>
      <c r="E325" s="40" t="n"/>
      <c r="F325" s="15">
        <f>IF(OR($B325="",$D325="",$E325=""),"",ROUND(($E325-$D325)*24,2))</f>
        <v/>
      </c>
      <c r="G325" s="14" t="n"/>
      <c r="H325" s="15">
        <f>IF($G325="","",IFERROR(_xlfn.XLOOKUP($G325,nrCHname,nrCHnum),""))</f>
        <v/>
      </c>
      <c r="I325" s="14" t="n"/>
      <c r="J325" s="14" t="n"/>
      <c r="K325" s="15">
        <f>IF($B325="","",IFERROR(_xlfn.XLOOKUP($B325,nrCDdate,nrCDweek),""))</f>
        <v/>
      </c>
      <c r="L325" s="15">
        <f>IF($B325="","",IFERROR(_xlfn.XLOOKUP($B325,nrCDdate,nrCDnum),""))</f>
        <v/>
      </c>
      <c r="M325" s="14" t="n"/>
    </row>
    <row r="326">
      <c r="B326" s="16" t="n"/>
      <c r="C326" s="15">
        <f>IF($B326="","",TEXT($B326,"ddd"))</f>
        <v/>
      </c>
      <c r="D326" s="40" t="n"/>
      <c r="E326" s="40" t="n"/>
      <c r="F326" s="15">
        <f>IF(OR($B326="",$D326="",$E326=""),"",ROUND(($E326-$D326)*24,2))</f>
        <v/>
      </c>
      <c r="G326" s="14" t="n"/>
      <c r="H326" s="15">
        <f>IF($G326="","",IFERROR(_xlfn.XLOOKUP($G326,nrCHname,nrCHnum),""))</f>
        <v/>
      </c>
      <c r="I326" s="14" t="n"/>
      <c r="J326" s="14" t="n"/>
      <c r="K326" s="15">
        <f>IF($B326="","",IFERROR(_xlfn.XLOOKUP($B326,nrCDdate,nrCDweek),""))</f>
        <v/>
      </c>
      <c r="L326" s="15">
        <f>IF($B326="","",IFERROR(_xlfn.XLOOKUP($B326,nrCDdate,nrCDnum),""))</f>
        <v/>
      </c>
      <c r="M326" s="14" t="n"/>
    </row>
    <row r="327">
      <c r="B327" s="16" t="n"/>
      <c r="C327" s="15">
        <f>IF($B327="","",TEXT($B327,"ddd"))</f>
        <v/>
      </c>
      <c r="D327" s="40" t="n"/>
      <c r="E327" s="40" t="n"/>
      <c r="F327" s="15">
        <f>IF(OR($B327="",$D327="",$E327=""),"",ROUND(($E327-$D327)*24,2))</f>
        <v/>
      </c>
      <c r="G327" s="14" t="n"/>
      <c r="H327" s="15">
        <f>IF($G327="","",IFERROR(_xlfn.XLOOKUP($G327,nrCHname,nrCHnum),""))</f>
        <v/>
      </c>
      <c r="I327" s="14" t="n"/>
      <c r="J327" s="14" t="n"/>
      <c r="K327" s="15">
        <f>IF($B327="","",IFERROR(_xlfn.XLOOKUP($B327,nrCDdate,nrCDweek),""))</f>
        <v/>
      </c>
      <c r="L327" s="15">
        <f>IF($B327="","",IFERROR(_xlfn.XLOOKUP($B327,nrCDdate,nrCDnum),""))</f>
        <v/>
      </c>
      <c r="M327" s="14" t="n"/>
    </row>
    <row r="328">
      <c r="B328" s="16" t="n"/>
      <c r="C328" s="15">
        <f>IF($B328="","",TEXT($B328,"ddd"))</f>
        <v/>
      </c>
      <c r="D328" s="40" t="n"/>
      <c r="E328" s="40" t="n"/>
      <c r="F328" s="15">
        <f>IF(OR($B328="",$D328="",$E328=""),"",ROUND(($E328-$D328)*24,2))</f>
        <v/>
      </c>
      <c r="G328" s="14" t="n"/>
      <c r="H328" s="15">
        <f>IF($G328="","",IFERROR(_xlfn.XLOOKUP($G328,nrCHname,nrCHnum),""))</f>
        <v/>
      </c>
      <c r="I328" s="14" t="n"/>
      <c r="J328" s="14" t="n"/>
      <c r="K328" s="15">
        <f>IF($B328="","",IFERROR(_xlfn.XLOOKUP($B328,nrCDdate,nrCDweek),""))</f>
        <v/>
      </c>
      <c r="L328" s="15">
        <f>IF($B328="","",IFERROR(_xlfn.XLOOKUP($B328,nrCDdate,nrCDnum),""))</f>
        <v/>
      </c>
      <c r="M328" s="14" t="n"/>
    </row>
    <row r="329">
      <c r="B329" s="16" t="n"/>
      <c r="C329" s="15">
        <f>IF($B329="","",TEXT($B329,"ddd"))</f>
        <v/>
      </c>
      <c r="D329" s="40" t="n"/>
      <c r="E329" s="40" t="n"/>
      <c r="F329" s="15">
        <f>IF(OR($B329="",$D329="",$E329=""),"",ROUND(($E329-$D329)*24,2))</f>
        <v/>
      </c>
      <c r="G329" s="14" t="n"/>
      <c r="H329" s="15">
        <f>IF($G329="","",IFERROR(_xlfn.XLOOKUP($G329,nrCHname,nrCHnum),""))</f>
        <v/>
      </c>
      <c r="I329" s="14" t="n"/>
      <c r="J329" s="14" t="n"/>
      <c r="K329" s="15">
        <f>IF($B329="","",IFERROR(_xlfn.XLOOKUP($B329,nrCDdate,nrCDweek),""))</f>
        <v/>
      </c>
      <c r="L329" s="15">
        <f>IF($B329="","",IFERROR(_xlfn.XLOOKUP($B329,nrCDdate,nrCDnum),""))</f>
        <v/>
      </c>
      <c r="M329" s="14" t="n"/>
    </row>
    <row r="330">
      <c r="B330" s="16" t="n"/>
      <c r="C330" s="15">
        <f>IF($B330="","",TEXT($B330,"ddd"))</f>
        <v/>
      </c>
      <c r="D330" s="40" t="n"/>
      <c r="E330" s="40" t="n"/>
      <c r="F330" s="15">
        <f>IF(OR($B330="",$D330="",$E330=""),"",ROUND(($E330-$D330)*24,2))</f>
        <v/>
      </c>
      <c r="G330" s="14" t="n"/>
      <c r="H330" s="15">
        <f>IF($G330="","",IFERROR(_xlfn.XLOOKUP($G330,nrCHname,nrCHnum),""))</f>
        <v/>
      </c>
      <c r="I330" s="14" t="n"/>
      <c r="J330" s="14" t="n"/>
      <c r="K330" s="15">
        <f>IF($B330="","",IFERROR(_xlfn.XLOOKUP($B330,nrCDdate,nrCDweek),""))</f>
        <v/>
      </c>
      <c r="L330" s="15">
        <f>IF($B330="","",IFERROR(_xlfn.XLOOKUP($B330,nrCDdate,nrCDnum),""))</f>
        <v/>
      </c>
      <c r="M330" s="14" t="n"/>
    </row>
    <row r="331">
      <c r="B331" s="16" t="n"/>
      <c r="C331" s="15">
        <f>IF($B331="","",TEXT($B331,"ddd"))</f>
        <v/>
      </c>
      <c r="D331" s="40" t="n"/>
      <c r="E331" s="40" t="n"/>
      <c r="F331" s="15">
        <f>IF(OR($B331="",$D331="",$E331=""),"",ROUND(($E331-$D331)*24,2))</f>
        <v/>
      </c>
      <c r="G331" s="14" t="n"/>
      <c r="H331" s="15">
        <f>IF($G331="","",IFERROR(_xlfn.XLOOKUP($G331,nrCHname,nrCHnum),""))</f>
        <v/>
      </c>
      <c r="I331" s="14" t="n"/>
      <c r="J331" s="14" t="n"/>
      <c r="K331" s="15">
        <f>IF($B331="","",IFERROR(_xlfn.XLOOKUP($B331,nrCDdate,nrCDweek),""))</f>
        <v/>
      </c>
      <c r="L331" s="15">
        <f>IF($B331="","",IFERROR(_xlfn.XLOOKUP($B331,nrCDdate,nrCDnum),""))</f>
        <v/>
      </c>
      <c r="M331" s="14" t="n"/>
    </row>
    <row r="332">
      <c r="B332" s="16" t="n"/>
      <c r="C332" s="15">
        <f>IF($B332="","",TEXT($B332,"ddd"))</f>
        <v/>
      </c>
      <c r="D332" s="40" t="n"/>
      <c r="E332" s="40" t="n"/>
      <c r="F332" s="15">
        <f>IF(OR($B332="",$D332="",$E332=""),"",ROUND(($E332-$D332)*24,2))</f>
        <v/>
      </c>
      <c r="G332" s="14" t="n"/>
      <c r="H332" s="15">
        <f>IF($G332="","",IFERROR(_xlfn.XLOOKUP($G332,nrCHname,nrCHnum),""))</f>
        <v/>
      </c>
      <c r="I332" s="14" t="n"/>
      <c r="J332" s="14" t="n"/>
      <c r="K332" s="15">
        <f>IF($B332="","",IFERROR(_xlfn.XLOOKUP($B332,nrCDdate,nrCDweek),""))</f>
        <v/>
      </c>
      <c r="L332" s="15">
        <f>IF($B332="","",IFERROR(_xlfn.XLOOKUP($B332,nrCDdate,nrCDnum),""))</f>
        <v/>
      </c>
      <c r="M332" s="14" t="n"/>
    </row>
    <row r="333">
      <c r="B333" s="16" t="n"/>
      <c r="C333" s="15">
        <f>IF($B333="","",TEXT($B333,"ddd"))</f>
        <v/>
      </c>
      <c r="D333" s="40" t="n"/>
      <c r="E333" s="40" t="n"/>
      <c r="F333" s="15">
        <f>IF(OR($B333="",$D333="",$E333=""),"",ROUND(($E333-$D333)*24,2))</f>
        <v/>
      </c>
      <c r="G333" s="14" t="n"/>
      <c r="H333" s="15">
        <f>IF($G333="","",IFERROR(_xlfn.XLOOKUP($G333,nrCHname,nrCHnum),""))</f>
        <v/>
      </c>
      <c r="I333" s="14" t="n"/>
      <c r="J333" s="14" t="n"/>
      <c r="K333" s="15">
        <f>IF($B333="","",IFERROR(_xlfn.XLOOKUP($B333,nrCDdate,nrCDweek),""))</f>
        <v/>
      </c>
      <c r="L333" s="15">
        <f>IF($B333="","",IFERROR(_xlfn.XLOOKUP($B333,nrCDdate,nrCDnum),""))</f>
        <v/>
      </c>
      <c r="M333" s="14" t="n"/>
    </row>
    <row r="334">
      <c r="B334" s="16" t="n"/>
      <c r="C334" s="15">
        <f>IF($B334="","",TEXT($B334,"ddd"))</f>
        <v/>
      </c>
      <c r="D334" s="40" t="n"/>
      <c r="E334" s="40" t="n"/>
      <c r="F334" s="15">
        <f>IF(OR($B334="",$D334="",$E334=""),"",ROUND(($E334-$D334)*24,2))</f>
        <v/>
      </c>
      <c r="G334" s="14" t="n"/>
      <c r="H334" s="15">
        <f>IF($G334="","",IFERROR(_xlfn.XLOOKUP($G334,nrCHname,nrCHnum),""))</f>
        <v/>
      </c>
      <c r="I334" s="14" t="n"/>
      <c r="J334" s="14" t="n"/>
      <c r="K334" s="15">
        <f>IF($B334="","",IFERROR(_xlfn.XLOOKUP($B334,nrCDdate,nrCDweek),""))</f>
        <v/>
      </c>
      <c r="L334" s="15">
        <f>IF($B334="","",IFERROR(_xlfn.XLOOKUP($B334,nrCDdate,nrCDnum),""))</f>
        <v/>
      </c>
      <c r="M334" s="14" t="n"/>
    </row>
    <row r="335">
      <c r="B335" s="16" t="n"/>
      <c r="C335" s="15">
        <f>IF($B335="","",TEXT($B335,"ddd"))</f>
        <v/>
      </c>
      <c r="D335" s="40" t="n"/>
      <c r="E335" s="40" t="n"/>
      <c r="F335" s="15">
        <f>IF(OR($B335="",$D335="",$E335=""),"",ROUND(($E335-$D335)*24,2))</f>
        <v/>
      </c>
      <c r="G335" s="14" t="n"/>
      <c r="H335" s="15">
        <f>IF($G335="","",IFERROR(_xlfn.XLOOKUP($G335,nrCHname,nrCHnum),""))</f>
        <v/>
      </c>
      <c r="I335" s="14" t="n"/>
      <c r="J335" s="14" t="n"/>
      <c r="K335" s="15">
        <f>IF($B335="","",IFERROR(_xlfn.XLOOKUP($B335,nrCDdate,nrCDweek),""))</f>
        <v/>
      </c>
      <c r="L335" s="15">
        <f>IF($B335="","",IFERROR(_xlfn.XLOOKUP($B335,nrCDdate,nrCDnum),""))</f>
        <v/>
      </c>
      <c r="M335" s="14" t="n"/>
    </row>
    <row r="336">
      <c r="B336" s="16" t="n"/>
      <c r="C336" s="15">
        <f>IF($B336="","",TEXT($B336,"ddd"))</f>
        <v/>
      </c>
      <c r="D336" s="40" t="n"/>
      <c r="E336" s="40" t="n"/>
      <c r="F336" s="15">
        <f>IF(OR($B336="",$D336="",$E336=""),"",ROUND(($E336-$D336)*24,2))</f>
        <v/>
      </c>
      <c r="G336" s="14" t="n"/>
      <c r="H336" s="15">
        <f>IF($G336="","",IFERROR(_xlfn.XLOOKUP($G336,nrCHname,nrCHnum),""))</f>
        <v/>
      </c>
      <c r="I336" s="14" t="n"/>
      <c r="J336" s="14" t="n"/>
      <c r="K336" s="15">
        <f>IF($B336="","",IFERROR(_xlfn.XLOOKUP($B336,nrCDdate,nrCDweek),""))</f>
        <v/>
      </c>
      <c r="L336" s="15">
        <f>IF($B336="","",IFERROR(_xlfn.XLOOKUP($B336,nrCDdate,nrCDnum),""))</f>
        <v/>
      </c>
      <c r="M336" s="14" t="n"/>
    </row>
    <row r="337">
      <c r="B337" s="16" t="n"/>
      <c r="C337" s="15">
        <f>IF($B337="","",TEXT($B337,"ddd"))</f>
        <v/>
      </c>
      <c r="D337" s="40" t="n"/>
      <c r="E337" s="40" t="n"/>
      <c r="F337" s="15">
        <f>IF(OR($B337="",$D337="",$E337=""),"",ROUND(($E337-$D337)*24,2))</f>
        <v/>
      </c>
      <c r="G337" s="14" t="n"/>
      <c r="H337" s="15">
        <f>IF($G337="","",IFERROR(_xlfn.XLOOKUP($G337,nrCHname,nrCHnum),""))</f>
        <v/>
      </c>
      <c r="I337" s="14" t="n"/>
      <c r="J337" s="14" t="n"/>
      <c r="K337" s="15">
        <f>IF($B337="","",IFERROR(_xlfn.XLOOKUP($B337,nrCDdate,nrCDweek),""))</f>
        <v/>
      </c>
      <c r="L337" s="15">
        <f>IF($B337="","",IFERROR(_xlfn.XLOOKUP($B337,nrCDdate,nrCDnum),""))</f>
        <v/>
      </c>
      <c r="M337" s="14" t="n"/>
    </row>
    <row r="338">
      <c r="B338" s="16" t="n"/>
      <c r="C338" s="15">
        <f>IF($B338="","",TEXT($B338,"ddd"))</f>
        <v/>
      </c>
      <c r="D338" s="40" t="n"/>
      <c r="E338" s="40" t="n"/>
      <c r="F338" s="15">
        <f>IF(OR($B338="",$D338="",$E338=""),"",ROUND(($E338-$D338)*24,2))</f>
        <v/>
      </c>
      <c r="G338" s="14" t="n"/>
      <c r="H338" s="15">
        <f>IF($G338="","",IFERROR(_xlfn.XLOOKUP($G338,nrCHname,nrCHnum),""))</f>
        <v/>
      </c>
      <c r="I338" s="14" t="n"/>
      <c r="J338" s="14" t="n"/>
      <c r="K338" s="15">
        <f>IF($B338="","",IFERROR(_xlfn.XLOOKUP($B338,nrCDdate,nrCDweek),""))</f>
        <v/>
      </c>
      <c r="L338" s="15">
        <f>IF($B338="","",IFERROR(_xlfn.XLOOKUP($B338,nrCDdate,nrCDnum),""))</f>
        <v/>
      </c>
      <c r="M338" s="14" t="n"/>
    </row>
    <row r="339">
      <c r="B339" s="16" t="n"/>
      <c r="C339" s="15">
        <f>IF($B339="","",TEXT($B339,"ddd"))</f>
        <v/>
      </c>
      <c r="D339" s="40" t="n"/>
      <c r="E339" s="40" t="n"/>
      <c r="F339" s="15">
        <f>IF(OR($B339="",$D339="",$E339=""),"",ROUND(($E339-$D339)*24,2))</f>
        <v/>
      </c>
      <c r="G339" s="14" t="n"/>
      <c r="H339" s="15">
        <f>IF($G339="","",IFERROR(_xlfn.XLOOKUP($G339,nrCHname,nrCHnum),""))</f>
        <v/>
      </c>
      <c r="I339" s="14" t="n"/>
      <c r="J339" s="14" t="n"/>
      <c r="K339" s="15">
        <f>IF($B339="","",IFERROR(_xlfn.XLOOKUP($B339,nrCDdate,nrCDweek),""))</f>
        <v/>
      </c>
      <c r="L339" s="15">
        <f>IF($B339="","",IFERROR(_xlfn.XLOOKUP($B339,nrCDdate,nrCDnum),""))</f>
        <v/>
      </c>
      <c r="M339" s="14" t="n"/>
    </row>
    <row r="340">
      <c r="B340" s="16" t="n"/>
      <c r="C340" s="15">
        <f>IF($B340="","",TEXT($B340,"ddd"))</f>
        <v/>
      </c>
      <c r="D340" s="40" t="n"/>
      <c r="E340" s="40" t="n"/>
      <c r="F340" s="15">
        <f>IF(OR($B340="",$D340="",$E340=""),"",ROUND(($E340-$D340)*24,2))</f>
        <v/>
      </c>
      <c r="G340" s="14" t="n"/>
      <c r="H340" s="15">
        <f>IF($G340="","",IFERROR(_xlfn.XLOOKUP($G340,nrCHname,nrCHnum),""))</f>
        <v/>
      </c>
      <c r="I340" s="14" t="n"/>
      <c r="J340" s="14" t="n"/>
      <c r="K340" s="15">
        <f>IF($B340="","",IFERROR(_xlfn.XLOOKUP($B340,nrCDdate,nrCDweek),""))</f>
        <v/>
      </c>
      <c r="L340" s="15">
        <f>IF($B340="","",IFERROR(_xlfn.XLOOKUP($B340,nrCDdate,nrCDnum),""))</f>
        <v/>
      </c>
      <c r="M340" s="14" t="n"/>
    </row>
    <row r="341">
      <c r="B341" s="16" t="n"/>
      <c r="C341" s="15">
        <f>IF($B341="","",TEXT($B341,"ddd"))</f>
        <v/>
      </c>
      <c r="D341" s="40" t="n"/>
      <c r="E341" s="40" t="n"/>
      <c r="F341" s="15">
        <f>IF(OR($B341="",$D341="",$E341=""),"",ROUND(($E341-$D341)*24,2))</f>
        <v/>
      </c>
      <c r="G341" s="14" t="n"/>
      <c r="H341" s="15">
        <f>IF($G341="","",IFERROR(_xlfn.XLOOKUP($G341,nrCHname,nrCHnum),""))</f>
        <v/>
      </c>
      <c r="I341" s="14" t="n"/>
      <c r="J341" s="14" t="n"/>
      <c r="K341" s="15">
        <f>IF($B341="","",IFERROR(_xlfn.XLOOKUP($B341,nrCDdate,nrCDweek),""))</f>
        <v/>
      </c>
      <c r="L341" s="15">
        <f>IF($B341="","",IFERROR(_xlfn.XLOOKUP($B341,nrCDdate,nrCDnum),""))</f>
        <v/>
      </c>
      <c r="M341" s="14" t="n"/>
    </row>
    <row r="342">
      <c r="B342" s="16" t="n"/>
      <c r="C342" s="15">
        <f>IF($B342="","",TEXT($B342,"ddd"))</f>
        <v/>
      </c>
      <c r="D342" s="40" t="n"/>
      <c r="E342" s="40" t="n"/>
      <c r="F342" s="15">
        <f>IF(OR($B342="",$D342="",$E342=""),"",ROUND(($E342-$D342)*24,2))</f>
        <v/>
      </c>
      <c r="G342" s="14" t="n"/>
      <c r="H342" s="15">
        <f>IF($G342="","",IFERROR(_xlfn.XLOOKUP($G342,nrCHname,nrCHnum),""))</f>
        <v/>
      </c>
      <c r="I342" s="14" t="n"/>
      <c r="J342" s="14" t="n"/>
      <c r="K342" s="15">
        <f>IF($B342="","",IFERROR(_xlfn.XLOOKUP($B342,nrCDdate,nrCDweek),""))</f>
        <v/>
      </c>
      <c r="L342" s="15">
        <f>IF($B342="","",IFERROR(_xlfn.XLOOKUP($B342,nrCDdate,nrCDnum),""))</f>
        <v/>
      </c>
      <c r="M342" s="14" t="n"/>
    </row>
    <row r="343">
      <c r="B343" s="16" t="n"/>
      <c r="C343" s="15">
        <f>IF($B343="","",TEXT($B343,"ddd"))</f>
        <v/>
      </c>
      <c r="D343" s="40" t="n"/>
      <c r="E343" s="40" t="n"/>
      <c r="F343" s="15">
        <f>IF(OR($B343="",$D343="",$E343=""),"",ROUND(($E343-$D343)*24,2))</f>
        <v/>
      </c>
      <c r="G343" s="14" t="n"/>
      <c r="H343" s="15">
        <f>IF($G343="","",IFERROR(_xlfn.XLOOKUP($G343,nrCHname,nrCHnum),""))</f>
        <v/>
      </c>
      <c r="I343" s="14" t="n"/>
      <c r="J343" s="14" t="n"/>
      <c r="K343" s="15">
        <f>IF($B343="","",IFERROR(_xlfn.XLOOKUP($B343,nrCDdate,nrCDweek),""))</f>
        <v/>
      </c>
      <c r="L343" s="15">
        <f>IF($B343="","",IFERROR(_xlfn.XLOOKUP($B343,nrCDdate,nrCDnum),""))</f>
        <v/>
      </c>
      <c r="M343" s="14" t="n"/>
    </row>
    <row r="344">
      <c r="B344" s="16" t="n"/>
      <c r="C344" s="15">
        <f>IF($B344="","",TEXT($B344,"ddd"))</f>
        <v/>
      </c>
      <c r="D344" s="40" t="n"/>
      <c r="E344" s="40" t="n"/>
      <c r="F344" s="15">
        <f>IF(OR($B344="",$D344="",$E344=""),"",ROUND(($E344-$D344)*24,2))</f>
        <v/>
      </c>
      <c r="G344" s="14" t="n"/>
      <c r="H344" s="15">
        <f>IF($G344="","",IFERROR(_xlfn.XLOOKUP($G344,nrCHname,nrCHnum),""))</f>
        <v/>
      </c>
      <c r="I344" s="14" t="n"/>
      <c r="J344" s="14" t="n"/>
      <c r="K344" s="15">
        <f>IF($B344="","",IFERROR(_xlfn.XLOOKUP($B344,nrCDdate,nrCDweek),""))</f>
        <v/>
      </c>
      <c r="L344" s="15">
        <f>IF($B344="","",IFERROR(_xlfn.XLOOKUP($B344,nrCDdate,nrCDnum),""))</f>
        <v/>
      </c>
      <c r="M344" s="14" t="n"/>
    </row>
    <row r="345">
      <c r="B345" s="16" t="n"/>
      <c r="C345" s="15">
        <f>IF($B345="","",TEXT($B345,"ddd"))</f>
        <v/>
      </c>
      <c r="D345" s="40" t="n"/>
      <c r="E345" s="40" t="n"/>
      <c r="F345" s="15">
        <f>IF(OR($B345="",$D345="",$E345=""),"",ROUND(($E345-$D345)*24,2))</f>
        <v/>
      </c>
      <c r="G345" s="14" t="n"/>
      <c r="H345" s="15">
        <f>IF($G345="","",IFERROR(_xlfn.XLOOKUP($G345,nrCHname,nrCHnum),""))</f>
        <v/>
      </c>
      <c r="I345" s="14" t="n"/>
      <c r="J345" s="14" t="n"/>
      <c r="K345" s="15">
        <f>IF($B345="","",IFERROR(_xlfn.XLOOKUP($B345,nrCDdate,nrCDweek),""))</f>
        <v/>
      </c>
      <c r="L345" s="15">
        <f>IF($B345="","",IFERROR(_xlfn.XLOOKUP($B345,nrCDdate,nrCDnum),""))</f>
        <v/>
      </c>
      <c r="M345" s="14" t="n"/>
    </row>
    <row r="346">
      <c r="B346" s="16" t="n"/>
      <c r="C346" s="15">
        <f>IF($B346="","",TEXT($B346,"ddd"))</f>
        <v/>
      </c>
      <c r="D346" s="40" t="n"/>
      <c r="E346" s="40" t="n"/>
      <c r="F346" s="15">
        <f>IF(OR($B346="",$D346="",$E346=""),"",ROUND(($E346-$D346)*24,2))</f>
        <v/>
      </c>
      <c r="G346" s="14" t="n"/>
      <c r="H346" s="15">
        <f>IF($G346="","",IFERROR(_xlfn.XLOOKUP($G346,nrCHname,nrCHnum),""))</f>
        <v/>
      </c>
      <c r="I346" s="14" t="n"/>
      <c r="J346" s="14" t="n"/>
      <c r="K346" s="15">
        <f>IF($B346="","",IFERROR(_xlfn.XLOOKUP($B346,nrCDdate,nrCDweek),""))</f>
        <v/>
      </c>
      <c r="L346" s="15">
        <f>IF($B346="","",IFERROR(_xlfn.XLOOKUP($B346,nrCDdate,nrCDnum),""))</f>
        <v/>
      </c>
      <c r="M346" s="14" t="n"/>
    </row>
    <row r="347">
      <c r="B347" s="16" t="n"/>
      <c r="C347" s="15">
        <f>IF($B347="","",TEXT($B347,"ddd"))</f>
        <v/>
      </c>
      <c r="D347" s="40" t="n"/>
      <c r="E347" s="40" t="n"/>
      <c r="F347" s="15">
        <f>IF(OR($B347="",$D347="",$E347=""),"",ROUND(($E347-$D347)*24,2))</f>
        <v/>
      </c>
      <c r="G347" s="14" t="n"/>
      <c r="H347" s="15">
        <f>IF($G347="","",IFERROR(_xlfn.XLOOKUP($G347,nrCHname,nrCHnum),""))</f>
        <v/>
      </c>
      <c r="I347" s="14" t="n"/>
      <c r="J347" s="14" t="n"/>
      <c r="K347" s="15">
        <f>IF($B347="","",IFERROR(_xlfn.XLOOKUP($B347,nrCDdate,nrCDweek),""))</f>
        <v/>
      </c>
      <c r="L347" s="15">
        <f>IF($B347="","",IFERROR(_xlfn.XLOOKUP($B347,nrCDdate,nrCDnum),""))</f>
        <v/>
      </c>
      <c r="M347" s="14" t="n"/>
    </row>
    <row r="348">
      <c r="B348" s="16" t="n"/>
      <c r="C348" s="15">
        <f>IF($B348="","",TEXT($B348,"ddd"))</f>
        <v/>
      </c>
      <c r="D348" s="40" t="n"/>
      <c r="E348" s="40" t="n"/>
      <c r="F348" s="15">
        <f>IF(OR($B348="",$D348="",$E348=""),"",ROUND(($E348-$D348)*24,2))</f>
        <v/>
      </c>
      <c r="G348" s="14" t="n"/>
      <c r="H348" s="15">
        <f>IF($G348="","",IFERROR(_xlfn.XLOOKUP($G348,nrCHname,nrCHnum),""))</f>
        <v/>
      </c>
      <c r="I348" s="14" t="n"/>
      <c r="J348" s="14" t="n"/>
      <c r="K348" s="15">
        <f>IF($B348="","",IFERROR(_xlfn.XLOOKUP($B348,nrCDdate,nrCDweek),""))</f>
        <v/>
      </c>
      <c r="L348" s="15">
        <f>IF($B348="","",IFERROR(_xlfn.XLOOKUP($B348,nrCDdate,nrCDnum),""))</f>
        <v/>
      </c>
      <c r="M348" s="14" t="n"/>
    </row>
    <row r="349">
      <c r="B349" s="16" t="n"/>
      <c r="C349" s="15">
        <f>IF($B349="","",TEXT($B349,"ddd"))</f>
        <v/>
      </c>
      <c r="D349" s="40" t="n"/>
      <c r="E349" s="40" t="n"/>
      <c r="F349" s="15">
        <f>IF(OR($B349="",$D349="",$E349=""),"",ROUND(($E349-$D349)*24,2))</f>
        <v/>
      </c>
      <c r="G349" s="14" t="n"/>
      <c r="H349" s="15">
        <f>IF($G349="","",IFERROR(_xlfn.XLOOKUP($G349,nrCHname,nrCHnum),""))</f>
        <v/>
      </c>
      <c r="I349" s="14" t="n"/>
      <c r="J349" s="14" t="n"/>
      <c r="K349" s="15">
        <f>IF($B349="","",IFERROR(_xlfn.XLOOKUP($B349,nrCDdate,nrCDweek),""))</f>
        <v/>
      </c>
      <c r="L349" s="15">
        <f>IF($B349="","",IFERROR(_xlfn.XLOOKUP($B349,nrCDdate,nrCDnum),""))</f>
        <v/>
      </c>
      <c r="M349" s="14" t="n"/>
    </row>
    <row r="350">
      <c r="B350" s="16" t="n"/>
      <c r="C350" s="15">
        <f>IF($B350="","",TEXT($B350,"ddd"))</f>
        <v/>
      </c>
      <c r="D350" s="40" t="n"/>
      <c r="E350" s="40" t="n"/>
      <c r="F350" s="15">
        <f>IF(OR($B350="",$D350="",$E350=""),"",ROUND(($E350-$D350)*24,2))</f>
        <v/>
      </c>
      <c r="G350" s="14" t="n"/>
      <c r="H350" s="15">
        <f>IF($G350="","",IFERROR(_xlfn.XLOOKUP($G350,nrCHname,nrCHnum),""))</f>
        <v/>
      </c>
      <c r="I350" s="14" t="n"/>
      <c r="J350" s="14" t="n"/>
      <c r="K350" s="15">
        <f>IF($B350="","",IFERROR(_xlfn.XLOOKUP($B350,nrCDdate,nrCDweek),""))</f>
        <v/>
      </c>
      <c r="L350" s="15">
        <f>IF($B350="","",IFERROR(_xlfn.XLOOKUP($B350,nrCDdate,nrCDnum),""))</f>
        <v/>
      </c>
      <c r="M350" s="14" t="n"/>
    </row>
    <row r="351">
      <c r="B351" s="16" t="n"/>
      <c r="C351" s="15">
        <f>IF($B351="","",TEXT($B351,"ddd"))</f>
        <v/>
      </c>
      <c r="D351" s="40" t="n"/>
      <c r="E351" s="40" t="n"/>
      <c r="F351" s="15">
        <f>IF(OR($B351="",$D351="",$E351=""),"",ROUND(($E351-$D351)*24,2))</f>
        <v/>
      </c>
      <c r="G351" s="14" t="n"/>
      <c r="H351" s="15">
        <f>IF($G351="","",IFERROR(_xlfn.XLOOKUP($G351,nrCHname,nrCHnum),""))</f>
        <v/>
      </c>
      <c r="I351" s="14" t="n"/>
      <c r="J351" s="14" t="n"/>
      <c r="K351" s="15">
        <f>IF($B351="","",IFERROR(_xlfn.XLOOKUP($B351,nrCDdate,nrCDweek),""))</f>
        <v/>
      </c>
      <c r="L351" s="15">
        <f>IF($B351="","",IFERROR(_xlfn.XLOOKUP($B351,nrCDdate,nrCDnum),""))</f>
        <v/>
      </c>
      <c r="M351" s="14" t="n"/>
    </row>
    <row r="352">
      <c r="B352" s="16" t="n"/>
      <c r="C352" s="15">
        <f>IF($B352="","",TEXT($B352,"ddd"))</f>
        <v/>
      </c>
      <c r="D352" s="40" t="n"/>
      <c r="E352" s="40" t="n"/>
      <c r="F352" s="15">
        <f>IF(OR($B352="",$D352="",$E352=""),"",ROUND(($E352-$D352)*24,2))</f>
        <v/>
      </c>
      <c r="G352" s="14" t="n"/>
      <c r="H352" s="15">
        <f>IF($G352="","",IFERROR(_xlfn.XLOOKUP($G352,nrCHname,nrCHnum),""))</f>
        <v/>
      </c>
      <c r="I352" s="14" t="n"/>
      <c r="J352" s="14" t="n"/>
      <c r="K352" s="15">
        <f>IF($B352="","",IFERROR(_xlfn.XLOOKUP($B352,nrCDdate,nrCDweek),""))</f>
        <v/>
      </c>
      <c r="L352" s="15">
        <f>IF($B352="","",IFERROR(_xlfn.XLOOKUP($B352,nrCDdate,nrCDnum),""))</f>
        <v/>
      </c>
      <c r="M352" s="14" t="n"/>
    </row>
    <row r="353">
      <c r="B353" s="16" t="n"/>
      <c r="C353" s="15">
        <f>IF($B353="","",TEXT($B353,"ddd"))</f>
        <v/>
      </c>
      <c r="D353" s="40" t="n"/>
      <c r="E353" s="40" t="n"/>
      <c r="F353" s="15">
        <f>IF(OR($B353="",$D353="",$E353=""),"",ROUND(($E353-$D353)*24,2))</f>
        <v/>
      </c>
      <c r="G353" s="14" t="n"/>
      <c r="H353" s="15">
        <f>IF($G353="","",IFERROR(_xlfn.XLOOKUP($G353,nrCHname,nrCHnum),""))</f>
        <v/>
      </c>
      <c r="I353" s="14" t="n"/>
      <c r="J353" s="14" t="n"/>
      <c r="K353" s="15">
        <f>IF($B353="","",IFERROR(_xlfn.XLOOKUP($B353,nrCDdate,nrCDweek),""))</f>
        <v/>
      </c>
      <c r="L353" s="15">
        <f>IF($B353="","",IFERROR(_xlfn.XLOOKUP($B353,nrCDdate,nrCDnum),""))</f>
        <v/>
      </c>
      <c r="M353" s="14" t="n"/>
    </row>
    <row r="354">
      <c r="B354" s="16" t="n"/>
      <c r="C354" s="15">
        <f>IF($B354="","",TEXT($B354,"ddd"))</f>
        <v/>
      </c>
      <c r="D354" s="40" t="n"/>
      <c r="E354" s="40" t="n"/>
      <c r="F354" s="15">
        <f>IF(OR($B354="",$D354="",$E354=""),"",ROUND(($E354-$D354)*24,2))</f>
        <v/>
      </c>
      <c r="G354" s="14" t="n"/>
      <c r="H354" s="15">
        <f>IF($G354="","",IFERROR(_xlfn.XLOOKUP($G354,nrCHname,nrCHnum),""))</f>
        <v/>
      </c>
      <c r="I354" s="14" t="n"/>
      <c r="J354" s="14" t="n"/>
      <c r="K354" s="15">
        <f>IF($B354="","",IFERROR(_xlfn.XLOOKUP($B354,nrCDdate,nrCDweek),""))</f>
        <v/>
      </c>
      <c r="L354" s="15">
        <f>IF($B354="","",IFERROR(_xlfn.XLOOKUP($B354,nrCDdate,nrCDnum),""))</f>
        <v/>
      </c>
      <c r="M354" s="14" t="n"/>
    </row>
    <row r="355">
      <c r="B355" s="16" t="n"/>
      <c r="C355" s="15">
        <f>IF($B355="","",TEXT($B355,"ddd"))</f>
        <v/>
      </c>
      <c r="D355" s="40" t="n"/>
      <c r="E355" s="40" t="n"/>
      <c r="F355" s="15">
        <f>IF(OR($B355="",$D355="",$E355=""),"",ROUND(($E355-$D355)*24,2))</f>
        <v/>
      </c>
      <c r="G355" s="14" t="n"/>
      <c r="H355" s="15">
        <f>IF($G355="","",IFERROR(_xlfn.XLOOKUP($G355,nrCHname,nrCHnum),""))</f>
        <v/>
      </c>
      <c r="I355" s="14" t="n"/>
      <c r="J355" s="14" t="n"/>
      <c r="K355" s="15">
        <f>IF($B355="","",IFERROR(_xlfn.XLOOKUP($B355,nrCDdate,nrCDweek),""))</f>
        <v/>
      </c>
      <c r="L355" s="15">
        <f>IF($B355="","",IFERROR(_xlfn.XLOOKUP($B355,nrCDdate,nrCDnum),""))</f>
        <v/>
      </c>
      <c r="M355" s="14" t="n"/>
    </row>
    <row r="356">
      <c r="B356" s="16" t="n"/>
      <c r="C356" s="15">
        <f>IF($B356="","",TEXT($B356,"ddd"))</f>
        <v/>
      </c>
      <c r="D356" s="40" t="n"/>
      <c r="E356" s="40" t="n"/>
      <c r="F356" s="15">
        <f>IF(OR($B356="",$D356="",$E356=""),"",ROUND(($E356-$D356)*24,2))</f>
        <v/>
      </c>
      <c r="G356" s="14" t="n"/>
      <c r="H356" s="15">
        <f>IF($G356="","",IFERROR(_xlfn.XLOOKUP($G356,nrCHname,nrCHnum),""))</f>
        <v/>
      </c>
      <c r="I356" s="14" t="n"/>
      <c r="J356" s="14" t="n"/>
      <c r="K356" s="15">
        <f>IF($B356="","",IFERROR(_xlfn.XLOOKUP($B356,nrCDdate,nrCDweek),""))</f>
        <v/>
      </c>
      <c r="L356" s="15">
        <f>IF($B356="","",IFERROR(_xlfn.XLOOKUP($B356,nrCDdate,nrCDnum),""))</f>
        <v/>
      </c>
      <c r="M356" s="14" t="n"/>
    </row>
    <row r="357">
      <c r="B357" s="16" t="n"/>
      <c r="C357" s="15">
        <f>IF($B357="","",TEXT($B357,"ddd"))</f>
        <v/>
      </c>
      <c r="D357" s="40" t="n"/>
      <c r="E357" s="40" t="n"/>
      <c r="F357" s="15">
        <f>IF(OR($B357="",$D357="",$E357=""),"",ROUND(($E357-$D357)*24,2))</f>
        <v/>
      </c>
      <c r="G357" s="14" t="n"/>
      <c r="H357" s="15">
        <f>IF($G357="","",IFERROR(_xlfn.XLOOKUP($G357,nrCHname,nrCHnum),""))</f>
        <v/>
      </c>
      <c r="I357" s="14" t="n"/>
      <c r="J357" s="14" t="n"/>
      <c r="K357" s="15">
        <f>IF($B357="","",IFERROR(_xlfn.XLOOKUP($B357,nrCDdate,nrCDweek),""))</f>
        <v/>
      </c>
      <c r="L357" s="15">
        <f>IF($B357="","",IFERROR(_xlfn.XLOOKUP($B357,nrCDdate,nrCDnum),""))</f>
        <v/>
      </c>
      <c r="M357" s="14" t="n"/>
    </row>
    <row r="358">
      <c r="B358" s="16" t="n"/>
      <c r="C358" s="15">
        <f>IF($B358="","",TEXT($B358,"ddd"))</f>
        <v/>
      </c>
      <c r="D358" s="40" t="n"/>
      <c r="E358" s="40" t="n"/>
      <c r="F358" s="15">
        <f>IF(OR($B358="",$D358="",$E358=""),"",ROUND(($E358-$D358)*24,2))</f>
        <v/>
      </c>
      <c r="G358" s="14" t="n"/>
      <c r="H358" s="15">
        <f>IF($G358="","",IFERROR(_xlfn.XLOOKUP($G358,nrCHname,nrCHnum),""))</f>
        <v/>
      </c>
      <c r="I358" s="14" t="n"/>
      <c r="J358" s="14" t="n"/>
      <c r="K358" s="15">
        <f>IF($B358="","",IFERROR(_xlfn.XLOOKUP($B358,nrCDdate,nrCDweek),""))</f>
        <v/>
      </c>
      <c r="L358" s="15">
        <f>IF($B358="","",IFERROR(_xlfn.XLOOKUP($B358,nrCDdate,nrCDnum),""))</f>
        <v/>
      </c>
      <c r="M358" s="14" t="n"/>
    </row>
    <row r="359">
      <c r="B359" s="16" t="n"/>
      <c r="C359" s="15">
        <f>IF($B359="","",TEXT($B359,"ddd"))</f>
        <v/>
      </c>
      <c r="D359" s="40" t="n"/>
      <c r="E359" s="40" t="n"/>
      <c r="F359" s="15">
        <f>IF(OR($B359="",$D359="",$E359=""),"",ROUND(($E359-$D359)*24,2))</f>
        <v/>
      </c>
      <c r="G359" s="14" t="n"/>
      <c r="H359" s="15">
        <f>IF($G359="","",IFERROR(_xlfn.XLOOKUP($G359,nrCHname,nrCHnum),""))</f>
        <v/>
      </c>
      <c r="I359" s="14" t="n"/>
      <c r="J359" s="14" t="n"/>
      <c r="K359" s="15">
        <f>IF($B359="","",IFERROR(_xlfn.XLOOKUP($B359,nrCDdate,nrCDweek),""))</f>
        <v/>
      </c>
      <c r="L359" s="15">
        <f>IF($B359="","",IFERROR(_xlfn.XLOOKUP($B359,nrCDdate,nrCDnum),""))</f>
        <v/>
      </c>
      <c r="M359" s="14" t="n"/>
    </row>
    <row r="360">
      <c r="B360" s="16" t="n"/>
      <c r="C360" s="15">
        <f>IF($B360="","",TEXT($B360,"ddd"))</f>
        <v/>
      </c>
      <c r="D360" s="40" t="n"/>
      <c r="E360" s="40" t="n"/>
      <c r="F360" s="15">
        <f>IF(OR($B360="",$D360="",$E360=""),"",ROUND(($E360-$D360)*24,2))</f>
        <v/>
      </c>
      <c r="G360" s="14" t="n"/>
      <c r="H360" s="15">
        <f>IF($G360="","",IFERROR(_xlfn.XLOOKUP($G360,nrCHname,nrCHnum),""))</f>
        <v/>
      </c>
      <c r="I360" s="14" t="n"/>
      <c r="J360" s="14" t="n"/>
      <c r="K360" s="15">
        <f>IF($B360="","",IFERROR(_xlfn.XLOOKUP($B360,nrCDdate,nrCDweek),""))</f>
        <v/>
      </c>
      <c r="L360" s="15">
        <f>IF($B360="","",IFERROR(_xlfn.XLOOKUP($B360,nrCDdate,nrCDnum),""))</f>
        <v/>
      </c>
      <c r="M360" s="14" t="n"/>
    </row>
    <row r="361">
      <c r="B361" s="16" t="n"/>
      <c r="C361" s="15">
        <f>IF($B361="","",TEXT($B361,"ddd"))</f>
        <v/>
      </c>
      <c r="D361" s="40" t="n"/>
      <c r="E361" s="40" t="n"/>
      <c r="F361" s="15">
        <f>IF(OR($B361="",$D361="",$E361=""),"",ROUND(($E361-$D361)*24,2))</f>
        <v/>
      </c>
      <c r="G361" s="14" t="n"/>
      <c r="H361" s="15">
        <f>IF($G361="","",IFERROR(_xlfn.XLOOKUP($G361,nrCHname,nrCHnum),""))</f>
        <v/>
      </c>
      <c r="I361" s="14" t="n"/>
      <c r="J361" s="14" t="n"/>
      <c r="K361" s="15">
        <f>IF($B361="","",IFERROR(_xlfn.XLOOKUP($B361,nrCDdate,nrCDweek),""))</f>
        <v/>
      </c>
      <c r="L361" s="15">
        <f>IF($B361="","",IFERROR(_xlfn.XLOOKUP($B361,nrCDdate,nrCDnum),""))</f>
        <v/>
      </c>
      <c r="M361" s="14" t="n"/>
    </row>
    <row r="362">
      <c r="B362" s="16" t="n"/>
      <c r="C362" s="15">
        <f>IF($B362="","",TEXT($B362,"ddd"))</f>
        <v/>
      </c>
      <c r="D362" s="40" t="n"/>
      <c r="E362" s="40" t="n"/>
      <c r="F362" s="15">
        <f>IF(OR($B362="",$D362="",$E362=""),"",ROUND(($E362-$D362)*24,2))</f>
        <v/>
      </c>
      <c r="G362" s="14" t="n"/>
      <c r="H362" s="15">
        <f>IF($G362="","",IFERROR(_xlfn.XLOOKUP($G362,nrCHname,nrCHnum),""))</f>
        <v/>
      </c>
      <c r="I362" s="14" t="n"/>
      <c r="J362" s="14" t="n"/>
      <c r="K362" s="15">
        <f>IF($B362="","",IFERROR(_xlfn.XLOOKUP($B362,nrCDdate,nrCDweek),""))</f>
        <v/>
      </c>
      <c r="L362" s="15">
        <f>IF($B362="","",IFERROR(_xlfn.XLOOKUP($B362,nrCDdate,nrCDnum),""))</f>
        <v/>
      </c>
      <c r="M362" s="14" t="n"/>
    </row>
    <row r="363">
      <c r="B363" s="16" t="n"/>
      <c r="C363" s="15">
        <f>IF($B363="","",TEXT($B363,"ddd"))</f>
        <v/>
      </c>
      <c r="D363" s="40" t="n"/>
      <c r="E363" s="40" t="n"/>
      <c r="F363" s="15">
        <f>IF(OR($B363="",$D363="",$E363=""),"",ROUND(($E363-$D363)*24,2))</f>
        <v/>
      </c>
      <c r="G363" s="14" t="n"/>
      <c r="H363" s="15">
        <f>IF($G363="","",IFERROR(_xlfn.XLOOKUP($G363,nrCHname,nrCHnum),""))</f>
        <v/>
      </c>
      <c r="I363" s="14" t="n"/>
      <c r="J363" s="14" t="n"/>
      <c r="K363" s="15">
        <f>IF($B363="","",IFERROR(_xlfn.XLOOKUP($B363,nrCDdate,nrCDweek),""))</f>
        <v/>
      </c>
      <c r="L363" s="15">
        <f>IF($B363="","",IFERROR(_xlfn.XLOOKUP($B363,nrCDdate,nrCDnum),""))</f>
        <v/>
      </c>
      <c r="M363" s="14" t="n"/>
    </row>
    <row r="364">
      <c r="B364" s="16" t="n"/>
      <c r="C364" s="15">
        <f>IF($B364="","",TEXT($B364,"ddd"))</f>
        <v/>
      </c>
      <c r="D364" s="40" t="n"/>
      <c r="E364" s="40" t="n"/>
      <c r="F364" s="15">
        <f>IF(OR($B364="",$D364="",$E364=""),"",ROUND(($E364-$D364)*24,2))</f>
        <v/>
      </c>
      <c r="G364" s="14" t="n"/>
      <c r="H364" s="15">
        <f>IF($G364="","",IFERROR(_xlfn.XLOOKUP($G364,nrCHname,nrCHnum),""))</f>
        <v/>
      </c>
      <c r="I364" s="14" t="n"/>
      <c r="J364" s="14" t="n"/>
      <c r="K364" s="15">
        <f>IF($B364="","",IFERROR(_xlfn.XLOOKUP($B364,nrCDdate,nrCDweek),""))</f>
        <v/>
      </c>
      <c r="L364" s="15">
        <f>IF($B364="","",IFERROR(_xlfn.XLOOKUP($B364,nrCDdate,nrCDnum),""))</f>
        <v/>
      </c>
      <c r="M364" s="14" t="n"/>
    </row>
    <row r="365">
      <c r="B365" s="16" t="n"/>
      <c r="C365" s="15">
        <f>IF($B365="","",TEXT($B365,"ddd"))</f>
        <v/>
      </c>
      <c r="D365" s="40" t="n"/>
      <c r="E365" s="40" t="n"/>
      <c r="F365" s="15">
        <f>IF(OR($B365="",$D365="",$E365=""),"",ROUND(($E365-$D365)*24,2))</f>
        <v/>
      </c>
      <c r="G365" s="14" t="n"/>
      <c r="H365" s="15">
        <f>IF($G365="","",IFERROR(_xlfn.XLOOKUP($G365,nrCHname,nrCHnum),""))</f>
        <v/>
      </c>
      <c r="I365" s="14" t="n"/>
      <c r="J365" s="14" t="n"/>
      <c r="K365" s="15">
        <f>IF($B365="","",IFERROR(_xlfn.XLOOKUP($B365,nrCDdate,nrCDweek),""))</f>
        <v/>
      </c>
      <c r="L365" s="15">
        <f>IF($B365="","",IFERROR(_xlfn.XLOOKUP($B365,nrCDdate,nrCDnum),""))</f>
        <v/>
      </c>
      <c r="M365" s="14" t="n"/>
    </row>
    <row r="366">
      <c r="B366" s="16" t="n"/>
      <c r="C366" s="15">
        <f>IF($B366="","",TEXT($B366,"ddd"))</f>
        <v/>
      </c>
      <c r="D366" s="40" t="n"/>
      <c r="E366" s="40" t="n"/>
      <c r="F366" s="15">
        <f>IF(OR($B366="",$D366="",$E366=""),"",ROUND(($E366-$D366)*24,2))</f>
        <v/>
      </c>
      <c r="G366" s="14" t="n"/>
      <c r="H366" s="15">
        <f>IF($G366="","",IFERROR(_xlfn.XLOOKUP($G366,nrCHname,nrCHnum),""))</f>
        <v/>
      </c>
      <c r="I366" s="14" t="n"/>
      <c r="J366" s="14" t="n"/>
      <c r="K366" s="15">
        <f>IF($B366="","",IFERROR(_xlfn.XLOOKUP($B366,nrCDdate,nrCDweek),""))</f>
        <v/>
      </c>
      <c r="L366" s="15">
        <f>IF($B366="","",IFERROR(_xlfn.XLOOKUP($B366,nrCDdate,nrCDnum),""))</f>
        <v/>
      </c>
      <c r="M366" s="14" t="n"/>
    </row>
    <row r="367">
      <c r="B367" s="16" t="n"/>
      <c r="C367" s="15">
        <f>IF($B367="","",TEXT($B367,"ddd"))</f>
        <v/>
      </c>
      <c r="D367" s="40" t="n"/>
      <c r="E367" s="40" t="n"/>
      <c r="F367" s="15">
        <f>IF(OR($B367="",$D367="",$E367=""),"",ROUND(($E367-$D367)*24,2))</f>
        <v/>
      </c>
      <c r="G367" s="14" t="n"/>
      <c r="H367" s="15">
        <f>IF($G367="","",IFERROR(_xlfn.XLOOKUP($G367,nrCHname,nrCHnum),""))</f>
        <v/>
      </c>
      <c r="I367" s="14" t="n"/>
      <c r="J367" s="14" t="n"/>
      <c r="K367" s="15">
        <f>IF($B367="","",IFERROR(_xlfn.XLOOKUP($B367,nrCDdate,nrCDweek),""))</f>
        <v/>
      </c>
      <c r="L367" s="15">
        <f>IF($B367="","",IFERROR(_xlfn.XLOOKUP($B367,nrCDdate,nrCDnum),""))</f>
        <v/>
      </c>
      <c r="M367" s="14" t="n"/>
    </row>
    <row r="368">
      <c r="B368" s="16" t="n"/>
      <c r="C368" s="15">
        <f>IF($B368="","",TEXT($B368,"ddd"))</f>
        <v/>
      </c>
      <c r="D368" s="40" t="n"/>
      <c r="E368" s="40" t="n"/>
      <c r="F368" s="15">
        <f>IF(OR($B368="",$D368="",$E368=""),"",ROUND(($E368-$D368)*24,2))</f>
        <v/>
      </c>
      <c r="G368" s="14" t="n"/>
      <c r="H368" s="15">
        <f>IF($G368="","",IFERROR(_xlfn.XLOOKUP($G368,nrCHname,nrCHnum),""))</f>
        <v/>
      </c>
      <c r="I368" s="14" t="n"/>
      <c r="J368" s="14" t="n"/>
      <c r="K368" s="15">
        <f>IF($B368="","",IFERROR(_xlfn.XLOOKUP($B368,nrCDdate,nrCDweek),""))</f>
        <v/>
      </c>
      <c r="L368" s="15">
        <f>IF($B368="","",IFERROR(_xlfn.XLOOKUP($B368,nrCDdate,nrCDnum),""))</f>
        <v/>
      </c>
      <c r="M368" s="14" t="n"/>
    </row>
    <row r="369">
      <c r="B369" s="16" t="n"/>
      <c r="C369" s="15">
        <f>IF($B369="","",TEXT($B369,"ddd"))</f>
        <v/>
      </c>
      <c r="D369" s="40" t="n"/>
      <c r="E369" s="40" t="n"/>
      <c r="F369" s="15">
        <f>IF(OR($B369="",$D369="",$E369=""),"",ROUND(($E369-$D369)*24,2))</f>
        <v/>
      </c>
      <c r="G369" s="14" t="n"/>
      <c r="H369" s="15">
        <f>IF($G369="","",IFERROR(_xlfn.XLOOKUP($G369,nrCHname,nrCHnum),""))</f>
        <v/>
      </c>
      <c r="I369" s="14" t="n"/>
      <c r="J369" s="14" t="n"/>
      <c r="K369" s="15">
        <f>IF($B369="","",IFERROR(_xlfn.XLOOKUP($B369,nrCDdate,nrCDweek),""))</f>
        <v/>
      </c>
      <c r="L369" s="15">
        <f>IF($B369="","",IFERROR(_xlfn.XLOOKUP($B369,nrCDdate,nrCDnum),""))</f>
        <v/>
      </c>
      <c r="M369" s="14" t="n"/>
    </row>
    <row r="370">
      <c r="B370" s="16" t="n"/>
      <c r="C370" s="15">
        <f>IF($B370="","",TEXT($B370,"ddd"))</f>
        <v/>
      </c>
      <c r="D370" s="40" t="n"/>
      <c r="E370" s="40" t="n"/>
      <c r="F370" s="15">
        <f>IF(OR($B370="",$D370="",$E370=""),"",ROUND(($E370-$D370)*24,2))</f>
        <v/>
      </c>
      <c r="G370" s="14" t="n"/>
      <c r="H370" s="15">
        <f>IF($G370="","",IFERROR(_xlfn.XLOOKUP($G370,nrCHname,nrCHnum),""))</f>
        <v/>
      </c>
      <c r="I370" s="14" t="n"/>
      <c r="J370" s="14" t="n"/>
      <c r="K370" s="15">
        <f>IF($B370="","",IFERROR(_xlfn.XLOOKUP($B370,nrCDdate,nrCDweek),""))</f>
        <v/>
      </c>
      <c r="L370" s="15">
        <f>IF($B370="","",IFERROR(_xlfn.XLOOKUP($B370,nrCDdate,nrCDnum),""))</f>
        <v/>
      </c>
      <c r="M370" s="14" t="n"/>
    </row>
    <row r="371">
      <c r="B371" s="16" t="n"/>
      <c r="C371" s="15">
        <f>IF($B371="","",TEXT($B371,"ddd"))</f>
        <v/>
      </c>
      <c r="D371" s="40" t="n"/>
      <c r="E371" s="40" t="n"/>
      <c r="F371" s="15">
        <f>IF(OR($B371="",$D371="",$E371=""),"",ROUND(($E371-$D371)*24,2))</f>
        <v/>
      </c>
      <c r="G371" s="14" t="n"/>
      <c r="H371" s="15">
        <f>IF($G371="","",IFERROR(_xlfn.XLOOKUP($G371,nrCHname,nrCHnum),""))</f>
        <v/>
      </c>
      <c r="I371" s="14" t="n"/>
      <c r="J371" s="14" t="n"/>
      <c r="K371" s="15">
        <f>IF($B371="","",IFERROR(_xlfn.XLOOKUP($B371,nrCDdate,nrCDweek),""))</f>
        <v/>
      </c>
      <c r="L371" s="15">
        <f>IF($B371="","",IFERROR(_xlfn.XLOOKUP($B371,nrCDdate,nrCDnum),""))</f>
        <v/>
      </c>
      <c r="M371" s="14" t="n"/>
    </row>
    <row r="372">
      <c r="B372" s="16" t="n"/>
      <c r="C372" s="15">
        <f>IF($B372="","",TEXT($B372,"ddd"))</f>
        <v/>
      </c>
      <c r="D372" s="40" t="n"/>
      <c r="E372" s="40" t="n"/>
      <c r="F372" s="15">
        <f>IF(OR($B372="",$D372="",$E372=""),"",ROUND(($E372-$D372)*24,2))</f>
        <v/>
      </c>
      <c r="G372" s="14" t="n"/>
      <c r="H372" s="15">
        <f>IF($G372="","",IFERROR(_xlfn.XLOOKUP($G372,nrCHname,nrCHnum),""))</f>
        <v/>
      </c>
      <c r="I372" s="14" t="n"/>
      <c r="J372" s="14" t="n"/>
      <c r="K372" s="15">
        <f>IF($B372="","",IFERROR(_xlfn.XLOOKUP($B372,nrCDdate,nrCDweek),""))</f>
        <v/>
      </c>
      <c r="L372" s="15">
        <f>IF($B372="","",IFERROR(_xlfn.XLOOKUP($B372,nrCDdate,nrCDnum),""))</f>
        <v/>
      </c>
      <c r="M372" s="14" t="n"/>
    </row>
    <row r="373">
      <c r="B373" s="16" t="n"/>
      <c r="C373" s="15">
        <f>IF($B373="","",TEXT($B373,"ddd"))</f>
        <v/>
      </c>
      <c r="D373" s="40" t="n"/>
      <c r="E373" s="40" t="n"/>
      <c r="F373" s="15">
        <f>IF(OR($B373="",$D373="",$E373=""),"",ROUND(($E373-$D373)*24,2))</f>
        <v/>
      </c>
      <c r="G373" s="14" t="n"/>
      <c r="H373" s="15">
        <f>IF($G373="","",IFERROR(_xlfn.XLOOKUP($G373,nrCHname,nrCHnum),""))</f>
        <v/>
      </c>
      <c r="I373" s="14" t="n"/>
      <c r="J373" s="14" t="n"/>
      <c r="K373" s="15">
        <f>IF($B373="","",IFERROR(_xlfn.XLOOKUP($B373,nrCDdate,nrCDweek),""))</f>
        <v/>
      </c>
      <c r="L373" s="15">
        <f>IF($B373="","",IFERROR(_xlfn.XLOOKUP($B373,nrCDdate,nrCDnum),""))</f>
        <v/>
      </c>
      <c r="M373" s="14" t="n"/>
    </row>
    <row r="374">
      <c r="B374" s="16" t="n"/>
      <c r="C374" s="15">
        <f>IF($B374="","",TEXT($B374,"ddd"))</f>
        <v/>
      </c>
      <c r="D374" s="40" t="n"/>
      <c r="E374" s="40" t="n"/>
      <c r="F374" s="15">
        <f>IF(OR($B374="",$D374="",$E374=""),"",ROUND(($E374-$D374)*24,2))</f>
        <v/>
      </c>
      <c r="G374" s="14" t="n"/>
      <c r="H374" s="15">
        <f>IF($G374="","",IFERROR(_xlfn.XLOOKUP($G374,nrCHname,nrCHnum),""))</f>
        <v/>
      </c>
      <c r="I374" s="14" t="n"/>
      <c r="J374" s="14" t="n"/>
      <c r="K374" s="15">
        <f>IF($B374="","",IFERROR(_xlfn.XLOOKUP($B374,nrCDdate,nrCDweek),""))</f>
        <v/>
      </c>
      <c r="L374" s="15">
        <f>IF($B374="","",IFERROR(_xlfn.XLOOKUP($B374,nrCDdate,nrCDnum),""))</f>
        <v/>
      </c>
      <c r="M374" s="14" t="n"/>
    </row>
    <row r="375">
      <c r="B375" s="16" t="n"/>
      <c r="C375" s="15">
        <f>IF($B375="","",TEXT($B375,"ddd"))</f>
        <v/>
      </c>
      <c r="D375" s="40" t="n"/>
      <c r="E375" s="40" t="n"/>
      <c r="F375" s="15">
        <f>IF(OR($B375="",$D375="",$E375=""),"",ROUND(($E375-$D375)*24,2))</f>
        <v/>
      </c>
      <c r="G375" s="14" t="n"/>
      <c r="H375" s="15">
        <f>IF($G375="","",IFERROR(_xlfn.XLOOKUP($G375,nrCHname,nrCHnum),""))</f>
        <v/>
      </c>
      <c r="I375" s="14" t="n"/>
      <c r="J375" s="14" t="n"/>
      <c r="K375" s="15">
        <f>IF($B375="","",IFERROR(_xlfn.XLOOKUP($B375,nrCDdate,nrCDweek),""))</f>
        <v/>
      </c>
      <c r="L375" s="15">
        <f>IF($B375="","",IFERROR(_xlfn.XLOOKUP($B375,nrCDdate,nrCDnum),""))</f>
        <v/>
      </c>
      <c r="M375" s="14" t="n"/>
    </row>
    <row r="376">
      <c r="B376" s="16" t="n"/>
      <c r="C376" s="15">
        <f>IF($B376="","",TEXT($B376,"ddd"))</f>
        <v/>
      </c>
      <c r="D376" s="40" t="n"/>
      <c r="E376" s="40" t="n"/>
      <c r="F376" s="15">
        <f>IF(OR($B376="",$D376="",$E376=""),"",ROUND(($E376-$D376)*24,2))</f>
        <v/>
      </c>
      <c r="G376" s="14" t="n"/>
      <c r="H376" s="15">
        <f>IF($G376="","",IFERROR(_xlfn.XLOOKUP($G376,nrCHname,nrCHnum),""))</f>
        <v/>
      </c>
      <c r="I376" s="14" t="n"/>
      <c r="J376" s="14" t="n"/>
      <c r="K376" s="15">
        <f>IF($B376="","",IFERROR(_xlfn.XLOOKUP($B376,nrCDdate,nrCDweek),""))</f>
        <v/>
      </c>
      <c r="L376" s="15">
        <f>IF($B376="","",IFERROR(_xlfn.XLOOKUP($B376,nrCDdate,nrCDnum),""))</f>
        <v/>
      </c>
      <c r="M376" s="14" t="n"/>
    </row>
    <row r="377">
      <c r="B377" s="16" t="n"/>
      <c r="C377" s="15">
        <f>IF($B377="","",TEXT($B377,"ddd"))</f>
        <v/>
      </c>
      <c r="D377" s="40" t="n"/>
      <c r="E377" s="40" t="n"/>
      <c r="F377" s="15">
        <f>IF(OR($B377="",$D377="",$E377=""),"",ROUND(($E377-$D377)*24,2))</f>
        <v/>
      </c>
      <c r="G377" s="14" t="n"/>
      <c r="H377" s="15">
        <f>IF($G377="","",IFERROR(_xlfn.XLOOKUP($G377,nrCHname,nrCHnum),""))</f>
        <v/>
      </c>
      <c r="I377" s="14" t="n"/>
      <c r="J377" s="14" t="n"/>
      <c r="K377" s="15">
        <f>IF($B377="","",IFERROR(_xlfn.XLOOKUP($B377,nrCDdate,nrCDweek),""))</f>
        <v/>
      </c>
      <c r="L377" s="15">
        <f>IF($B377="","",IFERROR(_xlfn.XLOOKUP($B377,nrCDdate,nrCDnum),""))</f>
        <v/>
      </c>
      <c r="M377" s="14" t="n"/>
    </row>
    <row r="378">
      <c r="B378" s="16" t="n"/>
      <c r="C378" s="15">
        <f>IF($B378="","",TEXT($B378,"ddd"))</f>
        <v/>
      </c>
      <c r="D378" s="40" t="n"/>
      <c r="E378" s="40" t="n"/>
      <c r="F378" s="15">
        <f>IF(OR($B378="",$D378="",$E378=""),"",ROUND(($E378-$D378)*24,2))</f>
        <v/>
      </c>
      <c r="G378" s="14" t="n"/>
      <c r="H378" s="15">
        <f>IF($G378="","",IFERROR(_xlfn.XLOOKUP($G378,nrCHname,nrCHnum),""))</f>
        <v/>
      </c>
      <c r="I378" s="14" t="n"/>
      <c r="J378" s="14" t="n"/>
      <c r="K378" s="15">
        <f>IF($B378="","",IFERROR(_xlfn.XLOOKUP($B378,nrCDdate,nrCDweek),""))</f>
        <v/>
      </c>
      <c r="L378" s="15">
        <f>IF($B378="","",IFERROR(_xlfn.XLOOKUP($B378,nrCDdate,nrCDnum),""))</f>
        <v/>
      </c>
      <c r="M378" s="14" t="n"/>
    </row>
    <row r="379">
      <c r="B379" s="16" t="n"/>
      <c r="C379" s="15">
        <f>IF($B379="","",TEXT($B379,"ddd"))</f>
        <v/>
      </c>
      <c r="D379" s="40" t="n"/>
      <c r="E379" s="40" t="n"/>
      <c r="F379" s="15">
        <f>IF(OR($B379="",$D379="",$E379=""),"",ROUND(($E379-$D379)*24,2))</f>
        <v/>
      </c>
      <c r="G379" s="14" t="n"/>
      <c r="H379" s="15">
        <f>IF($G379="","",IFERROR(_xlfn.XLOOKUP($G379,nrCHname,nrCHnum),""))</f>
        <v/>
      </c>
      <c r="I379" s="14" t="n"/>
      <c r="J379" s="14" t="n"/>
      <c r="K379" s="15">
        <f>IF($B379="","",IFERROR(_xlfn.XLOOKUP($B379,nrCDdate,nrCDweek),""))</f>
        <v/>
      </c>
      <c r="L379" s="15">
        <f>IF($B379="","",IFERROR(_xlfn.XLOOKUP($B379,nrCDdate,nrCDnum),""))</f>
        <v/>
      </c>
      <c r="M379" s="14" t="n"/>
    </row>
    <row r="380">
      <c r="B380" s="16" t="n"/>
      <c r="C380" s="15">
        <f>IF($B380="","",TEXT($B380,"ddd"))</f>
        <v/>
      </c>
      <c r="D380" s="40" t="n"/>
      <c r="E380" s="40" t="n"/>
      <c r="F380" s="15">
        <f>IF(OR($B380="",$D380="",$E380=""),"",ROUND(($E380-$D380)*24,2))</f>
        <v/>
      </c>
      <c r="G380" s="14" t="n"/>
      <c r="H380" s="15">
        <f>IF($G380="","",IFERROR(_xlfn.XLOOKUP($G380,nrCHname,nrCHnum),""))</f>
        <v/>
      </c>
      <c r="I380" s="14" t="n"/>
      <c r="J380" s="14" t="n"/>
      <c r="K380" s="15">
        <f>IF($B380="","",IFERROR(_xlfn.XLOOKUP($B380,nrCDdate,nrCDweek),""))</f>
        <v/>
      </c>
      <c r="L380" s="15">
        <f>IF($B380="","",IFERROR(_xlfn.XLOOKUP($B380,nrCDdate,nrCDnum),""))</f>
        <v/>
      </c>
      <c r="M380" s="14" t="n"/>
    </row>
    <row r="381">
      <c r="B381" s="16" t="n"/>
      <c r="C381" s="15">
        <f>IF($B381="","",TEXT($B381,"ddd"))</f>
        <v/>
      </c>
      <c r="D381" s="40" t="n"/>
      <c r="E381" s="40" t="n"/>
      <c r="F381" s="15">
        <f>IF(OR($B381="",$D381="",$E381=""),"",ROUND(($E381-$D381)*24,2))</f>
        <v/>
      </c>
      <c r="G381" s="14" t="n"/>
      <c r="H381" s="15">
        <f>IF($G381="","",IFERROR(_xlfn.XLOOKUP($G381,nrCHname,nrCHnum),""))</f>
        <v/>
      </c>
      <c r="I381" s="14" t="n"/>
      <c r="J381" s="14" t="n"/>
      <c r="K381" s="15">
        <f>IF($B381="","",IFERROR(_xlfn.XLOOKUP($B381,nrCDdate,nrCDweek),""))</f>
        <v/>
      </c>
      <c r="L381" s="15">
        <f>IF($B381="","",IFERROR(_xlfn.XLOOKUP($B381,nrCDdate,nrCDnum),""))</f>
        <v/>
      </c>
      <c r="M381" s="14" t="n"/>
    </row>
    <row r="382">
      <c r="B382" s="16" t="n"/>
      <c r="C382" s="15">
        <f>IF($B382="","",TEXT($B382,"ddd"))</f>
        <v/>
      </c>
      <c r="D382" s="40" t="n"/>
      <c r="E382" s="40" t="n"/>
      <c r="F382" s="15">
        <f>IF(OR($B382="",$D382="",$E382=""),"",ROUND(($E382-$D382)*24,2))</f>
        <v/>
      </c>
      <c r="G382" s="14" t="n"/>
      <c r="H382" s="15">
        <f>IF($G382="","",IFERROR(_xlfn.XLOOKUP($G382,nrCHname,nrCHnum),""))</f>
        <v/>
      </c>
      <c r="I382" s="14" t="n"/>
      <c r="J382" s="14" t="n"/>
      <c r="K382" s="15">
        <f>IF($B382="","",IFERROR(_xlfn.XLOOKUP($B382,nrCDdate,nrCDweek),""))</f>
        <v/>
      </c>
      <c r="L382" s="15">
        <f>IF($B382="","",IFERROR(_xlfn.XLOOKUP($B382,nrCDdate,nrCDnum),""))</f>
        <v/>
      </c>
      <c r="M382" s="14" t="n"/>
    </row>
    <row r="383">
      <c r="B383" s="16" t="n"/>
      <c r="C383" s="15">
        <f>IF($B383="","",TEXT($B383,"ddd"))</f>
        <v/>
      </c>
      <c r="D383" s="40" t="n"/>
      <c r="E383" s="40" t="n"/>
      <c r="F383" s="15">
        <f>IF(OR($B383="",$D383="",$E383=""),"",ROUND(($E383-$D383)*24,2))</f>
        <v/>
      </c>
      <c r="G383" s="14" t="n"/>
      <c r="H383" s="15">
        <f>IF($G383="","",IFERROR(_xlfn.XLOOKUP($G383,nrCHname,nrCHnum),""))</f>
        <v/>
      </c>
      <c r="I383" s="14" t="n"/>
      <c r="J383" s="14" t="n"/>
      <c r="K383" s="15">
        <f>IF($B383="","",IFERROR(_xlfn.XLOOKUP($B383,nrCDdate,nrCDweek),""))</f>
        <v/>
      </c>
      <c r="L383" s="15">
        <f>IF($B383="","",IFERROR(_xlfn.XLOOKUP($B383,nrCDdate,nrCDnum),""))</f>
        <v/>
      </c>
      <c r="M383" s="14" t="n"/>
    </row>
    <row r="384">
      <c r="B384" s="16" t="n"/>
      <c r="C384" s="15">
        <f>IF($B384="","",TEXT($B384,"ddd"))</f>
        <v/>
      </c>
      <c r="D384" s="40" t="n"/>
      <c r="E384" s="40" t="n"/>
      <c r="F384" s="15">
        <f>IF(OR($B384="",$D384="",$E384=""),"",ROUND(($E384-$D384)*24,2))</f>
        <v/>
      </c>
      <c r="G384" s="14" t="n"/>
      <c r="H384" s="15">
        <f>IF($G384="","",IFERROR(_xlfn.XLOOKUP($G384,nrCHname,nrCHnum),""))</f>
        <v/>
      </c>
      <c r="I384" s="14" t="n"/>
      <c r="J384" s="14" t="n"/>
      <c r="K384" s="15">
        <f>IF($B384="","",IFERROR(_xlfn.XLOOKUP($B384,nrCDdate,nrCDweek),""))</f>
        <v/>
      </c>
      <c r="L384" s="15">
        <f>IF($B384="","",IFERROR(_xlfn.XLOOKUP($B384,nrCDdate,nrCDnum),""))</f>
        <v/>
      </c>
      <c r="M384" s="14" t="n"/>
    </row>
    <row r="385">
      <c r="B385" s="16" t="n"/>
      <c r="C385" s="15">
        <f>IF($B385="","",TEXT($B385,"ddd"))</f>
        <v/>
      </c>
      <c r="D385" s="40" t="n"/>
      <c r="E385" s="40" t="n"/>
      <c r="F385" s="15">
        <f>IF(OR($B385="",$D385="",$E385=""),"",ROUND(($E385-$D385)*24,2))</f>
        <v/>
      </c>
      <c r="G385" s="14" t="n"/>
      <c r="H385" s="15">
        <f>IF($G385="","",IFERROR(_xlfn.XLOOKUP($G385,nrCHname,nrCHnum),""))</f>
        <v/>
      </c>
      <c r="I385" s="14" t="n"/>
      <c r="J385" s="14" t="n"/>
      <c r="K385" s="15">
        <f>IF($B385="","",IFERROR(_xlfn.XLOOKUP($B385,nrCDdate,nrCDweek),""))</f>
        <v/>
      </c>
      <c r="L385" s="15">
        <f>IF($B385="","",IFERROR(_xlfn.XLOOKUP($B385,nrCDdate,nrCDnum),""))</f>
        <v/>
      </c>
      <c r="M385" s="14" t="n"/>
    </row>
    <row r="386">
      <c r="B386" s="16" t="n"/>
      <c r="C386" s="15">
        <f>IF($B386="","",TEXT($B386,"ddd"))</f>
        <v/>
      </c>
      <c r="D386" s="40" t="n"/>
      <c r="E386" s="40" t="n"/>
      <c r="F386" s="15">
        <f>IF(OR($B386="",$D386="",$E386=""),"",ROUND(($E386-$D386)*24,2))</f>
        <v/>
      </c>
      <c r="G386" s="14" t="n"/>
      <c r="H386" s="15">
        <f>IF($G386="","",IFERROR(_xlfn.XLOOKUP($G386,nrCHname,nrCHnum),""))</f>
        <v/>
      </c>
      <c r="I386" s="14" t="n"/>
      <c r="J386" s="14" t="n"/>
      <c r="K386" s="15">
        <f>IF($B386="","",IFERROR(_xlfn.XLOOKUP($B386,nrCDdate,nrCDweek),""))</f>
        <v/>
      </c>
      <c r="L386" s="15">
        <f>IF($B386="","",IFERROR(_xlfn.XLOOKUP($B386,nrCDdate,nrCDnum),""))</f>
        <v/>
      </c>
      <c r="M386" s="14" t="n"/>
    </row>
    <row r="387">
      <c r="B387" s="16" t="n"/>
      <c r="C387" s="15">
        <f>IF($B387="","",TEXT($B387,"ddd"))</f>
        <v/>
      </c>
      <c r="D387" s="40" t="n"/>
      <c r="E387" s="40" t="n"/>
      <c r="F387" s="15">
        <f>IF(OR($B387="",$D387="",$E387=""),"",ROUND(($E387-$D387)*24,2))</f>
        <v/>
      </c>
      <c r="G387" s="14" t="n"/>
      <c r="H387" s="15">
        <f>IF($G387="","",IFERROR(_xlfn.XLOOKUP($G387,nrCHname,nrCHnum),""))</f>
        <v/>
      </c>
      <c r="I387" s="14" t="n"/>
      <c r="J387" s="14" t="n"/>
      <c r="K387" s="15">
        <f>IF($B387="","",IFERROR(_xlfn.XLOOKUP($B387,nrCDdate,nrCDweek),""))</f>
        <v/>
      </c>
      <c r="L387" s="15">
        <f>IF($B387="","",IFERROR(_xlfn.XLOOKUP($B387,nrCDdate,nrCDnum),""))</f>
        <v/>
      </c>
      <c r="M387" s="14" t="n"/>
    </row>
    <row r="388">
      <c r="B388" s="16" t="n"/>
      <c r="C388" s="15">
        <f>IF($B388="","",TEXT($B388,"ddd"))</f>
        <v/>
      </c>
      <c r="D388" s="40" t="n"/>
      <c r="E388" s="40" t="n"/>
      <c r="F388" s="15">
        <f>IF(OR($B388="",$D388="",$E388=""),"",ROUND(($E388-$D388)*24,2))</f>
        <v/>
      </c>
      <c r="G388" s="14" t="n"/>
      <c r="H388" s="15">
        <f>IF($G388="","",IFERROR(_xlfn.XLOOKUP($G388,nrCHname,nrCHnum),""))</f>
        <v/>
      </c>
      <c r="I388" s="14" t="n"/>
      <c r="J388" s="14" t="n"/>
      <c r="K388" s="15">
        <f>IF($B388="","",IFERROR(_xlfn.XLOOKUP($B388,nrCDdate,nrCDweek),""))</f>
        <v/>
      </c>
      <c r="L388" s="15">
        <f>IF($B388="","",IFERROR(_xlfn.XLOOKUP($B388,nrCDdate,nrCDnum),""))</f>
        <v/>
      </c>
      <c r="M388" s="14" t="n"/>
    </row>
    <row r="389">
      <c r="B389" s="16" t="n"/>
      <c r="C389" s="15">
        <f>IF($B389="","",TEXT($B389,"ddd"))</f>
        <v/>
      </c>
      <c r="D389" s="40" t="n"/>
      <c r="E389" s="40" t="n"/>
      <c r="F389" s="15">
        <f>IF(OR($B389="",$D389="",$E389=""),"",ROUND(($E389-$D389)*24,2))</f>
        <v/>
      </c>
      <c r="G389" s="14" t="n"/>
      <c r="H389" s="15">
        <f>IF($G389="","",IFERROR(_xlfn.XLOOKUP($G389,nrCHname,nrCHnum),""))</f>
        <v/>
      </c>
      <c r="I389" s="14" t="n"/>
      <c r="J389" s="14" t="n"/>
      <c r="K389" s="15">
        <f>IF($B389="","",IFERROR(_xlfn.XLOOKUP($B389,nrCDdate,nrCDweek),""))</f>
        <v/>
      </c>
      <c r="L389" s="15">
        <f>IF($B389="","",IFERROR(_xlfn.XLOOKUP($B389,nrCDdate,nrCDnum),""))</f>
        <v/>
      </c>
      <c r="M389" s="14" t="n"/>
    </row>
    <row r="390">
      <c r="B390" s="16" t="n"/>
      <c r="C390" s="15">
        <f>IF($B390="","",TEXT($B390,"ddd"))</f>
        <v/>
      </c>
      <c r="D390" s="40" t="n"/>
      <c r="E390" s="40" t="n"/>
      <c r="F390" s="15">
        <f>IF(OR($B390="",$D390="",$E390=""),"",ROUND(($E390-$D390)*24,2))</f>
        <v/>
      </c>
      <c r="G390" s="14" t="n"/>
      <c r="H390" s="15">
        <f>IF($G390="","",IFERROR(_xlfn.XLOOKUP($G390,nrCHname,nrCHnum),""))</f>
        <v/>
      </c>
      <c r="I390" s="14" t="n"/>
      <c r="J390" s="14" t="n"/>
      <c r="K390" s="15">
        <f>IF($B390="","",IFERROR(_xlfn.XLOOKUP($B390,nrCDdate,nrCDweek),""))</f>
        <v/>
      </c>
      <c r="L390" s="15">
        <f>IF($B390="","",IFERROR(_xlfn.XLOOKUP($B390,nrCDdate,nrCDnum),""))</f>
        <v/>
      </c>
      <c r="M390" s="14" t="n"/>
    </row>
    <row r="391">
      <c r="B391" s="16" t="n"/>
      <c r="C391" s="15">
        <f>IF($B391="","",TEXT($B391,"ddd"))</f>
        <v/>
      </c>
      <c r="D391" s="40" t="n"/>
      <c r="E391" s="40" t="n"/>
      <c r="F391" s="15">
        <f>IF(OR($B391="",$D391="",$E391=""),"",ROUND(($E391-$D391)*24,2))</f>
        <v/>
      </c>
      <c r="G391" s="14" t="n"/>
      <c r="H391" s="15">
        <f>IF($G391="","",IFERROR(_xlfn.XLOOKUP($G391,nrCHname,nrCHnum),""))</f>
        <v/>
      </c>
      <c r="I391" s="14" t="n"/>
      <c r="J391" s="14" t="n"/>
      <c r="K391" s="15">
        <f>IF($B391="","",IFERROR(_xlfn.XLOOKUP($B391,nrCDdate,nrCDweek),""))</f>
        <v/>
      </c>
      <c r="L391" s="15">
        <f>IF($B391="","",IFERROR(_xlfn.XLOOKUP($B391,nrCDdate,nrCDnum),""))</f>
        <v/>
      </c>
      <c r="M391" s="14" t="n"/>
    </row>
    <row r="392">
      <c r="B392" s="16" t="n"/>
      <c r="C392" s="15">
        <f>IF($B392="","",TEXT($B392,"ddd"))</f>
        <v/>
      </c>
      <c r="D392" s="40" t="n"/>
      <c r="E392" s="40" t="n"/>
      <c r="F392" s="15">
        <f>IF(OR($B392="",$D392="",$E392=""),"",ROUND(($E392-$D392)*24,2))</f>
        <v/>
      </c>
      <c r="G392" s="14" t="n"/>
      <c r="H392" s="15">
        <f>IF($G392="","",IFERROR(_xlfn.XLOOKUP($G392,nrCHname,nrCHnum),""))</f>
        <v/>
      </c>
      <c r="I392" s="14" t="n"/>
      <c r="J392" s="14" t="n"/>
      <c r="K392" s="15">
        <f>IF($B392="","",IFERROR(_xlfn.XLOOKUP($B392,nrCDdate,nrCDweek),""))</f>
        <v/>
      </c>
      <c r="L392" s="15">
        <f>IF($B392="","",IFERROR(_xlfn.XLOOKUP($B392,nrCDdate,nrCDnum),""))</f>
        <v/>
      </c>
      <c r="M392" s="14" t="n"/>
    </row>
    <row r="393">
      <c r="B393" s="16" t="n"/>
      <c r="C393" s="15">
        <f>IF($B393="","",TEXT($B393,"ddd"))</f>
        <v/>
      </c>
      <c r="D393" s="40" t="n"/>
      <c r="E393" s="40" t="n"/>
      <c r="F393" s="15">
        <f>IF(OR($B393="",$D393="",$E393=""),"",ROUND(($E393-$D393)*24,2))</f>
        <v/>
      </c>
      <c r="G393" s="14" t="n"/>
      <c r="H393" s="15">
        <f>IF($G393="","",IFERROR(_xlfn.XLOOKUP($G393,nrCHname,nrCHnum),""))</f>
        <v/>
      </c>
      <c r="I393" s="14" t="n"/>
      <c r="J393" s="14" t="n"/>
      <c r="K393" s="15">
        <f>IF($B393="","",IFERROR(_xlfn.XLOOKUP($B393,nrCDdate,nrCDweek),""))</f>
        <v/>
      </c>
      <c r="L393" s="15">
        <f>IF($B393="","",IFERROR(_xlfn.XLOOKUP($B393,nrCDdate,nrCDnum),""))</f>
        <v/>
      </c>
      <c r="M393" s="14" t="n"/>
    </row>
    <row r="394">
      <c r="B394" s="16" t="n"/>
      <c r="C394" s="15">
        <f>IF($B394="","",TEXT($B394,"ddd"))</f>
        <v/>
      </c>
      <c r="D394" s="40" t="n"/>
      <c r="E394" s="40" t="n"/>
      <c r="F394" s="15">
        <f>IF(OR($B394="",$D394="",$E394=""),"",ROUND(($E394-$D394)*24,2))</f>
        <v/>
      </c>
      <c r="G394" s="14" t="n"/>
      <c r="H394" s="15">
        <f>IF($G394="","",IFERROR(_xlfn.XLOOKUP($G394,nrCHname,nrCHnum),""))</f>
        <v/>
      </c>
      <c r="I394" s="14" t="n"/>
      <c r="J394" s="14" t="n"/>
      <c r="K394" s="15">
        <f>IF($B394="","",IFERROR(_xlfn.XLOOKUP($B394,nrCDdate,nrCDweek),""))</f>
        <v/>
      </c>
      <c r="L394" s="15">
        <f>IF($B394="","",IFERROR(_xlfn.XLOOKUP($B394,nrCDdate,nrCDnum),""))</f>
        <v/>
      </c>
      <c r="M394" s="14" t="n"/>
    </row>
    <row r="395">
      <c r="B395" s="16" t="n"/>
      <c r="C395" s="15">
        <f>IF($B395="","",TEXT($B395,"ddd"))</f>
        <v/>
      </c>
      <c r="D395" s="40" t="n"/>
      <c r="E395" s="40" t="n"/>
      <c r="F395" s="15">
        <f>IF(OR($B395="",$D395="",$E395=""),"",ROUND(($E395-$D395)*24,2))</f>
        <v/>
      </c>
      <c r="G395" s="14" t="n"/>
      <c r="H395" s="15">
        <f>IF($G395="","",IFERROR(_xlfn.XLOOKUP($G395,nrCHname,nrCHnum),""))</f>
        <v/>
      </c>
      <c r="I395" s="14" t="n"/>
      <c r="J395" s="14" t="n"/>
      <c r="K395" s="15">
        <f>IF($B395="","",IFERROR(_xlfn.XLOOKUP($B395,nrCDdate,nrCDweek),""))</f>
        <v/>
      </c>
      <c r="L395" s="15">
        <f>IF($B395="","",IFERROR(_xlfn.XLOOKUP($B395,nrCDdate,nrCDnum),""))</f>
        <v/>
      </c>
      <c r="M395" s="14" t="n"/>
    </row>
    <row r="396">
      <c r="B396" s="16" t="n"/>
      <c r="C396" s="15">
        <f>IF($B396="","",TEXT($B396,"ddd"))</f>
        <v/>
      </c>
      <c r="D396" s="40" t="n"/>
      <c r="E396" s="40" t="n"/>
      <c r="F396" s="15">
        <f>IF(OR($B396="",$D396="",$E396=""),"",ROUND(($E396-$D396)*24,2))</f>
        <v/>
      </c>
      <c r="G396" s="14" t="n"/>
      <c r="H396" s="15">
        <f>IF($G396="","",IFERROR(_xlfn.XLOOKUP($G396,nrCHname,nrCHnum),""))</f>
        <v/>
      </c>
      <c r="I396" s="14" t="n"/>
      <c r="J396" s="14" t="n"/>
      <c r="K396" s="15">
        <f>IF($B396="","",IFERROR(_xlfn.XLOOKUP($B396,nrCDdate,nrCDweek),""))</f>
        <v/>
      </c>
      <c r="L396" s="15">
        <f>IF($B396="","",IFERROR(_xlfn.XLOOKUP($B396,nrCDdate,nrCDnum),""))</f>
        <v/>
      </c>
      <c r="M396" s="14" t="n"/>
    </row>
    <row r="397">
      <c r="B397" s="16" t="n"/>
      <c r="C397" s="15">
        <f>IF($B397="","",TEXT($B397,"ddd"))</f>
        <v/>
      </c>
      <c r="D397" s="40" t="n"/>
      <c r="E397" s="40" t="n"/>
      <c r="F397" s="15">
        <f>IF(OR($B397="",$D397="",$E397=""),"",ROUND(($E397-$D397)*24,2))</f>
        <v/>
      </c>
      <c r="G397" s="14" t="n"/>
      <c r="H397" s="15">
        <f>IF($G397="","",IFERROR(_xlfn.XLOOKUP($G397,nrCHname,nrCHnum),""))</f>
        <v/>
      </c>
      <c r="I397" s="14" t="n"/>
      <c r="J397" s="14" t="n"/>
      <c r="K397" s="15">
        <f>IF($B397="","",IFERROR(_xlfn.XLOOKUP($B397,nrCDdate,nrCDweek),""))</f>
        <v/>
      </c>
      <c r="L397" s="15">
        <f>IF($B397="","",IFERROR(_xlfn.XLOOKUP($B397,nrCDdate,nrCDnum),""))</f>
        <v/>
      </c>
      <c r="M397" s="14" t="n"/>
    </row>
    <row r="398">
      <c r="B398" s="16" t="n"/>
      <c r="C398" s="15">
        <f>IF($B398="","",TEXT($B398,"ddd"))</f>
        <v/>
      </c>
      <c r="D398" s="40" t="n"/>
      <c r="E398" s="40" t="n"/>
      <c r="F398" s="15">
        <f>IF(OR($B398="",$D398="",$E398=""),"",ROUND(($E398-$D398)*24,2))</f>
        <v/>
      </c>
      <c r="G398" s="14" t="n"/>
      <c r="H398" s="15">
        <f>IF($G398="","",IFERROR(_xlfn.XLOOKUP($G398,nrCHname,nrCHnum),""))</f>
        <v/>
      </c>
      <c r="I398" s="14" t="n"/>
      <c r="J398" s="14" t="n"/>
      <c r="K398" s="15">
        <f>IF($B398="","",IFERROR(_xlfn.XLOOKUP($B398,nrCDdate,nrCDweek),""))</f>
        <v/>
      </c>
      <c r="L398" s="15">
        <f>IF($B398="","",IFERROR(_xlfn.XLOOKUP($B398,nrCDdate,nrCDnum),""))</f>
        <v/>
      </c>
      <c r="M398" s="14" t="n"/>
    </row>
    <row r="399">
      <c r="B399" s="16" t="n"/>
      <c r="C399" s="15">
        <f>IF($B399="","",TEXT($B399,"ddd"))</f>
        <v/>
      </c>
      <c r="D399" s="40" t="n"/>
      <c r="E399" s="40" t="n"/>
      <c r="F399" s="15">
        <f>IF(OR($B399="",$D399="",$E399=""),"",ROUND(($E399-$D399)*24,2))</f>
        <v/>
      </c>
      <c r="G399" s="14" t="n"/>
      <c r="H399" s="15">
        <f>IF($G399="","",IFERROR(_xlfn.XLOOKUP($G399,nrCHname,nrCHnum),""))</f>
        <v/>
      </c>
      <c r="I399" s="14" t="n"/>
      <c r="J399" s="14" t="n"/>
      <c r="K399" s="15">
        <f>IF($B399="","",IFERROR(_xlfn.XLOOKUP($B399,nrCDdate,nrCDweek),""))</f>
        <v/>
      </c>
      <c r="L399" s="15">
        <f>IF($B399="","",IFERROR(_xlfn.XLOOKUP($B399,nrCDdate,nrCDnum),""))</f>
        <v/>
      </c>
      <c r="M399" s="14" t="n"/>
    </row>
    <row r="400">
      <c r="B400" s="16" t="n"/>
      <c r="C400" s="15">
        <f>IF($B400="","",TEXT($B400,"ddd"))</f>
        <v/>
      </c>
      <c r="D400" s="40" t="n"/>
      <c r="E400" s="40" t="n"/>
      <c r="F400" s="15">
        <f>IF(OR($B400="",$D400="",$E400=""),"",ROUND(($E400-$D400)*24,2))</f>
        <v/>
      </c>
      <c r="G400" s="14" t="n"/>
      <c r="H400" s="15">
        <f>IF($G400="","",IFERROR(_xlfn.XLOOKUP($G400,nrCHname,nrCHnum),""))</f>
        <v/>
      </c>
      <c r="I400" s="14" t="n"/>
      <c r="J400" s="14" t="n"/>
      <c r="K400" s="15">
        <f>IF($B400="","",IFERROR(_xlfn.XLOOKUP($B400,nrCDdate,nrCDweek),""))</f>
        <v/>
      </c>
      <c r="L400" s="15">
        <f>IF($B400="","",IFERROR(_xlfn.XLOOKUP($B400,nrCDdate,nrCDnum),""))</f>
        <v/>
      </c>
      <c r="M400" s="14" t="n"/>
    </row>
    <row r="401">
      <c r="B401" s="16" t="n"/>
      <c r="C401" s="15">
        <f>IF($B401="","",TEXT($B401,"ddd"))</f>
        <v/>
      </c>
      <c r="D401" s="40" t="n"/>
      <c r="E401" s="40" t="n"/>
      <c r="F401" s="15">
        <f>IF(OR($B401="",$D401="",$E401=""),"",ROUND(($E401-$D401)*24,2))</f>
        <v/>
      </c>
      <c r="G401" s="14" t="n"/>
      <c r="H401" s="15">
        <f>IF($G401="","",IFERROR(_xlfn.XLOOKUP($G401,nrCHname,nrCHnum),""))</f>
        <v/>
      </c>
      <c r="I401" s="14" t="n"/>
      <c r="J401" s="14" t="n"/>
      <c r="K401" s="15">
        <f>IF($B401="","",IFERROR(_xlfn.XLOOKUP($B401,nrCDdate,nrCDweek),""))</f>
        <v/>
      </c>
      <c r="L401" s="15">
        <f>IF($B401="","",IFERROR(_xlfn.XLOOKUP($B401,nrCDdate,nrCDnum),""))</f>
        <v/>
      </c>
      <c r="M401" s="14" t="n"/>
    </row>
    <row r="402">
      <c r="B402" s="16" t="n"/>
      <c r="C402" s="15">
        <f>IF($B402="","",TEXT($B402,"ddd"))</f>
        <v/>
      </c>
      <c r="D402" s="40" t="n"/>
      <c r="E402" s="40" t="n"/>
      <c r="F402" s="15">
        <f>IF(OR($B402="",$D402="",$E402=""),"",ROUND(($E402-$D402)*24,2))</f>
        <v/>
      </c>
      <c r="G402" s="14" t="n"/>
      <c r="H402" s="15">
        <f>IF($G402="","",IFERROR(_xlfn.XLOOKUP($G402,nrCHname,nrCHnum),""))</f>
        <v/>
      </c>
      <c r="I402" s="14" t="n"/>
      <c r="J402" s="14" t="n"/>
      <c r="K402" s="15">
        <f>IF($B402="","",IFERROR(_xlfn.XLOOKUP($B402,nrCDdate,nrCDweek),""))</f>
        <v/>
      </c>
      <c r="L402" s="15">
        <f>IF($B402="","",IFERROR(_xlfn.XLOOKUP($B402,nrCDdate,nrCDnum),""))</f>
        <v/>
      </c>
      <c r="M402" s="14" t="n"/>
    </row>
    <row r="403">
      <c r="B403" s="16" t="n"/>
      <c r="C403" s="15">
        <f>IF($B403="","",TEXT($B403,"ddd"))</f>
        <v/>
      </c>
      <c r="D403" s="40" t="n"/>
      <c r="E403" s="40" t="n"/>
      <c r="F403" s="15">
        <f>IF(OR($B403="",$D403="",$E403=""),"",ROUND(($E403-$D403)*24,2))</f>
        <v/>
      </c>
      <c r="G403" s="14" t="n"/>
      <c r="H403" s="15">
        <f>IF($G403="","",IFERROR(_xlfn.XLOOKUP($G403,nrCHname,nrCHnum),""))</f>
        <v/>
      </c>
      <c r="I403" s="14" t="n"/>
      <c r="J403" s="14" t="n"/>
      <c r="K403" s="15">
        <f>IF($B403="","",IFERROR(_xlfn.XLOOKUP($B403,nrCDdate,nrCDweek),""))</f>
        <v/>
      </c>
      <c r="L403" s="15">
        <f>IF($B403="","",IFERROR(_xlfn.XLOOKUP($B403,nrCDdate,nrCDnum),""))</f>
        <v/>
      </c>
      <c r="M403" s="14" t="n"/>
    </row>
    <row r="404">
      <c r="B404" s="16" t="n"/>
      <c r="C404" s="15">
        <f>IF($B404="","",TEXT($B404,"ddd"))</f>
        <v/>
      </c>
      <c r="D404" s="40" t="n"/>
      <c r="E404" s="40" t="n"/>
      <c r="F404" s="15">
        <f>IF(OR($B404="",$D404="",$E404=""),"",ROUND(($E404-$D404)*24,2))</f>
        <v/>
      </c>
      <c r="G404" s="14" t="n"/>
      <c r="H404" s="15">
        <f>IF($G404="","",IFERROR(_xlfn.XLOOKUP($G404,nrCHname,nrCHnum),""))</f>
        <v/>
      </c>
      <c r="I404" s="14" t="n"/>
      <c r="J404" s="14" t="n"/>
      <c r="K404" s="15">
        <f>IF($B404="","",IFERROR(_xlfn.XLOOKUP($B404,nrCDdate,nrCDweek),""))</f>
        <v/>
      </c>
      <c r="L404" s="15">
        <f>IF($B404="","",IFERROR(_xlfn.XLOOKUP($B404,nrCDdate,nrCDnum),""))</f>
        <v/>
      </c>
      <c r="M404" s="14" t="n"/>
    </row>
    <row r="405">
      <c r="B405" s="16" t="n"/>
      <c r="C405" s="15">
        <f>IF($B405="","",TEXT($B405,"ddd"))</f>
        <v/>
      </c>
      <c r="D405" s="40" t="n"/>
      <c r="E405" s="40" t="n"/>
      <c r="F405" s="15">
        <f>IF(OR($B405="",$D405="",$E405=""),"",ROUND(($E405-$D405)*24,2))</f>
        <v/>
      </c>
      <c r="G405" s="14" t="n"/>
      <c r="H405" s="15">
        <f>IF($G405="","",IFERROR(_xlfn.XLOOKUP($G405,nrCHname,nrCHnum),""))</f>
        <v/>
      </c>
      <c r="I405" s="14" t="n"/>
      <c r="J405" s="14" t="n"/>
      <c r="K405" s="15">
        <f>IF($B405="","",IFERROR(_xlfn.XLOOKUP($B405,nrCDdate,nrCDweek),""))</f>
        <v/>
      </c>
      <c r="L405" s="15">
        <f>IF($B405="","",IFERROR(_xlfn.XLOOKUP($B405,nrCDdate,nrCDnum),""))</f>
        <v/>
      </c>
      <c r="M405" s="14" t="n"/>
    </row>
    <row r="406">
      <c r="B406" s="16" t="n"/>
      <c r="C406" s="15">
        <f>IF($B406="","",TEXT($B406,"ddd"))</f>
        <v/>
      </c>
      <c r="D406" s="40" t="n"/>
      <c r="E406" s="40" t="n"/>
      <c r="F406" s="15">
        <f>IF(OR($B406="",$D406="",$E406=""),"",ROUND(($E406-$D406)*24,2))</f>
        <v/>
      </c>
      <c r="G406" s="14" t="n"/>
      <c r="H406" s="15">
        <f>IF($G406="","",IFERROR(_xlfn.XLOOKUP($G406,nrCHname,nrCHnum),""))</f>
        <v/>
      </c>
      <c r="I406" s="14" t="n"/>
      <c r="J406" s="14" t="n"/>
      <c r="K406" s="15">
        <f>IF($B406="","",IFERROR(_xlfn.XLOOKUP($B406,nrCDdate,nrCDweek),""))</f>
        <v/>
      </c>
      <c r="L406" s="15">
        <f>IF($B406="","",IFERROR(_xlfn.XLOOKUP($B406,nrCDdate,nrCDnum),""))</f>
        <v/>
      </c>
      <c r="M406" s="14" t="n"/>
    </row>
    <row r="407">
      <c r="B407" s="16" t="n"/>
      <c r="C407" s="15">
        <f>IF($B407="","",TEXT($B407,"ddd"))</f>
        <v/>
      </c>
      <c r="D407" s="40" t="n"/>
      <c r="E407" s="40" t="n"/>
      <c r="F407" s="15">
        <f>IF(OR($B407="",$D407="",$E407=""),"",ROUND(($E407-$D407)*24,2))</f>
        <v/>
      </c>
      <c r="G407" s="14" t="n"/>
      <c r="H407" s="15">
        <f>IF($G407="","",IFERROR(_xlfn.XLOOKUP($G407,nrCHname,nrCHnum),""))</f>
        <v/>
      </c>
      <c r="I407" s="14" t="n"/>
      <c r="J407" s="14" t="n"/>
      <c r="K407" s="15">
        <f>IF($B407="","",IFERROR(_xlfn.XLOOKUP($B407,nrCDdate,nrCDweek),""))</f>
        <v/>
      </c>
      <c r="L407" s="15">
        <f>IF($B407="","",IFERROR(_xlfn.XLOOKUP($B407,nrCDdate,nrCDnum),""))</f>
        <v/>
      </c>
      <c r="M407" s="14" t="n"/>
    </row>
    <row r="408">
      <c r="B408" s="16" t="n"/>
      <c r="C408" s="15">
        <f>IF($B408="","",TEXT($B408,"ddd"))</f>
        <v/>
      </c>
      <c r="D408" s="40" t="n"/>
      <c r="E408" s="40" t="n"/>
      <c r="F408" s="15">
        <f>IF(OR($B408="",$D408="",$E408=""),"",ROUND(($E408-$D408)*24,2))</f>
        <v/>
      </c>
      <c r="G408" s="14" t="n"/>
      <c r="H408" s="15">
        <f>IF($G408="","",IFERROR(_xlfn.XLOOKUP($G408,nrCHname,nrCHnum),""))</f>
        <v/>
      </c>
      <c r="I408" s="14" t="n"/>
      <c r="J408" s="14" t="n"/>
      <c r="K408" s="15">
        <f>IF($B408="","",IFERROR(_xlfn.XLOOKUP($B408,nrCDdate,nrCDweek),""))</f>
        <v/>
      </c>
      <c r="L408" s="15">
        <f>IF($B408="","",IFERROR(_xlfn.XLOOKUP($B408,nrCDdate,nrCDnum),""))</f>
        <v/>
      </c>
      <c r="M408" s="14" t="n"/>
    </row>
    <row r="409">
      <c r="B409" s="16" t="n"/>
      <c r="C409" s="15">
        <f>IF($B409="","",TEXT($B409,"ddd"))</f>
        <v/>
      </c>
      <c r="D409" s="40" t="n"/>
      <c r="E409" s="40" t="n"/>
      <c r="F409" s="15">
        <f>IF(OR($B409="",$D409="",$E409=""),"",ROUND(($E409-$D409)*24,2))</f>
        <v/>
      </c>
      <c r="G409" s="14" t="n"/>
      <c r="H409" s="15">
        <f>IF($G409="","",IFERROR(_xlfn.XLOOKUP($G409,nrCHname,nrCHnum),""))</f>
        <v/>
      </c>
      <c r="I409" s="14" t="n"/>
      <c r="J409" s="14" t="n"/>
      <c r="K409" s="15">
        <f>IF($B409="","",IFERROR(_xlfn.XLOOKUP($B409,nrCDdate,nrCDweek),""))</f>
        <v/>
      </c>
      <c r="L409" s="15">
        <f>IF($B409="","",IFERROR(_xlfn.XLOOKUP($B409,nrCDdate,nrCDnum),""))</f>
        <v/>
      </c>
      <c r="M409" s="14" t="n"/>
    </row>
    <row r="410">
      <c r="B410" s="16" t="n"/>
      <c r="C410" s="15">
        <f>IF($B410="","",TEXT($B410,"ddd"))</f>
        <v/>
      </c>
      <c r="D410" s="40" t="n"/>
      <c r="E410" s="40" t="n"/>
      <c r="F410" s="15">
        <f>IF(OR($B410="",$D410="",$E410=""),"",ROUND(($E410-$D410)*24,2))</f>
        <v/>
      </c>
      <c r="G410" s="14" t="n"/>
      <c r="H410" s="15">
        <f>IF($G410="","",IFERROR(_xlfn.XLOOKUP($G410,nrCHname,nrCHnum),""))</f>
        <v/>
      </c>
      <c r="I410" s="14" t="n"/>
      <c r="J410" s="14" t="n"/>
      <c r="K410" s="15">
        <f>IF($B410="","",IFERROR(_xlfn.XLOOKUP($B410,nrCDdate,nrCDweek),""))</f>
        <v/>
      </c>
      <c r="L410" s="15">
        <f>IF($B410="","",IFERROR(_xlfn.XLOOKUP($B410,nrCDdate,nrCDnum),""))</f>
        <v/>
      </c>
      <c r="M410" s="14" t="n"/>
    </row>
    <row r="411">
      <c r="B411" s="16" t="n"/>
      <c r="C411" s="15">
        <f>IF($B411="","",TEXT($B411,"ddd"))</f>
        <v/>
      </c>
      <c r="D411" s="40" t="n"/>
      <c r="E411" s="40" t="n"/>
      <c r="F411" s="15">
        <f>IF(OR($B411="",$D411="",$E411=""),"",ROUND(($E411-$D411)*24,2))</f>
        <v/>
      </c>
      <c r="G411" s="14" t="n"/>
      <c r="H411" s="15">
        <f>IF($G411="","",IFERROR(_xlfn.XLOOKUP($G411,nrCHname,nrCHnum),""))</f>
        <v/>
      </c>
      <c r="I411" s="14" t="n"/>
      <c r="J411" s="14" t="n"/>
      <c r="K411" s="15">
        <f>IF($B411="","",IFERROR(_xlfn.XLOOKUP($B411,nrCDdate,nrCDweek),""))</f>
        <v/>
      </c>
      <c r="L411" s="15">
        <f>IF($B411="","",IFERROR(_xlfn.XLOOKUP($B411,nrCDdate,nrCDnum),""))</f>
        <v/>
      </c>
      <c r="M411" s="14" t="n"/>
    </row>
    <row r="412">
      <c r="B412" s="16" t="n"/>
      <c r="C412" s="15">
        <f>IF($B412="","",TEXT($B412,"ddd"))</f>
        <v/>
      </c>
      <c r="D412" s="40" t="n"/>
      <c r="E412" s="40" t="n"/>
      <c r="F412" s="15">
        <f>IF(OR($B412="",$D412="",$E412=""),"",ROUND(($E412-$D412)*24,2))</f>
        <v/>
      </c>
      <c r="G412" s="14" t="n"/>
      <c r="H412" s="15">
        <f>IF($G412="","",IFERROR(_xlfn.XLOOKUP($G412,nrCHname,nrCHnum),""))</f>
        <v/>
      </c>
      <c r="I412" s="14" t="n"/>
      <c r="J412" s="14" t="n"/>
      <c r="K412" s="15">
        <f>IF($B412="","",IFERROR(_xlfn.XLOOKUP($B412,nrCDdate,nrCDweek),""))</f>
        <v/>
      </c>
      <c r="L412" s="15">
        <f>IF($B412="","",IFERROR(_xlfn.XLOOKUP($B412,nrCDdate,nrCDnum),""))</f>
        <v/>
      </c>
      <c r="M412" s="14" t="n"/>
    </row>
    <row r="413">
      <c r="B413" s="16" t="n"/>
      <c r="C413" s="15">
        <f>IF($B413="","",TEXT($B413,"ddd"))</f>
        <v/>
      </c>
      <c r="D413" s="40" t="n"/>
      <c r="E413" s="40" t="n"/>
      <c r="F413" s="15">
        <f>IF(OR($B413="",$D413="",$E413=""),"",ROUND(($E413-$D413)*24,2))</f>
        <v/>
      </c>
      <c r="G413" s="14" t="n"/>
      <c r="H413" s="15">
        <f>IF($G413="","",IFERROR(_xlfn.XLOOKUP($G413,nrCHname,nrCHnum),""))</f>
        <v/>
      </c>
      <c r="I413" s="14" t="n"/>
      <c r="J413" s="14" t="n"/>
      <c r="K413" s="15">
        <f>IF($B413="","",IFERROR(_xlfn.XLOOKUP($B413,nrCDdate,nrCDweek),""))</f>
        <v/>
      </c>
      <c r="L413" s="15">
        <f>IF($B413="","",IFERROR(_xlfn.XLOOKUP($B413,nrCDdate,nrCDnum),""))</f>
        <v/>
      </c>
      <c r="M413" s="14" t="n"/>
    </row>
    <row r="414">
      <c r="B414" s="16" t="n"/>
      <c r="C414" s="15">
        <f>IF($B414="","",TEXT($B414,"ddd"))</f>
        <v/>
      </c>
      <c r="D414" s="40" t="n"/>
      <c r="E414" s="40" t="n"/>
      <c r="F414" s="15">
        <f>IF(OR($B414="",$D414="",$E414=""),"",ROUND(($E414-$D414)*24,2))</f>
        <v/>
      </c>
      <c r="G414" s="14" t="n"/>
      <c r="H414" s="15">
        <f>IF($G414="","",IFERROR(_xlfn.XLOOKUP($G414,nrCHname,nrCHnum),""))</f>
        <v/>
      </c>
      <c r="I414" s="14" t="n"/>
      <c r="J414" s="14" t="n"/>
      <c r="K414" s="15">
        <f>IF($B414="","",IFERROR(_xlfn.XLOOKUP($B414,nrCDdate,nrCDweek),""))</f>
        <v/>
      </c>
      <c r="L414" s="15">
        <f>IF($B414="","",IFERROR(_xlfn.XLOOKUP($B414,nrCDdate,nrCDnum),""))</f>
        <v/>
      </c>
      <c r="M414" s="14" t="n"/>
    </row>
    <row r="415">
      <c r="B415" s="16" t="n"/>
      <c r="C415" s="15">
        <f>IF($B415="","",TEXT($B415,"ddd"))</f>
        <v/>
      </c>
      <c r="D415" s="40" t="n"/>
      <c r="E415" s="40" t="n"/>
      <c r="F415" s="15">
        <f>IF(OR($B415="",$D415="",$E415=""),"",ROUND(($E415-$D415)*24,2))</f>
        <v/>
      </c>
      <c r="G415" s="14" t="n"/>
      <c r="H415" s="15">
        <f>IF($G415="","",IFERROR(_xlfn.XLOOKUP($G415,nrCHname,nrCHnum),""))</f>
        <v/>
      </c>
      <c r="I415" s="14" t="n"/>
      <c r="J415" s="14" t="n"/>
      <c r="K415" s="15">
        <f>IF($B415="","",IFERROR(_xlfn.XLOOKUP($B415,nrCDdate,nrCDweek),""))</f>
        <v/>
      </c>
      <c r="L415" s="15">
        <f>IF($B415="","",IFERROR(_xlfn.XLOOKUP($B415,nrCDdate,nrCDnum),""))</f>
        <v/>
      </c>
      <c r="M415" s="14" t="n"/>
    </row>
    <row r="416">
      <c r="B416" s="16" t="n"/>
      <c r="C416" s="15">
        <f>IF($B416="","",TEXT($B416,"ddd"))</f>
        <v/>
      </c>
      <c r="D416" s="40" t="n"/>
      <c r="E416" s="40" t="n"/>
      <c r="F416" s="15">
        <f>IF(OR($B416="",$D416="",$E416=""),"",ROUND(($E416-$D416)*24,2))</f>
        <v/>
      </c>
      <c r="G416" s="14" t="n"/>
      <c r="H416" s="15">
        <f>IF($G416="","",IFERROR(_xlfn.XLOOKUP($G416,nrCHname,nrCHnum),""))</f>
        <v/>
      </c>
      <c r="I416" s="14" t="n"/>
      <c r="J416" s="14" t="n"/>
      <c r="K416" s="15">
        <f>IF($B416="","",IFERROR(_xlfn.XLOOKUP($B416,nrCDdate,nrCDweek),""))</f>
        <v/>
      </c>
      <c r="L416" s="15">
        <f>IF($B416="","",IFERROR(_xlfn.XLOOKUP($B416,nrCDdate,nrCDnum),""))</f>
        <v/>
      </c>
      <c r="M416" s="14" t="n"/>
    </row>
    <row r="417">
      <c r="B417" s="16" t="n"/>
      <c r="C417" s="15">
        <f>IF($B417="","",TEXT($B417,"ddd"))</f>
        <v/>
      </c>
      <c r="D417" s="40" t="n"/>
      <c r="E417" s="40" t="n"/>
      <c r="F417" s="15">
        <f>IF(OR($B417="",$D417="",$E417=""),"",ROUND(($E417-$D417)*24,2))</f>
        <v/>
      </c>
      <c r="G417" s="14" t="n"/>
      <c r="H417" s="15">
        <f>IF($G417="","",IFERROR(_xlfn.XLOOKUP($G417,nrCHname,nrCHnum),""))</f>
        <v/>
      </c>
      <c r="I417" s="14" t="n"/>
      <c r="J417" s="14" t="n"/>
      <c r="K417" s="15">
        <f>IF($B417="","",IFERROR(_xlfn.XLOOKUP($B417,nrCDdate,nrCDweek),""))</f>
        <v/>
      </c>
      <c r="L417" s="15">
        <f>IF($B417="","",IFERROR(_xlfn.XLOOKUP($B417,nrCDdate,nrCDnum),""))</f>
        <v/>
      </c>
      <c r="M417" s="14" t="n"/>
    </row>
    <row r="418">
      <c r="B418" s="16" t="n"/>
      <c r="C418" s="15">
        <f>IF($B418="","",TEXT($B418,"ddd"))</f>
        <v/>
      </c>
      <c r="D418" s="40" t="n"/>
      <c r="E418" s="40" t="n"/>
      <c r="F418" s="15">
        <f>IF(OR($B418="",$D418="",$E418=""),"",ROUND(($E418-$D418)*24,2))</f>
        <v/>
      </c>
      <c r="G418" s="14" t="n"/>
      <c r="H418" s="15">
        <f>IF($G418="","",IFERROR(_xlfn.XLOOKUP($G418,nrCHname,nrCHnum),""))</f>
        <v/>
      </c>
      <c r="I418" s="14" t="n"/>
      <c r="J418" s="14" t="n"/>
      <c r="K418" s="15">
        <f>IF($B418="","",IFERROR(_xlfn.XLOOKUP($B418,nrCDdate,nrCDweek),""))</f>
        <v/>
      </c>
      <c r="L418" s="15">
        <f>IF($B418="","",IFERROR(_xlfn.XLOOKUP($B418,nrCDdate,nrCDnum),""))</f>
        <v/>
      </c>
      <c r="M418" s="14" t="n"/>
    </row>
    <row r="419">
      <c r="B419" s="16" t="n"/>
      <c r="C419" s="15">
        <f>IF($B419="","",TEXT($B419,"ddd"))</f>
        <v/>
      </c>
      <c r="D419" s="40" t="n"/>
      <c r="E419" s="40" t="n"/>
      <c r="F419" s="15">
        <f>IF(OR($B419="",$D419="",$E419=""),"",ROUND(($E419-$D419)*24,2))</f>
        <v/>
      </c>
      <c r="G419" s="14" t="n"/>
      <c r="H419" s="15">
        <f>IF($G419="","",IFERROR(_xlfn.XLOOKUP($G419,nrCHname,nrCHnum),""))</f>
        <v/>
      </c>
      <c r="I419" s="14" t="n"/>
      <c r="J419" s="14" t="n"/>
      <c r="K419" s="15">
        <f>IF($B419="","",IFERROR(_xlfn.XLOOKUP($B419,nrCDdate,nrCDweek),""))</f>
        <v/>
      </c>
      <c r="L419" s="15">
        <f>IF($B419="","",IFERROR(_xlfn.XLOOKUP($B419,nrCDdate,nrCDnum),""))</f>
        <v/>
      </c>
      <c r="M419" s="14" t="n"/>
    </row>
    <row r="420">
      <c r="B420" s="16" t="n"/>
      <c r="C420" s="15">
        <f>IF($B420="","",TEXT($B420,"ddd"))</f>
        <v/>
      </c>
      <c r="D420" s="40" t="n"/>
      <c r="E420" s="40" t="n"/>
      <c r="F420" s="15">
        <f>IF(OR($B420="",$D420="",$E420=""),"",ROUND(($E420-$D420)*24,2))</f>
        <v/>
      </c>
      <c r="G420" s="14" t="n"/>
      <c r="H420" s="15">
        <f>IF($G420="","",IFERROR(_xlfn.XLOOKUP($G420,nrCHname,nrCHnum),""))</f>
        <v/>
      </c>
      <c r="I420" s="14" t="n"/>
      <c r="J420" s="14" t="n"/>
      <c r="K420" s="15">
        <f>IF($B420="","",IFERROR(_xlfn.XLOOKUP($B420,nrCDdate,nrCDweek),""))</f>
        <v/>
      </c>
      <c r="L420" s="15">
        <f>IF($B420="","",IFERROR(_xlfn.XLOOKUP($B420,nrCDdate,nrCDnum),""))</f>
        <v/>
      </c>
      <c r="M420" s="14" t="n"/>
    </row>
    <row r="421">
      <c r="B421" s="16" t="n"/>
      <c r="C421" s="15">
        <f>IF($B421="","",TEXT($B421,"ddd"))</f>
        <v/>
      </c>
      <c r="D421" s="40" t="n"/>
      <c r="E421" s="40" t="n"/>
      <c r="F421" s="15">
        <f>IF(OR($B421="",$D421="",$E421=""),"",ROUND(($E421-$D421)*24,2))</f>
        <v/>
      </c>
      <c r="G421" s="14" t="n"/>
      <c r="H421" s="15">
        <f>IF($G421="","",IFERROR(_xlfn.XLOOKUP($G421,nrCHname,nrCHnum),""))</f>
        <v/>
      </c>
      <c r="I421" s="14" t="n"/>
      <c r="J421" s="14" t="n"/>
      <c r="K421" s="15">
        <f>IF($B421="","",IFERROR(_xlfn.XLOOKUP($B421,nrCDdate,nrCDweek),""))</f>
        <v/>
      </c>
      <c r="L421" s="15">
        <f>IF($B421="","",IFERROR(_xlfn.XLOOKUP($B421,nrCDdate,nrCDnum),""))</f>
        <v/>
      </c>
      <c r="M421" s="14" t="n"/>
    </row>
    <row r="422">
      <c r="B422" s="16" t="n"/>
      <c r="C422" s="15">
        <f>IF($B422="","",TEXT($B422,"ddd"))</f>
        <v/>
      </c>
      <c r="D422" s="40" t="n"/>
      <c r="E422" s="40" t="n"/>
      <c r="F422" s="15">
        <f>IF(OR($B422="",$D422="",$E422=""),"",ROUND(($E422-$D422)*24,2))</f>
        <v/>
      </c>
      <c r="G422" s="14" t="n"/>
      <c r="H422" s="15">
        <f>IF($G422="","",IFERROR(_xlfn.XLOOKUP($G422,nrCHname,nrCHnum),""))</f>
        <v/>
      </c>
      <c r="I422" s="14" t="n"/>
      <c r="J422" s="14" t="n"/>
      <c r="K422" s="15">
        <f>IF($B422="","",IFERROR(_xlfn.XLOOKUP($B422,nrCDdate,nrCDweek),""))</f>
        <v/>
      </c>
      <c r="L422" s="15">
        <f>IF($B422="","",IFERROR(_xlfn.XLOOKUP($B422,nrCDdate,nrCDnum),""))</f>
        <v/>
      </c>
      <c r="M422" s="14" t="n"/>
    </row>
    <row r="423">
      <c r="B423" s="16" t="n"/>
      <c r="C423" s="15">
        <f>IF($B423="","",TEXT($B423,"ddd"))</f>
        <v/>
      </c>
      <c r="D423" s="40" t="n"/>
      <c r="E423" s="40" t="n"/>
      <c r="F423" s="15">
        <f>IF(OR($B423="",$D423="",$E423=""),"",ROUND(($E423-$D423)*24,2))</f>
        <v/>
      </c>
      <c r="G423" s="14" t="n"/>
      <c r="H423" s="15">
        <f>IF($G423="","",IFERROR(_xlfn.XLOOKUP($G423,nrCHname,nrCHnum),""))</f>
        <v/>
      </c>
      <c r="I423" s="14" t="n"/>
      <c r="J423" s="14" t="n"/>
      <c r="K423" s="15">
        <f>IF($B423="","",IFERROR(_xlfn.XLOOKUP($B423,nrCDdate,nrCDweek),""))</f>
        <v/>
      </c>
      <c r="L423" s="15">
        <f>IF($B423="","",IFERROR(_xlfn.XLOOKUP($B423,nrCDdate,nrCDnum),""))</f>
        <v/>
      </c>
      <c r="M423" s="14" t="n"/>
    </row>
    <row r="424">
      <c r="B424" s="16" t="n"/>
      <c r="C424" s="15">
        <f>IF($B424="","",TEXT($B424,"ddd"))</f>
        <v/>
      </c>
      <c r="D424" s="40" t="n"/>
      <c r="E424" s="40" t="n"/>
      <c r="F424" s="15">
        <f>IF(OR($B424="",$D424="",$E424=""),"",ROUND(($E424-$D424)*24,2))</f>
        <v/>
      </c>
      <c r="G424" s="14" t="n"/>
      <c r="H424" s="15">
        <f>IF($G424="","",IFERROR(_xlfn.XLOOKUP($G424,nrCHname,nrCHnum),""))</f>
        <v/>
      </c>
      <c r="I424" s="14" t="n"/>
      <c r="J424" s="14" t="n"/>
      <c r="K424" s="15">
        <f>IF($B424="","",IFERROR(_xlfn.XLOOKUP($B424,nrCDdate,nrCDweek),""))</f>
        <v/>
      </c>
      <c r="L424" s="15">
        <f>IF($B424="","",IFERROR(_xlfn.XLOOKUP($B424,nrCDdate,nrCDnum),""))</f>
        <v/>
      </c>
      <c r="M424" s="14" t="n"/>
    </row>
    <row r="425">
      <c r="B425" s="16" t="n"/>
      <c r="C425" s="15">
        <f>IF($B425="","",TEXT($B425,"ddd"))</f>
        <v/>
      </c>
      <c r="D425" s="40" t="n"/>
      <c r="E425" s="40" t="n"/>
      <c r="F425" s="15">
        <f>IF(OR($B425="",$D425="",$E425=""),"",ROUND(($E425-$D425)*24,2))</f>
        <v/>
      </c>
      <c r="G425" s="14" t="n"/>
      <c r="H425" s="15">
        <f>IF($G425="","",IFERROR(_xlfn.XLOOKUP($G425,nrCHname,nrCHnum),""))</f>
        <v/>
      </c>
      <c r="I425" s="14" t="n"/>
      <c r="J425" s="14" t="n"/>
      <c r="K425" s="15">
        <f>IF($B425="","",IFERROR(_xlfn.XLOOKUP($B425,nrCDdate,nrCDweek),""))</f>
        <v/>
      </c>
      <c r="L425" s="15">
        <f>IF($B425="","",IFERROR(_xlfn.XLOOKUP($B425,nrCDdate,nrCDnum),""))</f>
        <v/>
      </c>
      <c r="M425" s="14" t="n"/>
    </row>
    <row r="426">
      <c r="B426" s="16" t="n"/>
      <c r="C426" s="15">
        <f>IF($B426="","",TEXT($B426,"ddd"))</f>
        <v/>
      </c>
      <c r="D426" s="40" t="n"/>
      <c r="E426" s="40" t="n"/>
      <c r="F426" s="15">
        <f>IF(OR($B426="",$D426="",$E426=""),"",ROUND(($E426-$D426)*24,2))</f>
        <v/>
      </c>
      <c r="G426" s="14" t="n"/>
      <c r="H426" s="15">
        <f>IF($G426="","",IFERROR(_xlfn.XLOOKUP($G426,nrCHname,nrCHnum),""))</f>
        <v/>
      </c>
      <c r="I426" s="14" t="n"/>
      <c r="J426" s="14" t="n"/>
      <c r="K426" s="15">
        <f>IF($B426="","",IFERROR(_xlfn.XLOOKUP($B426,nrCDdate,nrCDweek),""))</f>
        <v/>
      </c>
      <c r="L426" s="15">
        <f>IF($B426="","",IFERROR(_xlfn.XLOOKUP($B426,nrCDdate,nrCDnum),""))</f>
        <v/>
      </c>
      <c r="M426" s="14" t="n"/>
    </row>
    <row r="427">
      <c r="B427" s="16" t="n"/>
      <c r="C427" s="15">
        <f>IF($B427="","",TEXT($B427,"ddd"))</f>
        <v/>
      </c>
      <c r="D427" s="40" t="n"/>
      <c r="E427" s="40" t="n"/>
      <c r="F427" s="15">
        <f>IF(OR($B427="",$D427="",$E427=""),"",ROUND(($E427-$D427)*24,2))</f>
        <v/>
      </c>
      <c r="G427" s="14" t="n"/>
      <c r="H427" s="15">
        <f>IF($G427="","",IFERROR(_xlfn.XLOOKUP($G427,nrCHname,nrCHnum),""))</f>
        <v/>
      </c>
      <c r="I427" s="14" t="n"/>
      <c r="J427" s="14" t="n"/>
      <c r="K427" s="15">
        <f>IF($B427="","",IFERROR(_xlfn.XLOOKUP($B427,nrCDdate,nrCDweek),""))</f>
        <v/>
      </c>
      <c r="L427" s="15">
        <f>IF($B427="","",IFERROR(_xlfn.XLOOKUP($B427,nrCDdate,nrCDnum),""))</f>
        <v/>
      </c>
      <c r="M427" s="14" t="n"/>
    </row>
    <row r="428">
      <c r="B428" s="16" t="n"/>
      <c r="C428" s="15">
        <f>IF($B428="","",TEXT($B428,"ddd"))</f>
        <v/>
      </c>
      <c r="D428" s="40" t="n"/>
      <c r="E428" s="40" t="n"/>
      <c r="F428" s="15">
        <f>IF(OR($B428="",$D428="",$E428=""),"",ROUND(($E428-$D428)*24,2))</f>
        <v/>
      </c>
      <c r="G428" s="14" t="n"/>
      <c r="H428" s="15">
        <f>IF($G428="","",IFERROR(_xlfn.XLOOKUP($G428,nrCHname,nrCHnum),""))</f>
        <v/>
      </c>
      <c r="I428" s="14" t="n"/>
      <c r="J428" s="14" t="n"/>
      <c r="K428" s="15">
        <f>IF($B428="","",IFERROR(_xlfn.XLOOKUP($B428,nrCDdate,nrCDweek),""))</f>
        <v/>
      </c>
      <c r="L428" s="15">
        <f>IF($B428="","",IFERROR(_xlfn.XLOOKUP($B428,nrCDdate,nrCDnum),""))</f>
        <v/>
      </c>
      <c r="M428" s="14" t="n"/>
    </row>
    <row r="429">
      <c r="B429" s="16" t="n"/>
      <c r="C429" s="15">
        <f>IF($B429="","",TEXT($B429,"ddd"))</f>
        <v/>
      </c>
      <c r="D429" s="40" t="n"/>
      <c r="E429" s="40" t="n"/>
      <c r="F429" s="15">
        <f>IF(OR($B429="",$D429="",$E429=""),"",ROUND(($E429-$D429)*24,2))</f>
        <v/>
      </c>
      <c r="G429" s="14" t="n"/>
      <c r="H429" s="15">
        <f>IF($G429="","",IFERROR(_xlfn.XLOOKUP($G429,nrCHname,nrCHnum),""))</f>
        <v/>
      </c>
      <c r="I429" s="14" t="n"/>
      <c r="J429" s="14" t="n"/>
      <c r="K429" s="15">
        <f>IF($B429="","",IFERROR(_xlfn.XLOOKUP($B429,nrCDdate,nrCDweek),""))</f>
        <v/>
      </c>
      <c r="L429" s="15">
        <f>IF($B429="","",IFERROR(_xlfn.XLOOKUP($B429,nrCDdate,nrCDnum),""))</f>
        <v/>
      </c>
      <c r="M429" s="14" t="n"/>
    </row>
    <row r="430">
      <c r="B430" s="16" t="n"/>
      <c r="C430" s="15">
        <f>IF($B430="","",TEXT($B430,"ddd"))</f>
        <v/>
      </c>
      <c r="D430" s="40" t="n"/>
      <c r="E430" s="40" t="n"/>
      <c r="F430" s="15">
        <f>IF(OR($B430="",$D430="",$E430=""),"",ROUND(($E430-$D430)*24,2))</f>
        <v/>
      </c>
      <c r="G430" s="14" t="n"/>
      <c r="H430" s="15">
        <f>IF($G430="","",IFERROR(_xlfn.XLOOKUP($G430,nrCHname,nrCHnum),""))</f>
        <v/>
      </c>
      <c r="I430" s="14" t="n"/>
      <c r="J430" s="14" t="n"/>
      <c r="K430" s="15">
        <f>IF($B430="","",IFERROR(_xlfn.XLOOKUP($B430,nrCDdate,nrCDweek),""))</f>
        <v/>
      </c>
      <c r="L430" s="15">
        <f>IF($B430="","",IFERROR(_xlfn.XLOOKUP($B430,nrCDdate,nrCDnum),""))</f>
        <v/>
      </c>
      <c r="M430" s="14" t="n"/>
    </row>
    <row r="431">
      <c r="B431" s="16" t="n"/>
      <c r="C431" s="15">
        <f>IF($B431="","",TEXT($B431,"ddd"))</f>
        <v/>
      </c>
      <c r="D431" s="40" t="n"/>
      <c r="E431" s="40" t="n"/>
      <c r="F431" s="15">
        <f>IF(OR($B431="",$D431="",$E431=""),"",ROUND(($E431-$D431)*24,2))</f>
        <v/>
      </c>
      <c r="G431" s="14" t="n"/>
      <c r="H431" s="15">
        <f>IF($G431="","",IFERROR(_xlfn.XLOOKUP($G431,nrCHname,nrCHnum),""))</f>
        <v/>
      </c>
      <c r="I431" s="14" t="n"/>
      <c r="J431" s="14" t="n"/>
      <c r="K431" s="15">
        <f>IF($B431="","",IFERROR(_xlfn.XLOOKUP($B431,nrCDdate,nrCDweek),""))</f>
        <v/>
      </c>
      <c r="L431" s="15">
        <f>IF($B431="","",IFERROR(_xlfn.XLOOKUP($B431,nrCDdate,nrCDnum),""))</f>
        <v/>
      </c>
      <c r="M431" s="14" t="n"/>
    </row>
    <row r="432">
      <c r="B432" s="16" t="n"/>
      <c r="C432" s="15">
        <f>IF($B432="","",TEXT($B432,"ddd"))</f>
        <v/>
      </c>
      <c r="D432" s="40" t="n"/>
      <c r="E432" s="40" t="n"/>
      <c r="F432" s="15">
        <f>IF(OR($B432="",$D432="",$E432=""),"",ROUND(($E432-$D432)*24,2))</f>
        <v/>
      </c>
      <c r="G432" s="14" t="n"/>
      <c r="H432" s="15">
        <f>IF($G432="","",IFERROR(_xlfn.XLOOKUP($G432,nrCHname,nrCHnum),""))</f>
        <v/>
      </c>
      <c r="I432" s="14" t="n"/>
      <c r="J432" s="14" t="n"/>
      <c r="K432" s="15">
        <f>IF($B432="","",IFERROR(_xlfn.XLOOKUP($B432,nrCDdate,nrCDweek),""))</f>
        <v/>
      </c>
      <c r="L432" s="15">
        <f>IF($B432="","",IFERROR(_xlfn.XLOOKUP($B432,nrCDdate,nrCDnum),""))</f>
        <v/>
      </c>
      <c r="M432" s="14" t="n"/>
    </row>
    <row r="433">
      <c r="B433" s="16" t="n"/>
      <c r="C433" s="15">
        <f>IF($B433="","",TEXT($B433,"ddd"))</f>
        <v/>
      </c>
      <c r="D433" s="40" t="n"/>
      <c r="E433" s="40" t="n"/>
      <c r="F433" s="15">
        <f>IF(OR($B433="",$D433="",$E433=""),"",ROUND(($E433-$D433)*24,2))</f>
        <v/>
      </c>
      <c r="G433" s="14" t="n"/>
      <c r="H433" s="15">
        <f>IF($G433="","",IFERROR(_xlfn.XLOOKUP($G433,nrCHname,nrCHnum),""))</f>
        <v/>
      </c>
      <c r="I433" s="14" t="n"/>
      <c r="J433" s="14" t="n"/>
      <c r="K433" s="15">
        <f>IF($B433="","",IFERROR(_xlfn.XLOOKUP($B433,nrCDdate,nrCDweek),""))</f>
        <v/>
      </c>
      <c r="L433" s="15">
        <f>IF($B433="","",IFERROR(_xlfn.XLOOKUP($B433,nrCDdate,nrCDnum),""))</f>
        <v/>
      </c>
      <c r="M433" s="14" t="n"/>
    </row>
    <row r="434">
      <c r="B434" s="16" t="n"/>
      <c r="C434" s="15">
        <f>IF($B434="","",TEXT($B434,"ddd"))</f>
        <v/>
      </c>
      <c r="D434" s="40" t="n"/>
      <c r="E434" s="40" t="n"/>
      <c r="F434" s="15">
        <f>IF(OR($B434="",$D434="",$E434=""),"",ROUND(($E434-$D434)*24,2))</f>
        <v/>
      </c>
      <c r="G434" s="14" t="n"/>
      <c r="H434" s="15">
        <f>IF($G434="","",IFERROR(_xlfn.XLOOKUP($G434,nrCHname,nrCHnum),""))</f>
        <v/>
      </c>
      <c r="I434" s="14" t="n"/>
      <c r="J434" s="14" t="n"/>
      <c r="K434" s="15">
        <f>IF($B434="","",IFERROR(_xlfn.XLOOKUP($B434,nrCDdate,nrCDweek),""))</f>
        <v/>
      </c>
      <c r="L434" s="15">
        <f>IF($B434="","",IFERROR(_xlfn.XLOOKUP($B434,nrCDdate,nrCDnum),""))</f>
        <v/>
      </c>
      <c r="M434" s="14" t="n"/>
    </row>
    <row r="435">
      <c r="B435" s="16" t="n"/>
      <c r="C435" s="15">
        <f>IF($B435="","",TEXT($B435,"ddd"))</f>
        <v/>
      </c>
      <c r="D435" s="40" t="n"/>
      <c r="E435" s="40" t="n"/>
      <c r="F435" s="15">
        <f>IF(OR($B435="",$D435="",$E435=""),"",ROUND(($E435-$D435)*24,2))</f>
        <v/>
      </c>
      <c r="G435" s="14" t="n"/>
      <c r="H435" s="15">
        <f>IF($G435="","",IFERROR(_xlfn.XLOOKUP($G435,nrCHname,nrCHnum),""))</f>
        <v/>
      </c>
      <c r="I435" s="14" t="n"/>
      <c r="J435" s="14" t="n"/>
      <c r="K435" s="15">
        <f>IF($B435="","",IFERROR(_xlfn.XLOOKUP($B435,nrCDdate,nrCDweek),""))</f>
        <v/>
      </c>
      <c r="L435" s="15">
        <f>IF($B435="","",IFERROR(_xlfn.XLOOKUP($B435,nrCDdate,nrCDnum),""))</f>
        <v/>
      </c>
      <c r="M435" s="14" t="n"/>
    </row>
    <row r="436">
      <c r="B436" s="16" t="n"/>
      <c r="C436" s="15">
        <f>IF($B436="","",TEXT($B436,"ddd"))</f>
        <v/>
      </c>
      <c r="D436" s="40" t="n"/>
      <c r="E436" s="40" t="n"/>
      <c r="F436" s="15">
        <f>IF(OR($B436="",$D436="",$E436=""),"",ROUND(($E436-$D436)*24,2))</f>
        <v/>
      </c>
      <c r="G436" s="14" t="n"/>
      <c r="H436" s="15">
        <f>IF($G436="","",IFERROR(_xlfn.XLOOKUP($G436,nrCHname,nrCHnum),""))</f>
        <v/>
      </c>
      <c r="I436" s="14" t="n"/>
      <c r="J436" s="14" t="n"/>
      <c r="K436" s="15">
        <f>IF($B436="","",IFERROR(_xlfn.XLOOKUP($B436,nrCDdate,nrCDweek),""))</f>
        <v/>
      </c>
      <c r="L436" s="15">
        <f>IF($B436="","",IFERROR(_xlfn.XLOOKUP($B436,nrCDdate,nrCDnum),""))</f>
        <v/>
      </c>
      <c r="M436" s="14" t="n"/>
    </row>
    <row r="437">
      <c r="B437" s="16" t="n"/>
      <c r="C437" s="15">
        <f>IF($B437="","",TEXT($B437,"ddd"))</f>
        <v/>
      </c>
      <c r="D437" s="40" t="n"/>
      <c r="E437" s="40" t="n"/>
      <c r="F437" s="15">
        <f>IF(OR($B437="",$D437="",$E437=""),"",ROUND(($E437-$D437)*24,2))</f>
        <v/>
      </c>
      <c r="G437" s="14" t="n"/>
      <c r="H437" s="15">
        <f>IF($G437="","",IFERROR(_xlfn.XLOOKUP($G437,nrCHname,nrCHnum),""))</f>
        <v/>
      </c>
      <c r="I437" s="14" t="n"/>
      <c r="J437" s="14" t="n"/>
      <c r="K437" s="15">
        <f>IF($B437="","",IFERROR(_xlfn.XLOOKUP($B437,nrCDdate,nrCDweek),""))</f>
        <v/>
      </c>
      <c r="L437" s="15">
        <f>IF($B437="","",IFERROR(_xlfn.XLOOKUP($B437,nrCDdate,nrCDnum),""))</f>
        <v/>
      </c>
      <c r="M437" s="14" t="n"/>
    </row>
    <row r="438">
      <c r="B438" s="16" t="n"/>
      <c r="C438" s="15">
        <f>IF($B438="","",TEXT($B438,"ddd"))</f>
        <v/>
      </c>
      <c r="D438" s="40" t="n"/>
      <c r="E438" s="40" t="n"/>
      <c r="F438" s="15">
        <f>IF(OR($B438="",$D438="",$E438=""),"",ROUND(($E438-$D438)*24,2))</f>
        <v/>
      </c>
      <c r="G438" s="14" t="n"/>
      <c r="H438" s="15">
        <f>IF($G438="","",IFERROR(_xlfn.XLOOKUP($G438,nrCHname,nrCHnum),""))</f>
        <v/>
      </c>
      <c r="I438" s="14" t="n"/>
      <c r="J438" s="14" t="n"/>
      <c r="K438" s="15">
        <f>IF($B438="","",IFERROR(_xlfn.XLOOKUP($B438,nrCDdate,nrCDweek),""))</f>
        <v/>
      </c>
      <c r="L438" s="15">
        <f>IF($B438="","",IFERROR(_xlfn.XLOOKUP($B438,nrCDdate,nrCDnum),""))</f>
        <v/>
      </c>
      <c r="M438" s="14" t="n"/>
    </row>
    <row r="439">
      <c r="B439" s="16" t="n"/>
      <c r="C439" s="15">
        <f>IF($B439="","",TEXT($B439,"ddd"))</f>
        <v/>
      </c>
      <c r="D439" s="40" t="n"/>
      <c r="E439" s="40" t="n"/>
      <c r="F439" s="15">
        <f>IF(OR($B439="",$D439="",$E439=""),"",ROUND(($E439-$D439)*24,2))</f>
        <v/>
      </c>
      <c r="G439" s="14" t="n"/>
      <c r="H439" s="15">
        <f>IF($G439="","",IFERROR(_xlfn.XLOOKUP($G439,nrCHname,nrCHnum),""))</f>
        <v/>
      </c>
      <c r="I439" s="14" t="n"/>
      <c r="J439" s="14" t="n"/>
      <c r="K439" s="15">
        <f>IF($B439="","",IFERROR(_xlfn.XLOOKUP($B439,nrCDdate,nrCDweek),""))</f>
        <v/>
      </c>
      <c r="L439" s="15">
        <f>IF($B439="","",IFERROR(_xlfn.XLOOKUP($B439,nrCDdate,nrCDnum),""))</f>
        <v/>
      </c>
      <c r="M439" s="14" t="n"/>
    </row>
    <row r="440">
      <c r="B440" s="16" t="n"/>
      <c r="C440" s="15">
        <f>IF($B440="","",TEXT($B440,"ddd"))</f>
        <v/>
      </c>
      <c r="D440" s="40" t="n"/>
      <c r="E440" s="40" t="n"/>
      <c r="F440" s="15">
        <f>IF(OR($B440="",$D440="",$E440=""),"",ROUND(($E440-$D440)*24,2))</f>
        <v/>
      </c>
      <c r="G440" s="14" t="n"/>
      <c r="H440" s="15">
        <f>IF($G440="","",IFERROR(_xlfn.XLOOKUP($G440,nrCHname,nrCHnum),""))</f>
        <v/>
      </c>
      <c r="I440" s="14" t="n"/>
      <c r="J440" s="14" t="n"/>
      <c r="K440" s="15">
        <f>IF($B440="","",IFERROR(_xlfn.XLOOKUP($B440,nrCDdate,nrCDweek),""))</f>
        <v/>
      </c>
      <c r="L440" s="15">
        <f>IF($B440="","",IFERROR(_xlfn.XLOOKUP($B440,nrCDdate,nrCDnum),""))</f>
        <v/>
      </c>
      <c r="M440" s="14" t="n"/>
    </row>
    <row r="441">
      <c r="B441" s="16" t="n"/>
      <c r="C441" s="15">
        <f>IF($B441="","",TEXT($B441,"ddd"))</f>
        <v/>
      </c>
      <c r="D441" s="40" t="n"/>
      <c r="E441" s="40" t="n"/>
      <c r="F441" s="15">
        <f>IF(OR($B441="",$D441="",$E441=""),"",ROUND(($E441-$D441)*24,2))</f>
        <v/>
      </c>
      <c r="G441" s="14" t="n"/>
      <c r="H441" s="15">
        <f>IF($G441="","",IFERROR(_xlfn.XLOOKUP($G441,nrCHname,nrCHnum),""))</f>
        <v/>
      </c>
      <c r="I441" s="14" t="n"/>
      <c r="J441" s="14" t="n"/>
      <c r="K441" s="15">
        <f>IF($B441="","",IFERROR(_xlfn.XLOOKUP($B441,nrCDdate,nrCDweek),""))</f>
        <v/>
      </c>
      <c r="L441" s="15">
        <f>IF($B441="","",IFERROR(_xlfn.XLOOKUP($B441,nrCDdate,nrCDnum),""))</f>
        <v/>
      </c>
      <c r="M441" s="14" t="n"/>
    </row>
    <row r="442">
      <c r="B442" s="16" t="n"/>
      <c r="C442" s="15">
        <f>IF($B442="","",TEXT($B442,"ddd"))</f>
        <v/>
      </c>
      <c r="D442" s="40" t="n"/>
      <c r="E442" s="40" t="n"/>
      <c r="F442" s="15">
        <f>IF(OR($B442="",$D442="",$E442=""),"",ROUND(($E442-$D442)*24,2))</f>
        <v/>
      </c>
      <c r="G442" s="14" t="n"/>
      <c r="H442" s="15">
        <f>IF($G442="","",IFERROR(_xlfn.XLOOKUP($G442,nrCHname,nrCHnum),""))</f>
        <v/>
      </c>
      <c r="I442" s="14" t="n"/>
      <c r="J442" s="14" t="n"/>
      <c r="K442" s="15">
        <f>IF($B442="","",IFERROR(_xlfn.XLOOKUP($B442,nrCDdate,nrCDweek),""))</f>
        <v/>
      </c>
      <c r="L442" s="15">
        <f>IF($B442="","",IFERROR(_xlfn.XLOOKUP($B442,nrCDdate,nrCDnum),""))</f>
        <v/>
      </c>
      <c r="M442" s="14" t="n"/>
    </row>
    <row r="443">
      <c r="B443" s="16" t="n"/>
      <c r="C443" s="15">
        <f>IF($B443="","",TEXT($B443,"ddd"))</f>
        <v/>
      </c>
      <c r="D443" s="40" t="n"/>
      <c r="E443" s="40" t="n"/>
      <c r="F443" s="15">
        <f>IF(OR($B443="",$D443="",$E443=""),"",ROUND(($E443-$D443)*24,2))</f>
        <v/>
      </c>
      <c r="G443" s="14" t="n"/>
      <c r="H443" s="15">
        <f>IF($G443="","",IFERROR(_xlfn.XLOOKUP($G443,nrCHname,nrCHnum),""))</f>
        <v/>
      </c>
      <c r="I443" s="14" t="n"/>
      <c r="J443" s="14" t="n"/>
      <c r="K443" s="15">
        <f>IF($B443="","",IFERROR(_xlfn.XLOOKUP($B443,nrCDdate,nrCDweek),""))</f>
        <v/>
      </c>
      <c r="L443" s="15">
        <f>IF($B443="","",IFERROR(_xlfn.XLOOKUP($B443,nrCDdate,nrCDnum),""))</f>
        <v/>
      </c>
      <c r="M443" s="14" t="n"/>
    </row>
    <row r="444">
      <c r="B444" s="16" t="n"/>
      <c r="C444" s="15">
        <f>IF($B444="","",TEXT($B444,"ddd"))</f>
        <v/>
      </c>
      <c r="D444" s="40" t="n"/>
      <c r="E444" s="40" t="n"/>
      <c r="F444" s="15">
        <f>IF(OR($B444="",$D444="",$E444=""),"",ROUND(($E444-$D444)*24,2))</f>
        <v/>
      </c>
      <c r="G444" s="14" t="n"/>
      <c r="H444" s="15">
        <f>IF($G444="","",IFERROR(_xlfn.XLOOKUP($G444,nrCHname,nrCHnum),""))</f>
        <v/>
      </c>
      <c r="I444" s="14" t="n"/>
      <c r="J444" s="14" t="n"/>
      <c r="K444" s="15">
        <f>IF($B444="","",IFERROR(_xlfn.XLOOKUP($B444,nrCDdate,nrCDweek),""))</f>
        <v/>
      </c>
      <c r="L444" s="15">
        <f>IF($B444="","",IFERROR(_xlfn.XLOOKUP($B444,nrCDdate,nrCDnum),""))</f>
        <v/>
      </c>
      <c r="M444" s="14" t="n"/>
    </row>
    <row r="445">
      <c r="B445" s="16" t="n"/>
      <c r="C445" s="15">
        <f>IF($B445="","",TEXT($B445,"ddd"))</f>
        <v/>
      </c>
      <c r="D445" s="40" t="n"/>
      <c r="E445" s="40" t="n"/>
      <c r="F445" s="15">
        <f>IF(OR($B445="",$D445="",$E445=""),"",ROUND(($E445-$D445)*24,2))</f>
        <v/>
      </c>
      <c r="G445" s="14" t="n"/>
      <c r="H445" s="15">
        <f>IF($G445="","",IFERROR(_xlfn.XLOOKUP($G445,nrCHname,nrCHnum),""))</f>
        <v/>
      </c>
      <c r="I445" s="14" t="n"/>
      <c r="J445" s="14" t="n"/>
      <c r="K445" s="15">
        <f>IF($B445="","",IFERROR(_xlfn.XLOOKUP($B445,nrCDdate,nrCDweek),""))</f>
        <v/>
      </c>
      <c r="L445" s="15">
        <f>IF($B445="","",IFERROR(_xlfn.XLOOKUP($B445,nrCDdate,nrCDnum),""))</f>
        <v/>
      </c>
      <c r="M445" s="14" t="n"/>
    </row>
    <row r="446">
      <c r="B446" s="16" t="n"/>
      <c r="C446" s="15">
        <f>IF($B446="","",TEXT($B446,"ddd"))</f>
        <v/>
      </c>
      <c r="D446" s="40" t="n"/>
      <c r="E446" s="40" t="n"/>
      <c r="F446" s="15">
        <f>IF(OR($B446="",$D446="",$E446=""),"",ROUND(($E446-$D446)*24,2))</f>
        <v/>
      </c>
      <c r="G446" s="14" t="n"/>
      <c r="H446" s="15">
        <f>IF($G446="","",IFERROR(_xlfn.XLOOKUP($G446,nrCHname,nrCHnum),""))</f>
        <v/>
      </c>
      <c r="I446" s="14" t="n"/>
      <c r="J446" s="14" t="n"/>
      <c r="K446" s="15">
        <f>IF($B446="","",IFERROR(_xlfn.XLOOKUP($B446,nrCDdate,nrCDweek),""))</f>
        <v/>
      </c>
      <c r="L446" s="15">
        <f>IF($B446="","",IFERROR(_xlfn.XLOOKUP($B446,nrCDdate,nrCDnum),""))</f>
        <v/>
      </c>
      <c r="M446" s="14" t="n"/>
    </row>
    <row r="447">
      <c r="B447" s="16" t="n"/>
      <c r="C447" s="15">
        <f>IF($B447="","",TEXT($B447,"ddd"))</f>
        <v/>
      </c>
      <c r="D447" s="40" t="n"/>
      <c r="E447" s="40" t="n"/>
      <c r="F447" s="15">
        <f>IF(OR($B447="",$D447="",$E447=""),"",ROUND(($E447-$D447)*24,2))</f>
        <v/>
      </c>
      <c r="G447" s="14" t="n"/>
      <c r="H447" s="15">
        <f>IF($G447="","",IFERROR(_xlfn.XLOOKUP($G447,nrCHname,nrCHnum),""))</f>
        <v/>
      </c>
      <c r="I447" s="14" t="n"/>
      <c r="J447" s="14" t="n"/>
      <c r="K447" s="15">
        <f>IF($B447="","",IFERROR(_xlfn.XLOOKUP($B447,nrCDdate,nrCDweek),""))</f>
        <v/>
      </c>
      <c r="L447" s="15">
        <f>IF($B447="","",IFERROR(_xlfn.XLOOKUP($B447,nrCDdate,nrCDnum),""))</f>
        <v/>
      </c>
      <c r="M447" s="14" t="n"/>
    </row>
    <row r="448">
      <c r="B448" s="16" t="n"/>
      <c r="C448" s="15">
        <f>IF($B448="","",TEXT($B448,"ddd"))</f>
        <v/>
      </c>
      <c r="D448" s="40" t="n"/>
      <c r="E448" s="40" t="n"/>
      <c r="F448" s="15">
        <f>IF(OR($B448="",$D448="",$E448=""),"",ROUND(($E448-$D448)*24,2))</f>
        <v/>
      </c>
      <c r="G448" s="14" t="n"/>
      <c r="H448" s="15">
        <f>IF($G448="","",IFERROR(_xlfn.XLOOKUP($G448,nrCHname,nrCHnum),""))</f>
        <v/>
      </c>
      <c r="I448" s="14" t="n"/>
      <c r="J448" s="14" t="n"/>
      <c r="K448" s="15">
        <f>IF($B448="","",IFERROR(_xlfn.XLOOKUP($B448,nrCDdate,nrCDweek),""))</f>
        <v/>
      </c>
      <c r="L448" s="15">
        <f>IF($B448="","",IFERROR(_xlfn.XLOOKUP($B448,nrCDdate,nrCDnum),""))</f>
        <v/>
      </c>
      <c r="M448" s="14" t="n"/>
    </row>
    <row r="449">
      <c r="B449" s="16" t="n"/>
      <c r="C449" s="15">
        <f>IF($B449="","",TEXT($B449,"ddd"))</f>
        <v/>
      </c>
      <c r="D449" s="40" t="n"/>
      <c r="E449" s="40" t="n"/>
      <c r="F449" s="15">
        <f>IF(OR($B449="",$D449="",$E449=""),"",ROUND(($E449-$D449)*24,2))</f>
        <v/>
      </c>
      <c r="G449" s="14" t="n"/>
      <c r="H449" s="15">
        <f>IF($G449="","",IFERROR(_xlfn.XLOOKUP($G449,nrCHname,nrCHnum),""))</f>
        <v/>
      </c>
      <c r="I449" s="14" t="n"/>
      <c r="J449" s="14" t="n"/>
      <c r="K449" s="15">
        <f>IF($B449="","",IFERROR(_xlfn.XLOOKUP($B449,nrCDdate,nrCDweek),""))</f>
        <v/>
      </c>
      <c r="L449" s="15">
        <f>IF($B449="","",IFERROR(_xlfn.XLOOKUP($B449,nrCDdate,nrCDnum),""))</f>
        <v/>
      </c>
      <c r="M449" s="14" t="n"/>
    </row>
    <row r="450">
      <c r="B450" s="16" t="n"/>
      <c r="C450" s="15">
        <f>IF($B450="","",TEXT($B450,"ddd"))</f>
        <v/>
      </c>
      <c r="D450" s="40" t="n"/>
      <c r="E450" s="40" t="n"/>
      <c r="F450" s="15">
        <f>IF(OR($B450="",$D450="",$E450=""),"",ROUND(($E450-$D450)*24,2))</f>
        <v/>
      </c>
      <c r="G450" s="14" t="n"/>
      <c r="H450" s="15">
        <f>IF($G450="","",IFERROR(_xlfn.XLOOKUP($G450,nrCHname,nrCHnum),""))</f>
        <v/>
      </c>
      <c r="I450" s="14" t="n"/>
      <c r="J450" s="14" t="n"/>
      <c r="K450" s="15">
        <f>IF($B450="","",IFERROR(_xlfn.XLOOKUP($B450,nrCDdate,nrCDweek),""))</f>
        <v/>
      </c>
      <c r="L450" s="15">
        <f>IF($B450="","",IFERROR(_xlfn.XLOOKUP($B450,nrCDdate,nrCDnum),""))</f>
        <v/>
      </c>
      <c r="M450" s="14" t="n"/>
    </row>
    <row r="451">
      <c r="B451" s="16" t="n"/>
      <c r="C451" s="15">
        <f>IF($B451="","",TEXT($B451,"ddd"))</f>
        <v/>
      </c>
      <c r="D451" s="40" t="n"/>
      <c r="E451" s="40" t="n"/>
      <c r="F451" s="15">
        <f>IF(OR($B451="",$D451="",$E451=""),"",ROUND(($E451-$D451)*24,2))</f>
        <v/>
      </c>
      <c r="G451" s="14" t="n"/>
      <c r="H451" s="15">
        <f>IF($G451="","",IFERROR(_xlfn.XLOOKUP($G451,nrCHname,nrCHnum),""))</f>
        <v/>
      </c>
      <c r="I451" s="14" t="n"/>
      <c r="J451" s="14" t="n"/>
      <c r="K451" s="15">
        <f>IF($B451="","",IFERROR(_xlfn.XLOOKUP($B451,nrCDdate,nrCDweek),""))</f>
        <v/>
      </c>
      <c r="L451" s="15">
        <f>IF($B451="","",IFERROR(_xlfn.XLOOKUP($B451,nrCDdate,nrCDnum),""))</f>
        <v/>
      </c>
      <c r="M451" s="14" t="n"/>
    </row>
    <row r="452">
      <c r="B452" s="16" t="n"/>
      <c r="C452" s="15">
        <f>IF($B452="","",TEXT($B452,"ddd"))</f>
        <v/>
      </c>
      <c r="D452" s="40" t="n"/>
      <c r="E452" s="40" t="n"/>
      <c r="F452" s="15">
        <f>IF(OR($B452="",$D452="",$E452=""),"",ROUND(($E452-$D452)*24,2))</f>
        <v/>
      </c>
      <c r="G452" s="14" t="n"/>
      <c r="H452" s="15">
        <f>IF($G452="","",IFERROR(_xlfn.XLOOKUP($G452,nrCHname,nrCHnum),""))</f>
        <v/>
      </c>
      <c r="I452" s="14" t="n"/>
      <c r="J452" s="14" t="n"/>
      <c r="K452" s="15">
        <f>IF($B452="","",IFERROR(_xlfn.XLOOKUP($B452,nrCDdate,nrCDweek),""))</f>
        <v/>
      </c>
      <c r="L452" s="15">
        <f>IF($B452="","",IFERROR(_xlfn.XLOOKUP($B452,nrCDdate,nrCDnum),""))</f>
        <v/>
      </c>
      <c r="M452" s="14" t="n"/>
    </row>
    <row r="453">
      <c r="B453" s="16" t="n"/>
      <c r="C453" s="15">
        <f>IF($B453="","",TEXT($B453,"ddd"))</f>
        <v/>
      </c>
      <c r="D453" s="40" t="n"/>
      <c r="E453" s="40" t="n"/>
      <c r="F453" s="15">
        <f>IF(OR($B453="",$D453="",$E453=""),"",ROUND(($E453-$D453)*24,2))</f>
        <v/>
      </c>
      <c r="G453" s="14" t="n"/>
      <c r="H453" s="15">
        <f>IF($G453="","",IFERROR(_xlfn.XLOOKUP($G453,nrCHname,nrCHnum),""))</f>
        <v/>
      </c>
      <c r="I453" s="14" t="n"/>
      <c r="J453" s="14" t="n"/>
      <c r="K453" s="15">
        <f>IF($B453="","",IFERROR(_xlfn.XLOOKUP($B453,nrCDdate,nrCDweek),""))</f>
        <v/>
      </c>
      <c r="L453" s="15">
        <f>IF($B453="","",IFERROR(_xlfn.XLOOKUP($B453,nrCDdate,nrCDnum),""))</f>
        <v/>
      </c>
      <c r="M453" s="14" t="n"/>
    </row>
    <row r="454">
      <c r="B454" s="16" t="n"/>
      <c r="C454" s="15">
        <f>IF($B454="","",TEXT($B454,"ddd"))</f>
        <v/>
      </c>
      <c r="D454" s="40" t="n"/>
      <c r="E454" s="40" t="n"/>
      <c r="F454" s="15">
        <f>IF(OR($B454="",$D454="",$E454=""),"",ROUND(($E454-$D454)*24,2))</f>
        <v/>
      </c>
      <c r="G454" s="14" t="n"/>
      <c r="H454" s="15">
        <f>IF($G454="","",IFERROR(_xlfn.XLOOKUP($G454,nrCHname,nrCHnum),""))</f>
        <v/>
      </c>
      <c r="I454" s="14" t="n"/>
      <c r="J454" s="14" t="n"/>
      <c r="K454" s="15">
        <f>IF($B454="","",IFERROR(_xlfn.XLOOKUP($B454,nrCDdate,nrCDweek),""))</f>
        <v/>
      </c>
      <c r="L454" s="15">
        <f>IF($B454="","",IFERROR(_xlfn.XLOOKUP($B454,nrCDdate,nrCDnum),""))</f>
        <v/>
      </c>
      <c r="M454" s="14" t="n"/>
    </row>
    <row r="455">
      <c r="B455" s="16" t="n"/>
      <c r="C455" s="15">
        <f>IF($B455="","",TEXT($B455,"ddd"))</f>
        <v/>
      </c>
      <c r="D455" s="40" t="n"/>
      <c r="E455" s="40" t="n"/>
      <c r="F455" s="15">
        <f>IF(OR($B455="",$D455="",$E455=""),"",ROUND(($E455-$D455)*24,2))</f>
        <v/>
      </c>
      <c r="G455" s="14" t="n"/>
      <c r="H455" s="15">
        <f>IF($G455="","",IFERROR(_xlfn.XLOOKUP($G455,nrCHname,nrCHnum),""))</f>
        <v/>
      </c>
      <c r="I455" s="14" t="n"/>
      <c r="J455" s="14" t="n"/>
      <c r="K455" s="15">
        <f>IF($B455="","",IFERROR(_xlfn.XLOOKUP($B455,nrCDdate,nrCDweek),""))</f>
        <v/>
      </c>
      <c r="L455" s="15">
        <f>IF($B455="","",IFERROR(_xlfn.XLOOKUP($B455,nrCDdate,nrCDnum),""))</f>
        <v/>
      </c>
      <c r="M455" s="14" t="n"/>
    </row>
    <row r="456">
      <c r="B456" s="16" t="n"/>
      <c r="C456" s="15">
        <f>IF($B456="","",TEXT($B456,"ddd"))</f>
        <v/>
      </c>
      <c r="D456" s="40" t="n"/>
      <c r="E456" s="40" t="n"/>
      <c r="F456" s="15">
        <f>IF(OR($B456="",$D456="",$E456=""),"",ROUND(($E456-$D456)*24,2))</f>
        <v/>
      </c>
      <c r="G456" s="14" t="n"/>
      <c r="H456" s="15">
        <f>IF($G456="","",IFERROR(_xlfn.XLOOKUP($G456,nrCHname,nrCHnum),""))</f>
        <v/>
      </c>
      <c r="I456" s="14" t="n"/>
      <c r="J456" s="14" t="n"/>
      <c r="K456" s="15">
        <f>IF($B456="","",IFERROR(_xlfn.XLOOKUP($B456,nrCDdate,nrCDweek),""))</f>
        <v/>
      </c>
      <c r="L456" s="15">
        <f>IF($B456="","",IFERROR(_xlfn.XLOOKUP($B456,nrCDdate,nrCDnum),""))</f>
        <v/>
      </c>
      <c r="M456" s="14" t="n"/>
    </row>
    <row r="457">
      <c r="B457" s="16" t="n"/>
      <c r="C457" s="15">
        <f>IF($B457="","",TEXT($B457,"ddd"))</f>
        <v/>
      </c>
      <c r="D457" s="40" t="n"/>
      <c r="E457" s="40" t="n"/>
      <c r="F457" s="15">
        <f>IF(OR($B457="",$D457="",$E457=""),"",ROUND(($E457-$D457)*24,2))</f>
        <v/>
      </c>
      <c r="G457" s="14" t="n"/>
      <c r="H457" s="15">
        <f>IF($G457="","",IFERROR(_xlfn.XLOOKUP($G457,nrCHname,nrCHnum),""))</f>
        <v/>
      </c>
      <c r="I457" s="14" t="n"/>
      <c r="J457" s="14" t="n"/>
      <c r="K457" s="15">
        <f>IF($B457="","",IFERROR(_xlfn.XLOOKUP($B457,nrCDdate,nrCDweek),""))</f>
        <v/>
      </c>
      <c r="L457" s="15">
        <f>IF($B457="","",IFERROR(_xlfn.XLOOKUP($B457,nrCDdate,nrCDnum),""))</f>
        <v/>
      </c>
      <c r="M457" s="14" t="n"/>
    </row>
    <row r="458">
      <c r="B458" s="16" t="n"/>
      <c r="C458" s="15">
        <f>IF($B458="","",TEXT($B458,"ddd"))</f>
        <v/>
      </c>
      <c r="D458" s="40" t="n"/>
      <c r="E458" s="40" t="n"/>
      <c r="F458" s="15">
        <f>IF(OR($B458="",$D458="",$E458=""),"",ROUND(($E458-$D458)*24,2))</f>
        <v/>
      </c>
      <c r="G458" s="14" t="n"/>
      <c r="H458" s="15">
        <f>IF($G458="","",IFERROR(_xlfn.XLOOKUP($G458,nrCHname,nrCHnum),""))</f>
        <v/>
      </c>
      <c r="I458" s="14" t="n"/>
      <c r="J458" s="14" t="n"/>
      <c r="K458" s="15">
        <f>IF($B458="","",IFERROR(_xlfn.XLOOKUP($B458,nrCDdate,nrCDweek),""))</f>
        <v/>
      </c>
      <c r="L458" s="15">
        <f>IF($B458="","",IFERROR(_xlfn.XLOOKUP($B458,nrCDdate,nrCDnum),""))</f>
        <v/>
      </c>
      <c r="M458" s="14" t="n"/>
    </row>
    <row r="459">
      <c r="B459" s="16" t="n"/>
      <c r="C459" s="15">
        <f>IF($B459="","",TEXT($B459,"ddd"))</f>
        <v/>
      </c>
      <c r="D459" s="40" t="n"/>
      <c r="E459" s="40" t="n"/>
      <c r="F459" s="15">
        <f>IF(OR($B459="",$D459="",$E459=""),"",ROUND(($E459-$D459)*24,2))</f>
        <v/>
      </c>
      <c r="G459" s="14" t="n"/>
      <c r="H459" s="15">
        <f>IF($G459="","",IFERROR(_xlfn.XLOOKUP($G459,nrCHname,nrCHnum),""))</f>
        <v/>
      </c>
      <c r="I459" s="14" t="n"/>
      <c r="J459" s="14" t="n"/>
      <c r="K459" s="15">
        <f>IF($B459="","",IFERROR(_xlfn.XLOOKUP($B459,nrCDdate,nrCDweek),""))</f>
        <v/>
      </c>
      <c r="L459" s="15">
        <f>IF($B459="","",IFERROR(_xlfn.XLOOKUP($B459,nrCDdate,nrCDnum),""))</f>
        <v/>
      </c>
      <c r="M459" s="14" t="n"/>
    </row>
    <row r="460">
      <c r="B460" s="16" t="n"/>
      <c r="C460" s="15">
        <f>IF($B460="","",TEXT($B460,"ddd"))</f>
        <v/>
      </c>
      <c r="D460" s="40" t="n"/>
      <c r="E460" s="40" t="n"/>
      <c r="F460" s="15">
        <f>IF(OR($B460="",$D460="",$E460=""),"",ROUND(($E460-$D460)*24,2))</f>
        <v/>
      </c>
      <c r="G460" s="14" t="n"/>
      <c r="H460" s="15">
        <f>IF($G460="","",IFERROR(_xlfn.XLOOKUP($G460,nrCHname,nrCHnum),""))</f>
        <v/>
      </c>
      <c r="I460" s="14" t="n"/>
      <c r="J460" s="14" t="n"/>
      <c r="K460" s="15">
        <f>IF($B460="","",IFERROR(_xlfn.XLOOKUP($B460,nrCDdate,nrCDweek),""))</f>
        <v/>
      </c>
      <c r="L460" s="15">
        <f>IF($B460="","",IFERROR(_xlfn.XLOOKUP($B460,nrCDdate,nrCDnum),""))</f>
        <v/>
      </c>
      <c r="M460" s="14" t="n"/>
    </row>
    <row r="461">
      <c r="B461" s="16" t="n"/>
      <c r="C461" s="15">
        <f>IF($B461="","",TEXT($B461,"ddd"))</f>
        <v/>
      </c>
      <c r="D461" s="40" t="n"/>
      <c r="E461" s="40" t="n"/>
      <c r="F461" s="15">
        <f>IF(OR($B461="",$D461="",$E461=""),"",ROUND(($E461-$D461)*24,2))</f>
        <v/>
      </c>
      <c r="G461" s="14" t="n"/>
      <c r="H461" s="15">
        <f>IF($G461="","",IFERROR(_xlfn.XLOOKUP($G461,nrCHname,nrCHnum),""))</f>
        <v/>
      </c>
      <c r="I461" s="14" t="n"/>
      <c r="J461" s="14" t="n"/>
      <c r="K461" s="15">
        <f>IF($B461="","",IFERROR(_xlfn.XLOOKUP($B461,nrCDdate,nrCDweek),""))</f>
        <v/>
      </c>
      <c r="L461" s="15">
        <f>IF($B461="","",IFERROR(_xlfn.XLOOKUP($B461,nrCDdate,nrCDnum),""))</f>
        <v/>
      </c>
      <c r="M461" s="14" t="n"/>
    </row>
    <row r="462">
      <c r="B462" s="16" t="n"/>
      <c r="C462" s="15">
        <f>IF($B462="","",TEXT($B462,"ddd"))</f>
        <v/>
      </c>
      <c r="D462" s="40" t="n"/>
      <c r="E462" s="40" t="n"/>
      <c r="F462" s="15">
        <f>IF(OR($B462="",$D462="",$E462=""),"",ROUND(($E462-$D462)*24,2))</f>
        <v/>
      </c>
      <c r="G462" s="14" t="n"/>
      <c r="H462" s="15">
        <f>IF($G462="","",IFERROR(_xlfn.XLOOKUP($G462,nrCHname,nrCHnum),""))</f>
        <v/>
      </c>
      <c r="I462" s="14" t="n"/>
      <c r="J462" s="14" t="n"/>
      <c r="K462" s="15">
        <f>IF($B462="","",IFERROR(_xlfn.XLOOKUP($B462,nrCDdate,nrCDweek),""))</f>
        <v/>
      </c>
      <c r="L462" s="15">
        <f>IF($B462="","",IFERROR(_xlfn.XLOOKUP($B462,nrCDdate,nrCDnum),""))</f>
        <v/>
      </c>
      <c r="M462" s="14" t="n"/>
    </row>
    <row r="463">
      <c r="B463" s="16" t="n"/>
      <c r="C463" s="15">
        <f>IF($B463="","",TEXT($B463,"ddd"))</f>
        <v/>
      </c>
      <c r="D463" s="40" t="n"/>
      <c r="E463" s="40" t="n"/>
      <c r="F463" s="15">
        <f>IF(OR($B463="",$D463="",$E463=""),"",ROUND(($E463-$D463)*24,2))</f>
        <v/>
      </c>
      <c r="G463" s="14" t="n"/>
      <c r="H463" s="15">
        <f>IF($G463="","",IFERROR(_xlfn.XLOOKUP($G463,nrCHname,nrCHnum),""))</f>
        <v/>
      </c>
      <c r="I463" s="14" t="n"/>
      <c r="J463" s="14" t="n"/>
      <c r="K463" s="15">
        <f>IF($B463="","",IFERROR(_xlfn.XLOOKUP($B463,nrCDdate,nrCDweek),""))</f>
        <v/>
      </c>
      <c r="L463" s="15">
        <f>IF($B463="","",IFERROR(_xlfn.XLOOKUP($B463,nrCDdate,nrCDnum),""))</f>
        <v/>
      </c>
      <c r="M463" s="14" t="n"/>
    </row>
    <row r="464">
      <c r="B464" s="16" t="n"/>
      <c r="C464" s="15">
        <f>IF($B464="","",TEXT($B464,"ddd"))</f>
        <v/>
      </c>
      <c r="D464" s="40" t="n"/>
      <c r="E464" s="40" t="n"/>
      <c r="F464" s="15">
        <f>IF(OR($B464="",$D464="",$E464=""),"",ROUND(($E464-$D464)*24,2))</f>
        <v/>
      </c>
      <c r="G464" s="14" t="n"/>
      <c r="H464" s="15">
        <f>IF($G464="","",IFERROR(_xlfn.XLOOKUP($G464,nrCHname,nrCHnum),""))</f>
        <v/>
      </c>
      <c r="I464" s="14" t="n"/>
      <c r="J464" s="14" t="n"/>
      <c r="K464" s="15">
        <f>IF($B464="","",IFERROR(_xlfn.XLOOKUP($B464,nrCDdate,nrCDweek),""))</f>
        <v/>
      </c>
      <c r="L464" s="15">
        <f>IF($B464="","",IFERROR(_xlfn.XLOOKUP($B464,nrCDdate,nrCDnum),""))</f>
        <v/>
      </c>
      <c r="M464" s="14" t="n"/>
    </row>
    <row r="465">
      <c r="B465" s="16" t="n"/>
      <c r="C465" s="15">
        <f>IF($B465="","",TEXT($B465,"ddd"))</f>
        <v/>
      </c>
      <c r="D465" s="40" t="n"/>
      <c r="E465" s="40" t="n"/>
      <c r="F465" s="15">
        <f>IF(OR($B465="",$D465="",$E465=""),"",ROUND(($E465-$D465)*24,2))</f>
        <v/>
      </c>
      <c r="G465" s="14" t="n"/>
      <c r="H465" s="15">
        <f>IF($G465="","",IFERROR(_xlfn.XLOOKUP($G465,nrCHname,nrCHnum),""))</f>
        <v/>
      </c>
      <c r="I465" s="14" t="n"/>
      <c r="J465" s="14" t="n"/>
      <c r="K465" s="15">
        <f>IF($B465="","",IFERROR(_xlfn.XLOOKUP($B465,nrCDdate,nrCDweek),""))</f>
        <v/>
      </c>
      <c r="L465" s="15">
        <f>IF($B465="","",IFERROR(_xlfn.XLOOKUP($B465,nrCDdate,nrCDnum),""))</f>
        <v/>
      </c>
      <c r="M465" s="14" t="n"/>
    </row>
    <row r="466">
      <c r="B466" s="16" t="n"/>
      <c r="C466" s="15">
        <f>IF($B466="","",TEXT($B466,"ddd"))</f>
        <v/>
      </c>
      <c r="D466" s="40" t="n"/>
      <c r="E466" s="40" t="n"/>
      <c r="F466" s="15">
        <f>IF(OR($B466="",$D466="",$E466=""),"",ROUND(($E466-$D466)*24,2))</f>
        <v/>
      </c>
      <c r="G466" s="14" t="n"/>
      <c r="H466" s="15">
        <f>IF($G466="","",IFERROR(_xlfn.XLOOKUP($G466,nrCHname,nrCHnum),""))</f>
        <v/>
      </c>
      <c r="I466" s="14" t="n"/>
      <c r="J466" s="14" t="n"/>
      <c r="K466" s="15">
        <f>IF($B466="","",IFERROR(_xlfn.XLOOKUP($B466,nrCDdate,nrCDweek),""))</f>
        <v/>
      </c>
      <c r="L466" s="15">
        <f>IF($B466="","",IFERROR(_xlfn.XLOOKUP($B466,nrCDdate,nrCDnum),""))</f>
        <v/>
      </c>
      <c r="M466" s="14" t="n"/>
    </row>
    <row r="467">
      <c r="B467" s="16" t="n"/>
      <c r="C467" s="15">
        <f>IF($B467="","",TEXT($B467,"ddd"))</f>
        <v/>
      </c>
      <c r="D467" s="40" t="n"/>
      <c r="E467" s="40" t="n"/>
      <c r="F467" s="15">
        <f>IF(OR($B467="",$D467="",$E467=""),"",ROUND(($E467-$D467)*24,2))</f>
        <v/>
      </c>
      <c r="G467" s="14" t="n"/>
      <c r="H467" s="15">
        <f>IF($G467="","",IFERROR(_xlfn.XLOOKUP($G467,nrCHname,nrCHnum),""))</f>
        <v/>
      </c>
      <c r="I467" s="14" t="n"/>
      <c r="J467" s="14" t="n"/>
      <c r="K467" s="15">
        <f>IF($B467="","",IFERROR(_xlfn.XLOOKUP($B467,nrCDdate,nrCDweek),""))</f>
        <v/>
      </c>
      <c r="L467" s="15">
        <f>IF($B467="","",IFERROR(_xlfn.XLOOKUP($B467,nrCDdate,nrCDnum),""))</f>
        <v/>
      </c>
      <c r="M467" s="14" t="n"/>
    </row>
    <row r="468">
      <c r="B468" s="16" t="n"/>
      <c r="C468" s="15">
        <f>IF($B468="","",TEXT($B468,"ddd"))</f>
        <v/>
      </c>
      <c r="D468" s="40" t="n"/>
      <c r="E468" s="40" t="n"/>
      <c r="F468" s="15">
        <f>IF(OR($B468="",$D468="",$E468=""),"",ROUND(($E468-$D468)*24,2))</f>
        <v/>
      </c>
      <c r="G468" s="14" t="n"/>
      <c r="H468" s="15">
        <f>IF($G468="","",IFERROR(_xlfn.XLOOKUP($G468,nrCHname,nrCHnum),""))</f>
        <v/>
      </c>
      <c r="I468" s="14" t="n"/>
      <c r="J468" s="14" t="n"/>
      <c r="K468" s="15">
        <f>IF($B468="","",IFERROR(_xlfn.XLOOKUP($B468,nrCDdate,nrCDweek),""))</f>
        <v/>
      </c>
      <c r="L468" s="15">
        <f>IF($B468="","",IFERROR(_xlfn.XLOOKUP($B468,nrCDdate,nrCDnum),""))</f>
        <v/>
      </c>
      <c r="M468" s="14" t="n"/>
    </row>
    <row r="469">
      <c r="B469" s="16" t="n"/>
      <c r="C469" s="15">
        <f>IF($B469="","",TEXT($B469,"ddd"))</f>
        <v/>
      </c>
      <c r="D469" s="40" t="n"/>
      <c r="E469" s="40" t="n"/>
      <c r="F469" s="15">
        <f>IF(OR($B469="",$D469="",$E469=""),"",ROUND(($E469-$D469)*24,2))</f>
        <v/>
      </c>
      <c r="G469" s="14" t="n"/>
      <c r="H469" s="15">
        <f>IF($G469="","",IFERROR(_xlfn.XLOOKUP($G469,nrCHname,nrCHnum),""))</f>
        <v/>
      </c>
      <c r="I469" s="14" t="n"/>
      <c r="J469" s="14" t="n"/>
      <c r="K469" s="15">
        <f>IF($B469="","",IFERROR(_xlfn.XLOOKUP($B469,nrCDdate,nrCDweek),""))</f>
        <v/>
      </c>
      <c r="L469" s="15">
        <f>IF($B469="","",IFERROR(_xlfn.XLOOKUP($B469,nrCDdate,nrCDnum),""))</f>
        <v/>
      </c>
      <c r="M469" s="14" t="n"/>
    </row>
    <row r="470">
      <c r="B470" s="16" t="n"/>
      <c r="C470" s="15">
        <f>IF($B470="","",TEXT($B470,"ddd"))</f>
        <v/>
      </c>
      <c r="D470" s="40" t="n"/>
      <c r="E470" s="40" t="n"/>
      <c r="F470" s="15">
        <f>IF(OR($B470="",$D470="",$E470=""),"",ROUND(($E470-$D470)*24,2))</f>
        <v/>
      </c>
      <c r="G470" s="14" t="n"/>
      <c r="H470" s="15">
        <f>IF($G470="","",IFERROR(_xlfn.XLOOKUP($G470,nrCHname,nrCHnum),""))</f>
        <v/>
      </c>
      <c r="I470" s="14" t="n"/>
      <c r="J470" s="14" t="n"/>
      <c r="K470" s="15">
        <f>IF($B470="","",IFERROR(_xlfn.XLOOKUP($B470,nrCDdate,nrCDweek),""))</f>
        <v/>
      </c>
      <c r="L470" s="15">
        <f>IF($B470="","",IFERROR(_xlfn.XLOOKUP($B470,nrCDdate,nrCDnum),""))</f>
        <v/>
      </c>
      <c r="M470" s="14" t="n"/>
    </row>
    <row r="471">
      <c r="B471" s="16" t="n"/>
      <c r="C471" s="15">
        <f>IF($B471="","",TEXT($B471,"ddd"))</f>
        <v/>
      </c>
      <c r="D471" s="40" t="n"/>
      <c r="E471" s="40" t="n"/>
      <c r="F471" s="15">
        <f>IF(OR($B471="",$D471="",$E471=""),"",ROUND(($E471-$D471)*24,2))</f>
        <v/>
      </c>
      <c r="G471" s="14" t="n"/>
      <c r="H471" s="15">
        <f>IF($G471="","",IFERROR(_xlfn.XLOOKUP($G471,nrCHname,nrCHnum),""))</f>
        <v/>
      </c>
      <c r="I471" s="14" t="n"/>
      <c r="J471" s="14" t="n"/>
      <c r="K471" s="15">
        <f>IF($B471="","",IFERROR(_xlfn.XLOOKUP($B471,nrCDdate,nrCDweek),""))</f>
        <v/>
      </c>
      <c r="L471" s="15">
        <f>IF($B471="","",IFERROR(_xlfn.XLOOKUP($B471,nrCDdate,nrCDnum),""))</f>
        <v/>
      </c>
      <c r="M471" s="14" t="n"/>
    </row>
    <row r="472">
      <c r="B472" s="16" t="n"/>
      <c r="C472" s="15">
        <f>IF($B472="","",TEXT($B472,"ddd"))</f>
        <v/>
      </c>
      <c r="D472" s="40" t="n"/>
      <c r="E472" s="40" t="n"/>
      <c r="F472" s="15">
        <f>IF(OR($B472="",$D472="",$E472=""),"",ROUND(($E472-$D472)*24,2))</f>
        <v/>
      </c>
      <c r="G472" s="14" t="n"/>
      <c r="H472" s="15">
        <f>IF($G472="","",IFERROR(_xlfn.XLOOKUP($G472,nrCHname,nrCHnum),""))</f>
        <v/>
      </c>
      <c r="I472" s="14" t="n"/>
      <c r="J472" s="14" t="n"/>
      <c r="K472" s="15">
        <f>IF($B472="","",IFERROR(_xlfn.XLOOKUP($B472,nrCDdate,nrCDweek),""))</f>
        <v/>
      </c>
      <c r="L472" s="15">
        <f>IF($B472="","",IFERROR(_xlfn.XLOOKUP($B472,nrCDdate,nrCDnum),""))</f>
        <v/>
      </c>
      <c r="M472" s="14" t="n"/>
    </row>
    <row r="473">
      <c r="B473" s="16" t="n"/>
      <c r="C473" s="15">
        <f>IF($B473="","",TEXT($B473,"ddd"))</f>
        <v/>
      </c>
      <c r="D473" s="40" t="n"/>
      <c r="E473" s="40" t="n"/>
      <c r="F473" s="15">
        <f>IF(OR($B473="",$D473="",$E473=""),"",ROUND(($E473-$D473)*24,2))</f>
        <v/>
      </c>
      <c r="G473" s="14" t="n"/>
      <c r="H473" s="15">
        <f>IF($G473="","",IFERROR(_xlfn.XLOOKUP($G473,nrCHname,nrCHnum),""))</f>
        <v/>
      </c>
      <c r="I473" s="14" t="n"/>
      <c r="J473" s="14" t="n"/>
      <c r="K473" s="15">
        <f>IF($B473="","",IFERROR(_xlfn.XLOOKUP($B473,nrCDdate,nrCDweek),""))</f>
        <v/>
      </c>
      <c r="L473" s="15">
        <f>IF($B473="","",IFERROR(_xlfn.XLOOKUP($B473,nrCDdate,nrCDnum),""))</f>
        <v/>
      </c>
      <c r="M473" s="14" t="n"/>
    </row>
    <row r="474">
      <c r="B474" s="16" t="n"/>
      <c r="C474" s="15">
        <f>IF($B474="","",TEXT($B474,"ddd"))</f>
        <v/>
      </c>
      <c r="D474" s="40" t="n"/>
      <c r="E474" s="40" t="n"/>
      <c r="F474" s="15">
        <f>IF(OR($B474="",$D474="",$E474=""),"",ROUND(($E474-$D474)*24,2))</f>
        <v/>
      </c>
      <c r="G474" s="14" t="n"/>
      <c r="H474" s="15">
        <f>IF($G474="","",IFERROR(_xlfn.XLOOKUP($G474,nrCHname,nrCHnum),""))</f>
        <v/>
      </c>
      <c r="I474" s="14" t="n"/>
      <c r="J474" s="14" t="n"/>
      <c r="K474" s="15">
        <f>IF($B474="","",IFERROR(_xlfn.XLOOKUP($B474,nrCDdate,nrCDweek),""))</f>
        <v/>
      </c>
      <c r="L474" s="15">
        <f>IF($B474="","",IFERROR(_xlfn.XLOOKUP($B474,nrCDdate,nrCDnum),""))</f>
        <v/>
      </c>
      <c r="M474" s="14" t="n"/>
    </row>
    <row r="475">
      <c r="B475" s="16" t="n"/>
      <c r="C475" s="15">
        <f>IF($B475="","",TEXT($B475,"ddd"))</f>
        <v/>
      </c>
      <c r="D475" s="40" t="n"/>
      <c r="E475" s="40" t="n"/>
      <c r="F475" s="15">
        <f>IF(OR($B475="",$D475="",$E475=""),"",ROUND(($E475-$D475)*24,2))</f>
        <v/>
      </c>
      <c r="G475" s="14" t="n"/>
      <c r="H475" s="15">
        <f>IF($G475="","",IFERROR(_xlfn.XLOOKUP($G475,nrCHname,nrCHnum),""))</f>
        <v/>
      </c>
      <c r="I475" s="14" t="n"/>
      <c r="J475" s="14" t="n"/>
      <c r="K475" s="15">
        <f>IF($B475="","",IFERROR(_xlfn.XLOOKUP($B475,nrCDdate,nrCDweek),""))</f>
        <v/>
      </c>
      <c r="L475" s="15">
        <f>IF($B475="","",IFERROR(_xlfn.XLOOKUP($B475,nrCDdate,nrCDnum),""))</f>
        <v/>
      </c>
      <c r="M475" s="14" t="n"/>
    </row>
    <row r="476">
      <c r="B476" s="16" t="n"/>
      <c r="C476" s="15">
        <f>IF($B476="","",TEXT($B476,"ddd"))</f>
        <v/>
      </c>
      <c r="D476" s="40" t="n"/>
      <c r="E476" s="40" t="n"/>
      <c r="F476" s="15">
        <f>IF(OR($B476="",$D476="",$E476=""),"",ROUND(($E476-$D476)*24,2))</f>
        <v/>
      </c>
      <c r="G476" s="14" t="n"/>
      <c r="H476" s="15">
        <f>IF($G476="","",IFERROR(_xlfn.XLOOKUP($G476,nrCHname,nrCHnum),""))</f>
        <v/>
      </c>
      <c r="I476" s="14" t="n"/>
      <c r="J476" s="14" t="n"/>
      <c r="K476" s="15">
        <f>IF($B476="","",IFERROR(_xlfn.XLOOKUP($B476,nrCDdate,nrCDweek),""))</f>
        <v/>
      </c>
      <c r="L476" s="15">
        <f>IF($B476="","",IFERROR(_xlfn.XLOOKUP($B476,nrCDdate,nrCDnum),""))</f>
        <v/>
      </c>
      <c r="M476" s="14" t="n"/>
    </row>
    <row r="477">
      <c r="B477" s="16" t="n"/>
      <c r="C477" s="15">
        <f>IF($B477="","",TEXT($B477,"ddd"))</f>
        <v/>
      </c>
      <c r="D477" s="40" t="n"/>
      <c r="E477" s="40" t="n"/>
      <c r="F477" s="15">
        <f>IF(OR($B477="",$D477="",$E477=""),"",ROUND(($E477-$D477)*24,2))</f>
        <v/>
      </c>
      <c r="G477" s="14" t="n"/>
      <c r="H477" s="15">
        <f>IF($G477="","",IFERROR(_xlfn.XLOOKUP($G477,nrCHname,nrCHnum),""))</f>
        <v/>
      </c>
      <c r="I477" s="14" t="n"/>
      <c r="J477" s="14" t="n"/>
      <c r="K477" s="15">
        <f>IF($B477="","",IFERROR(_xlfn.XLOOKUP($B477,nrCDdate,nrCDweek),""))</f>
        <v/>
      </c>
      <c r="L477" s="15">
        <f>IF($B477="","",IFERROR(_xlfn.XLOOKUP($B477,nrCDdate,nrCDnum),""))</f>
        <v/>
      </c>
      <c r="M477" s="14" t="n"/>
    </row>
    <row r="478">
      <c r="B478" s="16" t="n"/>
      <c r="C478" s="15">
        <f>IF($B478="","",TEXT($B478,"ddd"))</f>
        <v/>
      </c>
      <c r="D478" s="40" t="n"/>
      <c r="E478" s="40" t="n"/>
      <c r="F478" s="15">
        <f>IF(OR($B478="",$D478="",$E478=""),"",ROUND(($E478-$D478)*24,2))</f>
        <v/>
      </c>
      <c r="G478" s="14" t="n"/>
      <c r="H478" s="15">
        <f>IF($G478="","",IFERROR(_xlfn.XLOOKUP($G478,nrCHname,nrCHnum),""))</f>
        <v/>
      </c>
      <c r="I478" s="14" t="n"/>
      <c r="J478" s="14" t="n"/>
      <c r="K478" s="15">
        <f>IF($B478="","",IFERROR(_xlfn.XLOOKUP($B478,nrCDdate,nrCDweek),""))</f>
        <v/>
      </c>
      <c r="L478" s="15">
        <f>IF($B478="","",IFERROR(_xlfn.XLOOKUP($B478,nrCDdate,nrCDnum),""))</f>
        <v/>
      </c>
      <c r="M478" s="14" t="n"/>
    </row>
    <row r="479">
      <c r="B479" s="16" t="n"/>
      <c r="C479" s="15">
        <f>IF($B479="","",TEXT($B479,"ddd"))</f>
        <v/>
      </c>
      <c r="D479" s="40" t="n"/>
      <c r="E479" s="40" t="n"/>
      <c r="F479" s="15">
        <f>IF(OR($B479="",$D479="",$E479=""),"",ROUND(($E479-$D479)*24,2))</f>
        <v/>
      </c>
      <c r="G479" s="14" t="n"/>
      <c r="H479" s="15">
        <f>IF($G479="","",IFERROR(_xlfn.XLOOKUP($G479,nrCHname,nrCHnum),""))</f>
        <v/>
      </c>
      <c r="I479" s="14" t="n"/>
      <c r="J479" s="14" t="n"/>
      <c r="K479" s="15">
        <f>IF($B479="","",IFERROR(_xlfn.XLOOKUP($B479,nrCDdate,nrCDweek),""))</f>
        <v/>
      </c>
      <c r="L479" s="15">
        <f>IF($B479="","",IFERROR(_xlfn.XLOOKUP($B479,nrCDdate,nrCDnum),""))</f>
        <v/>
      </c>
      <c r="M479" s="14" t="n"/>
    </row>
    <row r="480">
      <c r="B480" s="16" t="n"/>
      <c r="C480" s="15">
        <f>IF($B480="","",TEXT($B480,"ddd"))</f>
        <v/>
      </c>
      <c r="D480" s="40" t="n"/>
      <c r="E480" s="40" t="n"/>
      <c r="F480" s="15">
        <f>IF(OR($B480="",$D480="",$E480=""),"",ROUND(($E480-$D480)*24,2))</f>
        <v/>
      </c>
      <c r="G480" s="14" t="n"/>
      <c r="H480" s="15">
        <f>IF($G480="","",IFERROR(_xlfn.XLOOKUP($G480,nrCHname,nrCHnum),""))</f>
        <v/>
      </c>
      <c r="I480" s="14" t="n"/>
      <c r="J480" s="14" t="n"/>
      <c r="K480" s="15">
        <f>IF($B480="","",IFERROR(_xlfn.XLOOKUP($B480,nrCDdate,nrCDweek),""))</f>
        <v/>
      </c>
      <c r="L480" s="15">
        <f>IF($B480="","",IFERROR(_xlfn.XLOOKUP($B480,nrCDdate,nrCDnum),""))</f>
        <v/>
      </c>
      <c r="M480" s="14" t="n"/>
    </row>
    <row r="481">
      <c r="B481" s="16" t="n"/>
      <c r="C481" s="15">
        <f>IF($B481="","",TEXT($B481,"ddd"))</f>
        <v/>
      </c>
      <c r="D481" s="40" t="n"/>
      <c r="E481" s="40" t="n"/>
      <c r="F481" s="15">
        <f>IF(OR($B481="",$D481="",$E481=""),"",ROUND(($E481-$D481)*24,2))</f>
        <v/>
      </c>
      <c r="G481" s="14" t="n"/>
      <c r="H481" s="15">
        <f>IF($G481="","",IFERROR(_xlfn.XLOOKUP($G481,nrCHname,nrCHnum),""))</f>
        <v/>
      </c>
      <c r="I481" s="14" t="n"/>
      <c r="J481" s="14" t="n"/>
      <c r="K481" s="15">
        <f>IF($B481="","",IFERROR(_xlfn.XLOOKUP($B481,nrCDdate,nrCDweek),""))</f>
        <v/>
      </c>
      <c r="L481" s="15">
        <f>IF($B481="","",IFERROR(_xlfn.XLOOKUP($B481,nrCDdate,nrCDnum),""))</f>
        <v/>
      </c>
      <c r="M481" s="14" t="n"/>
    </row>
    <row r="482">
      <c r="B482" s="16" t="n"/>
      <c r="C482" s="15">
        <f>IF($B482="","",TEXT($B482,"ddd"))</f>
        <v/>
      </c>
      <c r="D482" s="40" t="n"/>
      <c r="E482" s="40" t="n"/>
      <c r="F482" s="15">
        <f>IF(OR($B482="",$D482="",$E482=""),"",ROUND(($E482-$D482)*24,2))</f>
        <v/>
      </c>
      <c r="G482" s="14" t="n"/>
      <c r="H482" s="15">
        <f>IF($G482="","",IFERROR(_xlfn.XLOOKUP($G482,nrCHname,nrCHnum),""))</f>
        <v/>
      </c>
      <c r="I482" s="14" t="n"/>
      <c r="J482" s="14" t="n"/>
      <c r="K482" s="15">
        <f>IF($B482="","",IFERROR(_xlfn.XLOOKUP($B482,nrCDdate,nrCDweek),""))</f>
        <v/>
      </c>
      <c r="L482" s="15">
        <f>IF($B482="","",IFERROR(_xlfn.XLOOKUP($B482,nrCDdate,nrCDnum),""))</f>
        <v/>
      </c>
      <c r="M482" s="14" t="n"/>
    </row>
    <row r="483">
      <c r="B483" s="16" t="n"/>
      <c r="C483" s="15">
        <f>IF($B483="","",TEXT($B483,"ddd"))</f>
        <v/>
      </c>
      <c r="D483" s="40" t="n"/>
      <c r="E483" s="40" t="n"/>
      <c r="F483" s="15">
        <f>IF(OR($B483="",$D483="",$E483=""),"",ROUND(($E483-$D483)*24,2))</f>
        <v/>
      </c>
      <c r="G483" s="14" t="n"/>
      <c r="H483" s="15">
        <f>IF($G483="","",IFERROR(_xlfn.XLOOKUP($G483,nrCHname,nrCHnum),""))</f>
        <v/>
      </c>
      <c r="I483" s="14" t="n"/>
      <c r="J483" s="14" t="n"/>
      <c r="K483" s="15">
        <f>IF($B483="","",IFERROR(_xlfn.XLOOKUP($B483,nrCDdate,nrCDweek),""))</f>
        <v/>
      </c>
      <c r="L483" s="15">
        <f>IF($B483="","",IFERROR(_xlfn.XLOOKUP($B483,nrCDdate,nrCDnum),""))</f>
        <v/>
      </c>
      <c r="M483" s="14" t="n"/>
    </row>
    <row r="484">
      <c r="B484" s="16" t="n"/>
      <c r="C484" s="15">
        <f>IF($B484="","",TEXT($B484,"ddd"))</f>
        <v/>
      </c>
      <c r="D484" s="40" t="n"/>
      <c r="E484" s="40" t="n"/>
      <c r="F484" s="15">
        <f>IF(OR($B484="",$D484="",$E484=""),"",ROUND(($E484-$D484)*24,2))</f>
        <v/>
      </c>
      <c r="G484" s="14" t="n"/>
      <c r="H484" s="15">
        <f>IF($G484="","",IFERROR(_xlfn.XLOOKUP($G484,nrCHname,nrCHnum),""))</f>
        <v/>
      </c>
      <c r="I484" s="14" t="n"/>
      <c r="J484" s="14" t="n"/>
      <c r="K484" s="15">
        <f>IF($B484="","",IFERROR(_xlfn.XLOOKUP($B484,nrCDdate,nrCDweek),""))</f>
        <v/>
      </c>
      <c r="L484" s="15">
        <f>IF($B484="","",IFERROR(_xlfn.XLOOKUP($B484,nrCDdate,nrCDnum),""))</f>
        <v/>
      </c>
      <c r="M484" s="14" t="n"/>
    </row>
    <row r="485">
      <c r="B485" s="16" t="n"/>
      <c r="C485" s="15">
        <f>IF($B485="","",TEXT($B485,"ddd"))</f>
        <v/>
      </c>
      <c r="D485" s="40" t="n"/>
      <c r="E485" s="40" t="n"/>
      <c r="F485" s="15">
        <f>IF(OR($B485="",$D485="",$E485=""),"",ROUND(($E485-$D485)*24,2))</f>
        <v/>
      </c>
      <c r="G485" s="14" t="n"/>
      <c r="H485" s="15">
        <f>IF($G485="","",IFERROR(_xlfn.XLOOKUP($G485,nrCHname,nrCHnum),""))</f>
        <v/>
      </c>
      <c r="I485" s="14" t="n"/>
      <c r="J485" s="14" t="n"/>
      <c r="K485" s="15">
        <f>IF($B485="","",IFERROR(_xlfn.XLOOKUP($B485,nrCDdate,nrCDweek),""))</f>
        <v/>
      </c>
      <c r="L485" s="15">
        <f>IF($B485="","",IFERROR(_xlfn.XLOOKUP($B485,nrCDdate,nrCDnum),""))</f>
        <v/>
      </c>
      <c r="M485" s="14" t="n"/>
    </row>
    <row r="486">
      <c r="B486" s="16" t="n"/>
      <c r="C486" s="15">
        <f>IF($B486="","",TEXT($B486,"ddd"))</f>
        <v/>
      </c>
      <c r="D486" s="40" t="n"/>
      <c r="E486" s="40" t="n"/>
      <c r="F486" s="15">
        <f>IF(OR($B486="",$D486="",$E486=""),"",ROUND(($E486-$D486)*24,2))</f>
        <v/>
      </c>
      <c r="G486" s="14" t="n"/>
      <c r="H486" s="15">
        <f>IF($G486="","",IFERROR(_xlfn.XLOOKUP($G486,nrCHname,nrCHnum),""))</f>
        <v/>
      </c>
      <c r="I486" s="14" t="n"/>
      <c r="J486" s="14" t="n"/>
      <c r="K486" s="15">
        <f>IF($B486="","",IFERROR(_xlfn.XLOOKUP($B486,nrCDdate,nrCDweek),""))</f>
        <v/>
      </c>
      <c r="L486" s="15">
        <f>IF($B486="","",IFERROR(_xlfn.XLOOKUP($B486,nrCDdate,nrCDnum),""))</f>
        <v/>
      </c>
      <c r="M486" s="14" t="n"/>
    </row>
    <row r="487">
      <c r="B487" s="16" t="n"/>
      <c r="C487" s="15">
        <f>IF($B487="","",TEXT($B487,"ddd"))</f>
        <v/>
      </c>
      <c r="D487" s="40" t="n"/>
      <c r="E487" s="40" t="n"/>
      <c r="F487" s="15">
        <f>IF(OR($B487="",$D487="",$E487=""),"",ROUND(($E487-$D487)*24,2))</f>
        <v/>
      </c>
      <c r="G487" s="14" t="n"/>
      <c r="H487" s="15">
        <f>IF($G487="","",IFERROR(_xlfn.XLOOKUP($G487,nrCHname,nrCHnum),""))</f>
        <v/>
      </c>
      <c r="I487" s="14" t="n"/>
      <c r="J487" s="14" t="n"/>
      <c r="K487" s="15">
        <f>IF($B487="","",IFERROR(_xlfn.XLOOKUP($B487,nrCDdate,nrCDweek),""))</f>
        <v/>
      </c>
      <c r="L487" s="15">
        <f>IF($B487="","",IFERROR(_xlfn.XLOOKUP($B487,nrCDdate,nrCDnum),""))</f>
        <v/>
      </c>
      <c r="M487" s="14" t="n"/>
    </row>
    <row r="488">
      <c r="B488" s="16" t="n"/>
      <c r="C488" s="15">
        <f>IF($B488="","",TEXT($B488,"ddd"))</f>
        <v/>
      </c>
      <c r="D488" s="40" t="n"/>
      <c r="E488" s="40" t="n"/>
      <c r="F488" s="15">
        <f>IF(OR($B488="",$D488="",$E488=""),"",ROUND(($E488-$D488)*24,2))</f>
        <v/>
      </c>
      <c r="G488" s="14" t="n"/>
      <c r="H488" s="15">
        <f>IF($G488="","",IFERROR(_xlfn.XLOOKUP($G488,nrCHname,nrCHnum),""))</f>
        <v/>
      </c>
      <c r="I488" s="14" t="n"/>
      <c r="J488" s="14" t="n"/>
      <c r="K488" s="15">
        <f>IF($B488="","",IFERROR(_xlfn.XLOOKUP($B488,nrCDdate,nrCDweek),""))</f>
        <v/>
      </c>
      <c r="L488" s="15">
        <f>IF($B488="","",IFERROR(_xlfn.XLOOKUP($B488,nrCDdate,nrCDnum),""))</f>
        <v/>
      </c>
      <c r="M488" s="14" t="n"/>
    </row>
    <row r="489">
      <c r="B489" s="16" t="n"/>
      <c r="C489" s="15">
        <f>IF($B489="","",TEXT($B489,"ddd"))</f>
        <v/>
      </c>
      <c r="D489" s="40" t="n"/>
      <c r="E489" s="40" t="n"/>
      <c r="F489" s="15">
        <f>IF(OR($B489="",$D489="",$E489=""),"",ROUND(($E489-$D489)*24,2))</f>
        <v/>
      </c>
      <c r="G489" s="14" t="n"/>
      <c r="H489" s="15">
        <f>IF($G489="","",IFERROR(_xlfn.XLOOKUP($G489,nrCHname,nrCHnum),""))</f>
        <v/>
      </c>
      <c r="I489" s="14" t="n"/>
      <c r="J489" s="14" t="n"/>
      <c r="K489" s="15">
        <f>IF($B489="","",IFERROR(_xlfn.XLOOKUP($B489,nrCDdate,nrCDweek),""))</f>
        <v/>
      </c>
      <c r="L489" s="15">
        <f>IF($B489="","",IFERROR(_xlfn.XLOOKUP($B489,nrCDdate,nrCDnum),""))</f>
        <v/>
      </c>
      <c r="M489" s="14" t="n"/>
    </row>
    <row r="490">
      <c r="B490" s="16" t="n"/>
      <c r="C490" s="15">
        <f>IF($B490="","",TEXT($B490,"ddd"))</f>
        <v/>
      </c>
      <c r="D490" s="40" t="n"/>
      <c r="E490" s="40" t="n"/>
      <c r="F490" s="15">
        <f>IF(OR($B490="",$D490="",$E490=""),"",ROUND(($E490-$D490)*24,2))</f>
        <v/>
      </c>
      <c r="G490" s="14" t="n"/>
      <c r="H490" s="15">
        <f>IF($G490="","",IFERROR(_xlfn.XLOOKUP($G490,nrCHname,nrCHnum),""))</f>
        <v/>
      </c>
      <c r="I490" s="14" t="n"/>
      <c r="J490" s="14" t="n"/>
      <c r="K490" s="15">
        <f>IF($B490="","",IFERROR(_xlfn.XLOOKUP($B490,nrCDdate,nrCDweek),""))</f>
        <v/>
      </c>
      <c r="L490" s="15">
        <f>IF($B490="","",IFERROR(_xlfn.XLOOKUP($B490,nrCDdate,nrCDnum),""))</f>
        <v/>
      </c>
      <c r="M490" s="14" t="n"/>
    </row>
    <row r="491">
      <c r="B491" s="16" t="n"/>
      <c r="C491" s="15">
        <f>IF($B491="","",TEXT($B491,"ddd"))</f>
        <v/>
      </c>
      <c r="D491" s="40" t="n"/>
      <c r="E491" s="40" t="n"/>
      <c r="F491" s="15">
        <f>IF(OR($B491="",$D491="",$E491=""),"",ROUND(($E491-$D491)*24,2))</f>
        <v/>
      </c>
      <c r="G491" s="14" t="n"/>
      <c r="H491" s="15">
        <f>IF($G491="","",IFERROR(_xlfn.XLOOKUP($G491,nrCHname,nrCHnum),""))</f>
        <v/>
      </c>
      <c r="I491" s="14" t="n"/>
      <c r="J491" s="14" t="n"/>
      <c r="K491" s="15">
        <f>IF($B491="","",IFERROR(_xlfn.XLOOKUP($B491,nrCDdate,nrCDweek),""))</f>
        <v/>
      </c>
      <c r="L491" s="15">
        <f>IF($B491="","",IFERROR(_xlfn.XLOOKUP($B491,nrCDdate,nrCDnum),""))</f>
        <v/>
      </c>
      <c r="M491" s="14" t="n"/>
    </row>
    <row r="492">
      <c r="B492" s="16" t="n"/>
      <c r="C492" s="15">
        <f>IF($B492="","",TEXT($B492,"ddd"))</f>
        <v/>
      </c>
      <c r="D492" s="40" t="n"/>
      <c r="E492" s="40" t="n"/>
      <c r="F492" s="15">
        <f>IF(OR($B492="",$D492="",$E492=""),"",ROUND(($E492-$D492)*24,2))</f>
        <v/>
      </c>
      <c r="G492" s="14" t="n"/>
      <c r="H492" s="15">
        <f>IF($G492="","",IFERROR(_xlfn.XLOOKUP($G492,nrCHname,nrCHnum),""))</f>
        <v/>
      </c>
      <c r="I492" s="14" t="n"/>
      <c r="J492" s="14" t="n"/>
      <c r="K492" s="15">
        <f>IF($B492="","",IFERROR(_xlfn.XLOOKUP($B492,nrCDdate,nrCDweek),""))</f>
        <v/>
      </c>
      <c r="L492" s="15">
        <f>IF($B492="","",IFERROR(_xlfn.XLOOKUP($B492,nrCDdate,nrCDnum),""))</f>
        <v/>
      </c>
      <c r="M492" s="14" t="n"/>
    </row>
    <row r="493">
      <c r="B493" s="16" t="n"/>
      <c r="C493" s="15">
        <f>IF($B493="","",TEXT($B493,"ddd"))</f>
        <v/>
      </c>
      <c r="D493" s="40" t="n"/>
      <c r="E493" s="40" t="n"/>
      <c r="F493" s="15">
        <f>IF(OR($B493="",$D493="",$E493=""),"",ROUND(($E493-$D493)*24,2))</f>
        <v/>
      </c>
      <c r="G493" s="14" t="n"/>
      <c r="H493" s="15">
        <f>IF($G493="","",IFERROR(_xlfn.XLOOKUP($G493,nrCHname,nrCHnum),""))</f>
        <v/>
      </c>
      <c r="I493" s="14" t="n"/>
      <c r="J493" s="14" t="n"/>
      <c r="K493" s="15">
        <f>IF($B493="","",IFERROR(_xlfn.XLOOKUP($B493,nrCDdate,nrCDweek),""))</f>
        <v/>
      </c>
      <c r="L493" s="15">
        <f>IF($B493="","",IFERROR(_xlfn.XLOOKUP($B493,nrCDdate,nrCDnum),""))</f>
        <v/>
      </c>
      <c r="M493" s="14" t="n"/>
    </row>
    <row r="494">
      <c r="B494" s="16" t="n"/>
      <c r="C494" s="15">
        <f>IF($B494="","",TEXT($B494,"ddd"))</f>
        <v/>
      </c>
      <c r="D494" s="40" t="n"/>
      <c r="E494" s="40" t="n"/>
      <c r="F494" s="15">
        <f>IF(OR($B494="",$D494="",$E494=""),"",ROUND(($E494-$D494)*24,2))</f>
        <v/>
      </c>
      <c r="G494" s="14" t="n"/>
      <c r="H494" s="15">
        <f>IF($G494="","",IFERROR(_xlfn.XLOOKUP($G494,nrCHname,nrCHnum),""))</f>
        <v/>
      </c>
      <c r="I494" s="14" t="n"/>
      <c r="J494" s="14" t="n"/>
      <c r="K494" s="15">
        <f>IF($B494="","",IFERROR(_xlfn.XLOOKUP($B494,nrCDdate,nrCDweek),""))</f>
        <v/>
      </c>
      <c r="L494" s="15">
        <f>IF($B494="","",IFERROR(_xlfn.XLOOKUP($B494,nrCDdate,nrCDnum),""))</f>
        <v/>
      </c>
      <c r="M494" s="14" t="n"/>
    </row>
    <row r="495">
      <c r="B495" s="16" t="n"/>
      <c r="C495" s="15">
        <f>IF($B495="","",TEXT($B495,"ddd"))</f>
        <v/>
      </c>
      <c r="D495" s="40" t="n"/>
      <c r="E495" s="40" t="n"/>
      <c r="F495" s="15">
        <f>IF(OR($B495="",$D495="",$E495=""),"",ROUND(($E495-$D495)*24,2))</f>
        <v/>
      </c>
      <c r="G495" s="14" t="n"/>
      <c r="H495" s="15">
        <f>IF($G495="","",IFERROR(_xlfn.XLOOKUP($G495,nrCHname,nrCHnum),""))</f>
        <v/>
      </c>
      <c r="I495" s="14" t="n"/>
      <c r="J495" s="14" t="n"/>
      <c r="K495" s="15">
        <f>IF($B495="","",IFERROR(_xlfn.XLOOKUP($B495,nrCDdate,nrCDweek),""))</f>
        <v/>
      </c>
      <c r="L495" s="15">
        <f>IF($B495="","",IFERROR(_xlfn.XLOOKUP($B495,nrCDdate,nrCDnum),""))</f>
        <v/>
      </c>
      <c r="M495" s="14" t="n"/>
    </row>
    <row r="496">
      <c r="B496" s="16" t="n"/>
      <c r="C496" s="15">
        <f>IF($B496="","",TEXT($B496,"ddd"))</f>
        <v/>
      </c>
      <c r="D496" s="40" t="n"/>
      <c r="E496" s="40" t="n"/>
      <c r="F496" s="15">
        <f>IF(OR($B496="",$D496="",$E496=""),"",ROUND(($E496-$D496)*24,2))</f>
        <v/>
      </c>
      <c r="G496" s="14" t="n"/>
      <c r="H496" s="15">
        <f>IF($G496="","",IFERROR(_xlfn.XLOOKUP($G496,nrCHname,nrCHnum),""))</f>
        <v/>
      </c>
      <c r="I496" s="14" t="n"/>
      <c r="J496" s="14" t="n"/>
      <c r="K496" s="15">
        <f>IF($B496="","",IFERROR(_xlfn.XLOOKUP($B496,nrCDdate,nrCDweek),""))</f>
        <v/>
      </c>
      <c r="L496" s="15">
        <f>IF($B496="","",IFERROR(_xlfn.XLOOKUP($B496,nrCDdate,nrCDnum),""))</f>
        <v/>
      </c>
      <c r="M496" s="14" t="n"/>
    </row>
    <row r="497">
      <c r="B497" s="16" t="n"/>
      <c r="C497" s="15">
        <f>IF($B497="","",TEXT($B497,"ddd"))</f>
        <v/>
      </c>
      <c r="D497" s="40" t="n"/>
      <c r="E497" s="40" t="n"/>
      <c r="F497" s="15">
        <f>IF(OR($B497="",$D497="",$E497=""),"",ROUND(($E497-$D497)*24,2))</f>
        <v/>
      </c>
      <c r="G497" s="14" t="n"/>
      <c r="H497" s="15">
        <f>IF($G497="","",IFERROR(_xlfn.XLOOKUP($G497,nrCHname,nrCHnum),""))</f>
        <v/>
      </c>
      <c r="I497" s="14" t="n"/>
      <c r="J497" s="14" t="n"/>
      <c r="K497" s="15">
        <f>IF($B497="","",IFERROR(_xlfn.XLOOKUP($B497,nrCDdate,nrCDweek),""))</f>
        <v/>
      </c>
      <c r="L497" s="15">
        <f>IF($B497="","",IFERROR(_xlfn.XLOOKUP($B497,nrCDdate,nrCDnum),""))</f>
        <v/>
      </c>
      <c r="M497" s="14" t="n"/>
    </row>
    <row r="498">
      <c r="B498" s="16" t="n"/>
      <c r="C498" s="15">
        <f>IF($B498="","",TEXT($B498,"ddd"))</f>
        <v/>
      </c>
      <c r="D498" s="40" t="n"/>
      <c r="E498" s="40" t="n"/>
      <c r="F498" s="15">
        <f>IF(OR($B498="",$D498="",$E498=""),"",ROUND(($E498-$D498)*24,2))</f>
        <v/>
      </c>
      <c r="G498" s="14" t="n"/>
      <c r="H498" s="15">
        <f>IF($G498="","",IFERROR(_xlfn.XLOOKUP($G498,nrCHname,nrCHnum),""))</f>
        <v/>
      </c>
      <c r="I498" s="14" t="n"/>
      <c r="J498" s="14" t="n"/>
      <c r="K498" s="15">
        <f>IF($B498="","",IFERROR(_xlfn.XLOOKUP($B498,nrCDdate,nrCDweek),""))</f>
        <v/>
      </c>
      <c r="L498" s="15">
        <f>IF($B498="","",IFERROR(_xlfn.XLOOKUP($B498,nrCDdate,nrCDnum),""))</f>
        <v/>
      </c>
      <c r="M498" s="14" t="n"/>
    </row>
    <row r="499">
      <c r="B499" s="16" t="n"/>
      <c r="C499" s="15">
        <f>IF($B499="","",TEXT($B499,"ddd"))</f>
        <v/>
      </c>
      <c r="D499" s="40" t="n"/>
      <c r="E499" s="40" t="n"/>
      <c r="F499" s="15">
        <f>IF(OR($B499="",$D499="",$E499=""),"",ROUND(($E499-$D499)*24,2))</f>
        <v/>
      </c>
      <c r="G499" s="14" t="n"/>
      <c r="H499" s="15">
        <f>IF($G499="","",IFERROR(_xlfn.XLOOKUP($G499,nrCHname,nrCHnum),""))</f>
        <v/>
      </c>
      <c r="I499" s="14" t="n"/>
      <c r="J499" s="14" t="n"/>
      <c r="K499" s="15">
        <f>IF($B499="","",IFERROR(_xlfn.XLOOKUP($B499,nrCDdate,nrCDweek),""))</f>
        <v/>
      </c>
      <c r="L499" s="15">
        <f>IF($B499="","",IFERROR(_xlfn.XLOOKUP($B499,nrCDdate,nrCDnum),""))</f>
        <v/>
      </c>
      <c r="M499" s="14" t="n"/>
    </row>
    <row r="500">
      <c r="B500" s="16" t="n"/>
      <c r="C500" s="15">
        <f>IF($B500="","",TEXT($B500,"ddd"))</f>
        <v/>
      </c>
      <c r="D500" s="40" t="n"/>
      <c r="E500" s="40" t="n"/>
      <c r="F500" s="15">
        <f>IF(OR($B500="",$D500="",$E500=""),"",ROUND(($E500-$D500)*24,2))</f>
        <v/>
      </c>
      <c r="G500" s="14" t="n"/>
      <c r="H500" s="15">
        <f>IF($G500="","",IFERROR(_xlfn.XLOOKUP($G500,nrCHname,nrCHnum),""))</f>
        <v/>
      </c>
      <c r="I500" s="14" t="n"/>
      <c r="J500" s="14" t="n"/>
      <c r="K500" s="15">
        <f>IF($B500="","",IFERROR(_xlfn.XLOOKUP($B500,nrCDdate,nrCDweek),""))</f>
        <v/>
      </c>
      <c r="L500" s="15">
        <f>IF($B500="","",IFERROR(_xlfn.XLOOKUP($B500,nrCDdate,nrCDnum),""))</f>
        <v/>
      </c>
      <c r="M500" s="14" t="n"/>
    </row>
    <row r="501">
      <c r="B501" s="16" t="n"/>
      <c r="C501" s="15">
        <f>IF($B501="","",TEXT($B501,"ddd"))</f>
        <v/>
      </c>
      <c r="D501" s="40" t="n"/>
      <c r="E501" s="40" t="n"/>
      <c r="F501" s="15">
        <f>IF(OR($B501="",$D501="",$E501=""),"",ROUND(($E501-$D501)*24,2))</f>
        <v/>
      </c>
      <c r="G501" s="14" t="n"/>
      <c r="H501" s="15">
        <f>IF($G501="","",IFERROR(_xlfn.XLOOKUP($G501,nrCHname,nrCHnum),""))</f>
        <v/>
      </c>
      <c r="I501" s="14" t="n"/>
      <c r="J501" s="14" t="n"/>
      <c r="K501" s="15">
        <f>IF($B501="","",IFERROR(_xlfn.XLOOKUP($B501,nrCDdate,nrCDweek),""))</f>
        <v/>
      </c>
      <c r="L501" s="15">
        <f>IF($B501="","",IFERROR(_xlfn.XLOOKUP($B501,nrCDdate,nrCDnum),""))</f>
        <v/>
      </c>
      <c r="M501" s="14" t="n"/>
    </row>
    <row r="502">
      <c r="B502" s="16" t="n"/>
      <c r="C502" s="15">
        <f>IF($B502="","",TEXT($B502,"ddd"))</f>
        <v/>
      </c>
      <c r="D502" s="40" t="n"/>
      <c r="E502" s="40" t="n"/>
      <c r="F502" s="15">
        <f>IF(OR($B502="",$D502="",$E502=""),"",ROUND(($E502-$D502)*24,2))</f>
        <v/>
      </c>
      <c r="G502" s="14" t="n"/>
      <c r="H502" s="15">
        <f>IF($G502="","",IFERROR(_xlfn.XLOOKUP($G502,nrCHname,nrCHnum),""))</f>
        <v/>
      </c>
      <c r="I502" s="14" t="n"/>
      <c r="J502" s="14" t="n"/>
      <c r="K502" s="15">
        <f>IF($B502="","",IFERROR(_xlfn.XLOOKUP($B502,nrCDdate,nrCDweek),""))</f>
        <v/>
      </c>
      <c r="L502" s="15">
        <f>IF($B502="","",IFERROR(_xlfn.XLOOKUP($B502,nrCDdate,nrCDnum),""))</f>
        <v/>
      </c>
      <c r="M502" s="14" t="n"/>
    </row>
    <row r="503">
      <c r="B503" s="16" t="n"/>
      <c r="C503" s="15">
        <f>IF($B503="","",TEXT($B503,"ddd"))</f>
        <v/>
      </c>
      <c r="D503" s="40" t="n"/>
      <c r="E503" s="40" t="n"/>
      <c r="F503" s="15">
        <f>IF(OR($B503="",$D503="",$E503=""),"",ROUND(($E503-$D503)*24,2))</f>
        <v/>
      </c>
      <c r="G503" s="14" t="n"/>
      <c r="H503" s="15">
        <f>IF($G503="","",IFERROR(_xlfn.XLOOKUP($G503,nrCHname,nrCHnum),""))</f>
        <v/>
      </c>
      <c r="I503" s="14" t="n"/>
      <c r="J503" s="14" t="n"/>
      <c r="K503" s="15">
        <f>IF($B503="","",IFERROR(_xlfn.XLOOKUP($B503,nrCDdate,nrCDweek),""))</f>
        <v/>
      </c>
      <c r="L503" s="15">
        <f>IF($B503="","",IFERROR(_xlfn.XLOOKUP($B503,nrCDdate,nrCDnum),""))</f>
        <v/>
      </c>
      <c r="M503" s="14" t="n"/>
    </row>
    <row r="504">
      <c r="B504" s="16" t="n"/>
      <c r="C504" s="15">
        <f>IF($B504="","",TEXT($B504,"ddd"))</f>
        <v/>
      </c>
      <c r="D504" s="40" t="n"/>
      <c r="E504" s="40" t="n"/>
      <c r="F504" s="15">
        <f>IF(OR($B504="",$D504="",$E504=""),"",ROUND(($E504-$D504)*24,2))</f>
        <v/>
      </c>
      <c r="G504" s="14" t="n"/>
      <c r="H504" s="15">
        <f>IF($G504="","",IFERROR(_xlfn.XLOOKUP($G504,nrCHname,nrCHnum),""))</f>
        <v/>
      </c>
      <c r="I504" s="14" t="n"/>
      <c r="J504" s="14" t="n"/>
      <c r="K504" s="15">
        <f>IF($B504="","",IFERROR(_xlfn.XLOOKUP($B504,nrCDdate,nrCDweek),""))</f>
        <v/>
      </c>
      <c r="L504" s="15">
        <f>IF($B504="","",IFERROR(_xlfn.XLOOKUP($B504,nrCDdate,nrCDnum),""))</f>
        <v/>
      </c>
      <c r="M504" s="14" t="n"/>
    </row>
    <row r="505">
      <c r="B505" s="16" t="n"/>
      <c r="C505" s="15">
        <f>IF($B505="","",TEXT($B505,"ddd"))</f>
        <v/>
      </c>
      <c r="D505" s="40" t="n"/>
      <c r="E505" s="40" t="n"/>
      <c r="F505" s="15">
        <f>IF(OR($B505="",$D505="",$E505=""),"",ROUND(($E505-$D505)*24,2))</f>
        <v/>
      </c>
      <c r="G505" s="14" t="n"/>
      <c r="H505" s="15">
        <f>IF($G505="","",IFERROR(_xlfn.XLOOKUP($G505,nrCHname,nrCHnum),""))</f>
        <v/>
      </c>
      <c r="I505" s="14" t="n"/>
      <c r="J505" s="14" t="n"/>
      <c r="K505" s="15">
        <f>IF($B505="","",IFERROR(_xlfn.XLOOKUP($B505,nrCDdate,nrCDweek),""))</f>
        <v/>
      </c>
      <c r="L505" s="15">
        <f>IF($B505="","",IFERROR(_xlfn.XLOOKUP($B505,nrCDdate,nrCDnum),""))</f>
        <v/>
      </c>
      <c r="M505" s="14" t="n"/>
    </row>
    <row r="506">
      <c r="B506" s="16" t="n"/>
      <c r="C506" s="15">
        <f>IF($B506="","",TEXT($B506,"ddd"))</f>
        <v/>
      </c>
      <c r="D506" s="40" t="n"/>
      <c r="E506" s="40" t="n"/>
      <c r="F506" s="15">
        <f>IF(OR($B506="",$D506="",$E506=""),"",ROUND(($E506-$D506)*24,2))</f>
        <v/>
      </c>
      <c r="G506" s="14" t="n"/>
      <c r="H506" s="15">
        <f>IF($G506="","",IFERROR(_xlfn.XLOOKUP($G506,nrCHname,nrCHnum),""))</f>
        <v/>
      </c>
      <c r="I506" s="14" t="n"/>
      <c r="J506" s="14" t="n"/>
      <c r="K506" s="15">
        <f>IF($B506="","",IFERROR(_xlfn.XLOOKUP($B506,nrCDdate,nrCDweek),""))</f>
        <v/>
      </c>
      <c r="L506" s="15">
        <f>IF($B506="","",IFERROR(_xlfn.XLOOKUP($B506,nrCDdate,nrCDnum),""))</f>
        <v/>
      </c>
      <c r="M506" s="14" t="n"/>
    </row>
    <row r="507">
      <c r="B507" s="16" t="n"/>
      <c r="C507" s="15">
        <f>IF($B507="","",TEXT($B507,"ddd"))</f>
        <v/>
      </c>
      <c r="D507" s="40" t="n"/>
      <c r="E507" s="40" t="n"/>
      <c r="F507" s="15">
        <f>IF(OR($B507="",$D507="",$E507=""),"",ROUND(($E507-$D507)*24,2))</f>
        <v/>
      </c>
      <c r="G507" s="14" t="n"/>
      <c r="H507" s="15">
        <f>IF($G507="","",IFERROR(_xlfn.XLOOKUP($G507,nrCHname,nrCHnum),""))</f>
        <v/>
      </c>
      <c r="I507" s="14" t="n"/>
      <c r="J507" s="14" t="n"/>
      <c r="K507" s="15">
        <f>IF($B507="","",IFERROR(_xlfn.XLOOKUP($B507,nrCDdate,nrCDweek),""))</f>
        <v/>
      </c>
      <c r="L507" s="15">
        <f>IF($B507="","",IFERROR(_xlfn.XLOOKUP($B507,nrCDdate,nrCDnum),""))</f>
        <v/>
      </c>
      <c r="M507" s="14" t="n"/>
    </row>
    <row r="508">
      <c r="B508" s="16" t="n"/>
      <c r="C508" s="15">
        <f>IF($B508="","",TEXT($B508,"ddd"))</f>
        <v/>
      </c>
      <c r="D508" s="40" t="n"/>
      <c r="E508" s="40" t="n"/>
      <c r="F508" s="15">
        <f>IF(OR($B508="",$D508="",$E508=""),"",ROUND(($E508-$D508)*24,2))</f>
        <v/>
      </c>
      <c r="G508" s="14" t="n"/>
      <c r="H508" s="15">
        <f>IF($G508="","",IFERROR(_xlfn.XLOOKUP($G508,nrCHname,nrCHnum),""))</f>
        <v/>
      </c>
      <c r="I508" s="14" t="n"/>
      <c r="J508" s="14" t="n"/>
      <c r="K508" s="15">
        <f>IF($B508="","",IFERROR(_xlfn.XLOOKUP($B508,nrCDdate,nrCDweek),""))</f>
        <v/>
      </c>
      <c r="L508" s="15">
        <f>IF($B508="","",IFERROR(_xlfn.XLOOKUP($B508,nrCDdate,nrCDnum),""))</f>
        <v/>
      </c>
      <c r="M508" s="14" t="n"/>
    </row>
    <row r="509">
      <c r="B509" s="16" t="n"/>
      <c r="C509" s="15">
        <f>IF($B509="","",TEXT($B509,"ddd"))</f>
        <v/>
      </c>
      <c r="D509" s="40" t="n"/>
      <c r="E509" s="40" t="n"/>
      <c r="F509" s="15">
        <f>IF(OR($B509="",$D509="",$E509=""),"",ROUND(($E509-$D509)*24,2))</f>
        <v/>
      </c>
      <c r="G509" s="14" t="n"/>
      <c r="H509" s="15">
        <f>IF($G509="","",IFERROR(_xlfn.XLOOKUP($G509,nrCHname,nrCHnum),""))</f>
        <v/>
      </c>
      <c r="I509" s="14" t="n"/>
      <c r="J509" s="14" t="n"/>
      <c r="K509" s="15">
        <f>IF($B509="","",IFERROR(_xlfn.XLOOKUP($B509,nrCDdate,nrCDweek),""))</f>
        <v/>
      </c>
      <c r="L509" s="15">
        <f>IF($B509="","",IFERROR(_xlfn.XLOOKUP($B509,nrCDdate,nrCDnum),""))</f>
        <v/>
      </c>
      <c r="M509" s="14" t="n"/>
    </row>
    <row r="510">
      <c r="B510" s="16" t="n"/>
      <c r="C510" s="15">
        <f>IF($B510="","",TEXT($B510,"ddd"))</f>
        <v/>
      </c>
      <c r="D510" s="40" t="n"/>
      <c r="E510" s="40" t="n"/>
      <c r="F510" s="15">
        <f>IF(OR($B510="",$D510="",$E510=""),"",ROUND(($E510-$D510)*24,2))</f>
        <v/>
      </c>
      <c r="G510" s="14" t="n"/>
      <c r="H510" s="15">
        <f>IF($G510="","",IFERROR(_xlfn.XLOOKUP($G510,nrCHname,nrCHnum),""))</f>
        <v/>
      </c>
      <c r="I510" s="14" t="n"/>
      <c r="J510" s="14" t="n"/>
      <c r="K510" s="15">
        <f>IF($B510="","",IFERROR(_xlfn.XLOOKUP($B510,nrCDdate,nrCDweek),""))</f>
        <v/>
      </c>
      <c r="L510" s="15">
        <f>IF($B510="","",IFERROR(_xlfn.XLOOKUP($B510,nrCDdate,nrCDnum),""))</f>
        <v/>
      </c>
      <c r="M510" s="14" t="n"/>
    </row>
    <row r="511">
      <c r="B511" s="16" t="n"/>
      <c r="C511" s="15">
        <f>IF($B511="","",TEXT($B511,"ddd"))</f>
        <v/>
      </c>
      <c r="D511" s="40" t="n"/>
      <c r="E511" s="40" t="n"/>
      <c r="F511" s="15">
        <f>IF(OR($B511="",$D511="",$E511=""),"",ROUND(($E511-$D511)*24,2))</f>
        <v/>
      </c>
      <c r="G511" s="14" t="n"/>
      <c r="H511" s="15">
        <f>IF($G511="","",IFERROR(_xlfn.XLOOKUP($G511,nrCHname,nrCHnum),""))</f>
        <v/>
      </c>
      <c r="I511" s="14" t="n"/>
      <c r="J511" s="14" t="n"/>
      <c r="K511" s="15">
        <f>IF($B511="","",IFERROR(_xlfn.XLOOKUP($B511,nrCDdate,nrCDweek),""))</f>
        <v/>
      </c>
      <c r="L511" s="15">
        <f>IF($B511="","",IFERROR(_xlfn.XLOOKUP($B511,nrCDdate,nrCDnum),""))</f>
        <v/>
      </c>
      <c r="M511" s="14" t="n"/>
    </row>
    <row r="512">
      <c r="B512" s="16" t="n"/>
      <c r="C512" s="15">
        <f>IF($B512="","",TEXT($B512,"ddd"))</f>
        <v/>
      </c>
      <c r="D512" s="40" t="n"/>
      <c r="E512" s="40" t="n"/>
      <c r="F512" s="15">
        <f>IF(OR($B512="",$D512="",$E512=""),"",ROUND(($E512-$D512)*24,2))</f>
        <v/>
      </c>
      <c r="G512" s="14" t="n"/>
      <c r="H512" s="15">
        <f>IF($G512="","",IFERROR(_xlfn.XLOOKUP($G512,nrCHname,nrCHnum),""))</f>
        <v/>
      </c>
      <c r="I512" s="14" t="n"/>
      <c r="J512" s="14" t="n"/>
      <c r="K512" s="15">
        <f>IF($B512="","",IFERROR(_xlfn.XLOOKUP($B512,nrCDdate,nrCDweek),""))</f>
        <v/>
      </c>
      <c r="L512" s="15">
        <f>IF($B512="","",IFERROR(_xlfn.XLOOKUP($B512,nrCDdate,nrCDnum),""))</f>
        <v/>
      </c>
      <c r="M512" s="14" t="n"/>
    </row>
    <row r="513">
      <c r="B513" s="16" t="n"/>
      <c r="C513" s="15">
        <f>IF($B513="","",TEXT($B513,"ddd"))</f>
        <v/>
      </c>
      <c r="D513" s="40" t="n"/>
      <c r="E513" s="40" t="n"/>
      <c r="F513" s="15">
        <f>IF(OR($B513="",$D513="",$E513=""),"",ROUND(($E513-$D513)*24,2))</f>
        <v/>
      </c>
      <c r="G513" s="14" t="n"/>
      <c r="H513" s="15">
        <f>IF($G513="","",IFERROR(_xlfn.XLOOKUP($G513,nrCHname,nrCHnum),""))</f>
        <v/>
      </c>
      <c r="I513" s="14" t="n"/>
      <c r="J513" s="14" t="n"/>
      <c r="K513" s="15">
        <f>IF($B513="","",IFERROR(_xlfn.XLOOKUP($B513,nrCDdate,nrCDweek),""))</f>
        <v/>
      </c>
      <c r="L513" s="15">
        <f>IF($B513="","",IFERROR(_xlfn.XLOOKUP($B513,nrCDdate,nrCDnum),""))</f>
        <v/>
      </c>
      <c r="M513" s="14" t="n"/>
    </row>
    <row r="514">
      <c r="B514" s="16" t="n"/>
      <c r="C514" s="15">
        <f>IF($B514="","",TEXT($B514,"ddd"))</f>
        <v/>
      </c>
      <c r="D514" s="40" t="n"/>
      <c r="E514" s="40" t="n"/>
      <c r="F514" s="15">
        <f>IF(OR($B514="",$D514="",$E514=""),"",ROUND(($E514-$D514)*24,2))</f>
        <v/>
      </c>
      <c r="G514" s="14" t="n"/>
      <c r="H514" s="15">
        <f>IF($G514="","",IFERROR(_xlfn.XLOOKUP($G514,nrCHname,nrCHnum),""))</f>
        <v/>
      </c>
      <c r="I514" s="14" t="n"/>
      <c r="J514" s="14" t="n"/>
      <c r="K514" s="15">
        <f>IF($B514="","",IFERROR(_xlfn.XLOOKUP($B514,nrCDdate,nrCDweek),""))</f>
        <v/>
      </c>
      <c r="L514" s="15">
        <f>IF($B514="","",IFERROR(_xlfn.XLOOKUP($B514,nrCDdate,nrCDnum),""))</f>
        <v/>
      </c>
      <c r="M514" s="14" t="n"/>
    </row>
    <row r="515">
      <c r="B515" s="16" t="n"/>
      <c r="C515" s="15">
        <f>IF($B515="","",TEXT($B515,"ddd"))</f>
        <v/>
      </c>
      <c r="D515" s="40" t="n"/>
      <c r="E515" s="40" t="n"/>
      <c r="F515" s="15">
        <f>IF(OR($B515="",$D515="",$E515=""),"",ROUND(($E515-$D515)*24,2))</f>
        <v/>
      </c>
      <c r="G515" s="14" t="n"/>
      <c r="H515" s="15">
        <f>IF($G515="","",IFERROR(_xlfn.XLOOKUP($G515,nrCHname,nrCHnum),""))</f>
        <v/>
      </c>
      <c r="I515" s="14" t="n"/>
      <c r="J515" s="14" t="n"/>
      <c r="K515" s="15">
        <f>IF($B515="","",IFERROR(_xlfn.XLOOKUP($B515,nrCDdate,nrCDweek),""))</f>
        <v/>
      </c>
      <c r="L515" s="15">
        <f>IF($B515="","",IFERROR(_xlfn.XLOOKUP($B515,nrCDdate,nrCDnum),""))</f>
        <v/>
      </c>
      <c r="M515" s="14" t="n"/>
    </row>
    <row r="516">
      <c r="B516" s="16" t="n"/>
      <c r="C516" s="15">
        <f>IF($B516="","",TEXT($B516,"ddd"))</f>
        <v/>
      </c>
      <c r="D516" s="40" t="n"/>
      <c r="E516" s="40" t="n"/>
      <c r="F516" s="15">
        <f>IF(OR($B516="",$D516="",$E516=""),"",ROUND(($E516-$D516)*24,2))</f>
        <v/>
      </c>
      <c r="G516" s="14" t="n"/>
      <c r="H516" s="15">
        <f>IF($G516="","",IFERROR(_xlfn.XLOOKUP($G516,nrCHname,nrCHnum),""))</f>
        <v/>
      </c>
      <c r="I516" s="14" t="n"/>
      <c r="J516" s="14" t="n"/>
      <c r="K516" s="15">
        <f>IF($B516="","",IFERROR(_xlfn.XLOOKUP($B516,nrCDdate,nrCDweek),""))</f>
        <v/>
      </c>
      <c r="L516" s="15">
        <f>IF($B516="","",IFERROR(_xlfn.XLOOKUP($B516,nrCDdate,nrCDnum),""))</f>
        <v/>
      </c>
      <c r="M516" s="14" t="n"/>
    </row>
    <row r="517">
      <c r="B517" s="16" t="n"/>
      <c r="C517" s="15">
        <f>IF($B517="","",TEXT($B517,"ddd"))</f>
        <v/>
      </c>
      <c r="D517" s="40" t="n"/>
      <c r="E517" s="40" t="n"/>
      <c r="F517" s="15">
        <f>IF(OR($B517="",$D517="",$E517=""),"",ROUND(($E517-$D517)*24,2))</f>
        <v/>
      </c>
      <c r="G517" s="14" t="n"/>
      <c r="H517" s="15">
        <f>IF($G517="","",IFERROR(_xlfn.XLOOKUP($G517,nrCHname,nrCHnum),""))</f>
        <v/>
      </c>
      <c r="I517" s="14" t="n"/>
      <c r="J517" s="14" t="n"/>
      <c r="K517" s="15">
        <f>IF($B517="","",IFERROR(_xlfn.XLOOKUP($B517,nrCDdate,nrCDweek),""))</f>
        <v/>
      </c>
      <c r="L517" s="15">
        <f>IF($B517="","",IFERROR(_xlfn.XLOOKUP($B517,nrCDdate,nrCDnum),""))</f>
        <v/>
      </c>
      <c r="M517" s="14" t="n"/>
    </row>
    <row r="518">
      <c r="B518" s="16" t="n"/>
      <c r="C518" s="15">
        <f>IF($B518="","",TEXT($B518,"ddd"))</f>
        <v/>
      </c>
      <c r="D518" s="40" t="n"/>
      <c r="E518" s="40" t="n"/>
      <c r="F518" s="15">
        <f>IF(OR($B518="",$D518="",$E518=""),"",ROUND(($E518-$D518)*24,2))</f>
        <v/>
      </c>
      <c r="G518" s="14" t="n"/>
      <c r="H518" s="15">
        <f>IF($G518="","",IFERROR(_xlfn.XLOOKUP($G518,nrCHname,nrCHnum),""))</f>
        <v/>
      </c>
      <c r="I518" s="14" t="n"/>
      <c r="J518" s="14" t="n"/>
      <c r="K518" s="15">
        <f>IF($B518="","",IFERROR(_xlfn.XLOOKUP($B518,nrCDdate,nrCDweek),""))</f>
        <v/>
      </c>
      <c r="L518" s="15">
        <f>IF($B518="","",IFERROR(_xlfn.XLOOKUP($B518,nrCDdate,nrCDnum),""))</f>
        <v/>
      </c>
      <c r="M518" s="14" t="n"/>
    </row>
    <row r="519">
      <c r="B519" s="16" t="n"/>
      <c r="C519" s="15">
        <f>IF($B519="","",TEXT($B519,"ddd"))</f>
        <v/>
      </c>
      <c r="D519" s="40" t="n"/>
      <c r="E519" s="40" t="n"/>
      <c r="F519" s="15">
        <f>IF(OR($B519="",$D519="",$E519=""),"",ROUND(($E519-$D519)*24,2))</f>
        <v/>
      </c>
      <c r="G519" s="14" t="n"/>
      <c r="H519" s="15">
        <f>IF($G519="","",IFERROR(_xlfn.XLOOKUP($G519,nrCHname,nrCHnum),""))</f>
        <v/>
      </c>
      <c r="I519" s="14" t="n"/>
      <c r="J519" s="14" t="n"/>
      <c r="K519" s="15">
        <f>IF($B519="","",IFERROR(_xlfn.XLOOKUP($B519,nrCDdate,nrCDweek),""))</f>
        <v/>
      </c>
      <c r="L519" s="15">
        <f>IF($B519="","",IFERROR(_xlfn.XLOOKUP($B519,nrCDdate,nrCDnum),""))</f>
        <v/>
      </c>
      <c r="M519" s="14" t="n"/>
    </row>
    <row r="520">
      <c r="B520" s="16" t="n"/>
      <c r="C520" s="15">
        <f>IF($B520="","",TEXT($B520,"ddd"))</f>
        <v/>
      </c>
      <c r="D520" s="40" t="n"/>
      <c r="E520" s="40" t="n"/>
      <c r="F520" s="15">
        <f>IF(OR($B520="",$D520="",$E520=""),"",ROUND(($E520-$D520)*24,2))</f>
        <v/>
      </c>
      <c r="G520" s="14" t="n"/>
      <c r="H520" s="15">
        <f>IF($G520="","",IFERROR(_xlfn.XLOOKUP($G520,nrCHname,nrCHnum),""))</f>
        <v/>
      </c>
      <c r="I520" s="14" t="n"/>
      <c r="J520" s="14" t="n"/>
      <c r="K520" s="15">
        <f>IF($B520="","",IFERROR(_xlfn.XLOOKUP($B520,nrCDdate,nrCDweek),""))</f>
        <v/>
      </c>
      <c r="L520" s="15">
        <f>IF($B520="","",IFERROR(_xlfn.XLOOKUP($B520,nrCDdate,nrCDnum),""))</f>
        <v/>
      </c>
      <c r="M520" s="14" t="n"/>
    </row>
    <row r="521">
      <c r="B521" s="16" t="n"/>
      <c r="C521" s="15">
        <f>IF($B521="","",TEXT($B521,"ddd"))</f>
        <v/>
      </c>
      <c r="D521" s="40" t="n"/>
      <c r="E521" s="40" t="n"/>
      <c r="F521" s="15">
        <f>IF(OR($B521="",$D521="",$E521=""),"",ROUND(($E521-$D521)*24,2))</f>
        <v/>
      </c>
      <c r="G521" s="14" t="n"/>
      <c r="H521" s="15">
        <f>IF($G521="","",IFERROR(_xlfn.XLOOKUP($G521,nrCHname,nrCHnum),""))</f>
        <v/>
      </c>
      <c r="I521" s="14" t="n"/>
      <c r="J521" s="14" t="n"/>
      <c r="K521" s="15">
        <f>IF($B521="","",IFERROR(_xlfn.XLOOKUP($B521,nrCDdate,nrCDweek),""))</f>
        <v/>
      </c>
      <c r="L521" s="15">
        <f>IF($B521="","",IFERROR(_xlfn.XLOOKUP($B521,nrCDdate,nrCDnum),""))</f>
        <v/>
      </c>
      <c r="M521" s="14" t="n"/>
    </row>
    <row r="522">
      <c r="B522" s="16" t="n"/>
      <c r="C522" s="15">
        <f>IF($B522="","",TEXT($B522,"ddd"))</f>
        <v/>
      </c>
      <c r="D522" s="40" t="n"/>
      <c r="E522" s="40" t="n"/>
      <c r="F522" s="15">
        <f>IF(OR($B522="",$D522="",$E522=""),"",ROUND(($E522-$D522)*24,2))</f>
        <v/>
      </c>
      <c r="G522" s="14" t="n"/>
      <c r="H522" s="15">
        <f>IF($G522="","",IFERROR(_xlfn.XLOOKUP($G522,nrCHname,nrCHnum),""))</f>
        <v/>
      </c>
      <c r="I522" s="14" t="n"/>
      <c r="J522" s="14" t="n"/>
      <c r="K522" s="15">
        <f>IF($B522="","",IFERROR(_xlfn.XLOOKUP($B522,nrCDdate,nrCDweek),""))</f>
        <v/>
      </c>
      <c r="L522" s="15">
        <f>IF($B522="","",IFERROR(_xlfn.XLOOKUP($B522,nrCDdate,nrCDnum),""))</f>
        <v/>
      </c>
      <c r="M522" s="14" t="n"/>
    </row>
    <row r="523">
      <c r="B523" s="16" t="n"/>
      <c r="C523" s="15">
        <f>IF($B523="","",TEXT($B523,"ddd"))</f>
        <v/>
      </c>
      <c r="D523" s="40" t="n"/>
      <c r="E523" s="40" t="n"/>
      <c r="F523" s="15">
        <f>IF(OR($B523="",$D523="",$E523=""),"",ROUND(($E523-$D523)*24,2))</f>
        <v/>
      </c>
      <c r="G523" s="14" t="n"/>
      <c r="H523" s="15">
        <f>IF($G523="","",IFERROR(_xlfn.XLOOKUP($G523,nrCHname,nrCHnum),""))</f>
        <v/>
      </c>
      <c r="I523" s="14" t="n"/>
      <c r="J523" s="14" t="n"/>
      <c r="K523" s="15">
        <f>IF($B523="","",IFERROR(_xlfn.XLOOKUP($B523,nrCDdate,nrCDweek),""))</f>
        <v/>
      </c>
      <c r="L523" s="15">
        <f>IF($B523="","",IFERROR(_xlfn.XLOOKUP($B523,nrCDdate,nrCDnum),""))</f>
        <v/>
      </c>
      <c r="M523" s="14" t="n"/>
    </row>
    <row r="524">
      <c r="B524" s="16" t="n"/>
      <c r="C524" s="15">
        <f>IF($B524="","",TEXT($B524,"ddd"))</f>
        <v/>
      </c>
      <c r="D524" s="40" t="n"/>
      <c r="E524" s="40" t="n"/>
      <c r="F524" s="15">
        <f>IF(OR($B524="",$D524="",$E524=""),"",ROUND(($E524-$D524)*24,2))</f>
        <v/>
      </c>
      <c r="G524" s="14" t="n"/>
      <c r="H524" s="15">
        <f>IF($G524="","",IFERROR(_xlfn.XLOOKUP($G524,nrCHname,nrCHnum),""))</f>
        <v/>
      </c>
      <c r="I524" s="14" t="n"/>
      <c r="J524" s="14" t="n"/>
      <c r="K524" s="15">
        <f>IF($B524="","",IFERROR(_xlfn.XLOOKUP($B524,nrCDdate,nrCDweek),""))</f>
        <v/>
      </c>
      <c r="L524" s="15">
        <f>IF($B524="","",IFERROR(_xlfn.XLOOKUP($B524,nrCDdate,nrCDnum),""))</f>
        <v/>
      </c>
      <c r="M524" s="14" t="n"/>
    </row>
    <row r="525">
      <c r="B525" s="16" t="n"/>
      <c r="C525" s="15">
        <f>IF($B525="","",TEXT($B525,"ddd"))</f>
        <v/>
      </c>
      <c r="D525" s="40" t="n"/>
      <c r="E525" s="40" t="n"/>
      <c r="F525" s="15">
        <f>IF(OR($B525="",$D525="",$E525=""),"",ROUND(($E525-$D525)*24,2))</f>
        <v/>
      </c>
      <c r="G525" s="14" t="n"/>
      <c r="H525" s="15">
        <f>IF($G525="","",IFERROR(_xlfn.XLOOKUP($G525,nrCHname,nrCHnum),""))</f>
        <v/>
      </c>
      <c r="I525" s="14" t="n"/>
      <c r="J525" s="14" t="n"/>
      <c r="K525" s="15">
        <f>IF($B525="","",IFERROR(_xlfn.XLOOKUP($B525,nrCDdate,nrCDweek),""))</f>
        <v/>
      </c>
      <c r="L525" s="15">
        <f>IF($B525="","",IFERROR(_xlfn.XLOOKUP($B525,nrCDdate,nrCDnum),""))</f>
        <v/>
      </c>
      <c r="M525" s="14" t="n"/>
    </row>
    <row r="526">
      <c r="B526" s="16" t="n"/>
      <c r="C526" s="15">
        <f>IF($B526="","",TEXT($B526,"ddd"))</f>
        <v/>
      </c>
      <c r="D526" s="40" t="n"/>
      <c r="E526" s="40" t="n"/>
      <c r="F526" s="15">
        <f>IF(OR($B526="",$D526="",$E526=""),"",ROUND(($E526-$D526)*24,2))</f>
        <v/>
      </c>
      <c r="G526" s="14" t="n"/>
      <c r="H526" s="15">
        <f>IF($G526="","",IFERROR(_xlfn.XLOOKUP($G526,nrCHname,nrCHnum),""))</f>
        <v/>
      </c>
      <c r="I526" s="14" t="n"/>
      <c r="J526" s="14" t="n"/>
      <c r="K526" s="15">
        <f>IF($B526="","",IFERROR(_xlfn.XLOOKUP($B526,nrCDdate,nrCDweek),""))</f>
        <v/>
      </c>
      <c r="L526" s="15">
        <f>IF($B526="","",IFERROR(_xlfn.XLOOKUP($B526,nrCDdate,nrCDnum),""))</f>
        <v/>
      </c>
      <c r="M526" s="14" t="n"/>
    </row>
    <row r="527">
      <c r="B527" s="16" t="n"/>
      <c r="C527" s="15">
        <f>IF($B527="","",TEXT($B527,"ddd"))</f>
        <v/>
      </c>
      <c r="D527" s="40" t="n"/>
      <c r="E527" s="40" t="n"/>
      <c r="F527" s="15">
        <f>IF(OR($B527="",$D527="",$E527=""),"",ROUND(($E527-$D527)*24,2))</f>
        <v/>
      </c>
      <c r="G527" s="14" t="n"/>
      <c r="H527" s="15">
        <f>IF($G527="","",IFERROR(_xlfn.XLOOKUP($G527,nrCHname,nrCHnum),""))</f>
        <v/>
      </c>
      <c r="I527" s="14" t="n"/>
      <c r="J527" s="14" t="n"/>
      <c r="K527" s="15">
        <f>IF($B527="","",IFERROR(_xlfn.XLOOKUP($B527,nrCDdate,nrCDweek),""))</f>
        <v/>
      </c>
      <c r="L527" s="15">
        <f>IF($B527="","",IFERROR(_xlfn.XLOOKUP($B527,nrCDdate,nrCDnum),""))</f>
        <v/>
      </c>
      <c r="M527" s="14" t="n"/>
    </row>
    <row r="528">
      <c r="B528" s="16" t="n"/>
      <c r="C528" s="15">
        <f>IF($B528="","",TEXT($B528,"ddd"))</f>
        <v/>
      </c>
      <c r="D528" s="40" t="n"/>
      <c r="E528" s="40" t="n"/>
      <c r="F528" s="15">
        <f>IF(OR($B528="",$D528="",$E528=""),"",ROUND(($E528-$D528)*24,2))</f>
        <v/>
      </c>
      <c r="G528" s="14" t="n"/>
      <c r="H528" s="15">
        <f>IF($G528="","",IFERROR(_xlfn.XLOOKUP($G528,nrCHname,nrCHnum),""))</f>
        <v/>
      </c>
      <c r="I528" s="14" t="n"/>
      <c r="J528" s="14" t="n"/>
      <c r="K528" s="15">
        <f>IF($B528="","",IFERROR(_xlfn.XLOOKUP($B528,nrCDdate,nrCDweek),""))</f>
        <v/>
      </c>
      <c r="L528" s="15">
        <f>IF($B528="","",IFERROR(_xlfn.XLOOKUP($B528,nrCDdate,nrCDnum),""))</f>
        <v/>
      </c>
      <c r="M528" s="14" t="n"/>
    </row>
    <row r="529">
      <c r="B529" s="16" t="n"/>
      <c r="C529" s="15">
        <f>IF($B529="","",TEXT($B529,"ddd"))</f>
        <v/>
      </c>
      <c r="D529" s="40" t="n"/>
      <c r="E529" s="40" t="n"/>
      <c r="F529" s="15">
        <f>IF(OR($B529="",$D529="",$E529=""),"",ROUND(($E529-$D529)*24,2))</f>
        <v/>
      </c>
      <c r="G529" s="14" t="n"/>
      <c r="H529" s="15">
        <f>IF($G529="","",IFERROR(_xlfn.XLOOKUP($G529,nrCHname,nrCHnum),""))</f>
        <v/>
      </c>
      <c r="I529" s="14" t="n"/>
      <c r="J529" s="14" t="n"/>
      <c r="K529" s="15">
        <f>IF($B529="","",IFERROR(_xlfn.XLOOKUP($B529,nrCDdate,nrCDweek),""))</f>
        <v/>
      </c>
      <c r="L529" s="15">
        <f>IF($B529="","",IFERROR(_xlfn.XLOOKUP($B529,nrCDdate,nrCDnum),""))</f>
        <v/>
      </c>
      <c r="M529" s="14" t="n"/>
    </row>
    <row r="530">
      <c r="B530" s="16" t="n"/>
      <c r="C530" s="15">
        <f>IF($B530="","",TEXT($B530,"ddd"))</f>
        <v/>
      </c>
      <c r="D530" s="40" t="n"/>
      <c r="E530" s="40" t="n"/>
      <c r="F530" s="15">
        <f>IF(OR($B530="",$D530="",$E530=""),"",ROUND(($E530-$D530)*24,2))</f>
        <v/>
      </c>
      <c r="G530" s="14" t="n"/>
      <c r="H530" s="15">
        <f>IF($G530="","",IFERROR(_xlfn.XLOOKUP($G530,nrCHname,nrCHnum),""))</f>
        <v/>
      </c>
      <c r="I530" s="14" t="n"/>
      <c r="J530" s="14" t="n"/>
      <c r="K530" s="15">
        <f>IF($B530="","",IFERROR(_xlfn.XLOOKUP($B530,nrCDdate,nrCDweek),""))</f>
        <v/>
      </c>
      <c r="L530" s="15">
        <f>IF($B530="","",IFERROR(_xlfn.XLOOKUP($B530,nrCDdate,nrCDnum),""))</f>
        <v/>
      </c>
      <c r="M530" s="14" t="n"/>
    </row>
    <row r="531">
      <c r="B531" s="16" t="n"/>
      <c r="C531" s="15">
        <f>IF($B531="","",TEXT($B531,"ddd"))</f>
        <v/>
      </c>
      <c r="D531" s="40" t="n"/>
      <c r="E531" s="40" t="n"/>
      <c r="F531" s="15">
        <f>IF(OR($B531="",$D531="",$E531=""),"",ROUND(($E531-$D531)*24,2))</f>
        <v/>
      </c>
      <c r="G531" s="14" t="n"/>
      <c r="H531" s="15">
        <f>IF($G531="","",IFERROR(_xlfn.XLOOKUP($G531,nrCHname,nrCHnum),""))</f>
        <v/>
      </c>
      <c r="I531" s="14" t="n"/>
      <c r="J531" s="14" t="n"/>
      <c r="K531" s="15">
        <f>IF($B531="","",IFERROR(_xlfn.XLOOKUP($B531,nrCDdate,nrCDweek),""))</f>
        <v/>
      </c>
      <c r="L531" s="15">
        <f>IF($B531="","",IFERROR(_xlfn.XLOOKUP($B531,nrCDdate,nrCDnum),""))</f>
        <v/>
      </c>
      <c r="M531" s="14" t="n"/>
    </row>
    <row r="532">
      <c r="B532" s="16" t="n"/>
      <c r="C532" s="15">
        <f>IF($B532="","",TEXT($B532,"ddd"))</f>
        <v/>
      </c>
      <c r="D532" s="40" t="n"/>
      <c r="E532" s="40" t="n"/>
      <c r="F532" s="15">
        <f>IF(OR($B532="",$D532="",$E532=""),"",ROUND(($E532-$D532)*24,2))</f>
        <v/>
      </c>
      <c r="G532" s="14" t="n"/>
      <c r="H532" s="15">
        <f>IF($G532="","",IFERROR(_xlfn.XLOOKUP($G532,nrCHname,nrCHnum),""))</f>
        <v/>
      </c>
      <c r="I532" s="14" t="n"/>
      <c r="J532" s="14" t="n"/>
      <c r="K532" s="15">
        <f>IF($B532="","",IFERROR(_xlfn.XLOOKUP($B532,nrCDdate,nrCDweek),""))</f>
        <v/>
      </c>
      <c r="L532" s="15">
        <f>IF($B532="","",IFERROR(_xlfn.XLOOKUP($B532,nrCDdate,nrCDnum),""))</f>
        <v/>
      </c>
      <c r="M532" s="14" t="n"/>
    </row>
    <row r="533">
      <c r="B533" s="16" t="n"/>
      <c r="C533" s="15">
        <f>IF($B533="","",TEXT($B533,"ddd"))</f>
        <v/>
      </c>
      <c r="D533" s="40" t="n"/>
      <c r="E533" s="40" t="n"/>
      <c r="F533" s="15">
        <f>IF(OR($B533="",$D533="",$E533=""),"",ROUND(($E533-$D533)*24,2))</f>
        <v/>
      </c>
      <c r="G533" s="14" t="n"/>
      <c r="H533" s="15">
        <f>IF($G533="","",IFERROR(_xlfn.XLOOKUP($G533,nrCHname,nrCHnum),""))</f>
        <v/>
      </c>
      <c r="I533" s="14" t="n"/>
      <c r="J533" s="14" t="n"/>
      <c r="K533" s="15">
        <f>IF($B533="","",IFERROR(_xlfn.XLOOKUP($B533,nrCDdate,nrCDweek),""))</f>
        <v/>
      </c>
      <c r="L533" s="15">
        <f>IF($B533="","",IFERROR(_xlfn.XLOOKUP($B533,nrCDdate,nrCDnum),""))</f>
        <v/>
      </c>
      <c r="M533" s="14" t="n"/>
    </row>
    <row r="534">
      <c r="B534" s="16" t="n"/>
      <c r="C534" s="15">
        <f>IF($B534="","",TEXT($B534,"ddd"))</f>
        <v/>
      </c>
      <c r="D534" s="40" t="n"/>
      <c r="E534" s="40" t="n"/>
      <c r="F534" s="15">
        <f>IF(OR($B534="",$D534="",$E534=""),"",ROUND(($E534-$D534)*24,2))</f>
        <v/>
      </c>
      <c r="G534" s="14" t="n"/>
      <c r="H534" s="15">
        <f>IF($G534="","",IFERROR(_xlfn.XLOOKUP($G534,nrCHname,nrCHnum),""))</f>
        <v/>
      </c>
      <c r="I534" s="14" t="n"/>
      <c r="J534" s="14" t="n"/>
      <c r="K534" s="15">
        <f>IF($B534="","",IFERROR(_xlfn.XLOOKUP($B534,nrCDdate,nrCDweek),""))</f>
        <v/>
      </c>
      <c r="L534" s="15">
        <f>IF($B534="","",IFERROR(_xlfn.XLOOKUP($B534,nrCDdate,nrCDnum),""))</f>
        <v/>
      </c>
      <c r="M534" s="14" t="n"/>
    </row>
    <row r="535">
      <c r="B535" s="16" t="n"/>
      <c r="C535" s="15">
        <f>IF($B535="","",TEXT($B535,"ddd"))</f>
        <v/>
      </c>
      <c r="D535" s="40" t="n"/>
      <c r="E535" s="40" t="n"/>
      <c r="F535" s="15">
        <f>IF(OR($B535="",$D535="",$E535=""),"",ROUND(($E535-$D535)*24,2))</f>
        <v/>
      </c>
      <c r="G535" s="14" t="n"/>
      <c r="H535" s="15">
        <f>IF($G535="","",IFERROR(_xlfn.XLOOKUP($G535,nrCHname,nrCHnum),""))</f>
        <v/>
      </c>
      <c r="I535" s="14" t="n"/>
      <c r="J535" s="14" t="n"/>
      <c r="K535" s="15">
        <f>IF($B535="","",IFERROR(_xlfn.XLOOKUP($B535,nrCDdate,nrCDweek),""))</f>
        <v/>
      </c>
      <c r="L535" s="15">
        <f>IF($B535="","",IFERROR(_xlfn.XLOOKUP($B535,nrCDdate,nrCDnum),""))</f>
        <v/>
      </c>
      <c r="M535" s="14" t="n"/>
    </row>
    <row r="536">
      <c r="B536" s="16" t="n"/>
      <c r="C536" s="15">
        <f>IF($B536="","",TEXT($B536,"ddd"))</f>
        <v/>
      </c>
      <c r="D536" s="40" t="n"/>
      <c r="E536" s="40" t="n"/>
      <c r="F536" s="15">
        <f>IF(OR($B536="",$D536="",$E536=""),"",ROUND(($E536-$D536)*24,2))</f>
        <v/>
      </c>
      <c r="G536" s="14" t="n"/>
      <c r="H536" s="15">
        <f>IF($G536="","",IFERROR(_xlfn.XLOOKUP($G536,nrCHname,nrCHnum),""))</f>
        <v/>
      </c>
      <c r="I536" s="14" t="n"/>
      <c r="J536" s="14" t="n"/>
      <c r="K536" s="15">
        <f>IF($B536="","",IFERROR(_xlfn.XLOOKUP($B536,nrCDdate,nrCDweek),""))</f>
        <v/>
      </c>
      <c r="L536" s="15">
        <f>IF($B536="","",IFERROR(_xlfn.XLOOKUP($B536,nrCDdate,nrCDnum),""))</f>
        <v/>
      </c>
      <c r="M536" s="14" t="n"/>
    </row>
    <row r="537">
      <c r="B537" s="16" t="n"/>
      <c r="C537" s="15">
        <f>IF($B537="","",TEXT($B537,"ddd"))</f>
        <v/>
      </c>
      <c r="D537" s="40" t="n"/>
      <c r="E537" s="40" t="n"/>
      <c r="F537" s="15">
        <f>IF(OR($B537="",$D537="",$E537=""),"",ROUND(($E537-$D537)*24,2))</f>
        <v/>
      </c>
      <c r="G537" s="14" t="n"/>
      <c r="H537" s="15">
        <f>IF($G537="","",IFERROR(_xlfn.XLOOKUP($G537,nrCHname,nrCHnum),""))</f>
        <v/>
      </c>
      <c r="I537" s="14" t="n"/>
      <c r="J537" s="14" t="n"/>
      <c r="K537" s="15">
        <f>IF($B537="","",IFERROR(_xlfn.XLOOKUP($B537,nrCDdate,nrCDweek),""))</f>
        <v/>
      </c>
      <c r="L537" s="15">
        <f>IF($B537="","",IFERROR(_xlfn.XLOOKUP($B537,nrCDdate,nrCDnum),""))</f>
        <v/>
      </c>
      <c r="M537" s="14" t="n"/>
    </row>
    <row r="538">
      <c r="B538" s="16" t="n"/>
      <c r="C538" s="15">
        <f>IF($B538="","",TEXT($B538,"ddd"))</f>
        <v/>
      </c>
      <c r="D538" s="40" t="n"/>
      <c r="E538" s="40" t="n"/>
      <c r="F538" s="15">
        <f>IF(OR($B538="",$D538="",$E538=""),"",ROUND(($E538-$D538)*24,2))</f>
        <v/>
      </c>
      <c r="G538" s="14" t="n"/>
      <c r="H538" s="15">
        <f>IF($G538="","",IFERROR(_xlfn.XLOOKUP($G538,nrCHname,nrCHnum),""))</f>
        <v/>
      </c>
      <c r="I538" s="14" t="n"/>
      <c r="J538" s="14" t="n"/>
      <c r="K538" s="15">
        <f>IF($B538="","",IFERROR(_xlfn.XLOOKUP($B538,nrCDdate,nrCDweek),""))</f>
        <v/>
      </c>
      <c r="L538" s="15">
        <f>IF($B538="","",IFERROR(_xlfn.XLOOKUP($B538,nrCDdate,nrCDnum),""))</f>
        <v/>
      </c>
      <c r="M538" s="14" t="n"/>
    </row>
    <row r="539">
      <c r="B539" s="16" t="n"/>
      <c r="C539" s="15">
        <f>IF($B539="","",TEXT($B539,"ddd"))</f>
        <v/>
      </c>
      <c r="D539" s="40" t="n"/>
      <c r="E539" s="40" t="n"/>
      <c r="F539" s="15">
        <f>IF(OR($B539="",$D539="",$E539=""),"",ROUND(($E539-$D539)*24,2))</f>
        <v/>
      </c>
      <c r="G539" s="14" t="n"/>
      <c r="H539" s="15">
        <f>IF($G539="","",IFERROR(_xlfn.XLOOKUP($G539,nrCHname,nrCHnum),""))</f>
        <v/>
      </c>
      <c r="I539" s="14" t="n"/>
      <c r="J539" s="14" t="n"/>
      <c r="K539" s="15">
        <f>IF($B539="","",IFERROR(_xlfn.XLOOKUP($B539,nrCDdate,nrCDweek),""))</f>
        <v/>
      </c>
      <c r="L539" s="15">
        <f>IF($B539="","",IFERROR(_xlfn.XLOOKUP($B539,nrCDdate,nrCDnum),""))</f>
        <v/>
      </c>
      <c r="M539" s="14" t="n"/>
    </row>
    <row r="540">
      <c r="B540" s="16" t="n"/>
      <c r="C540" s="15">
        <f>IF($B540="","",TEXT($B540,"ddd"))</f>
        <v/>
      </c>
      <c r="D540" s="40" t="n"/>
      <c r="E540" s="40" t="n"/>
      <c r="F540" s="15">
        <f>IF(OR($B540="",$D540="",$E540=""),"",ROUND(($E540-$D540)*24,2))</f>
        <v/>
      </c>
      <c r="G540" s="14" t="n"/>
      <c r="H540" s="15">
        <f>IF($G540="","",IFERROR(_xlfn.XLOOKUP($G540,nrCHname,nrCHnum),""))</f>
        <v/>
      </c>
      <c r="I540" s="14" t="n"/>
      <c r="J540" s="14" t="n"/>
      <c r="K540" s="15">
        <f>IF($B540="","",IFERROR(_xlfn.XLOOKUP($B540,nrCDdate,nrCDweek),""))</f>
        <v/>
      </c>
      <c r="L540" s="15">
        <f>IF($B540="","",IFERROR(_xlfn.XLOOKUP($B540,nrCDdate,nrCDnum),""))</f>
        <v/>
      </c>
      <c r="M540" s="14" t="n"/>
    </row>
    <row r="541">
      <c r="B541" s="16" t="n"/>
      <c r="C541" s="15">
        <f>IF($B541="","",TEXT($B541,"ddd"))</f>
        <v/>
      </c>
      <c r="D541" s="40" t="n"/>
      <c r="E541" s="40" t="n"/>
      <c r="F541" s="15">
        <f>IF(OR($B541="",$D541="",$E541=""),"",ROUND(($E541-$D541)*24,2))</f>
        <v/>
      </c>
      <c r="G541" s="14" t="n"/>
      <c r="H541" s="15">
        <f>IF($G541="","",IFERROR(_xlfn.XLOOKUP($G541,nrCHname,nrCHnum),""))</f>
        <v/>
      </c>
      <c r="I541" s="14" t="n"/>
      <c r="J541" s="14" t="n"/>
      <c r="K541" s="15">
        <f>IF($B541="","",IFERROR(_xlfn.XLOOKUP($B541,nrCDdate,nrCDweek),""))</f>
        <v/>
      </c>
      <c r="L541" s="15">
        <f>IF($B541="","",IFERROR(_xlfn.XLOOKUP($B541,nrCDdate,nrCDnum),""))</f>
        <v/>
      </c>
      <c r="M541" s="14" t="n"/>
    </row>
    <row r="542">
      <c r="B542" s="16" t="n"/>
      <c r="C542" s="15">
        <f>IF($B542="","",TEXT($B542,"ddd"))</f>
        <v/>
      </c>
      <c r="D542" s="40" t="n"/>
      <c r="E542" s="40" t="n"/>
      <c r="F542" s="15">
        <f>IF(OR($B542="",$D542="",$E542=""),"",ROUND(($E542-$D542)*24,2))</f>
        <v/>
      </c>
      <c r="G542" s="14" t="n"/>
      <c r="H542" s="15">
        <f>IF($G542="","",IFERROR(_xlfn.XLOOKUP($G542,nrCHname,nrCHnum),""))</f>
        <v/>
      </c>
      <c r="I542" s="14" t="n"/>
      <c r="J542" s="14" t="n"/>
      <c r="K542" s="15">
        <f>IF($B542="","",IFERROR(_xlfn.XLOOKUP($B542,nrCDdate,nrCDweek),""))</f>
        <v/>
      </c>
      <c r="L542" s="15">
        <f>IF($B542="","",IFERROR(_xlfn.XLOOKUP($B542,nrCDdate,nrCDnum),""))</f>
        <v/>
      </c>
      <c r="M542" s="14" t="n"/>
    </row>
    <row r="543">
      <c r="B543" s="16" t="n"/>
      <c r="C543" s="15">
        <f>IF($B543="","",TEXT($B543,"ddd"))</f>
        <v/>
      </c>
      <c r="D543" s="40" t="n"/>
      <c r="E543" s="40" t="n"/>
      <c r="F543" s="15">
        <f>IF(OR($B543="",$D543="",$E543=""),"",ROUND(($E543-$D543)*24,2))</f>
        <v/>
      </c>
      <c r="G543" s="14" t="n"/>
      <c r="H543" s="15">
        <f>IF($G543="","",IFERROR(_xlfn.XLOOKUP($G543,nrCHname,nrCHnum),""))</f>
        <v/>
      </c>
      <c r="I543" s="14" t="n"/>
      <c r="J543" s="14" t="n"/>
      <c r="K543" s="15">
        <f>IF($B543="","",IFERROR(_xlfn.XLOOKUP($B543,nrCDdate,nrCDweek),""))</f>
        <v/>
      </c>
      <c r="L543" s="15">
        <f>IF($B543="","",IFERROR(_xlfn.XLOOKUP($B543,nrCDdate,nrCDnum),""))</f>
        <v/>
      </c>
      <c r="M543" s="14" t="n"/>
    </row>
    <row r="544">
      <c r="B544" s="16" t="n"/>
      <c r="C544" s="15">
        <f>IF($B544="","",TEXT($B544,"ddd"))</f>
        <v/>
      </c>
      <c r="D544" s="40" t="n"/>
      <c r="E544" s="40" t="n"/>
      <c r="F544" s="15">
        <f>IF(OR($B544="",$D544="",$E544=""),"",ROUND(($E544-$D544)*24,2))</f>
        <v/>
      </c>
      <c r="G544" s="14" t="n"/>
      <c r="H544" s="15">
        <f>IF($G544="","",IFERROR(_xlfn.XLOOKUP($G544,nrCHname,nrCHnum),""))</f>
        <v/>
      </c>
      <c r="I544" s="14" t="n"/>
      <c r="J544" s="14" t="n"/>
      <c r="K544" s="15">
        <f>IF($B544="","",IFERROR(_xlfn.XLOOKUP($B544,nrCDdate,nrCDweek),""))</f>
        <v/>
      </c>
      <c r="L544" s="15">
        <f>IF($B544="","",IFERROR(_xlfn.XLOOKUP($B544,nrCDdate,nrCDnum),""))</f>
        <v/>
      </c>
      <c r="M544" s="14" t="n"/>
    </row>
    <row r="545">
      <c r="B545" s="16" t="n"/>
      <c r="C545" s="15">
        <f>IF($B545="","",TEXT($B545,"ddd"))</f>
        <v/>
      </c>
      <c r="D545" s="40" t="n"/>
      <c r="E545" s="40" t="n"/>
      <c r="F545" s="15">
        <f>IF(OR($B545="",$D545="",$E545=""),"",ROUND(($E545-$D545)*24,2))</f>
        <v/>
      </c>
      <c r="G545" s="14" t="n"/>
      <c r="H545" s="15">
        <f>IF($G545="","",IFERROR(_xlfn.XLOOKUP($G545,nrCHname,nrCHnum),""))</f>
        <v/>
      </c>
      <c r="I545" s="14" t="n"/>
      <c r="J545" s="14" t="n"/>
      <c r="K545" s="15">
        <f>IF($B545="","",IFERROR(_xlfn.XLOOKUP($B545,nrCDdate,nrCDweek),""))</f>
        <v/>
      </c>
      <c r="L545" s="15">
        <f>IF($B545="","",IFERROR(_xlfn.XLOOKUP($B545,nrCDdate,nrCDnum),""))</f>
        <v/>
      </c>
      <c r="M545" s="14" t="n"/>
    </row>
    <row r="546">
      <c r="B546" s="16" t="n"/>
      <c r="C546" s="15">
        <f>IF($B546="","",TEXT($B546,"ddd"))</f>
        <v/>
      </c>
      <c r="D546" s="40" t="n"/>
      <c r="E546" s="40" t="n"/>
      <c r="F546" s="15">
        <f>IF(OR($B546="",$D546="",$E546=""),"",ROUND(($E546-$D546)*24,2))</f>
        <v/>
      </c>
      <c r="G546" s="14" t="n"/>
      <c r="H546" s="15">
        <f>IF($G546="","",IFERROR(_xlfn.XLOOKUP($G546,nrCHname,nrCHnum),""))</f>
        <v/>
      </c>
      <c r="I546" s="14" t="n"/>
      <c r="J546" s="14" t="n"/>
      <c r="K546" s="15">
        <f>IF($B546="","",IFERROR(_xlfn.XLOOKUP($B546,nrCDdate,nrCDweek),""))</f>
        <v/>
      </c>
      <c r="L546" s="15">
        <f>IF($B546="","",IFERROR(_xlfn.XLOOKUP($B546,nrCDdate,nrCDnum),""))</f>
        <v/>
      </c>
      <c r="M546" s="14" t="n"/>
    </row>
    <row r="547">
      <c r="B547" s="16" t="n"/>
      <c r="C547" s="15">
        <f>IF($B547="","",TEXT($B547,"ddd"))</f>
        <v/>
      </c>
      <c r="D547" s="40" t="n"/>
      <c r="E547" s="40" t="n"/>
      <c r="F547" s="15">
        <f>IF(OR($B547="",$D547="",$E547=""),"",ROUND(($E547-$D547)*24,2))</f>
        <v/>
      </c>
      <c r="G547" s="14" t="n"/>
      <c r="H547" s="15">
        <f>IF($G547="","",IFERROR(_xlfn.XLOOKUP($G547,nrCHname,nrCHnum),""))</f>
        <v/>
      </c>
      <c r="I547" s="14" t="n"/>
      <c r="J547" s="14" t="n"/>
      <c r="K547" s="15">
        <f>IF($B547="","",IFERROR(_xlfn.XLOOKUP($B547,nrCDdate,nrCDweek),""))</f>
        <v/>
      </c>
      <c r="L547" s="15">
        <f>IF($B547="","",IFERROR(_xlfn.XLOOKUP($B547,nrCDdate,nrCDnum),""))</f>
        <v/>
      </c>
      <c r="M547" s="14" t="n"/>
    </row>
    <row r="548">
      <c r="B548" s="16" t="n"/>
      <c r="C548" s="15">
        <f>IF($B548="","",TEXT($B548,"ddd"))</f>
        <v/>
      </c>
      <c r="D548" s="40" t="n"/>
      <c r="E548" s="40" t="n"/>
      <c r="F548" s="15">
        <f>IF(OR($B548="",$D548="",$E548=""),"",ROUND(($E548-$D548)*24,2))</f>
        <v/>
      </c>
      <c r="G548" s="14" t="n"/>
      <c r="H548" s="15">
        <f>IF($G548="","",IFERROR(_xlfn.XLOOKUP($G548,nrCHname,nrCHnum),""))</f>
        <v/>
      </c>
      <c r="I548" s="14" t="n"/>
      <c r="J548" s="14" t="n"/>
      <c r="K548" s="15">
        <f>IF($B548="","",IFERROR(_xlfn.XLOOKUP($B548,nrCDdate,nrCDweek),""))</f>
        <v/>
      </c>
      <c r="L548" s="15">
        <f>IF($B548="","",IFERROR(_xlfn.XLOOKUP($B548,nrCDdate,nrCDnum),""))</f>
        <v/>
      </c>
      <c r="M548" s="14" t="n"/>
    </row>
    <row r="549">
      <c r="B549" s="16" t="n"/>
      <c r="C549" s="15">
        <f>IF($B549="","",TEXT($B549,"ddd"))</f>
        <v/>
      </c>
      <c r="D549" s="40" t="n"/>
      <c r="E549" s="40" t="n"/>
      <c r="F549" s="15">
        <f>IF(OR($B549="",$D549="",$E549=""),"",ROUND(($E549-$D549)*24,2))</f>
        <v/>
      </c>
      <c r="G549" s="14" t="n"/>
      <c r="H549" s="15">
        <f>IF($G549="","",IFERROR(_xlfn.XLOOKUP($G549,nrCHname,nrCHnum),""))</f>
        <v/>
      </c>
      <c r="I549" s="14" t="n"/>
      <c r="J549" s="14" t="n"/>
      <c r="K549" s="15">
        <f>IF($B549="","",IFERROR(_xlfn.XLOOKUP($B549,nrCDdate,nrCDweek),""))</f>
        <v/>
      </c>
      <c r="L549" s="15">
        <f>IF($B549="","",IFERROR(_xlfn.XLOOKUP($B549,nrCDdate,nrCDnum),""))</f>
        <v/>
      </c>
      <c r="M549" s="14" t="n"/>
    </row>
    <row r="550">
      <c r="B550" s="16" t="n"/>
      <c r="C550" s="15">
        <f>IF($B550="","",TEXT($B550,"ddd"))</f>
        <v/>
      </c>
      <c r="D550" s="40" t="n"/>
      <c r="E550" s="40" t="n"/>
      <c r="F550" s="15">
        <f>IF(OR($B550="",$D550="",$E550=""),"",ROUND(($E550-$D550)*24,2))</f>
        <v/>
      </c>
      <c r="G550" s="14" t="n"/>
      <c r="H550" s="15">
        <f>IF($G550="","",IFERROR(_xlfn.XLOOKUP($G550,nrCHname,nrCHnum),""))</f>
        <v/>
      </c>
      <c r="I550" s="14" t="n"/>
      <c r="J550" s="14" t="n"/>
      <c r="K550" s="15">
        <f>IF($B550="","",IFERROR(_xlfn.XLOOKUP($B550,nrCDdate,nrCDweek),""))</f>
        <v/>
      </c>
      <c r="L550" s="15">
        <f>IF($B550="","",IFERROR(_xlfn.XLOOKUP($B550,nrCDdate,nrCDnum),""))</f>
        <v/>
      </c>
      <c r="M550" s="14" t="n"/>
    </row>
    <row r="551">
      <c r="B551" s="16" t="n"/>
      <c r="C551" s="15">
        <f>IF($B551="","",TEXT($B551,"ddd"))</f>
        <v/>
      </c>
      <c r="D551" s="40" t="n"/>
      <c r="E551" s="40" t="n"/>
      <c r="F551" s="15">
        <f>IF(OR($B551="",$D551="",$E551=""),"",ROUND(($E551-$D551)*24,2))</f>
        <v/>
      </c>
      <c r="G551" s="14" t="n"/>
      <c r="H551" s="15">
        <f>IF($G551="","",IFERROR(_xlfn.XLOOKUP($G551,nrCHname,nrCHnum),""))</f>
        <v/>
      </c>
      <c r="I551" s="14" t="n"/>
      <c r="J551" s="14" t="n"/>
      <c r="K551" s="15">
        <f>IF($B551="","",IFERROR(_xlfn.XLOOKUP($B551,nrCDdate,nrCDweek),""))</f>
        <v/>
      </c>
      <c r="L551" s="15">
        <f>IF($B551="","",IFERROR(_xlfn.XLOOKUP($B551,nrCDdate,nrCDnum),""))</f>
        <v/>
      </c>
      <c r="M551" s="14" t="n"/>
    </row>
    <row r="552">
      <c r="B552" s="16" t="n"/>
      <c r="C552" s="15">
        <f>IF($B552="","",TEXT($B552,"ddd"))</f>
        <v/>
      </c>
      <c r="D552" s="40" t="n"/>
      <c r="E552" s="40" t="n"/>
      <c r="F552" s="15">
        <f>IF(OR($B552="",$D552="",$E552=""),"",ROUND(($E552-$D552)*24,2))</f>
        <v/>
      </c>
      <c r="G552" s="14" t="n"/>
      <c r="H552" s="15">
        <f>IF($G552="","",IFERROR(_xlfn.XLOOKUP($G552,nrCHname,nrCHnum),""))</f>
        <v/>
      </c>
      <c r="I552" s="14" t="n"/>
      <c r="J552" s="14" t="n"/>
      <c r="K552" s="15">
        <f>IF($B552="","",IFERROR(_xlfn.XLOOKUP($B552,nrCDdate,nrCDweek),""))</f>
        <v/>
      </c>
      <c r="L552" s="15">
        <f>IF($B552="","",IFERROR(_xlfn.XLOOKUP($B552,nrCDdate,nrCDnum),""))</f>
        <v/>
      </c>
      <c r="M552" s="14" t="n"/>
    </row>
    <row r="553">
      <c r="B553" s="16" t="n"/>
      <c r="C553" s="15">
        <f>IF($B553="","",TEXT($B553,"ddd"))</f>
        <v/>
      </c>
      <c r="D553" s="40" t="n"/>
      <c r="E553" s="40" t="n"/>
      <c r="F553" s="15">
        <f>IF(OR($B553="",$D553="",$E553=""),"",ROUND(($E553-$D553)*24,2))</f>
        <v/>
      </c>
      <c r="G553" s="14" t="n"/>
      <c r="H553" s="15">
        <f>IF($G553="","",IFERROR(_xlfn.XLOOKUP($G553,nrCHname,nrCHnum),""))</f>
        <v/>
      </c>
      <c r="I553" s="14" t="n"/>
      <c r="J553" s="14" t="n"/>
      <c r="K553" s="15">
        <f>IF($B553="","",IFERROR(_xlfn.XLOOKUP($B553,nrCDdate,nrCDweek),""))</f>
        <v/>
      </c>
      <c r="L553" s="15">
        <f>IF($B553="","",IFERROR(_xlfn.XLOOKUP($B553,nrCDdate,nrCDnum),""))</f>
        <v/>
      </c>
      <c r="M553" s="14" t="n"/>
    </row>
    <row r="554">
      <c r="B554" s="16" t="n"/>
      <c r="C554" s="15">
        <f>IF($B554="","",TEXT($B554,"ddd"))</f>
        <v/>
      </c>
      <c r="D554" s="40" t="n"/>
      <c r="E554" s="40" t="n"/>
      <c r="F554" s="15">
        <f>IF(OR($B554="",$D554="",$E554=""),"",ROUND(($E554-$D554)*24,2))</f>
        <v/>
      </c>
      <c r="G554" s="14" t="n"/>
      <c r="H554" s="15">
        <f>IF($G554="","",IFERROR(_xlfn.XLOOKUP($G554,nrCHname,nrCHnum),""))</f>
        <v/>
      </c>
      <c r="I554" s="14" t="n"/>
      <c r="J554" s="14" t="n"/>
      <c r="K554" s="15">
        <f>IF($B554="","",IFERROR(_xlfn.XLOOKUP($B554,nrCDdate,nrCDweek),""))</f>
        <v/>
      </c>
      <c r="L554" s="15">
        <f>IF($B554="","",IFERROR(_xlfn.XLOOKUP($B554,nrCDdate,nrCDnum),""))</f>
        <v/>
      </c>
      <c r="M554" s="14" t="n"/>
    </row>
    <row r="555">
      <c r="B555" s="16" t="n"/>
      <c r="C555" s="15">
        <f>IF($B555="","",TEXT($B555,"ddd"))</f>
        <v/>
      </c>
      <c r="D555" s="40" t="n"/>
      <c r="E555" s="40" t="n"/>
      <c r="F555" s="15">
        <f>IF(OR($B555="",$D555="",$E555=""),"",ROUND(($E555-$D555)*24,2))</f>
        <v/>
      </c>
      <c r="G555" s="14" t="n"/>
      <c r="H555" s="15">
        <f>IF($G555="","",IFERROR(_xlfn.XLOOKUP($G555,nrCHname,nrCHnum),""))</f>
        <v/>
      </c>
      <c r="I555" s="14" t="n"/>
      <c r="J555" s="14" t="n"/>
      <c r="K555" s="15">
        <f>IF($B555="","",IFERROR(_xlfn.XLOOKUP($B555,nrCDdate,nrCDweek),""))</f>
        <v/>
      </c>
      <c r="L555" s="15">
        <f>IF($B555="","",IFERROR(_xlfn.XLOOKUP($B555,nrCDdate,nrCDnum),""))</f>
        <v/>
      </c>
      <c r="M555" s="14" t="n"/>
    </row>
    <row r="556">
      <c r="B556" s="16" t="n"/>
      <c r="C556" s="15">
        <f>IF($B556="","",TEXT($B556,"ddd"))</f>
        <v/>
      </c>
      <c r="D556" s="40" t="n"/>
      <c r="E556" s="40" t="n"/>
      <c r="F556" s="15">
        <f>IF(OR($B556="",$D556="",$E556=""),"",ROUND(($E556-$D556)*24,2))</f>
        <v/>
      </c>
      <c r="G556" s="14" t="n"/>
      <c r="H556" s="15">
        <f>IF($G556="","",IFERROR(_xlfn.XLOOKUP($G556,nrCHname,nrCHnum),""))</f>
        <v/>
      </c>
      <c r="I556" s="14" t="n"/>
      <c r="J556" s="14" t="n"/>
      <c r="K556" s="15">
        <f>IF($B556="","",IFERROR(_xlfn.XLOOKUP($B556,nrCDdate,nrCDweek),""))</f>
        <v/>
      </c>
      <c r="L556" s="15">
        <f>IF($B556="","",IFERROR(_xlfn.XLOOKUP($B556,nrCDdate,nrCDnum),""))</f>
        <v/>
      </c>
      <c r="M556" s="14" t="n"/>
    </row>
    <row r="557">
      <c r="B557" s="16" t="n"/>
      <c r="C557" s="15">
        <f>IF($B557="","",TEXT($B557,"ddd"))</f>
        <v/>
      </c>
      <c r="D557" s="40" t="n"/>
      <c r="E557" s="40" t="n"/>
      <c r="F557" s="15">
        <f>IF(OR($B557="",$D557="",$E557=""),"",ROUND(($E557-$D557)*24,2))</f>
        <v/>
      </c>
      <c r="G557" s="14" t="n"/>
      <c r="H557" s="15">
        <f>IF($G557="","",IFERROR(_xlfn.XLOOKUP($G557,nrCHname,nrCHnum),""))</f>
        <v/>
      </c>
      <c r="I557" s="14" t="n"/>
      <c r="J557" s="14" t="n"/>
      <c r="K557" s="15">
        <f>IF($B557="","",IFERROR(_xlfn.XLOOKUP($B557,nrCDdate,nrCDweek),""))</f>
        <v/>
      </c>
      <c r="L557" s="15">
        <f>IF($B557="","",IFERROR(_xlfn.XLOOKUP($B557,nrCDdate,nrCDnum),""))</f>
        <v/>
      </c>
      <c r="M557" s="14" t="n"/>
    </row>
    <row r="558">
      <c r="B558" s="16" t="n"/>
      <c r="C558" s="15">
        <f>IF($B558="","",TEXT($B558,"ddd"))</f>
        <v/>
      </c>
      <c r="D558" s="40" t="n"/>
      <c r="E558" s="40" t="n"/>
      <c r="F558" s="15">
        <f>IF(OR($B558="",$D558="",$E558=""),"",ROUND(($E558-$D558)*24,2))</f>
        <v/>
      </c>
      <c r="G558" s="14" t="n"/>
      <c r="H558" s="15">
        <f>IF($G558="","",IFERROR(_xlfn.XLOOKUP($G558,nrCHname,nrCHnum),""))</f>
        <v/>
      </c>
      <c r="I558" s="14" t="n"/>
      <c r="J558" s="14" t="n"/>
      <c r="K558" s="15">
        <f>IF($B558="","",IFERROR(_xlfn.XLOOKUP($B558,nrCDdate,nrCDweek),""))</f>
        <v/>
      </c>
      <c r="L558" s="15">
        <f>IF($B558="","",IFERROR(_xlfn.XLOOKUP($B558,nrCDdate,nrCDnum),""))</f>
        <v/>
      </c>
      <c r="M558" s="14" t="n"/>
    </row>
    <row r="559">
      <c r="B559" s="16" t="n"/>
      <c r="C559" s="15">
        <f>IF($B559="","",TEXT($B559,"ddd"))</f>
        <v/>
      </c>
      <c r="D559" s="40" t="n"/>
      <c r="E559" s="40" t="n"/>
      <c r="F559" s="15">
        <f>IF(OR($B559="",$D559="",$E559=""),"",ROUND(($E559-$D559)*24,2))</f>
        <v/>
      </c>
      <c r="G559" s="14" t="n"/>
      <c r="H559" s="15">
        <f>IF($G559="","",IFERROR(_xlfn.XLOOKUP($G559,nrCHname,nrCHnum),""))</f>
        <v/>
      </c>
      <c r="I559" s="14" t="n"/>
      <c r="J559" s="14" t="n"/>
      <c r="K559" s="15">
        <f>IF($B559="","",IFERROR(_xlfn.XLOOKUP($B559,nrCDdate,nrCDweek),""))</f>
        <v/>
      </c>
      <c r="L559" s="15">
        <f>IF($B559="","",IFERROR(_xlfn.XLOOKUP($B559,nrCDdate,nrCDnum),""))</f>
        <v/>
      </c>
      <c r="M559" s="14" t="n"/>
    </row>
    <row r="560">
      <c r="B560" s="16" t="n"/>
      <c r="C560" s="15">
        <f>IF($B560="","",TEXT($B560,"ddd"))</f>
        <v/>
      </c>
      <c r="D560" s="40" t="n"/>
      <c r="E560" s="40" t="n"/>
      <c r="F560" s="15">
        <f>IF(OR($B560="",$D560="",$E560=""),"",ROUND(($E560-$D560)*24,2))</f>
        <v/>
      </c>
      <c r="G560" s="14" t="n"/>
      <c r="H560" s="15">
        <f>IF($G560="","",IFERROR(_xlfn.XLOOKUP($G560,nrCHname,nrCHnum),""))</f>
        <v/>
      </c>
      <c r="I560" s="14" t="n"/>
      <c r="J560" s="14" t="n"/>
      <c r="K560" s="15">
        <f>IF($B560="","",IFERROR(_xlfn.XLOOKUP($B560,nrCDdate,nrCDweek),""))</f>
        <v/>
      </c>
      <c r="L560" s="15">
        <f>IF($B560="","",IFERROR(_xlfn.XLOOKUP($B560,nrCDdate,nrCDnum),""))</f>
        <v/>
      </c>
      <c r="M560" s="14" t="n"/>
    </row>
    <row r="561">
      <c r="B561" s="16" t="n"/>
      <c r="C561" s="15">
        <f>IF($B561="","",TEXT($B561,"ddd"))</f>
        <v/>
      </c>
      <c r="D561" s="40" t="n"/>
      <c r="E561" s="40" t="n"/>
      <c r="F561" s="15">
        <f>IF(OR($B561="",$D561="",$E561=""),"",ROUND(($E561-$D561)*24,2))</f>
        <v/>
      </c>
      <c r="G561" s="14" t="n"/>
      <c r="H561" s="15">
        <f>IF($G561="","",IFERROR(_xlfn.XLOOKUP($G561,nrCHname,nrCHnum),""))</f>
        <v/>
      </c>
      <c r="I561" s="14" t="n"/>
      <c r="J561" s="14" t="n"/>
      <c r="K561" s="15">
        <f>IF($B561="","",IFERROR(_xlfn.XLOOKUP($B561,nrCDdate,nrCDweek),""))</f>
        <v/>
      </c>
      <c r="L561" s="15">
        <f>IF($B561="","",IFERROR(_xlfn.XLOOKUP($B561,nrCDdate,nrCDnum),""))</f>
        <v/>
      </c>
      <c r="M561" s="14" t="n"/>
    </row>
    <row r="562">
      <c r="B562" s="16" t="n"/>
      <c r="C562" s="15">
        <f>IF($B562="","",TEXT($B562,"ddd"))</f>
        <v/>
      </c>
      <c r="D562" s="40" t="n"/>
      <c r="E562" s="40" t="n"/>
      <c r="F562" s="15">
        <f>IF(OR($B562="",$D562="",$E562=""),"",ROUND(($E562-$D562)*24,2))</f>
        <v/>
      </c>
      <c r="G562" s="14" t="n"/>
      <c r="H562" s="15">
        <f>IF($G562="","",IFERROR(_xlfn.XLOOKUP($G562,nrCHname,nrCHnum),""))</f>
        <v/>
      </c>
      <c r="I562" s="14" t="n"/>
      <c r="J562" s="14" t="n"/>
      <c r="K562" s="15">
        <f>IF($B562="","",IFERROR(_xlfn.XLOOKUP($B562,nrCDdate,nrCDweek),""))</f>
        <v/>
      </c>
      <c r="L562" s="15">
        <f>IF($B562="","",IFERROR(_xlfn.XLOOKUP($B562,nrCDdate,nrCDnum),""))</f>
        <v/>
      </c>
      <c r="M562" s="14" t="n"/>
    </row>
    <row r="563">
      <c r="B563" s="16" t="n"/>
      <c r="C563" s="15">
        <f>IF($B563="","",TEXT($B563,"ddd"))</f>
        <v/>
      </c>
      <c r="D563" s="40" t="n"/>
      <c r="E563" s="40" t="n"/>
      <c r="F563" s="15">
        <f>IF(OR($B563="",$D563="",$E563=""),"",ROUND(($E563-$D563)*24,2))</f>
        <v/>
      </c>
      <c r="G563" s="14" t="n"/>
      <c r="H563" s="15">
        <f>IF($G563="","",IFERROR(_xlfn.XLOOKUP($G563,nrCHname,nrCHnum),""))</f>
        <v/>
      </c>
      <c r="I563" s="14" t="n"/>
      <c r="J563" s="14" t="n"/>
      <c r="K563" s="15">
        <f>IF($B563="","",IFERROR(_xlfn.XLOOKUP($B563,nrCDdate,nrCDweek),""))</f>
        <v/>
      </c>
      <c r="L563" s="15">
        <f>IF($B563="","",IFERROR(_xlfn.XLOOKUP($B563,nrCDdate,nrCDnum),""))</f>
        <v/>
      </c>
      <c r="M563" s="14" t="n"/>
    </row>
    <row r="564">
      <c r="B564" s="16" t="n"/>
      <c r="C564" s="15">
        <f>IF($B564="","",TEXT($B564,"ddd"))</f>
        <v/>
      </c>
      <c r="D564" s="40" t="n"/>
      <c r="E564" s="40" t="n"/>
      <c r="F564" s="15">
        <f>IF(OR($B564="",$D564="",$E564=""),"",ROUND(($E564-$D564)*24,2))</f>
        <v/>
      </c>
      <c r="G564" s="14" t="n"/>
      <c r="H564" s="15">
        <f>IF($G564="","",IFERROR(_xlfn.XLOOKUP($G564,nrCHname,nrCHnum),""))</f>
        <v/>
      </c>
      <c r="I564" s="14" t="n"/>
      <c r="J564" s="14" t="n"/>
      <c r="K564" s="15">
        <f>IF($B564="","",IFERROR(_xlfn.XLOOKUP($B564,nrCDdate,nrCDweek),""))</f>
        <v/>
      </c>
      <c r="L564" s="15">
        <f>IF($B564="","",IFERROR(_xlfn.XLOOKUP($B564,nrCDdate,nrCDnum),""))</f>
        <v/>
      </c>
      <c r="M564" s="14" t="n"/>
    </row>
    <row r="565">
      <c r="B565" s="16" t="n"/>
      <c r="C565" s="15">
        <f>IF($B565="","",TEXT($B565,"ddd"))</f>
        <v/>
      </c>
      <c r="D565" s="40" t="n"/>
      <c r="E565" s="40" t="n"/>
      <c r="F565" s="15">
        <f>IF(OR($B565="",$D565="",$E565=""),"",ROUND(($E565-$D565)*24,2))</f>
        <v/>
      </c>
      <c r="G565" s="14" t="n"/>
      <c r="H565" s="15">
        <f>IF($G565="","",IFERROR(_xlfn.XLOOKUP($G565,nrCHname,nrCHnum),""))</f>
        <v/>
      </c>
      <c r="I565" s="14" t="n"/>
      <c r="J565" s="14" t="n"/>
      <c r="K565" s="15">
        <f>IF($B565="","",IFERROR(_xlfn.XLOOKUP($B565,nrCDdate,nrCDweek),""))</f>
        <v/>
      </c>
      <c r="L565" s="15">
        <f>IF($B565="","",IFERROR(_xlfn.XLOOKUP($B565,nrCDdate,nrCDnum),""))</f>
        <v/>
      </c>
      <c r="M565" s="14" t="n"/>
    </row>
    <row r="566">
      <c r="B566" s="16" t="n"/>
      <c r="C566" s="15">
        <f>IF($B566="","",TEXT($B566,"ddd"))</f>
        <v/>
      </c>
      <c r="D566" s="40" t="n"/>
      <c r="E566" s="40" t="n"/>
      <c r="F566" s="15">
        <f>IF(OR($B566="",$D566="",$E566=""),"",ROUND(($E566-$D566)*24,2))</f>
        <v/>
      </c>
      <c r="G566" s="14" t="n"/>
      <c r="H566" s="15">
        <f>IF($G566="","",IFERROR(_xlfn.XLOOKUP($G566,nrCHname,nrCHnum),""))</f>
        <v/>
      </c>
      <c r="I566" s="14" t="n"/>
      <c r="J566" s="14" t="n"/>
      <c r="K566" s="15">
        <f>IF($B566="","",IFERROR(_xlfn.XLOOKUP($B566,nrCDdate,nrCDweek),""))</f>
        <v/>
      </c>
      <c r="L566" s="15">
        <f>IF($B566="","",IFERROR(_xlfn.XLOOKUP($B566,nrCDdate,nrCDnum),""))</f>
        <v/>
      </c>
      <c r="M566" s="14" t="n"/>
    </row>
    <row r="567">
      <c r="B567" s="16" t="n"/>
      <c r="C567" s="15">
        <f>IF($B567="","",TEXT($B567,"ddd"))</f>
        <v/>
      </c>
      <c r="D567" s="40" t="n"/>
      <c r="E567" s="40" t="n"/>
      <c r="F567" s="15">
        <f>IF(OR($B567="",$D567="",$E567=""),"",ROUND(($E567-$D567)*24,2))</f>
        <v/>
      </c>
      <c r="G567" s="14" t="n"/>
      <c r="H567" s="15">
        <f>IF($G567="","",IFERROR(_xlfn.XLOOKUP($G567,nrCHname,nrCHnum),""))</f>
        <v/>
      </c>
      <c r="I567" s="14" t="n"/>
      <c r="J567" s="14" t="n"/>
      <c r="K567" s="15">
        <f>IF($B567="","",IFERROR(_xlfn.XLOOKUP($B567,nrCDdate,nrCDweek),""))</f>
        <v/>
      </c>
      <c r="L567" s="15">
        <f>IF($B567="","",IFERROR(_xlfn.XLOOKUP($B567,nrCDdate,nrCDnum),""))</f>
        <v/>
      </c>
      <c r="M567" s="14" t="n"/>
    </row>
    <row r="568">
      <c r="B568" s="16" t="n"/>
      <c r="C568" s="15">
        <f>IF($B568="","",TEXT($B568,"ddd"))</f>
        <v/>
      </c>
      <c r="D568" s="40" t="n"/>
      <c r="E568" s="40" t="n"/>
      <c r="F568" s="15">
        <f>IF(OR($B568="",$D568="",$E568=""),"",ROUND(($E568-$D568)*24,2))</f>
        <v/>
      </c>
      <c r="G568" s="14" t="n"/>
      <c r="H568" s="15">
        <f>IF($G568="","",IFERROR(_xlfn.XLOOKUP($G568,nrCHname,nrCHnum),""))</f>
        <v/>
      </c>
      <c r="I568" s="14" t="n"/>
      <c r="J568" s="14" t="n"/>
      <c r="K568" s="15">
        <f>IF($B568="","",IFERROR(_xlfn.XLOOKUP($B568,nrCDdate,nrCDweek),""))</f>
        <v/>
      </c>
      <c r="L568" s="15">
        <f>IF($B568="","",IFERROR(_xlfn.XLOOKUP($B568,nrCDdate,nrCDnum),""))</f>
        <v/>
      </c>
      <c r="M568" s="14" t="n"/>
    </row>
    <row r="569">
      <c r="B569" s="16" t="n"/>
      <c r="C569" s="15">
        <f>IF($B569="","",TEXT($B569,"ddd"))</f>
        <v/>
      </c>
      <c r="D569" s="40" t="n"/>
      <c r="E569" s="40" t="n"/>
      <c r="F569" s="15">
        <f>IF(OR($B569="",$D569="",$E569=""),"",ROUND(($E569-$D569)*24,2))</f>
        <v/>
      </c>
      <c r="G569" s="14" t="n"/>
      <c r="H569" s="15">
        <f>IF($G569="","",IFERROR(_xlfn.XLOOKUP($G569,nrCHname,nrCHnum),""))</f>
        <v/>
      </c>
      <c r="I569" s="14" t="n"/>
      <c r="J569" s="14" t="n"/>
      <c r="K569" s="15">
        <f>IF($B569="","",IFERROR(_xlfn.XLOOKUP($B569,nrCDdate,nrCDweek),""))</f>
        <v/>
      </c>
      <c r="L569" s="15">
        <f>IF($B569="","",IFERROR(_xlfn.XLOOKUP($B569,nrCDdate,nrCDnum),""))</f>
        <v/>
      </c>
      <c r="M569" s="14" t="n"/>
    </row>
    <row r="570">
      <c r="B570" s="16" t="n"/>
      <c r="C570" s="15">
        <f>IF($B570="","",TEXT($B570,"ddd"))</f>
        <v/>
      </c>
      <c r="D570" s="40" t="n"/>
      <c r="E570" s="40" t="n"/>
      <c r="F570" s="15">
        <f>IF(OR($B570="",$D570="",$E570=""),"",ROUND(($E570-$D570)*24,2))</f>
        <v/>
      </c>
      <c r="G570" s="14" t="n"/>
      <c r="H570" s="15">
        <f>IF($G570="","",IFERROR(_xlfn.XLOOKUP($G570,nrCHname,nrCHnum),""))</f>
        <v/>
      </c>
      <c r="I570" s="14" t="n"/>
      <c r="J570" s="14" t="n"/>
      <c r="K570" s="15">
        <f>IF($B570="","",IFERROR(_xlfn.XLOOKUP($B570,nrCDdate,nrCDweek),""))</f>
        <v/>
      </c>
      <c r="L570" s="15">
        <f>IF($B570="","",IFERROR(_xlfn.XLOOKUP($B570,nrCDdate,nrCDnum),""))</f>
        <v/>
      </c>
      <c r="M570" s="14" t="n"/>
    </row>
    <row r="571">
      <c r="B571" s="16" t="n"/>
      <c r="C571" s="15">
        <f>IF($B571="","",TEXT($B571,"ddd"))</f>
        <v/>
      </c>
      <c r="D571" s="40" t="n"/>
      <c r="E571" s="40" t="n"/>
      <c r="F571" s="15">
        <f>IF(OR($B571="",$D571="",$E571=""),"",ROUND(($E571-$D571)*24,2))</f>
        <v/>
      </c>
      <c r="G571" s="14" t="n"/>
      <c r="H571" s="15">
        <f>IF($G571="","",IFERROR(_xlfn.XLOOKUP($G571,nrCHname,nrCHnum),""))</f>
        <v/>
      </c>
      <c r="I571" s="14" t="n"/>
      <c r="J571" s="14" t="n"/>
      <c r="K571" s="15">
        <f>IF($B571="","",IFERROR(_xlfn.XLOOKUP($B571,nrCDdate,nrCDweek),""))</f>
        <v/>
      </c>
      <c r="L571" s="15">
        <f>IF($B571="","",IFERROR(_xlfn.XLOOKUP($B571,nrCDdate,nrCDnum),""))</f>
        <v/>
      </c>
      <c r="M571" s="14" t="n"/>
    </row>
    <row r="572">
      <c r="B572" s="16" t="n"/>
      <c r="C572" s="15">
        <f>IF($B572="","",TEXT($B572,"ddd"))</f>
        <v/>
      </c>
      <c r="D572" s="40" t="n"/>
      <c r="E572" s="40" t="n"/>
      <c r="F572" s="15">
        <f>IF(OR($B572="",$D572="",$E572=""),"",ROUND(($E572-$D572)*24,2))</f>
        <v/>
      </c>
      <c r="G572" s="14" t="n"/>
      <c r="H572" s="15">
        <f>IF($G572="","",IFERROR(_xlfn.XLOOKUP($G572,nrCHname,nrCHnum),""))</f>
        <v/>
      </c>
      <c r="I572" s="14" t="n"/>
      <c r="J572" s="14" t="n"/>
      <c r="K572" s="15">
        <f>IF($B572="","",IFERROR(_xlfn.XLOOKUP($B572,nrCDdate,nrCDweek),""))</f>
        <v/>
      </c>
      <c r="L572" s="15">
        <f>IF($B572="","",IFERROR(_xlfn.XLOOKUP($B572,nrCDdate,nrCDnum),""))</f>
        <v/>
      </c>
      <c r="M572" s="14" t="n"/>
    </row>
    <row r="573">
      <c r="B573" s="16" t="n"/>
      <c r="C573" s="15">
        <f>IF($B573="","",TEXT($B573,"ddd"))</f>
        <v/>
      </c>
      <c r="D573" s="40" t="n"/>
      <c r="E573" s="40" t="n"/>
      <c r="F573" s="15">
        <f>IF(OR($B573="",$D573="",$E573=""),"",ROUND(($E573-$D573)*24,2))</f>
        <v/>
      </c>
      <c r="G573" s="14" t="n"/>
      <c r="H573" s="15">
        <f>IF($G573="","",IFERROR(_xlfn.XLOOKUP($G573,nrCHname,nrCHnum),""))</f>
        <v/>
      </c>
      <c r="I573" s="14" t="n"/>
      <c r="J573" s="14" t="n"/>
      <c r="K573" s="15">
        <f>IF($B573="","",IFERROR(_xlfn.XLOOKUP($B573,nrCDdate,nrCDweek),""))</f>
        <v/>
      </c>
      <c r="L573" s="15">
        <f>IF($B573="","",IFERROR(_xlfn.XLOOKUP($B573,nrCDdate,nrCDnum),""))</f>
        <v/>
      </c>
      <c r="M573" s="14" t="n"/>
    </row>
    <row r="574">
      <c r="B574" s="16" t="n"/>
      <c r="C574" s="15">
        <f>IF($B574="","",TEXT($B574,"ddd"))</f>
        <v/>
      </c>
      <c r="D574" s="40" t="n"/>
      <c r="E574" s="40" t="n"/>
      <c r="F574" s="15">
        <f>IF(OR($B574="",$D574="",$E574=""),"",ROUND(($E574-$D574)*24,2))</f>
        <v/>
      </c>
      <c r="G574" s="14" t="n"/>
      <c r="H574" s="15">
        <f>IF($G574="","",IFERROR(_xlfn.XLOOKUP($G574,nrCHname,nrCHnum),""))</f>
        <v/>
      </c>
      <c r="I574" s="14" t="n"/>
      <c r="J574" s="14" t="n"/>
      <c r="K574" s="15">
        <f>IF($B574="","",IFERROR(_xlfn.XLOOKUP($B574,nrCDdate,nrCDweek),""))</f>
        <v/>
      </c>
      <c r="L574" s="15">
        <f>IF($B574="","",IFERROR(_xlfn.XLOOKUP($B574,nrCDdate,nrCDnum),""))</f>
        <v/>
      </c>
      <c r="M574" s="14" t="n"/>
    </row>
    <row r="575">
      <c r="B575" s="16" t="n"/>
      <c r="C575" s="15">
        <f>IF($B575="","",TEXT($B575,"ddd"))</f>
        <v/>
      </c>
      <c r="D575" s="40" t="n"/>
      <c r="E575" s="40" t="n"/>
      <c r="F575" s="15">
        <f>IF(OR($B575="",$D575="",$E575=""),"",ROUND(($E575-$D575)*24,2))</f>
        <v/>
      </c>
      <c r="G575" s="14" t="n"/>
      <c r="H575" s="15">
        <f>IF($G575="","",IFERROR(_xlfn.XLOOKUP($G575,nrCHname,nrCHnum),""))</f>
        <v/>
      </c>
      <c r="I575" s="14" t="n"/>
      <c r="J575" s="14" t="n"/>
      <c r="K575" s="15">
        <f>IF($B575="","",IFERROR(_xlfn.XLOOKUP($B575,nrCDdate,nrCDweek),""))</f>
        <v/>
      </c>
      <c r="L575" s="15">
        <f>IF($B575="","",IFERROR(_xlfn.XLOOKUP($B575,nrCDdate,nrCDnum),""))</f>
        <v/>
      </c>
      <c r="M575" s="14" t="n"/>
    </row>
    <row r="576">
      <c r="B576" s="16" t="n"/>
      <c r="C576" s="15">
        <f>IF($B576="","",TEXT($B576,"ddd"))</f>
        <v/>
      </c>
      <c r="D576" s="40" t="n"/>
      <c r="E576" s="40" t="n"/>
      <c r="F576" s="15">
        <f>IF(OR($B576="",$D576="",$E576=""),"",ROUND(($E576-$D576)*24,2))</f>
        <v/>
      </c>
      <c r="G576" s="14" t="n"/>
      <c r="H576" s="15">
        <f>IF($G576="","",IFERROR(_xlfn.XLOOKUP($G576,nrCHname,nrCHnum),""))</f>
        <v/>
      </c>
      <c r="I576" s="14" t="n"/>
      <c r="J576" s="14" t="n"/>
      <c r="K576" s="15">
        <f>IF($B576="","",IFERROR(_xlfn.XLOOKUP($B576,nrCDdate,nrCDweek),""))</f>
        <v/>
      </c>
      <c r="L576" s="15">
        <f>IF($B576="","",IFERROR(_xlfn.XLOOKUP($B576,nrCDdate,nrCDnum),""))</f>
        <v/>
      </c>
      <c r="M576" s="14" t="n"/>
    </row>
    <row r="577">
      <c r="B577" s="16" t="n"/>
      <c r="C577" s="15">
        <f>IF($B577="","",TEXT($B577,"ddd"))</f>
        <v/>
      </c>
      <c r="D577" s="40" t="n"/>
      <c r="E577" s="40" t="n"/>
      <c r="F577" s="15">
        <f>IF(OR($B577="",$D577="",$E577=""),"",ROUND(($E577-$D577)*24,2))</f>
        <v/>
      </c>
      <c r="G577" s="14" t="n"/>
      <c r="H577" s="15">
        <f>IF($G577="","",IFERROR(_xlfn.XLOOKUP($G577,nrCHname,nrCHnum),""))</f>
        <v/>
      </c>
      <c r="I577" s="14" t="n"/>
      <c r="J577" s="14" t="n"/>
      <c r="K577" s="15">
        <f>IF($B577="","",IFERROR(_xlfn.XLOOKUP($B577,nrCDdate,nrCDweek),""))</f>
        <v/>
      </c>
      <c r="L577" s="15">
        <f>IF($B577="","",IFERROR(_xlfn.XLOOKUP($B577,nrCDdate,nrCDnum),""))</f>
        <v/>
      </c>
      <c r="M577" s="14" t="n"/>
    </row>
    <row r="578">
      <c r="B578" s="16" t="n"/>
      <c r="C578" s="15">
        <f>IF($B578="","",TEXT($B578,"ddd"))</f>
        <v/>
      </c>
      <c r="D578" s="40" t="n"/>
      <c r="E578" s="40" t="n"/>
      <c r="F578" s="15">
        <f>IF(OR($B578="",$D578="",$E578=""),"",ROUND(($E578-$D578)*24,2))</f>
        <v/>
      </c>
      <c r="G578" s="14" t="n"/>
      <c r="H578" s="15">
        <f>IF($G578="","",IFERROR(_xlfn.XLOOKUP($G578,nrCHname,nrCHnum),""))</f>
        <v/>
      </c>
      <c r="I578" s="14" t="n"/>
      <c r="J578" s="14" t="n"/>
      <c r="K578" s="15">
        <f>IF($B578="","",IFERROR(_xlfn.XLOOKUP($B578,nrCDdate,nrCDweek),""))</f>
        <v/>
      </c>
      <c r="L578" s="15">
        <f>IF($B578="","",IFERROR(_xlfn.XLOOKUP($B578,nrCDdate,nrCDnum),""))</f>
        <v/>
      </c>
      <c r="M578" s="14" t="n"/>
    </row>
    <row r="579">
      <c r="B579" s="16" t="n"/>
      <c r="C579" s="15">
        <f>IF($B579="","",TEXT($B579,"ddd"))</f>
        <v/>
      </c>
      <c r="D579" s="40" t="n"/>
      <c r="E579" s="40" t="n"/>
      <c r="F579" s="15">
        <f>IF(OR($B579="",$D579="",$E579=""),"",ROUND(($E579-$D579)*24,2))</f>
        <v/>
      </c>
      <c r="G579" s="14" t="n"/>
      <c r="H579" s="15">
        <f>IF($G579="","",IFERROR(_xlfn.XLOOKUP($G579,nrCHname,nrCHnum),""))</f>
        <v/>
      </c>
      <c r="I579" s="14" t="n"/>
      <c r="J579" s="14" t="n"/>
      <c r="K579" s="15">
        <f>IF($B579="","",IFERROR(_xlfn.XLOOKUP($B579,nrCDdate,nrCDweek),""))</f>
        <v/>
      </c>
      <c r="L579" s="15">
        <f>IF($B579="","",IFERROR(_xlfn.XLOOKUP($B579,nrCDdate,nrCDnum),""))</f>
        <v/>
      </c>
      <c r="M579" s="14" t="n"/>
    </row>
    <row r="580">
      <c r="B580" s="16" t="n"/>
      <c r="C580" s="15">
        <f>IF($B580="","",TEXT($B580,"ddd"))</f>
        <v/>
      </c>
      <c r="D580" s="40" t="n"/>
      <c r="E580" s="40" t="n"/>
      <c r="F580" s="15">
        <f>IF(OR($B580="",$D580="",$E580=""),"",ROUND(($E580-$D580)*24,2))</f>
        <v/>
      </c>
      <c r="G580" s="14" t="n"/>
      <c r="H580" s="15">
        <f>IF($G580="","",IFERROR(_xlfn.XLOOKUP($G580,nrCHname,nrCHnum),""))</f>
        <v/>
      </c>
      <c r="I580" s="14" t="n"/>
      <c r="J580" s="14" t="n"/>
      <c r="K580" s="15">
        <f>IF($B580="","",IFERROR(_xlfn.XLOOKUP($B580,nrCDdate,nrCDweek),""))</f>
        <v/>
      </c>
      <c r="L580" s="15">
        <f>IF($B580="","",IFERROR(_xlfn.XLOOKUP($B580,nrCDdate,nrCDnum),""))</f>
        <v/>
      </c>
      <c r="M580" s="14" t="n"/>
    </row>
    <row r="581">
      <c r="B581" s="16" t="n"/>
      <c r="C581" s="15">
        <f>IF($B581="","",TEXT($B581,"ddd"))</f>
        <v/>
      </c>
      <c r="D581" s="40" t="n"/>
      <c r="E581" s="40" t="n"/>
      <c r="F581" s="15">
        <f>IF(OR($B581="",$D581="",$E581=""),"",ROUND(($E581-$D581)*24,2))</f>
        <v/>
      </c>
      <c r="G581" s="14" t="n"/>
      <c r="H581" s="15">
        <f>IF($G581="","",IFERROR(_xlfn.XLOOKUP($G581,nrCHname,nrCHnum),""))</f>
        <v/>
      </c>
      <c r="I581" s="14" t="n"/>
      <c r="J581" s="14" t="n"/>
      <c r="K581" s="15">
        <f>IF($B581="","",IFERROR(_xlfn.XLOOKUP($B581,nrCDdate,nrCDweek),""))</f>
        <v/>
      </c>
      <c r="L581" s="15">
        <f>IF($B581="","",IFERROR(_xlfn.XLOOKUP($B581,nrCDdate,nrCDnum),""))</f>
        <v/>
      </c>
      <c r="M581" s="14" t="n"/>
    </row>
    <row r="582">
      <c r="B582" s="16" t="n"/>
      <c r="C582" s="15">
        <f>IF($B582="","",TEXT($B582,"ddd"))</f>
        <v/>
      </c>
      <c r="D582" s="40" t="n"/>
      <c r="E582" s="40" t="n"/>
      <c r="F582" s="15">
        <f>IF(OR($B582="",$D582="",$E582=""),"",ROUND(($E582-$D582)*24,2))</f>
        <v/>
      </c>
      <c r="G582" s="14" t="n"/>
      <c r="H582" s="15">
        <f>IF($G582="","",IFERROR(_xlfn.XLOOKUP($G582,nrCHname,nrCHnum),""))</f>
        <v/>
      </c>
      <c r="I582" s="14" t="n"/>
      <c r="J582" s="14" t="n"/>
      <c r="K582" s="15">
        <f>IF($B582="","",IFERROR(_xlfn.XLOOKUP($B582,nrCDdate,nrCDweek),""))</f>
        <v/>
      </c>
      <c r="L582" s="15">
        <f>IF($B582="","",IFERROR(_xlfn.XLOOKUP($B582,nrCDdate,nrCDnum),""))</f>
        <v/>
      </c>
      <c r="M582" s="14" t="n"/>
    </row>
    <row r="583">
      <c r="B583" s="16" t="n"/>
      <c r="C583" s="15">
        <f>IF($B583="","",TEXT($B583,"ddd"))</f>
        <v/>
      </c>
      <c r="D583" s="40" t="n"/>
      <c r="E583" s="40" t="n"/>
      <c r="F583" s="15">
        <f>IF(OR($B583="",$D583="",$E583=""),"",ROUND(($E583-$D583)*24,2))</f>
        <v/>
      </c>
      <c r="G583" s="14" t="n"/>
      <c r="H583" s="15">
        <f>IF($G583="","",IFERROR(_xlfn.XLOOKUP($G583,nrCHname,nrCHnum),""))</f>
        <v/>
      </c>
      <c r="I583" s="14" t="n"/>
      <c r="J583" s="14" t="n"/>
      <c r="K583" s="15">
        <f>IF($B583="","",IFERROR(_xlfn.XLOOKUP($B583,nrCDdate,nrCDweek),""))</f>
        <v/>
      </c>
      <c r="L583" s="15">
        <f>IF($B583="","",IFERROR(_xlfn.XLOOKUP($B583,nrCDdate,nrCDnum),""))</f>
        <v/>
      </c>
      <c r="M583" s="14" t="n"/>
    </row>
    <row r="584">
      <c r="B584" s="16" t="n"/>
      <c r="C584" s="15">
        <f>IF($B584="","",TEXT($B584,"ddd"))</f>
        <v/>
      </c>
      <c r="D584" s="40" t="n"/>
      <c r="E584" s="40" t="n"/>
      <c r="F584" s="15">
        <f>IF(OR($B584="",$D584="",$E584=""),"",ROUND(($E584-$D584)*24,2))</f>
        <v/>
      </c>
      <c r="G584" s="14" t="n"/>
      <c r="H584" s="15">
        <f>IF($G584="","",IFERROR(_xlfn.XLOOKUP($G584,nrCHname,nrCHnum),""))</f>
        <v/>
      </c>
      <c r="I584" s="14" t="n"/>
      <c r="J584" s="14" t="n"/>
      <c r="K584" s="15">
        <f>IF($B584="","",IFERROR(_xlfn.XLOOKUP($B584,nrCDdate,nrCDweek),""))</f>
        <v/>
      </c>
      <c r="L584" s="15">
        <f>IF($B584="","",IFERROR(_xlfn.XLOOKUP($B584,nrCDdate,nrCDnum),""))</f>
        <v/>
      </c>
      <c r="M584" s="14" t="n"/>
    </row>
    <row r="585">
      <c r="B585" s="16" t="n"/>
      <c r="C585" s="15">
        <f>IF($B585="","",TEXT($B585,"ddd"))</f>
        <v/>
      </c>
      <c r="D585" s="40" t="n"/>
      <c r="E585" s="40" t="n"/>
      <c r="F585" s="15">
        <f>IF(OR($B585="",$D585="",$E585=""),"",ROUND(($E585-$D585)*24,2))</f>
        <v/>
      </c>
      <c r="G585" s="14" t="n"/>
      <c r="H585" s="15">
        <f>IF($G585="","",IFERROR(_xlfn.XLOOKUP($G585,nrCHname,nrCHnum),""))</f>
        <v/>
      </c>
      <c r="I585" s="14" t="n"/>
      <c r="J585" s="14" t="n"/>
      <c r="K585" s="15">
        <f>IF($B585="","",IFERROR(_xlfn.XLOOKUP($B585,nrCDdate,nrCDweek),""))</f>
        <v/>
      </c>
      <c r="L585" s="15">
        <f>IF($B585="","",IFERROR(_xlfn.XLOOKUP($B585,nrCDdate,nrCDnum),""))</f>
        <v/>
      </c>
      <c r="M585" s="14" t="n"/>
    </row>
    <row r="586">
      <c r="B586" s="16" t="n"/>
      <c r="C586" s="15">
        <f>IF($B586="","",TEXT($B586,"ddd"))</f>
        <v/>
      </c>
      <c r="D586" s="40" t="n"/>
      <c r="E586" s="40" t="n"/>
      <c r="F586" s="15">
        <f>IF(OR($B586="",$D586="",$E586=""),"",ROUND(($E586-$D586)*24,2))</f>
        <v/>
      </c>
      <c r="G586" s="14" t="n"/>
      <c r="H586" s="15">
        <f>IF($G586="","",IFERROR(_xlfn.XLOOKUP($G586,nrCHname,nrCHnum),""))</f>
        <v/>
      </c>
      <c r="I586" s="14" t="n"/>
      <c r="J586" s="14" t="n"/>
      <c r="K586" s="15">
        <f>IF($B586="","",IFERROR(_xlfn.XLOOKUP($B586,nrCDdate,nrCDweek),""))</f>
        <v/>
      </c>
      <c r="L586" s="15">
        <f>IF($B586="","",IFERROR(_xlfn.XLOOKUP($B586,nrCDdate,nrCDnum),""))</f>
        <v/>
      </c>
      <c r="M586" s="14" t="n"/>
    </row>
    <row r="587">
      <c r="B587" s="16" t="n"/>
      <c r="C587" s="15">
        <f>IF($B587="","",TEXT($B587,"ddd"))</f>
        <v/>
      </c>
      <c r="D587" s="40" t="n"/>
      <c r="E587" s="40" t="n"/>
      <c r="F587" s="15">
        <f>IF(OR($B587="",$D587="",$E587=""),"",ROUND(($E587-$D587)*24,2))</f>
        <v/>
      </c>
      <c r="G587" s="14" t="n"/>
      <c r="H587" s="15">
        <f>IF($G587="","",IFERROR(_xlfn.XLOOKUP($G587,nrCHname,nrCHnum),""))</f>
        <v/>
      </c>
      <c r="I587" s="14" t="n"/>
      <c r="J587" s="14" t="n"/>
      <c r="K587" s="15">
        <f>IF($B587="","",IFERROR(_xlfn.XLOOKUP($B587,nrCDdate,nrCDweek),""))</f>
        <v/>
      </c>
      <c r="L587" s="15">
        <f>IF($B587="","",IFERROR(_xlfn.XLOOKUP($B587,nrCDdate,nrCDnum),""))</f>
        <v/>
      </c>
      <c r="M587" s="14" t="n"/>
    </row>
    <row r="588">
      <c r="B588" s="16" t="n"/>
      <c r="C588" s="15">
        <f>IF($B588="","",TEXT($B588,"ddd"))</f>
        <v/>
      </c>
      <c r="D588" s="40" t="n"/>
      <c r="E588" s="40" t="n"/>
      <c r="F588" s="15">
        <f>IF(OR($B588="",$D588="",$E588=""),"",ROUND(($E588-$D588)*24,2))</f>
        <v/>
      </c>
      <c r="G588" s="14" t="n"/>
      <c r="H588" s="15">
        <f>IF($G588="","",IFERROR(_xlfn.XLOOKUP($G588,nrCHname,nrCHnum),""))</f>
        <v/>
      </c>
      <c r="I588" s="14" t="n"/>
      <c r="J588" s="14" t="n"/>
      <c r="K588" s="15">
        <f>IF($B588="","",IFERROR(_xlfn.XLOOKUP($B588,nrCDdate,nrCDweek),""))</f>
        <v/>
      </c>
      <c r="L588" s="15">
        <f>IF($B588="","",IFERROR(_xlfn.XLOOKUP($B588,nrCDdate,nrCDnum),""))</f>
        <v/>
      </c>
      <c r="M588" s="14" t="n"/>
    </row>
    <row r="589">
      <c r="B589" s="16" t="n"/>
      <c r="C589" s="15">
        <f>IF($B589="","",TEXT($B589,"ddd"))</f>
        <v/>
      </c>
      <c r="D589" s="40" t="n"/>
      <c r="E589" s="40" t="n"/>
      <c r="F589" s="15">
        <f>IF(OR($B589="",$D589="",$E589=""),"",ROUND(($E589-$D589)*24,2))</f>
        <v/>
      </c>
      <c r="G589" s="14" t="n"/>
      <c r="H589" s="15">
        <f>IF($G589="","",IFERROR(_xlfn.XLOOKUP($G589,nrCHname,nrCHnum),""))</f>
        <v/>
      </c>
      <c r="I589" s="14" t="n"/>
      <c r="J589" s="14" t="n"/>
      <c r="K589" s="15">
        <f>IF($B589="","",IFERROR(_xlfn.XLOOKUP($B589,nrCDdate,nrCDweek),""))</f>
        <v/>
      </c>
      <c r="L589" s="15">
        <f>IF($B589="","",IFERROR(_xlfn.XLOOKUP($B589,nrCDdate,nrCDnum),""))</f>
        <v/>
      </c>
      <c r="M589" s="14" t="n"/>
    </row>
    <row r="590">
      <c r="B590" s="16" t="n"/>
      <c r="C590" s="15">
        <f>IF($B590="","",TEXT($B590,"ddd"))</f>
        <v/>
      </c>
      <c r="D590" s="40" t="n"/>
      <c r="E590" s="40" t="n"/>
      <c r="F590" s="15">
        <f>IF(OR($B590="",$D590="",$E590=""),"",ROUND(($E590-$D590)*24,2))</f>
        <v/>
      </c>
      <c r="G590" s="14" t="n"/>
      <c r="H590" s="15">
        <f>IF($G590="","",IFERROR(_xlfn.XLOOKUP($G590,nrCHname,nrCHnum),""))</f>
        <v/>
      </c>
      <c r="I590" s="14" t="n"/>
      <c r="J590" s="14" t="n"/>
      <c r="K590" s="15">
        <f>IF($B590="","",IFERROR(_xlfn.XLOOKUP($B590,nrCDdate,nrCDweek),""))</f>
        <v/>
      </c>
      <c r="L590" s="15">
        <f>IF($B590="","",IFERROR(_xlfn.XLOOKUP($B590,nrCDdate,nrCDnum),""))</f>
        <v/>
      </c>
      <c r="M590" s="14" t="n"/>
    </row>
    <row r="591">
      <c r="B591" s="16" t="n"/>
      <c r="C591" s="15">
        <f>IF($B591="","",TEXT($B591,"ddd"))</f>
        <v/>
      </c>
      <c r="D591" s="40" t="n"/>
      <c r="E591" s="40" t="n"/>
      <c r="F591" s="15">
        <f>IF(OR($B591="",$D591="",$E591=""),"",ROUND(($E591-$D591)*24,2))</f>
        <v/>
      </c>
      <c r="G591" s="14" t="n"/>
      <c r="H591" s="15">
        <f>IF($G591="","",IFERROR(_xlfn.XLOOKUP($G591,nrCHname,nrCHnum),""))</f>
        <v/>
      </c>
      <c r="I591" s="14" t="n"/>
      <c r="J591" s="14" t="n"/>
      <c r="K591" s="15">
        <f>IF($B591="","",IFERROR(_xlfn.XLOOKUP($B591,nrCDdate,nrCDweek),""))</f>
        <v/>
      </c>
      <c r="L591" s="15">
        <f>IF($B591="","",IFERROR(_xlfn.XLOOKUP($B591,nrCDdate,nrCDnum),""))</f>
        <v/>
      </c>
      <c r="M591" s="14" t="n"/>
    </row>
    <row r="592">
      <c r="B592" s="16" t="n"/>
      <c r="C592" s="15">
        <f>IF($B592="","",TEXT($B592,"ddd"))</f>
        <v/>
      </c>
      <c r="D592" s="40" t="n"/>
      <c r="E592" s="40" t="n"/>
      <c r="F592" s="15">
        <f>IF(OR($B592="",$D592="",$E592=""),"",ROUND(($E592-$D592)*24,2))</f>
        <v/>
      </c>
      <c r="G592" s="14" t="n"/>
      <c r="H592" s="15">
        <f>IF($G592="","",IFERROR(_xlfn.XLOOKUP($G592,nrCHname,nrCHnum),""))</f>
        <v/>
      </c>
      <c r="I592" s="14" t="n"/>
      <c r="J592" s="14" t="n"/>
      <c r="K592" s="15">
        <f>IF($B592="","",IFERROR(_xlfn.XLOOKUP($B592,nrCDdate,nrCDweek),""))</f>
        <v/>
      </c>
      <c r="L592" s="15">
        <f>IF($B592="","",IFERROR(_xlfn.XLOOKUP($B592,nrCDdate,nrCDnum),""))</f>
        <v/>
      </c>
      <c r="M592" s="14" t="n"/>
    </row>
    <row r="593">
      <c r="B593" s="16" t="n"/>
      <c r="C593" s="15">
        <f>IF($B593="","",TEXT($B593,"ddd"))</f>
        <v/>
      </c>
      <c r="D593" s="40" t="n"/>
      <c r="E593" s="40" t="n"/>
      <c r="F593" s="15">
        <f>IF(OR($B593="",$D593="",$E593=""),"",ROUND(($E593-$D593)*24,2))</f>
        <v/>
      </c>
      <c r="G593" s="14" t="n"/>
      <c r="H593" s="15">
        <f>IF($G593="","",IFERROR(_xlfn.XLOOKUP($G593,nrCHname,nrCHnum),""))</f>
        <v/>
      </c>
      <c r="I593" s="14" t="n"/>
      <c r="J593" s="14" t="n"/>
      <c r="K593" s="15">
        <f>IF($B593="","",IFERROR(_xlfn.XLOOKUP($B593,nrCDdate,nrCDweek),""))</f>
        <v/>
      </c>
      <c r="L593" s="15">
        <f>IF($B593="","",IFERROR(_xlfn.XLOOKUP($B593,nrCDdate,nrCDnum),""))</f>
        <v/>
      </c>
      <c r="M593" s="14" t="n"/>
    </row>
    <row r="594">
      <c r="B594" s="16" t="n"/>
      <c r="C594" s="15">
        <f>IF($B594="","",TEXT($B594,"ddd"))</f>
        <v/>
      </c>
      <c r="D594" s="40" t="n"/>
      <c r="E594" s="40" t="n"/>
      <c r="F594" s="15">
        <f>IF(OR($B594="",$D594="",$E594=""),"",ROUND(($E594-$D594)*24,2))</f>
        <v/>
      </c>
      <c r="G594" s="14" t="n"/>
      <c r="H594" s="15">
        <f>IF($G594="","",IFERROR(_xlfn.XLOOKUP($G594,nrCHname,nrCHnum),""))</f>
        <v/>
      </c>
      <c r="I594" s="14" t="n"/>
      <c r="J594" s="14" t="n"/>
      <c r="K594" s="15">
        <f>IF($B594="","",IFERROR(_xlfn.XLOOKUP($B594,nrCDdate,nrCDweek),""))</f>
        <v/>
      </c>
      <c r="L594" s="15">
        <f>IF($B594="","",IFERROR(_xlfn.XLOOKUP($B594,nrCDdate,nrCDnum),""))</f>
        <v/>
      </c>
      <c r="M594" s="14" t="n"/>
    </row>
    <row r="595">
      <c r="B595" s="16" t="n"/>
      <c r="C595" s="15">
        <f>IF($B595="","",TEXT($B595,"ddd"))</f>
        <v/>
      </c>
      <c r="D595" s="40" t="n"/>
      <c r="E595" s="40" t="n"/>
      <c r="F595" s="15">
        <f>IF(OR($B595="",$D595="",$E595=""),"",ROUND(($E595-$D595)*24,2))</f>
        <v/>
      </c>
      <c r="G595" s="14" t="n"/>
      <c r="H595" s="15">
        <f>IF($G595="","",IFERROR(_xlfn.XLOOKUP($G595,nrCHname,nrCHnum),""))</f>
        <v/>
      </c>
      <c r="I595" s="14" t="n"/>
      <c r="J595" s="14" t="n"/>
      <c r="K595" s="15">
        <f>IF($B595="","",IFERROR(_xlfn.XLOOKUP($B595,nrCDdate,nrCDweek),""))</f>
        <v/>
      </c>
      <c r="L595" s="15">
        <f>IF($B595="","",IFERROR(_xlfn.XLOOKUP($B595,nrCDdate,nrCDnum),""))</f>
        <v/>
      </c>
      <c r="M595" s="14" t="n"/>
    </row>
    <row r="596">
      <c r="B596" s="16" t="n"/>
      <c r="C596" s="15">
        <f>IF($B596="","",TEXT($B596,"ddd"))</f>
        <v/>
      </c>
      <c r="D596" s="40" t="n"/>
      <c r="E596" s="40" t="n"/>
      <c r="F596" s="15">
        <f>IF(OR($B596="",$D596="",$E596=""),"",ROUND(($E596-$D596)*24,2))</f>
        <v/>
      </c>
      <c r="G596" s="14" t="n"/>
      <c r="H596" s="15">
        <f>IF($G596="","",IFERROR(_xlfn.XLOOKUP($G596,nrCHname,nrCHnum),""))</f>
        <v/>
      </c>
      <c r="I596" s="14" t="n"/>
      <c r="J596" s="14" t="n"/>
      <c r="K596" s="15">
        <f>IF($B596="","",IFERROR(_xlfn.XLOOKUP($B596,nrCDdate,nrCDweek),""))</f>
        <v/>
      </c>
      <c r="L596" s="15">
        <f>IF($B596="","",IFERROR(_xlfn.XLOOKUP($B596,nrCDdate,nrCDnum),""))</f>
        <v/>
      </c>
      <c r="M596" s="14" t="n"/>
    </row>
    <row r="597">
      <c r="B597" s="16" t="n"/>
      <c r="C597" s="15">
        <f>IF($B597="","",TEXT($B597,"ddd"))</f>
        <v/>
      </c>
      <c r="D597" s="40" t="n"/>
      <c r="E597" s="40" t="n"/>
      <c r="F597" s="15">
        <f>IF(OR($B597="",$D597="",$E597=""),"",ROUND(($E597-$D597)*24,2))</f>
        <v/>
      </c>
      <c r="G597" s="14" t="n"/>
      <c r="H597" s="15">
        <f>IF($G597="","",IFERROR(_xlfn.XLOOKUP($G597,nrCHname,nrCHnum),""))</f>
        <v/>
      </c>
      <c r="I597" s="14" t="n"/>
      <c r="J597" s="14" t="n"/>
      <c r="K597" s="15">
        <f>IF($B597="","",IFERROR(_xlfn.XLOOKUP($B597,nrCDdate,nrCDweek),""))</f>
        <v/>
      </c>
      <c r="L597" s="15">
        <f>IF($B597="","",IFERROR(_xlfn.XLOOKUP($B597,nrCDdate,nrCDnum),""))</f>
        <v/>
      </c>
      <c r="M597" s="14" t="n"/>
    </row>
    <row r="598">
      <c r="B598" s="16" t="n"/>
      <c r="C598" s="15">
        <f>IF($B598="","",TEXT($B598,"ddd"))</f>
        <v/>
      </c>
      <c r="D598" s="40" t="n"/>
      <c r="E598" s="40" t="n"/>
      <c r="F598" s="15">
        <f>IF(OR($B598="",$D598="",$E598=""),"",ROUND(($E598-$D598)*24,2))</f>
        <v/>
      </c>
      <c r="G598" s="14" t="n"/>
      <c r="H598" s="15">
        <f>IF($G598="","",IFERROR(_xlfn.XLOOKUP($G598,nrCHname,nrCHnum),""))</f>
        <v/>
      </c>
      <c r="I598" s="14" t="n"/>
      <c r="J598" s="14" t="n"/>
      <c r="K598" s="15">
        <f>IF($B598="","",IFERROR(_xlfn.XLOOKUP($B598,nrCDdate,nrCDweek),""))</f>
        <v/>
      </c>
      <c r="L598" s="15">
        <f>IF($B598="","",IFERROR(_xlfn.XLOOKUP($B598,nrCDdate,nrCDnum),""))</f>
        <v/>
      </c>
      <c r="M598" s="14" t="n"/>
    </row>
    <row r="599">
      <c r="B599" s="16" t="n"/>
      <c r="C599" s="15">
        <f>IF($B599="","",TEXT($B599,"ddd"))</f>
        <v/>
      </c>
      <c r="D599" s="40" t="n"/>
      <c r="E599" s="40" t="n"/>
      <c r="F599" s="15">
        <f>IF(OR($B599="",$D599="",$E599=""),"",ROUND(($E599-$D599)*24,2))</f>
        <v/>
      </c>
      <c r="G599" s="14" t="n"/>
      <c r="H599" s="15">
        <f>IF($G599="","",IFERROR(_xlfn.XLOOKUP($G599,nrCHname,nrCHnum),""))</f>
        <v/>
      </c>
      <c r="I599" s="14" t="n"/>
      <c r="J599" s="14" t="n"/>
      <c r="K599" s="15">
        <f>IF($B599="","",IFERROR(_xlfn.XLOOKUP($B599,nrCDdate,nrCDweek),""))</f>
        <v/>
      </c>
      <c r="L599" s="15">
        <f>IF($B599="","",IFERROR(_xlfn.XLOOKUP($B599,nrCDdate,nrCDnum),""))</f>
        <v/>
      </c>
      <c r="M599" s="14" t="n"/>
    </row>
    <row r="600">
      <c r="B600" s="16" t="n"/>
      <c r="C600" s="15">
        <f>IF($B600="","",TEXT($B600,"ddd"))</f>
        <v/>
      </c>
      <c r="D600" s="40" t="n"/>
      <c r="E600" s="40" t="n"/>
      <c r="F600" s="15">
        <f>IF(OR($B600="",$D600="",$E600=""),"",ROUND(($E600-$D600)*24,2))</f>
        <v/>
      </c>
      <c r="G600" s="14" t="n"/>
      <c r="H600" s="15">
        <f>IF($G600="","",IFERROR(_xlfn.XLOOKUP($G600,nrCHname,nrCHnum),""))</f>
        <v/>
      </c>
      <c r="I600" s="14" t="n"/>
      <c r="J600" s="14" t="n"/>
      <c r="K600" s="15">
        <f>IF($B600="","",IFERROR(_xlfn.XLOOKUP($B600,nrCDdate,nrCDweek),""))</f>
        <v/>
      </c>
      <c r="L600" s="15">
        <f>IF($B600="","",IFERROR(_xlfn.XLOOKUP($B600,nrCDdate,nrCDnum),""))</f>
        <v/>
      </c>
      <c r="M600" s="14" t="n"/>
    </row>
    <row r="601">
      <c r="B601" s="16" t="n"/>
      <c r="C601" s="15">
        <f>IF($B601="","",TEXT($B601,"ddd"))</f>
        <v/>
      </c>
      <c r="D601" s="40" t="n"/>
      <c r="E601" s="40" t="n"/>
      <c r="F601" s="15">
        <f>IF(OR($B601="",$D601="",$E601=""),"",ROUND(($E601-$D601)*24,2))</f>
        <v/>
      </c>
      <c r="G601" s="14" t="n"/>
      <c r="H601" s="15">
        <f>IF($G601="","",IFERROR(_xlfn.XLOOKUP($G601,nrCHname,nrCHnum),""))</f>
        <v/>
      </c>
      <c r="I601" s="14" t="n"/>
      <c r="J601" s="14" t="n"/>
      <c r="K601" s="15">
        <f>IF($B601="","",IFERROR(_xlfn.XLOOKUP($B601,nrCDdate,nrCDweek),""))</f>
        <v/>
      </c>
      <c r="L601" s="15">
        <f>IF($B601="","",IFERROR(_xlfn.XLOOKUP($B601,nrCDdate,nrCDnum),""))</f>
        <v/>
      </c>
      <c r="M601" s="14" t="n"/>
    </row>
    <row r="602">
      <c r="B602" s="16" t="n"/>
      <c r="C602" s="15">
        <f>IF($B602="","",TEXT($B602,"ddd"))</f>
        <v/>
      </c>
      <c r="D602" s="40" t="n"/>
      <c r="E602" s="40" t="n"/>
      <c r="F602" s="15">
        <f>IF(OR($B602="",$D602="",$E602=""),"",ROUND(($E602-$D602)*24,2))</f>
        <v/>
      </c>
      <c r="G602" s="14" t="n"/>
      <c r="H602" s="15">
        <f>IF($G602="","",IFERROR(_xlfn.XLOOKUP($G602,nrCHname,nrCHnum),""))</f>
        <v/>
      </c>
      <c r="I602" s="14" t="n"/>
      <c r="J602" s="14" t="n"/>
      <c r="K602" s="15">
        <f>IF($B602="","",IFERROR(_xlfn.XLOOKUP($B602,nrCDdate,nrCDweek),""))</f>
        <v/>
      </c>
      <c r="L602" s="15">
        <f>IF($B602="","",IFERROR(_xlfn.XLOOKUP($B602,nrCDdate,nrCDnum),""))</f>
        <v/>
      </c>
      <c r="M602" s="14" t="n"/>
    </row>
    <row r="603">
      <c r="B603" s="16" t="n"/>
      <c r="C603" s="15">
        <f>IF($B603="","",TEXT($B603,"ddd"))</f>
        <v/>
      </c>
      <c r="D603" s="40" t="n"/>
      <c r="E603" s="40" t="n"/>
      <c r="F603" s="15">
        <f>IF(OR($B603="",$D603="",$E603=""),"",ROUND(($E603-$D603)*24,2))</f>
        <v/>
      </c>
      <c r="G603" s="14" t="n"/>
      <c r="H603" s="15">
        <f>IF($G603="","",IFERROR(_xlfn.XLOOKUP($G603,nrCHname,nrCHnum),""))</f>
        <v/>
      </c>
      <c r="I603" s="14" t="n"/>
      <c r="J603" s="14" t="n"/>
      <c r="K603" s="15">
        <f>IF($B603="","",IFERROR(_xlfn.XLOOKUP($B603,nrCDdate,nrCDweek),""))</f>
        <v/>
      </c>
      <c r="L603" s="15">
        <f>IF($B603="","",IFERROR(_xlfn.XLOOKUP($B603,nrCDdate,nrCDnum),""))</f>
        <v/>
      </c>
      <c r="M603" s="14" t="n"/>
    </row>
    <row r="604">
      <c r="B604" s="16" t="n"/>
      <c r="C604" s="15">
        <f>IF($B604="","",TEXT($B604,"ddd"))</f>
        <v/>
      </c>
      <c r="D604" s="40" t="n"/>
      <c r="E604" s="40" t="n"/>
      <c r="F604" s="15">
        <f>IF(OR($B604="",$D604="",$E604=""),"",ROUND(($E604-$D604)*24,2))</f>
        <v/>
      </c>
      <c r="G604" s="14" t="n"/>
      <c r="H604" s="15">
        <f>IF($G604="","",IFERROR(_xlfn.XLOOKUP($G604,nrCHname,nrCHnum),""))</f>
        <v/>
      </c>
      <c r="I604" s="14" t="n"/>
      <c r="J604" s="14" t="n"/>
      <c r="K604" s="15">
        <f>IF($B604="","",IFERROR(_xlfn.XLOOKUP($B604,nrCDdate,nrCDweek),""))</f>
        <v/>
      </c>
      <c r="L604" s="15">
        <f>IF($B604="","",IFERROR(_xlfn.XLOOKUP($B604,nrCDdate,nrCDnum),""))</f>
        <v/>
      </c>
      <c r="M604" s="14" t="n"/>
    </row>
    <row r="605">
      <c r="B605" s="16" t="n"/>
      <c r="C605" s="15">
        <f>IF($B605="","",TEXT($B605,"ddd"))</f>
        <v/>
      </c>
      <c r="D605" s="40" t="n"/>
      <c r="E605" s="40" t="n"/>
      <c r="F605" s="15">
        <f>IF(OR($B605="",$D605="",$E605=""),"",ROUND(($E605-$D605)*24,2))</f>
        <v/>
      </c>
      <c r="G605" s="14" t="n"/>
      <c r="H605" s="15">
        <f>IF($G605="","",IFERROR(_xlfn.XLOOKUP($G605,nrCHname,nrCHnum),""))</f>
        <v/>
      </c>
      <c r="I605" s="14" t="n"/>
      <c r="J605" s="14" t="n"/>
      <c r="K605" s="15">
        <f>IF($B605="","",IFERROR(_xlfn.XLOOKUP($B605,nrCDdate,nrCDweek),""))</f>
        <v/>
      </c>
      <c r="L605" s="15">
        <f>IF($B605="","",IFERROR(_xlfn.XLOOKUP($B605,nrCDdate,nrCDnum),""))</f>
        <v/>
      </c>
      <c r="M605" s="14" t="n"/>
    </row>
    <row r="606">
      <c r="B606" s="16" t="n"/>
      <c r="C606" s="15">
        <f>IF($B606="","",TEXT($B606,"ddd"))</f>
        <v/>
      </c>
      <c r="D606" s="40" t="n"/>
      <c r="E606" s="40" t="n"/>
      <c r="F606" s="15">
        <f>IF(OR($B606="",$D606="",$E606=""),"",ROUND(($E606-$D606)*24,2))</f>
        <v/>
      </c>
      <c r="G606" s="14" t="n"/>
      <c r="H606" s="15">
        <f>IF($G606="","",IFERROR(_xlfn.XLOOKUP($G606,nrCHname,nrCHnum),""))</f>
        <v/>
      </c>
      <c r="I606" s="14" t="n"/>
      <c r="J606" s="14" t="n"/>
      <c r="K606" s="15">
        <f>IF($B606="","",IFERROR(_xlfn.XLOOKUP($B606,nrCDdate,nrCDweek),""))</f>
        <v/>
      </c>
      <c r="L606" s="15">
        <f>IF($B606="","",IFERROR(_xlfn.XLOOKUP($B606,nrCDdate,nrCDnum),""))</f>
        <v/>
      </c>
      <c r="M606" s="14" t="n"/>
    </row>
    <row r="607">
      <c r="B607" s="16" t="n"/>
      <c r="C607" s="15">
        <f>IF($B607="","",TEXT($B607,"ddd"))</f>
        <v/>
      </c>
      <c r="D607" s="40" t="n"/>
      <c r="E607" s="40" t="n"/>
      <c r="F607" s="15">
        <f>IF(OR($B607="",$D607="",$E607=""),"",ROUND(($E607-$D607)*24,2))</f>
        <v/>
      </c>
      <c r="G607" s="14" t="n"/>
      <c r="H607" s="15">
        <f>IF($G607="","",IFERROR(_xlfn.XLOOKUP($G607,nrCHname,nrCHnum),""))</f>
        <v/>
      </c>
      <c r="I607" s="14" t="n"/>
      <c r="J607" s="14" t="n"/>
      <c r="K607" s="15">
        <f>IF($B607="","",IFERROR(_xlfn.XLOOKUP($B607,nrCDdate,nrCDweek),""))</f>
        <v/>
      </c>
      <c r="L607" s="15">
        <f>IF($B607="","",IFERROR(_xlfn.XLOOKUP($B607,nrCDdate,nrCDnum),""))</f>
        <v/>
      </c>
      <c r="M607" s="14" t="n"/>
    </row>
    <row r="608">
      <c r="B608" s="16" t="n"/>
      <c r="C608" s="15">
        <f>IF($B608="","",TEXT($B608,"ddd"))</f>
        <v/>
      </c>
      <c r="D608" s="40" t="n"/>
      <c r="E608" s="40" t="n"/>
      <c r="F608" s="15">
        <f>IF(OR($B608="",$D608="",$E608=""),"",ROUND(($E608-$D608)*24,2))</f>
        <v/>
      </c>
      <c r="G608" s="14" t="n"/>
      <c r="H608" s="15">
        <f>IF($G608="","",IFERROR(_xlfn.XLOOKUP($G608,nrCHname,nrCHnum),""))</f>
        <v/>
      </c>
      <c r="I608" s="14" t="n"/>
      <c r="J608" s="14" t="n"/>
      <c r="K608" s="15">
        <f>IF($B608="","",IFERROR(_xlfn.XLOOKUP($B608,nrCDdate,nrCDweek),""))</f>
        <v/>
      </c>
      <c r="L608" s="15">
        <f>IF($B608="","",IFERROR(_xlfn.XLOOKUP($B608,nrCDdate,nrCDnum),""))</f>
        <v/>
      </c>
      <c r="M608" s="14" t="n"/>
    </row>
    <row r="609">
      <c r="B609" s="16" t="n"/>
      <c r="C609" s="15">
        <f>IF($B609="","",TEXT($B609,"ddd"))</f>
        <v/>
      </c>
      <c r="D609" s="40" t="n"/>
      <c r="E609" s="40" t="n"/>
      <c r="F609" s="15">
        <f>IF(OR($B609="",$D609="",$E609=""),"",ROUND(($E609-$D609)*24,2))</f>
        <v/>
      </c>
      <c r="G609" s="14" t="n"/>
      <c r="H609" s="15">
        <f>IF($G609="","",IFERROR(_xlfn.XLOOKUP($G609,nrCHname,nrCHnum),""))</f>
        <v/>
      </c>
      <c r="I609" s="14" t="n"/>
      <c r="J609" s="14" t="n"/>
      <c r="K609" s="15">
        <f>IF($B609="","",IFERROR(_xlfn.XLOOKUP($B609,nrCDdate,nrCDweek),""))</f>
        <v/>
      </c>
      <c r="L609" s="15">
        <f>IF($B609="","",IFERROR(_xlfn.XLOOKUP($B609,nrCDdate,nrCDnum),""))</f>
        <v/>
      </c>
      <c r="M609" s="14" t="n"/>
    </row>
    <row r="610">
      <c r="B610" s="16" t="n"/>
      <c r="C610" s="15">
        <f>IF($B610="","",TEXT($B610,"ddd"))</f>
        <v/>
      </c>
      <c r="D610" s="40" t="n"/>
      <c r="E610" s="40" t="n"/>
      <c r="F610" s="15">
        <f>IF(OR($B610="",$D610="",$E610=""),"",ROUND(($E610-$D610)*24,2))</f>
        <v/>
      </c>
      <c r="G610" s="14" t="n"/>
      <c r="H610" s="15">
        <f>IF($G610="","",IFERROR(_xlfn.XLOOKUP($G610,nrCHname,nrCHnum),""))</f>
        <v/>
      </c>
      <c r="I610" s="14" t="n"/>
      <c r="J610" s="14" t="n"/>
      <c r="K610" s="15">
        <f>IF($B610="","",IFERROR(_xlfn.XLOOKUP($B610,nrCDdate,nrCDweek),""))</f>
        <v/>
      </c>
      <c r="L610" s="15">
        <f>IF($B610="","",IFERROR(_xlfn.XLOOKUP($B610,nrCDdate,nrCDnum),""))</f>
        <v/>
      </c>
      <c r="M610" s="14" t="n"/>
    </row>
    <row r="611">
      <c r="B611" s="16" t="n"/>
      <c r="C611" s="15">
        <f>IF($B611="","",TEXT($B611,"ddd"))</f>
        <v/>
      </c>
      <c r="D611" s="40" t="n"/>
      <c r="E611" s="40" t="n"/>
      <c r="F611" s="15">
        <f>IF(OR($B611="",$D611="",$E611=""),"",ROUND(($E611-$D611)*24,2))</f>
        <v/>
      </c>
      <c r="G611" s="14" t="n"/>
      <c r="H611" s="15">
        <f>IF($G611="","",IFERROR(_xlfn.XLOOKUP($G611,nrCHname,nrCHnum),""))</f>
        <v/>
      </c>
      <c r="I611" s="14" t="n"/>
      <c r="J611" s="14" t="n"/>
      <c r="K611" s="15">
        <f>IF($B611="","",IFERROR(_xlfn.XLOOKUP($B611,nrCDdate,nrCDweek),""))</f>
        <v/>
      </c>
      <c r="L611" s="15">
        <f>IF($B611="","",IFERROR(_xlfn.XLOOKUP($B611,nrCDdate,nrCDnum),""))</f>
        <v/>
      </c>
      <c r="M611" s="14" t="n"/>
    </row>
    <row r="612">
      <c r="B612" s="16" t="n"/>
      <c r="C612" s="15">
        <f>IF($B612="","",TEXT($B612,"ddd"))</f>
        <v/>
      </c>
      <c r="D612" s="40" t="n"/>
      <c r="E612" s="40" t="n"/>
      <c r="F612" s="15">
        <f>IF(OR($B612="",$D612="",$E612=""),"",ROUND(($E612-$D612)*24,2))</f>
        <v/>
      </c>
      <c r="G612" s="14" t="n"/>
      <c r="H612" s="15">
        <f>IF($G612="","",IFERROR(_xlfn.XLOOKUP($G612,nrCHname,nrCHnum),""))</f>
        <v/>
      </c>
      <c r="I612" s="14" t="n"/>
      <c r="J612" s="14" t="n"/>
      <c r="K612" s="15">
        <f>IF($B612="","",IFERROR(_xlfn.XLOOKUP($B612,nrCDdate,nrCDweek),""))</f>
        <v/>
      </c>
      <c r="L612" s="15">
        <f>IF($B612="","",IFERROR(_xlfn.XLOOKUP($B612,nrCDdate,nrCDnum),""))</f>
        <v/>
      </c>
      <c r="M612" s="14" t="n"/>
    </row>
    <row r="613">
      <c r="B613" s="16" t="n"/>
      <c r="C613" s="15">
        <f>IF($B613="","",TEXT($B613,"ddd"))</f>
        <v/>
      </c>
      <c r="D613" s="40" t="n"/>
      <c r="E613" s="40" t="n"/>
      <c r="F613" s="15">
        <f>IF(OR($B613="",$D613="",$E613=""),"",ROUND(($E613-$D613)*24,2))</f>
        <v/>
      </c>
      <c r="G613" s="14" t="n"/>
      <c r="H613" s="15">
        <f>IF($G613="","",IFERROR(_xlfn.XLOOKUP($G613,nrCHname,nrCHnum),""))</f>
        <v/>
      </c>
      <c r="I613" s="14" t="n"/>
      <c r="J613" s="14" t="n"/>
      <c r="K613" s="15">
        <f>IF($B613="","",IFERROR(_xlfn.XLOOKUP($B613,nrCDdate,nrCDweek),""))</f>
        <v/>
      </c>
      <c r="L613" s="15">
        <f>IF($B613="","",IFERROR(_xlfn.XLOOKUP($B613,nrCDdate,nrCDnum),""))</f>
        <v/>
      </c>
      <c r="M613" s="14" t="n"/>
    </row>
    <row r="614">
      <c r="B614" s="16" t="n"/>
      <c r="C614" s="15">
        <f>IF($B614="","",TEXT($B614,"ddd"))</f>
        <v/>
      </c>
      <c r="D614" s="40" t="n"/>
      <c r="E614" s="40" t="n"/>
      <c r="F614" s="15">
        <f>IF(OR($B614="",$D614="",$E614=""),"",ROUND(($E614-$D614)*24,2))</f>
        <v/>
      </c>
      <c r="G614" s="14" t="n"/>
      <c r="H614" s="15">
        <f>IF($G614="","",IFERROR(_xlfn.XLOOKUP($G614,nrCHname,nrCHnum),""))</f>
        <v/>
      </c>
      <c r="I614" s="14" t="n"/>
      <c r="J614" s="14" t="n"/>
      <c r="K614" s="15">
        <f>IF($B614="","",IFERROR(_xlfn.XLOOKUP($B614,nrCDdate,nrCDweek),""))</f>
        <v/>
      </c>
      <c r="L614" s="15">
        <f>IF($B614="","",IFERROR(_xlfn.XLOOKUP($B614,nrCDdate,nrCDnum),""))</f>
        <v/>
      </c>
      <c r="M614" s="14" t="n"/>
    </row>
    <row r="615">
      <c r="B615" s="16" t="n"/>
      <c r="C615" s="15">
        <f>IF($B615="","",TEXT($B615,"ddd"))</f>
        <v/>
      </c>
      <c r="D615" s="40" t="n"/>
      <c r="E615" s="40" t="n"/>
      <c r="F615" s="15">
        <f>IF(OR($B615="",$D615="",$E615=""),"",ROUND(($E615-$D615)*24,2))</f>
        <v/>
      </c>
      <c r="G615" s="14" t="n"/>
      <c r="H615" s="15">
        <f>IF($G615="","",IFERROR(_xlfn.XLOOKUP($G615,nrCHname,nrCHnum),""))</f>
        <v/>
      </c>
      <c r="I615" s="14" t="n"/>
      <c r="J615" s="14" t="n"/>
      <c r="K615" s="15">
        <f>IF($B615="","",IFERROR(_xlfn.XLOOKUP($B615,nrCDdate,nrCDweek),""))</f>
        <v/>
      </c>
      <c r="L615" s="15">
        <f>IF($B615="","",IFERROR(_xlfn.XLOOKUP($B615,nrCDdate,nrCDnum),""))</f>
        <v/>
      </c>
      <c r="M615" s="14" t="n"/>
    </row>
    <row r="616">
      <c r="B616" s="16" t="n"/>
      <c r="C616" s="15">
        <f>IF($B616="","",TEXT($B616,"ddd"))</f>
        <v/>
      </c>
      <c r="D616" s="40" t="n"/>
      <c r="E616" s="40" t="n"/>
      <c r="F616" s="15">
        <f>IF(OR($B616="",$D616="",$E616=""),"",ROUND(($E616-$D616)*24,2))</f>
        <v/>
      </c>
      <c r="G616" s="14" t="n"/>
      <c r="H616" s="15">
        <f>IF($G616="","",IFERROR(_xlfn.XLOOKUP($G616,nrCHname,nrCHnum),""))</f>
        <v/>
      </c>
      <c r="I616" s="14" t="n"/>
      <c r="J616" s="14" t="n"/>
      <c r="K616" s="15">
        <f>IF($B616="","",IFERROR(_xlfn.XLOOKUP($B616,nrCDdate,nrCDweek),""))</f>
        <v/>
      </c>
      <c r="L616" s="15">
        <f>IF($B616="","",IFERROR(_xlfn.XLOOKUP($B616,nrCDdate,nrCDnum),""))</f>
        <v/>
      </c>
      <c r="M616" s="14" t="n"/>
    </row>
    <row r="617">
      <c r="B617" s="16" t="n"/>
      <c r="C617" s="15">
        <f>IF($B617="","",TEXT($B617,"ddd"))</f>
        <v/>
      </c>
      <c r="D617" s="40" t="n"/>
      <c r="E617" s="40" t="n"/>
      <c r="F617" s="15">
        <f>IF(OR($B617="",$D617="",$E617=""),"",ROUND(($E617-$D617)*24,2))</f>
        <v/>
      </c>
      <c r="G617" s="14" t="n"/>
      <c r="H617" s="15">
        <f>IF($G617="","",IFERROR(_xlfn.XLOOKUP($G617,nrCHname,nrCHnum),""))</f>
        <v/>
      </c>
      <c r="I617" s="14" t="n"/>
      <c r="J617" s="14" t="n"/>
      <c r="K617" s="15">
        <f>IF($B617="","",IFERROR(_xlfn.XLOOKUP($B617,nrCDdate,nrCDweek),""))</f>
        <v/>
      </c>
      <c r="L617" s="15">
        <f>IF($B617="","",IFERROR(_xlfn.XLOOKUP($B617,nrCDdate,nrCDnum),""))</f>
        <v/>
      </c>
      <c r="M617" s="14" t="n"/>
    </row>
    <row r="618">
      <c r="B618" s="16" t="n"/>
      <c r="C618" s="15">
        <f>IF($B618="","",TEXT($B618,"ddd"))</f>
        <v/>
      </c>
      <c r="D618" s="40" t="n"/>
      <c r="E618" s="40" t="n"/>
      <c r="F618" s="15">
        <f>IF(OR($B618="",$D618="",$E618=""),"",ROUND(($E618-$D618)*24,2))</f>
        <v/>
      </c>
      <c r="G618" s="14" t="n"/>
      <c r="H618" s="15">
        <f>IF($G618="","",IFERROR(_xlfn.XLOOKUP($G618,nrCHname,nrCHnum),""))</f>
        <v/>
      </c>
      <c r="I618" s="14" t="n"/>
      <c r="J618" s="14" t="n"/>
      <c r="K618" s="15">
        <f>IF($B618="","",IFERROR(_xlfn.XLOOKUP($B618,nrCDdate,nrCDweek),""))</f>
        <v/>
      </c>
      <c r="L618" s="15">
        <f>IF($B618="","",IFERROR(_xlfn.XLOOKUP($B618,nrCDdate,nrCDnum),""))</f>
        <v/>
      </c>
      <c r="M618" s="14" t="n"/>
    </row>
    <row r="619">
      <c r="B619" s="16" t="n"/>
      <c r="C619" s="15">
        <f>IF($B619="","",TEXT($B619,"ddd"))</f>
        <v/>
      </c>
      <c r="D619" s="40" t="n"/>
      <c r="E619" s="40" t="n"/>
      <c r="F619" s="15">
        <f>IF(OR($B619="",$D619="",$E619=""),"",ROUND(($E619-$D619)*24,2))</f>
        <v/>
      </c>
      <c r="G619" s="14" t="n"/>
      <c r="H619" s="15">
        <f>IF($G619="","",IFERROR(_xlfn.XLOOKUP($G619,nrCHname,nrCHnum),""))</f>
        <v/>
      </c>
      <c r="I619" s="14" t="n"/>
      <c r="J619" s="14" t="n"/>
      <c r="K619" s="15">
        <f>IF($B619="","",IFERROR(_xlfn.XLOOKUP($B619,nrCDdate,nrCDweek),""))</f>
        <v/>
      </c>
      <c r="L619" s="15">
        <f>IF($B619="","",IFERROR(_xlfn.XLOOKUP($B619,nrCDdate,nrCDnum),""))</f>
        <v/>
      </c>
      <c r="M619" s="14" t="n"/>
    </row>
    <row r="620">
      <c r="B620" s="16" t="n"/>
      <c r="C620" s="15">
        <f>IF($B620="","",TEXT($B620,"ddd"))</f>
        <v/>
      </c>
      <c r="D620" s="40" t="n"/>
      <c r="E620" s="40" t="n"/>
      <c r="F620" s="15">
        <f>IF(OR($B620="",$D620="",$E620=""),"",ROUND(($E620-$D620)*24,2))</f>
        <v/>
      </c>
      <c r="G620" s="14" t="n"/>
      <c r="H620" s="15">
        <f>IF($G620="","",IFERROR(_xlfn.XLOOKUP($G620,nrCHname,nrCHnum),""))</f>
        <v/>
      </c>
      <c r="I620" s="14" t="n"/>
      <c r="J620" s="14" t="n"/>
      <c r="K620" s="15">
        <f>IF($B620="","",IFERROR(_xlfn.XLOOKUP($B620,nrCDdate,nrCDweek),""))</f>
        <v/>
      </c>
      <c r="L620" s="15">
        <f>IF($B620="","",IFERROR(_xlfn.XLOOKUP($B620,nrCDdate,nrCDnum),""))</f>
        <v/>
      </c>
      <c r="M620" s="14" t="n"/>
    </row>
    <row r="621">
      <c r="B621" s="16" t="n"/>
      <c r="C621" s="15">
        <f>IF($B621="","",TEXT($B621,"ddd"))</f>
        <v/>
      </c>
      <c r="D621" s="40" t="n"/>
      <c r="E621" s="40" t="n"/>
      <c r="F621" s="15">
        <f>IF(OR($B621="",$D621="",$E621=""),"",ROUND(($E621-$D621)*24,2))</f>
        <v/>
      </c>
      <c r="G621" s="14" t="n"/>
      <c r="H621" s="15">
        <f>IF($G621="","",IFERROR(_xlfn.XLOOKUP($G621,nrCHname,nrCHnum),""))</f>
        <v/>
      </c>
      <c r="I621" s="14" t="n"/>
      <c r="J621" s="14" t="n"/>
      <c r="K621" s="15">
        <f>IF($B621="","",IFERROR(_xlfn.XLOOKUP($B621,nrCDdate,nrCDweek),""))</f>
        <v/>
      </c>
      <c r="L621" s="15">
        <f>IF($B621="","",IFERROR(_xlfn.XLOOKUP($B621,nrCDdate,nrCDnum),""))</f>
        <v/>
      </c>
      <c r="M621" s="14" t="n"/>
    </row>
    <row r="622">
      <c r="B622" s="16" t="n"/>
      <c r="C622" s="15">
        <f>IF($B622="","",TEXT($B622,"ddd"))</f>
        <v/>
      </c>
      <c r="D622" s="40" t="n"/>
      <c r="E622" s="40" t="n"/>
      <c r="F622" s="15">
        <f>IF(OR($B622="",$D622="",$E622=""),"",ROUND(($E622-$D622)*24,2))</f>
        <v/>
      </c>
      <c r="G622" s="14" t="n"/>
      <c r="H622" s="15">
        <f>IF($G622="","",IFERROR(_xlfn.XLOOKUP($G622,nrCHname,nrCHnum),""))</f>
        <v/>
      </c>
      <c r="I622" s="14" t="n"/>
      <c r="J622" s="14" t="n"/>
      <c r="K622" s="15">
        <f>IF($B622="","",IFERROR(_xlfn.XLOOKUP($B622,nrCDdate,nrCDweek),""))</f>
        <v/>
      </c>
      <c r="L622" s="15">
        <f>IF($B622="","",IFERROR(_xlfn.XLOOKUP($B622,nrCDdate,nrCDnum),""))</f>
        <v/>
      </c>
      <c r="M622" s="14" t="n"/>
    </row>
    <row r="623">
      <c r="B623" s="16" t="n"/>
      <c r="C623" s="15">
        <f>IF($B623="","",TEXT($B623,"ddd"))</f>
        <v/>
      </c>
      <c r="D623" s="40" t="n"/>
      <c r="E623" s="40" t="n"/>
      <c r="F623" s="15">
        <f>IF(OR($B623="",$D623="",$E623=""),"",ROUND(($E623-$D623)*24,2))</f>
        <v/>
      </c>
      <c r="G623" s="14" t="n"/>
      <c r="H623" s="15">
        <f>IF($G623="","",IFERROR(_xlfn.XLOOKUP($G623,nrCHname,nrCHnum),""))</f>
        <v/>
      </c>
      <c r="I623" s="14" t="n"/>
      <c r="J623" s="14" t="n"/>
      <c r="K623" s="15">
        <f>IF($B623="","",IFERROR(_xlfn.XLOOKUP($B623,nrCDdate,nrCDweek),""))</f>
        <v/>
      </c>
      <c r="L623" s="15">
        <f>IF($B623="","",IFERROR(_xlfn.XLOOKUP($B623,nrCDdate,nrCDnum),""))</f>
        <v/>
      </c>
      <c r="M623" s="14" t="n"/>
    </row>
    <row r="624">
      <c r="B624" s="16" t="n"/>
      <c r="C624" s="15">
        <f>IF($B624="","",TEXT($B624,"ddd"))</f>
        <v/>
      </c>
      <c r="D624" s="40" t="n"/>
      <c r="E624" s="40" t="n"/>
      <c r="F624" s="15">
        <f>IF(OR($B624="",$D624="",$E624=""),"",ROUND(($E624-$D624)*24,2))</f>
        <v/>
      </c>
      <c r="G624" s="14" t="n"/>
      <c r="H624" s="15">
        <f>IF($G624="","",IFERROR(_xlfn.XLOOKUP($G624,nrCHname,nrCHnum),""))</f>
        <v/>
      </c>
      <c r="I624" s="14" t="n"/>
      <c r="J624" s="14" t="n"/>
      <c r="K624" s="15">
        <f>IF($B624="","",IFERROR(_xlfn.XLOOKUP($B624,nrCDdate,nrCDweek),""))</f>
        <v/>
      </c>
      <c r="L624" s="15">
        <f>IF($B624="","",IFERROR(_xlfn.XLOOKUP($B624,nrCDdate,nrCDnum),""))</f>
        <v/>
      </c>
      <c r="M624" s="14" t="n"/>
    </row>
    <row r="625">
      <c r="B625" s="16" t="n"/>
      <c r="C625" s="15">
        <f>IF($B625="","",TEXT($B625,"ddd"))</f>
        <v/>
      </c>
      <c r="D625" s="40" t="n"/>
      <c r="E625" s="40" t="n"/>
      <c r="F625" s="15">
        <f>IF(OR($B625="",$D625="",$E625=""),"",ROUND(($E625-$D625)*24,2))</f>
        <v/>
      </c>
      <c r="G625" s="14" t="n"/>
      <c r="H625" s="15">
        <f>IF($G625="","",IFERROR(_xlfn.XLOOKUP($G625,nrCHname,nrCHnum),""))</f>
        <v/>
      </c>
      <c r="I625" s="14" t="n"/>
      <c r="J625" s="14" t="n"/>
      <c r="K625" s="15">
        <f>IF($B625="","",IFERROR(_xlfn.XLOOKUP($B625,nrCDdate,nrCDweek),""))</f>
        <v/>
      </c>
      <c r="L625" s="15">
        <f>IF($B625="","",IFERROR(_xlfn.XLOOKUP($B625,nrCDdate,nrCDnum),""))</f>
        <v/>
      </c>
      <c r="M625" s="14" t="n"/>
    </row>
    <row r="626">
      <c r="B626" s="16" t="n"/>
      <c r="C626" s="15">
        <f>IF($B626="","",TEXT($B626,"ddd"))</f>
        <v/>
      </c>
      <c r="D626" s="40" t="n"/>
      <c r="E626" s="40" t="n"/>
      <c r="F626" s="15">
        <f>IF(OR($B626="",$D626="",$E626=""),"",ROUND(($E626-$D626)*24,2))</f>
        <v/>
      </c>
      <c r="G626" s="14" t="n"/>
      <c r="H626" s="15">
        <f>IF($G626="","",IFERROR(_xlfn.XLOOKUP($G626,nrCHname,nrCHnum),""))</f>
        <v/>
      </c>
      <c r="I626" s="14" t="n"/>
      <c r="J626" s="14" t="n"/>
      <c r="K626" s="15">
        <f>IF($B626="","",IFERROR(_xlfn.XLOOKUP($B626,nrCDdate,nrCDweek),""))</f>
        <v/>
      </c>
      <c r="L626" s="15">
        <f>IF($B626="","",IFERROR(_xlfn.XLOOKUP($B626,nrCDdate,nrCDnum),""))</f>
        <v/>
      </c>
      <c r="M626" s="14" t="n"/>
    </row>
    <row r="627">
      <c r="B627" s="16" t="n"/>
      <c r="C627" s="15">
        <f>IF($B627="","",TEXT($B627,"ddd"))</f>
        <v/>
      </c>
      <c r="D627" s="40" t="n"/>
      <c r="E627" s="40" t="n"/>
      <c r="F627" s="15">
        <f>IF(OR($B627="",$D627="",$E627=""),"",ROUND(($E627-$D627)*24,2))</f>
        <v/>
      </c>
      <c r="G627" s="14" t="n"/>
      <c r="H627" s="15">
        <f>IF($G627="","",IFERROR(_xlfn.XLOOKUP($G627,nrCHname,nrCHnum),""))</f>
        <v/>
      </c>
      <c r="I627" s="14" t="n"/>
      <c r="J627" s="14" t="n"/>
      <c r="K627" s="15">
        <f>IF($B627="","",IFERROR(_xlfn.XLOOKUP($B627,nrCDdate,nrCDweek),""))</f>
        <v/>
      </c>
      <c r="L627" s="15">
        <f>IF($B627="","",IFERROR(_xlfn.XLOOKUP($B627,nrCDdate,nrCDnum),""))</f>
        <v/>
      </c>
      <c r="M627" s="14" t="n"/>
    </row>
    <row r="628">
      <c r="B628" s="16" t="n"/>
      <c r="C628" s="15">
        <f>IF($B628="","",TEXT($B628,"ddd"))</f>
        <v/>
      </c>
      <c r="D628" s="40" t="n"/>
      <c r="E628" s="40" t="n"/>
      <c r="F628" s="15">
        <f>IF(OR($B628="",$D628="",$E628=""),"",ROUND(($E628-$D628)*24,2))</f>
        <v/>
      </c>
      <c r="G628" s="14" t="n"/>
      <c r="H628" s="15">
        <f>IF($G628="","",IFERROR(_xlfn.XLOOKUP($G628,nrCHname,nrCHnum),""))</f>
        <v/>
      </c>
      <c r="I628" s="14" t="n"/>
      <c r="J628" s="14" t="n"/>
      <c r="K628" s="15">
        <f>IF($B628="","",IFERROR(_xlfn.XLOOKUP($B628,nrCDdate,nrCDweek),""))</f>
        <v/>
      </c>
      <c r="L628" s="15">
        <f>IF($B628="","",IFERROR(_xlfn.XLOOKUP($B628,nrCDdate,nrCDnum),""))</f>
        <v/>
      </c>
      <c r="M628" s="14" t="n"/>
    </row>
    <row r="629">
      <c r="B629" s="16" t="n"/>
      <c r="C629" s="15">
        <f>IF($B629="","",TEXT($B629,"ddd"))</f>
        <v/>
      </c>
      <c r="D629" s="40" t="n"/>
      <c r="E629" s="40" t="n"/>
      <c r="F629" s="15">
        <f>IF(OR($B629="",$D629="",$E629=""),"",ROUND(($E629-$D629)*24,2))</f>
        <v/>
      </c>
      <c r="G629" s="14" t="n"/>
      <c r="H629" s="15">
        <f>IF($G629="","",IFERROR(_xlfn.XLOOKUP($G629,nrCHname,nrCHnum),""))</f>
        <v/>
      </c>
      <c r="I629" s="14" t="n"/>
      <c r="J629" s="14" t="n"/>
      <c r="K629" s="15">
        <f>IF($B629="","",IFERROR(_xlfn.XLOOKUP($B629,nrCDdate,nrCDweek),""))</f>
        <v/>
      </c>
      <c r="L629" s="15">
        <f>IF($B629="","",IFERROR(_xlfn.XLOOKUP($B629,nrCDdate,nrCDnum),""))</f>
        <v/>
      </c>
      <c r="M629" s="14" t="n"/>
    </row>
    <row r="630">
      <c r="B630" s="16" t="n"/>
      <c r="C630" s="15">
        <f>IF($B630="","",TEXT($B630,"ddd"))</f>
        <v/>
      </c>
      <c r="D630" s="40" t="n"/>
      <c r="E630" s="40" t="n"/>
      <c r="F630" s="15">
        <f>IF(OR($B630="",$D630="",$E630=""),"",ROUND(($E630-$D630)*24,2))</f>
        <v/>
      </c>
      <c r="G630" s="14" t="n"/>
      <c r="H630" s="15">
        <f>IF($G630="","",IFERROR(_xlfn.XLOOKUP($G630,nrCHname,nrCHnum),""))</f>
        <v/>
      </c>
      <c r="I630" s="14" t="n"/>
      <c r="J630" s="14" t="n"/>
      <c r="K630" s="15">
        <f>IF($B630="","",IFERROR(_xlfn.XLOOKUP($B630,nrCDdate,nrCDweek),""))</f>
        <v/>
      </c>
      <c r="L630" s="15">
        <f>IF($B630="","",IFERROR(_xlfn.XLOOKUP($B630,nrCDdate,nrCDnum),""))</f>
        <v/>
      </c>
      <c r="M630" s="14" t="n"/>
    </row>
    <row r="631">
      <c r="B631" s="16" t="n"/>
      <c r="C631" s="15">
        <f>IF($B631="","",TEXT($B631,"ddd"))</f>
        <v/>
      </c>
      <c r="D631" s="40" t="n"/>
      <c r="E631" s="40" t="n"/>
      <c r="F631" s="15">
        <f>IF(OR($B631="",$D631="",$E631=""),"",ROUND(($E631-$D631)*24,2))</f>
        <v/>
      </c>
      <c r="G631" s="14" t="n"/>
      <c r="H631" s="15">
        <f>IF($G631="","",IFERROR(_xlfn.XLOOKUP($G631,nrCHname,nrCHnum),""))</f>
        <v/>
      </c>
      <c r="I631" s="14" t="n"/>
      <c r="J631" s="14" t="n"/>
      <c r="K631" s="15">
        <f>IF($B631="","",IFERROR(_xlfn.XLOOKUP($B631,nrCDdate,nrCDweek),""))</f>
        <v/>
      </c>
      <c r="L631" s="15">
        <f>IF($B631="","",IFERROR(_xlfn.XLOOKUP($B631,nrCDdate,nrCDnum),""))</f>
        <v/>
      </c>
      <c r="M631" s="14" t="n"/>
    </row>
    <row r="632">
      <c r="B632" s="16" t="n"/>
      <c r="C632" s="15">
        <f>IF($B632="","",TEXT($B632,"ddd"))</f>
        <v/>
      </c>
      <c r="D632" s="40" t="n"/>
      <c r="E632" s="40" t="n"/>
      <c r="F632" s="15">
        <f>IF(OR($B632="",$D632="",$E632=""),"",ROUND(($E632-$D632)*24,2))</f>
        <v/>
      </c>
      <c r="G632" s="14" t="n"/>
      <c r="H632" s="15">
        <f>IF($G632="","",IFERROR(_xlfn.XLOOKUP($G632,nrCHname,nrCHnum),""))</f>
        <v/>
      </c>
      <c r="I632" s="14" t="n"/>
      <c r="J632" s="14" t="n"/>
      <c r="K632" s="15">
        <f>IF($B632="","",IFERROR(_xlfn.XLOOKUP($B632,nrCDdate,nrCDweek),""))</f>
        <v/>
      </c>
      <c r="L632" s="15">
        <f>IF($B632="","",IFERROR(_xlfn.XLOOKUP($B632,nrCDdate,nrCDnum),""))</f>
        <v/>
      </c>
      <c r="M632" s="14" t="n"/>
    </row>
    <row r="633">
      <c r="B633" s="16" t="n"/>
      <c r="C633" s="15">
        <f>IF($B633="","",TEXT($B633,"ddd"))</f>
        <v/>
      </c>
      <c r="D633" s="40" t="n"/>
      <c r="E633" s="40" t="n"/>
      <c r="F633" s="15">
        <f>IF(OR($B633="",$D633="",$E633=""),"",ROUND(($E633-$D633)*24,2))</f>
        <v/>
      </c>
      <c r="G633" s="14" t="n"/>
      <c r="H633" s="15">
        <f>IF($G633="","",IFERROR(_xlfn.XLOOKUP($G633,nrCHname,nrCHnum),""))</f>
        <v/>
      </c>
      <c r="I633" s="14" t="n"/>
      <c r="J633" s="14" t="n"/>
      <c r="K633" s="15">
        <f>IF($B633="","",IFERROR(_xlfn.XLOOKUP($B633,nrCDdate,nrCDweek),""))</f>
        <v/>
      </c>
      <c r="L633" s="15">
        <f>IF($B633="","",IFERROR(_xlfn.XLOOKUP($B633,nrCDdate,nrCDnum),""))</f>
        <v/>
      </c>
      <c r="M633" s="14" t="n"/>
    </row>
    <row r="634">
      <c r="B634" s="16" t="n"/>
      <c r="C634" s="15">
        <f>IF($B634="","",TEXT($B634,"ddd"))</f>
        <v/>
      </c>
      <c r="D634" s="40" t="n"/>
      <c r="E634" s="40" t="n"/>
      <c r="F634" s="15">
        <f>IF(OR($B634="",$D634="",$E634=""),"",ROUND(($E634-$D634)*24,2))</f>
        <v/>
      </c>
      <c r="G634" s="14" t="n"/>
      <c r="H634" s="15">
        <f>IF($G634="","",IFERROR(_xlfn.XLOOKUP($G634,nrCHname,nrCHnum),""))</f>
        <v/>
      </c>
      <c r="I634" s="14" t="n"/>
      <c r="J634" s="14" t="n"/>
      <c r="K634" s="15">
        <f>IF($B634="","",IFERROR(_xlfn.XLOOKUP($B634,nrCDdate,nrCDweek),""))</f>
        <v/>
      </c>
      <c r="L634" s="15">
        <f>IF($B634="","",IFERROR(_xlfn.XLOOKUP($B634,nrCDdate,nrCDnum),""))</f>
        <v/>
      </c>
      <c r="M634" s="14" t="n"/>
    </row>
    <row r="635">
      <c r="B635" s="16" t="n"/>
      <c r="C635" s="15">
        <f>IF($B635="","",TEXT($B635,"ddd"))</f>
        <v/>
      </c>
      <c r="D635" s="40" t="n"/>
      <c r="E635" s="40" t="n"/>
      <c r="F635" s="15">
        <f>IF(OR($B635="",$D635="",$E635=""),"",ROUND(($E635-$D635)*24,2))</f>
        <v/>
      </c>
      <c r="G635" s="14" t="n"/>
      <c r="H635" s="15">
        <f>IF($G635="","",IFERROR(_xlfn.XLOOKUP($G635,nrCHname,nrCHnum),""))</f>
        <v/>
      </c>
      <c r="I635" s="14" t="n"/>
      <c r="J635" s="14" t="n"/>
      <c r="K635" s="15">
        <f>IF($B635="","",IFERROR(_xlfn.XLOOKUP($B635,nrCDdate,nrCDweek),""))</f>
        <v/>
      </c>
      <c r="L635" s="15">
        <f>IF($B635="","",IFERROR(_xlfn.XLOOKUP($B635,nrCDdate,nrCDnum),""))</f>
        <v/>
      </c>
      <c r="M635" s="14" t="n"/>
    </row>
    <row r="636">
      <c r="B636" s="16" t="n"/>
      <c r="C636" s="15">
        <f>IF($B636="","",TEXT($B636,"ddd"))</f>
        <v/>
      </c>
      <c r="D636" s="40" t="n"/>
      <c r="E636" s="40" t="n"/>
      <c r="F636" s="15">
        <f>IF(OR($B636="",$D636="",$E636=""),"",ROUND(($E636-$D636)*24,2))</f>
        <v/>
      </c>
      <c r="G636" s="14" t="n"/>
      <c r="H636" s="15">
        <f>IF($G636="","",IFERROR(_xlfn.XLOOKUP($G636,nrCHname,nrCHnum),""))</f>
        <v/>
      </c>
      <c r="I636" s="14" t="n"/>
      <c r="J636" s="14" t="n"/>
      <c r="K636" s="15">
        <f>IF($B636="","",IFERROR(_xlfn.XLOOKUP($B636,nrCDdate,nrCDweek),""))</f>
        <v/>
      </c>
      <c r="L636" s="15">
        <f>IF($B636="","",IFERROR(_xlfn.XLOOKUP($B636,nrCDdate,nrCDnum),""))</f>
        <v/>
      </c>
      <c r="M636" s="14" t="n"/>
    </row>
    <row r="637">
      <c r="B637" s="16" t="n"/>
      <c r="C637" s="15">
        <f>IF($B637="","",TEXT($B637,"ddd"))</f>
        <v/>
      </c>
      <c r="D637" s="40" t="n"/>
      <c r="E637" s="40" t="n"/>
      <c r="F637" s="15">
        <f>IF(OR($B637="",$D637="",$E637=""),"",ROUND(($E637-$D637)*24,2))</f>
        <v/>
      </c>
      <c r="G637" s="14" t="n"/>
      <c r="H637" s="15">
        <f>IF($G637="","",IFERROR(_xlfn.XLOOKUP($G637,nrCHname,nrCHnum),""))</f>
        <v/>
      </c>
      <c r="I637" s="14" t="n"/>
      <c r="J637" s="14" t="n"/>
      <c r="K637" s="15">
        <f>IF($B637="","",IFERROR(_xlfn.XLOOKUP($B637,nrCDdate,nrCDweek),""))</f>
        <v/>
      </c>
      <c r="L637" s="15">
        <f>IF($B637="","",IFERROR(_xlfn.XLOOKUP($B637,nrCDdate,nrCDnum),""))</f>
        <v/>
      </c>
      <c r="M637" s="14" t="n"/>
    </row>
    <row r="638">
      <c r="B638" s="16" t="n"/>
      <c r="C638" s="15">
        <f>IF($B638="","",TEXT($B638,"ddd"))</f>
        <v/>
      </c>
      <c r="D638" s="40" t="n"/>
      <c r="E638" s="40" t="n"/>
      <c r="F638" s="15">
        <f>IF(OR($B638="",$D638="",$E638=""),"",ROUND(($E638-$D638)*24,2))</f>
        <v/>
      </c>
      <c r="G638" s="14" t="n"/>
      <c r="H638" s="15">
        <f>IF($G638="","",IFERROR(_xlfn.XLOOKUP($G638,nrCHname,nrCHnum),""))</f>
        <v/>
      </c>
      <c r="I638" s="14" t="n"/>
      <c r="J638" s="14" t="n"/>
      <c r="K638" s="15">
        <f>IF($B638="","",IFERROR(_xlfn.XLOOKUP($B638,nrCDdate,nrCDweek),""))</f>
        <v/>
      </c>
      <c r="L638" s="15">
        <f>IF($B638="","",IFERROR(_xlfn.XLOOKUP($B638,nrCDdate,nrCDnum),""))</f>
        <v/>
      </c>
      <c r="M638" s="14" t="n"/>
    </row>
    <row r="639">
      <c r="B639" s="16" t="n"/>
      <c r="C639" s="15">
        <f>IF($B639="","",TEXT($B639,"ddd"))</f>
        <v/>
      </c>
      <c r="D639" s="40" t="n"/>
      <c r="E639" s="40" t="n"/>
      <c r="F639" s="15">
        <f>IF(OR($B639="",$D639="",$E639=""),"",ROUND(($E639-$D639)*24,2))</f>
        <v/>
      </c>
      <c r="G639" s="14" t="n"/>
      <c r="H639" s="15">
        <f>IF($G639="","",IFERROR(_xlfn.XLOOKUP($G639,nrCHname,nrCHnum),""))</f>
        <v/>
      </c>
      <c r="I639" s="14" t="n"/>
      <c r="J639" s="14" t="n"/>
      <c r="K639" s="15">
        <f>IF($B639="","",IFERROR(_xlfn.XLOOKUP($B639,nrCDdate,nrCDweek),""))</f>
        <v/>
      </c>
      <c r="L639" s="15">
        <f>IF($B639="","",IFERROR(_xlfn.XLOOKUP($B639,nrCDdate,nrCDnum),""))</f>
        <v/>
      </c>
      <c r="M639" s="14" t="n"/>
    </row>
    <row r="640">
      <c r="B640" s="16" t="n"/>
      <c r="C640" s="15">
        <f>IF($B640="","",TEXT($B640,"ddd"))</f>
        <v/>
      </c>
      <c r="D640" s="40" t="n"/>
      <c r="E640" s="40" t="n"/>
      <c r="F640" s="15">
        <f>IF(OR($B640="",$D640="",$E640=""),"",ROUND(($E640-$D640)*24,2))</f>
        <v/>
      </c>
      <c r="G640" s="14" t="n"/>
      <c r="H640" s="15">
        <f>IF($G640="","",IFERROR(_xlfn.XLOOKUP($G640,nrCHname,nrCHnum),""))</f>
        <v/>
      </c>
      <c r="I640" s="14" t="n"/>
      <c r="J640" s="14" t="n"/>
      <c r="K640" s="15">
        <f>IF($B640="","",IFERROR(_xlfn.XLOOKUP($B640,nrCDdate,nrCDweek),""))</f>
        <v/>
      </c>
      <c r="L640" s="15">
        <f>IF($B640="","",IFERROR(_xlfn.XLOOKUP($B640,nrCDdate,nrCDnum),""))</f>
        <v/>
      </c>
      <c r="M640" s="14" t="n"/>
    </row>
    <row r="641">
      <c r="B641" s="16" t="n"/>
      <c r="C641" s="15">
        <f>IF($B641="","",TEXT($B641,"ddd"))</f>
        <v/>
      </c>
      <c r="D641" s="40" t="n"/>
      <c r="E641" s="40" t="n"/>
      <c r="F641" s="15">
        <f>IF(OR($B641="",$D641="",$E641=""),"",ROUND(($E641-$D641)*24,2))</f>
        <v/>
      </c>
      <c r="G641" s="14" t="n"/>
      <c r="H641" s="15">
        <f>IF($G641="","",IFERROR(_xlfn.XLOOKUP($G641,nrCHname,nrCHnum),""))</f>
        <v/>
      </c>
      <c r="I641" s="14" t="n"/>
      <c r="J641" s="14" t="n"/>
      <c r="K641" s="15">
        <f>IF($B641="","",IFERROR(_xlfn.XLOOKUP($B641,nrCDdate,nrCDweek),""))</f>
        <v/>
      </c>
      <c r="L641" s="15">
        <f>IF($B641="","",IFERROR(_xlfn.XLOOKUP($B641,nrCDdate,nrCDnum),""))</f>
        <v/>
      </c>
      <c r="M641" s="14" t="n"/>
    </row>
    <row r="642">
      <c r="B642" s="16" t="n"/>
      <c r="C642" s="15">
        <f>IF($B642="","",TEXT($B642,"ddd"))</f>
        <v/>
      </c>
      <c r="D642" s="40" t="n"/>
      <c r="E642" s="40" t="n"/>
      <c r="F642" s="15">
        <f>IF(OR($B642="",$D642="",$E642=""),"",ROUND(($E642-$D642)*24,2))</f>
        <v/>
      </c>
      <c r="G642" s="14" t="n"/>
      <c r="H642" s="15">
        <f>IF($G642="","",IFERROR(_xlfn.XLOOKUP($G642,nrCHname,nrCHnum),""))</f>
        <v/>
      </c>
      <c r="I642" s="14" t="n"/>
      <c r="J642" s="14" t="n"/>
      <c r="K642" s="15">
        <f>IF($B642="","",IFERROR(_xlfn.XLOOKUP($B642,nrCDdate,nrCDweek),""))</f>
        <v/>
      </c>
      <c r="L642" s="15">
        <f>IF($B642="","",IFERROR(_xlfn.XLOOKUP($B642,nrCDdate,nrCDnum),""))</f>
        <v/>
      </c>
      <c r="M642" s="14" t="n"/>
    </row>
    <row r="643">
      <c r="B643" s="16" t="n"/>
      <c r="C643" s="15">
        <f>IF($B643="","",TEXT($B643,"ddd"))</f>
        <v/>
      </c>
      <c r="D643" s="40" t="n"/>
      <c r="E643" s="40" t="n"/>
      <c r="F643" s="15">
        <f>IF(OR($B643="",$D643="",$E643=""),"",ROUND(($E643-$D643)*24,2))</f>
        <v/>
      </c>
      <c r="G643" s="14" t="n"/>
      <c r="H643" s="15">
        <f>IF($G643="","",IFERROR(_xlfn.XLOOKUP($G643,nrCHname,nrCHnum),""))</f>
        <v/>
      </c>
      <c r="I643" s="14" t="n"/>
      <c r="J643" s="14" t="n"/>
      <c r="K643" s="15">
        <f>IF($B643="","",IFERROR(_xlfn.XLOOKUP($B643,nrCDdate,nrCDweek),""))</f>
        <v/>
      </c>
      <c r="L643" s="15">
        <f>IF($B643="","",IFERROR(_xlfn.XLOOKUP($B643,nrCDdate,nrCDnum),""))</f>
        <v/>
      </c>
      <c r="M643" s="14" t="n"/>
    </row>
    <row r="644">
      <c r="B644" s="16" t="n"/>
      <c r="C644" s="15">
        <f>IF($B644="","",TEXT($B644,"ddd"))</f>
        <v/>
      </c>
      <c r="D644" s="40" t="n"/>
      <c r="E644" s="40" t="n"/>
      <c r="F644" s="15">
        <f>IF(OR($B644="",$D644="",$E644=""),"",ROUND(($E644-$D644)*24,2))</f>
        <v/>
      </c>
      <c r="G644" s="14" t="n"/>
      <c r="H644" s="15">
        <f>IF($G644="","",IFERROR(_xlfn.XLOOKUP($G644,nrCHname,nrCHnum),""))</f>
        <v/>
      </c>
      <c r="I644" s="14" t="n"/>
      <c r="J644" s="14" t="n"/>
      <c r="K644" s="15">
        <f>IF($B644="","",IFERROR(_xlfn.XLOOKUP($B644,nrCDdate,nrCDweek),""))</f>
        <v/>
      </c>
      <c r="L644" s="15">
        <f>IF($B644="","",IFERROR(_xlfn.XLOOKUP($B644,nrCDdate,nrCDnum),""))</f>
        <v/>
      </c>
      <c r="M644" s="14" t="n"/>
    </row>
    <row r="645">
      <c r="B645" s="16" t="n"/>
      <c r="C645" s="15">
        <f>IF($B645="","",TEXT($B645,"ddd"))</f>
        <v/>
      </c>
      <c r="D645" s="40" t="n"/>
      <c r="E645" s="40" t="n"/>
      <c r="F645" s="15">
        <f>IF(OR($B645="",$D645="",$E645=""),"",ROUND(($E645-$D645)*24,2))</f>
        <v/>
      </c>
      <c r="G645" s="14" t="n"/>
      <c r="H645" s="15">
        <f>IF($G645="","",IFERROR(_xlfn.XLOOKUP($G645,nrCHname,nrCHnum),""))</f>
        <v/>
      </c>
      <c r="I645" s="14" t="n"/>
      <c r="J645" s="14" t="n"/>
      <c r="K645" s="15">
        <f>IF($B645="","",IFERROR(_xlfn.XLOOKUP($B645,nrCDdate,nrCDweek),""))</f>
        <v/>
      </c>
      <c r="L645" s="15">
        <f>IF($B645="","",IFERROR(_xlfn.XLOOKUP($B645,nrCDdate,nrCDnum),""))</f>
        <v/>
      </c>
      <c r="M645" s="14" t="n"/>
    </row>
    <row r="646">
      <c r="B646" s="16" t="n"/>
      <c r="C646" s="15">
        <f>IF($B646="","",TEXT($B646,"ddd"))</f>
        <v/>
      </c>
      <c r="D646" s="40" t="n"/>
      <c r="E646" s="40" t="n"/>
      <c r="F646" s="15">
        <f>IF(OR($B646="",$D646="",$E646=""),"",ROUND(($E646-$D646)*24,2))</f>
        <v/>
      </c>
      <c r="G646" s="14" t="n"/>
      <c r="H646" s="15">
        <f>IF($G646="","",IFERROR(_xlfn.XLOOKUP($G646,nrCHname,nrCHnum),""))</f>
        <v/>
      </c>
      <c r="I646" s="14" t="n"/>
      <c r="J646" s="14" t="n"/>
      <c r="K646" s="15">
        <f>IF($B646="","",IFERROR(_xlfn.XLOOKUP($B646,nrCDdate,nrCDweek),""))</f>
        <v/>
      </c>
      <c r="L646" s="15">
        <f>IF($B646="","",IFERROR(_xlfn.XLOOKUP($B646,nrCDdate,nrCDnum),""))</f>
        <v/>
      </c>
      <c r="M646" s="14" t="n"/>
    </row>
    <row r="647">
      <c r="B647" s="16" t="n"/>
      <c r="C647" s="15">
        <f>IF($B647="","",TEXT($B647,"ddd"))</f>
        <v/>
      </c>
      <c r="D647" s="40" t="n"/>
      <c r="E647" s="40" t="n"/>
      <c r="F647" s="15">
        <f>IF(OR($B647="",$D647="",$E647=""),"",ROUND(($E647-$D647)*24,2))</f>
        <v/>
      </c>
      <c r="G647" s="14" t="n"/>
      <c r="H647" s="15">
        <f>IF($G647="","",IFERROR(_xlfn.XLOOKUP($G647,nrCHname,nrCHnum),""))</f>
        <v/>
      </c>
      <c r="I647" s="14" t="n"/>
      <c r="J647" s="14" t="n"/>
      <c r="K647" s="15">
        <f>IF($B647="","",IFERROR(_xlfn.XLOOKUP($B647,nrCDdate,nrCDweek),""))</f>
        <v/>
      </c>
      <c r="L647" s="15">
        <f>IF($B647="","",IFERROR(_xlfn.XLOOKUP($B647,nrCDdate,nrCDnum),""))</f>
        <v/>
      </c>
      <c r="M647" s="14" t="n"/>
    </row>
    <row r="648">
      <c r="B648" s="16" t="n"/>
      <c r="C648" s="15">
        <f>IF($B648="","",TEXT($B648,"ddd"))</f>
        <v/>
      </c>
      <c r="D648" s="40" t="n"/>
      <c r="E648" s="40" t="n"/>
      <c r="F648" s="15">
        <f>IF(OR($B648="",$D648="",$E648=""),"",ROUND(($E648-$D648)*24,2))</f>
        <v/>
      </c>
      <c r="G648" s="14" t="n"/>
      <c r="H648" s="15">
        <f>IF($G648="","",IFERROR(_xlfn.XLOOKUP($G648,nrCHname,nrCHnum),""))</f>
        <v/>
      </c>
      <c r="I648" s="14" t="n"/>
      <c r="J648" s="14" t="n"/>
      <c r="K648" s="15">
        <f>IF($B648="","",IFERROR(_xlfn.XLOOKUP($B648,nrCDdate,nrCDweek),""))</f>
        <v/>
      </c>
      <c r="L648" s="15">
        <f>IF($B648="","",IFERROR(_xlfn.XLOOKUP($B648,nrCDdate,nrCDnum),""))</f>
        <v/>
      </c>
      <c r="M648" s="14" t="n"/>
    </row>
    <row r="649">
      <c r="B649" s="16" t="n"/>
      <c r="C649" s="15">
        <f>IF($B649="","",TEXT($B649,"ddd"))</f>
        <v/>
      </c>
      <c r="D649" s="40" t="n"/>
      <c r="E649" s="40" t="n"/>
      <c r="F649" s="15">
        <f>IF(OR($B649="",$D649="",$E649=""),"",ROUND(($E649-$D649)*24,2))</f>
        <v/>
      </c>
      <c r="G649" s="14" t="n"/>
      <c r="H649" s="15">
        <f>IF($G649="","",IFERROR(_xlfn.XLOOKUP($G649,nrCHname,nrCHnum),""))</f>
        <v/>
      </c>
      <c r="I649" s="14" t="n"/>
      <c r="J649" s="14" t="n"/>
      <c r="K649" s="15">
        <f>IF($B649="","",IFERROR(_xlfn.XLOOKUP($B649,nrCDdate,nrCDweek),""))</f>
        <v/>
      </c>
      <c r="L649" s="15">
        <f>IF($B649="","",IFERROR(_xlfn.XLOOKUP($B649,nrCDdate,nrCDnum),""))</f>
        <v/>
      </c>
      <c r="M649" s="14" t="n"/>
    </row>
    <row r="650">
      <c r="B650" s="16" t="n"/>
      <c r="C650" s="15">
        <f>IF($B650="","",TEXT($B650,"ddd"))</f>
        <v/>
      </c>
      <c r="D650" s="40" t="n"/>
      <c r="E650" s="40" t="n"/>
      <c r="F650" s="15">
        <f>IF(OR($B650="",$D650="",$E650=""),"",ROUND(($E650-$D650)*24,2))</f>
        <v/>
      </c>
      <c r="G650" s="14" t="n"/>
      <c r="H650" s="15">
        <f>IF($G650="","",IFERROR(_xlfn.XLOOKUP($G650,nrCHname,nrCHnum),""))</f>
        <v/>
      </c>
      <c r="I650" s="14" t="n"/>
      <c r="J650" s="14" t="n"/>
      <c r="K650" s="15">
        <f>IF($B650="","",IFERROR(_xlfn.XLOOKUP($B650,nrCDdate,nrCDweek),""))</f>
        <v/>
      </c>
      <c r="L650" s="15">
        <f>IF($B650="","",IFERROR(_xlfn.XLOOKUP($B650,nrCDdate,nrCDnum),""))</f>
        <v/>
      </c>
      <c r="M650" s="14" t="n"/>
    </row>
    <row r="651">
      <c r="B651" s="16" t="n"/>
      <c r="C651" s="15">
        <f>IF($B651="","",TEXT($B651,"ddd"))</f>
        <v/>
      </c>
      <c r="D651" s="40" t="n"/>
      <c r="E651" s="40" t="n"/>
      <c r="F651" s="15">
        <f>IF(OR($B651="",$D651="",$E651=""),"",ROUND(($E651-$D651)*24,2))</f>
        <v/>
      </c>
      <c r="G651" s="14" t="n"/>
      <c r="H651" s="15">
        <f>IF($G651="","",IFERROR(_xlfn.XLOOKUP($G651,nrCHname,nrCHnum),""))</f>
        <v/>
      </c>
      <c r="I651" s="14" t="n"/>
      <c r="J651" s="14" t="n"/>
      <c r="K651" s="15">
        <f>IF($B651="","",IFERROR(_xlfn.XLOOKUP($B651,nrCDdate,nrCDweek),""))</f>
        <v/>
      </c>
      <c r="L651" s="15">
        <f>IF($B651="","",IFERROR(_xlfn.XLOOKUP($B651,nrCDdate,nrCDnum),""))</f>
        <v/>
      </c>
      <c r="M651" s="14" t="n"/>
    </row>
    <row r="652">
      <c r="B652" s="16" t="n"/>
      <c r="C652" s="15">
        <f>IF($B652="","",TEXT($B652,"ddd"))</f>
        <v/>
      </c>
      <c r="D652" s="40" t="n"/>
      <c r="E652" s="40" t="n"/>
      <c r="F652" s="15">
        <f>IF(OR($B652="",$D652="",$E652=""),"",ROUND(($E652-$D652)*24,2))</f>
        <v/>
      </c>
      <c r="G652" s="14" t="n"/>
      <c r="H652" s="15">
        <f>IF($G652="","",IFERROR(_xlfn.XLOOKUP($G652,nrCHname,nrCHnum),""))</f>
        <v/>
      </c>
      <c r="I652" s="14" t="n"/>
      <c r="J652" s="14" t="n"/>
      <c r="K652" s="15">
        <f>IF($B652="","",IFERROR(_xlfn.XLOOKUP($B652,nrCDdate,nrCDweek),""))</f>
        <v/>
      </c>
      <c r="L652" s="15">
        <f>IF($B652="","",IFERROR(_xlfn.XLOOKUP($B652,nrCDdate,nrCDnum),""))</f>
        <v/>
      </c>
      <c r="M652" s="14" t="n"/>
    </row>
    <row r="653">
      <c r="B653" s="16" t="n"/>
      <c r="C653" s="15">
        <f>IF($B653="","",TEXT($B653,"ddd"))</f>
        <v/>
      </c>
      <c r="D653" s="40" t="n"/>
      <c r="E653" s="40" t="n"/>
      <c r="F653" s="15">
        <f>IF(OR($B653="",$D653="",$E653=""),"",ROUND(($E653-$D653)*24,2))</f>
        <v/>
      </c>
      <c r="G653" s="14" t="n"/>
      <c r="H653" s="15">
        <f>IF($G653="","",IFERROR(_xlfn.XLOOKUP($G653,nrCHname,nrCHnum),""))</f>
        <v/>
      </c>
      <c r="I653" s="14" t="n"/>
      <c r="J653" s="14" t="n"/>
      <c r="K653" s="15">
        <f>IF($B653="","",IFERROR(_xlfn.XLOOKUP($B653,nrCDdate,nrCDweek),""))</f>
        <v/>
      </c>
      <c r="L653" s="15">
        <f>IF($B653="","",IFERROR(_xlfn.XLOOKUP($B653,nrCDdate,nrCDnum),""))</f>
        <v/>
      </c>
      <c r="M653" s="14" t="n"/>
    </row>
    <row r="654">
      <c r="B654" s="16" t="n"/>
      <c r="C654" s="15">
        <f>IF($B654="","",TEXT($B654,"ddd"))</f>
        <v/>
      </c>
      <c r="D654" s="40" t="n"/>
      <c r="E654" s="40" t="n"/>
      <c r="F654" s="15">
        <f>IF(OR($B654="",$D654="",$E654=""),"",ROUND(($E654-$D654)*24,2))</f>
        <v/>
      </c>
      <c r="G654" s="14" t="n"/>
      <c r="H654" s="15">
        <f>IF($G654="","",IFERROR(_xlfn.XLOOKUP($G654,nrCHname,nrCHnum),""))</f>
        <v/>
      </c>
      <c r="I654" s="14" t="n"/>
      <c r="J654" s="14" t="n"/>
      <c r="K654" s="15">
        <f>IF($B654="","",IFERROR(_xlfn.XLOOKUP($B654,nrCDdate,nrCDweek),""))</f>
        <v/>
      </c>
      <c r="L654" s="15">
        <f>IF($B654="","",IFERROR(_xlfn.XLOOKUP($B654,nrCDdate,nrCDnum),""))</f>
        <v/>
      </c>
      <c r="M654" s="14" t="n"/>
    </row>
    <row r="655">
      <c r="B655" s="16" t="n"/>
      <c r="C655" s="15">
        <f>IF($B655="","",TEXT($B655,"ddd"))</f>
        <v/>
      </c>
      <c r="D655" s="40" t="n"/>
      <c r="E655" s="40" t="n"/>
      <c r="F655" s="15">
        <f>IF(OR($B655="",$D655="",$E655=""),"",ROUND(($E655-$D655)*24,2))</f>
        <v/>
      </c>
      <c r="G655" s="14" t="n"/>
      <c r="H655" s="15">
        <f>IF($G655="","",IFERROR(_xlfn.XLOOKUP($G655,nrCHname,nrCHnum),""))</f>
        <v/>
      </c>
      <c r="I655" s="14" t="n"/>
      <c r="J655" s="14" t="n"/>
      <c r="K655" s="15">
        <f>IF($B655="","",IFERROR(_xlfn.XLOOKUP($B655,nrCDdate,nrCDweek),""))</f>
        <v/>
      </c>
      <c r="L655" s="15">
        <f>IF($B655="","",IFERROR(_xlfn.XLOOKUP($B655,nrCDdate,nrCDnum),""))</f>
        <v/>
      </c>
      <c r="M655" s="14" t="n"/>
    </row>
    <row r="656">
      <c r="B656" s="16" t="n"/>
      <c r="C656" s="15">
        <f>IF($B656="","",TEXT($B656,"ddd"))</f>
        <v/>
      </c>
      <c r="D656" s="40" t="n"/>
      <c r="E656" s="40" t="n"/>
      <c r="F656" s="15">
        <f>IF(OR($B656="",$D656="",$E656=""),"",ROUND(($E656-$D656)*24,2))</f>
        <v/>
      </c>
      <c r="G656" s="14" t="n"/>
      <c r="H656" s="15">
        <f>IF($G656="","",IFERROR(_xlfn.XLOOKUP($G656,nrCHname,nrCHnum),""))</f>
        <v/>
      </c>
      <c r="I656" s="14" t="n"/>
      <c r="J656" s="14" t="n"/>
      <c r="K656" s="15">
        <f>IF($B656="","",IFERROR(_xlfn.XLOOKUP($B656,nrCDdate,nrCDweek),""))</f>
        <v/>
      </c>
      <c r="L656" s="15">
        <f>IF($B656="","",IFERROR(_xlfn.XLOOKUP($B656,nrCDdate,nrCDnum),""))</f>
        <v/>
      </c>
      <c r="M656" s="14" t="n"/>
    </row>
    <row r="657">
      <c r="B657" s="16" t="n"/>
      <c r="C657" s="15">
        <f>IF($B657="","",TEXT($B657,"ddd"))</f>
        <v/>
      </c>
      <c r="D657" s="40" t="n"/>
      <c r="E657" s="40" t="n"/>
      <c r="F657" s="15">
        <f>IF(OR($B657="",$D657="",$E657=""),"",ROUND(($E657-$D657)*24,2))</f>
        <v/>
      </c>
      <c r="G657" s="14" t="n"/>
      <c r="H657" s="15">
        <f>IF($G657="","",IFERROR(_xlfn.XLOOKUP($G657,nrCHname,nrCHnum),""))</f>
        <v/>
      </c>
      <c r="I657" s="14" t="n"/>
      <c r="J657" s="14" t="n"/>
      <c r="K657" s="15">
        <f>IF($B657="","",IFERROR(_xlfn.XLOOKUP($B657,nrCDdate,nrCDweek),""))</f>
        <v/>
      </c>
      <c r="L657" s="15">
        <f>IF($B657="","",IFERROR(_xlfn.XLOOKUP($B657,nrCDdate,nrCDnum),""))</f>
        <v/>
      </c>
      <c r="M657" s="14" t="n"/>
    </row>
    <row r="658">
      <c r="B658" s="16" t="n"/>
      <c r="C658" s="15">
        <f>IF($B658="","",TEXT($B658,"ddd"))</f>
        <v/>
      </c>
      <c r="D658" s="40" t="n"/>
      <c r="E658" s="40" t="n"/>
      <c r="F658" s="15">
        <f>IF(OR($B658="",$D658="",$E658=""),"",ROUND(($E658-$D658)*24,2))</f>
        <v/>
      </c>
      <c r="G658" s="14" t="n"/>
      <c r="H658" s="15">
        <f>IF($G658="","",IFERROR(_xlfn.XLOOKUP($G658,nrCHname,nrCHnum),""))</f>
        <v/>
      </c>
      <c r="I658" s="14" t="n"/>
      <c r="J658" s="14" t="n"/>
      <c r="K658" s="15">
        <f>IF($B658="","",IFERROR(_xlfn.XLOOKUP($B658,nrCDdate,nrCDweek),""))</f>
        <v/>
      </c>
      <c r="L658" s="15">
        <f>IF($B658="","",IFERROR(_xlfn.XLOOKUP($B658,nrCDdate,nrCDnum),""))</f>
        <v/>
      </c>
      <c r="M658" s="14" t="n"/>
    </row>
    <row r="659">
      <c r="B659" s="16" t="n"/>
      <c r="C659" s="15">
        <f>IF($B659="","",TEXT($B659,"ddd"))</f>
        <v/>
      </c>
      <c r="D659" s="40" t="n"/>
      <c r="E659" s="40" t="n"/>
      <c r="F659" s="15">
        <f>IF(OR($B659="",$D659="",$E659=""),"",ROUND(($E659-$D659)*24,2))</f>
        <v/>
      </c>
      <c r="G659" s="14" t="n"/>
      <c r="H659" s="15">
        <f>IF($G659="","",IFERROR(_xlfn.XLOOKUP($G659,nrCHname,nrCHnum),""))</f>
        <v/>
      </c>
      <c r="I659" s="14" t="n"/>
      <c r="J659" s="14" t="n"/>
      <c r="K659" s="15">
        <f>IF($B659="","",IFERROR(_xlfn.XLOOKUP($B659,nrCDdate,nrCDweek),""))</f>
        <v/>
      </c>
      <c r="L659" s="15">
        <f>IF($B659="","",IFERROR(_xlfn.XLOOKUP($B659,nrCDdate,nrCDnum),""))</f>
        <v/>
      </c>
      <c r="M659" s="14" t="n"/>
    </row>
    <row r="660">
      <c r="B660" s="16" t="n"/>
      <c r="C660" s="15">
        <f>IF($B660="","",TEXT($B660,"ddd"))</f>
        <v/>
      </c>
      <c r="D660" s="40" t="n"/>
      <c r="E660" s="40" t="n"/>
      <c r="F660" s="15">
        <f>IF(OR($B660="",$D660="",$E660=""),"",ROUND(($E660-$D660)*24,2))</f>
        <v/>
      </c>
      <c r="G660" s="14" t="n"/>
      <c r="H660" s="15">
        <f>IF($G660="","",IFERROR(_xlfn.XLOOKUP($G660,nrCHname,nrCHnum),""))</f>
        <v/>
      </c>
      <c r="I660" s="14" t="n"/>
      <c r="J660" s="14" t="n"/>
      <c r="K660" s="15">
        <f>IF($B660="","",IFERROR(_xlfn.XLOOKUP($B660,nrCDdate,nrCDweek),""))</f>
        <v/>
      </c>
      <c r="L660" s="15">
        <f>IF($B660="","",IFERROR(_xlfn.XLOOKUP($B660,nrCDdate,nrCDnum),""))</f>
        <v/>
      </c>
      <c r="M660" s="14" t="n"/>
    </row>
    <row r="661">
      <c r="B661" s="16" t="n"/>
      <c r="C661" s="15">
        <f>IF($B661="","",TEXT($B661,"ddd"))</f>
        <v/>
      </c>
      <c r="D661" s="40" t="n"/>
      <c r="E661" s="40" t="n"/>
      <c r="F661" s="15">
        <f>IF(OR($B661="",$D661="",$E661=""),"",ROUND(($E661-$D661)*24,2))</f>
        <v/>
      </c>
      <c r="G661" s="14" t="n"/>
      <c r="H661" s="15">
        <f>IF($G661="","",IFERROR(_xlfn.XLOOKUP($G661,nrCHname,nrCHnum),""))</f>
        <v/>
      </c>
      <c r="I661" s="14" t="n"/>
      <c r="J661" s="14" t="n"/>
      <c r="K661" s="15">
        <f>IF($B661="","",IFERROR(_xlfn.XLOOKUP($B661,nrCDdate,nrCDweek),""))</f>
        <v/>
      </c>
      <c r="L661" s="15">
        <f>IF($B661="","",IFERROR(_xlfn.XLOOKUP($B661,nrCDdate,nrCDnum),""))</f>
        <v/>
      </c>
      <c r="M661" s="14" t="n"/>
    </row>
    <row r="662">
      <c r="B662" s="16" t="n"/>
      <c r="C662" s="15">
        <f>IF($B662="","",TEXT($B662,"ddd"))</f>
        <v/>
      </c>
      <c r="D662" s="40" t="n"/>
      <c r="E662" s="40" t="n"/>
      <c r="F662" s="15">
        <f>IF(OR($B662="",$D662="",$E662=""),"",ROUND(($E662-$D662)*24,2))</f>
        <v/>
      </c>
      <c r="G662" s="14" t="n"/>
      <c r="H662" s="15">
        <f>IF($G662="","",IFERROR(_xlfn.XLOOKUP($G662,nrCHname,nrCHnum),""))</f>
        <v/>
      </c>
      <c r="I662" s="14" t="n"/>
      <c r="J662" s="14" t="n"/>
      <c r="K662" s="15">
        <f>IF($B662="","",IFERROR(_xlfn.XLOOKUP($B662,nrCDdate,nrCDweek),""))</f>
        <v/>
      </c>
      <c r="L662" s="15">
        <f>IF($B662="","",IFERROR(_xlfn.XLOOKUP($B662,nrCDdate,nrCDnum),""))</f>
        <v/>
      </c>
      <c r="M662" s="14" t="n"/>
    </row>
    <row r="663">
      <c r="B663" s="16" t="n"/>
      <c r="C663" s="15">
        <f>IF($B663="","",TEXT($B663,"ddd"))</f>
        <v/>
      </c>
      <c r="D663" s="40" t="n"/>
      <c r="E663" s="40" t="n"/>
      <c r="F663" s="15">
        <f>IF(OR($B663="",$D663="",$E663=""),"",ROUND(($E663-$D663)*24,2))</f>
        <v/>
      </c>
      <c r="G663" s="14" t="n"/>
      <c r="H663" s="15">
        <f>IF($G663="","",IFERROR(_xlfn.XLOOKUP($G663,nrCHname,nrCHnum),""))</f>
        <v/>
      </c>
      <c r="I663" s="14" t="n"/>
      <c r="J663" s="14" t="n"/>
      <c r="K663" s="15">
        <f>IF($B663="","",IFERROR(_xlfn.XLOOKUP($B663,nrCDdate,nrCDweek),""))</f>
        <v/>
      </c>
      <c r="L663" s="15">
        <f>IF($B663="","",IFERROR(_xlfn.XLOOKUP($B663,nrCDdate,nrCDnum),""))</f>
        <v/>
      </c>
      <c r="M663" s="14" t="n"/>
    </row>
    <row r="664">
      <c r="B664" s="16" t="n"/>
      <c r="C664" s="15">
        <f>IF($B664="","",TEXT($B664,"ddd"))</f>
        <v/>
      </c>
      <c r="D664" s="40" t="n"/>
      <c r="E664" s="40" t="n"/>
      <c r="F664" s="15">
        <f>IF(OR($B664="",$D664="",$E664=""),"",ROUND(($E664-$D664)*24,2))</f>
        <v/>
      </c>
      <c r="G664" s="14" t="n"/>
      <c r="H664" s="15">
        <f>IF($G664="","",IFERROR(_xlfn.XLOOKUP($G664,nrCHname,nrCHnum),""))</f>
        <v/>
      </c>
      <c r="I664" s="14" t="n"/>
      <c r="J664" s="14" t="n"/>
      <c r="K664" s="15">
        <f>IF($B664="","",IFERROR(_xlfn.XLOOKUP($B664,nrCDdate,nrCDweek),""))</f>
        <v/>
      </c>
      <c r="L664" s="15">
        <f>IF($B664="","",IFERROR(_xlfn.XLOOKUP($B664,nrCDdate,nrCDnum),""))</f>
        <v/>
      </c>
      <c r="M664" s="14" t="n"/>
    </row>
    <row r="665">
      <c r="B665" s="16" t="n"/>
      <c r="C665" s="15">
        <f>IF($B665="","",TEXT($B665,"ddd"))</f>
        <v/>
      </c>
      <c r="D665" s="40" t="n"/>
      <c r="E665" s="40" t="n"/>
      <c r="F665" s="15">
        <f>IF(OR($B665="",$D665="",$E665=""),"",ROUND(($E665-$D665)*24,2))</f>
        <v/>
      </c>
      <c r="G665" s="14" t="n"/>
      <c r="H665" s="15">
        <f>IF($G665="","",IFERROR(_xlfn.XLOOKUP($G665,nrCHname,nrCHnum),""))</f>
        <v/>
      </c>
      <c r="I665" s="14" t="n"/>
      <c r="J665" s="14" t="n"/>
      <c r="K665" s="15">
        <f>IF($B665="","",IFERROR(_xlfn.XLOOKUP($B665,nrCDdate,nrCDweek),""))</f>
        <v/>
      </c>
      <c r="L665" s="15">
        <f>IF($B665="","",IFERROR(_xlfn.XLOOKUP($B665,nrCDdate,nrCDnum),""))</f>
        <v/>
      </c>
      <c r="M665" s="14" t="n"/>
    </row>
    <row r="666">
      <c r="B666" s="16" t="n"/>
      <c r="C666" s="15">
        <f>IF($B666="","",TEXT($B666,"ddd"))</f>
        <v/>
      </c>
      <c r="D666" s="40" t="n"/>
      <c r="E666" s="40" t="n"/>
      <c r="F666" s="15">
        <f>IF(OR($B666="",$D666="",$E666=""),"",ROUND(($E666-$D666)*24,2))</f>
        <v/>
      </c>
      <c r="G666" s="14" t="n"/>
      <c r="H666" s="15">
        <f>IF($G666="","",IFERROR(_xlfn.XLOOKUP($G666,nrCHname,nrCHnum),""))</f>
        <v/>
      </c>
      <c r="I666" s="14" t="n"/>
      <c r="J666" s="14" t="n"/>
      <c r="K666" s="15">
        <f>IF($B666="","",IFERROR(_xlfn.XLOOKUP($B666,nrCDdate,nrCDweek),""))</f>
        <v/>
      </c>
      <c r="L666" s="15">
        <f>IF($B666="","",IFERROR(_xlfn.XLOOKUP($B666,nrCDdate,nrCDnum),""))</f>
        <v/>
      </c>
      <c r="M666" s="14" t="n"/>
    </row>
    <row r="667">
      <c r="B667" s="16" t="n"/>
      <c r="C667" s="15">
        <f>IF($B667="","",TEXT($B667,"ddd"))</f>
        <v/>
      </c>
      <c r="D667" s="40" t="n"/>
      <c r="E667" s="40" t="n"/>
      <c r="F667" s="15">
        <f>IF(OR($B667="",$D667="",$E667=""),"",ROUND(($E667-$D667)*24,2))</f>
        <v/>
      </c>
      <c r="G667" s="14" t="n"/>
      <c r="H667" s="15">
        <f>IF($G667="","",IFERROR(_xlfn.XLOOKUP($G667,nrCHname,nrCHnum),""))</f>
        <v/>
      </c>
      <c r="I667" s="14" t="n"/>
      <c r="J667" s="14" t="n"/>
      <c r="K667" s="15">
        <f>IF($B667="","",IFERROR(_xlfn.XLOOKUP($B667,nrCDdate,nrCDweek),""))</f>
        <v/>
      </c>
      <c r="L667" s="15">
        <f>IF($B667="","",IFERROR(_xlfn.XLOOKUP($B667,nrCDdate,nrCDnum),""))</f>
        <v/>
      </c>
      <c r="M667" s="14" t="n"/>
    </row>
    <row r="668">
      <c r="B668" s="16" t="n"/>
      <c r="C668" s="15">
        <f>IF($B668="","",TEXT($B668,"ddd"))</f>
        <v/>
      </c>
      <c r="D668" s="40" t="n"/>
      <c r="E668" s="40" t="n"/>
      <c r="F668" s="15">
        <f>IF(OR($B668="",$D668="",$E668=""),"",ROUND(($E668-$D668)*24,2))</f>
        <v/>
      </c>
      <c r="G668" s="14" t="n"/>
      <c r="H668" s="15">
        <f>IF($G668="","",IFERROR(_xlfn.XLOOKUP($G668,nrCHname,nrCHnum),""))</f>
        <v/>
      </c>
      <c r="I668" s="14" t="n"/>
      <c r="J668" s="14" t="n"/>
      <c r="K668" s="15">
        <f>IF($B668="","",IFERROR(_xlfn.XLOOKUP($B668,nrCDdate,nrCDweek),""))</f>
        <v/>
      </c>
      <c r="L668" s="15">
        <f>IF($B668="","",IFERROR(_xlfn.XLOOKUP($B668,nrCDdate,nrCDnum),""))</f>
        <v/>
      </c>
      <c r="M668" s="14" t="n"/>
    </row>
    <row r="669">
      <c r="B669" s="16" t="n"/>
      <c r="C669" s="15">
        <f>IF($B669="","",TEXT($B669,"ddd"))</f>
        <v/>
      </c>
      <c r="D669" s="40" t="n"/>
      <c r="E669" s="40" t="n"/>
      <c r="F669" s="15">
        <f>IF(OR($B669="",$D669="",$E669=""),"",ROUND(($E669-$D669)*24,2))</f>
        <v/>
      </c>
      <c r="G669" s="14" t="n"/>
      <c r="H669" s="15">
        <f>IF($G669="","",IFERROR(_xlfn.XLOOKUP($G669,nrCHname,nrCHnum),""))</f>
        <v/>
      </c>
      <c r="I669" s="14" t="n"/>
      <c r="J669" s="14" t="n"/>
      <c r="K669" s="15">
        <f>IF($B669="","",IFERROR(_xlfn.XLOOKUP($B669,nrCDdate,nrCDweek),""))</f>
        <v/>
      </c>
      <c r="L669" s="15">
        <f>IF($B669="","",IFERROR(_xlfn.XLOOKUP($B669,nrCDdate,nrCDnum),""))</f>
        <v/>
      </c>
      <c r="M669" s="14" t="n"/>
    </row>
    <row r="670">
      <c r="B670" s="16" t="n"/>
      <c r="C670" s="15">
        <f>IF($B670="","",TEXT($B670,"ddd"))</f>
        <v/>
      </c>
      <c r="D670" s="40" t="n"/>
      <c r="E670" s="40" t="n"/>
      <c r="F670" s="15">
        <f>IF(OR($B670="",$D670="",$E670=""),"",ROUND(($E670-$D670)*24,2))</f>
        <v/>
      </c>
      <c r="G670" s="14" t="n"/>
      <c r="H670" s="15">
        <f>IF($G670="","",IFERROR(_xlfn.XLOOKUP($G670,nrCHname,nrCHnum),""))</f>
        <v/>
      </c>
      <c r="I670" s="14" t="n"/>
      <c r="J670" s="14" t="n"/>
      <c r="K670" s="15">
        <f>IF($B670="","",IFERROR(_xlfn.XLOOKUP($B670,nrCDdate,nrCDweek),""))</f>
        <v/>
      </c>
      <c r="L670" s="15">
        <f>IF($B670="","",IFERROR(_xlfn.XLOOKUP($B670,nrCDdate,nrCDnum),""))</f>
        <v/>
      </c>
      <c r="M670" s="14" t="n"/>
    </row>
    <row r="671">
      <c r="B671" s="16" t="n"/>
      <c r="C671" s="15">
        <f>IF($B671="","",TEXT($B671,"ddd"))</f>
        <v/>
      </c>
      <c r="D671" s="40" t="n"/>
      <c r="E671" s="40" t="n"/>
      <c r="F671" s="15">
        <f>IF(OR($B671="",$D671="",$E671=""),"",ROUND(($E671-$D671)*24,2))</f>
        <v/>
      </c>
      <c r="G671" s="14" t="n"/>
      <c r="H671" s="15">
        <f>IF($G671="","",IFERROR(_xlfn.XLOOKUP($G671,nrCHname,nrCHnum),""))</f>
        <v/>
      </c>
      <c r="I671" s="14" t="n"/>
      <c r="J671" s="14" t="n"/>
      <c r="K671" s="15">
        <f>IF($B671="","",IFERROR(_xlfn.XLOOKUP($B671,nrCDdate,nrCDweek),""))</f>
        <v/>
      </c>
      <c r="L671" s="15">
        <f>IF($B671="","",IFERROR(_xlfn.XLOOKUP($B671,nrCDdate,nrCDnum),""))</f>
        <v/>
      </c>
      <c r="M671" s="14" t="n"/>
    </row>
    <row r="672">
      <c r="B672" s="16" t="n"/>
      <c r="C672" s="15">
        <f>IF($B672="","",TEXT($B672,"ddd"))</f>
        <v/>
      </c>
      <c r="D672" s="40" t="n"/>
      <c r="E672" s="40" t="n"/>
      <c r="F672" s="15">
        <f>IF(OR($B672="",$D672="",$E672=""),"",ROUND(($E672-$D672)*24,2))</f>
        <v/>
      </c>
      <c r="G672" s="14" t="n"/>
      <c r="H672" s="15">
        <f>IF($G672="","",IFERROR(_xlfn.XLOOKUP($G672,nrCHname,nrCHnum),""))</f>
        <v/>
      </c>
      <c r="I672" s="14" t="n"/>
      <c r="J672" s="14" t="n"/>
      <c r="K672" s="15">
        <f>IF($B672="","",IFERROR(_xlfn.XLOOKUP($B672,nrCDdate,nrCDweek),""))</f>
        <v/>
      </c>
      <c r="L672" s="15">
        <f>IF($B672="","",IFERROR(_xlfn.XLOOKUP($B672,nrCDdate,nrCDnum),""))</f>
        <v/>
      </c>
      <c r="M672" s="14" t="n"/>
    </row>
    <row r="673">
      <c r="B673" s="16" t="n"/>
      <c r="C673" s="15">
        <f>IF($B673="","",TEXT($B673,"ddd"))</f>
        <v/>
      </c>
      <c r="D673" s="40" t="n"/>
      <c r="E673" s="40" t="n"/>
      <c r="F673" s="15">
        <f>IF(OR($B673="",$D673="",$E673=""),"",ROUND(($E673-$D673)*24,2))</f>
        <v/>
      </c>
      <c r="G673" s="14" t="n"/>
      <c r="H673" s="15">
        <f>IF($G673="","",IFERROR(_xlfn.XLOOKUP($G673,nrCHname,nrCHnum),""))</f>
        <v/>
      </c>
      <c r="I673" s="14" t="n"/>
      <c r="J673" s="14" t="n"/>
      <c r="K673" s="15">
        <f>IF($B673="","",IFERROR(_xlfn.XLOOKUP($B673,nrCDdate,nrCDweek),""))</f>
        <v/>
      </c>
      <c r="L673" s="15">
        <f>IF($B673="","",IFERROR(_xlfn.XLOOKUP($B673,nrCDdate,nrCDnum),""))</f>
        <v/>
      </c>
      <c r="M673" s="14" t="n"/>
    </row>
    <row r="674">
      <c r="B674" s="16" t="n"/>
      <c r="C674" s="15">
        <f>IF($B674="","",TEXT($B674,"ddd"))</f>
        <v/>
      </c>
      <c r="D674" s="40" t="n"/>
      <c r="E674" s="40" t="n"/>
      <c r="F674" s="15">
        <f>IF(OR($B674="",$D674="",$E674=""),"",ROUND(($E674-$D674)*24,2))</f>
        <v/>
      </c>
      <c r="G674" s="14" t="n"/>
      <c r="H674" s="15">
        <f>IF($G674="","",IFERROR(_xlfn.XLOOKUP($G674,nrCHname,nrCHnum),""))</f>
        <v/>
      </c>
      <c r="I674" s="14" t="n"/>
      <c r="J674" s="14" t="n"/>
      <c r="K674" s="15">
        <f>IF($B674="","",IFERROR(_xlfn.XLOOKUP($B674,nrCDdate,nrCDweek),""))</f>
        <v/>
      </c>
      <c r="L674" s="15">
        <f>IF($B674="","",IFERROR(_xlfn.XLOOKUP($B674,nrCDdate,nrCDnum),""))</f>
        <v/>
      </c>
      <c r="M674" s="14" t="n"/>
    </row>
    <row r="675">
      <c r="B675" s="16" t="n"/>
      <c r="C675" s="15">
        <f>IF($B675="","",TEXT($B675,"ddd"))</f>
        <v/>
      </c>
      <c r="D675" s="40" t="n"/>
      <c r="E675" s="40" t="n"/>
      <c r="F675" s="15">
        <f>IF(OR($B675="",$D675="",$E675=""),"",ROUND(($E675-$D675)*24,2))</f>
        <v/>
      </c>
      <c r="G675" s="14" t="n"/>
      <c r="H675" s="15">
        <f>IF($G675="","",IFERROR(_xlfn.XLOOKUP($G675,nrCHname,nrCHnum),""))</f>
        <v/>
      </c>
      <c r="I675" s="14" t="n"/>
      <c r="J675" s="14" t="n"/>
      <c r="K675" s="15">
        <f>IF($B675="","",IFERROR(_xlfn.XLOOKUP($B675,nrCDdate,nrCDweek),""))</f>
        <v/>
      </c>
      <c r="L675" s="15">
        <f>IF($B675="","",IFERROR(_xlfn.XLOOKUP($B675,nrCDdate,nrCDnum),""))</f>
        <v/>
      </c>
      <c r="M675" s="14" t="n"/>
    </row>
    <row r="676">
      <c r="B676" s="16" t="n"/>
      <c r="C676" s="15">
        <f>IF($B676="","",TEXT($B676,"ddd"))</f>
        <v/>
      </c>
      <c r="D676" s="40" t="n"/>
      <c r="E676" s="40" t="n"/>
      <c r="F676" s="15">
        <f>IF(OR($B676="",$D676="",$E676=""),"",ROUND(($E676-$D676)*24,2))</f>
        <v/>
      </c>
      <c r="G676" s="14" t="n"/>
      <c r="H676" s="15">
        <f>IF($G676="","",IFERROR(_xlfn.XLOOKUP($G676,nrCHname,nrCHnum),""))</f>
        <v/>
      </c>
      <c r="I676" s="14" t="n"/>
      <c r="J676" s="14" t="n"/>
      <c r="K676" s="15">
        <f>IF($B676="","",IFERROR(_xlfn.XLOOKUP($B676,nrCDdate,nrCDweek),""))</f>
        <v/>
      </c>
      <c r="L676" s="15">
        <f>IF($B676="","",IFERROR(_xlfn.XLOOKUP($B676,nrCDdate,nrCDnum),""))</f>
        <v/>
      </c>
      <c r="M676" s="14" t="n"/>
    </row>
    <row r="677">
      <c r="B677" s="16" t="n"/>
      <c r="C677" s="15">
        <f>IF($B677="","",TEXT($B677,"ddd"))</f>
        <v/>
      </c>
      <c r="D677" s="40" t="n"/>
      <c r="E677" s="40" t="n"/>
      <c r="F677" s="15">
        <f>IF(OR($B677="",$D677="",$E677=""),"",ROUND(($E677-$D677)*24,2))</f>
        <v/>
      </c>
      <c r="G677" s="14" t="n"/>
      <c r="H677" s="15">
        <f>IF($G677="","",IFERROR(_xlfn.XLOOKUP($G677,nrCHname,nrCHnum),""))</f>
        <v/>
      </c>
      <c r="I677" s="14" t="n"/>
      <c r="J677" s="14" t="n"/>
      <c r="K677" s="15">
        <f>IF($B677="","",IFERROR(_xlfn.XLOOKUP($B677,nrCDdate,nrCDweek),""))</f>
        <v/>
      </c>
      <c r="L677" s="15">
        <f>IF($B677="","",IFERROR(_xlfn.XLOOKUP($B677,nrCDdate,nrCDnum),""))</f>
        <v/>
      </c>
      <c r="M677" s="14" t="n"/>
    </row>
    <row r="678">
      <c r="B678" s="16" t="n"/>
      <c r="C678" s="15">
        <f>IF($B678="","",TEXT($B678,"ddd"))</f>
        <v/>
      </c>
      <c r="D678" s="40" t="n"/>
      <c r="E678" s="40" t="n"/>
      <c r="F678" s="15">
        <f>IF(OR($B678="",$D678="",$E678=""),"",ROUND(($E678-$D678)*24,2))</f>
        <v/>
      </c>
      <c r="G678" s="14" t="n"/>
      <c r="H678" s="15">
        <f>IF($G678="","",IFERROR(_xlfn.XLOOKUP($G678,nrCHname,nrCHnum),""))</f>
        <v/>
      </c>
      <c r="I678" s="14" t="n"/>
      <c r="J678" s="14" t="n"/>
      <c r="K678" s="15">
        <f>IF($B678="","",IFERROR(_xlfn.XLOOKUP($B678,nrCDdate,nrCDweek),""))</f>
        <v/>
      </c>
      <c r="L678" s="15">
        <f>IF($B678="","",IFERROR(_xlfn.XLOOKUP($B678,nrCDdate,nrCDnum),""))</f>
        <v/>
      </c>
      <c r="M678" s="14" t="n"/>
    </row>
    <row r="679">
      <c r="B679" s="16" t="n"/>
      <c r="C679" s="15">
        <f>IF($B679="","",TEXT($B679,"ddd"))</f>
        <v/>
      </c>
      <c r="D679" s="40" t="n"/>
      <c r="E679" s="40" t="n"/>
      <c r="F679" s="15">
        <f>IF(OR($B679="",$D679="",$E679=""),"",ROUND(($E679-$D679)*24,2))</f>
        <v/>
      </c>
      <c r="G679" s="14" t="n"/>
      <c r="H679" s="15">
        <f>IF($G679="","",IFERROR(_xlfn.XLOOKUP($G679,nrCHname,nrCHnum),""))</f>
        <v/>
      </c>
      <c r="I679" s="14" t="n"/>
      <c r="J679" s="14" t="n"/>
      <c r="K679" s="15">
        <f>IF($B679="","",IFERROR(_xlfn.XLOOKUP($B679,nrCDdate,nrCDweek),""))</f>
        <v/>
      </c>
      <c r="L679" s="15">
        <f>IF($B679="","",IFERROR(_xlfn.XLOOKUP($B679,nrCDdate,nrCDnum),""))</f>
        <v/>
      </c>
      <c r="M679" s="14" t="n"/>
    </row>
    <row r="680">
      <c r="B680" s="16" t="n"/>
      <c r="C680" s="15">
        <f>IF($B680="","",TEXT($B680,"ddd"))</f>
        <v/>
      </c>
      <c r="D680" s="40" t="n"/>
      <c r="E680" s="40" t="n"/>
      <c r="F680" s="15">
        <f>IF(OR($B680="",$D680="",$E680=""),"",ROUND(($E680-$D680)*24,2))</f>
        <v/>
      </c>
      <c r="G680" s="14" t="n"/>
      <c r="H680" s="15">
        <f>IF($G680="","",IFERROR(_xlfn.XLOOKUP($G680,nrCHname,nrCHnum),""))</f>
        <v/>
      </c>
      <c r="I680" s="14" t="n"/>
      <c r="J680" s="14" t="n"/>
      <c r="K680" s="15">
        <f>IF($B680="","",IFERROR(_xlfn.XLOOKUP($B680,nrCDdate,nrCDweek),""))</f>
        <v/>
      </c>
      <c r="L680" s="15">
        <f>IF($B680="","",IFERROR(_xlfn.XLOOKUP($B680,nrCDdate,nrCDnum),""))</f>
        <v/>
      </c>
      <c r="M680" s="14" t="n"/>
    </row>
    <row r="681">
      <c r="B681" s="16" t="n"/>
      <c r="C681" s="15">
        <f>IF($B681="","",TEXT($B681,"ddd"))</f>
        <v/>
      </c>
      <c r="D681" s="40" t="n"/>
      <c r="E681" s="40" t="n"/>
      <c r="F681" s="15">
        <f>IF(OR($B681="",$D681="",$E681=""),"",ROUND(($E681-$D681)*24,2))</f>
        <v/>
      </c>
      <c r="G681" s="14" t="n"/>
      <c r="H681" s="15">
        <f>IF($G681="","",IFERROR(_xlfn.XLOOKUP($G681,nrCHname,nrCHnum),""))</f>
        <v/>
      </c>
      <c r="I681" s="14" t="n"/>
      <c r="J681" s="14" t="n"/>
      <c r="K681" s="15">
        <f>IF($B681="","",IFERROR(_xlfn.XLOOKUP($B681,nrCDdate,nrCDweek),""))</f>
        <v/>
      </c>
      <c r="L681" s="15">
        <f>IF($B681="","",IFERROR(_xlfn.XLOOKUP($B681,nrCDdate,nrCDnum),""))</f>
        <v/>
      </c>
      <c r="M681" s="14" t="n"/>
    </row>
    <row r="682">
      <c r="B682" s="16" t="n"/>
      <c r="C682" s="15">
        <f>IF($B682="","",TEXT($B682,"ddd"))</f>
        <v/>
      </c>
      <c r="D682" s="40" t="n"/>
      <c r="E682" s="40" t="n"/>
      <c r="F682" s="15">
        <f>IF(OR($B682="",$D682="",$E682=""),"",ROUND(($E682-$D682)*24,2))</f>
        <v/>
      </c>
      <c r="G682" s="14" t="n"/>
      <c r="H682" s="15">
        <f>IF($G682="","",IFERROR(_xlfn.XLOOKUP($G682,nrCHname,nrCHnum),""))</f>
        <v/>
      </c>
      <c r="I682" s="14" t="n"/>
      <c r="J682" s="14" t="n"/>
      <c r="K682" s="15">
        <f>IF($B682="","",IFERROR(_xlfn.XLOOKUP($B682,nrCDdate,nrCDweek),""))</f>
        <v/>
      </c>
      <c r="L682" s="15">
        <f>IF($B682="","",IFERROR(_xlfn.XLOOKUP($B682,nrCDdate,nrCDnum),""))</f>
        <v/>
      </c>
      <c r="M682" s="14" t="n"/>
    </row>
    <row r="683">
      <c r="B683" s="16" t="n"/>
      <c r="C683" s="15">
        <f>IF($B683="","",TEXT($B683,"ddd"))</f>
        <v/>
      </c>
      <c r="D683" s="40" t="n"/>
      <c r="E683" s="40" t="n"/>
      <c r="F683" s="15">
        <f>IF(OR($B683="",$D683="",$E683=""),"",ROUND(($E683-$D683)*24,2))</f>
        <v/>
      </c>
      <c r="G683" s="14" t="n"/>
      <c r="H683" s="15">
        <f>IF($G683="","",IFERROR(_xlfn.XLOOKUP($G683,nrCHname,nrCHnum),""))</f>
        <v/>
      </c>
      <c r="I683" s="14" t="n"/>
      <c r="J683" s="14" t="n"/>
      <c r="K683" s="15">
        <f>IF($B683="","",IFERROR(_xlfn.XLOOKUP($B683,nrCDdate,nrCDweek),""))</f>
        <v/>
      </c>
      <c r="L683" s="15">
        <f>IF($B683="","",IFERROR(_xlfn.XLOOKUP($B683,nrCDdate,nrCDnum),""))</f>
        <v/>
      </c>
      <c r="M683" s="14" t="n"/>
    </row>
    <row r="684">
      <c r="B684" s="16" t="n"/>
      <c r="C684" s="15">
        <f>IF($B684="","",TEXT($B684,"ddd"))</f>
        <v/>
      </c>
      <c r="D684" s="40" t="n"/>
      <c r="E684" s="40" t="n"/>
      <c r="F684" s="15">
        <f>IF(OR($B684="",$D684="",$E684=""),"",ROUND(($E684-$D684)*24,2))</f>
        <v/>
      </c>
      <c r="G684" s="14" t="n"/>
      <c r="H684" s="15">
        <f>IF($G684="","",IFERROR(_xlfn.XLOOKUP($G684,nrCHname,nrCHnum),""))</f>
        <v/>
      </c>
      <c r="I684" s="14" t="n"/>
      <c r="J684" s="14" t="n"/>
      <c r="K684" s="15">
        <f>IF($B684="","",IFERROR(_xlfn.XLOOKUP($B684,nrCDdate,nrCDweek),""))</f>
        <v/>
      </c>
      <c r="L684" s="15">
        <f>IF($B684="","",IFERROR(_xlfn.XLOOKUP($B684,nrCDdate,nrCDnum),""))</f>
        <v/>
      </c>
      <c r="M684" s="14" t="n"/>
    </row>
    <row r="685">
      <c r="B685" s="16" t="n"/>
      <c r="C685" s="15">
        <f>IF($B685="","",TEXT($B685,"ddd"))</f>
        <v/>
      </c>
      <c r="D685" s="40" t="n"/>
      <c r="E685" s="40" t="n"/>
      <c r="F685" s="15">
        <f>IF(OR($B685="",$D685="",$E685=""),"",ROUND(($E685-$D685)*24,2))</f>
        <v/>
      </c>
      <c r="G685" s="14" t="n"/>
      <c r="H685" s="15">
        <f>IF($G685="","",IFERROR(_xlfn.XLOOKUP($G685,nrCHname,nrCHnum),""))</f>
        <v/>
      </c>
      <c r="I685" s="14" t="n"/>
      <c r="J685" s="14" t="n"/>
      <c r="K685" s="15">
        <f>IF($B685="","",IFERROR(_xlfn.XLOOKUP($B685,nrCDdate,nrCDweek),""))</f>
        <v/>
      </c>
      <c r="L685" s="15">
        <f>IF($B685="","",IFERROR(_xlfn.XLOOKUP($B685,nrCDdate,nrCDnum),""))</f>
        <v/>
      </c>
      <c r="M685" s="14" t="n"/>
    </row>
    <row r="686">
      <c r="B686" s="16" t="n"/>
      <c r="C686" s="15">
        <f>IF($B686="","",TEXT($B686,"ddd"))</f>
        <v/>
      </c>
      <c r="D686" s="40" t="n"/>
      <c r="E686" s="40" t="n"/>
      <c r="F686" s="15">
        <f>IF(OR($B686="",$D686="",$E686=""),"",ROUND(($E686-$D686)*24,2))</f>
        <v/>
      </c>
      <c r="G686" s="14" t="n"/>
      <c r="H686" s="15">
        <f>IF($G686="","",IFERROR(_xlfn.XLOOKUP($G686,nrCHname,nrCHnum),""))</f>
        <v/>
      </c>
      <c r="I686" s="14" t="n"/>
      <c r="J686" s="14" t="n"/>
      <c r="K686" s="15">
        <f>IF($B686="","",IFERROR(_xlfn.XLOOKUP($B686,nrCDdate,nrCDweek),""))</f>
        <v/>
      </c>
      <c r="L686" s="15">
        <f>IF($B686="","",IFERROR(_xlfn.XLOOKUP($B686,nrCDdate,nrCDnum),""))</f>
        <v/>
      </c>
      <c r="M686" s="14" t="n"/>
    </row>
    <row r="687">
      <c r="B687" s="16" t="n"/>
      <c r="C687" s="15">
        <f>IF($B687="","",TEXT($B687,"ddd"))</f>
        <v/>
      </c>
      <c r="D687" s="40" t="n"/>
      <c r="E687" s="40" t="n"/>
      <c r="F687" s="15">
        <f>IF(OR($B687="",$D687="",$E687=""),"",ROUND(($E687-$D687)*24,2))</f>
        <v/>
      </c>
      <c r="G687" s="14" t="n"/>
      <c r="H687" s="15">
        <f>IF($G687="","",IFERROR(_xlfn.XLOOKUP($G687,nrCHname,nrCHnum),""))</f>
        <v/>
      </c>
      <c r="I687" s="14" t="n"/>
      <c r="J687" s="14" t="n"/>
      <c r="K687" s="15">
        <f>IF($B687="","",IFERROR(_xlfn.XLOOKUP($B687,nrCDdate,nrCDweek),""))</f>
        <v/>
      </c>
      <c r="L687" s="15">
        <f>IF($B687="","",IFERROR(_xlfn.XLOOKUP($B687,nrCDdate,nrCDnum),""))</f>
        <v/>
      </c>
      <c r="M687" s="14" t="n"/>
    </row>
    <row r="688">
      <c r="B688" s="16" t="n"/>
      <c r="C688" s="15">
        <f>IF($B688="","",TEXT($B688,"ddd"))</f>
        <v/>
      </c>
      <c r="D688" s="40" t="n"/>
      <c r="E688" s="40" t="n"/>
      <c r="F688" s="15">
        <f>IF(OR($B688="",$D688="",$E688=""),"",ROUND(($E688-$D688)*24,2))</f>
        <v/>
      </c>
      <c r="G688" s="14" t="n"/>
      <c r="H688" s="15">
        <f>IF($G688="","",IFERROR(_xlfn.XLOOKUP($G688,nrCHname,nrCHnum),""))</f>
        <v/>
      </c>
      <c r="I688" s="14" t="n"/>
      <c r="J688" s="14" t="n"/>
      <c r="K688" s="15">
        <f>IF($B688="","",IFERROR(_xlfn.XLOOKUP($B688,nrCDdate,nrCDweek),""))</f>
        <v/>
      </c>
      <c r="L688" s="15">
        <f>IF($B688="","",IFERROR(_xlfn.XLOOKUP($B688,nrCDdate,nrCDnum),""))</f>
        <v/>
      </c>
      <c r="M688" s="14" t="n"/>
    </row>
    <row r="689">
      <c r="B689" s="16" t="n"/>
      <c r="C689" s="15">
        <f>IF($B689="","",TEXT($B689,"ddd"))</f>
        <v/>
      </c>
      <c r="D689" s="40" t="n"/>
      <c r="E689" s="40" t="n"/>
      <c r="F689" s="15">
        <f>IF(OR($B689="",$D689="",$E689=""),"",ROUND(($E689-$D689)*24,2))</f>
        <v/>
      </c>
      <c r="G689" s="14" t="n"/>
      <c r="H689" s="15">
        <f>IF($G689="","",IFERROR(_xlfn.XLOOKUP($G689,nrCHname,nrCHnum),""))</f>
        <v/>
      </c>
      <c r="I689" s="14" t="n"/>
      <c r="J689" s="14" t="n"/>
      <c r="K689" s="15">
        <f>IF($B689="","",IFERROR(_xlfn.XLOOKUP($B689,nrCDdate,nrCDweek),""))</f>
        <v/>
      </c>
      <c r="L689" s="15">
        <f>IF($B689="","",IFERROR(_xlfn.XLOOKUP($B689,nrCDdate,nrCDnum),""))</f>
        <v/>
      </c>
      <c r="M689" s="14" t="n"/>
    </row>
    <row r="690">
      <c r="B690" s="16" t="n"/>
      <c r="C690" s="15">
        <f>IF($B690="","",TEXT($B690,"ddd"))</f>
        <v/>
      </c>
      <c r="D690" s="40" t="n"/>
      <c r="E690" s="40" t="n"/>
      <c r="F690" s="15">
        <f>IF(OR($B690="",$D690="",$E690=""),"",ROUND(($E690-$D690)*24,2))</f>
        <v/>
      </c>
      <c r="G690" s="14" t="n"/>
      <c r="H690" s="15">
        <f>IF($G690="","",IFERROR(_xlfn.XLOOKUP($G690,nrCHname,nrCHnum),""))</f>
        <v/>
      </c>
      <c r="I690" s="14" t="n"/>
      <c r="J690" s="14" t="n"/>
      <c r="K690" s="15">
        <f>IF($B690="","",IFERROR(_xlfn.XLOOKUP($B690,nrCDdate,nrCDweek),""))</f>
        <v/>
      </c>
      <c r="L690" s="15">
        <f>IF($B690="","",IFERROR(_xlfn.XLOOKUP($B690,nrCDdate,nrCDnum),""))</f>
        <v/>
      </c>
      <c r="M690" s="14" t="n"/>
    </row>
    <row r="691">
      <c r="B691" s="16" t="n"/>
      <c r="C691" s="15">
        <f>IF($B691="","",TEXT($B691,"ddd"))</f>
        <v/>
      </c>
      <c r="D691" s="40" t="n"/>
      <c r="E691" s="40" t="n"/>
      <c r="F691" s="15">
        <f>IF(OR($B691="",$D691="",$E691=""),"",ROUND(($E691-$D691)*24,2))</f>
        <v/>
      </c>
      <c r="G691" s="14" t="n"/>
      <c r="H691" s="15">
        <f>IF($G691="","",IFERROR(_xlfn.XLOOKUP($G691,nrCHname,nrCHnum),""))</f>
        <v/>
      </c>
      <c r="I691" s="14" t="n"/>
      <c r="J691" s="14" t="n"/>
      <c r="K691" s="15">
        <f>IF($B691="","",IFERROR(_xlfn.XLOOKUP($B691,nrCDdate,nrCDweek),""))</f>
        <v/>
      </c>
      <c r="L691" s="15">
        <f>IF($B691="","",IFERROR(_xlfn.XLOOKUP($B691,nrCDdate,nrCDnum),""))</f>
        <v/>
      </c>
      <c r="M691" s="14" t="n"/>
    </row>
    <row r="692">
      <c r="B692" s="16" t="n"/>
      <c r="C692" s="15">
        <f>IF($B692="","",TEXT($B692,"ddd"))</f>
        <v/>
      </c>
      <c r="D692" s="40" t="n"/>
      <c r="E692" s="40" t="n"/>
      <c r="F692" s="15">
        <f>IF(OR($B692="",$D692="",$E692=""),"",ROUND(($E692-$D692)*24,2))</f>
        <v/>
      </c>
      <c r="G692" s="14" t="n"/>
      <c r="H692" s="15">
        <f>IF($G692="","",IFERROR(_xlfn.XLOOKUP($G692,nrCHname,nrCHnum),""))</f>
        <v/>
      </c>
      <c r="I692" s="14" t="n"/>
      <c r="J692" s="14" t="n"/>
      <c r="K692" s="15">
        <f>IF($B692="","",IFERROR(_xlfn.XLOOKUP($B692,nrCDdate,nrCDweek),""))</f>
        <v/>
      </c>
      <c r="L692" s="15">
        <f>IF($B692="","",IFERROR(_xlfn.XLOOKUP($B692,nrCDdate,nrCDnum),""))</f>
        <v/>
      </c>
      <c r="M692" s="14" t="n"/>
    </row>
    <row r="693">
      <c r="B693" s="16" t="n"/>
      <c r="C693" s="15">
        <f>IF($B693="","",TEXT($B693,"ddd"))</f>
        <v/>
      </c>
      <c r="D693" s="40" t="n"/>
      <c r="E693" s="40" t="n"/>
      <c r="F693" s="15">
        <f>IF(OR($B693="",$D693="",$E693=""),"",ROUND(($E693-$D693)*24,2))</f>
        <v/>
      </c>
      <c r="G693" s="14" t="n"/>
      <c r="H693" s="15">
        <f>IF($G693="","",IFERROR(_xlfn.XLOOKUP($G693,nrCHname,nrCHnum),""))</f>
        <v/>
      </c>
      <c r="I693" s="14" t="n"/>
      <c r="J693" s="14" t="n"/>
      <c r="K693" s="15">
        <f>IF($B693="","",IFERROR(_xlfn.XLOOKUP($B693,nrCDdate,nrCDweek),""))</f>
        <v/>
      </c>
      <c r="L693" s="15">
        <f>IF($B693="","",IFERROR(_xlfn.XLOOKUP($B693,nrCDdate,nrCDnum),""))</f>
        <v/>
      </c>
      <c r="M693" s="14" t="n"/>
    </row>
    <row r="694">
      <c r="B694" s="16" t="n"/>
      <c r="C694" s="15">
        <f>IF($B694="","",TEXT($B694,"ddd"))</f>
        <v/>
      </c>
      <c r="D694" s="40" t="n"/>
      <c r="E694" s="40" t="n"/>
      <c r="F694" s="15">
        <f>IF(OR($B694="",$D694="",$E694=""),"",ROUND(($E694-$D694)*24,2))</f>
        <v/>
      </c>
      <c r="G694" s="14" t="n"/>
      <c r="H694" s="15">
        <f>IF($G694="","",IFERROR(_xlfn.XLOOKUP($G694,nrCHname,nrCHnum),""))</f>
        <v/>
      </c>
      <c r="I694" s="14" t="n"/>
      <c r="J694" s="14" t="n"/>
      <c r="K694" s="15">
        <f>IF($B694="","",IFERROR(_xlfn.XLOOKUP($B694,nrCDdate,nrCDweek),""))</f>
        <v/>
      </c>
      <c r="L694" s="15">
        <f>IF($B694="","",IFERROR(_xlfn.XLOOKUP($B694,nrCDdate,nrCDnum),""))</f>
        <v/>
      </c>
      <c r="M694" s="14" t="n"/>
    </row>
    <row r="695">
      <c r="B695" s="16" t="n"/>
      <c r="C695" s="15">
        <f>IF($B695="","",TEXT($B695,"ddd"))</f>
        <v/>
      </c>
      <c r="D695" s="40" t="n"/>
      <c r="E695" s="40" t="n"/>
      <c r="F695" s="15">
        <f>IF(OR($B695="",$D695="",$E695=""),"",ROUND(($E695-$D695)*24,2))</f>
        <v/>
      </c>
      <c r="G695" s="14" t="n"/>
      <c r="H695" s="15">
        <f>IF($G695="","",IFERROR(_xlfn.XLOOKUP($G695,nrCHname,nrCHnum),""))</f>
        <v/>
      </c>
      <c r="I695" s="14" t="n"/>
      <c r="J695" s="14" t="n"/>
      <c r="K695" s="15">
        <f>IF($B695="","",IFERROR(_xlfn.XLOOKUP($B695,nrCDdate,nrCDweek),""))</f>
        <v/>
      </c>
      <c r="L695" s="15">
        <f>IF($B695="","",IFERROR(_xlfn.XLOOKUP($B695,nrCDdate,nrCDnum),""))</f>
        <v/>
      </c>
      <c r="M695" s="14" t="n"/>
    </row>
    <row r="696">
      <c r="B696" s="16" t="n"/>
      <c r="C696" s="15">
        <f>IF($B696="","",TEXT($B696,"ddd"))</f>
        <v/>
      </c>
      <c r="D696" s="40" t="n"/>
      <c r="E696" s="40" t="n"/>
      <c r="F696" s="15">
        <f>IF(OR($B696="",$D696="",$E696=""),"",ROUND(($E696-$D696)*24,2))</f>
        <v/>
      </c>
      <c r="G696" s="14" t="n"/>
      <c r="H696" s="15">
        <f>IF($G696="","",IFERROR(_xlfn.XLOOKUP($G696,nrCHname,nrCHnum),""))</f>
        <v/>
      </c>
      <c r="I696" s="14" t="n"/>
      <c r="J696" s="14" t="n"/>
      <c r="K696" s="15">
        <f>IF($B696="","",IFERROR(_xlfn.XLOOKUP($B696,nrCDdate,nrCDweek),""))</f>
        <v/>
      </c>
      <c r="L696" s="15">
        <f>IF($B696="","",IFERROR(_xlfn.XLOOKUP($B696,nrCDdate,nrCDnum),""))</f>
        <v/>
      </c>
      <c r="M696" s="14" t="n"/>
    </row>
    <row r="697">
      <c r="B697" s="16" t="n"/>
      <c r="C697" s="15">
        <f>IF($B697="","",TEXT($B697,"ddd"))</f>
        <v/>
      </c>
      <c r="D697" s="40" t="n"/>
      <c r="E697" s="40" t="n"/>
      <c r="F697" s="15">
        <f>IF(OR($B697="",$D697="",$E697=""),"",ROUND(($E697-$D697)*24,2))</f>
        <v/>
      </c>
      <c r="G697" s="14" t="n"/>
      <c r="H697" s="15">
        <f>IF($G697="","",IFERROR(_xlfn.XLOOKUP($G697,nrCHname,nrCHnum),""))</f>
        <v/>
      </c>
      <c r="I697" s="14" t="n"/>
      <c r="J697" s="14" t="n"/>
      <c r="K697" s="15">
        <f>IF($B697="","",IFERROR(_xlfn.XLOOKUP($B697,nrCDdate,nrCDweek),""))</f>
        <v/>
      </c>
      <c r="L697" s="15">
        <f>IF($B697="","",IFERROR(_xlfn.XLOOKUP($B697,nrCDdate,nrCDnum),""))</f>
        <v/>
      </c>
      <c r="M697" s="14" t="n"/>
    </row>
    <row r="698">
      <c r="B698" s="16" t="n"/>
      <c r="C698" s="15">
        <f>IF($B698="","",TEXT($B698,"ddd"))</f>
        <v/>
      </c>
      <c r="D698" s="40" t="n"/>
      <c r="E698" s="40" t="n"/>
      <c r="F698" s="15">
        <f>IF(OR($B698="",$D698="",$E698=""),"",ROUND(($E698-$D698)*24,2))</f>
        <v/>
      </c>
      <c r="G698" s="14" t="n"/>
      <c r="H698" s="15">
        <f>IF($G698="","",IFERROR(_xlfn.XLOOKUP($G698,nrCHname,nrCHnum),""))</f>
        <v/>
      </c>
      <c r="I698" s="14" t="n"/>
      <c r="J698" s="14" t="n"/>
      <c r="K698" s="15">
        <f>IF($B698="","",IFERROR(_xlfn.XLOOKUP($B698,nrCDdate,nrCDweek),""))</f>
        <v/>
      </c>
      <c r="L698" s="15">
        <f>IF($B698="","",IFERROR(_xlfn.XLOOKUP($B698,nrCDdate,nrCDnum),""))</f>
        <v/>
      </c>
      <c r="M698" s="14" t="n"/>
    </row>
    <row r="699">
      <c r="B699" s="16" t="n"/>
      <c r="C699" s="15">
        <f>IF($B699="","",TEXT($B699,"ddd"))</f>
        <v/>
      </c>
      <c r="D699" s="40" t="n"/>
      <c r="E699" s="40" t="n"/>
      <c r="F699" s="15">
        <f>IF(OR($B699="",$D699="",$E699=""),"",ROUND(($E699-$D699)*24,2))</f>
        <v/>
      </c>
      <c r="G699" s="14" t="n"/>
      <c r="H699" s="15">
        <f>IF($G699="","",IFERROR(_xlfn.XLOOKUP($G699,nrCHname,nrCHnum),""))</f>
        <v/>
      </c>
      <c r="I699" s="14" t="n"/>
      <c r="J699" s="14" t="n"/>
      <c r="K699" s="15">
        <f>IF($B699="","",IFERROR(_xlfn.XLOOKUP($B699,nrCDdate,nrCDweek),""))</f>
        <v/>
      </c>
      <c r="L699" s="15">
        <f>IF($B699="","",IFERROR(_xlfn.XLOOKUP($B699,nrCDdate,nrCDnum),""))</f>
        <v/>
      </c>
      <c r="M699" s="14" t="n"/>
    </row>
    <row r="700">
      <c r="B700" s="16" t="n"/>
      <c r="C700" s="15">
        <f>IF($B700="","",TEXT($B700,"ddd"))</f>
        <v/>
      </c>
      <c r="D700" s="40" t="n"/>
      <c r="E700" s="40" t="n"/>
      <c r="F700" s="15">
        <f>IF(OR($B700="",$D700="",$E700=""),"",ROUND(($E700-$D700)*24,2))</f>
        <v/>
      </c>
      <c r="G700" s="14" t="n"/>
      <c r="H700" s="15">
        <f>IF($G700="","",IFERROR(_xlfn.XLOOKUP($G700,nrCHname,nrCHnum),""))</f>
        <v/>
      </c>
      <c r="I700" s="14" t="n"/>
      <c r="J700" s="14" t="n"/>
      <c r="K700" s="15">
        <f>IF($B700="","",IFERROR(_xlfn.XLOOKUP($B700,nrCDdate,nrCDweek),""))</f>
        <v/>
      </c>
      <c r="L700" s="15">
        <f>IF($B700="","",IFERROR(_xlfn.XLOOKUP($B700,nrCDdate,nrCDnum),""))</f>
        <v/>
      </c>
      <c r="M700" s="14" t="n"/>
    </row>
    <row r="701">
      <c r="B701" s="16" t="n"/>
      <c r="C701" s="15">
        <f>IF($B701="","",TEXT($B701,"ddd"))</f>
        <v/>
      </c>
      <c r="D701" s="40" t="n"/>
      <c r="E701" s="40" t="n"/>
      <c r="F701" s="15">
        <f>IF(OR($B701="",$D701="",$E701=""),"",ROUND(($E701-$D701)*24,2))</f>
        <v/>
      </c>
      <c r="G701" s="14" t="n"/>
      <c r="H701" s="15">
        <f>IF($G701="","",IFERROR(_xlfn.XLOOKUP($G701,nrCHname,nrCHnum),""))</f>
        <v/>
      </c>
      <c r="I701" s="14" t="n"/>
      <c r="J701" s="14" t="n"/>
      <c r="K701" s="15">
        <f>IF($B701="","",IFERROR(_xlfn.XLOOKUP($B701,nrCDdate,nrCDweek),""))</f>
        <v/>
      </c>
      <c r="L701" s="15">
        <f>IF($B701="","",IFERROR(_xlfn.XLOOKUP($B701,nrCDdate,nrCDnum),""))</f>
        <v/>
      </c>
      <c r="M701" s="14" t="n"/>
    </row>
    <row r="702">
      <c r="B702" s="16" t="n"/>
      <c r="C702" s="15">
        <f>IF($B702="","",TEXT($B702,"ddd"))</f>
        <v/>
      </c>
      <c r="D702" s="40" t="n"/>
      <c r="E702" s="40" t="n"/>
      <c r="F702" s="15">
        <f>IF(OR($B702="",$D702="",$E702=""),"",ROUND(($E702-$D702)*24,2))</f>
        <v/>
      </c>
      <c r="G702" s="14" t="n"/>
      <c r="H702" s="15">
        <f>IF($G702="","",IFERROR(_xlfn.XLOOKUP($G702,nrCHname,nrCHnum),""))</f>
        <v/>
      </c>
      <c r="I702" s="14" t="n"/>
      <c r="J702" s="14" t="n"/>
      <c r="K702" s="15">
        <f>IF($B702="","",IFERROR(_xlfn.XLOOKUP($B702,nrCDdate,nrCDweek),""))</f>
        <v/>
      </c>
      <c r="L702" s="15">
        <f>IF($B702="","",IFERROR(_xlfn.XLOOKUP($B702,nrCDdate,nrCDnum),""))</f>
        <v/>
      </c>
      <c r="M702" s="14" t="n"/>
    </row>
    <row r="703">
      <c r="B703" s="16" t="n"/>
      <c r="C703" s="15">
        <f>IF($B703="","",TEXT($B703,"ddd"))</f>
        <v/>
      </c>
      <c r="D703" s="40" t="n"/>
      <c r="E703" s="40" t="n"/>
      <c r="F703" s="15">
        <f>IF(OR($B703="",$D703="",$E703=""),"",ROUND(($E703-$D703)*24,2))</f>
        <v/>
      </c>
      <c r="G703" s="14" t="n"/>
      <c r="H703" s="15">
        <f>IF($G703="","",IFERROR(_xlfn.XLOOKUP($G703,nrCHname,nrCHnum),""))</f>
        <v/>
      </c>
      <c r="I703" s="14" t="n"/>
      <c r="J703" s="14" t="n"/>
      <c r="K703" s="15">
        <f>IF($B703="","",IFERROR(_xlfn.XLOOKUP($B703,nrCDdate,nrCDweek),""))</f>
        <v/>
      </c>
      <c r="L703" s="15">
        <f>IF($B703="","",IFERROR(_xlfn.XLOOKUP($B703,nrCDdate,nrCDnum),""))</f>
        <v/>
      </c>
      <c r="M703" s="14" t="n"/>
    </row>
    <row r="704">
      <c r="B704" s="16" t="n"/>
      <c r="C704" s="15">
        <f>IF($B704="","",TEXT($B704,"ddd"))</f>
        <v/>
      </c>
      <c r="D704" s="40" t="n"/>
      <c r="E704" s="40" t="n"/>
      <c r="F704" s="15">
        <f>IF(OR($B704="",$D704="",$E704=""),"",ROUND(($E704-$D704)*24,2))</f>
        <v/>
      </c>
      <c r="G704" s="14" t="n"/>
      <c r="H704" s="15">
        <f>IF($G704="","",IFERROR(_xlfn.XLOOKUP($G704,nrCHname,nrCHnum),""))</f>
        <v/>
      </c>
      <c r="I704" s="14" t="n"/>
      <c r="J704" s="14" t="n"/>
      <c r="K704" s="15">
        <f>IF($B704="","",IFERROR(_xlfn.XLOOKUP($B704,nrCDdate,nrCDweek),""))</f>
        <v/>
      </c>
      <c r="L704" s="15">
        <f>IF($B704="","",IFERROR(_xlfn.XLOOKUP($B704,nrCDdate,nrCDnum),""))</f>
        <v/>
      </c>
      <c r="M704" s="14" t="n"/>
    </row>
    <row r="705">
      <c r="B705" s="16" t="n"/>
      <c r="C705" s="15">
        <f>IF($B705="","",TEXT($B705,"ddd"))</f>
        <v/>
      </c>
      <c r="D705" s="40" t="n"/>
      <c r="E705" s="40" t="n"/>
      <c r="F705" s="15">
        <f>IF(OR($B705="",$D705="",$E705=""),"",ROUND(($E705-$D705)*24,2))</f>
        <v/>
      </c>
      <c r="G705" s="14" t="n"/>
      <c r="H705" s="15">
        <f>IF($G705="","",IFERROR(_xlfn.XLOOKUP($G705,nrCHname,nrCHnum),""))</f>
        <v/>
      </c>
      <c r="I705" s="14" t="n"/>
      <c r="J705" s="14" t="n"/>
      <c r="K705" s="15">
        <f>IF($B705="","",IFERROR(_xlfn.XLOOKUP($B705,nrCDdate,nrCDweek),""))</f>
        <v/>
      </c>
      <c r="L705" s="15">
        <f>IF($B705="","",IFERROR(_xlfn.XLOOKUP($B705,nrCDdate,nrCDnum),""))</f>
        <v/>
      </c>
      <c r="M705" s="14" t="n"/>
    </row>
    <row r="706">
      <c r="B706" s="16" t="n"/>
      <c r="C706" s="15">
        <f>IF($B706="","",TEXT($B706,"ddd"))</f>
        <v/>
      </c>
      <c r="D706" s="40" t="n"/>
      <c r="E706" s="40" t="n"/>
      <c r="F706" s="15">
        <f>IF(OR($B706="",$D706="",$E706=""),"",ROUND(($E706-$D706)*24,2))</f>
        <v/>
      </c>
      <c r="G706" s="14" t="n"/>
      <c r="H706" s="15">
        <f>IF($G706="","",IFERROR(_xlfn.XLOOKUP($G706,nrCHname,nrCHnum),""))</f>
        <v/>
      </c>
      <c r="I706" s="14" t="n"/>
      <c r="J706" s="14" t="n"/>
      <c r="K706" s="15">
        <f>IF($B706="","",IFERROR(_xlfn.XLOOKUP($B706,nrCDdate,nrCDweek),""))</f>
        <v/>
      </c>
      <c r="L706" s="15">
        <f>IF($B706="","",IFERROR(_xlfn.XLOOKUP($B706,nrCDdate,nrCDnum),""))</f>
        <v/>
      </c>
      <c r="M706" s="14" t="n"/>
    </row>
    <row r="707">
      <c r="B707" s="16" t="n"/>
      <c r="C707" s="15">
        <f>IF($B707="","",TEXT($B707,"ddd"))</f>
        <v/>
      </c>
      <c r="D707" s="40" t="n"/>
      <c r="E707" s="40" t="n"/>
      <c r="F707" s="15">
        <f>IF(OR($B707="",$D707="",$E707=""),"",ROUND(($E707-$D707)*24,2))</f>
        <v/>
      </c>
      <c r="G707" s="14" t="n"/>
      <c r="H707" s="15">
        <f>IF($G707="","",IFERROR(_xlfn.XLOOKUP($G707,nrCHname,nrCHnum),""))</f>
        <v/>
      </c>
      <c r="I707" s="14" t="n"/>
      <c r="J707" s="14" t="n"/>
      <c r="K707" s="15">
        <f>IF($B707="","",IFERROR(_xlfn.XLOOKUP($B707,nrCDdate,nrCDweek),""))</f>
        <v/>
      </c>
      <c r="L707" s="15">
        <f>IF($B707="","",IFERROR(_xlfn.XLOOKUP($B707,nrCDdate,nrCDnum),""))</f>
        <v/>
      </c>
      <c r="M707" s="14" t="n"/>
    </row>
    <row r="708">
      <c r="B708" s="16" t="n"/>
      <c r="C708" s="15">
        <f>IF($B708="","",TEXT($B708,"ddd"))</f>
        <v/>
      </c>
      <c r="D708" s="40" t="n"/>
      <c r="E708" s="40" t="n"/>
      <c r="F708" s="15">
        <f>IF(OR($B708="",$D708="",$E708=""),"",ROUND(($E708-$D708)*24,2))</f>
        <v/>
      </c>
      <c r="G708" s="14" t="n"/>
      <c r="H708" s="15">
        <f>IF($G708="","",IFERROR(_xlfn.XLOOKUP($G708,nrCHname,nrCHnum),""))</f>
        <v/>
      </c>
      <c r="I708" s="14" t="n"/>
      <c r="J708" s="14" t="n"/>
      <c r="K708" s="15">
        <f>IF($B708="","",IFERROR(_xlfn.XLOOKUP($B708,nrCDdate,nrCDweek),""))</f>
        <v/>
      </c>
      <c r="L708" s="15">
        <f>IF($B708="","",IFERROR(_xlfn.XLOOKUP($B708,nrCDdate,nrCDnum),""))</f>
        <v/>
      </c>
      <c r="M708" s="14" t="n"/>
    </row>
    <row r="709">
      <c r="B709" s="16" t="n"/>
      <c r="C709" s="15">
        <f>IF($B709="","",TEXT($B709,"ddd"))</f>
        <v/>
      </c>
      <c r="D709" s="40" t="n"/>
      <c r="E709" s="40" t="n"/>
      <c r="F709" s="15">
        <f>IF(OR($B709="",$D709="",$E709=""),"",ROUND(($E709-$D709)*24,2))</f>
        <v/>
      </c>
      <c r="G709" s="14" t="n"/>
      <c r="H709" s="15">
        <f>IF($G709="","",IFERROR(_xlfn.XLOOKUP($G709,nrCHname,nrCHnum),""))</f>
        <v/>
      </c>
      <c r="I709" s="14" t="n"/>
      <c r="J709" s="14" t="n"/>
      <c r="K709" s="15">
        <f>IF($B709="","",IFERROR(_xlfn.XLOOKUP($B709,nrCDdate,nrCDweek),""))</f>
        <v/>
      </c>
      <c r="L709" s="15">
        <f>IF($B709="","",IFERROR(_xlfn.XLOOKUP($B709,nrCDdate,nrCDnum),""))</f>
        <v/>
      </c>
      <c r="M709" s="14" t="n"/>
    </row>
    <row r="710">
      <c r="B710" s="16" t="n"/>
      <c r="C710" s="15">
        <f>IF($B710="","",TEXT($B710,"ddd"))</f>
        <v/>
      </c>
      <c r="D710" s="40" t="n"/>
      <c r="E710" s="40" t="n"/>
      <c r="F710" s="15">
        <f>IF(OR($B710="",$D710="",$E710=""),"",ROUND(($E710-$D710)*24,2))</f>
        <v/>
      </c>
      <c r="G710" s="14" t="n"/>
      <c r="H710" s="15">
        <f>IF($G710="","",IFERROR(_xlfn.XLOOKUP($G710,nrCHname,nrCHnum),""))</f>
        <v/>
      </c>
      <c r="I710" s="14" t="n"/>
      <c r="J710" s="14" t="n"/>
      <c r="K710" s="15">
        <f>IF($B710="","",IFERROR(_xlfn.XLOOKUP($B710,nrCDdate,nrCDweek),""))</f>
        <v/>
      </c>
      <c r="L710" s="15">
        <f>IF($B710="","",IFERROR(_xlfn.XLOOKUP($B710,nrCDdate,nrCDnum),""))</f>
        <v/>
      </c>
      <c r="M710" s="14" t="n"/>
    </row>
    <row r="711">
      <c r="B711" s="16" t="n"/>
      <c r="C711" s="15">
        <f>IF($B711="","",TEXT($B711,"ddd"))</f>
        <v/>
      </c>
      <c r="D711" s="40" t="n"/>
      <c r="E711" s="40" t="n"/>
      <c r="F711" s="15">
        <f>IF(OR($B711="",$D711="",$E711=""),"",ROUND(($E711-$D711)*24,2))</f>
        <v/>
      </c>
      <c r="G711" s="14" t="n"/>
      <c r="H711" s="15">
        <f>IF($G711="","",IFERROR(_xlfn.XLOOKUP($G711,nrCHname,nrCHnum),""))</f>
        <v/>
      </c>
      <c r="I711" s="14" t="n"/>
      <c r="J711" s="14" t="n"/>
      <c r="K711" s="15">
        <f>IF($B711="","",IFERROR(_xlfn.XLOOKUP($B711,nrCDdate,nrCDweek),""))</f>
        <v/>
      </c>
      <c r="L711" s="15">
        <f>IF($B711="","",IFERROR(_xlfn.XLOOKUP($B711,nrCDdate,nrCDnum),""))</f>
        <v/>
      </c>
      <c r="M711" s="14" t="n"/>
    </row>
    <row r="712">
      <c r="B712" s="16" t="n"/>
      <c r="C712" s="15">
        <f>IF($B712="","",TEXT($B712,"ddd"))</f>
        <v/>
      </c>
      <c r="D712" s="40" t="n"/>
      <c r="E712" s="40" t="n"/>
      <c r="F712" s="15">
        <f>IF(OR($B712="",$D712="",$E712=""),"",ROUND(($E712-$D712)*24,2))</f>
        <v/>
      </c>
      <c r="G712" s="14" t="n"/>
      <c r="H712" s="15">
        <f>IF($G712="","",IFERROR(_xlfn.XLOOKUP($G712,nrCHname,nrCHnum),""))</f>
        <v/>
      </c>
      <c r="I712" s="14" t="n"/>
      <c r="J712" s="14" t="n"/>
      <c r="K712" s="15">
        <f>IF($B712="","",IFERROR(_xlfn.XLOOKUP($B712,nrCDdate,nrCDweek),""))</f>
        <v/>
      </c>
      <c r="L712" s="15">
        <f>IF($B712="","",IFERROR(_xlfn.XLOOKUP($B712,nrCDdate,nrCDnum),""))</f>
        <v/>
      </c>
      <c r="M712" s="14" t="n"/>
    </row>
    <row r="713">
      <c r="B713" s="16" t="n"/>
      <c r="C713" s="15">
        <f>IF($B713="","",TEXT($B713,"ddd"))</f>
        <v/>
      </c>
      <c r="D713" s="40" t="n"/>
      <c r="E713" s="40" t="n"/>
      <c r="F713" s="15">
        <f>IF(OR($B713="",$D713="",$E713=""),"",ROUND(($E713-$D713)*24,2))</f>
        <v/>
      </c>
      <c r="G713" s="14" t="n"/>
      <c r="H713" s="15">
        <f>IF($G713="","",IFERROR(_xlfn.XLOOKUP($G713,nrCHname,nrCHnum),""))</f>
        <v/>
      </c>
      <c r="I713" s="14" t="n"/>
      <c r="J713" s="14" t="n"/>
      <c r="K713" s="15">
        <f>IF($B713="","",IFERROR(_xlfn.XLOOKUP($B713,nrCDdate,nrCDweek),""))</f>
        <v/>
      </c>
      <c r="L713" s="15">
        <f>IF($B713="","",IFERROR(_xlfn.XLOOKUP($B713,nrCDdate,nrCDnum),""))</f>
        <v/>
      </c>
      <c r="M713" s="14" t="n"/>
    </row>
    <row r="714">
      <c r="B714" s="16" t="n"/>
      <c r="C714" s="15">
        <f>IF($B714="","",TEXT($B714,"ddd"))</f>
        <v/>
      </c>
      <c r="D714" s="40" t="n"/>
      <c r="E714" s="40" t="n"/>
      <c r="F714" s="15">
        <f>IF(OR($B714="",$D714="",$E714=""),"",ROUND(($E714-$D714)*24,2))</f>
        <v/>
      </c>
      <c r="G714" s="14" t="n"/>
      <c r="H714" s="15">
        <f>IF($G714="","",IFERROR(_xlfn.XLOOKUP($G714,nrCHname,nrCHnum),""))</f>
        <v/>
      </c>
      <c r="I714" s="14" t="n"/>
      <c r="J714" s="14" t="n"/>
      <c r="K714" s="15">
        <f>IF($B714="","",IFERROR(_xlfn.XLOOKUP($B714,nrCDdate,nrCDweek),""))</f>
        <v/>
      </c>
      <c r="L714" s="15">
        <f>IF($B714="","",IFERROR(_xlfn.XLOOKUP($B714,nrCDdate,nrCDnum),""))</f>
        <v/>
      </c>
      <c r="M714" s="14" t="n"/>
    </row>
    <row r="715">
      <c r="B715" s="16" t="n"/>
      <c r="C715" s="15">
        <f>IF($B715="","",TEXT($B715,"ddd"))</f>
        <v/>
      </c>
      <c r="D715" s="40" t="n"/>
      <c r="E715" s="40" t="n"/>
      <c r="F715" s="15">
        <f>IF(OR($B715="",$D715="",$E715=""),"",ROUND(($E715-$D715)*24,2))</f>
        <v/>
      </c>
      <c r="G715" s="14" t="n"/>
      <c r="H715" s="15">
        <f>IF($G715="","",IFERROR(_xlfn.XLOOKUP($G715,nrCHname,nrCHnum),""))</f>
        <v/>
      </c>
      <c r="I715" s="14" t="n"/>
      <c r="J715" s="14" t="n"/>
      <c r="K715" s="15">
        <f>IF($B715="","",IFERROR(_xlfn.XLOOKUP($B715,nrCDdate,nrCDweek),""))</f>
        <v/>
      </c>
      <c r="L715" s="15">
        <f>IF($B715="","",IFERROR(_xlfn.XLOOKUP($B715,nrCDdate,nrCDnum),""))</f>
        <v/>
      </c>
      <c r="M715" s="14" t="n"/>
    </row>
    <row r="716">
      <c r="B716" s="16" t="n"/>
      <c r="C716" s="15">
        <f>IF($B716="","",TEXT($B716,"ddd"))</f>
        <v/>
      </c>
      <c r="D716" s="40" t="n"/>
      <c r="E716" s="40" t="n"/>
      <c r="F716" s="15">
        <f>IF(OR($B716="",$D716="",$E716=""),"",ROUND(($E716-$D716)*24,2))</f>
        <v/>
      </c>
      <c r="G716" s="14" t="n"/>
      <c r="H716" s="15">
        <f>IF($G716="","",IFERROR(_xlfn.XLOOKUP($G716,nrCHname,nrCHnum),""))</f>
        <v/>
      </c>
      <c r="I716" s="14" t="n"/>
      <c r="J716" s="14" t="n"/>
      <c r="K716" s="15">
        <f>IF($B716="","",IFERROR(_xlfn.XLOOKUP($B716,nrCDdate,nrCDweek),""))</f>
        <v/>
      </c>
      <c r="L716" s="15">
        <f>IF($B716="","",IFERROR(_xlfn.XLOOKUP($B716,nrCDdate,nrCDnum),""))</f>
        <v/>
      </c>
      <c r="M716" s="14" t="n"/>
    </row>
    <row r="717">
      <c r="B717" s="16" t="n"/>
      <c r="C717" s="15">
        <f>IF($B717="","",TEXT($B717,"ddd"))</f>
        <v/>
      </c>
      <c r="D717" s="40" t="n"/>
      <c r="E717" s="40" t="n"/>
      <c r="F717" s="15">
        <f>IF(OR($B717="",$D717="",$E717=""),"",ROUND(($E717-$D717)*24,2))</f>
        <v/>
      </c>
      <c r="G717" s="14" t="n"/>
      <c r="H717" s="15">
        <f>IF($G717="","",IFERROR(_xlfn.XLOOKUP($G717,nrCHname,nrCHnum),""))</f>
        <v/>
      </c>
      <c r="I717" s="14" t="n"/>
      <c r="J717" s="14" t="n"/>
      <c r="K717" s="15">
        <f>IF($B717="","",IFERROR(_xlfn.XLOOKUP($B717,nrCDdate,nrCDweek),""))</f>
        <v/>
      </c>
      <c r="L717" s="15">
        <f>IF($B717="","",IFERROR(_xlfn.XLOOKUP($B717,nrCDdate,nrCDnum),""))</f>
        <v/>
      </c>
      <c r="M717" s="14" t="n"/>
    </row>
    <row r="718">
      <c r="B718" s="16" t="n"/>
      <c r="C718" s="15">
        <f>IF($B718="","",TEXT($B718,"ddd"))</f>
        <v/>
      </c>
      <c r="D718" s="40" t="n"/>
      <c r="E718" s="40" t="n"/>
      <c r="F718" s="15">
        <f>IF(OR($B718="",$D718="",$E718=""),"",ROUND(($E718-$D718)*24,2))</f>
        <v/>
      </c>
      <c r="G718" s="14" t="n"/>
      <c r="H718" s="15">
        <f>IF($G718="","",IFERROR(_xlfn.XLOOKUP($G718,nrCHname,nrCHnum),""))</f>
        <v/>
      </c>
      <c r="I718" s="14" t="n"/>
      <c r="J718" s="14" t="n"/>
      <c r="K718" s="15">
        <f>IF($B718="","",IFERROR(_xlfn.XLOOKUP($B718,nrCDdate,nrCDweek),""))</f>
        <v/>
      </c>
      <c r="L718" s="15">
        <f>IF($B718="","",IFERROR(_xlfn.XLOOKUP($B718,nrCDdate,nrCDnum),""))</f>
        <v/>
      </c>
      <c r="M718" s="14" t="n"/>
    </row>
    <row r="719">
      <c r="B719" s="16" t="n"/>
      <c r="C719" s="15">
        <f>IF($B719="","",TEXT($B719,"ddd"))</f>
        <v/>
      </c>
      <c r="D719" s="40" t="n"/>
      <c r="E719" s="40" t="n"/>
      <c r="F719" s="15">
        <f>IF(OR($B719="",$D719="",$E719=""),"",ROUND(($E719-$D719)*24,2))</f>
        <v/>
      </c>
      <c r="G719" s="14" t="n"/>
      <c r="H719" s="15">
        <f>IF($G719="","",IFERROR(_xlfn.XLOOKUP($G719,nrCHname,nrCHnum),""))</f>
        <v/>
      </c>
      <c r="I719" s="14" t="n"/>
      <c r="J719" s="14" t="n"/>
      <c r="K719" s="15">
        <f>IF($B719="","",IFERROR(_xlfn.XLOOKUP($B719,nrCDdate,nrCDweek),""))</f>
        <v/>
      </c>
      <c r="L719" s="15">
        <f>IF($B719="","",IFERROR(_xlfn.XLOOKUP($B719,nrCDdate,nrCDnum),""))</f>
        <v/>
      </c>
      <c r="M719" s="14" t="n"/>
    </row>
    <row r="720">
      <c r="B720" s="16" t="n"/>
      <c r="C720" s="15">
        <f>IF($B720="","",TEXT($B720,"ddd"))</f>
        <v/>
      </c>
      <c r="D720" s="40" t="n"/>
      <c r="E720" s="40" t="n"/>
      <c r="F720" s="15">
        <f>IF(OR($B720="",$D720="",$E720=""),"",ROUND(($E720-$D720)*24,2))</f>
        <v/>
      </c>
      <c r="G720" s="14" t="n"/>
      <c r="H720" s="15">
        <f>IF($G720="","",IFERROR(_xlfn.XLOOKUP($G720,nrCHname,nrCHnum),""))</f>
        <v/>
      </c>
      <c r="I720" s="14" t="n"/>
      <c r="J720" s="14" t="n"/>
      <c r="K720" s="15">
        <f>IF($B720="","",IFERROR(_xlfn.XLOOKUP($B720,nrCDdate,nrCDweek),""))</f>
        <v/>
      </c>
      <c r="L720" s="15">
        <f>IF($B720="","",IFERROR(_xlfn.XLOOKUP($B720,nrCDdate,nrCDnum),""))</f>
        <v/>
      </c>
      <c r="M720" s="14" t="n"/>
    </row>
    <row r="721">
      <c r="B721" s="16" t="n"/>
      <c r="C721" s="15">
        <f>IF($B721="","",TEXT($B721,"ddd"))</f>
        <v/>
      </c>
      <c r="D721" s="40" t="n"/>
      <c r="E721" s="40" t="n"/>
      <c r="F721" s="15">
        <f>IF(OR($B721="",$D721="",$E721=""),"",ROUND(($E721-$D721)*24,2))</f>
        <v/>
      </c>
      <c r="G721" s="14" t="n"/>
      <c r="H721" s="15">
        <f>IF($G721="","",IFERROR(_xlfn.XLOOKUP($G721,nrCHname,nrCHnum),""))</f>
        <v/>
      </c>
      <c r="I721" s="14" t="n"/>
      <c r="J721" s="14" t="n"/>
      <c r="K721" s="15">
        <f>IF($B721="","",IFERROR(_xlfn.XLOOKUP($B721,nrCDdate,nrCDweek),""))</f>
        <v/>
      </c>
      <c r="L721" s="15">
        <f>IF($B721="","",IFERROR(_xlfn.XLOOKUP($B721,nrCDdate,nrCDnum),""))</f>
        <v/>
      </c>
      <c r="M721" s="14" t="n"/>
    </row>
    <row r="722">
      <c r="B722" s="16" t="n"/>
      <c r="C722" s="15">
        <f>IF($B722="","",TEXT($B722,"ddd"))</f>
        <v/>
      </c>
      <c r="D722" s="40" t="n"/>
      <c r="E722" s="40" t="n"/>
      <c r="F722" s="15">
        <f>IF(OR($B722="",$D722="",$E722=""),"",ROUND(($E722-$D722)*24,2))</f>
        <v/>
      </c>
      <c r="G722" s="14" t="n"/>
      <c r="H722" s="15">
        <f>IF($G722="","",IFERROR(_xlfn.XLOOKUP($G722,nrCHname,nrCHnum),""))</f>
        <v/>
      </c>
      <c r="I722" s="14" t="n"/>
      <c r="J722" s="14" t="n"/>
      <c r="K722" s="15">
        <f>IF($B722="","",IFERROR(_xlfn.XLOOKUP($B722,nrCDdate,nrCDweek),""))</f>
        <v/>
      </c>
      <c r="L722" s="15">
        <f>IF($B722="","",IFERROR(_xlfn.XLOOKUP($B722,nrCDdate,nrCDnum),""))</f>
        <v/>
      </c>
      <c r="M722" s="14" t="n"/>
    </row>
    <row r="723">
      <c r="B723" s="16" t="n"/>
      <c r="C723" s="15">
        <f>IF($B723="","",TEXT($B723,"ddd"))</f>
        <v/>
      </c>
      <c r="D723" s="40" t="n"/>
      <c r="E723" s="40" t="n"/>
      <c r="F723" s="15">
        <f>IF(OR($B723="",$D723="",$E723=""),"",ROUND(($E723-$D723)*24,2))</f>
        <v/>
      </c>
      <c r="G723" s="14" t="n"/>
      <c r="H723" s="15">
        <f>IF($G723="","",IFERROR(_xlfn.XLOOKUP($G723,nrCHname,nrCHnum),""))</f>
        <v/>
      </c>
      <c r="I723" s="14" t="n"/>
      <c r="J723" s="14" t="n"/>
      <c r="K723" s="15">
        <f>IF($B723="","",IFERROR(_xlfn.XLOOKUP($B723,nrCDdate,nrCDweek),""))</f>
        <v/>
      </c>
      <c r="L723" s="15">
        <f>IF($B723="","",IFERROR(_xlfn.XLOOKUP($B723,nrCDdate,nrCDnum),""))</f>
        <v/>
      </c>
      <c r="M723" s="14" t="n"/>
    </row>
    <row r="724">
      <c r="B724" s="16" t="n"/>
      <c r="C724" s="15">
        <f>IF($B724="","",TEXT($B724,"ddd"))</f>
        <v/>
      </c>
      <c r="D724" s="40" t="n"/>
      <c r="E724" s="40" t="n"/>
      <c r="F724" s="15">
        <f>IF(OR($B724="",$D724="",$E724=""),"",ROUND(($E724-$D724)*24,2))</f>
        <v/>
      </c>
      <c r="G724" s="14" t="n"/>
      <c r="H724" s="15">
        <f>IF($G724="","",IFERROR(_xlfn.XLOOKUP($G724,nrCHname,nrCHnum),""))</f>
        <v/>
      </c>
      <c r="I724" s="14" t="n"/>
      <c r="J724" s="14" t="n"/>
      <c r="K724" s="15">
        <f>IF($B724="","",IFERROR(_xlfn.XLOOKUP($B724,nrCDdate,nrCDweek),""))</f>
        <v/>
      </c>
      <c r="L724" s="15">
        <f>IF($B724="","",IFERROR(_xlfn.XLOOKUP($B724,nrCDdate,nrCDnum),""))</f>
        <v/>
      </c>
      <c r="M724" s="14" t="n"/>
    </row>
    <row r="725">
      <c r="B725" s="16" t="n"/>
      <c r="C725" s="15">
        <f>IF($B725="","",TEXT($B725,"ddd"))</f>
        <v/>
      </c>
      <c r="D725" s="40" t="n"/>
      <c r="E725" s="40" t="n"/>
      <c r="F725" s="15">
        <f>IF(OR($B725="",$D725="",$E725=""),"",ROUND(($E725-$D725)*24,2))</f>
        <v/>
      </c>
      <c r="G725" s="14" t="n"/>
      <c r="H725" s="15">
        <f>IF($G725="","",IFERROR(_xlfn.XLOOKUP($G725,nrCHname,nrCHnum),""))</f>
        <v/>
      </c>
      <c r="I725" s="14" t="n"/>
      <c r="J725" s="14" t="n"/>
      <c r="K725" s="15">
        <f>IF($B725="","",IFERROR(_xlfn.XLOOKUP($B725,nrCDdate,nrCDweek),""))</f>
        <v/>
      </c>
      <c r="L725" s="15">
        <f>IF($B725="","",IFERROR(_xlfn.XLOOKUP($B725,nrCDdate,nrCDnum),""))</f>
        <v/>
      </c>
      <c r="M725" s="14" t="n"/>
    </row>
    <row r="726">
      <c r="B726" s="16" t="n"/>
      <c r="C726" s="15">
        <f>IF($B726="","",TEXT($B726,"ddd"))</f>
        <v/>
      </c>
      <c r="D726" s="40" t="n"/>
      <c r="E726" s="40" t="n"/>
      <c r="F726" s="15">
        <f>IF(OR($B726="",$D726="",$E726=""),"",ROUND(($E726-$D726)*24,2))</f>
        <v/>
      </c>
      <c r="G726" s="14" t="n"/>
      <c r="H726" s="15">
        <f>IF($G726="","",IFERROR(_xlfn.XLOOKUP($G726,nrCHname,nrCHnum),""))</f>
        <v/>
      </c>
      <c r="I726" s="14" t="n"/>
      <c r="J726" s="14" t="n"/>
      <c r="K726" s="15">
        <f>IF($B726="","",IFERROR(_xlfn.XLOOKUP($B726,nrCDdate,nrCDweek),""))</f>
        <v/>
      </c>
      <c r="L726" s="15">
        <f>IF($B726="","",IFERROR(_xlfn.XLOOKUP($B726,nrCDdate,nrCDnum),""))</f>
        <v/>
      </c>
      <c r="M726" s="14" t="n"/>
    </row>
    <row r="727">
      <c r="B727" s="16" t="n"/>
      <c r="C727" s="15">
        <f>IF($B727="","",TEXT($B727,"ddd"))</f>
        <v/>
      </c>
      <c r="D727" s="40" t="n"/>
      <c r="E727" s="40" t="n"/>
      <c r="F727" s="15">
        <f>IF(OR($B727="",$D727="",$E727=""),"",ROUND(($E727-$D727)*24,2))</f>
        <v/>
      </c>
      <c r="G727" s="14" t="n"/>
      <c r="H727" s="15">
        <f>IF($G727="","",IFERROR(_xlfn.XLOOKUP($G727,nrCHname,nrCHnum),""))</f>
        <v/>
      </c>
      <c r="I727" s="14" t="n"/>
      <c r="J727" s="14" t="n"/>
      <c r="K727" s="15">
        <f>IF($B727="","",IFERROR(_xlfn.XLOOKUP($B727,nrCDdate,nrCDweek),""))</f>
        <v/>
      </c>
      <c r="L727" s="15">
        <f>IF($B727="","",IFERROR(_xlfn.XLOOKUP($B727,nrCDdate,nrCDnum),""))</f>
        <v/>
      </c>
      <c r="M727" s="14" t="n"/>
    </row>
    <row r="728">
      <c r="B728" s="16" t="n"/>
      <c r="C728" s="15">
        <f>IF($B728="","",TEXT($B728,"ddd"))</f>
        <v/>
      </c>
      <c r="D728" s="40" t="n"/>
      <c r="E728" s="40" t="n"/>
      <c r="F728" s="15">
        <f>IF(OR($B728="",$D728="",$E728=""),"",ROUND(($E728-$D728)*24,2))</f>
        <v/>
      </c>
      <c r="G728" s="14" t="n"/>
      <c r="H728" s="15">
        <f>IF($G728="","",IFERROR(_xlfn.XLOOKUP($G728,nrCHname,nrCHnum),""))</f>
        <v/>
      </c>
      <c r="I728" s="14" t="n"/>
      <c r="J728" s="14" t="n"/>
      <c r="K728" s="15">
        <f>IF($B728="","",IFERROR(_xlfn.XLOOKUP($B728,nrCDdate,nrCDweek),""))</f>
        <v/>
      </c>
      <c r="L728" s="15">
        <f>IF($B728="","",IFERROR(_xlfn.XLOOKUP($B728,nrCDdate,nrCDnum),""))</f>
        <v/>
      </c>
      <c r="M728" s="14" t="n"/>
    </row>
    <row r="729">
      <c r="B729" s="16" t="n"/>
      <c r="C729" s="15">
        <f>IF($B729="","",TEXT($B729,"ddd"))</f>
        <v/>
      </c>
      <c r="D729" s="40" t="n"/>
      <c r="E729" s="40" t="n"/>
      <c r="F729" s="15">
        <f>IF(OR($B729="",$D729="",$E729=""),"",ROUND(($E729-$D729)*24,2))</f>
        <v/>
      </c>
      <c r="G729" s="14" t="n"/>
      <c r="H729" s="15">
        <f>IF($G729="","",IFERROR(_xlfn.XLOOKUP($G729,nrCHname,nrCHnum),""))</f>
        <v/>
      </c>
      <c r="I729" s="14" t="n"/>
      <c r="J729" s="14" t="n"/>
      <c r="K729" s="15">
        <f>IF($B729="","",IFERROR(_xlfn.XLOOKUP($B729,nrCDdate,nrCDweek),""))</f>
        <v/>
      </c>
      <c r="L729" s="15">
        <f>IF($B729="","",IFERROR(_xlfn.XLOOKUP($B729,nrCDdate,nrCDnum),""))</f>
        <v/>
      </c>
      <c r="M729" s="14" t="n"/>
    </row>
    <row r="730">
      <c r="B730" s="16" t="n"/>
      <c r="C730" s="15">
        <f>IF($B730="","",TEXT($B730,"ddd"))</f>
        <v/>
      </c>
      <c r="D730" s="40" t="n"/>
      <c r="E730" s="40" t="n"/>
      <c r="F730" s="15">
        <f>IF(OR($B730="",$D730="",$E730=""),"",ROUND(($E730-$D730)*24,2))</f>
        <v/>
      </c>
      <c r="G730" s="14" t="n"/>
      <c r="H730" s="15">
        <f>IF($G730="","",IFERROR(_xlfn.XLOOKUP($G730,nrCHname,nrCHnum),""))</f>
        <v/>
      </c>
      <c r="I730" s="14" t="n"/>
      <c r="J730" s="14" t="n"/>
      <c r="K730" s="15">
        <f>IF($B730="","",IFERROR(_xlfn.XLOOKUP($B730,nrCDdate,nrCDweek),""))</f>
        <v/>
      </c>
      <c r="L730" s="15">
        <f>IF($B730="","",IFERROR(_xlfn.XLOOKUP($B730,nrCDdate,nrCDnum),""))</f>
        <v/>
      </c>
      <c r="M730" s="14" t="n"/>
    </row>
    <row r="731">
      <c r="B731" s="16" t="n"/>
      <c r="C731" s="15">
        <f>IF($B731="","",TEXT($B731,"ddd"))</f>
        <v/>
      </c>
      <c r="D731" s="40" t="n"/>
      <c r="E731" s="40" t="n"/>
      <c r="F731" s="15">
        <f>IF(OR($B731="",$D731="",$E731=""),"",ROUND(($E731-$D731)*24,2))</f>
        <v/>
      </c>
      <c r="G731" s="14" t="n"/>
      <c r="H731" s="15">
        <f>IF($G731="","",IFERROR(_xlfn.XLOOKUP($G731,nrCHname,nrCHnum),""))</f>
        <v/>
      </c>
      <c r="I731" s="14" t="n"/>
      <c r="J731" s="14" t="n"/>
      <c r="K731" s="15">
        <f>IF($B731="","",IFERROR(_xlfn.XLOOKUP($B731,nrCDdate,nrCDweek),""))</f>
        <v/>
      </c>
      <c r="L731" s="15">
        <f>IF($B731="","",IFERROR(_xlfn.XLOOKUP($B731,nrCDdate,nrCDnum),""))</f>
        <v/>
      </c>
      <c r="M731" s="14" t="n"/>
    </row>
    <row r="732">
      <c r="B732" s="16" t="n"/>
      <c r="C732" s="15">
        <f>IF($B732="","",TEXT($B732,"ddd"))</f>
        <v/>
      </c>
      <c r="D732" s="40" t="n"/>
      <c r="E732" s="40" t="n"/>
      <c r="F732" s="15">
        <f>IF(OR($B732="",$D732="",$E732=""),"",ROUND(($E732-$D732)*24,2))</f>
        <v/>
      </c>
      <c r="G732" s="14" t="n"/>
      <c r="H732" s="15">
        <f>IF($G732="","",IFERROR(_xlfn.XLOOKUP($G732,nrCHname,nrCHnum),""))</f>
        <v/>
      </c>
      <c r="I732" s="14" t="n"/>
      <c r="J732" s="14" t="n"/>
      <c r="K732" s="15">
        <f>IF($B732="","",IFERROR(_xlfn.XLOOKUP($B732,nrCDdate,nrCDweek),""))</f>
        <v/>
      </c>
      <c r="L732" s="15">
        <f>IF($B732="","",IFERROR(_xlfn.XLOOKUP($B732,nrCDdate,nrCDnum),""))</f>
        <v/>
      </c>
      <c r="M732" s="14" t="n"/>
    </row>
    <row r="733">
      <c r="B733" s="16" t="n"/>
      <c r="C733" s="15">
        <f>IF($B733="","",TEXT($B733,"ddd"))</f>
        <v/>
      </c>
      <c r="D733" s="40" t="n"/>
      <c r="E733" s="40" t="n"/>
      <c r="F733" s="15">
        <f>IF(OR($B733="",$D733="",$E733=""),"",ROUND(($E733-$D733)*24,2))</f>
        <v/>
      </c>
      <c r="G733" s="14" t="n"/>
      <c r="H733" s="15">
        <f>IF($G733="","",IFERROR(_xlfn.XLOOKUP($G733,nrCHname,nrCHnum),""))</f>
        <v/>
      </c>
      <c r="I733" s="14" t="n"/>
      <c r="J733" s="14" t="n"/>
      <c r="K733" s="15">
        <f>IF($B733="","",IFERROR(_xlfn.XLOOKUP($B733,nrCDdate,nrCDweek),""))</f>
        <v/>
      </c>
      <c r="L733" s="15">
        <f>IF($B733="","",IFERROR(_xlfn.XLOOKUP($B733,nrCDdate,nrCDnum),""))</f>
        <v/>
      </c>
      <c r="M733" s="14" t="n"/>
    </row>
    <row r="734">
      <c r="B734" s="16" t="n"/>
      <c r="C734" s="15">
        <f>IF($B734="","",TEXT($B734,"ddd"))</f>
        <v/>
      </c>
      <c r="D734" s="40" t="n"/>
      <c r="E734" s="40" t="n"/>
      <c r="F734" s="15">
        <f>IF(OR($B734="",$D734="",$E734=""),"",ROUND(($E734-$D734)*24,2))</f>
        <v/>
      </c>
      <c r="G734" s="14" t="n"/>
      <c r="H734" s="15">
        <f>IF($G734="","",IFERROR(_xlfn.XLOOKUP($G734,nrCHname,nrCHnum),""))</f>
        <v/>
      </c>
      <c r="I734" s="14" t="n"/>
      <c r="J734" s="14" t="n"/>
      <c r="K734" s="15">
        <f>IF($B734="","",IFERROR(_xlfn.XLOOKUP($B734,nrCDdate,nrCDweek),""))</f>
        <v/>
      </c>
      <c r="L734" s="15">
        <f>IF($B734="","",IFERROR(_xlfn.XLOOKUP($B734,nrCDdate,nrCDnum),""))</f>
        <v/>
      </c>
      <c r="M734" s="14" t="n"/>
    </row>
    <row r="735">
      <c r="B735" s="16" t="n"/>
      <c r="C735" s="15">
        <f>IF($B735="","",TEXT($B735,"ddd"))</f>
        <v/>
      </c>
      <c r="D735" s="40" t="n"/>
      <c r="E735" s="40" t="n"/>
      <c r="F735" s="15">
        <f>IF(OR($B735="",$D735="",$E735=""),"",ROUND(($E735-$D735)*24,2))</f>
        <v/>
      </c>
      <c r="G735" s="14" t="n"/>
      <c r="H735" s="15">
        <f>IF($G735="","",IFERROR(_xlfn.XLOOKUP($G735,nrCHname,nrCHnum),""))</f>
        <v/>
      </c>
      <c r="I735" s="14" t="n"/>
      <c r="J735" s="14" t="n"/>
      <c r="K735" s="15">
        <f>IF($B735="","",IFERROR(_xlfn.XLOOKUP($B735,nrCDdate,nrCDweek),""))</f>
        <v/>
      </c>
      <c r="L735" s="15">
        <f>IF($B735="","",IFERROR(_xlfn.XLOOKUP($B735,nrCDdate,nrCDnum),""))</f>
        <v/>
      </c>
      <c r="M735" s="14" t="n"/>
    </row>
    <row r="736">
      <c r="B736" s="16" t="n"/>
      <c r="C736" s="15">
        <f>IF($B736="","",TEXT($B736,"ddd"))</f>
        <v/>
      </c>
      <c r="D736" s="40" t="n"/>
      <c r="E736" s="40" t="n"/>
      <c r="F736" s="15">
        <f>IF(OR($B736="",$D736="",$E736=""),"",ROUND(($E736-$D736)*24,2))</f>
        <v/>
      </c>
      <c r="G736" s="14" t="n"/>
      <c r="H736" s="15">
        <f>IF($G736="","",IFERROR(_xlfn.XLOOKUP($G736,nrCHname,nrCHnum),""))</f>
        <v/>
      </c>
      <c r="I736" s="14" t="n"/>
      <c r="J736" s="14" t="n"/>
      <c r="K736" s="15">
        <f>IF($B736="","",IFERROR(_xlfn.XLOOKUP($B736,nrCDdate,nrCDweek),""))</f>
        <v/>
      </c>
      <c r="L736" s="15">
        <f>IF($B736="","",IFERROR(_xlfn.XLOOKUP($B736,nrCDdate,nrCDnum),""))</f>
        <v/>
      </c>
      <c r="M736" s="14" t="n"/>
    </row>
    <row r="737">
      <c r="B737" s="16" t="n"/>
      <c r="C737" s="15">
        <f>IF($B737="","",TEXT($B737,"ddd"))</f>
        <v/>
      </c>
      <c r="D737" s="40" t="n"/>
      <c r="E737" s="40" t="n"/>
      <c r="F737" s="15">
        <f>IF(OR($B737="",$D737="",$E737=""),"",ROUND(($E737-$D737)*24,2))</f>
        <v/>
      </c>
      <c r="G737" s="14" t="n"/>
      <c r="H737" s="15">
        <f>IF($G737="","",IFERROR(_xlfn.XLOOKUP($G737,nrCHname,nrCHnum),""))</f>
        <v/>
      </c>
      <c r="I737" s="14" t="n"/>
      <c r="J737" s="14" t="n"/>
      <c r="K737" s="15">
        <f>IF($B737="","",IFERROR(_xlfn.XLOOKUP($B737,nrCDdate,nrCDweek),""))</f>
        <v/>
      </c>
      <c r="L737" s="15">
        <f>IF($B737="","",IFERROR(_xlfn.XLOOKUP($B737,nrCDdate,nrCDnum),""))</f>
        <v/>
      </c>
      <c r="M737" s="14" t="n"/>
    </row>
    <row r="738">
      <c r="B738" s="16" t="n"/>
      <c r="C738" s="15">
        <f>IF($B738="","",TEXT($B738,"ddd"))</f>
        <v/>
      </c>
      <c r="D738" s="40" t="n"/>
      <c r="E738" s="40" t="n"/>
      <c r="F738" s="15">
        <f>IF(OR($B738="",$D738="",$E738=""),"",ROUND(($E738-$D738)*24,2))</f>
        <v/>
      </c>
      <c r="G738" s="14" t="n"/>
      <c r="H738" s="15">
        <f>IF($G738="","",IFERROR(_xlfn.XLOOKUP($G738,nrCHname,nrCHnum),""))</f>
        <v/>
      </c>
      <c r="I738" s="14" t="n"/>
      <c r="J738" s="14" t="n"/>
      <c r="K738" s="15">
        <f>IF($B738="","",IFERROR(_xlfn.XLOOKUP($B738,nrCDdate,nrCDweek),""))</f>
        <v/>
      </c>
      <c r="L738" s="15">
        <f>IF($B738="","",IFERROR(_xlfn.XLOOKUP($B738,nrCDdate,nrCDnum),""))</f>
        <v/>
      </c>
      <c r="M738" s="14" t="n"/>
    </row>
    <row r="739">
      <c r="B739" s="16" t="n"/>
      <c r="C739" s="15">
        <f>IF($B739="","",TEXT($B739,"ddd"))</f>
        <v/>
      </c>
      <c r="D739" s="40" t="n"/>
      <c r="E739" s="40" t="n"/>
      <c r="F739" s="15">
        <f>IF(OR($B739="",$D739="",$E739=""),"",ROUND(($E739-$D739)*24,2))</f>
        <v/>
      </c>
      <c r="G739" s="14" t="n"/>
      <c r="H739" s="15">
        <f>IF($G739="","",IFERROR(_xlfn.XLOOKUP($G739,nrCHname,nrCHnum),""))</f>
        <v/>
      </c>
      <c r="I739" s="14" t="n"/>
      <c r="J739" s="14" t="n"/>
      <c r="K739" s="15">
        <f>IF($B739="","",IFERROR(_xlfn.XLOOKUP($B739,nrCDdate,nrCDweek),""))</f>
        <v/>
      </c>
      <c r="L739" s="15">
        <f>IF($B739="","",IFERROR(_xlfn.XLOOKUP($B739,nrCDdate,nrCDnum),""))</f>
        <v/>
      </c>
      <c r="M739" s="14" t="n"/>
    </row>
    <row r="740">
      <c r="B740" s="16" t="n"/>
      <c r="C740" s="15">
        <f>IF($B740="","",TEXT($B740,"ddd"))</f>
        <v/>
      </c>
      <c r="D740" s="40" t="n"/>
      <c r="E740" s="40" t="n"/>
      <c r="F740" s="15">
        <f>IF(OR($B740="",$D740="",$E740=""),"",ROUND(($E740-$D740)*24,2))</f>
        <v/>
      </c>
      <c r="G740" s="14" t="n"/>
      <c r="H740" s="15">
        <f>IF($G740="","",IFERROR(_xlfn.XLOOKUP($G740,nrCHname,nrCHnum),""))</f>
        <v/>
      </c>
      <c r="I740" s="14" t="n"/>
      <c r="J740" s="14" t="n"/>
      <c r="K740" s="15">
        <f>IF($B740="","",IFERROR(_xlfn.XLOOKUP($B740,nrCDdate,nrCDweek),""))</f>
        <v/>
      </c>
      <c r="L740" s="15">
        <f>IF($B740="","",IFERROR(_xlfn.XLOOKUP($B740,nrCDdate,nrCDnum),""))</f>
        <v/>
      </c>
      <c r="M740" s="14" t="n"/>
    </row>
    <row r="741">
      <c r="B741" s="16" t="n"/>
      <c r="C741" s="15">
        <f>IF($B741="","",TEXT($B741,"ddd"))</f>
        <v/>
      </c>
      <c r="D741" s="40" t="n"/>
      <c r="E741" s="40" t="n"/>
      <c r="F741" s="15">
        <f>IF(OR($B741="",$D741="",$E741=""),"",ROUND(($E741-$D741)*24,2))</f>
        <v/>
      </c>
      <c r="G741" s="14" t="n"/>
      <c r="H741" s="15">
        <f>IF($G741="","",IFERROR(_xlfn.XLOOKUP($G741,nrCHname,nrCHnum),""))</f>
        <v/>
      </c>
      <c r="I741" s="14" t="n"/>
      <c r="J741" s="14" t="n"/>
      <c r="K741" s="15">
        <f>IF($B741="","",IFERROR(_xlfn.XLOOKUP($B741,nrCDdate,nrCDweek),""))</f>
        <v/>
      </c>
      <c r="L741" s="15">
        <f>IF($B741="","",IFERROR(_xlfn.XLOOKUP($B741,nrCDdate,nrCDnum),""))</f>
        <v/>
      </c>
      <c r="M741" s="14" t="n"/>
    </row>
    <row r="742">
      <c r="B742" s="16" t="n"/>
      <c r="C742" s="15">
        <f>IF($B742="","",TEXT($B742,"ddd"))</f>
        <v/>
      </c>
      <c r="D742" s="40" t="n"/>
      <c r="E742" s="40" t="n"/>
      <c r="F742" s="15">
        <f>IF(OR($B742="",$D742="",$E742=""),"",ROUND(($E742-$D742)*24,2))</f>
        <v/>
      </c>
      <c r="G742" s="14" t="n"/>
      <c r="H742" s="15">
        <f>IF($G742="","",IFERROR(_xlfn.XLOOKUP($G742,nrCHname,nrCHnum),""))</f>
        <v/>
      </c>
      <c r="I742" s="14" t="n"/>
      <c r="J742" s="14" t="n"/>
      <c r="K742" s="15">
        <f>IF($B742="","",IFERROR(_xlfn.XLOOKUP($B742,nrCDdate,nrCDweek),""))</f>
        <v/>
      </c>
      <c r="L742" s="15">
        <f>IF($B742="","",IFERROR(_xlfn.XLOOKUP($B742,nrCDdate,nrCDnum),""))</f>
        <v/>
      </c>
      <c r="M742" s="14" t="n"/>
    </row>
    <row r="743">
      <c r="B743" s="16" t="n"/>
      <c r="C743" s="15">
        <f>IF($B743="","",TEXT($B743,"ddd"))</f>
        <v/>
      </c>
      <c r="D743" s="40" t="n"/>
      <c r="E743" s="40" t="n"/>
      <c r="F743" s="15">
        <f>IF(OR($B743="",$D743="",$E743=""),"",ROUND(($E743-$D743)*24,2))</f>
        <v/>
      </c>
      <c r="G743" s="14" t="n"/>
      <c r="H743" s="15">
        <f>IF($G743="","",IFERROR(_xlfn.XLOOKUP($G743,nrCHname,nrCHnum),""))</f>
        <v/>
      </c>
      <c r="I743" s="14" t="n"/>
      <c r="J743" s="14" t="n"/>
      <c r="K743" s="15">
        <f>IF($B743="","",IFERROR(_xlfn.XLOOKUP($B743,nrCDdate,nrCDweek),""))</f>
        <v/>
      </c>
      <c r="L743" s="15">
        <f>IF($B743="","",IFERROR(_xlfn.XLOOKUP($B743,nrCDdate,nrCDnum),""))</f>
        <v/>
      </c>
      <c r="M743" s="14" t="n"/>
    </row>
    <row r="744">
      <c r="B744" s="16" t="n"/>
      <c r="C744" s="15">
        <f>IF($B744="","",TEXT($B744,"ddd"))</f>
        <v/>
      </c>
      <c r="D744" s="40" t="n"/>
      <c r="E744" s="40" t="n"/>
      <c r="F744" s="15">
        <f>IF(OR($B744="",$D744="",$E744=""),"",ROUND(($E744-$D744)*24,2))</f>
        <v/>
      </c>
      <c r="G744" s="14" t="n"/>
      <c r="H744" s="15">
        <f>IF($G744="","",IFERROR(_xlfn.XLOOKUP($G744,nrCHname,nrCHnum),""))</f>
        <v/>
      </c>
      <c r="I744" s="14" t="n"/>
      <c r="J744" s="14" t="n"/>
      <c r="K744" s="15">
        <f>IF($B744="","",IFERROR(_xlfn.XLOOKUP($B744,nrCDdate,nrCDweek),""))</f>
        <v/>
      </c>
      <c r="L744" s="15">
        <f>IF($B744="","",IFERROR(_xlfn.XLOOKUP($B744,nrCDdate,nrCDnum),""))</f>
        <v/>
      </c>
      <c r="M744" s="14" t="n"/>
    </row>
    <row r="745">
      <c r="B745" s="16" t="n"/>
      <c r="C745" s="15">
        <f>IF($B745="","",TEXT($B745,"ddd"))</f>
        <v/>
      </c>
      <c r="D745" s="40" t="n"/>
      <c r="E745" s="40" t="n"/>
      <c r="F745" s="15">
        <f>IF(OR($B745="",$D745="",$E745=""),"",ROUND(($E745-$D745)*24,2))</f>
        <v/>
      </c>
      <c r="G745" s="14" t="n"/>
      <c r="H745" s="15">
        <f>IF($G745="","",IFERROR(_xlfn.XLOOKUP($G745,nrCHname,nrCHnum),""))</f>
        <v/>
      </c>
      <c r="I745" s="14" t="n"/>
      <c r="J745" s="14" t="n"/>
      <c r="K745" s="15">
        <f>IF($B745="","",IFERROR(_xlfn.XLOOKUP($B745,nrCDdate,nrCDweek),""))</f>
        <v/>
      </c>
      <c r="L745" s="15">
        <f>IF($B745="","",IFERROR(_xlfn.XLOOKUP($B745,nrCDdate,nrCDnum),""))</f>
        <v/>
      </c>
      <c r="M745" s="14" t="n"/>
    </row>
    <row r="746">
      <c r="B746" s="16" t="n"/>
      <c r="C746" s="15">
        <f>IF($B746="","",TEXT($B746,"ddd"))</f>
        <v/>
      </c>
      <c r="D746" s="40" t="n"/>
      <c r="E746" s="40" t="n"/>
      <c r="F746" s="15">
        <f>IF(OR($B746="",$D746="",$E746=""),"",ROUND(($E746-$D746)*24,2))</f>
        <v/>
      </c>
      <c r="G746" s="14" t="n"/>
      <c r="H746" s="15">
        <f>IF($G746="","",IFERROR(_xlfn.XLOOKUP($G746,nrCHname,nrCHnum),""))</f>
        <v/>
      </c>
      <c r="I746" s="14" t="n"/>
      <c r="J746" s="14" t="n"/>
      <c r="K746" s="15">
        <f>IF($B746="","",IFERROR(_xlfn.XLOOKUP($B746,nrCDdate,nrCDweek),""))</f>
        <v/>
      </c>
      <c r="L746" s="15">
        <f>IF($B746="","",IFERROR(_xlfn.XLOOKUP($B746,nrCDdate,nrCDnum),""))</f>
        <v/>
      </c>
      <c r="M746" s="14" t="n"/>
    </row>
    <row r="747">
      <c r="B747" s="16" t="n"/>
      <c r="C747" s="15">
        <f>IF($B747="","",TEXT($B747,"ddd"))</f>
        <v/>
      </c>
      <c r="D747" s="40" t="n"/>
      <c r="E747" s="40" t="n"/>
      <c r="F747" s="15">
        <f>IF(OR($B747="",$D747="",$E747=""),"",ROUND(($E747-$D747)*24,2))</f>
        <v/>
      </c>
      <c r="G747" s="14" t="n"/>
      <c r="H747" s="15">
        <f>IF($G747="","",IFERROR(_xlfn.XLOOKUP($G747,nrCHname,nrCHnum),""))</f>
        <v/>
      </c>
      <c r="I747" s="14" t="n"/>
      <c r="J747" s="14" t="n"/>
      <c r="K747" s="15">
        <f>IF($B747="","",IFERROR(_xlfn.XLOOKUP($B747,nrCDdate,nrCDweek),""))</f>
        <v/>
      </c>
      <c r="L747" s="15">
        <f>IF($B747="","",IFERROR(_xlfn.XLOOKUP($B747,nrCDdate,nrCDnum),""))</f>
        <v/>
      </c>
      <c r="M747" s="14" t="n"/>
    </row>
    <row r="748">
      <c r="B748" s="16" t="n"/>
      <c r="C748" s="15">
        <f>IF($B748="","",TEXT($B748,"ddd"))</f>
        <v/>
      </c>
      <c r="D748" s="40" t="n"/>
      <c r="E748" s="40" t="n"/>
      <c r="F748" s="15">
        <f>IF(OR($B748="",$D748="",$E748=""),"",ROUND(($E748-$D748)*24,2))</f>
        <v/>
      </c>
      <c r="G748" s="14" t="n"/>
      <c r="H748" s="15">
        <f>IF($G748="","",IFERROR(_xlfn.XLOOKUP($G748,nrCHname,nrCHnum),""))</f>
        <v/>
      </c>
      <c r="I748" s="14" t="n"/>
      <c r="J748" s="14" t="n"/>
      <c r="K748" s="15">
        <f>IF($B748="","",IFERROR(_xlfn.XLOOKUP($B748,nrCDdate,nrCDweek),""))</f>
        <v/>
      </c>
      <c r="L748" s="15">
        <f>IF($B748="","",IFERROR(_xlfn.XLOOKUP($B748,nrCDdate,nrCDnum),""))</f>
        <v/>
      </c>
      <c r="M748" s="14" t="n"/>
    </row>
    <row r="749">
      <c r="B749" s="16" t="n"/>
      <c r="C749" s="15">
        <f>IF($B749="","",TEXT($B749,"ddd"))</f>
        <v/>
      </c>
      <c r="D749" s="40" t="n"/>
      <c r="E749" s="40" t="n"/>
      <c r="F749" s="15">
        <f>IF(OR($B749="",$D749="",$E749=""),"",ROUND(($E749-$D749)*24,2))</f>
        <v/>
      </c>
      <c r="G749" s="14" t="n"/>
      <c r="H749" s="15">
        <f>IF($G749="","",IFERROR(_xlfn.XLOOKUP($G749,nrCHname,nrCHnum),""))</f>
        <v/>
      </c>
      <c r="I749" s="14" t="n"/>
      <c r="J749" s="14" t="n"/>
      <c r="K749" s="15">
        <f>IF($B749="","",IFERROR(_xlfn.XLOOKUP($B749,nrCDdate,nrCDweek),""))</f>
        <v/>
      </c>
      <c r="L749" s="15">
        <f>IF($B749="","",IFERROR(_xlfn.XLOOKUP($B749,nrCDdate,nrCDnum),""))</f>
        <v/>
      </c>
      <c r="M749" s="14" t="n"/>
    </row>
    <row r="750">
      <c r="B750" s="16" t="n"/>
      <c r="C750" s="15">
        <f>IF($B750="","",TEXT($B750,"ddd"))</f>
        <v/>
      </c>
      <c r="D750" s="40" t="n"/>
      <c r="E750" s="40" t="n"/>
      <c r="F750" s="15">
        <f>IF(OR($B750="",$D750="",$E750=""),"",ROUND(($E750-$D750)*24,2))</f>
        <v/>
      </c>
      <c r="G750" s="14" t="n"/>
      <c r="H750" s="15">
        <f>IF($G750="","",IFERROR(_xlfn.XLOOKUP($G750,nrCHname,nrCHnum),""))</f>
        <v/>
      </c>
      <c r="I750" s="14" t="n"/>
      <c r="J750" s="14" t="n"/>
      <c r="K750" s="15">
        <f>IF($B750="","",IFERROR(_xlfn.XLOOKUP($B750,nrCDdate,nrCDweek),""))</f>
        <v/>
      </c>
      <c r="L750" s="15">
        <f>IF($B750="","",IFERROR(_xlfn.XLOOKUP($B750,nrCDdate,nrCDnum),""))</f>
        <v/>
      </c>
      <c r="M750" s="14" t="n"/>
    </row>
    <row r="751">
      <c r="B751" s="16" t="n"/>
      <c r="C751" s="15">
        <f>IF($B751="","",TEXT($B751,"ddd"))</f>
        <v/>
      </c>
      <c r="D751" s="40" t="n"/>
      <c r="E751" s="40" t="n"/>
      <c r="F751" s="15">
        <f>IF(OR($B751="",$D751="",$E751=""),"",ROUND(($E751-$D751)*24,2))</f>
        <v/>
      </c>
      <c r="G751" s="14" t="n"/>
      <c r="H751" s="15">
        <f>IF($G751="","",IFERROR(_xlfn.XLOOKUP($G751,nrCHname,nrCHnum),""))</f>
        <v/>
      </c>
      <c r="I751" s="14" t="n"/>
      <c r="J751" s="14" t="n"/>
      <c r="K751" s="15">
        <f>IF($B751="","",IFERROR(_xlfn.XLOOKUP($B751,nrCDdate,nrCDweek),""))</f>
        <v/>
      </c>
      <c r="L751" s="15">
        <f>IF($B751="","",IFERROR(_xlfn.XLOOKUP($B751,nrCDdate,nrCDnum),""))</f>
        <v/>
      </c>
      <c r="M751" s="14" t="n"/>
    </row>
    <row r="752">
      <c r="B752" s="16" t="n"/>
      <c r="C752" s="15">
        <f>IF($B752="","",TEXT($B752,"ddd"))</f>
        <v/>
      </c>
      <c r="D752" s="40" t="n"/>
      <c r="E752" s="40" t="n"/>
      <c r="F752" s="15">
        <f>IF(OR($B752="",$D752="",$E752=""),"",ROUND(($E752-$D752)*24,2))</f>
        <v/>
      </c>
      <c r="G752" s="14" t="n"/>
      <c r="H752" s="15">
        <f>IF($G752="","",IFERROR(_xlfn.XLOOKUP($G752,nrCHname,nrCHnum),""))</f>
        <v/>
      </c>
      <c r="I752" s="14" t="n"/>
      <c r="J752" s="14" t="n"/>
      <c r="K752" s="15">
        <f>IF($B752="","",IFERROR(_xlfn.XLOOKUP($B752,nrCDdate,nrCDweek),""))</f>
        <v/>
      </c>
      <c r="L752" s="15">
        <f>IF($B752="","",IFERROR(_xlfn.XLOOKUP($B752,nrCDdate,nrCDnum),""))</f>
        <v/>
      </c>
      <c r="M752" s="14" t="n"/>
    </row>
    <row r="753">
      <c r="B753" s="16" t="n"/>
      <c r="C753" s="15">
        <f>IF($B753="","",TEXT($B753,"ddd"))</f>
        <v/>
      </c>
      <c r="D753" s="40" t="n"/>
      <c r="E753" s="40" t="n"/>
      <c r="F753" s="15">
        <f>IF(OR($B753="",$D753="",$E753=""),"",ROUND(($E753-$D753)*24,2))</f>
        <v/>
      </c>
      <c r="G753" s="14" t="n"/>
      <c r="H753" s="15">
        <f>IF($G753="","",IFERROR(_xlfn.XLOOKUP($G753,nrCHname,nrCHnum),""))</f>
        <v/>
      </c>
      <c r="I753" s="14" t="n"/>
      <c r="J753" s="14" t="n"/>
      <c r="K753" s="15">
        <f>IF($B753="","",IFERROR(_xlfn.XLOOKUP($B753,nrCDdate,nrCDweek),""))</f>
        <v/>
      </c>
      <c r="L753" s="15">
        <f>IF($B753="","",IFERROR(_xlfn.XLOOKUP($B753,nrCDdate,nrCDnum),""))</f>
        <v/>
      </c>
      <c r="M753" s="14" t="n"/>
    </row>
    <row r="754">
      <c r="B754" s="16" t="n"/>
      <c r="C754" s="15">
        <f>IF($B754="","",TEXT($B754,"ddd"))</f>
        <v/>
      </c>
      <c r="D754" s="40" t="n"/>
      <c r="E754" s="40" t="n"/>
      <c r="F754" s="15">
        <f>IF(OR($B754="",$D754="",$E754=""),"",ROUND(($E754-$D754)*24,2))</f>
        <v/>
      </c>
      <c r="G754" s="14" t="n"/>
      <c r="H754" s="15">
        <f>IF($G754="","",IFERROR(_xlfn.XLOOKUP($G754,nrCHname,nrCHnum),""))</f>
        <v/>
      </c>
      <c r="I754" s="14" t="n"/>
      <c r="J754" s="14" t="n"/>
      <c r="K754" s="15">
        <f>IF($B754="","",IFERROR(_xlfn.XLOOKUP($B754,nrCDdate,nrCDweek),""))</f>
        <v/>
      </c>
      <c r="L754" s="15">
        <f>IF($B754="","",IFERROR(_xlfn.XLOOKUP($B754,nrCDdate,nrCDnum),""))</f>
        <v/>
      </c>
      <c r="M754" s="14" t="n"/>
    </row>
    <row r="755">
      <c r="B755" s="16" t="n"/>
      <c r="C755" s="15">
        <f>IF($B755="","",TEXT($B755,"ddd"))</f>
        <v/>
      </c>
      <c r="D755" s="40" t="n"/>
      <c r="E755" s="40" t="n"/>
      <c r="F755" s="15">
        <f>IF(OR($B755="",$D755="",$E755=""),"",ROUND(($E755-$D755)*24,2))</f>
        <v/>
      </c>
      <c r="G755" s="14" t="n"/>
      <c r="H755" s="15">
        <f>IF($G755="","",IFERROR(_xlfn.XLOOKUP($G755,nrCHname,nrCHnum),""))</f>
        <v/>
      </c>
      <c r="I755" s="14" t="n"/>
      <c r="J755" s="14" t="n"/>
      <c r="K755" s="15">
        <f>IF($B755="","",IFERROR(_xlfn.XLOOKUP($B755,nrCDdate,nrCDweek),""))</f>
        <v/>
      </c>
      <c r="L755" s="15">
        <f>IF($B755="","",IFERROR(_xlfn.XLOOKUP($B755,nrCDdate,nrCDnum),""))</f>
        <v/>
      </c>
      <c r="M755" s="14" t="n"/>
    </row>
    <row r="756">
      <c r="B756" s="16" t="n"/>
      <c r="C756" s="15">
        <f>IF($B756="","",TEXT($B756,"ddd"))</f>
        <v/>
      </c>
      <c r="D756" s="40" t="n"/>
      <c r="E756" s="40" t="n"/>
      <c r="F756" s="15">
        <f>IF(OR($B756="",$D756="",$E756=""),"",ROUND(($E756-$D756)*24,2))</f>
        <v/>
      </c>
      <c r="G756" s="14" t="n"/>
      <c r="H756" s="15">
        <f>IF($G756="","",IFERROR(_xlfn.XLOOKUP($G756,nrCHname,nrCHnum),""))</f>
        <v/>
      </c>
      <c r="I756" s="14" t="n"/>
      <c r="J756" s="14" t="n"/>
      <c r="K756" s="15">
        <f>IF($B756="","",IFERROR(_xlfn.XLOOKUP($B756,nrCDdate,nrCDweek),""))</f>
        <v/>
      </c>
      <c r="L756" s="15">
        <f>IF($B756="","",IFERROR(_xlfn.XLOOKUP($B756,nrCDdate,nrCDnum),""))</f>
        <v/>
      </c>
      <c r="M756" s="14" t="n"/>
    </row>
    <row r="757">
      <c r="B757" s="16" t="n"/>
      <c r="C757" s="15">
        <f>IF($B757="","",TEXT($B757,"ddd"))</f>
        <v/>
      </c>
      <c r="D757" s="40" t="n"/>
      <c r="E757" s="40" t="n"/>
      <c r="F757" s="15">
        <f>IF(OR($B757="",$D757="",$E757=""),"",ROUND(($E757-$D757)*24,2))</f>
        <v/>
      </c>
      <c r="G757" s="14" t="n"/>
      <c r="H757" s="15">
        <f>IF($G757="","",IFERROR(_xlfn.XLOOKUP($G757,nrCHname,nrCHnum),""))</f>
        <v/>
      </c>
      <c r="I757" s="14" t="n"/>
      <c r="J757" s="14" t="n"/>
      <c r="K757" s="15">
        <f>IF($B757="","",IFERROR(_xlfn.XLOOKUP($B757,nrCDdate,nrCDweek),""))</f>
        <v/>
      </c>
      <c r="L757" s="15">
        <f>IF($B757="","",IFERROR(_xlfn.XLOOKUP($B757,nrCDdate,nrCDnum),""))</f>
        <v/>
      </c>
      <c r="M757" s="14" t="n"/>
    </row>
    <row r="758">
      <c r="B758" s="16" t="n"/>
      <c r="C758" s="15">
        <f>IF($B758="","",TEXT($B758,"ddd"))</f>
        <v/>
      </c>
      <c r="D758" s="40" t="n"/>
      <c r="E758" s="40" t="n"/>
      <c r="F758" s="15">
        <f>IF(OR($B758="",$D758="",$E758=""),"",ROUND(($E758-$D758)*24,2))</f>
        <v/>
      </c>
      <c r="G758" s="14" t="n"/>
      <c r="H758" s="15">
        <f>IF($G758="","",IFERROR(_xlfn.XLOOKUP($G758,nrCHname,nrCHnum),""))</f>
        <v/>
      </c>
      <c r="I758" s="14" t="n"/>
      <c r="J758" s="14" t="n"/>
      <c r="K758" s="15">
        <f>IF($B758="","",IFERROR(_xlfn.XLOOKUP($B758,nrCDdate,nrCDweek),""))</f>
        <v/>
      </c>
      <c r="L758" s="15">
        <f>IF($B758="","",IFERROR(_xlfn.XLOOKUP($B758,nrCDdate,nrCDnum),""))</f>
        <v/>
      </c>
      <c r="M758" s="14" t="n"/>
    </row>
    <row r="759">
      <c r="B759" s="16" t="n"/>
      <c r="C759" s="15">
        <f>IF($B759="","",TEXT($B759,"ddd"))</f>
        <v/>
      </c>
      <c r="D759" s="40" t="n"/>
      <c r="E759" s="40" t="n"/>
      <c r="F759" s="15">
        <f>IF(OR($B759="",$D759="",$E759=""),"",ROUND(($E759-$D759)*24,2))</f>
        <v/>
      </c>
      <c r="G759" s="14" t="n"/>
      <c r="H759" s="15">
        <f>IF($G759="","",IFERROR(_xlfn.XLOOKUP($G759,nrCHname,nrCHnum),""))</f>
        <v/>
      </c>
      <c r="I759" s="14" t="n"/>
      <c r="J759" s="14" t="n"/>
      <c r="K759" s="15">
        <f>IF($B759="","",IFERROR(_xlfn.XLOOKUP($B759,nrCDdate,nrCDweek),""))</f>
        <v/>
      </c>
      <c r="L759" s="15">
        <f>IF($B759="","",IFERROR(_xlfn.XLOOKUP($B759,nrCDdate,nrCDnum),""))</f>
        <v/>
      </c>
      <c r="M759" s="14" t="n"/>
    </row>
    <row r="760">
      <c r="B760" s="16" t="n"/>
      <c r="C760" s="15">
        <f>IF($B760="","",TEXT($B760,"ddd"))</f>
        <v/>
      </c>
      <c r="D760" s="40" t="n"/>
      <c r="E760" s="40" t="n"/>
      <c r="F760" s="15">
        <f>IF(OR($B760="",$D760="",$E760=""),"",ROUND(($E760-$D760)*24,2))</f>
        <v/>
      </c>
      <c r="G760" s="14" t="n"/>
      <c r="H760" s="15">
        <f>IF($G760="","",IFERROR(_xlfn.XLOOKUP($G760,nrCHname,nrCHnum),""))</f>
        <v/>
      </c>
      <c r="I760" s="14" t="n"/>
      <c r="J760" s="14" t="n"/>
      <c r="K760" s="15">
        <f>IF($B760="","",IFERROR(_xlfn.XLOOKUP($B760,nrCDdate,nrCDweek),""))</f>
        <v/>
      </c>
      <c r="L760" s="15">
        <f>IF($B760="","",IFERROR(_xlfn.XLOOKUP($B760,nrCDdate,nrCDnum),""))</f>
        <v/>
      </c>
      <c r="M760" s="14" t="n"/>
    </row>
    <row r="761">
      <c r="B761" s="16" t="n"/>
      <c r="C761" s="15">
        <f>IF($B761="","",TEXT($B761,"ddd"))</f>
        <v/>
      </c>
      <c r="D761" s="40" t="n"/>
      <c r="E761" s="40" t="n"/>
      <c r="F761" s="15">
        <f>IF(OR($B761="",$D761="",$E761=""),"",ROUND(($E761-$D761)*24,2))</f>
        <v/>
      </c>
      <c r="G761" s="14" t="n"/>
      <c r="H761" s="15">
        <f>IF($G761="","",IFERROR(_xlfn.XLOOKUP($G761,nrCHname,nrCHnum),""))</f>
        <v/>
      </c>
      <c r="I761" s="14" t="n"/>
      <c r="J761" s="14" t="n"/>
      <c r="K761" s="15">
        <f>IF($B761="","",IFERROR(_xlfn.XLOOKUP($B761,nrCDdate,nrCDweek),""))</f>
        <v/>
      </c>
      <c r="L761" s="15">
        <f>IF($B761="","",IFERROR(_xlfn.XLOOKUP($B761,nrCDdate,nrCDnum),""))</f>
        <v/>
      </c>
      <c r="M761" s="14" t="n"/>
    </row>
    <row r="762">
      <c r="B762" s="16" t="n"/>
      <c r="C762" s="15">
        <f>IF($B762="","",TEXT($B762,"ddd"))</f>
        <v/>
      </c>
      <c r="D762" s="40" t="n"/>
      <c r="E762" s="40" t="n"/>
      <c r="F762" s="15">
        <f>IF(OR($B762="",$D762="",$E762=""),"",ROUND(($E762-$D762)*24,2))</f>
        <v/>
      </c>
      <c r="G762" s="14" t="n"/>
      <c r="H762" s="15">
        <f>IF($G762="","",IFERROR(_xlfn.XLOOKUP($G762,nrCHname,nrCHnum),""))</f>
        <v/>
      </c>
      <c r="I762" s="14" t="n"/>
      <c r="J762" s="14" t="n"/>
      <c r="K762" s="15">
        <f>IF($B762="","",IFERROR(_xlfn.XLOOKUP($B762,nrCDdate,nrCDweek),""))</f>
        <v/>
      </c>
      <c r="L762" s="15">
        <f>IF($B762="","",IFERROR(_xlfn.XLOOKUP($B762,nrCDdate,nrCDnum),""))</f>
        <v/>
      </c>
      <c r="M762" s="14" t="n"/>
    </row>
    <row r="763">
      <c r="B763" s="16" t="n"/>
      <c r="C763" s="15">
        <f>IF($B763="","",TEXT($B763,"ddd"))</f>
        <v/>
      </c>
      <c r="D763" s="40" t="n"/>
      <c r="E763" s="40" t="n"/>
      <c r="F763" s="15">
        <f>IF(OR($B763="",$D763="",$E763=""),"",ROUND(($E763-$D763)*24,2))</f>
        <v/>
      </c>
      <c r="G763" s="14" t="n"/>
      <c r="H763" s="15">
        <f>IF($G763="","",IFERROR(_xlfn.XLOOKUP($G763,nrCHname,nrCHnum),""))</f>
        <v/>
      </c>
      <c r="I763" s="14" t="n"/>
      <c r="J763" s="14" t="n"/>
      <c r="K763" s="15">
        <f>IF($B763="","",IFERROR(_xlfn.XLOOKUP($B763,nrCDdate,nrCDweek),""))</f>
        <v/>
      </c>
      <c r="L763" s="15">
        <f>IF($B763="","",IFERROR(_xlfn.XLOOKUP($B763,nrCDdate,nrCDnum),""))</f>
        <v/>
      </c>
      <c r="M763" s="14" t="n"/>
    </row>
    <row r="764">
      <c r="B764" s="16" t="n"/>
      <c r="C764" s="15">
        <f>IF($B764="","",TEXT($B764,"ddd"))</f>
        <v/>
      </c>
      <c r="D764" s="40" t="n"/>
      <c r="E764" s="40" t="n"/>
      <c r="F764" s="15">
        <f>IF(OR($B764="",$D764="",$E764=""),"",ROUND(($E764-$D764)*24,2))</f>
        <v/>
      </c>
      <c r="G764" s="14" t="n"/>
      <c r="H764" s="15">
        <f>IF($G764="","",IFERROR(_xlfn.XLOOKUP($G764,nrCHname,nrCHnum),""))</f>
        <v/>
      </c>
      <c r="I764" s="14" t="n"/>
      <c r="J764" s="14" t="n"/>
      <c r="K764" s="15">
        <f>IF($B764="","",IFERROR(_xlfn.XLOOKUP($B764,nrCDdate,nrCDweek),""))</f>
        <v/>
      </c>
      <c r="L764" s="15">
        <f>IF($B764="","",IFERROR(_xlfn.XLOOKUP($B764,nrCDdate,nrCDnum),""))</f>
        <v/>
      </c>
      <c r="M764" s="14" t="n"/>
    </row>
    <row r="765">
      <c r="B765" s="16" t="n"/>
      <c r="C765" s="15">
        <f>IF($B765="","",TEXT($B765,"ddd"))</f>
        <v/>
      </c>
      <c r="D765" s="40" t="n"/>
      <c r="E765" s="40" t="n"/>
      <c r="F765" s="15">
        <f>IF(OR($B765="",$D765="",$E765=""),"",ROUND(($E765-$D765)*24,2))</f>
        <v/>
      </c>
      <c r="G765" s="14" t="n"/>
      <c r="H765" s="15">
        <f>IF($G765="","",IFERROR(_xlfn.XLOOKUP($G765,nrCHname,nrCHnum),""))</f>
        <v/>
      </c>
      <c r="I765" s="14" t="n"/>
      <c r="J765" s="14" t="n"/>
      <c r="K765" s="15">
        <f>IF($B765="","",IFERROR(_xlfn.XLOOKUP($B765,nrCDdate,nrCDweek),""))</f>
        <v/>
      </c>
      <c r="L765" s="15">
        <f>IF($B765="","",IFERROR(_xlfn.XLOOKUP($B765,nrCDdate,nrCDnum),""))</f>
        <v/>
      </c>
      <c r="M765" s="14" t="n"/>
    </row>
    <row r="766">
      <c r="B766" s="16" t="n"/>
      <c r="C766" s="15">
        <f>IF($B766="","",TEXT($B766,"ddd"))</f>
        <v/>
      </c>
      <c r="D766" s="40" t="n"/>
      <c r="E766" s="40" t="n"/>
      <c r="F766" s="15">
        <f>IF(OR($B766="",$D766="",$E766=""),"",ROUND(($E766-$D766)*24,2))</f>
        <v/>
      </c>
      <c r="G766" s="14" t="n"/>
      <c r="H766" s="15">
        <f>IF($G766="","",IFERROR(_xlfn.XLOOKUP($G766,nrCHname,nrCHnum),""))</f>
        <v/>
      </c>
      <c r="I766" s="14" t="n"/>
      <c r="J766" s="14" t="n"/>
      <c r="K766" s="15">
        <f>IF($B766="","",IFERROR(_xlfn.XLOOKUP($B766,nrCDdate,nrCDweek),""))</f>
        <v/>
      </c>
      <c r="L766" s="15">
        <f>IF($B766="","",IFERROR(_xlfn.XLOOKUP($B766,nrCDdate,nrCDnum),""))</f>
        <v/>
      </c>
      <c r="M766" s="14" t="n"/>
    </row>
    <row r="767">
      <c r="B767" s="16" t="n"/>
      <c r="C767" s="15">
        <f>IF($B767="","",TEXT($B767,"ddd"))</f>
        <v/>
      </c>
      <c r="D767" s="40" t="n"/>
      <c r="E767" s="40" t="n"/>
      <c r="F767" s="15">
        <f>IF(OR($B767="",$D767="",$E767=""),"",ROUND(($E767-$D767)*24,2))</f>
        <v/>
      </c>
      <c r="G767" s="14" t="n"/>
      <c r="H767" s="15">
        <f>IF($G767="","",IFERROR(_xlfn.XLOOKUP($G767,nrCHname,nrCHnum),""))</f>
        <v/>
      </c>
      <c r="I767" s="14" t="n"/>
      <c r="J767" s="14" t="n"/>
      <c r="K767" s="15">
        <f>IF($B767="","",IFERROR(_xlfn.XLOOKUP($B767,nrCDdate,nrCDweek),""))</f>
        <v/>
      </c>
      <c r="L767" s="15">
        <f>IF($B767="","",IFERROR(_xlfn.XLOOKUP($B767,nrCDdate,nrCDnum),""))</f>
        <v/>
      </c>
      <c r="M767" s="14" t="n"/>
    </row>
    <row r="768">
      <c r="B768" s="16" t="n"/>
      <c r="C768" s="15">
        <f>IF($B768="","",TEXT($B768,"ddd"))</f>
        <v/>
      </c>
      <c r="D768" s="40" t="n"/>
      <c r="E768" s="40" t="n"/>
      <c r="F768" s="15">
        <f>IF(OR($B768="",$D768="",$E768=""),"",ROUND(($E768-$D768)*24,2))</f>
        <v/>
      </c>
      <c r="G768" s="14" t="n"/>
      <c r="H768" s="15">
        <f>IF($G768="","",IFERROR(_xlfn.XLOOKUP($G768,nrCHname,nrCHnum),""))</f>
        <v/>
      </c>
      <c r="I768" s="14" t="n"/>
      <c r="J768" s="14" t="n"/>
      <c r="K768" s="15">
        <f>IF($B768="","",IFERROR(_xlfn.XLOOKUP($B768,nrCDdate,nrCDweek),""))</f>
        <v/>
      </c>
      <c r="L768" s="15">
        <f>IF($B768="","",IFERROR(_xlfn.XLOOKUP($B768,nrCDdate,nrCDnum),""))</f>
        <v/>
      </c>
      <c r="M768" s="14" t="n"/>
    </row>
    <row r="769">
      <c r="B769" s="16" t="n"/>
      <c r="C769" s="15">
        <f>IF($B769="","",TEXT($B769,"ddd"))</f>
        <v/>
      </c>
      <c r="D769" s="40" t="n"/>
      <c r="E769" s="40" t="n"/>
      <c r="F769" s="15">
        <f>IF(OR($B769="",$D769="",$E769=""),"",ROUND(($E769-$D769)*24,2))</f>
        <v/>
      </c>
      <c r="G769" s="14" t="n"/>
      <c r="H769" s="15">
        <f>IF($G769="","",IFERROR(_xlfn.XLOOKUP($G769,nrCHname,nrCHnum),""))</f>
        <v/>
      </c>
      <c r="I769" s="14" t="n"/>
      <c r="J769" s="14" t="n"/>
      <c r="K769" s="15">
        <f>IF($B769="","",IFERROR(_xlfn.XLOOKUP($B769,nrCDdate,nrCDweek),""))</f>
        <v/>
      </c>
      <c r="L769" s="15">
        <f>IF($B769="","",IFERROR(_xlfn.XLOOKUP($B769,nrCDdate,nrCDnum),""))</f>
        <v/>
      </c>
      <c r="M769" s="14" t="n"/>
    </row>
    <row r="770">
      <c r="B770" s="16" t="n"/>
      <c r="C770" s="15">
        <f>IF($B770="","",TEXT($B770,"ddd"))</f>
        <v/>
      </c>
      <c r="D770" s="40" t="n"/>
      <c r="E770" s="40" t="n"/>
      <c r="F770" s="15">
        <f>IF(OR($B770="",$D770="",$E770=""),"",ROUND(($E770-$D770)*24,2))</f>
        <v/>
      </c>
      <c r="G770" s="14" t="n"/>
      <c r="H770" s="15">
        <f>IF($G770="","",IFERROR(_xlfn.XLOOKUP($G770,nrCHname,nrCHnum),""))</f>
        <v/>
      </c>
      <c r="I770" s="14" t="n"/>
      <c r="J770" s="14" t="n"/>
      <c r="K770" s="15">
        <f>IF($B770="","",IFERROR(_xlfn.XLOOKUP($B770,nrCDdate,nrCDweek),""))</f>
        <v/>
      </c>
      <c r="L770" s="15">
        <f>IF($B770="","",IFERROR(_xlfn.XLOOKUP($B770,nrCDdate,nrCDnum),""))</f>
        <v/>
      </c>
      <c r="M770" s="14" t="n"/>
    </row>
    <row r="771">
      <c r="B771" s="16" t="n"/>
      <c r="C771" s="15">
        <f>IF($B771="","",TEXT($B771,"ddd"))</f>
        <v/>
      </c>
      <c r="D771" s="40" t="n"/>
      <c r="E771" s="40" t="n"/>
      <c r="F771" s="15">
        <f>IF(OR($B771="",$D771="",$E771=""),"",ROUND(($E771-$D771)*24,2))</f>
        <v/>
      </c>
      <c r="G771" s="14" t="n"/>
      <c r="H771" s="15">
        <f>IF($G771="","",IFERROR(_xlfn.XLOOKUP($G771,nrCHname,nrCHnum),""))</f>
        <v/>
      </c>
      <c r="I771" s="14" t="n"/>
      <c r="J771" s="14" t="n"/>
      <c r="K771" s="15">
        <f>IF($B771="","",IFERROR(_xlfn.XLOOKUP($B771,nrCDdate,nrCDweek),""))</f>
        <v/>
      </c>
      <c r="L771" s="15">
        <f>IF($B771="","",IFERROR(_xlfn.XLOOKUP($B771,nrCDdate,nrCDnum),""))</f>
        <v/>
      </c>
      <c r="M771" s="14" t="n"/>
    </row>
    <row r="772">
      <c r="B772" s="16" t="n"/>
      <c r="C772" s="15">
        <f>IF($B772="","",TEXT($B772,"ddd"))</f>
        <v/>
      </c>
      <c r="D772" s="40" t="n"/>
      <c r="E772" s="40" t="n"/>
      <c r="F772" s="15">
        <f>IF(OR($B772="",$D772="",$E772=""),"",ROUND(($E772-$D772)*24,2))</f>
        <v/>
      </c>
      <c r="G772" s="14" t="n"/>
      <c r="H772" s="15">
        <f>IF($G772="","",IFERROR(_xlfn.XLOOKUP($G772,nrCHname,nrCHnum),""))</f>
        <v/>
      </c>
      <c r="I772" s="14" t="n"/>
      <c r="J772" s="14" t="n"/>
      <c r="K772" s="15">
        <f>IF($B772="","",IFERROR(_xlfn.XLOOKUP($B772,nrCDdate,nrCDweek),""))</f>
        <v/>
      </c>
      <c r="L772" s="15">
        <f>IF($B772="","",IFERROR(_xlfn.XLOOKUP($B772,nrCDdate,nrCDnum),""))</f>
        <v/>
      </c>
      <c r="M772" s="14" t="n"/>
    </row>
    <row r="773">
      <c r="B773" s="16" t="n"/>
      <c r="C773" s="15">
        <f>IF($B773="","",TEXT($B773,"ddd"))</f>
        <v/>
      </c>
      <c r="D773" s="40" t="n"/>
      <c r="E773" s="40" t="n"/>
      <c r="F773" s="15">
        <f>IF(OR($B773="",$D773="",$E773=""),"",ROUND(($E773-$D773)*24,2))</f>
        <v/>
      </c>
      <c r="G773" s="14" t="n"/>
      <c r="H773" s="15">
        <f>IF($G773="","",IFERROR(_xlfn.XLOOKUP($G773,nrCHname,nrCHnum),""))</f>
        <v/>
      </c>
      <c r="I773" s="14" t="n"/>
      <c r="J773" s="14" t="n"/>
      <c r="K773" s="15">
        <f>IF($B773="","",IFERROR(_xlfn.XLOOKUP($B773,nrCDdate,nrCDweek),""))</f>
        <v/>
      </c>
      <c r="L773" s="15">
        <f>IF($B773="","",IFERROR(_xlfn.XLOOKUP($B773,nrCDdate,nrCDnum),""))</f>
        <v/>
      </c>
      <c r="M773" s="14" t="n"/>
    </row>
    <row r="774">
      <c r="B774" s="16" t="n"/>
      <c r="C774" s="15">
        <f>IF($B774="","",TEXT($B774,"ddd"))</f>
        <v/>
      </c>
      <c r="D774" s="40" t="n"/>
      <c r="E774" s="40" t="n"/>
      <c r="F774" s="15">
        <f>IF(OR($B774="",$D774="",$E774=""),"",ROUND(($E774-$D774)*24,2))</f>
        <v/>
      </c>
      <c r="G774" s="14" t="n"/>
      <c r="H774" s="15">
        <f>IF($G774="","",IFERROR(_xlfn.XLOOKUP($G774,nrCHname,nrCHnum),""))</f>
        <v/>
      </c>
      <c r="I774" s="14" t="n"/>
      <c r="J774" s="14" t="n"/>
      <c r="K774" s="15">
        <f>IF($B774="","",IFERROR(_xlfn.XLOOKUP($B774,nrCDdate,nrCDweek),""))</f>
        <v/>
      </c>
      <c r="L774" s="15">
        <f>IF($B774="","",IFERROR(_xlfn.XLOOKUP($B774,nrCDdate,nrCDnum),""))</f>
        <v/>
      </c>
      <c r="M774" s="14" t="n"/>
    </row>
    <row r="775">
      <c r="B775" s="16" t="n"/>
      <c r="C775" s="15">
        <f>IF($B775="","",TEXT($B775,"ddd"))</f>
        <v/>
      </c>
      <c r="D775" s="40" t="n"/>
      <c r="E775" s="40" t="n"/>
      <c r="F775" s="15">
        <f>IF(OR($B775="",$D775="",$E775=""),"",ROUND(($E775-$D775)*24,2))</f>
        <v/>
      </c>
      <c r="G775" s="14" t="n"/>
      <c r="H775" s="15">
        <f>IF($G775="","",IFERROR(_xlfn.XLOOKUP($G775,nrCHname,nrCHnum),""))</f>
        <v/>
      </c>
      <c r="I775" s="14" t="n"/>
      <c r="J775" s="14" t="n"/>
      <c r="K775" s="15">
        <f>IF($B775="","",IFERROR(_xlfn.XLOOKUP($B775,nrCDdate,nrCDweek),""))</f>
        <v/>
      </c>
      <c r="L775" s="15">
        <f>IF($B775="","",IFERROR(_xlfn.XLOOKUP($B775,nrCDdate,nrCDnum),""))</f>
        <v/>
      </c>
      <c r="M775" s="14" t="n"/>
    </row>
    <row r="776">
      <c r="B776" s="16" t="n"/>
      <c r="C776" s="15">
        <f>IF($B776="","",TEXT($B776,"ddd"))</f>
        <v/>
      </c>
      <c r="D776" s="40" t="n"/>
      <c r="E776" s="40" t="n"/>
      <c r="F776" s="15">
        <f>IF(OR($B776="",$D776="",$E776=""),"",ROUND(($E776-$D776)*24,2))</f>
        <v/>
      </c>
      <c r="G776" s="14" t="n"/>
      <c r="H776" s="15">
        <f>IF($G776="","",IFERROR(_xlfn.XLOOKUP($G776,nrCHname,nrCHnum),""))</f>
        <v/>
      </c>
      <c r="I776" s="14" t="n"/>
      <c r="J776" s="14" t="n"/>
      <c r="K776" s="15">
        <f>IF($B776="","",IFERROR(_xlfn.XLOOKUP($B776,nrCDdate,nrCDweek),""))</f>
        <v/>
      </c>
      <c r="L776" s="15">
        <f>IF($B776="","",IFERROR(_xlfn.XLOOKUP($B776,nrCDdate,nrCDnum),""))</f>
        <v/>
      </c>
      <c r="M776" s="14" t="n"/>
    </row>
    <row r="777">
      <c r="B777" s="16" t="n"/>
      <c r="C777" s="15">
        <f>IF($B777="","",TEXT($B777,"ddd"))</f>
        <v/>
      </c>
      <c r="D777" s="40" t="n"/>
      <c r="E777" s="40" t="n"/>
      <c r="F777" s="15">
        <f>IF(OR($B777="",$D777="",$E777=""),"",ROUND(($E777-$D777)*24,2))</f>
        <v/>
      </c>
      <c r="G777" s="14" t="n"/>
      <c r="H777" s="15">
        <f>IF($G777="","",IFERROR(_xlfn.XLOOKUP($G777,nrCHname,nrCHnum),""))</f>
        <v/>
      </c>
      <c r="I777" s="14" t="n"/>
      <c r="J777" s="14" t="n"/>
      <c r="K777" s="15">
        <f>IF($B777="","",IFERROR(_xlfn.XLOOKUP($B777,nrCDdate,nrCDweek),""))</f>
        <v/>
      </c>
      <c r="L777" s="15">
        <f>IF($B777="","",IFERROR(_xlfn.XLOOKUP($B777,nrCDdate,nrCDnum),""))</f>
        <v/>
      </c>
      <c r="M777" s="14" t="n"/>
    </row>
    <row r="778">
      <c r="B778" s="16" t="n"/>
      <c r="C778" s="15">
        <f>IF($B778="","",TEXT($B778,"ddd"))</f>
        <v/>
      </c>
      <c r="D778" s="40" t="n"/>
      <c r="E778" s="40" t="n"/>
      <c r="F778" s="15">
        <f>IF(OR($B778="",$D778="",$E778=""),"",ROUND(($E778-$D778)*24,2))</f>
        <v/>
      </c>
      <c r="G778" s="14" t="n"/>
      <c r="H778" s="15">
        <f>IF($G778="","",IFERROR(_xlfn.XLOOKUP($G778,nrCHname,nrCHnum),""))</f>
        <v/>
      </c>
      <c r="I778" s="14" t="n"/>
      <c r="J778" s="14" t="n"/>
      <c r="K778" s="15">
        <f>IF($B778="","",IFERROR(_xlfn.XLOOKUP($B778,nrCDdate,nrCDweek),""))</f>
        <v/>
      </c>
      <c r="L778" s="15">
        <f>IF($B778="","",IFERROR(_xlfn.XLOOKUP($B778,nrCDdate,nrCDnum),""))</f>
        <v/>
      </c>
      <c r="M778" s="14" t="n"/>
    </row>
    <row r="779">
      <c r="B779" s="16" t="n"/>
      <c r="C779" s="15">
        <f>IF($B779="","",TEXT($B779,"ddd"))</f>
        <v/>
      </c>
      <c r="D779" s="40" t="n"/>
      <c r="E779" s="40" t="n"/>
      <c r="F779" s="15">
        <f>IF(OR($B779="",$D779="",$E779=""),"",ROUND(($E779-$D779)*24,2))</f>
        <v/>
      </c>
      <c r="G779" s="14" t="n"/>
      <c r="H779" s="15">
        <f>IF($G779="","",IFERROR(_xlfn.XLOOKUP($G779,nrCHname,nrCHnum),""))</f>
        <v/>
      </c>
      <c r="I779" s="14" t="n"/>
      <c r="J779" s="14" t="n"/>
      <c r="K779" s="15">
        <f>IF($B779="","",IFERROR(_xlfn.XLOOKUP($B779,nrCDdate,nrCDweek),""))</f>
        <v/>
      </c>
      <c r="L779" s="15">
        <f>IF($B779="","",IFERROR(_xlfn.XLOOKUP($B779,nrCDdate,nrCDnum),""))</f>
        <v/>
      </c>
      <c r="M779" s="14" t="n"/>
    </row>
    <row r="780">
      <c r="B780" s="16" t="n"/>
      <c r="C780" s="15">
        <f>IF($B780="","",TEXT($B780,"ddd"))</f>
        <v/>
      </c>
      <c r="D780" s="40" t="n"/>
      <c r="E780" s="40" t="n"/>
      <c r="F780" s="15">
        <f>IF(OR($B780="",$D780="",$E780=""),"",ROUND(($E780-$D780)*24,2))</f>
        <v/>
      </c>
      <c r="G780" s="14" t="n"/>
      <c r="H780" s="15">
        <f>IF($G780="","",IFERROR(_xlfn.XLOOKUP($G780,nrCHname,nrCHnum),""))</f>
        <v/>
      </c>
      <c r="I780" s="14" t="n"/>
      <c r="J780" s="14" t="n"/>
      <c r="K780" s="15">
        <f>IF($B780="","",IFERROR(_xlfn.XLOOKUP($B780,nrCDdate,nrCDweek),""))</f>
        <v/>
      </c>
      <c r="L780" s="15">
        <f>IF($B780="","",IFERROR(_xlfn.XLOOKUP($B780,nrCDdate,nrCDnum),""))</f>
        <v/>
      </c>
      <c r="M780" s="14" t="n"/>
    </row>
    <row r="781">
      <c r="B781" s="16" t="n"/>
      <c r="C781" s="15">
        <f>IF($B781="","",TEXT($B781,"ddd"))</f>
        <v/>
      </c>
      <c r="D781" s="40" t="n"/>
      <c r="E781" s="40" t="n"/>
      <c r="F781" s="15">
        <f>IF(OR($B781="",$D781="",$E781=""),"",ROUND(($E781-$D781)*24,2))</f>
        <v/>
      </c>
      <c r="G781" s="14" t="n"/>
      <c r="H781" s="15">
        <f>IF($G781="","",IFERROR(_xlfn.XLOOKUP($G781,nrCHname,nrCHnum),""))</f>
        <v/>
      </c>
      <c r="I781" s="14" t="n"/>
      <c r="J781" s="14" t="n"/>
      <c r="K781" s="15">
        <f>IF($B781="","",IFERROR(_xlfn.XLOOKUP($B781,nrCDdate,nrCDweek),""))</f>
        <v/>
      </c>
      <c r="L781" s="15">
        <f>IF($B781="","",IFERROR(_xlfn.XLOOKUP($B781,nrCDdate,nrCDnum),""))</f>
        <v/>
      </c>
      <c r="M781" s="14" t="n"/>
    </row>
    <row r="782">
      <c r="B782" s="16" t="n"/>
      <c r="C782" s="15">
        <f>IF($B782="","",TEXT($B782,"ddd"))</f>
        <v/>
      </c>
      <c r="D782" s="40" t="n"/>
      <c r="E782" s="40" t="n"/>
      <c r="F782" s="15">
        <f>IF(OR($B782="",$D782="",$E782=""),"",ROUND(($E782-$D782)*24,2))</f>
        <v/>
      </c>
      <c r="G782" s="14" t="n"/>
      <c r="H782" s="15">
        <f>IF($G782="","",IFERROR(_xlfn.XLOOKUP($G782,nrCHname,nrCHnum),""))</f>
        <v/>
      </c>
      <c r="I782" s="14" t="n"/>
      <c r="J782" s="14" t="n"/>
      <c r="K782" s="15">
        <f>IF($B782="","",IFERROR(_xlfn.XLOOKUP($B782,nrCDdate,nrCDweek),""))</f>
        <v/>
      </c>
      <c r="L782" s="15">
        <f>IF($B782="","",IFERROR(_xlfn.XLOOKUP($B782,nrCDdate,nrCDnum),""))</f>
        <v/>
      </c>
      <c r="M782" s="14" t="n"/>
    </row>
    <row r="783">
      <c r="B783" s="16" t="n"/>
      <c r="C783" s="15">
        <f>IF($B783="","",TEXT($B783,"ddd"))</f>
        <v/>
      </c>
      <c r="D783" s="40" t="n"/>
      <c r="E783" s="40" t="n"/>
      <c r="F783" s="15">
        <f>IF(OR($B783="",$D783="",$E783=""),"",ROUND(($E783-$D783)*24,2))</f>
        <v/>
      </c>
      <c r="G783" s="14" t="n"/>
      <c r="H783" s="15">
        <f>IF($G783="","",IFERROR(_xlfn.XLOOKUP($G783,nrCHname,nrCHnum),""))</f>
        <v/>
      </c>
      <c r="I783" s="14" t="n"/>
      <c r="J783" s="14" t="n"/>
      <c r="K783" s="15">
        <f>IF($B783="","",IFERROR(_xlfn.XLOOKUP($B783,nrCDdate,nrCDweek),""))</f>
        <v/>
      </c>
      <c r="L783" s="15">
        <f>IF($B783="","",IFERROR(_xlfn.XLOOKUP($B783,nrCDdate,nrCDnum),""))</f>
        <v/>
      </c>
      <c r="M783" s="14" t="n"/>
    </row>
    <row r="784">
      <c r="B784" s="16" t="n"/>
      <c r="C784" s="15">
        <f>IF($B784="","",TEXT($B784,"ddd"))</f>
        <v/>
      </c>
      <c r="D784" s="40" t="n"/>
      <c r="E784" s="40" t="n"/>
      <c r="F784" s="15">
        <f>IF(OR($B784="",$D784="",$E784=""),"",ROUND(($E784-$D784)*24,2))</f>
        <v/>
      </c>
      <c r="G784" s="14" t="n"/>
      <c r="H784" s="15">
        <f>IF($G784="","",IFERROR(_xlfn.XLOOKUP($G784,nrCHname,nrCHnum),""))</f>
        <v/>
      </c>
      <c r="I784" s="14" t="n"/>
      <c r="J784" s="14" t="n"/>
      <c r="K784" s="15">
        <f>IF($B784="","",IFERROR(_xlfn.XLOOKUP($B784,nrCDdate,nrCDweek),""))</f>
        <v/>
      </c>
      <c r="L784" s="15">
        <f>IF($B784="","",IFERROR(_xlfn.XLOOKUP($B784,nrCDdate,nrCDnum),""))</f>
        <v/>
      </c>
      <c r="M784" s="14" t="n"/>
    </row>
    <row r="785">
      <c r="B785" s="16" t="n"/>
      <c r="C785" s="15">
        <f>IF($B785="","",TEXT($B785,"ddd"))</f>
        <v/>
      </c>
      <c r="D785" s="40" t="n"/>
      <c r="E785" s="40" t="n"/>
      <c r="F785" s="15">
        <f>IF(OR($B785="",$D785="",$E785=""),"",ROUND(($E785-$D785)*24,2))</f>
        <v/>
      </c>
      <c r="G785" s="14" t="n"/>
      <c r="H785" s="15">
        <f>IF($G785="","",IFERROR(_xlfn.XLOOKUP($G785,nrCHname,nrCHnum),""))</f>
        <v/>
      </c>
      <c r="I785" s="14" t="n"/>
      <c r="J785" s="14" t="n"/>
      <c r="K785" s="15">
        <f>IF($B785="","",IFERROR(_xlfn.XLOOKUP($B785,nrCDdate,nrCDweek),""))</f>
        <v/>
      </c>
      <c r="L785" s="15">
        <f>IF($B785="","",IFERROR(_xlfn.XLOOKUP($B785,nrCDdate,nrCDnum),""))</f>
        <v/>
      </c>
      <c r="M785" s="14" t="n"/>
    </row>
    <row r="786">
      <c r="B786" s="16" t="n"/>
      <c r="C786" s="15">
        <f>IF($B786="","",TEXT($B786,"ddd"))</f>
        <v/>
      </c>
      <c r="D786" s="40" t="n"/>
      <c r="E786" s="40" t="n"/>
      <c r="F786" s="15">
        <f>IF(OR($B786="",$D786="",$E786=""),"",ROUND(($E786-$D786)*24,2))</f>
        <v/>
      </c>
      <c r="G786" s="14" t="n"/>
      <c r="H786" s="15">
        <f>IF($G786="","",IFERROR(_xlfn.XLOOKUP($G786,nrCHname,nrCHnum),""))</f>
        <v/>
      </c>
      <c r="I786" s="14" t="n"/>
      <c r="J786" s="14" t="n"/>
      <c r="K786" s="15">
        <f>IF($B786="","",IFERROR(_xlfn.XLOOKUP($B786,nrCDdate,nrCDweek),""))</f>
        <v/>
      </c>
      <c r="L786" s="15">
        <f>IF($B786="","",IFERROR(_xlfn.XLOOKUP($B786,nrCDdate,nrCDnum),""))</f>
        <v/>
      </c>
      <c r="M786" s="14" t="n"/>
    </row>
    <row r="787">
      <c r="B787" s="16" t="n"/>
      <c r="C787" s="15">
        <f>IF($B787="","",TEXT($B787,"ddd"))</f>
        <v/>
      </c>
      <c r="D787" s="40" t="n"/>
      <c r="E787" s="40" t="n"/>
      <c r="F787" s="15">
        <f>IF(OR($B787="",$D787="",$E787=""),"",ROUND(($E787-$D787)*24,2))</f>
        <v/>
      </c>
      <c r="G787" s="14" t="n"/>
      <c r="H787" s="15">
        <f>IF($G787="","",IFERROR(_xlfn.XLOOKUP($G787,nrCHname,nrCHnum),""))</f>
        <v/>
      </c>
      <c r="I787" s="14" t="n"/>
      <c r="J787" s="14" t="n"/>
      <c r="K787" s="15">
        <f>IF($B787="","",IFERROR(_xlfn.XLOOKUP($B787,nrCDdate,nrCDweek),""))</f>
        <v/>
      </c>
      <c r="L787" s="15">
        <f>IF($B787="","",IFERROR(_xlfn.XLOOKUP($B787,nrCDdate,nrCDnum),""))</f>
        <v/>
      </c>
      <c r="M787" s="14" t="n"/>
    </row>
    <row r="788">
      <c r="B788" s="16" t="n"/>
      <c r="C788" s="15">
        <f>IF($B788="","",TEXT($B788,"ddd"))</f>
        <v/>
      </c>
      <c r="D788" s="40" t="n"/>
      <c r="E788" s="40" t="n"/>
      <c r="F788" s="15">
        <f>IF(OR($B788="",$D788="",$E788=""),"",ROUND(($E788-$D788)*24,2))</f>
        <v/>
      </c>
      <c r="G788" s="14" t="n"/>
      <c r="H788" s="15">
        <f>IF($G788="","",IFERROR(_xlfn.XLOOKUP($G788,nrCHname,nrCHnum),""))</f>
        <v/>
      </c>
      <c r="I788" s="14" t="n"/>
      <c r="J788" s="14" t="n"/>
      <c r="K788" s="15">
        <f>IF($B788="","",IFERROR(_xlfn.XLOOKUP($B788,nrCDdate,nrCDweek),""))</f>
        <v/>
      </c>
      <c r="L788" s="15">
        <f>IF($B788="","",IFERROR(_xlfn.XLOOKUP($B788,nrCDdate,nrCDnum),""))</f>
        <v/>
      </c>
      <c r="M788" s="14" t="n"/>
    </row>
    <row r="789">
      <c r="B789" s="16" t="n"/>
      <c r="C789" s="15">
        <f>IF($B789="","",TEXT($B789,"ddd"))</f>
        <v/>
      </c>
      <c r="D789" s="40" t="n"/>
      <c r="E789" s="40" t="n"/>
      <c r="F789" s="15">
        <f>IF(OR($B789="",$D789="",$E789=""),"",ROUND(($E789-$D789)*24,2))</f>
        <v/>
      </c>
      <c r="G789" s="14" t="n"/>
      <c r="H789" s="15">
        <f>IF($G789="","",IFERROR(_xlfn.XLOOKUP($G789,nrCHname,nrCHnum),""))</f>
        <v/>
      </c>
      <c r="I789" s="14" t="n"/>
      <c r="J789" s="14" t="n"/>
      <c r="K789" s="15">
        <f>IF($B789="","",IFERROR(_xlfn.XLOOKUP($B789,nrCDdate,nrCDweek),""))</f>
        <v/>
      </c>
      <c r="L789" s="15">
        <f>IF($B789="","",IFERROR(_xlfn.XLOOKUP($B789,nrCDdate,nrCDnum),""))</f>
        <v/>
      </c>
      <c r="M789" s="14" t="n"/>
    </row>
    <row r="790">
      <c r="B790" s="16" t="n"/>
      <c r="C790" s="15">
        <f>IF($B790="","",TEXT($B790,"ddd"))</f>
        <v/>
      </c>
      <c r="D790" s="40" t="n"/>
      <c r="E790" s="40" t="n"/>
      <c r="F790" s="15">
        <f>IF(OR($B790="",$D790="",$E790=""),"",ROUND(($E790-$D790)*24,2))</f>
        <v/>
      </c>
      <c r="G790" s="14" t="n"/>
      <c r="H790" s="15">
        <f>IF($G790="","",IFERROR(_xlfn.XLOOKUP($G790,nrCHname,nrCHnum),""))</f>
        <v/>
      </c>
      <c r="I790" s="14" t="n"/>
      <c r="J790" s="14" t="n"/>
      <c r="K790" s="15">
        <f>IF($B790="","",IFERROR(_xlfn.XLOOKUP($B790,nrCDdate,nrCDweek),""))</f>
        <v/>
      </c>
      <c r="L790" s="15">
        <f>IF($B790="","",IFERROR(_xlfn.XLOOKUP($B790,nrCDdate,nrCDnum),""))</f>
        <v/>
      </c>
      <c r="M790" s="14" t="n"/>
    </row>
    <row r="791">
      <c r="B791" s="16" t="n"/>
      <c r="C791" s="15">
        <f>IF($B791="","",TEXT($B791,"ddd"))</f>
        <v/>
      </c>
      <c r="D791" s="40" t="n"/>
      <c r="E791" s="40" t="n"/>
      <c r="F791" s="15">
        <f>IF(OR($B791="",$D791="",$E791=""),"",ROUND(($E791-$D791)*24,2))</f>
        <v/>
      </c>
      <c r="G791" s="14" t="n"/>
      <c r="H791" s="15">
        <f>IF($G791="","",IFERROR(_xlfn.XLOOKUP($G791,nrCHname,nrCHnum),""))</f>
        <v/>
      </c>
      <c r="I791" s="14" t="n"/>
      <c r="J791" s="14" t="n"/>
      <c r="K791" s="15">
        <f>IF($B791="","",IFERROR(_xlfn.XLOOKUP($B791,nrCDdate,nrCDweek),""))</f>
        <v/>
      </c>
      <c r="L791" s="15">
        <f>IF($B791="","",IFERROR(_xlfn.XLOOKUP($B791,nrCDdate,nrCDnum),""))</f>
        <v/>
      </c>
      <c r="M791" s="14" t="n"/>
    </row>
    <row r="792">
      <c r="B792" s="16" t="n"/>
      <c r="C792" s="15">
        <f>IF($B792="","",TEXT($B792,"ddd"))</f>
        <v/>
      </c>
      <c r="D792" s="40" t="n"/>
      <c r="E792" s="40" t="n"/>
      <c r="F792" s="15">
        <f>IF(OR($B792="",$D792="",$E792=""),"",ROUND(($E792-$D792)*24,2))</f>
        <v/>
      </c>
      <c r="G792" s="14" t="n"/>
      <c r="H792" s="15">
        <f>IF($G792="","",IFERROR(_xlfn.XLOOKUP($G792,nrCHname,nrCHnum),""))</f>
        <v/>
      </c>
      <c r="I792" s="14" t="n"/>
      <c r="J792" s="14" t="n"/>
      <c r="K792" s="15">
        <f>IF($B792="","",IFERROR(_xlfn.XLOOKUP($B792,nrCDdate,nrCDweek),""))</f>
        <v/>
      </c>
      <c r="L792" s="15">
        <f>IF($B792="","",IFERROR(_xlfn.XLOOKUP($B792,nrCDdate,nrCDnum),""))</f>
        <v/>
      </c>
      <c r="M792" s="14" t="n"/>
    </row>
    <row r="793">
      <c r="B793" s="16" t="n"/>
      <c r="C793" s="15">
        <f>IF($B793="","",TEXT($B793,"ddd"))</f>
        <v/>
      </c>
      <c r="D793" s="40" t="n"/>
      <c r="E793" s="40" t="n"/>
      <c r="F793" s="15">
        <f>IF(OR($B793="",$D793="",$E793=""),"",ROUND(($E793-$D793)*24,2))</f>
        <v/>
      </c>
      <c r="G793" s="14" t="n"/>
      <c r="H793" s="15">
        <f>IF($G793="","",IFERROR(_xlfn.XLOOKUP($G793,nrCHname,nrCHnum),""))</f>
        <v/>
      </c>
      <c r="I793" s="14" t="n"/>
      <c r="J793" s="14" t="n"/>
      <c r="K793" s="15">
        <f>IF($B793="","",IFERROR(_xlfn.XLOOKUP($B793,nrCDdate,nrCDweek),""))</f>
        <v/>
      </c>
      <c r="L793" s="15">
        <f>IF($B793="","",IFERROR(_xlfn.XLOOKUP($B793,nrCDdate,nrCDnum),""))</f>
        <v/>
      </c>
      <c r="M793" s="14" t="n"/>
    </row>
    <row r="794">
      <c r="B794" s="16" t="n"/>
      <c r="C794" s="15">
        <f>IF($B794="","",TEXT($B794,"ddd"))</f>
        <v/>
      </c>
      <c r="D794" s="40" t="n"/>
      <c r="E794" s="40" t="n"/>
      <c r="F794" s="15">
        <f>IF(OR($B794="",$D794="",$E794=""),"",ROUND(($E794-$D794)*24,2))</f>
        <v/>
      </c>
      <c r="G794" s="14" t="n"/>
      <c r="H794" s="15">
        <f>IF($G794="","",IFERROR(_xlfn.XLOOKUP($G794,nrCHname,nrCHnum),""))</f>
        <v/>
      </c>
      <c r="I794" s="14" t="n"/>
      <c r="J794" s="14" t="n"/>
      <c r="K794" s="15">
        <f>IF($B794="","",IFERROR(_xlfn.XLOOKUP($B794,nrCDdate,nrCDweek),""))</f>
        <v/>
      </c>
      <c r="L794" s="15">
        <f>IF($B794="","",IFERROR(_xlfn.XLOOKUP($B794,nrCDdate,nrCDnum),""))</f>
        <v/>
      </c>
      <c r="M794" s="14" t="n"/>
    </row>
    <row r="795">
      <c r="B795" s="16" t="n"/>
      <c r="C795" s="15">
        <f>IF($B795="","",TEXT($B795,"ddd"))</f>
        <v/>
      </c>
      <c r="D795" s="40" t="n"/>
      <c r="E795" s="40" t="n"/>
      <c r="F795" s="15">
        <f>IF(OR($B795="",$D795="",$E795=""),"",ROUND(($E795-$D795)*24,2))</f>
        <v/>
      </c>
      <c r="G795" s="14" t="n"/>
      <c r="H795" s="15">
        <f>IF($G795="","",IFERROR(_xlfn.XLOOKUP($G795,nrCHname,nrCHnum),""))</f>
        <v/>
      </c>
      <c r="I795" s="14" t="n"/>
      <c r="J795" s="14" t="n"/>
      <c r="K795" s="15">
        <f>IF($B795="","",IFERROR(_xlfn.XLOOKUP($B795,nrCDdate,nrCDweek),""))</f>
        <v/>
      </c>
      <c r="L795" s="15">
        <f>IF($B795="","",IFERROR(_xlfn.XLOOKUP($B795,nrCDdate,nrCDnum),""))</f>
        <v/>
      </c>
      <c r="M795" s="14" t="n"/>
    </row>
    <row r="796">
      <c r="B796" s="16" t="n"/>
      <c r="C796" s="15">
        <f>IF($B796="","",TEXT($B796,"ddd"))</f>
        <v/>
      </c>
      <c r="D796" s="40" t="n"/>
      <c r="E796" s="40" t="n"/>
      <c r="F796" s="15">
        <f>IF(OR($B796="",$D796="",$E796=""),"",ROUND(($E796-$D796)*24,2))</f>
        <v/>
      </c>
      <c r="G796" s="14" t="n"/>
      <c r="H796" s="15">
        <f>IF($G796="","",IFERROR(_xlfn.XLOOKUP($G796,nrCHname,nrCHnum),""))</f>
        <v/>
      </c>
      <c r="I796" s="14" t="n"/>
      <c r="J796" s="14" t="n"/>
      <c r="K796" s="15">
        <f>IF($B796="","",IFERROR(_xlfn.XLOOKUP($B796,nrCDdate,nrCDweek),""))</f>
        <v/>
      </c>
      <c r="L796" s="15">
        <f>IF($B796="","",IFERROR(_xlfn.XLOOKUP($B796,nrCDdate,nrCDnum),""))</f>
        <v/>
      </c>
      <c r="M796" s="14" t="n"/>
    </row>
    <row r="797">
      <c r="B797" s="16" t="n"/>
      <c r="C797" s="15">
        <f>IF($B797="","",TEXT($B797,"ddd"))</f>
        <v/>
      </c>
      <c r="D797" s="40" t="n"/>
      <c r="E797" s="40" t="n"/>
      <c r="F797" s="15">
        <f>IF(OR($B797="",$D797="",$E797=""),"",ROUND(($E797-$D797)*24,2))</f>
        <v/>
      </c>
      <c r="G797" s="14" t="n"/>
      <c r="H797" s="15">
        <f>IF($G797="","",IFERROR(_xlfn.XLOOKUP($G797,nrCHname,nrCHnum),""))</f>
        <v/>
      </c>
      <c r="I797" s="14" t="n"/>
      <c r="J797" s="14" t="n"/>
      <c r="K797" s="15">
        <f>IF($B797="","",IFERROR(_xlfn.XLOOKUP($B797,nrCDdate,nrCDweek),""))</f>
        <v/>
      </c>
      <c r="L797" s="15">
        <f>IF($B797="","",IFERROR(_xlfn.XLOOKUP($B797,nrCDdate,nrCDnum),""))</f>
        <v/>
      </c>
      <c r="M797" s="14" t="n"/>
    </row>
    <row r="798">
      <c r="B798" s="16" t="n"/>
      <c r="C798" s="15">
        <f>IF($B798="","",TEXT($B798,"ddd"))</f>
        <v/>
      </c>
      <c r="D798" s="40" t="n"/>
      <c r="E798" s="40" t="n"/>
      <c r="F798" s="15">
        <f>IF(OR($B798="",$D798="",$E798=""),"",ROUND(($E798-$D798)*24,2))</f>
        <v/>
      </c>
      <c r="G798" s="14" t="n"/>
      <c r="H798" s="15">
        <f>IF($G798="","",IFERROR(_xlfn.XLOOKUP($G798,nrCHname,nrCHnum),""))</f>
        <v/>
      </c>
      <c r="I798" s="14" t="n"/>
      <c r="J798" s="14" t="n"/>
      <c r="K798" s="15">
        <f>IF($B798="","",IFERROR(_xlfn.XLOOKUP($B798,nrCDdate,nrCDweek),""))</f>
        <v/>
      </c>
      <c r="L798" s="15">
        <f>IF($B798="","",IFERROR(_xlfn.XLOOKUP($B798,nrCDdate,nrCDnum),""))</f>
        <v/>
      </c>
      <c r="M798" s="14" t="n"/>
    </row>
    <row r="799">
      <c r="B799" s="16" t="n"/>
      <c r="C799" s="15">
        <f>IF($B799="","",TEXT($B799,"ddd"))</f>
        <v/>
      </c>
      <c r="D799" s="40" t="n"/>
      <c r="E799" s="40" t="n"/>
      <c r="F799" s="15">
        <f>IF(OR($B799="",$D799="",$E799=""),"",ROUND(($E799-$D799)*24,2))</f>
        <v/>
      </c>
      <c r="G799" s="14" t="n"/>
      <c r="H799" s="15">
        <f>IF($G799="","",IFERROR(_xlfn.XLOOKUP($G799,nrCHname,nrCHnum),""))</f>
        <v/>
      </c>
      <c r="I799" s="14" t="n"/>
      <c r="J799" s="14" t="n"/>
      <c r="K799" s="15">
        <f>IF($B799="","",IFERROR(_xlfn.XLOOKUP($B799,nrCDdate,nrCDweek),""))</f>
        <v/>
      </c>
      <c r="L799" s="15">
        <f>IF($B799="","",IFERROR(_xlfn.XLOOKUP($B799,nrCDdate,nrCDnum),""))</f>
        <v/>
      </c>
      <c r="M799" s="14" t="n"/>
    </row>
    <row r="800">
      <c r="B800" s="16" t="n"/>
      <c r="C800" s="15">
        <f>IF($B800="","",TEXT($B800,"ddd"))</f>
        <v/>
      </c>
      <c r="D800" s="40" t="n"/>
      <c r="E800" s="40" t="n"/>
      <c r="F800" s="15">
        <f>IF(OR($B800="",$D800="",$E800=""),"",ROUND(($E800-$D800)*24,2))</f>
        <v/>
      </c>
      <c r="G800" s="14" t="n"/>
      <c r="H800" s="15">
        <f>IF($G800="","",IFERROR(_xlfn.XLOOKUP($G800,nrCHname,nrCHnum),""))</f>
        <v/>
      </c>
      <c r="I800" s="14" t="n"/>
      <c r="J800" s="14" t="n"/>
      <c r="K800" s="15">
        <f>IF($B800="","",IFERROR(_xlfn.XLOOKUP($B800,nrCDdate,nrCDweek),""))</f>
        <v/>
      </c>
      <c r="L800" s="15">
        <f>IF($B800="","",IFERROR(_xlfn.XLOOKUP($B800,nrCDdate,nrCDnum),""))</f>
        <v/>
      </c>
      <c r="M800" s="14" t="n"/>
    </row>
    <row r="801">
      <c r="B801" s="16" t="n"/>
      <c r="C801" s="15">
        <f>IF($B801="","",TEXT($B801,"ddd"))</f>
        <v/>
      </c>
      <c r="D801" s="40" t="n"/>
      <c r="E801" s="40" t="n"/>
      <c r="F801" s="15">
        <f>IF(OR($B801="",$D801="",$E801=""),"",ROUND(($E801-$D801)*24,2))</f>
        <v/>
      </c>
      <c r="G801" s="14" t="n"/>
      <c r="H801" s="15">
        <f>IF($G801="","",IFERROR(_xlfn.XLOOKUP($G801,nrCHname,nrCHnum),""))</f>
        <v/>
      </c>
      <c r="I801" s="14" t="n"/>
      <c r="J801" s="14" t="n"/>
      <c r="K801" s="15">
        <f>IF($B801="","",IFERROR(_xlfn.XLOOKUP($B801,nrCDdate,nrCDweek),""))</f>
        <v/>
      </c>
      <c r="L801" s="15">
        <f>IF($B801="","",IFERROR(_xlfn.XLOOKUP($B801,nrCDdate,nrCDnum),""))</f>
        <v/>
      </c>
      <c r="M801" s="14" t="n"/>
    </row>
    <row r="802">
      <c r="B802" s="16" t="n"/>
      <c r="C802" s="15">
        <f>IF($B802="","",TEXT($B802,"ddd"))</f>
        <v/>
      </c>
      <c r="D802" s="40" t="n"/>
      <c r="E802" s="40" t="n"/>
      <c r="F802" s="15">
        <f>IF(OR($B802="",$D802="",$E802=""),"",ROUND(($E802-$D802)*24,2))</f>
        <v/>
      </c>
      <c r="G802" s="14" t="n"/>
      <c r="H802" s="15">
        <f>IF($G802="","",IFERROR(_xlfn.XLOOKUP($G802,nrCHname,nrCHnum),""))</f>
        <v/>
      </c>
      <c r="I802" s="14" t="n"/>
      <c r="J802" s="14" t="n"/>
      <c r="K802" s="15">
        <f>IF($B802="","",IFERROR(_xlfn.XLOOKUP($B802,nrCDdate,nrCDweek),""))</f>
        <v/>
      </c>
      <c r="L802" s="15">
        <f>IF($B802="","",IFERROR(_xlfn.XLOOKUP($B802,nrCDdate,nrCDnum),""))</f>
        <v/>
      </c>
      <c r="M802" s="14" t="n"/>
    </row>
    <row r="803">
      <c r="B803" s="16" t="n"/>
      <c r="C803" s="15">
        <f>IF($B803="","",TEXT($B803,"ddd"))</f>
        <v/>
      </c>
      <c r="D803" s="40" t="n"/>
      <c r="E803" s="40" t="n"/>
      <c r="F803" s="15">
        <f>IF(OR($B803="",$D803="",$E803=""),"",ROUND(($E803-$D803)*24,2))</f>
        <v/>
      </c>
      <c r="G803" s="14" t="n"/>
      <c r="H803" s="15">
        <f>IF($G803="","",IFERROR(_xlfn.XLOOKUP($G803,nrCHname,nrCHnum),""))</f>
        <v/>
      </c>
      <c r="I803" s="14" t="n"/>
      <c r="J803" s="14" t="n"/>
      <c r="K803" s="15">
        <f>IF($B803="","",IFERROR(_xlfn.XLOOKUP($B803,nrCDdate,nrCDweek),""))</f>
        <v/>
      </c>
      <c r="L803" s="15">
        <f>IF($B803="","",IFERROR(_xlfn.XLOOKUP($B803,nrCDdate,nrCDnum),""))</f>
        <v/>
      </c>
      <c r="M803" s="14" t="n"/>
    </row>
    <row r="804">
      <c r="B804" s="16" t="n"/>
      <c r="C804" s="15">
        <f>IF($B804="","",TEXT($B804,"ddd"))</f>
        <v/>
      </c>
      <c r="D804" s="40" t="n"/>
      <c r="E804" s="40" t="n"/>
      <c r="F804" s="15">
        <f>IF(OR($B804="",$D804="",$E804=""),"",ROUND(($E804-$D804)*24,2))</f>
        <v/>
      </c>
      <c r="G804" s="14" t="n"/>
      <c r="H804" s="15">
        <f>IF($G804="","",IFERROR(_xlfn.XLOOKUP($G804,nrCHname,nrCHnum),""))</f>
        <v/>
      </c>
      <c r="I804" s="14" t="n"/>
      <c r="J804" s="14" t="n"/>
      <c r="K804" s="15">
        <f>IF($B804="","",IFERROR(_xlfn.XLOOKUP($B804,nrCDdate,nrCDweek),""))</f>
        <v/>
      </c>
      <c r="L804" s="15">
        <f>IF($B804="","",IFERROR(_xlfn.XLOOKUP($B804,nrCDdate,nrCDnum),""))</f>
        <v/>
      </c>
      <c r="M804" s="14" t="n"/>
    </row>
    <row r="805">
      <c r="B805" s="16" t="n"/>
      <c r="C805" s="15">
        <f>IF($B805="","",TEXT($B805,"ddd"))</f>
        <v/>
      </c>
      <c r="D805" s="40" t="n"/>
      <c r="E805" s="40" t="n"/>
      <c r="F805" s="15">
        <f>IF(OR($B805="",$D805="",$E805=""),"",ROUND(($E805-$D805)*24,2))</f>
        <v/>
      </c>
      <c r="G805" s="14" t="n"/>
      <c r="H805" s="15">
        <f>IF($G805="","",IFERROR(_xlfn.XLOOKUP($G805,nrCHname,nrCHnum),""))</f>
        <v/>
      </c>
      <c r="I805" s="14" t="n"/>
      <c r="J805" s="14" t="n"/>
      <c r="K805" s="15">
        <f>IF($B805="","",IFERROR(_xlfn.XLOOKUP($B805,nrCDdate,nrCDweek),""))</f>
        <v/>
      </c>
      <c r="L805" s="15">
        <f>IF($B805="","",IFERROR(_xlfn.XLOOKUP($B805,nrCDdate,nrCDnum),""))</f>
        <v/>
      </c>
      <c r="M805" s="14" t="n"/>
    </row>
    <row r="806">
      <c r="B806" s="16" t="n"/>
      <c r="C806" s="15">
        <f>IF($B806="","",TEXT($B806,"ddd"))</f>
        <v/>
      </c>
      <c r="D806" s="40" t="n"/>
      <c r="E806" s="40" t="n"/>
      <c r="F806" s="15">
        <f>IF(OR($B806="",$D806="",$E806=""),"",ROUND(($E806-$D806)*24,2))</f>
        <v/>
      </c>
      <c r="G806" s="14" t="n"/>
      <c r="H806" s="15">
        <f>IF($G806="","",IFERROR(_xlfn.XLOOKUP($G806,nrCHname,nrCHnum),""))</f>
        <v/>
      </c>
      <c r="I806" s="14" t="n"/>
      <c r="J806" s="14" t="n"/>
      <c r="K806" s="15">
        <f>IF($B806="","",IFERROR(_xlfn.XLOOKUP($B806,nrCDdate,nrCDweek),""))</f>
        <v/>
      </c>
      <c r="L806" s="15">
        <f>IF($B806="","",IFERROR(_xlfn.XLOOKUP($B806,nrCDdate,nrCDnum),""))</f>
        <v/>
      </c>
      <c r="M806" s="14" t="n"/>
    </row>
    <row r="807">
      <c r="B807" s="16" t="n"/>
      <c r="C807" s="15">
        <f>IF($B807="","",TEXT($B807,"ddd"))</f>
        <v/>
      </c>
      <c r="D807" s="40" t="n"/>
      <c r="E807" s="40" t="n"/>
      <c r="F807" s="15">
        <f>IF(OR($B807="",$D807="",$E807=""),"",ROUND(($E807-$D807)*24,2))</f>
        <v/>
      </c>
      <c r="G807" s="14" t="n"/>
      <c r="H807" s="15">
        <f>IF($G807="","",IFERROR(_xlfn.XLOOKUP($G807,nrCHname,nrCHnum),""))</f>
        <v/>
      </c>
      <c r="I807" s="14" t="n"/>
      <c r="J807" s="14" t="n"/>
      <c r="K807" s="15">
        <f>IF($B807="","",IFERROR(_xlfn.XLOOKUP($B807,nrCDdate,nrCDweek),""))</f>
        <v/>
      </c>
      <c r="L807" s="15">
        <f>IF($B807="","",IFERROR(_xlfn.XLOOKUP($B807,nrCDdate,nrCDnum),""))</f>
        <v/>
      </c>
      <c r="M807" s="14" t="n"/>
    </row>
    <row r="808">
      <c r="B808" s="16" t="n"/>
      <c r="C808" s="15">
        <f>IF($B808="","",TEXT($B808,"ddd"))</f>
        <v/>
      </c>
      <c r="D808" s="40" t="n"/>
      <c r="E808" s="40" t="n"/>
      <c r="F808" s="15">
        <f>IF(OR($B808="",$D808="",$E808=""),"",ROUND(($E808-$D808)*24,2))</f>
        <v/>
      </c>
      <c r="G808" s="14" t="n"/>
      <c r="H808" s="15">
        <f>IF($G808="","",IFERROR(_xlfn.XLOOKUP($G808,nrCHname,nrCHnum),""))</f>
        <v/>
      </c>
      <c r="I808" s="14" t="n"/>
      <c r="J808" s="14" t="n"/>
      <c r="K808" s="15">
        <f>IF($B808="","",IFERROR(_xlfn.XLOOKUP($B808,nrCDdate,nrCDweek),""))</f>
        <v/>
      </c>
      <c r="L808" s="15">
        <f>IF($B808="","",IFERROR(_xlfn.XLOOKUP($B808,nrCDdate,nrCDnum),""))</f>
        <v/>
      </c>
      <c r="M808" s="14" t="n"/>
    </row>
    <row r="809">
      <c r="B809" s="16" t="n"/>
      <c r="C809" s="15">
        <f>IF($B809="","",TEXT($B809,"ddd"))</f>
        <v/>
      </c>
      <c r="D809" s="40" t="n"/>
      <c r="E809" s="40" t="n"/>
      <c r="F809" s="15">
        <f>IF(OR($B809="",$D809="",$E809=""),"",ROUND(($E809-$D809)*24,2))</f>
        <v/>
      </c>
      <c r="G809" s="14" t="n"/>
      <c r="H809" s="15">
        <f>IF($G809="","",IFERROR(_xlfn.XLOOKUP($G809,nrCHname,nrCHnum),""))</f>
        <v/>
      </c>
      <c r="I809" s="14" t="n"/>
      <c r="J809" s="14" t="n"/>
      <c r="K809" s="15">
        <f>IF($B809="","",IFERROR(_xlfn.XLOOKUP($B809,nrCDdate,nrCDweek),""))</f>
        <v/>
      </c>
      <c r="L809" s="15">
        <f>IF($B809="","",IFERROR(_xlfn.XLOOKUP($B809,nrCDdate,nrCDnum),""))</f>
        <v/>
      </c>
      <c r="M809" s="14" t="n"/>
    </row>
    <row r="810">
      <c r="B810" s="16" t="n"/>
      <c r="C810" s="15">
        <f>IF($B810="","",TEXT($B810,"ddd"))</f>
        <v/>
      </c>
      <c r="D810" s="40" t="n"/>
      <c r="E810" s="40" t="n"/>
      <c r="F810" s="15">
        <f>IF(OR($B810="",$D810="",$E810=""),"",ROUND(($E810-$D810)*24,2))</f>
        <v/>
      </c>
      <c r="G810" s="14" t="n"/>
      <c r="H810" s="15">
        <f>IF($G810="","",IFERROR(_xlfn.XLOOKUP($G810,nrCHname,nrCHnum),""))</f>
        <v/>
      </c>
      <c r="I810" s="14" t="n"/>
      <c r="J810" s="14" t="n"/>
      <c r="K810" s="15">
        <f>IF($B810="","",IFERROR(_xlfn.XLOOKUP($B810,nrCDdate,nrCDweek),""))</f>
        <v/>
      </c>
      <c r="L810" s="15">
        <f>IF($B810="","",IFERROR(_xlfn.XLOOKUP($B810,nrCDdate,nrCDnum),""))</f>
        <v/>
      </c>
      <c r="M810" s="14" t="n"/>
    </row>
    <row r="811">
      <c r="B811" s="16" t="n"/>
      <c r="C811" s="15">
        <f>IF($B811="","",TEXT($B811,"ddd"))</f>
        <v/>
      </c>
      <c r="D811" s="40" t="n"/>
      <c r="E811" s="40" t="n"/>
      <c r="F811" s="15">
        <f>IF(OR($B811="",$D811="",$E811=""),"",ROUND(($E811-$D811)*24,2))</f>
        <v/>
      </c>
      <c r="G811" s="14" t="n"/>
      <c r="H811" s="15">
        <f>IF($G811="","",IFERROR(_xlfn.XLOOKUP($G811,nrCHname,nrCHnum),""))</f>
        <v/>
      </c>
      <c r="I811" s="14" t="n"/>
      <c r="J811" s="14" t="n"/>
      <c r="K811" s="15">
        <f>IF($B811="","",IFERROR(_xlfn.XLOOKUP($B811,nrCDdate,nrCDweek),""))</f>
        <v/>
      </c>
      <c r="L811" s="15">
        <f>IF($B811="","",IFERROR(_xlfn.XLOOKUP($B811,nrCDdate,nrCDnum),""))</f>
        <v/>
      </c>
      <c r="M811" s="14" t="n"/>
    </row>
    <row r="812">
      <c r="B812" s="16" t="n"/>
      <c r="C812" s="15">
        <f>IF($B812="","",TEXT($B812,"ddd"))</f>
        <v/>
      </c>
      <c r="D812" s="40" t="n"/>
      <c r="E812" s="40" t="n"/>
      <c r="F812" s="15">
        <f>IF(OR($B812="",$D812="",$E812=""),"",ROUND(($E812-$D812)*24,2))</f>
        <v/>
      </c>
      <c r="G812" s="14" t="n"/>
      <c r="H812" s="15">
        <f>IF($G812="","",IFERROR(_xlfn.XLOOKUP($G812,nrCHname,nrCHnum),""))</f>
        <v/>
      </c>
      <c r="I812" s="14" t="n"/>
      <c r="J812" s="14" t="n"/>
      <c r="K812" s="15">
        <f>IF($B812="","",IFERROR(_xlfn.XLOOKUP($B812,nrCDdate,nrCDweek),""))</f>
        <v/>
      </c>
      <c r="L812" s="15">
        <f>IF($B812="","",IFERROR(_xlfn.XLOOKUP($B812,nrCDdate,nrCDnum),""))</f>
        <v/>
      </c>
      <c r="M812" s="14" t="n"/>
    </row>
    <row r="813">
      <c r="B813" s="16" t="n"/>
      <c r="C813" s="15">
        <f>IF($B813="","",TEXT($B813,"ddd"))</f>
        <v/>
      </c>
      <c r="D813" s="40" t="n"/>
      <c r="E813" s="40" t="n"/>
      <c r="F813" s="15">
        <f>IF(OR($B813="",$D813="",$E813=""),"",ROUND(($E813-$D813)*24,2))</f>
        <v/>
      </c>
      <c r="G813" s="14" t="n"/>
      <c r="H813" s="15">
        <f>IF($G813="","",IFERROR(_xlfn.XLOOKUP($G813,nrCHname,nrCHnum),""))</f>
        <v/>
      </c>
      <c r="I813" s="14" t="n"/>
      <c r="J813" s="14" t="n"/>
      <c r="K813" s="15">
        <f>IF($B813="","",IFERROR(_xlfn.XLOOKUP($B813,nrCDdate,nrCDweek),""))</f>
        <v/>
      </c>
      <c r="L813" s="15">
        <f>IF($B813="","",IFERROR(_xlfn.XLOOKUP($B813,nrCDdate,nrCDnum),""))</f>
        <v/>
      </c>
      <c r="M813" s="14" t="n"/>
    </row>
    <row r="814">
      <c r="B814" s="16" t="n"/>
      <c r="C814" s="15">
        <f>IF($B814="","",TEXT($B814,"ddd"))</f>
        <v/>
      </c>
      <c r="D814" s="40" t="n"/>
      <c r="E814" s="40" t="n"/>
      <c r="F814" s="15">
        <f>IF(OR($B814="",$D814="",$E814=""),"",ROUND(($E814-$D814)*24,2))</f>
        <v/>
      </c>
      <c r="G814" s="14" t="n"/>
      <c r="H814" s="15">
        <f>IF($G814="","",IFERROR(_xlfn.XLOOKUP($G814,nrCHname,nrCHnum),""))</f>
        <v/>
      </c>
      <c r="I814" s="14" t="n"/>
      <c r="J814" s="14" t="n"/>
      <c r="K814" s="15">
        <f>IF($B814="","",IFERROR(_xlfn.XLOOKUP($B814,nrCDdate,nrCDweek),""))</f>
        <v/>
      </c>
      <c r="L814" s="15">
        <f>IF($B814="","",IFERROR(_xlfn.XLOOKUP($B814,nrCDdate,nrCDnum),""))</f>
        <v/>
      </c>
      <c r="M814" s="14" t="n"/>
    </row>
    <row r="815">
      <c r="B815" s="16" t="n"/>
      <c r="C815" s="15">
        <f>IF($B815="","",TEXT($B815,"ddd"))</f>
        <v/>
      </c>
      <c r="D815" s="40" t="n"/>
      <c r="E815" s="40" t="n"/>
      <c r="F815" s="15">
        <f>IF(OR($B815="",$D815="",$E815=""),"",ROUND(($E815-$D815)*24,2))</f>
        <v/>
      </c>
      <c r="G815" s="14" t="n"/>
      <c r="H815" s="15">
        <f>IF($G815="","",IFERROR(_xlfn.XLOOKUP($G815,nrCHname,nrCHnum),""))</f>
        <v/>
      </c>
      <c r="I815" s="14" t="n"/>
      <c r="J815" s="14" t="n"/>
      <c r="K815" s="15">
        <f>IF($B815="","",IFERROR(_xlfn.XLOOKUP($B815,nrCDdate,nrCDweek),""))</f>
        <v/>
      </c>
      <c r="L815" s="15">
        <f>IF($B815="","",IFERROR(_xlfn.XLOOKUP($B815,nrCDdate,nrCDnum),""))</f>
        <v/>
      </c>
      <c r="M815" s="14" t="n"/>
    </row>
    <row r="816">
      <c r="B816" s="16" t="n"/>
      <c r="C816" s="15">
        <f>IF($B816="","",TEXT($B816,"ddd"))</f>
        <v/>
      </c>
      <c r="D816" s="40" t="n"/>
      <c r="E816" s="40" t="n"/>
      <c r="F816" s="15">
        <f>IF(OR($B816="",$D816="",$E816=""),"",ROUND(($E816-$D816)*24,2))</f>
        <v/>
      </c>
      <c r="G816" s="14" t="n"/>
      <c r="H816" s="15">
        <f>IF($G816="","",IFERROR(_xlfn.XLOOKUP($G816,nrCHname,nrCHnum),""))</f>
        <v/>
      </c>
      <c r="I816" s="14" t="n"/>
      <c r="J816" s="14" t="n"/>
      <c r="K816" s="15">
        <f>IF($B816="","",IFERROR(_xlfn.XLOOKUP($B816,nrCDdate,nrCDweek),""))</f>
        <v/>
      </c>
      <c r="L816" s="15">
        <f>IF($B816="","",IFERROR(_xlfn.XLOOKUP($B816,nrCDdate,nrCDnum),""))</f>
        <v/>
      </c>
      <c r="M816" s="14" t="n"/>
    </row>
    <row r="817">
      <c r="B817" s="16" t="n"/>
      <c r="C817" s="15">
        <f>IF($B817="","",TEXT($B817,"ddd"))</f>
        <v/>
      </c>
      <c r="D817" s="40" t="n"/>
      <c r="E817" s="40" t="n"/>
      <c r="F817" s="15">
        <f>IF(OR($B817="",$D817="",$E817=""),"",ROUND(($E817-$D817)*24,2))</f>
        <v/>
      </c>
      <c r="G817" s="14" t="n"/>
      <c r="H817" s="15">
        <f>IF($G817="","",IFERROR(_xlfn.XLOOKUP($G817,nrCHname,nrCHnum),""))</f>
        <v/>
      </c>
      <c r="I817" s="14" t="n"/>
      <c r="J817" s="14" t="n"/>
      <c r="K817" s="15">
        <f>IF($B817="","",IFERROR(_xlfn.XLOOKUP($B817,nrCDdate,nrCDweek),""))</f>
        <v/>
      </c>
      <c r="L817" s="15">
        <f>IF($B817="","",IFERROR(_xlfn.XLOOKUP($B817,nrCDdate,nrCDnum),""))</f>
        <v/>
      </c>
      <c r="M817" s="14" t="n"/>
    </row>
    <row r="818">
      <c r="B818" s="16" t="n"/>
      <c r="C818" s="15">
        <f>IF($B818="","",TEXT($B818,"ddd"))</f>
        <v/>
      </c>
      <c r="D818" s="40" t="n"/>
      <c r="E818" s="40" t="n"/>
      <c r="F818" s="15">
        <f>IF(OR($B818="",$D818="",$E818=""),"",ROUND(($E818-$D818)*24,2))</f>
        <v/>
      </c>
      <c r="G818" s="14" t="n"/>
      <c r="H818" s="15">
        <f>IF($G818="","",IFERROR(_xlfn.XLOOKUP($G818,nrCHname,nrCHnum),""))</f>
        <v/>
      </c>
      <c r="I818" s="14" t="n"/>
      <c r="J818" s="14" t="n"/>
      <c r="K818" s="15">
        <f>IF($B818="","",IFERROR(_xlfn.XLOOKUP($B818,nrCDdate,nrCDweek),""))</f>
        <v/>
      </c>
      <c r="L818" s="15">
        <f>IF($B818="","",IFERROR(_xlfn.XLOOKUP($B818,nrCDdate,nrCDnum),""))</f>
        <v/>
      </c>
      <c r="M818" s="14" t="n"/>
    </row>
    <row r="819">
      <c r="B819" s="16" t="n"/>
      <c r="C819" s="15">
        <f>IF($B819="","",TEXT($B819,"ddd"))</f>
        <v/>
      </c>
      <c r="D819" s="40" t="n"/>
      <c r="E819" s="40" t="n"/>
      <c r="F819" s="15">
        <f>IF(OR($B819="",$D819="",$E819=""),"",ROUND(($E819-$D819)*24,2))</f>
        <v/>
      </c>
      <c r="G819" s="14" t="n"/>
      <c r="H819" s="15">
        <f>IF($G819="","",IFERROR(_xlfn.XLOOKUP($G819,nrCHname,nrCHnum),""))</f>
        <v/>
      </c>
      <c r="I819" s="14" t="n"/>
      <c r="J819" s="14" t="n"/>
      <c r="K819" s="15">
        <f>IF($B819="","",IFERROR(_xlfn.XLOOKUP($B819,nrCDdate,nrCDweek),""))</f>
        <v/>
      </c>
      <c r="L819" s="15">
        <f>IF($B819="","",IFERROR(_xlfn.XLOOKUP($B819,nrCDdate,nrCDnum),""))</f>
        <v/>
      </c>
      <c r="M819" s="14" t="n"/>
    </row>
    <row r="820">
      <c r="B820" s="16" t="n"/>
      <c r="C820" s="15">
        <f>IF($B820="","",TEXT($B820,"ddd"))</f>
        <v/>
      </c>
      <c r="D820" s="40" t="n"/>
      <c r="E820" s="40" t="n"/>
      <c r="F820" s="15">
        <f>IF(OR($B820="",$D820="",$E820=""),"",ROUND(($E820-$D820)*24,2))</f>
        <v/>
      </c>
      <c r="G820" s="14" t="n"/>
      <c r="H820" s="15">
        <f>IF($G820="","",IFERROR(_xlfn.XLOOKUP($G820,nrCHname,nrCHnum),""))</f>
        <v/>
      </c>
      <c r="I820" s="14" t="n"/>
      <c r="J820" s="14" t="n"/>
      <c r="K820" s="15">
        <f>IF($B820="","",IFERROR(_xlfn.XLOOKUP($B820,nrCDdate,nrCDweek),""))</f>
        <v/>
      </c>
      <c r="L820" s="15">
        <f>IF($B820="","",IFERROR(_xlfn.XLOOKUP($B820,nrCDdate,nrCDnum),""))</f>
        <v/>
      </c>
      <c r="M820" s="14" t="n"/>
    </row>
    <row r="821">
      <c r="B821" s="16" t="n"/>
      <c r="C821" s="15">
        <f>IF($B821="","",TEXT($B821,"ddd"))</f>
        <v/>
      </c>
      <c r="D821" s="40" t="n"/>
      <c r="E821" s="40" t="n"/>
      <c r="F821" s="15">
        <f>IF(OR($B821="",$D821="",$E821=""),"",ROUND(($E821-$D821)*24,2))</f>
        <v/>
      </c>
      <c r="G821" s="14" t="n"/>
      <c r="H821" s="15">
        <f>IF($G821="","",IFERROR(_xlfn.XLOOKUP($G821,nrCHname,nrCHnum),""))</f>
        <v/>
      </c>
      <c r="I821" s="14" t="n"/>
      <c r="J821" s="14" t="n"/>
      <c r="K821" s="15">
        <f>IF($B821="","",IFERROR(_xlfn.XLOOKUP($B821,nrCDdate,nrCDweek),""))</f>
        <v/>
      </c>
      <c r="L821" s="15">
        <f>IF($B821="","",IFERROR(_xlfn.XLOOKUP($B821,nrCDdate,nrCDnum),""))</f>
        <v/>
      </c>
      <c r="M821" s="14" t="n"/>
    </row>
    <row r="822">
      <c r="B822" s="16" t="n"/>
      <c r="C822" s="15">
        <f>IF($B822="","",TEXT($B822,"ddd"))</f>
        <v/>
      </c>
      <c r="D822" s="40" t="n"/>
      <c r="E822" s="40" t="n"/>
      <c r="F822" s="15">
        <f>IF(OR($B822="",$D822="",$E822=""),"",ROUND(($E822-$D822)*24,2))</f>
        <v/>
      </c>
      <c r="G822" s="14" t="n"/>
      <c r="H822" s="15">
        <f>IF($G822="","",IFERROR(_xlfn.XLOOKUP($G822,nrCHname,nrCHnum),""))</f>
        <v/>
      </c>
      <c r="I822" s="14" t="n"/>
      <c r="J822" s="14" t="n"/>
      <c r="K822" s="15">
        <f>IF($B822="","",IFERROR(_xlfn.XLOOKUP($B822,nrCDdate,nrCDweek),""))</f>
        <v/>
      </c>
      <c r="L822" s="15">
        <f>IF($B822="","",IFERROR(_xlfn.XLOOKUP($B822,nrCDdate,nrCDnum),""))</f>
        <v/>
      </c>
      <c r="M822" s="14" t="n"/>
    </row>
    <row r="823">
      <c r="B823" s="16" t="n"/>
      <c r="C823" s="15">
        <f>IF($B823="","",TEXT($B823,"ddd"))</f>
        <v/>
      </c>
      <c r="D823" s="40" t="n"/>
      <c r="E823" s="40" t="n"/>
      <c r="F823" s="15">
        <f>IF(OR($B823="",$D823="",$E823=""),"",ROUND(($E823-$D823)*24,2))</f>
        <v/>
      </c>
      <c r="G823" s="14" t="n"/>
      <c r="H823" s="15">
        <f>IF($G823="","",IFERROR(_xlfn.XLOOKUP($G823,nrCHname,nrCHnum),""))</f>
        <v/>
      </c>
      <c r="I823" s="14" t="n"/>
      <c r="J823" s="14" t="n"/>
      <c r="K823" s="15">
        <f>IF($B823="","",IFERROR(_xlfn.XLOOKUP($B823,nrCDdate,nrCDweek),""))</f>
        <v/>
      </c>
      <c r="L823" s="15">
        <f>IF($B823="","",IFERROR(_xlfn.XLOOKUP($B823,nrCDdate,nrCDnum),""))</f>
        <v/>
      </c>
      <c r="M823" s="14" t="n"/>
    </row>
    <row r="824">
      <c r="B824" s="16" t="n"/>
      <c r="C824" s="15">
        <f>IF($B824="","",TEXT($B824,"ddd"))</f>
        <v/>
      </c>
      <c r="D824" s="40" t="n"/>
      <c r="E824" s="40" t="n"/>
      <c r="F824" s="15">
        <f>IF(OR($B824="",$D824="",$E824=""),"",ROUND(($E824-$D824)*24,2))</f>
        <v/>
      </c>
      <c r="G824" s="14" t="n"/>
      <c r="H824" s="15">
        <f>IF($G824="","",IFERROR(_xlfn.XLOOKUP($G824,nrCHname,nrCHnum),""))</f>
        <v/>
      </c>
      <c r="I824" s="14" t="n"/>
      <c r="J824" s="14" t="n"/>
      <c r="K824" s="15">
        <f>IF($B824="","",IFERROR(_xlfn.XLOOKUP($B824,nrCDdate,nrCDweek),""))</f>
        <v/>
      </c>
      <c r="L824" s="15">
        <f>IF($B824="","",IFERROR(_xlfn.XLOOKUP($B824,nrCDdate,nrCDnum),""))</f>
        <v/>
      </c>
      <c r="M824" s="14" t="n"/>
    </row>
    <row r="825">
      <c r="B825" s="16" t="n"/>
      <c r="C825" s="15">
        <f>IF($B825="","",TEXT($B825,"ddd"))</f>
        <v/>
      </c>
      <c r="D825" s="40" t="n"/>
      <c r="E825" s="40" t="n"/>
      <c r="F825" s="15">
        <f>IF(OR($B825="",$D825="",$E825=""),"",ROUND(($E825-$D825)*24,2))</f>
        <v/>
      </c>
      <c r="G825" s="14" t="n"/>
      <c r="H825" s="15">
        <f>IF($G825="","",IFERROR(_xlfn.XLOOKUP($G825,nrCHname,nrCHnum),""))</f>
        <v/>
      </c>
      <c r="I825" s="14" t="n"/>
      <c r="J825" s="14" t="n"/>
      <c r="K825" s="15">
        <f>IF($B825="","",IFERROR(_xlfn.XLOOKUP($B825,nrCDdate,nrCDweek),""))</f>
        <v/>
      </c>
      <c r="L825" s="15">
        <f>IF($B825="","",IFERROR(_xlfn.XLOOKUP($B825,nrCDdate,nrCDnum),""))</f>
        <v/>
      </c>
      <c r="M825" s="14" t="n"/>
    </row>
    <row r="826">
      <c r="B826" s="16" t="n"/>
      <c r="C826" s="15">
        <f>IF($B826="","",TEXT($B826,"ddd"))</f>
        <v/>
      </c>
      <c r="D826" s="40" t="n"/>
      <c r="E826" s="40" t="n"/>
      <c r="F826" s="15">
        <f>IF(OR($B826="",$D826="",$E826=""),"",ROUND(($E826-$D826)*24,2))</f>
        <v/>
      </c>
      <c r="G826" s="14" t="n"/>
      <c r="H826" s="15">
        <f>IF($G826="","",IFERROR(_xlfn.XLOOKUP($G826,nrCHname,nrCHnum),""))</f>
        <v/>
      </c>
      <c r="I826" s="14" t="n"/>
      <c r="J826" s="14" t="n"/>
      <c r="K826" s="15">
        <f>IF($B826="","",IFERROR(_xlfn.XLOOKUP($B826,nrCDdate,nrCDweek),""))</f>
        <v/>
      </c>
      <c r="L826" s="15">
        <f>IF($B826="","",IFERROR(_xlfn.XLOOKUP($B826,nrCDdate,nrCDnum),""))</f>
        <v/>
      </c>
      <c r="M826" s="14" t="n"/>
    </row>
    <row r="827">
      <c r="B827" s="16" t="n"/>
      <c r="C827" s="15">
        <f>IF($B827="","",TEXT($B827,"ddd"))</f>
        <v/>
      </c>
      <c r="D827" s="40" t="n"/>
      <c r="E827" s="40" t="n"/>
      <c r="F827" s="15">
        <f>IF(OR($B827="",$D827="",$E827=""),"",ROUND(($E827-$D827)*24,2))</f>
        <v/>
      </c>
      <c r="G827" s="14" t="n"/>
      <c r="H827" s="15">
        <f>IF($G827="","",IFERROR(_xlfn.XLOOKUP($G827,nrCHname,nrCHnum),""))</f>
        <v/>
      </c>
      <c r="I827" s="14" t="n"/>
      <c r="J827" s="14" t="n"/>
      <c r="K827" s="15">
        <f>IF($B827="","",IFERROR(_xlfn.XLOOKUP($B827,nrCDdate,nrCDweek),""))</f>
        <v/>
      </c>
      <c r="L827" s="15">
        <f>IF($B827="","",IFERROR(_xlfn.XLOOKUP($B827,nrCDdate,nrCDnum),""))</f>
        <v/>
      </c>
      <c r="M827" s="14" t="n"/>
    </row>
    <row r="828">
      <c r="B828" s="16" t="n"/>
      <c r="C828" s="15">
        <f>IF($B828="","",TEXT($B828,"ddd"))</f>
        <v/>
      </c>
      <c r="D828" s="40" t="n"/>
      <c r="E828" s="40" t="n"/>
      <c r="F828" s="15">
        <f>IF(OR($B828="",$D828="",$E828=""),"",ROUND(($E828-$D828)*24,2))</f>
        <v/>
      </c>
      <c r="G828" s="14" t="n"/>
      <c r="H828" s="15">
        <f>IF($G828="","",IFERROR(_xlfn.XLOOKUP($G828,nrCHname,nrCHnum),""))</f>
        <v/>
      </c>
      <c r="I828" s="14" t="n"/>
      <c r="J828" s="14" t="n"/>
      <c r="K828" s="15">
        <f>IF($B828="","",IFERROR(_xlfn.XLOOKUP($B828,nrCDdate,nrCDweek),""))</f>
        <v/>
      </c>
      <c r="L828" s="15">
        <f>IF($B828="","",IFERROR(_xlfn.XLOOKUP($B828,nrCDdate,nrCDnum),""))</f>
        <v/>
      </c>
      <c r="M828" s="14" t="n"/>
    </row>
    <row r="829">
      <c r="B829" s="16" t="n"/>
      <c r="C829" s="15">
        <f>IF($B829="","",TEXT($B829,"ddd"))</f>
        <v/>
      </c>
      <c r="D829" s="40" t="n"/>
      <c r="E829" s="40" t="n"/>
      <c r="F829" s="15">
        <f>IF(OR($B829="",$D829="",$E829=""),"",ROUND(($E829-$D829)*24,2))</f>
        <v/>
      </c>
      <c r="G829" s="14" t="n"/>
      <c r="H829" s="15">
        <f>IF($G829="","",IFERROR(_xlfn.XLOOKUP($G829,nrCHname,nrCHnum),""))</f>
        <v/>
      </c>
      <c r="I829" s="14" t="n"/>
      <c r="J829" s="14" t="n"/>
      <c r="K829" s="15">
        <f>IF($B829="","",IFERROR(_xlfn.XLOOKUP($B829,nrCDdate,nrCDweek),""))</f>
        <v/>
      </c>
      <c r="L829" s="15">
        <f>IF($B829="","",IFERROR(_xlfn.XLOOKUP($B829,nrCDdate,nrCDnum),""))</f>
        <v/>
      </c>
      <c r="M829" s="14" t="n"/>
    </row>
    <row r="830">
      <c r="B830" s="16" t="n"/>
      <c r="C830" s="15">
        <f>IF($B830="","",TEXT($B830,"ddd"))</f>
        <v/>
      </c>
      <c r="D830" s="40" t="n"/>
      <c r="E830" s="40" t="n"/>
      <c r="F830" s="15">
        <f>IF(OR($B830="",$D830="",$E830=""),"",ROUND(($E830-$D830)*24,2))</f>
        <v/>
      </c>
      <c r="G830" s="14" t="n"/>
      <c r="H830" s="15">
        <f>IF($G830="","",IFERROR(_xlfn.XLOOKUP($G830,nrCHname,nrCHnum),""))</f>
        <v/>
      </c>
      <c r="I830" s="14" t="n"/>
      <c r="J830" s="14" t="n"/>
      <c r="K830" s="15">
        <f>IF($B830="","",IFERROR(_xlfn.XLOOKUP($B830,nrCDdate,nrCDweek),""))</f>
        <v/>
      </c>
      <c r="L830" s="15">
        <f>IF($B830="","",IFERROR(_xlfn.XLOOKUP($B830,nrCDdate,nrCDnum),""))</f>
        <v/>
      </c>
      <c r="M830" s="14" t="n"/>
    </row>
    <row r="831">
      <c r="B831" s="16" t="n"/>
      <c r="C831" s="15">
        <f>IF($B831="","",TEXT($B831,"ddd"))</f>
        <v/>
      </c>
      <c r="D831" s="40" t="n"/>
      <c r="E831" s="40" t="n"/>
      <c r="F831" s="15">
        <f>IF(OR($B831="",$D831="",$E831=""),"",ROUND(($E831-$D831)*24,2))</f>
        <v/>
      </c>
      <c r="G831" s="14" t="n"/>
      <c r="H831" s="15">
        <f>IF($G831="","",IFERROR(_xlfn.XLOOKUP($G831,nrCHname,nrCHnum),""))</f>
        <v/>
      </c>
      <c r="I831" s="14" t="n"/>
      <c r="J831" s="14" t="n"/>
      <c r="K831" s="15">
        <f>IF($B831="","",IFERROR(_xlfn.XLOOKUP($B831,nrCDdate,nrCDweek),""))</f>
        <v/>
      </c>
      <c r="L831" s="15">
        <f>IF($B831="","",IFERROR(_xlfn.XLOOKUP($B831,nrCDdate,nrCDnum),""))</f>
        <v/>
      </c>
      <c r="M831" s="14" t="n"/>
    </row>
    <row r="832">
      <c r="B832" s="16" t="n"/>
      <c r="C832" s="15">
        <f>IF($B832="","",TEXT($B832,"ddd"))</f>
        <v/>
      </c>
      <c r="D832" s="40" t="n"/>
      <c r="E832" s="40" t="n"/>
      <c r="F832" s="15">
        <f>IF(OR($B832="",$D832="",$E832=""),"",ROUND(($E832-$D832)*24,2))</f>
        <v/>
      </c>
      <c r="G832" s="14" t="n"/>
      <c r="H832" s="15">
        <f>IF($G832="","",IFERROR(_xlfn.XLOOKUP($G832,nrCHname,nrCHnum),""))</f>
        <v/>
      </c>
      <c r="I832" s="14" t="n"/>
      <c r="J832" s="14" t="n"/>
      <c r="K832" s="15">
        <f>IF($B832="","",IFERROR(_xlfn.XLOOKUP($B832,nrCDdate,nrCDweek),""))</f>
        <v/>
      </c>
      <c r="L832" s="15">
        <f>IF($B832="","",IFERROR(_xlfn.XLOOKUP($B832,nrCDdate,nrCDnum),""))</f>
        <v/>
      </c>
      <c r="M832" s="14" t="n"/>
    </row>
    <row r="833">
      <c r="B833" s="16" t="n"/>
      <c r="C833" s="15">
        <f>IF($B833="","",TEXT($B833,"ddd"))</f>
        <v/>
      </c>
      <c r="D833" s="40" t="n"/>
      <c r="E833" s="40" t="n"/>
      <c r="F833" s="15">
        <f>IF(OR($B833="",$D833="",$E833=""),"",ROUND(($E833-$D833)*24,2))</f>
        <v/>
      </c>
      <c r="G833" s="14" t="n"/>
      <c r="H833" s="15">
        <f>IF($G833="","",IFERROR(_xlfn.XLOOKUP($G833,nrCHname,nrCHnum),""))</f>
        <v/>
      </c>
      <c r="I833" s="14" t="n"/>
      <c r="J833" s="14" t="n"/>
      <c r="K833" s="15">
        <f>IF($B833="","",IFERROR(_xlfn.XLOOKUP($B833,nrCDdate,nrCDweek),""))</f>
        <v/>
      </c>
      <c r="L833" s="15">
        <f>IF($B833="","",IFERROR(_xlfn.XLOOKUP($B833,nrCDdate,nrCDnum),""))</f>
        <v/>
      </c>
      <c r="M833" s="14" t="n"/>
    </row>
    <row r="834">
      <c r="B834" s="16" t="n"/>
      <c r="C834" s="15">
        <f>IF($B834="","",TEXT($B834,"ddd"))</f>
        <v/>
      </c>
      <c r="D834" s="40" t="n"/>
      <c r="E834" s="40" t="n"/>
      <c r="F834" s="15">
        <f>IF(OR($B834="",$D834="",$E834=""),"",ROUND(($E834-$D834)*24,2))</f>
        <v/>
      </c>
      <c r="G834" s="14" t="n"/>
      <c r="H834" s="15">
        <f>IF($G834="","",IFERROR(_xlfn.XLOOKUP($G834,nrCHname,nrCHnum),""))</f>
        <v/>
      </c>
      <c r="I834" s="14" t="n"/>
      <c r="J834" s="14" t="n"/>
      <c r="K834" s="15">
        <f>IF($B834="","",IFERROR(_xlfn.XLOOKUP($B834,nrCDdate,nrCDweek),""))</f>
        <v/>
      </c>
      <c r="L834" s="15">
        <f>IF($B834="","",IFERROR(_xlfn.XLOOKUP($B834,nrCDdate,nrCDnum),""))</f>
        <v/>
      </c>
      <c r="M834" s="14" t="n"/>
    </row>
    <row r="835">
      <c r="B835" s="16" t="n"/>
      <c r="C835" s="15">
        <f>IF($B835="","",TEXT($B835,"ddd"))</f>
        <v/>
      </c>
      <c r="D835" s="40" t="n"/>
      <c r="E835" s="40" t="n"/>
      <c r="F835" s="15">
        <f>IF(OR($B835="",$D835="",$E835=""),"",ROUND(($E835-$D835)*24,2))</f>
        <v/>
      </c>
      <c r="G835" s="14" t="n"/>
      <c r="H835" s="15">
        <f>IF($G835="","",IFERROR(_xlfn.XLOOKUP($G835,nrCHname,nrCHnum),""))</f>
        <v/>
      </c>
      <c r="I835" s="14" t="n"/>
      <c r="J835" s="14" t="n"/>
      <c r="K835" s="15">
        <f>IF($B835="","",IFERROR(_xlfn.XLOOKUP($B835,nrCDdate,nrCDweek),""))</f>
        <v/>
      </c>
      <c r="L835" s="15">
        <f>IF($B835="","",IFERROR(_xlfn.XLOOKUP($B835,nrCDdate,nrCDnum),""))</f>
        <v/>
      </c>
      <c r="M835" s="14" t="n"/>
    </row>
    <row r="836">
      <c r="B836" s="16" t="n"/>
      <c r="C836" s="15">
        <f>IF($B836="","",TEXT($B836,"ddd"))</f>
        <v/>
      </c>
      <c r="D836" s="40" t="n"/>
      <c r="E836" s="40" t="n"/>
      <c r="F836" s="15">
        <f>IF(OR($B836="",$D836="",$E836=""),"",ROUND(($E836-$D836)*24,2))</f>
        <v/>
      </c>
      <c r="G836" s="14" t="n"/>
      <c r="H836" s="15">
        <f>IF($G836="","",IFERROR(_xlfn.XLOOKUP($G836,nrCHname,nrCHnum),""))</f>
        <v/>
      </c>
      <c r="I836" s="14" t="n"/>
      <c r="J836" s="14" t="n"/>
      <c r="K836" s="15">
        <f>IF($B836="","",IFERROR(_xlfn.XLOOKUP($B836,nrCDdate,nrCDweek),""))</f>
        <v/>
      </c>
      <c r="L836" s="15">
        <f>IF($B836="","",IFERROR(_xlfn.XLOOKUP($B836,nrCDdate,nrCDnum),""))</f>
        <v/>
      </c>
      <c r="M836" s="14" t="n"/>
    </row>
    <row r="837">
      <c r="B837" s="16" t="n"/>
      <c r="C837" s="15">
        <f>IF($B837="","",TEXT($B837,"ddd"))</f>
        <v/>
      </c>
      <c r="D837" s="40" t="n"/>
      <c r="E837" s="40" t="n"/>
      <c r="F837" s="15">
        <f>IF(OR($B837="",$D837="",$E837=""),"",ROUND(($E837-$D837)*24,2))</f>
        <v/>
      </c>
      <c r="G837" s="14" t="n"/>
      <c r="H837" s="15">
        <f>IF($G837="","",IFERROR(_xlfn.XLOOKUP($G837,nrCHname,nrCHnum),""))</f>
        <v/>
      </c>
      <c r="I837" s="14" t="n"/>
      <c r="J837" s="14" t="n"/>
      <c r="K837" s="15">
        <f>IF($B837="","",IFERROR(_xlfn.XLOOKUP($B837,nrCDdate,nrCDweek),""))</f>
        <v/>
      </c>
      <c r="L837" s="15">
        <f>IF($B837="","",IFERROR(_xlfn.XLOOKUP($B837,nrCDdate,nrCDnum),""))</f>
        <v/>
      </c>
      <c r="M837" s="14" t="n"/>
    </row>
    <row r="838">
      <c r="B838" s="16" t="n"/>
      <c r="C838" s="15">
        <f>IF($B838="","",TEXT($B838,"ddd"))</f>
        <v/>
      </c>
      <c r="D838" s="40" t="n"/>
      <c r="E838" s="40" t="n"/>
      <c r="F838" s="15">
        <f>IF(OR($B838="",$D838="",$E838=""),"",ROUND(($E838-$D838)*24,2))</f>
        <v/>
      </c>
      <c r="G838" s="14" t="n"/>
      <c r="H838" s="15">
        <f>IF($G838="","",IFERROR(_xlfn.XLOOKUP($G838,nrCHname,nrCHnum),""))</f>
        <v/>
      </c>
      <c r="I838" s="14" t="n"/>
      <c r="J838" s="14" t="n"/>
      <c r="K838" s="15">
        <f>IF($B838="","",IFERROR(_xlfn.XLOOKUP($B838,nrCDdate,nrCDweek),""))</f>
        <v/>
      </c>
      <c r="L838" s="15">
        <f>IF($B838="","",IFERROR(_xlfn.XLOOKUP($B838,nrCDdate,nrCDnum),""))</f>
        <v/>
      </c>
      <c r="M838" s="14" t="n"/>
    </row>
    <row r="839">
      <c r="B839" s="16" t="n"/>
      <c r="C839" s="15">
        <f>IF($B839="","",TEXT($B839,"ddd"))</f>
        <v/>
      </c>
      <c r="D839" s="40" t="n"/>
      <c r="E839" s="40" t="n"/>
      <c r="F839" s="15">
        <f>IF(OR($B839="",$D839="",$E839=""),"",ROUND(($E839-$D839)*24,2))</f>
        <v/>
      </c>
      <c r="G839" s="14" t="n"/>
      <c r="H839" s="15">
        <f>IF($G839="","",IFERROR(_xlfn.XLOOKUP($G839,nrCHname,nrCHnum),""))</f>
        <v/>
      </c>
      <c r="I839" s="14" t="n"/>
      <c r="J839" s="14" t="n"/>
      <c r="K839" s="15">
        <f>IF($B839="","",IFERROR(_xlfn.XLOOKUP($B839,nrCDdate,nrCDweek),""))</f>
        <v/>
      </c>
      <c r="L839" s="15">
        <f>IF($B839="","",IFERROR(_xlfn.XLOOKUP($B839,nrCDdate,nrCDnum),""))</f>
        <v/>
      </c>
      <c r="M839" s="14" t="n"/>
    </row>
    <row r="840">
      <c r="B840" s="16" t="n"/>
      <c r="C840" s="15">
        <f>IF($B840="","",TEXT($B840,"ddd"))</f>
        <v/>
      </c>
      <c r="D840" s="40" t="n"/>
      <c r="E840" s="40" t="n"/>
      <c r="F840" s="15">
        <f>IF(OR($B840="",$D840="",$E840=""),"",ROUND(($E840-$D840)*24,2))</f>
        <v/>
      </c>
      <c r="G840" s="14" t="n"/>
      <c r="H840" s="15">
        <f>IF($G840="","",IFERROR(_xlfn.XLOOKUP($G840,nrCHname,nrCHnum),""))</f>
        <v/>
      </c>
      <c r="I840" s="14" t="n"/>
      <c r="J840" s="14" t="n"/>
      <c r="K840" s="15">
        <f>IF($B840="","",IFERROR(_xlfn.XLOOKUP($B840,nrCDdate,nrCDweek),""))</f>
        <v/>
      </c>
      <c r="L840" s="15">
        <f>IF($B840="","",IFERROR(_xlfn.XLOOKUP($B840,nrCDdate,nrCDnum),""))</f>
        <v/>
      </c>
      <c r="M840" s="14" t="n"/>
    </row>
    <row r="841">
      <c r="B841" s="16" t="n"/>
      <c r="C841" s="15">
        <f>IF($B841="","",TEXT($B841,"ddd"))</f>
        <v/>
      </c>
      <c r="D841" s="40" t="n"/>
      <c r="E841" s="40" t="n"/>
      <c r="F841" s="15">
        <f>IF(OR($B841="",$D841="",$E841=""),"",ROUND(($E841-$D841)*24,2))</f>
        <v/>
      </c>
      <c r="G841" s="14" t="n"/>
      <c r="H841" s="15">
        <f>IF($G841="","",IFERROR(_xlfn.XLOOKUP($G841,nrCHname,nrCHnum),""))</f>
        <v/>
      </c>
      <c r="I841" s="14" t="n"/>
      <c r="J841" s="14" t="n"/>
      <c r="K841" s="15">
        <f>IF($B841="","",IFERROR(_xlfn.XLOOKUP($B841,nrCDdate,nrCDweek),""))</f>
        <v/>
      </c>
      <c r="L841" s="15">
        <f>IF($B841="","",IFERROR(_xlfn.XLOOKUP($B841,nrCDdate,nrCDnum),""))</f>
        <v/>
      </c>
      <c r="M841" s="14" t="n"/>
    </row>
    <row r="842">
      <c r="B842" s="16" t="n"/>
      <c r="C842" s="15">
        <f>IF($B842="","",TEXT($B842,"ddd"))</f>
        <v/>
      </c>
      <c r="D842" s="40" t="n"/>
      <c r="E842" s="40" t="n"/>
      <c r="F842" s="15">
        <f>IF(OR($B842="",$D842="",$E842=""),"",ROUND(($E842-$D842)*24,2))</f>
        <v/>
      </c>
      <c r="G842" s="14" t="n"/>
      <c r="H842" s="15">
        <f>IF($G842="","",IFERROR(_xlfn.XLOOKUP($G842,nrCHname,nrCHnum),""))</f>
        <v/>
      </c>
      <c r="I842" s="14" t="n"/>
      <c r="J842" s="14" t="n"/>
      <c r="K842" s="15">
        <f>IF($B842="","",IFERROR(_xlfn.XLOOKUP($B842,nrCDdate,nrCDweek),""))</f>
        <v/>
      </c>
      <c r="L842" s="15">
        <f>IF($B842="","",IFERROR(_xlfn.XLOOKUP($B842,nrCDdate,nrCDnum),""))</f>
        <v/>
      </c>
      <c r="M842" s="14" t="n"/>
    </row>
    <row r="843">
      <c r="B843" s="16" t="n"/>
      <c r="C843" s="15">
        <f>IF($B843="","",TEXT($B843,"ddd"))</f>
        <v/>
      </c>
      <c r="D843" s="40" t="n"/>
      <c r="E843" s="40" t="n"/>
      <c r="F843" s="15">
        <f>IF(OR($B843="",$D843="",$E843=""),"",ROUND(($E843-$D843)*24,2))</f>
        <v/>
      </c>
      <c r="G843" s="14" t="n"/>
      <c r="H843" s="15">
        <f>IF($G843="","",IFERROR(_xlfn.XLOOKUP($G843,nrCHname,nrCHnum),""))</f>
        <v/>
      </c>
      <c r="I843" s="14" t="n"/>
      <c r="J843" s="14" t="n"/>
      <c r="K843" s="15">
        <f>IF($B843="","",IFERROR(_xlfn.XLOOKUP($B843,nrCDdate,nrCDweek),""))</f>
        <v/>
      </c>
      <c r="L843" s="15">
        <f>IF($B843="","",IFERROR(_xlfn.XLOOKUP($B843,nrCDdate,nrCDnum),""))</f>
        <v/>
      </c>
      <c r="M843" s="14" t="n"/>
    </row>
    <row r="844">
      <c r="B844" s="16" t="n"/>
      <c r="C844" s="15">
        <f>IF($B844="","",TEXT($B844,"ddd"))</f>
        <v/>
      </c>
      <c r="D844" s="40" t="n"/>
      <c r="E844" s="40" t="n"/>
      <c r="F844" s="15">
        <f>IF(OR($B844="",$D844="",$E844=""),"",ROUND(($E844-$D844)*24,2))</f>
        <v/>
      </c>
      <c r="G844" s="14" t="n"/>
      <c r="H844" s="15">
        <f>IF($G844="","",IFERROR(_xlfn.XLOOKUP($G844,nrCHname,nrCHnum),""))</f>
        <v/>
      </c>
      <c r="I844" s="14" t="n"/>
      <c r="J844" s="14" t="n"/>
      <c r="K844" s="15">
        <f>IF($B844="","",IFERROR(_xlfn.XLOOKUP($B844,nrCDdate,nrCDweek),""))</f>
        <v/>
      </c>
      <c r="L844" s="15">
        <f>IF($B844="","",IFERROR(_xlfn.XLOOKUP($B844,nrCDdate,nrCDnum),""))</f>
        <v/>
      </c>
      <c r="M844" s="14" t="n"/>
    </row>
    <row r="845">
      <c r="B845" s="16" t="n"/>
      <c r="C845" s="15">
        <f>IF($B845="","",TEXT($B845,"ddd"))</f>
        <v/>
      </c>
      <c r="D845" s="40" t="n"/>
      <c r="E845" s="40" t="n"/>
      <c r="F845" s="15">
        <f>IF(OR($B845="",$D845="",$E845=""),"",ROUND(($E845-$D845)*24,2))</f>
        <v/>
      </c>
      <c r="G845" s="14" t="n"/>
      <c r="H845" s="15">
        <f>IF($G845="","",IFERROR(_xlfn.XLOOKUP($G845,nrCHname,nrCHnum),""))</f>
        <v/>
      </c>
      <c r="I845" s="14" t="n"/>
      <c r="J845" s="14" t="n"/>
      <c r="K845" s="15">
        <f>IF($B845="","",IFERROR(_xlfn.XLOOKUP($B845,nrCDdate,nrCDweek),""))</f>
        <v/>
      </c>
      <c r="L845" s="15">
        <f>IF($B845="","",IFERROR(_xlfn.XLOOKUP($B845,nrCDdate,nrCDnum),""))</f>
        <v/>
      </c>
      <c r="M845" s="14" t="n"/>
    </row>
    <row r="846">
      <c r="B846" s="16" t="n"/>
      <c r="C846" s="15">
        <f>IF($B846="","",TEXT($B846,"ddd"))</f>
        <v/>
      </c>
      <c r="D846" s="40" t="n"/>
      <c r="E846" s="40" t="n"/>
      <c r="F846" s="15">
        <f>IF(OR($B846="",$D846="",$E846=""),"",ROUND(($E846-$D846)*24,2))</f>
        <v/>
      </c>
      <c r="G846" s="14" t="n"/>
      <c r="H846" s="15">
        <f>IF($G846="","",IFERROR(_xlfn.XLOOKUP($G846,nrCHname,nrCHnum),""))</f>
        <v/>
      </c>
      <c r="I846" s="14" t="n"/>
      <c r="J846" s="14" t="n"/>
      <c r="K846" s="15">
        <f>IF($B846="","",IFERROR(_xlfn.XLOOKUP($B846,nrCDdate,nrCDweek),""))</f>
        <v/>
      </c>
      <c r="L846" s="15">
        <f>IF($B846="","",IFERROR(_xlfn.XLOOKUP($B846,nrCDdate,nrCDnum),""))</f>
        <v/>
      </c>
      <c r="M846" s="14" t="n"/>
    </row>
    <row r="847">
      <c r="B847" s="16" t="n"/>
      <c r="C847" s="15">
        <f>IF($B847="","",TEXT($B847,"ddd"))</f>
        <v/>
      </c>
      <c r="D847" s="40" t="n"/>
      <c r="E847" s="40" t="n"/>
      <c r="F847" s="15">
        <f>IF(OR($B847="",$D847="",$E847=""),"",ROUND(($E847-$D847)*24,2))</f>
        <v/>
      </c>
      <c r="G847" s="14" t="n"/>
      <c r="H847" s="15">
        <f>IF($G847="","",IFERROR(_xlfn.XLOOKUP($G847,nrCHname,nrCHnum),""))</f>
        <v/>
      </c>
      <c r="I847" s="14" t="n"/>
      <c r="J847" s="14" t="n"/>
      <c r="K847" s="15">
        <f>IF($B847="","",IFERROR(_xlfn.XLOOKUP($B847,nrCDdate,nrCDweek),""))</f>
        <v/>
      </c>
      <c r="L847" s="15">
        <f>IF($B847="","",IFERROR(_xlfn.XLOOKUP($B847,nrCDdate,nrCDnum),""))</f>
        <v/>
      </c>
      <c r="M847" s="14" t="n"/>
    </row>
    <row r="848">
      <c r="B848" s="16" t="n"/>
      <c r="C848" s="15">
        <f>IF($B848="","",TEXT($B848,"ddd"))</f>
        <v/>
      </c>
      <c r="D848" s="40" t="n"/>
      <c r="E848" s="40" t="n"/>
      <c r="F848" s="15">
        <f>IF(OR($B848="",$D848="",$E848=""),"",ROUND(($E848-$D848)*24,2))</f>
        <v/>
      </c>
      <c r="G848" s="14" t="n"/>
      <c r="H848" s="15">
        <f>IF($G848="","",IFERROR(_xlfn.XLOOKUP($G848,nrCHname,nrCHnum),""))</f>
        <v/>
      </c>
      <c r="I848" s="14" t="n"/>
      <c r="J848" s="14" t="n"/>
      <c r="K848" s="15">
        <f>IF($B848="","",IFERROR(_xlfn.XLOOKUP($B848,nrCDdate,nrCDweek),""))</f>
        <v/>
      </c>
      <c r="L848" s="15">
        <f>IF($B848="","",IFERROR(_xlfn.XLOOKUP($B848,nrCDdate,nrCDnum),""))</f>
        <v/>
      </c>
      <c r="M848" s="14" t="n"/>
    </row>
    <row r="849">
      <c r="B849" s="16" t="n"/>
      <c r="C849" s="15">
        <f>IF($B849="","",TEXT($B849,"ddd"))</f>
        <v/>
      </c>
      <c r="D849" s="40" t="n"/>
      <c r="E849" s="40" t="n"/>
      <c r="F849" s="15">
        <f>IF(OR($B849="",$D849="",$E849=""),"",ROUND(($E849-$D849)*24,2))</f>
        <v/>
      </c>
      <c r="G849" s="14" t="n"/>
      <c r="H849" s="15">
        <f>IF($G849="","",IFERROR(_xlfn.XLOOKUP($G849,nrCHname,nrCHnum),""))</f>
        <v/>
      </c>
      <c r="I849" s="14" t="n"/>
      <c r="J849" s="14" t="n"/>
      <c r="K849" s="15">
        <f>IF($B849="","",IFERROR(_xlfn.XLOOKUP($B849,nrCDdate,nrCDweek),""))</f>
        <v/>
      </c>
      <c r="L849" s="15">
        <f>IF($B849="","",IFERROR(_xlfn.XLOOKUP($B849,nrCDdate,nrCDnum),""))</f>
        <v/>
      </c>
      <c r="M849" s="14" t="n"/>
    </row>
    <row r="850">
      <c r="B850" s="16" t="n"/>
      <c r="C850" s="15">
        <f>IF($B850="","",TEXT($B850,"ddd"))</f>
        <v/>
      </c>
      <c r="D850" s="40" t="n"/>
      <c r="E850" s="40" t="n"/>
      <c r="F850" s="15">
        <f>IF(OR($B850="",$D850="",$E850=""),"",ROUND(($E850-$D850)*24,2))</f>
        <v/>
      </c>
      <c r="G850" s="14" t="n"/>
      <c r="H850" s="15">
        <f>IF($G850="","",IFERROR(_xlfn.XLOOKUP($G850,nrCHname,nrCHnum),""))</f>
        <v/>
      </c>
      <c r="I850" s="14" t="n"/>
      <c r="J850" s="14" t="n"/>
      <c r="K850" s="15">
        <f>IF($B850="","",IFERROR(_xlfn.XLOOKUP($B850,nrCDdate,nrCDweek),""))</f>
        <v/>
      </c>
      <c r="L850" s="15">
        <f>IF($B850="","",IFERROR(_xlfn.XLOOKUP($B850,nrCDdate,nrCDnum),""))</f>
        <v/>
      </c>
      <c r="M850" s="14" t="n"/>
    </row>
    <row r="851">
      <c r="B851" s="16" t="n"/>
      <c r="C851" s="15">
        <f>IF($B851="","",TEXT($B851,"ddd"))</f>
        <v/>
      </c>
      <c r="D851" s="40" t="n"/>
      <c r="E851" s="40" t="n"/>
      <c r="F851" s="15">
        <f>IF(OR($B851="",$D851="",$E851=""),"",ROUND(($E851-$D851)*24,2))</f>
        <v/>
      </c>
      <c r="G851" s="14" t="n"/>
      <c r="H851" s="15">
        <f>IF($G851="","",IFERROR(_xlfn.XLOOKUP($G851,nrCHname,nrCHnum),""))</f>
        <v/>
      </c>
      <c r="I851" s="14" t="n"/>
      <c r="J851" s="14" t="n"/>
      <c r="K851" s="15">
        <f>IF($B851="","",IFERROR(_xlfn.XLOOKUP($B851,nrCDdate,nrCDweek),""))</f>
        <v/>
      </c>
      <c r="L851" s="15">
        <f>IF($B851="","",IFERROR(_xlfn.XLOOKUP($B851,nrCDdate,nrCDnum),""))</f>
        <v/>
      </c>
      <c r="M851" s="14" t="n"/>
    </row>
    <row r="852">
      <c r="B852" s="16" t="n"/>
      <c r="C852" s="15">
        <f>IF($B852="","",TEXT($B852,"ddd"))</f>
        <v/>
      </c>
      <c r="D852" s="40" t="n"/>
      <c r="E852" s="40" t="n"/>
      <c r="F852" s="15">
        <f>IF(OR($B852="",$D852="",$E852=""),"",ROUND(($E852-$D852)*24,2))</f>
        <v/>
      </c>
      <c r="G852" s="14" t="n"/>
      <c r="H852" s="15">
        <f>IF($G852="","",IFERROR(_xlfn.XLOOKUP($G852,nrCHname,nrCHnum),""))</f>
        <v/>
      </c>
      <c r="I852" s="14" t="n"/>
      <c r="J852" s="14" t="n"/>
      <c r="K852" s="15">
        <f>IF($B852="","",IFERROR(_xlfn.XLOOKUP($B852,nrCDdate,nrCDweek),""))</f>
        <v/>
      </c>
      <c r="L852" s="15">
        <f>IF($B852="","",IFERROR(_xlfn.XLOOKUP($B852,nrCDdate,nrCDnum),""))</f>
        <v/>
      </c>
      <c r="M852" s="14" t="n"/>
    </row>
    <row r="853">
      <c r="B853" s="16" t="n"/>
      <c r="C853" s="15">
        <f>IF($B853="","",TEXT($B853,"ddd"))</f>
        <v/>
      </c>
      <c r="D853" s="40" t="n"/>
      <c r="E853" s="40" t="n"/>
      <c r="F853" s="15">
        <f>IF(OR($B853="",$D853="",$E853=""),"",ROUND(($E853-$D853)*24,2))</f>
        <v/>
      </c>
      <c r="G853" s="14" t="n"/>
      <c r="H853" s="15">
        <f>IF($G853="","",IFERROR(_xlfn.XLOOKUP($G853,nrCHname,nrCHnum),""))</f>
        <v/>
      </c>
      <c r="I853" s="14" t="n"/>
      <c r="J853" s="14" t="n"/>
      <c r="K853" s="15">
        <f>IF($B853="","",IFERROR(_xlfn.XLOOKUP($B853,nrCDdate,nrCDweek),""))</f>
        <v/>
      </c>
      <c r="L853" s="15">
        <f>IF($B853="","",IFERROR(_xlfn.XLOOKUP($B853,nrCDdate,nrCDnum),""))</f>
        <v/>
      </c>
      <c r="M853" s="14" t="n"/>
    </row>
    <row r="854">
      <c r="B854" s="16" t="n"/>
      <c r="C854" s="15">
        <f>IF($B854="","",TEXT($B854,"ddd"))</f>
        <v/>
      </c>
      <c r="D854" s="40" t="n"/>
      <c r="E854" s="40" t="n"/>
      <c r="F854" s="15">
        <f>IF(OR($B854="",$D854="",$E854=""),"",ROUND(($E854-$D854)*24,2))</f>
        <v/>
      </c>
      <c r="G854" s="14" t="n"/>
      <c r="H854" s="15">
        <f>IF($G854="","",IFERROR(_xlfn.XLOOKUP($G854,nrCHname,nrCHnum),""))</f>
        <v/>
      </c>
      <c r="I854" s="14" t="n"/>
      <c r="J854" s="14" t="n"/>
      <c r="K854" s="15">
        <f>IF($B854="","",IFERROR(_xlfn.XLOOKUP($B854,nrCDdate,nrCDweek),""))</f>
        <v/>
      </c>
      <c r="L854" s="15">
        <f>IF($B854="","",IFERROR(_xlfn.XLOOKUP($B854,nrCDdate,nrCDnum),""))</f>
        <v/>
      </c>
      <c r="M854" s="14" t="n"/>
    </row>
    <row r="855">
      <c r="B855" s="16" t="n"/>
      <c r="C855" s="15">
        <f>IF($B855="","",TEXT($B855,"ddd"))</f>
        <v/>
      </c>
      <c r="D855" s="40" t="n"/>
      <c r="E855" s="40" t="n"/>
      <c r="F855" s="15">
        <f>IF(OR($B855="",$D855="",$E855=""),"",ROUND(($E855-$D855)*24,2))</f>
        <v/>
      </c>
      <c r="G855" s="14" t="n"/>
      <c r="H855" s="15">
        <f>IF($G855="","",IFERROR(_xlfn.XLOOKUP($G855,nrCHname,nrCHnum),""))</f>
        <v/>
      </c>
      <c r="I855" s="14" t="n"/>
      <c r="J855" s="14" t="n"/>
      <c r="K855" s="15">
        <f>IF($B855="","",IFERROR(_xlfn.XLOOKUP($B855,nrCDdate,nrCDweek),""))</f>
        <v/>
      </c>
      <c r="L855" s="15">
        <f>IF($B855="","",IFERROR(_xlfn.XLOOKUP($B855,nrCDdate,nrCDnum),""))</f>
        <v/>
      </c>
      <c r="M855" s="14" t="n"/>
    </row>
    <row r="856">
      <c r="B856" s="16" t="n"/>
      <c r="C856" s="15">
        <f>IF($B856="","",TEXT($B856,"ddd"))</f>
        <v/>
      </c>
      <c r="D856" s="40" t="n"/>
      <c r="E856" s="40" t="n"/>
      <c r="F856" s="15">
        <f>IF(OR($B856="",$D856="",$E856=""),"",ROUND(($E856-$D856)*24,2))</f>
        <v/>
      </c>
      <c r="G856" s="14" t="n"/>
      <c r="H856" s="15">
        <f>IF($G856="","",IFERROR(_xlfn.XLOOKUP($G856,nrCHname,nrCHnum),""))</f>
        <v/>
      </c>
      <c r="I856" s="14" t="n"/>
      <c r="J856" s="14" t="n"/>
      <c r="K856" s="15">
        <f>IF($B856="","",IFERROR(_xlfn.XLOOKUP($B856,nrCDdate,nrCDweek),""))</f>
        <v/>
      </c>
      <c r="L856" s="15">
        <f>IF($B856="","",IFERROR(_xlfn.XLOOKUP($B856,nrCDdate,nrCDnum),""))</f>
        <v/>
      </c>
      <c r="M856" s="14" t="n"/>
    </row>
    <row r="857">
      <c r="B857" s="16" t="n"/>
      <c r="C857" s="15">
        <f>IF($B857="","",TEXT($B857,"ddd"))</f>
        <v/>
      </c>
      <c r="D857" s="40" t="n"/>
      <c r="E857" s="40" t="n"/>
      <c r="F857" s="15">
        <f>IF(OR($B857="",$D857="",$E857=""),"",ROUND(($E857-$D857)*24,2))</f>
        <v/>
      </c>
      <c r="G857" s="14" t="n"/>
      <c r="H857" s="15">
        <f>IF($G857="","",IFERROR(_xlfn.XLOOKUP($G857,nrCHname,nrCHnum),""))</f>
        <v/>
      </c>
      <c r="I857" s="14" t="n"/>
      <c r="J857" s="14" t="n"/>
      <c r="K857" s="15">
        <f>IF($B857="","",IFERROR(_xlfn.XLOOKUP($B857,nrCDdate,nrCDweek),""))</f>
        <v/>
      </c>
      <c r="L857" s="15">
        <f>IF($B857="","",IFERROR(_xlfn.XLOOKUP($B857,nrCDdate,nrCDnum),""))</f>
        <v/>
      </c>
      <c r="M857" s="14" t="n"/>
    </row>
    <row r="858">
      <c r="B858" s="16" t="n"/>
      <c r="C858" s="15">
        <f>IF($B858="","",TEXT($B858,"ddd"))</f>
        <v/>
      </c>
      <c r="D858" s="40" t="n"/>
      <c r="E858" s="40" t="n"/>
      <c r="F858" s="15">
        <f>IF(OR($B858="",$D858="",$E858=""),"",ROUND(($E858-$D858)*24,2))</f>
        <v/>
      </c>
      <c r="G858" s="14" t="n"/>
      <c r="H858" s="15">
        <f>IF($G858="","",IFERROR(_xlfn.XLOOKUP($G858,nrCHname,nrCHnum),""))</f>
        <v/>
      </c>
      <c r="I858" s="14" t="n"/>
      <c r="J858" s="14" t="n"/>
      <c r="K858" s="15">
        <f>IF($B858="","",IFERROR(_xlfn.XLOOKUP($B858,nrCDdate,nrCDweek),""))</f>
        <v/>
      </c>
      <c r="L858" s="15">
        <f>IF($B858="","",IFERROR(_xlfn.XLOOKUP($B858,nrCDdate,nrCDnum),""))</f>
        <v/>
      </c>
      <c r="M858" s="14" t="n"/>
    </row>
    <row r="859">
      <c r="B859" s="16" t="n"/>
      <c r="C859" s="15">
        <f>IF($B859="","",TEXT($B859,"ddd"))</f>
        <v/>
      </c>
      <c r="D859" s="40" t="n"/>
      <c r="E859" s="40" t="n"/>
      <c r="F859" s="15">
        <f>IF(OR($B859="",$D859="",$E859=""),"",ROUND(($E859-$D859)*24,2))</f>
        <v/>
      </c>
      <c r="G859" s="14" t="n"/>
      <c r="H859" s="15">
        <f>IF($G859="","",IFERROR(_xlfn.XLOOKUP($G859,nrCHname,nrCHnum),""))</f>
        <v/>
      </c>
      <c r="I859" s="14" t="n"/>
      <c r="J859" s="14" t="n"/>
      <c r="K859" s="15">
        <f>IF($B859="","",IFERROR(_xlfn.XLOOKUP($B859,nrCDdate,nrCDweek),""))</f>
        <v/>
      </c>
      <c r="L859" s="15">
        <f>IF($B859="","",IFERROR(_xlfn.XLOOKUP($B859,nrCDdate,nrCDnum),""))</f>
        <v/>
      </c>
      <c r="M859" s="14" t="n"/>
    </row>
    <row r="860">
      <c r="B860" s="16" t="n"/>
      <c r="C860" s="15">
        <f>IF($B860="","",TEXT($B860,"ddd"))</f>
        <v/>
      </c>
      <c r="D860" s="40" t="n"/>
      <c r="E860" s="40" t="n"/>
      <c r="F860" s="15">
        <f>IF(OR($B860="",$D860="",$E860=""),"",ROUND(($E860-$D860)*24,2))</f>
        <v/>
      </c>
      <c r="G860" s="14" t="n"/>
      <c r="H860" s="15">
        <f>IF($G860="","",IFERROR(_xlfn.XLOOKUP($G860,nrCHname,nrCHnum),""))</f>
        <v/>
      </c>
      <c r="I860" s="14" t="n"/>
      <c r="J860" s="14" t="n"/>
      <c r="K860" s="15">
        <f>IF($B860="","",IFERROR(_xlfn.XLOOKUP($B860,nrCDdate,nrCDweek),""))</f>
        <v/>
      </c>
      <c r="L860" s="15">
        <f>IF($B860="","",IFERROR(_xlfn.XLOOKUP($B860,nrCDdate,nrCDnum),""))</f>
        <v/>
      </c>
      <c r="M860" s="14" t="n"/>
    </row>
    <row r="861">
      <c r="B861" s="16" t="n"/>
      <c r="C861" s="15">
        <f>IF($B861="","",TEXT($B861,"ddd"))</f>
        <v/>
      </c>
      <c r="D861" s="40" t="n"/>
      <c r="E861" s="40" t="n"/>
      <c r="F861" s="15">
        <f>IF(OR($B861="",$D861="",$E861=""),"",ROUND(($E861-$D861)*24,2))</f>
        <v/>
      </c>
      <c r="G861" s="14" t="n"/>
      <c r="H861" s="15">
        <f>IF($G861="","",IFERROR(_xlfn.XLOOKUP($G861,nrCHname,nrCHnum),""))</f>
        <v/>
      </c>
      <c r="I861" s="14" t="n"/>
      <c r="J861" s="14" t="n"/>
      <c r="K861" s="15">
        <f>IF($B861="","",IFERROR(_xlfn.XLOOKUP($B861,nrCDdate,nrCDweek),""))</f>
        <v/>
      </c>
      <c r="L861" s="15">
        <f>IF($B861="","",IFERROR(_xlfn.XLOOKUP($B861,nrCDdate,nrCDnum),""))</f>
        <v/>
      </c>
      <c r="M861" s="14" t="n"/>
    </row>
    <row r="862">
      <c r="B862" s="16" t="n"/>
      <c r="C862" s="15">
        <f>IF($B862="","",TEXT($B862,"ddd"))</f>
        <v/>
      </c>
      <c r="D862" s="40" t="n"/>
      <c r="E862" s="40" t="n"/>
      <c r="F862" s="15">
        <f>IF(OR($B862="",$D862="",$E862=""),"",ROUND(($E862-$D862)*24,2))</f>
        <v/>
      </c>
      <c r="G862" s="14" t="n"/>
      <c r="H862" s="15">
        <f>IF($G862="","",IFERROR(_xlfn.XLOOKUP($G862,nrCHname,nrCHnum),""))</f>
        <v/>
      </c>
      <c r="I862" s="14" t="n"/>
      <c r="J862" s="14" t="n"/>
      <c r="K862" s="15">
        <f>IF($B862="","",IFERROR(_xlfn.XLOOKUP($B862,nrCDdate,nrCDweek),""))</f>
        <v/>
      </c>
      <c r="L862" s="15">
        <f>IF($B862="","",IFERROR(_xlfn.XLOOKUP($B862,nrCDdate,nrCDnum),""))</f>
        <v/>
      </c>
      <c r="M862" s="14" t="n"/>
    </row>
    <row r="863">
      <c r="B863" s="16" t="n"/>
      <c r="C863" s="15">
        <f>IF($B863="","",TEXT($B863,"ddd"))</f>
        <v/>
      </c>
      <c r="D863" s="40" t="n"/>
      <c r="E863" s="40" t="n"/>
      <c r="F863" s="15">
        <f>IF(OR($B863="",$D863="",$E863=""),"",ROUND(($E863-$D863)*24,2))</f>
        <v/>
      </c>
      <c r="G863" s="14" t="n"/>
      <c r="H863" s="15">
        <f>IF($G863="","",IFERROR(_xlfn.XLOOKUP($G863,nrCHname,nrCHnum),""))</f>
        <v/>
      </c>
      <c r="I863" s="14" t="n"/>
      <c r="J863" s="14" t="n"/>
      <c r="K863" s="15">
        <f>IF($B863="","",IFERROR(_xlfn.XLOOKUP($B863,nrCDdate,nrCDweek),""))</f>
        <v/>
      </c>
      <c r="L863" s="15">
        <f>IF($B863="","",IFERROR(_xlfn.XLOOKUP($B863,nrCDdate,nrCDnum),""))</f>
        <v/>
      </c>
      <c r="M863" s="14" t="n"/>
    </row>
    <row r="864">
      <c r="B864" s="16" t="n"/>
      <c r="C864" s="15">
        <f>IF($B864="","",TEXT($B864,"ddd"))</f>
        <v/>
      </c>
      <c r="D864" s="40" t="n"/>
      <c r="E864" s="40" t="n"/>
      <c r="F864" s="15">
        <f>IF(OR($B864="",$D864="",$E864=""),"",ROUND(($E864-$D864)*24,2))</f>
        <v/>
      </c>
      <c r="G864" s="14" t="n"/>
      <c r="H864" s="15">
        <f>IF($G864="","",IFERROR(_xlfn.XLOOKUP($G864,nrCHname,nrCHnum),""))</f>
        <v/>
      </c>
      <c r="I864" s="14" t="n"/>
      <c r="J864" s="14" t="n"/>
      <c r="K864" s="15">
        <f>IF($B864="","",IFERROR(_xlfn.XLOOKUP($B864,nrCDdate,nrCDweek),""))</f>
        <v/>
      </c>
      <c r="L864" s="15">
        <f>IF($B864="","",IFERROR(_xlfn.XLOOKUP($B864,nrCDdate,nrCDnum),""))</f>
        <v/>
      </c>
      <c r="M864" s="14" t="n"/>
    </row>
    <row r="865">
      <c r="B865" s="16" t="n"/>
      <c r="C865" s="15">
        <f>IF($B865="","",TEXT($B865,"ddd"))</f>
        <v/>
      </c>
      <c r="D865" s="40" t="n"/>
      <c r="E865" s="40" t="n"/>
      <c r="F865" s="15">
        <f>IF(OR($B865="",$D865="",$E865=""),"",ROUND(($E865-$D865)*24,2))</f>
        <v/>
      </c>
      <c r="G865" s="14" t="n"/>
      <c r="H865" s="15">
        <f>IF($G865="","",IFERROR(_xlfn.XLOOKUP($G865,nrCHname,nrCHnum),""))</f>
        <v/>
      </c>
      <c r="I865" s="14" t="n"/>
      <c r="J865" s="14" t="n"/>
      <c r="K865" s="15">
        <f>IF($B865="","",IFERROR(_xlfn.XLOOKUP($B865,nrCDdate,nrCDweek),""))</f>
        <v/>
      </c>
      <c r="L865" s="15">
        <f>IF($B865="","",IFERROR(_xlfn.XLOOKUP($B865,nrCDdate,nrCDnum),""))</f>
        <v/>
      </c>
      <c r="M865" s="14" t="n"/>
    </row>
    <row r="866">
      <c r="B866" s="16" t="n"/>
      <c r="C866" s="15">
        <f>IF($B866="","",TEXT($B866,"ddd"))</f>
        <v/>
      </c>
      <c r="D866" s="40" t="n"/>
      <c r="E866" s="40" t="n"/>
      <c r="F866" s="15">
        <f>IF(OR($B866="",$D866="",$E866=""),"",ROUND(($E866-$D866)*24,2))</f>
        <v/>
      </c>
      <c r="G866" s="14" t="n"/>
      <c r="H866" s="15">
        <f>IF($G866="","",IFERROR(_xlfn.XLOOKUP($G866,nrCHname,nrCHnum),""))</f>
        <v/>
      </c>
      <c r="I866" s="14" t="n"/>
      <c r="J866" s="14" t="n"/>
      <c r="K866" s="15">
        <f>IF($B866="","",IFERROR(_xlfn.XLOOKUP($B866,nrCDdate,nrCDweek),""))</f>
        <v/>
      </c>
      <c r="L866" s="15">
        <f>IF($B866="","",IFERROR(_xlfn.XLOOKUP($B866,nrCDdate,nrCDnum),""))</f>
        <v/>
      </c>
      <c r="M866" s="14" t="n"/>
    </row>
    <row r="867">
      <c r="B867" s="16" t="n"/>
      <c r="C867" s="15">
        <f>IF($B867="","",TEXT($B867,"ddd"))</f>
        <v/>
      </c>
      <c r="D867" s="40" t="n"/>
      <c r="E867" s="40" t="n"/>
      <c r="F867" s="15">
        <f>IF(OR($B867="",$D867="",$E867=""),"",ROUND(($E867-$D867)*24,2))</f>
        <v/>
      </c>
      <c r="G867" s="14" t="n"/>
      <c r="H867" s="15">
        <f>IF($G867="","",IFERROR(_xlfn.XLOOKUP($G867,nrCHname,nrCHnum),""))</f>
        <v/>
      </c>
      <c r="I867" s="14" t="n"/>
      <c r="J867" s="14" t="n"/>
      <c r="K867" s="15">
        <f>IF($B867="","",IFERROR(_xlfn.XLOOKUP($B867,nrCDdate,nrCDweek),""))</f>
        <v/>
      </c>
      <c r="L867" s="15">
        <f>IF($B867="","",IFERROR(_xlfn.XLOOKUP($B867,nrCDdate,nrCDnum),""))</f>
        <v/>
      </c>
      <c r="M867" s="14" t="n"/>
    </row>
    <row r="868">
      <c r="B868" s="16" t="n"/>
      <c r="C868" s="15">
        <f>IF($B868="","",TEXT($B868,"ddd"))</f>
        <v/>
      </c>
      <c r="D868" s="40" t="n"/>
      <c r="E868" s="40" t="n"/>
      <c r="F868" s="15">
        <f>IF(OR($B868="",$D868="",$E868=""),"",ROUND(($E868-$D868)*24,2))</f>
        <v/>
      </c>
      <c r="G868" s="14" t="n"/>
      <c r="H868" s="15">
        <f>IF($G868="","",IFERROR(_xlfn.XLOOKUP($G868,nrCHname,nrCHnum),""))</f>
        <v/>
      </c>
      <c r="I868" s="14" t="n"/>
      <c r="J868" s="14" t="n"/>
      <c r="K868" s="15">
        <f>IF($B868="","",IFERROR(_xlfn.XLOOKUP($B868,nrCDdate,nrCDweek),""))</f>
        <v/>
      </c>
      <c r="L868" s="15">
        <f>IF($B868="","",IFERROR(_xlfn.XLOOKUP($B868,nrCDdate,nrCDnum),""))</f>
        <v/>
      </c>
      <c r="M868" s="14" t="n"/>
    </row>
    <row r="869">
      <c r="B869" s="16" t="n"/>
      <c r="C869" s="15">
        <f>IF($B869="","",TEXT($B869,"ddd"))</f>
        <v/>
      </c>
      <c r="D869" s="40" t="n"/>
      <c r="E869" s="40" t="n"/>
      <c r="F869" s="15">
        <f>IF(OR($B869="",$D869="",$E869=""),"",ROUND(($E869-$D869)*24,2))</f>
        <v/>
      </c>
      <c r="G869" s="14" t="n"/>
      <c r="H869" s="15">
        <f>IF($G869="","",IFERROR(_xlfn.XLOOKUP($G869,nrCHname,nrCHnum),""))</f>
        <v/>
      </c>
      <c r="I869" s="14" t="n"/>
      <c r="J869" s="14" t="n"/>
      <c r="K869" s="15">
        <f>IF($B869="","",IFERROR(_xlfn.XLOOKUP($B869,nrCDdate,nrCDweek),""))</f>
        <v/>
      </c>
      <c r="L869" s="15">
        <f>IF($B869="","",IFERROR(_xlfn.XLOOKUP($B869,nrCDdate,nrCDnum),""))</f>
        <v/>
      </c>
      <c r="M869" s="14" t="n"/>
    </row>
    <row r="870">
      <c r="B870" s="16" t="n"/>
      <c r="C870" s="15">
        <f>IF($B870="","",TEXT($B870,"ddd"))</f>
        <v/>
      </c>
      <c r="D870" s="40" t="n"/>
      <c r="E870" s="40" t="n"/>
      <c r="F870" s="15">
        <f>IF(OR($B870="",$D870="",$E870=""),"",ROUND(($E870-$D870)*24,2))</f>
        <v/>
      </c>
      <c r="G870" s="14" t="n"/>
      <c r="H870" s="15">
        <f>IF($G870="","",IFERROR(_xlfn.XLOOKUP($G870,nrCHname,nrCHnum),""))</f>
        <v/>
      </c>
      <c r="I870" s="14" t="n"/>
      <c r="J870" s="14" t="n"/>
      <c r="K870" s="15">
        <f>IF($B870="","",IFERROR(_xlfn.XLOOKUP($B870,nrCDdate,nrCDweek),""))</f>
        <v/>
      </c>
      <c r="L870" s="15">
        <f>IF($B870="","",IFERROR(_xlfn.XLOOKUP($B870,nrCDdate,nrCDnum),""))</f>
        <v/>
      </c>
      <c r="M870" s="14" t="n"/>
    </row>
    <row r="871">
      <c r="B871" s="16" t="n"/>
      <c r="C871" s="15">
        <f>IF($B871="","",TEXT($B871,"ddd"))</f>
        <v/>
      </c>
      <c r="D871" s="40" t="n"/>
      <c r="E871" s="40" t="n"/>
      <c r="F871" s="15">
        <f>IF(OR($B871="",$D871="",$E871=""),"",ROUND(($E871-$D871)*24,2))</f>
        <v/>
      </c>
      <c r="G871" s="14" t="n"/>
      <c r="H871" s="15">
        <f>IF($G871="","",IFERROR(_xlfn.XLOOKUP($G871,nrCHname,nrCHnum),""))</f>
        <v/>
      </c>
      <c r="I871" s="14" t="n"/>
      <c r="J871" s="14" t="n"/>
      <c r="K871" s="15">
        <f>IF($B871="","",IFERROR(_xlfn.XLOOKUP($B871,nrCDdate,nrCDweek),""))</f>
        <v/>
      </c>
      <c r="L871" s="15">
        <f>IF($B871="","",IFERROR(_xlfn.XLOOKUP($B871,nrCDdate,nrCDnum),""))</f>
        <v/>
      </c>
      <c r="M871" s="14" t="n"/>
    </row>
    <row r="872">
      <c r="B872" s="16" t="n"/>
      <c r="C872" s="15">
        <f>IF($B872="","",TEXT($B872,"ddd"))</f>
        <v/>
      </c>
      <c r="D872" s="40" t="n"/>
      <c r="E872" s="40" t="n"/>
      <c r="F872" s="15">
        <f>IF(OR($B872="",$D872="",$E872=""),"",ROUND(($E872-$D872)*24,2))</f>
        <v/>
      </c>
      <c r="G872" s="14" t="n"/>
      <c r="H872" s="15">
        <f>IF($G872="","",IFERROR(_xlfn.XLOOKUP($G872,nrCHname,nrCHnum),""))</f>
        <v/>
      </c>
      <c r="I872" s="14" t="n"/>
      <c r="J872" s="14" t="n"/>
      <c r="K872" s="15">
        <f>IF($B872="","",IFERROR(_xlfn.XLOOKUP($B872,nrCDdate,nrCDweek),""))</f>
        <v/>
      </c>
      <c r="L872" s="15">
        <f>IF($B872="","",IFERROR(_xlfn.XLOOKUP($B872,nrCDdate,nrCDnum),""))</f>
        <v/>
      </c>
      <c r="M872" s="14" t="n"/>
    </row>
    <row r="873">
      <c r="B873" s="16" t="n"/>
      <c r="C873" s="15">
        <f>IF($B873="","",TEXT($B873,"ddd"))</f>
        <v/>
      </c>
      <c r="D873" s="40" t="n"/>
      <c r="E873" s="40" t="n"/>
      <c r="F873" s="15">
        <f>IF(OR($B873="",$D873="",$E873=""),"",ROUND(($E873-$D873)*24,2))</f>
        <v/>
      </c>
      <c r="G873" s="14" t="n"/>
      <c r="H873" s="15">
        <f>IF($G873="","",IFERROR(_xlfn.XLOOKUP($G873,nrCHname,nrCHnum),""))</f>
        <v/>
      </c>
      <c r="I873" s="14" t="n"/>
      <c r="J873" s="14" t="n"/>
      <c r="K873" s="15">
        <f>IF($B873="","",IFERROR(_xlfn.XLOOKUP($B873,nrCDdate,nrCDweek),""))</f>
        <v/>
      </c>
      <c r="L873" s="15">
        <f>IF($B873="","",IFERROR(_xlfn.XLOOKUP($B873,nrCDdate,nrCDnum),""))</f>
        <v/>
      </c>
      <c r="M873" s="14" t="n"/>
    </row>
    <row r="874">
      <c r="B874" s="16" t="n"/>
      <c r="C874" s="15">
        <f>IF($B874="","",TEXT($B874,"ddd"))</f>
        <v/>
      </c>
      <c r="D874" s="40" t="n"/>
      <c r="E874" s="40" t="n"/>
      <c r="F874" s="15">
        <f>IF(OR($B874="",$D874="",$E874=""),"",ROUND(($E874-$D874)*24,2))</f>
        <v/>
      </c>
      <c r="G874" s="14" t="n"/>
      <c r="H874" s="15">
        <f>IF($G874="","",IFERROR(_xlfn.XLOOKUP($G874,nrCHname,nrCHnum),""))</f>
        <v/>
      </c>
      <c r="I874" s="14" t="n"/>
      <c r="J874" s="14" t="n"/>
      <c r="K874" s="15">
        <f>IF($B874="","",IFERROR(_xlfn.XLOOKUP($B874,nrCDdate,nrCDweek),""))</f>
        <v/>
      </c>
      <c r="L874" s="15">
        <f>IF($B874="","",IFERROR(_xlfn.XLOOKUP($B874,nrCDdate,nrCDnum),""))</f>
        <v/>
      </c>
      <c r="M874" s="14" t="n"/>
    </row>
    <row r="875">
      <c r="B875" s="16" t="n"/>
      <c r="C875" s="15">
        <f>IF($B875="","",TEXT($B875,"ddd"))</f>
        <v/>
      </c>
      <c r="D875" s="40" t="n"/>
      <c r="E875" s="40" t="n"/>
      <c r="F875" s="15">
        <f>IF(OR($B875="",$D875="",$E875=""),"",ROUND(($E875-$D875)*24,2))</f>
        <v/>
      </c>
      <c r="G875" s="14" t="n"/>
      <c r="H875" s="15">
        <f>IF($G875="","",IFERROR(_xlfn.XLOOKUP($G875,nrCHname,nrCHnum),""))</f>
        <v/>
      </c>
      <c r="I875" s="14" t="n"/>
      <c r="J875" s="14" t="n"/>
      <c r="K875" s="15">
        <f>IF($B875="","",IFERROR(_xlfn.XLOOKUP($B875,nrCDdate,nrCDweek),""))</f>
        <v/>
      </c>
      <c r="L875" s="15">
        <f>IF($B875="","",IFERROR(_xlfn.XLOOKUP($B875,nrCDdate,nrCDnum),""))</f>
        <v/>
      </c>
      <c r="M875" s="14" t="n"/>
    </row>
    <row r="876">
      <c r="B876" s="16" t="n"/>
      <c r="C876" s="15">
        <f>IF($B876="","",TEXT($B876,"ddd"))</f>
        <v/>
      </c>
      <c r="D876" s="40" t="n"/>
      <c r="E876" s="40" t="n"/>
      <c r="F876" s="15">
        <f>IF(OR($B876="",$D876="",$E876=""),"",ROUND(($E876-$D876)*24,2))</f>
        <v/>
      </c>
      <c r="G876" s="14" t="n"/>
      <c r="H876" s="15">
        <f>IF($G876="","",IFERROR(_xlfn.XLOOKUP($G876,nrCHname,nrCHnum),""))</f>
        <v/>
      </c>
      <c r="I876" s="14" t="n"/>
      <c r="J876" s="14" t="n"/>
      <c r="K876" s="15">
        <f>IF($B876="","",IFERROR(_xlfn.XLOOKUP($B876,nrCDdate,nrCDweek),""))</f>
        <v/>
      </c>
      <c r="L876" s="15">
        <f>IF($B876="","",IFERROR(_xlfn.XLOOKUP($B876,nrCDdate,nrCDnum),""))</f>
        <v/>
      </c>
      <c r="M876" s="14" t="n"/>
    </row>
    <row r="877">
      <c r="B877" s="16" t="n"/>
      <c r="C877" s="15">
        <f>IF($B877="","",TEXT($B877,"ddd"))</f>
        <v/>
      </c>
      <c r="D877" s="40" t="n"/>
      <c r="E877" s="40" t="n"/>
      <c r="F877" s="15">
        <f>IF(OR($B877="",$D877="",$E877=""),"",ROUND(($E877-$D877)*24,2))</f>
        <v/>
      </c>
      <c r="G877" s="14" t="n"/>
      <c r="H877" s="15">
        <f>IF($G877="","",IFERROR(_xlfn.XLOOKUP($G877,nrCHname,nrCHnum),""))</f>
        <v/>
      </c>
      <c r="I877" s="14" t="n"/>
      <c r="J877" s="14" t="n"/>
      <c r="K877" s="15">
        <f>IF($B877="","",IFERROR(_xlfn.XLOOKUP($B877,nrCDdate,nrCDweek),""))</f>
        <v/>
      </c>
      <c r="L877" s="15">
        <f>IF($B877="","",IFERROR(_xlfn.XLOOKUP($B877,nrCDdate,nrCDnum),""))</f>
        <v/>
      </c>
      <c r="M877" s="14" t="n"/>
    </row>
    <row r="878">
      <c r="B878" s="16" t="n"/>
      <c r="C878" s="15">
        <f>IF($B878="","",TEXT($B878,"ddd"))</f>
        <v/>
      </c>
      <c r="D878" s="40" t="n"/>
      <c r="E878" s="40" t="n"/>
      <c r="F878" s="15">
        <f>IF(OR($B878="",$D878="",$E878=""),"",ROUND(($E878-$D878)*24,2))</f>
        <v/>
      </c>
      <c r="G878" s="14" t="n"/>
      <c r="H878" s="15">
        <f>IF($G878="","",IFERROR(_xlfn.XLOOKUP($G878,nrCHname,nrCHnum),""))</f>
        <v/>
      </c>
      <c r="I878" s="14" t="n"/>
      <c r="J878" s="14" t="n"/>
      <c r="K878" s="15">
        <f>IF($B878="","",IFERROR(_xlfn.XLOOKUP($B878,nrCDdate,nrCDweek),""))</f>
        <v/>
      </c>
      <c r="L878" s="15">
        <f>IF($B878="","",IFERROR(_xlfn.XLOOKUP($B878,nrCDdate,nrCDnum),""))</f>
        <v/>
      </c>
      <c r="M878" s="14" t="n"/>
    </row>
    <row r="879">
      <c r="B879" s="16" t="n"/>
      <c r="C879" s="15">
        <f>IF($B879="","",TEXT($B879,"ddd"))</f>
        <v/>
      </c>
      <c r="D879" s="40" t="n"/>
      <c r="E879" s="40" t="n"/>
      <c r="F879" s="15">
        <f>IF(OR($B879="",$D879="",$E879=""),"",ROUND(($E879-$D879)*24,2))</f>
        <v/>
      </c>
      <c r="G879" s="14" t="n"/>
      <c r="H879" s="15">
        <f>IF($G879="","",IFERROR(_xlfn.XLOOKUP($G879,nrCHname,nrCHnum),""))</f>
        <v/>
      </c>
      <c r="I879" s="14" t="n"/>
      <c r="J879" s="14" t="n"/>
      <c r="K879" s="15">
        <f>IF($B879="","",IFERROR(_xlfn.XLOOKUP($B879,nrCDdate,nrCDweek),""))</f>
        <v/>
      </c>
      <c r="L879" s="15">
        <f>IF($B879="","",IFERROR(_xlfn.XLOOKUP($B879,nrCDdate,nrCDnum),""))</f>
        <v/>
      </c>
      <c r="M879" s="14" t="n"/>
    </row>
    <row r="880">
      <c r="B880" s="16" t="n"/>
      <c r="C880" s="15">
        <f>IF($B880="","",TEXT($B880,"ddd"))</f>
        <v/>
      </c>
      <c r="D880" s="40" t="n"/>
      <c r="E880" s="40" t="n"/>
      <c r="F880" s="15">
        <f>IF(OR($B880="",$D880="",$E880=""),"",ROUND(($E880-$D880)*24,2))</f>
        <v/>
      </c>
      <c r="G880" s="14" t="n"/>
      <c r="H880" s="15">
        <f>IF($G880="","",IFERROR(_xlfn.XLOOKUP($G880,nrCHname,nrCHnum),""))</f>
        <v/>
      </c>
      <c r="I880" s="14" t="n"/>
      <c r="J880" s="14" t="n"/>
      <c r="K880" s="15">
        <f>IF($B880="","",IFERROR(_xlfn.XLOOKUP($B880,nrCDdate,nrCDweek),""))</f>
        <v/>
      </c>
      <c r="L880" s="15">
        <f>IF($B880="","",IFERROR(_xlfn.XLOOKUP($B880,nrCDdate,nrCDnum),""))</f>
        <v/>
      </c>
      <c r="M880" s="14" t="n"/>
    </row>
    <row r="881">
      <c r="B881" s="16" t="n"/>
      <c r="C881" s="15">
        <f>IF($B881="","",TEXT($B881,"ddd"))</f>
        <v/>
      </c>
      <c r="D881" s="40" t="n"/>
      <c r="E881" s="40" t="n"/>
      <c r="F881" s="15">
        <f>IF(OR($B881="",$D881="",$E881=""),"",ROUND(($E881-$D881)*24,2))</f>
        <v/>
      </c>
      <c r="G881" s="14" t="n"/>
      <c r="H881" s="15">
        <f>IF($G881="","",IFERROR(_xlfn.XLOOKUP($G881,nrCHname,nrCHnum),""))</f>
        <v/>
      </c>
      <c r="I881" s="14" t="n"/>
      <c r="J881" s="14" t="n"/>
      <c r="K881" s="15">
        <f>IF($B881="","",IFERROR(_xlfn.XLOOKUP($B881,nrCDdate,nrCDweek),""))</f>
        <v/>
      </c>
      <c r="L881" s="15">
        <f>IF($B881="","",IFERROR(_xlfn.XLOOKUP($B881,nrCDdate,nrCDnum),""))</f>
        <v/>
      </c>
      <c r="M881" s="14" t="n"/>
    </row>
    <row r="882">
      <c r="B882" s="16" t="n"/>
      <c r="C882" s="15">
        <f>IF($B882="","",TEXT($B882,"ddd"))</f>
        <v/>
      </c>
      <c r="D882" s="40" t="n"/>
      <c r="E882" s="40" t="n"/>
      <c r="F882" s="15">
        <f>IF(OR($B882="",$D882="",$E882=""),"",ROUND(($E882-$D882)*24,2))</f>
        <v/>
      </c>
      <c r="G882" s="14" t="n"/>
      <c r="H882" s="15">
        <f>IF($G882="","",IFERROR(_xlfn.XLOOKUP($G882,nrCHname,nrCHnum),""))</f>
        <v/>
      </c>
      <c r="I882" s="14" t="n"/>
      <c r="J882" s="14" t="n"/>
      <c r="K882" s="15">
        <f>IF($B882="","",IFERROR(_xlfn.XLOOKUP($B882,nrCDdate,nrCDweek),""))</f>
        <v/>
      </c>
      <c r="L882" s="15">
        <f>IF($B882="","",IFERROR(_xlfn.XLOOKUP($B882,nrCDdate,nrCDnum),""))</f>
        <v/>
      </c>
      <c r="M882" s="14" t="n"/>
    </row>
    <row r="883">
      <c r="B883" s="16" t="n"/>
      <c r="C883" s="15">
        <f>IF($B883="","",TEXT($B883,"ddd"))</f>
        <v/>
      </c>
      <c r="D883" s="40" t="n"/>
      <c r="E883" s="40" t="n"/>
      <c r="F883" s="15">
        <f>IF(OR($B883="",$D883="",$E883=""),"",ROUND(($E883-$D883)*24,2))</f>
        <v/>
      </c>
      <c r="G883" s="14" t="n"/>
      <c r="H883" s="15">
        <f>IF($G883="","",IFERROR(_xlfn.XLOOKUP($G883,nrCHname,nrCHnum),""))</f>
        <v/>
      </c>
      <c r="I883" s="14" t="n"/>
      <c r="J883" s="14" t="n"/>
      <c r="K883" s="15">
        <f>IF($B883="","",IFERROR(_xlfn.XLOOKUP($B883,nrCDdate,nrCDweek),""))</f>
        <v/>
      </c>
      <c r="L883" s="15">
        <f>IF($B883="","",IFERROR(_xlfn.XLOOKUP($B883,nrCDdate,nrCDnum),""))</f>
        <v/>
      </c>
      <c r="M883" s="14" t="n"/>
    </row>
    <row r="884">
      <c r="B884" s="16" t="n"/>
      <c r="C884" s="15">
        <f>IF($B884="","",TEXT($B884,"ddd"))</f>
        <v/>
      </c>
      <c r="D884" s="40" t="n"/>
      <c r="E884" s="40" t="n"/>
      <c r="F884" s="15">
        <f>IF(OR($B884="",$D884="",$E884=""),"",ROUND(($E884-$D884)*24,2))</f>
        <v/>
      </c>
      <c r="G884" s="14" t="n"/>
      <c r="H884" s="15">
        <f>IF($G884="","",IFERROR(_xlfn.XLOOKUP($G884,nrCHname,nrCHnum),""))</f>
        <v/>
      </c>
      <c r="I884" s="14" t="n"/>
      <c r="J884" s="14" t="n"/>
      <c r="K884" s="15">
        <f>IF($B884="","",IFERROR(_xlfn.XLOOKUP($B884,nrCDdate,nrCDweek),""))</f>
        <v/>
      </c>
      <c r="L884" s="15">
        <f>IF($B884="","",IFERROR(_xlfn.XLOOKUP($B884,nrCDdate,nrCDnum),""))</f>
        <v/>
      </c>
      <c r="M884" s="14" t="n"/>
    </row>
    <row r="885">
      <c r="B885" s="16" t="n"/>
      <c r="C885" s="15">
        <f>IF($B885="","",TEXT($B885,"ddd"))</f>
        <v/>
      </c>
      <c r="D885" s="40" t="n"/>
      <c r="E885" s="40" t="n"/>
      <c r="F885" s="15">
        <f>IF(OR($B885="",$D885="",$E885=""),"",ROUND(($E885-$D885)*24,2))</f>
        <v/>
      </c>
      <c r="G885" s="14" t="n"/>
      <c r="H885" s="15">
        <f>IF($G885="","",IFERROR(_xlfn.XLOOKUP($G885,nrCHname,nrCHnum),""))</f>
        <v/>
      </c>
      <c r="I885" s="14" t="n"/>
      <c r="J885" s="14" t="n"/>
      <c r="K885" s="15">
        <f>IF($B885="","",IFERROR(_xlfn.XLOOKUP($B885,nrCDdate,nrCDweek),""))</f>
        <v/>
      </c>
      <c r="L885" s="15">
        <f>IF($B885="","",IFERROR(_xlfn.XLOOKUP($B885,nrCDdate,nrCDnum),""))</f>
        <v/>
      </c>
      <c r="M885" s="14" t="n"/>
    </row>
    <row r="886">
      <c r="B886" s="16" t="n"/>
      <c r="C886" s="15">
        <f>IF($B886="","",TEXT($B886,"ddd"))</f>
        <v/>
      </c>
      <c r="D886" s="40" t="n"/>
      <c r="E886" s="40" t="n"/>
      <c r="F886" s="15">
        <f>IF(OR($B886="",$D886="",$E886=""),"",ROUND(($E886-$D886)*24,2))</f>
        <v/>
      </c>
      <c r="G886" s="14" t="n"/>
      <c r="H886" s="15">
        <f>IF($G886="","",IFERROR(_xlfn.XLOOKUP($G886,nrCHname,nrCHnum),""))</f>
        <v/>
      </c>
      <c r="I886" s="14" t="n"/>
      <c r="J886" s="14" t="n"/>
      <c r="K886" s="15">
        <f>IF($B886="","",IFERROR(_xlfn.XLOOKUP($B886,nrCDdate,nrCDweek),""))</f>
        <v/>
      </c>
      <c r="L886" s="15">
        <f>IF($B886="","",IFERROR(_xlfn.XLOOKUP($B886,nrCDdate,nrCDnum),""))</f>
        <v/>
      </c>
      <c r="M886" s="14" t="n"/>
    </row>
    <row r="887">
      <c r="B887" s="16" t="n"/>
      <c r="C887" s="15">
        <f>IF($B887="","",TEXT($B887,"ddd"))</f>
        <v/>
      </c>
      <c r="D887" s="40" t="n"/>
      <c r="E887" s="40" t="n"/>
      <c r="F887" s="15">
        <f>IF(OR($B887="",$D887="",$E887=""),"",ROUND(($E887-$D887)*24,2))</f>
        <v/>
      </c>
      <c r="G887" s="14" t="n"/>
      <c r="H887" s="15">
        <f>IF($G887="","",IFERROR(_xlfn.XLOOKUP($G887,nrCHname,nrCHnum),""))</f>
        <v/>
      </c>
      <c r="I887" s="14" t="n"/>
      <c r="J887" s="14" t="n"/>
      <c r="K887" s="15">
        <f>IF($B887="","",IFERROR(_xlfn.XLOOKUP($B887,nrCDdate,nrCDweek),""))</f>
        <v/>
      </c>
      <c r="L887" s="15">
        <f>IF($B887="","",IFERROR(_xlfn.XLOOKUP($B887,nrCDdate,nrCDnum),""))</f>
        <v/>
      </c>
      <c r="M887" s="14" t="n"/>
    </row>
    <row r="888">
      <c r="B888" s="16" t="n"/>
      <c r="C888" s="15">
        <f>IF($B888="","",TEXT($B888,"ddd"))</f>
        <v/>
      </c>
      <c r="D888" s="40" t="n"/>
      <c r="E888" s="40" t="n"/>
      <c r="F888" s="15">
        <f>IF(OR($B888="",$D888="",$E888=""),"",ROUND(($E888-$D888)*24,2))</f>
        <v/>
      </c>
      <c r="G888" s="14" t="n"/>
      <c r="H888" s="15">
        <f>IF($G888="","",IFERROR(_xlfn.XLOOKUP($G888,nrCHname,nrCHnum),""))</f>
        <v/>
      </c>
      <c r="I888" s="14" t="n"/>
      <c r="J888" s="14" t="n"/>
      <c r="K888" s="15">
        <f>IF($B888="","",IFERROR(_xlfn.XLOOKUP($B888,nrCDdate,nrCDweek),""))</f>
        <v/>
      </c>
      <c r="L888" s="15">
        <f>IF($B888="","",IFERROR(_xlfn.XLOOKUP($B888,nrCDdate,nrCDnum),""))</f>
        <v/>
      </c>
      <c r="M888" s="14" t="n"/>
    </row>
    <row r="889">
      <c r="B889" s="16" t="n"/>
      <c r="C889" s="15">
        <f>IF($B889="","",TEXT($B889,"ddd"))</f>
        <v/>
      </c>
      <c r="D889" s="40" t="n"/>
      <c r="E889" s="40" t="n"/>
      <c r="F889" s="15">
        <f>IF(OR($B889="",$D889="",$E889=""),"",ROUND(($E889-$D889)*24,2))</f>
        <v/>
      </c>
      <c r="G889" s="14" t="n"/>
      <c r="H889" s="15">
        <f>IF($G889="","",IFERROR(_xlfn.XLOOKUP($G889,nrCHname,nrCHnum),""))</f>
        <v/>
      </c>
      <c r="I889" s="14" t="n"/>
      <c r="J889" s="14" t="n"/>
      <c r="K889" s="15">
        <f>IF($B889="","",IFERROR(_xlfn.XLOOKUP($B889,nrCDdate,nrCDweek),""))</f>
        <v/>
      </c>
      <c r="L889" s="15">
        <f>IF($B889="","",IFERROR(_xlfn.XLOOKUP($B889,nrCDdate,nrCDnum),""))</f>
        <v/>
      </c>
      <c r="M889" s="14" t="n"/>
    </row>
    <row r="890">
      <c r="B890" s="16" t="n"/>
      <c r="C890" s="15">
        <f>IF($B890="","",TEXT($B890,"ddd"))</f>
        <v/>
      </c>
      <c r="D890" s="40" t="n"/>
      <c r="E890" s="40" t="n"/>
      <c r="F890" s="15">
        <f>IF(OR($B890="",$D890="",$E890=""),"",ROUND(($E890-$D890)*24,2))</f>
        <v/>
      </c>
      <c r="G890" s="14" t="n"/>
      <c r="H890" s="15">
        <f>IF($G890="","",IFERROR(_xlfn.XLOOKUP($G890,nrCHname,nrCHnum),""))</f>
        <v/>
      </c>
      <c r="I890" s="14" t="n"/>
      <c r="J890" s="14" t="n"/>
      <c r="K890" s="15">
        <f>IF($B890="","",IFERROR(_xlfn.XLOOKUP($B890,nrCDdate,nrCDweek),""))</f>
        <v/>
      </c>
      <c r="L890" s="15">
        <f>IF($B890="","",IFERROR(_xlfn.XLOOKUP($B890,nrCDdate,nrCDnum),""))</f>
        <v/>
      </c>
      <c r="M890" s="14" t="n"/>
    </row>
    <row r="891">
      <c r="B891" s="16" t="n"/>
      <c r="C891" s="15">
        <f>IF($B891="","",TEXT($B891,"ddd"))</f>
        <v/>
      </c>
      <c r="D891" s="40" t="n"/>
      <c r="E891" s="40" t="n"/>
      <c r="F891" s="15">
        <f>IF(OR($B891="",$D891="",$E891=""),"",ROUND(($E891-$D891)*24,2))</f>
        <v/>
      </c>
      <c r="G891" s="14" t="n"/>
      <c r="H891" s="15">
        <f>IF($G891="","",IFERROR(_xlfn.XLOOKUP($G891,nrCHname,nrCHnum),""))</f>
        <v/>
      </c>
      <c r="I891" s="14" t="n"/>
      <c r="J891" s="14" t="n"/>
      <c r="K891" s="15">
        <f>IF($B891="","",IFERROR(_xlfn.XLOOKUP($B891,nrCDdate,nrCDweek),""))</f>
        <v/>
      </c>
      <c r="L891" s="15">
        <f>IF($B891="","",IFERROR(_xlfn.XLOOKUP($B891,nrCDdate,nrCDnum),""))</f>
        <v/>
      </c>
      <c r="M891" s="14" t="n"/>
    </row>
    <row r="892">
      <c r="B892" s="16" t="n"/>
      <c r="C892" s="15">
        <f>IF($B892="","",TEXT($B892,"ddd"))</f>
        <v/>
      </c>
      <c r="D892" s="40" t="n"/>
      <c r="E892" s="40" t="n"/>
      <c r="F892" s="15">
        <f>IF(OR($B892="",$D892="",$E892=""),"",ROUND(($E892-$D892)*24,2))</f>
        <v/>
      </c>
      <c r="G892" s="14" t="n"/>
      <c r="H892" s="15">
        <f>IF($G892="","",IFERROR(_xlfn.XLOOKUP($G892,nrCHname,nrCHnum),""))</f>
        <v/>
      </c>
      <c r="I892" s="14" t="n"/>
      <c r="J892" s="14" t="n"/>
      <c r="K892" s="15">
        <f>IF($B892="","",IFERROR(_xlfn.XLOOKUP($B892,nrCDdate,nrCDweek),""))</f>
        <v/>
      </c>
      <c r="L892" s="15">
        <f>IF($B892="","",IFERROR(_xlfn.XLOOKUP($B892,nrCDdate,nrCDnum),""))</f>
        <v/>
      </c>
      <c r="M892" s="14" t="n"/>
    </row>
    <row r="893">
      <c r="B893" s="16" t="n"/>
      <c r="C893" s="15">
        <f>IF($B893="","",TEXT($B893,"ddd"))</f>
        <v/>
      </c>
      <c r="D893" s="40" t="n"/>
      <c r="E893" s="40" t="n"/>
      <c r="F893" s="15">
        <f>IF(OR($B893="",$D893="",$E893=""),"",ROUND(($E893-$D893)*24,2))</f>
        <v/>
      </c>
      <c r="G893" s="14" t="n"/>
      <c r="H893" s="15">
        <f>IF($G893="","",IFERROR(_xlfn.XLOOKUP($G893,nrCHname,nrCHnum),""))</f>
        <v/>
      </c>
      <c r="I893" s="14" t="n"/>
      <c r="J893" s="14" t="n"/>
      <c r="K893" s="15">
        <f>IF($B893="","",IFERROR(_xlfn.XLOOKUP($B893,nrCDdate,nrCDweek),""))</f>
        <v/>
      </c>
      <c r="L893" s="15">
        <f>IF($B893="","",IFERROR(_xlfn.XLOOKUP($B893,nrCDdate,nrCDnum),""))</f>
        <v/>
      </c>
      <c r="M893" s="14" t="n"/>
    </row>
    <row r="894">
      <c r="B894" s="16" t="n"/>
      <c r="C894" s="15">
        <f>IF($B894="","",TEXT($B894,"ddd"))</f>
        <v/>
      </c>
      <c r="D894" s="40" t="n"/>
      <c r="E894" s="40" t="n"/>
      <c r="F894" s="15">
        <f>IF(OR($B894="",$D894="",$E894=""),"",ROUND(($E894-$D894)*24,2))</f>
        <v/>
      </c>
      <c r="G894" s="14" t="n"/>
      <c r="H894" s="15">
        <f>IF($G894="","",IFERROR(_xlfn.XLOOKUP($G894,nrCHname,nrCHnum),""))</f>
        <v/>
      </c>
      <c r="I894" s="14" t="n"/>
      <c r="J894" s="14" t="n"/>
      <c r="K894" s="15">
        <f>IF($B894="","",IFERROR(_xlfn.XLOOKUP($B894,nrCDdate,nrCDweek),""))</f>
        <v/>
      </c>
      <c r="L894" s="15">
        <f>IF($B894="","",IFERROR(_xlfn.XLOOKUP($B894,nrCDdate,nrCDnum),""))</f>
        <v/>
      </c>
      <c r="M894" s="14" t="n"/>
    </row>
    <row r="895">
      <c r="B895" s="16" t="n"/>
      <c r="C895" s="15">
        <f>IF($B895="","",TEXT($B895,"ddd"))</f>
        <v/>
      </c>
      <c r="D895" s="40" t="n"/>
      <c r="E895" s="40" t="n"/>
      <c r="F895" s="15">
        <f>IF(OR($B895="",$D895="",$E895=""),"",ROUND(($E895-$D895)*24,2))</f>
        <v/>
      </c>
      <c r="G895" s="14" t="n"/>
      <c r="H895" s="15">
        <f>IF($G895="","",IFERROR(_xlfn.XLOOKUP($G895,nrCHname,nrCHnum),""))</f>
        <v/>
      </c>
      <c r="I895" s="14" t="n"/>
      <c r="J895" s="14" t="n"/>
      <c r="K895" s="15">
        <f>IF($B895="","",IFERROR(_xlfn.XLOOKUP($B895,nrCDdate,nrCDweek),""))</f>
        <v/>
      </c>
      <c r="L895" s="15">
        <f>IF($B895="","",IFERROR(_xlfn.XLOOKUP($B895,nrCDdate,nrCDnum),""))</f>
        <v/>
      </c>
      <c r="M895" s="14" t="n"/>
    </row>
    <row r="896">
      <c r="B896" s="16" t="n"/>
      <c r="C896" s="15">
        <f>IF($B896="","",TEXT($B896,"ddd"))</f>
        <v/>
      </c>
      <c r="D896" s="40" t="n"/>
      <c r="E896" s="40" t="n"/>
      <c r="F896" s="15">
        <f>IF(OR($B896="",$D896="",$E896=""),"",ROUND(($E896-$D896)*24,2))</f>
        <v/>
      </c>
      <c r="G896" s="14" t="n"/>
      <c r="H896" s="15">
        <f>IF($G896="","",IFERROR(_xlfn.XLOOKUP($G896,nrCHname,nrCHnum),""))</f>
        <v/>
      </c>
      <c r="I896" s="14" t="n"/>
      <c r="J896" s="14" t="n"/>
      <c r="K896" s="15">
        <f>IF($B896="","",IFERROR(_xlfn.XLOOKUP($B896,nrCDdate,nrCDweek),""))</f>
        <v/>
      </c>
      <c r="L896" s="15">
        <f>IF($B896="","",IFERROR(_xlfn.XLOOKUP($B896,nrCDdate,nrCDnum),""))</f>
        <v/>
      </c>
      <c r="M896" s="14" t="n"/>
    </row>
    <row r="897">
      <c r="B897" s="16" t="n"/>
      <c r="C897" s="15">
        <f>IF($B897="","",TEXT($B897,"ddd"))</f>
        <v/>
      </c>
      <c r="D897" s="40" t="n"/>
      <c r="E897" s="40" t="n"/>
      <c r="F897" s="15">
        <f>IF(OR($B897="",$D897="",$E897=""),"",ROUND(($E897-$D897)*24,2))</f>
        <v/>
      </c>
      <c r="G897" s="14" t="n"/>
      <c r="H897" s="15">
        <f>IF($G897="","",IFERROR(_xlfn.XLOOKUP($G897,nrCHname,nrCHnum),""))</f>
        <v/>
      </c>
      <c r="I897" s="14" t="n"/>
      <c r="J897" s="14" t="n"/>
      <c r="K897" s="15">
        <f>IF($B897="","",IFERROR(_xlfn.XLOOKUP($B897,nrCDdate,nrCDweek),""))</f>
        <v/>
      </c>
      <c r="L897" s="15">
        <f>IF($B897="","",IFERROR(_xlfn.XLOOKUP($B897,nrCDdate,nrCDnum),""))</f>
        <v/>
      </c>
      <c r="M897" s="14" t="n"/>
    </row>
    <row r="898">
      <c r="B898" s="16" t="n"/>
      <c r="C898" s="15">
        <f>IF($B898="","",TEXT($B898,"ddd"))</f>
        <v/>
      </c>
      <c r="D898" s="40" t="n"/>
      <c r="E898" s="40" t="n"/>
      <c r="F898" s="15">
        <f>IF(OR($B898="",$D898="",$E898=""),"",ROUND(($E898-$D898)*24,2))</f>
        <v/>
      </c>
      <c r="G898" s="14" t="n"/>
      <c r="H898" s="15">
        <f>IF($G898="","",IFERROR(_xlfn.XLOOKUP($G898,nrCHname,nrCHnum),""))</f>
        <v/>
      </c>
      <c r="I898" s="14" t="n"/>
      <c r="J898" s="14" t="n"/>
      <c r="K898" s="15">
        <f>IF($B898="","",IFERROR(_xlfn.XLOOKUP($B898,nrCDdate,nrCDweek),""))</f>
        <v/>
      </c>
      <c r="L898" s="15">
        <f>IF($B898="","",IFERROR(_xlfn.XLOOKUP($B898,nrCDdate,nrCDnum),""))</f>
        <v/>
      </c>
      <c r="M898" s="14" t="n"/>
    </row>
    <row r="899">
      <c r="B899" s="16" t="n"/>
      <c r="C899" s="15">
        <f>IF($B899="","",TEXT($B899,"ddd"))</f>
        <v/>
      </c>
      <c r="D899" s="40" t="n"/>
      <c r="E899" s="40" t="n"/>
      <c r="F899" s="15">
        <f>IF(OR($B899="",$D899="",$E899=""),"",ROUND(($E899-$D899)*24,2))</f>
        <v/>
      </c>
      <c r="G899" s="14" t="n"/>
      <c r="H899" s="15">
        <f>IF($G899="","",IFERROR(_xlfn.XLOOKUP($G899,nrCHname,nrCHnum),""))</f>
        <v/>
      </c>
      <c r="I899" s="14" t="n"/>
      <c r="J899" s="14" t="n"/>
      <c r="K899" s="15">
        <f>IF($B899="","",IFERROR(_xlfn.XLOOKUP($B899,nrCDdate,nrCDweek),""))</f>
        <v/>
      </c>
      <c r="L899" s="15">
        <f>IF($B899="","",IFERROR(_xlfn.XLOOKUP($B899,nrCDdate,nrCDnum),""))</f>
        <v/>
      </c>
      <c r="M899" s="14" t="n"/>
    </row>
    <row r="900">
      <c r="B900" s="16" t="n"/>
      <c r="C900" s="15">
        <f>IF($B900="","",TEXT($B900,"ddd"))</f>
        <v/>
      </c>
      <c r="D900" s="40" t="n"/>
      <c r="E900" s="40" t="n"/>
      <c r="F900" s="15">
        <f>IF(OR($B900="",$D900="",$E900=""),"",ROUND(($E900-$D900)*24,2))</f>
        <v/>
      </c>
      <c r="G900" s="14" t="n"/>
      <c r="H900" s="15">
        <f>IF($G900="","",IFERROR(_xlfn.XLOOKUP($G900,nrCHname,nrCHnum),""))</f>
        <v/>
      </c>
      <c r="I900" s="14" t="n"/>
      <c r="J900" s="14" t="n"/>
      <c r="K900" s="15">
        <f>IF($B900="","",IFERROR(_xlfn.XLOOKUP($B900,nrCDdate,nrCDweek),""))</f>
        <v/>
      </c>
      <c r="L900" s="15">
        <f>IF($B900="","",IFERROR(_xlfn.XLOOKUP($B900,nrCDdate,nrCDnum),""))</f>
        <v/>
      </c>
      <c r="M900" s="14" t="n"/>
    </row>
    <row r="901">
      <c r="B901" s="16" t="n"/>
      <c r="C901" s="15">
        <f>IF($B901="","",TEXT($B901,"ddd"))</f>
        <v/>
      </c>
      <c r="D901" s="40" t="n"/>
      <c r="E901" s="40" t="n"/>
      <c r="F901" s="15">
        <f>IF(OR($B901="",$D901="",$E901=""),"",ROUND(($E901-$D901)*24,2))</f>
        <v/>
      </c>
      <c r="G901" s="14" t="n"/>
      <c r="H901" s="15">
        <f>IF($G901="","",IFERROR(_xlfn.XLOOKUP($G901,nrCHname,nrCHnum),""))</f>
        <v/>
      </c>
      <c r="I901" s="14" t="n"/>
      <c r="J901" s="14" t="n"/>
      <c r="K901" s="15">
        <f>IF($B901="","",IFERROR(_xlfn.XLOOKUP($B901,nrCDdate,nrCDweek),""))</f>
        <v/>
      </c>
      <c r="L901" s="15">
        <f>IF($B901="","",IFERROR(_xlfn.XLOOKUP($B901,nrCDdate,nrCDnum),""))</f>
        <v/>
      </c>
      <c r="M901" s="14" t="n"/>
    </row>
    <row r="902">
      <c r="B902" s="16" t="n"/>
      <c r="C902" s="15">
        <f>IF($B902="","",TEXT($B902,"ddd"))</f>
        <v/>
      </c>
      <c r="D902" s="40" t="n"/>
      <c r="E902" s="40" t="n"/>
      <c r="F902" s="15">
        <f>IF(OR($B902="",$D902="",$E902=""),"",ROUND(($E902-$D902)*24,2))</f>
        <v/>
      </c>
      <c r="G902" s="14" t="n"/>
      <c r="H902" s="15">
        <f>IF($G902="","",IFERROR(_xlfn.XLOOKUP($G902,nrCHname,nrCHnum),""))</f>
        <v/>
      </c>
      <c r="I902" s="14" t="n"/>
      <c r="J902" s="14" t="n"/>
      <c r="K902" s="15">
        <f>IF($B902="","",IFERROR(_xlfn.XLOOKUP($B902,nrCDdate,nrCDweek),""))</f>
        <v/>
      </c>
      <c r="L902" s="15">
        <f>IF($B902="","",IFERROR(_xlfn.XLOOKUP($B902,nrCDdate,nrCDnum),""))</f>
        <v/>
      </c>
      <c r="M902" s="14" t="n"/>
    </row>
    <row r="903">
      <c r="B903" s="16" t="n"/>
      <c r="C903" s="15">
        <f>IF($B903="","",TEXT($B903,"ddd"))</f>
        <v/>
      </c>
      <c r="D903" s="40" t="n"/>
      <c r="E903" s="40" t="n"/>
      <c r="F903" s="15">
        <f>IF(OR($B903="",$D903="",$E903=""),"",ROUND(($E903-$D903)*24,2))</f>
        <v/>
      </c>
      <c r="G903" s="14" t="n"/>
      <c r="H903" s="15">
        <f>IF($G903="","",IFERROR(_xlfn.XLOOKUP($G903,nrCHname,nrCHnum),""))</f>
        <v/>
      </c>
      <c r="I903" s="14" t="n"/>
      <c r="J903" s="14" t="n"/>
      <c r="K903" s="15">
        <f>IF($B903="","",IFERROR(_xlfn.XLOOKUP($B903,nrCDdate,nrCDweek),""))</f>
        <v/>
      </c>
      <c r="L903" s="15">
        <f>IF($B903="","",IFERROR(_xlfn.XLOOKUP($B903,nrCDdate,nrCDnum),""))</f>
        <v/>
      </c>
      <c r="M903" s="14" t="n"/>
    </row>
    <row r="904">
      <c r="B904" s="16" t="n"/>
      <c r="C904" s="15">
        <f>IF($B904="","",TEXT($B904,"ddd"))</f>
        <v/>
      </c>
      <c r="D904" s="40" t="n"/>
      <c r="E904" s="40" t="n"/>
      <c r="F904" s="15">
        <f>IF(OR($B904="",$D904="",$E904=""),"",ROUND(($E904-$D904)*24,2))</f>
        <v/>
      </c>
      <c r="G904" s="14" t="n"/>
      <c r="H904" s="15">
        <f>IF($G904="","",IFERROR(_xlfn.XLOOKUP($G904,nrCHname,nrCHnum),""))</f>
        <v/>
      </c>
      <c r="I904" s="14" t="n"/>
      <c r="J904" s="14" t="n"/>
      <c r="K904" s="15">
        <f>IF($B904="","",IFERROR(_xlfn.XLOOKUP($B904,nrCDdate,nrCDweek),""))</f>
        <v/>
      </c>
      <c r="L904" s="15">
        <f>IF($B904="","",IFERROR(_xlfn.XLOOKUP($B904,nrCDdate,nrCDnum),""))</f>
        <v/>
      </c>
      <c r="M904" s="14" t="n"/>
    </row>
    <row r="905">
      <c r="B905" s="16" t="n"/>
      <c r="C905" s="15">
        <f>IF($B905="","",TEXT($B905,"ddd"))</f>
        <v/>
      </c>
      <c r="D905" s="40" t="n"/>
      <c r="E905" s="40" t="n"/>
      <c r="F905" s="15">
        <f>IF(OR($B905="",$D905="",$E905=""),"",ROUND(($E905-$D905)*24,2))</f>
        <v/>
      </c>
      <c r="G905" s="14" t="n"/>
      <c r="H905" s="15">
        <f>IF($G905="","",IFERROR(_xlfn.XLOOKUP($G905,nrCHname,nrCHnum),""))</f>
        <v/>
      </c>
      <c r="I905" s="14" t="n"/>
      <c r="J905" s="14" t="n"/>
      <c r="K905" s="15">
        <f>IF($B905="","",IFERROR(_xlfn.XLOOKUP($B905,nrCDdate,nrCDweek),""))</f>
        <v/>
      </c>
      <c r="L905" s="15">
        <f>IF($B905="","",IFERROR(_xlfn.XLOOKUP($B905,nrCDdate,nrCDnum),""))</f>
        <v/>
      </c>
      <c r="M905" s="14" t="n"/>
    </row>
  </sheetData>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1.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Weighted per policy 300.2 (Major 40 / Minor 30 / Spelling 10 / Final 20); pass requires 70 in EACH category. Projection columns show the average needed on remaining exams. Locked engine — do not edit.</t>
        </is>
      </c>
    </row>
    <row r="5" ht="26" customHeight="1">
      <c r="B5" s="9" t="inlineStr">
        <is>
          <t>PID</t>
        </is>
      </c>
      <c r="C5" s="9" t="inlineStr">
        <is>
          <t>Cadet Name</t>
        </is>
      </c>
      <c r="D5" s="9" t="inlineStr">
        <is>
          <t>Status</t>
        </is>
      </c>
      <c r="E5" s="9" t="inlineStr">
        <is>
          <t>MajCnt</t>
        </is>
      </c>
      <c r="F5" s="9" t="inlineStr">
        <is>
          <t>MinCnt</t>
        </is>
      </c>
      <c r="G5" s="9" t="inlineStr">
        <is>
          <t>SpCnt</t>
        </is>
      </c>
      <c r="H5" s="9" t="inlineStr">
        <is>
          <t>FinCnt</t>
        </is>
      </c>
      <c r="I5" s="9" t="inlineStr">
        <is>
          <t>MajorAvg</t>
        </is>
      </c>
      <c r="J5" s="9" t="inlineStr">
        <is>
          <t>MinorAvg</t>
        </is>
      </c>
      <c r="K5" s="9" t="inlineStr">
        <is>
          <t>SpellAvg</t>
        </is>
      </c>
      <c r="L5" s="9" t="inlineStr">
        <is>
          <t>FinalScore</t>
        </is>
      </c>
      <c r="M5" s="9" t="inlineStr">
        <is>
          <t>Current Grade</t>
        </is>
      </c>
      <c r="N5" s="9" t="inlineStr">
        <is>
          <t>Final Grade</t>
        </is>
      </c>
      <c r="O5" s="9" t="inlineStr">
        <is>
          <t>Retakes</t>
        </is>
      </c>
      <c r="P5" s="9" t="inlineStr">
        <is>
          <t>DismissRev</t>
        </is>
      </c>
      <c r="Q5" s="9" t="inlineStr">
        <is>
          <t>MajBelow</t>
        </is>
      </c>
      <c r="R5" s="9" t="inlineStr">
        <is>
          <t>MinBelow</t>
        </is>
      </c>
      <c r="S5" s="9" t="inlineStr">
        <is>
          <t>GradeNum</t>
        </is>
      </c>
      <c r="T5" s="9" t="inlineStr">
        <is>
          <t>RankElig</t>
        </is>
      </c>
      <c r="U5" s="9" t="inlineStr">
        <is>
          <t>Rank</t>
        </is>
      </c>
      <c r="V5" s="9" t="inlineStr">
        <is>
          <t>AcademicElig</t>
        </is>
      </c>
      <c r="W5" s="9" t="inlineStr">
        <is>
          <t>Need Maj Avg Left</t>
        </is>
      </c>
      <c r="X5" s="9" t="inlineStr">
        <is>
          <t>Need Min Avg Left</t>
        </is>
      </c>
      <c r="Y5" s="9" t="inlineStr">
        <is>
          <t>Need Final</t>
        </is>
      </c>
      <c r="Z5" s="9" t="inlineStr">
        <is>
          <t>LastScore</t>
        </is>
      </c>
      <c r="AA5" s="9" t="inlineStr">
        <is>
          <t>PrevScore</t>
        </is>
      </c>
      <c r="AB5" s="9" t="inlineStr">
        <is>
          <t>GradeDrop</t>
        </is>
      </c>
      <c r="AC5" s="9" t="inlineStr">
        <is>
          <t>ConsecFails</t>
        </is>
      </c>
    </row>
    <row r="6">
      <c r="B6" s="15">
        <f>IF(Cadets!$B6="","",Cadets!$B6)</f>
        <v/>
      </c>
      <c r="C6" s="15">
        <f>IF($B6="","",Cadets!$F6)</f>
        <v/>
      </c>
      <c r="D6" s="15">
        <f>IF($B6="","",Cadets!$I6)</f>
        <v/>
      </c>
      <c r="E6" s="15">
        <f>IF($B6="","",COUNTIFS(nrES_PID,$B6,nrES_Type,"Major",nrES_Final,"Yes"))</f>
        <v/>
      </c>
      <c r="F6" s="15">
        <f>IF($B6="","",COUNTIFS(nrES_PID,$B6,nrES_Type,"Minor",nrES_Final,"Yes"))</f>
        <v/>
      </c>
      <c r="G6" s="15">
        <f>IF($B6="","",Spelling!Q6)</f>
        <v/>
      </c>
      <c r="H6" s="15">
        <f>IF($B6="","",COUNTIFS(nrES_PID,$B6,nrES_Type,"Final",nrES_Final,"Yes"))</f>
        <v/>
      </c>
      <c r="I6" s="15">
        <f>IF(OR($B6="",$E6=0),"",ROUND(AVERAGEIFS(nrES_Rec,nrES_PID,$B6,nrES_Type,"Major",nrES_Final,"Yes"),2))</f>
        <v/>
      </c>
      <c r="J6" s="15">
        <f>IF(OR($B6="",$F6=0),"",ROUND(AVERAGEIFS(nrES_Rec,nrES_PID,$B6,nrES_Type,"Minor",nrES_Final,"Yes"),2))</f>
        <v/>
      </c>
      <c r="K6" s="15">
        <f>IF($B6="","",Spelling!P6)</f>
        <v/>
      </c>
      <c r="L6" s="15">
        <f>IF(OR($B6="",$H6=0),"",ROUND(AVERAGEIFS(nrES_Rec,nrES_PID,$B6,nrES_Type,"Final",nrES_Final,"Yes"),2))</f>
        <v/>
      </c>
      <c r="M6" s="15">
        <f>IF($B6="","",_xlfn.LET(_xlpm.w,($E6&gt;0)*cfgWeightMajor+($F6&gt;0)*cfgWeightMinor+(N($G6)&gt;0)*cfgWeightSpelling+($H6&gt;0)*cfgWeightFinal,IF(_xlpm.w=0,"",ROUND((($E6&gt;0)*cfgWeightMajor*N($I6)+($F6&gt;0)*cfgWeightMinor*N($J6)+(N($G6)&gt;0)*cfgWeightSpelling*N($K6)+($H6&gt;0)*cfgWeightFinal*N($L6))/_xlpm.w,2))))</f>
        <v/>
      </c>
      <c r="N6" s="15">
        <f>IF(OR($B6="",$H6=0),"",$M6)</f>
        <v/>
      </c>
      <c r="O6" s="15">
        <f>IF($B6="","",COUNTIFS(nrES_PID,$B6,nrES_Att,2))</f>
        <v/>
      </c>
      <c r="P6" s="15">
        <f>IF($B6="","",COUNTIFS(nrES_PID,$B6,nrES_Dis,"Yes"))</f>
        <v/>
      </c>
      <c r="Q6" s="15">
        <f>IF($B6="","",IF(AND($E6&gt;=cfgThresholdAfterExam,$I6&lt;&gt;"",$I6&lt;cfgThresholdScore),"Yes","No"))</f>
        <v/>
      </c>
      <c r="R6" s="15">
        <f>IF($B6="","",IF(AND($F6&gt;=cfgThresholdAfterExam,$J6&lt;&gt;"",$J6&lt;cfgThresholdScore),"Yes","No"))</f>
        <v/>
      </c>
      <c r="S6" s="15">
        <f>IF($B6="","",IF($M6="",-1,$M6))</f>
        <v/>
      </c>
      <c r="T6" s="15">
        <f>IF($B6="","",IF(AND($D6="Active",$P6=0,sysSkills!$J6&lt;&gt;"Yes",sysIncidents!$J6=0,$M6&lt;&gt;""),"Yes","No"))</f>
        <v/>
      </c>
      <c r="U6" s="15">
        <f>IF($T6&lt;&gt;"Yes","",SUMPRODUCT(($T$6:$T$55="Yes")*(($S$6:$S$55&gt;$S6)+($S$6:$S$55=$S6)*(ROW($S$6:$S$55)&lt;ROW())))+1)</f>
        <v/>
      </c>
      <c r="V6" s="15">
        <f>IF($B6="","",IF(AND(OR($E6=0,$I6&gt;=cfgThresholdScore),OR($F6=0,$J6&gt;=cfgThresholdScore),OR(N($G6)=0,$K6&gt;=cfgThresholdScore),OR($H6=0,$L6&gt;=cfgThresholdScore)),"Yes","No"))</f>
        <v/>
      </c>
      <c r="W6" s="15">
        <f>IF($B6="","",_xlfn.LET(_xlpm.tot,COUNTIFS(rngEPuse,"Yes",rngEPtype,"Major"),_xlpm.left,_xlpm.tot-$E6,IF(_xlpm.left&lt;=0,"done",MAX(0,ROUND((cfgThresholdScore*_xlpm.tot-N($I6)*$E6)/_xlpm.left,1)))))</f>
        <v/>
      </c>
      <c r="X6" s="15">
        <f>IF($B6="","",_xlfn.LET(_xlpm.tot,COUNTIFS(rngEPuse,"Yes",rngEPtype,"Minor"),_xlpm.left,_xlpm.tot-$F6,IF(_xlpm.left&lt;=0,"done",MAX(0,ROUND((cfgThresholdScore*_xlpm.tot-N($J6)*$F6)/_xlpm.left,1)))))</f>
        <v/>
      </c>
      <c r="Y6" s="15">
        <f>IF($B6="","",IF($H6&gt;0,"done",cfgThresholdScore))</f>
        <v/>
      </c>
      <c r="Z6" s="15">
        <f>IF($B6="","",_xlfn.LET(_xlpm.s,_xlfn.MAXIFS(nrES_Seq,nrES_PID,$B6,nrES_Att,1,nrES_Raw,"&gt;=0"),IF(_xlpm.s=0,"",SUMIFS(nrES_Raw,nrES_PID,$B6,nrES_Att,1,nrES_Seq,_xlpm.s))))</f>
        <v/>
      </c>
      <c r="AA6" s="15">
        <f>IF($B6="","",_xlfn.LET(_xlpm.s,_xlfn.MAXIFS(nrES_Seq,nrES_PID,$B6,nrES_Att,1,nrES_Raw,"&gt;=0"),IF(_xlpm.s=0,"",_xlfn.LET(_xlpm.p,_xlfn.MAXIFS(nrES_Seq,nrES_PID,$B6,nrES_Att,1,nrES_Seq,"&lt;"&amp;_xlpm.s),IF(_xlpm.p=0,"",SUMIFS(nrES_Raw,nrES_PID,$B6,nrES_Att,1,nrES_Seq,_xlpm.p))))))</f>
        <v/>
      </c>
      <c r="AB6" s="15">
        <f>IF(OR($B6="",$Z6="",$AA6=""),"",ROUND($AA6-$Z6,1))</f>
        <v/>
      </c>
      <c r="AC6" s="15">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5">
        <f>IF(Cadets!$B7="","",Cadets!$B7)</f>
        <v/>
      </c>
      <c r="C7" s="15">
        <f>IF($B7="","",Cadets!$F7)</f>
        <v/>
      </c>
      <c r="D7" s="15">
        <f>IF($B7="","",Cadets!$I7)</f>
        <v/>
      </c>
      <c r="E7" s="15">
        <f>IF($B7="","",COUNTIFS(nrES_PID,$B7,nrES_Type,"Major",nrES_Final,"Yes"))</f>
        <v/>
      </c>
      <c r="F7" s="15">
        <f>IF($B7="","",COUNTIFS(nrES_PID,$B7,nrES_Type,"Minor",nrES_Final,"Yes"))</f>
        <v/>
      </c>
      <c r="G7" s="15">
        <f>IF($B7="","",Spelling!Q7)</f>
        <v/>
      </c>
      <c r="H7" s="15">
        <f>IF($B7="","",COUNTIFS(nrES_PID,$B7,nrES_Type,"Final",nrES_Final,"Yes"))</f>
        <v/>
      </c>
      <c r="I7" s="15">
        <f>IF(OR($B7="",$E7=0),"",ROUND(AVERAGEIFS(nrES_Rec,nrES_PID,$B7,nrES_Type,"Major",nrES_Final,"Yes"),2))</f>
        <v/>
      </c>
      <c r="J7" s="15">
        <f>IF(OR($B7="",$F7=0),"",ROUND(AVERAGEIFS(nrES_Rec,nrES_PID,$B7,nrES_Type,"Minor",nrES_Final,"Yes"),2))</f>
        <v/>
      </c>
      <c r="K7" s="15">
        <f>IF($B7="","",Spelling!P7)</f>
        <v/>
      </c>
      <c r="L7" s="15">
        <f>IF(OR($B7="",$H7=0),"",ROUND(AVERAGEIFS(nrES_Rec,nrES_PID,$B7,nrES_Type,"Final",nrES_Final,"Yes"),2))</f>
        <v/>
      </c>
      <c r="M7" s="15">
        <f>IF($B7="","",_xlfn.LET(_xlpm.w,($E7&gt;0)*cfgWeightMajor+($F7&gt;0)*cfgWeightMinor+(N($G7)&gt;0)*cfgWeightSpelling+($H7&gt;0)*cfgWeightFinal,IF(_xlpm.w=0,"",ROUND((($E7&gt;0)*cfgWeightMajor*N($I7)+($F7&gt;0)*cfgWeightMinor*N($J7)+(N($G7)&gt;0)*cfgWeightSpelling*N($K7)+($H7&gt;0)*cfgWeightFinal*N($L7))/_xlpm.w,2))))</f>
        <v/>
      </c>
      <c r="N7" s="15">
        <f>IF(OR($B7="",$H7=0),"",$M7)</f>
        <v/>
      </c>
      <c r="O7" s="15">
        <f>IF($B7="","",COUNTIFS(nrES_PID,$B7,nrES_Att,2))</f>
        <v/>
      </c>
      <c r="P7" s="15">
        <f>IF($B7="","",COUNTIFS(nrES_PID,$B7,nrES_Dis,"Yes"))</f>
        <v/>
      </c>
      <c r="Q7" s="15">
        <f>IF($B7="","",IF(AND($E7&gt;=cfgThresholdAfterExam,$I7&lt;&gt;"",$I7&lt;cfgThresholdScore),"Yes","No"))</f>
        <v/>
      </c>
      <c r="R7" s="15">
        <f>IF($B7="","",IF(AND($F7&gt;=cfgThresholdAfterExam,$J7&lt;&gt;"",$J7&lt;cfgThresholdScore),"Yes","No"))</f>
        <v/>
      </c>
      <c r="S7" s="15">
        <f>IF($B7="","",IF($M7="",-1,$M7))</f>
        <v/>
      </c>
      <c r="T7" s="15">
        <f>IF($B7="","",IF(AND($D7="Active",$P7=0,sysSkills!$J7&lt;&gt;"Yes",sysIncidents!$J7=0,$M7&lt;&gt;""),"Yes","No"))</f>
        <v/>
      </c>
      <c r="U7" s="15">
        <f>IF($T7&lt;&gt;"Yes","",SUMPRODUCT(($T$6:$T$55="Yes")*(($S$6:$S$55&gt;$S7)+($S$6:$S$55=$S7)*(ROW($S$6:$S$55)&lt;ROW())))+1)</f>
        <v/>
      </c>
      <c r="V7" s="15">
        <f>IF($B7="","",IF(AND(OR($E7=0,$I7&gt;=cfgThresholdScore),OR($F7=0,$J7&gt;=cfgThresholdScore),OR(N($G7)=0,$K7&gt;=cfgThresholdScore),OR($H7=0,$L7&gt;=cfgThresholdScore)),"Yes","No"))</f>
        <v/>
      </c>
      <c r="W7" s="15">
        <f>IF($B7="","",_xlfn.LET(_xlpm.tot,COUNTIFS(rngEPuse,"Yes",rngEPtype,"Major"),_xlpm.left,_xlpm.tot-$E7,IF(_xlpm.left&lt;=0,"done",MAX(0,ROUND((cfgThresholdScore*_xlpm.tot-N($I7)*$E7)/_xlpm.left,1)))))</f>
        <v/>
      </c>
      <c r="X7" s="15">
        <f>IF($B7="","",_xlfn.LET(_xlpm.tot,COUNTIFS(rngEPuse,"Yes",rngEPtype,"Minor"),_xlpm.left,_xlpm.tot-$F7,IF(_xlpm.left&lt;=0,"done",MAX(0,ROUND((cfgThresholdScore*_xlpm.tot-N($J7)*$F7)/_xlpm.left,1)))))</f>
        <v/>
      </c>
      <c r="Y7" s="15">
        <f>IF($B7="","",IF($H7&gt;0,"done",cfgThresholdScore))</f>
        <v/>
      </c>
      <c r="Z7" s="15">
        <f>IF($B7="","",_xlfn.LET(_xlpm.s,_xlfn.MAXIFS(nrES_Seq,nrES_PID,$B7,nrES_Att,1,nrES_Raw,"&gt;=0"),IF(_xlpm.s=0,"",SUMIFS(nrES_Raw,nrES_PID,$B7,nrES_Att,1,nrES_Seq,_xlpm.s))))</f>
        <v/>
      </c>
      <c r="AA7" s="15">
        <f>IF($B7="","",_xlfn.LET(_xlpm.s,_xlfn.MAXIFS(nrES_Seq,nrES_PID,$B7,nrES_Att,1,nrES_Raw,"&gt;=0"),IF(_xlpm.s=0,"",_xlfn.LET(_xlpm.p,_xlfn.MAXIFS(nrES_Seq,nrES_PID,$B7,nrES_Att,1,nrES_Seq,"&lt;"&amp;_xlpm.s),IF(_xlpm.p=0,"",SUMIFS(nrES_Raw,nrES_PID,$B7,nrES_Att,1,nrES_Seq,_xlpm.p))))))</f>
        <v/>
      </c>
      <c r="AB7" s="15">
        <f>IF(OR($B7="",$Z7="",$AA7=""),"",ROUND($AA7-$Z7,1))</f>
        <v/>
      </c>
      <c r="AC7" s="15">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5">
        <f>IF(Cadets!$B8="","",Cadets!$B8)</f>
        <v/>
      </c>
      <c r="C8" s="15">
        <f>IF($B8="","",Cadets!$F8)</f>
        <v/>
      </c>
      <c r="D8" s="15">
        <f>IF($B8="","",Cadets!$I8)</f>
        <v/>
      </c>
      <c r="E8" s="15">
        <f>IF($B8="","",COUNTIFS(nrES_PID,$B8,nrES_Type,"Major",nrES_Final,"Yes"))</f>
        <v/>
      </c>
      <c r="F8" s="15">
        <f>IF($B8="","",COUNTIFS(nrES_PID,$B8,nrES_Type,"Minor",nrES_Final,"Yes"))</f>
        <v/>
      </c>
      <c r="G8" s="15">
        <f>IF($B8="","",Spelling!Q8)</f>
        <v/>
      </c>
      <c r="H8" s="15">
        <f>IF($B8="","",COUNTIFS(nrES_PID,$B8,nrES_Type,"Final",nrES_Final,"Yes"))</f>
        <v/>
      </c>
      <c r="I8" s="15">
        <f>IF(OR($B8="",$E8=0),"",ROUND(AVERAGEIFS(nrES_Rec,nrES_PID,$B8,nrES_Type,"Major",nrES_Final,"Yes"),2))</f>
        <v/>
      </c>
      <c r="J8" s="15">
        <f>IF(OR($B8="",$F8=0),"",ROUND(AVERAGEIFS(nrES_Rec,nrES_PID,$B8,nrES_Type,"Minor",nrES_Final,"Yes"),2))</f>
        <v/>
      </c>
      <c r="K8" s="15">
        <f>IF($B8="","",Spelling!P8)</f>
        <v/>
      </c>
      <c r="L8" s="15">
        <f>IF(OR($B8="",$H8=0),"",ROUND(AVERAGEIFS(nrES_Rec,nrES_PID,$B8,nrES_Type,"Final",nrES_Final,"Yes"),2))</f>
        <v/>
      </c>
      <c r="M8" s="15">
        <f>IF($B8="","",_xlfn.LET(_xlpm.w,($E8&gt;0)*cfgWeightMajor+($F8&gt;0)*cfgWeightMinor+(N($G8)&gt;0)*cfgWeightSpelling+($H8&gt;0)*cfgWeightFinal,IF(_xlpm.w=0,"",ROUND((($E8&gt;0)*cfgWeightMajor*N($I8)+($F8&gt;0)*cfgWeightMinor*N($J8)+(N($G8)&gt;0)*cfgWeightSpelling*N($K8)+($H8&gt;0)*cfgWeightFinal*N($L8))/_xlpm.w,2))))</f>
        <v/>
      </c>
      <c r="N8" s="15">
        <f>IF(OR($B8="",$H8=0),"",$M8)</f>
        <v/>
      </c>
      <c r="O8" s="15">
        <f>IF($B8="","",COUNTIFS(nrES_PID,$B8,nrES_Att,2))</f>
        <v/>
      </c>
      <c r="P8" s="15">
        <f>IF($B8="","",COUNTIFS(nrES_PID,$B8,nrES_Dis,"Yes"))</f>
        <v/>
      </c>
      <c r="Q8" s="15">
        <f>IF($B8="","",IF(AND($E8&gt;=cfgThresholdAfterExam,$I8&lt;&gt;"",$I8&lt;cfgThresholdScore),"Yes","No"))</f>
        <v/>
      </c>
      <c r="R8" s="15">
        <f>IF($B8="","",IF(AND($F8&gt;=cfgThresholdAfterExam,$J8&lt;&gt;"",$J8&lt;cfgThresholdScore),"Yes","No"))</f>
        <v/>
      </c>
      <c r="S8" s="15">
        <f>IF($B8="","",IF($M8="",-1,$M8))</f>
        <v/>
      </c>
      <c r="T8" s="15">
        <f>IF($B8="","",IF(AND($D8="Active",$P8=0,sysSkills!$J8&lt;&gt;"Yes",sysIncidents!$J8=0,$M8&lt;&gt;""),"Yes","No"))</f>
        <v/>
      </c>
      <c r="U8" s="15">
        <f>IF($T8&lt;&gt;"Yes","",SUMPRODUCT(($T$6:$T$55="Yes")*(($S$6:$S$55&gt;$S8)+($S$6:$S$55=$S8)*(ROW($S$6:$S$55)&lt;ROW())))+1)</f>
        <v/>
      </c>
      <c r="V8" s="15">
        <f>IF($B8="","",IF(AND(OR($E8=0,$I8&gt;=cfgThresholdScore),OR($F8=0,$J8&gt;=cfgThresholdScore),OR(N($G8)=0,$K8&gt;=cfgThresholdScore),OR($H8=0,$L8&gt;=cfgThresholdScore)),"Yes","No"))</f>
        <v/>
      </c>
      <c r="W8" s="15">
        <f>IF($B8="","",_xlfn.LET(_xlpm.tot,COUNTIFS(rngEPuse,"Yes",rngEPtype,"Major"),_xlpm.left,_xlpm.tot-$E8,IF(_xlpm.left&lt;=0,"done",MAX(0,ROUND((cfgThresholdScore*_xlpm.tot-N($I8)*$E8)/_xlpm.left,1)))))</f>
        <v/>
      </c>
      <c r="X8" s="15">
        <f>IF($B8="","",_xlfn.LET(_xlpm.tot,COUNTIFS(rngEPuse,"Yes",rngEPtype,"Minor"),_xlpm.left,_xlpm.tot-$F8,IF(_xlpm.left&lt;=0,"done",MAX(0,ROUND((cfgThresholdScore*_xlpm.tot-N($J8)*$F8)/_xlpm.left,1)))))</f>
        <v/>
      </c>
      <c r="Y8" s="15">
        <f>IF($B8="","",IF($H8&gt;0,"done",cfgThresholdScore))</f>
        <v/>
      </c>
      <c r="Z8" s="15">
        <f>IF($B8="","",_xlfn.LET(_xlpm.s,_xlfn.MAXIFS(nrES_Seq,nrES_PID,$B8,nrES_Att,1,nrES_Raw,"&gt;=0"),IF(_xlpm.s=0,"",SUMIFS(nrES_Raw,nrES_PID,$B8,nrES_Att,1,nrES_Seq,_xlpm.s))))</f>
        <v/>
      </c>
      <c r="AA8" s="15">
        <f>IF($B8="","",_xlfn.LET(_xlpm.s,_xlfn.MAXIFS(nrES_Seq,nrES_PID,$B8,nrES_Att,1,nrES_Raw,"&gt;=0"),IF(_xlpm.s=0,"",_xlfn.LET(_xlpm.p,_xlfn.MAXIFS(nrES_Seq,nrES_PID,$B8,nrES_Att,1,nrES_Seq,"&lt;"&amp;_xlpm.s),IF(_xlpm.p=0,"",SUMIFS(nrES_Raw,nrES_PID,$B8,nrES_Att,1,nrES_Seq,_xlpm.p))))))</f>
        <v/>
      </c>
      <c r="AB8" s="15">
        <f>IF(OR($B8="",$Z8="",$AA8=""),"",ROUND($AA8-$Z8,1))</f>
        <v/>
      </c>
      <c r="AC8" s="15">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5">
        <f>IF(Cadets!$B9="","",Cadets!$B9)</f>
        <v/>
      </c>
      <c r="C9" s="15">
        <f>IF($B9="","",Cadets!$F9)</f>
        <v/>
      </c>
      <c r="D9" s="15">
        <f>IF($B9="","",Cadets!$I9)</f>
        <v/>
      </c>
      <c r="E9" s="15">
        <f>IF($B9="","",COUNTIFS(nrES_PID,$B9,nrES_Type,"Major",nrES_Final,"Yes"))</f>
        <v/>
      </c>
      <c r="F9" s="15">
        <f>IF($B9="","",COUNTIFS(nrES_PID,$B9,nrES_Type,"Minor",nrES_Final,"Yes"))</f>
        <v/>
      </c>
      <c r="G9" s="15">
        <f>IF($B9="","",Spelling!Q9)</f>
        <v/>
      </c>
      <c r="H9" s="15">
        <f>IF($B9="","",COUNTIFS(nrES_PID,$B9,nrES_Type,"Final",nrES_Final,"Yes"))</f>
        <v/>
      </c>
      <c r="I9" s="15">
        <f>IF(OR($B9="",$E9=0),"",ROUND(AVERAGEIFS(nrES_Rec,nrES_PID,$B9,nrES_Type,"Major",nrES_Final,"Yes"),2))</f>
        <v/>
      </c>
      <c r="J9" s="15">
        <f>IF(OR($B9="",$F9=0),"",ROUND(AVERAGEIFS(nrES_Rec,nrES_PID,$B9,nrES_Type,"Minor",nrES_Final,"Yes"),2))</f>
        <v/>
      </c>
      <c r="K9" s="15">
        <f>IF($B9="","",Spelling!P9)</f>
        <v/>
      </c>
      <c r="L9" s="15">
        <f>IF(OR($B9="",$H9=0),"",ROUND(AVERAGEIFS(nrES_Rec,nrES_PID,$B9,nrES_Type,"Final",nrES_Final,"Yes"),2))</f>
        <v/>
      </c>
      <c r="M9" s="15">
        <f>IF($B9="","",_xlfn.LET(_xlpm.w,($E9&gt;0)*cfgWeightMajor+($F9&gt;0)*cfgWeightMinor+(N($G9)&gt;0)*cfgWeightSpelling+($H9&gt;0)*cfgWeightFinal,IF(_xlpm.w=0,"",ROUND((($E9&gt;0)*cfgWeightMajor*N($I9)+($F9&gt;0)*cfgWeightMinor*N($J9)+(N($G9)&gt;0)*cfgWeightSpelling*N($K9)+($H9&gt;0)*cfgWeightFinal*N($L9))/_xlpm.w,2))))</f>
        <v/>
      </c>
      <c r="N9" s="15">
        <f>IF(OR($B9="",$H9=0),"",$M9)</f>
        <v/>
      </c>
      <c r="O9" s="15">
        <f>IF($B9="","",COUNTIFS(nrES_PID,$B9,nrES_Att,2))</f>
        <v/>
      </c>
      <c r="P9" s="15">
        <f>IF($B9="","",COUNTIFS(nrES_PID,$B9,nrES_Dis,"Yes"))</f>
        <v/>
      </c>
      <c r="Q9" s="15">
        <f>IF($B9="","",IF(AND($E9&gt;=cfgThresholdAfterExam,$I9&lt;&gt;"",$I9&lt;cfgThresholdScore),"Yes","No"))</f>
        <v/>
      </c>
      <c r="R9" s="15">
        <f>IF($B9="","",IF(AND($F9&gt;=cfgThresholdAfterExam,$J9&lt;&gt;"",$J9&lt;cfgThresholdScore),"Yes","No"))</f>
        <v/>
      </c>
      <c r="S9" s="15">
        <f>IF($B9="","",IF($M9="",-1,$M9))</f>
        <v/>
      </c>
      <c r="T9" s="15">
        <f>IF($B9="","",IF(AND($D9="Active",$P9=0,sysSkills!$J9&lt;&gt;"Yes",sysIncidents!$J9=0,$M9&lt;&gt;""),"Yes","No"))</f>
        <v/>
      </c>
      <c r="U9" s="15">
        <f>IF($T9&lt;&gt;"Yes","",SUMPRODUCT(($T$6:$T$55="Yes")*(($S$6:$S$55&gt;$S9)+($S$6:$S$55=$S9)*(ROW($S$6:$S$55)&lt;ROW())))+1)</f>
        <v/>
      </c>
      <c r="V9" s="15">
        <f>IF($B9="","",IF(AND(OR($E9=0,$I9&gt;=cfgThresholdScore),OR($F9=0,$J9&gt;=cfgThresholdScore),OR(N($G9)=0,$K9&gt;=cfgThresholdScore),OR($H9=0,$L9&gt;=cfgThresholdScore)),"Yes","No"))</f>
        <v/>
      </c>
      <c r="W9" s="15">
        <f>IF($B9="","",_xlfn.LET(_xlpm.tot,COUNTIFS(rngEPuse,"Yes",rngEPtype,"Major"),_xlpm.left,_xlpm.tot-$E9,IF(_xlpm.left&lt;=0,"done",MAX(0,ROUND((cfgThresholdScore*_xlpm.tot-N($I9)*$E9)/_xlpm.left,1)))))</f>
        <v/>
      </c>
      <c r="X9" s="15">
        <f>IF($B9="","",_xlfn.LET(_xlpm.tot,COUNTIFS(rngEPuse,"Yes",rngEPtype,"Minor"),_xlpm.left,_xlpm.tot-$F9,IF(_xlpm.left&lt;=0,"done",MAX(0,ROUND((cfgThresholdScore*_xlpm.tot-N($J9)*$F9)/_xlpm.left,1)))))</f>
        <v/>
      </c>
      <c r="Y9" s="15">
        <f>IF($B9="","",IF($H9&gt;0,"done",cfgThresholdScore))</f>
        <v/>
      </c>
      <c r="Z9" s="15">
        <f>IF($B9="","",_xlfn.LET(_xlpm.s,_xlfn.MAXIFS(nrES_Seq,nrES_PID,$B9,nrES_Att,1,nrES_Raw,"&gt;=0"),IF(_xlpm.s=0,"",SUMIFS(nrES_Raw,nrES_PID,$B9,nrES_Att,1,nrES_Seq,_xlpm.s))))</f>
        <v/>
      </c>
      <c r="AA9" s="15">
        <f>IF($B9="","",_xlfn.LET(_xlpm.s,_xlfn.MAXIFS(nrES_Seq,nrES_PID,$B9,nrES_Att,1,nrES_Raw,"&gt;=0"),IF(_xlpm.s=0,"",_xlfn.LET(_xlpm.p,_xlfn.MAXIFS(nrES_Seq,nrES_PID,$B9,nrES_Att,1,nrES_Seq,"&lt;"&amp;_xlpm.s),IF(_xlpm.p=0,"",SUMIFS(nrES_Raw,nrES_PID,$B9,nrES_Att,1,nrES_Seq,_xlpm.p))))))</f>
        <v/>
      </c>
      <c r="AB9" s="15">
        <f>IF(OR($B9="",$Z9="",$AA9=""),"",ROUND($AA9-$Z9,1))</f>
        <v/>
      </c>
      <c r="AC9" s="15">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5">
        <f>IF(Cadets!$B10="","",Cadets!$B10)</f>
        <v/>
      </c>
      <c r="C10" s="15">
        <f>IF($B10="","",Cadets!$F10)</f>
        <v/>
      </c>
      <c r="D10" s="15">
        <f>IF($B10="","",Cadets!$I10)</f>
        <v/>
      </c>
      <c r="E10" s="15">
        <f>IF($B10="","",COUNTIFS(nrES_PID,$B10,nrES_Type,"Major",nrES_Final,"Yes"))</f>
        <v/>
      </c>
      <c r="F10" s="15">
        <f>IF($B10="","",COUNTIFS(nrES_PID,$B10,nrES_Type,"Minor",nrES_Final,"Yes"))</f>
        <v/>
      </c>
      <c r="G10" s="15">
        <f>IF($B10="","",Spelling!Q10)</f>
        <v/>
      </c>
      <c r="H10" s="15">
        <f>IF($B10="","",COUNTIFS(nrES_PID,$B10,nrES_Type,"Final",nrES_Final,"Yes"))</f>
        <v/>
      </c>
      <c r="I10" s="15">
        <f>IF(OR($B10="",$E10=0),"",ROUND(AVERAGEIFS(nrES_Rec,nrES_PID,$B10,nrES_Type,"Major",nrES_Final,"Yes"),2))</f>
        <v/>
      </c>
      <c r="J10" s="15">
        <f>IF(OR($B10="",$F10=0),"",ROUND(AVERAGEIFS(nrES_Rec,nrES_PID,$B10,nrES_Type,"Minor",nrES_Final,"Yes"),2))</f>
        <v/>
      </c>
      <c r="K10" s="15">
        <f>IF($B10="","",Spelling!P10)</f>
        <v/>
      </c>
      <c r="L10" s="15">
        <f>IF(OR($B10="",$H10=0),"",ROUND(AVERAGEIFS(nrES_Rec,nrES_PID,$B10,nrES_Type,"Final",nrES_Final,"Yes"),2))</f>
        <v/>
      </c>
      <c r="M10" s="15">
        <f>IF($B10="","",_xlfn.LET(_xlpm.w,($E10&gt;0)*cfgWeightMajor+($F10&gt;0)*cfgWeightMinor+(N($G10)&gt;0)*cfgWeightSpelling+($H10&gt;0)*cfgWeightFinal,IF(_xlpm.w=0,"",ROUND((($E10&gt;0)*cfgWeightMajor*N($I10)+($F10&gt;0)*cfgWeightMinor*N($J10)+(N($G10)&gt;0)*cfgWeightSpelling*N($K10)+($H10&gt;0)*cfgWeightFinal*N($L10))/_xlpm.w,2))))</f>
        <v/>
      </c>
      <c r="N10" s="15">
        <f>IF(OR($B10="",$H10=0),"",$M10)</f>
        <v/>
      </c>
      <c r="O10" s="15">
        <f>IF($B10="","",COUNTIFS(nrES_PID,$B10,nrES_Att,2))</f>
        <v/>
      </c>
      <c r="P10" s="15">
        <f>IF($B10="","",COUNTIFS(nrES_PID,$B10,nrES_Dis,"Yes"))</f>
        <v/>
      </c>
      <c r="Q10" s="15">
        <f>IF($B10="","",IF(AND($E10&gt;=cfgThresholdAfterExam,$I10&lt;&gt;"",$I10&lt;cfgThresholdScore),"Yes","No"))</f>
        <v/>
      </c>
      <c r="R10" s="15">
        <f>IF($B10="","",IF(AND($F10&gt;=cfgThresholdAfterExam,$J10&lt;&gt;"",$J10&lt;cfgThresholdScore),"Yes","No"))</f>
        <v/>
      </c>
      <c r="S10" s="15">
        <f>IF($B10="","",IF($M10="",-1,$M10))</f>
        <v/>
      </c>
      <c r="T10" s="15">
        <f>IF($B10="","",IF(AND($D10="Active",$P10=0,sysSkills!$J10&lt;&gt;"Yes",sysIncidents!$J10=0,$M10&lt;&gt;""),"Yes","No"))</f>
        <v/>
      </c>
      <c r="U10" s="15">
        <f>IF($T10&lt;&gt;"Yes","",SUMPRODUCT(($T$6:$T$55="Yes")*(($S$6:$S$55&gt;$S10)+($S$6:$S$55=$S10)*(ROW($S$6:$S$55)&lt;ROW())))+1)</f>
        <v/>
      </c>
      <c r="V10" s="15">
        <f>IF($B10="","",IF(AND(OR($E10=0,$I10&gt;=cfgThresholdScore),OR($F10=0,$J10&gt;=cfgThresholdScore),OR(N($G10)=0,$K10&gt;=cfgThresholdScore),OR($H10=0,$L10&gt;=cfgThresholdScore)),"Yes","No"))</f>
        <v/>
      </c>
      <c r="W10" s="15">
        <f>IF($B10="","",_xlfn.LET(_xlpm.tot,COUNTIFS(rngEPuse,"Yes",rngEPtype,"Major"),_xlpm.left,_xlpm.tot-$E10,IF(_xlpm.left&lt;=0,"done",MAX(0,ROUND((cfgThresholdScore*_xlpm.tot-N($I10)*$E10)/_xlpm.left,1)))))</f>
        <v/>
      </c>
      <c r="X10" s="15">
        <f>IF($B10="","",_xlfn.LET(_xlpm.tot,COUNTIFS(rngEPuse,"Yes",rngEPtype,"Minor"),_xlpm.left,_xlpm.tot-$F10,IF(_xlpm.left&lt;=0,"done",MAX(0,ROUND((cfgThresholdScore*_xlpm.tot-N($J10)*$F10)/_xlpm.left,1)))))</f>
        <v/>
      </c>
      <c r="Y10" s="15">
        <f>IF($B10="","",IF($H10&gt;0,"done",cfgThresholdScore))</f>
        <v/>
      </c>
      <c r="Z10" s="15">
        <f>IF($B10="","",_xlfn.LET(_xlpm.s,_xlfn.MAXIFS(nrES_Seq,nrES_PID,$B10,nrES_Att,1,nrES_Raw,"&gt;=0"),IF(_xlpm.s=0,"",SUMIFS(nrES_Raw,nrES_PID,$B10,nrES_Att,1,nrES_Seq,_xlpm.s))))</f>
        <v/>
      </c>
      <c r="AA10" s="15">
        <f>IF($B10="","",_xlfn.LET(_xlpm.s,_xlfn.MAXIFS(nrES_Seq,nrES_PID,$B10,nrES_Att,1,nrES_Raw,"&gt;=0"),IF(_xlpm.s=0,"",_xlfn.LET(_xlpm.p,_xlfn.MAXIFS(nrES_Seq,nrES_PID,$B10,nrES_Att,1,nrES_Seq,"&lt;"&amp;_xlpm.s),IF(_xlpm.p=0,"",SUMIFS(nrES_Raw,nrES_PID,$B10,nrES_Att,1,nrES_Seq,_xlpm.p))))))</f>
        <v/>
      </c>
      <c r="AB10" s="15">
        <f>IF(OR($B10="",$Z10="",$AA10=""),"",ROUND($AA10-$Z10,1))</f>
        <v/>
      </c>
      <c r="AC10" s="15">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5">
        <f>IF(Cadets!$B11="","",Cadets!$B11)</f>
        <v/>
      </c>
      <c r="C11" s="15">
        <f>IF($B11="","",Cadets!$F11)</f>
        <v/>
      </c>
      <c r="D11" s="15">
        <f>IF($B11="","",Cadets!$I11)</f>
        <v/>
      </c>
      <c r="E11" s="15">
        <f>IF($B11="","",COUNTIFS(nrES_PID,$B11,nrES_Type,"Major",nrES_Final,"Yes"))</f>
        <v/>
      </c>
      <c r="F11" s="15">
        <f>IF($B11="","",COUNTIFS(nrES_PID,$B11,nrES_Type,"Minor",nrES_Final,"Yes"))</f>
        <v/>
      </c>
      <c r="G11" s="15">
        <f>IF($B11="","",Spelling!Q11)</f>
        <v/>
      </c>
      <c r="H11" s="15">
        <f>IF($B11="","",COUNTIFS(nrES_PID,$B11,nrES_Type,"Final",nrES_Final,"Yes"))</f>
        <v/>
      </c>
      <c r="I11" s="15">
        <f>IF(OR($B11="",$E11=0),"",ROUND(AVERAGEIFS(nrES_Rec,nrES_PID,$B11,nrES_Type,"Major",nrES_Final,"Yes"),2))</f>
        <v/>
      </c>
      <c r="J11" s="15">
        <f>IF(OR($B11="",$F11=0),"",ROUND(AVERAGEIFS(nrES_Rec,nrES_PID,$B11,nrES_Type,"Minor",nrES_Final,"Yes"),2))</f>
        <v/>
      </c>
      <c r="K11" s="15">
        <f>IF($B11="","",Spelling!P11)</f>
        <v/>
      </c>
      <c r="L11" s="15">
        <f>IF(OR($B11="",$H11=0),"",ROUND(AVERAGEIFS(nrES_Rec,nrES_PID,$B11,nrES_Type,"Final",nrES_Final,"Yes"),2))</f>
        <v/>
      </c>
      <c r="M11" s="15">
        <f>IF($B11="","",_xlfn.LET(_xlpm.w,($E11&gt;0)*cfgWeightMajor+($F11&gt;0)*cfgWeightMinor+(N($G11)&gt;0)*cfgWeightSpelling+($H11&gt;0)*cfgWeightFinal,IF(_xlpm.w=0,"",ROUND((($E11&gt;0)*cfgWeightMajor*N($I11)+($F11&gt;0)*cfgWeightMinor*N($J11)+(N($G11)&gt;0)*cfgWeightSpelling*N($K11)+($H11&gt;0)*cfgWeightFinal*N($L11))/_xlpm.w,2))))</f>
        <v/>
      </c>
      <c r="N11" s="15">
        <f>IF(OR($B11="",$H11=0),"",$M11)</f>
        <v/>
      </c>
      <c r="O11" s="15">
        <f>IF($B11="","",COUNTIFS(nrES_PID,$B11,nrES_Att,2))</f>
        <v/>
      </c>
      <c r="P11" s="15">
        <f>IF($B11="","",COUNTIFS(nrES_PID,$B11,nrES_Dis,"Yes"))</f>
        <v/>
      </c>
      <c r="Q11" s="15">
        <f>IF($B11="","",IF(AND($E11&gt;=cfgThresholdAfterExam,$I11&lt;&gt;"",$I11&lt;cfgThresholdScore),"Yes","No"))</f>
        <v/>
      </c>
      <c r="R11" s="15">
        <f>IF($B11="","",IF(AND($F11&gt;=cfgThresholdAfterExam,$J11&lt;&gt;"",$J11&lt;cfgThresholdScore),"Yes","No"))</f>
        <v/>
      </c>
      <c r="S11" s="15">
        <f>IF($B11="","",IF($M11="",-1,$M11))</f>
        <v/>
      </c>
      <c r="T11" s="15">
        <f>IF($B11="","",IF(AND($D11="Active",$P11=0,sysSkills!$J11&lt;&gt;"Yes",sysIncidents!$J11=0,$M11&lt;&gt;""),"Yes","No"))</f>
        <v/>
      </c>
      <c r="U11" s="15">
        <f>IF($T11&lt;&gt;"Yes","",SUMPRODUCT(($T$6:$T$55="Yes")*(($S$6:$S$55&gt;$S11)+($S$6:$S$55=$S11)*(ROW($S$6:$S$55)&lt;ROW())))+1)</f>
        <v/>
      </c>
      <c r="V11" s="15">
        <f>IF($B11="","",IF(AND(OR($E11=0,$I11&gt;=cfgThresholdScore),OR($F11=0,$J11&gt;=cfgThresholdScore),OR(N($G11)=0,$K11&gt;=cfgThresholdScore),OR($H11=0,$L11&gt;=cfgThresholdScore)),"Yes","No"))</f>
        <v/>
      </c>
      <c r="W11" s="15">
        <f>IF($B11="","",_xlfn.LET(_xlpm.tot,COUNTIFS(rngEPuse,"Yes",rngEPtype,"Major"),_xlpm.left,_xlpm.tot-$E11,IF(_xlpm.left&lt;=0,"done",MAX(0,ROUND((cfgThresholdScore*_xlpm.tot-N($I11)*$E11)/_xlpm.left,1)))))</f>
        <v/>
      </c>
      <c r="X11" s="15">
        <f>IF($B11="","",_xlfn.LET(_xlpm.tot,COUNTIFS(rngEPuse,"Yes",rngEPtype,"Minor"),_xlpm.left,_xlpm.tot-$F11,IF(_xlpm.left&lt;=0,"done",MAX(0,ROUND((cfgThresholdScore*_xlpm.tot-N($J11)*$F11)/_xlpm.left,1)))))</f>
        <v/>
      </c>
      <c r="Y11" s="15">
        <f>IF($B11="","",IF($H11&gt;0,"done",cfgThresholdScore))</f>
        <v/>
      </c>
      <c r="Z11" s="15">
        <f>IF($B11="","",_xlfn.LET(_xlpm.s,_xlfn.MAXIFS(nrES_Seq,nrES_PID,$B11,nrES_Att,1,nrES_Raw,"&gt;=0"),IF(_xlpm.s=0,"",SUMIFS(nrES_Raw,nrES_PID,$B11,nrES_Att,1,nrES_Seq,_xlpm.s))))</f>
        <v/>
      </c>
      <c r="AA11" s="15">
        <f>IF($B11="","",_xlfn.LET(_xlpm.s,_xlfn.MAXIFS(nrES_Seq,nrES_PID,$B11,nrES_Att,1,nrES_Raw,"&gt;=0"),IF(_xlpm.s=0,"",_xlfn.LET(_xlpm.p,_xlfn.MAXIFS(nrES_Seq,nrES_PID,$B11,nrES_Att,1,nrES_Seq,"&lt;"&amp;_xlpm.s),IF(_xlpm.p=0,"",SUMIFS(nrES_Raw,nrES_PID,$B11,nrES_Att,1,nrES_Seq,_xlpm.p))))))</f>
        <v/>
      </c>
      <c r="AB11" s="15">
        <f>IF(OR($B11="",$Z11="",$AA11=""),"",ROUND($AA11-$Z11,1))</f>
        <v/>
      </c>
      <c r="AC11" s="15">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5">
        <f>IF(Cadets!$B12="","",Cadets!$B12)</f>
        <v/>
      </c>
      <c r="C12" s="15">
        <f>IF($B12="","",Cadets!$F12)</f>
        <v/>
      </c>
      <c r="D12" s="15">
        <f>IF($B12="","",Cadets!$I12)</f>
        <v/>
      </c>
      <c r="E12" s="15">
        <f>IF($B12="","",COUNTIFS(nrES_PID,$B12,nrES_Type,"Major",nrES_Final,"Yes"))</f>
        <v/>
      </c>
      <c r="F12" s="15">
        <f>IF($B12="","",COUNTIFS(nrES_PID,$B12,nrES_Type,"Minor",nrES_Final,"Yes"))</f>
        <v/>
      </c>
      <c r="G12" s="15">
        <f>IF($B12="","",Spelling!Q12)</f>
        <v/>
      </c>
      <c r="H12" s="15">
        <f>IF($B12="","",COUNTIFS(nrES_PID,$B12,nrES_Type,"Final",nrES_Final,"Yes"))</f>
        <v/>
      </c>
      <c r="I12" s="15">
        <f>IF(OR($B12="",$E12=0),"",ROUND(AVERAGEIFS(nrES_Rec,nrES_PID,$B12,nrES_Type,"Major",nrES_Final,"Yes"),2))</f>
        <v/>
      </c>
      <c r="J12" s="15">
        <f>IF(OR($B12="",$F12=0),"",ROUND(AVERAGEIFS(nrES_Rec,nrES_PID,$B12,nrES_Type,"Minor",nrES_Final,"Yes"),2))</f>
        <v/>
      </c>
      <c r="K12" s="15">
        <f>IF($B12="","",Spelling!P12)</f>
        <v/>
      </c>
      <c r="L12" s="15">
        <f>IF(OR($B12="",$H12=0),"",ROUND(AVERAGEIFS(nrES_Rec,nrES_PID,$B12,nrES_Type,"Final",nrES_Final,"Yes"),2))</f>
        <v/>
      </c>
      <c r="M12" s="15">
        <f>IF($B12="","",_xlfn.LET(_xlpm.w,($E12&gt;0)*cfgWeightMajor+($F12&gt;0)*cfgWeightMinor+(N($G12)&gt;0)*cfgWeightSpelling+($H12&gt;0)*cfgWeightFinal,IF(_xlpm.w=0,"",ROUND((($E12&gt;0)*cfgWeightMajor*N($I12)+($F12&gt;0)*cfgWeightMinor*N($J12)+(N($G12)&gt;0)*cfgWeightSpelling*N($K12)+($H12&gt;0)*cfgWeightFinal*N($L12))/_xlpm.w,2))))</f>
        <v/>
      </c>
      <c r="N12" s="15">
        <f>IF(OR($B12="",$H12=0),"",$M12)</f>
        <v/>
      </c>
      <c r="O12" s="15">
        <f>IF($B12="","",COUNTIFS(nrES_PID,$B12,nrES_Att,2))</f>
        <v/>
      </c>
      <c r="P12" s="15">
        <f>IF($B12="","",COUNTIFS(nrES_PID,$B12,nrES_Dis,"Yes"))</f>
        <v/>
      </c>
      <c r="Q12" s="15">
        <f>IF($B12="","",IF(AND($E12&gt;=cfgThresholdAfterExam,$I12&lt;&gt;"",$I12&lt;cfgThresholdScore),"Yes","No"))</f>
        <v/>
      </c>
      <c r="R12" s="15">
        <f>IF($B12="","",IF(AND($F12&gt;=cfgThresholdAfterExam,$J12&lt;&gt;"",$J12&lt;cfgThresholdScore),"Yes","No"))</f>
        <v/>
      </c>
      <c r="S12" s="15">
        <f>IF($B12="","",IF($M12="",-1,$M12))</f>
        <v/>
      </c>
      <c r="T12" s="15">
        <f>IF($B12="","",IF(AND($D12="Active",$P12=0,sysSkills!$J12&lt;&gt;"Yes",sysIncidents!$J12=0,$M12&lt;&gt;""),"Yes","No"))</f>
        <v/>
      </c>
      <c r="U12" s="15">
        <f>IF($T12&lt;&gt;"Yes","",SUMPRODUCT(($T$6:$T$55="Yes")*(($S$6:$S$55&gt;$S12)+($S$6:$S$55=$S12)*(ROW($S$6:$S$55)&lt;ROW())))+1)</f>
        <v/>
      </c>
      <c r="V12" s="15">
        <f>IF($B12="","",IF(AND(OR($E12=0,$I12&gt;=cfgThresholdScore),OR($F12=0,$J12&gt;=cfgThresholdScore),OR(N($G12)=0,$K12&gt;=cfgThresholdScore),OR($H12=0,$L12&gt;=cfgThresholdScore)),"Yes","No"))</f>
        <v/>
      </c>
      <c r="W12" s="15">
        <f>IF($B12="","",_xlfn.LET(_xlpm.tot,COUNTIFS(rngEPuse,"Yes",rngEPtype,"Major"),_xlpm.left,_xlpm.tot-$E12,IF(_xlpm.left&lt;=0,"done",MAX(0,ROUND((cfgThresholdScore*_xlpm.tot-N($I12)*$E12)/_xlpm.left,1)))))</f>
        <v/>
      </c>
      <c r="X12" s="15">
        <f>IF($B12="","",_xlfn.LET(_xlpm.tot,COUNTIFS(rngEPuse,"Yes",rngEPtype,"Minor"),_xlpm.left,_xlpm.tot-$F12,IF(_xlpm.left&lt;=0,"done",MAX(0,ROUND((cfgThresholdScore*_xlpm.tot-N($J12)*$F12)/_xlpm.left,1)))))</f>
        <v/>
      </c>
      <c r="Y12" s="15">
        <f>IF($B12="","",IF($H12&gt;0,"done",cfgThresholdScore))</f>
        <v/>
      </c>
      <c r="Z12" s="15">
        <f>IF($B12="","",_xlfn.LET(_xlpm.s,_xlfn.MAXIFS(nrES_Seq,nrES_PID,$B12,nrES_Att,1,nrES_Raw,"&gt;=0"),IF(_xlpm.s=0,"",SUMIFS(nrES_Raw,nrES_PID,$B12,nrES_Att,1,nrES_Seq,_xlpm.s))))</f>
        <v/>
      </c>
      <c r="AA12" s="15">
        <f>IF($B12="","",_xlfn.LET(_xlpm.s,_xlfn.MAXIFS(nrES_Seq,nrES_PID,$B12,nrES_Att,1,nrES_Raw,"&gt;=0"),IF(_xlpm.s=0,"",_xlfn.LET(_xlpm.p,_xlfn.MAXIFS(nrES_Seq,nrES_PID,$B12,nrES_Att,1,nrES_Seq,"&lt;"&amp;_xlpm.s),IF(_xlpm.p=0,"",SUMIFS(nrES_Raw,nrES_PID,$B12,nrES_Att,1,nrES_Seq,_xlpm.p))))))</f>
        <v/>
      </c>
      <c r="AB12" s="15">
        <f>IF(OR($B12="",$Z12="",$AA12=""),"",ROUND($AA12-$Z12,1))</f>
        <v/>
      </c>
      <c r="AC12" s="15">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5">
        <f>IF(Cadets!$B13="","",Cadets!$B13)</f>
        <v/>
      </c>
      <c r="C13" s="15">
        <f>IF($B13="","",Cadets!$F13)</f>
        <v/>
      </c>
      <c r="D13" s="15">
        <f>IF($B13="","",Cadets!$I13)</f>
        <v/>
      </c>
      <c r="E13" s="15">
        <f>IF($B13="","",COUNTIFS(nrES_PID,$B13,nrES_Type,"Major",nrES_Final,"Yes"))</f>
        <v/>
      </c>
      <c r="F13" s="15">
        <f>IF($B13="","",COUNTIFS(nrES_PID,$B13,nrES_Type,"Minor",nrES_Final,"Yes"))</f>
        <v/>
      </c>
      <c r="G13" s="15">
        <f>IF($B13="","",Spelling!Q13)</f>
        <v/>
      </c>
      <c r="H13" s="15">
        <f>IF($B13="","",COUNTIFS(nrES_PID,$B13,nrES_Type,"Final",nrES_Final,"Yes"))</f>
        <v/>
      </c>
      <c r="I13" s="15">
        <f>IF(OR($B13="",$E13=0),"",ROUND(AVERAGEIFS(nrES_Rec,nrES_PID,$B13,nrES_Type,"Major",nrES_Final,"Yes"),2))</f>
        <v/>
      </c>
      <c r="J13" s="15">
        <f>IF(OR($B13="",$F13=0),"",ROUND(AVERAGEIFS(nrES_Rec,nrES_PID,$B13,nrES_Type,"Minor",nrES_Final,"Yes"),2))</f>
        <v/>
      </c>
      <c r="K13" s="15">
        <f>IF($B13="","",Spelling!P13)</f>
        <v/>
      </c>
      <c r="L13" s="15">
        <f>IF(OR($B13="",$H13=0),"",ROUND(AVERAGEIFS(nrES_Rec,nrES_PID,$B13,nrES_Type,"Final",nrES_Final,"Yes"),2))</f>
        <v/>
      </c>
      <c r="M13" s="15">
        <f>IF($B13="","",_xlfn.LET(_xlpm.w,($E13&gt;0)*cfgWeightMajor+($F13&gt;0)*cfgWeightMinor+(N($G13)&gt;0)*cfgWeightSpelling+($H13&gt;0)*cfgWeightFinal,IF(_xlpm.w=0,"",ROUND((($E13&gt;0)*cfgWeightMajor*N($I13)+($F13&gt;0)*cfgWeightMinor*N($J13)+(N($G13)&gt;0)*cfgWeightSpelling*N($K13)+($H13&gt;0)*cfgWeightFinal*N($L13))/_xlpm.w,2))))</f>
        <v/>
      </c>
      <c r="N13" s="15">
        <f>IF(OR($B13="",$H13=0),"",$M13)</f>
        <v/>
      </c>
      <c r="O13" s="15">
        <f>IF($B13="","",COUNTIFS(nrES_PID,$B13,nrES_Att,2))</f>
        <v/>
      </c>
      <c r="P13" s="15">
        <f>IF($B13="","",COUNTIFS(nrES_PID,$B13,nrES_Dis,"Yes"))</f>
        <v/>
      </c>
      <c r="Q13" s="15">
        <f>IF($B13="","",IF(AND($E13&gt;=cfgThresholdAfterExam,$I13&lt;&gt;"",$I13&lt;cfgThresholdScore),"Yes","No"))</f>
        <v/>
      </c>
      <c r="R13" s="15">
        <f>IF($B13="","",IF(AND($F13&gt;=cfgThresholdAfterExam,$J13&lt;&gt;"",$J13&lt;cfgThresholdScore),"Yes","No"))</f>
        <v/>
      </c>
      <c r="S13" s="15">
        <f>IF($B13="","",IF($M13="",-1,$M13))</f>
        <v/>
      </c>
      <c r="T13" s="15">
        <f>IF($B13="","",IF(AND($D13="Active",$P13=0,sysSkills!$J13&lt;&gt;"Yes",sysIncidents!$J13=0,$M13&lt;&gt;""),"Yes","No"))</f>
        <v/>
      </c>
      <c r="U13" s="15">
        <f>IF($T13&lt;&gt;"Yes","",SUMPRODUCT(($T$6:$T$55="Yes")*(($S$6:$S$55&gt;$S13)+($S$6:$S$55=$S13)*(ROW($S$6:$S$55)&lt;ROW())))+1)</f>
        <v/>
      </c>
      <c r="V13" s="15">
        <f>IF($B13="","",IF(AND(OR($E13=0,$I13&gt;=cfgThresholdScore),OR($F13=0,$J13&gt;=cfgThresholdScore),OR(N($G13)=0,$K13&gt;=cfgThresholdScore),OR($H13=0,$L13&gt;=cfgThresholdScore)),"Yes","No"))</f>
        <v/>
      </c>
      <c r="W13" s="15">
        <f>IF($B13="","",_xlfn.LET(_xlpm.tot,COUNTIFS(rngEPuse,"Yes",rngEPtype,"Major"),_xlpm.left,_xlpm.tot-$E13,IF(_xlpm.left&lt;=0,"done",MAX(0,ROUND((cfgThresholdScore*_xlpm.tot-N($I13)*$E13)/_xlpm.left,1)))))</f>
        <v/>
      </c>
      <c r="X13" s="15">
        <f>IF($B13="","",_xlfn.LET(_xlpm.tot,COUNTIFS(rngEPuse,"Yes",rngEPtype,"Minor"),_xlpm.left,_xlpm.tot-$F13,IF(_xlpm.left&lt;=0,"done",MAX(0,ROUND((cfgThresholdScore*_xlpm.tot-N($J13)*$F13)/_xlpm.left,1)))))</f>
        <v/>
      </c>
      <c r="Y13" s="15">
        <f>IF($B13="","",IF($H13&gt;0,"done",cfgThresholdScore))</f>
        <v/>
      </c>
      <c r="Z13" s="15">
        <f>IF($B13="","",_xlfn.LET(_xlpm.s,_xlfn.MAXIFS(nrES_Seq,nrES_PID,$B13,nrES_Att,1,nrES_Raw,"&gt;=0"),IF(_xlpm.s=0,"",SUMIFS(nrES_Raw,nrES_PID,$B13,nrES_Att,1,nrES_Seq,_xlpm.s))))</f>
        <v/>
      </c>
      <c r="AA13" s="15">
        <f>IF($B13="","",_xlfn.LET(_xlpm.s,_xlfn.MAXIFS(nrES_Seq,nrES_PID,$B13,nrES_Att,1,nrES_Raw,"&gt;=0"),IF(_xlpm.s=0,"",_xlfn.LET(_xlpm.p,_xlfn.MAXIFS(nrES_Seq,nrES_PID,$B13,nrES_Att,1,nrES_Seq,"&lt;"&amp;_xlpm.s),IF(_xlpm.p=0,"",SUMIFS(nrES_Raw,nrES_PID,$B13,nrES_Att,1,nrES_Seq,_xlpm.p))))))</f>
        <v/>
      </c>
      <c r="AB13" s="15">
        <f>IF(OR($B13="",$Z13="",$AA13=""),"",ROUND($AA13-$Z13,1))</f>
        <v/>
      </c>
      <c r="AC13" s="15">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5">
        <f>IF(Cadets!$B14="","",Cadets!$B14)</f>
        <v/>
      </c>
      <c r="C14" s="15">
        <f>IF($B14="","",Cadets!$F14)</f>
        <v/>
      </c>
      <c r="D14" s="15">
        <f>IF($B14="","",Cadets!$I14)</f>
        <v/>
      </c>
      <c r="E14" s="15">
        <f>IF($B14="","",COUNTIFS(nrES_PID,$B14,nrES_Type,"Major",nrES_Final,"Yes"))</f>
        <v/>
      </c>
      <c r="F14" s="15">
        <f>IF($B14="","",COUNTIFS(nrES_PID,$B14,nrES_Type,"Minor",nrES_Final,"Yes"))</f>
        <v/>
      </c>
      <c r="G14" s="15">
        <f>IF($B14="","",Spelling!Q14)</f>
        <v/>
      </c>
      <c r="H14" s="15">
        <f>IF($B14="","",COUNTIFS(nrES_PID,$B14,nrES_Type,"Final",nrES_Final,"Yes"))</f>
        <v/>
      </c>
      <c r="I14" s="15">
        <f>IF(OR($B14="",$E14=0),"",ROUND(AVERAGEIFS(nrES_Rec,nrES_PID,$B14,nrES_Type,"Major",nrES_Final,"Yes"),2))</f>
        <v/>
      </c>
      <c r="J14" s="15">
        <f>IF(OR($B14="",$F14=0),"",ROUND(AVERAGEIFS(nrES_Rec,nrES_PID,$B14,nrES_Type,"Minor",nrES_Final,"Yes"),2))</f>
        <v/>
      </c>
      <c r="K14" s="15">
        <f>IF($B14="","",Spelling!P14)</f>
        <v/>
      </c>
      <c r="L14" s="15">
        <f>IF(OR($B14="",$H14=0),"",ROUND(AVERAGEIFS(nrES_Rec,nrES_PID,$B14,nrES_Type,"Final",nrES_Final,"Yes"),2))</f>
        <v/>
      </c>
      <c r="M14" s="15">
        <f>IF($B14="","",_xlfn.LET(_xlpm.w,($E14&gt;0)*cfgWeightMajor+($F14&gt;0)*cfgWeightMinor+(N($G14)&gt;0)*cfgWeightSpelling+($H14&gt;0)*cfgWeightFinal,IF(_xlpm.w=0,"",ROUND((($E14&gt;0)*cfgWeightMajor*N($I14)+($F14&gt;0)*cfgWeightMinor*N($J14)+(N($G14)&gt;0)*cfgWeightSpelling*N($K14)+($H14&gt;0)*cfgWeightFinal*N($L14))/_xlpm.w,2))))</f>
        <v/>
      </c>
      <c r="N14" s="15">
        <f>IF(OR($B14="",$H14=0),"",$M14)</f>
        <v/>
      </c>
      <c r="O14" s="15">
        <f>IF($B14="","",COUNTIFS(nrES_PID,$B14,nrES_Att,2))</f>
        <v/>
      </c>
      <c r="P14" s="15">
        <f>IF($B14="","",COUNTIFS(nrES_PID,$B14,nrES_Dis,"Yes"))</f>
        <v/>
      </c>
      <c r="Q14" s="15">
        <f>IF($B14="","",IF(AND($E14&gt;=cfgThresholdAfterExam,$I14&lt;&gt;"",$I14&lt;cfgThresholdScore),"Yes","No"))</f>
        <v/>
      </c>
      <c r="R14" s="15">
        <f>IF($B14="","",IF(AND($F14&gt;=cfgThresholdAfterExam,$J14&lt;&gt;"",$J14&lt;cfgThresholdScore),"Yes","No"))</f>
        <v/>
      </c>
      <c r="S14" s="15">
        <f>IF($B14="","",IF($M14="",-1,$M14))</f>
        <v/>
      </c>
      <c r="T14" s="15">
        <f>IF($B14="","",IF(AND($D14="Active",$P14=0,sysSkills!$J14&lt;&gt;"Yes",sysIncidents!$J14=0,$M14&lt;&gt;""),"Yes","No"))</f>
        <v/>
      </c>
      <c r="U14" s="15">
        <f>IF($T14&lt;&gt;"Yes","",SUMPRODUCT(($T$6:$T$55="Yes")*(($S$6:$S$55&gt;$S14)+($S$6:$S$55=$S14)*(ROW($S$6:$S$55)&lt;ROW())))+1)</f>
        <v/>
      </c>
      <c r="V14" s="15">
        <f>IF($B14="","",IF(AND(OR($E14=0,$I14&gt;=cfgThresholdScore),OR($F14=0,$J14&gt;=cfgThresholdScore),OR(N($G14)=0,$K14&gt;=cfgThresholdScore),OR($H14=0,$L14&gt;=cfgThresholdScore)),"Yes","No"))</f>
        <v/>
      </c>
      <c r="W14" s="15">
        <f>IF($B14="","",_xlfn.LET(_xlpm.tot,COUNTIFS(rngEPuse,"Yes",rngEPtype,"Major"),_xlpm.left,_xlpm.tot-$E14,IF(_xlpm.left&lt;=0,"done",MAX(0,ROUND((cfgThresholdScore*_xlpm.tot-N($I14)*$E14)/_xlpm.left,1)))))</f>
        <v/>
      </c>
      <c r="X14" s="15">
        <f>IF($B14="","",_xlfn.LET(_xlpm.tot,COUNTIFS(rngEPuse,"Yes",rngEPtype,"Minor"),_xlpm.left,_xlpm.tot-$F14,IF(_xlpm.left&lt;=0,"done",MAX(0,ROUND((cfgThresholdScore*_xlpm.tot-N($J14)*$F14)/_xlpm.left,1)))))</f>
        <v/>
      </c>
      <c r="Y14" s="15">
        <f>IF($B14="","",IF($H14&gt;0,"done",cfgThresholdScore))</f>
        <v/>
      </c>
      <c r="Z14" s="15">
        <f>IF($B14="","",_xlfn.LET(_xlpm.s,_xlfn.MAXIFS(nrES_Seq,nrES_PID,$B14,nrES_Att,1,nrES_Raw,"&gt;=0"),IF(_xlpm.s=0,"",SUMIFS(nrES_Raw,nrES_PID,$B14,nrES_Att,1,nrES_Seq,_xlpm.s))))</f>
        <v/>
      </c>
      <c r="AA14" s="15">
        <f>IF($B14="","",_xlfn.LET(_xlpm.s,_xlfn.MAXIFS(nrES_Seq,nrES_PID,$B14,nrES_Att,1,nrES_Raw,"&gt;=0"),IF(_xlpm.s=0,"",_xlfn.LET(_xlpm.p,_xlfn.MAXIFS(nrES_Seq,nrES_PID,$B14,nrES_Att,1,nrES_Seq,"&lt;"&amp;_xlpm.s),IF(_xlpm.p=0,"",SUMIFS(nrES_Raw,nrES_PID,$B14,nrES_Att,1,nrES_Seq,_xlpm.p))))))</f>
        <v/>
      </c>
      <c r="AB14" s="15">
        <f>IF(OR($B14="",$Z14="",$AA14=""),"",ROUND($AA14-$Z14,1))</f>
        <v/>
      </c>
      <c r="AC14" s="15">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5">
        <f>IF(Cadets!$B15="","",Cadets!$B15)</f>
        <v/>
      </c>
      <c r="C15" s="15">
        <f>IF($B15="","",Cadets!$F15)</f>
        <v/>
      </c>
      <c r="D15" s="15">
        <f>IF($B15="","",Cadets!$I15)</f>
        <v/>
      </c>
      <c r="E15" s="15">
        <f>IF($B15="","",COUNTIFS(nrES_PID,$B15,nrES_Type,"Major",nrES_Final,"Yes"))</f>
        <v/>
      </c>
      <c r="F15" s="15">
        <f>IF($B15="","",COUNTIFS(nrES_PID,$B15,nrES_Type,"Minor",nrES_Final,"Yes"))</f>
        <v/>
      </c>
      <c r="G15" s="15">
        <f>IF($B15="","",Spelling!Q15)</f>
        <v/>
      </c>
      <c r="H15" s="15">
        <f>IF($B15="","",COUNTIFS(nrES_PID,$B15,nrES_Type,"Final",nrES_Final,"Yes"))</f>
        <v/>
      </c>
      <c r="I15" s="15">
        <f>IF(OR($B15="",$E15=0),"",ROUND(AVERAGEIFS(nrES_Rec,nrES_PID,$B15,nrES_Type,"Major",nrES_Final,"Yes"),2))</f>
        <v/>
      </c>
      <c r="J15" s="15">
        <f>IF(OR($B15="",$F15=0),"",ROUND(AVERAGEIFS(nrES_Rec,nrES_PID,$B15,nrES_Type,"Minor",nrES_Final,"Yes"),2))</f>
        <v/>
      </c>
      <c r="K15" s="15">
        <f>IF($B15="","",Spelling!P15)</f>
        <v/>
      </c>
      <c r="L15" s="15">
        <f>IF(OR($B15="",$H15=0),"",ROUND(AVERAGEIFS(nrES_Rec,nrES_PID,$B15,nrES_Type,"Final",nrES_Final,"Yes"),2))</f>
        <v/>
      </c>
      <c r="M15" s="15">
        <f>IF($B15="","",_xlfn.LET(_xlpm.w,($E15&gt;0)*cfgWeightMajor+($F15&gt;0)*cfgWeightMinor+(N($G15)&gt;0)*cfgWeightSpelling+($H15&gt;0)*cfgWeightFinal,IF(_xlpm.w=0,"",ROUND((($E15&gt;0)*cfgWeightMajor*N($I15)+($F15&gt;0)*cfgWeightMinor*N($J15)+(N($G15)&gt;0)*cfgWeightSpelling*N($K15)+($H15&gt;0)*cfgWeightFinal*N($L15))/_xlpm.w,2))))</f>
        <v/>
      </c>
      <c r="N15" s="15">
        <f>IF(OR($B15="",$H15=0),"",$M15)</f>
        <v/>
      </c>
      <c r="O15" s="15">
        <f>IF($B15="","",COUNTIFS(nrES_PID,$B15,nrES_Att,2))</f>
        <v/>
      </c>
      <c r="P15" s="15">
        <f>IF($B15="","",COUNTIFS(nrES_PID,$B15,nrES_Dis,"Yes"))</f>
        <v/>
      </c>
      <c r="Q15" s="15">
        <f>IF($B15="","",IF(AND($E15&gt;=cfgThresholdAfterExam,$I15&lt;&gt;"",$I15&lt;cfgThresholdScore),"Yes","No"))</f>
        <v/>
      </c>
      <c r="R15" s="15">
        <f>IF($B15="","",IF(AND($F15&gt;=cfgThresholdAfterExam,$J15&lt;&gt;"",$J15&lt;cfgThresholdScore),"Yes","No"))</f>
        <v/>
      </c>
      <c r="S15" s="15">
        <f>IF($B15="","",IF($M15="",-1,$M15))</f>
        <v/>
      </c>
      <c r="T15" s="15">
        <f>IF($B15="","",IF(AND($D15="Active",$P15=0,sysSkills!$J15&lt;&gt;"Yes",sysIncidents!$J15=0,$M15&lt;&gt;""),"Yes","No"))</f>
        <v/>
      </c>
      <c r="U15" s="15">
        <f>IF($T15&lt;&gt;"Yes","",SUMPRODUCT(($T$6:$T$55="Yes")*(($S$6:$S$55&gt;$S15)+($S$6:$S$55=$S15)*(ROW($S$6:$S$55)&lt;ROW())))+1)</f>
        <v/>
      </c>
      <c r="V15" s="15">
        <f>IF($B15="","",IF(AND(OR($E15=0,$I15&gt;=cfgThresholdScore),OR($F15=0,$J15&gt;=cfgThresholdScore),OR(N($G15)=0,$K15&gt;=cfgThresholdScore),OR($H15=0,$L15&gt;=cfgThresholdScore)),"Yes","No"))</f>
        <v/>
      </c>
      <c r="W15" s="15">
        <f>IF($B15="","",_xlfn.LET(_xlpm.tot,COUNTIFS(rngEPuse,"Yes",rngEPtype,"Major"),_xlpm.left,_xlpm.tot-$E15,IF(_xlpm.left&lt;=0,"done",MAX(0,ROUND((cfgThresholdScore*_xlpm.tot-N($I15)*$E15)/_xlpm.left,1)))))</f>
        <v/>
      </c>
      <c r="X15" s="15">
        <f>IF($B15="","",_xlfn.LET(_xlpm.tot,COUNTIFS(rngEPuse,"Yes",rngEPtype,"Minor"),_xlpm.left,_xlpm.tot-$F15,IF(_xlpm.left&lt;=0,"done",MAX(0,ROUND((cfgThresholdScore*_xlpm.tot-N($J15)*$F15)/_xlpm.left,1)))))</f>
        <v/>
      </c>
      <c r="Y15" s="15">
        <f>IF($B15="","",IF($H15&gt;0,"done",cfgThresholdScore))</f>
        <v/>
      </c>
      <c r="Z15" s="15">
        <f>IF($B15="","",_xlfn.LET(_xlpm.s,_xlfn.MAXIFS(nrES_Seq,nrES_PID,$B15,nrES_Att,1,nrES_Raw,"&gt;=0"),IF(_xlpm.s=0,"",SUMIFS(nrES_Raw,nrES_PID,$B15,nrES_Att,1,nrES_Seq,_xlpm.s))))</f>
        <v/>
      </c>
      <c r="AA15" s="15">
        <f>IF($B15="","",_xlfn.LET(_xlpm.s,_xlfn.MAXIFS(nrES_Seq,nrES_PID,$B15,nrES_Att,1,nrES_Raw,"&gt;=0"),IF(_xlpm.s=0,"",_xlfn.LET(_xlpm.p,_xlfn.MAXIFS(nrES_Seq,nrES_PID,$B15,nrES_Att,1,nrES_Seq,"&lt;"&amp;_xlpm.s),IF(_xlpm.p=0,"",SUMIFS(nrES_Raw,nrES_PID,$B15,nrES_Att,1,nrES_Seq,_xlpm.p))))))</f>
        <v/>
      </c>
      <c r="AB15" s="15">
        <f>IF(OR($B15="",$Z15="",$AA15=""),"",ROUND($AA15-$Z15,1))</f>
        <v/>
      </c>
      <c r="AC15" s="15">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5">
        <f>IF(Cadets!$B16="","",Cadets!$B16)</f>
        <v/>
      </c>
      <c r="C16" s="15">
        <f>IF($B16="","",Cadets!$F16)</f>
        <v/>
      </c>
      <c r="D16" s="15">
        <f>IF($B16="","",Cadets!$I16)</f>
        <v/>
      </c>
      <c r="E16" s="15">
        <f>IF($B16="","",COUNTIFS(nrES_PID,$B16,nrES_Type,"Major",nrES_Final,"Yes"))</f>
        <v/>
      </c>
      <c r="F16" s="15">
        <f>IF($B16="","",COUNTIFS(nrES_PID,$B16,nrES_Type,"Minor",nrES_Final,"Yes"))</f>
        <v/>
      </c>
      <c r="G16" s="15">
        <f>IF($B16="","",Spelling!Q16)</f>
        <v/>
      </c>
      <c r="H16" s="15">
        <f>IF($B16="","",COUNTIFS(nrES_PID,$B16,nrES_Type,"Final",nrES_Final,"Yes"))</f>
        <v/>
      </c>
      <c r="I16" s="15">
        <f>IF(OR($B16="",$E16=0),"",ROUND(AVERAGEIFS(nrES_Rec,nrES_PID,$B16,nrES_Type,"Major",nrES_Final,"Yes"),2))</f>
        <v/>
      </c>
      <c r="J16" s="15">
        <f>IF(OR($B16="",$F16=0),"",ROUND(AVERAGEIFS(nrES_Rec,nrES_PID,$B16,nrES_Type,"Minor",nrES_Final,"Yes"),2))</f>
        <v/>
      </c>
      <c r="K16" s="15">
        <f>IF($B16="","",Spelling!P16)</f>
        <v/>
      </c>
      <c r="L16" s="15">
        <f>IF(OR($B16="",$H16=0),"",ROUND(AVERAGEIFS(nrES_Rec,nrES_PID,$B16,nrES_Type,"Final",nrES_Final,"Yes"),2))</f>
        <v/>
      </c>
      <c r="M16" s="15">
        <f>IF($B16="","",_xlfn.LET(_xlpm.w,($E16&gt;0)*cfgWeightMajor+($F16&gt;0)*cfgWeightMinor+(N($G16)&gt;0)*cfgWeightSpelling+($H16&gt;0)*cfgWeightFinal,IF(_xlpm.w=0,"",ROUND((($E16&gt;0)*cfgWeightMajor*N($I16)+($F16&gt;0)*cfgWeightMinor*N($J16)+(N($G16)&gt;0)*cfgWeightSpelling*N($K16)+($H16&gt;0)*cfgWeightFinal*N($L16))/_xlpm.w,2))))</f>
        <v/>
      </c>
      <c r="N16" s="15">
        <f>IF(OR($B16="",$H16=0),"",$M16)</f>
        <v/>
      </c>
      <c r="O16" s="15">
        <f>IF($B16="","",COUNTIFS(nrES_PID,$B16,nrES_Att,2))</f>
        <v/>
      </c>
      <c r="P16" s="15">
        <f>IF($B16="","",COUNTIFS(nrES_PID,$B16,nrES_Dis,"Yes"))</f>
        <v/>
      </c>
      <c r="Q16" s="15">
        <f>IF($B16="","",IF(AND($E16&gt;=cfgThresholdAfterExam,$I16&lt;&gt;"",$I16&lt;cfgThresholdScore),"Yes","No"))</f>
        <v/>
      </c>
      <c r="R16" s="15">
        <f>IF($B16="","",IF(AND($F16&gt;=cfgThresholdAfterExam,$J16&lt;&gt;"",$J16&lt;cfgThresholdScore),"Yes","No"))</f>
        <v/>
      </c>
      <c r="S16" s="15">
        <f>IF($B16="","",IF($M16="",-1,$M16))</f>
        <v/>
      </c>
      <c r="T16" s="15">
        <f>IF($B16="","",IF(AND($D16="Active",$P16=0,sysSkills!$J16&lt;&gt;"Yes",sysIncidents!$J16=0,$M16&lt;&gt;""),"Yes","No"))</f>
        <v/>
      </c>
      <c r="U16" s="15">
        <f>IF($T16&lt;&gt;"Yes","",SUMPRODUCT(($T$6:$T$55="Yes")*(($S$6:$S$55&gt;$S16)+($S$6:$S$55=$S16)*(ROW($S$6:$S$55)&lt;ROW())))+1)</f>
        <v/>
      </c>
      <c r="V16" s="15">
        <f>IF($B16="","",IF(AND(OR($E16=0,$I16&gt;=cfgThresholdScore),OR($F16=0,$J16&gt;=cfgThresholdScore),OR(N($G16)=0,$K16&gt;=cfgThresholdScore),OR($H16=0,$L16&gt;=cfgThresholdScore)),"Yes","No"))</f>
        <v/>
      </c>
      <c r="W16" s="15">
        <f>IF($B16="","",_xlfn.LET(_xlpm.tot,COUNTIFS(rngEPuse,"Yes",rngEPtype,"Major"),_xlpm.left,_xlpm.tot-$E16,IF(_xlpm.left&lt;=0,"done",MAX(0,ROUND((cfgThresholdScore*_xlpm.tot-N($I16)*$E16)/_xlpm.left,1)))))</f>
        <v/>
      </c>
      <c r="X16" s="15">
        <f>IF($B16="","",_xlfn.LET(_xlpm.tot,COUNTIFS(rngEPuse,"Yes",rngEPtype,"Minor"),_xlpm.left,_xlpm.tot-$F16,IF(_xlpm.left&lt;=0,"done",MAX(0,ROUND((cfgThresholdScore*_xlpm.tot-N($J16)*$F16)/_xlpm.left,1)))))</f>
        <v/>
      </c>
      <c r="Y16" s="15">
        <f>IF($B16="","",IF($H16&gt;0,"done",cfgThresholdScore))</f>
        <v/>
      </c>
      <c r="Z16" s="15">
        <f>IF($B16="","",_xlfn.LET(_xlpm.s,_xlfn.MAXIFS(nrES_Seq,nrES_PID,$B16,nrES_Att,1,nrES_Raw,"&gt;=0"),IF(_xlpm.s=0,"",SUMIFS(nrES_Raw,nrES_PID,$B16,nrES_Att,1,nrES_Seq,_xlpm.s))))</f>
        <v/>
      </c>
      <c r="AA16" s="15">
        <f>IF($B16="","",_xlfn.LET(_xlpm.s,_xlfn.MAXIFS(nrES_Seq,nrES_PID,$B16,nrES_Att,1,nrES_Raw,"&gt;=0"),IF(_xlpm.s=0,"",_xlfn.LET(_xlpm.p,_xlfn.MAXIFS(nrES_Seq,nrES_PID,$B16,nrES_Att,1,nrES_Seq,"&lt;"&amp;_xlpm.s),IF(_xlpm.p=0,"",SUMIFS(nrES_Raw,nrES_PID,$B16,nrES_Att,1,nrES_Seq,_xlpm.p))))))</f>
        <v/>
      </c>
      <c r="AB16" s="15">
        <f>IF(OR($B16="",$Z16="",$AA16=""),"",ROUND($AA16-$Z16,1))</f>
        <v/>
      </c>
      <c r="AC16" s="15">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5">
        <f>IF(Cadets!$B17="","",Cadets!$B17)</f>
        <v/>
      </c>
      <c r="C17" s="15">
        <f>IF($B17="","",Cadets!$F17)</f>
        <v/>
      </c>
      <c r="D17" s="15">
        <f>IF($B17="","",Cadets!$I17)</f>
        <v/>
      </c>
      <c r="E17" s="15">
        <f>IF($B17="","",COUNTIFS(nrES_PID,$B17,nrES_Type,"Major",nrES_Final,"Yes"))</f>
        <v/>
      </c>
      <c r="F17" s="15">
        <f>IF($B17="","",COUNTIFS(nrES_PID,$B17,nrES_Type,"Minor",nrES_Final,"Yes"))</f>
        <v/>
      </c>
      <c r="G17" s="15">
        <f>IF($B17="","",Spelling!Q17)</f>
        <v/>
      </c>
      <c r="H17" s="15">
        <f>IF($B17="","",COUNTIFS(nrES_PID,$B17,nrES_Type,"Final",nrES_Final,"Yes"))</f>
        <v/>
      </c>
      <c r="I17" s="15">
        <f>IF(OR($B17="",$E17=0),"",ROUND(AVERAGEIFS(nrES_Rec,nrES_PID,$B17,nrES_Type,"Major",nrES_Final,"Yes"),2))</f>
        <v/>
      </c>
      <c r="J17" s="15">
        <f>IF(OR($B17="",$F17=0),"",ROUND(AVERAGEIFS(nrES_Rec,nrES_PID,$B17,nrES_Type,"Minor",nrES_Final,"Yes"),2))</f>
        <v/>
      </c>
      <c r="K17" s="15">
        <f>IF($B17="","",Spelling!P17)</f>
        <v/>
      </c>
      <c r="L17" s="15">
        <f>IF(OR($B17="",$H17=0),"",ROUND(AVERAGEIFS(nrES_Rec,nrES_PID,$B17,nrES_Type,"Final",nrES_Final,"Yes"),2))</f>
        <v/>
      </c>
      <c r="M17" s="15">
        <f>IF($B17="","",_xlfn.LET(_xlpm.w,($E17&gt;0)*cfgWeightMajor+($F17&gt;0)*cfgWeightMinor+(N($G17)&gt;0)*cfgWeightSpelling+($H17&gt;0)*cfgWeightFinal,IF(_xlpm.w=0,"",ROUND((($E17&gt;0)*cfgWeightMajor*N($I17)+($F17&gt;0)*cfgWeightMinor*N($J17)+(N($G17)&gt;0)*cfgWeightSpelling*N($K17)+($H17&gt;0)*cfgWeightFinal*N($L17))/_xlpm.w,2))))</f>
        <v/>
      </c>
      <c r="N17" s="15">
        <f>IF(OR($B17="",$H17=0),"",$M17)</f>
        <v/>
      </c>
      <c r="O17" s="15">
        <f>IF($B17="","",COUNTIFS(nrES_PID,$B17,nrES_Att,2))</f>
        <v/>
      </c>
      <c r="P17" s="15">
        <f>IF($B17="","",COUNTIFS(nrES_PID,$B17,nrES_Dis,"Yes"))</f>
        <v/>
      </c>
      <c r="Q17" s="15">
        <f>IF($B17="","",IF(AND($E17&gt;=cfgThresholdAfterExam,$I17&lt;&gt;"",$I17&lt;cfgThresholdScore),"Yes","No"))</f>
        <v/>
      </c>
      <c r="R17" s="15">
        <f>IF($B17="","",IF(AND($F17&gt;=cfgThresholdAfterExam,$J17&lt;&gt;"",$J17&lt;cfgThresholdScore),"Yes","No"))</f>
        <v/>
      </c>
      <c r="S17" s="15">
        <f>IF($B17="","",IF($M17="",-1,$M17))</f>
        <v/>
      </c>
      <c r="T17" s="15">
        <f>IF($B17="","",IF(AND($D17="Active",$P17=0,sysSkills!$J17&lt;&gt;"Yes",sysIncidents!$J17=0,$M17&lt;&gt;""),"Yes","No"))</f>
        <v/>
      </c>
      <c r="U17" s="15">
        <f>IF($T17&lt;&gt;"Yes","",SUMPRODUCT(($T$6:$T$55="Yes")*(($S$6:$S$55&gt;$S17)+($S$6:$S$55=$S17)*(ROW($S$6:$S$55)&lt;ROW())))+1)</f>
        <v/>
      </c>
      <c r="V17" s="15">
        <f>IF($B17="","",IF(AND(OR($E17=0,$I17&gt;=cfgThresholdScore),OR($F17=0,$J17&gt;=cfgThresholdScore),OR(N($G17)=0,$K17&gt;=cfgThresholdScore),OR($H17=0,$L17&gt;=cfgThresholdScore)),"Yes","No"))</f>
        <v/>
      </c>
      <c r="W17" s="15">
        <f>IF($B17="","",_xlfn.LET(_xlpm.tot,COUNTIFS(rngEPuse,"Yes",rngEPtype,"Major"),_xlpm.left,_xlpm.tot-$E17,IF(_xlpm.left&lt;=0,"done",MAX(0,ROUND((cfgThresholdScore*_xlpm.tot-N($I17)*$E17)/_xlpm.left,1)))))</f>
        <v/>
      </c>
      <c r="X17" s="15">
        <f>IF($B17="","",_xlfn.LET(_xlpm.tot,COUNTIFS(rngEPuse,"Yes",rngEPtype,"Minor"),_xlpm.left,_xlpm.tot-$F17,IF(_xlpm.left&lt;=0,"done",MAX(0,ROUND((cfgThresholdScore*_xlpm.tot-N($J17)*$F17)/_xlpm.left,1)))))</f>
        <v/>
      </c>
      <c r="Y17" s="15">
        <f>IF($B17="","",IF($H17&gt;0,"done",cfgThresholdScore))</f>
        <v/>
      </c>
      <c r="Z17" s="15">
        <f>IF($B17="","",_xlfn.LET(_xlpm.s,_xlfn.MAXIFS(nrES_Seq,nrES_PID,$B17,nrES_Att,1,nrES_Raw,"&gt;=0"),IF(_xlpm.s=0,"",SUMIFS(nrES_Raw,nrES_PID,$B17,nrES_Att,1,nrES_Seq,_xlpm.s))))</f>
        <v/>
      </c>
      <c r="AA17" s="15">
        <f>IF($B17="","",_xlfn.LET(_xlpm.s,_xlfn.MAXIFS(nrES_Seq,nrES_PID,$B17,nrES_Att,1,nrES_Raw,"&gt;=0"),IF(_xlpm.s=0,"",_xlfn.LET(_xlpm.p,_xlfn.MAXIFS(nrES_Seq,nrES_PID,$B17,nrES_Att,1,nrES_Seq,"&lt;"&amp;_xlpm.s),IF(_xlpm.p=0,"",SUMIFS(nrES_Raw,nrES_PID,$B17,nrES_Att,1,nrES_Seq,_xlpm.p))))))</f>
        <v/>
      </c>
      <c r="AB17" s="15">
        <f>IF(OR($B17="",$Z17="",$AA17=""),"",ROUND($AA17-$Z17,1))</f>
        <v/>
      </c>
      <c r="AC17" s="15">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5">
        <f>IF(Cadets!$B18="","",Cadets!$B18)</f>
        <v/>
      </c>
      <c r="C18" s="15">
        <f>IF($B18="","",Cadets!$F18)</f>
        <v/>
      </c>
      <c r="D18" s="15">
        <f>IF($B18="","",Cadets!$I18)</f>
        <v/>
      </c>
      <c r="E18" s="15">
        <f>IF($B18="","",COUNTIFS(nrES_PID,$B18,nrES_Type,"Major",nrES_Final,"Yes"))</f>
        <v/>
      </c>
      <c r="F18" s="15">
        <f>IF($B18="","",COUNTIFS(nrES_PID,$B18,nrES_Type,"Minor",nrES_Final,"Yes"))</f>
        <v/>
      </c>
      <c r="G18" s="15">
        <f>IF($B18="","",Spelling!Q18)</f>
        <v/>
      </c>
      <c r="H18" s="15">
        <f>IF($B18="","",COUNTIFS(nrES_PID,$B18,nrES_Type,"Final",nrES_Final,"Yes"))</f>
        <v/>
      </c>
      <c r="I18" s="15">
        <f>IF(OR($B18="",$E18=0),"",ROUND(AVERAGEIFS(nrES_Rec,nrES_PID,$B18,nrES_Type,"Major",nrES_Final,"Yes"),2))</f>
        <v/>
      </c>
      <c r="J18" s="15">
        <f>IF(OR($B18="",$F18=0),"",ROUND(AVERAGEIFS(nrES_Rec,nrES_PID,$B18,nrES_Type,"Minor",nrES_Final,"Yes"),2))</f>
        <v/>
      </c>
      <c r="K18" s="15">
        <f>IF($B18="","",Spelling!P18)</f>
        <v/>
      </c>
      <c r="L18" s="15">
        <f>IF(OR($B18="",$H18=0),"",ROUND(AVERAGEIFS(nrES_Rec,nrES_PID,$B18,nrES_Type,"Final",nrES_Final,"Yes"),2))</f>
        <v/>
      </c>
      <c r="M18" s="15">
        <f>IF($B18="","",_xlfn.LET(_xlpm.w,($E18&gt;0)*cfgWeightMajor+($F18&gt;0)*cfgWeightMinor+(N($G18)&gt;0)*cfgWeightSpelling+($H18&gt;0)*cfgWeightFinal,IF(_xlpm.w=0,"",ROUND((($E18&gt;0)*cfgWeightMajor*N($I18)+($F18&gt;0)*cfgWeightMinor*N($J18)+(N($G18)&gt;0)*cfgWeightSpelling*N($K18)+($H18&gt;0)*cfgWeightFinal*N($L18))/_xlpm.w,2))))</f>
        <v/>
      </c>
      <c r="N18" s="15">
        <f>IF(OR($B18="",$H18=0),"",$M18)</f>
        <v/>
      </c>
      <c r="O18" s="15">
        <f>IF($B18="","",COUNTIFS(nrES_PID,$B18,nrES_Att,2))</f>
        <v/>
      </c>
      <c r="P18" s="15">
        <f>IF($B18="","",COUNTIFS(nrES_PID,$B18,nrES_Dis,"Yes"))</f>
        <v/>
      </c>
      <c r="Q18" s="15">
        <f>IF($B18="","",IF(AND($E18&gt;=cfgThresholdAfterExam,$I18&lt;&gt;"",$I18&lt;cfgThresholdScore),"Yes","No"))</f>
        <v/>
      </c>
      <c r="R18" s="15">
        <f>IF($B18="","",IF(AND($F18&gt;=cfgThresholdAfterExam,$J18&lt;&gt;"",$J18&lt;cfgThresholdScore),"Yes","No"))</f>
        <v/>
      </c>
      <c r="S18" s="15">
        <f>IF($B18="","",IF($M18="",-1,$M18))</f>
        <v/>
      </c>
      <c r="T18" s="15">
        <f>IF($B18="","",IF(AND($D18="Active",$P18=0,sysSkills!$J18&lt;&gt;"Yes",sysIncidents!$J18=0,$M18&lt;&gt;""),"Yes","No"))</f>
        <v/>
      </c>
      <c r="U18" s="15">
        <f>IF($T18&lt;&gt;"Yes","",SUMPRODUCT(($T$6:$T$55="Yes")*(($S$6:$S$55&gt;$S18)+($S$6:$S$55=$S18)*(ROW($S$6:$S$55)&lt;ROW())))+1)</f>
        <v/>
      </c>
      <c r="V18" s="15">
        <f>IF($B18="","",IF(AND(OR($E18=0,$I18&gt;=cfgThresholdScore),OR($F18=0,$J18&gt;=cfgThresholdScore),OR(N($G18)=0,$K18&gt;=cfgThresholdScore),OR($H18=0,$L18&gt;=cfgThresholdScore)),"Yes","No"))</f>
        <v/>
      </c>
      <c r="W18" s="15">
        <f>IF($B18="","",_xlfn.LET(_xlpm.tot,COUNTIFS(rngEPuse,"Yes",rngEPtype,"Major"),_xlpm.left,_xlpm.tot-$E18,IF(_xlpm.left&lt;=0,"done",MAX(0,ROUND((cfgThresholdScore*_xlpm.tot-N($I18)*$E18)/_xlpm.left,1)))))</f>
        <v/>
      </c>
      <c r="X18" s="15">
        <f>IF($B18="","",_xlfn.LET(_xlpm.tot,COUNTIFS(rngEPuse,"Yes",rngEPtype,"Minor"),_xlpm.left,_xlpm.tot-$F18,IF(_xlpm.left&lt;=0,"done",MAX(0,ROUND((cfgThresholdScore*_xlpm.tot-N($J18)*$F18)/_xlpm.left,1)))))</f>
        <v/>
      </c>
      <c r="Y18" s="15">
        <f>IF($B18="","",IF($H18&gt;0,"done",cfgThresholdScore))</f>
        <v/>
      </c>
      <c r="Z18" s="15">
        <f>IF($B18="","",_xlfn.LET(_xlpm.s,_xlfn.MAXIFS(nrES_Seq,nrES_PID,$B18,nrES_Att,1,nrES_Raw,"&gt;=0"),IF(_xlpm.s=0,"",SUMIFS(nrES_Raw,nrES_PID,$B18,nrES_Att,1,nrES_Seq,_xlpm.s))))</f>
        <v/>
      </c>
      <c r="AA18" s="15">
        <f>IF($B18="","",_xlfn.LET(_xlpm.s,_xlfn.MAXIFS(nrES_Seq,nrES_PID,$B18,nrES_Att,1,nrES_Raw,"&gt;=0"),IF(_xlpm.s=0,"",_xlfn.LET(_xlpm.p,_xlfn.MAXIFS(nrES_Seq,nrES_PID,$B18,nrES_Att,1,nrES_Seq,"&lt;"&amp;_xlpm.s),IF(_xlpm.p=0,"",SUMIFS(nrES_Raw,nrES_PID,$B18,nrES_Att,1,nrES_Seq,_xlpm.p))))))</f>
        <v/>
      </c>
      <c r="AB18" s="15">
        <f>IF(OR($B18="",$Z18="",$AA18=""),"",ROUND($AA18-$Z18,1))</f>
        <v/>
      </c>
      <c r="AC18" s="15">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5">
        <f>IF(Cadets!$B19="","",Cadets!$B19)</f>
        <v/>
      </c>
      <c r="C19" s="15">
        <f>IF($B19="","",Cadets!$F19)</f>
        <v/>
      </c>
      <c r="D19" s="15">
        <f>IF($B19="","",Cadets!$I19)</f>
        <v/>
      </c>
      <c r="E19" s="15">
        <f>IF($B19="","",COUNTIFS(nrES_PID,$B19,nrES_Type,"Major",nrES_Final,"Yes"))</f>
        <v/>
      </c>
      <c r="F19" s="15">
        <f>IF($B19="","",COUNTIFS(nrES_PID,$B19,nrES_Type,"Minor",nrES_Final,"Yes"))</f>
        <v/>
      </c>
      <c r="G19" s="15">
        <f>IF($B19="","",Spelling!Q19)</f>
        <v/>
      </c>
      <c r="H19" s="15">
        <f>IF($B19="","",COUNTIFS(nrES_PID,$B19,nrES_Type,"Final",nrES_Final,"Yes"))</f>
        <v/>
      </c>
      <c r="I19" s="15">
        <f>IF(OR($B19="",$E19=0),"",ROUND(AVERAGEIFS(nrES_Rec,nrES_PID,$B19,nrES_Type,"Major",nrES_Final,"Yes"),2))</f>
        <v/>
      </c>
      <c r="J19" s="15">
        <f>IF(OR($B19="",$F19=0),"",ROUND(AVERAGEIFS(nrES_Rec,nrES_PID,$B19,nrES_Type,"Minor",nrES_Final,"Yes"),2))</f>
        <v/>
      </c>
      <c r="K19" s="15">
        <f>IF($B19="","",Spelling!P19)</f>
        <v/>
      </c>
      <c r="L19" s="15">
        <f>IF(OR($B19="",$H19=0),"",ROUND(AVERAGEIFS(nrES_Rec,nrES_PID,$B19,nrES_Type,"Final",nrES_Final,"Yes"),2))</f>
        <v/>
      </c>
      <c r="M19" s="15">
        <f>IF($B19="","",_xlfn.LET(_xlpm.w,($E19&gt;0)*cfgWeightMajor+($F19&gt;0)*cfgWeightMinor+(N($G19)&gt;0)*cfgWeightSpelling+($H19&gt;0)*cfgWeightFinal,IF(_xlpm.w=0,"",ROUND((($E19&gt;0)*cfgWeightMajor*N($I19)+($F19&gt;0)*cfgWeightMinor*N($J19)+(N($G19)&gt;0)*cfgWeightSpelling*N($K19)+($H19&gt;0)*cfgWeightFinal*N($L19))/_xlpm.w,2))))</f>
        <v/>
      </c>
      <c r="N19" s="15">
        <f>IF(OR($B19="",$H19=0),"",$M19)</f>
        <v/>
      </c>
      <c r="O19" s="15">
        <f>IF($B19="","",COUNTIFS(nrES_PID,$B19,nrES_Att,2))</f>
        <v/>
      </c>
      <c r="P19" s="15">
        <f>IF($B19="","",COUNTIFS(nrES_PID,$B19,nrES_Dis,"Yes"))</f>
        <v/>
      </c>
      <c r="Q19" s="15">
        <f>IF($B19="","",IF(AND($E19&gt;=cfgThresholdAfterExam,$I19&lt;&gt;"",$I19&lt;cfgThresholdScore),"Yes","No"))</f>
        <v/>
      </c>
      <c r="R19" s="15">
        <f>IF($B19="","",IF(AND($F19&gt;=cfgThresholdAfterExam,$J19&lt;&gt;"",$J19&lt;cfgThresholdScore),"Yes","No"))</f>
        <v/>
      </c>
      <c r="S19" s="15">
        <f>IF($B19="","",IF($M19="",-1,$M19))</f>
        <v/>
      </c>
      <c r="T19" s="15">
        <f>IF($B19="","",IF(AND($D19="Active",$P19=0,sysSkills!$J19&lt;&gt;"Yes",sysIncidents!$J19=0,$M19&lt;&gt;""),"Yes","No"))</f>
        <v/>
      </c>
      <c r="U19" s="15">
        <f>IF($T19&lt;&gt;"Yes","",SUMPRODUCT(($T$6:$T$55="Yes")*(($S$6:$S$55&gt;$S19)+($S$6:$S$55=$S19)*(ROW($S$6:$S$55)&lt;ROW())))+1)</f>
        <v/>
      </c>
      <c r="V19" s="15">
        <f>IF($B19="","",IF(AND(OR($E19=0,$I19&gt;=cfgThresholdScore),OR($F19=0,$J19&gt;=cfgThresholdScore),OR(N($G19)=0,$K19&gt;=cfgThresholdScore),OR($H19=0,$L19&gt;=cfgThresholdScore)),"Yes","No"))</f>
        <v/>
      </c>
      <c r="W19" s="15">
        <f>IF($B19="","",_xlfn.LET(_xlpm.tot,COUNTIFS(rngEPuse,"Yes",rngEPtype,"Major"),_xlpm.left,_xlpm.tot-$E19,IF(_xlpm.left&lt;=0,"done",MAX(0,ROUND((cfgThresholdScore*_xlpm.tot-N($I19)*$E19)/_xlpm.left,1)))))</f>
        <v/>
      </c>
      <c r="X19" s="15">
        <f>IF($B19="","",_xlfn.LET(_xlpm.tot,COUNTIFS(rngEPuse,"Yes",rngEPtype,"Minor"),_xlpm.left,_xlpm.tot-$F19,IF(_xlpm.left&lt;=0,"done",MAX(0,ROUND((cfgThresholdScore*_xlpm.tot-N($J19)*$F19)/_xlpm.left,1)))))</f>
        <v/>
      </c>
      <c r="Y19" s="15">
        <f>IF($B19="","",IF($H19&gt;0,"done",cfgThresholdScore))</f>
        <v/>
      </c>
      <c r="Z19" s="15">
        <f>IF($B19="","",_xlfn.LET(_xlpm.s,_xlfn.MAXIFS(nrES_Seq,nrES_PID,$B19,nrES_Att,1,nrES_Raw,"&gt;=0"),IF(_xlpm.s=0,"",SUMIFS(nrES_Raw,nrES_PID,$B19,nrES_Att,1,nrES_Seq,_xlpm.s))))</f>
        <v/>
      </c>
      <c r="AA19" s="15">
        <f>IF($B19="","",_xlfn.LET(_xlpm.s,_xlfn.MAXIFS(nrES_Seq,nrES_PID,$B19,nrES_Att,1,nrES_Raw,"&gt;=0"),IF(_xlpm.s=0,"",_xlfn.LET(_xlpm.p,_xlfn.MAXIFS(nrES_Seq,nrES_PID,$B19,nrES_Att,1,nrES_Seq,"&lt;"&amp;_xlpm.s),IF(_xlpm.p=0,"",SUMIFS(nrES_Raw,nrES_PID,$B19,nrES_Att,1,nrES_Seq,_xlpm.p))))))</f>
        <v/>
      </c>
      <c r="AB19" s="15">
        <f>IF(OR($B19="",$Z19="",$AA19=""),"",ROUND($AA19-$Z19,1))</f>
        <v/>
      </c>
      <c r="AC19" s="15">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5">
        <f>IF(Cadets!$B20="","",Cadets!$B20)</f>
        <v/>
      </c>
      <c r="C20" s="15">
        <f>IF($B20="","",Cadets!$F20)</f>
        <v/>
      </c>
      <c r="D20" s="15">
        <f>IF($B20="","",Cadets!$I20)</f>
        <v/>
      </c>
      <c r="E20" s="15">
        <f>IF($B20="","",COUNTIFS(nrES_PID,$B20,nrES_Type,"Major",nrES_Final,"Yes"))</f>
        <v/>
      </c>
      <c r="F20" s="15">
        <f>IF($B20="","",COUNTIFS(nrES_PID,$B20,nrES_Type,"Minor",nrES_Final,"Yes"))</f>
        <v/>
      </c>
      <c r="G20" s="15">
        <f>IF($B20="","",Spelling!Q20)</f>
        <v/>
      </c>
      <c r="H20" s="15">
        <f>IF($B20="","",COUNTIFS(nrES_PID,$B20,nrES_Type,"Final",nrES_Final,"Yes"))</f>
        <v/>
      </c>
      <c r="I20" s="15">
        <f>IF(OR($B20="",$E20=0),"",ROUND(AVERAGEIFS(nrES_Rec,nrES_PID,$B20,nrES_Type,"Major",nrES_Final,"Yes"),2))</f>
        <v/>
      </c>
      <c r="J20" s="15">
        <f>IF(OR($B20="",$F20=0),"",ROUND(AVERAGEIFS(nrES_Rec,nrES_PID,$B20,nrES_Type,"Minor",nrES_Final,"Yes"),2))</f>
        <v/>
      </c>
      <c r="K20" s="15">
        <f>IF($B20="","",Spelling!P20)</f>
        <v/>
      </c>
      <c r="L20" s="15">
        <f>IF(OR($B20="",$H20=0),"",ROUND(AVERAGEIFS(nrES_Rec,nrES_PID,$B20,nrES_Type,"Final",nrES_Final,"Yes"),2))</f>
        <v/>
      </c>
      <c r="M20" s="15">
        <f>IF($B20="","",_xlfn.LET(_xlpm.w,($E20&gt;0)*cfgWeightMajor+($F20&gt;0)*cfgWeightMinor+(N($G20)&gt;0)*cfgWeightSpelling+($H20&gt;0)*cfgWeightFinal,IF(_xlpm.w=0,"",ROUND((($E20&gt;0)*cfgWeightMajor*N($I20)+($F20&gt;0)*cfgWeightMinor*N($J20)+(N($G20)&gt;0)*cfgWeightSpelling*N($K20)+($H20&gt;0)*cfgWeightFinal*N($L20))/_xlpm.w,2))))</f>
        <v/>
      </c>
      <c r="N20" s="15">
        <f>IF(OR($B20="",$H20=0),"",$M20)</f>
        <v/>
      </c>
      <c r="O20" s="15">
        <f>IF($B20="","",COUNTIFS(nrES_PID,$B20,nrES_Att,2))</f>
        <v/>
      </c>
      <c r="P20" s="15">
        <f>IF($B20="","",COUNTIFS(nrES_PID,$B20,nrES_Dis,"Yes"))</f>
        <v/>
      </c>
      <c r="Q20" s="15">
        <f>IF($B20="","",IF(AND($E20&gt;=cfgThresholdAfterExam,$I20&lt;&gt;"",$I20&lt;cfgThresholdScore),"Yes","No"))</f>
        <v/>
      </c>
      <c r="R20" s="15">
        <f>IF($B20="","",IF(AND($F20&gt;=cfgThresholdAfterExam,$J20&lt;&gt;"",$J20&lt;cfgThresholdScore),"Yes","No"))</f>
        <v/>
      </c>
      <c r="S20" s="15">
        <f>IF($B20="","",IF($M20="",-1,$M20))</f>
        <v/>
      </c>
      <c r="T20" s="15">
        <f>IF($B20="","",IF(AND($D20="Active",$P20=0,sysSkills!$J20&lt;&gt;"Yes",sysIncidents!$J20=0,$M20&lt;&gt;""),"Yes","No"))</f>
        <v/>
      </c>
      <c r="U20" s="15">
        <f>IF($T20&lt;&gt;"Yes","",SUMPRODUCT(($T$6:$T$55="Yes")*(($S$6:$S$55&gt;$S20)+($S$6:$S$55=$S20)*(ROW($S$6:$S$55)&lt;ROW())))+1)</f>
        <v/>
      </c>
      <c r="V20" s="15">
        <f>IF($B20="","",IF(AND(OR($E20=0,$I20&gt;=cfgThresholdScore),OR($F20=0,$J20&gt;=cfgThresholdScore),OR(N($G20)=0,$K20&gt;=cfgThresholdScore),OR($H20=0,$L20&gt;=cfgThresholdScore)),"Yes","No"))</f>
        <v/>
      </c>
      <c r="W20" s="15">
        <f>IF($B20="","",_xlfn.LET(_xlpm.tot,COUNTIFS(rngEPuse,"Yes",rngEPtype,"Major"),_xlpm.left,_xlpm.tot-$E20,IF(_xlpm.left&lt;=0,"done",MAX(0,ROUND((cfgThresholdScore*_xlpm.tot-N($I20)*$E20)/_xlpm.left,1)))))</f>
        <v/>
      </c>
      <c r="X20" s="15">
        <f>IF($B20="","",_xlfn.LET(_xlpm.tot,COUNTIFS(rngEPuse,"Yes",rngEPtype,"Minor"),_xlpm.left,_xlpm.tot-$F20,IF(_xlpm.left&lt;=0,"done",MAX(0,ROUND((cfgThresholdScore*_xlpm.tot-N($J20)*$F20)/_xlpm.left,1)))))</f>
        <v/>
      </c>
      <c r="Y20" s="15">
        <f>IF($B20="","",IF($H20&gt;0,"done",cfgThresholdScore))</f>
        <v/>
      </c>
      <c r="Z20" s="15">
        <f>IF($B20="","",_xlfn.LET(_xlpm.s,_xlfn.MAXIFS(nrES_Seq,nrES_PID,$B20,nrES_Att,1,nrES_Raw,"&gt;=0"),IF(_xlpm.s=0,"",SUMIFS(nrES_Raw,nrES_PID,$B20,nrES_Att,1,nrES_Seq,_xlpm.s))))</f>
        <v/>
      </c>
      <c r="AA20" s="15">
        <f>IF($B20="","",_xlfn.LET(_xlpm.s,_xlfn.MAXIFS(nrES_Seq,nrES_PID,$B20,nrES_Att,1,nrES_Raw,"&gt;=0"),IF(_xlpm.s=0,"",_xlfn.LET(_xlpm.p,_xlfn.MAXIFS(nrES_Seq,nrES_PID,$B20,nrES_Att,1,nrES_Seq,"&lt;"&amp;_xlpm.s),IF(_xlpm.p=0,"",SUMIFS(nrES_Raw,nrES_PID,$B20,nrES_Att,1,nrES_Seq,_xlpm.p))))))</f>
        <v/>
      </c>
      <c r="AB20" s="15">
        <f>IF(OR($B20="",$Z20="",$AA20=""),"",ROUND($AA20-$Z20,1))</f>
        <v/>
      </c>
      <c r="AC20" s="15">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5">
        <f>IF(Cadets!$B21="","",Cadets!$B21)</f>
        <v/>
      </c>
      <c r="C21" s="15">
        <f>IF($B21="","",Cadets!$F21)</f>
        <v/>
      </c>
      <c r="D21" s="15">
        <f>IF($B21="","",Cadets!$I21)</f>
        <v/>
      </c>
      <c r="E21" s="15">
        <f>IF($B21="","",COUNTIFS(nrES_PID,$B21,nrES_Type,"Major",nrES_Final,"Yes"))</f>
        <v/>
      </c>
      <c r="F21" s="15">
        <f>IF($B21="","",COUNTIFS(nrES_PID,$B21,nrES_Type,"Minor",nrES_Final,"Yes"))</f>
        <v/>
      </c>
      <c r="G21" s="15">
        <f>IF($B21="","",Spelling!Q21)</f>
        <v/>
      </c>
      <c r="H21" s="15">
        <f>IF($B21="","",COUNTIFS(nrES_PID,$B21,nrES_Type,"Final",nrES_Final,"Yes"))</f>
        <v/>
      </c>
      <c r="I21" s="15">
        <f>IF(OR($B21="",$E21=0),"",ROUND(AVERAGEIFS(nrES_Rec,nrES_PID,$B21,nrES_Type,"Major",nrES_Final,"Yes"),2))</f>
        <v/>
      </c>
      <c r="J21" s="15">
        <f>IF(OR($B21="",$F21=0),"",ROUND(AVERAGEIFS(nrES_Rec,nrES_PID,$B21,nrES_Type,"Minor",nrES_Final,"Yes"),2))</f>
        <v/>
      </c>
      <c r="K21" s="15">
        <f>IF($B21="","",Spelling!P21)</f>
        <v/>
      </c>
      <c r="L21" s="15">
        <f>IF(OR($B21="",$H21=0),"",ROUND(AVERAGEIFS(nrES_Rec,nrES_PID,$B21,nrES_Type,"Final",nrES_Final,"Yes"),2))</f>
        <v/>
      </c>
      <c r="M21" s="15">
        <f>IF($B21="","",_xlfn.LET(_xlpm.w,($E21&gt;0)*cfgWeightMajor+($F21&gt;0)*cfgWeightMinor+(N($G21)&gt;0)*cfgWeightSpelling+($H21&gt;0)*cfgWeightFinal,IF(_xlpm.w=0,"",ROUND((($E21&gt;0)*cfgWeightMajor*N($I21)+($F21&gt;0)*cfgWeightMinor*N($J21)+(N($G21)&gt;0)*cfgWeightSpelling*N($K21)+($H21&gt;0)*cfgWeightFinal*N($L21))/_xlpm.w,2))))</f>
        <v/>
      </c>
      <c r="N21" s="15">
        <f>IF(OR($B21="",$H21=0),"",$M21)</f>
        <v/>
      </c>
      <c r="O21" s="15">
        <f>IF($B21="","",COUNTIFS(nrES_PID,$B21,nrES_Att,2))</f>
        <v/>
      </c>
      <c r="P21" s="15">
        <f>IF($B21="","",COUNTIFS(nrES_PID,$B21,nrES_Dis,"Yes"))</f>
        <v/>
      </c>
      <c r="Q21" s="15">
        <f>IF($B21="","",IF(AND($E21&gt;=cfgThresholdAfterExam,$I21&lt;&gt;"",$I21&lt;cfgThresholdScore),"Yes","No"))</f>
        <v/>
      </c>
      <c r="R21" s="15">
        <f>IF($B21="","",IF(AND($F21&gt;=cfgThresholdAfterExam,$J21&lt;&gt;"",$J21&lt;cfgThresholdScore),"Yes","No"))</f>
        <v/>
      </c>
      <c r="S21" s="15">
        <f>IF($B21="","",IF($M21="",-1,$M21))</f>
        <v/>
      </c>
      <c r="T21" s="15">
        <f>IF($B21="","",IF(AND($D21="Active",$P21=0,sysSkills!$J21&lt;&gt;"Yes",sysIncidents!$J21=0,$M21&lt;&gt;""),"Yes","No"))</f>
        <v/>
      </c>
      <c r="U21" s="15">
        <f>IF($T21&lt;&gt;"Yes","",SUMPRODUCT(($T$6:$T$55="Yes")*(($S$6:$S$55&gt;$S21)+($S$6:$S$55=$S21)*(ROW($S$6:$S$55)&lt;ROW())))+1)</f>
        <v/>
      </c>
      <c r="V21" s="15">
        <f>IF($B21="","",IF(AND(OR($E21=0,$I21&gt;=cfgThresholdScore),OR($F21=0,$J21&gt;=cfgThresholdScore),OR(N($G21)=0,$K21&gt;=cfgThresholdScore),OR($H21=0,$L21&gt;=cfgThresholdScore)),"Yes","No"))</f>
        <v/>
      </c>
      <c r="W21" s="15">
        <f>IF($B21="","",_xlfn.LET(_xlpm.tot,COUNTIFS(rngEPuse,"Yes",rngEPtype,"Major"),_xlpm.left,_xlpm.tot-$E21,IF(_xlpm.left&lt;=0,"done",MAX(0,ROUND((cfgThresholdScore*_xlpm.tot-N($I21)*$E21)/_xlpm.left,1)))))</f>
        <v/>
      </c>
      <c r="X21" s="15">
        <f>IF($B21="","",_xlfn.LET(_xlpm.tot,COUNTIFS(rngEPuse,"Yes",rngEPtype,"Minor"),_xlpm.left,_xlpm.tot-$F21,IF(_xlpm.left&lt;=0,"done",MAX(0,ROUND((cfgThresholdScore*_xlpm.tot-N($J21)*$F21)/_xlpm.left,1)))))</f>
        <v/>
      </c>
      <c r="Y21" s="15">
        <f>IF($B21="","",IF($H21&gt;0,"done",cfgThresholdScore))</f>
        <v/>
      </c>
      <c r="Z21" s="15">
        <f>IF($B21="","",_xlfn.LET(_xlpm.s,_xlfn.MAXIFS(nrES_Seq,nrES_PID,$B21,nrES_Att,1,nrES_Raw,"&gt;=0"),IF(_xlpm.s=0,"",SUMIFS(nrES_Raw,nrES_PID,$B21,nrES_Att,1,nrES_Seq,_xlpm.s))))</f>
        <v/>
      </c>
      <c r="AA21" s="15">
        <f>IF($B21="","",_xlfn.LET(_xlpm.s,_xlfn.MAXIFS(nrES_Seq,nrES_PID,$B21,nrES_Att,1,nrES_Raw,"&gt;=0"),IF(_xlpm.s=0,"",_xlfn.LET(_xlpm.p,_xlfn.MAXIFS(nrES_Seq,nrES_PID,$B21,nrES_Att,1,nrES_Seq,"&lt;"&amp;_xlpm.s),IF(_xlpm.p=0,"",SUMIFS(nrES_Raw,nrES_PID,$B21,nrES_Att,1,nrES_Seq,_xlpm.p))))))</f>
        <v/>
      </c>
      <c r="AB21" s="15">
        <f>IF(OR($B21="",$Z21="",$AA21=""),"",ROUND($AA21-$Z21,1))</f>
        <v/>
      </c>
      <c r="AC21" s="15">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5">
        <f>IF(Cadets!$B22="","",Cadets!$B22)</f>
        <v/>
      </c>
      <c r="C22" s="15">
        <f>IF($B22="","",Cadets!$F22)</f>
        <v/>
      </c>
      <c r="D22" s="15">
        <f>IF($B22="","",Cadets!$I22)</f>
        <v/>
      </c>
      <c r="E22" s="15">
        <f>IF($B22="","",COUNTIFS(nrES_PID,$B22,nrES_Type,"Major",nrES_Final,"Yes"))</f>
        <v/>
      </c>
      <c r="F22" s="15">
        <f>IF($B22="","",COUNTIFS(nrES_PID,$B22,nrES_Type,"Minor",nrES_Final,"Yes"))</f>
        <v/>
      </c>
      <c r="G22" s="15">
        <f>IF($B22="","",Spelling!Q22)</f>
        <v/>
      </c>
      <c r="H22" s="15">
        <f>IF($B22="","",COUNTIFS(nrES_PID,$B22,nrES_Type,"Final",nrES_Final,"Yes"))</f>
        <v/>
      </c>
      <c r="I22" s="15">
        <f>IF(OR($B22="",$E22=0),"",ROUND(AVERAGEIFS(nrES_Rec,nrES_PID,$B22,nrES_Type,"Major",nrES_Final,"Yes"),2))</f>
        <v/>
      </c>
      <c r="J22" s="15">
        <f>IF(OR($B22="",$F22=0),"",ROUND(AVERAGEIFS(nrES_Rec,nrES_PID,$B22,nrES_Type,"Minor",nrES_Final,"Yes"),2))</f>
        <v/>
      </c>
      <c r="K22" s="15">
        <f>IF($B22="","",Spelling!P22)</f>
        <v/>
      </c>
      <c r="L22" s="15">
        <f>IF(OR($B22="",$H22=0),"",ROUND(AVERAGEIFS(nrES_Rec,nrES_PID,$B22,nrES_Type,"Final",nrES_Final,"Yes"),2))</f>
        <v/>
      </c>
      <c r="M22" s="15">
        <f>IF($B22="","",_xlfn.LET(_xlpm.w,($E22&gt;0)*cfgWeightMajor+($F22&gt;0)*cfgWeightMinor+(N($G22)&gt;0)*cfgWeightSpelling+($H22&gt;0)*cfgWeightFinal,IF(_xlpm.w=0,"",ROUND((($E22&gt;0)*cfgWeightMajor*N($I22)+($F22&gt;0)*cfgWeightMinor*N($J22)+(N($G22)&gt;0)*cfgWeightSpelling*N($K22)+($H22&gt;0)*cfgWeightFinal*N($L22))/_xlpm.w,2))))</f>
        <v/>
      </c>
      <c r="N22" s="15">
        <f>IF(OR($B22="",$H22=0),"",$M22)</f>
        <v/>
      </c>
      <c r="O22" s="15">
        <f>IF($B22="","",COUNTIFS(nrES_PID,$B22,nrES_Att,2))</f>
        <v/>
      </c>
      <c r="P22" s="15">
        <f>IF($B22="","",COUNTIFS(nrES_PID,$B22,nrES_Dis,"Yes"))</f>
        <v/>
      </c>
      <c r="Q22" s="15">
        <f>IF($B22="","",IF(AND($E22&gt;=cfgThresholdAfterExam,$I22&lt;&gt;"",$I22&lt;cfgThresholdScore),"Yes","No"))</f>
        <v/>
      </c>
      <c r="R22" s="15">
        <f>IF($B22="","",IF(AND($F22&gt;=cfgThresholdAfterExam,$J22&lt;&gt;"",$J22&lt;cfgThresholdScore),"Yes","No"))</f>
        <v/>
      </c>
      <c r="S22" s="15">
        <f>IF($B22="","",IF($M22="",-1,$M22))</f>
        <v/>
      </c>
      <c r="T22" s="15">
        <f>IF($B22="","",IF(AND($D22="Active",$P22=0,sysSkills!$J22&lt;&gt;"Yes",sysIncidents!$J22=0,$M22&lt;&gt;""),"Yes","No"))</f>
        <v/>
      </c>
      <c r="U22" s="15">
        <f>IF($T22&lt;&gt;"Yes","",SUMPRODUCT(($T$6:$T$55="Yes")*(($S$6:$S$55&gt;$S22)+($S$6:$S$55=$S22)*(ROW($S$6:$S$55)&lt;ROW())))+1)</f>
        <v/>
      </c>
      <c r="V22" s="15">
        <f>IF($B22="","",IF(AND(OR($E22=0,$I22&gt;=cfgThresholdScore),OR($F22=0,$J22&gt;=cfgThresholdScore),OR(N($G22)=0,$K22&gt;=cfgThresholdScore),OR($H22=0,$L22&gt;=cfgThresholdScore)),"Yes","No"))</f>
        <v/>
      </c>
      <c r="W22" s="15">
        <f>IF($B22="","",_xlfn.LET(_xlpm.tot,COUNTIFS(rngEPuse,"Yes",rngEPtype,"Major"),_xlpm.left,_xlpm.tot-$E22,IF(_xlpm.left&lt;=0,"done",MAX(0,ROUND((cfgThresholdScore*_xlpm.tot-N($I22)*$E22)/_xlpm.left,1)))))</f>
        <v/>
      </c>
      <c r="X22" s="15">
        <f>IF($B22="","",_xlfn.LET(_xlpm.tot,COUNTIFS(rngEPuse,"Yes",rngEPtype,"Minor"),_xlpm.left,_xlpm.tot-$F22,IF(_xlpm.left&lt;=0,"done",MAX(0,ROUND((cfgThresholdScore*_xlpm.tot-N($J22)*$F22)/_xlpm.left,1)))))</f>
        <v/>
      </c>
      <c r="Y22" s="15">
        <f>IF($B22="","",IF($H22&gt;0,"done",cfgThresholdScore))</f>
        <v/>
      </c>
      <c r="Z22" s="15">
        <f>IF($B22="","",_xlfn.LET(_xlpm.s,_xlfn.MAXIFS(nrES_Seq,nrES_PID,$B22,nrES_Att,1,nrES_Raw,"&gt;=0"),IF(_xlpm.s=0,"",SUMIFS(nrES_Raw,nrES_PID,$B22,nrES_Att,1,nrES_Seq,_xlpm.s))))</f>
        <v/>
      </c>
      <c r="AA22" s="15">
        <f>IF($B22="","",_xlfn.LET(_xlpm.s,_xlfn.MAXIFS(nrES_Seq,nrES_PID,$B22,nrES_Att,1,nrES_Raw,"&gt;=0"),IF(_xlpm.s=0,"",_xlfn.LET(_xlpm.p,_xlfn.MAXIFS(nrES_Seq,nrES_PID,$B22,nrES_Att,1,nrES_Seq,"&lt;"&amp;_xlpm.s),IF(_xlpm.p=0,"",SUMIFS(nrES_Raw,nrES_PID,$B22,nrES_Att,1,nrES_Seq,_xlpm.p))))))</f>
        <v/>
      </c>
      <c r="AB22" s="15">
        <f>IF(OR($B22="",$Z22="",$AA22=""),"",ROUND($AA22-$Z22,1))</f>
        <v/>
      </c>
      <c r="AC22" s="15">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5">
        <f>IF(Cadets!$B23="","",Cadets!$B23)</f>
        <v/>
      </c>
      <c r="C23" s="15">
        <f>IF($B23="","",Cadets!$F23)</f>
        <v/>
      </c>
      <c r="D23" s="15">
        <f>IF($B23="","",Cadets!$I23)</f>
        <v/>
      </c>
      <c r="E23" s="15">
        <f>IF($B23="","",COUNTIFS(nrES_PID,$B23,nrES_Type,"Major",nrES_Final,"Yes"))</f>
        <v/>
      </c>
      <c r="F23" s="15">
        <f>IF($B23="","",COUNTIFS(nrES_PID,$B23,nrES_Type,"Minor",nrES_Final,"Yes"))</f>
        <v/>
      </c>
      <c r="G23" s="15">
        <f>IF($B23="","",Spelling!Q23)</f>
        <v/>
      </c>
      <c r="H23" s="15">
        <f>IF($B23="","",COUNTIFS(nrES_PID,$B23,nrES_Type,"Final",nrES_Final,"Yes"))</f>
        <v/>
      </c>
      <c r="I23" s="15">
        <f>IF(OR($B23="",$E23=0),"",ROUND(AVERAGEIFS(nrES_Rec,nrES_PID,$B23,nrES_Type,"Major",nrES_Final,"Yes"),2))</f>
        <v/>
      </c>
      <c r="J23" s="15">
        <f>IF(OR($B23="",$F23=0),"",ROUND(AVERAGEIFS(nrES_Rec,nrES_PID,$B23,nrES_Type,"Minor",nrES_Final,"Yes"),2))</f>
        <v/>
      </c>
      <c r="K23" s="15">
        <f>IF($B23="","",Spelling!P23)</f>
        <v/>
      </c>
      <c r="L23" s="15">
        <f>IF(OR($B23="",$H23=0),"",ROUND(AVERAGEIFS(nrES_Rec,nrES_PID,$B23,nrES_Type,"Final",nrES_Final,"Yes"),2))</f>
        <v/>
      </c>
      <c r="M23" s="15">
        <f>IF($B23="","",_xlfn.LET(_xlpm.w,($E23&gt;0)*cfgWeightMajor+($F23&gt;0)*cfgWeightMinor+(N($G23)&gt;0)*cfgWeightSpelling+($H23&gt;0)*cfgWeightFinal,IF(_xlpm.w=0,"",ROUND((($E23&gt;0)*cfgWeightMajor*N($I23)+($F23&gt;0)*cfgWeightMinor*N($J23)+(N($G23)&gt;0)*cfgWeightSpelling*N($K23)+($H23&gt;0)*cfgWeightFinal*N($L23))/_xlpm.w,2))))</f>
        <v/>
      </c>
      <c r="N23" s="15">
        <f>IF(OR($B23="",$H23=0),"",$M23)</f>
        <v/>
      </c>
      <c r="O23" s="15">
        <f>IF($B23="","",COUNTIFS(nrES_PID,$B23,nrES_Att,2))</f>
        <v/>
      </c>
      <c r="P23" s="15">
        <f>IF($B23="","",COUNTIFS(nrES_PID,$B23,nrES_Dis,"Yes"))</f>
        <v/>
      </c>
      <c r="Q23" s="15">
        <f>IF($B23="","",IF(AND($E23&gt;=cfgThresholdAfterExam,$I23&lt;&gt;"",$I23&lt;cfgThresholdScore),"Yes","No"))</f>
        <v/>
      </c>
      <c r="R23" s="15">
        <f>IF($B23="","",IF(AND($F23&gt;=cfgThresholdAfterExam,$J23&lt;&gt;"",$J23&lt;cfgThresholdScore),"Yes","No"))</f>
        <v/>
      </c>
      <c r="S23" s="15">
        <f>IF($B23="","",IF($M23="",-1,$M23))</f>
        <v/>
      </c>
      <c r="T23" s="15">
        <f>IF($B23="","",IF(AND($D23="Active",$P23=0,sysSkills!$J23&lt;&gt;"Yes",sysIncidents!$J23=0,$M23&lt;&gt;""),"Yes","No"))</f>
        <v/>
      </c>
      <c r="U23" s="15">
        <f>IF($T23&lt;&gt;"Yes","",SUMPRODUCT(($T$6:$T$55="Yes")*(($S$6:$S$55&gt;$S23)+($S$6:$S$55=$S23)*(ROW($S$6:$S$55)&lt;ROW())))+1)</f>
        <v/>
      </c>
      <c r="V23" s="15">
        <f>IF($B23="","",IF(AND(OR($E23=0,$I23&gt;=cfgThresholdScore),OR($F23=0,$J23&gt;=cfgThresholdScore),OR(N($G23)=0,$K23&gt;=cfgThresholdScore),OR($H23=0,$L23&gt;=cfgThresholdScore)),"Yes","No"))</f>
        <v/>
      </c>
      <c r="W23" s="15">
        <f>IF($B23="","",_xlfn.LET(_xlpm.tot,COUNTIFS(rngEPuse,"Yes",rngEPtype,"Major"),_xlpm.left,_xlpm.tot-$E23,IF(_xlpm.left&lt;=0,"done",MAX(0,ROUND((cfgThresholdScore*_xlpm.tot-N($I23)*$E23)/_xlpm.left,1)))))</f>
        <v/>
      </c>
      <c r="X23" s="15">
        <f>IF($B23="","",_xlfn.LET(_xlpm.tot,COUNTIFS(rngEPuse,"Yes",rngEPtype,"Minor"),_xlpm.left,_xlpm.tot-$F23,IF(_xlpm.left&lt;=0,"done",MAX(0,ROUND((cfgThresholdScore*_xlpm.tot-N($J23)*$F23)/_xlpm.left,1)))))</f>
        <v/>
      </c>
      <c r="Y23" s="15">
        <f>IF($B23="","",IF($H23&gt;0,"done",cfgThresholdScore))</f>
        <v/>
      </c>
      <c r="Z23" s="15">
        <f>IF($B23="","",_xlfn.LET(_xlpm.s,_xlfn.MAXIFS(nrES_Seq,nrES_PID,$B23,nrES_Att,1,nrES_Raw,"&gt;=0"),IF(_xlpm.s=0,"",SUMIFS(nrES_Raw,nrES_PID,$B23,nrES_Att,1,nrES_Seq,_xlpm.s))))</f>
        <v/>
      </c>
      <c r="AA23" s="15">
        <f>IF($B23="","",_xlfn.LET(_xlpm.s,_xlfn.MAXIFS(nrES_Seq,nrES_PID,$B23,nrES_Att,1,nrES_Raw,"&gt;=0"),IF(_xlpm.s=0,"",_xlfn.LET(_xlpm.p,_xlfn.MAXIFS(nrES_Seq,nrES_PID,$B23,nrES_Att,1,nrES_Seq,"&lt;"&amp;_xlpm.s),IF(_xlpm.p=0,"",SUMIFS(nrES_Raw,nrES_PID,$B23,nrES_Att,1,nrES_Seq,_xlpm.p))))))</f>
        <v/>
      </c>
      <c r="AB23" s="15">
        <f>IF(OR($B23="",$Z23="",$AA23=""),"",ROUND($AA23-$Z23,1))</f>
        <v/>
      </c>
      <c r="AC23" s="15">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5">
        <f>IF(Cadets!$B24="","",Cadets!$B24)</f>
        <v/>
      </c>
      <c r="C24" s="15">
        <f>IF($B24="","",Cadets!$F24)</f>
        <v/>
      </c>
      <c r="D24" s="15">
        <f>IF($B24="","",Cadets!$I24)</f>
        <v/>
      </c>
      <c r="E24" s="15">
        <f>IF($B24="","",COUNTIFS(nrES_PID,$B24,nrES_Type,"Major",nrES_Final,"Yes"))</f>
        <v/>
      </c>
      <c r="F24" s="15">
        <f>IF($B24="","",COUNTIFS(nrES_PID,$B24,nrES_Type,"Minor",nrES_Final,"Yes"))</f>
        <v/>
      </c>
      <c r="G24" s="15">
        <f>IF($B24="","",Spelling!Q24)</f>
        <v/>
      </c>
      <c r="H24" s="15">
        <f>IF($B24="","",COUNTIFS(nrES_PID,$B24,nrES_Type,"Final",nrES_Final,"Yes"))</f>
        <v/>
      </c>
      <c r="I24" s="15">
        <f>IF(OR($B24="",$E24=0),"",ROUND(AVERAGEIFS(nrES_Rec,nrES_PID,$B24,nrES_Type,"Major",nrES_Final,"Yes"),2))</f>
        <v/>
      </c>
      <c r="J24" s="15">
        <f>IF(OR($B24="",$F24=0),"",ROUND(AVERAGEIFS(nrES_Rec,nrES_PID,$B24,nrES_Type,"Minor",nrES_Final,"Yes"),2))</f>
        <v/>
      </c>
      <c r="K24" s="15">
        <f>IF($B24="","",Spelling!P24)</f>
        <v/>
      </c>
      <c r="L24" s="15">
        <f>IF(OR($B24="",$H24=0),"",ROUND(AVERAGEIFS(nrES_Rec,nrES_PID,$B24,nrES_Type,"Final",nrES_Final,"Yes"),2))</f>
        <v/>
      </c>
      <c r="M24" s="15">
        <f>IF($B24="","",_xlfn.LET(_xlpm.w,($E24&gt;0)*cfgWeightMajor+($F24&gt;0)*cfgWeightMinor+(N($G24)&gt;0)*cfgWeightSpelling+($H24&gt;0)*cfgWeightFinal,IF(_xlpm.w=0,"",ROUND((($E24&gt;0)*cfgWeightMajor*N($I24)+($F24&gt;0)*cfgWeightMinor*N($J24)+(N($G24)&gt;0)*cfgWeightSpelling*N($K24)+($H24&gt;0)*cfgWeightFinal*N($L24))/_xlpm.w,2))))</f>
        <v/>
      </c>
      <c r="N24" s="15">
        <f>IF(OR($B24="",$H24=0),"",$M24)</f>
        <v/>
      </c>
      <c r="O24" s="15">
        <f>IF($B24="","",COUNTIFS(nrES_PID,$B24,nrES_Att,2))</f>
        <v/>
      </c>
      <c r="P24" s="15">
        <f>IF($B24="","",COUNTIFS(nrES_PID,$B24,nrES_Dis,"Yes"))</f>
        <v/>
      </c>
      <c r="Q24" s="15">
        <f>IF($B24="","",IF(AND($E24&gt;=cfgThresholdAfterExam,$I24&lt;&gt;"",$I24&lt;cfgThresholdScore),"Yes","No"))</f>
        <v/>
      </c>
      <c r="R24" s="15">
        <f>IF($B24="","",IF(AND($F24&gt;=cfgThresholdAfterExam,$J24&lt;&gt;"",$J24&lt;cfgThresholdScore),"Yes","No"))</f>
        <v/>
      </c>
      <c r="S24" s="15">
        <f>IF($B24="","",IF($M24="",-1,$M24))</f>
        <v/>
      </c>
      <c r="T24" s="15">
        <f>IF($B24="","",IF(AND($D24="Active",$P24=0,sysSkills!$J24&lt;&gt;"Yes",sysIncidents!$J24=0,$M24&lt;&gt;""),"Yes","No"))</f>
        <v/>
      </c>
      <c r="U24" s="15">
        <f>IF($T24&lt;&gt;"Yes","",SUMPRODUCT(($T$6:$T$55="Yes")*(($S$6:$S$55&gt;$S24)+($S$6:$S$55=$S24)*(ROW($S$6:$S$55)&lt;ROW())))+1)</f>
        <v/>
      </c>
      <c r="V24" s="15">
        <f>IF($B24="","",IF(AND(OR($E24=0,$I24&gt;=cfgThresholdScore),OR($F24=0,$J24&gt;=cfgThresholdScore),OR(N($G24)=0,$K24&gt;=cfgThresholdScore),OR($H24=0,$L24&gt;=cfgThresholdScore)),"Yes","No"))</f>
        <v/>
      </c>
      <c r="W24" s="15">
        <f>IF($B24="","",_xlfn.LET(_xlpm.tot,COUNTIFS(rngEPuse,"Yes",rngEPtype,"Major"),_xlpm.left,_xlpm.tot-$E24,IF(_xlpm.left&lt;=0,"done",MAX(0,ROUND((cfgThresholdScore*_xlpm.tot-N($I24)*$E24)/_xlpm.left,1)))))</f>
        <v/>
      </c>
      <c r="X24" s="15">
        <f>IF($B24="","",_xlfn.LET(_xlpm.tot,COUNTIFS(rngEPuse,"Yes",rngEPtype,"Minor"),_xlpm.left,_xlpm.tot-$F24,IF(_xlpm.left&lt;=0,"done",MAX(0,ROUND((cfgThresholdScore*_xlpm.tot-N($J24)*$F24)/_xlpm.left,1)))))</f>
        <v/>
      </c>
      <c r="Y24" s="15">
        <f>IF($B24="","",IF($H24&gt;0,"done",cfgThresholdScore))</f>
        <v/>
      </c>
      <c r="Z24" s="15">
        <f>IF($B24="","",_xlfn.LET(_xlpm.s,_xlfn.MAXIFS(nrES_Seq,nrES_PID,$B24,nrES_Att,1,nrES_Raw,"&gt;=0"),IF(_xlpm.s=0,"",SUMIFS(nrES_Raw,nrES_PID,$B24,nrES_Att,1,nrES_Seq,_xlpm.s))))</f>
        <v/>
      </c>
      <c r="AA24" s="15">
        <f>IF($B24="","",_xlfn.LET(_xlpm.s,_xlfn.MAXIFS(nrES_Seq,nrES_PID,$B24,nrES_Att,1,nrES_Raw,"&gt;=0"),IF(_xlpm.s=0,"",_xlfn.LET(_xlpm.p,_xlfn.MAXIFS(nrES_Seq,nrES_PID,$B24,nrES_Att,1,nrES_Seq,"&lt;"&amp;_xlpm.s),IF(_xlpm.p=0,"",SUMIFS(nrES_Raw,nrES_PID,$B24,nrES_Att,1,nrES_Seq,_xlpm.p))))))</f>
        <v/>
      </c>
      <c r="AB24" s="15">
        <f>IF(OR($B24="",$Z24="",$AA24=""),"",ROUND($AA24-$Z24,1))</f>
        <v/>
      </c>
      <c r="AC24" s="15">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5">
        <f>IF(Cadets!$B25="","",Cadets!$B25)</f>
        <v/>
      </c>
      <c r="C25" s="15">
        <f>IF($B25="","",Cadets!$F25)</f>
        <v/>
      </c>
      <c r="D25" s="15">
        <f>IF($B25="","",Cadets!$I25)</f>
        <v/>
      </c>
      <c r="E25" s="15">
        <f>IF($B25="","",COUNTIFS(nrES_PID,$B25,nrES_Type,"Major",nrES_Final,"Yes"))</f>
        <v/>
      </c>
      <c r="F25" s="15">
        <f>IF($B25="","",COUNTIFS(nrES_PID,$B25,nrES_Type,"Minor",nrES_Final,"Yes"))</f>
        <v/>
      </c>
      <c r="G25" s="15">
        <f>IF($B25="","",Spelling!Q25)</f>
        <v/>
      </c>
      <c r="H25" s="15">
        <f>IF($B25="","",COUNTIFS(nrES_PID,$B25,nrES_Type,"Final",nrES_Final,"Yes"))</f>
        <v/>
      </c>
      <c r="I25" s="15">
        <f>IF(OR($B25="",$E25=0),"",ROUND(AVERAGEIFS(nrES_Rec,nrES_PID,$B25,nrES_Type,"Major",nrES_Final,"Yes"),2))</f>
        <v/>
      </c>
      <c r="J25" s="15">
        <f>IF(OR($B25="",$F25=0),"",ROUND(AVERAGEIFS(nrES_Rec,nrES_PID,$B25,nrES_Type,"Minor",nrES_Final,"Yes"),2))</f>
        <v/>
      </c>
      <c r="K25" s="15">
        <f>IF($B25="","",Spelling!P25)</f>
        <v/>
      </c>
      <c r="L25" s="15">
        <f>IF(OR($B25="",$H25=0),"",ROUND(AVERAGEIFS(nrES_Rec,nrES_PID,$B25,nrES_Type,"Final",nrES_Final,"Yes"),2))</f>
        <v/>
      </c>
      <c r="M25" s="15">
        <f>IF($B25="","",_xlfn.LET(_xlpm.w,($E25&gt;0)*cfgWeightMajor+($F25&gt;0)*cfgWeightMinor+(N($G25)&gt;0)*cfgWeightSpelling+($H25&gt;0)*cfgWeightFinal,IF(_xlpm.w=0,"",ROUND((($E25&gt;0)*cfgWeightMajor*N($I25)+($F25&gt;0)*cfgWeightMinor*N($J25)+(N($G25)&gt;0)*cfgWeightSpelling*N($K25)+($H25&gt;0)*cfgWeightFinal*N($L25))/_xlpm.w,2))))</f>
        <v/>
      </c>
      <c r="N25" s="15">
        <f>IF(OR($B25="",$H25=0),"",$M25)</f>
        <v/>
      </c>
      <c r="O25" s="15">
        <f>IF($B25="","",COUNTIFS(nrES_PID,$B25,nrES_Att,2))</f>
        <v/>
      </c>
      <c r="P25" s="15">
        <f>IF($B25="","",COUNTIFS(nrES_PID,$B25,nrES_Dis,"Yes"))</f>
        <v/>
      </c>
      <c r="Q25" s="15">
        <f>IF($B25="","",IF(AND($E25&gt;=cfgThresholdAfterExam,$I25&lt;&gt;"",$I25&lt;cfgThresholdScore),"Yes","No"))</f>
        <v/>
      </c>
      <c r="R25" s="15">
        <f>IF($B25="","",IF(AND($F25&gt;=cfgThresholdAfterExam,$J25&lt;&gt;"",$J25&lt;cfgThresholdScore),"Yes","No"))</f>
        <v/>
      </c>
      <c r="S25" s="15">
        <f>IF($B25="","",IF($M25="",-1,$M25))</f>
        <v/>
      </c>
      <c r="T25" s="15">
        <f>IF($B25="","",IF(AND($D25="Active",$P25=0,sysSkills!$J25&lt;&gt;"Yes",sysIncidents!$J25=0,$M25&lt;&gt;""),"Yes","No"))</f>
        <v/>
      </c>
      <c r="U25" s="15">
        <f>IF($T25&lt;&gt;"Yes","",SUMPRODUCT(($T$6:$T$55="Yes")*(($S$6:$S$55&gt;$S25)+($S$6:$S$55=$S25)*(ROW($S$6:$S$55)&lt;ROW())))+1)</f>
        <v/>
      </c>
      <c r="V25" s="15">
        <f>IF($B25="","",IF(AND(OR($E25=0,$I25&gt;=cfgThresholdScore),OR($F25=0,$J25&gt;=cfgThresholdScore),OR(N($G25)=0,$K25&gt;=cfgThresholdScore),OR($H25=0,$L25&gt;=cfgThresholdScore)),"Yes","No"))</f>
        <v/>
      </c>
      <c r="W25" s="15">
        <f>IF($B25="","",_xlfn.LET(_xlpm.tot,COUNTIFS(rngEPuse,"Yes",rngEPtype,"Major"),_xlpm.left,_xlpm.tot-$E25,IF(_xlpm.left&lt;=0,"done",MAX(0,ROUND((cfgThresholdScore*_xlpm.tot-N($I25)*$E25)/_xlpm.left,1)))))</f>
        <v/>
      </c>
      <c r="X25" s="15">
        <f>IF($B25="","",_xlfn.LET(_xlpm.tot,COUNTIFS(rngEPuse,"Yes",rngEPtype,"Minor"),_xlpm.left,_xlpm.tot-$F25,IF(_xlpm.left&lt;=0,"done",MAX(0,ROUND((cfgThresholdScore*_xlpm.tot-N($J25)*$F25)/_xlpm.left,1)))))</f>
        <v/>
      </c>
      <c r="Y25" s="15">
        <f>IF($B25="","",IF($H25&gt;0,"done",cfgThresholdScore))</f>
        <v/>
      </c>
      <c r="Z25" s="15">
        <f>IF($B25="","",_xlfn.LET(_xlpm.s,_xlfn.MAXIFS(nrES_Seq,nrES_PID,$B25,nrES_Att,1,nrES_Raw,"&gt;=0"),IF(_xlpm.s=0,"",SUMIFS(nrES_Raw,nrES_PID,$B25,nrES_Att,1,nrES_Seq,_xlpm.s))))</f>
        <v/>
      </c>
      <c r="AA25" s="15">
        <f>IF($B25="","",_xlfn.LET(_xlpm.s,_xlfn.MAXIFS(nrES_Seq,nrES_PID,$B25,nrES_Att,1,nrES_Raw,"&gt;=0"),IF(_xlpm.s=0,"",_xlfn.LET(_xlpm.p,_xlfn.MAXIFS(nrES_Seq,nrES_PID,$B25,nrES_Att,1,nrES_Seq,"&lt;"&amp;_xlpm.s),IF(_xlpm.p=0,"",SUMIFS(nrES_Raw,nrES_PID,$B25,nrES_Att,1,nrES_Seq,_xlpm.p))))))</f>
        <v/>
      </c>
      <c r="AB25" s="15">
        <f>IF(OR($B25="",$Z25="",$AA25=""),"",ROUND($AA25-$Z25,1))</f>
        <v/>
      </c>
      <c r="AC25" s="15">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5">
        <f>IF(Cadets!$B26="","",Cadets!$B26)</f>
        <v/>
      </c>
      <c r="C26" s="15">
        <f>IF($B26="","",Cadets!$F26)</f>
        <v/>
      </c>
      <c r="D26" s="15">
        <f>IF($B26="","",Cadets!$I26)</f>
        <v/>
      </c>
      <c r="E26" s="15">
        <f>IF($B26="","",COUNTIFS(nrES_PID,$B26,nrES_Type,"Major",nrES_Final,"Yes"))</f>
        <v/>
      </c>
      <c r="F26" s="15">
        <f>IF($B26="","",COUNTIFS(nrES_PID,$B26,nrES_Type,"Minor",nrES_Final,"Yes"))</f>
        <v/>
      </c>
      <c r="G26" s="15">
        <f>IF($B26="","",Spelling!Q26)</f>
        <v/>
      </c>
      <c r="H26" s="15">
        <f>IF($B26="","",COUNTIFS(nrES_PID,$B26,nrES_Type,"Final",nrES_Final,"Yes"))</f>
        <v/>
      </c>
      <c r="I26" s="15">
        <f>IF(OR($B26="",$E26=0),"",ROUND(AVERAGEIFS(nrES_Rec,nrES_PID,$B26,nrES_Type,"Major",nrES_Final,"Yes"),2))</f>
        <v/>
      </c>
      <c r="J26" s="15">
        <f>IF(OR($B26="",$F26=0),"",ROUND(AVERAGEIFS(nrES_Rec,nrES_PID,$B26,nrES_Type,"Minor",nrES_Final,"Yes"),2))</f>
        <v/>
      </c>
      <c r="K26" s="15">
        <f>IF($B26="","",Spelling!P26)</f>
        <v/>
      </c>
      <c r="L26" s="15">
        <f>IF(OR($B26="",$H26=0),"",ROUND(AVERAGEIFS(nrES_Rec,nrES_PID,$B26,nrES_Type,"Final",nrES_Final,"Yes"),2))</f>
        <v/>
      </c>
      <c r="M26" s="15">
        <f>IF($B26="","",_xlfn.LET(_xlpm.w,($E26&gt;0)*cfgWeightMajor+($F26&gt;0)*cfgWeightMinor+(N($G26)&gt;0)*cfgWeightSpelling+($H26&gt;0)*cfgWeightFinal,IF(_xlpm.w=0,"",ROUND((($E26&gt;0)*cfgWeightMajor*N($I26)+($F26&gt;0)*cfgWeightMinor*N($J26)+(N($G26)&gt;0)*cfgWeightSpelling*N($K26)+($H26&gt;0)*cfgWeightFinal*N($L26))/_xlpm.w,2))))</f>
        <v/>
      </c>
      <c r="N26" s="15">
        <f>IF(OR($B26="",$H26=0),"",$M26)</f>
        <v/>
      </c>
      <c r="O26" s="15">
        <f>IF($B26="","",COUNTIFS(nrES_PID,$B26,nrES_Att,2))</f>
        <v/>
      </c>
      <c r="P26" s="15">
        <f>IF($B26="","",COUNTIFS(nrES_PID,$B26,nrES_Dis,"Yes"))</f>
        <v/>
      </c>
      <c r="Q26" s="15">
        <f>IF($B26="","",IF(AND($E26&gt;=cfgThresholdAfterExam,$I26&lt;&gt;"",$I26&lt;cfgThresholdScore),"Yes","No"))</f>
        <v/>
      </c>
      <c r="R26" s="15">
        <f>IF($B26="","",IF(AND($F26&gt;=cfgThresholdAfterExam,$J26&lt;&gt;"",$J26&lt;cfgThresholdScore),"Yes","No"))</f>
        <v/>
      </c>
      <c r="S26" s="15">
        <f>IF($B26="","",IF($M26="",-1,$M26))</f>
        <v/>
      </c>
      <c r="T26" s="15">
        <f>IF($B26="","",IF(AND($D26="Active",$P26=0,sysSkills!$J26&lt;&gt;"Yes",sysIncidents!$J26=0,$M26&lt;&gt;""),"Yes","No"))</f>
        <v/>
      </c>
      <c r="U26" s="15">
        <f>IF($T26&lt;&gt;"Yes","",SUMPRODUCT(($T$6:$T$55="Yes")*(($S$6:$S$55&gt;$S26)+($S$6:$S$55=$S26)*(ROW($S$6:$S$55)&lt;ROW())))+1)</f>
        <v/>
      </c>
      <c r="V26" s="15">
        <f>IF($B26="","",IF(AND(OR($E26=0,$I26&gt;=cfgThresholdScore),OR($F26=0,$J26&gt;=cfgThresholdScore),OR(N($G26)=0,$K26&gt;=cfgThresholdScore),OR($H26=0,$L26&gt;=cfgThresholdScore)),"Yes","No"))</f>
        <v/>
      </c>
      <c r="W26" s="15">
        <f>IF($B26="","",_xlfn.LET(_xlpm.tot,COUNTIFS(rngEPuse,"Yes",rngEPtype,"Major"),_xlpm.left,_xlpm.tot-$E26,IF(_xlpm.left&lt;=0,"done",MAX(0,ROUND((cfgThresholdScore*_xlpm.tot-N($I26)*$E26)/_xlpm.left,1)))))</f>
        <v/>
      </c>
      <c r="X26" s="15">
        <f>IF($B26="","",_xlfn.LET(_xlpm.tot,COUNTIFS(rngEPuse,"Yes",rngEPtype,"Minor"),_xlpm.left,_xlpm.tot-$F26,IF(_xlpm.left&lt;=0,"done",MAX(0,ROUND((cfgThresholdScore*_xlpm.tot-N($J26)*$F26)/_xlpm.left,1)))))</f>
        <v/>
      </c>
      <c r="Y26" s="15">
        <f>IF($B26="","",IF($H26&gt;0,"done",cfgThresholdScore))</f>
        <v/>
      </c>
      <c r="Z26" s="15">
        <f>IF($B26="","",_xlfn.LET(_xlpm.s,_xlfn.MAXIFS(nrES_Seq,nrES_PID,$B26,nrES_Att,1,nrES_Raw,"&gt;=0"),IF(_xlpm.s=0,"",SUMIFS(nrES_Raw,nrES_PID,$B26,nrES_Att,1,nrES_Seq,_xlpm.s))))</f>
        <v/>
      </c>
      <c r="AA26" s="15">
        <f>IF($B26="","",_xlfn.LET(_xlpm.s,_xlfn.MAXIFS(nrES_Seq,nrES_PID,$B26,nrES_Att,1,nrES_Raw,"&gt;=0"),IF(_xlpm.s=0,"",_xlfn.LET(_xlpm.p,_xlfn.MAXIFS(nrES_Seq,nrES_PID,$B26,nrES_Att,1,nrES_Seq,"&lt;"&amp;_xlpm.s),IF(_xlpm.p=0,"",SUMIFS(nrES_Raw,nrES_PID,$B26,nrES_Att,1,nrES_Seq,_xlpm.p))))))</f>
        <v/>
      </c>
      <c r="AB26" s="15">
        <f>IF(OR($B26="",$Z26="",$AA26=""),"",ROUND($AA26-$Z26,1))</f>
        <v/>
      </c>
      <c r="AC26" s="15">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5">
        <f>IF(Cadets!$B27="","",Cadets!$B27)</f>
        <v/>
      </c>
      <c r="C27" s="15">
        <f>IF($B27="","",Cadets!$F27)</f>
        <v/>
      </c>
      <c r="D27" s="15">
        <f>IF($B27="","",Cadets!$I27)</f>
        <v/>
      </c>
      <c r="E27" s="15">
        <f>IF($B27="","",COUNTIFS(nrES_PID,$B27,nrES_Type,"Major",nrES_Final,"Yes"))</f>
        <v/>
      </c>
      <c r="F27" s="15">
        <f>IF($B27="","",COUNTIFS(nrES_PID,$B27,nrES_Type,"Minor",nrES_Final,"Yes"))</f>
        <v/>
      </c>
      <c r="G27" s="15">
        <f>IF($B27="","",Spelling!Q27)</f>
        <v/>
      </c>
      <c r="H27" s="15">
        <f>IF($B27="","",COUNTIFS(nrES_PID,$B27,nrES_Type,"Final",nrES_Final,"Yes"))</f>
        <v/>
      </c>
      <c r="I27" s="15">
        <f>IF(OR($B27="",$E27=0),"",ROUND(AVERAGEIFS(nrES_Rec,nrES_PID,$B27,nrES_Type,"Major",nrES_Final,"Yes"),2))</f>
        <v/>
      </c>
      <c r="J27" s="15">
        <f>IF(OR($B27="",$F27=0),"",ROUND(AVERAGEIFS(nrES_Rec,nrES_PID,$B27,nrES_Type,"Minor",nrES_Final,"Yes"),2))</f>
        <v/>
      </c>
      <c r="K27" s="15">
        <f>IF($B27="","",Spelling!P27)</f>
        <v/>
      </c>
      <c r="L27" s="15">
        <f>IF(OR($B27="",$H27=0),"",ROUND(AVERAGEIFS(nrES_Rec,nrES_PID,$B27,nrES_Type,"Final",nrES_Final,"Yes"),2))</f>
        <v/>
      </c>
      <c r="M27" s="15">
        <f>IF($B27="","",_xlfn.LET(_xlpm.w,($E27&gt;0)*cfgWeightMajor+($F27&gt;0)*cfgWeightMinor+(N($G27)&gt;0)*cfgWeightSpelling+($H27&gt;0)*cfgWeightFinal,IF(_xlpm.w=0,"",ROUND((($E27&gt;0)*cfgWeightMajor*N($I27)+($F27&gt;0)*cfgWeightMinor*N($J27)+(N($G27)&gt;0)*cfgWeightSpelling*N($K27)+($H27&gt;0)*cfgWeightFinal*N($L27))/_xlpm.w,2))))</f>
        <v/>
      </c>
      <c r="N27" s="15">
        <f>IF(OR($B27="",$H27=0),"",$M27)</f>
        <v/>
      </c>
      <c r="O27" s="15">
        <f>IF($B27="","",COUNTIFS(nrES_PID,$B27,nrES_Att,2))</f>
        <v/>
      </c>
      <c r="P27" s="15">
        <f>IF($B27="","",COUNTIFS(nrES_PID,$B27,nrES_Dis,"Yes"))</f>
        <v/>
      </c>
      <c r="Q27" s="15">
        <f>IF($B27="","",IF(AND($E27&gt;=cfgThresholdAfterExam,$I27&lt;&gt;"",$I27&lt;cfgThresholdScore),"Yes","No"))</f>
        <v/>
      </c>
      <c r="R27" s="15">
        <f>IF($B27="","",IF(AND($F27&gt;=cfgThresholdAfterExam,$J27&lt;&gt;"",$J27&lt;cfgThresholdScore),"Yes","No"))</f>
        <v/>
      </c>
      <c r="S27" s="15">
        <f>IF($B27="","",IF($M27="",-1,$M27))</f>
        <v/>
      </c>
      <c r="T27" s="15">
        <f>IF($B27="","",IF(AND($D27="Active",$P27=0,sysSkills!$J27&lt;&gt;"Yes",sysIncidents!$J27=0,$M27&lt;&gt;""),"Yes","No"))</f>
        <v/>
      </c>
      <c r="U27" s="15">
        <f>IF($T27&lt;&gt;"Yes","",SUMPRODUCT(($T$6:$T$55="Yes")*(($S$6:$S$55&gt;$S27)+($S$6:$S$55=$S27)*(ROW($S$6:$S$55)&lt;ROW())))+1)</f>
        <v/>
      </c>
      <c r="V27" s="15">
        <f>IF($B27="","",IF(AND(OR($E27=0,$I27&gt;=cfgThresholdScore),OR($F27=0,$J27&gt;=cfgThresholdScore),OR(N($G27)=0,$K27&gt;=cfgThresholdScore),OR($H27=0,$L27&gt;=cfgThresholdScore)),"Yes","No"))</f>
        <v/>
      </c>
      <c r="W27" s="15">
        <f>IF($B27="","",_xlfn.LET(_xlpm.tot,COUNTIFS(rngEPuse,"Yes",rngEPtype,"Major"),_xlpm.left,_xlpm.tot-$E27,IF(_xlpm.left&lt;=0,"done",MAX(0,ROUND((cfgThresholdScore*_xlpm.tot-N($I27)*$E27)/_xlpm.left,1)))))</f>
        <v/>
      </c>
      <c r="X27" s="15">
        <f>IF($B27="","",_xlfn.LET(_xlpm.tot,COUNTIFS(rngEPuse,"Yes",rngEPtype,"Minor"),_xlpm.left,_xlpm.tot-$F27,IF(_xlpm.left&lt;=0,"done",MAX(0,ROUND((cfgThresholdScore*_xlpm.tot-N($J27)*$F27)/_xlpm.left,1)))))</f>
        <v/>
      </c>
      <c r="Y27" s="15">
        <f>IF($B27="","",IF($H27&gt;0,"done",cfgThresholdScore))</f>
        <v/>
      </c>
      <c r="Z27" s="15">
        <f>IF($B27="","",_xlfn.LET(_xlpm.s,_xlfn.MAXIFS(nrES_Seq,nrES_PID,$B27,nrES_Att,1,nrES_Raw,"&gt;=0"),IF(_xlpm.s=0,"",SUMIFS(nrES_Raw,nrES_PID,$B27,nrES_Att,1,nrES_Seq,_xlpm.s))))</f>
        <v/>
      </c>
      <c r="AA27" s="15">
        <f>IF($B27="","",_xlfn.LET(_xlpm.s,_xlfn.MAXIFS(nrES_Seq,nrES_PID,$B27,nrES_Att,1,nrES_Raw,"&gt;=0"),IF(_xlpm.s=0,"",_xlfn.LET(_xlpm.p,_xlfn.MAXIFS(nrES_Seq,nrES_PID,$B27,nrES_Att,1,nrES_Seq,"&lt;"&amp;_xlpm.s),IF(_xlpm.p=0,"",SUMIFS(nrES_Raw,nrES_PID,$B27,nrES_Att,1,nrES_Seq,_xlpm.p))))))</f>
        <v/>
      </c>
      <c r="AB27" s="15">
        <f>IF(OR($B27="",$Z27="",$AA27=""),"",ROUND($AA27-$Z27,1))</f>
        <v/>
      </c>
      <c r="AC27" s="15">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5">
        <f>IF(Cadets!$B28="","",Cadets!$B28)</f>
        <v/>
      </c>
      <c r="C28" s="15">
        <f>IF($B28="","",Cadets!$F28)</f>
        <v/>
      </c>
      <c r="D28" s="15">
        <f>IF($B28="","",Cadets!$I28)</f>
        <v/>
      </c>
      <c r="E28" s="15">
        <f>IF($B28="","",COUNTIFS(nrES_PID,$B28,nrES_Type,"Major",nrES_Final,"Yes"))</f>
        <v/>
      </c>
      <c r="F28" s="15">
        <f>IF($B28="","",COUNTIFS(nrES_PID,$B28,nrES_Type,"Minor",nrES_Final,"Yes"))</f>
        <v/>
      </c>
      <c r="G28" s="15">
        <f>IF($B28="","",Spelling!Q28)</f>
        <v/>
      </c>
      <c r="H28" s="15">
        <f>IF($B28="","",COUNTIFS(nrES_PID,$B28,nrES_Type,"Final",nrES_Final,"Yes"))</f>
        <v/>
      </c>
      <c r="I28" s="15">
        <f>IF(OR($B28="",$E28=0),"",ROUND(AVERAGEIFS(nrES_Rec,nrES_PID,$B28,nrES_Type,"Major",nrES_Final,"Yes"),2))</f>
        <v/>
      </c>
      <c r="J28" s="15">
        <f>IF(OR($B28="",$F28=0),"",ROUND(AVERAGEIFS(nrES_Rec,nrES_PID,$B28,nrES_Type,"Minor",nrES_Final,"Yes"),2))</f>
        <v/>
      </c>
      <c r="K28" s="15">
        <f>IF($B28="","",Spelling!P28)</f>
        <v/>
      </c>
      <c r="L28" s="15">
        <f>IF(OR($B28="",$H28=0),"",ROUND(AVERAGEIFS(nrES_Rec,nrES_PID,$B28,nrES_Type,"Final",nrES_Final,"Yes"),2))</f>
        <v/>
      </c>
      <c r="M28" s="15">
        <f>IF($B28="","",_xlfn.LET(_xlpm.w,($E28&gt;0)*cfgWeightMajor+($F28&gt;0)*cfgWeightMinor+(N($G28)&gt;0)*cfgWeightSpelling+($H28&gt;0)*cfgWeightFinal,IF(_xlpm.w=0,"",ROUND((($E28&gt;0)*cfgWeightMajor*N($I28)+($F28&gt;0)*cfgWeightMinor*N($J28)+(N($G28)&gt;0)*cfgWeightSpelling*N($K28)+($H28&gt;0)*cfgWeightFinal*N($L28))/_xlpm.w,2))))</f>
        <v/>
      </c>
      <c r="N28" s="15">
        <f>IF(OR($B28="",$H28=0),"",$M28)</f>
        <v/>
      </c>
      <c r="O28" s="15">
        <f>IF($B28="","",COUNTIFS(nrES_PID,$B28,nrES_Att,2))</f>
        <v/>
      </c>
      <c r="P28" s="15">
        <f>IF($B28="","",COUNTIFS(nrES_PID,$B28,nrES_Dis,"Yes"))</f>
        <v/>
      </c>
      <c r="Q28" s="15">
        <f>IF($B28="","",IF(AND($E28&gt;=cfgThresholdAfterExam,$I28&lt;&gt;"",$I28&lt;cfgThresholdScore),"Yes","No"))</f>
        <v/>
      </c>
      <c r="R28" s="15">
        <f>IF($B28="","",IF(AND($F28&gt;=cfgThresholdAfterExam,$J28&lt;&gt;"",$J28&lt;cfgThresholdScore),"Yes","No"))</f>
        <v/>
      </c>
      <c r="S28" s="15">
        <f>IF($B28="","",IF($M28="",-1,$M28))</f>
        <v/>
      </c>
      <c r="T28" s="15">
        <f>IF($B28="","",IF(AND($D28="Active",$P28=0,sysSkills!$J28&lt;&gt;"Yes",sysIncidents!$J28=0,$M28&lt;&gt;""),"Yes","No"))</f>
        <v/>
      </c>
      <c r="U28" s="15">
        <f>IF($T28&lt;&gt;"Yes","",SUMPRODUCT(($T$6:$T$55="Yes")*(($S$6:$S$55&gt;$S28)+($S$6:$S$55=$S28)*(ROW($S$6:$S$55)&lt;ROW())))+1)</f>
        <v/>
      </c>
      <c r="V28" s="15">
        <f>IF($B28="","",IF(AND(OR($E28=0,$I28&gt;=cfgThresholdScore),OR($F28=0,$J28&gt;=cfgThresholdScore),OR(N($G28)=0,$K28&gt;=cfgThresholdScore),OR($H28=0,$L28&gt;=cfgThresholdScore)),"Yes","No"))</f>
        <v/>
      </c>
      <c r="W28" s="15">
        <f>IF($B28="","",_xlfn.LET(_xlpm.tot,COUNTIFS(rngEPuse,"Yes",rngEPtype,"Major"),_xlpm.left,_xlpm.tot-$E28,IF(_xlpm.left&lt;=0,"done",MAX(0,ROUND((cfgThresholdScore*_xlpm.tot-N($I28)*$E28)/_xlpm.left,1)))))</f>
        <v/>
      </c>
      <c r="X28" s="15">
        <f>IF($B28="","",_xlfn.LET(_xlpm.tot,COUNTIFS(rngEPuse,"Yes",rngEPtype,"Minor"),_xlpm.left,_xlpm.tot-$F28,IF(_xlpm.left&lt;=0,"done",MAX(0,ROUND((cfgThresholdScore*_xlpm.tot-N($J28)*$F28)/_xlpm.left,1)))))</f>
        <v/>
      </c>
      <c r="Y28" s="15">
        <f>IF($B28="","",IF($H28&gt;0,"done",cfgThresholdScore))</f>
        <v/>
      </c>
      <c r="Z28" s="15">
        <f>IF($B28="","",_xlfn.LET(_xlpm.s,_xlfn.MAXIFS(nrES_Seq,nrES_PID,$B28,nrES_Att,1,nrES_Raw,"&gt;=0"),IF(_xlpm.s=0,"",SUMIFS(nrES_Raw,nrES_PID,$B28,nrES_Att,1,nrES_Seq,_xlpm.s))))</f>
        <v/>
      </c>
      <c r="AA28" s="15">
        <f>IF($B28="","",_xlfn.LET(_xlpm.s,_xlfn.MAXIFS(nrES_Seq,nrES_PID,$B28,nrES_Att,1,nrES_Raw,"&gt;=0"),IF(_xlpm.s=0,"",_xlfn.LET(_xlpm.p,_xlfn.MAXIFS(nrES_Seq,nrES_PID,$B28,nrES_Att,1,nrES_Seq,"&lt;"&amp;_xlpm.s),IF(_xlpm.p=0,"",SUMIFS(nrES_Raw,nrES_PID,$B28,nrES_Att,1,nrES_Seq,_xlpm.p))))))</f>
        <v/>
      </c>
      <c r="AB28" s="15">
        <f>IF(OR($B28="",$Z28="",$AA28=""),"",ROUND($AA28-$Z28,1))</f>
        <v/>
      </c>
      <c r="AC28" s="15">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5">
        <f>IF(Cadets!$B29="","",Cadets!$B29)</f>
        <v/>
      </c>
      <c r="C29" s="15">
        <f>IF($B29="","",Cadets!$F29)</f>
        <v/>
      </c>
      <c r="D29" s="15">
        <f>IF($B29="","",Cadets!$I29)</f>
        <v/>
      </c>
      <c r="E29" s="15">
        <f>IF($B29="","",COUNTIFS(nrES_PID,$B29,nrES_Type,"Major",nrES_Final,"Yes"))</f>
        <v/>
      </c>
      <c r="F29" s="15">
        <f>IF($B29="","",COUNTIFS(nrES_PID,$B29,nrES_Type,"Minor",nrES_Final,"Yes"))</f>
        <v/>
      </c>
      <c r="G29" s="15">
        <f>IF($B29="","",Spelling!Q29)</f>
        <v/>
      </c>
      <c r="H29" s="15">
        <f>IF($B29="","",COUNTIFS(nrES_PID,$B29,nrES_Type,"Final",nrES_Final,"Yes"))</f>
        <v/>
      </c>
      <c r="I29" s="15">
        <f>IF(OR($B29="",$E29=0),"",ROUND(AVERAGEIFS(nrES_Rec,nrES_PID,$B29,nrES_Type,"Major",nrES_Final,"Yes"),2))</f>
        <v/>
      </c>
      <c r="J29" s="15">
        <f>IF(OR($B29="",$F29=0),"",ROUND(AVERAGEIFS(nrES_Rec,nrES_PID,$B29,nrES_Type,"Minor",nrES_Final,"Yes"),2))</f>
        <v/>
      </c>
      <c r="K29" s="15">
        <f>IF($B29="","",Spelling!P29)</f>
        <v/>
      </c>
      <c r="L29" s="15">
        <f>IF(OR($B29="",$H29=0),"",ROUND(AVERAGEIFS(nrES_Rec,nrES_PID,$B29,nrES_Type,"Final",nrES_Final,"Yes"),2))</f>
        <v/>
      </c>
      <c r="M29" s="15">
        <f>IF($B29="","",_xlfn.LET(_xlpm.w,($E29&gt;0)*cfgWeightMajor+($F29&gt;0)*cfgWeightMinor+(N($G29)&gt;0)*cfgWeightSpelling+($H29&gt;0)*cfgWeightFinal,IF(_xlpm.w=0,"",ROUND((($E29&gt;0)*cfgWeightMajor*N($I29)+($F29&gt;0)*cfgWeightMinor*N($J29)+(N($G29)&gt;0)*cfgWeightSpelling*N($K29)+($H29&gt;0)*cfgWeightFinal*N($L29))/_xlpm.w,2))))</f>
        <v/>
      </c>
      <c r="N29" s="15">
        <f>IF(OR($B29="",$H29=0),"",$M29)</f>
        <v/>
      </c>
      <c r="O29" s="15">
        <f>IF($B29="","",COUNTIFS(nrES_PID,$B29,nrES_Att,2))</f>
        <v/>
      </c>
      <c r="P29" s="15">
        <f>IF($B29="","",COUNTIFS(nrES_PID,$B29,nrES_Dis,"Yes"))</f>
        <v/>
      </c>
      <c r="Q29" s="15">
        <f>IF($B29="","",IF(AND($E29&gt;=cfgThresholdAfterExam,$I29&lt;&gt;"",$I29&lt;cfgThresholdScore),"Yes","No"))</f>
        <v/>
      </c>
      <c r="R29" s="15">
        <f>IF($B29="","",IF(AND($F29&gt;=cfgThresholdAfterExam,$J29&lt;&gt;"",$J29&lt;cfgThresholdScore),"Yes","No"))</f>
        <v/>
      </c>
      <c r="S29" s="15">
        <f>IF($B29="","",IF($M29="",-1,$M29))</f>
        <v/>
      </c>
      <c r="T29" s="15">
        <f>IF($B29="","",IF(AND($D29="Active",$P29=0,sysSkills!$J29&lt;&gt;"Yes",sysIncidents!$J29=0,$M29&lt;&gt;""),"Yes","No"))</f>
        <v/>
      </c>
      <c r="U29" s="15">
        <f>IF($T29&lt;&gt;"Yes","",SUMPRODUCT(($T$6:$T$55="Yes")*(($S$6:$S$55&gt;$S29)+($S$6:$S$55=$S29)*(ROW($S$6:$S$55)&lt;ROW())))+1)</f>
        <v/>
      </c>
      <c r="V29" s="15">
        <f>IF($B29="","",IF(AND(OR($E29=0,$I29&gt;=cfgThresholdScore),OR($F29=0,$J29&gt;=cfgThresholdScore),OR(N($G29)=0,$K29&gt;=cfgThresholdScore),OR($H29=0,$L29&gt;=cfgThresholdScore)),"Yes","No"))</f>
        <v/>
      </c>
      <c r="W29" s="15">
        <f>IF($B29="","",_xlfn.LET(_xlpm.tot,COUNTIFS(rngEPuse,"Yes",rngEPtype,"Major"),_xlpm.left,_xlpm.tot-$E29,IF(_xlpm.left&lt;=0,"done",MAX(0,ROUND((cfgThresholdScore*_xlpm.tot-N($I29)*$E29)/_xlpm.left,1)))))</f>
        <v/>
      </c>
      <c r="X29" s="15">
        <f>IF($B29="","",_xlfn.LET(_xlpm.tot,COUNTIFS(rngEPuse,"Yes",rngEPtype,"Minor"),_xlpm.left,_xlpm.tot-$F29,IF(_xlpm.left&lt;=0,"done",MAX(0,ROUND((cfgThresholdScore*_xlpm.tot-N($J29)*$F29)/_xlpm.left,1)))))</f>
        <v/>
      </c>
      <c r="Y29" s="15">
        <f>IF($B29="","",IF($H29&gt;0,"done",cfgThresholdScore))</f>
        <v/>
      </c>
      <c r="Z29" s="15">
        <f>IF($B29="","",_xlfn.LET(_xlpm.s,_xlfn.MAXIFS(nrES_Seq,nrES_PID,$B29,nrES_Att,1,nrES_Raw,"&gt;=0"),IF(_xlpm.s=0,"",SUMIFS(nrES_Raw,nrES_PID,$B29,nrES_Att,1,nrES_Seq,_xlpm.s))))</f>
        <v/>
      </c>
      <c r="AA29" s="15">
        <f>IF($B29="","",_xlfn.LET(_xlpm.s,_xlfn.MAXIFS(nrES_Seq,nrES_PID,$B29,nrES_Att,1,nrES_Raw,"&gt;=0"),IF(_xlpm.s=0,"",_xlfn.LET(_xlpm.p,_xlfn.MAXIFS(nrES_Seq,nrES_PID,$B29,nrES_Att,1,nrES_Seq,"&lt;"&amp;_xlpm.s),IF(_xlpm.p=0,"",SUMIFS(nrES_Raw,nrES_PID,$B29,nrES_Att,1,nrES_Seq,_xlpm.p))))))</f>
        <v/>
      </c>
      <c r="AB29" s="15">
        <f>IF(OR($B29="",$Z29="",$AA29=""),"",ROUND($AA29-$Z29,1))</f>
        <v/>
      </c>
      <c r="AC29" s="15">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5">
        <f>IF(Cadets!$B30="","",Cadets!$B30)</f>
        <v/>
      </c>
      <c r="C30" s="15">
        <f>IF($B30="","",Cadets!$F30)</f>
        <v/>
      </c>
      <c r="D30" s="15">
        <f>IF($B30="","",Cadets!$I30)</f>
        <v/>
      </c>
      <c r="E30" s="15">
        <f>IF($B30="","",COUNTIFS(nrES_PID,$B30,nrES_Type,"Major",nrES_Final,"Yes"))</f>
        <v/>
      </c>
      <c r="F30" s="15">
        <f>IF($B30="","",COUNTIFS(nrES_PID,$B30,nrES_Type,"Minor",nrES_Final,"Yes"))</f>
        <v/>
      </c>
      <c r="G30" s="15">
        <f>IF($B30="","",Spelling!Q30)</f>
        <v/>
      </c>
      <c r="H30" s="15">
        <f>IF($B30="","",COUNTIFS(nrES_PID,$B30,nrES_Type,"Final",nrES_Final,"Yes"))</f>
        <v/>
      </c>
      <c r="I30" s="15">
        <f>IF(OR($B30="",$E30=0),"",ROUND(AVERAGEIFS(nrES_Rec,nrES_PID,$B30,nrES_Type,"Major",nrES_Final,"Yes"),2))</f>
        <v/>
      </c>
      <c r="J30" s="15">
        <f>IF(OR($B30="",$F30=0),"",ROUND(AVERAGEIFS(nrES_Rec,nrES_PID,$B30,nrES_Type,"Minor",nrES_Final,"Yes"),2))</f>
        <v/>
      </c>
      <c r="K30" s="15">
        <f>IF($B30="","",Spelling!P30)</f>
        <v/>
      </c>
      <c r="L30" s="15">
        <f>IF(OR($B30="",$H30=0),"",ROUND(AVERAGEIFS(nrES_Rec,nrES_PID,$B30,nrES_Type,"Final",nrES_Final,"Yes"),2))</f>
        <v/>
      </c>
      <c r="M30" s="15">
        <f>IF($B30="","",_xlfn.LET(_xlpm.w,($E30&gt;0)*cfgWeightMajor+($F30&gt;0)*cfgWeightMinor+(N($G30)&gt;0)*cfgWeightSpelling+($H30&gt;0)*cfgWeightFinal,IF(_xlpm.w=0,"",ROUND((($E30&gt;0)*cfgWeightMajor*N($I30)+($F30&gt;0)*cfgWeightMinor*N($J30)+(N($G30)&gt;0)*cfgWeightSpelling*N($K30)+($H30&gt;0)*cfgWeightFinal*N($L30))/_xlpm.w,2))))</f>
        <v/>
      </c>
      <c r="N30" s="15">
        <f>IF(OR($B30="",$H30=0),"",$M30)</f>
        <v/>
      </c>
      <c r="O30" s="15">
        <f>IF($B30="","",COUNTIFS(nrES_PID,$B30,nrES_Att,2))</f>
        <v/>
      </c>
      <c r="P30" s="15">
        <f>IF($B30="","",COUNTIFS(nrES_PID,$B30,nrES_Dis,"Yes"))</f>
        <v/>
      </c>
      <c r="Q30" s="15">
        <f>IF($B30="","",IF(AND($E30&gt;=cfgThresholdAfterExam,$I30&lt;&gt;"",$I30&lt;cfgThresholdScore),"Yes","No"))</f>
        <v/>
      </c>
      <c r="R30" s="15">
        <f>IF($B30="","",IF(AND($F30&gt;=cfgThresholdAfterExam,$J30&lt;&gt;"",$J30&lt;cfgThresholdScore),"Yes","No"))</f>
        <v/>
      </c>
      <c r="S30" s="15">
        <f>IF($B30="","",IF($M30="",-1,$M30))</f>
        <v/>
      </c>
      <c r="T30" s="15">
        <f>IF($B30="","",IF(AND($D30="Active",$P30=0,sysSkills!$J30&lt;&gt;"Yes",sysIncidents!$J30=0,$M30&lt;&gt;""),"Yes","No"))</f>
        <v/>
      </c>
      <c r="U30" s="15">
        <f>IF($T30&lt;&gt;"Yes","",SUMPRODUCT(($T$6:$T$55="Yes")*(($S$6:$S$55&gt;$S30)+($S$6:$S$55=$S30)*(ROW($S$6:$S$55)&lt;ROW())))+1)</f>
        <v/>
      </c>
      <c r="V30" s="15">
        <f>IF($B30="","",IF(AND(OR($E30=0,$I30&gt;=cfgThresholdScore),OR($F30=0,$J30&gt;=cfgThresholdScore),OR(N($G30)=0,$K30&gt;=cfgThresholdScore),OR($H30=0,$L30&gt;=cfgThresholdScore)),"Yes","No"))</f>
        <v/>
      </c>
      <c r="W30" s="15">
        <f>IF($B30="","",_xlfn.LET(_xlpm.tot,COUNTIFS(rngEPuse,"Yes",rngEPtype,"Major"),_xlpm.left,_xlpm.tot-$E30,IF(_xlpm.left&lt;=0,"done",MAX(0,ROUND((cfgThresholdScore*_xlpm.tot-N($I30)*$E30)/_xlpm.left,1)))))</f>
        <v/>
      </c>
      <c r="X30" s="15">
        <f>IF($B30="","",_xlfn.LET(_xlpm.tot,COUNTIFS(rngEPuse,"Yes",rngEPtype,"Minor"),_xlpm.left,_xlpm.tot-$F30,IF(_xlpm.left&lt;=0,"done",MAX(0,ROUND((cfgThresholdScore*_xlpm.tot-N($J30)*$F30)/_xlpm.left,1)))))</f>
        <v/>
      </c>
      <c r="Y30" s="15">
        <f>IF($B30="","",IF($H30&gt;0,"done",cfgThresholdScore))</f>
        <v/>
      </c>
      <c r="Z30" s="15">
        <f>IF($B30="","",_xlfn.LET(_xlpm.s,_xlfn.MAXIFS(nrES_Seq,nrES_PID,$B30,nrES_Att,1,nrES_Raw,"&gt;=0"),IF(_xlpm.s=0,"",SUMIFS(nrES_Raw,nrES_PID,$B30,nrES_Att,1,nrES_Seq,_xlpm.s))))</f>
        <v/>
      </c>
      <c r="AA30" s="15">
        <f>IF($B30="","",_xlfn.LET(_xlpm.s,_xlfn.MAXIFS(nrES_Seq,nrES_PID,$B30,nrES_Att,1,nrES_Raw,"&gt;=0"),IF(_xlpm.s=0,"",_xlfn.LET(_xlpm.p,_xlfn.MAXIFS(nrES_Seq,nrES_PID,$B30,nrES_Att,1,nrES_Seq,"&lt;"&amp;_xlpm.s),IF(_xlpm.p=0,"",SUMIFS(nrES_Raw,nrES_PID,$B30,nrES_Att,1,nrES_Seq,_xlpm.p))))))</f>
        <v/>
      </c>
      <c r="AB30" s="15">
        <f>IF(OR($B30="",$Z30="",$AA30=""),"",ROUND($AA30-$Z30,1))</f>
        <v/>
      </c>
      <c r="AC30" s="15">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5">
        <f>IF(Cadets!$B31="","",Cadets!$B31)</f>
        <v/>
      </c>
      <c r="C31" s="15">
        <f>IF($B31="","",Cadets!$F31)</f>
        <v/>
      </c>
      <c r="D31" s="15">
        <f>IF($B31="","",Cadets!$I31)</f>
        <v/>
      </c>
      <c r="E31" s="15">
        <f>IF($B31="","",COUNTIFS(nrES_PID,$B31,nrES_Type,"Major",nrES_Final,"Yes"))</f>
        <v/>
      </c>
      <c r="F31" s="15">
        <f>IF($B31="","",COUNTIFS(nrES_PID,$B31,nrES_Type,"Minor",nrES_Final,"Yes"))</f>
        <v/>
      </c>
      <c r="G31" s="15">
        <f>IF($B31="","",Spelling!Q31)</f>
        <v/>
      </c>
      <c r="H31" s="15">
        <f>IF($B31="","",COUNTIFS(nrES_PID,$B31,nrES_Type,"Final",nrES_Final,"Yes"))</f>
        <v/>
      </c>
      <c r="I31" s="15">
        <f>IF(OR($B31="",$E31=0),"",ROUND(AVERAGEIFS(nrES_Rec,nrES_PID,$B31,nrES_Type,"Major",nrES_Final,"Yes"),2))</f>
        <v/>
      </c>
      <c r="J31" s="15">
        <f>IF(OR($B31="",$F31=0),"",ROUND(AVERAGEIFS(nrES_Rec,nrES_PID,$B31,nrES_Type,"Minor",nrES_Final,"Yes"),2))</f>
        <v/>
      </c>
      <c r="K31" s="15">
        <f>IF($B31="","",Spelling!P31)</f>
        <v/>
      </c>
      <c r="L31" s="15">
        <f>IF(OR($B31="",$H31=0),"",ROUND(AVERAGEIFS(nrES_Rec,nrES_PID,$B31,nrES_Type,"Final",nrES_Final,"Yes"),2))</f>
        <v/>
      </c>
      <c r="M31" s="15">
        <f>IF($B31="","",_xlfn.LET(_xlpm.w,($E31&gt;0)*cfgWeightMajor+($F31&gt;0)*cfgWeightMinor+(N($G31)&gt;0)*cfgWeightSpelling+($H31&gt;0)*cfgWeightFinal,IF(_xlpm.w=0,"",ROUND((($E31&gt;0)*cfgWeightMajor*N($I31)+($F31&gt;0)*cfgWeightMinor*N($J31)+(N($G31)&gt;0)*cfgWeightSpelling*N($K31)+($H31&gt;0)*cfgWeightFinal*N($L31))/_xlpm.w,2))))</f>
        <v/>
      </c>
      <c r="N31" s="15">
        <f>IF(OR($B31="",$H31=0),"",$M31)</f>
        <v/>
      </c>
      <c r="O31" s="15">
        <f>IF($B31="","",COUNTIFS(nrES_PID,$B31,nrES_Att,2))</f>
        <v/>
      </c>
      <c r="P31" s="15">
        <f>IF($B31="","",COUNTIFS(nrES_PID,$B31,nrES_Dis,"Yes"))</f>
        <v/>
      </c>
      <c r="Q31" s="15">
        <f>IF($B31="","",IF(AND($E31&gt;=cfgThresholdAfterExam,$I31&lt;&gt;"",$I31&lt;cfgThresholdScore),"Yes","No"))</f>
        <v/>
      </c>
      <c r="R31" s="15">
        <f>IF($B31="","",IF(AND($F31&gt;=cfgThresholdAfterExam,$J31&lt;&gt;"",$J31&lt;cfgThresholdScore),"Yes","No"))</f>
        <v/>
      </c>
      <c r="S31" s="15">
        <f>IF($B31="","",IF($M31="",-1,$M31))</f>
        <v/>
      </c>
      <c r="T31" s="15">
        <f>IF($B31="","",IF(AND($D31="Active",$P31=0,sysSkills!$J31&lt;&gt;"Yes",sysIncidents!$J31=0,$M31&lt;&gt;""),"Yes","No"))</f>
        <v/>
      </c>
      <c r="U31" s="15">
        <f>IF($T31&lt;&gt;"Yes","",SUMPRODUCT(($T$6:$T$55="Yes")*(($S$6:$S$55&gt;$S31)+($S$6:$S$55=$S31)*(ROW($S$6:$S$55)&lt;ROW())))+1)</f>
        <v/>
      </c>
      <c r="V31" s="15">
        <f>IF($B31="","",IF(AND(OR($E31=0,$I31&gt;=cfgThresholdScore),OR($F31=0,$J31&gt;=cfgThresholdScore),OR(N($G31)=0,$K31&gt;=cfgThresholdScore),OR($H31=0,$L31&gt;=cfgThresholdScore)),"Yes","No"))</f>
        <v/>
      </c>
      <c r="W31" s="15">
        <f>IF($B31="","",_xlfn.LET(_xlpm.tot,COUNTIFS(rngEPuse,"Yes",rngEPtype,"Major"),_xlpm.left,_xlpm.tot-$E31,IF(_xlpm.left&lt;=0,"done",MAX(0,ROUND((cfgThresholdScore*_xlpm.tot-N($I31)*$E31)/_xlpm.left,1)))))</f>
        <v/>
      </c>
      <c r="X31" s="15">
        <f>IF($B31="","",_xlfn.LET(_xlpm.tot,COUNTIFS(rngEPuse,"Yes",rngEPtype,"Minor"),_xlpm.left,_xlpm.tot-$F31,IF(_xlpm.left&lt;=0,"done",MAX(0,ROUND((cfgThresholdScore*_xlpm.tot-N($J31)*$F31)/_xlpm.left,1)))))</f>
        <v/>
      </c>
      <c r="Y31" s="15">
        <f>IF($B31="","",IF($H31&gt;0,"done",cfgThresholdScore))</f>
        <v/>
      </c>
      <c r="Z31" s="15">
        <f>IF($B31="","",_xlfn.LET(_xlpm.s,_xlfn.MAXIFS(nrES_Seq,nrES_PID,$B31,nrES_Att,1,nrES_Raw,"&gt;=0"),IF(_xlpm.s=0,"",SUMIFS(nrES_Raw,nrES_PID,$B31,nrES_Att,1,nrES_Seq,_xlpm.s))))</f>
        <v/>
      </c>
      <c r="AA31" s="15">
        <f>IF($B31="","",_xlfn.LET(_xlpm.s,_xlfn.MAXIFS(nrES_Seq,nrES_PID,$B31,nrES_Att,1,nrES_Raw,"&gt;=0"),IF(_xlpm.s=0,"",_xlfn.LET(_xlpm.p,_xlfn.MAXIFS(nrES_Seq,nrES_PID,$B31,nrES_Att,1,nrES_Seq,"&lt;"&amp;_xlpm.s),IF(_xlpm.p=0,"",SUMIFS(nrES_Raw,nrES_PID,$B31,nrES_Att,1,nrES_Seq,_xlpm.p))))))</f>
        <v/>
      </c>
      <c r="AB31" s="15">
        <f>IF(OR($B31="",$Z31="",$AA31=""),"",ROUND($AA31-$Z31,1))</f>
        <v/>
      </c>
      <c r="AC31" s="15">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5">
        <f>IF(Cadets!$B32="","",Cadets!$B32)</f>
        <v/>
      </c>
      <c r="C32" s="15">
        <f>IF($B32="","",Cadets!$F32)</f>
        <v/>
      </c>
      <c r="D32" s="15">
        <f>IF($B32="","",Cadets!$I32)</f>
        <v/>
      </c>
      <c r="E32" s="15">
        <f>IF($B32="","",COUNTIFS(nrES_PID,$B32,nrES_Type,"Major",nrES_Final,"Yes"))</f>
        <v/>
      </c>
      <c r="F32" s="15">
        <f>IF($B32="","",COUNTIFS(nrES_PID,$B32,nrES_Type,"Minor",nrES_Final,"Yes"))</f>
        <v/>
      </c>
      <c r="G32" s="15">
        <f>IF($B32="","",Spelling!Q32)</f>
        <v/>
      </c>
      <c r="H32" s="15">
        <f>IF($B32="","",COUNTIFS(nrES_PID,$B32,nrES_Type,"Final",nrES_Final,"Yes"))</f>
        <v/>
      </c>
      <c r="I32" s="15">
        <f>IF(OR($B32="",$E32=0),"",ROUND(AVERAGEIFS(nrES_Rec,nrES_PID,$B32,nrES_Type,"Major",nrES_Final,"Yes"),2))</f>
        <v/>
      </c>
      <c r="J32" s="15">
        <f>IF(OR($B32="",$F32=0),"",ROUND(AVERAGEIFS(nrES_Rec,nrES_PID,$B32,nrES_Type,"Minor",nrES_Final,"Yes"),2))</f>
        <v/>
      </c>
      <c r="K32" s="15">
        <f>IF($B32="","",Spelling!P32)</f>
        <v/>
      </c>
      <c r="L32" s="15">
        <f>IF(OR($B32="",$H32=0),"",ROUND(AVERAGEIFS(nrES_Rec,nrES_PID,$B32,nrES_Type,"Final",nrES_Final,"Yes"),2))</f>
        <v/>
      </c>
      <c r="M32" s="15">
        <f>IF($B32="","",_xlfn.LET(_xlpm.w,($E32&gt;0)*cfgWeightMajor+($F32&gt;0)*cfgWeightMinor+(N($G32)&gt;0)*cfgWeightSpelling+($H32&gt;0)*cfgWeightFinal,IF(_xlpm.w=0,"",ROUND((($E32&gt;0)*cfgWeightMajor*N($I32)+($F32&gt;0)*cfgWeightMinor*N($J32)+(N($G32)&gt;0)*cfgWeightSpelling*N($K32)+($H32&gt;0)*cfgWeightFinal*N($L32))/_xlpm.w,2))))</f>
        <v/>
      </c>
      <c r="N32" s="15">
        <f>IF(OR($B32="",$H32=0),"",$M32)</f>
        <v/>
      </c>
      <c r="O32" s="15">
        <f>IF($B32="","",COUNTIFS(nrES_PID,$B32,nrES_Att,2))</f>
        <v/>
      </c>
      <c r="P32" s="15">
        <f>IF($B32="","",COUNTIFS(nrES_PID,$B32,nrES_Dis,"Yes"))</f>
        <v/>
      </c>
      <c r="Q32" s="15">
        <f>IF($B32="","",IF(AND($E32&gt;=cfgThresholdAfterExam,$I32&lt;&gt;"",$I32&lt;cfgThresholdScore),"Yes","No"))</f>
        <v/>
      </c>
      <c r="R32" s="15">
        <f>IF($B32="","",IF(AND($F32&gt;=cfgThresholdAfterExam,$J32&lt;&gt;"",$J32&lt;cfgThresholdScore),"Yes","No"))</f>
        <v/>
      </c>
      <c r="S32" s="15">
        <f>IF($B32="","",IF($M32="",-1,$M32))</f>
        <v/>
      </c>
      <c r="T32" s="15">
        <f>IF($B32="","",IF(AND($D32="Active",$P32=0,sysSkills!$J32&lt;&gt;"Yes",sysIncidents!$J32=0,$M32&lt;&gt;""),"Yes","No"))</f>
        <v/>
      </c>
      <c r="U32" s="15">
        <f>IF($T32&lt;&gt;"Yes","",SUMPRODUCT(($T$6:$T$55="Yes")*(($S$6:$S$55&gt;$S32)+($S$6:$S$55=$S32)*(ROW($S$6:$S$55)&lt;ROW())))+1)</f>
        <v/>
      </c>
      <c r="V32" s="15">
        <f>IF($B32="","",IF(AND(OR($E32=0,$I32&gt;=cfgThresholdScore),OR($F32=0,$J32&gt;=cfgThresholdScore),OR(N($G32)=0,$K32&gt;=cfgThresholdScore),OR($H32=0,$L32&gt;=cfgThresholdScore)),"Yes","No"))</f>
        <v/>
      </c>
      <c r="W32" s="15">
        <f>IF($B32="","",_xlfn.LET(_xlpm.tot,COUNTIFS(rngEPuse,"Yes",rngEPtype,"Major"),_xlpm.left,_xlpm.tot-$E32,IF(_xlpm.left&lt;=0,"done",MAX(0,ROUND((cfgThresholdScore*_xlpm.tot-N($I32)*$E32)/_xlpm.left,1)))))</f>
        <v/>
      </c>
      <c r="X32" s="15">
        <f>IF($B32="","",_xlfn.LET(_xlpm.tot,COUNTIFS(rngEPuse,"Yes",rngEPtype,"Minor"),_xlpm.left,_xlpm.tot-$F32,IF(_xlpm.left&lt;=0,"done",MAX(0,ROUND((cfgThresholdScore*_xlpm.tot-N($J32)*$F32)/_xlpm.left,1)))))</f>
        <v/>
      </c>
      <c r="Y32" s="15">
        <f>IF($B32="","",IF($H32&gt;0,"done",cfgThresholdScore))</f>
        <v/>
      </c>
      <c r="Z32" s="15">
        <f>IF($B32="","",_xlfn.LET(_xlpm.s,_xlfn.MAXIFS(nrES_Seq,nrES_PID,$B32,nrES_Att,1,nrES_Raw,"&gt;=0"),IF(_xlpm.s=0,"",SUMIFS(nrES_Raw,nrES_PID,$B32,nrES_Att,1,nrES_Seq,_xlpm.s))))</f>
        <v/>
      </c>
      <c r="AA32" s="15">
        <f>IF($B32="","",_xlfn.LET(_xlpm.s,_xlfn.MAXIFS(nrES_Seq,nrES_PID,$B32,nrES_Att,1,nrES_Raw,"&gt;=0"),IF(_xlpm.s=0,"",_xlfn.LET(_xlpm.p,_xlfn.MAXIFS(nrES_Seq,nrES_PID,$B32,nrES_Att,1,nrES_Seq,"&lt;"&amp;_xlpm.s),IF(_xlpm.p=0,"",SUMIFS(nrES_Raw,nrES_PID,$B32,nrES_Att,1,nrES_Seq,_xlpm.p))))))</f>
        <v/>
      </c>
      <c r="AB32" s="15">
        <f>IF(OR($B32="",$Z32="",$AA32=""),"",ROUND($AA32-$Z32,1))</f>
        <v/>
      </c>
      <c r="AC32" s="15">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5">
        <f>IF(Cadets!$B33="","",Cadets!$B33)</f>
        <v/>
      </c>
      <c r="C33" s="15">
        <f>IF($B33="","",Cadets!$F33)</f>
        <v/>
      </c>
      <c r="D33" s="15">
        <f>IF($B33="","",Cadets!$I33)</f>
        <v/>
      </c>
      <c r="E33" s="15">
        <f>IF($B33="","",COUNTIFS(nrES_PID,$B33,nrES_Type,"Major",nrES_Final,"Yes"))</f>
        <v/>
      </c>
      <c r="F33" s="15">
        <f>IF($B33="","",COUNTIFS(nrES_PID,$B33,nrES_Type,"Minor",nrES_Final,"Yes"))</f>
        <v/>
      </c>
      <c r="G33" s="15">
        <f>IF($B33="","",Spelling!Q33)</f>
        <v/>
      </c>
      <c r="H33" s="15">
        <f>IF($B33="","",COUNTIFS(nrES_PID,$B33,nrES_Type,"Final",nrES_Final,"Yes"))</f>
        <v/>
      </c>
      <c r="I33" s="15">
        <f>IF(OR($B33="",$E33=0),"",ROUND(AVERAGEIFS(nrES_Rec,nrES_PID,$B33,nrES_Type,"Major",nrES_Final,"Yes"),2))</f>
        <v/>
      </c>
      <c r="J33" s="15">
        <f>IF(OR($B33="",$F33=0),"",ROUND(AVERAGEIFS(nrES_Rec,nrES_PID,$B33,nrES_Type,"Minor",nrES_Final,"Yes"),2))</f>
        <v/>
      </c>
      <c r="K33" s="15">
        <f>IF($B33="","",Spelling!P33)</f>
        <v/>
      </c>
      <c r="L33" s="15">
        <f>IF(OR($B33="",$H33=0),"",ROUND(AVERAGEIFS(nrES_Rec,nrES_PID,$B33,nrES_Type,"Final",nrES_Final,"Yes"),2))</f>
        <v/>
      </c>
      <c r="M33" s="15">
        <f>IF($B33="","",_xlfn.LET(_xlpm.w,($E33&gt;0)*cfgWeightMajor+($F33&gt;0)*cfgWeightMinor+(N($G33)&gt;0)*cfgWeightSpelling+($H33&gt;0)*cfgWeightFinal,IF(_xlpm.w=0,"",ROUND((($E33&gt;0)*cfgWeightMajor*N($I33)+($F33&gt;0)*cfgWeightMinor*N($J33)+(N($G33)&gt;0)*cfgWeightSpelling*N($K33)+($H33&gt;0)*cfgWeightFinal*N($L33))/_xlpm.w,2))))</f>
        <v/>
      </c>
      <c r="N33" s="15">
        <f>IF(OR($B33="",$H33=0),"",$M33)</f>
        <v/>
      </c>
      <c r="O33" s="15">
        <f>IF($B33="","",COUNTIFS(nrES_PID,$B33,nrES_Att,2))</f>
        <v/>
      </c>
      <c r="P33" s="15">
        <f>IF($B33="","",COUNTIFS(nrES_PID,$B33,nrES_Dis,"Yes"))</f>
        <v/>
      </c>
      <c r="Q33" s="15">
        <f>IF($B33="","",IF(AND($E33&gt;=cfgThresholdAfterExam,$I33&lt;&gt;"",$I33&lt;cfgThresholdScore),"Yes","No"))</f>
        <v/>
      </c>
      <c r="R33" s="15">
        <f>IF($B33="","",IF(AND($F33&gt;=cfgThresholdAfterExam,$J33&lt;&gt;"",$J33&lt;cfgThresholdScore),"Yes","No"))</f>
        <v/>
      </c>
      <c r="S33" s="15">
        <f>IF($B33="","",IF($M33="",-1,$M33))</f>
        <v/>
      </c>
      <c r="T33" s="15">
        <f>IF($B33="","",IF(AND($D33="Active",$P33=0,sysSkills!$J33&lt;&gt;"Yes",sysIncidents!$J33=0,$M33&lt;&gt;""),"Yes","No"))</f>
        <v/>
      </c>
      <c r="U33" s="15">
        <f>IF($T33&lt;&gt;"Yes","",SUMPRODUCT(($T$6:$T$55="Yes")*(($S$6:$S$55&gt;$S33)+($S$6:$S$55=$S33)*(ROW($S$6:$S$55)&lt;ROW())))+1)</f>
        <v/>
      </c>
      <c r="V33" s="15">
        <f>IF($B33="","",IF(AND(OR($E33=0,$I33&gt;=cfgThresholdScore),OR($F33=0,$J33&gt;=cfgThresholdScore),OR(N($G33)=0,$K33&gt;=cfgThresholdScore),OR($H33=0,$L33&gt;=cfgThresholdScore)),"Yes","No"))</f>
        <v/>
      </c>
      <c r="W33" s="15">
        <f>IF($B33="","",_xlfn.LET(_xlpm.tot,COUNTIFS(rngEPuse,"Yes",rngEPtype,"Major"),_xlpm.left,_xlpm.tot-$E33,IF(_xlpm.left&lt;=0,"done",MAX(0,ROUND((cfgThresholdScore*_xlpm.tot-N($I33)*$E33)/_xlpm.left,1)))))</f>
        <v/>
      </c>
      <c r="X33" s="15">
        <f>IF($B33="","",_xlfn.LET(_xlpm.tot,COUNTIFS(rngEPuse,"Yes",rngEPtype,"Minor"),_xlpm.left,_xlpm.tot-$F33,IF(_xlpm.left&lt;=0,"done",MAX(0,ROUND((cfgThresholdScore*_xlpm.tot-N($J33)*$F33)/_xlpm.left,1)))))</f>
        <v/>
      </c>
      <c r="Y33" s="15">
        <f>IF($B33="","",IF($H33&gt;0,"done",cfgThresholdScore))</f>
        <v/>
      </c>
      <c r="Z33" s="15">
        <f>IF($B33="","",_xlfn.LET(_xlpm.s,_xlfn.MAXIFS(nrES_Seq,nrES_PID,$B33,nrES_Att,1,nrES_Raw,"&gt;=0"),IF(_xlpm.s=0,"",SUMIFS(nrES_Raw,nrES_PID,$B33,nrES_Att,1,nrES_Seq,_xlpm.s))))</f>
        <v/>
      </c>
      <c r="AA33" s="15">
        <f>IF($B33="","",_xlfn.LET(_xlpm.s,_xlfn.MAXIFS(nrES_Seq,nrES_PID,$B33,nrES_Att,1,nrES_Raw,"&gt;=0"),IF(_xlpm.s=0,"",_xlfn.LET(_xlpm.p,_xlfn.MAXIFS(nrES_Seq,nrES_PID,$B33,nrES_Att,1,nrES_Seq,"&lt;"&amp;_xlpm.s),IF(_xlpm.p=0,"",SUMIFS(nrES_Raw,nrES_PID,$B33,nrES_Att,1,nrES_Seq,_xlpm.p))))))</f>
        <v/>
      </c>
      <c r="AB33" s="15">
        <f>IF(OR($B33="",$Z33="",$AA33=""),"",ROUND($AA33-$Z33,1))</f>
        <v/>
      </c>
      <c r="AC33" s="15">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5">
        <f>IF(Cadets!$B34="","",Cadets!$B34)</f>
        <v/>
      </c>
      <c r="C34" s="15">
        <f>IF($B34="","",Cadets!$F34)</f>
        <v/>
      </c>
      <c r="D34" s="15">
        <f>IF($B34="","",Cadets!$I34)</f>
        <v/>
      </c>
      <c r="E34" s="15">
        <f>IF($B34="","",COUNTIFS(nrES_PID,$B34,nrES_Type,"Major",nrES_Final,"Yes"))</f>
        <v/>
      </c>
      <c r="F34" s="15">
        <f>IF($B34="","",COUNTIFS(nrES_PID,$B34,nrES_Type,"Minor",nrES_Final,"Yes"))</f>
        <v/>
      </c>
      <c r="G34" s="15">
        <f>IF($B34="","",Spelling!Q34)</f>
        <v/>
      </c>
      <c r="H34" s="15">
        <f>IF($B34="","",COUNTIFS(nrES_PID,$B34,nrES_Type,"Final",nrES_Final,"Yes"))</f>
        <v/>
      </c>
      <c r="I34" s="15">
        <f>IF(OR($B34="",$E34=0),"",ROUND(AVERAGEIFS(nrES_Rec,nrES_PID,$B34,nrES_Type,"Major",nrES_Final,"Yes"),2))</f>
        <v/>
      </c>
      <c r="J34" s="15">
        <f>IF(OR($B34="",$F34=0),"",ROUND(AVERAGEIFS(nrES_Rec,nrES_PID,$B34,nrES_Type,"Minor",nrES_Final,"Yes"),2))</f>
        <v/>
      </c>
      <c r="K34" s="15">
        <f>IF($B34="","",Spelling!P34)</f>
        <v/>
      </c>
      <c r="L34" s="15">
        <f>IF(OR($B34="",$H34=0),"",ROUND(AVERAGEIFS(nrES_Rec,nrES_PID,$B34,nrES_Type,"Final",nrES_Final,"Yes"),2))</f>
        <v/>
      </c>
      <c r="M34" s="15">
        <f>IF($B34="","",_xlfn.LET(_xlpm.w,($E34&gt;0)*cfgWeightMajor+($F34&gt;0)*cfgWeightMinor+(N($G34)&gt;0)*cfgWeightSpelling+($H34&gt;0)*cfgWeightFinal,IF(_xlpm.w=0,"",ROUND((($E34&gt;0)*cfgWeightMajor*N($I34)+($F34&gt;0)*cfgWeightMinor*N($J34)+(N($G34)&gt;0)*cfgWeightSpelling*N($K34)+($H34&gt;0)*cfgWeightFinal*N($L34))/_xlpm.w,2))))</f>
        <v/>
      </c>
      <c r="N34" s="15">
        <f>IF(OR($B34="",$H34=0),"",$M34)</f>
        <v/>
      </c>
      <c r="O34" s="15">
        <f>IF($B34="","",COUNTIFS(nrES_PID,$B34,nrES_Att,2))</f>
        <v/>
      </c>
      <c r="P34" s="15">
        <f>IF($B34="","",COUNTIFS(nrES_PID,$B34,nrES_Dis,"Yes"))</f>
        <v/>
      </c>
      <c r="Q34" s="15">
        <f>IF($B34="","",IF(AND($E34&gt;=cfgThresholdAfterExam,$I34&lt;&gt;"",$I34&lt;cfgThresholdScore),"Yes","No"))</f>
        <v/>
      </c>
      <c r="R34" s="15">
        <f>IF($B34="","",IF(AND($F34&gt;=cfgThresholdAfterExam,$J34&lt;&gt;"",$J34&lt;cfgThresholdScore),"Yes","No"))</f>
        <v/>
      </c>
      <c r="S34" s="15">
        <f>IF($B34="","",IF($M34="",-1,$M34))</f>
        <v/>
      </c>
      <c r="T34" s="15">
        <f>IF($B34="","",IF(AND($D34="Active",$P34=0,sysSkills!$J34&lt;&gt;"Yes",sysIncidents!$J34=0,$M34&lt;&gt;""),"Yes","No"))</f>
        <v/>
      </c>
      <c r="U34" s="15">
        <f>IF($T34&lt;&gt;"Yes","",SUMPRODUCT(($T$6:$T$55="Yes")*(($S$6:$S$55&gt;$S34)+($S$6:$S$55=$S34)*(ROW($S$6:$S$55)&lt;ROW())))+1)</f>
        <v/>
      </c>
      <c r="V34" s="15">
        <f>IF($B34="","",IF(AND(OR($E34=0,$I34&gt;=cfgThresholdScore),OR($F34=0,$J34&gt;=cfgThresholdScore),OR(N($G34)=0,$K34&gt;=cfgThresholdScore),OR($H34=0,$L34&gt;=cfgThresholdScore)),"Yes","No"))</f>
        <v/>
      </c>
      <c r="W34" s="15">
        <f>IF($B34="","",_xlfn.LET(_xlpm.tot,COUNTIFS(rngEPuse,"Yes",rngEPtype,"Major"),_xlpm.left,_xlpm.tot-$E34,IF(_xlpm.left&lt;=0,"done",MAX(0,ROUND((cfgThresholdScore*_xlpm.tot-N($I34)*$E34)/_xlpm.left,1)))))</f>
        <v/>
      </c>
      <c r="X34" s="15">
        <f>IF($B34="","",_xlfn.LET(_xlpm.tot,COUNTIFS(rngEPuse,"Yes",rngEPtype,"Minor"),_xlpm.left,_xlpm.tot-$F34,IF(_xlpm.left&lt;=0,"done",MAX(0,ROUND((cfgThresholdScore*_xlpm.tot-N($J34)*$F34)/_xlpm.left,1)))))</f>
        <v/>
      </c>
      <c r="Y34" s="15">
        <f>IF($B34="","",IF($H34&gt;0,"done",cfgThresholdScore))</f>
        <v/>
      </c>
      <c r="Z34" s="15">
        <f>IF($B34="","",_xlfn.LET(_xlpm.s,_xlfn.MAXIFS(nrES_Seq,nrES_PID,$B34,nrES_Att,1,nrES_Raw,"&gt;=0"),IF(_xlpm.s=0,"",SUMIFS(nrES_Raw,nrES_PID,$B34,nrES_Att,1,nrES_Seq,_xlpm.s))))</f>
        <v/>
      </c>
      <c r="AA34" s="15">
        <f>IF($B34="","",_xlfn.LET(_xlpm.s,_xlfn.MAXIFS(nrES_Seq,nrES_PID,$B34,nrES_Att,1,nrES_Raw,"&gt;=0"),IF(_xlpm.s=0,"",_xlfn.LET(_xlpm.p,_xlfn.MAXIFS(nrES_Seq,nrES_PID,$B34,nrES_Att,1,nrES_Seq,"&lt;"&amp;_xlpm.s),IF(_xlpm.p=0,"",SUMIFS(nrES_Raw,nrES_PID,$B34,nrES_Att,1,nrES_Seq,_xlpm.p))))))</f>
        <v/>
      </c>
      <c r="AB34" s="15">
        <f>IF(OR($B34="",$Z34="",$AA34=""),"",ROUND($AA34-$Z34,1))</f>
        <v/>
      </c>
      <c r="AC34" s="15">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5">
        <f>IF(Cadets!$B35="","",Cadets!$B35)</f>
        <v/>
      </c>
      <c r="C35" s="15">
        <f>IF($B35="","",Cadets!$F35)</f>
        <v/>
      </c>
      <c r="D35" s="15">
        <f>IF($B35="","",Cadets!$I35)</f>
        <v/>
      </c>
      <c r="E35" s="15">
        <f>IF($B35="","",COUNTIFS(nrES_PID,$B35,nrES_Type,"Major",nrES_Final,"Yes"))</f>
        <v/>
      </c>
      <c r="F35" s="15">
        <f>IF($B35="","",COUNTIFS(nrES_PID,$B35,nrES_Type,"Minor",nrES_Final,"Yes"))</f>
        <v/>
      </c>
      <c r="G35" s="15">
        <f>IF($B35="","",Spelling!Q35)</f>
        <v/>
      </c>
      <c r="H35" s="15">
        <f>IF($B35="","",COUNTIFS(nrES_PID,$B35,nrES_Type,"Final",nrES_Final,"Yes"))</f>
        <v/>
      </c>
      <c r="I35" s="15">
        <f>IF(OR($B35="",$E35=0),"",ROUND(AVERAGEIFS(nrES_Rec,nrES_PID,$B35,nrES_Type,"Major",nrES_Final,"Yes"),2))</f>
        <v/>
      </c>
      <c r="J35" s="15">
        <f>IF(OR($B35="",$F35=0),"",ROUND(AVERAGEIFS(nrES_Rec,nrES_PID,$B35,nrES_Type,"Minor",nrES_Final,"Yes"),2))</f>
        <v/>
      </c>
      <c r="K35" s="15">
        <f>IF($B35="","",Spelling!P35)</f>
        <v/>
      </c>
      <c r="L35" s="15">
        <f>IF(OR($B35="",$H35=0),"",ROUND(AVERAGEIFS(nrES_Rec,nrES_PID,$B35,nrES_Type,"Final",nrES_Final,"Yes"),2))</f>
        <v/>
      </c>
      <c r="M35" s="15">
        <f>IF($B35="","",_xlfn.LET(_xlpm.w,($E35&gt;0)*cfgWeightMajor+($F35&gt;0)*cfgWeightMinor+(N($G35)&gt;0)*cfgWeightSpelling+($H35&gt;0)*cfgWeightFinal,IF(_xlpm.w=0,"",ROUND((($E35&gt;0)*cfgWeightMajor*N($I35)+($F35&gt;0)*cfgWeightMinor*N($J35)+(N($G35)&gt;0)*cfgWeightSpelling*N($K35)+($H35&gt;0)*cfgWeightFinal*N($L35))/_xlpm.w,2))))</f>
        <v/>
      </c>
      <c r="N35" s="15">
        <f>IF(OR($B35="",$H35=0),"",$M35)</f>
        <v/>
      </c>
      <c r="O35" s="15">
        <f>IF($B35="","",COUNTIFS(nrES_PID,$B35,nrES_Att,2))</f>
        <v/>
      </c>
      <c r="P35" s="15">
        <f>IF($B35="","",COUNTIFS(nrES_PID,$B35,nrES_Dis,"Yes"))</f>
        <v/>
      </c>
      <c r="Q35" s="15">
        <f>IF($B35="","",IF(AND($E35&gt;=cfgThresholdAfterExam,$I35&lt;&gt;"",$I35&lt;cfgThresholdScore),"Yes","No"))</f>
        <v/>
      </c>
      <c r="R35" s="15">
        <f>IF($B35="","",IF(AND($F35&gt;=cfgThresholdAfterExam,$J35&lt;&gt;"",$J35&lt;cfgThresholdScore),"Yes","No"))</f>
        <v/>
      </c>
      <c r="S35" s="15">
        <f>IF($B35="","",IF($M35="",-1,$M35))</f>
        <v/>
      </c>
      <c r="T35" s="15">
        <f>IF($B35="","",IF(AND($D35="Active",$P35=0,sysSkills!$J35&lt;&gt;"Yes",sysIncidents!$J35=0,$M35&lt;&gt;""),"Yes","No"))</f>
        <v/>
      </c>
      <c r="U35" s="15">
        <f>IF($T35&lt;&gt;"Yes","",SUMPRODUCT(($T$6:$T$55="Yes")*(($S$6:$S$55&gt;$S35)+($S$6:$S$55=$S35)*(ROW($S$6:$S$55)&lt;ROW())))+1)</f>
        <v/>
      </c>
      <c r="V35" s="15">
        <f>IF($B35="","",IF(AND(OR($E35=0,$I35&gt;=cfgThresholdScore),OR($F35=0,$J35&gt;=cfgThresholdScore),OR(N($G35)=0,$K35&gt;=cfgThresholdScore),OR($H35=0,$L35&gt;=cfgThresholdScore)),"Yes","No"))</f>
        <v/>
      </c>
      <c r="W35" s="15">
        <f>IF($B35="","",_xlfn.LET(_xlpm.tot,COUNTIFS(rngEPuse,"Yes",rngEPtype,"Major"),_xlpm.left,_xlpm.tot-$E35,IF(_xlpm.left&lt;=0,"done",MAX(0,ROUND((cfgThresholdScore*_xlpm.tot-N($I35)*$E35)/_xlpm.left,1)))))</f>
        <v/>
      </c>
      <c r="X35" s="15">
        <f>IF($B35="","",_xlfn.LET(_xlpm.tot,COUNTIFS(rngEPuse,"Yes",rngEPtype,"Minor"),_xlpm.left,_xlpm.tot-$F35,IF(_xlpm.left&lt;=0,"done",MAX(0,ROUND((cfgThresholdScore*_xlpm.tot-N($J35)*$F35)/_xlpm.left,1)))))</f>
        <v/>
      </c>
      <c r="Y35" s="15">
        <f>IF($B35="","",IF($H35&gt;0,"done",cfgThresholdScore))</f>
        <v/>
      </c>
      <c r="Z35" s="15">
        <f>IF($B35="","",_xlfn.LET(_xlpm.s,_xlfn.MAXIFS(nrES_Seq,nrES_PID,$B35,nrES_Att,1,nrES_Raw,"&gt;=0"),IF(_xlpm.s=0,"",SUMIFS(nrES_Raw,nrES_PID,$B35,nrES_Att,1,nrES_Seq,_xlpm.s))))</f>
        <v/>
      </c>
      <c r="AA35" s="15">
        <f>IF($B35="","",_xlfn.LET(_xlpm.s,_xlfn.MAXIFS(nrES_Seq,nrES_PID,$B35,nrES_Att,1,nrES_Raw,"&gt;=0"),IF(_xlpm.s=0,"",_xlfn.LET(_xlpm.p,_xlfn.MAXIFS(nrES_Seq,nrES_PID,$B35,nrES_Att,1,nrES_Seq,"&lt;"&amp;_xlpm.s),IF(_xlpm.p=0,"",SUMIFS(nrES_Raw,nrES_PID,$B35,nrES_Att,1,nrES_Seq,_xlpm.p))))))</f>
        <v/>
      </c>
      <c r="AB35" s="15">
        <f>IF(OR($B35="",$Z35="",$AA35=""),"",ROUND($AA35-$Z35,1))</f>
        <v/>
      </c>
      <c r="AC35" s="15">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5">
        <f>IF(Cadets!$B36="","",Cadets!$B36)</f>
        <v/>
      </c>
      <c r="C36" s="15">
        <f>IF($B36="","",Cadets!$F36)</f>
        <v/>
      </c>
      <c r="D36" s="15">
        <f>IF($B36="","",Cadets!$I36)</f>
        <v/>
      </c>
      <c r="E36" s="15">
        <f>IF($B36="","",COUNTIFS(nrES_PID,$B36,nrES_Type,"Major",nrES_Final,"Yes"))</f>
        <v/>
      </c>
      <c r="F36" s="15">
        <f>IF($B36="","",COUNTIFS(nrES_PID,$B36,nrES_Type,"Minor",nrES_Final,"Yes"))</f>
        <v/>
      </c>
      <c r="G36" s="15">
        <f>IF($B36="","",Spelling!Q36)</f>
        <v/>
      </c>
      <c r="H36" s="15">
        <f>IF($B36="","",COUNTIFS(nrES_PID,$B36,nrES_Type,"Final",nrES_Final,"Yes"))</f>
        <v/>
      </c>
      <c r="I36" s="15">
        <f>IF(OR($B36="",$E36=0),"",ROUND(AVERAGEIFS(nrES_Rec,nrES_PID,$B36,nrES_Type,"Major",nrES_Final,"Yes"),2))</f>
        <v/>
      </c>
      <c r="J36" s="15">
        <f>IF(OR($B36="",$F36=0),"",ROUND(AVERAGEIFS(nrES_Rec,nrES_PID,$B36,nrES_Type,"Minor",nrES_Final,"Yes"),2))</f>
        <v/>
      </c>
      <c r="K36" s="15">
        <f>IF($B36="","",Spelling!P36)</f>
        <v/>
      </c>
      <c r="L36" s="15">
        <f>IF(OR($B36="",$H36=0),"",ROUND(AVERAGEIFS(nrES_Rec,nrES_PID,$B36,nrES_Type,"Final",nrES_Final,"Yes"),2))</f>
        <v/>
      </c>
      <c r="M36" s="15">
        <f>IF($B36="","",_xlfn.LET(_xlpm.w,($E36&gt;0)*cfgWeightMajor+($F36&gt;0)*cfgWeightMinor+(N($G36)&gt;0)*cfgWeightSpelling+($H36&gt;0)*cfgWeightFinal,IF(_xlpm.w=0,"",ROUND((($E36&gt;0)*cfgWeightMajor*N($I36)+($F36&gt;0)*cfgWeightMinor*N($J36)+(N($G36)&gt;0)*cfgWeightSpelling*N($K36)+($H36&gt;0)*cfgWeightFinal*N($L36))/_xlpm.w,2))))</f>
        <v/>
      </c>
      <c r="N36" s="15">
        <f>IF(OR($B36="",$H36=0),"",$M36)</f>
        <v/>
      </c>
      <c r="O36" s="15">
        <f>IF($B36="","",COUNTIFS(nrES_PID,$B36,nrES_Att,2))</f>
        <v/>
      </c>
      <c r="P36" s="15">
        <f>IF($B36="","",COUNTIFS(nrES_PID,$B36,nrES_Dis,"Yes"))</f>
        <v/>
      </c>
      <c r="Q36" s="15">
        <f>IF($B36="","",IF(AND($E36&gt;=cfgThresholdAfterExam,$I36&lt;&gt;"",$I36&lt;cfgThresholdScore),"Yes","No"))</f>
        <v/>
      </c>
      <c r="R36" s="15">
        <f>IF($B36="","",IF(AND($F36&gt;=cfgThresholdAfterExam,$J36&lt;&gt;"",$J36&lt;cfgThresholdScore),"Yes","No"))</f>
        <v/>
      </c>
      <c r="S36" s="15">
        <f>IF($B36="","",IF($M36="",-1,$M36))</f>
        <v/>
      </c>
      <c r="T36" s="15">
        <f>IF($B36="","",IF(AND($D36="Active",$P36=0,sysSkills!$J36&lt;&gt;"Yes",sysIncidents!$J36=0,$M36&lt;&gt;""),"Yes","No"))</f>
        <v/>
      </c>
      <c r="U36" s="15">
        <f>IF($T36&lt;&gt;"Yes","",SUMPRODUCT(($T$6:$T$55="Yes")*(($S$6:$S$55&gt;$S36)+($S$6:$S$55=$S36)*(ROW($S$6:$S$55)&lt;ROW())))+1)</f>
        <v/>
      </c>
      <c r="V36" s="15">
        <f>IF($B36="","",IF(AND(OR($E36=0,$I36&gt;=cfgThresholdScore),OR($F36=0,$J36&gt;=cfgThresholdScore),OR(N($G36)=0,$K36&gt;=cfgThresholdScore),OR($H36=0,$L36&gt;=cfgThresholdScore)),"Yes","No"))</f>
        <v/>
      </c>
      <c r="W36" s="15">
        <f>IF($B36="","",_xlfn.LET(_xlpm.tot,COUNTIFS(rngEPuse,"Yes",rngEPtype,"Major"),_xlpm.left,_xlpm.tot-$E36,IF(_xlpm.left&lt;=0,"done",MAX(0,ROUND((cfgThresholdScore*_xlpm.tot-N($I36)*$E36)/_xlpm.left,1)))))</f>
        <v/>
      </c>
      <c r="X36" s="15">
        <f>IF($B36="","",_xlfn.LET(_xlpm.tot,COUNTIFS(rngEPuse,"Yes",rngEPtype,"Minor"),_xlpm.left,_xlpm.tot-$F36,IF(_xlpm.left&lt;=0,"done",MAX(0,ROUND((cfgThresholdScore*_xlpm.tot-N($J36)*$F36)/_xlpm.left,1)))))</f>
        <v/>
      </c>
      <c r="Y36" s="15">
        <f>IF($B36="","",IF($H36&gt;0,"done",cfgThresholdScore))</f>
        <v/>
      </c>
      <c r="Z36" s="15">
        <f>IF($B36="","",_xlfn.LET(_xlpm.s,_xlfn.MAXIFS(nrES_Seq,nrES_PID,$B36,nrES_Att,1,nrES_Raw,"&gt;=0"),IF(_xlpm.s=0,"",SUMIFS(nrES_Raw,nrES_PID,$B36,nrES_Att,1,nrES_Seq,_xlpm.s))))</f>
        <v/>
      </c>
      <c r="AA36" s="15">
        <f>IF($B36="","",_xlfn.LET(_xlpm.s,_xlfn.MAXIFS(nrES_Seq,nrES_PID,$B36,nrES_Att,1,nrES_Raw,"&gt;=0"),IF(_xlpm.s=0,"",_xlfn.LET(_xlpm.p,_xlfn.MAXIFS(nrES_Seq,nrES_PID,$B36,nrES_Att,1,nrES_Seq,"&lt;"&amp;_xlpm.s),IF(_xlpm.p=0,"",SUMIFS(nrES_Raw,nrES_PID,$B36,nrES_Att,1,nrES_Seq,_xlpm.p))))))</f>
        <v/>
      </c>
      <c r="AB36" s="15">
        <f>IF(OR($B36="",$Z36="",$AA36=""),"",ROUND($AA36-$Z36,1))</f>
        <v/>
      </c>
      <c r="AC36" s="15">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5">
        <f>IF(Cadets!$B37="","",Cadets!$B37)</f>
        <v/>
      </c>
      <c r="C37" s="15">
        <f>IF($B37="","",Cadets!$F37)</f>
        <v/>
      </c>
      <c r="D37" s="15">
        <f>IF($B37="","",Cadets!$I37)</f>
        <v/>
      </c>
      <c r="E37" s="15">
        <f>IF($B37="","",COUNTIFS(nrES_PID,$B37,nrES_Type,"Major",nrES_Final,"Yes"))</f>
        <v/>
      </c>
      <c r="F37" s="15">
        <f>IF($B37="","",COUNTIFS(nrES_PID,$B37,nrES_Type,"Minor",nrES_Final,"Yes"))</f>
        <v/>
      </c>
      <c r="G37" s="15">
        <f>IF($B37="","",Spelling!Q37)</f>
        <v/>
      </c>
      <c r="H37" s="15">
        <f>IF($B37="","",COUNTIFS(nrES_PID,$B37,nrES_Type,"Final",nrES_Final,"Yes"))</f>
        <v/>
      </c>
      <c r="I37" s="15">
        <f>IF(OR($B37="",$E37=0),"",ROUND(AVERAGEIFS(nrES_Rec,nrES_PID,$B37,nrES_Type,"Major",nrES_Final,"Yes"),2))</f>
        <v/>
      </c>
      <c r="J37" s="15">
        <f>IF(OR($B37="",$F37=0),"",ROUND(AVERAGEIFS(nrES_Rec,nrES_PID,$B37,nrES_Type,"Minor",nrES_Final,"Yes"),2))</f>
        <v/>
      </c>
      <c r="K37" s="15">
        <f>IF($B37="","",Spelling!P37)</f>
        <v/>
      </c>
      <c r="L37" s="15">
        <f>IF(OR($B37="",$H37=0),"",ROUND(AVERAGEIFS(nrES_Rec,nrES_PID,$B37,nrES_Type,"Final",nrES_Final,"Yes"),2))</f>
        <v/>
      </c>
      <c r="M37" s="15">
        <f>IF($B37="","",_xlfn.LET(_xlpm.w,($E37&gt;0)*cfgWeightMajor+($F37&gt;0)*cfgWeightMinor+(N($G37)&gt;0)*cfgWeightSpelling+($H37&gt;0)*cfgWeightFinal,IF(_xlpm.w=0,"",ROUND((($E37&gt;0)*cfgWeightMajor*N($I37)+($F37&gt;0)*cfgWeightMinor*N($J37)+(N($G37)&gt;0)*cfgWeightSpelling*N($K37)+($H37&gt;0)*cfgWeightFinal*N($L37))/_xlpm.w,2))))</f>
        <v/>
      </c>
      <c r="N37" s="15">
        <f>IF(OR($B37="",$H37=0),"",$M37)</f>
        <v/>
      </c>
      <c r="O37" s="15">
        <f>IF($B37="","",COUNTIFS(nrES_PID,$B37,nrES_Att,2))</f>
        <v/>
      </c>
      <c r="P37" s="15">
        <f>IF($B37="","",COUNTIFS(nrES_PID,$B37,nrES_Dis,"Yes"))</f>
        <v/>
      </c>
      <c r="Q37" s="15">
        <f>IF($B37="","",IF(AND($E37&gt;=cfgThresholdAfterExam,$I37&lt;&gt;"",$I37&lt;cfgThresholdScore),"Yes","No"))</f>
        <v/>
      </c>
      <c r="R37" s="15">
        <f>IF($B37="","",IF(AND($F37&gt;=cfgThresholdAfterExam,$J37&lt;&gt;"",$J37&lt;cfgThresholdScore),"Yes","No"))</f>
        <v/>
      </c>
      <c r="S37" s="15">
        <f>IF($B37="","",IF($M37="",-1,$M37))</f>
        <v/>
      </c>
      <c r="T37" s="15">
        <f>IF($B37="","",IF(AND($D37="Active",$P37=0,sysSkills!$J37&lt;&gt;"Yes",sysIncidents!$J37=0,$M37&lt;&gt;""),"Yes","No"))</f>
        <v/>
      </c>
      <c r="U37" s="15">
        <f>IF($T37&lt;&gt;"Yes","",SUMPRODUCT(($T$6:$T$55="Yes")*(($S$6:$S$55&gt;$S37)+($S$6:$S$55=$S37)*(ROW($S$6:$S$55)&lt;ROW())))+1)</f>
        <v/>
      </c>
      <c r="V37" s="15">
        <f>IF($B37="","",IF(AND(OR($E37=0,$I37&gt;=cfgThresholdScore),OR($F37=0,$J37&gt;=cfgThresholdScore),OR(N($G37)=0,$K37&gt;=cfgThresholdScore),OR($H37=0,$L37&gt;=cfgThresholdScore)),"Yes","No"))</f>
        <v/>
      </c>
      <c r="W37" s="15">
        <f>IF($B37="","",_xlfn.LET(_xlpm.tot,COUNTIFS(rngEPuse,"Yes",rngEPtype,"Major"),_xlpm.left,_xlpm.tot-$E37,IF(_xlpm.left&lt;=0,"done",MAX(0,ROUND((cfgThresholdScore*_xlpm.tot-N($I37)*$E37)/_xlpm.left,1)))))</f>
        <v/>
      </c>
      <c r="X37" s="15">
        <f>IF($B37="","",_xlfn.LET(_xlpm.tot,COUNTIFS(rngEPuse,"Yes",rngEPtype,"Minor"),_xlpm.left,_xlpm.tot-$F37,IF(_xlpm.left&lt;=0,"done",MAX(0,ROUND((cfgThresholdScore*_xlpm.tot-N($J37)*$F37)/_xlpm.left,1)))))</f>
        <v/>
      </c>
      <c r="Y37" s="15">
        <f>IF($B37="","",IF($H37&gt;0,"done",cfgThresholdScore))</f>
        <v/>
      </c>
      <c r="Z37" s="15">
        <f>IF($B37="","",_xlfn.LET(_xlpm.s,_xlfn.MAXIFS(nrES_Seq,nrES_PID,$B37,nrES_Att,1,nrES_Raw,"&gt;=0"),IF(_xlpm.s=0,"",SUMIFS(nrES_Raw,nrES_PID,$B37,nrES_Att,1,nrES_Seq,_xlpm.s))))</f>
        <v/>
      </c>
      <c r="AA37" s="15">
        <f>IF($B37="","",_xlfn.LET(_xlpm.s,_xlfn.MAXIFS(nrES_Seq,nrES_PID,$B37,nrES_Att,1,nrES_Raw,"&gt;=0"),IF(_xlpm.s=0,"",_xlfn.LET(_xlpm.p,_xlfn.MAXIFS(nrES_Seq,nrES_PID,$B37,nrES_Att,1,nrES_Seq,"&lt;"&amp;_xlpm.s),IF(_xlpm.p=0,"",SUMIFS(nrES_Raw,nrES_PID,$B37,nrES_Att,1,nrES_Seq,_xlpm.p))))))</f>
        <v/>
      </c>
      <c r="AB37" s="15">
        <f>IF(OR($B37="",$Z37="",$AA37=""),"",ROUND($AA37-$Z37,1))</f>
        <v/>
      </c>
      <c r="AC37" s="15">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5">
        <f>IF(Cadets!$B38="","",Cadets!$B38)</f>
        <v/>
      </c>
      <c r="C38" s="15">
        <f>IF($B38="","",Cadets!$F38)</f>
        <v/>
      </c>
      <c r="D38" s="15">
        <f>IF($B38="","",Cadets!$I38)</f>
        <v/>
      </c>
      <c r="E38" s="15">
        <f>IF($B38="","",COUNTIFS(nrES_PID,$B38,nrES_Type,"Major",nrES_Final,"Yes"))</f>
        <v/>
      </c>
      <c r="F38" s="15">
        <f>IF($B38="","",COUNTIFS(nrES_PID,$B38,nrES_Type,"Minor",nrES_Final,"Yes"))</f>
        <v/>
      </c>
      <c r="G38" s="15">
        <f>IF($B38="","",Spelling!Q38)</f>
        <v/>
      </c>
      <c r="H38" s="15">
        <f>IF($B38="","",COUNTIFS(nrES_PID,$B38,nrES_Type,"Final",nrES_Final,"Yes"))</f>
        <v/>
      </c>
      <c r="I38" s="15">
        <f>IF(OR($B38="",$E38=0),"",ROUND(AVERAGEIFS(nrES_Rec,nrES_PID,$B38,nrES_Type,"Major",nrES_Final,"Yes"),2))</f>
        <v/>
      </c>
      <c r="J38" s="15">
        <f>IF(OR($B38="",$F38=0),"",ROUND(AVERAGEIFS(nrES_Rec,nrES_PID,$B38,nrES_Type,"Minor",nrES_Final,"Yes"),2))</f>
        <v/>
      </c>
      <c r="K38" s="15">
        <f>IF($B38="","",Spelling!P38)</f>
        <v/>
      </c>
      <c r="L38" s="15">
        <f>IF(OR($B38="",$H38=0),"",ROUND(AVERAGEIFS(nrES_Rec,nrES_PID,$B38,nrES_Type,"Final",nrES_Final,"Yes"),2))</f>
        <v/>
      </c>
      <c r="M38" s="15">
        <f>IF($B38="","",_xlfn.LET(_xlpm.w,($E38&gt;0)*cfgWeightMajor+($F38&gt;0)*cfgWeightMinor+(N($G38)&gt;0)*cfgWeightSpelling+($H38&gt;0)*cfgWeightFinal,IF(_xlpm.w=0,"",ROUND((($E38&gt;0)*cfgWeightMajor*N($I38)+($F38&gt;0)*cfgWeightMinor*N($J38)+(N($G38)&gt;0)*cfgWeightSpelling*N($K38)+($H38&gt;0)*cfgWeightFinal*N($L38))/_xlpm.w,2))))</f>
        <v/>
      </c>
      <c r="N38" s="15">
        <f>IF(OR($B38="",$H38=0),"",$M38)</f>
        <v/>
      </c>
      <c r="O38" s="15">
        <f>IF($B38="","",COUNTIFS(nrES_PID,$B38,nrES_Att,2))</f>
        <v/>
      </c>
      <c r="P38" s="15">
        <f>IF($B38="","",COUNTIFS(nrES_PID,$B38,nrES_Dis,"Yes"))</f>
        <v/>
      </c>
      <c r="Q38" s="15">
        <f>IF($B38="","",IF(AND($E38&gt;=cfgThresholdAfterExam,$I38&lt;&gt;"",$I38&lt;cfgThresholdScore),"Yes","No"))</f>
        <v/>
      </c>
      <c r="R38" s="15">
        <f>IF($B38="","",IF(AND($F38&gt;=cfgThresholdAfterExam,$J38&lt;&gt;"",$J38&lt;cfgThresholdScore),"Yes","No"))</f>
        <v/>
      </c>
      <c r="S38" s="15">
        <f>IF($B38="","",IF($M38="",-1,$M38))</f>
        <v/>
      </c>
      <c r="T38" s="15">
        <f>IF($B38="","",IF(AND($D38="Active",$P38=0,sysSkills!$J38&lt;&gt;"Yes",sysIncidents!$J38=0,$M38&lt;&gt;""),"Yes","No"))</f>
        <v/>
      </c>
      <c r="U38" s="15">
        <f>IF($T38&lt;&gt;"Yes","",SUMPRODUCT(($T$6:$T$55="Yes")*(($S$6:$S$55&gt;$S38)+($S$6:$S$55=$S38)*(ROW($S$6:$S$55)&lt;ROW())))+1)</f>
        <v/>
      </c>
      <c r="V38" s="15">
        <f>IF($B38="","",IF(AND(OR($E38=0,$I38&gt;=cfgThresholdScore),OR($F38=0,$J38&gt;=cfgThresholdScore),OR(N($G38)=0,$K38&gt;=cfgThresholdScore),OR($H38=0,$L38&gt;=cfgThresholdScore)),"Yes","No"))</f>
        <v/>
      </c>
      <c r="W38" s="15">
        <f>IF($B38="","",_xlfn.LET(_xlpm.tot,COUNTIFS(rngEPuse,"Yes",rngEPtype,"Major"),_xlpm.left,_xlpm.tot-$E38,IF(_xlpm.left&lt;=0,"done",MAX(0,ROUND((cfgThresholdScore*_xlpm.tot-N($I38)*$E38)/_xlpm.left,1)))))</f>
        <v/>
      </c>
      <c r="X38" s="15">
        <f>IF($B38="","",_xlfn.LET(_xlpm.tot,COUNTIFS(rngEPuse,"Yes",rngEPtype,"Minor"),_xlpm.left,_xlpm.tot-$F38,IF(_xlpm.left&lt;=0,"done",MAX(0,ROUND((cfgThresholdScore*_xlpm.tot-N($J38)*$F38)/_xlpm.left,1)))))</f>
        <v/>
      </c>
      <c r="Y38" s="15">
        <f>IF($B38="","",IF($H38&gt;0,"done",cfgThresholdScore))</f>
        <v/>
      </c>
      <c r="Z38" s="15">
        <f>IF($B38="","",_xlfn.LET(_xlpm.s,_xlfn.MAXIFS(nrES_Seq,nrES_PID,$B38,nrES_Att,1,nrES_Raw,"&gt;=0"),IF(_xlpm.s=0,"",SUMIFS(nrES_Raw,nrES_PID,$B38,nrES_Att,1,nrES_Seq,_xlpm.s))))</f>
        <v/>
      </c>
      <c r="AA38" s="15">
        <f>IF($B38="","",_xlfn.LET(_xlpm.s,_xlfn.MAXIFS(nrES_Seq,nrES_PID,$B38,nrES_Att,1,nrES_Raw,"&gt;=0"),IF(_xlpm.s=0,"",_xlfn.LET(_xlpm.p,_xlfn.MAXIFS(nrES_Seq,nrES_PID,$B38,nrES_Att,1,nrES_Seq,"&lt;"&amp;_xlpm.s),IF(_xlpm.p=0,"",SUMIFS(nrES_Raw,nrES_PID,$B38,nrES_Att,1,nrES_Seq,_xlpm.p))))))</f>
        <v/>
      </c>
      <c r="AB38" s="15">
        <f>IF(OR($B38="",$Z38="",$AA38=""),"",ROUND($AA38-$Z38,1))</f>
        <v/>
      </c>
      <c r="AC38" s="15">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5">
        <f>IF(Cadets!$B39="","",Cadets!$B39)</f>
        <v/>
      </c>
      <c r="C39" s="15">
        <f>IF($B39="","",Cadets!$F39)</f>
        <v/>
      </c>
      <c r="D39" s="15">
        <f>IF($B39="","",Cadets!$I39)</f>
        <v/>
      </c>
      <c r="E39" s="15">
        <f>IF($B39="","",COUNTIFS(nrES_PID,$B39,nrES_Type,"Major",nrES_Final,"Yes"))</f>
        <v/>
      </c>
      <c r="F39" s="15">
        <f>IF($B39="","",COUNTIFS(nrES_PID,$B39,nrES_Type,"Minor",nrES_Final,"Yes"))</f>
        <v/>
      </c>
      <c r="G39" s="15">
        <f>IF($B39="","",Spelling!Q39)</f>
        <v/>
      </c>
      <c r="H39" s="15">
        <f>IF($B39="","",COUNTIFS(nrES_PID,$B39,nrES_Type,"Final",nrES_Final,"Yes"))</f>
        <v/>
      </c>
      <c r="I39" s="15">
        <f>IF(OR($B39="",$E39=0),"",ROUND(AVERAGEIFS(nrES_Rec,nrES_PID,$B39,nrES_Type,"Major",nrES_Final,"Yes"),2))</f>
        <v/>
      </c>
      <c r="J39" s="15">
        <f>IF(OR($B39="",$F39=0),"",ROUND(AVERAGEIFS(nrES_Rec,nrES_PID,$B39,nrES_Type,"Minor",nrES_Final,"Yes"),2))</f>
        <v/>
      </c>
      <c r="K39" s="15">
        <f>IF($B39="","",Spelling!P39)</f>
        <v/>
      </c>
      <c r="L39" s="15">
        <f>IF(OR($B39="",$H39=0),"",ROUND(AVERAGEIFS(nrES_Rec,nrES_PID,$B39,nrES_Type,"Final",nrES_Final,"Yes"),2))</f>
        <v/>
      </c>
      <c r="M39" s="15">
        <f>IF($B39="","",_xlfn.LET(_xlpm.w,($E39&gt;0)*cfgWeightMajor+($F39&gt;0)*cfgWeightMinor+(N($G39)&gt;0)*cfgWeightSpelling+($H39&gt;0)*cfgWeightFinal,IF(_xlpm.w=0,"",ROUND((($E39&gt;0)*cfgWeightMajor*N($I39)+($F39&gt;0)*cfgWeightMinor*N($J39)+(N($G39)&gt;0)*cfgWeightSpelling*N($K39)+($H39&gt;0)*cfgWeightFinal*N($L39))/_xlpm.w,2))))</f>
        <v/>
      </c>
      <c r="N39" s="15">
        <f>IF(OR($B39="",$H39=0),"",$M39)</f>
        <v/>
      </c>
      <c r="O39" s="15">
        <f>IF($B39="","",COUNTIFS(nrES_PID,$B39,nrES_Att,2))</f>
        <v/>
      </c>
      <c r="P39" s="15">
        <f>IF($B39="","",COUNTIFS(nrES_PID,$B39,nrES_Dis,"Yes"))</f>
        <v/>
      </c>
      <c r="Q39" s="15">
        <f>IF($B39="","",IF(AND($E39&gt;=cfgThresholdAfterExam,$I39&lt;&gt;"",$I39&lt;cfgThresholdScore),"Yes","No"))</f>
        <v/>
      </c>
      <c r="R39" s="15">
        <f>IF($B39="","",IF(AND($F39&gt;=cfgThresholdAfterExam,$J39&lt;&gt;"",$J39&lt;cfgThresholdScore),"Yes","No"))</f>
        <v/>
      </c>
      <c r="S39" s="15">
        <f>IF($B39="","",IF($M39="",-1,$M39))</f>
        <v/>
      </c>
      <c r="T39" s="15">
        <f>IF($B39="","",IF(AND($D39="Active",$P39=0,sysSkills!$J39&lt;&gt;"Yes",sysIncidents!$J39=0,$M39&lt;&gt;""),"Yes","No"))</f>
        <v/>
      </c>
      <c r="U39" s="15">
        <f>IF($T39&lt;&gt;"Yes","",SUMPRODUCT(($T$6:$T$55="Yes")*(($S$6:$S$55&gt;$S39)+($S$6:$S$55=$S39)*(ROW($S$6:$S$55)&lt;ROW())))+1)</f>
        <v/>
      </c>
      <c r="V39" s="15">
        <f>IF($B39="","",IF(AND(OR($E39=0,$I39&gt;=cfgThresholdScore),OR($F39=0,$J39&gt;=cfgThresholdScore),OR(N($G39)=0,$K39&gt;=cfgThresholdScore),OR($H39=0,$L39&gt;=cfgThresholdScore)),"Yes","No"))</f>
        <v/>
      </c>
      <c r="W39" s="15">
        <f>IF($B39="","",_xlfn.LET(_xlpm.tot,COUNTIFS(rngEPuse,"Yes",rngEPtype,"Major"),_xlpm.left,_xlpm.tot-$E39,IF(_xlpm.left&lt;=0,"done",MAX(0,ROUND((cfgThresholdScore*_xlpm.tot-N($I39)*$E39)/_xlpm.left,1)))))</f>
        <v/>
      </c>
      <c r="X39" s="15">
        <f>IF($B39="","",_xlfn.LET(_xlpm.tot,COUNTIFS(rngEPuse,"Yes",rngEPtype,"Minor"),_xlpm.left,_xlpm.tot-$F39,IF(_xlpm.left&lt;=0,"done",MAX(0,ROUND((cfgThresholdScore*_xlpm.tot-N($J39)*$F39)/_xlpm.left,1)))))</f>
        <v/>
      </c>
      <c r="Y39" s="15">
        <f>IF($B39="","",IF($H39&gt;0,"done",cfgThresholdScore))</f>
        <v/>
      </c>
      <c r="Z39" s="15">
        <f>IF($B39="","",_xlfn.LET(_xlpm.s,_xlfn.MAXIFS(nrES_Seq,nrES_PID,$B39,nrES_Att,1,nrES_Raw,"&gt;=0"),IF(_xlpm.s=0,"",SUMIFS(nrES_Raw,nrES_PID,$B39,nrES_Att,1,nrES_Seq,_xlpm.s))))</f>
        <v/>
      </c>
      <c r="AA39" s="15">
        <f>IF($B39="","",_xlfn.LET(_xlpm.s,_xlfn.MAXIFS(nrES_Seq,nrES_PID,$B39,nrES_Att,1,nrES_Raw,"&gt;=0"),IF(_xlpm.s=0,"",_xlfn.LET(_xlpm.p,_xlfn.MAXIFS(nrES_Seq,nrES_PID,$B39,nrES_Att,1,nrES_Seq,"&lt;"&amp;_xlpm.s),IF(_xlpm.p=0,"",SUMIFS(nrES_Raw,nrES_PID,$B39,nrES_Att,1,nrES_Seq,_xlpm.p))))))</f>
        <v/>
      </c>
      <c r="AB39" s="15">
        <f>IF(OR($B39="",$Z39="",$AA39=""),"",ROUND($AA39-$Z39,1))</f>
        <v/>
      </c>
      <c r="AC39" s="15">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5">
        <f>IF(Cadets!$B40="","",Cadets!$B40)</f>
        <v/>
      </c>
      <c r="C40" s="15">
        <f>IF($B40="","",Cadets!$F40)</f>
        <v/>
      </c>
      <c r="D40" s="15">
        <f>IF($B40="","",Cadets!$I40)</f>
        <v/>
      </c>
      <c r="E40" s="15">
        <f>IF($B40="","",COUNTIFS(nrES_PID,$B40,nrES_Type,"Major",nrES_Final,"Yes"))</f>
        <v/>
      </c>
      <c r="F40" s="15">
        <f>IF($B40="","",COUNTIFS(nrES_PID,$B40,nrES_Type,"Minor",nrES_Final,"Yes"))</f>
        <v/>
      </c>
      <c r="G40" s="15">
        <f>IF($B40="","",Spelling!Q40)</f>
        <v/>
      </c>
      <c r="H40" s="15">
        <f>IF($B40="","",COUNTIFS(nrES_PID,$B40,nrES_Type,"Final",nrES_Final,"Yes"))</f>
        <v/>
      </c>
      <c r="I40" s="15">
        <f>IF(OR($B40="",$E40=0),"",ROUND(AVERAGEIFS(nrES_Rec,nrES_PID,$B40,nrES_Type,"Major",nrES_Final,"Yes"),2))</f>
        <v/>
      </c>
      <c r="J40" s="15">
        <f>IF(OR($B40="",$F40=0),"",ROUND(AVERAGEIFS(nrES_Rec,nrES_PID,$B40,nrES_Type,"Minor",nrES_Final,"Yes"),2))</f>
        <v/>
      </c>
      <c r="K40" s="15">
        <f>IF($B40="","",Spelling!P40)</f>
        <v/>
      </c>
      <c r="L40" s="15">
        <f>IF(OR($B40="",$H40=0),"",ROUND(AVERAGEIFS(nrES_Rec,nrES_PID,$B40,nrES_Type,"Final",nrES_Final,"Yes"),2))</f>
        <v/>
      </c>
      <c r="M40" s="15">
        <f>IF($B40="","",_xlfn.LET(_xlpm.w,($E40&gt;0)*cfgWeightMajor+($F40&gt;0)*cfgWeightMinor+(N($G40)&gt;0)*cfgWeightSpelling+($H40&gt;0)*cfgWeightFinal,IF(_xlpm.w=0,"",ROUND((($E40&gt;0)*cfgWeightMajor*N($I40)+($F40&gt;0)*cfgWeightMinor*N($J40)+(N($G40)&gt;0)*cfgWeightSpelling*N($K40)+($H40&gt;0)*cfgWeightFinal*N($L40))/_xlpm.w,2))))</f>
        <v/>
      </c>
      <c r="N40" s="15">
        <f>IF(OR($B40="",$H40=0),"",$M40)</f>
        <v/>
      </c>
      <c r="O40" s="15">
        <f>IF($B40="","",COUNTIFS(nrES_PID,$B40,nrES_Att,2))</f>
        <v/>
      </c>
      <c r="P40" s="15">
        <f>IF($B40="","",COUNTIFS(nrES_PID,$B40,nrES_Dis,"Yes"))</f>
        <v/>
      </c>
      <c r="Q40" s="15">
        <f>IF($B40="","",IF(AND($E40&gt;=cfgThresholdAfterExam,$I40&lt;&gt;"",$I40&lt;cfgThresholdScore),"Yes","No"))</f>
        <v/>
      </c>
      <c r="R40" s="15">
        <f>IF($B40="","",IF(AND($F40&gt;=cfgThresholdAfterExam,$J40&lt;&gt;"",$J40&lt;cfgThresholdScore),"Yes","No"))</f>
        <v/>
      </c>
      <c r="S40" s="15">
        <f>IF($B40="","",IF($M40="",-1,$M40))</f>
        <v/>
      </c>
      <c r="T40" s="15">
        <f>IF($B40="","",IF(AND($D40="Active",$P40=0,sysSkills!$J40&lt;&gt;"Yes",sysIncidents!$J40=0,$M40&lt;&gt;""),"Yes","No"))</f>
        <v/>
      </c>
      <c r="U40" s="15">
        <f>IF($T40&lt;&gt;"Yes","",SUMPRODUCT(($T$6:$T$55="Yes")*(($S$6:$S$55&gt;$S40)+($S$6:$S$55=$S40)*(ROW($S$6:$S$55)&lt;ROW())))+1)</f>
        <v/>
      </c>
      <c r="V40" s="15">
        <f>IF($B40="","",IF(AND(OR($E40=0,$I40&gt;=cfgThresholdScore),OR($F40=0,$J40&gt;=cfgThresholdScore),OR(N($G40)=0,$K40&gt;=cfgThresholdScore),OR($H40=0,$L40&gt;=cfgThresholdScore)),"Yes","No"))</f>
        <v/>
      </c>
      <c r="W40" s="15">
        <f>IF($B40="","",_xlfn.LET(_xlpm.tot,COUNTIFS(rngEPuse,"Yes",rngEPtype,"Major"),_xlpm.left,_xlpm.tot-$E40,IF(_xlpm.left&lt;=0,"done",MAX(0,ROUND((cfgThresholdScore*_xlpm.tot-N($I40)*$E40)/_xlpm.left,1)))))</f>
        <v/>
      </c>
      <c r="X40" s="15">
        <f>IF($B40="","",_xlfn.LET(_xlpm.tot,COUNTIFS(rngEPuse,"Yes",rngEPtype,"Minor"),_xlpm.left,_xlpm.tot-$F40,IF(_xlpm.left&lt;=0,"done",MAX(0,ROUND((cfgThresholdScore*_xlpm.tot-N($J40)*$F40)/_xlpm.left,1)))))</f>
        <v/>
      </c>
      <c r="Y40" s="15">
        <f>IF($B40="","",IF($H40&gt;0,"done",cfgThresholdScore))</f>
        <v/>
      </c>
      <c r="Z40" s="15">
        <f>IF($B40="","",_xlfn.LET(_xlpm.s,_xlfn.MAXIFS(nrES_Seq,nrES_PID,$B40,nrES_Att,1,nrES_Raw,"&gt;=0"),IF(_xlpm.s=0,"",SUMIFS(nrES_Raw,nrES_PID,$B40,nrES_Att,1,nrES_Seq,_xlpm.s))))</f>
        <v/>
      </c>
      <c r="AA40" s="15">
        <f>IF($B40="","",_xlfn.LET(_xlpm.s,_xlfn.MAXIFS(nrES_Seq,nrES_PID,$B40,nrES_Att,1,nrES_Raw,"&gt;=0"),IF(_xlpm.s=0,"",_xlfn.LET(_xlpm.p,_xlfn.MAXIFS(nrES_Seq,nrES_PID,$B40,nrES_Att,1,nrES_Seq,"&lt;"&amp;_xlpm.s),IF(_xlpm.p=0,"",SUMIFS(nrES_Raw,nrES_PID,$B40,nrES_Att,1,nrES_Seq,_xlpm.p))))))</f>
        <v/>
      </c>
      <c r="AB40" s="15">
        <f>IF(OR($B40="",$Z40="",$AA40=""),"",ROUND($AA40-$Z40,1))</f>
        <v/>
      </c>
      <c r="AC40" s="15">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5">
        <f>IF(Cadets!$B41="","",Cadets!$B41)</f>
        <v/>
      </c>
      <c r="C41" s="15">
        <f>IF($B41="","",Cadets!$F41)</f>
        <v/>
      </c>
      <c r="D41" s="15">
        <f>IF($B41="","",Cadets!$I41)</f>
        <v/>
      </c>
      <c r="E41" s="15">
        <f>IF($B41="","",COUNTIFS(nrES_PID,$B41,nrES_Type,"Major",nrES_Final,"Yes"))</f>
        <v/>
      </c>
      <c r="F41" s="15">
        <f>IF($B41="","",COUNTIFS(nrES_PID,$B41,nrES_Type,"Minor",nrES_Final,"Yes"))</f>
        <v/>
      </c>
      <c r="G41" s="15">
        <f>IF($B41="","",Spelling!Q41)</f>
        <v/>
      </c>
      <c r="H41" s="15">
        <f>IF($B41="","",COUNTIFS(nrES_PID,$B41,nrES_Type,"Final",nrES_Final,"Yes"))</f>
        <v/>
      </c>
      <c r="I41" s="15">
        <f>IF(OR($B41="",$E41=0),"",ROUND(AVERAGEIFS(nrES_Rec,nrES_PID,$B41,nrES_Type,"Major",nrES_Final,"Yes"),2))</f>
        <v/>
      </c>
      <c r="J41" s="15">
        <f>IF(OR($B41="",$F41=0),"",ROUND(AVERAGEIFS(nrES_Rec,nrES_PID,$B41,nrES_Type,"Minor",nrES_Final,"Yes"),2))</f>
        <v/>
      </c>
      <c r="K41" s="15">
        <f>IF($B41="","",Spelling!P41)</f>
        <v/>
      </c>
      <c r="L41" s="15">
        <f>IF(OR($B41="",$H41=0),"",ROUND(AVERAGEIFS(nrES_Rec,nrES_PID,$B41,nrES_Type,"Final",nrES_Final,"Yes"),2))</f>
        <v/>
      </c>
      <c r="M41" s="15">
        <f>IF($B41="","",_xlfn.LET(_xlpm.w,($E41&gt;0)*cfgWeightMajor+($F41&gt;0)*cfgWeightMinor+(N($G41)&gt;0)*cfgWeightSpelling+($H41&gt;0)*cfgWeightFinal,IF(_xlpm.w=0,"",ROUND((($E41&gt;0)*cfgWeightMajor*N($I41)+($F41&gt;0)*cfgWeightMinor*N($J41)+(N($G41)&gt;0)*cfgWeightSpelling*N($K41)+($H41&gt;0)*cfgWeightFinal*N($L41))/_xlpm.w,2))))</f>
        <v/>
      </c>
      <c r="N41" s="15">
        <f>IF(OR($B41="",$H41=0),"",$M41)</f>
        <v/>
      </c>
      <c r="O41" s="15">
        <f>IF($B41="","",COUNTIFS(nrES_PID,$B41,nrES_Att,2))</f>
        <v/>
      </c>
      <c r="P41" s="15">
        <f>IF($B41="","",COUNTIFS(nrES_PID,$B41,nrES_Dis,"Yes"))</f>
        <v/>
      </c>
      <c r="Q41" s="15">
        <f>IF($B41="","",IF(AND($E41&gt;=cfgThresholdAfterExam,$I41&lt;&gt;"",$I41&lt;cfgThresholdScore),"Yes","No"))</f>
        <v/>
      </c>
      <c r="R41" s="15">
        <f>IF($B41="","",IF(AND($F41&gt;=cfgThresholdAfterExam,$J41&lt;&gt;"",$J41&lt;cfgThresholdScore),"Yes","No"))</f>
        <v/>
      </c>
      <c r="S41" s="15">
        <f>IF($B41="","",IF($M41="",-1,$M41))</f>
        <v/>
      </c>
      <c r="T41" s="15">
        <f>IF($B41="","",IF(AND($D41="Active",$P41=0,sysSkills!$J41&lt;&gt;"Yes",sysIncidents!$J41=0,$M41&lt;&gt;""),"Yes","No"))</f>
        <v/>
      </c>
      <c r="U41" s="15">
        <f>IF($T41&lt;&gt;"Yes","",SUMPRODUCT(($T$6:$T$55="Yes")*(($S$6:$S$55&gt;$S41)+($S$6:$S$55=$S41)*(ROW($S$6:$S$55)&lt;ROW())))+1)</f>
        <v/>
      </c>
      <c r="V41" s="15">
        <f>IF($B41="","",IF(AND(OR($E41=0,$I41&gt;=cfgThresholdScore),OR($F41=0,$J41&gt;=cfgThresholdScore),OR(N($G41)=0,$K41&gt;=cfgThresholdScore),OR($H41=0,$L41&gt;=cfgThresholdScore)),"Yes","No"))</f>
        <v/>
      </c>
      <c r="W41" s="15">
        <f>IF($B41="","",_xlfn.LET(_xlpm.tot,COUNTIFS(rngEPuse,"Yes",rngEPtype,"Major"),_xlpm.left,_xlpm.tot-$E41,IF(_xlpm.left&lt;=0,"done",MAX(0,ROUND((cfgThresholdScore*_xlpm.tot-N($I41)*$E41)/_xlpm.left,1)))))</f>
        <v/>
      </c>
      <c r="X41" s="15">
        <f>IF($B41="","",_xlfn.LET(_xlpm.tot,COUNTIFS(rngEPuse,"Yes",rngEPtype,"Minor"),_xlpm.left,_xlpm.tot-$F41,IF(_xlpm.left&lt;=0,"done",MAX(0,ROUND((cfgThresholdScore*_xlpm.tot-N($J41)*$F41)/_xlpm.left,1)))))</f>
        <v/>
      </c>
      <c r="Y41" s="15">
        <f>IF($B41="","",IF($H41&gt;0,"done",cfgThresholdScore))</f>
        <v/>
      </c>
      <c r="Z41" s="15">
        <f>IF($B41="","",_xlfn.LET(_xlpm.s,_xlfn.MAXIFS(nrES_Seq,nrES_PID,$B41,nrES_Att,1,nrES_Raw,"&gt;=0"),IF(_xlpm.s=0,"",SUMIFS(nrES_Raw,nrES_PID,$B41,nrES_Att,1,nrES_Seq,_xlpm.s))))</f>
        <v/>
      </c>
      <c r="AA41" s="15">
        <f>IF($B41="","",_xlfn.LET(_xlpm.s,_xlfn.MAXIFS(nrES_Seq,nrES_PID,$B41,nrES_Att,1,nrES_Raw,"&gt;=0"),IF(_xlpm.s=0,"",_xlfn.LET(_xlpm.p,_xlfn.MAXIFS(nrES_Seq,nrES_PID,$B41,nrES_Att,1,nrES_Seq,"&lt;"&amp;_xlpm.s),IF(_xlpm.p=0,"",SUMIFS(nrES_Raw,nrES_PID,$B41,nrES_Att,1,nrES_Seq,_xlpm.p))))))</f>
        <v/>
      </c>
      <c r="AB41" s="15">
        <f>IF(OR($B41="",$Z41="",$AA41=""),"",ROUND($AA41-$Z41,1))</f>
        <v/>
      </c>
      <c r="AC41" s="15">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5">
        <f>IF(Cadets!$B42="","",Cadets!$B42)</f>
        <v/>
      </c>
      <c r="C42" s="15">
        <f>IF($B42="","",Cadets!$F42)</f>
        <v/>
      </c>
      <c r="D42" s="15">
        <f>IF($B42="","",Cadets!$I42)</f>
        <v/>
      </c>
      <c r="E42" s="15">
        <f>IF($B42="","",COUNTIFS(nrES_PID,$B42,nrES_Type,"Major",nrES_Final,"Yes"))</f>
        <v/>
      </c>
      <c r="F42" s="15">
        <f>IF($B42="","",COUNTIFS(nrES_PID,$B42,nrES_Type,"Minor",nrES_Final,"Yes"))</f>
        <v/>
      </c>
      <c r="G42" s="15">
        <f>IF($B42="","",Spelling!Q42)</f>
        <v/>
      </c>
      <c r="H42" s="15">
        <f>IF($B42="","",COUNTIFS(nrES_PID,$B42,nrES_Type,"Final",nrES_Final,"Yes"))</f>
        <v/>
      </c>
      <c r="I42" s="15">
        <f>IF(OR($B42="",$E42=0),"",ROUND(AVERAGEIFS(nrES_Rec,nrES_PID,$B42,nrES_Type,"Major",nrES_Final,"Yes"),2))</f>
        <v/>
      </c>
      <c r="J42" s="15">
        <f>IF(OR($B42="",$F42=0),"",ROUND(AVERAGEIFS(nrES_Rec,nrES_PID,$B42,nrES_Type,"Minor",nrES_Final,"Yes"),2))</f>
        <v/>
      </c>
      <c r="K42" s="15">
        <f>IF($B42="","",Spelling!P42)</f>
        <v/>
      </c>
      <c r="L42" s="15">
        <f>IF(OR($B42="",$H42=0),"",ROUND(AVERAGEIFS(nrES_Rec,nrES_PID,$B42,nrES_Type,"Final",nrES_Final,"Yes"),2))</f>
        <v/>
      </c>
      <c r="M42" s="15">
        <f>IF($B42="","",_xlfn.LET(_xlpm.w,($E42&gt;0)*cfgWeightMajor+($F42&gt;0)*cfgWeightMinor+(N($G42)&gt;0)*cfgWeightSpelling+($H42&gt;0)*cfgWeightFinal,IF(_xlpm.w=0,"",ROUND((($E42&gt;0)*cfgWeightMajor*N($I42)+($F42&gt;0)*cfgWeightMinor*N($J42)+(N($G42)&gt;0)*cfgWeightSpelling*N($K42)+($H42&gt;0)*cfgWeightFinal*N($L42))/_xlpm.w,2))))</f>
        <v/>
      </c>
      <c r="N42" s="15">
        <f>IF(OR($B42="",$H42=0),"",$M42)</f>
        <v/>
      </c>
      <c r="O42" s="15">
        <f>IF($B42="","",COUNTIFS(nrES_PID,$B42,nrES_Att,2))</f>
        <v/>
      </c>
      <c r="P42" s="15">
        <f>IF($B42="","",COUNTIFS(nrES_PID,$B42,nrES_Dis,"Yes"))</f>
        <v/>
      </c>
      <c r="Q42" s="15">
        <f>IF($B42="","",IF(AND($E42&gt;=cfgThresholdAfterExam,$I42&lt;&gt;"",$I42&lt;cfgThresholdScore),"Yes","No"))</f>
        <v/>
      </c>
      <c r="R42" s="15">
        <f>IF($B42="","",IF(AND($F42&gt;=cfgThresholdAfterExam,$J42&lt;&gt;"",$J42&lt;cfgThresholdScore),"Yes","No"))</f>
        <v/>
      </c>
      <c r="S42" s="15">
        <f>IF($B42="","",IF($M42="",-1,$M42))</f>
        <v/>
      </c>
      <c r="T42" s="15">
        <f>IF($B42="","",IF(AND($D42="Active",$P42=0,sysSkills!$J42&lt;&gt;"Yes",sysIncidents!$J42=0,$M42&lt;&gt;""),"Yes","No"))</f>
        <v/>
      </c>
      <c r="U42" s="15">
        <f>IF($T42&lt;&gt;"Yes","",SUMPRODUCT(($T$6:$T$55="Yes")*(($S$6:$S$55&gt;$S42)+($S$6:$S$55=$S42)*(ROW($S$6:$S$55)&lt;ROW())))+1)</f>
        <v/>
      </c>
      <c r="V42" s="15">
        <f>IF($B42="","",IF(AND(OR($E42=0,$I42&gt;=cfgThresholdScore),OR($F42=0,$J42&gt;=cfgThresholdScore),OR(N($G42)=0,$K42&gt;=cfgThresholdScore),OR($H42=0,$L42&gt;=cfgThresholdScore)),"Yes","No"))</f>
        <v/>
      </c>
      <c r="W42" s="15">
        <f>IF($B42="","",_xlfn.LET(_xlpm.tot,COUNTIFS(rngEPuse,"Yes",rngEPtype,"Major"),_xlpm.left,_xlpm.tot-$E42,IF(_xlpm.left&lt;=0,"done",MAX(0,ROUND((cfgThresholdScore*_xlpm.tot-N($I42)*$E42)/_xlpm.left,1)))))</f>
        <v/>
      </c>
      <c r="X42" s="15">
        <f>IF($B42="","",_xlfn.LET(_xlpm.tot,COUNTIFS(rngEPuse,"Yes",rngEPtype,"Minor"),_xlpm.left,_xlpm.tot-$F42,IF(_xlpm.left&lt;=0,"done",MAX(0,ROUND((cfgThresholdScore*_xlpm.tot-N($J42)*$F42)/_xlpm.left,1)))))</f>
        <v/>
      </c>
      <c r="Y42" s="15">
        <f>IF($B42="","",IF($H42&gt;0,"done",cfgThresholdScore))</f>
        <v/>
      </c>
      <c r="Z42" s="15">
        <f>IF($B42="","",_xlfn.LET(_xlpm.s,_xlfn.MAXIFS(nrES_Seq,nrES_PID,$B42,nrES_Att,1,nrES_Raw,"&gt;=0"),IF(_xlpm.s=0,"",SUMIFS(nrES_Raw,nrES_PID,$B42,nrES_Att,1,nrES_Seq,_xlpm.s))))</f>
        <v/>
      </c>
      <c r="AA42" s="15">
        <f>IF($B42="","",_xlfn.LET(_xlpm.s,_xlfn.MAXIFS(nrES_Seq,nrES_PID,$B42,nrES_Att,1,nrES_Raw,"&gt;=0"),IF(_xlpm.s=0,"",_xlfn.LET(_xlpm.p,_xlfn.MAXIFS(nrES_Seq,nrES_PID,$B42,nrES_Att,1,nrES_Seq,"&lt;"&amp;_xlpm.s),IF(_xlpm.p=0,"",SUMIFS(nrES_Raw,nrES_PID,$B42,nrES_Att,1,nrES_Seq,_xlpm.p))))))</f>
        <v/>
      </c>
      <c r="AB42" s="15">
        <f>IF(OR($B42="",$Z42="",$AA42=""),"",ROUND($AA42-$Z42,1))</f>
        <v/>
      </c>
      <c r="AC42" s="15">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5">
        <f>IF(Cadets!$B43="","",Cadets!$B43)</f>
        <v/>
      </c>
      <c r="C43" s="15">
        <f>IF($B43="","",Cadets!$F43)</f>
        <v/>
      </c>
      <c r="D43" s="15">
        <f>IF($B43="","",Cadets!$I43)</f>
        <v/>
      </c>
      <c r="E43" s="15">
        <f>IF($B43="","",COUNTIFS(nrES_PID,$B43,nrES_Type,"Major",nrES_Final,"Yes"))</f>
        <v/>
      </c>
      <c r="F43" s="15">
        <f>IF($B43="","",COUNTIFS(nrES_PID,$B43,nrES_Type,"Minor",nrES_Final,"Yes"))</f>
        <v/>
      </c>
      <c r="G43" s="15">
        <f>IF($B43="","",Spelling!Q43)</f>
        <v/>
      </c>
      <c r="H43" s="15">
        <f>IF($B43="","",COUNTIFS(nrES_PID,$B43,nrES_Type,"Final",nrES_Final,"Yes"))</f>
        <v/>
      </c>
      <c r="I43" s="15">
        <f>IF(OR($B43="",$E43=0),"",ROUND(AVERAGEIFS(nrES_Rec,nrES_PID,$B43,nrES_Type,"Major",nrES_Final,"Yes"),2))</f>
        <v/>
      </c>
      <c r="J43" s="15">
        <f>IF(OR($B43="",$F43=0),"",ROUND(AVERAGEIFS(nrES_Rec,nrES_PID,$B43,nrES_Type,"Minor",nrES_Final,"Yes"),2))</f>
        <v/>
      </c>
      <c r="K43" s="15">
        <f>IF($B43="","",Spelling!P43)</f>
        <v/>
      </c>
      <c r="L43" s="15">
        <f>IF(OR($B43="",$H43=0),"",ROUND(AVERAGEIFS(nrES_Rec,nrES_PID,$B43,nrES_Type,"Final",nrES_Final,"Yes"),2))</f>
        <v/>
      </c>
      <c r="M43" s="15">
        <f>IF($B43="","",_xlfn.LET(_xlpm.w,($E43&gt;0)*cfgWeightMajor+($F43&gt;0)*cfgWeightMinor+(N($G43)&gt;0)*cfgWeightSpelling+($H43&gt;0)*cfgWeightFinal,IF(_xlpm.w=0,"",ROUND((($E43&gt;0)*cfgWeightMajor*N($I43)+($F43&gt;0)*cfgWeightMinor*N($J43)+(N($G43)&gt;0)*cfgWeightSpelling*N($K43)+($H43&gt;0)*cfgWeightFinal*N($L43))/_xlpm.w,2))))</f>
        <v/>
      </c>
      <c r="N43" s="15">
        <f>IF(OR($B43="",$H43=0),"",$M43)</f>
        <v/>
      </c>
      <c r="O43" s="15">
        <f>IF($B43="","",COUNTIFS(nrES_PID,$B43,nrES_Att,2))</f>
        <v/>
      </c>
      <c r="P43" s="15">
        <f>IF($B43="","",COUNTIFS(nrES_PID,$B43,nrES_Dis,"Yes"))</f>
        <v/>
      </c>
      <c r="Q43" s="15">
        <f>IF($B43="","",IF(AND($E43&gt;=cfgThresholdAfterExam,$I43&lt;&gt;"",$I43&lt;cfgThresholdScore),"Yes","No"))</f>
        <v/>
      </c>
      <c r="R43" s="15">
        <f>IF($B43="","",IF(AND($F43&gt;=cfgThresholdAfterExam,$J43&lt;&gt;"",$J43&lt;cfgThresholdScore),"Yes","No"))</f>
        <v/>
      </c>
      <c r="S43" s="15">
        <f>IF($B43="","",IF($M43="",-1,$M43))</f>
        <v/>
      </c>
      <c r="T43" s="15">
        <f>IF($B43="","",IF(AND($D43="Active",$P43=0,sysSkills!$J43&lt;&gt;"Yes",sysIncidents!$J43=0,$M43&lt;&gt;""),"Yes","No"))</f>
        <v/>
      </c>
      <c r="U43" s="15">
        <f>IF($T43&lt;&gt;"Yes","",SUMPRODUCT(($T$6:$T$55="Yes")*(($S$6:$S$55&gt;$S43)+($S$6:$S$55=$S43)*(ROW($S$6:$S$55)&lt;ROW())))+1)</f>
        <v/>
      </c>
      <c r="V43" s="15">
        <f>IF($B43="","",IF(AND(OR($E43=0,$I43&gt;=cfgThresholdScore),OR($F43=0,$J43&gt;=cfgThresholdScore),OR(N($G43)=0,$K43&gt;=cfgThresholdScore),OR($H43=0,$L43&gt;=cfgThresholdScore)),"Yes","No"))</f>
        <v/>
      </c>
      <c r="W43" s="15">
        <f>IF($B43="","",_xlfn.LET(_xlpm.tot,COUNTIFS(rngEPuse,"Yes",rngEPtype,"Major"),_xlpm.left,_xlpm.tot-$E43,IF(_xlpm.left&lt;=0,"done",MAX(0,ROUND((cfgThresholdScore*_xlpm.tot-N($I43)*$E43)/_xlpm.left,1)))))</f>
        <v/>
      </c>
      <c r="X43" s="15">
        <f>IF($B43="","",_xlfn.LET(_xlpm.tot,COUNTIFS(rngEPuse,"Yes",rngEPtype,"Minor"),_xlpm.left,_xlpm.tot-$F43,IF(_xlpm.left&lt;=0,"done",MAX(0,ROUND((cfgThresholdScore*_xlpm.tot-N($J43)*$F43)/_xlpm.left,1)))))</f>
        <v/>
      </c>
      <c r="Y43" s="15">
        <f>IF($B43="","",IF($H43&gt;0,"done",cfgThresholdScore))</f>
        <v/>
      </c>
      <c r="Z43" s="15">
        <f>IF($B43="","",_xlfn.LET(_xlpm.s,_xlfn.MAXIFS(nrES_Seq,nrES_PID,$B43,nrES_Att,1,nrES_Raw,"&gt;=0"),IF(_xlpm.s=0,"",SUMIFS(nrES_Raw,nrES_PID,$B43,nrES_Att,1,nrES_Seq,_xlpm.s))))</f>
        <v/>
      </c>
      <c r="AA43" s="15">
        <f>IF($B43="","",_xlfn.LET(_xlpm.s,_xlfn.MAXIFS(nrES_Seq,nrES_PID,$B43,nrES_Att,1,nrES_Raw,"&gt;=0"),IF(_xlpm.s=0,"",_xlfn.LET(_xlpm.p,_xlfn.MAXIFS(nrES_Seq,nrES_PID,$B43,nrES_Att,1,nrES_Seq,"&lt;"&amp;_xlpm.s),IF(_xlpm.p=0,"",SUMIFS(nrES_Raw,nrES_PID,$B43,nrES_Att,1,nrES_Seq,_xlpm.p))))))</f>
        <v/>
      </c>
      <c r="AB43" s="15">
        <f>IF(OR($B43="",$Z43="",$AA43=""),"",ROUND($AA43-$Z43,1))</f>
        <v/>
      </c>
      <c r="AC43" s="15">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5">
        <f>IF(Cadets!$B44="","",Cadets!$B44)</f>
        <v/>
      </c>
      <c r="C44" s="15">
        <f>IF($B44="","",Cadets!$F44)</f>
        <v/>
      </c>
      <c r="D44" s="15">
        <f>IF($B44="","",Cadets!$I44)</f>
        <v/>
      </c>
      <c r="E44" s="15">
        <f>IF($B44="","",COUNTIFS(nrES_PID,$B44,nrES_Type,"Major",nrES_Final,"Yes"))</f>
        <v/>
      </c>
      <c r="F44" s="15">
        <f>IF($B44="","",COUNTIFS(nrES_PID,$B44,nrES_Type,"Minor",nrES_Final,"Yes"))</f>
        <v/>
      </c>
      <c r="G44" s="15">
        <f>IF($B44="","",Spelling!Q44)</f>
        <v/>
      </c>
      <c r="H44" s="15">
        <f>IF($B44="","",COUNTIFS(nrES_PID,$B44,nrES_Type,"Final",nrES_Final,"Yes"))</f>
        <v/>
      </c>
      <c r="I44" s="15">
        <f>IF(OR($B44="",$E44=0),"",ROUND(AVERAGEIFS(nrES_Rec,nrES_PID,$B44,nrES_Type,"Major",nrES_Final,"Yes"),2))</f>
        <v/>
      </c>
      <c r="J44" s="15">
        <f>IF(OR($B44="",$F44=0),"",ROUND(AVERAGEIFS(nrES_Rec,nrES_PID,$B44,nrES_Type,"Minor",nrES_Final,"Yes"),2))</f>
        <v/>
      </c>
      <c r="K44" s="15">
        <f>IF($B44="","",Spelling!P44)</f>
        <v/>
      </c>
      <c r="L44" s="15">
        <f>IF(OR($B44="",$H44=0),"",ROUND(AVERAGEIFS(nrES_Rec,nrES_PID,$B44,nrES_Type,"Final",nrES_Final,"Yes"),2))</f>
        <v/>
      </c>
      <c r="M44" s="15">
        <f>IF($B44="","",_xlfn.LET(_xlpm.w,($E44&gt;0)*cfgWeightMajor+($F44&gt;0)*cfgWeightMinor+(N($G44)&gt;0)*cfgWeightSpelling+($H44&gt;0)*cfgWeightFinal,IF(_xlpm.w=0,"",ROUND((($E44&gt;0)*cfgWeightMajor*N($I44)+($F44&gt;0)*cfgWeightMinor*N($J44)+(N($G44)&gt;0)*cfgWeightSpelling*N($K44)+($H44&gt;0)*cfgWeightFinal*N($L44))/_xlpm.w,2))))</f>
        <v/>
      </c>
      <c r="N44" s="15">
        <f>IF(OR($B44="",$H44=0),"",$M44)</f>
        <v/>
      </c>
      <c r="O44" s="15">
        <f>IF($B44="","",COUNTIFS(nrES_PID,$B44,nrES_Att,2))</f>
        <v/>
      </c>
      <c r="P44" s="15">
        <f>IF($B44="","",COUNTIFS(nrES_PID,$B44,nrES_Dis,"Yes"))</f>
        <v/>
      </c>
      <c r="Q44" s="15">
        <f>IF($B44="","",IF(AND($E44&gt;=cfgThresholdAfterExam,$I44&lt;&gt;"",$I44&lt;cfgThresholdScore),"Yes","No"))</f>
        <v/>
      </c>
      <c r="R44" s="15">
        <f>IF($B44="","",IF(AND($F44&gt;=cfgThresholdAfterExam,$J44&lt;&gt;"",$J44&lt;cfgThresholdScore),"Yes","No"))</f>
        <v/>
      </c>
      <c r="S44" s="15">
        <f>IF($B44="","",IF($M44="",-1,$M44))</f>
        <v/>
      </c>
      <c r="T44" s="15">
        <f>IF($B44="","",IF(AND($D44="Active",$P44=0,sysSkills!$J44&lt;&gt;"Yes",sysIncidents!$J44=0,$M44&lt;&gt;""),"Yes","No"))</f>
        <v/>
      </c>
      <c r="U44" s="15">
        <f>IF($T44&lt;&gt;"Yes","",SUMPRODUCT(($T$6:$T$55="Yes")*(($S$6:$S$55&gt;$S44)+($S$6:$S$55=$S44)*(ROW($S$6:$S$55)&lt;ROW())))+1)</f>
        <v/>
      </c>
      <c r="V44" s="15">
        <f>IF($B44="","",IF(AND(OR($E44=0,$I44&gt;=cfgThresholdScore),OR($F44=0,$J44&gt;=cfgThresholdScore),OR(N($G44)=0,$K44&gt;=cfgThresholdScore),OR($H44=0,$L44&gt;=cfgThresholdScore)),"Yes","No"))</f>
        <v/>
      </c>
      <c r="W44" s="15">
        <f>IF($B44="","",_xlfn.LET(_xlpm.tot,COUNTIFS(rngEPuse,"Yes",rngEPtype,"Major"),_xlpm.left,_xlpm.tot-$E44,IF(_xlpm.left&lt;=0,"done",MAX(0,ROUND((cfgThresholdScore*_xlpm.tot-N($I44)*$E44)/_xlpm.left,1)))))</f>
        <v/>
      </c>
      <c r="X44" s="15">
        <f>IF($B44="","",_xlfn.LET(_xlpm.tot,COUNTIFS(rngEPuse,"Yes",rngEPtype,"Minor"),_xlpm.left,_xlpm.tot-$F44,IF(_xlpm.left&lt;=0,"done",MAX(0,ROUND((cfgThresholdScore*_xlpm.tot-N($J44)*$F44)/_xlpm.left,1)))))</f>
        <v/>
      </c>
      <c r="Y44" s="15">
        <f>IF($B44="","",IF($H44&gt;0,"done",cfgThresholdScore))</f>
        <v/>
      </c>
      <c r="Z44" s="15">
        <f>IF($B44="","",_xlfn.LET(_xlpm.s,_xlfn.MAXIFS(nrES_Seq,nrES_PID,$B44,nrES_Att,1,nrES_Raw,"&gt;=0"),IF(_xlpm.s=0,"",SUMIFS(nrES_Raw,nrES_PID,$B44,nrES_Att,1,nrES_Seq,_xlpm.s))))</f>
        <v/>
      </c>
      <c r="AA44" s="15">
        <f>IF($B44="","",_xlfn.LET(_xlpm.s,_xlfn.MAXIFS(nrES_Seq,nrES_PID,$B44,nrES_Att,1,nrES_Raw,"&gt;=0"),IF(_xlpm.s=0,"",_xlfn.LET(_xlpm.p,_xlfn.MAXIFS(nrES_Seq,nrES_PID,$B44,nrES_Att,1,nrES_Seq,"&lt;"&amp;_xlpm.s),IF(_xlpm.p=0,"",SUMIFS(nrES_Raw,nrES_PID,$B44,nrES_Att,1,nrES_Seq,_xlpm.p))))))</f>
        <v/>
      </c>
      <c r="AB44" s="15">
        <f>IF(OR($B44="",$Z44="",$AA44=""),"",ROUND($AA44-$Z44,1))</f>
        <v/>
      </c>
      <c r="AC44" s="15">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5">
        <f>IF(Cadets!$B45="","",Cadets!$B45)</f>
        <v/>
      </c>
      <c r="C45" s="15">
        <f>IF($B45="","",Cadets!$F45)</f>
        <v/>
      </c>
      <c r="D45" s="15">
        <f>IF($B45="","",Cadets!$I45)</f>
        <v/>
      </c>
      <c r="E45" s="15">
        <f>IF($B45="","",COUNTIFS(nrES_PID,$B45,nrES_Type,"Major",nrES_Final,"Yes"))</f>
        <v/>
      </c>
      <c r="F45" s="15">
        <f>IF($B45="","",COUNTIFS(nrES_PID,$B45,nrES_Type,"Minor",nrES_Final,"Yes"))</f>
        <v/>
      </c>
      <c r="G45" s="15">
        <f>IF($B45="","",Spelling!Q45)</f>
        <v/>
      </c>
      <c r="H45" s="15">
        <f>IF($B45="","",COUNTIFS(nrES_PID,$B45,nrES_Type,"Final",nrES_Final,"Yes"))</f>
        <v/>
      </c>
      <c r="I45" s="15">
        <f>IF(OR($B45="",$E45=0),"",ROUND(AVERAGEIFS(nrES_Rec,nrES_PID,$B45,nrES_Type,"Major",nrES_Final,"Yes"),2))</f>
        <v/>
      </c>
      <c r="J45" s="15">
        <f>IF(OR($B45="",$F45=0),"",ROUND(AVERAGEIFS(nrES_Rec,nrES_PID,$B45,nrES_Type,"Minor",nrES_Final,"Yes"),2))</f>
        <v/>
      </c>
      <c r="K45" s="15">
        <f>IF($B45="","",Spelling!P45)</f>
        <v/>
      </c>
      <c r="L45" s="15">
        <f>IF(OR($B45="",$H45=0),"",ROUND(AVERAGEIFS(nrES_Rec,nrES_PID,$B45,nrES_Type,"Final",nrES_Final,"Yes"),2))</f>
        <v/>
      </c>
      <c r="M45" s="15">
        <f>IF($B45="","",_xlfn.LET(_xlpm.w,($E45&gt;0)*cfgWeightMajor+($F45&gt;0)*cfgWeightMinor+(N($G45)&gt;0)*cfgWeightSpelling+($H45&gt;0)*cfgWeightFinal,IF(_xlpm.w=0,"",ROUND((($E45&gt;0)*cfgWeightMajor*N($I45)+($F45&gt;0)*cfgWeightMinor*N($J45)+(N($G45)&gt;0)*cfgWeightSpelling*N($K45)+($H45&gt;0)*cfgWeightFinal*N($L45))/_xlpm.w,2))))</f>
        <v/>
      </c>
      <c r="N45" s="15">
        <f>IF(OR($B45="",$H45=0),"",$M45)</f>
        <v/>
      </c>
      <c r="O45" s="15">
        <f>IF($B45="","",COUNTIFS(nrES_PID,$B45,nrES_Att,2))</f>
        <v/>
      </c>
      <c r="P45" s="15">
        <f>IF($B45="","",COUNTIFS(nrES_PID,$B45,nrES_Dis,"Yes"))</f>
        <v/>
      </c>
      <c r="Q45" s="15">
        <f>IF($B45="","",IF(AND($E45&gt;=cfgThresholdAfterExam,$I45&lt;&gt;"",$I45&lt;cfgThresholdScore),"Yes","No"))</f>
        <v/>
      </c>
      <c r="R45" s="15">
        <f>IF($B45="","",IF(AND($F45&gt;=cfgThresholdAfterExam,$J45&lt;&gt;"",$J45&lt;cfgThresholdScore),"Yes","No"))</f>
        <v/>
      </c>
      <c r="S45" s="15">
        <f>IF($B45="","",IF($M45="",-1,$M45))</f>
        <v/>
      </c>
      <c r="T45" s="15">
        <f>IF($B45="","",IF(AND($D45="Active",$P45=0,sysSkills!$J45&lt;&gt;"Yes",sysIncidents!$J45=0,$M45&lt;&gt;""),"Yes","No"))</f>
        <v/>
      </c>
      <c r="U45" s="15">
        <f>IF($T45&lt;&gt;"Yes","",SUMPRODUCT(($T$6:$T$55="Yes")*(($S$6:$S$55&gt;$S45)+($S$6:$S$55=$S45)*(ROW($S$6:$S$55)&lt;ROW())))+1)</f>
        <v/>
      </c>
      <c r="V45" s="15">
        <f>IF($B45="","",IF(AND(OR($E45=0,$I45&gt;=cfgThresholdScore),OR($F45=0,$J45&gt;=cfgThresholdScore),OR(N($G45)=0,$K45&gt;=cfgThresholdScore),OR($H45=0,$L45&gt;=cfgThresholdScore)),"Yes","No"))</f>
        <v/>
      </c>
      <c r="W45" s="15">
        <f>IF($B45="","",_xlfn.LET(_xlpm.tot,COUNTIFS(rngEPuse,"Yes",rngEPtype,"Major"),_xlpm.left,_xlpm.tot-$E45,IF(_xlpm.left&lt;=0,"done",MAX(0,ROUND((cfgThresholdScore*_xlpm.tot-N($I45)*$E45)/_xlpm.left,1)))))</f>
        <v/>
      </c>
      <c r="X45" s="15">
        <f>IF($B45="","",_xlfn.LET(_xlpm.tot,COUNTIFS(rngEPuse,"Yes",rngEPtype,"Minor"),_xlpm.left,_xlpm.tot-$F45,IF(_xlpm.left&lt;=0,"done",MAX(0,ROUND((cfgThresholdScore*_xlpm.tot-N($J45)*$F45)/_xlpm.left,1)))))</f>
        <v/>
      </c>
      <c r="Y45" s="15">
        <f>IF($B45="","",IF($H45&gt;0,"done",cfgThresholdScore))</f>
        <v/>
      </c>
      <c r="Z45" s="15">
        <f>IF($B45="","",_xlfn.LET(_xlpm.s,_xlfn.MAXIFS(nrES_Seq,nrES_PID,$B45,nrES_Att,1,nrES_Raw,"&gt;=0"),IF(_xlpm.s=0,"",SUMIFS(nrES_Raw,nrES_PID,$B45,nrES_Att,1,nrES_Seq,_xlpm.s))))</f>
        <v/>
      </c>
      <c r="AA45" s="15">
        <f>IF($B45="","",_xlfn.LET(_xlpm.s,_xlfn.MAXIFS(nrES_Seq,nrES_PID,$B45,nrES_Att,1,nrES_Raw,"&gt;=0"),IF(_xlpm.s=0,"",_xlfn.LET(_xlpm.p,_xlfn.MAXIFS(nrES_Seq,nrES_PID,$B45,nrES_Att,1,nrES_Seq,"&lt;"&amp;_xlpm.s),IF(_xlpm.p=0,"",SUMIFS(nrES_Raw,nrES_PID,$B45,nrES_Att,1,nrES_Seq,_xlpm.p))))))</f>
        <v/>
      </c>
      <c r="AB45" s="15">
        <f>IF(OR($B45="",$Z45="",$AA45=""),"",ROUND($AA45-$Z45,1))</f>
        <v/>
      </c>
      <c r="AC45" s="15">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5">
        <f>IF(Cadets!$B46="","",Cadets!$B46)</f>
        <v/>
      </c>
      <c r="C46" s="15">
        <f>IF($B46="","",Cadets!$F46)</f>
        <v/>
      </c>
      <c r="D46" s="15">
        <f>IF($B46="","",Cadets!$I46)</f>
        <v/>
      </c>
      <c r="E46" s="15">
        <f>IF($B46="","",COUNTIFS(nrES_PID,$B46,nrES_Type,"Major",nrES_Final,"Yes"))</f>
        <v/>
      </c>
      <c r="F46" s="15">
        <f>IF($B46="","",COUNTIFS(nrES_PID,$B46,nrES_Type,"Minor",nrES_Final,"Yes"))</f>
        <v/>
      </c>
      <c r="G46" s="15">
        <f>IF($B46="","",Spelling!Q46)</f>
        <v/>
      </c>
      <c r="H46" s="15">
        <f>IF($B46="","",COUNTIFS(nrES_PID,$B46,nrES_Type,"Final",nrES_Final,"Yes"))</f>
        <v/>
      </c>
      <c r="I46" s="15">
        <f>IF(OR($B46="",$E46=0),"",ROUND(AVERAGEIFS(nrES_Rec,nrES_PID,$B46,nrES_Type,"Major",nrES_Final,"Yes"),2))</f>
        <v/>
      </c>
      <c r="J46" s="15">
        <f>IF(OR($B46="",$F46=0),"",ROUND(AVERAGEIFS(nrES_Rec,nrES_PID,$B46,nrES_Type,"Minor",nrES_Final,"Yes"),2))</f>
        <v/>
      </c>
      <c r="K46" s="15">
        <f>IF($B46="","",Spelling!P46)</f>
        <v/>
      </c>
      <c r="L46" s="15">
        <f>IF(OR($B46="",$H46=0),"",ROUND(AVERAGEIFS(nrES_Rec,nrES_PID,$B46,nrES_Type,"Final",nrES_Final,"Yes"),2))</f>
        <v/>
      </c>
      <c r="M46" s="15">
        <f>IF($B46="","",_xlfn.LET(_xlpm.w,($E46&gt;0)*cfgWeightMajor+($F46&gt;0)*cfgWeightMinor+(N($G46)&gt;0)*cfgWeightSpelling+($H46&gt;0)*cfgWeightFinal,IF(_xlpm.w=0,"",ROUND((($E46&gt;0)*cfgWeightMajor*N($I46)+($F46&gt;0)*cfgWeightMinor*N($J46)+(N($G46)&gt;0)*cfgWeightSpelling*N($K46)+($H46&gt;0)*cfgWeightFinal*N($L46))/_xlpm.w,2))))</f>
        <v/>
      </c>
      <c r="N46" s="15">
        <f>IF(OR($B46="",$H46=0),"",$M46)</f>
        <v/>
      </c>
      <c r="O46" s="15">
        <f>IF($B46="","",COUNTIFS(nrES_PID,$B46,nrES_Att,2))</f>
        <v/>
      </c>
      <c r="P46" s="15">
        <f>IF($B46="","",COUNTIFS(nrES_PID,$B46,nrES_Dis,"Yes"))</f>
        <v/>
      </c>
      <c r="Q46" s="15">
        <f>IF($B46="","",IF(AND($E46&gt;=cfgThresholdAfterExam,$I46&lt;&gt;"",$I46&lt;cfgThresholdScore),"Yes","No"))</f>
        <v/>
      </c>
      <c r="R46" s="15">
        <f>IF($B46="","",IF(AND($F46&gt;=cfgThresholdAfterExam,$J46&lt;&gt;"",$J46&lt;cfgThresholdScore),"Yes","No"))</f>
        <v/>
      </c>
      <c r="S46" s="15">
        <f>IF($B46="","",IF($M46="",-1,$M46))</f>
        <v/>
      </c>
      <c r="T46" s="15">
        <f>IF($B46="","",IF(AND($D46="Active",$P46=0,sysSkills!$J46&lt;&gt;"Yes",sysIncidents!$J46=0,$M46&lt;&gt;""),"Yes","No"))</f>
        <v/>
      </c>
      <c r="U46" s="15">
        <f>IF($T46&lt;&gt;"Yes","",SUMPRODUCT(($T$6:$T$55="Yes")*(($S$6:$S$55&gt;$S46)+($S$6:$S$55=$S46)*(ROW($S$6:$S$55)&lt;ROW())))+1)</f>
        <v/>
      </c>
      <c r="V46" s="15">
        <f>IF($B46="","",IF(AND(OR($E46=0,$I46&gt;=cfgThresholdScore),OR($F46=0,$J46&gt;=cfgThresholdScore),OR(N($G46)=0,$K46&gt;=cfgThresholdScore),OR($H46=0,$L46&gt;=cfgThresholdScore)),"Yes","No"))</f>
        <v/>
      </c>
      <c r="W46" s="15">
        <f>IF($B46="","",_xlfn.LET(_xlpm.tot,COUNTIFS(rngEPuse,"Yes",rngEPtype,"Major"),_xlpm.left,_xlpm.tot-$E46,IF(_xlpm.left&lt;=0,"done",MAX(0,ROUND((cfgThresholdScore*_xlpm.tot-N($I46)*$E46)/_xlpm.left,1)))))</f>
        <v/>
      </c>
      <c r="X46" s="15">
        <f>IF($B46="","",_xlfn.LET(_xlpm.tot,COUNTIFS(rngEPuse,"Yes",rngEPtype,"Minor"),_xlpm.left,_xlpm.tot-$F46,IF(_xlpm.left&lt;=0,"done",MAX(0,ROUND((cfgThresholdScore*_xlpm.tot-N($J46)*$F46)/_xlpm.left,1)))))</f>
        <v/>
      </c>
      <c r="Y46" s="15">
        <f>IF($B46="","",IF($H46&gt;0,"done",cfgThresholdScore))</f>
        <v/>
      </c>
      <c r="Z46" s="15">
        <f>IF($B46="","",_xlfn.LET(_xlpm.s,_xlfn.MAXIFS(nrES_Seq,nrES_PID,$B46,nrES_Att,1,nrES_Raw,"&gt;=0"),IF(_xlpm.s=0,"",SUMIFS(nrES_Raw,nrES_PID,$B46,nrES_Att,1,nrES_Seq,_xlpm.s))))</f>
        <v/>
      </c>
      <c r="AA46" s="15">
        <f>IF($B46="","",_xlfn.LET(_xlpm.s,_xlfn.MAXIFS(nrES_Seq,nrES_PID,$B46,nrES_Att,1,nrES_Raw,"&gt;=0"),IF(_xlpm.s=0,"",_xlfn.LET(_xlpm.p,_xlfn.MAXIFS(nrES_Seq,nrES_PID,$B46,nrES_Att,1,nrES_Seq,"&lt;"&amp;_xlpm.s),IF(_xlpm.p=0,"",SUMIFS(nrES_Raw,nrES_PID,$B46,nrES_Att,1,nrES_Seq,_xlpm.p))))))</f>
        <v/>
      </c>
      <c r="AB46" s="15">
        <f>IF(OR($B46="",$Z46="",$AA46=""),"",ROUND($AA46-$Z46,1))</f>
        <v/>
      </c>
      <c r="AC46" s="15">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5">
        <f>IF(Cadets!$B47="","",Cadets!$B47)</f>
        <v/>
      </c>
      <c r="C47" s="15">
        <f>IF($B47="","",Cadets!$F47)</f>
        <v/>
      </c>
      <c r="D47" s="15">
        <f>IF($B47="","",Cadets!$I47)</f>
        <v/>
      </c>
      <c r="E47" s="15">
        <f>IF($B47="","",COUNTIFS(nrES_PID,$B47,nrES_Type,"Major",nrES_Final,"Yes"))</f>
        <v/>
      </c>
      <c r="F47" s="15">
        <f>IF($B47="","",COUNTIFS(nrES_PID,$B47,nrES_Type,"Minor",nrES_Final,"Yes"))</f>
        <v/>
      </c>
      <c r="G47" s="15">
        <f>IF($B47="","",Spelling!Q47)</f>
        <v/>
      </c>
      <c r="H47" s="15">
        <f>IF($B47="","",COUNTIFS(nrES_PID,$B47,nrES_Type,"Final",nrES_Final,"Yes"))</f>
        <v/>
      </c>
      <c r="I47" s="15">
        <f>IF(OR($B47="",$E47=0),"",ROUND(AVERAGEIFS(nrES_Rec,nrES_PID,$B47,nrES_Type,"Major",nrES_Final,"Yes"),2))</f>
        <v/>
      </c>
      <c r="J47" s="15">
        <f>IF(OR($B47="",$F47=0),"",ROUND(AVERAGEIFS(nrES_Rec,nrES_PID,$B47,nrES_Type,"Minor",nrES_Final,"Yes"),2))</f>
        <v/>
      </c>
      <c r="K47" s="15">
        <f>IF($B47="","",Spelling!P47)</f>
        <v/>
      </c>
      <c r="L47" s="15">
        <f>IF(OR($B47="",$H47=0),"",ROUND(AVERAGEIFS(nrES_Rec,nrES_PID,$B47,nrES_Type,"Final",nrES_Final,"Yes"),2))</f>
        <v/>
      </c>
      <c r="M47" s="15">
        <f>IF($B47="","",_xlfn.LET(_xlpm.w,($E47&gt;0)*cfgWeightMajor+($F47&gt;0)*cfgWeightMinor+(N($G47)&gt;0)*cfgWeightSpelling+($H47&gt;0)*cfgWeightFinal,IF(_xlpm.w=0,"",ROUND((($E47&gt;0)*cfgWeightMajor*N($I47)+($F47&gt;0)*cfgWeightMinor*N($J47)+(N($G47)&gt;0)*cfgWeightSpelling*N($K47)+($H47&gt;0)*cfgWeightFinal*N($L47))/_xlpm.w,2))))</f>
        <v/>
      </c>
      <c r="N47" s="15">
        <f>IF(OR($B47="",$H47=0),"",$M47)</f>
        <v/>
      </c>
      <c r="O47" s="15">
        <f>IF($B47="","",COUNTIFS(nrES_PID,$B47,nrES_Att,2))</f>
        <v/>
      </c>
      <c r="P47" s="15">
        <f>IF($B47="","",COUNTIFS(nrES_PID,$B47,nrES_Dis,"Yes"))</f>
        <v/>
      </c>
      <c r="Q47" s="15">
        <f>IF($B47="","",IF(AND($E47&gt;=cfgThresholdAfterExam,$I47&lt;&gt;"",$I47&lt;cfgThresholdScore),"Yes","No"))</f>
        <v/>
      </c>
      <c r="R47" s="15">
        <f>IF($B47="","",IF(AND($F47&gt;=cfgThresholdAfterExam,$J47&lt;&gt;"",$J47&lt;cfgThresholdScore),"Yes","No"))</f>
        <v/>
      </c>
      <c r="S47" s="15">
        <f>IF($B47="","",IF($M47="",-1,$M47))</f>
        <v/>
      </c>
      <c r="T47" s="15">
        <f>IF($B47="","",IF(AND($D47="Active",$P47=0,sysSkills!$J47&lt;&gt;"Yes",sysIncidents!$J47=0,$M47&lt;&gt;""),"Yes","No"))</f>
        <v/>
      </c>
      <c r="U47" s="15">
        <f>IF($T47&lt;&gt;"Yes","",SUMPRODUCT(($T$6:$T$55="Yes")*(($S$6:$S$55&gt;$S47)+($S$6:$S$55=$S47)*(ROW($S$6:$S$55)&lt;ROW())))+1)</f>
        <v/>
      </c>
      <c r="V47" s="15">
        <f>IF($B47="","",IF(AND(OR($E47=0,$I47&gt;=cfgThresholdScore),OR($F47=0,$J47&gt;=cfgThresholdScore),OR(N($G47)=0,$K47&gt;=cfgThresholdScore),OR($H47=0,$L47&gt;=cfgThresholdScore)),"Yes","No"))</f>
        <v/>
      </c>
      <c r="W47" s="15">
        <f>IF($B47="","",_xlfn.LET(_xlpm.tot,COUNTIFS(rngEPuse,"Yes",rngEPtype,"Major"),_xlpm.left,_xlpm.tot-$E47,IF(_xlpm.left&lt;=0,"done",MAX(0,ROUND((cfgThresholdScore*_xlpm.tot-N($I47)*$E47)/_xlpm.left,1)))))</f>
        <v/>
      </c>
      <c r="X47" s="15">
        <f>IF($B47="","",_xlfn.LET(_xlpm.tot,COUNTIFS(rngEPuse,"Yes",rngEPtype,"Minor"),_xlpm.left,_xlpm.tot-$F47,IF(_xlpm.left&lt;=0,"done",MAX(0,ROUND((cfgThresholdScore*_xlpm.tot-N($J47)*$F47)/_xlpm.left,1)))))</f>
        <v/>
      </c>
      <c r="Y47" s="15">
        <f>IF($B47="","",IF($H47&gt;0,"done",cfgThresholdScore))</f>
        <v/>
      </c>
      <c r="Z47" s="15">
        <f>IF($B47="","",_xlfn.LET(_xlpm.s,_xlfn.MAXIFS(nrES_Seq,nrES_PID,$B47,nrES_Att,1,nrES_Raw,"&gt;=0"),IF(_xlpm.s=0,"",SUMIFS(nrES_Raw,nrES_PID,$B47,nrES_Att,1,nrES_Seq,_xlpm.s))))</f>
        <v/>
      </c>
      <c r="AA47" s="15">
        <f>IF($B47="","",_xlfn.LET(_xlpm.s,_xlfn.MAXIFS(nrES_Seq,nrES_PID,$B47,nrES_Att,1,nrES_Raw,"&gt;=0"),IF(_xlpm.s=0,"",_xlfn.LET(_xlpm.p,_xlfn.MAXIFS(nrES_Seq,nrES_PID,$B47,nrES_Att,1,nrES_Seq,"&lt;"&amp;_xlpm.s),IF(_xlpm.p=0,"",SUMIFS(nrES_Raw,nrES_PID,$B47,nrES_Att,1,nrES_Seq,_xlpm.p))))))</f>
        <v/>
      </c>
      <c r="AB47" s="15">
        <f>IF(OR($B47="",$Z47="",$AA47=""),"",ROUND($AA47-$Z47,1))</f>
        <v/>
      </c>
      <c r="AC47" s="15">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5">
        <f>IF(Cadets!$B48="","",Cadets!$B48)</f>
        <v/>
      </c>
      <c r="C48" s="15">
        <f>IF($B48="","",Cadets!$F48)</f>
        <v/>
      </c>
      <c r="D48" s="15">
        <f>IF($B48="","",Cadets!$I48)</f>
        <v/>
      </c>
      <c r="E48" s="15">
        <f>IF($B48="","",COUNTIFS(nrES_PID,$B48,nrES_Type,"Major",nrES_Final,"Yes"))</f>
        <v/>
      </c>
      <c r="F48" s="15">
        <f>IF($B48="","",COUNTIFS(nrES_PID,$B48,nrES_Type,"Minor",nrES_Final,"Yes"))</f>
        <v/>
      </c>
      <c r="G48" s="15">
        <f>IF($B48="","",Spelling!Q48)</f>
        <v/>
      </c>
      <c r="H48" s="15">
        <f>IF($B48="","",COUNTIFS(nrES_PID,$B48,nrES_Type,"Final",nrES_Final,"Yes"))</f>
        <v/>
      </c>
      <c r="I48" s="15">
        <f>IF(OR($B48="",$E48=0),"",ROUND(AVERAGEIFS(nrES_Rec,nrES_PID,$B48,nrES_Type,"Major",nrES_Final,"Yes"),2))</f>
        <v/>
      </c>
      <c r="J48" s="15">
        <f>IF(OR($B48="",$F48=0),"",ROUND(AVERAGEIFS(nrES_Rec,nrES_PID,$B48,nrES_Type,"Minor",nrES_Final,"Yes"),2))</f>
        <v/>
      </c>
      <c r="K48" s="15">
        <f>IF($B48="","",Spelling!P48)</f>
        <v/>
      </c>
      <c r="L48" s="15">
        <f>IF(OR($B48="",$H48=0),"",ROUND(AVERAGEIFS(nrES_Rec,nrES_PID,$B48,nrES_Type,"Final",nrES_Final,"Yes"),2))</f>
        <v/>
      </c>
      <c r="M48" s="15">
        <f>IF($B48="","",_xlfn.LET(_xlpm.w,($E48&gt;0)*cfgWeightMajor+($F48&gt;0)*cfgWeightMinor+(N($G48)&gt;0)*cfgWeightSpelling+($H48&gt;0)*cfgWeightFinal,IF(_xlpm.w=0,"",ROUND((($E48&gt;0)*cfgWeightMajor*N($I48)+($F48&gt;0)*cfgWeightMinor*N($J48)+(N($G48)&gt;0)*cfgWeightSpelling*N($K48)+($H48&gt;0)*cfgWeightFinal*N($L48))/_xlpm.w,2))))</f>
        <v/>
      </c>
      <c r="N48" s="15">
        <f>IF(OR($B48="",$H48=0),"",$M48)</f>
        <v/>
      </c>
      <c r="O48" s="15">
        <f>IF($B48="","",COUNTIFS(nrES_PID,$B48,nrES_Att,2))</f>
        <v/>
      </c>
      <c r="P48" s="15">
        <f>IF($B48="","",COUNTIFS(nrES_PID,$B48,nrES_Dis,"Yes"))</f>
        <v/>
      </c>
      <c r="Q48" s="15">
        <f>IF($B48="","",IF(AND($E48&gt;=cfgThresholdAfterExam,$I48&lt;&gt;"",$I48&lt;cfgThresholdScore),"Yes","No"))</f>
        <v/>
      </c>
      <c r="R48" s="15">
        <f>IF($B48="","",IF(AND($F48&gt;=cfgThresholdAfterExam,$J48&lt;&gt;"",$J48&lt;cfgThresholdScore),"Yes","No"))</f>
        <v/>
      </c>
      <c r="S48" s="15">
        <f>IF($B48="","",IF($M48="",-1,$M48))</f>
        <v/>
      </c>
      <c r="T48" s="15">
        <f>IF($B48="","",IF(AND($D48="Active",$P48=0,sysSkills!$J48&lt;&gt;"Yes",sysIncidents!$J48=0,$M48&lt;&gt;""),"Yes","No"))</f>
        <v/>
      </c>
      <c r="U48" s="15">
        <f>IF($T48&lt;&gt;"Yes","",SUMPRODUCT(($T$6:$T$55="Yes")*(($S$6:$S$55&gt;$S48)+($S$6:$S$55=$S48)*(ROW($S$6:$S$55)&lt;ROW())))+1)</f>
        <v/>
      </c>
      <c r="V48" s="15">
        <f>IF($B48="","",IF(AND(OR($E48=0,$I48&gt;=cfgThresholdScore),OR($F48=0,$J48&gt;=cfgThresholdScore),OR(N($G48)=0,$K48&gt;=cfgThresholdScore),OR($H48=0,$L48&gt;=cfgThresholdScore)),"Yes","No"))</f>
        <v/>
      </c>
      <c r="W48" s="15">
        <f>IF($B48="","",_xlfn.LET(_xlpm.tot,COUNTIFS(rngEPuse,"Yes",rngEPtype,"Major"),_xlpm.left,_xlpm.tot-$E48,IF(_xlpm.left&lt;=0,"done",MAX(0,ROUND((cfgThresholdScore*_xlpm.tot-N($I48)*$E48)/_xlpm.left,1)))))</f>
        <v/>
      </c>
      <c r="X48" s="15">
        <f>IF($B48="","",_xlfn.LET(_xlpm.tot,COUNTIFS(rngEPuse,"Yes",rngEPtype,"Minor"),_xlpm.left,_xlpm.tot-$F48,IF(_xlpm.left&lt;=0,"done",MAX(0,ROUND((cfgThresholdScore*_xlpm.tot-N($J48)*$F48)/_xlpm.left,1)))))</f>
        <v/>
      </c>
      <c r="Y48" s="15">
        <f>IF($B48="","",IF($H48&gt;0,"done",cfgThresholdScore))</f>
        <v/>
      </c>
      <c r="Z48" s="15">
        <f>IF($B48="","",_xlfn.LET(_xlpm.s,_xlfn.MAXIFS(nrES_Seq,nrES_PID,$B48,nrES_Att,1,nrES_Raw,"&gt;=0"),IF(_xlpm.s=0,"",SUMIFS(nrES_Raw,nrES_PID,$B48,nrES_Att,1,nrES_Seq,_xlpm.s))))</f>
        <v/>
      </c>
      <c r="AA48" s="15">
        <f>IF($B48="","",_xlfn.LET(_xlpm.s,_xlfn.MAXIFS(nrES_Seq,nrES_PID,$B48,nrES_Att,1,nrES_Raw,"&gt;=0"),IF(_xlpm.s=0,"",_xlfn.LET(_xlpm.p,_xlfn.MAXIFS(nrES_Seq,nrES_PID,$B48,nrES_Att,1,nrES_Seq,"&lt;"&amp;_xlpm.s),IF(_xlpm.p=0,"",SUMIFS(nrES_Raw,nrES_PID,$B48,nrES_Att,1,nrES_Seq,_xlpm.p))))))</f>
        <v/>
      </c>
      <c r="AB48" s="15">
        <f>IF(OR($B48="",$Z48="",$AA48=""),"",ROUND($AA48-$Z48,1))</f>
        <v/>
      </c>
      <c r="AC48" s="15">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5">
        <f>IF(Cadets!$B49="","",Cadets!$B49)</f>
        <v/>
      </c>
      <c r="C49" s="15">
        <f>IF($B49="","",Cadets!$F49)</f>
        <v/>
      </c>
      <c r="D49" s="15">
        <f>IF($B49="","",Cadets!$I49)</f>
        <v/>
      </c>
      <c r="E49" s="15">
        <f>IF($B49="","",COUNTIFS(nrES_PID,$B49,nrES_Type,"Major",nrES_Final,"Yes"))</f>
        <v/>
      </c>
      <c r="F49" s="15">
        <f>IF($B49="","",COUNTIFS(nrES_PID,$B49,nrES_Type,"Minor",nrES_Final,"Yes"))</f>
        <v/>
      </c>
      <c r="G49" s="15">
        <f>IF($B49="","",Spelling!Q49)</f>
        <v/>
      </c>
      <c r="H49" s="15">
        <f>IF($B49="","",COUNTIFS(nrES_PID,$B49,nrES_Type,"Final",nrES_Final,"Yes"))</f>
        <v/>
      </c>
      <c r="I49" s="15">
        <f>IF(OR($B49="",$E49=0),"",ROUND(AVERAGEIFS(nrES_Rec,nrES_PID,$B49,nrES_Type,"Major",nrES_Final,"Yes"),2))</f>
        <v/>
      </c>
      <c r="J49" s="15">
        <f>IF(OR($B49="",$F49=0),"",ROUND(AVERAGEIFS(nrES_Rec,nrES_PID,$B49,nrES_Type,"Minor",nrES_Final,"Yes"),2))</f>
        <v/>
      </c>
      <c r="K49" s="15">
        <f>IF($B49="","",Spelling!P49)</f>
        <v/>
      </c>
      <c r="L49" s="15">
        <f>IF(OR($B49="",$H49=0),"",ROUND(AVERAGEIFS(nrES_Rec,nrES_PID,$B49,nrES_Type,"Final",nrES_Final,"Yes"),2))</f>
        <v/>
      </c>
      <c r="M49" s="15">
        <f>IF($B49="","",_xlfn.LET(_xlpm.w,($E49&gt;0)*cfgWeightMajor+($F49&gt;0)*cfgWeightMinor+(N($G49)&gt;0)*cfgWeightSpelling+($H49&gt;0)*cfgWeightFinal,IF(_xlpm.w=0,"",ROUND((($E49&gt;0)*cfgWeightMajor*N($I49)+($F49&gt;0)*cfgWeightMinor*N($J49)+(N($G49)&gt;0)*cfgWeightSpelling*N($K49)+($H49&gt;0)*cfgWeightFinal*N($L49))/_xlpm.w,2))))</f>
        <v/>
      </c>
      <c r="N49" s="15">
        <f>IF(OR($B49="",$H49=0),"",$M49)</f>
        <v/>
      </c>
      <c r="O49" s="15">
        <f>IF($B49="","",COUNTIFS(nrES_PID,$B49,nrES_Att,2))</f>
        <v/>
      </c>
      <c r="P49" s="15">
        <f>IF($B49="","",COUNTIFS(nrES_PID,$B49,nrES_Dis,"Yes"))</f>
        <v/>
      </c>
      <c r="Q49" s="15">
        <f>IF($B49="","",IF(AND($E49&gt;=cfgThresholdAfterExam,$I49&lt;&gt;"",$I49&lt;cfgThresholdScore),"Yes","No"))</f>
        <v/>
      </c>
      <c r="R49" s="15">
        <f>IF($B49="","",IF(AND($F49&gt;=cfgThresholdAfterExam,$J49&lt;&gt;"",$J49&lt;cfgThresholdScore),"Yes","No"))</f>
        <v/>
      </c>
      <c r="S49" s="15">
        <f>IF($B49="","",IF($M49="",-1,$M49))</f>
        <v/>
      </c>
      <c r="T49" s="15">
        <f>IF($B49="","",IF(AND($D49="Active",$P49=0,sysSkills!$J49&lt;&gt;"Yes",sysIncidents!$J49=0,$M49&lt;&gt;""),"Yes","No"))</f>
        <v/>
      </c>
      <c r="U49" s="15">
        <f>IF($T49&lt;&gt;"Yes","",SUMPRODUCT(($T$6:$T$55="Yes")*(($S$6:$S$55&gt;$S49)+($S$6:$S$55=$S49)*(ROW($S$6:$S$55)&lt;ROW())))+1)</f>
        <v/>
      </c>
      <c r="V49" s="15">
        <f>IF($B49="","",IF(AND(OR($E49=0,$I49&gt;=cfgThresholdScore),OR($F49=0,$J49&gt;=cfgThresholdScore),OR(N($G49)=0,$K49&gt;=cfgThresholdScore),OR($H49=0,$L49&gt;=cfgThresholdScore)),"Yes","No"))</f>
        <v/>
      </c>
      <c r="W49" s="15">
        <f>IF($B49="","",_xlfn.LET(_xlpm.tot,COUNTIFS(rngEPuse,"Yes",rngEPtype,"Major"),_xlpm.left,_xlpm.tot-$E49,IF(_xlpm.left&lt;=0,"done",MAX(0,ROUND((cfgThresholdScore*_xlpm.tot-N($I49)*$E49)/_xlpm.left,1)))))</f>
        <v/>
      </c>
      <c r="X49" s="15">
        <f>IF($B49="","",_xlfn.LET(_xlpm.tot,COUNTIFS(rngEPuse,"Yes",rngEPtype,"Minor"),_xlpm.left,_xlpm.tot-$F49,IF(_xlpm.left&lt;=0,"done",MAX(0,ROUND((cfgThresholdScore*_xlpm.tot-N($J49)*$F49)/_xlpm.left,1)))))</f>
        <v/>
      </c>
      <c r="Y49" s="15">
        <f>IF($B49="","",IF($H49&gt;0,"done",cfgThresholdScore))</f>
        <v/>
      </c>
      <c r="Z49" s="15">
        <f>IF($B49="","",_xlfn.LET(_xlpm.s,_xlfn.MAXIFS(nrES_Seq,nrES_PID,$B49,nrES_Att,1,nrES_Raw,"&gt;=0"),IF(_xlpm.s=0,"",SUMIFS(nrES_Raw,nrES_PID,$B49,nrES_Att,1,nrES_Seq,_xlpm.s))))</f>
        <v/>
      </c>
      <c r="AA49" s="15">
        <f>IF($B49="","",_xlfn.LET(_xlpm.s,_xlfn.MAXIFS(nrES_Seq,nrES_PID,$B49,nrES_Att,1,nrES_Raw,"&gt;=0"),IF(_xlpm.s=0,"",_xlfn.LET(_xlpm.p,_xlfn.MAXIFS(nrES_Seq,nrES_PID,$B49,nrES_Att,1,nrES_Seq,"&lt;"&amp;_xlpm.s),IF(_xlpm.p=0,"",SUMIFS(nrES_Raw,nrES_PID,$B49,nrES_Att,1,nrES_Seq,_xlpm.p))))))</f>
        <v/>
      </c>
      <c r="AB49" s="15">
        <f>IF(OR($B49="",$Z49="",$AA49=""),"",ROUND($AA49-$Z49,1))</f>
        <v/>
      </c>
      <c r="AC49" s="15">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5">
        <f>IF(Cadets!$B50="","",Cadets!$B50)</f>
        <v/>
      </c>
      <c r="C50" s="15">
        <f>IF($B50="","",Cadets!$F50)</f>
        <v/>
      </c>
      <c r="D50" s="15">
        <f>IF($B50="","",Cadets!$I50)</f>
        <v/>
      </c>
      <c r="E50" s="15">
        <f>IF($B50="","",COUNTIFS(nrES_PID,$B50,nrES_Type,"Major",nrES_Final,"Yes"))</f>
        <v/>
      </c>
      <c r="F50" s="15">
        <f>IF($B50="","",COUNTIFS(nrES_PID,$B50,nrES_Type,"Minor",nrES_Final,"Yes"))</f>
        <v/>
      </c>
      <c r="G50" s="15">
        <f>IF($B50="","",Spelling!Q50)</f>
        <v/>
      </c>
      <c r="H50" s="15">
        <f>IF($B50="","",COUNTIFS(nrES_PID,$B50,nrES_Type,"Final",nrES_Final,"Yes"))</f>
        <v/>
      </c>
      <c r="I50" s="15">
        <f>IF(OR($B50="",$E50=0),"",ROUND(AVERAGEIFS(nrES_Rec,nrES_PID,$B50,nrES_Type,"Major",nrES_Final,"Yes"),2))</f>
        <v/>
      </c>
      <c r="J50" s="15">
        <f>IF(OR($B50="",$F50=0),"",ROUND(AVERAGEIFS(nrES_Rec,nrES_PID,$B50,nrES_Type,"Minor",nrES_Final,"Yes"),2))</f>
        <v/>
      </c>
      <c r="K50" s="15">
        <f>IF($B50="","",Spelling!P50)</f>
        <v/>
      </c>
      <c r="L50" s="15">
        <f>IF(OR($B50="",$H50=0),"",ROUND(AVERAGEIFS(nrES_Rec,nrES_PID,$B50,nrES_Type,"Final",nrES_Final,"Yes"),2))</f>
        <v/>
      </c>
      <c r="M50" s="15">
        <f>IF($B50="","",_xlfn.LET(_xlpm.w,($E50&gt;0)*cfgWeightMajor+($F50&gt;0)*cfgWeightMinor+(N($G50)&gt;0)*cfgWeightSpelling+($H50&gt;0)*cfgWeightFinal,IF(_xlpm.w=0,"",ROUND((($E50&gt;0)*cfgWeightMajor*N($I50)+($F50&gt;0)*cfgWeightMinor*N($J50)+(N($G50)&gt;0)*cfgWeightSpelling*N($K50)+($H50&gt;0)*cfgWeightFinal*N($L50))/_xlpm.w,2))))</f>
        <v/>
      </c>
      <c r="N50" s="15">
        <f>IF(OR($B50="",$H50=0),"",$M50)</f>
        <v/>
      </c>
      <c r="O50" s="15">
        <f>IF($B50="","",COUNTIFS(nrES_PID,$B50,nrES_Att,2))</f>
        <v/>
      </c>
      <c r="P50" s="15">
        <f>IF($B50="","",COUNTIFS(nrES_PID,$B50,nrES_Dis,"Yes"))</f>
        <v/>
      </c>
      <c r="Q50" s="15">
        <f>IF($B50="","",IF(AND($E50&gt;=cfgThresholdAfterExam,$I50&lt;&gt;"",$I50&lt;cfgThresholdScore),"Yes","No"))</f>
        <v/>
      </c>
      <c r="R50" s="15">
        <f>IF($B50="","",IF(AND($F50&gt;=cfgThresholdAfterExam,$J50&lt;&gt;"",$J50&lt;cfgThresholdScore),"Yes","No"))</f>
        <v/>
      </c>
      <c r="S50" s="15">
        <f>IF($B50="","",IF($M50="",-1,$M50))</f>
        <v/>
      </c>
      <c r="T50" s="15">
        <f>IF($B50="","",IF(AND($D50="Active",$P50=0,sysSkills!$J50&lt;&gt;"Yes",sysIncidents!$J50=0,$M50&lt;&gt;""),"Yes","No"))</f>
        <v/>
      </c>
      <c r="U50" s="15">
        <f>IF($T50&lt;&gt;"Yes","",SUMPRODUCT(($T$6:$T$55="Yes")*(($S$6:$S$55&gt;$S50)+($S$6:$S$55=$S50)*(ROW($S$6:$S$55)&lt;ROW())))+1)</f>
        <v/>
      </c>
      <c r="V50" s="15">
        <f>IF($B50="","",IF(AND(OR($E50=0,$I50&gt;=cfgThresholdScore),OR($F50=0,$J50&gt;=cfgThresholdScore),OR(N($G50)=0,$K50&gt;=cfgThresholdScore),OR($H50=0,$L50&gt;=cfgThresholdScore)),"Yes","No"))</f>
        <v/>
      </c>
      <c r="W50" s="15">
        <f>IF($B50="","",_xlfn.LET(_xlpm.tot,COUNTIFS(rngEPuse,"Yes",rngEPtype,"Major"),_xlpm.left,_xlpm.tot-$E50,IF(_xlpm.left&lt;=0,"done",MAX(0,ROUND((cfgThresholdScore*_xlpm.tot-N($I50)*$E50)/_xlpm.left,1)))))</f>
        <v/>
      </c>
      <c r="X50" s="15">
        <f>IF($B50="","",_xlfn.LET(_xlpm.tot,COUNTIFS(rngEPuse,"Yes",rngEPtype,"Minor"),_xlpm.left,_xlpm.tot-$F50,IF(_xlpm.left&lt;=0,"done",MAX(0,ROUND((cfgThresholdScore*_xlpm.tot-N($J50)*$F50)/_xlpm.left,1)))))</f>
        <v/>
      </c>
      <c r="Y50" s="15">
        <f>IF($B50="","",IF($H50&gt;0,"done",cfgThresholdScore))</f>
        <v/>
      </c>
      <c r="Z50" s="15">
        <f>IF($B50="","",_xlfn.LET(_xlpm.s,_xlfn.MAXIFS(nrES_Seq,nrES_PID,$B50,nrES_Att,1,nrES_Raw,"&gt;=0"),IF(_xlpm.s=0,"",SUMIFS(nrES_Raw,nrES_PID,$B50,nrES_Att,1,nrES_Seq,_xlpm.s))))</f>
        <v/>
      </c>
      <c r="AA50" s="15">
        <f>IF($B50="","",_xlfn.LET(_xlpm.s,_xlfn.MAXIFS(nrES_Seq,nrES_PID,$B50,nrES_Att,1,nrES_Raw,"&gt;=0"),IF(_xlpm.s=0,"",_xlfn.LET(_xlpm.p,_xlfn.MAXIFS(nrES_Seq,nrES_PID,$B50,nrES_Att,1,nrES_Seq,"&lt;"&amp;_xlpm.s),IF(_xlpm.p=0,"",SUMIFS(nrES_Raw,nrES_PID,$B50,nrES_Att,1,nrES_Seq,_xlpm.p))))))</f>
        <v/>
      </c>
      <c r="AB50" s="15">
        <f>IF(OR($B50="",$Z50="",$AA50=""),"",ROUND($AA50-$Z50,1))</f>
        <v/>
      </c>
      <c r="AC50" s="15">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5">
        <f>IF(Cadets!$B51="","",Cadets!$B51)</f>
        <v/>
      </c>
      <c r="C51" s="15">
        <f>IF($B51="","",Cadets!$F51)</f>
        <v/>
      </c>
      <c r="D51" s="15">
        <f>IF($B51="","",Cadets!$I51)</f>
        <v/>
      </c>
      <c r="E51" s="15">
        <f>IF($B51="","",COUNTIFS(nrES_PID,$B51,nrES_Type,"Major",nrES_Final,"Yes"))</f>
        <v/>
      </c>
      <c r="F51" s="15">
        <f>IF($B51="","",COUNTIFS(nrES_PID,$B51,nrES_Type,"Minor",nrES_Final,"Yes"))</f>
        <v/>
      </c>
      <c r="G51" s="15">
        <f>IF($B51="","",Spelling!Q51)</f>
        <v/>
      </c>
      <c r="H51" s="15">
        <f>IF($B51="","",COUNTIFS(nrES_PID,$B51,nrES_Type,"Final",nrES_Final,"Yes"))</f>
        <v/>
      </c>
      <c r="I51" s="15">
        <f>IF(OR($B51="",$E51=0),"",ROUND(AVERAGEIFS(nrES_Rec,nrES_PID,$B51,nrES_Type,"Major",nrES_Final,"Yes"),2))</f>
        <v/>
      </c>
      <c r="J51" s="15">
        <f>IF(OR($B51="",$F51=0),"",ROUND(AVERAGEIFS(nrES_Rec,nrES_PID,$B51,nrES_Type,"Minor",nrES_Final,"Yes"),2))</f>
        <v/>
      </c>
      <c r="K51" s="15">
        <f>IF($B51="","",Spelling!P51)</f>
        <v/>
      </c>
      <c r="L51" s="15">
        <f>IF(OR($B51="",$H51=0),"",ROUND(AVERAGEIFS(nrES_Rec,nrES_PID,$B51,nrES_Type,"Final",nrES_Final,"Yes"),2))</f>
        <v/>
      </c>
      <c r="M51" s="15">
        <f>IF($B51="","",_xlfn.LET(_xlpm.w,($E51&gt;0)*cfgWeightMajor+($F51&gt;0)*cfgWeightMinor+(N($G51)&gt;0)*cfgWeightSpelling+($H51&gt;0)*cfgWeightFinal,IF(_xlpm.w=0,"",ROUND((($E51&gt;0)*cfgWeightMajor*N($I51)+($F51&gt;0)*cfgWeightMinor*N($J51)+(N($G51)&gt;0)*cfgWeightSpelling*N($K51)+($H51&gt;0)*cfgWeightFinal*N($L51))/_xlpm.w,2))))</f>
        <v/>
      </c>
      <c r="N51" s="15">
        <f>IF(OR($B51="",$H51=0),"",$M51)</f>
        <v/>
      </c>
      <c r="O51" s="15">
        <f>IF($B51="","",COUNTIFS(nrES_PID,$B51,nrES_Att,2))</f>
        <v/>
      </c>
      <c r="P51" s="15">
        <f>IF($B51="","",COUNTIFS(nrES_PID,$B51,nrES_Dis,"Yes"))</f>
        <v/>
      </c>
      <c r="Q51" s="15">
        <f>IF($B51="","",IF(AND($E51&gt;=cfgThresholdAfterExam,$I51&lt;&gt;"",$I51&lt;cfgThresholdScore),"Yes","No"))</f>
        <v/>
      </c>
      <c r="R51" s="15">
        <f>IF($B51="","",IF(AND($F51&gt;=cfgThresholdAfterExam,$J51&lt;&gt;"",$J51&lt;cfgThresholdScore),"Yes","No"))</f>
        <v/>
      </c>
      <c r="S51" s="15">
        <f>IF($B51="","",IF($M51="",-1,$M51))</f>
        <v/>
      </c>
      <c r="T51" s="15">
        <f>IF($B51="","",IF(AND($D51="Active",$P51=0,sysSkills!$J51&lt;&gt;"Yes",sysIncidents!$J51=0,$M51&lt;&gt;""),"Yes","No"))</f>
        <v/>
      </c>
      <c r="U51" s="15">
        <f>IF($T51&lt;&gt;"Yes","",SUMPRODUCT(($T$6:$T$55="Yes")*(($S$6:$S$55&gt;$S51)+($S$6:$S$55=$S51)*(ROW($S$6:$S$55)&lt;ROW())))+1)</f>
        <v/>
      </c>
      <c r="V51" s="15">
        <f>IF($B51="","",IF(AND(OR($E51=0,$I51&gt;=cfgThresholdScore),OR($F51=0,$J51&gt;=cfgThresholdScore),OR(N($G51)=0,$K51&gt;=cfgThresholdScore),OR($H51=0,$L51&gt;=cfgThresholdScore)),"Yes","No"))</f>
        <v/>
      </c>
      <c r="W51" s="15">
        <f>IF($B51="","",_xlfn.LET(_xlpm.tot,COUNTIFS(rngEPuse,"Yes",rngEPtype,"Major"),_xlpm.left,_xlpm.tot-$E51,IF(_xlpm.left&lt;=0,"done",MAX(0,ROUND((cfgThresholdScore*_xlpm.tot-N($I51)*$E51)/_xlpm.left,1)))))</f>
        <v/>
      </c>
      <c r="X51" s="15">
        <f>IF($B51="","",_xlfn.LET(_xlpm.tot,COUNTIFS(rngEPuse,"Yes",rngEPtype,"Minor"),_xlpm.left,_xlpm.tot-$F51,IF(_xlpm.left&lt;=0,"done",MAX(0,ROUND((cfgThresholdScore*_xlpm.tot-N($J51)*$F51)/_xlpm.left,1)))))</f>
        <v/>
      </c>
      <c r="Y51" s="15">
        <f>IF($B51="","",IF($H51&gt;0,"done",cfgThresholdScore))</f>
        <v/>
      </c>
      <c r="Z51" s="15">
        <f>IF($B51="","",_xlfn.LET(_xlpm.s,_xlfn.MAXIFS(nrES_Seq,nrES_PID,$B51,nrES_Att,1,nrES_Raw,"&gt;=0"),IF(_xlpm.s=0,"",SUMIFS(nrES_Raw,nrES_PID,$B51,nrES_Att,1,nrES_Seq,_xlpm.s))))</f>
        <v/>
      </c>
      <c r="AA51" s="15">
        <f>IF($B51="","",_xlfn.LET(_xlpm.s,_xlfn.MAXIFS(nrES_Seq,nrES_PID,$B51,nrES_Att,1,nrES_Raw,"&gt;=0"),IF(_xlpm.s=0,"",_xlfn.LET(_xlpm.p,_xlfn.MAXIFS(nrES_Seq,nrES_PID,$B51,nrES_Att,1,nrES_Seq,"&lt;"&amp;_xlpm.s),IF(_xlpm.p=0,"",SUMIFS(nrES_Raw,nrES_PID,$B51,nrES_Att,1,nrES_Seq,_xlpm.p))))))</f>
        <v/>
      </c>
      <c r="AB51" s="15">
        <f>IF(OR($B51="",$Z51="",$AA51=""),"",ROUND($AA51-$Z51,1))</f>
        <v/>
      </c>
      <c r="AC51" s="15">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5">
        <f>IF(Cadets!$B52="","",Cadets!$B52)</f>
        <v/>
      </c>
      <c r="C52" s="15">
        <f>IF($B52="","",Cadets!$F52)</f>
        <v/>
      </c>
      <c r="D52" s="15">
        <f>IF($B52="","",Cadets!$I52)</f>
        <v/>
      </c>
      <c r="E52" s="15">
        <f>IF($B52="","",COUNTIFS(nrES_PID,$B52,nrES_Type,"Major",nrES_Final,"Yes"))</f>
        <v/>
      </c>
      <c r="F52" s="15">
        <f>IF($B52="","",COUNTIFS(nrES_PID,$B52,nrES_Type,"Minor",nrES_Final,"Yes"))</f>
        <v/>
      </c>
      <c r="G52" s="15">
        <f>IF($B52="","",Spelling!Q52)</f>
        <v/>
      </c>
      <c r="H52" s="15">
        <f>IF($B52="","",COUNTIFS(nrES_PID,$B52,nrES_Type,"Final",nrES_Final,"Yes"))</f>
        <v/>
      </c>
      <c r="I52" s="15">
        <f>IF(OR($B52="",$E52=0),"",ROUND(AVERAGEIFS(nrES_Rec,nrES_PID,$B52,nrES_Type,"Major",nrES_Final,"Yes"),2))</f>
        <v/>
      </c>
      <c r="J52" s="15">
        <f>IF(OR($B52="",$F52=0),"",ROUND(AVERAGEIFS(nrES_Rec,nrES_PID,$B52,nrES_Type,"Minor",nrES_Final,"Yes"),2))</f>
        <v/>
      </c>
      <c r="K52" s="15">
        <f>IF($B52="","",Spelling!P52)</f>
        <v/>
      </c>
      <c r="L52" s="15">
        <f>IF(OR($B52="",$H52=0),"",ROUND(AVERAGEIFS(nrES_Rec,nrES_PID,$B52,nrES_Type,"Final",nrES_Final,"Yes"),2))</f>
        <v/>
      </c>
      <c r="M52" s="15">
        <f>IF($B52="","",_xlfn.LET(_xlpm.w,($E52&gt;0)*cfgWeightMajor+($F52&gt;0)*cfgWeightMinor+(N($G52)&gt;0)*cfgWeightSpelling+($H52&gt;0)*cfgWeightFinal,IF(_xlpm.w=0,"",ROUND((($E52&gt;0)*cfgWeightMajor*N($I52)+($F52&gt;0)*cfgWeightMinor*N($J52)+(N($G52)&gt;0)*cfgWeightSpelling*N($K52)+($H52&gt;0)*cfgWeightFinal*N($L52))/_xlpm.w,2))))</f>
        <v/>
      </c>
      <c r="N52" s="15">
        <f>IF(OR($B52="",$H52=0),"",$M52)</f>
        <v/>
      </c>
      <c r="O52" s="15">
        <f>IF($B52="","",COUNTIFS(nrES_PID,$B52,nrES_Att,2))</f>
        <v/>
      </c>
      <c r="P52" s="15">
        <f>IF($B52="","",COUNTIFS(nrES_PID,$B52,nrES_Dis,"Yes"))</f>
        <v/>
      </c>
      <c r="Q52" s="15">
        <f>IF($B52="","",IF(AND($E52&gt;=cfgThresholdAfterExam,$I52&lt;&gt;"",$I52&lt;cfgThresholdScore),"Yes","No"))</f>
        <v/>
      </c>
      <c r="R52" s="15">
        <f>IF($B52="","",IF(AND($F52&gt;=cfgThresholdAfterExam,$J52&lt;&gt;"",$J52&lt;cfgThresholdScore),"Yes","No"))</f>
        <v/>
      </c>
      <c r="S52" s="15">
        <f>IF($B52="","",IF($M52="",-1,$M52))</f>
        <v/>
      </c>
      <c r="T52" s="15">
        <f>IF($B52="","",IF(AND($D52="Active",$P52=0,sysSkills!$J52&lt;&gt;"Yes",sysIncidents!$J52=0,$M52&lt;&gt;""),"Yes","No"))</f>
        <v/>
      </c>
      <c r="U52" s="15">
        <f>IF($T52&lt;&gt;"Yes","",SUMPRODUCT(($T$6:$T$55="Yes")*(($S$6:$S$55&gt;$S52)+($S$6:$S$55=$S52)*(ROW($S$6:$S$55)&lt;ROW())))+1)</f>
        <v/>
      </c>
      <c r="V52" s="15">
        <f>IF($B52="","",IF(AND(OR($E52=0,$I52&gt;=cfgThresholdScore),OR($F52=0,$J52&gt;=cfgThresholdScore),OR(N($G52)=0,$K52&gt;=cfgThresholdScore),OR($H52=0,$L52&gt;=cfgThresholdScore)),"Yes","No"))</f>
        <v/>
      </c>
      <c r="W52" s="15">
        <f>IF($B52="","",_xlfn.LET(_xlpm.tot,COUNTIFS(rngEPuse,"Yes",rngEPtype,"Major"),_xlpm.left,_xlpm.tot-$E52,IF(_xlpm.left&lt;=0,"done",MAX(0,ROUND((cfgThresholdScore*_xlpm.tot-N($I52)*$E52)/_xlpm.left,1)))))</f>
        <v/>
      </c>
      <c r="X52" s="15">
        <f>IF($B52="","",_xlfn.LET(_xlpm.tot,COUNTIFS(rngEPuse,"Yes",rngEPtype,"Minor"),_xlpm.left,_xlpm.tot-$F52,IF(_xlpm.left&lt;=0,"done",MAX(0,ROUND((cfgThresholdScore*_xlpm.tot-N($J52)*$F52)/_xlpm.left,1)))))</f>
        <v/>
      </c>
      <c r="Y52" s="15">
        <f>IF($B52="","",IF($H52&gt;0,"done",cfgThresholdScore))</f>
        <v/>
      </c>
      <c r="Z52" s="15">
        <f>IF($B52="","",_xlfn.LET(_xlpm.s,_xlfn.MAXIFS(nrES_Seq,nrES_PID,$B52,nrES_Att,1,nrES_Raw,"&gt;=0"),IF(_xlpm.s=0,"",SUMIFS(nrES_Raw,nrES_PID,$B52,nrES_Att,1,nrES_Seq,_xlpm.s))))</f>
        <v/>
      </c>
      <c r="AA52" s="15">
        <f>IF($B52="","",_xlfn.LET(_xlpm.s,_xlfn.MAXIFS(nrES_Seq,nrES_PID,$B52,nrES_Att,1,nrES_Raw,"&gt;=0"),IF(_xlpm.s=0,"",_xlfn.LET(_xlpm.p,_xlfn.MAXIFS(nrES_Seq,nrES_PID,$B52,nrES_Att,1,nrES_Seq,"&lt;"&amp;_xlpm.s),IF(_xlpm.p=0,"",SUMIFS(nrES_Raw,nrES_PID,$B52,nrES_Att,1,nrES_Seq,_xlpm.p))))))</f>
        <v/>
      </c>
      <c r="AB52" s="15">
        <f>IF(OR($B52="",$Z52="",$AA52=""),"",ROUND($AA52-$Z52,1))</f>
        <v/>
      </c>
      <c r="AC52" s="15">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5">
        <f>IF(Cadets!$B53="","",Cadets!$B53)</f>
        <v/>
      </c>
      <c r="C53" s="15">
        <f>IF($B53="","",Cadets!$F53)</f>
        <v/>
      </c>
      <c r="D53" s="15">
        <f>IF($B53="","",Cadets!$I53)</f>
        <v/>
      </c>
      <c r="E53" s="15">
        <f>IF($B53="","",COUNTIFS(nrES_PID,$B53,nrES_Type,"Major",nrES_Final,"Yes"))</f>
        <v/>
      </c>
      <c r="F53" s="15">
        <f>IF($B53="","",COUNTIFS(nrES_PID,$B53,nrES_Type,"Minor",nrES_Final,"Yes"))</f>
        <v/>
      </c>
      <c r="G53" s="15">
        <f>IF($B53="","",Spelling!Q53)</f>
        <v/>
      </c>
      <c r="H53" s="15">
        <f>IF($B53="","",COUNTIFS(nrES_PID,$B53,nrES_Type,"Final",nrES_Final,"Yes"))</f>
        <v/>
      </c>
      <c r="I53" s="15">
        <f>IF(OR($B53="",$E53=0),"",ROUND(AVERAGEIFS(nrES_Rec,nrES_PID,$B53,nrES_Type,"Major",nrES_Final,"Yes"),2))</f>
        <v/>
      </c>
      <c r="J53" s="15">
        <f>IF(OR($B53="",$F53=0),"",ROUND(AVERAGEIFS(nrES_Rec,nrES_PID,$B53,nrES_Type,"Minor",nrES_Final,"Yes"),2))</f>
        <v/>
      </c>
      <c r="K53" s="15">
        <f>IF($B53="","",Spelling!P53)</f>
        <v/>
      </c>
      <c r="L53" s="15">
        <f>IF(OR($B53="",$H53=0),"",ROUND(AVERAGEIFS(nrES_Rec,nrES_PID,$B53,nrES_Type,"Final",nrES_Final,"Yes"),2))</f>
        <v/>
      </c>
      <c r="M53" s="15">
        <f>IF($B53="","",_xlfn.LET(_xlpm.w,($E53&gt;0)*cfgWeightMajor+($F53&gt;0)*cfgWeightMinor+(N($G53)&gt;0)*cfgWeightSpelling+($H53&gt;0)*cfgWeightFinal,IF(_xlpm.w=0,"",ROUND((($E53&gt;0)*cfgWeightMajor*N($I53)+($F53&gt;0)*cfgWeightMinor*N($J53)+(N($G53)&gt;0)*cfgWeightSpelling*N($K53)+($H53&gt;0)*cfgWeightFinal*N($L53))/_xlpm.w,2))))</f>
        <v/>
      </c>
      <c r="N53" s="15">
        <f>IF(OR($B53="",$H53=0),"",$M53)</f>
        <v/>
      </c>
      <c r="O53" s="15">
        <f>IF($B53="","",COUNTIFS(nrES_PID,$B53,nrES_Att,2))</f>
        <v/>
      </c>
      <c r="P53" s="15">
        <f>IF($B53="","",COUNTIFS(nrES_PID,$B53,nrES_Dis,"Yes"))</f>
        <v/>
      </c>
      <c r="Q53" s="15">
        <f>IF($B53="","",IF(AND($E53&gt;=cfgThresholdAfterExam,$I53&lt;&gt;"",$I53&lt;cfgThresholdScore),"Yes","No"))</f>
        <v/>
      </c>
      <c r="R53" s="15">
        <f>IF($B53="","",IF(AND($F53&gt;=cfgThresholdAfterExam,$J53&lt;&gt;"",$J53&lt;cfgThresholdScore),"Yes","No"))</f>
        <v/>
      </c>
      <c r="S53" s="15">
        <f>IF($B53="","",IF($M53="",-1,$M53))</f>
        <v/>
      </c>
      <c r="T53" s="15">
        <f>IF($B53="","",IF(AND($D53="Active",$P53=0,sysSkills!$J53&lt;&gt;"Yes",sysIncidents!$J53=0,$M53&lt;&gt;""),"Yes","No"))</f>
        <v/>
      </c>
      <c r="U53" s="15">
        <f>IF($T53&lt;&gt;"Yes","",SUMPRODUCT(($T$6:$T$55="Yes")*(($S$6:$S$55&gt;$S53)+($S$6:$S$55=$S53)*(ROW($S$6:$S$55)&lt;ROW())))+1)</f>
        <v/>
      </c>
      <c r="V53" s="15">
        <f>IF($B53="","",IF(AND(OR($E53=0,$I53&gt;=cfgThresholdScore),OR($F53=0,$J53&gt;=cfgThresholdScore),OR(N($G53)=0,$K53&gt;=cfgThresholdScore),OR($H53=0,$L53&gt;=cfgThresholdScore)),"Yes","No"))</f>
        <v/>
      </c>
      <c r="W53" s="15">
        <f>IF($B53="","",_xlfn.LET(_xlpm.tot,COUNTIFS(rngEPuse,"Yes",rngEPtype,"Major"),_xlpm.left,_xlpm.tot-$E53,IF(_xlpm.left&lt;=0,"done",MAX(0,ROUND((cfgThresholdScore*_xlpm.tot-N($I53)*$E53)/_xlpm.left,1)))))</f>
        <v/>
      </c>
      <c r="X53" s="15">
        <f>IF($B53="","",_xlfn.LET(_xlpm.tot,COUNTIFS(rngEPuse,"Yes",rngEPtype,"Minor"),_xlpm.left,_xlpm.tot-$F53,IF(_xlpm.left&lt;=0,"done",MAX(0,ROUND((cfgThresholdScore*_xlpm.tot-N($J53)*$F53)/_xlpm.left,1)))))</f>
        <v/>
      </c>
      <c r="Y53" s="15">
        <f>IF($B53="","",IF($H53&gt;0,"done",cfgThresholdScore))</f>
        <v/>
      </c>
      <c r="Z53" s="15">
        <f>IF($B53="","",_xlfn.LET(_xlpm.s,_xlfn.MAXIFS(nrES_Seq,nrES_PID,$B53,nrES_Att,1,nrES_Raw,"&gt;=0"),IF(_xlpm.s=0,"",SUMIFS(nrES_Raw,nrES_PID,$B53,nrES_Att,1,nrES_Seq,_xlpm.s))))</f>
        <v/>
      </c>
      <c r="AA53" s="15">
        <f>IF($B53="","",_xlfn.LET(_xlpm.s,_xlfn.MAXIFS(nrES_Seq,nrES_PID,$B53,nrES_Att,1,nrES_Raw,"&gt;=0"),IF(_xlpm.s=0,"",_xlfn.LET(_xlpm.p,_xlfn.MAXIFS(nrES_Seq,nrES_PID,$B53,nrES_Att,1,nrES_Seq,"&lt;"&amp;_xlpm.s),IF(_xlpm.p=0,"",SUMIFS(nrES_Raw,nrES_PID,$B53,nrES_Att,1,nrES_Seq,_xlpm.p))))))</f>
        <v/>
      </c>
      <c r="AB53" s="15">
        <f>IF(OR($B53="",$Z53="",$AA53=""),"",ROUND($AA53-$Z53,1))</f>
        <v/>
      </c>
      <c r="AC53" s="15">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5">
        <f>IF(Cadets!$B54="","",Cadets!$B54)</f>
        <v/>
      </c>
      <c r="C54" s="15">
        <f>IF($B54="","",Cadets!$F54)</f>
        <v/>
      </c>
      <c r="D54" s="15">
        <f>IF($B54="","",Cadets!$I54)</f>
        <v/>
      </c>
      <c r="E54" s="15">
        <f>IF($B54="","",COUNTIFS(nrES_PID,$B54,nrES_Type,"Major",nrES_Final,"Yes"))</f>
        <v/>
      </c>
      <c r="F54" s="15">
        <f>IF($B54="","",COUNTIFS(nrES_PID,$B54,nrES_Type,"Minor",nrES_Final,"Yes"))</f>
        <v/>
      </c>
      <c r="G54" s="15">
        <f>IF($B54="","",Spelling!Q54)</f>
        <v/>
      </c>
      <c r="H54" s="15">
        <f>IF($B54="","",COUNTIFS(nrES_PID,$B54,nrES_Type,"Final",nrES_Final,"Yes"))</f>
        <v/>
      </c>
      <c r="I54" s="15">
        <f>IF(OR($B54="",$E54=0),"",ROUND(AVERAGEIFS(nrES_Rec,nrES_PID,$B54,nrES_Type,"Major",nrES_Final,"Yes"),2))</f>
        <v/>
      </c>
      <c r="J54" s="15">
        <f>IF(OR($B54="",$F54=0),"",ROUND(AVERAGEIFS(nrES_Rec,nrES_PID,$B54,nrES_Type,"Minor",nrES_Final,"Yes"),2))</f>
        <v/>
      </c>
      <c r="K54" s="15">
        <f>IF($B54="","",Spelling!P54)</f>
        <v/>
      </c>
      <c r="L54" s="15">
        <f>IF(OR($B54="",$H54=0),"",ROUND(AVERAGEIFS(nrES_Rec,nrES_PID,$B54,nrES_Type,"Final",nrES_Final,"Yes"),2))</f>
        <v/>
      </c>
      <c r="M54" s="15">
        <f>IF($B54="","",_xlfn.LET(_xlpm.w,($E54&gt;0)*cfgWeightMajor+($F54&gt;0)*cfgWeightMinor+(N($G54)&gt;0)*cfgWeightSpelling+($H54&gt;0)*cfgWeightFinal,IF(_xlpm.w=0,"",ROUND((($E54&gt;0)*cfgWeightMajor*N($I54)+($F54&gt;0)*cfgWeightMinor*N($J54)+(N($G54)&gt;0)*cfgWeightSpelling*N($K54)+($H54&gt;0)*cfgWeightFinal*N($L54))/_xlpm.w,2))))</f>
        <v/>
      </c>
      <c r="N54" s="15">
        <f>IF(OR($B54="",$H54=0),"",$M54)</f>
        <v/>
      </c>
      <c r="O54" s="15">
        <f>IF($B54="","",COUNTIFS(nrES_PID,$B54,nrES_Att,2))</f>
        <v/>
      </c>
      <c r="P54" s="15">
        <f>IF($B54="","",COUNTIFS(nrES_PID,$B54,nrES_Dis,"Yes"))</f>
        <v/>
      </c>
      <c r="Q54" s="15">
        <f>IF($B54="","",IF(AND($E54&gt;=cfgThresholdAfterExam,$I54&lt;&gt;"",$I54&lt;cfgThresholdScore),"Yes","No"))</f>
        <v/>
      </c>
      <c r="R54" s="15">
        <f>IF($B54="","",IF(AND($F54&gt;=cfgThresholdAfterExam,$J54&lt;&gt;"",$J54&lt;cfgThresholdScore),"Yes","No"))</f>
        <v/>
      </c>
      <c r="S54" s="15">
        <f>IF($B54="","",IF($M54="",-1,$M54))</f>
        <v/>
      </c>
      <c r="T54" s="15">
        <f>IF($B54="","",IF(AND($D54="Active",$P54=0,sysSkills!$J54&lt;&gt;"Yes",sysIncidents!$J54=0,$M54&lt;&gt;""),"Yes","No"))</f>
        <v/>
      </c>
      <c r="U54" s="15">
        <f>IF($T54&lt;&gt;"Yes","",SUMPRODUCT(($T$6:$T$55="Yes")*(($S$6:$S$55&gt;$S54)+($S$6:$S$55=$S54)*(ROW($S$6:$S$55)&lt;ROW())))+1)</f>
        <v/>
      </c>
      <c r="V54" s="15">
        <f>IF($B54="","",IF(AND(OR($E54=0,$I54&gt;=cfgThresholdScore),OR($F54=0,$J54&gt;=cfgThresholdScore),OR(N($G54)=0,$K54&gt;=cfgThresholdScore),OR($H54=0,$L54&gt;=cfgThresholdScore)),"Yes","No"))</f>
        <v/>
      </c>
      <c r="W54" s="15">
        <f>IF($B54="","",_xlfn.LET(_xlpm.tot,COUNTIFS(rngEPuse,"Yes",rngEPtype,"Major"),_xlpm.left,_xlpm.tot-$E54,IF(_xlpm.left&lt;=0,"done",MAX(0,ROUND((cfgThresholdScore*_xlpm.tot-N($I54)*$E54)/_xlpm.left,1)))))</f>
        <v/>
      </c>
      <c r="X54" s="15">
        <f>IF($B54="","",_xlfn.LET(_xlpm.tot,COUNTIFS(rngEPuse,"Yes",rngEPtype,"Minor"),_xlpm.left,_xlpm.tot-$F54,IF(_xlpm.left&lt;=0,"done",MAX(0,ROUND((cfgThresholdScore*_xlpm.tot-N($J54)*$F54)/_xlpm.left,1)))))</f>
        <v/>
      </c>
      <c r="Y54" s="15">
        <f>IF($B54="","",IF($H54&gt;0,"done",cfgThresholdScore))</f>
        <v/>
      </c>
      <c r="Z54" s="15">
        <f>IF($B54="","",_xlfn.LET(_xlpm.s,_xlfn.MAXIFS(nrES_Seq,nrES_PID,$B54,nrES_Att,1,nrES_Raw,"&gt;=0"),IF(_xlpm.s=0,"",SUMIFS(nrES_Raw,nrES_PID,$B54,nrES_Att,1,nrES_Seq,_xlpm.s))))</f>
        <v/>
      </c>
      <c r="AA54" s="15">
        <f>IF($B54="","",_xlfn.LET(_xlpm.s,_xlfn.MAXIFS(nrES_Seq,nrES_PID,$B54,nrES_Att,1,nrES_Raw,"&gt;=0"),IF(_xlpm.s=0,"",_xlfn.LET(_xlpm.p,_xlfn.MAXIFS(nrES_Seq,nrES_PID,$B54,nrES_Att,1,nrES_Seq,"&lt;"&amp;_xlpm.s),IF(_xlpm.p=0,"",SUMIFS(nrES_Raw,nrES_PID,$B54,nrES_Att,1,nrES_Seq,_xlpm.p))))))</f>
        <v/>
      </c>
      <c r="AB54" s="15">
        <f>IF(OR($B54="",$Z54="",$AA54=""),"",ROUND($AA54-$Z54,1))</f>
        <v/>
      </c>
      <c r="AC54" s="15">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5">
        <f>IF(Cadets!$B55="","",Cadets!$B55)</f>
        <v/>
      </c>
      <c r="C55" s="15">
        <f>IF($B55="","",Cadets!$F55)</f>
        <v/>
      </c>
      <c r="D55" s="15">
        <f>IF($B55="","",Cadets!$I55)</f>
        <v/>
      </c>
      <c r="E55" s="15">
        <f>IF($B55="","",COUNTIFS(nrES_PID,$B55,nrES_Type,"Major",nrES_Final,"Yes"))</f>
        <v/>
      </c>
      <c r="F55" s="15">
        <f>IF($B55="","",COUNTIFS(nrES_PID,$B55,nrES_Type,"Minor",nrES_Final,"Yes"))</f>
        <v/>
      </c>
      <c r="G55" s="15">
        <f>IF($B55="","",Spelling!Q55)</f>
        <v/>
      </c>
      <c r="H55" s="15">
        <f>IF($B55="","",COUNTIFS(nrES_PID,$B55,nrES_Type,"Final",nrES_Final,"Yes"))</f>
        <v/>
      </c>
      <c r="I55" s="15">
        <f>IF(OR($B55="",$E55=0),"",ROUND(AVERAGEIFS(nrES_Rec,nrES_PID,$B55,nrES_Type,"Major",nrES_Final,"Yes"),2))</f>
        <v/>
      </c>
      <c r="J55" s="15">
        <f>IF(OR($B55="",$F55=0),"",ROUND(AVERAGEIFS(nrES_Rec,nrES_PID,$B55,nrES_Type,"Minor",nrES_Final,"Yes"),2))</f>
        <v/>
      </c>
      <c r="K55" s="15">
        <f>IF($B55="","",Spelling!P55)</f>
        <v/>
      </c>
      <c r="L55" s="15">
        <f>IF(OR($B55="",$H55=0),"",ROUND(AVERAGEIFS(nrES_Rec,nrES_PID,$B55,nrES_Type,"Final",nrES_Final,"Yes"),2))</f>
        <v/>
      </c>
      <c r="M55" s="15">
        <f>IF($B55="","",_xlfn.LET(_xlpm.w,($E55&gt;0)*cfgWeightMajor+($F55&gt;0)*cfgWeightMinor+(N($G55)&gt;0)*cfgWeightSpelling+($H55&gt;0)*cfgWeightFinal,IF(_xlpm.w=0,"",ROUND((($E55&gt;0)*cfgWeightMajor*N($I55)+($F55&gt;0)*cfgWeightMinor*N($J55)+(N($G55)&gt;0)*cfgWeightSpelling*N($K55)+($H55&gt;0)*cfgWeightFinal*N($L55))/_xlpm.w,2))))</f>
        <v/>
      </c>
      <c r="N55" s="15">
        <f>IF(OR($B55="",$H55=0),"",$M55)</f>
        <v/>
      </c>
      <c r="O55" s="15">
        <f>IF($B55="","",COUNTIFS(nrES_PID,$B55,nrES_Att,2))</f>
        <v/>
      </c>
      <c r="P55" s="15">
        <f>IF($B55="","",COUNTIFS(nrES_PID,$B55,nrES_Dis,"Yes"))</f>
        <v/>
      </c>
      <c r="Q55" s="15">
        <f>IF($B55="","",IF(AND($E55&gt;=cfgThresholdAfterExam,$I55&lt;&gt;"",$I55&lt;cfgThresholdScore),"Yes","No"))</f>
        <v/>
      </c>
      <c r="R55" s="15">
        <f>IF($B55="","",IF(AND($F55&gt;=cfgThresholdAfterExam,$J55&lt;&gt;"",$J55&lt;cfgThresholdScore),"Yes","No"))</f>
        <v/>
      </c>
      <c r="S55" s="15">
        <f>IF($B55="","",IF($M55="",-1,$M55))</f>
        <v/>
      </c>
      <c r="T55" s="15">
        <f>IF($B55="","",IF(AND($D55="Active",$P55=0,sysSkills!$J55&lt;&gt;"Yes",sysIncidents!$J55=0,$M55&lt;&gt;""),"Yes","No"))</f>
        <v/>
      </c>
      <c r="U55" s="15">
        <f>IF($T55&lt;&gt;"Yes","",SUMPRODUCT(($T$6:$T$55="Yes")*(($S$6:$S$55&gt;$S55)+($S$6:$S$55=$S55)*(ROW($S$6:$S$55)&lt;ROW())))+1)</f>
        <v/>
      </c>
      <c r="V55" s="15">
        <f>IF($B55="","",IF(AND(OR($E55=0,$I55&gt;=cfgThresholdScore),OR($F55=0,$J55&gt;=cfgThresholdScore),OR(N($G55)=0,$K55&gt;=cfgThresholdScore),OR($H55=0,$L55&gt;=cfgThresholdScore)),"Yes","No"))</f>
        <v/>
      </c>
      <c r="W55" s="15">
        <f>IF($B55="","",_xlfn.LET(_xlpm.tot,COUNTIFS(rngEPuse,"Yes",rngEPtype,"Major"),_xlpm.left,_xlpm.tot-$E55,IF(_xlpm.left&lt;=0,"done",MAX(0,ROUND((cfgThresholdScore*_xlpm.tot-N($I55)*$E55)/_xlpm.left,1)))))</f>
        <v/>
      </c>
      <c r="X55" s="15">
        <f>IF($B55="","",_xlfn.LET(_xlpm.tot,COUNTIFS(rngEPuse,"Yes",rngEPtype,"Minor"),_xlpm.left,_xlpm.tot-$F55,IF(_xlpm.left&lt;=0,"done",MAX(0,ROUND((cfgThresholdScore*_xlpm.tot-N($J55)*$F55)/_xlpm.left,1)))))</f>
        <v/>
      </c>
      <c r="Y55" s="15">
        <f>IF($B55="","",IF($H55&gt;0,"done",cfgThresholdScore))</f>
        <v/>
      </c>
      <c r="Z55" s="15">
        <f>IF($B55="","",_xlfn.LET(_xlpm.s,_xlfn.MAXIFS(nrES_Seq,nrES_PID,$B55,nrES_Att,1,nrES_Raw,"&gt;=0"),IF(_xlpm.s=0,"",SUMIFS(nrES_Raw,nrES_PID,$B55,nrES_Att,1,nrES_Seq,_xlpm.s))))</f>
        <v/>
      </c>
      <c r="AA55" s="15">
        <f>IF($B55="","",_xlfn.LET(_xlpm.s,_xlfn.MAXIFS(nrES_Seq,nrES_PID,$B55,nrES_Att,1,nrES_Raw,"&gt;=0"),IF(_xlpm.s=0,"",_xlfn.LET(_xlpm.p,_xlfn.MAXIFS(nrES_Seq,nrES_PID,$B55,nrES_Att,1,nrES_Seq,"&lt;"&amp;_xlpm.s),IF(_xlpm.p=0,"",SUMIFS(nrES_Raw,nrES_PID,$B55,nrES_Att,1,nrES_Seq,_xlpm.p))))))</f>
        <v/>
      </c>
      <c r="AB55" s="15">
        <f>IF(OR($B55="",$Z55="",$AA55=""),"",ROUND($AA55-$Z55,1))</f>
        <v/>
      </c>
      <c r="AC55" s="15">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2.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Minutes vs the 5% classroom cap; PT sessions vs the 5-session cap (policy 400). 'Cl Owed' = missed minutes not yet made up — must reach 0 before graduation. Locked.</t>
        </is>
      </c>
    </row>
    <row r="5" ht="26" customHeight="1">
      <c r="B5" s="9" t="inlineStr">
        <is>
          <t>PID</t>
        </is>
      </c>
      <c r="C5" s="9" t="inlineStr">
        <is>
          <t>Cadet Name</t>
        </is>
      </c>
      <c r="D5" s="9" t="inlineStr">
        <is>
          <t>Status</t>
        </is>
      </c>
      <c r="E5" s="9" t="inlineStr">
        <is>
          <t>Cl Missed</t>
        </is>
      </c>
      <c r="F5" s="9" t="inlineStr">
        <is>
          <t>Cl MadeUp</t>
        </is>
      </c>
      <c r="G5" s="9" t="inlineStr">
        <is>
          <t>Cl Net</t>
        </is>
      </c>
      <c r="H5" s="9" t="inlineStr">
        <is>
          <t>Cl Cap</t>
        </is>
      </c>
      <c r="I5" s="9" t="inlineStr">
        <is>
          <t>Cl %</t>
        </is>
      </c>
      <c r="J5" s="9" t="inlineStr">
        <is>
          <t>Cl Tier</t>
        </is>
      </c>
      <c r="K5" s="9" t="inlineStr">
        <is>
          <t>Cl Elig</t>
        </is>
      </c>
      <c r="L5" s="9" t="inlineStr">
        <is>
          <t>Cl Owed</t>
        </is>
      </c>
      <c r="M5" s="9" t="inlineStr">
        <is>
          <t>PT Missed</t>
        </is>
      </c>
      <c r="N5" s="9" t="inlineStr">
        <is>
          <t>PT MadeUp</t>
        </is>
      </c>
      <c r="O5" s="9" t="inlineStr">
        <is>
          <t>PT Net</t>
        </is>
      </c>
      <c r="P5" s="9" t="inlineStr">
        <is>
          <t>PT Cap</t>
        </is>
      </c>
      <c r="Q5" s="9" t="inlineStr">
        <is>
          <t>PT %</t>
        </is>
      </c>
      <c r="R5" s="9" t="inlineStr">
        <is>
          <t>PT Tier</t>
        </is>
      </c>
      <c r="S5" s="9" t="inlineStr">
        <is>
          <t>PT Elig</t>
        </is>
      </c>
      <c r="T5" s="9" t="inlineStr">
        <is>
          <t>Makeup Complete?</t>
        </is>
      </c>
      <c r="U5" s="9" t="inlineStr">
        <is>
          <t>Tardy</t>
        </is>
      </c>
      <c r="V5" s="9" t="inlineStr">
        <is>
          <t>FullAbs</t>
        </is>
      </c>
      <c r="W5" s="9" t="inlineStr">
        <is>
          <t>PartAbs</t>
        </is>
      </c>
      <c r="X5" s="9" t="inlineStr">
        <is>
          <t>PTMissCnt</t>
        </is>
      </c>
      <c r="Y5" s="9" t="inlineStr">
        <is>
          <t>Excused</t>
        </is>
      </c>
    </row>
    <row r="6">
      <c r="B6" s="15">
        <f>IF(Cadets!$B6="","",Cadets!$B6)</f>
        <v/>
      </c>
      <c r="C6" s="15">
        <f>IF($B6="","",Cadets!$F6)</f>
        <v/>
      </c>
      <c r="D6" s="15">
        <f>IF($B6="","",Cadets!$I6)</f>
        <v/>
      </c>
      <c r="E6" s="15">
        <f>IF($B6="","",SUMIFS(nrAT_Min,nrAT_PID,$B6,nrAT_Counts,"Yes",nrAT_IsPT,"No"))</f>
        <v/>
      </c>
      <c r="F6" s="15">
        <f>IF($B6="","",SUMIFS(nrMK_Min,nrMK_PID,$B6,nrMK_Credit,"Yes",nrMK_Type,"Classroom"))</f>
        <v/>
      </c>
      <c r="G6" s="15">
        <f>IF($B6="","",MAX(0,$E6-$F6))</f>
        <v/>
      </c>
      <c r="H6" s="15">
        <f>IF($B6="","",cfgClassroomCapMinutes)</f>
        <v/>
      </c>
      <c r="I6" s="15">
        <f>IF($B6="","",IF($H6=0,0,$G6/$H6))</f>
        <v/>
      </c>
      <c r="J6" s="15">
        <f>IF($B6="","",IF($I6&gt;=1,"At Cap",IF($I6&gt;=cfgAttendanceCriticalPct,"Critical",IF($I6&gt;=cfgAttendanceAdvisoryPct,"Advisory","OK"))))</f>
        <v/>
      </c>
      <c r="K6" s="15">
        <f>IF($B6="","",IF($H6=0,"Yes",IF($G6&lt;$H6,"Yes","No")))</f>
        <v/>
      </c>
      <c r="L6" s="15">
        <f>IF($B6="","",MAX(0,$E6-$F6))</f>
        <v/>
      </c>
      <c r="M6" s="15">
        <f>IF($B6="","",SUMIFS(nrAT_Sess,nrAT_PID,$B6,nrAT_Counts,"Yes",nrAT_IsPT,"Yes"))</f>
        <v/>
      </c>
      <c r="N6" s="15">
        <f>IF($B6="","",SUMIFS(nrMK_Sess,nrMK_PID,$B6,nrMK_Credit,"Yes",nrMK_Type,"PT"))</f>
        <v/>
      </c>
      <c r="O6" s="15">
        <f>IF($B6="","",MAX(0,$M6-$N6))</f>
        <v/>
      </c>
      <c r="P6" s="15">
        <f>IF($B6="","",cfgPTCapSessions)</f>
        <v/>
      </c>
      <c r="Q6" s="15">
        <f>IF($B6="","",IF($P6=0,0,$O6/$P6))</f>
        <v/>
      </c>
      <c r="R6" s="15">
        <f>IF($B6="","",IF($Q6&gt;=1,"At Cap",IF($Q6&gt;=cfgAttendanceCriticalPct,"Critical",IF($Q6&gt;=cfgAttendanceAdvisoryPct,"Advisory","OK"))))</f>
        <v/>
      </c>
      <c r="S6" s="15">
        <f>IF($B6="","",IF($P6=0,"Yes",IF($O6&lt;$P6,"Yes","No")))</f>
        <v/>
      </c>
      <c r="T6" s="15">
        <f>IF($B6="","",IF($L6=0,"Yes","No"))</f>
        <v/>
      </c>
      <c r="U6" s="15">
        <f>IF($B6="","",COUNTIFS(nrAT_PID,$B6,nrAT_Type,"Tardy"))</f>
        <v/>
      </c>
      <c r="V6" s="15">
        <f>IF($B6="","",COUNTIFS(nrAT_PID,$B6,nrAT_Type,"Absent Full Day"))</f>
        <v/>
      </c>
      <c r="W6" s="15">
        <f>IF($B6="","",COUNTIFS(nrAT_PID,$B6,nrAT_Type,"Absent Partial Day"))</f>
        <v/>
      </c>
      <c r="X6" s="15">
        <f>IF($B6="","",COUNTIFS(nrAT_PID,$B6,nrAT_Type,"PT Missed"))</f>
        <v/>
      </c>
      <c r="Y6" s="15">
        <f>IF($B6="","",COUNTIFS(nrAT_PID,$B6,nrAT_Excused,"Excused"))</f>
        <v/>
      </c>
    </row>
    <row r="7">
      <c r="B7" s="15">
        <f>IF(Cadets!$B7="","",Cadets!$B7)</f>
        <v/>
      </c>
      <c r="C7" s="15">
        <f>IF($B7="","",Cadets!$F7)</f>
        <v/>
      </c>
      <c r="D7" s="15">
        <f>IF($B7="","",Cadets!$I7)</f>
        <v/>
      </c>
      <c r="E7" s="15">
        <f>IF($B7="","",SUMIFS(nrAT_Min,nrAT_PID,$B7,nrAT_Counts,"Yes",nrAT_IsPT,"No"))</f>
        <v/>
      </c>
      <c r="F7" s="15">
        <f>IF($B7="","",SUMIFS(nrMK_Min,nrMK_PID,$B7,nrMK_Credit,"Yes",nrMK_Type,"Classroom"))</f>
        <v/>
      </c>
      <c r="G7" s="15">
        <f>IF($B7="","",MAX(0,$E7-$F7))</f>
        <v/>
      </c>
      <c r="H7" s="15">
        <f>IF($B7="","",cfgClassroomCapMinutes)</f>
        <v/>
      </c>
      <c r="I7" s="15">
        <f>IF($B7="","",IF($H7=0,0,$G7/$H7))</f>
        <v/>
      </c>
      <c r="J7" s="15">
        <f>IF($B7="","",IF($I7&gt;=1,"At Cap",IF($I7&gt;=cfgAttendanceCriticalPct,"Critical",IF($I7&gt;=cfgAttendanceAdvisoryPct,"Advisory","OK"))))</f>
        <v/>
      </c>
      <c r="K7" s="15">
        <f>IF($B7="","",IF($H7=0,"Yes",IF($G7&lt;$H7,"Yes","No")))</f>
        <v/>
      </c>
      <c r="L7" s="15">
        <f>IF($B7="","",MAX(0,$E7-$F7))</f>
        <v/>
      </c>
      <c r="M7" s="15">
        <f>IF($B7="","",SUMIFS(nrAT_Sess,nrAT_PID,$B7,nrAT_Counts,"Yes",nrAT_IsPT,"Yes"))</f>
        <v/>
      </c>
      <c r="N7" s="15">
        <f>IF($B7="","",SUMIFS(nrMK_Sess,nrMK_PID,$B7,nrMK_Credit,"Yes",nrMK_Type,"PT"))</f>
        <v/>
      </c>
      <c r="O7" s="15">
        <f>IF($B7="","",MAX(0,$M7-$N7))</f>
        <v/>
      </c>
      <c r="P7" s="15">
        <f>IF($B7="","",cfgPTCapSessions)</f>
        <v/>
      </c>
      <c r="Q7" s="15">
        <f>IF($B7="","",IF($P7=0,0,$O7/$P7))</f>
        <v/>
      </c>
      <c r="R7" s="15">
        <f>IF($B7="","",IF($Q7&gt;=1,"At Cap",IF($Q7&gt;=cfgAttendanceCriticalPct,"Critical",IF($Q7&gt;=cfgAttendanceAdvisoryPct,"Advisory","OK"))))</f>
        <v/>
      </c>
      <c r="S7" s="15">
        <f>IF($B7="","",IF($P7=0,"Yes",IF($O7&lt;$P7,"Yes","No")))</f>
        <v/>
      </c>
      <c r="T7" s="15">
        <f>IF($B7="","",IF($L7=0,"Yes","No"))</f>
        <v/>
      </c>
      <c r="U7" s="15">
        <f>IF($B7="","",COUNTIFS(nrAT_PID,$B7,nrAT_Type,"Tardy"))</f>
        <v/>
      </c>
      <c r="V7" s="15">
        <f>IF($B7="","",COUNTIFS(nrAT_PID,$B7,nrAT_Type,"Absent Full Day"))</f>
        <v/>
      </c>
      <c r="W7" s="15">
        <f>IF($B7="","",COUNTIFS(nrAT_PID,$B7,nrAT_Type,"Absent Partial Day"))</f>
        <v/>
      </c>
      <c r="X7" s="15">
        <f>IF($B7="","",COUNTIFS(nrAT_PID,$B7,nrAT_Type,"PT Missed"))</f>
        <v/>
      </c>
      <c r="Y7" s="15">
        <f>IF($B7="","",COUNTIFS(nrAT_PID,$B7,nrAT_Excused,"Excused"))</f>
        <v/>
      </c>
    </row>
    <row r="8">
      <c r="B8" s="15">
        <f>IF(Cadets!$B8="","",Cadets!$B8)</f>
        <v/>
      </c>
      <c r="C8" s="15">
        <f>IF($B8="","",Cadets!$F8)</f>
        <v/>
      </c>
      <c r="D8" s="15">
        <f>IF($B8="","",Cadets!$I8)</f>
        <v/>
      </c>
      <c r="E8" s="15">
        <f>IF($B8="","",SUMIFS(nrAT_Min,nrAT_PID,$B8,nrAT_Counts,"Yes",nrAT_IsPT,"No"))</f>
        <v/>
      </c>
      <c r="F8" s="15">
        <f>IF($B8="","",SUMIFS(nrMK_Min,nrMK_PID,$B8,nrMK_Credit,"Yes",nrMK_Type,"Classroom"))</f>
        <v/>
      </c>
      <c r="G8" s="15">
        <f>IF($B8="","",MAX(0,$E8-$F8))</f>
        <v/>
      </c>
      <c r="H8" s="15">
        <f>IF($B8="","",cfgClassroomCapMinutes)</f>
        <v/>
      </c>
      <c r="I8" s="15">
        <f>IF($B8="","",IF($H8=0,0,$G8/$H8))</f>
        <v/>
      </c>
      <c r="J8" s="15">
        <f>IF($B8="","",IF($I8&gt;=1,"At Cap",IF($I8&gt;=cfgAttendanceCriticalPct,"Critical",IF($I8&gt;=cfgAttendanceAdvisoryPct,"Advisory","OK"))))</f>
        <v/>
      </c>
      <c r="K8" s="15">
        <f>IF($B8="","",IF($H8=0,"Yes",IF($G8&lt;$H8,"Yes","No")))</f>
        <v/>
      </c>
      <c r="L8" s="15">
        <f>IF($B8="","",MAX(0,$E8-$F8))</f>
        <v/>
      </c>
      <c r="M8" s="15">
        <f>IF($B8="","",SUMIFS(nrAT_Sess,nrAT_PID,$B8,nrAT_Counts,"Yes",nrAT_IsPT,"Yes"))</f>
        <v/>
      </c>
      <c r="N8" s="15">
        <f>IF($B8="","",SUMIFS(nrMK_Sess,nrMK_PID,$B8,nrMK_Credit,"Yes",nrMK_Type,"PT"))</f>
        <v/>
      </c>
      <c r="O8" s="15">
        <f>IF($B8="","",MAX(0,$M8-$N8))</f>
        <v/>
      </c>
      <c r="P8" s="15">
        <f>IF($B8="","",cfgPTCapSessions)</f>
        <v/>
      </c>
      <c r="Q8" s="15">
        <f>IF($B8="","",IF($P8=0,0,$O8/$P8))</f>
        <v/>
      </c>
      <c r="R8" s="15">
        <f>IF($B8="","",IF($Q8&gt;=1,"At Cap",IF($Q8&gt;=cfgAttendanceCriticalPct,"Critical",IF($Q8&gt;=cfgAttendanceAdvisoryPct,"Advisory","OK"))))</f>
        <v/>
      </c>
      <c r="S8" s="15">
        <f>IF($B8="","",IF($P8=0,"Yes",IF($O8&lt;$P8,"Yes","No")))</f>
        <v/>
      </c>
      <c r="T8" s="15">
        <f>IF($B8="","",IF($L8=0,"Yes","No"))</f>
        <v/>
      </c>
      <c r="U8" s="15">
        <f>IF($B8="","",COUNTIFS(nrAT_PID,$B8,nrAT_Type,"Tardy"))</f>
        <v/>
      </c>
      <c r="V8" s="15">
        <f>IF($B8="","",COUNTIFS(nrAT_PID,$B8,nrAT_Type,"Absent Full Day"))</f>
        <v/>
      </c>
      <c r="W8" s="15">
        <f>IF($B8="","",COUNTIFS(nrAT_PID,$B8,nrAT_Type,"Absent Partial Day"))</f>
        <v/>
      </c>
      <c r="X8" s="15">
        <f>IF($B8="","",COUNTIFS(nrAT_PID,$B8,nrAT_Type,"PT Missed"))</f>
        <v/>
      </c>
      <c r="Y8" s="15">
        <f>IF($B8="","",COUNTIFS(nrAT_PID,$B8,nrAT_Excused,"Excused"))</f>
        <v/>
      </c>
    </row>
    <row r="9">
      <c r="B9" s="15">
        <f>IF(Cadets!$B9="","",Cadets!$B9)</f>
        <v/>
      </c>
      <c r="C9" s="15">
        <f>IF($B9="","",Cadets!$F9)</f>
        <v/>
      </c>
      <c r="D9" s="15">
        <f>IF($B9="","",Cadets!$I9)</f>
        <v/>
      </c>
      <c r="E9" s="15">
        <f>IF($B9="","",SUMIFS(nrAT_Min,nrAT_PID,$B9,nrAT_Counts,"Yes",nrAT_IsPT,"No"))</f>
        <v/>
      </c>
      <c r="F9" s="15">
        <f>IF($B9="","",SUMIFS(nrMK_Min,nrMK_PID,$B9,nrMK_Credit,"Yes",nrMK_Type,"Classroom"))</f>
        <v/>
      </c>
      <c r="G9" s="15">
        <f>IF($B9="","",MAX(0,$E9-$F9))</f>
        <v/>
      </c>
      <c r="H9" s="15">
        <f>IF($B9="","",cfgClassroomCapMinutes)</f>
        <v/>
      </c>
      <c r="I9" s="15">
        <f>IF($B9="","",IF($H9=0,0,$G9/$H9))</f>
        <v/>
      </c>
      <c r="J9" s="15">
        <f>IF($B9="","",IF($I9&gt;=1,"At Cap",IF($I9&gt;=cfgAttendanceCriticalPct,"Critical",IF($I9&gt;=cfgAttendanceAdvisoryPct,"Advisory","OK"))))</f>
        <v/>
      </c>
      <c r="K9" s="15">
        <f>IF($B9="","",IF($H9=0,"Yes",IF($G9&lt;$H9,"Yes","No")))</f>
        <v/>
      </c>
      <c r="L9" s="15">
        <f>IF($B9="","",MAX(0,$E9-$F9))</f>
        <v/>
      </c>
      <c r="M9" s="15">
        <f>IF($B9="","",SUMIFS(nrAT_Sess,nrAT_PID,$B9,nrAT_Counts,"Yes",nrAT_IsPT,"Yes"))</f>
        <v/>
      </c>
      <c r="N9" s="15">
        <f>IF($B9="","",SUMIFS(nrMK_Sess,nrMK_PID,$B9,nrMK_Credit,"Yes",nrMK_Type,"PT"))</f>
        <v/>
      </c>
      <c r="O9" s="15">
        <f>IF($B9="","",MAX(0,$M9-$N9))</f>
        <v/>
      </c>
      <c r="P9" s="15">
        <f>IF($B9="","",cfgPTCapSessions)</f>
        <v/>
      </c>
      <c r="Q9" s="15">
        <f>IF($B9="","",IF($P9=0,0,$O9/$P9))</f>
        <v/>
      </c>
      <c r="R9" s="15">
        <f>IF($B9="","",IF($Q9&gt;=1,"At Cap",IF($Q9&gt;=cfgAttendanceCriticalPct,"Critical",IF($Q9&gt;=cfgAttendanceAdvisoryPct,"Advisory","OK"))))</f>
        <v/>
      </c>
      <c r="S9" s="15">
        <f>IF($B9="","",IF($P9=0,"Yes",IF($O9&lt;$P9,"Yes","No")))</f>
        <v/>
      </c>
      <c r="T9" s="15">
        <f>IF($B9="","",IF($L9=0,"Yes","No"))</f>
        <v/>
      </c>
      <c r="U9" s="15">
        <f>IF($B9="","",COUNTIFS(nrAT_PID,$B9,nrAT_Type,"Tardy"))</f>
        <v/>
      </c>
      <c r="V9" s="15">
        <f>IF($B9="","",COUNTIFS(nrAT_PID,$B9,nrAT_Type,"Absent Full Day"))</f>
        <v/>
      </c>
      <c r="W9" s="15">
        <f>IF($B9="","",COUNTIFS(nrAT_PID,$B9,nrAT_Type,"Absent Partial Day"))</f>
        <v/>
      </c>
      <c r="X9" s="15">
        <f>IF($B9="","",COUNTIFS(nrAT_PID,$B9,nrAT_Type,"PT Missed"))</f>
        <v/>
      </c>
      <c r="Y9" s="15">
        <f>IF($B9="","",COUNTIFS(nrAT_PID,$B9,nrAT_Excused,"Excused"))</f>
        <v/>
      </c>
    </row>
    <row r="10">
      <c r="B10" s="15">
        <f>IF(Cadets!$B10="","",Cadets!$B10)</f>
        <v/>
      </c>
      <c r="C10" s="15">
        <f>IF($B10="","",Cadets!$F10)</f>
        <v/>
      </c>
      <c r="D10" s="15">
        <f>IF($B10="","",Cadets!$I10)</f>
        <v/>
      </c>
      <c r="E10" s="15">
        <f>IF($B10="","",SUMIFS(nrAT_Min,nrAT_PID,$B10,nrAT_Counts,"Yes",nrAT_IsPT,"No"))</f>
        <v/>
      </c>
      <c r="F10" s="15">
        <f>IF($B10="","",SUMIFS(nrMK_Min,nrMK_PID,$B10,nrMK_Credit,"Yes",nrMK_Type,"Classroom"))</f>
        <v/>
      </c>
      <c r="G10" s="15">
        <f>IF($B10="","",MAX(0,$E10-$F10))</f>
        <v/>
      </c>
      <c r="H10" s="15">
        <f>IF($B10="","",cfgClassroomCapMinutes)</f>
        <v/>
      </c>
      <c r="I10" s="15">
        <f>IF($B10="","",IF($H10=0,0,$G10/$H10))</f>
        <v/>
      </c>
      <c r="J10" s="15">
        <f>IF($B10="","",IF($I10&gt;=1,"At Cap",IF($I10&gt;=cfgAttendanceCriticalPct,"Critical",IF($I10&gt;=cfgAttendanceAdvisoryPct,"Advisory","OK"))))</f>
        <v/>
      </c>
      <c r="K10" s="15">
        <f>IF($B10="","",IF($H10=0,"Yes",IF($G10&lt;$H10,"Yes","No")))</f>
        <v/>
      </c>
      <c r="L10" s="15">
        <f>IF($B10="","",MAX(0,$E10-$F10))</f>
        <v/>
      </c>
      <c r="M10" s="15">
        <f>IF($B10="","",SUMIFS(nrAT_Sess,nrAT_PID,$B10,nrAT_Counts,"Yes",nrAT_IsPT,"Yes"))</f>
        <v/>
      </c>
      <c r="N10" s="15">
        <f>IF($B10="","",SUMIFS(nrMK_Sess,nrMK_PID,$B10,nrMK_Credit,"Yes",nrMK_Type,"PT"))</f>
        <v/>
      </c>
      <c r="O10" s="15">
        <f>IF($B10="","",MAX(0,$M10-$N10))</f>
        <v/>
      </c>
      <c r="P10" s="15">
        <f>IF($B10="","",cfgPTCapSessions)</f>
        <v/>
      </c>
      <c r="Q10" s="15">
        <f>IF($B10="","",IF($P10=0,0,$O10/$P10))</f>
        <v/>
      </c>
      <c r="R10" s="15">
        <f>IF($B10="","",IF($Q10&gt;=1,"At Cap",IF($Q10&gt;=cfgAttendanceCriticalPct,"Critical",IF($Q10&gt;=cfgAttendanceAdvisoryPct,"Advisory","OK"))))</f>
        <v/>
      </c>
      <c r="S10" s="15">
        <f>IF($B10="","",IF($P10=0,"Yes",IF($O10&lt;$P10,"Yes","No")))</f>
        <v/>
      </c>
      <c r="T10" s="15">
        <f>IF($B10="","",IF($L10=0,"Yes","No"))</f>
        <v/>
      </c>
      <c r="U10" s="15">
        <f>IF($B10="","",COUNTIFS(nrAT_PID,$B10,nrAT_Type,"Tardy"))</f>
        <v/>
      </c>
      <c r="V10" s="15">
        <f>IF($B10="","",COUNTIFS(nrAT_PID,$B10,nrAT_Type,"Absent Full Day"))</f>
        <v/>
      </c>
      <c r="W10" s="15">
        <f>IF($B10="","",COUNTIFS(nrAT_PID,$B10,nrAT_Type,"Absent Partial Day"))</f>
        <v/>
      </c>
      <c r="X10" s="15">
        <f>IF($B10="","",COUNTIFS(nrAT_PID,$B10,nrAT_Type,"PT Missed"))</f>
        <v/>
      </c>
      <c r="Y10" s="15">
        <f>IF($B10="","",COUNTIFS(nrAT_PID,$B10,nrAT_Excused,"Excused"))</f>
        <v/>
      </c>
    </row>
    <row r="11">
      <c r="B11" s="15">
        <f>IF(Cadets!$B11="","",Cadets!$B11)</f>
        <v/>
      </c>
      <c r="C11" s="15">
        <f>IF($B11="","",Cadets!$F11)</f>
        <v/>
      </c>
      <c r="D11" s="15">
        <f>IF($B11="","",Cadets!$I11)</f>
        <v/>
      </c>
      <c r="E11" s="15">
        <f>IF($B11="","",SUMIFS(nrAT_Min,nrAT_PID,$B11,nrAT_Counts,"Yes",nrAT_IsPT,"No"))</f>
        <v/>
      </c>
      <c r="F11" s="15">
        <f>IF($B11="","",SUMIFS(nrMK_Min,nrMK_PID,$B11,nrMK_Credit,"Yes",nrMK_Type,"Classroom"))</f>
        <v/>
      </c>
      <c r="G11" s="15">
        <f>IF($B11="","",MAX(0,$E11-$F11))</f>
        <v/>
      </c>
      <c r="H11" s="15">
        <f>IF($B11="","",cfgClassroomCapMinutes)</f>
        <v/>
      </c>
      <c r="I11" s="15">
        <f>IF($B11="","",IF($H11=0,0,$G11/$H11))</f>
        <v/>
      </c>
      <c r="J11" s="15">
        <f>IF($B11="","",IF($I11&gt;=1,"At Cap",IF($I11&gt;=cfgAttendanceCriticalPct,"Critical",IF($I11&gt;=cfgAttendanceAdvisoryPct,"Advisory","OK"))))</f>
        <v/>
      </c>
      <c r="K11" s="15">
        <f>IF($B11="","",IF($H11=0,"Yes",IF($G11&lt;$H11,"Yes","No")))</f>
        <v/>
      </c>
      <c r="L11" s="15">
        <f>IF($B11="","",MAX(0,$E11-$F11))</f>
        <v/>
      </c>
      <c r="M11" s="15">
        <f>IF($B11="","",SUMIFS(nrAT_Sess,nrAT_PID,$B11,nrAT_Counts,"Yes",nrAT_IsPT,"Yes"))</f>
        <v/>
      </c>
      <c r="N11" s="15">
        <f>IF($B11="","",SUMIFS(nrMK_Sess,nrMK_PID,$B11,nrMK_Credit,"Yes",nrMK_Type,"PT"))</f>
        <v/>
      </c>
      <c r="O11" s="15">
        <f>IF($B11="","",MAX(0,$M11-$N11))</f>
        <v/>
      </c>
      <c r="P11" s="15">
        <f>IF($B11="","",cfgPTCapSessions)</f>
        <v/>
      </c>
      <c r="Q11" s="15">
        <f>IF($B11="","",IF($P11=0,0,$O11/$P11))</f>
        <v/>
      </c>
      <c r="R11" s="15">
        <f>IF($B11="","",IF($Q11&gt;=1,"At Cap",IF($Q11&gt;=cfgAttendanceCriticalPct,"Critical",IF($Q11&gt;=cfgAttendanceAdvisoryPct,"Advisory","OK"))))</f>
        <v/>
      </c>
      <c r="S11" s="15">
        <f>IF($B11="","",IF($P11=0,"Yes",IF($O11&lt;$P11,"Yes","No")))</f>
        <v/>
      </c>
      <c r="T11" s="15">
        <f>IF($B11="","",IF($L11=0,"Yes","No"))</f>
        <v/>
      </c>
      <c r="U11" s="15">
        <f>IF($B11="","",COUNTIFS(nrAT_PID,$B11,nrAT_Type,"Tardy"))</f>
        <v/>
      </c>
      <c r="V11" s="15">
        <f>IF($B11="","",COUNTIFS(nrAT_PID,$B11,nrAT_Type,"Absent Full Day"))</f>
        <v/>
      </c>
      <c r="W11" s="15">
        <f>IF($B11="","",COUNTIFS(nrAT_PID,$B11,nrAT_Type,"Absent Partial Day"))</f>
        <v/>
      </c>
      <c r="X11" s="15">
        <f>IF($B11="","",COUNTIFS(nrAT_PID,$B11,nrAT_Type,"PT Missed"))</f>
        <v/>
      </c>
      <c r="Y11" s="15">
        <f>IF($B11="","",COUNTIFS(nrAT_PID,$B11,nrAT_Excused,"Excused"))</f>
        <v/>
      </c>
    </row>
    <row r="12">
      <c r="B12" s="15">
        <f>IF(Cadets!$B12="","",Cadets!$B12)</f>
        <v/>
      </c>
      <c r="C12" s="15">
        <f>IF($B12="","",Cadets!$F12)</f>
        <v/>
      </c>
      <c r="D12" s="15">
        <f>IF($B12="","",Cadets!$I12)</f>
        <v/>
      </c>
      <c r="E12" s="15">
        <f>IF($B12="","",SUMIFS(nrAT_Min,nrAT_PID,$B12,nrAT_Counts,"Yes",nrAT_IsPT,"No"))</f>
        <v/>
      </c>
      <c r="F12" s="15">
        <f>IF($B12="","",SUMIFS(nrMK_Min,nrMK_PID,$B12,nrMK_Credit,"Yes",nrMK_Type,"Classroom"))</f>
        <v/>
      </c>
      <c r="G12" s="15">
        <f>IF($B12="","",MAX(0,$E12-$F12))</f>
        <v/>
      </c>
      <c r="H12" s="15">
        <f>IF($B12="","",cfgClassroomCapMinutes)</f>
        <v/>
      </c>
      <c r="I12" s="15">
        <f>IF($B12="","",IF($H12=0,0,$G12/$H12))</f>
        <v/>
      </c>
      <c r="J12" s="15">
        <f>IF($B12="","",IF($I12&gt;=1,"At Cap",IF($I12&gt;=cfgAttendanceCriticalPct,"Critical",IF($I12&gt;=cfgAttendanceAdvisoryPct,"Advisory","OK"))))</f>
        <v/>
      </c>
      <c r="K12" s="15">
        <f>IF($B12="","",IF($H12=0,"Yes",IF($G12&lt;$H12,"Yes","No")))</f>
        <v/>
      </c>
      <c r="L12" s="15">
        <f>IF($B12="","",MAX(0,$E12-$F12))</f>
        <v/>
      </c>
      <c r="M12" s="15">
        <f>IF($B12="","",SUMIFS(nrAT_Sess,nrAT_PID,$B12,nrAT_Counts,"Yes",nrAT_IsPT,"Yes"))</f>
        <v/>
      </c>
      <c r="N12" s="15">
        <f>IF($B12="","",SUMIFS(nrMK_Sess,nrMK_PID,$B12,nrMK_Credit,"Yes",nrMK_Type,"PT"))</f>
        <v/>
      </c>
      <c r="O12" s="15">
        <f>IF($B12="","",MAX(0,$M12-$N12))</f>
        <v/>
      </c>
      <c r="P12" s="15">
        <f>IF($B12="","",cfgPTCapSessions)</f>
        <v/>
      </c>
      <c r="Q12" s="15">
        <f>IF($B12="","",IF($P12=0,0,$O12/$P12))</f>
        <v/>
      </c>
      <c r="R12" s="15">
        <f>IF($B12="","",IF($Q12&gt;=1,"At Cap",IF($Q12&gt;=cfgAttendanceCriticalPct,"Critical",IF($Q12&gt;=cfgAttendanceAdvisoryPct,"Advisory","OK"))))</f>
        <v/>
      </c>
      <c r="S12" s="15">
        <f>IF($B12="","",IF($P12=0,"Yes",IF($O12&lt;$P12,"Yes","No")))</f>
        <v/>
      </c>
      <c r="T12" s="15">
        <f>IF($B12="","",IF($L12=0,"Yes","No"))</f>
        <v/>
      </c>
      <c r="U12" s="15">
        <f>IF($B12="","",COUNTIFS(nrAT_PID,$B12,nrAT_Type,"Tardy"))</f>
        <v/>
      </c>
      <c r="V12" s="15">
        <f>IF($B12="","",COUNTIFS(nrAT_PID,$B12,nrAT_Type,"Absent Full Day"))</f>
        <v/>
      </c>
      <c r="W12" s="15">
        <f>IF($B12="","",COUNTIFS(nrAT_PID,$B12,nrAT_Type,"Absent Partial Day"))</f>
        <v/>
      </c>
      <c r="X12" s="15">
        <f>IF($B12="","",COUNTIFS(nrAT_PID,$B12,nrAT_Type,"PT Missed"))</f>
        <v/>
      </c>
      <c r="Y12" s="15">
        <f>IF($B12="","",COUNTIFS(nrAT_PID,$B12,nrAT_Excused,"Excused"))</f>
        <v/>
      </c>
    </row>
    <row r="13">
      <c r="B13" s="15">
        <f>IF(Cadets!$B13="","",Cadets!$B13)</f>
        <v/>
      </c>
      <c r="C13" s="15">
        <f>IF($B13="","",Cadets!$F13)</f>
        <v/>
      </c>
      <c r="D13" s="15">
        <f>IF($B13="","",Cadets!$I13)</f>
        <v/>
      </c>
      <c r="E13" s="15">
        <f>IF($B13="","",SUMIFS(nrAT_Min,nrAT_PID,$B13,nrAT_Counts,"Yes",nrAT_IsPT,"No"))</f>
        <v/>
      </c>
      <c r="F13" s="15">
        <f>IF($B13="","",SUMIFS(nrMK_Min,nrMK_PID,$B13,nrMK_Credit,"Yes",nrMK_Type,"Classroom"))</f>
        <v/>
      </c>
      <c r="G13" s="15">
        <f>IF($B13="","",MAX(0,$E13-$F13))</f>
        <v/>
      </c>
      <c r="H13" s="15">
        <f>IF($B13="","",cfgClassroomCapMinutes)</f>
        <v/>
      </c>
      <c r="I13" s="15">
        <f>IF($B13="","",IF($H13=0,0,$G13/$H13))</f>
        <v/>
      </c>
      <c r="J13" s="15">
        <f>IF($B13="","",IF($I13&gt;=1,"At Cap",IF($I13&gt;=cfgAttendanceCriticalPct,"Critical",IF($I13&gt;=cfgAttendanceAdvisoryPct,"Advisory","OK"))))</f>
        <v/>
      </c>
      <c r="K13" s="15">
        <f>IF($B13="","",IF($H13=0,"Yes",IF($G13&lt;$H13,"Yes","No")))</f>
        <v/>
      </c>
      <c r="L13" s="15">
        <f>IF($B13="","",MAX(0,$E13-$F13))</f>
        <v/>
      </c>
      <c r="M13" s="15">
        <f>IF($B13="","",SUMIFS(nrAT_Sess,nrAT_PID,$B13,nrAT_Counts,"Yes",nrAT_IsPT,"Yes"))</f>
        <v/>
      </c>
      <c r="N13" s="15">
        <f>IF($B13="","",SUMIFS(nrMK_Sess,nrMK_PID,$B13,nrMK_Credit,"Yes",nrMK_Type,"PT"))</f>
        <v/>
      </c>
      <c r="O13" s="15">
        <f>IF($B13="","",MAX(0,$M13-$N13))</f>
        <v/>
      </c>
      <c r="P13" s="15">
        <f>IF($B13="","",cfgPTCapSessions)</f>
        <v/>
      </c>
      <c r="Q13" s="15">
        <f>IF($B13="","",IF($P13=0,0,$O13/$P13))</f>
        <v/>
      </c>
      <c r="R13" s="15">
        <f>IF($B13="","",IF($Q13&gt;=1,"At Cap",IF($Q13&gt;=cfgAttendanceCriticalPct,"Critical",IF($Q13&gt;=cfgAttendanceAdvisoryPct,"Advisory","OK"))))</f>
        <v/>
      </c>
      <c r="S13" s="15">
        <f>IF($B13="","",IF($P13=0,"Yes",IF($O13&lt;$P13,"Yes","No")))</f>
        <v/>
      </c>
      <c r="T13" s="15">
        <f>IF($B13="","",IF($L13=0,"Yes","No"))</f>
        <v/>
      </c>
      <c r="U13" s="15">
        <f>IF($B13="","",COUNTIFS(nrAT_PID,$B13,nrAT_Type,"Tardy"))</f>
        <v/>
      </c>
      <c r="V13" s="15">
        <f>IF($B13="","",COUNTIFS(nrAT_PID,$B13,nrAT_Type,"Absent Full Day"))</f>
        <v/>
      </c>
      <c r="W13" s="15">
        <f>IF($B13="","",COUNTIFS(nrAT_PID,$B13,nrAT_Type,"Absent Partial Day"))</f>
        <v/>
      </c>
      <c r="X13" s="15">
        <f>IF($B13="","",COUNTIFS(nrAT_PID,$B13,nrAT_Type,"PT Missed"))</f>
        <v/>
      </c>
      <c r="Y13" s="15">
        <f>IF($B13="","",COUNTIFS(nrAT_PID,$B13,nrAT_Excused,"Excused"))</f>
        <v/>
      </c>
    </row>
    <row r="14">
      <c r="B14" s="15">
        <f>IF(Cadets!$B14="","",Cadets!$B14)</f>
        <v/>
      </c>
      <c r="C14" s="15">
        <f>IF($B14="","",Cadets!$F14)</f>
        <v/>
      </c>
      <c r="D14" s="15">
        <f>IF($B14="","",Cadets!$I14)</f>
        <v/>
      </c>
      <c r="E14" s="15">
        <f>IF($B14="","",SUMIFS(nrAT_Min,nrAT_PID,$B14,nrAT_Counts,"Yes",nrAT_IsPT,"No"))</f>
        <v/>
      </c>
      <c r="F14" s="15">
        <f>IF($B14="","",SUMIFS(nrMK_Min,nrMK_PID,$B14,nrMK_Credit,"Yes",nrMK_Type,"Classroom"))</f>
        <v/>
      </c>
      <c r="G14" s="15">
        <f>IF($B14="","",MAX(0,$E14-$F14))</f>
        <v/>
      </c>
      <c r="H14" s="15">
        <f>IF($B14="","",cfgClassroomCapMinutes)</f>
        <v/>
      </c>
      <c r="I14" s="15">
        <f>IF($B14="","",IF($H14=0,0,$G14/$H14))</f>
        <v/>
      </c>
      <c r="J14" s="15">
        <f>IF($B14="","",IF($I14&gt;=1,"At Cap",IF($I14&gt;=cfgAttendanceCriticalPct,"Critical",IF($I14&gt;=cfgAttendanceAdvisoryPct,"Advisory","OK"))))</f>
        <v/>
      </c>
      <c r="K14" s="15">
        <f>IF($B14="","",IF($H14=0,"Yes",IF($G14&lt;$H14,"Yes","No")))</f>
        <v/>
      </c>
      <c r="L14" s="15">
        <f>IF($B14="","",MAX(0,$E14-$F14))</f>
        <v/>
      </c>
      <c r="M14" s="15">
        <f>IF($B14="","",SUMIFS(nrAT_Sess,nrAT_PID,$B14,nrAT_Counts,"Yes",nrAT_IsPT,"Yes"))</f>
        <v/>
      </c>
      <c r="N14" s="15">
        <f>IF($B14="","",SUMIFS(nrMK_Sess,nrMK_PID,$B14,nrMK_Credit,"Yes",nrMK_Type,"PT"))</f>
        <v/>
      </c>
      <c r="O14" s="15">
        <f>IF($B14="","",MAX(0,$M14-$N14))</f>
        <v/>
      </c>
      <c r="P14" s="15">
        <f>IF($B14="","",cfgPTCapSessions)</f>
        <v/>
      </c>
      <c r="Q14" s="15">
        <f>IF($B14="","",IF($P14=0,0,$O14/$P14))</f>
        <v/>
      </c>
      <c r="R14" s="15">
        <f>IF($B14="","",IF($Q14&gt;=1,"At Cap",IF($Q14&gt;=cfgAttendanceCriticalPct,"Critical",IF($Q14&gt;=cfgAttendanceAdvisoryPct,"Advisory","OK"))))</f>
        <v/>
      </c>
      <c r="S14" s="15">
        <f>IF($B14="","",IF($P14=0,"Yes",IF($O14&lt;$P14,"Yes","No")))</f>
        <v/>
      </c>
      <c r="T14" s="15">
        <f>IF($B14="","",IF($L14=0,"Yes","No"))</f>
        <v/>
      </c>
      <c r="U14" s="15">
        <f>IF($B14="","",COUNTIFS(nrAT_PID,$B14,nrAT_Type,"Tardy"))</f>
        <v/>
      </c>
      <c r="V14" s="15">
        <f>IF($B14="","",COUNTIFS(nrAT_PID,$B14,nrAT_Type,"Absent Full Day"))</f>
        <v/>
      </c>
      <c r="W14" s="15">
        <f>IF($B14="","",COUNTIFS(nrAT_PID,$B14,nrAT_Type,"Absent Partial Day"))</f>
        <v/>
      </c>
      <c r="X14" s="15">
        <f>IF($B14="","",COUNTIFS(nrAT_PID,$B14,nrAT_Type,"PT Missed"))</f>
        <v/>
      </c>
      <c r="Y14" s="15">
        <f>IF($B14="","",COUNTIFS(nrAT_PID,$B14,nrAT_Excused,"Excused"))</f>
        <v/>
      </c>
    </row>
    <row r="15">
      <c r="B15" s="15">
        <f>IF(Cadets!$B15="","",Cadets!$B15)</f>
        <v/>
      </c>
      <c r="C15" s="15">
        <f>IF($B15="","",Cadets!$F15)</f>
        <v/>
      </c>
      <c r="D15" s="15">
        <f>IF($B15="","",Cadets!$I15)</f>
        <v/>
      </c>
      <c r="E15" s="15">
        <f>IF($B15="","",SUMIFS(nrAT_Min,nrAT_PID,$B15,nrAT_Counts,"Yes",nrAT_IsPT,"No"))</f>
        <v/>
      </c>
      <c r="F15" s="15">
        <f>IF($B15="","",SUMIFS(nrMK_Min,nrMK_PID,$B15,nrMK_Credit,"Yes",nrMK_Type,"Classroom"))</f>
        <v/>
      </c>
      <c r="G15" s="15">
        <f>IF($B15="","",MAX(0,$E15-$F15))</f>
        <v/>
      </c>
      <c r="H15" s="15">
        <f>IF($B15="","",cfgClassroomCapMinutes)</f>
        <v/>
      </c>
      <c r="I15" s="15">
        <f>IF($B15="","",IF($H15=0,0,$G15/$H15))</f>
        <v/>
      </c>
      <c r="J15" s="15">
        <f>IF($B15="","",IF($I15&gt;=1,"At Cap",IF($I15&gt;=cfgAttendanceCriticalPct,"Critical",IF($I15&gt;=cfgAttendanceAdvisoryPct,"Advisory","OK"))))</f>
        <v/>
      </c>
      <c r="K15" s="15">
        <f>IF($B15="","",IF($H15=0,"Yes",IF($G15&lt;$H15,"Yes","No")))</f>
        <v/>
      </c>
      <c r="L15" s="15">
        <f>IF($B15="","",MAX(0,$E15-$F15))</f>
        <v/>
      </c>
      <c r="M15" s="15">
        <f>IF($B15="","",SUMIFS(nrAT_Sess,nrAT_PID,$B15,nrAT_Counts,"Yes",nrAT_IsPT,"Yes"))</f>
        <v/>
      </c>
      <c r="N15" s="15">
        <f>IF($B15="","",SUMIFS(nrMK_Sess,nrMK_PID,$B15,nrMK_Credit,"Yes",nrMK_Type,"PT"))</f>
        <v/>
      </c>
      <c r="O15" s="15">
        <f>IF($B15="","",MAX(0,$M15-$N15))</f>
        <v/>
      </c>
      <c r="P15" s="15">
        <f>IF($B15="","",cfgPTCapSessions)</f>
        <v/>
      </c>
      <c r="Q15" s="15">
        <f>IF($B15="","",IF($P15=0,0,$O15/$P15))</f>
        <v/>
      </c>
      <c r="R15" s="15">
        <f>IF($B15="","",IF($Q15&gt;=1,"At Cap",IF($Q15&gt;=cfgAttendanceCriticalPct,"Critical",IF($Q15&gt;=cfgAttendanceAdvisoryPct,"Advisory","OK"))))</f>
        <v/>
      </c>
      <c r="S15" s="15">
        <f>IF($B15="","",IF($P15=0,"Yes",IF($O15&lt;$P15,"Yes","No")))</f>
        <v/>
      </c>
      <c r="T15" s="15">
        <f>IF($B15="","",IF($L15=0,"Yes","No"))</f>
        <v/>
      </c>
      <c r="U15" s="15">
        <f>IF($B15="","",COUNTIFS(nrAT_PID,$B15,nrAT_Type,"Tardy"))</f>
        <v/>
      </c>
      <c r="V15" s="15">
        <f>IF($B15="","",COUNTIFS(nrAT_PID,$B15,nrAT_Type,"Absent Full Day"))</f>
        <v/>
      </c>
      <c r="W15" s="15">
        <f>IF($B15="","",COUNTIFS(nrAT_PID,$B15,nrAT_Type,"Absent Partial Day"))</f>
        <v/>
      </c>
      <c r="X15" s="15">
        <f>IF($B15="","",COUNTIFS(nrAT_PID,$B15,nrAT_Type,"PT Missed"))</f>
        <v/>
      </c>
      <c r="Y15" s="15">
        <f>IF($B15="","",COUNTIFS(nrAT_PID,$B15,nrAT_Excused,"Excused"))</f>
        <v/>
      </c>
    </row>
    <row r="16">
      <c r="B16" s="15">
        <f>IF(Cadets!$B16="","",Cadets!$B16)</f>
        <v/>
      </c>
      <c r="C16" s="15">
        <f>IF($B16="","",Cadets!$F16)</f>
        <v/>
      </c>
      <c r="D16" s="15">
        <f>IF($B16="","",Cadets!$I16)</f>
        <v/>
      </c>
      <c r="E16" s="15">
        <f>IF($B16="","",SUMIFS(nrAT_Min,nrAT_PID,$B16,nrAT_Counts,"Yes",nrAT_IsPT,"No"))</f>
        <v/>
      </c>
      <c r="F16" s="15">
        <f>IF($B16="","",SUMIFS(nrMK_Min,nrMK_PID,$B16,nrMK_Credit,"Yes",nrMK_Type,"Classroom"))</f>
        <v/>
      </c>
      <c r="G16" s="15">
        <f>IF($B16="","",MAX(0,$E16-$F16))</f>
        <v/>
      </c>
      <c r="H16" s="15">
        <f>IF($B16="","",cfgClassroomCapMinutes)</f>
        <v/>
      </c>
      <c r="I16" s="15">
        <f>IF($B16="","",IF($H16=0,0,$G16/$H16))</f>
        <v/>
      </c>
      <c r="J16" s="15">
        <f>IF($B16="","",IF($I16&gt;=1,"At Cap",IF($I16&gt;=cfgAttendanceCriticalPct,"Critical",IF($I16&gt;=cfgAttendanceAdvisoryPct,"Advisory","OK"))))</f>
        <v/>
      </c>
      <c r="K16" s="15">
        <f>IF($B16="","",IF($H16=0,"Yes",IF($G16&lt;$H16,"Yes","No")))</f>
        <v/>
      </c>
      <c r="L16" s="15">
        <f>IF($B16="","",MAX(0,$E16-$F16))</f>
        <v/>
      </c>
      <c r="M16" s="15">
        <f>IF($B16="","",SUMIFS(nrAT_Sess,nrAT_PID,$B16,nrAT_Counts,"Yes",nrAT_IsPT,"Yes"))</f>
        <v/>
      </c>
      <c r="N16" s="15">
        <f>IF($B16="","",SUMIFS(nrMK_Sess,nrMK_PID,$B16,nrMK_Credit,"Yes",nrMK_Type,"PT"))</f>
        <v/>
      </c>
      <c r="O16" s="15">
        <f>IF($B16="","",MAX(0,$M16-$N16))</f>
        <v/>
      </c>
      <c r="P16" s="15">
        <f>IF($B16="","",cfgPTCapSessions)</f>
        <v/>
      </c>
      <c r="Q16" s="15">
        <f>IF($B16="","",IF($P16=0,0,$O16/$P16))</f>
        <v/>
      </c>
      <c r="R16" s="15">
        <f>IF($B16="","",IF($Q16&gt;=1,"At Cap",IF($Q16&gt;=cfgAttendanceCriticalPct,"Critical",IF($Q16&gt;=cfgAttendanceAdvisoryPct,"Advisory","OK"))))</f>
        <v/>
      </c>
      <c r="S16" s="15">
        <f>IF($B16="","",IF($P16=0,"Yes",IF($O16&lt;$P16,"Yes","No")))</f>
        <v/>
      </c>
      <c r="T16" s="15">
        <f>IF($B16="","",IF($L16=0,"Yes","No"))</f>
        <v/>
      </c>
      <c r="U16" s="15">
        <f>IF($B16="","",COUNTIFS(nrAT_PID,$B16,nrAT_Type,"Tardy"))</f>
        <v/>
      </c>
      <c r="V16" s="15">
        <f>IF($B16="","",COUNTIFS(nrAT_PID,$B16,nrAT_Type,"Absent Full Day"))</f>
        <v/>
      </c>
      <c r="W16" s="15">
        <f>IF($B16="","",COUNTIFS(nrAT_PID,$B16,nrAT_Type,"Absent Partial Day"))</f>
        <v/>
      </c>
      <c r="X16" s="15">
        <f>IF($B16="","",COUNTIFS(nrAT_PID,$B16,nrAT_Type,"PT Missed"))</f>
        <v/>
      </c>
      <c r="Y16" s="15">
        <f>IF($B16="","",COUNTIFS(nrAT_PID,$B16,nrAT_Excused,"Excused"))</f>
        <v/>
      </c>
    </row>
    <row r="17">
      <c r="B17" s="15">
        <f>IF(Cadets!$B17="","",Cadets!$B17)</f>
        <v/>
      </c>
      <c r="C17" s="15">
        <f>IF($B17="","",Cadets!$F17)</f>
        <v/>
      </c>
      <c r="D17" s="15">
        <f>IF($B17="","",Cadets!$I17)</f>
        <v/>
      </c>
      <c r="E17" s="15">
        <f>IF($B17="","",SUMIFS(nrAT_Min,nrAT_PID,$B17,nrAT_Counts,"Yes",nrAT_IsPT,"No"))</f>
        <v/>
      </c>
      <c r="F17" s="15">
        <f>IF($B17="","",SUMIFS(nrMK_Min,nrMK_PID,$B17,nrMK_Credit,"Yes",nrMK_Type,"Classroom"))</f>
        <v/>
      </c>
      <c r="G17" s="15">
        <f>IF($B17="","",MAX(0,$E17-$F17))</f>
        <v/>
      </c>
      <c r="H17" s="15">
        <f>IF($B17="","",cfgClassroomCapMinutes)</f>
        <v/>
      </c>
      <c r="I17" s="15">
        <f>IF($B17="","",IF($H17=0,0,$G17/$H17))</f>
        <v/>
      </c>
      <c r="J17" s="15">
        <f>IF($B17="","",IF($I17&gt;=1,"At Cap",IF($I17&gt;=cfgAttendanceCriticalPct,"Critical",IF($I17&gt;=cfgAttendanceAdvisoryPct,"Advisory","OK"))))</f>
        <v/>
      </c>
      <c r="K17" s="15">
        <f>IF($B17="","",IF($H17=0,"Yes",IF($G17&lt;$H17,"Yes","No")))</f>
        <v/>
      </c>
      <c r="L17" s="15">
        <f>IF($B17="","",MAX(0,$E17-$F17))</f>
        <v/>
      </c>
      <c r="M17" s="15">
        <f>IF($B17="","",SUMIFS(nrAT_Sess,nrAT_PID,$B17,nrAT_Counts,"Yes",nrAT_IsPT,"Yes"))</f>
        <v/>
      </c>
      <c r="N17" s="15">
        <f>IF($B17="","",SUMIFS(nrMK_Sess,nrMK_PID,$B17,nrMK_Credit,"Yes",nrMK_Type,"PT"))</f>
        <v/>
      </c>
      <c r="O17" s="15">
        <f>IF($B17="","",MAX(0,$M17-$N17))</f>
        <v/>
      </c>
      <c r="P17" s="15">
        <f>IF($B17="","",cfgPTCapSessions)</f>
        <v/>
      </c>
      <c r="Q17" s="15">
        <f>IF($B17="","",IF($P17=0,0,$O17/$P17))</f>
        <v/>
      </c>
      <c r="R17" s="15">
        <f>IF($B17="","",IF($Q17&gt;=1,"At Cap",IF($Q17&gt;=cfgAttendanceCriticalPct,"Critical",IF($Q17&gt;=cfgAttendanceAdvisoryPct,"Advisory","OK"))))</f>
        <v/>
      </c>
      <c r="S17" s="15">
        <f>IF($B17="","",IF($P17=0,"Yes",IF($O17&lt;$P17,"Yes","No")))</f>
        <v/>
      </c>
      <c r="T17" s="15">
        <f>IF($B17="","",IF($L17=0,"Yes","No"))</f>
        <v/>
      </c>
      <c r="U17" s="15">
        <f>IF($B17="","",COUNTIFS(nrAT_PID,$B17,nrAT_Type,"Tardy"))</f>
        <v/>
      </c>
      <c r="V17" s="15">
        <f>IF($B17="","",COUNTIFS(nrAT_PID,$B17,nrAT_Type,"Absent Full Day"))</f>
        <v/>
      </c>
      <c r="W17" s="15">
        <f>IF($B17="","",COUNTIFS(nrAT_PID,$B17,nrAT_Type,"Absent Partial Day"))</f>
        <v/>
      </c>
      <c r="X17" s="15">
        <f>IF($B17="","",COUNTIFS(nrAT_PID,$B17,nrAT_Type,"PT Missed"))</f>
        <v/>
      </c>
      <c r="Y17" s="15">
        <f>IF($B17="","",COUNTIFS(nrAT_PID,$B17,nrAT_Excused,"Excused"))</f>
        <v/>
      </c>
    </row>
    <row r="18">
      <c r="B18" s="15">
        <f>IF(Cadets!$B18="","",Cadets!$B18)</f>
        <v/>
      </c>
      <c r="C18" s="15">
        <f>IF($B18="","",Cadets!$F18)</f>
        <v/>
      </c>
      <c r="D18" s="15">
        <f>IF($B18="","",Cadets!$I18)</f>
        <v/>
      </c>
      <c r="E18" s="15">
        <f>IF($B18="","",SUMIFS(nrAT_Min,nrAT_PID,$B18,nrAT_Counts,"Yes",nrAT_IsPT,"No"))</f>
        <v/>
      </c>
      <c r="F18" s="15">
        <f>IF($B18="","",SUMIFS(nrMK_Min,nrMK_PID,$B18,nrMK_Credit,"Yes",nrMK_Type,"Classroom"))</f>
        <v/>
      </c>
      <c r="G18" s="15">
        <f>IF($B18="","",MAX(0,$E18-$F18))</f>
        <v/>
      </c>
      <c r="H18" s="15">
        <f>IF($B18="","",cfgClassroomCapMinutes)</f>
        <v/>
      </c>
      <c r="I18" s="15">
        <f>IF($B18="","",IF($H18=0,0,$G18/$H18))</f>
        <v/>
      </c>
      <c r="J18" s="15">
        <f>IF($B18="","",IF($I18&gt;=1,"At Cap",IF($I18&gt;=cfgAttendanceCriticalPct,"Critical",IF($I18&gt;=cfgAttendanceAdvisoryPct,"Advisory","OK"))))</f>
        <v/>
      </c>
      <c r="K18" s="15">
        <f>IF($B18="","",IF($H18=0,"Yes",IF($G18&lt;$H18,"Yes","No")))</f>
        <v/>
      </c>
      <c r="L18" s="15">
        <f>IF($B18="","",MAX(0,$E18-$F18))</f>
        <v/>
      </c>
      <c r="M18" s="15">
        <f>IF($B18="","",SUMIFS(nrAT_Sess,nrAT_PID,$B18,nrAT_Counts,"Yes",nrAT_IsPT,"Yes"))</f>
        <v/>
      </c>
      <c r="N18" s="15">
        <f>IF($B18="","",SUMIFS(nrMK_Sess,nrMK_PID,$B18,nrMK_Credit,"Yes",nrMK_Type,"PT"))</f>
        <v/>
      </c>
      <c r="O18" s="15">
        <f>IF($B18="","",MAX(0,$M18-$N18))</f>
        <v/>
      </c>
      <c r="P18" s="15">
        <f>IF($B18="","",cfgPTCapSessions)</f>
        <v/>
      </c>
      <c r="Q18" s="15">
        <f>IF($B18="","",IF($P18=0,0,$O18/$P18))</f>
        <v/>
      </c>
      <c r="R18" s="15">
        <f>IF($B18="","",IF($Q18&gt;=1,"At Cap",IF($Q18&gt;=cfgAttendanceCriticalPct,"Critical",IF($Q18&gt;=cfgAttendanceAdvisoryPct,"Advisory","OK"))))</f>
        <v/>
      </c>
      <c r="S18" s="15">
        <f>IF($B18="","",IF($P18=0,"Yes",IF($O18&lt;$P18,"Yes","No")))</f>
        <v/>
      </c>
      <c r="T18" s="15">
        <f>IF($B18="","",IF($L18=0,"Yes","No"))</f>
        <v/>
      </c>
      <c r="U18" s="15">
        <f>IF($B18="","",COUNTIFS(nrAT_PID,$B18,nrAT_Type,"Tardy"))</f>
        <v/>
      </c>
      <c r="V18" s="15">
        <f>IF($B18="","",COUNTIFS(nrAT_PID,$B18,nrAT_Type,"Absent Full Day"))</f>
        <v/>
      </c>
      <c r="W18" s="15">
        <f>IF($B18="","",COUNTIFS(nrAT_PID,$B18,nrAT_Type,"Absent Partial Day"))</f>
        <v/>
      </c>
      <c r="X18" s="15">
        <f>IF($B18="","",COUNTIFS(nrAT_PID,$B18,nrAT_Type,"PT Missed"))</f>
        <v/>
      </c>
      <c r="Y18" s="15">
        <f>IF($B18="","",COUNTIFS(nrAT_PID,$B18,nrAT_Excused,"Excused"))</f>
        <v/>
      </c>
    </row>
    <row r="19">
      <c r="B19" s="15">
        <f>IF(Cadets!$B19="","",Cadets!$B19)</f>
        <v/>
      </c>
      <c r="C19" s="15">
        <f>IF($B19="","",Cadets!$F19)</f>
        <v/>
      </c>
      <c r="D19" s="15">
        <f>IF($B19="","",Cadets!$I19)</f>
        <v/>
      </c>
      <c r="E19" s="15">
        <f>IF($B19="","",SUMIFS(nrAT_Min,nrAT_PID,$B19,nrAT_Counts,"Yes",nrAT_IsPT,"No"))</f>
        <v/>
      </c>
      <c r="F19" s="15">
        <f>IF($B19="","",SUMIFS(nrMK_Min,nrMK_PID,$B19,nrMK_Credit,"Yes",nrMK_Type,"Classroom"))</f>
        <v/>
      </c>
      <c r="G19" s="15">
        <f>IF($B19="","",MAX(0,$E19-$F19))</f>
        <v/>
      </c>
      <c r="H19" s="15">
        <f>IF($B19="","",cfgClassroomCapMinutes)</f>
        <v/>
      </c>
      <c r="I19" s="15">
        <f>IF($B19="","",IF($H19=0,0,$G19/$H19))</f>
        <v/>
      </c>
      <c r="J19" s="15">
        <f>IF($B19="","",IF($I19&gt;=1,"At Cap",IF($I19&gt;=cfgAttendanceCriticalPct,"Critical",IF($I19&gt;=cfgAttendanceAdvisoryPct,"Advisory","OK"))))</f>
        <v/>
      </c>
      <c r="K19" s="15">
        <f>IF($B19="","",IF($H19=0,"Yes",IF($G19&lt;$H19,"Yes","No")))</f>
        <v/>
      </c>
      <c r="L19" s="15">
        <f>IF($B19="","",MAX(0,$E19-$F19))</f>
        <v/>
      </c>
      <c r="M19" s="15">
        <f>IF($B19="","",SUMIFS(nrAT_Sess,nrAT_PID,$B19,nrAT_Counts,"Yes",nrAT_IsPT,"Yes"))</f>
        <v/>
      </c>
      <c r="N19" s="15">
        <f>IF($B19="","",SUMIFS(nrMK_Sess,nrMK_PID,$B19,nrMK_Credit,"Yes",nrMK_Type,"PT"))</f>
        <v/>
      </c>
      <c r="O19" s="15">
        <f>IF($B19="","",MAX(0,$M19-$N19))</f>
        <v/>
      </c>
      <c r="P19" s="15">
        <f>IF($B19="","",cfgPTCapSessions)</f>
        <v/>
      </c>
      <c r="Q19" s="15">
        <f>IF($B19="","",IF($P19=0,0,$O19/$P19))</f>
        <v/>
      </c>
      <c r="R19" s="15">
        <f>IF($B19="","",IF($Q19&gt;=1,"At Cap",IF($Q19&gt;=cfgAttendanceCriticalPct,"Critical",IF($Q19&gt;=cfgAttendanceAdvisoryPct,"Advisory","OK"))))</f>
        <v/>
      </c>
      <c r="S19" s="15">
        <f>IF($B19="","",IF($P19=0,"Yes",IF($O19&lt;$P19,"Yes","No")))</f>
        <v/>
      </c>
      <c r="T19" s="15">
        <f>IF($B19="","",IF($L19=0,"Yes","No"))</f>
        <v/>
      </c>
      <c r="U19" s="15">
        <f>IF($B19="","",COUNTIFS(nrAT_PID,$B19,nrAT_Type,"Tardy"))</f>
        <v/>
      </c>
      <c r="V19" s="15">
        <f>IF($B19="","",COUNTIFS(nrAT_PID,$B19,nrAT_Type,"Absent Full Day"))</f>
        <v/>
      </c>
      <c r="W19" s="15">
        <f>IF($B19="","",COUNTIFS(nrAT_PID,$B19,nrAT_Type,"Absent Partial Day"))</f>
        <v/>
      </c>
      <c r="X19" s="15">
        <f>IF($B19="","",COUNTIFS(nrAT_PID,$B19,nrAT_Type,"PT Missed"))</f>
        <v/>
      </c>
      <c r="Y19" s="15">
        <f>IF($B19="","",COUNTIFS(nrAT_PID,$B19,nrAT_Excused,"Excused"))</f>
        <v/>
      </c>
    </row>
    <row r="20">
      <c r="B20" s="15">
        <f>IF(Cadets!$B20="","",Cadets!$B20)</f>
        <v/>
      </c>
      <c r="C20" s="15">
        <f>IF($B20="","",Cadets!$F20)</f>
        <v/>
      </c>
      <c r="D20" s="15">
        <f>IF($B20="","",Cadets!$I20)</f>
        <v/>
      </c>
      <c r="E20" s="15">
        <f>IF($B20="","",SUMIFS(nrAT_Min,nrAT_PID,$B20,nrAT_Counts,"Yes",nrAT_IsPT,"No"))</f>
        <v/>
      </c>
      <c r="F20" s="15">
        <f>IF($B20="","",SUMIFS(nrMK_Min,nrMK_PID,$B20,nrMK_Credit,"Yes",nrMK_Type,"Classroom"))</f>
        <v/>
      </c>
      <c r="G20" s="15">
        <f>IF($B20="","",MAX(0,$E20-$F20))</f>
        <v/>
      </c>
      <c r="H20" s="15">
        <f>IF($B20="","",cfgClassroomCapMinutes)</f>
        <v/>
      </c>
      <c r="I20" s="15">
        <f>IF($B20="","",IF($H20=0,0,$G20/$H20))</f>
        <v/>
      </c>
      <c r="J20" s="15">
        <f>IF($B20="","",IF($I20&gt;=1,"At Cap",IF($I20&gt;=cfgAttendanceCriticalPct,"Critical",IF($I20&gt;=cfgAttendanceAdvisoryPct,"Advisory","OK"))))</f>
        <v/>
      </c>
      <c r="K20" s="15">
        <f>IF($B20="","",IF($H20=0,"Yes",IF($G20&lt;$H20,"Yes","No")))</f>
        <v/>
      </c>
      <c r="L20" s="15">
        <f>IF($B20="","",MAX(0,$E20-$F20))</f>
        <v/>
      </c>
      <c r="M20" s="15">
        <f>IF($B20="","",SUMIFS(nrAT_Sess,nrAT_PID,$B20,nrAT_Counts,"Yes",nrAT_IsPT,"Yes"))</f>
        <v/>
      </c>
      <c r="N20" s="15">
        <f>IF($B20="","",SUMIFS(nrMK_Sess,nrMK_PID,$B20,nrMK_Credit,"Yes",nrMK_Type,"PT"))</f>
        <v/>
      </c>
      <c r="O20" s="15">
        <f>IF($B20="","",MAX(0,$M20-$N20))</f>
        <v/>
      </c>
      <c r="P20" s="15">
        <f>IF($B20="","",cfgPTCapSessions)</f>
        <v/>
      </c>
      <c r="Q20" s="15">
        <f>IF($B20="","",IF($P20=0,0,$O20/$P20))</f>
        <v/>
      </c>
      <c r="R20" s="15">
        <f>IF($B20="","",IF($Q20&gt;=1,"At Cap",IF($Q20&gt;=cfgAttendanceCriticalPct,"Critical",IF($Q20&gt;=cfgAttendanceAdvisoryPct,"Advisory","OK"))))</f>
        <v/>
      </c>
      <c r="S20" s="15">
        <f>IF($B20="","",IF($P20=0,"Yes",IF($O20&lt;$P20,"Yes","No")))</f>
        <v/>
      </c>
      <c r="T20" s="15">
        <f>IF($B20="","",IF($L20=0,"Yes","No"))</f>
        <v/>
      </c>
      <c r="U20" s="15">
        <f>IF($B20="","",COUNTIFS(nrAT_PID,$B20,nrAT_Type,"Tardy"))</f>
        <v/>
      </c>
      <c r="V20" s="15">
        <f>IF($B20="","",COUNTIFS(nrAT_PID,$B20,nrAT_Type,"Absent Full Day"))</f>
        <v/>
      </c>
      <c r="W20" s="15">
        <f>IF($B20="","",COUNTIFS(nrAT_PID,$B20,nrAT_Type,"Absent Partial Day"))</f>
        <v/>
      </c>
      <c r="X20" s="15">
        <f>IF($B20="","",COUNTIFS(nrAT_PID,$B20,nrAT_Type,"PT Missed"))</f>
        <v/>
      </c>
      <c r="Y20" s="15">
        <f>IF($B20="","",COUNTIFS(nrAT_PID,$B20,nrAT_Excused,"Excused"))</f>
        <v/>
      </c>
    </row>
    <row r="21">
      <c r="B21" s="15">
        <f>IF(Cadets!$B21="","",Cadets!$B21)</f>
        <v/>
      </c>
      <c r="C21" s="15">
        <f>IF($B21="","",Cadets!$F21)</f>
        <v/>
      </c>
      <c r="D21" s="15">
        <f>IF($B21="","",Cadets!$I21)</f>
        <v/>
      </c>
      <c r="E21" s="15">
        <f>IF($B21="","",SUMIFS(nrAT_Min,nrAT_PID,$B21,nrAT_Counts,"Yes",nrAT_IsPT,"No"))</f>
        <v/>
      </c>
      <c r="F21" s="15">
        <f>IF($B21="","",SUMIFS(nrMK_Min,nrMK_PID,$B21,nrMK_Credit,"Yes",nrMK_Type,"Classroom"))</f>
        <v/>
      </c>
      <c r="G21" s="15">
        <f>IF($B21="","",MAX(0,$E21-$F21))</f>
        <v/>
      </c>
      <c r="H21" s="15">
        <f>IF($B21="","",cfgClassroomCapMinutes)</f>
        <v/>
      </c>
      <c r="I21" s="15">
        <f>IF($B21="","",IF($H21=0,0,$G21/$H21))</f>
        <v/>
      </c>
      <c r="J21" s="15">
        <f>IF($B21="","",IF($I21&gt;=1,"At Cap",IF($I21&gt;=cfgAttendanceCriticalPct,"Critical",IF($I21&gt;=cfgAttendanceAdvisoryPct,"Advisory","OK"))))</f>
        <v/>
      </c>
      <c r="K21" s="15">
        <f>IF($B21="","",IF($H21=0,"Yes",IF($G21&lt;$H21,"Yes","No")))</f>
        <v/>
      </c>
      <c r="L21" s="15">
        <f>IF($B21="","",MAX(0,$E21-$F21))</f>
        <v/>
      </c>
      <c r="M21" s="15">
        <f>IF($B21="","",SUMIFS(nrAT_Sess,nrAT_PID,$B21,nrAT_Counts,"Yes",nrAT_IsPT,"Yes"))</f>
        <v/>
      </c>
      <c r="N21" s="15">
        <f>IF($B21="","",SUMIFS(nrMK_Sess,nrMK_PID,$B21,nrMK_Credit,"Yes",nrMK_Type,"PT"))</f>
        <v/>
      </c>
      <c r="O21" s="15">
        <f>IF($B21="","",MAX(0,$M21-$N21))</f>
        <v/>
      </c>
      <c r="P21" s="15">
        <f>IF($B21="","",cfgPTCapSessions)</f>
        <v/>
      </c>
      <c r="Q21" s="15">
        <f>IF($B21="","",IF($P21=0,0,$O21/$P21))</f>
        <v/>
      </c>
      <c r="R21" s="15">
        <f>IF($B21="","",IF($Q21&gt;=1,"At Cap",IF($Q21&gt;=cfgAttendanceCriticalPct,"Critical",IF($Q21&gt;=cfgAttendanceAdvisoryPct,"Advisory","OK"))))</f>
        <v/>
      </c>
      <c r="S21" s="15">
        <f>IF($B21="","",IF($P21=0,"Yes",IF($O21&lt;$P21,"Yes","No")))</f>
        <v/>
      </c>
      <c r="T21" s="15">
        <f>IF($B21="","",IF($L21=0,"Yes","No"))</f>
        <v/>
      </c>
      <c r="U21" s="15">
        <f>IF($B21="","",COUNTIFS(nrAT_PID,$B21,nrAT_Type,"Tardy"))</f>
        <v/>
      </c>
      <c r="V21" s="15">
        <f>IF($B21="","",COUNTIFS(nrAT_PID,$B21,nrAT_Type,"Absent Full Day"))</f>
        <v/>
      </c>
      <c r="W21" s="15">
        <f>IF($B21="","",COUNTIFS(nrAT_PID,$B21,nrAT_Type,"Absent Partial Day"))</f>
        <v/>
      </c>
      <c r="X21" s="15">
        <f>IF($B21="","",COUNTIFS(nrAT_PID,$B21,nrAT_Type,"PT Missed"))</f>
        <v/>
      </c>
      <c r="Y21" s="15">
        <f>IF($B21="","",COUNTIFS(nrAT_PID,$B21,nrAT_Excused,"Excused"))</f>
        <v/>
      </c>
    </row>
    <row r="22">
      <c r="B22" s="15">
        <f>IF(Cadets!$B22="","",Cadets!$B22)</f>
        <v/>
      </c>
      <c r="C22" s="15">
        <f>IF($B22="","",Cadets!$F22)</f>
        <v/>
      </c>
      <c r="D22" s="15">
        <f>IF($B22="","",Cadets!$I22)</f>
        <v/>
      </c>
      <c r="E22" s="15">
        <f>IF($B22="","",SUMIFS(nrAT_Min,nrAT_PID,$B22,nrAT_Counts,"Yes",nrAT_IsPT,"No"))</f>
        <v/>
      </c>
      <c r="F22" s="15">
        <f>IF($B22="","",SUMIFS(nrMK_Min,nrMK_PID,$B22,nrMK_Credit,"Yes",nrMK_Type,"Classroom"))</f>
        <v/>
      </c>
      <c r="G22" s="15">
        <f>IF($B22="","",MAX(0,$E22-$F22))</f>
        <v/>
      </c>
      <c r="H22" s="15">
        <f>IF($B22="","",cfgClassroomCapMinutes)</f>
        <v/>
      </c>
      <c r="I22" s="15">
        <f>IF($B22="","",IF($H22=0,0,$G22/$H22))</f>
        <v/>
      </c>
      <c r="J22" s="15">
        <f>IF($B22="","",IF($I22&gt;=1,"At Cap",IF($I22&gt;=cfgAttendanceCriticalPct,"Critical",IF($I22&gt;=cfgAttendanceAdvisoryPct,"Advisory","OK"))))</f>
        <v/>
      </c>
      <c r="K22" s="15">
        <f>IF($B22="","",IF($H22=0,"Yes",IF($G22&lt;$H22,"Yes","No")))</f>
        <v/>
      </c>
      <c r="L22" s="15">
        <f>IF($B22="","",MAX(0,$E22-$F22))</f>
        <v/>
      </c>
      <c r="M22" s="15">
        <f>IF($B22="","",SUMIFS(nrAT_Sess,nrAT_PID,$B22,nrAT_Counts,"Yes",nrAT_IsPT,"Yes"))</f>
        <v/>
      </c>
      <c r="N22" s="15">
        <f>IF($B22="","",SUMIFS(nrMK_Sess,nrMK_PID,$B22,nrMK_Credit,"Yes",nrMK_Type,"PT"))</f>
        <v/>
      </c>
      <c r="O22" s="15">
        <f>IF($B22="","",MAX(0,$M22-$N22))</f>
        <v/>
      </c>
      <c r="P22" s="15">
        <f>IF($B22="","",cfgPTCapSessions)</f>
        <v/>
      </c>
      <c r="Q22" s="15">
        <f>IF($B22="","",IF($P22=0,0,$O22/$P22))</f>
        <v/>
      </c>
      <c r="R22" s="15">
        <f>IF($B22="","",IF($Q22&gt;=1,"At Cap",IF($Q22&gt;=cfgAttendanceCriticalPct,"Critical",IF($Q22&gt;=cfgAttendanceAdvisoryPct,"Advisory","OK"))))</f>
        <v/>
      </c>
      <c r="S22" s="15">
        <f>IF($B22="","",IF($P22=0,"Yes",IF($O22&lt;$P22,"Yes","No")))</f>
        <v/>
      </c>
      <c r="T22" s="15">
        <f>IF($B22="","",IF($L22=0,"Yes","No"))</f>
        <v/>
      </c>
      <c r="U22" s="15">
        <f>IF($B22="","",COUNTIFS(nrAT_PID,$B22,nrAT_Type,"Tardy"))</f>
        <v/>
      </c>
      <c r="V22" s="15">
        <f>IF($B22="","",COUNTIFS(nrAT_PID,$B22,nrAT_Type,"Absent Full Day"))</f>
        <v/>
      </c>
      <c r="W22" s="15">
        <f>IF($B22="","",COUNTIFS(nrAT_PID,$B22,nrAT_Type,"Absent Partial Day"))</f>
        <v/>
      </c>
      <c r="X22" s="15">
        <f>IF($B22="","",COUNTIFS(nrAT_PID,$B22,nrAT_Type,"PT Missed"))</f>
        <v/>
      </c>
      <c r="Y22" s="15">
        <f>IF($B22="","",COUNTIFS(nrAT_PID,$B22,nrAT_Excused,"Excused"))</f>
        <v/>
      </c>
    </row>
    <row r="23">
      <c r="B23" s="15">
        <f>IF(Cadets!$B23="","",Cadets!$B23)</f>
        <v/>
      </c>
      <c r="C23" s="15">
        <f>IF($B23="","",Cadets!$F23)</f>
        <v/>
      </c>
      <c r="D23" s="15">
        <f>IF($B23="","",Cadets!$I23)</f>
        <v/>
      </c>
      <c r="E23" s="15">
        <f>IF($B23="","",SUMIFS(nrAT_Min,nrAT_PID,$B23,nrAT_Counts,"Yes",nrAT_IsPT,"No"))</f>
        <v/>
      </c>
      <c r="F23" s="15">
        <f>IF($B23="","",SUMIFS(nrMK_Min,nrMK_PID,$B23,nrMK_Credit,"Yes",nrMK_Type,"Classroom"))</f>
        <v/>
      </c>
      <c r="G23" s="15">
        <f>IF($B23="","",MAX(0,$E23-$F23))</f>
        <v/>
      </c>
      <c r="H23" s="15">
        <f>IF($B23="","",cfgClassroomCapMinutes)</f>
        <v/>
      </c>
      <c r="I23" s="15">
        <f>IF($B23="","",IF($H23=0,0,$G23/$H23))</f>
        <v/>
      </c>
      <c r="J23" s="15">
        <f>IF($B23="","",IF($I23&gt;=1,"At Cap",IF($I23&gt;=cfgAttendanceCriticalPct,"Critical",IF($I23&gt;=cfgAttendanceAdvisoryPct,"Advisory","OK"))))</f>
        <v/>
      </c>
      <c r="K23" s="15">
        <f>IF($B23="","",IF($H23=0,"Yes",IF($G23&lt;$H23,"Yes","No")))</f>
        <v/>
      </c>
      <c r="L23" s="15">
        <f>IF($B23="","",MAX(0,$E23-$F23))</f>
        <v/>
      </c>
      <c r="M23" s="15">
        <f>IF($B23="","",SUMIFS(nrAT_Sess,nrAT_PID,$B23,nrAT_Counts,"Yes",nrAT_IsPT,"Yes"))</f>
        <v/>
      </c>
      <c r="N23" s="15">
        <f>IF($B23="","",SUMIFS(nrMK_Sess,nrMK_PID,$B23,nrMK_Credit,"Yes",nrMK_Type,"PT"))</f>
        <v/>
      </c>
      <c r="O23" s="15">
        <f>IF($B23="","",MAX(0,$M23-$N23))</f>
        <v/>
      </c>
      <c r="P23" s="15">
        <f>IF($B23="","",cfgPTCapSessions)</f>
        <v/>
      </c>
      <c r="Q23" s="15">
        <f>IF($B23="","",IF($P23=0,0,$O23/$P23))</f>
        <v/>
      </c>
      <c r="R23" s="15">
        <f>IF($B23="","",IF($Q23&gt;=1,"At Cap",IF($Q23&gt;=cfgAttendanceCriticalPct,"Critical",IF($Q23&gt;=cfgAttendanceAdvisoryPct,"Advisory","OK"))))</f>
        <v/>
      </c>
      <c r="S23" s="15">
        <f>IF($B23="","",IF($P23=0,"Yes",IF($O23&lt;$P23,"Yes","No")))</f>
        <v/>
      </c>
      <c r="T23" s="15">
        <f>IF($B23="","",IF($L23=0,"Yes","No"))</f>
        <v/>
      </c>
      <c r="U23" s="15">
        <f>IF($B23="","",COUNTIFS(nrAT_PID,$B23,nrAT_Type,"Tardy"))</f>
        <v/>
      </c>
      <c r="V23" s="15">
        <f>IF($B23="","",COUNTIFS(nrAT_PID,$B23,nrAT_Type,"Absent Full Day"))</f>
        <v/>
      </c>
      <c r="W23" s="15">
        <f>IF($B23="","",COUNTIFS(nrAT_PID,$B23,nrAT_Type,"Absent Partial Day"))</f>
        <v/>
      </c>
      <c r="X23" s="15">
        <f>IF($B23="","",COUNTIFS(nrAT_PID,$B23,nrAT_Type,"PT Missed"))</f>
        <v/>
      </c>
      <c r="Y23" s="15">
        <f>IF($B23="","",COUNTIFS(nrAT_PID,$B23,nrAT_Excused,"Excused"))</f>
        <v/>
      </c>
    </row>
    <row r="24">
      <c r="B24" s="15">
        <f>IF(Cadets!$B24="","",Cadets!$B24)</f>
        <v/>
      </c>
      <c r="C24" s="15">
        <f>IF($B24="","",Cadets!$F24)</f>
        <v/>
      </c>
      <c r="D24" s="15">
        <f>IF($B24="","",Cadets!$I24)</f>
        <v/>
      </c>
      <c r="E24" s="15">
        <f>IF($B24="","",SUMIFS(nrAT_Min,nrAT_PID,$B24,nrAT_Counts,"Yes",nrAT_IsPT,"No"))</f>
        <v/>
      </c>
      <c r="F24" s="15">
        <f>IF($B24="","",SUMIFS(nrMK_Min,nrMK_PID,$B24,nrMK_Credit,"Yes",nrMK_Type,"Classroom"))</f>
        <v/>
      </c>
      <c r="G24" s="15">
        <f>IF($B24="","",MAX(0,$E24-$F24))</f>
        <v/>
      </c>
      <c r="H24" s="15">
        <f>IF($B24="","",cfgClassroomCapMinutes)</f>
        <v/>
      </c>
      <c r="I24" s="15">
        <f>IF($B24="","",IF($H24=0,0,$G24/$H24))</f>
        <v/>
      </c>
      <c r="J24" s="15">
        <f>IF($B24="","",IF($I24&gt;=1,"At Cap",IF($I24&gt;=cfgAttendanceCriticalPct,"Critical",IF($I24&gt;=cfgAttendanceAdvisoryPct,"Advisory","OK"))))</f>
        <v/>
      </c>
      <c r="K24" s="15">
        <f>IF($B24="","",IF($H24=0,"Yes",IF($G24&lt;$H24,"Yes","No")))</f>
        <v/>
      </c>
      <c r="L24" s="15">
        <f>IF($B24="","",MAX(0,$E24-$F24))</f>
        <v/>
      </c>
      <c r="M24" s="15">
        <f>IF($B24="","",SUMIFS(nrAT_Sess,nrAT_PID,$B24,nrAT_Counts,"Yes",nrAT_IsPT,"Yes"))</f>
        <v/>
      </c>
      <c r="N24" s="15">
        <f>IF($B24="","",SUMIFS(nrMK_Sess,nrMK_PID,$B24,nrMK_Credit,"Yes",nrMK_Type,"PT"))</f>
        <v/>
      </c>
      <c r="O24" s="15">
        <f>IF($B24="","",MAX(0,$M24-$N24))</f>
        <v/>
      </c>
      <c r="P24" s="15">
        <f>IF($B24="","",cfgPTCapSessions)</f>
        <v/>
      </c>
      <c r="Q24" s="15">
        <f>IF($B24="","",IF($P24=0,0,$O24/$P24))</f>
        <v/>
      </c>
      <c r="R24" s="15">
        <f>IF($B24="","",IF($Q24&gt;=1,"At Cap",IF($Q24&gt;=cfgAttendanceCriticalPct,"Critical",IF($Q24&gt;=cfgAttendanceAdvisoryPct,"Advisory","OK"))))</f>
        <v/>
      </c>
      <c r="S24" s="15">
        <f>IF($B24="","",IF($P24=0,"Yes",IF($O24&lt;$P24,"Yes","No")))</f>
        <v/>
      </c>
      <c r="T24" s="15">
        <f>IF($B24="","",IF($L24=0,"Yes","No"))</f>
        <v/>
      </c>
      <c r="U24" s="15">
        <f>IF($B24="","",COUNTIFS(nrAT_PID,$B24,nrAT_Type,"Tardy"))</f>
        <v/>
      </c>
      <c r="V24" s="15">
        <f>IF($B24="","",COUNTIFS(nrAT_PID,$B24,nrAT_Type,"Absent Full Day"))</f>
        <v/>
      </c>
      <c r="W24" s="15">
        <f>IF($B24="","",COUNTIFS(nrAT_PID,$B24,nrAT_Type,"Absent Partial Day"))</f>
        <v/>
      </c>
      <c r="X24" s="15">
        <f>IF($B24="","",COUNTIFS(nrAT_PID,$B24,nrAT_Type,"PT Missed"))</f>
        <v/>
      </c>
      <c r="Y24" s="15">
        <f>IF($B24="","",COUNTIFS(nrAT_PID,$B24,nrAT_Excused,"Excused"))</f>
        <v/>
      </c>
    </row>
    <row r="25">
      <c r="B25" s="15">
        <f>IF(Cadets!$B25="","",Cadets!$B25)</f>
        <v/>
      </c>
      <c r="C25" s="15">
        <f>IF($B25="","",Cadets!$F25)</f>
        <v/>
      </c>
      <c r="D25" s="15">
        <f>IF($B25="","",Cadets!$I25)</f>
        <v/>
      </c>
      <c r="E25" s="15">
        <f>IF($B25="","",SUMIFS(nrAT_Min,nrAT_PID,$B25,nrAT_Counts,"Yes",nrAT_IsPT,"No"))</f>
        <v/>
      </c>
      <c r="F25" s="15">
        <f>IF($B25="","",SUMIFS(nrMK_Min,nrMK_PID,$B25,nrMK_Credit,"Yes",nrMK_Type,"Classroom"))</f>
        <v/>
      </c>
      <c r="G25" s="15">
        <f>IF($B25="","",MAX(0,$E25-$F25))</f>
        <v/>
      </c>
      <c r="H25" s="15">
        <f>IF($B25="","",cfgClassroomCapMinutes)</f>
        <v/>
      </c>
      <c r="I25" s="15">
        <f>IF($B25="","",IF($H25=0,0,$G25/$H25))</f>
        <v/>
      </c>
      <c r="J25" s="15">
        <f>IF($B25="","",IF($I25&gt;=1,"At Cap",IF($I25&gt;=cfgAttendanceCriticalPct,"Critical",IF($I25&gt;=cfgAttendanceAdvisoryPct,"Advisory","OK"))))</f>
        <v/>
      </c>
      <c r="K25" s="15">
        <f>IF($B25="","",IF($H25=0,"Yes",IF($G25&lt;$H25,"Yes","No")))</f>
        <v/>
      </c>
      <c r="L25" s="15">
        <f>IF($B25="","",MAX(0,$E25-$F25))</f>
        <v/>
      </c>
      <c r="M25" s="15">
        <f>IF($B25="","",SUMIFS(nrAT_Sess,nrAT_PID,$B25,nrAT_Counts,"Yes",nrAT_IsPT,"Yes"))</f>
        <v/>
      </c>
      <c r="N25" s="15">
        <f>IF($B25="","",SUMIFS(nrMK_Sess,nrMK_PID,$B25,nrMK_Credit,"Yes",nrMK_Type,"PT"))</f>
        <v/>
      </c>
      <c r="O25" s="15">
        <f>IF($B25="","",MAX(0,$M25-$N25))</f>
        <v/>
      </c>
      <c r="P25" s="15">
        <f>IF($B25="","",cfgPTCapSessions)</f>
        <v/>
      </c>
      <c r="Q25" s="15">
        <f>IF($B25="","",IF($P25=0,0,$O25/$P25))</f>
        <v/>
      </c>
      <c r="R25" s="15">
        <f>IF($B25="","",IF($Q25&gt;=1,"At Cap",IF($Q25&gt;=cfgAttendanceCriticalPct,"Critical",IF($Q25&gt;=cfgAttendanceAdvisoryPct,"Advisory","OK"))))</f>
        <v/>
      </c>
      <c r="S25" s="15">
        <f>IF($B25="","",IF($P25=0,"Yes",IF($O25&lt;$P25,"Yes","No")))</f>
        <v/>
      </c>
      <c r="T25" s="15">
        <f>IF($B25="","",IF($L25=0,"Yes","No"))</f>
        <v/>
      </c>
      <c r="U25" s="15">
        <f>IF($B25="","",COUNTIFS(nrAT_PID,$B25,nrAT_Type,"Tardy"))</f>
        <v/>
      </c>
      <c r="V25" s="15">
        <f>IF($B25="","",COUNTIFS(nrAT_PID,$B25,nrAT_Type,"Absent Full Day"))</f>
        <v/>
      </c>
      <c r="W25" s="15">
        <f>IF($B25="","",COUNTIFS(nrAT_PID,$B25,nrAT_Type,"Absent Partial Day"))</f>
        <v/>
      </c>
      <c r="X25" s="15">
        <f>IF($B25="","",COUNTIFS(nrAT_PID,$B25,nrAT_Type,"PT Missed"))</f>
        <v/>
      </c>
      <c r="Y25" s="15">
        <f>IF($B25="","",COUNTIFS(nrAT_PID,$B25,nrAT_Excused,"Excused"))</f>
        <v/>
      </c>
    </row>
    <row r="26">
      <c r="B26" s="15">
        <f>IF(Cadets!$B26="","",Cadets!$B26)</f>
        <v/>
      </c>
      <c r="C26" s="15">
        <f>IF($B26="","",Cadets!$F26)</f>
        <v/>
      </c>
      <c r="D26" s="15">
        <f>IF($B26="","",Cadets!$I26)</f>
        <v/>
      </c>
      <c r="E26" s="15">
        <f>IF($B26="","",SUMIFS(nrAT_Min,nrAT_PID,$B26,nrAT_Counts,"Yes",nrAT_IsPT,"No"))</f>
        <v/>
      </c>
      <c r="F26" s="15">
        <f>IF($B26="","",SUMIFS(nrMK_Min,nrMK_PID,$B26,nrMK_Credit,"Yes",nrMK_Type,"Classroom"))</f>
        <v/>
      </c>
      <c r="G26" s="15">
        <f>IF($B26="","",MAX(0,$E26-$F26))</f>
        <v/>
      </c>
      <c r="H26" s="15">
        <f>IF($B26="","",cfgClassroomCapMinutes)</f>
        <v/>
      </c>
      <c r="I26" s="15">
        <f>IF($B26="","",IF($H26=0,0,$G26/$H26))</f>
        <v/>
      </c>
      <c r="J26" s="15">
        <f>IF($B26="","",IF($I26&gt;=1,"At Cap",IF($I26&gt;=cfgAttendanceCriticalPct,"Critical",IF($I26&gt;=cfgAttendanceAdvisoryPct,"Advisory","OK"))))</f>
        <v/>
      </c>
      <c r="K26" s="15">
        <f>IF($B26="","",IF($H26=0,"Yes",IF($G26&lt;$H26,"Yes","No")))</f>
        <v/>
      </c>
      <c r="L26" s="15">
        <f>IF($B26="","",MAX(0,$E26-$F26))</f>
        <v/>
      </c>
      <c r="M26" s="15">
        <f>IF($B26="","",SUMIFS(nrAT_Sess,nrAT_PID,$B26,nrAT_Counts,"Yes",nrAT_IsPT,"Yes"))</f>
        <v/>
      </c>
      <c r="N26" s="15">
        <f>IF($B26="","",SUMIFS(nrMK_Sess,nrMK_PID,$B26,nrMK_Credit,"Yes",nrMK_Type,"PT"))</f>
        <v/>
      </c>
      <c r="O26" s="15">
        <f>IF($B26="","",MAX(0,$M26-$N26))</f>
        <v/>
      </c>
      <c r="P26" s="15">
        <f>IF($B26="","",cfgPTCapSessions)</f>
        <v/>
      </c>
      <c r="Q26" s="15">
        <f>IF($B26="","",IF($P26=0,0,$O26/$P26))</f>
        <v/>
      </c>
      <c r="R26" s="15">
        <f>IF($B26="","",IF($Q26&gt;=1,"At Cap",IF($Q26&gt;=cfgAttendanceCriticalPct,"Critical",IF($Q26&gt;=cfgAttendanceAdvisoryPct,"Advisory","OK"))))</f>
        <v/>
      </c>
      <c r="S26" s="15">
        <f>IF($B26="","",IF($P26=0,"Yes",IF($O26&lt;$P26,"Yes","No")))</f>
        <v/>
      </c>
      <c r="T26" s="15">
        <f>IF($B26="","",IF($L26=0,"Yes","No"))</f>
        <v/>
      </c>
      <c r="U26" s="15">
        <f>IF($B26="","",COUNTIFS(nrAT_PID,$B26,nrAT_Type,"Tardy"))</f>
        <v/>
      </c>
      <c r="V26" s="15">
        <f>IF($B26="","",COUNTIFS(nrAT_PID,$B26,nrAT_Type,"Absent Full Day"))</f>
        <v/>
      </c>
      <c r="W26" s="15">
        <f>IF($B26="","",COUNTIFS(nrAT_PID,$B26,nrAT_Type,"Absent Partial Day"))</f>
        <v/>
      </c>
      <c r="X26" s="15">
        <f>IF($B26="","",COUNTIFS(nrAT_PID,$B26,nrAT_Type,"PT Missed"))</f>
        <v/>
      </c>
      <c r="Y26" s="15">
        <f>IF($B26="","",COUNTIFS(nrAT_PID,$B26,nrAT_Excused,"Excused"))</f>
        <v/>
      </c>
    </row>
    <row r="27">
      <c r="B27" s="15">
        <f>IF(Cadets!$B27="","",Cadets!$B27)</f>
        <v/>
      </c>
      <c r="C27" s="15">
        <f>IF($B27="","",Cadets!$F27)</f>
        <v/>
      </c>
      <c r="D27" s="15">
        <f>IF($B27="","",Cadets!$I27)</f>
        <v/>
      </c>
      <c r="E27" s="15">
        <f>IF($B27="","",SUMIFS(nrAT_Min,nrAT_PID,$B27,nrAT_Counts,"Yes",nrAT_IsPT,"No"))</f>
        <v/>
      </c>
      <c r="F27" s="15">
        <f>IF($B27="","",SUMIFS(nrMK_Min,nrMK_PID,$B27,nrMK_Credit,"Yes",nrMK_Type,"Classroom"))</f>
        <v/>
      </c>
      <c r="G27" s="15">
        <f>IF($B27="","",MAX(0,$E27-$F27))</f>
        <v/>
      </c>
      <c r="H27" s="15">
        <f>IF($B27="","",cfgClassroomCapMinutes)</f>
        <v/>
      </c>
      <c r="I27" s="15">
        <f>IF($B27="","",IF($H27=0,0,$G27/$H27))</f>
        <v/>
      </c>
      <c r="J27" s="15">
        <f>IF($B27="","",IF($I27&gt;=1,"At Cap",IF($I27&gt;=cfgAttendanceCriticalPct,"Critical",IF($I27&gt;=cfgAttendanceAdvisoryPct,"Advisory","OK"))))</f>
        <v/>
      </c>
      <c r="K27" s="15">
        <f>IF($B27="","",IF($H27=0,"Yes",IF($G27&lt;$H27,"Yes","No")))</f>
        <v/>
      </c>
      <c r="L27" s="15">
        <f>IF($B27="","",MAX(0,$E27-$F27))</f>
        <v/>
      </c>
      <c r="M27" s="15">
        <f>IF($B27="","",SUMIFS(nrAT_Sess,nrAT_PID,$B27,nrAT_Counts,"Yes",nrAT_IsPT,"Yes"))</f>
        <v/>
      </c>
      <c r="N27" s="15">
        <f>IF($B27="","",SUMIFS(nrMK_Sess,nrMK_PID,$B27,nrMK_Credit,"Yes",nrMK_Type,"PT"))</f>
        <v/>
      </c>
      <c r="O27" s="15">
        <f>IF($B27="","",MAX(0,$M27-$N27))</f>
        <v/>
      </c>
      <c r="P27" s="15">
        <f>IF($B27="","",cfgPTCapSessions)</f>
        <v/>
      </c>
      <c r="Q27" s="15">
        <f>IF($B27="","",IF($P27=0,0,$O27/$P27))</f>
        <v/>
      </c>
      <c r="R27" s="15">
        <f>IF($B27="","",IF($Q27&gt;=1,"At Cap",IF($Q27&gt;=cfgAttendanceCriticalPct,"Critical",IF($Q27&gt;=cfgAttendanceAdvisoryPct,"Advisory","OK"))))</f>
        <v/>
      </c>
      <c r="S27" s="15">
        <f>IF($B27="","",IF($P27=0,"Yes",IF($O27&lt;$P27,"Yes","No")))</f>
        <v/>
      </c>
      <c r="T27" s="15">
        <f>IF($B27="","",IF($L27=0,"Yes","No"))</f>
        <v/>
      </c>
      <c r="U27" s="15">
        <f>IF($B27="","",COUNTIFS(nrAT_PID,$B27,nrAT_Type,"Tardy"))</f>
        <v/>
      </c>
      <c r="V27" s="15">
        <f>IF($B27="","",COUNTIFS(nrAT_PID,$B27,nrAT_Type,"Absent Full Day"))</f>
        <v/>
      </c>
      <c r="W27" s="15">
        <f>IF($B27="","",COUNTIFS(nrAT_PID,$B27,nrAT_Type,"Absent Partial Day"))</f>
        <v/>
      </c>
      <c r="X27" s="15">
        <f>IF($B27="","",COUNTIFS(nrAT_PID,$B27,nrAT_Type,"PT Missed"))</f>
        <v/>
      </c>
      <c r="Y27" s="15">
        <f>IF($B27="","",COUNTIFS(nrAT_PID,$B27,nrAT_Excused,"Excused"))</f>
        <v/>
      </c>
    </row>
    <row r="28">
      <c r="B28" s="15">
        <f>IF(Cadets!$B28="","",Cadets!$B28)</f>
        <v/>
      </c>
      <c r="C28" s="15">
        <f>IF($B28="","",Cadets!$F28)</f>
        <v/>
      </c>
      <c r="D28" s="15">
        <f>IF($B28="","",Cadets!$I28)</f>
        <v/>
      </c>
      <c r="E28" s="15">
        <f>IF($B28="","",SUMIFS(nrAT_Min,nrAT_PID,$B28,nrAT_Counts,"Yes",nrAT_IsPT,"No"))</f>
        <v/>
      </c>
      <c r="F28" s="15">
        <f>IF($B28="","",SUMIFS(nrMK_Min,nrMK_PID,$B28,nrMK_Credit,"Yes",nrMK_Type,"Classroom"))</f>
        <v/>
      </c>
      <c r="G28" s="15">
        <f>IF($B28="","",MAX(0,$E28-$F28))</f>
        <v/>
      </c>
      <c r="H28" s="15">
        <f>IF($B28="","",cfgClassroomCapMinutes)</f>
        <v/>
      </c>
      <c r="I28" s="15">
        <f>IF($B28="","",IF($H28=0,0,$G28/$H28))</f>
        <v/>
      </c>
      <c r="J28" s="15">
        <f>IF($B28="","",IF($I28&gt;=1,"At Cap",IF($I28&gt;=cfgAttendanceCriticalPct,"Critical",IF($I28&gt;=cfgAttendanceAdvisoryPct,"Advisory","OK"))))</f>
        <v/>
      </c>
      <c r="K28" s="15">
        <f>IF($B28="","",IF($H28=0,"Yes",IF($G28&lt;$H28,"Yes","No")))</f>
        <v/>
      </c>
      <c r="L28" s="15">
        <f>IF($B28="","",MAX(0,$E28-$F28))</f>
        <v/>
      </c>
      <c r="M28" s="15">
        <f>IF($B28="","",SUMIFS(nrAT_Sess,nrAT_PID,$B28,nrAT_Counts,"Yes",nrAT_IsPT,"Yes"))</f>
        <v/>
      </c>
      <c r="N28" s="15">
        <f>IF($B28="","",SUMIFS(nrMK_Sess,nrMK_PID,$B28,nrMK_Credit,"Yes",nrMK_Type,"PT"))</f>
        <v/>
      </c>
      <c r="O28" s="15">
        <f>IF($B28="","",MAX(0,$M28-$N28))</f>
        <v/>
      </c>
      <c r="P28" s="15">
        <f>IF($B28="","",cfgPTCapSessions)</f>
        <v/>
      </c>
      <c r="Q28" s="15">
        <f>IF($B28="","",IF($P28=0,0,$O28/$P28))</f>
        <v/>
      </c>
      <c r="R28" s="15">
        <f>IF($B28="","",IF($Q28&gt;=1,"At Cap",IF($Q28&gt;=cfgAttendanceCriticalPct,"Critical",IF($Q28&gt;=cfgAttendanceAdvisoryPct,"Advisory","OK"))))</f>
        <v/>
      </c>
      <c r="S28" s="15">
        <f>IF($B28="","",IF($P28=0,"Yes",IF($O28&lt;$P28,"Yes","No")))</f>
        <v/>
      </c>
      <c r="T28" s="15">
        <f>IF($B28="","",IF($L28=0,"Yes","No"))</f>
        <v/>
      </c>
      <c r="U28" s="15">
        <f>IF($B28="","",COUNTIFS(nrAT_PID,$B28,nrAT_Type,"Tardy"))</f>
        <v/>
      </c>
      <c r="V28" s="15">
        <f>IF($B28="","",COUNTIFS(nrAT_PID,$B28,nrAT_Type,"Absent Full Day"))</f>
        <v/>
      </c>
      <c r="W28" s="15">
        <f>IF($B28="","",COUNTIFS(nrAT_PID,$B28,nrAT_Type,"Absent Partial Day"))</f>
        <v/>
      </c>
      <c r="X28" s="15">
        <f>IF($B28="","",COUNTIFS(nrAT_PID,$B28,nrAT_Type,"PT Missed"))</f>
        <v/>
      </c>
      <c r="Y28" s="15">
        <f>IF($B28="","",COUNTIFS(nrAT_PID,$B28,nrAT_Excused,"Excused"))</f>
        <v/>
      </c>
    </row>
    <row r="29">
      <c r="B29" s="15">
        <f>IF(Cadets!$B29="","",Cadets!$B29)</f>
        <v/>
      </c>
      <c r="C29" s="15">
        <f>IF($B29="","",Cadets!$F29)</f>
        <v/>
      </c>
      <c r="D29" s="15">
        <f>IF($B29="","",Cadets!$I29)</f>
        <v/>
      </c>
      <c r="E29" s="15">
        <f>IF($B29="","",SUMIFS(nrAT_Min,nrAT_PID,$B29,nrAT_Counts,"Yes",nrAT_IsPT,"No"))</f>
        <v/>
      </c>
      <c r="F29" s="15">
        <f>IF($B29="","",SUMIFS(nrMK_Min,nrMK_PID,$B29,nrMK_Credit,"Yes",nrMK_Type,"Classroom"))</f>
        <v/>
      </c>
      <c r="G29" s="15">
        <f>IF($B29="","",MAX(0,$E29-$F29))</f>
        <v/>
      </c>
      <c r="H29" s="15">
        <f>IF($B29="","",cfgClassroomCapMinutes)</f>
        <v/>
      </c>
      <c r="I29" s="15">
        <f>IF($B29="","",IF($H29=0,0,$G29/$H29))</f>
        <v/>
      </c>
      <c r="J29" s="15">
        <f>IF($B29="","",IF($I29&gt;=1,"At Cap",IF($I29&gt;=cfgAttendanceCriticalPct,"Critical",IF($I29&gt;=cfgAttendanceAdvisoryPct,"Advisory","OK"))))</f>
        <v/>
      </c>
      <c r="K29" s="15">
        <f>IF($B29="","",IF($H29=0,"Yes",IF($G29&lt;$H29,"Yes","No")))</f>
        <v/>
      </c>
      <c r="L29" s="15">
        <f>IF($B29="","",MAX(0,$E29-$F29))</f>
        <v/>
      </c>
      <c r="M29" s="15">
        <f>IF($B29="","",SUMIFS(nrAT_Sess,nrAT_PID,$B29,nrAT_Counts,"Yes",nrAT_IsPT,"Yes"))</f>
        <v/>
      </c>
      <c r="N29" s="15">
        <f>IF($B29="","",SUMIFS(nrMK_Sess,nrMK_PID,$B29,nrMK_Credit,"Yes",nrMK_Type,"PT"))</f>
        <v/>
      </c>
      <c r="O29" s="15">
        <f>IF($B29="","",MAX(0,$M29-$N29))</f>
        <v/>
      </c>
      <c r="P29" s="15">
        <f>IF($B29="","",cfgPTCapSessions)</f>
        <v/>
      </c>
      <c r="Q29" s="15">
        <f>IF($B29="","",IF($P29=0,0,$O29/$P29))</f>
        <v/>
      </c>
      <c r="R29" s="15">
        <f>IF($B29="","",IF($Q29&gt;=1,"At Cap",IF($Q29&gt;=cfgAttendanceCriticalPct,"Critical",IF($Q29&gt;=cfgAttendanceAdvisoryPct,"Advisory","OK"))))</f>
        <v/>
      </c>
      <c r="S29" s="15">
        <f>IF($B29="","",IF($P29=0,"Yes",IF($O29&lt;$P29,"Yes","No")))</f>
        <v/>
      </c>
      <c r="T29" s="15">
        <f>IF($B29="","",IF($L29=0,"Yes","No"))</f>
        <v/>
      </c>
      <c r="U29" s="15">
        <f>IF($B29="","",COUNTIFS(nrAT_PID,$B29,nrAT_Type,"Tardy"))</f>
        <v/>
      </c>
      <c r="V29" s="15">
        <f>IF($B29="","",COUNTIFS(nrAT_PID,$B29,nrAT_Type,"Absent Full Day"))</f>
        <v/>
      </c>
      <c r="W29" s="15">
        <f>IF($B29="","",COUNTIFS(nrAT_PID,$B29,nrAT_Type,"Absent Partial Day"))</f>
        <v/>
      </c>
      <c r="X29" s="15">
        <f>IF($B29="","",COUNTIFS(nrAT_PID,$B29,nrAT_Type,"PT Missed"))</f>
        <v/>
      </c>
      <c r="Y29" s="15">
        <f>IF($B29="","",COUNTIFS(nrAT_PID,$B29,nrAT_Excused,"Excused"))</f>
        <v/>
      </c>
    </row>
    <row r="30">
      <c r="B30" s="15">
        <f>IF(Cadets!$B30="","",Cadets!$B30)</f>
        <v/>
      </c>
      <c r="C30" s="15">
        <f>IF($B30="","",Cadets!$F30)</f>
        <v/>
      </c>
      <c r="D30" s="15">
        <f>IF($B30="","",Cadets!$I30)</f>
        <v/>
      </c>
      <c r="E30" s="15">
        <f>IF($B30="","",SUMIFS(nrAT_Min,nrAT_PID,$B30,nrAT_Counts,"Yes",nrAT_IsPT,"No"))</f>
        <v/>
      </c>
      <c r="F30" s="15">
        <f>IF($B30="","",SUMIFS(nrMK_Min,nrMK_PID,$B30,nrMK_Credit,"Yes",nrMK_Type,"Classroom"))</f>
        <v/>
      </c>
      <c r="G30" s="15">
        <f>IF($B30="","",MAX(0,$E30-$F30))</f>
        <v/>
      </c>
      <c r="H30" s="15">
        <f>IF($B30="","",cfgClassroomCapMinutes)</f>
        <v/>
      </c>
      <c r="I30" s="15">
        <f>IF($B30="","",IF($H30=0,0,$G30/$H30))</f>
        <v/>
      </c>
      <c r="J30" s="15">
        <f>IF($B30="","",IF($I30&gt;=1,"At Cap",IF($I30&gt;=cfgAttendanceCriticalPct,"Critical",IF($I30&gt;=cfgAttendanceAdvisoryPct,"Advisory","OK"))))</f>
        <v/>
      </c>
      <c r="K30" s="15">
        <f>IF($B30="","",IF($H30=0,"Yes",IF($G30&lt;$H30,"Yes","No")))</f>
        <v/>
      </c>
      <c r="L30" s="15">
        <f>IF($B30="","",MAX(0,$E30-$F30))</f>
        <v/>
      </c>
      <c r="M30" s="15">
        <f>IF($B30="","",SUMIFS(nrAT_Sess,nrAT_PID,$B30,nrAT_Counts,"Yes",nrAT_IsPT,"Yes"))</f>
        <v/>
      </c>
      <c r="N30" s="15">
        <f>IF($B30="","",SUMIFS(nrMK_Sess,nrMK_PID,$B30,nrMK_Credit,"Yes",nrMK_Type,"PT"))</f>
        <v/>
      </c>
      <c r="O30" s="15">
        <f>IF($B30="","",MAX(0,$M30-$N30))</f>
        <v/>
      </c>
      <c r="P30" s="15">
        <f>IF($B30="","",cfgPTCapSessions)</f>
        <v/>
      </c>
      <c r="Q30" s="15">
        <f>IF($B30="","",IF($P30=0,0,$O30/$P30))</f>
        <v/>
      </c>
      <c r="R30" s="15">
        <f>IF($B30="","",IF($Q30&gt;=1,"At Cap",IF($Q30&gt;=cfgAttendanceCriticalPct,"Critical",IF($Q30&gt;=cfgAttendanceAdvisoryPct,"Advisory","OK"))))</f>
        <v/>
      </c>
      <c r="S30" s="15">
        <f>IF($B30="","",IF($P30=0,"Yes",IF($O30&lt;$P30,"Yes","No")))</f>
        <v/>
      </c>
      <c r="T30" s="15">
        <f>IF($B30="","",IF($L30=0,"Yes","No"))</f>
        <v/>
      </c>
      <c r="U30" s="15">
        <f>IF($B30="","",COUNTIFS(nrAT_PID,$B30,nrAT_Type,"Tardy"))</f>
        <v/>
      </c>
      <c r="V30" s="15">
        <f>IF($B30="","",COUNTIFS(nrAT_PID,$B30,nrAT_Type,"Absent Full Day"))</f>
        <v/>
      </c>
      <c r="W30" s="15">
        <f>IF($B30="","",COUNTIFS(nrAT_PID,$B30,nrAT_Type,"Absent Partial Day"))</f>
        <v/>
      </c>
      <c r="X30" s="15">
        <f>IF($B30="","",COUNTIFS(nrAT_PID,$B30,nrAT_Type,"PT Missed"))</f>
        <v/>
      </c>
      <c r="Y30" s="15">
        <f>IF($B30="","",COUNTIFS(nrAT_PID,$B30,nrAT_Excused,"Excused"))</f>
        <v/>
      </c>
    </row>
    <row r="31">
      <c r="B31" s="15">
        <f>IF(Cadets!$B31="","",Cadets!$B31)</f>
        <v/>
      </c>
      <c r="C31" s="15">
        <f>IF($B31="","",Cadets!$F31)</f>
        <v/>
      </c>
      <c r="D31" s="15">
        <f>IF($B31="","",Cadets!$I31)</f>
        <v/>
      </c>
      <c r="E31" s="15">
        <f>IF($B31="","",SUMIFS(nrAT_Min,nrAT_PID,$B31,nrAT_Counts,"Yes",nrAT_IsPT,"No"))</f>
        <v/>
      </c>
      <c r="F31" s="15">
        <f>IF($B31="","",SUMIFS(nrMK_Min,nrMK_PID,$B31,nrMK_Credit,"Yes",nrMK_Type,"Classroom"))</f>
        <v/>
      </c>
      <c r="G31" s="15">
        <f>IF($B31="","",MAX(0,$E31-$F31))</f>
        <v/>
      </c>
      <c r="H31" s="15">
        <f>IF($B31="","",cfgClassroomCapMinutes)</f>
        <v/>
      </c>
      <c r="I31" s="15">
        <f>IF($B31="","",IF($H31=0,0,$G31/$H31))</f>
        <v/>
      </c>
      <c r="J31" s="15">
        <f>IF($B31="","",IF($I31&gt;=1,"At Cap",IF($I31&gt;=cfgAttendanceCriticalPct,"Critical",IF($I31&gt;=cfgAttendanceAdvisoryPct,"Advisory","OK"))))</f>
        <v/>
      </c>
      <c r="K31" s="15">
        <f>IF($B31="","",IF($H31=0,"Yes",IF($G31&lt;$H31,"Yes","No")))</f>
        <v/>
      </c>
      <c r="L31" s="15">
        <f>IF($B31="","",MAX(0,$E31-$F31))</f>
        <v/>
      </c>
      <c r="M31" s="15">
        <f>IF($B31="","",SUMIFS(nrAT_Sess,nrAT_PID,$B31,nrAT_Counts,"Yes",nrAT_IsPT,"Yes"))</f>
        <v/>
      </c>
      <c r="N31" s="15">
        <f>IF($B31="","",SUMIFS(nrMK_Sess,nrMK_PID,$B31,nrMK_Credit,"Yes",nrMK_Type,"PT"))</f>
        <v/>
      </c>
      <c r="O31" s="15">
        <f>IF($B31="","",MAX(0,$M31-$N31))</f>
        <v/>
      </c>
      <c r="P31" s="15">
        <f>IF($B31="","",cfgPTCapSessions)</f>
        <v/>
      </c>
      <c r="Q31" s="15">
        <f>IF($B31="","",IF($P31=0,0,$O31/$P31))</f>
        <v/>
      </c>
      <c r="R31" s="15">
        <f>IF($B31="","",IF($Q31&gt;=1,"At Cap",IF($Q31&gt;=cfgAttendanceCriticalPct,"Critical",IF($Q31&gt;=cfgAttendanceAdvisoryPct,"Advisory","OK"))))</f>
        <v/>
      </c>
      <c r="S31" s="15">
        <f>IF($B31="","",IF($P31=0,"Yes",IF($O31&lt;$P31,"Yes","No")))</f>
        <v/>
      </c>
      <c r="T31" s="15">
        <f>IF($B31="","",IF($L31=0,"Yes","No"))</f>
        <v/>
      </c>
      <c r="U31" s="15">
        <f>IF($B31="","",COUNTIFS(nrAT_PID,$B31,nrAT_Type,"Tardy"))</f>
        <v/>
      </c>
      <c r="V31" s="15">
        <f>IF($B31="","",COUNTIFS(nrAT_PID,$B31,nrAT_Type,"Absent Full Day"))</f>
        <v/>
      </c>
      <c r="W31" s="15">
        <f>IF($B31="","",COUNTIFS(nrAT_PID,$B31,nrAT_Type,"Absent Partial Day"))</f>
        <v/>
      </c>
      <c r="X31" s="15">
        <f>IF($B31="","",COUNTIFS(nrAT_PID,$B31,nrAT_Type,"PT Missed"))</f>
        <v/>
      </c>
      <c r="Y31" s="15">
        <f>IF($B31="","",COUNTIFS(nrAT_PID,$B31,nrAT_Excused,"Excused"))</f>
        <v/>
      </c>
    </row>
    <row r="32">
      <c r="B32" s="15">
        <f>IF(Cadets!$B32="","",Cadets!$B32)</f>
        <v/>
      </c>
      <c r="C32" s="15">
        <f>IF($B32="","",Cadets!$F32)</f>
        <v/>
      </c>
      <c r="D32" s="15">
        <f>IF($B32="","",Cadets!$I32)</f>
        <v/>
      </c>
      <c r="E32" s="15">
        <f>IF($B32="","",SUMIFS(nrAT_Min,nrAT_PID,$B32,nrAT_Counts,"Yes",nrAT_IsPT,"No"))</f>
        <v/>
      </c>
      <c r="F32" s="15">
        <f>IF($B32="","",SUMIFS(nrMK_Min,nrMK_PID,$B32,nrMK_Credit,"Yes",nrMK_Type,"Classroom"))</f>
        <v/>
      </c>
      <c r="G32" s="15">
        <f>IF($B32="","",MAX(0,$E32-$F32))</f>
        <v/>
      </c>
      <c r="H32" s="15">
        <f>IF($B32="","",cfgClassroomCapMinutes)</f>
        <v/>
      </c>
      <c r="I32" s="15">
        <f>IF($B32="","",IF($H32=0,0,$G32/$H32))</f>
        <v/>
      </c>
      <c r="J32" s="15">
        <f>IF($B32="","",IF($I32&gt;=1,"At Cap",IF($I32&gt;=cfgAttendanceCriticalPct,"Critical",IF($I32&gt;=cfgAttendanceAdvisoryPct,"Advisory","OK"))))</f>
        <v/>
      </c>
      <c r="K32" s="15">
        <f>IF($B32="","",IF($H32=0,"Yes",IF($G32&lt;$H32,"Yes","No")))</f>
        <v/>
      </c>
      <c r="L32" s="15">
        <f>IF($B32="","",MAX(0,$E32-$F32))</f>
        <v/>
      </c>
      <c r="M32" s="15">
        <f>IF($B32="","",SUMIFS(nrAT_Sess,nrAT_PID,$B32,nrAT_Counts,"Yes",nrAT_IsPT,"Yes"))</f>
        <v/>
      </c>
      <c r="N32" s="15">
        <f>IF($B32="","",SUMIFS(nrMK_Sess,nrMK_PID,$B32,nrMK_Credit,"Yes",nrMK_Type,"PT"))</f>
        <v/>
      </c>
      <c r="O32" s="15">
        <f>IF($B32="","",MAX(0,$M32-$N32))</f>
        <v/>
      </c>
      <c r="P32" s="15">
        <f>IF($B32="","",cfgPTCapSessions)</f>
        <v/>
      </c>
      <c r="Q32" s="15">
        <f>IF($B32="","",IF($P32=0,0,$O32/$P32))</f>
        <v/>
      </c>
      <c r="R32" s="15">
        <f>IF($B32="","",IF($Q32&gt;=1,"At Cap",IF($Q32&gt;=cfgAttendanceCriticalPct,"Critical",IF($Q32&gt;=cfgAttendanceAdvisoryPct,"Advisory","OK"))))</f>
        <v/>
      </c>
      <c r="S32" s="15">
        <f>IF($B32="","",IF($P32=0,"Yes",IF($O32&lt;$P32,"Yes","No")))</f>
        <v/>
      </c>
      <c r="T32" s="15">
        <f>IF($B32="","",IF($L32=0,"Yes","No"))</f>
        <v/>
      </c>
      <c r="U32" s="15">
        <f>IF($B32="","",COUNTIFS(nrAT_PID,$B32,nrAT_Type,"Tardy"))</f>
        <v/>
      </c>
      <c r="V32" s="15">
        <f>IF($B32="","",COUNTIFS(nrAT_PID,$B32,nrAT_Type,"Absent Full Day"))</f>
        <v/>
      </c>
      <c r="W32" s="15">
        <f>IF($B32="","",COUNTIFS(nrAT_PID,$B32,nrAT_Type,"Absent Partial Day"))</f>
        <v/>
      </c>
      <c r="X32" s="15">
        <f>IF($B32="","",COUNTIFS(nrAT_PID,$B32,nrAT_Type,"PT Missed"))</f>
        <v/>
      </c>
      <c r="Y32" s="15">
        <f>IF($B32="","",COUNTIFS(nrAT_PID,$B32,nrAT_Excused,"Excused"))</f>
        <v/>
      </c>
    </row>
    <row r="33">
      <c r="B33" s="15">
        <f>IF(Cadets!$B33="","",Cadets!$B33)</f>
        <v/>
      </c>
      <c r="C33" s="15">
        <f>IF($B33="","",Cadets!$F33)</f>
        <v/>
      </c>
      <c r="D33" s="15">
        <f>IF($B33="","",Cadets!$I33)</f>
        <v/>
      </c>
      <c r="E33" s="15">
        <f>IF($B33="","",SUMIFS(nrAT_Min,nrAT_PID,$B33,nrAT_Counts,"Yes",nrAT_IsPT,"No"))</f>
        <v/>
      </c>
      <c r="F33" s="15">
        <f>IF($B33="","",SUMIFS(nrMK_Min,nrMK_PID,$B33,nrMK_Credit,"Yes",nrMK_Type,"Classroom"))</f>
        <v/>
      </c>
      <c r="G33" s="15">
        <f>IF($B33="","",MAX(0,$E33-$F33))</f>
        <v/>
      </c>
      <c r="H33" s="15">
        <f>IF($B33="","",cfgClassroomCapMinutes)</f>
        <v/>
      </c>
      <c r="I33" s="15">
        <f>IF($B33="","",IF($H33=0,0,$G33/$H33))</f>
        <v/>
      </c>
      <c r="J33" s="15">
        <f>IF($B33="","",IF($I33&gt;=1,"At Cap",IF($I33&gt;=cfgAttendanceCriticalPct,"Critical",IF($I33&gt;=cfgAttendanceAdvisoryPct,"Advisory","OK"))))</f>
        <v/>
      </c>
      <c r="K33" s="15">
        <f>IF($B33="","",IF($H33=0,"Yes",IF($G33&lt;$H33,"Yes","No")))</f>
        <v/>
      </c>
      <c r="L33" s="15">
        <f>IF($B33="","",MAX(0,$E33-$F33))</f>
        <v/>
      </c>
      <c r="M33" s="15">
        <f>IF($B33="","",SUMIFS(nrAT_Sess,nrAT_PID,$B33,nrAT_Counts,"Yes",nrAT_IsPT,"Yes"))</f>
        <v/>
      </c>
      <c r="N33" s="15">
        <f>IF($B33="","",SUMIFS(nrMK_Sess,nrMK_PID,$B33,nrMK_Credit,"Yes",nrMK_Type,"PT"))</f>
        <v/>
      </c>
      <c r="O33" s="15">
        <f>IF($B33="","",MAX(0,$M33-$N33))</f>
        <v/>
      </c>
      <c r="P33" s="15">
        <f>IF($B33="","",cfgPTCapSessions)</f>
        <v/>
      </c>
      <c r="Q33" s="15">
        <f>IF($B33="","",IF($P33=0,0,$O33/$P33))</f>
        <v/>
      </c>
      <c r="R33" s="15">
        <f>IF($B33="","",IF($Q33&gt;=1,"At Cap",IF($Q33&gt;=cfgAttendanceCriticalPct,"Critical",IF($Q33&gt;=cfgAttendanceAdvisoryPct,"Advisory","OK"))))</f>
        <v/>
      </c>
      <c r="S33" s="15">
        <f>IF($B33="","",IF($P33=0,"Yes",IF($O33&lt;$P33,"Yes","No")))</f>
        <v/>
      </c>
      <c r="T33" s="15">
        <f>IF($B33="","",IF($L33=0,"Yes","No"))</f>
        <v/>
      </c>
      <c r="U33" s="15">
        <f>IF($B33="","",COUNTIFS(nrAT_PID,$B33,nrAT_Type,"Tardy"))</f>
        <v/>
      </c>
      <c r="V33" s="15">
        <f>IF($B33="","",COUNTIFS(nrAT_PID,$B33,nrAT_Type,"Absent Full Day"))</f>
        <v/>
      </c>
      <c r="W33" s="15">
        <f>IF($B33="","",COUNTIFS(nrAT_PID,$B33,nrAT_Type,"Absent Partial Day"))</f>
        <v/>
      </c>
      <c r="X33" s="15">
        <f>IF($B33="","",COUNTIFS(nrAT_PID,$B33,nrAT_Type,"PT Missed"))</f>
        <v/>
      </c>
      <c r="Y33" s="15">
        <f>IF($B33="","",COUNTIFS(nrAT_PID,$B33,nrAT_Excused,"Excused"))</f>
        <v/>
      </c>
    </row>
    <row r="34">
      <c r="B34" s="15">
        <f>IF(Cadets!$B34="","",Cadets!$B34)</f>
        <v/>
      </c>
      <c r="C34" s="15">
        <f>IF($B34="","",Cadets!$F34)</f>
        <v/>
      </c>
      <c r="D34" s="15">
        <f>IF($B34="","",Cadets!$I34)</f>
        <v/>
      </c>
      <c r="E34" s="15">
        <f>IF($B34="","",SUMIFS(nrAT_Min,nrAT_PID,$B34,nrAT_Counts,"Yes",nrAT_IsPT,"No"))</f>
        <v/>
      </c>
      <c r="F34" s="15">
        <f>IF($B34="","",SUMIFS(nrMK_Min,nrMK_PID,$B34,nrMK_Credit,"Yes",nrMK_Type,"Classroom"))</f>
        <v/>
      </c>
      <c r="G34" s="15">
        <f>IF($B34="","",MAX(0,$E34-$F34))</f>
        <v/>
      </c>
      <c r="H34" s="15">
        <f>IF($B34="","",cfgClassroomCapMinutes)</f>
        <v/>
      </c>
      <c r="I34" s="15">
        <f>IF($B34="","",IF($H34=0,0,$G34/$H34))</f>
        <v/>
      </c>
      <c r="J34" s="15">
        <f>IF($B34="","",IF($I34&gt;=1,"At Cap",IF($I34&gt;=cfgAttendanceCriticalPct,"Critical",IF($I34&gt;=cfgAttendanceAdvisoryPct,"Advisory","OK"))))</f>
        <v/>
      </c>
      <c r="K34" s="15">
        <f>IF($B34="","",IF($H34=0,"Yes",IF($G34&lt;$H34,"Yes","No")))</f>
        <v/>
      </c>
      <c r="L34" s="15">
        <f>IF($B34="","",MAX(0,$E34-$F34))</f>
        <v/>
      </c>
      <c r="M34" s="15">
        <f>IF($B34="","",SUMIFS(nrAT_Sess,nrAT_PID,$B34,nrAT_Counts,"Yes",nrAT_IsPT,"Yes"))</f>
        <v/>
      </c>
      <c r="N34" s="15">
        <f>IF($B34="","",SUMIFS(nrMK_Sess,nrMK_PID,$B34,nrMK_Credit,"Yes",nrMK_Type,"PT"))</f>
        <v/>
      </c>
      <c r="O34" s="15">
        <f>IF($B34="","",MAX(0,$M34-$N34))</f>
        <v/>
      </c>
      <c r="P34" s="15">
        <f>IF($B34="","",cfgPTCapSessions)</f>
        <v/>
      </c>
      <c r="Q34" s="15">
        <f>IF($B34="","",IF($P34=0,0,$O34/$P34))</f>
        <v/>
      </c>
      <c r="R34" s="15">
        <f>IF($B34="","",IF($Q34&gt;=1,"At Cap",IF($Q34&gt;=cfgAttendanceCriticalPct,"Critical",IF($Q34&gt;=cfgAttendanceAdvisoryPct,"Advisory","OK"))))</f>
        <v/>
      </c>
      <c r="S34" s="15">
        <f>IF($B34="","",IF($P34=0,"Yes",IF($O34&lt;$P34,"Yes","No")))</f>
        <v/>
      </c>
      <c r="T34" s="15">
        <f>IF($B34="","",IF($L34=0,"Yes","No"))</f>
        <v/>
      </c>
      <c r="U34" s="15">
        <f>IF($B34="","",COUNTIFS(nrAT_PID,$B34,nrAT_Type,"Tardy"))</f>
        <v/>
      </c>
      <c r="V34" s="15">
        <f>IF($B34="","",COUNTIFS(nrAT_PID,$B34,nrAT_Type,"Absent Full Day"))</f>
        <v/>
      </c>
      <c r="W34" s="15">
        <f>IF($B34="","",COUNTIFS(nrAT_PID,$B34,nrAT_Type,"Absent Partial Day"))</f>
        <v/>
      </c>
      <c r="X34" s="15">
        <f>IF($B34="","",COUNTIFS(nrAT_PID,$B34,nrAT_Type,"PT Missed"))</f>
        <v/>
      </c>
      <c r="Y34" s="15">
        <f>IF($B34="","",COUNTIFS(nrAT_PID,$B34,nrAT_Excused,"Excused"))</f>
        <v/>
      </c>
    </row>
    <row r="35">
      <c r="B35" s="15">
        <f>IF(Cadets!$B35="","",Cadets!$B35)</f>
        <v/>
      </c>
      <c r="C35" s="15">
        <f>IF($B35="","",Cadets!$F35)</f>
        <v/>
      </c>
      <c r="D35" s="15">
        <f>IF($B35="","",Cadets!$I35)</f>
        <v/>
      </c>
      <c r="E35" s="15">
        <f>IF($B35="","",SUMIFS(nrAT_Min,nrAT_PID,$B35,nrAT_Counts,"Yes",nrAT_IsPT,"No"))</f>
        <v/>
      </c>
      <c r="F35" s="15">
        <f>IF($B35="","",SUMIFS(nrMK_Min,nrMK_PID,$B35,nrMK_Credit,"Yes",nrMK_Type,"Classroom"))</f>
        <v/>
      </c>
      <c r="G35" s="15">
        <f>IF($B35="","",MAX(0,$E35-$F35))</f>
        <v/>
      </c>
      <c r="H35" s="15">
        <f>IF($B35="","",cfgClassroomCapMinutes)</f>
        <v/>
      </c>
      <c r="I35" s="15">
        <f>IF($B35="","",IF($H35=0,0,$G35/$H35))</f>
        <v/>
      </c>
      <c r="J35" s="15">
        <f>IF($B35="","",IF($I35&gt;=1,"At Cap",IF($I35&gt;=cfgAttendanceCriticalPct,"Critical",IF($I35&gt;=cfgAttendanceAdvisoryPct,"Advisory","OK"))))</f>
        <v/>
      </c>
      <c r="K35" s="15">
        <f>IF($B35="","",IF($H35=0,"Yes",IF($G35&lt;$H35,"Yes","No")))</f>
        <v/>
      </c>
      <c r="L35" s="15">
        <f>IF($B35="","",MAX(0,$E35-$F35))</f>
        <v/>
      </c>
      <c r="M35" s="15">
        <f>IF($B35="","",SUMIFS(nrAT_Sess,nrAT_PID,$B35,nrAT_Counts,"Yes",nrAT_IsPT,"Yes"))</f>
        <v/>
      </c>
      <c r="N35" s="15">
        <f>IF($B35="","",SUMIFS(nrMK_Sess,nrMK_PID,$B35,nrMK_Credit,"Yes",nrMK_Type,"PT"))</f>
        <v/>
      </c>
      <c r="O35" s="15">
        <f>IF($B35="","",MAX(0,$M35-$N35))</f>
        <v/>
      </c>
      <c r="P35" s="15">
        <f>IF($B35="","",cfgPTCapSessions)</f>
        <v/>
      </c>
      <c r="Q35" s="15">
        <f>IF($B35="","",IF($P35=0,0,$O35/$P35))</f>
        <v/>
      </c>
      <c r="R35" s="15">
        <f>IF($B35="","",IF($Q35&gt;=1,"At Cap",IF($Q35&gt;=cfgAttendanceCriticalPct,"Critical",IF($Q35&gt;=cfgAttendanceAdvisoryPct,"Advisory","OK"))))</f>
        <v/>
      </c>
      <c r="S35" s="15">
        <f>IF($B35="","",IF($P35=0,"Yes",IF($O35&lt;$P35,"Yes","No")))</f>
        <v/>
      </c>
      <c r="T35" s="15">
        <f>IF($B35="","",IF($L35=0,"Yes","No"))</f>
        <v/>
      </c>
      <c r="U35" s="15">
        <f>IF($B35="","",COUNTIFS(nrAT_PID,$B35,nrAT_Type,"Tardy"))</f>
        <v/>
      </c>
      <c r="V35" s="15">
        <f>IF($B35="","",COUNTIFS(nrAT_PID,$B35,nrAT_Type,"Absent Full Day"))</f>
        <v/>
      </c>
      <c r="W35" s="15">
        <f>IF($B35="","",COUNTIFS(nrAT_PID,$B35,nrAT_Type,"Absent Partial Day"))</f>
        <v/>
      </c>
      <c r="X35" s="15">
        <f>IF($B35="","",COUNTIFS(nrAT_PID,$B35,nrAT_Type,"PT Missed"))</f>
        <v/>
      </c>
      <c r="Y35" s="15">
        <f>IF($B35="","",COUNTIFS(nrAT_PID,$B35,nrAT_Excused,"Excused"))</f>
        <v/>
      </c>
    </row>
    <row r="36">
      <c r="B36" s="15">
        <f>IF(Cadets!$B36="","",Cadets!$B36)</f>
        <v/>
      </c>
      <c r="C36" s="15">
        <f>IF($B36="","",Cadets!$F36)</f>
        <v/>
      </c>
      <c r="D36" s="15">
        <f>IF($B36="","",Cadets!$I36)</f>
        <v/>
      </c>
      <c r="E36" s="15">
        <f>IF($B36="","",SUMIFS(nrAT_Min,nrAT_PID,$B36,nrAT_Counts,"Yes",nrAT_IsPT,"No"))</f>
        <v/>
      </c>
      <c r="F36" s="15">
        <f>IF($B36="","",SUMIFS(nrMK_Min,nrMK_PID,$B36,nrMK_Credit,"Yes",nrMK_Type,"Classroom"))</f>
        <v/>
      </c>
      <c r="G36" s="15">
        <f>IF($B36="","",MAX(0,$E36-$F36))</f>
        <v/>
      </c>
      <c r="H36" s="15">
        <f>IF($B36="","",cfgClassroomCapMinutes)</f>
        <v/>
      </c>
      <c r="I36" s="15">
        <f>IF($B36="","",IF($H36=0,0,$G36/$H36))</f>
        <v/>
      </c>
      <c r="J36" s="15">
        <f>IF($B36="","",IF($I36&gt;=1,"At Cap",IF($I36&gt;=cfgAttendanceCriticalPct,"Critical",IF($I36&gt;=cfgAttendanceAdvisoryPct,"Advisory","OK"))))</f>
        <v/>
      </c>
      <c r="K36" s="15">
        <f>IF($B36="","",IF($H36=0,"Yes",IF($G36&lt;$H36,"Yes","No")))</f>
        <v/>
      </c>
      <c r="L36" s="15">
        <f>IF($B36="","",MAX(0,$E36-$F36))</f>
        <v/>
      </c>
      <c r="M36" s="15">
        <f>IF($B36="","",SUMIFS(nrAT_Sess,nrAT_PID,$B36,nrAT_Counts,"Yes",nrAT_IsPT,"Yes"))</f>
        <v/>
      </c>
      <c r="N36" s="15">
        <f>IF($B36="","",SUMIFS(nrMK_Sess,nrMK_PID,$B36,nrMK_Credit,"Yes",nrMK_Type,"PT"))</f>
        <v/>
      </c>
      <c r="O36" s="15">
        <f>IF($B36="","",MAX(0,$M36-$N36))</f>
        <v/>
      </c>
      <c r="P36" s="15">
        <f>IF($B36="","",cfgPTCapSessions)</f>
        <v/>
      </c>
      <c r="Q36" s="15">
        <f>IF($B36="","",IF($P36=0,0,$O36/$P36))</f>
        <v/>
      </c>
      <c r="R36" s="15">
        <f>IF($B36="","",IF($Q36&gt;=1,"At Cap",IF($Q36&gt;=cfgAttendanceCriticalPct,"Critical",IF($Q36&gt;=cfgAttendanceAdvisoryPct,"Advisory","OK"))))</f>
        <v/>
      </c>
      <c r="S36" s="15">
        <f>IF($B36="","",IF($P36=0,"Yes",IF($O36&lt;$P36,"Yes","No")))</f>
        <v/>
      </c>
      <c r="T36" s="15">
        <f>IF($B36="","",IF($L36=0,"Yes","No"))</f>
        <v/>
      </c>
      <c r="U36" s="15">
        <f>IF($B36="","",COUNTIFS(nrAT_PID,$B36,nrAT_Type,"Tardy"))</f>
        <v/>
      </c>
      <c r="V36" s="15">
        <f>IF($B36="","",COUNTIFS(nrAT_PID,$B36,nrAT_Type,"Absent Full Day"))</f>
        <v/>
      </c>
      <c r="W36" s="15">
        <f>IF($B36="","",COUNTIFS(nrAT_PID,$B36,nrAT_Type,"Absent Partial Day"))</f>
        <v/>
      </c>
      <c r="X36" s="15">
        <f>IF($B36="","",COUNTIFS(nrAT_PID,$B36,nrAT_Type,"PT Missed"))</f>
        <v/>
      </c>
      <c r="Y36" s="15">
        <f>IF($B36="","",COUNTIFS(nrAT_PID,$B36,nrAT_Excused,"Excused"))</f>
        <v/>
      </c>
    </row>
    <row r="37">
      <c r="B37" s="15">
        <f>IF(Cadets!$B37="","",Cadets!$B37)</f>
        <v/>
      </c>
      <c r="C37" s="15">
        <f>IF($B37="","",Cadets!$F37)</f>
        <v/>
      </c>
      <c r="D37" s="15">
        <f>IF($B37="","",Cadets!$I37)</f>
        <v/>
      </c>
      <c r="E37" s="15">
        <f>IF($B37="","",SUMIFS(nrAT_Min,nrAT_PID,$B37,nrAT_Counts,"Yes",nrAT_IsPT,"No"))</f>
        <v/>
      </c>
      <c r="F37" s="15">
        <f>IF($B37="","",SUMIFS(nrMK_Min,nrMK_PID,$B37,nrMK_Credit,"Yes",nrMK_Type,"Classroom"))</f>
        <v/>
      </c>
      <c r="G37" s="15">
        <f>IF($B37="","",MAX(0,$E37-$F37))</f>
        <v/>
      </c>
      <c r="H37" s="15">
        <f>IF($B37="","",cfgClassroomCapMinutes)</f>
        <v/>
      </c>
      <c r="I37" s="15">
        <f>IF($B37="","",IF($H37=0,0,$G37/$H37))</f>
        <v/>
      </c>
      <c r="J37" s="15">
        <f>IF($B37="","",IF($I37&gt;=1,"At Cap",IF($I37&gt;=cfgAttendanceCriticalPct,"Critical",IF($I37&gt;=cfgAttendanceAdvisoryPct,"Advisory","OK"))))</f>
        <v/>
      </c>
      <c r="K37" s="15">
        <f>IF($B37="","",IF($H37=0,"Yes",IF($G37&lt;$H37,"Yes","No")))</f>
        <v/>
      </c>
      <c r="L37" s="15">
        <f>IF($B37="","",MAX(0,$E37-$F37))</f>
        <v/>
      </c>
      <c r="M37" s="15">
        <f>IF($B37="","",SUMIFS(nrAT_Sess,nrAT_PID,$B37,nrAT_Counts,"Yes",nrAT_IsPT,"Yes"))</f>
        <v/>
      </c>
      <c r="N37" s="15">
        <f>IF($B37="","",SUMIFS(nrMK_Sess,nrMK_PID,$B37,nrMK_Credit,"Yes",nrMK_Type,"PT"))</f>
        <v/>
      </c>
      <c r="O37" s="15">
        <f>IF($B37="","",MAX(0,$M37-$N37))</f>
        <v/>
      </c>
      <c r="P37" s="15">
        <f>IF($B37="","",cfgPTCapSessions)</f>
        <v/>
      </c>
      <c r="Q37" s="15">
        <f>IF($B37="","",IF($P37=0,0,$O37/$P37))</f>
        <v/>
      </c>
      <c r="R37" s="15">
        <f>IF($B37="","",IF($Q37&gt;=1,"At Cap",IF($Q37&gt;=cfgAttendanceCriticalPct,"Critical",IF($Q37&gt;=cfgAttendanceAdvisoryPct,"Advisory","OK"))))</f>
        <v/>
      </c>
      <c r="S37" s="15">
        <f>IF($B37="","",IF($P37=0,"Yes",IF($O37&lt;$P37,"Yes","No")))</f>
        <v/>
      </c>
      <c r="T37" s="15">
        <f>IF($B37="","",IF($L37=0,"Yes","No"))</f>
        <v/>
      </c>
      <c r="U37" s="15">
        <f>IF($B37="","",COUNTIFS(nrAT_PID,$B37,nrAT_Type,"Tardy"))</f>
        <v/>
      </c>
      <c r="V37" s="15">
        <f>IF($B37="","",COUNTIFS(nrAT_PID,$B37,nrAT_Type,"Absent Full Day"))</f>
        <v/>
      </c>
      <c r="W37" s="15">
        <f>IF($B37="","",COUNTIFS(nrAT_PID,$B37,nrAT_Type,"Absent Partial Day"))</f>
        <v/>
      </c>
      <c r="X37" s="15">
        <f>IF($B37="","",COUNTIFS(nrAT_PID,$B37,nrAT_Type,"PT Missed"))</f>
        <v/>
      </c>
      <c r="Y37" s="15">
        <f>IF($B37="","",COUNTIFS(nrAT_PID,$B37,nrAT_Excused,"Excused"))</f>
        <v/>
      </c>
    </row>
    <row r="38">
      <c r="B38" s="15">
        <f>IF(Cadets!$B38="","",Cadets!$B38)</f>
        <v/>
      </c>
      <c r="C38" s="15">
        <f>IF($B38="","",Cadets!$F38)</f>
        <v/>
      </c>
      <c r="D38" s="15">
        <f>IF($B38="","",Cadets!$I38)</f>
        <v/>
      </c>
      <c r="E38" s="15">
        <f>IF($B38="","",SUMIFS(nrAT_Min,nrAT_PID,$B38,nrAT_Counts,"Yes",nrAT_IsPT,"No"))</f>
        <v/>
      </c>
      <c r="F38" s="15">
        <f>IF($B38="","",SUMIFS(nrMK_Min,nrMK_PID,$B38,nrMK_Credit,"Yes",nrMK_Type,"Classroom"))</f>
        <v/>
      </c>
      <c r="G38" s="15">
        <f>IF($B38="","",MAX(0,$E38-$F38))</f>
        <v/>
      </c>
      <c r="H38" s="15">
        <f>IF($B38="","",cfgClassroomCapMinutes)</f>
        <v/>
      </c>
      <c r="I38" s="15">
        <f>IF($B38="","",IF($H38=0,0,$G38/$H38))</f>
        <v/>
      </c>
      <c r="J38" s="15">
        <f>IF($B38="","",IF($I38&gt;=1,"At Cap",IF($I38&gt;=cfgAttendanceCriticalPct,"Critical",IF($I38&gt;=cfgAttendanceAdvisoryPct,"Advisory","OK"))))</f>
        <v/>
      </c>
      <c r="K38" s="15">
        <f>IF($B38="","",IF($H38=0,"Yes",IF($G38&lt;$H38,"Yes","No")))</f>
        <v/>
      </c>
      <c r="L38" s="15">
        <f>IF($B38="","",MAX(0,$E38-$F38))</f>
        <v/>
      </c>
      <c r="M38" s="15">
        <f>IF($B38="","",SUMIFS(nrAT_Sess,nrAT_PID,$B38,nrAT_Counts,"Yes",nrAT_IsPT,"Yes"))</f>
        <v/>
      </c>
      <c r="N38" s="15">
        <f>IF($B38="","",SUMIFS(nrMK_Sess,nrMK_PID,$B38,nrMK_Credit,"Yes",nrMK_Type,"PT"))</f>
        <v/>
      </c>
      <c r="O38" s="15">
        <f>IF($B38="","",MAX(0,$M38-$N38))</f>
        <v/>
      </c>
      <c r="P38" s="15">
        <f>IF($B38="","",cfgPTCapSessions)</f>
        <v/>
      </c>
      <c r="Q38" s="15">
        <f>IF($B38="","",IF($P38=0,0,$O38/$P38))</f>
        <v/>
      </c>
      <c r="R38" s="15">
        <f>IF($B38="","",IF($Q38&gt;=1,"At Cap",IF($Q38&gt;=cfgAttendanceCriticalPct,"Critical",IF($Q38&gt;=cfgAttendanceAdvisoryPct,"Advisory","OK"))))</f>
        <v/>
      </c>
      <c r="S38" s="15">
        <f>IF($B38="","",IF($P38=0,"Yes",IF($O38&lt;$P38,"Yes","No")))</f>
        <v/>
      </c>
      <c r="T38" s="15">
        <f>IF($B38="","",IF($L38=0,"Yes","No"))</f>
        <v/>
      </c>
      <c r="U38" s="15">
        <f>IF($B38="","",COUNTIFS(nrAT_PID,$B38,nrAT_Type,"Tardy"))</f>
        <v/>
      </c>
      <c r="V38" s="15">
        <f>IF($B38="","",COUNTIFS(nrAT_PID,$B38,nrAT_Type,"Absent Full Day"))</f>
        <v/>
      </c>
      <c r="W38" s="15">
        <f>IF($B38="","",COUNTIFS(nrAT_PID,$B38,nrAT_Type,"Absent Partial Day"))</f>
        <v/>
      </c>
      <c r="X38" s="15">
        <f>IF($B38="","",COUNTIFS(nrAT_PID,$B38,nrAT_Type,"PT Missed"))</f>
        <v/>
      </c>
      <c r="Y38" s="15">
        <f>IF($B38="","",COUNTIFS(nrAT_PID,$B38,nrAT_Excused,"Excused"))</f>
        <v/>
      </c>
    </row>
    <row r="39">
      <c r="B39" s="15">
        <f>IF(Cadets!$B39="","",Cadets!$B39)</f>
        <v/>
      </c>
      <c r="C39" s="15">
        <f>IF($B39="","",Cadets!$F39)</f>
        <v/>
      </c>
      <c r="D39" s="15">
        <f>IF($B39="","",Cadets!$I39)</f>
        <v/>
      </c>
      <c r="E39" s="15">
        <f>IF($B39="","",SUMIFS(nrAT_Min,nrAT_PID,$B39,nrAT_Counts,"Yes",nrAT_IsPT,"No"))</f>
        <v/>
      </c>
      <c r="F39" s="15">
        <f>IF($B39="","",SUMIFS(nrMK_Min,nrMK_PID,$B39,nrMK_Credit,"Yes",nrMK_Type,"Classroom"))</f>
        <v/>
      </c>
      <c r="G39" s="15">
        <f>IF($B39="","",MAX(0,$E39-$F39))</f>
        <v/>
      </c>
      <c r="H39" s="15">
        <f>IF($B39="","",cfgClassroomCapMinutes)</f>
        <v/>
      </c>
      <c r="I39" s="15">
        <f>IF($B39="","",IF($H39=0,0,$G39/$H39))</f>
        <v/>
      </c>
      <c r="J39" s="15">
        <f>IF($B39="","",IF($I39&gt;=1,"At Cap",IF($I39&gt;=cfgAttendanceCriticalPct,"Critical",IF($I39&gt;=cfgAttendanceAdvisoryPct,"Advisory","OK"))))</f>
        <v/>
      </c>
      <c r="K39" s="15">
        <f>IF($B39="","",IF($H39=0,"Yes",IF($G39&lt;$H39,"Yes","No")))</f>
        <v/>
      </c>
      <c r="L39" s="15">
        <f>IF($B39="","",MAX(0,$E39-$F39))</f>
        <v/>
      </c>
      <c r="M39" s="15">
        <f>IF($B39="","",SUMIFS(nrAT_Sess,nrAT_PID,$B39,nrAT_Counts,"Yes",nrAT_IsPT,"Yes"))</f>
        <v/>
      </c>
      <c r="N39" s="15">
        <f>IF($B39="","",SUMIFS(nrMK_Sess,nrMK_PID,$B39,nrMK_Credit,"Yes",nrMK_Type,"PT"))</f>
        <v/>
      </c>
      <c r="O39" s="15">
        <f>IF($B39="","",MAX(0,$M39-$N39))</f>
        <v/>
      </c>
      <c r="P39" s="15">
        <f>IF($B39="","",cfgPTCapSessions)</f>
        <v/>
      </c>
      <c r="Q39" s="15">
        <f>IF($B39="","",IF($P39=0,0,$O39/$P39))</f>
        <v/>
      </c>
      <c r="R39" s="15">
        <f>IF($B39="","",IF($Q39&gt;=1,"At Cap",IF($Q39&gt;=cfgAttendanceCriticalPct,"Critical",IF($Q39&gt;=cfgAttendanceAdvisoryPct,"Advisory","OK"))))</f>
        <v/>
      </c>
      <c r="S39" s="15">
        <f>IF($B39="","",IF($P39=0,"Yes",IF($O39&lt;$P39,"Yes","No")))</f>
        <v/>
      </c>
      <c r="T39" s="15">
        <f>IF($B39="","",IF($L39=0,"Yes","No"))</f>
        <v/>
      </c>
      <c r="U39" s="15">
        <f>IF($B39="","",COUNTIFS(nrAT_PID,$B39,nrAT_Type,"Tardy"))</f>
        <v/>
      </c>
      <c r="V39" s="15">
        <f>IF($B39="","",COUNTIFS(nrAT_PID,$B39,nrAT_Type,"Absent Full Day"))</f>
        <v/>
      </c>
      <c r="W39" s="15">
        <f>IF($B39="","",COUNTIFS(nrAT_PID,$B39,nrAT_Type,"Absent Partial Day"))</f>
        <v/>
      </c>
      <c r="X39" s="15">
        <f>IF($B39="","",COUNTIFS(nrAT_PID,$B39,nrAT_Type,"PT Missed"))</f>
        <v/>
      </c>
      <c r="Y39" s="15">
        <f>IF($B39="","",COUNTIFS(nrAT_PID,$B39,nrAT_Excused,"Excused"))</f>
        <v/>
      </c>
    </row>
    <row r="40">
      <c r="B40" s="15">
        <f>IF(Cadets!$B40="","",Cadets!$B40)</f>
        <v/>
      </c>
      <c r="C40" s="15">
        <f>IF($B40="","",Cadets!$F40)</f>
        <v/>
      </c>
      <c r="D40" s="15">
        <f>IF($B40="","",Cadets!$I40)</f>
        <v/>
      </c>
      <c r="E40" s="15">
        <f>IF($B40="","",SUMIFS(nrAT_Min,nrAT_PID,$B40,nrAT_Counts,"Yes",nrAT_IsPT,"No"))</f>
        <v/>
      </c>
      <c r="F40" s="15">
        <f>IF($B40="","",SUMIFS(nrMK_Min,nrMK_PID,$B40,nrMK_Credit,"Yes",nrMK_Type,"Classroom"))</f>
        <v/>
      </c>
      <c r="G40" s="15">
        <f>IF($B40="","",MAX(0,$E40-$F40))</f>
        <v/>
      </c>
      <c r="H40" s="15">
        <f>IF($B40="","",cfgClassroomCapMinutes)</f>
        <v/>
      </c>
      <c r="I40" s="15">
        <f>IF($B40="","",IF($H40=0,0,$G40/$H40))</f>
        <v/>
      </c>
      <c r="J40" s="15">
        <f>IF($B40="","",IF($I40&gt;=1,"At Cap",IF($I40&gt;=cfgAttendanceCriticalPct,"Critical",IF($I40&gt;=cfgAttendanceAdvisoryPct,"Advisory","OK"))))</f>
        <v/>
      </c>
      <c r="K40" s="15">
        <f>IF($B40="","",IF($H40=0,"Yes",IF($G40&lt;$H40,"Yes","No")))</f>
        <v/>
      </c>
      <c r="L40" s="15">
        <f>IF($B40="","",MAX(0,$E40-$F40))</f>
        <v/>
      </c>
      <c r="M40" s="15">
        <f>IF($B40="","",SUMIFS(nrAT_Sess,nrAT_PID,$B40,nrAT_Counts,"Yes",nrAT_IsPT,"Yes"))</f>
        <v/>
      </c>
      <c r="N40" s="15">
        <f>IF($B40="","",SUMIFS(nrMK_Sess,nrMK_PID,$B40,nrMK_Credit,"Yes",nrMK_Type,"PT"))</f>
        <v/>
      </c>
      <c r="O40" s="15">
        <f>IF($B40="","",MAX(0,$M40-$N40))</f>
        <v/>
      </c>
      <c r="P40" s="15">
        <f>IF($B40="","",cfgPTCapSessions)</f>
        <v/>
      </c>
      <c r="Q40" s="15">
        <f>IF($B40="","",IF($P40=0,0,$O40/$P40))</f>
        <v/>
      </c>
      <c r="R40" s="15">
        <f>IF($B40="","",IF($Q40&gt;=1,"At Cap",IF($Q40&gt;=cfgAttendanceCriticalPct,"Critical",IF($Q40&gt;=cfgAttendanceAdvisoryPct,"Advisory","OK"))))</f>
        <v/>
      </c>
      <c r="S40" s="15">
        <f>IF($B40="","",IF($P40=0,"Yes",IF($O40&lt;$P40,"Yes","No")))</f>
        <v/>
      </c>
      <c r="T40" s="15">
        <f>IF($B40="","",IF($L40=0,"Yes","No"))</f>
        <v/>
      </c>
      <c r="U40" s="15">
        <f>IF($B40="","",COUNTIFS(nrAT_PID,$B40,nrAT_Type,"Tardy"))</f>
        <v/>
      </c>
      <c r="V40" s="15">
        <f>IF($B40="","",COUNTIFS(nrAT_PID,$B40,nrAT_Type,"Absent Full Day"))</f>
        <v/>
      </c>
      <c r="W40" s="15">
        <f>IF($B40="","",COUNTIFS(nrAT_PID,$B40,nrAT_Type,"Absent Partial Day"))</f>
        <v/>
      </c>
      <c r="X40" s="15">
        <f>IF($B40="","",COUNTIFS(nrAT_PID,$B40,nrAT_Type,"PT Missed"))</f>
        <v/>
      </c>
      <c r="Y40" s="15">
        <f>IF($B40="","",COUNTIFS(nrAT_PID,$B40,nrAT_Excused,"Excused"))</f>
        <v/>
      </c>
    </row>
    <row r="41">
      <c r="B41" s="15">
        <f>IF(Cadets!$B41="","",Cadets!$B41)</f>
        <v/>
      </c>
      <c r="C41" s="15">
        <f>IF($B41="","",Cadets!$F41)</f>
        <v/>
      </c>
      <c r="D41" s="15">
        <f>IF($B41="","",Cadets!$I41)</f>
        <v/>
      </c>
      <c r="E41" s="15">
        <f>IF($B41="","",SUMIFS(nrAT_Min,nrAT_PID,$B41,nrAT_Counts,"Yes",nrAT_IsPT,"No"))</f>
        <v/>
      </c>
      <c r="F41" s="15">
        <f>IF($B41="","",SUMIFS(nrMK_Min,nrMK_PID,$B41,nrMK_Credit,"Yes",nrMK_Type,"Classroom"))</f>
        <v/>
      </c>
      <c r="G41" s="15">
        <f>IF($B41="","",MAX(0,$E41-$F41))</f>
        <v/>
      </c>
      <c r="H41" s="15">
        <f>IF($B41="","",cfgClassroomCapMinutes)</f>
        <v/>
      </c>
      <c r="I41" s="15">
        <f>IF($B41="","",IF($H41=0,0,$G41/$H41))</f>
        <v/>
      </c>
      <c r="J41" s="15">
        <f>IF($B41="","",IF($I41&gt;=1,"At Cap",IF($I41&gt;=cfgAttendanceCriticalPct,"Critical",IF($I41&gt;=cfgAttendanceAdvisoryPct,"Advisory","OK"))))</f>
        <v/>
      </c>
      <c r="K41" s="15">
        <f>IF($B41="","",IF($H41=0,"Yes",IF($G41&lt;$H41,"Yes","No")))</f>
        <v/>
      </c>
      <c r="L41" s="15">
        <f>IF($B41="","",MAX(0,$E41-$F41))</f>
        <v/>
      </c>
      <c r="M41" s="15">
        <f>IF($B41="","",SUMIFS(nrAT_Sess,nrAT_PID,$B41,nrAT_Counts,"Yes",nrAT_IsPT,"Yes"))</f>
        <v/>
      </c>
      <c r="N41" s="15">
        <f>IF($B41="","",SUMIFS(nrMK_Sess,nrMK_PID,$B41,nrMK_Credit,"Yes",nrMK_Type,"PT"))</f>
        <v/>
      </c>
      <c r="O41" s="15">
        <f>IF($B41="","",MAX(0,$M41-$N41))</f>
        <v/>
      </c>
      <c r="P41" s="15">
        <f>IF($B41="","",cfgPTCapSessions)</f>
        <v/>
      </c>
      <c r="Q41" s="15">
        <f>IF($B41="","",IF($P41=0,0,$O41/$P41))</f>
        <v/>
      </c>
      <c r="R41" s="15">
        <f>IF($B41="","",IF($Q41&gt;=1,"At Cap",IF($Q41&gt;=cfgAttendanceCriticalPct,"Critical",IF($Q41&gt;=cfgAttendanceAdvisoryPct,"Advisory","OK"))))</f>
        <v/>
      </c>
      <c r="S41" s="15">
        <f>IF($B41="","",IF($P41=0,"Yes",IF($O41&lt;$P41,"Yes","No")))</f>
        <v/>
      </c>
      <c r="T41" s="15">
        <f>IF($B41="","",IF($L41=0,"Yes","No"))</f>
        <v/>
      </c>
      <c r="U41" s="15">
        <f>IF($B41="","",COUNTIFS(nrAT_PID,$B41,nrAT_Type,"Tardy"))</f>
        <v/>
      </c>
      <c r="V41" s="15">
        <f>IF($B41="","",COUNTIFS(nrAT_PID,$B41,nrAT_Type,"Absent Full Day"))</f>
        <v/>
      </c>
      <c r="W41" s="15">
        <f>IF($B41="","",COUNTIFS(nrAT_PID,$B41,nrAT_Type,"Absent Partial Day"))</f>
        <v/>
      </c>
      <c r="X41" s="15">
        <f>IF($B41="","",COUNTIFS(nrAT_PID,$B41,nrAT_Type,"PT Missed"))</f>
        <v/>
      </c>
      <c r="Y41" s="15">
        <f>IF($B41="","",COUNTIFS(nrAT_PID,$B41,nrAT_Excused,"Excused"))</f>
        <v/>
      </c>
    </row>
    <row r="42">
      <c r="B42" s="15">
        <f>IF(Cadets!$B42="","",Cadets!$B42)</f>
        <v/>
      </c>
      <c r="C42" s="15">
        <f>IF($B42="","",Cadets!$F42)</f>
        <v/>
      </c>
      <c r="D42" s="15">
        <f>IF($B42="","",Cadets!$I42)</f>
        <v/>
      </c>
      <c r="E42" s="15">
        <f>IF($B42="","",SUMIFS(nrAT_Min,nrAT_PID,$B42,nrAT_Counts,"Yes",nrAT_IsPT,"No"))</f>
        <v/>
      </c>
      <c r="F42" s="15">
        <f>IF($B42="","",SUMIFS(nrMK_Min,nrMK_PID,$B42,nrMK_Credit,"Yes",nrMK_Type,"Classroom"))</f>
        <v/>
      </c>
      <c r="G42" s="15">
        <f>IF($B42="","",MAX(0,$E42-$F42))</f>
        <v/>
      </c>
      <c r="H42" s="15">
        <f>IF($B42="","",cfgClassroomCapMinutes)</f>
        <v/>
      </c>
      <c r="I42" s="15">
        <f>IF($B42="","",IF($H42=0,0,$G42/$H42))</f>
        <v/>
      </c>
      <c r="J42" s="15">
        <f>IF($B42="","",IF($I42&gt;=1,"At Cap",IF($I42&gt;=cfgAttendanceCriticalPct,"Critical",IF($I42&gt;=cfgAttendanceAdvisoryPct,"Advisory","OK"))))</f>
        <v/>
      </c>
      <c r="K42" s="15">
        <f>IF($B42="","",IF($H42=0,"Yes",IF($G42&lt;$H42,"Yes","No")))</f>
        <v/>
      </c>
      <c r="L42" s="15">
        <f>IF($B42="","",MAX(0,$E42-$F42))</f>
        <v/>
      </c>
      <c r="M42" s="15">
        <f>IF($B42="","",SUMIFS(nrAT_Sess,nrAT_PID,$B42,nrAT_Counts,"Yes",nrAT_IsPT,"Yes"))</f>
        <v/>
      </c>
      <c r="N42" s="15">
        <f>IF($B42="","",SUMIFS(nrMK_Sess,nrMK_PID,$B42,nrMK_Credit,"Yes",nrMK_Type,"PT"))</f>
        <v/>
      </c>
      <c r="O42" s="15">
        <f>IF($B42="","",MAX(0,$M42-$N42))</f>
        <v/>
      </c>
      <c r="P42" s="15">
        <f>IF($B42="","",cfgPTCapSessions)</f>
        <v/>
      </c>
      <c r="Q42" s="15">
        <f>IF($B42="","",IF($P42=0,0,$O42/$P42))</f>
        <v/>
      </c>
      <c r="R42" s="15">
        <f>IF($B42="","",IF($Q42&gt;=1,"At Cap",IF($Q42&gt;=cfgAttendanceCriticalPct,"Critical",IF($Q42&gt;=cfgAttendanceAdvisoryPct,"Advisory","OK"))))</f>
        <v/>
      </c>
      <c r="S42" s="15">
        <f>IF($B42="","",IF($P42=0,"Yes",IF($O42&lt;$P42,"Yes","No")))</f>
        <v/>
      </c>
      <c r="T42" s="15">
        <f>IF($B42="","",IF($L42=0,"Yes","No"))</f>
        <v/>
      </c>
      <c r="U42" s="15">
        <f>IF($B42="","",COUNTIFS(nrAT_PID,$B42,nrAT_Type,"Tardy"))</f>
        <v/>
      </c>
      <c r="V42" s="15">
        <f>IF($B42="","",COUNTIFS(nrAT_PID,$B42,nrAT_Type,"Absent Full Day"))</f>
        <v/>
      </c>
      <c r="W42" s="15">
        <f>IF($B42="","",COUNTIFS(nrAT_PID,$B42,nrAT_Type,"Absent Partial Day"))</f>
        <v/>
      </c>
      <c r="X42" s="15">
        <f>IF($B42="","",COUNTIFS(nrAT_PID,$B42,nrAT_Type,"PT Missed"))</f>
        <v/>
      </c>
      <c r="Y42" s="15">
        <f>IF($B42="","",COUNTIFS(nrAT_PID,$B42,nrAT_Excused,"Excused"))</f>
        <v/>
      </c>
    </row>
    <row r="43">
      <c r="B43" s="15">
        <f>IF(Cadets!$B43="","",Cadets!$B43)</f>
        <v/>
      </c>
      <c r="C43" s="15">
        <f>IF($B43="","",Cadets!$F43)</f>
        <v/>
      </c>
      <c r="D43" s="15">
        <f>IF($B43="","",Cadets!$I43)</f>
        <v/>
      </c>
      <c r="E43" s="15">
        <f>IF($B43="","",SUMIFS(nrAT_Min,nrAT_PID,$B43,nrAT_Counts,"Yes",nrAT_IsPT,"No"))</f>
        <v/>
      </c>
      <c r="F43" s="15">
        <f>IF($B43="","",SUMIFS(nrMK_Min,nrMK_PID,$B43,nrMK_Credit,"Yes",nrMK_Type,"Classroom"))</f>
        <v/>
      </c>
      <c r="G43" s="15">
        <f>IF($B43="","",MAX(0,$E43-$F43))</f>
        <v/>
      </c>
      <c r="H43" s="15">
        <f>IF($B43="","",cfgClassroomCapMinutes)</f>
        <v/>
      </c>
      <c r="I43" s="15">
        <f>IF($B43="","",IF($H43=0,0,$G43/$H43))</f>
        <v/>
      </c>
      <c r="J43" s="15">
        <f>IF($B43="","",IF($I43&gt;=1,"At Cap",IF($I43&gt;=cfgAttendanceCriticalPct,"Critical",IF($I43&gt;=cfgAttendanceAdvisoryPct,"Advisory","OK"))))</f>
        <v/>
      </c>
      <c r="K43" s="15">
        <f>IF($B43="","",IF($H43=0,"Yes",IF($G43&lt;$H43,"Yes","No")))</f>
        <v/>
      </c>
      <c r="L43" s="15">
        <f>IF($B43="","",MAX(0,$E43-$F43))</f>
        <v/>
      </c>
      <c r="M43" s="15">
        <f>IF($B43="","",SUMIFS(nrAT_Sess,nrAT_PID,$B43,nrAT_Counts,"Yes",nrAT_IsPT,"Yes"))</f>
        <v/>
      </c>
      <c r="N43" s="15">
        <f>IF($B43="","",SUMIFS(nrMK_Sess,nrMK_PID,$B43,nrMK_Credit,"Yes",nrMK_Type,"PT"))</f>
        <v/>
      </c>
      <c r="O43" s="15">
        <f>IF($B43="","",MAX(0,$M43-$N43))</f>
        <v/>
      </c>
      <c r="P43" s="15">
        <f>IF($B43="","",cfgPTCapSessions)</f>
        <v/>
      </c>
      <c r="Q43" s="15">
        <f>IF($B43="","",IF($P43=0,0,$O43/$P43))</f>
        <v/>
      </c>
      <c r="R43" s="15">
        <f>IF($B43="","",IF($Q43&gt;=1,"At Cap",IF($Q43&gt;=cfgAttendanceCriticalPct,"Critical",IF($Q43&gt;=cfgAttendanceAdvisoryPct,"Advisory","OK"))))</f>
        <v/>
      </c>
      <c r="S43" s="15">
        <f>IF($B43="","",IF($P43=0,"Yes",IF($O43&lt;$P43,"Yes","No")))</f>
        <v/>
      </c>
      <c r="T43" s="15">
        <f>IF($B43="","",IF($L43=0,"Yes","No"))</f>
        <v/>
      </c>
      <c r="U43" s="15">
        <f>IF($B43="","",COUNTIFS(nrAT_PID,$B43,nrAT_Type,"Tardy"))</f>
        <v/>
      </c>
      <c r="V43" s="15">
        <f>IF($B43="","",COUNTIFS(nrAT_PID,$B43,nrAT_Type,"Absent Full Day"))</f>
        <v/>
      </c>
      <c r="W43" s="15">
        <f>IF($B43="","",COUNTIFS(nrAT_PID,$B43,nrAT_Type,"Absent Partial Day"))</f>
        <v/>
      </c>
      <c r="X43" s="15">
        <f>IF($B43="","",COUNTIFS(nrAT_PID,$B43,nrAT_Type,"PT Missed"))</f>
        <v/>
      </c>
      <c r="Y43" s="15">
        <f>IF($B43="","",COUNTIFS(nrAT_PID,$B43,nrAT_Excused,"Excused"))</f>
        <v/>
      </c>
    </row>
    <row r="44">
      <c r="B44" s="15">
        <f>IF(Cadets!$B44="","",Cadets!$B44)</f>
        <v/>
      </c>
      <c r="C44" s="15">
        <f>IF($B44="","",Cadets!$F44)</f>
        <v/>
      </c>
      <c r="D44" s="15">
        <f>IF($B44="","",Cadets!$I44)</f>
        <v/>
      </c>
      <c r="E44" s="15">
        <f>IF($B44="","",SUMIFS(nrAT_Min,nrAT_PID,$B44,nrAT_Counts,"Yes",nrAT_IsPT,"No"))</f>
        <v/>
      </c>
      <c r="F44" s="15">
        <f>IF($B44="","",SUMIFS(nrMK_Min,nrMK_PID,$B44,nrMK_Credit,"Yes",nrMK_Type,"Classroom"))</f>
        <v/>
      </c>
      <c r="G44" s="15">
        <f>IF($B44="","",MAX(0,$E44-$F44))</f>
        <v/>
      </c>
      <c r="H44" s="15">
        <f>IF($B44="","",cfgClassroomCapMinutes)</f>
        <v/>
      </c>
      <c r="I44" s="15">
        <f>IF($B44="","",IF($H44=0,0,$G44/$H44))</f>
        <v/>
      </c>
      <c r="J44" s="15">
        <f>IF($B44="","",IF($I44&gt;=1,"At Cap",IF($I44&gt;=cfgAttendanceCriticalPct,"Critical",IF($I44&gt;=cfgAttendanceAdvisoryPct,"Advisory","OK"))))</f>
        <v/>
      </c>
      <c r="K44" s="15">
        <f>IF($B44="","",IF($H44=0,"Yes",IF($G44&lt;$H44,"Yes","No")))</f>
        <v/>
      </c>
      <c r="L44" s="15">
        <f>IF($B44="","",MAX(0,$E44-$F44))</f>
        <v/>
      </c>
      <c r="M44" s="15">
        <f>IF($B44="","",SUMIFS(nrAT_Sess,nrAT_PID,$B44,nrAT_Counts,"Yes",nrAT_IsPT,"Yes"))</f>
        <v/>
      </c>
      <c r="N44" s="15">
        <f>IF($B44="","",SUMIFS(nrMK_Sess,nrMK_PID,$B44,nrMK_Credit,"Yes",nrMK_Type,"PT"))</f>
        <v/>
      </c>
      <c r="O44" s="15">
        <f>IF($B44="","",MAX(0,$M44-$N44))</f>
        <v/>
      </c>
      <c r="P44" s="15">
        <f>IF($B44="","",cfgPTCapSessions)</f>
        <v/>
      </c>
      <c r="Q44" s="15">
        <f>IF($B44="","",IF($P44=0,0,$O44/$P44))</f>
        <v/>
      </c>
      <c r="R44" s="15">
        <f>IF($B44="","",IF($Q44&gt;=1,"At Cap",IF($Q44&gt;=cfgAttendanceCriticalPct,"Critical",IF($Q44&gt;=cfgAttendanceAdvisoryPct,"Advisory","OK"))))</f>
        <v/>
      </c>
      <c r="S44" s="15">
        <f>IF($B44="","",IF($P44=0,"Yes",IF($O44&lt;$P44,"Yes","No")))</f>
        <v/>
      </c>
      <c r="T44" s="15">
        <f>IF($B44="","",IF($L44=0,"Yes","No"))</f>
        <v/>
      </c>
      <c r="U44" s="15">
        <f>IF($B44="","",COUNTIFS(nrAT_PID,$B44,nrAT_Type,"Tardy"))</f>
        <v/>
      </c>
      <c r="V44" s="15">
        <f>IF($B44="","",COUNTIFS(nrAT_PID,$B44,nrAT_Type,"Absent Full Day"))</f>
        <v/>
      </c>
      <c r="W44" s="15">
        <f>IF($B44="","",COUNTIFS(nrAT_PID,$B44,nrAT_Type,"Absent Partial Day"))</f>
        <v/>
      </c>
      <c r="X44" s="15">
        <f>IF($B44="","",COUNTIFS(nrAT_PID,$B44,nrAT_Type,"PT Missed"))</f>
        <v/>
      </c>
      <c r="Y44" s="15">
        <f>IF($B44="","",COUNTIFS(nrAT_PID,$B44,nrAT_Excused,"Excused"))</f>
        <v/>
      </c>
    </row>
    <row r="45">
      <c r="B45" s="15">
        <f>IF(Cadets!$B45="","",Cadets!$B45)</f>
        <v/>
      </c>
      <c r="C45" s="15">
        <f>IF($B45="","",Cadets!$F45)</f>
        <v/>
      </c>
      <c r="D45" s="15">
        <f>IF($B45="","",Cadets!$I45)</f>
        <v/>
      </c>
      <c r="E45" s="15">
        <f>IF($B45="","",SUMIFS(nrAT_Min,nrAT_PID,$B45,nrAT_Counts,"Yes",nrAT_IsPT,"No"))</f>
        <v/>
      </c>
      <c r="F45" s="15">
        <f>IF($B45="","",SUMIFS(nrMK_Min,nrMK_PID,$B45,nrMK_Credit,"Yes",nrMK_Type,"Classroom"))</f>
        <v/>
      </c>
      <c r="G45" s="15">
        <f>IF($B45="","",MAX(0,$E45-$F45))</f>
        <v/>
      </c>
      <c r="H45" s="15">
        <f>IF($B45="","",cfgClassroomCapMinutes)</f>
        <v/>
      </c>
      <c r="I45" s="15">
        <f>IF($B45="","",IF($H45=0,0,$G45/$H45))</f>
        <v/>
      </c>
      <c r="J45" s="15">
        <f>IF($B45="","",IF($I45&gt;=1,"At Cap",IF($I45&gt;=cfgAttendanceCriticalPct,"Critical",IF($I45&gt;=cfgAttendanceAdvisoryPct,"Advisory","OK"))))</f>
        <v/>
      </c>
      <c r="K45" s="15">
        <f>IF($B45="","",IF($H45=0,"Yes",IF($G45&lt;$H45,"Yes","No")))</f>
        <v/>
      </c>
      <c r="L45" s="15">
        <f>IF($B45="","",MAX(0,$E45-$F45))</f>
        <v/>
      </c>
      <c r="M45" s="15">
        <f>IF($B45="","",SUMIFS(nrAT_Sess,nrAT_PID,$B45,nrAT_Counts,"Yes",nrAT_IsPT,"Yes"))</f>
        <v/>
      </c>
      <c r="N45" s="15">
        <f>IF($B45="","",SUMIFS(nrMK_Sess,nrMK_PID,$B45,nrMK_Credit,"Yes",nrMK_Type,"PT"))</f>
        <v/>
      </c>
      <c r="O45" s="15">
        <f>IF($B45="","",MAX(0,$M45-$N45))</f>
        <v/>
      </c>
      <c r="P45" s="15">
        <f>IF($B45="","",cfgPTCapSessions)</f>
        <v/>
      </c>
      <c r="Q45" s="15">
        <f>IF($B45="","",IF($P45=0,0,$O45/$P45))</f>
        <v/>
      </c>
      <c r="R45" s="15">
        <f>IF($B45="","",IF($Q45&gt;=1,"At Cap",IF($Q45&gt;=cfgAttendanceCriticalPct,"Critical",IF($Q45&gt;=cfgAttendanceAdvisoryPct,"Advisory","OK"))))</f>
        <v/>
      </c>
      <c r="S45" s="15">
        <f>IF($B45="","",IF($P45=0,"Yes",IF($O45&lt;$P45,"Yes","No")))</f>
        <v/>
      </c>
      <c r="T45" s="15">
        <f>IF($B45="","",IF($L45=0,"Yes","No"))</f>
        <v/>
      </c>
      <c r="U45" s="15">
        <f>IF($B45="","",COUNTIFS(nrAT_PID,$B45,nrAT_Type,"Tardy"))</f>
        <v/>
      </c>
      <c r="V45" s="15">
        <f>IF($B45="","",COUNTIFS(nrAT_PID,$B45,nrAT_Type,"Absent Full Day"))</f>
        <v/>
      </c>
      <c r="W45" s="15">
        <f>IF($B45="","",COUNTIFS(nrAT_PID,$B45,nrAT_Type,"Absent Partial Day"))</f>
        <v/>
      </c>
      <c r="X45" s="15">
        <f>IF($B45="","",COUNTIFS(nrAT_PID,$B45,nrAT_Type,"PT Missed"))</f>
        <v/>
      </c>
      <c r="Y45" s="15">
        <f>IF($B45="","",COUNTIFS(nrAT_PID,$B45,nrAT_Excused,"Excused"))</f>
        <v/>
      </c>
    </row>
    <row r="46">
      <c r="B46" s="15">
        <f>IF(Cadets!$B46="","",Cadets!$B46)</f>
        <v/>
      </c>
      <c r="C46" s="15">
        <f>IF($B46="","",Cadets!$F46)</f>
        <v/>
      </c>
      <c r="D46" s="15">
        <f>IF($B46="","",Cadets!$I46)</f>
        <v/>
      </c>
      <c r="E46" s="15">
        <f>IF($B46="","",SUMIFS(nrAT_Min,nrAT_PID,$B46,nrAT_Counts,"Yes",nrAT_IsPT,"No"))</f>
        <v/>
      </c>
      <c r="F46" s="15">
        <f>IF($B46="","",SUMIFS(nrMK_Min,nrMK_PID,$B46,nrMK_Credit,"Yes",nrMK_Type,"Classroom"))</f>
        <v/>
      </c>
      <c r="G46" s="15">
        <f>IF($B46="","",MAX(0,$E46-$F46))</f>
        <v/>
      </c>
      <c r="H46" s="15">
        <f>IF($B46="","",cfgClassroomCapMinutes)</f>
        <v/>
      </c>
      <c r="I46" s="15">
        <f>IF($B46="","",IF($H46=0,0,$G46/$H46))</f>
        <v/>
      </c>
      <c r="J46" s="15">
        <f>IF($B46="","",IF($I46&gt;=1,"At Cap",IF($I46&gt;=cfgAttendanceCriticalPct,"Critical",IF($I46&gt;=cfgAttendanceAdvisoryPct,"Advisory","OK"))))</f>
        <v/>
      </c>
      <c r="K46" s="15">
        <f>IF($B46="","",IF($H46=0,"Yes",IF($G46&lt;$H46,"Yes","No")))</f>
        <v/>
      </c>
      <c r="L46" s="15">
        <f>IF($B46="","",MAX(0,$E46-$F46))</f>
        <v/>
      </c>
      <c r="M46" s="15">
        <f>IF($B46="","",SUMIFS(nrAT_Sess,nrAT_PID,$B46,nrAT_Counts,"Yes",nrAT_IsPT,"Yes"))</f>
        <v/>
      </c>
      <c r="N46" s="15">
        <f>IF($B46="","",SUMIFS(nrMK_Sess,nrMK_PID,$B46,nrMK_Credit,"Yes",nrMK_Type,"PT"))</f>
        <v/>
      </c>
      <c r="O46" s="15">
        <f>IF($B46="","",MAX(0,$M46-$N46))</f>
        <v/>
      </c>
      <c r="P46" s="15">
        <f>IF($B46="","",cfgPTCapSessions)</f>
        <v/>
      </c>
      <c r="Q46" s="15">
        <f>IF($B46="","",IF($P46=0,0,$O46/$P46))</f>
        <v/>
      </c>
      <c r="R46" s="15">
        <f>IF($B46="","",IF($Q46&gt;=1,"At Cap",IF($Q46&gt;=cfgAttendanceCriticalPct,"Critical",IF($Q46&gt;=cfgAttendanceAdvisoryPct,"Advisory","OK"))))</f>
        <v/>
      </c>
      <c r="S46" s="15">
        <f>IF($B46="","",IF($P46=0,"Yes",IF($O46&lt;$P46,"Yes","No")))</f>
        <v/>
      </c>
      <c r="T46" s="15">
        <f>IF($B46="","",IF($L46=0,"Yes","No"))</f>
        <v/>
      </c>
      <c r="U46" s="15">
        <f>IF($B46="","",COUNTIFS(nrAT_PID,$B46,nrAT_Type,"Tardy"))</f>
        <v/>
      </c>
      <c r="V46" s="15">
        <f>IF($B46="","",COUNTIFS(nrAT_PID,$B46,nrAT_Type,"Absent Full Day"))</f>
        <v/>
      </c>
      <c r="W46" s="15">
        <f>IF($B46="","",COUNTIFS(nrAT_PID,$B46,nrAT_Type,"Absent Partial Day"))</f>
        <v/>
      </c>
      <c r="X46" s="15">
        <f>IF($B46="","",COUNTIFS(nrAT_PID,$B46,nrAT_Type,"PT Missed"))</f>
        <v/>
      </c>
      <c r="Y46" s="15">
        <f>IF($B46="","",COUNTIFS(nrAT_PID,$B46,nrAT_Excused,"Excused"))</f>
        <v/>
      </c>
    </row>
    <row r="47">
      <c r="B47" s="15">
        <f>IF(Cadets!$B47="","",Cadets!$B47)</f>
        <v/>
      </c>
      <c r="C47" s="15">
        <f>IF($B47="","",Cadets!$F47)</f>
        <v/>
      </c>
      <c r="D47" s="15">
        <f>IF($B47="","",Cadets!$I47)</f>
        <v/>
      </c>
      <c r="E47" s="15">
        <f>IF($B47="","",SUMIFS(nrAT_Min,nrAT_PID,$B47,nrAT_Counts,"Yes",nrAT_IsPT,"No"))</f>
        <v/>
      </c>
      <c r="F47" s="15">
        <f>IF($B47="","",SUMIFS(nrMK_Min,nrMK_PID,$B47,nrMK_Credit,"Yes",nrMK_Type,"Classroom"))</f>
        <v/>
      </c>
      <c r="G47" s="15">
        <f>IF($B47="","",MAX(0,$E47-$F47))</f>
        <v/>
      </c>
      <c r="H47" s="15">
        <f>IF($B47="","",cfgClassroomCapMinutes)</f>
        <v/>
      </c>
      <c r="I47" s="15">
        <f>IF($B47="","",IF($H47=0,0,$G47/$H47))</f>
        <v/>
      </c>
      <c r="J47" s="15">
        <f>IF($B47="","",IF($I47&gt;=1,"At Cap",IF($I47&gt;=cfgAttendanceCriticalPct,"Critical",IF($I47&gt;=cfgAttendanceAdvisoryPct,"Advisory","OK"))))</f>
        <v/>
      </c>
      <c r="K47" s="15">
        <f>IF($B47="","",IF($H47=0,"Yes",IF($G47&lt;$H47,"Yes","No")))</f>
        <v/>
      </c>
      <c r="L47" s="15">
        <f>IF($B47="","",MAX(0,$E47-$F47))</f>
        <v/>
      </c>
      <c r="M47" s="15">
        <f>IF($B47="","",SUMIFS(nrAT_Sess,nrAT_PID,$B47,nrAT_Counts,"Yes",nrAT_IsPT,"Yes"))</f>
        <v/>
      </c>
      <c r="N47" s="15">
        <f>IF($B47="","",SUMIFS(nrMK_Sess,nrMK_PID,$B47,nrMK_Credit,"Yes",nrMK_Type,"PT"))</f>
        <v/>
      </c>
      <c r="O47" s="15">
        <f>IF($B47="","",MAX(0,$M47-$N47))</f>
        <v/>
      </c>
      <c r="P47" s="15">
        <f>IF($B47="","",cfgPTCapSessions)</f>
        <v/>
      </c>
      <c r="Q47" s="15">
        <f>IF($B47="","",IF($P47=0,0,$O47/$P47))</f>
        <v/>
      </c>
      <c r="R47" s="15">
        <f>IF($B47="","",IF($Q47&gt;=1,"At Cap",IF($Q47&gt;=cfgAttendanceCriticalPct,"Critical",IF($Q47&gt;=cfgAttendanceAdvisoryPct,"Advisory","OK"))))</f>
        <v/>
      </c>
      <c r="S47" s="15">
        <f>IF($B47="","",IF($P47=0,"Yes",IF($O47&lt;$P47,"Yes","No")))</f>
        <v/>
      </c>
      <c r="T47" s="15">
        <f>IF($B47="","",IF($L47=0,"Yes","No"))</f>
        <v/>
      </c>
      <c r="U47" s="15">
        <f>IF($B47="","",COUNTIFS(nrAT_PID,$B47,nrAT_Type,"Tardy"))</f>
        <v/>
      </c>
      <c r="V47" s="15">
        <f>IF($B47="","",COUNTIFS(nrAT_PID,$B47,nrAT_Type,"Absent Full Day"))</f>
        <v/>
      </c>
      <c r="W47" s="15">
        <f>IF($B47="","",COUNTIFS(nrAT_PID,$B47,nrAT_Type,"Absent Partial Day"))</f>
        <v/>
      </c>
      <c r="X47" s="15">
        <f>IF($B47="","",COUNTIFS(nrAT_PID,$B47,nrAT_Type,"PT Missed"))</f>
        <v/>
      </c>
      <c r="Y47" s="15">
        <f>IF($B47="","",COUNTIFS(nrAT_PID,$B47,nrAT_Excused,"Excused"))</f>
        <v/>
      </c>
    </row>
    <row r="48">
      <c r="B48" s="15">
        <f>IF(Cadets!$B48="","",Cadets!$B48)</f>
        <v/>
      </c>
      <c r="C48" s="15">
        <f>IF($B48="","",Cadets!$F48)</f>
        <v/>
      </c>
      <c r="D48" s="15">
        <f>IF($B48="","",Cadets!$I48)</f>
        <v/>
      </c>
      <c r="E48" s="15">
        <f>IF($B48="","",SUMIFS(nrAT_Min,nrAT_PID,$B48,nrAT_Counts,"Yes",nrAT_IsPT,"No"))</f>
        <v/>
      </c>
      <c r="F48" s="15">
        <f>IF($B48="","",SUMIFS(nrMK_Min,nrMK_PID,$B48,nrMK_Credit,"Yes",nrMK_Type,"Classroom"))</f>
        <v/>
      </c>
      <c r="G48" s="15">
        <f>IF($B48="","",MAX(0,$E48-$F48))</f>
        <v/>
      </c>
      <c r="H48" s="15">
        <f>IF($B48="","",cfgClassroomCapMinutes)</f>
        <v/>
      </c>
      <c r="I48" s="15">
        <f>IF($B48="","",IF($H48=0,0,$G48/$H48))</f>
        <v/>
      </c>
      <c r="J48" s="15">
        <f>IF($B48="","",IF($I48&gt;=1,"At Cap",IF($I48&gt;=cfgAttendanceCriticalPct,"Critical",IF($I48&gt;=cfgAttendanceAdvisoryPct,"Advisory","OK"))))</f>
        <v/>
      </c>
      <c r="K48" s="15">
        <f>IF($B48="","",IF($H48=0,"Yes",IF($G48&lt;$H48,"Yes","No")))</f>
        <v/>
      </c>
      <c r="L48" s="15">
        <f>IF($B48="","",MAX(0,$E48-$F48))</f>
        <v/>
      </c>
      <c r="M48" s="15">
        <f>IF($B48="","",SUMIFS(nrAT_Sess,nrAT_PID,$B48,nrAT_Counts,"Yes",nrAT_IsPT,"Yes"))</f>
        <v/>
      </c>
      <c r="N48" s="15">
        <f>IF($B48="","",SUMIFS(nrMK_Sess,nrMK_PID,$B48,nrMK_Credit,"Yes",nrMK_Type,"PT"))</f>
        <v/>
      </c>
      <c r="O48" s="15">
        <f>IF($B48="","",MAX(0,$M48-$N48))</f>
        <v/>
      </c>
      <c r="P48" s="15">
        <f>IF($B48="","",cfgPTCapSessions)</f>
        <v/>
      </c>
      <c r="Q48" s="15">
        <f>IF($B48="","",IF($P48=0,0,$O48/$P48))</f>
        <v/>
      </c>
      <c r="R48" s="15">
        <f>IF($B48="","",IF($Q48&gt;=1,"At Cap",IF($Q48&gt;=cfgAttendanceCriticalPct,"Critical",IF($Q48&gt;=cfgAttendanceAdvisoryPct,"Advisory","OK"))))</f>
        <v/>
      </c>
      <c r="S48" s="15">
        <f>IF($B48="","",IF($P48=0,"Yes",IF($O48&lt;$P48,"Yes","No")))</f>
        <v/>
      </c>
      <c r="T48" s="15">
        <f>IF($B48="","",IF($L48=0,"Yes","No"))</f>
        <v/>
      </c>
      <c r="U48" s="15">
        <f>IF($B48="","",COUNTIFS(nrAT_PID,$B48,nrAT_Type,"Tardy"))</f>
        <v/>
      </c>
      <c r="V48" s="15">
        <f>IF($B48="","",COUNTIFS(nrAT_PID,$B48,nrAT_Type,"Absent Full Day"))</f>
        <v/>
      </c>
      <c r="W48" s="15">
        <f>IF($B48="","",COUNTIFS(nrAT_PID,$B48,nrAT_Type,"Absent Partial Day"))</f>
        <v/>
      </c>
      <c r="X48" s="15">
        <f>IF($B48="","",COUNTIFS(nrAT_PID,$B48,nrAT_Type,"PT Missed"))</f>
        <v/>
      </c>
      <c r="Y48" s="15">
        <f>IF($B48="","",COUNTIFS(nrAT_PID,$B48,nrAT_Excused,"Excused"))</f>
        <v/>
      </c>
    </row>
    <row r="49">
      <c r="B49" s="15">
        <f>IF(Cadets!$B49="","",Cadets!$B49)</f>
        <v/>
      </c>
      <c r="C49" s="15">
        <f>IF($B49="","",Cadets!$F49)</f>
        <v/>
      </c>
      <c r="D49" s="15">
        <f>IF($B49="","",Cadets!$I49)</f>
        <v/>
      </c>
      <c r="E49" s="15">
        <f>IF($B49="","",SUMIFS(nrAT_Min,nrAT_PID,$B49,nrAT_Counts,"Yes",nrAT_IsPT,"No"))</f>
        <v/>
      </c>
      <c r="F49" s="15">
        <f>IF($B49="","",SUMIFS(nrMK_Min,nrMK_PID,$B49,nrMK_Credit,"Yes",nrMK_Type,"Classroom"))</f>
        <v/>
      </c>
      <c r="G49" s="15">
        <f>IF($B49="","",MAX(0,$E49-$F49))</f>
        <v/>
      </c>
      <c r="H49" s="15">
        <f>IF($B49="","",cfgClassroomCapMinutes)</f>
        <v/>
      </c>
      <c r="I49" s="15">
        <f>IF($B49="","",IF($H49=0,0,$G49/$H49))</f>
        <v/>
      </c>
      <c r="J49" s="15">
        <f>IF($B49="","",IF($I49&gt;=1,"At Cap",IF($I49&gt;=cfgAttendanceCriticalPct,"Critical",IF($I49&gt;=cfgAttendanceAdvisoryPct,"Advisory","OK"))))</f>
        <v/>
      </c>
      <c r="K49" s="15">
        <f>IF($B49="","",IF($H49=0,"Yes",IF($G49&lt;$H49,"Yes","No")))</f>
        <v/>
      </c>
      <c r="L49" s="15">
        <f>IF($B49="","",MAX(0,$E49-$F49))</f>
        <v/>
      </c>
      <c r="M49" s="15">
        <f>IF($B49="","",SUMIFS(nrAT_Sess,nrAT_PID,$B49,nrAT_Counts,"Yes",nrAT_IsPT,"Yes"))</f>
        <v/>
      </c>
      <c r="N49" s="15">
        <f>IF($B49="","",SUMIFS(nrMK_Sess,nrMK_PID,$B49,nrMK_Credit,"Yes",nrMK_Type,"PT"))</f>
        <v/>
      </c>
      <c r="O49" s="15">
        <f>IF($B49="","",MAX(0,$M49-$N49))</f>
        <v/>
      </c>
      <c r="P49" s="15">
        <f>IF($B49="","",cfgPTCapSessions)</f>
        <v/>
      </c>
      <c r="Q49" s="15">
        <f>IF($B49="","",IF($P49=0,0,$O49/$P49))</f>
        <v/>
      </c>
      <c r="R49" s="15">
        <f>IF($B49="","",IF($Q49&gt;=1,"At Cap",IF($Q49&gt;=cfgAttendanceCriticalPct,"Critical",IF($Q49&gt;=cfgAttendanceAdvisoryPct,"Advisory","OK"))))</f>
        <v/>
      </c>
      <c r="S49" s="15">
        <f>IF($B49="","",IF($P49=0,"Yes",IF($O49&lt;$P49,"Yes","No")))</f>
        <v/>
      </c>
      <c r="T49" s="15">
        <f>IF($B49="","",IF($L49=0,"Yes","No"))</f>
        <v/>
      </c>
      <c r="U49" s="15">
        <f>IF($B49="","",COUNTIFS(nrAT_PID,$B49,nrAT_Type,"Tardy"))</f>
        <v/>
      </c>
      <c r="V49" s="15">
        <f>IF($B49="","",COUNTIFS(nrAT_PID,$B49,nrAT_Type,"Absent Full Day"))</f>
        <v/>
      </c>
      <c r="W49" s="15">
        <f>IF($B49="","",COUNTIFS(nrAT_PID,$B49,nrAT_Type,"Absent Partial Day"))</f>
        <v/>
      </c>
      <c r="X49" s="15">
        <f>IF($B49="","",COUNTIFS(nrAT_PID,$B49,nrAT_Type,"PT Missed"))</f>
        <v/>
      </c>
      <c r="Y49" s="15">
        <f>IF($B49="","",COUNTIFS(nrAT_PID,$B49,nrAT_Excused,"Excused"))</f>
        <v/>
      </c>
    </row>
    <row r="50">
      <c r="B50" s="15">
        <f>IF(Cadets!$B50="","",Cadets!$B50)</f>
        <v/>
      </c>
      <c r="C50" s="15">
        <f>IF($B50="","",Cadets!$F50)</f>
        <v/>
      </c>
      <c r="D50" s="15">
        <f>IF($B50="","",Cadets!$I50)</f>
        <v/>
      </c>
      <c r="E50" s="15">
        <f>IF($B50="","",SUMIFS(nrAT_Min,nrAT_PID,$B50,nrAT_Counts,"Yes",nrAT_IsPT,"No"))</f>
        <v/>
      </c>
      <c r="F50" s="15">
        <f>IF($B50="","",SUMIFS(nrMK_Min,nrMK_PID,$B50,nrMK_Credit,"Yes",nrMK_Type,"Classroom"))</f>
        <v/>
      </c>
      <c r="G50" s="15">
        <f>IF($B50="","",MAX(0,$E50-$F50))</f>
        <v/>
      </c>
      <c r="H50" s="15">
        <f>IF($B50="","",cfgClassroomCapMinutes)</f>
        <v/>
      </c>
      <c r="I50" s="15">
        <f>IF($B50="","",IF($H50=0,0,$G50/$H50))</f>
        <v/>
      </c>
      <c r="J50" s="15">
        <f>IF($B50="","",IF($I50&gt;=1,"At Cap",IF($I50&gt;=cfgAttendanceCriticalPct,"Critical",IF($I50&gt;=cfgAttendanceAdvisoryPct,"Advisory","OK"))))</f>
        <v/>
      </c>
      <c r="K50" s="15">
        <f>IF($B50="","",IF($H50=0,"Yes",IF($G50&lt;$H50,"Yes","No")))</f>
        <v/>
      </c>
      <c r="L50" s="15">
        <f>IF($B50="","",MAX(0,$E50-$F50))</f>
        <v/>
      </c>
      <c r="M50" s="15">
        <f>IF($B50="","",SUMIFS(nrAT_Sess,nrAT_PID,$B50,nrAT_Counts,"Yes",nrAT_IsPT,"Yes"))</f>
        <v/>
      </c>
      <c r="N50" s="15">
        <f>IF($B50="","",SUMIFS(nrMK_Sess,nrMK_PID,$B50,nrMK_Credit,"Yes",nrMK_Type,"PT"))</f>
        <v/>
      </c>
      <c r="O50" s="15">
        <f>IF($B50="","",MAX(0,$M50-$N50))</f>
        <v/>
      </c>
      <c r="P50" s="15">
        <f>IF($B50="","",cfgPTCapSessions)</f>
        <v/>
      </c>
      <c r="Q50" s="15">
        <f>IF($B50="","",IF($P50=0,0,$O50/$P50))</f>
        <v/>
      </c>
      <c r="R50" s="15">
        <f>IF($B50="","",IF($Q50&gt;=1,"At Cap",IF($Q50&gt;=cfgAttendanceCriticalPct,"Critical",IF($Q50&gt;=cfgAttendanceAdvisoryPct,"Advisory","OK"))))</f>
        <v/>
      </c>
      <c r="S50" s="15">
        <f>IF($B50="","",IF($P50=0,"Yes",IF($O50&lt;$P50,"Yes","No")))</f>
        <v/>
      </c>
      <c r="T50" s="15">
        <f>IF($B50="","",IF($L50=0,"Yes","No"))</f>
        <v/>
      </c>
      <c r="U50" s="15">
        <f>IF($B50="","",COUNTIFS(nrAT_PID,$B50,nrAT_Type,"Tardy"))</f>
        <v/>
      </c>
      <c r="V50" s="15">
        <f>IF($B50="","",COUNTIFS(nrAT_PID,$B50,nrAT_Type,"Absent Full Day"))</f>
        <v/>
      </c>
      <c r="W50" s="15">
        <f>IF($B50="","",COUNTIFS(nrAT_PID,$B50,nrAT_Type,"Absent Partial Day"))</f>
        <v/>
      </c>
      <c r="X50" s="15">
        <f>IF($B50="","",COUNTIFS(nrAT_PID,$B50,nrAT_Type,"PT Missed"))</f>
        <v/>
      </c>
      <c r="Y50" s="15">
        <f>IF($B50="","",COUNTIFS(nrAT_PID,$B50,nrAT_Excused,"Excused"))</f>
        <v/>
      </c>
    </row>
    <row r="51">
      <c r="B51" s="15">
        <f>IF(Cadets!$B51="","",Cadets!$B51)</f>
        <v/>
      </c>
      <c r="C51" s="15">
        <f>IF($B51="","",Cadets!$F51)</f>
        <v/>
      </c>
      <c r="D51" s="15">
        <f>IF($B51="","",Cadets!$I51)</f>
        <v/>
      </c>
      <c r="E51" s="15">
        <f>IF($B51="","",SUMIFS(nrAT_Min,nrAT_PID,$B51,nrAT_Counts,"Yes",nrAT_IsPT,"No"))</f>
        <v/>
      </c>
      <c r="F51" s="15">
        <f>IF($B51="","",SUMIFS(nrMK_Min,nrMK_PID,$B51,nrMK_Credit,"Yes",nrMK_Type,"Classroom"))</f>
        <v/>
      </c>
      <c r="G51" s="15">
        <f>IF($B51="","",MAX(0,$E51-$F51))</f>
        <v/>
      </c>
      <c r="H51" s="15">
        <f>IF($B51="","",cfgClassroomCapMinutes)</f>
        <v/>
      </c>
      <c r="I51" s="15">
        <f>IF($B51="","",IF($H51=0,0,$G51/$H51))</f>
        <v/>
      </c>
      <c r="J51" s="15">
        <f>IF($B51="","",IF($I51&gt;=1,"At Cap",IF($I51&gt;=cfgAttendanceCriticalPct,"Critical",IF($I51&gt;=cfgAttendanceAdvisoryPct,"Advisory","OK"))))</f>
        <v/>
      </c>
      <c r="K51" s="15">
        <f>IF($B51="","",IF($H51=0,"Yes",IF($G51&lt;$H51,"Yes","No")))</f>
        <v/>
      </c>
      <c r="L51" s="15">
        <f>IF($B51="","",MAX(0,$E51-$F51))</f>
        <v/>
      </c>
      <c r="M51" s="15">
        <f>IF($B51="","",SUMIFS(nrAT_Sess,nrAT_PID,$B51,nrAT_Counts,"Yes",nrAT_IsPT,"Yes"))</f>
        <v/>
      </c>
      <c r="N51" s="15">
        <f>IF($B51="","",SUMIFS(nrMK_Sess,nrMK_PID,$B51,nrMK_Credit,"Yes",nrMK_Type,"PT"))</f>
        <v/>
      </c>
      <c r="O51" s="15">
        <f>IF($B51="","",MAX(0,$M51-$N51))</f>
        <v/>
      </c>
      <c r="P51" s="15">
        <f>IF($B51="","",cfgPTCapSessions)</f>
        <v/>
      </c>
      <c r="Q51" s="15">
        <f>IF($B51="","",IF($P51=0,0,$O51/$P51))</f>
        <v/>
      </c>
      <c r="R51" s="15">
        <f>IF($B51="","",IF($Q51&gt;=1,"At Cap",IF($Q51&gt;=cfgAttendanceCriticalPct,"Critical",IF($Q51&gt;=cfgAttendanceAdvisoryPct,"Advisory","OK"))))</f>
        <v/>
      </c>
      <c r="S51" s="15">
        <f>IF($B51="","",IF($P51=0,"Yes",IF($O51&lt;$P51,"Yes","No")))</f>
        <v/>
      </c>
      <c r="T51" s="15">
        <f>IF($B51="","",IF($L51=0,"Yes","No"))</f>
        <v/>
      </c>
      <c r="U51" s="15">
        <f>IF($B51="","",COUNTIFS(nrAT_PID,$B51,nrAT_Type,"Tardy"))</f>
        <v/>
      </c>
      <c r="V51" s="15">
        <f>IF($B51="","",COUNTIFS(nrAT_PID,$B51,nrAT_Type,"Absent Full Day"))</f>
        <v/>
      </c>
      <c r="W51" s="15">
        <f>IF($B51="","",COUNTIFS(nrAT_PID,$B51,nrAT_Type,"Absent Partial Day"))</f>
        <v/>
      </c>
      <c r="X51" s="15">
        <f>IF($B51="","",COUNTIFS(nrAT_PID,$B51,nrAT_Type,"PT Missed"))</f>
        <v/>
      </c>
      <c r="Y51" s="15">
        <f>IF($B51="","",COUNTIFS(nrAT_PID,$B51,nrAT_Excused,"Excused"))</f>
        <v/>
      </c>
    </row>
    <row r="52">
      <c r="B52" s="15">
        <f>IF(Cadets!$B52="","",Cadets!$B52)</f>
        <v/>
      </c>
      <c r="C52" s="15">
        <f>IF($B52="","",Cadets!$F52)</f>
        <v/>
      </c>
      <c r="D52" s="15">
        <f>IF($B52="","",Cadets!$I52)</f>
        <v/>
      </c>
      <c r="E52" s="15">
        <f>IF($B52="","",SUMIFS(nrAT_Min,nrAT_PID,$B52,nrAT_Counts,"Yes",nrAT_IsPT,"No"))</f>
        <v/>
      </c>
      <c r="F52" s="15">
        <f>IF($B52="","",SUMIFS(nrMK_Min,nrMK_PID,$B52,nrMK_Credit,"Yes",nrMK_Type,"Classroom"))</f>
        <v/>
      </c>
      <c r="G52" s="15">
        <f>IF($B52="","",MAX(0,$E52-$F52))</f>
        <v/>
      </c>
      <c r="H52" s="15">
        <f>IF($B52="","",cfgClassroomCapMinutes)</f>
        <v/>
      </c>
      <c r="I52" s="15">
        <f>IF($B52="","",IF($H52=0,0,$G52/$H52))</f>
        <v/>
      </c>
      <c r="J52" s="15">
        <f>IF($B52="","",IF($I52&gt;=1,"At Cap",IF($I52&gt;=cfgAttendanceCriticalPct,"Critical",IF($I52&gt;=cfgAttendanceAdvisoryPct,"Advisory","OK"))))</f>
        <v/>
      </c>
      <c r="K52" s="15">
        <f>IF($B52="","",IF($H52=0,"Yes",IF($G52&lt;$H52,"Yes","No")))</f>
        <v/>
      </c>
      <c r="L52" s="15">
        <f>IF($B52="","",MAX(0,$E52-$F52))</f>
        <v/>
      </c>
      <c r="M52" s="15">
        <f>IF($B52="","",SUMIFS(nrAT_Sess,nrAT_PID,$B52,nrAT_Counts,"Yes",nrAT_IsPT,"Yes"))</f>
        <v/>
      </c>
      <c r="N52" s="15">
        <f>IF($B52="","",SUMIFS(nrMK_Sess,nrMK_PID,$B52,nrMK_Credit,"Yes",nrMK_Type,"PT"))</f>
        <v/>
      </c>
      <c r="O52" s="15">
        <f>IF($B52="","",MAX(0,$M52-$N52))</f>
        <v/>
      </c>
      <c r="P52" s="15">
        <f>IF($B52="","",cfgPTCapSessions)</f>
        <v/>
      </c>
      <c r="Q52" s="15">
        <f>IF($B52="","",IF($P52=0,0,$O52/$P52))</f>
        <v/>
      </c>
      <c r="R52" s="15">
        <f>IF($B52="","",IF($Q52&gt;=1,"At Cap",IF($Q52&gt;=cfgAttendanceCriticalPct,"Critical",IF($Q52&gt;=cfgAttendanceAdvisoryPct,"Advisory","OK"))))</f>
        <v/>
      </c>
      <c r="S52" s="15">
        <f>IF($B52="","",IF($P52=0,"Yes",IF($O52&lt;$P52,"Yes","No")))</f>
        <v/>
      </c>
      <c r="T52" s="15">
        <f>IF($B52="","",IF($L52=0,"Yes","No"))</f>
        <v/>
      </c>
      <c r="U52" s="15">
        <f>IF($B52="","",COUNTIFS(nrAT_PID,$B52,nrAT_Type,"Tardy"))</f>
        <v/>
      </c>
      <c r="V52" s="15">
        <f>IF($B52="","",COUNTIFS(nrAT_PID,$B52,nrAT_Type,"Absent Full Day"))</f>
        <v/>
      </c>
      <c r="W52" s="15">
        <f>IF($B52="","",COUNTIFS(nrAT_PID,$B52,nrAT_Type,"Absent Partial Day"))</f>
        <v/>
      </c>
      <c r="X52" s="15">
        <f>IF($B52="","",COUNTIFS(nrAT_PID,$B52,nrAT_Type,"PT Missed"))</f>
        <v/>
      </c>
      <c r="Y52" s="15">
        <f>IF($B52="","",COUNTIFS(nrAT_PID,$B52,nrAT_Excused,"Excused"))</f>
        <v/>
      </c>
    </row>
    <row r="53">
      <c r="B53" s="15">
        <f>IF(Cadets!$B53="","",Cadets!$B53)</f>
        <v/>
      </c>
      <c r="C53" s="15">
        <f>IF($B53="","",Cadets!$F53)</f>
        <v/>
      </c>
      <c r="D53" s="15">
        <f>IF($B53="","",Cadets!$I53)</f>
        <v/>
      </c>
      <c r="E53" s="15">
        <f>IF($B53="","",SUMIFS(nrAT_Min,nrAT_PID,$B53,nrAT_Counts,"Yes",nrAT_IsPT,"No"))</f>
        <v/>
      </c>
      <c r="F53" s="15">
        <f>IF($B53="","",SUMIFS(nrMK_Min,nrMK_PID,$B53,nrMK_Credit,"Yes",nrMK_Type,"Classroom"))</f>
        <v/>
      </c>
      <c r="G53" s="15">
        <f>IF($B53="","",MAX(0,$E53-$F53))</f>
        <v/>
      </c>
      <c r="H53" s="15">
        <f>IF($B53="","",cfgClassroomCapMinutes)</f>
        <v/>
      </c>
      <c r="I53" s="15">
        <f>IF($B53="","",IF($H53=0,0,$G53/$H53))</f>
        <v/>
      </c>
      <c r="J53" s="15">
        <f>IF($B53="","",IF($I53&gt;=1,"At Cap",IF($I53&gt;=cfgAttendanceCriticalPct,"Critical",IF($I53&gt;=cfgAttendanceAdvisoryPct,"Advisory","OK"))))</f>
        <v/>
      </c>
      <c r="K53" s="15">
        <f>IF($B53="","",IF($H53=0,"Yes",IF($G53&lt;$H53,"Yes","No")))</f>
        <v/>
      </c>
      <c r="L53" s="15">
        <f>IF($B53="","",MAX(0,$E53-$F53))</f>
        <v/>
      </c>
      <c r="M53" s="15">
        <f>IF($B53="","",SUMIFS(nrAT_Sess,nrAT_PID,$B53,nrAT_Counts,"Yes",nrAT_IsPT,"Yes"))</f>
        <v/>
      </c>
      <c r="N53" s="15">
        <f>IF($B53="","",SUMIFS(nrMK_Sess,nrMK_PID,$B53,nrMK_Credit,"Yes",nrMK_Type,"PT"))</f>
        <v/>
      </c>
      <c r="O53" s="15">
        <f>IF($B53="","",MAX(0,$M53-$N53))</f>
        <v/>
      </c>
      <c r="P53" s="15">
        <f>IF($B53="","",cfgPTCapSessions)</f>
        <v/>
      </c>
      <c r="Q53" s="15">
        <f>IF($B53="","",IF($P53=0,0,$O53/$P53))</f>
        <v/>
      </c>
      <c r="R53" s="15">
        <f>IF($B53="","",IF($Q53&gt;=1,"At Cap",IF($Q53&gt;=cfgAttendanceCriticalPct,"Critical",IF($Q53&gt;=cfgAttendanceAdvisoryPct,"Advisory","OK"))))</f>
        <v/>
      </c>
      <c r="S53" s="15">
        <f>IF($B53="","",IF($P53=0,"Yes",IF($O53&lt;$P53,"Yes","No")))</f>
        <v/>
      </c>
      <c r="T53" s="15">
        <f>IF($B53="","",IF($L53=0,"Yes","No"))</f>
        <v/>
      </c>
      <c r="U53" s="15">
        <f>IF($B53="","",COUNTIFS(nrAT_PID,$B53,nrAT_Type,"Tardy"))</f>
        <v/>
      </c>
      <c r="V53" s="15">
        <f>IF($B53="","",COUNTIFS(nrAT_PID,$B53,nrAT_Type,"Absent Full Day"))</f>
        <v/>
      </c>
      <c r="W53" s="15">
        <f>IF($B53="","",COUNTIFS(nrAT_PID,$B53,nrAT_Type,"Absent Partial Day"))</f>
        <v/>
      </c>
      <c r="X53" s="15">
        <f>IF($B53="","",COUNTIFS(nrAT_PID,$B53,nrAT_Type,"PT Missed"))</f>
        <v/>
      </c>
      <c r="Y53" s="15">
        <f>IF($B53="","",COUNTIFS(nrAT_PID,$B53,nrAT_Excused,"Excused"))</f>
        <v/>
      </c>
    </row>
    <row r="54">
      <c r="B54" s="15">
        <f>IF(Cadets!$B54="","",Cadets!$B54)</f>
        <v/>
      </c>
      <c r="C54" s="15">
        <f>IF($B54="","",Cadets!$F54)</f>
        <v/>
      </c>
      <c r="D54" s="15">
        <f>IF($B54="","",Cadets!$I54)</f>
        <v/>
      </c>
      <c r="E54" s="15">
        <f>IF($B54="","",SUMIFS(nrAT_Min,nrAT_PID,$B54,nrAT_Counts,"Yes",nrAT_IsPT,"No"))</f>
        <v/>
      </c>
      <c r="F54" s="15">
        <f>IF($B54="","",SUMIFS(nrMK_Min,nrMK_PID,$B54,nrMK_Credit,"Yes",nrMK_Type,"Classroom"))</f>
        <v/>
      </c>
      <c r="G54" s="15">
        <f>IF($B54="","",MAX(0,$E54-$F54))</f>
        <v/>
      </c>
      <c r="H54" s="15">
        <f>IF($B54="","",cfgClassroomCapMinutes)</f>
        <v/>
      </c>
      <c r="I54" s="15">
        <f>IF($B54="","",IF($H54=0,0,$G54/$H54))</f>
        <v/>
      </c>
      <c r="J54" s="15">
        <f>IF($B54="","",IF($I54&gt;=1,"At Cap",IF($I54&gt;=cfgAttendanceCriticalPct,"Critical",IF($I54&gt;=cfgAttendanceAdvisoryPct,"Advisory","OK"))))</f>
        <v/>
      </c>
      <c r="K54" s="15">
        <f>IF($B54="","",IF($H54=0,"Yes",IF($G54&lt;$H54,"Yes","No")))</f>
        <v/>
      </c>
      <c r="L54" s="15">
        <f>IF($B54="","",MAX(0,$E54-$F54))</f>
        <v/>
      </c>
      <c r="M54" s="15">
        <f>IF($B54="","",SUMIFS(nrAT_Sess,nrAT_PID,$B54,nrAT_Counts,"Yes",nrAT_IsPT,"Yes"))</f>
        <v/>
      </c>
      <c r="N54" s="15">
        <f>IF($B54="","",SUMIFS(nrMK_Sess,nrMK_PID,$B54,nrMK_Credit,"Yes",nrMK_Type,"PT"))</f>
        <v/>
      </c>
      <c r="O54" s="15">
        <f>IF($B54="","",MAX(0,$M54-$N54))</f>
        <v/>
      </c>
      <c r="P54" s="15">
        <f>IF($B54="","",cfgPTCapSessions)</f>
        <v/>
      </c>
      <c r="Q54" s="15">
        <f>IF($B54="","",IF($P54=0,0,$O54/$P54))</f>
        <v/>
      </c>
      <c r="R54" s="15">
        <f>IF($B54="","",IF($Q54&gt;=1,"At Cap",IF($Q54&gt;=cfgAttendanceCriticalPct,"Critical",IF($Q54&gt;=cfgAttendanceAdvisoryPct,"Advisory","OK"))))</f>
        <v/>
      </c>
      <c r="S54" s="15">
        <f>IF($B54="","",IF($P54=0,"Yes",IF($O54&lt;$P54,"Yes","No")))</f>
        <v/>
      </c>
      <c r="T54" s="15">
        <f>IF($B54="","",IF($L54=0,"Yes","No"))</f>
        <v/>
      </c>
      <c r="U54" s="15">
        <f>IF($B54="","",COUNTIFS(nrAT_PID,$B54,nrAT_Type,"Tardy"))</f>
        <v/>
      </c>
      <c r="V54" s="15">
        <f>IF($B54="","",COUNTIFS(nrAT_PID,$B54,nrAT_Type,"Absent Full Day"))</f>
        <v/>
      </c>
      <c r="W54" s="15">
        <f>IF($B54="","",COUNTIFS(nrAT_PID,$B54,nrAT_Type,"Absent Partial Day"))</f>
        <v/>
      </c>
      <c r="X54" s="15">
        <f>IF($B54="","",COUNTIFS(nrAT_PID,$B54,nrAT_Type,"PT Missed"))</f>
        <v/>
      </c>
      <c r="Y54" s="15">
        <f>IF($B54="","",COUNTIFS(nrAT_PID,$B54,nrAT_Excused,"Excused"))</f>
        <v/>
      </c>
    </row>
    <row r="55">
      <c r="B55" s="15">
        <f>IF(Cadets!$B55="","",Cadets!$B55)</f>
        <v/>
      </c>
      <c r="C55" s="15">
        <f>IF($B55="","",Cadets!$F55)</f>
        <v/>
      </c>
      <c r="D55" s="15">
        <f>IF($B55="","",Cadets!$I55)</f>
        <v/>
      </c>
      <c r="E55" s="15">
        <f>IF($B55="","",SUMIFS(nrAT_Min,nrAT_PID,$B55,nrAT_Counts,"Yes",nrAT_IsPT,"No"))</f>
        <v/>
      </c>
      <c r="F55" s="15">
        <f>IF($B55="","",SUMIFS(nrMK_Min,nrMK_PID,$B55,nrMK_Credit,"Yes",nrMK_Type,"Classroom"))</f>
        <v/>
      </c>
      <c r="G55" s="15">
        <f>IF($B55="","",MAX(0,$E55-$F55))</f>
        <v/>
      </c>
      <c r="H55" s="15">
        <f>IF($B55="","",cfgClassroomCapMinutes)</f>
        <v/>
      </c>
      <c r="I55" s="15">
        <f>IF($B55="","",IF($H55=0,0,$G55/$H55))</f>
        <v/>
      </c>
      <c r="J55" s="15">
        <f>IF($B55="","",IF($I55&gt;=1,"At Cap",IF($I55&gt;=cfgAttendanceCriticalPct,"Critical",IF($I55&gt;=cfgAttendanceAdvisoryPct,"Advisory","OK"))))</f>
        <v/>
      </c>
      <c r="K55" s="15">
        <f>IF($B55="","",IF($H55=0,"Yes",IF($G55&lt;$H55,"Yes","No")))</f>
        <v/>
      </c>
      <c r="L55" s="15">
        <f>IF($B55="","",MAX(0,$E55-$F55))</f>
        <v/>
      </c>
      <c r="M55" s="15">
        <f>IF($B55="","",SUMIFS(nrAT_Sess,nrAT_PID,$B55,nrAT_Counts,"Yes",nrAT_IsPT,"Yes"))</f>
        <v/>
      </c>
      <c r="N55" s="15">
        <f>IF($B55="","",SUMIFS(nrMK_Sess,nrMK_PID,$B55,nrMK_Credit,"Yes",nrMK_Type,"PT"))</f>
        <v/>
      </c>
      <c r="O55" s="15">
        <f>IF($B55="","",MAX(0,$M55-$N55))</f>
        <v/>
      </c>
      <c r="P55" s="15">
        <f>IF($B55="","",cfgPTCapSessions)</f>
        <v/>
      </c>
      <c r="Q55" s="15">
        <f>IF($B55="","",IF($P55=0,0,$O55/$P55))</f>
        <v/>
      </c>
      <c r="R55" s="15">
        <f>IF($B55="","",IF($Q55&gt;=1,"At Cap",IF($Q55&gt;=cfgAttendanceCriticalPct,"Critical",IF($Q55&gt;=cfgAttendanceAdvisoryPct,"Advisory","OK"))))</f>
        <v/>
      </c>
      <c r="S55" s="15">
        <f>IF($B55="","",IF($P55=0,"Yes",IF($O55&lt;$P55,"Yes","No")))</f>
        <v/>
      </c>
      <c r="T55" s="15">
        <f>IF($B55="","",IF($L55=0,"Yes","No"))</f>
        <v/>
      </c>
      <c r="U55" s="15">
        <f>IF($B55="","",COUNTIFS(nrAT_PID,$B55,nrAT_Type,"Tardy"))</f>
        <v/>
      </c>
      <c r="V55" s="15">
        <f>IF($B55="","",COUNTIFS(nrAT_PID,$B55,nrAT_Type,"Absent Full Day"))</f>
        <v/>
      </c>
      <c r="W55" s="15">
        <f>IF($B55="","",COUNTIFS(nrAT_PID,$B55,nrAT_Type,"Absent Partial Day"))</f>
        <v/>
      </c>
      <c r="X55" s="15">
        <f>IF($B55="","",COUNTIFS(nrAT_PID,$B55,nrAT_Type,"PT Missed"))</f>
        <v/>
      </c>
      <c r="Y55" s="15">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3.xml><?xml version="1.0" encoding="utf-8"?>
<worksheet xmlns="http://schemas.openxmlformats.org/spreadsheetml/2006/main">
  <sheetPr>
    <tabColor rgb="00808080"/>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Column letters I/J intentionally match V5.4 cross-refs (sysGrades reads sysSkills!$I / $J-style flags). Locked.</t>
        </is>
      </c>
    </row>
    <row r="5" ht="26" customHeight="1">
      <c r="B5" s="9" t="inlineStr">
        <is>
          <t>PID</t>
        </is>
      </c>
      <c r="C5" s="9" t="inlineStr">
        <is>
          <t>Cadet Name</t>
        </is>
      </c>
      <c r="D5" s="9" t="inlineStr">
        <is>
          <t>Status</t>
        </is>
      </c>
      <c r="E5" s="9" t="inlineStr">
        <is>
          <t>Categories Attempted</t>
        </is>
      </c>
      <c r="F5" s="9" t="inlineStr">
        <is>
          <t>Qualified</t>
        </is>
      </c>
      <c r="G5" s="9" t="inlineStr">
        <is>
          <t>Needs Remediation</t>
        </is>
      </c>
      <c r="H5" s="9" t="inlineStr">
        <is>
          <t>Pending</t>
        </is>
      </c>
      <c r="I5" s="9" t="inlineStr">
        <is>
          <t>Failed Out Cats</t>
        </is>
      </c>
      <c r="J5" s="9" t="inlineStr">
        <is>
          <t>FailedOut?</t>
        </is>
      </c>
      <c r="K5" s="9" t="inlineStr">
        <is>
          <t>Skills Elig</t>
        </is>
      </c>
      <c r="L5" s="9" t="inlineStr">
        <is>
          <t>Firearms Avg</t>
        </is>
      </c>
      <c r="M5" s="9" t="inlineStr">
        <is>
          <t>Firearms Best</t>
        </is>
      </c>
    </row>
    <row r="6">
      <c r="B6" s="15">
        <f>IF(Cadets!$B6="","",Cadets!$B6)</f>
        <v/>
      </c>
      <c r="C6" s="15">
        <f>IF($B6="","",Cadets!$F6)</f>
        <v/>
      </c>
      <c r="D6" s="15">
        <f>IF($B6="","",Cadets!$I6)</f>
        <v/>
      </c>
      <c r="E6" s="15">
        <f>IF($B6="","",SUMPRODUCT((rngSM_cat&lt;&gt;"")*(COUNTIFS(nrSK_PID,$B6,nrSK_Cat,rngSM_cat)&gt;0)))</f>
        <v/>
      </c>
      <c r="F6" s="15">
        <f>IF($B6="","",SUMPRODUCT((rngSM_cat&lt;&gt;"")*(COUNTIFS(nrSK_PID,$B6,nrSK_Cat,rngSM_cat,nrSK_Status,"Qualified")&gt;0)))</f>
        <v/>
      </c>
      <c r="G6" s="15">
        <f>IF($B6="","",SUMPRODUCT((rngSM_cat&lt;&gt;"")*(COUNTIFS(nrSK_PID,$B6,nrSK_Cat,rngSM_cat,nrSK_Status,"Needs Remediation")&gt;0)))</f>
        <v/>
      </c>
      <c r="H6" s="15">
        <f>IF($B6="","",SUMPRODUCT((rngSM_cat&lt;&gt;"")*(COUNTIFS(nrSK_PID,$B6,nrSK_Cat,rngSM_cat,nrSK_Status,"Pending")&gt;0)))</f>
        <v/>
      </c>
      <c r="I6" s="15">
        <f>IF($B6="","",COUNTIFS(nrSK_PID,$B6,nrSK_Dis,"Yes"))</f>
        <v/>
      </c>
      <c r="J6" s="15">
        <f>IF($B6="","",IF($I6&gt;0,"Yes","No"))</f>
        <v/>
      </c>
      <c r="K6" s="15">
        <f>IF($B6="","",IF($J6="Yes","No",IF($G6&gt;0,"No","Yes")))</f>
        <v/>
      </c>
      <c r="L6" s="15">
        <f>IF($B6="","",IFERROR(ROUND(AVERAGEIFS(nrSK_Score,nrSK_PID,$B6,nrSK_Cat,"Firearms"),2),""))</f>
        <v/>
      </c>
      <c r="M6" s="15">
        <f>IF($B6="","",IFERROR(_xlfn.MAXIFS(nrSK_Score,nrSK_PID,$B6,nrSK_Cat,"Firearms"),""))</f>
        <v/>
      </c>
    </row>
    <row r="7">
      <c r="B7" s="15">
        <f>IF(Cadets!$B7="","",Cadets!$B7)</f>
        <v/>
      </c>
      <c r="C7" s="15">
        <f>IF($B7="","",Cadets!$F7)</f>
        <v/>
      </c>
      <c r="D7" s="15">
        <f>IF($B7="","",Cadets!$I7)</f>
        <v/>
      </c>
      <c r="E7" s="15">
        <f>IF($B7="","",SUMPRODUCT((rngSM_cat&lt;&gt;"")*(COUNTIFS(nrSK_PID,$B7,nrSK_Cat,rngSM_cat)&gt;0)))</f>
        <v/>
      </c>
      <c r="F7" s="15">
        <f>IF($B7="","",SUMPRODUCT((rngSM_cat&lt;&gt;"")*(COUNTIFS(nrSK_PID,$B7,nrSK_Cat,rngSM_cat,nrSK_Status,"Qualified")&gt;0)))</f>
        <v/>
      </c>
      <c r="G7" s="15">
        <f>IF($B7="","",SUMPRODUCT((rngSM_cat&lt;&gt;"")*(COUNTIFS(nrSK_PID,$B7,nrSK_Cat,rngSM_cat,nrSK_Status,"Needs Remediation")&gt;0)))</f>
        <v/>
      </c>
      <c r="H7" s="15">
        <f>IF($B7="","",SUMPRODUCT((rngSM_cat&lt;&gt;"")*(COUNTIFS(nrSK_PID,$B7,nrSK_Cat,rngSM_cat,nrSK_Status,"Pending")&gt;0)))</f>
        <v/>
      </c>
      <c r="I7" s="15">
        <f>IF($B7="","",COUNTIFS(nrSK_PID,$B7,nrSK_Dis,"Yes"))</f>
        <v/>
      </c>
      <c r="J7" s="15">
        <f>IF($B7="","",IF($I7&gt;0,"Yes","No"))</f>
        <v/>
      </c>
      <c r="K7" s="15">
        <f>IF($B7="","",IF($J7="Yes","No",IF($G7&gt;0,"No","Yes")))</f>
        <v/>
      </c>
      <c r="L7" s="15">
        <f>IF($B7="","",IFERROR(ROUND(AVERAGEIFS(nrSK_Score,nrSK_PID,$B7,nrSK_Cat,"Firearms"),2),""))</f>
        <v/>
      </c>
      <c r="M7" s="15">
        <f>IF($B7="","",IFERROR(_xlfn.MAXIFS(nrSK_Score,nrSK_PID,$B7,nrSK_Cat,"Firearms"),""))</f>
        <v/>
      </c>
    </row>
    <row r="8">
      <c r="B8" s="15">
        <f>IF(Cadets!$B8="","",Cadets!$B8)</f>
        <v/>
      </c>
      <c r="C8" s="15">
        <f>IF($B8="","",Cadets!$F8)</f>
        <v/>
      </c>
      <c r="D8" s="15">
        <f>IF($B8="","",Cadets!$I8)</f>
        <v/>
      </c>
      <c r="E8" s="15">
        <f>IF($B8="","",SUMPRODUCT((rngSM_cat&lt;&gt;"")*(COUNTIFS(nrSK_PID,$B8,nrSK_Cat,rngSM_cat)&gt;0)))</f>
        <v/>
      </c>
      <c r="F8" s="15">
        <f>IF($B8="","",SUMPRODUCT((rngSM_cat&lt;&gt;"")*(COUNTIFS(nrSK_PID,$B8,nrSK_Cat,rngSM_cat,nrSK_Status,"Qualified")&gt;0)))</f>
        <v/>
      </c>
      <c r="G8" s="15">
        <f>IF($B8="","",SUMPRODUCT((rngSM_cat&lt;&gt;"")*(COUNTIFS(nrSK_PID,$B8,nrSK_Cat,rngSM_cat,nrSK_Status,"Needs Remediation")&gt;0)))</f>
        <v/>
      </c>
      <c r="H8" s="15">
        <f>IF($B8="","",SUMPRODUCT((rngSM_cat&lt;&gt;"")*(COUNTIFS(nrSK_PID,$B8,nrSK_Cat,rngSM_cat,nrSK_Status,"Pending")&gt;0)))</f>
        <v/>
      </c>
      <c r="I8" s="15">
        <f>IF($B8="","",COUNTIFS(nrSK_PID,$B8,nrSK_Dis,"Yes"))</f>
        <v/>
      </c>
      <c r="J8" s="15">
        <f>IF($B8="","",IF($I8&gt;0,"Yes","No"))</f>
        <v/>
      </c>
      <c r="K8" s="15">
        <f>IF($B8="","",IF($J8="Yes","No",IF($G8&gt;0,"No","Yes")))</f>
        <v/>
      </c>
      <c r="L8" s="15">
        <f>IF($B8="","",IFERROR(ROUND(AVERAGEIFS(nrSK_Score,nrSK_PID,$B8,nrSK_Cat,"Firearms"),2),""))</f>
        <v/>
      </c>
      <c r="M8" s="15">
        <f>IF($B8="","",IFERROR(_xlfn.MAXIFS(nrSK_Score,nrSK_PID,$B8,nrSK_Cat,"Firearms"),""))</f>
        <v/>
      </c>
    </row>
    <row r="9">
      <c r="B9" s="15">
        <f>IF(Cadets!$B9="","",Cadets!$B9)</f>
        <v/>
      </c>
      <c r="C9" s="15">
        <f>IF($B9="","",Cadets!$F9)</f>
        <v/>
      </c>
      <c r="D9" s="15">
        <f>IF($B9="","",Cadets!$I9)</f>
        <v/>
      </c>
      <c r="E9" s="15">
        <f>IF($B9="","",SUMPRODUCT((rngSM_cat&lt;&gt;"")*(COUNTIFS(nrSK_PID,$B9,nrSK_Cat,rngSM_cat)&gt;0)))</f>
        <v/>
      </c>
      <c r="F9" s="15">
        <f>IF($B9="","",SUMPRODUCT((rngSM_cat&lt;&gt;"")*(COUNTIFS(nrSK_PID,$B9,nrSK_Cat,rngSM_cat,nrSK_Status,"Qualified")&gt;0)))</f>
        <v/>
      </c>
      <c r="G9" s="15">
        <f>IF($B9="","",SUMPRODUCT((rngSM_cat&lt;&gt;"")*(COUNTIFS(nrSK_PID,$B9,nrSK_Cat,rngSM_cat,nrSK_Status,"Needs Remediation")&gt;0)))</f>
        <v/>
      </c>
      <c r="H9" s="15">
        <f>IF($B9="","",SUMPRODUCT((rngSM_cat&lt;&gt;"")*(COUNTIFS(nrSK_PID,$B9,nrSK_Cat,rngSM_cat,nrSK_Status,"Pending")&gt;0)))</f>
        <v/>
      </c>
      <c r="I9" s="15">
        <f>IF($B9="","",COUNTIFS(nrSK_PID,$B9,nrSK_Dis,"Yes"))</f>
        <v/>
      </c>
      <c r="J9" s="15">
        <f>IF($B9="","",IF($I9&gt;0,"Yes","No"))</f>
        <v/>
      </c>
      <c r="K9" s="15">
        <f>IF($B9="","",IF($J9="Yes","No",IF($G9&gt;0,"No","Yes")))</f>
        <v/>
      </c>
      <c r="L9" s="15">
        <f>IF($B9="","",IFERROR(ROUND(AVERAGEIFS(nrSK_Score,nrSK_PID,$B9,nrSK_Cat,"Firearms"),2),""))</f>
        <v/>
      </c>
      <c r="M9" s="15">
        <f>IF($B9="","",IFERROR(_xlfn.MAXIFS(nrSK_Score,nrSK_PID,$B9,nrSK_Cat,"Firearms"),""))</f>
        <v/>
      </c>
    </row>
    <row r="10">
      <c r="B10" s="15">
        <f>IF(Cadets!$B10="","",Cadets!$B10)</f>
        <v/>
      </c>
      <c r="C10" s="15">
        <f>IF($B10="","",Cadets!$F10)</f>
        <v/>
      </c>
      <c r="D10" s="15">
        <f>IF($B10="","",Cadets!$I10)</f>
        <v/>
      </c>
      <c r="E10" s="15">
        <f>IF($B10="","",SUMPRODUCT((rngSM_cat&lt;&gt;"")*(COUNTIFS(nrSK_PID,$B10,nrSK_Cat,rngSM_cat)&gt;0)))</f>
        <v/>
      </c>
      <c r="F10" s="15">
        <f>IF($B10="","",SUMPRODUCT((rngSM_cat&lt;&gt;"")*(COUNTIFS(nrSK_PID,$B10,nrSK_Cat,rngSM_cat,nrSK_Status,"Qualified")&gt;0)))</f>
        <v/>
      </c>
      <c r="G10" s="15">
        <f>IF($B10="","",SUMPRODUCT((rngSM_cat&lt;&gt;"")*(COUNTIFS(nrSK_PID,$B10,nrSK_Cat,rngSM_cat,nrSK_Status,"Needs Remediation")&gt;0)))</f>
        <v/>
      </c>
      <c r="H10" s="15">
        <f>IF($B10="","",SUMPRODUCT((rngSM_cat&lt;&gt;"")*(COUNTIFS(nrSK_PID,$B10,nrSK_Cat,rngSM_cat,nrSK_Status,"Pending")&gt;0)))</f>
        <v/>
      </c>
      <c r="I10" s="15">
        <f>IF($B10="","",COUNTIFS(nrSK_PID,$B10,nrSK_Dis,"Yes"))</f>
        <v/>
      </c>
      <c r="J10" s="15">
        <f>IF($B10="","",IF($I10&gt;0,"Yes","No"))</f>
        <v/>
      </c>
      <c r="K10" s="15">
        <f>IF($B10="","",IF($J10="Yes","No",IF($G10&gt;0,"No","Yes")))</f>
        <v/>
      </c>
      <c r="L10" s="15">
        <f>IF($B10="","",IFERROR(ROUND(AVERAGEIFS(nrSK_Score,nrSK_PID,$B10,nrSK_Cat,"Firearms"),2),""))</f>
        <v/>
      </c>
      <c r="M10" s="15">
        <f>IF($B10="","",IFERROR(_xlfn.MAXIFS(nrSK_Score,nrSK_PID,$B10,nrSK_Cat,"Firearms"),""))</f>
        <v/>
      </c>
    </row>
    <row r="11">
      <c r="B11" s="15">
        <f>IF(Cadets!$B11="","",Cadets!$B11)</f>
        <v/>
      </c>
      <c r="C11" s="15">
        <f>IF($B11="","",Cadets!$F11)</f>
        <v/>
      </c>
      <c r="D11" s="15">
        <f>IF($B11="","",Cadets!$I11)</f>
        <v/>
      </c>
      <c r="E11" s="15">
        <f>IF($B11="","",SUMPRODUCT((rngSM_cat&lt;&gt;"")*(COUNTIFS(nrSK_PID,$B11,nrSK_Cat,rngSM_cat)&gt;0)))</f>
        <v/>
      </c>
      <c r="F11" s="15">
        <f>IF($B11="","",SUMPRODUCT((rngSM_cat&lt;&gt;"")*(COUNTIFS(nrSK_PID,$B11,nrSK_Cat,rngSM_cat,nrSK_Status,"Qualified")&gt;0)))</f>
        <v/>
      </c>
      <c r="G11" s="15">
        <f>IF($B11="","",SUMPRODUCT((rngSM_cat&lt;&gt;"")*(COUNTIFS(nrSK_PID,$B11,nrSK_Cat,rngSM_cat,nrSK_Status,"Needs Remediation")&gt;0)))</f>
        <v/>
      </c>
      <c r="H11" s="15">
        <f>IF($B11="","",SUMPRODUCT((rngSM_cat&lt;&gt;"")*(COUNTIFS(nrSK_PID,$B11,nrSK_Cat,rngSM_cat,nrSK_Status,"Pending")&gt;0)))</f>
        <v/>
      </c>
      <c r="I11" s="15">
        <f>IF($B11="","",COUNTIFS(nrSK_PID,$B11,nrSK_Dis,"Yes"))</f>
        <v/>
      </c>
      <c r="J11" s="15">
        <f>IF($B11="","",IF($I11&gt;0,"Yes","No"))</f>
        <v/>
      </c>
      <c r="K11" s="15">
        <f>IF($B11="","",IF($J11="Yes","No",IF($G11&gt;0,"No","Yes")))</f>
        <v/>
      </c>
      <c r="L11" s="15">
        <f>IF($B11="","",IFERROR(ROUND(AVERAGEIFS(nrSK_Score,nrSK_PID,$B11,nrSK_Cat,"Firearms"),2),""))</f>
        <v/>
      </c>
      <c r="M11" s="15">
        <f>IF($B11="","",IFERROR(_xlfn.MAXIFS(nrSK_Score,nrSK_PID,$B11,nrSK_Cat,"Firearms"),""))</f>
        <v/>
      </c>
    </row>
    <row r="12">
      <c r="B12" s="15">
        <f>IF(Cadets!$B12="","",Cadets!$B12)</f>
        <v/>
      </c>
      <c r="C12" s="15">
        <f>IF($B12="","",Cadets!$F12)</f>
        <v/>
      </c>
      <c r="D12" s="15">
        <f>IF($B12="","",Cadets!$I12)</f>
        <v/>
      </c>
      <c r="E12" s="15">
        <f>IF($B12="","",SUMPRODUCT((rngSM_cat&lt;&gt;"")*(COUNTIFS(nrSK_PID,$B12,nrSK_Cat,rngSM_cat)&gt;0)))</f>
        <v/>
      </c>
      <c r="F12" s="15">
        <f>IF($B12="","",SUMPRODUCT((rngSM_cat&lt;&gt;"")*(COUNTIFS(nrSK_PID,$B12,nrSK_Cat,rngSM_cat,nrSK_Status,"Qualified")&gt;0)))</f>
        <v/>
      </c>
      <c r="G12" s="15">
        <f>IF($B12="","",SUMPRODUCT((rngSM_cat&lt;&gt;"")*(COUNTIFS(nrSK_PID,$B12,nrSK_Cat,rngSM_cat,nrSK_Status,"Needs Remediation")&gt;0)))</f>
        <v/>
      </c>
      <c r="H12" s="15">
        <f>IF($B12="","",SUMPRODUCT((rngSM_cat&lt;&gt;"")*(COUNTIFS(nrSK_PID,$B12,nrSK_Cat,rngSM_cat,nrSK_Status,"Pending")&gt;0)))</f>
        <v/>
      </c>
      <c r="I12" s="15">
        <f>IF($B12="","",COUNTIFS(nrSK_PID,$B12,nrSK_Dis,"Yes"))</f>
        <v/>
      </c>
      <c r="J12" s="15">
        <f>IF($B12="","",IF($I12&gt;0,"Yes","No"))</f>
        <v/>
      </c>
      <c r="K12" s="15">
        <f>IF($B12="","",IF($J12="Yes","No",IF($G12&gt;0,"No","Yes")))</f>
        <v/>
      </c>
      <c r="L12" s="15">
        <f>IF($B12="","",IFERROR(ROUND(AVERAGEIFS(nrSK_Score,nrSK_PID,$B12,nrSK_Cat,"Firearms"),2),""))</f>
        <v/>
      </c>
      <c r="M12" s="15">
        <f>IF($B12="","",IFERROR(_xlfn.MAXIFS(nrSK_Score,nrSK_PID,$B12,nrSK_Cat,"Firearms"),""))</f>
        <v/>
      </c>
    </row>
    <row r="13">
      <c r="B13" s="15">
        <f>IF(Cadets!$B13="","",Cadets!$B13)</f>
        <v/>
      </c>
      <c r="C13" s="15">
        <f>IF($B13="","",Cadets!$F13)</f>
        <v/>
      </c>
      <c r="D13" s="15">
        <f>IF($B13="","",Cadets!$I13)</f>
        <v/>
      </c>
      <c r="E13" s="15">
        <f>IF($B13="","",SUMPRODUCT((rngSM_cat&lt;&gt;"")*(COUNTIFS(nrSK_PID,$B13,nrSK_Cat,rngSM_cat)&gt;0)))</f>
        <v/>
      </c>
      <c r="F13" s="15">
        <f>IF($B13="","",SUMPRODUCT((rngSM_cat&lt;&gt;"")*(COUNTIFS(nrSK_PID,$B13,nrSK_Cat,rngSM_cat,nrSK_Status,"Qualified")&gt;0)))</f>
        <v/>
      </c>
      <c r="G13" s="15">
        <f>IF($B13="","",SUMPRODUCT((rngSM_cat&lt;&gt;"")*(COUNTIFS(nrSK_PID,$B13,nrSK_Cat,rngSM_cat,nrSK_Status,"Needs Remediation")&gt;0)))</f>
        <v/>
      </c>
      <c r="H13" s="15">
        <f>IF($B13="","",SUMPRODUCT((rngSM_cat&lt;&gt;"")*(COUNTIFS(nrSK_PID,$B13,nrSK_Cat,rngSM_cat,nrSK_Status,"Pending")&gt;0)))</f>
        <v/>
      </c>
      <c r="I13" s="15">
        <f>IF($B13="","",COUNTIFS(nrSK_PID,$B13,nrSK_Dis,"Yes"))</f>
        <v/>
      </c>
      <c r="J13" s="15">
        <f>IF($B13="","",IF($I13&gt;0,"Yes","No"))</f>
        <v/>
      </c>
      <c r="K13" s="15">
        <f>IF($B13="","",IF($J13="Yes","No",IF($G13&gt;0,"No","Yes")))</f>
        <v/>
      </c>
      <c r="L13" s="15">
        <f>IF($B13="","",IFERROR(ROUND(AVERAGEIFS(nrSK_Score,nrSK_PID,$B13,nrSK_Cat,"Firearms"),2),""))</f>
        <v/>
      </c>
      <c r="M13" s="15">
        <f>IF($B13="","",IFERROR(_xlfn.MAXIFS(nrSK_Score,nrSK_PID,$B13,nrSK_Cat,"Firearms"),""))</f>
        <v/>
      </c>
    </row>
    <row r="14">
      <c r="B14" s="15">
        <f>IF(Cadets!$B14="","",Cadets!$B14)</f>
        <v/>
      </c>
      <c r="C14" s="15">
        <f>IF($B14="","",Cadets!$F14)</f>
        <v/>
      </c>
      <c r="D14" s="15">
        <f>IF($B14="","",Cadets!$I14)</f>
        <v/>
      </c>
      <c r="E14" s="15">
        <f>IF($B14="","",SUMPRODUCT((rngSM_cat&lt;&gt;"")*(COUNTIFS(nrSK_PID,$B14,nrSK_Cat,rngSM_cat)&gt;0)))</f>
        <v/>
      </c>
      <c r="F14" s="15">
        <f>IF($B14="","",SUMPRODUCT((rngSM_cat&lt;&gt;"")*(COUNTIFS(nrSK_PID,$B14,nrSK_Cat,rngSM_cat,nrSK_Status,"Qualified")&gt;0)))</f>
        <v/>
      </c>
      <c r="G14" s="15">
        <f>IF($B14="","",SUMPRODUCT((rngSM_cat&lt;&gt;"")*(COUNTIFS(nrSK_PID,$B14,nrSK_Cat,rngSM_cat,nrSK_Status,"Needs Remediation")&gt;0)))</f>
        <v/>
      </c>
      <c r="H14" s="15">
        <f>IF($B14="","",SUMPRODUCT((rngSM_cat&lt;&gt;"")*(COUNTIFS(nrSK_PID,$B14,nrSK_Cat,rngSM_cat,nrSK_Status,"Pending")&gt;0)))</f>
        <v/>
      </c>
      <c r="I14" s="15">
        <f>IF($B14="","",COUNTIFS(nrSK_PID,$B14,nrSK_Dis,"Yes"))</f>
        <v/>
      </c>
      <c r="J14" s="15">
        <f>IF($B14="","",IF($I14&gt;0,"Yes","No"))</f>
        <v/>
      </c>
      <c r="K14" s="15">
        <f>IF($B14="","",IF($J14="Yes","No",IF($G14&gt;0,"No","Yes")))</f>
        <v/>
      </c>
      <c r="L14" s="15">
        <f>IF($B14="","",IFERROR(ROUND(AVERAGEIFS(nrSK_Score,nrSK_PID,$B14,nrSK_Cat,"Firearms"),2),""))</f>
        <v/>
      </c>
      <c r="M14" s="15">
        <f>IF($B14="","",IFERROR(_xlfn.MAXIFS(nrSK_Score,nrSK_PID,$B14,nrSK_Cat,"Firearms"),""))</f>
        <v/>
      </c>
    </row>
    <row r="15">
      <c r="B15" s="15">
        <f>IF(Cadets!$B15="","",Cadets!$B15)</f>
        <v/>
      </c>
      <c r="C15" s="15">
        <f>IF($B15="","",Cadets!$F15)</f>
        <v/>
      </c>
      <c r="D15" s="15">
        <f>IF($B15="","",Cadets!$I15)</f>
        <v/>
      </c>
      <c r="E15" s="15">
        <f>IF($B15="","",SUMPRODUCT((rngSM_cat&lt;&gt;"")*(COUNTIFS(nrSK_PID,$B15,nrSK_Cat,rngSM_cat)&gt;0)))</f>
        <v/>
      </c>
      <c r="F15" s="15">
        <f>IF($B15="","",SUMPRODUCT((rngSM_cat&lt;&gt;"")*(COUNTIFS(nrSK_PID,$B15,nrSK_Cat,rngSM_cat,nrSK_Status,"Qualified")&gt;0)))</f>
        <v/>
      </c>
      <c r="G15" s="15">
        <f>IF($B15="","",SUMPRODUCT((rngSM_cat&lt;&gt;"")*(COUNTIFS(nrSK_PID,$B15,nrSK_Cat,rngSM_cat,nrSK_Status,"Needs Remediation")&gt;0)))</f>
        <v/>
      </c>
      <c r="H15" s="15">
        <f>IF($B15="","",SUMPRODUCT((rngSM_cat&lt;&gt;"")*(COUNTIFS(nrSK_PID,$B15,nrSK_Cat,rngSM_cat,nrSK_Status,"Pending")&gt;0)))</f>
        <v/>
      </c>
      <c r="I15" s="15">
        <f>IF($B15="","",COUNTIFS(nrSK_PID,$B15,nrSK_Dis,"Yes"))</f>
        <v/>
      </c>
      <c r="J15" s="15">
        <f>IF($B15="","",IF($I15&gt;0,"Yes","No"))</f>
        <v/>
      </c>
      <c r="K15" s="15">
        <f>IF($B15="","",IF($J15="Yes","No",IF($G15&gt;0,"No","Yes")))</f>
        <v/>
      </c>
      <c r="L15" s="15">
        <f>IF($B15="","",IFERROR(ROUND(AVERAGEIFS(nrSK_Score,nrSK_PID,$B15,nrSK_Cat,"Firearms"),2),""))</f>
        <v/>
      </c>
      <c r="M15" s="15">
        <f>IF($B15="","",IFERROR(_xlfn.MAXIFS(nrSK_Score,nrSK_PID,$B15,nrSK_Cat,"Firearms"),""))</f>
        <v/>
      </c>
    </row>
    <row r="16">
      <c r="B16" s="15">
        <f>IF(Cadets!$B16="","",Cadets!$B16)</f>
        <v/>
      </c>
      <c r="C16" s="15">
        <f>IF($B16="","",Cadets!$F16)</f>
        <v/>
      </c>
      <c r="D16" s="15">
        <f>IF($B16="","",Cadets!$I16)</f>
        <v/>
      </c>
      <c r="E16" s="15">
        <f>IF($B16="","",SUMPRODUCT((rngSM_cat&lt;&gt;"")*(COUNTIFS(nrSK_PID,$B16,nrSK_Cat,rngSM_cat)&gt;0)))</f>
        <v/>
      </c>
      <c r="F16" s="15">
        <f>IF($B16="","",SUMPRODUCT((rngSM_cat&lt;&gt;"")*(COUNTIFS(nrSK_PID,$B16,nrSK_Cat,rngSM_cat,nrSK_Status,"Qualified")&gt;0)))</f>
        <v/>
      </c>
      <c r="G16" s="15">
        <f>IF($B16="","",SUMPRODUCT((rngSM_cat&lt;&gt;"")*(COUNTIFS(nrSK_PID,$B16,nrSK_Cat,rngSM_cat,nrSK_Status,"Needs Remediation")&gt;0)))</f>
        <v/>
      </c>
      <c r="H16" s="15">
        <f>IF($B16="","",SUMPRODUCT((rngSM_cat&lt;&gt;"")*(COUNTIFS(nrSK_PID,$B16,nrSK_Cat,rngSM_cat,nrSK_Status,"Pending")&gt;0)))</f>
        <v/>
      </c>
      <c r="I16" s="15">
        <f>IF($B16="","",COUNTIFS(nrSK_PID,$B16,nrSK_Dis,"Yes"))</f>
        <v/>
      </c>
      <c r="J16" s="15">
        <f>IF($B16="","",IF($I16&gt;0,"Yes","No"))</f>
        <v/>
      </c>
      <c r="K16" s="15">
        <f>IF($B16="","",IF($J16="Yes","No",IF($G16&gt;0,"No","Yes")))</f>
        <v/>
      </c>
      <c r="L16" s="15">
        <f>IF($B16="","",IFERROR(ROUND(AVERAGEIFS(nrSK_Score,nrSK_PID,$B16,nrSK_Cat,"Firearms"),2),""))</f>
        <v/>
      </c>
      <c r="M16" s="15">
        <f>IF($B16="","",IFERROR(_xlfn.MAXIFS(nrSK_Score,nrSK_PID,$B16,nrSK_Cat,"Firearms"),""))</f>
        <v/>
      </c>
    </row>
    <row r="17">
      <c r="B17" s="15">
        <f>IF(Cadets!$B17="","",Cadets!$B17)</f>
        <v/>
      </c>
      <c r="C17" s="15">
        <f>IF($B17="","",Cadets!$F17)</f>
        <v/>
      </c>
      <c r="D17" s="15">
        <f>IF($B17="","",Cadets!$I17)</f>
        <v/>
      </c>
      <c r="E17" s="15">
        <f>IF($B17="","",SUMPRODUCT((rngSM_cat&lt;&gt;"")*(COUNTIFS(nrSK_PID,$B17,nrSK_Cat,rngSM_cat)&gt;0)))</f>
        <v/>
      </c>
      <c r="F17" s="15">
        <f>IF($B17="","",SUMPRODUCT((rngSM_cat&lt;&gt;"")*(COUNTIFS(nrSK_PID,$B17,nrSK_Cat,rngSM_cat,nrSK_Status,"Qualified")&gt;0)))</f>
        <v/>
      </c>
      <c r="G17" s="15">
        <f>IF($B17="","",SUMPRODUCT((rngSM_cat&lt;&gt;"")*(COUNTIFS(nrSK_PID,$B17,nrSK_Cat,rngSM_cat,nrSK_Status,"Needs Remediation")&gt;0)))</f>
        <v/>
      </c>
      <c r="H17" s="15">
        <f>IF($B17="","",SUMPRODUCT((rngSM_cat&lt;&gt;"")*(COUNTIFS(nrSK_PID,$B17,nrSK_Cat,rngSM_cat,nrSK_Status,"Pending")&gt;0)))</f>
        <v/>
      </c>
      <c r="I17" s="15">
        <f>IF($B17="","",COUNTIFS(nrSK_PID,$B17,nrSK_Dis,"Yes"))</f>
        <v/>
      </c>
      <c r="J17" s="15">
        <f>IF($B17="","",IF($I17&gt;0,"Yes","No"))</f>
        <v/>
      </c>
      <c r="K17" s="15">
        <f>IF($B17="","",IF($J17="Yes","No",IF($G17&gt;0,"No","Yes")))</f>
        <v/>
      </c>
      <c r="L17" s="15">
        <f>IF($B17="","",IFERROR(ROUND(AVERAGEIFS(nrSK_Score,nrSK_PID,$B17,nrSK_Cat,"Firearms"),2),""))</f>
        <v/>
      </c>
      <c r="M17" s="15">
        <f>IF($B17="","",IFERROR(_xlfn.MAXIFS(nrSK_Score,nrSK_PID,$B17,nrSK_Cat,"Firearms"),""))</f>
        <v/>
      </c>
    </row>
    <row r="18">
      <c r="B18" s="15">
        <f>IF(Cadets!$B18="","",Cadets!$B18)</f>
        <v/>
      </c>
      <c r="C18" s="15">
        <f>IF($B18="","",Cadets!$F18)</f>
        <v/>
      </c>
      <c r="D18" s="15">
        <f>IF($B18="","",Cadets!$I18)</f>
        <v/>
      </c>
      <c r="E18" s="15">
        <f>IF($B18="","",SUMPRODUCT((rngSM_cat&lt;&gt;"")*(COUNTIFS(nrSK_PID,$B18,nrSK_Cat,rngSM_cat)&gt;0)))</f>
        <v/>
      </c>
      <c r="F18" s="15">
        <f>IF($B18="","",SUMPRODUCT((rngSM_cat&lt;&gt;"")*(COUNTIFS(nrSK_PID,$B18,nrSK_Cat,rngSM_cat,nrSK_Status,"Qualified")&gt;0)))</f>
        <v/>
      </c>
      <c r="G18" s="15">
        <f>IF($B18="","",SUMPRODUCT((rngSM_cat&lt;&gt;"")*(COUNTIFS(nrSK_PID,$B18,nrSK_Cat,rngSM_cat,nrSK_Status,"Needs Remediation")&gt;0)))</f>
        <v/>
      </c>
      <c r="H18" s="15">
        <f>IF($B18="","",SUMPRODUCT((rngSM_cat&lt;&gt;"")*(COUNTIFS(nrSK_PID,$B18,nrSK_Cat,rngSM_cat,nrSK_Status,"Pending")&gt;0)))</f>
        <v/>
      </c>
      <c r="I18" s="15">
        <f>IF($B18="","",COUNTIFS(nrSK_PID,$B18,nrSK_Dis,"Yes"))</f>
        <v/>
      </c>
      <c r="J18" s="15">
        <f>IF($B18="","",IF($I18&gt;0,"Yes","No"))</f>
        <v/>
      </c>
      <c r="K18" s="15">
        <f>IF($B18="","",IF($J18="Yes","No",IF($G18&gt;0,"No","Yes")))</f>
        <v/>
      </c>
      <c r="L18" s="15">
        <f>IF($B18="","",IFERROR(ROUND(AVERAGEIFS(nrSK_Score,nrSK_PID,$B18,nrSK_Cat,"Firearms"),2),""))</f>
        <v/>
      </c>
      <c r="M18" s="15">
        <f>IF($B18="","",IFERROR(_xlfn.MAXIFS(nrSK_Score,nrSK_PID,$B18,nrSK_Cat,"Firearms"),""))</f>
        <v/>
      </c>
    </row>
    <row r="19">
      <c r="B19" s="15">
        <f>IF(Cadets!$B19="","",Cadets!$B19)</f>
        <v/>
      </c>
      <c r="C19" s="15">
        <f>IF($B19="","",Cadets!$F19)</f>
        <v/>
      </c>
      <c r="D19" s="15">
        <f>IF($B19="","",Cadets!$I19)</f>
        <v/>
      </c>
      <c r="E19" s="15">
        <f>IF($B19="","",SUMPRODUCT((rngSM_cat&lt;&gt;"")*(COUNTIFS(nrSK_PID,$B19,nrSK_Cat,rngSM_cat)&gt;0)))</f>
        <v/>
      </c>
      <c r="F19" s="15">
        <f>IF($B19="","",SUMPRODUCT((rngSM_cat&lt;&gt;"")*(COUNTIFS(nrSK_PID,$B19,nrSK_Cat,rngSM_cat,nrSK_Status,"Qualified")&gt;0)))</f>
        <v/>
      </c>
      <c r="G19" s="15">
        <f>IF($B19="","",SUMPRODUCT((rngSM_cat&lt;&gt;"")*(COUNTIFS(nrSK_PID,$B19,nrSK_Cat,rngSM_cat,nrSK_Status,"Needs Remediation")&gt;0)))</f>
        <v/>
      </c>
      <c r="H19" s="15">
        <f>IF($B19="","",SUMPRODUCT((rngSM_cat&lt;&gt;"")*(COUNTIFS(nrSK_PID,$B19,nrSK_Cat,rngSM_cat,nrSK_Status,"Pending")&gt;0)))</f>
        <v/>
      </c>
      <c r="I19" s="15">
        <f>IF($B19="","",COUNTIFS(nrSK_PID,$B19,nrSK_Dis,"Yes"))</f>
        <v/>
      </c>
      <c r="J19" s="15">
        <f>IF($B19="","",IF($I19&gt;0,"Yes","No"))</f>
        <v/>
      </c>
      <c r="K19" s="15">
        <f>IF($B19="","",IF($J19="Yes","No",IF($G19&gt;0,"No","Yes")))</f>
        <v/>
      </c>
      <c r="L19" s="15">
        <f>IF($B19="","",IFERROR(ROUND(AVERAGEIFS(nrSK_Score,nrSK_PID,$B19,nrSK_Cat,"Firearms"),2),""))</f>
        <v/>
      </c>
      <c r="M19" s="15">
        <f>IF($B19="","",IFERROR(_xlfn.MAXIFS(nrSK_Score,nrSK_PID,$B19,nrSK_Cat,"Firearms"),""))</f>
        <v/>
      </c>
    </row>
    <row r="20">
      <c r="B20" s="15">
        <f>IF(Cadets!$B20="","",Cadets!$B20)</f>
        <v/>
      </c>
      <c r="C20" s="15">
        <f>IF($B20="","",Cadets!$F20)</f>
        <v/>
      </c>
      <c r="D20" s="15">
        <f>IF($B20="","",Cadets!$I20)</f>
        <v/>
      </c>
      <c r="E20" s="15">
        <f>IF($B20="","",SUMPRODUCT((rngSM_cat&lt;&gt;"")*(COUNTIFS(nrSK_PID,$B20,nrSK_Cat,rngSM_cat)&gt;0)))</f>
        <v/>
      </c>
      <c r="F20" s="15">
        <f>IF($B20="","",SUMPRODUCT((rngSM_cat&lt;&gt;"")*(COUNTIFS(nrSK_PID,$B20,nrSK_Cat,rngSM_cat,nrSK_Status,"Qualified")&gt;0)))</f>
        <v/>
      </c>
      <c r="G20" s="15">
        <f>IF($B20="","",SUMPRODUCT((rngSM_cat&lt;&gt;"")*(COUNTIFS(nrSK_PID,$B20,nrSK_Cat,rngSM_cat,nrSK_Status,"Needs Remediation")&gt;0)))</f>
        <v/>
      </c>
      <c r="H20" s="15">
        <f>IF($B20="","",SUMPRODUCT((rngSM_cat&lt;&gt;"")*(COUNTIFS(nrSK_PID,$B20,nrSK_Cat,rngSM_cat,nrSK_Status,"Pending")&gt;0)))</f>
        <v/>
      </c>
      <c r="I20" s="15">
        <f>IF($B20="","",COUNTIFS(nrSK_PID,$B20,nrSK_Dis,"Yes"))</f>
        <v/>
      </c>
      <c r="J20" s="15">
        <f>IF($B20="","",IF($I20&gt;0,"Yes","No"))</f>
        <v/>
      </c>
      <c r="K20" s="15">
        <f>IF($B20="","",IF($J20="Yes","No",IF($G20&gt;0,"No","Yes")))</f>
        <v/>
      </c>
      <c r="L20" s="15">
        <f>IF($B20="","",IFERROR(ROUND(AVERAGEIFS(nrSK_Score,nrSK_PID,$B20,nrSK_Cat,"Firearms"),2),""))</f>
        <v/>
      </c>
      <c r="M20" s="15">
        <f>IF($B20="","",IFERROR(_xlfn.MAXIFS(nrSK_Score,nrSK_PID,$B20,nrSK_Cat,"Firearms"),""))</f>
        <v/>
      </c>
    </row>
    <row r="21">
      <c r="B21" s="15">
        <f>IF(Cadets!$B21="","",Cadets!$B21)</f>
        <v/>
      </c>
      <c r="C21" s="15">
        <f>IF($B21="","",Cadets!$F21)</f>
        <v/>
      </c>
      <c r="D21" s="15">
        <f>IF($B21="","",Cadets!$I21)</f>
        <v/>
      </c>
      <c r="E21" s="15">
        <f>IF($B21="","",SUMPRODUCT((rngSM_cat&lt;&gt;"")*(COUNTIFS(nrSK_PID,$B21,nrSK_Cat,rngSM_cat)&gt;0)))</f>
        <v/>
      </c>
      <c r="F21" s="15">
        <f>IF($B21="","",SUMPRODUCT((rngSM_cat&lt;&gt;"")*(COUNTIFS(nrSK_PID,$B21,nrSK_Cat,rngSM_cat,nrSK_Status,"Qualified")&gt;0)))</f>
        <v/>
      </c>
      <c r="G21" s="15">
        <f>IF($B21="","",SUMPRODUCT((rngSM_cat&lt;&gt;"")*(COUNTIFS(nrSK_PID,$B21,nrSK_Cat,rngSM_cat,nrSK_Status,"Needs Remediation")&gt;0)))</f>
        <v/>
      </c>
      <c r="H21" s="15">
        <f>IF($B21="","",SUMPRODUCT((rngSM_cat&lt;&gt;"")*(COUNTIFS(nrSK_PID,$B21,nrSK_Cat,rngSM_cat,nrSK_Status,"Pending")&gt;0)))</f>
        <v/>
      </c>
      <c r="I21" s="15">
        <f>IF($B21="","",COUNTIFS(nrSK_PID,$B21,nrSK_Dis,"Yes"))</f>
        <v/>
      </c>
      <c r="J21" s="15">
        <f>IF($B21="","",IF($I21&gt;0,"Yes","No"))</f>
        <v/>
      </c>
      <c r="K21" s="15">
        <f>IF($B21="","",IF($J21="Yes","No",IF($G21&gt;0,"No","Yes")))</f>
        <v/>
      </c>
      <c r="L21" s="15">
        <f>IF($B21="","",IFERROR(ROUND(AVERAGEIFS(nrSK_Score,nrSK_PID,$B21,nrSK_Cat,"Firearms"),2),""))</f>
        <v/>
      </c>
      <c r="M21" s="15">
        <f>IF($B21="","",IFERROR(_xlfn.MAXIFS(nrSK_Score,nrSK_PID,$B21,nrSK_Cat,"Firearms"),""))</f>
        <v/>
      </c>
    </row>
    <row r="22">
      <c r="B22" s="15">
        <f>IF(Cadets!$B22="","",Cadets!$B22)</f>
        <v/>
      </c>
      <c r="C22" s="15">
        <f>IF($B22="","",Cadets!$F22)</f>
        <v/>
      </c>
      <c r="D22" s="15">
        <f>IF($B22="","",Cadets!$I22)</f>
        <v/>
      </c>
      <c r="E22" s="15">
        <f>IF($B22="","",SUMPRODUCT((rngSM_cat&lt;&gt;"")*(COUNTIFS(nrSK_PID,$B22,nrSK_Cat,rngSM_cat)&gt;0)))</f>
        <v/>
      </c>
      <c r="F22" s="15">
        <f>IF($B22="","",SUMPRODUCT((rngSM_cat&lt;&gt;"")*(COUNTIFS(nrSK_PID,$B22,nrSK_Cat,rngSM_cat,nrSK_Status,"Qualified")&gt;0)))</f>
        <v/>
      </c>
      <c r="G22" s="15">
        <f>IF($B22="","",SUMPRODUCT((rngSM_cat&lt;&gt;"")*(COUNTIFS(nrSK_PID,$B22,nrSK_Cat,rngSM_cat,nrSK_Status,"Needs Remediation")&gt;0)))</f>
        <v/>
      </c>
      <c r="H22" s="15">
        <f>IF($B22="","",SUMPRODUCT((rngSM_cat&lt;&gt;"")*(COUNTIFS(nrSK_PID,$B22,nrSK_Cat,rngSM_cat,nrSK_Status,"Pending")&gt;0)))</f>
        <v/>
      </c>
      <c r="I22" s="15">
        <f>IF($B22="","",COUNTIFS(nrSK_PID,$B22,nrSK_Dis,"Yes"))</f>
        <v/>
      </c>
      <c r="J22" s="15">
        <f>IF($B22="","",IF($I22&gt;0,"Yes","No"))</f>
        <v/>
      </c>
      <c r="K22" s="15">
        <f>IF($B22="","",IF($J22="Yes","No",IF($G22&gt;0,"No","Yes")))</f>
        <v/>
      </c>
      <c r="L22" s="15">
        <f>IF($B22="","",IFERROR(ROUND(AVERAGEIFS(nrSK_Score,nrSK_PID,$B22,nrSK_Cat,"Firearms"),2),""))</f>
        <v/>
      </c>
      <c r="M22" s="15">
        <f>IF($B22="","",IFERROR(_xlfn.MAXIFS(nrSK_Score,nrSK_PID,$B22,nrSK_Cat,"Firearms"),""))</f>
        <v/>
      </c>
    </row>
    <row r="23">
      <c r="B23" s="15">
        <f>IF(Cadets!$B23="","",Cadets!$B23)</f>
        <v/>
      </c>
      <c r="C23" s="15">
        <f>IF($B23="","",Cadets!$F23)</f>
        <v/>
      </c>
      <c r="D23" s="15">
        <f>IF($B23="","",Cadets!$I23)</f>
        <v/>
      </c>
      <c r="E23" s="15">
        <f>IF($B23="","",SUMPRODUCT((rngSM_cat&lt;&gt;"")*(COUNTIFS(nrSK_PID,$B23,nrSK_Cat,rngSM_cat)&gt;0)))</f>
        <v/>
      </c>
      <c r="F23" s="15">
        <f>IF($B23="","",SUMPRODUCT((rngSM_cat&lt;&gt;"")*(COUNTIFS(nrSK_PID,$B23,nrSK_Cat,rngSM_cat,nrSK_Status,"Qualified")&gt;0)))</f>
        <v/>
      </c>
      <c r="G23" s="15">
        <f>IF($B23="","",SUMPRODUCT((rngSM_cat&lt;&gt;"")*(COUNTIFS(nrSK_PID,$B23,nrSK_Cat,rngSM_cat,nrSK_Status,"Needs Remediation")&gt;0)))</f>
        <v/>
      </c>
      <c r="H23" s="15">
        <f>IF($B23="","",SUMPRODUCT((rngSM_cat&lt;&gt;"")*(COUNTIFS(nrSK_PID,$B23,nrSK_Cat,rngSM_cat,nrSK_Status,"Pending")&gt;0)))</f>
        <v/>
      </c>
      <c r="I23" s="15">
        <f>IF($B23="","",COUNTIFS(nrSK_PID,$B23,nrSK_Dis,"Yes"))</f>
        <v/>
      </c>
      <c r="J23" s="15">
        <f>IF($B23="","",IF($I23&gt;0,"Yes","No"))</f>
        <v/>
      </c>
      <c r="K23" s="15">
        <f>IF($B23="","",IF($J23="Yes","No",IF($G23&gt;0,"No","Yes")))</f>
        <v/>
      </c>
      <c r="L23" s="15">
        <f>IF($B23="","",IFERROR(ROUND(AVERAGEIFS(nrSK_Score,nrSK_PID,$B23,nrSK_Cat,"Firearms"),2),""))</f>
        <v/>
      </c>
      <c r="M23" s="15">
        <f>IF($B23="","",IFERROR(_xlfn.MAXIFS(nrSK_Score,nrSK_PID,$B23,nrSK_Cat,"Firearms"),""))</f>
        <v/>
      </c>
    </row>
    <row r="24">
      <c r="B24" s="15">
        <f>IF(Cadets!$B24="","",Cadets!$B24)</f>
        <v/>
      </c>
      <c r="C24" s="15">
        <f>IF($B24="","",Cadets!$F24)</f>
        <v/>
      </c>
      <c r="D24" s="15">
        <f>IF($B24="","",Cadets!$I24)</f>
        <v/>
      </c>
      <c r="E24" s="15">
        <f>IF($B24="","",SUMPRODUCT((rngSM_cat&lt;&gt;"")*(COUNTIFS(nrSK_PID,$B24,nrSK_Cat,rngSM_cat)&gt;0)))</f>
        <v/>
      </c>
      <c r="F24" s="15">
        <f>IF($B24="","",SUMPRODUCT((rngSM_cat&lt;&gt;"")*(COUNTIFS(nrSK_PID,$B24,nrSK_Cat,rngSM_cat,nrSK_Status,"Qualified")&gt;0)))</f>
        <v/>
      </c>
      <c r="G24" s="15">
        <f>IF($B24="","",SUMPRODUCT((rngSM_cat&lt;&gt;"")*(COUNTIFS(nrSK_PID,$B24,nrSK_Cat,rngSM_cat,nrSK_Status,"Needs Remediation")&gt;0)))</f>
        <v/>
      </c>
      <c r="H24" s="15">
        <f>IF($B24="","",SUMPRODUCT((rngSM_cat&lt;&gt;"")*(COUNTIFS(nrSK_PID,$B24,nrSK_Cat,rngSM_cat,nrSK_Status,"Pending")&gt;0)))</f>
        <v/>
      </c>
      <c r="I24" s="15">
        <f>IF($B24="","",COUNTIFS(nrSK_PID,$B24,nrSK_Dis,"Yes"))</f>
        <v/>
      </c>
      <c r="J24" s="15">
        <f>IF($B24="","",IF($I24&gt;0,"Yes","No"))</f>
        <v/>
      </c>
      <c r="K24" s="15">
        <f>IF($B24="","",IF($J24="Yes","No",IF($G24&gt;0,"No","Yes")))</f>
        <v/>
      </c>
      <c r="L24" s="15">
        <f>IF($B24="","",IFERROR(ROUND(AVERAGEIFS(nrSK_Score,nrSK_PID,$B24,nrSK_Cat,"Firearms"),2),""))</f>
        <v/>
      </c>
      <c r="M24" s="15">
        <f>IF($B24="","",IFERROR(_xlfn.MAXIFS(nrSK_Score,nrSK_PID,$B24,nrSK_Cat,"Firearms"),""))</f>
        <v/>
      </c>
    </row>
    <row r="25">
      <c r="B25" s="15">
        <f>IF(Cadets!$B25="","",Cadets!$B25)</f>
        <v/>
      </c>
      <c r="C25" s="15">
        <f>IF($B25="","",Cadets!$F25)</f>
        <v/>
      </c>
      <c r="D25" s="15">
        <f>IF($B25="","",Cadets!$I25)</f>
        <v/>
      </c>
      <c r="E25" s="15">
        <f>IF($B25="","",SUMPRODUCT((rngSM_cat&lt;&gt;"")*(COUNTIFS(nrSK_PID,$B25,nrSK_Cat,rngSM_cat)&gt;0)))</f>
        <v/>
      </c>
      <c r="F25" s="15">
        <f>IF($B25="","",SUMPRODUCT((rngSM_cat&lt;&gt;"")*(COUNTIFS(nrSK_PID,$B25,nrSK_Cat,rngSM_cat,nrSK_Status,"Qualified")&gt;0)))</f>
        <v/>
      </c>
      <c r="G25" s="15">
        <f>IF($B25="","",SUMPRODUCT((rngSM_cat&lt;&gt;"")*(COUNTIFS(nrSK_PID,$B25,nrSK_Cat,rngSM_cat,nrSK_Status,"Needs Remediation")&gt;0)))</f>
        <v/>
      </c>
      <c r="H25" s="15">
        <f>IF($B25="","",SUMPRODUCT((rngSM_cat&lt;&gt;"")*(COUNTIFS(nrSK_PID,$B25,nrSK_Cat,rngSM_cat,nrSK_Status,"Pending")&gt;0)))</f>
        <v/>
      </c>
      <c r="I25" s="15">
        <f>IF($B25="","",COUNTIFS(nrSK_PID,$B25,nrSK_Dis,"Yes"))</f>
        <v/>
      </c>
      <c r="J25" s="15">
        <f>IF($B25="","",IF($I25&gt;0,"Yes","No"))</f>
        <v/>
      </c>
      <c r="K25" s="15">
        <f>IF($B25="","",IF($J25="Yes","No",IF($G25&gt;0,"No","Yes")))</f>
        <v/>
      </c>
      <c r="L25" s="15">
        <f>IF($B25="","",IFERROR(ROUND(AVERAGEIFS(nrSK_Score,nrSK_PID,$B25,nrSK_Cat,"Firearms"),2),""))</f>
        <v/>
      </c>
      <c r="M25" s="15">
        <f>IF($B25="","",IFERROR(_xlfn.MAXIFS(nrSK_Score,nrSK_PID,$B25,nrSK_Cat,"Firearms"),""))</f>
        <v/>
      </c>
    </row>
    <row r="26">
      <c r="B26" s="15">
        <f>IF(Cadets!$B26="","",Cadets!$B26)</f>
        <v/>
      </c>
      <c r="C26" s="15">
        <f>IF($B26="","",Cadets!$F26)</f>
        <v/>
      </c>
      <c r="D26" s="15">
        <f>IF($B26="","",Cadets!$I26)</f>
        <v/>
      </c>
      <c r="E26" s="15">
        <f>IF($B26="","",SUMPRODUCT((rngSM_cat&lt;&gt;"")*(COUNTIFS(nrSK_PID,$B26,nrSK_Cat,rngSM_cat)&gt;0)))</f>
        <v/>
      </c>
      <c r="F26" s="15">
        <f>IF($B26="","",SUMPRODUCT((rngSM_cat&lt;&gt;"")*(COUNTIFS(nrSK_PID,$B26,nrSK_Cat,rngSM_cat,nrSK_Status,"Qualified")&gt;0)))</f>
        <v/>
      </c>
      <c r="G26" s="15">
        <f>IF($B26="","",SUMPRODUCT((rngSM_cat&lt;&gt;"")*(COUNTIFS(nrSK_PID,$B26,nrSK_Cat,rngSM_cat,nrSK_Status,"Needs Remediation")&gt;0)))</f>
        <v/>
      </c>
      <c r="H26" s="15">
        <f>IF($B26="","",SUMPRODUCT((rngSM_cat&lt;&gt;"")*(COUNTIFS(nrSK_PID,$B26,nrSK_Cat,rngSM_cat,nrSK_Status,"Pending")&gt;0)))</f>
        <v/>
      </c>
      <c r="I26" s="15">
        <f>IF($B26="","",COUNTIFS(nrSK_PID,$B26,nrSK_Dis,"Yes"))</f>
        <v/>
      </c>
      <c r="J26" s="15">
        <f>IF($B26="","",IF($I26&gt;0,"Yes","No"))</f>
        <v/>
      </c>
      <c r="K26" s="15">
        <f>IF($B26="","",IF($J26="Yes","No",IF($G26&gt;0,"No","Yes")))</f>
        <v/>
      </c>
      <c r="L26" s="15">
        <f>IF($B26="","",IFERROR(ROUND(AVERAGEIFS(nrSK_Score,nrSK_PID,$B26,nrSK_Cat,"Firearms"),2),""))</f>
        <v/>
      </c>
      <c r="M26" s="15">
        <f>IF($B26="","",IFERROR(_xlfn.MAXIFS(nrSK_Score,nrSK_PID,$B26,nrSK_Cat,"Firearms"),""))</f>
        <v/>
      </c>
    </row>
    <row r="27">
      <c r="B27" s="15">
        <f>IF(Cadets!$B27="","",Cadets!$B27)</f>
        <v/>
      </c>
      <c r="C27" s="15">
        <f>IF($B27="","",Cadets!$F27)</f>
        <v/>
      </c>
      <c r="D27" s="15">
        <f>IF($B27="","",Cadets!$I27)</f>
        <v/>
      </c>
      <c r="E27" s="15">
        <f>IF($B27="","",SUMPRODUCT((rngSM_cat&lt;&gt;"")*(COUNTIFS(nrSK_PID,$B27,nrSK_Cat,rngSM_cat)&gt;0)))</f>
        <v/>
      </c>
      <c r="F27" s="15">
        <f>IF($B27="","",SUMPRODUCT((rngSM_cat&lt;&gt;"")*(COUNTIFS(nrSK_PID,$B27,nrSK_Cat,rngSM_cat,nrSK_Status,"Qualified")&gt;0)))</f>
        <v/>
      </c>
      <c r="G27" s="15">
        <f>IF($B27="","",SUMPRODUCT((rngSM_cat&lt;&gt;"")*(COUNTIFS(nrSK_PID,$B27,nrSK_Cat,rngSM_cat,nrSK_Status,"Needs Remediation")&gt;0)))</f>
        <v/>
      </c>
      <c r="H27" s="15">
        <f>IF($B27="","",SUMPRODUCT((rngSM_cat&lt;&gt;"")*(COUNTIFS(nrSK_PID,$B27,nrSK_Cat,rngSM_cat,nrSK_Status,"Pending")&gt;0)))</f>
        <v/>
      </c>
      <c r="I27" s="15">
        <f>IF($B27="","",COUNTIFS(nrSK_PID,$B27,nrSK_Dis,"Yes"))</f>
        <v/>
      </c>
      <c r="J27" s="15">
        <f>IF($B27="","",IF($I27&gt;0,"Yes","No"))</f>
        <v/>
      </c>
      <c r="K27" s="15">
        <f>IF($B27="","",IF($J27="Yes","No",IF($G27&gt;0,"No","Yes")))</f>
        <v/>
      </c>
      <c r="L27" s="15">
        <f>IF($B27="","",IFERROR(ROUND(AVERAGEIFS(nrSK_Score,nrSK_PID,$B27,nrSK_Cat,"Firearms"),2),""))</f>
        <v/>
      </c>
      <c r="M27" s="15">
        <f>IF($B27="","",IFERROR(_xlfn.MAXIFS(nrSK_Score,nrSK_PID,$B27,nrSK_Cat,"Firearms"),""))</f>
        <v/>
      </c>
    </row>
    <row r="28">
      <c r="B28" s="15">
        <f>IF(Cadets!$B28="","",Cadets!$B28)</f>
        <v/>
      </c>
      <c r="C28" s="15">
        <f>IF($B28="","",Cadets!$F28)</f>
        <v/>
      </c>
      <c r="D28" s="15">
        <f>IF($B28="","",Cadets!$I28)</f>
        <v/>
      </c>
      <c r="E28" s="15">
        <f>IF($B28="","",SUMPRODUCT((rngSM_cat&lt;&gt;"")*(COUNTIFS(nrSK_PID,$B28,nrSK_Cat,rngSM_cat)&gt;0)))</f>
        <v/>
      </c>
      <c r="F28" s="15">
        <f>IF($B28="","",SUMPRODUCT((rngSM_cat&lt;&gt;"")*(COUNTIFS(nrSK_PID,$B28,nrSK_Cat,rngSM_cat,nrSK_Status,"Qualified")&gt;0)))</f>
        <v/>
      </c>
      <c r="G28" s="15">
        <f>IF($B28="","",SUMPRODUCT((rngSM_cat&lt;&gt;"")*(COUNTIFS(nrSK_PID,$B28,nrSK_Cat,rngSM_cat,nrSK_Status,"Needs Remediation")&gt;0)))</f>
        <v/>
      </c>
      <c r="H28" s="15">
        <f>IF($B28="","",SUMPRODUCT((rngSM_cat&lt;&gt;"")*(COUNTIFS(nrSK_PID,$B28,nrSK_Cat,rngSM_cat,nrSK_Status,"Pending")&gt;0)))</f>
        <v/>
      </c>
      <c r="I28" s="15">
        <f>IF($B28="","",COUNTIFS(nrSK_PID,$B28,nrSK_Dis,"Yes"))</f>
        <v/>
      </c>
      <c r="J28" s="15">
        <f>IF($B28="","",IF($I28&gt;0,"Yes","No"))</f>
        <v/>
      </c>
      <c r="K28" s="15">
        <f>IF($B28="","",IF($J28="Yes","No",IF($G28&gt;0,"No","Yes")))</f>
        <v/>
      </c>
      <c r="L28" s="15">
        <f>IF($B28="","",IFERROR(ROUND(AVERAGEIFS(nrSK_Score,nrSK_PID,$B28,nrSK_Cat,"Firearms"),2),""))</f>
        <v/>
      </c>
      <c r="M28" s="15">
        <f>IF($B28="","",IFERROR(_xlfn.MAXIFS(nrSK_Score,nrSK_PID,$B28,nrSK_Cat,"Firearms"),""))</f>
        <v/>
      </c>
    </row>
    <row r="29">
      <c r="B29" s="15">
        <f>IF(Cadets!$B29="","",Cadets!$B29)</f>
        <v/>
      </c>
      <c r="C29" s="15">
        <f>IF($B29="","",Cadets!$F29)</f>
        <v/>
      </c>
      <c r="D29" s="15">
        <f>IF($B29="","",Cadets!$I29)</f>
        <v/>
      </c>
      <c r="E29" s="15">
        <f>IF($B29="","",SUMPRODUCT((rngSM_cat&lt;&gt;"")*(COUNTIFS(nrSK_PID,$B29,nrSK_Cat,rngSM_cat)&gt;0)))</f>
        <v/>
      </c>
      <c r="F29" s="15">
        <f>IF($B29="","",SUMPRODUCT((rngSM_cat&lt;&gt;"")*(COUNTIFS(nrSK_PID,$B29,nrSK_Cat,rngSM_cat,nrSK_Status,"Qualified")&gt;0)))</f>
        <v/>
      </c>
      <c r="G29" s="15">
        <f>IF($B29="","",SUMPRODUCT((rngSM_cat&lt;&gt;"")*(COUNTIFS(nrSK_PID,$B29,nrSK_Cat,rngSM_cat,nrSK_Status,"Needs Remediation")&gt;0)))</f>
        <v/>
      </c>
      <c r="H29" s="15">
        <f>IF($B29="","",SUMPRODUCT((rngSM_cat&lt;&gt;"")*(COUNTIFS(nrSK_PID,$B29,nrSK_Cat,rngSM_cat,nrSK_Status,"Pending")&gt;0)))</f>
        <v/>
      </c>
      <c r="I29" s="15">
        <f>IF($B29="","",COUNTIFS(nrSK_PID,$B29,nrSK_Dis,"Yes"))</f>
        <v/>
      </c>
      <c r="J29" s="15">
        <f>IF($B29="","",IF($I29&gt;0,"Yes","No"))</f>
        <v/>
      </c>
      <c r="K29" s="15">
        <f>IF($B29="","",IF($J29="Yes","No",IF($G29&gt;0,"No","Yes")))</f>
        <v/>
      </c>
      <c r="L29" s="15">
        <f>IF($B29="","",IFERROR(ROUND(AVERAGEIFS(nrSK_Score,nrSK_PID,$B29,nrSK_Cat,"Firearms"),2),""))</f>
        <v/>
      </c>
      <c r="M29" s="15">
        <f>IF($B29="","",IFERROR(_xlfn.MAXIFS(nrSK_Score,nrSK_PID,$B29,nrSK_Cat,"Firearms"),""))</f>
        <v/>
      </c>
    </row>
    <row r="30">
      <c r="B30" s="15">
        <f>IF(Cadets!$B30="","",Cadets!$B30)</f>
        <v/>
      </c>
      <c r="C30" s="15">
        <f>IF($B30="","",Cadets!$F30)</f>
        <v/>
      </c>
      <c r="D30" s="15">
        <f>IF($B30="","",Cadets!$I30)</f>
        <v/>
      </c>
      <c r="E30" s="15">
        <f>IF($B30="","",SUMPRODUCT((rngSM_cat&lt;&gt;"")*(COUNTIFS(nrSK_PID,$B30,nrSK_Cat,rngSM_cat)&gt;0)))</f>
        <v/>
      </c>
      <c r="F30" s="15">
        <f>IF($B30="","",SUMPRODUCT((rngSM_cat&lt;&gt;"")*(COUNTIFS(nrSK_PID,$B30,nrSK_Cat,rngSM_cat,nrSK_Status,"Qualified")&gt;0)))</f>
        <v/>
      </c>
      <c r="G30" s="15">
        <f>IF($B30="","",SUMPRODUCT((rngSM_cat&lt;&gt;"")*(COUNTIFS(nrSK_PID,$B30,nrSK_Cat,rngSM_cat,nrSK_Status,"Needs Remediation")&gt;0)))</f>
        <v/>
      </c>
      <c r="H30" s="15">
        <f>IF($B30="","",SUMPRODUCT((rngSM_cat&lt;&gt;"")*(COUNTIFS(nrSK_PID,$B30,nrSK_Cat,rngSM_cat,nrSK_Status,"Pending")&gt;0)))</f>
        <v/>
      </c>
      <c r="I30" s="15">
        <f>IF($B30="","",COUNTIFS(nrSK_PID,$B30,nrSK_Dis,"Yes"))</f>
        <v/>
      </c>
      <c r="J30" s="15">
        <f>IF($B30="","",IF($I30&gt;0,"Yes","No"))</f>
        <v/>
      </c>
      <c r="K30" s="15">
        <f>IF($B30="","",IF($J30="Yes","No",IF($G30&gt;0,"No","Yes")))</f>
        <v/>
      </c>
      <c r="L30" s="15">
        <f>IF($B30="","",IFERROR(ROUND(AVERAGEIFS(nrSK_Score,nrSK_PID,$B30,nrSK_Cat,"Firearms"),2),""))</f>
        <v/>
      </c>
      <c r="M30" s="15">
        <f>IF($B30="","",IFERROR(_xlfn.MAXIFS(nrSK_Score,nrSK_PID,$B30,nrSK_Cat,"Firearms"),""))</f>
        <v/>
      </c>
    </row>
    <row r="31">
      <c r="B31" s="15">
        <f>IF(Cadets!$B31="","",Cadets!$B31)</f>
        <v/>
      </c>
      <c r="C31" s="15">
        <f>IF($B31="","",Cadets!$F31)</f>
        <v/>
      </c>
      <c r="D31" s="15">
        <f>IF($B31="","",Cadets!$I31)</f>
        <v/>
      </c>
      <c r="E31" s="15">
        <f>IF($B31="","",SUMPRODUCT((rngSM_cat&lt;&gt;"")*(COUNTIFS(nrSK_PID,$B31,nrSK_Cat,rngSM_cat)&gt;0)))</f>
        <v/>
      </c>
      <c r="F31" s="15">
        <f>IF($B31="","",SUMPRODUCT((rngSM_cat&lt;&gt;"")*(COUNTIFS(nrSK_PID,$B31,nrSK_Cat,rngSM_cat,nrSK_Status,"Qualified")&gt;0)))</f>
        <v/>
      </c>
      <c r="G31" s="15">
        <f>IF($B31="","",SUMPRODUCT((rngSM_cat&lt;&gt;"")*(COUNTIFS(nrSK_PID,$B31,nrSK_Cat,rngSM_cat,nrSK_Status,"Needs Remediation")&gt;0)))</f>
        <v/>
      </c>
      <c r="H31" s="15">
        <f>IF($B31="","",SUMPRODUCT((rngSM_cat&lt;&gt;"")*(COUNTIFS(nrSK_PID,$B31,nrSK_Cat,rngSM_cat,nrSK_Status,"Pending")&gt;0)))</f>
        <v/>
      </c>
      <c r="I31" s="15">
        <f>IF($B31="","",COUNTIFS(nrSK_PID,$B31,nrSK_Dis,"Yes"))</f>
        <v/>
      </c>
      <c r="J31" s="15">
        <f>IF($B31="","",IF($I31&gt;0,"Yes","No"))</f>
        <v/>
      </c>
      <c r="K31" s="15">
        <f>IF($B31="","",IF($J31="Yes","No",IF($G31&gt;0,"No","Yes")))</f>
        <v/>
      </c>
      <c r="L31" s="15">
        <f>IF($B31="","",IFERROR(ROUND(AVERAGEIFS(nrSK_Score,nrSK_PID,$B31,nrSK_Cat,"Firearms"),2),""))</f>
        <v/>
      </c>
      <c r="M31" s="15">
        <f>IF($B31="","",IFERROR(_xlfn.MAXIFS(nrSK_Score,nrSK_PID,$B31,nrSK_Cat,"Firearms"),""))</f>
        <v/>
      </c>
    </row>
    <row r="32">
      <c r="B32" s="15">
        <f>IF(Cadets!$B32="","",Cadets!$B32)</f>
        <v/>
      </c>
      <c r="C32" s="15">
        <f>IF($B32="","",Cadets!$F32)</f>
        <v/>
      </c>
      <c r="D32" s="15">
        <f>IF($B32="","",Cadets!$I32)</f>
        <v/>
      </c>
      <c r="E32" s="15">
        <f>IF($B32="","",SUMPRODUCT((rngSM_cat&lt;&gt;"")*(COUNTIFS(nrSK_PID,$B32,nrSK_Cat,rngSM_cat)&gt;0)))</f>
        <v/>
      </c>
      <c r="F32" s="15">
        <f>IF($B32="","",SUMPRODUCT((rngSM_cat&lt;&gt;"")*(COUNTIFS(nrSK_PID,$B32,nrSK_Cat,rngSM_cat,nrSK_Status,"Qualified")&gt;0)))</f>
        <v/>
      </c>
      <c r="G32" s="15">
        <f>IF($B32="","",SUMPRODUCT((rngSM_cat&lt;&gt;"")*(COUNTIFS(nrSK_PID,$B32,nrSK_Cat,rngSM_cat,nrSK_Status,"Needs Remediation")&gt;0)))</f>
        <v/>
      </c>
      <c r="H32" s="15">
        <f>IF($B32="","",SUMPRODUCT((rngSM_cat&lt;&gt;"")*(COUNTIFS(nrSK_PID,$B32,nrSK_Cat,rngSM_cat,nrSK_Status,"Pending")&gt;0)))</f>
        <v/>
      </c>
      <c r="I32" s="15">
        <f>IF($B32="","",COUNTIFS(nrSK_PID,$B32,nrSK_Dis,"Yes"))</f>
        <v/>
      </c>
      <c r="J32" s="15">
        <f>IF($B32="","",IF($I32&gt;0,"Yes","No"))</f>
        <v/>
      </c>
      <c r="K32" s="15">
        <f>IF($B32="","",IF($J32="Yes","No",IF($G32&gt;0,"No","Yes")))</f>
        <v/>
      </c>
      <c r="L32" s="15">
        <f>IF($B32="","",IFERROR(ROUND(AVERAGEIFS(nrSK_Score,nrSK_PID,$B32,nrSK_Cat,"Firearms"),2),""))</f>
        <v/>
      </c>
      <c r="M32" s="15">
        <f>IF($B32="","",IFERROR(_xlfn.MAXIFS(nrSK_Score,nrSK_PID,$B32,nrSK_Cat,"Firearms"),""))</f>
        <v/>
      </c>
    </row>
    <row r="33">
      <c r="B33" s="15">
        <f>IF(Cadets!$B33="","",Cadets!$B33)</f>
        <v/>
      </c>
      <c r="C33" s="15">
        <f>IF($B33="","",Cadets!$F33)</f>
        <v/>
      </c>
      <c r="D33" s="15">
        <f>IF($B33="","",Cadets!$I33)</f>
        <v/>
      </c>
      <c r="E33" s="15">
        <f>IF($B33="","",SUMPRODUCT((rngSM_cat&lt;&gt;"")*(COUNTIFS(nrSK_PID,$B33,nrSK_Cat,rngSM_cat)&gt;0)))</f>
        <v/>
      </c>
      <c r="F33" s="15">
        <f>IF($B33="","",SUMPRODUCT((rngSM_cat&lt;&gt;"")*(COUNTIFS(nrSK_PID,$B33,nrSK_Cat,rngSM_cat,nrSK_Status,"Qualified")&gt;0)))</f>
        <v/>
      </c>
      <c r="G33" s="15">
        <f>IF($B33="","",SUMPRODUCT((rngSM_cat&lt;&gt;"")*(COUNTIFS(nrSK_PID,$B33,nrSK_Cat,rngSM_cat,nrSK_Status,"Needs Remediation")&gt;0)))</f>
        <v/>
      </c>
      <c r="H33" s="15">
        <f>IF($B33="","",SUMPRODUCT((rngSM_cat&lt;&gt;"")*(COUNTIFS(nrSK_PID,$B33,nrSK_Cat,rngSM_cat,nrSK_Status,"Pending")&gt;0)))</f>
        <v/>
      </c>
      <c r="I33" s="15">
        <f>IF($B33="","",COUNTIFS(nrSK_PID,$B33,nrSK_Dis,"Yes"))</f>
        <v/>
      </c>
      <c r="J33" s="15">
        <f>IF($B33="","",IF($I33&gt;0,"Yes","No"))</f>
        <v/>
      </c>
      <c r="K33" s="15">
        <f>IF($B33="","",IF($J33="Yes","No",IF($G33&gt;0,"No","Yes")))</f>
        <v/>
      </c>
      <c r="L33" s="15">
        <f>IF($B33="","",IFERROR(ROUND(AVERAGEIFS(nrSK_Score,nrSK_PID,$B33,nrSK_Cat,"Firearms"),2),""))</f>
        <v/>
      </c>
      <c r="M33" s="15">
        <f>IF($B33="","",IFERROR(_xlfn.MAXIFS(nrSK_Score,nrSK_PID,$B33,nrSK_Cat,"Firearms"),""))</f>
        <v/>
      </c>
    </row>
    <row r="34">
      <c r="B34" s="15">
        <f>IF(Cadets!$B34="","",Cadets!$B34)</f>
        <v/>
      </c>
      <c r="C34" s="15">
        <f>IF($B34="","",Cadets!$F34)</f>
        <v/>
      </c>
      <c r="D34" s="15">
        <f>IF($B34="","",Cadets!$I34)</f>
        <v/>
      </c>
      <c r="E34" s="15">
        <f>IF($B34="","",SUMPRODUCT((rngSM_cat&lt;&gt;"")*(COUNTIFS(nrSK_PID,$B34,nrSK_Cat,rngSM_cat)&gt;0)))</f>
        <v/>
      </c>
      <c r="F34" s="15">
        <f>IF($B34="","",SUMPRODUCT((rngSM_cat&lt;&gt;"")*(COUNTIFS(nrSK_PID,$B34,nrSK_Cat,rngSM_cat,nrSK_Status,"Qualified")&gt;0)))</f>
        <v/>
      </c>
      <c r="G34" s="15">
        <f>IF($B34="","",SUMPRODUCT((rngSM_cat&lt;&gt;"")*(COUNTIFS(nrSK_PID,$B34,nrSK_Cat,rngSM_cat,nrSK_Status,"Needs Remediation")&gt;0)))</f>
        <v/>
      </c>
      <c r="H34" s="15">
        <f>IF($B34="","",SUMPRODUCT((rngSM_cat&lt;&gt;"")*(COUNTIFS(nrSK_PID,$B34,nrSK_Cat,rngSM_cat,nrSK_Status,"Pending")&gt;0)))</f>
        <v/>
      </c>
      <c r="I34" s="15">
        <f>IF($B34="","",COUNTIFS(nrSK_PID,$B34,nrSK_Dis,"Yes"))</f>
        <v/>
      </c>
      <c r="J34" s="15">
        <f>IF($B34="","",IF($I34&gt;0,"Yes","No"))</f>
        <v/>
      </c>
      <c r="K34" s="15">
        <f>IF($B34="","",IF($J34="Yes","No",IF($G34&gt;0,"No","Yes")))</f>
        <v/>
      </c>
      <c r="L34" s="15">
        <f>IF($B34="","",IFERROR(ROUND(AVERAGEIFS(nrSK_Score,nrSK_PID,$B34,nrSK_Cat,"Firearms"),2),""))</f>
        <v/>
      </c>
      <c r="M34" s="15">
        <f>IF($B34="","",IFERROR(_xlfn.MAXIFS(nrSK_Score,nrSK_PID,$B34,nrSK_Cat,"Firearms"),""))</f>
        <v/>
      </c>
    </row>
    <row r="35">
      <c r="B35" s="15">
        <f>IF(Cadets!$B35="","",Cadets!$B35)</f>
        <v/>
      </c>
      <c r="C35" s="15">
        <f>IF($B35="","",Cadets!$F35)</f>
        <v/>
      </c>
      <c r="D35" s="15">
        <f>IF($B35="","",Cadets!$I35)</f>
        <v/>
      </c>
      <c r="E35" s="15">
        <f>IF($B35="","",SUMPRODUCT((rngSM_cat&lt;&gt;"")*(COUNTIFS(nrSK_PID,$B35,nrSK_Cat,rngSM_cat)&gt;0)))</f>
        <v/>
      </c>
      <c r="F35" s="15">
        <f>IF($B35="","",SUMPRODUCT((rngSM_cat&lt;&gt;"")*(COUNTIFS(nrSK_PID,$B35,nrSK_Cat,rngSM_cat,nrSK_Status,"Qualified")&gt;0)))</f>
        <v/>
      </c>
      <c r="G35" s="15">
        <f>IF($B35="","",SUMPRODUCT((rngSM_cat&lt;&gt;"")*(COUNTIFS(nrSK_PID,$B35,nrSK_Cat,rngSM_cat,nrSK_Status,"Needs Remediation")&gt;0)))</f>
        <v/>
      </c>
      <c r="H35" s="15">
        <f>IF($B35="","",SUMPRODUCT((rngSM_cat&lt;&gt;"")*(COUNTIFS(nrSK_PID,$B35,nrSK_Cat,rngSM_cat,nrSK_Status,"Pending")&gt;0)))</f>
        <v/>
      </c>
      <c r="I35" s="15">
        <f>IF($B35="","",COUNTIFS(nrSK_PID,$B35,nrSK_Dis,"Yes"))</f>
        <v/>
      </c>
      <c r="J35" s="15">
        <f>IF($B35="","",IF($I35&gt;0,"Yes","No"))</f>
        <v/>
      </c>
      <c r="K35" s="15">
        <f>IF($B35="","",IF($J35="Yes","No",IF($G35&gt;0,"No","Yes")))</f>
        <v/>
      </c>
      <c r="L35" s="15">
        <f>IF($B35="","",IFERROR(ROUND(AVERAGEIFS(nrSK_Score,nrSK_PID,$B35,nrSK_Cat,"Firearms"),2),""))</f>
        <v/>
      </c>
      <c r="M35" s="15">
        <f>IF($B35="","",IFERROR(_xlfn.MAXIFS(nrSK_Score,nrSK_PID,$B35,nrSK_Cat,"Firearms"),""))</f>
        <v/>
      </c>
    </row>
    <row r="36">
      <c r="B36" s="15">
        <f>IF(Cadets!$B36="","",Cadets!$B36)</f>
        <v/>
      </c>
      <c r="C36" s="15">
        <f>IF($B36="","",Cadets!$F36)</f>
        <v/>
      </c>
      <c r="D36" s="15">
        <f>IF($B36="","",Cadets!$I36)</f>
        <v/>
      </c>
      <c r="E36" s="15">
        <f>IF($B36="","",SUMPRODUCT((rngSM_cat&lt;&gt;"")*(COUNTIFS(nrSK_PID,$B36,nrSK_Cat,rngSM_cat)&gt;0)))</f>
        <v/>
      </c>
      <c r="F36" s="15">
        <f>IF($B36="","",SUMPRODUCT((rngSM_cat&lt;&gt;"")*(COUNTIFS(nrSK_PID,$B36,nrSK_Cat,rngSM_cat,nrSK_Status,"Qualified")&gt;0)))</f>
        <v/>
      </c>
      <c r="G36" s="15">
        <f>IF($B36="","",SUMPRODUCT((rngSM_cat&lt;&gt;"")*(COUNTIFS(nrSK_PID,$B36,nrSK_Cat,rngSM_cat,nrSK_Status,"Needs Remediation")&gt;0)))</f>
        <v/>
      </c>
      <c r="H36" s="15">
        <f>IF($B36="","",SUMPRODUCT((rngSM_cat&lt;&gt;"")*(COUNTIFS(nrSK_PID,$B36,nrSK_Cat,rngSM_cat,nrSK_Status,"Pending")&gt;0)))</f>
        <v/>
      </c>
      <c r="I36" s="15">
        <f>IF($B36="","",COUNTIFS(nrSK_PID,$B36,nrSK_Dis,"Yes"))</f>
        <v/>
      </c>
      <c r="J36" s="15">
        <f>IF($B36="","",IF($I36&gt;0,"Yes","No"))</f>
        <v/>
      </c>
      <c r="K36" s="15">
        <f>IF($B36="","",IF($J36="Yes","No",IF($G36&gt;0,"No","Yes")))</f>
        <v/>
      </c>
      <c r="L36" s="15">
        <f>IF($B36="","",IFERROR(ROUND(AVERAGEIFS(nrSK_Score,nrSK_PID,$B36,nrSK_Cat,"Firearms"),2),""))</f>
        <v/>
      </c>
      <c r="M36" s="15">
        <f>IF($B36="","",IFERROR(_xlfn.MAXIFS(nrSK_Score,nrSK_PID,$B36,nrSK_Cat,"Firearms"),""))</f>
        <v/>
      </c>
    </row>
    <row r="37">
      <c r="B37" s="15">
        <f>IF(Cadets!$B37="","",Cadets!$B37)</f>
        <v/>
      </c>
      <c r="C37" s="15">
        <f>IF($B37="","",Cadets!$F37)</f>
        <v/>
      </c>
      <c r="D37" s="15">
        <f>IF($B37="","",Cadets!$I37)</f>
        <v/>
      </c>
      <c r="E37" s="15">
        <f>IF($B37="","",SUMPRODUCT((rngSM_cat&lt;&gt;"")*(COUNTIFS(nrSK_PID,$B37,nrSK_Cat,rngSM_cat)&gt;0)))</f>
        <v/>
      </c>
      <c r="F37" s="15">
        <f>IF($B37="","",SUMPRODUCT((rngSM_cat&lt;&gt;"")*(COUNTIFS(nrSK_PID,$B37,nrSK_Cat,rngSM_cat,nrSK_Status,"Qualified")&gt;0)))</f>
        <v/>
      </c>
      <c r="G37" s="15">
        <f>IF($B37="","",SUMPRODUCT((rngSM_cat&lt;&gt;"")*(COUNTIFS(nrSK_PID,$B37,nrSK_Cat,rngSM_cat,nrSK_Status,"Needs Remediation")&gt;0)))</f>
        <v/>
      </c>
      <c r="H37" s="15">
        <f>IF($B37="","",SUMPRODUCT((rngSM_cat&lt;&gt;"")*(COUNTIFS(nrSK_PID,$B37,nrSK_Cat,rngSM_cat,nrSK_Status,"Pending")&gt;0)))</f>
        <v/>
      </c>
      <c r="I37" s="15">
        <f>IF($B37="","",COUNTIFS(nrSK_PID,$B37,nrSK_Dis,"Yes"))</f>
        <v/>
      </c>
      <c r="J37" s="15">
        <f>IF($B37="","",IF($I37&gt;0,"Yes","No"))</f>
        <v/>
      </c>
      <c r="K37" s="15">
        <f>IF($B37="","",IF($J37="Yes","No",IF($G37&gt;0,"No","Yes")))</f>
        <v/>
      </c>
      <c r="L37" s="15">
        <f>IF($B37="","",IFERROR(ROUND(AVERAGEIFS(nrSK_Score,nrSK_PID,$B37,nrSK_Cat,"Firearms"),2),""))</f>
        <v/>
      </c>
      <c r="M37" s="15">
        <f>IF($B37="","",IFERROR(_xlfn.MAXIFS(nrSK_Score,nrSK_PID,$B37,nrSK_Cat,"Firearms"),""))</f>
        <v/>
      </c>
    </row>
    <row r="38">
      <c r="B38" s="15">
        <f>IF(Cadets!$B38="","",Cadets!$B38)</f>
        <v/>
      </c>
      <c r="C38" s="15">
        <f>IF($B38="","",Cadets!$F38)</f>
        <v/>
      </c>
      <c r="D38" s="15">
        <f>IF($B38="","",Cadets!$I38)</f>
        <v/>
      </c>
      <c r="E38" s="15">
        <f>IF($B38="","",SUMPRODUCT((rngSM_cat&lt;&gt;"")*(COUNTIFS(nrSK_PID,$B38,nrSK_Cat,rngSM_cat)&gt;0)))</f>
        <v/>
      </c>
      <c r="F38" s="15">
        <f>IF($B38="","",SUMPRODUCT((rngSM_cat&lt;&gt;"")*(COUNTIFS(nrSK_PID,$B38,nrSK_Cat,rngSM_cat,nrSK_Status,"Qualified")&gt;0)))</f>
        <v/>
      </c>
      <c r="G38" s="15">
        <f>IF($B38="","",SUMPRODUCT((rngSM_cat&lt;&gt;"")*(COUNTIFS(nrSK_PID,$B38,nrSK_Cat,rngSM_cat,nrSK_Status,"Needs Remediation")&gt;0)))</f>
        <v/>
      </c>
      <c r="H38" s="15">
        <f>IF($B38="","",SUMPRODUCT((rngSM_cat&lt;&gt;"")*(COUNTIFS(nrSK_PID,$B38,nrSK_Cat,rngSM_cat,nrSK_Status,"Pending")&gt;0)))</f>
        <v/>
      </c>
      <c r="I38" s="15">
        <f>IF($B38="","",COUNTIFS(nrSK_PID,$B38,nrSK_Dis,"Yes"))</f>
        <v/>
      </c>
      <c r="J38" s="15">
        <f>IF($B38="","",IF($I38&gt;0,"Yes","No"))</f>
        <v/>
      </c>
      <c r="K38" s="15">
        <f>IF($B38="","",IF($J38="Yes","No",IF($G38&gt;0,"No","Yes")))</f>
        <v/>
      </c>
      <c r="L38" s="15">
        <f>IF($B38="","",IFERROR(ROUND(AVERAGEIFS(nrSK_Score,nrSK_PID,$B38,nrSK_Cat,"Firearms"),2),""))</f>
        <v/>
      </c>
      <c r="M38" s="15">
        <f>IF($B38="","",IFERROR(_xlfn.MAXIFS(nrSK_Score,nrSK_PID,$B38,nrSK_Cat,"Firearms"),""))</f>
        <v/>
      </c>
    </row>
    <row r="39">
      <c r="B39" s="15">
        <f>IF(Cadets!$B39="","",Cadets!$B39)</f>
        <v/>
      </c>
      <c r="C39" s="15">
        <f>IF($B39="","",Cadets!$F39)</f>
        <v/>
      </c>
      <c r="D39" s="15">
        <f>IF($B39="","",Cadets!$I39)</f>
        <v/>
      </c>
      <c r="E39" s="15">
        <f>IF($B39="","",SUMPRODUCT((rngSM_cat&lt;&gt;"")*(COUNTIFS(nrSK_PID,$B39,nrSK_Cat,rngSM_cat)&gt;0)))</f>
        <v/>
      </c>
      <c r="F39" s="15">
        <f>IF($B39="","",SUMPRODUCT((rngSM_cat&lt;&gt;"")*(COUNTIFS(nrSK_PID,$B39,nrSK_Cat,rngSM_cat,nrSK_Status,"Qualified")&gt;0)))</f>
        <v/>
      </c>
      <c r="G39" s="15">
        <f>IF($B39="","",SUMPRODUCT((rngSM_cat&lt;&gt;"")*(COUNTIFS(nrSK_PID,$B39,nrSK_Cat,rngSM_cat,nrSK_Status,"Needs Remediation")&gt;0)))</f>
        <v/>
      </c>
      <c r="H39" s="15">
        <f>IF($B39="","",SUMPRODUCT((rngSM_cat&lt;&gt;"")*(COUNTIFS(nrSK_PID,$B39,nrSK_Cat,rngSM_cat,nrSK_Status,"Pending")&gt;0)))</f>
        <v/>
      </c>
      <c r="I39" s="15">
        <f>IF($B39="","",COUNTIFS(nrSK_PID,$B39,nrSK_Dis,"Yes"))</f>
        <v/>
      </c>
      <c r="J39" s="15">
        <f>IF($B39="","",IF($I39&gt;0,"Yes","No"))</f>
        <v/>
      </c>
      <c r="K39" s="15">
        <f>IF($B39="","",IF($J39="Yes","No",IF($G39&gt;0,"No","Yes")))</f>
        <v/>
      </c>
      <c r="L39" s="15">
        <f>IF($B39="","",IFERROR(ROUND(AVERAGEIFS(nrSK_Score,nrSK_PID,$B39,nrSK_Cat,"Firearms"),2),""))</f>
        <v/>
      </c>
      <c r="M39" s="15">
        <f>IF($B39="","",IFERROR(_xlfn.MAXIFS(nrSK_Score,nrSK_PID,$B39,nrSK_Cat,"Firearms"),""))</f>
        <v/>
      </c>
    </row>
    <row r="40">
      <c r="B40" s="15">
        <f>IF(Cadets!$B40="","",Cadets!$B40)</f>
        <v/>
      </c>
      <c r="C40" s="15">
        <f>IF($B40="","",Cadets!$F40)</f>
        <v/>
      </c>
      <c r="D40" s="15">
        <f>IF($B40="","",Cadets!$I40)</f>
        <v/>
      </c>
      <c r="E40" s="15">
        <f>IF($B40="","",SUMPRODUCT((rngSM_cat&lt;&gt;"")*(COUNTIFS(nrSK_PID,$B40,nrSK_Cat,rngSM_cat)&gt;0)))</f>
        <v/>
      </c>
      <c r="F40" s="15">
        <f>IF($B40="","",SUMPRODUCT((rngSM_cat&lt;&gt;"")*(COUNTIFS(nrSK_PID,$B40,nrSK_Cat,rngSM_cat,nrSK_Status,"Qualified")&gt;0)))</f>
        <v/>
      </c>
      <c r="G40" s="15">
        <f>IF($B40="","",SUMPRODUCT((rngSM_cat&lt;&gt;"")*(COUNTIFS(nrSK_PID,$B40,nrSK_Cat,rngSM_cat,nrSK_Status,"Needs Remediation")&gt;0)))</f>
        <v/>
      </c>
      <c r="H40" s="15">
        <f>IF($B40="","",SUMPRODUCT((rngSM_cat&lt;&gt;"")*(COUNTIFS(nrSK_PID,$B40,nrSK_Cat,rngSM_cat,nrSK_Status,"Pending")&gt;0)))</f>
        <v/>
      </c>
      <c r="I40" s="15">
        <f>IF($B40="","",COUNTIFS(nrSK_PID,$B40,nrSK_Dis,"Yes"))</f>
        <v/>
      </c>
      <c r="J40" s="15">
        <f>IF($B40="","",IF($I40&gt;0,"Yes","No"))</f>
        <v/>
      </c>
      <c r="K40" s="15">
        <f>IF($B40="","",IF($J40="Yes","No",IF($G40&gt;0,"No","Yes")))</f>
        <v/>
      </c>
      <c r="L40" s="15">
        <f>IF($B40="","",IFERROR(ROUND(AVERAGEIFS(nrSK_Score,nrSK_PID,$B40,nrSK_Cat,"Firearms"),2),""))</f>
        <v/>
      </c>
      <c r="M40" s="15">
        <f>IF($B40="","",IFERROR(_xlfn.MAXIFS(nrSK_Score,nrSK_PID,$B40,nrSK_Cat,"Firearms"),""))</f>
        <v/>
      </c>
    </row>
    <row r="41">
      <c r="B41" s="15">
        <f>IF(Cadets!$B41="","",Cadets!$B41)</f>
        <v/>
      </c>
      <c r="C41" s="15">
        <f>IF($B41="","",Cadets!$F41)</f>
        <v/>
      </c>
      <c r="D41" s="15">
        <f>IF($B41="","",Cadets!$I41)</f>
        <v/>
      </c>
      <c r="E41" s="15">
        <f>IF($B41="","",SUMPRODUCT((rngSM_cat&lt;&gt;"")*(COUNTIFS(nrSK_PID,$B41,nrSK_Cat,rngSM_cat)&gt;0)))</f>
        <v/>
      </c>
      <c r="F41" s="15">
        <f>IF($B41="","",SUMPRODUCT((rngSM_cat&lt;&gt;"")*(COUNTIFS(nrSK_PID,$B41,nrSK_Cat,rngSM_cat,nrSK_Status,"Qualified")&gt;0)))</f>
        <v/>
      </c>
      <c r="G41" s="15">
        <f>IF($B41="","",SUMPRODUCT((rngSM_cat&lt;&gt;"")*(COUNTIFS(nrSK_PID,$B41,nrSK_Cat,rngSM_cat,nrSK_Status,"Needs Remediation")&gt;0)))</f>
        <v/>
      </c>
      <c r="H41" s="15">
        <f>IF($B41="","",SUMPRODUCT((rngSM_cat&lt;&gt;"")*(COUNTIFS(nrSK_PID,$B41,nrSK_Cat,rngSM_cat,nrSK_Status,"Pending")&gt;0)))</f>
        <v/>
      </c>
      <c r="I41" s="15">
        <f>IF($B41="","",COUNTIFS(nrSK_PID,$B41,nrSK_Dis,"Yes"))</f>
        <v/>
      </c>
      <c r="J41" s="15">
        <f>IF($B41="","",IF($I41&gt;0,"Yes","No"))</f>
        <v/>
      </c>
      <c r="K41" s="15">
        <f>IF($B41="","",IF($J41="Yes","No",IF($G41&gt;0,"No","Yes")))</f>
        <v/>
      </c>
      <c r="L41" s="15">
        <f>IF($B41="","",IFERROR(ROUND(AVERAGEIFS(nrSK_Score,nrSK_PID,$B41,nrSK_Cat,"Firearms"),2),""))</f>
        <v/>
      </c>
      <c r="M41" s="15">
        <f>IF($B41="","",IFERROR(_xlfn.MAXIFS(nrSK_Score,nrSK_PID,$B41,nrSK_Cat,"Firearms"),""))</f>
        <v/>
      </c>
    </row>
    <row r="42">
      <c r="B42" s="15">
        <f>IF(Cadets!$B42="","",Cadets!$B42)</f>
        <v/>
      </c>
      <c r="C42" s="15">
        <f>IF($B42="","",Cadets!$F42)</f>
        <v/>
      </c>
      <c r="D42" s="15">
        <f>IF($B42="","",Cadets!$I42)</f>
        <v/>
      </c>
      <c r="E42" s="15">
        <f>IF($B42="","",SUMPRODUCT((rngSM_cat&lt;&gt;"")*(COUNTIFS(nrSK_PID,$B42,nrSK_Cat,rngSM_cat)&gt;0)))</f>
        <v/>
      </c>
      <c r="F42" s="15">
        <f>IF($B42="","",SUMPRODUCT((rngSM_cat&lt;&gt;"")*(COUNTIFS(nrSK_PID,$B42,nrSK_Cat,rngSM_cat,nrSK_Status,"Qualified")&gt;0)))</f>
        <v/>
      </c>
      <c r="G42" s="15">
        <f>IF($B42="","",SUMPRODUCT((rngSM_cat&lt;&gt;"")*(COUNTIFS(nrSK_PID,$B42,nrSK_Cat,rngSM_cat,nrSK_Status,"Needs Remediation")&gt;0)))</f>
        <v/>
      </c>
      <c r="H42" s="15">
        <f>IF($B42="","",SUMPRODUCT((rngSM_cat&lt;&gt;"")*(COUNTIFS(nrSK_PID,$B42,nrSK_Cat,rngSM_cat,nrSK_Status,"Pending")&gt;0)))</f>
        <v/>
      </c>
      <c r="I42" s="15">
        <f>IF($B42="","",COUNTIFS(nrSK_PID,$B42,nrSK_Dis,"Yes"))</f>
        <v/>
      </c>
      <c r="J42" s="15">
        <f>IF($B42="","",IF($I42&gt;0,"Yes","No"))</f>
        <v/>
      </c>
      <c r="K42" s="15">
        <f>IF($B42="","",IF($J42="Yes","No",IF($G42&gt;0,"No","Yes")))</f>
        <v/>
      </c>
      <c r="L42" s="15">
        <f>IF($B42="","",IFERROR(ROUND(AVERAGEIFS(nrSK_Score,nrSK_PID,$B42,nrSK_Cat,"Firearms"),2),""))</f>
        <v/>
      </c>
      <c r="M42" s="15">
        <f>IF($B42="","",IFERROR(_xlfn.MAXIFS(nrSK_Score,nrSK_PID,$B42,nrSK_Cat,"Firearms"),""))</f>
        <v/>
      </c>
    </row>
    <row r="43">
      <c r="B43" s="15">
        <f>IF(Cadets!$B43="","",Cadets!$B43)</f>
        <v/>
      </c>
      <c r="C43" s="15">
        <f>IF($B43="","",Cadets!$F43)</f>
        <v/>
      </c>
      <c r="D43" s="15">
        <f>IF($B43="","",Cadets!$I43)</f>
        <v/>
      </c>
      <c r="E43" s="15">
        <f>IF($B43="","",SUMPRODUCT((rngSM_cat&lt;&gt;"")*(COUNTIFS(nrSK_PID,$B43,nrSK_Cat,rngSM_cat)&gt;0)))</f>
        <v/>
      </c>
      <c r="F43" s="15">
        <f>IF($B43="","",SUMPRODUCT((rngSM_cat&lt;&gt;"")*(COUNTIFS(nrSK_PID,$B43,nrSK_Cat,rngSM_cat,nrSK_Status,"Qualified")&gt;0)))</f>
        <v/>
      </c>
      <c r="G43" s="15">
        <f>IF($B43="","",SUMPRODUCT((rngSM_cat&lt;&gt;"")*(COUNTIFS(nrSK_PID,$B43,nrSK_Cat,rngSM_cat,nrSK_Status,"Needs Remediation")&gt;0)))</f>
        <v/>
      </c>
      <c r="H43" s="15">
        <f>IF($B43="","",SUMPRODUCT((rngSM_cat&lt;&gt;"")*(COUNTIFS(nrSK_PID,$B43,nrSK_Cat,rngSM_cat,nrSK_Status,"Pending")&gt;0)))</f>
        <v/>
      </c>
      <c r="I43" s="15">
        <f>IF($B43="","",COUNTIFS(nrSK_PID,$B43,nrSK_Dis,"Yes"))</f>
        <v/>
      </c>
      <c r="J43" s="15">
        <f>IF($B43="","",IF($I43&gt;0,"Yes","No"))</f>
        <v/>
      </c>
      <c r="K43" s="15">
        <f>IF($B43="","",IF($J43="Yes","No",IF($G43&gt;0,"No","Yes")))</f>
        <v/>
      </c>
      <c r="L43" s="15">
        <f>IF($B43="","",IFERROR(ROUND(AVERAGEIFS(nrSK_Score,nrSK_PID,$B43,nrSK_Cat,"Firearms"),2),""))</f>
        <v/>
      </c>
      <c r="M43" s="15">
        <f>IF($B43="","",IFERROR(_xlfn.MAXIFS(nrSK_Score,nrSK_PID,$B43,nrSK_Cat,"Firearms"),""))</f>
        <v/>
      </c>
    </row>
    <row r="44">
      <c r="B44" s="15">
        <f>IF(Cadets!$B44="","",Cadets!$B44)</f>
        <v/>
      </c>
      <c r="C44" s="15">
        <f>IF($B44="","",Cadets!$F44)</f>
        <v/>
      </c>
      <c r="D44" s="15">
        <f>IF($B44="","",Cadets!$I44)</f>
        <v/>
      </c>
      <c r="E44" s="15">
        <f>IF($B44="","",SUMPRODUCT((rngSM_cat&lt;&gt;"")*(COUNTIFS(nrSK_PID,$B44,nrSK_Cat,rngSM_cat)&gt;0)))</f>
        <v/>
      </c>
      <c r="F44" s="15">
        <f>IF($B44="","",SUMPRODUCT((rngSM_cat&lt;&gt;"")*(COUNTIFS(nrSK_PID,$B44,nrSK_Cat,rngSM_cat,nrSK_Status,"Qualified")&gt;0)))</f>
        <v/>
      </c>
      <c r="G44" s="15">
        <f>IF($B44="","",SUMPRODUCT((rngSM_cat&lt;&gt;"")*(COUNTIFS(nrSK_PID,$B44,nrSK_Cat,rngSM_cat,nrSK_Status,"Needs Remediation")&gt;0)))</f>
        <v/>
      </c>
      <c r="H44" s="15">
        <f>IF($B44="","",SUMPRODUCT((rngSM_cat&lt;&gt;"")*(COUNTIFS(nrSK_PID,$B44,nrSK_Cat,rngSM_cat,nrSK_Status,"Pending")&gt;0)))</f>
        <v/>
      </c>
      <c r="I44" s="15">
        <f>IF($B44="","",COUNTIFS(nrSK_PID,$B44,nrSK_Dis,"Yes"))</f>
        <v/>
      </c>
      <c r="J44" s="15">
        <f>IF($B44="","",IF($I44&gt;0,"Yes","No"))</f>
        <v/>
      </c>
      <c r="K44" s="15">
        <f>IF($B44="","",IF($J44="Yes","No",IF($G44&gt;0,"No","Yes")))</f>
        <v/>
      </c>
      <c r="L44" s="15">
        <f>IF($B44="","",IFERROR(ROUND(AVERAGEIFS(nrSK_Score,nrSK_PID,$B44,nrSK_Cat,"Firearms"),2),""))</f>
        <v/>
      </c>
      <c r="M44" s="15">
        <f>IF($B44="","",IFERROR(_xlfn.MAXIFS(nrSK_Score,nrSK_PID,$B44,nrSK_Cat,"Firearms"),""))</f>
        <v/>
      </c>
    </row>
    <row r="45">
      <c r="B45" s="15">
        <f>IF(Cadets!$B45="","",Cadets!$B45)</f>
        <v/>
      </c>
      <c r="C45" s="15">
        <f>IF($B45="","",Cadets!$F45)</f>
        <v/>
      </c>
      <c r="D45" s="15">
        <f>IF($B45="","",Cadets!$I45)</f>
        <v/>
      </c>
      <c r="E45" s="15">
        <f>IF($B45="","",SUMPRODUCT((rngSM_cat&lt;&gt;"")*(COUNTIFS(nrSK_PID,$B45,nrSK_Cat,rngSM_cat)&gt;0)))</f>
        <v/>
      </c>
      <c r="F45" s="15">
        <f>IF($B45="","",SUMPRODUCT((rngSM_cat&lt;&gt;"")*(COUNTIFS(nrSK_PID,$B45,nrSK_Cat,rngSM_cat,nrSK_Status,"Qualified")&gt;0)))</f>
        <v/>
      </c>
      <c r="G45" s="15">
        <f>IF($B45="","",SUMPRODUCT((rngSM_cat&lt;&gt;"")*(COUNTIFS(nrSK_PID,$B45,nrSK_Cat,rngSM_cat,nrSK_Status,"Needs Remediation")&gt;0)))</f>
        <v/>
      </c>
      <c r="H45" s="15">
        <f>IF($B45="","",SUMPRODUCT((rngSM_cat&lt;&gt;"")*(COUNTIFS(nrSK_PID,$B45,nrSK_Cat,rngSM_cat,nrSK_Status,"Pending")&gt;0)))</f>
        <v/>
      </c>
      <c r="I45" s="15">
        <f>IF($B45="","",COUNTIFS(nrSK_PID,$B45,nrSK_Dis,"Yes"))</f>
        <v/>
      </c>
      <c r="J45" s="15">
        <f>IF($B45="","",IF($I45&gt;0,"Yes","No"))</f>
        <v/>
      </c>
      <c r="K45" s="15">
        <f>IF($B45="","",IF($J45="Yes","No",IF($G45&gt;0,"No","Yes")))</f>
        <v/>
      </c>
      <c r="L45" s="15">
        <f>IF($B45="","",IFERROR(ROUND(AVERAGEIFS(nrSK_Score,nrSK_PID,$B45,nrSK_Cat,"Firearms"),2),""))</f>
        <v/>
      </c>
      <c r="M45" s="15">
        <f>IF($B45="","",IFERROR(_xlfn.MAXIFS(nrSK_Score,nrSK_PID,$B45,nrSK_Cat,"Firearms"),""))</f>
        <v/>
      </c>
    </row>
    <row r="46">
      <c r="B46" s="15">
        <f>IF(Cadets!$B46="","",Cadets!$B46)</f>
        <v/>
      </c>
      <c r="C46" s="15">
        <f>IF($B46="","",Cadets!$F46)</f>
        <v/>
      </c>
      <c r="D46" s="15">
        <f>IF($B46="","",Cadets!$I46)</f>
        <v/>
      </c>
      <c r="E46" s="15">
        <f>IF($B46="","",SUMPRODUCT((rngSM_cat&lt;&gt;"")*(COUNTIFS(nrSK_PID,$B46,nrSK_Cat,rngSM_cat)&gt;0)))</f>
        <v/>
      </c>
      <c r="F46" s="15">
        <f>IF($B46="","",SUMPRODUCT((rngSM_cat&lt;&gt;"")*(COUNTIFS(nrSK_PID,$B46,nrSK_Cat,rngSM_cat,nrSK_Status,"Qualified")&gt;0)))</f>
        <v/>
      </c>
      <c r="G46" s="15">
        <f>IF($B46="","",SUMPRODUCT((rngSM_cat&lt;&gt;"")*(COUNTIFS(nrSK_PID,$B46,nrSK_Cat,rngSM_cat,nrSK_Status,"Needs Remediation")&gt;0)))</f>
        <v/>
      </c>
      <c r="H46" s="15">
        <f>IF($B46="","",SUMPRODUCT((rngSM_cat&lt;&gt;"")*(COUNTIFS(nrSK_PID,$B46,nrSK_Cat,rngSM_cat,nrSK_Status,"Pending")&gt;0)))</f>
        <v/>
      </c>
      <c r="I46" s="15">
        <f>IF($B46="","",COUNTIFS(nrSK_PID,$B46,nrSK_Dis,"Yes"))</f>
        <v/>
      </c>
      <c r="J46" s="15">
        <f>IF($B46="","",IF($I46&gt;0,"Yes","No"))</f>
        <v/>
      </c>
      <c r="K46" s="15">
        <f>IF($B46="","",IF($J46="Yes","No",IF($G46&gt;0,"No","Yes")))</f>
        <v/>
      </c>
      <c r="L46" s="15">
        <f>IF($B46="","",IFERROR(ROUND(AVERAGEIFS(nrSK_Score,nrSK_PID,$B46,nrSK_Cat,"Firearms"),2),""))</f>
        <v/>
      </c>
      <c r="M46" s="15">
        <f>IF($B46="","",IFERROR(_xlfn.MAXIFS(nrSK_Score,nrSK_PID,$B46,nrSK_Cat,"Firearms"),""))</f>
        <v/>
      </c>
    </row>
    <row r="47">
      <c r="B47" s="15">
        <f>IF(Cadets!$B47="","",Cadets!$B47)</f>
        <v/>
      </c>
      <c r="C47" s="15">
        <f>IF($B47="","",Cadets!$F47)</f>
        <v/>
      </c>
      <c r="D47" s="15">
        <f>IF($B47="","",Cadets!$I47)</f>
        <v/>
      </c>
      <c r="E47" s="15">
        <f>IF($B47="","",SUMPRODUCT((rngSM_cat&lt;&gt;"")*(COUNTIFS(nrSK_PID,$B47,nrSK_Cat,rngSM_cat)&gt;0)))</f>
        <v/>
      </c>
      <c r="F47" s="15">
        <f>IF($B47="","",SUMPRODUCT((rngSM_cat&lt;&gt;"")*(COUNTIFS(nrSK_PID,$B47,nrSK_Cat,rngSM_cat,nrSK_Status,"Qualified")&gt;0)))</f>
        <v/>
      </c>
      <c r="G47" s="15">
        <f>IF($B47="","",SUMPRODUCT((rngSM_cat&lt;&gt;"")*(COUNTIFS(nrSK_PID,$B47,nrSK_Cat,rngSM_cat,nrSK_Status,"Needs Remediation")&gt;0)))</f>
        <v/>
      </c>
      <c r="H47" s="15">
        <f>IF($B47="","",SUMPRODUCT((rngSM_cat&lt;&gt;"")*(COUNTIFS(nrSK_PID,$B47,nrSK_Cat,rngSM_cat,nrSK_Status,"Pending")&gt;0)))</f>
        <v/>
      </c>
      <c r="I47" s="15">
        <f>IF($B47="","",COUNTIFS(nrSK_PID,$B47,nrSK_Dis,"Yes"))</f>
        <v/>
      </c>
      <c r="J47" s="15">
        <f>IF($B47="","",IF($I47&gt;0,"Yes","No"))</f>
        <v/>
      </c>
      <c r="K47" s="15">
        <f>IF($B47="","",IF($J47="Yes","No",IF($G47&gt;0,"No","Yes")))</f>
        <v/>
      </c>
      <c r="L47" s="15">
        <f>IF($B47="","",IFERROR(ROUND(AVERAGEIFS(nrSK_Score,nrSK_PID,$B47,nrSK_Cat,"Firearms"),2),""))</f>
        <v/>
      </c>
      <c r="M47" s="15">
        <f>IF($B47="","",IFERROR(_xlfn.MAXIFS(nrSK_Score,nrSK_PID,$B47,nrSK_Cat,"Firearms"),""))</f>
        <v/>
      </c>
    </row>
    <row r="48">
      <c r="B48" s="15">
        <f>IF(Cadets!$B48="","",Cadets!$B48)</f>
        <v/>
      </c>
      <c r="C48" s="15">
        <f>IF($B48="","",Cadets!$F48)</f>
        <v/>
      </c>
      <c r="D48" s="15">
        <f>IF($B48="","",Cadets!$I48)</f>
        <v/>
      </c>
      <c r="E48" s="15">
        <f>IF($B48="","",SUMPRODUCT((rngSM_cat&lt;&gt;"")*(COUNTIFS(nrSK_PID,$B48,nrSK_Cat,rngSM_cat)&gt;0)))</f>
        <v/>
      </c>
      <c r="F48" s="15">
        <f>IF($B48="","",SUMPRODUCT((rngSM_cat&lt;&gt;"")*(COUNTIFS(nrSK_PID,$B48,nrSK_Cat,rngSM_cat,nrSK_Status,"Qualified")&gt;0)))</f>
        <v/>
      </c>
      <c r="G48" s="15">
        <f>IF($B48="","",SUMPRODUCT((rngSM_cat&lt;&gt;"")*(COUNTIFS(nrSK_PID,$B48,nrSK_Cat,rngSM_cat,nrSK_Status,"Needs Remediation")&gt;0)))</f>
        <v/>
      </c>
      <c r="H48" s="15">
        <f>IF($B48="","",SUMPRODUCT((rngSM_cat&lt;&gt;"")*(COUNTIFS(nrSK_PID,$B48,nrSK_Cat,rngSM_cat,nrSK_Status,"Pending")&gt;0)))</f>
        <v/>
      </c>
      <c r="I48" s="15">
        <f>IF($B48="","",COUNTIFS(nrSK_PID,$B48,nrSK_Dis,"Yes"))</f>
        <v/>
      </c>
      <c r="J48" s="15">
        <f>IF($B48="","",IF($I48&gt;0,"Yes","No"))</f>
        <v/>
      </c>
      <c r="K48" s="15">
        <f>IF($B48="","",IF($J48="Yes","No",IF($G48&gt;0,"No","Yes")))</f>
        <v/>
      </c>
      <c r="L48" s="15">
        <f>IF($B48="","",IFERROR(ROUND(AVERAGEIFS(nrSK_Score,nrSK_PID,$B48,nrSK_Cat,"Firearms"),2),""))</f>
        <v/>
      </c>
      <c r="M48" s="15">
        <f>IF($B48="","",IFERROR(_xlfn.MAXIFS(nrSK_Score,nrSK_PID,$B48,nrSK_Cat,"Firearms"),""))</f>
        <v/>
      </c>
    </row>
    <row r="49">
      <c r="B49" s="15">
        <f>IF(Cadets!$B49="","",Cadets!$B49)</f>
        <v/>
      </c>
      <c r="C49" s="15">
        <f>IF($B49="","",Cadets!$F49)</f>
        <v/>
      </c>
      <c r="D49" s="15">
        <f>IF($B49="","",Cadets!$I49)</f>
        <v/>
      </c>
      <c r="E49" s="15">
        <f>IF($B49="","",SUMPRODUCT((rngSM_cat&lt;&gt;"")*(COUNTIFS(nrSK_PID,$B49,nrSK_Cat,rngSM_cat)&gt;0)))</f>
        <v/>
      </c>
      <c r="F49" s="15">
        <f>IF($B49="","",SUMPRODUCT((rngSM_cat&lt;&gt;"")*(COUNTIFS(nrSK_PID,$B49,nrSK_Cat,rngSM_cat,nrSK_Status,"Qualified")&gt;0)))</f>
        <v/>
      </c>
      <c r="G49" s="15">
        <f>IF($B49="","",SUMPRODUCT((rngSM_cat&lt;&gt;"")*(COUNTIFS(nrSK_PID,$B49,nrSK_Cat,rngSM_cat,nrSK_Status,"Needs Remediation")&gt;0)))</f>
        <v/>
      </c>
      <c r="H49" s="15">
        <f>IF($B49="","",SUMPRODUCT((rngSM_cat&lt;&gt;"")*(COUNTIFS(nrSK_PID,$B49,nrSK_Cat,rngSM_cat,nrSK_Status,"Pending")&gt;0)))</f>
        <v/>
      </c>
      <c r="I49" s="15">
        <f>IF($B49="","",COUNTIFS(nrSK_PID,$B49,nrSK_Dis,"Yes"))</f>
        <v/>
      </c>
      <c r="J49" s="15">
        <f>IF($B49="","",IF($I49&gt;0,"Yes","No"))</f>
        <v/>
      </c>
      <c r="K49" s="15">
        <f>IF($B49="","",IF($J49="Yes","No",IF($G49&gt;0,"No","Yes")))</f>
        <v/>
      </c>
      <c r="L49" s="15">
        <f>IF($B49="","",IFERROR(ROUND(AVERAGEIFS(nrSK_Score,nrSK_PID,$B49,nrSK_Cat,"Firearms"),2),""))</f>
        <v/>
      </c>
      <c r="M49" s="15">
        <f>IF($B49="","",IFERROR(_xlfn.MAXIFS(nrSK_Score,nrSK_PID,$B49,nrSK_Cat,"Firearms"),""))</f>
        <v/>
      </c>
    </row>
    <row r="50">
      <c r="B50" s="15">
        <f>IF(Cadets!$B50="","",Cadets!$B50)</f>
        <v/>
      </c>
      <c r="C50" s="15">
        <f>IF($B50="","",Cadets!$F50)</f>
        <v/>
      </c>
      <c r="D50" s="15">
        <f>IF($B50="","",Cadets!$I50)</f>
        <v/>
      </c>
      <c r="E50" s="15">
        <f>IF($B50="","",SUMPRODUCT((rngSM_cat&lt;&gt;"")*(COUNTIFS(nrSK_PID,$B50,nrSK_Cat,rngSM_cat)&gt;0)))</f>
        <v/>
      </c>
      <c r="F50" s="15">
        <f>IF($B50="","",SUMPRODUCT((rngSM_cat&lt;&gt;"")*(COUNTIFS(nrSK_PID,$B50,nrSK_Cat,rngSM_cat,nrSK_Status,"Qualified")&gt;0)))</f>
        <v/>
      </c>
      <c r="G50" s="15">
        <f>IF($B50="","",SUMPRODUCT((rngSM_cat&lt;&gt;"")*(COUNTIFS(nrSK_PID,$B50,nrSK_Cat,rngSM_cat,nrSK_Status,"Needs Remediation")&gt;0)))</f>
        <v/>
      </c>
      <c r="H50" s="15">
        <f>IF($B50="","",SUMPRODUCT((rngSM_cat&lt;&gt;"")*(COUNTIFS(nrSK_PID,$B50,nrSK_Cat,rngSM_cat,nrSK_Status,"Pending")&gt;0)))</f>
        <v/>
      </c>
      <c r="I50" s="15">
        <f>IF($B50="","",COUNTIFS(nrSK_PID,$B50,nrSK_Dis,"Yes"))</f>
        <v/>
      </c>
      <c r="J50" s="15">
        <f>IF($B50="","",IF($I50&gt;0,"Yes","No"))</f>
        <v/>
      </c>
      <c r="K50" s="15">
        <f>IF($B50="","",IF($J50="Yes","No",IF($G50&gt;0,"No","Yes")))</f>
        <v/>
      </c>
      <c r="L50" s="15">
        <f>IF($B50="","",IFERROR(ROUND(AVERAGEIFS(nrSK_Score,nrSK_PID,$B50,nrSK_Cat,"Firearms"),2),""))</f>
        <v/>
      </c>
      <c r="M50" s="15">
        <f>IF($B50="","",IFERROR(_xlfn.MAXIFS(nrSK_Score,nrSK_PID,$B50,nrSK_Cat,"Firearms"),""))</f>
        <v/>
      </c>
    </row>
    <row r="51">
      <c r="B51" s="15">
        <f>IF(Cadets!$B51="","",Cadets!$B51)</f>
        <v/>
      </c>
      <c r="C51" s="15">
        <f>IF($B51="","",Cadets!$F51)</f>
        <v/>
      </c>
      <c r="D51" s="15">
        <f>IF($B51="","",Cadets!$I51)</f>
        <v/>
      </c>
      <c r="E51" s="15">
        <f>IF($B51="","",SUMPRODUCT((rngSM_cat&lt;&gt;"")*(COUNTIFS(nrSK_PID,$B51,nrSK_Cat,rngSM_cat)&gt;0)))</f>
        <v/>
      </c>
      <c r="F51" s="15">
        <f>IF($B51="","",SUMPRODUCT((rngSM_cat&lt;&gt;"")*(COUNTIFS(nrSK_PID,$B51,nrSK_Cat,rngSM_cat,nrSK_Status,"Qualified")&gt;0)))</f>
        <v/>
      </c>
      <c r="G51" s="15">
        <f>IF($B51="","",SUMPRODUCT((rngSM_cat&lt;&gt;"")*(COUNTIFS(nrSK_PID,$B51,nrSK_Cat,rngSM_cat,nrSK_Status,"Needs Remediation")&gt;0)))</f>
        <v/>
      </c>
      <c r="H51" s="15">
        <f>IF($B51="","",SUMPRODUCT((rngSM_cat&lt;&gt;"")*(COUNTIFS(nrSK_PID,$B51,nrSK_Cat,rngSM_cat,nrSK_Status,"Pending")&gt;0)))</f>
        <v/>
      </c>
      <c r="I51" s="15">
        <f>IF($B51="","",COUNTIFS(nrSK_PID,$B51,nrSK_Dis,"Yes"))</f>
        <v/>
      </c>
      <c r="J51" s="15">
        <f>IF($B51="","",IF($I51&gt;0,"Yes","No"))</f>
        <v/>
      </c>
      <c r="K51" s="15">
        <f>IF($B51="","",IF($J51="Yes","No",IF($G51&gt;0,"No","Yes")))</f>
        <v/>
      </c>
      <c r="L51" s="15">
        <f>IF($B51="","",IFERROR(ROUND(AVERAGEIFS(nrSK_Score,nrSK_PID,$B51,nrSK_Cat,"Firearms"),2),""))</f>
        <v/>
      </c>
      <c r="M51" s="15">
        <f>IF($B51="","",IFERROR(_xlfn.MAXIFS(nrSK_Score,nrSK_PID,$B51,nrSK_Cat,"Firearms"),""))</f>
        <v/>
      </c>
    </row>
    <row r="52">
      <c r="B52" s="15">
        <f>IF(Cadets!$B52="","",Cadets!$B52)</f>
        <v/>
      </c>
      <c r="C52" s="15">
        <f>IF($B52="","",Cadets!$F52)</f>
        <v/>
      </c>
      <c r="D52" s="15">
        <f>IF($B52="","",Cadets!$I52)</f>
        <v/>
      </c>
      <c r="E52" s="15">
        <f>IF($B52="","",SUMPRODUCT((rngSM_cat&lt;&gt;"")*(COUNTIFS(nrSK_PID,$B52,nrSK_Cat,rngSM_cat)&gt;0)))</f>
        <v/>
      </c>
      <c r="F52" s="15">
        <f>IF($B52="","",SUMPRODUCT((rngSM_cat&lt;&gt;"")*(COUNTIFS(nrSK_PID,$B52,nrSK_Cat,rngSM_cat,nrSK_Status,"Qualified")&gt;0)))</f>
        <v/>
      </c>
      <c r="G52" s="15">
        <f>IF($B52="","",SUMPRODUCT((rngSM_cat&lt;&gt;"")*(COUNTIFS(nrSK_PID,$B52,nrSK_Cat,rngSM_cat,nrSK_Status,"Needs Remediation")&gt;0)))</f>
        <v/>
      </c>
      <c r="H52" s="15">
        <f>IF($B52="","",SUMPRODUCT((rngSM_cat&lt;&gt;"")*(COUNTIFS(nrSK_PID,$B52,nrSK_Cat,rngSM_cat,nrSK_Status,"Pending")&gt;0)))</f>
        <v/>
      </c>
      <c r="I52" s="15">
        <f>IF($B52="","",COUNTIFS(nrSK_PID,$B52,nrSK_Dis,"Yes"))</f>
        <v/>
      </c>
      <c r="J52" s="15">
        <f>IF($B52="","",IF($I52&gt;0,"Yes","No"))</f>
        <v/>
      </c>
      <c r="K52" s="15">
        <f>IF($B52="","",IF($J52="Yes","No",IF($G52&gt;0,"No","Yes")))</f>
        <v/>
      </c>
      <c r="L52" s="15">
        <f>IF($B52="","",IFERROR(ROUND(AVERAGEIFS(nrSK_Score,nrSK_PID,$B52,nrSK_Cat,"Firearms"),2),""))</f>
        <v/>
      </c>
      <c r="M52" s="15">
        <f>IF($B52="","",IFERROR(_xlfn.MAXIFS(nrSK_Score,nrSK_PID,$B52,nrSK_Cat,"Firearms"),""))</f>
        <v/>
      </c>
    </row>
    <row r="53">
      <c r="B53" s="15">
        <f>IF(Cadets!$B53="","",Cadets!$B53)</f>
        <v/>
      </c>
      <c r="C53" s="15">
        <f>IF($B53="","",Cadets!$F53)</f>
        <v/>
      </c>
      <c r="D53" s="15">
        <f>IF($B53="","",Cadets!$I53)</f>
        <v/>
      </c>
      <c r="E53" s="15">
        <f>IF($B53="","",SUMPRODUCT((rngSM_cat&lt;&gt;"")*(COUNTIFS(nrSK_PID,$B53,nrSK_Cat,rngSM_cat)&gt;0)))</f>
        <v/>
      </c>
      <c r="F53" s="15">
        <f>IF($B53="","",SUMPRODUCT((rngSM_cat&lt;&gt;"")*(COUNTIFS(nrSK_PID,$B53,nrSK_Cat,rngSM_cat,nrSK_Status,"Qualified")&gt;0)))</f>
        <v/>
      </c>
      <c r="G53" s="15">
        <f>IF($B53="","",SUMPRODUCT((rngSM_cat&lt;&gt;"")*(COUNTIFS(nrSK_PID,$B53,nrSK_Cat,rngSM_cat,nrSK_Status,"Needs Remediation")&gt;0)))</f>
        <v/>
      </c>
      <c r="H53" s="15">
        <f>IF($B53="","",SUMPRODUCT((rngSM_cat&lt;&gt;"")*(COUNTIFS(nrSK_PID,$B53,nrSK_Cat,rngSM_cat,nrSK_Status,"Pending")&gt;0)))</f>
        <v/>
      </c>
      <c r="I53" s="15">
        <f>IF($B53="","",COUNTIFS(nrSK_PID,$B53,nrSK_Dis,"Yes"))</f>
        <v/>
      </c>
      <c r="J53" s="15">
        <f>IF($B53="","",IF($I53&gt;0,"Yes","No"))</f>
        <v/>
      </c>
      <c r="K53" s="15">
        <f>IF($B53="","",IF($J53="Yes","No",IF($G53&gt;0,"No","Yes")))</f>
        <v/>
      </c>
      <c r="L53" s="15">
        <f>IF($B53="","",IFERROR(ROUND(AVERAGEIFS(nrSK_Score,nrSK_PID,$B53,nrSK_Cat,"Firearms"),2),""))</f>
        <v/>
      </c>
      <c r="M53" s="15">
        <f>IF($B53="","",IFERROR(_xlfn.MAXIFS(nrSK_Score,nrSK_PID,$B53,nrSK_Cat,"Firearms"),""))</f>
        <v/>
      </c>
    </row>
    <row r="54">
      <c r="B54" s="15">
        <f>IF(Cadets!$B54="","",Cadets!$B54)</f>
        <v/>
      </c>
      <c r="C54" s="15">
        <f>IF($B54="","",Cadets!$F54)</f>
        <v/>
      </c>
      <c r="D54" s="15">
        <f>IF($B54="","",Cadets!$I54)</f>
        <v/>
      </c>
      <c r="E54" s="15">
        <f>IF($B54="","",SUMPRODUCT((rngSM_cat&lt;&gt;"")*(COUNTIFS(nrSK_PID,$B54,nrSK_Cat,rngSM_cat)&gt;0)))</f>
        <v/>
      </c>
      <c r="F54" s="15">
        <f>IF($B54="","",SUMPRODUCT((rngSM_cat&lt;&gt;"")*(COUNTIFS(nrSK_PID,$B54,nrSK_Cat,rngSM_cat,nrSK_Status,"Qualified")&gt;0)))</f>
        <v/>
      </c>
      <c r="G54" s="15">
        <f>IF($B54="","",SUMPRODUCT((rngSM_cat&lt;&gt;"")*(COUNTIFS(nrSK_PID,$B54,nrSK_Cat,rngSM_cat,nrSK_Status,"Needs Remediation")&gt;0)))</f>
        <v/>
      </c>
      <c r="H54" s="15">
        <f>IF($B54="","",SUMPRODUCT((rngSM_cat&lt;&gt;"")*(COUNTIFS(nrSK_PID,$B54,nrSK_Cat,rngSM_cat,nrSK_Status,"Pending")&gt;0)))</f>
        <v/>
      </c>
      <c r="I54" s="15">
        <f>IF($B54="","",COUNTIFS(nrSK_PID,$B54,nrSK_Dis,"Yes"))</f>
        <v/>
      </c>
      <c r="J54" s="15">
        <f>IF($B54="","",IF($I54&gt;0,"Yes","No"))</f>
        <v/>
      </c>
      <c r="K54" s="15">
        <f>IF($B54="","",IF($J54="Yes","No",IF($G54&gt;0,"No","Yes")))</f>
        <v/>
      </c>
      <c r="L54" s="15">
        <f>IF($B54="","",IFERROR(ROUND(AVERAGEIFS(nrSK_Score,nrSK_PID,$B54,nrSK_Cat,"Firearms"),2),""))</f>
        <v/>
      </c>
      <c r="M54" s="15">
        <f>IF($B54="","",IFERROR(_xlfn.MAXIFS(nrSK_Score,nrSK_PID,$B54,nrSK_Cat,"Firearms"),""))</f>
        <v/>
      </c>
    </row>
    <row r="55">
      <c r="B55" s="15">
        <f>IF(Cadets!$B55="","",Cadets!$B55)</f>
        <v/>
      </c>
      <c r="C55" s="15">
        <f>IF($B55="","",Cadets!$F55)</f>
        <v/>
      </c>
      <c r="D55" s="15">
        <f>IF($B55="","",Cadets!$I55)</f>
        <v/>
      </c>
      <c r="E55" s="15">
        <f>IF($B55="","",SUMPRODUCT((rngSM_cat&lt;&gt;"")*(COUNTIFS(nrSK_PID,$B55,nrSK_Cat,rngSM_cat)&gt;0)))</f>
        <v/>
      </c>
      <c r="F55" s="15">
        <f>IF($B55="","",SUMPRODUCT((rngSM_cat&lt;&gt;"")*(COUNTIFS(nrSK_PID,$B55,nrSK_Cat,rngSM_cat,nrSK_Status,"Qualified")&gt;0)))</f>
        <v/>
      </c>
      <c r="G55" s="15">
        <f>IF($B55="","",SUMPRODUCT((rngSM_cat&lt;&gt;"")*(COUNTIFS(nrSK_PID,$B55,nrSK_Cat,rngSM_cat,nrSK_Status,"Needs Remediation")&gt;0)))</f>
        <v/>
      </c>
      <c r="H55" s="15">
        <f>IF($B55="","",SUMPRODUCT((rngSM_cat&lt;&gt;"")*(COUNTIFS(nrSK_PID,$B55,nrSK_Cat,rngSM_cat,nrSK_Status,"Pending")&gt;0)))</f>
        <v/>
      </c>
      <c r="I55" s="15">
        <f>IF($B55="","",COUNTIFS(nrSK_PID,$B55,nrSK_Dis,"Yes"))</f>
        <v/>
      </c>
      <c r="J55" s="15">
        <f>IF($B55="","",IF($I55&gt;0,"Yes","No"))</f>
        <v/>
      </c>
      <c r="K55" s="15">
        <f>IF($B55="","",IF($J55="Yes","No",IF($G55&gt;0,"No","Yes")))</f>
        <v/>
      </c>
      <c r="L55" s="15">
        <f>IF($B55="","",IFERROR(ROUND(AVERAGEIFS(nrSK_Score,nrSK_PID,$B55,nrSK_Cat,"Firearms"),2),""))</f>
        <v/>
      </c>
      <c r="M55" s="15">
        <f>IF($B55="","",IFERROR(_xlfn.MAXIFS(nrSK_Score,nrSK_PID,$B55,nrSK_Cat,"Firearms"),""))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4.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row r="2"/>
    <row r="3"/>
    <row r="4">
      <c r="B4" s="8" t="inlineStr">
        <is>
          <t>Incident + counseling rollup per cadet. Locked.</t>
        </is>
      </c>
    </row>
    <row r="5" ht="26" customHeight="1">
      <c r="B5" s="9" t="inlineStr">
        <is>
          <t>PID</t>
        </is>
      </c>
      <c r="C5" s="9" t="inlineStr">
        <is>
          <t>Cadet Name</t>
        </is>
      </c>
      <c r="D5" s="9" t="inlineStr">
        <is>
          <t>Status</t>
        </is>
      </c>
      <c r="E5" s="9" t="inlineStr">
        <is>
          <t>Total</t>
        </is>
      </c>
      <c r="F5" s="9" t="inlineStr">
        <is>
          <t>Negative</t>
        </is>
      </c>
      <c r="G5" s="9" t="inlineStr">
        <is>
          <t>Positive</t>
        </is>
      </c>
      <c r="H5" s="9" t="inlineStr">
        <is>
          <t>Open Negative</t>
        </is>
      </c>
      <c r="I5" s="9" t="inlineStr">
        <is>
          <t>NegMajorCritical</t>
        </is>
      </c>
      <c r="J5" s="9" t="inlineStr">
        <is>
          <t>OpenChainReview</t>
        </is>
      </c>
      <c r="K5" s="9" t="inlineStr">
        <is>
          <t>ChainReviewCnt</t>
        </is>
      </c>
      <c r="L5" s="9" t="inlineStr">
        <is>
          <t>Incidents Elig</t>
        </is>
      </c>
      <c r="M5" s="9" t="inlineStr">
        <is>
          <t>Counseling Cnt</t>
        </is>
      </c>
      <c r="N5" s="9" t="inlineStr">
        <is>
          <t>Open Counseling</t>
        </is>
      </c>
    </row>
    <row r="6">
      <c r="B6" s="15">
        <f>IF(Cadets!$B6="","",Cadets!$B6)</f>
        <v/>
      </c>
      <c r="C6" s="15">
        <f>IF($B6="","",Cadets!$F6)</f>
        <v/>
      </c>
      <c r="D6" s="15">
        <f>IF($B6="","",Cadets!$I6)</f>
        <v/>
      </c>
      <c r="E6" s="15">
        <f>IF($B6="","",COUNTIF(nrIN_PID,$B6))</f>
        <v/>
      </c>
      <c r="F6" s="15">
        <f>IF($B6="","",COUNTIFS(nrIN_PID,$B6,nrIN_Dir,"Negative"))</f>
        <v/>
      </c>
      <c r="G6" s="15">
        <f>IF($B6="","",COUNTIFS(nrIN_PID,$B6,nrIN_Dir,"Positive"))</f>
        <v/>
      </c>
      <c r="H6" s="15">
        <f>IF($B6="","",COUNTIFS(nrIN_PID,$B6,nrIN_Dir,"Negative",nrIN_Res,"Open")+COUNTIFS(nrIN_PID,$B6,nrIN_Dir,"Negative",nrIN_Res,"In Review"))</f>
        <v/>
      </c>
      <c r="I6" s="15">
        <f>IF($B6="","",COUNTIFS(nrIN_PID,$B6,nrIN_Dir,"Negative",nrIN_Sev,"Major")+COUNTIFS(nrIN_PID,$B6,nrIN_Dir,"Negative",nrIN_Sev,"Critical"))</f>
        <v/>
      </c>
      <c r="J6" s="15">
        <f>IF($B6="","",COUNTIFS(nrIN_PID,$B6,nrIN_Chain,"Yes",nrIN_Res,"Open")+COUNTIFS(nrIN_PID,$B6,nrIN_Chain,"Yes",nrIN_Res,"In Review"))</f>
        <v/>
      </c>
      <c r="K6" s="15">
        <f>IF($B6="","",IF($J6=0,"Yes","No"))</f>
        <v/>
      </c>
      <c r="L6" s="15">
        <f>IF($B6="","",COUNTIF(nrCO_PID,$B6))</f>
        <v/>
      </c>
      <c r="M6" s="15">
        <f>IF($B6="","",COUNTIFS(nrCO_PID,$B6,nrCO_Status,"Open")+COUNTIFS(nrCO_PID,$B6,nrCO_Status,"In Review"))</f>
        <v/>
      </c>
    </row>
    <row r="7">
      <c r="B7" s="15">
        <f>IF(Cadets!$B7="","",Cadets!$B7)</f>
        <v/>
      </c>
      <c r="C7" s="15">
        <f>IF($B7="","",Cadets!$F7)</f>
        <v/>
      </c>
      <c r="D7" s="15">
        <f>IF($B7="","",Cadets!$I7)</f>
        <v/>
      </c>
      <c r="E7" s="15">
        <f>IF($B7="","",COUNTIF(nrIN_PID,$B7))</f>
        <v/>
      </c>
      <c r="F7" s="15">
        <f>IF($B7="","",COUNTIFS(nrIN_PID,$B7,nrIN_Dir,"Negative"))</f>
        <v/>
      </c>
      <c r="G7" s="15">
        <f>IF($B7="","",COUNTIFS(nrIN_PID,$B7,nrIN_Dir,"Positive"))</f>
        <v/>
      </c>
      <c r="H7" s="15">
        <f>IF($B7="","",COUNTIFS(nrIN_PID,$B7,nrIN_Dir,"Negative",nrIN_Res,"Open")+COUNTIFS(nrIN_PID,$B7,nrIN_Dir,"Negative",nrIN_Res,"In Review"))</f>
        <v/>
      </c>
      <c r="I7" s="15">
        <f>IF($B7="","",COUNTIFS(nrIN_PID,$B7,nrIN_Dir,"Negative",nrIN_Sev,"Major")+COUNTIFS(nrIN_PID,$B7,nrIN_Dir,"Negative",nrIN_Sev,"Critical"))</f>
        <v/>
      </c>
      <c r="J7" s="15">
        <f>IF($B7="","",COUNTIFS(nrIN_PID,$B7,nrIN_Chain,"Yes",nrIN_Res,"Open")+COUNTIFS(nrIN_PID,$B7,nrIN_Chain,"Yes",nrIN_Res,"In Review"))</f>
        <v/>
      </c>
      <c r="K7" s="15">
        <f>IF($B7="","",IF($J7=0,"Yes","No"))</f>
        <v/>
      </c>
      <c r="L7" s="15">
        <f>IF($B7="","",COUNTIF(nrCO_PID,$B7))</f>
        <v/>
      </c>
      <c r="M7" s="15">
        <f>IF($B7="","",COUNTIFS(nrCO_PID,$B7,nrCO_Status,"Open")+COUNTIFS(nrCO_PID,$B7,nrCO_Status,"In Review"))</f>
        <v/>
      </c>
    </row>
    <row r="8">
      <c r="B8" s="15">
        <f>IF(Cadets!$B8="","",Cadets!$B8)</f>
        <v/>
      </c>
      <c r="C8" s="15">
        <f>IF($B8="","",Cadets!$F8)</f>
        <v/>
      </c>
      <c r="D8" s="15">
        <f>IF($B8="","",Cadets!$I8)</f>
        <v/>
      </c>
      <c r="E8" s="15">
        <f>IF($B8="","",COUNTIF(nrIN_PID,$B8))</f>
        <v/>
      </c>
      <c r="F8" s="15">
        <f>IF($B8="","",COUNTIFS(nrIN_PID,$B8,nrIN_Dir,"Negative"))</f>
        <v/>
      </c>
      <c r="G8" s="15">
        <f>IF($B8="","",COUNTIFS(nrIN_PID,$B8,nrIN_Dir,"Positive"))</f>
        <v/>
      </c>
      <c r="H8" s="15">
        <f>IF($B8="","",COUNTIFS(nrIN_PID,$B8,nrIN_Dir,"Negative",nrIN_Res,"Open")+COUNTIFS(nrIN_PID,$B8,nrIN_Dir,"Negative",nrIN_Res,"In Review"))</f>
        <v/>
      </c>
      <c r="I8" s="15">
        <f>IF($B8="","",COUNTIFS(nrIN_PID,$B8,nrIN_Dir,"Negative",nrIN_Sev,"Major")+COUNTIFS(nrIN_PID,$B8,nrIN_Dir,"Negative",nrIN_Sev,"Critical"))</f>
        <v/>
      </c>
      <c r="J8" s="15">
        <f>IF($B8="","",COUNTIFS(nrIN_PID,$B8,nrIN_Chain,"Yes",nrIN_Res,"Open")+COUNTIFS(nrIN_PID,$B8,nrIN_Chain,"Yes",nrIN_Res,"In Review"))</f>
        <v/>
      </c>
      <c r="K8" s="15">
        <f>IF($B8="","",IF($J8=0,"Yes","No"))</f>
        <v/>
      </c>
      <c r="L8" s="15">
        <f>IF($B8="","",COUNTIF(nrCO_PID,$B8))</f>
        <v/>
      </c>
      <c r="M8" s="15">
        <f>IF($B8="","",COUNTIFS(nrCO_PID,$B8,nrCO_Status,"Open")+COUNTIFS(nrCO_PID,$B8,nrCO_Status,"In Review"))</f>
        <v/>
      </c>
    </row>
    <row r="9">
      <c r="B9" s="15">
        <f>IF(Cadets!$B9="","",Cadets!$B9)</f>
        <v/>
      </c>
      <c r="C9" s="15">
        <f>IF($B9="","",Cadets!$F9)</f>
        <v/>
      </c>
      <c r="D9" s="15">
        <f>IF($B9="","",Cadets!$I9)</f>
        <v/>
      </c>
      <c r="E9" s="15">
        <f>IF($B9="","",COUNTIF(nrIN_PID,$B9))</f>
        <v/>
      </c>
      <c r="F9" s="15">
        <f>IF($B9="","",COUNTIFS(nrIN_PID,$B9,nrIN_Dir,"Negative"))</f>
        <v/>
      </c>
      <c r="G9" s="15">
        <f>IF($B9="","",COUNTIFS(nrIN_PID,$B9,nrIN_Dir,"Positive"))</f>
        <v/>
      </c>
      <c r="H9" s="15">
        <f>IF($B9="","",COUNTIFS(nrIN_PID,$B9,nrIN_Dir,"Negative",nrIN_Res,"Open")+COUNTIFS(nrIN_PID,$B9,nrIN_Dir,"Negative",nrIN_Res,"In Review"))</f>
        <v/>
      </c>
      <c r="I9" s="15">
        <f>IF($B9="","",COUNTIFS(nrIN_PID,$B9,nrIN_Dir,"Negative",nrIN_Sev,"Major")+COUNTIFS(nrIN_PID,$B9,nrIN_Dir,"Negative",nrIN_Sev,"Critical"))</f>
        <v/>
      </c>
      <c r="J9" s="15">
        <f>IF($B9="","",COUNTIFS(nrIN_PID,$B9,nrIN_Chain,"Yes",nrIN_Res,"Open")+COUNTIFS(nrIN_PID,$B9,nrIN_Chain,"Yes",nrIN_Res,"In Review"))</f>
        <v/>
      </c>
      <c r="K9" s="15">
        <f>IF($B9="","",IF($J9=0,"Yes","No"))</f>
        <v/>
      </c>
      <c r="L9" s="15">
        <f>IF($B9="","",COUNTIF(nrCO_PID,$B9))</f>
        <v/>
      </c>
      <c r="M9" s="15">
        <f>IF($B9="","",COUNTIFS(nrCO_PID,$B9,nrCO_Status,"Open")+COUNTIFS(nrCO_PID,$B9,nrCO_Status,"In Review"))</f>
        <v/>
      </c>
    </row>
    <row r="10">
      <c r="B10" s="15">
        <f>IF(Cadets!$B10="","",Cadets!$B10)</f>
        <v/>
      </c>
      <c r="C10" s="15">
        <f>IF($B10="","",Cadets!$F10)</f>
        <v/>
      </c>
      <c r="D10" s="15">
        <f>IF($B10="","",Cadets!$I10)</f>
        <v/>
      </c>
      <c r="E10" s="15">
        <f>IF($B10="","",COUNTIF(nrIN_PID,$B10))</f>
        <v/>
      </c>
      <c r="F10" s="15">
        <f>IF($B10="","",COUNTIFS(nrIN_PID,$B10,nrIN_Dir,"Negative"))</f>
        <v/>
      </c>
      <c r="G10" s="15">
        <f>IF($B10="","",COUNTIFS(nrIN_PID,$B10,nrIN_Dir,"Positive"))</f>
        <v/>
      </c>
      <c r="H10" s="15">
        <f>IF($B10="","",COUNTIFS(nrIN_PID,$B10,nrIN_Dir,"Negative",nrIN_Res,"Open")+COUNTIFS(nrIN_PID,$B10,nrIN_Dir,"Negative",nrIN_Res,"In Review"))</f>
        <v/>
      </c>
      <c r="I10" s="15">
        <f>IF($B10="","",COUNTIFS(nrIN_PID,$B10,nrIN_Dir,"Negative",nrIN_Sev,"Major")+COUNTIFS(nrIN_PID,$B10,nrIN_Dir,"Negative",nrIN_Sev,"Critical"))</f>
        <v/>
      </c>
      <c r="J10" s="15">
        <f>IF($B10="","",COUNTIFS(nrIN_PID,$B10,nrIN_Chain,"Yes",nrIN_Res,"Open")+COUNTIFS(nrIN_PID,$B10,nrIN_Chain,"Yes",nrIN_Res,"In Review"))</f>
        <v/>
      </c>
      <c r="K10" s="15">
        <f>IF($B10="","",IF($J10=0,"Yes","No"))</f>
        <v/>
      </c>
      <c r="L10" s="15">
        <f>IF($B10="","",COUNTIF(nrCO_PID,$B10))</f>
        <v/>
      </c>
      <c r="M10" s="15">
        <f>IF($B10="","",COUNTIFS(nrCO_PID,$B10,nrCO_Status,"Open")+COUNTIFS(nrCO_PID,$B10,nrCO_Status,"In Review"))</f>
        <v/>
      </c>
    </row>
    <row r="11">
      <c r="B11" s="15">
        <f>IF(Cadets!$B11="","",Cadets!$B11)</f>
        <v/>
      </c>
      <c r="C11" s="15">
        <f>IF($B11="","",Cadets!$F11)</f>
        <v/>
      </c>
      <c r="D11" s="15">
        <f>IF($B11="","",Cadets!$I11)</f>
        <v/>
      </c>
      <c r="E11" s="15">
        <f>IF($B11="","",COUNTIF(nrIN_PID,$B11))</f>
        <v/>
      </c>
      <c r="F11" s="15">
        <f>IF($B11="","",COUNTIFS(nrIN_PID,$B11,nrIN_Dir,"Negative"))</f>
        <v/>
      </c>
      <c r="G11" s="15">
        <f>IF($B11="","",COUNTIFS(nrIN_PID,$B11,nrIN_Dir,"Positive"))</f>
        <v/>
      </c>
      <c r="H11" s="15">
        <f>IF($B11="","",COUNTIFS(nrIN_PID,$B11,nrIN_Dir,"Negative",nrIN_Res,"Open")+COUNTIFS(nrIN_PID,$B11,nrIN_Dir,"Negative",nrIN_Res,"In Review"))</f>
        <v/>
      </c>
      <c r="I11" s="15">
        <f>IF($B11="","",COUNTIFS(nrIN_PID,$B11,nrIN_Dir,"Negative",nrIN_Sev,"Major")+COUNTIFS(nrIN_PID,$B11,nrIN_Dir,"Negative",nrIN_Sev,"Critical"))</f>
        <v/>
      </c>
      <c r="J11" s="15">
        <f>IF($B11="","",COUNTIFS(nrIN_PID,$B11,nrIN_Chain,"Yes",nrIN_Res,"Open")+COUNTIFS(nrIN_PID,$B11,nrIN_Chain,"Yes",nrIN_Res,"In Review"))</f>
        <v/>
      </c>
      <c r="K11" s="15">
        <f>IF($B11="","",IF($J11=0,"Yes","No"))</f>
        <v/>
      </c>
      <c r="L11" s="15">
        <f>IF($B11="","",COUNTIF(nrCO_PID,$B11))</f>
        <v/>
      </c>
      <c r="M11" s="15">
        <f>IF($B11="","",COUNTIFS(nrCO_PID,$B11,nrCO_Status,"Open")+COUNTIFS(nrCO_PID,$B11,nrCO_Status,"In Review"))</f>
        <v/>
      </c>
    </row>
    <row r="12">
      <c r="B12" s="15">
        <f>IF(Cadets!$B12="","",Cadets!$B12)</f>
        <v/>
      </c>
      <c r="C12" s="15">
        <f>IF($B12="","",Cadets!$F12)</f>
        <v/>
      </c>
      <c r="D12" s="15">
        <f>IF($B12="","",Cadets!$I12)</f>
        <v/>
      </c>
      <c r="E12" s="15">
        <f>IF($B12="","",COUNTIF(nrIN_PID,$B12))</f>
        <v/>
      </c>
      <c r="F12" s="15">
        <f>IF($B12="","",COUNTIFS(nrIN_PID,$B12,nrIN_Dir,"Negative"))</f>
        <v/>
      </c>
      <c r="G12" s="15">
        <f>IF($B12="","",COUNTIFS(nrIN_PID,$B12,nrIN_Dir,"Positive"))</f>
        <v/>
      </c>
      <c r="H12" s="15">
        <f>IF($B12="","",COUNTIFS(nrIN_PID,$B12,nrIN_Dir,"Negative",nrIN_Res,"Open")+COUNTIFS(nrIN_PID,$B12,nrIN_Dir,"Negative",nrIN_Res,"In Review"))</f>
        <v/>
      </c>
      <c r="I12" s="15">
        <f>IF($B12="","",COUNTIFS(nrIN_PID,$B12,nrIN_Dir,"Negative",nrIN_Sev,"Major")+COUNTIFS(nrIN_PID,$B12,nrIN_Dir,"Negative",nrIN_Sev,"Critical"))</f>
        <v/>
      </c>
      <c r="J12" s="15">
        <f>IF($B12="","",COUNTIFS(nrIN_PID,$B12,nrIN_Chain,"Yes",nrIN_Res,"Open")+COUNTIFS(nrIN_PID,$B12,nrIN_Chain,"Yes",nrIN_Res,"In Review"))</f>
        <v/>
      </c>
      <c r="K12" s="15">
        <f>IF($B12="","",IF($J12=0,"Yes","No"))</f>
        <v/>
      </c>
      <c r="L12" s="15">
        <f>IF($B12="","",COUNTIF(nrCO_PID,$B12))</f>
        <v/>
      </c>
      <c r="M12" s="15">
        <f>IF($B12="","",COUNTIFS(nrCO_PID,$B12,nrCO_Status,"Open")+COUNTIFS(nrCO_PID,$B12,nrCO_Status,"In Review"))</f>
        <v/>
      </c>
    </row>
    <row r="13">
      <c r="B13" s="15">
        <f>IF(Cadets!$B13="","",Cadets!$B13)</f>
        <v/>
      </c>
      <c r="C13" s="15">
        <f>IF($B13="","",Cadets!$F13)</f>
        <v/>
      </c>
      <c r="D13" s="15">
        <f>IF($B13="","",Cadets!$I13)</f>
        <v/>
      </c>
      <c r="E13" s="15">
        <f>IF($B13="","",COUNTIF(nrIN_PID,$B13))</f>
        <v/>
      </c>
      <c r="F13" s="15">
        <f>IF($B13="","",COUNTIFS(nrIN_PID,$B13,nrIN_Dir,"Negative"))</f>
        <v/>
      </c>
      <c r="G13" s="15">
        <f>IF($B13="","",COUNTIFS(nrIN_PID,$B13,nrIN_Dir,"Positive"))</f>
        <v/>
      </c>
      <c r="H13" s="15">
        <f>IF($B13="","",COUNTIFS(nrIN_PID,$B13,nrIN_Dir,"Negative",nrIN_Res,"Open")+COUNTIFS(nrIN_PID,$B13,nrIN_Dir,"Negative",nrIN_Res,"In Review"))</f>
        <v/>
      </c>
      <c r="I13" s="15">
        <f>IF($B13="","",COUNTIFS(nrIN_PID,$B13,nrIN_Dir,"Negative",nrIN_Sev,"Major")+COUNTIFS(nrIN_PID,$B13,nrIN_Dir,"Negative",nrIN_Sev,"Critical"))</f>
        <v/>
      </c>
      <c r="J13" s="15">
        <f>IF($B13="","",COUNTIFS(nrIN_PID,$B13,nrIN_Chain,"Yes",nrIN_Res,"Open")+COUNTIFS(nrIN_PID,$B13,nrIN_Chain,"Yes",nrIN_Res,"In Review"))</f>
        <v/>
      </c>
      <c r="K13" s="15">
        <f>IF($B13="","",IF($J13=0,"Yes","No"))</f>
        <v/>
      </c>
      <c r="L13" s="15">
        <f>IF($B13="","",COUNTIF(nrCO_PID,$B13))</f>
        <v/>
      </c>
      <c r="M13" s="15">
        <f>IF($B13="","",COUNTIFS(nrCO_PID,$B13,nrCO_Status,"Open")+COUNTIFS(nrCO_PID,$B13,nrCO_Status,"In Review"))</f>
        <v/>
      </c>
    </row>
    <row r="14">
      <c r="B14" s="15">
        <f>IF(Cadets!$B14="","",Cadets!$B14)</f>
        <v/>
      </c>
      <c r="C14" s="15">
        <f>IF($B14="","",Cadets!$F14)</f>
        <v/>
      </c>
      <c r="D14" s="15">
        <f>IF($B14="","",Cadets!$I14)</f>
        <v/>
      </c>
      <c r="E14" s="15">
        <f>IF($B14="","",COUNTIF(nrIN_PID,$B14))</f>
        <v/>
      </c>
      <c r="F14" s="15">
        <f>IF($B14="","",COUNTIFS(nrIN_PID,$B14,nrIN_Dir,"Negative"))</f>
        <v/>
      </c>
      <c r="G14" s="15">
        <f>IF($B14="","",COUNTIFS(nrIN_PID,$B14,nrIN_Dir,"Positive"))</f>
        <v/>
      </c>
      <c r="H14" s="15">
        <f>IF($B14="","",COUNTIFS(nrIN_PID,$B14,nrIN_Dir,"Negative",nrIN_Res,"Open")+COUNTIFS(nrIN_PID,$B14,nrIN_Dir,"Negative",nrIN_Res,"In Review"))</f>
        <v/>
      </c>
      <c r="I14" s="15">
        <f>IF($B14="","",COUNTIFS(nrIN_PID,$B14,nrIN_Dir,"Negative",nrIN_Sev,"Major")+COUNTIFS(nrIN_PID,$B14,nrIN_Dir,"Negative",nrIN_Sev,"Critical"))</f>
        <v/>
      </c>
      <c r="J14" s="15">
        <f>IF($B14="","",COUNTIFS(nrIN_PID,$B14,nrIN_Chain,"Yes",nrIN_Res,"Open")+COUNTIFS(nrIN_PID,$B14,nrIN_Chain,"Yes",nrIN_Res,"In Review"))</f>
        <v/>
      </c>
      <c r="K14" s="15">
        <f>IF($B14="","",IF($J14=0,"Yes","No"))</f>
        <v/>
      </c>
      <c r="L14" s="15">
        <f>IF($B14="","",COUNTIF(nrCO_PID,$B14))</f>
        <v/>
      </c>
      <c r="M14" s="15">
        <f>IF($B14="","",COUNTIFS(nrCO_PID,$B14,nrCO_Status,"Open")+COUNTIFS(nrCO_PID,$B14,nrCO_Status,"In Review"))</f>
        <v/>
      </c>
    </row>
    <row r="15">
      <c r="B15" s="15">
        <f>IF(Cadets!$B15="","",Cadets!$B15)</f>
        <v/>
      </c>
      <c r="C15" s="15">
        <f>IF($B15="","",Cadets!$F15)</f>
        <v/>
      </c>
      <c r="D15" s="15">
        <f>IF($B15="","",Cadets!$I15)</f>
        <v/>
      </c>
      <c r="E15" s="15">
        <f>IF($B15="","",COUNTIF(nrIN_PID,$B15))</f>
        <v/>
      </c>
      <c r="F15" s="15">
        <f>IF($B15="","",COUNTIFS(nrIN_PID,$B15,nrIN_Dir,"Negative"))</f>
        <v/>
      </c>
      <c r="G15" s="15">
        <f>IF($B15="","",COUNTIFS(nrIN_PID,$B15,nrIN_Dir,"Positive"))</f>
        <v/>
      </c>
      <c r="H15" s="15">
        <f>IF($B15="","",COUNTIFS(nrIN_PID,$B15,nrIN_Dir,"Negative",nrIN_Res,"Open")+COUNTIFS(nrIN_PID,$B15,nrIN_Dir,"Negative",nrIN_Res,"In Review"))</f>
        <v/>
      </c>
      <c r="I15" s="15">
        <f>IF($B15="","",COUNTIFS(nrIN_PID,$B15,nrIN_Dir,"Negative",nrIN_Sev,"Major")+COUNTIFS(nrIN_PID,$B15,nrIN_Dir,"Negative",nrIN_Sev,"Critical"))</f>
        <v/>
      </c>
      <c r="J15" s="15">
        <f>IF($B15="","",COUNTIFS(nrIN_PID,$B15,nrIN_Chain,"Yes",nrIN_Res,"Open")+COUNTIFS(nrIN_PID,$B15,nrIN_Chain,"Yes",nrIN_Res,"In Review"))</f>
        <v/>
      </c>
      <c r="K15" s="15">
        <f>IF($B15="","",IF($J15=0,"Yes","No"))</f>
        <v/>
      </c>
      <c r="L15" s="15">
        <f>IF($B15="","",COUNTIF(nrCO_PID,$B15))</f>
        <v/>
      </c>
      <c r="M15" s="15">
        <f>IF($B15="","",COUNTIFS(nrCO_PID,$B15,nrCO_Status,"Open")+COUNTIFS(nrCO_PID,$B15,nrCO_Status,"In Review"))</f>
        <v/>
      </c>
    </row>
    <row r="16">
      <c r="B16" s="15">
        <f>IF(Cadets!$B16="","",Cadets!$B16)</f>
        <v/>
      </c>
      <c r="C16" s="15">
        <f>IF($B16="","",Cadets!$F16)</f>
        <v/>
      </c>
      <c r="D16" s="15">
        <f>IF($B16="","",Cadets!$I16)</f>
        <v/>
      </c>
      <c r="E16" s="15">
        <f>IF($B16="","",COUNTIF(nrIN_PID,$B16))</f>
        <v/>
      </c>
      <c r="F16" s="15">
        <f>IF($B16="","",COUNTIFS(nrIN_PID,$B16,nrIN_Dir,"Negative"))</f>
        <v/>
      </c>
      <c r="G16" s="15">
        <f>IF($B16="","",COUNTIFS(nrIN_PID,$B16,nrIN_Dir,"Positive"))</f>
        <v/>
      </c>
      <c r="H16" s="15">
        <f>IF($B16="","",COUNTIFS(nrIN_PID,$B16,nrIN_Dir,"Negative",nrIN_Res,"Open")+COUNTIFS(nrIN_PID,$B16,nrIN_Dir,"Negative",nrIN_Res,"In Review"))</f>
        <v/>
      </c>
      <c r="I16" s="15">
        <f>IF($B16="","",COUNTIFS(nrIN_PID,$B16,nrIN_Dir,"Negative",nrIN_Sev,"Major")+COUNTIFS(nrIN_PID,$B16,nrIN_Dir,"Negative",nrIN_Sev,"Critical"))</f>
        <v/>
      </c>
      <c r="J16" s="15">
        <f>IF($B16="","",COUNTIFS(nrIN_PID,$B16,nrIN_Chain,"Yes",nrIN_Res,"Open")+COUNTIFS(nrIN_PID,$B16,nrIN_Chain,"Yes",nrIN_Res,"In Review"))</f>
        <v/>
      </c>
      <c r="K16" s="15">
        <f>IF($B16="","",IF($J16=0,"Yes","No"))</f>
        <v/>
      </c>
      <c r="L16" s="15">
        <f>IF($B16="","",COUNTIF(nrCO_PID,$B16))</f>
        <v/>
      </c>
      <c r="M16" s="15">
        <f>IF($B16="","",COUNTIFS(nrCO_PID,$B16,nrCO_Status,"Open")+COUNTIFS(nrCO_PID,$B16,nrCO_Status,"In Review"))</f>
        <v/>
      </c>
    </row>
    <row r="17">
      <c r="B17" s="15">
        <f>IF(Cadets!$B17="","",Cadets!$B17)</f>
        <v/>
      </c>
      <c r="C17" s="15">
        <f>IF($B17="","",Cadets!$F17)</f>
        <v/>
      </c>
      <c r="D17" s="15">
        <f>IF($B17="","",Cadets!$I17)</f>
        <v/>
      </c>
      <c r="E17" s="15">
        <f>IF($B17="","",COUNTIF(nrIN_PID,$B17))</f>
        <v/>
      </c>
      <c r="F17" s="15">
        <f>IF($B17="","",COUNTIFS(nrIN_PID,$B17,nrIN_Dir,"Negative"))</f>
        <v/>
      </c>
      <c r="G17" s="15">
        <f>IF($B17="","",COUNTIFS(nrIN_PID,$B17,nrIN_Dir,"Positive"))</f>
        <v/>
      </c>
      <c r="H17" s="15">
        <f>IF($B17="","",COUNTIFS(nrIN_PID,$B17,nrIN_Dir,"Negative",nrIN_Res,"Open")+COUNTIFS(nrIN_PID,$B17,nrIN_Dir,"Negative",nrIN_Res,"In Review"))</f>
        <v/>
      </c>
      <c r="I17" s="15">
        <f>IF($B17="","",COUNTIFS(nrIN_PID,$B17,nrIN_Dir,"Negative",nrIN_Sev,"Major")+COUNTIFS(nrIN_PID,$B17,nrIN_Dir,"Negative",nrIN_Sev,"Critical"))</f>
        <v/>
      </c>
      <c r="J17" s="15">
        <f>IF($B17="","",COUNTIFS(nrIN_PID,$B17,nrIN_Chain,"Yes",nrIN_Res,"Open")+COUNTIFS(nrIN_PID,$B17,nrIN_Chain,"Yes",nrIN_Res,"In Review"))</f>
        <v/>
      </c>
      <c r="K17" s="15">
        <f>IF($B17="","",IF($J17=0,"Yes","No"))</f>
        <v/>
      </c>
      <c r="L17" s="15">
        <f>IF($B17="","",COUNTIF(nrCO_PID,$B17))</f>
        <v/>
      </c>
      <c r="M17" s="15">
        <f>IF($B17="","",COUNTIFS(nrCO_PID,$B17,nrCO_Status,"Open")+COUNTIFS(nrCO_PID,$B17,nrCO_Status,"In Review"))</f>
        <v/>
      </c>
    </row>
    <row r="18">
      <c r="B18" s="15">
        <f>IF(Cadets!$B18="","",Cadets!$B18)</f>
        <v/>
      </c>
      <c r="C18" s="15">
        <f>IF($B18="","",Cadets!$F18)</f>
        <v/>
      </c>
      <c r="D18" s="15">
        <f>IF($B18="","",Cadets!$I18)</f>
        <v/>
      </c>
      <c r="E18" s="15">
        <f>IF($B18="","",COUNTIF(nrIN_PID,$B18))</f>
        <v/>
      </c>
      <c r="F18" s="15">
        <f>IF($B18="","",COUNTIFS(nrIN_PID,$B18,nrIN_Dir,"Negative"))</f>
        <v/>
      </c>
      <c r="G18" s="15">
        <f>IF($B18="","",COUNTIFS(nrIN_PID,$B18,nrIN_Dir,"Positive"))</f>
        <v/>
      </c>
      <c r="H18" s="15">
        <f>IF($B18="","",COUNTIFS(nrIN_PID,$B18,nrIN_Dir,"Negative",nrIN_Res,"Open")+COUNTIFS(nrIN_PID,$B18,nrIN_Dir,"Negative",nrIN_Res,"In Review"))</f>
        <v/>
      </c>
      <c r="I18" s="15">
        <f>IF($B18="","",COUNTIFS(nrIN_PID,$B18,nrIN_Dir,"Negative",nrIN_Sev,"Major")+COUNTIFS(nrIN_PID,$B18,nrIN_Dir,"Negative",nrIN_Sev,"Critical"))</f>
        <v/>
      </c>
      <c r="J18" s="15">
        <f>IF($B18="","",COUNTIFS(nrIN_PID,$B18,nrIN_Chain,"Yes",nrIN_Res,"Open")+COUNTIFS(nrIN_PID,$B18,nrIN_Chain,"Yes",nrIN_Res,"In Review"))</f>
        <v/>
      </c>
      <c r="K18" s="15">
        <f>IF($B18="","",IF($J18=0,"Yes","No"))</f>
        <v/>
      </c>
      <c r="L18" s="15">
        <f>IF($B18="","",COUNTIF(nrCO_PID,$B18))</f>
        <v/>
      </c>
      <c r="M18" s="15">
        <f>IF($B18="","",COUNTIFS(nrCO_PID,$B18,nrCO_Status,"Open")+COUNTIFS(nrCO_PID,$B18,nrCO_Status,"In Review"))</f>
        <v/>
      </c>
    </row>
    <row r="19">
      <c r="B19" s="15">
        <f>IF(Cadets!$B19="","",Cadets!$B19)</f>
        <v/>
      </c>
      <c r="C19" s="15">
        <f>IF($B19="","",Cadets!$F19)</f>
        <v/>
      </c>
      <c r="D19" s="15">
        <f>IF($B19="","",Cadets!$I19)</f>
        <v/>
      </c>
      <c r="E19" s="15">
        <f>IF($B19="","",COUNTIF(nrIN_PID,$B19))</f>
        <v/>
      </c>
      <c r="F19" s="15">
        <f>IF($B19="","",COUNTIFS(nrIN_PID,$B19,nrIN_Dir,"Negative"))</f>
        <v/>
      </c>
      <c r="G19" s="15">
        <f>IF($B19="","",COUNTIFS(nrIN_PID,$B19,nrIN_Dir,"Positive"))</f>
        <v/>
      </c>
      <c r="H19" s="15">
        <f>IF($B19="","",COUNTIFS(nrIN_PID,$B19,nrIN_Dir,"Negative",nrIN_Res,"Open")+COUNTIFS(nrIN_PID,$B19,nrIN_Dir,"Negative",nrIN_Res,"In Review"))</f>
        <v/>
      </c>
      <c r="I19" s="15">
        <f>IF($B19="","",COUNTIFS(nrIN_PID,$B19,nrIN_Dir,"Negative",nrIN_Sev,"Major")+COUNTIFS(nrIN_PID,$B19,nrIN_Dir,"Negative",nrIN_Sev,"Critical"))</f>
        <v/>
      </c>
      <c r="J19" s="15">
        <f>IF($B19="","",COUNTIFS(nrIN_PID,$B19,nrIN_Chain,"Yes",nrIN_Res,"Open")+COUNTIFS(nrIN_PID,$B19,nrIN_Chain,"Yes",nrIN_Res,"In Review"))</f>
        <v/>
      </c>
      <c r="K19" s="15">
        <f>IF($B19="","",IF($J19=0,"Yes","No"))</f>
        <v/>
      </c>
      <c r="L19" s="15">
        <f>IF($B19="","",COUNTIF(nrCO_PID,$B19))</f>
        <v/>
      </c>
      <c r="M19" s="15">
        <f>IF($B19="","",COUNTIFS(nrCO_PID,$B19,nrCO_Status,"Open")+COUNTIFS(nrCO_PID,$B19,nrCO_Status,"In Review"))</f>
        <v/>
      </c>
    </row>
    <row r="20">
      <c r="B20" s="15">
        <f>IF(Cadets!$B20="","",Cadets!$B20)</f>
        <v/>
      </c>
      <c r="C20" s="15">
        <f>IF($B20="","",Cadets!$F20)</f>
        <v/>
      </c>
      <c r="D20" s="15">
        <f>IF($B20="","",Cadets!$I20)</f>
        <v/>
      </c>
      <c r="E20" s="15">
        <f>IF($B20="","",COUNTIF(nrIN_PID,$B20))</f>
        <v/>
      </c>
      <c r="F20" s="15">
        <f>IF($B20="","",COUNTIFS(nrIN_PID,$B20,nrIN_Dir,"Negative"))</f>
        <v/>
      </c>
      <c r="G20" s="15">
        <f>IF($B20="","",COUNTIFS(nrIN_PID,$B20,nrIN_Dir,"Positive"))</f>
        <v/>
      </c>
      <c r="H20" s="15">
        <f>IF($B20="","",COUNTIFS(nrIN_PID,$B20,nrIN_Dir,"Negative",nrIN_Res,"Open")+COUNTIFS(nrIN_PID,$B20,nrIN_Dir,"Negative",nrIN_Res,"In Review"))</f>
        <v/>
      </c>
      <c r="I20" s="15">
        <f>IF($B20="","",COUNTIFS(nrIN_PID,$B20,nrIN_Dir,"Negative",nrIN_Sev,"Major")+COUNTIFS(nrIN_PID,$B20,nrIN_Dir,"Negative",nrIN_Sev,"Critical"))</f>
        <v/>
      </c>
      <c r="J20" s="15">
        <f>IF($B20="","",COUNTIFS(nrIN_PID,$B20,nrIN_Chain,"Yes",nrIN_Res,"Open")+COUNTIFS(nrIN_PID,$B20,nrIN_Chain,"Yes",nrIN_Res,"In Review"))</f>
        <v/>
      </c>
      <c r="K20" s="15">
        <f>IF($B20="","",IF($J20=0,"Yes","No"))</f>
        <v/>
      </c>
      <c r="L20" s="15">
        <f>IF($B20="","",COUNTIF(nrCO_PID,$B20))</f>
        <v/>
      </c>
      <c r="M20" s="15">
        <f>IF($B20="","",COUNTIFS(nrCO_PID,$B20,nrCO_Status,"Open")+COUNTIFS(nrCO_PID,$B20,nrCO_Status,"In Review"))</f>
        <v/>
      </c>
    </row>
    <row r="21">
      <c r="B21" s="15">
        <f>IF(Cadets!$B21="","",Cadets!$B21)</f>
        <v/>
      </c>
      <c r="C21" s="15">
        <f>IF($B21="","",Cadets!$F21)</f>
        <v/>
      </c>
      <c r="D21" s="15">
        <f>IF($B21="","",Cadets!$I21)</f>
        <v/>
      </c>
      <c r="E21" s="15">
        <f>IF($B21="","",COUNTIF(nrIN_PID,$B21))</f>
        <v/>
      </c>
      <c r="F21" s="15">
        <f>IF($B21="","",COUNTIFS(nrIN_PID,$B21,nrIN_Dir,"Negative"))</f>
        <v/>
      </c>
      <c r="G21" s="15">
        <f>IF($B21="","",COUNTIFS(nrIN_PID,$B21,nrIN_Dir,"Positive"))</f>
        <v/>
      </c>
      <c r="H21" s="15">
        <f>IF($B21="","",COUNTIFS(nrIN_PID,$B21,nrIN_Dir,"Negative",nrIN_Res,"Open")+COUNTIFS(nrIN_PID,$B21,nrIN_Dir,"Negative",nrIN_Res,"In Review"))</f>
        <v/>
      </c>
      <c r="I21" s="15">
        <f>IF($B21="","",COUNTIFS(nrIN_PID,$B21,nrIN_Dir,"Negative",nrIN_Sev,"Major")+COUNTIFS(nrIN_PID,$B21,nrIN_Dir,"Negative",nrIN_Sev,"Critical"))</f>
        <v/>
      </c>
      <c r="J21" s="15">
        <f>IF($B21="","",COUNTIFS(nrIN_PID,$B21,nrIN_Chain,"Yes",nrIN_Res,"Open")+COUNTIFS(nrIN_PID,$B21,nrIN_Chain,"Yes",nrIN_Res,"In Review"))</f>
        <v/>
      </c>
      <c r="K21" s="15">
        <f>IF($B21="","",IF($J21=0,"Yes","No"))</f>
        <v/>
      </c>
      <c r="L21" s="15">
        <f>IF($B21="","",COUNTIF(nrCO_PID,$B21))</f>
        <v/>
      </c>
      <c r="M21" s="15">
        <f>IF($B21="","",COUNTIFS(nrCO_PID,$B21,nrCO_Status,"Open")+COUNTIFS(nrCO_PID,$B21,nrCO_Status,"In Review"))</f>
        <v/>
      </c>
    </row>
    <row r="22">
      <c r="B22" s="15">
        <f>IF(Cadets!$B22="","",Cadets!$B22)</f>
        <v/>
      </c>
      <c r="C22" s="15">
        <f>IF($B22="","",Cadets!$F22)</f>
        <v/>
      </c>
      <c r="D22" s="15">
        <f>IF($B22="","",Cadets!$I22)</f>
        <v/>
      </c>
      <c r="E22" s="15">
        <f>IF($B22="","",COUNTIF(nrIN_PID,$B22))</f>
        <v/>
      </c>
      <c r="F22" s="15">
        <f>IF($B22="","",COUNTIFS(nrIN_PID,$B22,nrIN_Dir,"Negative"))</f>
        <v/>
      </c>
      <c r="G22" s="15">
        <f>IF($B22="","",COUNTIFS(nrIN_PID,$B22,nrIN_Dir,"Positive"))</f>
        <v/>
      </c>
      <c r="H22" s="15">
        <f>IF($B22="","",COUNTIFS(nrIN_PID,$B22,nrIN_Dir,"Negative",nrIN_Res,"Open")+COUNTIFS(nrIN_PID,$B22,nrIN_Dir,"Negative",nrIN_Res,"In Review"))</f>
        <v/>
      </c>
      <c r="I22" s="15">
        <f>IF($B22="","",COUNTIFS(nrIN_PID,$B22,nrIN_Dir,"Negative",nrIN_Sev,"Major")+COUNTIFS(nrIN_PID,$B22,nrIN_Dir,"Negative",nrIN_Sev,"Critical"))</f>
        <v/>
      </c>
      <c r="J22" s="15">
        <f>IF($B22="","",COUNTIFS(nrIN_PID,$B22,nrIN_Chain,"Yes",nrIN_Res,"Open")+COUNTIFS(nrIN_PID,$B22,nrIN_Chain,"Yes",nrIN_Res,"In Review"))</f>
        <v/>
      </c>
      <c r="K22" s="15">
        <f>IF($B22="","",IF($J22=0,"Yes","No"))</f>
        <v/>
      </c>
      <c r="L22" s="15">
        <f>IF($B22="","",COUNTIF(nrCO_PID,$B22))</f>
        <v/>
      </c>
      <c r="M22" s="15">
        <f>IF($B22="","",COUNTIFS(nrCO_PID,$B22,nrCO_Status,"Open")+COUNTIFS(nrCO_PID,$B22,nrCO_Status,"In Review"))</f>
        <v/>
      </c>
    </row>
    <row r="23">
      <c r="B23" s="15">
        <f>IF(Cadets!$B23="","",Cadets!$B23)</f>
        <v/>
      </c>
      <c r="C23" s="15">
        <f>IF($B23="","",Cadets!$F23)</f>
        <v/>
      </c>
      <c r="D23" s="15">
        <f>IF($B23="","",Cadets!$I23)</f>
        <v/>
      </c>
      <c r="E23" s="15">
        <f>IF($B23="","",COUNTIF(nrIN_PID,$B23))</f>
        <v/>
      </c>
      <c r="F23" s="15">
        <f>IF($B23="","",COUNTIFS(nrIN_PID,$B23,nrIN_Dir,"Negative"))</f>
        <v/>
      </c>
      <c r="G23" s="15">
        <f>IF($B23="","",COUNTIFS(nrIN_PID,$B23,nrIN_Dir,"Positive"))</f>
        <v/>
      </c>
      <c r="H23" s="15">
        <f>IF($B23="","",COUNTIFS(nrIN_PID,$B23,nrIN_Dir,"Negative",nrIN_Res,"Open")+COUNTIFS(nrIN_PID,$B23,nrIN_Dir,"Negative",nrIN_Res,"In Review"))</f>
        <v/>
      </c>
      <c r="I23" s="15">
        <f>IF($B23="","",COUNTIFS(nrIN_PID,$B23,nrIN_Dir,"Negative",nrIN_Sev,"Major")+COUNTIFS(nrIN_PID,$B23,nrIN_Dir,"Negative",nrIN_Sev,"Critical"))</f>
        <v/>
      </c>
      <c r="J23" s="15">
        <f>IF($B23="","",COUNTIFS(nrIN_PID,$B23,nrIN_Chain,"Yes",nrIN_Res,"Open")+COUNTIFS(nrIN_PID,$B23,nrIN_Chain,"Yes",nrIN_Res,"In Review"))</f>
        <v/>
      </c>
      <c r="K23" s="15">
        <f>IF($B23="","",IF($J23=0,"Yes","No"))</f>
        <v/>
      </c>
      <c r="L23" s="15">
        <f>IF($B23="","",COUNTIF(nrCO_PID,$B23))</f>
        <v/>
      </c>
      <c r="M23" s="15">
        <f>IF($B23="","",COUNTIFS(nrCO_PID,$B23,nrCO_Status,"Open")+COUNTIFS(nrCO_PID,$B23,nrCO_Status,"In Review"))</f>
        <v/>
      </c>
    </row>
    <row r="24">
      <c r="B24" s="15">
        <f>IF(Cadets!$B24="","",Cadets!$B24)</f>
        <v/>
      </c>
      <c r="C24" s="15">
        <f>IF($B24="","",Cadets!$F24)</f>
        <v/>
      </c>
      <c r="D24" s="15">
        <f>IF($B24="","",Cadets!$I24)</f>
        <v/>
      </c>
      <c r="E24" s="15">
        <f>IF($B24="","",COUNTIF(nrIN_PID,$B24))</f>
        <v/>
      </c>
      <c r="F24" s="15">
        <f>IF($B24="","",COUNTIFS(nrIN_PID,$B24,nrIN_Dir,"Negative"))</f>
        <v/>
      </c>
      <c r="G24" s="15">
        <f>IF($B24="","",COUNTIFS(nrIN_PID,$B24,nrIN_Dir,"Positive"))</f>
        <v/>
      </c>
      <c r="H24" s="15">
        <f>IF($B24="","",COUNTIFS(nrIN_PID,$B24,nrIN_Dir,"Negative",nrIN_Res,"Open")+COUNTIFS(nrIN_PID,$B24,nrIN_Dir,"Negative",nrIN_Res,"In Review"))</f>
        <v/>
      </c>
      <c r="I24" s="15">
        <f>IF($B24="","",COUNTIFS(nrIN_PID,$B24,nrIN_Dir,"Negative",nrIN_Sev,"Major")+COUNTIFS(nrIN_PID,$B24,nrIN_Dir,"Negative",nrIN_Sev,"Critical"))</f>
        <v/>
      </c>
      <c r="J24" s="15">
        <f>IF($B24="","",COUNTIFS(nrIN_PID,$B24,nrIN_Chain,"Yes",nrIN_Res,"Open")+COUNTIFS(nrIN_PID,$B24,nrIN_Chain,"Yes",nrIN_Res,"In Review"))</f>
        <v/>
      </c>
      <c r="K24" s="15">
        <f>IF($B24="","",IF($J24=0,"Yes","No"))</f>
        <v/>
      </c>
      <c r="L24" s="15">
        <f>IF($B24="","",COUNTIF(nrCO_PID,$B24))</f>
        <v/>
      </c>
      <c r="M24" s="15">
        <f>IF($B24="","",COUNTIFS(nrCO_PID,$B24,nrCO_Status,"Open")+COUNTIFS(nrCO_PID,$B24,nrCO_Status,"In Review"))</f>
        <v/>
      </c>
    </row>
    <row r="25">
      <c r="B25" s="15">
        <f>IF(Cadets!$B25="","",Cadets!$B25)</f>
        <v/>
      </c>
      <c r="C25" s="15">
        <f>IF($B25="","",Cadets!$F25)</f>
        <v/>
      </c>
      <c r="D25" s="15">
        <f>IF($B25="","",Cadets!$I25)</f>
        <v/>
      </c>
      <c r="E25" s="15">
        <f>IF($B25="","",COUNTIF(nrIN_PID,$B25))</f>
        <v/>
      </c>
      <c r="F25" s="15">
        <f>IF($B25="","",COUNTIFS(nrIN_PID,$B25,nrIN_Dir,"Negative"))</f>
        <v/>
      </c>
      <c r="G25" s="15">
        <f>IF($B25="","",COUNTIFS(nrIN_PID,$B25,nrIN_Dir,"Positive"))</f>
        <v/>
      </c>
      <c r="H25" s="15">
        <f>IF($B25="","",COUNTIFS(nrIN_PID,$B25,nrIN_Dir,"Negative",nrIN_Res,"Open")+COUNTIFS(nrIN_PID,$B25,nrIN_Dir,"Negative",nrIN_Res,"In Review"))</f>
        <v/>
      </c>
      <c r="I25" s="15">
        <f>IF($B25="","",COUNTIFS(nrIN_PID,$B25,nrIN_Dir,"Negative",nrIN_Sev,"Major")+COUNTIFS(nrIN_PID,$B25,nrIN_Dir,"Negative",nrIN_Sev,"Critical"))</f>
        <v/>
      </c>
      <c r="J25" s="15">
        <f>IF($B25="","",COUNTIFS(nrIN_PID,$B25,nrIN_Chain,"Yes",nrIN_Res,"Open")+COUNTIFS(nrIN_PID,$B25,nrIN_Chain,"Yes",nrIN_Res,"In Review"))</f>
        <v/>
      </c>
      <c r="K25" s="15">
        <f>IF($B25="","",IF($J25=0,"Yes","No"))</f>
        <v/>
      </c>
      <c r="L25" s="15">
        <f>IF($B25="","",COUNTIF(nrCO_PID,$B25))</f>
        <v/>
      </c>
      <c r="M25" s="15">
        <f>IF($B25="","",COUNTIFS(nrCO_PID,$B25,nrCO_Status,"Open")+COUNTIFS(nrCO_PID,$B25,nrCO_Status,"In Review"))</f>
        <v/>
      </c>
    </row>
    <row r="26">
      <c r="B26" s="15">
        <f>IF(Cadets!$B26="","",Cadets!$B26)</f>
        <v/>
      </c>
      <c r="C26" s="15">
        <f>IF($B26="","",Cadets!$F26)</f>
        <v/>
      </c>
      <c r="D26" s="15">
        <f>IF($B26="","",Cadets!$I26)</f>
        <v/>
      </c>
      <c r="E26" s="15">
        <f>IF($B26="","",COUNTIF(nrIN_PID,$B26))</f>
        <v/>
      </c>
      <c r="F26" s="15">
        <f>IF($B26="","",COUNTIFS(nrIN_PID,$B26,nrIN_Dir,"Negative"))</f>
        <v/>
      </c>
      <c r="G26" s="15">
        <f>IF($B26="","",COUNTIFS(nrIN_PID,$B26,nrIN_Dir,"Positive"))</f>
        <v/>
      </c>
      <c r="H26" s="15">
        <f>IF($B26="","",COUNTIFS(nrIN_PID,$B26,nrIN_Dir,"Negative",nrIN_Res,"Open")+COUNTIFS(nrIN_PID,$B26,nrIN_Dir,"Negative",nrIN_Res,"In Review"))</f>
        <v/>
      </c>
      <c r="I26" s="15">
        <f>IF($B26="","",COUNTIFS(nrIN_PID,$B26,nrIN_Dir,"Negative",nrIN_Sev,"Major")+COUNTIFS(nrIN_PID,$B26,nrIN_Dir,"Negative",nrIN_Sev,"Critical"))</f>
        <v/>
      </c>
      <c r="J26" s="15">
        <f>IF($B26="","",COUNTIFS(nrIN_PID,$B26,nrIN_Chain,"Yes",nrIN_Res,"Open")+COUNTIFS(nrIN_PID,$B26,nrIN_Chain,"Yes",nrIN_Res,"In Review"))</f>
        <v/>
      </c>
      <c r="K26" s="15">
        <f>IF($B26="","",IF($J26=0,"Yes","No"))</f>
        <v/>
      </c>
      <c r="L26" s="15">
        <f>IF($B26="","",COUNTIF(nrCO_PID,$B26))</f>
        <v/>
      </c>
      <c r="M26" s="15">
        <f>IF($B26="","",COUNTIFS(nrCO_PID,$B26,nrCO_Status,"Open")+COUNTIFS(nrCO_PID,$B26,nrCO_Status,"In Review"))</f>
        <v/>
      </c>
    </row>
    <row r="27">
      <c r="B27" s="15">
        <f>IF(Cadets!$B27="","",Cadets!$B27)</f>
        <v/>
      </c>
      <c r="C27" s="15">
        <f>IF($B27="","",Cadets!$F27)</f>
        <v/>
      </c>
      <c r="D27" s="15">
        <f>IF($B27="","",Cadets!$I27)</f>
        <v/>
      </c>
      <c r="E27" s="15">
        <f>IF($B27="","",COUNTIF(nrIN_PID,$B27))</f>
        <v/>
      </c>
      <c r="F27" s="15">
        <f>IF($B27="","",COUNTIFS(nrIN_PID,$B27,nrIN_Dir,"Negative"))</f>
        <v/>
      </c>
      <c r="G27" s="15">
        <f>IF($B27="","",COUNTIFS(nrIN_PID,$B27,nrIN_Dir,"Positive"))</f>
        <v/>
      </c>
      <c r="H27" s="15">
        <f>IF($B27="","",COUNTIFS(nrIN_PID,$B27,nrIN_Dir,"Negative",nrIN_Res,"Open")+COUNTIFS(nrIN_PID,$B27,nrIN_Dir,"Negative",nrIN_Res,"In Review"))</f>
        <v/>
      </c>
      <c r="I27" s="15">
        <f>IF($B27="","",COUNTIFS(nrIN_PID,$B27,nrIN_Dir,"Negative",nrIN_Sev,"Major")+COUNTIFS(nrIN_PID,$B27,nrIN_Dir,"Negative",nrIN_Sev,"Critical"))</f>
        <v/>
      </c>
      <c r="J27" s="15">
        <f>IF($B27="","",COUNTIFS(nrIN_PID,$B27,nrIN_Chain,"Yes",nrIN_Res,"Open")+COUNTIFS(nrIN_PID,$B27,nrIN_Chain,"Yes",nrIN_Res,"In Review"))</f>
        <v/>
      </c>
      <c r="K27" s="15">
        <f>IF($B27="","",IF($J27=0,"Yes","No"))</f>
        <v/>
      </c>
      <c r="L27" s="15">
        <f>IF($B27="","",COUNTIF(nrCO_PID,$B27))</f>
        <v/>
      </c>
      <c r="M27" s="15">
        <f>IF($B27="","",COUNTIFS(nrCO_PID,$B27,nrCO_Status,"Open")+COUNTIFS(nrCO_PID,$B27,nrCO_Status,"In Review"))</f>
        <v/>
      </c>
    </row>
    <row r="28">
      <c r="B28" s="15">
        <f>IF(Cadets!$B28="","",Cadets!$B28)</f>
        <v/>
      </c>
      <c r="C28" s="15">
        <f>IF($B28="","",Cadets!$F28)</f>
        <v/>
      </c>
      <c r="D28" s="15">
        <f>IF($B28="","",Cadets!$I28)</f>
        <v/>
      </c>
      <c r="E28" s="15">
        <f>IF($B28="","",COUNTIF(nrIN_PID,$B28))</f>
        <v/>
      </c>
      <c r="F28" s="15">
        <f>IF($B28="","",COUNTIFS(nrIN_PID,$B28,nrIN_Dir,"Negative"))</f>
        <v/>
      </c>
      <c r="G28" s="15">
        <f>IF($B28="","",COUNTIFS(nrIN_PID,$B28,nrIN_Dir,"Positive"))</f>
        <v/>
      </c>
      <c r="H28" s="15">
        <f>IF($B28="","",COUNTIFS(nrIN_PID,$B28,nrIN_Dir,"Negative",nrIN_Res,"Open")+COUNTIFS(nrIN_PID,$B28,nrIN_Dir,"Negative",nrIN_Res,"In Review"))</f>
        <v/>
      </c>
      <c r="I28" s="15">
        <f>IF($B28="","",COUNTIFS(nrIN_PID,$B28,nrIN_Dir,"Negative",nrIN_Sev,"Major")+COUNTIFS(nrIN_PID,$B28,nrIN_Dir,"Negative",nrIN_Sev,"Critical"))</f>
        <v/>
      </c>
      <c r="J28" s="15">
        <f>IF($B28="","",COUNTIFS(nrIN_PID,$B28,nrIN_Chain,"Yes",nrIN_Res,"Open")+COUNTIFS(nrIN_PID,$B28,nrIN_Chain,"Yes",nrIN_Res,"In Review"))</f>
        <v/>
      </c>
      <c r="K28" s="15">
        <f>IF($B28="","",IF($J28=0,"Yes","No"))</f>
        <v/>
      </c>
      <c r="L28" s="15">
        <f>IF($B28="","",COUNTIF(nrCO_PID,$B28))</f>
        <v/>
      </c>
      <c r="M28" s="15">
        <f>IF($B28="","",COUNTIFS(nrCO_PID,$B28,nrCO_Status,"Open")+COUNTIFS(nrCO_PID,$B28,nrCO_Status,"In Review"))</f>
        <v/>
      </c>
    </row>
    <row r="29">
      <c r="B29" s="15">
        <f>IF(Cadets!$B29="","",Cadets!$B29)</f>
        <v/>
      </c>
      <c r="C29" s="15">
        <f>IF($B29="","",Cadets!$F29)</f>
        <v/>
      </c>
      <c r="D29" s="15">
        <f>IF($B29="","",Cadets!$I29)</f>
        <v/>
      </c>
      <c r="E29" s="15">
        <f>IF($B29="","",COUNTIF(nrIN_PID,$B29))</f>
        <v/>
      </c>
      <c r="F29" s="15">
        <f>IF($B29="","",COUNTIFS(nrIN_PID,$B29,nrIN_Dir,"Negative"))</f>
        <v/>
      </c>
      <c r="G29" s="15">
        <f>IF($B29="","",COUNTIFS(nrIN_PID,$B29,nrIN_Dir,"Positive"))</f>
        <v/>
      </c>
      <c r="H29" s="15">
        <f>IF($B29="","",COUNTIFS(nrIN_PID,$B29,nrIN_Dir,"Negative",nrIN_Res,"Open")+COUNTIFS(nrIN_PID,$B29,nrIN_Dir,"Negative",nrIN_Res,"In Review"))</f>
        <v/>
      </c>
      <c r="I29" s="15">
        <f>IF($B29="","",COUNTIFS(nrIN_PID,$B29,nrIN_Dir,"Negative",nrIN_Sev,"Major")+COUNTIFS(nrIN_PID,$B29,nrIN_Dir,"Negative",nrIN_Sev,"Critical"))</f>
        <v/>
      </c>
      <c r="J29" s="15">
        <f>IF($B29="","",COUNTIFS(nrIN_PID,$B29,nrIN_Chain,"Yes",nrIN_Res,"Open")+COUNTIFS(nrIN_PID,$B29,nrIN_Chain,"Yes",nrIN_Res,"In Review"))</f>
        <v/>
      </c>
      <c r="K29" s="15">
        <f>IF($B29="","",IF($J29=0,"Yes","No"))</f>
        <v/>
      </c>
      <c r="L29" s="15">
        <f>IF($B29="","",COUNTIF(nrCO_PID,$B29))</f>
        <v/>
      </c>
      <c r="M29" s="15">
        <f>IF($B29="","",COUNTIFS(nrCO_PID,$B29,nrCO_Status,"Open")+COUNTIFS(nrCO_PID,$B29,nrCO_Status,"In Review"))</f>
        <v/>
      </c>
    </row>
    <row r="30">
      <c r="B30" s="15">
        <f>IF(Cadets!$B30="","",Cadets!$B30)</f>
        <v/>
      </c>
      <c r="C30" s="15">
        <f>IF($B30="","",Cadets!$F30)</f>
        <v/>
      </c>
      <c r="D30" s="15">
        <f>IF($B30="","",Cadets!$I30)</f>
        <v/>
      </c>
      <c r="E30" s="15">
        <f>IF($B30="","",COUNTIF(nrIN_PID,$B30))</f>
        <v/>
      </c>
      <c r="F30" s="15">
        <f>IF($B30="","",COUNTIFS(nrIN_PID,$B30,nrIN_Dir,"Negative"))</f>
        <v/>
      </c>
      <c r="G30" s="15">
        <f>IF($B30="","",COUNTIFS(nrIN_PID,$B30,nrIN_Dir,"Positive"))</f>
        <v/>
      </c>
      <c r="H30" s="15">
        <f>IF($B30="","",COUNTIFS(nrIN_PID,$B30,nrIN_Dir,"Negative",nrIN_Res,"Open")+COUNTIFS(nrIN_PID,$B30,nrIN_Dir,"Negative",nrIN_Res,"In Review"))</f>
        <v/>
      </c>
      <c r="I30" s="15">
        <f>IF($B30="","",COUNTIFS(nrIN_PID,$B30,nrIN_Dir,"Negative",nrIN_Sev,"Major")+COUNTIFS(nrIN_PID,$B30,nrIN_Dir,"Negative",nrIN_Sev,"Critical"))</f>
        <v/>
      </c>
      <c r="J30" s="15">
        <f>IF($B30="","",COUNTIFS(nrIN_PID,$B30,nrIN_Chain,"Yes",nrIN_Res,"Open")+COUNTIFS(nrIN_PID,$B30,nrIN_Chain,"Yes",nrIN_Res,"In Review"))</f>
        <v/>
      </c>
      <c r="K30" s="15">
        <f>IF($B30="","",IF($J30=0,"Yes","No"))</f>
        <v/>
      </c>
      <c r="L30" s="15">
        <f>IF($B30="","",COUNTIF(nrCO_PID,$B30))</f>
        <v/>
      </c>
      <c r="M30" s="15">
        <f>IF($B30="","",COUNTIFS(nrCO_PID,$B30,nrCO_Status,"Open")+COUNTIFS(nrCO_PID,$B30,nrCO_Status,"In Review"))</f>
        <v/>
      </c>
    </row>
    <row r="31">
      <c r="B31" s="15">
        <f>IF(Cadets!$B31="","",Cadets!$B31)</f>
        <v/>
      </c>
      <c r="C31" s="15">
        <f>IF($B31="","",Cadets!$F31)</f>
        <v/>
      </c>
      <c r="D31" s="15">
        <f>IF($B31="","",Cadets!$I31)</f>
        <v/>
      </c>
      <c r="E31" s="15">
        <f>IF($B31="","",COUNTIF(nrIN_PID,$B31))</f>
        <v/>
      </c>
      <c r="F31" s="15">
        <f>IF($B31="","",COUNTIFS(nrIN_PID,$B31,nrIN_Dir,"Negative"))</f>
        <v/>
      </c>
      <c r="G31" s="15">
        <f>IF($B31="","",COUNTIFS(nrIN_PID,$B31,nrIN_Dir,"Positive"))</f>
        <v/>
      </c>
      <c r="H31" s="15">
        <f>IF($B31="","",COUNTIFS(nrIN_PID,$B31,nrIN_Dir,"Negative",nrIN_Res,"Open")+COUNTIFS(nrIN_PID,$B31,nrIN_Dir,"Negative",nrIN_Res,"In Review"))</f>
        <v/>
      </c>
      <c r="I31" s="15">
        <f>IF($B31="","",COUNTIFS(nrIN_PID,$B31,nrIN_Dir,"Negative",nrIN_Sev,"Major")+COUNTIFS(nrIN_PID,$B31,nrIN_Dir,"Negative",nrIN_Sev,"Critical"))</f>
        <v/>
      </c>
      <c r="J31" s="15">
        <f>IF($B31="","",COUNTIFS(nrIN_PID,$B31,nrIN_Chain,"Yes",nrIN_Res,"Open")+COUNTIFS(nrIN_PID,$B31,nrIN_Chain,"Yes",nrIN_Res,"In Review"))</f>
        <v/>
      </c>
      <c r="K31" s="15">
        <f>IF($B31="","",IF($J31=0,"Yes","No"))</f>
        <v/>
      </c>
      <c r="L31" s="15">
        <f>IF($B31="","",COUNTIF(nrCO_PID,$B31))</f>
        <v/>
      </c>
      <c r="M31" s="15">
        <f>IF($B31="","",COUNTIFS(nrCO_PID,$B31,nrCO_Status,"Open")+COUNTIFS(nrCO_PID,$B31,nrCO_Status,"In Review"))</f>
        <v/>
      </c>
    </row>
    <row r="32">
      <c r="B32" s="15">
        <f>IF(Cadets!$B32="","",Cadets!$B32)</f>
        <v/>
      </c>
      <c r="C32" s="15">
        <f>IF($B32="","",Cadets!$F32)</f>
        <v/>
      </c>
      <c r="D32" s="15">
        <f>IF($B32="","",Cadets!$I32)</f>
        <v/>
      </c>
      <c r="E32" s="15">
        <f>IF($B32="","",COUNTIF(nrIN_PID,$B32))</f>
        <v/>
      </c>
      <c r="F32" s="15">
        <f>IF($B32="","",COUNTIFS(nrIN_PID,$B32,nrIN_Dir,"Negative"))</f>
        <v/>
      </c>
      <c r="G32" s="15">
        <f>IF($B32="","",COUNTIFS(nrIN_PID,$B32,nrIN_Dir,"Positive"))</f>
        <v/>
      </c>
      <c r="H32" s="15">
        <f>IF($B32="","",COUNTIFS(nrIN_PID,$B32,nrIN_Dir,"Negative",nrIN_Res,"Open")+COUNTIFS(nrIN_PID,$B32,nrIN_Dir,"Negative",nrIN_Res,"In Review"))</f>
        <v/>
      </c>
      <c r="I32" s="15">
        <f>IF($B32="","",COUNTIFS(nrIN_PID,$B32,nrIN_Dir,"Negative",nrIN_Sev,"Major")+COUNTIFS(nrIN_PID,$B32,nrIN_Dir,"Negative",nrIN_Sev,"Critical"))</f>
        <v/>
      </c>
      <c r="J32" s="15">
        <f>IF($B32="","",COUNTIFS(nrIN_PID,$B32,nrIN_Chain,"Yes",nrIN_Res,"Open")+COUNTIFS(nrIN_PID,$B32,nrIN_Chain,"Yes",nrIN_Res,"In Review"))</f>
        <v/>
      </c>
      <c r="K32" s="15">
        <f>IF($B32="","",IF($J32=0,"Yes","No"))</f>
        <v/>
      </c>
      <c r="L32" s="15">
        <f>IF($B32="","",COUNTIF(nrCO_PID,$B32))</f>
        <v/>
      </c>
      <c r="M32" s="15">
        <f>IF($B32="","",COUNTIFS(nrCO_PID,$B32,nrCO_Status,"Open")+COUNTIFS(nrCO_PID,$B32,nrCO_Status,"In Review"))</f>
        <v/>
      </c>
    </row>
    <row r="33">
      <c r="B33" s="15">
        <f>IF(Cadets!$B33="","",Cadets!$B33)</f>
        <v/>
      </c>
      <c r="C33" s="15">
        <f>IF($B33="","",Cadets!$F33)</f>
        <v/>
      </c>
      <c r="D33" s="15">
        <f>IF($B33="","",Cadets!$I33)</f>
        <v/>
      </c>
      <c r="E33" s="15">
        <f>IF($B33="","",COUNTIF(nrIN_PID,$B33))</f>
        <v/>
      </c>
      <c r="F33" s="15">
        <f>IF($B33="","",COUNTIFS(nrIN_PID,$B33,nrIN_Dir,"Negative"))</f>
        <v/>
      </c>
      <c r="G33" s="15">
        <f>IF($B33="","",COUNTIFS(nrIN_PID,$B33,nrIN_Dir,"Positive"))</f>
        <v/>
      </c>
      <c r="H33" s="15">
        <f>IF($B33="","",COUNTIFS(nrIN_PID,$B33,nrIN_Dir,"Negative",nrIN_Res,"Open")+COUNTIFS(nrIN_PID,$B33,nrIN_Dir,"Negative",nrIN_Res,"In Review"))</f>
        <v/>
      </c>
      <c r="I33" s="15">
        <f>IF($B33="","",COUNTIFS(nrIN_PID,$B33,nrIN_Dir,"Negative",nrIN_Sev,"Major")+COUNTIFS(nrIN_PID,$B33,nrIN_Dir,"Negative",nrIN_Sev,"Critical"))</f>
        <v/>
      </c>
      <c r="J33" s="15">
        <f>IF($B33="","",COUNTIFS(nrIN_PID,$B33,nrIN_Chain,"Yes",nrIN_Res,"Open")+COUNTIFS(nrIN_PID,$B33,nrIN_Chain,"Yes",nrIN_Res,"In Review"))</f>
        <v/>
      </c>
      <c r="K33" s="15">
        <f>IF($B33="","",IF($J33=0,"Yes","No"))</f>
        <v/>
      </c>
      <c r="L33" s="15">
        <f>IF($B33="","",COUNTIF(nrCO_PID,$B33))</f>
        <v/>
      </c>
      <c r="M33" s="15">
        <f>IF($B33="","",COUNTIFS(nrCO_PID,$B33,nrCO_Status,"Open")+COUNTIFS(nrCO_PID,$B33,nrCO_Status,"In Review"))</f>
        <v/>
      </c>
    </row>
    <row r="34">
      <c r="B34" s="15">
        <f>IF(Cadets!$B34="","",Cadets!$B34)</f>
        <v/>
      </c>
      <c r="C34" s="15">
        <f>IF($B34="","",Cadets!$F34)</f>
        <v/>
      </c>
      <c r="D34" s="15">
        <f>IF($B34="","",Cadets!$I34)</f>
        <v/>
      </c>
      <c r="E34" s="15">
        <f>IF($B34="","",COUNTIF(nrIN_PID,$B34))</f>
        <v/>
      </c>
      <c r="F34" s="15">
        <f>IF($B34="","",COUNTIFS(nrIN_PID,$B34,nrIN_Dir,"Negative"))</f>
        <v/>
      </c>
      <c r="G34" s="15">
        <f>IF($B34="","",COUNTIFS(nrIN_PID,$B34,nrIN_Dir,"Positive"))</f>
        <v/>
      </c>
      <c r="H34" s="15">
        <f>IF($B34="","",COUNTIFS(nrIN_PID,$B34,nrIN_Dir,"Negative",nrIN_Res,"Open")+COUNTIFS(nrIN_PID,$B34,nrIN_Dir,"Negative",nrIN_Res,"In Review"))</f>
        <v/>
      </c>
      <c r="I34" s="15">
        <f>IF($B34="","",COUNTIFS(nrIN_PID,$B34,nrIN_Dir,"Negative",nrIN_Sev,"Major")+COUNTIFS(nrIN_PID,$B34,nrIN_Dir,"Negative",nrIN_Sev,"Critical"))</f>
        <v/>
      </c>
      <c r="J34" s="15">
        <f>IF($B34="","",COUNTIFS(nrIN_PID,$B34,nrIN_Chain,"Yes",nrIN_Res,"Open")+COUNTIFS(nrIN_PID,$B34,nrIN_Chain,"Yes",nrIN_Res,"In Review"))</f>
        <v/>
      </c>
      <c r="K34" s="15">
        <f>IF($B34="","",IF($J34=0,"Yes","No"))</f>
        <v/>
      </c>
      <c r="L34" s="15">
        <f>IF($B34="","",COUNTIF(nrCO_PID,$B34))</f>
        <v/>
      </c>
      <c r="M34" s="15">
        <f>IF($B34="","",COUNTIFS(nrCO_PID,$B34,nrCO_Status,"Open")+COUNTIFS(nrCO_PID,$B34,nrCO_Status,"In Review"))</f>
        <v/>
      </c>
    </row>
    <row r="35">
      <c r="B35" s="15">
        <f>IF(Cadets!$B35="","",Cadets!$B35)</f>
        <v/>
      </c>
      <c r="C35" s="15">
        <f>IF($B35="","",Cadets!$F35)</f>
        <v/>
      </c>
      <c r="D35" s="15">
        <f>IF($B35="","",Cadets!$I35)</f>
        <v/>
      </c>
      <c r="E35" s="15">
        <f>IF($B35="","",COUNTIF(nrIN_PID,$B35))</f>
        <v/>
      </c>
      <c r="F35" s="15">
        <f>IF($B35="","",COUNTIFS(nrIN_PID,$B35,nrIN_Dir,"Negative"))</f>
        <v/>
      </c>
      <c r="G35" s="15">
        <f>IF($B35="","",COUNTIFS(nrIN_PID,$B35,nrIN_Dir,"Positive"))</f>
        <v/>
      </c>
      <c r="H35" s="15">
        <f>IF($B35="","",COUNTIFS(nrIN_PID,$B35,nrIN_Dir,"Negative",nrIN_Res,"Open")+COUNTIFS(nrIN_PID,$B35,nrIN_Dir,"Negative",nrIN_Res,"In Review"))</f>
        <v/>
      </c>
      <c r="I35" s="15">
        <f>IF($B35="","",COUNTIFS(nrIN_PID,$B35,nrIN_Dir,"Negative",nrIN_Sev,"Major")+COUNTIFS(nrIN_PID,$B35,nrIN_Dir,"Negative",nrIN_Sev,"Critical"))</f>
        <v/>
      </c>
      <c r="J35" s="15">
        <f>IF($B35="","",COUNTIFS(nrIN_PID,$B35,nrIN_Chain,"Yes",nrIN_Res,"Open")+COUNTIFS(nrIN_PID,$B35,nrIN_Chain,"Yes",nrIN_Res,"In Review"))</f>
        <v/>
      </c>
      <c r="K35" s="15">
        <f>IF($B35="","",IF($J35=0,"Yes","No"))</f>
        <v/>
      </c>
      <c r="L35" s="15">
        <f>IF($B35="","",COUNTIF(nrCO_PID,$B35))</f>
        <v/>
      </c>
      <c r="M35" s="15">
        <f>IF($B35="","",COUNTIFS(nrCO_PID,$B35,nrCO_Status,"Open")+COUNTIFS(nrCO_PID,$B35,nrCO_Status,"In Review"))</f>
        <v/>
      </c>
    </row>
    <row r="36">
      <c r="B36" s="15">
        <f>IF(Cadets!$B36="","",Cadets!$B36)</f>
        <v/>
      </c>
      <c r="C36" s="15">
        <f>IF($B36="","",Cadets!$F36)</f>
        <v/>
      </c>
      <c r="D36" s="15">
        <f>IF($B36="","",Cadets!$I36)</f>
        <v/>
      </c>
      <c r="E36" s="15">
        <f>IF($B36="","",COUNTIF(nrIN_PID,$B36))</f>
        <v/>
      </c>
      <c r="F36" s="15">
        <f>IF($B36="","",COUNTIFS(nrIN_PID,$B36,nrIN_Dir,"Negative"))</f>
        <v/>
      </c>
      <c r="G36" s="15">
        <f>IF($B36="","",COUNTIFS(nrIN_PID,$B36,nrIN_Dir,"Positive"))</f>
        <v/>
      </c>
      <c r="H36" s="15">
        <f>IF($B36="","",COUNTIFS(nrIN_PID,$B36,nrIN_Dir,"Negative",nrIN_Res,"Open")+COUNTIFS(nrIN_PID,$B36,nrIN_Dir,"Negative",nrIN_Res,"In Review"))</f>
        <v/>
      </c>
      <c r="I36" s="15">
        <f>IF($B36="","",COUNTIFS(nrIN_PID,$B36,nrIN_Dir,"Negative",nrIN_Sev,"Major")+COUNTIFS(nrIN_PID,$B36,nrIN_Dir,"Negative",nrIN_Sev,"Critical"))</f>
        <v/>
      </c>
      <c r="J36" s="15">
        <f>IF($B36="","",COUNTIFS(nrIN_PID,$B36,nrIN_Chain,"Yes",nrIN_Res,"Open")+COUNTIFS(nrIN_PID,$B36,nrIN_Chain,"Yes",nrIN_Res,"In Review"))</f>
        <v/>
      </c>
      <c r="K36" s="15">
        <f>IF($B36="","",IF($J36=0,"Yes","No"))</f>
        <v/>
      </c>
      <c r="L36" s="15">
        <f>IF($B36="","",COUNTIF(nrCO_PID,$B36))</f>
        <v/>
      </c>
      <c r="M36" s="15">
        <f>IF($B36="","",COUNTIFS(nrCO_PID,$B36,nrCO_Status,"Open")+COUNTIFS(nrCO_PID,$B36,nrCO_Status,"In Review"))</f>
        <v/>
      </c>
    </row>
    <row r="37">
      <c r="B37" s="15">
        <f>IF(Cadets!$B37="","",Cadets!$B37)</f>
        <v/>
      </c>
      <c r="C37" s="15">
        <f>IF($B37="","",Cadets!$F37)</f>
        <v/>
      </c>
      <c r="D37" s="15">
        <f>IF($B37="","",Cadets!$I37)</f>
        <v/>
      </c>
      <c r="E37" s="15">
        <f>IF($B37="","",COUNTIF(nrIN_PID,$B37))</f>
        <v/>
      </c>
      <c r="F37" s="15">
        <f>IF($B37="","",COUNTIFS(nrIN_PID,$B37,nrIN_Dir,"Negative"))</f>
        <v/>
      </c>
      <c r="G37" s="15">
        <f>IF($B37="","",COUNTIFS(nrIN_PID,$B37,nrIN_Dir,"Positive"))</f>
        <v/>
      </c>
      <c r="H37" s="15">
        <f>IF($B37="","",COUNTIFS(nrIN_PID,$B37,nrIN_Dir,"Negative",nrIN_Res,"Open")+COUNTIFS(nrIN_PID,$B37,nrIN_Dir,"Negative",nrIN_Res,"In Review"))</f>
        <v/>
      </c>
      <c r="I37" s="15">
        <f>IF($B37="","",COUNTIFS(nrIN_PID,$B37,nrIN_Dir,"Negative",nrIN_Sev,"Major")+COUNTIFS(nrIN_PID,$B37,nrIN_Dir,"Negative",nrIN_Sev,"Critical"))</f>
        <v/>
      </c>
      <c r="J37" s="15">
        <f>IF($B37="","",COUNTIFS(nrIN_PID,$B37,nrIN_Chain,"Yes",nrIN_Res,"Open")+COUNTIFS(nrIN_PID,$B37,nrIN_Chain,"Yes",nrIN_Res,"In Review"))</f>
        <v/>
      </c>
      <c r="K37" s="15">
        <f>IF($B37="","",IF($J37=0,"Yes","No"))</f>
        <v/>
      </c>
      <c r="L37" s="15">
        <f>IF($B37="","",COUNTIF(nrCO_PID,$B37))</f>
        <v/>
      </c>
      <c r="M37" s="15">
        <f>IF($B37="","",COUNTIFS(nrCO_PID,$B37,nrCO_Status,"Open")+COUNTIFS(nrCO_PID,$B37,nrCO_Status,"In Review"))</f>
        <v/>
      </c>
    </row>
    <row r="38">
      <c r="B38" s="15">
        <f>IF(Cadets!$B38="","",Cadets!$B38)</f>
        <v/>
      </c>
      <c r="C38" s="15">
        <f>IF($B38="","",Cadets!$F38)</f>
        <v/>
      </c>
      <c r="D38" s="15">
        <f>IF($B38="","",Cadets!$I38)</f>
        <v/>
      </c>
      <c r="E38" s="15">
        <f>IF($B38="","",COUNTIF(nrIN_PID,$B38))</f>
        <v/>
      </c>
      <c r="F38" s="15">
        <f>IF($B38="","",COUNTIFS(nrIN_PID,$B38,nrIN_Dir,"Negative"))</f>
        <v/>
      </c>
      <c r="G38" s="15">
        <f>IF($B38="","",COUNTIFS(nrIN_PID,$B38,nrIN_Dir,"Positive"))</f>
        <v/>
      </c>
      <c r="H38" s="15">
        <f>IF($B38="","",COUNTIFS(nrIN_PID,$B38,nrIN_Dir,"Negative",nrIN_Res,"Open")+COUNTIFS(nrIN_PID,$B38,nrIN_Dir,"Negative",nrIN_Res,"In Review"))</f>
        <v/>
      </c>
      <c r="I38" s="15">
        <f>IF($B38="","",COUNTIFS(nrIN_PID,$B38,nrIN_Dir,"Negative",nrIN_Sev,"Major")+COUNTIFS(nrIN_PID,$B38,nrIN_Dir,"Negative",nrIN_Sev,"Critical"))</f>
        <v/>
      </c>
      <c r="J38" s="15">
        <f>IF($B38="","",COUNTIFS(nrIN_PID,$B38,nrIN_Chain,"Yes",nrIN_Res,"Open")+COUNTIFS(nrIN_PID,$B38,nrIN_Chain,"Yes",nrIN_Res,"In Review"))</f>
        <v/>
      </c>
      <c r="K38" s="15">
        <f>IF($B38="","",IF($J38=0,"Yes","No"))</f>
        <v/>
      </c>
      <c r="L38" s="15">
        <f>IF($B38="","",COUNTIF(nrCO_PID,$B38))</f>
        <v/>
      </c>
      <c r="M38" s="15">
        <f>IF($B38="","",COUNTIFS(nrCO_PID,$B38,nrCO_Status,"Open")+COUNTIFS(nrCO_PID,$B38,nrCO_Status,"In Review"))</f>
        <v/>
      </c>
    </row>
    <row r="39">
      <c r="B39" s="15">
        <f>IF(Cadets!$B39="","",Cadets!$B39)</f>
        <v/>
      </c>
      <c r="C39" s="15">
        <f>IF($B39="","",Cadets!$F39)</f>
        <v/>
      </c>
      <c r="D39" s="15">
        <f>IF($B39="","",Cadets!$I39)</f>
        <v/>
      </c>
      <c r="E39" s="15">
        <f>IF($B39="","",COUNTIF(nrIN_PID,$B39))</f>
        <v/>
      </c>
      <c r="F39" s="15">
        <f>IF($B39="","",COUNTIFS(nrIN_PID,$B39,nrIN_Dir,"Negative"))</f>
        <v/>
      </c>
      <c r="G39" s="15">
        <f>IF($B39="","",COUNTIFS(nrIN_PID,$B39,nrIN_Dir,"Positive"))</f>
        <v/>
      </c>
      <c r="H39" s="15">
        <f>IF($B39="","",COUNTIFS(nrIN_PID,$B39,nrIN_Dir,"Negative",nrIN_Res,"Open")+COUNTIFS(nrIN_PID,$B39,nrIN_Dir,"Negative",nrIN_Res,"In Review"))</f>
        <v/>
      </c>
      <c r="I39" s="15">
        <f>IF($B39="","",COUNTIFS(nrIN_PID,$B39,nrIN_Dir,"Negative",nrIN_Sev,"Major")+COUNTIFS(nrIN_PID,$B39,nrIN_Dir,"Negative",nrIN_Sev,"Critical"))</f>
        <v/>
      </c>
      <c r="J39" s="15">
        <f>IF($B39="","",COUNTIFS(nrIN_PID,$B39,nrIN_Chain,"Yes",nrIN_Res,"Open")+COUNTIFS(nrIN_PID,$B39,nrIN_Chain,"Yes",nrIN_Res,"In Review"))</f>
        <v/>
      </c>
      <c r="K39" s="15">
        <f>IF($B39="","",IF($J39=0,"Yes","No"))</f>
        <v/>
      </c>
      <c r="L39" s="15">
        <f>IF($B39="","",COUNTIF(nrCO_PID,$B39))</f>
        <v/>
      </c>
      <c r="M39" s="15">
        <f>IF($B39="","",COUNTIFS(nrCO_PID,$B39,nrCO_Status,"Open")+COUNTIFS(nrCO_PID,$B39,nrCO_Status,"In Review"))</f>
        <v/>
      </c>
    </row>
    <row r="40">
      <c r="B40" s="15">
        <f>IF(Cadets!$B40="","",Cadets!$B40)</f>
        <v/>
      </c>
      <c r="C40" s="15">
        <f>IF($B40="","",Cadets!$F40)</f>
        <v/>
      </c>
      <c r="D40" s="15">
        <f>IF($B40="","",Cadets!$I40)</f>
        <v/>
      </c>
      <c r="E40" s="15">
        <f>IF($B40="","",COUNTIF(nrIN_PID,$B40))</f>
        <v/>
      </c>
      <c r="F40" s="15">
        <f>IF($B40="","",COUNTIFS(nrIN_PID,$B40,nrIN_Dir,"Negative"))</f>
        <v/>
      </c>
      <c r="G40" s="15">
        <f>IF($B40="","",COUNTIFS(nrIN_PID,$B40,nrIN_Dir,"Positive"))</f>
        <v/>
      </c>
      <c r="H40" s="15">
        <f>IF($B40="","",COUNTIFS(nrIN_PID,$B40,nrIN_Dir,"Negative",nrIN_Res,"Open")+COUNTIFS(nrIN_PID,$B40,nrIN_Dir,"Negative",nrIN_Res,"In Review"))</f>
        <v/>
      </c>
      <c r="I40" s="15">
        <f>IF($B40="","",COUNTIFS(nrIN_PID,$B40,nrIN_Dir,"Negative",nrIN_Sev,"Major")+COUNTIFS(nrIN_PID,$B40,nrIN_Dir,"Negative",nrIN_Sev,"Critical"))</f>
        <v/>
      </c>
      <c r="J40" s="15">
        <f>IF($B40="","",COUNTIFS(nrIN_PID,$B40,nrIN_Chain,"Yes",nrIN_Res,"Open")+COUNTIFS(nrIN_PID,$B40,nrIN_Chain,"Yes",nrIN_Res,"In Review"))</f>
        <v/>
      </c>
      <c r="K40" s="15">
        <f>IF($B40="","",IF($J40=0,"Yes","No"))</f>
        <v/>
      </c>
      <c r="L40" s="15">
        <f>IF($B40="","",COUNTIF(nrCO_PID,$B40))</f>
        <v/>
      </c>
      <c r="M40" s="15">
        <f>IF($B40="","",COUNTIFS(nrCO_PID,$B40,nrCO_Status,"Open")+COUNTIFS(nrCO_PID,$B40,nrCO_Status,"In Review"))</f>
        <v/>
      </c>
    </row>
    <row r="41">
      <c r="B41" s="15">
        <f>IF(Cadets!$B41="","",Cadets!$B41)</f>
        <v/>
      </c>
      <c r="C41" s="15">
        <f>IF($B41="","",Cadets!$F41)</f>
        <v/>
      </c>
      <c r="D41" s="15">
        <f>IF($B41="","",Cadets!$I41)</f>
        <v/>
      </c>
      <c r="E41" s="15">
        <f>IF($B41="","",COUNTIF(nrIN_PID,$B41))</f>
        <v/>
      </c>
      <c r="F41" s="15">
        <f>IF($B41="","",COUNTIFS(nrIN_PID,$B41,nrIN_Dir,"Negative"))</f>
        <v/>
      </c>
      <c r="G41" s="15">
        <f>IF($B41="","",COUNTIFS(nrIN_PID,$B41,nrIN_Dir,"Positive"))</f>
        <v/>
      </c>
      <c r="H41" s="15">
        <f>IF($B41="","",COUNTIFS(nrIN_PID,$B41,nrIN_Dir,"Negative",nrIN_Res,"Open")+COUNTIFS(nrIN_PID,$B41,nrIN_Dir,"Negative",nrIN_Res,"In Review"))</f>
        <v/>
      </c>
      <c r="I41" s="15">
        <f>IF($B41="","",COUNTIFS(nrIN_PID,$B41,nrIN_Dir,"Negative",nrIN_Sev,"Major")+COUNTIFS(nrIN_PID,$B41,nrIN_Dir,"Negative",nrIN_Sev,"Critical"))</f>
        <v/>
      </c>
      <c r="J41" s="15">
        <f>IF($B41="","",COUNTIFS(nrIN_PID,$B41,nrIN_Chain,"Yes",nrIN_Res,"Open")+COUNTIFS(nrIN_PID,$B41,nrIN_Chain,"Yes",nrIN_Res,"In Review"))</f>
        <v/>
      </c>
      <c r="K41" s="15">
        <f>IF($B41="","",IF($J41=0,"Yes","No"))</f>
        <v/>
      </c>
      <c r="L41" s="15">
        <f>IF($B41="","",COUNTIF(nrCO_PID,$B41))</f>
        <v/>
      </c>
      <c r="M41" s="15">
        <f>IF($B41="","",COUNTIFS(nrCO_PID,$B41,nrCO_Status,"Open")+COUNTIFS(nrCO_PID,$B41,nrCO_Status,"In Review"))</f>
        <v/>
      </c>
    </row>
    <row r="42">
      <c r="B42" s="15">
        <f>IF(Cadets!$B42="","",Cadets!$B42)</f>
        <v/>
      </c>
      <c r="C42" s="15">
        <f>IF($B42="","",Cadets!$F42)</f>
        <v/>
      </c>
      <c r="D42" s="15">
        <f>IF($B42="","",Cadets!$I42)</f>
        <v/>
      </c>
      <c r="E42" s="15">
        <f>IF($B42="","",COUNTIF(nrIN_PID,$B42))</f>
        <v/>
      </c>
      <c r="F42" s="15">
        <f>IF($B42="","",COUNTIFS(nrIN_PID,$B42,nrIN_Dir,"Negative"))</f>
        <v/>
      </c>
      <c r="G42" s="15">
        <f>IF($B42="","",COUNTIFS(nrIN_PID,$B42,nrIN_Dir,"Positive"))</f>
        <v/>
      </c>
      <c r="H42" s="15">
        <f>IF($B42="","",COUNTIFS(nrIN_PID,$B42,nrIN_Dir,"Negative",nrIN_Res,"Open")+COUNTIFS(nrIN_PID,$B42,nrIN_Dir,"Negative",nrIN_Res,"In Review"))</f>
        <v/>
      </c>
      <c r="I42" s="15">
        <f>IF($B42="","",COUNTIFS(nrIN_PID,$B42,nrIN_Dir,"Negative",nrIN_Sev,"Major")+COUNTIFS(nrIN_PID,$B42,nrIN_Dir,"Negative",nrIN_Sev,"Critical"))</f>
        <v/>
      </c>
      <c r="J42" s="15">
        <f>IF($B42="","",COUNTIFS(nrIN_PID,$B42,nrIN_Chain,"Yes",nrIN_Res,"Open")+COUNTIFS(nrIN_PID,$B42,nrIN_Chain,"Yes",nrIN_Res,"In Review"))</f>
        <v/>
      </c>
      <c r="K42" s="15">
        <f>IF($B42="","",IF($J42=0,"Yes","No"))</f>
        <v/>
      </c>
      <c r="L42" s="15">
        <f>IF($B42="","",COUNTIF(nrCO_PID,$B42))</f>
        <v/>
      </c>
      <c r="M42" s="15">
        <f>IF($B42="","",COUNTIFS(nrCO_PID,$B42,nrCO_Status,"Open")+COUNTIFS(nrCO_PID,$B42,nrCO_Status,"In Review"))</f>
        <v/>
      </c>
    </row>
    <row r="43">
      <c r="B43" s="15">
        <f>IF(Cadets!$B43="","",Cadets!$B43)</f>
        <v/>
      </c>
      <c r="C43" s="15">
        <f>IF($B43="","",Cadets!$F43)</f>
        <v/>
      </c>
      <c r="D43" s="15">
        <f>IF($B43="","",Cadets!$I43)</f>
        <v/>
      </c>
      <c r="E43" s="15">
        <f>IF($B43="","",COUNTIF(nrIN_PID,$B43))</f>
        <v/>
      </c>
      <c r="F43" s="15">
        <f>IF($B43="","",COUNTIFS(nrIN_PID,$B43,nrIN_Dir,"Negative"))</f>
        <v/>
      </c>
      <c r="G43" s="15">
        <f>IF($B43="","",COUNTIFS(nrIN_PID,$B43,nrIN_Dir,"Positive"))</f>
        <v/>
      </c>
      <c r="H43" s="15">
        <f>IF($B43="","",COUNTIFS(nrIN_PID,$B43,nrIN_Dir,"Negative",nrIN_Res,"Open")+COUNTIFS(nrIN_PID,$B43,nrIN_Dir,"Negative",nrIN_Res,"In Review"))</f>
        <v/>
      </c>
      <c r="I43" s="15">
        <f>IF($B43="","",COUNTIFS(nrIN_PID,$B43,nrIN_Dir,"Negative",nrIN_Sev,"Major")+COUNTIFS(nrIN_PID,$B43,nrIN_Dir,"Negative",nrIN_Sev,"Critical"))</f>
        <v/>
      </c>
      <c r="J43" s="15">
        <f>IF($B43="","",COUNTIFS(nrIN_PID,$B43,nrIN_Chain,"Yes",nrIN_Res,"Open")+COUNTIFS(nrIN_PID,$B43,nrIN_Chain,"Yes",nrIN_Res,"In Review"))</f>
        <v/>
      </c>
      <c r="K43" s="15">
        <f>IF($B43="","",IF($J43=0,"Yes","No"))</f>
        <v/>
      </c>
      <c r="L43" s="15">
        <f>IF($B43="","",COUNTIF(nrCO_PID,$B43))</f>
        <v/>
      </c>
      <c r="M43" s="15">
        <f>IF($B43="","",COUNTIFS(nrCO_PID,$B43,nrCO_Status,"Open")+COUNTIFS(nrCO_PID,$B43,nrCO_Status,"In Review"))</f>
        <v/>
      </c>
    </row>
    <row r="44">
      <c r="B44" s="15">
        <f>IF(Cadets!$B44="","",Cadets!$B44)</f>
        <v/>
      </c>
      <c r="C44" s="15">
        <f>IF($B44="","",Cadets!$F44)</f>
        <v/>
      </c>
      <c r="D44" s="15">
        <f>IF($B44="","",Cadets!$I44)</f>
        <v/>
      </c>
      <c r="E44" s="15">
        <f>IF($B44="","",COUNTIF(nrIN_PID,$B44))</f>
        <v/>
      </c>
      <c r="F44" s="15">
        <f>IF($B44="","",COUNTIFS(nrIN_PID,$B44,nrIN_Dir,"Negative"))</f>
        <v/>
      </c>
      <c r="G44" s="15">
        <f>IF($B44="","",COUNTIFS(nrIN_PID,$B44,nrIN_Dir,"Positive"))</f>
        <v/>
      </c>
      <c r="H44" s="15">
        <f>IF($B44="","",COUNTIFS(nrIN_PID,$B44,nrIN_Dir,"Negative",nrIN_Res,"Open")+COUNTIFS(nrIN_PID,$B44,nrIN_Dir,"Negative",nrIN_Res,"In Review"))</f>
        <v/>
      </c>
      <c r="I44" s="15">
        <f>IF($B44="","",COUNTIFS(nrIN_PID,$B44,nrIN_Dir,"Negative",nrIN_Sev,"Major")+COUNTIFS(nrIN_PID,$B44,nrIN_Dir,"Negative",nrIN_Sev,"Critical"))</f>
        <v/>
      </c>
      <c r="J44" s="15">
        <f>IF($B44="","",COUNTIFS(nrIN_PID,$B44,nrIN_Chain,"Yes",nrIN_Res,"Open")+COUNTIFS(nrIN_PID,$B44,nrIN_Chain,"Yes",nrIN_Res,"In Review"))</f>
        <v/>
      </c>
      <c r="K44" s="15">
        <f>IF($B44="","",IF($J44=0,"Yes","No"))</f>
        <v/>
      </c>
      <c r="L44" s="15">
        <f>IF($B44="","",COUNTIF(nrCO_PID,$B44))</f>
        <v/>
      </c>
      <c r="M44" s="15">
        <f>IF($B44="","",COUNTIFS(nrCO_PID,$B44,nrCO_Status,"Open")+COUNTIFS(nrCO_PID,$B44,nrCO_Status,"In Review"))</f>
        <v/>
      </c>
    </row>
    <row r="45">
      <c r="B45" s="15">
        <f>IF(Cadets!$B45="","",Cadets!$B45)</f>
        <v/>
      </c>
      <c r="C45" s="15">
        <f>IF($B45="","",Cadets!$F45)</f>
        <v/>
      </c>
      <c r="D45" s="15">
        <f>IF($B45="","",Cadets!$I45)</f>
        <v/>
      </c>
      <c r="E45" s="15">
        <f>IF($B45="","",COUNTIF(nrIN_PID,$B45))</f>
        <v/>
      </c>
      <c r="F45" s="15">
        <f>IF($B45="","",COUNTIFS(nrIN_PID,$B45,nrIN_Dir,"Negative"))</f>
        <v/>
      </c>
      <c r="G45" s="15">
        <f>IF($B45="","",COUNTIFS(nrIN_PID,$B45,nrIN_Dir,"Positive"))</f>
        <v/>
      </c>
      <c r="H45" s="15">
        <f>IF($B45="","",COUNTIFS(nrIN_PID,$B45,nrIN_Dir,"Negative",nrIN_Res,"Open")+COUNTIFS(nrIN_PID,$B45,nrIN_Dir,"Negative",nrIN_Res,"In Review"))</f>
        <v/>
      </c>
      <c r="I45" s="15">
        <f>IF($B45="","",COUNTIFS(nrIN_PID,$B45,nrIN_Dir,"Negative",nrIN_Sev,"Major")+COUNTIFS(nrIN_PID,$B45,nrIN_Dir,"Negative",nrIN_Sev,"Critical"))</f>
        <v/>
      </c>
      <c r="J45" s="15">
        <f>IF($B45="","",COUNTIFS(nrIN_PID,$B45,nrIN_Chain,"Yes",nrIN_Res,"Open")+COUNTIFS(nrIN_PID,$B45,nrIN_Chain,"Yes",nrIN_Res,"In Review"))</f>
        <v/>
      </c>
      <c r="K45" s="15">
        <f>IF($B45="","",IF($J45=0,"Yes","No"))</f>
        <v/>
      </c>
      <c r="L45" s="15">
        <f>IF($B45="","",COUNTIF(nrCO_PID,$B45))</f>
        <v/>
      </c>
      <c r="M45" s="15">
        <f>IF($B45="","",COUNTIFS(nrCO_PID,$B45,nrCO_Status,"Open")+COUNTIFS(nrCO_PID,$B45,nrCO_Status,"In Review"))</f>
        <v/>
      </c>
    </row>
    <row r="46">
      <c r="B46" s="15">
        <f>IF(Cadets!$B46="","",Cadets!$B46)</f>
        <v/>
      </c>
      <c r="C46" s="15">
        <f>IF($B46="","",Cadets!$F46)</f>
        <v/>
      </c>
      <c r="D46" s="15">
        <f>IF($B46="","",Cadets!$I46)</f>
        <v/>
      </c>
      <c r="E46" s="15">
        <f>IF($B46="","",COUNTIF(nrIN_PID,$B46))</f>
        <v/>
      </c>
      <c r="F46" s="15">
        <f>IF($B46="","",COUNTIFS(nrIN_PID,$B46,nrIN_Dir,"Negative"))</f>
        <v/>
      </c>
      <c r="G46" s="15">
        <f>IF($B46="","",COUNTIFS(nrIN_PID,$B46,nrIN_Dir,"Positive"))</f>
        <v/>
      </c>
      <c r="H46" s="15">
        <f>IF($B46="","",COUNTIFS(nrIN_PID,$B46,nrIN_Dir,"Negative",nrIN_Res,"Open")+COUNTIFS(nrIN_PID,$B46,nrIN_Dir,"Negative",nrIN_Res,"In Review"))</f>
        <v/>
      </c>
      <c r="I46" s="15">
        <f>IF($B46="","",COUNTIFS(nrIN_PID,$B46,nrIN_Dir,"Negative",nrIN_Sev,"Major")+COUNTIFS(nrIN_PID,$B46,nrIN_Dir,"Negative",nrIN_Sev,"Critical"))</f>
        <v/>
      </c>
      <c r="J46" s="15">
        <f>IF($B46="","",COUNTIFS(nrIN_PID,$B46,nrIN_Chain,"Yes",nrIN_Res,"Open")+COUNTIFS(nrIN_PID,$B46,nrIN_Chain,"Yes",nrIN_Res,"In Review"))</f>
        <v/>
      </c>
      <c r="K46" s="15">
        <f>IF($B46="","",IF($J46=0,"Yes","No"))</f>
        <v/>
      </c>
      <c r="L46" s="15">
        <f>IF($B46="","",COUNTIF(nrCO_PID,$B46))</f>
        <v/>
      </c>
      <c r="M46" s="15">
        <f>IF($B46="","",COUNTIFS(nrCO_PID,$B46,nrCO_Status,"Open")+COUNTIFS(nrCO_PID,$B46,nrCO_Status,"In Review"))</f>
        <v/>
      </c>
    </row>
    <row r="47">
      <c r="B47" s="15">
        <f>IF(Cadets!$B47="","",Cadets!$B47)</f>
        <v/>
      </c>
      <c r="C47" s="15">
        <f>IF($B47="","",Cadets!$F47)</f>
        <v/>
      </c>
      <c r="D47" s="15">
        <f>IF($B47="","",Cadets!$I47)</f>
        <v/>
      </c>
      <c r="E47" s="15">
        <f>IF($B47="","",COUNTIF(nrIN_PID,$B47))</f>
        <v/>
      </c>
      <c r="F47" s="15">
        <f>IF($B47="","",COUNTIFS(nrIN_PID,$B47,nrIN_Dir,"Negative"))</f>
        <v/>
      </c>
      <c r="G47" s="15">
        <f>IF($B47="","",COUNTIFS(nrIN_PID,$B47,nrIN_Dir,"Positive"))</f>
        <v/>
      </c>
      <c r="H47" s="15">
        <f>IF($B47="","",COUNTIFS(nrIN_PID,$B47,nrIN_Dir,"Negative",nrIN_Res,"Open")+COUNTIFS(nrIN_PID,$B47,nrIN_Dir,"Negative",nrIN_Res,"In Review"))</f>
        <v/>
      </c>
      <c r="I47" s="15">
        <f>IF($B47="","",COUNTIFS(nrIN_PID,$B47,nrIN_Dir,"Negative",nrIN_Sev,"Major")+COUNTIFS(nrIN_PID,$B47,nrIN_Dir,"Negative",nrIN_Sev,"Critical"))</f>
        <v/>
      </c>
      <c r="J47" s="15">
        <f>IF($B47="","",COUNTIFS(nrIN_PID,$B47,nrIN_Chain,"Yes",nrIN_Res,"Open")+COUNTIFS(nrIN_PID,$B47,nrIN_Chain,"Yes",nrIN_Res,"In Review"))</f>
        <v/>
      </c>
      <c r="K47" s="15">
        <f>IF($B47="","",IF($J47=0,"Yes","No"))</f>
        <v/>
      </c>
      <c r="L47" s="15">
        <f>IF($B47="","",COUNTIF(nrCO_PID,$B47))</f>
        <v/>
      </c>
      <c r="M47" s="15">
        <f>IF($B47="","",COUNTIFS(nrCO_PID,$B47,nrCO_Status,"Open")+COUNTIFS(nrCO_PID,$B47,nrCO_Status,"In Review"))</f>
        <v/>
      </c>
    </row>
    <row r="48">
      <c r="B48" s="15">
        <f>IF(Cadets!$B48="","",Cadets!$B48)</f>
        <v/>
      </c>
      <c r="C48" s="15">
        <f>IF($B48="","",Cadets!$F48)</f>
        <v/>
      </c>
      <c r="D48" s="15">
        <f>IF($B48="","",Cadets!$I48)</f>
        <v/>
      </c>
      <c r="E48" s="15">
        <f>IF($B48="","",COUNTIF(nrIN_PID,$B48))</f>
        <v/>
      </c>
      <c r="F48" s="15">
        <f>IF($B48="","",COUNTIFS(nrIN_PID,$B48,nrIN_Dir,"Negative"))</f>
        <v/>
      </c>
      <c r="G48" s="15">
        <f>IF($B48="","",COUNTIFS(nrIN_PID,$B48,nrIN_Dir,"Positive"))</f>
        <v/>
      </c>
      <c r="H48" s="15">
        <f>IF($B48="","",COUNTIFS(nrIN_PID,$B48,nrIN_Dir,"Negative",nrIN_Res,"Open")+COUNTIFS(nrIN_PID,$B48,nrIN_Dir,"Negative",nrIN_Res,"In Review"))</f>
        <v/>
      </c>
      <c r="I48" s="15">
        <f>IF($B48="","",COUNTIFS(nrIN_PID,$B48,nrIN_Dir,"Negative",nrIN_Sev,"Major")+COUNTIFS(nrIN_PID,$B48,nrIN_Dir,"Negative",nrIN_Sev,"Critical"))</f>
        <v/>
      </c>
      <c r="J48" s="15">
        <f>IF($B48="","",COUNTIFS(nrIN_PID,$B48,nrIN_Chain,"Yes",nrIN_Res,"Open")+COUNTIFS(nrIN_PID,$B48,nrIN_Chain,"Yes",nrIN_Res,"In Review"))</f>
        <v/>
      </c>
      <c r="K48" s="15">
        <f>IF($B48="","",IF($J48=0,"Yes","No"))</f>
        <v/>
      </c>
      <c r="L48" s="15">
        <f>IF($B48="","",COUNTIF(nrCO_PID,$B48))</f>
        <v/>
      </c>
      <c r="M48" s="15">
        <f>IF($B48="","",COUNTIFS(nrCO_PID,$B48,nrCO_Status,"Open")+COUNTIFS(nrCO_PID,$B48,nrCO_Status,"In Review"))</f>
        <v/>
      </c>
    </row>
    <row r="49">
      <c r="B49" s="15">
        <f>IF(Cadets!$B49="","",Cadets!$B49)</f>
        <v/>
      </c>
      <c r="C49" s="15">
        <f>IF($B49="","",Cadets!$F49)</f>
        <v/>
      </c>
      <c r="D49" s="15">
        <f>IF($B49="","",Cadets!$I49)</f>
        <v/>
      </c>
      <c r="E49" s="15">
        <f>IF($B49="","",COUNTIF(nrIN_PID,$B49))</f>
        <v/>
      </c>
      <c r="F49" s="15">
        <f>IF($B49="","",COUNTIFS(nrIN_PID,$B49,nrIN_Dir,"Negative"))</f>
        <v/>
      </c>
      <c r="G49" s="15">
        <f>IF($B49="","",COUNTIFS(nrIN_PID,$B49,nrIN_Dir,"Positive"))</f>
        <v/>
      </c>
      <c r="H49" s="15">
        <f>IF($B49="","",COUNTIFS(nrIN_PID,$B49,nrIN_Dir,"Negative",nrIN_Res,"Open")+COUNTIFS(nrIN_PID,$B49,nrIN_Dir,"Negative",nrIN_Res,"In Review"))</f>
        <v/>
      </c>
      <c r="I49" s="15">
        <f>IF($B49="","",COUNTIFS(nrIN_PID,$B49,nrIN_Dir,"Negative",nrIN_Sev,"Major")+COUNTIFS(nrIN_PID,$B49,nrIN_Dir,"Negative",nrIN_Sev,"Critical"))</f>
        <v/>
      </c>
      <c r="J49" s="15">
        <f>IF($B49="","",COUNTIFS(nrIN_PID,$B49,nrIN_Chain,"Yes",nrIN_Res,"Open")+COUNTIFS(nrIN_PID,$B49,nrIN_Chain,"Yes",nrIN_Res,"In Review"))</f>
        <v/>
      </c>
      <c r="K49" s="15">
        <f>IF($B49="","",IF($J49=0,"Yes","No"))</f>
        <v/>
      </c>
      <c r="L49" s="15">
        <f>IF($B49="","",COUNTIF(nrCO_PID,$B49))</f>
        <v/>
      </c>
      <c r="M49" s="15">
        <f>IF($B49="","",COUNTIFS(nrCO_PID,$B49,nrCO_Status,"Open")+COUNTIFS(nrCO_PID,$B49,nrCO_Status,"In Review"))</f>
        <v/>
      </c>
    </row>
    <row r="50">
      <c r="B50" s="15">
        <f>IF(Cadets!$B50="","",Cadets!$B50)</f>
        <v/>
      </c>
      <c r="C50" s="15">
        <f>IF($B50="","",Cadets!$F50)</f>
        <v/>
      </c>
      <c r="D50" s="15">
        <f>IF($B50="","",Cadets!$I50)</f>
        <v/>
      </c>
      <c r="E50" s="15">
        <f>IF($B50="","",COUNTIF(nrIN_PID,$B50))</f>
        <v/>
      </c>
      <c r="F50" s="15">
        <f>IF($B50="","",COUNTIFS(nrIN_PID,$B50,nrIN_Dir,"Negative"))</f>
        <v/>
      </c>
      <c r="G50" s="15">
        <f>IF($B50="","",COUNTIFS(nrIN_PID,$B50,nrIN_Dir,"Positive"))</f>
        <v/>
      </c>
      <c r="H50" s="15">
        <f>IF($B50="","",COUNTIFS(nrIN_PID,$B50,nrIN_Dir,"Negative",nrIN_Res,"Open")+COUNTIFS(nrIN_PID,$B50,nrIN_Dir,"Negative",nrIN_Res,"In Review"))</f>
        <v/>
      </c>
      <c r="I50" s="15">
        <f>IF($B50="","",COUNTIFS(nrIN_PID,$B50,nrIN_Dir,"Negative",nrIN_Sev,"Major")+COUNTIFS(nrIN_PID,$B50,nrIN_Dir,"Negative",nrIN_Sev,"Critical"))</f>
        <v/>
      </c>
      <c r="J50" s="15">
        <f>IF($B50="","",COUNTIFS(nrIN_PID,$B50,nrIN_Chain,"Yes",nrIN_Res,"Open")+COUNTIFS(nrIN_PID,$B50,nrIN_Chain,"Yes",nrIN_Res,"In Review"))</f>
        <v/>
      </c>
      <c r="K50" s="15">
        <f>IF($B50="","",IF($J50=0,"Yes","No"))</f>
        <v/>
      </c>
      <c r="L50" s="15">
        <f>IF($B50="","",COUNTIF(nrCO_PID,$B50))</f>
        <v/>
      </c>
      <c r="M50" s="15">
        <f>IF($B50="","",COUNTIFS(nrCO_PID,$B50,nrCO_Status,"Open")+COUNTIFS(nrCO_PID,$B50,nrCO_Status,"In Review"))</f>
        <v/>
      </c>
    </row>
    <row r="51">
      <c r="B51" s="15">
        <f>IF(Cadets!$B51="","",Cadets!$B51)</f>
        <v/>
      </c>
      <c r="C51" s="15">
        <f>IF($B51="","",Cadets!$F51)</f>
        <v/>
      </c>
      <c r="D51" s="15">
        <f>IF($B51="","",Cadets!$I51)</f>
        <v/>
      </c>
      <c r="E51" s="15">
        <f>IF($B51="","",COUNTIF(nrIN_PID,$B51))</f>
        <v/>
      </c>
      <c r="F51" s="15">
        <f>IF($B51="","",COUNTIFS(nrIN_PID,$B51,nrIN_Dir,"Negative"))</f>
        <v/>
      </c>
      <c r="G51" s="15">
        <f>IF($B51="","",COUNTIFS(nrIN_PID,$B51,nrIN_Dir,"Positive"))</f>
        <v/>
      </c>
      <c r="H51" s="15">
        <f>IF($B51="","",COUNTIFS(nrIN_PID,$B51,nrIN_Dir,"Negative",nrIN_Res,"Open")+COUNTIFS(nrIN_PID,$B51,nrIN_Dir,"Negative",nrIN_Res,"In Review"))</f>
        <v/>
      </c>
      <c r="I51" s="15">
        <f>IF($B51="","",COUNTIFS(nrIN_PID,$B51,nrIN_Dir,"Negative",nrIN_Sev,"Major")+COUNTIFS(nrIN_PID,$B51,nrIN_Dir,"Negative",nrIN_Sev,"Critical"))</f>
        <v/>
      </c>
      <c r="J51" s="15">
        <f>IF($B51="","",COUNTIFS(nrIN_PID,$B51,nrIN_Chain,"Yes",nrIN_Res,"Open")+COUNTIFS(nrIN_PID,$B51,nrIN_Chain,"Yes",nrIN_Res,"In Review"))</f>
        <v/>
      </c>
      <c r="K51" s="15">
        <f>IF($B51="","",IF($J51=0,"Yes","No"))</f>
        <v/>
      </c>
      <c r="L51" s="15">
        <f>IF($B51="","",COUNTIF(nrCO_PID,$B51))</f>
        <v/>
      </c>
      <c r="M51" s="15">
        <f>IF($B51="","",COUNTIFS(nrCO_PID,$B51,nrCO_Status,"Open")+COUNTIFS(nrCO_PID,$B51,nrCO_Status,"In Review"))</f>
        <v/>
      </c>
    </row>
    <row r="52">
      <c r="B52" s="15">
        <f>IF(Cadets!$B52="","",Cadets!$B52)</f>
        <v/>
      </c>
      <c r="C52" s="15">
        <f>IF($B52="","",Cadets!$F52)</f>
        <v/>
      </c>
      <c r="D52" s="15">
        <f>IF($B52="","",Cadets!$I52)</f>
        <v/>
      </c>
      <c r="E52" s="15">
        <f>IF($B52="","",COUNTIF(nrIN_PID,$B52))</f>
        <v/>
      </c>
      <c r="F52" s="15">
        <f>IF($B52="","",COUNTIFS(nrIN_PID,$B52,nrIN_Dir,"Negative"))</f>
        <v/>
      </c>
      <c r="G52" s="15">
        <f>IF($B52="","",COUNTIFS(nrIN_PID,$B52,nrIN_Dir,"Positive"))</f>
        <v/>
      </c>
      <c r="H52" s="15">
        <f>IF($B52="","",COUNTIFS(nrIN_PID,$B52,nrIN_Dir,"Negative",nrIN_Res,"Open")+COUNTIFS(nrIN_PID,$B52,nrIN_Dir,"Negative",nrIN_Res,"In Review"))</f>
        <v/>
      </c>
      <c r="I52" s="15">
        <f>IF($B52="","",COUNTIFS(nrIN_PID,$B52,nrIN_Dir,"Negative",nrIN_Sev,"Major")+COUNTIFS(nrIN_PID,$B52,nrIN_Dir,"Negative",nrIN_Sev,"Critical"))</f>
        <v/>
      </c>
      <c r="J52" s="15">
        <f>IF($B52="","",COUNTIFS(nrIN_PID,$B52,nrIN_Chain,"Yes",nrIN_Res,"Open")+COUNTIFS(nrIN_PID,$B52,nrIN_Chain,"Yes",nrIN_Res,"In Review"))</f>
        <v/>
      </c>
      <c r="K52" s="15">
        <f>IF($B52="","",IF($J52=0,"Yes","No"))</f>
        <v/>
      </c>
      <c r="L52" s="15">
        <f>IF($B52="","",COUNTIF(nrCO_PID,$B52))</f>
        <v/>
      </c>
      <c r="M52" s="15">
        <f>IF($B52="","",COUNTIFS(nrCO_PID,$B52,nrCO_Status,"Open")+COUNTIFS(nrCO_PID,$B52,nrCO_Status,"In Review"))</f>
        <v/>
      </c>
    </row>
    <row r="53">
      <c r="B53" s="15">
        <f>IF(Cadets!$B53="","",Cadets!$B53)</f>
        <v/>
      </c>
      <c r="C53" s="15">
        <f>IF($B53="","",Cadets!$F53)</f>
        <v/>
      </c>
      <c r="D53" s="15">
        <f>IF($B53="","",Cadets!$I53)</f>
        <v/>
      </c>
      <c r="E53" s="15">
        <f>IF($B53="","",COUNTIF(nrIN_PID,$B53))</f>
        <v/>
      </c>
      <c r="F53" s="15">
        <f>IF($B53="","",COUNTIFS(nrIN_PID,$B53,nrIN_Dir,"Negative"))</f>
        <v/>
      </c>
      <c r="G53" s="15">
        <f>IF($B53="","",COUNTIFS(nrIN_PID,$B53,nrIN_Dir,"Positive"))</f>
        <v/>
      </c>
      <c r="H53" s="15">
        <f>IF($B53="","",COUNTIFS(nrIN_PID,$B53,nrIN_Dir,"Negative",nrIN_Res,"Open")+COUNTIFS(nrIN_PID,$B53,nrIN_Dir,"Negative",nrIN_Res,"In Review"))</f>
        <v/>
      </c>
      <c r="I53" s="15">
        <f>IF($B53="","",COUNTIFS(nrIN_PID,$B53,nrIN_Dir,"Negative",nrIN_Sev,"Major")+COUNTIFS(nrIN_PID,$B53,nrIN_Dir,"Negative",nrIN_Sev,"Critical"))</f>
        <v/>
      </c>
      <c r="J53" s="15">
        <f>IF($B53="","",COUNTIFS(nrIN_PID,$B53,nrIN_Chain,"Yes",nrIN_Res,"Open")+COUNTIFS(nrIN_PID,$B53,nrIN_Chain,"Yes",nrIN_Res,"In Review"))</f>
        <v/>
      </c>
      <c r="K53" s="15">
        <f>IF($B53="","",IF($J53=0,"Yes","No"))</f>
        <v/>
      </c>
      <c r="L53" s="15">
        <f>IF($B53="","",COUNTIF(nrCO_PID,$B53))</f>
        <v/>
      </c>
      <c r="M53" s="15">
        <f>IF($B53="","",COUNTIFS(nrCO_PID,$B53,nrCO_Status,"Open")+COUNTIFS(nrCO_PID,$B53,nrCO_Status,"In Review"))</f>
        <v/>
      </c>
    </row>
    <row r="54">
      <c r="B54" s="15">
        <f>IF(Cadets!$B54="","",Cadets!$B54)</f>
        <v/>
      </c>
      <c r="C54" s="15">
        <f>IF($B54="","",Cadets!$F54)</f>
        <v/>
      </c>
      <c r="D54" s="15">
        <f>IF($B54="","",Cadets!$I54)</f>
        <v/>
      </c>
      <c r="E54" s="15">
        <f>IF($B54="","",COUNTIF(nrIN_PID,$B54))</f>
        <v/>
      </c>
      <c r="F54" s="15">
        <f>IF($B54="","",COUNTIFS(nrIN_PID,$B54,nrIN_Dir,"Negative"))</f>
        <v/>
      </c>
      <c r="G54" s="15">
        <f>IF($B54="","",COUNTIFS(nrIN_PID,$B54,nrIN_Dir,"Positive"))</f>
        <v/>
      </c>
      <c r="H54" s="15">
        <f>IF($B54="","",COUNTIFS(nrIN_PID,$B54,nrIN_Dir,"Negative",nrIN_Res,"Open")+COUNTIFS(nrIN_PID,$B54,nrIN_Dir,"Negative",nrIN_Res,"In Review"))</f>
        <v/>
      </c>
      <c r="I54" s="15">
        <f>IF($B54="","",COUNTIFS(nrIN_PID,$B54,nrIN_Dir,"Negative",nrIN_Sev,"Major")+COUNTIFS(nrIN_PID,$B54,nrIN_Dir,"Negative",nrIN_Sev,"Critical"))</f>
        <v/>
      </c>
      <c r="J54" s="15">
        <f>IF($B54="","",COUNTIFS(nrIN_PID,$B54,nrIN_Chain,"Yes",nrIN_Res,"Open")+COUNTIFS(nrIN_PID,$B54,nrIN_Chain,"Yes",nrIN_Res,"In Review"))</f>
        <v/>
      </c>
      <c r="K54" s="15">
        <f>IF($B54="","",IF($J54=0,"Yes","No"))</f>
        <v/>
      </c>
      <c r="L54" s="15">
        <f>IF($B54="","",COUNTIF(nrCO_PID,$B54))</f>
        <v/>
      </c>
      <c r="M54" s="15">
        <f>IF($B54="","",COUNTIFS(nrCO_PID,$B54,nrCO_Status,"Open")+COUNTIFS(nrCO_PID,$B54,nrCO_Status,"In Review"))</f>
        <v/>
      </c>
    </row>
    <row r="55">
      <c r="B55" s="15">
        <f>IF(Cadets!$B55="","",Cadets!$B55)</f>
        <v/>
      </c>
      <c r="C55" s="15">
        <f>IF($B55="","",Cadets!$F55)</f>
        <v/>
      </c>
      <c r="D55" s="15">
        <f>IF($B55="","",Cadets!$I55)</f>
        <v/>
      </c>
      <c r="E55" s="15">
        <f>IF($B55="","",COUNTIF(nrIN_PID,$B55))</f>
        <v/>
      </c>
      <c r="F55" s="15">
        <f>IF($B55="","",COUNTIFS(nrIN_PID,$B55,nrIN_Dir,"Negative"))</f>
        <v/>
      </c>
      <c r="G55" s="15">
        <f>IF($B55="","",COUNTIFS(nrIN_PID,$B55,nrIN_Dir,"Positive"))</f>
        <v/>
      </c>
      <c r="H55" s="15">
        <f>IF($B55="","",COUNTIFS(nrIN_PID,$B55,nrIN_Dir,"Negative",nrIN_Res,"Open")+COUNTIFS(nrIN_PID,$B55,nrIN_Dir,"Negative",nrIN_Res,"In Review"))</f>
        <v/>
      </c>
      <c r="I55" s="15">
        <f>IF($B55="","",COUNTIFS(nrIN_PID,$B55,nrIN_Dir,"Negative",nrIN_Sev,"Major")+COUNTIFS(nrIN_PID,$B55,nrIN_Dir,"Negative",nrIN_Sev,"Critical"))</f>
        <v/>
      </c>
      <c r="J55" s="15">
        <f>IF($B55="","",COUNTIFS(nrIN_PID,$B55,nrIN_Chain,"Yes",nrIN_Res,"Open")+COUNTIFS(nrIN_PID,$B55,nrIN_Chain,"Yes",nrIN_Res,"In Review"))</f>
        <v/>
      </c>
      <c r="K55" s="15">
        <f>IF($B55="","",IF($J55=0,"Yes","No"))</f>
        <v/>
      </c>
      <c r="L55" s="15">
        <f>IF($B55="","",COUNTIF(nrCO_PID,$B55))</f>
        <v/>
      </c>
      <c r="M55" s="15">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5.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6" max="16"/>
  </cols>
  <sheetData>
    <row r="1"/>
    <row r="2"/>
    <row r="3"/>
    <row r="4">
      <c r="B4" s="8" t="inlineStr">
        <is>
          <t>Each flag threshold lives on Settings. WatchList sorts by Flag Count and shows Reasons verbatim. Locked.</t>
        </is>
      </c>
    </row>
    <row r="5" ht="26" customHeight="1">
      <c r="B5" s="9" t="inlineStr">
        <is>
          <t>PID</t>
        </is>
      </c>
      <c r="C5" s="9" t="inlineStr">
        <is>
          <t>Cadet Name</t>
        </is>
      </c>
      <c r="D5" s="9" t="inlineStr">
        <is>
          <t>Status</t>
        </is>
      </c>
      <c r="E5" s="9" t="inlineStr">
        <is>
          <t>F:ConsecFails</t>
        </is>
      </c>
      <c r="F5" s="9" t="inlineStr">
        <is>
          <t>F:GradeDrop</t>
        </is>
      </c>
      <c r="G5" s="9" t="inlineStr">
        <is>
          <t>F:CategoryRisk</t>
        </is>
      </c>
      <c r="H5" s="9" t="inlineStr">
        <is>
          <t>F:Spelling</t>
        </is>
      </c>
      <c r="I5" s="9" t="inlineStr">
        <is>
          <t>F:Attendance</t>
        </is>
      </c>
      <c r="J5" s="9" t="inlineStr">
        <is>
          <t>F:Incidents</t>
        </is>
      </c>
      <c r="K5" s="9" t="inlineStr">
        <is>
          <t>F:Writing</t>
        </is>
      </c>
      <c r="L5" s="9" t="inlineStr">
        <is>
          <t>F:Retest</t>
        </is>
      </c>
      <c r="M5" s="9" t="inlineStr">
        <is>
          <t>F:PT</t>
        </is>
      </c>
      <c r="N5" s="9" t="inlineStr">
        <is>
          <t>F:Medical</t>
        </is>
      </c>
      <c r="O5" s="9" t="inlineStr">
        <is>
          <t>Flag Count</t>
        </is>
      </c>
      <c r="P5" s="9" t="inlineStr">
        <is>
          <t>Reasons</t>
        </is>
      </c>
    </row>
    <row r="6">
      <c r="B6" s="15">
        <f>IF(Cadets!$B6="","",Cadets!$B6)</f>
        <v/>
      </c>
      <c r="C6" s="15">
        <f>IF($B6="","",Cadets!$F6)</f>
        <v/>
      </c>
      <c r="D6" s="15">
        <f>IF($B6="","",Cadets!$I6)</f>
        <v/>
      </c>
      <c r="E6" s="15">
        <f>IF($B6="","",IF(N(sysGrades!$AC6)&gt;=cfgFlagConsecFails,1,0))</f>
        <v/>
      </c>
      <c r="F6" s="15">
        <f>IF($B6="","",IF(AND(sysGrades!$AB6&lt;&gt;"",sysGrades!$AB6&gt;=cfgFlagGradeDrop),1,0))</f>
        <v/>
      </c>
      <c r="G6" s="15">
        <f>IF($B6="","",IF(OR(AND(sysGrades!$I6&lt;&gt;"",sysGrades!$I6&lt;cfgThresholdScore+cfgFlagCategoryMargin),AND(sysGrades!$J6&lt;&gt;"",sysGrades!$J6&lt;cfgThresholdScore+cfgFlagCategoryMargin)),1,0))</f>
        <v/>
      </c>
      <c r="H6" s="15">
        <f>IF($B6="","",IF(Spelling!$R6="INTERVENTION",1,0))</f>
        <v/>
      </c>
      <c r="I6" s="15">
        <f>IF($B6="","",IF(OR(sysAttendance!$I6&gt;=cfgFlagAttendancePct,sysAttendance!$Q6&gt;=cfgFlagAttendancePct),1,0))</f>
        <v/>
      </c>
      <c r="J6" s="15">
        <f>IF($B6="","",IF(sysIncidents!$H6&gt;=cfgFlagOpenIncidents,1,0))</f>
        <v/>
      </c>
      <c r="K6" s="15">
        <f>IF($B6="","",IF(N(Writing!$AS6)&gt;=cfgFlagOverdueWriting,1,0))</f>
        <v/>
      </c>
      <c r="L6" s="15">
        <f>IF($B6="","",IF(COUNTIFS(nrES_PID,$B6,nrES_RetStat,"OVERDUE")&gt;0,1,0))</f>
        <v/>
      </c>
      <c r="M6" s="15">
        <f>IF($B6="","",IF(OR(PT!$K6="No",PT!$AB6="No"),1,0))</f>
        <v/>
      </c>
      <c r="N6" s="15">
        <f>IF($B6="","",IF(COUNTIFS(nrMD_PID,$B6,nrMD_Status,"RESTRICTION EXPIRED")&gt;0,1,0))</f>
        <v/>
      </c>
      <c r="O6" s="15">
        <f>IF($B6="","",SUM($E6:$N6))</f>
        <v/>
      </c>
      <c r="P6" s="15">
        <f>IF($B6="","",IF($O6=0,"",_xlfn.TEXTJOIN(";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f>
        <v/>
      </c>
    </row>
    <row r="7">
      <c r="B7" s="15">
        <f>IF(Cadets!$B7="","",Cadets!$B7)</f>
        <v/>
      </c>
      <c r="C7" s="15">
        <f>IF($B7="","",Cadets!$F7)</f>
        <v/>
      </c>
      <c r="D7" s="15">
        <f>IF($B7="","",Cadets!$I7)</f>
        <v/>
      </c>
      <c r="E7" s="15">
        <f>IF($B7="","",IF(N(sysGrades!$AC7)&gt;=cfgFlagConsecFails,1,0))</f>
        <v/>
      </c>
      <c r="F7" s="15">
        <f>IF($B7="","",IF(AND(sysGrades!$AB7&lt;&gt;"",sysGrades!$AB7&gt;=cfgFlagGradeDrop),1,0))</f>
        <v/>
      </c>
      <c r="G7" s="15">
        <f>IF($B7="","",IF(OR(AND(sysGrades!$I7&lt;&gt;"",sysGrades!$I7&lt;cfgThresholdScore+cfgFlagCategoryMargin),AND(sysGrades!$J7&lt;&gt;"",sysGrades!$J7&lt;cfgThresholdScore+cfgFlagCategoryMargin)),1,0))</f>
        <v/>
      </c>
      <c r="H7" s="15">
        <f>IF($B7="","",IF(Spelling!$R7="INTERVENTION",1,0))</f>
        <v/>
      </c>
      <c r="I7" s="15">
        <f>IF($B7="","",IF(OR(sysAttendance!$I7&gt;=cfgFlagAttendancePct,sysAttendance!$Q7&gt;=cfgFlagAttendancePct),1,0))</f>
        <v/>
      </c>
      <c r="J7" s="15">
        <f>IF($B7="","",IF(sysIncidents!$H7&gt;=cfgFlagOpenIncidents,1,0))</f>
        <v/>
      </c>
      <c r="K7" s="15">
        <f>IF($B7="","",IF(N(Writing!$AS7)&gt;=cfgFlagOverdueWriting,1,0))</f>
        <v/>
      </c>
      <c r="L7" s="15">
        <f>IF($B7="","",IF(COUNTIFS(nrES_PID,$B7,nrES_RetStat,"OVERDUE")&gt;0,1,0))</f>
        <v/>
      </c>
      <c r="M7" s="15">
        <f>IF($B7="","",IF(OR(PT!$K7="No",PT!$AB7="No"),1,0))</f>
        <v/>
      </c>
      <c r="N7" s="15">
        <f>IF($B7="","",IF(COUNTIFS(nrMD_PID,$B7,nrMD_Status,"RESTRICTION EXPIRED")&gt;0,1,0))</f>
        <v/>
      </c>
      <c r="O7" s="15">
        <f>IF($B7="","",SUM($E7:$N7))</f>
        <v/>
      </c>
      <c r="P7" s="15">
        <f>IF($B7="","",IF($O7=0,"",_xlfn.TEXTJOIN(";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f>
        <v/>
      </c>
    </row>
    <row r="8">
      <c r="B8" s="15">
        <f>IF(Cadets!$B8="","",Cadets!$B8)</f>
        <v/>
      </c>
      <c r="C8" s="15">
        <f>IF($B8="","",Cadets!$F8)</f>
        <v/>
      </c>
      <c r="D8" s="15">
        <f>IF($B8="","",Cadets!$I8)</f>
        <v/>
      </c>
      <c r="E8" s="15">
        <f>IF($B8="","",IF(N(sysGrades!$AC8)&gt;=cfgFlagConsecFails,1,0))</f>
        <v/>
      </c>
      <c r="F8" s="15">
        <f>IF($B8="","",IF(AND(sysGrades!$AB8&lt;&gt;"",sysGrades!$AB8&gt;=cfgFlagGradeDrop),1,0))</f>
        <v/>
      </c>
      <c r="G8" s="15">
        <f>IF($B8="","",IF(OR(AND(sysGrades!$I8&lt;&gt;"",sysGrades!$I8&lt;cfgThresholdScore+cfgFlagCategoryMargin),AND(sysGrades!$J8&lt;&gt;"",sysGrades!$J8&lt;cfgThresholdScore+cfgFlagCategoryMargin)),1,0))</f>
        <v/>
      </c>
      <c r="H8" s="15">
        <f>IF($B8="","",IF(Spelling!$R8="INTERVENTION",1,0))</f>
        <v/>
      </c>
      <c r="I8" s="15">
        <f>IF($B8="","",IF(OR(sysAttendance!$I8&gt;=cfgFlagAttendancePct,sysAttendance!$Q8&gt;=cfgFlagAttendancePct),1,0))</f>
        <v/>
      </c>
      <c r="J8" s="15">
        <f>IF($B8="","",IF(sysIncidents!$H8&gt;=cfgFlagOpenIncidents,1,0))</f>
        <v/>
      </c>
      <c r="K8" s="15">
        <f>IF($B8="","",IF(N(Writing!$AS8)&gt;=cfgFlagOverdueWriting,1,0))</f>
        <v/>
      </c>
      <c r="L8" s="15">
        <f>IF($B8="","",IF(COUNTIFS(nrES_PID,$B8,nrES_RetStat,"OVERDUE")&gt;0,1,0))</f>
        <v/>
      </c>
      <c r="M8" s="15">
        <f>IF($B8="","",IF(OR(PT!$K8="No",PT!$AB8="No"),1,0))</f>
        <v/>
      </c>
      <c r="N8" s="15">
        <f>IF($B8="","",IF(COUNTIFS(nrMD_PID,$B8,nrMD_Status,"RESTRICTION EXPIRED")&gt;0,1,0))</f>
        <v/>
      </c>
      <c r="O8" s="15">
        <f>IF($B8="","",SUM($E8:$N8))</f>
        <v/>
      </c>
      <c r="P8" s="15">
        <f>IF($B8="","",IF($O8=0,"",_xlfn.TEXTJOIN(";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f>
        <v/>
      </c>
    </row>
    <row r="9">
      <c r="B9" s="15">
        <f>IF(Cadets!$B9="","",Cadets!$B9)</f>
        <v/>
      </c>
      <c r="C9" s="15">
        <f>IF($B9="","",Cadets!$F9)</f>
        <v/>
      </c>
      <c r="D9" s="15">
        <f>IF($B9="","",Cadets!$I9)</f>
        <v/>
      </c>
      <c r="E9" s="15">
        <f>IF($B9="","",IF(N(sysGrades!$AC9)&gt;=cfgFlagConsecFails,1,0))</f>
        <v/>
      </c>
      <c r="F9" s="15">
        <f>IF($B9="","",IF(AND(sysGrades!$AB9&lt;&gt;"",sysGrades!$AB9&gt;=cfgFlagGradeDrop),1,0))</f>
        <v/>
      </c>
      <c r="G9" s="15">
        <f>IF($B9="","",IF(OR(AND(sysGrades!$I9&lt;&gt;"",sysGrades!$I9&lt;cfgThresholdScore+cfgFlagCategoryMargin),AND(sysGrades!$J9&lt;&gt;"",sysGrades!$J9&lt;cfgThresholdScore+cfgFlagCategoryMargin)),1,0))</f>
        <v/>
      </c>
      <c r="H9" s="15">
        <f>IF($B9="","",IF(Spelling!$R9="INTERVENTION",1,0))</f>
        <v/>
      </c>
      <c r="I9" s="15">
        <f>IF($B9="","",IF(OR(sysAttendance!$I9&gt;=cfgFlagAttendancePct,sysAttendance!$Q9&gt;=cfgFlagAttendancePct),1,0))</f>
        <v/>
      </c>
      <c r="J9" s="15">
        <f>IF($B9="","",IF(sysIncidents!$H9&gt;=cfgFlagOpenIncidents,1,0))</f>
        <v/>
      </c>
      <c r="K9" s="15">
        <f>IF($B9="","",IF(N(Writing!$AS9)&gt;=cfgFlagOverdueWriting,1,0))</f>
        <v/>
      </c>
      <c r="L9" s="15">
        <f>IF($B9="","",IF(COUNTIFS(nrES_PID,$B9,nrES_RetStat,"OVERDUE")&gt;0,1,0))</f>
        <v/>
      </c>
      <c r="M9" s="15">
        <f>IF($B9="","",IF(OR(PT!$K9="No",PT!$AB9="No"),1,0))</f>
        <v/>
      </c>
      <c r="N9" s="15">
        <f>IF($B9="","",IF(COUNTIFS(nrMD_PID,$B9,nrMD_Status,"RESTRICTION EXPIRED")&gt;0,1,0))</f>
        <v/>
      </c>
      <c r="O9" s="15">
        <f>IF($B9="","",SUM($E9:$N9))</f>
        <v/>
      </c>
      <c r="P9" s="15">
        <f>IF($B9="","",IF($O9=0,"",_xlfn.TEXTJOIN(";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f>
        <v/>
      </c>
    </row>
    <row r="10">
      <c r="B10" s="15">
        <f>IF(Cadets!$B10="","",Cadets!$B10)</f>
        <v/>
      </c>
      <c r="C10" s="15">
        <f>IF($B10="","",Cadets!$F10)</f>
        <v/>
      </c>
      <c r="D10" s="15">
        <f>IF($B10="","",Cadets!$I10)</f>
        <v/>
      </c>
      <c r="E10" s="15">
        <f>IF($B10="","",IF(N(sysGrades!$AC10)&gt;=cfgFlagConsecFails,1,0))</f>
        <v/>
      </c>
      <c r="F10" s="15">
        <f>IF($B10="","",IF(AND(sysGrades!$AB10&lt;&gt;"",sysGrades!$AB10&gt;=cfgFlagGradeDrop),1,0))</f>
        <v/>
      </c>
      <c r="G10" s="15">
        <f>IF($B10="","",IF(OR(AND(sysGrades!$I10&lt;&gt;"",sysGrades!$I10&lt;cfgThresholdScore+cfgFlagCategoryMargin),AND(sysGrades!$J10&lt;&gt;"",sysGrades!$J10&lt;cfgThresholdScore+cfgFlagCategoryMargin)),1,0))</f>
        <v/>
      </c>
      <c r="H10" s="15">
        <f>IF($B10="","",IF(Spelling!$R10="INTERVENTION",1,0))</f>
        <v/>
      </c>
      <c r="I10" s="15">
        <f>IF($B10="","",IF(OR(sysAttendance!$I10&gt;=cfgFlagAttendancePct,sysAttendance!$Q10&gt;=cfgFlagAttendancePct),1,0))</f>
        <v/>
      </c>
      <c r="J10" s="15">
        <f>IF($B10="","",IF(sysIncidents!$H10&gt;=cfgFlagOpenIncidents,1,0))</f>
        <v/>
      </c>
      <c r="K10" s="15">
        <f>IF($B10="","",IF(N(Writing!$AS10)&gt;=cfgFlagOverdueWriting,1,0))</f>
        <v/>
      </c>
      <c r="L10" s="15">
        <f>IF($B10="","",IF(COUNTIFS(nrES_PID,$B10,nrES_RetStat,"OVERDUE")&gt;0,1,0))</f>
        <v/>
      </c>
      <c r="M10" s="15">
        <f>IF($B10="","",IF(OR(PT!$K10="No",PT!$AB10="No"),1,0))</f>
        <v/>
      </c>
      <c r="N10" s="15">
        <f>IF($B10="","",IF(COUNTIFS(nrMD_PID,$B10,nrMD_Status,"RESTRICTION EXPIRED")&gt;0,1,0))</f>
        <v/>
      </c>
      <c r="O10" s="15">
        <f>IF($B10="","",SUM($E10:$N10))</f>
        <v/>
      </c>
      <c r="P10" s="15">
        <f>IF($B10="","",IF($O10=0,"",_xlfn.TEXTJOIN(";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f>
        <v/>
      </c>
    </row>
    <row r="11">
      <c r="B11" s="15">
        <f>IF(Cadets!$B11="","",Cadets!$B11)</f>
        <v/>
      </c>
      <c r="C11" s="15">
        <f>IF($B11="","",Cadets!$F11)</f>
        <v/>
      </c>
      <c r="D11" s="15">
        <f>IF($B11="","",Cadets!$I11)</f>
        <v/>
      </c>
      <c r="E11" s="15">
        <f>IF($B11="","",IF(N(sysGrades!$AC11)&gt;=cfgFlagConsecFails,1,0))</f>
        <v/>
      </c>
      <c r="F11" s="15">
        <f>IF($B11="","",IF(AND(sysGrades!$AB11&lt;&gt;"",sysGrades!$AB11&gt;=cfgFlagGradeDrop),1,0))</f>
        <v/>
      </c>
      <c r="G11" s="15">
        <f>IF($B11="","",IF(OR(AND(sysGrades!$I11&lt;&gt;"",sysGrades!$I11&lt;cfgThresholdScore+cfgFlagCategoryMargin),AND(sysGrades!$J11&lt;&gt;"",sysGrades!$J11&lt;cfgThresholdScore+cfgFlagCategoryMargin)),1,0))</f>
        <v/>
      </c>
      <c r="H11" s="15">
        <f>IF($B11="","",IF(Spelling!$R11="INTERVENTION",1,0))</f>
        <v/>
      </c>
      <c r="I11" s="15">
        <f>IF($B11="","",IF(OR(sysAttendance!$I11&gt;=cfgFlagAttendancePct,sysAttendance!$Q11&gt;=cfgFlagAttendancePct),1,0))</f>
        <v/>
      </c>
      <c r="J11" s="15">
        <f>IF($B11="","",IF(sysIncidents!$H11&gt;=cfgFlagOpenIncidents,1,0))</f>
        <v/>
      </c>
      <c r="K11" s="15">
        <f>IF($B11="","",IF(N(Writing!$AS11)&gt;=cfgFlagOverdueWriting,1,0))</f>
        <v/>
      </c>
      <c r="L11" s="15">
        <f>IF($B11="","",IF(COUNTIFS(nrES_PID,$B11,nrES_RetStat,"OVERDUE")&gt;0,1,0))</f>
        <v/>
      </c>
      <c r="M11" s="15">
        <f>IF($B11="","",IF(OR(PT!$K11="No",PT!$AB11="No"),1,0))</f>
        <v/>
      </c>
      <c r="N11" s="15">
        <f>IF($B11="","",IF(COUNTIFS(nrMD_PID,$B11,nrMD_Status,"RESTRICTION EXPIRED")&gt;0,1,0))</f>
        <v/>
      </c>
      <c r="O11" s="15">
        <f>IF($B11="","",SUM($E11:$N11))</f>
        <v/>
      </c>
      <c r="P11" s="15">
        <f>IF($B11="","",IF($O11=0,"",_xlfn.TEXTJOIN(";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f>
        <v/>
      </c>
    </row>
    <row r="12">
      <c r="B12" s="15">
        <f>IF(Cadets!$B12="","",Cadets!$B12)</f>
        <v/>
      </c>
      <c r="C12" s="15">
        <f>IF($B12="","",Cadets!$F12)</f>
        <v/>
      </c>
      <c r="D12" s="15">
        <f>IF($B12="","",Cadets!$I12)</f>
        <v/>
      </c>
      <c r="E12" s="15">
        <f>IF($B12="","",IF(N(sysGrades!$AC12)&gt;=cfgFlagConsecFails,1,0))</f>
        <v/>
      </c>
      <c r="F12" s="15">
        <f>IF($B12="","",IF(AND(sysGrades!$AB12&lt;&gt;"",sysGrades!$AB12&gt;=cfgFlagGradeDrop),1,0))</f>
        <v/>
      </c>
      <c r="G12" s="15">
        <f>IF($B12="","",IF(OR(AND(sysGrades!$I12&lt;&gt;"",sysGrades!$I12&lt;cfgThresholdScore+cfgFlagCategoryMargin),AND(sysGrades!$J12&lt;&gt;"",sysGrades!$J12&lt;cfgThresholdScore+cfgFlagCategoryMargin)),1,0))</f>
        <v/>
      </c>
      <c r="H12" s="15">
        <f>IF($B12="","",IF(Spelling!$R12="INTERVENTION",1,0))</f>
        <v/>
      </c>
      <c r="I12" s="15">
        <f>IF($B12="","",IF(OR(sysAttendance!$I12&gt;=cfgFlagAttendancePct,sysAttendance!$Q12&gt;=cfgFlagAttendancePct),1,0))</f>
        <v/>
      </c>
      <c r="J12" s="15">
        <f>IF($B12="","",IF(sysIncidents!$H12&gt;=cfgFlagOpenIncidents,1,0))</f>
        <v/>
      </c>
      <c r="K12" s="15">
        <f>IF($B12="","",IF(N(Writing!$AS12)&gt;=cfgFlagOverdueWriting,1,0))</f>
        <v/>
      </c>
      <c r="L12" s="15">
        <f>IF($B12="","",IF(COUNTIFS(nrES_PID,$B12,nrES_RetStat,"OVERDUE")&gt;0,1,0))</f>
        <v/>
      </c>
      <c r="M12" s="15">
        <f>IF($B12="","",IF(OR(PT!$K12="No",PT!$AB12="No"),1,0))</f>
        <v/>
      </c>
      <c r="N12" s="15">
        <f>IF($B12="","",IF(COUNTIFS(nrMD_PID,$B12,nrMD_Status,"RESTRICTION EXPIRED")&gt;0,1,0))</f>
        <v/>
      </c>
      <c r="O12" s="15">
        <f>IF($B12="","",SUM($E12:$N12))</f>
        <v/>
      </c>
      <c r="P12" s="15">
        <f>IF($B12="","",IF($O12=0,"",_xlfn.TEXTJOIN(";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f>
        <v/>
      </c>
    </row>
    <row r="13">
      <c r="B13" s="15">
        <f>IF(Cadets!$B13="","",Cadets!$B13)</f>
        <v/>
      </c>
      <c r="C13" s="15">
        <f>IF($B13="","",Cadets!$F13)</f>
        <v/>
      </c>
      <c r="D13" s="15">
        <f>IF($B13="","",Cadets!$I13)</f>
        <v/>
      </c>
      <c r="E13" s="15">
        <f>IF($B13="","",IF(N(sysGrades!$AC13)&gt;=cfgFlagConsecFails,1,0))</f>
        <v/>
      </c>
      <c r="F13" s="15">
        <f>IF($B13="","",IF(AND(sysGrades!$AB13&lt;&gt;"",sysGrades!$AB13&gt;=cfgFlagGradeDrop),1,0))</f>
        <v/>
      </c>
      <c r="G13" s="15">
        <f>IF($B13="","",IF(OR(AND(sysGrades!$I13&lt;&gt;"",sysGrades!$I13&lt;cfgThresholdScore+cfgFlagCategoryMargin),AND(sysGrades!$J13&lt;&gt;"",sysGrades!$J13&lt;cfgThresholdScore+cfgFlagCategoryMargin)),1,0))</f>
        <v/>
      </c>
      <c r="H13" s="15">
        <f>IF($B13="","",IF(Spelling!$R13="INTERVENTION",1,0))</f>
        <v/>
      </c>
      <c r="I13" s="15">
        <f>IF($B13="","",IF(OR(sysAttendance!$I13&gt;=cfgFlagAttendancePct,sysAttendance!$Q13&gt;=cfgFlagAttendancePct),1,0))</f>
        <v/>
      </c>
      <c r="J13" s="15">
        <f>IF($B13="","",IF(sysIncidents!$H13&gt;=cfgFlagOpenIncidents,1,0))</f>
        <v/>
      </c>
      <c r="K13" s="15">
        <f>IF($B13="","",IF(N(Writing!$AS13)&gt;=cfgFlagOverdueWriting,1,0))</f>
        <v/>
      </c>
      <c r="L13" s="15">
        <f>IF($B13="","",IF(COUNTIFS(nrES_PID,$B13,nrES_RetStat,"OVERDUE")&gt;0,1,0))</f>
        <v/>
      </c>
      <c r="M13" s="15">
        <f>IF($B13="","",IF(OR(PT!$K13="No",PT!$AB13="No"),1,0))</f>
        <v/>
      </c>
      <c r="N13" s="15">
        <f>IF($B13="","",IF(COUNTIFS(nrMD_PID,$B13,nrMD_Status,"RESTRICTION EXPIRED")&gt;0,1,0))</f>
        <v/>
      </c>
      <c r="O13" s="15">
        <f>IF($B13="","",SUM($E13:$N13))</f>
        <v/>
      </c>
      <c r="P13" s="15">
        <f>IF($B13="","",IF($O13=0,"",_xlfn.TEXTJOIN(";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f>
        <v/>
      </c>
    </row>
    <row r="14">
      <c r="B14" s="15">
        <f>IF(Cadets!$B14="","",Cadets!$B14)</f>
        <v/>
      </c>
      <c r="C14" s="15">
        <f>IF($B14="","",Cadets!$F14)</f>
        <v/>
      </c>
      <c r="D14" s="15">
        <f>IF($B14="","",Cadets!$I14)</f>
        <v/>
      </c>
      <c r="E14" s="15">
        <f>IF($B14="","",IF(N(sysGrades!$AC14)&gt;=cfgFlagConsecFails,1,0))</f>
        <v/>
      </c>
      <c r="F14" s="15">
        <f>IF($B14="","",IF(AND(sysGrades!$AB14&lt;&gt;"",sysGrades!$AB14&gt;=cfgFlagGradeDrop),1,0))</f>
        <v/>
      </c>
      <c r="G14" s="15">
        <f>IF($B14="","",IF(OR(AND(sysGrades!$I14&lt;&gt;"",sysGrades!$I14&lt;cfgThresholdScore+cfgFlagCategoryMargin),AND(sysGrades!$J14&lt;&gt;"",sysGrades!$J14&lt;cfgThresholdScore+cfgFlagCategoryMargin)),1,0))</f>
        <v/>
      </c>
      <c r="H14" s="15">
        <f>IF($B14="","",IF(Spelling!$R14="INTERVENTION",1,0))</f>
        <v/>
      </c>
      <c r="I14" s="15">
        <f>IF($B14="","",IF(OR(sysAttendance!$I14&gt;=cfgFlagAttendancePct,sysAttendance!$Q14&gt;=cfgFlagAttendancePct),1,0))</f>
        <v/>
      </c>
      <c r="J14" s="15">
        <f>IF($B14="","",IF(sysIncidents!$H14&gt;=cfgFlagOpenIncidents,1,0))</f>
        <v/>
      </c>
      <c r="K14" s="15">
        <f>IF($B14="","",IF(N(Writing!$AS14)&gt;=cfgFlagOverdueWriting,1,0))</f>
        <v/>
      </c>
      <c r="L14" s="15">
        <f>IF($B14="","",IF(COUNTIFS(nrES_PID,$B14,nrES_RetStat,"OVERDUE")&gt;0,1,0))</f>
        <v/>
      </c>
      <c r="M14" s="15">
        <f>IF($B14="","",IF(OR(PT!$K14="No",PT!$AB14="No"),1,0))</f>
        <v/>
      </c>
      <c r="N14" s="15">
        <f>IF($B14="","",IF(COUNTIFS(nrMD_PID,$B14,nrMD_Status,"RESTRICTION EXPIRED")&gt;0,1,0))</f>
        <v/>
      </c>
      <c r="O14" s="15">
        <f>IF($B14="","",SUM($E14:$N14))</f>
        <v/>
      </c>
      <c r="P14" s="15">
        <f>IF($B14="","",IF($O14=0,"",_xlfn.TEXTJOIN(";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f>
        <v/>
      </c>
    </row>
    <row r="15">
      <c r="B15" s="15">
        <f>IF(Cadets!$B15="","",Cadets!$B15)</f>
        <v/>
      </c>
      <c r="C15" s="15">
        <f>IF($B15="","",Cadets!$F15)</f>
        <v/>
      </c>
      <c r="D15" s="15">
        <f>IF($B15="","",Cadets!$I15)</f>
        <v/>
      </c>
      <c r="E15" s="15">
        <f>IF($B15="","",IF(N(sysGrades!$AC15)&gt;=cfgFlagConsecFails,1,0))</f>
        <v/>
      </c>
      <c r="F15" s="15">
        <f>IF($B15="","",IF(AND(sysGrades!$AB15&lt;&gt;"",sysGrades!$AB15&gt;=cfgFlagGradeDrop),1,0))</f>
        <v/>
      </c>
      <c r="G15" s="15">
        <f>IF($B15="","",IF(OR(AND(sysGrades!$I15&lt;&gt;"",sysGrades!$I15&lt;cfgThresholdScore+cfgFlagCategoryMargin),AND(sysGrades!$J15&lt;&gt;"",sysGrades!$J15&lt;cfgThresholdScore+cfgFlagCategoryMargin)),1,0))</f>
        <v/>
      </c>
      <c r="H15" s="15">
        <f>IF($B15="","",IF(Spelling!$R15="INTERVENTION",1,0))</f>
        <v/>
      </c>
      <c r="I15" s="15">
        <f>IF($B15="","",IF(OR(sysAttendance!$I15&gt;=cfgFlagAttendancePct,sysAttendance!$Q15&gt;=cfgFlagAttendancePct),1,0))</f>
        <v/>
      </c>
      <c r="J15" s="15">
        <f>IF($B15="","",IF(sysIncidents!$H15&gt;=cfgFlagOpenIncidents,1,0))</f>
        <v/>
      </c>
      <c r="K15" s="15">
        <f>IF($B15="","",IF(N(Writing!$AS15)&gt;=cfgFlagOverdueWriting,1,0))</f>
        <v/>
      </c>
      <c r="L15" s="15">
        <f>IF($B15="","",IF(COUNTIFS(nrES_PID,$B15,nrES_RetStat,"OVERDUE")&gt;0,1,0))</f>
        <v/>
      </c>
      <c r="M15" s="15">
        <f>IF($B15="","",IF(OR(PT!$K15="No",PT!$AB15="No"),1,0))</f>
        <v/>
      </c>
      <c r="N15" s="15">
        <f>IF($B15="","",IF(COUNTIFS(nrMD_PID,$B15,nrMD_Status,"RESTRICTION EXPIRED")&gt;0,1,0))</f>
        <v/>
      </c>
      <c r="O15" s="15">
        <f>IF($B15="","",SUM($E15:$N15))</f>
        <v/>
      </c>
      <c r="P15" s="15">
        <f>IF($B15="","",IF($O15=0,"",_xlfn.TEXTJOIN(";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f>
        <v/>
      </c>
    </row>
    <row r="16">
      <c r="B16" s="15">
        <f>IF(Cadets!$B16="","",Cadets!$B16)</f>
        <v/>
      </c>
      <c r="C16" s="15">
        <f>IF($B16="","",Cadets!$F16)</f>
        <v/>
      </c>
      <c r="D16" s="15">
        <f>IF($B16="","",Cadets!$I16)</f>
        <v/>
      </c>
      <c r="E16" s="15">
        <f>IF($B16="","",IF(N(sysGrades!$AC16)&gt;=cfgFlagConsecFails,1,0))</f>
        <v/>
      </c>
      <c r="F16" s="15">
        <f>IF($B16="","",IF(AND(sysGrades!$AB16&lt;&gt;"",sysGrades!$AB16&gt;=cfgFlagGradeDrop),1,0))</f>
        <v/>
      </c>
      <c r="G16" s="15">
        <f>IF($B16="","",IF(OR(AND(sysGrades!$I16&lt;&gt;"",sysGrades!$I16&lt;cfgThresholdScore+cfgFlagCategoryMargin),AND(sysGrades!$J16&lt;&gt;"",sysGrades!$J16&lt;cfgThresholdScore+cfgFlagCategoryMargin)),1,0))</f>
        <v/>
      </c>
      <c r="H16" s="15">
        <f>IF($B16="","",IF(Spelling!$R16="INTERVENTION",1,0))</f>
        <v/>
      </c>
      <c r="I16" s="15">
        <f>IF($B16="","",IF(OR(sysAttendance!$I16&gt;=cfgFlagAttendancePct,sysAttendance!$Q16&gt;=cfgFlagAttendancePct),1,0))</f>
        <v/>
      </c>
      <c r="J16" s="15">
        <f>IF($B16="","",IF(sysIncidents!$H16&gt;=cfgFlagOpenIncidents,1,0))</f>
        <v/>
      </c>
      <c r="K16" s="15">
        <f>IF($B16="","",IF(N(Writing!$AS16)&gt;=cfgFlagOverdueWriting,1,0))</f>
        <v/>
      </c>
      <c r="L16" s="15">
        <f>IF($B16="","",IF(COUNTIFS(nrES_PID,$B16,nrES_RetStat,"OVERDUE")&gt;0,1,0))</f>
        <v/>
      </c>
      <c r="M16" s="15">
        <f>IF($B16="","",IF(OR(PT!$K16="No",PT!$AB16="No"),1,0))</f>
        <v/>
      </c>
      <c r="N16" s="15">
        <f>IF($B16="","",IF(COUNTIFS(nrMD_PID,$B16,nrMD_Status,"RESTRICTION EXPIRED")&gt;0,1,0))</f>
        <v/>
      </c>
      <c r="O16" s="15">
        <f>IF($B16="","",SUM($E16:$N16))</f>
        <v/>
      </c>
      <c r="P16" s="15">
        <f>IF($B16="","",IF($O16=0,"",_xlfn.TEXTJOIN(";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f>
        <v/>
      </c>
    </row>
    <row r="17">
      <c r="B17" s="15">
        <f>IF(Cadets!$B17="","",Cadets!$B17)</f>
        <v/>
      </c>
      <c r="C17" s="15">
        <f>IF($B17="","",Cadets!$F17)</f>
        <v/>
      </c>
      <c r="D17" s="15">
        <f>IF($B17="","",Cadets!$I17)</f>
        <v/>
      </c>
      <c r="E17" s="15">
        <f>IF($B17="","",IF(N(sysGrades!$AC17)&gt;=cfgFlagConsecFails,1,0))</f>
        <v/>
      </c>
      <c r="F17" s="15">
        <f>IF($B17="","",IF(AND(sysGrades!$AB17&lt;&gt;"",sysGrades!$AB17&gt;=cfgFlagGradeDrop),1,0))</f>
        <v/>
      </c>
      <c r="G17" s="15">
        <f>IF($B17="","",IF(OR(AND(sysGrades!$I17&lt;&gt;"",sysGrades!$I17&lt;cfgThresholdScore+cfgFlagCategoryMargin),AND(sysGrades!$J17&lt;&gt;"",sysGrades!$J17&lt;cfgThresholdScore+cfgFlagCategoryMargin)),1,0))</f>
        <v/>
      </c>
      <c r="H17" s="15">
        <f>IF($B17="","",IF(Spelling!$R17="INTERVENTION",1,0))</f>
        <v/>
      </c>
      <c r="I17" s="15">
        <f>IF($B17="","",IF(OR(sysAttendance!$I17&gt;=cfgFlagAttendancePct,sysAttendance!$Q17&gt;=cfgFlagAttendancePct),1,0))</f>
        <v/>
      </c>
      <c r="J17" s="15">
        <f>IF($B17="","",IF(sysIncidents!$H17&gt;=cfgFlagOpenIncidents,1,0))</f>
        <v/>
      </c>
      <c r="K17" s="15">
        <f>IF($B17="","",IF(N(Writing!$AS17)&gt;=cfgFlagOverdueWriting,1,0))</f>
        <v/>
      </c>
      <c r="L17" s="15">
        <f>IF($B17="","",IF(COUNTIFS(nrES_PID,$B17,nrES_RetStat,"OVERDUE")&gt;0,1,0))</f>
        <v/>
      </c>
      <c r="M17" s="15">
        <f>IF($B17="","",IF(OR(PT!$K17="No",PT!$AB17="No"),1,0))</f>
        <v/>
      </c>
      <c r="N17" s="15">
        <f>IF($B17="","",IF(COUNTIFS(nrMD_PID,$B17,nrMD_Status,"RESTRICTION EXPIRED")&gt;0,1,0))</f>
        <v/>
      </c>
      <c r="O17" s="15">
        <f>IF($B17="","",SUM($E17:$N17))</f>
        <v/>
      </c>
      <c r="P17" s="15">
        <f>IF($B17="","",IF($O17=0,"",_xlfn.TEXTJOIN(";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f>
        <v/>
      </c>
    </row>
    <row r="18">
      <c r="B18" s="15">
        <f>IF(Cadets!$B18="","",Cadets!$B18)</f>
        <v/>
      </c>
      <c r="C18" s="15">
        <f>IF($B18="","",Cadets!$F18)</f>
        <v/>
      </c>
      <c r="D18" s="15">
        <f>IF($B18="","",Cadets!$I18)</f>
        <v/>
      </c>
      <c r="E18" s="15">
        <f>IF($B18="","",IF(N(sysGrades!$AC18)&gt;=cfgFlagConsecFails,1,0))</f>
        <v/>
      </c>
      <c r="F18" s="15">
        <f>IF($B18="","",IF(AND(sysGrades!$AB18&lt;&gt;"",sysGrades!$AB18&gt;=cfgFlagGradeDrop),1,0))</f>
        <v/>
      </c>
      <c r="G18" s="15">
        <f>IF($B18="","",IF(OR(AND(sysGrades!$I18&lt;&gt;"",sysGrades!$I18&lt;cfgThresholdScore+cfgFlagCategoryMargin),AND(sysGrades!$J18&lt;&gt;"",sysGrades!$J18&lt;cfgThresholdScore+cfgFlagCategoryMargin)),1,0))</f>
        <v/>
      </c>
      <c r="H18" s="15">
        <f>IF($B18="","",IF(Spelling!$R18="INTERVENTION",1,0))</f>
        <v/>
      </c>
      <c r="I18" s="15">
        <f>IF($B18="","",IF(OR(sysAttendance!$I18&gt;=cfgFlagAttendancePct,sysAttendance!$Q18&gt;=cfgFlagAttendancePct),1,0))</f>
        <v/>
      </c>
      <c r="J18" s="15">
        <f>IF($B18="","",IF(sysIncidents!$H18&gt;=cfgFlagOpenIncidents,1,0))</f>
        <v/>
      </c>
      <c r="K18" s="15">
        <f>IF($B18="","",IF(N(Writing!$AS18)&gt;=cfgFlagOverdueWriting,1,0))</f>
        <v/>
      </c>
      <c r="L18" s="15">
        <f>IF($B18="","",IF(COUNTIFS(nrES_PID,$B18,nrES_RetStat,"OVERDUE")&gt;0,1,0))</f>
        <v/>
      </c>
      <c r="M18" s="15">
        <f>IF($B18="","",IF(OR(PT!$K18="No",PT!$AB18="No"),1,0))</f>
        <v/>
      </c>
      <c r="N18" s="15">
        <f>IF($B18="","",IF(COUNTIFS(nrMD_PID,$B18,nrMD_Status,"RESTRICTION EXPIRED")&gt;0,1,0))</f>
        <v/>
      </c>
      <c r="O18" s="15">
        <f>IF($B18="","",SUM($E18:$N18))</f>
        <v/>
      </c>
      <c r="P18" s="15">
        <f>IF($B18="","",IF($O18=0,"",_xlfn.TEXTJOIN(";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f>
        <v/>
      </c>
    </row>
    <row r="19">
      <c r="B19" s="15">
        <f>IF(Cadets!$B19="","",Cadets!$B19)</f>
        <v/>
      </c>
      <c r="C19" s="15">
        <f>IF($B19="","",Cadets!$F19)</f>
        <v/>
      </c>
      <c r="D19" s="15">
        <f>IF($B19="","",Cadets!$I19)</f>
        <v/>
      </c>
      <c r="E19" s="15">
        <f>IF($B19="","",IF(N(sysGrades!$AC19)&gt;=cfgFlagConsecFails,1,0))</f>
        <v/>
      </c>
      <c r="F19" s="15">
        <f>IF($B19="","",IF(AND(sysGrades!$AB19&lt;&gt;"",sysGrades!$AB19&gt;=cfgFlagGradeDrop),1,0))</f>
        <v/>
      </c>
      <c r="G19" s="15">
        <f>IF($B19="","",IF(OR(AND(sysGrades!$I19&lt;&gt;"",sysGrades!$I19&lt;cfgThresholdScore+cfgFlagCategoryMargin),AND(sysGrades!$J19&lt;&gt;"",sysGrades!$J19&lt;cfgThresholdScore+cfgFlagCategoryMargin)),1,0))</f>
        <v/>
      </c>
      <c r="H19" s="15">
        <f>IF($B19="","",IF(Spelling!$R19="INTERVENTION",1,0))</f>
        <v/>
      </c>
      <c r="I19" s="15">
        <f>IF($B19="","",IF(OR(sysAttendance!$I19&gt;=cfgFlagAttendancePct,sysAttendance!$Q19&gt;=cfgFlagAttendancePct),1,0))</f>
        <v/>
      </c>
      <c r="J19" s="15">
        <f>IF($B19="","",IF(sysIncidents!$H19&gt;=cfgFlagOpenIncidents,1,0))</f>
        <v/>
      </c>
      <c r="K19" s="15">
        <f>IF($B19="","",IF(N(Writing!$AS19)&gt;=cfgFlagOverdueWriting,1,0))</f>
        <v/>
      </c>
      <c r="L19" s="15">
        <f>IF($B19="","",IF(COUNTIFS(nrES_PID,$B19,nrES_RetStat,"OVERDUE")&gt;0,1,0))</f>
        <v/>
      </c>
      <c r="M19" s="15">
        <f>IF($B19="","",IF(OR(PT!$K19="No",PT!$AB19="No"),1,0))</f>
        <v/>
      </c>
      <c r="N19" s="15">
        <f>IF($B19="","",IF(COUNTIFS(nrMD_PID,$B19,nrMD_Status,"RESTRICTION EXPIRED")&gt;0,1,0))</f>
        <v/>
      </c>
      <c r="O19" s="15">
        <f>IF($B19="","",SUM($E19:$N19))</f>
        <v/>
      </c>
      <c r="P19" s="15">
        <f>IF($B19="","",IF($O19=0,"",_xlfn.TEXTJOIN(";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f>
        <v/>
      </c>
    </row>
    <row r="20">
      <c r="B20" s="15">
        <f>IF(Cadets!$B20="","",Cadets!$B20)</f>
        <v/>
      </c>
      <c r="C20" s="15">
        <f>IF($B20="","",Cadets!$F20)</f>
        <v/>
      </c>
      <c r="D20" s="15">
        <f>IF($B20="","",Cadets!$I20)</f>
        <v/>
      </c>
      <c r="E20" s="15">
        <f>IF($B20="","",IF(N(sysGrades!$AC20)&gt;=cfgFlagConsecFails,1,0))</f>
        <v/>
      </c>
      <c r="F20" s="15">
        <f>IF($B20="","",IF(AND(sysGrades!$AB20&lt;&gt;"",sysGrades!$AB20&gt;=cfgFlagGradeDrop),1,0))</f>
        <v/>
      </c>
      <c r="G20" s="15">
        <f>IF($B20="","",IF(OR(AND(sysGrades!$I20&lt;&gt;"",sysGrades!$I20&lt;cfgThresholdScore+cfgFlagCategoryMargin),AND(sysGrades!$J20&lt;&gt;"",sysGrades!$J20&lt;cfgThresholdScore+cfgFlagCategoryMargin)),1,0))</f>
        <v/>
      </c>
      <c r="H20" s="15">
        <f>IF($B20="","",IF(Spelling!$R20="INTERVENTION",1,0))</f>
        <v/>
      </c>
      <c r="I20" s="15">
        <f>IF($B20="","",IF(OR(sysAttendance!$I20&gt;=cfgFlagAttendancePct,sysAttendance!$Q20&gt;=cfgFlagAttendancePct),1,0))</f>
        <v/>
      </c>
      <c r="J20" s="15">
        <f>IF($B20="","",IF(sysIncidents!$H20&gt;=cfgFlagOpenIncidents,1,0))</f>
        <v/>
      </c>
      <c r="K20" s="15">
        <f>IF($B20="","",IF(N(Writing!$AS20)&gt;=cfgFlagOverdueWriting,1,0))</f>
        <v/>
      </c>
      <c r="L20" s="15">
        <f>IF($B20="","",IF(COUNTIFS(nrES_PID,$B20,nrES_RetStat,"OVERDUE")&gt;0,1,0))</f>
        <v/>
      </c>
      <c r="M20" s="15">
        <f>IF($B20="","",IF(OR(PT!$K20="No",PT!$AB20="No"),1,0))</f>
        <v/>
      </c>
      <c r="N20" s="15">
        <f>IF($B20="","",IF(COUNTIFS(nrMD_PID,$B20,nrMD_Status,"RESTRICTION EXPIRED")&gt;0,1,0))</f>
        <v/>
      </c>
      <c r="O20" s="15">
        <f>IF($B20="","",SUM($E20:$N20))</f>
        <v/>
      </c>
      <c r="P20" s="15">
        <f>IF($B20="","",IF($O20=0,"",_xlfn.TEXTJOIN(";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f>
        <v/>
      </c>
    </row>
    <row r="21">
      <c r="B21" s="15">
        <f>IF(Cadets!$B21="","",Cadets!$B21)</f>
        <v/>
      </c>
      <c r="C21" s="15">
        <f>IF($B21="","",Cadets!$F21)</f>
        <v/>
      </c>
      <c r="D21" s="15">
        <f>IF($B21="","",Cadets!$I21)</f>
        <v/>
      </c>
      <c r="E21" s="15">
        <f>IF($B21="","",IF(N(sysGrades!$AC21)&gt;=cfgFlagConsecFails,1,0))</f>
        <v/>
      </c>
      <c r="F21" s="15">
        <f>IF($B21="","",IF(AND(sysGrades!$AB21&lt;&gt;"",sysGrades!$AB21&gt;=cfgFlagGradeDrop),1,0))</f>
        <v/>
      </c>
      <c r="G21" s="15">
        <f>IF($B21="","",IF(OR(AND(sysGrades!$I21&lt;&gt;"",sysGrades!$I21&lt;cfgThresholdScore+cfgFlagCategoryMargin),AND(sysGrades!$J21&lt;&gt;"",sysGrades!$J21&lt;cfgThresholdScore+cfgFlagCategoryMargin)),1,0))</f>
        <v/>
      </c>
      <c r="H21" s="15">
        <f>IF($B21="","",IF(Spelling!$R21="INTERVENTION",1,0))</f>
        <v/>
      </c>
      <c r="I21" s="15">
        <f>IF($B21="","",IF(OR(sysAttendance!$I21&gt;=cfgFlagAttendancePct,sysAttendance!$Q21&gt;=cfgFlagAttendancePct),1,0))</f>
        <v/>
      </c>
      <c r="J21" s="15">
        <f>IF($B21="","",IF(sysIncidents!$H21&gt;=cfgFlagOpenIncidents,1,0))</f>
        <v/>
      </c>
      <c r="K21" s="15">
        <f>IF($B21="","",IF(N(Writing!$AS21)&gt;=cfgFlagOverdueWriting,1,0))</f>
        <v/>
      </c>
      <c r="L21" s="15">
        <f>IF($B21="","",IF(COUNTIFS(nrES_PID,$B21,nrES_RetStat,"OVERDUE")&gt;0,1,0))</f>
        <v/>
      </c>
      <c r="M21" s="15">
        <f>IF($B21="","",IF(OR(PT!$K21="No",PT!$AB21="No"),1,0))</f>
        <v/>
      </c>
      <c r="N21" s="15">
        <f>IF($B21="","",IF(COUNTIFS(nrMD_PID,$B21,nrMD_Status,"RESTRICTION EXPIRED")&gt;0,1,0))</f>
        <v/>
      </c>
      <c r="O21" s="15">
        <f>IF($B21="","",SUM($E21:$N21))</f>
        <v/>
      </c>
      <c r="P21" s="15">
        <f>IF($B21="","",IF($O21=0,"",_xlfn.TEXTJOIN(";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f>
        <v/>
      </c>
    </row>
    <row r="22">
      <c r="B22" s="15">
        <f>IF(Cadets!$B22="","",Cadets!$B22)</f>
        <v/>
      </c>
      <c r="C22" s="15">
        <f>IF($B22="","",Cadets!$F22)</f>
        <v/>
      </c>
      <c r="D22" s="15">
        <f>IF($B22="","",Cadets!$I22)</f>
        <v/>
      </c>
      <c r="E22" s="15">
        <f>IF($B22="","",IF(N(sysGrades!$AC22)&gt;=cfgFlagConsecFails,1,0))</f>
        <v/>
      </c>
      <c r="F22" s="15">
        <f>IF($B22="","",IF(AND(sysGrades!$AB22&lt;&gt;"",sysGrades!$AB22&gt;=cfgFlagGradeDrop),1,0))</f>
        <v/>
      </c>
      <c r="G22" s="15">
        <f>IF($B22="","",IF(OR(AND(sysGrades!$I22&lt;&gt;"",sysGrades!$I22&lt;cfgThresholdScore+cfgFlagCategoryMargin),AND(sysGrades!$J22&lt;&gt;"",sysGrades!$J22&lt;cfgThresholdScore+cfgFlagCategoryMargin)),1,0))</f>
        <v/>
      </c>
      <c r="H22" s="15">
        <f>IF($B22="","",IF(Spelling!$R22="INTERVENTION",1,0))</f>
        <v/>
      </c>
      <c r="I22" s="15">
        <f>IF($B22="","",IF(OR(sysAttendance!$I22&gt;=cfgFlagAttendancePct,sysAttendance!$Q22&gt;=cfgFlagAttendancePct),1,0))</f>
        <v/>
      </c>
      <c r="J22" s="15">
        <f>IF($B22="","",IF(sysIncidents!$H22&gt;=cfgFlagOpenIncidents,1,0))</f>
        <v/>
      </c>
      <c r="K22" s="15">
        <f>IF($B22="","",IF(N(Writing!$AS22)&gt;=cfgFlagOverdueWriting,1,0))</f>
        <v/>
      </c>
      <c r="L22" s="15">
        <f>IF($B22="","",IF(COUNTIFS(nrES_PID,$B22,nrES_RetStat,"OVERDUE")&gt;0,1,0))</f>
        <v/>
      </c>
      <c r="M22" s="15">
        <f>IF($B22="","",IF(OR(PT!$K22="No",PT!$AB22="No"),1,0))</f>
        <v/>
      </c>
      <c r="N22" s="15">
        <f>IF($B22="","",IF(COUNTIFS(nrMD_PID,$B22,nrMD_Status,"RESTRICTION EXPIRED")&gt;0,1,0))</f>
        <v/>
      </c>
      <c r="O22" s="15">
        <f>IF($B22="","",SUM($E22:$N22))</f>
        <v/>
      </c>
      <c r="P22" s="15">
        <f>IF($B22="","",IF($O22=0,"",_xlfn.TEXTJOIN(";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f>
        <v/>
      </c>
    </row>
    <row r="23">
      <c r="B23" s="15">
        <f>IF(Cadets!$B23="","",Cadets!$B23)</f>
        <v/>
      </c>
      <c r="C23" s="15">
        <f>IF($B23="","",Cadets!$F23)</f>
        <v/>
      </c>
      <c r="D23" s="15">
        <f>IF($B23="","",Cadets!$I23)</f>
        <v/>
      </c>
      <c r="E23" s="15">
        <f>IF($B23="","",IF(N(sysGrades!$AC23)&gt;=cfgFlagConsecFails,1,0))</f>
        <v/>
      </c>
      <c r="F23" s="15">
        <f>IF($B23="","",IF(AND(sysGrades!$AB23&lt;&gt;"",sysGrades!$AB23&gt;=cfgFlagGradeDrop),1,0))</f>
        <v/>
      </c>
      <c r="G23" s="15">
        <f>IF($B23="","",IF(OR(AND(sysGrades!$I23&lt;&gt;"",sysGrades!$I23&lt;cfgThresholdScore+cfgFlagCategoryMargin),AND(sysGrades!$J23&lt;&gt;"",sysGrades!$J23&lt;cfgThresholdScore+cfgFlagCategoryMargin)),1,0))</f>
        <v/>
      </c>
      <c r="H23" s="15">
        <f>IF($B23="","",IF(Spelling!$R23="INTERVENTION",1,0))</f>
        <v/>
      </c>
      <c r="I23" s="15">
        <f>IF($B23="","",IF(OR(sysAttendance!$I23&gt;=cfgFlagAttendancePct,sysAttendance!$Q23&gt;=cfgFlagAttendancePct),1,0))</f>
        <v/>
      </c>
      <c r="J23" s="15">
        <f>IF($B23="","",IF(sysIncidents!$H23&gt;=cfgFlagOpenIncidents,1,0))</f>
        <v/>
      </c>
      <c r="K23" s="15">
        <f>IF($B23="","",IF(N(Writing!$AS23)&gt;=cfgFlagOverdueWriting,1,0))</f>
        <v/>
      </c>
      <c r="L23" s="15">
        <f>IF($B23="","",IF(COUNTIFS(nrES_PID,$B23,nrES_RetStat,"OVERDUE")&gt;0,1,0))</f>
        <v/>
      </c>
      <c r="M23" s="15">
        <f>IF($B23="","",IF(OR(PT!$K23="No",PT!$AB23="No"),1,0))</f>
        <v/>
      </c>
      <c r="N23" s="15">
        <f>IF($B23="","",IF(COUNTIFS(nrMD_PID,$B23,nrMD_Status,"RESTRICTION EXPIRED")&gt;0,1,0))</f>
        <v/>
      </c>
      <c r="O23" s="15">
        <f>IF($B23="","",SUM($E23:$N23))</f>
        <v/>
      </c>
      <c r="P23" s="15">
        <f>IF($B23="","",IF($O23=0,"",_xlfn.TEXTJOIN(";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f>
        <v/>
      </c>
    </row>
    <row r="24">
      <c r="B24" s="15">
        <f>IF(Cadets!$B24="","",Cadets!$B24)</f>
        <v/>
      </c>
      <c r="C24" s="15">
        <f>IF($B24="","",Cadets!$F24)</f>
        <v/>
      </c>
      <c r="D24" s="15">
        <f>IF($B24="","",Cadets!$I24)</f>
        <v/>
      </c>
      <c r="E24" s="15">
        <f>IF($B24="","",IF(N(sysGrades!$AC24)&gt;=cfgFlagConsecFails,1,0))</f>
        <v/>
      </c>
      <c r="F24" s="15">
        <f>IF($B24="","",IF(AND(sysGrades!$AB24&lt;&gt;"",sysGrades!$AB24&gt;=cfgFlagGradeDrop),1,0))</f>
        <v/>
      </c>
      <c r="G24" s="15">
        <f>IF($B24="","",IF(OR(AND(sysGrades!$I24&lt;&gt;"",sysGrades!$I24&lt;cfgThresholdScore+cfgFlagCategoryMargin),AND(sysGrades!$J24&lt;&gt;"",sysGrades!$J24&lt;cfgThresholdScore+cfgFlagCategoryMargin)),1,0))</f>
        <v/>
      </c>
      <c r="H24" s="15">
        <f>IF($B24="","",IF(Spelling!$R24="INTERVENTION",1,0))</f>
        <v/>
      </c>
      <c r="I24" s="15">
        <f>IF($B24="","",IF(OR(sysAttendance!$I24&gt;=cfgFlagAttendancePct,sysAttendance!$Q24&gt;=cfgFlagAttendancePct),1,0))</f>
        <v/>
      </c>
      <c r="J24" s="15">
        <f>IF($B24="","",IF(sysIncidents!$H24&gt;=cfgFlagOpenIncidents,1,0))</f>
        <v/>
      </c>
      <c r="K24" s="15">
        <f>IF($B24="","",IF(N(Writing!$AS24)&gt;=cfgFlagOverdueWriting,1,0))</f>
        <v/>
      </c>
      <c r="L24" s="15">
        <f>IF($B24="","",IF(COUNTIFS(nrES_PID,$B24,nrES_RetStat,"OVERDUE")&gt;0,1,0))</f>
        <v/>
      </c>
      <c r="M24" s="15">
        <f>IF($B24="","",IF(OR(PT!$K24="No",PT!$AB24="No"),1,0))</f>
        <v/>
      </c>
      <c r="N24" s="15">
        <f>IF($B24="","",IF(COUNTIFS(nrMD_PID,$B24,nrMD_Status,"RESTRICTION EXPIRED")&gt;0,1,0))</f>
        <v/>
      </c>
      <c r="O24" s="15">
        <f>IF($B24="","",SUM($E24:$N24))</f>
        <v/>
      </c>
      <c r="P24" s="15">
        <f>IF($B24="","",IF($O24=0,"",_xlfn.TEXTJOIN(";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f>
        <v/>
      </c>
    </row>
    <row r="25">
      <c r="B25" s="15">
        <f>IF(Cadets!$B25="","",Cadets!$B25)</f>
        <v/>
      </c>
      <c r="C25" s="15">
        <f>IF($B25="","",Cadets!$F25)</f>
        <v/>
      </c>
      <c r="D25" s="15">
        <f>IF($B25="","",Cadets!$I25)</f>
        <v/>
      </c>
      <c r="E25" s="15">
        <f>IF($B25="","",IF(N(sysGrades!$AC25)&gt;=cfgFlagConsecFails,1,0))</f>
        <v/>
      </c>
      <c r="F25" s="15">
        <f>IF($B25="","",IF(AND(sysGrades!$AB25&lt;&gt;"",sysGrades!$AB25&gt;=cfgFlagGradeDrop),1,0))</f>
        <v/>
      </c>
      <c r="G25" s="15">
        <f>IF($B25="","",IF(OR(AND(sysGrades!$I25&lt;&gt;"",sysGrades!$I25&lt;cfgThresholdScore+cfgFlagCategoryMargin),AND(sysGrades!$J25&lt;&gt;"",sysGrades!$J25&lt;cfgThresholdScore+cfgFlagCategoryMargin)),1,0))</f>
        <v/>
      </c>
      <c r="H25" s="15">
        <f>IF($B25="","",IF(Spelling!$R25="INTERVENTION",1,0))</f>
        <v/>
      </c>
      <c r="I25" s="15">
        <f>IF($B25="","",IF(OR(sysAttendance!$I25&gt;=cfgFlagAttendancePct,sysAttendance!$Q25&gt;=cfgFlagAttendancePct),1,0))</f>
        <v/>
      </c>
      <c r="J25" s="15">
        <f>IF($B25="","",IF(sysIncidents!$H25&gt;=cfgFlagOpenIncidents,1,0))</f>
        <v/>
      </c>
      <c r="K25" s="15">
        <f>IF($B25="","",IF(N(Writing!$AS25)&gt;=cfgFlagOverdueWriting,1,0))</f>
        <v/>
      </c>
      <c r="L25" s="15">
        <f>IF($B25="","",IF(COUNTIFS(nrES_PID,$B25,nrES_RetStat,"OVERDUE")&gt;0,1,0))</f>
        <v/>
      </c>
      <c r="M25" s="15">
        <f>IF($B25="","",IF(OR(PT!$K25="No",PT!$AB25="No"),1,0))</f>
        <v/>
      </c>
      <c r="N25" s="15">
        <f>IF($B25="","",IF(COUNTIFS(nrMD_PID,$B25,nrMD_Status,"RESTRICTION EXPIRED")&gt;0,1,0))</f>
        <v/>
      </c>
      <c r="O25" s="15">
        <f>IF($B25="","",SUM($E25:$N25))</f>
        <v/>
      </c>
      <c r="P25" s="15">
        <f>IF($B25="","",IF($O25=0,"",_xlfn.TEXTJOIN(";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f>
        <v/>
      </c>
    </row>
    <row r="26">
      <c r="B26" s="15">
        <f>IF(Cadets!$B26="","",Cadets!$B26)</f>
        <v/>
      </c>
      <c r="C26" s="15">
        <f>IF($B26="","",Cadets!$F26)</f>
        <v/>
      </c>
      <c r="D26" s="15">
        <f>IF($B26="","",Cadets!$I26)</f>
        <v/>
      </c>
      <c r="E26" s="15">
        <f>IF($B26="","",IF(N(sysGrades!$AC26)&gt;=cfgFlagConsecFails,1,0))</f>
        <v/>
      </c>
      <c r="F26" s="15">
        <f>IF($B26="","",IF(AND(sysGrades!$AB26&lt;&gt;"",sysGrades!$AB26&gt;=cfgFlagGradeDrop),1,0))</f>
        <v/>
      </c>
      <c r="G26" s="15">
        <f>IF($B26="","",IF(OR(AND(sysGrades!$I26&lt;&gt;"",sysGrades!$I26&lt;cfgThresholdScore+cfgFlagCategoryMargin),AND(sysGrades!$J26&lt;&gt;"",sysGrades!$J26&lt;cfgThresholdScore+cfgFlagCategoryMargin)),1,0))</f>
        <v/>
      </c>
      <c r="H26" s="15">
        <f>IF($B26="","",IF(Spelling!$R26="INTERVENTION",1,0))</f>
        <v/>
      </c>
      <c r="I26" s="15">
        <f>IF($B26="","",IF(OR(sysAttendance!$I26&gt;=cfgFlagAttendancePct,sysAttendance!$Q26&gt;=cfgFlagAttendancePct),1,0))</f>
        <v/>
      </c>
      <c r="J26" s="15">
        <f>IF($B26="","",IF(sysIncidents!$H26&gt;=cfgFlagOpenIncidents,1,0))</f>
        <v/>
      </c>
      <c r="K26" s="15">
        <f>IF($B26="","",IF(N(Writing!$AS26)&gt;=cfgFlagOverdueWriting,1,0))</f>
        <v/>
      </c>
      <c r="L26" s="15">
        <f>IF($B26="","",IF(COUNTIFS(nrES_PID,$B26,nrES_RetStat,"OVERDUE")&gt;0,1,0))</f>
        <v/>
      </c>
      <c r="M26" s="15">
        <f>IF($B26="","",IF(OR(PT!$K26="No",PT!$AB26="No"),1,0))</f>
        <v/>
      </c>
      <c r="N26" s="15">
        <f>IF($B26="","",IF(COUNTIFS(nrMD_PID,$B26,nrMD_Status,"RESTRICTION EXPIRED")&gt;0,1,0))</f>
        <v/>
      </c>
      <c r="O26" s="15">
        <f>IF($B26="","",SUM($E26:$N26))</f>
        <v/>
      </c>
      <c r="P26" s="15">
        <f>IF($B26="","",IF($O26=0,"",_xlfn.TEXTJOIN(";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f>
        <v/>
      </c>
    </row>
    <row r="27">
      <c r="B27" s="15">
        <f>IF(Cadets!$B27="","",Cadets!$B27)</f>
        <v/>
      </c>
      <c r="C27" s="15">
        <f>IF($B27="","",Cadets!$F27)</f>
        <v/>
      </c>
      <c r="D27" s="15">
        <f>IF($B27="","",Cadets!$I27)</f>
        <v/>
      </c>
      <c r="E27" s="15">
        <f>IF($B27="","",IF(N(sysGrades!$AC27)&gt;=cfgFlagConsecFails,1,0))</f>
        <v/>
      </c>
      <c r="F27" s="15">
        <f>IF($B27="","",IF(AND(sysGrades!$AB27&lt;&gt;"",sysGrades!$AB27&gt;=cfgFlagGradeDrop),1,0))</f>
        <v/>
      </c>
      <c r="G27" s="15">
        <f>IF($B27="","",IF(OR(AND(sysGrades!$I27&lt;&gt;"",sysGrades!$I27&lt;cfgThresholdScore+cfgFlagCategoryMargin),AND(sysGrades!$J27&lt;&gt;"",sysGrades!$J27&lt;cfgThresholdScore+cfgFlagCategoryMargin)),1,0))</f>
        <v/>
      </c>
      <c r="H27" s="15">
        <f>IF($B27="","",IF(Spelling!$R27="INTERVENTION",1,0))</f>
        <v/>
      </c>
      <c r="I27" s="15">
        <f>IF($B27="","",IF(OR(sysAttendance!$I27&gt;=cfgFlagAttendancePct,sysAttendance!$Q27&gt;=cfgFlagAttendancePct),1,0))</f>
        <v/>
      </c>
      <c r="J27" s="15">
        <f>IF($B27="","",IF(sysIncidents!$H27&gt;=cfgFlagOpenIncidents,1,0))</f>
        <v/>
      </c>
      <c r="K27" s="15">
        <f>IF($B27="","",IF(N(Writing!$AS27)&gt;=cfgFlagOverdueWriting,1,0))</f>
        <v/>
      </c>
      <c r="L27" s="15">
        <f>IF($B27="","",IF(COUNTIFS(nrES_PID,$B27,nrES_RetStat,"OVERDUE")&gt;0,1,0))</f>
        <v/>
      </c>
      <c r="M27" s="15">
        <f>IF($B27="","",IF(OR(PT!$K27="No",PT!$AB27="No"),1,0))</f>
        <v/>
      </c>
      <c r="N27" s="15">
        <f>IF($B27="","",IF(COUNTIFS(nrMD_PID,$B27,nrMD_Status,"RESTRICTION EXPIRED")&gt;0,1,0))</f>
        <v/>
      </c>
      <c r="O27" s="15">
        <f>IF($B27="","",SUM($E27:$N27))</f>
        <v/>
      </c>
      <c r="P27" s="15">
        <f>IF($B27="","",IF($O27=0,"",_xlfn.TEXTJOIN(";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f>
        <v/>
      </c>
    </row>
    <row r="28">
      <c r="B28" s="15">
        <f>IF(Cadets!$B28="","",Cadets!$B28)</f>
        <v/>
      </c>
      <c r="C28" s="15">
        <f>IF($B28="","",Cadets!$F28)</f>
        <v/>
      </c>
      <c r="D28" s="15">
        <f>IF($B28="","",Cadets!$I28)</f>
        <v/>
      </c>
      <c r="E28" s="15">
        <f>IF($B28="","",IF(N(sysGrades!$AC28)&gt;=cfgFlagConsecFails,1,0))</f>
        <v/>
      </c>
      <c r="F28" s="15">
        <f>IF($B28="","",IF(AND(sysGrades!$AB28&lt;&gt;"",sysGrades!$AB28&gt;=cfgFlagGradeDrop),1,0))</f>
        <v/>
      </c>
      <c r="G28" s="15">
        <f>IF($B28="","",IF(OR(AND(sysGrades!$I28&lt;&gt;"",sysGrades!$I28&lt;cfgThresholdScore+cfgFlagCategoryMargin),AND(sysGrades!$J28&lt;&gt;"",sysGrades!$J28&lt;cfgThresholdScore+cfgFlagCategoryMargin)),1,0))</f>
        <v/>
      </c>
      <c r="H28" s="15">
        <f>IF($B28="","",IF(Spelling!$R28="INTERVENTION",1,0))</f>
        <v/>
      </c>
      <c r="I28" s="15">
        <f>IF($B28="","",IF(OR(sysAttendance!$I28&gt;=cfgFlagAttendancePct,sysAttendance!$Q28&gt;=cfgFlagAttendancePct),1,0))</f>
        <v/>
      </c>
      <c r="J28" s="15">
        <f>IF($B28="","",IF(sysIncidents!$H28&gt;=cfgFlagOpenIncidents,1,0))</f>
        <v/>
      </c>
      <c r="K28" s="15">
        <f>IF($B28="","",IF(N(Writing!$AS28)&gt;=cfgFlagOverdueWriting,1,0))</f>
        <v/>
      </c>
      <c r="L28" s="15">
        <f>IF($B28="","",IF(COUNTIFS(nrES_PID,$B28,nrES_RetStat,"OVERDUE")&gt;0,1,0))</f>
        <v/>
      </c>
      <c r="M28" s="15">
        <f>IF($B28="","",IF(OR(PT!$K28="No",PT!$AB28="No"),1,0))</f>
        <v/>
      </c>
      <c r="N28" s="15">
        <f>IF($B28="","",IF(COUNTIFS(nrMD_PID,$B28,nrMD_Status,"RESTRICTION EXPIRED")&gt;0,1,0))</f>
        <v/>
      </c>
      <c r="O28" s="15">
        <f>IF($B28="","",SUM($E28:$N28))</f>
        <v/>
      </c>
      <c r="P28" s="15">
        <f>IF($B28="","",IF($O28=0,"",_xlfn.TEXTJOIN(";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f>
        <v/>
      </c>
    </row>
    <row r="29">
      <c r="B29" s="15">
        <f>IF(Cadets!$B29="","",Cadets!$B29)</f>
        <v/>
      </c>
      <c r="C29" s="15">
        <f>IF($B29="","",Cadets!$F29)</f>
        <v/>
      </c>
      <c r="D29" s="15">
        <f>IF($B29="","",Cadets!$I29)</f>
        <v/>
      </c>
      <c r="E29" s="15">
        <f>IF($B29="","",IF(N(sysGrades!$AC29)&gt;=cfgFlagConsecFails,1,0))</f>
        <v/>
      </c>
      <c r="F29" s="15">
        <f>IF($B29="","",IF(AND(sysGrades!$AB29&lt;&gt;"",sysGrades!$AB29&gt;=cfgFlagGradeDrop),1,0))</f>
        <v/>
      </c>
      <c r="G29" s="15">
        <f>IF($B29="","",IF(OR(AND(sysGrades!$I29&lt;&gt;"",sysGrades!$I29&lt;cfgThresholdScore+cfgFlagCategoryMargin),AND(sysGrades!$J29&lt;&gt;"",sysGrades!$J29&lt;cfgThresholdScore+cfgFlagCategoryMargin)),1,0))</f>
        <v/>
      </c>
      <c r="H29" s="15">
        <f>IF($B29="","",IF(Spelling!$R29="INTERVENTION",1,0))</f>
        <v/>
      </c>
      <c r="I29" s="15">
        <f>IF($B29="","",IF(OR(sysAttendance!$I29&gt;=cfgFlagAttendancePct,sysAttendance!$Q29&gt;=cfgFlagAttendancePct),1,0))</f>
        <v/>
      </c>
      <c r="J29" s="15">
        <f>IF($B29="","",IF(sysIncidents!$H29&gt;=cfgFlagOpenIncidents,1,0))</f>
        <v/>
      </c>
      <c r="K29" s="15">
        <f>IF($B29="","",IF(N(Writing!$AS29)&gt;=cfgFlagOverdueWriting,1,0))</f>
        <v/>
      </c>
      <c r="L29" s="15">
        <f>IF($B29="","",IF(COUNTIFS(nrES_PID,$B29,nrES_RetStat,"OVERDUE")&gt;0,1,0))</f>
        <v/>
      </c>
      <c r="M29" s="15">
        <f>IF($B29="","",IF(OR(PT!$K29="No",PT!$AB29="No"),1,0))</f>
        <v/>
      </c>
      <c r="N29" s="15">
        <f>IF($B29="","",IF(COUNTIFS(nrMD_PID,$B29,nrMD_Status,"RESTRICTION EXPIRED")&gt;0,1,0))</f>
        <v/>
      </c>
      <c r="O29" s="15">
        <f>IF($B29="","",SUM($E29:$N29))</f>
        <v/>
      </c>
      <c r="P29" s="15">
        <f>IF($B29="","",IF($O29=0,"",_xlfn.TEXTJOIN(";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f>
        <v/>
      </c>
    </row>
    <row r="30">
      <c r="B30" s="15">
        <f>IF(Cadets!$B30="","",Cadets!$B30)</f>
        <v/>
      </c>
      <c r="C30" s="15">
        <f>IF($B30="","",Cadets!$F30)</f>
        <v/>
      </c>
      <c r="D30" s="15">
        <f>IF($B30="","",Cadets!$I30)</f>
        <v/>
      </c>
      <c r="E30" s="15">
        <f>IF($B30="","",IF(N(sysGrades!$AC30)&gt;=cfgFlagConsecFails,1,0))</f>
        <v/>
      </c>
      <c r="F30" s="15">
        <f>IF($B30="","",IF(AND(sysGrades!$AB30&lt;&gt;"",sysGrades!$AB30&gt;=cfgFlagGradeDrop),1,0))</f>
        <v/>
      </c>
      <c r="G30" s="15">
        <f>IF($B30="","",IF(OR(AND(sysGrades!$I30&lt;&gt;"",sysGrades!$I30&lt;cfgThresholdScore+cfgFlagCategoryMargin),AND(sysGrades!$J30&lt;&gt;"",sysGrades!$J30&lt;cfgThresholdScore+cfgFlagCategoryMargin)),1,0))</f>
        <v/>
      </c>
      <c r="H30" s="15">
        <f>IF($B30="","",IF(Spelling!$R30="INTERVENTION",1,0))</f>
        <v/>
      </c>
      <c r="I30" s="15">
        <f>IF($B30="","",IF(OR(sysAttendance!$I30&gt;=cfgFlagAttendancePct,sysAttendance!$Q30&gt;=cfgFlagAttendancePct),1,0))</f>
        <v/>
      </c>
      <c r="J30" s="15">
        <f>IF($B30="","",IF(sysIncidents!$H30&gt;=cfgFlagOpenIncidents,1,0))</f>
        <v/>
      </c>
      <c r="K30" s="15">
        <f>IF($B30="","",IF(N(Writing!$AS30)&gt;=cfgFlagOverdueWriting,1,0))</f>
        <v/>
      </c>
      <c r="L30" s="15">
        <f>IF($B30="","",IF(COUNTIFS(nrES_PID,$B30,nrES_RetStat,"OVERDUE")&gt;0,1,0))</f>
        <v/>
      </c>
      <c r="M30" s="15">
        <f>IF($B30="","",IF(OR(PT!$K30="No",PT!$AB30="No"),1,0))</f>
        <v/>
      </c>
      <c r="N30" s="15">
        <f>IF($B30="","",IF(COUNTIFS(nrMD_PID,$B30,nrMD_Status,"RESTRICTION EXPIRED")&gt;0,1,0))</f>
        <v/>
      </c>
      <c r="O30" s="15">
        <f>IF($B30="","",SUM($E30:$N30))</f>
        <v/>
      </c>
      <c r="P30" s="15">
        <f>IF($B30="","",IF($O30=0,"",_xlfn.TEXTJOIN(";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f>
        <v/>
      </c>
    </row>
    <row r="31">
      <c r="B31" s="15">
        <f>IF(Cadets!$B31="","",Cadets!$B31)</f>
        <v/>
      </c>
      <c r="C31" s="15">
        <f>IF($B31="","",Cadets!$F31)</f>
        <v/>
      </c>
      <c r="D31" s="15">
        <f>IF($B31="","",Cadets!$I31)</f>
        <v/>
      </c>
      <c r="E31" s="15">
        <f>IF($B31="","",IF(N(sysGrades!$AC31)&gt;=cfgFlagConsecFails,1,0))</f>
        <v/>
      </c>
      <c r="F31" s="15">
        <f>IF($B31="","",IF(AND(sysGrades!$AB31&lt;&gt;"",sysGrades!$AB31&gt;=cfgFlagGradeDrop),1,0))</f>
        <v/>
      </c>
      <c r="G31" s="15">
        <f>IF($B31="","",IF(OR(AND(sysGrades!$I31&lt;&gt;"",sysGrades!$I31&lt;cfgThresholdScore+cfgFlagCategoryMargin),AND(sysGrades!$J31&lt;&gt;"",sysGrades!$J31&lt;cfgThresholdScore+cfgFlagCategoryMargin)),1,0))</f>
        <v/>
      </c>
      <c r="H31" s="15">
        <f>IF($B31="","",IF(Spelling!$R31="INTERVENTION",1,0))</f>
        <v/>
      </c>
      <c r="I31" s="15">
        <f>IF($B31="","",IF(OR(sysAttendance!$I31&gt;=cfgFlagAttendancePct,sysAttendance!$Q31&gt;=cfgFlagAttendancePct),1,0))</f>
        <v/>
      </c>
      <c r="J31" s="15">
        <f>IF($B31="","",IF(sysIncidents!$H31&gt;=cfgFlagOpenIncidents,1,0))</f>
        <v/>
      </c>
      <c r="K31" s="15">
        <f>IF($B31="","",IF(N(Writing!$AS31)&gt;=cfgFlagOverdueWriting,1,0))</f>
        <v/>
      </c>
      <c r="L31" s="15">
        <f>IF($B31="","",IF(COUNTIFS(nrES_PID,$B31,nrES_RetStat,"OVERDUE")&gt;0,1,0))</f>
        <v/>
      </c>
      <c r="M31" s="15">
        <f>IF($B31="","",IF(OR(PT!$K31="No",PT!$AB31="No"),1,0))</f>
        <v/>
      </c>
      <c r="N31" s="15">
        <f>IF($B31="","",IF(COUNTIFS(nrMD_PID,$B31,nrMD_Status,"RESTRICTION EXPIRED")&gt;0,1,0))</f>
        <v/>
      </c>
      <c r="O31" s="15">
        <f>IF($B31="","",SUM($E31:$N31))</f>
        <v/>
      </c>
      <c r="P31" s="15">
        <f>IF($B31="","",IF($O31=0,"",_xlfn.TEXTJOIN(";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f>
        <v/>
      </c>
    </row>
    <row r="32">
      <c r="B32" s="15">
        <f>IF(Cadets!$B32="","",Cadets!$B32)</f>
        <v/>
      </c>
      <c r="C32" s="15">
        <f>IF($B32="","",Cadets!$F32)</f>
        <v/>
      </c>
      <c r="D32" s="15">
        <f>IF($B32="","",Cadets!$I32)</f>
        <v/>
      </c>
      <c r="E32" s="15">
        <f>IF($B32="","",IF(N(sysGrades!$AC32)&gt;=cfgFlagConsecFails,1,0))</f>
        <v/>
      </c>
      <c r="F32" s="15">
        <f>IF($B32="","",IF(AND(sysGrades!$AB32&lt;&gt;"",sysGrades!$AB32&gt;=cfgFlagGradeDrop),1,0))</f>
        <v/>
      </c>
      <c r="G32" s="15">
        <f>IF($B32="","",IF(OR(AND(sysGrades!$I32&lt;&gt;"",sysGrades!$I32&lt;cfgThresholdScore+cfgFlagCategoryMargin),AND(sysGrades!$J32&lt;&gt;"",sysGrades!$J32&lt;cfgThresholdScore+cfgFlagCategoryMargin)),1,0))</f>
        <v/>
      </c>
      <c r="H32" s="15">
        <f>IF($B32="","",IF(Spelling!$R32="INTERVENTION",1,0))</f>
        <v/>
      </c>
      <c r="I32" s="15">
        <f>IF($B32="","",IF(OR(sysAttendance!$I32&gt;=cfgFlagAttendancePct,sysAttendance!$Q32&gt;=cfgFlagAttendancePct),1,0))</f>
        <v/>
      </c>
      <c r="J32" s="15">
        <f>IF($B32="","",IF(sysIncidents!$H32&gt;=cfgFlagOpenIncidents,1,0))</f>
        <v/>
      </c>
      <c r="K32" s="15">
        <f>IF($B32="","",IF(N(Writing!$AS32)&gt;=cfgFlagOverdueWriting,1,0))</f>
        <v/>
      </c>
      <c r="L32" s="15">
        <f>IF($B32="","",IF(COUNTIFS(nrES_PID,$B32,nrES_RetStat,"OVERDUE")&gt;0,1,0))</f>
        <v/>
      </c>
      <c r="M32" s="15">
        <f>IF($B32="","",IF(OR(PT!$K32="No",PT!$AB32="No"),1,0))</f>
        <v/>
      </c>
      <c r="N32" s="15">
        <f>IF($B32="","",IF(COUNTIFS(nrMD_PID,$B32,nrMD_Status,"RESTRICTION EXPIRED")&gt;0,1,0))</f>
        <v/>
      </c>
      <c r="O32" s="15">
        <f>IF($B32="","",SUM($E32:$N32))</f>
        <v/>
      </c>
      <c r="P32" s="15">
        <f>IF($B32="","",IF($O32=0,"",_xlfn.TEXTJOIN(";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f>
        <v/>
      </c>
    </row>
    <row r="33">
      <c r="B33" s="15">
        <f>IF(Cadets!$B33="","",Cadets!$B33)</f>
        <v/>
      </c>
      <c r="C33" s="15">
        <f>IF($B33="","",Cadets!$F33)</f>
        <v/>
      </c>
      <c r="D33" s="15">
        <f>IF($B33="","",Cadets!$I33)</f>
        <v/>
      </c>
      <c r="E33" s="15">
        <f>IF($B33="","",IF(N(sysGrades!$AC33)&gt;=cfgFlagConsecFails,1,0))</f>
        <v/>
      </c>
      <c r="F33" s="15">
        <f>IF($B33="","",IF(AND(sysGrades!$AB33&lt;&gt;"",sysGrades!$AB33&gt;=cfgFlagGradeDrop),1,0))</f>
        <v/>
      </c>
      <c r="G33" s="15">
        <f>IF($B33="","",IF(OR(AND(sysGrades!$I33&lt;&gt;"",sysGrades!$I33&lt;cfgThresholdScore+cfgFlagCategoryMargin),AND(sysGrades!$J33&lt;&gt;"",sysGrades!$J33&lt;cfgThresholdScore+cfgFlagCategoryMargin)),1,0))</f>
        <v/>
      </c>
      <c r="H33" s="15">
        <f>IF($B33="","",IF(Spelling!$R33="INTERVENTION",1,0))</f>
        <v/>
      </c>
      <c r="I33" s="15">
        <f>IF($B33="","",IF(OR(sysAttendance!$I33&gt;=cfgFlagAttendancePct,sysAttendance!$Q33&gt;=cfgFlagAttendancePct),1,0))</f>
        <v/>
      </c>
      <c r="J33" s="15">
        <f>IF($B33="","",IF(sysIncidents!$H33&gt;=cfgFlagOpenIncidents,1,0))</f>
        <v/>
      </c>
      <c r="K33" s="15">
        <f>IF($B33="","",IF(N(Writing!$AS33)&gt;=cfgFlagOverdueWriting,1,0))</f>
        <v/>
      </c>
      <c r="L33" s="15">
        <f>IF($B33="","",IF(COUNTIFS(nrES_PID,$B33,nrES_RetStat,"OVERDUE")&gt;0,1,0))</f>
        <v/>
      </c>
      <c r="M33" s="15">
        <f>IF($B33="","",IF(OR(PT!$K33="No",PT!$AB33="No"),1,0))</f>
        <v/>
      </c>
      <c r="N33" s="15">
        <f>IF($B33="","",IF(COUNTIFS(nrMD_PID,$B33,nrMD_Status,"RESTRICTION EXPIRED")&gt;0,1,0))</f>
        <v/>
      </c>
      <c r="O33" s="15">
        <f>IF($B33="","",SUM($E33:$N33))</f>
        <v/>
      </c>
      <c r="P33" s="15">
        <f>IF($B33="","",IF($O33=0,"",_xlfn.TEXTJOIN(";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f>
        <v/>
      </c>
    </row>
    <row r="34">
      <c r="B34" s="15">
        <f>IF(Cadets!$B34="","",Cadets!$B34)</f>
        <v/>
      </c>
      <c r="C34" s="15">
        <f>IF($B34="","",Cadets!$F34)</f>
        <v/>
      </c>
      <c r="D34" s="15">
        <f>IF($B34="","",Cadets!$I34)</f>
        <v/>
      </c>
      <c r="E34" s="15">
        <f>IF($B34="","",IF(N(sysGrades!$AC34)&gt;=cfgFlagConsecFails,1,0))</f>
        <v/>
      </c>
      <c r="F34" s="15">
        <f>IF($B34="","",IF(AND(sysGrades!$AB34&lt;&gt;"",sysGrades!$AB34&gt;=cfgFlagGradeDrop),1,0))</f>
        <v/>
      </c>
      <c r="G34" s="15">
        <f>IF($B34="","",IF(OR(AND(sysGrades!$I34&lt;&gt;"",sysGrades!$I34&lt;cfgThresholdScore+cfgFlagCategoryMargin),AND(sysGrades!$J34&lt;&gt;"",sysGrades!$J34&lt;cfgThresholdScore+cfgFlagCategoryMargin)),1,0))</f>
        <v/>
      </c>
      <c r="H34" s="15">
        <f>IF($B34="","",IF(Spelling!$R34="INTERVENTION",1,0))</f>
        <v/>
      </c>
      <c r="I34" s="15">
        <f>IF($B34="","",IF(OR(sysAttendance!$I34&gt;=cfgFlagAttendancePct,sysAttendance!$Q34&gt;=cfgFlagAttendancePct),1,0))</f>
        <v/>
      </c>
      <c r="J34" s="15">
        <f>IF($B34="","",IF(sysIncidents!$H34&gt;=cfgFlagOpenIncidents,1,0))</f>
        <v/>
      </c>
      <c r="K34" s="15">
        <f>IF($B34="","",IF(N(Writing!$AS34)&gt;=cfgFlagOverdueWriting,1,0))</f>
        <v/>
      </c>
      <c r="L34" s="15">
        <f>IF($B34="","",IF(COUNTIFS(nrES_PID,$B34,nrES_RetStat,"OVERDUE")&gt;0,1,0))</f>
        <v/>
      </c>
      <c r="M34" s="15">
        <f>IF($B34="","",IF(OR(PT!$K34="No",PT!$AB34="No"),1,0))</f>
        <v/>
      </c>
      <c r="N34" s="15">
        <f>IF($B34="","",IF(COUNTIFS(nrMD_PID,$B34,nrMD_Status,"RESTRICTION EXPIRED")&gt;0,1,0))</f>
        <v/>
      </c>
      <c r="O34" s="15">
        <f>IF($B34="","",SUM($E34:$N34))</f>
        <v/>
      </c>
      <c r="P34" s="15">
        <f>IF($B34="","",IF($O34=0,"",_xlfn.TEXTJOIN(";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f>
        <v/>
      </c>
    </row>
    <row r="35">
      <c r="B35" s="15">
        <f>IF(Cadets!$B35="","",Cadets!$B35)</f>
        <v/>
      </c>
      <c r="C35" s="15">
        <f>IF($B35="","",Cadets!$F35)</f>
        <v/>
      </c>
      <c r="D35" s="15">
        <f>IF($B35="","",Cadets!$I35)</f>
        <v/>
      </c>
      <c r="E35" s="15">
        <f>IF($B35="","",IF(N(sysGrades!$AC35)&gt;=cfgFlagConsecFails,1,0))</f>
        <v/>
      </c>
      <c r="F35" s="15">
        <f>IF($B35="","",IF(AND(sysGrades!$AB35&lt;&gt;"",sysGrades!$AB35&gt;=cfgFlagGradeDrop),1,0))</f>
        <v/>
      </c>
      <c r="G35" s="15">
        <f>IF($B35="","",IF(OR(AND(sysGrades!$I35&lt;&gt;"",sysGrades!$I35&lt;cfgThresholdScore+cfgFlagCategoryMargin),AND(sysGrades!$J35&lt;&gt;"",sysGrades!$J35&lt;cfgThresholdScore+cfgFlagCategoryMargin)),1,0))</f>
        <v/>
      </c>
      <c r="H35" s="15">
        <f>IF($B35="","",IF(Spelling!$R35="INTERVENTION",1,0))</f>
        <v/>
      </c>
      <c r="I35" s="15">
        <f>IF($B35="","",IF(OR(sysAttendance!$I35&gt;=cfgFlagAttendancePct,sysAttendance!$Q35&gt;=cfgFlagAttendancePct),1,0))</f>
        <v/>
      </c>
      <c r="J35" s="15">
        <f>IF($B35="","",IF(sysIncidents!$H35&gt;=cfgFlagOpenIncidents,1,0))</f>
        <v/>
      </c>
      <c r="K35" s="15">
        <f>IF($B35="","",IF(N(Writing!$AS35)&gt;=cfgFlagOverdueWriting,1,0))</f>
        <v/>
      </c>
      <c r="L35" s="15">
        <f>IF($B35="","",IF(COUNTIFS(nrES_PID,$B35,nrES_RetStat,"OVERDUE")&gt;0,1,0))</f>
        <v/>
      </c>
      <c r="M35" s="15">
        <f>IF($B35="","",IF(OR(PT!$K35="No",PT!$AB35="No"),1,0))</f>
        <v/>
      </c>
      <c r="N35" s="15">
        <f>IF($B35="","",IF(COUNTIFS(nrMD_PID,$B35,nrMD_Status,"RESTRICTION EXPIRED")&gt;0,1,0))</f>
        <v/>
      </c>
      <c r="O35" s="15">
        <f>IF($B35="","",SUM($E35:$N35))</f>
        <v/>
      </c>
      <c r="P35" s="15">
        <f>IF($B35="","",IF($O35=0,"",_xlfn.TEXTJOIN(";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f>
        <v/>
      </c>
    </row>
    <row r="36">
      <c r="B36" s="15">
        <f>IF(Cadets!$B36="","",Cadets!$B36)</f>
        <v/>
      </c>
      <c r="C36" s="15">
        <f>IF($B36="","",Cadets!$F36)</f>
        <v/>
      </c>
      <c r="D36" s="15">
        <f>IF($B36="","",Cadets!$I36)</f>
        <v/>
      </c>
      <c r="E36" s="15">
        <f>IF($B36="","",IF(N(sysGrades!$AC36)&gt;=cfgFlagConsecFails,1,0))</f>
        <v/>
      </c>
      <c r="F36" s="15">
        <f>IF($B36="","",IF(AND(sysGrades!$AB36&lt;&gt;"",sysGrades!$AB36&gt;=cfgFlagGradeDrop),1,0))</f>
        <v/>
      </c>
      <c r="G36" s="15">
        <f>IF($B36="","",IF(OR(AND(sysGrades!$I36&lt;&gt;"",sysGrades!$I36&lt;cfgThresholdScore+cfgFlagCategoryMargin),AND(sysGrades!$J36&lt;&gt;"",sysGrades!$J36&lt;cfgThresholdScore+cfgFlagCategoryMargin)),1,0))</f>
        <v/>
      </c>
      <c r="H36" s="15">
        <f>IF($B36="","",IF(Spelling!$R36="INTERVENTION",1,0))</f>
        <v/>
      </c>
      <c r="I36" s="15">
        <f>IF($B36="","",IF(OR(sysAttendance!$I36&gt;=cfgFlagAttendancePct,sysAttendance!$Q36&gt;=cfgFlagAttendancePct),1,0))</f>
        <v/>
      </c>
      <c r="J36" s="15">
        <f>IF($B36="","",IF(sysIncidents!$H36&gt;=cfgFlagOpenIncidents,1,0))</f>
        <v/>
      </c>
      <c r="K36" s="15">
        <f>IF($B36="","",IF(N(Writing!$AS36)&gt;=cfgFlagOverdueWriting,1,0))</f>
        <v/>
      </c>
      <c r="L36" s="15">
        <f>IF($B36="","",IF(COUNTIFS(nrES_PID,$B36,nrES_RetStat,"OVERDUE")&gt;0,1,0))</f>
        <v/>
      </c>
      <c r="M36" s="15">
        <f>IF($B36="","",IF(OR(PT!$K36="No",PT!$AB36="No"),1,0))</f>
        <v/>
      </c>
      <c r="N36" s="15">
        <f>IF($B36="","",IF(COUNTIFS(nrMD_PID,$B36,nrMD_Status,"RESTRICTION EXPIRED")&gt;0,1,0))</f>
        <v/>
      </c>
      <c r="O36" s="15">
        <f>IF($B36="","",SUM($E36:$N36))</f>
        <v/>
      </c>
      <c r="P36" s="15">
        <f>IF($B36="","",IF($O36=0,"",_xlfn.TEXTJOIN(";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f>
        <v/>
      </c>
    </row>
    <row r="37">
      <c r="B37" s="15">
        <f>IF(Cadets!$B37="","",Cadets!$B37)</f>
        <v/>
      </c>
      <c r="C37" s="15">
        <f>IF($B37="","",Cadets!$F37)</f>
        <v/>
      </c>
      <c r="D37" s="15">
        <f>IF($B37="","",Cadets!$I37)</f>
        <v/>
      </c>
      <c r="E37" s="15">
        <f>IF($B37="","",IF(N(sysGrades!$AC37)&gt;=cfgFlagConsecFails,1,0))</f>
        <v/>
      </c>
      <c r="F37" s="15">
        <f>IF($B37="","",IF(AND(sysGrades!$AB37&lt;&gt;"",sysGrades!$AB37&gt;=cfgFlagGradeDrop),1,0))</f>
        <v/>
      </c>
      <c r="G37" s="15">
        <f>IF($B37="","",IF(OR(AND(sysGrades!$I37&lt;&gt;"",sysGrades!$I37&lt;cfgThresholdScore+cfgFlagCategoryMargin),AND(sysGrades!$J37&lt;&gt;"",sysGrades!$J37&lt;cfgThresholdScore+cfgFlagCategoryMargin)),1,0))</f>
        <v/>
      </c>
      <c r="H37" s="15">
        <f>IF($B37="","",IF(Spelling!$R37="INTERVENTION",1,0))</f>
        <v/>
      </c>
      <c r="I37" s="15">
        <f>IF($B37="","",IF(OR(sysAttendance!$I37&gt;=cfgFlagAttendancePct,sysAttendance!$Q37&gt;=cfgFlagAttendancePct),1,0))</f>
        <v/>
      </c>
      <c r="J37" s="15">
        <f>IF($B37="","",IF(sysIncidents!$H37&gt;=cfgFlagOpenIncidents,1,0))</f>
        <v/>
      </c>
      <c r="K37" s="15">
        <f>IF($B37="","",IF(N(Writing!$AS37)&gt;=cfgFlagOverdueWriting,1,0))</f>
        <v/>
      </c>
      <c r="L37" s="15">
        <f>IF($B37="","",IF(COUNTIFS(nrES_PID,$B37,nrES_RetStat,"OVERDUE")&gt;0,1,0))</f>
        <v/>
      </c>
      <c r="M37" s="15">
        <f>IF($B37="","",IF(OR(PT!$K37="No",PT!$AB37="No"),1,0))</f>
        <v/>
      </c>
      <c r="N37" s="15">
        <f>IF($B37="","",IF(COUNTIFS(nrMD_PID,$B37,nrMD_Status,"RESTRICTION EXPIRED")&gt;0,1,0))</f>
        <v/>
      </c>
      <c r="O37" s="15">
        <f>IF($B37="","",SUM($E37:$N37))</f>
        <v/>
      </c>
      <c r="P37" s="15">
        <f>IF($B37="","",IF($O37=0,"",_xlfn.TEXTJOIN(";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f>
        <v/>
      </c>
    </row>
    <row r="38">
      <c r="B38" s="15">
        <f>IF(Cadets!$B38="","",Cadets!$B38)</f>
        <v/>
      </c>
      <c r="C38" s="15">
        <f>IF($B38="","",Cadets!$F38)</f>
        <v/>
      </c>
      <c r="D38" s="15">
        <f>IF($B38="","",Cadets!$I38)</f>
        <v/>
      </c>
      <c r="E38" s="15">
        <f>IF($B38="","",IF(N(sysGrades!$AC38)&gt;=cfgFlagConsecFails,1,0))</f>
        <v/>
      </c>
      <c r="F38" s="15">
        <f>IF($B38="","",IF(AND(sysGrades!$AB38&lt;&gt;"",sysGrades!$AB38&gt;=cfgFlagGradeDrop),1,0))</f>
        <v/>
      </c>
      <c r="G38" s="15">
        <f>IF($B38="","",IF(OR(AND(sysGrades!$I38&lt;&gt;"",sysGrades!$I38&lt;cfgThresholdScore+cfgFlagCategoryMargin),AND(sysGrades!$J38&lt;&gt;"",sysGrades!$J38&lt;cfgThresholdScore+cfgFlagCategoryMargin)),1,0))</f>
        <v/>
      </c>
      <c r="H38" s="15">
        <f>IF($B38="","",IF(Spelling!$R38="INTERVENTION",1,0))</f>
        <v/>
      </c>
      <c r="I38" s="15">
        <f>IF($B38="","",IF(OR(sysAttendance!$I38&gt;=cfgFlagAttendancePct,sysAttendance!$Q38&gt;=cfgFlagAttendancePct),1,0))</f>
        <v/>
      </c>
      <c r="J38" s="15">
        <f>IF($B38="","",IF(sysIncidents!$H38&gt;=cfgFlagOpenIncidents,1,0))</f>
        <v/>
      </c>
      <c r="K38" s="15">
        <f>IF($B38="","",IF(N(Writing!$AS38)&gt;=cfgFlagOverdueWriting,1,0))</f>
        <v/>
      </c>
      <c r="L38" s="15">
        <f>IF($B38="","",IF(COUNTIFS(nrES_PID,$B38,nrES_RetStat,"OVERDUE")&gt;0,1,0))</f>
        <v/>
      </c>
      <c r="M38" s="15">
        <f>IF($B38="","",IF(OR(PT!$K38="No",PT!$AB38="No"),1,0))</f>
        <v/>
      </c>
      <c r="N38" s="15">
        <f>IF($B38="","",IF(COUNTIFS(nrMD_PID,$B38,nrMD_Status,"RESTRICTION EXPIRED")&gt;0,1,0))</f>
        <v/>
      </c>
      <c r="O38" s="15">
        <f>IF($B38="","",SUM($E38:$N38))</f>
        <v/>
      </c>
      <c r="P38" s="15">
        <f>IF($B38="","",IF($O38=0,"",_xlfn.TEXTJOIN(";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f>
        <v/>
      </c>
    </row>
    <row r="39">
      <c r="B39" s="15">
        <f>IF(Cadets!$B39="","",Cadets!$B39)</f>
        <v/>
      </c>
      <c r="C39" s="15">
        <f>IF($B39="","",Cadets!$F39)</f>
        <v/>
      </c>
      <c r="D39" s="15">
        <f>IF($B39="","",Cadets!$I39)</f>
        <v/>
      </c>
      <c r="E39" s="15">
        <f>IF($B39="","",IF(N(sysGrades!$AC39)&gt;=cfgFlagConsecFails,1,0))</f>
        <v/>
      </c>
      <c r="F39" s="15">
        <f>IF($B39="","",IF(AND(sysGrades!$AB39&lt;&gt;"",sysGrades!$AB39&gt;=cfgFlagGradeDrop),1,0))</f>
        <v/>
      </c>
      <c r="G39" s="15">
        <f>IF($B39="","",IF(OR(AND(sysGrades!$I39&lt;&gt;"",sysGrades!$I39&lt;cfgThresholdScore+cfgFlagCategoryMargin),AND(sysGrades!$J39&lt;&gt;"",sysGrades!$J39&lt;cfgThresholdScore+cfgFlagCategoryMargin)),1,0))</f>
        <v/>
      </c>
      <c r="H39" s="15">
        <f>IF($B39="","",IF(Spelling!$R39="INTERVENTION",1,0))</f>
        <v/>
      </c>
      <c r="I39" s="15">
        <f>IF($B39="","",IF(OR(sysAttendance!$I39&gt;=cfgFlagAttendancePct,sysAttendance!$Q39&gt;=cfgFlagAttendancePct),1,0))</f>
        <v/>
      </c>
      <c r="J39" s="15">
        <f>IF($B39="","",IF(sysIncidents!$H39&gt;=cfgFlagOpenIncidents,1,0))</f>
        <v/>
      </c>
      <c r="K39" s="15">
        <f>IF($B39="","",IF(N(Writing!$AS39)&gt;=cfgFlagOverdueWriting,1,0))</f>
        <v/>
      </c>
      <c r="L39" s="15">
        <f>IF($B39="","",IF(COUNTIFS(nrES_PID,$B39,nrES_RetStat,"OVERDUE")&gt;0,1,0))</f>
        <v/>
      </c>
      <c r="M39" s="15">
        <f>IF($B39="","",IF(OR(PT!$K39="No",PT!$AB39="No"),1,0))</f>
        <v/>
      </c>
      <c r="N39" s="15">
        <f>IF($B39="","",IF(COUNTIFS(nrMD_PID,$B39,nrMD_Status,"RESTRICTION EXPIRED")&gt;0,1,0))</f>
        <v/>
      </c>
      <c r="O39" s="15">
        <f>IF($B39="","",SUM($E39:$N39))</f>
        <v/>
      </c>
      <c r="P39" s="15">
        <f>IF($B39="","",IF($O39=0,"",_xlfn.TEXTJOIN(";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f>
        <v/>
      </c>
    </row>
    <row r="40">
      <c r="B40" s="15">
        <f>IF(Cadets!$B40="","",Cadets!$B40)</f>
        <v/>
      </c>
      <c r="C40" s="15">
        <f>IF($B40="","",Cadets!$F40)</f>
        <v/>
      </c>
      <c r="D40" s="15">
        <f>IF($B40="","",Cadets!$I40)</f>
        <v/>
      </c>
      <c r="E40" s="15">
        <f>IF($B40="","",IF(N(sysGrades!$AC40)&gt;=cfgFlagConsecFails,1,0))</f>
        <v/>
      </c>
      <c r="F40" s="15">
        <f>IF($B40="","",IF(AND(sysGrades!$AB40&lt;&gt;"",sysGrades!$AB40&gt;=cfgFlagGradeDrop),1,0))</f>
        <v/>
      </c>
      <c r="G40" s="15">
        <f>IF($B40="","",IF(OR(AND(sysGrades!$I40&lt;&gt;"",sysGrades!$I40&lt;cfgThresholdScore+cfgFlagCategoryMargin),AND(sysGrades!$J40&lt;&gt;"",sysGrades!$J40&lt;cfgThresholdScore+cfgFlagCategoryMargin)),1,0))</f>
        <v/>
      </c>
      <c r="H40" s="15">
        <f>IF($B40="","",IF(Spelling!$R40="INTERVENTION",1,0))</f>
        <v/>
      </c>
      <c r="I40" s="15">
        <f>IF($B40="","",IF(OR(sysAttendance!$I40&gt;=cfgFlagAttendancePct,sysAttendance!$Q40&gt;=cfgFlagAttendancePct),1,0))</f>
        <v/>
      </c>
      <c r="J40" s="15">
        <f>IF($B40="","",IF(sysIncidents!$H40&gt;=cfgFlagOpenIncidents,1,0))</f>
        <v/>
      </c>
      <c r="K40" s="15">
        <f>IF($B40="","",IF(N(Writing!$AS40)&gt;=cfgFlagOverdueWriting,1,0))</f>
        <v/>
      </c>
      <c r="L40" s="15">
        <f>IF($B40="","",IF(COUNTIFS(nrES_PID,$B40,nrES_RetStat,"OVERDUE")&gt;0,1,0))</f>
        <v/>
      </c>
      <c r="M40" s="15">
        <f>IF($B40="","",IF(OR(PT!$K40="No",PT!$AB40="No"),1,0))</f>
        <v/>
      </c>
      <c r="N40" s="15">
        <f>IF($B40="","",IF(COUNTIFS(nrMD_PID,$B40,nrMD_Status,"RESTRICTION EXPIRED")&gt;0,1,0))</f>
        <v/>
      </c>
      <c r="O40" s="15">
        <f>IF($B40="","",SUM($E40:$N40))</f>
        <v/>
      </c>
      <c r="P40" s="15">
        <f>IF($B40="","",IF($O40=0,"",_xlfn.TEXTJOIN(";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f>
        <v/>
      </c>
    </row>
    <row r="41">
      <c r="B41" s="15">
        <f>IF(Cadets!$B41="","",Cadets!$B41)</f>
        <v/>
      </c>
      <c r="C41" s="15">
        <f>IF($B41="","",Cadets!$F41)</f>
        <v/>
      </c>
      <c r="D41" s="15">
        <f>IF($B41="","",Cadets!$I41)</f>
        <v/>
      </c>
      <c r="E41" s="15">
        <f>IF($B41="","",IF(N(sysGrades!$AC41)&gt;=cfgFlagConsecFails,1,0))</f>
        <v/>
      </c>
      <c r="F41" s="15">
        <f>IF($B41="","",IF(AND(sysGrades!$AB41&lt;&gt;"",sysGrades!$AB41&gt;=cfgFlagGradeDrop),1,0))</f>
        <v/>
      </c>
      <c r="G41" s="15">
        <f>IF($B41="","",IF(OR(AND(sysGrades!$I41&lt;&gt;"",sysGrades!$I41&lt;cfgThresholdScore+cfgFlagCategoryMargin),AND(sysGrades!$J41&lt;&gt;"",sysGrades!$J41&lt;cfgThresholdScore+cfgFlagCategoryMargin)),1,0))</f>
        <v/>
      </c>
      <c r="H41" s="15">
        <f>IF($B41="","",IF(Spelling!$R41="INTERVENTION",1,0))</f>
        <v/>
      </c>
      <c r="I41" s="15">
        <f>IF($B41="","",IF(OR(sysAttendance!$I41&gt;=cfgFlagAttendancePct,sysAttendance!$Q41&gt;=cfgFlagAttendancePct),1,0))</f>
        <v/>
      </c>
      <c r="J41" s="15">
        <f>IF($B41="","",IF(sysIncidents!$H41&gt;=cfgFlagOpenIncidents,1,0))</f>
        <v/>
      </c>
      <c r="K41" s="15">
        <f>IF($B41="","",IF(N(Writing!$AS41)&gt;=cfgFlagOverdueWriting,1,0))</f>
        <v/>
      </c>
      <c r="L41" s="15">
        <f>IF($B41="","",IF(COUNTIFS(nrES_PID,$B41,nrES_RetStat,"OVERDUE")&gt;0,1,0))</f>
        <v/>
      </c>
      <c r="M41" s="15">
        <f>IF($B41="","",IF(OR(PT!$K41="No",PT!$AB41="No"),1,0))</f>
        <v/>
      </c>
      <c r="N41" s="15">
        <f>IF($B41="","",IF(COUNTIFS(nrMD_PID,$B41,nrMD_Status,"RESTRICTION EXPIRED")&gt;0,1,0))</f>
        <v/>
      </c>
      <c r="O41" s="15">
        <f>IF($B41="","",SUM($E41:$N41))</f>
        <v/>
      </c>
      <c r="P41" s="15">
        <f>IF($B41="","",IF($O41=0,"",_xlfn.TEXTJOIN(";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f>
        <v/>
      </c>
    </row>
    <row r="42">
      <c r="B42" s="15">
        <f>IF(Cadets!$B42="","",Cadets!$B42)</f>
        <v/>
      </c>
      <c r="C42" s="15">
        <f>IF($B42="","",Cadets!$F42)</f>
        <v/>
      </c>
      <c r="D42" s="15">
        <f>IF($B42="","",Cadets!$I42)</f>
        <v/>
      </c>
      <c r="E42" s="15">
        <f>IF($B42="","",IF(N(sysGrades!$AC42)&gt;=cfgFlagConsecFails,1,0))</f>
        <v/>
      </c>
      <c r="F42" s="15">
        <f>IF($B42="","",IF(AND(sysGrades!$AB42&lt;&gt;"",sysGrades!$AB42&gt;=cfgFlagGradeDrop),1,0))</f>
        <v/>
      </c>
      <c r="G42" s="15">
        <f>IF($B42="","",IF(OR(AND(sysGrades!$I42&lt;&gt;"",sysGrades!$I42&lt;cfgThresholdScore+cfgFlagCategoryMargin),AND(sysGrades!$J42&lt;&gt;"",sysGrades!$J42&lt;cfgThresholdScore+cfgFlagCategoryMargin)),1,0))</f>
        <v/>
      </c>
      <c r="H42" s="15">
        <f>IF($B42="","",IF(Spelling!$R42="INTERVENTION",1,0))</f>
        <v/>
      </c>
      <c r="I42" s="15">
        <f>IF($B42="","",IF(OR(sysAttendance!$I42&gt;=cfgFlagAttendancePct,sysAttendance!$Q42&gt;=cfgFlagAttendancePct),1,0))</f>
        <v/>
      </c>
      <c r="J42" s="15">
        <f>IF($B42="","",IF(sysIncidents!$H42&gt;=cfgFlagOpenIncidents,1,0))</f>
        <v/>
      </c>
      <c r="K42" s="15">
        <f>IF($B42="","",IF(N(Writing!$AS42)&gt;=cfgFlagOverdueWriting,1,0))</f>
        <v/>
      </c>
      <c r="L42" s="15">
        <f>IF($B42="","",IF(COUNTIFS(nrES_PID,$B42,nrES_RetStat,"OVERDUE")&gt;0,1,0))</f>
        <v/>
      </c>
      <c r="M42" s="15">
        <f>IF($B42="","",IF(OR(PT!$K42="No",PT!$AB42="No"),1,0))</f>
        <v/>
      </c>
      <c r="N42" s="15">
        <f>IF($B42="","",IF(COUNTIFS(nrMD_PID,$B42,nrMD_Status,"RESTRICTION EXPIRED")&gt;0,1,0))</f>
        <v/>
      </c>
      <c r="O42" s="15">
        <f>IF($B42="","",SUM($E42:$N42))</f>
        <v/>
      </c>
      <c r="P42" s="15">
        <f>IF($B42="","",IF($O42=0,"",_xlfn.TEXTJOIN(";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f>
        <v/>
      </c>
    </row>
    <row r="43">
      <c r="B43" s="15">
        <f>IF(Cadets!$B43="","",Cadets!$B43)</f>
        <v/>
      </c>
      <c r="C43" s="15">
        <f>IF($B43="","",Cadets!$F43)</f>
        <v/>
      </c>
      <c r="D43" s="15">
        <f>IF($B43="","",Cadets!$I43)</f>
        <v/>
      </c>
      <c r="E43" s="15">
        <f>IF($B43="","",IF(N(sysGrades!$AC43)&gt;=cfgFlagConsecFails,1,0))</f>
        <v/>
      </c>
      <c r="F43" s="15">
        <f>IF($B43="","",IF(AND(sysGrades!$AB43&lt;&gt;"",sysGrades!$AB43&gt;=cfgFlagGradeDrop),1,0))</f>
        <v/>
      </c>
      <c r="G43" s="15">
        <f>IF($B43="","",IF(OR(AND(sysGrades!$I43&lt;&gt;"",sysGrades!$I43&lt;cfgThresholdScore+cfgFlagCategoryMargin),AND(sysGrades!$J43&lt;&gt;"",sysGrades!$J43&lt;cfgThresholdScore+cfgFlagCategoryMargin)),1,0))</f>
        <v/>
      </c>
      <c r="H43" s="15">
        <f>IF($B43="","",IF(Spelling!$R43="INTERVENTION",1,0))</f>
        <v/>
      </c>
      <c r="I43" s="15">
        <f>IF($B43="","",IF(OR(sysAttendance!$I43&gt;=cfgFlagAttendancePct,sysAttendance!$Q43&gt;=cfgFlagAttendancePct),1,0))</f>
        <v/>
      </c>
      <c r="J43" s="15">
        <f>IF($B43="","",IF(sysIncidents!$H43&gt;=cfgFlagOpenIncidents,1,0))</f>
        <v/>
      </c>
      <c r="K43" s="15">
        <f>IF($B43="","",IF(N(Writing!$AS43)&gt;=cfgFlagOverdueWriting,1,0))</f>
        <v/>
      </c>
      <c r="L43" s="15">
        <f>IF($B43="","",IF(COUNTIFS(nrES_PID,$B43,nrES_RetStat,"OVERDUE")&gt;0,1,0))</f>
        <v/>
      </c>
      <c r="M43" s="15">
        <f>IF($B43="","",IF(OR(PT!$K43="No",PT!$AB43="No"),1,0))</f>
        <v/>
      </c>
      <c r="N43" s="15">
        <f>IF($B43="","",IF(COUNTIFS(nrMD_PID,$B43,nrMD_Status,"RESTRICTION EXPIRED")&gt;0,1,0))</f>
        <v/>
      </c>
      <c r="O43" s="15">
        <f>IF($B43="","",SUM($E43:$N43))</f>
        <v/>
      </c>
      <c r="P43" s="15">
        <f>IF($B43="","",IF($O43=0,"",_xlfn.TEXTJOIN(";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f>
        <v/>
      </c>
    </row>
    <row r="44">
      <c r="B44" s="15">
        <f>IF(Cadets!$B44="","",Cadets!$B44)</f>
        <v/>
      </c>
      <c r="C44" s="15">
        <f>IF($B44="","",Cadets!$F44)</f>
        <v/>
      </c>
      <c r="D44" s="15">
        <f>IF($B44="","",Cadets!$I44)</f>
        <v/>
      </c>
      <c r="E44" s="15">
        <f>IF($B44="","",IF(N(sysGrades!$AC44)&gt;=cfgFlagConsecFails,1,0))</f>
        <v/>
      </c>
      <c r="F44" s="15">
        <f>IF($B44="","",IF(AND(sysGrades!$AB44&lt;&gt;"",sysGrades!$AB44&gt;=cfgFlagGradeDrop),1,0))</f>
        <v/>
      </c>
      <c r="G44" s="15">
        <f>IF($B44="","",IF(OR(AND(sysGrades!$I44&lt;&gt;"",sysGrades!$I44&lt;cfgThresholdScore+cfgFlagCategoryMargin),AND(sysGrades!$J44&lt;&gt;"",sysGrades!$J44&lt;cfgThresholdScore+cfgFlagCategoryMargin)),1,0))</f>
        <v/>
      </c>
      <c r="H44" s="15">
        <f>IF($B44="","",IF(Spelling!$R44="INTERVENTION",1,0))</f>
        <v/>
      </c>
      <c r="I44" s="15">
        <f>IF($B44="","",IF(OR(sysAttendance!$I44&gt;=cfgFlagAttendancePct,sysAttendance!$Q44&gt;=cfgFlagAttendancePct),1,0))</f>
        <v/>
      </c>
      <c r="J44" s="15">
        <f>IF($B44="","",IF(sysIncidents!$H44&gt;=cfgFlagOpenIncidents,1,0))</f>
        <v/>
      </c>
      <c r="K44" s="15">
        <f>IF($B44="","",IF(N(Writing!$AS44)&gt;=cfgFlagOverdueWriting,1,0))</f>
        <v/>
      </c>
      <c r="L44" s="15">
        <f>IF($B44="","",IF(COUNTIFS(nrES_PID,$B44,nrES_RetStat,"OVERDUE")&gt;0,1,0))</f>
        <v/>
      </c>
      <c r="M44" s="15">
        <f>IF($B44="","",IF(OR(PT!$K44="No",PT!$AB44="No"),1,0))</f>
        <v/>
      </c>
      <c r="N44" s="15">
        <f>IF($B44="","",IF(COUNTIFS(nrMD_PID,$B44,nrMD_Status,"RESTRICTION EXPIRED")&gt;0,1,0))</f>
        <v/>
      </c>
      <c r="O44" s="15">
        <f>IF($B44="","",SUM($E44:$N44))</f>
        <v/>
      </c>
      <c r="P44" s="15">
        <f>IF($B44="","",IF($O44=0,"",_xlfn.TEXTJOIN(";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f>
        <v/>
      </c>
    </row>
    <row r="45">
      <c r="B45" s="15">
        <f>IF(Cadets!$B45="","",Cadets!$B45)</f>
        <v/>
      </c>
      <c r="C45" s="15">
        <f>IF($B45="","",Cadets!$F45)</f>
        <v/>
      </c>
      <c r="D45" s="15">
        <f>IF($B45="","",Cadets!$I45)</f>
        <v/>
      </c>
      <c r="E45" s="15">
        <f>IF($B45="","",IF(N(sysGrades!$AC45)&gt;=cfgFlagConsecFails,1,0))</f>
        <v/>
      </c>
      <c r="F45" s="15">
        <f>IF($B45="","",IF(AND(sysGrades!$AB45&lt;&gt;"",sysGrades!$AB45&gt;=cfgFlagGradeDrop),1,0))</f>
        <v/>
      </c>
      <c r="G45" s="15">
        <f>IF($B45="","",IF(OR(AND(sysGrades!$I45&lt;&gt;"",sysGrades!$I45&lt;cfgThresholdScore+cfgFlagCategoryMargin),AND(sysGrades!$J45&lt;&gt;"",sysGrades!$J45&lt;cfgThresholdScore+cfgFlagCategoryMargin)),1,0))</f>
        <v/>
      </c>
      <c r="H45" s="15">
        <f>IF($B45="","",IF(Spelling!$R45="INTERVENTION",1,0))</f>
        <v/>
      </c>
      <c r="I45" s="15">
        <f>IF($B45="","",IF(OR(sysAttendance!$I45&gt;=cfgFlagAttendancePct,sysAttendance!$Q45&gt;=cfgFlagAttendancePct),1,0))</f>
        <v/>
      </c>
      <c r="J45" s="15">
        <f>IF($B45="","",IF(sysIncidents!$H45&gt;=cfgFlagOpenIncidents,1,0))</f>
        <v/>
      </c>
      <c r="K45" s="15">
        <f>IF($B45="","",IF(N(Writing!$AS45)&gt;=cfgFlagOverdueWriting,1,0))</f>
        <v/>
      </c>
      <c r="L45" s="15">
        <f>IF($B45="","",IF(COUNTIFS(nrES_PID,$B45,nrES_RetStat,"OVERDUE")&gt;0,1,0))</f>
        <v/>
      </c>
      <c r="M45" s="15">
        <f>IF($B45="","",IF(OR(PT!$K45="No",PT!$AB45="No"),1,0))</f>
        <v/>
      </c>
      <c r="N45" s="15">
        <f>IF($B45="","",IF(COUNTIFS(nrMD_PID,$B45,nrMD_Status,"RESTRICTION EXPIRED")&gt;0,1,0))</f>
        <v/>
      </c>
      <c r="O45" s="15">
        <f>IF($B45="","",SUM($E45:$N45))</f>
        <v/>
      </c>
      <c r="P45" s="15">
        <f>IF($B45="","",IF($O45=0,"",_xlfn.TEXTJOIN(";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f>
        <v/>
      </c>
    </row>
    <row r="46">
      <c r="B46" s="15">
        <f>IF(Cadets!$B46="","",Cadets!$B46)</f>
        <v/>
      </c>
      <c r="C46" s="15">
        <f>IF($B46="","",Cadets!$F46)</f>
        <v/>
      </c>
      <c r="D46" s="15">
        <f>IF($B46="","",Cadets!$I46)</f>
        <v/>
      </c>
      <c r="E46" s="15">
        <f>IF($B46="","",IF(N(sysGrades!$AC46)&gt;=cfgFlagConsecFails,1,0))</f>
        <v/>
      </c>
      <c r="F46" s="15">
        <f>IF($B46="","",IF(AND(sysGrades!$AB46&lt;&gt;"",sysGrades!$AB46&gt;=cfgFlagGradeDrop),1,0))</f>
        <v/>
      </c>
      <c r="G46" s="15">
        <f>IF($B46="","",IF(OR(AND(sysGrades!$I46&lt;&gt;"",sysGrades!$I46&lt;cfgThresholdScore+cfgFlagCategoryMargin),AND(sysGrades!$J46&lt;&gt;"",sysGrades!$J46&lt;cfgThresholdScore+cfgFlagCategoryMargin)),1,0))</f>
        <v/>
      </c>
      <c r="H46" s="15">
        <f>IF($B46="","",IF(Spelling!$R46="INTERVENTION",1,0))</f>
        <v/>
      </c>
      <c r="I46" s="15">
        <f>IF($B46="","",IF(OR(sysAttendance!$I46&gt;=cfgFlagAttendancePct,sysAttendance!$Q46&gt;=cfgFlagAttendancePct),1,0))</f>
        <v/>
      </c>
      <c r="J46" s="15">
        <f>IF($B46="","",IF(sysIncidents!$H46&gt;=cfgFlagOpenIncidents,1,0))</f>
        <v/>
      </c>
      <c r="K46" s="15">
        <f>IF($B46="","",IF(N(Writing!$AS46)&gt;=cfgFlagOverdueWriting,1,0))</f>
        <v/>
      </c>
      <c r="L46" s="15">
        <f>IF($B46="","",IF(COUNTIFS(nrES_PID,$B46,nrES_RetStat,"OVERDUE")&gt;0,1,0))</f>
        <v/>
      </c>
      <c r="M46" s="15">
        <f>IF($B46="","",IF(OR(PT!$K46="No",PT!$AB46="No"),1,0))</f>
        <v/>
      </c>
      <c r="N46" s="15">
        <f>IF($B46="","",IF(COUNTIFS(nrMD_PID,$B46,nrMD_Status,"RESTRICTION EXPIRED")&gt;0,1,0))</f>
        <v/>
      </c>
      <c r="O46" s="15">
        <f>IF($B46="","",SUM($E46:$N46))</f>
        <v/>
      </c>
      <c r="P46" s="15">
        <f>IF($B46="","",IF($O46=0,"",_xlfn.TEXTJOIN(";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f>
        <v/>
      </c>
    </row>
    <row r="47">
      <c r="B47" s="15">
        <f>IF(Cadets!$B47="","",Cadets!$B47)</f>
        <v/>
      </c>
      <c r="C47" s="15">
        <f>IF($B47="","",Cadets!$F47)</f>
        <v/>
      </c>
      <c r="D47" s="15">
        <f>IF($B47="","",Cadets!$I47)</f>
        <v/>
      </c>
      <c r="E47" s="15">
        <f>IF($B47="","",IF(N(sysGrades!$AC47)&gt;=cfgFlagConsecFails,1,0))</f>
        <v/>
      </c>
      <c r="F47" s="15">
        <f>IF($B47="","",IF(AND(sysGrades!$AB47&lt;&gt;"",sysGrades!$AB47&gt;=cfgFlagGradeDrop),1,0))</f>
        <v/>
      </c>
      <c r="G47" s="15">
        <f>IF($B47="","",IF(OR(AND(sysGrades!$I47&lt;&gt;"",sysGrades!$I47&lt;cfgThresholdScore+cfgFlagCategoryMargin),AND(sysGrades!$J47&lt;&gt;"",sysGrades!$J47&lt;cfgThresholdScore+cfgFlagCategoryMargin)),1,0))</f>
        <v/>
      </c>
      <c r="H47" s="15">
        <f>IF($B47="","",IF(Spelling!$R47="INTERVENTION",1,0))</f>
        <v/>
      </c>
      <c r="I47" s="15">
        <f>IF($B47="","",IF(OR(sysAttendance!$I47&gt;=cfgFlagAttendancePct,sysAttendance!$Q47&gt;=cfgFlagAttendancePct),1,0))</f>
        <v/>
      </c>
      <c r="J47" s="15">
        <f>IF($B47="","",IF(sysIncidents!$H47&gt;=cfgFlagOpenIncidents,1,0))</f>
        <v/>
      </c>
      <c r="K47" s="15">
        <f>IF($B47="","",IF(N(Writing!$AS47)&gt;=cfgFlagOverdueWriting,1,0))</f>
        <v/>
      </c>
      <c r="L47" s="15">
        <f>IF($B47="","",IF(COUNTIFS(nrES_PID,$B47,nrES_RetStat,"OVERDUE")&gt;0,1,0))</f>
        <v/>
      </c>
      <c r="M47" s="15">
        <f>IF($B47="","",IF(OR(PT!$K47="No",PT!$AB47="No"),1,0))</f>
        <v/>
      </c>
      <c r="N47" s="15">
        <f>IF($B47="","",IF(COUNTIFS(nrMD_PID,$B47,nrMD_Status,"RESTRICTION EXPIRED")&gt;0,1,0))</f>
        <v/>
      </c>
      <c r="O47" s="15">
        <f>IF($B47="","",SUM($E47:$N47))</f>
        <v/>
      </c>
      <c r="P47" s="15">
        <f>IF($B47="","",IF($O47=0,"",_xlfn.TEXTJOIN(";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f>
        <v/>
      </c>
    </row>
    <row r="48">
      <c r="B48" s="15">
        <f>IF(Cadets!$B48="","",Cadets!$B48)</f>
        <v/>
      </c>
      <c r="C48" s="15">
        <f>IF($B48="","",Cadets!$F48)</f>
        <v/>
      </c>
      <c r="D48" s="15">
        <f>IF($B48="","",Cadets!$I48)</f>
        <v/>
      </c>
      <c r="E48" s="15">
        <f>IF($B48="","",IF(N(sysGrades!$AC48)&gt;=cfgFlagConsecFails,1,0))</f>
        <v/>
      </c>
      <c r="F48" s="15">
        <f>IF($B48="","",IF(AND(sysGrades!$AB48&lt;&gt;"",sysGrades!$AB48&gt;=cfgFlagGradeDrop),1,0))</f>
        <v/>
      </c>
      <c r="G48" s="15">
        <f>IF($B48="","",IF(OR(AND(sysGrades!$I48&lt;&gt;"",sysGrades!$I48&lt;cfgThresholdScore+cfgFlagCategoryMargin),AND(sysGrades!$J48&lt;&gt;"",sysGrades!$J48&lt;cfgThresholdScore+cfgFlagCategoryMargin)),1,0))</f>
        <v/>
      </c>
      <c r="H48" s="15">
        <f>IF($B48="","",IF(Spelling!$R48="INTERVENTION",1,0))</f>
        <v/>
      </c>
      <c r="I48" s="15">
        <f>IF($B48="","",IF(OR(sysAttendance!$I48&gt;=cfgFlagAttendancePct,sysAttendance!$Q48&gt;=cfgFlagAttendancePct),1,0))</f>
        <v/>
      </c>
      <c r="J48" s="15">
        <f>IF($B48="","",IF(sysIncidents!$H48&gt;=cfgFlagOpenIncidents,1,0))</f>
        <v/>
      </c>
      <c r="K48" s="15">
        <f>IF($B48="","",IF(N(Writing!$AS48)&gt;=cfgFlagOverdueWriting,1,0))</f>
        <v/>
      </c>
      <c r="L48" s="15">
        <f>IF($B48="","",IF(COUNTIFS(nrES_PID,$B48,nrES_RetStat,"OVERDUE")&gt;0,1,0))</f>
        <v/>
      </c>
      <c r="M48" s="15">
        <f>IF($B48="","",IF(OR(PT!$K48="No",PT!$AB48="No"),1,0))</f>
        <v/>
      </c>
      <c r="N48" s="15">
        <f>IF($B48="","",IF(COUNTIFS(nrMD_PID,$B48,nrMD_Status,"RESTRICTION EXPIRED")&gt;0,1,0))</f>
        <v/>
      </c>
      <c r="O48" s="15">
        <f>IF($B48="","",SUM($E48:$N48))</f>
        <v/>
      </c>
      <c r="P48" s="15">
        <f>IF($B48="","",IF($O48=0,"",_xlfn.TEXTJOIN(";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f>
        <v/>
      </c>
    </row>
    <row r="49">
      <c r="B49" s="15">
        <f>IF(Cadets!$B49="","",Cadets!$B49)</f>
        <v/>
      </c>
      <c r="C49" s="15">
        <f>IF($B49="","",Cadets!$F49)</f>
        <v/>
      </c>
      <c r="D49" s="15">
        <f>IF($B49="","",Cadets!$I49)</f>
        <v/>
      </c>
      <c r="E49" s="15">
        <f>IF($B49="","",IF(N(sysGrades!$AC49)&gt;=cfgFlagConsecFails,1,0))</f>
        <v/>
      </c>
      <c r="F49" s="15">
        <f>IF($B49="","",IF(AND(sysGrades!$AB49&lt;&gt;"",sysGrades!$AB49&gt;=cfgFlagGradeDrop),1,0))</f>
        <v/>
      </c>
      <c r="G49" s="15">
        <f>IF($B49="","",IF(OR(AND(sysGrades!$I49&lt;&gt;"",sysGrades!$I49&lt;cfgThresholdScore+cfgFlagCategoryMargin),AND(sysGrades!$J49&lt;&gt;"",sysGrades!$J49&lt;cfgThresholdScore+cfgFlagCategoryMargin)),1,0))</f>
        <v/>
      </c>
      <c r="H49" s="15">
        <f>IF($B49="","",IF(Spelling!$R49="INTERVENTION",1,0))</f>
        <v/>
      </c>
      <c r="I49" s="15">
        <f>IF($B49="","",IF(OR(sysAttendance!$I49&gt;=cfgFlagAttendancePct,sysAttendance!$Q49&gt;=cfgFlagAttendancePct),1,0))</f>
        <v/>
      </c>
      <c r="J49" s="15">
        <f>IF($B49="","",IF(sysIncidents!$H49&gt;=cfgFlagOpenIncidents,1,0))</f>
        <v/>
      </c>
      <c r="K49" s="15">
        <f>IF($B49="","",IF(N(Writing!$AS49)&gt;=cfgFlagOverdueWriting,1,0))</f>
        <v/>
      </c>
      <c r="L49" s="15">
        <f>IF($B49="","",IF(COUNTIFS(nrES_PID,$B49,nrES_RetStat,"OVERDUE")&gt;0,1,0))</f>
        <v/>
      </c>
      <c r="M49" s="15">
        <f>IF($B49="","",IF(OR(PT!$K49="No",PT!$AB49="No"),1,0))</f>
        <v/>
      </c>
      <c r="N49" s="15">
        <f>IF($B49="","",IF(COUNTIFS(nrMD_PID,$B49,nrMD_Status,"RESTRICTION EXPIRED")&gt;0,1,0))</f>
        <v/>
      </c>
      <c r="O49" s="15">
        <f>IF($B49="","",SUM($E49:$N49))</f>
        <v/>
      </c>
      <c r="P49" s="15">
        <f>IF($B49="","",IF($O49=0,"",_xlfn.TEXTJOIN(";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f>
        <v/>
      </c>
    </row>
    <row r="50">
      <c r="B50" s="15">
        <f>IF(Cadets!$B50="","",Cadets!$B50)</f>
        <v/>
      </c>
      <c r="C50" s="15">
        <f>IF($B50="","",Cadets!$F50)</f>
        <v/>
      </c>
      <c r="D50" s="15">
        <f>IF($B50="","",Cadets!$I50)</f>
        <v/>
      </c>
      <c r="E50" s="15">
        <f>IF($B50="","",IF(N(sysGrades!$AC50)&gt;=cfgFlagConsecFails,1,0))</f>
        <v/>
      </c>
      <c r="F50" s="15">
        <f>IF($B50="","",IF(AND(sysGrades!$AB50&lt;&gt;"",sysGrades!$AB50&gt;=cfgFlagGradeDrop),1,0))</f>
        <v/>
      </c>
      <c r="G50" s="15">
        <f>IF($B50="","",IF(OR(AND(sysGrades!$I50&lt;&gt;"",sysGrades!$I50&lt;cfgThresholdScore+cfgFlagCategoryMargin),AND(sysGrades!$J50&lt;&gt;"",sysGrades!$J50&lt;cfgThresholdScore+cfgFlagCategoryMargin)),1,0))</f>
        <v/>
      </c>
      <c r="H50" s="15">
        <f>IF($B50="","",IF(Spelling!$R50="INTERVENTION",1,0))</f>
        <v/>
      </c>
      <c r="I50" s="15">
        <f>IF($B50="","",IF(OR(sysAttendance!$I50&gt;=cfgFlagAttendancePct,sysAttendance!$Q50&gt;=cfgFlagAttendancePct),1,0))</f>
        <v/>
      </c>
      <c r="J50" s="15">
        <f>IF($B50="","",IF(sysIncidents!$H50&gt;=cfgFlagOpenIncidents,1,0))</f>
        <v/>
      </c>
      <c r="K50" s="15">
        <f>IF($B50="","",IF(N(Writing!$AS50)&gt;=cfgFlagOverdueWriting,1,0))</f>
        <v/>
      </c>
      <c r="L50" s="15">
        <f>IF($B50="","",IF(COUNTIFS(nrES_PID,$B50,nrES_RetStat,"OVERDUE")&gt;0,1,0))</f>
        <v/>
      </c>
      <c r="M50" s="15">
        <f>IF($B50="","",IF(OR(PT!$K50="No",PT!$AB50="No"),1,0))</f>
        <v/>
      </c>
      <c r="N50" s="15">
        <f>IF($B50="","",IF(COUNTIFS(nrMD_PID,$B50,nrMD_Status,"RESTRICTION EXPIRED")&gt;0,1,0))</f>
        <v/>
      </c>
      <c r="O50" s="15">
        <f>IF($B50="","",SUM($E50:$N50))</f>
        <v/>
      </c>
      <c r="P50" s="15">
        <f>IF($B50="","",IF($O50=0,"",_xlfn.TEXTJOIN(";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f>
        <v/>
      </c>
    </row>
    <row r="51">
      <c r="B51" s="15">
        <f>IF(Cadets!$B51="","",Cadets!$B51)</f>
        <v/>
      </c>
      <c r="C51" s="15">
        <f>IF($B51="","",Cadets!$F51)</f>
        <v/>
      </c>
      <c r="D51" s="15">
        <f>IF($B51="","",Cadets!$I51)</f>
        <v/>
      </c>
      <c r="E51" s="15">
        <f>IF($B51="","",IF(N(sysGrades!$AC51)&gt;=cfgFlagConsecFails,1,0))</f>
        <v/>
      </c>
      <c r="F51" s="15">
        <f>IF($B51="","",IF(AND(sysGrades!$AB51&lt;&gt;"",sysGrades!$AB51&gt;=cfgFlagGradeDrop),1,0))</f>
        <v/>
      </c>
      <c r="G51" s="15">
        <f>IF($B51="","",IF(OR(AND(sysGrades!$I51&lt;&gt;"",sysGrades!$I51&lt;cfgThresholdScore+cfgFlagCategoryMargin),AND(sysGrades!$J51&lt;&gt;"",sysGrades!$J51&lt;cfgThresholdScore+cfgFlagCategoryMargin)),1,0))</f>
        <v/>
      </c>
      <c r="H51" s="15">
        <f>IF($B51="","",IF(Spelling!$R51="INTERVENTION",1,0))</f>
        <v/>
      </c>
      <c r="I51" s="15">
        <f>IF($B51="","",IF(OR(sysAttendance!$I51&gt;=cfgFlagAttendancePct,sysAttendance!$Q51&gt;=cfgFlagAttendancePct),1,0))</f>
        <v/>
      </c>
      <c r="J51" s="15">
        <f>IF($B51="","",IF(sysIncidents!$H51&gt;=cfgFlagOpenIncidents,1,0))</f>
        <v/>
      </c>
      <c r="K51" s="15">
        <f>IF($B51="","",IF(N(Writing!$AS51)&gt;=cfgFlagOverdueWriting,1,0))</f>
        <v/>
      </c>
      <c r="L51" s="15">
        <f>IF($B51="","",IF(COUNTIFS(nrES_PID,$B51,nrES_RetStat,"OVERDUE")&gt;0,1,0))</f>
        <v/>
      </c>
      <c r="M51" s="15">
        <f>IF($B51="","",IF(OR(PT!$K51="No",PT!$AB51="No"),1,0))</f>
        <v/>
      </c>
      <c r="N51" s="15">
        <f>IF($B51="","",IF(COUNTIFS(nrMD_PID,$B51,nrMD_Status,"RESTRICTION EXPIRED")&gt;0,1,0))</f>
        <v/>
      </c>
      <c r="O51" s="15">
        <f>IF($B51="","",SUM($E51:$N51))</f>
        <v/>
      </c>
      <c r="P51" s="15">
        <f>IF($B51="","",IF($O51=0,"",_xlfn.TEXTJOIN(";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f>
        <v/>
      </c>
    </row>
    <row r="52">
      <c r="B52" s="15">
        <f>IF(Cadets!$B52="","",Cadets!$B52)</f>
        <v/>
      </c>
      <c r="C52" s="15">
        <f>IF($B52="","",Cadets!$F52)</f>
        <v/>
      </c>
      <c r="D52" s="15">
        <f>IF($B52="","",Cadets!$I52)</f>
        <v/>
      </c>
      <c r="E52" s="15">
        <f>IF($B52="","",IF(N(sysGrades!$AC52)&gt;=cfgFlagConsecFails,1,0))</f>
        <v/>
      </c>
      <c r="F52" s="15">
        <f>IF($B52="","",IF(AND(sysGrades!$AB52&lt;&gt;"",sysGrades!$AB52&gt;=cfgFlagGradeDrop),1,0))</f>
        <v/>
      </c>
      <c r="G52" s="15">
        <f>IF($B52="","",IF(OR(AND(sysGrades!$I52&lt;&gt;"",sysGrades!$I52&lt;cfgThresholdScore+cfgFlagCategoryMargin),AND(sysGrades!$J52&lt;&gt;"",sysGrades!$J52&lt;cfgThresholdScore+cfgFlagCategoryMargin)),1,0))</f>
        <v/>
      </c>
      <c r="H52" s="15">
        <f>IF($B52="","",IF(Spelling!$R52="INTERVENTION",1,0))</f>
        <v/>
      </c>
      <c r="I52" s="15">
        <f>IF($B52="","",IF(OR(sysAttendance!$I52&gt;=cfgFlagAttendancePct,sysAttendance!$Q52&gt;=cfgFlagAttendancePct),1,0))</f>
        <v/>
      </c>
      <c r="J52" s="15">
        <f>IF($B52="","",IF(sysIncidents!$H52&gt;=cfgFlagOpenIncidents,1,0))</f>
        <v/>
      </c>
      <c r="K52" s="15">
        <f>IF($B52="","",IF(N(Writing!$AS52)&gt;=cfgFlagOverdueWriting,1,0))</f>
        <v/>
      </c>
      <c r="L52" s="15">
        <f>IF($B52="","",IF(COUNTIFS(nrES_PID,$B52,nrES_RetStat,"OVERDUE")&gt;0,1,0))</f>
        <v/>
      </c>
      <c r="M52" s="15">
        <f>IF($B52="","",IF(OR(PT!$K52="No",PT!$AB52="No"),1,0))</f>
        <v/>
      </c>
      <c r="N52" s="15">
        <f>IF($B52="","",IF(COUNTIFS(nrMD_PID,$B52,nrMD_Status,"RESTRICTION EXPIRED")&gt;0,1,0))</f>
        <v/>
      </c>
      <c r="O52" s="15">
        <f>IF($B52="","",SUM($E52:$N52))</f>
        <v/>
      </c>
      <c r="P52" s="15">
        <f>IF($B52="","",IF($O52=0,"",_xlfn.TEXTJOIN(";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f>
        <v/>
      </c>
    </row>
    <row r="53">
      <c r="B53" s="15">
        <f>IF(Cadets!$B53="","",Cadets!$B53)</f>
        <v/>
      </c>
      <c r="C53" s="15">
        <f>IF($B53="","",Cadets!$F53)</f>
        <v/>
      </c>
      <c r="D53" s="15">
        <f>IF($B53="","",Cadets!$I53)</f>
        <v/>
      </c>
      <c r="E53" s="15">
        <f>IF($B53="","",IF(N(sysGrades!$AC53)&gt;=cfgFlagConsecFails,1,0))</f>
        <v/>
      </c>
      <c r="F53" s="15">
        <f>IF($B53="","",IF(AND(sysGrades!$AB53&lt;&gt;"",sysGrades!$AB53&gt;=cfgFlagGradeDrop),1,0))</f>
        <v/>
      </c>
      <c r="G53" s="15">
        <f>IF($B53="","",IF(OR(AND(sysGrades!$I53&lt;&gt;"",sysGrades!$I53&lt;cfgThresholdScore+cfgFlagCategoryMargin),AND(sysGrades!$J53&lt;&gt;"",sysGrades!$J53&lt;cfgThresholdScore+cfgFlagCategoryMargin)),1,0))</f>
        <v/>
      </c>
      <c r="H53" s="15">
        <f>IF($B53="","",IF(Spelling!$R53="INTERVENTION",1,0))</f>
        <v/>
      </c>
      <c r="I53" s="15">
        <f>IF($B53="","",IF(OR(sysAttendance!$I53&gt;=cfgFlagAttendancePct,sysAttendance!$Q53&gt;=cfgFlagAttendancePct),1,0))</f>
        <v/>
      </c>
      <c r="J53" s="15">
        <f>IF($B53="","",IF(sysIncidents!$H53&gt;=cfgFlagOpenIncidents,1,0))</f>
        <v/>
      </c>
      <c r="K53" s="15">
        <f>IF($B53="","",IF(N(Writing!$AS53)&gt;=cfgFlagOverdueWriting,1,0))</f>
        <v/>
      </c>
      <c r="L53" s="15">
        <f>IF($B53="","",IF(COUNTIFS(nrES_PID,$B53,nrES_RetStat,"OVERDUE")&gt;0,1,0))</f>
        <v/>
      </c>
      <c r="M53" s="15">
        <f>IF($B53="","",IF(OR(PT!$K53="No",PT!$AB53="No"),1,0))</f>
        <v/>
      </c>
      <c r="N53" s="15">
        <f>IF($B53="","",IF(COUNTIFS(nrMD_PID,$B53,nrMD_Status,"RESTRICTION EXPIRED")&gt;0,1,0))</f>
        <v/>
      </c>
      <c r="O53" s="15">
        <f>IF($B53="","",SUM($E53:$N53))</f>
        <v/>
      </c>
      <c r="P53" s="15">
        <f>IF($B53="","",IF($O53=0,"",_xlfn.TEXTJOIN(";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f>
        <v/>
      </c>
    </row>
    <row r="54">
      <c r="B54" s="15">
        <f>IF(Cadets!$B54="","",Cadets!$B54)</f>
        <v/>
      </c>
      <c r="C54" s="15">
        <f>IF($B54="","",Cadets!$F54)</f>
        <v/>
      </c>
      <c r="D54" s="15">
        <f>IF($B54="","",Cadets!$I54)</f>
        <v/>
      </c>
      <c r="E54" s="15">
        <f>IF($B54="","",IF(N(sysGrades!$AC54)&gt;=cfgFlagConsecFails,1,0))</f>
        <v/>
      </c>
      <c r="F54" s="15">
        <f>IF($B54="","",IF(AND(sysGrades!$AB54&lt;&gt;"",sysGrades!$AB54&gt;=cfgFlagGradeDrop),1,0))</f>
        <v/>
      </c>
      <c r="G54" s="15">
        <f>IF($B54="","",IF(OR(AND(sysGrades!$I54&lt;&gt;"",sysGrades!$I54&lt;cfgThresholdScore+cfgFlagCategoryMargin),AND(sysGrades!$J54&lt;&gt;"",sysGrades!$J54&lt;cfgThresholdScore+cfgFlagCategoryMargin)),1,0))</f>
        <v/>
      </c>
      <c r="H54" s="15">
        <f>IF($B54="","",IF(Spelling!$R54="INTERVENTION",1,0))</f>
        <v/>
      </c>
      <c r="I54" s="15">
        <f>IF($B54="","",IF(OR(sysAttendance!$I54&gt;=cfgFlagAttendancePct,sysAttendance!$Q54&gt;=cfgFlagAttendancePct),1,0))</f>
        <v/>
      </c>
      <c r="J54" s="15">
        <f>IF($B54="","",IF(sysIncidents!$H54&gt;=cfgFlagOpenIncidents,1,0))</f>
        <v/>
      </c>
      <c r="K54" s="15">
        <f>IF($B54="","",IF(N(Writing!$AS54)&gt;=cfgFlagOverdueWriting,1,0))</f>
        <v/>
      </c>
      <c r="L54" s="15">
        <f>IF($B54="","",IF(COUNTIFS(nrES_PID,$B54,nrES_RetStat,"OVERDUE")&gt;0,1,0))</f>
        <v/>
      </c>
      <c r="M54" s="15">
        <f>IF($B54="","",IF(OR(PT!$K54="No",PT!$AB54="No"),1,0))</f>
        <v/>
      </c>
      <c r="N54" s="15">
        <f>IF($B54="","",IF(COUNTIFS(nrMD_PID,$B54,nrMD_Status,"RESTRICTION EXPIRED")&gt;0,1,0))</f>
        <v/>
      </c>
      <c r="O54" s="15">
        <f>IF($B54="","",SUM($E54:$N54))</f>
        <v/>
      </c>
      <c r="P54" s="15">
        <f>IF($B54="","",IF($O54=0,"",_xlfn.TEXTJOIN(";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f>
        <v/>
      </c>
    </row>
    <row r="55">
      <c r="B55" s="15">
        <f>IF(Cadets!$B55="","",Cadets!$B55)</f>
        <v/>
      </c>
      <c r="C55" s="15">
        <f>IF($B55="","",Cadets!$F55)</f>
        <v/>
      </c>
      <c r="D55" s="15">
        <f>IF($B55="","",Cadets!$I55)</f>
        <v/>
      </c>
      <c r="E55" s="15">
        <f>IF($B55="","",IF(N(sysGrades!$AC55)&gt;=cfgFlagConsecFails,1,0))</f>
        <v/>
      </c>
      <c r="F55" s="15">
        <f>IF($B55="","",IF(AND(sysGrades!$AB55&lt;&gt;"",sysGrades!$AB55&gt;=cfgFlagGradeDrop),1,0))</f>
        <v/>
      </c>
      <c r="G55" s="15">
        <f>IF($B55="","",IF(OR(AND(sysGrades!$I55&lt;&gt;"",sysGrades!$I55&lt;cfgThresholdScore+cfgFlagCategoryMargin),AND(sysGrades!$J55&lt;&gt;"",sysGrades!$J55&lt;cfgThresholdScore+cfgFlagCategoryMargin)),1,0))</f>
        <v/>
      </c>
      <c r="H55" s="15">
        <f>IF($B55="","",IF(Spelling!$R55="INTERVENTION",1,0))</f>
        <v/>
      </c>
      <c r="I55" s="15">
        <f>IF($B55="","",IF(OR(sysAttendance!$I55&gt;=cfgFlagAttendancePct,sysAttendance!$Q55&gt;=cfgFlagAttendancePct),1,0))</f>
        <v/>
      </c>
      <c r="J55" s="15">
        <f>IF($B55="","",IF(sysIncidents!$H55&gt;=cfgFlagOpenIncidents,1,0))</f>
        <v/>
      </c>
      <c r="K55" s="15">
        <f>IF($B55="","",IF(N(Writing!$AS55)&gt;=cfgFlagOverdueWriting,1,0))</f>
        <v/>
      </c>
      <c r="L55" s="15">
        <f>IF($B55="","",IF(COUNTIFS(nrES_PID,$B55,nrES_RetStat,"OVERDUE")&gt;0,1,0))</f>
        <v/>
      </c>
      <c r="M55" s="15">
        <f>IF($B55="","",IF(OR(PT!$K55="No",PT!$AB55="No"),1,0))</f>
        <v/>
      </c>
      <c r="N55" s="15">
        <f>IF($B55="","",IF(COUNTIFS(nrMD_PID,$B55,nrMD_Status,"RESTRICTION EXPIRED")&gt;0,1,0))</f>
        <v/>
      </c>
      <c r="O55" s="15">
        <f>IF($B55="","",SUM($E55:$N55))</f>
        <v/>
      </c>
      <c r="P55" s="15">
        <f>IF($B55="","",IF($O55=0,"",_xlfn.TEXTJOIN(";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row r="2"/>
    <row r="3"/>
    <row r="4">
      <c r="B4" s="8" t="inlineStr">
        <is>
          <t>Graduation gate per policy: 70 in each category, under attendance caps, makeup complete, skills qualified, writing current, final PT passed, no open dismissal review. 'Final Exam Elig' enforces 500.1.H. Locked.</t>
        </is>
      </c>
    </row>
    <row r="5" ht="26" customHeight="1">
      <c r="B5" s="9" t="inlineStr">
        <is>
          <t>PID</t>
        </is>
      </c>
      <c r="C5" s="9" t="inlineStr">
        <is>
          <t>Cadet Name</t>
        </is>
      </c>
      <c r="D5" s="9" t="inlineStr">
        <is>
          <t>Status</t>
        </is>
      </c>
      <c r="E5" s="9" t="inlineStr">
        <is>
          <t>Academic</t>
        </is>
      </c>
      <c r="F5" s="9" t="inlineStr">
        <is>
          <t>Classroom</t>
        </is>
      </c>
      <c r="G5" s="9" t="inlineStr">
        <is>
          <t>PT Sessions</t>
        </is>
      </c>
      <c r="H5" s="9" t="inlineStr">
        <is>
          <t>Skills</t>
        </is>
      </c>
      <c r="I5" s="9" t="inlineStr">
        <is>
          <t>Incidents</t>
        </is>
      </c>
      <c r="J5" s="9" t="inlineStr">
        <is>
          <t>Writing</t>
        </is>
      </c>
      <c r="K5" s="9" t="inlineStr">
        <is>
          <t>Makeup Complete</t>
        </is>
      </c>
      <c r="L5" s="9" t="inlineStr">
        <is>
          <t>Final PT Pass</t>
        </is>
      </c>
      <c r="M5" s="9" t="inlineStr">
        <is>
          <t>DismissReview</t>
        </is>
      </c>
      <c r="N5" s="9" t="inlineStr">
        <is>
          <t>GraduationElig</t>
        </is>
      </c>
      <c r="O5" s="9" t="inlineStr">
        <is>
          <t>Blocking Issues</t>
        </is>
      </c>
      <c r="P5" s="9" t="inlineStr">
        <is>
          <t>Final Exam Elig</t>
        </is>
      </c>
    </row>
    <row r="6">
      <c r="B6" s="15">
        <f>IF(Cadets!$B6="","",Cadets!$B6)</f>
        <v/>
      </c>
      <c r="C6" s="15">
        <f>IF($B6="","",Cadets!$F6)</f>
        <v/>
      </c>
      <c r="D6" s="15">
        <f>IF($B6="","",Cadets!$I6)</f>
        <v/>
      </c>
      <c r="E6" s="15">
        <f>IF($B6="","",sysGrades!$V6)</f>
        <v/>
      </c>
      <c r="F6" s="15">
        <f>IF($B6="","",sysAttendance!$K6)</f>
        <v/>
      </c>
      <c r="G6" s="15">
        <f>IF($B6="","",sysAttendance!$S6)</f>
        <v/>
      </c>
      <c r="H6" s="15">
        <f>IF($B6="","",sysSkills!$K6)</f>
        <v/>
      </c>
      <c r="I6" s="15">
        <f>IF($B6="","",sysIncidents!$K6)</f>
        <v/>
      </c>
      <c r="J6" s="15">
        <f>IF($B6="","",IF(Writing!$AT6="Yes","Yes","No"))</f>
        <v/>
      </c>
      <c r="K6" s="15">
        <f>IF($B6="","",sysAttendance!$T6)</f>
        <v/>
      </c>
      <c r="L6" s="15">
        <f>IF($B6="","",IF(PT!$AB6="No","No","Yes"))</f>
        <v/>
      </c>
      <c r="M6" s="15">
        <f>IF($B6="","",IF(OR(sysGrades!$P6&gt;0,sysSkills!$J6="Yes",sysIncidents!$J6&gt;0),"Yes","No"))</f>
        <v/>
      </c>
      <c r="N6" s="15">
        <f>IF($B6="","",IF(AND($E6="Yes",$F6="Yes",$G6="Yes",$H6="Yes",$I6="Yes",$J6="Yes",$K6="Yes",$L6="Yes",$M6="No"),"Yes","No"))</f>
        <v/>
      </c>
      <c r="O6" s="15">
        <f>IF($B6="","",IF($N6="Yes","Eligible",TRIM(IF($E6&lt;&gt;"Yes","Academic; ","")&amp;IF($F6&lt;&gt;"Yes","Classroom; ","")&amp;IF($G6&lt;&gt;"Yes","PT sessions; ","")&amp;IF($H6&lt;&gt;"Yes","Skills; ","")&amp;IF($I6&lt;&gt;"Yes","Incidents; ","")&amp;IF($J6&lt;&gt;"Yes","Writing; ","")&amp;IF($K6&lt;&gt;"Yes","Makeup owed; ","")&amp;IF($L6&lt;&gt;"Yes","Final PT; ","")&amp;IF($M6="Yes","Dismissal review; ",""))))</f>
        <v/>
      </c>
      <c r="P6" s="15">
        <f>IF($B6="","",IF(PT!$AB6="No","No","Yes"))</f>
        <v/>
      </c>
    </row>
    <row r="7">
      <c r="B7" s="15">
        <f>IF(Cadets!$B7="","",Cadets!$B7)</f>
        <v/>
      </c>
      <c r="C7" s="15">
        <f>IF($B7="","",Cadets!$F7)</f>
        <v/>
      </c>
      <c r="D7" s="15">
        <f>IF($B7="","",Cadets!$I7)</f>
        <v/>
      </c>
      <c r="E7" s="15">
        <f>IF($B7="","",sysGrades!$V7)</f>
        <v/>
      </c>
      <c r="F7" s="15">
        <f>IF($B7="","",sysAttendance!$K7)</f>
        <v/>
      </c>
      <c r="G7" s="15">
        <f>IF($B7="","",sysAttendance!$S7)</f>
        <v/>
      </c>
      <c r="H7" s="15">
        <f>IF($B7="","",sysSkills!$K7)</f>
        <v/>
      </c>
      <c r="I7" s="15">
        <f>IF($B7="","",sysIncidents!$K7)</f>
        <v/>
      </c>
      <c r="J7" s="15">
        <f>IF($B7="","",IF(Writing!$AT7="Yes","Yes","No"))</f>
        <v/>
      </c>
      <c r="K7" s="15">
        <f>IF($B7="","",sysAttendance!$T7)</f>
        <v/>
      </c>
      <c r="L7" s="15">
        <f>IF($B7="","",IF(PT!$AB7="No","No","Yes"))</f>
        <v/>
      </c>
      <c r="M7" s="15">
        <f>IF($B7="","",IF(OR(sysGrades!$P7&gt;0,sysSkills!$J7="Yes",sysIncidents!$J7&gt;0),"Yes","No"))</f>
        <v/>
      </c>
      <c r="N7" s="15">
        <f>IF($B7="","",IF(AND($E7="Yes",$F7="Yes",$G7="Yes",$H7="Yes",$I7="Yes",$J7="Yes",$K7="Yes",$L7="Yes",$M7="No"),"Yes","No"))</f>
        <v/>
      </c>
      <c r="O7" s="15">
        <f>IF($B7="","",IF($N7="Yes","Eligible",TRIM(IF($E7&lt;&gt;"Yes","Academic; ","")&amp;IF($F7&lt;&gt;"Yes","Classroom; ","")&amp;IF($G7&lt;&gt;"Yes","PT sessions; ","")&amp;IF($H7&lt;&gt;"Yes","Skills; ","")&amp;IF($I7&lt;&gt;"Yes","Incidents; ","")&amp;IF($J7&lt;&gt;"Yes","Writing; ","")&amp;IF($K7&lt;&gt;"Yes","Makeup owed; ","")&amp;IF($L7&lt;&gt;"Yes","Final PT; ","")&amp;IF($M7="Yes","Dismissal review; ",""))))</f>
        <v/>
      </c>
      <c r="P7" s="15">
        <f>IF($B7="","",IF(PT!$AB7="No","No","Yes"))</f>
        <v/>
      </c>
    </row>
    <row r="8">
      <c r="B8" s="15">
        <f>IF(Cadets!$B8="","",Cadets!$B8)</f>
        <v/>
      </c>
      <c r="C8" s="15">
        <f>IF($B8="","",Cadets!$F8)</f>
        <v/>
      </c>
      <c r="D8" s="15">
        <f>IF($B8="","",Cadets!$I8)</f>
        <v/>
      </c>
      <c r="E8" s="15">
        <f>IF($B8="","",sysGrades!$V8)</f>
        <v/>
      </c>
      <c r="F8" s="15">
        <f>IF($B8="","",sysAttendance!$K8)</f>
        <v/>
      </c>
      <c r="G8" s="15">
        <f>IF($B8="","",sysAttendance!$S8)</f>
        <v/>
      </c>
      <c r="H8" s="15">
        <f>IF($B8="","",sysSkills!$K8)</f>
        <v/>
      </c>
      <c r="I8" s="15">
        <f>IF($B8="","",sysIncidents!$K8)</f>
        <v/>
      </c>
      <c r="J8" s="15">
        <f>IF($B8="","",IF(Writing!$AT8="Yes","Yes","No"))</f>
        <v/>
      </c>
      <c r="K8" s="15">
        <f>IF($B8="","",sysAttendance!$T8)</f>
        <v/>
      </c>
      <c r="L8" s="15">
        <f>IF($B8="","",IF(PT!$AB8="No","No","Yes"))</f>
        <v/>
      </c>
      <c r="M8" s="15">
        <f>IF($B8="","",IF(OR(sysGrades!$P8&gt;0,sysSkills!$J8="Yes",sysIncidents!$J8&gt;0),"Yes","No"))</f>
        <v/>
      </c>
      <c r="N8" s="15">
        <f>IF($B8="","",IF(AND($E8="Yes",$F8="Yes",$G8="Yes",$H8="Yes",$I8="Yes",$J8="Yes",$K8="Yes",$L8="Yes",$M8="No"),"Yes","No"))</f>
        <v/>
      </c>
      <c r="O8" s="15">
        <f>IF($B8="","",IF($N8="Yes","Eligible",TRIM(IF($E8&lt;&gt;"Yes","Academic; ","")&amp;IF($F8&lt;&gt;"Yes","Classroom; ","")&amp;IF($G8&lt;&gt;"Yes","PT sessions; ","")&amp;IF($H8&lt;&gt;"Yes","Skills; ","")&amp;IF($I8&lt;&gt;"Yes","Incidents; ","")&amp;IF($J8&lt;&gt;"Yes","Writing; ","")&amp;IF($K8&lt;&gt;"Yes","Makeup owed; ","")&amp;IF($L8&lt;&gt;"Yes","Final PT; ","")&amp;IF($M8="Yes","Dismissal review; ",""))))</f>
        <v/>
      </c>
      <c r="P8" s="15">
        <f>IF($B8="","",IF(PT!$AB8="No","No","Yes"))</f>
        <v/>
      </c>
    </row>
    <row r="9">
      <c r="B9" s="15">
        <f>IF(Cadets!$B9="","",Cadets!$B9)</f>
        <v/>
      </c>
      <c r="C9" s="15">
        <f>IF($B9="","",Cadets!$F9)</f>
        <v/>
      </c>
      <c r="D9" s="15">
        <f>IF($B9="","",Cadets!$I9)</f>
        <v/>
      </c>
      <c r="E9" s="15">
        <f>IF($B9="","",sysGrades!$V9)</f>
        <v/>
      </c>
      <c r="F9" s="15">
        <f>IF($B9="","",sysAttendance!$K9)</f>
        <v/>
      </c>
      <c r="G9" s="15">
        <f>IF($B9="","",sysAttendance!$S9)</f>
        <v/>
      </c>
      <c r="H9" s="15">
        <f>IF($B9="","",sysSkills!$K9)</f>
        <v/>
      </c>
      <c r="I9" s="15">
        <f>IF($B9="","",sysIncidents!$K9)</f>
        <v/>
      </c>
      <c r="J9" s="15">
        <f>IF($B9="","",IF(Writing!$AT9="Yes","Yes","No"))</f>
        <v/>
      </c>
      <c r="K9" s="15">
        <f>IF($B9="","",sysAttendance!$T9)</f>
        <v/>
      </c>
      <c r="L9" s="15">
        <f>IF($B9="","",IF(PT!$AB9="No","No","Yes"))</f>
        <v/>
      </c>
      <c r="M9" s="15">
        <f>IF($B9="","",IF(OR(sysGrades!$P9&gt;0,sysSkills!$J9="Yes",sysIncidents!$J9&gt;0),"Yes","No"))</f>
        <v/>
      </c>
      <c r="N9" s="15">
        <f>IF($B9="","",IF(AND($E9="Yes",$F9="Yes",$G9="Yes",$H9="Yes",$I9="Yes",$J9="Yes",$K9="Yes",$L9="Yes",$M9="No"),"Yes","No"))</f>
        <v/>
      </c>
      <c r="O9" s="15">
        <f>IF($B9="","",IF($N9="Yes","Eligible",TRIM(IF($E9&lt;&gt;"Yes","Academic; ","")&amp;IF($F9&lt;&gt;"Yes","Classroom; ","")&amp;IF($G9&lt;&gt;"Yes","PT sessions; ","")&amp;IF($H9&lt;&gt;"Yes","Skills; ","")&amp;IF($I9&lt;&gt;"Yes","Incidents; ","")&amp;IF($J9&lt;&gt;"Yes","Writing; ","")&amp;IF($K9&lt;&gt;"Yes","Makeup owed; ","")&amp;IF($L9&lt;&gt;"Yes","Final PT; ","")&amp;IF($M9="Yes","Dismissal review; ",""))))</f>
        <v/>
      </c>
      <c r="P9" s="15">
        <f>IF($B9="","",IF(PT!$AB9="No","No","Yes"))</f>
        <v/>
      </c>
    </row>
    <row r="10">
      <c r="B10" s="15">
        <f>IF(Cadets!$B10="","",Cadets!$B10)</f>
        <v/>
      </c>
      <c r="C10" s="15">
        <f>IF($B10="","",Cadets!$F10)</f>
        <v/>
      </c>
      <c r="D10" s="15">
        <f>IF($B10="","",Cadets!$I10)</f>
        <v/>
      </c>
      <c r="E10" s="15">
        <f>IF($B10="","",sysGrades!$V10)</f>
        <v/>
      </c>
      <c r="F10" s="15">
        <f>IF($B10="","",sysAttendance!$K10)</f>
        <v/>
      </c>
      <c r="G10" s="15">
        <f>IF($B10="","",sysAttendance!$S10)</f>
        <v/>
      </c>
      <c r="H10" s="15">
        <f>IF($B10="","",sysSkills!$K10)</f>
        <v/>
      </c>
      <c r="I10" s="15">
        <f>IF($B10="","",sysIncidents!$K10)</f>
        <v/>
      </c>
      <c r="J10" s="15">
        <f>IF($B10="","",IF(Writing!$AT10="Yes","Yes","No"))</f>
        <v/>
      </c>
      <c r="K10" s="15">
        <f>IF($B10="","",sysAttendance!$T10)</f>
        <v/>
      </c>
      <c r="L10" s="15">
        <f>IF($B10="","",IF(PT!$AB10="No","No","Yes"))</f>
        <v/>
      </c>
      <c r="M10" s="15">
        <f>IF($B10="","",IF(OR(sysGrades!$P10&gt;0,sysSkills!$J10="Yes",sysIncidents!$J10&gt;0),"Yes","No"))</f>
        <v/>
      </c>
      <c r="N10" s="15">
        <f>IF($B10="","",IF(AND($E10="Yes",$F10="Yes",$G10="Yes",$H10="Yes",$I10="Yes",$J10="Yes",$K10="Yes",$L10="Yes",$M10="No"),"Yes","No"))</f>
        <v/>
      </c>
      <c r="O10" s="15">
        <f>IF($B10="","",IF($N10="Yes","Eligible",TRIM(IF($E10&lt;&gt;"Yes","Academic; ","")&amp;IF($F10&lt;&gt;"Yes","Classroom; ","")&amp;IF($G10&lt;&gt;"Yes","PT sessions; ","")&amp;IF($H10&lt;&gt;"Yes","Skills; ","")&amp;IF($I10&lt;&gt;"Yes","Incidents; ","")&amp;IF($J10&lt;&gt;"Yes","Writing; ","")&amp;IF($K10&lt;&gt;"Yes","Makeup owed; ","")&amp;IF($L10&lt;&gt;"Yes","Final PT; ","")&amp;IF($M10="Yes","Dismissal review; ",""))))</f>
        <v/>
      </c>
      <c r="P10" s="15">
        <f>IF($B10="","",IF(PT!$AB10="No","No","Yes"))</f>
        <v/>
      </c>
    </row>
    <row r="11">
      <c r="B11" s="15">
        <f>IF(Cadets!$B11="","",Cadets!$B11)</f>
        <v/>
      </c>
      <c r="C11" s="15">
        <f>IF($B11="","",Cadets!$F11)</f>
        <v/>
      </c>
      <c r="D11" s="15">
        <f>IF($B11="","",Cadets!$I11)</f>
        <v/>
      </c>
      <c r="E11" s="15">
        <f>IF($B11="","",sysGrades!$V11)</f>
        <v/>
      </c>
      <c r="F11" s="15">
        <f>IF($B11="","",sysAttendance!$K11)</f>
        <v/>
      </c>
      <c r="G11" s="15">
        <f>IF($B11="","",sysAttendance!$S11)</f>
        <v/>
      </c>
      <c r="H11" s="15">
        <f>IF($B11="","",sysSkills!$K11)</f>
        <v/>
      </c>
      <c r="I11" s="15">
        <f>IF($B11="","",sysIncidents!$K11)</f>
        <v/>
      </c>
      <c r="J11" s="15">
        <f>IF($B11="","",IF(Writing!$AT11="Yes","Yes","No"))</f>
        <v/>
      </c>
      <c r="K11" s="15">
        <f>IF($B11="","",sysAttendance!$T11)</f>
        <v/>
      </c>
      <c r="L11" s="15">
        <f>IF($B11="","",IF(PT!$AB11="No","No","Yes"))</f>
        <v/>
      </c>
      <c r="M11" s="15">
        <f>IF($B11="","",IF(OR(sysGrades!$P11&gt;0,sysSkills!$J11="Yes",sysIncidents!$J11&gt;0),"Yes","No"))</f>
        <v/>
      </c>
      <c r="N11" s="15">
        <f>IF($B11="","",IF(AND($E11="Yes",$F11="Yes",$G11="Yes",$H11="Yes",$I11="Yes",$J11="Yes",$K11="Yes",$L11="Yes",$M11="No"),"Yes","No"))</f>
        <v/>
      </c>
      <c r="O11" s="15">
        <f>IF($B11="","",IF($N11="Yes","Eligible",TRIM(IF($E11&lt;&gt;"Yes","Academic; ","")&amp;IF($F11&lt;&gt;"Yes","Classroom; ","")&amp;IF($G11&lt;&gt;"Yes","PT sessions; ","")&amp;IF($H11&lt;&gt;"Yes","Skills; ","")&amp;IF($I11&lt;&gt;"Yes","Incidents; ","")&amp;IF($J11&lt;&gt;"Yes","Writing; ","")&amp;IF($K11&lt;&gt;"Yes","Makeup owed; ","")&amp;IF($L11&lt;&gt;"Yes","Final PT; ","")&amp;IF($M11="Yes","Dismissal review; ",""))))</f>
        <v/>
      </c>
      <c r="P11" s="15">
        <f>IF($B11="","",IF(PT!$AB11="No","No","Yes"))</f>
        <v/>
      </c>
    </row>
    <row r="12">
      <c r="B12" s="15">
        <f>IF(Cadets!$B12="","",Cadets!$B12)</f>
        <v/>
      </c>
      <c r="C12" s="15">
        <f>IF($B12="","",Cadets!$F12)</f>
        <v/>
      </c>
      <c r="D12" s="15">
        <f>IF($B12="","",Cadets!$I12)</f>
        <v/>
      </c>
      <c r="E12" s="15">
        <f>IF($B12="","",sysGrades!$V12)</f>
        <v/>
      </c>
      <c r="F12" s="15">
        <f>IF($B12="","",sysAttendance!$K12)</f>
        <v/>
      </c>
      <c r="G12" s="15">
        <f>IF($B12="","",sysAttendance!$S12)</f>
        <v/>
      </c>
      <c r="H12" s="15">
        <f>IF($B12="","",sysSkills!$K12)</f>
        <v/>
      </c>
      <c r="I12" s="15">
        <f>IF($B12="","",sysIncidents!$K12)</f>
        <v/>
      </c>
      <c r="J12" s="15">
        <f>IF($B12="","",IF(Writing!$AT12="Yes","Yes","No"))</f>
        <v/>
      </c>
      <c r="K12" s="15">
        <f>IF($B12="","",sysAttendance!$T12)</f>
        <v/>
      </c>
      <c r="L12" s="15">
        <f>IF($B12="","",IF(PT!$AB12="No","No","Yes"))</f>
        <v/>
      </c>
      <c r="M12" s="15">
        <f>IF($B12="","",IF(OR(sysGrades!$P12&gt;0,sysSkills!$J12="Yes",sysIncidents!$J12&gt;0),"Yes","No"))</f>
        <v/>
      </c>
      <c r="N12" s="15">
        <f>IF($B12="","",IF(AND($E12="Yes",$F12="Yes",$G12="Yes",$H12="Yes",$I12="Yes",$J12="Yes",$K12="Yes",$L12="Yes",$M12="No"),"Yes","No"))</f>
        <v/>
      </c>
      <c r="O12" s="15">
        <f>IF($B12="","",IF($N12="Yes","Eligible",TRIM(IF($E12&lt;&gt;"Yes","Academic; ","")&amp;IF($F12&lt;&gt;"Yes","Classroom; ","")&amp;IF($G12&lt;&gt;"Yes","PT sessions; ","")&amp;IF($H12&lt;&gt;"Yes","Skills; ","")&amp;IF($I12&lt;&gt;"Yes","Incidents; ","")&amp;IF($J12&lt;&gt;"Yes","Writing; ","")&amp;IF($K12&lt;&gt;"Yes","Makeup owed; ","")&amp;IF($L12&lt;&gt;"Yes","Final PT; ","")&amp;IF($M12="Yes","Dismissal review; ",""))))</f>
        <v/>
      </c>
      <c r="P12" s="15">
        <f>IF($B12="","",IF(PT!$AB12="No","No","Yes"))</f>
        <v/>
      </c>
    </row>
    <row r="13">
      <c r="B13" s="15">
        <f>IF(Cadets!$B13="","",Cadets!$B13)</f>
        <v/>
      </c>
      <c r="C13" s="15">
        <f>IF($B13="","",Cadets!$F13)</f>
        <v/>
      </c>
      <c r="D13" s="15">
        <f>IF($B13="","",Cadets!$I13)</f>
        <v/>
      </c>
      <c r="E13" s="15">
        <f>IF($B13="","",sysGrades!$V13)</f>
        <v/>
      </c>
      <c r="F13" s="15">
        <f>IF($B13="","",sysAttendance!$K13)</f>
        <v/>
      </c>
      <c r="G13" s="15">
        <f>IF($B13="","",sysAttendance!$S13)</f>
        <v/>
      </c>
      <c r="H13" s="15">
        <f>IF($B13="","",sysSkills!$K13)</f>
        <v/>
      </c>
      <c r="I13" s="15">
        <f>IF($B13="","",sysIncidents!$K13)</f>
        <v/>
      </c>
      <c r="J13" s="15">
        <f>IF($B13="","",IF(Writing!$AT13="Yes","Yes","No"))</f>
        <v/>
      </c>
      <c r="K13" s="15">
        <f>IF($B13="","",sysAttendance!$T13)</f>
        <v/>
      </c>
      <c r="L13" s="15">
        <f>IF($B13="","",IF(PT!$AB13="No","No","Yes"))</f>
        <v/>
      </c>
      <c r="M13" s="15">
        <f>IF($B13="","",IF(OR(sysGrades!$P13&gt;0,sysSkills!$J13="Yes",sysIncidents!$J13&gt;0),"Yes","No"))</f>
        <v/>
      </c>
      <c r="N13" s="15">
        <f>IF($B13="","",IF(AND($E13="Yes",$F13="Yes",$G13="Yes",$H13="Yes",$I13="Yes",$J13="Yes",$K13="Yes",$L13="Yes",$M13="No"),"Yes","No"))</f>
        <v/>
      </c>
      <c r="O13" s="15">
        <f>IF($B13="","",IF($N13="Yes","Eligible",TRIM(IF($E13&lt;&gt;"Yes","Academic; ","")&amp;IF($F13&lt;&gt;"Yes","Classroom; ","")&amp;IF($G13&lt;&gt;"Yes","PT sessions; ","")&amp;IF($H13&lt;&gt;"Yes","Skills; ","")&amp;IF($I13&lt;&gt;"Yes","Incidents; ","")&amp;IF($J13&lt;&gt;"Yes","Writing; ","")&amp;IF($K13&lt;&gt;"Yes","Makeup owed; ","")&amp;IF($L13&lt;&gt;"Yes","Final PT; ","")&amp;IF($M13="Yes","Dismissal review; ",""))))</f>
        <v/>
      </c>
      <c r="P13" s="15">
        <f>IF($B13="","",IF(PT!$AB13="No","No","Yes"))</f>
        <v/>
      </c>
    </row>
    <row r="14">
      <c r="B14" s="15">
        <f>IF(Cadets!$B14="","",Cadets!$B14)</f>
        <v/>
      </c>
      <c r="C14" s="15">
        <f>IF($B14="","",Cadets!$F14)</f>
        <v/>
      </c>
      <c r="D14" s="15">
        <f>IF($B14="","",Cadets!$I14)</f>
        <v/>
      </c>
      <c r="E14" s="15">
        <f>IF($B14="","",sysGrades!$V14)</f>
        <v/>
      </c>
      <c r="F14" s="15">
        <f>IF($B14="","",sysAttendance!$K14)</f>
        <v/>
      </c>
      <c r="G14" s="15">
        <f>IF($B14="","",sysAttendance!$S14)</f>
        <v/>
      </c>
      <c r="H14" s="15">
        <f>IF($B14="","",sysSkills!$K14)</f>
        <v/>
      </c>
      <c r="I14" s="15">
        <f>IF($B14="","",sysIncidents!$K14)</f>
        <v/>
      </c>
      <c r="J14" s="15">
        <f>IF($B14="","",IF(Writing!$AT14="Yes","Yes","No"))</f>
        <v/>
      </c>
      <c r="K14" s="15">
        <f>IF($B14="","",sysAttendance!$T14)</f>
        <v/>
      </c>
      <c r="L14" s="15">
        <f>IF($B14="","",IF(PT!$AB14="No","No","Yes"))</f>
        <v/>
      </c>
      <c r="M14" s="15">
        <f>IF($B14="","",IF(OR(sysGrades!$P14&gt;0,sysSkills!$J14="Yes",sysIncidents!$J14&gt;0),"Yes","No"))</f>
        <v/>
      </c>
      <c r="N14" s="15">
        <f>IF($B14="","",IF(AND($E14="Yes",$F14="Yes",$G14="Yes",$H14="Yes",$I14="Yes",$J14="Yes",$K14="Yes",$L14="Yes",$M14="No"),"Yes","No"))</f>
        <v/>
      </c>
      <c r="O14" s="15">
        <f>IF($B14="","",IF($N14="Yes","Eligible",TRIM(IF($E14&lt;&gt;"Yes","Academic; ","")&amp;IF($F14&lt;&gt;"Yes","Classroom; ","")&amp;IF($G14&lt;&gt;"Yes","PT sessions; ","")&amp;IF($H14&lt;&gt;"Yes","Skills; ","")&amp;IF($I14&lt;&gt;"Yes","Incidents; ","")&amp;IF($J14&lt;&gt;"Yes","Writing; ","")&amp;IF($K14&lt;&gt;"Yes","Makeup owed; ","")&amp;IF($L14&lt;&gt;"Yes","Final PT; ","")&amp;IF($M14="Yes","Dismissal review; ",""))))</f>
        <v/>
      </c>
      <c r="P14" s="15">
        <f>IF($B14="","",IF(PT!$AB14="No","No","Yes"))</f>
        <v/>
      </c>
    </row>
    <row r="15">
      <c r="B15" s="15">
        <f>IF(Cadets!$B15="","",Cadets!$B15)</f>
        <v/>
      </c>
      <c r="C15" s="15">
        <f>IF($B15="","",Cadets!$F15)</f>
        <v/>
      </c>
      <c r="D15" s="15">
        <f>IF($B15="","",Cadets!$I15)</f>
        <v/>
      </c>
      <c r="E15" s="15">
        <f>IF($B15="","",sysGrades!$V15)</f>
        <v/>
      </c>
      <c r="F15" s="15">
        <f>IF($B15="","",sysAttendance!$K15)</f>
        <v/>
      </c>
      <c r="G15" s="15">
        <f>IF($B15="","",sysAttendance!$S15)</f>
        <v/>
      </c>
      <c r="H15" s="15">
        <f>IF($B15="","",sysSkills!$K15)</f>
        <v/>
      </c>
      <c r="I15" s="15">
        <f>IF($B15="","",sysIncidents!$K15)</f>
        <v/>
      </c>
      <c r="J15" s="15">
        <f>IF($B15="","",IF(Writing!$AT15="Yes","Yes","No"))</f>
        <v/>
      </c>
      <c r="K15" s="15">
        <f>IF($B15="","",sysAttendance!$T15)</f>
        <v/>
      </c>
      <c r="L15" s="15">
        <f>IF($B15="","",IF(PT!$AB15="No","No","Yes"))</f>
        <v/>
      </c>
      <c r="M15" s="15">
        <f>IF($B15="","",IF(OR(sysGrades!$P15&gt;0,sysSkills!$J15="Yes",sysIncidents!$J15&gt;0),"Yes","No"))</f>
        <v/>
      </c>
      <c r="N15" s="15">
        <f>IF($B15="","",IF(AND($E15="Yes",$F15="Yes",$G15="Yes",$H15="Yes",$I15="Yes",$J15="Yes",$K15="Yes",$L15="Yes",$M15="No"),"Yes","No"))</f>
        <v/>
      </c>
      <c r="O15" s="15">
        <f>IF($B15="","",IF($N15="Yes","Eligible",TRIM(IF($E15&lt;&gt;"Yes","Academic; ","")&amp;IF($F15&lt;&gt;"Yes","Classroom; ","")&amp;IF($G15&lt;&gt;"Yes","PT sessions; ","")&amp;IF($H15&lt;&gt;"Yes","Skills; ","")&amp;IF($I15&lt;&gt;"Yes","Incidents; ","")&amp;IF($J15&lt;&gt;"Yes","Writing; ","")&amp;IF($K15&lt;&gt;"Yes","Makeup owed; ","")&amp;IF($L15&lt;&gt;"Yes","Final PT; ","")&amp;IF($M15="Yes","Dismissal review; ",""))))</f>
        <v/>
      </c>
      <c r="P15" s="15">
        <f>IF($B15="","",IF(PT!$AB15="No","No","Yes"))</f>
        <v/>
      </c>
    </row>
    <row r="16">
      <c r="B16" s="15">
        <f>IF(Cadets!$B16="","",Cadets!$B16)</f>
        <v/>
      </c>
      <c r="C16" s="15">
        <f>IF($B16="","",Cadets!$F16)</f>
        <v/>
      </c>
      <c r="D16" s="15">
        <f>IF($B16="","",Cadets!$I16)</f>
        <v/>
      </c>
      <c r="E16" s="15">
        <f>IF($B16="","",sysGrades!$V16)</f>
        <v/>
      </c>
      <c r="F16" s="15">
        <f>IF($B16="","",sysAttendance!$K16)</f>
        <v/>
      </c>
      <c r="G16" s="15">
        <f>IF($B16="","",sysAttendance!$S16)</f>
        <v/>
      </c>
      <c r="H16" s="15">
        <f>IF($B16="","",sysSkills!$K16)</f>
        <v/>
      </c>
      <c r="I16" s="15">
        <f>IF($B16="","",sysIncidents!$K16)</f>
        <v/>
      </c>
      <c r="J16" s="15">
        <f>IF($B16="","",IF(Writing!$AT16="Yes","Yes","No"))</f>
        <v/>
      </c>
      <c r="K16" s="15">
        <f>IF($B16="","",sysAttendance!$T16)</f>
        <v/>
      </c>
      <c r="L16" s="15">
        <f>IF($B16="","",IF(PT!$AB16="No","No","Yes"))</f>
        <v/>
      </c>
      <c r="M16" s="15">
        <f>IF($B16="","",IF(OR(sysGrades!$P16&gt;0,sysSkills!$J16="Yes",sysIncidents!$J16&gt;0),"Yes","No"))</f>
        <v/>
      </c>
      <c r="N16" s="15">
        <f>IF($B16="","",IF(AND($E16="Yes",$F16="Yes",$G16="Yes",$H16="Yes",$I16="Yes",$J16="Yes",$K16="Yes",$L16="Yes",$M16="No"),"Yes","No"))</f>
        <v/>
      </c>
      <c r="O16" s="15">
        <f>IF($B16="","",IF($N16="Yes","Eligible",TRIM(IF($E16&lt;&gt;"Yes","Academic; ","")&amp;IF($F16&lt;&gt;"Yes","Classroom; ","")&amp;IF($G16&lt;&gt;"Yes","PT sessions; ","")&amp;IF($H16&lt;&gt;"Yes","Skills; ","")&amp;IF($I16&lt;&gt;"Yes","Incidents; ","")&amp;IF($J16&lt;&gt;"Yes","Writing; ","")&amp;IF($K16&lt;&gt;"Yes","Makeup owed; ","")&amp;IF($L16&lt;&gt;"Yes","Final PT; ","")&amp;IF($M16="Yes","Dismissal review; ",""))))</f>
        <v/>
      </c>
      <c r="P16" s="15">
        <f>IF($B16="","",IF(PT!$AB16="No","No","Yes"))</f>
        <v/>
      </c>
    </row>
    <row r="17">
      <c r="B17" s="15">
        <f>IF(Cadets!$B17="","",Cadets!$B17)</f>
        <v/>
      </c>
      <c r="C17" s="15">
        <f>IF($B17="","",Cadets!$F17)</f>
        <v/>
      </c>
      <c r="D17" s="15">
        <f>IF($B17="","",Cadets!$I17)</f>
        <v/>
      </c>
      <c r="E17" s="15">
        <f>IF($B17="","",sysGrades!$V17)</f>
        <v/>
      </c>
      <c r="F17" s="15">
        <f>IF($B17="","",sysAttendance!$K17)</f>
        <v/>
      </c>
      <c r="G17" s="15">
        <f>IF($B17="","",sysAttendance!$S17)</f>
        <v/>
      </c>
      <c r="H17" s="15">
        <f>IF($B17="","",sysSkills!$K17)</f>
        <v/>
      </c>
      <c r="I17" s="15">
        <f>IF($B17="","",sysIncidents!$K17)</f>
        <v/>
      </c>
      <c r="J17" s="15">
        <f>IF($B17="","",IF(Writing!$AT17="Yes","Yes","No"))</f>
        <v/>
      </c>
      <c r="K17" s="15">
        <f>IF($B17="","",sysAttendance!$T17)</f>
        <v/>
      </c>
      <c r="L17" s="15">
        <f>IF($B17="","",IF(PT!$AB17="No","No","Yes"))</f>
        <v/>
      </c>
      <c r="M17" s="15">
        <f>IF($B17="","",IF(OR(sysGrades!$P17&gt;0,sysSkills!$J17="Yes",sysIncidents!$J17&gt;0),"Yes","No"))</f>
        <v/>
      </c>
      <c r="N17" s="15">
        <f>IF($B17="","",IF(AND($E17="Yes",$F17="Yes",$G17="Yes",$H17="Yes",$I17="Yes",$J17="Yes",$K17="Yes",$L17="Yes",$M17="No"),"Yes","No"))</f>
        <v/>
      </c>
      <c r="O17" s="15">
        <f>IF($B17="","",IF($N17="Yes","Eligible",TRIM(IF($E17&lt;&gt;"Yes","Academic; ","")&amp;IF($F17&lt;&gt;"Yes","Classroom; ","")&amp;IF($G17&lt;&gt;"Yes","PT sessions; ","")&amp;IF($H17&lt;&gt;"Yes","Skills; ","")&amp;IF($I17&lt;&gt;"Yes","Incidents; ","")&amp;IF($J17&lt;&gt;"Yes","Writing; ","")&amp;IF($K17&lt;&gt;"Yes","Makeup owed; ","")&amp;IF($L17&lt;&gt;"Yes","Final PT; ","")&amp;IF($M17="Yes","Dismissal review; ",""))))</f>
        <v/>
      </c>
      <c r="P17" s="15">
        <f>IF($B17="","",IF(PT!$AB17="No","No","Yes"))</f>
        <v/>
      </c>
    </row>
    <row r="18">
      <c r="B18" s="15">
        <f>IF(Cadets!$B18="","",Cadets!$B18)</f>
        <v/>
      </c>
      <c r="C18" s="15">
        <f>IF($B18="","",Cadets!$F18)</f>
        <v/>
      </c>
      <c r="D18" s="15">
        <f>IF($B18="","",Cadets!$I18)</f>
        <v/>
      </c>
      <c r="E18" s="15">
        <f>IF($B18="","",sysGrades!$V18)</f>
        <v/>
      </c>
      <c r="F18" s="15">
        <f>IF($B18="","",sysAttendance!$K18)</f>
        <v/>
      </c>
      <c r="G18" s="15">
        <f>IF($B18="","",sysAttendance!$S18)</f>
        <v/>
      </c>
      <c r="H18" s="15">
        <f>IF($B18="","",sysSkills!$K18)</f>
        <v/>
      </c>
      <c r="I18" s="15">
        <f>IF($B18="","",sysIncidents!$K18)</f>
        <v/>
      </c>
      <c r="J18" s="15">
        <f>IF($B18="","",IF(Writing!$AT18="Yes","Yes","No"))</f>
        <v/>
      </c>
      <c r="K18" s="15">
        <f>IF($B18="","",sysAttendance!$T18)</f>
        <v/>
      </c>
      <c r="L18" s="15">
        <f>IF($B18="","",IF(PT!$AB18="No","No","Yes"))</f>
        <v/>
      </c>
      <c r="M18" s="15">
        <f>IF($B18="","",IF(OR(sysGrades!$P18&gt;0,sysSkills!$J18="Yes",sysIncidents!$J18&gt;0),"Yes","No"))</f>
        <v/>
      </c>
      <c r="N18" s="15">
        <f>IF($B18="","",IF(AND($E18="Yes",$F18="Yes",$G18="Yes",$H18="Yes",$I18="Yes",$J18="Yes",$K18="Yes",$L18="Yes",$M18="No"),"Yes","No"))</f>
        <v/>
      </c>
      <c r="O18" s="15">
        <f>IF($B18="","",IF($N18="Yes","Eligible",TRIM(IF($E18&lt;&gt;"Yes","Academic; ","")&amp;IF($F18&lt;&gt;"Yes","Classroom; ","")&amp;IF($G18&lt;&gt;"Yes","PT sessions; ","")&amp;IF($H18&lt;&gt;"Yes","Skills; ","")&amp;IF($I18&lt;&gt;"Yes","Incidents; ","")&amp;IF($J18&lt;&gt;"Yes","Writing; ","")&amp;IF($K18&lt;&gt;"Yes","Makeup owed; ","")&amp;IF($L18&lt;&gt;"Yes","Final PT; ","")&amp;IF($M18="Yes","Dismissal review; ",""))))</f>
        <v/>
      </c>
      <c r="P18" s="15">
        <f>IF($B18="","",IF(PT!$AB18="No","No","Yes"))</f>
        <v/>
      </c>
    </row>
    <row r="19">
      <c r="B19" s="15">
        <f>IF(Cadets!$B19="","",Cadets!$B19)</f>
        <v/>
      </c>
      <c r="C19" s="15">
        <f>IF($B19="","",Cadets!$F19)</f>
        <v/>
      </c>
      <c r="D19" s="15">
        <f>IF($B19="","",Cadets!$I19)</f>
        <v/>
      </c>
      <c r="E19" s="15">
        <f>IF($B19="","",sysGrades!$V19)</f>
        <v/>
      </c>
      <c r="F19" s="15">
        <f>IF($B19="","",sysAttendance!$K19)</f>
        <v/>
      </c>
      <c r="G19" s="15">
        <f>IF($B19="","",sysAttendance!$S19)</f>
        <v/>
      </c>
      <c r="H19" s="15">
        <f>IF($B19="","",sysSkills!$K19)</f>
        <v/>
      </c>
      <c r="I19" s="15">
        <f>IF($B19="","",sysIncidents!$K19)</f>
        <v/>
      </c>
      <c r="J19" s="15">
        <f>IF($B19="","",IF(Writing!$AT19="Yes","Yes","No"))</f>
        <v/>
      </c>
      <c r="K19" s="15">
        <f>IF($B19="","",sysAttendance!$T19)</f>
        <v/>
      </c>
      <c r="L19" s="15">
        <f>IF($B19="","",IF(PT!$AB19="No","No","Yes"))</f>
        <v/>
      </c>
      <c r="M19" s="15">
        <f>IF($B19="","",IF(OR(sysGrades!$P19&gt;0,sysSkills!$J19="Yes",sysIncidents!$J19&gt;0),"Yes","No"))</f>
        <v/>
      </c>
      <c r="N19" s="15">
        <f>IF($B19="","",IF(AND($E19="Yes",$F19="Yes",$G19="Yes",$H19="Yes",$I19="Yes",$J19="Yes",$K19="Yes",$L19="Yes",$M19="No"),"Yes","No"))</f>
        <v/>
      </c>
      <c r="O19" s="15">
        <f>IF($B19="","",IF($N19="Yes","Eligible",TRIM(IF($E19&lt;&gt;"Yes","Academic; ","")&amp;IF($F19&lt;&gt;"Yes","Classroom; ","")&amp;IF($G19&lt;&gt;"Yes","PT sessions; ","")&amp;IF($H19&lt;&gt;"Yes","Skills; ","")&amp;IF($I19&lt;&gt;"Yes","Incidents; ","")&amp;IF($J19&lt;&gt;"Yes","Writing; ","")&amp;IF($K19&lt;&gt;"Yes","Makeup owed; ","")&amp;IF($L19&lt;&gt;"Yes","Final PT; ","")&amp;IF($M19="Yes","Dismissal review; ",""))))</f>
        <v/>
      </c>
      <c r="P19" s="15">
        <f>IF($B19="","",IF(PT!$AB19="No","No","Yes"))</f>
        <v/>
      </c>
    </row>
    <row r="20">
      <c r="B20" s="15">
        <f>IF(Cadets!$B20="","",Cadets!$B20)</f>
        <v/>
      </c>
      <c r="C20" s="15">
        <f>IF($B20="","",Cadets!$F20)</f>
        <v/>
      </c>
      <c r="D20" s="15">
        <f>IF($B20="","",Cadets!$I20)</f>
        <v/>
      </c>
      <c r="E20" s="15">
        <f>IF($B20="","",sysGrades!$V20)</f>
        <v/>
      </c>
      <c r="F20" s="15">
        <f>IF($B20="","",sysAttendance!$K20)</f>
        <v/>
      </c>
      <c r="G20" s="15">
        <f>IF($B20="","",sysAttendance!$S20)</f>
        <v/>
      </c>
      <c r="H20" s="15">
        <f>IF($B20="","",sysSkills!$K20)</f>
        <v/>
      </c>
      <c r="I20" s="15">
        <f>IF($B20="","",sysIncidents!$K20)</f>
        <v/>
      </c>
      <c r="J20" s="15">
        <f>IF($B20="","",IF(Writing!$AT20="Yes","Yes","No"))</f>
        <v/>
      </c>
      <c r="K20" s="15">
        <f>IF($B20="","",sysAttendance!$T20)</f>
        <v/>
      </c>
      <c r="L20" s="15">
        <f>IF($B20="","",IF(PT!$AB20="No","No","Yes"))</f>
        <v/>
      </c>
      <c r="M20" s="15">
        <f>IF($B20="","",IF(OR(sysGrades!$P20&gt;0,sysSkills!$J20="Yes",sysIncidents!$J20&gt;0),"Yes","No"))</f>
        <v/>
      </c>
      <c r="N20" s="15">
        <f>IF($B20="","",IF(AND($E20="Yes",$F20="Yes",$G20="Yes",$H20="Yes",$I20="Yes",$J20="Yes",$K20="Yes",$L20="Yes",$M20="No"),"Yes","No"))</f>
        <v/>
      </c>
      <c r="O20" s="15">
        <f>IF($B20="","",IF($N20="Yes","Eligible",TRIM(IF($E20&lt;&gt;"Yes","Academic; ","")&amp;IF($F20&lt;&gt;"Yes","Classroom; ","")&amp;IF($G20&lt;&gt;"Yes","PT sessions; ","")&amp;IF($H20&lt;&gt;"Yes","Skills; ","")&amp;IF($I20&lt;&gt;"Yes","Incidents; ","")&amp;IF($J20&lt;&gt;"Yes","Writing; ","")&amp;IF($K20&lt;&gt;"Yes","Makeup owed; ","")&amp;IF($L20&lt;&gt;"Yes","Final PT; ","")&amp;IF($M20="Yes","Dismissal review; ",""))))</f>
        <v/>
      </c>
      <c r="P20" s="15">
        <f>IF($B20="","",IF(PT!$AB20="No","No","Yes"))</f>
        <v/>
      </c>
    </row>
    <row r="21">
      <c r="B21" s="15">
        <f>IF(Cadets!$B21="","",Cadets!$B21)</f>
        <v/>
      </c>
      <c r="C21" s="15">
        <f>IF($B21="","",Cadets!$F21)</f>
        <v/>
      </c>
      <c r="D21" s="15">
        <f>IF($B21="","",Cadets!$I21)</f>
        <v/>
      </c>
      <c r="E21" s="15">
        <f>IF($B21="","",sysGrades!$V21)</f>
        <v/>
      </c>
      <c r="F21" s="15">
        <f>IF($B21="","",sysAttendance!$K21)</f>
        <v/>
      </c>
      <c r="G21" s="15">
        <f>IF($B21="","",sysAttendance!$S21)</f>
        <v/>
      </c>
      <c r="H21" s="15">
        <f>IF($B21="","",sysSkills!$K21)</f>
        <v/>
      </c>
      <c r="I21" s="15">
        <f>IF($B21="","",sysIncidents!$K21)</f>
        <v/>
      </c>
      <c r="J21" s="15">
        <f>IF($B21="","",IF(Writing!$AT21="Yes","Yes","No"))</f>
        <v/>
      </c>
      <c r="K21" s="15">
        <f>IF($B21="","",sysAttendance!$T21)</f>
        <v/>
      </c>
      <c r="L21" s="15">
        <f>IF($B21="","",IF(PT!$AB21="No","No","Yes"))</f>
        <v/>
      </c>
      <c r="M21" s="15">
        <f>IF($B21="","",IF(OR(sysGrades!$P21&gt;0,sysSkills!$J21="Yes",sysIncidents!$J21&gt;0),"Yes","No"))</f>
        <v/>
      </c>
      <c r="N21" s="15">
        <f>IF($B21="","",IF(AND($E21="Yes",$F21="Yes",$G21="Yes",$H21="Yes",$I21="Yes",$J21="Yes",$K21="Yes",$L21="Yes",$M21="No"),"Yes","No"))</f>
        <v/>
      </c>
      <c r="O21" s="15">
        <f>IF($B21="","",IF($N21="Yes","Eligible",TRIM(IF($E21&lt;&gt;"Yes","Academic; ","")&amp;IF($F21&lt;&gt;"Yes","Classroom; ","")&amp;IF($G21&lt;&gt;"Yes","PT sessions; ","")&amp;IF($H21&lt;&gt;"Yes","Skills; ","")&amp;IF($I21&lt;&gt;"Yes","Incidents; ","")&amp;IF($J21&lt;&gt;"Yes","Writing; ","")&amp;IF($K21&lt;&gt;"Yes","Makeup owed; ","")&amp;IF($L21&lt;&gt;"Yes","Final PT; ","")&amp;IF($M21="Yes","Dismissal review; ",""))))</f>
        <v/>
      </c>
      <c r="P21" s="15">
        <f>IF($B21="","",IF(PT!$AB21="No","No","Yes"))</f>
        <v/>
      </c>
    </row>
    <row r="22">
      <c r="B22" s="15">
        <f>IF(Cadets!$B22="","",Cadets!$B22)</f>
        <v/>
      </c>
      <c r="C22" s="15">
        <f>IF($B22="","",Cadets!$F22)</f>
        <v/>
      </c>
      <c r="D22" s="15">
        <f>IF($B22="","",Cadets!$I22)</f>
        <v/>
      </c>
      <c r="E22" s="15">
        <f>IF($B22="","",sysGrades!$V22)</f>
        <v/>
      </c>
      <c r="F22" s="15">
        <f>IF($B22="","",sysAttendance!$K22)</f>
        <v/>
      </c>
      <c r="G22" s="15">
        <f>IF($B22="","",sysAttendance!$S22)</f>
        <v/>
      </c>
      <c r="H22" s="15">
        <f>IF($B22="","",sysSkills!$K22)</f>
        <v/>
      </c>
      <c r="I22" s="15">
        <f>IF($B22="","",sysIncidents!$K22)</f>
        <v/>
      </c>
      <c r="J22" s="15">
        <f>IF($B22="","",IF(Writing!$AT22="Yes","Yes","No"))</f>
        <v/>
      </c>
      <c r="K22" s="15">
        <f>IF($B22="","",sysAttendance!$T22)</f>
        <v/>
      </c>
      <c r="L22" s="15">
        <f>IF($B22="","",IF(PT!$AB22="No","No","Yes"))</f>
        <v/>
      </c>
      <c r="M22" s="15">
        <f>IF($B22="","",IF(OR(sysGrades!$P22&gt;0,sysSkills!$J22="Yes",sysIncidents!$J22&gt;0),"Yes","No"))</f>
        <v/>
      </c>
      <c r="N22" s="15">
        <f>IF($B22="","",IF(AND($E22="Yes",$F22="Yes",$G22="Yes",$H22="Yes",$I22="Yes",$J22="Yes",$K22="Yes",$L22="Yes",$M22="No"),"Yes","No"))</f>
        <v/>
      </c>
      <c r="O22" s="15">
        <f>IF($B22="","",IF($N22="Yes","Eligible",TRIM(IF($E22&lt;&gt;"Yes","Academic; ","")&amp;IF($F22&lt;&gt;"Yes","Classroom; ","")&amp;IF($G22&lt;&gt;"Yes","PT sessions; ","")&amp;IF($H22&lt;&gt;"Yes","Skills; ","")&amp;IF($I22&lt;&gt;"Yes","Incidents; ","")&amp;IF($J22&lt;&gt;"Yes","Writing; ","")&amp;IF($K22&lt;&gt;"Yes","Makeup owed; ","")&amp;IF($L22&lt;&gt;"Yes","Final PT; ","")&amp;IF($M22="Yes","Dismissal review; ",""))))</f>
        <v/>
      </c>
      <c r="P22" s="15">
        <f>IF($B22="","",IF(PT!$AB22="No","No","Yes"))</f>
        <v/>
      </c>
    </row>
    <row r="23">
      <c r="B23" s="15">
        <f>IF(Cadets!$B23="","",Cadets!$B23)</f>
        <v/>
      </c>
      <c r="C23" s="15">
        <f>IF($B23="","",Cadets!$F23)</f>
        <v/>
      </c>
      <c r="D23" s="15">
        <f>IF($B23="","",Cadets!$I23)</f>
        <v/>
      </c>
      <c r="E23" s="15">
        <f>IF($B23="","",sysGrades!$V23)</f>
        <v/>
      </c>
      <c r="F23" s="15">
        <f>IF($B23="","",sysAttendance!$K23)</f>
        <v/>
      </c>
      <c r="G23" s="15">
        <f>IF($B23="","",sysAttendance!$S23)</f>
        <v/>
      </c>
      <c r="H23" s="15">
        <f>IF($B23="","",sysSkills!$K23)</f>
        <v/>
      </c>
      <c r="I23" s="15">
        <f>IF($B23="","",sysIncidents!$K23)</f>
        <v/>
      </c>
      <c r="J23" s="15">
        <f>IF($B23="","",IF(Writing!$AT23="Yes","Yes","No"))</f>
        <v/>
      </c>
      <c r="K23" s="15">
        <f>IF($B23="","",sysAttendance!$T23)</f>
        <v/>
      </c>
      <c r="L23" s="15">
        <f>IF($B23="","",IF(PT!$AB23="No","No","Yes"))</f>
        <v/>
      </c>
      <c r="M23" s="15">
        <f>IF($B23="","",IF(OR(sysGrades!$P23&gt;0,sysSkills!$J23="Yes",sysIncidents!$J23&gt;0),"Yes","No"))</f>
        <v/>
      </c>
      <c r="N23" s="15">
        <f>IF($B23="","",IF(AND($E23="Yes",$F23="Yes",$G23="Yes",$H23="Yes",$I23="Yes",$J23="Yes",$K23="Yes",$L23="Yes",$M23="No"),"Yes","No"))</f>
        <v/>
      </c>
      <c r="O23" s="15">
        <f>IF($B23="","",IF($N23="Yes","Eligible",TRIM(IF($E23&lt;&gt;"Yes","Academic; ","")&amp;IF($F23&lt;&gt;"Yes","Classroom; ","")&amp;IF($G23&lt;&gt;"Yes","PT sessions; ","")&amp;IF($H23&lt;&gt;"Yes","Skills; ","")&amp;IF($I23&lt;&gt;"Yes","Incidents; ","")&amp;IF($J23&lt;&gt;"Yes","Writing; ","")&amp;IF($K23&lt;&gt;"Yes","Makeup owed; ","")&amp;IF($L23&lt;&gt;"Yes","Final PT; ","")&amp;IF($M23="Yes","Dismissal review; ",""))))</f>
        <v/>
      </c>
      <c r="P23" s="15">
        <f>IF($B23="","",IF(PT!$AB23="No","No","Yes"))</f>
        <v/>
      </c>
    </row>
    <row r="24">
      <c r="B24" s="15">
        <f>IF(Cadets!$B24="","",Cadets!$B24)</f>
        <v/>
      </c>
      <c r="C24" s="15">
        <f>IF($B24="","",Cadets!$F24)</f>
        <v/>
      </c>
      <c r="D24" s="15">
        <f>IF($B24="","",Cadets!$I24)</f>
        <v/>
      </c>
      <c r="E24" s="15">
        <f>IF($B24="","",sysGrades!$V24)</f>
        <v/>
      </c>
      <c r="F24" s="15">
        <f>IF($B24="","",sysAttendance!$K24)</f>
        <v/>
      </c>
      <c r="G24" s="15">
        <f>IF($B24="","",sysAttendance!$S24)</f>
        <v/>
      </c>
      <c r="H24" s="15">
        <f>IF($B24="","",sysSkills!$K24)</f>
        <v/>
      </c>
      <c r="I24" s="15">
        <f>IF($B24="","",sysIncidents!$K24)</f>
        <v/>
      </c>
      <c r="J24" s="15">
        <f>IF($B24="","",IF(Writing!$AT24="Yes","Yes","No"))</f>
        <v/>
      </c>
      <c r="K24" s="15">
        <f>IF($B24="","",sysAttendance!$T24)</f>
        <v/>
      </c>
      <c r="L24" s="15">
        <f>IF($B24="","",IF(PT!$AB24="No","No","Yes"))</f>
        <v/>
      </c>
      <c r="M24" s="15">
        <f>IF($B24="","",IF(OR(sysGrades!$P24&gt;0,sysSkills!$J24="Yes",sysIncidents!$J24&gt;0),"Yes","No"))</f>
        <v/>
      </c>
      <c r="N24" s="15">
        <f>IF($B24="","",IF(AND($E24="Yes",$F24="Yes",$G24="Yes",$H24="Yes",$I24="Yes",$J24="Yes",$K24="Yes",$L24="Yes",$M24="No"),"Yes","No"))</f>
        <v/>
      </c>
      <c r="O24" s="15">
        <f>IF($B24="","",IF($N24="Yes","Eligible",TRIM(IF($E24&lt;&gt;"Yes","Academic; ","")&amp;IF($F24&lt;&gt;"Yes","Classroom; ","")&amp;IF($G24&lt;&gt;"Yes","PT sessions; ","")&amp;IF($H24&lt;&gt;"Yes","Skills; ","")&amp;IF($I24&lt;&gt;"Yes","Incidents; ","")&amp;IF($J24&lt;&gt;"Yes","Writing; ","")&amp;IF($K24&lt;&gt;"Yes","Makeup owed; ","")&amp;IF($L24&lt;&gt;"Yes","Final PT; ","")&amp;IF($M24="Yes","Dismissal review; ",""))))</f>
        <v/>
      </c>
      <c r="P24" s="15">
        <f>IF($B24="","",IF(PT!$AB24="No","No","Yes"))</f>
        <v/>
      </c>
    </row>
    <row r="25">
      <c r="B25" s="15">
        <f>IF(Cadets!$B25="","",Cadets!$B25)</f>
        <v/>
      </c>
      <c r="C25" s="15">
        <f>IF($B25="","",Cadets!$F25)</f>
        <v/>
      </c>
      <c r="D25" s="15">
        <f>IF($B25="","",Cadets!$I25)</f>
        <v/>
      </c>
      <c r="E25" s="15">
        <f>IF($B25="","",sysGrades!$V25)</f>
        <v/>
      </c>
      <c r="F25" s="15">
        <f>IF($B25="","",sysAttendance!$K25)</f>
        <v/>
      </c>
      <c r="G25" s="15">
        <f>IF($B25="","",sysAttendance!$S25)</f>
        <v/>
      </c>
      <c r="H25" s="15">
        <f>IF($B25="","",sysSkills!$K25)</f>
        <v/>
      </c>
      <c r="I25" s="15">
        <f>IF($B25="","",sysIncidents!$K25)</f>
        <v/>
      </c>
      <c r="J25" s="15">
        <f>IF($B25="","",IF(Writing!$AT25="Yes","Yes","No"))</f>
        <v/>
      </c>
      <c r="K25" s="15">
        <f>IF($B25="","",sysAttendance!$T25)</f>
        <v/>
      </c>
      <c r="L25" s="15">
        <f>IF($B25="","",IF(PT!$AB25="No","No","Yes"))</f>
        <v/>
      </c>
      <c r="M25" s="15">
        <f>IF($B25="","",IF(OR(sysGrades!$P25&gt;0,sysSkills!$J25="Yes",sysIncidents!$J25&gt;0),"Yes","No"))</f>
        <v/>
      </c>
      <c r="N25" s="15">
        <f>IF($B25="","",IF(AND($E25="Yes",$F25="Yes",$G25="Yes",$H25="Yes",$I25="Yes",$J25="Yes",$K25="Yes",$L25="Yes",$M25="No"),"Yes","No"))</f>
        <v/>
      </c>
      <c r="O25" s="15">
        <f>IF($B25="","",IF($N25="Yes","Eligible",TRIM(IF($E25&lt;&gt;"Yes","Academic; ","")&amp;IF($F25&lt;&gt;"Yes","Classroom; ","")&amp;IF($G25&lt;&gt;"Yes","PT sessions; ","")&amp;IF($H25&lt;&gt;"Yes","Skills; ","")&amp;IF($I25&lt;&gt;"Yes","Incidents; ","")&amp;IF($J25&lt;&gt;"Yes","Writing; ","")&amp;IF($K25&lt;&gt;"Yes","Makeup owed; ","")&amp;IF($L25&lt;&gt;"Yes","Final PT; ","")&amp;IF($M25="Yes","Dismissal review; ",""))))</f>
        <v/>
      </c>
      <c r="P25" s="15">
        <f>IF($B25="","",IF(PT!$AB25="No","No","Yes"))</f>
        <v/>
      </c>
    </row>
    <row r="26">
      <c r="B26" s="15">
        <f>IF(Cadets!$B26="","",Cadets!$B26)</f>
        <v/>
      </c>
      <c r="C26" s="15">
        <f>IF($B26="","",Cadets!$F26)</f>
        <v/>
      </c>
      <c r="D26" s="15">
        <f>IF($B26="","",Cadets!$I26)</f>
        <v/>
      </c>
      <c r="E26" s="15">
        <f>IF($B26="","",sysGrades!$V26)</f>
        <v/>
      </c>
      <c r="F26" s="15">
        <f>IF($B26="","",sysAttendance!$K26)</f>
        <v/>
      </c>
      <c r="G26" s="15">
        <f>IF($B26="","",sysAttendance!$S26)</f>
        <v/>
      </c>
      <c r="H26" s="15">
        <f>IF($B26="","",sysSkills!$K26)</f>
        <v/>
      </c>
      <c r="I26" s="15">
        <f>IF($B26="","",sysIncidents!$K26)</f>
        <v/>
      </c>
      <c r="J26" s="15">
        <f>IF($B26="","",IF(Writing!$AT26="Yes","Yes","No"))</f>
        <v/>
      </c>
      <c r="K26" s="15">
        <f>IF($B26="","",sysAttendance!$T26)</f>
        <v/>
      </c>
      <c r="L26" s="15">
        <f>IF($B26="","",IF(PT!$AB26="No","No","Yes"))</f>
        <v/>
      </c>
      <c r="M26" s="15">
        <f>IF($B26="","",IF(OR(sysGrades!$P26&gt;0,sysSkills!$J26="Yes",sysIncidents!$J26&gt;0),"Yes","No"))</f>
        <v/>
      </c>
      <c r="N26" s="15">
        <f>IF($B26="","",IF(AND($E26="Yes",$F26="Yes",$G26="Yes",$H26="Yes",$I26="Yes",$J26="Yes",$K26="Yes",$L26="Yes",$M26="No"),"Yes","No"))</f>
        <v/>
      </c>
      <c r="O26" s="15">
        <f>IF($B26="","",IF($N26="Yes","Eligible",TRIM(IF($E26&lt;&gt;"Yes","Academic; ","")&amp;IF($F26&lt;&gt;"Yes","Classroom; ","")&amp;IF($G26&lt;&gt;"Yes","PT sessions; ","")&amp;IF($H26&lt;&gt;"Yes","Skills; ","")&amp;IF($I26&lt;&gt;"Yes","Incidents; ","")&amp;IF($J26&lt;&gt;"Yes","Writing; ","")&amp;IF($K26&lt;&gt;"Yes","Makeup owed; ","")&amp;IF($L26&lt;&gt;"Yes","Final PT; ","")&amp;IF($M26="Yes","Dismissal review; ",""))))</f>
        <v/>
      </c>
      <c r="P26" s="15">
        <f>IF($B26="","",IF(PT!$AB26="No","No","Yes"))</f>
        <v/>
      </c>
    </row>
    <row r="27">
      <c r="B27" s="15">
        <f>IF(Cadets!$B27="","",Cadets!$B27)</f>
        <v/>
      </c>
      <c r="C27" s="15">
        <f>IF($B27="","",Cadets!$F27)</f>
        <v/>
      </c>
      <c r="D27" s="15">
        <f>IF($B27="","",Cadets!$I27)</f>
        <v/>
      </c>
      <c r="E27" s="15">
        <f>IF($B27="","",sysGrades!$V27)</f>
        <v/>
      </c>
      <c r="F27" s="15">
        <f>IF($B27="","",sysAttendance!$K27)</f>
        <v/>
      </c>
      <c r="G27" s="15">
        <f>IF($B27="","",sysAttendance!$S27)</f>
        <v/>
      </c>
      <c r="H27" s="15">
        <f>IF($B27="","",sysSkills!$K27)</f>
        <v/>
      </c>
      <c r="I27" s="15">
        <f>IF($B27="","",sysIncidents!$K27)</f>
        <v/>
      </c>
      <c r="J27" s="15">
        <f>IF($B27="","",IF(Writing!$AT27="Yes","Yes","No"))</f>
        <v/>
      </c>
      <c r="K27" s="15">
        <f>IF($B27="","",sysAttendance!$T27)</f>
        <v/>
      </c>
      <c r="L27" s="15">
        <f>IF($B27="","",IF(PT!$AB27="No","No","Yes"))</f>
        <v/>
      </c>
      <c r="M27" s="15">
        <f>IF($B27="","",IF(OR(sysGrades!$P27&gt;0,sysSkills!$J27="Yes",sysIncidents!$J27&gt;0),"Yes","No"))</f>
        <v/>
      </c>
      <c r="N27" s="15">
        <f>IF($B27="","",IF(AND($E27="Yes",$F27="Yes",$G27="Yes",$H27="Yes",$I27="Yes",$J27="Yes",$K27="Yes",$L27="Yes",$M27="No"),"Yes","No"))</f>
        <v/>
      </c>
      <c r="O27" s="15">
        <f>IF($B27="","",IF($N27="Yes","Eligible",TRIM(IF($E27&lt;&gt;"Yes","Academic; ","")&amp;IF($F27&lt;&gt;"Yes","Classroom; ","")&amp;IF($G27&lt;&gt;"Yes","PT sessions; ","")&amp;IF($H27&lt;&gt;"Yes","Skills; ","")&amp;IF($I27&lt;&gt;"Yes","Incidents; ","")&amp;IF($J27&lt;&gt;"Yes","Writing; ","")&amp;IF($K27&lt;&gt;"Yes","Makeup owed; ","")&amp;IF($L27&lt;&gt;"Yes","Final PT; ","")&amp;IF($M27="Yes","Dismissal review; ",""))))</f>
        <v/>
      </c>
      <c r="P27" s="15">
        <f>IF($B27="","",IF(PT!$AB27="No","No","Yes"))</f>
        <v/>
      </c>
    </row>
    <row r="28">
      <c r="B28" s="15">
        <f>IF(Cadets!$B28="","",Cadets!$B28)</f>
        <v/>
      </c>
      <c r="C28" s="15">
        <f>IF($B28="","",Cadets!$F28)</f>
        <v/>
      </c>
      <c r="D28" s="15">
        <f>IF($B28="","",Cadets!$I28)</f>
        <v/>
      </c>
      <c r="E28" s="15">
        <f>IF($B28="","",sysGrades!$V28)</f>
        <v/>
      </c>
      <c r="F28" s="15">
        <f>IF($B28="","",sysAttendance!$K28)</f>
        <v/>
      </c>
      <c r="G28" s="15">
        <f>IF($B28="","",sysAttendance!$S28)</f>
        <v/>
      </c>
      <c r="H28" s="15">
        <f>IF($B28="","",sysSkills!$K28)</f>
        <v/>
      </c>
      <c r="I28" s="15">
        <f>IF($B28="","",sysIncidents!$K28)</f>
        <v/>
      </c>
      <c r="J28" s="15">
        <f>IF($B28="","",IF(Writing!$AT28="Yes","Yes","No"))</f>
        <v/>
      </c>
      <c r="K28" s="15">
        <f>IF($B28="","",sysAttendance!$T28)</f>
        <v/>
      </c>
      <c r="L28" s="15">
        <f>IF($B28="","",IF(PT!$AB28="No","No","Yes"))</f>
        <v/>
      </c>
      <c r="M28" s="15">
        <f>IF($B28="","",IF(OR(sysGrades!$P28&gt;0,sysSkills!$J28="Yes",sysIncidents!$J28&gt;0),"Yes","No"))</f>
        <v/>
      </c>
      <c r="N28" s="15">
        <f>IF($B28="","",IF(AND($E28="Yes",$F28="Yes",$G28="Yes",$H28="Yes",$I28="Yes",$J28="Yes",$K28="Yes",$L28="Yes",$M28="No"),"Yes","No"))</f>
        <v/>
      </c>
      <c r="O28" s="15">
        <f>IF($B28="","",IF($N28="Yes","Eligible",TRIM(IF($E28&lt;&gt;"Yes","Academic; ","")&amp;IF($F28&lt;&gt;"Yes","Classroom; ","")&amp;IF($G28&lt;&gt;"Yes","PT sessions; ","")&amp;IF($H28&lt;&gt;"Yes","Skills; ","")&amp;IF($I28&lt;&gt;"Yes","Incidents; ","")&amp;IF($J28&lt;&gt;"Yes","Writing; ","")&amp;IF($K28&lt;&gt;"Yes","Makeup owed; ","")&amp;IF($L28&lt;&gt;"Yes","Final PT; ","")&amp;IF($M28="Yes","Dismissal review; ",""))))</f>
        <v/>
      </c>
      <c r="P28" s="15">
        <f>IF($B28="","",IF(PT!$AB28="No","No","Yes"))</f>
        <v/>
      </c>
    </row>
    <row r="29">
      <c r="B29" s="15">
        <f>IF(Cadets!$B29="","",Cadets!$B29)</f>
        <v/>
      </c>
      <c r="C29" s="15">
        <f>IF($B29="","",Cadets!$F29)</f>
        <v/>
      </c>
      <c r="D29" s="15">
        <f>IF($B29="","",Cadets!$I29)</f>
        <v/>
      </c>
      <c r="E29" s="15">
        <f>IF($B29="","",sysGrades!$V29)</f>
        <v/>
      </c>
      <c r="F29" s="15">
        <f>IF($B29="","",sysAttendance!$K29)</f>
        <v/>
      </c>
      <c r="G29" s="15">
        <f>IF($B29="","",sysAttendance!$S29)</f>
        <v/>
      </c>
      <c r="H29" s="15">
        <f>IF($B29="","",sysSkills!$K29)</f>
        <v/>
      </c>
      <c r="I29" s="15">
        <f>IF($B29="","",sysIncidents!$K29)</f>
        <v/>
      </c>
      <c r="J29" s="15">
        <f>IF($B29="","",IF(Writing!$AT29="Yes","Yes","No"))</f>
        <v/>
      </c>
      <c r="K29" s="15">
        <f>IF($B29="","",sysAttendance!$T29)</f>
        <v/>
      </c>
      <c r="L29" s="15">
        <f>IF($B29="","",IF(PT!$AB29="No","No","Yes"))</f>
        <v/>
      </c>
      <c r="M29" s="15">
        <f>IF($B29="","",IF(OR(sysGrades!$P29&gt;0,sysSkills!$J29="Yes",sysIncidents!$J29&gt;0),"Yes","No"))</f>
        <v/>
      </c>
      <c r="N29" s="15">
        <f>IF($B29="","",IF(AND($E29="Yes",$F29="Yes",$G29="Yes",$H29="Yes",$I29="Yes",$J29="Yes",$K29="Yes",$L29="Yes",$M29="No"),"Yes","No"))</f>
        <v/>
      </c>
      <c r="O29" s="15">
        <f>IF($B29="","",IF($N29="Yes","Eligible",TRIM(IF($E29&lt;&gt;"Yes","Academic; ","")&amp;IF($F29&lt;&gt;"Yes","Classroom; ","")&amp;IF($G29&lt;&gt;"Yes","PT sessions; ","")&amp;IF($H29&lt;&gt;"Yes","Skills; ","")&amp;IF($I29&lt;&gt;"Yes","Incidents; ","")&amp;IF($J29&lt;&gt;"Yes","Writing; ","")&amp;IF($K29&lt;&gt;"Yes","Makeup owed; ","")&amp;IF($L29&lt;&gt;"Yes","Final PT; ","")&amp;IF($M29="Yes","Dismissal review; ",""))))</f>
        <v/>
      </c>
      <c r="P29" s="15">
        <f>IF($B29="","",IF(PT!$AB29="No","No","Yes"))</f>
        <v/>
      </c>
    </row>
    <row r="30">
      <c r="B30" s="15">
        <f>IF(Cadets!$B30="","",Cadets!$B30)</f>
        <v/>
      </c>
      <c r="C30" s="15">
        <f>IF($B30="","",Cadets!$F30)</f>
        <v/>
      </c>
      <c r="D30" s="15">
        <f>IF($B30="","",Cadets!$I30)</f>
        <v/>
      </c>
      <c r="E30" s="15">
        <f>IF($B30="","",sysGrades!$V30)</f>
        <v/>
      </c>
      <c r="F30" s="15">
        <f>IF($B30="","",sysAttendance!$K30)</f>
        <v/>
      </c>
      <c r="G30" s="15">
        <f>IF($B30="","",sysAttendance!$S30)</f>
        <v/>
      </c>
      <c r="H30" s="15">
        <f>IF($B30="","",sysSkills!$K30)</f>
        <v/>
      </c>
      <c r="I30" s="15">
        <f>IF($B30="","",sysIncidents!$K30)</f>
        <v/>
      </c>
      <c r="J30" s="15">
        <f>IF($B30="","",IF(Writing!$AT30="Yes","Yes","No"))</f>
        <v/>
      </c>
      <c r="K30" s="15">
        <f>IF($B30="","",sysAttendance!$T30)</f>
        <v/>
      </c>
      <c r="L30" s="15">
        <f>IF($B30="","",IF(PT!$AB30="No","No","Yes"))</f>
        <v/>
      </c>
      <c r="M30" s="15">
        <f>IF($B30="","",IF(OR(sysGrades!$P30&gt;0,sysSkills!$J30="Yes",sysIncidents!$J30&gt;0),"Yes","No"))</f>
        <v/>
      </c>
      <c r="N30" s="15">
        <f>IF($B30="","",IF(AND($E30="Yes",$F30="Yes",$G30="Yes",$H30="Yes",$I30="Yes",$J30="Yes",$K30="Yes",$L30="Yes",$M30="No"),"Yes","No"))</f>
        <v/>
      </c>
      <c r="O30" s="15">
        <f>IF($B30="","",IF($N30="Yes","Eligible",TRIM(IF($E30&lt;&gt;"Yes","Academic; ","")&amp;IF($F30&lt;&gt;"Yes","Classroom; ","")&amp;IF($G30&lt;&gt;"Yes","PT sessions; ","")&amp;IF($H30&lt;&gt;"Yes","Skills; ","")&amp;IF($I30&lt;&gt;"Yes","Incidents; ","")&amp;IF($J30&lt;&gt;"Yes","Writing; ","")&amp;IF($K30&lt;&gt;"Yes","Makeup owed; ","")&amp;IF($L30&lt;&gt;"Yes","Final PT; ","")&amp;IF($M30="Yes","Dismissal review; ",""))))</f>
        <v/>
      </c>
      <c r="P30" s="15">
        <f>IF($B30="","",IF(PT!$AB30="No","No","Yes"))</f>
        <v/>
      </c>
    </row>
    <row r="31">
      <c r="B31" s="15">
        <f>IF(Cadets!$B31="","",Cadets!$B31)</f>
        <v/>
      </c>
      <c r="C31" s="15">
        <f>IF($B31="","",Cadets!$F31)</f>
        <v/>
      </c>
      <c r="D31" s="15">
        <f>IF($B31="","",Cadets!$I31)</f>
        <v/>
      </c>
      <c r="E31" s="15">
        <f>IF($B31="","",sysGrades!$V31)</f>
        <v/>
      </c>
      <c r="F31" s="15">
        <f>IF($B31="","",sysAttendance!$K31)</f>
        <v/>
      </c>
      <c r="G31" s="15">
        <f>IF($B31="","",sysAttendance!$S31)</f>
        <v/>
      </c>
      <c r="H31" s="15">
        <f>IF($B31="","",sysSkills!$K31)</f>
        <v/>
      </c>
      <c r="I31" s="15">
        <f>IF($B31="","",sysIncidents!$K31)</f>
        <v/>
      </c>
      <c r="J31" s="15">
        <f>IF($B31="","",IF(Writing!$AT31="Yes","Yes","No"))</f>
        <v/>
      </c>
      <c r="K31" s="15">
        <f>IF($B31="","",sysAttendance!$T31)</f>
        <v/>
      </c>
      <c r="L31" s="15">
        <f>IF($B31="","",IF(PT!$AB31="No","No","Yes"))</f>
        <v/>
      </c>
      <c r="M31" s="15">
        <f>IF($B31="","",IF(OR(sysGrades!$P31&gt;0,sysSkills!$J31="Yes",sysIncidents!$J31&gt;0),"Yes","No"))</f>
        <v/>
      </c>
      <c r="N31" s="15">
        <f>IF($B31="","",IF(AND($E31="Yes",$F31="Yes",$G31="Yes",$H31="Yes",$I31="Yes",$J31="Yes",$K31="Yes",$L31="Yes",$M31="No"),"Yes","No"))</f>
        <v/>
      </c>
      <c r="O31" s="15">
        <f>IF($B31="","",IF($N31="Yes","Eligible",TRIM(IF($E31&lt;&gt;"Yes","Academic; ","")&amp;IF($F31&lt;&gt;"Yes","Classroom; ","")&amp;IF($G31&lt;&gt;"Yes","PT sessions; ","")&amp;IF($H31&lt;&gt;"Yes","Skills; ","")&amp;IF($I31&lt;&gt;"Yes","Incidents; ","")&amp;IF($J31&lt;&gt;"Yes","Writing; ","")&amp;IF($K31&lt;&gt;"Yes","Makeup owed; ","")&amp;IF($L31&lt;&gt;"Yes","Final PT; ","")&amp;IF($M31="Yes","Dismissal review; ",""))))</f>
        <v/>
      </c>
      <c r="P31" s="15">
        <f>IF($B31="","",IF(PT!$AB31="No","No","Yes"))</f>
        <v/>
      </c>
    </row>
    <row r="32">
      <c r="B32" s="15">
        <f>IF(Cadets!$B32="","",Cadets!$B32)</f>
        <v/>
      </c>
      <c r="C32" s="15">
        <f>IF($B32="","",Cadets!$F32)</f>
        <v/>
      </c>
      <c r="D32" s="15">
        <f>IF($B32="","",Cadets!$I32)</f>
        <v/>
      </c>
      <c r="E32" s="15">
        <f>IF($B32="","",sysGrades!$V32)</f>
        <v/>
      </c>
      <c r="F32" s="15">
        <f>IF($B32="","",sysAttendance!$K32)</f>
        <v/>
      </c>
      <c r="G32" s="15">
        <f>IF($B32="","",sysAttendance!$S32)</f>
        <v/>
      </c>
      <c r="H32" s="15">
        <f>IF($B32="","",sysSkills!$K32)</f>
        <v/>
      </c>
      <c r="I32" s="15">
        <f>IF($B32="","",sysIncidents!$K32)</f>
        <v/>
      </c>
      <c r="J32" s="15">
        <f>IF($B32="","",IF(Writing!$AT32="Yes","Yes","No"))</f>
        <v/>
      </c>
      <c r="K32" s="15">
        <f>IF($B32="","",sysAttendance!$T32)</f>
        <v/>
      </c>
      <c r="L32" s="15">
        <f>IF($B32="","",IF(PT!$AB32="No","No","Yes"))</f>
        <v/>
      </c>
      <c r="M32" s="15">
        <f>IF($B32="","",IF(OR(sysGrades!$P32&gt;0,sysSkills!$J32="Yes",sysIncidents!$J32&gt;0),"Yes","No"))</f>
        <v/>
      </c>
      <c r="N32" s="15">
        <f>IF($B32="","",IF(AND($E32="Yes",$F32="Yes",$G32="Yes",$H32="Yes",$I32="Yes",$J32="Yes",$K32="Yes",$L32="Yes",$M32="No"),"Yes","No"))</f>
        <v/>
      </c>
      <c r="O32" s="15">
        <f>IF($B32="","",IF($N32="Yes","Eligible",TRIM(IF($E32&lt;&gt;"Yes","Academic; ","")&amp;IF($F32&lt;&gt;"Yes","Classroom; ","")&amp;IF($G32&lt;&gt;"Yes","PT sessions; ","")&amp;IF($H32&lt;&gt;"Yes","Skills; ","")&amp;IF($I32&lt;&gt;"Yes","Incidents; ","")&amp;IF($J32&lt;&gt;"Yes","Writing; ","")&amp;IF($K32&lt;&gt;"Yes","Makeup owed; ","")&amp;IF($L32&lt;&gt;"Yes","Final PT; ","")&amp;IF($M32="Yes","Dismissal review; ",""))))</f>
        <v/>
      </c>
      <c r="P32" s="15">
        <f>IF($B32="","",IF(PT!$AB32="No","No","Yes"))</f>
        <v/>
      </c>
    </row>
    <row r="33">
      <c r="B33" s="15">
        <f>IF(Cadets!$B33="","",Cadets!$B33)</f>
        <v/>
      </c>
      <c r="C33" s="15">
        <f>IF($B33="","",Cadets!$F33)</f>
        <v/>
      </c>
      <c r="D33" s="15">
        <f>IF($B33="","",Cadets!$I33)</f>
        <v/>
      </c>
      <c r="E33" s="15">
        <f>IF($B33="","",sysGrades!$V33)</f>
        <v/>
      </c>
      <c r="F33" s="15">
        <f>IF($B33="","",sysAttendance!$K33)</f>
        <v/>
      </c>
      <c r="G33" s="15">
        <f>IF($B33="","",sysAttendance!$S33)</f>
        <v/>
      </c>
      <c r="H33" s="15">
        <f>IF($B33="","",sysSkills!$K33)</f>
        <v/>
      </c>
      <c r="I33" s="15">
        <f>IF($B33="","",sysIncidents!$K33)</f>
        <v/>
      </c>
      <c r="J33" s="15">
        <f>IF($B33="","",IF(Writing!$AT33="Yes","Yes","No"))</f>
        <v/>
      </c>
      <c r="K33" s="15">
        <f>IF($B33="","",sysAttendance!$T33)</f>
        <v/>
      </c>
      <c r="L33" s="15">
        <f>IF($B33="","",IF(PT!$AB33="No","No","Yes"))</f>
        <v/>
      </c>
      <c r="M33" s="15">
        <f>IF($B33="","",IF(OR(sysGrades!$P33&gt;0,sysSkills!$J33="Yes",sysIncidents!$J33&gt;0),"Yes","No"))</f>
        <v/>
      </c>
      <c r="N33" s="15">
        <f>IF($B33="","",IF(AND($E33="Yes",$F33="Yes",$G33="Yes",$H33="Yes",$I33="Yes",$J33="Yes",$K33="Yes",$L33="Yes",$M33="No"),"Yes","No"))</f>
        <v/>
      </c>
      <c r="O33" s="15">
        <f>IF($B33="","",IF($N33="Yes","Eligible",TRIM(IF($E33&lt;&gt;"Yes","Academic; ","")&amp;IF($F33&lt;&gt;"Yes","Classroom; ","")&amp;IF($G33&lt;&gt;"Yes","PT sessions; ","")&amp;IF($H33&lt;&gt;"Yes","Skills; ","")&amp;IF($I33&lt;&gt;"Yes","Incidents; ","")&amp;IF($J33&lt;&gt;"Yes","Writing; ","")&amp;IF($K33&lt;&gt;"Yes","Makeup owed; ","")&amp;IF($L33&lt;&gt;"Yes","Final PT; ","")&amp;IF($M33="Yes","Dismissal review; ",""))))</f>
        <v/>
      </c>
      <c r="P33" s="15">
        <f>IF($B33="","",IF(PT!$AB33="No","No","Yes"))</f>
        <v/>
      </c>
    </row>
    <row r="34">
      <c r="B34" s="15">
        <f>IF(Cadets!$B34="","",Cadets!$B34)</f>
        <v/>
      </c>
      <c r="C34" s="15">
        <f>IF($B34="","",Cadets!$F34)</f>
        <v/>
      </c>
      <c r="D34" s="15">
        <f>IF($B34="","",Cadets!$I34)</f>
        <v/>
      </c>
      <c r="E34" s="15">
        <f>IF($B34="","",sysGrades!$V34)</f>
        <v/>
      </c>
      <c r="F34" s="15">
        <f>IF($B34="","",sysAttendance!$K34)</f>
        <v/>
      </c>
      <c r="G34" s="15">
        <f>IF($B34="","",sysAttendance!$S34)</f>
        <v/>
      </c>
      <c r="H34" s="15">
        <f>IF($B34="","",sysSkills!$K34)</f>
        <v/>
      </c>
      <c r="I34" s="15">
        <f>IF($B34="","",sysIncidents!$K34)</f>
        <v/>
      </c>
      <c r="J34" s="15">
        <f>IF($B34="","",IF(Writing!$AT34="Yes","Yes","No"))</f>
        <v/>
      </c>
      <c r="K34" s="15">
        <f>IF($B34="","",sysAttendance!$T34)</f>
        <v/>
      </c>
      <c r="L34" s="15">
        <f>IF($B34="","",IF(PT!$AB34="No","No","Yes"))</f>
        <v/>
      </c>
      <c r="M34" s="15">
        <f>IF($B34="","",IF(OR(sysGrades!$P34&gt;0,sysSkills!$J34="Yes",sysIncidents!$J34&gt;0),"Yes","No"))</f>
        <v/>
      </c>
      <c r="N34" s="15">
        <f>IF($B34="","",IF(AND($E34="Yes",$F34="Yes",$G34="Yes",$H34="Yes",$I34="Yes",$J34="Yes",$K34="Yes",$L34="Yes",$M34="No"),"Yes","No"))</f>
        <v/>
      </c>
      <c r="O34" s="15">
        <f>IF($B34="","",IF($N34="Yes","Eligible",TRIM(IF($E34&lt;&gt;"Yes","Academic; ","")&amp;IF($F34&lt;&gt;"Yes","Classroom; ","")&amp;IF($G34&lt;&gt;"Yes","PT sessions; ","")&amp;IF($H34&lt;&gt;"Yes","Skills; ","")&amp;IF($I34&lt;&gt;"Yes","Incidents; ","")&amp;IF($J34&lt;&gt;"Yes","Writing; ","")&amp;IF($K34&lt;&gt;"Yes","Makeup owed; ","")&amp;IF($L34&lt;&gt;"Yes","Final PT; ","")&amp;IF($M34="Yes","Dismissal review; ",""))))</f>
        <v/>
      </c>
      <c r="P34" s="15">
        <f>IF($B34="","",IF(PT!$AB34="No","No","Yes"))</f>
        <v/>
      </c>
    </row>
    <row r="35">
      <c r="B35" s="15">
        <f>IF(Cadets!$B35="","",Cadets!$B35)</f>
        <v/>
      </c>
      <c r="C35" s="15">
        <f>IF($B35="","",Cadets!$F35)</f>
        <v/>
      </c>
      <c r="D35" s="15">
        <f>IF($B35="","",Cadets!$I35)</f>
        <v/>
      </c>
      <c r="E35" s="15">
        <f>IF($B35="","",sysGrades!$V35)</f>
        <v/>
      </c>
      <c r="F35" s="15">
        <f>IF($B35="","",sysAttendance!$K35)</f>
        <v/>
      </c>
      <c r="G35" s="15">
        <f>IF($B35="","",sysAttendance!$S35)</f>
        <v/>
      </c>
      <c r="H35" s="15">
        <f>IF($B35="","",sysSkills!$K35)</f>
        <v/>
      </c>
      <c r="I35" s="15">
        <f>IF($B35="","",sysIncidents!$K35)</f>
        <v/>
      </c>
      <c r="J35" s="15">
        <f>IF($B35="","",IF(Writing!$AT35="Yes","Yes","No"))</f>
        <v/>
      </c>
      <c r="K35" s="15">
        <f>IF($B35="","",sysAttendance!$T35)</f>
        <v/>
      </c>
      <c r="L35" s="15">
        <f>IF($B35="","",IF(PT!$AB35="No","No","Yes"))</f>
        <v/>
      </c>
      <c r="M35" s="15">
        <f>IF($B35="","",IF(OR(sysGrades!$P35&gt;0,sysSkills!$J35="Yes",sysIncidents!$J35&gt;0),"Yes","No"))</f>
        <v/>
      </c>
      <c r="N35" s="15">
        <f>IF($B35="","",IF(AND($E35="Yes",$F35="Yes",$G35="Yes",$H35="Yes",$I35="Yes",$J35="Yes",$K35="Yes",$L35="Yes",$M35="No"),"Yes","No"))</f>
        <v/>
      </c>
      <c r="O35" s="15">
        <f>IF($B35="","",IF($N35="Yes","Eligible",TRIM(IF($E35&lt;&gt;"Yes","Academic; ","")&amp;IF($F35&lt;&gt;"Yes","Classroom; ","")&amp;IF($G35&lt;&gt;"Yes","PT sessions; ","")&amp;IF($H35&lt;&gt;"Yes","Skills; ","")&amp;IF($I35&lt;&gt;"Yes","Incidents; ","")&amp;IF($J35&lt;&gt;"Yes","Writing; ","")&amp;IF($K35&lt;&gt;"Yes","Makeup owed; ","")&amp;IF($L35&lt;&gt;"Yes","Final PT; ","")&amp;IF($M35="Yes","Dismissal review; ",""))))</f>
        <v/>
      </c>
      <c r="P35" s="15">
        <f>IF($B35="","",IF(PT!$AB35="No","No","Yes"))</f>
        <v/>
      </c>
    </row>
    <row r="36">
      <c r="B36" s="15">
        <f>IF(Cadets!$B36="","",Cadets!$B36)</f>
        <v/>
      </c>
      <c r="C36" s="15">
        <f>IF($B36="","",Cadets!$F36)</f>
        <v/>
      </c>
      <c r="D36" s="15">
        <f>IF($B36="","",Cadets!$I36)</f>
        <v/>
      </c>
      <c r="E36" s="15">
        <f>IF($B36="","",sysGrades!$V36)</f>
        <v/>
      </c>
      <c r="F36" s="15">
        <f>IF($B36="","",sysAttendance!$K36)</f>
        <v/>
      </c>
      <c r="G36" s="15">
        <f>IF($B36="","",sysAttendance!$S36)</f>
        <v/>
      </c>
      <c r="H36" s="15">
        <f>IF($B36="","",sysSkills!$K36)</f>
        <v/>
      </c>
      <c r="I36" s="15">
        <f>IF($B36="","",sysIncidents!$K36)</f>
        <v/>
      </c>
      <c r="J36" s="15">
        <f>IF($B36="","",IF(Writing!$AT36="Yes","Yes","No"))</f>
        <v/>
      </c>
      <c r="K36" s="15">
        <f>IF($B36="","",sysAttendance!$T36)</f>
        <v/>
      </c>
      <c r="L36" s="15">
        <f>IF($B36="","",IF(PT!$AB36="No","No","Yes"))</f>
        <v/>
      </c>
      <c r="M36" s="15">
        <f>IF($B36="","",IF(OR(sysGrades!$P36&gt;0,sysSkills!$J36="Yes",sysIncidents!$J36&gt;0),"Yes","No"))</f>
        <v/>
      </c>
      <c r="N36" s="15">
        <f>IF($B36="","",IF(AND($E36="Yes",$F36="Yes",$G36="Yes",$H36="Yes",$I36="Yes",$J36="Yes",$K36="Yes",$L36="Yes",$M36="No"),"Yes","No"))</f>
        <v/>
      </c>
      <c r="O36" s="15">
        <f>IF($B36="","",IF($N36="Yes","Eligible",TRIM(IF($E36&lt;&gt;"Yes","Academic; ","")&amp;IF($F36&lt;&gt;"Yes","Classroom; ","")&amp;IF($G36&lt;&gt;"Yes","PT sessions; ","")&amp;IF($H36&lt;&gt;"Yes","Skills; ","")&amp;IF($I36&lt;&gt;"Yes","Incidents; ","")&amp;IF($J36&lt;&gt;"Yes","Writing; ","")&amp;IF($K36&lt;&gt;"Yes","Makeup owed; ","")&amp;IF($L36&lt;&gt;"Yes","Final PT; ","")&amp;IF($M36="Yes","Dismissal review; ",""))))</f>
        <v/>
      </c>
      <c r="P36" s="15">
        <f>IF($B36="","",IF(PT!$AB36="No","No","Yes"))</f>
        <v/>
      </c>
    </row>
    <row r="37">
      <c r="B37" s="15">
        <f>IF(Cadets!$B37="","",Cadets!$B37)</f>
        <v/>
      </c>
      <c r="C37" s="15">
        <f>IF($B37="","",Cadets!$F37)</f>
        <v/>
      </c>
      <c r="D37" s="15">
        <f>IF($B37="","",Cadets!$I37)</f>
        <v/>
      </c>
      <c r="E37" s="15">
        <f>IF($B37="","",sysGrades!$V37)</f>
        <v/>
      </c>
      <c r="F37" s="15">
        <f>IF($B37="","",sysAttendance!$K37)</f>
        <v/>
      </c>
      <c r="G37" s="15">
        <f>IF($B37="","",sysAttendance!$S37)</f>
        <v/>
      </c>
      <c r="H37" s="15">
        <f>IF($B37="","",sysSkills!$K37)</f>
        <v/>
      </c>
      <c r="I37" s="15">
        <f>IF($B37="","",sysIncidents!$K37)</f>
        <v/>
      </c>
      <c r="J37" s="15">
        <f>IF($B37="","",IF(Writing!$AT37="Yes","Yes","No"))</f>
        <v/>
      </c>
      <c r="K37" s="15">
        <f>IF($B37="","",sysAttendance!$T37)</f>
        <v/>
      </c>
      <c r="L37" s="15">
        <f>IF($B37="","",IF(PT!$AB37="No","No","Yes"))</f>
        <v/>
      </c>
      <c r="M37" s="15">
        <f>IF($B37="","",IF(OR(sysGrades!$P37&gt;0,sysSkills!$J37="Yes",sysIncidents!$J37&gt;0),"Yes","No"))</f>
        <v/>
      </c>
      <c r="N37" s="15">
        <f>IF($B37="","",IF(AND($E37="Yes",$F37="Yes",$G37="Yes",$H37="Yes",$I37="Yes",$J37="Yes",$K37="Yes",$L37="Yes",$M37="No"),"Yes","No"))</f>
        <v/>
      </c>
      <c r="O37" s="15">
        <f>IF($B37="","",IF($N37="Yes","Eligible",TRIM(IF($E37&lt;&gt;"Yes","Academic; ","")&amp;IF($F37&lt;&gt;"Yes","Classroom; ","")&amp;IF($G37&lt;&gt;"Yes","PT sessions; ","")&amp;IF($H37&lt;&gt;"Yes","Skills; ","")&amp;IF($I37&lt;&gt;"Yes","Incidents; ","")&amp;IF($J37&lt;&gt;"Yes","Writing; ","")&amp;IF($K37&lt;&gt;"Yes","Makeup owed; ","")&amp;IF($L37&lt;&gt;"Yes","Final PT; ","")&amp;IF($M37="Yes","Dismissal review; ",""))))</f>
        <v/>
      </c>
      <c r="P37" s="15">
        <f>IF($B37="","",IF(PT!$AB37="No","No","Yes"))</f>
        <v/>
      </c>
    </row>
    <row r="38">
      <c r="B38" s="15">
        <f>IF(Cadets!$B38="","",Cadets!$B38)</f>
        <v/>
      </c>
      <c r="C38" s="15">
        <f>IF($B38="","",Cadets!$F38)</f>
        <v/>
      </c>
      <c r="D38" s="15">
        <f>IF($B38="","",Cadets!$I38)</f>
        <v/>
      </c>
      <c r="E38" s="15">
        <f>IF($B38="","",sysGrades!$V38)</f>
        <v/>
      </c>
      <c r="F38" s="15">
        <f>IF($B38="","",sysAttendance!$K38)</f>
        <v/>
      </c>
      <c r="G38" s="15">
        <f>IF($B38="","",sysAttendance!$S38)</f>
        <v/>
      </c>
      <c r="H38" s="15">
        <f>IF($B38="","",sysSkills!$K38)</f>
        <v/>
      </c>
      <c r="I38" s="15">
        <f>IF($B38="","",sysIncidents!$K38)</f>
        <v/>
      </c>
      <c r="J38" s="15">
        <f>IF($B38="","",IF(Writing!$AT38="Yes","Yes","No"))</f>
        <v/>
      </c>
      <c r="K38" s="15">
        <f>IF($B38="","",sysAttendance!$T38)</f>
        <v/>
      </c>
      <c r="L38" s="15">
        <f>IF($B38="","",IF(PT!$AB38="No","No","Yes"))</f>
        <v/>
      </c>
      <c r="M38" s="15">
        <f>IF($B38="","",IF(OR(sysGrades!$P38&gt;0,sysSkills!$J38="Yes",sysIncidents!$J38&gt;0),"Yes","No"))</f>
        <v/>
      </c>
      <c r="N38" s="15">
        <f>IF($B38="","",IF(AND($E38="Yes",$F38="Yes",$G38="Yes",$H38="Yes",$I38="Yes",$J38="Yes",$K38="Yes",$L38="Yes",$M38="No"),"Yes","No"))</f>
        <v/>
      </c>
      <c r="O38" s="15">
        <f>IF($B38="","",IF($N38="Yes","Eligible",TRIM(IF($E38&lt;&gt;"Yes","Academic; ","")&amp;IF($F38&lt;&gt;"Yes","Classroom; ","")&amp;IF($G38&lt;&gt;"Yes","PT sessions; ","")&amp;IF($H38&lt;&gt;"Yes","Skills; ","")&amp;IF($I38&lt;&gt;"Yes","Incidents; ","")&amp;IF($J38&lt;&gt;"Yes","Writing; ","")&amp;IF($K38&lt;&gt;"Yes","Makeup owed; ","")&amp;IF($L38&lt;&gt;"Yes","Final PT; ","")&amp;IF($M38="Yes","Dismissal review; ",""))))</f>
        <v/>
      </c>
      <c r="P38" s="15">
        <f>IF($B38="","",IF(PT!$AB38="No","No","Yes"))</f>
        <v/>
      </c>
    </row>
    <row r="39">
      <c r="B39" s="15">
        <f>IF(Cadets!$B39="","",Cadets!$B39)</f>
        <v/>
      </c>
      <c r="C39" s="15">
        <f>IF($B39="","",Cadets!$F39)</f>
        <v/>
      </c>
      <c r="D39" s="15">
        <f>IF($B39="","",Cadets!$I39)</f>
        <v/>
      </c>
      <c r="E39" s="15">
        <f>IF($B39="","",sysGrades!$V39)</f>
        <v/>
      </c>
      <c r="F39" s="15">
        <f>IF($B39="","",sysAttendance!$K39)</f>
        <v/>
      </c>
      <c r="G39" s="15">
        <f>IF($B39="","",sysAttendance!$S39)</f>
        <v/>
      </c>
      <c r="H39" s="15">
        <f>IF($B39="","",sysSkills!$K39)</f>
        <v/>
      </c>
      <c r="I39" s="15">
        <f>IF($B39="","",sysIncidents!$K39)</f>
        <v/>
      </c>
      <c r="J39" s="15">
        <f>IF($B39="","",IF(Writing!$AT39="Yes","Yes","No"))</f>
        <v/>
      </c>
      <c r="K39" s="15">
        <f>IF($B39="","",sysAttendance!$T39)</f>
        <v/>
      </c>
      <c r="L39" s="15">
        <f>IF($B39="","",IF(PT!$AB39="No","No","Yes"))</f>
        <v/>
      </c>
      <c r="M39" s="15">
        <f>IF($B39="","",IF(OR(sysGrades!$P39&gt;0,sysSkills!$J39="Yes",sysIncidents!$J39&gt;0),"Yes","No"))</f>
        <v/>
      </c>
      <c r="N39" s="15">
        <f>IF($B39="","",IF(AND($E39="Yes",$F39="Yes",$G39="Yes",$H39="Yes",$I39="Yes",$J39="Yes",$K39="Yes",$L39="Yes",$M39="No"),"Yes","No"))</f>
        <v/>
      </c>
      <c r="O39" s="15">
        <f>IF($B39="","",IF($N39="Yes","Eligible",TRIM(IF($E39&lt;&gt;"Yes","Academic; ","")&amp;IF($F39&lt;&gt;"Yes","Classroom; ","")&amp;IF($G39&lt;&gt;"Yes","PT sessions; ","")&amp;IF($H39&lt;&gt;"Yes","Skills; ","")&amp;IF($I39&lt;&gt;"Yes","Incidents; ","")&amp;IF($J39&lt;&gt;"Yes","Writing; ","")&amp;IF($K39&lt;&gt;"Yes","Makeup owed; ","")&amp;IF($L39&lt;&gt;"Yes","Final PT; ","")&amp;IF($M39="Yes","Dismissal review; ",""))))</f>
        <v/>
      </c>
      <c r="P39" s="15">
        <f>IF($B39="","",IF(PT!$AB39="No","No","Yes"))</f>
        <v/>
      </c>
    </row>
    <row r="40">
      <c r="B40" s="15">
        <f>IF(Cadets!$B40="","",Cadets!$B40)</f>
        <v/>
      </c>
      <c r="C40" s="15">
        <f>IF($B40="","",Cadets!$F40)</f>
        <v/>
      </c>
      <c r="D40" s="15">
        <f>IF($B40="","",Cadets!$I40)</f>
        <v/>
      </c>
      <c r="E40" s="15">
        <f>IF($B40="","",sysGrades!$V40)</f>
        <v/>
      </c>
      <c r="F40" s="15">
        <f>IF($B40="","",sysAttendance!$K40)</f>
        <v/>
      </c>
      <c r="G40" s="15">
        <f>IF($B40="","",sysAttendance!$S40)</f>
        <v/>
      </c>
      <c r="H40" s="15">
        <f>IF($B40="","",sysSkills!$K40)</f>
        <v/>
      </c>
      <c r="I40" s="15">
        <f>IF($B40="","",sysIncidents!$K40)</f>
        <v/>
      </c>
      <c r="J40" s="15">
        <f>IF($B40="","",IF(Writing!$AT40="Yes","Yes","No"))</f>
        <v/>
      </c>
      <c r="K40" s="15">
        <f>IF($B40="","",sysAttendance!$T40)</f>
        <v/>
      </c>
      <c r="L40" s="15">
        <f>IF($B40="","",IF(PT!$AB40="No","No","Yes"))</f>
        <v/>
      </c>
      <c r="M40" s="15">
        <f>IF($B40="","",IF(OR(sysGrades!$P40&gt;0,sysSkills!$J40="Yes",sysIncidents!$J40&gt;0),"Yes","No"))</f>
        <v/>
      </c>
      <c r="N40" s="15">
        <f>IF($B40="","",IF(AND($E40="Yes",$F40="Yes",$G40="Yes",$H40="Yes",$I40="Yes",$J40="Yes",$K40="Yes",$L40="Yes",$M40="No"),"Yes","No"))</f>
        <v/>
      </c>
      <c r="O40" s="15">
        <f>IF($B40="","",IF($N40="Yes","Eligible",TRIM(IF($E40&lt;&gt;"Yes","Academic; ","")&amp;IF($F40&lt;&gt;"Yes","Classroom; ","")&amp;IF($G40&lt;&gt;"Yes","PT sessions; ","")&amp;IF($H40&lt;&gt;"Yes","Skills; ","")&amp;IF($I40&lt;&gt;"Yes","Incidents; ","")&amp;IF($J40&lt;&gt;"Yes","Writing; ","")&amp;IF($K40&lt;&gt;"Yes","Makeup owed; ","")&amp;IF($L40&lt;&gt;"Yes","Final PT; ","")&amp;IF($M40="Yes","Dismissal review; ",""))))</f>
        <v/>
      </c>
      <c r="P40" s="15">
        <f>IF($B40="","",IF(PT!$AB40="No","No","Yes"))</f>
        <v/>
      </c>
    </row>
    <row r="41">
      <c r="B41" s="15">
        <f>IF(Cadets!$B41="","",Cadets!$B41)</f>
        <v/>
      </c>
      <c r="C41" s="15">
        <f>IF($B41="","",Cadets!$F41)</f>
        <v/>
      </c>
      <c r="D41" s="15">
        <f>IF($B41="","",Cadets!$I41)</f>
        <v/>
      </c>
      <c r="E41" s="15">
        <f>IF($B41="","",sysGrades!$V41)</f>
        <v/>
      </c>
      <c r="F41" s="15">
        <f>IF($B41="","",sysAttendance!$K41)</f>
        <v/>
      </c>
      <c r="G41" s="15">
        <f>IF($B41="","",sysAttendance!$S41)</f>
        <v/>
      </c>
      <c r="H41" s="15">
        <f>IF($B41="","",sysSkills!$K41)</f>
        <v/>
      </c>
      <c r="I41" s="15">
        <f>IF($B41="","",sysIncidents!$K41)</f>
        <v/>
      </c>
      <c r="J41" s="15">
        <f>IF($B41="","",IF(Writing!$AT41="Yes","Yes","No"))</f>
        <v/>
      </c>
      <c r="K41" s="15">
        <f>IF($B41="","",sysAttendance!$T41)</f>
        <v/>
      </c>
      <c r="L41" s="15">
        <f>IF($B41="","",IF(PT!$AB41="No","No","Yes"))</f>
        <v/>
      </c>
      <c r="M41" s="15">
        <f>IF($B41="","",IF(OR(sysGrades!$P41&gt;0,sysSkills!$J41="Yes",sysIncidents!$J41&gt;0),"Yes","No"))</f>
        <v/>
      </c>
      <c r="N41" s="15">
        <f>IF($B41="","",IF(AND($E41="Yes",$F41="Yes",$G41="Yes",$H41="Yes",$I41="Yes",$J41="Yes",$K41="Yes",$L41="Yes",$M41="No"),"Yes","No"))</f>
        <v/>
      </c>
      <c r="O41" s="15">
        <f>IF($B41="","",IF($N41="Yes","Eligible",TRIM(IF($E41&lt;&gt;"Yes","Academic; ","")&amp;IF($F41&lt;&gt;"Yes","Classroom; ","")&amp;IF($G41&lt;&gt;"Yes","PT sessions; ","")&amp;IF($H41&lt;&gt;"Yes","Skills; ","")&amp;IF($I41&lt;&gt;"Yes","Incidents; ","")&amp;IF($J41&lt;&gt;"Yes","Writing; ","")&amp;IF($K41&lt;&gt;"Yes","Makeup owed; ","")&amp;IF($L41&lt;&gt;"Yes","Final PT; ","")&amp;IF($M41="Yes","Dismissal review; ",""))))</f>
        <v/>
      </c>
      <c r="P41" s="15">
        <f>IF($B41="","",IF(PT!$AB41="No","No","Yes"))</f>
        <v/>
      </c>
    </row>
    <row r="42">
      <c r="B42" s="15">
        <f>IF(Cadets!$B42="","",Cadets!$B42)</f>
        <v/>
      </c>
      <c r="C42" s="15">
        <f>IF($B42="","",Cadets!$F42)</f>
        <v/>
      </c>
      <c r="D42" s="15">
        <f>IF($B42="","",Cadets!$I42)</f>
        <v/>
      </c>
      <c r="E42" s="15">
        <f>IF($B42="","",sysGrades!$V42)</f>
        <v/>
      </c>
      <c r="F42" s="15">
        <f>IF($B42="","",sysAttendance!$K42)</f>
        <v/>
      </c>
      <c r="G42" s="15">
        <f>IF($B42="","",sysAttendance!$S42)</f>
        <v/>
      </c>
      <c r="H42" s="15">
        <f>IF($B42="","",sysSkills!$K42)</f>
        <v/>
      </c>
      <c r="I42" s="15">
        <f>IF($B42="","",sysIncidents!$K42)</f>
        <v/>
      </c>
      <c r="J42" s="15">
        <f>IF($B42="","",IF(Writing!$AT42="Yes","Yes","No"))</f>
        <v/>
      </c>
      <c r="K42" s="15">
        <f>IF($B42="","",sysAttendance!$T42)</f>
        <v/>
      </c>
      <c r="L42" s="15">
        <f>IF($B42="","",IF(PT!$AB42="No","No","Yes"))</f>
        <v/>
      </c>
      <c r="M42" s="15">
        <f>IF($B42="","",IF(OR(sysGrades!$P42&gt;0,sysSkills!$J42="Yes",sysIncidents!$J42&gt;0),"Yes","No"))</f>
        <v/>
      </c>
      <c r="N42" s="15">
        <f>IF($B42="","",IF(AND($E42="Yes",$F42="Yes",$G42="Yes",$H42="Yes",$I42="Yes",$J42="Yes",$K42="Yes",$L42="Yes",$M42="No"),"Yes","No"))</f>
        <v/>
      </c>
      <c r="O42" s="15">
        <f>IF($B42="","",IF($N42="Yes","Eligible",TRIM(IF($E42&lt;&gt;"Yes","Academic; ","")&amp;IF($F42&lt;&gt;"Yes","Classroom; ","")&amp;IF($G42&lt;&gt;"Yes","PT sessions; ","")&amp;IF($H42&lt;&gt;"Yes","Skills; ","")&amp;IF($I42&lt;&gt;"Yes","Incidents; ","")&amp;IF($J42&lt;&gt;"Yes","Writing; ","")&amp;IF($K42&lt;&gt;"Yes","Makeup owed; ","")&amp;IF($L42&lt;&gt;"Yes","Final PT; ","")&amp;IF($M42="Yes","Dismissal review; ",""))))</f>
        <v/>
      </c>
      <c r="P42" s="15">
        <f>IF($B42="","",IF(PT!$AB42="No","No","Yes"))</f>
        <v/>
      </c>
    </row>
    <row r="43">
      <c r="B43" s="15">
        <f>IF(Cadets!$B43="","",Cadets!$B43)</f>
        <v/>
      </c>
      <c r="C43" s="15">
        <f>IF($B43="","",Cadets!$F43)</f>
        <v/>
      </c>
      <c r="D43" s="15">
        <f>IF($B43="","",Cadets!$I43)</f>
        <v/>
      </c>
      <c r="E43" s="15">
        <f>IF($B43="","",sysGrades!$V43)</f>
        <v/>
      </c>
      <c r="F43" s="15">
        <f>IF($B43="","",sysAttendance!$K43)</f>
        <v/>
      </c>
      <c r="G43" s="15">
        <f>IF($B43="","",sysAttendance!$S43)</f>
        <v/>
      </c>
      <c r="H43" s="15">
        <f>IF($B43="","",sysSkills!$K43)</f>
        <v/>
      </c>
      <c r="I43" s="15">
        <f>IF($B43="","",sysIncidents!$K43)</f>
        <v/>
      </c>
      <c r="J43" s="15">
        <f>IF($B43="","",IF(Writing!$AT43="Yes","Yes","No"))</f>
        <v/>
      </c>
      <c r="K43" s="15">
        <f>IF($B43="","",sysAttendance!$T43)</f>
        <v/>
      </c>
      <c r="L43" s="15">
        <f>IF($B43="","",IF(PT!$AB43="No","No","Yes"))</f>
        <v/>
      </c>
      <c r="M43" s="15">
        <f>IF($B43="","",IF(OR(sysGrades!$P43&gt;0,sysSkills!$J43="Yes",sysIncidents!$J43&gt;0),"Yes","No"))</f>
        <v/>
      </c>
      <c r="N43" s="15">
        <f>IF($B43="","",IF(AND($E43="Yes",$F43="Yes",$G43="Yes",$H43="Yes",$I43="Yes",$J43="Yes",$K43="Yes",$L43="Yes",$M43="No"),"Yes","No"))</f>
        <v/>
      </c>
      <c r="O43" s="15">
        <f>IF($B43="","",IF($N43="Yes","Eligible",TRIM(IF($E43&lt;&gt;"Yes","Academic; ","")&amp;IF($F43&lt;&gt;"Yes","Classroom; ","")&amp;IF($G43&lt;&gt;"Yes","PT sessions; ","")&amp;IF($H43&lt;&gt;"Yes","Skills; ","")&amp;IF($I43&lt;&gt;"Yes","Incidents; ","")&amp;IF($J43&lt;&gt;"Yes","Writing; ","")&amp;IF($K43&lt;&gt;"Yes","Makeup owed; ","")&amp;IF($L43&lt;&gt;"Yes","Final PT; ","")&amp;IF($M43="Yes","Dismissal review; ",""))))</f>
        <v/>
      </c>
      <c r="P43" s="15">
        <f>IF($B43="","",IF(PT!$AB43="No","No","Yes"))</f>
        <v/>
      </c>
    </row>
    <row r="44">
      <c r="B44" s="15">
        <f>IF(Cadets!$B44="","",Cadets!$B44)</f>
        <v/>
      </c>
      <c r="C44" s="15">
        <f>IF($B44="","",Cadets!$F44)</f>
        <v/>
      </c>
      <c r="D44" s="15">
        <f>IF($B44="","",Cadets!$I44)</f>
        <v/>
      </c>
      <c r="E44" s="15">
        <f>IF($B44="","",sysGrades!$V44)</f>
        <v/>
      </c>
      <c r="F44" s="15">
        <f>IF($B44="","",sysAttendance!$K44)</f>
        <v/>
      </c>
      <c r="G44" s="15">
        <f>IF($B44="","",sysAttendance!$S44)</f>
        <v/>
      </c>
      <c r="H44" s="15">
        <f>IF($B44="","",sysSkills!$K44)</f>
        <v/>
      </c>
      <c r="I44" s="15">
        <f>IF($B44="","",sysIncidents!$K44)</f>
        <v/>
      </c>
      <c r="J44" s="15">
        <f>IF($B44="","",IF(Writing!$AT44="Yes","Yes","No"))</f>
        <v/>
      </c>
      <c r="K44" s="15">
        <f>IF($B44="","",sysAttendance!$T44)</f>
        <v/>
      </c>
      <c r="L44" s="15">
        <f>IF($B44="","",IF(PT!$AB44="No","No","Yes"))</f>
        <v/>
      </c>
      <c r="M44" s="15">
        <f>IF($B44="","",IF(OR(sysGrades!$P44&gt;0,sysSkills!$J44="Yes",sysIncidents!$J44&gt;0),"Yes","No"))</f>
        <v/>
      </c>
      <c r="N44" s="15">
        <f>IF($B44="","",IF(AND($E44="Yes",$F44="Yes",$G44="Yes",$H44="Yes",$I44="Yes",$J44="Yes",$K44="Yes",$L44="Yes",$M44="No"),"Yes","No"))</f>
        <v/>
      </c>
      <c r="O44" s="15">
        <f>IF($B44="","",IF($N44="Yes","Eligible",TRIM(IF($E44&lt;&gt;"Yes","Academic; ","")&amp;IF($F44&lt;&gt;"Yes","Classroom; ","")&amp;IF($G44&lt;&gt;"Yes","PT sessions; ","")&amp;IF($H44&lt;&gt;"Yes","Skills; ","")&amp;IF($I44&lt;&gt;"Yes","Incidents; ","")&amp;IF($J44&lt;&gt;"Yes","Writing; ","")&amp;IF($K44&lt;&gt;"Yes","Makeup owed; ","")&amp;IF($L44&lt;&gt;"Yes","Final PT; ","")&amp;IF($M44="Yes","Dismissal review; ",""))))</f>
        <v/>
      </c>
      <c r="P44" s="15">
        <f>IF($B44="","",IF(PT!$AB44="No","No","Yes"))</f>
        <v/>
      </c>
    </row>
    <row r="45">
      <c r="B45" s="15">
        <f>IF(Cadets!$B45="","",Cadets!$B45)</f>
        <v/>
      </c>
      <c r="C45" s="15">
        <f>IF($B45="","",Cadets!$F45)</f>
        <v/>
      </c>
      <c r="D45" s="15">
        <f>IF($B45="","",Cadets!$I45)</f>
        <v/>
      </c>
      <c r="E45" s="15">
        <f>IF($B45="","",sysGrades!$V45)</f>
        <v/>
      </c>
      <c r="F45" s="15">
        <f>IF($B45="","",sysAttendance!$K45)</f>
        <v/>
      </c>
      <c r="G45" s="15">
        <f>IF($B45="","",sysAttendance!$S45)</f>
        <v/>
      </c>
      <c r="H45" s="15">
        <f>IF($B45="","",sysSkills!$K45)</f>
        <v/>
      </c>
      <c r="I45" s="15">
        <f>IF($B45="","",sysIncidents!$K45)</f>
        <v/>
      </c>
      <c r="J45" s="15">
        <f>IF($B45="","",IF(Writing!$AT45="Yes","Yes","No"))</f>
        <v/>
      </c>
      <c r="K45" s="15">
        <f>IF($B45="","",sysAttendance!$T45)</f>
        <v/>
      </c>
      <c r="L45" s="15">
        <f>IF($B45="","",IF(PT!$AB45="No","No","Yes"))</f>
        <v/>
      </c>
      <c r="M45" s="15">
        <f>IF($B45="","",IF(OR(sysGrades!$P45&gt;0,sysSkills!$J45="Yes",sysIncidents!$J45&gt;0),"Yes","No"))</f>
        <v/>
      </c>
      <c r="N45" s="15">
        <f>IF($B45="","",IF(AND($E45="Yes",$F45="Yes",$G45="Yes",$H45="Yes",$I45="Yes",$J45="Yes",$K45="Yes",$L45="Yes",$M45="No"),"Yes","No"))</f>
        <v/>
      </c>
      <c r="O45" s="15">
        <f>IF($B45="","",IF($N45="Yes","Eligible",TRIM(IF($E45&lt;&gt;"Yes","Academic; ","")&amp;IF($F45&lt;&gt;"Yes","Classroom; ","")&amp;IF($G45&lt;&gt;"Yes","PT sessions; ","")&amp;IF($H45&lt;&gt;"Yes","Skills; ","")&amp;IF($I45&lt;&gt;"Yes","Incidents; ","")&amp;IF($J45&lt;&gt;"Yes","Writing; ","")&amp;IF($K45&lt;&gt;"Yes","Makeup owed; ","")&amp;IF($L45&lt;&gt;"Yes","Final PT; ","")&amp;IF($M45="Yes","Dismissal review; ",""))))</f>
        <v/>
      </c>
      <c r="P45" s="15">
        <f>IF($B45="","",IF(PT!$AB45="No","No","Yes"))</f>
        <v/>
      </c>
    </row>
    <row r="46">
      <c r="B46" s="15">
        <f>IF(Cadets!$B46="","",Cadets!$B46)</f>
        <v/>
      </c>
      <c r="C46" s="15">
        <f>IF($B46="","",Cadets!$F46)</f>
        <v/>
      </c>
      <c r="D46" s="15">
        <f>IF($B46="","",Cadets!$I46)</f>
        <v/>
      </c>
      <c r="E46" s="15">
        <f>IF($B46="","",sysGrades!$V46)</f>
        <v/>
      </c>
      <c r="F46" s="15">
        <f>IF($B46="","",sysAttendance!$K46)</f>
        <v/>
      </c>
      <c r="G46" s="15">
        <f>IF($B46="","",sysAttendance!$S46)</f>
        <v/>
      </c>
      <c r="H46" s="15">
        <f>IF($B46="","",sysSkills!$K46)</f>
        <v/>
      </c>
      <c r="I46" s="15">
        <f>IF($B46="","",sysIncidents!$K46)</f>
        <v/>
      </c>
      <c r="J46" s="15">
        <f>IF($B46="","",IF(Writing!$AT46="Yes","Yes","No"))</f>
        <v/>
      </c>
      <c r="K46" s="15">
        <f>IF($B46="","",sysAttendance!$T46)</f>
        <v/>
      </c>
      <c r="L46" s="15">
        <f>IF($B46="","",IF(PT!$AB46="No","No","Yes"))</f>
        <v/>
      </c>
      <c r="M46" s="15">
        <f>IF($B46="","",IF(OR(sysGrades!$P46&gt;0,sysSkills!$J46="Yes",sysIncidents!$J46&gt;0),"Yes","No"))</f>
        <v/>
      </c>
      <c r="N46" s="15">
        <f>IF($B46="","",IF(AND($E46="Yes",$F46="Yes",$G46="Yes",$H46="Yes",$I46="Yes",$J46="Yes",$K46="Yes",$L46="Yes",$M46="No"),"Yes","No"))</f>
        <v/>
      </c>
      <c r="O46" s="15">
        <f>IF($B46="","",IF($N46="Yes","Eligible",TRIM(IF($E46&lt;&gt;"Yes","Academic; ","")&amp;IF($F46&lt;&gt;"Yes","Classroom; ","")&amp;IF($G46&lt;&gt;"Yes","PT sessions; ","")&amp;IF($H46&lt;&gt;"Yes","Skills; ","")&amp;IF($I46&lt;&gt;"Yes","Incidents; ","")&amp;IF($J46&lt;&gt;"Yes","Writing; ","")&amp;IF($K46&lt;&gt;"Yes","Makeup owed; ","")&amp;IF($L46&lt;&gt;"Yes","Final PT; ","")&amp;IF($M46="Yes","Dismissal review; ",""))))</f>
        <v/>
      </c>
      <c r="P46" s="15">
        <f>IF($B46="","",IF(PT!$AB46="No","No","Yes"))</f>
        <v/>
      </c>
    </row>
    <row r="47">
      <c r="B47" s="15">
        <f>IF(Cadets!$B47="","",Cadets!$B47)</f>
        <v/>
      </c>
      <c r="C47" s="15">
        <f>IF($B47="","",Cadets!$F47)</f>
        <v/>
      </c>
      <c r="D47" s="15">
        <f>IF($B47="","",Cadets!$I47)</f>
        <v/>
      </c>
      <c r="E47" s="15">
        <f>IF($B47="","",sysGrades!$V47)</f>
        <v/>
      </c>
      <c r="F47" s="15">
        <f>IF($B47="","",sysAttendance!$K47)</f>
        <v/>
      </c>
      <c r="G47" s="15">
        <f>IF($B47="","",sysAttendance!$S47)</f>
        <v/>
      </c>
      <c r="H47" s="15">
        <f>IF($B47="","",sysSkills!$K47)</f>
        <v/>
      </c>
      <c r="I47" s="15">
        <f>IF($B47="","",sysIncidents!$K47)</f>
        <v/>
      </c>
      <c r="J47" s="15">
        <f>IF($B47="","",IF(Writing!$AT47="Yes","Yes","No"))</f>
        <v/>
      </c>
      <c r="K47" s="15">
        <f>IF($B47="","",sysAttendance!$T47)</f>
        <v/>
      </c>
      <c r="L47" s="15">
        <f>IF($B47="","",IF(PT!$AB47="No","No","Yes"))</f>
        <v/>
      </c>
      <c r="M47" s="15">
        <f>IF($B47="","",IF(OR(sysGrades!$P47&gt;0,sysSkills!$J47="Yes",sysIncidents!$J47&gt;0),"Yes","No"))</f>
        <v/>
      </c>
      <c r="N47" s="15">
        <f>IF($B47="","",IF(AND($E47="Yes",$F47="Yes",$G47="Yes",$H47="Yes",$I47="Yes",$J47="Yes",$K47="Yes",$L47="Yes",$M47="No"),"Yes","No"))</f>
        <v/>
      </c>
      <c r="O47" s="15">
        <f>IF($B47="","",IF($N47="Yes","Eligible",TRIM(IF($E47&lt;&gt;"Yes","Academic; ","")&amp;IF($F47&lt;&gt;"Yes","Classroom; ","")&amp;IF($G47&lt;&gt;"Yes","PT sessions; ","")&amp;IF($H47&lt;&gt;"Yes","Skills; ","")&amp;IF($I47&lt;&gt;"Yes","Incidents; ","")&amp;IF($J47&lt;&gt;"Yes","Writing; ","")&amp;IF($K47&lt;&gt;"Yes","Makeup owed; ","")&amp;IF($L47&lt;&gt;"Yes","Final PT; ","")&amp;IF($M47="Yes","Dismissal review; ",""))))</f>
        <v/>
      </c>
      <c r="P47" s="15">
        <f>IF($B47="","",IF(PT!$AB47="No","No","Yes"))</f>
        <v/>
      </c>
    </row>
    <row r="48">
      <c r="B48" s="15">
        <f>IF(Cadets!$B48="","",Cadets!$B48)</f>
        <v/>
      </c>
      <c r="C48" s="15">
        <f>IF($B48="","",Cadets!$F48)</f>
        <v/>
      </c>
      <c r="D48" s="15">
        <f>IF($B48="","",Cadets!$I48)</f>
        <v/>
      </c>
      <c r="E48" s="15">
        <f>IF($B48="","",sysGrades!$V48)</f>
        <v/>
      </c>
      <c r="F48" s="15">
        <f>IF($B48="","",sysAttendance!$K48)</f>
        <v/>
      </c>
      <c r="G48" s="15">
        <f>IF($B48="","",sysAttendance!$S48)</f>
        <v/>
      </c>
      <c r="H48" s="15">
        <f>IF($B48="","",sysSkills!$K48)</f>
        <v/>
      </c>
      <c r="I48" s="15">
        <f>IF($B48="","",sysIncidents!$K48)</f>
        <v/>
      </c>
      <c r="J48" s="15">
        <f>IF($B48="","",IF(Writing!$AT48="Yes","Yes","No"))</f>
        <v/>
      </c>
      <c r="K48" s="15">
        <f>IF($B48="","",sysAttendance!$T48)</f>
        <v/>
      </c>
      <c r="L48" s="15">
        <f>IF($B48="","",IF(PT!$AB48="No","No","Yes"))</f>
        <v/>
      </c>
      <c r="M48" s="15">
        <f>IF($B48="","",IF(OR(sysGrades!$P48&gt;0,sysSkills!$J48="Yes",sysIncidents!$J48&gt;0),"Yes","No"))</f>
        <v/>
      </c>
      <c r="N48" s="15">
        <f>IF($B48="","",IF(AND($E48="Yes",$F48="Yes",$G48="Yes",$H48="Yes",$I48="Yes",$J48="Yes",$K48="Yes",$L48="Yes",$M48="No"),"Yes","No"))</f>
        <v/>
      </c>
      <c r="O48" s="15">
        <f>IF($B48="","",IF($N48="Yes","Eligible",TRIM(IF($E48&lt;&gt;"Yes","Academic; ","")&amp;IF($F48&lt;&gt;"Yes","Classroom; ","")&amp;IF($G48&lt;&gt;"Yes","PT sessions; ","")&amp;IF($H48&lt;&gt;"Yes","Skills; ","")&amp;IF($I48&lt;&gt;"Yes","Incidents; ","")&amp;IF($J48&lt;&gt;"Yes","Writing; ","")&amp;IF($K48&lt;&gt;"Yes","Makeup owed; ","")&amp;IF($L48&lt;&gt;"Yes","Final PT; ","")&amp;IF($M48="Yes","Dismissal review; ",""))))</f>
        <v/>
      </c>
      <c r="P48" s="15">
        <f>IF($B48="","",IF(PT!$AB48="No","No","Yes"))</f>
        <v/>
      </c>
    </row>
    <row r="49">
      <c r="B49" s="15">
        <f>IF(Cadets!$B49="","",Cadets!$B49)</f>
        <v/>
      </c>
      <c r="C49" s="15">
        <f>IF($B49="","",Cadets!$F49)</f>
        <v/>
      </c>
      <c r="D49" s="15">
        <f>IF($B49="","",Cadets!$I49)</f>
        <v/>
      </c>
      <c r="E49" s="15">
        <f>IF($B49="","",sysGrades!$V49)</f>
        <v/>
      </c>
      <c r="F49" s="15">
        <f>IF($B49="","",sysAttendance!$K49)</f>
        <v/>
      </c>
      <c r="G49" s="15">
        <f>IF($B49="","",sysAttendance!$S49)</f>
        <v/>
      </c>
      <c r="H49" s="15">
        <f>IF($B49="","",sysSkills!$K49)</f>
        <v/>
      </c>
      <c r="I49" s="15">
        <f>IF($B49="","",sysIncidents!$K49)</f>
        <v/>
      </c>
      <c r="J49" s="15">
        <f>IF($B49="","",IF(Writing!$AT49="Yes","Yes","No"))</f>
        <v/>
      </c>
      <c r="K49" s="15">
        <f>IF($B49="","",sysAttendance!$T49)</f>
        <v/>
      </c>
      <c r="L49" s="15">
        <f>IF($B49="","",IF(PT!$AB49="No","No","Yes"))</f>
        <v/>
      </c>
      <c r="M49" s="15">
        <f>IF($B49="","",IF(OR(sysGrades!$P49&gt;0,sysSkills!$J49="Yes",sysIncidents!$J49&gt;0),"Yes","No"))</f>
        <v/>
      </c>
      <c r="N49" s="15">
        <f>IF($B49="","",IF(AND($E49="Yes",$F49="Yes",$G49="Yes",$H49="Yes",$I49="Yes",$J49="Yes",$K49="Yes",$L49="Yes",$M49="No"),"Yes","No"))</f>
        <v/>
      </c>
      <c r="O49" s="15">
        <f>IF($B49="","",IF($N49="Yes","Eligible",TRIM(IF($E49&lt;&gt;"Yes","Academic; ","")&amp;IF($F49&lt;&gt;"Yes","Classroom; ","")&amp;IF($G49&lt;&gt;"Yes","PT sessions; ","")&amp;IF($H49&lt;&gt;"Yes","Skills; ","")&amp;IF($I49&lt;&gt;"Yes","Incidents; ","")&amp;IF($J49&lt;&gt;"Yes","Writing; ","")&amp;IF($K49&lt;&gt;"Yes","Makeup owed; ","")&amp;IF($L49&lt;&gt;"Yes","Final PT; ","")&amp;IF($M49="Yes","Dismissal review; ",""))))</f>
        <v/>
      </c>
      <c r="P49" s="15">
        <f>IF($B49="","",IF(PT!$AB49="No","No","Yes"))</f>
        <v/>
      </c>
    </row>
    <row r="50">
      <c r="B50" s="15">
        <f>IF(Cadets!$B50="","",Cadets!$B50)</f>
        <v/>
      </c>
      <c r="C50" s="15">
        <f>IF($B50="","",Cadets!$F50)</f>
        <v/>
      </c>
      <c r="D50" s="15">
        <f>IF($B50="","",Cadets!$I50)</f>
        <v/>
      </c>
      <c r="E50" s="15">
        <f>IF($B50="","",sysGrades!$V50)</f>
        <v/>
      </c>
      <c r="F50" s="15">
        <f>IF($B50="","",sysAttendance!$K50)</f>
        <v/>
      </c>
      <c r="G50" s="15">
        <f>IF($B50="","",sysAttendance!$S50)</f>
        <v/>
      </c>
      <c r="H50" s="15">
        <f>IF($B50="","",sysSkills!$K50)</f>
        <v/>
      </c>
      <c r="I50" s="15">
        <f>IF($B50="","",sysIncidents!$K50)</f>
        <v/>
      </c>
      <c r="J50" s="15">
        <f>IF($B50="","",IF(Writing!$AT50="Yes","Yes","No"))</f>
        <v/>
      </c>
      <c r="K50" s="15">
        <f>IF($B50="","",sysAttendance!$T50)</f>
        <v/>
      </c>
      <c r="L50" s="15">
        <f>IF($B50="","",IF(PT!$AB50="No","No","Yes"))</f>
        <v/>
      </c>
      <c r="M50" s="15">
        <f>IF($B50="","",IF(OR(sysGrades!$P50&gt;0,sysSkills!$J50="Yes",sysIncidents!$J50&gt;0),"Yes","No"))</f>
        <v/>
      </c>
      <c r="N50" s="15">
        <f>IF($B50="","",IF(AND($E50="Yes",$F50="Yes",$G50="Yes",$H50="Yes",$I50="Yes",$J50="Yes",$K50="Yes",$L50="Yes",$M50="No"),"Yes","No"))</f>
        <v/>
      </c>
      <c r="O50" s="15">
        <f>IF($B50="","",IF($N50="Yes","Eligible",TRIM(IF($E50&lt;&gt;"Yes","Academic; ","")&amp;IF($F50&lt;&gt;"Yes","Classroom; ","")&amp;IF($G50&lt;&gt;"Yes","PT sessions; ","")&amp;IF($H50&lt;&gt;"Yes","Skills; ","")&amp;IF($I50&lt;&gt;"Yes","Incidents; ","")&amp;IF($J50&lt;&gt;"Yes","Writing; ","")&amp;IF($K50&lt;&gt;"Yes","Makeup owed; ","")&amp;IF($L50&lt;&gt;"Yes","Final PT; ","")&amp;IF($M50="Yes","Dismissal review; ",""))))</f>
        <v/>
      </c>
      <c r="P50" s="15">
        <f>IF($B50="","",IF(PT!$AB50="No","No","Yes"))</f>
        <v/>
      </c>
    </row>
    <row r="51">
      <c r="B51" s="15">
        <f>IF(Cadets!$B51="","",Cadets!$B51)</f>
        <v/>
      </c>
      <c r="C51" s="15">
        <f>IF($B51="","",Cadets!$F51)</f>
        <v/>
      </c>
      <c r="D51" s="15">
        <f>IF($B51="","",Cadets!$I51)</f>
        <v/>
      </c>
      <c r="E51" s="15">
        <f>IF($B51="","",sysGrades!$V51)</f>
        <v/>
      </c>
      <c r="F51" s="15">
        <f>IF($B51="","",sysAttendance!$K51)</f>
        <v/>
      </c>
      <c r="G51" s="15">
        <f>IF($B51="","",sysAttendance!$S51)</f>
        <v/>
      </c>
      <c r="H51" s="15">
        <f>IF($B51="","",sysSkills!$K51)</f>
        <v/>
      </c>
      <c r="I51" s="15">
        <f>IF($B51="","",sysIncidents!$K51)</f>
        <v/>
      </c>
      <c r="J51" s="15">
        <f>IF($B51="","",IF(Writing!$AT51="Yes","Yes","No"))</f>
        <v/>
      </c>
      <c r="K51" s="15">
        <f>IF($B51="","",sysAttendance!$T51)</f>
        <v/>
      </c>
      <c r="L51" s="15">
        <f>IF($B51="","",IF(PT!$AB51="No","No","Yes"))</f>
        <v/>
      </c>
      <c r="M51" s="15">
        <f>IF($B51="","",IF(OR(sysGrades!$P51&gt;0,sysSkills!$J51="Yes",sysIncidents!$J51&gt;0),"Yes","No"))</f>
        <v/>
      </c>
      <c r="N51" s="15">
        <f>IF($B51="","",IF(AND($E51="Yes",$F51="Yes",$G51="Yes",$H51="Yes",$I51="Yes",$J51="Yes",$K51="Yes",$L51="Yes",$M51="No"),"Yes","No"))</f>
        <v/>
      </c>
      <c r="O51" s="15">
        <f>IF($B51="","",IF($N51="Yes","Eligible",TRIM(IF($E51&lt;&gt;"Yes","Academic; ","")&amp;IF($F51&lt;&gt;"Yes","Classroom; ","")&amp;IF($G51&lt;&gt;"Yes","PT sessions; ","")&amp;IF($H51&lt;&gt;"Yes","Skills; ","")&amp;IF($I51&lt;&gt;"Yes","Incidents; ","")&amp;IF($J51&lt;&gt;"Yes","Writing; ","")&amp;IF($K51&lt;&gt;"Yes","Makeup owed; ","")&amp;IF($L51&lt;&gt;"Yes","Final PT; ","")&amp;IF($M51="Yes","Dismissal review; ",""))))</f>
        <v/>
      </c>
      <c r="P51" s="15">
        <f>IF($B51="","",IF(PT!$AB51="No","No","Yes"))</f>
        <v/>
      </c>
    </row>
    <row r="52">
      <c r="B52" s="15">
        <f>IF(Cadets!$B52="","",Cadets!$B52)</f>
        <v/>
      </c>
      <c r="C52" s="15">
        <f>IF($B52="","",Cadets!$F52)</f>
        <v/>
      </c>
      <c r="D52" s="15">
        <f>IF($B52="","",Cadets!$I52)</f>
        <v/>
      </c>
      <c r="E52" s="15">
        <f>IF($B52="","",sysGrades!$V52)</f>
        <v/>
      </c>
      <c r="F52" s="15">
        <f>IF($B52="","",sysAttendance!$K52)</f>
        <v/>
      </c>
      <c r="G52" s="15">
        <f>IF($B52="","",sysAttendance!$S52)</f>
        <v/>
      </c>
      <c r="H52" s="15">
        <f>IF($B52="","",sysSkills!$K52)</f>
        <v/>
      </c>
      <c r="I52" s="15">
        <f>IF($B52="","",sysIncidents!$K52)</f>
        <v/>
      </c>
      <c r="J52" s="15">
        <f>IF($B52="","",IF(Writing!$AT52="Yes","Yes","No"))</f>
        <v/>
      </c>
      <c r="K52" s="15">
        <f>IF($B52="","",sysAttendance!$T52)</f>
        <v/>
      </c>
      <c r="L52" s="15">
        <f>IF($B52="","",IF(PT!$AB52="No","No","Yes"))</f>
        <v/>
      </c>
      <c r="M52" s="15">
        <f>IF($B52="","",IF(OR(sysGrades!$P52&gt;0,sysSkills!$J52="Yes",sysIncidents!$J52&gt;0),"Yes","No"))</f>
        <v/>
      </c>
      <c r="N52" s="15">
        <f>IF($B52="","",IF(AND($E52="Yes",$F52="Yes",$G52="Yes",$H52="Yes",$I52="Yes",$J52="Yes",$K52="Yes",$L52="Yes",$M52="No"),"Yes","No"))</f>
        <v/>
      </c>
      <c r="O52" s="15">
        <f>IF($B52="","",IF($N52="Yes","Eligible",TRIM(IF($E52&lt;&gt;"Yes","Academic; ","")&amp;IF($F52&lt;&gt;"Yes","Classroom; ","")&amp;IF($G52&lt;&gt;"Yes","PT sessions; ","")&amp;IF($H52&lt;&gt;"Yes","Skills; ","")&amp;IF($I52&lt;&gt;"Yes","Incidents; ","")&amp;IF($J52&lt;&gt;"Yes","Writing; ","")&amp;IF($K52&lt;&gt;"Yes","Makeup owed; ","")&amp;IF($L52&lt;&gt;"Yes","Final PT; ","")&amp;IF($M52="Yes","Dismissal review; ",""))))</f>
        <v/>
      </c>
      <c r="P52" s="15">
        <f>IF($B52="","",IF(PT!$AB52="No","No","Yes"))</f>
        <v/>
      </c>
    </row>
    <row r="53">
      <c r="B53" s="15">
        <f>IF(Cadets!$B53="","",Cadets!$B53)</f>
        <v/>
      </c>
      <c r="C53" s="15">
        <f>IF($B53="","",Cadets!$F53)</f>
        <v/>
      </c>
      <c r="D53" s="15">
        <f>IF($B53="","",Cadets!$I53)</f>
        <v/>
      </c>
      <c r="E53" s="15">
        <f>IF($B53="","",sysGrades!$V53)</f>
        <v/>
      </c>
      <c r="F53" s="15">
        <f>IF($B53="","",sysAttendance!$K53)</f>
        <v/>
      </c>
      <c r="G53" s="15">
        <f>IF($B53="","",sysAttendance!$S53)</f>
        <v/>
      </c>
      <c r="H53" s="15">
        <f>IF($B53="","",sysSkills!$K53)</f>
        <v/>
      </c>
      <c r="I53" s="15">
        <f>IF($B53="","",sysIncidents!$K53)</f>
        <v/>
      </c>
      <c r="J53" s="15">
        <f>IF($B53="","",IF(Writing!$AT53="Yes","Yes","No"))</f>
        <v/>
      </c>
      <c r="K53" s="15">
        <f>IF($B53="","",sysAttendance!$T53)</f>
        <v/>
      </c>
      <c r="L53" s="15">
        <f>IF($B53="","",IF(PT!$AB53="No","No","Yes"))</f>
        <v/>
      </c>
      <c r="M53" s="15">
        <f>IF($B53="","",IF(OR(sysGrades!$P53&gt;0,sysSkills!$J53="Yes",sysIncidents!$J53&gt;0),"Yes","No"))</f>
        <v/>
      </c>
      <c r="N53" s="15">
        <f>IF($B53="","",IF(AND($E53="Yes",$F53="Yes",$G53="Yes",$H53="Yes",$I53="Yes",$J53="Yes",$K53="Yes",$L53="Yes",$M53="No"),"Yes","No"))</f>
        <v/>
      </c>
      <c r="O53" s="15">
        <f>IF($B53="","",IF($N53="Yes","Eligible",TRIM(IF($E53&lt;&gt;"Yes","Academic; ","")&amp;IF($F53&lt;&gt;"Yes","Classroom; ","")&amp;IF($G53&lt;&gt;"Yes","PT sessions; ","")&amp;IF($H53&lt;&gt;"Yes","Skills; ","")&amp;IF($I53&lt;&gt;"Yes","Incidents; ","")&amp;IF($J53&lt;&gt;"Yes","Writing; ","")&amp;IF($K53&lt;&gt;"Yes","Makeup owed; ","")&amp;IF($L53&lt;&gt;"Yes","Final PT; ","")&amp;IF($M53="Yes","Dismissal review; ",""))))</f>
        <v/>
      </c>
      <c r="P53" s="15">
        <f>IF($B53="","",IF(PT!$AB53="No","No","Yes"))</f>
        <v/>
      </c>
    </row>
    <row r="54">
      <c r="B54" s="15">
        <f>IF(Cadets!$B54="","",Cadets!$B54)</f>
        <v/>
      </c>
      <c r="C54" s="15">
        <f>IF($B54="","",Cadets!$F54)</f>
        <v/>
      </c>
      <c r="D54" s="15">
        <f>IF($B54="","",Cadets!$I54)</f>
        <v/>
      </c>
      <c r="E54" s="15">
        <f>IF($B54="","",sysGrades!$V54)</f>
        <v/>
      </c>
      <c r="F54" s="15">
        <f>IF($B54="","",sysAttendance!$K54)</f>
        <v/>
      </c>
      <c r="G54" s="15">
        <f>IF($B54="","",sysAttendance!$S54)</f>
        <v/>
      </c>
      <c r="H54" s="15">
        <f>IF($B54="","",sysSkills!$K54)</f>
        <v/>
      </c>
      <c r="I54" s="15">
        <f>IF($B54="","",sysIncidents!$K54)</f>
        <v/>
      </c>
      <c r="J54" s="15">
        <f>IF($B54="","",IF(Writing!$AT54="Yes","Yes","No"))</f>
        <v/>
      </c>
      <c r="K54" s="15">
        <f>IF($B54="","",sysAttendance!$T54)</f>
        <v/>
      </c>
      <c r="L54" s="15">
        <f>IF($B54="","",IF(PT!$AB54="No","No","Yes"))</f>
        <v/>
      </c>
      <c r="M54" s="15">
        <f>IF($B54="","",IF(OR(sysGrades!$P54&gt;0,sysSkills!$J54="Yes",sysIncidents!$J54&gt;0),"Yes","No"))</f>
        <v/>
      </c>
      <c r="N54" s="15">
        <f>IF($B54="","",IF(AND($E54="Yes",$F54="Yes",$G54="Yes",$H54="Yes",$I54="Yes",$J54="Yes",$K54="Yes",$L54="Yes",$M54="No"),"Yes","No"))</f>
        <v/>
      </c>
      <c r="O54" s="15">
        <f>IF($B54="","",IF($N54="Yes","Eligible",TRIM(IF($E54&lt;&gt;"Yes","Academic; ","")&amp;IF($F54&lt;&gt;"Yes","Classroom; ","")&amp;IF($G54&lt;&gt;"Yes","PT sessions; ","")&amp;IF($H54&lt;&gt;"Yes","Skills; ","")&amp;IF($I54&lt;&gt;"Yes","Incidents; ","")&amp;IF($J54&lt;&gt;"Yes","Writing; ","")&amp;IF($K54&lt;&gt;"Yes","Makeup owed; ","")&amp;IF($L54&lt;&gt;"Yes","Final PT; ","")&amp;IF($M54="Yes","Dismissal review; ",""))))</f>
        <v/>
      </c>
      <c r="P54" s="15">
        <f>IF($B54="","",IF(PT!$AB54="No","No","Yes"))</f>
        <v/>
      </c>
    </row>
    <row r="55">
      <c r="B55" s="15">
        <f>IF(Cadets!$B55="","",Cadets!$B55)</f>
        <v/>
      </c>
      <c r="C55" s="15">
        <f>IF($B55="","",Cadets!$F55)</f>
        <v/>
      </c>
      <c r="D55" s="15">
        <f>IF($B55="","",Cadets!$I55)</f>
        <v/>
      </c>
      <c r="E55" s="15">
        <f>IF($B55="","",sysGrades!$V55)</f>
        <v/>
      </c>
      <c r="F55" s="15">
        <f>IF($B55="","",sysAttendance!$K55)</f>
        <v/>
      </c>
      <c r="G55" s="15">
        <f>IF($B55="","",sysAttendance!$S55)</f>
        <v/>
      </c>
      <c r="H55" s="15">
        <f>IF($B55="","",sysSkills!$K55)</f>
        <v/>
      </c>
      <c r="I55" s="15">
        <f>IF($B55="","",sysIncidents!$K55)</f>
        <v/>
      </c>
      <c r="J55" s="15">
        <f>IF($B55="","",IF(Writing!$AT55="Yes","Yes","No"))</f>
        <v/>
      </c>
      <c r="K55" s="15">
        <f>IF($B55="","",sysAttendance!$T55)</f>
        <v/>
      </c>
      <c r="L55" s="15">
        <f>IF($B55="","",IF(PT!$AB55="No","No","Yes"))</f>
        <v/>
      </c>
      <c r="M55" s="15">
        <f>IF($B55="","",IF(OR(sysGrades!$P55&gt;0,sysSkills!$J55="Yes",sysIncidents!$J55&gt;0),"Yes","No"))</f>
        <v/>
      </c>
      <c r="N55" s="15">
        <f>IF($B55="","",IF(AND($E55="Yes",$F55="Yes",$G55="Yes",$H55="Yes",$I55="Yes",$J55="Yes",$K55="Yes",$L55="Yes",$M55="No"),"Yes","No"))</f>
        <v/>
      </c>
      <c r="O55" s="15">
        <f>IF($B55="","",IF($N55="Yes","Eligible",TRIM(IF($E55&lt;&gt;"Yes","Academic; ","")&amp;IF($F55&lt;&gt;"Yes","Classroom; ","")&amp;IF($G55&lt;&gt;"Yes","PT sessions; ","")&amp;IF($H55&lt;&gt;"Yes","Skills; ","")&amp;IF($I55&lt;&gt;"Yes","Incidents; ","")&amp;IF($J55&lt;&gt;"Yes","Writing; ","")&amp;IF($K55&lt;&gt;"Yes","Makeup owed; ","")&amp;IF($L55&lt;&gt;"Yes","Final PT; ","")&amp;IF($M55="Yes","Dismissal review; ",""))))</f>
        <v/>
      </c>
      <c r="P55" s="15">
        <f>IF($B55="","",IF(PT!$AB55="No","No","Yes"))</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1">
      <formula>"Yes"</formula>
    </cfRule>
    <cfRule type="cellIs" priority="2" operator="equal" dxfId="0">
      <formula>"No"</formula>
    </cfRule>
  </conditionalFormatting>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row r="2"/>
    <row r="3"/>
    <row r="4">
      <c r="B4" s="8" t="inlineStr">
        <is>
          <t>Data-driven picks with coordinator override (override always wins). Grit is decision support — the computed index only sees PT deltas; weigh academic improvement and perseverance before finalizing.</t>
        </is>
      </c>
    </row>
    <row r="5" ht="26" customHeight="1">
      <c r="B5" s="9" t="inlineStr">
        <is>
          <t>Award</t>
        </is>
      </c>
      <c r="C5" s="9" t="inlineStr">
        <is>
          <t>Computed Winner</t>
        </is>
      </c>
      <c r="D5" s="9" t="inlineStr">
        <is>
          <t>Basis</t>
        </is>
      </c>
      <c r="E5" s="9" t="inlineStr">
        <is>
          <t>Coordinator Override</t>
        </is>
      </c>
      <c r="F5" s="9" t="inlineStr">
        <is>
          <t>FINAL Winner</t>
        </is>
      </c>
      <c r="G5" s="9" t="inlineStr">
        <is>
          <t>Notes</t>
        </is>
      </c>
    </row>
    <row r="6" ht="30" customHeight="1">
      <c r="B6" s="10" t="inlineStr">
        <is>
          <t>Valedictorian</t>
        </is>
      </c>
      <c r="C6" s="15">
        <f>IFERROR(INDEX(rngCadetNames,MATCH(1,nrGRrank,0)),"")</f>
        <v/>
      </c>
      <c r="D6" s="13">
        <f>"Rank #1 — final grade "&amp;IFERROR(INDEX(nrGRfinal,MATCH(1,nrGRrank,0)),"n/a")</f>
        <v/>
      </c>
      <c r="E6" s="14" t="n"/>
      <c r="F6" s="41">
        <f>IF($E6&lt;&gt;"",$E6,$C6)</f>
        <v/>
      </c>
      <c r="G6" s="14" t="n"/>
    </row>
    <row r="7" ht="30" customHeight="1">
      <c r="B7" s="10" t="inlineStr">
        <is>
          <t>Physical Fitness</t>
        </is>
      </c>
      <c r="C7" s="15">
        <f>IFERROR(INDEX(rngCadetNames,MATCH(MAX(nrPT_FinalPts),nrPT_FinalPts,0)),"")</f>
        <v/>
      </c>
      <c r="D7" s="13">
        <f>"Top final PT points: "&amp;IFERROR(MAX(nrPT_FinalPts),"n/a")</f>
        <v/>
      </c>
      <c r="E7" s="14" t="n"/>
      <c r="F7" s="41">
        <f>IF($E7&lt;&gt;"",$E7,$C7)</f>
        <v/>
      </c>
      <c r="G7" s="14" t="n"/>
    </row>
    <row r="8" ht="30" customHeight="1">
      <c r="B8" s="10" t="inlineStr">
        <is>
          <t>Top Gun</t>
        </is>
      </c>
      <c r="C8" s="15">
        <f>IFERROR(INDEX(rngCadetNames,MATCH(MAX(nrSKfirearmsAvg),nrSKfirearmsAvg,0)),"")</f>
        <v/>
      </c>
      <c r="D8" s="13">
        <f>"Top firearms average: "&amp;IFERROR(ROUND(MAX(nrSKfirearmsAvg),2),"n/a")</f>
        <v/>
      </c>
      <c r="E8" s="14" t="n"/>
      <c r="F8" s="41">
        <f>IF($E8&lt;&gt;"",$E8,$C8)</f>
        <v/>
      </c>
      <c r="G8" s="14" t="n"/>
    </row>
    <row r="9" ht="30" customHeight="1">
      <c r="B9" s="10" t="inlineStr">
        <is>
          <t>Grit (most improved)</t>
        </is>
      </c>
      <c r="C9" s="15">
        <f>IFERROR(INDEX(rngCadetNames,MATCH(MAX(nrPT_Improve),nrPT_Improve,0)),"")</f>
        <v/>
      </c>
      <c r="D9" s="13">
        <f>"Best improvement index (PT deltas): "&amp;IFERROR(MAX(nrPT_Improve),"n/a")&amp;"% — verify with academics trend before finalizing"</f>
        <v/>
      </c>
      <c r="E9" s="14" t="n"/>
      <c r="F9" s="41">
        <f>IF($E9&lt;&gt;"",$E9,$C9)</f>
        <v/>
      </c>
      <c r="G9" s="14"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H16"/>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row r="2"/>
    <row r="3"/>
    <row r="4">
      <c r="B4" s="8" t="inlineStr">
        <is>
          <t>Engine half of the TCOLE Audit sheet — the printable Audit sheet reads these. Locked.</t>
        </is>
      </c>
    </row>
    <row r="5" ht="26" customHeight="1">
      <c r="B5" s="9" t="inlineStr">
        <is>
          <t>Check</t>
        </is>
      </c>
      <c r="C5" s="9" t="inlineStr">
        <is>
          <t>Value</t>
        </is>
      </c>
      <c r="D5" s="9" t="inlineStr">
        <is>
          <t>Target</t>
        </is>
      </c>
      <c r="E5" s="9" t="inlineStr">
        <is>
          <t>Status</t>
        </is>
      </c>
      <c r="F5" s="9" t="inlineStr">
        <is>
          <t>Detail</t>
        </is>
      </c>
    </row>
    <row r="6">
      <c r="B6" s="10" t="inlineStr">
        <is>
          <t>Delivered hours vs 736 (exact)</t>
        </is>
      </c>
      <c r="C6" s="26">
        <f>nrCHtotalDelivered</f>
        <v/>
      </c>
      <c r="D6" s="18">
        <f>cfgRequiredHours</f>
        <v/>
      </c>
      <c r="E6" s="41">
        <f>IF(N(nrCHtotalDelivered)&lt;N(cfgRequiredHours),"SHORT",IF(N(nrCHtotalDelivered)&gt;N(cfgRequiredHours),"OVER - report excess as #101","OK"))</f>
        <v/>
      </c>
      <c r="F6" s="13">
        <f>"Report the BPOC at exactly 736 hrs; excess must go to Addendum course #101"</f>
        <v/>
      </c>
      <c r="H6" s="2" t="n">
        <v>736</v>
      </c>
    </row>
    <row r="7">
      <c r="B7" s="10" t="inlineStr">
        <is>
          <t>Chapters short of TCOLE minimum</t>
        </is>
      </c>
      <c r="C7" s="26">
        <f>SUMPRODUCT((nrCHdeliv&lt;&gt;"")*(nrCHdeliv&gt;0)*(nrCHdeliv&lt;nrCHmin))</f>
        <v/>
      </c>
      <c r="D7" s="18" t="n">
        <v>0</v>
      </c>
      <c r="E7" s="41">
        <f>IF(SUMPRODUCT((nrCHdeliv&lt;&gt;"")*(nrCHdeliv&gt;0)*(nrCHdeliv&lt;nrCHmin))=0,"OK","CHECK")</f>
        <v/>
      </c>
      <c r="F7" s="13">
        <f>"Rule 218.1(C)(4): failure to meet minimum course length = denial of training"</f>
        <v/>
      </c>
    </row>
    <row r="8">
      <c r="B8" s="10" t="inlineStr">
        <is>
          <t>Chapter training files incomplete</t>
        </is>
      </c>
      <c r="C8" s="26">
        <f>SUMPRODUCT((nrCHname&lt;&gt;"")*(nrCHfileOK="No"))</f>
        <v/>
      </c>
      <c r="D8" s="18" t="n">
        <v>0</v>
      </c>
      <c r="E8" s="41">
        <f>IF(SUMPRODUCT((nrCHname&lt;&gt;"")*(nrCHfileOK="No"))=0,"OK","CHECK")</f>
        <v/>
      </c>
      <c r="F8" s="13">
        <f>"SME lesson plan, instructor bio, sign-ins w/ PID, assessment, grade sheet, eval"</f>
        <v/>
      </c>
    </row>
    <row r="9">
      <c r="B9" s="10" t="inlineStr">
        <is>
          <t>Special TCOLE chapter requirements unmet</t>
        </is>
      </c>
      <c r="C9" s="26">
        <f>SUMPRODUCT((nrCHspecial&lt;&gt;"")*(nrCHspecialMet&lt;&gt;"Yes")*(nrCHspecialMet&lt;&gt;"N/A"))</f>
        <v/>
      </c>
      <c r="D9" s="18" t="n">
        <v>0</v>
      </c>
      <c r="E9" s="41">
        <f>IF(SUMPRODUCT((nrCHspecial&lt;&gt;"")*(nrCHspecialMet&lt;&gt;"Yes")*(nrCHspecialMet&lt;&gt;"N/A"))=0,"OK","CHECK")</f>
        <v/>
      </c>
      <c r="F9" s="13">
        <f>"TIM, SFST, ALERRT, CPR/AED, TCIC #4800, Crime Stoppers, Seven Step, canine scenarios, CIT lead, SIT 3232"</f>
        <v/>
      </c>
    </row>
    <row r="10">
      <c r="B10" s="10" t="inlineStr">
        <is>
          <t>Chapters without evals collected</t>
        </is>
      </c>
      <c r="C10" s="26">
        <f>SUMPRODUCT((nrCHname&lt;&gt;"")*(nrCHevals&lt;&gt;"On File")*(nrCHevals&lt;&gt;"N/A"))</f>
        <v/>
      </c>
      <c r="D10" s="18" t="n">
        <v>0</v>
      </c>
      <c r="E10" s="41">
        <f>IF(SUMPRODUCT((nrCHname&lt;&gt;"")*(nrCHevals&lt;&gt;"On File")*(nrCHevals&lt;&gt;"N/A"))=0,"OK","CHECK")</f>
        <v/>
      </c>
      <c r="F10" s="13">
        <f>"Course critiques per chapter (print from Print Center)"</f>
        <v/>
      </c>
    </row>
    <row r="11">
      <c r="B11" s="10" t="inlineStr">
        <is>
          <t>Program requirements unchecked (Audit sheet)</t>
        </is>
      </c>
      <c r="C11" s="26">
        <f>SUMPRODUCT((nrPRGitems&lt;&gt;"")*(nrPRGmet&lt;&gt;"Yes"))</f>
        <v/>
      </c>
      <c r="D11" s="18" t="n">
        <v>0</v>
      </c>
      <c r="E11" s="41">
        <f>IF(SUMPRODUCT((nrPRGitems&lt;&gt;"")*(nrPRGmet&lt;&gt;"Yes"))=0,"OK","CHECK")</f>
        <v/>
      </c>
      <c r="F11" s="13">
        <f>"Rule 215.9 distribution, TCLEDDS roster, 736 exact reporting, facility, assessments"</f>
        <v/>
      </c>
    </row>
    <row r="12">
      <c r="B12" s="10" t="inlineStr">
        <is>
          <t>Instructors not audit-ready</t>
        </is>
      </c>
      <c r="C12" s="26">
        <f>SUMPRODUCT((nrInstrReady="No")*1)</f>
        <v/>
      </c>
      <c r="D12" s="18" t="n">
        <v>0</v>
      </c>
      <c r="E12" s="41">
        <f>IF(SUMPRODUCT((nrInstrReady="No")*1)=0,"OK","CHECK")</f>
        <v/>
      </c>
      <c r="F12" s="13">
        <f>"Instructors sheet: needs TCOLE type or SME letter on file"</f>
        <v/>
      </c>
    </row>
    <row r="13">
      <c r="B13" s="10" t="inlineStr">
        <is>
          <t>Overdue retests</t>
        </is>
      </c>
      <c r="C13" s="26">
        <f>COUNTIF(nrES_RetStat,"OVERDUE")</f>
        <v/>
      </c>
      <c r="D13" s="18" t="n">
        <v>0</v>
      </c>
      <c r="E13" s="41">
        <f>IF(COUNTIF(nrES_RetStat,"OVERDUE")=0,"OK","ACT NOW")</f>
        <v/>
      </c>
      <c r="F13" s="13">
        <f>"Policy 300.5: retest within 5 class days"</f>
        <v/>
      </c>
    </row>
    <row r="14">
      <c r="B14" s="10" t="inlineStr">
        <is>
          <t>Cadets with makeup owed</t>
        </is>
      </c>
      <c r="C14" s="26">
        <f>SUMPRODUCT((nrATTmakeupOK="No")*1)</f>
        <v/>
      </c>
      <c r="D14" s="18" t="n">
        <v>0</v>
      </c>
      <c r="E14" s="41">
        <f>IF(SUMPRODUCT((nrATTmakeupOK="No")*1)=0,"OK","CHECK")</f>
        <v/>
      </c>
      <c r="F14" s="13">
        <f>"Missed minutes not yet made up"</f>
        <v/>
      </c>
    </row>
    <row r="15">
      <c r="B15" s="10" t="inlineStr">
        <is>
          <t>Active cadets failing a category</t>
        </is>
      </c>
      <c r="C15" s="26">
        <f>SUMPRODUCT((nrCadetStatus="Active")*(nrGRacademic="No"))</f>
        <v/>
      </c>
      <c r="D15" s="18" t="n">
        <v>0</v>
      </c>
      <c r="E15" s="41">
        <f>IF(SUMPRODUCT((nrCadetStatus="Active")*(nrGRacademic="No"))=0,"OK","CHECK")</f>
        <v/>
      </c>
      <c r="F15" s="13">
        <f>"70 in each category (policy 300.2)"</f>
        <v/>
      </c>
    </row>
    <row r="16">
      <c r="B16" s="10" t="inlineStr">
        <is>
          <t>Spelling interventions open</t>
        </is>
      </c>
      <c r="C16" s="26">
        <f>COUNTIF(nrSpellFlag,"INTERVENTION")</f>
        <v/>
      </c>
      <c r="D16" s="18" t="n">
        <v>0</v>
      </c>
      <c r="E16" s="41">
        <f>IF(COUNTIF(nrSpellFlag,"INTERVENTION")=0,"OK","CHECK")</f>
        <v/>
      </c>
      <c r="F16" s="13">
        <f>"Document intervention on Counseling log (300.4.B)"</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6">
    <cfRule type="expression" priority="1" dxfId="0">
      <formula>$E6&lt;&gt;"OK"</formula>
    </cfRule>
    <cfRule type="expression" priority="2" dxfId="1">
      <formula>$E6="OK"</formula>
    </cfRule>
  </conditionalFormatting>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B62"/>
  <sheetViews>
    <sheetView showGridLines="0" workbookViewId="0">
      <selection activeCell="A1" sqref="A1"/>
    </sheetView>
  </sheetViews>
  <sheetFormatPr baseColWidth="8" defaultRowHeight="15"/>
  <sheetData>
    <row r="1"/>
    <row r="2"/>
    <row r="3"/>
    <row r="4"/>
    <row r="5">
      <c r="B5" s="10"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Review</t>
        </is>
      </c>
    </row>
    <row r="51">
      <c r="B51" t="inlineStr">
        <is>
          <t>Digital Forensics</t>
        </is>
      </c>
    </row>
    <row r="52">
      <c r="B52" t="inlineStr">
        <is>
          <t>Lunch</t>
        </is>
      </c>
    </row>
    <row r="53">
      <c r="B53" t="inlineStr">
        <is>
          <t>PT - Base Level Evaluation</t>
        </is>
      </c>
    </row>
    <row r="54">
      <c r="B54" t="inlineStr">
        <is>
          <t>PT</t>
        </is>
      </c>
    </row>
    <row r="55">
      <c r="B55" t="inlineStr">
        <is>
          <t>PT - Ju Jitsu</t>
        </is>
      </c>
    </row>
    <row r="56">
      <c r="B56" t="inlineStr">
        <is>
          <t>PT - Final</t>
        </is>
      </c>
    </row>
    <row r="57">
      <c r="B57" t="inlineStr">
        <is>
          <t>PT - "The Murph"</t>
        </is>
      </c>
    </row>
    <row r="58">
      <c r="B58" t="inlineStr">
        <is>
          <t>Final Test</t>
        </is>
      </c>
    </row>
    <row r="59">
      <c r="B59" t="inlineStr">
        <is>
          <t>State Test</t>
        </is>
      </c>
    </row>
    <row r="60">
      <c r="B60" t="inlineStr">
        <is>
          <t>Test Review</t>
        </is>
      </c>
    </row>
    <row r="61">
      <c r="B61" t="inlineStr">
        <is>
          <t>Final Re-Test (If Needed)</t>
        </is>
      </c>
    </row>
    <row r="62">
      <c r="B62" t="inlineStr">
        <is>
          <t>Graduation</t>
        </is>
      </c>
    </row>
  </sheetData>
  <pageMargins left="0.75" right="0.75" top="1" bottom="1" header="0.5" footer="0.5"/>
</worksheet>
</file>

<file path=xl/worksheets/sheet50.xml><?xml version="1.0" encoding="utf-8"?>
<worksheet xmlns="http://schemas.openxmlformats.org/spreadsheetml/2006/main">
  <sheetPr>
    <tabColor rgb="001E7145"/>
    <outlinePr summaryBelow="1" summaryRight="1"/>
    <pageSetUpPr/>
  </sheetPr>
  <dimension ref="A1:C243"/>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8" t="inlineStr">
        <is>
          <t>Auto-generated registry of every named range at build time. Do not rename ranges without updating formulas.</t>
        </is>
      </c>
    </row>
    <row r="5" ht="26" customHeight="1">
      <c r="B5" s="9" t="inlineStr">
        <is>
          <t>Name</t>
        </is>
      </c>
      <c r="C5" s="9" t="inlineStr">
        <is>
          <t>Refers To</t>
        </is>
      </c>
    </row>
    <row r="6">
      <c r="B6" s="12" t="inlineStr">
        <is>
          <t>cfgAcademyClass</t>
        </is>
      </c>
      <c r="C6" s="2" t="inlineStr">
        <is>
          <t>'Settings'!$C$6</t>
        </is>
      </c>
    </row>
    <row r="7">
      <c r="B7" s="12" t="inlineStr">
        <is>
          <t>cfgAttendanceAdvisoryPct</t>
        </is>
      </c>
      <c r="C7" s="2" t="inlineStr">
        <is>
          <t>'Settings'!$C$22</t>
        </is>
      </c>
    </row>
    <row r="8">
      <c r="B8" s="12" t="inlineStr">
        <is>
          <t>cfgAttendanceCriticalPct</t>
        </is>
      </c>
      <c r="C8" s="2" t="inlineStr">
        <is>
          <t>'Settings'!$C$23</t>
        </is>
      </c>
    </row>
    <row r="9">
      <c r="B9" s="12" t="inlineStr">
        <is>
          <t>cfgClassroomCapMinutes</t>
        </is>
      </c>
      <c r="C9" s="2" t="inlineStr">
        <is>
          <t>'Settings'!$C$35</t>
        </is>
      </c>
    </row>
    <row r="10">
      <c r="B10" s="12" t="inlineStr">
        <is>
          <t>cfgClassroomCapPct</t>
        </is>
      </c>
      <c r="C10" s="2" t="inlineStr">
        <is>
          <t>'Settings'!$C$20</t>
        </is>
      </c>
    </row>
    <row r="11">
      <c r="B11" s="12" t="inlineStr">
        <is>
          <t>cfgCurrentExamNum</t>
        </is>
      </c>
      <c r="C11" s="2" t="inlineStr">
        <is>
          <t>'Settings'!$C$25</t>
        </is>
      </c>
    </row>
    <row r="12">
      <c r="B12" s="12" t="inlineStr">
        <is>
          <t>cfgCurrentSpellingNum</t>
        </is>
      </c>
      <c r="C12" s="2" t="inlineStr">
        <is>
          <t>'Settings'!$C$26</t>
        </is>
      </c>
    </row>
    <row r="13">
      <c r="B13" s="12" t="inlineStr">
        <is>
          <t>cfgEndDate</t>
        </is>
      </c>
      <c r="C13" s="2" t="inlineStr">
        <is>
          <t>'Settings'!$C$8</t>
        </is>
      </c>
    </row>
    <row r="14">
      <c r="B14" s="12" t="inlineStr">
        <is>
          <t>cfgEvalChapter</t>
        </is>
      </c>
      <c r="C14" s="2" t="inlineStr">
        <is>
          <t>'EvalSheet'!$C$5</t>
        </is>
      </c>
    </row>
    <row r="15">
      <c r="B15" s="12" t="inlineStr">
        <is>
          <t>cfgFlagAttendancePct</t>
        </is>
      </c>
      <c r="C15" s="2" t="inlineStr">
        <is>
          <t>'Settings'!$C$32</t>
        </is>
      </c>
    </row>
    <row r="16">
      <c r="B16" s="12" t="inlineStr">
        <is>
          <t>cfgFlagCategoryMargin</t>
        </is>
      </c>
      <c r="C16" s="2" t="inlineStr">
        <is>
          <t>'Settings'!$C$31</t>
        </is>
      </c>
    </row>
    <row r="17">
      <c r="B17" s="12" t="inlineStr">
        <is>
          <t>cfgFlagConsecFails</t>
        </is>
      </c>
      <c r="C17" s="2" t="inlineStr">
        <is>
          <t>'Settings'!$C$29</t>
        </is>
      </c>
    </row>
    <row r="18">
      <c r="B18" s="12" t="inlineStr">
        <is>
          <t>cfgFlagGradeDrop</t>
        </is>
      </c>
      <c r="C18" s="2" t="inlineStr">
        <is>
          <t>'Settings'!$C$30</t>
        </is>
      </c>
    </row>
    <row r="19">
      <c r="B19" s="12" t="inlineStr">
        <is>
          <t>cfgFlagOpenIncidents</t>
        </is>
      </c>
      <c r="C19" s="2" t="inlineStr">
        <is>
          <t>'Settings'!$C$33</t>
        </is>
      </c>
    </row>
    <row r="20">
      <c r="B20" s="12" t="inlineStr">
        <is>
          <t>cfgFlagOverdueWriting</t>
        </is>
      </c>
      <c r="C20" s="2" t="inlineStr">
        <is>
          <t>'Settings'!$C$34</t>
        </is>
      </c>
    </row>
    <row r="21">
      <c r="B21" s="12" t="inlineStr">
        <is>
          <t>cfgHandoutWeek</t>
        </is>
      </c>
      <c r="C21" s="2" t="inlineStr">
        <is>
          <t>'WritingHandout'!$C$5</t>
        </is>
      </c>
    </row>
    <row r="22">
      <c r="B22" s="12" t="inlineStr">
        <is>
          <t>cfgHomeAgency</t>
        </is>
      </c>
      <c r="C22" s="2" t="inlineStr">
        <is>
          <t>'Settings'!$C$24</t>
        </is>
      </c>
    </row>
    <row r="23">
      <c r="B23" s="12" t="inlineStr">
        <is>
          <t>cfgPTCapSessions</t>
        </is>
      </c>
      <c r="C23" s="2" t="inlineStr">
        <is>
          <t>'Settings'!$C$21</t>
        </is>
      </c>
    </row>
    <row r="24">
      <c r="B24" s="12" t="inlineStr">
        <is>
          <t>cfgPTFinalMinPoints</t>
        </is>
      </c>
      <c r="C24" s="2" t="inlineStr">
        <is>
          <t>'Settings'!$C$28</t>
        </is>
      </c>
    </row>
    <row r="25">
      <c r="B25" s="12" t="inlineStr">
        <is>
          <t>cfgPassingScore</t>
        </is>
      </c>
      <c r="C25" s="2" t="inlineStr">
        <is>
          <t>'Settings'!$C$10</t>
        </is>
      </c>
    </row>
    <row r="26">
      <c r="B26" s="12" t="inlineStr">
        <is>
          <t>cfgPreviewAgency</t>
        </is>
      </c>
      <c r="C26" s="2" t="inlineStr">
        <is>
          <t>'EmailPreview'!$C$5</t>
        </is>
      </c>
    </row>
    <row r="27">
      <c r="B27" s="12" t="inlineStr">
        <is>
          <t>cfgProfileCadet</t>
        </is>
      </c>
      <c r="C27" s="2" t="inlineStr">
        <is>
          <t>'CadetProfile'!$C$5</t>
        </is>
      </c>
    </row>
    <row r="28">
      <c r="B28" s="12" t="inlineStr">
        <is>
          <t>cfgRequiredHours</t>
        </is>
      </c>
      <c r="C28" s="2" t="inlineStr">
        <is>
          <t>'sysAudit'!$H$6</t>
        </is>
      </c>
    </row>
    <row r="29">
      <c r="B29" s="12" t="inlineStr">
        <is>
          <t>cfgRetakeRecordedCap</t>
        </is>
      </c>
      <c r="C29" s="2" t="inlineStr">
        <is>
          <t>'Settings'!$C$12</t>
        </is>
      </c>
    </row>
    <row r="30">
      <c r="B30" s="12" t="inlineStr">
        <is>
          <t>cfgRetestClassDays</t>
        </is>
      </c>
      <c r="C30" s="2" t="inlineStr">
        <is>
          <t>'Settings'!$C$14</t>
        </is>
      </c>
    </row>
    <row r="31">
      <c r="B31" s="12" t="inlineStr">
        <is>
          <t>cfgSignInDate</t>
        </is>
      </c>
      <c r="C31" s="2" t="inlineStr">
        <is>
          <t>'SignIn'!$C$5</t>
        </is>
      </c>
    </row>
    <row r="32">
      <c r="B32" s="12" t="inlineStr">
        <is>
          <t>cfgSpellInterventionAvg</t>
        </is>
      </c>
      <c r="C32" s="2" t="inlineStr">
        <is>
          <t>'Settings'!$C$19</t>
        </is>
      </c>
    </row>
    <row r="33">
      <c r="B33" s="12" t="inlineStr">
        <is>
          <t>cfgSpellPrintMode</t>
        </is>
      </c>
      <c r="C33" s="2" t="inlineStr">
        <is>
          <t>'SpellingPrint'!$E$5</t>
        </is>
      </c>
    </row>
    <row r="34">
      <c r="B34" s="12" t="inlineStr">
        <is>
          <t>cfgSpellPrintNum</t>
        </is>
      </c>
      <c r="C34" s="2" t="inlineStr">
        <is>
          <t>'SpellingPrint'!$C$5</t>
        </is>
      </c>
    </row>
    <row r="35">
      <c r="B35" s="12" t="inlineStr">
        <is>
          <t>cfgStartDate</t>
        </is>
      </c>
      <c r="C35" s="2" t="inlineStr">
        <is>
          <t>'Settings'!$C$7</t>
        </is>
      </c>
    </row>
    <row r="36">
      <c r="B36" s="12" t="inlineStr">
        <is>
          <t>cfgThresholdAfterExam</t>
        </is>
      </c>
      <c r="C36" s="2" t="inlineStr">
        <is>
          <t>'Settings'!$C$13</t>
        </is>
      </c>
    </row>
    <row r="37">
      <c r="B37" s="12" t="inlineStr">
        <is>
          <t>cfgThresholdScore</t>
        </is>
      </c>
      <c r="C37" s="2" t="inlineStr">
        <is>
          <t>'Settings'!$C$11</t>
        </is>
      </c>
    </row>
    <row r="38">
      <c r="B38" s="12" t="inlineStr">
        <is>
          <t>cfgTotalScheduledMinutes</t>
        </is>
      </c>
      <c r="C38" s="2" t="inlineStr">
        <is>
          <t>'Settings'!$C$9</t>
        </is>
      </c>
    </row>
    <row r="39">
      <c r="B39" s="12" t="inlineStr">
        <is>
          <t>cfgTranscriptCadet</t>
        </is>
      </c>
      <c r="C39" s="2" t="inlineStr">
        <is>
          <t>'Transcript'!$C$5</t>
        </is>
      </c>
    </row>
    <row r="40">
      <c r="B40" s="12" t="inlineStr">
        <is>
          <t>cfgWeightFinal</t>
        </is>
      </c>
      <c r="C40" s="2" t="inlineStr">
        <is>
          <t>'Settings'!$C$18</t>
        </is>
      </c>
    </row>
    <row r="41">
      <c r="B41" s="12" t="inlineStr">
        <is>
          <t>cfgWeightMajor</t>
        </is>
      </c>
      <c r="C41" s="2" t="inlineStr">
        <is>
          <t>'Settings'!$C$15</t>
        </is>
      </c>
    </row>
    <row r="42">
      <c r="B42" s="12" t="inlineStr">
        <is>
          <t>cfgWeightMinor</t>
        </is>
      </c>
      <c r="C42" s="2" t="inlineStr">
        <is>
          <t>'Settings'!$C$16</t>
        </is>
      </c>
    </row>
    <row r="43">
      <c r="B43" s="12" t="inlineStr">
        <is>
          <t>cfgWeightSpelling</t>
        </is>
      </c>
      <c r="C43" s="2" t="inlineStr">
        <is>
          <t>'Settings'!$C$17</t>
        </is>
      </c>
    </row>
    <row r="44">
      <c r="B44" s="12" t="inlineStr">
        <is>
          <t>cfgWeightsTotal</t>
        </is>
      </c>
      <c r="C44" s="2" t="inlineStr">
        <is>
          <t>'Settings'!$C$36</t>
        </is>
      </c>
    </row>
    <row r="45">
      <c r="B45" s="12" t="inlineStr">
        <is>
          <t>cfgWritingDueTime</t>
        </is>
      </c>
      <c r="C45" s="2" t="inlineStr">
        <is>
          <t>'Settings'!$C$27</t>
        </is>
      </c>
    </row>
    <row r="46">
      <c r="B46" s="12" t="inlineStr">
        <is>
          <t>lstAssignmentType</t>
        </is>
      </c>
      <c r="C46" s="2" t="inlineStr">
        <is>
          <t>'Lists'!$O$6:$O$10</t>
        </is>
      </c>
    </row>
    <row r="47">
      <c r="B47" s="12" t="inlineStr">
        <is>
          <t>lstAttemptNum</t>
        </is>
      </c>
      <c r="C47" s="2" t="inlineStr">
        <is>
          <t>'Lists'!$Q$6:$Q$10</t>
        </is>
      </c>
    </row>
    <row r="48">
      <c r="B48" s="12" t="inlineStr">
        <is>
          <t>lstAttendanceEvent</t>
        </is>
      </c>
      <c r="C48" s="2" t="inlineStr">
        <is>
          <t>'Lists'!$E$6:$E$14</t>
        </is>
      </c>
    </row>
    <row r="49">
      <c r="B49" s="12" t="inlineStr">
        <is>
          <t>lstAward</t>
        </is>
      </c>
      <c r="C49" s="2" t="inlineStr">
        <is>
          <t>'Lists'!$V$6:$V$9</t>
        </is>
      </c>
    </row>
    <row r="50">
      <c r="B50" s="12" t="inlineStr">
        <is>
          <t>lstCadetStatus</t>
        </is>
      </c>
      <c r="C50" s="2" t="inlineStr">
        <is>
          <t>'Lists'!$C$6:$C$9</t>
        </is>
      </c>
    </row>
    <row r="51">
      <c r="B51" s="12" t="inlineStr">
        <is>
          <t>lstCounselingType</t>
        </is>
      </c>
      <c r="C51" s="2" t="inlineStr">
        <is>
          <t>'Lists'!$S$6:$S$13</t>
        </is>
      </c>
    </row>
    <row r="52">
      <c r="B52" s="12" t="inlineStr">
        <is>
          <t>lstDocumentation</t>
        </is>
      </c>
      <c r="C52" s="2" t="inlineStr">
        <is>
          <t>'Lists'!$G$6:$G$8</t>
        </is>
      </c>
    </row>
    <row r="53">
      <c r="B53" s="12" t="inlineStr">
        <is>
          <t>lstExamType</t>
        </is>
      </c>
      <c r="C53" s="2" t="inlineStr">
        <is>
          <t>'Lists'!$D$6:$D$9</t>
        </is>
      </c>
    </row>
    <row r="54">
      <c r="B54" s="12" t="inlineStr">
        <is>
          <t>lstExcused</t>
        </is>
      </c>
      <c r="C54" s="2" t="inlineStr">
        <is>
          <t>'Lists'!$H$6:$H$7</t>
        </is>
      </c>
    </row>
    <row r="55">
      <c r="B55" s="12" t="inlineStr">
        <is>
          <t>lstIncidentDirection</t>
        </is>
      </c>
      <c r="C55" s="2" t="inlineStr">
        <is>
          <t>'Lists'!$L$6:$L$8</t>
        </is>
      </c>
    </row>
    <row r="56">
      <c r="B56" s="12" t="inlineStr">
        <is>
          <t>lstInstructorType</t>
        </is>
      </c>
      <c r="C56" s="2" t="inlineStr">
        <is>
          <t>'Lists'!$W$6:$W$9</t>
        </is>
      </c>
    </row>
    <row r="57">
      <c r="B57" s="12" t="inlineStr">
        <is>
          <t>lstIssuetype</t>
        </is>
      </c>
      <c r="C57" s="2" t="inlineStr">
        <is>
          <t>'Lists'!$R$6:$R$12</t>
        </is>
      </c>
    </row>
    <row r="58">
      <c r="B58" s="12" t="inlineStr">
        <is>
          <t>lstMakeupType</t>
        </is>
      </c>
      <c r="C58" s="2" t="inlineStr">
        <is>
          <t>'Lists'!$I$6:$I$9</t>
        </is>
      </c>
    </row>
    <row r="59">
      <c r="B59" s="12" t="inlineStr">
        <is>
          <t>lstMaterialsStatus</t>
        </is>
      </c>
      <c r="C59" s="2" t="inlineStr">
        <is>
          <t>'Lists'!$X$6:$X$9</t>
        </is>
      </c>
    </row>
    <row r="60">
      <c r="B60" s="12" t="inlineStr">
        <is>
          <t>lstMedicalStatus</t>
        </is>
      </c>
      <c r="C60" s="2" t="inlineStr">
        <is>
          <t>'Lists'!$T$6:$T$9</t>
        </is>
      </c>
    </row>
    <row r="61">
      <c r="B61" s="12" t="inlineStr">
        <is>
          <t>lstPtSession</t>
        </is>
      </c>
      <c r="C61" s="2" t="inlineStr">
        <is>
          <t>'Lists'!$U$6:$U$8</t>
        </is>
      </c>
    </row>
    <row r="62">
      <c r="B62" s="12" t="inlineStr">
        <is>
          <t>lstReason</t>
        </is>
      </c>
      <c r="C62" s="2" t="inlineStr">
        <is>
          <t>'Lists'!$F$6:$F$11</t>
        </is>
      </c>
    </row>
    <row r="63">
      <c r="B63" s="12" t="inlineStr">
        <is>
          <t>lstRequirementSource</t>
        </is>
      </c>
      <c r="C63" s="2" t="inlineStr">
        <is>
          <t>'Lists'!$Y$6:$Y$7</t>
        </is>
      </c>
    </row>
    <row r="64">
      <c r="B64" s="12" t="inlineStr">
        <is>
          <t>lstResolution</t>
        </is>
      </c>
      <c r="C64" s="2" t="inlineStr">
        <is>
          <t>'Lists'!$N$6:$N$9</t>
        </is>
      </c>
    </row>
    <row r="65">
      <c r="B65" s="12" t="inlineStr">
        <is>
          <t>lstReviewOutcome</t>
        </is>
      </c>
      <c r="C65" s="2" t="inlineStr">
        <is>
          <t>'Lists'!$AA$6:$AA$9</t>
        </is>
      </c>
    </row>
    <row r="66">
      <c r="B66" s="12" t="inlineStr">
        <is>
          <t>lstReviewType</t>
        </is>
      </c>
      <c r="C66" s="2" t="inlineStr">
        <is>
          <t>'Lists'!$Z$6:$Z$8</t>
        </is>
      </c>
    </row>
    <row r="67">
      <c r="B67" s="12" t="inlineStr">
        <is>
          <t>lstScoringMode</t>
        </is>
      </c>
      <c r="C67" s="2" t="inlineStr">
        <is>
          <t>'Lists'!$J$6:$J$7</t>
        </is>
      </c>
    </row>
    <row r="68">
      <c r="B68" s="12" t="inlineStr">
        <is>
          <t>lstSeverity</t>
        </is>
      </c>
      <c r="C68" s="2" t="inlineStr">
        <is>
          <t>'Lists'!$M$6:$M$10</t>
        </is>
      </c>
    </row>
    <row r="69">
      <c r="B69" s="12" t="inlineStr">
        <is>
          <t>lstSkillResult</t>
        </is>
      </c>
      <c r="C69" s="2" t="inlineStr">
        <is>
          <t>'Lists'!$K$6:$K$8</t>
        </is>
      </c>
    </row>
    <row r="70">
      <c r="B70" s="12" t="inlineStr">
        <is>
          <t>lstSubmission</t>
        </is>
      </c>
      <c r="C70" s="2" t="inlineStr">
        <is>
          <t>'Lists'!$P$6:$P$9</t>
        </is>
      </c>
    </row>
    <row r="71">
      <c r="B71" s="12" t="inlineStr">
        <is>
          <t>lstYesNo</t>
        </is>
      </c>
      <c r="C71" s="2" t="inlineStr">
        <is>
          <t>'Lists'!$B$6:$B$7</t>
        </is>
      </c>
    </row>
    <row r="72">
      <c r="B72" s="12" t="inlineStr">
        <is>
          <t>nrATTclElig</t>
        </is>
      </c>
      <c r="C72" s="2" t="inlineStr">
        <is>
          <t>'sysAttendance'!$K$6:$K$55</t>
        </is>
      </c>
    </row>
    <row r="73">
      <c r="B73" s="12" t="inlineStr">
        <is>
          <t>nrATTclOwed</t>
        </is>
      </c>
      <c r="C73" s="2" t="inlineStr">
        <is>
          <t>'sysAttendance'!$L$6:$L$55</t>
        </is>
      </c>
    </row>
    <row r="74">
      <c r="B74" s="12" t="inlineStr">
        <is>
          <t>nrATTclPct</t>
        </is>
      </c>
      <c r="C74" s="2" t="inlineStr">
        <is>
          <t>'sysAttendance'!$I$6:$I$55</t>
        </is>
      </c>
    </row>
    <row r="75">
      <c r="B75" s="12" t="inlineStr">
        <is>
          <t>nrATTclTier</t>
        </is>
      </c>
      <c r="C75" s="2" t="inlineStr">
        <is>
          <t>'sysAttendance'!$J$6:$J$55</t>
        </is>
      </c>
    </row>
    <row r="76">
      <c r="B76" s="12" t="inlineStr">
        <is>
          <t>nrATTmakeupOK</t>
        </is>
      </c>
      <c r="C76" s="2" t="inlineStr">
        <is>
          <t>'sysAttendance'!$T$6:$T$55</t>
        </is>
      </c>
    </row>
    <row r="77">
      <c r="B77" s="12" t="inlineStr">
        <is>
          <t>nrATTptElig</t>
        </is>
      </c>
      <c r="C77" s="2" t="inlineStr">
        <is>
          <t>'sysAttendance'!$S$6:$S$55</t>
        </is>
      </c>
    </row>
    <row r="78">
      <c r="B78" s="12" t="inlineStr">
        <is>
          <t>nrATTptPct</t>
        </is>
      </c>
      <c r="C78" s="2" t="inlineStr">
        <is>
          <t>'sysAttendance'!$Q$6:$Q$55</t>
        </is>
      </c>
    </row>
    <row r="79">
      <c r="B79" s="12" t="inlineStr">
        <is>
          <t>nrATTptTier</t>
        </is>
      </c>
      <c r="C79" s="2" t="inlineStr">
        <is>
          <t>'sysAttendance'!$R$6:$R$55</t>
        </is>
      </c>
    </row>
    <row r="80">
      <c r="B80" s="12" t="inlineStr">
        <is>
          <t>nrAT_Counts</t>
        </is>
      </c>
      <c r="C80" s="2" t="inlineStr">
        <is>
          <t>'Attendance'!$N$6:$N$805</t>
        </is>
      </c>
    </row>
    <row r="81">
      <c r="B81" s="12" t="inlineStr">
        <is>
          <t>nrAT_Date</t>
        </is>
      </c>
      <c r="C81" s="2" t="inlineStr">
        <is>
          <t>'Attendance'!$C$6:$C$805</t>
        </is>
      </c>
    </row>
    <row r="82">
      <c r="B82" s="12" t="inlineStr">
        <is>
          <t>nrAT_Excused</t>
        </is>
      </c>
      <c r="C82" s="2" t="inlineStr">
        <is>
          <t>'Attendance'!$M$6:$M$805</t>
        </is>
      </c>
    </row>
    <row r="83">
      <c r="B83" s="12" t="inlineStr">
        <is>
          <t>nrAT_IsPT</t>
        </is>
      </c>
      <c r="C83" s="2" t="inlineStr">
        <is>
          <t>'Attendance'!$K$6:$K$805</t>
        </is>
      </c>
    </row>
    <row r="84">
      <c r="B84" s="12" t="inlineStr">
        <is>
          <t>nrAT_Min</t>
        </is>
      </c>
      <c r="C84" s="2" t="inlineStr">
        <is>
          <t>'Attendance'!$I$6:$I$805</t>
        </is>
      </c>
    </row>
    <row r="85">
      <c r="B85" s="12" t="inlineStr">
        <is>
          <t>nrAT_PID</t>
        </is>
      </c>
      <c r="C85" s="2" t="inlineStr">
        <is>
          <t>'Attendance'!$E$6:$E$805</t>
        </is>
      </c>
    </row>
    <row r="86">
      <c r="B86" s="12" t="inlineStr">
        <is>
          <t>nrAT_Sess</t>
        </is>
      </c>
      <c r="C86" s="2" t="inlineStr">
        <is>
          <t>'Attendance'!$J$6:$J$805</t>
        </is>
      </c>
    </row>
    <row r="87">
      <c r="B87" s="12" t="inlineStr">
        <is>
          <t>nrAT_Type</t>
        </is>
      </c>
      <c r="C87" s="2" t="inlineStr">
        <is>
          <t>'Attendance'!$G$6:$G$805</t>
        </is>
      </c>
    </row>
    <row r="88">
      <c r="B88" s="12" t="inlineStr">
        <is>
          <t>nrAUDcheck</t>
        </is>
      </c>
      <c r="C88" s="2" t="inlineStr">
        <is>
          <t>'sysAudit'!$B$6:$B$16</t>
        </is>
      </c>
    </row>
    <row r="89">
      <c r="B89" s="12" t="inlineStr">
        <is>
          <t>nrAUDstatus</t>
        </is>
      </c>
      <c r="C89" s="2" t="inlineStr">
        <is>
          <t>'sysAudit'!$E$6:$E$16</t>
        </is>
      </c>
    </row>
    <row r="90">
      <c r="B90" s="12" t="inlineStr">
        <is>
          <t>nrAWfinal</t>
        </is>
      </c>
      <c r="C90" s="2" t="inlineStr">
        <is>
          <t>'sysAwards'!$F$6:$F$9</t>
        </is>
      </c>
    </row>
    <row r="91">
      <c r="B91" s="12" t="inlineStr">
        <is>
          <t>nrAWnames</t>
        </is>
      </c>
      <c r="C91" s="2" t="inlineStr">
        <is>
          <t>'sysAwards'!$B$6:$B$9</t>
        </is>
      </c>
    </row>
    <row r="92">
      <c r="B92" s="12" t="inlineStr">
        <is>
          <t>nrAgencyLastEmail</t>
        </is>
      </c>
      <c r="C92" s="2" t="inlineStr">
        <is>
          <t>'Agencies'!$I$6:$I$50</t>
        </is>
      </c>
    </row>
    <row r="93">
      <c r="B93" s="12" t="inlineStr">
        <is>
          <t>nrAllClosures</t>
        </is>
      </c>
      <c r="C93" s="2" t="inlineStr">
        <is>
          <t>'Control'!$M$6:$M$42</t>
        </is>
      </c>
    </row>
    <row r="94">
      <c r="B94" s="12" t="inlineStr">
        <is>
          <t>nrCDdate</t>
        </is>
      </c>
      <c r="C94" s="2" t="inlineStr">
        <is>
          <t>'Control'!$I$6:$I$175</t>
        </is>
      </c>
    </row>
    <row r="95">
      <c r="B95" s="12" t="inlineStr">
        <is>
          <t>nrCDinsession</t>
        </is>
      </c>
      <c r="C95" s="2" t="inlineStr">
        <is>
          <t>'Control'!$K$6:$K$175</t>
        </is>
      </c>
    </row>
    <row r="96">
      <c r="B96" s="12" t="inlineStr">
        <is>
          <t>nrCDnum</t>
        </is>
      </c>
      <c r="C96" s="2" t="inlineStr">
        <is>
          <t>'Control'!$H$6:$H$175</t>
        </is>
      </c>
    </row>
    <row r="97">
      <c r="B97" s="12" t="inlineStr">
        <is>
          <t>nrCDweek</t>
        </is>
      </c>
      <c r="C97" s="2" t="inlineStr">
        <is>
          <t>'Control'!$J$6:$J$175</t>
        </is>
      </c>
    </row>
    <row r="98">
      <c r="B98" s="12" t="inlineStr">
        <is>
          <t>nrCHassess</t>
        </is>
      </c>
      <c r="C98" s="2" t="inlineStr">
        <is>
          <t>'ChapterMaster'!$O$6:$O$49</t>
        </is>
      </c>
    </row>
    <row r="99">
      <c r="B99" s="12" t="inlineStr">
        <is>
          <t>nrCHbio</t>
        </is>
      </c>
      <c r="C99" s="2" t="inlineStr">
        <is>
          <t>'ChapterMaster'!$M$6:$M$49</t>
        </is>
      </c>
    </row>
    <row r="100">
      <c r="B100" s="12" t="inlineStr">
        <is>
          <t>nrCHdeliv</t>
        </is>
      </c>
      <c r="C100" s="2" t="inlineStr">
        <is>
          <t>'ChapterMaster'!$G$6:$G$49</t>
        </is>
      </c>
    </row>
    <row r="101">
      <c r="B101" s="12" t="inlineStr">
        <is>
          <t>nrCHevals</t>
        </is>
      </c>
      <c r="C101" s="2" t="inlineStr">
        <is>
          <t>'ChapterMaster'!$Q$6:$Q$49</t>
        </is>
      </c>
    </row>
    <row r="102">
      <c r="B102" s="12" t="inlineStr">
        <is>
          <t>nrCHfileOK</t>
        </is>
      </c>
      <c r="C102" s="2" t="inlineStr">
        <is>
          <t>'ChapterMaster'!$U$6:$U$49</t>
        </is>
      </c>
    </row>
    <row r="103">
      <c r="B103" s="12" t="inlineStr">
        <is>
          <t>nrCHfirst</t>
        </is>
      </c>
      <c r="C103" s="2" t="inlineStr">
        <is>
          <t>'ChapterMaster'!$I$6:$I$49</t>
        </is>
      </c>
    </row>
    <row r="104">
      <c r="B104" s="12" t="inlineStr">
        <is>
          <t>nrCHgrade</t>
        </is>
      </c>
      <c r="C104" s="2" t="inlineStr">
        <is>
          <t>'ChapterMaster'!$P$6:$P$49</t>
        </is>
      </c>
    </row>
    <row r="105">
      <c r="B105" s="12" t="inlineStr">
        <is>
          <t>nrCHinstr</t>
        </is>
      </c>
      <c r="C105" s="2" t="inlineStr">
        <is>
          <t>'ChapterMaster'!$K$6:$K$49</t>
        </is>
      </c>
    </row>
    <row r="106">
      <c r="B106" s="12" t="inlineStr">
        <is>
          <t>nrCHlesson</t>
        </is>
      </c>
      <c r="C106" s="2" t="inlineStr">
        <is>
          <t>'ChapterMaster'!$L$6:$L$49</t>
        </is>
      </c>
    </row>
    <row r="107">
      <c r="B107" s="12" t="inlineStr">
        <is>
          <t>nrCHmin</t>
        </is>
      </c>
      <c r="C107" s="2" t="inlineStr">
        <is>
          <t>'ChapterMaster'!$E$6:$E$49</t>
        </is>
      </c>
    </row>
    <row r="108">
      <c r="B108" s="12" t="inlineStr">
        <is>
          <t>nrCHmod</t>
        </is>
      </c>
      <c r="C108" s="2" t="inlineStr">
        <is>
          <t>'ChapterMaster'!$B$6:$B$49</t>
        </is>
      </c>
    </row>
    <row r="109">
      <c r="B109" s="12" t="inlineStr">
        <is>
          <t>nrCHname</t>
        </is>
      </c>
      <c r="C109" s="2" t="inlineStr">
        <is>
          <t>'ChapterMaster'!$D$6:$D$49</t>
        </is>
      </c>
    </row>
    <row r="110">
      <c r="B110" s="12" t="inlineStr">
        <is>
          <t>nrCHnum</t>
        </is>
      </c>
      <c r="C110" s="2" t="inlineStr">
        <is>
          <t>'ChapterMaster'!$C$6:$C$49</t>
        </is>
      </c>
    </row>
    <row r="111">
      <c r="B111" s="12" t="inlineStr">
        <is>
          <t>nrCHplan</t>
        </is>
      </c>
      <c r="C111" s="2" t="inlineStr">
        <is>
          <t>'ChapterMaster'!$F$6:$F$49</t>
        </is>
      </c>
    </row>
    <row r="112">
      <c r="B112" s="12" t="inlineStr">
        <is>
          <t>nrCHsignin</t>
        </is>
      </c>
      <c r="C112" s="2" t="inlineStr">
        <is>
          <t>'ChapterMaster'!$N$6:$N$49</t>
        </is>
      </c>
    </row>
    <row r="113">
      <c r="B113" s="12" t="inlineStr">
        <is>
          <t>nrCHspecial</t>
        </is>
      </c>
      <c r="C113" s="2" t="inlineStr">
        <is>
          <t>'ChapterMaster'!$S$6:$S$49</t>
        </is>
      </c>
    </row>
    <row r="114">
      <c r="B114" s="12" t="inlineStr">
        <is>
          <t>nrCHspecialMet</t>
        </is>
      </c>
      <c r="C114" s="2" t="inlineStr">
        <is>
          <t>'ChapterMaster'!$T$6:$T$49</t>
        </is>
      </c>
    </row>
    <row r="115">
      <c r="B115" s="12" t="inlineStr">
        <is>
          <t>nrCHtotalDelivered</t>
        </is>
      </c>
      <c r="C115" s="2" t="inlineStr">
        <is>
          <t>'ChapterMaster'!$G$51</t>
        </is>
      </c>
    </row>
    <row r="116">
      <c r="B116" s="12" t="inlineStr">
        <is>
          <t>nrCKblocking</t>
        </is>
      </c>
      <c r="C116" s="2" t="inlineStr">
        <is>
          <t>'sysChecks'!$O$6:$O$55</t>
        </is>
      </c>
    </row>
    <row r="117">
      <c r="B117" s="12" t="inlineStr">
        <is>
          <t>nrCKfinalExamElig</t>
        </is>
      </c>
      <c r="C117" s="2" t="inlineStr">
        <is>
          <t>'sysChecks'!$P$6:$P$55</t>
        </is>
      </c>
    </row>
    <row r="118">
      <c r="B118" s="12" t="inlineStr">
        <is>
          <t>nrCKgradElig</t>
        </is>
      </c>
      <c r="C118" s="2" t="inlineStr">
        <is>
          <t>'sysChecks'!$N$6:$N$55</t>
        </is>
      </c>
    </row>
    <row r="119">
      <c r="B119" s="12" t="inlineStr">
        <is>
          <t>nrCO_Date</t>
        </is>
      </c>
      <c r="C119" s="2" t="inlineStr">
        <is>
          <t>'Counseling'!$C$6:$C$405</t>
        </is>
      </c>
    </row>
    <row r="120">
      <c r="B120" s="12" t="inlineStr">
        <is>
          <t>nrCO_Desc</t>
        </is>
      </c>
      <c r="C120" s="2" t="inlineStr">
        <is>
          <t>'Counseling'!$H$6:$H$405</t>
        </is>
      </c>
    </row>
    <row r="121">
      <c r="B121" s="12" t="inlineStr">
        <is>
          <t>nrCO_PID</t>
        </is>
      </c>
      <c r="C121" s="2" t="inlineStr">
        <is>
          <t>'Counseling'!$E$6:$E$405</t>
        </is>
      </c>
    </row>
    <row r="122">
      <c r="B122" s="12" t="inlineStr">
        <is>
          <t>nrCO_Status</t>
        </is>
      </c>
      <c r="C122" s="2" t="inlineStr">
        <is>
          <t>'Counseling'!$M$6:$M$405</t>
        </is>
      </c>
    </row>
    <row r="123">
      <c r="B123" s="12" t="inlineStr">
        <is>
          <t>nrCO_Type</t>
        </is>
      </c>
      <c r="C123" s="2" t="inlineStr">
        <is>
          <t>'Counseling'!$F$6:$F$405</t>
        </is>
      </c>
    </row>
    <row r="124">
      <c r="B124" s="12" t="inlineStr">
        <is>
          <t>nrCadetAgency</t>
        </is>
      </c>
      <c r="C124" s="2" t="inlineStr">
        <is>
          <t>'Cadets'!$H$6:$H$55</t>
        </is>
      </c>
    </row>
    <row r="125">
      <c r="B125" s="12" t="inlineStr">
        <is>
          <t>nrCadetAgencyID</t>
        </is>
      </c>
      <c r="C125" s="2" t="inlineStr">
        <is>
          <t>'Cadets'!$G$6:$G$55</t>
        </is>
      </c>
    </row>
    <row r="126">
      <c r="B126" s="12" t="inlineStr">
        <is>
          <t>nrCadetStatus</t>
        </is>
      </c>
      <c r="C126" s="2" t="inlineStr">
        <is>
          <t>'Cadets'!$I$6:$I$55</t>
        </is>
      </c>
    </row>
    <row r="127">
      <c r="B127" s="12" t="inlineStr">
        <is>
          <t>nrELagency</t>
        </is>
      </c>
      <c r="C127" s="2" t="inlineStr">
        <is>
          <t>'EmailLog'!$C$6:$C$505</t>
        </is>
      </c>
    </row>
    <row r="128">
      <c r="B128" s="12" t="inlineStr">
        <is>
          <t>nrELdate</t>
        </is>
      </c>
      <c r="C128" s="2" t="inlineStr">
        <is>
          <t>'EmailLog'!$B$6:$B$505</t>
        </is>
      </c>
    </row>
    <row r="129">
      <c r="B129" s="12" t="inlineStr">
        <is>
          <t>nrEPVgrid</t>
        </is>
      </c>
      <c r="C129" s="2" t="inlineStr">
        <is>
          <t>'EmailPreview'!$B$9:$J$58</t>
        </is>
      </c>
    </row>
    <row r="130">
      <c r="B130" s="12" t="inlineStr">
        <is>
          <t>nrEPVsinceRow</t>
        </is>
      </c>
      <c r="C130" s="2" t="inlineStr">
        <is>
          <t>'EmailPreview'!$B$62</t>
        </is>
      </c>
    </row>
    <row r="131">
      <c r="B131" s="12" t="inlineStr">
        <is>
          <t>nrES_Att</t>
        </is>
      </c>
      <c r="C131" s="2" t="inlineStr">
        <is>
          <t>'ExamScores'!$K$6:$K$1505</t>
        </is>
      </c>
    </row>
    <row r="132">
      <c r="B132" s="12" t="inlineStr">
        <is>
          <t>nrES_Code</t>
        </is>
      </c>
      <c r="C132" s="2" t="inlineStr">
        <is>
          <t>'ExamScores'!$F$6:$F$1505</t>
        </is>
      </c>
    </row>
    <row r="133">
      <c r="B133" s="12" t="inlineStr">
        <is>
          <t>nrES_Date</t>
        </is>
      </c>
      <c r="C133" s="2" t="inlineStr">
        <is>
          <t>'ExamScores'!$S$6:$S$1505</t>
        </is>
      </c>
    </row>
    <row r="134">
      <c r="B134" s="12" t="inlineStr">
        <is>
          <t>nrES_Dis</t>
        </is>
      </c>
      <c r="C134" s="2" t="inlineStr">
        <is>
          <t>'ExamScores'!$R$6:$R$1505</t>
        </is>
      </c>
    </row>
    <row r="135">
      <c r="B135" s="12" t="inlineStr">
        <is>
          <t>nrES_Final</t>
        </is>
      </c>
      <c r="C135" s="2" t="inlineStr">
        <is>
          <t>'ExamScores'!$P$6:$P$1505</t>
        </is>
      </c>
    </row>
    <row r="136">
      <c r="B136" s="12" t="inlineStr">
        <is>
          <t>nrES_PID</t>
        </is>
      </c>
      <c r="C136" s="2" t="inlineStr">
        <is>
          <t>'ExamScores'!$D$6:$D$1505</t>
        </is>
      </c>
    </row>
    <row r="137">
      <c r="B137" s="12" t="inlineStr">
        <is>
          <t>nrES_Raw</t>
        </is>
      </c>
      <c r="C137" s="2" t="inlineStr">
        <is>
          <t>'ExamScores'!$L$6:$L$1505</t>
        </is>
      </c>
    </row>
    <row r="138">
      <c r="B138" s="12" t="inlineStr">
        <is>
          <t>nrES_Rec</t>
        </is>
      </c>
      <c r="C138" s="2" t="inlineStr">
        <is>
          <t>'ExamScores'!$M$6:$M$1505</t>
        </is>
      </c>
    </row>
    <row r="139">
      <c r="B139" s="12" t="inlineStr">
        <is>
          <t>nrES_RetDue</t>
        </is>
      </c>
      <c r="C139" s="2" t="inlineStr">
        <is>
          <t>'ExamScores'!$T$6:$T$1505</t>
        </is>
      </c>
    </row>
    <row r="140">
      <c r="B140" s="12" t="inlineStr">
        <is>
          <t>nrES_RetReq</t>
        </is>
      </c>
      <c r="C140" s="2" t="inlineStr">
        <is>
          <t>'ExamScores'!$Q$6:$Q$1505</t>
        </is>
      </c>
    </row>
    <row r="141">
      <c r="B141" s="12" t="inlineStr">
        <is>
          <t>nrES_RetStat</t>
        </is>
      </c>
      <c r="C141" s="2" t="inlineStr">
        <is>
          <t>'ExamScores'!$U$6:$U$1505</t>
        </is>
      </c>
    </row>
    <row r="142">
      <c r="B142" s="12" t="inlineStr">
        <is>
          <t>nrES_Seq</t>
        </is>
      </c>
      <c r="C142" s="2" t="inlineStr">
        <is>
          <t>'ExamScores'!$I$6:$I$1505</t>
        </is>
      </c>
    </row>
    <row r="143">
      <c r="B143" s="12" t="inlineStr">
        <is>
          <t>nrES_Type</t>
        </is>
      </c>
      <c r="C143" s="2" t="inlineStr">
        <is>
          <t>'ExamScores'!$H$6:$H$1505</t>
        </is>
      </c>
    </row>
    <row r="144">
      <c r="B144" s="12" t="inlineStr">
        <is>
          <t>nrExtraClosures</t>
        </is>
      </c>
      <c r="C144" s="2" t="inlineStr">
        <is>
          <t>'Control'!$F$6:$F$20</t>
        </is>
      </c>
    </row>
    <row r="145">
      <c r="B145" s="12" t="inlineStr">
        <is>
          <t>nrFLcount</t>
        </is>
      </c>
      <c r="C145" s="2" t="inlineStr">
        <is>
          <t>'sysFlags'!$O$6:$O$55</t>
        </is>
      </c>
    </row>
    <row r="146">
      <c r="B146" s="12" t="inlineStr">
        <is>
          <t>nrFLreasons</t>
        </is>
      </c>
      <c r="C146" s="2" t="inlineStr">
        <is>
          <t>'sysFlags'!$P$6:$P$55</t>
        </is>
      </c>
    </row>
    <row r="147">
      <c r="B147" s="12" t="inlineStr">
        <is>
          <t>nrGRacademic</t>
        </is>
      </c>
      <c r="C147" s="2" t="inlineStr">
        <is>
          <t>'sysGrades'!$V$6:$V$55</t>
        </is>
      </c>
    </row>
    <row r="148">
      <c r="B148" s="12" t="inlineStr">
        <is>
          <t>nrGRconsec</t>
        </is>
      </c>
      <c r="C148" s="2" t="inlineStr">
        <is>
          <t>'sysGrades'!$AC$6:$AC$55</t>
        </is>
      </c>
    </row>
    <row r="149">
      <c r="B149" s="12" t="inlineStr">
        <is>
          <t>nrGRcurrent</t>
        </is>
      </c>
      <c r="C149" s="2" t="inlineStr">
        <is>
          <t>'sysGrades'!$M$6:$M$55</t>
        </is>
      </c>
    </row>
    <row r="150">
      <c r="B150" s="12" t="inlineStr">
        <is>
          <t>nrGRdisrev</t>
        </is>
      </c>
      <c r="C150" s="2" t="inlineStr">
        <is>
          <t>'sysGrades'!$P$6:$P$55</t>
        </is>
      </c>
    </row>
    <row r="151">
      <c r="B151" s="12" t="inlineStr">
        <is>
          <t>nrGRfinal</t>
        </is>
      </c>
      <c r="C151" s="2" t="inlineStr">
        <is>
          <t>'sysGrades'!$N$6:$N$55</t>
        </is>
      </c>
    </row>
    <row r="152">
      <c r="B152" s="12" t="inlineStr">
        <is>
          <t>nrGRgradedrop</t>
        </is>
      </c>
      <c r="C152" s="2" t="inlineStr">
        <is>
          <t>'sysGrades'!$AB$6:$AB$55</t>
        </is>
      </c>
    </row>
    <row r="153">
      <c r="B153" s="12" t="inlineStr">
        <is>
          <t>nrGRmajavg</t>
        </is>
      </c>
      <c r="C153" s="2" t="inlineStr">
        <is>
          <t>'sysGrades'!$I$6:$I$55</t>
        </is>
      </c>
    </row>
    <row r="154">
      <c r="B154" s="12" t="inlineStr">
        <is>
          <t>nrGRminavg</t>
        </is>
      </c>
      <c r="C154" s="2" t="inlineStr">
        <is>
          <t>'sysGrades'!$J$6:$J$55</t>
        </is>
      </c>
    </row>
    <row r="155">
      <c r="B155" s="12" t="inlineStr">
        <is>
          <t>nrGRrank</t>
        </is>
      </c>
      <c r="C155" s="2" t="inlineStr">
        <is>
          <t>'sysGrades'!$U$6:$U$55</t>
        </is>
      </c>
    </row>
    <row r="156">
      <c r="B156" s="12" t="inlineStr">
        <is>
          <t>nrGRretakes</t>
        </is>
      </c>
      <c r="C156" s="2" t="inlineStr">
        <is>
          <t>'sysGrades'!$O$6:$O$55</t>
        </is>
      </c>
    </row>
    <row r="157">
      <c r="B157" s="12" t="inlineStr">
        <is>
          <t>nrHolidays1</t>
        </is>
      </c>
      <c r="C157" s="2" t="inlineStr">
        <is>
          <t>'Control'!$C$6:$C$16</t>
        </is>
      </c>
    </row>
    <row r="158">
      <c r="B158" s="12" t="inlineStr">
        <is>
          <t>nrHolidays2</t>
        </is>
      </c>
      <c r="C158" s="2" t="inlineStr">
        <is>
          <t>'Control'!$D$6:$D$16</t>
        </is>
      </c>
    </row>
    <row r="159">
      <c r="B159" s="12" t="inlineStr">
        <is>
          <t>nrINCelig</t>
        </is>
      </c>
      <c r="C159" s="2" t="inlineStr">
        <is>
          <t>'sysIncidents'!$K$6:$K$55</t>
        </is>
      </c>
    </row>
    <row r="160">
      <c r="B160" s="12" t="inlineStr">
        <is>
          <t>nrINCopenNeg</t>
        </is>
      </c>
      <c r="C160" s="2" t="inlineStr">
        <is>
          <t>'sysIncidents'!$H$6:$H$55</t>
        </is>
      </c>
    </row>
    <row r="161">
      <c r="B161" s="12" t="inlineStr">
        <is>
          <t>nrIN_Chain</t>
        </is>
      </c>
      <c r="C161" s="2" t="inlineStr">
        <is>
          <t>'Incidents'!$L$6:$L$405</t>
        </is>
      </c>
    </row>
    <row r="162">
      <c r="B162" s="12" t="inlineStr">
        <is>
          <t>nrIN_Date</t>
        </is>
      </c>
      <c r="C162" s="2" t="inlineStr">
        <is>
          <t>'Incidents'!$C$6:$C$405</t>
        </is>
      </c>
    </row>
    <row r="163">
      <c r="B163" s="12" t="inlineStr">
        <is>
          <t>nrIN_Desc</t>
        </is>
      </c>
      <c r="C163" s="2" t="inlineStr">
        <is>
          <t>'Incidents'!$I$6:$I$405</t>
        </is>
      </c>
    </row>
    <row r="164">
      <c r="B164" s="12" t="inlineStr">
        <is>
          <t>nrIN_Dir</t>
        </is>
      </c>
      <c r="C164" s="2" t="inlineStr">
        <is>
          <t>'Incidents'!$F$6:$F$405</t>
        </is>
      </c>
    </row>
    <row r="165">
      <c r="B165" s="12" t="inlineStr">
        <is>
          <t>nrIN_PID</t>
        </is>
      </c>
      <c r="C165" s="2" t="inlineStr">
        <is>
          <t>'Incidents'!$E$6:$E$405</t>
        </is>
      </c>
    </row>
    <row r="166">
      <c r="B166" s="12" t="inlineStr">
        <is>
          <t>nrIN_Res</t>
        </is>
      </c>
      <c r="C166" s="2" t="inlineStr">
        <is>
          <t>'Incidents'!$M$6:$M$405</t>
        </is>
      </c>
    </row>
    <row r="167">
      <c r="B167" s="12" t="inlineStr">
        <is>
          <t>nrIN_Sev</t>
        </is>
      </c>
      <c r="C167" s="2" t="inlineStr">
        <is>
          <t>'Incidents'!$G$6:$G$405</t>
        </is>
      </c>
    </row>
    <row r="168">
      <c r="B168" s="12" t="inlineStr">
        <is>
          <t>nrInstrNames</t>
        </is>
      </c>
      <c r="C168" s="2" t="inlineStr">
        <is>
          <t>'Instructors'!$B$6:$B$85</t>
        </is>
      </c>
    </row>
    <row r="169">
      <c r="B169" s="12" t="inlineStr">
        <is>
          <t>nrInstrReady</t>
        </is>
      </c>
      <c r="C169" s="2" t="inlineStr">
        <is>
          <t>'Instructors'!$J$6:$J$85</t>
        </is>
      </c>
    </row>
    <row r="170">
      <c r="B170" s="12" t="inlineStr">
        <is>
          <t>nrMD_PID</t>
        </is>
      </c>
      <c r="C170" s="2" t="inlineStr">
        <is>
          <t>'Medical'!$E$6:$E$205</t>
        </is>
      </c>
    </row>
    <row r="171">
      <c r="B171" s="12" t="inlineStr">
        <is>
          <t>nrMD_Restr</t>
        </is>
      </c>
      <c r="C171" s="2" t="inlineStr">
        <is>
          <t>'Medical'!$H$6:$H$205</t>
        </is>
      </c>
    </row>
    <row r="172">
      <c r="B172" s="12" t="inlineStr">
        <is>
          <t>nrMD_Status</t>
        </is>
      </c>
      <c r="C172" s="2" t="inlineStr">
        <is>
          <t>'Medical'!$M$6:$M$205</t>
        </is>
      </c>
    </row>
    <row r="173">
      <c r="B173" s="12" t="inlineStr">
        <is>
          <t>nrMK_Credit</t>
        </is>
      </c>
      <c r="C173" s="2" t="inlineStr">
        <is>
          <t>'Makeup'!$L$6:$L$505</t>
        </is>
      </c>
    </row>
    <row r="174">
      <c r="B174" s="12" t="inlineStr">
        <is>
          <t>nrMK_Min</t>
        </is>
      </c>
      <c r="C174" s="2" t="inlineStr">
        <is>
          <t>'Makeup'!$G$6:$G$505</t>
        </is>
      </c>
    </row>
    <row r="175">
      <c r="B175" s="12" t="inlineStr">
        <is>
          <t>nrMK_PID</t>
        </is>
      </c>
      <c r="C175" s="2" t="inlineStr">
        <is>
          <t>'Makeup'!$E$6:$E$505</t>
        </is>
      </c>
    </row>
    <row r="176">
      <c r="B176" s="12" t="inlineStr">
        <is>
          <t>nrMK_Sess</t>
        </is>
      </c>
      <c r="C176" s="2" t="inlineStr">
        <is>
          <t>'Makeup'!$H$6:$H$505</t>
        </is>
      </c>
    </row>
    <row r="177">
      <c r="B177" s="12" t="inlineStr">
        <is>
          <t>nrMK_Type</t>
        </is>
      </c>
      <c r="C177" s="2" t="inlineStr">
        <is>
          <t>'Makeup'!$F$6:$F$505</t>
        </is>
      </c>
    </row>
    <row r="178">
      <c r="B178" s="12" t="inlineStr">
        <is>
          <t>nrPRGitems</t>
        </is>
      </c>
      <c r="C178" s="2" t="inlineStr">
        <is>
          <t>'Audit'!$B$27:$B$34</t>
        </is>
      </c>
    </row>
    <row r="179">
      <c r="B179" s="12" t="inlineStr">
        <is>
          <t>nrPRGmet</t>
        </is>
      </c>
      <c r="C179" s="2" t="inlineStr">
        <is>
          <t>'Audit'!$F$27:$F$34</t>
        </is>
      </c>
    </row>
    <row r="180">
      <c r="B180" s="12" t="inlineStr">
        <is>
          <t>nrPTRubricEvents</t>
        </is>
      </c>
      <c r="C180" s="2" t="inlineStr">
        <is>
          <t>'Settings'!$B$42:$B$48</t>
        </is>
      </c>
    </row>
    <row r="181">
      <c r="B181" s="12" t="inlineStr">
        <is>
          <t>nrPTRubricPoints</t>
        </is>
      </c>
      <c r="C181" s="2" t="inlineStr">
        <is>
          <t>'Settings'!$D$42:$H$48</t>
        </is>
      </c>
    </row>
    <row r="182">
      <c r="B182" s="12" t="inlineStr">
        <is>
          <t>nrPT_BasePass</t>
        </is>
      </c>
      <c r="C182" s="2" t="inlineStr">
        <is>
          <t>'PT'!$K$6:$K$55</t>
        </is>
      </c>
    </row>
    <row r="183">
      <c r="B183" s="12" t="inlineStr">
        <is>
          <t>nrPT_FinalPass</t>
        </is>
      </c>
      <c r="C183" s="2" t="inlineStr">
        <is>
          <t>'PT'!$AB$6:$AB$55</t>
        </is>
      </c>
    </row>
    <row r="184">
      <c r="B184" s="12" t="inlineStr">
        <is>
          <t>nrPT_FinalPts</t>
        </is>
      </c>
      <c r="C184" s="2" t="inlineStr">
        <is>
          <t>'PT'!$AA$6:$AA$55</t>
        </is>
      </c>
    </row>
    <row r="185">
      <c r="B185" s="12" t="inlineStr">
        <is>
          <t>nrPT_Improve</t>
        </is>
      </c>
      <c r="C185" s="2" t="inlineStr">
        <is>
          <t>'PT'!$AC$6:$AC$55</t>
        </is>
      </c>
    </row>
    <row r="186">
      <c r="B186" s="12" t="inlineStr">
        <is>
          <t>nrSCH_Act</t>
        </is>
      </c>
      <c r="C186" s="2" t="inlineStr">
        <is>
          <t>'Schedule'!$G$6:$G$905</t>
        </is>
      </c>
    </row>
    <row r="187">
      <c r="B187" s="12" t="inlineStr">
        <is>
          <t>nrSCH_ChNum</t>
        </is>
      </c>
      <c r="C187" s="2" t="inlineStr">
        <is>
          <t>'Schedule'!$H$6:$H$905</t>
        </is>
      </c>
    </row>
    <row r="188">
      <c r="B188" s="12" t="inlineStr">
        <is>
          <t>nrSCH_Date</t>
        </is>
      </c>
      <c r="C188" s="2" t="inlineStr">
        <is>
          <t>'Schedule'!$B$6:$B$905</t>
        </is>
      </c>
    </row>
    <row r="189">
      <c r="B189" s="12" t="inlineStr">
        <is>
          <t>nrSCH_End</t>
        </is>
      </c>
      <c r="C189" s="2" t="inlineStr">
        <is>
          <t>'Schedule'!$E$6:$E$905</t>
        </is>
      </c>
    </row>
    <row r="190">
      <c r="B190" s="12" t="inlineStr">
        <is>
          <t>nrSCH_Hrs</t>
        </is>
      </c>
      <c r="C190" s="2" t="inlineStr">
        <is>
          <t>'Schedule'!$F$6:$F$905</t>
        </is>
      </c>
    </row>
    <row r="191">
      <c r="B191" s="12" t="inlineStr">
        <is>
          <t>nrSCH_Instr</t>
        </is>
      </c>
      <c r="C191" s="2" t="inlineStr">
        <is>
          <t>'Schedule'!$I$6:$I$905</t>
        </is>
      </c>
    </row>
    <row r="192">
      <c r="B192" s="12" t="inlineStr">
        <is>
          <t>nrSCH_Loc</t>
        </is>
      </c>
      <c r="C192" s="2" t="inlineStr">
        <is>
          <t>'Schedule'!$J$6:$J$905</t>
        </is>
      </c>
    </row>
    <row r="193">
      <c r="B193" s="12" t="inlineStr">
        <is>
          <t>nrSCH_Start</t>
        </is>
      </c>
      <c r="C193" s="2" t="inlineStr">
        <is>
          <t>'Schedule'!$D$6:$D$905</t>
        </is>
      </c>
    </row>
    <row r="194">
      <c r="B194" s="12" t="inlineStr">
        <is>
          <t>nrSGclassavg</t>
        </is>
      </c>
      <c r="C194" s="2" t="inlineStr">
        <is>
          <t>'ScoresGrid'!$D$57:$AB$57</t>
        </is>
      </c>
    </row>
    <row r="195">
      <c r="B195" s="12" t="inlineStr">
        <is>
          <t>nrSK_Att</t>
        </is>
      </c>
      <c r="C195" s="2" t="inlineStr">
        <is>
          <t>'Skills'!$I$6:$I$605</t>
        </is>
      </c>
    </row>
    <row r="196">
      <c r="B196" s="12" t="inlineStr">
        <is>
          <t>nrSK_Cat</t>
        </is>
      </c>
      <c r="C196" s="2" t="inlineStr">
        <is>
          <t>'Skills'!$E$6:$E$605</t>
        </is>
      </c>
    </row>
    <row r="197">
      <c r="B197" s="12" t="inlineStr">
        <is>
          <t>nrSK_Dis</t>
        </is>
      </c>
      <c r="C197" s="2" t="inlineStr">
        <is>
          <t>'Skills'!$P$6:$P$605</t>
        </is>
      </c>
    </row>
    <row r="198">
      <c r="B198" s="12" t="inlineStr">
        <is>
          <t>nrSK_PID</t>
        </is>
      </c>
      <c r="C198" s="2" t="inlineStr">
        <is>
          <t>'Skills'!$D$6:$D$605</t>
        </is>
      </c>
    </row>
    <row r="199">
      <c r="B199" s="12" t="inlineStr">
        <is>
          <t>nrSK_Res</t>
        </is>
      </c>
      <c r="C199" s="2" t="inlineStr">
        <is>
          <t>'Skills'!$J$6:$J$605</t>
        </is>
      </c>
    </row>
    <row r="200">
      <c r="B200" s="12" t="inlineStr">
        <is>
          <t>nrSK_Score</t>
        </is>
      </c>
      <c r="C200" s="2" t="inlineStr">
        <is>
          <t>'Skills'!$K$6:$K$605</t>
        </is>
      </c>
    </row>
    <row r="201">
      <c r="B201" s="12" t="inlineStr">
        <is>
          <t>nrSK_Status</t>
        </is>
      </c>
      <c r="C201" s="2" t="inlineStr">
        <is>
          <t>'Skills'!$O$6:$O$605</t>
        </is>
      </c>
    </row>
    <row r="202">
      <c r="B202" s="12" t="inlineStr">
        <is>
          <t>nrSKelig</t>
        </is>
      </c>
      <c r="C202" s="2" t="inlineStr">
        <is>
          <t>'sysSkills'!$K$6:$K$55</t>
        </is>
      </c>
    </row>
    <row r="203">
      <c r="B203" s="12" t="inlineStr">
        <is>
          <t>nrSKfailedout</t>
        </is>
      </c>
      <c r="C203" s="2" t="inlineStr">
        <is>
          <t>'sysSkills'!$J$6:$J$55</t>
        </is>
      </c>
    </row>
    <row r="204">
      <c r="B204" s="12" t="inlineStr">
        <is>
          <t>nrSKfirearmsAvg</t>
        </is>
      </c>
      <c r="C204" s="2" t="inlineStr">
        <is>
          <t>'sysSkills'!$L$6:$L$55</t>
        </is>
      </c>
    </row>
    <row r="205">
      <c r="B205" s="12" t="inlineStr">
        <is>
          <t>nrScheduleItems</t>
        </is>
      </c>
      <c r="C205" s="2" t="inlineStr">
        <is>
          <t>'sysListsHelper'!$B$6:$B$62</t>
        </is>
      </c>
    </row>
    <row r="206">
      <c r="B206" s="12" t="inlineStr">
        <is>
          <t>nrSpellAvg</t>
        </is>
      </c>
      <c r="C206" s="2" t="inlineStr">
        <is>
          <t>'Spelling'!$P$6:$P$55</t>
        </is>
      </c>
    </row>
    <row r="207">
      <c r="B207" s="12" t="inlineStr">
        <is>
          <t>nrSpellClassAvg</t>
        </is>
      </c>
      <c r="C207" s="2" t="inlineStr">
        <is>
          <t>'Spelling'!$D$58:$O$58</t>
        </is>
      </c>
    </row>
    <row r="208">
      <c r="B208" s="12" t="inlineStr">
        <is>
          <t>nrSpellCounts</t>
        </is>
      </c>
      <c r="C208" s="2" t="inlineStr">
        <is>
          <t>'Spelling'!$D$57:$O$57</t>
        </is>
      </c>
    </row>
    <row r="209">
      <c r="B209" s="12" t="inlineStr">
        <is>
          <t>nrSpellFlag</t>
        </is>
      </c>
      <c r="C209" s="2" t="inlineStr">
        <is>
          <t>'Spelling'!$R$6:$R$55</t>
        </is>
      </c>
    </row>
    <row r="210">
      <c r="B210" s="12" t="inlineStr">
        <is>
          <t>nrSpellTaken</t>
        </is>
      </c>
      <c r="C210" s="2" t="inlineStr">
        <is>
          <t>'Spelling'!$Q$6:$Q$55</t>
        </is>
      </c>
    </row>
    <row r="211">
      <c r="B211" s="12" t="inlineStr">
        <is>
          <t>nrSpellTestNums</t>
        </is>
      </c>
      <c r="C211" s="2" t="inlineStr">
        <is>
          <t>'Spelling'!$D$59:$O$59</t>
        </is>
      </c>
    </row>
    <row r="212">
      <c r="B212" s="12" t="inlineStr">
        <is>
          <t>nrSpellWords</t>
        </is>
      </c>
      <c r="C212" s="2" t="inlineStr">
        <is>
          <t>'SpellingMaster'!$C$6:$N$30</t>
        </is>
      </c>
    </row>
    <row r="213">
      <c r="B213" s="12" t="inlineStr">
        <is>
          <t>nrWRcomplete</t>
        </is>
      </c>
      <c r="C213" s="2" t="inlineStr">
        <is>
          <t>'Writing'!$AR$6:$AR$55</t>
        </is>
      </c>
    </row>
    <row r="214">
      <c r="B214" s="12" t="inlineStr">
        <is>
          <t>nrWRcurrent</t>
        </is>
      </c>
      <c r="C214" s="2" t="inlineStr">
        <is>
          <t>'Writing'!$AT$6:$AT$55</t>
        </is>
      </c>
    </row>
    <row r="215">
      <c r="B215" s="12" t="inlineStr">
        <is>
          <t>nrWRoverdue</t>
        </is>
      </c>
      <c r="C215" s="2" t="inlineStr">
        <is>
          <t>'Writing'!$AS$6:$AS$55</t>
        </is>
      </c>
    </row>
    <row r="216">
      <c r="B216" s="12" t="inlineStr">
        <is>
          <t>rngAgencyActive</t>
        </is>
      </c>
      <c r="C216" s="2" t="inlineStr">
        <is>
          <t>'Agencies'!$H$6:$H$50</t>
        </is>
      </c>
    </row>
    <row r="217">
      <c r="B217" s="12" t="inlineStr">
        <is>
          <t>rngAgencyEmails</t>
        </is>
      </c>
      <c r="C217" s="2" t="inlineStr">
        <is>
          <t>'Agencies'!$E$6:$E$50</t>
        </is>
      </c>
    </row>
    <row r="218">
      <c r="B218" s="12" t="inlineStr">
        <is>
          <t>rngAgencyIDs</t>
        </is>
      </c>
      <c r="C218" s="2" t="inlineStr">
        <is>
          <t>'Agencies'!$B$6:$B$50</t>
        </is>
      </c>
    </row>
    <row r="219">
      <c r="B219" s="12" t="inlineStr">
        <is>
          <t>rngAgencyNames</t>
        </is>
      </c>
      <c r="C219" s="2" t="inlineStr">
        <is>
          <t>'Agencies'!$C$6:$C$50</t>
        </is>
      </c>
    </row>
    <row r="220">
      <c r="B220" s="12" t="inlineStr">
        <is>
          <t>rngCadetNames</t>
        </is>
      </c>
      <c r="C220" s="2" t="inlineStr">
        <is>
          <t>'Cadets'!$F$6:$F$55</t>
        </is>
      </c>
    </row>
    <row r="221">
      <c r="B221" s="12" t="inlineStr">
        <is>
          <t>rngCadetPIDs</t>
        </is>
      </c>
      <c r="C221" s="2" t="inlineStr">
        <is>
          <t>'Cadets'!$B$6:$B$55</t>
        </is>
      </c>
    </row>
    <row r="222">
      <c r="B222" s="12" t="inlineStr">
        <is>
          <t>rngEMcode</t>
        </is>
      </c>
      <c r="C222" s="2" t="inlineStr">
        <is>
          <t>'ExamMaster'!$B$6:$B$30</t>
        </is>
      </c>
    </row>
    <row r="223">
      <c r="B223" s="12" t="inlineStr">
        <is>
          <t>rngEMname</t>
        </is>
      </c>
      <c r="C223" s="2" t="inlineStr">
        <is>
          <t>'ExamMaster'!$C$6:$C$30</t>
        </is>
      </c>
    </row>
    <row r="224">
      <c r="B224" s="12" t="inlineStr">
        <is>
          <t>rngEMpass</t>
        </is>
      </c>
      <c r="C224" s="2" t="inlineStr">
        <is>
          <t>'ExamMaster'!$E$6:$E$30</t>
        </is>
      </c>
    </row>
    <row r="225">
      <c r="B225" s="12" t="inlineStr">
        <is>
          <t>rngEMseq</t>
        </is>
      </c>
      <c r="C225" s="2" t="inlineStr">
        <is>
          <t>'ExamMaster'!$F$6:$F$30</t>
        </is>
      </c>
    </row>
    <row r="226">
      <c r="B226" s="12" t="inlineStr">
        <is>
          <t>rngEMtype</t>
        </is>
      </c>
      <c r="C226" s="2" t="inlineStr">
        <is>
          <t>'ExamMaster'!$D$6:$D$30</t>
        </is>
      </c>
    </row>
    <row r="227">
      <c r="B227" s="12" t="inlineStr">
        <is>
          <t>rngEPch</t>
        </is>
      </c>
      <c r="C227" s="2" t="inlineStr">
        <is>
          <t>'ExamPlan'!$H$6:$H$30</t>
        </is>
      </c>
    </row>
    <row r="228">
      <c r="B228" s="12" t="inlineStr">
        <is>
          <t>rngEPcode</t>
        </is>
      </c>
      <c r="C228" s="2" t="inlineStr">
        <is>
          <t>'ExamPlan'!$C$6:$C$30</t>
        </is>
      </c>
    </row>
    <row r="229">
      <c r="B229" s="12" t="inlineStr">
        <is>
          <t>rngEPdate</t>
        </is>
      </c>
      <c r="C229" s="2" t="inlineStr">
        <is>
          <t>'ExamPlan'!$I$6:$I$30</t>
        </is>
      </c>
    </row>
    <row r="230">
      <c r="B230" s="12" t="inlineStr">
        <is>
          <t>rngEPname</t>
        </is>
      </c>
      <c r="C230" s="2" t="inlineStr">
        <is>
          <t>'ExamPlan'!$D$6:$D$30</t>
        </is>
      </c>
    </row>
    <row r="231">
      <c r="B231" s="12" t="inlineStr">
        <is>
          <t>rngEPpass</t>
        </is>
      </c>
      <c r="C231" s="2" t="inlineStr">
        <is>
          <t>'ExamPlan'!$F$6:$F$30</t>
        </is>
      </c>
    </row>
    <row r="232">
      <c r="B232" s="12" t="inlineStr">
        <is>
          <t>rngEPseq</t>
        </is>
      </c>
      <c r="C232" s="2" t="inlineStr">
        <is>
          <t>'ExamPlan'!$G$6:$G$30</t>
        </is>
      </c>
    </row>
    <row r="233">
      <c r="B233" s="12" t="inlineStr">
        <is>
          <t>rngEPtype</t>
        </is>
      </c>
      <c r="C233" s="2" t="inlineStr">
        <is>
          <t>'ExamPlan'!$E$6:$E$30</t>
        </is>
      </c>
    </row>
    <row r="234">
      <c r="B234" s="12" t="inlineStr">
        <is>
          <t>rngEPuse</t>
        </is>
      </c>
      <c r="C234" s="2" t="inlineStr">
        <is>
          <t>'ExamPlan'!$B$6:$B$30</t>
        </is>
      </c>
    </row>
    <row r="235">
      <c r="B235" s="12" t="inlineStr">
        <is>
          <t>rngSM_cat</t>
        </is>
      </c>
      <c r="C235" s="2" t="inlineStr">
        <is>
          <t>'SkillsMaster'!$B$6:$B$15</t>
        </is>
      </c>
    </row>
    <row r="236">
      <c r="B236" s="12" t="inlineStr">
        <is>
          <t>rngSM_max</t>
        </is>
      </c>
      <c r="C236" s="2" t="inlineStr">
        <is>
          <t>'SkillsMaster'!$C$6:$C$15</t>
        </is>
      </c>
    </row>
    <row r="237">
      <c r="B237" s="12" t="inlineStr">
        <is>
          <t>rngSM_mode</t>
        </is>
      </c>
      <c r="C237" s="2" t="inlineStr">
        <is>
          <t>'SkillsMaster'!$D$6:$D$15</t>
        </is>
      </c>
    </row>
    <row r="238">
      <c r="B238" s="12" t="inlineStr">
        <is>
          <t>rngSM_pass</t>
        </is>
      </c>
      <c r="C238" s="2" t="inlineStr">
        <is>
          <t>'SkillsMaster'!$E$6:$E$15</t>
        </is>
      </c>
    </row>
    <row r="239">
      <c r="B239" s="12" t="inlineStr">
        <is>
          <t>rngWMassigned</t>
        </is>
      </c>
      <c r="C239" s="2" t="inlineStr">
        <is>
          <t>'WritingMaster'!$K$6:$K$45</t>
        </is>
      </c>
    </row>
    <row r="240">
      <c r="B240" s="12" t="inlineStr">
        <is>
          <t>rngWMdue</t>
        </is>
      </c>
      <c r="C240" s="2" t="inlineStr">
        <is>
          <t>'WritingMaster'!$L$6:$L$45</t>
        </is>
      </c>
    </row>
    <row r="241">
      <c r="B241" s="12" t="inlineStr">
        <is>
          <t>rngWMnum</t>
        </is>
      </c>
      <c r="C241" s="2" t="inlineStr">
        <is>
          <t>'WritingMaster'!$B$6:$B$45</t>
        </is>
      </c>
    </row>
    <row r="242">
      <c r="B242" s="12" t="inlineStr">
        <is>
          <t>rngWMprompt</t>
        </is>
      </c>
      <c r="C242" s="2" t="inlineStr">
        <is>
          <t>'WritingMaster'!$M$6:$M$45</t>
        </is>
      </c>
    </row>
    <row r="243">
      <c r="B243" s="12" t="inlineStr">
        <is>
          <t>rngWMtitle</t>
        </is>
      </c>
      <c r="C243"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2026-08-09T22:13:30Z</dcterms:created>
  <dcterms:modified xsi:type="dcterms:W3CDTF">2026-08-09T22:13:35Z</dcterms:modified>
</cp:coreProperties>
</file>